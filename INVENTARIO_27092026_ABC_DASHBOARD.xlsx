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urva ABC" sheetId="2" state="visible" r:id="rId4"/>
    <sheet name="Análises" sheetId="3" state="visible" r:id="rId5"/>
    <sheet name="Base" sheetId="4" state="visible" r:id="rId6"/>
    <sheet name="Uso e Consumo" sheetId="5" state="visible" r:id="rId7"/>
    <sheet name="Fat Dir Terceiro" sheetId="6" state="visible" r:id="rId8"/>
    <sheet name="Imobilizado" sheetId="7" state="visible" r:id="rId9"/>
  </sheets>
  <definedNames>
    <definedName function="false" hidden="true" localSheetId="3" name="_xlnm._FilterDatabase" vbProcedure="false">Base!$A$1:$K$2878</definedName>
    <definedName function="false" hidden="true" localSheetId="1" name="_xlnm._FilterDatabase" vbProcedure="false">'Curva ABC'!$A$7:$K$2847</definedName>
    <definedName function="false" hidden="true" localSheetId="5" name="_xlnm._FilterDatabase" vbProcedure="false">'Fat Dir Terceiro'!$A$1:$M$56</definedName>
    <definedName function="false" hidden="true" localSheetId="6" name="_xlnm._FilterDatabase" vbProcedure="false">Imobilizado!$A$1:$M$92</definedName>
    <definedName function="false" hidden="true" localSheetId="4" name="_xlnm._FilterDatabase" vbProcedure="false">'Uso e Consumo'!$A$1:$M$2732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<sst xmlns="http://schemas.openxmlformats.org/spreadsheetml/2006/main" count="31680" uniqueCount="6023">
  <si>
    <t xml:space="preserve">INVENTÁRIO – UFV NORONHA VERDE  |  DASHBOARD &amp; CURVA ABC</t>
  </si>
  <si>
    <t xml:space="preserve">Posição de estoque em 27/09/2026  •  fonte: abas originais do inventário  •  valores em R$</t>
  </si>
  <si>
    <t xml:space="preserve">VALOR TOTAL EM ESTOQUE</t>
  </si>
  <si>
    <t xml:space="preserve">PRODUTOS DISTINTOS</t>
  </si>
  <si>
    <t xml:space="preserve">LOCAIS DE ESTOQUE</t>
  </si>
  <si>
    <t xml:space="preserve">ITENS CLASSE A</t>
  </si>
  <si>
    <t xml:space="preserve">% DO VALOR EM CLASSE A</t>
  </si>
  <si>
    <t xml:space="preserve">MAIOR ITEM (% DO TOTAL)</t>
  </si>
  <si>
    <t xml:space="preserve">Resumo por classe ABC</t>
  </si>
  <si>
    <t xml:space="preserve">Classe</t>
  </si>
  <si>
    <t xml:space="preserve">Nº itens</t>
  </si>
  <si>
    <t xml:space="preserve">% itens</t>
  </si>
  <si>
    <t xml:space="preserve">Valor (R$)</t>
  </si>
  <si>
    <t xml:space="preserve">% valor</t>
  </si>
  <si>
    <t xml:space="preserve">Como ler: poucos itens (A) concentram a maior parte do valor; priorize contagem, segurança e reposição neles.</t>
  </si>
  <si>
    <t xml:space="preserve">CURVA ABC DE ESTOQUE – CONSOLIDADA POR PRODUTO</t>
  </si>
  <si>
    <t xml:space="preserve">Valor = soma do saldo financeiro do produto em todos os locais (aba Base). Ordem por valor decrescente (ordenada em 27/09/2026).</t>
  </si>
  <si>
    <t xml:space="preserve">Limite classe A (% acumulado do valor)</t>
  </si>
  <si>
    <t xml:space="preserve">← células amarelas: edite para mudar o corte (A: acumulado ≤ limite A; B: ≤ limite B; C: restante)</t>
  </si>
  <si>
    <t xml:space="preserve">Limite classe B (% acumulado do valor)</t>
  </si>
  <si>
    <t xml:space="preserve">Rank</t>
  </si>
  <si>
    <t xml:space="preserve">IDPRD</t>
  </si>
  <si>
    <t xml:space="preserve">Código</t>
  </si>
  <si>
    <t xml:space="preserve">Descrição</t>
  </si>
  <si>
    <t xml:space="preserve">Natureza</t>
  </si>
  <si>
    <t xml:space="preserve">Nº locais</t>
  </si>
  <si>
    <t xml:space="preserve">Valor em estoque (R$)</t>
  </si>
  <si>
    <t xml:space="preserve">% do valor</t>
  </si>
  <si>
    <t xml:space="preserve">% acumulado</t>
  </si>
  <si>
    <t xml:space="preserve">% acum. itens</t>
  </si>
  <si>
    <t xml:space="preserve">17.01.1200</t>
  </si>
  <si>
    <t xml:space="preserve">CABO UNIPOLAR DE ALUMÍNIO, CLASSE 0,6/1KV, ISOL XLPE SEÇÃO 400MM² RES A CHAMA, UVB, SEM CHUMBO - REF PRYSMYAN OU SIMILAR</t>
  </si>
  <si>
    <t xml:space="preserve">3.7.1.018 - Serviço de instalações elétricas/telefônica/lógica</t>
  </si>
  <si>
    <t xml:space="preserve">32.13.0045</t>
  </si>
  <si>
    <t xml:space="preserve">CARPA DORMITÓRIO COM DIVISÓRIA EM PVC - 8 X 16M</t>
  </si>
  <si>
    <t xml:space="preserve">6.1.2.001 - Equipamentos</t>
  </si>
  <si>
    <t xml:space="preserve">17.01.1206</t>
  </si>
  <si>
    <t xml:space="preserve">CABO BT 6MM² SOLAR, CONDUTOR DE COBRE FLEXÍVEL ESTANHADO, CAPA NA COR PRETA COM PROTEÇÃO UV</t>
  </si>
  <si>
    <t xml:space="preserve">3.8.1.017 - Instalações elétricas/telefônicas/lógica</t>
  </si>
  <si>
    <t xml:space="preserve">17.01.0846</t>
  </si>
  <si>
    <t xml:space="preserve">CABO DE COBRE NU 50MM²,TÊMPERA MEIO DURA,7 FIOS E ENCORDOAMENTO CLASSE 2A</t>
  </si>
  <si>
    <t xml:space="preserve">17.01.1203</t>
  </si>
  <si>
    <t xml:space="preserve">CABO DE COBRE MONOPOLAR 240 MM², CLASSE 2, 8,7/15 KV, ISOLAÇÃO EPR, COBERTURA PVC PRETO, BLINDAGEM 25 MM²</t>
  </si>
  <si>
    <t xml:space="preserve">17.06.0053</t>
  </si>
  <si>
    <t xml:space="preserve">CABO ELETRICO FLEXIVEL DE COBRE ISOLADO 4X16 MM² 1KV NUM REF AFUMEX</t>
  </si>
  <si>
    <t xml:space="preserve">02.01.0080</t>
  </si>
  <si>
    <t xml:space="preserve">TELA DO TIPO ALAMBRADO, MALHA DE ARAME EM AÇO GALVANIZADO. BWG 12 E ABERTURA DE 50MM (9,70M² POR PORTÃO)</t>
  </si>
  <si>
    <t xml:space="preserve">3.8.1.002 - Telas e arames</t>
  </si>
  <si>
    <t xml:space="preserve">17.01.1205</t>
  </si>
  <si>
    <t xml:space="preserve">CABO DE COBRE NU 120 MM², CLASSE 2A, TÊMPERA MEIO DURA, NBR 6524.</t>
  </si>
  <si>
    <t xml:space="preserve">17.01.1207</t>
  </si>
  <si>
    <t xml:space="preserve">CABO BT 6MM² SOLAR, CONDUTOR DE COBRE FLEXÍVEL ESTANHADO, CAPA NA COR VERMELHA COM PROTEÇÃO UV</t>
  </si>
  <si>
    <t xml:space="preserve">18.07.0094</t>
  </si>
  <si>
    <t xml:space="preserve">RESERVATÓRIO DE 30.000 L EM PEAD</t>
  </si>
  <si>
    <t xml:space="preserve">3.8.1.018 - Instalações hidráulicas/sanitárias/industriais</t>
  </si>
  <si>
    <t xml:space="preserve">17.24.0018</t>
  </si>
  <si>
    <t xml:space="preserve">CAIXA DE INTERLIGAÇÃO EM AÇO INOX 304 PARA TP</t>
  </si>
  <si>
    <t xml:space="preserve">17.08.0218</t>
  </si>
  <si>
    <t xml:space="preserve">QUADRO DE DISTRIBUIÇÃO DE CORRENTE CONTÍNUA, 2 ENTRADAS DE TENSÃO 125Vcc - 300A - 10kA</t>
  </si>
  <si>
    <t xml:space="preserve">17.08.0219</t>
  </si>
  <si>
    <t xml:space="preserve">QUADRO DE DISTRIBUIÇÃO DE CORRENTE ALTERNADA, 2 ENTRADAS DE TENSÃO 380/220Vca - 300A - 10kA</t>
  </si>
  <si>
    <t xml:space="preserve">09.19.0032</t>
  </si>
  <si>
    <t xml:space="preserve">PISO INTERTRAVADO CONCRETO RETANGULAR 10,00CM X 20,00CM X 8,00CM NATURAL</t>
  </si>
  <si>
    <t xml:space="preserve">3.8.1.010 - Revestimentos e pisos</t>
  </si>
  <si>
    <t xml:space="preserve">09.16.0030</t>
  </si>
  <si>
    <t xml:space="preserve">MOURÃO DE CONCRETO 10 X 10 CM NOS VÉRTICES, E A CADA 100 M</t>
  </si>
  <si>
    <t xml:space="preserve">3.8.1.009 - Artefatos pré-moldados de concreto</t>
  </si>
  <si>
    <t xml:space="preserve">17.01.1198</t>
  </si>
  <si>
    <t xml:space="preserve">CABO UNIPOLAR DE COBRE, CLASSE 8,7/15KV, ISOL. HEPR, COB. PVC SEÇÃO 150MM², BLINDAGEM 25MM². REF PRYSMIAN OU SIMILAR</t>
  </si>
  <si>
    <t xml:space="preserve">32.08.0087</t>
  </si>
  <si>
    <t xml:space="preserve">Grupo Motor Gerador 380/220 V (GMG) 110 kVA</t>
  </si>
  <si>
    <t xml:space="preserve">17.22.0110</t>
  </si>
  <si>
    <t xml:space="preserve">ALÇA PREFORMADA PARA AMARRAÇÃO DO CABO NU</t>
  </si>
  <si>
    <t xml:space="preserve">29.03.0044</t>
  </si>
  <si>
    <t xml:space="preserve">AR CONDICIONADO 18000 BTU/H 220V SPLIT</t>
  </si>
  <si>
    <t xml:space="preserve">4.1.1.009 - Eletro eletrônico e acessórios</t>
  </si>
  <si>
    <t xml:space="preserve">32.07.0231</t>
  </si>
  <si>
    <t xml:space="preserve">RETIFICADOR 380VCA 3F - 125 VCC / 48 VCC / 12 VCC CHAVEADO EM ALTA FREQUÊNCIA 11,11 KVA</t>
  </si>
  <si>
    <t xml:space="preserve">09.21.0409</t>
  </si>
  <si>
    <t xml:space="preserve">VIGA DE CONCRETO ARMADO -  0,30 X 0,40 X 7,00M</t>
  </si>
  <si>
    <t xml:space="preserve">32.08.0086</t>
  </si>
  <si>
    <t xml:space="preserve">Grupo Motor Gerador 380/220 V (GMG) 83 kVA / tensão auxiliar de comando e supervisão do GMG 125 Vcc</t>
  </si>
  <si>
    <t xml:space="preserve">18.07.0053</t>
  </si>
  <si>
    <t xml:space="preserve">CAIXA D´AGUA POLIETILENO 10.000L C/ TAMPA</t>
  </si>
  <si>
    <t xml:space="preserve">32.13.0046</t>
  </si>
  <si>
    <t xml:space="preserve">CARPA BANHEIRO/VESTIÁRIO COM DIVISÓRIA EM PVC  - 8 X 16M</t>
  </si>
  <si>
    <t xml:space="preserve">18.01.1241</t>
  </si>
  <si>
    <t xml:space="preserve">ABRAÇADEIRA POLIAMIDA 6.6 ESTABILIZADA À ULTRAVIOLETA- 8,9X770MM</t>
  </si>
  <si>
    <t xml:space="preserve">14.02.0059</t>
  </si>
  <si>
    <t xml:space="preserve">TELHA DE FIBROCIMENTO SEM AMIANTO 4,00M - CANALETE 49 - 8MM</t>
  </si>
  <si>
    <t xml:space="preserve">3.8.1.014 - Cobertura</t>
  </si>
  <si>
    <t xml:space="preserve">29.02.0220</t>
  </si>
  <si>
    <t xml:space="preserve">COLCHÃO DE ESPUMA SOLTEIRO 1,88M X 0,88M X 0,14M D-33</t>
  </si>
  <si>
    <t xml:space="preserve">4.1.1.008 - Mobiliário e acessórios</t>
  </si>
  <si>
    <t xml:space="preserve">32.13.0047</t>
  </si>
  <si>
    <t xml:space="preserve">CARPA ÁREA DE VIVÊNCIA – 8X16 M</t>
  </si>
  <si>
    <t xml:space="preserve">18.07.0063</t>
  </si>
  <si>
    <t xml:space="preserve">CAIXA D´AGUA POLIETILENO 20.000L C/ TAMPA</t>
  </si>
  <si>
    <t xml:space="preserve">17.21.0112</t>
  </si>
  <si>
    <t xml:space="preserve">CONJUNTO DE FERRAGENS PARA FIXAÇÃO DE SC EM EST. CONCRETO</t>
  </si>
  <si>
    <t xml:space="preserve">3.8.1.022 - Elementos de fixação</t>
  </si>
  <si>
    <t xml:space="preserve">29.02.0026</t>
  </si>
  <si>
    <t xml:space="preserve">CAMA BELICHE</t>
  </si>
  <si>
    <t xml:space="preserve">17.02.0685</t>
  </si>
  <si>
    <t xml:space="preserve">CONECTOR PARALELO COM 3 PARAFUSOS 34,5 KV, EM LIGA DE ALUMÍNIOCOMPATÍVEL P/CABOS DE ALUMÍNIO</t>
  </si>
  <si>
    <t xml:space="preserve">17.01.0210</t>
  </si>
  <si>
    <t xml:space="preserve">CABO ELETRICO FLEXIVEL 0,6/1KV 1 X 16,00MM2 COBRE PVC CLASSE 5 VERDE NBR 7288</t>
  </si>
  <si>
    <t xml:space="preserve">17.06.0045</t>
  </si>
  <si>
    <t xml:space="preserve">CABO ELETRICO FLEXIVEL DE COBRE ISOLADO 2X2,5 MM² 1KV CTL BL REF AFUMEX</t>
  </si>
  <si>
    <t xml:space="preserve">09.19.0064</t>
  </si>
  <si>
    <t xml:space="preserve">BLOQUETE PISO INTERTRAVADO DE CONCRETO, 20 CM X 10 CM, E = 8 CM, COR NATURAL</t>
  </si>
  <si>
    <t xml:space="preserve">29.01.1570</t>
  </si>
  <si>
    <t xml:space="preserve">BANCO DE BATERIAS, TIPO CHUMBO ÁCIDO ESTACIONÁRIO, 60 ELEMENTOS, TENSÃO NOMINAL 125VCC, CAPACIDADE NOMINAL 300AH/10H</t>
  </si>
  <si>
    <t xml:space="preserve">4.1.1.007 - Equipamentos e acessórios para informática</t>
  </si>
  <si>
    <t xml:space="preserve">17.02.0867</t>
  </si>
  <si>
    <t xml:space="preserve">CONECTOR DERIVAÇÃO “T”, LIGA COBRE ESTANHADO, APARAFUSADO, 1 CABO 120 MM² PASSAGEM + 1 CABO DERIVAÇÃO, TENSÃO 13,8 KV</t>
  </si>
  <si>
    <t xml:space="preserve">17.21.0111</t>
  </si>
  <si>
    <t xml:space="preserve">CONJUNTO DE FERRAGENS PARA FIXAÇÃO DE PR EM EST. CONCRETO</t>
  </si>
  <si>
    <t xml:space="preserve">29.02.0033</t>
  </si>
  <si>
    <t xml:space="preserve">ARMÁRIO ROUPEIRO INSALUBRE 2 COLUNAS 4 PORTAS GRANDES PITÃO PARA CADEADO</t>
  </si>
  <si>
    <t xml:space="preserve">17.01.0729</t>
  </si>
  <si>
    <t xml:space="preserve">CABO DE COBRE NÚ, MEIO DURO, EM CONFORMIDADE COM A NBR 6254, SEÇÃO 70MM2</t>
  </si>
  <si>
    <t xml:space="preserve">17.06.0043</t>
  </si>
  <si>
    <t xml:space="preserve">CABO ELETRICO FLEXIVEL DE COBRE ISOLADO 9X1,5 MM² 1KV CTL BL REF AFUMEX</t>
  </si>
  <si>
    <t xml:space="preserve">17.01.1248</t>
  </si>
  <si>
    <t xml:space="preserve">CABO ADSS 9.3 mm - 24 F.O</t>
  </si>
  <si>
    <t xml:space="preserve">17.01.1204</t>
  </si>
  <si>
    <t xml:space="preserve">CABO DE COBRE MONOPOLAR 70 MM², CLASSE 2, 8,7/15 KV, ISOLAÇÃO EPR, COBERTURA PVC PRETO, BLINDAGEM 25 MM²</t>
  </si>
  <si>
    <t xml:space="preserve">24.08.0055</t>
  </si>
  <si>
    <t xml:space="preserve">ALICATE PRENSA ELETRICO EPG45 BATERIA 18V CONEXEL</t>
  </si>
  <si>
    <t xml:space="preserve">3.8.2.002 - Ferramentas manuais</t>
  </si>
  <si>
    <t xml:space="preserve">01.09.0344</t>
  </si>
  <si>
    <t xml:space="preserve">PERFIL “C” ENRIJECIDO 75X40X15 CHAPA: 2,65MM 6000MM</t>
  </si>
  <si>
    <t xml:space="preserve">3.8.1.001 - Aços e trefilados</t>
  </si>
  <si>
    <t xml:space="preserve">17.16.3824</t>
  </si>
  <si>
    <t xml:space="preserve">EMENDA RETO CONTRÁTIL - CABO ISOLADO SEÇÃO 400 MM² - 8.7 / 15 KV - CONDUTOR COBRE COMPACTO, ISOLAÇÃO EM EPR 105°C</t>
  </si>
  <si>
    <t xml:space="preserve">26.12.0094</t>
  </si>
  <si>
    <t xml:space="preserve">FITA DE SINALIZAÇÃO ESCRITA "CUIDADO, REDE ELÉTRICA ABAIXO"</t>
  </si>
  <si>
    <t xml:space="preserve">4.3.4.002 - Equipamento de proteção e sinalização coletiva</t>
  </si>
  <si>
    <t xml:space="preserve">18.08.0218</t>
  </si>
  <si>
    <t xml:space="preserve">FILTRO ANAERÓBIO DE 10.000 L EM PEAD</t>
  </si>
  <si>
    <t xml:space="preserve">14.08.0001</t>
  </si>
  <si>
    <t xml:space="preserve">TENDA 3,00M X 3,00M</t>
  </si>
  <si>
    <t xml:space="preserve">17.16.0448</t>
  </si>
  <si>
    <t xml:space="preserve">TERMINAL BIMETÁLICO 400MM²</t>
  </si>
  <si>
    <t xml:space="preserve">17.01.1363</t>
  </si>
  <si>
    <t xml:space="preserve">CABO FLEXÍVEL ISOL. HEPR ENCH. PVC 0,6/1KV 70,00MM² PRETO</t>
  </si>
  <si>
    <t xml:space="preserve">17.24.0017</t>
  </si>
  <si>
    <t xml:space="preserve">SUPORTE PARA PAINÉIS DE CASA DE COMANDO</t>
  </si>
  <si>
    <t xml:space="preserve">17.06.0047</t>
  </si>
  <si>
    <t xml:space="preserve">CABO ELETRICO FLEXIVEL DE COBRE ISOLADO 12X2,5 MM² 1KV CTL BL REF AFUMEX</t>
  </si>
  <si>
    <t xml:space="preserve">29.03.0003</t>
  </si>
  <si>
    <t xml:space="preserve">AR CONDICIONADO 12000 BTU/H 220V SPLIT DIGITAL CICLO QUENTE/FRIO</t>
  </si>
  <si>
    <t xml:space="preserve">17.01.0936</t>
  </si>
  <si>
    <t xml:space="preserve">CABO COBRE NU 70MM² - TMD 7F</t>
  </si>
  <si>
    <t xml:space="preserve">05.01.0044</t>
  </si>
  <si>
    <t xml:space="preserve">CIMENTO CINZA CPV - ARI PLUS 40KG</t>
  </si>
  <si>
    <t xml:space="preserve">3.8.1.005 - Aglomerante</t>
  </si>
  <si>
    <t xml:space="preserve">25.19.0029</t>
  </si>
  <si>
    <t xml:space="preserve">BIG BAG EM POLIPROPILENO DE ALTA RESISTÊNCIA COM SAIA DE ENCHIM E FUNDO FECHADO CARGA MÁXIMA 1500KG</t>
  </si>
  <si>
    <t xml:space="preserve">3.1.1.001 - Material de uso e consumo</t>
  </si>
  <si>
    <t xml:space="preserve">17.06.0049</t>
  </si>
  <si>
    <t xml:space="preserve">CABO ELETRICO FLEXIVEL DE COBRE ISOLADO 4X6 MM² 1KV CTL BL REF AFUMEX</t>
  </si>
  <si>
    <t xml:space="preserve">17.06.0048</t>
  </si>
  <si>
    <t xml:space="preserve">CABO ELETRICO FLEXIVEL DE COBRE ISOLADO 2X6 MM² 1KV CTL BL REF AFUMEX</t>
  </si>
  <si>
    <t xml:space="preserve">29.03.0394</t>
  </si>
  <si>
    <t xml:space="preserve">VENTILADOR DE TETO PREMIUM 360 / 60CM  / 170W / 220V</t>
  </si>
  <si>
    <t xml:space="preserve">3.1.1.009 - Eletro eletrônico e acessórios</t>
  </si>
  <si>
    <t xml:space="preserve">24.24.0090</t>
  </si>
  <si>
    <t xml:space="preserve">CHAVE DE IMPACTO 1/2" COM DUAS BATERIAS DEWALT DCF922D2-BR</t>
  </si>
  <si>
    <t xml:space="preserve">3.8.2.003 - Ferramentas elétricas/pneumáticas</t>
  </si>
  <si>
    <t xml:space="preserve">17.11.1125</t>
  </si>
  <si>
    <t xml:space="preserve">FILTRO ÓLEO/ÁGUA P/BASE SKID - MOD. P-PIT 410</t>
  </si>
  <si>
    <t xml:space="preserve">17.05.0131</t>
  </si>
  <si>
    <t xml:space="preserve">TERMINAL DESCONECTAVEL RSTI 5854 15/25 KV, CB 95-240 MM, TE CONNECTIVITY, PARA CABO 240 MM, COM ACESSORIOS, CONFORME</t>
  </si>
  <si>
    <t xml:space="preserve">17.06.0054</t>
  </si>
  <si>
    <t xml:space="preserve">CABO ELÉTRICO DE COBRE FLEXÍVEL HEPR 0,6/1 KV 4 CONDUTORES 4,0 MM² COM BLINDAGEM EM COBRE</t>
  </si>
  <si>
    <t xml:space="preserve">17.06.0044</t>
  </si>
  <si>
    <t xml:space="preserve">CABO ELETRICO FLEXIVEL DE COBRE ISOLADO 15X1,5 MM² 1KV CTL BL REF AFUMEX</t>
  </si>
  <si>
    <t xml:space="preserve">17.01.0931</t>
  </si>
  <si>
    <t xml:space="preserve">CABO OPTICO CFOA-SM-DDR-S 24F LSZH - TERCEIROS</t>
  </si>
  <si>
    <t xml:space="preserve">18.01.1321</t>
  </si>
  <si>
    <t xml:space="preserve">TUBO PEAD LISO D=250 MM</t>
  </si>
  <si>
    <t xml:space="preserve">32.12.0242</t>
  </si>
  <si>
    <t xml:space="preserve">LASER HILTI PR 300-HV2S</t>
  </si>
  <si>
    <t xml:space="preserve">17.22.0109</t>
  </si>
  <si>
    <t xml:space="preserve">LAÇO PREFORMADO PARA AMARRAÇÃO DO CABO NU</t>
  </si>
  <si>
    <t xml:space="preserve">33.02.3178</t>
  </si>
  <si>
    <t xml:space="preserve">GRAMPO GUIA DE DESCIDA PARA CABOS 9.3 MM COM FITA DE AÇO INOX</t>
  </si>
  <si>
    <t xml:space="preserve">3.1.6.002 - Pneus e peças</t>
  </si>
  <si>
    <t xml:space="preserve">15.03.0049</t>
  </si>
  <si>
    <t xml:space="preserve">SIKA GROUT - 250</t>
  </si>
  <si>
    <t xml:space="preserve">3.8.1.015 - Impermeabilizantes</t>
  </si>
  <si>
    <t xml:space="preserve">18.11.0234</t>
  </si>
  <si>
    <t xml:space="preserve">EXTINTOR DE INCENDIO M500 50 L  10A:80B  SOBRE RODAS (CARRETA)</t>
  </si>
  <si>
    <t xml:space="preserve">4.3.4.005 - Combate incêndio</t>
  </si>
  <si>
    <t xml:space="preserve">09.08.0061</t>
  </si>
  <si>
    <t xml:space="preserve">TAMPA DE CONCRETO</t>
  </si>
  <si>
    <t xml:space="preserve">01.11.0306</t>
  </si>
  <si>
    <t xml:space="preserve">KIT DE CHAPA FINA A QUENTE 2,65 MM CORTADA A LASER</t>
  </si>
  <si>
    <t xml:space="preserve">17.16.3908</t>
  </si>
  <si>
    <t xml:space="preserve">TERMINAL DESCONECTAVEL RSTI 5851 15/25 KV, CB 35-70 MM, TE CONNECTIVITY, PARA CABO 70 MM, COM ACESSORIOS, CONFORME NBR</t>
  </si>
  <si>
    <t xml:space="preserve">30.05.0026</t>
  </si>
  <si>
    <t xml:space="preserve">ÁGUA MINERAL GARRAFAO 20L - PRODUTO</t>
  </si>
  <si>
    <t xml:space="preserve">4.3.6.007 - Refeições</t>
  </si>
  <si>
    <t xml:space="preserve">26.12.0132</t>
  </si>
  <si>
    <t xml:space="preserve">CAMISA PARA LANÇAMENTO DE CABO PARA SEÇÃO ATÉ 400M2</t>
  </si>
  <si>
    <t xml:space="preserve">09.21.0414</t>
  </si>
  <si>
    <t xml:space="preserve">CRUZETA DE FIBRA DE VIDRO RETA - 90X90X2000MM - 400 DAN</t>
  </si>
  <si>
    <t xml:space="preserve">24.24.0099</t>
  </si>
  <si>
    <t xml:space="preserve">CHAVE DE IMPACTO GDS18V-400 1/2" 18V C/ 2 BATERIAIS 4,0AH CARREGADOR E MALETA - BOSCH</t>
  </si>
  <si>
    <t xml:space="preserve">17.16.3823</t>
  </si>
  <si>
    <t xml:space="preserve">CONECTOR DERIVAÇÃO “T”, LIGA COBRE ESTANHADO, 2 CABOS 120 MM² PASSAGEM (ESPAÇADOS 200 MM) + 1 CABO DERIVAÇÃO</t>
  </si>
  <si>
    <t xml:space="preserve">14.08.0004</t>
  </si>
  <si>
    <t xml:space="preserve">TENDA 6,00M X 6,00M EM AÇO GALVANIZADO A FOGO ANTI FERRUGEM, PVC 650 GR ANTI FOGO, ANTI ÁCARO, ANTI</t>
  </si>
  <si>
    <t xml:space="preserve">28.01.0716</t>
  </si>
  <si>
    <t xml:space="preserve">PLACA DE SINALIZAÇÃO 80X66CM - CHAPA DE ZINCO - COM CAVALETE</t>
  </si>
  <si>
    <t xml:space="preserve">3.8.1.023 - Comunicação visual e sinalização</t>
  </si>
  <si>
    <t xml:space="preserve">01.09.0408</t>
  </si>
  <si>
    <t xml:space="preserve">CONJUNTO DE FERRAGENS EM ACO GALVANIZADO PARA SUPORTE DOS CABOS</t>
  </si>
  <si>
    <t xml:space="preserve">29.02.0365</t>
  </si>
  <si>
    <t xml:space="preserve">BELICHE (CAMA)</t>
  </si>
  <si>
    <t xml:space="preserve">09.16.0027</t>
  </si>
  <si>
    <t xml:space="preserve">MOURÃO RETO PRÉ-MOLDADO DE CONCRETO H=3M</t>
  </si>
  <si>
    <t xml:space="preserve">14.02.0060</t>
  </si>
  <si>
    <t xml:space="preserve">CUMEEIRA ARTICULADA DE FIBROCIMENTO SEM AMIANTO PARA TELHA CANALETE 49</t>
  </si>
  <si>
    <t xml:space="preserve">29.03.0398</t>
  </si>
  <si>
    <t xml:space="preserve">AR CONDICIONADO - CAPACIDADE 30.000 BTU/H - 220V</t>
  </si>
  <si>
    <t xml:space="preserve">06.01.0065</t>
  </si>
  <si>
    <t xml:space="preserve">ADITIVO REDUTOR DE ÁGUA (Sika® Plastocrete®-100 RM) NBR 11768</t>
  </si>
  <si>
    <t xml:space="preserve">3.8.1.006 - Aditivos e produtos químicos</t>
  </si>
  <si>
    <t xml:space="preserve">34.02.1202</t>
  </si>
  <si>
    <t xml:space="preserve">RESERVATÓRIO P/ GASOLINA</t>
  </si>
  <si>
    <t xml:space="preserve">18.08.0221</t>
  </si>
  <si>
    <t xml:space="preserve">FOSSA SÉPTICA DE 10.000 L EM PEAD</t>
  </si>
  <si>
    <t xml:space="preserve">10.08.0015</t>
  </si>
  <si>
    <t xml:space="preserve">PISO ELEVADO METÁLICO COM LONGARINAS, PEDESTAIS REGULÁVEIS E ACABAMENTO VINÍLICO 600MM×600MMX30MM</t>
  </si>
  <si>
    <t xml:space="preserve">15.03.0067</t>
  </si>
  <si>
    <t xml:space="preserve">ADITIVO SIKA SIKAPLAST 950 FLOOR</t>
  </si>
  <si>
    <t xml:space="preserve">17.20.0036</t>
  </si>
  <si>
    <t xml:space="preserve">HASTE DE COBRE PARA ATERRAMENTO Ø 3/4" MM X 3,00M</t>
  </si>
  <si>
    <t xml:space="preserve">17.02.0022</t>
  </si>
  <si>
    <t xml:space="preserve">ELETRODUTO PEAD 50,00MM (1.1/2") X 50,00M  NBR 15715</t>
  </si>
  <si>
    <t xml:space="preserve">17.01.0187</t>
  </si>
  <si>
    <t xml:space="preserve">CABO ELETRICO FLEXIVEL 0,6/1KV 1 X 10,00MM2 COBRE PVC CLASSE 5 VERDE NBR 7288</t>
  </si>
  <si>
    <t xml:space="preserve">26.01.0062</t>
  </si>
  <si>
    <t xml:space="preserve">UNIFORME ELETRICISTA - VESTIMENTA DE SEGURANÇA NR10 (CALÇA E CAMISA) - ATPV 11,3 CAL/CM² TAMANHO G</t>
  </si>
  <si>
    <t xml:space="preserve">4.3.4.001 - Equipamento de proteção individual</t>
  </si>
  <si>
    <t xml:space="preserve">18.01.0912</t>
  </si>
  <si>
    <t xml:space="preserve">TUBO PEAD PARA DRENAGEM DI 1200MM DNIT 094</t>
  </si>
  <si>
    <t xml:space="preserve">17.01.1232</t>
  </si>
  <si>
    <t xml:space="preserve">CABO ELETRICO FLEXIVEL 0,6/1KV 1 X 25,00MM2 COBRE PVC CLASSE 5 VERDE NBR 7288</t>
  </si>
  <si>
    <t xml:space="preserve">05.01.0039</t>
  </si>
  <si>
    <t xml:space="preserve">CIMENTO PORTLAND CP II (50KG)</t>
  </si>
  <si>
    <t xml:space="preserve">17.20.0235</t>
  </si>
  <si>
    <t xml:space="preserve">FERRAGEM PARA PARA-RAIO</t>
  </si>
  <si>
    <t xml:space="preserve">32.08.0005</t>
  </si>
  <si>
    <t xml:space="preserve">TRANSFORMADOR TRIFÁSICO 112,5KVA 13800V  -  380/220V 60HZ</t>
  </si>
  <si>
    <t xml:space="preserve">17.02.0852</t>
  </si>
  <si>
    <t xml:space="preserve">CHAVE SECCIONADORA MONOPOLAR 15 KV - 630 A</t>
  </si>
  <si>
    <t xml:space="preserve">25.19.0028</t>
  </si>
  <si>
    <t xml:space="preserve">SACO PARA VESTIR PALETE - KIT 50 UND</t>
  </si>
  <si>
    <t xml:space="preserve">3.8.2.006 - Utensílios</t>
  </si>
  <si>
    <t xml:space="preserve">18.02.0728</t>
  </si>
  <si>
    <t xml:space="preserve">TUBO QUADRADO 30 X 30 PAREDE 1,2 MM BARRA 6 M</t>
  </si>
  <si>
    <t xml:space="preserve">17.02.0325</t>
  </si>
  <si>
    <t xml:space="preserve">ELETRODUTO PEAD CORRUGADO DE 40MM</t>
  </si>
  <si>
    <t xml:space="preserve">32.08.0083</t>
  </si>
  <si>
    <t xml:space="preserve">TRANSFORMADOR TRIFÁSICO DE POTÊNCIA EM MÉDIA TENSÃO PARA INSTALAÇÃO AO TEMPO, A ÓLEO, 13.800-380/220V, 60HZ, POTÊNCIA NO</t>
  </si>
  <si>
    <t xml:space="preserve">17.06.0046</t>
  </si>
  <si>
    <t xml:space="preserve">CABO ELETRICO FLEXIVEL DE COBRE ISOLADO 4X2,5 MM² 1KV CTL BL REF AFUMEX</t>
  </si>
  <si>
    <t xml:space="preserve">09.21.0413</t>
  </si>
  <si>
    <t xml:space="preserve">POSTE DE CONCRETO SEÇÃO DUPLO “T”, ALTURA TOTAL IGUAL A 11,00 M, RESISTÊNCIA NOMINAL IGUAL A 1.500 KG, 1,70M ENGASTADO</t>
  </si>
  <si>
    <t xml:space="preserve">06.03.0030</t>
  </si>
  <si>
    <t xml:space="preserve">MANTA GEOTÊXTIL OP-20 (200G/M²) PARA ENVOLTÓRIA DOS DRENOS</t>
  </si>
  <si>
    <t xml:space="preserve">17.01.1391</t>
  </si>
  <si>
    <t xml:space="preserve">CABO MULTIPLEXADO DE ALUMINIO COM ISOLACAO HEPR 0,6/1KV DE 4X150MM</t>
  </si>
  <si>
    <t xml:space="preserve">26.01.0061</t>
  </si>
  <si>
    <t xml:space="preserve">UNIFORME ELETRICISTA - VESTIMENTA DE SEGURANÇA NR10 (CALÇA E CAMISA) - ATPV 11,3 CAL/CM² TAMANHO M</t>
  </si>
  <si>
    <t xml:space="preserve">06.07.0007</t>
  </si>
  <si>
    <t xml:space="preserve">RESINA EPÓXI PARA PROTEÇÃO SUPERFICIAL DE ALTO DESEMPENHO - MC COLOR PROOF VISION 12KG</t>
  </si>
  <si>
    <t xml:space="preserve">19.02.0015</t>
  </si>
  <si>
    <t xml:space="preserve">MICTORIO SEM SIFÃO DE DESCARGA AUTOMÁTICA</t>
  </si>
  <si>
    <t xml:space="preserve">17.01.0702</t>
  </si>
  <si>
    <t xml:space="preserve">CABO DE COBRE NU 35MM2 7 FIOS</t>
  </si>
  <si>
    <t xml:space="preserve">17.20.0242</t>
  </si>
  <si>
    <t xml:space="preserve">TERMINAL DESCONECTÁVEL BLINDADO CL 36KV, CORPO EM T, C/CONECTOR TERM BIMETÁLICO A COMPR E ADAPTADOR P/CABO AL. 150 MM2</t>
  </si>
  <si>
    <t xml:space="preserve">17.06.0052</t>
  </si>
  <si>
    <t xml:space="preserve">CABO ELETRICO FLEXIVEL DE COBRE ISOLADO 4X10 MM² 1KV CTL REF AFUMEX</t>
  </si>
  <si>
    <t xml:space="preserve">26.10.0002</t>
  </si>
  <si>
    <t xml:space="preserve">PERNEIRA BIDIM (PERNEIRA FLORESTAL) C/ VELCRO (CA-14750/11410/17136)</t>
  </si>
  <si>
    <t xml:space="preserve">29.02.0001</t>
  </si>
  <si>
    <t xml:space="preserve">CADEIRA ESCRITÓRIO SECRETÁRIA GIRATÓRIA C/BRAÇO</t>
  </si>
  <si>
    <t xml:space="preserve">18.01.0827</t>
  </si>
  <si>
    <t xml:space="preserve">TUBO PEAD PARA DRENAGEM 600MM X 6,00M DNIT 094</t>
  </si>
  <si>
    <t xml:space="preserve">06.01.0116</t>
  </si>
  <si>
    <t xml:space="preserve">IMPERMEABILIZANTE EPOXI</t>
  </si>
  <si>
    <t xml:space="preserve">17.16.3818</t>
  </si>
  <si>
    <t xml:space="preserve">CONECTOR SUPORTE PASSANTE, LIGA COBRE ESTANHADO, APARAFUSADO, 1 CABO 120 MM², FIXAÇÃO IP Ø 76,2 MM, FUROS M12x1,75 MM 16</t>
  </si>
  <si>
    <t xml:space="preserve">19.01.0065</t>
  </si>
  <si>
    <t xml:space="preserve">PERFIL U LAMINADO EM AÇO 6" COM PESO 12,20 KG/M</t>
  </si>
  <si>
    <t xml:space="preserve">18.01.1580</t>
  </si>
  <si>
    <t xml:space="preserve">TUBO PEAD PERFURADO 200 MM</t>
  </si>
  <si>
    <t xml:space="preserve">24.08.0088</t>
  </si>
  <si>
    <t xml:space="preserve">ALICATE CRIMPADOR HIDRÁULICO A BATERIA 18V VONDER ACV 400B</t>
  </si>
  <si>
    <t xml:space="preserve">29.02.0394</t>
  </si>
  <si>
    <t xml:space="preserve">MESA DE ESCRITÓRIO COM DUAS GAVETAS EM MADEIRA MDF, COM COR CINZA</t>
  </si>
  <si>
    <t xml:space="preserve">17.14.0033</t>
  </si>
  <si>
    <t xml:space="preserve">CÂMERA CORPORAL 4K B4K5 128GB 3400MAH IP68 COM VISÃO NOTURNA E GPS</t>
  </si>
  <si>
    <t xml:space="preserve">18.04.0085</t>
  </si>
  <si>
    <t xml:space="preserve">TUBO PEAD LISO DIÂMETRO 110 MM</t>
  </si>
  <si>
    <t xml:space="preserve">17.01.1002</t>
  </si>
  <si>
    <t xml:space="preserve">CABO DE AÇO COBREADO 70MM²  30% IACS LCA 7 OU 19 FIOS</t>
  </si>
  <si>
    <t xml:space="preserve">09.21.0417</t>
  </si>
  <si>
    <t xml:space="preserve">POSTE ESCORA 2 CH 16 GALV 3,00 MTS</t>
  </si>
  <si>
    <t xml:space="preserve">17.16.0669</t>
  </si>
  <si>
    <t xml:space="preserve">CONECTOR DE COBRE ESTANHADO, PARA DERIVAÇÃO PARALELA DE 2 CABOS 50 A 150 mm²</t>
  </si>
  <si>
    <t xml:space="preserve">29.02.0130</t>
  </si>
  <si>
    <t xml:space="preserve">ARMARIO ALTO COM 02 E 03 DIVISÓRIAS</t>
  </si>
  <si>
    <t xml:space="preserve">20.02.0014</t>
  </si>
  <si>
    <t xml:space="preserve">MEIO FIO EM CONCRETO - MFC 03</t>
  </si>
  <si>
    <t xml:space="preserve">1.1.1.003 - Estruturas pré-moldadas de concreto</t>
  </si>
  <si>
    <t xml:space="preserve">23.10.0074</t>
  </si>
  <si>
    <t xml:space="preserve">CHUMBADOR QUIMICO M20 X 150 MM TIPO HILTI HAS, HDG, ACO CARBONO CLASSE 8.8</t>
  </si>
  <si>
    <t xml:space="preserve">17.16.0221</t>
  </si>
  <si>
    <t xml:space="preserve">CONECTOR BIMETÁLICO TORQUIMETRO 2 FUROS 150 MM2</t>
  </si>
  <si>
    <t xml:space="preserve">17.02.0887</t>
  </si>
  <si>
    <t xml:space="preserve">CONECTOR MACHO FIXO PARA ELETRODUTO METÁLICO FLEXÍVEL, COM PORCA, Ø 3" BSP.</t>
  </si>
  <si>
    <t xml:space="preserve">01.12.0353</t>
  </si>
  <si>
    <t xml:space="preserve">TUBO METALON RETANGULAR 50MM X 30MM CH 16</t>
  </si>
  <si>
    <t xml:space="preserve">17.06.0050</t>
  </si>
  <si>
    <t xml:space="preserve">CABO ELETRICO FLEXIVEL DE COBRE ISOLADO 2X2,5 MM² 1KV CTL REF AFUMEX</t>
  </si>
  <si>
    <t xml:space="preserve">24.32.0002</t>
  </si>
  <si>
    <t xml:space="preserve">PALLETS DE MADEIRA PARA ESTOCAGEM DUPLA FACE REVERSÍVEL ALT 12CM X LAR 100CM X COMP 120CM</t>
  </si>
  <si>
    <t xml:space="preserve">6.1.2.002 - Ferramentas e utensílios</t>
  </si>
  <si>
    <t xml:space="preserve">29.03.0236</t>
  </si>
  <si>
    <t xml:space="preserve">SECADOR DE MÃO ELÉTRICO</t>
  </si>
  <si>
    <t xml:space="preserve">17.02.0883</t>
  </si>
  <si>
    <t xml:space="preserve">ELETRODUTO DE ALUMÍNIO COM ROSCA, TIPO PESADO, Ø 3" BSP, VARA DE 3,00 M</t>
  </si>
  <si>
    <t xml:space="preserve">17.11.1124</t>
  </si>
  <si>
    <t xml:space="preserve">REFLETOR LED 250 220V, 90°, EXTERNO, IP66 IK08, ALUMÍNIO, FLUXO 37550 LM, 5000K, IRC&gt;70</t>
  </si>
  <si>
    <t xml:space="preserve">29.01.1266</t>
  </si>
  <si>
    <t xml:space="preserve">RACK OUTDOOR 10U 350MM SECUNDÁRIO EXTERNO</t>
  </si>
  <si>
    <t xml:space="preserve">29.03.0045</t>
  </si>
  <si>
    <t xml:space="preserve">AR CONDICIONADO 9000 BTU/H 220V SPLIT</t>
  </si>
  <si>
    <t xml:space="preserve">02.03.0002</t>
  </si>
  <si>
    <t xml:space="preserve">ARAME FARPADO AÇO CARBONO 1,60MM GALVANIZACAO LEVE ROLO 500,00M</t>
  </si>
  <si>
    <t xml:space="preserve">17.16.3814</t>
  </si>
  <si>
    <t xml:space="preserve">CONECTOR TORQUIMÉTRICO PARA CABO CU 400 MM² REDONDO COMPACTO</t>
  </si>
  <si>
    <t xml:space="preserve">24.41.0400</t>
  </si>
  <si>
    <t xml:space="preserve">TÓRQUÍMETRO DE ESTALO COM CATRACA 1/2",20-100 NM - GEDORE RED CALIBRADO</t>
  </si>
  <si>
    <t xml:space="preserve">29.01.1324</t>
  </si>
  <si>
    <t xml:space="preserve">ACESS POINT UBIQUITI UNIFI UAP-AC-PRO C/ FONTE</t>
  </si>
  <si>
    <t xml:space="preserve">03.04.0024</t>
  </si>
  <si>
    <t xml:space="preserve">BARROTE MADEIRA MASSARANDUBA 6CM X 6CM X 3,00M</t>
  </si>
  <si>
    <t xml:space="preserve">3.8.1.003 - Madeira</t>
  </si>
  <si>
    <t xml:space="preserve">23.10.0055</t>
  </si>
  <si>
    <t xml:space="preserve">CHUMBADOR PARABOLT 1/2" COM OLHAL DE ROSCA</t>
  </si>
  <si>
    <t xml:space="preserve">26.13.0007</t>
  </si>
  <si>
    <t xml:space="preserve">CALÇA COM ELÁSTICO TAMANHO G - 4 BOLSOS, FORRO NO JOELHO, 02 ARGOLAS REFLETIVAS ABAIXO DO JOELHO, CO</t>
  </si>
  <si>
    <t xml:space="preserve">4.3.4.003 - Fardamentos</t>
  </si>
  <si>
    <t xml:space="preserve">32.12.0194</t>
  </si>
  <si>
    <t xml:space="preserve">MEGOMETROS MD 5060X 5KV MEGABRAS 50C 5TO 5KV BATERIA RECARREGAVEL INTERNA (12 V 3000 MAH)</t>
  </si>
  <si>
    <t xml:space="preserve">4.1.1.011 - Instrumentos para medição</t>
  </si>
  <si>
    <t xml:space="preserve">26.06.0056</t>
  </si>
  <si>
    <t xml:space="preserve">LUVA NITRÍLICA IMPERMEÁVEL COR VERDE (CA 32738)</t>
  </si>
  <si>
    <t xml:space="preserve">09.21.0402</t>
  </si>
  <si>
    <t xml:space="preserve">POSTE B-3/1500/11M</t>
  </si>
  <si>
    <t xml:space="preserve">17.20.0152</t>
  </si>
  <si>
    <t xml:space="preserve">SOLDA EXOTÉRMICA Nº 200 PLUS F20</t>
  </si>
  <si>
    <t xml:space="preserve">32.09.0063</t>
  </si>
  <si>
    <t xml:space="preserve">BOMBA SUBMERSÍVEL P/ MANGOTE BF3"</t>
  </si>
  <si>
    <t xml:space="preserve">17.03.0613</t>
  </si>
  <si>
    <t xml:space="preserve">ELETROCALHA TIPO U PERFURADA 200X100MM COMPRIMENTO 3,0M</t>
  </si>
  <si>
    <t xml:space="preserve">19.03.0090</t>
  </si>
  <si>
    <t xml:space="preserve">CUBA QUADRADA INOX 600X600 COM VÁLVULA</t>
  </si>
  <si>
    <t xml:space="preserve">26.01.0063</t>
  </si>
  <si>
    <t xml:space="preserve">UNIFORME ELETRICISTA - VESTIMENTA DE SEGURANÇA NR10 (CALÇA E CAMISA) - ATPV 11,3 CAL/CM² TAMANHO GG</t>
  </si>
  <si>
    <t xml:space="preserve">17.01.1320</t>
  </si>
  <si>
    <t xml:space="preserve">CABO FLEXÍVEL ISOL. HEPR ENCH. PVC 0,6/1KV 16,00MM² PRETO</t>
  </si>
  <si>
    <t xml:space="preserve">02.01.0086</t>
  </si>
  <si>
    <t xml:space="preserve">TELA ARAME GALVANIZADO FIO 12 - 2,76MM</t>
  </si>
  <si>
    <t xml:space="preserve">17.08.0251</t>
  </si>
  <si>
    <t xml:space="preserve">QUADRO DE DISTRIBUICAO METALICO PARA ATE 20 DISJUNTORES COM BARRAMENTO DE NEUTRO E TERRA PARA BAIXA TENSAO</t>
  </si>
  <si>
    <t xml:space="preserve">32.12.0140</t>
  </si>
  <si>
    <t xml:space="preserve">MULTIMETRO DIGIT. FLUKE 87-V AC/DC 600V/1000V CAT IV/III 10A TEMP.1090°C FLUKE 87-V 2074974 F</t>
  </si>
  <si>
    <t xml:space="preserve">26.06.0023</t>
  </si>
  <si>
    <t xml:space="preserve">LUVA DE VAQUETA - TAM G (CA-12059/16474/9455/7384)</t>
  </si>
  <si>
    <t xml:space="preserve">32.12.0089</t>
  </si>
  <si>
    <t xml:space="preserve">OPACÍMETRO SMOKE CHECK 2000</t>
  </si>
  <si>
    <t xml:space="preserve">17.02.0216</t>
  </si>
  <si>
    <t xml:space="preserve">MANILHA SAPATILHA AÇO 5000 DAN</t>
  </si>
  <si>
    <t xml:space="preserve">08.02.0089</t>
  </si>
  <si>
    <t xml:space="preserve">BLOCO VEDAÇÃO 19X19X39CM 4MPA</t>
  </si>
  <si>
    <t xml:space="preserve">3.8.1.008 - Blocos, painéis e divisórias</t>
  </si>
  <si>
    <t xml:space="preserve">33.02.0084</t>
  </si>
  <si>
    <t xml:space="preserve">ESTICADOR</t>
  </si>
  <si>
    <t xml:space="preserve">18.11.0233</t>
  </si>
  <si>
    <t xml:space="preserve">EXTINTOR M500 9 L  3A:40B  PORTATIL</t>
  </si>
  <si>
    <t xml:space="preserve">17.01.1210</t>
  </si>
  <si>
    <t xml:space="preserve">CABO COPPERSTEEL 16 MM² 40% IACS</t>
  </si>
  <si>
    <t xml:space="preserve">03.10.0022</t>
  </si>
  <si>
    <t xml:space="preserve">POSTE EUCALIPTO 10.00 X 18A20</t>
  </si>
  <si>
    <t xml:space="preserve">19.01.0006</t>
  </si>
  <si>
    <t xml:space="preserve">BACIA SANITARIA CAIXA ACOPLADA SAIDA VERTICAL LOUCA BOTAO CONVENCIONAL BRANCO</t>
  </si>
  <si>
    <t xml:space="preserve">17.02.0896</t>
  </si>
  <si>
    <t xml:space="preserve">ELETRODUTO PEAD FLEXÍVEL - DIÂM. INT. 63 MM</t>
  </si>
  <si>
    <t xml:space="preserve">17.20.0263</t>
  </si>
  <si>
    <t xml:space="preserve">TERMINAÇÃO CONTRÁTIL A FRIO, FABRICADA EM BORRACHA Á BASE DE SILICONE COM ALÍVIO DE TENSÃO E VEDAÇÃO, USO INTERNO/EXTERN</t>
  </si>
  <si>
    <t xml:space="preserve">29.02.0364</t>
  </si>
  <si>
    <t xml:space="preserve">CADEIRA DE PLÁSTICO SEM BRAÇO</t>
  </si>
  <si>
    <t xml:space="preserve">01.09.0388</t>
  </si>
  <si>
    <t xml:space="preserve">PERFIL TUBULAR LAMINADO 100X100X2,25MM</t>
  </si>
  <si>
    <t xml:space="preserve">18.01.1642</t>
  </si>
  <si>
    <t xml:space="preserve">TUBO PEAD CORRUGADO NÃO PERFURADO 200 MM</t>
  </si>
  <si>
    <t xml:space="preserve">26.13.0003</t>
  </si>
  <si>
    <t xml:space="preserve">BATA MANGA LONGA TAMANHO G - FORRO NO OMBRO, GOLA COM VELCRO, 3 BOLSOS, LOGOMARCA NAS COSTAS, 02 ARG</t>
  </si>
  <si>
    <t xml:space="preserve">26.13.0006</t>
  </si>
  <si>
    <t xml:space="preserve">CALÇA COM ELÁSTICO TAMANHO M - 4 BOLSOS, FORRO NO JOELHO, 02 ARGOLAS REFLETIVAS ABAIXO DO JOELHO, CO</t>
  </si>
  <si>
    <t xml:space="preserve">17.06.0051</t>
  </si>
  <si>
    <t xml:space="preserve">CABO ELETRICO FLEXIVEL DE COBRE ISOLADO 2X4 MM² 1KV CTL REF AFUMEX</t>
  </si>
  <si>
    <t xml:space="preserve">32.12.0018</t>
  </si>
  <si>
    <t xml:space="preserve">VARA DE MANOBRA COM EXTREMIDADE PARA DESLIGAMENTO DE CHAVE  VISIVEL  COM BOLSA NBR 10283</t>
  </si>
  <si>
    <t xml:space="preserve">26.01.0060</t>
  </si>
  <si>
    <t xml:space="preserve">UNIFORME ELETRICISTA - VESTIMENTA DE SEGURANÇA NR10 (CALÇA E CAMISA) - ATPV 11,3 CAL/CM² TAMANHO P</t>
  </si>
  <si>
    <t xml:space="preserve">01.11.0311</t>
  </si>
  <si>
    <t xml:space="preserve">CHAPA DE AÇO SAE 1020 150 X 40 X 4MM</t>
  </si>
  <si>
    <t xml:space="preserve">17.21.0114</t>
  </si>
  <si>
    <t xml:space="preserve">CONJUNTO DE FERRAGENS PARA FIXAÇÃO DE TP EM EST. CONCRETO</t>
  </si>
  <si>
    <t xml:space="preserve">17.01.1224</t>
  </si>
  <si>
    <t xml:space="preserve">CABO TRIPOLAR POTÊNCIA 2,5 MM², FLEXÍVEL COBRE, EPR, 0,6/1KV, PVC PRETO, 3 VIAS</t>
  </si>
  <si>
    <t xml:space="preserve">17.06.0042</t>
  </si>
  <si>
    <t xml:space="preserve">CABO ELETRICO FLEXIVEL DE COBRE ISOLADO 2X1,5 MM² 1KV CTL BL REF AFUMEX</t>
  </si>
  <si>
    <t xml:space="preserve">17.02.0353</t>
  </si>
  <si>
    <t xml:space="preserve">EMENDAS PARA CABOS ISOLADOS</t>
  </si>
  <si>
    <t xml:space="preserve">17.16.0530</t>
  </si>
  <si>
    <t xml:space="preserve">TERMINAL OLHAL A COMPRESSÃO 300MM²</t>
  </si>
  <si>
    <t xml:space="preserve">15.05.0015</t>
  </si>
  <si>
    <t xml:space="preserve">IMPERMEABILIZANTE ASFÁLTICO DISPERSO EM ÁGUA (IGOL - 2 DA SIKA OU SIMILAR) LATA DE 18L</t>
  </si>
  <si>
    <t xml:space="preserve">32.02.0311</t>
  </si>
  <si>
    <t xml:space="preserve">MOTOR P/ VIBRADOR A GASOLINA BRANCO B 4T - 6,5HP</t>
  </si>
  <si>
    <t xml:space="preserve">08.02.0033</t>
  </si>
  <si>
    <t xml:space="preserve">BLOCO CONCRETO DE 14X19X39 ATÉ 4 MPA</t>
  </si>
  <si>
    <t xml:space="preserve">17.01.1251</t>
  </si>
  <si>
    <t xml:space="preserve">CABO COBRE ISOLADO 450/750 V, 70 MM², TÊMPERA MOLE, ENCORDOA CLAS 2, FORM 19 FIOS 2,12 MM, DN 10,70 MM, MASSA 0,682 KG/M</t>
  </si>
  <si>
    <t xml:space="preserve">33.02.3177</t>
  </si>
  <si>
    <t xml:space="preserve">GRAMPO PARALELO BIMETÁLICO PARA CABOS DE 16 A 95 MM²</t>
  </si>
  <si>
    <t xml:space="preserve">01.11.0305</t>
  </si>
  <si>
    <t xml:space="preserve">KIT DE CHAPA 1/2 CORTADA A LASER</t>
  </si>
  <si>
    <t xml:space="preserve">13.02.0366</t>
  </si>
  <si>
    <t xml:space="preserve">GRADE DE VENTILAÇÃO EM POLIPROPILENO</t>
  </si>
  <si>
    <t xml:space="preserve">26.13.0055</t>
  </si>
  <si>
    <t xml:space="preserve">MACACÃO BRANCO EM DUPONTTM TYVEK - TRAT. ANTIEST. - C/ ABERT. FRONT. E FECHAM. C/ Z – TAM. – “GG”</t>
  </si>
  <si>
    <t xml:space="preserve">09.21.0420</t>
  </si>
  <si>
    <t xml:space="preserve">POSTE PRFV CIRCULAR CONICO TOPO QUADRADO 11 M 600 DAN</t>
  </si>
  <si>
    <t xml:space="preserve">30.03.0147</t>
  </si>
  <si>
    <t xml:space="preserve">KIT COLETA SELETIVA 50L COM ABERTURA FRONTAL E SUPORTE</t>
  </si>
  <si>
    <t xml:space="preserve">4.1.1.001 - Material de uso e consumo</t>
  </si>
  <si>
    <t xml:space="preserve">17.16.0500</t>
  </si>
  <si>
    <t xml:space="preserve">KIT DE CONECTORES MC4, 1500V, MACHO E FÊMEA, SEÇÃO 6MM²</t>
  </si>
  <si>
    <t xml:space="preserve">25.21.0002</t>
  </si>
  <si>
    <t xml:space="preserve">CATRACA ELETRÔNICA</t>
  </si>
  <si>
    <t xml:space="preserve">26.09.0027</t>
  </si>
  <si>
    <t xml:space="preserve">PROTETOR SOLAR FPS 60 COM REPELENTE 2,0L</t>
  </si>
  <si>
    <t xml:space="preserve">17.01.1388</t>
  </si>
  <si>
    <t xml:space="preserve">CABO DE INSTRUMENTAÇÃO FLEXÍVEL PVC 300V 4 CONDUTORES 18 AWG COM BLINDAGEM EM FITA DE ALUMÍNIO</t>
  </si>
  <si>
    <t xml:space="preserve">24.41.0401</t>
  </si>
  <si>
    <t xml:space="preserve">TÓRQUIMETRO DE ESTALO COM CATRACA 1/2",5-25 NM - GEDORE RED CALIBRADO</t>
  </si>
  <si>
    <t xml:space="preserve">32.12.0243</t>
  </si>
  <si>
    <t xml:space="preserve">INCLINOMETRO DIGITAL BOSH 50M</t>
  </si>
  <si>
    <t xml:space="preserve">17.02.0309</t>
  </si>
  <si>
    <t xml:space="preserve">ELETRODUTO CORRUGADO PEAD 63 MM</t>
  </si>
  <si>
    <t xml:space="preserve">14.01.0003</t>
  </si>
  <si>
    <t xml:space="preserve">TELHA COLONIAL VERMELHA 47CM X 18CM X 14CM</t>
  </si>
  <si>
    <t xml:space="preserve">03.05.0071</t>
  </si>
  <si>
    <t xml:space="preserve">LINHA DE MADEIRA 6 CM X 20 CM X 6 METROS</t>
  </si>
  <si>
    <t xml:space="preserve">18.01.1579</t>
  </si>
  <si>
    <t xml:space="preserve">TUBO PEAD PERFURADO 150 MM</t>
  </si>
  <si>
    <t xml:space="preserve">13.06.0323</t>
  </si>
  <si>
    <t xml:space="preserve">FECHADURA ALIANCA PREMIUM EXT</t>
  </si>
  <si>
    <t xml:space="preserve">3.8.1.013 - Esquadrias e vidros</t>
  </si>
  <si>
    <t xml:space="preserve">17.01.1287</t>
  </si>
  <si>
    <t xml:space="preserve">CABO FLEXIVEL ATOX 25MM X 0,6/1 kV PRETO HEPR 90C - NBR 7286</t>
  </si>
  <si>
    <t xml:space="preserve">29.03.0197</t>
  </si>
  <si>
    <t xml:space="preserve">MAQUINA DE LAVAR 15 KG</t>
  </si>
  <si>
    <t xml:space="preserve">17.02.0866</t>
  </si>
  <si>
    <t xml:space="preserve">CONECTOR TERMINAL 90° 1 CABO 120 MM², 2 FUROS NEMA, TENSÃO 13,8 KV</t>
  </si>
  <si>
    <t xml:space="preserve">24.30.0047</t>
  </si>
  <si>
    <t xml:space="preserve">CARRO PLATAFORMA CAPACIDADE 800KG PNEUS DE EVA</t>
  </si>
  <si>
    <t xml:space="preserve">24.24.0059</t>
  </si>
  <si>
    <t xml:space="preserve">FURADEIRA/PARAFUSADEIRA À BATERIA 18V</t>
  </si>
  <si>
    <t xml:space="preserve">1.2.1.002 - Máquinas e equipamentos</t>
  </si>
  <si>
    <t xml:space="preserve">04.02.0042</t>
  </si>
  <si>
    <t xml:space="preserve">BRITTA 1" (25MM) - ENSACADA</t>
  </si>
  <si>
    <t xml:space="preserve">3.8.1.004 - Agregados</t>
  </si>
  <si>
    <t xml:space="preserve">23.15.0038</t>
  </si>
  <si>
    <t xml:space="preserve">FITA EM AÇO INOX - 1/2" ESPESSURA 0,5MM (C/ FECHO)</t>
  </si>
  <si>
    <t xml:space="preserve">17.02.0028</t>
  </si>
  <si>
    <t xml:space="preserve">ELETRODUTO PEAD 125,00MM (5") X 50,00M  NBR 15715</t>
  </si>
  <si>
    <t xml:space="preserve">01.05.0008</t>
  </si>
  <si>
    <t xml:space="preserve">TELA SOLDADA AÇO CA-60 NERVURADO Q 196 10,00CM X 10,00CM FIO 5,0MM PAINEL 2,45M X 6,00M (3,11KG/M2) NBR 7481</t>
  </si>
  <si>
    <t xml:space="preserve">17.20.0704</t>
  </si>
  <si>
    <t xml:space="preserve">CAIXA DE INSPEÇÃO 50 X 50</t>
  </si>
  <si>
    <t xml:space="preserve">32.09.0108</t>
  </si>
  <si>
    <t xml:space="preserve">BOMBA SUBMERSÍVEL P/ MANGOTE 2”</t>
  </si>
  <si>
    <t xml:space="preserve">26.13.0005</t>
  </si>
  <si>
    <t xml:space="preserve">CALÇA COM ELÁSTICO TAMANHO P - 4 BOLSOS, FORRO NO JOELHO, 02 ARGOLAS REFLETIVAS ABAIXO DO JOELHO, CO</t>
  </si>
  <si>
    <t xml:space="preserve">24.03.0010</t>
  </si>
  <si>
    <t xml:space="preserve">CONJUNTO MEDIDOR DE BITOLA FIOS E CABOS ELÉTRICOS MDK500</t>
  </si>
  <si>
    <t xml:space="preserve">3.7.2.002 - Serviço em ferramentas/utensílios</t>
  </si>
  <si>
    <t xml:space="preserve">18.11.0235</t>
  </si>
  <si>
    <t xml:space="preserve">EXTINTOR DE INCENDIO PQS 50 KG  80B:C  SOBRE RODAS (TIPO CARRETA)</t>
  </si>
  <si>
    <t xml:space="preserve">17.20.0691</t>
  </si>
  <si>
    <t xml:space="preserve">TERMINAÇÃO CONTRÁTIL A FRIO, INSTALAÇÃO EXTERNA, TENSÃO NOMINAL 8,7/15 KV, PARA CABO DE BITOLA 240 MM²</t>
  </si>
  <si>
    <t xml:space="preserve">26.13.0001</t>
  </si>
  <si>
    <t xml:space="preserve">BATA MANGA LONGA TAMANHO P - FORRO NO OMBRO, GOLA COM VELCRO, 3 BOLSOS, LOGOMARCA NAS COSTAS, 02 ARG</t>
  </si>
  <si>
    <t xml:space="preserve">01.09.0356</t>
  </si>
  <si>
    <t xml:space="preserve">PERFIL “C” DOBRADO 50MM X 32MM X 50MM X COMPRIMENTO DE 3 METROS NA CHAPA 0,5 MM COR: BRANCO</t>
  </si>
  <si>
    <t xml:space="preserve">21.02.0012</t>
  </si>
  <si>
    <t xml:space="preserve">BIORRETENTOR COM MALHA DE JUTA E FIBRA DE COCO COM DIÂMETRO DE 30cm</t>
  </si>
  <si>
    <t xml:space="preserve">3.8.1.020 - Paisagismo</t>
  </si>
  <si>
    <t xml:space="preserve">29.02.0045</t>
  </si>
  <si>
    <t xml:space="preserve">LENÇOL DE CAMA SOLTEIRO COM ELÁSTICO</t>
  </si>
  <si>
    <t xml:space="preserve">17.21.0113</t>
  </si>
  <si>
    <t xml:space="preserve">CONJUNTO DE FERRAGENS PARA FIXAÇÃO DE SC/CHAVE FUSÍVEL EM EST. CONCRETO</t>
  </si>
  <si>
    <t xml:space="preserve">17.12.0498</t>
  </si>
  <si>
    <t xml:space="preserve">TOMADA DUPLA EXTERNA 10A PARA CONDULETE PVC 1/2"</t>
  </si>
  <si>
    <t xml:space="preserve">29.03.0225</t>
  </si>
  <si>
    <t xml:space="preserve">GELADEIRA MÉDIA</t>
  </si>
  <si>
    <t xml:space="preserve">17.22.0137</t>
  </si>
  <si>
    <t xml:space="preserve">CINTA POSTE CIRCULAR Ø460 5000DAN</t>
  </si>
  <si>
    <t xml:space="preserve">32.02.0176</t>
  </si>
  <si>
    <t xml:space="preserve">GARFO PALETEIRO - CAP. DE CARGA 3000KG</t>
  </si>
  <si>
    <t xml:space="preserve">04.02.0043</t>
  </si>
  <si>
    <t xml:space="preserve">BRITA 3/4" (19MM) - ENSACADA</t>
  </si>
  <si>
    <t xml:space="preserve">26.02.0191</t>
  </si>
  <si>
    <t xml:space="preserve">BOTINA FUJIWARA HESS C/BICO DE AÇO COMPOSITE E PALMILHA ANTIPERFURANTE CA 42330 N° 43</t>
  </si>
  <si>
    <t xml:space="preserve">29.02.0046</t>
  </si>
  <si>
    <t xml:space="preserve">LENÇOL DE CAMA SOLTEIRO SEM ELÁSTICO</t>
  </si>
  <si>
    <t xml:space="preserve">23.07.1583</t>
  </si>
  <si>
    <t xml:space="preserve">PARAFUSO ROSCA DUPLA M16X750 C/ PORCAS</t>
  </si>
  <si>
    <t xml:space="preserve">32.01.0033</t>
  </si>
  <si>
    <t xml:space="preserve">DINAMÔMETRO 1500 KGF</t>
  </si>
  <si>
    <t xml:space="preserve">17.01.1373</t>
  </si>
  <si>
    <t xml:space="preserve">CABO FLEXÍVEL ISOL. HEPR ENCH. PVC 0,6/1KV 10,00MM² PRETO</t>
  </si>
  <si>
    <t xml:space="preserve">26.06.0013</t>
  </si>
  <si>
    <t xml:space="preserve">LUVA DE SEGURANÇA ISOLANTE DE BORRACHA TIPO II - CLASSE 0 - TENSÃO MÁXIMA DE USO: 1000 V - TAM 10" (</t>
  </si>
  <si>
    <t xml:space="preserve">17.20.0110</t>
  </si>
  <si>
    <t xml:space="preserve">SOLDA EXOTÉRMICA Nº 115 PLUS F20</t>
  </si>
  <si>
    <t xml:space="preserve">17.21.0084</t>
  </si>
  <si>
    <t xml:space="preserve">CONJUNTO DE ATERRAMENTO TEMPORÁRIO TRIFÁSICO</t>
  </si>
  <si>
    <t xml:space="preserve">17.01.1392</t>
  </si>
  <si>
    <t xml:space="preserve">CABO AFT 8X18 AWG BLINDADO EM MALHA DE COBRE ESTANHADO</t>
  </si>
  <si>
    <t xml:space="preserve">28.01.0375</t>
  </si>
  <si>
    <t xml:space="preserve">ADESIVO VINIL 1,20m X 0,80m</t>
  </si>
  <si>
    <t xml:space="preserve">26.02.0189</t>
  </si>
  <si>
    <t xml:space="preserve">BOTINA FUJIWARA HESS C/BICO DE AÇO COMPOSITE E PALMILHA ANTIPERFURANTE CA 42330 N° 41</t>
  </si>
  <si>
    <t xml:space="preserve">26.12.0138</t>
  </si>
  <si>
    <t xml:space="preserve">CONE PARA SINALIZAÇÃO</t>
  </si>
  <si>
    <t xml:space="preserve">09.19.0073</t>
  </si>
  <si>
    <t xml:space="preserve">ESTRADO PLASTICO 50X50</t>
  </si>
  <si>
    <t xml:space="preserve">22.02.0003</t>
  </si>
  <si>
    <t xml:space="preserve">MESA DE SINUCA</t>
  </si>
  <si>
    <t xml:space="preserve">3.8.1.021 - Equipamentos recreativos e esportivos</t>
  </si>
  <si>
    <t xml:space="preserve">25.09.0157</t>
  </si>
  <si>
    <t xml:space="preserve">KIT ESTICADOR+SELADOR+SELO+CARRINHO+FITA PET 16MM</t>
  </si>
  <si>
    <t xml:space="preserve">32.07.0228</t>
  </si>
  <si>
    <t xml:space="preserve">ROÇADEIRA A COMBUSTÃO FS 291, COM LÂMINA DE 3 FACAS, Ø 300 MM</t>
  </si>
  <si>
    <t xml:space="preserve">30.03.0546</t>
  </si>
  <si>
    <t xml:space="preserve">REFIL P/ LAVADOR DE VIDROS 45 CM LUVA</t>
  </si>
  <si>
    <t xml:space="preserve">3.1.1.003 - Material limpeza</t>
  </si>
  <si>
    <t xml:space="preserve">09.13.0006</t>
  </si>
  <si>
    <t xml:space="preserve">RUFO SUPERIOR EM CHAPA METÁLICA GALVANIZADA</t>
  </si>
  <si>
    <t xml:space="preserve">24.23.0001</t>
  </si>
  <si>
    <t xml:space="preserve">BOMBA MANUAL P/GRAXA AÇO INOX ALAVANCA LATERAL BICO FLEXIVEL</t>
  </si>
  <si>
    <t xml:space="preserve">17.16.3811</t>
  </si>
  <si>
    <t xml:space="preserve">CONECTOR BIMETÁLICO PARA ATERRAMENTO - CABOS 16 MM²</t>
  </si>
  <si>
    <t xml:space="preserve">32.07.0061</t>
  </si>
  <si>
    <t xml:space="preserve">MOTOSERRA A GASOLINA POTÊNCIA 3,4KW/4,6CV CILINDRADA 59,0 CM³ PESO 5,6 KG COMPRIMENTO DE CORTE 40CM</t>
  </si>
  <si>
    <t xml:space="preserve">24.27.0017</t>
  </si>
  <si>
    <t xml:space="preserve">MOTOR BUFFALO</t>
  </si>
  <si>
    <t xml:space="preserve">35.11.0126</t>
  </si>
  <si>
    <t xml:space="preserve">TORRE DE ILUMINAÇÃO</t>
  </si>
  <si>
    <t xml:space="preserve">01.09.0364</t>
  </si>
  <si>
    <t xml:space="preserve">PERFIL "C" DOBRADO 28 MM X 58 MM X 28 MM NA CHAPA 0,5 MM COM COMPRIMENTO DE 3 METROS E PINTURA EXTERNA</t>
  </si>
  <si>
    <t xml:space="preserve">19.14.0079</t>
  </si>
  <si>
    <t xml:space="preserve">TERMINAL MUFLA CABO CU 400 MM² - 8.7 - 15 KV</t>
  </si>
  <si>
    <t xml:space="preserve">17.02.0918</t>
  </si>
  <si>
    <t xml:space="preserve">TERMINAL COM TAMPA DE BRONZE P/CABO 250MM-50MM M10</t>
  </si>
  <si>
    <t xml:space="preserve">17.21.0108</t>
  </si>
  <si>
    <t xml:space="preserve">ISOLADOR POLIMÉRICO TIPO BASTÃO PARA CADEIA DE ANCORAGEM ENGATE GARFO-OLHAL DIÂMETRO 120 MM TENSÃO MÁXIMA 25 KV NBI 150</t>
  </si>
  <si>
    <t xml:space="preserve">29.03.0180</t>
  </si>
  <si>
    <t xml:space="preserve">SMART TV 50”</t>
  </si>
  <si>
    <t xml:space="preserve">08.04.0047</t>
  </si>
  <si>
    <t xml:space="preserve">PAREDE DRYWALL C/ ISOLAMENTO EM LA DE ROCHA E FECHAMENTO EM PLACA DE GESSO ACARTONADO</t>
  </si>
  <si>
    <t xml:space="preserve">24.24.0094</t>
  </si>
  <si>
    <t xml:space="preserve">PARAFUSADEIRA DE IMPACTO 1/4 POL 20V MAX BRUSHLESS 170NM COM 4 BATERIAS 20V LI-LON E CARREGADOR BIVOLT MARCA DEWALT</t>
  </si>
  <si>
    <t xml:space="preserve">34.02.0809</t>
  </si>
  <si>
    <t xml:space="preserve">BOMBA HIDRÁULICA</t>
  </si>
  <si>
    <t xml:space="preserve">32.11.0016</t>
  </si>
  <si>
    <t xml:space="preserve">TRIPÉ LASER HILTI PR 300-HV2S</t>
  </si>
  <si>
    <t xml:space="preserve">24.42.0005</t>
  </si>
  <si>
    <t xml:space="preserve">MARTELO ROMPEDOR DE 11 KG</t>
  </si>
  <si>
    <t xml:space="preserve">30.03.0040</t>
  </si>
  <si>
    <t xml:space="preserve">LIXEIRA AÇO INOX COM PEDAL 11,00L</t>
  </si>
  <si>
    <t xml:space="preserve">4.1.1.003 - Material limpeza</t>
  </si>
  <si>
    <t xml:space="preserve">25.15.0015</t>
  </si>
  <si>
    <t xml:space="preserve">LONA PLASTICA POLIETILENO DUPLA FACE 200 MICRAS 8,00M X 100,00M</t>
  </si>
  <si>
    <t xml:space="preserve">17.01.1225</t>
  </si>
  <si>
    <t xml:space="preserve">CABO MULTIPOLAR 5 VIAS POTÊNCIA 6 MM², FLEXÍVEL COBRE, EPR, 0,6/1KV, PVC PRETO</t>
  </si>
  <si>
    <t xml:space="preserve">32.12.0010</t>
  </si>
  <si>
    <t xml:space="preserve">MEDIDOR DE INCLINAÇÃO DIGITAL 0-360°</t>
  </si>
  <si>
    <t xml:space="preserve">17.20.0716</t>
  </si>
  <si>
    <t xml:space="preserve">CARTUCHO IGNIÇÃO SOLDA EXOTÉRMICA CABO COBRE 50MM² 90G</t>
  </si>
  <si>
    <t xml:space="preserve">29.02.0018</t>
  </si>
  <si>
    <t xml:space="preserve">MESA PLÁSTICA QUADRADA</t>
  </si>
  <si>
    <t xml:space="preserve">26.02.0190</t>
  </si>
  <si>
    <t xml:space="preserve">BOTINA FUJIWARA HESS C/BICO DE AÇO COMPOSITE E PALMILHA ANTIPERFURANTE CA 42330 N° 42</t>
  </si>
  <si>
    <t xml:space="preserve">10.01.0116</t>
  </si>
  <si>
    <t xml:space="preserve">CERAMICA ESMALTADA RETIFICADA, ACABAMENTO ACETINADO, PARA USO INTERNO, 60X60 - COR: BRANCA</t>
  </si>
  <si>
    <t xml:space="preserve">01.12.0350</t>
  </si>
  <si>
    <t xml:space="preserve">BARRA DE METALON 50X30X1.5</t>
  </si>
  <si>
    <t xml:space="preserve">08.02.0045</t>
  </si>
  <si>
    <t xml:space="preserve">BLOCO CERÂMICO FURADO 9X19X19CM PARA VEDAÇÃO</t>
  </si>
  <si>
    <t xml:space="preserve">17.01.1233</t>
  </si>
  <si>
    <t xml:space="preserve">CABO ELETRICO FLEXIVEL 0,6/1KV 1 X 35,00MM2 COBRE PVC CLASSE 5 VERMELHO NBR 728</t>
  </si>
  <si>
    <t xml:space="preserve">18.03.0202</t>
  </si>
  <si>
    <t xml:space="preserve">TUBO FERRO FUNDIDO CLASSE K7 100MM</t>
  </si>
  <si>
    <t xml:space="preserve">26.14.0001</t>
  </si>
  <si>
    <t xml:space="preserve">KIT DE MITIGAÇÃO BOMBONA 100 LITROS AZUL</t>
  </si>
  <si>
    <t xml:space="preserve">4.1.7.012 - Proteção Ambiental</t>
  </si>
  <si>
    <t xml:space="preserve">17.01.0308</t>
  </si>
  <si>
    <t xml:space="preserve">CABO ELETRICO FLEXIVEL 0,6/1KV 4 X 16,00MM2 COBRE BWF PVC CLASSE 5 PRETO NBR 7288</t>
  </si>
  <si>
    <t xml:space="preserve">32.07.0185</t>
  </si>
  <si>
    <t xml:space="preserve">CORRENTE MOTOSSERRA STIHL MS 361 -30 DENTES</t>
  </si>
  <si>
    <t xml:space="preserve">31.02.0160</t>
  </si>
  <si>
    <t xml:space="preserve">OLEO LUBRIFICANTE H68 GAL 20L</t>
  </si>
  <si>
    <t xml:space="preserve">3.1.6.001 - Combustível e lubrificantes</t>
  </si>
  <si>
    <t xml:space="preserve">31.02.0058</t>
  </si>
  <si>
    <t xml:space="preserve">GRAXA GRAFITADA</t>
  </si>
  <si>
    <t xml:space="preserve">17.01.1236</t>
  </si>
  <si>
    <t xml:space="preserve">CABO ELETRICO FLEXIVEL 0,6/1KV 1 X 50,00MM2 COBRE PVC CLASSE 5 VERMELHO NBR 7290</t>
  </si>
  <si>
    <t xml:space="preserve">26.13.0004</t>
  </si>
  <si>
    <t xml:space="preserve">BATA MANGA LONGA TAMANHO GG - FORRO NO OMBRO, GOLA COM VELCRO, 3 BOLSOS, LOGOMARCA NAS COSTAS, 02 AR</t>
  </si>
  <si>
    <t xml:space="preserve">26.13.0008</t>
  </si>
  <si>
    <t xml:space="preserve">CALÇA COM ELÁSTICO TAMANHO GG - 4 BOLSOS, FORRO NO JOELHO, 02 ARGOLAS REFLETIVAS ABAIXO DO JOELHO, C</t>
  </si>
  <si>
    <t xml:space="preserve">06.02.0035</t>
  </si>
  <si>
    <t xml:space="preserve">ADESIVO ACRÍLICO P/PISO VINILICO (GLOBALFIX)</t>
  </si>
  <si>
    <t xml:space="preserve">29.02.0030</t>
  </si>
  <si>
    <t xml:space="preserve">TRAVESSEIRO</t>
  </si>
  <si>
    <t xml:space="preserve">17.20.0688</t>
  </si>
  <si>
    <t xml:space="preserve">PARA RAIOS ZNO 15 KV</t>
  </si>
  <si>
    <t xml:space="preserve">01.10.0059</t>
  </si>
  <si>
    <t xml:space="preserve">BARRA ROSCADA AÇO CARBONO GALVANIZADO UNC 3/4" 10 FIOS C/ 1,00M</t>
  </si>
  <si>
    <t xml:space="preserve">09.21.0329</t>
  </si>
  <si>
    <t xml:space="preserve">POSTE TELESCOPICO AUTOS-SUPORTADO DE AÇO GALVANIZADO A FOGO 10M - SPDA</t>
  </si>
  <si>
    <t xml:space="preserve">29.01.0423</t>
  </si>
  <si>
    <t xml:space="preserve">MONITOR LED 24" WIDESCREEN</t>
  </si>
  <si>
    <t xml:space="preserve">17.21.0069</t>
  </si>
  <si>
    <t xml:space="preserve">SUPORTE HORIZONTAL PARA ISOLADOR GALVANIZADO A FOGO</t>
  </si>
  <si>
    <t xml:space="preserve">17.21.0125</t>
  </si>
  <si>
    <t xml:space="preserve">ISOLADOR POLIMERICO, TIPO BASTAO, GARFO-OLHAL, TENSAO 25 KV, NBI 150 KV</t>
  </si>
  <si>
    <t xml:space="preserve">17.20.0726</t>
  </si>
  <si>
    <t xml:space="preserve">CHAVE DE TRANSFERÊNCIA AUTOMÁTICA 4 POLOS 400 A</t>
  </si>
  <si>
    <t xml:space="preserve">32.12.0017</t>
  </si>
  <si>
    <t xml:space="preserve">DETECTOR DE TENSÃO PARA APROXIMAÇÃO - 1 A 100 / 100 A 800KV 50/60HZ – PARA LINHA ALTA TENSÃO 13.8KV</t>
  </si>
  <si>
    <t xml:space="preserve">30.03.0422</t>
  </si>
  <si>
    <t xml:space="preserve">BACIA DE CONTENÇÃO MET 290L 120CM X 80CM X30CM</t>
  </si>
  <si>
    <t xml:space="preserve">26.05.0037</t>
  </si>
  <si>
    <t xml:space="preserve">PROTETOR FACIAL CONTRA ARCO ELETRICO RISCO 2</t>
  </si>
  <si>
    <t xml:space="preserve">17.02.0864</t>
  </si>
  <si>
    <t xml:space="preserve">ELETRODUTO ALUMÍNIO 50 MM, COM ROSCA 2" BSP, TIPO PESADO, BARRA 3,00 M</t>
  </si>
  <si>
    <t xml:space="preserve">18.02.0732</t>
  </si>
  <si>
    <t xml:space="preserve">TUBO DE AÇO CARBONO ASTM A-53 GRAU B DN. 1½"</t>
  </si>
  <si>
    <t xml:space="preserve">23.10.0063</t>
  </si>
  <si>
    <t xml:space="preserve">CHUMBADOR M20X150 HDG AÇO CARBONO 8.8 OU EQUIVALENTE</t>
  </si>
  <si>
    <t xml:space="preserve">24.24.0015</t>
  </si>
  <si>
    <t xml:space="preserve">FURADEIRA DE IMPACTO 1/2 1100W 2 VELOC SDS PLUS</t>
  </si>
  <si>
    <t xml:space="preserve">4.1.6.002 - Locação externa de equipamentos</t>
  </si>
  <si>
    <t xml:space="preserve">24.43.0001</t>
  </si>
  <si>
    <t xml:space="preserve">PALETEIRA MANUAL 2.500KG</t>
  </si>
  <si>
    <t xml:space="preserve">26.06.0083</t>
  </si>
  <si>
    <t xml:space="preserve">LUVA MULTITATO COM BANHO DE PU – TAM G</t>
  </si>
  <si>
    <t xml:space="preserve">29.01.1290</t>
  </si>
  <si>
    <t xml:space="preserve">CABO LAN CAT5 UTP USO INTERNO</t>
  </si>
  <si>
    <t xml:space="preserve">13.03.0036</t>
  </si>
  <si>
    <t xml:space="preserve">BARRA ANTI-PANICO TRETA P/ PORTA CORTA FOGO DIR/ESQ 01/5</t>
  </si>
  <si>
    <t xml:space="preserve">01.11.0319</t>
  </si>
  <si>
    <t xml:space="preserve">CALHA EM CHAPA DE AÇO GALVANIZADO C=11,15M</t>
  </si>
  <si>
    <t xml:space="preserve">29.03.0079</t>
  </si>
  <si>
    <t xml:space="preserve">BEBEDOURO INDUSTRIAL COM 04 TORNEIRAS 200LTS -  220V / 380W - 60HZ</t>
  </si>
  <si>
    <t xml:space="preserve">34.02.0967</t>
  </si>
  <si>
    <t xml:space="preserve">CAMBÃO PARA REBOQUE DE EQUIPAMENTO</t>
  </si>
  <si>
    <t xml:space="preserve">17.02.0853</t>
  </si>
  <si>
    <t xml:space="preserve">CURVA 90° AÇO GALVANIZADO ROSCA BSP 6"</t>
  </si>
  <si>
    <t xml:space="preserve">06.04.0069</t>
  </si>
  <si>
    <t xml:space="preserve">ESPUMA EXPANSIVA ANTICHAMA PRO 30 500ML</t>
  </si>
  <si>
    <t xml:space="preserve">17.16.0531</t>
  </si>
  <si>
    <t xml:space="preserve">TERMINAL OLHAL A COMPRESSÃO 185MM²</t>
  </si>
  <si>
    <t xml:space="preserve">26.12.0030</t>
  </si>
  <si>
    <t xml:space="preserve">CONE EM PVC FLEXÍVEL 75,00CM LARANJA COM FAIXA BRANCA</t>
  </si>
  <si>
    <t xml:space="preserve">26.12.0106</t>
  </si>
  <si>
    <t xml:space="preserve">BASTÃO DE SALVAMENTO NR 10</t>
  </si>
  <si>
    <t xml:space="preserve">16.03.0365</t>
  </si>
  <si>
    <t xml:space="preserve">TINTA ESMALTE SINTÉTICO VERDE  L18 NBR 11702</t>
  </si>
  <si>
    <t xml:space="preserve">3.8.1.016 - Pinturas</t>
  </si>
  <si>
    <t xml:space="preserve">06.04.0032</t>
  </si>
  <si>
    <t xml:space="preserve">MASSA PARA CALAFETAR 500G</t>
  </si>
  <si>
    <t xml:space="preserve">29.01.1219</t>
  </si>
  <si>
    <t xml:space="preserve">DJI025 - DRONE DJI MINI 3 FLY MORE COMBO PLUS (COM TELA) BR</t>
  </si>
  <si>
    <t xml:space="preserve">25.12.0021</t>
  </si>
  <si>
    <t xml:space="preserve">ESCADA TIPO PLATAFORMA DE FIBRA 10 DEGRAUS</t>
  </si>
  <si>
    <t xml:space="preserve">29.01.1350</t>
  </si>
  <si>
    <t xml:space="preserve">CAMERA IP BULLET 2MP - VIP 1230 B G4 - INTELBRAS</t>
  </si>
  <si>
    <t xml:space="preserve">17.20.0111</t>
  </si>
  <si>
    <t xml:space="preserve">SOLDA EXOTÉRMICA Nº 90 PLUS F20</t>
  </si>
  <si>
    <t xml:space="preserve">29.03.0399</t>
  </si>
  <si>
    <t xml:space="preserve">AR CONDICIONADO - CAPACIDADE 18.000 BTU/H - 220V</t>
  </si>
  <si>
    <t xml:space="preserve">24.06.0004</t>
  </si>
  <si>
    <t xml:space="preserve">ALICATE HIDRAULICO MANUAL Y35-SG1</t>
  </si>
  <si>
    <t xml:space="preserve">27.02.0121</t>
  </si>
  <si>
    <t xml:space="preserve">BAFÔMETRO PORTATIL DIGITAL</t>
  </si>
  <si>
    <t xml:space="preserve">4.3.4.007 - Mobiliário médico/equipamentos/acessórios</t>
  </si>
  <si>
    <t xml:space="preserve">24.24.0126</t>
  </si>
  <si>
    <t xml:space="preserve">BATERIA 5.0 AH 18V</t>
  </si>
  <si>
    <t xml:space="preserve">26.13.0070</t>
  </si>
  <si>
    <t xml:space="preserve">CALÇA COM ELÁSTICO TAMANHO XG - 4 BOLSOS, FORRO NO JOELHO, 02 ARGOLAS REFLETIVAS ABAIXO DO JOELHO, C</t>
  </si>
  <si>
    <t xml:space="preserve">17.01.0345</t>
  </si>
  <si>
    <t xml:space="preserve">CABO ELETRICO FLEXIVEL 450V/750V 1 X 25,00MM2 COBRE PVC CLASSE 4 CINZA NBRNM 247-3</t>
  </si>
  <si>
    <t xml:space="preserve">17.01.0346</t>
  </si>
  <si>
    <t xml:space="preserve">CABO ELETRICO FLEXIVEL 450V/750V 1 X 25,00MM2 COBRE PVC CLASSE 4 PRETO NBRNM 247-3</t>
  </si>
  <si>
    <t xml:space="preserve">17.01.0343</t>
  </si>
  <si>
    <t xml:space="preserve">CABO ELETRICO FLEXIVEL 450V/750V 1 X 25,00MM2 COBRE PVC CLASSE 4 AZUL NBRNM 247-3</t>
  </si>
  <si>
    <t xml:space="preserve">23.07.0713</t>
  </si>
  <si>
    <t xml:space="preserve">PARAFUSO CABEÇA QUADRADA GALV. M16 300MM</t>
  </si>
  <si>
    <t xml:space="preserve">03.04.0012</t>
  </si>
  <si>
    <t xml:space="preserve">BARROTE MADEIRA MISTA 6,00CM X 6,00CM</t>
  </si>
  <si>
    <t xml:space="preserve">31.02.0090</t>
  </si>
  <si>
    <t xml:space="preserve">GRAXA PARA LUBRIFICAÇÃO 200KG</t>
  </si>
  <si>
    <t xml:space="preserve">30.03.0077</t>
  </si>
  <si>
    <t xml:space="preserve">PAPEL TOALHA INTERFOLHADO FOLHA SIMPLES 2 DOBRAS 100% CELULOSE VIRGEM 23,00CM X 20,00CM CAIXA 2400 F</t>
  </si>
  <si>
    <t xml:space="preserve">28.01.0712</t>
  </si>
  <si>
    <t xml:space="preserve">PLACA DE SINALIZAÇÃO 50X50CM - CHAPA DE ZINCO - COM BARROTE</t>
  </si>
  <si>
    <t xml:space="preserve">34.02.0642</t>
  </si>
  <si>
    <t xml:space="preserve">SOPRADOR TÉRMICO</t>
  </si>
  <si>
    <t xml:space="preserve">32.07.0081</t>
  </si>
  <si>
    <t xml:space="preserve">CORRENTE DE MOTOSSERRA 3/8” – STD – 30 DENTES</t>
  </si>
  <si>
    <t xml:space="preserve">03.04.0042</t>
  </si>
  <si>
    <t xml:space="preserve">BARROTE DE MAÇARANDUBA 5,50 CM X 4,50 CM C/5,00M</t>
  </si>
  <si>
    <t xml:space="preserve">17.01.0972</t>
  </si>
  <si>
    <t xml:space="preserve">CABO PP 3 X 2,5</t>
  </si>
  <si>
    <t xml:space="preserve">32.09.0086</t>
  </si>
  <si>
    <t xml:space="preserve">MOTOBOMBA A GASOLINA 5.5HP 2’’ PARTIDA MANUAL</t>
  </si>
  <si>
    <t xml:space="preserve">04.02.0020</t>
  </si>
  <si>
    <t xml:space="preserve">BICA CORRIDA</t>
  </si>
  <si>
    <t xml:space="preserve">29.01.1539</t>
  </si>
  <si>
    <t xml:space="preserve">NOTEBOOK 15,6" CORE I7 32 GB SSD 512 GB COM PLACA DE VIDEO DEDICADA 6GB</t>
  </si>
  <si>
    <t xml:space="preserve">32.07.0050</t>
  </si>
  <si>
    <t xml:space="preserve">CORRENTE DE MOTOSSERRA 3/8 STD</t>
  </si>
  <si>
    <t xml:space="preserve">06.07.0011</t>
  </si>
  <si>
    <t xml:space="preserve">VEDACIT 18LTS</t>
  </si>
  <si>
    <t xml:space="preserve">17.02.0886</t>
  </si>
  <si>
    <t xml:space="preserve">CONECTOR MACHO FIXO PARA ELETRODUTO METÁLICO FLEXÍVEL COM PORCA, Ø 2" BSP.</t>
  </si>
  <si>
    <t xml:space="preserve">24.24.0005</t>
  </si>
  <si>
    <t xml:space="preserve">PARAFUSADEIRA MANUAL, 2 BATERIAS 10,8 V 1,3 AH LI</t>
  </si>
  <si>
    <t xml:space="preserve">27.02.0040</t>
  </si>
  <si>
    <t xml:space="preserve">DESFIBRILADOR PORTATIL</t>
  </si>
  <si>
    <t xml:space="preserve">26.01.0037</t>
  </si>
  <si>
    <t xml:space="preserve">COLETE REFLETIVO TIPO BLUSÃO – 4 BOLSOS – COR VERDE – TAM. G</t>
  </si>
  <si>
    <t xml:space="preserve">26.02.0188</t>
  </si>
  <si>
    <t xml:space="preserve">BOTINA FUJIWARA HESS C/BICO DE AÇO COMPOSITE E PALMILHA ANTIPERFURANTE CA 42330 N° 40</t>
  </si>
  <si>
    <t xml:space="preserve">11.01.0061</t>
  </si>
  <si>
    <t xml:space="preserve">FORRO EM DRYWALL TABICADO COM ESTRUTURA DE FIXACAO</t>
  </si>
  <si>
    <t xml:space="preserve">3.8.1.011 - Forros</t>
  </si>
  <si>
    <t xml:space="preserve">26.05.0071</t>
  </si>
  <si>
    <t xml:space="preserve">PROTETOR FACIAL CONTRA ARCO ELÉTRICO NR 10 (VISEIRA NR-10)</t>
  </si>
  <si>
    <t xml:space="preserve">17.05.0126</t>
  </si>
  <si>
    <t xml:space="preserve">CONECTOR LIGA COBRE PARAFUSO FENDIDO DERIVAÇÃO 35-120MM²</t>
  </si>
  <si>
    <t xml:space="preserve">17.16.3843</t>
  </si>
  <si>
    <t xml:space="preserve">ABRAÇADEIRA TIPO UNHA PARA CABO 70 A 120 MM² EM COBRE ELETROLÍTICO FURO Ø8 MM</t>
  </si>
  <si>
    <t xml:space="preserve">02.01.0087</t>
  </si>
  <si>
    <t xml:space="preserve">TELA ARAME GALVANIZADO FIO 16 - 1,65MM</t>
  </si>
  <si>
    <t xml:space="preserve">17.08.0222</t>
  </si>
  <si>
    <t xml:space="preserve">QUADRO DE ALIMENTAÇÃO (QDAR) OM SISTEMA DE AUTOMAÇÃO PARA REVEZAMENTO DAS MÁQUINAS</t>
  </si>
  <si>
    <t xml:space="preserve">30.03.0186</t>
  </si>
  <si>
    <t xml:space="preserve">LIXEIRA PLÁSTICA COM PEDAL 20L</t>
  </si>
  <si>
    <t xml:space="preserve">12.02.0002</t>
  </si>
  <si>
    <t xml:space="preserve">MANTA DE FELTRO FLEXÍVEL DE LÃ DE ROCHA</t>
  </si>
  <si>
    <t xml:space="preserve">3.8.1.012 - Isolamentos termo-acústicos</t>
  </si>
  <si>
    <t xml:space="preserve">32.09.0152</t>
  </si>
  <si>
    <t xml:space="preserve">MOTOBOMBA 3 CV 220 CV MONOFASICO C/ INVERTER</t>
  </si>
  <si>
    <t xml:space="preserve">18.09.0341</t>
  </si>
  <si>
    <t xml:space="preserve">VÁLVULA ESFERA TRIPARTIDA DN. 1½"</t>
  </si>
  <si>
    <t xml:space="preserve">03.08.0003</t>
  </si>
  <si>
    <t xml:space="preserve">RIPA MADEIRA MISTA 5,00CM X 1,00CM</t>
  </si>
  <si>
    <t xml:space="preserve">17.08.0253</t>
  </si>
  <si>
    <t xml:space="preserve">QUADRO DISTRIBUICAO 48 DISJ SOBREPOR METALICO</t>
  </si>
  <si>
    <t xml:space="preserve">24.09.0314</t>
  </si>
  <si>
    <t xml:space="preserve">JOGO DE CHAVE " L " ISOLADA DE 5,00MM Á 22,00MM</t>
  </si>
  <si>
    <t xml:space="preserve">17.02.0110</t>
  </si>
  <si>
    <t xml:space="preserve">CURVA 90GR ELETRODUTO ALUMÍNIO NPT 3" X 88,90MM</t>
  </si>
  <si>
    <t xml:space="preserve">09.08.0080</t>
  </si>
  <si>
    <t xml:space="preserve">TAMPA DE CONCRETO ARMADO 1,04 X 0,26 X 0,06 M</t>
  </si>
  <si>
    <t xml:space="preserve">18.11.0113</t>
  </si>
  <si>
    <t xml:space="preserve">EXTINTOR INCÊNDIO CARGA BASE PÓ QUIMICO SECO CLASSE ABC CAP 6KG C/ SUPORTE</t>
  </si>
  <si>
    <t xml:space="preserve">29.01.1007</t>
  </si>
  <si>
    <t xml:space="preserve">CELULAR</t>
  </si>
  <si>
    <t xml:space="preserve">17.02.0863</t>
  </si>
  <si>
    <t xml:space="preserve">ELETRODUTO ALUMÍNIO 25 MM, COM ROSCA 1" BSP, TIPO PESADO, BARRA 3,00 M</t>
  </si>
  <si>
    <t xml:space="preserve">26.05.0001</t>
  </si>
  <si>
    <t xml:space="preserve">ÓCULOS DE SEGURANÇA - LENTE CINZA (CA-18069/17038/18047/11268)</t>
  </si>
  <si>
    <t xml:space="preserve">32.02.0242</t>
  </si>
  <si>
    <t xml:space="preserve">CINTA DE ELEVAÇÃO ER TUBULAR MODELO SEM FIM CAPA DUPLA CAP. 15 TON COM 4,0M</t>
  </si>
  <si>
    <t xml:space="preserve">17.22.0148</t>
  </si>
  <si>
    <t xml:space="preserve">LAÇO PRÉ-FORMADO DE LATERAL EM COBRE PARA CABO DE COBRE NÚ 120MM</t>
  </si>
  <si>
    <t xml:space="preserve">17.02.0101</t>
  </si>
  <si>
    <t xml:space="preserve">CURVA 90GR ELETRODUTO ALUMÍNIO BSP 3" X 88,90MM</t>
  </si>
  <si>
    <t xml:space="preserve">13.06.0399</t>
  </si>
  <si>
    <t xml:space="preserve">PERFIL CONTRA MARCO METALICO PARA PORTA DE 30 MM DE ESPESSURA COMPRIMENTO 3 MT</t>
  </si>
  <si>
    <t xml:space="preserve">01.09.0414</t>
  </si>
  <si>
    <t xml:space="preserve">PERFIL "L" 50,8 (2") X 50,8 (2") X 795 MM ACO GALV . A QUENTE ESP 6,35MM</t>
  </si>
  <si>
    <t xml:space="preserve">17.02.0865</t>
  </si>
  <si>
    <t xml:space="preserve">CONECTOR TERMINAL RETO 1 CABO 120 MM², 2 FUROS, TENSÃO 13,8 KV</t>
  </si>
  <si>
    <t xml:space="preserve">17.08.0185</t>
  </si>
  <si>
    <t xml:space="preserve">QUADRO DE DISTRIBUIÇÃO METÁLICO TRIFÁSICO SOBREPOR PARA 12 DISJUNTORES DIN E CAPACIDADE DE 100A</t>
  </si>
  <si>
    <t xml:space="preserve">24.24.0027</t>
  </si>
  <si>
    <t xml:space="preserve">CHAVE DE IMPACTO PNEUMÁTICA 3/4</t>
  </si>
  <si>
    <t xml:space="preserve">29.03.0109</t>
  </si>
  <si>
    <t xml:space="preserve">LAVADORA E SECADORA DE ROUPA</t>
  </si>
  <si>
    <t xml:space="preserve">18.01.1276</t>
  </si>
  <si>
    <t xml:space="preserve">TUBO SOLDÁVEL MARROM 50MM</t>
  </si>
  <si>
    <t xml:space="preserve">17.08.0241</t>
  </si>
  <si>
    <t xml:space="preserve">ISOLADOR BT TIPO BUJÃO EM POLIÉSTER 1,5 KV ROSCA 3/8"</t>
  </si>
  <si>
    <t xml:space="preserve">24.02.0005</t>
  </si>
  <si>
    <t xml:space="preserve">FITA DIAGRAMA TACÓGRAFO</t>
  </si>
  <si>
    <t xml:space="preserve">3.8.2.001 - Ferramentas medição/aferição</t>
  </si>
  <si>
    <t xml:space="preserve">17.20.0718</t>
  </si>
  <si>
    <t xml:space="preserve">HASTE SPDA PERFIL "L" 50,8 (2") X 50,8 ("2) X 1500MM</t>
  </si>
  <si>
    <t xml:space="preserve">29.03.0178</t>
  </si>
  <si>
    <t xml:space="preserve">SMART TV 32"</t>
  </si>
  <si>
    <t xml:space="preserve">30.03.0118</t>
  </si>
  <si>
    <t xml:space="preserve">BIG BAG EM POLIPROPILENO DE ALTA RESISTÊNCIA COM SAIA DE ENCHIM E FUNDO FECHADO CARGA MÁXIMA 1000KG</t>
  </si>
  <si>
    <t xml:space="preserve">26.02.0192</t>
  </si>
  <si>
    <t xml:space="preserve">BOTINA FUJIWARA HESS C/BICO DE AÇO COMPOSITE E PALMILHA ANTIPERFURANTE CA 42330 N° 44</t>
  </si>
  <si>
    <t xml:space="preserve">17.21.0107</t>
  </si>
  <si>
    <t xml:space="preserve">ISOLADOR POLIMÉRICO, TIPO BASTÃO 15 KV, DISTÂNCIA DE ESCOAMENTO MÍNIMA DE 31 MM/KV, 50 KN</t>
  </si>
  <si>
    <t xml:space="preserve">18.03.0203</t>
  </si>
  <si>
    <t xml:space="preserve">TUBO DE FERRO FUNDIDO Ø100MM</t>
  </si>
  <si>
    <t xml:space="preserve">34.02.1231</t>
  </si>
  <si>
    <t xml:space="preserve">SUPORTE PARA CABO ISOLADO (95-630 MM²)</t>
  </si>
  <si>
    <t xml:space="preserve">01.09.0400</t>
  </si>
  <si>
    <t xml:space="preserve">PERFILADO ENRIJECIDO ACO GALVANIZADO A FOGO CHAPA 16 USG 38X38MM</t>
  </si>
  <si>
    <t xml:space="preserve">32.07.0213</t>
  </si>
  <si>
    <t xml:space="preserve">LIXADEIRA ELÉTRICA A BATERIA 4'DWALT</t>
  </si>
  <si>
    <t xml:space="preserve">17.03.0603</t>
  </si>
  <si>
    <t xml:space="preserve">CRUZETA DE FIBRA DE VIDRO 2,00M X 400DAN</t>
  </si>
  <si>
    <t xml:space="preserve">26.13.0069</t>
  </si>
  <si>
    <t xml:space="preserve">BATA MANGA LONGA TAMANHO XG - FORRO NO OMBRO, GOLA COM VELCRO, 3 BOLSOS, LOGOMARCA NAS COSTAS, 02 AR</t>
  </si>
  <si>
    <t xml:space="preserve">24.41.0408</t>
  </si>
  <si>
    <t xml:space="preserve">MATRIZ TERMINAL BIMETÁLICO 240MM²</t>
  </si>
  <si>
    <t xml:space="preserve">17.01.0990</t>
  </si>
  <si>
    <t xml:space="preserve">CONJUNTO TERMINAL DESCONECTAVEL TIPO PLUG-IN PARA CABOS DE ALUMÍNIO 185 MM² - 35KV - 630A</t>
  </si>
  <si>
    <t xml:space="preserve">01.10.0259</t>
  </si>
  <si>
    <t xml:space="preserve">SUPORTE DE FIXAÇÃO DA CALHA - BARRA CHATA DOBRADA EM AÇO 3/16"</t>
  </si>
  <si>
    <t xml:space="preserve">08.02.0080</t>
  </si>
  <si>
    <t xml:space="preserve">BLOCO 19 X 39 X 19 FCK &gt; OU IGUAL 8MPA</t>
  </si>
  <si>
    <t xml:space="preserve">24.23.0036</t>
  </si>
  <si>
    <t xml:space="preserve">BOMBA PULVERIZADORA AGRÍCOLA MOTOR 6.5HP</t>
  </si>
  <si>
    <t xml:space="preserve">17.16.0120</t>
  </si>
  <si>
    <t xml:space="preserve">TERMINAL COMPRESSÃO 10MM</t>
  </si>
  <si>
    <t xml:space="preserve">24.42.0026</t>
  </si>
  <si>
    <t xml:space="preserve">MARTELETE PERFURADOR A BATERIA</t>
  </si>
  <si>
    <t xml:space="preserve">29.01.0720</t>
  </si>
  <si>
    <t xml:space="preserve">NVR 32CH IP, 4K, H265+, 256MBPSINPUT, 4 HD ATE 10TB, 16 PORTAS POE, 4 /1 ALARME, REDE GIGABYTE DS-7 732N1-K4/16P</t>
  </si>
  <si>
    <t xml:space="preserve">24.41.0409</t>
  </si>
  <si>
    <t xml:space="preserve">MATRIZ TERMINAL BIMETÁLICO 400/500MM²</t>
  </si>
  <si>
    <t xml:space="preserve">13.01.0008</t>
  </si>
  <si>
    <t xml:space="preserve">PORTA LAMINADA MADEIRA 0,80M X 2,10M</t>
  </si>
  <si>
    <t xml:space="preserve">01.10.0065</t>
  </si>
  <si>
    <t xml:space="preserve">BARRA ROSCADA AÇO CARBONO GALVANIZADO UNC 3/8" 16 FIOS C/ 3,00M</t>
  </si>
  <si>
    <t xml:space="preserve">32.09.0162</t>
  </si>
  <si>
    <t xml:space="preserve">BOMBA SUBMERSIVEL DE MANGOTE PARA MOTOVIBRADOR 2</t>
  </si>
  <si>
    <t xml:space="preserve">31.02.0188</t>
  </si>
  <si>
    <t xml:space="preserve">ÓLEO DE MOTOR 2 TEMPOS (2T)</t>
  </si>
  <si>
    <t xml:space="preserve">02.04.0035</t>
  </si>
  <si>
    <t xml:space="preserve">ARAME DE ACO GALVANIZADO LISO BWG 10</t>
  </si>
  <si>
    <t xml:space="preserve">26.12.0099</t>
  </si>
  <si>
    <t xml:space="preserve">TELA TAPUME POLIETILENO LARANJA 1,20M X 0,50M (MALHA 100 X 40MM)</t>
  </si>
  <si>
    <t xml:space="preserve">17.16.3907</t>
  </si>
  <si>
    <t xml:space="preserve">TERMINACAO CONTRATIL A FRIO EXTERNA, 8,7/15 KV, PARA CABO 240 MM, COM ACESSORIOS, CONFORME NBR 9314</t>
  </si>
  <si>
    <t xml:space="preserve">32.12.0288</t>
  </si>
  <si>
    <t xml:space="preserve">DINAMÔMETRO 3000 KGF</t>
  </si>
  <si>
    <t xml:space="preserve">17.01.1288</t>
  </si>
  <si>
    <t xml:space="preserve">CABO FLEXIVEL ATOX 35MM X 0,6/1 kV PRETO HEPR 90C - NBR 7286</t>
  </si>
  <si>
    <t xml:space="preserve">32.02.0413</t>
  </si>
  <si>
    <t xml:space="preserve">CINTA DE ELEVACAO CAPACIDADE  8,0T COM 8,0M</t>
  </si>
  <si>
    <t xml:space="preserve">22.02.0004</t>
  </si>
  <si>
    <t xml:space="preserve">MESA DE PEBOLIM</t>
  </si>
  <si>
    <t xml:space="preserve">01.09.0416</t>
  </si>
  <si>
    <t xml:space="preserve">PERFIL "U" 101,6 (4") X 41,8 X 650 MM ACO GALV . A QUENTE ESP 6,35MM</t>
  </si>
  <si>
    <t xml:space="preserve">25.13.0093</t>
  </si>
  <si>
    <t xml:space="preserve">MANGOTE AZUL 2”</t>
  </si>
  <si>
    <t xml:space="preserve">17.01.1250</t>
  </si>
  <si>
    <t xml:space="preserve">CABO COBRE NU 25 MM², TÊMPERA MEIO DURA, ENCORDOAMENTO CLASSE 2A, FORM. 7 FIOS (Ø 2,06 MM), DN 6,18 MM, MASSA 0,211 KG/M</t>
  </si>
  <si>
    <t xml:space="preserve">32.02.0033</t>
  </si>
  <si>
    <t xml:space="preserve">BALANÇA DE IÇAMENTO DE CARGA CAPACIDADE 5,0T</t>
  </si>
  <si>
    <t xml:space="preserve">09.07.0002</t>
  </si>
  <si>
    <t xml:space="preserve">MEIO-FIO CONCRETO PRÉ-MOLDADO 0,10M X 0,30M X 1,00M NBR 9062</t>
  </si>
  <si>
    <t xml:space="preserve">09.07.0016</t>
  </si>
  <si>
    <t xml:space="preserve">MEIO FIO PRE MOLDADO DE CONCRETO COM SARJETA H 0,30 M LARGURA DA SARJETA 0,20 M</t>
  </si>
  <si>
    <t xml:space="preserve">19.14.0078</t>
  </si>
  <si>
    <t xml:space="preserve">TERMINAL MUFLA CABO CU EPR 105° - 150 MM² - 8.7 - 15 KV</t>
  </si>
  <si>
    <t xml:space="preserve">29.03.0405</t>
  </si>
  <si>
    <t xml:space="preserve">DETECTOR DE ALTA TENSÃO SEM CONTATO 240V–500 kV</t>
  </si>
  <si>
    <t xml:space="preserve">16.03.0501</t>
  </si>
  <si>
    <t xml:space="preserve">TINTA ACRÍLICA ACETINADA BRANCA, LATA DE 18L</t>
  </si>
  <si>
    <t xml:space="preserve">28.01.0715</t>
  </si>
  <si>
    <t xml:space="preserve">PLACA DE SINALIZAÇÃO 70X100CM - CHAPA DE ZINCO - COM BARROTE</t>
  </si>
  <si>
    <t xml:space="preserve">24.41.0405</t>
  </si>
  <si>
    <t xml:space="preserve">MATRIZ ALICATE HIDRÁULICO CCO-50-50</t>
  </si>
  <si>
    <t xml:space="preserve">18.08.0157</t>
  </si>
  <si>
    <t xml:space="preserve">SIFÃO COPO PVC PARA PIA AMERICANA 1.1/2” X 1.1/2”</t>
  </si>
  <si>
    <t xml:space="preserve">09.08.0018</t>
  </si>
  <si>
    <t xml:space="preserve">MALETA DE FERRAMENTAS MPU</t>
  </si>
  <si>
    <t xml:space="preserve">13.02.0382</t>
  </si>
  <si>
    <t xml:space="preserve">PORTA VENEZIANA DE ALUMINIO FOLHA SIMPLES 0,70 X 2,10 M</t>
  </si>
  <si>
    <t xml:space="preserve">17.22.0138</t>
  </si>
  <si>
    <t xml:space="preserve">CINTA POSTE CIRCULAR Ø470 5000DAN</t>
  </si>
  <si>
    <t xml:space="preserve">30.03.0293</t>
  </si>
  <si>
    <t xml:space="preserve">SACO DE LIXO SEM IMPRESSÃO 400 LITROS – PACOTE C/ 100 UNID</t>
  </si>
  <si>
    <t xml:space="preserve">13.02.0375</t>
  </si>
  <si>
    <t xml:space="preserve">PORTA DE GIRO DE DUAS FOLHAS EM ALUMINIO COM PINTURA ELETROSTATICA PRETA E VIDRO TEMPERADO INCOLOR 8 MM (2,10 X 2,00 M)</t>
  </si>
  <si>
    <t xml:space="preserve">13.02.0376</t>
  </si>
  <si>
    <t xml:space="preserve">PORTA DE GIRO DE UMA FOLHA EM ALUMINIO COM PINTURA ELETROSTATICA PRETA E VIDRO TEMPERADO INCOLOR 8 MM (2,10 X 1,00 M)</t>
  </si>
  <si>
    <t xml:space="preserve">01.09.0394</t>
  </si>
  <si>
    <t xml:space="preserve">PERFIL "U" EM EPS 19MM X 70MM X 19MM COMPRIMENTO 3 M</t>
  </si>
  <si>
    <t xml:space="preserve">09.21.0415</t>
  </si>
  <si>
    <t xml:space="preserve">MÃO FRANCESA PLANA 3/16" - 619 MM</t>
  </si>
  <si>
    <t xml:space="preserve">33.03.0212</t>
  </si>
  <si>
    <t xml:space="preserve">CÂMARA DE AR 19.5/24</t>
  </si>
  <si>
    <t xml:space="preserve">22.01.0034</t>
  </si>
  <si>
    <t xml:space="preserve">MESA PARA TÊNIS DE MESA PING-PONG COM KIT COMPLETO</t>
  </si>
  <si>
    <t xml:space="preserve">09.08.0081</t>
  </si>
  <si>
    <t xml:space="preserve">TAMPA DE CONCRETO ARMADO 40 X 96 X 6 CM</t>
  </si>
  <si>
    <t xml:space="preserve">09.08.0086</t>
  </si>
  <si>
    <t xml:space="preserve">TAMPA REFORCADA DE CONCRETO ARMADO 30 X 80 X 20 CM</t>
  </si>
  <si>
    <t xml:space="preserve">01.09.0358</t>
  </si>
  <si>
    <t xml:space="preserve">CANTONEIRA 50MM X 50MM NA CHAPA 0,5MM X COMPRIMENTO DE 3 METROS CHAPA PRÉ PINTADA INTERNA COR: BRANCO</t>
  </si>
  <si>
    <t xml:space="preserve">26.04.0125</t>
  </si>
  <si>
    <t xml:space="preserve">CINTO DE SEGURANÇA 5 PONTOS CARBOGRAFITE</t>
  </si>
  <si>
    <t xml:space="preserve">08.02.0082</t>
  </si>
  <si>
    <t xml:space="preserve">BLOCO DE CONCRETO CANALETA U 19x19x39CM</t>
  </si>
  <si>
    <t xml:space="preserve">23.09.0037</t>
  </si>
  <si>
    <t xml:space="preserve">GANCHO OLHAL EM AÇO CARBONO GALVANIZADO 80MM TRAÇÃO DE RUPTURA 5000daN</t>
  </si>
  <si>
    <t xml:space="preserve">30.03.0545</t>
  </si>
  <si>
    <t xml:space="preserve">LAVADOR DE VIDROS 45 CM LUVA C/ CABO</t>
  </si>
  <si>
    <t xml:space="preserve">18.01.1655</t>
  </si>
  <si>
    <t xml:space="preserve">TUBO PEAD CORRUGADO NÃO PERFURADO P/ DRENAGEM 300 MM</t>
  </si>
  <si>
    <t xml:space="preserve">18.02.0752</t>
  </si>
  <si>
    <t xml:space="preserve">TUBO DE AÇO GALVANIZADO 6" RIR BSP (NBR-5598) - 3000 MM COM LUVA</t>
  </si>
  <si>
    <t xml:space="preserve">24.08.0100</t>
  </si>
  <si>
    <t xml:space="preserve">ALICATE CORTADOR DE CATRACA ATÉ 630MM2</t>
  </si>
  <si>
    <t xml:space="preserve">26.06.0140</t>
  </si>
  <si>
    <t xml:space="preserve">LUVA DE SEGURANÇA ISOLANTE DE BORRACHA TIPO II - CLASSE 0 COR VERMELHA - TENSÃO MÁXIMA DE USO: 1,5 KV - TAM 10"</t>
  </si>
  <si>
    <t xml:space="preserve">17.02.0877</t>
  </si>
  <si>
    <t xml:space="preserve">UNIÃO ENTRE ELETRODUTO FLEXÍVEL PEAD COM ELETRODUTO RÍGIDO LISO, AMBOS DIÂMETRO 3"</t>
  </si>
  <si>
    <t xml:space="preserve">29.02.0025</t>
  </si>
  <si>
    <t xml:space="preserve">SOFÁ 3 LUGARES</t>
  </si>
  <si>
    <t xml:space="preserve">03.16.0002</t>
  </si>
  <si>
    <t xml:space="preserve">CHAPA EUCATEX LISA 2,75 X 1,22 M X 2,5 MM</t>
  </si>
  <si>
    <t xml:space="preserve">17.02.0062</t>
  </si>
  <si>
    <t xml:space="preserve">BUCHA REDUCAO ELETRODUTO 1.1/2" X 1" ALUMÍNIO LISO BSP 11 FIOS</t>
  </si>
  <si>
    <t xml:space="preserve">31.02.0039</t>
  </si>
  <si>
    <t xml:space="preserve">ÓLEO LUBRIFICANTE 10W30</t>
  </si>
  <si>
    <t xml:space="preserve">17.11.1154</t>
  </si>
  <si>
    <t xml:space="preserve">LUMINARIA LED 32 W SOBREPOR EM PERFILADO, 3529 LM, 4000 K, VIDA UTIL 50.000 H</t>
  </si>
  <si>
    <t xml:space="preserve">16.03.0519</t>
  </si>
  <si>
    <t xml:space="preserve">TINTA COR AMARELO RAL 1007 (IBERDROLA SUNSET)</t>
  </si>
  <si>
    <t xml:space="preserve">24.25.0026</t>
  </si>
  <si>
    <t xml:space="preserve">SERRA CIRCULAR MADEIRA 7" (BOSH)</t>
  </si>
  <si>
    <t xml:space="preserve">17.06.0041</t>
  </si>
  <si>
    <t xml:space="preserve">CABO PP FLEXÍVEL 3 VIAS 4 MM²</t>
  </si>
  <si>
    <t xml:space="preserve">24.41.0135</t>
  </si>
  <si>
    <t xml:space="preserve">TORQUÍMETRO DE ESTALO 1/4" 5-25NM</t>
  </si>
  <si>
    <t xml:space="preserve">17.21.0106</t>
  </si>
  <si>
    <t xml:space="preserve">ISOLADOR PILAR POLIMÉRICO 15 KV, DISTÂNCIA DE ESCOAMENTO MÍNIMA DE 31 MM/KV, SCL 8 KN</t>
  </si>
  <si>
    <t xml:space="preserve">24.08.0050</t>
  </si>
  <si>
    <t xml:space="preserve">ALICATE COR.CABO ISOL. V8091-500 091863 ISOL.1000V  VDE 091863 8091-500 GEDORE</t>
  </si>
  <si>
    <t xml:space="preserve">13.06.0400</t>
  </si>
  <si>
    <t xml:space="preserve">PERFIL CONTRA MARCO METALICO PARA PORTA DE 38 MM DE ESPESSURA COMPRIMENTO 3 MT</t>
  </si>
  <si>
    <t xml:space="preserve">26.13.0196</t>
  </si>
  <si>
    <t xml:space="preserve">CALÇA COM ELÁSTICO TAMANHO XXG - 4 BOLSOS, FORRO NO JOELHO, 02 ARGOLAS REFLETIVAS ABAIXO DO JOELHO, C</t>
  </si>
  <si>
    <t xml:space="preserve">17.02.0854</t>
  </si>
  <si>
    <t xml:space="preserve">CURVA 90° AÇO GALVANIZADO ROSCA BSP 3"</t>
  </si>
  <si>
    <t xml:space="preserve">26.01.0011</t>
  </si>
  <si>
    <t xml:space="preserve">BLUSÃO PARA OPERADOR DE MOTOSSERRA - TAM G</t>
  </si>
  <si>
    <t xml:space="preserve">16.03.0517</t>
  </si>
  <si>
    <t xml:space="preserve">TINTA COR VERDE RAL 6029 (IBERDROLA GREEN-3)</t>
  </si>
  <si>
    <t xml:space="preserve">17.02.0892</t>
  </si>
  <si>
    <t xml:space="preserve">ELETRODUTO METÁLICO FLEXÍVEL, Ø 3"</t>
  </si>
  <si>
    <t xml:space="preserve">09.21.0418</t>
  </si>
  <si>
    <t xml:space="preserve">POSTE ESCORA 1.1/2 CH 12 GALV 2,50 MTS - COM PARAFUSOS DE FIXAÇÃO</t>
  </si>
  <si>
    <t xml:space="preserve">24.25.0003</t>
  </si>
  <si>
    <t xml:space="preserve">SERRA CIRCULAR 7.1/4” 1800W 5800RPM CORTE 90GR 62,00MM CORTE 45GR 47,00MM EIXO 5/8” 200V</t>
  </si>
  <si>
    <t xml:space="preserve">01.11.0315</t>
  </si>
  <si>
    <t xml:space="preserve">CHAPA METÁLICA 1/4" GALVANIZADA 25X25CM - 62,72KG/M²</t>
  </si>
  <si>
    <t xml:space="preserve">18.02.0753</t>
  </si>
  <si>
    <t xml:space="preserve">TUBO DE AÇO GALVANIZADO 3" RIR BSP (NBR-5598) - 3000 MM COM LUVA</t>
  </si>
  <si>
    <t xml:space="preserve">29.02.0185</t>
  </si>
  <si>
    <t xml:space="preserve">MESA ESCRITÓRIO 1,20 X 0,80M 02 GAVETAS</t>
  </si>
  <si>
    <t xml:space="preserve">29.01.1059</t>
  </si>
  <si>
    <t xml:space="preserve">AQUISIÇÃO DE RÁDIOS WALKTOLK</t>
  </si>
  <si>
    <t xml:space="preserve">13.02.0377</t>
  </si>
  <si>
    <t xml:space="preserve">PORTA INTERNA DE GIRO EM MADEIRA MACICA, COM MARCO E ALIZARES (2,10 X 0,70 M)</t>
  </si>
  <si>
    <t xml:space="preserve">08.02.0091</t>
  </si>
  <si>
    <t xml:space="preserve">CANALETA 14X19X39CM 6MPA</t>
  </si>
  <si>
    <t xml:space="preserve">17.01.1226</t>
  </si>
  <si>
    <t xml:space="preserve">CABO TETRAPOLAR POTÊNCIA 16 MM², FLEXÍVEL COBRE, EPR, 0,6/1KV, PVC PRETO, 4 VIAS</t>
  </si>
  <si>
    <t xml:space="preserve">33.02.1716</t>
  </si>
  <si>
    <t xml:space="preserve">BATERIA MAX LI-ION 20V 5AH - DCB205-B3 - DEWALT</t>
  </si>
  <si>
    <t xml:space="preserve">23.07.1530</t>
  </si>
  <si>
    <t xml:space="preserve">PARAFUSO INOX SEXT M10 X 50MM2 C/ PORCA E ARRUELA</t>
  </si>
  <si>
    <t xml:space="preserve">33.02.0210</t>
  </si>
  <si>
    <t xml:space="preserve">TERMÔMETRO</t>
  </si>
  <si>
    <t xml:space="preserve">29.01.0520</t>
  </si>
  <si>
    <t xml:space="preserve">ROTEADOR MIKROTIK HEX RB750GR3</t>
  </si>
  <si>
    <t xml:space="preserve">17.02.0893</t>
  </si>
  <si>
    <t xml:space="preserve">LUVA DE ALUMÍNIO COM ROSCA, TIPO PESADO, Ø 3" BSP</t>
  </si>
  <si>
    <t xml:space="preserve">32.07.0234</t>
  </si>
  <si>
    <t xml:space="preserve">ESMERILHADEIRA ANGULAR A BATERIA 18V</t>
  </si>
  <si>
    <t xml:space="preserve">26.02.0025</t>
  </si>
  <si>
    <t xml:space="preserve">BOTA IMPERMEÁVEL DE PVC CANO LONGO - COR PRETA - Nº 42 (CA-26629/10199/28286)</t>
  </si>
  <si>
    <t xml:space="preserve">36.21.0046</t>
  </si>
  <si>
    <t xml:space="preserve">RADAR DE VELOCIDADE TIPO PISTOLA</t>
  </si>
  <si>
    <t xml:space="preserve">3.7.1.008 - Serviço de controle de qualidade</t>
  </si>
  <si>
    <t xml:space="preserve">17.16.0670</t>
  </si>
  <si>
    <t xml:space="preserve">CONECTOR LIGA DE COBRE ESTANHADO, PARA CABO DE COBRE 70 A 95 mm² A BARRA COM UM FURO Ø 14 mm</t>
  </si>
  <si>
    <t xml:space="preserve">17.08.0256</t>
  </si>
  <si>
    <t xml:space="preserve">CAIXA DE MEDICAO 200A PARA MEDICAO INDIRETA TIPO F4</t>
  </si>
  <si>
    <t xml:space="preserve">32.12.0256</t>
  </si>
  <si>
    <t xml:space="preserve">TERMOHIGRÔMETRO DIGITAL, COM SAÍDA MODBUS RS485 E CABO DE 3 METROS</t>
  </si>
  <si>
    <t xml:space="preserve">17.16.0326</t>
  </si>
  <si>
    <t xml:space="preserve">CAIXA DE EMENDA ÓPTICA 96 FIBRAS (4BANDEJAS DE 24 FO COM PROTEÇÃO DE EMENDAS)</t>
  </si>
  <si>
    <t xml:space="preserve">17.21.0110</t>
  </si>
  <si>
    <t xml:space="preserve">CONJUNTO DE FERRAGENS PARA FIXAÇÃO DE CAIXAS DE JUNÇÃO</t>
  </si>
  <si>
    <t xml:space="preserve">32.09.0034</t>
  </si>
  <si>
    <t xml:space="preserve">BOMBA SUBMERSIVEL MONOFÁSICO P/POÇO PROFUNDO 1/2CV</t>
  </si>
  <si>
    <t xml:space="preserve">03.14.0002</t>
  </si>
  <si>
    <t xml:space="preserve">PALETE DE MADEIRA 14,4 CM X 80 CM X 120 CM</t>
  </si>
  <si>
    <t xml:space="preserve">13.02.0379</t>
  </si>
  <si>
    <t xml:space="preserve">JANELA DE CORRER DE DUAS FOLHAS EM ALUMINIO COM PINTURA ELETROSTATICA PRETA E VIDRO LISO INCOLOR 6 MM (1,20 X 1,00 M)</t>
  </si>
  <si>
    <t xml:space="preserve">29.02.0003</t>
  </si>
  <si>
    <t xml:space="preserve">CADEIRA ESCRITÓRIO SECRETÁRIA FIXA S/BRAÇO</t>
  </si>
  <si>
    <t xml:space="preserve">01.09.0365</t>
  </si>
  <si>
    <t xml:space="preserve">PERFIL "C" DOBRADO 28 MM X 38 MM X 28 MM NA CHAPA 0,5 MM COM COMPRIMENTO DE 3 METROS E PINTURA EXTERNA</t>
  </si>
  <si>
    <t xml:space="preserve">24.41.0137</t>
  </si>
  <si>
    <t xml:space="preserve">TORQUÍMETRO DE ESTALO 1/2" 20-100NM</t>
  </si>
  <si>
    <t xml:space="preserve">08.02.0085</t>
  </si>
  <si>
    <t xml:space="preserve">BLOCO ESTRUTURAL 14X19X39 6MPA</t>
  </si>
  <si>
    <t xml:space="preserve">24.01.0019</t>
  </si>
  <si>
    <t xml:space="preserve">ALICATE AMPERIMETRO HIOKI CM373-92 1500VCC</t>
  </si>
  <si>
    <t xml:space="preserve">01.10.0062</t>
  </si>
  <si>
    <t xml:space="preserve">BARRA ROSCADA AÇO CARBONO GALVANIZADO UNC 7/8" 9 FIOS C/ 1,00M</t>
  </si>
  <si>
    <t xml:space="preserve">24.41.0406</t>
  </si>
  <si>
    <t xml:space="preserve">MATRIZ ALICATE HIDRÁULICO SACC-70-70</t>
  </si>
  <si>
    <t xml:space="preserve">24.41.0407</t>
  </si>
  <si>
    <t xml:space="preserve">MATRIZ ALICATE HIDRÁULICO SACG-5834-70</t>
  </si>
  <si>
    <t xml:space="preserve">24.30.0058</t>
  </si>
  <si>
    <t xml:space="preserve">CARRO PLATAFORMA TIPO PRANCHA 800 KG</t>
  </si>
  <si>
    <t xml:space="preserve">29.03.0064</t>
  </si>
  <si>
    <t xml:space="preserve">MAQUINA DE LAVAR ROUPAS – 10KG</t>
  </si>
  <si>
    <t xml:space="preserve">24.24.0039</t>
  </si>
  <si>
    <t xml:space="preserve">PARAFUSADEIRA/FURADEIRA DE IMPACTO A BATERIA 18V CARREGADOR 2 BATERIAS MALETA E ACESSÓRIOS - BOSCH-06019F83E1-000</t>
  </si>
  <si>
    <t xml:space="preserve">26.01.0064</t>
  </si>
  <si>
    <t xml:space="preserve">UNIFORME ELETRICISTA - VESTIMENTA DE SEGURANÇA NR10 (CALÇA E CAMISA) - ATPV 11,3 CAL/CM² TAMANHO XG</t>
  </si>
  <si>
    <t xml:space="preserve">16.03.0515</t>
  </si>
  <si>
    <t xml:space="preserve">TINTA COR VERDE RAL 6024 (IBERDROLA GREEN-1)</t>
  </si>
  <si>
    <t xml:space="preserve">26.06.0007</t>
  </si>
  <si>
    <t xml:space="preserve">LUVA DE MALHA ALGODÃO PIGMENTADA - TAM G (CA-30521/10464/4699/12692)</t>
  </si>
  <si>
    <t xml:space="preserve">17.22.0134</t>
  </si>
  <si>
    <t xml:space="preserve">CINTA POSTE CIRCULAR Ø210 5000DAN</t>
  </si>
  <si>
    <t xml:space="preserve">08.02.0081</t>
  </si>
  <si>
    <t xml:space="preserve">BLOCO DE CONCRETO ESTRUTURAL INTEIRO 19x19x39CM</t>
  </si>
  <si>
    <t xml:space="preserve">17.08.0252</t>
  </si>
  <si>
    <t xml:space="preserve">QUADRO DE DISTRIBUICAO METALICO PARA ATE 25 DISJUNTORES COM BARRAMENTO TRIFASICO 150 A E BARRAMENTO DE NEUTRO E TERRA PA</t>
  </si>
  <si>
    <t xml:space="preserve">18.11.0011</t>
  </si>
  <si>
    <t xml:space="preserve">EXTINTOR INCÊNDIO CARGA BASE PO QUIMICO SECO CLASSE BC CAP 6KG NORMA CAP NBR 10721</t>
  </si>
  <si>
    <t xml:space="preserve">17.03.0624</t>
  </si>
  <si>
    <t xml:space="preserve">CURVA DE ALUMINIO 90 COM ROSCA TIPO PESADO 2"</t>
  </si>
  <si>
    <t xml:space="preserve">16.03.0514</t>
  </si>
  <si>
    <t xml:space="preserve">TINTA COR VERDE RAL 6005 (IBERDROLA FOREST)</t>
  </si>
  <si>
    <t xml:space="preserve">17.08.0223</t>
  </si>
  <si>
    <t xml:space="preserve">QUADRO DISTRIBUIÇÃO ILUMINAÇÃO QIL-EXT, ABRIGADO, AÇO GALVANIZADO, IP54</t>
  </si>
  <si>
    <t xml:space="preserve">30.01.0828</t>
  </si>
  <si>
    <t xml:space="preserve">CABIDE DE ALUMÍNIO PARA EXPOSITOR E MAPOTECA TRIDENT – MOD: 62,5 CM</t>
  </si>
  <si>
    <t xml:space="preserve">4.1.1.002 - Material expediente</t>
  </si>
  <si>
    <t xml:space="preserve">26.02.0035</t>
  </si>
  <si>
    <t xml:space="preserve">BOTINA PARA ELETRICISTA - RESISTENCIA 14 KV - COR PRETA - Nº 39 (CA-17010/28988/14721/26511)</t>
  </si>
  <si>
    <t xml:space="preserve">26.02.0037</t>
  </si>
  <si>
    <t xml:space="preserve">BOTINA PARA ELETRICISTA - RESISTENCIA 14 KV - COR PRETA - Nº 41 (CA-17010/28988/14721/26511)</t>
  </si>
  <si>
    <t xml:space="preserve">32.08.0002</t>
  </si>
  <si>
    <t xml:space="preserve">COMPRESSOR AR 60,00L 6,00PCM 120PSI 1HP 4 POLOS 1730RPM 220V</t>
  </si>
  <si>
    <t xml:space="preserve">26.01.0055</t>
  </si>
  <si>
    <t xml:space="preserve">COLETE REFLETIVO TIPO BLUSÃO - COR VERMELHO - BRIGADA DE EMERGÊNCIA</t>
  </si>
  <si>
    <t xml:space="preserve">17.01.1102</t>
  </si>
  <si>
    <t xml:space="preserve">CABO 2,5MM² 750V PVC AZUL UNIPOLAR</t>
  </si>
  <si>
    <t xml:space="preserve">26.01.0018</t>
  </si>
  <si>
    <t xml:space="preserve">CAPA DE CHUVA PVC LAMINADO SEM FORRO TAM. GG</t>
  </si>
  <si>
    <t xml:space="preserve">17.20.0675</t>
  </si>
  <si>
    <t xml:space="preserve">CARTUCHO COM METAL DE IGNIÇÃO PARA CONEXÃO DE CABO TERMINAL DE COBRE 70 mm², DIÂMETRO NOMINAL 19mm (3/4"), CONTEÚDO 90g</t>
  </si>
  <si>
    <t xml:space="preserve">26.02.0036</t>
  </si>
  <si>
    <t xml:space="preserve">BOTINA PARA ELETRICISTA - RESISTENCIA 14 KV - COR PRETA - Nº 40 (CA-17010/28988/14721/26511)</t>
  </si>
  <si>
    <t xml:space="preserve">16.03.0522</t>
  </si>
  <si>
    <t xml:space="preserve">TINTA ACRILICA PREMIUM, COR AMARELO PASTEL, PARA PAREDES EXTERNAS - REF. PERA DOCE SUVINIL OU SIMILAR</t>
  </si>
  <si>
    <t xml:space="preserve">18.09.0345</t>
  </si>
  <si>
    <t xml:space="preserve">REGISTRO DE PRESSÃO 25MM COM ACABAMENTO</t>
  </si>
  <si>
    <t xml:space="preserve">17.02.0915</t>
  </si>
  <si>
    <t xml:space="preserve">CONECTOR TORQUIMETRO</t>
  </si>
  <si>
    <t xml:space="preserve">29.02.0326</t>
  </si>
  <si>
    <t xml:space="preserve">SOFÁ 2 LUGARES</t>
  </si>
  <si>
    <t xml:space="preserve">01.09.0367</t>
  </si>
  <si>
    <t xml:space="preserve">PERFIL "C" DOBRADO 28 MM X 54 MM X 28 MM NA CHAPA 0,5 MM COM COMPRIMENTO DE 3 METROS E PINTURA EXTERNA</t>
  </si>
  <si>
    <t xml:space="preserve">24.22.0008</t>
  </si>
  <si>
    <t xml:space="preserve">TESOURÃO P/ ATÉ CABOS 30MM DIÂMETRO - STARFER</t>
  </si>
  <si>
    <t xml:space="preserve">03.01.0063</t>
  </si>
  <si>
    <t xml:space="preserve">MADEIRITE PLASTIFICADO</t>
  </si>
  <si>
    <t xml:space="preserve">26.02.0038</t>
  </si>
  <si>
    <t xml:space="preserve">BOTINA PARA ELETRICISTA - RESISTENCIA 14 KV - COR PRETA - Nº 42 (CA-17010/28988/14721/26511)</t>
  </si>
  <si>
    <t xml:space="preserve">17.22.0132</t>
  </si>
  <si>
    <t xml:space="preserve">PINO AUTOTRAVANTE ISOLADOR M20 C/ ARRUELAS E PORCA</t>
  </si>
  <si>
    <t xml:space="preserve">16.02.0041</t>
  </si>
  <si>
    <t xml:space="preserve">MASSA ACRÍLICA</t>
  </si>
  <si>
    <t xml:space="preserve">26.03.0024</t>
  </si>
  <si>
    <t xml:space="preserve">CAPACETE COM ABA FRONTAL CLASSE B PROTETOR AUDITIVO E VISEIRA TELA DE NYLON TIPO MOTOSSERISTA (CA 7</t>
  </si>
  <si>
    <t xml:space="preserve">18.01.1663</t>
  </si>
  <si>
    <t xml:space="preserve">BUCHA REDUÇÃO (2"-1.1/2") S/ ROSCA ALUMÍNIO</t>
  </si>
  <si>
    <t xml:space="preserve">17.20.0632</t>
  </si>
  <si>
    <t xml:space="preserve">PORCA SEXTAVADA GALVANIZADA 1"</t>
  </si>
  <si>
    <t xml:space="preserve">32.07.0139</t>
  </si>
  <si>
    <t xml:space="preserve">MOTOPOLADOR DE GALHOS A GASOLINA 3 METROS KMP330 KAWARAH</t>
  </si>
  <si>
    <t xml:space="preserve">26.02.0187</t>
  </si>
  <si>
    <t xml:space="preserve">BOTINA FUJIWARA HESS C/BICO DE AÇO COMPOSITE E PALMILHA ANTIPERFURANTE CA 42330 N° 39</t>
  </si>
  <si>
    <t xml:space="preserve">35.17.0032</t>
  </si>
  <si>
    <t xml:space="preserve">PAR DE RÁDIO PONTO A PONTO BF-777S</t>
  </si>
  <si>
    <t xml:space="preserve">32.07.0186</t>
  </si>
  <si>
    <t xml:space="preserve">SABRE PARA MOTOSSERRA STIHL MS 361</t>
  </si>
  <si>
    <t xml:space="preserve">16.03.0512</t>
  </si>
  <si>
    <t xml:space="preserve">TINTA ACRILICA BRANCA</t>
  </si>
  <si>
    <t xml:space="preserve">09.16.0012</t>
  </si>
  <si>
    <t xml:space="preserve">MARCO DE CONCRETO</t>
  </si>
  <si>
    <t xml:space="preserve">23.02.0484</t>
  </si>
  <si>
    <t xml:space="preserve">SUPORTE PARA CABO ISOLADO C/ PARAFUSO M12</t>
  </si>
  <si>
    <t xml:space="preserve">08.02.0075</t>
  </si>
  <si>
    <t xml:space="preserve">BLOCO L 34X14X19 FCK MAIOR OU IGUAL 6MPA</t>
  </si>
  <si>
    <t xml:space="preserve">17.16.3810</t>
  </si>
  <si>
    <t xml:space="preserve">CONECTOR DE LIGA DE COBRE, PARA DERIVAÇÃO RETA E 90º DE 2 (DOIS) CABOS DE COBRE BITOLA 50 A 95 MM²</t>
  </si>
  <si>
    <t xml:space="preserve">26.12.0066</t>
  </si>
  <si>
    <t xml:space="preserve">CONE DE BORRACHA 75CM, LARANJA COM DUAS FAIXAS BRANCAS REFLETIVAS, COM BASE PRETA PARA CONTRAPESO</t>
  </si>
  <si>
    <t xml:space="preserve">18.11.0001</t>
  </si>
  <si>
    <t xml:space="preserve">EXTINTOR INCÊNDIO CARGA BASE ÁGUA PRESSURIZADA PRESSAO INJETADA CLASSE A CAP 10L NORMA MANOM NBR 944</t>
  </si>
  <si>
    <t xml:space="preserve">26.01.0012</t>
  </si>
  <si>
    <t xml:space="preserve">BLUSÃO PARA OPERADOR DE MOTOSSERRA - TAM M</t>
  </si>
  <si>
    <t xml:space="preserve">26.04.0157</t>
  </si>
  <si>
    <t xml:space="preserve">DESTORCEDOR PARA CABOS CAPACIDADADE 5000 KGF</t>
  </si>
  <si>
    <t xml:space="preserve">25.13.0094</t>
  </si>
  <si>
    <t xml:space="preserve">MANGOTE DE SUCÇÃO 3" AZUL</t>
  </si>
  <si>
    <t xml:space="preserve">24.42.0020</t>
  </si>
  <si>
    <t xml:space="preserve">MARTELETE ROMPEDOR SDSPLUS MAKITA ACESSÓRIOS 220V</t>
  </si>
  <si>
    <t xml:space="preserve">26.01.0026</t>
  </si>
  <si>
    <t xml:space="preserve">COLETE REFLETIVO TIPO BLUSÃO - 4 BOLSOS - COR VERDE - TAM. M</t>
  </si>
  <si>
    <t xml:space="preserve">26.04.0128</t>
  </si>
  <si>
    <t xml:space="preserve">DESCENSOR TIPO STOP PARA CORDAS DE 9 A 12MM</t>
  </si>
  <si>
    <t xml:space="preserve">17.12.0503</t>
  </si>
  <si>
    <t xml:space="preserve">TOMADA TETRAPOLAR + PLUG 4 PINS (3F+T), 460V, 20A, AO TEMPO, IP54, LIGA ALUMÍNIO, CORPO REDONDO, 4 ENTRADAS DN 1" BSP</t>
  </si>
  <si>
    <t xml:space="preserve">17.15.0017</t>
  </si>
  <si>
    <t xml:space="preserve">CHAVE SECCIONADORA TRIPOLAR C/ BASE FUSIVEL 15KV 100A FACA</t>
  </si>
  <si>
    <t xml:space="preserve">32.12.0101</t>
  </si>
  <si>
    <t xml:space="preserve">MEDIDOR DE ÂNGULO GAM 220MF - TRANSFERIDOR DE GRAU DIGITAL</t>
  </si>
  <si>
    <t xml:space="preserve">01.02.0013</t>
  </si>
  <si>
    <t xml:space="preserve">AÇO CARBONO CA-50 VERGALHÃO NERVURADO 12,50MM X 12,00M NBR 7480 (0,963KG/M) - CORTADO E DOBRADO</t>
  </si>
  <si>
    <t xml:space="preserve">26.10.0015</t>
  </si>
  <si>
    <t xml:space="preserve">CALÇA PARA OPERADOR DE MOTOSERRA CA 40310 TAM 40</t>
  </si>
  <si>
    <t xml:space="preserve">26.04.0082</t>
  </si>
  <si>
    <t xml:space="preserve">TRAVA QUEDAS RETRÁTIL COM CABO DE AÇO DE 6,0 M</t>
  </si>
  <si>
    <t xml:space="preserve">31.02.0059</t>
  </si>
  <si>
    <t xml:space="preserve">ÓLEO LUBRIFICANTE DE CORRENTES E SABRES DE MOTOSSERRAS 1L</t>
  </si>
  <si>
    <t xml:space="preserve">17.02.0891</t>
  </si>
  <si>
    <t xml:space="preserve">ELETRODUTO DE ALUMÍNIO COM ROSCA, Ø 3" BSP, VARA DE 3,00 M</t>
  </si>
  <si>
    <t xml:space="preserve">32.07.0103</t>
  </si>
  <si>
    <t xml:space="preserve">POLICORTE PORTÁTIL 14" - 2000W - M2403B - 220V</t>
  </si>
  <si>
    <t xml:space="preserve">31.02.0114</t>
  </si>
  <si>
    <t xml:space="preserve">ÓLEO ATF 20L</t>
  </si>
  <si>
    <t xml:space="preserve">29.03.0091</t>
  </si>
  <si>
    <t xml:space="preserve">FORNO MICRO-ONDAS</t>
  </si>
  <si>
    <t xml:space="preserve">01.09.0127</t>
  </si>
  <si>
    <t xml:space="preserve">CANTONEIRA ZZ</t>
  </si>
  <si>
    <t xml:space="preserve">17.01.1234</t>
  </si>
  <si>
    <t xml:space="preserve">CABO ELETRICO FLEXIVEL 0,6/1KV 1 X 50,00MM2 COBRE PVC CLASSE 5 AZUL NBR 7288</t>
  </si>
  <si>
    <t xml:space="preserve">29.03.0190</t>
  </si>
  <si>
    <t xml:space="preserve">BATERIA MAKITA BL – 1830-18V-3,0</t>
  </si>
  <si>
    <t xml:space="preserve">24.08.0044</t>
  </si>
  <si>
    <t xml:space="preserve">ALICATE P/ CRIMPAR CONECTOR MC4</t>
  </si>
  <si>
    <t xml:space="preserve">23.05.0310</t>
  </si>
  <si>
    <t xml:space="preserve">ARRUELA QUADRADA DE ACO INOXIDAVEL, BITOLA M12</t>
  </si>
  <si>
    <t xml:space="preserve">24.23.0028</t>
  </si>
  <si>
    <t xml:space="preserve">ENGRAXADEIRA MANUAL</t>
  </si>
  <si>
    <t xml:space="preserve">32.03.0007</t>
  </si>
  <si>
    <t xml:space="preserve">MISTURADOR DE ARGAMASSA - AUTONOMIA 100KG</t>
  </si>
  <si>
    <t xml:space="preserve">08.02.0093</t>
  </si>
  <si>
    <t xml:space="preserve">CANALETA 19X19X39CM 6MPA</t>
  </si>
  <si>
    <t xml:space="preserve">18.08.0219</t>
  </si>
  <si>
    <t xml:space="preserve">CAIXA GRADEADA 2.000 L/H EM PEAD</t>
  </si>
  <si>
    <t xml:space="preserve">17.11.1147</t>
  </si>
  <si>
    <t xml:space="preserve">LAMPADA LED 80W</t>
  </si>
  <si>
    <t xml:space="preserve">32.12.0244</t>
  </si>
  <si>
    <t xml:space="preserve">MEDIDOR DE INCLINAÇÃO DIGITAL COM IMÃ 272.300 - NEW DIGMESS</t>
  </si>
  <si>
    <t xml:space="preserve">06.03.0027</t>
  </si>
  <si>
    <t xml:space="preserve">MANTA GEOTÊXTIL</t>
  </si>
  <si>
    <t xml:space="preserve">01.11.0309</t>
  </si>
  <si>
    <t xml:space="preserve">CHAPA PRETA 2,60MM X 114,50 X 200,00MM INCLUSO DOBRAS</t>
  </si>
  <si>
    <t xml:space="preserve">26.01.0019</t>
  </si>
  <si>
    <t xml:space="preserve">AVENTAL RASPA COURO (TIPO BARBEIRO)</t>
  </si>
  <si>
    <t xml:space="preserve">24.41.0402</t>
  </si>
  <si>
    <t xml:space="preserve">BATERIA RECARREGÁVEL PARA FERRAMENTA ELÉTRICA</t>
  </si>
  <si>
    <t xml:space="preserve">32.08.0089</t>
  </si>
  <si>
    <t xml:space="preserve">GERADOR À GASOLINA 4T 196CC 3,1kVA BIVOLT MONO TG3100CXR</t>
  </si>
  <si>
    <t xml:space="preserve">26.08.0009</t>
  </si>
  <si>
    <t xml:space="preserve">PROTETOR AUDITIVO/ABAFADOR DE RUÍDOS - TIPO CONCHA - ACOPLÁVEL</t>
  </si>
  <si>
    <t xml:space="preserve">17.20.0566</t>
  </si>
  <si>
    <t xml:space="preserve">TERMINAL DE COMPRESSÃO 70MM²</t>
  </si>
  <si>
    <t xml:space="preserve">18.01.1388</t>
  </si>
  <si>
    <t xml:space="preserve">TUBO SERIE NORMAL 40MM ESGOTO - 6000MM</t>
  </si>
  <si>
    <t xml:space="preserve">17.01.1326</t>
  </si>
  <si>
    <t xml:space="preserve">CABO FLEXÍVEL ISOL. HEPR ENCH. PVC 0,6/1KV 2,50MM² PRETO</t>
  </si>
  <si>
    <t xml:space="preserve">26.10.0016</t>
  </si>
  <si>
    <t xml:space="preserve">CALÇA PARA OPERADOR DE MOTOSERRA CA 40310 TAM 42</t>
  </si>
  <si>
    <t xml:space="preserve">10.08.0001</t>
  </si>
  <si>
    <t xml:space="preserve">PISO VINILICO MANTA PVC 2,00M X 20,00M</t>
  </si>
  <si>
    <t xml:space="preserve">26.06.0003</t>
  </si>
  <si>
    <t xml:space="preserve">LUVA LATÉX - TAM. G (CA-15532/6659/27788/19435)</t>
  </si>
  <si>
    <t xml:space="preserve">26.04.0138</t>
  </si>
  <si>
    <t xml:space="preserve">POLIA DE ALUMÍNIO DUPLA 10 A 16MM DUPLA MG - 2028A</t>
  </si>
  <si>
    <t xml:space="preserve">24.01.0001</t>
  </si>
  <si>
    <t xml:space="preserve">ALICATE AMPERIMETRO DIGITAL 0 A 10A 750V</t>
  </si>
  <si>
    <t xml:space="preserve">18.01.1288</t>
  </si>
  <si>
    <t xml:space="preserve">JOGO DE TARRAXA MANUAL PARA CANO METÁLICO BSPT 1" A 2"</t>
  </si>
  <si>
    <t xml:space="preserve">24.36.0002</t>
  </si>
  <si>
    <t xml:space="preserve">FACA DESENCAPADORA DE CABOS VDE ISOLADA EN60900</t>
  </si>
  <si>
    <t xml:space="preserve">19.12.0035</t>
  </si>
  <si>
    <t xml:space="preserve">SUPORTE DISPENSER PAPEL HIGIÊNICO ROLÃO 300M A 400 M</t>
  </si>
  <si>
    <t xml:space="preserve">17.22.0147</t>
  </si>
  <si>
    <t xml:space="preserve">LAÇO PRÉ-FORMADO DE TOPO EM COBRE PARA CABO DE COBRE NÚ 120MM</t>
  </si>
  <si>
    <t xml:space="preserve">32.02.0349</t>
  </si>
  <si>
    <t xml:space="preserve">CINTA PARA POSTE CIRCULAR (260)</t>
  </si>
  <si>
    <t xml:space="preserve">26.01.0028</t>
  </si>
  <si>
    <t xml:space="preserve">COLETE REFLETIVO TIPO BLUSÃO - 4 BOLSOS - COR VERDE - TAM. XGG</t>
  </si>
  <si>
    <t xml:space="preserve">25.13.0096</t>
  </si>
  <si>
    <t xml:space="preserve">MANGUEIRA FLEXÍVEL CHATA 2”</t>
  </si>
  <si>
    <t xml:space="preserve">26.04.0150</t>
  </si>
  <si>
    <t xml:space="preserve">DISPOSITIVO DE ANCORAGEM TIPO AGULHÃO</t>
  </si>
  <si>
    <t xml:space="preserve">13.02.0384</t>
  </si>
  <si>
    <t xml:space="preserve">JANELA FIXA DE ALUMINIO 0,40 X 0,50 M C/ PINTURA ELETROSTATICA BRANCA</t>
  </si>
  <si>
    <t xml:space="preserve">17.01.1221</t>
  </si>
  <si>
    <t xml:space="preserve">CABO MONOPOLAR 2,5 MM², CONDUTOR EM COBRE ELETROLÍTICO NU, TÊMPERA MOLE, CLASSE 5, TENSÃO 750 V,  COR CINZA</t>
  </si>
  <si>
    <t xml:space="preserve">29.03.0083</t>
  </si>
  <si>
    <t xml:space="preserve">VENTILADOR DE PAREDE 60CM 220 V</t>
  </si>
  <si>
    <t xml:space="preserve">24.41.0403</t>
  </si>
  <si>
    <t xml:space="preserve">JOGO DE FERRAMENTAS MECÂNICAS COM 70 PEÇAS</t>
  </si>
  <si>
    <t xml:space="preserve">26.13.0002</t>
  </si>
  <si>
    <t xml:space="preserve">BATA MANGA LONGA TAMANHO M - FORRO NO OMBRO, GOLA COM VELCRO, 3 BOLSOS, LOGOMARCA NAS COSTAS, 02 ARG</t>
  </si>
  <si>
    <t xml:space="preserve">26.13.0114</t>
  </si>
  <si>
    <t xml:space="preserve">BATA MANGA LONGA TAMANHO XXG - FORRO NO OMBRO, GOLA COM VELCRO, 3 BOLSOS, LOGOMARCA NAS COSTAS, 02 AR</t>
  </si>
  <si>
    <t xml:space="preserve">29.01.1233</t>
  </si>
  <si>
    <t xml:space="preserve">NOBREAK INTELBRAS MODELO ATTIV 600VA BI-VOLT</t>
  </si>
  <si>
    <t xml:space="preserve">16.03.0100</t>
  </si>
  <si>
    <t xml:space="preserve">TINTA ACRILICA PARA PISO VERDE 18,00L NBR 11702</t>
  </si>
  <si>
    <t xml:space="preserve">26.02.0026</t>
  </si>
  <si>
    <t xml:space="preserve">BOTA IMPERMEÁVEL DE PVC CANO LONGO - COR PRETA - Nº 43 (CA-26629/10199/28286)</t>
  </si>
  <si>
    <t xml:space="preserve">17.22.0131</t>
  </si>
  <si>
    <t xml:space="preserve">SELA CRUZETA ABERTURA 90MM</t>
  </si>
  <si>
    <t xml:space="preserve">16.03.0173</t>
  </si>
  <si>
    <t xml:space="preserve">TINTA PARA PISO - COR: VERMELHO 18L NBR 11702</t>
  </si>
  <si>
    <t xml:space="preserve">19.03.0069</t>
  </si>
  <si>
    <t xml:space="preserve">LAVATÓRIO DE PLÁSTICO PEQUENO BRANCO NBR 16728</t>
  </si>
  <si>
    <t xml:space="preserve">01.05.0054</t>
  </si>
  <si>
    <t xml:space="preserve">TELA SOLDADA NERVURADA  Q 283 Ø6.0MM - 10 X 10CM</t>
  </si>
  <si>
    <t xml:space="preserve">26.04.0006</t>
  </si>
  <si>
    <t xml:space="preserve">ESPORA TIPO DT COM AÇO TEMPERADO, ESTRIBO PARA APOIO DO CALCANHAR E CORREIAS DE COURO COM FIVELAS</t>
  </si>
  <si>
    <t xml:space="preserve">17.16.0488</t>
  </si>
  <si>
    <t xml:space="preserve">TERMINAL BIMETÁLICO 300MM² - M12</t>
  </si>
  <si>
    <t xml:space="preserve">32.02.0348</t>
  </si>
  <si>
    <t xml:space="preserve">CINTA PARA POSTE CIRCULAR (240)</t>
  </si>
  <si>
    <t xml:space="preserve">17.16.0013</t>
  </si>
  <si>
    <t xml:space="preserve">CONECTOR SPLIT BOLT SIMPLES/SIMPLES COBRE ELETROLITICO ESTANHADO 50,00MM2</t>
  </si>
  <si>
    <t xml:space="preserve">29.03.0196</t>
  </si>
  <si>
    <t xml:space="preserve">CORTINA DE AR 150 CM</t>
  </si>
  <si>
    <t xml:space="preserve">26.04.0081</t>
  </si>
  <si>
    <t xml:space="preserve">TRAVA QUEDAS RETRÁTIL COM CABO DE AÇO DE 3,5 M</t>
  </si>
  <si>
    <t xml:space="preserve">02.03.0012</t>
  </si>
  <si>
    <t xml:space="preserve">ARAME LISO OVALADO DE AÇO FIO 12 ( 2,76MM ) ROLOS DE 500M</t>
  </si>
  <si>
    <t xml:space="preserve">24.28.0007</t>
  </si>
  <si>
    <t xml:space="preserve">MARCADOR INDUSTRIAL 60ML X 2MM VERMELHO</t>
  </si>
  <si>
    <t xml:space="preserve">32.02.0015</t>
  </si>
  <si>
    <t xml:space="preserve">CINTA DE ELEVAÇÃO CAPACIDADE 3,0T COM 4,0M</t>
  </si>
  <si>
    <t xml:space="preserve">09.13.0003</t>
  </si>
  <si>
    <t xml:space="preserve">RUFO 1,0M X 0,30M X 0,03M</t>
  </si>
  <si>
    <t xml:space="preserve">19.09.0005</t>
  </si>
  <si>
    <t xml:space="preserve">CHUVEIRO ELÉTRICO 4400W 220V –  BRANCO – PAREDE - LORENZETTI</t>
  </si>
  <si>
    <t xml:space="preserve">26.13.0026</t>
  </si>
  <si>
    <t xml:space="preserve">CAMISA MALHA MOLETON - TAMANHO M - MODELO ESPORTE - GOLA CARECA MANGA LONGA COM PUNHO DE RIBANA - LO</t>
  </si>
  <si>
    <t xml:space="preserve">01.02.0004</t>
  </si>
  <si>
    <t xml:space="preserve">AÇO CARBONO CA-50 VERGALHÃO NERVURADO 12,50MM X 12,00M NBR 7480 (0,963KG/M)</t>
  </si>
  <si>
    <t xml:space="preserve">18.04.0084</t>
  </si>
  <si>
    <t xml:space="preserve">TUBO PEAD LISO DIÂMETRO 63 MM</t>
  </si>
  <si>
    <t xml:space="preserve">30.03.0057</t>
  </si>
  <si>
    <t xml:space="preserve">PAPEL HIGIENICO ROLO FOLHA DUPLA NEUTRO BRANCO 30,00M X 10,00CM FARDO 64ROLOS</t>
  </si>
  <si>
    <t xml:space="preserve">06.02.0043</t>
  </si>
  <si>
    <t xml:space="preserve">PRIMER ADERÊNCIA PARA SELANTE 275ML</t>
  </si>
  <si>
    <t xml:space="preserve">32.07.0030</t>
  </si>
  <si>
    <t xml:space="preserve">LIXADEIRA ANGULAR 7" GWS 22U 2200W BOSCH</t>
  </si>
  <si>
    <t xml:space="preserve">26.02.0166</t>
  </si>
  <si>
    <t xml:space="preserve">BOTA - CALÇADO DE SEGURANÇA TIPO COTURNO MOTOSSERISTA - CA 37533 Nº 41</t>
  </si>
  <si>
    <t xml:space="preserve">33.02.2797</t>
  </si>
  <si>
    <t xml:space="preserve">RESISTENCIA LORENZ P/ DUCHA ADV 220</t>
  </si>
  <si>
    <t xml:space="preserve">16.03.0505</t>
  </si>
  <si>
    <t xml:space="preserve">TINTA GALVANIZADA A FRIO EM SPRAY</t>
  </si>
  <si>
    <t xml:space="preserve">25.20.0001</t>
  </si>
  <si>
    <t xml:space="preserve">ARCO DE SERRA FIXO 12 POL REF.STARRET-140</t>
  </si>
  <si>
    <t xml:space="preserve">17.02.0088</t>
  </si>
  <si>
    <t xml:space="preserve">CURVA 90GR ELETRODUTO AÇO CARBONO GALVANIZADO A FOGO LEVE BSP 11 FIOS 2.1/2" X 74,90MM</t>
  </si>
  <si>
    <t xml:space="preserve">24.35.0009</t>
  </si>
  <si>
    <t xml:space="preserve">ENXADA</t>
  </si>
  <si>
    <t xml:space="preserve">24.01.0026</t>
  </si>
  <si>
    <t xml:space="preserve">SERRA MÁRMORE 125 MM PARA CORTE EM ÂNGULO 1450 W 220 V</t>
  </si>
  <si>
    <t xml:space="preserve">17.22.0135</t>
  </si>
  <si>
    <t xml:space="preserve">CINTA POSTE CIRCULAR Ø420 5000DAN</t>
  </si>
  <si>
    <t xml:space="preserve">01.02.0034</t>
  </si>
  <si>
    <t xml:space="preserve">VERGALHAO 4,2MM ESTRIVO 1,31KG/BR</t>
  </si>
  <si>
    <t xml:space="preserve">17.12.0502</t>
  </si>
  <si>
    <t xml:space="preserve">TOMADA BIPOLAR + PLUG 3 PINS (2F+T), 220V, 20A, AO TEMPO, IP54, LIGA ALUMÍNIO, CORPO REDONDO, 4 ENTRADAS DIÂMETRO 1" BSP</t>
  </si>
  <si>
    <t xml:space="preserve">18.09.0364</t>
  </si>
  <si>
    <t xml:space="preserve">VÁLVULA DE ESCOAMENTO PARA LAVATÓRIO 7/8"</t>
  </si>
  <si>
    <t xml:space="preserve">29.03.0158</t>
  </si>
  <si>
    <t xml:space="preserve">DEFLETOR PARA AR CONDICIONADO</t>
  </si>
  <si>
    <t xml:space="preserve">18.01.1641</t>
  </si>
  <si>
    <t xml:space="preserve">TUBO PEAD PERFURADO 100 MM</t>
  </si>
  <si>
    <t xml:space="preserve">17.01.1396</t>
  </si>
  <si>
    <t xml:space="preserve">CABO 2,5MM 750V PVC VERMELHO UNIPOLAR</t>
  </si>
  <si>
    <t xml:space="preserve">17.10.0028</t>
  </si>
  <si>
    <t xml:space="preserve">DISJUNTOR TERMOMAGNETICO IEC TRIPOLAR 380V 70A NBR 60898</t>
  </si>
  <si>
    <t xml:space="preserve">24.29.0018</t>
  </si>
  <si>
    <t xml:space="preserve">PULVERIZADOR COSTAL A BATERIA E MANUAL 12V 20 LITROS COM 5 BICOS - SS-20B (110V/220V)</t>
  </si>
  <si>
    <t xml:space="preserve">07.01.0016</t>
  </si>
  <si>
    <t xml:space="preserve">ARGAMASSA AC III BRANCA</t>
  </si>
  <si>
    <t xml:space="preserve">3.8.1.007 - Argamassas</t>
  </si>
  <si>
    <t xml:space="preserve">24.09.0034</t>
  </si>
  <si>
    <t xml:space="preserve">CHAVE COMBINADA 1.5/16" AÇO CARBONO CROMADO</t>
  </si>
  <si>
    <t xml:space="preserve">17.01.1103</t>
  </si>
  <si>
    <t xml:space="preserve">CABO 2,5MM² 750V PVC VERDE UNIPOLAR</t>
  </si>
  <si>
    <t xml:space="preserve">17.01.1216</t>
  </si>
  <si>
    <t xml:space="preserve">CABO MONOPOLAR 4 MM², CONDUTOR EM COBRE ELETROLÍTICO NU, TÊMPERA MOLE, CLASSE 5, TENSÃO 0,6/1 KV, COR PRETO</t>
  </si>
  <si>
    <t xml:space="preserve">32.07.0238</t>
  </si>
  <si>
    <t xml:space="preserve">DOBRADOR DE TUBO HIDRAULICO 16 TON</t>
  </si>
  <si>
    <t xml:space="preserve">16.03.0518</t>
  </si>
  <si>
    <t xml:space="preserve">TINTA COR AZUL RAL 5012 (IBERDROLA SKY)</t>
  </si>
  <si>
    <t xml:space="preserve">23.07.1580</t>
  </si>
  <si>
    <t xml:space="preserve">PARAFUSO FRANCÊS INOX M12X50 C/ PORCA E ARRUELA</t>
  </si>
  <si>
    <t xml:space="preserve">09.21.0039</t>
  </si>
  <si>
    <t xml:space="preserve">POSTE CONCRETO DUPLO T TIPO D 7,00M 75KGF</t>
  </si>
  <si>
    <t xml:space="preserve">01.09.0366</t>
  </si>
  <si>
    <t xml:space="preserve">PERFIL "C" DOBRADO 28 MM X 29 MM X 28 MM NA CHAPA 0,5 MM COM COMPRIMENTO DE 3 METROS E PINTURA EXTERNA</t>
  </si>
  <si>
    <t xml:space="preserve">17.22.0139</t>
  </si>
  <si>
    <t xml:space="preserve">CINTA POSTE CIRCULAR Ø480 5000DAN</t>
  </si>
  <si>
    <t xml:space="preserve">19.14.0080</t>
  </si>
  <si>
    <t xml:space="preserve">TERMINAÇÃO CONTRÁTIL A FRIO, INSTALAÇÃO INTERNA, TENSÃO NOMINAL 8,7/15 KV, PARA CABO DE BITOLA 70 MM²</t>
  </si>
  <si>
    <t xml:space="preserve">24.20.0015</t>
  </si>
  <si>
    <t xml:space="preserve">REGUA METALICA REFORÇADA 3M</t>
  </si>
  <si>
    <t xml:space="preserve">03.10.0030</t>
  </si>
  <si>
    <t xml:space="preserve">CAIBRO EUCALIPTO</t>
  </si>
  <si>
    <t xml:space="preserve">17.20.0676</t>
  </si>
  <si>
    <t xml:space="preserve">CARTUCHO COM METAL DE IGNIÇÃO PARA CONEXÃO DE CABO PASSANTE DE COBRE 70mm², DIÂMETRO NOMINAL 19mm (3/4"), CONTEÚDO 115g</t>
  </si>
  <si>
    <t xml:space="preserve">24.14.0037</t>
  </si>
  <si>
    <t xml:space="preserve">MARRETA DE 2KG C/ CABO</t>
  </si>
  <si>
    <t xml:space="preserve">16.03.0521</t>
  </si>
  <si>
    <t xml:space="preserve">TINTA ACRILICA PREMIUM, COR BRANCO NEVE, PARA PAREDES INTERNAS - REF. CORAL OU SIMILAR</t>
  </si>
  <si>
    <t xml:space="preserve">17.01.1397</t>
  </si>
  <si>
    <t xml:space="preserve">CABO MULTIPLEXADO ALUMINIO 0,6/1 KV 3X4 MM</t>
  </si>
  <si>
    <t xml:space="preserve">29.02.0032</t>
  </si>
  <si>
    <t xml:space="preserve">FRONHA</t>
  </si>
  <si>
    <t xml:space="preserve">30.03.0468</t>
  </si>
  <si>
    <t xml:space="preserve">DESINCRUSTANTE LÍQUIDO CONCENTRADO - RESOX</t>
  </si>
  <si>
    <t xml:space="preserve">17.07.0050</t>
  </si>
  <si>
    <t xml:space="preserve">CAIXA DE PASSAGEM DE SERVIÇOS AUXILIARES, 0,5 X 0,5 X 0,375M COM TAMPA PP</t>
  </si>
  <si>
    <t xml:space="preserve">24.14.0036</t>
  </si>
  <si>
    <t xml:space="preserve">MARRETA DE 5KG</t>
  </si>
  <si>
    <t xml:space="preserve">24.49.0001</t>
  </si>
  <si>
    <t xml:space="preserve">FOICE ROÇADEIRA COM CABO DE MADEIRA - 1165MM X 174MM X 36MM</t>
  </si>
  <si>
    <t xml:space="preserve">24.24.0006</t>
  </si>
  <si>
    <t xml:space="preserve">FURADEIRA DE IMPACTO TIPO MARTELETE GBH 2-26 DRE 220V 60HZ 800W</t>
  </si>
  <si>
    <t xml:space="preserve">24.15.0026</t>
  </si>
  <si>
    <t xml:space="preserve">MARTELO CARPINTEIRO CABO MADEIRA 35MM</t>
  </si>
  <si>
    <t xml:space="preserve">01.02.0032</t>
  </si>
  <si>
    <t xml:space="preserve">VERGALHÃO FERRO 1/4</t>
  </si>
  <si>
    <t xml:space="preserve">33.02.2695</t>
  </si>
  <si>
    <t xml:space="preserve">TERMINAL RETO DE COMPRESSÃO 50MM2</t>
  </si>
  <si>
    <t xml:space="preserve">30.03.0060</t>
  </si>
  <si>
    <t xml:space="preserve">PAPEL HIGIENICO ROLÃO BRANCO 300,00M FARDO 8ROLOS</t>
  </si>
  <si>
    <t xml:space="preserve">24.07.0026</t>
  </si>
  <si>
    <t xml:space="preserve">TRENA A LASER 50M</t>
  </si>
  <si>
    <t xml:space="preserve">30.01.0729</t>
  </si>
  <si>
    <t xml:space="preserve">BOBINA DE FIO DE NYLON QUADRADO 3,3MM X 228MM PARA ROÇADEIRA STIHL</t>
  </si>
  <si>
    <t xml:space="preserve">18.01.1587</t>
  </si>
  <si>
    <t xml:space="preserve">TÊ DE REDUÇÃO SOLDÁVEL 50 X 20 MM PVC</t>
  </si>
  <si>
    <t xml:space="preserve">26.02.0007</t>
  </si>
  <si>
    <t xml:space="preserve">BOTINA DE COURO CANO CURTO C/ ELÁSTICO - COR PRETA -  Nº 39 (CA-25259/28026/28509/29258)</t>
  </si>
  <si>
    <t xml:space="preserve">26.02.0008</t>
  </si>
  <si>
    <t xml:space="preserve">BOTINA DE COURO CANO CURTO C/ ELÁSTICO - COR PRETA -  Nº 40 (CA-25259/28026/28509/29258)</t>
  </si>
  <si>
    <t xml:space="preserve">32.12.0177</t>
  </si>
  <si>
    <t xml:space="preserve">MEDIDOR DE ANGULOS 220 GRAUS GAM220MF</t>
  </si>
  <si>
    <t xml:space="preserve">29.03.0020</t>
  </si>
  <si>
    <t xml:space="preserve">BEBEDOURO DE COLUNA GELÁGUA</t>
  </si>
  <si>
    <t xml:space="preserve">32.07.0151</t>
  </si>
  <si>
    <t xml:space="preserve">ESMERILHADEIRA ANGULAR BOSCH GWS 850 DE 4 1/2" 850W 220V</t>
  </si>
  <si>
    <t xml:space="preserve">17.05.0049</t>
  </si>
  <si>
    <t xml:space="preserve">CAIXA CONDULETE 6 ENTRADAS PVC - 3/4”,1/2” e 1” CINZA</t>
  </si>
  <si>
    <t xml:space="preserve">18.01.1657</t>
  </si>
  <si>
    <t xml:space="preserve">TUBO PEAD CORRUGADO NÃO PERFURADO P/ DRENAGEM 150 MM</t>
  </si>
  <si>
    <t xml:space="preserve">17.02.0907</t>
  </si>
  <si>
    <t xml:space="preserve">CONECTOR MACHO FIXO ELETRODUTO FLEX. Ø1.1/2" BSP C/ PORCA</t>
  </si>
  <si>
    <t xml:space="preserve">26.03.0008</t>
  </si>
  <si>
    <t xml:space="preserve">CAPACETE COM ABA FRONTAL (TIPO II) C/ CARNEIRA - COR BRANCA (CA-498/8304)</t>
  </si>
  <si>
    <t xml:space="preserve">17.08.0250</t>
  </si>
  <si>
    <t xml:space="preserve">QUADRO METALICO 30 DISJUNTORES CM BARRAMENTOS DE NEUTRO E TERRA E BARRAMENTO TRIFASICO DE FASE CM CAPACIDADE DE 350A</t>
  </si>
  <si>
    <t xml:space="preserve">17.21.0004</t>
  </si>
  <si>
    <t xml:space="preserve">SECCIONADOR PREFORMADO PARA CERCA ISOLADO 35 KV</t>
  </si>
  <si>
    <t xml:space="preserve">30.03.0479</t>
  </si>
  <si>
    <t xml:space="preserve">TAPETE ISOLANTE DE BORRACHA CLASSE II TAMANHO 2M X 1M</t>
  </si>
  <si>
    <t xml:space="preserve">26.02.0186</t>
  </si>
  <si>
    <t xml:space="preserve">BOTINA FUJIWARA HESS C/BICO DE AÇO COMPOSITE E PALMILHA ANTIPERFURANTE CA 42330 N° 38</t>
  </si>
  <si>
    <t xml:space="preserve">30.03.0335</t>
  </si>
  <si>
    <t xml:space="preserve">COLETORES COM 03 DIVISÓRIAS (PAPEL, PLASTICO E NÃO RECICLÁVEL)</t>
  </si>
  <si>
    <t xml:space="preserve">30.08.0016</t>
  </si>
  <si>
    <t xml:space="preserve">SACOLA PERSONALIZADA</t>
  </si>
  <si>
    <t xml:space="preserve">4.6.1.003 - Brindes</t>
  </si>
  <si>
    <t xml:space="preserve">30.04.0201</t>
  </si>
  <si>
    <t xml:space="preserve">GARRAFA TÉRMICA DE PLÁSTICO 12L - ALÇA LATERAL</t>
  </si>
  <si>
    <t xml:space="preserve">13.02.0381</t>
  </si>
  <si>
    <t xml:space="preserve">JANELA DE CORRER DE DUAS FOLHAS EM ALUMINIO COM PINTURA ELETROSTATICA PRETA E VIDRO LISO INCOLOR 6 MM (1,50 X 1,00 M)</t>
  </si>
  <si>
    <t xml:space="preserve">17.01.0710</t>
  </si>
  <si>
    <t xml:space="preserve">CABO PP 2 X 2,5MM 1 KVA</t>
  </si>
  <si>
    <t xml:space="preserve">29.02.0538</t>
  </si>
  <si>
    <t xml:space="preserve">EXPOSITOR DE CELULAR ANTIFURTO DE PAREDE COM CABO DE ACO</t>
  </si>
  <si>
    <t xml:space="preserve">30.01.0262</t>
  </si>
  <si>
    <t xml:space="preserve">PAPEL A3 BRANCO 297,00MM X 420,00MM 75G/M2 PCT 500FLS</t>
  </si>
  <si>
    <t xml:space="preserve">17.07.0102</t>
  </si>
  <si>
    <t xml:space="preserve">CAIXA PASSAGEM/LIGAÇÃO ALUMÍNIO N, 3 ENTRADAS 50 MM (1"), X, EXTERNA</t>
  </si>
  <si>
    <t xml:space="preserve">29.01.0596</t>
  </si>
  <si>
    <t xml:space="preserve">MULTIFUNCIONAL EPSON TANQUE DE TINTA L3150</t>
  </si>
  <si>
    <t xml:space="preserve">26.06.0124</t>
  </si>
  <si>
    <t xml:space="preserve">LUVA ANTIVIBRAÇÃO</t>
  </si>
  <si>
    <t xml:space="preserve">01.09.0386</t>
  </si>
  <si>
    <t xml:space="preserve">CANTONEIRA L 50X50X3 - 2000MM</t>
  </si>
  <si>
    <t xml:space="preserve">29.01.1264</t>
  </si>
  <si>
    <t xml:space="preserve">HD 4TB SEAGATE</t>
  </si>
  <si>
    <t xml:space="preserve">29.03.0396</t>
  </si>
  <si>
    <t xml:space="preserve">INSUFLADOR DE AR. VAZÃO 54M³/H. ACOMPANHA DOIS FILTROS G4 E M5</t>
  </si>
  <si>
    <t xml:space="preserve">16.03.0513</t>
  </si>
  <si>
    <t xml:space="preserve">TINTA COR VERDE RAL 6037 (IBERDROLA GREEN)</t>
  </si>
  <si>
    <t xml:space="preserve">24.16.0005</t>
  </si>
  <si>
    <t xml:space="preserve">ALAVANCA LISA REDONDA 1,80 M</t>
  </si>
  <si>
    <t xml:space="preserve">23.03.0003</t>
  </si>
  <si>
    <t xml:space="preserve">PREGO COMUM C/CABECA AÇO TEMPERADO 1.1/2" X 13 REF 15 X 18</t>
  </si>
  <si>
    <t xml:space="preserve">26.12.0045</t>
  </si>
  <si>
    <t xml:space="preserve">CADEADO DE BLOQUEIO COM CENTRO REVESTIDO PLASTICO</t>
  </si>
  <si>
    <t xml:space="preserve">26.02.0165</t>
  </si>
  <si>
    <t xml:space="preserve">BOTA - CALÇADO DE SEGURANÇA TIPO COTURNO MOTOSSERISTA - CA 37533 Nº 40</t>
  </si>
  <si>
    <t xml:space="preserve">23.05.0295</t>
  </si>
  <si>
    <t xml:space="preserve">ARRUELA QUADRADA TIPO CUNHA, DE AÇO GALVANIZADO A FOGO, BITOLA M12</t>
  </si>
  <si>
    <t xml:space="preserve">17.02.0868</t>
  </si>
  <si>
    <t xml:space="preserve">CONECTOR TERMINAL RETO A COMPRESSÃO - TENSÃO 13,8 KV</t>
  </si>
  <si>
    <t xml:space="preserve">23.07.1582</t>
  </si>
  <si>
    <t xml:space="preserve">PARAFUSO CABEÇA QUADRADA M16X125 C/ PORCA</t>
  </si>
  <si>
    <t xml:space="preserve">18.08.0222</t>
  </si>
  <si>
    <t xml:space="preserve">CAIXA DE PASSAGEM E INSPEÇÃO DE ESGOTO - DN 100 - 20 CM X 25.8 CM X 25.8 CM</t>
  </si>
  <si>
    <t xml:space="preserve">29.01.0566</t>
  </si>
  <si>
    <t xml:space="preserve">RADIO COMUNICADOR PORTÁTIL</t>
  </si>
  <si>
    <t xml:space="preserve">33.03.0204</t>
  </si>
  <si>
    <t xml:space="preserve">CAMARA DE AR 12.5/80-18 TR15 MGM-520.010700</t>
  </si>
  <si>
    <t xml:space="preserve">30.03.0230</t>
  </si>
  <si>
    <t xml:space="preserve">SACO PLÁSTICO LIXO 200,00L PRETO S/IMPRESSÃO C/50 UND</t>
  </si>
  <si>
    <t xml:space="preserve">01.09.0413</t>
  </si>
  <si>
    <t xml:space="preserve">PERFIL "L" 50,8 (2") X 50,8 (2") X 600 MM  ACO GALV . A QUENTE ESP 6,35MM</t>
  </si>
  <si>
    <t xml:space="preserve">17.10.0193</t>
  </si>
  <si>
    <t xml:space="preserve">DISJUNTOR TRIFÁSICO 80A – 240/480V – 600VCA – 250 VCC NBR 60898</t>
  </si>
  <si>
    <t xml:space="preserve">26.05.0002</t>
  </si>
  <si>
    <t xml:space="preserve">ÓCULOS DE SEGURANÇA - LENTE INCOLOR (CA-18069/17038/18047/11268)</t>
  </si>
  <si>
    <t xml:space="preserve">17.20.0228</t>
  </si>
  <si>
    <t xml:space="preserve">MOLDE PARA SOLDA EXOTÉRMICA - CABO X CABO 70MM2 "T"</t>
  </si>
  <si>
    <t xml:space="preserve">29.03.0055</t>
  </si>
  <si>
    <t xml:space="preserve">CAFETEIRA INDUSTRIAL INOX 8L</t>
  </si>
  <si>
    <t xml:space="preserve">29.01.0548</t>
  </si>
  <si>
    <t xml:space="preserve">MONITOR 24" LED FULL HD WIDESCREEN</t>
  </si>
  <si>
    <t xml:space="preserve">24.24.0127</t>
  </si>
  <si>
    <t xml:space="preserve">CARREGADOR 18V 5.5AH</t>
  </si>
  <si>
    <t xml:space="preserve">24.24.0010</t>
  </si>
  <si>
    <t xml:space="preserve">KIT DE SOQUETES PONTA BITS ENCAIXE UNIVERSAL 1/4” C/ 10 PEÇAS P/ PARAFUSADEIRA</t>
  </si>
  <si>
    <t xml:space="preserve">30.03.0549</t>
  </si>
  <si>
    <t xml:space="preserve">COLETOR COM TAMPA E PEDAL 30 L - CINZA</t>
  </si>
  <si>
    <t xml:space="preserve">33.02.3175</t>
  </si>
  <si>
    <t xml:space="preserve">PRESILHA PARA SELAR FITA 16MM</t>
  </si>
  <si>
    <t xml:space="preserve">18.06.0100</t>
  </si>
  <si>
    <t xml:space="preserve">ESQUADRO 12" ACO INOX CABO ALUM.  3550012000 VONDER</t>
  </si>
  <si>
    <t xml:space="preserve">18.11.0232</t>
  </si>
  <si>
    <t xml:space="preserve">EXTINTOR DE INCENDIO PQS 12 KG  6A:80B:C  PORTATIL</t>
  </si>
  <si>
    <t xml:space="preserve">24.09.0285</t>
  </si>
  <si>
    <t xml:space="preserve">JOGO DE CHAVE SOQUETE 1/2'' 12 - 32MM</t>
  </si>
  <si>
    <t xml:space="preserve">32.12.0182</t>
  </si>
  <si>
    <t xml:space="preserve">TERROMETRO DIGITAL - MINIPA</t>
  </si>
  <si>
    <t xml:space="preserve">23.06.0314</t>
  </si>
  <si>
    <t xml:space="preserve">PORCA SEXTAVADA DE AÇO INOX, BITOLA M12</t>
  </si>
  <si>
    <t xml:space="preserve">17.02.0856</t>
  </si>
  <si>
    <t xml:space="preserve">ELETRODUTO DE AÇO CARBONO GALVANIZADO A FOGO, DN 20 MM (3/4" BSP), TIPO PESADO, COM ROSCA, BARRA DE 3,00 M</t>
  </si>
  <si>
    <t xml:space="preserve">26.12.0032</t>
  </si>
  <si>
    <t xml:space="preserve">TELA TAPUME POLIETILENO LARANJA 1,20M X 50 M</t>
  </si>
  <si>
    <t xml:space="preserve">17.16.0563</t>
  </si>
  <si>
    <t xml:space="preserve">GRAMPOS ATERRAMENTO PARA USO EM REDES DE MEDIA TENSÃO - ATR11627-1</t>
  </si>
  <si>
    <t xml:space="preserve">17.05.0067</t>
  </si>
  <si>
    <t xml:space="preserve">CAIXA DE LIGAÇÃO CONDULETE EM ALUMÍNIO TIPO “T” 1”</t>
  </si>
  <si>
    <t xml:space="preserve">17.20.0175</t>
  </si>
  <si>
    <t xml:space="preserve">MOLDE PARA CONEXÃO EM “T” C/ SEÇÃO DE 70MM²</t>
  </si>
  <si>
    <t xml:space="preserve">01.09.0415</t>
  </si>
  <si>
    <t xml:space="preserve">PERFIL "U" 101,6 (4") X 41,8 X 2000 MM ACO GALV . A QUENTE ESP 6,35MM</t>
  </si>
  <si>
    <t xml:space="preserve">24.05.0022</t>
  </si>
  <si>
    <t xml:space="preserve">NIVEL IMÃ BOLHA 360º BASE MAGNÉTICA</t>
  </si>
  <si>
    <t xml:space="preserve">32.01.0019</t>
  </si>
  <si>
    <t xml:space="preserve">MANILHA CURVA GALVANIZADA DE 1” POLEGADA PINO ROSCADO</t>
  </si>
  <si>
    <t xml:space="preserve">34.02.1264</t>
  </si>
  <si>
    <t xml:space="preserve">FAIXA REFLETIVA BRANCA PARA CONE DE SINALIZAÇÃO 14,5 CM X 28 CM X 37,5 CM</t>
  </si>
  <si>
    <t xml:space="preserve">26.04.0055</t>
  </si>
  <si>
    <t xml:space="preserve">TALABARTE Y, COM ABSORVEDOR DE ENERGIA, COM GANCHOS DE ABERTURA PARA 55MM</t>
  </si>
  <si>
    <t xml:space="preserve">17.15.0143</t>
  </si>
  <si>
    <t xml:space="preserve">CHAVE FUSIVEL TIPO CUT-OUT CLASSE 15 KV CORRENTE NOMINAL 300 A COM PORTA-FUSIVEL 100 A</t>
  </si>
  <si>
    <t xml:space="preserve">33.02.1033</t>
  </si>
  <si>
    <t xml:space="preserve">CLIP-SPRING</t>
  </si>
  <si>
    <t xml:space="preserve">28.01.0580</t>
  </si>
  <si>
    <t xml:space="preserve">PLACA DE SINALIZAÇÃO CUIDADO RISCO CHOQUE ELÉTRICO - TRIANGULAR AMARELA C/ FAIXA TRIANGULAR E RAIO PRETOS - 200MM</t>
  </si>
  <si>
    <t xml:space="preserve">26.04.0085</t>
  </si>
  <si>
    <t xml:space="preserve">DESCENSOR AUTO BLOCANTE  COM SISTEMA ANTI-PANICO MODELO D4 P/ CORDA 12MM</t>
  </si>
  <si>
    <t xml:space="preserve">17.01.1231</t>
  </si>
  <si>
    <t xml:space="preserve">CABO MULTIPLEXADO EM ALUMÍNIO, CLASSE 2, ISOLAÇÃO EM XLPE 0,6/1KV, 90º, NI, SEÇÃO  3#25(25)MM² (AÉREO)--MM²</t>
  </si>
  <si>
    <t xml:space="preserve">17.01.1000</t>
  </si>
  <si>
    <t xml:space="preserve">CABO PP 3X2 1/2"</t>
  </si>
  <si>
    <t xml:space="preserve">23.07.1441</t>
  </si>
  <si>
    <t xml:space="preserve">PARAFUSO SEXT INOX 8X20</t>
  </si>
  <si>
    <t xml:space="preserve">01.05.0045</t>
  </si>
  <si>
    <t xml:space="preserve">TELA SOLDADA AÇO CA-60 NERVURADA Q138 10,00CM X 10,00CM FIO 4,2MM PAINEL 2,45M X 6,00M</t>
  </si>
  <si>
    <t xml:space="preserve">25.15.0028</t>
  </si>
  <si>
    <t xml:space="preserve">LONA PLASTICA POLIETILENO PRETO 200 MICRAS 6,00M X 100,00M</t>
  </si>
  <si>
    <t xml:space="preserve">26.13.0103</t>
  </si>
  <si>
    <t xml:space="preserve">TECIDO NAPA LISA</t>
  </si>
  <si>
    <t xml:space="preserve">08.02.0074</t>
  </si>
  <si>
    <t xml:space="preserve">BLOCO L CANALETA 34X14X19 FCK MAIOR OU IGUAL 6MPA</t>
  </si>
  <si>
    <t xml:space="preserve">29.02.0110</t>
  </si>
  <si>
    <t xml:space="preserve">CADEIRA ESCRITÓRIO DIRETOR GIRATÓRIA C/ RELAX E C/BRAÇO</t>
  </si>
  <si>
    <t xml:space="preserve">26.04.0056</t>
  </si>
  <si>
    <t xml:space="preserve">TALABARTE DE POSICIONAMENTO</t>
  </si>
  <si>
    <t xml:space="preserve">16.03.0105</t>
  </si>
  <si>
    <t xml:space="preserve">TINTA ACRILICA PARA PISO BRANCO 18,00 L NBR 11702</t>
  </si>
  <si>
    <t xml:space="preserve">29.02.0248</t>
  </si>
  <si>
    <t xml:space="preserve">MANTA CASAL MICROFIBRA</t>
  </si>
  <si>
    <t xml:space="preserve">18.03.0201</t>
  </si>
  <si>
    <t xml:space="preserve">TUBO FERRO FUNDIDO CLASSE K7 75MM</t>
  </si>
  <si>
    <t xml:space="preserve">17.03.0614</t>
  </si>
  <si>
    <t xml:space="preserve">TAMPA DE ENCAIXE PARA ELETROCALHA TIPO U PERFURADA 200X100MM COMPRIMENTO 3,0M</t>
  </si>
  <si>
    <t xml:space="preserve">17.02.0827</t>
  </si>
  <si>
    <t xml:space="preserve">ELETRODUTO METÁLICO FLEXÍVEL TIPO SEALTUBO 3"</t>
  </si>
  <si>
    <t xml:space="preserve">17.19.0028</t>
  </si>
  <si>
    <t xml:space="preserve">FITA ISOLANTE 23 BR AUTOFUSÃO 19MMX10M</t>
  </si>
  <si>
    <t xml:space="preserve">33.02.2827</t>
  </si>
  <si>
    <t xml:space="preserve">CANTO LATERAL LD JCB 400/F0345</t>
  </si>
  <si>
    <t xml:space="preserve">18.03.0204</t>
  </si>
  <si>
    <t xml:space="preserve">TÊ FERRO FUNDIDO Ø100MM BOLSAXBOLSAXBOLSA</t>
  </si>
  <si>
    <t xml:space="preserve">30.03.0029</t>
  </si>
  <si>
    <t xml:space="preserve">SACO PLÁSTICO LIXO REFORCADO 200,00L S/IMPRESSAO C/100</t>
  </si>
  <si>
    <t xml:space="preserve">01.02.0052</t>
  </si>
  <si>
    <t xml:space="preserve">VERGALHÃO GALV. ROSCA TOTAL 1/4" C/ 3 METROS</t>
  </si>
  <si>
    <t xml:space="preserve">25.13.0150</t>
  </si>
  <si>
    <t xml:space="preserve">MANGOTE VIBRADOR 45MM</t>
  </si>
  <si>
    <t xml:space="preserve">24.32.0049</t>
  </si>
  <si>
    <t xml:space="preserve">BOLSA DE LONA REFORÇADA PARA IÇAMENTO DE FERRAMENTAS</t>
  </si>
  <si>
    <t xml:space="preserve">23.10.0010</t>
  </si>
  <si>
    <t xml:space="preserve">CHUMBADOR PARABOLT AÇO CARBONO  CBA  5/16" X 3.1/4"</t>
  </si>
  <si>
    <t xml:space="preserve">18.07.0072</t>
  </si>
  <si>
    <t xml:space="preserve">CAIXA SEPARADORA DE ÁGUA E ÓLEO</t>
  </si>
  <si>
    <t xml:space="preserve">26.02.0023</t>
  </si>
  <si>
    <t xml:space="preserve">BOTA IMPERMEÁVEL DE PVC CANO LONGO - COR PRETA - Nº 40 (CA-26629/10199/28286)</t>
  </si>
  <si>
    <t xml:space="preserve">26.01.0027</t>
  </si>
  <si>
    <t xml:space="preserve">COLETE REFLETIVO TIPO BLUSÃO - 4 BOLSOS - COR VERDE - TAM. GG</t>
  </si>
  <si>
    <t xml:space="preserve">24.07.0033</t>
  </si>
  <si>
    <t xml:space="preserve">TRENA DE ACO 5M</t>
  </si>
  <si>
    <t xml:space="preserve">24.08.0015</t>
  </si>
  <si>
    <t xml:space="preserve">TORQUÊS ARMADOR 15" REFORÇADA</t>
  </si>
  <si>
    <t xml:space="preserve">17.02.0890</t>
  </si>
  <si>
    <t xml:space="preserve">PORCA PARA ELETRODUTO, DE LIGA DE ALUMÍNIO Ø 3"</t>
  </si>
  <si>
    <t xml:space="preserve">29.01.0244</t>
  </si>
  <si>
    <t xml:space="preserve">RACK 20U</t>
  </si>
  <si>
    <t xml:space="preserve">17.16.0667</t>
  </si>
  <si>
    <t xml:space="preserve">CONECTOR DE COBRE, PARA FIXAÇÃO DE 1 CABO DE COBRE 70 A 120 mm² EM SUPERFÍCIE DE CONCRETO, COM PARAFUSO AUTOATARRAXANTE</t>
  </si>
  <si>
    <t xml:space="preserve">24.06.0006</t>
  </si>
  <si>
    <t xml:space="preserve">ALICATE HIDRÁULICO PARA PRENSAR E CRIMPAR TERMINAIS 10-300MM</t>
  </si>
  <si>
    <t xml:space="preserve">17.02.0858</t>
  </si>
  <si>
    <t xml:space="preserve">ELETRODUTO DE AÇO CARBONO GALVANIZADO A FOGO, DN 50 MM (2" BSP), TIPO PESADO, COM ROSCA, BARRA DE 3,00 M</t>
  </si>
  <si>
    <t xml:space="preserve">26.03.0002</t>
  </si>
  <si>
    <t xml:space="preserve">CAPACETE COM ABA FRONTAL (TIPO II) C/ CARNEIRA - COR AMARELA (CA-8562/25856/29792)</t>
  </si>
  <si>
    <t xml:space="preserve">17.09.0052</t>
  </si>
  <si>
    <t xml:space="preserve">BARRAMENTO PARA DISJUNTOR CAIXA MOLDADA DB 2 TAMANHO F</t>
  </si>
  <si>
    <t xml:space="preserve">25.03.0285</t>
  </si>
  <si>
    <t xml:space="preserve">BROCA AR.JG.  1,00-13,00MM 25PC HP.DIN338 TW100 TIN. AFIAC. CRUZ CAIXA PLASTICA TB149</t>
  </si>
  <si>
    <t xml:space="preserve">3.8.2.004 - Consumíveis para corte, perfuração e desbaste</t>
  </si>
  <si>
    <t xml:space="preserve">16.03.0516</t>
  </si>
  <si>
    <t xml:space="preserve">TINTA COR VERDE RAL 6019 (IBERDROLA GREEN-2)</t>
  </si>
  <si>
    <t xml:space="preserve">09.13.0007</t>
  </si>
  <si>
    <t xml:space="preserve">RUFO INFERIOR EM CHAPA METÁLICA</t>
  </si>
  <si>
    <t xml:space="preserve">17.20.0695</t>
  </si>
  <si>
    <t xml:space="preserve">BUCHA 6" C/TERMINAL DE ATERRAMENTO P/CABOS 16MM²</t>
  </si>
  <si>
    <t xml:space="preserve">29.03.0331</t>
  </si>
  <si>
    <t xml:space="preserve">LAVADORA EXTREME TRUBO 2800 220V WAP</t>
  </si>
  <si>
    <t xml:space="preserve">29.03.0469</t>
  </si>
  <si>
    <t xml:space="preserve">MINI COMPUTADOR TIPO PC STICK</t>
  </si>
  <si>
    <t xml:space="preserve">26.02.0193</t>
  </si>
  <si>
    <t xml:space="preserve">BOTINA FUJIWARA HESS C/BICO DE AÇO COMPOSITE E PALMILHA ANTIPERFURANTE CA 42330 N° 45</t>
  </si>
  <si>
    <t xml:space="preserve">26.05.0041</t>
  </si>
  <si>
    <t xml:space="preserve">PROTETOR FACIAL INCOLOR ACOPLADO COM MOLA PARA CAPACETE</t>
  </si>
  <si>
    <t xml:space="preserve">28.01.0744</t>
  </si>
  <si>
    <t xml:space="preserve">PLACA TIPO M1 INDICATIVA DE SISTEMA DE SEGURANCA - 800X400 MM - ACO GALVANIZADO, PINTURA ELETROSTATICA</t>
  </si>
  <si>
    <t xml:space="preserve">17.02.0939</t>
  </si>
  <si>
    <t xml:space="preserve">ELETRODUTO DE ALUMINIO COM ROSCA, TIPO PESADO,  1.1/2" BSP, VARA DE 3,00 M</t>
  </si>
  <si>
    <t xml:space="preserve">26.13.0025</t>
  </si>
  <si>
    <t xml:space="preserve">CAMISA MALHA MOLETON TAMANHO P - MODELO ESPORTE GOLA CARECA MANGA LONGA COM PUNHO DE RIBANA LOGOMARC</t>
  </si>
  <si>
    <t xml:space="preserve">30.03.0395</t>
  </si>
  <si>
    <t xml:space="preserve">COLETOR DE METAL DE 200L - VERMELHO</t>
  </si>
  <si>
    <t xml:space="preserve">30.03.0396</t>
  </si>
  <si>
    <t xml:space="preserve">COLETOR DE METAL DE 200L - CINZA</t>
  </si>
  <si>
    <t xml:space="preserve">30.03.0398</t>
  </si>
  <si>
    <t xml:space="preserve">COLETOR DE METAL DE 200L - LARANJA</t>
  </si>
  <si>
    <t xml:space="preserve">24.41.0102</t>
  </si>
  <si>
    <t xml:space="preserve">SOQUETE SEXTAVADO LONGO 19MM COM ENCAIXE DE 1/2"</t>
  </si>
  <si>
    <t xml:space="preserve">17.02.0108</t>
  </si>
  <si>
    <t xml:space="preserve">CURVA 90GR ELETRODUTO ALUMÍNIO NPT 2" X 60,30MM</t>
  </si>
  <si>
    <t xml:space="preserve">17.11.1155</t>
  </si>
  <si>
    <t xml:space="preserve">LUMINARIA ARANDELA P/ 1 LAMPADA LED ATE 15 W, SOQUETE E-27, 3 ENTRADAS 3/4" BSP, EPOXI CINZA</t>
  </si>
  <si>
    <t xml:space="preserve">06.03.0031</t>
  </si>
  <si>
    <t xml:space="preserve">MANTA GEOTÊXTIL OP-20 (200 g/m²) PARA DISSIPADOR DE ENERGIA</t>
  </si>
  <si>
    <t xml:space="preserve">17.19.0080</t>
  </si>
  <si>
    <t xml:space="preserve">TERMO RETRATIL BITOLA 400 (AZUL)</t>
  </si>
  <si>
    <t xml:space="preserve">26.04.0002</t>
  </si>
  <si>
    <t xml:space="preserve">CORDA PARA LINHA DE VIDA (TIPO BOMBEIRO/RAPEL) DE POLIAMIDA - TRAÇADO TRIPLO E ALMA CENTRAL C/ ALERT</t>
  </si>
  <si>
    <t xml:space="preserve">17.01.1237</t>
  </si>
  <si>
    <t xml:space="preserve">CABO ELETRICO FLEXIVEL 0,6/1KV 1 X 70,00MM2 COBRE PVC CLASSE 5 VERMELHO NBR 7288</t>
  </si>
  <si>
    <t xml:space="preserve">17.21.0119</t>
  </si>
  <si>
    <t xml:space="preserve">TAMPA PARA ELETROCALHA TIPO U 200 X 3000 MM, CHAPA 18, AÇO GALVANIZADO A QUENTE</t>
  </si>
  <si>
    <t xml:space="preserve">25.01.0241</t>
  </si>
  <si>
    <t xml:space="preserve">DISCO PARA SERRA DE CORTE MADEIRA, 40 DENTES, 12" X 30MM</t>
  </si>
  <si>
    <t xml:space="preserve">30.03.0550</t>
  </si>
  <si>
    <t xml:space="preserve">LAVA ROUPAS LÍQUIDO 5L</t>
  </si>
  <si>
    <t xml:space="preserve">23.06.0324</t>
  </si>
  <si>
    <t xml:space="preserve">PORCA SEXTAVADA 3/4-10</t>
  </si>
  <si>
    <t xml:space="preserve">32.07.0219</t>
  </si>
  <si>
    <t xml:space="preserve">ESMERILHADEIRA ANGULAR GWS 18V 2 BATERIAS 1 CARREGADOR E MALETA</t>
  </si>
  <si>
    <t xml:space="preserve">25.15.0069</t>
  </si>
  <si>
    <t xml:space="preserve">LONA TELA 6X4 METROS PARA PROTEÇÃO CAMINHÃO BASCULANTE</t>
  </si>
  <si>
    <t xml:space="preserve">16.03.0334</t>
  </si>
  <si>
    <t xml:space="preserve">TINTA LAVÁVEL BRANCA 18L</t>
  </si>
  <si>
    <t xml:space="preserve">30.04.0224</t>
  </si>
  <si>
    <t xml:space="preserve">CAIXA TERMICA 26L</t>
  </si>
  <si>
    <t xml:space="preserve">17.20.0034</t>
  </si>
  <si>
    <t xml:space="preserve">HASTE DE COBRE PARA ATERRAMENTO Ø 5/8” MM X 2,40M</t>
  </si>
  <si>
    <t xml:space="preserve">23.07.1399</t>
  </si>
  <si>
    <t xml:space="preserve">PARAFUSOS AUTOBROCANTES TIPO PHILIPS</t>
  </si>
  <si>
    <t xml:space="preserve">14.03.0014</t>
  </si>
  <si>
    <t xml:space="preserve">TELHA ALUMÍNIO TRAPEZOIDAL NATURAL 1,00M X 4,40M X 0,50MM CDA</t>
  </si>
  <si>
    <t xml:space="preserve">17.01.1389</t>
  </si>
  <si>
    <t xml:space="preserve">CABO MULTIPLEXADO DE ALUMÍNIO HEPR 0,6/1KV DE 16MM² COM 4 VIAS (3F+N)</t>
  </si>
  <si>
    <t xml:space="preserve">24.09.0336</t>
  </si>
  <si>
    <t xml:space="preserve">JOGO CHAVE ALLEN ABAULADA 1,12 À 14MM</t>
  </si>
  <si>
    <t xml:space="preserve">26.04.0148</t>
  </si>
  <si>
    <t xml:space="preserve">TALABARTE Y COM GRANCHOS MOSQUETÃO</t>
  </si>
  <si>
    <t xml:space="preserve">23.07.1110</t>
  </si>
  <si>
    <t xml:space="preserve">PARAFUSO ROSCA DUPLA EM AÇO GALVANIZADO M16 X 750MM</t>
  </si>
  <si>
    <t xml:space="preserve">35.11.0117</t>
  </si>
  <si>
    <t xml:space="preserve">COMPRESSOR DE AR</t>
  </si>
  <si>
    <t xml:space="preserve">18.09.0123</t>
  </si>
  <si>
    <t xml:space="preserve">VALVULA RETENCAO DE PE C/CRIVO DN 2" CORPO BRONZE NBR 10283</t>
  </si>
  <si>
    <t xml:space="preserve">24.02.0001</t>
  </si>
  <si>
    <t xml:space="preserve">DISCO DIAGRAMA TACOGRAFO DIARIO VELOCIDADE 10X10 CAIXA C/100UN</t>
  </si>
  <si>
    <t xml:space="preserve">25.13.0149</t>
  </si>
  <si>
    <t xml:space="preserve">MANGOTE VIBRADOR 35MM</t>
  </si>
  <si>
    <t xml:space="preserve">03.08.0010</t>
  </si>
  <si>
    <t xml:space="preserve">RIPA DE MADEIRA 2CM X 5CM X 6 M</t>
  </si>
  <si>
    <t xml:space="preserve">30.01.0552</t>
  </si>
  <si>
    <t xml:space="preserve">PAINEL DE SATISFAÇÃO (BOM/RUIM/REGULAR)</t>
  </si>
  <si>
    <t xml:space="preserve">19.12.0066</t>
  </si>
  <si>
    <t xml:space="preserve">PORTA TOALHA METÁLICO EM FORMATO DE GANCHO</t>
  </si>
  <si>
    <t xml:space="preserve">18.08.0220</t>
  </si>
  <si>
    <t xml:space="preserve">CAIXA CLORORADORA 1.000 L EM PEAD</t>
  </si>
  <si>
    <t xml:space="preserve">24.37.0002</t>
  </si>
  <si>
    <t xml:space="preserve">PÁ QUADRADA COM CABO</t>
  </si>
  <si>
    <t xml:space="preserve">32.02.0407</t>
  </si>
  <si>
    <t xml:space="preserve">CINTA BAP - 1800 MM</t>
  </si>
  <si>
    <t xml:space="preserve">30.03.0055</t>
  </si>
  <si>
    <t xml:space="preserve">PAPEL HIGIENICO ROLO FOLHA DUPLA NEUTRO BRANCO 300,00M X 10,00CM PACOTE 4UN</t>
  </si>
  <si>
    <t xml:space="preserve">24.41.0047</t>
  </si>
  <si>
    <t xml:space="preserve">SOQUETE SEXTAVADO LONGA DE IMPACTO 24MM ENCAIXE DE 1/2"</t>
  </si>
  <si>
    <t xml:space="preserve">29.02.0395</t>
  </si>
  <si>
    <t xml:space="preserve">ARMÁRIO DE AÇO COM 3 PRATILEIRAS CINZAS EM PORTA COM TRANCA</t>
  </si>
  <si>
    <t xml:space="preserve">25.01.0167</t>
  </si>
  <si>
    <t xml:space="preserve">DISCO DESBASTE DIAMANTADO PARA CONCRETO 7” COM ROSCA</t>
  </si>
  <si>
    <t xml:space="preserve">26.02.0024</t>
  </si>
  <si>
    <t xml:space="preserve">BOTA IMPERMEÁVEL DE PVC CANO LONGO - COR PRETA - Nº 41 (CA-26629/10199/28286)</t>
  </si>
  <si>
    <t xml:space="preserve">23.07.0708</t>
  </si>
  <si>
    <t xml:space="preserve">PARAFUSO FRANCÊS C/ PORCA SEXTAVADA UNC PS AC 5/16 X4 ZINCADO BRANCO</t>
  </si>
  <si>
    <t xml:space="preserve">33.02.3190</t>
  </si>
  <si>
    <t xml:space="preserve">CALÇO DE RODA PARA CAMINHÃO/CAMINHONETE</t>
  </si>
  <si>
    <t xml:space="preserve">26.02.0034</t>
  </si>
  <si>
    <t xml:space="preserve">BOTINA PARA ELETRICISTA - RESISTENCIA 14 KV - COR PRETA - Nº 38 (CA-17010/28988/14721/26511)</t>
  </si>
  <si>
    <t xml:space="preserve">32.02.0083</t>
  </si>
  <si>
    <t xml:space="preserve">CINTA DE AMARRAÇÃO 50,00MM X 10,00M CAPACIDADE 5,0 T C/CATRACA</t>
  </si>
  <si>
    <t xml:space="preserve">17.19.0039</t>
  </si>
  <si>
    <t xml:space="preserve">FITA ISOLANTE 750V 18,00MM X 10,00M PRETO</t>
  </si>
  <si>
    <t xml:space="preserve">01.11.0316</t>
  </si>
  <si>
    <t xml:space="preserve">CHAPA 3/8" x 3" x 550 MM DOBRADA E GALVANIZADO A FOGO</t>
  </si>
  <si>
    <t xml:space="preserve">28.01.0719</t>
  </si>
  <si>
    <t xml:space="preserve">PLACA DE SINALIZAÇÃO 80X120CM - CHAPA DE ZINCO - COM BARROTE</t>
  </si>
  <si>
    <t xml:space="preserve">32.02.0021</t>
  </si>
  <si>
    <t xml:space="preserve">CINTA DE ELEVAÇÃO CAPACIDADE 5,0T COM 5,0M</t>
  </si>
  <si>
    <t xml:space="preserve">30.01.0737</t>
  </si>
  <si>
    <t xml:space="preserve">ESTILETE 19MM RETRÁTIL S011 - STARRET</t>
  </si>
  <si>
    <t xml:space="preserve">28.01.0718</t>
  </si>
  <si>
    <t xml:space="preserve">PLACA DE SINALIZAÇÃO 80X120CM - CHAPA DE ZINCO - COM CAVALETE</t>
  </si>
  <si>
    <t xml:space="preserve">29.03.0077</t>
  </si>
  <si>
    <t xml:space="preserve">AR CONDICIONADO 9000 BTU/H 220V SPLIT DIGITAL CICLO QUENTE/FRIO'</t>
  </si>
  <si>
    <t xml:space="preserve">23.10.0064</t>
  </si>
  <si>
    <t xml:space="preserve">FIXADOR DE ABAS PARABOLT (PORCA SEXTAVADA, ARRUELA METÁLICA E ELÁSTICA, PARAFUSO Ø1/4"</t>
  </si>
  <si>
    <t xml:space="preserve">16.03.0427</t>
  </si>
  <si>
    <t xml:space="preserve">TINTA PISO NOVACOR SHERWIN WILLIANS COR AZUL CONCRETO 18L</t>
  </si>
  <si>
    <t xml:space="preserve">26.02.0167</t>
  </si>
  <si>
    <t xml:space="preserve">BOTA - CALÇADO DE SEGURANÇA TIPO COTURNO MOTOSSERISTA - CA 37533 Nº 42</t>
  </si>
  <si>
    <t xml:space="preserve">26.02.0168</t>
  </si>
  <si>
    <t xml:space="preserve">BOTA - CALÇADO DE SEGURANÇA TIPO COTURNO MOTOSSERISTA - CA 37533 Nº 43</t>
  </si>
  <si>
    <t xml:space="preserve">01.09.0390</t>
  </si>
  <si>
    <t xml:space="preserve">CANTONEIRA "L" EM AÇO GALVANIZADO 90 x 90 x 3 - 2000 mm</t>
  </si>
  <si>
    <t xml:space="preserve">17.10.0434</t>
  </si>
  <si>
    <t xml:space="preserve">INTERRUPTOR DIFERENCIAL RESIDUAL TETRAPOLAR, CORRENTE NOMINAL DE 150A, CORRENTE DIFERENCIAL RESIDUAL DE 30MA</t>
  </si>
  <si>
    <t xml:space="preserve">29.01.1389</t>
  </si>
  <si>
    <t xml:space="preserve">SWITCH 10/1000 24 PORTAS</t>
  </si>
  <si>
    <t xml:space="preserve">24.01.0027</t>
  </si>
  <si>
    <t xml:space="preserve">SERRA CIRCULAR ELÉTRICA 7 1/4" 184 MM - 1800 W</t>
  </si>
  <si>
    <t xml:space="preserve">25.26.0010</t>
  </si>
  <si>
    <t xml:space="preserve">TAG DE METAL - ABRAÇADEIRA</t>
  </si>
  <si>
    <t xml:space="preserve">26.09.0024</t>
  </si>
  <si>
    <t xml:space="preserve">PROTETOR SOLAR FPS 30 - 1L</t>
  </si>
  <si>
    <t xml:space="preserve">32.02.0162</t>
  </si>
  <si>
    <t xml:space="preserve">CINTA DE AMARRAÇÃO 50,00MM X 9,00M CAPACIDADE 3,0 T C/CATRACA</t>
  </si>
  <si>
    <t xml:space="preserve">34.02.0733</t>
  </si>
  <si>
    <t xml:space="preserve">VOLANTE DIREÇÃO</t>
  </si>
  <si>
    <t xml:space="preserve">16.04.0050</t>
  </si>
  <si>
    <t xml:space="preserve">GALVANIZADOR CRZ A FRIO 900ML</t>
  </si>
  <si>
    <t xml:space="preserve">17.22.0156</t>
  </si>
  <si>
    <t xml:space="preserve">ALCA PREFORMADA DE ALUMINIO PARA ANCORAGEM PARA CABOS DE 150MM</t>
  </si>
  <si>
    <t xml:space="preserve">30.03.0231</t>
  </si>
  <si>
    <t xml:space="preserve">SACO PLÁSTICO LIXO REFORÇADO 400,00L S/IMPRESSÃO COM 25/UND</t>
  </si>
  <si>
    <t xml:space="preserve">17.20.0401</t>
  </si>
  <si>
    <t xml:space="preserve">MOLDE PARA SOLDA EXOTÉRMICA - CABO 50MM² X HASTE 5/8" (TIPO: CABO X HASTE PASSANTE)</t>
  </si>
  <si>
    <t xml:space="preserve">19.04.0060</t>
  </si>
  <si>
    <t xml:space="preserve">PIA INOX C/ DUAS CUBAS - 1,60M X 0,60M</t>
  </si>
  <si>
    <t xml:space="preserve">34.02.1181</t>
  </si>
  <si>
    <t xml:space="preserve">INTERRUPTOR TRIPOLAR DR 100A (2 FASES + NEUTRO - IN 30mA) - DIN</t>
  </si>
  <si>
    <t xml:space="preserve">26.03.0101</t>
  </si>
  <si>
    <t xml:space="preserve">CAPUZ BALACLAVA CONTRA ARCO ELÉTRICO RISCO II E ANTICHAMAS</t>
  </si>
  <si>
    <t xml:space="preserve">23.02.0281</t>
  </si>
  <si>
    <t xml:space="preserve">ABRAÇADEIRA GALVANIZADA TIPO ‘’D’’ 1’’ C/PARAFUSO</t>
  </si>
  <si>
    <t xml:space="preserve">01.02.0033</t>
  </si>
  <si>
    <t xml:space="preserve">VERGALHAO 3/8 10MM 7,4KG/BR</t>
  </si>
  <si>
    <t xml:space="preserve">23.04.0041</t>
  </si>
  <si>
    <t xml:space="preserve">GRAMPO AÇO CARBONO TIPO "C" 3/8" COMPLETO (BALANCIN, PARAFUSO E PORCA)</t>
  </si>
  <si>
    <t xml:space="preserve">24.23.0038</t>
  </si>
  <si>
    <t xml:space="preserve">BOMBA SUBMERSIVEL</t>
  </si>
  <si>
    <t xml:space="preserve">23.07.1595</t>
  </si>
  <si>
    <t xml:space="preserve">PARAFUSO SEXTAVADO ROSCA INTEIRA M10X100MM-INOX-304-CISER OU EQUIVALENTE PORCA 3/8" COM 2 PORCAS E 2 ANÉIS DE BORRACHA</t>
  </si>
  <si>
    <t xml:space="preserve">3.6.1.004 - Telefone móvel/fixo</t>
  </si>
  <si>
    <t xml:space="preserve">26.02.0194</t>
  </si>
  <si>
    <t xml:space="preserve">BOTINA FUJIWARA HESS C/BICO DE AÇO COMPOSITE E PALMILHA ANTIPERFURANTE CA 42330 N° 46</t>
  </si>
  <si>
    <t xml:space="preserve">23.08.0087</t>
  </si>
  <si>
    <t xml:space="preserve">BUCHA EM LIGA DE ALUMÍNIO COM TERMINAL DE ATERRAMENTO (FIO Ø 5 MM), PARA ELETRODUTO 1</t>
  </si>
  <si>
    <t xml:space="preserve">01.02.0002</t>
  </si>
  <si>
    <t xml:space="preserve">AÇO CARBONO CA-50 VERGALHÃO NERVURADO 8,00MM X 12,00M NBR 7480 (0,395KG/M)</t>
  </si>
  <si>
    <t xml:space="preserve">24.44.0001</t>
  </si>
  <si>
    <t xml:space="preserve">CAVADEIRA ARTICULADA GRANDE COM CABO DE 180CM</t>
  </si>
  <si>
    <t xml:space="preserve">24.23.0009</t>
  </si>
  <si>
    <t xml:space="preserve">BOMBA ELÉTRICA PARA TRANSFERÊNCIA DE ÓLEO DIESEL</t>
  </si>
  <si>
    <t xml:space="preserve">25.13.0148</t>
  </si>
  <si>
    <t xml:space="preserve">MANGOTE VIBRADOR 25MM</t>
  </si>
  <si>
    <t xml:space="preserve">17.16.0668</t>
  </si>
  <si>
    <t xml:space="preserve">CONECTOR DE COBRE ESTANHADO, COM BERÇO, PARA FIXAÇÃO DE 1 CABO DE COBRE 70 A 120 mm² EM CHAPA DE AÇO</t>
  </si>
  <si>
    <t xml:space="preserve">17.22.0150</t>
  </si>
  <si>
    <t xml:space="preserve">CINTA POSTE CIRCULAR 270</t>
  </si>
  <si>
    <t xml:space="preserve">24.41.0161</t>
  </si>
  <si>
    <t xml:space="preserve">TORQUÍMETRO DE ESTALO DE 10 A 50NM COM ENCAIXE DE 3/8"</t>
  </si>
  <si>
    <t xml:space="preserve">10.03.0057</t>
  </si>
  <si>
    <t xml:space="preserve">LADRILHO HIDRÁULICO MARMORIZADO</t>
  </si>
  <si>
    <t xml:space="preserve">13.02.0380</t>
  </si>
  <si>
    <t xml:space="preserve">JANELA BASCULANTE EM ALUMINIO COM PINTURA ELETROSTATICA PRETA E VIDRO LISO INCOLOR 6 MM (0,60 X 0,40 M)</t>
  </si>
  <si>
    <t xml:space="preserve">24.07.0002</t>
  </si>
  <si>
    <t xml:space="preserve">TRENA CURTA 8,00M CAIXA FECHADA PLASTICA FITA AÇO TEMPERADO</t>
  </si>
  <si>
    <t xml:space="preserve">26.10.0006</t>
  </si>
  <si>
    <t xml:space="preserve">CALÇA IMPERMEAVEL CONTRA LIQUIDOS E RESPINGOS EM TREVIRA–KP 400–COM BOTAS DE PVC ACOPLADAS–TAM G</t>
  </si>
  <si>
    <t xml:space="preserve">17.01.1215</t>
  </si>
  <si>
    <t xml:space="preserve">CABO MONOPOLAR 16 MM², CONDUTOR EM COBRE ELETROLÍTICO NU, TÊMPERA MOLE, CLASSE 5, TENSÃO 0,6/1 KV, COR VERDE</t>
  </si>
  <si>
    <t xml:space="preserve">32.12.0166</t>
  </si>
  <si>
    <t xml:space="preserve">TESTE DE TENSÃO PORTATIL - TIPO CANETA</t>
  </si>
  <si>
    <t xml:space="preserve">26.04.0141</t>
  </si>
  <si>
    <t xml:space="preserve">FITA DE ANCORAGEM 1,20MT MULT-4138</t>
  </si>
  <si>
    <t xml:space="preserve">32.12.0049</t>
  </si>
  <si>
    <t xml:space="preserve">TERMO-ANEMÔMETRO DIGITAL PORTÁTIL</t>
  </si>
  <si>
    <t xml:space="preserve">26.02.0027</t>
  </si>
  <si>
    <t xml:space="preserve">BOTA IMPERMEÁVEL DE PVC CANO LONGO - COR PRETA - Nº 44 (CA-26629/10199/28286)</t>
  </si>
  <si>
    <t xml:space="preserve">23.02.0336</t>
  </si>
  <si>
    <t xml:space="preserve">ABRAÇADEIRA TIPO MANGOTE EM AÇO CARBONO ZINCADA P/ MANGUEIRA 2"</t>
  </si>
  <si>
    <t xml:space="preserve">17.20.0711</t>
  </si>
  <si>
    <t xml:space="preserve">CONECTOR LIGA COBRE P/ FITA ATERRAMENTO EM TUBO AÇO DN 1.1/2"</t>
  </si>
  <si>
    <t xml:space="preserve">17.11.0836</t>
  </si>
  <si>
    <t xml:space="preserve">REFLETOR LED 400W - 220V</t>
  </si>
  <si>
    <t xml:space="preserve">17.02.0913</t>
  </si>
  <si>
    <t xml:space="preserve">ALÇA PRE FORMADA PARA CABO ÓPTICO ADSS 9.3MM</t>
  </si>
  <si>
    <t xml:space="preserve">24.13.0025</t>
  </si>
  <si>
    <t xml:space="preserve">LIMA ROTATIVA HASTE 12MM</t>
  </si>
  <si>
    <t xml:space="preserve">26.03.0012</t>
  </si>
  <si>
    <t xml:space="preserve">CARNEIRA P/ CAPACETE DE SEGURANÇA C/ JUGULAR</t>
  </si>
  <si>
    <t xml:space="preserve">17.02.0039</t>
  </si>
  <si>
    <t xml:space="preserve">ELETRODUTO METÁLICO FLEXÍVEL TIPO SEALTUBO 2"</t>
  </si>
  <si>
    <t xml:space="preserve">23.06.0318</t>
  </si>
  <si>
    <t xml:space="preserve">PORCA SEXTAVADA DE AÇO INOX M16</t>
  </si>
  <si>
    <t xml:space="preserve">09.12.0001</t>
  </si>
  <si>
    <t xml:space="preserve">CHAPIM CONCRETO PRÉ-MOLDADO LARGURA 20CM NBR 9062</t>
  </si>
  <si>
    <t xml:space="preserve">24.08.0031</t>
  </si>
  <si>
    <t xml:space="preserve">ALICATE PRENSA TERMINAIS 5 EM 1 AP-510</t>
  </si>
  <si>
    <t xml:space="preserve">17.20.0357</t>
  </si>
  <si>
    <t xml:space="preserve">MOLDE PARA SOLDA EXOTÉRMICA - CABO X CABO 50MM2 "EMENDA"</t>
  </si>
  <si>
    <t xml:space="preserve">24.13.0035</t>
  </si>
  <si>
    <t xml:space="preserve">LIMA CHATA BASTARDA 8"</t>
  </si>
  <si>
    <t xml:space="preserve">24.08.0066</t>
  </si>
  <si>
    <t xml:space="preserve">ALICATE UNIVERSAL</t>
  </si>
  <si>
    <t xml:space="preserve">26.02.0039</t>
  </si>
  <si>
    <t xml:space="preserve">BOTINA PARA ELETRICISTA - RESISTENCIA 14 KV - COR PRETA - Nº 43 (CA-17010/28988/14721/26511)</t>
  </si>
  <si>
    <t xml:space="preserve">26.13.0027</t>
  </si>
  <si>
    <t xml:space="preserve">CAMISA MALHA MOLETON - TAMANHO G - MODELO ESPORTE - GOLA CARECA MANGA LONGA COM PUNHO DE RIBANA - LO</t>
  </si>
  <si>
    <t xml:space="preserve">26.13.0028</t>
  </si>
  <si>
    <t xml:space="preserve">CAMISA MALHA MOLETON - TAMANHO GG -  MODELO ESPORTE - GOLA CARECA MANGA LONGA COM PUNHO DE RIBANA -</t>
  </si>
  <si>
    <t xml:space="preserve">32.08.0023</t>
  </si>
  <si>
    <t xml:space="preserve">SOPRADOR DE AR A GASOLINA BR 420 STIHL</t>
  </si>
  <si>
    <t xml:space="preserve">17.01.1229</t>
  </si>
  <si>
    <t xml:space="preserve">CABO DE AÇO REVESTIDO 3/16" 6X7</t>
  </si>
  <si>
    <t xml:space="preserve">29.01.1161</t>
  </si>
  <si>
    <t xml:space="preserve">MICRO ONDAS</t>
  </si>
  <si>
    <t xml:space="preserve">25.01.0208</t>
  </si>
  <si>
    <t xml:space="preserve">DISCO DE CORTE 4" PARA METAL</t>
  </si>
  <si>
    <t xml:space="preserve">32.07.0072</t>
  </si>
  <si>
    <t xml:space="preserve">SERRA TICO-TICO</t>
  </si>
  <si>
    <t xml:space="preserve">17.20.0717</t>
  </si>
  <si>
    <t xml:space="preserve">BARRA CHATA DE COBRE ESTANHADO 12,7 (1/2") x 50,8 (2") x 140MM</t>
  </si>
  <si>
    <t xml:space="preserve">26.02.0040</t>
  </si>
  <si>
    <t xml:space="preserve">BOTINA PARA ELETRICISTA - RESISTENCIA 14 KV - COR PRETA - Nº 44 (CA-17010/28988/14721/26511)</t>
  </si>
  <si>
    <t xml:space="preserve">23.07.1578</t>
  </si>
  <si>
    <t xml:space="preserve">PARAFUSO SEXTAVADO AÇO INOX, ROSCA MÉTRICA TOTAL DIN 13, M10 X 50 MM</t>
  </si>
  <si>
    <t xml:space="preserve">30.01.0347</t>
  </si>
  <si>
    <t xml:space="preserve">PILHA RECARREGÁVEL AA C/ 4,00UN</t>
  </si>
  <si>
    <t xml:space="preserve">30.01.0349</t>
  </si>
  <si>
    <t xml:space="preserve">PILHA RECARREGÁVEL AAA C/ 4,00UN</t>
  </si>
  <si>
    <t xml:space="preserve">16.03.0508</t>
  </si>
  <si>
    <t xml:space="preserve">TINTA PARA DEMARCACAO DE PISO, COR AMARELA, DE ALTA RESISTENCIA E SECAGEM RAPIDA.</t>
  </si>
  <si>
    <t xml:space="preserve">23.07.1077</t>
  </si>
  <si>
    <t xml:space="preserve">PARAFUSO TTPF 45 – CX 1000</t>
  </si>
  <si>
    <t xml:space="preserve">29.01.1246</t>
  </si>
  <si>
    <t xml:space="preserve">LEITOR BIOMÉTRICO HAMSTER DX - NITGEN</t>
  </si>
  <si>
    <t xml:space="preserve">17.02.0025</t>
  </si>
  <si>
    <t xml:space="preserve">ELETRODUTO PEAD 75,00MM (3") X 50,00M  NBR 15715</t>
  </si>
  <si>
    <t xml:space="preserve">24.41.0130</t>
  </si>
  <si>
    <t xml:space="preserve">SOQUETE SEXTAVADO IMPACTO LONGO 1/2" 18MM</t>
  </si>
  <si>
    <t xml:space="preserve">23.09.0042</t>
  </si>
  <si>
    <t xml:space="preserve">GANCHO "J" Ø8MM PARA FIXAÇÃO DAS TELHAS C/ ARRUELAS METÁLICAS</t>
  </si>
  <si>
    <t xml:space="preserve">33.02.3120</t>
  </si>
  <si>
    <t xml:space="preserve">VALVULA DE DESCOMPRESSÃO 1135-020-9400</t>
  </si>
  <si>
    <t xml:space="preserve">18.03.0185</t>
  </si>
  <si>
    <t xml:space="preserve">TÊ DE REDUÇÃO SOLDÁVEL 50X25MM, PVC MARROM, ÁGUA FRIA - TIGRE</t>
  </si>
  <si>
    <t xml:space="preserve">24.07.0008</t>
  </si>
  <si>
    <t xml:space="preserve">TRENA LONGA 50,00M CAIXA FECHADA PLASTICA FITA AÇO TEMPERADO</t>
  </si>
  <si>
    <t xml:space="preserve">17.08.0063</t>
  </si>
  <si>
    <t xml:space="preserve">QUADRO EMBUTIDO COM BARRAMENTO 28 MODULOS</t>
  </si>
  <si>
    <t xml:space="preserve">33.02.0342</t>
  </si>
  <si>
    <t xml:space="preserve">LONA</t>
  </si>
  <si>
    <t xml:space="preserve">17.02.0714</t>
  </si>
  <si>
    <t xml:space="preserve">FITA DE ARQUEAR PET 16MM</t>
  </si>
  <si>
    <t xml:space="preserve">24.15.0047</t>
  </si>
  <si>
    <t xml:space="preserve">MARTELO UNHA 27MM</t>
  </si>
  <si>
    <t xml:space="preserve">17.02.0038</t>
  </si>
  <si>
    <t xml:space="preserve">ELETRODUTO METÁLICO FLEXÍVEL TIPO SEALTUBO 1.1/2"</t>
  </si>
  <si>
    <t xml:space="preserve">17.22.0151</t>
  </si>
  <si>
    <t xml:space="preserve">CINTA POSTE CIRCULAR 280</t>
  </si>
  <si>
    <t xml:space="preserve">17.20.0714</t>
  </si>
  <si>
    <t xml:space="preserve">MOLDE SOLDA EXOTÉRMICA TIPO CDH 50MM² DERIVAÇÃO T 90°</t>
  </si>
  <si>
    <t xml:space="preserve">23.07.0722</t>
  </si>
  <si>
    <t xml:space="preserve">PARAFUSO SEXTAVADO M10 X 30</t>
  </si>
  <si>
    <t xml:space="preserve">26.06.0107</t>
  </si>
  <si>
    <t xml:space="preserve">LUVA ANTI CORTE - G</t>
  </si>
  <si>
    <t xml:space="preserve">17.02.0195</t>
  </si>
  <si>
    <t xml:space="preserve">TAMPÃO/TERMINAL P/ELETRODUTO PEAD 125,00MM (5") NBR 15715</t>
  </si>
  <si>
    <t xml:space="preserve">24.07.0024</t>
  </si>
  <si>
    <t xml:space="preserve">TRENA LASER BOSCH GLM 40</t>
  </si>
  <si>
    <t xml:space="preserve">17.01.1150</t>
  </si>
  <si>
    <t xml:space="preserve">CABO ELETRICO FLEXIVEL 0,6/1KV 1 X 10,00MM2 COBRE PVC CLASSE 5 AZUL NBR 7288</t>
  </si>
  <si>
    <t xml:space="preserve">17.10.0437</t>
  </si>
  <si>
    <t xml:space="preserve">INTERRUPTOR DIFERENCIAL RESIDUAL BIPOLAR, CORRENTE NOMINAL DE 63A, CORRENTE DIFERENCIAL RESIDUAL DE 30MA</t>
  </si>
  <si>
    <t xml:space="preserve">17.22.0133</t>
  </si>
  <si>
    <t xml:space="preserve">CINTA POSTE CIRCULAR Ø200 5000DAN</t>
  </si>
  <si>
    <t xml:space="preserve">33.02.3099</t>
  </si>
  <si>
    <t xml:space="preserve">CINTO DE PORTA FERRAMENTAS</t>
  </si>
  <si>
    <t xml:space="preserve">24.35.0015</t>
  </si>
  <si>
    <t xml:space="preserve">ENXADA 1.0 EM AÇO CABO DE MADEIRA OLHO OVAL C/ CABO</t>
  </si>
  <si>
    <t xml:space="preserve">24.02.0011</t>
  </si>
  <si>
    <t xml:space="preserve">DISCO TACÓGRAFO VDO 7 DIAS X 125 KM/H SEMANA</t>
  </si>
  <si>
    <t xml:space="preserve">29.02.0007</t>
  </si>
  <si>
    <t xml:space="preserve">CADEIRA PLÁSTICA S/BRAÇO</t>
  </si>
  <si>
    <t xml:space="preserve">24.09.0595</t>
  </si>
  <si>
    <t xml:space="preserve">CHAVE INGLESA AJUSTÁVEL 15"x380mm</t>
  </si>
  <si>
    <t xml:space="preserve">26.06.0076</t>
  </si>
  <si>
    <t xml:space="preserve">LUVA DE VAQUETA TECMATER PARA MOTOSSERRISTA – TAMANHO 9</t>
  </si>
  <si>
    <t xml:space="preserve">18.01.0104</t>
  </si>
  <si>
    <t xml:space="preserve">TUBO PEAD CORRUGADO PERFURADO P/ DRENAGEM 150,00MM (6") X 50,00M NBR 15073</t>
  </si>
  <si>
    <t xml:space="preserve">17.20.0730</t>
  </si>
  <si>
    <t xml:space="preserve">TERMO RETRATIL BITOLA 400</t>
  </si>
  <si>
    <t xml:space="preserve">33.03.0199</t>
  </si>
  <si>
    <t xml:space="preserve">PNEU 195/65 R15</t>
  </si>
  <si>
    <t xml:space="preserve">17.20.0693</t>
  </si>
  <si>
    <t xml:space="preserve">TERMINAÇÃO PARA ACABAMENTO DE ELETRODUTO FLEXÍVEL PEAD, DIÂMETRO NOMINAL 4"</t>
  </si>
  <si>
    <t xml:space="preserve">27.02.0118</t>
  </si>
  <si>
    <t xml:space="preserve">BOLSA PARA FERAMENTA ELÉTRICA</t>
  </si>
  <si>
    <t xml:space="preserve">24.32.0050</t>
  </si>
  <si>
    <t xml:space="preserve">BOLSA PARA FERRAMENTAS EM LONA C/ ALÇA REGULÁVEL CG 425 CARBOGRAFITE</t>
  </si>
  <si>
    <t xml:space="preserve">17.20.0696</t>
  </si>
  <si>
    <t xml:space="preserve">BUCHA 3" C/TERMINAL DE ATERRAMENTO P/CABOS 16MM²</t>
  </si>
  <si>
    <t xml:space="preserve">30.01.0827</t>
  </si>
  <si>
    <t xml:space="preserve">EXPOSITOR MAPOTECA TRIDENT PARA PROJETOS EXP-10</t>
  </si>
  <si>
    <t xml:space="preserve">24.09.0158</t>
  </si>
  <si>
    <t xml:space="preserve">CHAVE/JOGO COMBINADA 8,00MM A 25,00MM AÇO CARBONO CROMADO</t>
  </si>
  <si>
    <t xml:space="preserve">24.41.0308</t>
  </si>
  <si>
    <t xml:space="preserve">SOQUETE SEXTAVADO IMPACTO LONGO 13MM ENCAIXE 1/2"</t>
  </si>
  <si>
    <t xml:space="preserve">13.06.0302</t>
  </si>
  <si>
    <t xml:space="preserve">MOLA AÉREA PARA PORTA, POTENCIA 2</t>
  </si>
  <si>
    <t xml:space="preserve">09.21.0408</t>
  </si>
  <si>
    <t xml:space="preserve">CAPITEL TP DE CONCRETO ARMADO</t>
  </si>
  <si>
    <t xml:space="preserve">24.01.0022</t>
  </si>
  <si>
    <t xml:space="preserve">ALICATE AMPERÍMETRO DIGITAL MINIPA ET-3367C 1000A</t>
  </si>
  <si>
    <t xml:space="preserve">17.16.3813</t>
  </si>
  <si>
    <t xml:space="preserve">CONECTOR TORQUIMÉTRICO PARA CABO CU 150 MM² REDONDO COMPACTO</t>
  </si>
  <si>
    <t xml:space="preserve">17.05.0050</t>
  </si>
  <si>
    <t xml:space="preserve">CAIXA CONDULETE 3/4” PVC - 3/4”,1/2” e 1” CINZA</t>
  </si>
  <si>
    <t xml:space="preserve">23.03.0151</t>
  </si>
  <si>
    <t xml:space="preserve">PREGO COMUM C/CABECA AÇO TEMPERADO 3" X 7 REF 20 X 33</t>
  </si>
  <si>
    <t xml:space="preserve">16.05.0185</t>
  </si>
  <si>
    <t xml:space="preserve">ROLO PINTURA LÃ DE CANBEIRO ANTI-GOTA 23CM</t>
  </si>
  <si>
    <t xml:space="preserve">23.10.0070</t>
  </si>
  <si>
    <t xml:space="preserve">CHUMBADORES UR-38-W3/8"x1"</t>
  </si>
  <si>
    <t xml:space="preserve">17.08.0068</t>
  </si>
  <si>
    <t xml:space="preserve">QUADRO DISTRIBUIÇÃO DE EMBUTIR TRIFÁSICO COM BARRAMENTO, REF.: QDETN-U II – 16 DIN 100A</t>
  </si>
  <si>
    <t xml:space="preserve">17.20.0227</t>
  </si>
  <si>
    <t xml:space="preserve">MOLDE PARA SOLDA EXOTÉRMICA - CABO X CABO 70MM2 "EMENDA"</t>
  </si>
  <si>
    <t xml:space="preserve">27.02.0009</t>
  </si>
  <si>
    <t xml:space="preserve">ARMÁRIO VITRINE COM 04 DIVISÓRIAS PARA MEDICAMENTOS 0,45M X 0,35M X 1,40M</t>
  </si>
  <si>
    <t xml:space="preserve">24.41.0307</t>
  </si>
  <si>
    <t xml:space="preserve">SOQUETE SEXTAVADO IMPACTO LONGO 10MM ENCAIXE 1/2"</t>
  </si>
  <si>
    <t xml:space="preserve">30.05.0023</t>
  </si>
  <si>
    <t xml:space="preserve">CAFÉ PCT 250G</t>
  </si>
  <si>
    <t xml:space="preserve">13.02.0378</t>
  </si>
  <si>
    <t xml:space="preserve">PORTA INTERNA DE GIRO EM MADEIRA MACICA, COM MARCO E ALIZARES (2,10 X 0,60 M)</t>
  </si>
  <si>
    <t xml:space="preserve">16.03.0120</t>
  </si>
  <si>
    <t xml:space="preserve">VERNIZ MARÍTIMO FOSCO GALÃO 3,60L NBR 11702</t>
  </si>
  <si>
    <t xml:space="preserve">33.02.2617</t>
  </si>
  <si>
    <t xml:space="preserve">CINTA REBOCADORA; TIPO JIBOIA 100T</t>
  </si>
  <si>
    <t xml:space="preserve">26.04.0143</t>
  </si>
  <si>
    <t xml:space="preserve">BASTÃO DE RESGATE PARA ALTA TENSÃO</t>
  </si>
  <si>
    <t xml:space="preserve">16.03.0014</t>
  </si>
  <si>
    <t xml:space="preserve">TINTA LATEX PVA BRANCO NEVE LATA 18,00L NBR 11702</t>
  </si>
  <si>
    <t xml:space="preserve">18.11.0239</t>
  </si>
  <si>
    <t xml:space="preserve">EXTINTOR DE PO QUIMICO SECO (PQS) ABC, PORTATIL, 4 KG, CLASSE/EXTINCAO 2A:20B:C</t>
  </si>
  <si>
    <t xml:space="preserve">23.08.0088</t>
  </si>
  <si>
    <t xml:space="preserve">BUCHA EM LIGA DE ALUMÍNIO COM TERMINAL DE ATERRAMENTO (FIO Ø 5 MM), PARA ELETRODUTO 2"</t>
  </si>
  <si>
    <t xml:space="preserve">33.02.0700</t>
  </si>
  <si>
    <t xml:space="preserve">SERRA 18 BIMETAL STARRETT</t>
  </si>
  <si>
    <t xml:space="preserve">24.26.0015</t>
  </si>
  <si>
    <t xml:space="preserve">SERRA MÁRMORE BOSCH GDC150 125MM, MOTOR 1500W, ROTAÇÃO 12200/RPM</t>
  </si>
  <si>
    <t xml:space="preserve">28.01.0195</t>
  </si>
  <si>
    <t xml:space="preserve">PLACA DE SINALIZAÇÃO RETANGULAR 1,00 X 0,70 M (ROTA DE FUGA)</t>
  </si>
  <si>
    <t xml:space="preserve">29.01.1218</t>
  </si>
  <si>
    <t xml:space="preserve">FILTRO DE LINHA INTELBRAS BIVOLT EPE 205 10A COM CABO DE 3 MTS</t>
  </si>
  <si>
    <t xml:space="preserve">29.03.0220</t>
  </si>
  <si>
    <t xml:space="preserve">FOGÃO PISO 4 BOCAS A GÁS - BRANCO</t>
  </si>
  <si>
    <t xml:space="preserve">24.36.0003</t>
  </si>
  <si>
    <t xml:space="preserve">FACÃO RABO DE GALO 14´´</t>
  </si>
  <si>
    <t xml:space="preserve">24.17.0015</t>
  </si>
  <si>
    <t xml:space="preserve">PICARETA CHIBANCA C/ CABO</t>
  </si>
  <si>
    <t xml:space="preserve">25.09.0195</t>
  </si>
  <si>
    <t xml:space="preserve">CINTA PARA POSTE CIRCULAR DIAMETRO 190 MM</t>
  </si>
  <si>
    <t xml:space="preserve">17.03.0615</t>
  </si>
  <si>
    <t xml:space="preserve">CURVA HORIZONTAL 90 GRAUS PARA ELETROCALHA 200X100</t>
  </si>
  <si>
    <t xml:space="preserve">17.02.0646</t>
  </si>
  <si>
    <t xml:space="preserve">TAMPÃO/TERMINAL 5" P/ DUTO FLEXÍVEL PEAD</t>
  </si>
  <si>
    <t xml:space="preserve">17.01.1222</t>
  </si>
  <si>
    <t xml:space="preserve">CABO MONOPOLAR 2,5 MM², CONDUTOR EM COBRE ELETROLÍTICO NU, TÊMPERA MOLE, CLASSE 5, TENSÃO 750 V, COR AZUL CLARO</t>
  </si>
  <si>
    <t xml:space="preserve">29.01.1353</t>
  </si>
  <si>
    <t xml:space="preserve">CONECTOR MACHO RJ45 CAT5E - INTELBRAS</t>
  </si>
  <si>
    <t xml:space="preserve">17.02.0879</t>
  </si>
  <si>
    <t xml:space="preserve">LUVA ADAPTADORA P/ ELETRODUTOS DE AÇO ZINCADO/CORRUG. FLEXÍVEL, DIÂMETRO 150 MM</t>
  </si>
  <si>
    <t xml:space="preserve">17.02.0003</t>
  </si>
  <si>
    <t xml:space="preserve">ELETRODUTO PVC ANTICHAMA FLEXIVEL CORRUGADO 32,00MM NBR 15465</t>
  </si>
  <si>
    <t xml:space="preserve">18.07.0097</t>
  </si>
  <si>
    <t xml:space="preserve">TANQUE RESERVATORIO IBC EM PEAD COM GAIOLA METALICA GALVANIZADA CAPACIDADE 1.000 LITROS</t>
  </si>
  <si>
    <t xml:space="preserve">23.08.0078</t>
  </si>
  <si>
    <t xml:space="preserve">BUCHA TERMINAL PARA ELETRODUTO Ø2", ROSCA BSP</t>
  </si>
  <si>
    <t xml:space="preserve">23.07.1178</t>
  </si>
  <si>
    <t xml:space="preserve">PARAFUSO FLANG PH P/ BROCA 4.2 X 19MM</t>
  </si>
  <si>
    <t xml:space="preserve">18.02.0754</t>
  </si>
  <si>
    <t xml:space="preserve">TUBO DE AÇO GALVANIZADO 2" RIR BSP (NBR-5598) - 3000 MM COM LUVA</t>
  </si>
  <si>
    <t xml:space="preserve">32.07.0217</t>
  </si>
  <si>
    <t xml:space="preserve">MÁQUINA DE SOLDA INVERSORA 150 MICRO AMARELA E PRETA 50Hz/60Hz 220v</t>
  </si>
  <si>
    <t xml:space="preserve">33.01.0079</t>
  </si>
  <si>
    <t xml:space="preserve">ROÇADEIRA PODADOR</t>
  </si>
  <si>
    <t xml:space="preserve">25.12.0025</t>
  </si>
  <si>
    <t xml:space="preserve">ESCADA DE ALUMINIO 7 DEGRAUS</t>
  </si>
  <si>
    <t xml:space="preserve">09.21.0404</t>
  </si>
  <si>
    <t xml:space="preserve">POSTE B-1,5/800/5M</t>
  </si>
  <si>
    <t xml:space="preserve">23.07.1570</t>
  </si>
  <si>
    <t xml:space="preserve">KIT PARAFUSO P/ BACIA SANITÁRIA</t>
  </si>
  <si>
    <t xml:space="preserve">32.02.0009</t>
  </si>
  <si>
    <t xml:space="preserve">CINTA DE ELEVAÇÃO CAPACIDADE 3,0T COM 5,0M</t>
  </si>
  <si>
    <t xml:space="preserve">09.21.0419</t>
  </si>
  <si>
    <t xml:space="preserve">TAMPA METALICA GALV 2 CH 18</t>
  </si>
  <si>
    <t xml:space="preserve">28.01.0367</t>
  </si>
  <si>
    <t xml:space="preserve">PLACA DE SINALIZAÇÃO</t>
  </si>
  <si>
    <t xml:space="preserve">24.20.0010</t>
  </si>
  <si>
    <t xml:space="preserve">RÉGUA DE ALUMÍNIO DE 3M</t>
  </si>
  <si>
    <t xml:space="preserve">26.04.0014</t>
  </si>
  <si>
    <t xml:space="preserve">MOSQUETÃO HMS DE AÇO (PERÂ)</t>
  </si>
  <si>
    <t xml:space="preserve">17.20.0376</t>
  </si>
  <si>
    <t xml:space="preserve">FITA DE SINALIZAÇÃO COM ESCRITA "CUIDADO, REDE ELÉTRICA ABAIXO"</t>
  </si>
  <si>
    <t xml:space="preserve">27.01.0229</t>
  </si>
  <si>
    <t xml:space="preserve">OMEPRAZOL 40MG CX 20FA+20AMP</t>
  </si>
  <si>
    <t xml:space="preserve">4.3.4.006 - Medicamentos e primeiro socorros</t>
  </si>
  <si>
    <t xml:space="preserve">13.06.0355</t>
  </si>
  <si>
    <t xml:space="preserve">DOBRADIÇAS REFORÇADAS</t>
  </si>
  <si>
    <t xml:space="preserve">30.03.0389</t>
  </si>
  <si>
    <t xml:space="preserve">DESINFETANTE</t>
  </si>
  <si>
    <t xml:space="preserve">25.01.0245</t>
  </si>
  <si>
    <t xml:space="preserve">DISCO DE SERRA CIRCULAR 10" 40D</t>
  </si>
  <si>
    <t xml:space="preserve">25.12.0003</t>
  </si>
  <si>
    <t xml:space="preserve">ESCADA AÇO INOX 316 RETA 4 DEGRAUS</t>
  </si>
  <si>
    <t xml:space="preserve">30.03.0537</t>
  </si>
  <si>
    <t xml:space="preserve">RODO ALUMÍNIO 80CM C/CABO</t>
  </si>
  <si>
    <t xml:space="preserve">33.02.2825</t>
  </si>
  <si>
    <t xml:space="preserve">DENTE LCB 400/F0341</t>
  </si>
  <si>
    <t xml:space="preserve">17.01.1246</t>
  </si>
  <si>
    <t xml:space="preserve">CABO MONOPOLAR 2,5 MM², EM COBRE NU, TÊMPERA MOLE, CLASSE 5, TENSÃO 750 V, EM PVC, 70 °C, COR PRETO</t>
  </si>
  <si>
    <t xml:space="preserve">23.03.0025</t>
  </si>
  <si>
    <t xml:space="preserve">PREGO COMUM C/CABECA AÇO TEMPERADO 2.1/2" X 10 REF 18 X 27</t>
  </si>
  <si>
    <t xml:space="preserve">17.10.0189</t>
  </si>
  <si>
    <t xml:space="preserve">DISJUNTOR TRIFÁSICO 100A – 127/220/380V NBR 60898</t>
  </si>
  <si>
    <t xml:space="preserve">17.12.0515</t>
  </si>
  <si>
    <t xml:space="preserve">CONDULETE PVC MULT 1" 5E C/INT SIMP</t>
  </si>
  <si>
    <t xml:space="preserve">24.08.0153</t>
  </si>
  <si>
    <t xml:space="preserve">ALICATE TESOURÃO ATÉ 23,5 MM² CABO SIMPLES</t>
  </si>
  <si>
    <t xml:space="preserve">17.02.0880</t>
  </si>
  <si>
    <t xml:space="preserve">LUVA ADAPTADORA P/ ELETRODUTOS DE AÇO ZINCADO/CORRUG. FLEXÍVEL, DIÂMETRO 75 MM</t>
  </si>
  <si>
    <t xml:space="preserve">26.04.0151</t>
  </si>
  <si>
    <t xml:space="preserve">TRAVA QUEDAS PARA CORDA 12MM</t>
  </si>
  <si>
    <t xml:space="preserve">17.20.0310</t>
  </si>
  <si>
    <t xml:space="preserve">SUPORTE PARA BAP EM AÇO GALVANIZADO, FURO 14MM PARA PARAFUSOS M12</t>
  </si>
  <si>
    <t xml:space="preserve">26.06.0002</t>
  </si>
  <si>
    <t xml:space="preserve">LUVA LATÉX - TAM. M (CA-15532/6659/27788/19435)</t>
  </si>
  <si>
    <t xml:space="preserve">26.04.0059</t>
  </si>
  <si>
    <t xml:space="preserve">DISPOSITIVO DE ANCORAGEM FIXO TIPO A1</t>
  </si>
  <si>
    <t xml:space="preserve">17.02.0708</t>
  </si>
  <si>
    <t xml:space="preserve">ELETRODUTO CORRUGADO FLEXÍVEL 3"</t>
  </si>
  <si>
    <t xml:space="preserve">17.07.0091</t>
  </si>
  <si>
    <t xml:space="preserve">CAIXA DE PASSAGEM METALICA 150X150X100MM SOBREPOR</t>
  </si>
  <si>
    <t xml:space="preserve">17.02.0910</t>
  </si>
  <si>
    <t xml:space="preserve">BUCHA DE ACABAMENTO EM PVC PARA ELETRODUTO DN 2" – ROSCA BSP</t>
  </si>
  <si>
    <t xml:space="preserve">23.07.1610</t>
  </si>
  <si>
    <t xml:space="preserve">PARAFUSO ROSCA SOBERBA AÇO GALVANIZADO A FOGO CABEÇA SEXTAVADA 1/4" X 40 MM</t>
  </si>
  <si>
    <t xml:space="preserve">26.02.0028</t>
  </si>
  <si>
    <t xml:space="preserve">BOTA IMPERMEÁVEL DE PVC CANO LONGO - COR PRETA - Nº 45 (CA-26629/10199/28286)</t>
  </si>
  <si>
    <t xml:space="preserve">30.03.0120</t>
  </si>
  <si>
    <t xml:space="preserve">TRAPO PARA LIMPEZA</t>
  </si>
  <si>
    <t xml:space="preserve">01.09.0387</t>
  </si>
  <si>
    <t xml:space="preserve">CANTONEIRA L 140x140x9 - 250 MM</t>
  </si>
  <si>
    <t xml:space="preserve">30.03.0392</t>
  </si>
  <si>
    <t xml:space="preserve">CARRINHO DE MÃO</t>
  </si>
  <si>
    <t xml:space="preserve">32.08.0057</t>
  </si>
  <si>
    <t xml:space="preserve">MOTOCOMPRESSOR DE AR ISENTO DE ÓLEO</t>
  </si>
  <si>
    <t xml:space="preserve">26.01.0112</t>
  </si>
  <si>
    <t xml:space="preserve">ARREATA DE COURO P/ CARPINTEIRO</t>
  </si>
  <si>
    <t xml:space="preserve">31.02.0034</t>
  </si>
  <si>
    <t xml:space="preserve">ADITIVO PARA RADIADOR 1L</t>
  </si>
  <si>
    <t xml:space="preserve">25.10.0062</t>
  </si>
  <si>
    <t xml:space="preserve">NYLON PARA CORTAR GRAMA 3MM</t>
  </si>
  <si>
    <t xml:space="preserve">30.01.0443</t>
  </si>
  <si>
    <t xml:space="preserve">FITA SILVER TAPE 50,00 MM X 50,00 M</t>
  </si>
  <si>
    <t xml:space="preserve">23.05.0284</t>
  </si>
  <si>
    <t xml:space="preserve">ARRUELA DE VEDAÇÃO DE NEOPRENE Ø1/4”</t>
  </si>
  <si>
    <t xml:space="preserve">29.03.0404</t>
  </si>
  <si>
    <t xml:space="preserve">VENTILADOR/EXAUSTOR,  VAZÃO 96 M³/H, 220 V-60 HZ, 55 W</t>
  </si>
  <si>
    <t xml:space="preserve">34.02.0888</t>
  </si>
  <si>
    <t xml:space="preserve">SERVO DE EMBREAGEM</t>
  </si>
  <si>
    <t xml:space="preserve">23.07.1312</t>
  </si>
  <si>
    <t xml:space="preserve">PARAFUSO ROSCA DUPLA EM AÇO GALVANIZADO, M16 X 450MM</t>
  </si>
  <si>
    <t xml:space="preserve">23.03.0160</t>
  </si>
  <si>
    <t xml:space="preserve">PREGO COMUM 17X27</t>
  </si>
  <si>
    <t xml:space="preserve">17.15.0021</t>
  </si>
  <si>
    <t xml:space="preserve">CHAVE SECCIONADORA TRIPOLAR C/ BASE FUSIVEL 15KV 400A FACA</t>
  </si>
  <si>
    <t xml:space="preserve">18.11.0231</t>
  </si>
  <si>
    <t xml:space="preserve">EXTINTOR DE INCENDIO DE PO QUIMICO SECO (PQS)  6 KG, CLASSE 4A:40B:C, PORTATIL</t>
  </si>
  <si>
    <t xml:space="preserve">18.01.0440</t>
  </si>
  <si>
    <t xml:space="preserve">LUVA PVC ROSCAVEL 1.1/2"</t>
  </si>
  <si>
    <t xml:space="preserve">26.05.0070</t>
  </si>
  <si>
    <t xml:space="preserve">PROTETOR FACIAL INCOLOR ACOPLADO A CAPACETE</t>
  </si>
  <si>
    <t xml:space="preserve">32.07.0158</t>
  </si>
  <si>
    <t xml:space="preserve">LIXADEIRA TIPO ESMERILADEIRA 7"</t>
  </si>
  <si>
    <t xml:space="preserve">16.03.0216</t>
  </si>
  <si>
    <t xml:space="preserve">TINTA ACRÍLICA PARA PISO AZUL 18L NBR 11702</t>
  </si>
  <si>
    <t xml:space="preserve">23.02.0475</t>
  </si>
  <si>
    <t xml:space="preserve">ABRAÇADEIRA TIPO "D" C/ PARFUSO P/ ELÉTRODUTO DE DIAN. 1" EM AÇO GALVANIZADO A QUENTE</t>
  </si>
  <si>
    <t xml:space="preserve">17.11.1144</t>
  </si>
  <si>
    <t xml:space="preserve">SOQUETE 1.5/16</t>
  </si>
  <si>
    <t xml:space="preserve">17.01.1211</t>
  </si>
  <si>
    <t xml:space="preserve">CABO MONOPOLAR 16 MM², CONDUTOR EM COBRE ELETROLÍTICO NU, TÊMPERA MOLE, CLASSE 5, TENSÃO 0,6/1 KV, COR PRETO</t>
  </si>
  <si>
    <t xml:space="preserve">18.07.0046</t>
  </si>
  <si>
    <t xml:space="preserve">CAIXA D'ÁGUA POLIETILENO 1000,00L C/TAMPA</t>
  </si>
  <si>
    <t xml:space="preserve">24.37.0010</t>
  </si>
  <si>
    <t xml:space="preserve">PÁ DE BICO COM CABO DE MADEIRA 71CM NATURAL REFORÇADA</t>
  </si>
  <si>
    <t xml:space="preserve">32.12.0008</t>
  </si>
  <si>
    <t xml:space="preserve">MULTÍMETRO DIGITAL</t>
  </si>
  <si>
    <t xml:space="preserve">17.02.0061</t>
  </si>
  <si>
    <t xml:space="preserve">ELETRODUTO AÇO CARBONO ROSCÁVEL BSP 2" NBR5597</t>
  </si>
  <si>
    <t xml:space="preserve">35.09.0039</t>
  </si>
  <si>
    <t xml:space="preserve">MACACO HIDRÁULICO CJ12TON MERCEDES</t>
  </si>
  <si>
    <t xml:space="preserve">24.41.0286</t>
  </si>
  <si>
    <t xml:space="preserve">DESFORCÍMETRO 795KGF COM SOQUETE 32-33 MM</t>
  </si>
  <si>
    <t xml:space="preserve">03.07.0018</t>
  </si>
  <si>
    <t xml:space="preserve">CAIBRO MADEIRA MISTA 5,00CM X 5,00CM X 6,00M</t>
  </si>
  <si>
    <t xml:space="preserve">25.04.0032</t>
  </si>
  <si>
    <t xml:space="preserve">LAMINA DE SERRA MANUAL BI-METAL UNIQUE STARRET.</t>
  </si>
  <si>
    <t xml:space="preserve">17.03.0616</t>
  </si>
  <si>
    <t xml:space="preserve">TE HORIZONTAL PARA ELETROCALHA 200X100</t>
  </si>
  <si>
    <t xml:space="preserve">30.03.0359</t>
  </si>
  <si>
    <t xml:space="preserve">COLETOR COM TAMPA E PEDAL - 120 L - CINZA</t>
  </si>
  <si>
    <t xml:space="preserve">19.01.0007</t>
  </si>
  <si>
    <t xml:space="preserve">BACIA SANITARIA CAIXA ACOPLADA SAIDA VERTICAL LOUCA BOTAO DUPLO ACIONAMENTO 6,00L BRANCO ASSENTO PP</t>
  </si>
  <si>
    <t xml:space="preserve">23.02.0478</t>
  </si>
  <si>
    <t xml:space="preserve">ABRAÇADEIRA TIPO "D" C/ PARFUSO P/ ELÉTRODUTO DE DIAN. 2" EM AÇO GALVANIZADO A QUENTE</t>
  </si>
  <si>
    <t xml:space="preserve">24.04.0007</t>
  </si>
  <si>
    <t xml:space="preserve">PRUMO PAREDE AÇO SAE 1020 CORDAO NYLON TAÇO MADEIRA 400,00G</t>
  </si>
  <si>
    <t xml:space="preserve">19.08.0099</t>
  </si>
  <si>
    <t xml:space="preserve">TORNEIRA DE COZINHA FLEXÍVEL 1/2 (BANCADA)</t>
  </si>
  <si>
    <t xml:space="preserve">30.03.0113</t>
  </si>
  <si>
    <t xml:space="preserve">DETERGENTE LÍQUIDO 5,00 L</t>
  </si>
  <si>
    <t xml:space="preserve">29.01.0042</t>
  </si>
  <si>
    <t xml:space="preserve">FONE DE OUVIDO COM MICROFONE P2</t>
  </si>
  <si>
    <t xml:space="preserve">29.01.1386</t>
  </si>
  <si>
    <t xml:space="preserve">CAIXA DE SOM MINI</t>
  </si>
  <si>
    <t xml:space="preserve">30.03.0547</t>
  </si>
  <si>
    <t xml:space="preserve">COLETOR COM TAMPA E PEDAL 30 L - VERMELHO</t>
  </si>
  <si>
    <t xml:space="preserve">26.06.0112</t>
  </si>
  <si>
    <t xml:space="preserve">LUVA ISOLANTE 5KV</t>
  </si>
  <si>
    <t xml:space="preserve">30.01.0449</t>
  </si>
  <si>
    <t xml:space="preserve">CARREGADOR DE PILHAS AA/AAA BIV. COM 2 PILHAS AA E 2 PILHAS AAA</t>
  </si>
  <si>
    <t xml:space="preserve">17.10.0318</t>
  </si>
  <si>
    <t xml:space="preserve">DISPOSITIVO DE PROTEÇÃO CONTRA SURTOS – DPS 40KVA 275V CLASSE II</t>
  </si>
  <si>
    <t xml:space="preserve">23.06.0132</t>
  </si>
  <si>
    <t xml:space="preserve">PORCA SEXTAVADA 7/8 ZB</t>
  </si>
  <si>
    <t xml:space="preserve">23.07.1612</t>
  </si>
  <si>
    <t xml:space="preserve">PORCA LOSANGULAR COM PINO PARA PERFILADO GALVANIZADO A FOGO 3/8"</t>
  </si>
  <si>
    <t xml:space="preserve">01.10.0076</t>
  </si>
  <si>
    <t xml:space="preserve">BARRA ROSCADA AÇO CARBONO GALVANIZADO M20 C/ 1,00M</t>
  </si>
  <si>
    <t xml:space="preserve">17.16.0084</t>
  </si>
  <si>
    <t xml:space="preserve">GRAMPO DUPLO GALVANIZADO TIPO “U”– MOD.: GAE-3526 – 16-70MM2 – PARA HASTE DE ATERRAMENTO 5/8” Á 1”</t>
  </si>
  <si>
    <t xml:space="preserve">17.02.0347</t>
  </si>
  <si>
    <t xml:space="preserve">PARAFUSO ROSCA DUPLA EM AÇO GALVANIZADO, M16 x 700 MM</t>
  </si>
  <si>
    <t xml:space="preserve">09.21.0406</t>
  </si>
  <si>
    <t xml:space="preserve">CRUZETA MEIO BECO 2M</t>
  </si>
  <si>
    <t xml:space="preserve">18.13.0029</t>
  </si>
  <si>
    <t xml:space="preserve">MANGUEIRA DE SUCÇÃO AZUL 2"</t>
  </si>
  <si>
    <t xml:space="preserve">24.17.0014</t>
  </si>
  <si>
    <t xml:space="preserve">PICARETA C/CABO</t>
  </si>
  <si>
    <t xml:space="preserve">23.06.0325</t>
  </si>
  <si>
    <t xml:space="preserve">PORCA LOSANGULAR COM PINO PARA PERFILADO GALVANIZADO A FOGO 1/4"</t>
  </si>
  <si>
    <t xml:space="preserve">28.01.0713</t>
  </si>
  <si>
    <t xml:space="preserve">PLACA DE SINALIZAÇÃO 60X40CM - CHAPA DE ZINCO - COM CAVALETE</t>
  </si>
  <si>
    <t xml:space="preserve">28.01.0745</t>
  </si>
  <si>
    <t xml:space="preserve">PLACA DE ORIENTACAO PARA SAIDA DE EMERGENCIA (SEM SETA), DIMENSOES 316 X 158 MM (L X A), FABRICADA EM CHAPA DE ACO GALVA</t>
  </si>
  <si>
    <t xml:space="preserve">17.02.0041</t>
  </si>
  <si>
    <t xml:space="preserve">TUBO ELETRODUTO POLIETILENO FLEXIVEL 32,00MM PRETO NBR 15465</t>
  </si>
  <si>
    <t xml:space="preserve">30.01.0215</t>
  </si>
  <si>
    <t xml:space="preserve">FITILHO PLÁSTICO ROLO C/ 250,00M</t>
  </si>
  <si>
    <t xml:space="preserve">03.10.0029</t>
  </si>
  <si>
    <t xml:space="preserve">TORA DE EUCALIPTO TRATADO DE 0,15M A 0,20M DE DIÂMETRO COM 2,5M DE COMPRIMENTO</t>
  </si>
  <si>
    <t xml:space="preserve">26.04.0054</t>
  </si>
  <si>
    <t xml:space="preserve">BOLSA DE 20 LITROS PARA ARMAZENAMENTO DE CORDAS</t>
  </si>
  <si>
    <t xml:space="preserve">23.07.1019</t>
  </si>
  <si>
    <t xml:space="preserve">PARAFUSO PARA DRYWALL 4,2X13</t>
  </si>
  <si>
    <t xml:space="preserve">30.03.0014</t>
  </si>
  <si>
    <t xml:space="preserve">SACO PLÁSTICO LIXO 100,00L PRETO S/IMPRESSAO C/100</t>
  </si>
  <si>
    <t xml:space="preserve">17.10.0358</t>
  </si>
  <si>
    <t xml:space="preserve">DISJUNTOR DIFERENCIAL RESIDUAL 50A</t>
  </si>
  <si>
    <t xml:space="preserve">26.01.0093</t>
  </si>
  <si>
    <t xml:space="preserve">COLETE REFLETIVO QSMS G - LARANJA</t>
  </si>
  <si>
    <t xml:space="preserve">17.20.0715</t>
  </si>
  <si>
    <t xml:space="preserve">MOLDE SOLDA EXOTÉRMICA TIPO HCJ 50MM² CABO/HASTE JOELHO</t>
  </si>
  <si>
    <t xml:space="preserve">32.07.0083</t>
  </si>
  <si>
    <t xml:space="preserve">LAMINA 3 FACAS 300 MM</t>
  </si>
  <si>
    <t xml:space="preserve">23.05.0120</t>
  </si>
  <si>
    <t xml:space="preserve">ARRUELA LI 7/8 ZB</t>
  </si>
  <si>
    <t xml:space="preserve">17.07.0103</t>
  </si>
  <si>
    <t xml:space="preserve">CAIXA PASSAGEM/LIGAÇÃO ALUMÍNIO N, 3 ENTRADAS 25 MM (1"), T, EXTERNA</t>
  </si>
  <si>
    <t xml:space="preserve">24.24.0014</t>
  </si>
  <si>
    <t xml:space="preserve">CHAVE DE IMPACTO 710W ENCAIXE DE 1/2" ELETRICA</t>
  </si>
  <si>
    <t xml:space="preserve">01.04.0009</t>
  </si>
  <si>
    <t xml:space="preserve">ARAME DE AÇO GALVANIZADO N° 4 BWG</t>
  </si>
  <si>
    <t xml:space="preserve">08.02.0094</t>
  </si>
  <si>
    <t xml:space="preserve">CANALETA 19X19X39CM 8MPA</t>
  </si>
  <si>
    <t xml:space="preserve">01.09.0256</t>
  </si>
  <si>
    <t xml:space="preserve">CANTONEIRA "L"  GALVANIZADA  76 x 76 x 4,75 x 1200MM</t>
  </si>
  <si>
    <t xml:space="preserve">17.02.0876</t>
  </si>
  <si>
    <t xml:space="preserve">UNIÃO ENTRE ELETRODUTO FLEXÍVEL PEAD COM ELETRODUTO RÍGIDO LISO, AMBOS DIÂMETRO 2"</t>
  </si>
  <si>
    <t xml:space="preserve">30.03.0361</t>
  </si>
  <si>
    <t xml:space="preserve">DESENGRAXANTE</t>
  </si>
  <si>
    <t xml:space="preserve">23.06.0277</t>
  </si>
  <si>
    <t xml:space="preserve">PORCA INOX MA 8MM</t>
  </si>
  <si>
    <t xml:space="preserve">23.01.0076</t>
  </si>
  <si>
    <t xml:space="preserve">VULCANIZADORA PARA CÂMARAS DE AUTOMÓVEIS/CAMINHÕES ;220V</t>
  </si>
  <si>
    <t xml:space="preserve">30.03.0322</t>
  </si>
  <si>
    <t xml:space="preserve">SABÃO EM PÓ 500G</t>
  </si>
  <si>
    <t xml:space="preserve">17.03.0611</t>
  </si>
  <si>
    <t xml:space="preserve">CRUZETA PARA RESERVA DE CABO ADSS</t>
  </si>
  <si>
    <t xml:space="preserve">18.07.0002</t>
  </si>
  <si>
    <t xml:space="preserve">CAIXA D'ÁGUA FIBRA VIDRO 1000,00L C/TAMPA NBR 14799 e NBR 14800</t>
  </si>
  <si>
    <t xml:space="preserve">29.03.0125</t>
  </si>
  <si>
    <t xml:space="preserve">TANQUINHO DE LAVAR ROUPA 10KG NBR 16728</t>
  </si>
  <si>
    <t xml:space="preserve">34.02.0087</t>
  </si>
  <si>
    <t xml:space="preserve">CILINDRO MESTRE DE EMBREAGEM</t>
  </si>
  <si>
    <t xml:space="preserve">24.30.0001</t>
  </si>
  <si>
    <t xml:space="preserve">CARRO DE MÃO CAÇAMBA METÁLICA FUNDA</t>
  </si>
  <si>
    <t xml:space="preserve">16.03.0217</t>
  </si>
  <si>
    <t xml:space="preserve">TINTA ACRÍLICA PARA PISO AMARELO 18L NBR 11702</t>
  </si>
  <si>
    <t xml:space="preserve">17.02.0436</t>
  </si>
  <si>
    <t xml:space="preserve">ELETRODUTO PEAD 50,00MM (2") X 50,00M  NBR 15715</t>
  </si>
  <si>
    <t xml:space="preserve">09.18.0061</t>
  </si>
  <si>
    <t xml:space="preserve">TAMPA PRE-MOLDADA EM CONCRETO ARMADO FCK 25 MPA, 98X24,5X6 CM, TELA Q138</t>
  </si>
  <si>
    <t xml:space="preserve">26.06.0031</t>
  </si>
  <si>
    <t xml:space="preserve">LUVA DE COBERTURA PARA ELETRICISTA - TAM ÚNICO (CA-10240/16153)</t>
  </si>
  <si>
    <t xml:space="preserve">23.07.1571</t>
  </si>
  <si>
    <t xml:space="preserve">KIT PARAFUSO PARA MICTORIO</t>
  </si>
  <si>
    <t xml:space="preserve">32.02.0008</t>
  </si>
  <si>
    <t xml:space="preserve">CINTA DE ELEVAÇÃO CAPACIDADE 4,0T COM 4,0M</t>
  </si>
  <si>
    <t xml:space="preserve">30.01.0581</t>
  </si>
  <si>
    <t xml:space="preserve">PAPEL PARA PLOTTER SULFITE 75G ROLO 914MM X 50M</t>
  </si>
  <si>
    <t xml:space="preserve">25.01.0112</t>
  </si>
  <si>
    <t xml:space="preserve">DISCO DE CORTE 10MM</t>
  </si>
  <si>
    <t xml:space="preserve">24.28.0011</t>
  </si>
  <si>
    <t xml:space="preserve">MARCADOR INDUSTRIAL PERMANENTE EDDING 750</t>
  </si>
  <si>
    <t xml:space="preserve">17.20.0758</t>
  </si>
  <si>
    <t xml:space="preserve">MOLDE PARA SOLDA EXOTERMICA PARA DERIVACAO T DE CABO DE COBRE 70 MM X 25 MM</t>
  </si>
  <si>
    <t xml:space="preserve">24.41.0304</t>
  </si>
  <si>
    <t xml:space="preserve">JOGO DE CHAVE SOQUETE 20 PECAS CROMO-VANADIO 19- 50MM ENCAIXE DE 3/4POL</t>
  </si>
  <si>
    <t xml:space="preserve">26.03.0020</t>
  </si>
  <si>
    <t xml:space="preserve">CARNEIRA PARA CAPACETE MSA S/JUGULAR</t>
  </si>
  <si>
    <t xml:space="preserve">24.35.0003</t>
  </si>
  <si>
    <t xml:space="preserve">SACHO 1 PONTA C/ CABO</t>
  </si>
  <si>
    <t xml:space="preserve">17.19.0081</t>
  </si>
  <si>
    <t xml:space="preserve">TERMO RETRATIL BITOLA 400 (BRANCO)</t>
  </si>
  <si>
    <t xml:space="preserve">17.19.0082</t>
  </si>
  <si>
    <t xml:space="preserve">TERMO RETRATIL BITOLA 400 (VERMELHO)</t>
  </si>
  <si>
    <t xml:space="preserve">23.07.1624</t>
  </si>
  <si>
    <t xml:space="preserve">PARAFUSO FIXADOR ABA/TELHA</t>
  </si>
  <si>
    <t xml:space="preserve">17.05.0099</t>
  </si>
  <si>
    <t xml:space="preserve">TAMPA PARA CAIXA DE INSPEÇÃO DE ATERRAMENTO EM MATERIAL GALVANIZADO 300MM</t>
  </si>
  <si>
    <t xml:space="preserve">29.01.0466</t>
  </si>
  <si>
    <t xml:space="preserve">MONITOR LED 27" FULL HD</t>
  </si>
  <si>
    <t xml:space="preserve">25.01.0230</t>
  </si>
  <si>
    <t xml:space="preserve">DISCO FLAP 4"</t>
  </si>
  <si>
    <t xml:space="preserve">01.02.0023</t>
  </si>
  <si>
    <t xml:space="preserve">AÇO CARBONO CA-50 VERGALHÃO NERVURADO 6,30MM X 12,00M NBR 7480 (0,245KG/M) - CORTADO E DOBRADO</t>
  </si>
  <si>
    <t xml:space="preserve">23.02.0293</t>
  </si>
  <si>
    <t xml:space="preserve">ABRAÇADEIRA NYLON 400,00CM X 4,80MM</t>
  </si>
  <si>
    <t xml:space="preserve">17.08.0242</t>
  </si>
  <si>
    <t xml:space="preserve">QUADRO DE SOBREPOR COM BARRAMENTO TERRA E NEUTRO COM CAPACIDADE PARA 20 DISJUNTORES TIPO DIN</t>
  </si>
  <si>
    <t xml:space="preserve">17.02.0914</t>
  </si>
  <si>
    <t xml:space="preserve">CONJUNTO ISOLADOR TIPO ROLDANA DE PORCELANA VERTICAL COM PARAFUSO DE FIXAÇÃO</t>
  </si>
  <si>
    <t xml:space="preserve">25.01.0073</t>
  </si>
  <si>
    <t xml:space="preserve">DISCO DE CORTE DIAMANTADO PARA CONCRETO 180MM X 25.4MM X 7MM</t>
  </si>
  <si>
    <t xml:space="preserve">17.10.0224</t>
  </si>
  <si>
    <t xml:space="preserve">DISJUNTOR DIFERENCIAL RESIDUAL TETRAPOLAR SDR 63A – 400V NBR 60898</t>
  </si>
  <si>
    <t xml:space="preserve">26.01.0114</t>
  </si>
  <si>
    <t xml:space="preserve">BLUSÃO PARA OPERADOR DE MOTOSERRA</t>
  </si>
  <si>
    <t xml:space="preserve">26.04.0035</t>
  </si>
  <si>
    <t xml:space="preserve">CINTO PARAQUEDISTA 2 PONTOS DE ANCORAGEM (PEITO E COSTAS)</t>
  </si>
  <si>
    <t xml:space="preserve">26.03.0001</t>
  </si>
  <si>
    <t xml:space="preserve">CAPACETE COM ABA TOTAL (TIPO I) C/ CARNEIRA - COR VERMELHA (CA-365)</t>
  </si>
  <si>
    <t xml:space="preserve">24.45.0015</t>
  </si>
  <si>
    <t xml:space="preserve">MASSEIRA PLÁSTICA</t>
  </si>
  <si>
    <t xml:space="preserve">24.13.0027</t>
  </si>
  <si>
    <t xml:space="preserve">LIMA CHATA 150X16X2,7 MM - STHIL</t>
  </si>
  <si>
    <t xml:space="preserve">17.20.0278</t>
  </si>
  <si>
    <t xml:space="preserve">MOLDE PARA SOLDA EXOTÉRMICA - CABO 70MM2 X HASTE 3/4" "X"</t>
  </si>
  <si>
    <t xml:space="preserve">24.21.0001</t>
  </si>
  <si>
    <t xml:space="preserve">SERROTE PROFISSIONAL 18" CORPO AÇO CARBONO CABO MADEIRA 9 DENTES P/POLEGADA</t>
  </si>
  <si>
    <t xml:space="preserve">17.01.1223</t>
  </si>
  <si>
    <t xml:space="preserve">CABO MONOPOLAR 2,5 MM², CONDUTOR EM COBRE ELETROLÍTICO NU, TÊMPERA MOLE, CLASSE 5, TENSÃO 750 V,  COR VERDE</t>
  </si>
  <si>
    <t xml:space="preserve">17.12.0476</t>
  </si>
  <si>
    <t xml:space="preserve">TOMADA DUPLA PARA CONDULETE 1"</t>
  </si>
  <si>
    <t xml:space="preserve">30.03.0149</t>
  </si>
  <si>
    <t xml:space="preserve">AMACIANTE PARA ROUPAS 1L</t>
  </si>
  <si>
    <t xml:space="preserve">26.06.0123</t>
  </si>
  <si>
    <t xml:space="preserve">LUVA DE VAQUETA CANO LONGO</t>
  </si>
  <si>
    <t xml:space="preserve">16.03.0184</t>
  </si>
  <si>
    <t xml:space="preserve">TINTA SPRAY VERMELHO 400ML NBR 11702</t>
  </si>
  <si>
    <t xml:space="preserve">26.01.0017</t>
  </si>
  <si>
    <t xml:space="preserve">MACACÃO TIPO JARDINEIRA TAM. GG C/ BOTA IMPERMEABILIZANTE Nº43</t>
  </si>
  <si>
    <t xml:space="preserve">26.01.0021</t>
  </si>
  <si>
    <t xml:space="preserve">MACACÃO TIPO JARDINEIRA TAM. GG C/ BOTA IMPERMEABILIZANTE Nº44</t>
  </si>
  <si>
    <t xml:space="preserve">17.02.0689</t>
  </si>
  <si>
    <t xml:space="preserve">ELETRODUTO PEAD 4" (DN110)</t>
  </si>
  <si>
    <t xml:space="preserve">24.15.0019</t>
  </si>
  <si>
    <t xml:space="preserve">MARTELO UNHA AÇO CARBONO JATEADO / ENVERNIZADO 29,00MM CABO MADEIRA ENVERNIZADO</t>
  </si>
  <si>
    <t xml:space="preserve">08.02.0076</t>
  </si>
  <si>
    <t xml:space="preserve">BLOCO T 54X14X19 FCK MAIOR OU IGUAL 6MPA</t>
  </si>
  <si>
    <t xml:space="preserve">17.01.1220</t>
  </si>
  <si>
    <t xml:space="preserve">CABO MONOPOLAR 2,5 MM², CONDUTOR EM COBRE ELETROLÍTICO NU, TÊMPERA MOLE, CLASSE 5, TENSÃO 750 V, COR VERMELHO</t>
  </si>
  <si>
    <t xml:space="preserve">17.20.0680</t>
  </si>
  <si>
    <t xml:space="preserve">MOLDE EM GRAFITE PARA SOLDA EXOTÉRMICA, PARA CONEX. DE CABO DE COBRE 50 MM² HASTE DE ATERRAMENTO EM AÇO COBREADO Ø 3/4"</t>
  </si>
  <si>
    <t xml:space="preserve">28.01.0717</t>
  </si>
  <si>
    <t xml:space="preserve">PLACA DE SINALIZAÇÃO 80X66CM - CHAPA DE ZINCO - COM BARROTE</t>
  </si>
  <si>
    <t xml:space="preserve">26.03.0005</t>
  </si>
  <si>
    <t xml:space="preserve">CAPACETE COM ABA FRONTAL (TIPO II) C/ CARNEIRA - COR AZUL (CA-8562/25856/29792)</t>
  </si>
  <si>
    <t xml:space="preserve">17.20.0451</t>
  </si>
  <si>
    <t xml:space="preserve">MOLDE PARA SOLDA EXOTÉRMICA TIPO "T" NA HORIZONTAL ENTRE CABOS 70MM² FASTWELD T1C-7070</t>
  </si>
  <si>
    <t xml:space="preserve">32.02.0363</t>
  </si>
  <si>
    <t xml:space="preserve">BOBINA FIO NYLON REDONDO 3MM 2KG PARA ROÇADEIRA</t>
  </si>
  <si>
    <t xml:space="preserve">16.03.0112</t>
  </si>
  <si>
    <t xml:space="preserve">TINTA CORALAR ACRILICO, COR: BRANCO NEVE 18 L NBR 11702</t>
  </si>
  <si>
    <t xml:space="preserve">17.02.0885</t>
  </si>
  <si>
    <t xml:space="preserve">LUVA DE ALUMÍNIO COM ROSCA, TIPO PESADO, GALVANIZADO A FOGO, Ø 3" BSP</t>
  </si>
  <si>
    <t xml:space="preserve">17.10.0301</t>
  </si>
  <si>
    <t xml:space="preserve">DISJUNTOR CAIXA MOLDADA DE 150A TRIPOLAR NBR 60898</t>
  </si>
  <si>
    <t xml:space="preserve">17.10.0321</t>
  </si>
  <si>
    <t xml:space="preserve">DISJUNTOR CAIXA MOLDADA 125 A NBR 60898</t>
  </si>
  <si>
    <t xml:space="preserve">17.01.1219</t>
  </si>
  <si>
    <t xml:space="preserve">CABO MONOPOLAR 4 MM², CONDUTOR EM COBRE ELETROLÍTICO NU, TÊMPERA MOLE, CLASSE 5, TENSÃO 0,6/1 KV, COR VERDE</t>
  </si>
  <si>
    <t xml:space="preserve">17.08.0243</t>
  </si>
  <si>
    <t xml:space="preserve">CAIXA DE MEDICAO 200A PARA MEDICAO INDIRETA TIPO F3</t>
  </si>
  <si>
    <t xml:space="preserve">17.20.0729</t>
  </si>
  <si>
    <t xml:space="preserve">TAMPA FERRO FUNDIDO P/CAIXA INSPEÇÃO 300,00MM</t>
  </si>
  <si>
    <t xml:space="preserve">30.01.0081</t>
  </si>
  <si>
    <t xml:space="preserve">CANETA MARCADOR PERMANENTE VERMELHO</t>
  </si>
  <si>
    <t xml:space="preserve">33.03.0200</t>
  </si>
  <si>
    <t xml:space="preserve">PNEU 215/55 R17</t>
  </si>
  <si>
    <t xml:space="preserve">26.04.0089</t>
  </si>
  <si>
    <t xml:space="preserve">POLIA  SIMPLES RIGIDA DE AÇO PARA CORDA DE 12,5/13MM - RESISTENCIA MINIMA DE 30 KN</t>
  </si>
  <si>
    <t xml:space="preserve">24.05.0029</t>
  </si>
  <si>
    <t xml:space="preserve">NIVEL DE MÃO TRAPEIZOIDAL MAGNETICO COM 305MM</t>
  </si>
  <si>
    <t xml:space="preserve">17.19.0079</t>
  </si>
  <si>
    <t xml:space="preserve">MINICAPTOR EM LATÃO REDONDO COM CONECTOR E FIXAÇÃO HORIZONTAL ALTURA 250 MM DN 10 MM</t>
  </si>
  <si>
    <t xml:space="preserve">24.16.0001</t>
  </si>
  <si>
    <t xml:space="preserve">PÉ DE CABRA 3/4" X 600,00MM AÇO FORJADO SEXTAVADO</t>
  </si>
  <si>
    <t xml:space="preserve">17.16.0674</t>
  </si>
  <si>
    <t xml:space="preserve">CONECTOR TERMINAL RETO A COMPRESSÃO EM LIGA DE COBRE ESTANHADO PARA CABO DE COBRE BITOLA 70 mm² COM 2 FUROS NEMA</t>
  </si>
  <si>
    <t xml:space="preserve">28.01.0751</t>
  </si>
  <si>
    <t xml:space="preserve">PLACA DE SINALIZACAO PROIBICAO UTILIZAR AGUA PARA APAGAR FOGO EM ACO GALVANIZADO 252MM</t>
  </si>
  <si>
    <t xml:space="preserve">24.34.0007</t>
  </si>
  <si>
    <t xml:space="preserve">COLHER DE PEDREIRO DE 7"</t>
  </si>
  <si>
    <t xml:space="preserve">17.03.0617</t>
  </si>
  <si>
    <t xml:space="preserve">CURVA VERTICAL INTERNA 90 GRAUS ELETROCALHA 200X100</t>
  </si>
  <si>
    <t xml:space="preserve">24.28.0009</t>
  </si>
  <si>
    <t xml:space="preserve">MARCADOR INDUSTRIAL 60ML X 3MM VERMELHO</t>
  </si>
  <si>
    <t xml:space="preserve">24.17.0001</t>
  </si>
  <si>
    <t xml:space="preserve">PICARETA ALVIAO C/MACHADO LARGO AÇO CARBONO TEMPERADO 6LB C/CABO MADEIRA</t>
  </si>
  <si>
    <t xml:space="preserve">30.02.0133</t>
  </si>
  <si>
    <t xml:space="preserve">KIT DE TINTA PARA IMPRESSORA EPSON L3250 ECOTANK</t>
  </si>
  <si>
    <t xml:space="preserve">17.01.1218</t>
  </si>
  <si>
    <t xml:space="preserve">CABO MONOPOLAR 4 MM², CONDUTOR EM COBRE ELETROLÍTICO NU, TÊMPERA MOLE, CLASSE 5, TENSÃO 0,6/1 KV, COR AZUL CLARO</t>
  </si>
  <si>
    <t xml:space="preserve">30.02.0043</t>
  </si>
  <si>
    <t xml:space="preserve">LIMPA CONTATO ELÉTRICO/ELETÔNICO 300ML</t>
  </si>
  <si>
    <t xml:space="preserve">26.03.0051</t>
  </si>
  <si>
    <t xml:space="preserve">CAPACETE COM ABA FRONTAL (TIPO II) (MSA) (CA-8562/25856/29792)</t>
  </si>
  <si>
    <t xml:space="preserve">17.16.3831</t>
  </si>
  <si>
    <t xml:space="preserve">CONECTOR DE LIGA DE COBRE, TIPO PARAFUSO FENDIDO, PARA DERIVAÇÃO DE 2 (DOIS) CABOS DE COBRE BITOLA 16 A 70 MM²</t>
  </si>
  <si>
    <t xml:space="preserve">30.03.0105</t>
  </si>
  <si>
    <t xml:space="preserve">DESODORIZADOR DE AR AEROSOL 360 ML</t>
  </si>
  <si>
    <t xml:space="preserve">29.01.0836</t>
  </si>
  <si>
    <t xml:space="preserve">CARREGADOR RÁPIDO 20V-60V - DCB118-B2 - DEWALT</t>
  </si>
  <si>
    <t xml:space="preserve">17.03.0622</t>
  </si>
  <si>
    <t xml:space="preserve">BUCHA TERMINAL EM LIGA DE ALUMINIO, ALTA RESISTENCIA MECANICA E A CORROSAO, PARA ELETRODUTO 2", ROSCA BSP</t>
  </si>
  <si>
    <t xml:space="preserve">18.08.0154</t>
  </si>
  <si>
    <t xml:space="preserve">RALO QUADRADO MONTADO BRANCO C/GRELHA 100MM X 53MM X 40MM</t>
  </si>
  <si>
    <t xml:space="preserve">23.05.0096</t>
  </si>
  <si>
    <t xml:space="preserve">ARRUELA LI 3/4 ZB</t>
  </si>
  <si>
    <t xml:space="preserve">24.09.0264</t>
  </si>
  <si>
    <t xml:space="preserve">CHAPA PARA DOBRAR FERRO DE 1/2 (12,50MM) DE BITOLA</t>
  </si>
  <si>
    <t xml:space="preserve">01.04.0003</t>
  </si>
  <si>
    <t xml:space="preserve">ARAME RECOZIDO Nº 18 - 1,25MM (0,010KG/M)</t>
  </si>
  <si>
    <t xml:space="preserve">06.06.0023</t>
  </si>
  <si>
    <t xml:space="preserve">SOLUCAO BIOLOGICA PARA TRATAMENTO DE ESGOTO E LIMPEZA DE TUBULACOES - REF. BIOROOTER SANEAR OU SIMILAR</t>
  </si>
  <si>
    <t xml:space="preserve">17.20.0646</t>
  </si>
  <si>
    <t xml:space="preserve">CAIXA DE INSPEÇÃO EM TERMOPLASTICO ANTI-UV 160 X120 X 100MM , Ø 1", PARA ATERRAMENTO</t>
  </si>
  <si>
    <t xml:space="preserve">26.02.0114</t>
  </si>
  <si>
    <t xml:space="preserve">BOTA DE SEGURANÇA  COM SOLADO ANTIPERFURANTE E BIQUEIRA DE COMPOSITE, TAMANNHO 36</t>
  </si>
  <si>
    <t xml:space="preserve">26.02.0185</t>
  </si>
  <si>
    <t xml:space="preserve">BOTINA FUJIWARA HESS C/BICO DE AÇO COMPOSITE E PALMILHA ANTIPERFURANTE CA 42330 N° 37</t>
  </si>
  <si>
    <t xml:space="preserve">06.03.0012</t>
  </si>
  <si>
    <t xml:space="preserve">MANTA GEOTEXTIL POLIÉSTER RESISTÊNCIA A TRAÇÃO DE 14KN/M (RT 14)</t>
  </si>
  <si>
    <t xml:space="preserve">19.12.0060</t>
  </si>
  <si>
    <t xml:space="preserve">DISPENSER PARA ÁLCOOL GEL OU SABÃO T-2384 TL BRANCO (TRILHA)</t>
  </si>
  <si>
    <t xml:space="preserve">31.02.0115</t>
  </si>
  <si>
    <t xml:space="preserve">GRAXA EVORA EVOLI LITH EP NLGI2 20KG</t>
  </si>
  <si>
    <t xml:space="preserve">31.02.0119</t>
  </si>
  <si>
    <t xml:space="preserve">SOLUÇÃO ARLA 20L</t>
  </si>
  <si>
    <t xml:space="preserve">19.08.0053</t>
  </si>
  <si>
    <t xml:space="preserve">TORNEIRA PVC P/ LAVATÓRIO DE MESA 1/2" NBR 10283</t>
  </si>
  <si>
    <t xml:space="preserve">18.09.0316</t>
  </si>
  <si>
    <t xml:space="preserve">REGISTRO PVC DE ESFERA SOLDÁVEL MARROM 50MM</t>
  </si>
  <si>
    <t xml:space="preserve">24.16.0020</t>
  </si>
  <si>
    <t xml:space="preserve">ALAVANCA 2 M / 5"</t>
  </si>
  <si>
    <t xml:space="preserve">17.20.0731</t>
  </si>
  <si>
    <t xml:space="preserve">TERMO RETRATIL BITOLA 300</t>
  </si>
  <si>
    <t xml:space="preserve">09.08.0079</t>
  </si>
  <si>
    <t xml:space="preserve">CAIXA DE GORDURA</t>
  </si>
  <si>
    <t xml:space="preserve">17.10.0433</t>
  </si>
  <si>
    <t xml:space="preserve">DISJUNTOR TERMOMAGNETICO TRIPOLAR DE 125A CURVA C</t>
  </si>
  <si>
    <t xml:space="preserve">30.03.0388</t>
  </si>
  <si>
    <t xml:space="preserve">BACIA PLÁSTICA 20L</t>
  </si>
  <si>
    <t xml:space="preserve">30.03.0027</t>
  </si>
  <si>
    <t xml:space="preserve">SACO PLÁSTICO LIXO 60,00L PRETO S/IMPRESSAO C/100</t>
  </si>
  <si>
    <t xml:space="preserve">17.12.0521</t>
  </si>
  <si>
    <t xml:space="preserve">CONJUNTO 2 INTERRUPTORES PARALELOS COM TAMPA TIPO X PARA ELETRODUTO 3/4"</t>
  </si>
  <si>
    <t xml:space="preserve">24.03.0002</t>
  </si>
  <si>
    <t xml:space="preserve">PAQUIMETRO UNIVERSAL DIGITAL AÇO INOX CAP 150,00MM/6" RESOLUCAO 0,01MM</t>
  </si>
  <si>
    <t xml:space="preserve">24.09.0053</t>
  </si>
  <si>
    <t xml:space="preserve">CHAVE COMBINADA 7/8" AÇO CARBONO CROMADO</t>
  </si>
  <si>
    <t xml:space="preserve">17.20.0766</t>
  </si>
  <si>
    <t xml:space="preserve">CONECTOR TERMINAL RETO A COMPRESSAO, COBRE ESTANHADO, 1 CABO 240 MM, 2 FUROS NEMA, PARAFUSOS M12, PORCAS E ARRUELAS</t>
  </si>
  <si>
    <t xml:space="preserve">24.31.0005</t>
  </si>
  <si>
    <t xml:space="preserve">ESCOVA MANUAL EM AÇO COM CABO DE MADEIRA</t>
  </si>
  <si>
    <t xml:space="preserve">27.01.0427</t>
  </si>
  <si>
    <t xml:space="preserve">HIDROCORTISONA INJETAVEL</t>
  </si>
  <si>
    <t xml:space="preserve">29.01.0063</t>
  </si>
  <si>
    <t xml:space="preserve">LEITOR DE CÓDIGO DE BARRAS</t>
  </si>
  <si>
    <t xml:space="preserve">25.19.0021</t>
  </si>
  <si>
    <t xml:space="preserve">GALÃO DE COMBUSTÍVEL AMARELO C/BICO - 20 LITROS</t>
  </si>
  <si>
    <t xml:space="preserve">06.05.0001</t>
  </si>
  <si>
    <t xml:space="preserve">DESMOLDANTE LÍQUIDO PARA FORMA BALDE 18,00L</t>
  </si>
  <si>
    <t xml:space="preserve">27.01.0152</t>
  </si>
  <si>
    <t xml:space="preserve">LUVA CIRÚRGICA COM PÓ - TAM. 7,5 (P)</t>
  </si>
  <si>
    <t xml:space="preserve">17.01.1393</t>
  </si>
  <si>
    <t xml:space="preserve">ADAPTADOR DE 1/2 P/ 1.5/16</t>
  </si>
  <si>
    <t xml:space="preserve">17.01.1394</t>
  </si>
  <si>
    <t xml:space="preserve">ADAPTADOR DE 1/2 P 3/4</t>
  </si>
  <si>
    <t xml:space="preserve">29.03.0207</t>
  </si>
  <si>
    <t xml:space="preserve">CAIXA DE SOM AMPLIFICADA 600W</t>
  </si>
  <si>
    <t xml:space="preserve">17.10.0191</t>
  </si>
  <si>
    <t xml:space="preserve">DISJUNTOR TRIFÁSICO 100A – 240/415V NBR 60898</t>
  </si>
  <si>
    <t xml:space="preserve">30.03.0125</t>
  </si>
  <si>
    <t xml:space="preserve">SABONETE LÍQUIDO 5L</t>
  </si>
  <si>
    <t xml:space="preserve">32.02.0200</t>
  </si>
  <si>
    <t xml:space="preserve">CINTA DE AMARRAÇÃO 50,00MM X 9,00M CAPACIDADE 1,5 T C/CATRACA</t>
  </si>
  <si>
    <t xml:space="preserve">34.02.0394</t>
  </si>
  <si>
    <t xml:space="preserve">PROLONGADOR</t>
  </si>
  <si>
    <t xml:space="preserve">17.02.0870</t>
  </si>
  <si>
    <t xml:space="preserve">CURVA 90°, ALUMÍNIO GALVANIZADO A QUENTE, 50 MM (2") ROSCA BSP, TIPO PESADO</t>
  </si>
  <si>
    <t xml:space="preserve">27.01.0307</t>
  </si>
  <si>
    <t xml:space="preserve">ÁLCOOL ISOPROPÍLICO 1L</t>
  </si>
  <si>
    <t xml:space="preserve">01.10.0269</t>
  </si>
  <si>
    <t xml:space="preserve">GRELHA 25 CM X 25 CM FERRO FUNDIDO</t>
  </si>
  <si>
    <t xml:space="preserve">17.02.0888</t>
  </si>
  <si>
    <t xml:space="preserve">BUCHA PARA ELETRODUTO, DE LIGA DE ALUMÍNIO, Ø 3"</t>
  </si>
  <si>
    <t xml:space="preserve">30.03.0316</t>
  </si>
  <si>
    <t xml:space="preserve">VASELINA PASTA 18KG</t>
  </si>
  <si>
    <t xml:space="preserve">32.02.0014</t>
  </si>
  <si>
    <t xml:space="preserve">CINTA DE ELEVAÇÃO CAPACIDADE 2,0T COM 3,0M</t>
  </si>
  <si>
    <t xml:space="preserve">17.20.0448</t>
  </si>
  <si>
    <t xml:space="preserve">CARTUCHO P/ SOLDA EXORTÉRMICA FASTWELD, HERMETI. FECH.,PÓS DE SOLDA,IGNIÇÃO E DISCO DE RET. REF#115</t>
  </si>
  <si>
    <t xml:space="preserve">17.20.0546</t>
  </si>
  <si>
    <t xml:space="preserve">CONECTOR PARA ATERRAMENTO À COMPRESSÃO CABO-CABO - SACG-70-70</t>
  </si>
  <si>
    <t xml:space="preserve">18.01.1239</t>
  </si>
  <si>
    <t xml:space="preserve">TUBO PVC ESGOTO 100MM SÉRIE NORMAL</t>
  </si>
  <si>
    <t xml:space="preserve">24.09.0041</t>
  </si>
  <si>
    <t xml:space="preserve">CHAVE COMBINADA 24,00MM AÇO CARBONO CROMADO</t>
  </si>
  <si>
    <t xml:space="preserve">17.20.0592</t>
  </si>
  <si>
    <t xml:space="preserve">PARA-RAIO POLIMÉRICO 12KV 10KA COM FERRAGENS</t>
  </si>
  <si>
    <t xml:space="preserve">32.02.0010</t>
  </si>
  <si>
    <t xml:space="preserve">CINTA DE ELEVAÇÃO CAPACIDADE 3,0T COM 3,0M</t>
  </si>
  <si>
    <t xml:space="preserve">06.06.0022</t>
  </si>
  <si>
    <t xml:space="preserve">REMOVEDOR DE RESÍDUOS DE CONCRETO BIODEGRADÁVEL 5L</t>
  </si>
  <si>
    <t xml:space="preserve">30.01.0384</t>
  </si>
  <si>
    <t xml:space="preserve">SACO PLÁSTICO A4 ESPESSURA 0,12MM 4 FUROS C/ 100UN</t>
  </si>
  <si>
    <t xml:space="preserve">17.22.0153</t>
  </si>
  <si>
    <t xml:space="preserve">CINTA POSTE CIRCULAR 320</t>
  </si>
  <si>
    <t xml:space="preserve">26.01.0110</t>
  </si>
  <si>
    <t xml:space="preserve">MACACÃO OPERACIONAL MECÂNICO</t>
  </si>
  <si>
    <t xml:space="preserve">17.15.0139</t>
  </si>
  <si>
    <t xml:space="preserve">DISJUNTOR TRIPOLAR TERMOMAGNÉTICO DIN CURVA C 50 A 10 KA</t>
  </si>
  <si>
    <t xml:space="preserve">17.16.0517</t>
  </si>
  <si>
    <t xml:space="preserve">TERMINAL À COMPRESSÃO 50MM</t>
  </si>
  <si>
    <t xml:space="preserve">24.13.0030</t>
  </si>
  <si>
    <t xml:space="preserve">LIMA REDONDA 200X5 2MM ACO CARBONO SEM CABO PARA MOTOSSERRA</t>
  </si>
  <si>
    <t xml:space="preserve">32.01.0020</t>
  </si>
  <si>
    <t xml:space="preserve">MANILHA CURVA GALVANIZADA DE 3/4” POLEGADA PINO ROSCADO</t>
  </si>
  <si>
    <t xml:space="preserve">28.01.0743</t>
  </si>
  <si>
    <t xml:space="preserve">PLACA TIPO M1 INDICACAO DE SISTEMAS DE PROTECAO - 800X400 MM - ACO GALVANIZADO, PINTURA ELETROSTATICA</t>
  </si>
  <si>
    <t xml:space="preserve">18.01.1448</t>
  </si>
  <si>
    <t xml:space="preserve">CAP ESG DN100 - LINHA REDUÇÃO DE RUÍDO</t>
  </si>
  <si>
    <t xml:space="preserve">26.12.0176</t>
  </si>
  <si>
    <t xml:space="preserve">FITA DE SINALIZACAO SUBTERRANEA, PEAD, VERMELHA, "PERIGO  ALTA TENSAO", 7,6 CM X 300 M, PARA VALAS DE REDE ELETRICA</t>
  </si>
  <si>
    <t xml:space="preserve">26.02.0162</t>
  </si>
  <si>
    <t xml:space="preserve">BOTINA NOBUCK C/ CADARÇO ANTIPERFURANTE E BIQUEIRA COMPOSITE - COR MARROM -  Nº 41 (CA-41829)</t>
  </si>
  <si>
    <t xml:space="preserve">17.02.0923</t>
  </si>
  <si>
    <t xml:space="preserve">ELETRODUTO DE ACO CARBONO, GALV. A FOGO, DN 25 MM, COM ROSCA, REFERENCIA DE BITOLA 1" BSP, TIPO PESADO, 3.00 M</t>
  </si>
  <si>
    <t xml:space="preserve">30.04.0338</t>
  </si>
  <si>
    <t xml:space="preserve">COPO SANFONADO RETRÁTIL 270ML</t>
  </si>
  <si>
    <t xml:space="preserve">08.02.0077</t>
  </si>
  <si>
    <t xml:space="preserve">MEIO BLOCO 19X19X19 FCK MAIOR OU IGUAL 6MPA</t>
  </si>
  <si>
    <t xml:space="preserve">23.02.0479</t>
  </si>
  <si>
    <t xml:space="preserve">ABRAÇADEIRA EM AÇO INOX TIPO "D" Ø2"</t>
  </si>
  <si>
    <t xml:space="preserve">17.02.0019</t>
  </si>
  <si>
    <t xml:space="preserve">ELETRODUTO PVC ANTICHAMA RIGIDO SOLDAVEL PRETO 75,00MM X 3,00M NBR 15465</t>
  </si>
  <si>
    <t xml:space="preserve">17.20.0603</t>
  </si>
  <si>
    <t xml:space="preserve">PARA-RAIOS POLIMÉRICO 12KV</t>
  </si>
  <si>
    <t xml:space="preserve">10.11.0023</t>
  </si>
  <si>
    <t xml:space="preserve">RODAPÉ EM PERFIL EXTRUDADO DE PVC 7,5 CM  DE ALTURA TIPO "STANDARD"</t>
  </si>
  <si>
    <t xml:space="preserve">18.01.1234</t>
  </si>
  <si>
    <t xml:space="preserve">TUBO PVC ESGOTO 150MM SÉRIE NORMAL</t>
  </si>
  <si>
    <t xml:space="preserve">17.02.0855</t>
  </si>
  <si>
    <t xml:space="preserve">CURVA 90° AÇO GALVANIZADO ROSCA BSP 2"</t>
  </si>
  <si>
    <t xml:space="preserve">29.02.0465</t>
  </si>
  <si>
    <t xml:space="preserve">MESA DE REUNIÃO RETANGULAR 6 LUGARES 2,00 X 1,000 TAMPO DE 25MM</t>
  </si>
  <si>
    <t xml:space="preserve">30.03.0030</t>
  </si>
  <si>
    <t xml:space="preserve">ÁGUA SANITARIA HIPOCLORITO SÓDIO 2,0 - 2,5P/P 1,038 A 1,048G/CM3 PH 11,5 A 12,0 BOMBONA 5,00L</t>
  </si>
  <si>
    <t xml:space="preserve">17.02.0946</t>
  </si>
  <si>
    <t xml:space="preserve">BUCHA DE REDUCAO 2" X 1" SEM ROSCA LIGA DE ALUMINIO</t>
  </si>
  <si>
    <t xml:space="preserve">23.05.0217</t>
  </si>
  <si>
    <t xml:space="preserve">ARRUELA DE PRESSÃO M8 ZC - COOPER - Cod. 140145</t>
  </si>
  <si>
    <t xml:space="preserve">24.25.0035</t>
  </si>
  <si>
    <t xml:space="preserve">SERRA COPO BIMETAL 102MM 4"</t>
  </si>
  <si>
    <t xml:space="preserve">17.01.1241</t>
  </si>
  <si>
    <t xml:space="preserve">CABO ELETRICO FLEXIVEL 0,6/1KV 1 X 25,00MM2 COBRE PVC CLASSE 5 VERMELHO NBR 7288</t>
  </si>
  <si>
    <t xml:space="preserve">13.02.0383</t>
  </si>
  <si>
    <t xml:space="preserve">PERFIL PARA ESQUADRIA DE ALUMINIO 35 MM C/ PINTURA ELETROSTATICA BRANCA</t>
  </si>
  <si>
    <t xml:space="preserve">18.01.1268</t>
  </si>
  <si>
    <t xml:space="preserve">LUVA SIMPLES 100MM, ESGOTO SÉRIE NORMAL - TIGRE</t>
  </si>
  <si>
    <t xml:space="preserve">17.11.1050</t>
  </si>
  <si>
    <t xml:space="preserve">LUMINÁRIA DE EMERGÊNCIA 70/100 LUMENS AUTONOMIA: 3/6 HORAS BIVOLT AUTOMÁTICO</t>
  </si>
  <si>
    <t xml:space="preserve">23.09.0047</t>
  </si>
  <si>
    <t xml:space="preserve">ABRAÇADEIRA PARA MANGOTE 3" EM AÇO INOXIDÁVEL 92 A 100 MM</t>
  </si>
  <si>
    <t xml:space="preserve">23.05.0176</t>
  </si>
  <si>
    <t xml:space="preserve">ARRUELA LISA F-436 1" G.FOGO</t>
  </si>
  <si>
    <t xml:space="preserve">23.02.0480</t>
  </si>
  <si>
    <t xml:space="preserve">ABRAÇADEIRA EM AÇO INOX TIPO "D" Ø3"</t>
  </si>
  <si>
    <t xml:space="preserve">01.02.0001</t>
  </si>
  <si>
    <t xml:space="preserve">AÇO CARBONO CA-50 VERGALHÃO NERVURADO 6,30MM X 12,00M NBR 7480 (0,245KG/M)</t>
  </si>
  <si>
    <t xml:space="preserve">29.01.1611</t>
  </si>
  <si>
    <t xml:space="preserve">FONE DE OUVIDO HEADSET HP H220 COM MICROFONE</t>
  </si>
  <si>
    <t xml:space="preserve">17.16.0439</t>
  </si>
  <si>
    <t xml:space="preserve">TERMINAL DE COMPRESSÃO TM-150MM</t>
  </si>
  <si>
    <t xml:space="preserve">25.01.0143</t>
  </si>
  <si>
    <t xml:space="preserve">DISCO DE CORTE 7"</t>
  </si>
  <si>
    <t xml:space="preserve">17.20.0713</t>
  </si>
  <si>
    <t xml:space="preserve">MOLDE SOLDA EXOTÉRMICA TIPO HCL 50MM² PASSANTE LATERAL</t>
  </si>
  <si>
    <t xml:space="preserve">24.09.0001</t>
  </si>
  <si>
    <t xml:space="preserve">CHAVE AJUSTAVEL 12" AÇO CARBONO CROMADO C/ISOLAMENTO</t>
  </si>
  <si>
    <t xml:space="preserve">17.20.0578</t>
  </si>
  <si>
    <t xml:space="preserve">CAIXA DE INSPEÇÃO SEM TAMPA 300X400</t>
  </si>
  <si>
    <t xml:space="preserve">17.15.0124</t>
  </si>
  <si>
    <t xml:space="preserve">SUPORTE DIELÉTRICO FIBERLIGN C/ CINTA BAP 03</t>
  </si>
  <si>
    <t xml:space="preserve">30.03.0574</t>
  </si>
  <si>
    <t xml:space="preserve">SABAO LIQUIDO 5L</t>
  </si>
  <si>
    <t xml:space="preserve">17.08.0197</t>
  </si>
  <si>
    <t xml:space="preserve">QUADRO DISTRIBUIÇÃO 16D/11N EMBUTIR SEM BARRAMENTO</t>
  </si>
  <si>
    <t xml:space="preserve">23.07.1009</t>
  </si>
  <si>
    <t xml:space="preserve">PARAFUSO SEXTAVADO 5/8 X 1.1/2</t>
  </si>
  <si>
    <t xml:space="preserve">24.37.0001</t>
  </si>
  <si>
    <t xml:space="preserve">PÁ DE BICO COM CABO</t>
  </si>
  <si>
    <t xml:space="preserve">33.02.1776</t>
  </si>
  <si>
    <t xml:space="preserve">ROLAMENTO 6010 ZZ (50X80X16)</t>
  </si>
  <si>
    <t xml:space="preserve">18.03.0191</t>
  </si>
  <si>
    <t xml:space="preserve">ARRUELA GALVANIZADA 12MM</t>
  </si>
  <si>
    <t xml:space="preserve">17.11.1132</t>
  </si>
  <si>
    <t xml:space="preserve">REFLETOR SOLAR LED HOLOFOTE 1000 W COM PLACA</t>
  </si>
  <si>
    <t xml:space="preserve">25.10.0069</t>
  </si>
  <si>
    <t xml:space="preserve">CORDA 12MM NR18 100M</t>
  </si>
  <si>
    <t xml:space="preserve">33.02.0160</t>
  </si>
  <si>
    <t xml:space="preserve">ALAVANCA BALANCIM</t>
  </si>
  <si>
    <t xml:space="preserve">17.16.0166</t>
  </si>
  <si>
    <t xml:space="preserve">TERMINAL COMPRESSÃO 35MM</t>
  </si>
  <si>
    <t xml:space="preserve">25.10.0021</t>
  </si>
  <si>
    <t xml:space="preserve">LINHA NYLON P/ PEDREIRO 1,0MM X 100M</t>
  </si>
  <si>
    <t xml:space="preserve">17.01.0612</t>
  </si>
  <si>
    <t xml:space="preserve">CABO MULTIPLO PP 2 X 2,5MM²</t>
  </si>
  <si>
    <t xml:space="preserve">26.07.0031</t>
  </si>
  <si>
    <t xml:space="preserve">RESPIRADOR SEMIFACIAL CARBOGRAFITE CG 304</t>
  </si>
  <si>
    <t xml:space="preserve">32.07.0135</t>
  </si>
  <si>
    <t xml:space="preserve">RETIFICA RETA GGS28-CE 220V 650W 30000RPM 06012201E0 BOSCH</t>
  </si>
  <si>
    <t xml:space="preserve">17.16.0598</t>
  </si>
  <si>
    <t xml:space="preserve">TERMINAL A COMPRESSÃO CONECTOR TIPO PINO 240MM²</t>
  </si>
  <si>
    <t xml:space="preserve">30.04.0155</t>
  </si>
  <si>
    <t xml:space="preserve">BOMBA P/ GARRAFÃO GALÃO 10/20 LITROS DE ÁGUA</t>
  </si>
  <si>
    <t xml:space="preserve">30.03.0552</t>
  </si>
  <si>
    <t xml:space="preserve">ETIQUETA LAVÁVEL PARA CONTROLE DE ROUPAS - 2.000 TAGS</t>
  </si>
  <si>
    <t xml:space="preserve">24.09.0712</t>
  </si>
  <si>
    <t xml:space="preserve">CHAVE TIPO VIRA FERRO 3/4"</t>
  </si>
  <si>
    <t xml:space="preserve">24.31.0043</t>
  </si>
  <si>
    <t xml:space="preserve">LAVADORA PORTÁTIL À BATERIA</t>
  </si>
  <si>
    <t xml:space="preserve">23.06.0150</t>
  </si>
  <si>
    <t xml:space="preserve">PORCA PARA OLHAL DE IÇAMENTO</t>
  </si>
  <si>
    <t xml:space="preserve">31.02.0143</t>
  </si>
  <si>
    <t xml:space="preserve">DESINGRIPANTE 300 ML</t>
  </si>
  <si>
    <t xml:space="preserve">18.01.1584</t>
  </si>
  <si>
    <t xml:space="preserve">JOELHO PVC SOLDÁVEL  90 X 25 X 1/2</t>
  </si>
  <si>
    <t xml:space="preserve">24.08.0017</t>
  </si>
  <si>
    <t xml:space="preserve">TORQUÊS ARMADOR 13"</t>
  </si>
  <si>
    <t xml:space="preserve">33.02.0283</t>
  </si>
  <si>
    <t xml:space="preserve">CHAVE</t>
  </si>
  <si>
    <t xml:space="preserve">26.04.0057</t>
  </si>
  <si>
    <t xml:space="preserve">ASCENSOR DE PUNHO DIREITO</t>
  </si>
  <si>
    <t xml:space="preserve">17.02.0566</t>
  </si>
  <si>
    <t xml:space="preserve">CONECTOR PARA ELETRODUTO FLEXÍVEL REVESTIDO (SEALTUBO) - MACHO FIXO - CMRF</t>
  </si>
  <si>
    <t xml:space="preserve">24.41.0434</t>
  </si>
  <si>
    <t xml:space="preserve">TARRAXA MANUAL CANO TUBO DE 1/2", 3/4", 1" POL. BSPT</t>
  </si>
  <si>
    <t xml:space="preserve">23.02.0254</t>
  </si>
  <si>
    <t xml:space="preserve">ABRAÇADEIRA GALVANIZADA TIPO “D” 3/4" C/PARAFUSO PARA ELETRODUTO</t>
  </si>
  <si>
    <t xml:space="preserve">17.05.0048</t>
  </si>
  <si>
    <t xml:space="preserve">CONDULETE PVC RETANGULAR T 1" C/TAMPA S/VEDAÇÃO CINZA</t>
  </si>
  <si>
    <t xml:space="preserve">24.09.0691</t>
  </si>
  <si>
    <t xml:space="preserve">CHAPA PARA DOBRAR FERRO DE 3/8" (10,00MM) DE BITOLA</t>
  </si>
  <si>
    <t xml:space="preserve">17.02.0862</t>
  </si>
  <si>
    <t xml:space="preserve">ELETRODUTO PVC RÍGIDO 85 MM, COM ROSCA 3" BSP,  COR PRETO, BARRA 3,00 M</t>
  </si>
  <si>
    <t xml:space="preserve">26.10.0005</t>
  </si>
  <si>
    <t xml:space="preserve">CALÇA IMPERMEAVEL CONTRA LÍQUIDOS E RESPINGOS EM TREVIRA–KP 400–COM BOTAS DE PVC ACOPLADAS–TAM M</t>
  </si>
  <si>
    <t xml:space="preserve">17.11.1012</t>
  </si>
  <si>
    <t xml:space="preserve">REFLETOR LED 100W</t>
  </si>
  <si>
    <t xml:space="preserve">30.01.0826</t>
  </si>
  <si>
    <t xml:space="preserve">CABIDE DE ALUMÍNIO PARA EXPOSITOR E MAPOTECA TRIDENT – MOD: 33 CM</t>
  </si>
  <si>
    <t xml:space="preserve">32.02.0370</t>
  </si>
  <si>
    <t xml:space="preserve">CINTA DE ELEVAÇÃO CAPACIDADE 6,0T COM 2,0M</t>
  </si>
  <si>
    <t xml:space="preserve">17.20.0670</t>
  </si>
  <si>
    <t xml:space="preserve">MOLDE DE CONEXÃO EM CRUZAMENTO ORTOGONAL TIPO "X", POR SOLDA EXOTÉRMICA, DE CABOS DE COBRE PASSANTES 70 mm²</t>
  </si>
  <si>
    <t xml:space="preserve">24.11.0012</t>
  </si>
  <si>
    <t xml:space="preserve">DESEMPENADEIRA DE MADEIRA 14,00CM X 24,00CM</t>
  </si>
  <si>
    <t xml:space="preserve">17.22.0136</t>
  </si>
  <si>
    <t xml:space="preserve">CINTA POSTE CIRCULAR Ø430 5000DAN</t>
  </si>
  <si>
    <t xml:space="preserve">17.02.0857</t>
  </si>
  <si>
    <t xml:space="preserve">ELETRODUTO DE AÇO CARBONO GALVANIZADO A FOGO, DN 25 MM (1" BSP), TIPO PESADO, COM ROSCA, BARRA DE 3,00 M</t>
  </si>
  <si>
    <t xml:space="preserve">10.01.0101</t>
  </si>
  <si>
    <t xml:space="preserve">PISO CERÂMICO CINZA 0,60MX0,60M PEI5</t>
  </si>
  <si>
    <t xml:space="preserve">28.01.0752</t>
  </si>
  <si>
    <t xml:space="preserve">PLACA INDICATIVA ROTA DE SAIDA DIREITA EM ACO GALVANIZADO FOTOLUMINESCENTE 358X358MM</t>
  </si>
  <si>
    <t xml:space="preserve">01.04.0007</t>
  </si>
  <si>
    <t xml:space="preserve">ARAME RECOZIDO TORCIDO BWG N°18</t>
  </si>
  <si>
    <t xml:space="preserve">19.08.0100</t>
  </si>
  <si>
    <t xml:space="preserve">TORNEIRA BÓIA PARA CAIXA D'ÁGUA DN 1" - PVC BALÃO E HASTE LATÃO NBR 10283</t>
  </si>
  <si>
    <t xml:space="preserve">01.11.0318</t>
  </si>
  <si>
    <t xml:space="preserve">CHAPA 3/8" x 3" x 360 MM GALVANIZADO A FOGO</t>
  </si>
  <si>
    <t xml:space="preserve">17.16.3825</t>
  </si>
  <si>
    <t xml:space="preserve">EMENDA TOTAL A COMPRESSÃO PARA CABO DE COBRE NU - 120 MM²</t>
  </si>
  <si>
    <t xml:space="preserve">17.02.0873</t>
  </si>
  <si>
    <t xml:space="preserve">PRENSA-CABO LIGA ALUMÍNIO, ALTA RESISTÊNCIA MECÂNICA E CORROSÃO, 1" BSP, FURO 13-14 MM</t>
  </si>
  <si>
    <t xml:space="preserve">17.16.0524</t>
  </si>
  <si>
    <t xml:space="preserve">TERMINAL OLHAL A COMPRESSÃO 120MM²</t>
  </si>
  <si>
    <t xml:space="preserve">17.20.0681</t>
  </si>
  <si>
    <t xml:space="preserve">MINI CAPTOR EM LATÃO REDONDO COM CONECTOR E FIXAÇÃO HORIZONTAL (H = 250MM) DN: 10MM</t>
  </si>
  <si>
    <t xml:space="preserve">16.02.0045</t>
  </si>
  <si>
    <t xml:space="preserve">MASSA CORRIDA 25KG</t>
  </si>
  <si>
    <t xml:space="preserve">01.09.0175</t>
  </si>
  <si>
    <t xml:space="preserve">CANTONEIRA "L" ABAS IGUAIS AÇO CARBONO ASTM A-36 1.1/2" X 1/4" - 38,10MM X 6,35MM (2,68 KG/M) C/ 6,00M</t>
  </si>
  <si>
    <t xml:space="preserve">26.03.0010</t>
  </si>
  <si>
    <t xml:space="preserve">JUGULAR PVC PARA CAPACETE</t>
  </si>
  <si>
    <t xml:space="preserve">30.01.0557</t>
  </si>
  <si>
    <t xml:space="preserve">POLASEAL A3 COM 100 UND</t>
  </si>
  <si>
    <t xml:space="preserve">28.01.0742</t>
  </si>
  <si>
    <t xml:space="preserve">PLACA TIPO A2 ALERTA CUIDADO RISCO DE INCENDIO - 272 MM - ACO GALVANIZADO, PINTURA ELETROSTATICA</t>
  </si>
  <si>
    <t xml:space="preserve">24.25.0034</t>
  </si>
  <si>
    <t xml:space="preserve">SERRA COPO BIMETAL 83MM  3.1/4"</t>
  </si>
  <si>
    <t xml:space="preserve">17.02.0069</t>
  </si>
  <si>
    <t xml:space="preserve">BUCHA REDUCAO ELETRODUTO 2" X 1" ALUMÍNIO LISO BSP 11 FIOS</t>
  </si>
  <si>
    <t xml:space="preserve">26.01.0009</t>
  </si>
  <si>
    <t xml:space="preserve">MACACÃO TIPO JARDINEIRA TAM. GG C/ BOTA IMPERMEABILIZANTE Nº42</t>
  </si>
  <si>
    <t xml:space="preserve">17.01.1101</t>
  </si>
  <si>
    <t xml:space="preserve">CABO 2,5MM² 750V PVC PRETO UNIPOLAR</t>
  </si>
  <si>
    <t xml:space="preserve">17.01.1212</t>
  </si>
  <si>
    <t xml:space="preserve">CABO MONOPOLAR 16 MM², CONDUTOR EM COBRE ELETROLÍTICO NU, TÊMPERA MOLE, CLASSE 5, TENSÃO 0,6/1 KV, COR BRANCO</t>
  </si>
  <si>
    <t xml:space="preserve">17.01.1213</t>
  </si>
  <si>
    <t xml:space="preserve">CABO MONOPOLAR 16 MM², CONDUTOR EM COBRE ELETROLÍTICO NU, TÊMPERA MOLE, CLASSE 5, TENSÃO 0,6/1 KV, COR VERMELHO</t>
  </si>
  <si>
    <t xml:space="preserve">23.06.0081</t>
  </si>
  <si>
    <t xml:space="preserve">PORCA SEXTAVADA SIMPLES M10</t>
  </si>
  <si>
    <t xml:space="preserve">01.10.0270</t>
  </si>
  <si>
    <t xml:space="preserve">GRELHA METALICA PARA BOCA DE LOBO</t>
  </si>
  <si>
    <t xml:space="preserve">17.12.0500</t>
  </si>
  <si>
    <t xml:space="preserve">TOMADA SIMPLES EXTERNA 20A PARA CONDULETE PVC 1/2''</t>
  </si>
  <si>
    <t xml:space="preserve">21.02.0013</t>
  </si>
  <si>
    <t xml:space="preserve">BIORRETENTOR COM MALHA DE JUTA E FIBRA DE COCO COM DIÂMETRO DE 40cm</t>
  </si>
  <si>
    <t xml:space="preserve">17.20.0307</t>
  </si>
  <si>
    <t xml:space="preserve">PALITO IGNITOR PARA SOLDA EXOTÉRMICA</t>
  </si>
  <si>
    <t xml:space="preserve">01.09.0229</t>
  </si>
  <si>
    <t xml:space="preserve">CANTONEIRA AÇO CARBONO ASTM A36 1/8" X 1.1/2"</t>
  </si>
  <si>
    <t xml:space="preserve">17.10.0435</t>
  </si>
  <si>
    <t xml:space="preserve">INTERRUPTOR DIFERENCIAL RESIDUAL TETRAPOLAR, CORRENTE NOMINAL DE 125A, CORRENTE DIFERENCIAL RESIDUAL DE 30MA</t>
  </si>
  <si>
    <t xml:space="preserve">17.02.0861</t>
  </si>
  <si>
    <t xml:space="preserve">ELETRODUTO PVC RÍGIDO 32 MM, COM ROSCA 1" BSP, COR PRETO, BARRA 3,00 M</t>
  </si>
  <si>
    <t xml:space="preserve">33.02.0013</t>
  </si>
  <si>
    <t xml:space="preserve">UNHA</t>
  </si>
  <si>
    <t xml:space="preserve">24.13.0038</t>
  </si>
  <si>
    <t xml:space="preserve">LIMA 5,2 STIHL - 13/64 5605-771-5206</t>
  </si>
  <si>
    <t xml:space="preserve">33.02.2982</t>
  </si>
  <si>
    <t xml:space="preserve">CABEÇOTE DE CORTE C 42-2</t>
  </si>
  <si>
    <t xml:space="preserve">24.28.0002</t>
  </si>
  <si>
    <t xml:space="preserve">MARCADOR INDUSTRIAL 60ML X 2MM AMARELO</t>
  </si>
  <si>
    <t xml:space="preserve">17.19.0049</t>
  </si>
  <si>
    <t xml:space="preserve">FITA ISOLANTE 18MMX10MT AZUL</t>
  </si>
  <si>
    <t xml:space="preserve">28.01.0754</t>
  </si>
  <si>
    <t xml:space="preserve">PLACA DE SINALIZACAO PARA EXTINTOR DE INCENDIO  E5 - PICTOGRAMA FOTOLUMINESCENTE EM CHAPA METALICA, DIMENSOES 25X25CM</t>
  </si>
  <si>
    <t xml:space="preserve">30.01.0069</t>
  </si>
  <si>
    <t xml:space="preserve">CANETA MARCADOR P/ CD E DVD AZUL</t>
  </si>
  <si>
    <t xml:space="preserve">24.16.0016</t>
  </si>
  <si>
    <t xml:space="preserve">PE DE CABRA COMP. 600MM 42600/060 TRAMONTINA</t>
  </si>
  <si>
    <t xml:space="preserve">17.02.0406</t>
  </si>
  <si>
    <t xml:space="preserve">ELETRODUTO DE PEAD-POLIETILENO DE ALTA DENSIDADE CORRUGADO, Ø3"</t>
  </si>
  <si>
    <t xml:space="preserve">24.08.0014</t>
  </si>
  <si>
    <t xml:space="preserve">ALICATE UNIVERSAL GERDORE 8"</t>
  </si>
  <si>
    <t xml:space="preserve">17.20.0671</t>
  </si>
  <si>
    <t xml:space="preserve">MOLDE DE CONEXÃO, POR SOLDA EXOTÉRMICA, DE CABO TERMINAL DE COBRE 70 mm² , DIÂMETRO NOMINAL 19mm (3/4")</t>
  </si>
  <si>
    <t xml:space="preserve">34.03.0690</t>
  </si>
  <si>
    <t xml:space="preserve">PNEU 185/65 R15</t>
  </si>
  <si>
    <t xml:space="preserve">30.02.0140</t>
  </si>
  <si>
    <t xml:space="preserve">BOBINA PARA IMPRESSORA – MC0057 - LARGURA: 37MM - DIÂMETRO:33MM -COMPRIMENTO: 11 METROS - TUBETE: 12MM</t>
  </si>
  <si>
    <t xml:space="preserve">17.19.0068</t>
  </si>
  <si>
    <t xml:space="preserve">FITA ISOLANTE AMARELA 19MM X 10M</t>
  </si>
  <si>
    <t xml:space="preserve">17.02.0941</t>
  </si>
  <si>
    <t xml:space="preserve">LUVA DE ALUMINIO COM ROSCA, TIPO PESADO, GALVANIZADO A FOGO,  1.1/2" BSP</t>
  </si>
  <si>
    <t xml:space="preserve">29.01.0040</t>
  </si>
  <si>
    <t xml:space="preserve">FILTRO DE LINHA REDE ELÉT. 6 TOMADAS</t>
  </si>
  <si>
    <t xml:space="preserve">27.02.0117</t>
  </si>
  <si>
    <t xml:space="preserve">BISNAGA PLASTICA 30ML</t>
  </si>
  <si>
    <t xml:space="preserve">24.40.0052</t>
  </si>
  <si>
    <t xml:space="preserve">TALHADEIRA PARA MARTELETE DE 11KG</t>
  </si>
  <si>
    <t xml:space="preserve">29.02.0332</t>
  </si>
  <si>
    <t xml:space="preserve">MESA REDONDA 1,20MX15MM MDP CINZA</t>
  </si>
  <si>
    <t xml:space="preserve">32.02.0219</t>
  </si>
  <si>
    <t xml:space="preserve">CINTA DE ELEVAÇÃO CAPACIDADE 4,0T COM 6,0M</t>
  </si>
  <si>
    <t xml:space="preserve">18.07.0092</t>
  </si>
  <si>
    <t xml:space="preserve">CAIXA D AGUA DE POLIETILENO 500 LITROS</t>
  </si>
  <si>
    <t xml:space="preserve">26.02.0204</t>
  </si>
  <si>
    <t xml:space="preserve">BOTA DE COURO SOLADO VULCANIZADO C/PNEU C/PALMILHA DE ACO</t>
  </si>
  <si>
    <t xml:space="preserve">17.10.0436</t>
  </si>
  <si>
    <t xml:space="preserve">INTERRUPTOR DIFERENCIAL RESIDUAL BIPOLAR, CORRENTE NOMINAL DE 80A, CORRENTE DIFERENCIAL RESIDUAL DE 30MA</t>
  </si>
  <si>
    <t xml:space="preserve">32.07.0187</t>
  </si>
  <si>
    <t xml:space="preserve">CHAPA LATERAL SABRE MOTOSSERRA STHIL 361</t>
  </si>
  <si>
    <t xml:space="preserve">24.08.0152</t>
  </si>
  <si>
    <t xml:space="preserve">ALICATE DESENCAPADOR DE CABOS ELÉTRICOS</t>
  </si>
  <si>
    <t xml:space="preserve">30.03.0497</t>
  </si>
  <si>
    <t xml:space="preserve">BALDE METALICO 15 L</t>
  </si>
  <si>
    <t xml:space="preserve">24.09.0047</t>
  </si>
  <si>
    <t xml:space="preserve">CHAVE COMBINADA 3/4" AÇO CARBONO CROMADO</t>
  </si>
  <si>
    <t xml:space="preserve">34.03.0657</t>
  </si>
  <si>
    <t xml:space="preserve">PNEU RADIAL 185/60 R 15</t>
  </si>
  <si>
    <t xml:space="preserve">17.05.0124</t>
  </si>
  <si>
    <t xml:space="preserve">CAIXA LIGAÇÃO ALUMÍNIO TIPO T EXTERNA Ø2" BSP</t>
  </si>
  <si>
    <t xml:space="preserve">30.09.0006</t>
  </si>
  <si>
    <t xml:space="preserve">CLORO EM TABLETE 200GR</t>
  </si>
  <si>
    <t xml:space="preserve">26.06.0135</t>
  </si>
  <si>
    <t xml:space="preserve">LUVA PARA OPERADOR DE MOTOSERRA</t>
  </si>
  <si>
    <t xml:space="preserve">24.35.0014</t>
  </si>
  <si>
    <t xml:space="preserve">ENXADA C/ CABO 2.1/2"</t>
  </si>
  <si>
    <t xml:space="preserve">33.02.3128</t>
  </si>
  <si>
    <t xml:space="preserve">TAMPA DO PINHÃO DA CORRENTE 1135-640-1703</t>
  </si>
  <si>
    <t xml:space="preserve">17.10.0354</t>
  </si>
  <si>
    <t xml:space="preserve">DISJUNTOR MONOFÁSICO 16A - 3kA</t>
  </si>
  <si>
    <t xml:space="preserve">17.01.1238</t>
  </si>
  <si>
    <t xml:space="preserve">CABO ELETRICO FLEXIVEL 450V/750V 1 X 4,00MM2 COBRE PVC CLASSE 5 AZUL NBRNM 247-3</t>
  </si>
  <si>
    <t xml:space="preserve">17.01.1239</t>
  </si>
  <si>
    <t xml:space="preserve">CABO ELETRICO FLEXIVEL 450V/750V 1 X 4,00MM2 COBRE PVC CLASSE 5 VERDE NBRNM 247-3</t>
  </si>
  <si>
    <t xml:space="preserve">17.01.1240</t>
  </si>
  <si>
    <t xml:space="preserve">CABO ELETRICO FLEXIVEL 450V/750V 1 X 4,00MM2 COBRE PVC CLASSE 5 VERMELHO NBRNM 247-3</t>
  </si>
  <si>
    <t xml:space="preserve">24.40.0022</t>
  </si>
  <si>
    <t xml:space="preserve">PONTEIRO EM AÇO, SDS MAX – REF.: D-34431 – 18MM X 400MM – P/MARTELO ROMPEDOR ATÉ 11KG</t>
  </si>
  <si>
    <t xml:space="preserve">18.03.0021</t>
  </si>
  <si>
    <t xml:space="preserve">JOELHO 45GR FERRO FUNDIDO GALVANIZADO NPT 75,00MM</t>
  </si>
  <si>
    <t xml:space="preserve">26.02.0149</t>
  </si>
  <si>
    <t xml:space="preserve">BOTINA TIPO B - CA 32807 - N 40</t>
  </si>
  <si>
    <t xml:space="preserve">26.02.0151</t>
  </si>
  <si>
    <t xml:space="preserve">BOTINA TIPO B - CA 32807 - N 42</t>
  </si>
  <si>
    <t xml:space="preserve">23.05.0008</t>
  </si>
  <si>
    <t xml:space="preserve">ARRUELA EM ALUMÍNIO PARA ELETRODUTO 2" ROSCA BSP</t>
  </si>
  <si>
    <t xml:space="preserve">23.07.1097</t>
  </si>
  <si>
    <t xml:space="preserve">PARAFUSO PARA PERFIS METALICOS CX C/1000</t>
  </si>
  <si>
    <t xml:space="preserve">23.07.1406</t>
  </si>
  <si>
    <t xml:space="preserve">CONJUNTO DE PARAFUSO M36</t>
  </si>
  <si>
    <t xml:space="preserve">24.41.0368</t>
  </si>
  <si>
    <t xml:space="preserve">ADAPTADOR PARA SOQUETE IMPACTO DE 3/8 PARA 1/2</t>
  </si>
  <si>
    <t xml:space="preserve">24.24.0019</t>
  </si>
  <si>
    <t xml:space="preserve">FURADEIRA DE IMPACTO 1/2" 220V 60HZ 750W</t>
  </si>
  <si>
    <t xml:space="preserve">24.08.0038</t>
  </si>
  <si>
    <t xml:space="preserve">ALICATE DE CORTE</t>
  </si>
  <si>
    <t xml:space="preserve">17.12.0353</t>
  </si>
  <si>
    <t xml:space="preserve">ACOPLAMENTO 2P+T 16A 220/240V N3056 STECK</t>
  </si>
  <si>
    <t xml:space="preserve">24.26.0003</t>
  </si>
  <si>
    <t xml:space="preserve">SERRA MÁRMORE 125,00MM 1450W 12000RPM CORTE 90GR 40,00MM 220/230V REF GDC 14-40 BOSCH</t>
  </si>
  <si>
    <t xml:space="preserve">23.15.0032</t>
  </si>
  <si>
    <t xml:space="preserve">FITA DE AÇO INOX DE 2,5M COM FECHO PARA FIXAÇÃO DE EQUIPAMENTOS LEVES EM POSTE</t>
  </si>
  <si>
    <t xml:space="preserve">30.02.0107</t>
  </si>
  <si>
    <t xml:space="preserve">FITA ROTULADOR 12MM P/P-TOUCH M231 PRETO/BRANCO - BROTHER</t>
  </si>
  <si>
    <t xml:space="preserve">30.03.0329</t>
  </si>
  <si>
    <t xml:space="preserve">LAVA ROUPAS LÍQUIDO 3L</t>
  </si>
  <si>
    <t xml:space="preserve">17.05.0118</t>
  </si>
  <si>
    <t xml:space="preserve">TAMPA 2 TOMADAS HEXAGONAL HORIZONTAL PARA CONDULETE PVC DE 1/2'' CINZA</t>
  </si>
  <si>
    <t xml:space="preserve">17.01.0705</t>
  </si>
  <si>
    <t xml:space="preserve">CABO FLEX BRASILEIRINHO 2,5MM</t>
  </si>
  <si>
    <t xml:space="preserve">17.20.0330</t>
  </si>
  <si>
    <t xml:space="preserve">MOLDE PARA SOLDA EXOTÉRMICA - CABO 70MM² X HASTE 3/4" "TOPO DA HASTE"</t>
  </si>
  <si>
    <t xml:space="preserve">24.35.0002</t>
  </si>
  <si>
    <t xml:space="preserve">CABO DE MADEIRA PARA ENXADA 130,00CM</t>
  </si>
  <si>
    <t xml:space="preserve">17.11.1004</t>
  </si>
  <si>
    <t xml:space="preserve">LÂMPADA LED 50W - 220V</t>
  </si>
  <si>
    <t xml:space="preserve">17.05.0128</t>
  </si>
  <si>
    <t xml:space="preserve">PORCA SEXTAVADA AÇO INOX M18</t>
  </si>
  <si>
    <t xml:space="preserve">23.02.0477</t>
  </si>
  <si>
    <t xml:space="preserve">ABRAÇADEIRA TIPO "D" C/ PARFUSO P/ ELÉTRODUTO DE DIAN. 3/4" EM AÇO GALVANIZADO A QUENTE</t>
  </si>
  <si>
    <t xml:space="preserve">25.01.0005</t>
  </si>
  <si>
    <t xml:space="preserve">DISCO CORTE DIAMANTADO MAQUITA 4 TELAS 125,00MM X 1,50MM X 20,00MM 7200RPM</t>
  </si>
  <si>
    <t xml:space="preserve">29.01.0016</t>
  </si>
  <si>
    <t xml:space="preserve">CABO USB 2.0 1,8M PARA IMPRESSORA</t>
  </si>
  <si>
    <t xml:space="preserve">17.01.0791</t>
  </si>
  <si>
    <t xml:space="preserve">CABO PP FLEXÍVEL  5 x 2.5MM.- RL100M</t>
  </si>
  <si>
    <t xml:space="preserve">32.19.0017</t>
  </si>
  <si>
    <t xml:space="preserve">MATRIZ</t>
  </si>
  <si>
    <t xml:space="preserve">17.21.0067</t>
  </si>
  <si>
    <t xml:space="preserve">CAIXA DE INSPEÇÃO CILINDRICA 300x300 mm</t>
  </si>
  <si>
    <t xml:space="preserve">26.03.0006</t>
  </si>
  <si>
    <t xml:space="preserve">CAPACETE COM ABA FRONTAL (TIPO II) C/ CARNEIRA - COR LARANJA (CA-8562/25856/29792)</t>
  </si>
  <si>
    <t xml:space="preserve">17.02.0881</t>
  </si>
  <si>
    <t xml:space="preserve">LUVA ADAPTADORA P/ ELETRODUTOS DE AÇO ZINCADO/CORRUG. FLEXÍVEL, DIÂMETRO 50 MM</t>
  </si>
  <si>
    <t xml:space="preserve">26.02.0215</t>
  </si>
  <si>
    <t xml:space="preserve">BOTA BOTINA NOBUCK MARLUVAS 50B26 PALM ANTIPERFURO COMPOSITE TAM 43</t>
  </si>
  <si>
    <t xml:space="preserve">17.16.0603</t>
  </si>
  <si>
    <t xml:space="preserve">CONECTOR DERIVAÇÃO PERFURANTE PARA CABO 25MM</t>
  </si>
  <si>
    <t xml:space="preserve">23.07.1594</t>
  </si>
  <si>
    <t xml:space="preserve">CONJUNTO PARAFUSO DE ROSCA SOBERBA Ø8MMX70MM C/ ARRUELAS METÁLICAS E ELÁSTICAS</t>
  </si>
  <si>
    <t xml:space="preserve">24.08.0179</t>
  </si>
  <si>
    <t xml:space="preserve">ALICATE CRIMPADOR PRENSA TERMINAL PINO TUBULAR  AP2565</t>
  </si>
  <si>
    <t xml:space="preserve">30.01.0555</t>
  </si>
  <si>
    <t xml:space="preserve">PLASTIFICADORA DE POLISELADORA A4 E A3</t>
  </si>
  <si>
    <t xml:space="preserve">26.13.0110</t>
  </si>
  <si>
    <t xml:space="preserve">CAMISA MALHA MOLETON TAMANHO XXXG 3G – MODELO ESPORTE – GOLA CARECA – MANGA LONGA COM PUNHO DE RIBANA - L</t>
  </si>
  <si>
    <t xml:space="preserve">24.40.0051</t>
  </si>
  <si>
    <t xml:space="preserve">TALHADEIRA PARA MARTELETE DE 6KG</t>
  </si>
  <si>
    <t xml:space="preserve">18.01.1229</t>
  </si>
  <si>
    <t xml:space="preserve">TUBO CORRUGADO NÃO PERFURADO PEAD P/DRENO D= 100MM</t>
  </si>
  <si>
    <t xml:space="preserve">24.40.0072</t>
  </si>
  <si>
    <t xml:space="preserve">PONTEIRA P/ MARTELO ROMPEDOR DE 6KG</t>
  </si>
  <si>
    <t xml:space="preserve">24.09.0267</t>
  </si>
  <si>
    <t xml:space="preserve">CHAVE COMBINADA 22,00MM AÇO CARBONO CROMADO</t>
  </si>
  <si>
    <t xml:space="preserve">33.02.3164</t>
  </si>
  <si>
    <t xml:space="preserve">BORNE DE BATERIA COBRE C/ PARAFUSO INOX</t>
  </si>
  <si>
    <t xml:space="preserve">25.04.0039</t>
  </si>
  <si>
    <t xml:space="preserve">LÂMINA DE ESTILETE TRAPEZOIDAL STARRET</t>
  </si>
  <si>
    <t xml:space="preserve">18.02.0743</t>
  </si>
  <si>
    <t xml:space="preserve">CAP FERRO FUNDIDO Ø100MM</t>
  </si>
  <si>
    <t xml:space="preserve">23.07.0760</t>
  </si>
  <si>
    <t xml:space="preserve">PARAFUSO 4,2"X25</t>
  </si>
  <si>
    <t xml:space="preserve">26.06.0075</t>
  </si>
  <si>
    <t xml:space="preserve">LUVA REVESTIDA EM POLICLORETO DE VINILA (PVC) ÁSPERO TIPO (SANDY) - CA:18.664</t>
  </si>
  <si>
    <t xml:space="preserve">32.07.0154</t>
  </si>
  <si>
    <t xml:space="preserve">ESMERILHADEIRA ANGULAR 5" 220V BOSCH</t>
  </si>
  <si>
    <t xml:space="preserve">03.08.0007</t>
  </si>
  <si>
    <t xml:space="preserve">ESTACA/ PIQUETE DE RIPA DE MAÇARANDUBA 30cm X 5cm X 1cm</t>
  </si>
  <si>
    <t xml:space="preserve">30.03.0458</t>
  </si>
  <si>
    <t xml:space="preserve">COLETOR COM TAMPA E PEDAL 120 L -MARROM</t>
  </si>
  <si>
    <t xml:space="preserve">17.20.0682</t>
  </si>
  <si>
    <t xml:space="preserve">CONECTOR DE MEDIÇÃO DE BRONZE COM 4 PARAFUSOS, PARA LIGAÇÃO DE CABOS DE COBRE SEÇÃO NOMINAL 35 MM² A 70 MM²</t>
  </si>
  <si>
    <t xml:space="preserve">23.07.1576</t>
  </si>
  <si>
    <t xml:space="preserve">PARAFUSO CABEÇA PANELA FENDADO INOX AUTO ATARRAXANTE 6,3 X 45 MM</t>
  </si>
  <si>
    <t xml:space="preserve">03.04.0008</t>
  </si>
  <si>
    <t xml:space="preserve">BARROTE MAÇARANDUBA 5,00CM X 5,00CM C/2,50M</t>
  </si>
  <si>
    <t xml:space="preserve">15.02.0025</t>
  </si>
  <si>
    <t xml:space="preserve">MANTA LÍQUIDA DE BASE ASFALTO ELASTOMÉRICO</t>
  </si>
  <si>
    <t xml:space="preserve">23.06.0331</t>
  </si>
  <si>
    <t xml:space="preserve">PORCA SEXTAVADA EM ACO GALVANIZADO A FOGO ROSCA METRICA M12</t>
  </si>
  <si>
    <t xml:space="preserve">23.07.1575</t>
  </si>
  <si>
    <t xml:space="preserve">PARAFUSO ROSCA SOBERBA DE AÇO INOXIDÁVEL, CABEÇA SEXTAVADA, BITOLA 1/4" x 45 mm</t>
  </si>
  <si>
    <t xml:space="preserve">33.02.2798</t>
  </si>
  <si>
    <t xml:space="preserve">ANEL DE VEDAÇÃO P/ VASO SANITÁRIO COM GUIA BLUKIT</t>
  </si>
  <si>
    <t xml:space="preserve">30.03.0523</t>
  </si>
  <si>
    <t xml:space="preserve">SACO DE LIXO 15 LITROS ROLO COM 100 UNIDADES</t>
  </si>
  <si>
    <t xml:space="preserve">17.20.0517</t>
  </si>
  <si>
    <t xml:space="preserve">CONECTOR A COMPRESSÃO CABO 70MM2 /HASTE 5/8"</t>
  </si>
  <si>
    <t xml:space="preserve">26.01.0001</t>
  </si>
  <si>
    <t xml:space="preserve">AVENTAL RASPA COURO S/FORRO S/EMENDA 1,00M X 0,60M (CA-20041/19515/16810)</t>
  </si>
  <si>
    <t xml:space="preserve">17.02.0884</t>
  </si>
  <si>
    <t xml:space="preserve">LUVA DE ALUMÍNIO COM ROSCA, TIPO PESADO, GALVANIZADO A FOGO, Ø 2" BSP</t>
  </si>
  <si>
    <t xml:space="preserve">18.01.1077</t>
  </si>
  <si>
    <t xml:space="preserve">ELETRODUTO DE PEAD-POLIETILENO DE ALTA DENSIDADE CORRUGADO, Ø2"</t>
  </si>
  <si>
    <t xml:space="preserve">33.02.0333</t>
  </si>
  <si>
    <t xml:space="preserve">ANEL DE BORRACHA</t>
  </si>
  <si>
    <t xml:space="preserve">24.19.0002</t>
  </si>
  <si>
    <t xml:space="preserve">REBITADOR MANUAL TIPO ALAVANCA REBITES ATE 6,4MM</t>
  </si>
  <si>
    <t xml:space="preserve">33.02.1315</t>
  </si>
  <si>
    <t xml:space="preserve">PARAFUSO HEXAGONAL (M20 X1.5 X 80, DIN 960 10.9) 10466</t>
  </si>
  <si>
    <t xml:space="preserve">33.02.0145</t>
  </si>
  <si>
    <t xml:space="preserve">ABRAÇADEIRA</t>
  </si>
  <si>
    <t xml:space="preserve">25.03.0169</t>
  </si>
  <si>
    <t xml:space="preserve">BROCA AÇO RÁPIDO 1/2</t>
  </si>
  <si>
    <t xml:space="preserve">17.01.1243</t>
  </si>
  <si>
    <t xml:space="preserve">CABO MONOPOLAR 10 MM², EM COBRE NU, TÊMPERA MOLE, CLASSE 5, TENSÃO 0,6/1 KV, EM ISOL EPR, 90 °C, EM PVC, BRANCO</t>
  </si>
  <si>
    <t xml:space="preserve">17.02.0897</t>
  </si>
  <si>
    <t xml:space="preserve">CONEXÃO  (KN) DN 170 PTAC00566</t>
  </si>
  <si>
    <t xml:space="preserve">01.11.0317</t>
  </si>
  <si>
    <t xml:space="preserve">CHAPA 3/8" x 3" x 60 MM GALVANIZADO A FOGO</t>
  </si>
  <si>
    <t xml:space="preserve">17.10.0158</t>
  </si>
  <si>
    <t xml:space="preserve">DISJUNTOR MONOPOLAR 32A NBR 60898</t>
  </si>
  <si>
    <t xml:space="preserve">26.01.0004</t>
  </si>
  <si>
    <t xml:space="preserve">COLETE REFLETIVO TIPO BLUSÃO - 4 BOLSOS - COR LARANJA - TAM. G</t>
  </si>
  <si>
    <t xml:space="preserve">30.02.0129</t>
  </si>
  <si>
    <t xml:space="preserve">REFIL GÁS MAPP 400G PARA MAÇARICO</t>
  </si>
  <si>
    <t xml:space="preserve">17.08.0133</t>
  </si>
  <si>
    <t xml:space="preserve">CAIXA DE MEDIÇÃO PARA MEDIDOR POLIFÁSICO (PADRÃO CONCESSIONÁRIA)</t>
  </si>
  <si>
    <t xml:space="preserve">23.07.1413</t>
  </si>
  <si>
    <t xml:space="preserve">PARAFUSO CABEÇA ABAULADA AÇO 16X45 MM</t>
  </si>
  <si>
    <t xml:space="preserve">25.01.0242</t>
  </si>
  <si>
    <t xml:space="preserve">DISCO DE SERRA PARA MADEIRA 7.1/4 185MM 40 DENTES, DIÂMETRO CENTRAL 20MM, ESPESSURA 2MM</t>
  </si>
  <si>
    <t xml:space="preserve">23.10.0066</t>
  </si>
  <si>
    <t xml:space="preserve">CHUMBADOR MECÂNICO TIPO PARAFUSO, COM ROSCA INTERNA PARA ANCORAGEM DE TIRANTE. DIM 3/8"X45MM</t>
  </si>
  <si>
    <t xml:space="preserve">17.10.0214</t>
  </si>
  <si>
    <t xml:space="preserve">DISJUNTOR MONOFÁSICO 16A – 230/400V NBR 60898</t>
  </si>
  <si>
    <t xml:space="preserve">24.08.0032</t>
  </si>
  <si>
    <t xml:space="preserve">TORQUÊS ARMADOR 12"</t>
  </si>
  <si>
    <t xml:space="preserve">17.11.0985</t>
  </si>
  <si>
    <t xml:space="preserve">REFLETOR LED 30W/6500K</t>
  </si>
  <si>
    <t xml:space="preserve">01.09.0411</t>
  </si>
  <si>
    <t xml:space="preserve">GANCHO CURTO 96 MM PARA FIXACAO DE LUMINARIA. DIM. 96 X 38 MM, EM ACO CARBONO GALVANIZADO A QUENTE</t>
  </si>
  <si>
    <t xml:space="preserve">29.03.0312</t>
  </si>
  <si>
    <t xml:space="preserve">FOGÃO ELETRICO 2 BOCAS</t>
  </si>
  <si>
    <t xml:space="preserve">16.01.0007</t>
  </si>
  <si>
    <t xml:space="preserve">SELANTE ACRILICO</t>
  </si>
  <si>
    <t xml:space="preserve">17.10.0287</t>
  </si>
  <si>
    <t xml:space="preserve">DISJUNTOR UNIPOLAR 16A NBR 60898</t>
  </si>
  <si>
    <t xml:space="preserve">26.05.0003</t>
  </si>
  <si>
    <t xml:space="preserve">ÓCULOS DE SEGURANÇA PARA SOBREPOR ÓCULOS DE GRAU - LENTE CINZA (CA-6942/15618/18080)</t>
  </si>
  <si>
    <t xml:space="preserve">17.16.0106</t>
  </si>
  <si>
    <t xml:space="preserve">CONECTOR DE ALUMINIO BOX RETO COM PARAFUSO 1"</t>
  </si>
  <si>
    <t xml:space="preserve">24.24.0040</t>
  </si>
  <si>
    <t xml:space="preserve">MANDRIL SDS PLUS</t>
  </si>
  <si>
    <t xml:space="preserve">17.02.0099</t>
  </si>
  <si>
    <t xml:space="preserve">CURVA 90GR ELETRODUTO ALUMÍNIO BSP 2" X 60,30MM</t>
  </si>
  <si>
    <t xml:space="preserve">06.04.0070</t>
  </si>
  <si>
    <t xml:space="preserve">SILICONE ACÉTICO MULTIUSO</t>
  </si>
  <si>
    <t xml:space="preserve">17.01.1214</t>
  </si>
  <si>
    <t xml:space="preserve">CABO MONOPOLAR 16 MM², CONDUTOR EM COBRE ELETROLÍTICO NU, TÊMPERA MOLE, CLASSE 5, TENSÃO 0,6/1 KV, COR AZUL CLARO</t>
  </si>
  <si>
    <t xml:space="preserve">29.01.1150</t>
  </si>
  <si>
    <t xml:space="preserve">MOUSE LOGITECH SEM FIO M170</t>
  </si>
  <si>
    <t xml:space="preserve">24.41.0188</t>
  </si>
  <si>
    <t xml:space="preserve">SOQUETE  1/2X 10MM  SEXT. 015005  015005 19-10 GEDORE</t>
  </si>
  <si>
    <t xml:space="preserve">23.07.1141</t>
  </si>
  <si>
    <t xml:space="preserve">PARAFUSO SEXTAVADO M12 X 50MM</t>
  </si>
  <si>
    <t xml:space="preserve">23.04.0046</t>
  </si>
  <si>
    <t xml:space="preserve">GRAMPO DE ATERRAMENTO DE COBRE, PARA LIGACAO DE FITA/CORDOALHA DE ATERRAMENTO A TUBO DE ACO  1.1/2"</t>
  </si>
  <si>
    <t xml:space="preserve">18.01.1264</t>
  </si>
  <si>
    <t xml:space="preserve">JUNÇÃO SIMPLES 100 X 50MM, ESGOTO SÉRIE NORMAL - TIGRE</t>
  </si>
  <si>
    <t xml:space="preserve">17.21.0118</t>
  </si>
  <si>
    <t xml:space="preserve">SUPORTE ANGULAR PARA ELETROCALHA 200 X 100 MM AÇO GALVANIZADO A QUENTE</t>
  </si>
  <si>
    <t xml:space="preserve">29.01.1230</t>
  </si>
  <si>
    <t xml:space="preserve">PATCH PANEL CAT.5E 24 PORTAS T568A/B FURUKAWA SOHO</t>
  </si>
  <si>
    <t xml:space="preserve">01.09.0177</t>
  </si>
  <si>
    <t xml:space="preserve">CANTONEIRA L 1 1/2" X 3/16" C/ 6,00M</t>
  </si>
  <si>
    <t xml:space="preserve">17.02.0900</t>
  </si>
  <si>
    <t xml:space="preserve">ELETRODUTO PVC ANTICHAMA RIGIDO SOLDAVEL PRETO 63,00MM X 3,00M NBR 15465</t>
  </si>
  <si>
    <t xml:space="preserve">24.09.0040</t>
  </si>
  <si>
    <t xml:space="preserve">CHAVE COMBINADA 23,00MM AÇO CARBONO CROMADO</t>
  </si>
  <si>
    <t xml:space="preserve">30.01.0373</t>
  </si>
  <si>
    <t xml:space="preserve">QUADRO BRANCO C/ MOLDURA ALUMÍNIO 150,00CM X120,00CM</t>
  </si>
  <si>
    <t xml:space="preserve">24.41.0404</t>
  </si>
  <si>
    <t xml:space="preserve">ESQUADRO COM CABO DE ALUMÍNIO 12"</t>
  </si>
  <si>
    <t xml:space="preserve">26.02.0214</t>
  </si>
  <si>
    <t xml:space="preserve">BOTA BOTINA NOBUCK MARLUVAS 50B26 PALM ANTIPERFURO COMPOSITE TAM 42</t>
  </si>
  <si>
    <t xml:space="preserve">01.09.0357</t>
  </si>
  <si>
    <t xml:space="preserve">PERFIL “L” 50MM X 70MM NA CHAPA 0,5MM X COMPRIMENTO DE 3 METROS CHAPA PRÉ PINTADA EXTERNA COR: BRANCO</t>
  </si>
  <si>
    <t xml:space="preserve">24.08.0137</t>
  </si>
  <si>
    <t xml:space="preserve">ALICATE BICO CHATO LONGO ISOLADO 1000V 6.1/2" GEDORE</t>
  </si>
  <si>
    <t xml:space="preserve">19.04.0057</t>
  </si>
  <si>
    <t xml:space="preserve">PIA DE COZINHA INOX 1,,20 X 0,53</t>
  </si>
  <si>
    <t xml:space="preserve">24.09.0038</t>
  </si>
  <si>
    <t xml:space="preserve">CHAVE COMBINADA 20,00MM AÇO CARBONO CROMADO</t>
  </si>
  <si>
    <t xml:space="preserve">23.05.0014</t>
  </si>
  <si>
    <t xml:space="preserve">ARRUELA LISA AÇO CARBONO 1/4" GALVANIZADO</t>
  </si>
  <si>
    <t xml:space="preserve">26.13.0111</t>
  </si>
  <si>
    <t xml:space="preserve">CAMISA MALHA MOLETON - TAMANHO XG - MODELO ESPORTE - GOLA CARECA MANGA LONGA COM PUNHO DE RIBANA</t>
  </si>
  <si>
    <t xml:space="preserve">17.01.1242</t>
  </si>
  <si>
    <t xml:space="preserve">CABO MONOPOLAR 10 MM², CONDUTOR EM COBRE NU, TÊMPERA MOLE, CLASSE 5, TENSÃO 0,6/1 KV, ISOLAÇÃO EM EPR, 90 °C, PRETO</t>
  </si>
  <si>
    <t xml:space="preserve">17.01.1244</t>
  </si>
  <si>
    <t xml:space="preserve">CABO MONOPOLAR 10 MM², EM COBRE NU, TÊMPERA MOLE, CLASSE 5, TENSÃO 0,6/1 KV, EM EPR, 90 °C, EM PVC, VERMELHO</t>
  </si>
  <si>
    <t xml:space="preserve">17.01.1245</t>
  </si>
  <si>
    <t xml:space="preserve">CABO MONOPOLAR 10 MM², EM COBRE NU, TÊMPERA MOLE, CLASSE 5, TENSÃO 0,6/1 KV, EM EPR, 90 °C, EM PVC, AZUL CLARO</t>
  </si>
  <si>
    <t xml:space="preserve">17.20.0686</t>
  </si>
  <si>
    <t xml:space="preserve">SOLDA EXOTÉRMICA CABO 70 MM² - HASTE 5/8" TERMINAL - MOLDE</t>
  </si>
  <si>
    <t xml:space="preserve">24.09.0502</t>
  </si>
  <si>
    <t xml:space="preserve">CHAVE COMBINADA 13 MM</t>
  </si>
  <si>
    <t xml:space="preserve">17.02.0845</t>
  </si>
  <si>
    <t xml:space="preserve">CURVA 90 PEAD PE100 DE180MM</t>
  </si>
  <si>
    <t xml:space="preserve">02.03.0011</t>
  </si>
  <si>
    <t xml:space="preserve">ARAME LISO GALVANIZADO 14</t>
  </si>
  <si>
    <t xml:space="preserve">29.01.1046</t>
  </si>
  <si>
    <t xml:space="preserve">SUPORTE VEICULAR PARA CELULAR</t>
  </si>
  <si>
    <t xml:space="preserve">26.09.0010</t>
  </si>
  <si>
    <t xml:space="preserve">CREME PROTETOR DE SEGURANÇA - GRUPO 2 - ÓLEO-RESISTENTE (CA-4114/11280/4234)</t>
  </si>
  <si>
    <t xml:space="preserve">32.08.0056</t>
  </si>
  <si>
    <t xml:space="preserve">SOPRADOR TÉRMICO 220V 2000W</t>
  </si>
  <si>
    <t xml:space="preserve">17.16.0665</t>
  </si>
  <si>
    <t xml:space="preserve">CONECTOR CABO-CABO SACC 16-70</t>
  </si>
  <si>
    <t xml:space="preserve">17.01.0384</t>
  </si>
  <si>
    <t xml:space="preserve">CABO ELETRICO FLEXIVEL 450V/750V  1 X 2,50MM2 COBRE PVC CLASSE 4 AZUL NBRNM 247-3</t>
  </si>
  <si>
    <t xml:space="preserve">17.01.0388</t>
  </si>
  <si>
    <t xml:space="preserve">CABO ELETRICO FLEXIVEL 450V/750V  1 X 2,50MM2 COBRE PVC CLASSE 4 VERDE NBRNM 247-3</t>
  </si>
  <si>
    <t xml:space="preserve">17.01.0389</t>
  </si>
  <si>
    <t xml:space="preserve">CABO ELETRICO FLEXIVEL 450V/750V  1 X 2,50MM2 COBRE PVC CLASSE 4 VERMELHO NBRNM 247-3</t>
  </si>
  <si>
    <t xml:space="preserve">18.01.0918</t>
  </si>
  <si>
    <t xml:space="preserve">LUVA 90 SOLD 160MM</t>
  </si>
  <si>
    <t xml:space="preserve">03.04.0017</t>
  </si>
  <si>
    <t xml:space="preserve">BARROTE MADEIRA MISTA 5,00CM X 5,00CM</t>
  </si>
  <si>
    <t xml:space="preserve">32.02.0321</t>
  </si>
  <si>
    <t xml:space="preserve">CARRETEL FIO NYLON ROÇADEIRA P/ STIHL FS COM FIO INCLUSO, PRETO, MANUAL</t>
  </si>
  <si>
    <t xml:space="preserve">30.04.0341</t>
  </si>
  <si>
    <t xml:space="preserve">FILME STRETCH</t>
  </si>
  <si>
    <t xml:space="preserve">30.04.0247</t>
  </si>
  <si>
    <t xml:space="preserve">FILME STRECH 4/1</t>
  </si>
  <si>
    <t xml:space="preserve">26.01.0003</t>
  </si>
  <si>
    <t xml:space="preserve">CAPA DE CHUVA PVC LAMINADO SEM FORRO TAM. G</t>
  </si>
  <si>
    <t xml:space="preserve">09.08.0057</t>
  </si>
  <si>
    <t xml:space="preserve">CAIXA GORDURA 52.5X29X49.5CM</t>
  </si>
  <si>
    <t xml:space="preserve">16.03.0092</t>
  </si>
  <si>
    <t xml:space="preserve">TINTA ESMALTE FOSCO BRANCO NEVE 900ML NBR 11702</t>
  </si>
  <si>
    <t xml:space="preserve">21.03.0009</t>
  </si>
  <si>
    <t xml:space="preserve">CAIXA PLÁSTICA 55,5CM X 36,00CM X 31,00CM</t>
  </si>
  <si>
    <t xml:space="preserve">24.05.0023</t>
  </si>
  <si>
    <t xml:space="preserve">NÍVEL BOLHA 30CM</t>
  </si>
  <si>
    <t xml:space="preserve">06.01.0110</t>
  </si>
  <si>
    <t xml:space="preserve">ADITIVO FLUIDO PARA RADIADOR ROSA CONCENTRADO POWER BRIL</t>
  </si>
  <si>
    <t xml:space="preserve">24.46.0008</t>
  </si>
  <si>
    <t xml:space="preserve">CORTADOR RISCADEIRA PISO PORCELANATO 75 COM ACESSÓRIOS</t>
  </si>
  <si>
    <t xml:space="preserve">24.05.0033</t>
  </si>
  <si>
    <t xml:space="preserve">NÍVEL ALUMÍNIO MAGNÉTICO 12''</t>
  </si>
  <si>
    <t xml:space="preserve">17.12.0429</t>
  </si>
  <si>
    <t xml:space="preserve">PLUG FEMEA 2P+T 20A</t>
  </si>
  <si>
    <t xml:space="preserve">17.12.0372</t>
  </si>
  <si>
    <t xml:space="preserve">INTERRUPTOR 01 TECLA SIMPLES</t>
  </si>
  <si>
    <t xml:space="preserve">17.17.0087</t>
  </si>
  <si>
    <t xml:space="preserve">RELÉ INTERRUPTOR DE HORÁRIO PARA COMANDO DE EQUIPAMENTOS</t>
  </si>
  <si>
    <t xml:space="preserve">17.20.0672</t>
  </si>
  <si>
    <t xml:space="preserve">MOLDE DE CONEXÃO, POR SOLDA EXOTÉRMICA, DE CABO PASSANTE DE COBRE 70 mm² , DIÂMETRO NOMINAL 19mm (3/4")</t>
  </si>
  <si>
    <t xml:space="preserve">17.01.1235</t>
  </si>
  <si>
    <t xml:space="preserve">CABO ELETRICO FLEXIVEL 0,6/1KV 1 X 50,00MM2 COBRE PVC CLASSE 5 VERDE NBR 7289</t>
  </si>
  <si>
    <t xml:space="preserve">26.02.0147</t>
  </si>
  <si>
    <t xml:space="preserve">BOTINA TIPO B - CA 32807 - N 38</t>
  </si>
  <si>
    <t xml:space="preserve">26.03.0054</t>
  </si>
  <si>
    <t xml:space="preserve">CAPUZ DE SEGURANÇA TIPO TOUCA NINJA - AZUL TAM. G</t>
  </si>
  <si>
    <t xml:space="preserve">17.05.0122</t>
  </si>
  <si>
    <t xml:space="preserve">CAIXA DE LIGAÇÃO EM LIGA DE ALUMÍNIO TIPO “X” DN 20 MM (3/4" BSP)</t>
  </si>
  <si>
    <t xml:space="preserve">17.19.0051</t>
  </si>
  <si>
    <t xml:space="preserve">FITA ISOLANTE 18MMX10MT VERMELHA</t>
  </si>
  <si>
    <t xml:space="preserve">26.01.0072</t>
  </si>
  <si>
    <t xml:space="preserve">COLETE REFLETIVO PARA SINALEIRO TAM M</t>
  </si>
  <si>
    <t xml:space="preserve">17.02.0898</t>
  </si>
  <si>
    <t xml:space="preserve">CONEXÃO (KN/KNT-S) DN 230 PTAC00570</t>
  </si>
  <si>
    <t xml:space="preserve">24.41.0065</t>
  </si>
  <si>
    <t xml:space="preserve">TORNO ENCANADOR FIXO Nº 4</t>
  </si>
  <si>
    <t xml:space="preserve">17.12.0162</t>
  </si>
  <si>
    <t xml:space="preserve">PLUGUE INDUSTRIAL 2P+T 16A 220/240V AZUL NBR IEC 60309-1/IEC 60309-2</t>
  </si>
  <si>
    <t xml:space="preserve">34.02.0066</t>
  </si>
  <si>
    <t xml:space="preserve">FILTRO LUBRIFICANTE</t>
  </si>
  <si>
    <t xml:space="preserve">23.05.0112</t>
  </si>
  <si>
    <t xml:space="preserve">ARRUELA EM ALUMÍNIO PARA ELETRODUTO 10,00 MM X 16,00MM</t>
  </si>
  <si>
    <t xml:space="preserve">06.04.0057</t>
  </si>
  <si>
    <t xml:space="preserve">ESPUMA EXPANSIVA</t>
  </si>
  <si>
    <t xml:space="preserve">32.02.0023</t>
  </si>
  <si>
    <t xml:space="preserve">CINTA DE ELEVAÇÃO CAPACIDADE 2,0T COM 2,0M</t>
  </si>
  <si>
    <t xml:space="preserve">26.01.0073</t>
  </si>
  <si>
    <t xml:space="preserve">COLETE REFLETIVO PARA SINALEIRO TAM G</t>
  </si>
  <si>
    <t xml:space="preserve">30.03.0115</t>
  </si>
  <si>
    <t xml:space="preserve">DESINFETANTE LIQUIDO 5,00L</t>
  </si>
  <si>
    <t xml:space="preserve">30.03.0095</t>
  </si>
  <si>
    <t xml:space="preserve">VASSOURA NYLON BASE PLASTICA</t>
  </si>
  <si>
    <t xml:space="preserve">24.08.0021</t>
  </si>
  <si>
    <t xml:space="preserve">ALICATE DE CRIMPAGEM RÁPIDA PREMIUM FURUKAWA</t>
  </si>
  <si>
    <t xml:space="preserve">30.04.0031</t>
  </si>
  <si>
    <t xml:space="preserve">GARRAFA TERMICA PLÁSTICO 5,00L ALCA LATERAL</t>
  </si>
  <si>
    <t xml:space="preserve">24.23.0037</t>
  </si>
  <si>
    <t xml:space="preserve">BOMBA PRESSURIZADORA DE ÁGUA 2CV 380V COM PRESSOTATO</t>
  </si>
  <si>
    <t xml:space="preserve">17.01.1217</t>
  </si>
  <si>
    <t xml:space="preserve">CABO MONOPOLAR 4 MM², CONDUTOR EM COBRE ELETROLÍTICO NU, TÊMPERA MOLE, CLASSE 5, TENSÃO 0,6/1 KV, COR BRANCO</t>
  </si>
  <si>
    <t xml:space="preserve">25.04.0001</t>
  </si>
  <si>
    <t xml:space="preserve">LÂMINA SERRA MANUAL AÇO BI METAL 300,00MM X 13,00MM X 0,60MM 18 DENTES</t>
  </si>
  <si>
    <t xml:space="preserve">23.15.0039</t>
  </si>
  <si>
    <t xml:space="preserve">SUPORTE PARA FITA DE AÇO 1/2" COM PARAFUSO 1/2"</t>
  </si>
  <si>
    <t xml:space="preserve">33.02.0038</t>
  </si>
  <si>
    <t xml:space="preserve">PARAFUSO 4F-7827</t>
  </si>
  <si>
    <t xml:space="preserve">07.03.0005</t>
  </si>
  <si>
    <t xml:space="preserve">ARGAMASSA HÍBRIDA ALTO DESEMPENHO P/ANCORAGEM PESADA E CONEXÕES DE VERGALHÕES 500G</t>
  </si>
  <si>
    <t xml:space="preserve">26.13.0165</t>
  </si>
  <si>
    <t xml:space="preserve">CAMISA SOCIAL MANGA LONGA - G4</t>
  </si>
  <si>
    <t xml:space="preserve">17.16.0509</t>
  </si>
  <si>
    <t xml:space="preserve">CONECTOR SPLITBOLT 50 MM² COM RABICHO PFR-50</t>
  </si>
  <si>
    <t xml:space="preserve">30.01.0494</t>
  </si>
  <si>
    <t xml:space="preserve">PORTA CRACHÁ DE SILICONE VERTICAL</t>
  </si>
  <si>
    <t xml:space="preserve">25.05.0107</t>
  </si>
  <si>
    <t xml:space="preserve">SERRA COPO BIMETAL 76mm = 3"</t>
  </si>
  <si>
    <t xml:space="preserve">17.02.0493</t>
  </si>
  <si>
    <t xml:space="preserve">CONECTOR PARAFUSO FENDIDO (SPLIT BOLT) PARA CABO DE COBRE NU 70MM²</t>
  </si>
  <si>
    <t xml:space="preserve">23.07.1388</t>
  </si>
  <si>
    <t xml:space="preserve">PARAFUSO SEXTAVADO AUTOBROCANTE 1"</t>
  </si>
  <si>
    <t xml:space="preserve">27.01.0501</t>
  </si>
  <si>
    <t xml:space="preserve">SOLUÇÃO DE GLICOSE 50% 10ML</t>
  </si>
  <si>
    <t xml:space="preserve">19.08.0101</t>
  </si>
  <si>
    <t xml:space="preserve">TORNEIRA INOX DE BANCADA BAIXA PARA BWC</t>
  </si>
  <si>
    <t xml:space="preserve">17.11.0844</t>
  </si>
  <si>
    <t xml:space="preserve">LUMINARIA EMERGENCIA 60LEDS BR SLIM NBR IEC 60598-1</t>
  </si>
  <si>
    <t xml:space="preserve">30.01.0079</t>
  </si>
  <si>
    <t xml:space="preserve">CANETA MARCADOR PERMANENTE AZUL</t>
  </si>
  <si>
    <t xml:space="preserve">26.11.0004</t>
  </si>
  <si>
    <t xml:space="preserve">MANGOTE DE RASPA DE COURO</t>
  </si>
  <si>
    <t xml:space="preserve">01.05.0016</t>
  </si>
  <si>
    <t xml:space="preserve">TELA SOLDADA AÇO CA-60 NERVURADO Q 283 10,00CM X 10,00CM FIO 6,0MM PAINEL 2,45 X 6,00M (4,48KG/M2) NBR 7481</t>
  </si>
  <si>
    <t xml:space="preserve">17.02.0519</t>
  </si>
  <si>
    <t xml:space="preserve">MANILHA SAPATILHA EM AÇO GALVANIZADO,CARGA RUPTURA 50KN</t>
  </si>
  <si>
    <t xml:space="preserve">26.13.0112</t>
  </si>
  <si>
    <t xml:space="preserve">CAMISA MALHA MOLETON - TAMANHO XXG - MODELO ESPORTE - GOLA CARECA MANGA LONGA COM PUNHO DE RIBANA</t>
  </si>
  <si>
    <t xml:space="preserve">24.32.0047</t>
  </si>
  <si>
    <t xml:space="preserve">COLETE PARA FERRAMENTA 510X600MM</t>
  </si>
  <si>
    <t xml:space="preserve">23.02.0309</t>
  </si>
  <si>
    <t xml:space="preserve">ABRAÇADEIRA TIPO U ½</t>
  </si>
  <si>
    <t xml:space="preserve">17.02.0043</t>
  </si>
  <si>
    <t xml:space="preserve">TUBO ELETRODUTO POLIETILENO FLEXIVEL 50,00MM PRETO NBR 15465</t>
  </si>
  <si>
    <t xml:space="preserve">28.01.0558</t>
  </si>
  <si>
    <t xml:space="preserve">PLACAS DE SINALIZAÇÃO DE EQUIPAMENTOS (EXTINTOR DE INCÊNDIO)</t>
  </si>
  <si>
    <t xml:space="preserve">17.10.0196</t>
  </si>
  <si>
    <t xml:space="preserve">DISJUNTOR TRIFÁSICO 50A – 127/220V – 3000A NBR 60898</t>
  </si>
  <si>
    <t xml:space="preserve">26.03.0003</t>
  </si>
  <si>
    <t xml:space="preserve">CAPACETE COM ABA FRONTAL (TIPO II) C/ CARNEIRA - COR CINZA (CA-8562/25856/29792)</t>
  </si>
  <si>
    <t xml:space="preserve">28.01.0753</t>
  </si>
  <si>
    <t xml:space="preserve">PLACA INDICATIVA ROTA DE SAIDA ESQUERDA EM ACO GALVANIZADO FOTOLUMINESCENTE 358X358MM</t>
  </si>
  <si>
    <t xml:space="preserve">26.08.0007</t>
  </si>
  <si>
    <t xml:space="preserve">PROTETOR AUDITIVO TIPO PLUG/PRÉ-MOLDADO DE SILICONE - ATENUAÇÃO 17 Db (CA-5745/16197/11512)</t>
  </si>
  <si>
    <t xml:space="preserve">30.05.0022</t>
  </si>
  <si>
    <t xml:space="preserve">AÇUCAR 1KG</t>
  </si>
  <si>
    <t xml:space="preserve">23.02.0279</t>
  </si>
  <si>
    <t xml:space="preserve">ABRAÇADEIRA GALVANIZADA TIPO ‘’D’’ 1.1/2’’ C/PARAFUSO</t>
  </si>
  <si>
    <t xml:space="preserve">24.13.0022</t>
  </si>
  <si>
    <t xml:space="preserve">LIMA REDONDA 7/32 8" 200X5,5MM P/CORRENTE MOTOSSERRA</t>
  </si>
  <si>
    <t xml:space="preserve">30.03.0109</t>
  </si>
  <si>
    <t xml:space="preserve">PANO DE CHÃO</t>
  </si>
  <si>
    <t xml:space="preserve">24.41.0107</t>
  </si>
  <si>
    <t xml:space="preserve">TORNO DE BANCADA NR 08</t>
  </si>
  <si>
    <t xml:space="preserve">01.15.0168</t>
  </si>
  <si>
    <t xml:space="preserve">LUVA DE EMENDA DE 100MM</t>
  </si>
  <si>
    <t xml:space="preserve">08.02.0073</t>
  </si>
  <si>
    <t xml:space="preserve">MEIO BLOCO CANALETA 19X19X19 FCK MAIOR OU IGUAL 6MPA</t>
  </si>
  <si>
    <t xml:space="preserve">23.07.1609</t>
  </si>
  <si>
    <t xml:space="preserve">PARAFUSO ROSCA SOBERBA AÇO INOX CABEÇA SEXTAVADA 3/8" X 5/8"</t>
  </si>
  <si>
    <t xml:space="preserve">17.16.0523</t>
  </si>
  <si>
    <t xml:space="preserve">TERMINAL OLHAL A COMPRESSÃO 150MM²</t>
  </si>
  <si>
    <t xml:space="preserve">30.01.0482</t>
  </si>
  <si>
    <t xml:space="preserve">PRESILHA JACARÉ PARA CRACHÁ</t>
  </si>
  <si>
    <t xml:space="preserve">17.01.1282</t>
  </si>
  <si>
    <t xml:space="preserve">CABO ISOLADO 3 X 1,5 MM², ISOLAÇÃO 750 V, COR PRETA, TEMPERATURA CONTÍNUA DE 70 °C</t>
  </si>
  <si>
    <t xml:space="preserve">30.01.0556</t>
  </si>
  <si>
    <t xml:space="preserve">POLASEAL A4 COM 100 UND</t>
  </si>
  <si>
    <t xml:space="preserve">17.20.0229</t>
  </si>
  <si>
    <t xml:space="preserve">MOLDE PARA SOLDA EXOTÉRMICA - CABO 70MM2 X HASTE 3/4" "PASSANTE"</t>
  </si>
  <si>
    <t xml:space="preserve">17.20.0697</t>
  </si>
  <si>
    <t xml:space="preserve">BUCHA 2" C/TERMINAL DE ATERRAMENTO P/CABOS 16MM²</t>
  </si>
  <si>
    <t xml:space="preserve">27.02.0218</t>
  </si>
  <si>
    <t xml:space="preserve">MASCARA LARÍNGEA TAMANHO 03</t>
  </si>
  <si>
    <t xml:space="preserve">17.02.0895</t>
  </si>
  <si>
    <t xml:space="preserve">CABO FLEX 16MM</t>
  </si>
  <si>
    <t xml:space="preserve">24.05.0011</t>
  </si>
  <si>
    <t xml:space="preserve">NÍVEL DE MÃO DE ALUMÍNIO 30 CM</t>
  </si>
  <si>
    <t xml:space="preserve">17.20.0514</t>
  </si>
  <si>
    <t xml:space="preserve">CAIXA INSPEÇÃO DE ATERRAMENTO PVC, D300X300</t>
  </si>
  <si>
    <t xml:space="preserve">28.01.0714</t>
  </si>
  <si>
    <t xml:space="preserve">PLACA DE SINALIZAÇÃO 60X40CM - CHAPA DE ZINCO - COM BARROTE</t>
  </si>
  <si>
    <t xml:space="preserve">28.01.0755</t>
  </si>
  <si>
    <t xml:space="preserve">PLACA DE SINALIZACAO PARA EXTINTOR DE INCENDIO TIPO CARRETA  E11 - PICTOGRAMA FOTOLUMINESCENTE EM CHAPA METALICA 25X25CM</t>
  </si>
  <si>
    <t xml:space="preserve">23.05.0253</t>
  </si>
  <si>
    <t xml:space="preserve">ARRUELA DE PRESSÃO M12</t>
  </si>
  <si>
    <t xml:space="preserve">32.12.0005</t>
  </si>
  <si>
    <t xml:space="preserve">TERMÔMETRO DIGITAL PORTÁTIL INFRAVERMELHO – MT 350 – COM LCD, MEDIDAS DE TEMPERATURA NA FAIXA DE -30</t>
  </si>
  <si>
    <t xml:space="preserve">33.02.1266</t>
  </si>
  <si>
    <t xml:space="preserve">PARAFUSO 3/4"</t>
  </si>
  <si>
    <t xml:space="preserve">24.41.0128</t>
  </si>
  <si>
    <t xml:space="preserve">SOQUETE SEXTAVADO IMPACTO LONGO 1/2" 13MM</t>
  </si>
  <si>
    <t xml:space="preserve">26.04.0099</t>
  </si>
  <si>
    <t xml:space="preserve">FITA DE ANCORAGEM SLING 22KN, 2M, AMARELO</t>
  </si>
  <si>
    <t xml:space="preserve">06.01.0086</t>
  </si>
  <si>
    <t xml:space="preserve">ADITIVO P/ RADIADOR</t>
  </si>
  <si>
    <t xml:space="preserve">01.03.0013</t>
  </si>
  <si>
    <t xml:space="preserve">AÇO CARBONO CA-60 VERGALHÃO NERVURADO 5,0MM X 12 M NBR 7480 (0,154 KG/M) – CORTADO E DOBRADO</t>
  </si>
  <si>
    <t xml:space="preserve">17.10.0220</t>
  </si>
  <si>
    <t xml:space="preserve">DISJUNTOR MONOFÁSICO 10A – 110/220V NBR 60898</t>
  </si>
  <si>
    <t xml:space="preserve">24.14.0002</t>
  </si>
  <si>
    <t xml:space="preserve">MARRETA OITAVADA AÇO CARBONO 1,500KG</t>
  </si>
  <si>
    <t xml:space="preserve">17.09.0062</t>
  </si>
  <si>
    <t xml:space="preserve">BARRAMENTO TERRA 12 FUROS</t>
  </si>
  <si>
    <t xml:space="preserve">17.02.0585</t>
  </si>
  <si>
    <t xml:space="preserve">TUBO ELET SOLD CL.A 20MM C/3MT TIGRE</t>
  </si>
  <si>
    <t xml:space="preserve">25.03.0168</t>
  </si>
  <si>
    <t xml:space="preserve">BROCA AÇO RAPIDO 3/8</t>
  </si>
  <si>
    <t xml:space="preserve">25.03.0242</t>
  </si>
  <si>
    <t xml:space="preserve">BROCA P/MADEIRA 12MM</t>
  </si>
  <si>
    <t xml:space="preserve">24.41.0202</t>
  </si>
  <si>
    <t xml:space="preserve">SOQUETE  1/2X 08MM  SEXT. 015005  015005 19-10 GEDORE</t>
  </si>
  <si>
    <t xml:space="preserve">24.09.0330</t>
  </si>
  <si>
    <t xml:space="preserve">CHAVE SOQUETE TIPO MULTIDENTADA M13 COM GUIA E ENCAIXE DE 1/2</t>
  </si>
  <si>
    <t xml:space="preserve">17.07.0097</t>
  </si>
  <si>
    <t xml:space="preserve">CAIXA DE PASSAGEM DE SOBREPOR 15,00 CM X 15,00 CM X 8,00 CM EM PVC</t>
  </si>
  <si>
    <t xml:space="preserve">32.12.0136</t>
  </si>
  <si>
    <t xml:space="preserve">TERMÔMETRO C/ ESCALA DE --10 + 50°C E SUBD. DE 0,5°C COM CERTIFICADO IPEM</t>
  </si>
  <si>
    <t xml:space="preserve">26.07.0001</t>
  </si>
  <si>
    <t xml:space="preserve">RESPIRADOR SEMI-FACIAL DESCARTÁVEL - PFF1 / P1 (POEIRA E/OU NÉVOAS) - TAM ÚNICO  (CA-19491/11035/305</t>
  </si>
  <si>
    <t xml:space="preserve">24.25.0033</t>
  </si>
  <si>
    <t xml:space="preserve">SERRA COPO BIMETAL 64MM  2.1/2"</t>
  </si>
  <si>
    <t xml:space="preserve">33.02.0959</t>
  </si>
  <si>
    <t xml:space="preserve">CAPA PROTETORA 1617000163</t>
  </si>
  <si>
    <t xml:space="preserve">24.41.0282</t>
  </si>
  <si>
    <t xml:space="preserve">MORSA PARA BANCADA 8"</t>
  </si>
  <si>
    <t xml:space="preserve">26.13.0044</t>
  </si>
  <si>
    <t xml:space="preserve">CAMISA SOCIAL MANGA LONGA. TAM P</t>
  </si>
  <si>
    <t xml:space="preserve">17.10.0357</t>
  </si>
  <si>
    <t xml:space="preserve">DISJUNTOR TRIFÁSICO 32A</t>
  </si>
  <si>
    <t xml:space="preserve">17.11.1156</t>
  </si>
  <si>
    <t xml:space="preserve">PLACA SAIDA DE EMERGENCIA AUTONOMA 24X18 CM, 5 LEDS, 30 LM, 220 V, BATERIA LITIO, AUTONOMIA 3 H</t>
  </si>
  <si>
    <t xml:space="preserve">33.02.3132</t>
  </si>
  <si>
    <t xml:space="preserve">FILTRO DE AR 1135-120-1601</t>
  </si>
  <si>
    <t xml:space="preserve">23.07.1175</t>
  </si>
  <si>
    <t xml:space="preserve">PARAFUSO SEXTAVADO ALTO BROCANTE 1/4"X1"</t>
  </si>
  <si>
    <t xml:space="preserve">17.01.1249</t>
  </si>
  <si>
    <t xml:space="preserve">CABO MONOPOLAR 10 MM², EM COBRE NU, TÊMPERA MOLE, CLASSE 5, TENSÃO 0,6/1 KV, EM EPR, 90 °C, EM PVC, VERDE</t>
  </si>
  <si>
    <t xml:space="preserve">17.16.0351</t>
  </si>
  <si>
    <t xml:space="preserve">CONECTOR ATERRAMENTO CU CABOS 25-70MM</t>
  </si>
  <si>
    <t xml:space="preserve">19.05.0030</t>
  </si>
  <si>
    <t xml:space="preserve">TANQUE DUPLO DE FIBRA 1200MM</t>
  </si>
  <si>
    <t xml:space="preserve">26.10.0007</t>
  </si>
  <si>
    <t xml:space="preserve">CALÇA IMPERMEAVEL CONTRA LIQUIDOS E RESPINGOS EM TREVIRA–KP 400–COM BOTAS DE PVC ACOPLADAS–TAM XG</t>
  </si>
  <si>
    <t xml:space="preserve">26.02.0091</t>
  </si>
  <si>
    <t xml:space="preserve">BOTA IMPERMEÁVEL DE PVC CANO CURTO - COR PRETA - Nº 40 (CA-26629/10199/28286)</t>
  </si>
  <si>
    <t xml:space="preserve">25.11.0075</t>
  </si>
  <si>
    <t xml:space="preserve">CORRENTE GALVANIZADA 8"</t>
  </si>
  <si>
    <t xml:space="preserve">17.01.0227</t>
  </si>
  <si>
    <t xml:space="preserve">CABO ELETRICO FLEXIVEL 0,6/1KV 1 X 2,50MM2 COBRE PVC CLASSE 4 AMARELO NBR 7288</t>
  </si>
  <si>
    <t xml:space="preserve">17.01.0228</t>
  </si>
  <si>
    <t xml:space="preserve">CABO ELETRICO FLEXIVEL 0,6/1KV 1 X 2,50MM2 COBRE PVC CLASSE 4 AZUL NBR 7288</t>
  </si>
  <si>
    <t xml:space="preserve">17.01.0232</t>
  </si>
  <si>
    <t xml:space="preserve">CABO ELETRICO FLEXIVEL 0,6/1KV 1 X 2,50MM2 COBRE PVC CLASSE 4 VERDE NBR 7288</t>
  </si>
  <si>
    <t xml:space="preserve">17.01.0233</t>
  </si>
  <si>
    <t xml:space="preserve">CABO ELETRICO FLEXIVEL 0,6/1KV 1 X 2,50MM2 COBRE PVC CLASSE 4 VERMELHO NBR 7288</t>
  </si>
  <si>
    <t xml:space="preserve">24.09.0214</t>
  </si>
  <si>
    <t xml:space="preserve">JOGO DE CHAVE SOQUETE 1/2 A 120MM</t>
  </si>
  <si>
    <t xml:space="preserve">24.50.0002</t>
  </si>
  <si>
    <t xml:space="preserve">PENEIRA DE MADEIRA MALHA 06</t>
  </si>
  <si>
    <t xml:space="preserve">29.03.0183</t>
  </si>
  <si>
    <t xml:space="preserve">ASPIRADOR DE PÓ</t>
  </si>
  <si>
    <t xml:space="preserve">17.19.0045</t>
  </si>
  <si>
    <t xml:space="preserve">FITA ISOLANTE 19MMX5M BRANCA</t>
  </si>
  <si>
    <t xml:space="preserve">30.01.0315</t>
  </si>
  <si>
    <t xml:space="preserve">PASTA SANFONADA POLIPROPILENO CRISTAL A4 C/ 12 DIVISÓRIAS</t>
  </si>
  <si>
    <t xml:space="preserve">24.41.0099</t>
  </si>
  <si>
    <t xml:space="preserve">FERRO DE SOLDAR PROFISSIONAL PLUS 40</t>
  </si>
  <si>
    <t xml:space="preserve">30.01.0267</t>
  </si>
  <si>
    <t xml:space="preserve">PAPEL A4 BRANCO 210,00MM X 297,00MM 75G/M2 PCT 500FLS</t>
  </si>
  <si>
    <t xml:space="preserve">24.08.0039</t>
  </si>
  <si>
    <t xml:space="preserve">ALICATE DE PRENSA  CRIMPAR TERMINAIS</t>
  </si>
  <si>
    <t xml:space="preserve">24.09.0715</t>
  </si>
  <si>
    <t xml:space="preserve">CHAVE COMBINADA INCLINADA ACO CARBONO 19/32"</t>
  </si>
  <si>
    <t xml:space="preserve">24.36.0009</t>
  </si>
  <si>
    <t xml:space="preserve">FACÃO CANA 14"</t>
  </si>
  <si>
    <t xml:space="preserve">01.09.0417</t>
  </si>
  <si>
    <t xml:space="preserve">CANTONEIRA BICROMATIZADA 40X20MM</t>
  </si>
  <si>
    <t xml:space="preserve">23.10.0065</t>
  </si>
  <si>
    <t xml:space="preserve">CHUMBADOR MECÂNICO COM PARAFUSO, DE AÇO COM GALVANIZAÇÃO ELETROLÍTICA, BITOLA 3/8" X 2.1/2" DE COMP</t>
  </si>
  <si>
    <t xml:space="preserve">26.02.0049</t>
  </si>
  <si>
    <t xml:space="preserve">BOTINA NOBUCK C/ CADARÇO E BIQUEIRA - COR MARROM -  Nº 40 (CA-28108/13808/26706/26710)</t>
  </si>
  <si>
    <t xml:space="preserve">29.01.0731</t>
  </si>
  <si>
    <t xml:space="preserve">SWITCH HIKVISION DS-3E0318P E/M 16 M POE PORT 0067390</t>
  </si>
  <si>
    <t xml:space="preserve">24.07.0001</t>
  </si>
  <si>
    <t xml:space="preserve">TRENA CURTA 5,00M CAIXA FECHADA PLASTICA FITA AÇO TEMPERADO</t>
  </si>
  <si>
    <t xml:space="preserve">25.09.0012</t>
  </si>
  <si>
    <t xml:space="preserve">CLIPS CABO AÇO LEVE AÇO INOX AISI 304 1/2" POLIDO</t>
  </si>
  <si>
    <t xml:space="preserve">23.03.0136</t>
  </si>
  <si>
    <t xml:space="preserve">PREGO COMUM C/CABECA AÇO TEMPERADO 17 X 21</t>
  </si>
  <si>
    <t xml:space="preserve">33.02.1675</t>
  </si>
  <si>
    <t xml:space="preserve">TAMPA DO TANQUE (0000-350-0533) STIHL</t>
  </si>
  <si>
    <t xml:space="preserve">23.02.0346</t>
  </si>
  <si>
    <t xml:space="preserve">ABRAÇADEIRA TIPO U 1"</t>
  </si>
  <si>
    <t xml:space="preserve">26.02.0209</t>
  </si>
  <si>
    <t xml:space="preserve">BOTA BOTINA NOBUCK MARLUVAS 50B26 PALM ANTIPERFURO COMPOSITE TAM 37</t>
  </si>
  <si>
    <t xml:space="preserve">24.09.0505</t>
  </si>
  <si>
    <t xml:space="preserve">JOGO DE CHAVE PHILIPS DE 1/8” A ¼” COM ISOLAMENTO DE 1000V</t>
  </si>
  <si>
    <t xml:space="preserve">18.08.0234</t>
  </si>
  <si>
    <t xml:space="preserve">REGISTRO DE ESFERA PPR DN 90</t>
  </si>
  <si>
    <t xml:space="preserve">17.16.0513</t>
  </si>
  <si>
    <t xml:space="preserve">TERMINAL OLHAL 150mm²</t>
  </si>
  <si>
    <t xml:space="preserve">17.14.0034</t>
  </si>
  <si>
    <t xml:space="preserve">CAIXA DE TOMADA PARA PERFILADO 38 X 38 MM COM TOMADA 2P+T 10 A 250 V</t>
  </si>
  <si>
    <t xml:space="preserve">24.09.0268</t>
  </si>
  <si>
    <t xml:space="preserve">CHAVE COMBINADA 19,00MM AÇO CARBONO CROMADO</t>
  </si>
  <si>
    <t xml:space="preserve">24.06.0007</t>
  </si>
  <si>
    <t xml:space="preserve">ALICATE PRENSA TERMINAL MANUAL 6MM</t>
  </si>
  <si>
    <t xml:space="preserve">17.16.0423</t>
  </si>
  <si>
    <t xml:space="preserve">CONECTOR GDTU HASTE CABO 5/8"X70mm2</t>
  </si>
  <si>
    <t xml:space="preserve">23.02.0432</t>
  </si>
  <si>
    <t xml:space="preserve">ABRAÇADEIRA NYLON 4,8 X 370MM - COM PROTEÇÃO UV</t>
  </si>
  <si>
    <t xml:space="preserve">17.09.0080</t>
  </si>
  <si>
    <t xml:space="preserve">BARRAMENTO PENTE TRIPOLAR 70A 20 DISJUNTORES</t>
  </si>
  <si>
    <t xml:space="preserve">17.11.0908</t>
  </si>
  <si>
    <t xml:space="preserve">LUMINÁRIA PLAFON DE SOBREPOR BRANCO ILUMI NBR IEC 60598-1</t>
  </si>
  <si>
    <t xml:space="preserve">17.21.0115</t>
  </si>
  <si>
    <t xml:space="preserve">EMENDA INTERNA PERFURADA PARA ELETROCALHA 200 X 100 MM AÇO GALVANIZADO A QUENTE</t>
  </si>
  <si>
    <t xml:space="preserve">32.02.0369</t>
  </si>
  <si>
    <t xml:space="preserve">CINTA DE ELEVAÇÃO CAPACIDADE 6,0T COM 3,0M</t>
  </si>
  <si>
    <t xml:space="preserve">32.07.0173</t>
  </si>
  <si>
    <t xml:space="preserve">KIT MAÇARICO PORTATIL E GÁS MAP/PROPANO</t>
  </si>
  <si>
    <t xml:space="preserve">18.01.1267</t>
  </si>
  <si>
    <t xml:space="preserve">LUVA SIMPLES 50MM, ESGOTO SÉRIE NORMAL - TIGRE</t>
  </si>
  <si>
    <t xml:space="preserve">26.04.0075</t>
  </si>
  <si>
    <t xml:space="preserve">MOSQUETÃO TIPO HMS DE AÇO, COM TRAVA DE ROSCA</t>
  </si>
  <si>
    <t xml:space="preserve">24.30.0005</t>
  </si>
  <si>
    <t xml:space="preserve">PNEU PARA CARRO DE MÃO 3,00/3,25 X 8"</t>
  </si>
  <si>
    <t xml:space="preserve">26.03.0034</t>
  </si>
  <si>
    <t xml:space="preserve">JUGULAR PARA CAPACETE C/ GRAMPOS</t>
  </si>
  <si>
    <t xml:space="preserve">17.05.0123</t>
  </si>
  <si>
    <t xml:space="preserve">CAIXA DE LIGAÇÃO EM LIGA DE ALUMÍNIO TIPO “X”, COM 5 ENTRADAS ORTOGONAIS ROSQUEADAS, DN 25 MM (1" BSP)</t>
  </si>
  <si>
    <t xml:space="preserve">17.22.0152</t>
  </si>
  <si>
    <t xml:space="preserve">CINTA POSTE CIRCULAR 290</t>
  </si>
  <si>
    <t xml:space="preserve">29.01.0632</t>
  </si>
  <si>
    <t xml:space="preserve">MICROFONE SEM FIO</t>
  </si>
  <si>
    <t xml:space="preserve">17.16.0672</t>
  </si>
  <si>
    <t xml:space="preserve">CONECTOR DE LIGA DE COBRE, TIPO PARAFUSO FENDIDO, PARA DERIVAÇÃO DE 2 CABOS DE COBRE BITOLA 35 A 95mm²</t>
  </si>
  <si>
    <t xml:space="preserve">30.01.0478</t>
  </si>
  <si>
    <t xml:space="preserve">BOBINA TERMICA P/ RELÓGIO DE PONTO 57,00MM X 300,00M</t>
  </si>
  <si>
    <t xml:space="preserve">30.04.0167</t>
  </si>
  <si>
    <t xml:space="preserve">FRITADEIRA ELÉTRICA</t>
  </si>
  <si>
    <t xml:space="preserve">17.02.0784</t>
  </si>
  <si>
    <t xml:space="preserve">LUVA GALVANIZADA PESADA 6" APOLO</t>
  </si>
  <si>
    <t xml:space="preserve">13.06.0314</t>
  </si>
  <si>
    <t xml:space="preserve">DOBRADIÇA ZINCADA 3"</t>
  </si>
  <si>
    <t xml:space="preserve">17.05.0120</t>
  </si>
  <si>
    <t xml:space="preserve">TAMPA 1 TECLA PARA CONDULETE PVC DE 1/2'' CINZA</t>
  </si>
  <si>
    <t xml:space="preserve">16.04.0054</t>
  </si>
  <si>
    <t xml:space="preserve">THINNER SOLVENTE PARA TINTA  0,9L</t>
  </si>
  <si>
    <t xml:space="preserve">31.02.0019</t>
  </si>
  <si>
    <t xml:space="preserve">ÓLEO LUBRIFICANTE SAE 90</t>
  </si>
  <si>
    <t xml:space="preserve">16.03.0015</t>
  </si>
  <si>
    <t xml:space="preserve">TINTA LATEX VINIL ACRÍLICO FOSCO CONCRETO GALÃO 3,60L NBR 11702</t>
  </si>
  <si>
    <t xml:space="preserve">17.02.0911</t>
  </si>
  <si>
    <t xml:space="preserve">BUCHA DE ACABAMENTO EM PVC PARA ELETRODUTO DN 3" – ROSCA BSP</t>
  </si>
  <si>
    <t xml:space="preserve">24.09.0028</t>
  </si>
  <si>
    <t xml:space="preserve">CHAVE COMBINADA 1.1/8" AÇO CARBONO CROMADO</t>
  </si>
  <si>
    <t xml:space="preserve">24.50.0005</t>
  </si>
  <si>
    <t xml:space="preserve">PENEIRA P/AREIA FINA E GROSSA</t>
  </si>
  <si>
    <t xml:space="preserve">09.18.0060</t>
  </si>
  <si>
    <t xml:space="preserve">TAMPA DE CONCRETO ARMADO 35 X 108 X 6 CM</t>
  </si>
  <si>
    <t xml:space="preserve">17.20.0703</t>
  </si>
  <si>
    <t xml:space="preserve">HASTE ATERRAMENTO 5/8"  C/ 1,50 M</t>
  </si>
  <si>
    <t xml:space="preserve">26.01.0034</t>
  </si>
  <si>
    <t xml:space="preserve">OMBREIRA DE RASPA</t>
  </si>
  <si>
    <t xml:space="preserve">16.05.0076</t>
  </si>
  <si>
    <t xml:space="preserve">TRINCHA 4" N500 CABO DE PVC</t>
  </si>
  <si>
    <t xml:space="preserve">17.01.1166</t>
  </si>
  <si>
    <t xml:space="preserve">CABO DE REDE UTP CAT 5E F/UTP</t>
  </si>
  <si>
    <t xml:space="preserve">17.11.1143</t>
  </si>
  <si>
    <t xml:space="preserve">SOQUETE 7/8 SEXTAVADO</t>
  </si>
  <si>
    <t xml:space="preserve">17.11.1145</t>
  </si>
  <si>
    <t xml:space="preserve">SOQUETE 3/4</t>
  </si>
  <si>
    <t xml:space="preserve">30.03.0554</t>
  </si>
  <si>
    <t xml:space="preserve">AMACIANTE PARA ROUPAS 5L</t>
  </si>
  <si>
    <t xml:space="preserve">29.01.1603</t>
  </si>
  <si>
    <t xml:space="preserve">ROTEADOR WIFI 6 DUAL BAND AX 1600 INTELBRAS</t>
  </si>
  <si>
    <t xml:space="preserve">18.01.1262</t>
  </si>
  <si>
    <t xml:space="preserve">TÊ SOLDÁVEL 50MM, PVC MARROM, ÁGUA FRIA - TIGRE</t>
  </si>
  <si>
    <t xml:space="preserve">30.01.0221</t>
  </si>
  <si>
    <t xml:space="preserve">GRAMPEADOR DE PAPEL P/ 40FOLHAS</t>
  </si>
  <si>
    <t xml:space="preserve">33.02.1582</t>
  </si>
  <si>
    <t xml:space="preserve">CABECOTE DE ASPIRAÇÃO (0000-350-3518) STIHL</t>
  </si>
  <si>
    <t xml:space="preserve">24.13.0021</t>
  </si>
  <si>
    <t xml:space="preserve">LIMA P/ENXADA 8"</t>
  </si>
  <si>
    <t xml:space="preserve">24.16.0019</t>
  </si>
  <si>
    <t xml:space="preserve">ALAVANCA EM AÇO LISO 7/8 X 1,50 METROS</t>
  </si>
  <si>
    <t xml:space="preserve">32.02.0178</t>
  </si>
  <si>
    <t xml:space="preserve">MANILHA CURVA GALVANIZADA 7/8”</t>
  </si>
  <si>
    <t xml:space="preserve">24.40.0062</t>
  </si>
  <si>
    <t xml:space="preserve">TALHADEIRA MANUAL 19X250MM C/ EMPUNHADEIRA</t>
  </si>
  <si>
    <t xml:space="preserve">26.01.0115</t>
  </si>
  <si>
    <t xml:space="preserve">COLETE REFLETIVO QSMS XG - LARANJA</t>
  </si>
  <si>
    <t xml:space="preserve">19.01.0004</t>
  </si>
  <si>
    <t xml:space="preserve">ASSENTO SANITARIO CONVENCIONAL SIMPLES POLIESTER BRANCO ALTO BRILHO TAMPA POLIPROPILENO FIX FERRAGEM</t>
  </si>
  <si>
    <t xml:space="preserve">34.02.0374</t>
  </si>
  <si>
    <t xml:space="preserve">DOBRADIÇA DE PORTA NBR 7178</t>
  </si>
  <si>
    <t xml:space="preserve">24.08.0093</t>
  </si>
  <si>
    <t xml:space="preserve">ALICATE PARA MOLDE DE SOLDA EXOTERMICA</t>
  </si>
  <si>
    <t xml:space="preserve">18.08.0233</t>
  </si>
  <si>
    <t xml:space="preserve">CAIXA SIFONADA GIRAFÁCIL COM GRELHA 150 X 170 X 75 MM</t>
  </si>
  <si>
    <t xml:space="preserve">26.12.0140</t>
  </si>
  <si>
    <t xml:space="preserve">TELA TAPUME POLIETILENO - ROLO DE 1,20MX 50,00M</t>
  </si>
  <si>
    <t xml:space="preserve">23.03.0178</t>
  </si>
  <si>
    <t xml:space="preserve">PREGO 1 1/2 X 13</t>
  </si>
  <si>
    <t xml:space="preserve">26.05.0004</t>
  </si>
  <si>
    <t xml:space="preserve">ÓCULOS DE SEGURANÇA PARA SOBREPOR ÓCULOS DE GRAU - LENTE INCOLOR (CA-6942/15618/18080)</t>
  </si>
  <si>
    <t xml:space="preserve">17.10.0177</t>
  </si>
  <si>
    <t xml:space="preserve">DISJUNTOR TRIPOLAR 63A NBR 60898</t>
  </si>
  <si>
    <t xml:space="preserve">17.12.0358</t>
  </si>
  <si>
    <t xml:space="preserve">INTERRUPTOR DIFERENCIAL 4P 63A</t>
  </si>
  <si>
    <t xml:space="preserve">18.01.1256</t>
  </si>
  <si>
    <t xml:space="preserve">JOELHO 90° SOLDÁVEL 50MM, PVC MARROM ÁGUA FRIA - TIGRE</t>
  </si>
  <si>
    <t xml:space="preserve">17.07.0034</t>
  </si>
  <si>
    <t xml:space="preserve">CAIXA APARENTE DE SOBREPOR 2 RJ45</t>
  </si>
  <si>
    <t xml:space="preserve">24.09.0511</t>
  </si>
  <si>
    <t xml:space="preserve">CHAVE COMBINADA 46,00MM AÇO CARBONO</t>
  </si>
  <si>
    <t xml:space="preserve">23.07.1596</t>
  </si>
  <si>
    <t xml:space="preserve">PARAFUSO AUTOATARRAXANTE AÇO CABEÇA PANELA GALV. QUENTE M10X50MM</t>
  </si>
  <si>
    <t xml:space="preserve">16.05.0071</t>
  </si>
  <si>
    <t xml:space="preserve">BROXA RETANGULAR PVC 18 X 8 CM</t>
  </si>
  <si>
    <t xml:space="preserve">33.02.1586</t>
  </si>
  <si>
    <t xml:space="preserve">LUBRIF 500 ML 8017 H (0781-389-3004) STIHL</t>
  </si>
  <si>
    <t xml:space="preserve">17.20.0499</t>
  </si>
  <si>
    <t xml:space="preserve">ABRAÇADEIRA 3,6X148MM, RESISTENTE À EXPOSIÇÃO SOLAR</t>
  </si>
  <si>
    <t xml:space="preserve">19.01.0020</t>
  </si>
  <si>
    <t xml:space="preserve">ESPUDE P/ VASO SANITARIO</t>
  </si>
  <si>
    <t xml:space="preserve">25.09.0101</t>
  </si>
  <si>
    <t xml:space="preserve">CABO DE AÇO 16,00 MM</t>
  </si>
  <si>
    <t xml:space="preserve">23.06.0042</t>
  </si>
  <si>
    <t xml:space="preserve">PORCA SEXTAVADA AÇO INOX 18.8 UNC 5/16" 18 FIOS ANSI/ASME B18.2.2 PASSIVADO</t>
  </si>
  <si>
    <t xml:space="preserve">17.20.0690</t>
  </si>
  <si>
    <t xml:space="preserve">PRESILHA EM LATÃO ESTRANHADO PARA FIXAÇÃO DE CABOS 35mm²-50mm  FURO Ø8mm</t>
  </si>
  <si>
    <t xml:space="preserve">29.02.0415</t>
  </si>
  <si>
    <t xml:space="preserve">MESA QUADRADA PLÁSTICA 70CM BRANCA</t>
  </si>
  <si>
    <t xml:space="preserve">30.03.0083</t>
  </si>
  <si>
    <t xml:space="preserve">PASTILHA SANITARIA 35G EUCALIPTO</t>
  </si>
  <si>
    <t xml:space="preserve">30.01.0336</t>
  </si>
  <si>
    <t xml:space="preserve">PERFURADOR DE PAPEL 2 FUROS P/ 20FOLHAS</t>
  </si>
  <si>
    <t xml:space="preserve">30.03.0157</t>
  </si>
  <si>
    <t xml:space="preserve">ALCOOL LIQUIDO DE LIMPEZA 500 ML</t>
  </si>
  <si>
    <t xml:space="preserve">25.13.0156</t>
  </si>
  <si>
    <t xml:space="preserve">MANGOTE RADIADOR</t>
  </si>
  <si>
    <t xml:space="preserve">24.32.0012</t>
  </si>
  <si>
    <t xml:space="preserve">BOLSA TIPO SACO, PARA TRANSPORTE DE CORDA</t>
  </si>
  <si>
    <t xml:space="preserve">33.02.0275</t>
  </si>
  <si>
    <t xml:space="preserve">TRINCO DE AÇO DA JANELA</t>
  </si>
  <si>
    <t xml:space="preserve">24.26.0007</t>
  </si>
  <si>
    <t xml:space="preserve">DISCO P/ SERRA CIRCULAR 7"</t>
  </si>
  <si>
    <t xml:space="preserve">30.03.0137</t>
  </si>
  <si>
    <t xml:space="preserve">NAFTALINA ANTE-ODOR BOLAS 10 UNIDADES</t>
  </si>
  <si>
    <t xml:space="preserve">31.02.0158</t>
  </si>
  <si>
    <t xml:space="preserve">OLEO HIDRAULICO ATF III-H</t>
  </si>
  <si>
    <t xml:space="preserve">24.09.0318</t>
  </si>
  <si>
    <t xml:space="preserve">JOGO DE CHAVE DE FENDA PHILLIPS ISOLADA DE 1/8" Á 7/16"</t>
  </si>
  <si>
    <t xml:space="preserve">19.08.0102</t>
  </si>
  <si>
    <t xml:space="preserve">TORNEIRA INOX DE BANCADA PARA COZINHA</t>
  </si>
  <si>
    <t xml:space="preserve">24.09.0571</t>
  </si>
  <si>
    <t xml:space="preserve">CHAVE INGLESA 12"</t>
  </si>
  <si>
    <t xml:space="preserve">16.04.0056</t>
  </si>
  <si>
    <t xml:space="preserve">SOLVENTE 101 THINNER SOLVELUSA</t>
  </si>
  <si>
    <t xml:space="preserve">17.07.0083</t>
  </si>
  <si>
    <t xml:space="preserve">CAIXA DE LUZ MONOFASICA FIBRA</t>
  </si>
  <si>
    <t xml:space="preserve">17.08.0224</t>
  </si>
  <si>
    <t xml:space="preserve">CAIXAS DE MEDIÇÃO LUZ TRIFÁSICO - PADRÃO NEOENERGIA</t>
  </si>
  <si>
    <t xml:space="preserve">23.03.0042</t>
  </si>
  <si>
    <t xml:space="preserve">PREGO COMUM C/CABECA AÇO TEMPERADO 2" X 12 REF 16 X 21</t>
  </si>
  <si>
    <t xml:space="preserve">24.07.0039</t>
  </si>
  <si>
    <t xml:space="preserve">TRENA 05MX18MM C/TRAVA</t>
  </si>
  <si>
    <t xml:space="preserve">25.05.0122</t>
  </si>
  <si>
    <t xml:space="preserve">SERRA COPO AÇO CARBONO 22MM</t>
  </si>
  <si>
    <t xml:space="preserve">30.03.0119</t>
  </si>
  <si>
    <t xml:space="preserve">RODO PLÁSTICO BORRACHA SIMPLES 40CM</t>
  </si>
  <si>
    <t xml:space="preserve">18.03.0197</t>
  </si>
  <si>
    <t xml:space="preserve">NIPLE DUPLO, CLASSE 10, DE FERRO FUNDIDO MALEÁVEL DN. 1½".</t>
  </si>
  <si>
    <t xml:space="preserve">33.02.2795</t>
  </si>
  <si>
    <t xml:space="preserve">JUNTA DO CILINDRO 0,5 mm - 1135-029-2300</t>
  </si>
  <si>
    <t xml:space="preserve">26.01.0022</t>
  </si>
  <si>
    <t xml:space="preserve">MACACÃO TIPO JARDINEIRA TAM. GG C/ BOTA IMPERMEABILIZANTE Nº45</t>
  </si>
  <si>
    <t xml:space="preserve">17.08.0254</t>
  </si>
  <si>
    <t xml:space="preserve">BARRAMENTO PENTE 63A 12 POLOS TRIFASICO DIN</t>
  </si>
  <si>
    <t xml:space="preserve">26.02.0211</t>
  </si>
  <si>
    <t xml:space="preserve">BOTA BOTINA NOBUCK MARLUVAS 50B26 PALM ANTIPERFURO COMPOSITE TAM 39</t>
  </si>
  <si>
    <t xml:space="preserve">30.01.0048</t>
  </si>
  <si>
    <t xml:space="preserve">CANETA ESFEROGRÁFICA PONTA FINA AZUL</t>
  </si>
  <si>
    <t xml:space="preserve">25.05.0096</t>
  </si>
  <si>
    <t xml:space="preserve">SERRA COPO BIMETAL 51mm = 2"</t>
  </si>
  <si>
    <t xml:space="preserve">17.16.0628</t>
  </si>
  <si>
    <t xml:space="preserve">TERMINAL COMPRESSÃO MACIÇO CURTO TCM 70,0MM</t>
  </si>
  <si>
    <t xml:space="preserve">26.12.0125</t>
  </si>
  <si>
    <t xml:space="preserve">CADEADO LOTO BLOQUEIO 38MM HASTE CROMADA (VERMELHO)</t>
  </si>
  <si>
    <t xml:space="preserve">30.04.0249</t>
  </si>
  <si>
    <t xml:space="preserve">GARRAFA DE CAFÉ</t>
  </si>
  <si>
    <t xml:space="preserve">29.02.0060</t>
  </si>
  <si>
    <t xml:space="preserve">GUARDA ROUPAS SOLTEIRO 3 PORTAS 2 GAVETAS</t>
  </si>
  <si>
    <t xml:space="preserve">24.08.0120</t>
  </si>
  <si>
    <t xml:space="preserve">TORQUESA PEQUENA</t>
  </si>
  <si>
    <t xml:space="preserve">16.05.0188</t>
  </si>
  <si>
    <t xml:space="preserve">GARFO P/ ROLO DE LÃ DE 23CM</t>
  </si>
  <si>
    <t xml:space="preserve">28.01.0746</t>
  </si>
  <si>
    <t xml:space="preserve">PLACA SINALIZACAO SAIDA DE EMERGENCIA S1 EM PVC FOTOLUMINESCENTE 300 X 150 MM</t>
  </si>
  <si>
    <t xml:space="preserve">28.01.0747</t>
  </si>
  <si>
    <t xml:space="preserve">PLACA SINALIZACAO SAIDA DE EMERGENCIA S2 EM PVC FOTOLUMINESCENTE 300 X 150 MM</t>
  </si>
  <si>
    <t xml:space="preserve">28.01.0750</t>
  </si>
  <si>
    <t xml:space="preserve">PLACA DE ADVERTENCIA RISCO DE CHOQUE ELETRICO EM PVC FOTOLUMINESCENTE A5 200X150MM</t>
  </si>
  <si>
    <t xml:space="preserve">17.20.0599</t>
  </si>
  <si>
    <t xml:space="preserve">CAIXA DE INSPEÇÃO EM PVC - 200X200MM</t>
  </si>
  <si>
    <t xml:space="preserve">24.09.0388</t>
  </si>
  <si>
    <t xml:space="preserve">CHAVE COMBINADA DE 1”</t>
  </si>
  <si>
    <t xml:space="preserve">17.12.0151</t>
  </si>
  <si>
    <t xml:space="preserve">PLUGUE 2P + T PADRAO BRASILEIRO 10A 250V C/PRENSA CABO NBR 14136</t>
  </si>
  <si>
    <t xml:space="preserve">27.01.0398</t>
  </si>
  <si>
    <t xml:space="preserve">SABONETE ANTISSEPTICO COM PHMB</t>
  </si>
  <si>
    <t xml:space="preserve">27.01.0123</t>
  </si>
  <si>
    <t xml:space="preserve">ÁLCOOL ETÍLICO HIDRATADO 70º INPM 1000ML</t>
  </si>
  <si>
    <t xml:space="preserve">30.03.0262</t>
  </si>
  <si>
    <t xml:space="preserve">PASTA PINHO 1, 0 LITRO</t>
  </si>
  <si>
    <t xml:space="preserve">33.03.0124</t>
  </si>
  <si>
    <t xml:space="preserve">REFIL CONSERTO DE PNEUS SEM CÂMARA</t>
  </si>
  <si>
    <t xml:space="preserve">24.20.0014</t>
  </si>
  <si>
    <t xml:space="preserve">RÉGUA DE ALUMÍNIO - 2M</t>
  </si>
  <si>
    <t xml:space="preserve">31.02.0173</t>
  </si>
  <si>
    <t xml:space="preserve">FLUIDO FREIO DOT4 LV BAIXO VISCO 500ML</t>
  </si>
  <si>
    <t xml:space="preserve">19.01.0024</t>
  </si>
  <si>
    <t xml:space="preserve">CABO DE AÇO DUAL FLUX</t>
  </si>
  <si>
    <t xml:space="preserve">29.03.0074</t>
  </si>
  <si>
    <t xml:space="preserve">SANDUICHEIRA 220V</t>
  </si>
  <si>
    <t xml:space="preserve">23.06.0152</t>
  </si>
  <si>
    <t xml:space="preserve">PORCA LOSANGULAR C/ PINO 1/4"</t>
  </si>
  <si>
    <t xml:space="preserve">24.23.0004</t>
  </si>
  <si>
    <t xml:space="preserve">BOMBA MANUAL DE AR PARA ENCHER PNEUS 45 CM</t>
  </si>
  <si>
    <t xml:space="preserve">32.07.0035</t>
  </si>
  <si>
    <t xml:space="preserve">MAÇARICO DE CORTE 470MM</t>
  </si>
  <si>
    <t xml:space="preserve">13.04.0012</t>
  </si>
  <si>
    <t xml:space="preserve">PORTA SANFONADA BRANCO NEVE 70CM POLIFORT</t>
  </si>
  <si>
    <t xml:space="preserve">26.02.0237</t>
  </si>
  <si>
    <t xml:space="preserve">BOTA IMPERMEÁVEL DE PVC CANO CURTO - COR PRETA - Nº 35 (CA-37456)</t>
  </si>
  <si>
    <t xml:space="preserve">23.05.0312</t>
  </si>
  <si>
    <t xml:space="preserve">ARRUELA LISA EM ACO GALVANIZADO A FOGO M12</t>
  </si>
  <si>
    <t xml:space="preserve">24.09.0025</t>
  </si>
  <si>
    <t xml:space="preserve">CHAVE COMBINADA 11,00MM AÇO CARBONO CROMADO</t>
  </si>
  <si>
    <t xml:space="preserve">17.19.0083</t>
  </si>
  <si>
    <t xml:space="preserve">TERMO RETRATIL BITOLA 300 (AZUL)</t>
  </si>
  <si>
    <t xml:space="preserve">17.20.0628</t>
  </si>
  <si>
    <t xml:space="preserve">SOLDA EM FIO</t>
  </si>
  <si>
    <t xml:space="preserve">24.41.0220</t>
  </si>
  <si>
    <t xml:space="preserve">SOQUETE SEXTAVADO 1/2'' X 22 MM</t>
  </si>
  <si>
    <t xml:space="preserve">25.01.0247</t>
  </si>
  <si>
    <t xml:space="preserve">DISCO DE DESBATE 4''</t>
  </si>
  <si>
    <t xml:space="preserve">24.09.0274</t>
  </si>
  <si>
    <t xml:space="preserve">CHAVE CATRACA ENCAIXE 1/2</t>
  </si>
  <si>
    <t xml:space="preserve">24.09.0037</t>
  </si>
  <si>
    <t xml:space="preserve">CHAVE COMBINADA 18,00MM AÇO CARBONO CROMADO</t>
  </si>
  <si>
    <t xml:space="preserve">26.02.0236</t>
  </si>
  <si>
    <t xml:space="preserve">BOTA CANO CURTO NUMERO 38</t>
  </si>
  <si>
    <t xml:space="preserve">24.08.0002</t>
  </si>
  <si>
    <t xml:space="preserve">ALICATE BICO  LONGO 6" AÇO CROMO-VANADIO S/ISOLAMENTO</t>
  </si>
  <si>
    <t xml:space="preserve">27.01.0268</t>
  </si>
  <si>
    <t xml:space="preserve">FLORATIL CÁPSULAS</t>
  </si>
  <si>
    <t xml:space="preserve">17.02.0947</t>
  </si>
  <si>
    <t xml:space="preserve">LUVA DE ALUMINIO COM ROSCA TIPO PESADO 1" BSP</t>
  </si>
  <si>
    <t xml:space="preserve">17.20.0679</t>
  </si>
  <si>
    <t xml:space="preserve">HASTE DE ATERRAMENTO 5/8" 1 METRO</t>
  </si>
  <si>
    <t xml:space="preserve">29.01.1316</t>
  </si>
  <si>
    <t xml:space="preserve">TESTADOR DE CABO RJ45/RJ11 COM POE + VOLTIMETRO 2FLEX</t>
  </si>
  <si>
    <t xml:space="preserve">33.02.3121</t>
  </si>
  <si>
    <t xml:space="preserve">JOGO DE ROLETE ANULAR 3/8 7D 1128-007-1000</t>
  </si>
  <si>
    <t xml:space="preserve">17.12.0436</t>
  </si>
  <si>
    <t xml:space="preserve">TOMADA SIMPLES PARA CONDULETE 3/4" 2P+T 10A</t>
  </si>
  <si>
    <t xml:space="preserve">19.01.0061</t>
  </si>
  <si>
    <t xml:space="preserve">PERFIL CANTONEIRA EM AÇO TIPO L 1 1/2" X 1/8" COMPRIMENTO 875 MM</t>
  </si>
  <si>
    <t xml:space="preserve">17.12.0359</t>
  </si>
  <si>
    <t xml:space="preserve">INTERRUPTOR DIFERENCIAL 4P 40A</t>
  </si>
  <si>
    <t xml:space="preserve">17.12.0239</t>
  </si>
  <si>
    <t xml:space="preserve">TOMADA 2P +T DUPLA SISTEMA X</t>
  </si>
  <si>
    <t xml:space="preserve">30.03.0365</t>
  </si>
  <si>
    <t xml:space="preserve">BALDE PLÁSTICO 20 L</t>
  </si>
  <si>
    <t xml:space="preserve">24.35.0013</t>
  </si>
  <si>
    <t xml:space="preserve">CABO DE ENXADA 1,80M C/ CORTE</t>
  </si>
  <si>
    <t xml:space="preserve">13.06.0363</t>
  </si>
  <si>
    <t xml:space="preserve">FERROLHO CHATO 7" (175MM)</t>
  </si>
  <si>
    <t xml:space="preserve">25.03.0178</t>
  </si>
  <si>
    <t xml:space="preserve">BROCA CONCRETO 12MM</t>
  </si>
  <si>
    <t xml:space="preserve">17.02.0926</t>
  </si>
  <si>
    <t xml:space="preserve">LUVA DE PVC RIGIDO, DIAMETRO NOMINAL 85 MM, COM ROSCA, REFERENCIA DE BITOLA 3" BSP, TIPO PESADO, COR PRETA</t>
  </si>
  <si>
    <t xml:space="preserve">26.03.0007</t>
  </si>
  <si>
    <t xml:space="preserve">CAPACETE COM ABA FRONTAL (TIPO II) C/ CARNEIRA - COR MARROM (CA-8562/25856/29792)</t>
  </si>
  <si>
    <t xml:space="preserve">33.02.0082</t>
  </si>
  <si>
    <t xml:space="preserve">KIT VEDAÇÃO</t>
  </si>
  <si>
    <t xml:space="preserve">30.01.0297</t>
  </si>
  <si>
    <t xml:space="preserve">PASTA A-Z REVESTIDO EM POLIPROPILENO AZUL A4 28,50CM X 34,50CM X 7,30CM</t>
  </si>
  <si>
    <t xml:space="preserve">34.02.1355</t>
  </si>
  <si>
    <t xml:space="preserve">RETENTOR VIRABREQUIM TRASEIRO VITON ALTA TEMPERATURA P/ MOTOR VOLVO D7E  REF. SPAAL OU SIMILAR</t>
  </si>
  <si>
    <t xml:space="preserve">18.01.1273</t>
  </si>
  <si>
    <t xml:space="preserve">TUBO SOLDÁVEL MARROM 25MM</t>
  </si>
  <si>
    <t xml:space="preserve">24.26.0002</t>
  </si>
  <si>
    <t xml:space="preserve">SERRA MÁRMORE 110,00MM 1400W 12000RPM 200V REF 4100NS MAKITA</t>
  </si>
  <si>
    <t xml:space="preserve">24.12.0008</t>
  </si>
  <si>
    <t xml:space="preserve">ESTILETE DE SEGURANÇA RETRÁTIL 165MM</t>
  </si>
  <si>
    <t xml:space="preserve">17.09.0026</t>
  </si>
  <si>
    <t xml:space="preserve">BARRAMENTO PENTE MONOFÁSICO 80A 210MM</t>
  </si>
  <si>
    <t xml:space="preserve">23.02.0272</t>
  </si>
  <si>
    <t xml:space="preserve">ABRAÇADEIRA DE NYLON 250,00MM X 3,50MM PRETA</t>
  </si>
  <si>
    <t xml:space="preserve">17.16.3830</t>
  </si>
  <si>
    <t xml:space="preserve">CONECTOR DE LIGA DE COBRE ESTANHADO, PARA TERMINAÇÃO RETA CABO COBRE 25 MM² A BARRA PLANA COM UM FURO DE DIÂMET 10 MM</t>
  </si>
  <si>
    <t xml:space="preserve">17.20.0687</t>
  </si>
  <si>
    <t xml:space="preserve">SOLDA EXOTÉRMICA CABO 70 MM² - HASTE 5/8" TERMINAL - CARTUCHO</t>
  </si>
  <si>
    <t xml:space="preserve">32.12.0238</t>
  </si>
  <si>
    <t xml:space="preserve">PLUVIÔMETRO</t>
  </si>
  <si>
    <t xml:space="preserve">29.03.0124</t>
  </si>
  <si>
    <t xml:space="preserve">LANTERNA RECARREGÁVEL</t>
  </si>
  <si>
    <t xml:space="preserve">33.02.2874</t>
  </si>
  <si>
    <t xml:space="preserve">COLA SILICONE 50G ALTA TEMPERATURA</t>
  </si>
  <si>
    <t xml:space="preserve">17.02.0921</t>
  </si>
  <si>
    <t xml:space="preserve">CURVA 90GR DE PVC RIGIDO COM ROSCA DN 85MM 3" BSP TIPO PESADO COR PRETA NBR 15465</t>
  </si>
  <si>
    <t xml:space="preserve">24.41.0134</t>
  </si>
  <si>
    <t xml:space="preserve">SOQUETE ADAPTADOR IMPACTO CR-V 3/4" X 1/2"</t>
  </si>
  <si>
    <t xml:space="preserve">16.05.0155</t>
  </si>
  <si>
    <t xml:space="preserve">ROLO ANTIRESPINGO 23CM</t>
  </si>
  <si>
    <t xml:space="preserve">18.01.1270</t>
  </si>
  <si>
    <t xml:space="preserve">TÊ 40 X 40MM, ESGOTO SÉRIE NORMAL - TIGRE</t>
  </si>
  <si>
    <t xml:space="preserve">23.05.0213</t>
  </si>
  <si>
    <t xml:space="preserve">ARRUELA LISA M12</t>
  </si>
  <si>
    <t xml:space="preserve">23.02.0476</t>
  </si>
  <si>
    <t xml:space="preserve">ABRAÇADEIRA TIPO "D" C/ CUNHA P/ ELÉTRODUTO DE DIAN. 1" EM AÇO INOXIDÁVEL</t>
  </si>
  <si>
    <t xml:space="preserve">24.09.0248</t>
  </si>
  <si>
    <t xml:space="preserve">JOGO DE SOQUETES E CHAVES SOQUETE COM PERFIL TORX -  20 PEÇAS</t>
  </si>
  <si>
    <t xml:space="preserve">24.14.0011</t>
  </si>
  <si>
    <t xml:space="preserve">MARRETA DE PEDREIRO COM CABO 5 KG</t>
  </si>
  <si>
    <t xml:space="preserve">27.02.0220</t>
  </si>
  <si>
    <t xml:space="preserve">MASCARA LARÍNGEA TAMANHO 05</t>
  </si>
  <si>
    <t xml:space="preserve">26.03.0016</t>
  </si>
  <si>
    <t xml:space="preserve">CAPACETE COM ABA FRONTAL (TIPO II) C/ CARNEIRA - COR VERMELHA (CA-8562/25856/29792)</t>
  </si>
  <si>
    <t xml:space="preserve">24.09.0184</t>
  </si>
  <si>
    <t xml:space="preserve">CHAVE PARA VIRAR FERRO 1/2 - 12.5</t>
  </si>
  <si>
    <t xml:space="preserve">30.01.0165</t>
  </si>
  <si>
    <t xml:space="preserve">ESCALA RINGELMANN EM PAPEL CARTÃO 21X11CM</t>
  </si>
  <si>
    <t xml:space="preserve">30.04.0172</t>
  </si>
  <si>
    <t xml:space="preserve">ALÇA PEGADOR DE GARRAFÃO DE 20L DE ÁGUA</t>
  </si>
  <si>
    <t xml:space="preserve">17.02.0153</t>
  </si>
  <si>
    <t xml:space="preserve">LUVA P/ELETRODUTO PVC C/ROSCA PRETO 1.1/2"</t>
  </si>
  <si>
    <t xml:space="preserve">09.08.0082</t>
  </si>
  <si>
    <t xml:space="preserve">TAMPA DE CONCRETO ARMADO 30 X 96 X 6 CM</t>
  </si>
  <si>
    <t xml:space="preserve">33.02.0217</t>
  </si>
  <si>
    <t xml:space="preserve">ANEL DE VEDAÇÃO</t>
  </si>
  <si>
    <t xml:space="preserve">16.05.0209</t>
  </si>
  <si>
    <t xml:space="preserve">BANDEJA P/ PINTURA 23 CM</t>
  </si>
  <si>
    <t xml:space="preserve">16.03.0435</t>
  </si>
  <si>
    <t xml:space="preserve">TINTA ESMALTE 3,6LT</t>
  </si>
  <si>
    <t xml:space="preserve">26.12.0126</t>
  </si>
  <si>
    <t xml:space="preserve">CADEADO LOTO BLOQUEIO 38MM HASTE CROMADA (AMARELO)</t>
  </si>
  <si>
    <t xml:space="preserve">17.02.0001</t>
  </si>
  <si>
    <t xml:space="preserve">ELETRODUTO PVC ANTICHAMA FLEXIVEL CORRUGADO 20,00MM NBR 15465</t>
  </si>
  <si>
    <t xml:space="preserve">24.20.0022</t>
  </si>
  <si>
    <t xml:space="preserve">ESCANTILHAO TELESCOPICO C/ REGUA CALIBRADA A CADA 19CM EQUIPAOBRA</t>
  </si>
  <si>
    <t xml:space="preserve">17.02.0916</t>
  </si>
  <si>
    <t xml:space="preserve">ELETRODUTO RIGIDO PVC PRETO SOLDAVEL DE 3" - VARA COM 3M</t>
  </si>
  <si>
    <t xml:space="preserve">23.05.0311</t>
  </si>
  <si>
    <t xml:space="preserve">ARRUELA QUADRADA DE ACO INOXIDAVEL, BITOLA M18</t>
  </si>
  <si>
    <t xml:space="preserve">25.01.0166</t>
  </si>
  <si>
    <t xml:space="preserve">DISCO LIXA LIXADEIRA ORBITAL 8 FUROS 5 Pol 125MM 100UND</t>
  </si>
  <si>
    <t xml:space="preserve">16.03.0171</t>
  </si>
  <si>
    <t xml:space="preserve">TINTA SPRAY AMARELO 360ML NBR 11702</t>
  </si>
  <si>
    <t xml:space="preserve">30.03.0434</t>
  </si>
  <si>
    <t xml:space="preserve">SACO DE LIXO PRETO REFORÇADO 15L</t>
  </si>
  <si>
    <t xml:space="preserve">23.07.1584</t>
  </si>
  <si>
    <t xml:space="preserve">PARAFUSO AUTO ATARRAXANTE INOX, CABEÇA PANELA, 6,3 X 40MM</t>
  </si>
  <si>
    <t xml:space="preserve">24.09.0381</t>
  </si>
  <si>
    <t xml:space="preserve">CHAVE INGLESA 10"</t>
  </si>
  <si>
    <t xml:space="preserve">26.02.0047</t>
  </si>
  <si>
    <t xml:space="preserve">BOTINA NOBUCK C/ CADARÇO E BIQUEIRA - COR MARROM -  Nº 42 - 90HXPN400 (CA-28108/13808/26706/26710)</t>
  </si>
  <si>
    <t xml:space="preserve">30.03.0278</t>
  </si>
  <si>
    <t xml:space="preserve">ALCOOL GEL  5 L</t>
  </si>
  <si>
    <t xml:space="preserve">24.40.0054</t>
  </si>
  <si>
    <t xml:space="preserve">TALHADEIRA</t>
  </si>
  <si>
    <t xml:space="preserve">23.10.0069</t>
  </si>
  <si>
    <t xml:space="preserve">CHUMBADOR DE EXPANSÃO M12x60</t>
  </si>
  <si>
    <t xml:space="preserve">17.10.0283</t>
  </si>
  <si>
    <t xml:space="preserve">DISJUNTOR MONOFÁSICO 63A NBR 60898</t>
  </si>
  <si>
    <t xml:space="preserve">24.14.0004</t>
  </si>
  <si>
    <t xml:space="preserve">MARRETA OITAVADA AÇO CARBONO 2KG</t>
  </si>
  <si>
    <t xml:space="preserve">26.01.0023</t>
  </si>
  <si>
    <t xml:space="preserve">COLETE REFLETIVO TIPO BLUSÃO - 4 BOLSOS - COR LARANJA - TAM. M</t>
  </si>
  <si>
    <t xml:space="preserve">17.02.0737</t>
  </si>
  <si>
    <t xml:space="preserve">ELETRODUTO RIGIDO PVC SOLDÁVEL 40MM C3/M</t>
  </si>
  <si>
    <t xml:space="preserve">17.07.0107</t>
  </si>
  <si>
    <t xml:space="preserve">CAIXA DE PASSAGEM METALICA DIM. 180 X180 X 100 MM PARA PISO ELEVADO, FABRICADA EM ALUMINIO ESTRUTURADO</t>
  </si>
  <si>
    <t xml:space="preserve">09.08.0085</t>
  </si>
  <si>
    <t xml:space="preserve">TAMPA DE CONCRETO ARMADO 107,4 X 103 X 6 CM</t>
  </si>
  <si>
    <t xml:space="preserve">25.03.0161</t>
  </si>
  <si>
    <t xml:space="preserve">BROCA AÇO RAPIDO 5/16</t>
  </si>
  <si>
    <t xml:space="preserve">17.02.0872</t>
  </si>
  <si>
    <t xml:space="preserve">LUVA ALUMÍNIO GALVANIZADO A QUENTE, 50 MM (2") ROSCA BSP, TIPO PESADO</t>
  </si>
  <si>
    <t xml:space="preserve">16.04.0007</t>
  </si>
  <si>
    <t xml:space="preserve">SOLVENTE  LATA 5 LITROS</t>
  </si>
  <si>
    <t xml:space="preserve">16.03.0226</t>
  </si>
  <si>
    <t xml:space="preserve">ESMALTE SINTÉTICO A BASE DE ÁGUA BRANCO</t>
  </si>
  <si>
    <t xml:space="preserve">17.02.0871</t>
  </si>
  <si>
    <t xml:space="preserve">LUVA ALUMÍNIO GALVANIZADO A QUENTE, 32 MM (1") ROSCA BSP, TIPO PESADO</t>
  </si>
  <si>
    <t xml:space="preserve">17.16.0525</t>
  </si>
  <si>
    <t xml:space="preserve">TERMINAL TIPO PINO PRE-ISOLADO 4MM²</t>
  </si>
  <si>
    <t xml:space="preserve">23.05.0313</t>
  </si>
  <si>
    <t xml:space="preserve">ARRUELA LISA EM ACO GALVANIZADO A FOGO 3/8 POLEGADAS</t>
  </si>
  <si>
    <t xml:space="preserve">18.01.1585</t>
  </si>
  <si>
    <t xml:space="preserve">LUVA DE PVC SOLDÁVEL LR 20  X 1/2</t>
  </si>
  <si>
    <t xml:space="preserve">18.10.0113</t>
  </si>
  <si>
    <t xml:space="preserve">PASTA LUBRIFICANTE - 5,0 KG</t>
  </si>
  <si>
    <t xml:space="preserve">17.03.0618</t>
  </si>
  <si>
    <t xml:space="preserve">EMENDA INTERNA PERFURADA PARA ELETROCALHA 200X100</t>
  </si>
  <si>
    <t xml:space="preserve">29.01.1492</t>
  </si>
  <si>
    <t xml:space="preserve">ROTULADOR BROTHER PT80</t>
  </si>
  <si>
    <t xml:space="preserve">17.02.0889</t>
  </si>
  <si>
    <t xml:space="preserve">PORCA PARA ELETRODUTO, DE LIGA DE ALUMÍNIO, Ø 2"</t>
  </si>
  <si>
    <t xml:space="preserve">17.02.0058</t>
  </si>
  <si>
    <t xml:space="preserve">ELETRODUTO AÇO CARBONO ROSCÁVEL  BSP 1" NBR5597</t>
  </si>
  <si>
    <t xml:space="preserve">17.10.0396</t>
  </si>
  <si>
    <t xml:space="preserve">DISJUNTOR DPS PROTEÇÃO CONTRA SURTO CA 275V 20/40KA</t>
  </si>
  <si>
    <t xml:space="preserve">30.03.0459</t>
  </si>
  <si>
    <t xml:space="preserve">CESTO DE ROUPA</t>
  </si>
  <si>
    <t xml:space="preserve">30.01.0217</t>
  </si>
  <si>
    <t xml:space="preserve">GRAMPEADOR DE PAPEL P/ 160FOLHAS</t>
  </si>
  <si>
    <t xml:space="preserve">17.10.0429</t>
  </si>
  <si>
    <t xml:space="preserve">INTERRUPTOR DIFERENCIAL RESIDUAL BIPOLAR FASE/NEUTRO 25A 30MA DIN</t>
  </si>
  <si>
    <t xml:space="preserve">30.04.0157</t>
  </si>
  <si>
    <t xml:space="preserve">CONJUNTO DE PANELAS C/04 PEÇAS</t>
  </si>
  <si>
    <t xml:space="preserve">29.03.0308</t>
  </si>
  <si>
    <t xml:space="preserve">VENTILADOR COLUNA</t>
  </si>
  <si>
    <t xml:space="preserve">32.02.0391</t>
  </si>
  <si>
    <t xml:space="preserve">MOITÃO 80MM COM 3 ROLDANAS VONDER</t>
  </si>
  <si>
    <t xml:space="preserve">18.01.1430</t>
  </si>
  <si>
    <t xml:space="preserve">JOELHO 45 FF PPR DN 75MM</t>
  </si>
  <si>
    <t xml:space="preserve">23.02.0413</t>
  </si>
  <si>
    <t xml:space="preserve">ABRACADEIRA SEM FIM 8X12X9</t>
  </si>
  <si>
    <t xml:space="preserve">26.04.0008</t>
  </si>
  <si>
    <t xml:space="preserve">MOSQUETÃO DE AÇO OVAL COM DUPLA TRAVA MANUAL</t>
  </si>
  <si>
    <t xml:space="preserve">22.02.0008</t>
  </si>
  <si>
    <t xml:space="preserve">BOLA DE FUTEBOL DE CAMPO</t>
  </si>
  <si>
    <t xml:space="preserve">26.05.0007</t>
  </si>
  <si>
    <t xml:space="preserve">MÁSCARA DE SOLDA COM VISOR ARTICULADO - LENTE TON. 10 (CA-6135/9155/15083)</t>
  </si>
  <si>
    <t xml:space="preserve">17.02.0017</t>
  </si>
  <si>
    <t xml:space="preserve">ELETRODUTO PVC ANTICHAMA RIGIDO SOLDAVEL PRETO 50,00MM X 3,00M NBR 15465</t>
  </si>
  <si>
    <t xml:space="preserve">24.08.0059</t>
  </si>
  <si>
    <t xml:space="preserve">ALICATE DE PRESSÃO 10” GEDORE</t>
  </si>
  <si>
    <t xml:space="preserve">24.09.0480</t>
  </si>
  <si>
    <t xml:space="preserve">CHAVE COMB. 19MM CV. 1B 19MM 002514 GEDORE</t>
  </si>
  <si>
    <t xml:space="preserve">18.01.1075</t>
  </si>
  <si>
    <t xml:space="preserve">ELETRODUTO DE PEAD-POLIETILENO DE ALTA DENSIDADE CORRUGADO, Ø6"</t>
  </si>
  <si>
    <t xml:space="preserve">24.09.0033</t>
  </si>
  <si>
    <t xml:space="preserve">CHAVE COMBINADA 15,00MM AÇO CARBONO CROMADO</t>
  </si>
  <si>
    <t xml:space="preserve">23.05.0293</t>
  </si>
  <si>
    <t xml:space="preserve">ARRUELA DE PRESSÃO DE AÇO INOX  M16</t>
  </si>
  <si>
    <t xml:space="preserve">17.20.0694</t>
  </si>
  <si>
    <t xml:space="preserve">TERMINAÇÃO PARA ACABAMENTO DE ELETRODUTO FLEXÍVEL PEAD, DIÂMETRO NOMINAL 3"</t>
  </si>
  <si>
    <t xml:space="preserve">24.09.0108</t>
  </si>
  <si>
    <t xml:space="preserve">CHAVE FENDA SIMPLES 3/8" X 12" AÇO CROMO-VANADIO CROMADO/NIQUELADO CABO PVC RIGIDO</t>
  </si>
  <si>
    <t xml:space="preserve">09.08.0084</t>
  </si>
  <si>
    <t xml:space="preserve">TAMPA DE CONCRETO ARMADO 107,4 X 96 X 6 CM</t>
  </si>
  <si>
    <t xml:space="preserve">33.03.0125</t>
  </si>
  <si>
    <t xml:space="preserve">REPARO RT-03 PARA PNEUS SEM CÂMARA</t>
  </si>
  <si>
    <t xml:space="preserve">23.01.0071</t>
  </si>
  <si>
    <t xml:space="preserve">COLA CIMENTO VULCANIZANTE A FRIO VC-02 LATA 725G</t>
  </si>
  <si>
    <t xml:space="preserve">16.05.0169</t>
  </si>
  <si>
    <t xml:space="preserve">ESPATULA PARA BORRACHEIRO ACO CROMO VANADIO TENSAO ALIMENTACAO: 220 V REDONDO 1 PONTA RETA/1 PONTA CURVA 580MM</t>
  </si>
  <si>
    <t xml:space="preserve">17.01.1390</t>
  </si>
  <si>
    <t xml:space="preserve">CABO UNIPOLAR DE COBRE HEPR 0,6/1KV DE 2,5MM² COM 2 VIAS (F+N)</t>
  </si>
  <si>
    <t xml:space="preserve">18.01.1457</t>
  </si>
  <si>
    <t xml:space="preserve">LUVA SIMP ESG DN40 - LINHA REDUÇÃO DE RUÍDO</t>
  </si>
  <si>
    <t xml:space="preserve">26.02.0048</t>
  </si>
  <si>
    <t xml:space="preserve">BOTINA NOBUCK C/ CADARÇO E BIQUEIRA - COR MARROM -  Nº 38 - 90HXPN400 (CA-28108/13808/26706/26710)</t>
  </si>
  <si>
    <t xml:space="preserve">29.01.0575</t>
  </si>
  <si>
    <t xml:space="preserve">MICROFONE COM FIO</t>
  </si>
  <si>
    <t xml:space="preserve">26.06.0079</t>
  </si>
  <si>
    <t xml:space="preserve">LUVA LÁTEX - CX C/100 UND</t>
  </si>
  <si>
    <t xml:space="preserve">24.09.0462</t>
  </si>
  <si>
    <t xml:space="preserve">CHAVE CANO 12" AMERICANA ABER.CN. 2.1/8" R27160011 3301205 GEDORE RED</t>
  </si>
  <si>
    <t xml:space="preserve">24.17.0016</t>
  </si>
  <si>
    <t xml:space="preserve">CHIBANCA</t>
  </si>
  <si>
    <t xml:space="preserve">23.07.1545</t>
  </si>
  <si>
    <t xml:space="preserve">KIT PARAFUSO CABEÇA SEXTAVA C/ ROSCA TOTAL M12 + ARRUELA LISA + ARRUELA DE PRESSÃO (CJ)</t>
  </si>
  <si>
    <t xml:space="preserve">30.04.0200</t>
  </si>
  <si>
    <t xml:space="preserve">PORTA PAPEL HIGIÊNICO SIMPLES</t>
  </si>
  <si>
    <t xml:space="preserve">29.01.0530</t>
  </si>
  <si>
    <t xml:space="preserve">CARTÃO DE MEMÓRIA MICRO SD 64GB</t>
  </si>
  <si>
    <t xml:space="preserve">23.07.1635</t>
  </si>
  <si>
    <t xml:space="preserve">PARAFUSO AUTOATARRAXANTE EM ACO GALVANIZADO CABECA PANELA 6,3 X 45 MM</t>
  </si>
  <si>
    <t xml:space="preserve">01.09.0418</t>
  </si>
  <si>
    <t xml:space="preserve">CANTONEIRA BICROMATIZADA 50X20MM</t>
  </si>
  <si>
    <t xml:space="preserve">24.20.0004</t>
  </si>
  <si>
    <t xml:space="preserve">RÉGUA ALUMÍNIO LISA 2" X 1" X 2,00M</t>
  </si>
  <si>
    <t xml:space="preserve">17.02.0015</t>
  </si>
  <si>
    <t xml:space="preserve">ELETRODUTO PVC ANTICHAMA RIGIDO SOLDAVEL PRETO 32,00MM X 3,00M NBR 15465</t>
  </si>
  <si>
    <t xml:space="preserve">13.06.0299</t>
  </si>
  <si>
    <t xml:space="preserve">ESCOVA PARA LIMPEZA</t>
  </si>
  <si>
    <t xml:space="preserve">29.03.0400</t>
  </si>
  <si>
    <t xml:space="preserve">CONJUNTO DE ESTRUTURA PARA FIXAÇÃO DE UNIDADE EVAPORADORA DE 30.000 BTU/H</t>
  </si>
  <si>
    <t xml:space="preserve">01.09.0374</t>
  </si>
  <si>
    <t xml:space="preserve">CANTONEIRA "L" 40X40MM AÇO</t>
  </si>
  <si>
    <t xml:space="preserve">18.01.1251</t>
  </si>
  <si>
    <t xml:space="preserve">BUCHA DE REDUÇÃO SOLDÁVEL CURTA 50X25MM, PVC MARROM, AGUA FRIA - TIGRE</t>
  </si>
  <si>
    <t xml:space="preserve">24.09.0352</t>
  </si>
  <si>
    <t xml:space="preserve">CHAVE INGLESA</t>
  </si>
  <si>
    <t xml:space="preserve">13.06.0217</t>
  </si>
  <si>
    <t xml:space="preserve">FECHO CORRE CROMO</t>
  </si>
  <si>
    <t xml:space="preserve">24.07.0032</t>
  </si>
  <si>
    <t xml:space="preserve">TRENA DE ACO 8M</t>
  </si>
  <si>
    <t xml:space="preserve">28.01.0720</t>
  </si>
  <si>
    <t xml:space="preserve">PLACA DE SINALIZAÇÃO 90X60CM - CHAPA DE ZINCO - COM BARROTE</t>
  </si>
  <si>
    <t xml:space="preserve">29.01.0616</t>
  </si>
  <si>
    <t xml:space="preserve">GRAVADOR ELETRICO CONTROLE FORÇA 220V PONTA CARBURETO DREMEL</t>
  </si>
  <si>
    <t xml:space="preserve">25.15.0048</t>
  </si>
  <si>
    <t xml:space="preserve">LONA PLÁSTICA PRETA 100 MICRAS 4,00M X 100,00M</t>
  </si>
  <si>
    <t xml:space="preserve">17.12.0494</t>
  </si>
  <si>
    <t xml:space="preserve">TOMADA DUPLA 10A PARA CONDULETE 3/4"</t>
  </si>
  <si>
    <t xml:space="preserve">24.35.0006</t>
  </si>
  <si>
    <t xml:space="preserve">ENXADA PLASTICA ANT FAISCANTE</t>
  </si>
  <si>
    <t xml:space="preserve">17.10.0418</t>
  </si>
  <si>
    <t xml:space="preserve">DISJUNTOR UNIPOLAR 20 AP</t>
  </si>
  <si>
    <t xml:space="preserve">02.03.0010</t>
  </si>
  <si>
    <t xml:space="preserve">ARAME LISO GALVANIZADO 12</t>
  </si>
  <si>
    <t xml:space="preserve">24.18.0006</t>
  </si>
  <si>
    <t xml:space="preserve">PISTOLA PARA APLICAÇÃO DE SILICONE</t>
  </si>
  <si>
    <t xml:space="preserve">17.10.0317</t>
  </si>
  <si>
    <t xml:space="preserve">DISJUNTOR 3P 100A NBR 60898</t>
  </si>
  <si>
    <t xml:space="preserve">24.08.0094</t>
  </si>
  <si>
    <t xml:space="preserve">ALICATE PARA DESENCAPAR ATÉ 630MM2</t>
  </si>
  <si>
    <t xml:space="preserve">25.05.0155</t>
  </si>
  <si>
    <t xml:space="preserve">SERRA COPO DIAMANTADA 20MM</t>
  </si>
  <si>
    <t xml:space="preserve">23.07.1572</t>
  </si>
  <si>
    <t xml:space="preserve">PARAFUSO BROCANTE CABEÇA PANELA 4,3 X 13</t>
  </si>
  <si>
    <t xml:space="preserve">24.08.0046</t>
  </si>
  <si>
    <t xml:space="preserve">ALICATE PARA MOLDE EXOTÉRMICO M84</t>
  </si>
  <si>
    <t xml:space="preserve">99.00.3401</t>
  </si>
  <si>
    <t xml:space="preserve">ADESIVO PLÁSTICO BRANCO 1KG</t>
  </si>
  <si>
    <t xml:space="preserve">26.10.0001</t>
  </si>
  <si>
    <t xml:space="preserve">PERNEIRA DE RASPA C/ VELCRO (CA-8078/21438/28437)</t>
  </si>
  <si>
    <t xml:space="preserve">01.10.0122</t>
  </si>
  <si>
    <t xml:space="preserve">BROCA CHATA ¾” 10 CM</t>
  </si>
  <si>
    <t xml:space="preserve">29.03.0401</t>
  </si>
  <si>
    <t xml:space="preserve">CONJUNTO DE ESTRUTURA PARA FIXAÇÃO DE UNIDADE CONDENSADORA DE 30.000 BTU/H</t>
  </si>
  <si>
    <t xml:space="preserve">30.01.0070</t>
  </si>
  <si>
    <t xml:space="preserve">CANETA MARCADOR P/ CD E DVD PRETO</t>
  </si>
  <si>
    <t xml:space="preserve">18.02.0802</t>
  </si>
  <si>
    <t xml:space="preserve">TUBO DE ACO AGRAFADO SEALTUBO 1"</t>
  </si>
  <si>
    <t xml:space="preserve">33.02.1470</t>
  </si>
  <si>
    <t xml:space="preserve">ARRUELA</t>
  </si>
  <si>
    <t xml:space="preserve">25.05.0089</t>
  </si>
  <si>
    <t xml:space="preserve">SERRA COPO BIMETAL 32mm = 1.1/4”</t>
  </si>
  <si>
    <t xml:space="preserve">31.02.0142</t>
  </si>
  <si>
    <t xml:space="preserve">ARLA À GRANEL</t>
  </si>
  <si>
    <t xml:space="preserve">18.01.1224</t>
  </si>
  <si>
    <t xml:space="preserve">LUVA SOLDÁVEL 32MM</t>
  </si>
  <si>
    <t xml:space="preserve">17.01.0748</t>
  </si>
  <si>
    <t xml:space="preserve">SONDA PASSA FIO C/ ALMA AÇO</t>
  </si>
  <si>
    <t xml:space="preserve">18.02.0744</t>
  </si>
  <si>
    <t xml:space="preserve">ADAPTADOR MÚLTIPLO DE LIGA DE ALUMÍNIO INSTALAÇÃO INTERNA, DIÂMETRO NOMINAL 20 MM (Ø3/4")</t>
  </si>
  <si>
    <t xml:space="preserve">24.09.0183</t>
  </si>
  <si>
    <t xml:space="preserve">CHAVE PARA VIRAR FERRO 3/8 - 10.0</t>
  </si>
  <si>
    <t xml:space="preserve">18.01.1493</t>
  </si>
  <si>
    <t xml:space="preserve">TERMINAL DE VENTILAÇAO ESG DN75 CB</t>
  </si>
  <si>
    <t xml:space="preserve">26.03.0030</t>
  </si>
  <si>
    <t xml:space="preserve">CAPACETE COM ABA TOTAL (TIPO I) C/ CARNEIRA - COR BRANCO</t>
  </si>
  <si>
    <t xml:space="preserve">30.03.0548</t>
  </si>
  <si>
    <t xml:space="preserve">COLETOR COM TAMPA E PEDAL 30 L - MARROM</t>
  </si>
  <si>
    <t xml:space="preserve">23.08.0011</t>
  </si>
  <si>
    <t xml:space="preserve">BUCHA FIXACAO ELETRODUTO 2" ALUMÍNIO LISO BSP 11 FIOS</t>
  </si>
  <si>
    <t xml:space="preserve">17.11.0971</t>
  </si>
  <si>
    <t xml:space="preserve">BENGALA P/ ELETRODUTO ELÉTRICA</t>
  </si>
  <si>
    <t xml:space="preserve">23.07.1611</t>
  </si>
  <si>
    <t xml:space="preserve">PARAFUSO ROSCA SOBERBA AÇO GALVANIZADO A FOGO CABEÇA SEXTAVADA 3/8" X 60 MM</t>
  </si>
  <si>
    <t xml:space="preserve">29.01.0090</t>
  </si>
  <si>
    <t xml:space="preserve">MOUSE PAD COM APOIO PARA PULSO</t>
  </si>
  <si>
    <t xml:space="preserve">23.07.1640</t>
  </si>
  <si>
    <t xml:space="preserve">PARAFUSO SEXTAVADO DE ACO INOXIDAVEL, ROSCA TOTAL, BITOLA M12 X 40 MM</t>
  </si>
  <si>
    <t xml:space="preserve">24.39.0007</t>
  </si>
  <si>
    <t xml:space="preserve">FORMÃO CABO DE MADEIRA 1 SIGMA</t>
  </si>
  <si>
    <t xml:space="preserve">01.09.0380</t>
  </si>
  <si>
    <t xml:space="preserve">CANTONEIRA 45 GRAUS ADAPTADA PARA 3 ESTAIS (A=0.50m, B=0.36m), COMPRIMENTO= 70CM (SUPORTABILIDADE ACIMA DE 2000KGF)</t>
  </si>
  <si>
    <t xml:space="preserve">19.09.0003</t>
  </si>
  <si>
    <t xml:space="preserve">CHUVEIRO PLÁSTICO DN 1/2"</t>
  </si>
  <si>
    <t xml:space="preserve">25.03.0235</t>
  </si>
  <si>
    <t xml:space="preserve">BROCA CHATA DN 7/8’’</t>
  </si>
  <si>
    <t xml:space="preserve">24.09.0035</t>
  </si>
  <si>
    <t xml:space="preserve">CHAVE COMBINADA 16,00MM AÇO CARBONO CROMADO</t>
  </si>
  <si>
    <t xml:space="preserve">23.05.0292</t>
  </si>
  <si>
    <t xml:space="preserve">ARRUELA LISA DE AÇO INOX M16</t>
  </si>
  <si>
    <t xml:space="preserve">18.09.0344</t>
  </si>
  <si>
    <t xml:space="preserve">VÁLVULA AMERICANA 3.1/2</t>
  </si>
  <si>
    <t xml:space="preserve">17.10.0211</t>
  </si>
  <si>
    <t xml:space="preserve">DISJUNTOR MONOFÁSICO 25A – 127/220/380V NBR 60898</t>
  </si>
  <si>
    <t xml:space="preserve">18.01.1065</t>
  </si>
  <si>
    <t xml:space="preserve">TUBO PVC CORRUGADO DN 25,00 MM NBR 5648</t>
  </si>
  <si>
    <t xml:space="preserve">18.01.1338</t>
  </si>
  <si>
    <t xml:space="preserve">JUNÇÃO SIMPLES 75MM ESGOTO</t>
  </si>
  <si>
    <t xml:space="preserve">19.08.0085</t>
  </si>
  <si>
    <t xml:space="preserve">TORNEIRA DE PAREDE</t>
  </si>
  <si>
    <t xml:space="preserve">17.20.0537</t>
  </si>
  <si>
    <t xml:space="preserve">CONECTOR A COMPRESSÃO 150mm²</t>
  </si>
  <si>
    <t xml:space="preserve">17.20.0759</t>
  </si>
  <si>
    <t xml:space="preserve">CARTUCHO PARA SOLDA EXOTERMICA 65 G PARA DERIVACAO T DE CABO DE COBRE 70 MM X 25 MM</t>
  </si>
  <si>
    <t xml:space="preserve">28.01.0749</t>
  </si>
  <si>
    <t xml:space="preserve">PLACA ACIONAMENTO BARRA ANTIPANICO S18 EM PVC FOTOLUMINESCENTE 300 X 150 MM</t>
  </si>
  <si>
    <t xml:space="preserve">17.02.0869</t>
  </si>
  <si>
    <t xml:space="preserve">CONECTOR TERMINAL RETO A COMPRESSÃO TENSÃO 13,8 KV</t>
  </si>
  <si>
    <t xml:space="preserve">17.16.3879</t>
  </si>
  <si>
    <t xml:space="preserve">CONECTOR GDTU HASTE CABO 3/8''X150MM</t>
  </si>
  <si>
    <t xml:space="preserve">30.03.0182</t>
  </si>
  <si>
    <t xml:space="preserve">ESCOVA SANITÁRIA C/ SUPORTE</t>
  </si>
  <si>
    <t xml:space="preserve">17.11.1072</t>
  </si>
  <si>
    <t xml:space="preserve">LÂMPADA BULBO 40W</t>
  </si>
  <si>
    <t xml:space="preserve">18.01.0354</t>
  </si>
  <si>
    <t xml:space="preserve">JOELHO 90GR PVC REFORCADO SOLDAVEL 100,00MM P/ESGOTO</t>
  </si>
  <si>
    <t xml:space="preserve">17.16.0121</t>
  </si>
  <si>
    <t xml:space="preserve">TERMINAL COMPRESSÃO 16MM</t>
  </si>
  <si>
    <t xml:space="preserve">18.01.1419</t>
  </si>
  <si>
    <t xml:space="preserve">JOELHO 90 ESG DN100 CB - LINHA REDUÇÃO DE RUÍDO</t>
  </si>
  <si>
    <t xml:space="preserve">26.01.0074</t>
  </si>
  <si>
    <t xml:space="preserve">COLETE REFLETIVO PARA SINALEIRO TAM GG</t>
  </si>
  <si>
    <t xml:space="preserve">29.02.0069</t>
  </si>
  <si>
    <t xml:space="preserve">CADEIRA SECRETÁRIA FIXA 04 PÉS - POLIPROPILENO PRETA SEM APOIO</t>
  </si>
  <si>
    <t xml:space="preserve">24.41.0435</t>
  </si>
  <si>
    <t xml:space="preserve">PUNCAO DE CENTRO 5MM</t>
  </si>
  <si>
    <t xml:space="preserve">24.09.0050</t>
  </si>
  <si>
    <t xml:space="preserve">CHAVE COMBINADA 41,00MM AÇO CARBONO CROMADO</t>
  </si>
  <si>
    <t xml:space="preserve">24.09.0145</t>
  </si>
  <si>
    <t xml:space="preserve">CHAVE GRIFO AÇO CR-V 24"</t>
  </si>
  <si>
    <t xml:space="preserve">29.03.0096</t>
  </si>
  <si>
    <t xml:space="preserve">LIQUIDIFICADOR 220V</t>
  </si>
  <si>
    <t xml:space="preserve">24.22.0007</t>
  </si>
  <si>
    <t xml:space="preserve">TESOURA CORTA VERGALHÃO DE 18"</t>
  </si>
  <si>
    <t xml:space="preserve">23.02.0251</t>
  </si>
  <si>
    <t xml:space="preserve">ABRAÇADEIRA NYLON 3,6MM X 292MM</t>
  </si>
  <si>
    <t xml:space="preserve">17.05.0127</t>
  </si>
  <si>
    <t xml:space="preserve">PORCA ELETRODUTO Ø1.1/2" ALUMÍNIO</t>
  </si>
  <si>
    <t xml:space="preserve">30.05.0240</t>
  </si>
  <si>
    <t xml:space="preserve">COXINHA GOURMET</t>
  </si>
  <si>
    <t xml:space="preserve">24.09.0438</t>
  </si>
  <si>
    <t xml:space="preserve">CHAVE COMBINADA 19</t>
  </si>
  <si>
    <t xml:space="preserve">23.05.0226</t>
  </si>
  <si>
    <t xml:space="preserve">ARRUELA M16 QUADRADA  - RUDLOFF - Cod. 1032</t>
  </si>
  <si>
    <t xml:space="preserve">26.02.0093</t>
  </si>
  <si>
    <t xml:space="preserve">BOTA IMPERMEÁVEL DE PVC CANO CURTO - COR PRETA - Nº 42 (CA-26629/10199/28286)</t>
  </si>
  <si>
    <t xml:space="preserve">27.02.0080</t>
  </si>
  <si>
    <t xml:space="preserve">GLICOSIMETRO / MEDIDOR DE GLICOSE NO SANGUE</t>
  </si>
  <si>
    <t xml:space="preserve">17.20.0361</t>
  </si>
  <si>
    <t xml:space="preserve">PRESILHAS BIPARTIDAS DE LATÃO ESTANHADO PARA DOIS CABOS 70MM² E FURO Ø18MM</t>
  </si>
  <si>
    <t xml:space="preserve">17.02.0701</t>
  </si>
  <si>
    <t xml:space="preserve">ELETRODUTO PEAD FLEXÍVEL 25MM² OU SUPERIOR</t>
  </si>
  <si>
    <t xml:space="preserve">24.08.0150</t>
  </si>
  <si>
    <t xml:space="preserve">ALICATE CORTE DIAGONAL  6.1/2''</t>
  </si>
  <si>
    <t xml:space="preserve">26.02.0235</t>
  </si>
  <si>
    <t xml:space="preserve">BOTA CANO CURTO NUMERO 37</t>
  </si>
  <si>
    <t xml:space="preserve">06.04.0075</t>
  </si>
  <si>
    <t xml:space="preserve">JUNTA DE DILATAÇÃO EM PLÁSTICO 1,08M</t>
  </si>
  <si>
    <t xml:space="preserve">17.12.0437</t>
  </si>
  <si>
    <t xml:space="preserve">TOMADA SIMPLES PARA CONDULETE 3/4" 2P+T 20A</t>
  </si>
  <si>
    <t xml:space="preserve">17.12.0243</t>
  </si>
  <si>
    <t xml:space="preserve">TOMADA 2P+T  20A  250V UNIVERSAL RETANGULAR COM  TAMPA,  PLACA E SUPORTE</t>
  </si>
  <si>
    <t xml:space="preserve">23.05.0289</t>
  </si>
  <si>
    <t xml:space="preserve">ARRUELA LISA INOX 1/2"</t>
  </si>
  <si>
    <t xml:space="preserve">18.08.0041</t>
  </si>
  <si>
    <t xml:space="preserve">CAIXA SIFONADA MONTADA PVC 100,00MM X 100,00MM X 50,00MM GRELHA QUADRADO BRANCA</t>
  </si>
  <si>
    <t xml:space="preserve">18.01.1253</t>
  </si>
  <si>
    <t xml:space="preserve">JOELHO 90° SOLDÁVEL 25MM, PVC MARROM ÁGUA FRIA - TIGRE</t>
  </si>
  <si>
    <t xml:space="preserve">23.03.0002</t>
  </si>
  <si>
    <t xml:space="preserve">PREGO COMUM C/CABECA AÇO TEMPERADO 1.1/2" X 12 REF 16 X 18</t>
  </si>
  <si>
    <t xml:space="preserve">23.03.0027</t>
  </si>
  <si>
    <t xml:space="preserve">PREGO COMUM C/CABECA AÇO TEMPERADO 2.1/2" X 12 REF 16 X 27</t>
  </si>
  <si>
    <t xml:space="preserve">24.34.0001</t>
  </si>
  <si>
    <t xml:space="preserve">COLHER DE PEDREIRO DE 8"</t>
  </si>
  <si>
    <t xml:space="preserve">24.09.0440</t>
  </si>
  <si>
    <t xml:space="preserve">CHAVE COMBINADA 13</t>
  </si>
  <si>
    <t xml:space="preserve">17.16.0483</t>
  </si>
  <si>
    <t xml:space="preserve">TERMINAL OLHAL PARA CABO 4MM</t>
  </si>
  <si>
    <t xml:space="preserve">17.01.1247</t>
  </si>
  <si>
    <t xml:space="preserve">CABO MONOPOLAR 2,5 MM², EM COBRE NU, TÊMPERA MOLE, CLASSE 5, TENSÃO 750 V, EM PVC, 70 °C, COR BRANCO</t>
  </si>
  <si>
    <t xml:space="preserve">23.10.0068</t>
  </si>
  <si>
    <t xml:space="preserve">CHUMBADOR DE EXPANSÃO TIPO PARABOLT, AÇO CARBONO ZINCADO (HDG) M12x95</t>
  </si>
  <si>
    <t xml:space="preserve">29.01.0010</t>
  </si>
  <si>
    <t xml:space="preserve">CABO DE FORÇA TRIPOLAR 1,5M PADRÃO NOVO</t>
  </si>
  <si>
    <t xml:space="preserve">24.32.0003</t>
  </si>
  <si>
    <t xml:space="preserve">BOLSA DE LONA PARA FERRAMENTAS COM FUNDO EMBORRACHADO</t>
  </si>
  <si>
    <t xml:space="preserve">24.32.0028</t>
  </si>
  <si>
    <t xml:space="preserve">BOLSA LONA PARA FERRAMENTAS 35CMX50CM</t>
  </si>
  <si>
    <t xml:space="preserve">25.01.0161</t>
  </si>
  <si>
    <t xml:space="preserve">DISCO DE CORTE PARA INOX 4.1/2" X 1.0MM X 7/8" BNA12 EXTRA NORTON</t>
  </si>
  <si>
    <t xml:space="preserve">24.09.0036</t>
  </si>
  <si>
    <t xml:space="preserve">CHAVE COMBINADA 17,00MM AÇO CARBONO CROMADO</t>
  </si>
  <si>
    <t xml:space="preserve">17.07.0037</t>
  </si>
  <si>
    <t xml:space="preserve">CAIXA DE PASSAGEM 4" X 2" AMARELA</t>
  </si>
  <si>
    <t xml:space="preserve">23.02.0487</t>
  </si>
  <si>
    <t xml:space="preserve">ABRACADEIRA 3.1/2</t>
  </si>
  <si>
    <t xml:space="preserve">18.01.1082</t>
  </si>
  <si>
    <t xml:space="preserve">CURVA PVC 45º SOLDÁVEL 3/4</t>
  </si>
  <si>
    <t xml:space="preserve">33.02.0299</t>
  </si>
  <si>
    <t xml:space="preserve">MACACO HIDRÁULICO 6 TON</t>
  </si>
  <si>
    <t xml:space="preserve">30.03.0350</t>
  </si>
  <si>
    <t xml:space="preserve">MOP PARA LIMPEZA TIPO ESFREGÃO 2 EM 1 VASSOURA GIRATÓRIA</t>
  </si>
  <si>
    <t xml:space="preserve">23.07.0716</t>
  </si>
  <si>
    <t xml:space="preserve">PARAFUSO INOX 1/4X2 SEXT NC RT</t>
  </si>
  <si>
    <t xml:space="preserve">26.02.0207</t>
  </si>
  <si>
    <t xml:space="preserve">BOTA BOTINA NOBUCK MARLUVAS 50B26 PALM ANTIPERFURO COMPOSITE TAM 35</t>
  </si>
  <si>
    <t xml:space="preserve">26.02.0210</t>
  </si>
  <si>
    <t xml:space="preserve">BOTA BOTINA NOBUCK MARLUVAS 50B26 PALM ANTIPERFURO COMPOSITE TAM 38</t>
  </si>
  <si>
    <t xml:space="preserve">26.02.0212</t>
  </si>
  <si>
    <t xml:space="preserve">BOTA BOTINA NOBUCK MARLUVAS 50B26 PALM ANTIPERFURO COMPOSITE TAM 40</t>
  </si>
  <si>
    <t xml:space="preserve">24.41.0126</t>
  </si>
  <si>
    <t xml:space="preserve">GRAMPO SARGENTO TIPO C Nº 04</t>
  </si>
  <si>
    <t xml:space="preserve">24.09.0029</t>
  </si>
  <si>
    <t xml:space="preserve">CHAVE COMBINADA 12,00MM AÇO CARBONO CROMADO</t>
  </si>
  <si>
    <t xml:space="preserve">26.05.0048</t>
  </si>
  <si>
    <t xml:space="preserve">ÓCULOS DE SEGURANÇA - KALIPSO VENEZA (CA-35157)</t>
  </si>
  <si>
    <t xml:space="preserve">23.07.1589</t>
  </si>
  <si>
    <t xml:space="preserve">PARAFUSO SEXTAVADO INOX M10 X 100MM</t>
  </si>
  <si>
    <t xml:space="preserve">26.02.0059</t>
  </si>
  <si>
    <t xml:space="preserve">BOTA IMPERMEÁVEL DE PVC CANO LONGO - COR BRANCA - Nº 43 (CA-26629/10199/28286)</t>
  </si>
  <si>
    <t xml:space="preserve">17.16.0114</t>
  </si>
  <si>
    <t xml:space="preserve">TERMINAL DE COMPRESSÃO 25MM</t>
  </si>
  <si>
    <t xml:space="preserve">18.04.0080</t>
  </si>
  <si>
    <t xml:space="preserve">ENGATE RAPIDO PNEUMATICO 1/2X1/2 MACHO C/ TRAVA</t>
  </si>
  <si>
    <t xml:space="preserve">17.16.3877</t>
  </si>
  <si>
    <t xml:space="preserve">CONECTOR BIMETÁLICO PARA CABO DE 16MM²</t>
  </si>
  <si>
    <t xml:space="preserve">18.14.0015</t>
  </si>
  <si>
    <t xml:space="preserve">PASTILHA DE CLORO</t>
  </si>
  <si>
    <t xml:space="preserve">26.03.0011</t>
  </si>
  <si>
    <t xml:space="preserve">CARNEIRA P/ CAPACETE DE SEGURANÇA S/ JUGULAR</t>
  </si>
  <si>
    <t xml:space="preserve">17.02.0257</t>
  </si>
  <si>
    <t xml:space="preserve">LUVA ELETRODUTO AÇO GALVANIZADO ¾ ‘’</t>
  </si>
  <si>
    <t xml:space="preserve">18.01.1397</t>
  </si>
  <si>
    <t xml:space="preserve">PLUG ROSCÁVEL, PVC BRANCO, ÁGUA FRIA 1/2"</t>
  </si>
  <si>
    <t xml:space="preserve">17.05.0119</t>
  </si>
  <si>
    <t xml:space="preserve">TAMPA 1 TOMADA HEXAGONAL HORIZONTAL PARA CONDULETE PVC DE 1/2'' CINZA</t>
  </si>
  <si>
    <t xml:space="preserve">24.40.0014</t>
  </si>
  <si>
    <t xml:space="preserve">TALHADEIRA SEXTAVADA EM AÇO FORJADO 3/4" X 12" (19,00MM X 305,00MM)</t>
  </si>
  <si>
    <t xml:space="preserve">18.03.0170</t>
  </si>
  <si>
    <t xml:space="preserve">ARRUELA M8 GALVANIZADA OU INOX</t>
  </si>
  <si>
    <t xml:space="preserve">18.01.1116</t>
  </si>
  <si>
    <t xml:space="preserve">CURVA 90GR PVC SOLDAVEL 60,00MM</t>
  </si>
  <si>
    <t xml:space="preserve">24.41.0428</t>
  </si>
  <si>
    <t xml:space="preserve">TESOURA DE FUNILEIRO 12" POLEGADAS</t>
  </si>
  <si>
    <t xml:space="preserve">18.01.1265</t>
  </si>
  <si>
    <t xml:space="preserve">JUNÇÃO SIMPLES 100 X 100MM, ESGOTO SÉRIE NORMAL - TIGRE</t>
  </si>
  <si>
    <t xml:space="preserve">24.30.0006</t>
  </si>
  <si>
    <t xml:space="preserve">CÂMARA DE AR PARA PNEU DE CARRO DE MÃO 3,00/3,25 X 8"</t>
  </si>
  <si>
    <t xml:space="preserve">17.20.0347</t>
  </si>
  <si>
    <t xml:space="preserve">BOTIJÃO DE GÁS PROPANO PARA MAÇARICO (REFIL)</t>
  </si>
  <si>
    <t xml:space="preserve">29.01.1281</t>
  </si>
  <si>
    <t xml:space="preserve">BATERIA 12 VOLTS</t>
  </si>
  <si>
    <t xml:space="preserve">24.09.0024</t>
  </si>
  <si>
    <t xml:space="preserve">CHAVE COMBINADA 10,00MM AÇO CARBONO CROMADO</t>
  </si>
  <si>
    <t xml:space="preserve">33.02.3125</t>
  </si>
  <si>
    <t xml:space="preserve">MOLA DE TRAÇÃO 0000-997-5816</t>
  </si>
  <si>
    <t xml:space="preserve">23.05.0261</t>
  </si>
  <si>
    <t xml:space="preserve">ARRUELA DE PRESSÃO GALVAN. 1/4"</t>
  </si>
  <si>
    <t xml:space="preserve">25.03.0192</t>
  </si>
  <si>
    <t xml:space="preserve">BROCA HELICOIDAL HASTE CILINDRICA AÇO RAPIDO 3,50MM</t>
  </si>
  <si>
    <t xml:space="preserve">29.01.0512</t>
  </si>
  <si>
    <t xml:space="preserve">RACK DE PAREDE 5U</t>
  </si>
  <si>
    <t xml:space="preserve">4.1.6.010 - Locação externa de equipamentos</t>
  </si>
  <si>
    <t xml:space="preserve">30.01.0236</t>
  </si>
  <si>
    <t xml:space="preserve">GRAMPOS PARA GRAMPEADOR TAPECEIRO 106/6  C/ 3500UN</t>
  </si>
  <si>
    <t xml:space="preserve">24.09.0081</t>
  </si>
  <si>
    <t xml:space="preserve">CHAVE FENDA CRUZADA 1/4" X 6" AÇO CROMO-VANADIO CROMADO/NIQUELADO CABO POLIPROPILENO</t>
  </si>
  <si>
    <t xml:space="preserve">30.04.0042</t>
  </si>
  <si>
    <t xml:space="preserve">BORRIFADOR PLÁSTICO 500,00ML</t>
  </si>
  <si>
    <t xml:space="preserve">24.09.0333</t>
  </si>
  <si>
    <t xml:space="preserve">CHAVE COMBINADA 9,00MM AÇO CARBONO CROMADO</t>
  </si>
  <si>
    <t xml:space="preserve">29.01.0532</t>
  </si>
  <si>
    <t xml:space="preserve">TESOURA DE CORTE PARA CABISTA</t>
  </si>
  <si>
    <t xml:space="preserve">18.01.1330</t>
  </si>
  <si>
    <t xml:space="preserve">TÊ ESGOTO 40MM</t>
  </si>
  <si>
    <t xml:space="preserve">17.02.0271</t>
  </si>
  <si>
    <t xml:space="preserve">CURVA ELETRODUTO AÇO GALVANIZADO 1/2"</t>
  </si>
  <si>
    <t xml:space="preserve">17.02.0901</t>
  </si>
  <si>
    <t xml:space="preserve">ELETRODUTO PVC RÍGIDO 60 MM, COM ROSCA 2" BSP, COR PRETO, BARRA 3,00 M</t>
  </si>
  <si>
    <t xml:space="preserve">24.40.0006</t>
  </si>
  <si>
    <t xml:space="preserve">PONTEIRO SEXTAVADO EM AÇO FORJADO 3/4" X 12" (19,00MM X 305,00MM)</t>
  </si>
  <si>
    <t xml:space="preserve">24.09.0302</t>
  </si>
  <si>
    <t xml:space="preserve">CHAVE COMBINADA 38,00MM AÇO CARBONO CROMADO</t>
  </si>
  <si>
    <t xml:space="preserve">24.09.0692</t>
  </si>
  <si>
    <t xml:space="preserve">KIT CHAVE DE FENDA GEDORE ISOLADA</t>
  </si>
  <si>
    <t xml:space="preserve">30.01.0072</t>
  </si>
  <si>
    <t xml:space="preserve">CANETA MARCADOR P/ QUADRO BRANCO AZUL</t>
  </si>
  <si>
    <t xml:space="preserve">30.01.0073</t>
  </si>
  <si>
    <t xml:space="preserve">CANETA MARCADOR P/ QUADRO BRANCO PRETO</t>
  </si>
  <si>
    <t xml:space="preserve">30.01.0075</t>
  </si>
  <si>
    <t xml:space="preserve">CANETA MARCADOR P/ QUADRO BRANCO VERMELHO</t>
  </si>
  <si>
    <t xml:space="preserve">25.03.0319</t>
  </si>
  <si>
    <t xml:space="preserve">BROCA SDS-PLUS 20MM</t>
  </si>
  <si>
    <t xml:space="preserve">17.10.0185</t>
  </si>
  <si>
    <t xml:space="preserve">DISJUNTOR MONOPOLAR 25A NBR 60898</t>
  </si>
  <si>
    <t xml:space="preserve">19.03.0001</t>
  </si>
  <si>
    <t xml:space="preserve">CUBA LOUCA EMBUTIR APOIO OVAL ÁGUA MARINHA 390,00MM X 300,00MM X 130,00MM PEQUENA S/FURO TORNEIRA</t>
  </si>
  <si>
    <t xml:space="preserve">25.05.0087</t>
  </si>
  <si>
    <t xml:space="preserve">SERRA COPO BIMETAL 25mm = 1"</t>
  </si>
  <si>
    <t xml:space="preserve">25.10.0065</t>
  </si>
  <si>
    <t xml:space="preserve">LINHA NYLON 160</t>
  </si>
  <si>
    <t xml:space="preserve">26.01.0091</t>
  </si>
  <si>
    <t xml:space="preserve">COLETE REFLETIVO QSMS P - LARANJA</t>
  </si>
  <si>
    <t xml:space="preserve">26.01.0092</t>
  </si>
  <si>
    <t xml:space="preserve">COLETE REFLETIVO QSMS M - LARANJA</t>
  </si>
  <si>
    <t xml:space="preserve">26.01.0094</t>
  </si>
  <si>
    <t xml:space="preserve">COLETE REFLETIVO QSMS GG - LARANJA</t>
  </si>
  <si>
    <t xml:space="preserve">17.08.0102</t>
  </si>
  <si>
    <t xml:space="preserve">QUADRO DE DISTRIBUIÇÃO PARA 24 DISJUNTORES COM BARRAMENTO</t>
  </si>
  <si>
    <t xml:space="preserve">30.02.0124</t>
  </si>
  <si>
    <t xml:space="preserve">REFIL DE TINTA EPSON T544120-AL PRETO</t>
  </si>
  <si>
    <t xml:space="preserve">30.02.0125</t>
  </si>
  <si>
    <t xml:space="preserve">REFIL DE TINTA EPSON T544120-AL CIANO</t>
  </si>
  <si>
    <t xml:space="preserve">17.16.3844</t>
  </si>
  <si>
    <t xml:space="preserve">CONECTOR MACHO FIXO PARA ELETRODUTO METÁLICO FLEXÍVEL DN 1" ROSCA BSP COM PORCA IP65</t>
  </si>
  <si>
    <t xml:space="preserve">30.01.0106</t>
  </si>
  <si>
    <t xml:space="preserve">COLA LÍQUIDA BRANCA 40G</t>
  </si>
  <si>
    <t xml:space="preserve">34.02.0068</t>
  </si>
  <si>
    <t xml:space="preserve">FILTRO DE COMBUSTÍVEL</t>
  </si>
  <si>
    <t xml:space="preserve">17.12.0190</t>
  </si>
  <si>
    <t xml:space="preserve">TOMADA  2P + T 16 A</t>
  </si>
  <si>
    <t xml:space="preserve">17.07.0041</t>
  </si>
  <si>
    <t xml:space="preserve">CAIXA PASSAGEM SOBREPOR PVC 25,00CM X 32,00CM X 7,00CM</t>
  </si>
  <si>
    <t xml:space="preserve">17.20.0506</t>
  </si>
  <si>
    <t xml:space="preserve">34.02.1348</t>
  </si>
  <si>
    <t xml:space="preserve">UNIAO PRESTOLOK 1/2</t>
  </si>
  <si>
    <t xml:space="preserve">25.10.0075</t>
  </si>
  <si>
    <t xml:space="preserve">CORDA TRANÇADA PET 6MM</t>
  </si>
  <si>
    <t xml:space="preserve">25.03.0170</t>
  </si>
  <si>
    <t xml:space="preserve">BROCA AÇO RÁPIDO 1/4</t>
  </si>
  <si>
    <t xml:space="preserve">30.01.0609</t>
  </si>
  <si>
    <t xml:space="preserve">BLOCO DE NOTAS AUTO-ADESIVO SORTIDO 38,00MM X 50,00MM 200FLS</t>
  </si>
  <si>
    <t xml:space="preserve">16.05.0194</t>
  </si>
  <si>
    <t xml:space="preserve">ESPATULA PLASTICA PARA REJUNTE 13X8CM</t>
  </si>
  <si>
    <t xml:space="preserve">17.20.0178</t>
  </si>
  <si>
    <t xml:space="preserve">HASTE DE COBRE PARA ATERRAMENTO Ø 1/4” MM X 1,00M</t>
  </si>
  <si>
    <t xml:space="preserve">23.06.0163</t>
  </si>
  <si>
    <t xml:space="preserve">PORCA P/ PARAFUSO M16</t>
  </si>
  <si>
    <t xml:space="preserve">18.01.1582</t>
  </si>
  <si>
    <t xml:space="preserve">TUBO DE PVC MARROM SOLDÁVEL 20MM</t>
  </si>
  <si>
    <t xml:space="preserve">23.07.1634</t>
  </si>
  <si>
    <t xml:space="preserve">PARAFUSO LENTILHA AUTOTRAV 1/4"X5/8"</t>
  </si>
  <si>
    <t xml:space="preserve">23.07.1011</t>
  </si>
  <si>
    <t xml:space="preserve">PARAFUSO ALLEN 5/16 X 3.1/2</t>
  </si>
  <si>
    <t xml:space="preserve">19.01.0062</t>
  </si>
  <si>
    <t xml:space="preserve">PERFIL CANTONEIRA EM AÇO TIPO L 1 1/2" X 1/8" COMPRIMENTO 675 MM</t>
  </si>
  <si>
    <t xml:space="preserve">24.15.0056</t>
  </si>
  <si>
    <t xml:space="preserve">DISCO DE CORTE PARA SERRA CIRCULAR 7 1/4" 184 MM</t>
  </si>
  <si>
    <t xml:space="preserve">24.09.0210</t>
  </si>
  <si>
    <t xml:space="preserve">CHAVE COMBINADA 1.1/16" AÇO CARBONO CROMADO</t>
  </si>
  <si>
    <t xml:space="preserve">30.01.0237</t>
  </si>
  <si>
    <t xml:space="preserve">GRAMPOS PARA GRAMPEADOR TAPECEIRO 106/8  C/ 3000UN</t>
  </si>
  <si>
    <t xml:space="preserve">25.13.0115</t>
  </si>
  <si>
    <t xml:space="preserve">MANGUEIRA CRISTAL 5/8"</t>
  </si>
  <si>
    <t xml:space="preserve">30.03.0555</t>
  </si>
  <si>
    <t xml:space="preserve">VASSOURA GARI COM CABO 50 CM</t>
  </si>
  <si>
    <t xml:space="preserve">30.11.0054</t>
  </si>
  <si>
    <t xml:space="preserve">BANDEJAS DE MDF RETANGULARES 35X25</t>
  </si>
  <si>
    <t xml:space="preserve">18.01.1279</t>
  </si>
  <si>
    <t xml:space="preserve">REGISTRO ESFERA VS COMPACTO SOLDÁVEL 50MM - TIGRE</t>
  </si>
  <si>
    <t xml:space="preserve">17.12.0487</t>
  </si>
  <si>
    <t xml:space="preserve">PLUG FÊMEA 2P+T 10A</t>
  </si>
  <si>
    <t xml:space="preserve">23.05.0286</t>
  </si>
  <si>
    <t xml:space="preserve">ARRUELA LISA DE AÇO, INXODÁVEL, BITOLA M18</t>
  </si>
  <si>
    <t xml:space="preserve">30.01.0775</t>
  </si>
  <si>
    <t xml:space="preserve">GRAMPEADOR 120 FOLHAS</t>
  </si>
  <si>
    <t xml:space="preserve">24.09.0032</t>
  </si>
  <si>
    <t xml:space="preserve">CHAVE COMBINADA 14,00MM AÇO CARBONO CROMADO</t>
  </si>
  <si>
    <t xml:space="preserve">33.02.2453</t>
  </si>
  <si>
    <t xml:space="preserve">PORCA SEXT M12X1,75X35</t>
  </si>
  <si>
    <t xml:space="preserve">17.01.0325</t>
  </si>
  <si>
    <t xml:space="preserve">CABO ELETRICO FLEXIVEL 450V/750V 1 X 1,50MM2 COBRE PVC CLASSE 4 AZUL NBRNM 247-3</t>
  </si>
  <si>
    <t xml:space="preserve">17.01.0329</t>
  </si>
  <si>
    <t xml:space="preserve">CABO ELETRICO FLEXIVEL 450V/750V 1 X 1,50MM2 COBRE PVC CLASSE 4 VERMELHO NBRNM 247-3</t>
  </si>
  <si>
    <t xml:space="preserve">24.09.0031</t>
  </si>
  <si>
    <t xml:space="preserve">CHAVE COMBINADA 13,00MM AÇO CARBONO CROMADO</t>
  </si>
  <si>
    <t xml:space="preserve">17.16.0047</t>
  </si>
  <si>
    <t xml:space="preserve">TERMINAL PRE-ISOLADO PINO COBRE ESTANHADO 16,00MM2</t>
  </si>
  <si>
    <t xml:space="preserve">24.14.0009</t>
  </si>
  <si>
    <t xml:space="preserve">MARRETA DE PEDREIRO COM CABO 1,5 KG</t>
  </si>
  <si>
    <t xml:space="preserve">17.08.0137</t>
  </si>
  <si>
    <t xml:space="preserve">QUADRO DE DISTRIBUIÇÃO DE SOBREPOR CAP. 8 DISJ. UNIP. - IN PENTE 100ª</t>
  </si>
  <si>
    <t xml:space="preserve">25.01.0217</t>
  </si>
  <si>
    <t xml:space="preserve">DISCO DE SERRA CIRCULAR 7.1/4 24 DENTES</t>
  </si>
  <si>
    <t xml:space="preserve">23.05.0004</t>
  </si>
  <si>
    <t xml:space="preserve">ARRUELA EM ALUMÍNIO PARA ELETRODUTO 1" ROSCA BSP</t>
  </si>
  <si>
    <t xml:space="preserve">16.05.0081</t>
  </si>
  <si>
    <t xml:space="preserve">TRINCHA 1.1/2</t>
  </si>
  <si>
    <t xml:space="preserve">18.01.1643</t>
  </si>
  <si>
    <t xml:space="preserve">LUVA SIMPLES 75MM PVC ESGOTO SN</t>
  </si>
  <si>
    <t xml:space="preserve">23.08.0002</t>
  </si>
  <si>
    <t xml:space="preserve">BUCHA FIXACAO ELETRODUTO 1.1/2" ALUMÍNIO LISO BSP 11 FIOS</t>
  </si>
  <si>
    <t xml:space="preserve">30.03.0003</t>
  </si>
  <si>
    <t xml:space="preserve">BALDE PLÁSTICO 12,00L C/MEDIDOR C/ALCA</t>
  </si>
  <si>
    <t xml:space="preserve">29.02.0462</t>
  </si>
  <si>
    <t xml:space="preserve">BANQUETA DE PLÁSTICO 45CM</t>
  </si>
  <si>
    <t xml:space="preserve">27.01.0488</t>
  </si>
  <si>
    <t xml:space="preserve">VOLTAREM INJETAVEL 40 C/5 AMPOLAS CAIXA</t>
  </si>
  <si>
    <t xml:space="preserve">17.16.0604</t>
  </si>
  <si>
    <t xml:space="preserve">TERMINAL TIPO OLHAL 16MM</t>
  </si>
  <si>
    <t xml:space="preserve">17.05.0121</t>
  </si>
  <si>
    <t xml:space="preserve">TAMPA CEGA PARA CONDULETE PVC DE 3/4'' CINZA</t>
  </si>
  <si>
    <t xml:space="preserve">27.01.0479</t>
  </si>
  <si>
    <t xml:space="preserve">DIPIRONA 1G</t>
  </si>
  <si>
    <t xml:space="preserve">24.41.0369</t>
  </si>
  <si>
    <t xml:space="preserve">SOQUETE TIPO CANHÃO 10 MM</t>
  </si>
  <si>
    <t xml:space="preserve">17.11.1148</t>
  </si>
  <si>
    <t xml:space="preserve">LAMPADA LED 30W</t>
  </si>
  <si>
    <t xml:space="preserve">23.02.0315</t>
  </si>
  <si>
    <t xml:space="preserve">ABRAÇADEIRA DE NYLON 200MM x 2,8MM x 1,2MM</t>
  </si>
  <si>
    <t xml:space="preserve">18.10.0120</t>
  </si>
  <si>
    <t xml:space="preserve">ADESIVO PVC 175G EXTRA FORTE</t>
  </si>
  <si>
    <t xml:space="preserve">31.02.0014</t>
  </si>
  <si>
    <t xml:space="preserve">DESENGRIPANTE AEROSOL 200,00ML REF WD-40</t>
  </si>
  <si>
    <t xml:space="preserve">09.08.0087</t>
  </si>
  <si>
    <t xml:space="preserve">TAMPA REFORCADA DE CONCRETO ARMADO 24 X 80 X 20 CM</t>
  </si>
  <si>
    <t xml:space="preserve">25.04.0005</t>
  </si>
  <si>
    <t xml:space="preserve">LÂMINA SERRA TICO-TICO AÇO BI-METAL ENCAIXE UNIFICADO 100,00MM X 9,50MM X 1,00MM 10 DENTES REGULAR C</t>
  </si>
  <si>
    <t xml:space="preserve">24.09.0189</t>
  </si>
  <si>
    <t xml:space="preserve">JOGO DE CHAVES DE FENDA E PHILLIPS COM 5 PEÃS GERDORE</t>
  </si>
  <si>
    <t xml:space="preserve">17.07.0035</t>
  </si>
  <si>
    <t xml:space="preserve">CAIXA DE PASSAGEM EMBUTIR 20CM x 20CM x8CM</t>
  </si>
  <si>
    <t xml:space="preserve">26.05.0008</t>
  </si>
  <si>
    <t xml:space="preserve">MÁSCARA DE SOLDA COM VISOR ARTICULADO - LENTE TON. 12 (CA-6135/9155/15083)</t>
  </si>
  <si>
    <t xml:space="preserve">17.12.0316</t>
  </si>
  <si>
    <t xml:space="preserve">TOMADA TRIPLA 2P+T 10A</t>
  </si>
  <si>
    <t xml:space="preserve">17.12.0194</t>
  </si>
  <si>
    <t xml:space="preserve">PLUG MACHO 3P 10A 250V</t>
  </si>
  <si>
    <t xml:space="preserve">24.09.0719</t>
  </si>
  <si>
    <t xml:space="preserve">CHAVE INGLESA AJUSTÁVEL EM AÇO CARBONO CROMADO 18"</t>
  </si>
  <si>
    <t xml:space="preserve">17.20.0692</t>
  </si>
  <si>
    <t xml:space="preserve">TERMINAÇÃO PARA ACABAMENTO DE ELETRODUTO FLEXÍVEL PEAD, DIÂMETRO NOMINAL 2"</t>
  </si>
  <si>
    <t xml:space="preserve">17.20.0689</t>
  </si>
  <si>
    <t xml:space="preserve">SUPORTE GUIA REFORÇADO, TIPO CURTO (H=5 CM), COM ROLDANA DE POLIPROPILENO E FIXAÇÃO POR DOIS FUROS</t>
  </si>
  <si>
    <t xml:space="preserve">17.03.0620</t>
  </si>
  <si>
    <t xml:space="preserve">TERMINAL ELETROCALHA 200X100MM</t>
  </si>
  <si>
    <t xml:space="preserve">23.09.0046</t>
  </si>
  <si>
    <t xml:space="preserve">PEDESTAL DE FIXAÇÃO TIPO ÔMEGA EM AÇO COM FUROS Ø8,5 MM E Ø10 MM</t>
  </si>
  <si>
    <t xml:space="preserve">18.10.0149</t>
  </si>
  <si>
    <t xml:space="preserve">PASTA LUBRIFICANTE BISNAGA 400G</t>
  </si>
  <si>
    <t xml:space="preserve">17.16.3878</t>
  </si>
  <si>
    <t xml:space="preserve">CONECTOR A COMPRESSAO BIMETALICO CABO DE 70MM FURO M12</t>
  </si>
  <si>
    <t xml:space="preserve">18.01.1271</t>
  </si>
  <si>
    <t xml:space="preserve">TÊ 50 X 50MM, ESGOTO SÉRIE NORMAL - TIGRE</t>
  </si>
  <si>
    <t xml:space="preserve">30.04.0310</t>
  </si>
  <si>
    <t xml:space="preserve">ABRIDOR DE LACRE/GARRAFÃO - TAMPA AGUA MENERAL 20 LITROS</t>
  </si>
  <si>
    <t xml:space="preserve">30.01.0343</t>
  </si>
  <si>
    <t xml:space="preserve">PILHA ALCALINA AAA 1,5V C/ 4,00UN</t>
  </si>
  <si>
    <t xml:space="preserve">24.14.0012</t>
  </si>
  <si>
    <t xml:space="preserve">MARRETA DE PEDREIRO COM CABO 1KG</t>
  </si>
  <si>
    <t xml:space="preserve">27.01.0219</t>
  </si>
  <si>
    <t xml:space="preserve">PREDNISONA</t>
  </si>
  <si>
    <t xml:space="preserve">30.03.0330</t>
  </si>
  <si>
    <t xml:space="preserve">VASSOURÃO REFORÇADO 30CM</t>
  </si>
  <si>
    <t xml:space="preserve">24.14.0031</t>
  </si>
  <si>
    <t xml:space="preserve">MARRETA DE BORRACHA 80MM</t>
  </si>
  <si>
    <t xml:space="preserve">13.06.0009</t>
  </si>
  <si>
    <t xml:space="preserve">FECHADURA AÇO CROMADO PARA BANHEIRO NBR 14913</t>
  </si>
  <si>
    <t xml:space="preserve">30.03.0343</t>
  </si>
  <si>
    <t xml:space="preserve">FLANELA</t>
  </si>
  <si>
    <t xml:space="preserve">18.01.0896</t>
  </si>
  <si>
    <t xml:space="preserve">ADAPTADOR CONDULETE TOP ¾”</t>
  </si>
  <si>
    <t xml:space="preserve">10.11.0017</t>
  </si>
  <si>
    <t xml:space="preserve">DELIMITADOR DE PROFUNDIDADE TARUCEL 30 MM</t>
  </si>
  <si>
    <t xml:space="preserve">16.03.0179</t>
  </si>
  <si>
    <t xml:space="preserve">TINTA SPRAY AZUL 400ML NBR 11702</t>
  </si>
  <si>
    <t xml:space="preserve">33.02.2339</t>
  </si>
  <si>
    <t xml:space="preserve">PRISMA DESLIZANTE DE POLIAMIDA 1121-648-6610 STIHL</t>
  </si>
  <si>
    <t xml:space="preserve">23.07.0052</t>
  </si>
  <si>
    <t xml:space="preserve">PARAFUSO CABECA SEXTAVADA AÇO CARBONO ANSIB 1821 ZINCADO BRANCO ROSCA SOBERBA 5/16" X 40,00MM 18 FIO</t>
  </si>
  <si>
    <t xml:space="preserve">17.22.0149</t>
  </si>
  <si>
    <t xml:space="preserve">ALÇA PRE FORMADA EM ALUMÍNIO PARA CABOS 4X16MM</t>
  </si>
  <si>
    <t xml:space="preserve">24.41.0024</t>
  </si>
  <si>
    <t xml:space="preserve">CHAVE DE RODA 27X 32MM</t>
  </si>
  <si>
    <t xml:space="preserve">23.07.1039</t>
  </si>
  <si>
    <t xml:space="preserve">PARAFUSO SEXTAVADO 5/8" X 3" ZB</t>
  </si>
  <si>
    <t xml:space="preserve">24.41.0149</t>
  </si>
  <si>
    <t xml:space="preserve">CHAVE DE RODA 30X33MM 27</t>
  </si>
  <si>
    <t xml:space="preserve">30.11.0051</t>
  </si>
  <si>
    <t xml:space="preserve">LETREIRO DE MESA PERSONALIZADO EM MDF CRU</t>
  </si>
  <si>
    <t xml:space="preserve">4.4.3.001 - Eventos e confraternizações</t>
  </si>
  <si>
    <t xml:space="preserve">99.00.2933</t>
  </si>
  <si>
    <t xml:space="preserve">DISCO SERRA CIRCULAR AÇO CARBONO DENTE C/VIDEA 184,00MM X 2,50MM 24 DENTES</t>
  </si>
  <si>
    <t xml:space="preserve">30.01.0232</t>
  </si>
  <si>
    <t xml:space="preserve">GRAMPOS PARA GRAMPEADOR 23/8 GALVANIZADOS C/ 1000UN</t>
  </si>
  <si>
    <t xml:space="preserve">18.07.0088</t>
  </si>
  <si>
    <t xml:space="preserve">BOIA CAIXA D'AGUA 1/2 E 3/4</t>
  </si>
  <si>
    <t xml:space="preserve">07.03.0045</t>
  </si>
  <si>
    <t xml:space="preserve">ARGAMASSA POLIMERICA IMPERMEABILIZANTE</t>
  </si>
  <si>
    <t xml:space="preserve">23.02.0429</t>
  </si>
  <si>
    <t xml:space="preserve">ABRAÇADEIRA NYLON 2,5MM X 250MM - COM PROTEÇÃO UV</t>
  </si>
  <si>
    <t xml:space="preserve">17.20.0551</t>
  </si>
  <si>
    <t xml:space="preserve">HASTE DE ATERRAMENTO 5/8" X 2,4M</t>
  </si>
  <si>
    <t xml:space="preserve">31.02.0009</t>
  </si>
  <si>
    <t xml:space="preserve">OLEO LUBRIFICANTE MOTOR AUTOMOTIVO SAE 40 FRASCO 1,00L</t>
  </si>
  <si>
    <t xml:space="preserve">28.02.0077</t>
  </si>
  <si>
    <t xml:space="preserve">ADESIVO INSTANTÂNEO MULTIUSO</t>
  </si>
  <si>
    <t xml:space="preserve">23.01.0054</t>
  </si>
  <si>
    <t xml:space="preserve">COLA BRANCA 1KG BISNAGA</t>
  </si>
  <si>
    <t xml:space="preserve">18.01.1149</t>
  </si>
  <si>
    <t xml:space="preserve">TUBO SOLDÁVEL ESGOTO DE 100MM</t>
  </si>
  <si>
    <t xml:space="preserve">24.41.0235</t>
  </si>
  <si>
    <t xml:space="preserve">BICO DE AR COM ENGATE</t>
  </si>
  <si>
    <t xml:space="preserve">33.02.3162</t>
  </si>
  <si>
    <t xml:space="preserve">TERMINAL NEGATIVO DE BATERIA COBRE</t>
  </si>
  <si>
    <t xml:space="preserve">17.09.0081</t>
  </si>
  <si>
    <t xml:space="preserve">BARRAMENTO TRIFASICO PENTE 12DIN</t>
  </si>
  <si>
    <t xml:space="preserve">18.10.0050</t>
  </si>
  <si>
    <t xml:space="preserve">FITA VEDA ROSCA PTFE 18,00MM X 50,00M</t>
  </si>
  <si>
    <t xml:space="preserve">13.02.0165</t>
  </si>
  <si>
    <t xml:space="preserve">DOBRADIÇA 3 ABAS ESP IN NBR 2426</t>
  </si>
  <si>
    <t xml:space="preserve">24.53.0001</t>
  </si>
  <si>
    <t xml:space="preserve">GRAMPEADOR PINADOR (TAPECEIRO) 10MM A 14MM</t>
  </si>
  <si>
    <t xml:space="preserve">25.05.0085</t>
  </si>
  <si>
    <t xml:space="preserve">SERRA COPO BIMETAL 19mm = 3/4"</t>
  </si>
  <si>
    <t xml:space="preserve">25.05.0090</t>
  </si>
  <si>
    <t xml:space="preserve">SERRA COPO BIMETAL 38mm = 1.1/2”</t>
  </si>
  <si>
    <t xml:space="preserve">17.12.0462</t>
  </si>
  <si>
    <t xml:space="preserve">INTERRUPTOR PARALELO 1 TECLA 10A</t>
  </si>
  <si>
    <t xml:space="preserve">23.08.0091</t>
  </si>
  <si>
    <t xml:space="preserve">BUCHA DE EXPANSÃO NYLON N°10, 50 MM, PARA PARAFUSO 6 A 8 MM</t>
  </si>
  <si>
    <t xml:space="preserve">25.03.0220</t>
  </si>
  <si>
    <t xml:space="preserve">BROCA AÇO RÁPIDO M 10.5</t>
  </si>
  <si>
    <t xml:space="preserve">24.36.0010</t>
  </si>
  <si>
    <t xml:space="preserve">FACÃO DE MATO</t>
  </si>
  <si>
    <t xml:space="preserve">23.06.0337</t>
  </si>
  <si>
    <t xml:space="preserve">PORCA SEXTAVADA DE ACO INOXIDAVEL, BITOLA M20</t>
  </si>
  <si>
    <t xml:space="preserve">17.02.0875</t>
  </si>
  <si>
    <t xml:space="preserve">BUCHA DE REDUÇÃO LIGA ALUMÍNIO, ALTA RESISTÊNCIA MECÂNICA E CORROSÃO, 2" PARA 1", SEM ROSCA</t>
  </si>
  <si>
    <t xml:space="preserve">30.03.0128</t>
  </si>
  <si>
    <t xml:space="preserve">PÁ PLÁSTICA PARA LIXO COM CABO</t>
  </si>
  <si>
    <t xml:space="preserve">17.16.0516</t>
  </si>
  <si>
    <t xml:space="preserve">TERMINAL TIPO PINO PARA CABO 2,5MM²</t>
  </si>
  <si>
    <t xml:space="preserve">24.09.0658</t>
  </si>
  <si>
    <t xml:space="preserve">JOGO DE SOQUETE LONGO SEXTAVADO</t>
  </si>
  <si>
    <t xml:space="preserve">18.01.1589</t>
  </si>
  <si>
    <t xml:space="preserve">UNIÃO COM ANEL SOLDÁVEL 50MM PVC</t>
  </si>
  <si>
    <t xml:space="preserve">17.15.0125</t>
  </si>
  <si>
    <t xml:space="preserve">GARRA JACARÉ ISOLADA 70 A GI30 AZUL</t>
  </si>
  <si>
    <t xml:space="preserve">17.15.0126</t>
  </si>
  <si>
    <t xml:space="preserve">GARRA JACARÉ ISOLADA 70A GI30 VERDE FUSIBRÁS</t>
  </si>
  <si>
    <t xml:space="preserve">17.15.0127</t>
  </si>
  <si>
    <t xml:space="preserve">GARRA JACARÉ ISOLADA 70 A GI30 VERMELHA</t>
  </si>
  <si>
    <t xml:space="preserve">19.11.0002</t>
  </si>
  <si>
    <t xml:space="preserve">ENGATE FLEXIVEL AÇO INOX 1/2" X 40,00CM</t>
  </si>
  <si>
    <t xml:space="preserve">23.07.1622</t>
  </si>
  <si>
    <t xml:space="preserve">PARAFUSO ROSCA DUPLA M16X300 COMPL</t>
  </si>
  <si>
    <t xml:space="preserve">17.12.0398</t>
  </si>
  <si>
    <t xml:space="preserve">TRILHO TIPO DIN</t>
  </si>
  <si>
    <t xml:space="preserve">26.02.0051</t>
  </si>
  <si>
    <t xml:space="preserve">BOTINA NOBUCK C/ CADARÇO E BIQUEIRA - COR MARROM - N° 39 - 90WBPB1400 (CA-28108/13808/26706/26710)</t>
  </si>
  <si>
    <t xml:space="preserve">26.02.0065</t>
  </si>
  <si>
    <t xml:space="preserve">BOTINA NOBUCK C/ CADARÇO E BIQUEIRA - COR MARROM -  Nº 35 - 90HXPN400 (CA-28108/13808/26706/26710)</t>
  </si>
  <si>
    <t xml:space="preserve">26.02.0213</t>
  </si>
  <si>
    <t xml:space="preserve">BOTA BOTINA NOBUCK MARLUVAS 50B26 PALM ANTIPERFURO COMPOSITE TAM 41</t>
  </si>
  <si>
    <t xml:space="preserve">24.41.0222</t>
  </si>
  <si>
    <t xml:space="preserve">SOQUETE CHAVE ALLEN SEXTAVADO 8MM COM ENCAIXE 1/2''</t>
  </si>
  <si>
    <t xml:space="preserve">17.12.0499</t>
  </si>
  <si>
    <t xml:space="preserve">TOMADA SIMPLES EXTERNA 10A PARA CONDULETE PVC 1/2''</t>
  </si>
  <si>
    <t xml:space="preserve">18.01.0064</t>
  </si>
  <si>
    <t xml:space="preserve">TUBO PVC RIGIDO SOLDAVEL ESGOTO SR PONTA BOLSA 50,00MM X 6,00M NBR 5688</t>
  </si>
  <si>
    <t xml:space="preserve">33.02.3129</t>
  </si>
  <si>
    <t xml:space="preserve">CONEXÃO 1135-141-2200</t>
  </si>
  <si>
    <t xml:space="preserve">23.05.0126</t>
  </si>
  <si>
    <t xml:space="preserve">ARRUELA DE PRESSÃO M18 GALVANIZADA</t>
  </si>
  <si>
    <t xml:space="preserve">17.20.0079</t>
  </si>
  <si>
    <t xml:space="preserve">CONECTOR PARA HASTE ATERRAMENTO 1/2"</t>
  </si>
  <si>
    <t xml:space="preserve">17.02.0611</t>
  </si>
  <si>
    <t xml:space="preserve">CURVA ELETRODUTO PB 25MM B</t>
  </si>
  <si>
    <t xml:space="preserve">18.01.1307</t>
  </si>
  <si>
    <t xml:space="preserve">LUVA LISA ROSCA SOLDÁVEL 1.1/2"</t>
  </si>
  <si>
    <t xml:space="preserve">33.02.2826</t>
  </si>
  <si>
    <t xml:space="preserve">CANTO LATERAL LE JCB 400/F0343</t>
  </si>
  <si>
    <t xml:space="preserve">30.01.0045</t>
  </si>
  <si>
    <t xml:space="preserve">CAIXA DE CORRESPONDÊNCIA MESA EM ACRÍLICO - TRIPLA MÓVEL</t>
  </si>
  <si>
    <t xml:space="preserve">18.09.0229</t>
  </si>
  <si>
    <t xml:space="preserve">VALVULA SUCÇAO BRONZE DN 25MM NBR 10283</t>
  </si>
  <si>
    <t xml:space="preserve">17.13.0008</t>
  </si>
  <si>
    <t xml:space="preserve">SENSOR DE PRESENÇA PET AMT 800</t>
  </si>
  <si>
    <t xml:space="preserve">32.06.0083</t>
  </si>
  <si>
    <t xml:space="preserve">JOGO DE BITS PARA PARAFUSADEIRA 31 PEÇAS</t>
  </si>
  <si>
    <t xml:space="preserve">24.09.0054</t>
  </si>
  <si>
    <t xml:space="preserve">CHAVE COMBINADA 8,00MM AÇO CARBONO CROMADO</t>
  </si>
  <si>
    <t xml:space="preserve">17.10.0439</t>
  </si>
  <si>
    <t xml:space="preserve">INTERRUPTOR DIFERENCIAL RESIDUAL BIPOLAR, CORRENTE NOMINAL DE 20A, CORRENTE DIFERENCIAL RESIDUAL DE 30MA</t>
  </si>
  <si>
    <t xml:space="preserve">17.10.0441</t>
  </si>
  <si>
    <t xml:space="preserve">INTERRUPTOR DIFERENCIAL RESIDUAL 2P 25A 30MA</t>
  </si>
  <si>
    <t xml:space="preserve">17.12.0337</t>
  </si>
  <si>
    <t xml:space="preserve">PLUG MACHO 2P+T 20A</t>
  </si>
  <si>
    <t xml:space="preserve">27.01.0355</t>
  </si>
  <si>
    <t xml:space="preserve">COLIRIO ACUFRESH FRASCO</t>
  </si>
  <si>
    <t xml:space="preserve">26.02.0208</t>
  </si>
  <si>
    <t xml:space="preserve">BOTA BOTINA NOBUCK MARLUVAS 50B26 PALM ANTIPERFURO COMPOSITE TAM 36</t>
  </si>
  <si>
    <t xml:space="preserve">26.02.0216</t>
  </si>
  <si>
    <t xml:space="preserve">BOTA BOTINA NOBUCK MARLUVAS 50B26 PALM ANTIPERFURO COMPOSITE TAM 44</t>
  </si>
  <si>
    <t xml:space="preserve">17.19.0070</t>
  </si>
  <si>
    <t xml:space="preserve">FITA ISOLANTE VERDE 0,15 X 19MM X 10M</t>
  </si>
  <si>
    <t xml:space="preserve">17.10.0438</t>
  </si>
  <si>
    <t xml:space="preserve">INTERRUPTOR DIFERENCIAL RESIDUAL BIPOLAR, CORRENTE NOMINAL DE 32A, CORRENTE DIFERENCIAL RESIDUAL DE 30MA</t>
  </si>
  <si>
    <t xml:space="preserve">17.20.0208</t>
  </si>
  <si>
    <t xml:space="preserve">HASTE COBRE PARA ATERRAMENTO, MED.: 1/2” X 1,70MTS</t>
  </si>
  <si>
    <t xml:space="preserve">01.09.0352</t>
  </si>
  <si>
    <t xml:space="preserve">CANTONEIRA DE ABAS IGUAIS 1/8” X 2” 6000</t>
  </si>
  <si>
    <t xml:space="preserve">18.01.1583</t>
  </si>
  <si>
    <t xml:space="preserve">BUCHA DE REDUÇÃO SOLDÁVEL  50 X 20 MM EM PVC</t>
  </si>
  <si>
    <t xml:space="preserve">33.02.0346</t>
  </si>
  <si>
    <t xml:space="preserve">DISCO</t>
  </si>
  <si>
    <t xml:space="preserve">23.05.0207</t>
  </si>
  <si>
    <t xml:space="preserve">ARRUELA LISA GALVANIZADA/INOX 3/8”</t>
  </si>
  <si>
    <t xml:space="preserve">34.02.1347</t>
  </si>
  <si>
    <t xml:space="preserve">UNIAO PRESTOLOK 10MM</t>
  </si>
  <si>
    <t xml:space="preserve">18.01.1384</t>
  </si>
  <si>
    <t xml:space="preserve">LUVA SOLD 60 MM TIGRE</t>
  </si>
  <si>
    <t xml:space="preserve">18.09.0397</t>
  </si>
  <si>
    <t xml:space="preserve">LUVA SOLDÁVEL COM ROSCA EM PVC 50 MM X 1 1/2"</t>
  </si>
  <si>
    <t xml:space="preserve">33.02.1114</t>
  </si>
  <si>
    <t xml:space="preserve">ABRAÇADEIRA INOX REF: 5164</t>
  </si>
  <si>
    <t xml:space="preserve">18.01.1400</t>
  </si>
  <si>
    <t xml:space="preserve">ANEL DE VEDAÇÃO PARA CONEXÃO SÉRIE N, 100MM</t>
  </si>
  <si>
    <t xml:space="preserve">17.22.0155</t>
  </si>
  <si>
    <t xml:space="preserve">CINTA POSTE CIRCULAR 350</t>
  </si>
  <si>
    <t xml:space="preserve">26.02.0062</t>
  </si>
  <si>
    <t xml:space="preserve">BOTINA NOBUCK C/ CADARÇO E BIQUEIRA - COR MARROM - N° 37 - 90WBPB1400 (CA-28108/13808/26706/26710)</t>
  </si>
  <si>
    <t xml:space="preserve">26.02.0075</t>
  </si>
  <si>
    <t xml:space="preserve">BOTINA NOBUCK C/ CADARÇO E BIQUEIRA - COR MARROM -  Nº 36 - 90HXPN400 (CA-28108/13808/26706/26710)</t>
  </si>
  <si>
    <t xml:space="preserve">23.05.0306</t>
  </si>
  <si>
    <t xml:space="preserve">ARRUELA DE PRESSAO DE ACO GALVANIZADA A FOGO, BITOLA 3/8"</t>
  </si>
  <si>
    <t xml:space="preserve">25.03.0267</t>
  </si>
  <si>
    <t xml:space="preserve">BROCA CONCRETO 18MM</t>
  </si>
  <si>
    <t xml:space="preserve">19.01.0068</t>
  </si>
  <si>
    <t xml:space="preserve">ANEL DE VEDACAO COM GUIA PARA BACIA SANITARIA</t>
  </si>
  <si>
    <t xml:space="preserve">32.07.0027</t>
  </si>
  <si>
    <t xml:space="preserve">PORTA ELETRODO 400A</t>
  </si>
  <si>
    <t xml:space="preserve">17.10.0201</t>
  </si>
  <si>
    <t xml:space="preserve">DISJUNTOR MONOFÁSICO 70A – 127/220V NBR 60898</t>
  </si>
  <si>
    <t xml:space="preserve">18.01.0892</t>
  </si>
  <si>
    <t xml:space="preserve">CURVA  100MM - DEFOFO</t>
  </si>
  <si>
    <t xml:space="preserve">05.02.0014</t>
  </si>
  <si>
    <t xml:space="preserve">CAL DE PINTURA</t>
  </si>
  <si>
    <t xml:space="preserve">26.05.0050</t>
  </si>
  <si>
    <t xml:space="preserve">MÁSCARA RESPIRAATORIA SEMI-FACIAL 01 FILTRO (CA-39427)</t>
  </si>
  <si>
    <t xml:space="preserve">24.09.0048</t>
  </si>
  <si>
    <t xml:space="preserve">CHAVE COMBINADA 36,00MM AÇO CARBONO CROMADO</t>
  </si>
  <si>
    <t xml:space="preserve">24.09.0499</t>
  </si>
  <si>
    <t xml:space="preserve">CHAVE COMBINADA 10 MM</t>
  </si>
  <si>
    <t xml:space="preserve">17.12.0385</t>
  </si>
  <si>
    <t xml:space="preserve">PLUG MACHO 2P+T 10A</t>
  </si>
  <si>
    <t xml:space="preserve">99.00.3105</t>
  </si>
  <si>
    <t xml:space="preserve">ENGATE RAPIDO FEMEA AÇO INOX 1.1/2" 115PSI ROSCA MACHO NPT C/RETENCAO</t>
  </si>
  <si>
    <t xml:space="preserve">30.01.0287</t>
  </si>
  <si>
    <t xml:space="preserve">PASTA ABA ELÁSTICO POLIPROPILENO CRISTAL OFICIO LOMBO 20MM</t>
  </si>
  <si>
    <t xml:space="preserve">13.06.0335</t>
  </si>
  <si>
    <t xml:space="preserve">PUXADOR ESCOVADO EM INOX 40CM</t>
  </si>
  <si>
    <t xml:space="preserve">17.22.0154</t>
  </si>
  <si>
    <t xml:space="preserve">CINTA POSTE CIRCULAR 340</t>
  </si>
  <si>
    <t xml:space="preserve">17.16.0605</t>
  </si>
  <si>
    <t xml:space="preserve">TERMINAL TIPO OLHAL 25MM</t>
  </si>
  <si>
    <t xml:space="preserve">33.02.3119</t>
  </si>
  <si>
    <t xml:space="preserve">SEGURANÇA DA CORRENTE 1119-656-7705</t>
  </si>
  <si>
    <t xml:space="preserve">24.08.0148</t>
  </si>
  <si>
    <t xml:space="preserve">KIT DE 3 ALICATES UNIVERSAL, CORTE E DE BICO 1000V</t>
  </si>
  <si>
    <t xml:space="preserve">30.03.0345</t>
  </si>
  <si>
    <t xml:space="preserve">ALCOOL ISOPROPILICO 1L P/LIMPEZA DE PECAS   NACIONAL</t>
  </si>
  <si>
    <t xml:space="preserve">27.01.0483</t>
  </si>
  <si>
    <t xml:space="preserve">FLORAX ADULTO 100 MG</t>
  </si>
  <si>
    <t xml:space="preserve">30.03.0012</t>
  </si>
  <si>
    <t xml:space="preserve">BOMBONA PEAD 50,00L TAMPA ROSCADA S/ALCA</t>
  </si>
  <si>
    <t xml:space="preserve">30.01.0471</t>
  </si>
  <si>
    <t xml:space="preserve">COLA LÍQUIDA BRANCA 5,00KG</t>
  </si>
  <si>
    <t xml:space="preserve">13.06.0058</t>
  </si>
  <si>
    <t xml:space="preserve">TARJETA ZINCADA 63MM - 2"</t>
  </si>
  <si>
    <t xml:space="preserve">16.03.0205</t>
  </si>
  <si>
    <t xml:space="preserve">TINTA SPRAY ALTA TEMPERATURA 360ML COR PRETA NBR 11702</t>
  </si>
  <si>
    <t xml:space="preserve">30.02.0126</t>
  </si>
  <si>
    <t xml:space="preserve">REFIL DE TINTA EPSON T544120-AL MAGENTA</t>
  </si>
  <si>
    <t xml:space="preserve">23.02.0433</t>
  </si>
  <si>
    <t xml:space="preserve">ABRAÇADEIRA TIPO U PZ 1.1/2 POL</t>
  </si>
  <si>
    <t xml:space="preserve">34.02.0113</t>
  </si>
  <si>
    <t xml:space="preserve">ABRAÇADEIRA DA COIFA</t>
  </si>
  <si>
    <t xml:space="preserve">33.02.2638</t>
  </si>
  <si>
    <t xml:space="preserve">JOGO DE FERRAMENTA CHAVE DE PRECISAO 2 FENDA 1 4 2 2 4 3MM2 PHILLIPS PH0 PH1 6 PECAS ACO CROMO VANADIO RELOJOEIRO</t>
  </si>
  <si>
    <t xml:space="preserve">36.04.0011</t>
  </si>
  <si>
    <t xml:space="preserve">SONDA URETRAL ESTÉRIL Nº 08 PARA PROCEDIMENTO MÉDICO</t>
  </si>
  <si>
    <t xml:space="preserve">30.01.0068</t>
  </si>
  <si>
    <t xml:space="preserve">CANETA MARCA TEXTO VERDE</t>
  </si>
  <si>
    <t xml:space="preserve">24.09.0112</t>
  </si>
  <si>
    <t xml:space="preserve">CHAVE FENDA SIMPLES 5/16" X 8" AÇO CROMO-VANADIO CROMADO/NIQUELADO CABO PVC RIGIDO</t>
  </si>
  <si>
    <t xml:space="preserve">24.41.0016</t>
  </si>
  <si>
    <t xml:space="preserve">BICO INFLADOR DE AR 263 TRAVA S/ RETENÇÃO</t>
  </si>
  <si>
    <t xml:space="preserve">17.20.0732</t>
  </si>
  <si>
    <t xml:space="preserve">HASTE DE ATERRAMENTO 2,40M X 3/8"</t>
  </si>
  <si>
    <t xml:space="preserve">17.21.0120</t>
  </si>
  <si>
    <t xml:space="preserve">TERMINAL PARA ELETROCALHA 200 X 100 MM AÇO GALVANIZADO A QUENTE</t>
  </si>
  <si>
    <t xml:space="preserve">18.10.0123</t>
  </si>
  <si>
    <t xml:space="preserve">ADESIVO COLA PVC TIGRE 175 C/ PINCEL</t>
  </si>
  <si>
    <t xml:space="preserve">18.01.1101</t>
  </si>
  <si>
    <t xml:space="preserve">REDUÇÃO EXCENTRICA ESGOTO 100X50MM</t>
  </si>
  <si>
    <t xml:space="preserve">30.01.0097</t>
  </si>
  <si>
    <t xml:space="preserve">CLIPE P/ PAPEL 2/0 GALVANIZADOS CAIXA 100UN</t>
  </si>
  <si>
    <t xml:space="preserve">17.02.0811</t>
  </si>
  <si>
    <t xml:space="preserve">MANILHA SAPATILHA EM AÇO GALVANIZADO 6000 daN</t>
  </si>
  <si>
    <t xml:space="preserve">33.02.1688</t>
  </si>
  <si>
    <t xml:space="preserve">SEM FIM P/ MOTOSSERRA</t>
  </si>
  <si>
    <t xml:space="preserve">19.01.0063</t>
  </si>
  <si>
    <t xml:space="preserve">PERFIL CANTONEIRA EM AÇO TIPO L 1 1/2" X 1/8" COMPRIMENTO 725 MM</t>
  </si>
  <si>
    <t xml:space="preserve">23.07.0369</t>
  </si>
  <si>
    <t xml:space="preserve">PARAFUSO FENDA AUTOATARRAXANTE CABECA CHATA AÇO CARBONO ROSCA SOBERBA 4,80MM X 45,00MM 1,58MM DIN 79</t>
  </si>
  <si>
    <t xml:space="preserve">30.04.0256</t>
  </si>
  <si>
    <t xml:space="preserve">CONJUNTO DE XICARAS</t>
  </si>
  <si>
    <t xml:space="preserve">24.08.0033</t>
  </si>
  <si>
    <t xml:space="preserve">ALICATE CORTE DIAGONAL 10" ISOLADO 1000V</t>
  </si>
  <si>
    <t xml:space="preserve">33.02.3182</t>
  </si>
  <si>
    <t xml:space="preserve">ANEL HL DN75MM</t>
  </si>
  <si>
    <t xml:space="preserve">17.16.3817</t>
  </si>
  <si>
    <t xml:space="preserve">PRENSA CABO MACHO EM LIGA DE ALUMÍNIO, BITOLA 3/4", DIÂMETRO DE APERTO DE 15 A 17,5 MM</t>
  </si>
  <si>
    <t xml:space="preserve">18.02.0746</t>
  </si>
  <si>
    <t xml:space="preserve">ADAPTADOR MÚLTIPLO DE LIGA DE ALUMÍNIO INSTALAÇÃO AO TEMPO, DIÂMETRO NOMINAL 20 MM (Ø3/4")</t>
  </si>
  <si>
    <t xml:space="preserve">23.05.0291</t>
  </si>
  <si>
    <t xml:space="preserve">ARRUELA LISA DE AÇO INOX M8</t>
  </si>
  <si>
    <t xml:space="preserve">30.01.0039</t>
  </si>
  <si>
    <t xml:space="preserve">CAIXA ARQUIVO MORTO POLIPROPILENO 350 X 130 X 250 OFÍCIO</t>
  </si>
  <si>
    <t xml:space="preserve">17.10.0197</t>
  </si>
  <si>
    <t xml:space="preserve">DISJUNTOR TRIFÁSICO 50A – 400V NBR 60898</t>
  </si>
  <si>
    <t xml:space="preserve">17.10.0198</t>
  </si>
  <si>
    <t xml:space="preserve">DISJUNTOR TRIFÁSICO 40A – 400V NBR 60898</t>
  </si>
  <si>
    <t xml:space="preserve">25.03.0166</t>
  </si>
  <si>
    <t xml:space="preserve">BROCA AÇO RAPIDO 3/16</t>
  </si>
  <si>
    <t xml:space="preserve">24.28.0001</t>
  </si>
  <si>
    <t xml:space="preserve">LÁPIS PARA CARPINTEIRO</t>
  </si>
  <si>
    <t xml:space="preserve">23.10.0037</t>
  </si>
  <si>
    <t xml:space="preserve">CHUMBADOR PARABOLT 5/8"</t>
  </si>
  <si>
    <t xml:space="preserve">25.15.0009</t>
  </si>
  <si>
    <t xml:space="preserve">LONA PLASTICA POLIETILENO PRETO 200 MICRAS 8,00M X 100,00M</t>
  </si>
  <si>
    <t xml:space="preserve">25.15.0087</t>
  </si>
  <si>
    <t xml:space="preserve">LONA PLASTICA POLIETILENO AZUL 100 MICRAS 5,00M X 3,00M</t>
  </si>
  <si>
    <t xml:space="preserve">23.06.0329</t>
  </si>
  <si>
    <t xml:space="preserve">PORCA SEXTAVADA GALV FOGO 1/4"</t>
  </si>
  <si>
    <t xml:space="preserve">23.06.0270</t>
  </si>
  <si>
    <t xml:space="preserve">PORCA OLHAL PARA PARAFUSO M16, 50KN</t>
  </si>
  <si>
    <t xml:space="preserve">23.07.0840</t>
  </si>
  <si>
    <t xml:space="preserve">PARAFUSO INOX GUIA PANELA PHILLIPS 4,8X32,00MM</t>
  </si>
  <si>
    <t xml:space="preserve">24.08.0075</t>
  </si>
  <si>
    <t xml:space="preserve">ALICATE DE PRESSÃO 11"</t>
  </si>
  <si>
    <t xml:space="preserve">18.01.1157</t>
  </si>
  <si>
    <t xml:space="preserve">TE SOLD ESG DE 50MM</t>
  </si>
  <si>
    <t xml:space="preserve">27.01.0189</t>
  </si>
  <si>
    <t xml:space="preserve">SONRISAL CAIXA C/30 ENVELOPES</t>
  </si>
  <si>
    <t xml:space="preserve">24.35.0017</t>
  </si>
  <si>
    <t xml:space="preserve">ENXADA ANTI-FAÍSCA EM PVC COM CABO</t>
  </si>
  <si>
    <t xml:space="preserve">17.16.0251</t>
  </si>
  <si>
    <t xml:space="preserve">TERMINAL TUBULAR TIPO ILHOS PRE ISOLADO P/CABO 16,00 MM</t>
  </si>
  <si>
    <t xml:space="preserve">18.02.0745</t>
  </si>
  <si>
    <t xml:space="preserve">ADAPTADOR MÚLTIPLO DE LIGA DE ALUMÍNIO INSTALAÇÃO INTERNA, DIÂMETRO NOMINAL 25 MM (Ø1")</t>
  </si>
  <si>
    <t xml:space="preserve">29.03.0403</t>
  </si>
  <si>
    <t xml:space="preserve">CONJUNTO DE ESTRUTURA  PARA FIXAÇÃO DE UNIDADE CONDENSADORA DE 18.000 BTU/H,  FORNECIDO COM MATERIAIS FIXAÇÃO</t>
  </si>
  <si>
    <t xml:space="preserve">25.03.0315</t>
  </si>
  <si>
    <t xml:space="preserve">BROCA SDS-PLUS 8MM</t>
  </si>
  <si>
    <t xml:space="preserve">25.03.0318</t>
  </si>
  <si>
    <t xml:space="preserve">BROCA SDS-PLUS 16MM</t>
  </si>
  <si>
    <t xml:space="preserve">18.10.0047</t>
  </si>
  <si>
    <t xml:space="preserve">ADESIVO PLÁSTICO TUBOS / CONEXOES PVC RIGIDO 850G</t>
  </si>
  <si>
    <t xml:space="preserve">24.41.0091</t>
  </si>
  <si>
    <t xml:space="preserve">CHAVE CATRACA REVERSÍVEL 1/2"</t>
  </si>
  <si>
    <t xml:space="preserve">27.01.0109</t>
  </si>
  <si>
    <t xml:space="preserve">OXÍMETRO DE DEDO</t>
  </si>
  <si>
    <t xml:space="preserve">27.01.0336</t>
  </si>
  <si>
    <t xml:space="preserve">CIMEGRIPE</t>
  </si>
  <si>
    <t xml:space="preserve">24.15.0040</t>
  </si>
  <si>
    <t xml:space="preserve">MARTELO</t>
  </si>
  <si>
    <t xml:space="preserve">27.02.0168</t>
  </si>
  <si>
    <t xml:space="preserve">BALANÇA DIGITAL RECARREGÁVEL USB MULTILASER HC411</t>
  </si>
  <si>
    <t xml:space="preserve">17.16.0032</t>
  </si>
  <si>
    <t xml:space="preserve">CONECTOR GRAMPO CABO HASTE ATERRAMENTO GAR BRONZE NBR 7554 35,00MM2 ESTANHADO NBR 5370</t>
  </si>
  <si>
    <t xml:space="preserve">18.01.0901</t>
  </si>
  <si>
    <t xml:space="preserve">LUVA PVC DEFOFO INFLADA 100MM</t>
  </si>
  <si>
    <t xml:space="preserve">30.03.0002</t>
  </si>
  <si>
    <t xml:space="preserve">BALDE PLÁSTICO 10,00L S/TAMPA C/ALCA S/PEGADOR S/BICO</t>
  </si>
  <si>
    <t xml:space="preserve">23.05.0296</t>
  </si>
  <si>
    <t xml:space="preserve">ARRUELA QUADRADA TIPO CUNHA, DE AÇO GALVANIZADO A FOGO, BITOLA M18</t>
  </si>
  <si>
    <t xml:space="preserve">24.08.0022</t>
  </si>
  <si>
    <t xml:space="preserve">ALICATE DE INSERÇÃO PUSH DOWN</t>
  </si>
  <si>
    <t xml:space="preserve">26.13.0053</t>
  </si>
  <si>
    <t xml:space="preserve">PEÇA BORDADA</t>
  </si>
  <si>
    <t xml:space="preserve">24.07.0034</t>
  </si>
  <si>
    <t xml:space="preserve">TRENA DE FIBRA DE 50MT</t>
  </si>
  <si>
    <t xml:space="preserve">17.02.0016</t>
  </si>
  <si>
    <t xml:space="preserve">ELETRODUTO PVC ANTICHAMA RIGIDO SOLDAVEL PRETO 40,00MM X 3,00M NBR 15465</t>
  </si>
  <si>
    <t xml:space="preserve">25.03.0283</t>
  </si>
  <si>
    <t xml:space="preserve">BROCA CONCRETO 14MM</t>
  </si>
  <si>
    <t xml:space="preserve">25.10.0043</t>
  </si>
  <si>
    <t xml:space="preserve">CORDA EM CARRETEL VERMELHO 4MM</t>
  </si>
  <si>
    <t xml:space="preserve">24.23.0008</t>
  </si>
  <si>
    <t xml:space="preserve">BOMBA PULVERIZADORA  5L</t>
  </si>
  <si>
    <t xml:space="preserve">30.03.0155</t>
  </si>
  <si>
    <t xml:space="preserve">VASSOURA PLÁSTICA P/ JARDIM COM CABO</t>
  </si>
  <si>
    <t xml:space="preserve">17.02.0008</t>
  </si>
  <si>
    <t xml:space="preserve">ELETRODUTO PVC ANTICHAMA RIGIDO ROSCAVEL PRETO 1.1/4" X 3,00M NBR 15465</t>
  </si>
  <si>
    <t xml:space="preserve">17.12.0276</t>
  </si>
  <si>
    <t xml:space="preserve">TOMADA EXTENSÃO INDUSTRIAL 32A 6H 380/440V – 3P+N+T REF.: 5276</t>
  </si>
  <si>
    <t xml:space="preserve">25.01.0114</t>
  </si>
  <si>
    <t xml:space="preserve">DISCO DIAMANTADO SEGMENTADO 7’’ X 7/8’’</t>
  </si>
  <si>
    <t xml:space="preserve">26.02.0092</t>
  </si>
  <si>
    <t xml:space="preserve">BOTA IMPERMEÁVEL DE PVC CANO CURTO - COR PRETA - Nº 41 (CA-26629/10199/28286)</t>
  </si>
  <si>
    <t xml:space="preserve">26.10.0013</t>
  </si>
  <si>
    <t xml:space="preserve">PERNEIRA DE COURO COM TALAS DE PVC, VELCRO ÚNICO</t>
  </si>
  <si>
    <t xml:space="preserve">23.07.1313</t>
  </si>
  <si>
    <t xml:space="preserve">PARAFUSO ROSCA DUPLA EM AÇO GALVANIZADO, M16 X 500MM</t>
  </si>
  <si>
    <t xml:space="preserve">24.08.0067</t>
  </si>
  <si>
    <t xml:space="preserve">ALICATE DE CORTE 1/2</t>
  </si>
  <si>
    <t xml:space="preserve">13.06.0310</t>
  </si>
  <si>
    <t xml:space="preserve">DOBRADIÇA 4 POLEGADAS</t>
  </si>
  <si>
    <t xml:space="preserve">07.02.0012</t>
  </si>
  <si>
    <t xml:space="preserve">ARGAMASSA C3 JUNTAMIX 1 KG</t>
  </si>
  <si>
    <t xml:space="preserve">25.03.0398</t>
  </si>
  <si>
    <t xml:space="preserve">BROCA DIAMANTADA 12MM 1/2</t>
  </si>
  <si>
    <t xml:space="preserve">23.07.1606</t>
  </si>
  <si>
    <t xml:space="preserve">PARAFUSO AUTO ATARRAXANTE AÇO INOX CABEÇA PANELA 6,3 X 35 MM</t>
  </si>
  <si>
    <t xml:space="preserve">25.04.0046</t>
  </si>
  <si>
    <t xml:space="preserve">LÂMINA DE REPOSIÇÃO PARA ESTILETE TRAPEZOIDAL 18MM</t>
  </si>
  <si>
    <t xml:space="preserve">23.07.1579</t>
  </si>
  <si>
    <t xml:space="preserve">PARAFUSO AUTOATARRAXANTE AÇO INOX, CABEÇA PANELA, 6,3 X 40 MM</t>
  </si>
  <si>
    <t xml:space="preserve">17.10.0421</t>
  </si>
  <si>
    <t xml:space="preserve">DISJUNTOR UNIPOLAR 32A DIN</t>
  </si>
  <si>
    <t xml:space="preserve">17.16.0495</t>
  </si>
  <si>
    <t xml:space="preserve">TERMINAL À COMPRESSÃO DE COBRE ESTANHADO 70MM²</t>
  </si>
  <si>
    <t xml:space="preserve">24.09.0426</t>
  </si>
  <si>
    <t xml:space="preserve">SOQUETE ESTRIADO 33MM COM ENCAIXE  3/4"</t>
  </si>
  <si>
    <t xml:space="preserve">32.12.0173</t>
  </si>
  <si>
    <t xml:space="preserve">ESQUADRO DE ALUMÍNIO 60X80CM</t>
  </si>
  <si>
    <t xml:space="preserve">25.04.0047</t>
  </si>
  <si>
    <t xml:space="preserve">CAIXA PARA MASSA PLÁSTICA 50 L</t>
  </si>
  <si>
    <t xml:space="preserve">17.12.0520</t>
  </si>
  <si>
    <t xml:space="preserve">CONJUNTO 1 INTERRUPTOR SIMPLES + 1 TOMADA 2P+T UNIVERSAL 10 A/250 V COM TAMPA TIPO X PARA ELETRODUTO 3/4"</t>
  </si>
  <si>
    <t xml:space="preserve">17.02.0142</t>
  </si>
  <si>
    <t xml:space="preserve">LUVA ELETRODUTO ALUMÍNIO LISO 1.1/2"</t>
  </si>
  <si>
    <t xml:space="preserve">25.03.0317</t>
  </si>
  <si>
    <t xml:space="preserve">BROCA SDS-PLUS 12MM</t>
  </si>
  <si>
    <t xml:space="preserve">27.02.0014</t>
  </si>
  <si>
    <t xml:space="preserve">ESFIGMOMANÔMETRO COM VELCRO</t>
  </si>
  <si>
    <t xml:space="preserve">24.09.0101</t>
  </si>
  <si>
    <t xml:space="preserve">CHAVE FENDA SIMPLES 1/8" X 6" AÇO CROMO-VANADIO CROMADO/NIQUELADO CABO PVC RIGIDO</t>
  </si>
  <si>
    <t xml:space="preserve">25.03.0316</t>
  </si>
  <si>
    <t xml:space="preserve">BROCA SDS-PLUS 10MM</t>
  </si>
  <si>
    <t xml:space="preserve">24.09.0422</t>
  </si>
  <si>
    <t xml:space="preserve">SOQUETE ESTRIADO 28MM COM ENCAIXE  3/4"</t>
  </si>
  <si>
    <t xml:space="preserve">18.01.1263</t>
  </si>
  <si>
    <t xml:space="preserve">JUNÇÃO SIMPLES 50 X 50MM, ESGOTO SÉRIE NORMAL - TIGRE</t>
  </si>
  <si>
    <t xml:space="preserve">17.20.0669</t>
  </si>
  <si>
    <t xml:space="preserve">TUBO TERMOCONTRÁTIL 240MM</t>
  </si>
  <si>
    <t xml:space="preserve">17.16.0538</t>
  </si>
  <si>
    <t xml:space="preserve">TERMINAL OLHAL 2,5MM</t>
  </si>
  <si>
    <t xml:space="preserve">30.01.0066</t>
  </si>
  <si>
    <t xml:space="preserve">CANETA MARCA TEXTO LARANJA</t>
  </si>
  <si>
    <t xml:space="preserve">30.01.0067</t>
  </si>
  <si>
    <t xml:space="preserve">CANETA MARCA TEXTO ROSA</t>
  </si>
  <si>
    <t xml:space="preserve">18.02.0747</t>
  </si>
  <si>
    <t xml:space="preserve">ADAPTADOR MÚLTIPLO DE LIGA DE ALUMÍNIO INSTALAÇÃO AO TEMPO, DIÂMETRO NOMINAL 25 MM (Ø1")</t>
  </si>
  <si>
    <t xml:space="preserve">06.06.0014</t>
  </si>
  <si>
    <t xml:space="preserve">ACIDO MURIATICO LÍQUIDO INDUSTRIAL 1000ML</t>
  </si>
  <si>
    <t xml:space="preserve">30.01.0020</t>
  </si>
  <si>
    <t xml:space="preserve">BLOCO DE NOTAS AUTO-ADESIVO AMARELO 76,00MM X 76,00MM 150FLS</t>
  </si>
  <si>
    <t xml:space="preserve">24.09.0421</t>
  </si>
  <si>
    <t xml:space="preserve">SOQUETE ESTRIADO 26MM COM ENCAIXE  3/4"</t>
  </si>
  <si>
    <t xml:space="preserve">17.12.0467</t>
  </si>
  <si>
    <t xml:space="preserve">PLUG MACHO 2 AP 2 PINOS</t>
  </si>
  <si>
    <t xml:space="preserve">30.01.0753</t>
  </si>
  <si>
    <t xml:space="preserve">FITA DUPLA FACE ADELBRAS 12MMX20M</t>
  </si>
  <si>
    <t xml:space="preserve">17.07.0101</t>
  </si>
  <si>
    <t xml:space="preserve">CAIXA PASSAGEM/LIGAÇÃO ALUMÍNIO N, 2 ENTRADAS 25 MM (1"), LR, EXTERNA</t>
  </si>
  <si>
    <t xml:space="preserve">23.06.0256</t>
  </si>
  <si>
    <t xml:space="preserve">CONJUNTO PORCA + PARAFUSO SEXTAVADO - M10 X 35MM</t>
  </si>
  <si>
    <t xml:space="preserve">24.07.0005</t>
  </si>
  <si>
    <t xml:space="preserve">TRENA LONGA 30,00M CAIXA FECHADA ABS FITA FIBRA VIDRO</t>
  </si>
  <si>
    <t xml:space="preserve">33.02.1112</t>
  </si>
  <si>
    <t xml:space="preserve">TERMINAL METÁLICO TUBULAR 4 MM</t>
  </si>
  <si>
    <t xml:space="preserve">27.01.0397</t>
  </si>
  <si>
    <t xml:space="preserve">BANDAID COM 30 UNIDADES CADA</t>
  </si>
  <si>
    <t xml:space="preserve">17.01.1111</t>
  </si>
  <si>
    <t xml:space="preserve">FIO FLEXIVEL 2,5MM SIL</t>
  </si>
  <si>
    <t xml:space="preserve">27.01.0412</t>
  </si>
  <si>
    <t xml:space="preserve">CLORIDRATO DE FEXOFENADINA</t>
  </si>
  <si>
    <t xml:space="preserve">17.16.0548</t>
  </si>
  <si>
    <t xml:space="preserve">PINO PLUG ADAPTADOR TRIPOLAR REVERSOR 2P+T 20A</t>
  </si>
  <si>
    <t xml:space="preserve">19.08.0091</t>
  </si>
  <si>
    <t xml:space="preserve">TORNEIRA JARDIM 1/2 3/4 KRONA</t>
  </si>
  <si>
    <t xml:space="preserve">24.41.0089</t>
  </si>
  <si>
    <t xml:space="preserve">EXTENSÃO PARA SOQUETE ½ 5 POL FERRAMENTAS</t>
  </si>
  <si>
    <t xml:space="preserve">24.09.0497</t>
  </si>
  <si>
    <t xml:space="preserve">CHAVE PHILLIPS 1/8 X 6 N.10 160  036294  036294 160-1/8X6 GEDORE</t>
  </si>
  <si>
    <t xml:space="preserve">17.07.0100</t>
  </si>
  <si>
    <t xml:space="preserve">CAIXA PASSAGEM/LIGAÇÃO ALUMÍNIO N, 3 ENTRADAS 25 MM (1"), T, INTERNA</t>
  </si>
  <si>
    <t xml:space="preserve">24.09.0043</t>
  </si>
  <si>
    <t xml:space="preserve">CHAVE COMBINADA 27,00MM AÇO CARBONO CROMADO</t>
  </si>
  <si>
    <t xml:space="preserve">29.01.0971</t>
  </si>
  <si>
    <t xml:space="preserve">FONE INTRA AURICULAR COM MICROFONE PRETO</t>
  </si>
  <si>
    <t xml:space="preserve">17.20.0621</t>
  </si>
  <si>
    <t xml:space="preserve">CAIXA DE INSPEÇÃO P/ HASTE DE ATERRAMENTO EM PVC</t>
  </si>
  <si>
    <t xml:space="preserve">13.06.0364</t>
  </si>
  <si>
    <t xml:space="preserve">CADEADO 20MM</t>
  </si>
  <si>
    <t xml:space="preserve">24.15.0004</t>
  </si>
  <si>
    <t xml:space="preserve">MARTELO BOLA AÇO CROMO-VANADIO 300G CABO FIBRA VIDRO EMPUNHADURA BORRACHA</t>
  </si>
  <si>
    <t xml:space="preserve">30.01.0289</t>
  </si>
  <si>
    <t xml:space="preserve">PASTA ABA ELÁSTICO POLIPROPILENO CRISTAL OFICIO LOMBO 35MM</t>
  </si>
  <si>
    <t xml:space="preserve">24.29.0002</t>
  </si>
  <si>
    <t xml:space="preserve">PULVERIZADOR DE ALTA PRESSÃO 5 LT</t>
  </si>
  <si>
    <t xml:space="preserve">33.02.1026</t>
  </si>
  <si>
    <t xml:space="preserve">BOTÃO DE EMERGÊNCIA</t>
  </si>
  <si>
    <t xml:space="preserve">29.01.1374</t>
  </si>
  <si>
    <t xml:space="preserve">EXTENSÃO 3 TOMADAS  5M 10A - TRAMONTINA</t>
  </si>
  <si>
    <t xml:space="preserve">24.09.0703</t>
  </si>
  <si>
    <t xml:space="preserve">CHAVE SOQUETE 28,00MM C/ ENCAIXE DE 3/4"</t>
  </si>
  <si>
    <t xml:space="preserve">24.41.0392</t>
  </si>
  <si>
    <t xml:space="preserve">CHAVE SOQUETE DE IMPACTO LONGA 24 DE 1"</t>
  </si>
  <si>
    <t xml:space="preserve">18.09.0010</t>
  </si>
  <si>
    <t xml:space="preserve">REGISTRO ESFERA BRONZE 1.1/2" ROSCAVEL ALAVANCA VED BORRACHA NITRILICA NBR 10283</t>
  </si>
  <si>
    <t xml:space="preserve">23.08.0085</t>
  </si>
  <si>
    <t xml:space="preserve">BUCHA TERMINAL EM LIGA DE ALUMÍNIO, ALTA RESISTÊNCIA MECÂNICA E À CORROSÃO, PARA ELETRODUTO 3/4", ROSCA BSP</t>
  </si>
  <si>
    <t xml:space="preserve">23.07.1401</t>
  </si>
  <si>
    <t xml:space="preserve">PARAFUSO INOX SEXTAVADO 4 X 12MM</t>
  </si>
  <si>
    <t xml:space="preserve">23.08.0027</t>
  </si>
  <si>
    <t xml:space="preserve">BUCHA NYLON 8,00MM FIXACAO PARAFUSO</t>
  </si>
  <si>
    <t xml:space="preserve">23.05.0287</t>
  </si>
  <si>
    <t xml:space="preserve">ARRUELA LISA DE AÇO, INXODÁVEL, BITOLA M10</t>
  </si>
  <si>
    <t xml:space="preserve">24.09.0144</t>
  </si>
  <si>
    <t xml:space="preserve">CHAVE GRIFO AÇO CR-V 18"</t>
  </si>
  <si>
    <t xml:space="preserve">23.05.0191</t>
  </si>
  <si>
    <t xml:space="preserve">ARRUELA QUADRADA, EM AÇO CARBONO PARA PARAFUSO M16</t>
  </si>
  <si>
    <t xml:space="preserve">30.04.0009</t>
  </si>
  <si>
    <t xml:space="preserve">BANDEJA AÇO INOX ALTO BRILHO REDONDA 350,00MM</t>
  </si>
  <si>
    <t xml:space="preserve">30.01.0235</t>
  </si>
  <si>
    <t xml:space="preserve">GRAMPOS PARA GRAMPEADOR 26/6 GALVANIZADOS C/ 5000UN</t>
  </si>
  <si>
    <t xml:space="preserve">17.02.0011</t>
  </si>
  <si>
    <t xml:space="preserve">ELETRODUTO PVC ANTICHAMA RIGIDO ROSCAVEL PRETO 3" X 3,00M NBR 15465</t>
  </si>
  <si>
    <t xml:space="preserve">23.01.0063</t>
  </si>
  <si>
    <t xml:space="preserve">TRAVA ROSCA LOCTITE 243</t>
  </si>
  <si>
    <t xml:space="preserve">23.07.1577</t>
  </si>
  <si>
    <t xml:space="preserve">PARAFUSO SEXTAVADO AÇO INOX, ROSCA TOTAL, M6 X 30 MM</t>
  </si>
  <si>
    <t xml:space="preserve">25.03.0171</t>
  </si>
  <si>
    <t xml:space="preserve">BROCA CONCRETO 8MM</t>
  </si>
  <si>
    <t xml:space="preserve">30.05.0134</t>
  </si>
  <si>
    <t xml:space="preserve">PIZZA</t>
  </si>
  <si>
    <t xml:space="preserve">17.20.0157</t>
  </si>
  <si>
    <t xml:space="preserve">ARRUELA LISA GALVANIZADA 3/8”</t>
  </si>
  <si>
    <t xml:space="preserve">24.33.0003</t>
  </si>
  <si>
    <t xml:space="preserve">BLOCO DE ESPUMA 12,00 CM X 6,00 CM X 22,00 CM</t>
  </si>
  <si>
    <t xml:space="preserve">23.05.0308</t>
  </si>
  <si>
    <t xml:space="preserve">ARRUELA LISA DE ACO, GALVANIZADA A FOGO, BITOLA M12</t>
  </si>
  <si>
    <t xml:space="preserve">32.12.0189</t>
  </si>
  <si>
    <t xml:space="preserve">FUNIL DE PLÁSTICO COM DIRECIONADOR 370 ML PARA TROCA DE ÓLEO</t>
  </si>
  <si>
    <t xml:space="preserve">17.01.1097</t>
  </si>
  <si>
    <t xml:space="preserve">CABO 16MM² 750V PVC PRETO UNIPOLAR</t>
  </si>
  <si>
    <t xml:space="preserve">17.20.0077</t>
  </si>
  <si>
    <t xml:space="preserve">CONECTOR PARA HASTE ATERRAMENTO 5/8"</t>
  </si>
  <si>
    <t xml:space="preserve">17.12.0441</t>
  </si>
  <si>
    <t xml:space="preserve">ADAPTADOR PLUGUE DE TOMADA BENJAMIN 10A 16A 20A - PISSO GROSSO E PINO FINO BIVOLT 110V 220V</t>
  </si>
  <si>
    <t xml:space="preserve">19.01.0067</t>
  </si>
  <si>
    <t xml:space="preserve">CANTONEIRA DE ACO CARBONO TIPO L 1.1/2" X 1/8" X 1000 MM</t>
  </si>
  <si>
    <t xml:space="preserve">18.01.0260</t>
  </si>
  <si>
    <t xml:space="preserve">CURVA 90GR PVC SOLDAVEL 50,00MM</t>
  </si>
  <si>
    <t xml:space="preserve">30.03.0093</t>
  </si>
  <si>
    <t xml:space="preserve">VASSOURA NYLON BASE MADEIRA GARI</t>
  </si>
  <si>
    <t xml:space="preserve">18.09.0244</t>
  </si>
  <si>
    <t xml:space="preserve">VÁLVULA SUCÇÃO PLÁSTICA DN Ø 32,00MM (1”) NBR 10283</t>
  </si>
  <si>
    <t xml:space="preserve">18.02.0685</t>
  </si>
  <si>
    <t xml:space="preserve">FLANGE P/ CAIXA BRASILIT 32MM</t>
  </si>
  <si>
    <t xml:space="preserve">17.12.0490</t>
  </si>
  <si>
    <t xml:space="preserve">EXTENSÃO 3M PP 2P+T</t>
  </si>
  <si>
    <t xml:space="preserve">18.09.0348</t>
  </si>
  <si>
    <t xml:space="preserve">VALVULA BORBOLETA</t>
  </si>
  <si>
    <t xml:space="preserve">24.08.0149</t>
  </si>
  <si>
    <t xml:space="preserve">ALICATE CRIMPADOR E DECAPADOR DE FIO</t>
  </si>
  <si>
    <t xml:space="preserve">17.07.0106</t>
  </si>
  <si>
    <t xml:space="preserve">RACK ISOLADOR C/ 72MM X 72MM</t>
  </si>
  <si>
    <t xml:space="preserve">23.10.0072</t>
  </si>
  <si>
    <t xml:space="preserve">CHUMBADOR MECANICO COM PARAFUSO EM ACO GALVANIZADO 3/8 X 3 1/2 POLEGADAS</t>
  </si>
  <si>
    <t xml:space="preserve">17.20.0076</t>
  </si>
  <si>
    <t xml:space="preserve">CONECTOR PARA HASTE ATERRAMENTO 3/4"</t>
  </si>
  <si>
    <t xml:space="preserve">17.02.0742</t>
  </si>
  <si>
    <t xml:space="preserve">ELETRODUTO PVC RÍGIDO 1" VARA COM 3M</t>
  </si>
  <si>
    <t xml:space="preserve">30.01.0102</t>
  </si>
  <si>
    <t xml:space="preserve">CLIPE P/ PAPEL 8/0 GALVANIZADOS CAIXA 25UN</t>
  </si>
  <si>
    <t xml:space="preserve">27.01.0135</t>
  </si>
  <si>
    <t xml:space="preserve">TANDRILAX 30 COMPRIMIDOS</t>
  </si>
  <si>
    <t xml:space="preserve">06.02.0048</t>
  </si>
  <si>
    <t xml:space="preserve">ADESIVO EM POLIURETANO PARA USO EM SUPERFÍCIES METÁLICAS , EM BISNAGAS DE 290 ML , RESISTENTE A RAIOS UV</t>
  </si>
  <si>
    <t xml:space="preserve">25.01.0210</t>
  </si>
  <si>
    <t xml:space="preserve">DISCO DESBASTE PARA METAL 4.1/2"</t>
  </si>
  <si>
    <t xml:space="preserve">17.04.0082</t>
  </si>
  <si>
    <t xml:space="preserve">TAMPA P/ CONDULETE 3/4" TOMADA SIMPLES PVC</t>
  </si>
  <si>
    <t xml:space="preserve">23.07.1188</t>
  </si>
  <si>
    <t xml:space="preserve">PARAFUSO CHIPBOARD FENDA PHILIPS CABEÇA CHATA AÇO CARBONO 6,0MM X 100,00MM ZINCADO BRANCO</t>
  </si>
  <si>
    <t xml:space="preserve">23.05.0216</t>
  </si>
  <si>
    <t xml:space="preserve">ARRUELA DE PRESSÃO M12 INOX - JARTEC - Cod. 1057</t>
  </si>
  <si>
    <t xml:space="preserve">24.09.0612</t>
  </si>
  <si>
    <t xml:space="preserve">CHAVE SOQUETE ENCAIXE 1/2" - ALLEN 6MM</t>
  </si>
  <si>
    <t xml:space="preserve">06.04.0072</t>
  </si>
  <si>
    <t xml:space="preserve">SELANTE ACRÍLICO 430G</t>
  </si>
  <si>
    <t xml:space="preserve">18.01.0216</t>
  </si>
  <si>
    <t xml:space="preserve">CAP PVC SOLDAVEL 50,00MM</t>
  </si>
  <si>
    <t xml:space="preserve">23.01.0050</t>
  </si>
  <si>
    <t xml:space="preserve">VULCANITE 160x1,00mm ROLO DE 1KG</t>
  </si>
  <si>
    <t xml:space="preserve">23.06.0327</t>
  </si>
  <si>
    <t xml:space="preserve">PORCA SEXTAVADA AÇO GALVANIZADO A FOGO ROSCA MÉTRICA M12</t>
  </si>
  <si>
    <t xml:space="preserve">30.11.0052</t>
  </si>
  <si>
    <t xml:space="preserve">ESCADA EM MDF PARA PORTA LEMBRANCINHAS</t>
  </si>
  <si>
    <t xml:space="preserve">30.01.0341</t>
  </si>
  <si>
    <t xml:space="preserve">PILHA ALCALINA AA 1,5V C/ 4,00UN</t>
  </si>
  <si>
    <t xml:space="preserve">25.03.0120</t>
  </si>
  <si>
    <t xml:space="preserve">BROCA SDS PLUS HELICOIDAL HASTE CILINDRICA AÇO NIQUEL-CROMO PONTA VIDEA 8,00MM X 160,00MM</t>
  </si>
  <si>
    <t xml:space="preserve">23.07.0712</t>
  </si>
  <si>
    <t xml:space="preserve">PARAFUSO CABEÇA QUADRADA GALV. M16 250MM</t>
  </si>
  <si>
    <t xml:space="preserve">30.01.0100</t>
  </si>
  <si>
    <t xml:space="preserve">CLIPE P/ PAPEL 4/0 GALVANIZADOS CAIXA 50UN</t>
  </si>
  <si>
    <t xml:space="preserve">18.01.1437</t>
  </si>
  <si>
    <t xml:space="preserve">TUBO PVC ESGOTO 50MM X 6M SÉRIE NORMAL</t>
  </si>
  <si>
    <t xml:space="preserve">25.03.0314</t>
  </si>
  <si>
    <t xml:space="preserve">BROCA SDS-PLUS 6MM</t>
  </si>
  <si>
    <t xml:space="preserve">17.04.0044</t>
  </si>
  <si>
    <t xml:space="preserve">SAPATA EXTERNA P/ PERFILADO 38,00 x 38,00MM, C/ 4 FUROS 114,00 x 114,00 x 46,60MM</t>
  </si>
  <si>
    <t xml:space="preserve">17.12.0516</t>
  </si>
  <si>
    <t xml:space="preserve">TAMPA CEGA P/ CONDULETE MULTIPLO 1", ALUMINIO C/ PINTURA EPOXI E PARAFUSOS</t>
  </si>
  <si>
    <t xml:space="preserve">27.01.0394</t>
  </si>
  <si>
    <t xml:space="preserve">DEXAMETASONA 4MG/ML (INJETÁVEL)</t>
  </si>
  <si>
    <t xml:space="preserve">25.03.0160</t>
  </si>
  <si>
    <t xml:space="preserve">BROCA AÇO RÁPIDO 8MM</t>
  </si>
  <si>
    <t xml:space="preserve">18.01.0635</t>
  </si>
  <si>
    <t xml:space="preserve">TE 90GR PVCS RIGIDO REFORCADO SOLDAVEL 100,00MM X 100,00MM P/ESGOTO</t>
  </si>
  <si>
    <t xml:space="preserve">27.01.0288</t>
  </si>
  <si>
    <t xml:space="preserve">IBUPROFENO 600 MG</t>
  </si>
  <si>
    <t xml:space="preserve">18.01.1215</t>
  </si>
  <si>
    <t xml:space="preserve">LUVA SOLDÁVEL COM ROSCA (LR) 32MMX1</t>
  </si>
  <si>
    <t xml:space="preserve">25.03.0131</t>
  </si>
  <si>
    <t xml:space="preserve">BROCA SDS PLUS HELICOIDAL HASTE CONICA AÇO NIQUEL-CROMO PONTA VIDEA 10,00MM X 160,00MM</t>
  </si>
  <si>
    <t xml:space="preserve">30.03.0124</t>
  </si>
  <si>
    <t xml:space="preserve">LIXEIRA PLÁSTICA COM PEDAL 13,50L</t>
  </si>
  <si>
    <t xml:space="preserve">17.03.0623</t>
  </si>
  <si>
    <t xml:space="preserve">SAIDA LATERAL SIMPLES PARA ELETRODUTO ACO GALVANIZADO A QUENTE 3/4 POL PERFILADO 38 X 38 MM</t>
  </si>
  <si>
    <t xml:space="preserve">25.03.0237</t>
  </si>
  <si>
    <t xml:space="preserve">JOGO DE BROCA AÇO RAPIDO 1MM A 13MM</t>
  </si>
  <si>
    <t xml:space="preserve">24.08.0007</t>
  </si>
  <si>
    <t xml:space="preserve">ALICATE P/ ANEL EXTERNO BICO  RETO 7" AÇO CROMO-VANADIO FOSFATIZADO EMPUNHADURA PVC  S/ISOLAMENTO</t>
  </si>
  <si>
    <t xml:space="preserve">33.02.1569</t>
  </si>
  <si>
    <t xml:space="preserve">MANGUEIRA (1135-350-7600) STIHL</t>
  </si>
  <si>
    <t xml:space="preserve">33.02.0063</t>
  </si>
  <si>
    <t xml:space="preserve">PARAFUSO SX 7/8 X 6 G5 UNC</t>
  </si>
  <si>
    <t xml:space="preserve">18.09.0409</t>
  </si>
  <si>
    <t xml:space="preserve">REGISTRO DE PRESSAO SOLDAVEL PVC BRANCO REDONDO 25MM</t>
  </si>
  <si>
    <t xml:space="preserve">27.01.0327</t>
  </si>
  <si>
    <t xml:space="preserve">LIDOCAÍNA SPRAY 100MG/ML</t>
  </si>
  <si>
    <t xml:space="preserve">33.02.0101</t>
  </si>
  <si>
    <t xml:space="preserve">CORREIA</t>
  </si>
  <si>
    <t xml:space="preserve">33.02.1570</t>
  </si>
  <si>
    <t xml:space="preserve">VELA DE IGNINIÇÃO NGK BPMR7A (0000-400-7000) STHIL</t>
  </si>
  <si>
    <t xml:space="preserve">24.09.0045</t>
  </si>
  <si>
    <t xml:space="preserve">CHAVE COMBINADA 30,00MM AÇO CARBONO CROMADO</t>
  </si>
  <si>
    <t xml:space="preserve">24.09.0046</t>
  </si>
  <si>
    <t xml:space="preserve">CHAVE COMBINADA 32,00MM AÇO CARBONO CROMADO</t>
  </si>
  <si>
    <t xml:space="preserve">30.01.0080</t>
  </si>
  <si>
    <t xml:space="preserve">CANETA MARCADOR PERMANENTE PRETO</t>
  </si>
  <si>
    <t xml:space="preserve">17.20.0533</t>
  </si>
  <si>
    <t xml:space="preserve">CAIXA DE INSPEÇÃO P/ ATERRAMENTO N1 200X232MM</t>
  </si>
  <si>
    <t xml:space="preserve">18.09.0332</t>
  </si>
  <si>
    <t xml:space="preserve">REGISTRO DE ESFERA SOLDAVEL PVC 25MM MARROM</t>
  </si>
  <si>
    <t xml:space="preserve">99.00.3602</t>
  </si>
  <si>
    <t xml:space="preserve">TUBO PVC RIGIDO SOLDAVEL ÁGUA FRIA 60,00MM X 6,00M NBR 5648</t>
  </si>
  <si>
    <t xml:space="preserve">24.40.0002</t>
  </si>
  <si>
    <t xml:space="preserve">PONTEIRO SEXTAVADO EM AÇO FORJADO 3/4" X 8" (19,00MM X 203,00MM)</t>
  </si>
  <si>
    <t xml:space="preserve">24.40.0024</t>
  </si>
  <si>
    <t xml:space="preserve">TALHADEIRA EM AÇO, SDS MAX – 18MM X 400MM – P/MARTELO ROMPEDOR ATÉ 11KG</t>
  </si>
  <si>
    <t xml:space="preserve">18.01.0994</t>
  </si>
  <si>
    <t xml:space="preserve">TUBO PVC RIGIDO COLETOR ESGOTO 100,00MM NBR 5648</t>
  </si>
  <si>
    <t xml:space="preserve">15.02.0035</t>
  </si>
  <si>
    <t xml:space="preserve">MANTA FITA ASFÁLTICA AUTO ADESIVO MULTIUSO ALUMÍNIO 30CM</t>
  </si>
  <si>
    <t xml:space="preserve">32.07.0159</t>
  </si>
  <si>
    <t xml:space="preserve">MACARICO SOLDA CANETA CORTE ACETILENO / GLP / GN 530MM C53190 ESAB/CONDOR</t>
  </si>
  <si>
    <t xml:space="preserve">24.09.0650</t>
  </si>
  <si>
    <t xml:space="preserve">KIT CHAVES FENDA/PHILIPS ISOLADO 6 PEÇAS 100V</t>
  </si>
  <si>
    <t xml:space="preserve">25.03.0397</t>
  </si>
  <si>
    <t xml:space="preserve">PONTEIRO SDS PLUS 14X250MM</t>
  </si>
  <si>
    <t xml:space="preserve">13.06.0055</t>
  </si>
  <si>
    <t xml:space="preserve">DOBRADIÇA DE CANTO ZINCADA  2" NBR 7178</t>
  </si>
  <si>
    <t xml:space="preserve">30.01.0314</t>
  </si>
  <si>
    <t xml:space="preserve">PASTA SANFONADA PLÁSTICO OFICIO CRISTAL C/ 12 DIVISÓRIAS</t>
  </si>
  <si>
    <t xml:space="preserve">09.08.0083</t>
  </si>
  <si>
    <t xml:space="preserve">TAMPA DE CONCRETO ARMADO 15 X 96 X 6 CM</t>
  </si>
  <si>
    <t xml:space="preserve">23.07.1608</t>
  </si>
  <si>
    <t xml:space="preserve">PARAFUSO ROSCA SOBERBA AÇO INOX CABEÇA SEXTAVADA 1/4" X 45 MM</t>
  </si>
  <si>
    <t xml:space="preserve">24.09.0044</t>
  </si>
  <si>
    <t xml:space="preserve">CHAVE COMBINADA 28,00MM AÇO CARBONO CROMADO</t>
  </si>
  <si>
    <t xml:space="preserve">25.03.0196</t>
  </si>
  <si>
    <t xml:space="preserve">BROCA CONCRETO 5MM</t>
  </si>
  <si>
    <t xml:space="preserve">23.08.0089</t>
  </si>
  <si>
    <t xml:space="preserve">BUCHA DE REDUÇÃO EM LIGA DE ALUMÍNIO, ALTA RESISTÊNCIA MECÂNICA E À CORROSÃO, DE 1" PARA 3/4"</t>
  </si>
  <si>
    <t xml:space="preserve">13.06.0178</t>
  </si>
  <si>
    <t xml:space="preserve">ROLDANA COM GANCHO NR 10</t>
  </si>
  <si>
    <t xml:space="preserve">33.02.0078</t>
  </si>
  <si>
    <t xml:space="preserve">COLA SILICONE PRETA</t>
  </si>
  <si>
    <t xml:space="preserve">25.10.0023</t>
  </si>
  <si>
    <t xml:space="preserve">CORDA DE SEDA POLIÉSTER TRANÇADA 10MM</t>
  </si>
  <si>
    <t xml:space="preserve">24.41.0054</t>
  </si>
  <si>
    <t xml:space="preserve">JUNTA UNIVERSAL ARTICULADA PARA SOQUETE ENCAIXE DE 1/2"</t>
  </si>
  <si>
    <t xml:space="preserve">18.09.0020</t>
  </si>
  <si>
    <t xml:space="preserve">REGISTRO ESFERA BRONZE 1" ROSCAVEL BORBOLETA VED BORRACHA NITRILICA NBR 10283</t>
  </si>
  <si>
    <t xml:space="preserve">17.16.0345</t>
  </si>
  <si>
    <t xml:space="preserve">CONECTOR P/ HASTE ATERRAMENTO1/2" TIPO GRAMPO</t>
  </si>
  <si>
    <t xml:space="preserve">17.12.0431</t>
  </si>
  <si>
    <t xml:space="preserve">TOMADA SIMPLES PARA CONDULETE 1"</t>
  </si>
  <si>
    <t xml:space="preserve">30.05.0174</t>
  </si>
  <si>
    <t xml:space="preserve">SANDUICHE DE PÃO BRIOCHE</t>
  </si>
  <si>
    <t xml:space="preserve">23.06.0124</t>
  </si>
  <si>
    <t xml:space="preserve">PORCA SEXTAVADA 4,00 MM ZINCADO BRANCO</t>
  </si>
  <si>
    <t xml:space="preserve">23.05.0234</t>
  </si>
  <si>
    <t xml:space="preserve">ARRUELA LISA INOX 304 8MM"</t>
  </si>
  <si>
    <t xml:space="preserve">23.05.0285</t>
  </si>
  <si>
    <t xml:space="preserve">ARRUELA LISA DE AÇO, INXODÁVEL, BITOLA M6</t>
  </si>
  <si>
    <t xml:space="preserve">29.03.0402</t>
  </si>
  <si>
    <t xml:space="preserve">CONJUNTO DE ESTRUTURA PARA FIXAÇÃO DE UNIDADE EVAPORADORA DE 18.000 BTU/H, FORNECIDO COM MATERIAIS PARA FIXAÇÃO</t>
  </si>
  <si>
    <t xml:space="preserve">30.01.0049</t>
  </si>
  <si>
    <t xml:space="preserve">CANETA ESFEROGRÁFICA PONTA FINA PRETA</t>
  </si>
  <si>
    <t xml:space="preserve">23.02.0338</t>
  </si>
  <si>
    <t xml:space="preserve">ABRAÇADEIRA GALVANIZADA TIPO "D"  C/ CUNHA 1/2"</t>
  </si>
  <si>
    <t xml:space="preserve">23.05.0012</t>
  </si>
  <si>
    <t xml:space="preserve">ARRUELA EM ALUMÍNIO PARA ELETRODUTO 3/4" ROSCA BSP</t>
  </si>
  <si>
    <t xml:space="preserve">29.01.0837</t>
  </si>
  <si>
    <t xml:space="preserve">CAPA PARA NOTEBOOK NEOPRENE</t>
  </si>
  <si>
    <t xml:space="preserve">24.09.0566</t>
  </si>
  <si>
    <t xml:space="preserve">KIT CHAVE DE FENDA E PHILLIPS</t>
  </si>
  <si>
    <t xml:space="preserve">18.02.0735</t>
  </si>
  <si>
    <t xml:space="preserve">REDUÇÃO C/R EM ALUMINIO  1.1/2 X 3/4</t>
  </si>
  <si>
    <t xml:space="preserve">24.41.0413</t>
  </si>
  <si>
    <t xml:space="preserve">EXTENSÃO 6" PARA SOQUETE ENCAIXE 1/4"</t>
  </si>
  <si>
    <t xml:space="preserve">27.01.0193</t>
  </si>
  <si>
    <t xml:space="preserve">CLOPIDOGREL (BISSULFAT)</t>
  </si>
  <si>
    <t xml:space="preserve">27.01.0197</t>
  </si>
  <si>
    <t xml:space="preserve">SIMETICONA GTS MEDLEY</t>
  </si>
  <si>
    <t xml:space="preserve">24.41.0370</t>
  </si>
  <si>
    <t xml:space="preserve">SOQUETE TIPO CANHÃO 8 MM</t>
  </si>
  <si>
    <t xml:space="preserve">27.01.0456</t>
  </si>
  <si>
    <t xml:space="preserve">CETOROLACO TROMETAMOL</t>
  </si>
  <si>
    <t xml:space="preserve">16.05.0084</t>
  </si>
  <si>
    <t xml:space="preserve">BROXA RETANGULAR 003 GD (PINCEL CAIAR)</t>
  </si>
  <si>
    <t xml:space="preserve">17.02.0270</t>
  </si>
  <si>
    <t xml:space="preserve">LUVA ELETRODUTO AÇO GALVANIZADO 1/2"</t>
  </si>
  <si>
    <t xml:space="preserve">26.03.0004</t>
  </si>
  <si>
    <t xml:space="preserve">CAPACETE COM ABA FRONTAL (TIPO II) C/ CARNEIRA - COR VERDE (CA-8562/25856/29792)</t>
  </si>
  <si>
    <t xml:space="preserve">17.19.0012</t>
  </si>
  <si>
    <t xml:space="preserve">FITA ISOLANTE 750V 19,00MM X 20,00M VERMELHO</t>
  </si>
  <si>
    <t xml:space="preserve">33.02.3118</t>
  </si>
  <si>
    <t xml:space="preserve">POLIA 1128-195-0400</t>
  </si>
  <si>
    <t xml:space="preserve">25.03.0179</t>
  </si>
  <si>
    <t xml:space="preserve">BROCA AÇO RÁPIDO 7MM</t>
  </si>
  <si>
    <t xml:space="preserve">23.06.0098</t>
  </si>
  <si>
    <t xml:space="preserve">PORCA SEXTAVADA 5/8 G8 UNC</t>
  </si>
  <si>
    <t xml:space="preserve">23.02.0327</t>
  </si>
  <si>
    <t xml:space="preserve">ABRAÇADEIRA NYLON 300 X 3,7MM NATURAL PCT COM 100</t>
  </si>
  <si>
    <t xml:space="preserve">19.08.0059</t>
  </si>
  <si>
    <t xml:space="preserve">TORNEIRA PARA JARDIM E TANQUE METAL – LINK CR DECA NBR 10283</t>
  </si>
  <si>
    <t xml:space="preserve">24.05.0027</t>
  </si>
  <si>
    <t xml:space="preserve">NIVEL ALUMINIO 350MM</t>
  </si>
  <si>
    <t xml:space="preserve">30.01.0750</t>
  </si>
  <si>
    <t xml:space="preserve">ESTILETE PROFISSIONAL 18MM</t>
  </si>
  <si>
    <t xml:space="preserve">17.02.0716</t>
  </si>
  <si>
    <t xml:space="preserve">ELETRODUTO FLEXÍVEL CORRUADO 1"</t>
  </si>
  <si>
    <t xml:space="preserve">17.16.0116</t>
  </si>
  <si>
    <t xml:space="preserve">TERMINAL PRE-ISOLADO OLHAL COBRE ESTANHADO 10,00MM2</t>
  </si>
  <si>
    <t xml:space="preserve">27.01.0387</t>
  </si>
  <si>
    <t xml:space="preserve">PAPEL LENÇOL PARA MACA 50x50cm</t>
  </si>
  <si>
    <t xml:space="preserve">25.03.0117</t>
  </si>
  <si>
    <t xml:space="preserve">BROCA SDS PLUS HELICOIDAL HASTE CILINDRICA AÇO NIQUEL-CROMO PONTA VIDEA 6,00MM X 160,00MM</t>
  </si>
  <si>
    <t xml:space="preserve">24.08.0036</t>
  </si>
  <si>
    <t xml:space="preserve">ALICATE ANEL INTERNO CURVO</t>
  </si>
  <si>
    <t xml:space="preserve">18.01.0357</t>
  </si>
  <si>
    <t xml:space="preserve">JOELHO 90GR PVC REFORCADO SOLDAVEL 50,00MM P/ESGOTO</t>
  </si>
  <si>
    <t xml:space="preserve">30.02.0127</t>
  </si>
  <si>
    <t xml:space="preserve">REFIL DE TINTA EPSON T544120-AL AMARELO</t>
  </si>
  <si>
    <t xml:space="preserve">18.01.1357</t>
  </si>
  <si>
    <t xml:space="preserve">JOELHO 90 LR AMANCO 20X1/2</t>
  </si>
  <si>
    <t xml:space="preserve">17.02.0090</t>
  </si>
  <si>
    <t xml:space="preserve">CURVA 90GR ELETRODUTO AÇO CARBONO ZINCADO LEVE BSP 11 FIOS 1.1/2" X 47,10MM</t>
  </si>
  <si>
    <t xml:space="preserve">32.12.0191</t>
  </si>
  <si>
    <t xml:space="preserve">MULTIMETRO DIGITAL CAPACIMETRO DIGITAL MD-180L, COM BATERIA PORTÁTIL</t>
  </si>
  <si>
    <t xml:space="preserve">18.01.1343</t>
  </si>
  <si>
    <t xml:space="preserve">ADAPTADOR FLANGE ANEL 25X3/4 PLASTUBOS</t>
  </si>
  <si>
    <t xml:space="preserve">16.05.0134</t>
  </si>
  <si>
    <t xml:space="preserve">SUPORTE PARA ROLO DE PINTURA TIPO GAIOLA 230,00 MM</t>
  </si>
  <si>
    <t xml:space="preserve">18.01.1326</t>
  </si>
  <si>
    <t xml:space="preserve">TE SOLDAVEL 25MM</t>
  </si>
  <si>
    <t xml:space="preserve">18.01.1359</t>
  </si>
  <si>
    <t xml:space="preserve">LUVA SOLDÁVEL 25MM</t>
  </si>
  <si>
    <t xml:space="preserve">25.03.0185</t>
  </si>
  <si>
    <t xml:space="preserve">BROCA SDS PLUS – HASTE DE ENCAIXE – 14,00MM X 160,00MM</t>
  </si>
  <si>
    <t xml:space="preserve">09.22.0002</t>
  </si>
  <si>
    <t xml:space="preserve">PEDESTAL PARA OPACÍMETRO SMOKE CHECK 2000</t>
  </si>
  <si>
    <t xml:space="preserve">17.02.0924</t>
  </si>
  <si>
    <t xml:space="preserve">LUVA DE PVC RIGIDO, DIAMETRO NOMINAL 32 MM, COM ROSCA, REFERENCIA DE BITOLA 1" BSP, TIPO PESADO, COR PRETA</t>
  </si>
  <si>
    <t xml:space="preserve">23.06.0278</t>
  </si>
  <si>
    <t xml:space="preserve">PORCA SEXTAVADA 1/4" GALVANIZADA</t>
  </si>
  <si>
    <t xml:space="preserve">27.01.0331</t>
  </si>
  <si>
    <t xml:space="preserve">DESLORATADINA 5MG CX 10 COMP</t>
  </si>
  <si>
    <t xml:space="preserve">23.07.1184</t>
  </si>
  <si>
    <t xml:space="preserve">PARAFUSO DENTE CONCHA</t>
  </si>
  <si>
    <t xml:space="preserve">26.03.0021</t>
  </si>
  <si>
    <t xml:space="preserve">JUGULAR FITA PARA CAPACETE</t>
  </si>
  <si>
    <t xml:space="preserve">17.16.3816</t>
  </si>
  <si>
    <t xml:space="preserve">PRENSA CABO MACHO EM LIGA DE ALUMÍNIO BITOLA 3/4", DIÂMETRO DE APERTO DE 10 A 12,5 MM</t>
  </si>
  <si>
    <t xml:space="preserve">17.12.0177</t>
  </si>
  <si>
    <t xml:space="preserve">INTERRUPTOR 2 SEÇÕES SIMPLES</t>
  </si>
  <si>
    <t xml:space="preserve">18.08.0026</t>
  </si>
  <si>
    <t xml:space="preserve">SIFAO SANFONADO PVC BRANCO 1.1/2" X 50,00MM SAIDA ROSCAVEL PIA/TANQUE UN</t>
  </si>
  <si>
    <t xml:space="preserve">17.02.0937</t>
  </si>
  <si>
    <t xml:space="preserve">CURVA 90 ACO CARBONO GALVANIZADO, ROSCADA, DN 25 MM (3/4" BSP), TIPO PESADO</t>
  </si>
  <si>
    <t xml:space="preserve">24.53.0002</t>
  </si>
  <si>
    <t xml:space="preserve">GRAMPEADOR PROFISSIONAL 26/6</t>
  </si>
  <si>
    <t xml:space="preserve">17.11.1006</t>
  </si>
  <si>
    <t xml:space="preserve">PLAFONIER 1 LÂMPADA BRANCO PLÁSTICO ECONOMIC - SOQUETE E27</t>
  </si>
  <si>
    <t xml:space="preserve">23.07.0937</t>
  </si>
  <si>
    <t xml:space="preserve">PARAFUSO CABEÇA LENTILHA 1/4" X 5/8"</t>
  </si>
  <si>
    <t xml:space="preserve">17.16.0659</t>
  </si>
  <si>
    <t xml:space="preserve">TERMINAL ILHÓS DUPLO PRÉ-ISOLADO 4MM²</t>
  </si>
  <si>
    <t xml:space="preserve">17.02.0100</t>
  </si>
  <si>
    <t xml:space="preserve">CURVA 90GR ELETRODUTO ALUMÍNIO BSP 3/4" X 26,90MM</t>
  </si>
  <si>
    <t xml:space="preserve">17.16.0205</t>
  </si>
  <si>
    <t xml:space="preserve">18.03.0159</t>
  </si>
  <si>
    <t xml:space="preserve">CURVA 90GR PVC PRETO C/ROSCA 3/4" P/ ELETRODUTO CONDULETE NBR 15465</t>
  </si>
  <si>
    <t xml:space="preserve">18.10.0067</t>
  </si>
  <si>
    <t xml:space="preserve">ADESIVO PLÁSTICO TUBOS / CONEXOES PVC RIGIDO 175 G</t>
  </si>
  <si>
    <t xml:space="preserve">23.06.0195</t>
  </si>
  <si>
    <t xml:space="preserve">PORCA QUADRADA M16</t>
  </si>
  <si>
    <t xml:space="preserve">17.16.0527</t>
  </si>
  <si>
    <t xml:space="preserve">TERMINAL TIPO PINO PRE-ISOLADO 10MM²</t>
  </si>
  <si>
    <t xml:space="preserve">17.13.0021</t>
  </si>
  <si>
    <t xml:space="preserve">RELÉ FOTOELÉTRICO 220V, 1000W, NF, PARA ILUMINAÇÃO, EXTERNO</t>
  </si>
  <si>
    <t xml:space="preserve">17.12.0375</t>
  </si>
  <si>
    <t xml:space="preserve">INTERRUPTOR 02 TECLAS SIMPLES</t>
  </si>
  <si>
    <t xml:space="preserve">36.04.0012</t>
  </si>
  <si>
    <t xml:space="preserve">FITA MICROPORE ADESIVA HIPOALERGÊNICA 5 MM X 10 M</t>
  </si>
  <si>
    <t xml:space="preserve">27.01.0431</t>
  </si>
  <si>
    <t xml:space="preserve">FIO DE SUTURA NYLON 0,3</t>
  </si>
  <si>
    <t xml:space="preserve">27.01.0194</t>
  </si>
  <si>
    <t xml:space="preserve">SULFADIAZINA DE PRATA</t>
  </si>
  <si>
    <t xml:space="preserve">19.08.0013</t>
  </si>
  <si>
    <t xml:space="preserve">TORNEIRA JARDIM COBRE CROMADO 1/2" REF 1130 FIESTA DOCOL NBR 10283</t>
  </si>
  <si>
    <t xml:space="preserve">23.06.0005</t>
  </si>
  <si>
    <t xml:space="preserve">PORCA SEXTAVADA AÇO CARBONO GRAU 2/CLASSE 6 UNC 1/2" 13 FIOS ANSI/ASME B18.2.2 GALVANIZADO A FOGO</t>
  </si>
  <si>
    <t xml:space="preserve">18.01.1274</t>
  </si>
  <si>
    <t xml:space="preserve">TUBO SOLDÁVEL MARROM 32MM</t>
  </si>
  <si>
    <t xml:space="preserve">17.16.0578</t>
  </si>
  <si>
    <t xml:space="preserve">TERMINAL OLHAL, SEÇÃO 35MM²</t>
  </si>
  <si>
    <t xml:space="preserve">07.01.0020</t>
  </si>
  <si>
    <t xml:space="preserve">ARGAMASSA AC3 PARA ASSENTAMENTO</t>
  </si>
  <si>
    <t xml:space="preserve">24.09.0057</t>
  </si>
  <si>
    <t xml:space="preserve">CHAVE ESTRELA 10,00MM X 11,00MM AÇO CARBONO CROMADO</t>
  </si>
  <si>
    <t xml:space="preserve">23.12.0034</t>
  </si>
  <si>
    <t xml:space="preserve">REBITE ALUMINIO NATURAL  1/8”X12,00MM</t>
  </si>
  <si>
    <t xml:space="preserve">23.12.0061</t>
  </si>
  <si>
    <t xml:space="preserve">REBITE 312</t>
  </si>
  <si>
    <t xml:space="preserve">17.02.0874</t>
  </si>
  <si>
    <t xml:space="preserve">BUCHA LIGA ALUMÍNIO, ALTA RESISTÊNCIA MECÂNICA E CORROSÃO, 3" ROSCA BSP</t>
  </si>
  <si>
    <t xml:space="preserve">17.02.0193</t>
  </si>
  <si>
    <t xml:space="preserve">TAMPÃO/TERMINAL P/ELETRODUTO PEAD 75,00MM (3") NBR 15715</t>
  </si>
  <si>
    <t xml:space="preserve">23.03.0005</t>
  </si>
  <si>
    <t xml:space="preserve">PREGO COMUM C/CABECA AÇO TEMPERADO 1.1/2" X 15 REF 13 X 18</t>
  </si>
  <si>
    <t xml:space="preserve">34.02.0265</t>
  </si>
  <si>
    <t xml:space="preserve">PASTA DE VEDAÇÃO</t>
  </si>
  <si>
    <t xml:space="preserve">13.06.0042</t>
  </si>
  <si>
    <t xml:space="preserve">TARJETA ZINCADA 63MM - 2.1/2"</t>
  </si>
  <si>
    <t xml:space="preserve">16.03.0169</t>
  </si>
  <si>
    <t xml:space="preserve">VERNIZ OSMOCOLOR NATURAL - GL3,6 NBR 11702</t>
  </si>
  <si>
    <t xml:space="preserve">16.05.0095</t>
  </si>
  <si>
    <t xml:space="preserve">MISTURADOR METÁLICO DE TINTA</t>
  </si>
  <si>
    <t xml:space="preserve">34.02.1045</t>
  </si>
  <si>
    <t xml:space="preserve">TERMINAL MACHO MAGUEIRA DE COMBUSTÍVEL 1”</t>
  </si>
  <si>
    <t xml:space="preserve">28.01.0578</t>
  </si>
  <si>
    <t xml:space="preserve">PLACA M1 - 300X400 MM</t>
  </si>
  <si>
    <t xml:space="preserve">17.02.0859</t>
  </si>
  <si>
    <t xml:space="preserve">CURVA 90º DE AÇO CARBONO, GALVANIZADO A QUENTE, DIÂMETRO NOMINAL 25mm, COM ROSCA, REFERÊNCIA DE BITOLA 1" BSP</t>
  </si>
  <si>
    <t xml:space="preserve">17.21.0116</t>
  </si>
  <si>
    <t xml:space="preserve">FLANGE PARA ELETROCALHA 200 X 100 MM AÇO GALVANIZADO A QUENTE</t>
  </si>
  <si>
    <t xml:space="preserve">17.02.0273</t>
  </si>
  <si>
    <t xml:space="preserve">LUVA DE EMENDA P/ELETRODUTO PEAD 180MM</t>
  </si>
  <si>
    <t xml:space="preserve">33.02.3123</t>
  </si>
  <si>
    <t xml:space="preserve">CHAPA DE REFRIGERAÇÃO DE ALUMINIO 1135-141-3200</t>
  </si>
  <si>
    <t xml:space="preserve">23.12.0040</t>
  </si>
  <si>
    <t xml:space="preserve">REBITE REPUXO ALUMÍNIO 5,00MM X 12,00MM</t>
  </si>
  <si>
    <t xml:space="preserve">17.02.0161</t>
  </si>
  <si>
    <t xml:space="preserve">LUVA P/ELETRODUTO PVC C/ROSCA PRETO 3"</t>
  </si>
  <si>
    <t xml:space="preserve">18.09.0026</t>
  </si>
  <si>
    <t xml:space="preserve">REGISTRO ESFERA BRONZE 25,00MM SOLDAVEL FECHO RAPIDO VED TEFLON NBR 10283</t>
  </si>
  <si>
    <t xml:space="preserve">16.05.0174</t>
  </si>
  <si>
    <t xml:space="preserve">ROLO LÃ P/ PINTURA 18CM</t>
  </si>
  <si>
    <t xml:space="preserve">23.07.1593</t>
  </si>
  <si>
    <t xml:space="preserve">PARAFUSO SEXTAVADO INOX 3/16" X 3/4"</t>
  </si>
  <si>
    <t xml:space="preserve">30.01.0580</t>
  </si>
  <si>
    <t xml:space="preserve">CONTRA CAPA ENCADERNACAO A4 - COR CRISTAL</t>
  </si>
  <si>
    <t xml:space="preserve">23.07.1617</t>
  </si>
  <si>
    <t xml:space="preserve">PARAFUSO DE FIXAÇÃO COM BUCHA 8MM</t>
  </si>
  <si>
    <t xml:space="preserve">13.06.0141</t>
  </si>
  <si>
    <t xml:space="preserve">PORTA CADEADO 110X44</t>
  </si>
  <si>
    <t xml:space="preserve">18.09.0394</t>
  </si>
  <si>
    <t xml:space="preserve">TÊ ROSCÁVEL EM PVC DIÂMETRO 1 1/2"</t>
  </si>
  <si>
    <t xml:space="preserve">33.02.1695</t>
  </si>
  <si>
    <t xml:space="preserve">PARAFUSO IS MSX16 MOTOSSERRA</t>
  </si>
  <si>
    <t xml:space="preserve">17.20.0457</t>
  </si>
  <si>
    <t xml:space="preserve">TERMINAL DE COMPRESSÃO TIPO OLHAL 95mm² COM FURO M10</t>
  </si>
  <si>
    <t xml:space="preserve">24.09.0709</t>
  </si>
  <si>
    <t xml:space="preserve">JOGO DE CHAVE DE BOCA 8 A 14 MM</t>
  </si>
  <si>
    <t xml:space="preserve">17.02.0925</t>
  </si>
  <si>
    <t xml:space="preserve">LUVA DE PVC RIGIDO, DIAMETRO NOMINAL 60 MM, COM ROSCA, REFERENCIA DE BITOLA 2" BSP, TIPO PESADO, COR PRETA</t>
  </si>
  <si>
    <t xml:space="preserve">17.02.0841</t>
  </si>
  <si>
    <t xml:space="preserve">JOELHO GR 90 PVC 25,00MM COM VISITA PARA ELETRODUTO (COR CINZA)</t>
  </si>
  <si>
    <t xml:space="preserve">18.01.0446</t>
  </si>
  <si>
    <t xml:space="preserve">LUVA PVC ROSCAVEL 3/4"</t>
  </si>
  <si>
    <t xml:space="preserve">13.06.0326</t>
  </si>
  <si>
    <t xml:space="preserve">DOBRADIÇA SIMPLES 1 3/4</t>
  </si>
  <si>
    <t xml:space="preserve">18.02.0298</t>
  </si>
  <si>
    <t xml:space="preserve">LUVA AÇO CARBONO GALVANIZADO BSP 3/4"</t>
  </si>
  <si>
    <t xml:space="preserve">17.03.0619</t>
  </si>
  <si>
    <t xml:space="preserve">FLANGE ELETROCALHA 200X100MM</t>
  </si>
  <si>
    <t xml:space="preserve">17.16.0134</t>
  </si>
  <si>
    <t xml:space="preserve">TERMINAL PRÉ-ISOLADO TIPO OLHAL COBRE ESTANHADO 25,00MM2</t>
  </si>
  <si>
    <t xml:space="preserve">33.02.2101</t>
  </si>
  <si>
    <t xml:space="preserve">PARAFUSO 09H1777</t>
  </si>
  <si>
    <t xml:space="preserve">24.09.0500</t>
  </si>
  <si>
    <t xml:space="preserve">CHAVE COMBINADA 11 MM</t>
  </si>
  <si>
    <t xml:space="preserve">23.02.0277</t>
  </si>
  <si>
    <t xml:space="preserve">ABRAÇADEIRA DE AÇO 7,00 CM</t>
  </si>
  <si>
    <t xml:space="preserve">23.02.0418</t>
  </si>
  <si>
    <t xml:space="preserve">ABRAÇADEIRA AÇO 20</t>
  </si>
  <si>
    <t xml:space="preserve">17.10.0160</t>
  </si>
  <si>
    <t xml:space="preserve">DISJUNTOR TERMOMAGNÉTICO UNIPOLAR – 40A 230 / 400V – MOD.: SD C40 - STECK NBR 60898</t>
  </si>
  <si>
    <t xml:space="preserve">17.10.0328</t>
  </si>
  <si>
    <t xml:space="preserve">DISJUNTOR 1P 40 A NBR 60898</t>
  </si>
  <si>
    <t xml:space="preserve">17.16.0050</t>
  </si>
  <si>
    <t xml:space="preserve">TERMINAL PRE-ISOLADO PINO COBRE ESTANHADO 35,00MM2</t>
  </si>
  <si>
    <t xml:space="preserve">17.02.0843</t>
  </si>
  <si>
    <t xml:space="preserve">LUVA PARA ELETRODUTO PVC DE 3/4'' (COR CINZA)</t>
  </si>
  <si>
    <t xml:space="preserve">18.01.1588</t>
  </si>
  <si>
    <t xml:space="preserve">UNIÃO COM ANEL SOLDÁVEL 32MM PVC</t>
  </si>
  <si>
    <t xml:space="preserve">23.08.0086</t>
  </si>
  <si>
    <t xml:space="preserve">BUCHA TERMINAL EM LIGA DE ALUMÍNIO, ALTA RESISTÊNCIA MECÂNICA E À CORROSÃO, PARA ELETRODUTO 1", ROSCA BSP</t>
  </si>
  <si>
    <t xml:space="preserve">17.21.0117</t>
  </si>
  <si>
    <t xml:space="preserve">JUNÇÃO INTERNA TIPO I PARA PERFILADO METÁLICO 38 X 38 MM GALVANIZADA A QUENTE</t>
  </si>
  <si>
    <t xml:space="preserve">17.02.0525</t>
  </si>
  <si>
    <t xml:space="preserve">ARRUELA QUADRADA GALVANIZADA A FOGO PARA PARAFUSO M16</t>
  </si>
  <si>
    <t xml:space="preserve">25.03.0302</t>
  </si>
  <si>
    <t xml:space="preserve">JOGO BROCA CONCRETO 5PC 43142/505</t>
  </si>
  <si>
    <t xml:space="preserve">27.01.0534</t>
  </si>
  <si>
    <t xml:space="preserve">SORO RINGER COM LACTADO 500ML</t>
  </si>
  <si>
    <t xml:space="preserve">30.11.0050</t>
  </si>
  <si>
    <t xml:space="preserve">PLACA DECORATIVA MINI LOUSA CAVALETE 30X20CM</t>
  </si>
  <si>
    <t xml:space="preserve">24.31.0003</t>
  </si>
  <si>
    <t xml:space="preserve">ESCOVA DE AÇO RETANGULAR</t>
  </si>
  <si>
    <t xml:space="preserve">30.01.0619</t>
  </si>
  <si>
    <t xml:space="preserve">FITA CREPE</t>
  </si>
  <si>
    <t xml:space="preserve">27.01.0413</t>
  </si>
  <si>
    <t xml:space="preserve">DOMPERIDONA 10MG</t>
  </si>
  <si>
    <t xml:space="preserve">17.23.0001</t>
  </si>
  <si>
    <t xml:space="preserve">BOTÃO PARA PARADA DE EMERGÊNCIA TIPO COGUMELO 40MM COR VERMELHA</t>
  </si>
  <si>
    <t xml:space="preserve">18.01.1577</t>
  </si>
  <si>
    <t xml:space="preserve">TÊ 1/4</t>
  </si>
  <si>
    <t xml:space="preserve">23.07.1607</t>
  </si>
  <si>
    <t xml:space="preserve">PARAFUSO CABEÇA LENTILHA AUTO TRAVANTE AÇO GALVANIZADO A FOGO 3/8" X 3/4"</t>
  </si>
  <si>
    <t xml:space="preserve">18.09.0396</t>
  </si>
  <si>
    <t xml:space="preserve">NÍPEL ROSCÁVEL EM PVC DIÂMETRO 1 1/2"</t>
  </si>
  <si>
    <t xml:space="preserve">18.10.0044</t>
  </si>
  <si>
    <t xml:space="preserve">ANEL VEDAÇÃO BORRACHA BUTILICA BACIA SANITARIA S/GUIA</t>
  </si>
  <si>
    <t xml:space="preserve">30.05.0207</t>
  </si>
  <si>
    <t xml:space="preserve">REFRIGERANTE COCA COLA</t>
  </si>
  <si>
    <t xml:space="preserve">25.03.0240</t>
  </si>
  <si>
    <t xml:space="preserve">BROCA P/MADEIRA 8MM</t>
  </si>
  <si>
    <t xml:space="preserve">23.05.0139</t>
  </si>
  <si>
    <t xml:space="preserve">ARRUELA QUADRADA AÇO CARBONO GALVANIZADA M16 X 50,00MM X 3,00MM</t>
  </si>
  <si>
    <t xml:space="preserve">23.12.0059</t>
  </si>
  <si>
    <t xml:space="preserve">REBITE ALUMINIO 512 C/1000</t>
  </si>
  <si>
    <t xml:space="preserve">23.05.0290</t>
  </si>
  <si>
    <t xml:space="preserve">ARRUELA LISA INOX 3/16"</t>
  </si>
  <si>
    <t xml:space="preserve">23.02.0495</t>
  </si>
  <si>
    <t xml:space="preserve">ABRACADEIRA TIPO "D" COM PARAFUSO, PARA ELETRODUTO DE DIAMETRO 2", EM ACO CARBONO GALVANIZADO A QUENTE</t>
  </si>
  <si>
    <t xml:space="preserve">17.12.0506</t>
  </si>
  <si>
    <t xml:space="preserve">PROLONGADOR ELÉTRICO FÊMERA 2P + T BRANCO 10A</t>
  </si>
  <si>
    <t xml:space="preserve">23.02.0233</t>
  </si>
  <si>
    <t xml:space="preserve">ABRAÇADEIRA NYLON 7,5MM X 300MM</t>
  </si>
  <si>
    <t xml:space="preserve">17.16.0252</t>
  </si>
  <si>
    <t xml:space="preserve">TERMINAL TUBULAR TIPO ILHOS PRE ISOLADO P/CABO 10,00 MM</t>
  </si>
  <si>
    <t xml:space="preserve">17.02.0934</t>
  </si>
  <si>
    <t xml:space="preserve">TAMPA CEGA PARA CONDULETE MULTIPLO 3/4", EM LIGA DE ALUMINIO DE ALTA RESISTENCIA MECANICA E A CORROSAO, COM ACABAMENTO</t>
  </si>
  <si>
    <t xml:space="preserve">27.01.0358</t>
  </si>
  <si>
    <t xml:space="preserve">OTOSPORIM FRASCO</t>
  </si>
  <si>
    <t xml:space="preserve">33.02.0169</t>
  </si>
  <si>
    <t xml:space="preserve">GRAMPO</t>
  </si>
  <si>
    <t xml:space="preserve">17.07.0104</t>
  </si>
  <si>
    <t xml:space="preserve">CURVA DE ELETRODUTO DE 180° DE 11/4"</t>
  </si>
  <si>
    <t xml:space="preserve">30.05.0305</t>
  </si>
  <si>
    <t xml:space="preserve">BISCOITO SALGADO</t>
  </si>
  <si>
    <t xml:space="preserve">17.16.0245</t>
  </si>
  <si>
    <t xml:space="preserve">TERMINAL TUBULAR TIPO ILHOS PRE ISOLADO P/CABO 6,00 MM</t>
  </si>
  <si>
    <t xml:space="preserve">25.27.0001</t>
  </si>
  <si>
    <t xml:space="preserve">ESPONJA PARA PEDREIRO</t>
  </si>
  <si>
    <t xml:space="preserve">30.01.0439</t>
  </si>
  <si>
    <t xml:space="preserve">RÉGUA ALUMINIO ESCOLAR 30 CM</t>
  </si>
  <si>
    <t xml:space="preserve">23.05.0305</t>
  </si>
  <si>
    <t xml:space="preserve">ARRUELA LISA PRESSAO GALV FOGO 1/4"</t>
  </si>
  <si>
    <t xml:space="preserve">27.01.0363</t>
  </si>
  <si>
    <t xml:space="preserve">CLORIDRATO DE LIDOCAINA</t>
  </si>
  <si>
    <t xml:space="preserve">24.09.0552</t>
  </si>
  <si>
    <t xml:space="preserve">CHAVE "L" TIPO TORX T25</t>
  </si>
  <si>
    <t xml:space="preserve">24.09.0718</t>
  </si>
  <si>
    <t xml:space="preserve">CHAVE COMBINADA INCLINADA ACO CARBONO 15/16"</t>
  </si>
  <si>
    <t xml:space="preserve">18.01.1089</t>
  </si>
  <si>
    <t xml:space="preserve">TUBO PVC RÍGIDO SOLD DE 50MM NBR 5648</t>
  </si>
  <si>
    <t xml:space="preserve">18.01.0462</t>
  </si>
  <si>
    <t xml:space="preserve">LUVA PVC SOLDAVEL ÁGUA FRIA 50,00MM</t>
  </si>
  <si>
    <t xml:space="preserve">23.07.1031</t>
  </si>
  <si>
    <t xml:space="preserve">NIPEL GALVANIZADO 3/4"</t>
  </si>
  <si>
    <t xml:space="preserve">16.05.0216</t>
  </si>
  <si>
    <t xml:space="preserve">ESPÁTULA AÇO 80MM CABO MADEIRA</t>
  </si>
  <si>
    <t xml:space="preserve">17.02.0860</t>
  </si>
  <si>
    <t xml:space="preserve">LUVA DE AÇO CARBONO GALVANIZADO A QUENTE, DN 25 MM (1" BSP), COM ROSCA, TIPO PESADO</t>
  </si>
  <si>
    <t xml:space="preserve">25.03.0195</t>
  </si>
  <si>
    <t xml:space="preserve">BROCA AÇO RÁPIDO 6MM</t>
  </si>
  <si>
    <t xml:space="preserve">17.16.0606</t>
  </si>
  <si>
    <t xml:space="preserve">TERMINAL TIPO PINO 25MM</t>
  </si>
  <si>
    <t xml:space="preserve">33.02.3124</t>
  </si>
  <si>
    <t xml:space="preserve">JUNTA DE VEDAÇÃO DO SILENCIADOR 1125-149-0601</t>
  </si>
  <si>
    <t xml:space="preserve">17.12.0440</t>
  </si>
  <si>
    <t xml:space="preserve">ADAPTADOR P/ MANDRIL 1/2 SDS PLUS</t>
  </si>
  <si>
    <t xml:space="preserve">27.01.0480</t>
  </si>
  <si>
    <t xml:space="preserve">NIMESULIDA 100MG</t>
  </si>
  <si>
    <t xml:space="preserve">18.01.0685</t>
  </si>
  <si>
    <t xml:space="preserve">UNIAO PVC ROSCAVEL 1.1/2"</t>
  </si>
  <si>
    <t xml:space="preserve">18.01.0686</t>
  </si>
  <si>
    <t xml:space="preserve">UNIAO PVC ROSCAVEL 1.1/4"</t>
  </si>
  <si>
    <t xml:space="preserve">31.02.0018</t>
  </si>
  <si>
    <t xml:space="preserve">ÓLEO LUBRIFICANTE 15W40 TAMBOR C/200L</t>
  </si>
  <si>
    <t xml:space="preserve">23.07.0829</t>
  </si>
  <si>
    <t xml:space="preserve">PARAFUSO CABECA SEXTAVADA AÇO INOX POLIDO NC 1/4 X 1</t>
  </si>
  <si>
    <t xml:space="preserve">29.01.1397</t>
  </si>
  <si>
    <t xml:space="preserve">CONECTOR RJ-45</t>
  </si>
  <si>
    <t xml:space="preserve">30.01.0050</t>
  </si>
  <si>
    <t xml:space="preserve">CANETA ESFEROGRÁFICA PONTA FINA VERMELHA</t>
  </si>
  <si>
    <t xml:space="preserve">17.11.1153</t>
  </si>
  <si>
    <t xml:space="preserve">LAMPADA DE LED BULBO, POTENCIA 13 W, TENSAO 100-240V, BASE E-27, 6500 K</t>
  </si>
  <si>
    <t xml:space="preserve">30.04.0044</t>
  </si>
  <si>
    <t xml:space="preserve">PORTA DETERGENTE E ESPONJA COMPACTO PLÁSTICO</t>
  </si>
  <si>
    <t xml:space="preserve">30.11.0056</t>
  </si>
  <si>
    <t xml:space="preserve">ALFINETE DE SEGURANÇA Nº 01</t>
  </si>
  <si>
    <t xml:space="preserve">17.10.0356</t>
  </si>
  <si>
    <t xml:space="preserve">DISJUNTOR TRIFÁSICO 63A</t>
  </si>
  <si>
    <t xml:space="preserve">24.15.0010</t>
  </si>
  <si>
    <t xml:space="preserve">MARTELO BORRACHA MACIÇA PRETO 40,00MM CABO MADEIRA</t>
  </si>
  <si>
    <t xml:space="preserve">24.09.0190</t>
  </si>
  <si>
    <t xml:space="preserve">CHAVE DE FENDA PARA TESTE ELÉTRICO (CHAVE DE TESTE), 220-250V</t>
  </si>
  <si>
    <t xml:space="preserve">23.02.0474</t>
  </si>
  <si>
    <t xml:space="preserve">ABRACADEIRA DE NYLON 3,6 X 250 BRANCO C/100</t>
  </si>
  <si>
    <t xml:space="preserve">23.05.0314</t>
  </si>
  <si>
    <t xml:space="preserve">ARRUELA LISA EM ACO GALVANIZADO A FOGO M10</t>
  </si>
  <si>
    <t xml:space="preserve">27.01.0175</t>
  </si>
  <si>
    <t xml:space="preserve">NEBACETIM</t>
  </si>
  <si>
    <t xml:space="preserve">25.10.0044</t>
  </si>
  <si>
    <t xml:space="preserve">CORDA TRANÇADA SEDA 5,00MM</t>
  </si>
  <si>
    <t xml:space="preserve">22.02.0002</t>
  </si>
  <si>
    <t xml:space="preserve">BOMBA PARA CALIBRAR BOLA</t>
  </si>
  <si>
    <t xml:space="preserve">27.01.0287</t>
  </si>
  <si>
    <t xml:space="preserve">DORFLEX</t>
  </si>
  <si>
    <t xml:space="preserve">23.07.1008</t>
  </si>
  <si>
    <t xml:space="preserve">PARAFUSO SEXTAVADO 16 X 45 8.8MA</t>
  </si>
  <si>
    <t xml:space="preserve">23.06.0249</t>
  </si>
  <si>
    <t xml:space="preserve">PORCA SEXTAVADA INOX 304 6MM"</t>
  </si>
  <si>
    <t xml:space="preserve">17.20.0155</t>
  </si>
  <si>
    <t xml:space="preserve">PORCA SEXTAVADA GALVANIZADA 3/8”</t>
  </si>
  <si>
    <t xml:space="preserve">17.12.0178</t>
  </si>
  <si>
    <t xml:space="preserve">INTERRUPTOR SIMPLES 1 SEÇÃO</t>
  </si>
  <si>
    <t xml:space="preserve">23.05.0242</t>
  </si>
  <si>
    <t xml:space="preserve">ARRUELA INOX P/ PARAFUSO M8-16MM INOX</t>
  </si>
  <si>
    <t xml:space="preserve">25.02.0001</t>
  </si>
  <si>
    <t xml:space="preserve">LIXA D'ÁGUA N 100 225,00MM X 275,00MM PAPEL IMPERMEÁVEL FOLHA</t>
  </si>
  <si>
    <t xml:space="preserve">30.04.0138</t>
  </si>
  <si>
    <t xml:space="preserve">AÇUCAREIRO PLÁSTICO C/ COLHER</t>
  </si>
  <si>
    <t xml:space="preserve">25.13.0053</t>
  </si>
  <si>
    <t xml:space="preserve">ENGATE RAPIDO MACHO AÇO INOX 1/4" 115PSI</t>
  </si>
  <si>
    <t xml:space="preserve">25.13.0054</t>
  </si>
  <si>
    <t xml:space="preserve">ENGATE RAPIDO FÊMEA AÇO INOX 1/4" 115PSI</t>
  </si>
  <si>
    <t xml:space="preserve">34.02.0760</t>
  </si>
  <si>
    <t xml:space="preserve">BICO INFLADOR DUPLO COM ROSCA FÊMEA DE 1/4 POL. BSP</t>
  </si>
  <si>
    <t xml:space="preserve">27.01.0190</t>
  </si>
  <si>
    <t xml:space="preserve">BROMOPRIDA 10MG</t>
  </si>
  <si>
    <t xml:space="preserve">27.01.0361</t>
  </si>
  <si>
    <t xml:space="preserve">ATENOLOL 50MG</t>
  </si>
  <si>
    <t xml:space="preserve">18.04.0079</t>
  </si>
  <si>
    <t xml:space="preserve">ENGATE RAPIDO P/AR 1/4XMANG 3/8 CB198.2</t>
  </si>
  <si>
    <t xml:space="preserve">27.01.0442</t>
  </si>
  <si>
    <t xml:space="preserve">EQUIPO PARA DROGAS FOTOSSENSÍVEIS</t>
  </si>
  <si>
    <t xml:space="preserve">16.05.0138</t>
  </si>
  <si>
    <t xml:space="preserve">CABO EXTENSOR DE ALUMINIO PARA ROLO DE PINTURA</t>
  </si>
  <si>
    <t xml:space="preserve">32.09.0129</t>
  </si>
  <si>
    <t xml:space="preserve">BOIA ESPAGUETE P/ PISCINA</t>
  </si>
  <si>
    <t xml:space="preserve">24.25.0027</t>
  </si>
  <si>
    <t xml:space="preserve">SERRA MANUAL RIGIDA 1224 - K&amp;F</t>
  </si>
  <si>
    <t xml:space="preserve">24.25.0028</t>
  </si>
  <si>
    <t xml:space="preserve">SERRA MANUAL NICHOSON</t>
  </si>
  <si>
    <t xml:space="preserve">18.01.1645</t>
  </si>
  <si>
    <t xml:space="preserve">UNIÃO SOLDÁVEL 25MM</t>
  </si>
  <si>
    <t xml:space="preserve">23.07.0787</t>
  </si>
  <si>
    <t xml:space="preserve">PARAFUSO SEXTAVADO AÇO CARBONO 1" X 6" ZINCADO BRANCO</t>
  </si>
  <si>
    <t xml:space="preserve">30.03.0307</t>
  </si>
  <si>
    <t xml:space="preserve">SPRAY REMOVEDOR DE CHEIRO 100ML</t>
  </si>
  <si>
    <t xml:space="preserve">23.07.0952</t>
  </si>
  <si>
    <t xml:space="preserve">PARAFUSO FRANCES ½” X 4.1/2” ZINCADO BRANCO</t>
  </si>
  <si>
    <t xml:space="preserve">17.01.1227</t>
  </si>
  <si>
    <t xml:space="preserve">CABO PARALELO 2 X 0,5 MM BRANCO</t>
  </si>
  <si>
    <t xml:space="preserve">24.09.0540</t>
  </si>
  <si>
    <t xml:space="preserve">CHAVE CANHÃO 8,00MM</t>
  </si>
  <si>
    <t xml:space="preserve">17.20.0738</t>
  </si>
  <si>
    <t xml:space="preserve">TERMINAL OLHAL PRE ISOLADO 10MM VERMELHO (M8)</t>
  </si>
  <si>
    <t xml:space="preserve">17.20.0668</t>
  </si>
  <si>
    <t xml:space="preserve">TUBO TERMOCONTRÁTIL 50MM</t>
  </si>
  <si>
    <t xml:space="preserve">24.09.0022</t>
  </si>
  <si>
    <t xml:space="preserve">CHAVE CANHAO 3/8" X 245,00MM AÇO CROMO-VANADIO CROMADO</t>
  </si>
  <si>
    <t xml:space="preserve">24.09.0042</t>
  </si>
  <si>
    <t xml:space="preserve">CHAVE COMBINADA 26,00MM AÇO CARBONO CROMADO</t>
  </si>
  <si>
    <t xml:space="preserve">23.08.0090</t>
  </si>
  <si>
    <t xml:space="preserve">BUCHA DE EXPANSÃO, DE NYLON, N° 8 COM 40 MM DE COMPRIMENTO. APLICÁVEL EM PARAFUSO COM BITOLAS DE 4,5 A 6 MM</t>
  </si>
  <si>
    <t xml:space="preserve">26.12.0130</t>
  </si>
  <si>
    <t xml:space="preserve">TECIDO TNT AMARELO</t>
  </si>
  <si>
    <t xml:space="preserve">25.03.0163</t>
  </si>
  <si>
    <t xml:space="preserve">BROCA AÇO RAPIDO 5/32</t>
  </si>
  <si>
    <t xml:space="preserve">27.01.0180</t>
  </si>
  <si>
    <t xml:space="preserve">EQUIPO MACROGOTAS</t>
  </si>
  <si>
    <t xml:space="preserve">24.09.0539</t>
  </si>
  <si>
    <t xml:space="preserve">CHAVE CANHÃO 7,00MM</t>
  </si>
  <si>
    <t xml:space="preserve">17.04.0081</t>
  </si>
  <si>
    <t xml:space="preserve">TAMPA P/ CONDULETE 1" TOMADA SIMPLES</t>
  </si>
  <si>
    <t xml:space="preserve">13.06.0277</t>
  </si>
  <si>
    <t xml:space="preserve">PORTA CADEADO</t>
  </si>
  <si>
    <t xml:space="preserve">24.09.0519</t>
  </si>
  <si>
    <t xml:space="preserve">CHAVE COMBINADA 25,00MM AÇO CARBONO CROMADO</t>
  </si>
  <si>
    <t xml:space="preserve">33.02.2980</t>
  </si>
  <si>
    <t xml:space="preserve">BATEDOR MISTURADOR PARA FURADEIRA</t>
  </si>
  <si>
    <t xml:space="preserve">24.09.0538</t>
  </si>
  <si>
    <t xml:space="preserve">CHAVE CANHÃO 6,00MM</t>
  </si>
  <si>
    <t xml:space="preserve">33.02.1264</t>
  </si>
  <si>
    <t xml:space="preserve">PARAFUSO 5/8"</t>
  </si>
  <si>
    <t xml:space="preserve">18.01.1518</t>
  </si>
  <si>
    <t xml:space="preserve">BUCHA REDUÇÃO M F PPR DN 25 X 20 CB</t>
  </si>
  <si>
    <t xml:space="preserve">23.12.0060</t>
  </si>
  <si>
    <t xml:space="preserve">REBITE DE REPUXO EM ALUMÍNIO  Ø1/4’’x 35mm</t>
  </si>
  <si>
    <t xml:space="preserve">24.09.0717</t>
  </si>
  <si>
    <t xml:space="preserve">CHAVE COMBINADA INCLINADA ACO CARBONO 13/16"</t>
  </si>
  <si>
    <t xml:space="preserve">17.16.3876</t>
  </si>
  <si>
    <t xml:space="preserve">CONECTO GDTU PARA ATERRAMENTO 5X8X16MM</t>
  </si>
  <si>
    <t xml:space="preserve">23.05.0309</t>
  </si>
  <si>
    <t xml:space="preserve">ARRUELA QUADRADA DE ACO GALVANIZADO, BITOLA M20</t>
  </si>
  <si>
    <t xml:space="preserve">18.01.1444</t>
  </si>
  <si>
    <t xml:space="preserve">TUBO SOLD PB 40MM X 6M</t>
  </si>
  <si>
    <t xml:space="preserve">23.05.0254</t>
  </si>
  <si>
    <t xml:space="preserve">ARRUELA DE PRESSÃO M10</t>
  </si>
  <si>
    <t xml:space="preserve">18.01.0315</t>
  </si>
  <si>
    <t xml:space="preserve">JOELHO 45GR PVCS RIGIDO REFORCADO SOLDAVEL 100,00MM P/ESGOTO</t>
  </si>
  <si>
    <t xml:space="preserve">23.06.0235</t>
  </si>
  <si>
    <t xml:space="preserve">PORCA PARA PARAFUSO 5/8 PARA LÂMINA DA CONCHA</t>
  </si>
  <si>
    <t xml:space="preserve">27.01.0430</t>
  </si>
  <si>
    <t xml:space="preserve">LIDOCAINA INJETAVEL</t>
  </si>
  <si>
    <t xml:space="preserve">30.05.0217</t>
  </si>
  <si>
    <t xml:space="preserve">BOLO FOFO</t>
  </si>
  <si>
    <t xml:space="preserve">17.19.0060</t>
  </si>
  <si>
    <t xml:space="preserve">FITA ISOLANTE 3M 19MM X 5M SCOTCH</t>
  </si>
  <si>
    <t xml:space="preserve">24.09.0039</t>
  </si>
  <si>
    <t xml:space="preserve">CHAVE COMBINADA 21,00MM AÇO CARBONO CROMADO</t>
  </si>
  <si>
    <t xml:space="preserve">27.01.0383</t>
  </si>
  <si>
    <t xml:space="preserve">DIPIRONA SÓDICA 500mg</t>
  </si>
  <si>
    <t xml:space="preserve">32.12.0239</t>
  </si>
  <si>
    <t xml:space="preserve">TERMÔMETRO DIGITAL</t>
  </si>
  <si>
    <t xml:space="preserve">27.01.0484</t>
  </si>
  <si>
    <t xml:space="preserve">LORATADINA 10 MG</t>
  </si>
  <si>
    <t xml:space="preserve">23.02.0372</t>
  </si>
  <si>
    <t xml:space="preserve">ABRACADEIRA NYLON 209X2,5 C/ 100</t>
  </si>
  <si>
    <t xml:space="preserve">18.01.1722</t>
  </si>
  <si>
    <t xml:space="preserve">TUBO SOLDAVEL DE PVC RIGIDO PARA AGUA FRIA 20 MM</t>
  </si>
  <si>
    <t xml:space="preserve">17.02.0948</t>
  </si>
  <si>
    <t xml:space="preserve">TERMINAL CABO-BARRAMENTO TA-35 COBRE APERTO 1 FURO PARA CABO 35 MM</t>
  </si>
  <si>
    <t xml:space="preserve">17.04.0012</t>
  </si>
  <si>
    <t xml:space="preserve">EMENDA INTERNA T P/PERFILADO AÇO CARBONO GALVANIZADO 38,00MM X 38,00MM NBR 11888-2</t>
  </si>
  <si>
    <t xml:space="preserve">23.06.0173</t>
  </si>
  <si>
    <t xml:space="preserve">PORCA SEXT AÇO M6</t>
  </si>
  <si>
    <t xml:space="preserve">17.16.0491</t>
  </si>
  <si>
    <t xml:space="preserve">CONECTOR GTDU ATERRAMENTO 5/8X2,4X50MM</t>
  </si>
  <si>
    <t xml:space="preserve">18.09.0042</t>
  </si>
  <si>
    <t xml:space="preserve">REGISTRO ESFERA PVC 25,00MM SOLDAVEL VS VED BORRACHA NITRILICA NBR 10283</t>
  </si>
  <si>
    <t xml:space="preserve">23.11.0070</t>
  </si>
  <si>
    <t xml:space="preserve">PINO LISO COM ARRUELA CÔNICA 16MM 1/4" X 22MM</t>
  </si>
  <si>
    <t xml:space="preserve">18.09.0327</t>
  </si>
  <si>
    <t xml:space="preserve">REGISTRO ESF SOLD PVC 20MM KRONA</t>
  </si>
  <si>
    <t xml:space="preserve">25.10.0079</t>
  </si>
  <si>
    <t xml:space="preserve">CORDA ELASTICA EXTENSORA C/ GANCHO 2 M</t>
  </si>
  <si>
    <t xml:space="preserve">18.01.1678</t>
  </si>
  <si>
    <t xml:space="preserve">BUCHA RED M F PPR DN110 X 90</t>
  </si>
  <si>
    <t xml:space="preserve">33.02.3127</t>
  </si>
  <si>
    <t xml:space="preserve">PARAFUSO TORX M5 X 18   MOTOSSERRA</t>
  </si>
  <si>
    <t xml:space="preserve">17.12.0438</t>
  </si>
  <si>
    <t xml:space="preserve">INTERRUPTOR SIMPLES P/ CONDULETE 3/4"</t>
  </si>
  <si>
    <t xml:space="preserve">24.09.0716</t>
  </si>
  <si>
    <t xml:space="preserve">CHAVE COMBINADA INCLINADA ACO CARBONO 11/16"</t>
  </si>
  <si>
    <t xml:space="preserve">30.05.0014</t>
  </si>
  <si>
    <t xml:space="preserve">REFRIGERANTE GARRAFA PET 2,00L</t>
  </si>
  <si>
    <t xml:space="preserve">23.05.0214</t>
  </si>
  <si>
    <t xml:space="preserve">ARRUELA DE PRESSAO M12</t>
  </si>
  <si>
    <t xml:space="preserve">18.01.0334</t>
  </si>
  <si>
    <t xml:space="preserve">JOELHO 90GR PVC SOLDAVEL 50,00MM</t>
  </si>
  <si>
    <t xml:space="preserve">17.02.0931</t>
  </si>
  <si>
    <t xml:space="preserve">TAMPAO SELADOR PLASTICO PARA CONDULETE 3/4", REFERENCIA DAISA MT34 OU EQUIVALENTE</t>
  </si>
  <si>
    <t xml:space="preserve">17.02.0932</t>
  </si>
  <si>
    <t xml:space="preserve">TAMPAO SELADOR PLASTICO PARA CONDULETE 3/4</t>
  </si>
  <si>
    <t xml:space="preserve">23.07.1450</t>
  </si>
  <si>
    <t xml:space="preserve">PARAFUSO GALV. CAB. SEXAVADA 3/8" X 2.1/2" ROSCA TOTAL WW</t>
  </si>
  <si>
    <t xml:space="preserve">23.07.0824</t>
  </si>
  <si>
    <t xml:space="preserve">PARAFUSO CABEÇA CHATA PHILLIPS PONTA AGULHA 4,50MM X 30,00MM</t>
  </si>
  <si>
    <t xml:space="preserve">17.16.0139</t>
  </si>
  <si>
    <t xml:space="preserve">TERMINAL PRÉ-ISOLADO TIPO AGULHA COBRE ESTANHADO 2,5MM2</t>
  </si>
  <si>
    <t xml:space="preserve">27.01.0301</t>
  </si>
  <si>
    <t xml:space="preserve">ENALAPRIL</t>
  </si>
  <si>
    <t xml:space="preserve">27.01.0395</t>
  </si>
  <si>
    <t xml:space="preserve">CIMETIDINA</t>
  </si>
  <si>
    <t xml:space="preserve">19.11.0003</t>
  </si>
  <si>
    <t xml:space="preserve">ENGATE FLEXIVEL AÇO INOX 1/2" X 60,00CM</t>
  </si>
  <si>
    <t xml:space="preserve">24.09.0120</t>
  </si>
  <si>
    <t xml:space="preserve">CHAVE FIXA 14,00MM X 15,00MM AÇO CROMO-VANADIO CROMADO/NIQUELADO</t>
  </si>
  <si>
    <t xml:space="preserve">25.03.0162</t>
  </si>
  <si>
    <t xml:space="preserve">BROCA CONCRETO 6,00MM X 100,00MM</t>
  </si>
  <si>
    <t xml:space="preserve">18.08.0160</t>
  </si>
  <si>
    <t xml:space="preserve">SIFÃO SANFONADO DUPLO UNIVERSAL PVC</t>
  </si>
  <si>
    <t xml:space="preserve">18.01.1127</t>
  </si>
  <si>
    <t xml:space="preserve">ADAPTADOR SOLDAVEL 60MM</t>
  </si>
  <si>
    <t xml:space="preserve">18.01.1222</t>
  </si>
  <si>
    <t xml:space="preserve">BUCHA RED SOLDÁVEL CURTA 50X40</t>
  </si>
  <si>
    <t xml:space="preserve">28.02.0112</t>
  </si>
  <si>
    <t xml:space="preserve">ADESIVO APLICADO EM PVC 2MM TAMANHO A4</t>
  </si>
  <si>
    <t xml:space="preserve">17.12.0505</t>
  </si>
  <si>
    <t xml:space="preserve">ADAPTADOR QUADRADO 20A / 10A COLORIDO</t>
  </si>
  <si>
    <t xml:space="preserve">17.02.0154</t>
  </si>
  <si>
    <t xml:space="preserve">LUVA P/ELETRODUTO PVC C/ROSCA PRETO 1.1/4"</t>
  </si>
  <si>
    <t xml:space="preserve">18.08.0178</t>
  </si>
  <si>
    <t xml:space="preserve">SIFÃO SANFONADO SIMPLES UNIVERSAL PVC</t>
  </si>
  <si>
    <t xml:space="preserve">34.02.0105</t>
  </si>
  <si>
    <t xml:space="preserve">FUSÍVEL LÂMINA 25 AMP</t>
  </si>
  <si>
    <t xml:space="preserve">34.02.0910</t>
  </si>
  <si>
    <t xml:space="preserve">FUSÍVEL LÂMINA 1 AMP</t>
  </si>
  <si>
    <t xml:space="preserve">99.00.2005</t>
  </si>
  <si>
    <t xml:space="preserve">ARRUELA LISA AÇO INOX 5/8" PASSIVADO</t>
  </si>
  <si>
    <t xml:space="preserve">18.01.1209</t>
  </si>
  <si>
    <t xml:space="preserve">ADAPTADOR PVC SOLDAVEL 32MM X 1"</t>
  </si>
  <si>
    <t xml:space="preserve">30.01.0224</t>
  </si>
  <si>
    <t xml:space="preserve">GRAMPO TRILHO PLÁSTICO 80,00MM  P/ PASTA SUSPENSA C/ 50,00UN</t>
  </si>
  <si>
    <t xml:space="preserve">17.02.0927</t>
  </si>
  <si>
    <t xml:space="preserve">BUCHA DE LIGA DE ALUMINIO DE ELEVADA RESISTENCIA MECANICA E A CORROSAO, PARA ELETRODUTO DE DN 1", ROSCA BSP</t>
  </si>
  <si>
    <t xml:space="preserve">99.00.1599</t>
  </si>
  <si>
    <t xml:space="preserve">PLUG  3 P+T 32 A</t>
  </si>
  <si>
    <t xml:space="preserve">27.01.0393</t>
  </si>
  <si>
    <t xml:space="preserve">DICLOFENACO (INJETÁVEL)</t>
  </si>
  <si>
    <t xml:space="preserve">16.03.0467</t>
  </si>
  <si>
    <t xml:space="preserve">VERNIZ SPRAY 400 ML</t>
  </si>
  <si>
    <t xml:space="preserve">17.16.0657</t>
  </si>
  <si>
    <t xml:space="preserve">TERMINAL ILHÓS DUPLO PRÉ-ISOLADO 10MM²</t>
  </si>
  <si>
    <t xml:space="preserve">17.12.0507</t>
  </si>
  <si>
    <t xml:space="preserve">PLUG MACHO RETANGULAR 2P+T 10A/250V</t>
  </si>
  <si>
    <t xml:space="preserve">23.02.0483</t>
  </si>
  <si>
    <t xml:space="preserve">ABRAÇADEIRA P/ CABO DE AÇO DE 3/8" ZINCADA</t>
  </si>
  <si>
    <t xml:space="preserve">17.02.0933</t>
  </si>
  <si>
    <t xml:space="preserve">TAMPA CEGA PARA CONDULETE MULTIPLO 3/4", EM LIGA DE ALUMINIO, COM PINTURA EPOXI E PARAFUSOS DE FIXACAO. REFERENCIA: ELEC</t>
  </si>
  <si>
    <t xml:space="preserve">25.03.0232</t>
  </si>
  <si>
    <t xml:space="preserve">JOGO DE BROCA PARA MADEIRA DE 3/16" Á 1"</t>
  </si>
  <si>
    <t xml:space="preserve">24.14.0028</t>
  </si>
  <si>
    <t xml:space="preserve">MARRETA DE BORRACHA 40MM</t>
  </si>
  <si>
    <t xml:space="preserve">17.02.0920</t>
  </si>
  <si>
    <t xml:space="preserve">CURVA 90GR DE PVC RIGIDO COM ROSCA DN 60MM 2" BSP TIPO PESADO COR PRETA NBR 15465</t>
  </si>
  <si>
    <t xml:space="preserve">18.01.0242</t>
  </si>
  <si>
    <t xml:space="preserve">CURVA 45GR PVC AZUL SOLDAVEL 50,00MM NBR 14312</t>
  </si>
  <si>
    <t xml:space="preserve">32.12.0228</t>
  </si>
  <si>
    <t xml:space="preserve">CHAVE TESTE DIGITAL</t>
  </si>
  <si>
    <t xml:space="preserve">24.41.0276</t>
  </si>
  <si>
    <t xml:space="preserve">ADAPTADOR PARA CONDULETE 1''</t>
  </si>
  <si>
    <t xml:space="preserve">34.02.1248</t>
  </si>
  <si>
    <t xml:space="preserve">ABRAÇADEIRA (BAP-2 800MM) + 01 PORCA DE TRAÇÃO + 01 PARAFUSO DE TRAÇÃO, GALV. A FOGO PESADO</t>
  </si>
  <si>
    <t xml:space="preserve">24.09.0030</t>
  </si>
  <si>
    <t xml:space="preserve">CHAVE COMBINADA 1/2" AÇO CARBONO CROMADO</t>
  </si>
  <si>
    <t xml:space="preserve">18.01.1390</t>
  </si>
  <si>
    <t xml:space="preserve">CAP TAMPÃO PVC ESGOTO 100 MM</t>
  </si>
  <si>
    <t xml:space="preserve">27.01.0426</t>
  </si>
  <si>
    <t xml:space="preserve">FUROSEMIDA INJETAVEL 10MG</t>
  </si>
  <si>
    <t xml:space="preserve">17.17.0074</t>
  </si>
  <si>
    <t xml:space="preserve">BASE PARA RELÉ DE FOTOCÉLULA</t>
  </si>
  <si>
    <t xml:space="preserve">33.02.1807</t>
  </si>
  <si>
    <t xml:space="preserve">PORCA 14H1113</t>
  </si>
  <si>
    <t xml:space="preserve">24.09.0055</t>
  </si>
  <si>
    <t xml:space="preserve">CHAVE COMBINADA 9/16" AÇO CARBONO CROMADO</t>
  </si>
  <si>
    <t xml:space="preserve">17.02.0909</t>
  </si>
  <si>
    <t xml:space="preserve">BUCHA DE ACABAMENTO EM PVC PARA ELETRODUTO DN 1" – ROSCA BSP</t>
  </si>
  <si>
    <t xml:space="preserve">23.05.0229</t>
  </si>
  <si>
    <t xml:space="preserve">ARRUELA M8x25 GF</t>
  </si>
  <si>
    <t xml:space="preserve">17.04.0111</t>
  </si>
  <si>
    <t xml:space="preserve">SAÍDA LATERAL SIMPLES PARA PERFILADO 38 X 38 Ø 1" GALVANIZADA</t>
  </si>
  <si>
    <t xml:space="preserve">27.01.0213</t>
  </si>
  <si>
    <t xml:space="preserve">ISORDIL - 5 MG</t>
  </si>
  <si>
    <t xml:space="preserve">17.02.0940</t>
  </si>
  <si>
    <t xml:space="preserve">LUVA DE ACO CARBONO, GALVANIZADO A QUENTE, DIAMETRO NOMINAL 25 MM,COM ROSCA, REFERENCIA DE BITOLA 1 BSP, TIPO PESADO</t>
  </si>
  <si>
    <t xml:space="preserve">25.14.0051</t>
  </si>
  <si>
    <t xml:space="preserve">ESPAÇADOR  1,50MM P/ NIVELAMENTO DE PISO C/ 50 UND</t>
  </si>
  <si>
    <t xml:space="preserve">33.02.3126</t>
  </si>
  <si>
    <t xml:space="preserve">PARAFUSO IS P6X21,5  MOTOSSERRA</t>
  </si>
  <si>
    <t xml:space="preserve">27.01.0532</t>
  </si>
  <si>
    <t xml:space="preserve">LUVA CIRÚRGICA ESTÉRIL N°6.0</t>
  </si>
  <si>
    <t xml:space="preserve">30.03.0134</t>
  </si>
  <si>
    <t xml:space="preserve">AROMATIZANTE AUTOMOTIVO EM GEL 55G</t>
  </si>
  <si>
    <t xml:space="preserve">17.07.0105</t>
  </si>
  <si>
    <t xml:space="preserve">CURVA DE ELETRODUTO DE 90° DE 11/4" COM ROSCA</t>
  </si>
  <si>
    <t xml:space="preserve">18.01.1638</t>
  </si>
  <si>
    <t xml:space="preserve">ADAPTADOR MACHO 63 x 2</t>
  </si>
  <si>
    <t xml:space="preserve">23.06.0315</t>
  </si>
  <si>
    <t xml:space="preserve">PORCA SEXTAVADA AUTOTRAVANTE (PARLOCK) INOX 1/2" UNC</t>
  </si>
  <si>
    <t xml:space="preserve">17.02.0736</t>
  </si>
  <si>
    <t xml:space="preserve">ELETRODUTO RIGIDO PVC SOLDÁVEL 25MM C/3M</t>
  </si>
  <si>
    <t xml:space="preserve">24.11.0026</t>
  </si>
  <si>
    <t xml:space="preserve">DESEMPENADEIRA EM PVC 28X16CM P/ TEXTURATO</t>
  </si>
  <si>
    <t xml:space="preserve">30.03.0153</t>
  </si>
  <si>
    <t xml:space="preserve">ESPONJA DUPLA FACE</t>
  </si>
  <si>
    <t xml:space="preserve">12.05.0067</t>
  </si>
  <si>
    <t xml:space="preserve">BUCHA DE ESPUMA</t>
  </si>
  <si>
    <t xml:space="preserve">18.01.1259</t>
  </si>
  <si>
    <t xml:space="preserve">LUVA SOLDÁVEL E COM BUCHA DE LATÃO 25 X 3/4", PVC MARROM, ÁGUA FRIA - TIGRE</t>
  </si>
  <si>
    <t xml:space="preserve">18.01.1043</t>
  </si>
  <si>
    <t xml:space="preserve">JOELHO 90 PPR DN 25MM</t>
  </si>
  <si>
    <t xml:space="preserve">24.09.0051</t>
  </si>
  <si>
    <t xml:space="preserve">CHAVE COMBINADA 5/8" AÇO CARBONO CROMADO</t>
  </si>
  <si>
    <t xml:space="preserve">23.05.0133</t>
  </si>
  <si>
    <t xml:space="preserve">ARRUELA PRESSÃO 8MM ZB</t>
  </si>
  <si>
    <t xml:space="preserve">25.10.0037</t>
  </si>
  <si>
    <t xml:space="preserve">CORDA TRANÇADA POLIPRO, BRAN 14 MM OU 9/16”</t>
  </si>
  <si>
    <t xml:space="preserve">27.01.0335</t>
  </si>
  <si>
    <t xml:space="preserve">DEXAMETASONA (POMADA)</t>
  </si>
  <si>
    <t xml:space="preserve">23.07.1412</t>
  </si>
  <si>
    <t xml:space="preserve">NIPEL GALVANIZADO 1"</t>
  </si>
  <si>
    <t xml:space="preserve">17.02.0327</t>
  </si>
  <si>
    <t xml:space="preserve">ALÇA PREFORMADA DE DISTRIBUIÇÃO EM AÇO GALVANIZADO REVESTIDO DE ALUMINIO</t>
  </si>
  <si>
    <t xml:space="preserve">23.07.0910</t>
  </si>
  <si>
    <t xml:space="preserve">PARAFUSO SEXTAVADO 6 X 20MM ZB</t>
  </si>
  <si>
    <t xml:space="preserve">19.11.0006</t>
  </si>
  <si>
    <t xml:space="preserve">ENGATE  FLEXIVEL PVC BRANCO 1/2" X 50,00CM</t>
  </si>
  <si>
    <t xml:space="preserve">18.01.0640</t>
  </si>
  <si>
    <t xml:space="preserve">TE 90GR PVCS RIGIDO REFORCADO SOLDAVEL 50,00MM X 50,00MM P/ESGOTO</t>
  </si>
  <si>
    <t xml:space="preserve">24.09.0052</t>
  </si>
  <si>
    <t xml:space="preserve">CHAVE COMBINADA 7/16" AÇO CARBONO CROMADO</t>
  </si>
  <si>
    <t xml:space="preserve">17.02.0610</t>
  </si>
  <si>
    <t xml:space="preserve">ARRUELA M20</t>
  </si>
  <si>
    <t xml:space="preserve">27.01.0428</t>
  </si>
  <si>
    <t xml:space="preserve">FUROSEMIDA 10MG ORAL</t>
  </si>
  <si>
    <t xml:space="preserve">18.01.1153</t>
  </si>
  <si>
    <t xml:space="preserve">CURVA SOLD ESG DE 100MM</t>
  </si>
  <si>
    <t xml:space="preserve">17.16.3875</t>
  </si>
  <si>
    <t xml:space="preserve">TERMINAL PRE ISOLADO TIPO TUBO 16,00MM²</t>
  </si>
  <si>
    <t xml:space="preserve">25.02.0030</t>
  </si>
  <si>
    <t xml:space="preserve">LIXA MASSA  N 100 225,00MM X 275,00MM</t>
  </si>
  <si>
    <t xml:space="preserve">23.07.1027</t>
  </si>
  <si>
    <t xml:space="preserve">PARAFUSO FENDA 500X20MM</t>
  </si>
  <si>
    <t xml:space="preserve">23.08.0097</t>
  </si>
  <si>
    <t xml:space="preserve">BUCHA DE EXPANSAO, DE NYLON, N 12 COM 60 MM DE COMPRIMENTO. APLICAVEL EM PARAFUSO COM BITOLAS DE 8 A 10 MM</t>
  </si>
  <si>
    <t xml:space="preserve">23.08.0008</t>
  </si>
  <si>
    <t xml:space="preserve">BUCHA FIXACAO ELETRODUTO 1" ALUMÍNIO LISO BSP 11 FIOS</t>
  </si>
  <si>
    <t xml:space="preserve">24.09.0049</t>
  </si>
  <si>
    <t xml:space="preserve">CHAVE COMBINADA 3/8" AÇO CARBONO CROMADO</t>
  </si>
  <si>
    <t xml:space="preserve">23.07.0800</t>
  </si>
  <si>
    <t xml:space="preserve">PARAFUSO CABEÇA CHATA PHILLIPS BROCANTE 4,20MM X 32,00MM</t>
  </si>
  <si>
    <t xml:space="preserve">23.06.0170</t>
  </si>
  <si>
    <t xml:space="preserve">PORCA SEXTAVADA 6MM INOX</t>
  </si>
  <si>
    <t xml:space="preserve">23.02.0385</t>
  </si>
  <si>
    <t xml:space="preserve">ABRAÇADEIRA EM AÇO GALVANIZADO ROSCA SEM FIM 2'' POL.</t>
  </si>
  <si>
    <t xml:space="preserve">17.02.0878</t>
  </si>
  <si>
    <t xml:space="preserve">UNIÃO ENTRE ELETRODUTO FLEXÍVEL PEAD COM ELETRODUTO RÍGIDO LISO, AMBOS DIÂMETRO 4"</t>
  </si>
  <si>
    <t xml:space="preserve">23.07.1585</t>
  </si>
  <si>
    <t xml:space="preserve">PARAFUSO SEXTAVADO AÇO INOX, ROSCA TOTAL, M16 X 50MM</t>
  </si>
  <si>
    <t xml:space="preserve">23.02.0496</t>
  </si>
  <si>
    <t xml:space="preserve">ABRACADEIRA TIPO U DE 3/4''</t>
  </si>
  <si>
    <t xml:space="preserve">19.08.0012</t>
  </si>
  <si>
    <t xml:space="preserve">TORNEIRA GERAL AÇO INOX CROMADO C51 1/2" PAREDE REF 1153 B. EPOQUE DECA NBR 10283</t>
  </si>
  <si>
    <t xml:space="preserve">23.07.1590</t>
  </si>
  <si>
    <t xml:space="preserve">PARAFUSO SEXTAVADO ZINCADO 1/2" X 3" UNC</t>
  </si>
  <si>
    <t xml:space="preserve">18.01.0210</t>
  </si>
  <si>
    <t xml:space="preserve">CAP PVC ROSCAVEL 1"</t>
  </si>
  <si>
    <t xml:space="preserve">23.07.1028</t>
  </si>
  <si>
    <t xml:space="preserve">PARAFUSO SEXTAVADO ¼ X 5/8</t>
  </si>
  <si>
    <t xml:space="preserve">23.06.0317</t>
  </si>
  <si>
    <t xml:space="preserve">PORCA SEXTAVADA 3/16"</t>
  </si>
  <si>
    <t xml:space="preserve">17.04.0011</t>
  </si>
  <si>
    <t xml:space="preserve">EMENDA INTERNA L P/PERFILADO PERFURADO AÇO CARBONO GALVANIZADO 38,00MM X 38,00MM NBR 11888-2</t>
  </si>
  <si>
    <t xml:space="preserve">23.06.0326</t>
  </si>
  <si>
    <t xml:space="preserve">PORCA SEXTAVADA AÇO GALVANIZADO A FOGO ROSCA MÉTRICA M10</t>
  </si>
  <si>
    <t xml:space="preserve">23.07.1439</t>
  </si>
  <si>
    <t xml:space="preserve">PARAFUSO SEXT INOX 8X25</t>
  </si>
  <si>
    <t xml:space="preserve">17.10.0432</t>
  </si>
  <si>
    <t xml:space="preserve">DISJUNTOR TERMOMAGNÉTICO MONOPOLAR 10A CURVA C</t>
  </si>
  <si>
    <t xml:space="preserve">17.17.0041</t>
  </si>
  <si>
    <t xml:space="preserve">BASE PARA RELE FIXA</t>
  </si>
  <si>
    <t xml:space="preserve">18.01.1252</t>
  </si>
  <si>
    <t xml:space="preserve">BUCHA DE REDUÇÃO SOLDÁVEL CURTA 50X32MM, PVC MARROM, AGUA FRIA - TIGRE</t>
  </si>
  <si>
    <t xml:space="preserve">32.18.0035</t>
  </si>
  <si>
    <t xml:space="preserve">ARRUELA PRESSÃO (M39) 5/16</t>
  </si>
  <si>
    <t xml:space="preserve">27.01.0435</t>
  </si>
  <si>
    <t xml:space="preserve">SERINGA DE 3 ML</t>
  </si>
  <si>
    <t xml:space="preserve">18.01.0203</t>
  </si>
  <si>
    <t xml:space="preserve">BUCHA REDUCAO PVC SOLDAVEL LONGO 40,00MM X 32,00MM</t>
  </si>
  <si>
    <t xml:space="preserve">25.02.0033</t>
  </si>
  <si>
    <t xml:space="preserve">LIXA MASSA  N 120 225,00MM X 275,00MM</t>
  </si>
  <si>
    <t xml:space="preserve">34.02.0544</t>
  </si>
  <si>
    <t xml:space="preserve">ORING DE BICO INJETOR</t>
  </si>
  <si>
    <t xml:space="preserve">17.10.0202</t>
  </si>
  <si>
    <t xml:space="preserve">DISJUNTOR MONOFÁSICO 50A – 127/220/380V NBR 60898</t>
  </si>
  <si>
    <t xml:space="preserve">23.05.0058</t>
  </si>
  <si>
    <t xml:space="preserve">ARRUELA LISA LATAO 3/8"</t>
  </si>
  <si>
    <t xml:space="preserve">23.05.0267</t>
  </si>
  <si>
    <t xml:space="preserve">ARRUELA LISA INOX M4</t>
  </si>
  <si>
    <t xml:space="preserve">24.09.0293</t>
  </si>
  <si>
    <t xml:space="preserve">CHAVE COMBINADA 7MM</t>
  </si>
  <si>
    <t xml:space="preserve">24.09.0518</t>
  </si>
  <si>
    <t xml:space="preserve">CHAVE COMBINADA 6,00MM AÇO CARBONO CROMADO</t>
  </si>
  <si>
    <t xml:space="preserve">23.07.1639</t>
  </si>
  <si>
    <t xml:space="preserve">PARAFUSO SEXTAVADO DE ACO GALVANIZADO, ROSCA TOTAL, BITOLA M10 X 35 MM</t>
  </si>
  <si>
    <t xml:space="preserve">18.09.0373</t>
  </si>
  <si>
    <t xml:space="preserve">ADAPTADOR FF DE METAL 6"</t>
  </si>
  <si>
    <t xml:space="preserve">17.04.0009</t>
  </si>
  <si>
    <t xml:space="preserve">EMENDA INTERNA I P/PERFILADO PERFURADO AÇO CARBONO GALVANIZADO 38,00MM X 38,00MM NBR 11888-2</t>
  </si>
  <si>
    <t xml:space="preserve">17.16.0138</t>
  </si>
  <si>
    <t xml:space="preserve">TERMINAL PRÉ-ISOLADO TIPO AGULHA COBRE ESTANHADO 1,5MM2</t>
  </si>
  <si>
    <t xml:space="preserve">23.07.1101</t>
  </si>
  <si>
    <t xml:space="preserve">PARAFUSO PHILIPS M5X16</t>
  </si>
  <si>
    <t xml:space="preserve">18.01.0313</t>
  </si>
  <si>
    <t xml:space="preserve">JOELHO 45GR PVCS RIGIDO NORMAL SOLDAVEL 50,00MM P/ESGOTO</t>
  </si>
  <si>
    <t xml:space="preserve">27.01.0154</t>
  </si>
  <si>
    <t xml:space="preserve">SERINGA HIPODÉRMICA C/ AGULHA - BD - 20ML - 0,7MM X 25MM</t>
  </si>
  <si>
    <t xml:space="preserve">23.07.1252</t>
  </si>
  <si>
    <t xml:space="preserve">PARAFUSO SEXTAVADO - 6H1717</t>
  </si>
  <si>
    <t xml:space="preserve">23.06.0037</t>
  </si>
  <si>
    <t xml:space="preserve">PORCA SEXTAVADA AÇO CARBONO SAE 1045 UNC 9/16" 12 FIOS ZINCADO BRANCO</t>
  </si>
  <si>
    <t xml:space="preserve">33.02.0025</t>
  </si>
  <si>
    <t xml:space="preserve">PARAFUSO SX 12X25 8.8 MA</t>
  </si>
  <si>
    <t xml:space="preserve">23.08.0070</t>
  </si>
  <si>
    <t xml:space="preserve">BUCHA NYLON S8</t>
  </si>
  <si>
    <t xml:space="preserve">17.16.0243</t>
  </si>
  <si>
    <t xml:space="preserve">TERMINAL TUBULAR TIPO ILHOS PRE ISOLADO P/CABO 2,5 MM</t>
  </si>
  <si>
    <t xml:space="preserve">23.05.0197</t>
  </si>
  <si>
    <t xml:space="preserve">ARRUELA M12 GALVANIZADA (3/8)</t>
  </si>
  <si>
    <t xml:space="preserve">25.02.0003</t>
  </si>
  <si>
    <t xml:space="preserve">LIXA D'ÁGUA N 150 225,00MM X 275,00MM PAPEL IMPERMEÁVEL FOLHA</t>
  </si>
  <si>
    <t xml:space="preserve">25.02.0034</t>
  </si>
  <si>
    <t xml:space="preserve">LIXA D'ÁGUA N 80 225,00MM X 275,00MM PAPEL IMPERMEÁVEL FOLHA</t>
  </si>
  <si>
    <t xml:space="preserve">17.20.0699</t>
  </si>
  <si>
    <t xml:space="preserve">CONECTOR EM BARRA SINDAL 16MM</t>
  </si>
  <si>
    <t xml:space="preserve">23.05.0005</t>
  </si>
  <si>
    <t xml:space="preserve">ARRUELA EM ALUMÍNIO PARA ELETRODUTO 1.1/2" ROSCA BSP</t>
  </si>
  <si>
    <t xml:space="preserve">17.02.0938</t>
  </si>
  <si>
    <t xml:space="preserve">CURVA 90 PVC RIGIDO PRETA, ROSCADA, DN 32 MM (1" BSP), TIPO PESADO</t>
  </si>
  <si>
    <t xml:space="preserve">23.05.0130</t>
  </si>
  <si>
    <t xml:space="preserve">ARRUELA LISA ¼” ZB</t>
  </si>
  <si>
    <t xml:space="preserve">17.02.0919</t>
  </si>
  <si>
    <t xml:space="preserve">CURVA 90GR DE PVC RIGIDO, DIAMETRO NOMINAL 32 MM, COM ROSCA, REFERENCIA DE BITOLA 1" BSP, TIPO PESADO, COR PRETA</t>
  </si>
  <si>
    <t xml:space="preserve">17.03.0612</t>
  </si>
  <si>
    <t xml:space="preserve">ELETRODUTO RIGIDO PVC PRETO SOLDAVEL DE 3/4" - VARA COM 3M</t>
  </si>
  <si>
    <t xml:space="preserve">17.16.0590</t>
  </si>
  <si>
    <t xml:space="preserve">TERMINAL PINO LATERAL 16,00MM² AZ (PT1908)</t>
  </si>
  <si>
    <t xml:space="preserve">18.01.1586</t>
  </si>
  <si>
    <t xml:space="preserve">LUVA DE PVC SOLDÁVEL LR 25  X 1/2</t>
  </si>
  <si>
    <t xml:space="preserve">33.02.2654</t>
  </si>
  <si>
    <t xml:space="preserve">PARAFUSO 4.0X20</t>
  </si>
  <si>
    <t xml:space="preserve">18.01.0330</t>
  </si>
  <si>
    <t xml:space="preserve">JOELHO 90GR PVC SOLDAVEL 20,00MM</t>
  </si>
  <si>
    <t xml:space="preserve">18.01.0770</t>
  </si>
  <si>
    <t xml:space="preserve">JOELHO 45GR CPVC SOLDÁVEL DN 1.1/2”</t>
  </si>
  <si>
    <t xml:space="preserve">33.02.1038</t>
  </si>
  <si>
    <t xml:space="preserve">UNIÃO RETA 1/2”</t>
  </si>
  <si>
    <t xml:space="preserve">23.06.0330</t>
  </si>
  <si>
    <t xml:space="preserve">PORCA SEXTAVADA EM ACO GALVANIZADO A FOGO ROSCA METRICA M10</t>
  </si>
  <si>
    <t xml:space="preserve">33.02.2737</t>
  </si>
  <si>
    <t xml:space="preserve">ARRUELA 1/4" GALVANIZADA</t>
  </si>
  <si>
    <t xml:space="preserve">23.06.0306</t>
  </si>
  <si>
    <t xml:space="preserve">PORCA SEXTAVADA INOX M5</t>
  </si>
  <si>
    <t xml:space="preserve">17.02.0922</t>
  </si>
  <si>
    <t xml:space="preserve">TAMPAO SELADOR PLASTICO PARA CONDULETE 1"</t>
  </si>
  <si>
    <t xml:space="preserve">23.06.0316</t>
  </si>
  <si>
    <t xml:space="preserve">PORCA SEXTAVADA AUTOTRAVANTE (PARLOCK) INOX M10</t>
  </si>
  <si>
    <t xml:space="preserve">27.01.0236</t>
  </si>
  <si>
    <t xml:space="preserve">CATETER INTRAVENOSO 20 G PERIFERICO</t>
  </si>
  <si>
    <t xml:space="preserve">27.01.0237</t>
  </si>
  <si>
    <t xml:space="preserve">CATETER INTRAVENOSO 22G PERIFERICO</t>
  </si>
  <si>
    <t xml:space="preserve">27.01.0529</t>
  </si>
  <si>
    <t xml:space="preserve">CATETER INTRAVENOSO 16 G PERIFERICO</t>
  </si>
  <si>
    <t xml:space="preserve">27.01.0530</t>
  </si>
  <si>
    <t xml:space="preserve">CATETER INTRAVENOSO 18 G PERIFERICO</t>
  </si>
  <si>
    <t xml:space="preserve">27.01.0531</t>
  </si>
  <si>
    <t xml:space="preserve">CATETER INTRAVENOSO 24 G PERIFERICO</t>
  </si>
  <si>
    <t xml:space="preserve">27.01.0212</t>
  </si>
  <si>
    <t xml:space="preserve">SERINGA DESCARTÁVEL 10ML POLIPROPILENO C/AGULHA</t>
  </si>
  <si>
    <t xml:space="preserve">27.01.0446</t>
  </si>
  <si>
    <t xml:space="preserve">CLAMP UMBILICAL</t>
  </si>
  <si>
    <t xml:space="preserve">18.01.0443</t>
  </si>
  <si>
    <t xml:space="preserve">LUVA PVC ROSCAVEL 1"</t>
  </si>
  <si>
    <t xml:space="preserve">18.01.1324</t>
  </si>
  <si>
    <t xml:space="preserve">LUVA ROSCAVEL 25</t>
  </si>
  <si>
    <t xml:space="preserve">23.07.1588</t>
  </si>
  <si>
    <t xml:space="preserve">PARAFUSO 3/8"x3" CABEÇA FRANCESA COM PORCA</t>
  </si>
  <si>
    <t xml:space="preserve">18.01.1336</t>
  </si>
  <si>
    <t xml:space="preserve">JUNÇÃO SIMPLES 40X40 ESGOTO</t>
  </si>
  <si>
    <t xml:space="preserve">23.05.0113</t>
  </si>
  <si>
    <t xml:space="preserve">ARRUELA LISA AÇO INOX 1/4"</t>
  </si>
  <si>
    <t xml:space="preserve">18.01.0321</t>
  </si>
  <si>
    <t xml:space="preserve">JOELHO 90GR PVC AZUL SOLDAVEL C/ANEL VEDAÇÃO 38,00MM X 38,00MM</t>
  </si>
  <si>
    <t xml:space="preserve">23.05.0021</t>
  </si>
  <si>
    <t xml:space="preserve">ARRUELA LISA AÇO CARBONO 7/8" ZINCADO BRANCO</t>
  </si>
  <si>
    <t xml:space="preserve">18.01.0913</t>
  </si>
  <si>
    <t xml:space="preserve">ADAPTADOR CURTO SOLDÁVEL 40MM X 1.1/4"</t>
  </si>
  <si>
    <t xml:space="preserve">33.02.0132</t>
  </si>
  <si>
    <t xml:space="preserve">PORCA SEXT. 8.8 14</t>
  </si>
  <si>
    <t xml:space="preserve">27.01.0434</t>
  </si>
  <si>
    <t xml:space="preserve">SERINGA DE 5ML</t>
  </si>
  <si>
    <t xml:space="preserve">23.07.1423</t>
  </si>
  <si>
    <t xml:space="preserve">PARAFUSO AÇO 6 X 35 MM</t>
  </si>
  <si>
    <t xml:space="preserve">23.07.0555</t>
  </si>
  <si>
    <t xml:space="preserve">PARAFUSO FENDA P/MADEIRA CABECA CHATA AÇO CARBONO DIN 97 ROSCA SOBERBA 3,80MM X 40,00MM ASME 18.6.1</t>
  </si>
  <si>
    <t xml:space="preserve">33.02.1381</t>
  </si>
  <si>
    <t xml:space="preserve">PARAFUSO 09H1759</t>
  </si>
  <si>
    <t xml:space="preserve">33.02.1424</t>
  </si>
  <si>
    <t xml:space="preserve">PARAFUSO 1/2 X NC</t>
  </si>
  <si>
    <t xml:space="preserve">23.07.1512</t>
  </si>
  <si>
    <t xml:space="preserve">PARAFUSO 6 X 22MM</t>
  </si>
  <si>
    <t xml:space="preserve">23.08.0025</t>
  </si>
  <si>
    <t xml:space="preserve">BUCHA NYLON 6,00MM FIXACAO PARAFUSO</t>
  </si>
  <si>
    <t xml:space="preserve">23.05.0257</t>
  </si>
  <si>
    <t xml:space="preserve">ARRUELA LISA INOX 8MM</t>
  </si>
  <si>
    <t xml:space="preserve">18.01.0331</t>
  </si>
  <si>
    <t xml:space="preserve">JOELHO 90GR PVC SOLDAVEL 25,00MM</t>
  </si>
  <si>
    <t xml:space="preserve">17.16.0142</t>
  </si>
  <si>
    <t xml:space="preserve">TERMINAL PRÉ-ISOLADO TIPO AGULHA COBRE ESTANHADO 10,00MM2</t>
  </si>
  <si>
    <t xml:space="preserve">27.01.0324</t>
  </si>
  <si>
    <t xml:space="preserve">ÁCIDO ACETILSALICÍLICO 100MG</t>
  </si>
  <si>
    <t xml:space="preserve">17.16.0141</t>
  </si>
  <si>
    <t xml:space="preserve">TERMINAL PRÉ-ISOLADO TIPO AGULHA COBRE ESTANHADO 6,00MM2</t>
  </si>
  <si>
    <t xml:space="preserve">17.16.0526</t>
  </si>
  <si>
    <t xml:space="preserve">TERMINAL TIPO PINO PRE-ISOLADO 6MM²</t>
  </si>
  <si>
    <t xml:space="preserve">17.02.0917</t>
  </si>
  <si>
    <t xml:space="preserve">CURVA LONGA DE PVC 90 PRETA SOLDAVEL DE 3/4"</t>
  </si>
  <si>
    <t xml:space="preserve">23.06.0117</t>
  </si>
  <si>
    <t xml:space="preserve">PORCA SEXTAVADA 5,00 MM ZINCADO BRANCO</t>
  </si>
  <si>
    <t xml:space="preserve">23.07.1102</t>
  </si>
  <si>
    <t xml:space="preserve">PARAFUSO SEXTAVADO ROSCA SOBERBA 1/4" X 50</t>
  </si>
  <si>
    <t xml:space="preserve">17.03.0621</t>
  </si>
  <si>
    <t xml:space="preserve">BUCHA EXPANSAO NYLON N8 40MM</t>
  </si>
  <si>
    <t xml:space="preserve">TOTAL</t>
  </si>
  <si>
    <t xml:space="preserve">Conferência vs Base</t>
  </si>
  <si>
    <t xml:space="preserve">TABELAS DE APOIO DO DASHBOARD (fórmulas – não editar)</t>
  </si>
  <si>
    <t xml:space="preserve">A</t>
  </si>
  <si>
    <t xml:space="preserve">B</t>
  </si>
  <si>
    <t xml:space="preserve">C</t>
  </si>
  <si>
    <t xml:space="preserve">Total</t>
  </si>
  <si>
    <t xml:space="preserve">CODLOC</t>
  </si>
  <si>
    <t xml:space="preserve">Local</t>
  </si>
  <si>
    <t xml:space="preserve">Nº linhas</t>
  </si>
  <si>
    <t xml:space="preserve">0335</t>
  </si>
  <si>
    <t xml:space="preserve">USO E CONSUMO</t>
  </si>
  <si>
    <t xml:space="preserve">0337</t>
  </si>
  <si>
    <t xml:space="preserve">FAT. DIR. CLIENTE</t>
  </si>
  <si>
    <t xml:space="preserve">0338</t>
  </si>
  <si>
    <t xml:space="preserve">IMOBILIZADO</t>
  </si>
  <si>
    <t xml:space="preserve">0336</t>
  </si>
  <si>
    <t xml:space="preserve">FAT. DIR. TERCEIRO</t>
  </si>
  <si>
    <t xml:space="preserve">0346</t>
  </si>
  <si>
    <t xml:space="preserve">ESTOQUE MATRIZ FIL 1</t>
  </si>
  <si>
    <t xml:space="preserve">Classe A (R$)</t>
  </si>
  <si>
    <t xml:space="preserve">Classe B (R$)</t>
  </si>
  <si>
    <t xml:space="preserve">Classe C (R$)</t>
  </si>
  <si>
    <t xml:space="preserve">Total (R$)</t>
  </si>
  <si>
    <t xml:space="preserve">Natureza (top 10)</t>
  </si>
  <si>
    <t xml:space="preserve">Demais naturezas</t>
  </si>
  <si>
    <t xml:space="preserve">Top 10 itens</t>
  </si>
  <si>
    <t xml:space="preserve">Aba origem</t>
  </si>
  <si>
    <t xml:space="preserve">Unid.</t>
  </si>
  <si>
    <t xml:space="preserve">Saldo físico</t>
  </si>
  <si>
    <t xml:space="preserve">Saldo financeiro (R$)</t>
  </si>
  <si>
    <t xml:space="preserve">Classe ABC</t>
  </si>
  <si>
    <t xml:space="preserve">Uso e Consumo</t>
  </si>
  <si>
    <t xml:space="preserve">Fat Dir Terceiro</t>
  </si>
  <si>
    <t xml:space="preserve">Imobilizado</t>
  </si>
  <si>
    <t xml:space="preserve">NOME</t>
  </si>
  <si>
    <t xml:space="preserve">CODIGOPRD</t>
  </si>
  <si>
    <t xml:space="preserve">NOMEFANTASIA</t>
  </si>
  <si>
    <t xml:space="preserve">SALDOFISICO2</t>
  </si>
  <si>
    <t xml:space="preserve">SALDOFINANCEIRO2</t>
  </si>
  <si>
    <t xml:space="preserve">CUSTOMEDIO</t>
  </si>
  <si>
    <t xml:space="preserve">CUSTOUNITARIO</t>
  </si>
  <si>
    <t xml:space="preserve">CODUNDCONTROLE</t>
  </si>
  <si>
    <t xml:space="preserve">FATORCONVERSAO</t>
  </si>
  <si>
    <t xml:space="preserve">CODUNDBASE</t>
  </si>
  <si>
    <t xml:space="preserve">NATUREZA</t>
  </si>
  <si>
    <t xml:space="preserve">UFV NORONHA VERDE - USO E CONSUMO</t>
  </si>
  <si>
    <t xml:space="preserve">M</t>
  </si>
  <si>
    <t xml:space="preserve">M2</t>
  </si>
  <si>
    <t xml:space="preserve">UN</t>
  </si>
  <si>
    <t xml:space="preserve">UND</t>
  </si>
  <si>
    <t xml:space="preserve">pç</t>
  </si>
  <si>
    <t xml:space="preserve">VENTILADOR DE TETO PREMIUM 360 / 60CM  / 170W / 220V </t>
  </si>
  <si>
    <t xml:space="preserve">CABO ELÉTRICO DE COBRE FLEXÍVEL HEPR 0,6/1 KV 4 CONDUTORES 4,0 MM² COM BLINDAGEM EM COBRE
</t>
  </si>
  <si>
    <t xml:space="preserve">CABO OPTICO CFOA-SM-DDR-S 24F LSZH - TERCEIROS </t>
  </si>
  <si>
    <t xml:space="preserve">KG</t>
  </si>
  <si>
    <t xml:space="preserve">L</t>
  </si>
  <si>
    <t xml:space="preserve">M3</t>
  </si>
  <si>
    <t xml:space="preserve">POSTE DE CONCRETO SEÇÃO DUPLO “T”, ALTURA TOTAL IGUAL A 11,00 M, RESISTÊNCIA NOMINAL IGUAL A 1.500 KG, 1,70M ENGASTADO </t>
  </si>
  <si>
    <t xml:space="preserve">CABO MULTIPLEXADO DE ALUMINIO COM ISOLACAO HEPR 0,6/1KV DE 4X150MM  </t>
  </si>
  <si>
    <t xml:space="preserve">SECADOR DE MÃO ELÉTRICO </t>
  </si>
  <si>
    <t xml:space="preserve">REFLETOR LED 250 220V, 90°, EXTERNO, IP66 IK08, ALUMÍNIO, FLUXO 37550 LM, 5000K, IRC&gt;70 </t>
  </si>
  <si>
    <t xml:space="preserve">R500M</t>
  </si>
  <si>
    <t xml:space="preserve">UN.</t>
  </si>
  <si>
    <t xml:space="preserve">PAR</t>
  </si>
  <si>
    <t xml:space="preserve">PERFIL TUBULAR LAMINADO 100X100X2,25MM </t>
  </si>
  <si>
    <t xml:space="preserve">TUBO PEAD CORRUGADO NÃO PERFURADO 200 MM </t>
  </si>
  <si>
    <t xml:space="preserve">CJ</t>
  </si>
  <si>
    <t xml:space="preserve">m³</t>
  </si>
  <si>
    <t xml:space="preserve">R100M</t>
  </si>
  <si>
    <t xml:space="preserve">P14,7</t>
  </si>
  <si>
    <t xml:space="preserve">CAIXA DE INSPEÇÃO 50 X 50 </t>
  </si>
  <si>
    <t xml:space="preserve">RUFO SUPERIOR EM CHAPA METÁLICA GALVANIZADA </t>
  </si>
  <si>
    <t xml:space="preserve">ISOLADOR POLIMÉRICO TIPO BASTÃO PARA CADEIA DE ANCORAGEM ENGATE GARFO-OLHAL DIÂMETRO 120 MM TENSÃO MÁXIMA 25 KV NBI 150 </t>
  </si>
  <si>
    <t xml:space="preserve">PARAFUSADEIRA DE IMPACTO 1/4 POL 20V MAX BRUSHLESS 170NM COM 4 BATERIAS 20V LI-LON E CARREGADOR BIVOLT MARCA DEWALT </t>
  </si>
  <si>
    <t xml:space="preserve">RL800</t>
  </si>
  <si>
    <t xml:space="preserve">MT</t>
  </si>
  <si>
    <t xml:space="preserve">PÇ1M</t>
  </si>
  <si>
    <t xml:space="preserve">CHAVE DE TRANSFERÊNCIA AUTOMÁTICA 4 POLOS 400 A
</t>
  </si>
  <si>
    <t xml:space="preserve">L18L</t>
  </si>
  <si>
    <t xml:space="preserve">ABRAÇADEIRA TIPO UNHA PARA CABO 70 A 120 MM² EM COBRE ELETROLÍTICO FURO Ø8 MM
</t>
  </si>
  <si>
    <t xml:space="preserve">MANTA DE FELTRO FLEXÍVEL DE LÃ DE ROCHA </t>
  </si>
  <si>
    <t xml:space="preserve">MARTELETE PERFURADOR A BATERIA </t>
  </si>
  <si>
    <t xml:space="preserve">PÇ3M</t>
  </si>
  <si>
    <t xml:space="preserve">ÓLEO DE MOTOR 2 TEMPOS (2T)
</t>
  </si>
  <si>
    <t xml:space="preserve">TINTA ACRÍLICA ACETINADA BRANCA, LATA DE 18L </t>
  </si>
  <si>
    <t xml:space="preserve">LAVADOR DE VIDROS 45 CM LUVA C/ CABO </t>
  </si>
  <si>
    <t xml:space="preserve">CABO PP FLEXÍVEL 3 VIAS 4 MM²
</t>
  </si>
  <si>
    <t xml:space="preserve">BATERIA MAX LI-ION 20V 5AH - DCB205-B3 - DEWALT </t>
  </si>
  <si>
    <t xml:space="preserve">MATRIZ ALICATE HIDRÁULICO SACC-70-70
</t>
  </si>
  <si>
    <t xml:space="preserve">GERADOR À GASOLINA 4T 196CC 3,1kVA BIVOLT MONO TG3100CXR </t>
  </si>
  <si>
    <t xml:space="preserve">L18</t>
  </si>
  <si>
    <t xml:space="preserve">ARAME LISO OVALADO DE AÇO FIO 12 ( 2,76MM ) ROLOS DE 500M </t>
  </si>
  <si>
    <t xml:space="preserve">ML</t>
  </si>
  <si>
    <t xml:space="preserve">TINTA GALVANIZADA A FRIO EM SPRAY </t>
  </si>
  <si>
    <t xml:space="preserve">TUBO PEAD PERFURADO 100 MM </t>
  </si>
  <si>
    <t xml:space="preserve">PULVERIZADOR COSTAL A BATERIA E MANUAL 12V 20 LITROS COM 5 BICOS - SS-20B (110V/220V) </t>
  </si>
  <si>
    <t xml:space="preserve">DOBRADOR DE TUBO HIDRAULICO 16 TON </t>
  </si>
  <si>
    <t xml:space="preserve">REGUA METALICA REFORÇADA 3M </t>
  </si>
  <si>
    <t xml:space="preserve">BO</t>
  </si>
  <si>
    <t xml:space="preserve">TÊ DE REDUÇÃO SOLDÁVEL 50 X 20 MM PVC </t>
  </si>
  <si>
    <t xml:space="preserve">PRESILHA PARA SELAR FITA 16MM </t>
  </si>
  <si>
    <t xml:space="preserve">R50M</t>
  </si>
  <si>
    <t xml:space="preserve">NIVEL IMÃ BOLHA 360º BASE MAGNÉTICA </t>
  </si>
  <si>
    <t xml:space="preserve">PARAFUSO SEXT INOX 8X20 </t>
  </si>
  <si>
    <t xml:space="preserve">RL100</t>
  </si>
  <si>
    <t xml:space="preserve">MANTA CASAL MICROFIBRA </t>
  </si>
  <si>
    <t xml:space="preserve">rl</t>
  </si>
  <si>
    <t xml:space="preserve">CONECTOR DE COBRE, PARA FIXAÇÃO DE 1 CABO DE COBRE 70 A 120 mm² EM SUPERFÍCIE DE CONCRETO, COM PARAFUSO AUTOATARRAXANTE </t>
  </si>
  <si>
    <t xml:space="preserve">ALICATE HIDRÁULICO PARA PRENSAR E CRIMPAR TERMINAIS 10-300MM </t>
  </si>
  <si>
    <t xml:space="preserve">RUFO INFERIOR EM CHAPA METÁLICA </t>
  </si>
  <si>
    <t xml:space="preserve">COLETOR DE METAL DE 200L - LARANJA </t>
  </si>
  <si>
    <t xml:space="preserve">TAMPA PARA ELETROCALHA TIPO U 200 X 3000 MM, CHAPA 18, AÇO GALVANIZADO A QUENTE
</t>
  </si>
  <si>
    <t xml:space="preserve">PORCA SEXTAVADA 3/4-10 </t>
  </si>
  <si>
    <t xml:space="preserve">KIT</t>
  </si>
  <si>
    <t xml:space="preserve">CAPUZ BALACLAVA CONTRA ARCO ELÉTRICO RISCO II E ANTICHAMAS </t>
  </si>
  <si>
    <t xml:space="preserve">GRAMPO AÇO CARBONO TIPO "C" 3/8" COMPLETO (BALANCIN, PARAFUSO E PORCA) </t>
  </si>
  <si>
    <t xml:space="preserve">PARAFUSO SEXTAVADO ROSCA INTEIRA M10X100MM-INOX-304-CISER OU EQUIVALENTE PORCA 3/8" COM 2 PORCAS E 2 ANÉIS DE BORRACHA </t>
  </si>
  <si>
    <t xml:space="preserve">cx100</t>
  </si>
  <si>
    <t xml:space="preserve">PÇ50</t>
  </si>
  <si>
    <t xml:space="preserve">TERMO RETRATIL BITOLA 400 </t>
  </si>
  <si>
    <t xml:space="preserve">MOLA AÉREA PARA PORTA, POTENCIA 2 </t>
  </si>
  <si>
    <t xml:space="preserve">G3,6L</t>
  </si>
  <si>
    <t xml:space="preserve">PARAFUSO FLANG PH P/ BROCA 4.2 X 19MM </t>
  </si>
  <si>
    <t xml:space="preserve">KIT PARAFUSO P/ BACIA SANITÁRIA </t>
  </si>
  <si>
    <t xml:space="preserve">CABO MONOPOLAR 2,5 MM², EM COBRE NU, TÊMPERA MOLE, CLASSE 5, TENSÃO 750 V, EM PVC, 70 °C, COR PRETO </t>
  </si>
  <si>
    <t xml:space="preserve">PROTETOR FACIAL INCOLOR ACOPLADO A CAPACETE </t>
  </si>
  <si>
    <t xml:space="preserve">BB</t>
  </si>
  <si>
    <t xml:space="preserve">PORCA INOX MA 8MM </t>
  </si>
  <si>
    <t xml:space="preserve">VULCANIZADORA PARA CÂMARAS DE AUTOMÓVEIS/CAMINHÕES ;220V </t>
  </si>
  <si>
    <t xml:space="preserve">QUADRO DE SOBREPOR COM BARRAMENTO TERRA E NEUTRO COM CAPACIDADE PARA 20 DISJUNTORES TIPO DIN </t>
  </si>
  <si>
    <t xml:space="preserve">BOBINA FIO NYLON REDONDO 3MM 2KG PARA ROÇADEIRA </t>
  </si>
  <si>
    <t xml:space="preserve">MINICAPTOR EM LATÃO REDONDO COM CONECTOR E FIXAÇÃO HORIZONTAL ALTURA 250 MM DN 10 MM
</t>
  </si>
  <si>
    <t xml:space="preserve">CAIXA DE INSPEÇÃO EM TERMOPLASTICO ANTI-UV 160 X120 X 100MM , Ø 1", PARA ATERRAMENTO </t>
  </si>
  <si>
    <t xml:space="preserve">BD18L</t>
  </si>
  <si>
    <t xml:space="preserve">PÇ6M</t>
  </si>
  <si>
    <t xml:space="preserve">MACACÃO OPERACIONAL MECÂNICO </t>
  </si>
  <si>
    <t xml:space="preserve">DISJUNTOR TRIPOLAR TERMOMAGNÉTICO DIN CURVA C 50 A 10 KA
</t>
  </si>
  <si>
    <t xml:space="preserve">RODAPÉ EM PERFIL EXTRUDADO DE PVC 7,5 CM  DE ALTURA TIPO "STANDARD" </t>
  </si>
  <si>
    <t xml:space="preserve">LAVADORA PORTÁTIL À BATERIA
</t>
  </si>
  <si>
    <t xml:space="preserve">TARRAXA MANUAL CANO TUBO DE 1/2", 3/4", 1" POL. BSPT </t>
  </si>
  <si>
    <t xml:space="preserve">MOLDE DE CONEXÃO EM CRUZAMENTO ORTOGONAL TIPO "X", POR SOLDA EXOTÉRMICA, DE CABOS DE COBRE PASSANTES 70 mm² </t>
  </si>
  <si>
    <t xml:space="preserve">JUGULAR PVC PARA CAPACETE </t>
  </si>
  <si>
    <t xml:space="preserve">PCT</t>
  </si>
  <si>
    <t xml:space="preserve">CX</t>
  </si>
  <si>
    <t xml:space="preserve">MESA REDONDA 1,20MX15MM MDP CINZA </t>
  </si>
  <si>
    <t xml:space="preserve">LAVA ROUPAS LÍQUIDO 3L </t>
  </si>
  <si>
    <t xml:space="preserve">PC</t>
  </si>
  <si>
    <t xml:space="preserve">CAMISA MALHA MOLETON TAMANHO XXXG 3G – MODELO ESPORTE – GOLA CARECA – MANGA LONGA COM PUNHO DE RIBANA - L </t>
  </si>
  <si>
    <t xml:space="preserve">BORNE DE BATERIA COBRE C/ PARAFUSO INOX </t>
  </si>
  <si>
    <t xml:space="preserve">PARAFUSO ROSCA SOBERBA DE AÇO INOXIDÁVEL, CABEÇA SEXTAVADA, BITOLA 1/4" x 45 mm </t>
  </si>
  <si>
    <t xml:space="preserve">CABO MONOPOLAR 10 MM², EM COBRE NU, TÊMPERA MOLE, CLASSE 5, TENSÃO 0,6/1 KV, EM ISOL EPR, 90 °C, EM PVC, BRANCO </t>
  </si>
  <si>
    <t xml:space="preserve">MANDRIL SDS PLUS </t>
  </si>
  <si>
    <t xml:space="preserve">SILICONE ACÉTICO MULTIUSO </t>
  </si>
  <si>
    <t xml:space="preserve">SUPORTE ANGULAR PARA ELETROCALHA 200 X 100 MM AÇO GALVANIZADO A QUENTE
</t>
  </si>
  <si>
    <t xml:space="preserve">ELETRODUTO PVC ANTICHAMA RIGIDO SOLDAVEL PRETO 63,00MM X 3,00M NBR 15465 </t>
  </si>
  <si>
    <t xml:space="preserve">CURVA 90 PEAD PE100 DE180MM </t>
  </si>
  <si>
    <t xml:space="preserve">LT</t>
  </si>
  <si>
    <t xml:space="preserve">NÍVEL ALUMÍNIO MAGNÉTICO 12'' </t>
  </si>
  <si>
    <t xml:space="preserve">ABRAÇADEIRA TIPO U ½ </t>
  </si>
  <si>
    <t xml:space="preserve">CABO FLEX 16MM </t>
  </si>
  <si>
    <t xml:space="preserve">CAIXA DE PASSAGEM DE SOBREPOR 15,00 CM X 15,00 CM X 8,00 CM EM PVC </t>
  </si>
  <si>
    <t xml:space="preserve">kg </t>
  </si>
  <si>
    <t xml:space="preserve">CAIXA DE TOMADA PARA PERFILADO 38 X 38 MM COM TOMADA 2P+T 10 A 250 V
</t>
  </si>
  <si>
    <t xml:space="preserve">ALICATE PRENSA TERMINAL MANUAL 6MM </t>
  </si>
  <si>
    <t xml:space="preserve">MICROFONE SEM FIO </t>
  </si>
  <si>
    <t xml:space="preserve">FRITADEIRA ELÉTRICA </t>
  </si>
  <si>
    <t xml:space="preserve">ROTEADOR WIFI 6 DUAL BAND AX 1600 INTELBRAS </t>
  </si>
  <si>
    <t xml:space="preserve">PASTA PINHO 1, 0 LITRO </t>
  </si>
  <si>
    <t xml:space="preserve">CABO DE AÇO DUAL FLUX </t>
  </si>
  <si>
    <t xml:space="preserve">HASTE DE ATERRAMENTO 5/8" 1 METRO </t>
  </si>
  <si>
    <t xml:space="preserve">PERFIL CANTONEIRA EM AÇO TIPO L 1 1/2" X 1/8" COMPRIMENTO 875 MM
</t>
  </si>
  <si>
    <t xml:space="preserve">INTERRUPTOR DIFERENCIAL 4P 40A </t>
  </si>
  <si>
    <t xml:space="preserve">GL5</t>
  </si>
  <si>
    <t xml:space="preserve">VENTILADOR COLUNA </t>
  </si>
  <si>
    <t xml:space="preserve">MICROFONE COM FIO </t>
  </si>
  <si>
    <t xml:space="preserve">CHAVE INGLESA </t>
  </si>
  <si>
    <t xml:space="preserve">BROCA CHATA ¾” 10 CM </t>
  </si>
  <si>
    <t xml:space="preserve">PRESILHAS BIPARTIDAS DE LATÃO ESTANHADO PARA DOIS CABOS 70MM² E FURO Ø18MM </t>
  </si>
  <si>
    <t xml:space="preserve">ELETRODUTO PEAD FLEXÍVEL 25MM² OU SUPERIOR </t>
  </si>
  <si>
    <t xml:space="preserve">CURVA PVC 45º SOLDÁVEL 3/4 </t>
  </si>
  <si>
    <t xml:space="preserve">TESOURA DE FUNILEIRO 12" POLEGADAS </t>
  </si>
  <si>
    <t xml:space="preserve">BATERIA 12 VOLTS </t>
  </si>
  <si>
    <t xml:space="preserve">BROCA SDS-PLUS 20MM </t>
  </si>
  <si>
    <t xml:space="preserve">CONECTOR MACHO FIXO PARA ELETRODUTO METÁLICO FLEXÍVEL DN 1" ROSCA BSP COM PORCA IP65
</t>
  </si>
  <si>
    <t xml:space="preserve">PERFIL CANTONEIRA EM AÇO TIPO L 1 1/2" X 1/8" COMPRIMENTO 675 MM
</t>
  </si>
  <si>
    <t xml:space="preserve">MANGUEIRA CRISTAL 5/8" </t>
  </si>
  <si>
    <t xml:space="preserve">VASSOURA GARI COM CABO 50 CM </t>
  </si>
  <si>
    <t xml:space="preserve">PEDESTAL DE FIXAÇÃO TIPO ÔMEGA EM AÇO COM FUROS Ø8,5 MM E Ø10 MM
</t>
  </si>
  <si>
    <t xml:space="preserve">BOIA CAIXA D'AGUA 1/2 E 3/4 </t>
  </si>
  <si>
    <t xml:space="preserve">TERMINAL NEGATIVO DE BATERIA COBRE </t>
  </si>
  <si>
    <t xml:space="preserve">BARRAMENTO TRIFASICO PENTE 12DIN </t>
  </si>
  <si>
    <t xml:space="preserve">FACÃO DE MATO </t>
  </si>
  <si>
    <t xml:space="preserve">PLUG MACHO 2P+T 20A </t>
  </si>
  <si>
    <t xml:space="preserve">BUCHA DE REDUÇÃO SOLDÁVEL  50 X 20 MM EM PVC </t>
  </si>
  <si>
    <t xml:space="preserve">CAL DE PINTURA </t>
  </si>
  <si>
    <t xml:space="preserve">SC5</t>
  </si>
  <si>
    <t xml:space="preserve">SONDA URETRAL ESTÉRIL Nº 08 PARA PROCEDIMENTO MÉDICO
</t>
  </si>
  <si>
    <t xml:space="preserve">TERMINAL PARA ELETROCALHA 200 X 100 MM AÇO GALVANIZADO A QUENTE
</t>
  </si>
  <si>
    <t xml:space="preserve">SEM FIM P/ MOTOSSERRA </t>
  </si>
  <si>
    <t xml:space="preserve">PERFIL CANTONEIRA EM AÇO TIPO L 1 1/2" X 1/8" COMPRIMENTO 725 MM
</t>
  </si>
  <si>
    <t xml:space="preserve">CONJUNTO DE XICARAS </t>
  </si>
  <si>
    <t xml:space="preserve">BROCA SDS-PLUS 8MM </t>
  </si>
  <si>
    <t xml:space="preserve">BROCA SDS-PLUS 16MM </t>
  </si>
  <si>
    <t xml:space="preserve">BI850</t>
  </si>
  <si>
    <t xml:space="preserve">LÂMINA DE REPOSIÇÃO PARA ESTILETE TRAPEZOIDAL 18MM
</t>
  </si>
  <si>
    <t xml:space="preserve">CAIXA PARA MASSA PLÁSTICA 50 L
</t>
  </si>
  <si>
    <t xml:space="preserve">BROCA SDS-PLUS 12MM </t>
  </si>
  <si>
    <t xml:space="preserve">BROCA SDS-PLUS 10MM </t>
  </si>
  <si>
    <t xml:space="preserve">EXTENSÃO PARA SOQUETE ½ 5 POL FERRAMENTAS  </t>
  </si>
  <si>
    <t xml:space="preserve">EXTENSÃO 3M PP 2P+T </t>
  </si>
  <si>
    <t xml:space="preserve">VALVULA BORBOLETA </t>
  </si>
  <si>
    <t xml:space="preserve">PORCA SEXTAVADA AÇO GALVANIZADO A FOGO ROSCA MÉTRICA M12
</t>
  </si>
  <si>
    <t xml:space="preserve">BROCA SDS-PLUS 6MM </t>
  </si>
  <si>
    <t xml:space="preserve">TOMADA SIMPLES PARA CONDULETE 1" </t>
  </si>
  <si>
    <t xml:space="preserve">EXTENSÃO 6" PARA SOQUETE ENCAIXE 1/4" </t>
  </si>
  <si>
    <t xml:space="preserve">R20M</t>
  </si>
  <si>
    <t xml:space="preserve">POLIA 1128-195-0400 </t>
  </si>
  <si>
    <t xml:space="preserve">PC100</t>
  </si>
  <si>
    <t xml:space="preserve">GRAMPEADOR PROFISSIONAL 26/6 </t>
  </si>
  <si>
    <t xml:space="preserve">FR</t>
  </si>
  <si>
    <t xml:space="preserve">FITA MICROPORE ADESIVA HIPOALERGÊNICA 5 MM X 10 M
</t>
  </si>
  <si>
    <t xml:space="preserve">TB</t>
  </si>
  <si>
    <t xml:space="preserve">BUCHA LIGA ALUMÍNIO, ALTA RESISTÊNCIA MECÂNICA E CORROSÃO, 3" ROSCA BSP </t>
  </si>
  <si>
    <t xml:space="preserve">GL36</t>
  </si>
  <si>
    <t xml:space="preserve">FLANGE PARA ELETROCALHA 200 X 100 MM AÇO GALVANIZADO A QUENTE
</t>
  </si>
  <si>
    <t xml:space="preserve">PARAFUSO IS MSX16 MOTOSSERRA </t>
  </si>
  <si>
    <t xml:space="preserve">TERMINAL DE COMPRESSÃO TIPO OLHAL 95mm² COM FURO M10 </t>
  </si>
  <si>
    <t xml:space="preserve">UNIÃO COM ANEL SOLDÁVEL 32MM PVC </t>
  </si>
  <si>
    <t xml:space="preserve">ALFINETE DE SEGURANÇA Nº 01 </t>
  </si>
  <si>
    <t xml:space="preserve">ABRACADEIRA DE NYLON 3,6 X 250 BRANCO C/100 </t>
  </si>
  <si>
    <t xml:space="preserve">EQUIPO PARA DROGAS FOTOSSENSÍVEIS </t>
  </si>
  <si>
    <t xml:space="preserve">PARAFUSO TORX M5 X 18   MOTOSSERRA </t>
  </si>
  <si>
    <t xml:space="preserve"> ABRAÇADEIRA P/ CABO DE AÇO DE 3/8" ZINCADA</t>
  </si>
  <si>
    <t xml:space="preserve">PARAFUSO IS P6X21,5  MOTOSSERRA </t>
  </si>
  <si>
    <t xml:space="preserve"> ADAPTADOR MACHO 63 x 2</t>
  </si>
  <si>
    <t xml:space="preserve"> ABRACADEIRA TIPO U DE 3/4''</t>
  </si>
  <si>
    <t xml:space="preserve">PORCA SEXTAVADA AÇO GALVANIZADO A FOGO ROSCA MÉTRICA M10
</t>
  </si>
  <si>
    <t xml:space="preserve"> ADAPTADOR FF DE METAL 6"</t>
  </si>
  <si>
    <t xml:space="preserve">LUVA DE PVC SOLDÁVEL LR 25  X 1/2 </t>
  </si>
  <si>
    <t xml:space="preserve">PARAFUSO SEXTAVADO ROSCA SOBERBA 1/4" X 50 </t>
  </si>
  <si>
    <t xml:space="preserve">UFV NORONHA VERDE - FAT. DIR. TERCEIRO</t>
  </si>
  <si>
    <t xml:space="preserve">UFV NORONHA VERDE - FAT. DIR. CLIENTE</t>
  </si>
  <si>
    <t xml:space="preserve">UFV NORONHA VERDE - ESTOQUE MATRIZ FIL 1</t>
  </si>
  <si>
    <t xml:space="preserve">UFV NORONHA VERDE - IMOBILIZADO</t>
  </si>
  <si>
    <t xml:space="preserve">ESCADA TIPO PLATAFORMA DE FIBRA 10 DEGRAUS </t>
  </si>
  <si>
    <t xml:space="preserve">TRAVA QUEDAS RETRÁTIL COM CABO DE AÇO DE 3,5 M </t>
  </si>
  <si>
    <t xml:space="preserve">TRAVA QUEDAS RETRÁTIL COM CABO DE AÇO DE 6,0 M </t>
  </si>
  <si>
    <t xml:space="preserve">CELULAR </t>
  </si>
  <si>
    <t xml:space="preserve">MEGOMETROS MD 5060X 5KV MEGABRAS 50C 5TO 5KV BATERIA RECARREGAVEL INTERNA (12 V 3000 MAH) </t>
  </si>
  <si>
    <t xml:space="preserve">MÁQUINA DE SOLDA INVERSORA 150 MICRO AMARELA E PRETA 50Hz/60Hz 220v </t>
  </si>
  <si>
    <t xml:space="preserve">CARPA DORMITÓRIO COM DIVISÓRIA EM PVC - 8 X 16M </t>
  </si>
  <si>
    <t xml:space="preserve">CARPA BANHEIRO/VESTIÁRIO COM DIVISÓRIA EM PVC  - 8 X 16M </t>
  </si>
  <si>
    <t xml:space="preserve">CAIXA GRADEADA 2.000 L/H EM PEAD </t>
  </si>
  <si>
    <t xml:space="preserve">CAIXA CLORORADORA 1.000 L EM PEAD </t>
  </si>
  <si>
    <t xml:space="preserve">DETECTOR DE ALTA TENSÃO SEM CONTATO 240V–500 kV
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</si>
</sst>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 &quot;#,##0"/>
    <numFmt numFmtId="166" formatCode="#,##0"/>
    <numFmt numFmtId="167" formatCode="0"/>
    <numFmt numFmtId="168" formatCode="0.0%"/>
    <numFmt numFmtId="169" formatCode="0%"/>
    <numFmt numFmtId="170" formatCode="&quot;R$ &quot;#,##0.00"/>
    <numFmt numFmtId="171" formatCode="0.00%"/>
    <numFmt numFmtId="172" formatCode="#,##0.00"/>
    <numFmt numFmtId="173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2E75B6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7" fillId="9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7" fontId="17" fillId="9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72" fontId="17" fillId="9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70" fontId="17" fillId="9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7" fillId="9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73" fontId="17" fillId="9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73" fontId="17" fillId="9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7" fontId="17" fillId="9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72" fontId="17" fillId="9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70" fontId="17" fillId="9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4" fontId="17" fillId="9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9A9A9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2E75B6"/>
      <rgbColor rgb="FF5B9BD5"/>
      <rgbColor rgb="FF99CC00"/>
      <rgbColor rgb="FFFFC000"/>
      <rgbColor rgb="FFFF9900"/>
      <rgbColor rgb="FFED7D31"/>
      <rgbColor rgb="FF595959"/>
      <rgbColor rgb="FF8B8B8B"/>
      <rgbColor rgb="FF1F3864"/>
      <rgbColor rgb="FF70AD47"/>
      <rgbColor rgb="FF003300"/>
      <rgbColor rgb="FF333300"/>
      <rgbColor rgb="FFC55A11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ABC – % acumulado do valor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'Curva ABC'!I7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ABC'!$A$8:$A$2847</c:f>
              <c:strCache>
                <c:ptCount val="28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</c:strCache>
            </c:strRef>
          </c:cat>
          <c:val>
            <c:numRef>
              <c:f>'Curva ABC'!$I$8:$I$2847</c:f>
              <c:numCache>
                <c:formatCode>0.0%</c:formatCode>
                <c:ptCount val="2840"/>
                <c:pt idx="0">
                  <c:v>0.0452713250028437</c:v>
                </c:pt>
                <c:pt idx="1">
                  <c:v>0.0843165496727667</c:v>
                </c:pt>
                <c:pt idx="2">
                  <c:v>0.107649208151543</c:v>
                </c:pt>
                <c:pt idx="3">
                  <c:v>0.130549305913498</c:v>
                </c:pt>
                <c:pt idx="4">
                  <c:v>0.152902466699257</c:v>
                </c:pt>
                <c:pt idx="5">
                  <c:v>0.175245378605709</c:v>
                </c:pt>
                <c:pt idx="6">
                  <c:v>0.196203647756037</c:v>
                </c:pt>
                <c:pt idx="7">
                  <c:v>0.215219736559605</c:v>
                </c:pt>
                <c:pt idx="8">
                  <c:v>0.23271000229311</c:v>
                </c:pt>
                <c:pt idx="9">
                  <c:v>0.248444406898393</c:v>
                </c:pt>
                <c:pt idx="10">
                  <c:v>0.261487750966318</c:v>
                </c:pt>
                <c:pt idx="11">
                  <c:v>0.272712296941196</c:v>
                </c:pt>
                <c:pt idx="12">
                  <c:v>0.283819404067399</c:v>
                </c:pt>
                <c:pt idx="13">
                  <c:v>0.2945166472362</c:v>
                </c:pt>
                <c:pt idx="14">
                  <c:v>0.304976173890137</c:v>
                </c:pt>
                <c:pt idx="15">
                  <c:v>0.314908393144441</c:v>
                </c:pt>
                <c:pt idx="16">
                  <c:v>0.32468151131102</c:v>
                </c:pt>
                <c:pt idx="17">
                  <c:v>0.334041850580902</c:v>
                </c:pt>
                <c:pt idx="18">
                  <c:v>0.343370456989547</c:v>
                </c:pt>
                <c:pt idx="19">
                  <c:v>0.35236779444629</c:v>
                </c:pt>
                <c:pt idx="20">
                  <c:v>0.36128146093958</c:v>
                </c:pt>
                <c:pt idx="21">
                  <c:v>0.369597765681744</c:v>
                </c:pt>
                <c:pt idx="22">
                  <c:v>0.377459308395476</c:v>
                </c:pt>
                <c:pt idx="23">
                  <c:v>0.385071486649173</c:v>
                </c:pt>
                <c:pt idx="24">
                  <c:v>0.392674679907642</c:v>
                </c:pt>
                <c:pt idx="25">
                  <c:v>0.400080491352659</c:v>
                </c:pt>
                <c:pt idx="26">
                  <c:v>0.406852705109397</c:v>
                </c:pt>
                <c:pt idx="27">
                  <c:v>0.413414927741895</c:v>
                </c:pt>
                <c:pt idx="28">
                  <c:v>0.419863144880598</c:v>
                </c:pt>
                <c:pt idx="29">
                  <c:v>0.426281717178559</c:v>
                </c:pt>
                <c:pt idx="30">
                  <c:v>0.432495861148405</c:v>
                </c:pt>
                <c:pt idx="31">
                  <c:v>0.438659100644847</c:v>
                </c:pt>
                <c:pt idx="32">
                  <c:v>0.444641222796632</c:v>
                </c:pt>
                <c:pt idx="33">
                  <c:v>0.450527307476412</c:v>
                </c:pt>
                <c:pt idx="34">
                  <c:v>0.456338811839752</c:v>
                </c:pt>
                <c:pt idx="35">
                  <c:v>0.462065364950003</c:v>
                </c:pt>
                <c:pt idx="36">
                  <c:v>0.467560576088457</c:v>
                </c:pt>
                <c:pt idx="37">
                  <c:v>0.473029729297059</c:v>
                </c:pt>
                <c:pt idx="38">
                  <c:v>0.478410751855708</c:v>
                </c:pt>
                <c:pt idx="39">
                  <c:v>0.483769936649879</c:v>
                </c:pt>
                <c:pt idx="40">
                  <c:v>0.489003166799065</c:v>
                </c:pt>
                <c:pt idx="41">
                  <c:v>0.494213440981038</c:v>
                </c:pt>
                <c:pt idx="42">
                  <c:v>0.499348350004743</c:v>
                </c:pt>
                <c:pt idx="43">
                  <c:v>0.504333014316388</c:v>
                </c:pt>
                <c:pt idx="44">
                  <c:v>0.509281829205792</c:v>
                </c:pt>
                <c:pt idx="45">
                  <c:v>0.513568857067154</c:v>
                </c:pt>
                <c:pt idx="46">
                  <c:v>0.517747882555985</c:v>
                </c:pt>
                <c:pt idx="47">
                  <c:v>0.521481427624076</c:v>
                </c:pt>
                <c:pt idx="48">
                  <c:v>0.524939193999841</c:v>
                </c:pt>
                <c:pt idx="49">
                  <c:v>0.5283782888573</c:v>
                </c:pt>
                <c:pt idx="50">
                  <c:v>0.531732771072358</c:v>
                </c:pt>
                <c:pt idx="51">
                  <c:v>0.535032650345336</c:v>
                </c:pt>
                <c:pt idx="52">
                  <c:v>0.538273633670187</c:v>
                </c:pt>
                <c:pt idx="53">
                  <c:v>0.54150349534012</c:v>
                </c:pt>
                <c:pt idx="54">
                  <c:v>0.544732108875309</c:v>
                </c:pt>
                <c:pt idx="55">
                  <c:v>0.547842602403113</c:v>
                </c:pt>
                <c:pt idx="56">
                  <c:v>0.550918903738942</c:v>
                </c:pt>
                <c:pt idx="57">
                  <c:v>0.553957249566235</c:v>
                </c:pt>
                <c:pt idx="58">
                  <c:v>0.556993428547615</c:v>
                </c:pt>
                <c:pt idx="59">
                  <c:v>0.559895637129063</c:v>
                </c:pt>
                <c:pt idx="60">
                  <c:v>0.562776072255817</c:v>
                </c:pt>
                <c:pt idx="61">
                  <c:v>0.565600452876844</c:v>
                </c:pt>
                <c:pt idx="62">
                  <c:v>0.568421410642546</c:v>
                </c:pt>
                <c:pt idx="63">
                  <c:v>0.571187390107032</c:v>
                </c:pt>
                <c:pt idx="64">
                  <c:v>0.573927656158356</c:v>
                </c:pt>
                <c:pt idx="65">
                  <c:v>0.576585944955888</c:v>
                </c:pt>
                <c:pt idx="66">
                  <c:v>0.57921758784842</c:v>
                </c:pt>
                <c:pt idx="67">
                  <c:v>0.581721112531165</c:v>
                </c:pt>
                <c:pt idx="68">
                  <c:v>0.584188667702994</c:v>
                </c:pt>
                <c:pt idx="69">
                  <c:v>0.58662578925492</c:v>
                </c:pt>
                <c:pt idx="70">
                  <c:v>0.589056746911128</c:v>
                </c:pt>
                <c:pt idx="71">
                  <c:v>0.59148765666311</c:v>
                </c:pt>
                <c:pt idx="72">
                  <c:v>0.593909068385299</c:v>
                </c:pt>
                <c:pt idx="73">
                  <c:v>0.596328048016535</c:v>
                </c:pt>
                <c:pt idx="74">
                  <c:v>0.598702848140121</c:v>
                </c:pt>
                <c:pt idx="75">
                  <c:v>0.601037249908736</c:v>
                </c:pt>
                <c:pt idx="76">
                  <c:v>0.60333402783011</c:v>
                </c:pt>
                <c:pt idx="77">
                  <c:v>0.605618065196243</c:v>
                </c:pt>
                <c:pt idx="78">
                  <c:v>0.607891415982819</c:v>
                </c:pt>
                <c:pt idx="79">
                  <c:v>0.610157847561852</c:v>
                </c:pt>
                <c:pt idx="80">
                  <c:v>0.612375878811636</c:v>
                </c:pt>
                <c:pt idx="81">
                  <c:v>0.61457896919293</c:v>
                </c:pt>
                <c:pt idx="82">
                  <c:v>0.616746366332882</c:v>
                </c:pt>
                <c:pt idx="83">
                  <c:v>0.618882109896371</c:v>
                </c:pt>
                <c:pt idx="84">
                  <c:v>0.62100433269572</c:v>
                </c:pt>
                <c:pt idx="85">
                  <c:v>0.623103768176979</c:v>
                </c:pt>
                <c:pt idx="86">
                  <c:v>0.625086377064933</c:v>
                </c:pt>
                <c:pt idx="87">
                  <c:v>0.627030021509184</c:v>
                </c:pt>
                <c:pt idx="88">
                  <c:v>0.628945140562253</c:v>
                </c:pt>
                <c:pt idx="89">
                  <c:v>0.630859472148605</c:v>
                </c:pt>
                <c:pt idx="90">
                  <c:v>0.63276600781447</c:v>
                </c:pt>
                <c:pt idx="91">
                  <c:v>0.634631077661733</c:v>
                </c:pt>
                <c:pt idx="92">
                  <c:v>0.636491809013623</c:v>
                </c:pt>
                <c:pt idx="93">
                  <c:v>0.638293024287347</c:v>
                </c:pt>
                <c:pt idx="94">
                  <c:v>0.640077948843387</c:v>
                </c:pt>
                <c:pt idx="95">
                  <c:v>0.641836624508896</c:v>
                </c:pt>
                <c:pt idx="96">
                  <c:v>0.643586958933217</c:v>
                </c:pt>
                <c:pt idx="97">
                  <c:v>0.645286949954169</c:v>
                </c:pt>
                <c:pt idx="98">
                  <c:v>0.646961853335507</c:v>
                </c:pt>
                <c:pt idx="99">
                  <c:v>0.648630646237619</c:v>
                </c:pt>
                <c:pt idx="100">
                  <c:v>0.650283013896482</c:v>
                </c:pt>
                <c:pt idx="101">
                  <c:v>0.651905892895501</c:v>
                </c:pt>
                <c:pt idx="102">
                  <c:v>0.653526761885728</c:v>
                </c:pt>
                <c:pt idx="103">
                  <c:v>0.65512321284554</c:v>
                </c:pt>
                <c:pt idx="104">
                  <c:v>0.65670500379999</c:v>
                </c:pt>
                <c:pt idx="105">
                  <c:v>0.658240563895995</c:v>
                </c:pt>
                <c:pt idx="106">
                  <c:v>0.659772860598684</c:v>
                </c:pt>
                <c:pt idx="107">
                  <c:v>0.66129145341185</c:v>
                </c:pt>
                <c:pt idx="108">
                  <c:v>0.662801638705379</c:v>
                </c:pt>
                <c:pt idx="109">
                  <c:v>0.664310949910853</c:v>
                </c:pt>
                <c:pt idx="110">
                  <c:v>0.665813698893695</c:v>
                </c:pt>
                <c:pt idx="111">
                  <c:v>0.667309447953655</c:v>
                </c:pt>
                <c:pt idx="112">
                  <c:v>0.668796457445513</c:v>
                </c:pt>
                <c:pt idx="113">
                  <c:v>0.670281940564387</c:v>
                </c:pt>
                <c:pt idx="114">
                  <c:v>0.671765122311783</c:v>
                </c:pt>
                <c:pt idx="115">
                  <c:v>0.673247052643323</c:v>
                </c:pt>
                <c:pt idx="116">
                  <c:v>0.674724733935709</c:v>
                </c:pt>
                <c:pt idx="117">
                  <c:v>0.676197270445551</c:v>
                </c:pt>
                <c:pt idx="118">
                  <c:v>0.67766720831523</c:v>
                </c:pt>
                <c:pt idx="119">
                  <c:v>0.679108099162649</c:v>
                </c:pt>
                <c:pt idx="120">
                  <c:v>0.680505941173377</c:v>
                </c:pt>
                <c:pt idx="121">
                  <c:v>0.681902362462904</c:v>
                </c:pt>
                <c:pt idx="122">
                  <c:v>0.68328300423189</c:v>
                </c:pt>
                <c:pt idx="123">
                  <c:v>0.684621041426656</c:v>
                </c:pt>
                <c:pt idx="124">
                  <c:v>0.685957766176896</c:v>
                </c:pt>
                <c:pt idx="125">
                  <c:v>0.68728924114903</c:v>
                </c:pt>
                <c:pt idx="126">
                  <c:v>0.688615663209736</c:v>
                </c:pt>
                <c:pt idx="127">
                  <c:v>0.689939394759164</c:v>
                </c:pt>
                <c:pt idx="128">
                  <c:v>0.691262338841875</c:v>
                </c:pt>
                <c:pt idx="129">
                  <c:v>0.692520540036095</c:v>
                </c:pt>
                <c:pt idx="130">
                  <c:v>0.693773924558902</c:v>
                </c:pt>
                <c:pt idx="131">
                  <c:v>0.695026127881635</c:v>
                </c:pt>
                <c:pt idx="132">
                  <c:v>0.696251153103113</c:v>
                </c:pt>
                <c:pt idx="133">
                  <c:v>0.697463851845599</c:v>
                </c:pt>
                <c:pt idx="134">
                  <c:v>0.698663651227056</c:v>
                </c:pt>
                <c:pt idx="135">
                  <c:v>0.699858769775109</c:v>
                </c:pt>
                <c:pt idx="136">
                  <c:v>0.701034437895279</c:v>
                </c:pt>
                <c:pt idx="137">
                  <c:v>0.702209567256971</c:v>
                </c:pt>
                <c:pt idx="138">
                  <c:v>0.703382892663662</c:v>
                </c:pt>
                <c:pt idx="139">
                  <c:v>0.704513841861481</c:v>
                </c:pt>
                <c:pt idx="140">
                  <c:v>0.705643734541456</c:v>
                </c:pt>
                <c:pt idx="141">
                  <c:v>0.706765874611613</c:v>
                </c:pt>
                <c:pt idx="142">
                  <c:v>0.707884299807538</c:v>
                </c:pt>
                <c:pt idx="143">
                  <c:v>0.708996307149728</c:v>
                </c:pt>
                <c:pt idx="144">
                  <c:v>0.710107989661898</c:v>
                </c:pt>
                <c:pt idx="145">
                  <c:v>0.711213067953211</c:v>
                </c:pt>
                <c:pt idx="146">
                  <c:v>0.712316171015511</c:v>
                </c:pt>
                <c:pt idx="147">
                  <c:v>0.713413112150759</c:v>
                </c:pt>
                <c:pt idx="148">
                  <c:v>0.714500603685417</c:v>
                </c:pt>
                <c:pt idx="149">
                  <c:v>0.715583370419779</c:v>
                </c:pt>
                <c:pt idx="150">
                  <c:v>0.716666137154141</c:v>
                </c:pt>
                <c:pt idx="151">
                  <c:v>0.7177405003062</c:v>
                </c:pt>
                <c:pt idx="152">
                  <c:v>0.718809773798385</c:v>
                </c:pt>
                <c:pt idx="153">
                  <c:v>0.719878759865219</c:v>
                </c:pt>
                <c:pt idx="154">
                  <c:v>0.720947386322253</c:v>
                </c:pt>
                <c:pt idx="155">
                  <c:v>0.72199332848809</c:v>
                </c:pt>
                <c:pt idx="156">
                  <c:v>0.723038034331184</c:v>
                </c:pt>
                <c:pt idx="157">
                  <c:v>0.724061741061853</c:v>
                </c:pt>
                <c:pt idx="158">
                  <c:v>0.725073635791784</c:v>
                </c:pt>
                <c:pt idx="159">
                  <c:v>0.726081855677041</c:v>
                </c:pt>
                <c:pt idx="160">
                  <c:v>0.727082618252499</c:v>
                </c:pt>
                <c:pt idx="161">
                  <c:v>0.728076138759059</c:v>
                </c:pt>
                <c:pt idx="162">
                  <c:v>0.72906872951023</c:v>
                </c:pt>
                <c:pt idx="163">
                  <c:v>0.730052406682841</c:v>
                </c:pt>
                <c:pt idx="164">
                  <c:v>0.731030256181773</c:v>
                </c:pt>
                <c:pt idx="165">
                  <c:v>0.732003046627037</c:v>
                </c:pt>
                <c:pt idx="166">
                  <c:v>0.732975568021173</c:v>
                </c:pt>
                <c:pt idx="167">
                  <c:v>0.73394415208173</c:v>
                </c:pt>
                <c:pt idx="168">
                  <c:v>0.734883113613101</c:v>
                </c:pt>
                <c:pt idx="169">
                  <c:v>0.735821511449548</c:v>
                </c:pt>
                <c:pt idx="170">
                  <c:v>0.736750525307631</c:v>
                </c:pt>
                <c:pt idx="171">
                  <c:v>0.737675149038772</c:v>
                </c:pt>
                <c:pt idx="172">
                  <c:v>0.738597999657358</c:v>
                </c:pt>
                <c:pt idx="173">
                  <c:v>0.739513035981234</c:v>
                </c:pt>
                <c:pt idx="174">
                  <c:v>0.740426383189004</c:v>
                </c:pt>
                <c:pt idx="175">
                  <c:v>0.741336630402802</c:v>
                </c:pt>
                <c:pt idx="176">
                  <c:v>0.74223893601477</c:v>
                </c:pt>
                <c:pt idx="177">
                  <c:v>0.743141241626739</c:v>
                </c:pt>
                <c:pt idx="178">
                  <c:v>0.744042228231958</c:v>
                </c:pt>
                <c:pt idx="179">
                  <c:v>0.744937971621294</c:v>
                </c:pt>
                <c:pt idx="180">
                  <c:v>0.74583174634384</c:v>
                </c:pt>
                <c:pt idx="181">
                  <c:v>0.746714663869041</c:v>
                </c:pt>
                <c:pt idx="182">
                  <c:v>0.747588062890313</c:v>
                </c:pt>
                <c:pt idx="183">
                  <c:v>0.74845736052244</c:v>
                </c:pt>
                <c:pt idx="184">
                  <c:v>0.749324550368658</c:v>
                </c:pt>
                <c:pt idx="185">
                  <c:v>0.750189899511427</c:v>
                </c:pt>
                <c:pt idx="186">
                  <c:v>0.751050121589653</c:v>
                </c:pt>
                <c:pt idx="187">
                  <c:v>0.751910068710751</c:v>
                </c:pt>
                <c:pt idx="188">
                  <c:v>0.752764653183513</c:v>
                </c:pt>
                <c:pt idx="189">
                  <c:v>0.753613983284614</c:v>
                </c:pt>
                <c:pt idx="190">
                  <c:v>0.754460339386418</c:v>
                </c:pt>
                <c:pt idx="191">
                  <c:v>0.755300062393585</c:v>
                </c:pt>
                <c:pt idx="192">
                  <c:v>0.756135176751797</c:v>
                </c:pt>
                <c:pt idx="193">
                  <c:v>0.756969802224423</c:v>
                </c:pt>
                <c:pt idx="194">
                  <c:v>0.757804236316388</c:v>
                </c:pt>
                <c:pt idx="195">
                  <c:v>0.758630551390272</c:v>
                </c:pt>
                <c:pt idx="196">
                  <c:v>0.759431273795889</c:v>
                </c:pt>
                <c:pt idx="197">
                  <c:v>0.760227479423669</c:v>
                </c:pt>
                <c:pt idx="198">
                  <c:v>0.761013633695042</c:v>
                </c:pt>
                <c:pt idx="199">
                  <c:v>0.76179880363302</c:v>
                </c:pt>
                <c:pt idx="200">
                  <c:v>0.762580758081909</c:v>
                </c:pt>
                <c:pt idx="201">
                  <c:v>0.763362318797439</c:v>
                </c:pt>
                <c:pt idx="202">
                  <c:v>0.764138465679298</c:v>
                </c:pt>
                <c:pt idx="203">
                  <c:v>0.764908085774526</c:v>
                </c:pt>
                <c:pt idx="204">
                  <c:v>0.765675865822528</c:v>
                </c:pt>
                <c:pt idx="205">
                  <c:v>0.766437739870161</c:v>
                </c:pt>
                <c:pt idx="206">
                  <c:v>0.767189915608966</c:v>
                </c:pt>
                <c:pt idx="207">
                  <c:v>0.767939778636772</c:v>
                </c:pt>
                <c:pt idx="208">
                  <c:v>0.768687872016877</c:v>
                </c:pt>
                <c:pt idx="209">
                  <c:v>0.769435571663624</c:v>
                </c:pt>
                <c:pt idx="210">
                  <c:v>0.770178522886074</c:v>
                </c:pt>
                <c:pt idx="211">
                  <c:v>0.770920080292436</c:v>
                </c:pt>
                <c:pt idx="212">
                  <c:v>0.771661145532102</c:v>
                </c:pt>
                <c:pt idx="213">
                  <c:v>0.77239887716267</c:v>
                </c:pt>
                <c:pt idx="214">
                  <c:v>0.773132339411193</c:v>
                </c:pt>
                <c:pt idx="215">
                  <c:v>0.773863371012453</c:v>
                </c:pt>
                <c:pt idx="216">
                  <c:v>0.774592313858249</c:v>
                </c:pt>
                <c:pt idx="217">
                  <c:v>0.775320983059362</c:v>
                </c:pt>
                <c:pt idx="218">
                  <c:v>0.776049389771569</c:v>
                </c:pt>
                <c:pt idx="219">
                  <c:v>0.776771234261144</c:v>
                </c:pt>
                <c:pt idx="220">
                  <c:v>0.777479954305454</c:v>
                </c:pt>
                <c:pt idx="221">
                  <c:v>0.778187932162384</c:v>
                </c:pt>
                <c:pt idx="222">
                  <c:v>0.778888879910208</c:v>
                </c:pt>
                <c:pt idx="223">
                  <c:v>0.779589069065095</c:v>
                </c:pt>
                <c:pt idx="224">
                  <c:v>0.780287603227435</c:v>
                </c:pt>
                <c:pt idx="225">
                  <c:v>0.780985447043953</c:v>
                </c:pt>
                <c:pt idx="226">
                  <c:v>0.781682683198656</c:v>
                </c:pt>
                <c:pt idx="227">
                  <c:v>0.78237900064219</c:v>
                </c:pt>
                <c:pt idx="228">
                  <c:v>0.78307037016986</c:v>
                </c:pt>
                <c:pt idx="229">
                  <c:v>0.783752858385418</c:v>
                </c:pt>
                <c:pt idx="230">
                  <c:v>0.784428036941187</c:v>
                </c:pt>
                <c:pt idx="231">
                  <c:v>0.785097908627512</c:v>
                </c:pt>
                <c:pt idx="232">
                  <c:v>0.785765949453723</c:v>
                </c:pt>
                <c:pt idx="233">
                  <c:v>0.786430663233059</c:v>
                </c:pt>
                <c:pt idx="234">
                  <c:v>0.787095088274599</c:v>
                </c:pt>
                <c:pt idx="235">
                  <c:v>0.787757300534668</c:v>
                </c:pt>
                <c:pt idx="236">
                  <c:v>0.788410897908865</c:v>
                </c:pt>
                <c:pt idx="237">
                  <c:v>0.789061870394009</c:v>
                </c:pt>
                <c:pt idx="238">
                  <c:v>0.789711530434626</c:v>
                </c:pt>
                <c:pt idx="239">
                  <c:v>0.790361190475243</c:v>
                </c:pt>
                <c:pt idx="240">
                  <c:v>0.791010850515861</c:v>
                </c:pt>
                <c:pt idx="241">
                  <c:v>0.791660182445346</c:v>
                </c:pt>
                <c:pt idx="242">
                  <c:v>0.792309055019248</c:v>
                </c:pt>
                <c:pt idx="243">
                  <c:v>0.792956749017964</c:v>
                </c:pt>
                <c:pt idx="244">
                  <c:v>0.793587803188751</c:v>
                </c:pt>
                <c:pt idx="245">
                  <c:v>0.794217776561471</c:v>
                </c:pt>
                <c:pt idx="246">
                  <c:v>0.794847553067512</c:v>
                </c:pt>
                <c:pt idx="247">
                  <c:v>0.795476399050384</c:v>
                </c:pt>
                <c:pt idx="248">
                  <c:v>0.796102433777079</c:v>
                </c:pt>
                <c:pt idx="249">
                  <c:v>0.796726238660525</c:v>
                </c:pt>
                <c:pt idx="250">
                  <c:v>0.79734896799568</c:v>
                </c:pt>
                <c:pt idx="251">
                  <c:v>0.797971066701241</c:v>
                </c:pt>
                <c:pt idx="252">
                  <c:v>0.798589543059909</c:v>
                </c:pt>
                <c:pt idx="253">
                  <c:v>0.799206390674919</c:v>
                </c:pt>
                <c:pt idx="254">
                  <c:v>0.799820614713321</c:v>
                </c:pt>
                <c:pt idx="255">
                  <c:v>0.800434543451704</c:v>
                </c:pt>
                <c:pt idx="256">
                  <c:v>0.801047222086676</c:v>
                </c:pt>
                <c:pt idx="257">
                  <c:v>0.801643735998637</c:v>
                </c:pt>
                <c:pt idx="258">
                  <c:v>0.802237157135071</c:v>
                </c:pt>
                <c:pt idx="259">
                  <c:v>0.802829993577469</c:v>
                </c:pt>
                <c:pt idx="260">
                  <c:v>0.803420265503262</c:v>
                </c:pt>
                <c:pt idx="261">
                  <c:v>0.804009765711674</c:v>
                </c:pt>
                <c:pt idx="262">
                  <c:v>0.804596428415019</c:v>
                </c:pt>
                <c:pt idx="263">
                  <c:v>0.805180466229312</c:v>
                </c:pt>
                <c:pt idx="264">
                  <c:v>0.805764274365812</c:v>
                </c:pt>
                <c:pt idx="265">
                  <c:v>0.806346947894019</c:v>
                </c:pt>
                <c:pt idx="266">
                  <c:v>0.806925709681314</c:v>
                </c:pt>
                <c:pt idx="267">
                  <c:v>0.807503185272974</c:v>
                </c:pt>
                <c:pt idx="268">
                  <c:v>0.80807813440892</c:v>
                </c:pt>
                <c:pt idx="269">
                  <c:v>0.808648295747234</c:v>
                </c:pt>
                <c:pt idx="270">
                  <c:v>0.809217240449472</c:v>
                </c:pt>
                <c:pt idx="271">
                  <c:v>0.80978224781813</c:v>
                </c:pt>
                <c:pt idx="272">
                  <c:v>0.810346509718297</c:v>
                </c:pt>
                <c:pt idx="273">
                  <c:v>0.810903192251323</c:v>
                </c:pt>
                <c:pt idx="274">
                  <c:v>0.811458238494136</c:v>
                </c:pt>
                <c:pt idx="275">
                  <c:v>0.81201075664068</c:v>
                </c:pt>
                <c:pt idx="276">
                  <c:v>0.812563087763879</c:v>
                </c:pt>
                <c:pt idx="277">
                  <c:v>0.813114599921693</c:v>
                </c:pt>
                <c:pt idx="278">
                  <c:v>0.813665826622823</c:v>
                </c:pt>
                <c:pt idx="279">
                  <c:v>0.81421667271504</c:v>
                </c:pt>
                <c:pt idx="280">
                  <c:v>0.814764552682627</c:v>
                </c:pt>
                <c:pt idx="281">
                  <c:v>0.815310660850104</c:v>
                </c:pt>
                <c:pt idx="282">
                  <c:v>0.815855325328601</c:v>
                </c:pt>
                <c:pt idx="283">
                  <c:v>0.816396842565124</c:v>
                </c:pt>
                <c:pt idx="284">
                  <c:v>0.816938225932305</c:v>
                </c:pt>
                <c:pt idx="285">
                  <c:v>0.817479609299486</c:v>
                </c:pt>
                <c:pt idx="286">
                  <c:v>0.818020894233327</c:v>
                </c:pt>
                <c:pt idx="287">
                  <c:v>0.818562120107165</c:v>
                </c:pt>
                <c:pt idx="288">
                  <c:v>0.819101486247109</c:v>
                </c:pt>
                <c:pt idx="289">
                  <c:v>0.819636963613921</c:v>
                </c:pt>
                <c:pt idx="290">
                  <c:v>0.820172167992271</c:v>
                </c:pt>
                <c:pt idx="291">
                  <c:v>0.820705023751141</c:v>
                </c:pt>
                <c:pt idx="292">
                  <c:v>0.821230743092899</c:v>
                </c:pt>
                <c:pt idx="293">
                  <c:v>0.821742738202242</c:v>
                </c:pt>
                <c:pt idx="294">
                  <c:v>0.82224920529524</c:v>
                </c:pt>
                <c:pt idx="295">
                  <c:v>0.822753183993416</c:v>
                </c:pt>
                <c:pt idx="296">
                  <c:v>0.823249288024433</c:v>
                </c:pt>
                <c:pt idx="297">
                  <c:v>0.823744604588734</c:v>
                </c:pt>
                <c:pt idx="298">
                  <c:v>0.824230749134461</c:v>
                </c:pt>
                <c:pt idx="299">
                  <c:v>0.824715369275871</c:v>
                </c:pt>
                <c:pt idx="300">
                  <c:v>0.825199530061697</c:v>
                </c:pt>
                <c:pt idx="301">
                  <c:v>0.825682509647449</c:v>
                </c:pt>
                <c:pt idx="302">
                  <c:v>0.826163965485105</c:v>
                </c:pt>
                <c:pt idx="303">
                  <c:v>0.826643454650888</c:v>
                </c:pt>
                <c:pt idx="304">
                  <c:v>0.827120606982942</c:v>
                </c:pt>
                <c:pt idx="305">
                  <c:v>0.827597646444767</c:v>
                </c:pt>
                <c:pt idx="306">
                  <c:v>0.828072814360697</c:v>
                </c:pt>
                <c:pt idx="307">
                  <c:v>0.828545294390237</c:v>
                </c:pt>
                <c:pt idx="308">
                  <c:v>0.829016593219703</c:v>
                </c:pt>
                <c:pt idx="309">
                  <c:v>0.829485282253228</c:v>
                </c:pt>
                <c:pt idx="310">
                  <c:v>0.829951257479583</c:v>
                </c:pt>
                <c:pt idx="311">
                  <c:v>0.830416960045588</c:v>
                </c:pt>
                <c:pt idx="312">
                  <c:v>0.830881827896874</c:v>
                </c:pt>
                <c:pt idx="313">
                  <c:v>0.831346433259255</c:v>
                </c:pt>
                <c:pt idx="314">
                  <c:v>0.831810644888278</c:v>
                </c:pt>
                <c:pt idx="315">
                  <c:v>0.832273746189231</c:v>
                </c:pt>
                <c:pt idx="316">
                  <c:v>0.832732445551243</c:v>
                </c:pt>
                <c:pt idx="317">
                  <c:v>0.833190488690991</c:v>
                </c:pt>
                <c:pt idx="318">
                  <c:v>0.833647295507996</c:v>
                </c:pt>
                <c:pt idx="319">
                  <c:v>0.834103369980954</c:v>
                </c:pt>
                <c:pt idx="320">
                  <c:v>0.83455755322135</c:v>
                </c:pt>
                <c:pt idx="321">
                  <c:v>0.835009690360729</c:v>
                </c:pt>
                <c:pt idx="322">
                  <c:v>0.835461368144524</c:v>
                </c:pt>
                <c:pt idx="323">
                  <c:v>0.835913019679428</c:v>
                </c:pt>
                <c:pt idx="324">
                  <c:v>0.836364172485412</c:v>
                </c:pt>
                <c:pt idx="325">
                  <c:v>0.83681525966917</c:v>
                </c:pt>
                <c:pt idx="326">
                  <c:v>0.837266346852928</c:v>
                </c:pt>
                <c:pt idx="327">
                  <c:v>0.837717374976682</c:v>
                </c:pt>
                <c:pt idx="328">
                  <c:v>0.838165837271387</c:v>
                </c:pt>
                <c:pt idx="329">
                  <c:v>0.838612068410397</c:v>
                </c:pt>
                <c:pt idx="330">
                  <c:v>0.839058299549407</c:v>
                </c:pt>
                <c:pt idx="331">
                  <c:v>0.839503375737233</c:v>
                </c:pt>
                <c:pt idx="332">
                  <c:v>0.839947430186996</c:v>
                </c:pt>
                <c:pt idx="333">
                  <c:v>0.84039038021469</c:v>
                </c:pt>
                <c:pt idx="334">
                  <c:v>0.840830278808859</c:v>
                </c:pt>
                <c:pt idx="335">
                  <c:v>0.841269947725236</c:v>
                </c:pt>
                <c:pt idx="336">
                  <c:v>0.841707516730371</c:v>
                </c:pt>
                <c:pt idx="337">
                  <c:v>0.842143248313169</c:v>
                </c:pt>
                <c:pt idx="338">
                  <c:v>0.842572890153364</c:v>
                </c:pt>
                <c:pt idx="339">
                  <c:v>0.84300061582455</c:v>
                </c:pt>
                <c:pt idx="340">
                  <c:v>0.843427422784568</c:v>
                </c:pt>
                <c:pt idx="341">
                  <c:v>0.84385396725568</c:v>
                </c:pt>
                <c:pt idx="342">
                  <c:v>0.844277461605713</c:v>
                </c:pt>
                <c:pt idx="343">
                  <c:v>0.844697443854193</c:v>
                </c:pt>
                <c:pt idx="344">
                  <c:v>0.845117426102673</c:v>
                </c:pt>
                <c:pt idx="345">
                  <c:v>0.845536259962192</c:v>
                </c:pt>
                <c:pt idx="346">
                  <c:v>0.845952026638853</c:v>
                </c:pt>
                <c:pt idx="347">
                  <c:v>0.846364510891753</c:v>
                </c:pt>
                <c:pt idx="348">
                  <c:v>0.846776715593968</c:v>
                </c:pt>
                <c:pt idx="349">
                  <c:v>0.847188216825918</c:v>
                </c:pt>
                <c:pt idx="350">
                  <c:v>0.847599413570737</c:v>
                </c:pt>
                <c:pt idx="351">
                  <c:v>0.848008699396326</c:v>
                </c:pt>
                <c:pt idx="352">
                  <c:v>0.848415557199541</c:v>
                </c:pt>
                <c:pt idx="353">
                  <c:v>0.84882160128715</c:v>
                </c:pt>
                <c:pt idx="354">
                  <c:v>0.84922722539251</c:v>
                </c:pt>
                <c:pt idx="355">
                  <c:v>0.849628567647602</c:v>
                </c:pt>
                <c:pt idx="356">
                  <c:v>0.850028505587051</c:v>
                </c:pt>
                <c:pt idx="357">
                  <c:v>0.850421845211643</c:v>
                </c:pt>
                <c:pt idx="358">
                  <c:v>0.850814134880613</c:v>
                </c:pt>
                <c:pt idx="359">
                  <c:v>0.85120524334951</c:v>
                </c:pt>
                <c:pt idx="360">
                  <c:v>0.851596311132627</c:v>
                </c:pt>
                <c:pt idx="361">
                  <c:v>0.851986591449027</c:v>
                </c:pt>
                <c:pt idx="362">
                  <c:v>0.852376387473398</c:v>
                </c:pt>
                <c:pt idx="363">
                  <c:v>0.852763965466518</c:v>
                </c:pt>
                <c:pt idx="364">
                  <c:v>0.85315113939078</c:v>
                </c:pt>
                <c:pt idx="365">
                  <c:v>0.853538312284773</c:v>
                </c:pt>
                <c:pt idx="366">
                  <c:v>0.853924170975564</c:v>
                </c:pt>
                <c:pt idx="367">
                  <c:v>0.854309095205852</c:v>
                </c:pt>
                <c:pt idx="368">
                  <c:v>0.854692194482026</c:v>
                </c:pt>
                <c:pt idx="369">
                  <c:v>0.855074950553956</c:v>
                </c:pt>
                <c:pt idx="370">
                  <c:v>0.85545647817781</c:v>
                </c:pt>
                <c:pt idx="371">
                  <c:v>0.855837883744322</c:v>
                </c:pt>
                <c:pt idx="372">
                  <c:v>0.856217967679196</c:v>
                </c:pt>
                <c:pt idx="373">
                  <c:v>0.856597920369618</c:v>
                </c:pt>
                <c:pt idx="374">
                  <c:v>0.856977085593324</c:v>
                </c:pt>
                <c:pt idx="375">
                  <c:v>0.857353468434633</c:v>
                </c:pt>
                <c:pt idx="376">
                  <c:v>0.857729155680344</c:v>
                </c:pt>
                <c:pt idx="377">
                  <c:v>0.858103202370396</c:v>
                </c:pt>
                <c:pt idx="378">
                  <c:v>0.858473508593548</c:v>
                </c:pt>
                <c:pt idx="379">
                  <c:v>0.858843617950021</c:v>
                </c:pt>
                <c:pt idx="380">
                  <c:v>0.859211102417441</c:v>
                </c:pt>
                <c:pt idx="381">
                  <c:v>0.859576867582531</c:v>
                </c:pt>
                <c:pt idx="382">
                  <c:v>0.859942507697907</c:v>
                </c:pt>
                <c:pt idx="383">
                  <c:v>0.860307104787368</c:v>
                </c:pt>
                <c:pt idx="384">
                  <c:v>0.860667569645238</c:v>
                </c:pt>
                <c:pt idx="385">
                  <c:v>0.861027457683739</c:v>
                </c:pt>
                <c:pt idx="386">
                  <c:v>0.861387067483999</c:v>
                </c:pt>
                <c:pt idx="387">
                  <c:v>0.861744940263929</c:v>
                </c:pt>
                <c:pt idx="388">
                  <c:v>0.862102253286269</c:v>
                </c:pt>
                <c:pt idx="389">
                  <c:v>0.862459238197477</c:v>
                </c:pt>
                <c:pt idx="390">
                  <c:v>0.862814845698154</c:v>
                </c:pt>
                <c:pt idx="391">
                  <c:v>0.86317025567593</c:v>
                </c:pt>
                <c:pt idx="392">
                  <c:v>0.863523977850045</c:v>
                </c:pt>
                <c:pt idx="393">
                  <c:v>0.863874072427489</c:v>
                </c:pt>
                <c:pt idx="394">
                  <c:v>0.864222991054637</c:v>
                </c:pt>
                <c:pt idx="395">
                  <c:v>0.864569773022096</c:v>
                </c:pt>
                <c:pt idx="396">
                  <c:v>0.86491595060885</c:v>
                </c:pt>
                <c:pt idx="397">
                  <c:v>0.86526112351932</c:v>
                </c:pt>
                <c:pt idx="398">
                  <c:v>0.865605640207526</c:v>
                </c:pt>
                <c:pt idx="399">
                  <c:v>0.865948975695658</c:v>
                </c:pt>
                <c:pt idx="400">
                  <c:v>0.866291523717074</c:v>
                </c:pt>
                <c:pt idx="401">
                  <c:v>0.866633651756242</c:v>
                </c:pt>
                <c:pt idx="402">
                  <c:v>0.866972262444079</c:v>
                </c:pt>
                <c:pt idx="403">
                  <c:v>0.867309691931842</c:v>
                </c:pt>
                <c:pt idx="404">
                  <c:v>0.867645404742165</c:v>
                </c:pt>
                <c:pt idx="405">
                  <c:v>0.867980078096422</c:v>
                </c:pt>
                <c:pt idx="406">
                  <c:v>0.86831034163707</c:v>
                </c:pt>
                <c:pt idx="407">
                  <c:v>0.868640323002145</c:v>
                </c:pt>
                <c:pt idx="408">
                  <c:v>0.868970271556107</c:v>
                </c:pt>
                <c:pt idx="409">
                  <c:v>0.869300180736734</c:v>
                </c:pt>
                <c:pt idx="410">
                  <c:v>0.86962986680179</c:v>
                </c:pt>
                <c:pt idx="411">
                  <c:v>0.869958909769029</c:v>
                </c:pt>
                <c:pt idx="412">
                  <c:v>0.870287020900654</c:v>
                </c:pt>
                <c:pt idx="413">
                  <c:v>0.870610866587568</c:v>
                </c:pt>
                <c:pt idx="414">
                  <c:v>0.870934712274481</c:v>
                </c:pt>
                <c:pt idx="415">
                  <c:v>0.871258148478703</c:v>
                </c:pt>
                <c:pt idx="416">
                  <c:v>0.871575491002988</c:v>
                </c:pt>
                <c:pt idx="417">
                  <c:v>0.871892131369451</c:v>
                </c:pt>
                <c:pt idx="418">
                  <c:v>0.872207884523415</c:v>
                </c:pt>
                <c:pt idx="419">
                  <c:v>0.872522871209774</c:v>
                </c:pt>
                <c:pt idx="420">
                  <c:v>0.872834248673686</c:v>
                </c:pt>
                <c:pt idx="421">
                  <c:v>0.873144641804204</c:v>
                </c:pt>
                <c:pt idx="422">
                  <c:v>0.873453328756836</c:v>
                </c:pt>
                <c:pt idx="423">
                  <c:v>0.873761887089905</c:v>
                </c:pt>
                <c:pt idx="424">
                  <c:v>0.874068014775711</c:v>
                </c:pt>
                <c:pt idx="425">
                  <c:v>0.874371189461333</c:v>
                </c:pt>
                <c:pt idx="426">
                  <c:v>0.874674364146954</c:v>
                </c:pt>
                <c:pt idx="427">
                  <c:v>0.874976433098062</c:v>
                </c:pt>
                <c:pt idx="428">
                  <c:v>0.875273113151944</c:v>
                </c:pt>
                <c:pt idx="429">
                  <c:v>0.875568413170406</c:v>
                </c:pt>
                <c:pt idx="430">
                  <c:v>0.875863713188869</c:v>
                </c:pt>
                <c:pt idx="431">
                  <c:v>0.876158553851747</c:v>
                </c:pt>
                <c:pt idx="432">
                  <c:v>0.87645338139018</c:v>
                </c:pt>
                <c:pt idx="433">
                  <c:v>0.876747500208568</c:v>
                </c:pt>
                <c:pt idx="434">
                  <c:v>0.877040655036452</c:v>
                </c:pt>
                <c:pt idx="435">
                  <c:v>0.877333092613402</c:v>
                </c:pt>
                <c:pt idx="436">
                  <c:v>0.877623022108862</c:v>
                </c:pt>
                <c:pt idx="437">
                  <c:v>0.877912645804747</c:v>
                </c:pt>
                <c:pt idx="438">
                  <c:v>0.878201383600577</c:v>
                </c:pt>
                <c:pt idx="439">
                  <c:v>0.878489784754386</c:v>
                </c:pt>
                <c:pt idx="440">
                  <c:v>0.8787752414389</c:v>
                </c:pt>
                <c:pt idx="441">
                  <c:v>0.879060698123413</c:v>
                </c:pt>
                <c:pt idx="442">
                  <c:v>0.879345973690582</c:v>
                </c:pt>
                <c:pt idx="443">
                  <c:v>0.879631054359739</c:v>
                </c:pt>
                <c:pt idx="444">
                  <c:v>0.879914542377463</c:v>
                </c:pt>
                <c:pt idx="445">
                  <c:v>0.880197030312458</c:v>
                </c:pt>
                <c:pt idx="446">
                  <c:v>0.880478680907844</c:v>
                </c:pt>
                <c:pt idx="447">
                  <c:v>0.880760200258779</c:v>
                </c:pt>
                <c:pt idx="448">
                  <c:v>0.88103802770326</c:v>
                </c:pt>
                <c:pt idx="449">
                  <c:v>0.881315701591731</c:v>
                </c:pt>
                <c:pt idx="450">
                  <c:v>0.881592299275691</c:v>
                </c:pt>
                <c:pt idx="451">
                  <c:v>0.881868859554982</c:v>
                </c:pt>
                <c:pt idx="452">
                  <c:v>0.882145226904927</c:v>
                </c:pt>
                <c:pt idx="453">
                  <c:v>0.882420840255492</c:v>
                </c:pt>
                <c:pt idx="454">
                  <c:v>0.882694248699253</c:v>
                </c:pt>
                <c:pt idx="455">
                  <c:v>0.882964940382843</c:v>
                </c:pt>
                <c:pt idx="456">
                  <c:v>0.883233688992312</c:v>
                </c:pt>
                <c:pt idx="457">
                  <c:v>0.883500826576125</c:v>
                </c:pt>
                <c:pt idx="458">
                  <c:v>0.88376646009851</c:v>
                </c:pt>
                <c:pt idx="459">
                  <c:v>0.884031298279513</c:v>
                </c:pt>
                <c:pt idx="460">
                  <c:v>0.884295887096055</c:v>
                </c:pt>
                <c:pt idx="461">
                  <c:v>0.884559897124561</c:v>
                </c:pt>
                <c:pt idx="462">
                  <c:v>0.88482320630769</c:v>
                </c:pt>
                <c:pt idx="463">
                  <c:v>0.885086440681481</c:v>
                </c:pt>
                <c:pt idx="464">
                  <c:v>0.885348170337622</c:v>
                </c:pt>
                <c:pt idx="465">
                  <c:v>0.885607246887153</c:v>
                </c:pt>
                <c:pt idx="466">
                  <c:v>0.885865673776644</c:v>
                </c:pt>
                <c:pt idx="467">
                  <c:v>0.886123529752765</c:v>
                </c:pt>
                <c:pt idx="468">
                  <c:v>0.886380926373302</c:v>
                </c:pt>
                <c:pt idx="469">
                  <c:v>0.886638165500496</c:v>
                </c:pt>
                <c:pt idx="470">
                  <c:v>0.886895083078781</c:v>
                </c:pt>
                <c:pt idx="471">
                  <c:v>0.887151009761448</c:v>
                </c:pt>
                <c:pt idx="472">
                  <c:v>0.887401568546002</c:v>
                </c:pt>
                <c:pt idx="473">
                  <c:v>0.887650670517132</c:v>
                </c:pt>
                <c:pt idx="474">
                  <c:v>0.88789872253264</c:v>
                </c:pt>
                <c:pt idx="475">
                  <c:v>0.888146374252568</c:v>
                </c:pt>
                <c:pt idx="476">
                  <c:v>0.88839321225689</c:v>
                </c:pt>
                <c:pt idx="477">
                  <c:v>0.88863993410987</c:v>
                </c:pt>
                <c:pt idx="478">
                  <c:v>0.888886017458589</c:v>
                </c:pt>
                <c:pt idx="479">
                  <c:v>0.889132013529747</c:v>
                </c:pt>
                <c:pt idx="480">
                  <c:v>0.889377289068859</c:v>
                </c:pt>
                <c:pt idx="481">
                  <c:v>0.889620517850733</c:v>
                </c:pt>
                <c:pt idx="482">
                  <c:v>0.889863320088135</c:v>
                </c:pt>
                <c:pt idx="483">
                  <c:v>0.890106122325537</c:v>
                </c:pt>
                <c:pt idx="484">
                  <c:v>0.890348662074035</c:v>
                </c:pt>
                <c:pt idx="485">
                  <c:v>0.890591132262972</c:v>
                </c:pt>
                <c:pt idx="486">
                  <c:v>0.890832622055848</c:v>
                </c:pt>
                <c:pt idx="487">
                  <c:v>0.891072699658413</c:v>
                </c:pt>
                <c:pt idx="488">
                  <c:v>0.891310567104396</c:v>
                </c:pt>
                <c:pt idx="489">
                  <c:v>0.891546873397614</c:v>
                </c:pt>
                <c:pt idx="490">
                  <c:v>0.891783113412384</c:v>
                </c:pt>
                <c:pt idx="491">
                  <c:v>0.892019353427154</c:v>
                </c:pt>
                <c:pt idx="492">
                  <c:v>0.892255593441924</c:v>
                </c:pt>
                <c:pt idx="493">
                  <c:v>0.892491833456694</c:v>
                </c:pt>
                <c:pt idx="494">
                  <c:v>0.892727942227011</c:v>
                </c:pt>
                <c:pt idx="495">
                  <c:v>0.892961557352728</c:v>
                </c:pt>
                <c:pt idx="496">
                  <c:v>0.893195172478445</c:v>
                </c:pt>
                <c:pt idx="497">
                  <c:v>0.893427917453441</c:v>
                </c:pt>
                <c:pt idx="498">
                  <c:v>0.893660145509036</c:v>
                </c:pt>
                <c:pt idx="499">
                  <c:v>0.89389183462241</c:v>
                </c:pt>
                <c:pt idx="500">
                  <c:v>0.894123120159092</c:v>
                </c:pt>
                <c:pt idx="501">
                  <c:v>0.894353450236159</c:v>
                </c:pt>
                <c:pt idx="502">
                  <c:v>0.89458181558377</c:v>
                </c:pt>
                <c:pt idx="503">
                  <c:v>0.894809976190035</c:v>
                </c:pt>
                <c:pt idx="504">
                  <c:v>0.895037926805176</c:v>
                </c:pt>
                <c:pt idx="505">
                  <c:v>0.8952658032672</c:v>
                </c:pt>
                <c:pt idx="506">
                  <c:v>0.895491585723983</c:v>
                </c:pt>
                <c:pt idx="507">
                  <c:v>0.895716686365834</c:v>
                </c:pt>
                <c:pt idx="508">
                  <c:v>0.895940474563159</c:v>
                </c:pt>
                <c:pt idx="509">
                  <c:v>0.896163590132664</c:v>
                </c:pt>
                <c:pt idx="510">
                  <c:v>0.896386705702169</c:v>
                </c:pt>
                <c:pt idx="511">
                  <c:v>0.896608979994732</c:v>
                </c:pt>
                <c:pt idx="512">
                  <c:v>0.896830517349694</c:v>
                </c:pt>
                <c:pt idx="513">
                  <c:v>0.897051999581986</c:v>
                </c:pt>
                <c:pt idx="514">
                  <c:v>0.897273162890258</c:v>
                </c:pt>
                <c:pt idx="515">
                  <c:v>0.897494257951414</c:v>
                </c:pt>
                <c:pt idx="516">
                  <c:v>0.897715201425227</c:v>
                </c:pt>
                <c:pt idx="517">
                  <c:v>0.897935944095028</c:v>
                </c:pt>
                <c:pt idx="518">
                  <c:v>0.898156603424602</c:v>
                </c:pt>
                <c:pt idx="519">
                  <c:v>0.898376070398323</c:v>
                </c:pt>
                <c:pt idx="520">
                  <c:v>0.898595248634249</c:v>
                </c:pt>
                <c:pt idx="521">
                  <c:v>0.898814164381269</c:v>
                </c:pt>
                <c:pt idx="522">
                  <c:v>0.899032702800488</c:v>
                </c:pt>
                <c:pt idx="523">
                  <c:v>0.89925122481415</c:v>
                </c:pt>
                <c:pt idx="524">
                  <c:v>0.899467679727683</c:v>
                </c:pt>
                <c:pt idx="525">
                  <c:v>0.89968324874116</c:v>
                </c:pt>
                <c:pt idx="526">
                  <c:v>0.899897670678122</c:v>
                </c:pt>
                <c:pt idx="527">
                  <c:v>0.90011154663816</c:v>
                </c:pt>
                <c:pt idx="528">
                  <c:v>0.900324818873716</c:v>
                </c:pt>
                <c:pt idx="529">
                  <c:v>0.900537274768777</c:v>
                </c:pt>
                <c:pt idx="530">
                  <c:v>0.900748578337543</c:v>
                </c:pt>
                <c:pt idx="531">
                  <c:v>0.900959670930852</c:v>
                </c:pt>
                <c:pt idx="532">
                  <c:v>0.901170145034678</c:v>
                </c:pt>
                <c:pt idx="533">
                  <c:v>0.901380136158918</c:v>
                </c:pt>
                <c:pt idx="534">
                  <c:v>0.901589930416479</c:v>
                </c:pt>
                <c:pt idx="535">
                  <c:v>0.901796312318271</c:v>
                </c:pt>
                <c:pt idx="536">
                  <c:v>0.90200193956446</c:v>
                </c:pt>
                <c:pt idx="537">
                  <c:v>0.902207009021725</c:v>
                </c:pt>
                <c:pt idx="538">
                  <c:v>0.902411750367859</c:v>
                </c:pt>
                <c:pt idx="539">
                  <c:v>0.902616491713993</c:v>
                </c:pt>
                <c:pt idx="540">
                  <c:v>0.902821233060127</c:v>
                </c:pt>
                <c:pt idx="541">
                  <c:v>0.903024661961735</c:v>
                </c:pt>
                <c:pt idx="542">
                  <c:v>0.903227434641079</c:v>
                </c:pt>
                <c:pt idx="543">
                  <c:v>0.903429262360364</c:v>
                </c:pt>
                <c:pt idx="544">
                  <c:v>0.903630707502069</c:v>
                </c:pt>
                <c:pt idx="545">
                  <c:v>0.90383203517999</c:v>
                </c:pt>
                <c:pt idx="546">
                  <c:v>0.904031849609371</c:v>
                </c:pt>
                <c:pt idx="547">
                  <c:v>0.904231406143403</c:v>
                </c:pt>
                <c:pt idx="548">
                  <c:v>0.904430148961829</c:v>
                </c:pt>
                <c:pt idx="549">
                  <c:v>0.904628590574236</c:v>
                </c:pt>
                <c:pt idx="550">
                  <c:v>0.904826593830171</c:v>
                </c:pt>
                <c:pt idx="551">
                  <c:v>0.90502423878875</c:v>
                </c:pt>
                <c:pt idx="552">
                  <c:v>0.905221664569093</c:v>
                </c:pt>
                <c:pt idx="553">
                  <c:v>0.905418531248068</c:v>
                </c:pt>
                <c:pt idx="554">
                  <c:v>0.90561526668259</c:v>
                </c:pt>
                <c:pt idx="555">
                  <c:v>0.905811509950415</c:v>
                </c:pt>
                <c:pt idx="556">
                  <c:v>0.906007720407127</c:v>
                </c:pt>
                <c:pt idx="557">
                  <c:v>0.906203905927392</c:v>
                </c:pt>
                <c:pt idx="558">
                  <c:v>0.906399985139651</c:v>
                </c:pt>
                <c:pt idx="559">
                  <c:v>0.906595119391851</c:v>
                </c:pt>
                <c:pt idx="560">
                  <c:v>0.906790017404036</c:v>
                </c:pt>
                <c:pt idx="561">
                  <c:v>0.906984652927316</c:v>
                </c:pt>
                <c:pt idx="562">
                  <c:v>0.907178751660785</c:v>
                </c:pt>
                <c:pt idx="563">
                  <c:v>0.907372192859546</c:v>
                </c:pt>
                <c:pt idx="564">
                  <c:v>0.907565450316073</c:v>
                </c:pt>
                <c:pt idx="565">
                  <c:v>0.907758615901483</c:v>
                </c:pt>
                <c:pt idx="566">
                  <c:v>0.907951545246878</c:v>
                </c:pt>
                <c:pt idx="567">
                  <c:v>0.908143982425576</c:v>
                </c:pt>
                <c:pt idx="568">
                  <c:v>0.908334286881919</c:v>
                </c:pt>
                <c:pt idx="569">
                  <c:v>0.908524563776926</c:v>
                </c:pt>
                <c:pt idx="570">
                  <c:v>0.908714731739038</c:v>
                </c:pt>
                <c:pt idx="571">
                  <c:v>0.908904419346453</c:v>
                </c:pt>
                <c:pt idx="572">
                  <c:v>0.909093981615415</c:v>
                </c:pt>
                <c:pt idx="573">
                  <c:v>0.909282973627231</c:v>
                </c:pt>
                <c:pt idx="574">
                  <c:v>0.909471965639047</c:v>
                </c:pt>
                <c:pt idx="575">
                  <c:v>0.909660957650863</c:v>
                </c:pt>
                <c:pt idx="576">
                  <c:v>0.909849912914232</c:v>
                </c:pt>
                <c:pt idx="577">
                  <c:v>0.910038576814917</c:v>
                </c:pt>
                <c:pt idx="578">
                  <c:v>0.910227172468485</c:v>
                </c:pt>
                <c:pt idx="579">
                  <c:v>0.910414945875559</c:v>
                </c:pt>
                <c:pt idx="580">
                  <c:v>0.910602441700614</c:v>
                </c:pt>
                <c:pt idx="581">
                  <c:v>0.910789875840777</c:v>
                </c:pt>
                <c:pt idx="582">
                  <c:v>0.910976899185803</c:v>
                </c:pt>
                <c:pt idx="583">
                  <c:v>0.911163111440112</c:v>
                </c:pt>
                <c:pt idx="584">
                  <c:v>0.911348938491952</c:v>
                </c:pt>
                <c:pt idx="585">
                  <c:v>0.911534578520448</c:v>
                </c:pt>
                <c:pt idx="586">
                  <c:v>0.911719231597221</c:v>
                </c:pt>
                <c:pt idx="587">
                  <c:v>0.911902973830931</c:v>
                </c:pt>
                <c:pt idx="588">
                  <c:v>0.912086716064641</c:v>
                </c:pt>
                <c:pt idx="589">
                  <c:v>0.912270458298351</c:v>
                </c:pt>
                <c:pt idx="590">
                  <c:v>0.91245237360928</c:v>
                </c:pt>
                <c:pt idx="591">
                  <c:v>0.91263381644018</c:v>
                </c:pt>
                <c:pt idx="592">
                  <c:v>0.912814933784837</c:v>
                </c:pt>
                <c:pt idx="593">
                  <c:v>0.91299539490723</c:v>
                </c:pt>
                <c:pt idx="594">
                  <c:v>0.913175856029624</c:v>
                </c:pt>
                <c:pt idx="595">
                  <c:v>0.913356225280901</c:v>
                </c:pt>
                <c:pt idx="596">
                  <c:v>0.913536030181031</c:v>
                </c:pt>
                <c:pt idx="597">
                  <c:v>0.913715139485563</c:v>
                </c:pt>
                <c:pt idx="598">
                  <c:v>0.913894135263643</c:v>
                </c:pt>
                <c:pt idx="599">
                  <c:v>0.914072627719247</c:v>
                </c:pt>
                <c:pt idx="600">
                  <c:v>0.914250854404834</c:v>
                </c:pt>
                <c:pt idx="601">
                  <c:v>0.914427718116781</c:v>
                </c:pt>
                <c:pt idx="602">
                  <c:v>0.914604241905595</c:v>
                </c:pt>
                <c:pt idx="603">
                  <c:v>0.914780616731955</c:v>
                </c:pt>
                <c:pt idx="604">
                  <c:v>0.914956521046953</c:v>
                </c:pt>
                <c:pt idx="605">
                  <c:v>0.915131089293423</c:v>
                </c:pt>
                <c:pt idx="606">
                  <c:v>0.915305498734105</c:v>
                </c:pt>
                <c:pt idx="607">
                  <c:v>0.915479334636528</c:v>
                </c:pt>
                <c:pt idx="608">
                  <c:v>0.915652849646266</c:v>
                </c:pt>
                <c:pt idx="609">
                  <c:v>0.915826062793762</c:v>
                </c:pt>
                <c:pt idx="610">
                  <c:v>0.915999242473922</c:v>
                </c:pt>
                <c:pt idx="611">
                  <c:v>0.916172157040289</c:v>
                </c:pt>
                <c:pt idx="612">
                  <c:v>0.916343942904362</c:v>
                </c:pt>
                <c:pt idx="613">
                  <c:v>0.91651521691507</c:v>
                </c:pt>
                <c:pt idx="614">
                  <c:v>0.916686416772663</c:v>
                </c:pt>
                <c:pt idx="615">
                  <c:v>0.916857592350031</c:v>
                </c:pt>
                <c:pt idx="616">
                  <c:v>0.917028210138476</c:v>
                </c:pt>
                <c:pt idx="617">
                  <c:v>0.917198302949111</c:v>
                </c:pt>
                <c:pt idx="618">
                  <c:v>0.917368080773059</c:v>
                </c:pt>
                <c:pt idx="619">
                  <c:v>0.917537573796544</c:v>
                </c:pt>
                <c:pt idx="620">
                  <c:v>0.917706879140463</c:v>
                </c:pt>
                <c:pt idx="621">
                  <c:v>0.917876184484381</c:v>
                </c:pt>
                <c:pt idx="622">
                  <c:v>0.918045473895223</c:v>
                </c:pt>
                <c:pt idx="623">
                  <c:v>0.918214567935573</c:v>
                </c:pt>
                <c:pt idx="624">
                  <c:v>0.918383610790586</c:v>
                </c:pt>
                <c:pt idx="625">
                  <c:v>0.918552522401147</c:v>
                </c:pt>
                <c:pt idx="626">
                  <c:v>0.918720607171655</c:v>
                </c:pt>
                <c:pt idx="627">
                  <c:v>0.918888600071047</c:v>
                </c:pt>
                <c:pt idx="628">
                  <c:v>0.919056460413542</c:v>
                </c:pt>
                <c:pt idx="629">
                  <c:v>0.919224190824029</c:v>
                </c:pt>
                <c:pt idx="630">
                  <c:v>0.919391889735847</c:v>
                </c:pt>
                <c:pt idx="631">
                  <c:v>0.919559226412975</c:v>
                </c:pt>
                <c:pt idx="632">
                  <c:v>0.919726431845651</c:v>
                </c:pt>
                <c:pt idx="633">
                  <c:v>0.919893374789422</c:v>
                </c:pt>
                <c:pt idx="634">
                  <c:v>0.920059825566496</c:v>
                </c:pt>
                <c:pt idx="635">
                  <c:v>0.920226177910229</c:v>
                </c:pt>
                <c:pt idx="636">
                  <c:v>0.920392194268164</c:v>
                </c:pt>
                <c:pt idx="637">
                  <c:v>0.920557693522956</c:v>
                </c:pt>
                <c:pt idx="638">
                  <c:v>0.920723179653302</c:v>
                </c:pt>
                <c:pt idx="639">
                  <c:v>0.920888488603638</c:v>
                </c:pt>
                <c:pt idx="640">
                  <c:v>0.921053044210815</c:v>
                </c:pt>
                <c:pt idx="641">
                  <c:v>0.921217227083746</c:v>
                </c:pt>
                <c:pt idx="642">
                  <c:v>0.921381151405106</c:v>
                </c:pt>
                <c:pt idx="643">
                  <c:v>0.921545023228685</c:v>
                </c:pt>
                <c:pt idx="644">
                  <c:v>0.921708730340475</c:v>
                </c:pt>
                <c:pt idx="645">
                  <c:v>0.921872255678699</c:v>
                </c:pt>
                <c:pt idx="646">
                  <c:v>0.922035655022248</c:v>
                </c:pt>
                <c:pt idx="647">
                  <c:v>0.922199054365797</c:v>
                </c:pt>
                <c:pt idx="648">
                  <c:v>0.922361991728873</c:v>
                </c:pt>
                <c:pt idx="649">
                  <c:v>0.922524419863473</c:v>
                </c:pt>
                <c:pt idx="650">
                  <c:v>0.922686169464252</c:v>
                </c:pt>
                <c:pt idx="651">
                  <c:v>0.922847915127698</c:v>
                </c:pt>
                <c:pt idx="652">
                  <c:v>0.923008689582194</c:v>
                </c:pt>
                <c:pt idx="653">
                  <c:v>0.92316946403669</c:v>
                </c:pt>
                <c:pt idx="654">
                  <c:v>0.923330047530508</c:v>
                </c:pt>
                <c:pt idx="655">
                  <c:v>0.923490493873872</c:v>
                </c:pt>
                <c:pt idx="656">
                  <c:v>0.923650871970121</c:v>
                </c:pt>
                <c:pt idx="657">
                  <c:v>0.923811143758364</c:v>
                </c:pt>
                <c:pt idx="658">
                  <c:v>0.923970737012786</c:v>
                </c:pt>
                <c:pt idx="659">
                  <c:v>0.924130330267209</c:v>
                </c:pt>
                <c:pt idx="660">
                  <c:v>0.924289477290492</c:v>
                </c:pt>
                <c:pt idx="661">
                  <c:v>0.924448283078198</c:v>
                </c:pt>
                <c:pt idx="662">
                  <c:v>0.924606430674975</c:v>
                </c:pt>
                <c:pt idx="663">
                  <c:v>0.924764081511498</c:v>
                </c:pt>
                <c:pt idx="664">
                  <c:v>0.924921656882461</c:v>
                </c:pt>
                <c:pt idx="665">
                  <c:v>0.925079150225641</c:v>
                </c:pt>
                <c:pt idx="666">
                  <c:v>0.925236643568821</c:v>
                </c:pt>
                <c:pt idx="667">
                  <c:v>0.925394136912001</c:v>
                </c:pt>
                <c:pt idx="668">
                  <c:v>0.925551394664826</c:v>
                </c:pt>
                <c:pt idx="669">
                  <c:v>0.925708352530639</c:v>
                </c:pt>
                <c:pt idx="670">
                  <c:v>0.925864047824818</c:v>
                </c:pt>
                <c:pt idx="671">
                  <c:v>0.926019572501208</c:v>
                </c:pt>
                <c:pt idx="672">
                  <c:v>0.926174963308256</c:v>
                </c:pt>
                <c:pt idx="673">
                  <c:v>0.926330200559295</c:v>
                </c:pt>
                <c:pt idx="674">
                  <c:v>0.926485272442324</c:v>
                </c:pt>
                <c:pt idx="675">
                  <c:v>0.926639304869287</c:v>
                </c:pt>
                <c:pt idx="676">
                  <c:v>0.926792624638873</c:v>
                </c:pt>
                <c:pt idx="677">
                  <c:v>0.926945718668</c:v>
                </c:pt>
                <c:pt idx="678">
                  <c:v>0.927098552833111</c:v>
                </c:pt>
                <c:pt idx="679">
                  <c:v>0.927251019513755</c:v>
                </c:pt>
                <c:pt idx="680">
                  <c:v>0.927402606856565</c:v>
                </c:pt>
                <c:pt idx="681">
                  <c:v>0.927554194199376</c:v>
                </c:pt>
                <c:pt idx="682">
                  <c:v>0.927704994075471</c:v>
                </c:pt>
                <c:pt idx="683">
                  <c:v>0.927855793951566</c:v>
                </c:pt>
                <c:pt idx="684">
                  <c:v>0.928005558308929</c:v>
                </c:pt>
                <c:pt idx="685">
                  <c:v>0.92815503786583</c:v>
                </c:pt>
                <c:pt idx="686">
                  <c:v>0.928304190624044</c:v>
                </c:pt>
                <c:pt idx="687">
                  <c:v>0.928453241667807</c:v>
                </c:pt>
                <c:pt idx="688">
                  <c:v>0.928602009879775</c:v>
                </c:pt>
                <c:pt idx="689">
                  <c:v>0.928750354172161</c:v>
                </c:pt>
                <c:pt idx="690">
                  <c:v>0.928898605280985</c:v>
                </c:pt>
                <c:pt idx="691">
                  <c:v>0.92904673170758</c:v>
                </c:pt>
                <c:pt idx="692">
                  <c:v>0.929194381716811</c:v>
                </c:pt>
                <c:pt idx="693">
                  <c:v>0.929341632742906</c:v>
                </c:pt>
                <c:pt idx="694">
                  <c:v>0.929488626529874</c:v>
                </c:pt>
                <c:pt idx="695">
                  <c:v>0.929635151117924</c:v>
                </c:pt>
                <c:pt idx="696">
                  <c:v>0.92978116120147</c:v>
                </c:pt>
                <c:pt idx="697">
                  <c:v>0.92992676379724</c:v>
                </c:pt>
                <c:pt idx="698">
                  <c:v>0.930071767918306</c:v>
                </c:pt>
                <c:pt idx="699">
                  <c:v>0.930216661794031</c:v>
                </c:pt>
                <c:pt idx="700">
                  <c:v>0.930361030691946</c:v>
                </c:pt>
                <c:pt idx="701">
                  <c:v>0.930505399589861</c:v>
                </c:pt>
                <c:pt idx="702">
                  <c:v>0.930649637243323</c:v>
                </c:pt>
                <c:pt idx="703">
                  <c:v>0.930793552035432</c:v>
                </c:pt>
                <c:pt idx="704">
                  <c:v>0.930937395299314</c:v>
                </c:pt>
                <c:pt idx="705">
                  <c:v>0.931081110599855</c:v>
                </c:pt>
                <c:pt idx="706">
                  <c:v>0.931224812775951</c:v>
                </c:pt>
                <c:pt idx="707">
                  <c:v>0.931367856104894</c:v>
                </c:pt>
                <c:pt idx="708">
                  <c:v>0.931509993847114</c:v>
                </c:pt>
                <c:pt idx="709">
                  <c:v>0.931651446493291</c:v>
                </c:pt>
                <c:pt idx="710">
                  <c:v>0.931792389910991</c:v>
                </c:pt>
                <c:pt idx="711">
                  <c:v>0.931932821475327</c:v>
                </c:pt>
                <c:pt idx="712">
                  <c:v>0.932072268706268</c:v>
                </c:pt>
                <c:pt idx="713">
                  <c:v>0.932211177834952</c:v>
                </c:pt>
                <c:pt idx="714">
                  <c:v>0.932349378243593</c:v>
                </c:pt>
                <c:pt idx="715">
                  <c:v>0.932487247916212</c:v>
                </c:pt>
                <c:pt idx="716">
                  <c:v>0.932625051310384</c:v>
                </c:pt>
                <c:pt idx="717">
                  <c:v>0.932761559978029</c:v>
                </c:pt>
                <c:pt idx="718">
                  <c:v>0.932897573197866</c:v>
                </c:pt>
                <c:pt idx="719">
                  <c:v>0.933033411206359</c:v>
                </c:pt>
                <c:pt idx="720">
                  <c:v>0.933168870574606</c:v>
                </c:pt>
                <c:pt idx="721">
                  <c:v>0.933303911273049</c:v>
                </c:pt>
                <c:pt idx="722">
                  <c:v>0.933438753792368</c:v>
                </c:pt>
                <c:pt idx="723">
                  <c:v>0.933573410600787</c:v>
                </c:pt>
                <c:pt idx="724">
                  <c:v>0.933707936164753</c:v>
                </c:pt>
                <c:pt idx="725">
                  <c:v>0.933842192677591</c:v>
                </c:pt>
                <c:pt idx="726">
                  <c:v>0.933976300227976</c:v>
                </c:pt>
                <c:pt idx="727">
                  <c:v>0.934110169569679</c:v>
                </c:pt>
                <c:pt idx="728">
                  <c:v>0.934243756735809</c:v>
                </c:pt>
                <c:pt idx="729">
                  <c:v>0.934376838610796</c:v>
                </c:pt>
                <c:pt idx="730">
                  <c:v>0.934509723619104</c:v>
                </c:pt>
                <c:pt idx="731">
                  <c:v>0.934642431447401</c:v>
                </c:pt>
                <c:pt idx="732">
                  <c:v>0.934774920753684</c:v>
                </c:pt>
                <c:pt idx="733">
                  <c:v>0.934907215161955</c:v>
                </c:pt>
                <c:pt idx="734">
                  <c:v>0.935038489800829</c:v>
                </c:pt>
                <c:pt idx="735">
                  <c:v>0.935169753283925</c:v>
                </c:pt>
                <c:pt idx="736">
                  <c:v>0.935300997736575</c:v>
                </c:pt>
                <c:pt idx="737">
                  <c:v>0.935432242189225</c:v>
                </c:pt>
                <c:pt idx="738">
                  <c:v>0.935563355397422</c:v>
                </c:pt>
                <c:pt idx="739">
                  <c:v>0.93569427173894</c:v>
                </c:pt>
                <c:pt idx="740">
                  <c:v>0.935825115239787</c:v>
                </c:pt>
                <c:pt idx="741">
                  <c:v>0.935955834714627</c:v>
                </c:pt>
                <c:pt idx="742">
                  <c:v>0.93608640161779</c:v>
                </c:pt>
                <c:pt idx="743">
                  <c:v>0.936216815949277</c:v>
                </c:pt>
                <c:pt idx="744">
                  <c:v>0.936347174501871</c:v>
                </c:pt>
                <c:pt idx="745">
                  <c:v>0.936477476619351</c:v>
                </c:pt>
                <c:pt idx="746">
                  <c:v>0.936607741909638</c:v>
                </c:pt>
                <c:pt idx="747">
                  <c:v>0.936738002028893</c:v>
                </c:pt>
                <c:pt idx="748">
                  <c:v>0.936868262148148</c:v>
                </c:pt>
                <c:pt idx="749">
                  <c:v>0.936998194156272</c:v>
                </c:pt>
                <c:pt idx="750">
                  <c:v>0.937128126164395</c:v>
                </c:pt>
                <c:pt idx="751">
                  <c:v>0.937258058172519</c:v>
                </c:pt>
                <c:pt idx="752">
                  <c:v>0.937387990180642</c:v>
                </c:pt>
                <c:pt idx="753">
                  <c:v>0.937517921532543</c:v>
                </c:pt>
                <c:pt idx="754">
                  <c:v>0.937647696047324</c:v>
                </c:pt>
                <c:pt idx="755">
                  <c:v>0.937777273695425</c:v>
                </c:pt>
                <c:pt idx="756">
                  <c:v>0.937906309960159</c:v>
                </c:pt>
                <c:pt idx="757">
                  <c:v>0.938034535790398</c:v>
                </c:pt>
                <c:pt idx="758">
                  <c:v>0.938162433509505</c:v>
                </c:pt>
                <c:pt idx="759">
                  <c:v>0.938290238701274</c:v>
                </c:pt>
                <c:pt idx="760">
                  <c:v>0.938417968427482</c:v>
                </c:pt>
                <c:pt idx="761">
                  <c:v>0.938545328044333</c:v>
                </c:pt>
                <c:pt idx="762">
                  <c:v>0.938672635163404</c:v>
                </c:pt>
                <c:pt idx="763">
                  <c:v>0.938799720479349</c:v>
                </c:pt>
                <c:pt idx="764">
                  <c:v>0.93892598682991</c:v>
                </c:pt>
                <c:pt idx="765">
                  <c:v>0.939050990608836</c:v>
                </c:pt>
                <c:pt idx="766">
                  <c:v>0.939175898579312</c:v>
                </c:pt>
                <c:pt idx="767">
                  <c:v>0.939300790800454</c:v>
                </c:pt>
                <c:pt idx="768">
                  <c:v>0.939425669240928</c:v>
                </c:pt>
                <c:pt idx="769">
                  <c:v>0.939550379688503</c:v>
                </c:pt>
                <c:pt idx="770">
                  <c:v>0.939675061918521</c:v>
                </c:pt>
                <c:pt idx="771">
                  <c:v>0.939799612904085</c:v>
                </c:pt>
                <c:pt idx="772">
                  <c:v>0.939924156014983</c:v>
                </c:pt>
                <c:pt idx="773">
                  <c:v>0.940048627597654</c:v>
                </c:pt>
                <c:pt idx="774">
                  <c:v>0.94017219884338</c:v>
                </c:pt>
                <c:pt idx="775">
                  <c:v>0.940294157751005</c:v>
                </c:pt>
                <c:pt idx="776">
                  <c:v>0.940415952603064</c:v>
                </c:pt>
                <c:pt idx="777">
                  <c:v>0.940537681832897</c:v>
                </c:pt>
                <c:pt idx="778">
                  <c:v>0.940659411062729</c:v>
                </c:pt>
                <c:pt idx="779">
                  <c:v>0.940781140292562</c:v>
                </c:pt>
                <c:pt idx="780">
                  <c:v>0.940902410166811</c:v>
                </c:pt>
                <c:pt idx="781">
                  <c:v>0.941023472674824</c:v>
                </c:pt>
                <c:pt idx="782">
                  <c:v>0.941144244476375</c:v>
                </c:pt>
                <c:pt idx="783">
                  <c:v>0.941264989372813</c:v>
                </c:pt>
                <c:pt idx="784">
                  <c:v>0.941385274913667</c:v>
                </c:pt>
                <c:pt idx="785">
                  <c:v>0.941505109957937</c:v>
                </c:pt>
                <c:pt idx="786">
                  <c:v>0.941624463663176</c:v>
                </c:pt>
                <c:pt idx="787">
                  <c:v>0.941742909813026</c:v>
                </c:pt>
                <c:pt idx="788">
                  <c:v>0.941861029820411</c:v>
                </c:pt>
                <c:pt idx="789">
                  <c:v>0.941979149827796</c:v>
                </c:pt>
                <c:pt idx="790">
                  <c:v>0.942096285501786</c:v>
                </c:pt>
                <c:pt idx="791">
                  <c:v>0.942213093064645</c:v>
                </c:pt>
                <c:pt idx="792">
                  <c:v>0.942329900627503</c:v>
                </c:pt>
                <c:pt idx="793">
                  <c:v>0.942446498199237</c:v>
                </c:pt>
                <c:pt idx="794">
                  <c:v>0.94256293302785</c:v>
                </c:pt>
                <c:pt idx="795">
                  <c:v>0.942678785131093</c:v>
                </c:pt>
                <c:pt idx="796">
                  <c:v>0.942793624027162</c:v>
                </c:pt>
                <c:pt idx="797">
                  <c:v>0.942907675456515</c:v>
                </c:pt>
                <c:pt idx="798">
                  <c:v>0.943021661263641</c:v>
                </c:pt>
                <c:pt idx="799">
                  <c:v>0.943134859604052</c:v>
                </c:pt>
                <c:pt idx="800">
                  <c:v>0.943247347911974</c:v>
                </c:pt>
                <c:pt idx="801">
                  <c:v>0.943359246932303</c:v>
                </c:pt>
                <c:pt idx="802">
                  <c:v>0.943470870339282</c:v>
                </c:pt>
                <c:pt idx="803">
                  <c:v>0.943582428124034</c:v>
                </c:pt>
                <c:pt idx="804">
                  <c:v>0.943693985908787</c:v>
                </c:pt>
                <c:pt idx="805">
                  <c:v>0.943805543693539</c:v>
                </c:pt>
                <c:pt idx="806">
                  <c:v>0.943917101478292</c:v>
                </c:pt>
                <c:pt idx="807">
                  <c:v>0.944028528018592</c:v>
                </c:pt>
                <c:pt idx="808">
                  <c:v>0.944139954558891</c:v>
                </c:pt>
                <c:pt idx="809">
                  <c:v>0.944250856121381</c:v>
                </c:pt>
                <c:pt idx="810">
                  <c:v>0.944361639563862</c:v>
                </c:pt>
                <c:pt idx="811">
                  <c:v>0.944472041084987</c:v>
                </c:pt>
                <c:pt idx="812">
                  <c:v>0.944582286425213</c:v>
                </c:pt>
                <c:pt idx="813">
                  <c:v>0.944692531765439</c:v>
                </c:pt>
                <c:pt idx="814">
                  <c:v>0.944802652423435</c:v>
                </c:pt>
                <c:pt idx="815">
                  <c:v>0.944912694334759</c:v>
                </c:pt>
                <c:pt idx="816">
                  <c:v>0.945022591877186</c:v>
                </c:pt>
                <c:pt idx="817">
                  <c:v>0.945132443484054</c:v>
                </c:pt>
                <c:pt idx="818">
                  <c:v>0.945242163846469</c:v>
                </c:pt>
                <c:pt idx="819">
                  <c:v>0.945351810055769</c:v>
                </c:pt>
                <c:pt idx="820">
                  <c:v>0.945461267929279</c:v>
                </c:pt>
                <c:pt idx="821">
                  <c:v>0.945570624180209</c:v>
                </c:pt>
                <c:pt idx="822">
                  <c:v>0.94567987337504</c:v>
                </c:pt>
                <c:pt idx="823">
                  <c:v>0.945788659276952</c:v>
                </c:pt>
                <c:pt idx="824">
                  <c:v>0.945897329683746</c:v>
                </c:pt>
                <c:pt idx="825">
                  <c:v>0.946005606357182</c:v>
                </c:pt>
                <c:pt idx="826">
                  <c:v>0.946113867281284</c:v>
                </c:pt>
                <c:pt idx="827">
                  <c:v>0.946222061926938</c:v>
                </c:pt>
                <c:pt idx="828">
                  <c:v>0.946330136483917</c:v>
                </c:pt>
                <c:pt idx="829">
                  <c:v>0.946438019423995</c:v>
                </c:pt>
                <c:pt idx="830">
                  <c:v>0.946545733714952</c:v>
                </c:pt>
                <c:pt idx="831">
                  <c:v>0.946653448005908</c:v>
                </c:pt>
                <c:pt idx="832">
                  <c:v>0.946761068457081</c:v>
                </c:pt>
                <c:pt idx="833">
                  <c:v>0.946868642972696</c:v>
                </c:pt>
                <c:pt idx="834">
                  <c:v>0.946976132179416</c:v>
                </c:pt>
                <c:pt idx="835">
                  <c:v>0.947083096408326</c:v>
                </c:pt>
                <c:pt idx="836">
                  <c:v>0.947189732526104</c:v>
                </c:pt>
                <c:pt idx="837">
                  <c:v>0.947296273491654</c:v>
                </c:pt>
                <c:pt idx="838">
                  <c:v>0.9474025814983</c:v>
                </c:pt>
                <c:pt idx="839">
                  <c:v>0.947508813383164</c:v>
                </c:pt>
                <c:pt idx="840">
                  <c:v>0.947614465167547</c:v>
                </c:pt>
                <c:pt idx="841">
                  <c:v>0.947720116951931</c:v>
                </c:pt>
                <c:pt idx="842">
                  <c:v>0.947825637491861</c:v>
                </c:pt>
                <c:pt idx="843">
                  <c:v>0.947931046474007</c:v>
                </c:pt>
                <c:pt idx="844">
                  <c:v>0.948036042036127</c:v>
                </c:pt>
                <c:pt idx="845">
                  <c:v>0.948140928665351</c:v>
                </c:pt>
                <c:pt idx="846">
                  <c:v>0.948245002235191</c:v>
                </c:pt>
                <c:pt idx="847">
                  <c:v>0.948348970809469</c:v>
                </c:pt>
                <c:pt idx="848">
                  <c:v>0.948452916415968</c:v>
                </c:pt>
                <c:pt idx="849">
                  <c:v>0.948556499787777</c:v>
                </c:pt>
                <c:pt idx="850">
                  <c:v>0.948659775391345</c:v>
                </c:pt>
                <c:pt idx="851">
                  <c:v>0.948762671042223</c:v>
                </c:pt>
                <c:pt idx="852">
                  <c:v>0.94886523595708</c:v>
                </c:pt>
                <c:pt idx="853">
                  <c:v>0.948967799559492</c:v>
                </c:pt>
                <c:pt idx="854">
                  <c:v>0.949070309351679</c:v>
                </c:pt>
                <c:pt idx="855">
                  <c:v>0.949172680024746</c:v>
                </c:pt>
                <c:pt idx="856">
                  <c:v>0.949275050697813</c:v>
                </c:pt>
                <c:pt idx="857">
                  <c:v>0.94937742137088</c:v>
                </c:pt>
                <c:pt idx="858">
                  <c:v>0.949479608957935</c:v>
                </c:pt>
                <c:pt idx="859">
                  <c:v>0.949581794576324</c:v>
                </c:pt>
                <c:pt idx="860">
                  <c:v>0.949683782671811</c:v>
                </c:pt>
                <c:pt idx="861">
                  <c:v>0.94978571892574</c:v>
                </c:pt>
                <c:pt idx="862">
                  <c:v>0.949886777154281</c:v>
                </c:pt>
                <c:pt idx="863">
                  <c:v>0.949987704138368</c:v>
                </c:pt>
                <c:pt idx="864">
                  <c:v>0.950088434255777</c:v>
                </c:pt>
                <c:pt idx="865">
                  <c:v>0.950188993755398</c:v>
                </c:pt>
                <c:pt idx="866">
                  <c:v>0.950289317015003</c:v>
                </c:pt>
                <c:pt idx="867">
                  <c:v>0.950389128421244</c:v>
                </c:pt>
                <c:pt idx="868">
                  <c:v>0.950488905703926</c:v>
                </c:pt>
                <c:pt idx="869">
                  <c:v>0.950588631801272</c:v>
                </c:pt>
                <c:pt idx="870">
                  <c:v>0.950688259465279</c:v>
                </c:pt>
                <c:pt idx="871">
                  <c:v>0.950787228282133</c:v>
                </c:pt>
                <c:pt idx="872">
                  <c:v>0.950886055354978</c:v>
                </c:pt>
                <c:pt idx="873">
                  <c:v>0.950984579253138</c:v>
                </c:pt>
                <c:pt idx="874">
                  <c:v>0.951083012592626</c:v>
                </c:pt>
                <c:pt idx="875">
                  <c:v>0.951180855332076</c:v>
                </c:pt>
                <c:pt idx="876">
                  <c:v>0.951277910604811</c:v>
                </c:pt>
                <c:pt idx="877">
                  <c:v>0.951374716513086</c:v>
                </c:pt>
                <c:pt idx="878">
                  <c:v>0.951471181185783</c:v>
                </c:pt>
                <c:pt idx="879">
                  <c:v>0.951567630109147</c:v>
                </c:pt>
                <c:pt idx="880">
                  <c:v>0.9516637338596</c:v>
                </c:pt>
                <c:pt idx="881">
                  <c:v>0.95175977592516</c:v>
                </c:pt>
                <c:pt idx="882">
                  <c:v>0.951855810772275</c:v>
                </c:pt>
                <c:pt idx="883">
                  <c:v>0.951951753748273</c:v>
                </c:pt>
                <c:pt idx="884">
                  <c:v>0.952046905976445</c:v>
                </c:pt>
                <c:pt idx="885">
                  <c:v>0.952142058204616</c:v>
                </c:pt>
                <c:pt idx="886">
                  <c:v>0.952237210432787</c:v>
                </c:pt>
                <c:pt idx="887">
                  <c:v>0.952332309506955</c:v>
                </c:pt>
                <c:pt idx="888">
                  <c:v>0.952427330490674</c:v>
                </c:pt>
                <c:pt idx="889">
                  <c:v>0.952522285852166</c:v>
                </c:pt>
                <c:pt idx="890">
                  <c:v>0.952617109969206</c:v>
                </c:pt>
                <c:pt idx="891">
                  <c:v>0.952711840246461</c:v>
                </c:pt>
                <c:pt idx="892">
                  <c:v>0.952806470777933</c:v>
                </c:pt>
                <c:pt idx="893">
                  <c:v>0.952901075716737</c:v>
                </c:pt>
                <c:pt idx="894">
                  <c:v>0.952995571722645</c:v>
                </c:pt>
                <c:pt idx="895">
                  <c:v>0.953090067728553</c:v>
                </c:pt>
                <c:pt idx="896">
                  <c:v>0.953184563734461</c:v>
                </c:pt>
                <c:pt idx="897">
                  <c:v>0.953278009784748</c:v>
                </c:pt>
                <c:pt idx="898">
                  <c:v>0.953371193346129</c:v>
                </c:pt>
                <c:pt idx="899">
                  <c:v>0.953464015985266</c:v>
                </c:pt>
                <c:pt idx="900">
                  <c:v>0.953556543324384</c:v>
                </c:pt>
                <c:pt idx="901">
                  <c:v>0.953648977479941</c:v>
                </c:pt>
                <c:pt idx="902">
                  <c:v>0.953740979841248</c:v>
                </c:pt>
                <c:pt idx="903">
                  <c:v>0.953832896893662</c:v>
                </c:pt>
                <c:pt idx="904">
                  <c:v>0.953924768010517</c:v>
                </c:pt>
                <c:pt idx="905">
                  <c:v>0.954016507882919</c:v>
                </c:pt>
                <c:pt idx="906">
                  <c:v>0.954108247755321</c:v>
                </c:pt>
                <c:pt idx="907">
                  <c:v>0.954199856383271</c:v>
                </c:pt>
                <c:pt idx="908">
                  <c:v>0.954291465011221</c:v>
                </c:pt>
                <c:pt idx="909">
                  <c:v>0.954382887153927</c:v>
                </c:pt>
                <c:pt idx="910">
                  <c:v>0.95447426479164</c:v>
                </c:pt>
                <c:pt idx="911">
                  <c:v>0.954565595181351</c:v>
                </c:pt>
                <c:pt idx="912">
                  <c:v>0.954656342845691</c:v>
                </c:pt>
                <c:pt idx="913">
                  <c:v>0.954746796522457</c:v>
                </c:pt>
                <c:pt idx="914">
                  <c:v>0.954836764594749</c:v>
                </c:pt>
                <c:pt idx="915">
                  <c:v>0.954926660482591</c:v>
                </c:pt>
                <c:pt idx="916">
                  <c:v>0.955016431688204</c:v>
                </c:pt>
                <c:pt idx="917">
                  <c:v>0.955106084773809</c:v>
                </c:pt>
                <c:pt idx="918">
                  <c:v>0.955195580366071</c:v>
                </c:pt>
                <c:pt idx="919">
                  <c:v>0.95528491846499</c:v>
                </c:pt>
                <c:pt idx="920">
                  <c:v>0.955374164692792</c:v>
                </c:pt>
                <c:pt idx="921">
                  <c:v>0.955463410920594</c:v>
                </c:pt>
                <c:pt idx="922">
                  <c:v>0.955552458969272</c:v>
                </c:pt>
                <c:pt idx="923">
                  <c:v>0.955641442708169</c:v>
                </c:pt>
                <c:pt idx="924">
                  <c:v>0.955730093086156</c:v>
                </c:pt>
                <c:pt idx="925">
                  <c:v>0.955818683091695</c:v>
                </c:pt>
                <c:pt idx="926">
                  <c:v>0.955907273097233</c:v>
                </c:pt>
                <c:pt idx="927">
                  <c:v>0.955995731858319</c:v>
                </c:pt>
                <c:pt idx="928">
                  <c:v>0.956084004908505</c:v>
                </c:pt>
                <c:pt idx="929">
                  <c:v>0.956172266802912</c:v>
                </c:pt>
                <c:pt idx="930">
                  <c:v>0.956260528697319</c:v>
                </c:pt>
                <c:pt idx="931">
                  <c:v>0.95634878009217</c:v>
                </c:pt>
                <c:pt idx="932">
                  <c:v>0.956436850369676</c:v>
                </c:pt>
                <c:pt idx="933">
                  <c:v>0.956524784152952</c:v>
                </c:pt>
                <c:pt idx="934">
                  <c:v>0.956612389825096</c:v>
                </c:pt>
                <c:pt idx="935">
                  <c:v>0.956699735633223</c:v>
                </c:pt>
                <c:pt idx="936">
                  <c:v>0.956787030256014</c:v>
                </c:pt>
                <c:pt idx="937">
                  <c:v>0.956874307817027</c:v>
                </c:pt>
                <c:pt idx="938">
                  <c:v>0.956961552566926</c:v>
                </c:pt>
                <c:pt idx="939">
                  <c:v>0.957048280673037</c:v>
                </c:pt>
                <c:pt idx="940">
                  <c:v>0.957134902011786</c:v>
                </c:pt>
                <c:pt idx="941">
                  <c:v>0.957221523350535</c:v>
                </c:pt>
                <c:pt idx="942">
                  <c:v>0.957308144689284</c:v>
                </c:pt>
                <c:pt idx="943">
                  <c:v>0.957394503539127</c:v>
                </c:pt>
                <c:pt idx="944">
                  <c:v>0.957480619586734</c:v>
                </c:pt>
                <c:pt idx="945">
                  <c:v>0.957566271028977</c:v>
                </c:pt>
                <c:pt idx="946">
                  <c:v>0.957651908034332</c:v>
                </c:pt>
                <c:pt idx="947">
                  <c:v>0.957737526862329</c:v>
                </c:pt>
                <c:pt idx="948">
                  <c:v>0.95782296568856</c:v>
                </c:pt>
                <c:pt idx="949">
                  <c:v>0.957908274582782</c:v>
                </c:pt>
                <c:pt idx="950">
                  <c:v>0.957993583477004</c:v>
                </c:pt>
                <c:pt idx="951">
                  <c:v>0.958078761126774</c:v>
                </c:pt>
                <c:pt idx="952">
                  <c:v>0.958163807532091</c:v>
                </c:pt>
                <c:pt idx="953">
                  <c:v>0.958248853937408</c:v>
                </c:pt>
                <c:pt idx="954">
                  <c:v>0.958333813721387</c:v>
                </c:pt>
                <c:pt idx="955">
                  <c:v>0.958418466393346</c:v>
                </c:pt>
                <c:pt idx="956">
                  <c:v>0.958502922198626</c:v>
                </c:pt>
                <c:pt idx="957">
                  <c:v>0.958586590537191</c:v>
                </c:pt>
                <c:pt idx="958">
                  <c:v>0.958670199815751</c:v>
                </c:pt>
                <c:pt idx="959">
                  <c:v>0.958753790063866</c:v>
                </c:pt>
                <c:pt idx="960">
                  <c:v>0.958837261535752</c:v>
                </c:pt>
                <c:pt idx="961">
                  <c:v>0.958920470518732</c:v>
                </c:pt>
                <c:pt idx="962">
                  <c:v>0.959003561381704</c:v>
                </c:pt>
                <c:pt idx="963">
                  <c:v>0.959086156140646</c:v>
                </c:pt>
                <c:pt idx="964">
                  <c:v>0.959168380790231</c:v>
                </c:pt>
                <c:pt idx="965">
                  <c:v>0.959250552942035</c:v>
                </c:pt>
                <c:pt idx="966">
                  <c:v>0.959332580724942</c:v>
                </c:pt>
                <c:pt idx="967">
                  <c:v>0.959414337488053</c:v>
                </c:pt>
                <c:pt idx="968">
                  <c:v>0.95949591903982</c:v>
                </c:pt>
                <c:pt idx="969">
                  <c:v>0.959577395596025</c:v>
                </c:pt>
                <c:pt idx="970">
                  <c:v>0.959658662161106</c:v>
                </c:pt>
                <c:pt idx="971">
                  <c:v>0.959739771232844</c:v>
                </c:pt>
                <c:pt idx="972">
                  <c:v>0.959820868492581</c:v>
                </c:pt>
                <c:pt idx="973">
                  <c:v>0.959901583830961</c:v>
                </c:pt>
                <c:pt idx="974">
                  <c:v>0.959981807002643</c:v>
                </c:pt>
                <c:pt idx="975">
                  <c:v>0.960061997363212</c:v>
                </c:pt>
                <c:pt idx="976">
                  <c:v>0.960142173943114</c:v>
                </c:pt>
                <c:pt idx="977">
                  <c:v>0.960222172686782</c:v>
                </c:pt>
                <c:pt idx="978">
                  <c:v>0.960302100558446</c:v>
                </c:pt>
                <c:pt idx="979">
                  <c:v>0.960381477203408</c:v>
                </c:pt>
                <c:pt idx="980">
                  <c:v>0.960460814475035</c:v>
                </c:pt>
                <c:pt idx="981">
                  <c:v>0.960539986378652</c:v>
                </c:pt>
                <c:pt idx="982">
                  <c:v>0.960619061161373</c:v>
                </c:pt>
                <c:pt idx="983">
                  <c:v>0.9606980329172</c:v>
                </c:pt>
                <c:pt idx="984">
                  <c:v>0.96077677958879</c:v>
                </c:pt>
                <c:pt idx="985">
                  <c:v>0.96085552626038</c:v>
                </c:pt>
                <c:pt idx="986">
                  <c:v>0.960934246683079</c:v>
                </c:pt>
                <c:pt idx="987">
                  <c:v>0.961012862110216</c:v>
                </c:pt>
                <c:pt idx="988">
                  <c:v>0.961091346292901</c:v>
                </c:pt>
                <c:pt idx="989">
                  <c:v>0.961169640171129</c:v>
                </c:pt>
                <c:pt idx="990">
                  <c:v>0.961247668935563</c:v>
                </c:pt>
                <c:pt idx="991">
                  <c:v>0.961325654389328</c:v>
                </c:pt>
                <c:pt idx="992">
                  <c:v>0.961403613594202</c:v>
                </c:pt>
                <c:pt idx="993">
                  <c:v>0.961480654087908</c:v>
                </c:pt>
                <c:pt idx="994">
                  <c:v>0.961557552837604</c:v>
                </c:pt>
                <c:pt idx="995">
                  <c:v>0.961634330842404</c:v>
                </c:pt>
                <c:pt idx="996">
                  <c:v>0.961711091785426</c:v>
                </c:pt>
                <c:pt idx="997">
                  <c:v>0.961787810730222</c:v>
                </c:pt>
                <c:pt idx="998">
                  <c:v>0.961864303278338</c:v>
                </c:pt>
                <c:pt idx="999">
                  <c:v>0.961940425060875</c:v>
                </c:pt>
                <c:pt idx="1000">
                  <c:v>0.962016546843412</c:v>
                </c:pt>
                <c:pt idx="1001">
                  <c:v>0.962092631877502</c:v>
                </c:pt>
                <c:pt idx="1002">
                  <c:v>0.962168685412924</c:v>
                </c:pt>
                <c:pt idx="1003">
                  <c:v>0.962244681857009</c:v>
                </c:pt>
                <c:pt idx="1004">
                  <c:v>0.962320660583092</c:v>
                </c:pt>
                <c:pt idx="1005">
                  <c:v>0.962395975212245</c:v>
                </c:pt>
                <c:pt idx="1006">
                  <c:v>0.962470955168044</c:v>
                </c:pt>
                <c:pt idx="1007">
                  <c:v>0.962545764506055</c:v>
                </c:pt>
                <c:pt idx="1008">
                  <c:v>0.962620454411613</c:v>
                </c:pt>
                <c:pt idx="1009">
                  <c:v>0.96269509444428</c:v>
                </c:pt>
                <c:pt idx="1010">
                  <c:v>0.962769510048932</c:v>
                </c:pt>
                <c:pt idx="1011">
                  <c:v>0.96284368941357</c:v>
                </c:pt>
                <c:pt idx="1012">
                  <c:v>0.962917545916854</c:v>
                </c:pt>
                <c:pt idx="1013">
                  <c:v>0.962991108432565</c:v>
                </c:pt>
                <c:pt idx="1014">
                  <c:v>0.963064479331374</c:v>
                </c:pt>
                <c:pt idx="1015">
                  <c:v>0.963137692736841</c:v>
                </c:pt>
                <c:pt idx="1016">
                  <c:v>0.963210737493185</c:v>
                </c:pt>
                <c:pt idx="1017">
                  <c:v>0.963283711377525</c:v>
                </c:pt>
                <c:pt idx="1018">
                  <c:v>0.963356683293199</c:v>
                </c:pt>
                <c:pt idx="1019">
                  <c:v>0.963429642084427</c:v>
                </c:pt>
                <c:pt idx="1020">
                  <c:v>0.963502285888969</c:v>
                </c:pt>
                <c:pt idx="1021">
                  <c:v>0.963574601582379</c:v>
                </c:pt>
                <c:pt idx="1022">
                  <c:v>0.963646786031336</c:v>
                </c:pt>
                <c:pt idx="1023">
                  <c:v>0.963718888452511</c:v>
                </c:pt>
                <c:pt idx="1024">
                  <c:v>0.963790810412563</c:v>
                </c:pt>
                <c:pt idx="1025">
                  <c:v>0.963862256611474</c:v>
                </c:pt>
                <c:pt idx="1026">
                  <c:v>0.963933675905273</c:v>
                </c:pt>
                <c:pt idx="1027">
                  <c:v>0.964005000703065</c:v>
                </c:pt>
                <c:pt idx="1028">
                  <c:v>0.964076187694183</c:v>
                </c:pt>
                <c:pt idx="1029">
                  <c:v>0.964147348436409</c:v>
                </c:pt>
                <c:pt idx="1030">
                  <c:v>0.964218240127508</c:v>
                </c:pt>
                <c:pt idx="1031">
                  <c:v>0.964289112131939</c:v>
                </c:pt>
                <c:pt idx="1032">
                  <c:v>0.96435998413637</c:v>
                </c:pt>
                <c:pt idx="1033">
                  <c:v>0.964430856140801</c:v>
                </c:pt>
                <c:pt idx="1034">
                  <c:v>0.964501728145232</c:v>
                </c:pt>
                <c:pt idx="1035">
                  <c:v>0.964572542139615</c:v>
                </c:pt>
                <c:pt idx="1036">
                  <c:v>0.964643353771598</c:v>
                </c:pt>
                <c:pt idx="1037">
                  <c:v>0.964714094531576</c:v>
                </c:pt>
                <c:pt idx="1038">
                  <c:v>0.964784809042664</c:v>
                </c:pt>
                <c:pt idx="1039">
                  <c:v>0.964855367372853</c:v>
                </c:pt>
                <c:pt idx="1040">
                  <c:v>0.96492590470393</c:v>
                </c:pt>
                <c:pt idx="1041">
                  <c:v>0.964996410536338</c:v>
                </c:pt>
                <c:pt idx="1042">
                  <c:v>0.965066715105378</c:v>
                </c:pt>
                <c:pt idx="1043">
                  <c:v>0.965136996509772</c:v>
                </c:pt>
                <c:pt idx="1044">
                  <c:v>0.965207277914166</c:v>
                </c:pt>
                <c:pt idx="1045">
                  <c:v>0.965277493696334</c:v>
                </c:pt>
                <c:pt idx="1046">
                  <c:v>0.965347611701384</c:v>
                </c:pt>
                <c:pt idx="1047">
                  <c:v>0.965417171261289</c:v>
                </c:pt>
                <c:pt idx="1048">
                  <c:v>0.965486079008744</c:v>
                </c:pt>
                <c:pt idx="1049">
                  <c:v>0.965554982346385</c:v>
                </c:pt>
                <c:pt idx="1050">
                  <c:v>0.965623741315128</c:v>
                </c:pt>
                <c:pt idx="1051">
                  <c:v>0.965692258137856</c:v>
                </c:pt>
                <c:pt idx="1052">
                  <c:v>0.965760751992805</c:v>
                </c:pt>
                <c:pt idx="1053">
                  <c:v>0.965829135602414</c:v>
                </c:pt>
                <c:pt idx="1054">
                  <c:v>0.965897366968457</c:v>
                </c:pt>
                <c:pt idx="1055">
                  <c:v>0.96596535159493</c:v>
                </c:pt>
                <c:pt idx="1056">
                  <c:v>0.966033073732498</c:v>
                </c:pt>
                <c:pt idx="1057">
                  <c:v>0.966100795870065</c:v>
                </c:pt>
                <c:pt idx="1058">
                  <c:v>0.966168458947629</c:v>
                </c:pt>
                <c:pt idx="1059">
                  <c:v>0.966236082651856</c:v>
                </c:pt>
                <c:pt idx="1060">
                  <c:v>0.966303673544971</c:v>
                </c:pt>
                <c:pt idx="1061">
                  <c:v>0.966370870704728</c:v>
                </c:pt>
                <c:pt idx="1062">
                  <c:v>0.966438067864485</c:v>
                </c:pt>
                <c:pt idx="1063">
                  <c:v>0.966505186933792</c:v>
                </c:pt>
                <c:pt idx="1064">
                  <c:v>0.966572126854422</c:v>
                </c:pt>
                <c:pt idx="1065">
                  <c:v>0.966639061525273</c:v>
                </c:pt>
                <c:pt idx="1066">
                  <c:v>0.966705996196125</c:v>
                </c:pt>
                <c:pt idx="1067">
                  <c:v>0.966772930866976</c:v>
                </c:pt>
                <c:pt idx="1068">
                  <c:v>0.966839597799144</c:v>
                </c:pt>
                <c:pt idx="1069">
                  <c:v>0.966906237169977</c:v>
                </c:pt>
                <c:pt idx="1070">
                  <c:v>0.966972843729697</c:v>
                </c:pt>
                <c:pt idx="1071">
                  <c:v>0.967039443727194</c:v>
                </c:pt>
                <c:pt idx="1072">
                  <c:v>0.967105823234011</c:v>
                </c:pt>
                <c:pt idx="1073">
                  <c:v>0.967172154180381</c:v>
                </c:pt>
                <c:pt idx="1074">
                  <c:v>0.967238301384516</c:v>
                </c:pt>
                <c:pt idx="1075">
                  <c:v>0.967304338343311</c:v>
                </c:pt>
                <c:pt idx="1076">
                  <c:v>0.967370354302994</c:v>
                </c:pt>
                <c:pt idx="1077">
                  <c:v>0.96743615370933</c:v>
                </c:pt>
                <c:pt idx="1078">
                  <c:v>0.967501865181883</c:v>
                </c:pt>
                <c:pt idx="1079">
                  <c:v>0.967567487408208</c:v>
                </c:pt>
                <c:pt idx="1080">
                  <c:v>0.967633103072311</c:v>
                </c:pt>
                <c:pt idx="1081">
                  <c:v>0.967698660988854</c:v>
                </c:pt>
                <c:pt idx="1082">
                  <c:v>0.967764151970726</c:v>
                </c:pt>
                <c:pt idx="1083">
                  <c:v>0.967829642952598</c:v>
                </c:pt>
                <c:pt idx="1084">
                  <c:v>0.967895110966692</c:v>
                </c:pt>
                <c:pt idx="1085">
                  <c:v>0.967960470704111</c:v>
                </c:pt>
                <c:pt idx="1086">
                  <c:v>0.968025830441531</c:v>
                </c:pt>
                <c:pt idx="1087">
                  <c:v>0.968091032685608</c:v>
                </c:pt>
                <c:pt idx="1088">
                  <c:v>0.968156034125671</c:v>
                </c:pt>
                <c:pt idx="1089">
                  <c:v>0.968221000129733</c:v>
                </c:pt>
                <c:pt idx="1090">
                  <c:v>0.96828589788668</c:v>
                </c:pt>
                <c:pt idx="1091">
                  <c:v>0.968350580402724</c:v>
                </c:pt>
                <c:pt idx="1092">
                  <c:v>0.968415087051201</c:v>
                </c:pt>
                <c:pt idx="1093">
                  <c:v>0.968479396832999</c:v>
                </c:pt>
                <c:pt idx="1094">
                  <c:v>0.968543706614798</c:v>
                </c:pt>
                <c:pt idx="1095">
                  <c:v>0.968608016396596</c:v>
                </c:pt>
                <c:pt idx="1096">
                  <c:v>0.96867232486595</c:v>
                </c:pt>
                <c:pt idx="1097">
                  <c:v>0.968736372158844</c:v>
                </c:pt>
                <c:pt idx="1098">
                  <c:v>0.968800353829511</c:v>
                </c:pt>
                <c:pt idx="1099">
                  <c:v>0.968863941766819</c:v>
                </c:pt>
                <c:pt idx="1100">
                  <c:v>0.968927529704128</c:v>
                </c:pt>
                <c:pt idx="1101">
                  <c:v>0.968990981147206</c:v>
                </c:pt>
                <c:pt idx="1102">
                  <c:v>0.969054269847163</c:v>
                </c:pt>
                <c:pt idx="1103">
                  <c:v>0.969117465363559</c:v>
                </c:pt>
                <c:pt idx="1104">
                  <c:v>0.969180626756397</c:v>
                </c:pt>
                <c:pt idx="1105">
                  <c:v>0.9692437723999</c:v>
                </c:pt>
                <c:pt idx="1106">
                  <c:v>0.969306769737172</c:v>
                </c:pt>
                <c:pt idx="1107">
                  <c:v>0.969369767074444</c:v>
                </c:pt>
                <c:pt idx="1108">
                  <c:v>0.969432432363251</c:v>
                </c:pt>
                <c:pt idx="1109">
                  <c:v>0.969495035967165</c:v>
                </c:pt>
                <c:pt idx="1110">
                  <c:v>0.969557462391068</c:v>
                </c:pt>
                <c:pt idx="1111">
                  <c:v>0.969619856003858</c:v>
                </c:pt>
                <c:pt idx="1112">
                  <c:v>0.969682197118866</c:v>
                </c:pt>
                <c:pt idx="1113">
                  <c:v>0.969744473267871</c:v>
                </c:pt>
                <c:pt idx="1114">
                  <c:v>0.96980662014109</c:v>
                </c:pt>
                <c:pt idx="1115">
                  <c:v>0.969868698110971</c:v>
                </c:pt>
                <c:pt idx="1116">
                  <c:v>0.969930754425517</c:v>
                </c:pt>
                <c:pt idx="1117">
                  <c:v>0.969992701807168</c:v>
                </c:pt>
                <c:pt idx="1118">
                  <c:v>0.970054515319477</c:v>
                </c:pt>
                <c:pt idx="1119">
                  <c:v>0.970116189712666</c:v>
                </c:pt>
                <c:pt idx="1120">
                  <c:v>0.970177799992941</c:v>
                </c:pt>
                <c:pt idx="1121">
                  <c:v>0.970239333954566</c:v>
                </c:pt>
                <c:pt idx="1122">
                  <c:v>0.970300756358406</c:v>
                </c:pt>
                <c:pt idx="1123">
                  <c:v>0.970362178762246</c:v>
                </c:pt>
                <c:pt idx="1124">
                  <c:v>0.970423601166086</c:v>
                </c:pt>
                <c:pt idx="1125">
                  <c:v>0.970484597025455</c:v>
                </c:pt>
                <c:pt idx="1126">
                  <c:v>0.97054523196258</c:v>
                </c:pt>
                <c:pt idx="1127">
                  <c:v>0.970605751404585</c:v>
                </c:pt>
                <c:pt idx="1128">
                  <c:v>0.970665585750549</c:v>
                </c:pt>
                <c:pt idx="1129">
                  <c:v>0.970725199605831</c:v>
                </c:pt>
                <c:pt idx="1130">
                  <c:v>0.970784742589109</c:v>
                </c:pt>
                <c:pt idx="1131">
                  <c:v>0.970844228481051</c:v>
                </c:pt>
                <c:pt idx="1132">
                  <c:v>0.970903427603863</c:v>
                </c:pt>
                <c:pt idx="1133">
                  <c:v>0.970962487607556</c:v>
                </c:pt>
                <c:pt idx="1134">
                  <c:v>0.971021416366795</c:v>
                </c:pt>
                <c:pt idx="1135">
                  <c:v>0.971080232255806</c:v>
                </c:pt>
                <c:pt idx="1136">
                  <c:v>0.971138974647923</c:v>
                </c:pt>
                <c:pt idx="1137">
                  <c:v>0.97119771704004</c:v>
                </c:pt>
                <c:pt idx="1138">
                  <c:v>0.971256383310375</c:v>
                </c:pt>
                <c:pt idx="1139">
                  <c:v>0.971314787091804</c:v>
                </c:pt>
                <c:pt idx="1140">
                  <c:v>0.971372801733431</c:v>
                </c:pt>
                <c:pt idx="1141">
                  <c:v>0.97143068053705</c:v>
                </c:pt>
                <c:pt idx="1142">
                  <c:v>0.971488428096216</c:v>
                </c:pt>
                <c:pt idx="1143">
                  <c:v>0.971546044410929</c:v>
                </c:pt>
                <c:pt idx="1144">
                  <c:v>0.97160343104785</c:v>
                </c:pt>
                <c:pt idx="1145">
                  <c:v>0.971660609006092</c:v>
                </c:pt>
                <c:pt idx="1146">
                  <c:v>0.971717505444982</c:v>
                </c:pt>
                <c:pt idx="1147">
                  <c:v>0.971774227328751</c:v>
                </c:pt>
                <c:pt idx="1148">
                  <c:v>0.971830942650297</c:v>
                </c:pt>
                <c:pt idx="1149">
                  <c:v>0.971887640253841</c:v>
                </c:pt>
                <c:pt idx="1150">
                  <c:v>0.971944257142048</c:v>
                </c:pt>
                <c:pt idx="1151">
                  <c:v>0.97200084975003</c:v>
                </c:pt>
                <c:pt idx="1152">
                  <c:v>0.97205728486467</c:v>
                </c:pt>
                <c:pt idx="1153">
                  <c:v>0.972113616296192</c:v>
                </c:pt>
                <c:pt idx="1154">
                  <c:v>0.972169618304138</c:v>
                </c:pt>
                <c:pt idx="1155">
                  <c:v>0.972225570412942</c:v>
                </c:pt>
                <c:pt idx="1156">
                  <c:v>0.972281308619538</c:v>
                </c:pt>
                <c:pt idx="1157">
                  <c:v>0.9723368512719</c:v>
                </c:pt>
                <c:pt idx="1158">
                  <c:v>0.972392225931362</c:v>
                </c:pt>
                <c:pt idx="1159">
                  <c:v>0.972447545468154</c:v>
                </c:pt>
                <c:pt idx="1160">
                  <c:v>0.972502826944054</c:v>
                </c:pt>
                <c:pt idx="1161">
                  <c:v>0.972558107107511</c:v>
                </c:pt>
                <c:pt idx="1162">
                  <c:v>0.972613229777623</c:v>
                </c:pt>
                <c:pt idx="1163">
                  <c:v>0.972668352447736</c:v>
                </c:pt>
                <c:pt idx="1164">
                  <c:v>0.97272310697716</c:v>
                </c:pt>
                <c:pt idx="1165">
                  <c:v>0.972777835913915</c:v>
                </c:pt>
                <c:pt idx="1166">
                  <c:v>0.972832407357327</c:v>
                </c:pt>
                <c:pt idx="1167">
                  <c:v>0.972886976175849</c:v>
                </c:pt>
                <c:pt idx="1168">
                  <c:v>0.972941544994372</c:v>
                </c:pt>
                <c:pt idx="1169">
                  <c:v>0.972996070502226</c:v>
                </c:pt>
                <c:pt idx="1170">
                  <c:v>0.973050589447857</c:v>
                </c:pt>
                <c:pt idx="1171">
                  <c:v>0.973105055895706</c:v>
                </c:pt>
                <c:pt idx="1172">
                  <c:v>0.973159522343556</c:v>
                </c:pt>
                <c:pt idx="1173">
                  <c:v>0.973213906763623</c:v>
                </c:pt>
                <c:pt idx="1174">
                  <c:v>0.973268110722567</c:v>
                </c:pt>
                <c:pt idx="1175">
                  <c:v>0.973322249059285</c:v>
                </c:pt>
                <c:pt idx="1176">
                  <c:v>0.97337635458489</c:v>
                </c:pt>
                <c:pt idx="1177">
                  <c:v>0.973430427299382</c:v>
                </c:pt>
                <c:pt idx="1178">
                  <c:v>0.973484500013874</c:v>
                </c:pt>
                <c:pt idx="1179">
                  <c:v>0.973538517605695</c:v>
                </c:pt>
                <c:pt idx="1180">
                  <c:v>0.973592081747933</c:v>
                </c:pt>
                <c:pt idx="1181">
                  <c:v>0.973645629484614</c:v>
                </c:pt>
                <c:pt idx="1182">
                  <c:v>0.973698783487938</c:v>
                </c:pt>
                <c:pt idx="1183">
                  <c:v>0.973751563444571</c:v>
                </c:pt>
                <c:pt idx="1184">
                  <c:v>0.973804150471859</c:v>
                </c:pt>
                <c:pt idx="1185">
                  <c:v>0.973856648252919</c:v>
                </c:pt>
                <c:pt idx="1186">
                  <c:v>0.973909146033979</c:v>
                </c:pt>
                <c:pt idx="1187">
                  <c:v>0.973961511258141</c:v>
                </c:pt>
                <c:pt idx="1188">
                  <c:v>0.974013746550296</c:v>
                </c:pt>
                <c:pt idx="1189">
                  <c:v>0.974065763103884</c:v>
                </c:pt>
                <c:pt idx="1190">
                  <c:v>0.974117735907133</c:v>
                </c:pt>
                <c:pt idx="1191">
                  <c:v>0.974169677211714</c:v>
                </c:pt>
                <c:pt idx="1192">
                  <c:v>0.974221618516295</c:v>
                </c:pt>
                <c:pt idx="1193">
                  <c:v>0.974273460075091</c:v>
                </c:pt>
                <c:pt idx="1194">
                  <c:v>0.974325039144983</c:v>
                </c:pt>
                <c:pt idx="1195">
                  <c:v>0.974376614021614</c:v>
                </c:pt>
                <c:pt idx="1196">
                  <c:v>0.974428127469279</c:v>
                </c:pt>
                <c:pt idx="1197">
                  <c:v>0.974479377115594</c:v>
                </c:pt>
                <c:pt idx="1198">
                  <c:v>0.974530585419907</c:v>
                </c:pt>
                <c:pt idx="1199">
                  <c:v>0.974581770756441</c:v>
                </c:pt>
                <c:pt idx="1200">
                  <c:v>0.974632956092974</c:v>
                </c:pt>
                <c:pt idx="1201">
                  <c:v>0.974683999029276</c:v>
                </c:pt>
                <c:pt idx="1202">
                  <c:v>0.974734790632452</c:v>
                </c:pt>
                <c:pt idx="1203">
                  <c:v>0.974785503488956</c:v>
                </c:pt>
                <c:pt idx="1204">
                  <c:v>0.97483607132034</c:v>
                </c:pt>
                <c:pt idx="1205">
                  <c:v>0.97488660043461</c:v>
                </c:pt>
                <c:pt idx="1206">
                  <c:v>0.974937020681607</c:v>
                </c:pt>
                <c:pt idx="1207">
                  <c:v>0.974987261058081</c:v>
                </c:pt>
                <c:pt idx="1208">
                  <c:v>0.975037475185665</c:v>
                </c:pt>
                <c:pt idx="1209">
                  <c:v>0.975087610566577</c:v>
                </c:pt>
                <c:pt idx="1210">
                  <c:v>0.97513774594749</c:v>
                </c:pt>
                <c:pt idx="1211">
                  <c:v>0.975187634687264</c:v>
                </c:pt>
                <c:pt idx="1212">
                  <c:v>0.975237523328605</c:v>
                </c:pt>
                <c:pt idx="1213">
                  <c:v>0.975287396220612</c:v>
                </c:pt>
                <c:pt idx="1214">
                  <c:v>0.975337269112619</c:v>
                </c:pt>
                <c:pt idx="1215">
                  <c:v>0.975387115755736</c:v>
                </c:pt>
                <c:pt idx="1216">
                  <c:v>0.9754368311544</c:v>
                </c:pt>
                <c:pt idx="1217">
                  <c:v>0.975486441557501</c:v>
                </c:pt>
                <c:pt idx="1218">
                  <c:v>0.975535870187036</c:v>
                </c:pt>
                <c:pt idx="1219">
                  <c:v>0.975585279129903</c:v>
                </c:pt>
                <c:pt idx="1220">
                  <c:v>0.975634606044987</c:v>
                </c:pt>
                <c:pt idx="1221">
                  <c:v>0.97568392114807</c:v>
                </c:pt>
                <c:pt idx="1222">
                  <c:v>0.975733131255591</c:v>
                </c:pt>
                <c:pt idx="1223">
                  <c:v>0.975782298708665</c:v>
                </c:pt>
                <c:pt idx="1224">
                  <c:v>0.975831384133956</c:v>
                </c:pt>
                <c:pt idx="1225">
                  <c:v>0.975880383594131</c:v>
                </c:pt>
                <c:pt idx="1226">
                  <c:v>0.975929276746299</c:v>
                </c:pt>
                <c:pt idx="1227">
                  <c:v>0.975977754509774</c:v>
                </c:pt>
                <c:pt idx="1228">
                  <c:v>0.976026207336803</c:v>
                </c:pt>
                <c:pt idx="1229">
                  <c:v>0.976074505295379</c:v>
                </c:pt>
                <c:pt idx="1230">
                  <c:v>0.976122483673712</c:v>
                </c:pt>
                <c:pt idx="1231">
                  <c:v>0.976170387898929</c:v>
                </c:pt>
                <c:pt idx="1232">
                  <c:v>0.97621822650192</c:v>
                </c:pt>
                <c:pt idx="1233">
                  <c:v>0.976265999482684</c:v>
                </c:pt>
                <c:pt idx="1234">
                  <c:v>0.976313641218996</c:v>
                </c:pt>
                <c:pt idx="1235">
                  <c:v>0.976361217333082</c:v>
                </c:pt>
                <c:pt idx="1236">
                  <c:v>0.976408575581376</c:v>
                </c:pt>
                <c:pt idx="1237">
                  <c:v>0.97645582358433</c:v>
                </c:pt>
                <c:pt idx="1238">
                  <c:v>0.976502730351707</c:v>
                </c:pt>
                <c:pt idx="1239">
                  <c:v>0.976549518999077</c:v>
                </c:pt>
                <c:pt idx="1240">
                  <c:v>0.976596294522001</c:v>
                </c:pt>
                <c:pt idx="1241">
                  <c:v>0.976643041827368</c:v>
                </c:pt>
                <c:pt idx="1242">
                  <c:v>0.976689598172057</c:v>
                </c:pt>
                <c:pt idx="1243">
                  <c:v>0.976736146642078</c:v>
                </c:pt>
                <c:pt idx="1244">
                  <c:v>0.976782351251634</c:v>
                </c:pt>
                <c:pt idx="1245">
                  <c:v>0.976828412148513</c:v>
                </c:pt>
                <c:pt idx="1246">
                  <c:v>0.976874472389171</c:v>
                </c:pt>
                <c:pt idx="1247">
                  <c:v>0.97692050113116</c:v>
                </c:pt>
                <c:pt idx="1248">
                  <c:v>0.976966305445135</c:v>
                </c:pt>
                <c:pt idx="1249">
                  <c:v>0.977012048730439</c:v>
                </c:pt>
                <c:pt idx="1250">
                  <c:v>0.977057755923519</c:v>
                </c:pt>
                <c:pt idx="1251">
                  <c:v>0.977103428993041</c:v>
                </c:pt>
                <c:pt idx="1252">
                  <c:v>0.977148970818111</c:v>
                </c:pt>
                <c:pt idx="1253">
                  <c:v>0.977194489019179</c:v>
                </c:pt>
                <c:pt idx="1254">
                  <c:v>0.977239965222022</c:v>
                </c:pt>
                <c:pt idx="1255">
                  <c:v>0.977285244558186</c:v>
                </c:pt>
                <c:pt idx="1256">
                  <c:v>0.97733052389435</c:v>
                </c:pt>
                <c:pt idx="1257">
                  <c:v>0.977375803230515</c:v>
                </c:pt>
                <c:pt idx="1258">
                  <c:v>0.977420946072448</c:v>
                </c:pt>
                <c:pt idx="1259">
                  <c:v>0.977465831675254</c:v>
                </c:pt>
                <c:pt idx="1260">
                  <c:v>0.977510545347828</c:v>
                </c:pt>
                <c:pt idx="1261">
                  <c:v>0.977555168461729</c:v>
                </c:pt>
                <c:pt idx="1262">
                  <c:v>0.97759979157563</c:v>
                </c:pt>
                <c:pt idx="1263">
                  <c:v>0.97764441468953</c:v>
                </c:pt>
                <c:pt idx="1264">
                  <c:v>0.977689037803431</c:v>
                </c:pt>
                <c:pt idx="1265">
                  <c:v>0.977733509986212</c:v>
                </c:pt>
                <c:pt idx="1266">
                  <c:v>0.977777804988981</c:v>
                </c:pt>
                <c:pt idx="1267">
                  <c:v>0.977822093429528</c:v>
                </c:pt>
                <c:pt idx="1268">
                  <c:v>0.977866339215628</c:v>
                </c:pt>
                <c:pt idx="1269">
                  <c:v>0.977910568596171</c:v>
                </c:pt>
                <c:pt idx="1270">
                  <c:v>0.977954666732261</c:v>
                </c:pt>
                <c:pt idx="1271">
                  <c:v>0.977998581126118</c:v>
                </c:pt>
                <c:pt idx="1272">
                  <c:v>0.978042471895973</c:v>
                </c:pt>
                <c:pt idx="1273">
                  <c:v>0.978086283919157</c:v>
                </c:pt>
                <c:pt idx="1274">
                  <c:v>0.978130027695225</c:v>
                </c:pt>
                <c:pt idx="1275">
                  <c:v>0.978173666475731</c:v>
                </c:pt>
                <c:pt idx="1276">
                  <c:v>0.978217224540899</c:v>
                </c:pt>
                <c:pt idx="1277">
                  <c:v>0.978260700578283</c:v>
                </c:pt>
                <c:pt idx="1278">
                  <c:v>0.978304063745439</c:v>
                </c:pt>
                <c:pt idx="1279">
                  <c:v>0.978347374414814</c:v>
                </c:pt>
                <c:pt idx="1280">
                  <c:v>0.978390685084188</c:v>
                </c:pt>
                <c:pt idx="1281">
                  <c:v>0.978433812011329</c:v>
                </c:pt>
                <c:pt idx="1282">
                  <c:v>0.978476794569572</c:v>
                </c:pt>
                <c:pt idx="1283">
                  <c:v>0.978519580261136</c:v>
                </c:pt>
                <c:pt idx="1284">
                  <c:v>0.978562355453143</c:v>
                </c:pt>
                <c:pt idx="1285">
                  <c:v>0.978604941653139</c:v>
                </c:pt>
                <c:pt idx="1286">
                  <c:v>0.978647290956898</c:v>
                </c:pt>
                <c:pt idx="1287">
                  <c:v>0.978689551670651</c:v>
                </c:pt>
                <c:pt idx="1288">
                  <c:v>0.978731804509737</c:v>
                </c:pt>
                <c:pt idx="1289">
                  <c:v>0.978774032412377</c:v>
                </c:pt>
                <c:pt idx="1290">
                  <c:v>0.978816217004348</c:v>
                </c:pt>
                <c:pt idx="1291">
                  <c:v>0.978858350410982</c:v>
                </c:pt>
                <c:pt idx="1292">
                  <c:v>0.978900164893596</c:v>
                </c:pt>
                <c:pt idx="1293">
                  <c:v>0.978941900629539</c:v>
                </c:pt>
                <c:pt idx="1294">
                  <c:v>0.978983566805922</c:v>
                </c:pt>
                <c:pt idx="1295">
                  <c:v>0.979025204108525</c:v>
                </c:pt>
                <c:pt idx="1296">
                  <c:v>0.979066834848906</c:v>
                </c:pt>
                <c:pt idx="1297">
                  <c:v>0.979108340907056</c:v>
                </c:pt>
                <c:pt idx="1298">
                  <c:v>0.979149814154094</c:v>
                </c:pt>
                <c:pt idx="1299">
                  <c:v>0.979191097096675</c:v>
                </c:pt>
                <c:pt idx="1300">
                  <c:v>0.979232320979252</c:v>
                </c:pt>
                <c:pt idx="1301">
                  <c:v>0.979273492364048</c:v>
                </c:pt>
                <c:pt idx="1302">
                  <c:v>0.979314637499954</c:v>
                </c:pt>
                <c:pt idx="1303">
                  <c:v>0.979355772792526</c:v>
                </c:pt>
                <c:pt idx="1304">
                  <c:v>0.979396786683979</c:v>
                </c:pt>
                <c:pt idx="1305">
                  <c:v>0.979437734953206</c:v>
                </c:pt>
                <c:pt idx="1306">
                  <c:v>0.979478683222432</c:v>
                </c:pt>
                <c:pt idx="1307">
                  <c:v>0.979519631491659</c:v>
                </c:pt>
                <c:pt idx="1308">
                  <c:v>0.97956054038755</c:v>
                </c:pt>
                <c:pt idx="1309">
                  <c:v>0.979601449283441</c:v>
                </c:pt>
                <c:pt idx="1310">
                  <c:v>0.9796421980611</c:v>
                </c:pt>
                <c:pt idx="1311">
                  <c:v>0.979682883841421</c:v>
                </c:pt>
                <c:pt idx="1312">
                  <c:v>0.979723323538394</c:v>
                </c:pt>
                <c:pt idx="1313">
                  <c:v>0.979763681207584</c:v>
                </c:pt>
                <c:pt idx="1314">
                  <c:v>0.979803973254548</c:v>
                </c:pt>
                <c:pt idx="1315">
                  <c:v>0.979844231834176</c:v>
                </c:pt>
                <c:pt idx="1316">
                  <c:v>0.979884435947356</c:v>
                </c:pt>
                <c:pt idx="1317">
                  <c:v>0.979924625623647</c:v>
                </c:pt>
                <c:pt idx="1318">
                  <c:v>0.979964786426157</c:v>
                </c:pt>
                <c:pt idx="1319">
                  <c:v>0.980004935416668</c:v>
                </c:pt>
                <c:pt idx="1320">
                  <c:v>0.980044997785839</c:v>
                </c:pt>
                <c:pt idx="1321">
                  <c:v>0.980084896099445</c:v>
                </c:pt>
                <c:pt idx="1322">
                  <c:v>0.980124791788161</c:v>
                </c:pt>
                <c:pt idx="1323">
                  <c:v>0.980164657290654</c:v>
                </c:pt>
                <c:pt idx="1324">
                  <c:v>0.980204495920844</c:v>
                </c:pt>
                <c:pt idx="1325">
                  <c:v>0.980244308925556</c:v>
                </c:pt>
                <c:pt idx="1326">
                  <c:v>0.980284089119154</c:v>
                </c:pt>
                <c:pt idx="1327">
                  <c:v>0.980323761692301</c:v>
                </c:pt>
                <c:pt idx="1328">
                  <c:v>0.980363424422114</c:v>
                </c:pt>
                <c:pt idx="1329">
                  <c:v>0.980403060246814</c:v>
                </c:pt>
                <c:pt idx="1330">
                  <c:v>0.980442630449288</c:v>
                </c:pt>
                <c:pt idx="1331">
                  <c:v>0.980482135029536</c:v>
                </c:pt>
                <c:pt idx="1332">
                  <c:v>0.980521587112002</c:v>
                </c:pt>
                <c:pt idx="1333">
                  <c:v>0.980560960447797</c:v>
                </c:pt>
                <c:pt idx="1334">
                  <c:v>0.980600333783592</c:v>
                </c:pt>
                <c:pt idx="1335">
                  <c:v>0.980639707119387</c:v>
                </c:pt>
                <c:pt idx="1336">
                  <c:v>0.980679080455182</c:v>
                </c:pt>
                <c:pt idx="1337">
                  <c:v>0.980718438041643</c:v>
                </c:pt>
                <c:pt idx="1338">
                  <c:v>0.980757680132985</c:v>
                </c:pt>
                <c:pt idx="1339">
                  <c:v>0.980796790979875</c:v>
                </c:pt>
                <c:pt idx="1340">
                  <c:v>0.980835873609207</c:v>
                </c:pt>
                <c:pt idx="1341">
                  <c:v>0.980874867648534</c:v>
                </c:pt>
                <c:pt idx="1342">
                  <c:v>0.980913847907193</c:v>
                </c:pt>
                <c:pt idx="1343">
                  <c:v>0.98095282750963</c:v>
                </c:pt>
                <c:pt idx="1344">
                  <c:v>0.980991715240951</c:v>
                </c:pt>
                <c:pt idx="1345">
                  <c:v>0.981030563598935</c:v>
                </c:pt>
                <c:pt idx="1346">
                  <c:v>0.981069350272027</c:v>
                </c:pt>
                <c:pt idx="1347">
                  <c:v>0.981108133007785</c:v>
                </c:pt>
                <c:pt idx="1348">
                  <c:v>0.981146771374645</c:v>
                </c:pt>
                <c:pt idx="1349">
                  <c:v>0.981185357243724</c:v>
                </c:pt>
                <c:pt idx="1350">
                  <c:v>0.981223795462794</c:v>
                </c:pt>
                <c:pt idx="1351">
                  <c:v>0.981262233025642</c:v>
                </c:pt>
                <c:pt idx="1352">
                  <c:v>0.981300554437149</c:v>
                </c:pt>
                <c:pt idx="1353">
                  <c:v>0.981338875848655</c:v>
                </c:pt>
                <c:pt idx="1354">
                  <c:v>0.981377197260162</c:v>
                </c:pt>
                <c:pt idx="1355">
                  <c:v>0.981415511453225</c:v>
                </c:pt>
                <c:pt idx="1356">
                  <c:v>0.981453572344493</c:v>
                </c:pt>
                <c:pt idx="1357">
                  <c:v>0.981491633235761</c:v>
                </c:pt>
                <c:pt idx="1358">
                  <c:v>0.98152969412703</c:v>
                </c:pt>
                <c:pt idx="1359">
                  <c:v>0.981567501716505</c:v>
                </c:pt>
                <c:pt idx="1360">
                  <c:v>0.981605300118868</c:v>
                </c:pt>
                <c:pt idx="1361">
                  <c:v>0.981643098521231</c:v>
                </c:pt>
                <c:pt idx="1362">
                  <c:v>0.981680896923594</c:v>
                </c:pt>
                <c:pt idx="1363">
                  <c:v>0.981718629703731</c:v>
                </c:pt>
                <c:pt idx="1364">
                  <c:v>0.981756339516089</c:v>
                </c:pt>
                <c:pt idx="1365">
                  <c:v>0.981793881991769</c:v>
                </c:pt>
                <c:pt idx="1366">
                  <c:v>0.98183136081389</c:v>
                </c:pt>
                <c:pt idx="1367">
                  <c:v>0.981868765482896</c:v>
                </c:pt>
                <c:pt idx="1368">
                  <c:v>0.981906136028343</c:v>
                </c:pt>
                <c:pt idx="1369">
                  <c:v>0.981943465336784</c:v>
                </c:pt>
                <c:pt idx="1370">
                  <c:v>0.981980787978006</c:v>
                </c:pt>
                <c:pt idx="1371">
                  <c:v>0.982018061402559</c:v>
                </c:pt>
                <c:pt idx="1372">
                  <c:v>0.982055210144881</c:v>
                </c:pt>
                <c:pt idx="1373">
                  <c:v>0.982092352324981</c:v>
                </c:pt>
                <c:pt idx="1374">
                  <c:v>0.982129494505081</c:v>
                </c:pt>
                <c:pt idx="1375">
                  <c:v>0.982166410944723</c:v>
                </c:pt>
                <c:pt idx="1376">
                  <c:v>0.982203215826579</c:v>
                </c:pt>
                <c:pt idx="1377">
                  <c:v>0.982239964273321</c:v>
                </c:pt>
                <c:pt idx="1378">
                  <c:v>0.982276712720063</c:v>
                </c:pt>
                <c:pt idx="1379">
                  <c:v>0.982313461166805</c:v>
                </c:pt>
                <c:pt idx="1380">
                  <c:v>0.982350209613547</c:v>
                </c:pt>
                <c:pt idx="1381">
                  <c:v>0.982386892438063</c:v>
                </c:pt>
                <c:pt idx="1382">
                  <c:v>0.98242352932702</c:v>
                </c:pt>
                <c:pt idx="1383">
                  <c:v>0.982460029721746</c:v>
                </c:pt>
                <c:pt idx="1384">
                  <c:v>0.98249648286847</c:v>
                </c:pt>
                <c:pt idx="1385">
                  <c:v>0.982532758835182</c:v>
                </c:pt>
                <c:pt idx="1386">
                  <c:v>0.982568982304114</c:v>
                </c:pt>
                <c:pt idx="1387">
                  <c:v>0.982605205773045</c:v>
                </c:pt>
                <c:pt idx="1388">
                  <c:v>0.982641395118419</c:v>
                </c:pt>
                <c:pt idx="1389">
                  <c:v>0.982677487342898</c:v>
                </c:pt>
                <c:pt idx="1390">
                  <c:v>0.982713579567376</c:v>
                </c:pt>
                <c:pt idx="1391">
                  <c:v>0.982749671791855</c:v>
                </c:pt>
                <c:pt idx="1392">
                  <c:v>0.982785764016334</c:v>
                </c:pt>
                <c:pt idx="1393">
                  <c:v>0.982821717121693</c:v>
                </c:pt>
                <c:pt idx="1394">
                  <c:v>0.982857546857266</c:v>
                </c:pt>
                <c:pt idx="1395">
                  <c:v>0.982893335815188</c:v>
                </c:pt>
                <c:pt idx="1396">
                  <c:v>0.982929099928535</c:v>
                </c:pt>
                <c:pt idx="1397">
                  <c:v>0.982964798419656</c:v>
                </c:pt>
                <c:pt idx="1398">
                  <c:v>0.983000496910777</c:v>
                </c:pt>
                <c:pt idx="1399">
                  <c:v>0.983035932912993</c:v>
                </c:pt>
                <c:pt idx="1400">
                  <c:v>0.983071368915208</c:v>
                </c:pt>
                <c:pt idx="1401">
                  <c:v>0.983106739295197</c:v>
                </c:pt>
                <c:pt idx="1402">
                  <c:v>0.983142108362742</c:v>
                </c:pt>
                <c:pt idx="1403">
                  <c:v>0.983177432807173</c:v>
                </c:pt>
                <c:pt idx="1404">
                  <c:v>0.983212606320483</c:v>
                </c:pt>
                <c:pt idx="1405">
                  <c:v>0.983247779833793</c:v>
                </c:pt>
                <c:pt idx="1406">
                  <c:v>0.98328292053599</c:v>
                </c:pt>
                <c:pt idx="1407">
                  <c:v>0.983318052051075</c:v>
                </c:pt>
                <c:pt idx="1408">
                  <c:v>0.983353170441715</c:v>
                </c:pt>
                <c:pt idx="1409">
                  <c:v>0.983388206804573</c:v>
                </c:pt>
                <c:pt idx="1410">
                  <c:v>0.983423093548754</c:v>
                </c:pt>
                <c:pt idx="1411">
                  <c:v>0.983457906139819</c:v>
                </c:pt>
                <c:pt idx="1412">
                  <c:v>0.98349240702531</c:v>
                </c:pt>
                <c:pt idx="1413">
                  <c:v>0.983526905942133</c:v>
                </c:pt>
                <c:pt idx="1414">
                  <c:v>0.983561357610954</c:v>
                </c:pt>
                <c:pt idx="1415">
                  <c:v>0.983595809279774</c:v>
                </c:pt>
                <c:pt idx="1416">
                  <c:v>0.983630260948595</c:v>
                </c:pt>
                <c:pt idx="1417">
                  <c:v>0.983664631902077</c:v>
                </c:pt>
                <c:pt idx="1418">
                  <c:v>0.983698985137559</c:v>
                </c:pt>
                <c:pt idx="1419">
                  <c:v>0.983733308843038</c:v>
                </c:pt>
                <c:pt idx="1420">
                  <c:v>0.983767603018515</c:v>
                </c:pt>
                <c:pt idx="1421">
                  <c:v>0.983801726576204</c:v>
                </c:pt>
                <c:pt idx="1422">
                  <c:v>0.983835700515217</c:v>
                </c:pt>
                <c:pt idx="1423">
                  <c:v>0.983869561584001</c:v>
                </c:pt>
                <c:pt idx="1424">
                  <c:v>0.983903422652784</c:v>
                </c:pt>
                <c:pt idx="1425">
                  <c:v>0.983937198412674</c:v>
                </c:pt>
                <c:pt idx="1426">
                  <c:v>0.983970967610341</c:v>
                </c:pt>
                <c:pt idx="1427">
                  <c:v>0.984004723683562</c:v>
                </c:pt>
                <c:pt idx="1428">
                  <c:v>0.984038381323444</c:v>
                </c:pt>
                <c:pt idx="1429">
                  <c:v>0.984071979903323</c:v>
                </c:pt>
                <c:pt idx="1430">
                  <c:v>0.984105578483201</c:v>
                </c:pt>
                <c:pt idx="1431">
                  <c:v>0.98413917706308</c:v>
                </c:pt>
                <c:pt idx="1432">
                  <c:v>0.984172746769178</c:v>
                </c:pt>
                <c:pt idx="1433">
                  <c:v>0.984206302038387</c:v>
                </c:pt>
                <c:pt idx="1434">
                  <c:v>0.98423976543648</c:v>
                </c:pt>
                <c:pt idx="1435">
                  <c:v>0.984273146150567</c:v>
                </c:pt>
                <c:pt idx="1436">
                  <c:v>0.984306455992649</c:v>
                </c:pt>
                <c:pt idx="1437">
                  <c:v>0.984339760584954</c:v>
                </c:pt>
                <c:pt idx="1438">
                  <c:v>0.9843730310537</c:v>
                </c:pt>
                <c:pt idx="1439">
                  <c:v>0.984406192589551</c:v>
                </c:pt>
                <c:pt idx="1440">
                  <c:v>0.984439266191619</c:v>
                </c:pt>
                <c:pt idx="1441">
                  <c:v>0.984472300420351</c:v>
                </c:pt>
                <c:pt idx="1442">
                  <c:v>0.984505326774416</c:v>
                </c:pt>
                <c:pt idx="1443">
                  <c:v>0.984538321629812</c:v>
                </c:pt>
                <c:pt idx="1444">
                  <c:v>0.984571315172764</c:v>
                </c:pt>
                <c:pt idx="1445">
                  <c:v>0.984604304778382</c:v>
                </c:pt>
                <c:pt idx="1446">
                  <c:v>0.984637255666887</c:v>
                </c:pt>
                <c:pt idx="1447">
                  <c:v>0.984670161932277</c:v>
                </c:pt>
                <c:pt idx="1448">
                  <c:v>0.984703045229889</c:v>
                </c:pt>
                <c:pt idx="1449">
                  <c:v>0.984735790720825</c:v>
                </c:pt>
                <c:pt idx="1450">
                  <c:v>0.984768533586872</c:v>
                </c:pt>
                <c:pt idx="1451">
                  <c:v>0.984801231829805</c:v>
                </c:pt>
                <c:pt idx="1452">
                  <c:v>0.984833901855181</c:v>
                </c:pt>
                <c:pt idx="1453">
                  <c:v>0.984866543663</c:v>
                </c:pt>
                <c:pt idx="1454">
                  <c:v>0.984899157909483</c:v>
                </c:pt>
                <c:pt idx="1455">
                  <c:v>0.98493172950152</c:v>
                </c:pt>
                <c:pt idx="1456">
                  <c:v>0.98496421250355</c:v>
                </c:pt>
                <c:pt idx="1457">
                  <c:v>0.984996623321132</c:v>
                </c:pt>
                <c:pt idx="1458">
                  <c:v>0.985029011827157</c:v>
                </c:pt>
                <c:pt idx="1459">
                  <c:v>0.985061387208737</c:v>
                </c:pt>
                <c:pt idx="1460">
                  <c:v>0.985093738966315</c:v>
                </c:pt>
                <c:pt idx="1461">
                  <c:v>0.985126034945001</c:v>
                </c:pt>
                <c:pt idx="1462">
                  <c:v>0.985158330923687</c:v>
                </c:pt>
                <c:pt idx="1463">
                  <c:v>0.985190626902373</c:v>
                </c:pt>
                <c:pt idx="1464">
                  <c:v>0.985222909756613</c:v>
                </c:pt>
                <c:pt idx="1465">
                  <c:v>0.985255169643075</c:v>
                </c:pt>
                <c:pt idx="1466">
                  <c:v>0.985287324533974</c:v>
                </c:pt>
                <c:pt idx="1467">
                  <c:v>0.98531944070776</c:v>
                </c:pt>
                <c:pt idx="1468">
                  <c:v>0.985351464354206</c:v>
                </c:pt>
                <c:pt idx="1469">
                  <c:v>0.985383437471538</c:v>
                </c:pt>
                <c:pt idx="1470">
                  <c:v>0.98541539877687</c:v>
                </c:pt>
                <c:pt idx="1471">
                  <c:v>0.985447159934411</c:v>
                </c:pt>
                <c:pt idx="1472">
                  <c:v>0.985478658603047</c:v>
                </c:pt>
                <c:pt idx="1473">
                  <c:v>0.985510157271683</c:v>
                </c:pt>
                <c:pt idx="1474">
                  <c:v>0.985541655940319</c:v>
                </c:pt>
                <c:pt idx="1475">
                  <c:v>0.985573154608955</c:v>
                </c:pt>
                <c:pt idx="1476">
                  <c:v>0.985604653277591</c:v>
                </c:pt>
                <c:pt idx="1477">
                  <c:v>0.985636151946227</c:v>
                </c:pt>
                <c:pt idx="1478">
                  <c:v>0.985667650614863</c:v>
                </c:pt>
                <c:pt idx="1479">
                  <c:v>0.985699042411141</c:v>
                </c:pt>
                <c:pt idx="1480">
                  <c:v>0.985730362193588</c:v>
                </c:pt>
                <c:pt idx="1481">
                  <c:v>0.985761667932879</c:v>
                </c:pt>
                <c:pt idx="1482">
                  <c:v>0.985792904112609</c:v>
                </c:pt>
                <c:pt idx="1483">
                  <c:v>0.98582414029234</c:v>
                </c:pt>
                <c:pt idx="1484">
                  <c:v>0.985855376472071</c:v>
                </c:pt>
                <c:pt idx="1485">
                  <c:v>0.98588656015402</c:v>
                </c:pt>
                <c:pt idx="1486">
                  <c:v>0.98591746822262</c:v>
                </c:pt>
                <c:pt idx="1487">
                  <c:v>0.985948294919658</c:v>
                </c:pt>
                <c:pt idx="1488">
                  <c:v>0.985979105867362</c:v>
                </c:pt>
                <c:pt idx="1489">
                  <c:v>0.986009840037061</c:v>
                </c:pt>
                <c:pt idx="1490">
                  <c:v>0.986040465273865</c:v>
                </c:pt>
                <c:pt idx="1491">
                  <c:v>0.986070991421107</c:v>
                </c:pt>
                <c:pt idx="1492">
                  <c:v>0.986101509037459</c:v>
                </c:pt>
                <c:pt idx="1493">
                  <c:v>0.986131957750474</c:v>
                </c:pt>
                <c:pt idx="1494">
                  <c:v>0.986162389270466</c:v>
                </c:pt>
                <c:pt idx="1495">
                  <c:v>0.986192796641478</c:v>
                </c:pt>
                <c:pt idx="1496">
                  <c:v>0.9862231540871</c:v>
                </c:pt>
                <c:pt idx="1497">
                  <c:v>0.98625342430766</c:v>
                </c:pt>
                <c:pt idx="1498">
                  <c:v>0.9862835672211</c:v>
                </c:pt>
                <c:pt idx="1499">
                  <c:v>0.986313566421864</c:v>
                </c:pt>
                <c:pt idx="1500">
                  <c:v>0.986343529530404</c:v>
                </c:pt>
                <c:pt idx="1501">
                  <c:v>0.986373453265608</c:v>
                </c:pt>
                <c:pt idx="1502">
                  <c:v>0.986403377000812</c:v>
                </c:pt>
                <c:pt idx="1503">
                  <c:v>0.986433300736017</c:v>
                </c:pt>
                <c:pt idx="1504">
                  <c:v>0.98646317197344</c:v>
                </c:pt>
                <c:pt idx="1505">
                  <c:v>0.986492964464191</c:v>
                </c:pt>
                <c:pt idx="1506">
                  <c:v>0.986522648592961</c:v>
                </c:pt>
                <c:pt idx="1507">
                  <c:v>0.986552178594807</c:v>
                </c:pt>
                <c:pt idx="1508">
                  <c:v>0.986581642974427</c:v>
                </c:pt>
                <c:pt idx="1509">
                  <c:v>0.986611056772435</c:v>
                </c:pt>
                <c:pt idx="1510">
                  <c:v>0.986640455529828</c:v>
                </c:pt>
                <c:pt idx="1511">
                  <c:v>0.986669788664995</c:v>
                </c:pt>
                <c:pt idx="1512">
                  <c:v>0.986699035178824</c:v>
                </c:pt>
                <c:pt idx="1513">
                  <c:v>0.986728218695315</c:v>
                </c:pt>
                <c:pt idx="1514">
                  <c:v>0.986757354963804</c:v>
                </c:pt>
                <c:pt idx="1515">
                  <c:v>0.986786491232292</c:v>
                </c:pt>
                <c:pt idx="1516">
                  <c:v>0.98681562750078</c:v>
                </c:pt>
                <c:pt idx="1517">
                  <c:v>0.98684456690259</c:v>
                </c:pt>
                <c:pt idx="1518">
                  <c:v>0.986873440682173</c:v>
                </c:pt>
                <c:pt idx="1519">
                  <c:v>0.986902314461756</c:v>
                </c:pt>
                <c:pt idx="1520">
                  <c:v>0.986931188241338</c:v>
                </c:pt>
                <c:pt idx="1521">
                  <c:v>0.986960062020921</c:v>
                </c:pt>
                <c:pt idx="1522">
                  <c:v>0.986988935800504</c:v>
                </c:pt>
                <c:pt idx="1523">
                  <c:v>0.987017796455642</c:v>
                </c:pt>
                <c:pt idx="1524">
                  <c:v>0.987046633486778</c:v>
                </c:pt>
                <c:pt idx="1525">
                  <c:v>0.98707541638614</c:v>
                </c:pt>
                <c:pt idx="1526">
                  <c:v>0.98710418188905</c:v>
                </c:pt>
                <c:pt idx="1527">
                  <c:v>0.987132850271064</c:v>
                </c:pt>
                <c:pt idx="1528">
                  <c:v>0.987161491747966</c:v>
                </c:pt>
                <c:pt idx="1529">
                  <c:v>0.987190037416417</c:v>
                </c:pt>
                <c:pt idx="1530">
                  <c:v>0.987218583084869</c:v>
                </c:pt>
                <c:pt idx="1531">
                  <c:v>0.987247050006648</c:v>
                </c:pt>
                <c:pt idx="1532">
                  <c:v>0.987275464430647</c:v>
                </c:pt>
                <c:pt idx="1533">
                  <c:v>0.987303813232419</c:v>
                </c:pt>
                <c:pt idx="1534">
                  <c:v>0.987331986166625</c:v>
                </c:pt>
                <c:pt idx="1535">
                  <c:v>0.987360158444609</c:v>
                </c:pt>
                <c:pt idx="1536">
                  <c:v>0.987388247382365</c:v>
                </c:pt>
                <c:pt idx="1537">
                  <c:v>0.987416317289676</c:v>
                </c:pt>
                <c:pt idx="1538">
                  <c:v>0.987444342495126</c:v>
                </c:pt>
                <c:pt idx="1539">
                  <c:v>0.987472334968209</c:v>
                </c:pt>
                <c:pt idx="1540">
                  <c:v>0.987500267725067</c:v>
                </c:pt>
                <c:pt idx="1541">
                  <c:v>0.987528130922364</c:v>
                </c:pt>
                <c:pt idx="1542">
                  <c:v>0.987555910123212</c:v>
                </c:pt>
                <c:pt idx="1543">
                  <c:v>0.987583668324948</c:v>
                </c:pt>
                <c:pt idx="1544">
                  <c:v>0.987611426526683</c:v>
                </c:pt>
                <c:pt idx="1545">
                  <c:v>0.987639145355083</c:v>
                </c:pt>
                <c:pt idx="1546">
                  <c:v>0.987666824810147</c:v>
                </c:pt>
                <c:pt idx="1547">
                  <c:v>0.987694386145203</c:v>
                </c:pt>
                <c:pt idx="1548">
                  <c:v>0.98772194748026</c:v>
                </c:pt>
                <c:pt idx="1549">
                  <c:v>0.987749413663088</c:v>
                </c:pt>
                <c:pt idx="1550">
                  <c:v>0.987776870002582</c:v>
                </c:pt>
                <c:pt idx="1551">
                  <c:v>0.987804313217631</c:v>
                </c:pt>
                <c:pt idx="1552">
                  <c:v>0.987831743308235</c:v>
                </c:pt>
                <c:pt idx="1553">
                  <c:v>0.987859125494614</c:v>
                </c:pt>
                <c:pt idx="1554">
                  <c:v>0.98788646633899</c:v>
                </c:pt>
                <c:pt idx="1555">
                  <c:v>0.987913665439357</c:v>
                </c:pt>
                <c:pt idx="1556">
                  <c:v>0.987940730670383</c:v>
                </c:pt>
                <c:pt idx="1557">
                  <c:v>0.987967780152074</c:v>
                </c:pt>
                <c:pt idx="1558">
                  <c:v>0.987994678702644</c:v>
                </c:pt>
                <c:pt idx="1559">
                  <c:v>0.988021549035658</c:v>
                </c:pt>
                <c:pt idx="1560">
                  <c:v>0.988048388526225</c:v>
                </c:pt>
                <c:pt idx="1561">
                  <c:v>0.988075162394565</c:v>
                </c:pt>
                <c:pt idx="1562">
                  <c:v>0.988101936262906</c:v>
                </c:pt>
                <c:pt idx="1563">
                  <c:v>0.988128710131246</c:v>
                </c:pt>
                <c:pt idx="1564">
                  <c:v>0.988155480770973</c:v>
                </c:pt>
                <c:pt idx="1565">
                  <c:v>0.988182251358203</c:v>
                </c:pt>
                <c:pt idx="1566">
                  <c:v>0.988208893982091</c:v>
                </c:pt>
                <c:pt idx="1567">
                  <c:v>0.988235536605979</c:v>
                </c:pt>
                <c:pt idx="1568">
                  <c:v>0.988262179229867</c:v>
                </c:pt>
                <c:pt idx="1569">
                  <c:v>0.988288803479531</c:v>
                </c:pt>
                <c:pt idx="1570">
                  <c:v>0.988315406730083</c:v>
                </c:pt>
                <c:pt idx="1571">
                  <c:v>0.988341983731745</c:v>
                </c:pt>
                <c:pt idx="1572">
                  <c:v>0.988368363866728</c:v>
                </c:pt>
                <c:pt idx="1573">
                  <c:v>0.988394711190597</c:v>
                </c:pt>
                <c:pt idx="1574">
                  <c:v>0.988421025703353</c:v>
                </c:pt>
                <c:pt idx="1575">
                  <c:v>0.988447307404997</c:v>
                </c:pt>
                <c:pt idx="1576">
                  <c:v>0.988473556295527</c:v>
                </c:pt>
                <c:pt idx="1577">
                  <c:v>0.988499798623834</c:v>
                </c:pt>
                <c:pt idx="1578">
                  <c:v>0.988526035046141</c:v>
                </c:pt>
                <c:pt idx="1579">
                  <c:v>0.988552218314445</c:v>
                </c:pt>
                <c:pt idx="1580">
                  <c:v>0.988578335960522</c:v>
                </c:pt>
                <c:pt idx="1581">
                  <c:v>0.988604387984373</c:v>
                </c:pt>
                <c:pt idx="1582">
                  <c:v>0.988630390791554</c:v>
                </c:pt>
                <c:pt idx="1583">
                  <c:v>0.988656377193179</c:v>
                </c:pt>
                <c:pt idx="1584">
                  <c:v>0.9886823045348</c:v>
                </c:pt>
                <c:pt idx="1585">
                  <c:v>0.988708204315086</c:v>
                </c:pt>
                <c:pt idx="1586">
                  <c:v>0.988734051597591</c:v>
                </c:pt>
                <c:pt idx="1587">
                  <c:v>0.988759841132536</c:v>
                </c:pt>
                <c:pt idx="1588">
                  <c:v>0.988785565045256</c:v>
                </c:pt>
                <c:pt idx="1589">
                  <c:v>0.988811234491527</c:v>
                </c:pt>
                <c:pt idx="1590">
                  <c:v>0.988836827159794</c:v>
                </c:pt>
                <c:pt idx="1591">
                  <c:v>0.988862419828061</c:v>
                </c:pt>
                <c:pt idx="1592">
                  <c:v>0.988888012496328</c:v>
                </c:pt>
                <c:pt idx="1593">
                  <c:v>0.988913605164594</c:v>
                </c:pt>
                <c:pt idx="1594">
                  <c:v>0.988939197832861</c:v>
                </c:pt>
                <c:pt idx="1595">
                  <c:v>0.988964790501128</c:v>
                </c:pt>
                <c:pt idx="1596">
                  <c:v>0.988990317547168</c:v>
                </c:pt>
                <c:pt idx="1597">
                  <c:v>0.98901584196832</c:v>
                </c:pt>
                <c:pt idx="1598">
                  <c:v>0.989041332265913</c:v>
                </c:pt>
                <c:pt idx="1599">
                  <c:v>0.989066793689727</c:v>
                </c:pt>
                <c:pt idx="1600">
                  <c:v>0.98909219759566</c:v>
                </c:pt>
                <c:pt idx="1601">
                  <c:v>0.989117543524356</c:v>
                </c:pt>
                <c:pt idx="1602">
                  <c:v>0.989142873703717</c:v>
                </c:pt>
                <c:pt idx="1603">
                  <c:v>0.989168072638626</c:v>
                </c:pt>
                <c:pt idx="1604">
                  <c:v>0.989193232200199</c:v>
                </c:pt>
                <c:pt idx="1605">
                  <c:v>0.989218271016876</c:v>
                </c:pt>
                <c:pt idx="1606">
                  <c:v>0.989243305896219</c:v>
                </c:pt>
                <c:pt idx="1607">
                  <c:v>0.989268339463117</c:v>
                </c:pt>
                <c:pt idx="1608">
                  <c:v>0.989293275909121</c:v>
                </c:pt>
                <c:pt idx="1609">
                  <c:v>0.989318212355124</c:v>
                </c:pt>
                <c:pt idx="1610">
                  <c:v>0.989343148801128</c:v>
                </c:pt>
                <c:pt idx="1611">
                  <c:v>0.989367839163783</c:v>
                </c:pt>
                <c:pt idx="1612">
                  <c:v>0.989392517058214</c:v>
                </c:pt>
                <c:pt idx="1613">
                  <c:v>0.989417125393086</c:v>
                </c:pt>
                <c:pt idx="1614">
                  <c:v>0.989441729134402</c:v>
                </c:pt>
                <c:pt idx="1615">
                  <c:v>0.989466304658161</c:v>
                </c:pt>
                <c:pt idx="1616">
                  <c:v>0.98949078174858</c:v>
                </c:pt>
                <c:pt idx="1617">
                  <c:v>0.989515180092328</c:v>
                </c:pt>
                <c:pt idx="1618">
                  <c:v>0.989539520688516</c:v>
                </c:pt>
                <c:pt idx="1619">
                  <c:v>0.989563852097593</c:v>
                </c:pt>
                <c:pt idx="1620">
                  <c:v>0.989588134946222</c:v>
                </c:pt>
                <c:pt idx="1621">
                  <c:v>0.989612415169963</c:v>
                </c:pt>
                <c:pt idx="1622">
                  <c:v>0.989636695393703</c:v>
                </c:pt>
                <c:pt idx="1623">
                  <c:v>0.989660923119662</c:v>
                </c:pt>
                <c:pt idx="1624">
                  <c:v>0.989685081942283</c:v>
                </c:pt>
                <c:pt idx="1625">
                  <c:v>0.989709213859792</c:v>
                </c:pt>
                <c:pt idx="1626">
                  <c:v>0.989733278711386</c:v>
                </c:pt>
                <c:pt idx="1627">
                  <c:v>0.989757219668216</c:v>
                </c:pt>
                <c:pt idx="1628">
                  <c:v>0.989780875168361</c:v>
                </c:pt>
                <c:pt idx="1629">
                  <c:v>0.989804499169838</c:v>
                </c:pt>
                <c:pt idx="1630">
                  <c:v>0.989828123171315</c:v>
                </c:pt>
                <c:pt idx="1631">
                  <c:v>0.989851739298125</c:v>
                </c:pt>
                <c:pt idx="1632">
                  <c:v>0.98987531342671</c:v>
                </c:pt>
                <c:pt idx="1633">
                  <c:v>0.989898878368184</c:v>
                </c:pt>
                <c:pt idx="1634">
                  <c:v>0.989922418373211</c:v>
                </c:pt>
                <c:pt idx="1635">
                  <c:v>0.989945937379126</c:v>
                </c:pt>
                <c:pt idx="1636">
                  <c:v>0.98996943013615</c:v>
                </c:pt>
                <c:pt idx="1637">
                  <c:v>0.989992918955841</c:v>
                </c:pt>
                <c:pt idx="1638">
                  <c:v>0.990016364464862</c:v>
                </c:pt>
                <c:pt idx="1639">
                  <c:v>0.99003979159966</c:v>
                </c:pt>
                <c:pt idx="1640">
                  <c:v>0.990063187235789</c:v>
                </c:pt>
                <c:pt idx="1641">
                  <c:v>0.99008658024703</c:v>
                </c:pt>
                <c:pt idx="1642">
                  <c:v>0.990109941759601</c:v>
                </c:pt>
                <c:pt idx="1643">
                  <c:v>0.990133298678617</c:v>
                </c:pt>
                <c:pt idx="1644">
                  <c:v>0.99015660244363</c:v>
                </c:pt>
                <c:pt idx="1645">
                  <c:v>0.990179832711749</c:v>
                </c:pt>
                <c:pt idx="1646">
                  <c:v>0.990203049855423</c:v>
                </c:pt>
                <c:pt idx="1647">
                  <c:v>0.990226148879089</c:v>
                </c:pt>
                <c:pt idx="1648">
                  <c:v>0.990249142907193</c:v>
                </c:pt>
                <c:pt idx="1649">
                  <c:v>0.990272124992052</c:v>
                </c:pt>
                <c:pt idx="1650">
                  <c:v>0.990295059960153</c:v>
                </c:pt>
                <c:pt idx="1651">
                  <c:v>0.990317975241586</c:v>
                </c:pt>
                <c:pt idx="1652">
                  <c:v>0.990340890523018</c:v>
                </c:pt>
                <c:pt idx="1653">
                  <c:v>0.990363727057779</c:v>
                </c:pt>
                <c:pt idx="1654">
                  <c:v>0.99038656359254</c:v>
                </c:pt>
                <c:pt idx="1655">
                  <c:v>0.990409268882849</c:v>
                </c:pt>
                <c:pt idx="1656">
                  <c:v>0.990431913328229</c:v>
                </c:pt>
                <c:pt idx="1657">
                  <c:v>0.990454536590755</c:v>
                </c:pt>
                <c:pt idx="1658">
                  <c:v>0.990477134260612</c:v>
                </c:pt>
                <c:pt idx="1659">
                  <c:v>0.990499708306468</c:v>
                </c:pt>
                <c:pt idx="1660">
                  <c:v>0.990522164888538</c:v>
                </c:pt>
                <c:pt idx="1661">
                  <c:v>0.990544489569934</c:v>
                </c:pt>
                <c:pt idx="1662">
                  <c:v>0.990566801126885</c:v>
                </c:pt>
                <c:pt idx="1663">
                  <c:v>0.990588981439382</c:v>
                </c:pt>
                <c:pt idx="1664">
                  <c:v>0.990611140752768</c:v>
                </c:pt>
                <c:pt idx="1665">
                  <c:v>0.990633268567485</c:v>
                </c:pt>
                <c:pt idx="1666">
                  <c:v>0.990655357008866</c:v>
                </c:pt>
                <c:pt idx="1667">
                  <c:v>0.990677406076911</c:v>
                </c:pt>
                <c:pt idx="1668">
                  <c:v>0.990699455144956</c:v>
                </c:pt>
                <c:pt idx="1669">
                  <c:v>0.990721287659654</c:v>
                </c:pt>
                <c:pt idx="1670">
                  <c:v>0.990743073582572</c:v>
                </c:pt>
                <c:pt idx="1671">
                  <c:v>0.9907648450686</c:v>
                </c:pt>
                <c:pt idx="1672">
                  <c:v>0.990786594243071</c:v>
                </c:pt>
                <c:pt idx="1673">
                  <c:v>0.990808249577758</c:v>
                </c:pt>
                <c:pt idx="1674">
                  <c:v>0.990829904912445</c:v>
                </c:pt>
                <c:pt idx="1675">
                  <c:v>0.990851560247132</c:v>
                </c:pt>
                <c:pt idx="1676">
                  <c:v>0.99087321295693</c:v>
                </c:pt>
                <c:pt idx="1677">
                  <c:v>0.990894864354284</c:v>
                </c:pt>
                <c:pt idx="1678">
                  <c:v>0.990916506564526</c:v>
                </c:pt>
                <c:pt idx="1679">
                  <c:v>0.990938133025434</c:v>
                </c:pt>
                <c:pt idx="1680">
                  <c:v>0.990959759486341</c:v>
                </c:pt>
                <c:pt idx="1681">
                  <c:v>0.990981371510359</c:v>
                </c:pt>
                <c:pt idx="1682">
                  <c:v>0.99100291200615</c:v>
                </c:pt>
                <c:pt idx="1683">
                  <c:v>0.991024382942382</c:v>
                </c:pt>
                <c:pt idx="1684">
                  <c:v>0.991045844691501</c:v>
                </c:pt>
                <c:pt idx="1685">
                  <c:v>0.991067232287505</c:v>
                </c:pt>
                <c:pt idx="1686">
                  <c:v>0.991088599461872</c:v>
                </c:pt>
                <c:pt idx="1687">
                  <c:v>0.991109920123205</c:v>
                </c:pt>
                <c:pt idx="1688">
                  <c:v>0.991131142351198</c:v>
                </c:pt>
                <c:pt idx="1689">
                  <c:v>0.99115228583252</c:v>
                </c:pt>
                <c:pt idx="1690">
                  <c:v>0.991173396502729</c:v>
                </c:pt>
                <c:pt idx="1691">
                  <c:v>0.991194488569037</c:v>
                </c:pt>
                <c:pt idx="1692">
                  <c:v>0.991215567084354</c:v>
                </c:pt>
                <c:pt idx="1693">
                  <c:v>0.99123658982078</c:v>
                </c:pt>
                <c:pt idx="1694">
                  <c:v>0.991257586308315</c:v>
                </c:pt>
                <c:pt idx="1695">
                  <c:v>0.991278552609626</c:v>
                </c:pt>
                <c:pt idx="1696">
                  <c:v>0.991299420477597</c:v>
                </c:pt>
                <c:pt idx="1697">
                  <c:v>0.991320288345569</c:v>
                </c:pt>
                <c:pt idx="1698">
                  <c:v>0.99134115621354</c:v>
                </c:pt>
                <c:pt idx="1699">
                  <c:v>0.991361967817014</c:v>
                </c:pt>
                <c:pt idx="1700">
                  <c:v>0.991382756938314</c:v>
                </c:pt>
                <c:pt idx="1701">
                  <c:v>0.991403493561833</c:v>
                </c:pt>
                <c:pt idx="1702">
                  <c:v>0.991424164563125</c:v>
                </c:pt>
                <c:pt idx="1703">
                  <c:v>0.991444798815971</c:v>
                </c:pt>
                <c:pt idx="1704">
                  <c:v>0.991465404195037</c:v>
                </c:pt>
                <c:pt idx="1705">
                  <c:v>0.99148587832965</c:v>
                </c:pt>
                <c:pt idx="1706">
                  <c:v>0.991506343933374</c:v>
                </c:pt>
                <c:pt idx="1707">
                  <c:v>0.991526752445761</c:v>
                </c:pt>
                <c:pt idx="1708">
                  <c:v>0.991547123737221</c:v>
                </c:pt>
                <c:pt idx="1709">
                  <c:v>0.991567466627382</c:v>
                </c:pt>
                <c:pt idx="1710">
                  <c:v>0.991587793111986</c:v>
                </c:pt>
                <c:pt idx="1711">
                  <c:v>0.99160800935125</c:v>
                </c:pt>
                <c:pt idx="1712">
                  <c:v>0.991628116001396</c:v>
                </c:pt>
                <c:pt idx="1713">
                  <c:v>0.991648200339985</c:v>
                </c:pt>
                <c:pt idx="1714">
                  <c:v>0.99166825449235</c:v>
                </c:pt>
                <c:pt idx="1715">
                  <c:v>0.99168822241711</c:v>
                </c:pt>
                <c:pt idx="1716">
                  <c:v>0.991708155168356</c:v>
                </c:pt>
                <c:pt idx="1717">
                  <c:v>0.991728087919602</c:v>
                </c:pt>
                <c:pt idx="1718">
                  <c:v>0.991748020670848</c:v>
                </c:pt>
                <c:pt idx="1719">
                  <c:v>0.99176790289298</c:v>
                </c:pt>
                <c:pt idx="1720">
                  <c:v>0.991787762803555</c:v>
                </c:pt>
                <c:pt idx="1721">
                  <c:v>0.991807614839463</c:v>
                </c:pt>
                <c:pt idx="1722">
                  <c:v>0.991827459000704</c:v>
                </c:pt>
                <c:pt idx="1723">
                  <c:v>0.991847276913054</c:v>
                </c:pt>
                <c:pt idx="1724">
                  <c:v>0.991866963580951</c:v>
                </c:pt>
                <c:pt idx="1725">
                  <c:v>0.991886650248849</c:v>
                </c:pt>
                <c:pt idx="1726">
                  <c:v>0.991906336916747</c:v>
                </c:pt>
                <c:pt idx="1727">
                  <c:v>0.99192601374131</c:v>
                </c:pt>
                <c:pt idx="1728">
                  <c:v>0.991945674160317</c:v>
                </c:pt>
                <c:pt idx="1729">
                  <c:v>0.991965303736877</c:v>
                </c:pt>
                <c:pt idx="1730">
                  <c:v>0.991984902470992</c:v>
                </c:pt>
                <c:pt idx="1731">
                  <c:v>0.992004457894437</c:v>
                </c:pt>
                <c:pt idx="1732">
                  <c:v>0.992024013317881</c:v>
                </c:pt>
                <c:pt idx="1733">
                  <c:v>0.992043568741326</c:v>
                </c:pt>
                <c:pt idx="1734">
                  <c:v>0.992063124164771</c:v>
                </c:pt>
                <c:pt idx="1735">
                  <c:v>0.992082679588216</c:v>
                </c:pt>
                <c:pt idx="1736">
                  <c:v>0.992102212700104</c:v>
                </c:pt>
                <c:pt idx="1737">
                  <c:v>0.992121690689322</c:v>
                </c:pt>
                <c:pt idx="1738">
                  <c:v>0.992141114868314</c:v>
                </c:pt>
                <c:pt idx="1739">
                  <c:v>0.992160486549525</c:v>
                </c:pt>
                <c:pt idx="1740">
                  <c:v>0.992179845106291</c:v>
                </c:pt>
                <c:pt idx="1741">
                  <c:v>0.992199183976389</c:v>
                </c:pt>
                <c:pt idx="1742">
                  <c:v>0.992218487410485</c:v>
                </c:pt>
                <c:pt idx="1743">
                  <c:v>0.992237780345024</c:v>
                </c:pt>
                <c:pt idx="1744">
                  <c:v>0.992257045718229</c:v>
                </c:pt>
                <c:pt idx="1745">
                  <c:v>0.992276305841655</c:v>
                </c:pt>
                <c:pt idx="1746">
                  <c:v>0.992295457032186</c:v>
                </c:pt>
                <c:pt idx="1747">
                  <c:v>0.99231448747782</c:v>
                </c:pt>
                <c:pt idx="1748">
                  <c:v>0.992333511361231</c:v>
                </c:pt>
                <c:pt idx="1749">
                  <c:v>0.992352492590196</c:v>
                </c:pt>
                <c:pt idx="1750">
                  <c:v>0.992371454788715</c:v>
                </c:pt>
                <c:pt idx="1751">
                  <c:v>0.9923904130499</c:v>
                </c:pt>
                <c:pt idx="1752">
                  <c:v>0.992409330625305</c:v>
                </c:pt>
                <c:pt idx="1753">
                  <c:v>0.992428229826486</c:v>
                </c:pt>
                <c:pt idx="1754">
                  <c:v>0.992447129027668</c:v>
                </c:pt>
                <c:pt idx="1755">
                  <c:v>0.99246602822885</c:v>
                </c:pt>
                <c:pt idx="1756">
                  <c:v>0.992484927430031</c:v>
                </c:pt>
                <c:pt idx="1757">
                  <c:v>0.99250377938321</c:v>
                </c:pt>
                <c:pt idx="1758">
                  <c:v>0.992522496154602</c:v>
                </c:pt>
                <c:pt idx="1759">
                  <c:v>0.992541134179323</c:v>
                </c:pt>
                <c:pt idx="1760">
                  <c:v>0.992559738080486</c:v>
                </c:pt>
                <c:pt idx="1761">
                  <c:v>0.992578322294981</c:v>
                </c:pt>
                <c:pt idx="1762">
                  <c:v>0.992596899947254</c:v>
                </c:pt>
                <c:pt idx="1763">
                  <c:v>0.992615451350636</c:v>
                </c:pt>
                <c:pt idx="1764">
                  <c:v>0.992633825574007</c:v>
                </c:pt>
                <c:pt idx="1765">
                  <c:v>0.992652199797378</c:v>
                </c:pt>
                <c:pt idx="1766">
                  <c:v>0.992670563521193</c:v>
                </c:pt>
                <c:pt idx="1767">
                  <c:v>0.992688911495673</c:v>
                </c:pt>
                <c:pt idx="1768">
                  <c:v>0.992707254220376</c:v>
                </c:pt>
                <c:pt idx="1769">
                  <c:v>0.992725474231515</c:v>
                </c:pt>
                <c:pt idx="1770">
                  <c:v>0.992743651588207</c:v>
                </c:pt>
                <c:pt idx="1771">
                  <c:v>0.992761763322673</c:v>
                </c:pt>
                <c:pt idx="1772">
                  <c:v>0.992779809434912</c:v>
                </c:pt>
                <c:pt idx="1773">
                  <c:v>0.992797682304474</c:v>
                </c:pt>
                <c:pt idx="1774">
                  <c:v>0.992815551236702</c:v>
                </c:pt>
                <c:pt idx="1775">
                  <c:v>0.992833400482262</c:v>
                </c:pt>
                <c:pt idx="1776">
                  <c:v>0.992851249727823</c:v>
                </c:pt>
                <c:pt idx="1777">
                  <c:v>0.992869000540044</c:v>
                </c:pt>
                <c:pt idx="1778">
                  <c:v>0.992886725103374</c:v>
                </c:pt>
                <c:pt idx="1779">
                  <c:v>0.992904447698038</c:v>
                </c:pt>
                <c:pt idx="1780">
                  <c:v>0.992922165699145</c:v>
                </c:pt>
                <c:pt idx="1781">
                  <c:v>0.992939883700253</c:v>
                </c:pt>
                <c:pt idx="1782">
                  <c:v>0.992957600388916</c:v>
                </c:pt>
                <c:pt idx="1783">
                  <c:v>0.992975315765135</c:v>
                </c:pt>
                <c:pt idx="1784">
                  <c:v>0.992993027860242</c:v>
                </c:pt>
                <c:pt idx="1785">
                  <c:v>0.993010737986683</c:v>
                </c:pt>
                <c:pt idx="1786">
                  <c:v>0.993028432363789</c:v>
                </c:pt>
                <c:pt idx="1787">
                  <c:v>0.993046121491117</c:v>
                </c:pt>
                <c:pt idx="1788">
                  <c:v>0.993063804056223</c:v>
                </c:pt>
                <c:pt idx="1789">
                  <c:v>0.993081482683995</c:v>
                </c:pt>
                <c:pt idx="1790">
                  <c:v>0.99309906944065</c:v>
                </c:pt>
                <c:pt idx="1791">
                  <c:v>0.993116590575079</c:v>
                </c:pt>
                <c:pt idx="1792">
                  <c:v>0.993133914842828</c:v>
                </c:pt>
                <c:pt idx="1793">
                  <c:v>0.993151239110578</c:v>
                </c:pt>
                <c:pt idx="1794">
                  <c:v>0.993168563378328</c:v>
                </c:pt>
                <c:pt idx="1795">
                  <c:v>0.993185887646078</c:v>
                </c:pt>
                <c:pt idx="1796">
                  <c:v>0.993203146291601</c:v>
                </c:pt>
                <c:pt idx="1797">
                  <c:v>0.99322040362468</c:v>
                </c:pt>
                <c:pt idx="1798">
                  <c:v>0.993237642583536</c:v>
                </c:pt>
                <c:pt idx="1799">
                  <c:v>0.993254869730391</c:v>
                </c:pt>
                <c:pt idx="1800">
                  <c:v>0.993272095564801</c:v>
                </c:pt>
                <c:pt idx="1801">
                  <c:v>0.993289288588098</c:v>
                </c:pt>
                <c:pt idx="1802">
                  <c:v>0.993306415989169</c:v>
                </c:pt>
                <c:pt idx="1803">
                  <c:v>0.99332354339024</c:v>
                </c:pt>
                <c:pt idx="1804">
                  <c:v>0.993340670791311</c:v>
                </c:pt>
                <c:pt idx="1805">
                  <c:v>0.99335778900527</c:v>
                </c:pt>
                <c:pt idx="1806">
                  <c:v>0.993374850784114</c:v>
                </c:pt>
                <c:pt idx="1807">
                  <c:v>0.993391912562959</c:v>
                </c:pt>
                <c:pt idx="1808">
                  <c:v>0.993408974341803</c:v>
                </c:pt>
                <c:pt idx="1809">
                  <c:v>0.993426036120648</c:v>
                </c:pt>
                <c:pt idx="1810">
                  <c:v>0.993443025058821</c:v>
                </c:pt>
                <c:pt idx="1811">
                  <c:v>0.993460011372105</c:v>
                </c:pt>
                <c:pt idx="1812">
                  <c:v>0.993476982592278</c:v>
                </c:pt>
                <c:pt idx="1813">
                  <c:v>0.993493913126669</c:v>
                </c:pt>
                <c:pt idx="1814">
                  <c:v>0.993510843661061</c:v>
                </c:pt>
                <c:pt idx="1815">
                  <c:v>0.993527758446119</c:v>
                </c:pt>
                <c:pt idx="1816">
                  <c:v>0.993544656169398</c:v>
                </c:pt>
                <c:pt idx="1817">
                  <c:v>0.993561527643786</c:v>
                </c:pt>
                <c:pt idx="1818">
                  <c:v>0.993578343339281</c:v>
                </c:pt>
                <c:pt idx="1819">
                  <c:v>0.99359514262922</c:v>
                </c:pt>
                <c:pt idx="1820">
                  <c:v>0.993611935356937</c:v>
                </c:pt>
                <c:pt idx="1821">
                  <c:v>0.993628705116874</c:v>
                </c:pt>
                <c:pt idx="1822">
                  <c:v>0.993645417129253</c:v>
                </c:pt>
                <c:pt idx="1823">
                  <c:v>0.993662085174739</c:v>
                </c:pt>
                <c:pt idx="1824">
                  <c:v>0.993678733533558</c:v>
                </c:pt>
                <c:pt idx="1825">
                  <c:v>0.993695322832373</c:v>
                </c:pt>
                <c:pt idx="1826">
                  <c:v>0.993711859633407</c:v>
                </c:pt>
                <c:pt idx="1827">
                  <c:v>0.993728328187325</c:v>
                </c:pt>
                <c:pt idx="1828">
                  <c:v>0.993744757367908</c:v>
                </c:pt>
                <c:pt idx="1829">
                  <c:v>0.993761162924489</c:v>
                </c:pt>
                <c:pt idx="1830">
                  <c:v>0.99377756848107</c:v>
                </c:pt>
                <c:pt idx="1831">
                  <c:v>0.993793967475429</c:v>
                </c:pt>
                <c:pt idx="1832">
                  <c:v>0.993810359907565</c:v>
                </c:pt>
                <c:pt idx="1833">
                  <c:v>0.993826724778366</c:v>
                </c:pt>
                <c:pt idx="1834">
                  <c:v>0.993843072587388</c:v>
                </c:pt>
                <c:pt idx="1835">
                  <c:v>0.993859346899517</c:v>
                </c:pt>
                <c:pt idx="1836">
                  <c:v>0.993875555589419</c:v>
                </c:pt>
                <c:pt idx="1837">
                  <c:v>0.993891698657095</c:v>
                </c:pt>
                <c:pt idx="1838">
                  <c:v>0.993907822038103</c:v>
                </c:pt>
                <c:pt idx="1839">
                  <c:v>0.993923940825555</c:v>
                </c:pt>
                <c:pt idx="1840">
                  <c:v>0.993940039270117</c:v>
                </c:pt>
                <c:pt idx="1841">
                  <c:v>0.993956127215123</c:v>
                </c:pt>
                <c:pt idx="1842">
                  <c:v>0.993972201379461</c:v>
                </c:pt>
                <c:pt idx="1843">
                  <c:v>0.993988180391571</c:v>
                </c:pt>
                <c:pt idx="1844">
                  <c:v>0.994004013066117</c:v>
                </c:pt>
                <c:pt idx="1845">
                  <c:v>0.994019762400435</c:v>
                </c:pt>
                <c:pt idx="1846">
                  <c:v>0.994035511734753</c:v>
                </c:pt>
                <c:pt idx="1847">
                  <c:v>0.994051261069071</c:v>
                </c:pt>
                <c:pt idx="1848">
                  <c:v>0.994066997278944</c:v>
                </c:pt>
                <c:pt idx="1849">
                  <c:v>0.994082694115481</c:v>
                </c:pt>
                <c:pt idx="1850">
                  <c:v>0.994098377827572</c:v>
                </c:pt>
                <c:pt idx="1851">
                  <c:v>0.994114061539664</c:v>
                </c:pt>
                <c:pt idx="1852">
                  <c:v>0.994129679629529</c:v>
                </c:pt>
                <c:pt idx="1853">
                  <c:v>0.994145297719395</c:v>
                </c:pt>
                <c:pt idx="1854">
                  <c:v>0.99416091580926</c:v>
                </c:pt>
                <c:pt idx="1855">
                  <c:v>0.994176507650235</c:v>
                </c:pt>
                <c:pt idx="1856">
                  <c:v>0.994192086366765</c:v>
                </c:pt>
                <c:pt idx="1857">
                  <c:v>0.994207609304402</c:v>
                </c:pt>
                <c:pt idx="1858">
                  <c:v>0.994223128960928</c:v>
                </c:pt>
                <c:pt idx="1859">
                  <c:v>0.994238638774119</c:v>
                </c:pt>
                <c:pt idx="1860">
                  <c:v>0.994254125619532</c:v>
                </c:pt>
                <c:pt idx="1861">
                  <c:v>0.994269575716498</c:v>
                </c:pt>
                <c:pt idx="1862">
                  <c:v>0.994285023188575</c:v>
                </c:pt>
                <c:pt idx="1863">
                  <c:v>0.994300376820868</c:v>
                </c:pt>
                <c:pt idx="1864">
                  <c:v>0.994315720609828</c:v>
                </c:pt>
                <c:pt idx="1865">
                  <c:v>0.994331044712119</c:v>
                </c:pt>
                <c:pt idx="1866">
                  <c:v>0.994346282193072</c:v>
                </c:pt>
                <c:pt idx="1867">
                  <c:v>0.994361506549579</c:v>
                </c:pt>
                <c:pt idx="1868">
                  <c:v>0.994376730906086</c:v>
                </c:pt>
                <c:pt idx="1869">
                  <c:v>0.994391955262594</c:v>
                </c:pt>
                <c:pt idx="1870">
                  <c:v>0.994407048374648</c:v>
                </c:pt>
                <c:pt idx="1871">
                  <c:v>0.994422141486703</c:v>
                </c:pt>
                <c:pt idx="1872">
                  <c:v>0.994437166351643</c:v>
                </c:pt>
                <c:pt idx="1873">
                  <c:v>0.994452180717026</c:v>
                </c:pt>
                <c:pt idx="1874">
                  <c:v>0.994467160958851</c:v>
                </c:pt>
                <c:pt idx="1875">
                  <c:v>0.994482138575788</c:v>
                </c:pt>
                <c:pt idx="1876">
                  <c:v>0.99449710044339</c:v>
                </c:pt>
                <c:pt idx="1877">
                  <c:v>0.994512062310992</c:v>
                </c:pt>
                <c:pt idx="1878">
                  <c:v>0.994527024178594</c:v>
                </c:pt>
                <c:pt idx="1879">
                  <c:v>0.994541986046196</c:v>
                </c:pt>
                <c:pt idx="1880">
                  <c:v>0.994556947913798</c:v>
                </c:pt>
                <c:pt idx="1881">
                  <c:v>0.994571790348948</c:v>
                </c:pt>
                <c:pt idx="1882">
                  <c:v>0.994586619659653</c:v>
                </c:pt>
                <c:pt idx="1883">
                  <c:v>0.99460131903835</c:v>
                </c:pt>
                <c:pt idx="1884">
                  <c:v>0.994616018417047</c:v>
                </c:pt>
                <c:pt idx="1885">
                  <c:v>0.994630620674848</c:v>
                </c:pt>
                <c:pt idx="1886">
                  <c:v>0.994645162560202</c:v>
                </c:pt>
                <c:pt idx="1887">
                  <c:v>0.994659701164444</c:v>
                </c:pt>
                <c:pt idx="1888">
                  <c:v>0.994674210238685</c:v>
                </c:pt>
                <c:pt idx="1889">
                  <c:v>0.994688647128476</c:v>
                </c:pt>
                <c:pt idx="1890">
                  <c:v>0.994703084018268</c:v>
                </c:pt>
                <c:pt idx="1891">
                  <c:v>0.99471750647117</c:v>
                </c:pt>
                <c:pt idx="1892">
                  <c:v>0.994731910549848</c:v>
                </c:pt>
                <c:pt idx="1893">
                  <c:v>0.994746242444077</c:v>
                </c:pt>
                <c:pt idx="1894">
                  <c:v>0.99476042734452</c:v>
                </c:pt>
                <c:pt idx="1895">
                  <c:v>0.994774601745406</c:v>
                </c:pt>
                <c:pt idx="1896">
                  <c:v>0.994788756459624</c:v>
                </c:pt>
                <c:pt idx="1897">
                  <c:v>0.994802799616058</c:v>
                </c:pt>
                <c:pt idx="1898">
                  <c:v>0.99481683358538</c:v>
                </c:pt>
                <c:pt idx="1899">
                  <c:v>0.994830730404249</c:v>
                </c:pt>
                <c:pt idx="1900">
                  <c:v>0.994844589818448</c:v>
                </c:pt>
                <c:pt idx="1901">
                  <c:v>0.994858411722984</c:v>
                </c:pt>
                <c:pt idx="1902">
                  <c:v>0.994872208139846</c:v>
                </c:pt>
                <c:pt idx="1903">
                  <c:v>0.994885988807374</c:v>
                </c:pt>
                <c:pt idx="1904">
                  <c:v>0.994899741913568</c:v>
                </c:pt>
                <c:pt idx="1905">
                  <c:v>0.994913424147756</c:v>
                </c:pt>
                <c:pt idx="1906">
                  <c:v>0.994927073570832</c:v>
                </c:pt>
                <c:pt idx="1907">
                  <c:v>0.994940666558793</c:v>
                </c:pt>
                <c:pt idx="1908">
                  <c:v>0.99495422936053</c:v>
                </c:pt>
                <c:pt idx="1909">
                  <c:v>0.994967747539153</c:v>
                </c:pt>
                <c:pt idx="1910">
                  <c:v>0.99498114234799</c:v>
                </c:pt>
                <c:pt idx="1911">
                  <c:v>0.994994529282161</c:v>
                </c:pt>
                <c:pt idx="1912">
                  <c:v>0.995007916216331</c:v>
                </c:pt>
                <c:pt idx="1913">
                  <c:v>0.995021278214055</c:v>
                </c:pt>
                <c:pt idx="1914">
                  <c:v>0.995034633649557</c:v>
                </c:pt>
                <c:pt idx="1915">
                  <c:v>0.995047968085946</c:v>
                </c:pt>
                <c:pt idx="1916">
                  <c:v>0.995061256586777</c:v>
                </c:pt>
                <c:pt idx="1917">
                  <c:v>0.995074491277382</c:v>
                </c:pt>
                <c:pt idx="1918">
                  <c:v>0.995087681344873</c:v>
                </c:pt>
                <c:pt idx="1919">
                  <c:v>0.995100805790138</c:v>
                </c:pt>
                <c:pt idx="1920">
                  <c:v>0.995113919735847</c:v>
                </c:pt>
                <c:pt idx="1921">
                  <c:v>0.995127031056667</c:v>
                </c:pt>
                <c:pt idx="1922">
                  <c:v>0.995140142377487</c:v>
                </c:pt>
                <c:pt idx="1923">
                  <c:v>0.995153253698306</c:v>
                </c:pt>
                <c:pt idx="1924">
                  <c:v>0.995166345332458</c:v>
                </c:pt>
                <c:pt idx="1925">
                  <c:v>0.995179404155497</c:v>
                </c:pt>
                <c:pt idx="1926">
                  <c:v>0.995192420980311</c:v>
                </c:pt>
                <c:pt idx="1927">
                  <c:v>0.995205414181123</c:v>
                </c:pt>
                <c:pt idx="1928">
                  <c:v>0.995218407381936</c:v>
                </c:pt>
                <c:pt idx="1929">
                  <c:v>0.995231400582748</c:v>
                </c:pt>
                <c:pt idx="1930">
                  <c:v>0.99524439378356</c:v>
                </c:pt>
                <c:pt idx="1931">
                  <c:v>0.995257379109705</c:v>
                </c:pt>
                <c:pt idx="1932">
                  <c:v>0.995270356561183</c:v>
                </c:pt>
                <c:pt idx="1933">
                  <c:v>0.995283301201548</c:v>
                </c:pt>
                <c:pt idx="1934">
                  <c:v>0.995296241904579</c:v>
                </c:pt>
                <c:pt idx="1935">
                  <c:v>0.995309124860052</c:v>
                </c:pt>
                <c:pt idx="1936">
                  <c:v>0.995321986816411</c:v>
                </c:pt>
                <c:pt idx="1937">
                  <c:v>0.995334848772771</c:v>
                </c:pt>
                <c:pt idx="1938">
                  <c:v>0.995347710729131</c:v>
                </c:pt>
                <c:pt idx="1939">
                  <c:v>0.995360572685491</c:v>
                </c:pt>
                <c:pt idx="1940">
                  <c:v>0.99537343464185</c:v>
                </c:pt>
                <c:pt idx="1941">
                  <c:v>0.99538629659821</c:v>
                </c:pt>
                <c:pt idx="1942">
                  <c:v>0.995399125743457</c:v>
                </c:pt>
                <c:pt idx="1943">
                  <c:v>0.995411889266477</c:v>
                </c:pt>
                <c:pt idx="1944">
                  <c:v>0.995424646227274</c:v>
                </c:pt>
                <c:pt idx="1945">
                  <c:v>0.995437400563183</c:v>
                </c:pt>
                <c:pt idx="1946">
                  <c:v>0.99545013127509</c:v>
                </c:pt>
                <c:pt idx="1947">
                  <c:v>0.995462801614549</c:v>
                </c:pt>
                <c:pt idx="1948">
                  <c:v>0.995475401082003</c:v>
                </c:pt>
                <c:pt idx="1949">
                  <c:v>0.995488000549457</c:v>
                </c:pt>
                <c:pt idx="1950">
                  <c:v>0.995500600016912</c:v>
                </c:pt>
                <c:pt idx="1951">
                  <c:v>0.995513199484366</c:v>
                </c:pt>
                <c:pt idx="1952">
                  <c:v>0.995525768765596</c:v>
                </c:pt>
                <c:pt idx="1953">
                  <c:v>0.995538263237489</c:v>
                </c:pt>
                <c:pt idx="1954">
                  <c:v>0.995550757709381</c:v>
                </c:pt>
                <c:pt idx="1955">
                  <c:v>0.995563225932383</c:v>
                </c:pt>
                <c:pt idx="1956">
                  <c:v>0.995575694155384</c:v>
                </c:pt>
                <c:pt idx="1957">
                  <c:v>0.995588162378386</c:v>
                </c:pt>
                <c:pt idx="1958">
                  <c:v>0.995600630601388</c:v>
                </c:pt>
                <c:pt idx="1959">
                  <c:v>0.99561305551372</c:v>
                </c:pt>
                <c:pt idx="1960">
                  <c:v>0.995625441052717</c:v>
                </c:pt>
                <c:pt idx="1961">
                  <c:v>0.995637778031266</c:v>
                </c:pt>
                <c:pt idx="1962">
                  <c:v>0.995650078261368</c:v>
                </c:pt>
                <c:pt idx="1963">
                  <c:v>0.995662349617691</c:v>
                </c:pt>
                <c:pt idx="1964">
                  <c:v>0.995674593412679</c:v>
                </c:pt>
                <c:pt idx="1965">
                  <c:v>0.995686822770777</c:v>
                </c:pt>
                <c:pt idx="1966">
                  <c:v>0.995699028504873</c:v>
                </c:pt>
                <c:pt idx="1967">
                  <c:v>0.99571123423897</c:v>
                </c:pt>
                <c:pt idx="1968">
                  <c:v>0.995723439973066</c:v>
                </c:pt>
                <c:pt idx="1969">
                  <c:v>0.995735442278261</c:v>
                </c:pt>
                <c:pt idx="1970">
                  <c:v>0.995747432771455</c:v>
                </c:pt>
                <c:pt idx="1971">
                  <c:v>0.995759382578869</c:v>
                </c:pt>
                <c:pt idx="1972">
                  <c:v>0.995771273982501</c:v>
                </c:pt>
                <c:pt idx="1973">
                  <c:v>0.99578308598324</c:v>
                </c:pt>
                <c:pt idx="1974">
                  <c:v>0.995794897983978</c:v>
                </c:pt>
                <c:pt idx="1975">
                  <c:v>0.995806709984717</c:v>
                </c:pt>
                <c:pt idx="1976">
                  <c:v>0.995818521985455</c:v>
                </c:pt>
                <c:pt idx="1977">
                  <c:v>0.995830326111526</c:v>
                </c:pt>
                <c:pt idx="1978">
                  <c:v>0.995842118425597</c:v>
                </c:pt>
                <c:pt idx="1979">
                  <c:v>0.995853891053</c:v>
                </c:pt>
                <c:pt idx="1980">
                  <c:v>0.995865663680402</c:v>
                </c:pt>
                <c:pt idx="1981">
                  <c:v>0.995877377247802</c:v>
                </c:pt>
                <c:pt idx="1982">
                  <c:v>0.995889071128533</c:v>
                </c:pt>
                <c:pt idx="1983">
                  <c:v>0.995900754509707</c:v>
                </c:pt>
                <c:pt idx="1984">
                  <c:v>0.995912435265993</c:v>
                </c:pt>
                <c:pt idx="1985">
                  <c:v>0.995924116022279</c:v>
                </c:pt>
                <c:pt idx="1986">
                  <c:v>0.99593578365412</c:v>
                </c:pt>
                <c:pt idx="1987">
                  <c:v>0.995947333165953</c:v>
                </c:pt>
                <c:pt idx="1988">
                  <c:v>0.995958882677786</c:v>
                </c:pt>
                <c:pt idx="1989">
                  <c:v>0.995970432189619</c:v>
                </c:pt>
                <c:pt idx="1990">
                  <c:v>0.995981954140118</c:v>
                </c:pt>
                <c:pt idx="1991">
                  <c:v>0.995993466903504</c:v>
                </c:pt>
                <c:pt idx="1992">
                  <c:v>0.996004963917556</c:v>
                </c:pt>
                <c:pt idx="1993">
                  <c:v>0.996016447807163</c:v>
                </c:pt>
                <c:pt idx="1994">
                  <c:v>0.99602793169677</c:v>
                </c:pt>
                <c:pt idx="1995">
                  <c:v>0.996039399837043</c:v>
                </c:pt>
                <c:pt idx="1996">
                  <c:v>0.996050850915536</c:v>
                </c:pt>
                <c:pt idx="1997">
                  <c:v>0.996062256058472</c:v>
                </c:pt>
                <c:pt idx="1998">
                  <c:v>0.996073599516514</c:v>
                </c:pt>
                <c:pt idx="1999">
                  <c:v>0.996084886539442</c:v>
                </c:pt>
                <c:pt idx="2000">
                  <c:v>0.99609617356237</c:v>
                </c:pt>
                <c:pt idx="2001">
                  <c:v>0.996107444835963</c:v>
                </c:pt>
                <c:pt idx="2002">
                  <c:v>0.996118684610888</c:v>
                </c:pt>
                <c:pt idx="2003">
                  <c:v>0.99612990601159</c:v>
                </c:pt>
                <c:pt idx="2004">
                  <c:v>0.996141127412291</c:v>
                </c:pt>
                <c:pt idx="2005">
                  <c:v>0.996152347500548</c:v>
                </c:pt>
                <c:pt idx="2006">
                  <c:v>0.996163559057916</c:v>
                </c:pt>
                <c:pt idx="2007">
                  <c:v>0.996174770615284</c:v>
                </c:pt>
                <c:pt idx="2008">
                  <c:v>0.996185982172651</c:v>
                </c:pt>
                <c:pt idx="2009">
                  <c:v>0.996197185199129</c:v>
                </c:pt>
                <c:pt idx="2010">
                  <c:v>0.996208385600719</c:v>
                </c:pt>
                <c:pt idx="2011">
                  <c:v>0.996219541379194</c:v>
                </c:pt>
                <c:pt idx="2012">
                  <c:v>0.996230697157669</c:v>
                </c:pt>
                <c:pt idx="2013">
                  <c:v>0.996241852936144</c:v>
                </c:pt>
                <c:pt idx="2014">
                  <c:v>0.996253008714619</c:v>
                </c:pt>
                <c:pt idx="2015">
                  <c:v>0.996264164493095</c:v>
                </c:pt>
                <c:pt idx="2016">
                  <c:v>0.99627532027157</c:v>
                </c:pt>
                <c:pt idx="2017">
                  <c:v>0.996286472768934</c:v>
                </c:pt>
                <c:pt idx="2018">
                  <c:v>0.996297617391631</c:v>
                </c:pt>
                <c:pt idx="2019">
                  <c:v>0.996308762014327</c:v>
                </c:pt>
                <c:pt idx="2020">
                  <c:v>0.996319898106135</c:v>
                </c:pt>
                <c:pt idx="2021">
                  <c:v>0.996330922640157</c:v>
                </c:pt>
                <c:pt idx="2022">
                  <c:v>0.99634194717418</c:v>
                </c:pt>
                <c:pt idx="2023">
                  <c:v>0.996352971708203</c:v>
                </c:pt>
                <c:pt idx="2024">
                  <c:v>0.996363996242225</c:v>
                </c:pt>
                <c:pt idx="2025">
                  <c:v>0.996375020776248</c:v>
                </c:pt>
                <c:pt idx="2026">
                  <c:v>0.99638604531027</c:v>
                </c:pt>
                <c:pt idx="2027">
                  <c:v>0.996397006846956</c:v>
                </c:pt>
                <c:pt idx="2028">
                  <c:v>0.996407939509861</c:v>
                </c:pt>
                <c:pt idx="2029">
                  <c:v>0.996418865610544</c:v>
                </c:pt>
                <c:pt idx="2030">
                  <c:v>0.99642975168167</c:v>
                </c:pt>
                <c:pt idx="2031">
                  <c:v>0.996440583286347</c:v>
                </c:pt>
                <c:pt idx="2032">
                  <c:v>0.99645141095369</c:v>
                </c:pt>
                <c:pt idx="2033">
                  <c:v>0.9964622228717</c:v>
                </c:pt>
                <c:pt idx="2034">
                  <c:v>0.99647302363393</c:v>
                </c:pt>
                <c:pt idx="2035">
                  <c:v>0.996483807990605</c:v>
                </c:pt>
                <c:pt idx="2036">
                  <c:v>0.996494562161055</c:v>
                </c:pt>
                <c:pt idx="2037">
                  <c:v>0.996505269083502</c:v>
                </c:pt>
                <c:pt idx="2038">
                  <c:v>0.996515899884167</c:v>
                </c:pt>
                <c:pt idx="2039">
                  <c:v>0.996526409250902</c:v>
                </c:pt>
                <c:pt idx="2040">
                  <c:v>0.996536908807114</c:v>
                </c:pt>
                <c:pt idx="2041">
                  <c:v>0.996547408363326</c:v>
                </c:pt>
                <c:pt idx="2042">
                  <c:v>0.996557906607093</c:v>
                </c:pt>
                <c:pt idx="2043">
                  <c:v>0.996568351040635</c:v>
                </c:pt>
                <c:pt idx="2044">
                  <c:v>0.996578792849288</c:v>
                </c:pt>
                <c:pt idx="2045">
                  <c:v>0.996589171660603</c:v>
                </c:pt>
                <c:pt idx="2046">
                  <c:v>0.996599539972363</c:v>
                </c:pt>
                <c:pt idx="2047">
                  <c:v>0.996609895159677</c:v>
                </c:pt>
                <c:pt idx="2048">
                  <c:v>0.996620230660323</c:v>
                </c:pt>
                <c:pt idx="2049">
                  <c:v>0.996630546474301</c:v>
                </c:pt>
                <c:pt idx="2050">
                  <c:v>0.99664086228828</c:v>
                </c:pt>
                <c:pt idx="2051">
                  <c:v>0.996651155790701</c:v>
                </c:pt>
                <c:pt idx="2052">
                  <c:v>0.996661392858008</c:v>
                </c:pt>
                <c:pt idx="2053">
                  <c:v>0.996671629925314</c:v>
                </c:pt>
                <c:pt idx="2054">
                  <c:v>0.996681866992621</c:v>
                </c:pt>
                <c:pt idx="2055">
                  <c:v>0.996692104059928</c:v>
                </c:pt>
                <c:pt idx="2056">
                  <c:v>0.996702301097676</c:v>
                </c:pt>
                <c:pt idx="2057">
                  <c:v>0.996712484354758</c:v>
                </c:pt>
                <c:pt idx="2058">
                  <c:v>0.996722655799838</c:v>
                </c:pt>
                <c:pt idx="2059">
                  <c:v>0.996732696000466</c:v>
                </c:pt>
                <c:pt idx="2060">
                  <c:v>0.996742670578867</c:v>
                </c:pt>
                <c:pt idx="2061">
                  <c:v>0.996752645157268</c:v>
                </c:pt>
                <c:pt idx="2062">
                  <c:v>0.996762586924557</c:v>
                </c:pt>
                <c:pt idx="2063">
                  <c:v>0.996772489318509</c:v>
                </c:pt>
                <c:pt idx="2064">
                  <c:v>0.996782365463571</c:v>
                </c:pt>
                <c:pt idx="2065">
                  <c:v>0.99679220879752</c:v>
                </c:pt>
                <c:pt idx="2066">
                  <c:v>0.996802052131468</c:v>
                </c:pt>
                <c:pt idx="2067">
                  <c:v>0.996811895465417</c:v>
                </c:pt>
                <c:pt idx="2068">
                  <c:v>0.996821734862032</c:v>
                </c:pt>
                <c:pt idx="2069">
                  <c:v>0.996831571633758</c:v>
                </c:pt>
                <c:pt idx="2070">
                  <c:v>0.99684140709304</c:v>
                </c:pt>
                <c:pt idx="2071">
                  <c:v>0.996851234677654</c:v>
                </c:pt>
                <c:pt idx="2072">
                  <c:v>0.996861025513822</c:v>
                </c:pt>
                <c:pt idx="2073">
                  <c:v>0.996870737603318</c:v>
                </c:pt>
                <c:pt idx="2074">
                  <c:v>0.996880449692814</c:v>
                </c:pt>
                <c:pt idx="2075">
                  <c:v>0.996890122408975</c:v>
                </c:pt>
                <c:pt idx="2076">
                  <c:v>0.996899761001577</c:v>
                </c:pt>
                <c:pt idx="2077">
                  <c:v>0.996909341846621</c:v>
                </c:pt>
                <c:pt idx="2078">
                  <c:v>0.996918922691664</c:v>
                </c:pt>
                <c:pt idx="2079">
                  <c:v>0.996928476631595</c:v>
                </c:pt>
                <c:pt idx="2080">
                  <c:v>0.996938022040636</c:v>
                </c:pt>
                <c:pt idx="2081">
                  <c:v>0.996947562199899</c:v>
                </c:pt>
                <c:pt idx="2082">
                  <c:v>0.996957098421828</c:v>
                </c:pt>
                <c:pt idx="2083">
                  <c:v>0.996966619550646</c:v>
                </c:pt>
                <c:pt idx="2084">
                  <c:v>0.99697612821124</c:v>
                </c:pt>
                <c:pt idx="2085">
                  <c:v>0.996985622434945</c:v>
                </c:pt>
                <c:pt idx="2086">
                  <c:v>0.996995104846649</c:v>
                </c:pt>
                <c:pt idx="2087">
                  <c:v>0.997004578399352</c:v>
                </c:pt>
                <c:pt idx="2088">
                  <c:v>0.997014027999943</c:v>
                </c:pt>
                <c:pt idx="2089">
                  <c:v>0.997023477600534</c:v>
                </c:pt>
                <c:pt idx="2090">
                  <c:v>0.997032927201125</c:v>
                </c:pt>
                <c:pt idx="2091">
                  <c:v>0.997042376801716</c:v>
                </c:pt>
                <c:pt idx="2092">
                  <c:v>0.997051800153416</c:v>
                </c:pt>
                <c:pt idx="2093">
                  <c:v>0.997061210380671</c:v>
                </c:pt>
                <c:pt idx="2094">
                  <c:v>0.997070600921258</c:v>
                </c:pt>
                <c:pt idx="2095">
                  <c:v>0.997079958650732</c:v>
                </c:pt>
                <c:pt idx="2096">
                  <c:v>0.997089211384644</c:v>
                </c:pt>
                <c:pt idx="2097">
                  <c:v>0.997098461493667</c:v>
                </c:pt>
                <c:pt idx="2098">
                  <c:v>0.997107701103133</c:v>
                </c:pt>
                <c:pt idx="2099">
                  <c:v>0.99711692627571</c:v>
                </c:pt>
                <c:pt idx="2100">
                  <c:v>0.997126113387395</c:v>
                </c:pt>
                <c:pt idx="2101">
                  <c:v>0.997135300499081</c:v>
                </c:pt>
                <c:pt idx="2102">
                  <c:v>0.997144487610766</c:v>
                </c:pt>
                <c:pt idx="2103">
                  <c:v>0.99715367406623</c:v>
                </c:pt>
                <c:pt idx="2104">
                  <c:v>0.997162825085691</c:v>
                </c:pt>
                <c:pt idx="2105">
                  <c:v>0.997171933424456</c:v>
                </c:pt>
                <c:pt idx="2106">
                  <c:v>0.997180989291688</c:v>
                </c:pt>
                <c:pt idx="2107">
                  <c:v>0.997190045158921</c:v>
                </c:pt>
                <c:pt idx="2108">
                  <c:v>0.997199093151487</c:v>
                </c:pt>
                <c:pt idx="2109">
                  <c:v>0.997208062397381</c:v>
                </c:pt>
                <c:pt idx="2110">
                  <c:v>0.997216987020161</c:v>
                </c:pt>
                <c:pt idx="2111">
                  <c:v>0.997225911642942</c:v>
                </c:pt>
                <c:pt idx="2112">
                  <c:v>0.997234836265722</c:v>
                </c:pt>
                <c:pt idx="2113">
                  <c:v>0.997243760888502</c:v>
                </c:pt>
                <c:pt idx="2114">
                  <c:v>0.997252685511282</c:v>
                </c:pt>
                <c:pt idx="2115">
                  <c:v>0.997261610134063</c:v>
                </c:pt>
                <c:pt idx="2116">
                  <c:v>0.997270534756843</c:v>
                </c:pt>
                <c:pt idx="2117">
                  <c:v>0.997279458067178</c:v>
                </c:pt>
                <c:pt idx="2118">
                  <c:v>0.997288372190403</c:v>
                </c:pt>
                <c:pt idx="2119">
                  <c:v>0.997297283688737</c:v>
                </c:pt>
                <c:pt idx="2120">
                  <c:v>0.997306142689291</c:v>
                </c:pt>
                <c:pt idx="2121">
                  <c:v>0.997315001689845</c:v>
                </c:pt>
                <c:pt idx="2122">
                  <c:v>0.997323851503287</c:v>
                </c:pt>
                <c:pt idx="2123">
                  <c:v>0.997332699348063</c:v>
                </c:pt>
                <c:pt idx="2124">
                  <c:v>0.997341545224171</c:v>
                </c:pt>
                <c:pt idx="2125">
                  <c:v>0.997350390444058</c:v>
                </c:pt>
                <c:pt idx="2126">
                  <c:v>0.997359210071276</c:v>
                </c:pt>
                <c:pt idx="2127">
                  <c:v>0.997368010668048</c:v>
                </c:pt>
                <c:pt idx="2128">
                  <c:v>0.997376804046376</c:v>
                </c:pt>
                <c:pt idx="2129">
                  <c:v>0.997385597424704</c:v>
                </c:pt>
                <c:pt idx="2130">
                  <c:v>0.997394308775248</c:v>
                </c:pt>
                <c:pt idx="2131">
                  <c:v>0.997403003720236</c:v>
                </c:pt>
                <c:pt idx="2132">
                  <c:v>0.997411665854111</c:v>
                </c:pt>
                <c:pt idx="2133">
                  <c:v>0.997420327987986</c:v>
                </c:pt>
                <c:pt idx="2134">
                  <c:v>0.997428990121861</c:v>
                </c:pt>
                <c:pt idx="2135">
                  <c:v>0.997437644381068</c:v>
                </c:pt>
                <c:pt idx="2136">
                  <c:v>0.997446271078941</c:v>
                </c:pt>
                <c:pt idx="2137">
                  <c:v>0.997454870215479</c:v>
                </c:pt>
                <c:pt idx="2138">
                  <c:v>0.997463466727127</c:v>
                </c:pt>
                <c:pt idx="2139">
                  <c:v>0.997472063238776</c:v>
                </c:pt>
                <c:pt idx="2140">
                  <c:v>0.997480659750424</c:v>
                </c:pt>
                <c:pt idx="2141">
                  <c:v>0.997489237231627</c:v>
                </c:pt>
                <c:pt idx="2142">
                  <c:v>0.997497783870384</c:v>
                </c:pt>
                <c:pt idx="2143">
                  <c:v>0.997506314759806</c:v>
                </c:pt>
                <c:pt idx="2144">
                  <c:v>0.997514843680561</c:v>
                </c:pt>
                <c:pt idx="2145">
                  <c:v>0.997523369320206</c:v>
                </c:pt>
                <c:pt idx="2146">
                  <c:v>0.997531887085183</c:v>
                </c:pt>
                <c:pt idx="2147">
                  <c:v>0.99754040485016</c:v>
                </c:pt>
                <c:pt idx="2148">
                  <c:v>0.997548879960689</c:v>
                </c:pt>
                <c:pt idx="2149">
                  <c:v>0.997557349165219</c:v>
                </c:pt>
                <c:pt idx="2150">
                  <c:v>0.997565765871967</c:v>
                </c:pt>
                <c:pt idx="2151">
                  <c:v>0.997574165516937</c:v>
                </c:pt>
                <c:pt idx="2152">
                  <c:v>0.997582565161907</c:v>
                </c:pt>
                <c:pt idx="2153">
                  <c:v>0.997590964806876</c:v>
                </c:pt>
                <c:pt idx="2154">
                  <c:v>0.997599350014956</c:v>
                </c:pt>
                <c:pt idx="2155">
                  <c:v>0.997607584291915</c:v>
                </c:pt>
                <c:pt idx="2156">
                  <c:v>0.997615818568874</c:v>
                </c:pt>
                <c:pt idx="2157">
                  <c:v>0.997624033159166</c:v>
                </c:pt>
                <c:pt idx="2158">
                  <c:v>0.997632235937456</c:v>
                </c:pt>
                <c:pt idx="2159">
                  <c:v>0.997640438715747</c:v>
                </c:pt>
                <c:pt idx="2160">
                  <c:v>0.997648641494038</c:v>
                </c:pt>
                <c:pt idx="2161">
                  <c:v>0.997656778650102</c:v>
                </c:pt>
                <c:pt idx="2162">
                  <c:v>0.997664881682609</c:v>
                </c:pt>
                <c:pt idx="2163">
                  <c:v>0.99767294271689</c:v>
                </c:pt>
                <c:pt idx="2164">
                  <c:v>0.99768099456406</c:v>
                </c:pt>
                <c:pt idx="2165">
                  <c:v>0.997688911229444</c:v>
                </c:pt>
                <c:pt idx="2166">
                  <c:v>0.997696785896603</c:v>
                </c:pt>
                <c:pt idx="2167">
                  <c:v>0.997704660563762</c:v>
                </c:pt>
                <c:pt idx="2168">
                  <c:v>0.997712535230921</c:v>
                </c:pt>
                <c:pt idx="2169">
                  <c:v>0.997720404648302</c:v>
                </c:pt>
                <c:pt idx="2170">
                  <c:v>0.997728274065683</c:v>
                </c:pt>
                <c:pt idx="2171">
                  <c:v>0.997736140858175</c:v>
                </c:pt>
                <c:pt idx="2172">
                  <c:v>0.997743995838666</c:v>
                </c:pt>
                <c:pt idx="2173">
                  <c:v>0.997751838350934</c:v>
                </c:pt>
                <c:pt idx="2174">
                  <c:v>0.99775968020698</c:v>
                </c:pt>
                <c:pt idx="2175">
                  <c:v>0.997767522063026</c:v>
                </c:pt>
                <c:pt idx="2176">
                  <c:v>0.997775317983513</c:v>
                </c:pt>
                <c:pt idx="2177">
                  <c:v>0.99778308765511</c:v>
                </c:pt>
                <c:pt idx="2178">
                  <c:v>0.997790840264928</c:v>
                </c:pt>
                <c:pt idx="2179">
                  <c:v>0.997798583687634</c:v>
                </c:pt>
                <c:pt idx="2180">
                  <c:v>0.997806327110341</c:v>
                </c:pt>
                <c:pt idx="2181">
                  <c:v>0.997814070533047</c:v>
                </c:pt>
                <c:pt idx="2182">
                  <c:v>0.997821813955753</c:v>
                </c:pt>
                <c:pt idx="2183">
                  <c:v>0.99782955737846</c:v>
                </c:pt>
                <c:pt idx="2184">
                  <c:v>0.99783723517894</c:v>
                </c:pt>
                <c:pt idx="2185">
                  <c:v>0.997844897230086</c:v>
                </c:pt>
                <c:pt idx="2186">
                  <c:v>0.99785253565723</c:v>
                </c:pt>
                <c:pt idx="2187">
                  <c:v>0.997860147835484</c:v>
                </c:pt>
                <c:pt idx="2188">
                  <c:v>0.997867760013737</c:v>
                </c:pt>
                <c:pt idx="2189">
                  <c:v>0.997875372191991</c:v>
                </c:pt>
                <c:pt idx="2190">
                  <c:v>0.997882960746243</c:v>
                </c:pt>
                <c:pt idx="2191">
                  <c:v>0.997890546675606</c:v>
                </c:pt>
                <c:pt idx="2192">
                  <c:v>0.997898128667636</c:v>
                </c:pt>
                <c:pt idx="2193">
                  <c:v>0.997905675223663</c:v>
                </c:pt>
                <c:pt idx="2194">
                  <c:v>0.997913211280134</c:v>
                </c:pt>
                <c:pt idx="2195">
                  <c:v>0.997920698776158</c:v>
                </c:pt>
                <c:pt idx="2196">
                  <c:v>0.997928179709959</c:v>
                </c:pt>
                <c:pt idx="2197">
                  <c:v>0.99793566064376</c:v>
                </c:pt>
                <c:pt idx="2198">
                  <c:v>0.997943141577561</c:v>
                </c:pt>
                <c:pt idx="2199">
                  <c:v>0.997950622511363</c:v>
                </c:pt>
                <c:pt idx="2200">
                  <c:v>0.997958052259827</c:v>
                </c:pt>
                <c:pt idx="2201">
                  <c:v>0.997965467571402</c:v>
                </c:pt>
                <c:pt idx="2202">
                  <c:v>0.99797281726075</c:v>
                </c:pt>
                <c:pt idx="2203">
                  <c:v>0.997980166950098</c:v>
                </c:pt>
                <c:pt idx="2204">
                  <c:v>0.997987516639447</c:v>
                </c:pt>
                <c:pt idx="2205">
                  <c:v>0.997994840112716</c:v>
                </c:pt>
                <c:pt idx="2206">
                  <c:v>0.998002134023172</c:v>
                </c:pt>
                <c:pt idx="2207">
                  <c:v>0.998009418090294</c:v>
                </c:pt>
                <c:pt idx="2208">
                  <c:v>0.998016658846747</c:v>
                </c:pt>
                <c:pt idx="2209">
                  <c:v>0.99802388254142</c:v>
                </c:pt>
                <c:pt idx="2210">
                  <c:v>0.998031100986316</c:v>
                </c:pt>
                <c:pt idx="2211">
                  <c:v>0.998038301056988</c:v>
                </c:pt>
                <c:pt idx="2212">
                  <c:v>0.998045489400969</c:v>
                </c:pt>
                <c:pt idx="2213">
                  <c:v>0.99805267175364</c:v>
                </c:pt>
                <c:pt idx="2214">
                  <c:v>0.998059840981866</c:v>
                </c:pt>
                <c:pt idx="2215">
                  <c:v>0.998067010210092</c:v>
                </c:pt>
                <c:pt idx="2216">
                  <c:v>0.998074155158094</c:v>
                </c:pt>
                <c:pt idx="2217">
                  <c:v>0.998081262045205</c:v>
                </c:pt>
                <c:pt idx="2218">
                  <c:v>0.998088349245649</c:v>
                </c:pt>
                <c:pt idx="2219">
                  <c:v>0.998095436446092</c:v>
                </c:pt>
                <c:pt idx="2220">
                  <c:v>0.998102479023421</c:v>
                </c:pt>
                <c:pt idx="2221">
                  <c:v>0.998109461228302</c:v>
                </c:pt>
                <c:pt idx="2222">
                  <c:v>0.998116435558516</c:v>
                </c:pt>
                <c:pt idx="2223">
                  <c:v>0.998123391514506</c:v>
                </c:pt>
                <c:pt idx="2224">
                  <c:v>0.998130321221606</c:v>
                </c:pt>
                <c:pt idx="2225">
                  <c:v>0.998137250928706</c:v>
                </c:pt>
                <c:pt idx="2226">
                  <c:v>0.998144170792472</c:v>
                </c:pt>
                <c:pt idx="2227">
                  <c:v>0.998151090000016</c:v>
                </c:pt>
                <c:pt idx="2228">
                  <c:v>0.99815798033378</c:v>
                </c:pt>
                <c:pt idx="2229">
                  <c:v>0.99816485229332</c:v>
                </c:pt>
                <c:pt idx="2230">
                  <c:v>0.998171724252861</c:v>
                </c:pt>
                <c:pt idx="2231">
                  <c:v>0.998178583087957</c:v>
                </c:pt>
                <c:pt idx="2232">
                  <c:v>0.99818544126683</c:v>
                </c:pt>
                <c:pt idx="2233">
                  <c:v>0.998192265978368</c:v>
                </c:pt>
                <c:pt idx="2234">
                  <c:v>0.998199090689905</c:v>
                </c:pt>
                <c:pt idx="2235">
                  <c:v>0.998205910151665</c:v>
                </c:pt>
                <c:pt idx="2236">
                  <c:v>0.998212709926757</c:v>
                </c:pt>
                <c:pt idx="2237">
                  <c:v>0.998219426361621</c:v>
                </c:pt>
                <c:pt idx="2238">
                  <c:v>0.998226140827819</c:v>
                </c:pt>
                <c:pt idx="2239">
                  <c:v>0.998232811983347</c:v>
                </c:pt>
                <c:pt idx="2240">
                  <c:v>0.998239479201542</c:v>
                </c:pt>
                <c:pt idx="2241">
                  <c:v>0.998246124764402</c:v>
                </c:pt>
                <c:pt idx="2242">
                  <c:v>0.998252744734593</c:v>
                </c:pt>
                <c:pt idx="2243">
                  <c:v>0.998259352892784</c:v>
                </c:pt>
                <c:pt idx="2244">
                  <c:v>0.998265928239862</c:v>
                </c:pt>
                <c:pt idx="2245">
                  <c:v>0.998272490462494</c:v>
                </c:pt>
                <c:pt idx="2246">
                  <c:v>0.998279052685127</c:v>
                </c:pt>
                <c:pt idx="2247">
                  <c:v>0.99828561490776</c:v>
                </c:pt>
                <c:pt idx="2248">
                  <c:v>0.998292177130392</c:v>
                </c:pt>
                <c:pt idx="2249">
                  <c:v>0.998298732790802</c:v>
                </c:pt>
                <c:pt idx="2250">
                  <c:v>0.998305288451212</c:v>
                </c:pt>
                <c:pt idx="2251">
                  <c:v>0.998311815723446</c:v>
                </c:pt>
                <c:pt idx="2252">
                  <c:v>0.998318314948742</c:v>
                </c:pt>
                <c:pt idx="2253">
                  <c:v>0.998324811549148</c:v>
                </c:pt>
                <c:pt idx="2254">
                  <c:v>0.998331308149554</c:v>
                </c:pt>
                <c:pt idx="2255">
                  <c:v>0.998337779813514</c:v>
                </c:pt>
                <c:pt idx="2256">
                  <c:v>0.998344247540141</c:v>
                </c:pt>
                <c:pt idx="2257">
                  <c:v>0.998350714610545</c:v>
                </c:pt>
                <c:pt idx="2258">
                  <c:v>0.998357171837616</c:v>
                </c:pt>
                <c:pt idx="2259">
                  <c:v>0.998363602815795</c:v>
                </c:pt>
                <c:pt idx="2260">
                  <c:v>0.998370033793975</c:v>
                </c:pt>
                <c:pt idx="2261">
                  <c:v>0.998376464772155</c:v>
                </c:pt>
                <c:pt idx="2262">
                  <c:v>0.998382895750335</c:v>
                </c:pt>
                <c:pt idx="2263">
                  <c:v>0.998389326728515</c:v>
                </c:pt>
                <c:pt idx="2264">
                  <c:v>0.998395757706695</c:v>
                </c:pt>
                <c:pt idx="2265">
                  <c:v>0.998402188684875</c:v>
                </c:pt>
                <c:pt idx="2266">
                  <c:v>0.998408619663055</c:v>
                </c:pt>
                <c:pt idx="2267">
                  <c:v>0.998415050641234</c:v>
                </c:pt>
                <c:pt idx="2268">
                  <c:v>0.998421481619414</c:v>
                </c:pt>
                <c:pt idx="2269">
                  <c:v>0.998427912597594</c:v>
                </c:pt>
                <c:pt idx="2270">
                  <c:v>0.998434343575774</c:v>
                </c:pt>
                <c:pt idx="2271">
                  <c:v>0.998440774553954</c:v>
                </c:pt>
                <c:pt idx="2272">
                  <c:v>0.998447192407688</c:v>
                </c:pt>
                <c:pt idx="2273">
                  <c:v>0.99845356301342</c:v>
                </c:pt>
                <c:pt idx="2274">
                  <c:v>0.998459900808039</c:v>
                </c:pt>
                <c:pt idx="2275">
                  <c:v>0.998466202510433</c:v>
                </c:pt>
                <c:pt idx="2276">
                  <c:v>0.99847250224416</c:v>
                </c:pt>
                <c:pt idx="2277">
                  <c:v>0.998478801977887</c:v>
                </c:pt>
                <c:pt idx="2278">
                  <c:v>0.998485101711614</c:v>
                </c:pt>
                <c:pt idx="2279">
                  <c:v>0.998491401445341</c:v>
                </c:pt>
                <c:pt idx="2280">
                  <c:v>0.998497680179956</c:v>
                </c:pt>
                <c:pt idx="2281">
                  <c:v>0.998503918228791</c:v>
                </c:pt>
                <c:pt idx="2282">
                  <c:v>0.998510152340292</c:v>
                </c:pt>
                <c:pt idx="2283">
                  <c:v>0.998516350359568</c:v>
                </c:pt>
                <c:pt idx="2284">
                  <c:v>0.998522524754843</c:v>
                </c:pt>
                <c:pt idx="2285">
                  <c:v>0.998528693244118</c:v>
                </c:pt>
                <c:pt idx="2286">
                  <c:v>0.998534861733392</c:v>
                </c:pt>
                <c:pt idx="2287">
                  <c:v>0.998541007254888</c:v>
                </c:pt>
                <c:pt idx="2288">
                  <c:v>0.998547149495272</c:v>
                </c:pt>
                <c:pt idx="2289">
                  <c:v>0.99855327861121</c:v>
                </c:pt>
                <c:pt idx="2290">
                  <c:v>0.998559407727149</c:v>
                </c:pt>
                <c:pt idx="2291">
                  <c:v>0.998565526343532</c:v>
                </c:pt>
                <c:pt idx="2292">
                  <c:v>0.998571589837244</c:v>
                </c:pt>
                <c:pt idx="2293">
                  <c:v>0.998577627082066</c:v>
                </c:pt>
                <c:pt idx="2294">
                  <c:v>0.998583664326888</c:v>
                </c:pt>
                <c:pt idx="2295">
                  <c:v>0.998589696321932</c:v>
                </c:pt>
                <c:pt idx="2296">
                  <c:v>0.998595713880086</c:v>
                </c:pt>
                <c:pt idx="2297">
                  <c:v>0.998601723563572</c:v>
                </c:pt>
                <c:pt idx="2298">
                  <c:v>0.998607708310613</c:v>
                </c:pt>
                <c:pt idx="2299">
                  <c:v>0.998613685182987</c:v>
                </c:pt>
                <c:pt idx="2300">
                  <c:v>0.998619591183356</c:v>
                </c:pt>
                <c:pt idx="2301">
                  <c:v>0.998625497183725</c:v>
                </c:pt>
                <c:pt idx="2302">
                  <c:v>0.998631403184095</c:v>
                </c:pt>
                <c:pt idx="2303">
                  <c:v>0.998637307215797</c:v>
                </c:pt>
                <c:pt idx="2304">
                  <c:v>0.998643205341499</c:v>
                </c:pt>
                <c:pt idx="2305">
                  <c:v>0.998649099529868</c:v>
                </c:pt>
                <c:pt idx="2306">
                  <c:v>0.998654967469346</c:v>
                </c:pt>
                <c:pt idx="2307">
                  <c:v>0.998660820971934</c:v>
                </c:pt>
                <c:pt idx="2308">
                  <c:v>0.998666673162077</c:v>
                </c:pt>
                <c:pt idx="2309">
                  <c:v>0.99867251354022</c:v>
                </c:pt>
                <c:pt idx="2310">
                  <c:v>0.998678353918363</c:v>
                </c:pt>
                <c:pt idx="2311">
                  <c:v>0.998684189046728</c:v>
                </c:pt>
                <c:pt idx="2312">
                  <c:v>0.998689985339859</c:v>
                </c:pt>
                <c:pt idx="2313">
                  <c:v>0.998695760095776</c:v>
                </c:pt>
                <c:pt idx="2314">
                  <c:v>0.998701534851692</c:v>
                </c:pt>
                <c:pt idx="2315">
                  <c:v>0.998707309607609</c:v>
                </c:pt>
                <c:pt idx="2316">
                  <c:v>0.998713084363526</c:v>
                </c:pt>
                <c:pt idx="2317">
                  <c:v>0.998718859119442</c:v>
                </c:pt>
                <c:pt idx="2318">
                  <c:v>0.998724633875359</c:v>
                </c:pt>
                <c:pt idx="2319">
                  <c:v>0.998730408631275</c:v>
                </c:pt>
                <c:pt idx="2320">
                  <c:v>0.998736180762303</c:v>
                </c:pt>
                <c:pt idx="2321">
                  <c:v>0.998741892520882</c:v>
                </c:pt>
                <c:pt idx="2322">
                  <c:v>0.998747509783456</c:v>
                </c:pt>
                <c:pt idx="2323">
                  <c:v>0.998753120483806</c:v>
                </c:pt>
                <c:pt idx="2324">
                  <c:v>0.998758635375707</c:v>
                </c:pt>
                <c:pt idx="2325">
                  <c:v>0.998764147642718</c:v>
                </c:pt>
                <c:pt idx="2326">
                  <c:v>0.998769659909729</c:v>
                </c:pt>
                <c:pt idx="2327">
                  <c:v>0.998775162333407</c:v>
                </c:pt>
                <c:pt idx="2328">
                  <c:v>0.998780648351527</c:v>
                </c:pt>
                <c:pt idx="2329">
                  <c:v>0.99878603921742</c:v>
                </c:pt>
                <c:pt idx="2330">
                  <c:v>0.998791412365311</c:v>
                </c:pt>
                <c:pt idx="2331">
                  <c:v>0.998796778294758</c:v>
                </c:pt>
                <c:pt idx="2332">
                  <c:v>0.998802109444425</c:v>
                </c:pt>
                <c:pt idx="2333">
                  <c:v>0.998807380877865</c:v>
                </c:pt>
                <c:pt idx="2334">
                  <c:v>0.998812645092861</c:v>
                </c:pt>
                <c:pt idx="2335">
                  <c:v>0.998817894870967</c:v>
                </c:pt>
                <c:pt idx="2336">
                  <c:v>0.998823144649073</c:v>
                </c:pt>
                <c:pt idx="2337">
                  <c:v>0.99882839180229</c:v>
                </c:pt>
                <c:pt idx="2338">
                  <c:v>0.998833638955507</c:v>
                </c:pt>
                <c:pt idx="2339">
                  <c:v>0.998838883483835</c:v>
                </c:pt>
                <c:pt idx="2340">
                  <c:v>0.998844128012163</c:v>
                </c:pt>
                <c:pt idx="2341">
                  <c:v>0.998849302324708</c:v>
                </c:pt>
                <c:pt idx="2342">
                  <c:v>0.998854472043698</c:v>
                </c:pt>
                <c:pt idx="2343">
                  <c:v>0.998859590577352</c:v>
                </c:pt>
                <c:pt idx="2344">
                  <c:v>0.998864709111005</c:v>
                </c:pt>
                <c:pt idx="2345">
                  <c:v>0.998869827644658</c:v>
                </c:pt>
                <c:pt idx="2346">
                  <c:v>0.998874946178312</c:v>
                </c:pt>
                <c:pt idx="2347">
                  <c:v>0.998880064711965</c:v>
                </c:pt>
                <c:pt idx="2348">
                  <c:v>0.998885183245619</c:v>
                </c:pt>
                <c:pt idx="2349">
                  <c:v>0.998890301779272</c:v>
                </c:pt>
                <c:pt idx="2350">
                  <c:v>0.998895420312925</c:v>
                </c:pt>
                <c:pt idx="2351">
                  <c:v>0.998900530971911</c:v>
                </c:pt>
                <c:pt idx="2352">
                  <c:v>0.998905641630898</c:v>
                </c:pt>
                <c:pt idx="2353">
                  <c:v>0.99891074923845</c:v>
                </c:pt>
                <c:pt idx="2354">
                  <c:v>0.998915853335214</c:v>
                </c:pt>
                <c:pt idx="2355">
                  <c:v>0.998920932495532</c:v>
                </c:pt>
                <c:pt idx="2356">
                  <c:v>0.998926003781182</c:v>
                </c:pt>
                <c:pt idx="2357">
                  <c:v>0.998931056692609</c:v>
                </c:pt>
                <c:pt idx="2358">
                  <c:v>0.998936096479591</c:v>
                </c:pt>
                <c:pt idx="2359">
                  <c:v>0.998941112642571</c:v>
                </c:pt>
                <c:pt idx="2360">
                  <c:v>0.998946101244216</c:v>
                </c:pt>
                <c:pt idx="2361">
                  <c:v>0.998951088533417</c:v>
                </c:pt>
                <c:pt idx="2362">
                  <c:v>0.99895607057284</c:v>
                </c:pt>
                <c:pt idx="2363">
                  <c:v>0.998960992239814</c:v>
                </c:pt>
                <c:pt idx="2364">
                  <c:v>0.998965913906788</c:v>
                </c:pt>
                <c:pt idx="2365">
                  <c:v>0.998970834261318</c:v>
                </c:pt>
                <c:pt idx="2366">
                  <c:v>0.998975725866751</c:v>
                </c:pt>
                <c:pt idx="2367">
                  <c:v>0.998980584536388</c:v>
                </c:pt>
                <c:pt idx="2368">
                  <c:v>0.998985443206025</c:v>
                </c:pt>
                <c:pt idx="2369">
                  <c:v>0.998990294210986</c:v>
                </c:pt>
                <c:pt idx="2370">
                  <c:v>0.998995141068622</c:v>
                </c:pt>
                <c:pt idx="2371">
                  <c:v>0.998999972616593</c:v>
                </c:pt>
                <c:pt idx="2372">
                  <c:v>0.999004791912895</c:v>
                </c:pt>
                <c:pt idx="2373">
                  <c:v>0.99900958627275</c:v>
                </c:pt>
                <c:pt idx="2374">
                  <c:v>0.99901433863438</c:v>
                </c:pt>
                <c:pt idx="2375">
                  <c:v>0.999019076559121</c:v>
                </c:pt>
                <c:pt idx="2376">
                  <c:v>0.999023801359416</c:v>
                </c:pt>
                <c:pt idx="2377">
                  <c:v>0.999028526159712</c:v>
                </c:pt>
                <c:pt idx="2378">
                  <c:v>0.999033244397785</c:v>
                </c:pt>
                <c:pt idx="2379">
                  <c:v>0.999037910138076</c:v>
                </c:pt>
                <c:pt idx="2380">
                  <c:v>0.99904257062859</c:v>
                </c:pt>
                <c:pt idx="2381">
                  <c:v>0.999047228494215</c:v>
                </c:pt>
                <c:pt idx="2382">
                  <c:v>0.999051877172727</c:v>
                </c:pt>
                <c:pt idx="2383">
                  <c:v>0.999056521913907</c:v>
                </c:pt>
                <c:pt idx="2384">
                  <c:v>0.999061148280863</c:v>
                </c:pt>
                <c:pt idx="2385">
                  <c:v>0.999065768085596</c:v>
                </c:pt>
                <c:pt idx="2386">
                  <c:v>0.999070387890329</c:v>
                </c:pt>
                <c:pt idx="2387">
                  <c:v>0.999074981446172</c:v>
                </c:pt>
                <c:pt idx="2388">
                  <c:v>0.999079572377126</c:v>
                </c:pt>
                <c:pt idx="2389">
                  <c:v>0.999084116716299</c:v>
                </c:pt>
                <c:pt idx="2390">
                  <c:v>0.999088644649915</c:v>
                </c:pt>
                <c:pt idx="2391">
                  <c:v>0.999093172583531</c:v>
                </c:pt>
                <c:pt idx="2392">
                  <c:v>0.999097700517148</c:v>
                </c:pt>
                <c:pt idx="2393">
                  <c:v>0.99910222451343</c:v>
                </c:pt>
                <c:pt idx="2394">
                  <c:v>0.999106748509713</c:v>
                </c:pt>
                <c:pt idx="2395">
                  <c:v>0.999111210821103</c:v>
                </c:pt>
                <c:pt idx="2396">
                  <c:v>0.999115673132493</c:v>
                </c:pt>
                <c:pt idx="2397">
                  <c:v>0.999120135443884</c:v>
                </c:pt>
                <c:pt idx="2398">
                  <c:v>0.999124597755274</c:v>
                </c:pt>
                <c:pt idx="2399">
                  <c:v>0.999129060066664</c:v>
                </c:pt>
                <c:pt idx="2400">
                  <c:v>0.999133522378054</c:v>
                </c:pt>
                <c:pt idx="2401">
                  <c:v>0.999137984689444</c:v>
                </c:pt>
                <c:pt idx="2402">
                  <c:v>0.999142447000834</c:v>
                </c:pt>
                <c:pt idx="2403">
                  <c:v>0.999146904062446</c:v>
                </c:pt>
                <c:pt idx="2404">
                  <c:v>0.999151350624502</c:v>
                </c:pt>
                <c:pt idx="2405">
                  <c:v>0.999155773562556</c:v>
                </c:pt>
                <c:pt idx="2406">
                  <c:v>0.999160183376165</c:v>
                </c:pt>
                <c:pt idx="2407">
                  <c:v>0.999164580065329</c:v>
                </c:pt>
                <c:pt idx="2408">
                  <c:v>0.999168972160937</c:v>
                </c:pt>
                <c:pt idx="2409">
                  <c:v>0.999173326851876</c:v>
                </c:pt>
                <c:pt idx="2410">
                  <c:v>0.999177657918813</c:v>
                </c:pt>
                <c:pt idx="2411">
                  <c:v>0.99918197717375</c:v>
                </c:pt>
                <c:pt idx="2412">
                  <c:v>0.999186281991797</c:v>
                </c:pt>
                <c:pt idx="2413">
                  <c:v>0.999190547436508</c:v>
                </c:pt>
                <c:pt idx="2414">
                  <c:v>0.999194811568774</c:v>
                </c:pt>
                <c:pt idx="2415">
                  <c:v>0.999199070451263</c:v>
                </c:pt>
                <c:pt idx="2416">
                  <c:v>0.999203275523526</c:v>
                </c:pt>
                <c:pt idx="2417">
                  <c:v>0.999207477314677</c:v>
                </c:pt>
                <c:pt idx="2418">
                  <c:v>0.999211677137162</c:v>
                </c:pt>
                <c:pt idx="2419">
                  <c:v>0.999215876959647</c:v>
                </c:pt>
                <c:pt idx="2420">
                  <c:v>0.999220069563687</c:v>
                </c:pt>
                <c:pt idx="2421">
                  <c:v>0.999224238543725</c:v>
                </c:pt>
                <c:pt idx="2422">
                  <c:v>0.999228372743984</c:v>
                </c:pt>
                <c:pt idx="2423">
                  <c:v>0.999232506944242</c:v>
                </c:pt>
                <c:pt idx="2424">
                  <c:v>0.9992366234265</c:v>
                </c:pt>
                <c:pt idx="2425">
                  <c:v>0.999240698566754</c:v>
                </c:pt>
                <c:pt idx="2426">
                  <c:v>0.999244767144787</c:v>
                </c:pt>
                <c:pt idx="2427">
                  <c:v>0.999248835722819</c:v>
                </c:pt>
                <c:pt idx="2428">
                  <c:v>0.999252839991069</c:v>
                </c:pt>
                <c:pt idx="2429">
                  <c:v>0.999256777324649</c:v>
                </c:pt>
                <c:pt idx="2430">
                  <c:v>0.999260714658228</c:v>
                </c:pt>
                <c:pt idx="2431">
                  <c:v>0.999264651991808</c:v>
                </c:pt>
                <c:pt idx="2432">
                  <c:v>0.999268588012943</c:v>
                </c:pt>
                <c:pt idx="2433">
                  <c:v>0.999272522721633</c:v>
                </c:pt>
                <c:pt idx="2434">
                  <c:v>0.999276454805434</c:v>
                </c:pt>
                <c:pt idx="2435">
                  <c:v>0.999280364577679</c:v>
                </c:pt>
                <c:pt idx="2436">
                  <c:v>0.999284266567127</c:v>
                </c:pt>
                <c:pt idx="2437">
                  <c:v>0.999288154027815</c:v>
                </c:pt>
                <c:pt idx="2438">
                  <c:v>0.999291999490277</c:v>
                </c:pt>
                <c:pt idx="2439">
                  <c:v>0.999295805579404</c:v>
                </c:pt>
                <c:pt idx="2440">
                  <c:v>0.999299611668531</c:v>
                </c:pt>
                <c:pt idx="2441">
                  <c:v>0.999303417757658</c:v>
                </c:pt>
                <c:pt idx="2442">
                  <c:v>0.999307223846785</c:v>
                </c:pt>
                <c:pt idx="2443">
                  <c:v>0.999311029935912</c:v>
                </c:pt>
                <c:pt idx="2444">
                  <c:v>0.999314809776148</c:v>
                </c:pt>
                <c:pt idx="2445">
                  <c:v>0.999318583054162</c:v>
                </c:pt>
                <c:pt idx="2446">
                  <c:v>0.999322356332175</c:v>
                </c:pt>
                <c:pt idx="2447">
                  <c:v>0.999326128297745</c:v>
                </c:pt>
                <c:pt idx="2448">
                  <c:v>0.999329887795091</c:v>
                </c:pt>
                <c:pt idx="2449">
                  <c:v>0.999333608575323</c:v>
                </c:pt>
                <c:pt idx="2450">
                  <c:v>0.999337323449556</c:v>
                </c:pt>
                <c:pt idx="2451">
                  <c:v>0.999341029792898</c:v>
                </c:pt>
                <c:pt idx="2452">
                  <c:v>0.999344704637573</c:v>
                </c:pt>
                <c:pt idx="2453">
                  <c:v>0.999348379482247</c:v>
                </c:pt>
                <c:pt idx="2454">
                  <c:v>0.999352054326921</c:v>
                </c:pt>
                <c:pt idx="2455">
                  <c:v>0.999355713422261</c:v>
                </c:pt>
                <c:pt idx="2456">
                  <c:v>0.999359369892712</c:v>
                </c:pt>
                <c:pt idx="2457">
                  <c:v>0.999363023738274</c:v>
                </c:pt>
                <c:pt idx="2458">
                  <c:v>0.999366655928501</c:v>
                </c:pt>
                <c:pt idx="2459">
                  <c:v>0.999370265150948</c:v>
                </c:pt>
                <c:pt idx="2460">
                  <c:v>0.99937383762495</c:v>
                </c:pt>
                <c:pt idx="2461">
                  <c:v>0.999377402224284</c:v>
                </c:pt>
                <c:pt idx="2462">
                  <c:v>0.999380945824505</c:v>
                </c:pt>
                <c:pt idx="2463">
                  <c:v>0.999384489424727</c:v>
                </c:pt>
                <c:pt idx="2464">
                  <c:v>0.999388019900503</c:v>
                </c:pt>
                <c:pt idx="2465">
                  <c:v>0.999391541189168</c:v>
                </c:pt>
                <c:pt idx="2466">
                  <c:v>0.99939506182161</c:v>
                </c:pt>
                <c:pt idx="2467">
                  <c:v>0.999398558173829</c:v>
                </c:pt>
                <c:pt idx="2468">
                  <c:v>0.999402049276269</c:v>
                </c:pt>
                <c:pt idx="2469">
                  <c:v>0.999405529879153</c:v>
                </c:pt>
                <c:pt idx="2470">
                  <c:v>0.999409001570539</c:v>
                </c:pt>
                <c:pt idx="2471">
                  <c:v>0.999412448049866</c:v>
                </c:pt>
                <c:pt idx="2472">
                  <c:v>0.999415860405635</c:v>
                </c:pt>
                <c:pt idx="2473">
                  <c:v>0.999419267511626</c:v>
                </c:pt>
                <c:pt idx="2474">
                  <c:v>0.999422674617616</c:v>
                </c:pt>
                <c:pt idx="2475">
                  <c:v>0.999426081723607</c:v>
                </c:pt>
                <c:pt idx="2476">
                  <c:v>0.999429446831373</c:v>
                </c:pt>
                <c:pt idx="2477">
                  <c:v>0.999432797502249</c:v>
                </c:pt>
                <c:pt idx="2478">
                  <c:v>0.999436144235792</c:v>
                </c:pt>
                <c:pt idx="2479">
                  <c:v>0.999439487688223</c:v>
                </c:pt>
                <c:pt idx="2480">
                  <c:v>0.999442826547098</c:v>
                </c:pt>
                <c:pt idx="2481">
                  <c:v>0.999446153593973</c:v>
                </c:pt>
                <c:pt idx="2482">
                  <c:v>0.999449434705289</c:v>
                </c:pt>
                <c:pt idx="2483">
                  <c:v>0.999452714504161</c:v>
                </c:pt>
                <c:pt idx="2484">
                  <c:v>0.999455989053255</c:v>
                </c:pt>
                <c:pt idx="2485">
                  <c:v>0.99945924391568</c:v>
                </c:pt>
                <c:pt idx="2486">
                  <c:v>0.999462496809439</c:v>
                </c:pt>
                <c:pt idx="2487">
                  <c:v>0.99946573854742</c:v>
                </c:pt>
                <c:pt idx="2488">
                  <c:v>0.999468965914133</c:v>
                </c:pt>
                <c:pt idx="2489">
                  <c:v>0.999472181403223</c:v>
                </c:pt>
                <c:pt idx="2490">
                  <c:v>0.999475396892312</c:v>
                </c:pt>
                <c:pt idx="2491">
                  <c:v>0.999478612381402</c:v>
                </c:pt>
                <c:pt idx="2492">
                  <c:v>0.999481776685156</c:v>
                </c:pt>
                <c:pt idx="2493">
                  <c:v>0.999484926552019</c:v>
                </c:pt>
                <c:pt idx="2494">
                  <c:v>0.999488076418883</c:v>
                </c:pt>
                <c:pt idx="2495">
                  <c:v>0.999491226285746</c:v>
                </c:pt>
                <c:pt idx="2496">
                  <c:v>0.99949437615261</c:v>
                </c:pt>
                <c:pt idx="2497">
                  <c:v>0.999497526019473</c:v>
                </c:pt>
                <c:pt idx="2498">
                  <c:v>0.999500675886337</c:v>
                </c:pt>
                <c:pt idx="2499">
                  <c:v>0.999503825753201</c:v>
                </c:pt>
                <c:pt idx="2500">
                  <c:v>0.999506975620064</c:v>
                </c:pt>
                <c:pt idx="2501">
                  <c:v>0.999510122862039</c:v>
                </c:pt>
                <c:pt idx="2502">
                  <c:v>0.999513269447791</c:v>
                </c:pt>
                <c:pt idx="2503">
                  <c:v>0.999516408815098</c:v>
                </c:pt>
                <c:pt idx="2504">
                  <c:v>0.999519525214627</c:v>
                </c:pt>
                <c:pt idx="2505">
                  <c:v>0.99952262586482</c:v>
                </c:pt>
                <c:pt idx="2506">
                  <c:v>0.999525683860567</c:v>
                </c:pt>
                <c:pt idx="2507">
                  <c:v>0.999528699858089</c:v>
                </c:pt>
                <c:pt idx="2508">
                  <c:v>0.999531715855611</c:v>
                </c:pt>
                <c:pt idx="2509">
                  <c:v>0.999534716103799</c:v>
                </c:pt>
                <c:pt idx="2510">
                  <c:v>0.999537669103983</c:v>
                </c:pt>
                <c:pt idx="2511">
                  <c:v>0.999540622104168</c:v>
                </c:pt>
                <c:pt idx="2512">
                  <c:v>0.999543571167019</c:v>
                </c:pt>
                <c:pt idx="2513">
                  <c:v>0.99954652022987</c:v>
                </c:pt>
                <c:pt idx="2514">
                  <c:v>0.999549440418941</c:v>
                </c:pt>
                <c:pt idx="2515">
                  <c:v>0.999552332390455</c:v>
                </c:pt>
                <c:pt idx="2516">
                  <c:v>0.999555219768414</c:v>
                </c:pt>
                <c:pt idx="2517">
                  <c:v>0.999558088772149</c:v>
                </c:pt>
                <c:pt idx="2518">
                  <c:v>0.999560946620105</c:v>
                </c:pt>
                <c:pt idx="2519">
                  <c:v>0.999563771656948</c:v>
                </c:pt>
                <c:pt idx="2520">
                  <c:v>0.99956659341268</c:v>
                </c:pt>
                <c:pt idx="2521">
                  <c:v>0.999569396794189</c:v>
                </c:pt>
                <c:pt idx="2522">
                  <c:v>0.999572167364584</c:v>
                </c:pt>
                <c:pt idx="2523">
                  <c:v>0.999574936622535</c:v>
                </c:pt>
                <c:pt idx="2524">
                  <c:v>0.999577699318264</c:v>
                </c:pt>
                <c:pt idx="2525">
                  <c:v>0.999580454139325</c:v>
                </c:pt>
                <c:pt idx="2526">
                  <c:v>0.999583202398163</c:v>
                </c:pt>
                <c:pt idx="2527">
                  <c:v>0.999585950657002</c:v>
                </c:pt>
                <c:pt idx="2528">
                  <c:v>0.999588696290951</c:v>
                </c:pt>
                <c:pt idx="2529">
                  <c:v>0.999591441924901</c:v>
                </c:pt>
                <c:pt idx="2530">
                  <c:v>0.999594184933961</c:v>
                </c:pt>
                <c:pt idx="2531">
                  <c:v>0.999596923349466</c:v>
                </c:pt>
                <c:pt idx="2532">
                  <c:v>0.999599658483859</c:v>
                </c:pt>
                <c:pt idx="2533">
                  <c:v>0.999602387712252</c:v>
                </c:pt>
                <c:pt idx="2534">
                  <c:v>0.999605112347089</c:v>
                </c:pt>
                <c:pt idx="2535">
                  <c:v>0.999607789733923</c:v>
                </c:pt>
                <c:pt idx="2536">
                  <c:v>0.9996104566212</c:v>
                </c:pt>
                <c:pt idx="2537">
                  <c:v>0.999613081510253</c:v>
                </c:pt>
                <c:pt idx="2538">
                  <c:v>0.999615705743084</c:v>
                </c:pt>
                <c:pt idx="2539">
                  <c:v>0.999618329319693</c:v>
                </c:pt>
                <c:pt idx="2540">
                  <c:v>0.999620952896301</c:v>
                </c:pt>
                <c:pt idx="2541">
                  <c:v>0.99962357647291</c:v>
                </c:pt>
                <c:pt idx="2542">
                  <c:v>0.999626198737074</c:v>
                </c:pt>
                <c:pt idx="2543">
                  <c:v>0.999628821001238</c:v>
                </c:pt>
                <c:pt idx="2544">
                  <c:v>0.999631443265401</c:v>
                </c:pt>
                <c:pt idx="2545">
                  <c:v>0.999634062904676</c:v>
                </c:pt>
                <c:pt idx="2546">
                  <c:v>0.999636681231507</c:v>
                </c:pt>
                <c:pt idx="2547">
                  <c:v>0.999639299558337</c:v>
                </c:pt>
                <c:pt idx="2548">
                  <c:v>0.999641878511832</c:v>
                </c:pt>
                <c:pt idx="2549">
                  <c:v>0.999644445653325</c:v>
                </c:pt>
                <c:pt idx="2550">
                  <c:v>0.999647004920152</c:v>
                </c:pt>
                <c:pt idx="2551">
                  <c:v>0.999649564186979</c:v>
                </c:pt>
                <c:pt idx="2552">
                  <c:v>0.999652123453806</c:v>
                </c:pt>
                <c:pt idx="2553">
                  <c:v>0.999654678783299</c:v>
                </c:pt>
                <c:pt idx="2554">
                  <c:v>0.999657220988346</c:v>
                </c:pt>
                <c:pt idx="2555">
                  <c:v>0.99965974744406</c:v>
                </c:pt>
                <c:pt idx="2556">
                  <c:v>0.999662247650883</c:v>
                </c:pt>
                <c:pt idx="2557">
                  <c:v>0.999664745232817</c:v>
                </c:pt>
                <c:pt idx="2558">
                  <c:v>0.999667238877417</c:v>
                </c:pt>
                <c:pt idx="2559">
                  <c:v>0.999669732522018</c:v>
                </c:pt>
                <c:pt idx="2560">
                  <c:v>0.999672224854173</c:v>
                </c:pt>
                <c:pt idx="2561">
                  <c:v>0.999674685687661</c:v>
                </c:pt>
                <c:pt idx="2562">
                  <c:v>0.999677133396703</c:v>
                </c:pt>
                <c:pt idx="2563">
                  <c:v>0.999679528607963</c:v>
                </c:pt>
                <c:pt idx="2564">
                  <c:v>0.999681906757445</c:v>
                </c:pt>
                <c:pt idx="2565">
                  <c:v>0.999684269157593</c:v>
                </c:pt>
                <c:pt idx="2566">
                  <c:v>0.999686631557741</c:v>
                </c:pt>
                <c:pt idx="2567">
                  <c:v>0.999688993957889</c:v>
                </c:pt>
                <c:pt idx="2568">
                  <c:v>0.999691352420703</c:v>
                </c:pt>
                <c:pt idx="2569">
                  <c:v>0.999693709571072</c:v>
                </c:pt>
                <c:pt idx="2570">
                  <c:v>0.999696066721442</c:v>
                </c:pt>
                <c:pt idx="2571">
                  <c:v>0.999698423871811</c:v>
                </c:pt>
                <c:pt idx="2572">
                  <c:v>0.999700754773291</c:v>
                </c:pt>
                <c:pt idx="2573">
                  <c:v>0.999703077800102</c:v>
                </c:pt>
                <c:pt idx="2574">
                  <c:v>0.999705400826914</c:v>
                </c:pt>
                <c:pt idx="2575">
                  <c:v>0.999707714010392</c:v>
                </c:pt>
                <c:pt idx="2576">
                  <c:v>0.999710023912759</c:v>
                </c:pt>
                <c:pt idx="2577">
                  <c:v>0.99971232069068</c:v>
                </c:pt>
                <c:pt idx="2578">
                  <c:v>0.999714616156157</c:v>
                </c:pt>
                <c:pt idx="2579">
                  <c:v>0.999716911621634</c:v>
                </c:pt>
                <c:pt idx="2580">
                  <c:v>0.999719207087111</c:v>
                </c:pt>
                <c:pt idx="2581">
                  <c:v>0.999721490740587</c:v>
                </c:pt>
                <c:pt idx="2582">
                  <c:v>0.999723774394063</c:v>
                </c:pt>
                <c:pt idx="2583">
                  <c:v>0.999726005549758</c:v>
                </c:pt>
                <c:pt idx="2584">
                  <c:v>0.999728226205897</c:v>
                </c:pt>
                <c:pt idx="2585">
                  <c:v>0.999730440956035</c:v>
                </c:pt>
                <c:pt idx="2586">
                  <c:v>0.999732637988173</c:v>
                </c:pt>
                <c:pt idx="2587">
                  <c:v>0.999734826489421</c:v>
                </c:pt>
                <c:pt idx="2588">
                  <c:v>0.999736999897557</c:v>
                </c:pt>
                <c:pt idx="2589">
                  <c:v>0.999739165431025</c:v>
                </c:pt>
                <c:pt idx="2590">
                  <c:v>0.999741329652049</c:v>
                </c:pt>
                <c:pt idx="2591">
                  <c:v>0.999743488623296</c:v>
                </c:pt>
                <c:pt idx="2592">
                  <c:v>0.999745641032319</c:v>
                </c:pt>
                <c:pt idx="2593">
                  <c:v>0.999747793441343</c:v>
                </c:pt>
                <c:pt idx="2594">
                  <c:v>0.999749930101032</c:v>
                </c:pt>
                <c:pt idx="2595">
                  <c:v>0.999752030012274</c:v>
                </c:pt>
                <c:pt idx="2596">
                  <c:v>0.999754123361294</c:v>
                </c:pt>
                <c:pt idx="2597">
                  <c:v>0.999756197023646</c:v>
                </c:pt>
                <c:pt idx="2598">
                  <c:v>0.999758264123775</c:v>
                </c:pt>
                <c:pt idx="2599">
                  <c:v>0.999760301693902</c:v>
                </c:pt>
                <c:pt idx="2600">
                  <c:v>0.999762338607808</c:v>
                </c:pt>
                <c:pt idx="2601">
                  <c:v>0.99976436895949</c:v>
                </c:pt>
                <c:pt idx="2602">
                  <c:v>0.999766347469614</c:v>
                </c:pt>
                <c:pt idx="2603">
                  <c:v>0.999768316136403</c:v>
                </c:pt>
                <c:pt idx="2604">
                  <c:v>0.999770284803193</c:v>
                </c:pt>
                <c:pt idx="2605">
                  <c:v>0.999772253469983</c:v>
                </c:pt>
                <c:pt idx="2606">
                  <c:v>0.999774222136773</c:v>
                </c:pt>
                <c:pt idx="2607">
                  <c:v>0.999776190803562</c:v>
                </c:pt>
                <c:pt idx="2608">
                  <c:v>0.999778159470352</c:v>
                </c:pt>
                <c:pt idx="2609">
                  <c:v>0.999780128137142</c:v>
                </c:pt>
                <c:pt idx="2610">
                  <c:v>0.999782095491487</c:v>
                </c:pt>
                <c:pt idx="2611">
                  <c:v>0.999784062845832</c:v>
                </c:pt>
                <c:pt idx="2612">
                  <c:v>0.999786030200177</c:v>
                </c:pt>
                <c:pt idx="2613">
                  <c:v>0.999787997554522</c:v>
                </c:pt>
                <c:pt idx="2614">
                  <c:v>0.999789964908868</c:v>
                </c:pt>
                <c:pt idx="2615">
                  <c:v>0.999791930950768</c:v>
                </c:pt>
                <c:pt idx="2616">
                  <c:v>0.999793896992669</c:v>
                </c:pt>
                <c:pt idx="2617">
                  <c:v>0.999795861722125</c:v>
                </c:pt>
                <c:pt idx="2618">
                  <c:v>0.999797826451581</c:v>
                </c:pt>
                <c:pt idx="2619">
                  <c:v>0.999799788556149</c:v>
                </c:pt>
                <c:pt idx="2620">
                  <c:v>0.999801744098493</c:v>
                </c:pt>
                <c:pt idx="2621">
                  <c:v>0.999803676673058</c:v>
                </c:pt>
                <c:pt idx="2622">
                  <c:v>0.999805605966512</c:v>
                </c:pt>
                <c:pt idx="2623">
                  <c:v>0.999807535259966</c:v>
                </c:pt>
                <c:pt idx="2624">
                  <c:v>0.999809463897198</c:v>
                </c:pt>
                <c:pt idx="2625">
                  <c:v>0.999811366941761</c:v>
                </c:pt>
                <c:pt idx="2626">
                  <c:v>0.999813237175212</c:v>
                </c:pt>
                <c:pt idx="2627">
                  <c:v>0.999815107408662</c:v>
                </c:pt>
                <c:pt idx="2628">
                  <c:v>0.999816971079889</c:v>
                </c:pt>
                <c:pt idx="2629">
                  <c:v>0.999818833438673</c:v>
                </c:pt>
                <c:pt idx="2630">
                  <c:v>0.99982067086101</c:v>
                </c:pt>
                <c:pt idx="2631">
                  <c:v>0.999822508283347</c:v>
                </c:pt>
                <c:pt idx="2632">
                  <c:v>0.999824344393239</c:v>
                </c:pt>
                <c:pt idx="2633">
                  <c:v>0.999826175253354</c:v>
                </c:pt>
                <c:pt idx="2634">
                  <c:v>0.999827981177022</c:v>
                </c:pt>
                <c:pt idx="2635">
                  <c:v>0.999829752977133</c:v>
                </c:pt>
                <c:pt idx="2636">
                  <c:v>0.999831524777244</c:v>
                </c:pt>
                <c:pt idx="2637">
                  <c:v>0.999833230955128</c:v>
                </c:pt>
                <c:pt idx="2638">
                  <c:v>0.999834937133013</c:v>
                </c:pt>
                <c:pt idx="2639">
                  <c:v>0.999836643310897</c:v>
                </c:pt>
                <c:pt idx="2640">
                  <c:v>0.999838348176337</c:v>
                </c:pt>
                <c:pt idx="2641">
                  <c:v>0.999840028105331</c:v>
                </c:pt>
                <c:pt idx="2642">
                  <c:v>0.999841694909879</c:v>
                </c:pt>
                <c:pt idx="2643">
                  <c:v>0.999843352527316</c:v>
                </c:pt>
                <c:pt idx="2644">
                  <c:v>0.999844993082975</c:v>
                </c:pt>
                <c:pt idx="2645">
                  <c:v>0.999846632326188</c:v>
                </c:pt>
                <c:pt idx="2646">
                  <c:v>0.999848271569402</c:v>
                </c:pt>
                <c:pt idx="2647">
                  <c:v>0.999849846502834</c:v>
                </c:pt>
                <c:pt idx="2648">
                  <c:v>0.999851421436265</c:v>
                </c:pt>
                <c:pt idx="2649">
                  <c:v>0.999852996369697</c:v>
                </c:pt>
                <c:pt idx="2650">
                  <c:v>0.999854571303129</c:v>
                </c:pt>
                <c:pt idx="2651">
                  <c:v>0.999856138361894</c:v>
                </c:pt>
                <c:pt idx="2652">
                  <c:v>0.999857705420658</c:v>
                </c:pt>
                <c:pt idx="2653">
                  <c:v>0.999859259354977</c:v>
                </c:pt>
                <c:pt idx="2654">
                  <c:v>0.999860808039519</c:v>
                </c:pt>
                <c:pt idx="2655">
                  <c:v>0.999862333756281</c:v>
                </c:pt>
                <c:pt idx="2656">
                  <c:v>0.999863843067486</c:v>
                </c:pt>
                <c:pt idx="2657">
                  <c:v>0.999865351066247</c:v>
                </c:pt>
                <c:pt idx="2658">
                  <c:v>0.999866859065008</c:v>
                </c:pt>
                <c:pt idx="2659">
                  <c:v>0.999868367063769</c:v>
                </c:pt>
                <c:pt idx="2660">
                  <c:v>0.99986987506253</c:v>
                </c:pt>
                <c:pt idx="2661">
                  <c:v>0.999871346312844</c:v>
                </c:pt>
                <c:pt idx="2662">
                  <c:v>0.99987280640738</c:v>
                </c:pt>
                <c:pt idx="2663">
                  <c:v>0.999874252721248</c:v>
                </c:pt>
                <c:pt idx="2664">
                  <c:v>0.999875696410227</c:v>
                </c:pt>
                <c:pt idx="2665">
                  <c:v>0.999877136818095</c:v>
                </c:pt>
                <c:pt idx="2666">
                  <c:v>0.999878554258184</c:v>
                </c:pt>
                <c:pt idx="2667">
                  <c:v>0.999879955948938</c:v>
                </c:pt>
                <c:pt idx="2668">
                  <c:v>0.999881334015691</c:v>
                </c:pt>
                <c:pt idx="2669">
                  <c:v>0.999882712082444</c:v>
                </c:pt>
                <c:pt idx="2670">
                  <c:v>0.999884044213638</c:v>
                </c:pt>
                <c:pt idx="2671">
                  <c:v>0.999885356658165</c:v>
                </c:pt>
                <c:pt idx="2672">
                  <c:v>0.999886669102691</c:v>
                </c:pt>
                <c:pt idx="2673">
                  <c:v>0.999887981547218</c:v>
                </c:pt>
                <c:pt idx="2674">
                  <c:v>0.999889293991744</c:v>
                </c:pt>
                <c:pt idx="2675">
                  <c:v>0.999890605123826</c:v>
                </c:pt>
                <c:pt idx="2676">
                  <c:v>0.999891916255908</c:v>
                </c:pt>
                <c:pt idx="2677">
                  <c:v>0.99989322738799</c:v>
                </c:pt>
                <c:pt idx="2678">
                  <c:v>0.999894538520072</c:v>
                </c:pt>
                <c:pt idx="2679">
                  <c:v>0.999895849652154</c:v>
                </c:pt>
                <c:pt idx="2680">
                  <c:v>0.999897160784236</c:v>
                </c:pt>
                <c:pt idx="2681">
                  <c:v>0.999898471916318</c:v>
                </c:pt>
                <c:pt idx="2682">
                  <c:v>0.9998997830484</c:v>
                </c:pt>
                <c:pt idx="2683">
                  <c:v>0.999901092868038</c:v>
                </c:pt>
                <c:pt idx="2684">
                  <c:v>0.999902402687675</c:v>
                </c:pt>
                <c:pt idx="2685">
                  <c:v>0.999903709882424</c:v>
                </c:pt>
                <c:pt idx="2686">
                  <c:v>0.999905014452283</c:v>
                </c:pt>
                <c:pt idx="2687">
                  <c:v>0.999906300647919</c:v>
                </c:pt>
                <c:pt idx="2688">
                  <c:v>0.999907571094221</c:v>
                </c:pt>
                <c:pt idx="2689">
                  <c:v>0.999908830384744</c:v>
                </c:pt>
                <c:pt idx="2690">
                  <c:v>0.999910062770154</c:v>
                </c:pt>
                <c:pt idx="2691">
                  <c:v>0.999911243970228</c:v>
                </c:pt>
                <c:pt idx="2692">
                  <c:v>0.999912425170302</c:v>
                </c:pt>
                <c:pt idx="2693">
                  <c:v>0.999913606370376</c:v>
                </c:pt>
                <c:pt idx="2694">
                  <c:v>0.99991478757045</c:v>
                </c:pt>
                <c:pt idx="2695">
                  <c:v>0.999915968770524</c:v>
                </c:pt>
                <c:pt idx="2696">
                  <c:v>0.999917147345708</c:v>
                </c:pt>
                <c:pt idx="2697">
                  <c:v>0.999918314108892</c:v>
                </c:pt>
                <c:pt idx="2698">
                  <c:v>0.999919467091409</c:v>
                </c:pt>
                <c:pt idx="2699">
                  <c:v>0.999920614167925</c:v>
                </c:pt>
                <c:pt idx="2700">
                  <c:v>0.999921740245329</c:v>
                </c:pt>
                <c:pt idx="2701">
                  <c:v>0.999922854510732</c:v>
                </c:pt>
                <c:pt idx="2702">
                  <c:v>0.999923968776135</c:v>
                </c:pt>
                <c:pt idx="2703">
                  <c:v>0.999925071229537</c:v>
                </c:pt>
                <c:pt idx="2704">
                  <c:v>0.999926173682939</c:v>
                </c:pt>
                <c:pt idx="2705">
                  <c:v>0.999927269574119</c:v>
                </c:pt>
                <c:pt idx="2706">
                  <c:v>0.999928351028409</c:v>
                </c:pt>
                <c:pt idx="2707">
                  <c:v>0.999929430514032</c:v>
                </c:pt>
                <c:pt idx="2708">
                  <c:v>0.999930509343432</c:v>
                </c:pt>
                <c:pt idx="2709">
                  <c:v>0.999931585547944</c:v>
                </c:pt>
                <c:pt idx="2710">
                  <c:v>0.999932648628011</c:v>
                </c:pt>
                <c:pt idx="2711">
                  <c:v>0.999933677584519</c:v>
                </c:pt>
                <c:pt idx="2712">
                  <c:v>0.99993470129125</c:v>
                </c:pt>
                <c:pt idx="2713">
                  <c:v>0.999935724341759</c:v>
                </c:pt>
                <c:pt idx="2714">
                  <c:v>0.999936737548933</c:v>
                </c:pt>
                <c:pt idx="2715">
                  <c:v>0.999937745506329</c:v>
                </c:pt>
                <c:pt idx="2716">
                  <c:v>0.999938745589059</c:v>
                </c:pt>
                <c:pt idx="2717">
                  <c:v>0.999939745671788</c:v>
                </c:pt>
                <c:pt idx="2718">
                  <c:v>0.999940730005183</c:v>
                </c:pt>
                <c:pt idx="2719">
                  <c:v>0.999941713026133</c:v>
                </c:pt>
                <c:pt idx="2720">
                  <c:v>0.999942696047083</c:v>
                </c:pt>
                <c:pt idx="2721">
                  <c:v>0.999943677755589</c:v>
                </c:pt>
                <c:pt idx="2722">
                  <c:v>0.999944659464095</c:v>
                </c:pt>
                <c:pt idx="2723">
                  <c:v>0.999945637235267</c:v>
                </c:pt>
                <c:pt idx="2724">
                  <c:v>0.999946615006439</c:v>
                </c:pt>
                <c:pt idx="2725">
                  <c:v>0.999947533717608</c:v>
                </c:pt>
                <c:pt idx="2726">
                  <c:v>0.999948452428777</c:v>
                </c:pt>
                <c:pt idx="2727">
                  <c:v>0.999949368515056</c:v>
                </c:pt>
                <c:pt idx="2728">
                  <c:v>0.999950281976446</c:v>
                </c:pt>
                <c:pt idx="2729">
                  <c:v>0.999951181000947</c:v>
                </c:pt>
                <c:pt idx="2730">
                  <c:v>0.999952047214335</c:v>
                </c:pt>
                <c:pt idx="2731">
                  <c:v>0.999952908177944</c:v>
                </c:pt>
                <c:pt idx="2732">
                  <c:v>0.999953761266886</c:v>
                </c:pt>
                <c:pt idx="2733">
                  <c:v>0.999954613043384</c:v>
                </c:pt>
                <c:pt idx="2734">
                  <c:v>0.999955459570104</c:v>
                </c:pt>
                <c:pt idx="2735">
                  <c:v>0.999956294284822</c:v>
                </c:pt>
                <c:pt idx="2736">
                  <c:v>0.999957104063095</c:v>
                </c:pt>
                <c:pt idx="2737">
                  <c:v>0.999957891529811</c:v>
                </c:pt>
                <c:pt idx="2738">
                  <c:v>0.999958678996527</c:v>
                </c:pt>
                <c:pt idx="2739">
                  <c:v>0.999959466463243</c:v>
                </c:pt>
                <c:pt idx="2740">
                  <c:v>0.999960253929959</c:v>
                </c:pt>
                <c:pt idx="2741">
                  <c:v>0.99996104008423</c:v>
                </c:pt>
                <c:pt idx="2742">
                  <c:v>0.999961826238502</c:v>
                </c:pt>
                <c:pt idx="2743">
                  <c:v>0.999962609767884</c:v>
                </c:pt>
                <c:pt idx="2744">
                  <c:v>0.999963386735044</c:v>
                </c:pt>
                <c:pt idx="2745">
                  <c:v>0.999964142703091</c:v>
                </c:pt>
                <c:pt idx="2746">
                  <c:v>0.999964886859138</c:v>
                </c:pt>
                <c:pt idx="2747">
                  <c:v>0.999965628390295</c:v>
                </c:pt>
                <c:pt idx="2748">
                  <c:v>0.999966366640341</c:v>
                </c:pt>
                <c:pt idx="2749">
                  <c:v>0.999967092422165</c:v>
                </c:pt>
                <c:pt idx="2750">
                  <c:v>0.999967814266654</c:v>
                </c:pt>
                <c:pt idx="2751">
                  <c:v>0.999968513143365</c:v>
                </c:pt>
                <c:pt idx="2752">
                  <c:v>0.999969199551852</c:v>
                </c:pt>
                <c:pt idx="2753">
                  <c:v>0.999969867586116</c:v>
                </c:pt>
                <c:pt idx="2754">
                  <c:v>0.999970522495935</c:v>
                </c:pt>
                <c:pt idx="2755">
                  <c:v>0.999971177405753</c:v>
                </c:pt>
                <c:pt idx="2756">
                  <c:v>0.999971831003128</c:v>
                </c:pt>
                <c:pt idx="2757">
                  <c:v>0.999972484600502</c:v>
                </c:pt>
                <c:pt idx="2758">
                  <c:v>0.999973135572987</c:v>
                </c:pt>
                <c:pt idx="2759">
                  <c:v>0.999973778670805</c:v>
                </c:pt>
                <c:pt idx="2760">
                  <c:v>0.999974402081955</c:v>
                </c:pt>
                <c:pt idx="2761">
                  <c:v>0.999974990057103</c:v>
                </c:pt>
                <c:pt idx="2762">
                  <c:v>0.999975574094917</c:v>
                </c:pt>
                <c:pt idx="2763">
                  <c:v>0.999976113509618</c:v>
                </c:pt>
                <c:pt idx="2764">
                  <c:v>0.999976643080984</c:v>
                </c:pt>
                <c:pt idx="2765">
                  <c:v>0.999977168058795</c:v>
                </c:pt>
                <c:pt idx="2766">
                  <c:v>0.999977693036605</c:v>
                </c:pt>
                <c:pt idx="2767">
                  <c:v>0.999978216701971</c:v>
                </c:pt>
                <c:pt idx="2768">
                  <c:v>0.999978739054893</c:v>
                </c:pt>
                <c:pt idx="2769">
                  <c:v>0.999979258782925</c:v>
                </c:pt>
                <c:pt idx="2770">
                  <c:v>0.999979777198513</c:v>
                </c:pt>
                <c:pt idx="2771">
                  <c:v>0.999980291676768</c:v>
                </c:pt>
                <c:pt idx="2772">
                  <c:v>0.999980806155022</c:v>
                </c:pt>
                <c:pt idx="2773">
                  <c:v>0.999981318008388</c:v>
                </c:pt>
                <c:pt idx="2774">
                  <c:v>0.999981829861753</c:v>
                </c:pt>
                <c:pt idx="2775">
                  <c:v>0.999982333184229</c:v>
                </c:pt>
                <c:pt idx="2776">
                  <c:v>0.999982824038482</c:v>
                </c:pt>
                <c:pt idx="2777">
                  <c:v>0.999983283394066</c:v>
                </c:pt>
                <c:pt idx="2778">
                  <c:v>0.99998374274965</c:v>
                </c:pt>
                <c:pt idx="2779">
                  <c:v>0.999984183731011</c:v>
                </c:pt>
                <c:pt idx="2780">
                  <c:v>0.999984614212816</c:v>
                </c:pt>
                <c:pt idx="2781">
                  <c:v>0.999985034195064</c:v>
                </c:pt>
                <c:pt idx="2782">
                  <c:v>0.999985451552424</c:v>
                </c:pt>
                <c:pt idx="2783">
                  <c:v>0.999985866284894</c:v>
                </c:pt>
                <c:pt idx="2784">
                  <c:v>0.999986281017364</c:v>
                </c:pt>
                <c:pt idx="2785">
                  <c:v>0.99998668262539</c:v>
                </c:pt>
                <c:pt idx="2786">
                  <c:v>0.999987076358747</c:v>
                </c:pt>
                <c:pt idx="2787">
                  <c:v>0.999987470092105</c:v>
                </c:pt>
                <c:pt idx="2788">
                  <c:v>0.999987862513019</c:v>
                </c:pt>
                <c:pt idx="2789">
                  <c:v>0.999988254933932</c:v>
                </c:pt>
                <c:pt idx="2790">
                  <c:v>0.999988647354846</c:v>
                </c:pt>
                <c:pt idx="2791">
                  <c:v>0.999989038463315</c:v>
                </c:pt>
                <c:pt idx="2792">
                  <c:v>0.999989428259339</c:v>
                </c:pt>
                <c:pt idx="2793">
                  <c:v>0.99998981411803</c:v>
                </c:pt>
                <c:pt idx="2794">
                  <c:v>0.999990196039387</c:v>
                </c:pt>
                <c:pt idx="2795">
                  <c:v>0.999990574679633</c:v>
                </c:pt>
                <c:pt idx="2796">
                  <c:v>0.999990934289433</c:v>
                </c:pt>
                <c:pt idx="2797">
                  <c:v>0.999991288649455</c:v>
                </c:pt>
                <c:pt idx="2798">
                  <c:v>0.99999163513481</c:v>
                </c:pt>
                <c:pt idx="2799">
                  <c:v>0.999991965870831</c:v>
                </c:pt>
                <c:pt idx="2800">
                  <c:v>0.999992292669518</c:v>
                </c:pt>
                <c:pt idx="2801">
                  <c:v>0.999992619468205</c:v>
                </c:pt>
                <c:pt idx="2802">
                  <c:v>0.999992941017114</c:v>
                </c:pt>
                <c:pt idx="2803">
                  <c:v>0.9999932560038</c:v>
                </c:pt>
                <c:pt idx="2804">
                  <c:v>0.999993567053153</c:v>
                </c:pt>
                <c:pt idx="2805">
                  <c:v>0.999993866290505</c:v>
                </c:pt>
                <c:pt idx="2806">
                  <c:v>0.999994147153634</c:v>
                </c:pt>
                <c:pt idx="2807">
                  <c:v>0.999994422766985</c:v>
                </c:pt>
                <c:pt idx="2808">
                  <c:v>0.999994698380335</c:v>
                </c:pt>
                <c:pt idx="2809">
                  <c:v>0.999994973993686</c:v>
                </c:pt>
                <c:pt idx="2810">
                  <c:v>0.999995249607036</c:v>
                </c:pt>
                <c:pt idx="2811">
                  <c:v>0.999995525220387</c:v>
                </c:pt>
                <c:pt idx="2812">
                  <c:v>0.999995787709292</c:v>
                </c:pt>
                <c:pt idx="2813">
                  <c:v>0.999996050198197</c:v>
                </c:pt>
                <c:pt idx="2814">
                  <c:v>0.999996311374658</c:v>
                </c:pt>
                <c:pt idx="2815">
                  <c:v>0.999996572551119</c:v>
                </c:pt>
                <c:pt idx="2816">
                  <c:v>0.99999683372758</c:v>
                </c:pt>
                <c:pt idx="2817">
                  <c:v>0.999997089654262</c:v>
                </c:pt>
                <c:pt idx="2818">
                  <c:v>0.999997344268501</c:v>
                </c:pt>
                <c:pt idx="2819">
                  <c:v>0.999997572633848</c:v>
                </c:pt>
                <c:pt idx="2820">
                  <c:v>0.999997800999196</c:v>
                </c:pt>
                <c:pt idx="2821">
                  <c:v>0.999998029364543</c:v>
                </c:pt>
                <c:pt idx="2822">
                  <c:v>0.999998236730779</c:v>
                </c:pt>
                <c:pt idx="2823">
                  <c:v>0.999998394224122</c:v>
                </c:pt>
                <c:pt idx="2824">
                  <c:v>0.999998551717465</c:v>
                </c:pt>
                <c:pt idx="2825">
                  <c:v>0.999998698711252</c:v>
                </c:pt>
                <c:pt idx="2826">
                  <c:v>0.999998845705039</c:v>
                </c:pt>
                <c:pt idx="2827">
                  <c:v>0.999998992698826</c:v>
                </c:pt>
                <c:pt idx="2828">
                  <c:v>0.999999139692613</c:v>
                </c:pt>
                <c:pt idx="2829">
                  <c:v>0.999999265687287</c:v>
                </c:pt>
                <c:pt idx="2830">
                  <c:v>0.999999381182406</c:v>
                </c:pt>
                <c:pt idx="2831">
                  <c:v>0.99999948092819</c:v>
                </c:pt>
                <c:pt idx="2832">
                  <c:v>0.999999579361529</c:v>
                </c:pt>
                <c:pt idx="2833">
                  <c:v>0.999999677794868</c:v>
                </c:pt>
                <c:pt idx="2834">
                  <c:v>0.99999975654154</c:v>
                </c:pt>
                <c:pt idx="2835">
                  <c:v>0.999999812976655</c:v>
                </c:pt>
                <c:pt idx="2836">
                  <c:v>0.999999869411769</c:v>
                </c:pt>
                <c:pt idx="2837">
                  <c:v>0.99999992190955</c:v>
                </c:pt>
                <c:pt idx="2838">
                  <c:v>0.999999968501331</c:v>
                </c:pt>
                <c:pt idx="283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280620"/>
        <c:axId val="7745520"/>
      </c:lineChart>
      <c:catAx>
        <c:axId val="992806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Rank do produto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5520"/>
        <c:crosses val="autoZero"/>
        <c:auto val="1"/>
        <c:lblAlgn val="ctr"/>
        <c:lblOffset val="100"/>
        <c:noMultiLvlLbl val="0"/>
      </c:catAx>
      <c:valAx>
        <c:axId val="774552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80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– 20 maiores itens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Análises!B57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Análises!$A$58:$A$77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Análises!$B$58:$B$77</c:f>
              <c:numCache>
                <c:formatCode>"R$ "#,##0</c:formatCode>
                <c:ptCount val="20"/>
                <c:pt idx="0">
                  <c:v>689877.92</c:v>
                </c:pt>
                <c:pt idx="1">
                  <c:v>595000.0001</c:v>
                </c:pt>
                <c:pt idx="2">
                  <c:v>355560.3</c:v>
                </c:pt>
                <c:pt idx="3">
                  <c:v>348968.62</c:v>
                </c:pt>
                <c:pt idx="4">
                  <c:v>340633.99</c:v>
                </c:pt>
                <c:pt idx="5">
                  <c:v>340477.81</c:v>
                </c:pt>
                <c:pt idx="6">
                  <c:v>319377.6</c:v>
                </c:pt>
                <c:pt idx="7">
                  <c:v>289781.22</c:v>
                </c:pt>
                <c:pt idx="8">
                  <c:v>266529.6</c:v>
                </c:pt>
                <c:pt idx="9">
                  <c:v>239772.49</c:v>
                </c:pt>
                <c:pt idx="10">
                  <c:v>198764.12</c:v>
                </c:pt>
                <c:pt idx="11">
                  <c:v>171047.93</c:v>
                </c:pt>
                <c:pt idx="12">
                  <c:v>169258.31</c:v>
                </c:pt>
                <c:pt idx="13">
                  <c:v>163012.5</c:v>
                </c:pt>
                <c:pt idx="14">
                  <c:v>159390</c:v>
                </c:pt>
                <c:pt idx="15">
                  <c:v>151354.5</c:v>
                </c:pt>
                <c:pt idx="16">
                  <c:v>148930</c:v>
                </c:pt>
                <c:pt idx="17">
                  <c:v>142639.77</c:v>
                </c:pt>
                <c:pt idx="18">
                  <c:v>142156.2012</c:v>
                </c:pt>
                <c:pt idx="19">
                  <c:v>137108.08</c:v>
                </c:pt>
              </c:numCache>
            </c:numRef>
          </c:val>
        </c:ser>
        <c:gapWidth val="150"/>
        <c:overlap val="0"/>
        <c:axId val="74351643"/>
        <c:axId val="3901854"/>
      </c:barChart>
      <c:lineChart>
        <c:grouping val="standard"/>
        <c:varyColors val="0"/>
        <c:ser>
          <c:idx val="1"/>
          <c:order val="1"/>
          <c:tx>
            <c:strRef>
              <c:f>Análises!C57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Análises!$A$58:$A$77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Análises!$C$58:$C$77</c:f>
              <c:numCache>
                <c:formatCode>0.0%</c:formatCode>
                <c:ptCount val="20"/>
                <c:pt idx="0">
                  <c:v>0.0452713250028437</c:v>
                </c:pt>
                <c:pt idx="1">
                  <c:v>0.0843165496727667</c:v>
                </c:pt>
                <c:pt idx="2">
                  <c:v>0.107649208151543</c:v>
                </c:pt>
                <c:pt idx="3">
                  <c:v>0.130549305913498</c:v>
                </c:pt>
                <c:pt idx="4">
                  <c:v>0.152902466699257</c:v>
                </c:pt>
                <c:pt idx="5">
                  <c:v>0.175245378605709</c:v>
                </c:pt>
                <c:pt idx="6">
                  <c:v>0.196203647756037</c:v>
                </c:pt>
                <c:pt idx="7">
                  <c:v>0.215219736559605</c:v>
                </c:pt>
                <c:pt idx="8">
                  <c:v>0.23271000229311</c:v>
                </c:pt>
                <c:pt idx="9">
                  <c:v>0.248444406898393</c:v>
                </c:pt>
                <c:pt idx="10">
                  <c:v>0.261487750966318</c:v>
                </c:pt>
                <c:pt idx="11">
                  <c:v>0.272712296941196</c:v>
                </c:pt>
                <c:pt idx="12">
                  <c:v>0.283819404067399</c:v>
                </c:pt>
                <c:pt idx="13">
                  <c:v>0.2945166472362</c:v>
                </c:pt>
                <c:pt idx="14">
                  <c:v>0.304976173890137</c:v>
                </c:pt>
                <c:pt idx="15">
                  <c:v>0.314908393144441</c:v>
                </c:pt>
                <c:pt idx="16">
                  <c:v>0.32468151131102</c:v>
                </c:pt>
                <c:pt idx="17">
                  <c:v>0.334041850580902</c:v>
                </c:pt>
                <c:pt idx="18">
                  <c:v>0.343370456989547</c:v>
                </c:pt>
                <c:pt idx="19">
                  <c:v>0.35236779444629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8995133"/>
        <c:axId val="44784271"/>
      </c:lineChart>
      <c:catAx>
        <c:axId val="74351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1854"/>
        <c:crosses val="autoZero"/>
        <c:auto val="1"/>
        <c:lblAlgn val="ctr"/>
        <c:lblOffset val="100"/>
        <c:noMultiLvlLbl val="0"/>
      </c:catAx>
      <c:valAx>
        <c:axId val="390185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51643"/>
        <c:crosses val="autoZero"/>
        <c:crossBetween val="between"/>
      </c:valAx>
      <c:catAx>
        <c:axId val="38995133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84271"/>
        <c:crosses val="autoZero"/>
        <c:auto val="1"/>
        <c:lblAlgn val="ctr"/>
        <c:lblOffset val="100"/>
        <c:noMultiLvlLbl val="0"/>
      </c:catAx>
      <c:valAx>
        <c:axId val="44784271"/>
        <c:scaling>
          <c:orientation val="minMax"/>
          <c:max val="0.4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9513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por classe ABC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Análises!D3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eparator>
</c:separator>
            <c:showLeaderLines val="0"/>
          </c:dLbls>
          <c:cat>
            <c:strRef>
              <c:f>Análises!$A$4:$A$6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Análises!$D$4:$D$6</c:f>
              <c:numCache>
                <c:formatCode>"R$ "#,##0</c:formatCode>
                <c:ptCount val="3"/>
                <c:pt idx="0">
                  <c:v>12188257.8435</c:v>
                </c:pt>
                <c:pt idx="1">
                  <c:v>2288357.1289</c:v>
                </c:pt>
                <c:pt idx="2">
                  <c:v>762124.339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Nº de itens por classe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Análises!B3</c:f>
              <c:strCache>
                <c:ptCount val="1"/>
                <c:pt idx="0">
                  <c:v>Nº itens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Análises!$A$4:$A$6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Análises!$B$4:$B$6</c:f>
              <c:numCache>
                <c:formatCode>General</c:formatCode>
                <c:ptCount val="3"/>
                <c:pt idx="0">
                  <c:v>255</c:v>
                </c:pt>
                <c:pt idx="1">
                  <c:v>609</c:v>
                </c:pt>
                <c:pt idx="2">
                  <c:v>1976</c:v>
                </c:pt>
              </c:numCache>
            </c:numRef>
          </c:val>
        </c:ser>
        <c:gapWidth val="150"/>
        <c:overlap val="0"/>
        <c:axId val="92489708"/>
        <c:axId val="85065932"/>
      </c:barChart>
      <c:catAx>
        <c:axId val="924897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65932"/>
        <c:crosses val="autoZero"/>
        <c:auto val="1"/>
        <c:lblAlgn val="ctr"/>
        <c:lblOffset val="100"/>
        <c:noMultiLvlLbl val="0"/>
      </c:catAx>
      <c:valAx>
        <c:axId val="850659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897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por local de estoque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Análises!D10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Análises!$B$11:$B$15</c:f>
              <c:strCache>
                <c:ptCount val="5"/>
                <c:pt idx="0">
                  <c:v>USO E CONSUMO</c:v>
                </c:pt>
                <c:pt idx="1">
                  <c:v>FAT. DIR. CLIENTE</c:v>
                </c:pt>
                <c:pt idx="2">
                  <c:v>IMOBILIZADO</c:v>
                </c:pt>
                <c:pt idx="3">
                  <c:v>FAT. DIR. TERCEIRO</c:v>
                </c:pt>
                <c:pt idx="4">
                  <c:v>ESTOQUE MATRIZ FIL 1</c:v>
                </c:pt>
              </c:strCache>
            </c:strRef>
          </c:cat>
          <c:val>
            <c:numRef>
              <c:f>Análises!$D$11:$D$15</c:f>
              <c:numCache>
                <c:formatCode>"R$ "#,##0</c:formatCode>
                <c:ptCount val="5"/>
                <c:pt idx="0">
                  <c:v>10186546.0904</c:v>
                </c:pt>
                <c:pt idx="1">
                  <c:v>2926675.02</c:v>
                </c:pt>
                <c:pt idx="2">
                  <c:v>2117923.501</c:v>
                </c:pt>
                <c:pt idx="3">
                  <c:v>7096.7</c:v>
                </c:pt>
                <c:pt idx="4">
                  <c:v>498</c:v>
                </c:pt>
              </c:numCache>
            </c:numRef>
          </c:val>
        </c:ser>
        <c:gapWidth val="150"/>
        <c:overlap val="0"/>
        <c:axId val="7780996"/>
        <c:axId val="18920019"/>
      </c:barChart>
      <c:catAx>
        <c:axId val="77809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20019"/>
        <c:crosses val="autoZero"/>
        <c:auto val="1"/>
        <c:lblAlgn val="ctr"/>
        <c:lblOffset val="100"/>
        <c:noMultiLvlLbl val="0"/>
      </c:catAx>
      <c:valAx>
        <c:axId val="1892001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0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naturezas por valor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Análises!C28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Análises!$A$29:$A$38</c:f>
              <c:strCache>
                <c:ptCount val="10"/>
                <c:pt idx="0">
                  <c:v>3.8.1.017 - Instalações elétricas/telefônicas/lógica</c:v>
                </c:pt>
                <c:pt idx="1">
                  <c:v>6.1.2.001 - Equipamentos</c:v>
                </c:pt>
                <c:pt idx="2">
                  <c:v>3.8.1.018 - Instalações hidráulicas/sanitárias/industriais</c:v>
                </c:pt>
                <c:pt idx="3">
                  <c:v>3.7.1.018 - Serviço de instalações elétricas/telefônica/lógica</c:v>
                </c:pt>
                <c:pt idx="4">
                  <c:v>3.8.1.009 - Artefatos pré-moldados de concreto</c:v>
                </c:pt>
                <c:pt idx="5">
                  <c:v>3.8.1.022 - Elementos de fixação</c:v>
                </c:pt>
                <c:pt idx="6">
                  <c:v>3.8.1.001 - Aços e trefilados</c:v>
                </c:pt>
                <c:pt idx="7">
                  <c:v>4.1.1.008 - Mobiliário e acessórios</c:v>
                </c:pt>
                <c:pt idx="8">
                  <c:v>4.3.4.001 - Equipamento de proteção individual</c:v>
                </c:pt>
                <c:pt idx="9">
                  <c:v>4.1.1.009 - Eletro eletrônico e acessórios</c:v>
                </c:pt>
              </c:strCache>
            </c:strRef>
          </c:cat>
          <c:val>
            <c:numRef>
              <c:f>Análises!$C$29:$C$38</c:f>
              <c:numCache>
                <c:formatCode>"R$ "#,##0</c:formatCode>
                <c:ptCount val="10"/>
                <c:pt idx="0">
                  <c:v>5664327.2879</c:v>
                </c:pt>
                <c:pt idx="1">
                  <c:v>1473726.0631</c:v>
                </c:pt>
                <c:pt idx="2">
                  <c:v>1077720.781</c:v>
                </c:pt>
                <c:pt idx="3">
                  <c:v>702645.3</c:v>
                </c:pt>
                <c:pt idx="4">
                  <c:v>557131.232</c:v>
                </c:pt>
                <c:pt idx="5">
                  <c:v>478791.7822</c:v>
                </c:pt>
                <c:pt idx="6">
                  <c:v>463918.5458</c:v>
                </c:pt>
                <c:pt idx="7">
                  <c:v>455464.1744</c:v>
                </c:pt>
                <c:pt idx="8">
                  <c:v>437756.6088</c:v>
                </c:pt>
                <c:pt idx="9">
                  <c:v>370257.8227</c:v>
                </c:pt>
              </c:numCache>
            </c:numRef>
          </c:val>
        </c:ser>
        <c:gapWidth val="150"/>
        <c:overlap val="0"/>
        <c:axId val="8810354"/>
        <c:axId val="77503704"/>
      </c:barChart>
      <c:catAx>
        <c:axId val="881035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03704"/>
        <c:crosses val="autoZero"/>
        <c:auto val="1"/>
        <c:lblAlgn val="ctr"/>
        <c:lblOffset val="100"/>
        <c:noMultiLvlLbl val="0"/>
      </c:catAx>
      <c:valAx>
        <c:axId val="7750370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0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itens por valor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Análises!B43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Análises!$A$44:$A$53</c:f>
              <c:strCache>
                <c:ptCount val="10"/>
                <c:pt idx="0">
                  <c:v>17.01.1200 - CABO UNIPOLAR DE ALUMÍNIO, CLASSE 0,6/</c:v>
                </c:pt>
                <c:pt idx="1">
                  <c:v>32.13.0045 - CARPA DORMITÓRIO COM DIVISÓRIA EM PVC </c:v>
                </c:pt>
                <c:pt idx="2">
                  <c:v>17.01.1206 - CABO BT 6MM² SOLAR, CONDUTOR DE COBRE </c:v>
                </c:pt>
                <c:pt idx="3">
                  <c:v>17.01.0846 - CABO DE COBRE NU 50MM²,TÊMPERA MEIO DU</c:v>
                </c:pt>
                <c:pt idx="4">
                  <c:v>17.01.1203 - CABO DE COBRE MONOPOLAR 240 MM², CLASS</c:v>
                </c:pt>
                <c:pt idx="5">
                  <c:v>17.06.0053 - CABO ELETRICO FLEXIVEL DE COBRE ISOLAD</c:v>
                </c:pt>
                <c:pt idx="6">
                  <c:v>02.01.0080 - TELA DO TIPO ALAMBRADO, MALHA DE ARAME</c:v>
                </c:pt>
                <c:pt idx="7">
                  <c:v>17.01.1205 - CABO DE COBRE NU 120 MM², CLASSE 2A, T</c:v>
                </c:pt>
                <c:pt idx="8">
                  <c:v>17.01.1207 - CABO BT 6MM² SOLAR, CONDUTOR DE COBRE </c:v>
                </c:pt>
                <c:pt idx="9">
                  <c:v>18.07.0094 - RESERVATÓRIO DE 30.000 L EM PEAD</c:v>
                </c:pt>
              </c:strCache>
            </c:strRef>
          </c:cat>
          <c:val>
            <c:numRef>
              <c:f>Análises!$B$44:$B$53</c:f>
              <c:numCache>
                <c:formatCode>"R$ "#,##0</c:formatCode>
                <c:ptCount val="10"/>
                <c:pt idx="0">
                  <c:v>689877.92</c:v>
                </c:pt>
                <c:pt idx="1">
                  <c:v>595000.0001</c:v>
                </c:pt>
                <c:pt idx="2">
                  <c:v>355560.3</c:v>
                </c:pt>
                <c:pt idx="3">
                  <c:v>348968.62</c:v>
                </c:pt>
                <c:pt idx="4">
                  <c:v>340633.99</c:v>
                </c:pt>
                <c:pt idx="5">
                  <c:v>340477.81</c:v>
                </c:pt>
                <c:pt idx="6">
                  <c:v>319377.6</c:v>
                </c:pt>
                <c:pt idx="7">
                  <c:v>289781.22</c:v>
                </c:pt>
                <c:pt idx="8">
                  <c:v>266529.6</c:v>
                </c:pt>
                <c:pt idx="9">
                  <c:v>239772.49</c:v>
                </c:pt>
              </c:numCache>
            </c:numRef>
          </c:val>
        </c:ser>
        <c:gapWidth val="150"/>
        <c:overlap val="0"/>
        <c:axId val="96779132"/>
        <c:axId val="64823154"/>
      </c:barChart>
      <c:catAx>
        <c:axId val="967791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23154"/>
        <c:crosses val="autoZero"/>
        <c:auto val="1"/>
        <c:lblAlgn val="ctr"/>
        <c:lblOffset val="100"/>
        <c:noMultiLvlLbl val="0"/>
      </c:catAx>
      <c:valAx>
        <c:axId val="6482315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791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16</xdr:col>
      <xdr:colOff>621000</xdr:colOff>
      <xdr:row>32</xdr:row>
      <xdr:rowOff>1440</xdr:rowOff>
    </xdr:to>
    <xdr:graphicFrame>
      <xdr:nvGraphicFramePr>
        <xdr:cNvPr id="0" name="Chart 1"/>
        <xdr:cNvGraphicFramePr/>
      </xdr:nvGraphicFramePr>
      <xdr:xfrm>
        <a:off x="0" y="2857680"/>
        <a:ext cx="113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15</xdr:row>
      <xdr:rowOff>0</xdr:rowOff>
    </xdr:from>
    <xdr:to>
      <xdr:col>30</xdr:col>
      <xdr:colOff>184680</xdr:colOff>
      <xdr:row>32</xdr:row>
      <xdr:rowOff>1440</xdr:rowOff>
    </xdr:to>
    <xdr:graphicFrame>
      <xdr:nvGraphicFramePr>
        <xdr:cNvPr id="1" name="Chart 2"/>
        <xdr:cNvGraphicFramePr/>
      </xdr:nvGraphicFramePr>
      <xdr:xfrm>
        <a:off x="8709120" y="2857680"/>
        <a:ext cx="113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8</xdr:col>
      <xdr:colOff>220320</xdr:colOff>
      <xdr:row>49</xdr:row>
      <xdr:rowOff>22320</xdr:rowOff>
    </xdr:to>
    <xdr:graphicFrame>
      <xdr:nvGraphicFramePr>
        <xdr:cNvPr id="2" name="Chart 3"/>
        <xdr:cNvGraphicFramePr/>
      </xdr:nvGraphicFramePr>
      <xdr:xfrm>
        <a:off x="0" y="64771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34</xdr:row>
      <xdr:rowOff>0</xdr:rowOff>
    </xdr:from>
    <xdr:to>
      <xdr:col>16</xdr:col>
      <xdr:colOff>220320</xdr:colOff>
      <xdr:row>49</xdr:row>
      <xdr:rowOff>22320</xdr:rowOff>
    </xdr:to>
    <xdr:graphicFrame>
      <xdr:nvGraphicFramePr>
        <xdr:cNvPr id="3" name="Chart 4"/>
        <xdr:cNvGraphicFramePr/>
      </xdr:nvGraphicFramePr>
      <xdr:xfrm>
        <a:off x="5359320" y="64771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0</xdr:colOff>
      <xdr:row>34</xdr:row>
      <xdr:rowOff>0</xdr:rowOff>
    </xdr:from>
    <xdr:to>
      <xdr:col>24</xdr:col>
      <xdr:colOff>219960</xdr:colOff>
      <xdr:row>49</xdr:row>
      <xdr:rowOff>22320</xdr:rowOff>
    </xdr:to>
    <xdr:graphicFrame>
      <xdr:nvGraphicFramePr>
        <xdr:cNvPr id="4" name="Chart 5"/>
        <xdr:cNvGraphicFramePr/>
      </xdr:nvGraphicFramePr>
      <xdr:xfrm>
        <a:off x="10718640" y="64771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16</xdr:col>
      <xdr:colOff>621000</xdr:colOff>
      <xdr:row>68</xdr:row>
      <xdr:rowOff>181440</xdr:rowOff>
    </xdr:to>
    <xdr:graphicFrame>
      <xdr:nvGraphicFramePr>
        <xdr:cNvPr id="5" name="Chart 6"/>
        <xdr:cNvGraphicFramePr/>
      </xdr:nvGraphicFramePr>
      <xdr:xfrm>
        <a:off x="0" y="9715680"/>
        <a:ext cx="113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51</xdr:row>
      <xdr:rowOff>0</xdr:rowOff>
    </xdr:from>
    <xdr:to>
      <xdr:col>30</xdr:col>
      <xdr:colOff>184680</xdr:colOff>
      <xdr:row>68</xdr:row>
      <xdr:rowOff>181440</xdr:rowOff>
    </xdr:to>
    <xdr:graphicFrame>
      <xdr:nvGraphicFramePr>
        <xdr:cNvPr id="6" name="Chart 7"/>
        <xdr:cNvGraphicFramePr/>
      </xdr:nvGraphicFramePr>
      <xdr:xfrm>
        <a:off x="8709120" y="9715680"/>
        <a:ext cx="113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Z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9.5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 t="s">
        <v>3</v>
      </c>
      <c r="F5" s="3"/>
      <c r="G5" s="3"/>
      <c r="H5" s="3"/>
      <c r="I5" s="3" t="s">
        <v>4</v>
      </c>
      <c r="J5" s="3"/>
      <c r="K5" s="3"/>
      <c r="L5" s="3"/>
      <c r="M5" s="3" t="s">
        <v>5</v>
      </c>
      <c r="N5" s="3"/>
      <c r="O5" s="3"/>
      <c r="P5" s="3"/>
      <c r="Q5" s="3" t="s">
        <v>6</v>
      </c>
      <c r="R5" s="3"/>
      <c r="S5" s="3"/>
      <c r="T5" s="3"/>
      <c r="U5" s="3" t="s">
        <v>7</v>
      </c>
      <c r="V5" s="3"/>
      <c r="W5" s="3"/>
      <c r="X5" s="3"/>
      <c r="Y5" s="3"/>
      <c r="Z5" s="3"/>
    </row>
    <row r="6" customFormat="false" ht="15" hidden="false" customHeight="false" outlineLevel="0" collapsed="false">
      <c r="A6" s="4" t="n">
        <f aca="false">'Curva ABC'!G2849</f>
        <v>15238739.3114</v>
      </c>
      <c r="B6" s="4"/>
      <c r="C6" s="4"/>
      <c r="D6" s="4"/>
      <c r="E6" s="5" t="n">
        <f aca="false">COUNT('Curva ABC'!$B$8:$B$2847)</f>
        <v>2840</v>
      </c>
      <c r="F6" s="5"/>
      <c r="G6" s="5"/>
      <c r="H6" s="5"/>
      <c r="I6" s="6" t="n">
        <f aca="false">COUNTA(Análises!A11:A15)</f>
        <v>5</v>
      </c>
      <c r="J6" s="6"/>
      <c r="K6" s="6"/>
      <c r="L6" s="6"/>
      <c r="M6" s="5" t="n">
        <f aca="false">Análises!B4</f>
        <v>255</v>
      </c>
      <c r="N6" s="5"/>
      <c r="O6" s="5"/>
      <c r="P6" s="5"/>
      <c r="Q6" s="7" t="n">
        <f aca="false">Análises!E4</f>
        <v>0.799820614713321</v>
      </c>
      <c r="R6" s="7"/>
      <c r="S6" s="7"/>
      <c r="T6" s="7"/>
      <c r="U6" s="7" t="n">
        <f aca="false">'Curva ABC'!H8</f>
        <v>0.0452713250028437</v>
      </c>
      <c r="V6" s="7"/>
      <c r="W6" s="7"/>
      <c r="X6" s="7"/>
      <c r="Y6" s="7"/>
      <c r="Z6" s="7"/>
    </row>
    <row r="7" customFormat="false" ht="15" hidden="false" customHeight="false" outlineLevel="0" collapsed="false">
      <c r="A7" s="4"/>
      <c r="B7" s="4"/>
      <c r="C7" s="4"/>
      <c r="D7" s="4"/>
      <c r="E7" s="5"/>
      <c r="F7" s="5"/>
      <c r="G7" s="5"/>
      <c r="H7" s="5"/>
      <c r="I7" s="6"/>
      <c r="J7" s="6"/>
      <c r="K7" s="6"/>
      <c r="L7" s="6"/>
      <c r="M7" s="5"/>
      <c r="N7" s="5"/>
      <c r="O7" s="5"/>
      <c r="P7" s="5"/>
      <c r="Q7" s="7"/>
      <c r="R7" s="7"/>
      <c r="S7" s="7"/>
      <c r="T7" s="7"/>
      <c r="U7" s="7"/>
      <c r="V7" s="7"/>
      <c r="W7" s="7"/>
      <c r="X7" s="7"/>
      <c r="Y7" s="7"/>
      <c r="Z7" s="7"/>
    </row>
    <row r="9" customFormat="false" ht="15" hidden="false" customHeight="false" outlineLevel="0" collapsed="false">
      <c r="A9" s="8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5" hidden="false" customHeight="true" outlineLevel="0" collapsed="false">
      <c r="A10" s="9" t="s">
        <v>9</v>
      </c>
      <c r="B10" s="9"/>
      <c r="C10" s="9" t="s">
        <v>10</v>
      </c>
      <c r="D10" s="9"/>
      <c r="E10" s="9" t="s">
        <v>11</v>
      </c>
      <c r="F10" s="9"/>
      <c r="G10" s="9" t="s">
        <v>12</v>
      </c>
      <c r="H10" s="9"/>
      <c r="I10" s="9"/>
      <c r="J10" s="9" t="s">
        <v>13</v>
      </c>
      <c r="K10" s="9"/>
      <c r="M10" s="10" t="s">
        <v>14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11" t="str">
        <f aca="false">Análises!A4</f>
        <v>A</v>
      </c>
      <c r="B11" s="11"/>
      <c r="C11" s="12" t="n">
        <f aca="false">Análises!B4</f>
        <v>255</v>
      </c>
      <c r="D11" s="12"/>
      <c r="E11" s="13" t="n">
        <f aca="false">Análises!C4</f>
        <v>0.0897887323943662</v>
      </c>
      <c r="F11" s="13"/>
      <c r="G11" s="14" t="n">
        <f aca="false">Análises!D4</f>
        <v>12188257.8435</v>
      </c>
      <c r="H11" s="14"/>
      <c r="I11" s="14"/>
      <c r="J11" s="13" t="n">
        <f aca="false">Análises!E4</f>
        <v>0.799820614713321</v>
      </c>
      <c r="K11" s="13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" hidden="false" customHeight="false" outlineLevel="0" collapsed="false">
      <c r="A12" s="15" t="str">
        <f aca="false">Análises!A5</f>
        <v>B</v>
      </c>
      <c r="B12" s="15"/>
      <c r="C12" s="16" t="n">
        <f aca="false">Análises!B5</f>
        <v>609</v>
      </c>
      <c r="D12" s="16"/>
      <c r="E12" s="17" t="n">
        <f aca="false">Análises!C5</f>
        <v>0.21443661971831</v>
      </c>
      <c r="F12" s="17"/>
      <c r="G12" s="18" t="n">
        <f aca="false">Análises!D5</f>
        <v>2288357.1289</v>
      </c>
      <c r="H12" s="18"/>
      <c r="I12" s="18"/>
      <c r="J12" s="17" t="n">
        <f aca="false">Análises!E5</f>
        <v>0.150167089425048</v>
      </c>
      <c r="K12" s="17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" hidden="false" customHeight="false" outlineLevel="0" collapsed="false">
      <c r="A13" s="19" t="str">
        <f aca="false">Análises!A6</f>
        <v>C</v>
      </c>
      <c r="B13" s="19"/>
      <c r="C13" s="20" t="n">
        <f aca="false">Análises!B6</f>
        <v>1976</v>
      </c>
      <c r="D13" s="20"/>
      <c r="E13" s="21" t="n">
        <f aca="false">Análises!C6</f>
        <v>0.695774647887324</v>
      </c>
      <c r="F13" s="21"/>
      <c r="G13" s="22" t="n">
        <f aca="false">Análises!D6</f>
        <v>762124.339</v>
      </c>
      <c r="H13" s="22"/>
      <c r="I13" s="22"/>
      <c r="J13" s="21" t="n">
        <f aca="false">Análises!E6</f>
        <v>0.0500122958616308</v>
      </c>
      <c r="K13" s="2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" hidden="false" customHeight="false" outlineLevel="0" collapsed="false">
      <c r="A14" s="23" t="str">
        <f aca="false">Análises!A7</f>
        <v>Total</v>
      </c>
      <c r="B14" s="23"/>
      <c r="C14" s="24" t="n">
        <f aca="false">Análises!B7</f>
        <v>2840</v>
      </c>
      <c r="D14" s="24"/>
      <c r="E14" s="25" t="n">
        <f aca="false">Análises!C7</f>
        <v>1</v>
      </c>
      <c r="F14" s="25"/>
      <c r="G14" s="26" t="n">
        <f aca="false">Análises!D7</f>
        <v>15238739.3114</v>
      </c>
      <c r="H14" s="26"/>
      <c r="I14" s="26"/>
      <c r="J14" s="25" t="n">
        <f aca="false">Análises!E7</f>
        <v>1</v>
      </c>
      <c r="K14" s="25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</sheetData>
  <mergeCells count="41">
    <mergeCell ref="A1:Z2"/>
    <mergeCell ref="A3:Z3"/>
    <mergeCell ref="A5:D5"/>
    <mergeCell ref="E5:H5"/>
    <mergeCell ref="I5:L5"/>
    <mergeCell ref="M5:P5"/>
    <mergeCell ref="Q5:T5"/>
    <mergeCell ref="U5:Z5"/>
    <mergeCell ref="A6:D7"/>
    <mergeCell ref="E6:H7"/>
    <mergeCell ref="I6:L7"/>
    <mergeCell ref="M6:P7"/>
    <mergeCell ref="Q6:T7"/>
    <mergeCell ref="U6:Z7"/>
    <mergeCell ref="A9:Z9"/>
    <mergeCell ref="A10:B10"/>
    <mergeCell ref="C10:D10"/>
    <mergeCell ref="E10:F10"/>
    <mergeCell ref="G10:I10"/>
    <mergeCell ref="J10:K10"/>
    <mergeCell ref="M10:Z14"/>
    <mergeCell ref="A11:B11"/>
    <mergeCell ref="C11:D11"/>
    <mergeCell ref="E11:F11"/>
    <mergeCell ref="G11:I11"/>
    <mergeCell ref="J11:K11"/>
    <mergeCell ref="A12:B12"/>
    <mergeCell ref="C12:D12"/>
    <mergeCell ref="E12:F12"/>
    <mergeCell ref="G12:I12"/>
    <mergeCell ref="J12:K12"/>
    <mergeCell ref="A13:B13"/>
    <mergeCell ref="C13:D13"/>
    <mergeCell ref="E13:F13"/>
    <mergeCell ref="G13:I13"/>
    <mergeCell ref="J13:K13"/>
    <mergeCell ref="A14:B14"/>
    <mergeCell ref="C14:D14"/>
    <mergeCell ref="E14:F14"/>
    <mergeCell ref="G14:I14"/>
    <mergeCell ref="J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28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68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27" t="s">
        <v>15</v>
      </c>
    </row>
    <row r="2" customFormat="false" ht="15" hidden="false" customHeight="false" outlineLevel="0" collapsed="false">
      <c r="A2" s="28" t="s">
        <v>16</v>
      </c>
    </row>
    <row r="4" customFormat="false" ht="15" hidden="false" customHeight="false" outlineLevel="0" collapsed="false">
      <c r="A4" s="29" t="s">
        <v>17</v>
      </c>
      <c r="E4" s="30" t="n">
        <v>0.8</v>
      </c>
      <c r="G4" s="28" t="s">
        <v>18</v>
      </c>
    </row>
    <row r="5" customFormat="false" ht="15" hidden="false" customHeight="false" outlineLevel="0" collapsed="false">
      <c r="A5" s="29" t="s">
        <v>19</v>
      </c>
      <c r="E5" s="30" t="n">
        <v>0.95</v>
      </c>
    </row>
    <row r="7" customFormat="false" ht="30" hidden="false" customHeight="true" outlineLevel="0" collapsed="false">
      <c r="A7" s="31" t="s">
        <v>20</v>
      </c>
      <c r="B7" s="31" t="s">
        <v>21</v>
      </c>
      <c r="C7" s="31" t="s">
        <v>22</v>
      </c>
      <c r="D7" s="31" t="s">
        <v>23</v>
      </c>
      <c r="E7" s="31" t="s">
        <v>24</v>
      </c>
      <c r="F7" s="31" t="s">
        <v>25</v>
      </c>
      <c r="G7" s="31" t="s">
        <v>26</v>
      </c>
      <c r="H7" s="31" t="s">
        <v>27</v>
      </c>
      <c r="I7" s="31" t="s">
        <v>28</v>
      </c>
      <c r="J7" s="31" t="s">
        <v>29</v>
      </c>
      <c r="K7" s="31" t="s">
        <v>9</v>
      </c>
    </row>
    <row r="8" customFormat="false" ht="15" hidden="false" customHeight="false" outlineLevel="0" collapsed="false">
      <c r="A8" s="32" t="n">
        <v>1</v>
      </c>
      <c r="B8" s="33" t="n">
        <v>1322479</v>
      </c>
      <c r="C8" s="34" t="s">
        <v>30</v>
      </c>
      <c r="D8" s="34" t="s">
        <v>31</v>
      </c>
      <c r="E8" s="34" t="s">
        <v>32</v>
      </c>
      <c r="F8" s="32" t="n">
        <f aca="false">COUNTIF(Base!$D$2:$D$2878,B8)</f>
        <v>1</v>
      </c>
      <c r="G8" s="35" t="n">
        <f aca="false">SUMIF(Base!$D$2:$D$2878,B8,Base!$I$2:$I$2878)</f>
        <v>689877.92</v>
      </c>
      <c r="H8" s="36" t="n">
        <f aca="false">IF($G$2849=0,0,G8/$G$2849)</f>
        <v>0.0452713250028437</v>
      </c>
      <c r="I8" s="37" t="n">
        <f aca="false">H8</f>
        <v>0.0452713250028437</v>
      </c>
      <c r="J8" s="37" t="n">
        <f aca="false">A8/2840</f>
        <v>0.000352112676056338</v>
      </c>
      <c r="K8" s="32" t="str">
        <f aca="false">IF(I8&lt;=$E$4,"A",IF(I8&lt;=$E$5,"B","C"))</f>
        <v>A</v>
      </c>
    </row>
    <row r="9" customFormat="false" ht="15" hidden="false" customHeight="false" outlineLevel="0" collapsed="false">
      <c r="A9" s="32" t="n">
        <v>2</v>
      </c>
      <c r="B9" s="33" t="n">
        <v>1258883</v>
      </c>
      <c r="C9" s="34" t="s">
        <v>33</v>
      </c>
      <c r="D9" s="34" t="s">
        <v>34</v>
      </c>
      <c r="E9" s="34" t="s">
        <v>35</v>
      </c>
      <c r="F9" s="32" t="n">
        <f aca="false">COUNTIF(Base!$D$2:$D$2878,B9)</f>
        <v>1</v>
      </c>
      <c r="G9" s="35" t="n">
        <f aca="false">SUMIF(Base!$D$2:$D$2878,B9,Base!$I$2:$I$2878)</f>
        <v>595000.0001</v>
      </c>
      <c r="H9" s="36" t="n">
        <f aca="false">IF($G$2849=0,0,G9/$G$2849)</f>
        <v>0.039045224669923</v>
      </c>
      <c r="I9" s="37" t="n">
        <f aca="false">I8+H9</f>
        <v>0.0843165496727667</v>
      </c>
      <c r="J9" s="37" t="n">
        <f aca="false">A9/2840</f>
        <v>0.000704225352112676</v>
      </c>
      <c r="K9" s="32" t="str">
        <f aca="false">IF(I9&lt;=$E$4,"A",IF(I9&lt;=$E$5,"B","C"))</f>
        <v>A</v>
      </c>
    </row>
    <row r="10" customFormat="false" ht="15" hidden="false" customHeight="false" outlineLevel="0" collapsed="false">
      <c r="A10" s="32" t="n">
        <v>3</v>
      </c>
      <c r="B10" s="33" t="n">
        <v>1328273</v>
      </c>
      <c r="C10" s="34" t="s">
        <v>36</v>
      </c>
      <c r="D10" s="34" t="s">
        <v>37</v>
      </c>
      <c r="E10" s="34" t="s">
        <v>38</v>
      </c>
      <c r="F10" s="32" t="n">
        <f aca="false">COUNTIF(Base!$D$2:$D$2878,B10)</f>
        <v>1</v>
      </c>
      <c r="G10" s="35" t="n">
        <f aca="false">SUMIF(Base!$D$2:$D$2878,B10,Base!$I$2:$I$2878)</f>
        <v>355560.3</v>
      </c>
      <c r="H10" s="36" t="n">
        <f aca="false">IF($G$2849=0,0,G10/$G$2849)</f>
        <v>0.0233326584787764</v>
      </c>
      <c r="I10" s="37" t="n">
        <f aca="false">I9+H10</f>
        <v>0.107649208151543</v>
      </c>
      <c r="J10" s="37" t="n">
        <f aca="false">A10/2840</f>
        <v>0.00105633802816901</v>
      </c>
      <c r="K10" s="32" t="str">
        <f aca="false">IF(I10&lt;=$E$4,"A",IF(I10&lt;=$E$5,"B","C"))</f>
        <v>A</v>
      </c>
    </row>
    <row r="11" customFormat="false" ht="15" hidden="false" customHeight="false" outlineLevel="0" collapsed="false">
      <c r="A11" s="32" t="n">
        <v>4</v>
      </c>
      <c r="B11" s="33" t="n">
        <v>387747</v>
      </c>
      <c r="C11" s="34" t="s">
        <v>39</v>
      </c>
      <c r="D11" s="34" t="s">
        <v>40</v>
      </c>
      <c r="E11" s="34" t="s">
        <v>38</v>
      </c>
      <c r="F11" s="32" t="n">
        <f aca="false">COUNTIF(Base!$D$2:$D$2878,B11)</f>
        <v>1</v>
      </c>
      <c r="G11" s="35" t="n">
        <f aca="false">SUMIF(Base!$D$2:$D$2878,B11,Base!$I$2:$I$2878)</f>
        <v>348968.62</v>
      </c>
      <c r="H11" s="36" t="n">
        <f aca="false">IF($G$2849=0,0,G11/$G$2849)</f>
        <v>0.0229000977619546</v>
      </c>
      <c r="I11" s="37" t="n">
        <f aca="false">I10+H11</f>
        <v>0.130549305913498</v>
      </c>
      <c r="J11" s="37" t="n">
        <f aca="false">A11/2840</f>
        <v>0.00140845070422535</v>
      </c>
      <c r="K11" s="32" t="str">
        <f aca="false">IF(I11&lt;=$E$4,"A",IF(I11&lt;=$E$5,"B","C"))</f>
        <v>A</v>
      </c>
    </row>
    <row r="12" customFormat="false" ht="15" hidden="false" customHeight="false" outlineLevel="0" collapsed="false">
      <c r="A12" s="32" t="n">
        <v>5</v>
      </c>
      <c r="B12" s="33" t="n">
        <v>1328095</v>
      </c>
      <c r="C12" s="34" t="s">
        <v>41</v>
      </c>
      <c r="D12" s="34" t="s">
        <v>42</v>
      </c>
      <c r="E12" s="34" t="s">
        <v>38</v>
      </c>
      <c r="F12" s="32" t="n">
        <f aca="false">COUNTIF(Base!$D$2:$D$2878,B12)</f>
        <v>1</v>
      </c>
      <c r="G12" s="35" t="n">
        <f aca="false">SUMIF(Base!$D$2:$D$2878,B12,Base!$I$2:$I$2878)</f>
        <v>340633.99</v>
      </c>
      <c r="H12" s="36" t="n">
        <f aca="false">IF($G$2849=0,0,G12/$G$2849)</f>
        <v>0.0223531607857596</v>
      </c>
      <c r="I12" s="37" t="n">
        <f aca="false">I11+H12</f>
        <v>0.152902466699257</v>
      </c>
      <c r="J12" s="37" t="n">
        <f aca="false">A12/2840</f>
        <v>0.00176056338028169</v>
      </c>
      <c r="K12" s="32" t="str">
        <f aca="false">IF(I12&lt;=$E$4,"A",IF(I12&lt;=$E$5,"B","C"))</f>
        <v>A</v>
      </c>
    </row>
    <row r="13" customFormat="false" ht="15" hidden="false" customHeight="false" outlineLevel="0" collapsed="false">
      <c r="A13" s="32" t="n">
        <v>6</v>
      </c>
      <c r="B13" s="33" t="n">
        <v>1540323</v>
      </c>
      <c r="C13" s="34" t="s">
        <v>43</v>
      </c>
      <c r="D13" s="34" t="s">
        <v>44</v>
      </c>
      <c r="E13" s="34" t="s">
        <v>38</v>
      </c>
      <c r="F13" s="32" t="n">
        <f aca="false">COUNTIF(Base!$D$2:$D$2878,B13)</f>
        <v>1</v>
      </c>
      <c r="G13" s="35" t="n">
        <f aca="false">SUMIF(Base!$D$2:$D$2878,B13,Base!$I$2:$I$2878)</f>
        <v>340477.81</v>
      </c>
      <c r="H13" s="36" t="n">
        <f aca="false">IF($G$2849=0,0,G13/$G$2849)</f>
        <v>0.0223429119064522</v>
      </c>
      <c r="I13" s="37" t="n">
        <f aca="false">I12+H13</f>
        <v>0.175245378605709</v>
      </c>
      <c r="J13" s="37" t="n">
        <f aca="false">A13/2840</f>
        <v>0.00211267605633803</v>
      </c>
      <c r="K13" s="32" t="str">
        <f aca="false">IF(I13&lt;=$E$4,"A",IF(I13&lt;=$E$5,"B","C"))</f>
        <v>A</v>
      </c>
    </row>
    <row r="14" customFormat="false" ht="15" hidden="false" customHeight="false" outlineLevel="0" collapsed="false">
      <c r="A14" s="32" t="n">
        <v>7</v>
      </c>
      <c r="B14" s="33" t="n">
        <v>1092910</v>
      </c>
      <c r="C14" s="34" t="s">
        <v>45</v>
      </c>
      <c r="D14" s="34" t="s">
        <v>46</v>
      </c>
      <c r="E14" s="34" t="s">
        <v>47</v>
      </c>
      <c r="F14" s="32" t="n">
        <f aca="false">COUNTIF(Base!$D$2:$D$2878,B14)</f>
        <v>1</v>
      </c>
      <c r="G14" s="35" t="n">
        <f aca="false">SUMIF(Base!$D$2:$D$2878,B14,Base!$I$2:$I$2878)</f>
        <v>319377.6</v>
      </c>
      <c r="H14" s="36" t="n">
        <f aca="false">IF($G$2849=0,0,G14/$G$2849)</f>
        <v>0.0209582691503277</v>
      </c>
      <c r="I14" s="37" t="n">
        <f aca="false">I13+H14</f>
        <v>0.196203647756037</v>
      </c>
      <c r="J14" s="37" t="n">
        <f aca="false">A14/2840</f>
        <v>0.00246478873239437</v>
      </c>
      <c r="K14" s="32" t="str">
        <f aca="false">IF(I14&lt;=$E$4,"A",IF(I14&lt;=$E$5,"B","C"))</f>
        <v>A</v>
      </c>
    </row>
    <row r="15" customFormat="false" ht="15" hidden="false" customHeight="false" outlineLevel="0" collapsed="false">
      <c r="A15" s="32" t="n">
        <v>8</v>
      </c>
      <c r="B15" s="33" t="n">
        <v>1328133</v>
      </c>
      <c r="C15" s="34" t="s">
        <v>48</v>
      </c>
      <c r="D15" s="34" t="s">
        <v>49</v>
      </c>
      <c r="E15" s="34" t="s">
        <v>38</v>
      </c>
      <c r="F15" s="32" t="n">
        <f aca="false">COUNTIF(Base!$D$2:$D$2878,B15)</f>
        <v>2</v>
      </c>
      <c r="G15" s="35" t="n">
        <f aca="false">SUMIF(Base!$D$2:$D$2878,B15,Base!$I$2:$I$2878)</f>
        <v>289781.22</v>
      </c>
      <c r="H15" s="36" t="n">
        <f aca="false">IF($G$2849=0,0,G15/$G$2849)</f>
        <v>0.0190160888035677</v>
      </c>
      <c r="I15" s="37" t="n">
        <f aca="false">I14+H15</f>
        <v>0.215219736559605</v>
      </c>
      <c r="J15" s="37" t="n">
        <f aca="false">A15/2840</f>
        <v>0.0028169014084507</v>
      </c>
      <c r="K15" s="32" t="str">
        <f aca="false">IF(I15&lt;=$E$4,"A",IF(I15&lt;=$E$5,"B","C"))</f>
        <v>A</v>
      </c>
    </row>
    <row r="16" customFormat="false" ht="15" hidden="false" customHeight="false" outlineLevel="0" collapsed="false">
      <c r="A16" s="32" t="n">
        <v>9</v>
      </c>
      <c r="B16" s="33" t="n">
        <v>1328274</v>
      </c>
      <c r="C16" s="34" t="s">
        <v>50</v>
      </c>
      <c r="D16" s="34" t="s">
        <v>51</v>
      </c>
      <c r="E16" s="34" t="s">
        <v>38</v>
      </c>
      <c r="F16" s="32" t="n">
        <f aca="false">COUNTIF(Base!$D$2:$D$2878,B16)</f>
        <v>1</v>
      </c>
      <c r="G16" s="35" t="n">
        <f aca="false">SUMIF(Base!$D$2:$D$2878,B16,Base!$I$2:$I$2878)</f>
        <v>266529.6</v>
      </c>
      <c r="H16" s="36" t="n">
        <f aca="false">IF($G$2849=0,0,G16/$G$2849)</f>
        <v>0.0174902657335053</v>
      </c>
      <c r="I16" s="37" t="n">
        <f aca="false">I15+H16</f>
        <v>0.23271000229311</v>
      </c>
      <c r="J16" s="37" t="n">
        <f aca="false">A16/2840</f>
        <v>0.00316901408450704</v>
      </c>
      <c r="K16" s="32" t="str">
        <f aca="false">IF(I16&lt;=$E$4,"A",IF(I16&lt;=$E$5,"B","C"))</f>
        <v>A</v>
      </c>
    </row>
    <row r="17" customFormat="false" ht="15" hidden="false" customHeight="false" outlineLevel="0" collapsed="false">
      <c r="A17" s="32" t="n">
        <v>10</v>
      </c>
      <c r="B17" s="33" t="n">
        <v>1170016</v>
      </c>
      <c r="C17" s="34" t="s">
        <v>52</v>
      </c>
      <c r="D17" s="34" t="s">
        <v>53</v>
      </c>
      <c r="E17" s="34" t="s">
        <v>54</v>
      </c>
      <c r="F17" s="32" t="n">
        <f aca="false">COUNTIF(Base!$D$2:$D$2878,B17)</f>
        <v>2</v>
      </c>
      <c r="G17" s="35" t="n">
        <f aca="false">SUMIF(Base!$D$2:$D$2878,B17,Base!$I$2:$I$2878)</f>
        <v>239772.49</v>
      </c>
      <c r="H17" s="36" t="n">
        <f aca="false">IF($G$2849=0,0,G17/$G$2849)</f>
        <v>0.0157344046052831</v>
      </c>
      <c r="I17" s="37" t="n">
        <f aca="false">I16+H17</f>
        <v>0.248444406898393</v>
      </c>
      <c r="J17" s="37" t="n">
        <f aca="false">A17/2840</f>
        <v>0.00352112676056338</v>
      </c>
      <c r="K17" s="32" t="str">
        <f aca="false">IF(I17&lt;=$E$4,"A",IF(I17&lt;=$E$5,"B","C"))</f>
        <v>A</v>
      </c>
    </row>
    <row r="18" customFormat="false" ht="15" hidden="false" customHeight="false" outlineLevel="0" collapsed="false">
      <c r="A18" s="32" t="n">
        <v>11</v>
      </c>
      <c r="B18" s="33" t="n">
        <v>1485414</v>
      </c>
      <c r="C18" s="34" t="s">
        <v>55</v>
      </c>
      <c r="D18" s="34" t="s">
        <v>56</v>
      </c>
      <c r="E18" s="34" t="s">
        <v>38</v>
      </c>
      <c r="F18" s="32" t="n">
        <f aca="false">COUNTIF(Base!$D$2:$D$2878,B18)</f>
        <v>1</v>
      </c>
      <c r="G18" s="35" t="n">
        <f aca="false">SUMIF(Base!$D$2:$D$2878,B18,Base!$I$2:$I$2878)</f>
        <v>198764.12</v>
      </c>
      <c r="H18" s="36" t="n">
        <f aca="false">IF($G$2849=0,0,G18/$G$2849)</f>
        <v>0.0130433440679247</v>
      </c>
      <c r="I18" s="37" t="n">
        <f aca="false">I17+H18</f>
        <v>0.261487750966318</v>
      </c>
      <c r="J18" s="37" t="n">
        <f aca="false">A18/2840</f>
        <v>0.00387323943661972</v>
      </c>
      <c r="K18" s="32" t="str">
        <f aca="false">IF(I18&lt;=$E$4,"A",IF(I18&lt;=$E$5,"B","C"))</f>
        <v>A</v>
      </c>
    </row>
    <row r="19" customFormat="false" ht="15" hidden="false" customHeight="false" outlineLevel="0" collapsed="false">
      <c r="A19" s="32" t="n">
        <v>12</v>
      </c>
      <c r="B19" s="33" t="n">
        <v>1321831</v>
      </c>
      <c r="C19" s="34" t="s">
        <v>57</v>
      </c>
      <c r="D19" s="34" t="s">
        <v>58</v>
      </c>
      <c r="E19" s="34" t="s">
        <v>38</v>
      </c>
      <c r="F19" s="32" t="n">
        <f aca="false">COUNTIF(Base!$D$2:$D$2878,B19)</f>
        <v>1</v>
      </c>
      <c r="G19" s="35" t="n">
        <f aca="false">SUMIF(Base!$D$2:$D$2878,B19,Base!$I$2:$I$2878)</f>
        <v>171047.93</v>
      </c>
      <c r="H19" s="36" t="n">
        <f aca="false">IF($G$2849=0,0,G19/$G$2849)</f>
        <v>0.0112245459748787</v>
      </c>
      <c r="I19" s="37" t="n">
        <f aca="false">I18+H19</f>
        <v>0.272712296941196</v>
      </c>
      <c r="J19" s="37" t="n">
        <f aca="false">A19/2840</f>
        <v>0.00422535211267606</v>
      </c>
      <c r="K19" s="32" t="str">
        <f aca="false">IF(I19&lt;=$E$4,"A",IF(I19&lt;=$E$5,"B","C"))</f>
        <v>A</v>
      </c>
    </row>
    <row r="20" customFormat="false" ht="15" hidden="false" customHeight="false" outlineLevel="0" collapsed="false">
      <c r="A20" s="32" t="n">
        <v>13</v>
      </c>
      <c r="B20" s="33" t="n">
        <v>1321832</v>
      </c>
      <c r="C20" s="34" t="s">
        <v>59</v>
      </c>
      <c r="D20" s="34" t="s">
        <v>60</v>
      </c>
      <c r="E20" s="34" t="s">
        <v>38</v>
      </c>
      <c r="F20" s="32" t="n">
        <f aca="false">COUNTIF(Base!$D$2:$D$2878,B20)</f>
        <v>1</v>
      </c>
      <c r="G20" s="35" t="n">
        <f aca="false">SUMIF(Base!$D$2:$D$2878,B20,Base!$I$2:$I$2878)</f>
        <v>169258.31</v>
      </c>
      <c r="H20" s="36" t="n">
        <f aca="false">IF($G$2849=0,0,G20/$G$2849)</f>
        <v>0.011107107126203</v>
      </c>
      <c r="I20" s="37" t="n">
        <f aca="false">I19+H20</f>
        <v>0.283819404067399</v>
      </c>
      <c r="J20" s="37" t="n">
        <f aca="false">A20/2840</f>
        <v>0.00457746478873239</v>
      </c>
      <c r="K20" s="32" t="str">
        <f aca="false">IF(I20&lt;=$E$4,"A",IF(I20&lt;=$E$5,"B","C"))</f>
        <v>A</v>
      </c>
    </row>
    <row r="21" customFormat="false" ht="15" hidden="false" customHeight="false" outlineLevel="0" collapsed="false">
      <c r="A21" s="32" t="n">
        <v>14</v>
      </c>
      <c r="B21" s="33" t="n">
        <v>57985</v>
      </c>
      <c r="C21" s="34" t="s">
        <v>61</v>
      </c>
      <c r="D21" s="34" t="s">
        <v>62</v>
      </c>
      <c r="E21" s="34" t="s">
        <v>63</v>
      </c>
      <c r="F21" s="32" t="n">
        <f aca="false">COUNTIF(Base!$D$2:$D$2878,B21)</f>
        <v>1</v>
      </c>
      <c r="G21" s="35" t="n">
        <f aca="false">SUMIF(Base!$D$2:$D$2878,B21,Base!$I$2:$I$2878)</f>
        <v>163012.5</v>
      </c>
      <c r="H21" s="36" t="n">
        <f aca="false">IF($G$2849=0,0,G21/$G$2849)</f>
        <v>0.0106972431688002</v>
      </c>
      <c r="I21" s="37" t="n">
        <f aca="false">I20+H21</f>
        <v>0.2945166472362</v>
      </c>
      <c r="J21" s="37" t="n">
        <f aca="false">A21/2840</f>
        <v>0.00492957746478873</v>
      </c>
      <c r="K21" s="32" t="str">
        <f aca="false">IF(I21&lt;=$E$4,"A",IF(I21&lt;=$E$5,"B","C"))</f>
        <v>A</v>
      </c>
    </row>
    <row r="22" customFormat="false" ht="15" hidden="false" customHeight="false" outlineLevel="0" collapsed="false">
      <c r="A22" s="32" t="n">
        <v>15</v>
      </c>
      <c r="B22" s="33" t="n">
        <v>742688</v>
      </c>
      <c r="C22" s="34" t="s">
        <v>64</v>
      </c>
      <c r="D22" s="34" t="s">
        <v>65</v>
      </c>
      <c r="E22" s="34" t="s">
        <v>66</v>
      </c>
      <c r="F22" s="32" t="n">
        <f aca="false">COUNTIF(Base!$D$2:$D$2878,B22)</f>
        <v>1</v>
      </c>
      <c r="G22" s="35" t="n">
        <f aca="false">SUMIF(Base!$D$2:$D$2878,B22,Base!$I$2:$I$2878)</f>
        <v>159390</v>
      </c>
      <c r="H22" s="36" t="n">
        <f aca="false">IF($G$2849=0,0,G22/$G$2849)</f>
        <v>0.0104595266539379</v>
      </c>
      <c r="I22" s="37" t="n">
        <f aca="false">I21+H22</f>
        <v>0.304976173890137</v>
      </c>
      <c r="J22" s="37" t="n">
        <f aca="false">A22/2840</f>
        <v>0.00528169014084507</v>
      </c>
      <c r="K22" s="32" t="str">
        <f aca="false">IF(I22&lt;=$E$4,"A",IF(I22&lt;=$E$5,"B","C"))</f>
        <v>A</v>
      </c>
    </row>
    <row r="23" customFormat="false" ht="15" hidden="false" customHeight="false" outlineLevel="0" collapsed="false">
      <c r="A23" s="32" t="n">
        <v>16</v>
      </c>
      <c r="B23" s="33" t="n">
        <v>1322477</v>
      </c>
      <c r="C23" s="34" t="s">
        <v>67</v>
      </c>
      <c r="D23" s="34" t="s">
        <v>68</v>
      </c>
      <c r="E23" s="34" t="s">
        <v>38</v>
      </c>
      <c r="F23" s="32" t="n">
        <f aca="false">COUNTIF(Base!$D$2:$D$2878,B23)</f>
        <v>1</v>
      </c>
      <c r="G23" s="35" t="n">
        <f aca="false">SUMIF(Base!$D$2:$D$2878,B23,Base!$I$2:$I$2878)</f>
        <v>151354.5</v>
      </c>
      <c r="H23" s="36" t="n">
        <f aca="false">IF($G$2849=0,0,G23/$G$2849)</f>
        <v>0.00993221925430358</v>
      </c>
      <c r="I23" s="37" t="n">
        <f aca="false">I22+H23</f>
        <v>0.314908393144441</v>
      </c>
      <c r="J23" s="37" t="n">
        <f aca="false">A23/2840</f>
        <v>0.00563380281690141</v>
      </c>
      <c r="K23" s="32" t="str">
        <f aca="false">IF(I23&lt;=$E$4,"A",IF(I23&lt;=$E$5,"B","C"))</f>
        <v>A</v>
      </c>
    </row>
    <row r="24" customFormat="false" ht="15" hidden="false" customHeight="false" outlineLevel="0" collapsed="false">
      <c r="A24" s="32" t="n">
        <v>17</v>
      </c>
      <c r="B24" s="33" t="n">
        <v>1319354</v>
      </c>
      <c r="C24" s="34" t="s">
        <v>69</v>
      </c>
      <c r="D24" s="34" t="s">
        <v>70</v>
      </c>
      <c r="E24" s="34" t="s">
        <v>35</v>
      </c>
      <c r="F24" s="32" t="n">
        <f aca="false">COUNTIF(Base!$D$2:$D$2878,B24)</f>
        <v>1</v>
      </c>
      <c r="G24" s="35" t="n">
        <f aca="false">SUMIF(Base!$D$2:$D$2878,B24,Base!$I$2:$I$2878)</f>
        <v>148930</v>
      </c>
      <c r="H24" s="36" t="n">
        <f aca="false">IF($G$2849=0,0,G24/$G$2849)</f>
        <v>0.00977311816657868</v>
      </c>
      <c r="I24" s="37" t="n">
        <f aca="false">I23+H24</f>
        <v>0.32468151131102</v>
      </c>
      <c r="J24" s="37" t="n">
        <f aca="false">A24/2840</f>
        <v>0.00598591549295775</v>
      </c>
      <c r="K24" s="32" t="str">
        <f aca="false">IF(I24&lt;=$E$4,"A",IF(I24&lt;=$E$5,"B","C"))</f>
        <v>A</v>
      </c>
    </row>
    <row r="25" customFormat="false" ht="15" hidden="false" customHeight="false" outlineLevel="0" collapsed="false">
      <c r="A25" s="32" t="n">
        <v>18</v>
      </c>
      <c r="B25" s="33" t="n">
        <v>884974</v>
      </c>
      <c r="C25" s="34" t="s">
        <v>71</v>
      </c>
      <c r="D25" s="34" t="s">
        <v>72</v>
      </c>
      <c r="E25" s="34" t="s">
        <v>38</v>
      </c>
      <c r="F25" s="32" t="n">
        <f aca="false">COUNTIF(Base!$D$2:$D$2878,B25)</f>
        <v>1</v>
      </c>
      <c r="G25" s="35" t="n">
        <f aca="false">SUMIF(Base!$D$2:$D$2878,B25,Base!$I$2:$I$2878)</f>
        <v>142639.77</v>
      </c>
      <c r="H25" s="36" t="n">
        <f aca="false">IF($G$2849=0,0,G25/$G$2849)</f>
        <v>0.00936033926988252</v>
      </c>
      <c r="I25" s="37" t="n">
        <f aca="false">I24+H25</f>
        <v>0.334041850580902</v>
      </c>
      <c r="J25" s="37" t="n">
        <f aca="false">A25/2840</f>
        <v>0.00633802816901409</v>
      </c>
      <c r="K25" s="32" t="str">
        <f aca="false">IF(I25&lt;=$E$4,"A",IF(I25&lt;=$E$5,"B","C"))</f>
        <v>A</v>
      </c>
    </row>
    <row r="26" customFormat="false" ht="15" hidden="false" customHeight="false" outlineLevel="0" collapsed="false">
      <c r="A26" s="32" t="n">
        <v>19</v>
      </c>
      <c r="B26" s="33" t="n">
        <v>22157</v>
      </c>
      <c r="C26" s="34" t="s">
        <v>73</v>
      </c>
      <c r="D26" s="34" t="s">
        <v>74</v>
      </c>
      <c r="E26" s="34" t="s">
        <v>75</v>
      </c>
      <c r="F26" s="32" t="n">
        <f aca="false">COUNTIF(Base!$D$2:$D$2878,B26)</f>
        <v>2</v>
      </c>
      <c r="G26" s="35" t="n">
        <f aca="false">SUMIF(Base!$D$2:$D$2878,B26,Base!$I$2:$I$2878)</f>
        <v>142156.2012</v>
      </c>
      <c r="H26" s="36" t="n">
        <f aca="false">IF($G$2849=0,0,G26/$G$2849)</f>
        <v>0.00932860640864523</v>
      </c>
      <c r="I26" s="37" t="n">
        <f aca="false">I25+H26</f>
        <v>0.343370456989547</v>
      </c>
      <c r="J26" s="37" t="n">
        <f aca="false">A26/2840</f>
        <v>0.00669014084507042</v>
      </c>
      <c r="K26" s="32" t="str">
        <f aca="false">IF(I26&lt;=$E$4,"A",IF(I26&lt;=$E$5,"B","C"))</f>
        <v>A</v>
      </c>
    </row>
    <row r="27" customFormat="false" ht="15" hidden="false" customHeight="false" outlineLevel="0" collapsed="false">
      <c r="A27" s="32" t="n">
        <v>20</v>
      </c>
      <c r="B27" s="33" t="n">
        <v>1328795</v>
      </c>
      <c r="C27" s="34" t="s">
        <v>76</v>
      </c>
      <c r="D27" s="34" t="s">
        <v>77</v>
      </c>
      <c r="E27" s="34" t="s">
        <v>35</v>
      </c>
      <c r="F27" s="32" t="n">
        <f aca="false">COUNTIF(Base!$D$2:$D$2878,B27)</f>
        <v>1</v>
      </c>
      <c r="G27" s="35" t="n">
        <f aca="false">SUMIF(Base!$D$2:$D$2878,B27,Base!$I$2:$I$2878)</f>
        <v>137108.08</v>
      </c>
      <c r="H27" s="36" t="n">
        <f aca="false">IF($G$2849=0,0,G27/$G$2849)</f>
        <v>0.00899733745674292</v>
      </c>
      <c r="I27" s="37" t="n">
        <f aca="false">I26+H27</f>
        <v>0.35236779444629</v>
      </c>
      <c r="J27" s="37" t="n">
        <f aca="false">A27/2840</f>
        <v>0.00704225352112676</v>
      </c>
      <c r="K27" s="32" t="str">
        <f aca="false">IF(I27&lt;=$E$4,"A",IF(I27&lt;=$E$5,"B","C"))</f>
        <v>A</v>
      </c>
    </row>
    <row r="28" customFormat="false" ht="15" hidden="false" customHeight="false" outlineLevel="0" collapsed="false">
      <c r="A28" s="32" t="n">
        <v>21</v>
      </c>
      <c r="B28" s="33" t="n">
        <v>1323077</v>
      </c>
      <c r="C28" s="34" t="s">
        <v>78</v>
      </c>
      <c r="D28" s="34" t="s">
        <v>79</v>
      </c>
      <c r="E28" s="34" t="s">
        <v>66</v>
      </c>
      <c r="F28" s="32" t="n">
        <f aca="false">COUNTIF(Base!$D$2:$D$2878,B28)</f>
        <v>1</v>
      </c>
      <c r="G28" s="35" t="n">
        <f aca="false">SUMIF(Base!$D$2:$D$2878,B28,Base!$I$2:$I$2878)</f>
        <v>135833.04</v>
      </c>
      <c r="H28" s="36" t="n">
        <f aca="false">IF($G$2849=0,0,G28/$G$2849)</f>
        <v>0.00891366649328952</v>
      </c>
      <c r="I28" s="37" t="n">
        <f aca="false">I27+H28</f>
        <v>0.36128146093958</v>
      </c>
      <c r="J28" s="37" t="n">
        <f aca="false">A28/2840</f>
        <v>0.0073943661971831</v>
      </c>
      <c r="K28" s="32" t="str">
        <f aca="false">IF(I28&lt;=$E$4,"A",IF(I28&lt;=$E$5,"B","C"))</f>
        <v>A</v>
      </c>
    </row>
    <row r="29" customFormat="false" ht="15" hidden="false" customHeight="false" outlineLevel="0" collapsed="false">
      <c r="A29" s="32" t="n">
        <v>22</v>
      </c>
      <c r="B29" s="33" t="n">
        <v>1319353</v>
      </c>
      <c r="C29" s="34" t="s">
        <v>80</v>
      </c>
      <c r="D29" s="34" t="s">
        <v>81</v>
      </c>
      <c r="E29" s="34" t="s">
        <v>35</v>
      </c>
      <c r="F29" s="32" t="n">
        <f aca="false">COUNTIF(Base!$D$2:$D$2878,B29)</f>
        <v>1</v>
      </c>
      <c r="G29" s="35" t="n">
        <f aca="false">SUMIF(Base!$D$2:$D$2878,B29,Base!$I$2:$I$2878)</f>
        <v>126730</v>
      </c>
      <c r="H29" s="36" t="n">
        <f aca="false">IF($G$2849=0,0,G29/$G$2849)</f>
        <v>0.00831630474216421</v>
      </c>
      <c r="I29" s="37" t="n">
        <f aca="false">I28+H29</f>
        <v>0.369597765681744</v>
      </c>
      <c r="J29" s="37" t="n">
        <f aca="false">A29/2840</f>
        <v>0.00774647887323944</v>
      </c>
      <c r="K29" s="32" t="str">
        <f aca="false">IF(I29&lt;=$E$4,"A",IF(I29&lt;=$E$5,"B","C"))</f>
        <v>A</v>
      </c>
    </row>
    <row r="30" customFormat="false" ht="15" hidden="false" customHeight="false" outlineLevel="0" collapsed="false">
      <c r="A30" s="32" t="n">
        <v>23</v>
      </c>
      <c r="B30" s="33" t="n">
        <v>53717</v>
      </c>
      <c r="C30" s="34" t="s">
        <v>82</v>
      </c>
      <c r="D30" s="34" t="s">
        <v>83</v>
      </c>
      <c r="E30" s="34" t="s">
        <v>54</v>
      </c>
      <c r="F30" s="32" t="n">
        <f aca="false">COUNTIF(Base!$D$2:$D$2878,B30)</f>
        <v>1</v>
      </c>
      <c r="G30" s="35" t="n">
        <f aca="false">SUMIF(Base!$D$2:$D$2878,B30,Base!$I$2:$I$2878)</f>
        <v>119800</v>
      </c>
      <c r="H30" s="36" t="n">
        <f aca="false">IF($G$2849=0,0,G30/$G$2849)</f>
        <v>0.00786154271373213</v>
      </c>
      <c r="I30" s="37" t="n">
        <f aca="false">I29+H30</f>
        <v>0.377459308395476</v>
      </c>
      <c r="J30" s="37" t="n">
        <f aca="false">A30/2840</f>
        <v>0.00809859154929577</v>
      </c>
      <c r="K30" s="32" t="str">
        <f aca="false">IF(I30&lt;=$E$4,"A",IF(I30&lt;=$E$5,"B","C"))</f>
        <v>A</v>
      </c>
    </row>
    <row r="31" customFormat="false" ht="15" hidden="false" customHeight="false" outlineLevel="0" collapsed="false">
      <c r="A31" s="32" t="n">
        <v>24</v>
      </c>
      <c r="B31" s="33" t="n">
        <v>1258884</v>
      </c>
      <c r="C31" s="34" t="s">
        <v>84</v>
      </c>
      <c r="D31" s="34" t="s">
        <v>85</v>
      </c>
      <c r="E31" s="34" t="s">
        <v>35</v>
      </c>
      <c r="F31" s="32" t="n">
        <f aca="false">COUNTIF(Base!$D$2:$D$2878,B31)</f>
        <v>1</v>
      </c>
      <c r="G31" s="35" t="n">
        <f aca="false">SUMIF(Base!$D$2:$D$2878,B31,Base!$I$2:$I$2878)</f>
        <v>116000</v>
      </c>
      <c r="H31" s="36" t="n">
        <f aca="false">IF($G$2849=0,0,G31/$G$2849)</f>
        <v>0.00761217825369722</v>
      </c>
      <c r="I31" s="37" t="n">
        <f aca="false">I30+H31</f>
        <v>0.385071486649173</v>
      </c>
      <c r="J31" s="37" t="n">
        <f aca="false">A31/2840</f>
        <v>0.00845070422535211</v>
      </c>
      <c r="K31" s="32" t="str">
        <f aca="false">IF(I31&lt;=$E$4,"A",IF(I31&lt;=$E$5,"B","C"))</f>
        <v>A</v>
      </c>
    </row>
    <row r="32" customFormat="false" ht="15" hidden="false" customHeight="false" outlineLevel="0" collapsed="false">
      <c r="A32" s="32" t="n">
        <v>25</v>
      </c>
      <c r="B32" s="33" t="n">
        <v>742411</v>
      </c>
      <c r="C32" s="34" t="s">
        <v>86</v>
      </c>
      <c r="D32" s="34" t="s">
        <v>87</v>
      </c>
      <c r="E32" s="34" t="s">
        <v>54</v>
      </c>
      <c r="F32" s="32" t="n">
        <f aca="false">COUNTIF(Base!$D$2:$D$2878,B32)</f>
        <v>1</v>
      </c>
      <c r="G32" s="35" t="n">
        <f aca="false">SUMIF(Base!$D$2:$D$2878,B32,Base!$I$2:$I$2878)</f>
        <v>115863.08</v>
      </c>
      <c r="H32" s="36" t="n">
        <f aca="false">IF($G$2849=0,0,G32/$G$2849)</f>
        <v>0.0076031932584688</v>
      </c>
      <c r="I32" s="37" t="n">
        <f aca="false">I31+H32</f>
        <v>0.392674679907642</v>
      </c>
      <c r="J32" s="37" t="n">
        <f aca="false">A32/2840</f>
        <v>0.00880281690140845</v>
      </c>
      <c r="K32" s="32" t="str">
        <f aca="false">IF(I32&lt;=$E$4,"A",IF(I32&lt;=$E$5,"B","C"))</f>
        <v>A</v>
      </c>
    </row>
    <row r="33" customFormat="false" ht="15" hidden="false" customHeight="false" outlineLevel="0" collapsed="false">
      <c r="A33" s="32" t="n">
        <v>26</v>
      </c>
      <c r="B33" s="33" t="n">
        <v>1464891</v>
      </c>
      <c r="C33" s="34" t="s">
        <v>88</v>
      </c>
      <c r="D33" s="34" t="s">
        <v>89</v>
      </c>
      <c r="E33" s="34" t="s">
        <v>90</v>
      </c>
      <c r="F33" s="32" t="n">
        <f aca="false">COUNTIF(Base!$D$2:$D$2878,B33)</f>
        <v>1</v>
      </c>
      <c r="G33" s="35" t="n">
        <f aca="false">SUMIF(Base!$D$2:$D$2878,B33,Base!$I$2:$I$2878)</f>
        <v>112855.23</v>
      </c>
      <c r="H33" s="36" t="n">
        <f aca="false">IF($G$2849=0,0,G33/$G$2849)</f>
        <v>0.00740581144501722</v>
      </c>
      <c r="I33" s="37" t="n">
        <f aca="false">I32+H33</f>
        <v>0.400080491352659</v>
      </c>
      <c r="J33" s="37" t="n">
        <f aca="false">A33/2840</f>
        <v>0.00915492957746479</v>
      </c>
      <c r="K33" s="32" t="str">
        <f aca="false">IF(I33&lt;=$E$4,"A",IF(I33&lt;=$E$5,"B","C"))</f>
        <v>A</v>
      </c>
    </row>
    <row r="34" customFormat="false" ht="15" hidden="false" customHeight="false" outlineLevel="0" collapsed="false">
      <c r="A34" s="32" t="n">
        <v>27</v>
      </c>
      <c r="B34" s="33" t="n">
        <v>66128</v>
      </c>
      <c r="C34" s="34" t="s">
        <v>91</v>
      </c>
      <c r="D34" s="34" t="s">
        <v>92</v>
      </c>
      <c r="E34" s="34" t="s">
        <v>93</v>
      </c>
      <c r="F34" s="32" t="n">
        <f aca="false">COUNTIF(Base!$D$2:$D$2878,B34)</f>
        <v>1</v>
      </c>
      <c r="G34" s="35" t="n">
        <f aca="false">SUMIF(Base!$D$2:$D$2878,B34,Base!$I$2:$I$2878)</f>
        <v>103200</v>
      </c>
      <c r="H34" s="36" t="n">
        <f aca="false">IF($G$2849=0,0,G34/$G$2849)</f>
        <v>0.00677221375673753</v>
      </c>
      <c r="I34" s="37" t="n">
        <f aca="false">I33+H34</f>
        <v>0.406852705109397</v>
      </c>
      <c r="J34" s="37" t="n">
        <f aca="false">A34/2840</f>
        <v>0.00950704225352113</v>
      </c>
      <c r="K34" s="32" t="str">
        <f aca="false">IF(I34&lt;=$E$4,"A",IF(I34&lt;=$E$5,"B","C"))</f>
        <v>A</v>
      </c>
    </row>
    <row r="35" customFormat="false" ht="15" hidden="false" customHeight="false" outlineLevel="0" collapsed="false">
      <c r="A35" s="32" t="n">
        <v>28</v>
      </c>
      <c r="B35" s="33" t="n">
        <v>1258885</v>
      </c>
      <c r="C35" s="34" t="s">
        <v>94</v>
      </c>
      <c r="D35" s="34" t="s">
        <v>95</v>
      </c>
      <c r="E35" s="34" t="s">
        <v>35</v>
      </c>
      <c r="F35" s="32" t="n">
        <f aca="false">COUNTIF(Base!$D$2:$D$2878,B35)</f>
        <v>1</v>
      </c>
      <c r="G35" s="35" t="n">
        <f aca="false">SUMIF(Base!$D$2:$D$2878,B35,Base!$I$2:$I$2878)</f>
        <v>100000</v>
      </c>
      <c r="H35" s="36" t="n">
        <f aca="false">IF($G$2849=0,0,G35/$G$2849)</f>
        <v>0.0065622226324976</v>
      </c>
      <c r="I35" s="37" t="n">
        <f aca="false">I34+H35</f>
        <v>0.413414927741895</v>
      </c>
      <c r="J35" s="37" t="n">
        <f aca="false">A35/2840</f>
        <v>0.00985915492957747</v>
      </c>
      <c r="K35" s="32" t="str">
        <f aca="false">IF(I35&lt;=$E$4,"A",IF(I35&lt;=$E$5,"B","C"))</f>
        <v>A</v>
      </c>
    </row>
    <row r="36" customFormat="false" ht="15" hidden="false" customHeight="false" outlineLevel="0" collapsed="false">
      <c r="A36" s="32" t="n">
        <v>29</v>
      </c>
      <c r="B36" s="33" t="n">
        <v>291895</v>
      </c>
      <c r="C36" s="34" t="s">
        <v>96</v>
      </c>
      <c r="D36" s="34" t="s">
        <v>97</v>
      </c>
      <c r="E36" s="34" t="s">
        <v>54</v>
      </c>
      <c r="F36" s="32" t="n">
        <f aca="false">COUNTIF(Base!$D$2:$D$2878,B36)</f>
        <v>2</v>
      </c>
      <c r="G36" s="35" t="n">
        <f aca="false">SUMIF(Base!$D$2:$D$2878,B36,Base!$I$2:$I$2878)</f>
        <v>98262.7</v>
      </c>
      <c r="H36" s="36" t="n">
        <f aca="false">IF($G$2849=0,0,G36/$G$2849)</f>
        <v>0.00644821713870322</v>
      </c>
      <c r="I36" s="37" t="n">
        <f aca="false">I35+H36</f>
        <v>0.419863144880598</v>
      </c>
      <c r="J36" s="37" t="n">
        <f aca="false">A36/2840</f>
        <v>0.0102112676056338</v>
      </c>
      <c r="K36" s="32" t="str">
        <f aca="false">IF(I36&lt;=$E$4,"A",IF(I36&lt;=$E$5,"B","C"))</f>
        <v>A</v>
      </c>
    </row>
    <row r="37" customFormat="false" ht="15" hidden="false" customHeight="false" outlineLevel="0" collapsed="false">
      <c r="A37" s="32" t="n">
        <v>30</v>
      </c>
      <c r="B37" s="33" t="n">
        <v>1475346</v>
      </c>
      <c r="C37" s="34" t="s">
        <v>98</v>
      </c>
      <c r="D37" s="34" t="s">
        <v>99</v>
      </c>
      <c r="E37" s="34" t="s">
        <v>100</v>
      </c>
      <c r="F37" s="32" t="n">
        <f aca="false">COUNTIF(Base!$D$2:$D$2878,B37)</f>
        <v>1</v>
      </c>
      <c r="G37" s="35" t="n">
        <f aca="false">SUMIF(Base!$D$2:$D$2878,B37,Base!$I$2:$I$2878)</f>
        <v>97810.95</v>
      </c>
      <c r="H37" s="36" t="n">
        <f aca="false">IF($G$2849=0,0,G37/$G$2849)</f>
        <v>0.00641857229796091</v>
      </c>
      <c r="I37" s="37" t="n">
        <f aca="false">I36+H37</f>
        <v>0.426281717178559</v>
      </c>
      <c r="J37" s="37" t="n">
        <f aca="false">A37/2840</f>
        <v>0.0105633802816901</v>
      </c>
      <c r="K37" s="32" t="str">
        <f aca="false">IF(I37&lt;=$E$4,"A",IF(I37&lt;=$E$5,"B","C"))</f>
        <v>A</v>
      </c>
    </row>
    <row r="38" customFormat="false" ht="15" hidden="false" customHeight="false" outlineLevel="0" collapsed="false">
      <c r="A38" s="32" t="n">
        <v>31</v>
      </c>
      <c r="B38" s="33" t="n">
        <v>19240</v>
      </c>
      <c r="C38" s="34" t="s">
        <v>101</v>
      </c>
      <c r="D38" s="34" t="s">
        <v>102</v>
      </c>
      <c r="E38" s="34" t="s">
        <v>93</v>
      </c>
      <c r="F38" s="32" t="n">
        <f aca="false">COUNTIF(Base!$D$2:$D$2878,B38)</f>
        <v>2</v>
      </c>
      <c r="G38" s="35" t="n">
        <f aca="false">SUMIF(Base!$D$2:$D$2878,B38,Base!$I$2:$I$2878)</f>
        <v>94695.72</v>
      </c>
      <c r="H38" s="36" t="n">
        <f aca="false">IF($G$2849=0,0,G38/$G$2849)</f>
        <v>0.00621414396984656</v>
      </c>
      <c r="I38" s="37" t="n">
        <f aca="false">I37+H38</f>
        <v>0.432495861148405</v>
      </c>
      <c r="J38" s="37" t="n">
        <f aca="false">A38/2840</f>
        <v>0.0109154929577465</v>
      </c>
      <c r="K38" s="32" t="str">
        <f aca="false">IF(I38&lt;=$E$4,"A",IF(I38&lt;=$E$5,"B","C"))</f>
        <v>A</v>
      </c>
    </row>
    <row r="39" customFormat="false" ht="15" hidden="false" customHeight="false" outlineLevel="0" collapsed="false">
      <c r="A39" s="32" t="n">
        <v>32</v>
      </c>
      <c r="B39" s="33" t="n">
        <v>839805</v>
      </c>
      <c r="C39" s="34" t="s">
        <v>103</v>
      </c>
      <c r="D39" s="34" t="s">
        <v>104</v>
      </c>
      <c r="E39" s="34" t="s">
        <v>38</v>
      </c>
      <c r="F39" s="32" t="n">
        <f aca="false">COUNTIF(Base!$D$2:$D$2878,B39)</f>
        <v>1</v>
      </c>
      <c r="G39" s="35" t="n">
        <f aca="false">SUMIF(Base!$D$2:$D$2878,B39,Base!$I$2:$I$2878)</f>
        <v>93920</v>
      </c>
      <c r="H39" s="36" t="n">
        <f aca="false">IF($G$2849=0,0,G39/$G$2849)</f>
        <v>0.00616323949644175</v>
      </c>
      <c r="I39" s="37" t="n">
        <f aca="false">I38+H39</f>
        <v>0.438659100644847</v>
      </c>
      <c r="J39" s="37" t="n">
        <f aca="false">A39/2840</f>
        <v>0.0112676056338028</v>
      </c>
      <c r="K39" s="32" t="str">
        <f aca="false">IF(I39&lt;=$E$4,"A",IF(I39&lt;=$E$5,"B","C"))</f>
        <v>A</v>
      </c>
    </row>
    <row r="40" customFormat="false" ht="15" hidden="false" customHeight="false" outlineLevel="0" collapsed="false">
      <c r="A40" s="32" t="n">
        <v>33</v>
      </c>
      <c r="B40" s="33" t="n">
        <v>12123</v>
      </c>
      <c r="C40" s="34" t="s">
        <v>105</v>
      </c>
      <c r="D40" s="34" t="s">
        <v>106</v>
      </c>
      <c r="E40" s="34" t="s">
        <v>38</v>
      </c>
      <c r="F40" s="32" t="n">
        <f aca="false">COUNTIF(Base!$D$2:$D$2878,B40)</f>
        <v>1</v>
      </c>
      <c r="G40" s="35" t="n">
        <f aca="false">SUMIF(Base!$D$2:$D$2878,B40,Base!$I$2:$I$2878)</f>
        <v>91160</v>
      </c>
      <c r="H40" s="36" t="n">
        <f aca="false">IF($G$2849=0,0,G40/$G$2849)</f>
        <v>0.00598212215178481</v>
      </c>
      <c r="I40" s="37" t="n">
        <f aca="false">I39+H40</f>
        <v>0.444641222796632</v>
      </c>
      <c r="J40" s="37" t="n">
        <f aca="false">A40/2840</f>
        <v>0.0116197183098592</v>
      </c>
      <c r="K40" s="32" t="str">
        <f aca="false">IF(I40&lt;=$E$4,"A",IF(I40&lt;=$E$5,"B","C"))</f>
        <v>A</v>
      </c>
    </row>
    <row r="41" customFormat="false" ht="15" hidden="false" customHeight="false" outlineLevel="0" collapsed="false">
      <c r="A41" s="32" t="n">
        <v>34</v>
      </c>
      <c r="B41" s="33" t="n">
        <v>1540131</v>
      </c>
      <c r="C41" s="34" t="s">
        <v>107</v>
      </c>
      <c r="D41" s="34" t="s">
        <v>108</v>
      </c>
      <c r="E41" s="34" t="s">
        <v>38</v>
      </c>
      <c r="F41" s="32" t="n">
        <f aca="false">COUNTIF(Base!$D$2:$D$2878,B41)</f>
        <v>1</v>
      </c>
      <c r="G41" s="35" t="n">
        <f aca="false">SUMIF(Base!$D$2:$D$2878,B41,Base!$I$2:$I$2878)</f>
        <v>89696.51</v>
      </c>
      <c r="H41" s="36" t="n">
        <f aca="false">IF($G$2849=0,0,G41/$G$2849)</f>
        <v>0.00588608467978048</v>
      </c>
      <c r="I41" s="37" t="n">
        <f aca="false">I40+H41</f>
        <v>0.450527307476412</v>
      </c>
      <c r="J41" s="37" t="n">
        <f aca="false">A41/2840</f>
        <v>0.0119718309859155</v>
      </c>
      <c r="K41" s="32" t="str">
        <f aca="false">IF(I41&lt;=$E$4,"A",IF(I41&lt;=$E$5,"B","C"))</f>
        <v>A</v>
      </c>
    </row>
    <row r="42" customFormat="false" ht="15" hidden="false" customHeight="false" outlineLevel="0" collapsed="false">
      <c r="A42" s="32" t="n">
        <v>35</v>
      </c>
      <c r="B42" s="33" t="n">
        <v>1261128</v>
      </c>
      <c r="C42" s="34" t="s">
        <v>109</v>
      </c>
      <c r="D42" s="34" t="s">
        <v>110</v>
      </c>
      <c r="E42" s="34" t="s">
        <v>66</v>
      </c>
      <c r="F42" s="32" t="n">
        <f aca="false">COUNTIF(Base!$D$2:$D$2878,B42)</f>
        <v>1</v>
      </c>
      <c r="G42" s="35" t="n">
        <f aca="false">SUMIF(Base!$D$2:$D$2878,B42,Base!$I$2:$I$2878)</f>
        <v>88560</v>
      </c>
      <c r="H42" s="36" t="n">
        <f aca="false">IF($G$2849=0,0,G42/$G$2849)</f>
        <v>0.00581150436333988</v>
      </c>
      <c r="I42" s="37" t="n">
        <f aca="false">I41+H42</f>
        <v>0.456338811839752</v>
      </c>
      <c r="J42" s="37" t="n">
        <f aca="false">A42/2840</f>
        <v>0.0123239436619718</v>
      </c>
      <c r="K42" s="32" t="str">
        <f aca="false">IF(I42&lt;=$E$4,"A",IF(I42&lt;=$E$5,"B","C"))</f>
        <v>A</v>
      </c>
    </row>
    <row r="43" customFormat="false" ht="15" hidden="false" customHeight="false" outlineLevel="0" collapsed="false">
      <c r="A43" s="32" t="n">
        <v>36</v>
      </c>
      <c r="B43" s="33" t="n">
        <v>1261267</v>
      </c>
      <c r="C43" s="34" t="s">
        <v>111</v>
      </c>
      <c r="D43" s="34" t="s">
        <v>112</v>
      </c>
      <c r="E43" s="34" t="s">
        <v>113</v>
      </c>
      <c r="F43" s="32" t="n">
        <f aca="false">COUNTIF(Base!$D$2:$D$2878,B43)</f>
        <v>1</v>
      </c>
      <c r="G43" s="35" t="n">
        <f aca="false">SUMIF(Base!$D$2:$D$2878,B43,Base!$I$2:$I$2878)</f>
        <v>87265.45</v>
      </c>
      <c r="H43" s="36" t="n">
        <f aca="false">IF($G$2849=0,0,G43/$G$2849)</f>
        <v>0.00572655311025088</v>
      </c>
      <c r="I43" s="37" t="n">
        <f aca="false">I42+H43</f>
        <v>0.462065364950003</v>
      </c>
      <c r="J43" s="37" t="n">
        <f aca="false">A43/2840</f>
        <v>0.0126760563380282</v>
      </c>
      <c r="K43" s="32" t="str">
        <f aca="false">IF(I43&lt;=$E$4,"A",IF(I43&lt;=$E$5,"B","C"))</f>
        <v>A</v>
      </c>
    </row>
    <row r="44" customFormat="false" ht="15" hidden="false" customHeight="false" outlineLevel="0" collapsed="false">
      <c r="A44" s="32" t="n">
        <v>37</v>
      </c>
      <c r="B44" s="33" t="n">
        <v>1384483</v>
      </c>
      <c r="C44" s="34" t="s">
        <v>114</v>
      </c>
      <c r="D44" s="34" t="s">
        <v>115</v>
      </c>
      <c r="E44" s="34" t="s">
        <v>38</v>
      </c>
      <c r="F44" s="32" t="n">
        <f aca="false">COUNTIF(Base!$D$2:$D$2878,B44)</f>
        <v>1</v>
      </c>
      <c r="G44" s="35" t="n">
        <f aca="false">SUMIF(Base!$D$2:$D$2878,B44,Base!$I$2:$I$2878)</f>
        <v>83740.09</v>
      </c>
      <c r="H44" s="36" t="n">
        <f aca="false">IF($G$2849=0,0,G44/$G$2849)</f>
        <v>0.00549521113845386</v>
      </c>
      <c r="I44" s="37" t="n">
        <f aca="false">I43+H44</f>
        <v>0.467560576088457</v>
      </c>
      <c r="J44" s="37" t="n">
        <f aca="false">A44/2840</f>
        <v>0.0130281690140845</v>
      </c>
      <c r="K44" s="32" t="str">
        <f aca="false">IF(I44&lt;=$E$4,"A",IF(I44&lt;=$E$5,"B","C"))</f>
        <v>A</v>
      </c>
    </row>
    <row r="45" customFormat="false" ht="15" hidden="false" customHeight="false" outlineLevel="0" collapsed="false">
      <c r="A45" s="32" t="n">
        <v>38</v>
      </c>
      <c r="B45" s="33" t="n">
        <v>1475322</v>
      </c>
      <c r="C45" s="34" t="s">
        <v>116</v>
      </c>
      <c r="D45" s="34" t="s">
        <v>117</v>
      </c>
      <c r="E45" s="34" t="s">
        <v>100</v>
      </c>
      <c r="F45" s="32" t="n">
        <f aca="false">COUNTIF(Base!$D$2:$D$2878,B45)</f>
        <v>1</v>
      </c>
      <c r="G45" s="35" t="n">
        <f aca="false">SUMIF(Base!$D$2:$D$2878,B45,Base!$I$2:$I$2878)</f>
        <v>83343</v>
      </c>
      <c r="H45" s="36" t="n">
        <f aca="false">IF($G$2849=0,0,G45/$G$2849)</f>
        <v>0.00546915320860248</v>
      </c>
      <c r="I45" s="37" t="n">
        <f aca="false">I44+H45</f>
        <v>0.473029729297059</v>
      </c>
      <c r="J45" s="37" t="n">
        <f aca="false">A45/2840</f>
        <v>0.0133802816901408</v>
      </c>
      <c r="K45" s="32" t="str">
        <f aca="false">IF(I45&lt;=$E$4,"A",IF(I45&lt;=$E$5,"B","C"))</f>
        <v>A</v>
      </c>
    </row>
    <row r="46" customFormat="false" ht="15" hidden="false" customHeight="false" outlineLevel="0" collapsed="false">
      <c r="A46" s="32" t="n">
        <v>39</v>
      </c>
      <c r="B46" s="33" t="n">
        <v>19247</v>
      </c>
      <c r="C46" s="34" t="s">
        <v>118</v>
      </c>
      <c r="D46" s="34" t="s">
        <v>119</v>
      </c>
      <c r="E46" s="34" t="s">
        <v>93</v>
      </c>
      <c r="F46" s="32" t="n">
        <f aca="false">COUNTIF(Base!$D$2:$D$2878,B46)</f>
        <v>1</v>
      </c>
      <c r="G46" s="35" t="n">
        <f aca="false">SUMIF(Base!$D$2:$D$2878,B46,Base!$I$2:$I$2878)</f>
        <v>82000</v>
      </c>
      <c r="H46" s="36" t="n">
        <f aca="false">IF($G$2849=0,0,G46/$G$2849)</f>
        <v>0.00538102255864803</v>
      </c>
      <c r="I46" s="37" t="n">
        <f aca="false">I45+H46</f>
        <v>0.478410751855708</v>
      </c>
      <c r="J46" s="37" t="n">
        <f aca="false">A46/2840</f>
        <v>0.0137323943661972</v>
      </c>
      <c r="K46" s="32" t="str">
        <f aca="false">IF(I46&lt;=$E$4,"A",IF(I46&lt;=$E$5,"B","C"))</f>
        <v>A</v>
      </c>
    </row>
    <row r="47" customFormat="false" ht="15" hidden="false" customHeight="false" outlineLevel="0" collapsed="false">
      <c r="A47" s="32" t="n">
        <v>40</v>
      </c>
      <c r="B47" s="33" t="n">
        <v>221860</v>
      </c>
      <c r="C47" s="34" t="s">
        <v>120</v>
      </c>
      <c r="D47" s="34" t="s">
        <v>121</v>
      </c>
      <c r="E47" s="34" t="s">
        <v>38</v>
      </c>
      <c r="F47" s="32" t="n">
        <f aca="false">COUNTIF(Base!$D$2:$D$2878,B47)</f>
        <v>1</v>
      </c>
      <c r="G47" s="35" t="n">
        <f aca="false">SUMIF(Base!$D$2:$D$2878,B47,Base!$I$2:$I$2878)</f>
        <v>81667.22</v>
      </c>
      <c r="H47" s="36" t="n">
        <f aca="false">IF($G$2849=0,0,G47/$G$2849)</f>
        <v>0.00535918479417161</v>
      </c>
      <c r="I47" s="37" t="n">
        <f aca="false">I46+H47</f>
        <v>0.483769936649879</v>
      </c>
      <c r="J47" s="37" t="n">
        <f aca="false">A47/2840</f>
        <v>0.0140845070422535</v>
      </c>
      <c r="K47" s="32" t="str">
        <f aca="false">IF(I47&lt;=$E$4,"A",IF(I47&lt;=$E$5,"B","C"))</f>
        <v>A</v>
      </c>
    </row>
    <row r="48" customFormat="false" ht="15" hidden="false" customHeight="false" outlineLevel="0" collapsed="false">
      <c r="A48" s="32" t="n">
        <v>41</v>
      </c>
      <c r="B48" s="33" t="n">
        <v>1540083</v>
      </c>
      <c r="C48" s="34" t="s">
        <v>122</v>
      </c>
      <c r="D48" s="34" t="s">
        <v>123</v>
      </c>
      <c r="E48" s="34" t="s">
        <v>38</v>
      </c>
      <c r="F48" s="32" t="n">
        <f aca="false">COUNTIF(Base!$D$2:$D$2878,B48)</f>
        <v>1</v>
      </c>
      <c r="G48" s="35" t="n">
        <f aca="false">SUMIF(Base!$D$2:$D$2878,B48,Base!$I$2:$I$2878)</f>
        <v>79747.83</v>
      </c>
      <c r="H48" s="36" t="n">
        <f aca="false">IF($G$2849=0,0,G48/$G$2849)</f>
        <v>0.00523323014918571</v>
      </c>
      <c r="I48" s="37" t="n">
        <f aca="false">I47+H48</f>
        <v>0.489003166799065</v>
      </c>
      <c r="J48" s="37" t="n">
        <f aca="false">A48/2840</f>
        <v>0.0144366197183099</v>
      </c>
      <c r="K48" s="32" t="str">
        <f aca="false">IF(I48&lt;=$E$4,"A",IF(I48&lt;=$E$5,"B","C"))</f>
        <v>A</v>
      </c>
    </row>
    <row r="49" customFormat="false" ht="15" hidden="false" customHeight="false" outlineLevel="0" collapsed="false">
      <c r="A49" s="32" t="n">
        <v>42</v>
      </c>
      <c r="B49" s="33" t="n">
        <v>1465478</v>
      </c>
      <c r="C49" s="34" t="s">
        <v>124</v>
      </c>
      <c r="D49" s="34" t="s">
        <v>125</v>
      </c>
      <c r="E49" s="34" t="s">
        <v>38</v>
      </c>
      <c r="F49" s="32" t="n">
        <f aca="false">COUNTIF(Base!$D$2:$D$2878,B49)</f>
        <v>1</v>
      </c>
      <c r="G49" s="35" t="n">
        <f aca="false">SUMIF(Base!$D$2:$D$2878,B49,Base!$I$2:$I$2878)</f>
        <v>79398.01</v>
      </c>
      <c r="H49" s="36" t="n">
        <f aca="false">IF($G$2849=0,0,G49/$G$2849)</f>
        <v>0.00521027418197271</v>
      </c>
      <c r="I49" s="37" t="n">
        <f aca="false">I48+H49</f>
        <v>0.494213440981038</v>
      </c>
      <c r="J49" s="37" t="n">
        <f aca="false">A49/2840</f>
        <v>0.0147887323943662</v>
      </c>
      <c r="K49" s="32" t="str">
        <f aca="false">IF(I49&lt;=$E$4,"A",IF(I49&lt;=$E$5,"B","C"))</f>
        <v>A</v>
      </c>
    </row>
    <row r="50" customFormat="false" ht="15" hidden="false" customHeight="false" outlineLevel="0" collapsed="false">
      <c r="A50" s="32" t="n">
        <v>43</v>
      </c>
      <c r="B50" s="33" t="n">
        <v>1328114</v>
      </c>
      <c r="C50" s="34" t="s">
        <v>126</v>
      </c>
      <c r="D50" s="34" t="s">
        <v>127</v>
      </c>
      <c r="E50" s="34" t="s">
        <v>38</v>
      </c>
      <c r="F50" s="32" t="n">
        <f aca="false">COUNTIF(Base!$D$2:$D$2878,B50)</f>
        <v>2</v>
      </c>
      <c r="G50" s="35" t="n">
        <f aca="false">SUMIF(Base!$D$2:$D$2878,B50,Base!$I$2:$I$2878)</f>
        <v>78249.54</v>
      </c>
      <c r="H50" s="36" t="n">
        <f aca="false">IF($G$2849=0,0,G50/$G$2849)</f>
        <v>0.00513490902370526</v>
      </c>
      <c r="I50" s="37" t="n">
        <f aca="false">I49+H50</f>
        <v>0.499348350004743</v>
      </c>
      <c r="J50" s="37" t="n">
        <f aca="false">A50/2840</f>
        <v>0.0151408450704225</v>
      </c>
      <c r="K50" s="32" t="str">
        <f aca="false">IF(I50&lt;=$E$4,"A",IF(I50&lt;=$E$5,"B","C"))</f>
        <v>A</v>
      </c>
    </row>
    <row r="51" customFormat="false" ht="15" hidden="false" customHeight="false" outlineLevel="0" collapsed="false">
      <c r="A51" s="32" t="n">
        <v>44</v>
      </c>
      <c r="B51" s="33" t="n">
        <v>554809</v>
      </c>
      <c r="C51" s="34" t="s">
        <v>128</v>
      </c>
      <c r="D51" s="34" t="s">
        <v>129</v>
      </c>
      <c r="E51" s="34" t="s">
        <v>130</v>
      </c>
      <c r="F51" s="32" t="n">
        <f aca="false">COUNTIF(Base!$D$2:$D$2878,B51)</f>
        <v>1</v>
      </c>
      <c r="G51" s="35" t="n">
        <f aca="false">SUMIF(Base!$D$2:$D$2878,B51,Base!$I$2:$I$2878)</f>
        <v>75960</v>
      </c>
      <c r="H51" s="36" t="n">
        <f aca="false">IF($G$2849=0,0,G51/$G$2849)</f>
        <v>0.00498466431164518</v>
      </c>
      <c r="I51" s="37" t="n">
        <f aca="false">I50+H51</f>
        <v>0.504333014316388</v>
      </c>
      <c r="J51" s="37" t="n">
        <f aca="false">A51/2840</f>
        <v>0.0154929577464789</v>
      </c>
      <c r="K51" s="32" t="str">
        <f aca="false">IF(I51&lt;=$E$4,"A",IF(I51&lt;=$E$5,"B","C"))</f>
        <v>A</v>
      </c>
    </row>
    <row r="52" customFormat="false" ht="15" hidden="false" customHeight="false" outlineLevel="0" collapsed="false">
      <c r="A52" s="32" t="n">
        <v>45</v>
      </c>
      <c r="B52" s="33" t="n">
        <v>1257074</v>
      </c>
      <c r="C52" s="34" t="s">
        <v>131</v>
      </c>
      <c r="D52" s="34" t="s">
        <v>132</v>
      </c>
      <c r="E52" s="34" t="s">
        <v>133</v>
      </c>
      <c r="F52" s="32" t="n">
        <f aca="false">COUNTIF(Base!$D$2:$D$2878,B52)</f>
        <v>1</v>
      </c>
      <c r="G52" s="35" t="n">
        <f aca="false">SUMIF(Base!$D$2:$D$2878,B52,Base!$I$2:$I$2878)</f>
        <v>75413.7</v>
      </c>
      <c r="H52" s="36" t="n">
        <f aca="false">IF($G$2849=0,0,G52/$G$2849)</f>
        <v>0.00494881488940384</v>
      </c>
      <c r="I52" s="37" t="n">
        <f aca="false">I51+H52</f>
        <v>0.509281829205792</v>
      </c>
      <c r="J52" s="37" t="n">
        <f aca="false">A52/2840</f>
        <v>0.0158450704225352</v>
      </c>
      <c r="K52" s="32" t="str">
        <f aca="false">IF(I52&lt;=$E$4,"A",IF(I52&lt;=$E$5,"B","C"))</f>
        <v>A</v>
      </c>
    </row>
    <row r="53" customFormat="false" ht="15" hidden="false" customHeight="false" outlineLevel="0" collapsed="false">
      <c r="A53" s="32" t="n">
        <v>46</v>
      </c>
      <c r="B53" s="33" t="n">
        <v>1387756</v>
      </c>
      <c r="C53" s="34" t="s">
        <v>134</v>
      </c>
      <c r="D53" s="34" t="s">
        <v>135</v>
      </c>
      <c r="E53" s="34" t="s">
        <v>38</v>
      </c>
      <c r="F53" s="32" t="n">
        <f aca="false">COUNTIF(Base!$D$2:$D$2878,B53)</f>
        <v>1</v>
      </c>
      <c r="G53" s="35" t="n">
        <f aca="false">SUMIF(Base!$D$2:$D$2878,B53,Base!$I$2:$I$2878)</f>
        <v>65328.9</v>
      </c>
      <c r="H53" s="36" t="n">
        <f aca="false">IF($G$2849=0,0,G53/$G$2849)</f>
        <v>0.00428702786136173</v>
      </c>
      <c r="I53" s="37" t="n">
        <f aca="false">I52+H53</f>
        <v>0.513568857067154</v>
      </c>
      <c r="J53" s="37" t="n">
        <f aca="false">A53/2840</f>
        <v>0.0161971830985916</v>
      </c>
      <c r="K53" s="32" t="str">
        <f aca="false">IF(I53&lt;=$E$4,"A",IF(I53&lt;=$E$5,"B","C"))</f>
        <v>A</v>
      </c>
    </row>
    <row r="54" customFormat="false" ht="15" hidden="false" customHeight="false" outlineLevel="0" collapsed="false">
      <c r="A54" s="32" t="n">
        <v>47</v>
      </c>
      <c r="B54" s="33" t="n">
        <v>286788</v>
      </c>
      <c r="C54" s="34" t="s">
        <v>136</v>
      </c>
      <c r="D54" s="34" t="s">
        <v>137</v>
      </c>
      <c r="E54" s="34" t="s">
        <v>138</v>
      </c>
      <c r="F54" s="32" t="n">
        <f aca="false">COUNTIF(Base!$D$2:$D$2878,B54)</f>
        <v>1</v>
      </c>
      <c r="G54" s="35" t="n">
        <f aca="false">SUMIF(Base!$D$2:$D$2878,B54,Base!$I$2:$I$2878)</f>
        <v>63683.08</v>
      </c>
      <c r="H54" s="36" t="n">
        <f aca="false">IF($G$2849=0,0,G54/$G$2849)</f>
        <v>0.00417902548883155</v>
      </c>
      <c r="I54" s="37" t="n">
        <f aca="false">I53+H54</f>
        <v>0.517747882555985</v>
      </c>
      <c r="J54" s="37" t="n">
        <f aca="false">A54/2840</f>
        <v>0.0165492957746479</v>
      </c>
      <c r="K54" s="32" t="str">
        <f aca="false">IF(I54&lt;=$E$4,"A",IF(I54&lt;=$E$5,"B","C"))</f>
        <v>A</v>
      </c>
    </row>
    <row r="55" customFormat="false" ht="15" hidden="false" customHeight="false" outlineLevel="0" collapsed="false">
      <c r="A55" s="32" t="n">
        <v>48</v>
      </c>
      <c r="B55" s="33" t="n">
        <v>1316409</v>
      </c>
      <c r="C55" s="34" t="s">
        <v>139</v>
      </c>
      <c r="D55" s="34" t="s">
        <v>140</v>
      </c>
      <c r="E55" s="34" t="s">
        <v>54</v>
      </c>
      <c r="F55" s="32" t="n">
        <f aca="false">COUNTIF(Base!$D$2:$D$2878,B55)</f>
        <v>1</v>
      </c>
      <c r="G55" s="35" t="n">
        <f aca="false">SUMIF(Base!$D$2:$D$2878,B55,Base!$I$2:$I$2878)</f>
        <v>56894.52</v>
      </c>
      <c r="H55" s="36" t="n">
        <f aca="false">IF($G$2849=0,0,G55/$G$2849)</f>
        <v>0.00373354506809087</v>
      </c>
      <c r="I55" s="37" t="n">
        <f aca="false">I54+H55</f>
        <v>0.521481427624076</v>
      </c>
      <c r="J55" s="37" t="n">
        <f aca="false">A55/2840</f>
        <v>0.0169014084507042</v>
      </c>
      <c r="K55" s="32" t="str">
        <f aca="false">IF(I55&lt;=$E$4,"A",IF(I55&lt;=$E$5,"B","C"))</f>
        <v>A</v>
      </c>
    </row>
    <row r="56" customFormat="false" ht="15" hidden="false" customHeight="false" outlineLevel="0" collapsed="false">
      <c r="A56" s="32" t="n">
        <v>49</v>
      </c>
      <c r="B56" s="33" t="n">
        <v>21649</v>
      </c>
      <c r="C56" s="34" t="s">
        <v>141</v>
      </c>
      <c r="D56" s="34" t="s">
        <v>142</v>
      </c>
      <c r="E56" s="34" t="s">
        <v>90</v>
      </c>
      <c r="F56" s="32" t="n">
        <f aca="false">COUNTIF(Base!$D$2:$D$2878,B56)</f>
        <v>2</v>
      </c>
      <c r="G56" s="35" t="n">
        <f aca="false">SUMIF(Base!$D$2:$D$2878,B56,Base!$I$2:$I$2878)</f>
        <v>52692.0004</v>
      </c>
      <c r="H56" s="36" t="n">
        <f aca="false">IF($G$2849=0,0,G56/$G$2849)</f>
        <v>0.00345776637576453</v>
      </c>
      <c r="I56" s="37" t="n">
        <f aca="false">I55+H56</f>
        <v>0.524939193999841</v>
      </c>
      <c r="J56" s="37" t="n">
        <f aca="false">A56/2840</f>
        <v>0.0172535211267606</v>
      </c>
      <c r="K56" s="32" t="str">
        <f aca="false">IF(I56&lt;=$E$4,"A",IF(I56&lt;=$E$5,"B","C"))</f>
        <v>A</v>
      </c>
    </row>
    <row r="57" customFormat="false" ht="15" hidden="false" customHeight="false" outlineLevel="0" collapsed="false">
      <c r="A57" s="32" t="n">
        <v>50</v>
      </c>
      <c r="B57" s="33" t="n">
        <v>839986</v>
      </c>
      <c r="C57" s="34" t="s">
        <v>143</v>
      </c>
      <c r="D57" s="34" t="s">
        <v>144</v>
      </c>
      <c r="E57" s="34" t="s">
        <v>38</v>
      </c>
      <c r="F57" s="32" t="n">
        <f aca="false">COUNTIF(Base!$D$2:$D$2878,B57)</f>
        <v>1</v>
      </c>
      <c r="G57" s="35" t="n">
        <f aca="false">SUMIF(Base!$D$2:$D$2878,B57,Base!$I$2:$I$2878)</f>
        <v>52407.47</v>
      </c>
      <c r="H57" s="36" t="n">
        <f aca="false">IF($G$2849=0,0,G57/$G$2849)</f>
        <v>0.00343909485745939</v>
      </c>
      <c r="I57" s="37" t="n">
        <f aca="false">I56+H57</f>
        <v>0.5283782888573</v>
      </c>
      <c r="J57" s="37" t="n">
        <f aca="false">A57/2840</f>
        <v>0.0176056338028169</v>
      </c>
      <c r="K57" s="32" t="str">
        <f aca="false">IF(I57&lt;=$E$4,"A",IF(I57&lt;=$E$5,"B","C"))</f>
        <v>A</v>
      </c>
    </row>
    <row r="58" customFormat="false" ht="15" hidden="false" customHeight="false" outlineLevel="0" collapsed="false">
      <c r="A58" s="32" t="n">
        <v>51</v>
      </c>
      <c r="B58" s="33" t="n">
        <v>1481749</v>
      </c>
      <c r="C58" s="34" t="s">
        <v>145</v>
      </c>
      <c r="D58" s="34" t="s">
        <v>146</v>
      </c>
      <c r="E58" s="34" t="s">
        <v>38</v>
      </c>
      <c r="F58" s="32" t="n">
        <f aca="false">COUNTIF(Base!$D$2:$D$2878,B58)</f>
        <v>1</v>
      </c>
      <c r="G58" s="35" t="n">
        <f aca="false">SUMIF(Base!$D$2:$D$2878,B58,Base!$I$2:$I$2878)</f>
        <v>51118.08</v>
      </c>
      <c r="H58" s="36" t="n">
        <f aca="false">IF($G$2849=0,0,G58/$G$2849)</f>
        <v>0.00335448221505823</v>
      </c>
      <c r="I58" s="37" t="n">
        <f aca="false">I57+H58</f>
        <v>0.531732771072358</v>
      </c>
      <c r="J58" s="37" t="n">
        <f aca="false">A58/2840</f>
        <v>0.0179577464788732</v>
      </c>
      <c r="K58" s="32" t="str">
        <f aca="false">IF(I58&lt;=$E$4,"A",IF(I58&lt;=$E$5,"B","C"))</f>
        <v>A</v>
      </c>
    </row>
    <row r="59" customFormat="false" ht="15" hidden="false" customHeight="false" outlineLevel="0" collapsed="false">
      <c r="A59" s="32" t="n">
        <v>52</v>
      </c>
      <c r="B59" s="33" t="n">
        <v>1484496</v>
      </c>
      <c r="C59" s="34" t="s">
        <v>147</v>
      </c>
      <c r="D59" s="34" t="s">
        <v>148</v>
      </c>
      <c r="E59" s="34" t="s">
        <v>38</v>
      </c>
      <c r="F59" s="32" t="n">
        <f aca="false">COUNTIF(Base!$D$2:$D$2878,B59)</f>
        <v>1</v>
      </c>
      <c r="G59" s="35" t="n">
        <f aca="false">SUMIF(Base!$D$2:$D$2878,B59,Base!$I$2:$I$2878)</f>
        <v>50286</v>
      </c>
      <c r="H59" s="36" t="n">
        <f aca="false">IF($G$2849=0,0,G59/$G$2849)</f>
        <v>0.00329987927297774</v>
      </c>
      <c r="I59" s="37" t="n">
        <f aca="false">I58+H59</f>
        <v>0.535032650345336</v>
      </c>
      <c r="J59" s="37" t="n">
        <f aca="false">A59/2840</f>
        <v>0.0183098591549296</v>
      </c>
      <c r="K59" s="32" t="str">
        <f aca="false">IF(I59&lt;=$E$4,"A",IF(I59&lt;=$E$5,"B","C"))</f>
        <v>A</v>
      </c>
    </row>
    <row r="60" customFormat="false" ht="15" hidden="false" customHeight="false" outlineLevel="0" collapsed="false">
      <c r="A60" s="32" t="n">
        <v>53</v>
      </c>
      <c r="B60" s="33" t="n">
        <v>1540179</v>
      </c>
      <c r="C60" s="34" t="s">
        <v>149</v>
      </c>
      <c r="D60" s="34" t="s">
        <v>150</v>
      </c>
      <c r="E60" s="34" t="s">
        <v>38</v>
      </c>
      <c r="F60" s="32" t="n">
        <f aca="false">COUNTIF(Base!$D$2:$D$2878,B60)</f>
        <v>1</v>
      </c>
      <c r="G60" s="35" t="n">
        <f aca="false">SUMIF(Base!$D$2:$D$2878,B60,Base!$I$2:$I$2878)</f>
        <v>49388.5</v>
      </c>
      <c r="H60" s="36" t="n">
        <f aca="false">IF($G$2849=0,0,G60/$G$2849)</f>
        <v>0.00324098332485108</v>
      </c>
      <c r="I60" s="37" t="n">
        <f aca="false">I59+H60</f>
        <v>0.538273633670187</v>
      </c>
      <c r="J60" s="37" t="n">
        <f aca="false">A60/2840</f>
        <v>0.0186619718309859</v>
      </c>
      <c r="K60" s="32" t="str">
        <f aca="false">IF(I60&lt;=$E$4,"A",IF(I60&lt;=$E$5,"B","C"))</f>
        <v>A</v>
      </c>
    </row>
    <row r="61" customFormat="false" ht="15" hidden="false" customHeight="false" outlineLevel="0" collapsed="false">
      <c r="A61" s="32" t="n">
        <v>54</v>
      </c>
      <c r="B61" s="33" t="n">
        <v>19255</v>
      </c>
      <c r="C61" s="34" t="s">
        <v>151</v>
      </c>
      <c r="D61" s="34" t="s">
        <v>152</v>
      </c>
      <c r="E61" s="34" t="s">
        <v>75</v>
      </c>
      <c r="F61" s="32" t="n">
        <f aca="false">COUNTIF(Base!$D$2:$D$2878,B61)</f>
        <v>2</v>
      </c>
      <c r="G61" s="35" t="n">
        <f aca="false">SUMIF(Base!$D$2:$D$2878,B61,Base!$I$2:$I$2878)</f>
        <v>49219.02</v>
      </c>
      <c r="H61" s="36" t="n">
        <f aca="false">IF($G$2849=0,0,G61/$G$2849)</f>
        <v>0.00322986166993352</v>
      </c>
      <c r="I61" s="37" t="n">
        <f aca="false">I60+H61</f>
        <v>0.54150349534012</v>
      </c>
      <c r="J61" s="37" t="n">
        <f aca="false">A61/2840</f>
        <v>0.0190140845070423</v>
      </c>
      <c r="K61" s="32" t="str">
        <f aca="false">IF(I61&lt;=$E$4,"A",IF(I61&lt;=$E$5,"B","C"))</f>
        <v>A</v>
      </c>
    </row>
    <row r="62" customFormat="false" ht="15" hidden="false" customHeight="false" outlineLevel="0" collapsed="false">
      <c r="A62" s="32" t="n">
        <v>55</v>
      </c>
      <c r="B62" s="33" t="n">
        <v>560464</v>
      </c>
      <c r="C62" s="34" t="s">
        <v>153</v>
      </c>
      <c r="D62" s="34" t="s">
        <v>154</v>
      </c>
      <c r="E62" s="34" t="s">
        <v>38</v>
      </c>
      <c r="F62" s="32" t="n">
        <f aca="false">COUNTIF(Base!$D$2:$D$2878,B62)</f>
        <v>1</v>
      </c>
      <c r="G62" s="35" t="n">
        <f aca="false">SUMIF(Base!$D$2:$D$2878,B62,Base!$I$2:$I$2878)</f>
        <v>49200</v>
      </c>
      <c r="H62" s="36" t="n">
        <f aca="false">IF($G$2849=0,0,G62/$G$2849)</f>
        <v>0.00322861353518882</v>
      </c>
      <c r="I62" s="37" t="n">
        <f aca="false">I61+H62</f>
        <v>0.544732108875309</v>
      </c>
      <c r="J62" s="37" t="n">
        <f aca="false">A62/2840</f>
        <v>0.0193661971830986</v>
      </c>
      <c r="K62" s="32" t="str">
        <f aca="false">IF(I62&lt;=$E$4,"A",IF(I62&lt;=$E$5,"B","C"))</f>
        <v>A</v>
      </c>
    </row>
    <row r="63" customFormat="false" ht="15" hidden="false" customHeight="false" outlineLevel="0" collapsed="false">
      <c r="A63" s="32" t="n">
        <v>56</v>
      </c>
      <c r="B63" s="33" t="n">
        <v>882066</v>
      </c>
      <c r="C63" s="34" t="s">
        <v>155</v>
      </c>
      <c r="D63" s="34" t="s">
        <v>156</v>
      </c>
      <c r="E63" s="34" t="s">
        <v>157</v>
      </c>
      <c r="F63" s="32" t="n">
        <f aca="false">COUNTIF(Base!$D$2:$D$2878,B63)</f>
        <v>1</v>
      </c>
      <c r="G63" s="35" t="n">
        <f aca="false">SUMIF(Base!$D$2:$D$2878,B63,Base!$I$2:$I$2878)</f>
        <v>47400</v>
      </c>
      <c r="H63" s="36" t="n">
        <f aca="false">IF($G$2849=0,0,G63/$G$2849)</f>
        <v>0.00311049352780386</v>
      </c>
      <c r="I63" s="37" t="n">
        <f aca="false">I62+H63</f>
        <v>0.547842602403113</v>
      </c>
      <c r="J63" s="37" t="n">
        <f aca="false">A63/2840</f>
        <v>0.0197183098591549</v>
      </c>
      <c r="K63" s="32" t="str">
        <f aca="false">IF(I63&lt;=$E$4,"A",IF(I63&lt;=$E$5,"B","C"))</f>
        <v>A</v>
      </c>
    </row>
    <row r="64" customFormat="false" ht="15" hidden="false" customHeight="false" outlineLevel="0" collapsed="false">
      <c r="A64" s="32" t="n">
        <v>57</v>
      </c>
      <c r="B64" s="33" t="n">
        <v>1324155</v>
      </c>
      <c r="C64" s="34" t="s">
        <v>158</v>
      </c>
      <c r="D64" s="34" t="s">
        <v>159</v>
      </c>
      <c r="E64" s="34" t="s">
        <v>160</v>
      </c>
      <c r="F64" s="32" t="n">
        <f aca="false">COUNTIF(Base!$D$2:$D$2878,B64)</f>
        <v>1</v>
      </c>
      <c r="G64" s="35" t="n">
        <f aca="false">SUMIF(Base!$D$2:$D$2878,B64,Base!$I$2:$I$2878)</f>
        <v>46878.9541</v>
      </c>
      <c r="H64" s="36" t="n">
        <f aca="false">IF($G$2849=0,0,G64/$G$2849)</f>
        <v>0.00307630133582836</v>
      </c>
      <c r="I64" s="37" t="n">
        <f aca="false">I63+H64</f>
        <v>0.550918903738942</v>
      </c>
      <c r="J64" s="37" t="n">
        <f aca="false">A64/2840</f>
        <v>0.0200704225352113</v>
      </c>
      <c r="K64" s="32" t="str">
        <f aca="false">IF(I64&lt;=$E$4,"A",IF(I64&lt;=$E$5,"B","C"))</f>
        <v>A</v>
      </c>
    </row>
    <row r="65" customFormat="false" ht="15" hidden="false" customHeight="false" outlineLevel="0" collapsed="false">
      <c r="A65" s="32" t="n">
        <v>58</v>
      </c>
      <c r="B65" s="33" t="n">
        <v>1540227</v>
      </c>
      <c r="C65" s="34" t="s">
        <v>161</v>
      </c>
      <c r="D65" s="34" t="s">
        <v>162</v>
      </c>
      <c r="E65" s="34" t="s">
        <v>38</v>
      </c>
      <c r="F65" s="32" t="n">
        <f aca="false">COUNTIF(Base!$D$2:$D$2878,B65)</f>
        <v>1</v>
      </c>
      <c r="G65" s="35" t="n">
        <f aca="false">SUMIF(Base!$D$2:$D$2878,B65,Base!$I$2:$I$2878)</f>
        <v>46300.56</v>
      </c>
      <c r="H65" s="36" t="n">
        <f aca="false">IF($G$2849=0,0,G65/$G$2849)</f>
        <v>0.00303834582729313</v>
      </c>
      <c r="I65" s="37" t="n">
        <f aca="false">I64+H65</f>
        <v>0.553957249566235</v>
      </c>
      <c r="J65" s="37" t="n">
        <f aca="false">A65/2840</f>
        <v>0.0204225352112676</v>
      </c>
      <c r="K65" s="32" t="str">
        <f aca="false">IF(I65&lt;=$E$4,"A",IF(I65&lt;=$E$5,"B","C"))</f>
        <v>A</v>
      </c>
    </row>
    <row r="66" customFormat="false" ht="15" hidden="false" customHeight="false" outlineLevel="0" collapsed="false">
      <c r="A66" s="32" t="n">
        <v>59</v>
      </c>
      <c r="B66" s="33" t="n">
        <v>1540203</v>
      </c>
      <c r="C66" s="34" t="s">
        <v>163</v>
      </c>
      <c r="D66" s="34" t="s">
        <v>164</v>
      </c>
      <c r="E66" s="34" t="s">
        <v>38</v>
      </c>
      <c r="F66" s="32" t="n">
        <f aca="false">COUNTIF(Base!$D$2:$D$2878,B66)</f>
        <v>1</v>
      </c>
      <c r="G66" s="35" t="n">
        <f aca="false">SUMIF(Base!$D$2:$D$2878,B66,Base!$I$2:$I$2878)</f>
        <v>46267.54</v>
      </c>
      <c r="H66" s="36" t="n">
        <f aca="false">IF($G$2849=0,0,G66/$G$2849)</f>
        <v>0.00303617898137988</v>
      </c>
      <c r="I66" s="37" t="n">
        <f aca="false">I65+H66</f>
        <v>0.556993428547615</v>
      </c>
      <c r="J66" s="37" t="n">
        <f aca="false">A66/2840</f>
        <v>0.0207746478873239</v>
      </c>
      <c r="K66" s="32" t="str">
        <f aca="false">IF(I66&lt;=$E$4,"A",IF(I66&lt;=$E$5,"B","C"))</f>
        <v>A</v>
      </c>
    </row>
    <row r="67" customFormat="false" ht="15" hidden="false" customHeight="false" outlineLevel="0" collapsed="false">
      <c r="A67" s="32" t="n">
        <v>60</v>
      </c>
      <c r="B67" s="33" t="n">
        <v>1324194</v>
      </c>
      <c r="C67" s="34" t="s">
        <v>165</v>
      </c>
      <c r="D67" s="34" t="s">
        <v>166</v>
      </c>
      <c r="E67" s="34" t="s">
        <v>167</v>
      </c>
      <c r="F67" s="32" t="n">
        <f aca="false">COUNTIF(Base!$D$2:$D$2878,B67)</f>
        <v>1</v>
      </c>
      <c r="G67" s="35" t="n">
        <f aca="false">SUMIF(Base!$D$2:$D$2878,B67,Base!$I$2:$I$2878)</f>
        <v>44226</v>
      </c>
      <c r="H67" s="36" t="n">
        <f aca="false">IF($G$2849=0,0,G67/$G$2849)</f>
        <v>0.00290220858144839</v>
      </c>
      <c r="I67" s="37" t="n">
        <f aca="false">I66+H67</f>
        <v>0.559895637129063</v>
      </c>
      <c r="J67" s="37" t="n">
        <f aca="false">A67/2840</f>
        <v>0.0211267605633803</v>
      </c>
      <c r="K67" s="32" t="str">
        <f aca="false">IF(I67&lt;=$E$4,"A",IF(I67&lt;=$E$5,"B","C"))</f>
        <v>A</v>
      </c>
    </row>
    <row r="68" customFormat="false" ht="15" hidden="false" customHeight="false" outlineLevel="0" collapsed="false">
      <c r="A68" s="32" t="n">
        <v>61</v>
      </c>
      <c r="B68" s="33" t="n">
        <v>932214</v>
      </c>
      <c r="C68" s="34" t="s">
        <v>168</v>
      </c>
      <c r="D68" s="34" t="s">
        <v>169</v>
      </c>
      <c r="E68" s="34" t="s">
        <v>170</v>
      </c>
      <c r="F68" s="32" t="n">
        <f aca="false">COUNTIF(Base!$D$2:$D$2878,B68)</f>
        <v>2</v>
      </c>
      <c r="G68" s="35" t="n">
        <f aca="false">SUMIF(Base!$D$2:$D$2878,B68,Base!$I$2:$I$2878)</f>
        <v>43894.2</v>
      </c>
      <c r="H68" s="36" t="n">
        <f aca="false">IF($G$2849=0,0,G68/$G$2849)</f>
        <v>0.00288043512675376</v>
      </c>
      <c r="I68" s="37" t="n">
        <f aca="false">I67+H68</f>
        <v>0.562776072255817</v>
      </c>
      <c r="J68" s="37" t="n">
        <f aca="false">A68/2840</f>
        <v>0.0214788732394366</v>
      </c>
      <c r="K68" s="32" t="str">
        <f aca="false">IF(I68&lt;=$E$4,"A",IF(I68&lt;=$E$5,"B","C"))</f>
        <v>A</v>
      </c>
    </row>
    <row r="69" customFormat="false" ht="15" hidden="false" customHeight="false" outlineLevel="0" collapsed="false">
      <c r="A69" s="32" t="n">
        <v>62</v>
      </c>
      <c r="B69" s="33" t="n">
        <v>1387419</v>
      </c>
      <c r="C69" s="34" t="s">
        <v>171</v>
      </c>
      <c r="D69" s="34" t="s">
        <v>172</v>
      </c>
      <c r="E69" s="34" t="s">
        <v>38</v>
      </c>
      <c r="F69" s="32" t="n">
        <f aca="false">COUNTIF(Base!$D$2:$D$2878,B69)</f>
        <v>1</v>
      </c>
      <c r="G69" s="35" t="n">
        <f aca="false">SUMIF(Base!$D$2:$D$2878,B69,Base!$I$2:$I$2878)</f>
        <v>43040</v>
      </c>
      <c r="H69" s="36" t="n">
        <f aca="false">IF($G$2849=0,0,G69/$G$2849)</f>
        <v>0.00282438062102697</v>
      </c>
      <c r="I69" s="37" t="n">
        <f aca="false">I68+H69</f>
        <v>0.565600452876844</v>
      </c>
      <c r="J69" s="37" t="n">
        <f aca="false">A69/2840</f>
        <v>0.021830985915493</v>
      </c>
      <c r="K69" s="32" t="str">
        <f aca="false">IF(I69&lt;=$E$4,"A",IF(I69&lt;=$E$5,"B","C"))</f>
        <v>A</v>
      </c>
    </row>
    <row r="70" customFormat="false" ht="15" hidden="false" customHeight="false" outlineLevel="0" collapsed="false">
      <c r="A70" s="32" t="n">
        <v>63</v>
      </c>
      <c r="B70" s="33" t="n">
        <v>1677684</v>
      </c>
      <c r="C70" s="34" t="s">
        <v>173</v>
      </c>
      <c r="D70" s="34" t="s">
        <v>174</v>
      </c>
      <c r="E70" s="34" t="s">
        <v>38</v>
      </c>
      <c r="F70" s="32" t="n">
        <f aca="false">COUNTIF(Base!$D$2:$D$2878,B70)</f>
        <v>1</v>
      </c>
      <c r="G70" s="35" t="n">
        <f aca="false">SUMIF(Base!$D$2:$D$2878,B70,Base!$I$2:$I$2878)</f>
        <v>42987.84</v>
      </c>
      <c r="H70" s="36" t="n">
        <f aca="false">IF($G$2849=0,0,G70/$G$2849)</f>
        <v>0.00282095776570186</v>
      </c>
      <c r="I70" s="37" t="n">
        <f aca="false">I69+H70</f>
        <v>0.568421410642546</v>
      </c>
      <c r="J70" s="37" t="n">
        <f aca="false">A70/2840</f>
        <v>0.0221830985915493</v>
      </c>
      <c r="K70" s="32" t="str">
        <f aca="false">IF(I70&lt;=$E$4,"A",IF(I70&lt;=$E$5,"B","C"))</f>
        <v>A</v>
      </c>
    </row>
    <row r="71" customFormat="false" ht="15" hidden="false" customHeight="false" outlineLevel="0" collapsed="false">
      <c r="A71" s="32" t="n">
        <v>64</v>
      </c>
      <c r="B71" s="33" t="n">
        <v>1554759</v>
      </c>
      <c r="C71" s="34" t="s">
        <v>175</v>
      </c>
      <c r="D71" s="34" t="s">
        <v>176</v>
      </c>
      <c r="E71" s="34" t="s">
        <v>38</v>
      </c>
      <c r="F71" s="32" t="n">
        <f aca="false">COUNTIF(Base!$D$2:$D$2878,B71)</f>
        <v>1</v>
      </c>
      <c r="G71" s="35" t="n">
        <f aca="false">SUMIF(Base!$D$2:$D$2878,B71,Base!$I$2:$I$2878)</f>
        <v>42150.04</v>
      </c>
      <c r="H71" s="36" t="n">
        <f aca="false">IF($G$2849=0,0,G71/$G$2849)</f>
        <v>0.00276597946448679</v>
      </c>
      <c r="I71" s="37" t="n">
        <f aca="false">I70+H71</f>
        <v>0.571187390107032</v>
      </c>
      <c r="J71" s="37" t="n">
        <f aca="false">A71/2840</f>
        <v>0.0225352112676056</v>
      </c>
      <c r="K71" s="32" t="str">
        <f aca="false">IF(I71&lt;=$E$4,"A",IF(I71&lt;=$E$5,"B","C"))</f>
        <v>A</v>
      </c>
    </row>
    <row r="72" customFormat="false" ht="15" hidden="false" customHeight="false" outlineLevel="0" collapsed="false">
      <c r="A72" s="32" t="n">
        <v>65</v>
      </c>
      <c r="B72" s="33" t="n">
        <v>1540107</v>
      </c>
      <c r="C72" s="34" t="s">
        <v>177</v>
      </c>
      <c r="D72" s="34" t="s">
        <v>178</v>
      </c>
      <c r="E72" s="34" t="s">
        <v>38</v>
      </c>
      <c r="F72" s="32" t="n">
        <f aca="false">COUNTIF(Base!$D$2:$D$2878,B72)</f>
        <v>1</v>
      </c>
      <c r="G72" s="35" t="n">
        <f aca="false">SUMIF(Base!$D$2:$D$2878,B72,Base!$I$2:$I$2878)</f>
        <v>41758.2</v>
      </c>
      <c r="H72" s="36" t="n">
        <f aca="false">IF($G$2849=0,0,G72/$G$2849)</f>
        <v>0.00274026605132361</v>
      </c>
      <c r="I72" s="37" t="n">
        <f aca="false">I71+H72</f>
        <v>0.573927656158356</v>
      </c>
      <c r="J72" s="37" t="n">
        <f aca="false">A72/2840</f>
        <v>0.022887323943662</v>
      </c>
      <c r="K72" s="32" t="str">
        <f aca="false">IF(I72&lt;=$E$4,"A",IF(I72&lt;=$E$5,"B","C"))</f>
        <v>A</v>
      </c>
    </row>
    <row r="73" customFormat="false" ht="15" hidden="false" customHeight="false" outlineLevel="0" collapsed="false">
      <c r="A73" s="32" t="n">
        <v>66</v>
      </c>
      <c r="B73" s="33" t="n">
        <v>557073</v>
      </c>
      <c r="C73" s="34" t="s">
        <v>179</v>
      </c>
      <c r="D73" s="34" t="s">
        <v>180</v>
      </c>
      <c r="E73" s="34" t="s">
        <v>38</v>
      </c>
      <c r="F73" s="32" t="n">
        <f aca="false">COUNTIF(Base!$D$2:$D$2878,B73)</f>
        <v>1</v>
      </c>
      <c r="G73" s="35" t="n">
        <f aca="false">SUMIF(Base!$D$2:$D$2878,B73,Base!$I$2:$I$2878)</f>
        <v>40508.97</v>
      </c>
      <c r="H73" s="36" t="n">
        <f aca="false">IF($G$2849=0,0,G73/$G$2849)</f>
        <v>0.00265828879753166</v>
      </c>
      <c r="I73" s="37" t="n">
        <f aca="false">I72+H73</f>
        <v>0.576585944955888</v>
      </c>
      <c r="J73" s="37" t="n">
        <f aca="false">A73/2840</f>
        <v>0.0232394366197183</v>
      </c>
      <c r="K73" s="32" t="str">
        <f aca="false">IF(I73&lt;=$E$4,"A",IF(I73&lt;=$E$5,"B","C"))</f>
        <v>A</v>
      </c>
    </row>
    <row r="74" customFormat="false" ht="15" hidden="false" customHeight="false" outlineLevel="0" collapsed="false">
      <c r="A74" s="32" t="n">
        <v>67</v>
      </c>
      <c r="B74" s="33" t="n">
        <v>889163</v>
      </c>
      <c r="C74" s="34" t="s">
        <v>181</v>
      </c>
      <c r="D74" s="34" t="s">
        <v>182</v>
      </c>
      <c r="E74" s="34" t="s">
        <v>54</v>
      </c>
      <c r="F74" s="32" t="n">
        <f aca="false">COUNTIF(Base!$D$2:$D$2878,B74)</f>
        <v>1</v>
      </c>
      <c r="G74" s="35" t="n">
        <f aca="false">SUMIF(Base!$D$2:$D$2878,B74,Base!$I$2:$I$2878)</f>
        <v>40102.92</v>
      </c>
      <c r="H74" s="36" t="n">
        <f aca="false">IF($G$2849=0,0,G74/$G$2849)</f>
        <v>0.00263164289253241</v>
      </c>
      <c r="I74" s="37" t="n">
        <f aca="false">I73+H74</f>
        <v>0.57921758784842</v>
      </c>
      <c r="J74" s="37" t="n">
        <f aca="false">A74/2840</f>
        <v>0.0235915492957746</v>
      </c>
      <c r="K74" s="32" t="str">
        <f aca="false">IF(I74&lt;=$E$4,"A",IF(I74&lt;=$E$5,"B","C"))</f>
        <v>A</v>
      </c>
    </row>
    <row r="75" customFormat="false" ht="15" hidden="false" customHeight="false" outlineLevel="0" collapsed="false">
      <c r="A75" s="32" t="n">
        <v>68</v>
      </c>
      <c r="B75" s="33" t="n">
        <v>1087986</v>
      </c>
      <c r="C75" s="34" t="s">
        <v>183</v>
      </c>
      <c r="D75" s="34" t="s">
        <v>184</v>
      </c>
      <c r="E75" s="34" t="s">
        <v>113</v>
      </c>
      <c r="F75" s="32" t="n">
        <f aca="false">COUNTIF(Base!$D$2:$D$2878,B75)</f>
        <v>1</v>
      </c>
      <c r="G75" s="35" t="n">
        <f aca="false">SUMIF(Base!$D$2:$D$2878,B75,Base!$I$2:$I$2878)</f>
        <v>38150.56</v>
      </c>
      <c r="H75" s="36" t="n">
        <f aca="false">IF($G$2849=0,0,G75/$G$2849)</f>
        <v>0.00250352468274458</v>
      </c>
      <c r="I75" s="37" t="n">
        <f aca="false">I74+H75</f>
        <v>0.581721112531165</v>
      </c>
      <c r="J75" s="37" t="n">
        <f aca="false">A75/2840</f>
        <v>0.023943661971831</v>
      </c>
      <c r="K75" s="32" t="str">
        <f aca="false">IF(I75&lt;=$E$4,"A",IF(I75&lt;=$E$5,"B","C"))</f>
        <v>A</v>
      </c>
    </row>
    <row r="76" customFormat="false" ht="15" hidden="false" customHeight="false" outlineLevel="0" collapsed="false">
      <c r="A76" s="32" t="n">
        <v>69</v>
      </c>
      <c r="B76" s="33" t="n">
        <v>884891</v>
      </c>
      <c r="C76" s="34" t="s">
        <v>185</v>
      </c>
      <c r="D76" s="34" t="s">
        <v>186</v>
      </c>
      <c r="E76" s="34" t="s">
        <v>38</v>
      </c>
      <c r="F76" s="32" t="n">
        <f aca="false">COUNTIF(Base!$D$2:$D$2878,B76)</f>
        <v>1</v>
      </c>
      <c r="G76" s="35" t="n">
        <f aca="false">SUMIF(Base!$D$2:$D$2878,B76,Base!$I$2:$I$2878)</f>
        <v>37602.43</v>
      </c>
      <c r="H76" s="36" t="n">
        <f aca="false">IF($G$2849=0,0,G76/$G$2849)</f>
        <v>0.00246755517182907</v>
      </c>
      <c r="I76" s="37" t="n">
        <f aca="false">I75+H76</f>
        <v>0.584188667702994</v>
      </c>
      <c r="J76" s="37" t="n">
        <f aca="false">A76/2840</f>
        <v>0.0242957746478873</v>
      </c>
      <c r="K76" s="32" t="str">
        <f aca="false">IF(I76&lt;=$E$4,"A",IF(I76&lt;=$E$5,"B","C"))</f>
        <v>A</v>
      </c>
    </row>
    <row r="77" customFormat="false" ht="15" hidden="false" customHeight="false" outlineLevel="0" collapsed="false">
      <c r="A77" s="32" t="n">
        <v>70</v>
      </c>
      <c r="B77" s="33" t="n">
        <v>1382767</v>
      </c>
      <c r="C77" s="34" t="s">
        <v>187</v>
      </c>
      <c r="D77" s="34" t="s">
        <v>188</v>
      </c>
      <c r="E77" s="34" t="s">
        <v>189</v>
      </c>
      <c r="F77" s="32" t="n">
        <f aca="false">COUNTIF(Base!$D$2:$D$2878,B77)</f>
        <v>1</v>
      </c>
      <c r="G77" s="35" t="n">
        <f aca="false">SUMIF(Base!$D$2:$D$2878,B77,Base!$I$2:$I$2878)</f>
        <v>37138.66</v>
      </c>
      <c r="H77" s="36" t="n">
        <f aca="false">IF($G$2849=0,0,G77/$G$2849)</f>
        <v>0.00243712155192633</v>
      </c>
      <c r="I77" s="37" t="n">
        <f aca="false">I76+H77</f>
        <v>0.58662578925492</v>
      </c>
      <c r="J77" s="37" t="n">
        <f aca="false">A77/2840</f>
        <v>0.0246478873239437</v>
      </c>
      <c r="K77" s="32" t="str">
        <f aca="false">IF(I77&lt;=$E$4,"A",IF(I77&lt;=$E$5,"B","C"))</f>
        <v>A</v>
      </c>
    </row>
    <row r="78" customFormat="false" ht="15" hidden="false" customHeight="false" outlineLevel="0" collapsed="false">
      <c r="A78" s="32" t="n">
        <v>71</v>
      </c>
      <c r="B78" s="33" t="n">
        <v>477717</v>
      </c>
      <c r="C78" s="34" t="s">
        <v>190</v>
      </c>
      <c r="D78" s="34" t="s">
        <v>191</v>
      </c>
      <c r="E78" s="34" t="s">
        <v>192</v>
      </c>
      <c r="F78" s="32" t="n">
        <f aca="false">COUNTIF(Base!$D$2:$D$2878,B78)</f>
        <v>1</v>
      </c>
      <c r="G78" s="35" t="n">
        <f aca="false">SUMIF(Base!$D$2:$D$2878,B78,Base!$I$2:$I$2878)</f>
        <v>37044.73</v>
      </c>
      <c r="H78" s="36" t="n">
        <f aca="false">IF($G$2849=0,0,G78/$G$2849)</f>
        <v>0.00243095765620763</v>
      </c>
      <c r="I78" s="37" t="n">
        <f aca="false">I77+H78</f>
        <v>0.589056746911128</v>
      </c>
      <c r="J78" s="37" t="n">
        <f aca="false">A78/2840</f>
        <v>0.025</v>
      </c>
      <c r="K78" s="32" t="str">
        <f aca="false">IF(I78&lt;=$E$4,"A",IF(I78&lt;=$E$5,"B","C"))</f>
        <v>A</v>
      </c>
    </row>
    <row r="79" customFormat="false" ht="15" hidden="false" customHeight="false" outlineLevel="0" collapsed="false">
      <c r="A79" s="32" t="n">
        <v>72</v>
      </c>
      <c r="B79" s="33" t="n">
        <v>1654229</v>
      </c>
      <c r="C79" s="34" t="s">
        <v>193</v>
      </c>
      <c r="D79" s="34" t="s">
        <v>194</v>
      </c>
      <c r="E79" s="34" t="s">
        <v>195</v>
      </c>
      <c r="F79" s="32" t="n">
        <f aca="false">COUNTIF(Base!$D$2:$D$2878,B79)</f>
        <v>1</v>
      </c>
      <c r="G79" s="35" t="n">
        <f aca="false">SUMIF(Base!$D$2:$D$2878,B79,Base!$I$2:$I$2878)</f>
        <v>37044</v>
      </c>
      <c r="H79" s="36" t="n">
        <f aca="false">IF($G$2849=0,0,G79/$G$2849)</f>
        <v>0.00243090975198241</v>
      </c>
      <c r="I79" s="37" t="n">
        <f aca="false">I78+H79</f>
        <v>0.59148765666311</v>
      </c>
      <c r="J79" s="37" t="n">
        <f aca="false">A79/2840</f>
        <v>0.0253521126760563</v>
      </c>
      <c r="K79" s="32" t="str">
        <f aca="false">IF(I79&lt;=$E$4,"A",IF(I79&lt;=$E$5,"B","C"))</f>
        <v>A</v>
      </c>
    </row>
    <row r="80" customFormat="false" ht="15" hidden="false" customHeight="false" outlineLevel="0" collapsed="false">
      <c r="A80" s="32" t="n">
        <v>73</v>
      </c>
      <c r="B80" s="33" t="n">
        <v>1087797</v>
      </c>
      <c r="C80" s="34" t="s">
        <v>196</v>
      </c>
      <c r="D80" s="34" t="s">
        <v>197</v>
      </c>
      <c r="E80" s="34" t="s">
        <v>66</v>
      </c>
      <c r="F80" s="32" t="n">
        <f aca="false">COUNTIF(Base!$D$2:$D$2878,B80)</f>
        <v>1</v>
      </c>
      <c r="G80" s="35" t="n">
        <f aca="false">SUMIF(Base!$D$2:$D$2878,B80,Base!$I$2:$I$2878)</f>
        <v>36899.262</v>
      </c>
      <c r="H80" s="36" t="n">
        <f aca="false">IF($G$2849=0,0,G80/$G$2849)</f>
        <v>0.00242141172218859</v>
      </c>
      <c r="I80" s="37" t="n">
        <f aca="false">I79+H80</f>
        <v>0.593909068385299</v>
      </c>
      <c r="J80" s="37" t="n">
        <f aca="false">A80/2840</f>
        <v>0.0257042253521127</v>
      </c>
      <c r="K80" s="32" t="str">
        <f aca="false">IF(I80&lt;=$E$4,"A",IF(I80&lt;=$E$5,"B","C"))</f>
        <v>A</v>
      </c>
    </row>
    <row r="81" customFormat="false" ht="15" hidden="false" customHeight="false" outlineLevel="0" collapsed="false">
      <c r="A81" s="32" t="n">
        <v>74</v>
      </c>
      <c r="B81" s="33" t="n">
        <v>1257073</v>
      </c>
      <c r="C81" s="34" t="s">
        <v>198</v>
      </c>
      <c r="D81" s="34" t="s">
        <v>199</v>
      </c>
      <c r="E81" s="34" t="s">
        <v>133</v>
      </c>
      <c r="F81" s="32" t="n">
        <f aca="false">COUNTIF(Base!$D$2:$D$2878,B81)</f>
        <v>1</v>
      </c>
      <c r="G81" s="35" t="n">
        <f aca="false">SUMIF(Base!$D$2:$D$2878,B81,Base!$I$2:$I$2878)</f>
        <v>36862.2</v>
      </c>
      <c r="H81" s="36" t="n">
        <f aca="false">IF($G$2849=0,0,G81/$G$2849)</f>
        <v>0.00241897963123653</v>
      </c>
      <c r="I81" s="37" t="n">
        <f aca="false">I80+H81</f>
        <v>0.596328048016535</v>
      </c>
      <c r="J81" s="37" t="n">
        <f aca="false">A81/2840</f>
        <v>0.026056338028169</v>
      </c>
      <c r="K81" s="32" t="str">
        <f aca="false">IF(I81&lt;=$E$4,"A",IF(I81&lt;=$E$5,"B","C"))</f>
        <v>A</v>
      </c>
    </row>
    <row r="82" customFormat="false" ht="15" hidden="false" customHeight="false" outlineLevel="0" collapsed="false">
      <c r="A82" s="32" t="n">
        <v>75</v>
      </c>
      <c r="B82" s="33" t="n">
        <v>1677690</v>
      </c>
      <c r="C82" s="34" t="s">
        <v>200</v>
      </c>
      <c r="D82" s="34" t="s">
        <v>201</v>
      </c>
      <c r="E82" s="34" t="s">
        <v>38</v>
      </c>
      <c r="F82" s="32" t="n">
        <f aca="false">COUNTIF(Base!$D$2:$D$2878,B82)</f>
        <v>1</v>
      </c>
      <c r="G82" s="35" t="n">
        <f aca="false">SUMIF(Base!$D$2:$D$2878,B82,Base!$I$2:$I$2878)</f>
        <v>36188.96</v>
      </c>
      <c r="H82" s="36" t="n">
        <f aca="false">IF($G$2849=0,0,G82/$G$2849)</f>
        <v>0.0023748001235855</v>
      </c>
      <c r="I82" s="37" t="n">
        <f aca="false">I81+H82</f>
        <v>0.598702848140121</v>
      </c>
      <c r="J82" s="37" t="n">
        <f aca="false">A82/2840</f>
        <v>0.0264084507042254</v>
      </c>
      <c r="K82" s="32" t="str">
        <f aca="false">IF(I82&lt;=$E$4,"A",IF(I82&lt;=$E$5,"B","C"))</f>
        <v>A</v>
      </c>
    </row>
    <row r="83" customFormat="false" ht="15" hidden="false" customHeight="false" outlineLevel="0" collapsed="false">
      <c r="A83" s="32" t="n">
        <v>76</v>
      </c>
      <c r="B83" s="33" t="n">
        <v>21421</v>
      </c>
      <c r="C83" s="34" t="s">
        <v>202</v>
      </c>
      <c r="D83" s="34" t="s">
        <v>203</v>
      </c>
      <c r="E83" s="34" t="s">
        <v>204</v>
      </c>
      <c r="F83" s="32" t="n">
        <f aca="false">COUNTIF(Base!$D$2:$D$2878,B83)</f>
        <v>1</v>
      </c>
      <c r="G83" s="35" t="n">
        <f aca="false">SUMIF(Base!$D$2:$D$2878,B83,Base!$I$2:$I$2878)</f>
        <v>35573.34</v>
      </c>
      <c r="H83" s="36" t="n">
        <f aca="false">IF($G$2849=0,0,G83/$G$2849)</f>
        <v>0.00233440176861532</v>
      </c>
      <c r="I83" s="37" t="n">
        <f aca="false">I82+H83</f>
        <v>0.601037249908736</v>
      </c>
      <c r="J83" s="37" t="n">
        <f aca="false">A83/2840</f>
        <v>0.0267605633802817</v>
      </c>
      <c r="K83" s="32" t="str">
        <f aca="false">IF(I83&lt;=$E$4,"A",IF(I83&lt;=$E$5,"B","C"))</f>
        <v>A</v>
      </c>
    </row>
    <row r="84" customFormat="false" ht="15" hidden="false" customHeight="false" outlineLevel="0" collapsed="false">
      <c r="A84" s="32" t="n">
        <v>77</v>
      </c>
      <c r="B84" s="33" t="n">
        <v>884930</v>
      </c>
      <c r="C84" s="34" t="s">
        <v>205</v>
      </c>
      <c r="D84" s="34" t="s">
        <v>206</v>
      </c>
      <c r="E84" s="34" t="s">
        <v>138</v>
      </c>
      <c r="F84" s="32" t="n">
        <f aca="false">COUNTIF(Base!$D$2:$D$2878,B84)</f>
        <v>1</v>
      </c>
      <c r="G84" s="35" t="n">
        <f aca="false">SUMIF(Base!$D$2:$D$2878,B84,Base!$I$2:$I$2878)</f>
        <v>35000</v>
      </c>
      <c r="H84" s="36" t="n">
        <f aca="false">IF($G$2849=0,0,G84/$G$2849)</f>
        <v>0.00229677792137416</v>
      </c>
      <c r="I84" s="37" t="n">
        <f aca="false">I83+H84</f>
        <v>0.60333402783011</v>
      </c>
      <c r="J84" s="37" t="n">
        <f aca="false">A84/2840</f>
        <v>0.027112676056338</v>
      </c>
      <c r="K84" s="32" t="str">
        <f aca="false">IF(I84&lt;=$E$4,"A",IF(I84&lt;=$E$5,"B","C"))</f>
        <v>A</v>
      </c>
    </row>
    <row r="85" customFormat="false" ht="15" hidden="false" customHeight="false" outlineLevel="0" collapsed="false">
      <c r="A85" s="32" t="n">
        <v>78</v>
      </c>
      <c r="B85" s="33" t="n">
        <v>1387013</v>
      </c>
      <c r="C85" s="34" t="s">
        <v>207</v>
      </c>
      <c r="D85" s="34" t="s">
        <v>208</v>
      </c>
      <c r="E85" s="34" t="s">
        <v>133</v>
      </c>
      <c r="F85" s="32" t="n">
        <f aca="false">COUNTIF(Base!$D$2:$D$2878,B85)</f>
        <v>1</v>
      </c>
      <c r="G85" s="35" t="n">
        <f aca="false">SUMIF(Base!$D$2:$D$2878,B85,Base!$I$2:$I$2878)</f>
        <v>34805.85</v>
      </c>
      <c r="H85" s="36" t="n">
        <f aca="false">IF($G$2849=0,0,G85/$G$2849)</f>
        <v>0.00228403736613317</v>
      </c>
      <c r="I85" s="37" t="n">
        <f aca="false">I84+H85</f>
        <v>0.605618065196243</v>
      </c>
      <c r="J85" s="37" t="n">
        <f aca="false">A85/2840</f>
        <v>0.0274647887323944</v>
      </c>
      <c r="K85" s="32" t="str">
        <f aca="false">IF(I85&lt;=$E$4,"A",IF(I85&lt;=$E$5,"B","C"))</f>
        <v>A</v>
      </c>
    </row>
    <row r="86" customFormat="false" ht="15" hidden="false" customHeight="false" outlineLevel="0" collapsed="false">
      <c r="A86" s="32" t="n">
        <v>79</v>
      </c>
      <c r="B86" s="33" t="n">
        <v>1012114</v>
      </c>
      <c r="C86" s="34" t="s">
        <v>209</v>
      </c>
      <c r="D86" s="34" t="s">
        <v>210</v>
      </c>
      <c r="E86" s="34" t="s">
        <v>170</v>
      </c>
      <c r="F86" s="32" t="n">
        <f aca="false">COUNTIF(Base!$D$2:$D$2878,B86)</f>
        <v>1</v>
      </c>
      <c r="G86" s="35" t="n">
        <f aca="false">SUMIF(Base!$D$2:$D$2878,B86,Base!$I$2:$I$2878)</f>
        <v>34643</v>
      </c>
      <c r="H86" s="36" t="n">
        <f aca="false">IF($G$2849=0,0,G86/$G$2849)</f>
        <v>0.00227335078657614</v>
      </c>
      <c r="I86" s="37" t="n">
        <f aca="false">I85+H86</f>
        <v>0.607891415982819</v>
      </c>
      <c r="J86" s="37" t="n">
        <f aca="false">A86/2840</f>
        <v>0.0278169014084507</v>
      </c>
      <c r="K86" s="32" t="str">
        <f aca="false">IF(I86&lt;=$E$4,"A",IF(I86&lt;=$E$5,"B","C"))</f>
        <v>A</v>
      </c>
    </row>
    <row r="87" customFormat="false" ht="15" hidden="false" customHeight="false" outlineLevel="0" collapsed="false">
      <c r="A87" s="32" t="n">
        <v>80</v>
      </c>
      <c r="B87" s="33" t="n">
        <v>1384625</v>
      </c>
      <c r="C87" s="34" t="s">
        <v>211</v>
      </c>
      <c r="D87" s="34" t="s">
        <v>212</v>
      </c>
      <c r="E87" s="34" t="s">
        <v>38</v>
      </c>
      <c r="F87" s="32" t="n">
        <f aca="false">COUNTIF(Base!$D$2:$D$2878,B87)</f>
        <v>1</v>
      </c>
      <c r="G87" s="35" t="n">
        <f aca="false">SUMIF(Base!$D$2:$D$2878,B87,Base!$I$2:$I$2878)</f>
        <v>34537.56</v>
      </c>
      <c r="H87" s="36" t="n">
        <f aca="false">IF($G$2849=0,0,G87/$G$2849)</f>
        <v>0.00226643157903244</v>
      </c>
      <c r="I87" s="37" t="n">
        <f aca="false">I86+H87</f>
        <v>0.610157847561852</v>
      </c>
      <c r="J87" s="37" t="n">
        <f aca="false">A87/2840</f>
        <v>0.028169014084507</v>
      </c>
      <c r="K87" s="32" t="str">
        <f aca="false">IF(I87&lt;=$E$4,"A",IF(I87&lt;=$E$5,"B","C"))</f>
        <v>A</v>
      </c>
    </row>
    <row r="88" customFormat="false" ht="15" hidden="false" customHeight="false" outlineLevel="0" collapsed="false">
      <c r="A88" s="32" t="n">
        <v>81</v>
      </c>
      <c r="B88" s="33" t="n">
        <v>90175</v>
      </c>
      <c r="C88" s="34" t="s">
        <v>213</v>
      </c>
      <c r="D88" s="34" t="s">
        <v>214</v>
      </c>
      <c r="E88" s="34" t="s">
        <v>90</v>
      </c>
      <c r="F88" s="32" t="n">
        <f aca="false">COUNTIF(Base!$D$2:$D$2878,B88)</f>
        <v>1</v>
      </c>
      <c r="G88" s="35" t="n">
        <f aca="false">SUMIF(Base!$D$2:$D$2878,B88,Base!$I$2:$I$2878)</f>
        <v>33800</v>
      </c>
      <c r="H88" s="36" t="n">
        <f aca="false">IF($G$2849=0,0,G88/$G$2849)</f>
        <v>0.00221803124978419</v>
      </c>
      <c r="I88" s="37" t="n">
        <f aca="false">I87+H88</f>
        <v>0.612375878811636</v>
      </c>
      <c r="J88" s="37" t="n">
        <f aca="false">A88/2840</f>
        <v>0.0285211267605634</v>
      </c>
      <c r="K88" s="32" t="str">
        <f aca="false">IF(I88&lt;=$E$4,"A",IF(I88&lt;=$E$5,"B","C"))</f>
        <v>A</v>
      </c>
    </row>
    <row r="89" customFormat="false" ht="15" hidden="false" customHeight="false" outlineLevel="0" collapsed="false">
      <c r="A89" s="32" t="n">
        <v>82</v>
      </c>
      <c r="B89" s="33" t="n">
        <v>1319426</v>
      </c>
      <c r="C89" s="34" t="s">
        <v>215</v>
      </c>
      <c r="D89" s="34" t="s">
        <v>216</v>
      </c>
      <c r="E89" s="34" t="s">
        <v>217</v>
      </c>
      <c r="F89" s="32" t="n">
        <f aca="false">COUNTIF(Base!$D$2:$D$2878,B89)</f>
        <v>1</v>
      </c>
      <c r="G89" s="35" t="n">
        <f aca="false">SUMIF(Base!$D$2:$D$2878,B89,Base!$I$2:$I$2878)</f>
        <v>33572.32</v>
      </c>
      <c r="H89" s="36" t="n">
        <f aca="false">IF($G$2849=0,0,G89/$G$2849)</f>
        <v>0.00220309038129452</v>
      </c>
      <c r="I89" s="37" t="n">
        <f aca="false">I88+H89</f>
        <v>0.61457896919293</v>
      </c>
      <c r="J89" s="37" t="n">
        <f aca="false">A89/2840</f>
        <v>0.0288732394366197</v>
      </c>
      <c r="K89" s="32" t="str">
        <f aca="false">IF(I89&lt;=$E$4,"A",IF(I89&lt;=$E$5,"B","C"))</f>
        <v>A</v>
      </c>
    </row>
    <row r="90" customFormat="false" ht="15" hidden="false" customHeight="false" outlineLevel="0" collapsed="false">
      <c r="A90" s="32" t="n">
        <v>83</v>
      </c>
      <c r="B90" s="33" t="n">
        <v>1661537</v>
      </c>
      <c r="C90" s="34" t="s">
        <v>218</v>
      </c>
      <c r="D90" s="34" t="s">
        <v>219</v>
      </c>
      <c r="E90" s="34" t="s">
        <v>133</v>
      </c>
      <c r="F90" s="32" t="n">
        <f aca="false">COUNTIF(Base!$D$2:$D$2878,B90)</f>
        <v>1</v>
      </c>
      <c r="G90" s="35" t="n">
        <f aca="false">SUMIF(Base!$D$2:$D$2878,B90,Base!$I$2:$I$2878)</f>
        <v>33028.4</v>
      </c>
      <c r="H90" s="36" t="n">
        <f aca="false">IF($G$2849=0,0,G90/$G$2849)</f>
        <v>0.00216739713995184</v>
      </c>
      <c r="I90" s="37" t="n">
        <f aca="false">I89+H90</f>
        <v>0.616746366332882</v>
      </c>
      <c r="J90" s="37" t="n">
        <f aca="false">A90/2840</f>
        <v>0.0292253521126761</v>
      </c>
      <c r="K90" s="32" t="str">
        <f aca="false">IF(I90&lt;=$E$4,"A",IF(I90&lt;=$E$5,"B","C"))</f>
        <v>A</v>
      </c>
    </row>
    <row r="91" customFormat="false" ht="15" hidden="false" customHeight="false" outlineLevel="0" collapsed="false">
      <c r="A91" s="32" t="n">
        <v>84</v>
      </c>
      <c r="B91" s="33" t="n">
        <v>428618</v>
      </c>
      <c r="C91" s="34" t="s">
        <v>220</v>
      </c>
      <c r="D91" s="34" t="s">
        <v>221</v>
      </c>
      <c r="E91" s="34" t="s">
        <v>93</v>
      </c>
      <c r="F91" s="32" t="n">
        <f aca="false">COUNTIF(Base!$D$2:$D$2878,B91)</f>
        <v>1</v>
      </c>
      <c r="G91" s="35" t="n">
        <f aca="false">SUMIF(Base!$D$2:$D$2878,B91,Base!$I$2:$I$2878)</f>
        <v>32546.0394</v>
      </c>
      <c r="H91" s="36" t="n">
        <f aca="false">IF($G$2849=0,0,G91/$G$2849)</f>
        <v>0.00213574356348839</v>
      </c>
      <c r="I91" s="37" t="n">
        <f aca="false">I90+H91</f>
        <v>0.618882109896371</v>
      </c>
      <c r="J91" s="37" t="n">
        <f aca="false">A91/2840</f>
        <v>0.0295774647887324</v>
      </c>
      <c r="K91" s="32" t="str">
        <f aca="false">IF(I91&lt;=$E$4,"A",IF(I91&lt;=$E$5,"B","C"))</f>
        <v>A</v>
      </c>
    </row>
    <row r="92" customFormat="false" ht="15" hidden="false" customHeight="false" outlineLevel="0" collapsed="false">
      <c r="A92" s="32" t="n">
        <v>85</v>
      </c>
      <c r="B92" s="33" t="n">
        <v>736181</v>
      </c>
      <c r="C92" s="34" t="s">
        <v>222</v>
      </c>
      <c r="D92" s="34" t="s">
        <v>223</v>
      </c>
      <c r="E92" s="34" t="s">
        <v>66</v>
      </c>
      <c r="F92" s="32" t="n">
        <f aca="false">COUNTIF(Base!$D$2:$D$2878,B92)</f>
        <v>1</v>
      </c>
      <c r="G92" s="35" t="n">
        <f aca="false">SUMIF(Base!$D$2:$D$2878,B92,Base!$I$2:$I$2878)</f>
        <v>32340</v>
      </c>
      <c r="H92" s="36" t="n">
        <f aca="false">IF($G$2849=0,0,G92/$G$2849)</f>
        <v>0.00212222279934972</v>
      </c>
      <c r="I92" s="37" t="n">
        <f aca="false">I91+H92</f>
        <v>0.62100433269572</v>
      </c>
      <c r="J92" s="37" t="n">
        <f aca="false">A92/2840</f>
        <v>0.0299295774647887</v>
      </c>
      <c r="K92" s="32" t="str">
        <f aca="false">IF(I92&lt;=$E$4,"A",IF(I92&lt;=$E$5,"B","C"))</f>
        <v>A</v>
      </c>
    </row>
    <row r="93" customFormat="false" ht="15" hidden="false" customHeight="false" outlineLevel="0" collapsed="false">
      <c r="A93" s="32" t="n">
        <v>86</v>
      </c>
      <c r="B93" s="33" t="n">
        <v>1464892</v>
      </c>
      <c r="C93" s="34" t="s">
        <v>224</v>
      </c>
      <c r="D93" s="34" t="s">
        <v>225</v>
      </c>
      <c r="E93" s="34" t="s">
        <v>90</v>
      </c>
      <c r="F93" s="32" t="n">
        <f aca="false">COUNTIF(Base!$D$2:$D$2878,B93)</f>
        <v>1</v>
      </c>
      <c r="G93" s="35" t="n">
        <f aca="false">SUMIF(Base!$D$2:$D$2878,B93,Base!$I$2:$I$2878)</f>
        <v>31992.75</v>
      </c>
      <c r="H93" s="36" t="n">
        <f aca="false">IF($G$2849=0,0,G93/$G$2849)</f>
        <v>0.00209943548125838</v>
      </c>
      <c r="I93" s="37" t="n">
        <f aca="false">I92+H93</f>
        <v>0.623103768176979</v>
      </c>
      <c r="J93" s="37" t="n">
        <f aca="false">A93/2840</f>
        <v>0.0302816901408451</v>
      </c>
      <c r="K93" s="32" t="str">
        <f aca="false">IF(I93&lt;=$E$4,"A",IF(I93&lt;=$E$5,"B","C"))</f>
        <v>A</v>
      </c>
    </row>
    <row r="94" customFormat="false" ht="15" hidden="false" customHeight="false" outlineLevel="0" collapsed="false">
      <c r="A94" s="32" t="n">
        <v>87</v>
      </c>
      <c r="B94" s="33" t="n">
        <v>1384169</v>
      </c>
      <c r="C94" s="34" t="s">
        <v>226</v>
      </c>
      <c r="D94" s="34" t="s">
        <v>227</v>
      </c>
      <c r="E94" s="34" t="s">
        <v>75</v>
      </c>
      <c r="F94" s="32" t="n">
        <f aca="false">COUNTIF(Base!$D$2:$D$2878,B94)</f>
        <v>1</v>
      </c>
      <c r="G94" s="35" t="n">
        <f aca="false">SUMIF(Base!$D$2:$D$2878,B94,Base!$I$2:$I$2878)</f>
        <v>30212.46</v>
      </c>
      <c r="H94" s="36" t="n">
        <f aca="false">IF($G$2849=0,0,G94/$G$2849)</f>
        <v>0.00198260888795429</v>
      </c>
      <c r="I94" s="37" t="n">
        <f aca="false">I93+H94</f>
        <v>0.625086377064933</v>
      </c>
      <c r="J94" s="37" t="n">
        <f aca="false">A94/2840</f>
        <v>0.0306338028169014</v>
      </c>
      <c r="K94" s="32" t="str">
        <f aca="false">IF(I94&lt;=$E$4,"A",IF(I94&lt;=$E$5,"B","C"))</f>
        <v>A</v>
      </c>
    </row>
    <row r="95" customFormat="false" ht="15" hidden="false" customHeight="false" outlineLevel="0" collapsed="false">
      <c r="A95" s="32" t="n">
        <v>88</v>
      </c>
      <c r="B95" s="33" t="n">
        <v>425639</v>
      </c>
      <c r="C95" s="34" t="s">
        <v>228</v>
      </c>
      <c r="D95" s="34" t="s">
        <v>229</v>
      </c>
      <c r="E95" s="34" t="s">
        <v>230</v>
      </c>
      <c r="F95" s="32" t="n">
        <f aca="false">COUNTIF(Base!$D$2:$D$2878,B95)</f>
        <v>1</v>
      </c>
      <c r="G95" s="35" t="n">
        <f aca="false">SUMIF(Base!$D$2:$D$2878,B95,Base!$I$2:$I$2878)</f>
        <v>29618.691</v>
      </c>
      <c r="H95" s="36" t="n">
        <f aca="false">IF($G$2849=0,0,G95/$G$2849)</f>
        <v>0.00194364444425153</v>
      </c>
      <c r="I95" s="37" t="n">
        <f aca="false">I94+H95</f>
        <v>0.627030021509184</v>
      </c>
      <c r="J95" s="37" t="n">
        <f aca="false">A95/2840</f>
        <v>0.0309859154929577</v>
      </c>
      <c r="K95" s="32" t="str">
        <f aca="false">IF(I95&lt;=$E$4,"A",IF(I95&lt;=$E$5,"B","C"))</f>
        <v>A</v>
      </c>
    </row>
    <row r="96" customFormat="false" ht="15" hidden="false" customHeight="false" outlineLevel="0" collapsed="false">
      <c r="A96" s="32" t="n">
        <v>89</v>
      </c>
      <c r="B96" s="33" t="n">
        <v>844489</v>
      </c>
      <c r="C96" s="34" t="s">
        <v>231</v>
      </c>
      <c r="D96" s="34" t="s">
        <v>232</v>
      </c>
      <c r="E96" s="34" t="s">
        <v>189</v>
      </c>
      <c r="F96" s="32" t="n">
        <f aca="false">COUNTIF(Base!$D$2:$D$2878,B96)</f>
        <v>1</v>
      </c>
      <c r="G96" s="35" t="n">
        <f aca="false">SUMIF(Base!$D$2:$D$2878,B96,Base!$I$2:$I$2878)</f>
        <v>29184</v>
      </c>
      <c r="H96" s="36" t="n">
        <f aca="false">IF($G$2849=0,0,G96/$G$2849)</f>
        <v>0.0019151190530681</v>
      </c>
      <c r="I96" s="37" t="n">
        <f aca="false">I95+H96</f>
        <v>0.628945140562253</v>
      </c>
      <c r="J96" s="37" t="n">
        <f aca="false">A96/2840</f>
        <v>0.0313380281690141</v>
      </c>
      <c r="K96" s="32" t="str">
        <f aca="false">IF(I96&lt;=$E$4,"A",IF(I96&lt;=$E$5,"B","C"))</f>
        <v>A</v>
      </c>
    </row>
    <row r="97" customFormat="false" ht="15" hidden="false" customHeight="false" outlineLevel="0" collapsed="false">
      <c r="A97" s="32" t="n">
        <v>90</v>
      </c>
      <c r="B97" s="33" t="n">
        <v>1318392</v>
      </c>
      <c r="C97" s="34" t="s">
        <v>233</v>
      </c>
      <c r="D97" s="34" t="s">
        <v>234</v>
      </c>
      <c r="E97" s="34" t="s">
        <v>54</v>
      </c>
      <c r="F97" s="32" t="n">
        <f aca="false">COUNTIF(Base!$D$2:$D$2878,B97)</f>
        <v>1</v>
      </c>
      <c r="G97" s="35" t="n">
        <f aca="false">SUMIF(Base!$D$2:$D$2878,B97,Base!$I$2:$I$2878)</f>
        <v>29172</v>
      </c>
      <c r="H97" s="36" t="n">
        <f aca="false">IF($G$2849=0,0,G97/$G$2849)</f>
        <v>0.0019143315863522</v>
      </c>
      <c r="I97" s="37" t="n">
        <f aca="false">I96+H97</f>
        <v>0.630859472148605</v>
      </c>
      <c r="J97" s="37" t="n">
        <f aca="false">A97/2840</f>
        <v>0.0316901408450704</v>
      </c>
      <c r="K97" s="32" t="str">
        <f aca="false">IF(I97&lt;=$E$4,"A",IF(I97&lt;=$E$5,"B","C"))</f>
        <v>A</v>
      </c>
    </row>
    <row r="98" customFormat="false" ht="15" hidden="false" customHeight="false" outlineLevel="0" collapsed="false">
      <c r="A98" s="32" t="n">
        <v>91</v>
      </c>
      <c r="B98" s="33" t="n">
        <v>1464213</v>
      </c>
      <c r="C98" s="34" t="s">
        <v>235</v>
      </c>
      <c r="D98" s="34" t="s">
        <v>236</v>
      </c>
      <c r="E98" s="34" t="s">
        <v>63</v>
      </c>
      <c r="F98" s="32" t="n">
        <f aca="false">COUNTIF(Base!$D$2:$D$2878,B98)</f>
        <v>1</v>
      </c>
      <c r="G98" s="35" t="n">
        <f aca="false">SUMIF(Base!$D$2:$D$2878,B98,Base!$I$2:$I$2878)</f>
        <v>29053.2</v>
      </c>
      <c r="H98" s="36" t="n">
        <f aca="false">IF($G$2849=0,0,G98/$G$2849)</f>
        <v>0.00190653566586479</v>
      </c>
      <c r="I98" s="37" t="n">
        <f aca="false">I97+H98</f>
        <v>0.63276600781447</v>
      </c>
      <c r="J98" s="37" t="n">
        <f aca="false">A98/2840</f>
        <v>0.0320422535211268</v>
      </c>
      <c r="K98" s="32" t="str">
        <f aca="false">IF(I98&lt;=$E$4,"A",IF(I98&lt;=$E$5,"B","C"))</f>
        <v>A</v>
      </c>
    </row>
    <row r="99" customFormat="false" ht="15" hidden="false" customHeight="false" outlineLevel="0" collapsed="false">
      <c r="A99" s="32" t="n">
        <v>92</v>
      </c>
      <c r="B99" s="33" t="n">
        <v>854325</v>
      </c>
      <c r="C99" s="34" t="s">
        <v>237</v>
      </c>
      <c r="D99" s="34" t="s">
        <v>238</v>
      </c>
      <c r="E99" s="34" t="s">
        <v>192</v>
      </c>
      <c r="F99" s="32" t="n">
        <f aca="false">COUNTIF(Base!$D$2:$D$2878,B99)</f>
        <v>1</v>
      </c>
      <c r="G99" s="35" t="n">
        <f aca="false">SUMIF(Base!$D$2:$D$2878,B99,Base!$I$2:$I$2878)</f>
        <v>28421.3132</v>
      </c>
      <c r="H99" s="36" t="n">
        <f aca="false">IF($G$2849=0,0,G99/$G$2849)</f>
        <v>0.00186506984726343</v>
      </c>
      <c r="I99" s="37" t="n">
        <f aca="false">I98+H99</f>
        <v>0.634631077661733</v>
      </c>
      <c r="J99" s="37" t="n">
        <f aca="false">A99/2840</f>
        <v>0.0323943661971831</v>
      </c>
      <c r="K99" s="32" t="str">
        <f aca="false">IF(I99&lt;=$E$4,"A",IF(I99&lt;=$E$5,"B","C"))</f>
        <v>A</v>
      </c>
    </row>
    <row r="100" customFormat="false" ht="15" hidden="false" customHeight="false" outlineLevel="0" collapsed="false">
      <c r="A100" s="32" t="n">
        <v>93</v>
      </c>
      <c r="B100" s="33" t="n">
        <v>21580</v>
      </c>
      <c r="C100" s="34" t="s">
        <v>239</v>
      </c>
      <c r="D100" s="34" t="s">
        <v>240</v>
      </c>
      <c r="E100" s="34" t="s">
        <v>38</v>
      </c>
      <c r="F100" s="32" t="n">
        <f aca="false">COUNTIF(Base!$D$2:$D$2878,B100)</f>
        <v>1</v>
      </c>
      <c r="G100" s="35" t="n">
        <f aca="false">SUMIF(Base!$D$2:$D$2878,B100,Base!$I$2:$I$2878)</f>
        <v>28355.2</v>
      </c>
      <c r="H100" s="36" t="n">
        <f aca="false">IF($G$2849=0,0,G100/$G$2849)</f>
        <v>0.00186073135188996</v>
      </c>
      <c r="I100" s="37" t="n">
        <f aca="false">I99+H100</f>
        <v>0.636491809013623</v>
      </c>
      <c r="J100" s="37" t="n">
        <f aca="false">A100/2840</f>
        <v>0.0327464788732394</v>
      </c>
      <c r="K100" s="32" t="str">
        <f aca="false">IF(I100&lt;=$E$4,"A",IF(I100&lt;=$E$5,"B","C"))</f>
        <v>A</v>
      </c>
    </row>
    <row r="101" customFormat="false" ht="15" hidden="false" customHeight="false" outlineLevel="0" collapsed="false">
      <c r="A101" s="32" t="n">
        <v>94</v>
      </c>
      <c r="B101" s="33" t="n">
        <v>30886</v>
      </c>
      <c r="C101" s="34" t="s">
        <v>241</v>
      </c>
      <c r="D101" s="34" t="s">
        <v>242</v>
      </c>
      <c r="E101" s="34" t="s">
        <v>38</v>
      </c>
      <c r="F101" s="32" t="n">
        <f aca="false">COUNTIF(Base!$D$2:$D$2878,B101)</f>
        <v>1</v>
      </c>
      <c r="G101" s="35" t="n">
        <f aca="false">SUMIF(Base!$D$2:$D$2878,B101,Base!$I$2:$I$2878)</f>
        <v>27448.25</v>
      </c>
      <c r="H101" s="36" t="n">
        <f aca="false">IF($G$2849=0,0,G101/$G$2849)</f>
        <v>0.00180121527372452</v>
      </c>
      <c r="I101" s="37" t="n">
        <f aca="false">I100+H101</f>
        <v>0.638293024287347</v>
      </c>
      <c r="J101" s="37" t="n">
        <f aca="false">A101/2840</f>
        <v>0.0330985915492958</v>
      </c>
      <c r="K101" s="32" t="str">
        <f aca="false">IF(I101&lt;=$E$4,"A",IF(I101&lt;=$E$5,"B","C"))</f>
        <v>A</v>
      </c>
    </row>
    <row r="102" customFormat="false" ht="15" hidden="false" customHeight="false" outlineLevel="0" collapsed="false">
      <c r="A102" s="32" t="n">
        <v>95</v>
      </c>
      <c r="B102" s="33" t="n">
        <v>12100</v>
      </c>
      <c r="C102" s="34" t="s">
        <v>243</v>
      </c>
      <c r="D102" s="34" t="s">
        <v>244</v>
      </c>
      <c r="E102" s="34" t="s">
        <v>38</v>
      </c>
      <c r="F102" s="32" t="n">
        <f aca="false">COUNTIF(Base!$D$2:$D$2878,B102)</f>
        <v>1</v>
      </c>
      <c r="G102" s="35" t="n">
        <f aca="false">SUMIF(Base!$D$2:$D$2878,B102,Base!$I$2:$I$2878)</f>
        <v>27200</v>
      </c>
      <c r="H102" s="36" t="n">
        <f aca="false">IF($G$2849=0,0,G102/$G$2849)</f>
        <v>0.00178492455603935</v>
      </c>
      <c r="I102" s="37" t="n">
        <f aca="false">I101+H102</f>
        <v>0.640077948843387</v>
      </c>
      <c r="J102" s="37" t="n">
        <f aca="false">A102/2840</f>
        <v>0.0334507042253521</v>
      </c>
      <c r="K102" s="32" t="str">
        <f aca="false">IF(I102&lt;=$E$4,"A",IF(I102&lt;=$E$5,"B","C"))</f>
        <v>A</v>
      </c>
    </row>
    <row r="103" customFormat="false" ht="15" hidden="false" customHeight="false" outlineLevel="0" collapsed="false">
      <c r="A103" s="32" t="n">
        <v>96</v>
      </c>
      <c r="B103" s="33" t="n">
        <v>389169</v>
      </c>
      <c r="C103" s="34" t="s">
        <v>245</v>
      </c>
      <c r="D103" s="34" t="s">
        <v>246</v>
      </c>
      <c r="E103" s="34" t="s">
        <v>247</v>
      </c>
      <c r="F103" s="32" t="n">
        <f aca="false">COUNTIF(Base!$D$2:$D$2878,B103)</f>
        <v>1</v>
      </c>
      <c r="G103" s="35" t="n">
        <f aca="false">SUMIF(Base!$D$2:$D$2878,B103,Base!$I$2:$I$2878)</f>
        <v>26800</v>
      </c>
      <c r="H103" s="36" t="n">
        <f aca="false">IF($G$2849=0,0,G103/$G$2849)</f>
        <v>0.00175867566550936</v>
      </c>
      <c r="I103" s="37" t="n">
        <f aca="false">I102+H103</f>
        <v>0.641836624508896</v>
      </c>
      <c r="J103" s="37" t="n">
        <f aca="false">A103/2840</f>
        <v>0.0338028169014085</v>
      </c>
      <c r="K103" s="32" t="str">
        <f aca="false">IF(I103&lt;=$E$4,"A",IF(I103&lt;=$E$5,"B","C"))</f>
        <v>A</v>
      </c>
    </row>
    <row r="104" customFormat="false" ht="15" hidden="false" customHeight="false" outlineLevel="0" collapsed="false">
      <c r="A104" s="32" t="n">
        <v>97</v>
      </c>
      <c r="B104" s="33" t="n">
        <v>59249</v>
      </c>
      <c r="C104" s="34" t="s">
        <v>248</v>
      </c>
      <c r="D104" s="34" t="s">
        <v>249</v>
      </c>
      <c r="E104" s="34" t="s">
        <v>54</v>
      </c>
      <c r="F104" s="32" t="n">
        <f aca="false">COUNTIF(Base!$D$2:$D$2878,B104)</f>
        <v>1</v>
      </c>
      <c r="G104" s="35" t="n">
        <f aca="false">SUMIF(Base!$D$2:$D$2878,B104,Base!$I$2:$I$2878)</f>
        <v>26672.89</v>
      </c>
      <c r="H104" s="36" t="n">
        <f aca="false">IF($G$2849=0,0,G104/$G$2849)</f>
        <v>0.00175033442432119</v>
      </c>
      <c r="I104" s="37" t="n">
        <f aca="false">I103+H104</f>
        <v>0.643586958933217</v>
      </c>
      <c r="J104" s="37" t="n">
        <f aca="false">A104/2840</f>
        <v>0.0341549295774648</v>
      </c>
      <c r="K104" s="32" t="str">
        <f aca="false">IF(I104&lt;=$E$4,"A",IF(I104&lt;=$E$5,"B","C"))</f>
        <v>A</v>
      </c>
    </row>
    <row r="105" customFormat="false" ht="15" hidden="false" customHeight="false" outlineLevel="0" collapsed="false">
      <c r="A105" s="32" t="n">
        <v>98</v>
      </c>
      <c r="B105" s="33" t="n">
        <v>1463583</v>
      </c>
      <c r="C105" s="34" t="s">
        <v>250</v>
      </c>
      <c r="D105" s="34" t="s">
        <v>251</v>
      </c>
      <c r="E105" s="34" t="s">
        <v>38</v>
      </c>
      <c r="F105" s="32" t="n">
        <f aca="false">COUNTIF(Base!$D$2:$D$2878,B105)</f>
        <v>1</v>
      </c>
      <c r="G105" s="35" t="n">
        <f aca="false">SUMIF(Base!$D$2:$D$2878,B105,Base!$I$2:$I$2878)</f>
        <v>25905.72</v>
      </c>
      <c r="H105" s="36" t="n">
        <f aca="false">IF($G$2849=0,0,G105/$G$2849)</f>
        <v>0.00169999102095146</v>
      </c>
      <c r="I105" s="37" t="n">
        <f aca="false">I104+H105</f>
        <v>0.645286949954169</v>
      </c>
      <c r="J105" s="37" t="n">
        <f aca="false">A105/2840</f>
        <v>0.0345070422535211</v>
      </c>
      <c r="K105" s="32" t="str">
        <f aca="false">IF(I105&lt;=$E$4,"A",IF(I105&lt;=$E$5,"B","C"))</f>
        <v>A</v>
      </c>
    </row>
    <row r="106" customFormat="false" ht="15" hidden="false" customHeight="false" outlineLevel="0" collapsed="false">
      <c r="A106" s="32" t="n">
        <v>99</v>
      </c>
      <c r="B106" s="33" t="n">
        <v>730656</v>
      </c>
      <c r="C106" s="34" t="s">
        <v>252</v>
      </c>
      <c r="D106" s="34" t="s">
        <v>253</v>
      </c>
      <c r="E106" s="34" t="s">
        <v>157</v>
      </c>
      <c r="F106" s="32" t="n">
        <f aca="false">COUNTIF(Base!$D$2:$D$2878,B106)</f>
        <v>1</v>
      </c>
      <c r="G106" s="35" t="n">
        <f aca="false">SUMIF(Base!$D$2:$D$2878,B106,Base!$I$2:$I$2878)</f>
        <v>25523.416</v>
      </c>
      <c r="H106" s="36" t="n">
        <f aca="false">IF($G$2849=0,0,G106/$G$2849)</f>
        <v>0.00167490338133851</v>
      </c>
      <c r="I106" s="37" t="n">
        <f aca="false">I105+H106</f>
        <v>0.646961853335507</v>
      </c>
      <c r="J106" s="37" t="n">
        <f aca="false">A106/2840</f>
        <v>0.0348591549295775</v>
      </c>
      <c r="K106" s="32" t="str">
        <f aca="false">IF(I106&lt;=$E$4,"A",IF(I106&lt;=$E$5,"B","C"))</f>
        <v>A</v>
      </c>
    </row>
    <row r="107" customFormat="false" ht="15" hidden="false" customHeight="false" outlineLevel="0" collapsed="false">
      <c r="A107" s="32" t="n">
        <v>100</v>
      </c>
      <c r="B107" s="33" t="n">
        <v>219688</v>
      </c>
      <c r="C107" s="34" t="s">
        <v>254</v>
      </c>
      <c r="D107" s="34" t="s">
        <v>255</v>
      </c>
      <c r="E107" s="34" t="s">
        <v>38</v>
      </c>
      <c r="F107" s="32" t="n">
        <f aca="false">COUNTIF(Base!$D$2:$D$2878,B107)</f>
        <v>1</v>
      </c>
      <c r="G107" s="35" t="n">
        <f aca="false">SUMIF(Base!$D$2:$D$2878,B107,Base!$I$2:$I$2878)</f>
        <v>25430.3</v>
      </c>
      <c r="H107" s="36" t="n">
        <f aca="false">IF($G$2849=0,0,G107/$G$2849)</f>
        <v>0.00166879290211204</v>
      </c>
      <c r="I107" s="37" t="n">
        <f aca="false">I106+H107</f>
        <v>0.648630646237619</v>
      </c>
      <c r="J107" s="37" t="n">
        <f aca="false">A107/2840</f>
        <v>0.0352112676056338</v>
      </c>
      <c r="K107" s="32" t="str">
        <f aca="false">IF(I107&lt;=$E$4,"A",IF(I107&lt;=$E$5,"B","C"))</f>
        <v>A</v>
      </c>
    </row>
    <row r="108" customFormat="false" ht="15" hidden="false" customHeight="false" outlineLevel="0" collapsed="false">
      <c r="A108" s="32" t="n">
        <v>101</v>
      </c>
      <c r="B108" s="33" t="n">
        <v>19959</v>
      </c>
      <c r="C108" s="34" t="s">
        <v>256</v>
      </c>
      <c r="D108" s="34" t="s">
        <v>257</v>
      </c>
      <c r="E108" s="34" t="s">
        <v>35</v>
      </c>
      <c r="F108" s="32" t="n">
        <f aca="false">COUNTIF(Base!$D$2:$D$2878,B108)</f>
        <v>1</v>
      </c>
      <c r="G108" s="35" t="n">
        <f aca="false">SUMIF(Base!$D$2:$D$2878,B108,Base!$I$2:$I$2878)</f>
        <v>25180</v>
      </c>
      <c r="H108" s="36" t="n">
        <f aca="false">IF($G$2849=0,0,G108/$G$2849)</f>
        <v>0.0016523676588629</v>
      </c>
      <c r="I108" s="37" t="n">
        <f aca="false">I107+H108</f>
        <v>0.650283013896482</v>
      </c>
      <c r="J108" s="37" t="n">
        <f aca="false">A108/2840</f>
        <v>0.0355633802816901</v>
      </c>
      <c r="K108" s="32" t="str">
        <f aca="false">IF(I108&lt;=$E$4,"A",IF(I108&lt;=$E$5,"B","C"))</f>
        <v>A</v>
      </c>
    </row>
    <row r="109" customFormat="false" ht="15" hidden="false" customHeight="false" outlineLevel="0" collapsed="false">
      <c r="A109" s="32" t="n">
        <v>102</v>
      </c>
      <c r="B109" s="33" t="n">
        <v>1382972</v>
      </c>
      <c r="C109" s="34" t="s">
        <v>258</v>
      </c>
      <c r="D109" s="34" t="s">
        <v>259</v>
      </c>
      <c r="E109" s="34" t="s">
        <v>38</v>
      </c>
      <c r="F109" s="32" t="n">
        <f aca="false">COUNTIF(Base!$D$2:$D$2878,B109)</f>
        <v>1</v>
      </c>
      <c r="G109" s="35" t="n">
        <f aca="false">SUMIF(Base!$D$2:$D$2878,B109,Base!$I$2:$I$2878)</f>
        <v>24730.63</v>
      </c>
      <c r="H109" s="36" t="n">
        <f aca="false">IF($G$2849=0,0,G109/$G$2849)</f>
        <v>0.00162287899901924</v>
      </c>
      <c r="I109" s="37" t="n">
        <f aca="false">I108+H109</f>
        <v>0.651905892895501</v>
      </c>
      <c r="J109" s="37" t="n">
        <f aca="false">A109/2840</f>
        <v>0.0359154929577465</v>
      </c>
      <c r="K109" s="32" t="str">
        <f aca="false">IF(I109&lt;=$E$4,"A",IF(I109&lt;=$E$5,"B","C"))</f>
        <v>A</v>
      </c>
    </row>
    <row r="110" customFormat="false" ht="15" hidden="false" customHeight="false" outlineLevel="0" collapsed="false">
      <c r="A110" s="32" t="n">
        <v>103</v>
      </c>
      <c r="B110" s="33" t="n">
        <v>1318567</v>
      </c>
      <c r="C110" s="34" t="s">
        <v>260</v>
      </c>
      <c r="D110" s="34" t="s">
        <v>261</v>
      </c>
      <c r="E110" s="34" t="s">
        <v>262</v>
      </c>
      <c r="F110" s="32" t="n">
        <f aca="false">COUNTIF(Base!$D$2:$D$2878,B110)</f>
        <v>1</v>
      </c>
      <c r="G110" s="35" t="n">
        <f aca="false">SUMIF(Base!$D$2:$D$2878,B110,Base!$I$2:$I$2878)</f>
        <v>24700</v>
      </c>
      <c r="H110" s="36" t="n">
        <f aca="false">IF($G$2849=0,0,G110/$G$2849)</f>
        <v>0.00162086899022691</v>
      </c>
      <c r="I110" s="37" t="n">
        <f aca="false">I109+H110</f>
        <v>0.653526761885728</v>
      </c>
      <c r="J110" s="37" t="n">
        <f aca="false">A110/2840</f>
        <v>0.0362676056338028</v>
      </c>
      <c r="K110" s="32" t="str">
        <f aca="false">IF(I110&lt;=$E$4,"A",IF(I110&lt;=$E$5,"B","C"))</f>
        <v>A</v>
      </c>
    </row>
    <row r="111" customFormat="false" ht="15" hidden="false" customHeight="false" outlineLevel="0" collapsed="false">
      <c r="A111" s="32" t="n">
        <v>104</v>
      </c>
      <c r="B111" s="33" t="n">
        <v>1259694</v>
      </c>
      <c r="C111" s="34" t="s">
        <v>263</v>
      </c>
      <c r="D111" s="34" t="s">
        <v>264</v>
      </c>
      <c r="E111" s="34" t="s">
        <v>54</v>
      </c>
      <c r="F111" s="32" t="n">
        <f aca="false">COUNTIF(Base!$D$2:$D$2878,B111)</f>
        <v>1</v>
      </c>
      <c r="G111" s="35" t="n">
        <f aca="false">SUMIF(Base!$D$2:$D$2878,B111,Base!$I$2:$I$2878)</f>
        <v>24327.9</v>
      </c>
      <c r="H111" s="36" t="n">
        <f aca="false">IF($G$2849=0,0,G111/$G$2849)</f>
        <v>0.00159645095981138</v>
      </c>
      <c r="I111" s="37" t="n">
        <f aca="false">I110+H111</f>
        <v>0.65512321284554</v>
      </c>
      <c r="J111" s="37" t="n">
        <f aca="false">A111/2840</f>
        <v>0.0366197183098592</v>
      </c>
      <c r="K111" s="32" t="str">
        <f aca="false">IF(I111&lt;=$E$4,"A",IF(I111&lt;=$E$5,"B","C"))</f>
        <v>A</v>
      </c>
    </row>
    <row r="112" customFormat="false" ht="15" hidden="false" customHeight="false" outlineLevel="0" collapsed="false">
      <c r="A112" s="32" t="n">
        <v>105</v>
      </c>
      <c r="B112" s="33" t="n">
        <v>221923</v>
      </c>
      <c r="C112" s="34" t="s">
        <v>265</v>
      </c>
      <c r="D112" s="34" t="s">
        <v>266</v>
      </c>
      <c r="E112" s="34" t="s">
        <v>38</v>
      </c>
      <c r="F112" s="32" t="n">
        <f aca="false">COUNTIF(Base!$D$2:$D$2878,B112)</f>
        <v>1</v>
      </c>
      <c r="G112" s="35" t="n">
        <f aca="false">SUMIF(Base!$D$2:$D$2878,B112,Base!$I$2:$I$2878)</f>
        <v>24104.5</v>
      </c>
      <c r="H112" s="36" t="n">
        <f aca="false">IF($G$2849=0,0,G112/$G$2849)</f>
        <v>0.00158179095445038</v>
      </c>
      <c r="I112" s="37" t="n">
        <f aca="false">I111+H112</f>
        <v>0.65670500379999</v>
      </c>
      <c r="J112" s="37" t="n">
        <f aca="false">A112/2840</f>
        <v>0.0369718309859155</v>
      </c>
      <c r="K112" s="32" t="str">
        <f aca="false">IF(I112&lt;=$E$4,"A",IF(I112&lt;=$E$5,"B","C"))</f>
        <v>A</v>
      </c>
    </row>
    <row r="113" customFormat="false" ht="15" hidden="false" customHeight="false" outlineLevel="0" collapsed="false">
      <c r="A113" s="32" t="n">
        <v>106</v>
      </c>
      <c r="B113" s="33" t="n">
        <v>1261451</v>
      </c>
      <c r="C113" s="34" t="s">
        <v>267</v>
      </c>
      <c r="D113" s="34" t="s">
        <v>268</v>
      </c>
      <c r="E113" s="34" t="s">
        <v>35</v>
      </c>
      <c r="F113" s="32" t="n">
        <f aca="false">COUNTIF(Base!$D$2:$D$2878,B113)</f>
        <v>1</v>
      </c>
      <c r="G113" s="35" t="n">
        <f aca="false">SUMIF(Base!$D$2:$D$2878,B113,Base!$I$2:$I$2878)</f>
        <v>23400</v>
      </c>
      <c r="H113" s="36" t="n">
        <f aca="false">IF($G$2849=0,0,G113/$G$2849)</f>
        <v>0.00153556009600444</v>
      </c>
      <c r="I113" s="37" t="n">
        <f aca="false">I112+H113</f>
        <v>0.658240563895995</v>
      </c>
      <c r="J113" s="37" t="n">
        <f aca="false">A113/2840</f>
        <v>0.0373239436619718</v>
      </c>
      <c r="K113" s="32" t="str">
        <f aca="false">IF(I113&lt;=$E$4,"A",IF(I113&lt;=$E$5,"B","C"))</f>
        <v>A</v>
      </c>
    </row>
    <row r="114" customFormat="false" ht="15" hidden="false" customHeight="false" outlineLevel="0" collapsed="false">
      <c r="A114" s="32" t="n">
        <v>107</v>
      </c>
      <c r="B114" s="33" t="n">
        <v>1540155</v>
      </c>
      <c r="C114" s="34" t="s">
        <v>269</v>
      </c>
      <c r="D114" s="34" t="s">
        <v>270</v>
      </c>
      <c r="E114" s="34" t="s">
        <v>38</v>
      </c>
      <c r="F114" s="32" t="n">
        <f aca="false">COUNTIF(Base!$D$2:$D$2878,B114)</f>
        <v>1</v>
      </c>
      <c r="G114" s="35" t="n">
        <f aca="false">SUMIF(Base!$D$2:$D$2878,B114,Base!$I$2:$I$2878)</f>
        <v>23350.27</v>
      </c>
      <c r="H114" s="36" t="n">
        <f aca="false">IF($G$2849=0,0,G114/$G$2849)</f>
        <v>0.0015322967026893</v>
      </c>
      <c r="I114" s="37" t="n">
        <f aca="false">I113+H114</f>
        <v>0.659772860598684</v>
      </c>
      <c r="J114" s="37" t="n">
        <f aca="false">A114/2840</f>
        <v>0.0376760563380282</v>
      </c>
      <c r="K114" s="32" t="str">
        <f aca="false">IF(I114&lt;=$E$4,"A",IF(I114&lt;=$E$5,"B","C"))</f>
        <v>A</v>
      </c>
    </row>
    <row r="115" customFormat="false" ht="15" hidden="false" customHeight="false" outlineLevel="0" collapsed="false">
      <c r="A115" s="32" t="n">
        <v>108</v>
      </c>
      <c r="B115" s="33" t="n">
        <v>1384697</v>
      </c>
      <c r="C115" s="34" t="s">
        <v>271</v>
      </c>
      <c r="D115" s="34" t="s">
        <v>272</v>
      </c>
      <c r="E115" s="34" t="s">
        <v>66</v>
      </c>
      <c r="F115" s="32" t="n">
        <f aca="false">COUNTIF(Base!$D$2:$D$2878,B115)</f>
        <v>1</v>
      </c>
      <c r="G115" s="35" t="n">
        <f aca="false">SUMIF(Base!$D$2:$D$2878,B115,Base!$I$2:$I$2878)</f>
        <v>23141.44</v>
      </c>
      <c r="H115" s="36" t="n">
        <f aca="false">IF($G$2849=0,0,G115/$G$2849)</f>
        <v>0.00151859281316585</v>
      </c>
      <c r="I115" s="37" t="n">
        <f aca="false">I114+H115</f>
        <v>0.66129145341185</v>
      </c>
      <c r="J115" s="37" t="n">
        <f aca="false">A115/2840</f>
        <v>0.0380281690140845</v>
      </c>
      <c r="K115" s="32" t="str">
        <f aca="false">IF(I115&lt;=$E$4,"A",IF(I115&lt;=$E$5,"B","C"))</f>
        <v>A</v>
      </c>
    </row>
    <row r="116" customFormat="false" ht="15" hidden="false" customHeight="false" outlineLevel="0" collapsed="false">
      <c r="A116" s="32" t="n">
        <v>109</v>
      </c>
      <c r="B116" s="33" t="n">
        <v>1327823</v>
      </c>
      <c r="C116" s="34" t="s">
        <v>273</v>
      </c>
      <c r="D116" s="34" t="s">
        <v>274</v>
      </c>
      <c r="E116" s="34" t="s">
        <v>230</v>
      </c>
      <c r="F116" s="32" t="n">
        <f aca="false">COUNTIF(Base!$D$2:$D$2878,B116)</f>
        <v>1</v>
      </c>
      <c r="G116" s="35" t="n">
        <f aca="false">SUMIF(Base!$D$2:$D$2878,B116,Base!$I$2:$I$2878)</f>
        <v>23013.32</v>
      </c>
      <c r="H116" s="36" t="n">
        <f aca="false">IF($G$2849=0,0,G116/$G$2849)</f>
        <v>0.0015101852935291</v>
      </c>
      <c r="I116" s="37" t="n">
        <f aca="false">I115+H116</f>
        <v>0.662801638705379</v>
      </c>
      <c r="J116" s="37" t="n">
        <f aca="false">A116/2840</f>
        <v>0.0383802816901408</v>
      </c>
      <c r="K116" s="32" t="str">
        <f aca="false">IF(I116&lt;=$E$4,"A",IF(I116&lt;=$E$5,"B","C"))</f>
        <v>A</v>
      </c>
    </row>
    <row r="117" customFormat="false" ht="15" hidden="false" customHeight="false" outlineLevel="0" collapsed="false">
      <c r="A117" s="32" t="n">
        <v>110</v>
      </c>
      <c r="B117" s="33" t="n">
        <v>1607595</v>
      </c>
      <c r="C117" s="34" t="s">
        <v>275</v>
      </c>
      <c r="D117" s="34" t="s">
        <v>276</v>
      </c>
      <c r="E117" s="34" t="s">
        <v>38</v>
      </c>
      <c r="F117" s="32" t="n">
        <f aca="false">COUNTIF(Base!$D$2:$D$2878,B117)</f>
        <v>1</v>
      </c>
      <c r="G117" s="35" t="n">
        <f aca="false">SUMIF(Base!$D$2:$D$2878,B117,Base!$I$2:$I$2878)</f>
        <v>23000</v>
      </c>
      <c r="H117" s="36" t="n">
        <f aca="false">IF($G$2849=0,0,G117/$G$2849)</f>
        <v>0.00150931120547445</v>
      </c>
      <c r="I117" s="37" t="n">
        <f aca="false">I116+H117</f>
        <v>0.664310949910853</v>
      </c>
      <c r="J117" s="37" t="n">
        <f aca="false">A117/2840</f>
        <v>0.0387323943661972</v>
      </c>
      <c r="K117" s="32" t="str">
        <f aca="false">IF(I117&lt;=$E$4,"A",IF(I117&lt;=$E$5,"B","C"))</f>
        <v>A</v>
      </c>
    </row>
    <row r="118" customFormat="false" ht="15" hidden="false" customHeight="false" outlineLevel="0" collapsed="false">
      <c r="A118" s="32" t="n">
        <v>111</v>
      </c>
      <c r="B118" s="33" t="n">
        <v>389168</v>
      </c>
      <c r="C118" s="34" t="s">
        <v>277</v>
      </c>
      <c r="D118" s="34" t="s">
        <v>278</v>
      </c>
      <c r="E118" s="34" t="s">
        <v>247</v>
      </c>
      <c r="F118" s="32" t="n">
        <f aca="false">COUNTIF(Base!$D$2:$D$2878,B118)</f>
        <v>1</v>
      </c>
      <c r="G118" s="35" t="n">
        <f aca="false">SUMIF(Base!$D$2:$D$2878,B118,Base!$I$2:$I$2878)</f>
        <v>22900</v>
      </c>
      <c r="H118" s="36" t="n">
        <f aca="false">IF($G$2849=0,0,G118/$G$2849)</f>
        <v>0.00150274898284195</v>
      </c>
      <c r="I118" s="37" t="n">
        <f aca="false">I117+H118</f>
        <v>0.665813698893695</v>
      </c>
      <c r="J118" s="37" t="n">
        <f aca="false">A118/2840</f>
        <v>0.0390845070422535</v>
      </c>
      <c r="K118" s="32" t="str">
        <f aca="false">IF(I118&lt;=$E$4,"A",IF(I118&lt;=$E$5,"B","C"))</f>
        <v>A</v>
      </c>
    </row>
    <row r="119" customFormat="false" ht="15" hidden="false" customHeight="false" outlineLevel="0" collapsed="false">
      <c r="A119" s="32" t="n">
        <v>112</v>
      </c>
      <c r="B119" s="33" t="n">
        <v>291107</v>
      </c>
      <c r="C119" s="34" t="s">
        <v>279</v>
      </c>
      <c r="D119" s="34" t="s">
        <v>280</v>
      </c>
      <c r="E119" s="34" t="s">
        <v>230</v>
      </c>
      <c r="F119" s="32" t="n">
        <f aca="false">COUNTIF(Base!$D$2:$D$2878,B119)</f>
        <v>1</v>
      </c>
      <c r="G119" s="35" t="n">
        <f aca="false">SUMIF(Base!$D$2:$D$2878,B119,Base!$I$2:$I$2878)</f>
        <v>22793.33</v>
      </c>
      <c r="H119" s="36" t="n">
        <f aca="false">IF($G$2849=0,0,G119/$G$2849)</f>
        <v>0.00149574905995987</v>
      </c>
      <c r="I119" s="37" t="n">
        <f aca="false">I118+H119</f>
        <v>0.667309447953655</v>
      </c>
      <c r="J119" s="37" t="n">
        <f aca="false">A119/2840</f>
        <v>0.0394366197183099</v>
      </c>
      <c r="K119" s="32" t="str">
        <f aca="false">IF(I119&lt;=$E$4,"A",IF(I119&lt;=$E$5,"B","C"))</f>
        <v>A</v>
      </c>
    </row>
    <row r="120" customFormat="false" ht="15" hidden="false" customHeight="false" outlineLevel="0" collapsed="false">
      <c r="A120" s="32" t="n">
        <v>113</v>
      </c>
      <c r="B120" s="33" t="n">
        <v>1330705</v>
      </c>
      <c r="C120" s="34" t="s">
        <v>281</v>
      </c>
      <c r="D120" s="34" t="s">
        <v>282</v>
      </c>
      <c r="E120" s="34" t="s">
        <v>54</v>
      </c>
      <c r="F120" s="32" t="n">
        <f aca="false">COUNTIF(Base!$D$2:$D$2878,B120)</f>
        <v>1</v>
      </c>
      <c r="G120" s="35" t="n">
        <f aca="false">SUMIF(Base!$D$2:$D$2878,B120,Base!$I$2:$I$2878)</f>
        <v>22660.15</v>
      </c>
      <c r="H120" s="36" t="n">
        <f aca="false">IF($G$2849=0,0,G120/$G$2849)</f>
        <v>0.00148700949185791</v>
      </c>
      <c r="I120" s="37" t="n">
        <f aca="false">I119+H120</f>
        <v>0.668796457445513</v>
      </c>
      <c r="J120" s="37" t="n">
        <f aca="false">A120/2840</f>
        <v>0.0397887323943662</v>
      </c>
      <c r="K120" s="32" t="str">
        <f aca="false">IF(I120&lt;=$E$4,"A",IF(I120&lt;=$E$5,"B","C"))</f>
        <v>A</v>
      </c>
    </row>
    <row r="121" customFormat="false" ht="15" hidden="false" customHeight="false" outlineLevel="0" collapsed="false">
      <c r="A121" s="32" t="n">
        <v>114</v>
      </c>
      <c r="B121" s="33" t="n">
        <v>219548</v>
      </c>
      <c r="C121" s="34" t="s">
        <v>283</v>
      </c>
      <c r="D121" s="34" t="s">
        <v>284</v>
      </c>
      <c r="E121" s="34" t="s">
        <v>38</v>
      </c>
      <c r="F121" s="32" t="n">
        <f aca="false">COUNTIF(Base!$D$2:$D$2878,B121)</f>
        <v>2</v>
      </c>
      <c r="G121" s="35" t="n">
        <f aca="false">SUMIF(Base!$D$2:$D$2878,B121,Base!$I$2:$I$2878)</f>
        <v>22636.89</v>
      </c>
      <c r="H121" s="36" t="n">
        <f aca="false">IF($G$2849=0,0,G121/$G$2849)</f>
        <v>0.00148548311887359</v>
      </c>
      <c r="I121" s="37" t="n">
        <f aca="false">I120+H121</f>
        <v>0.670281940564387</v>
      </c>
      <c r="J121" s="37" t="n">
        <f aca="false">A121/2840</f>
        <v>0.0401408450704225</v>
      </c>
      <c r="K121" s="32" t="str">
        <f aca="false">IF(I121&lt;=$E$4,"A",IF(I121&lt;=$E$5,"B","C"))</f>
        <v>A</v>
      </c>
    </row>
    <row r="122" customFormat="false" ht="15" hidden="false" customHeight="false" outlineLevel="0" collapsed="false">
      <c r="A122" s="32" t="n">
        <v>115</v>
      </c>
      <c r="B122" s="33" t="n">
        <v>221692</v>
      </c>
      <c r="C122" s="34" t="s">
        <v>285</v>
      </c>
      <c r="D122" s="34" t="s">
        <v>286</v>
      </c>
      <c r="E122" s="34" t="s">
        <v>38</v>
      </c>
      <c r="F122" s="32" t="n">
        <f aca="false">COUNTIF(Base!$D$2:$D$2878,B122)</f>
        <v>1</v>
      </c>
      <c r="G122" s="35" t="n">
        <f aca="false">SUMIF(Base!$D$2:$D$2878,B122,Base!$I$2:$I$2878)</f>
        <v>22601.82</v>
      </c>
      <c r="H122" s="36" t="n">
        <f aca="false">IF($G$2849=0,0,G122/$G$2849)</f>
        <v>0.00148318174739637</v>
      </c>
      <c r="I122" s="37" t="n">
        <f aca="false">I121+H122</f>
        <v>0.671765122311783</v>
      </c>
      <c r="J122" s="37" t="n">
        <f aca="false">A122/2840</f>
        <v>0.0404929577464789</v>
      </c>
      <c r="K122" s="32" t="str">
        <f aca="false">IF(I122&lt;=$E$4,"A",IF(I122&lt;=$E$5,"B","C"))</f>
        <v>A</v>
      </c>
    </row>
    <row r="123" customFormat="false" ht="15" hidden="false" customHeight="false" outlineLevel="0" collapsed="false">
      <c r="A123" s="32" t="n">
        <v>116</v>
      </c>
      <c r="B123" s="33" t="n">
        <v>1540299</v>
      </c>
      <c r="C123" s="34" t="s">
        <v>287</v>
      </c>
      <c r="D123" s="34" t="s">
        <v>288</v>
      </c>
      <c r="E123" s="34" t="s">
        <v>38</v>
      </c>
      <c r="F123" s="32" t="n">
        <f aca="false">COUNTIF(Base!$D$2:$D$2878,B123)</f>
        <v>1</v>
      </c>
      <c r="G123" s="35" t="n">
        <f aca="false">SUMIF(Base!$D$2:$D$2878,B123,Base!$I$2:$I$2878)</f>
        <v>22582.75</v>
      </c>
      <c r="H123" s="36" t="n">
        <f aca="false">IF($G$2849=0,0,G123/$G$2849)</f>
        <v>0.00148193033154035</v>
      </c>
      <c r="I123" s="37" t="n">
        <f aca="false">I122+H123</f>
        <v>0.673247052643323</v>
      </c>
      <c r="J123" s="37" t="n">
        <f aca="false">A123/2840</f>
        <v>0.0408450704225352</v>
      </c>
      <c r="K123" s="32" t="str">
        <f aca="false">IF(I123&lt;=$E$4,"A",IF(I123&lt;=$E$5,"B","C"))</f>
        <v>A</v>
      </c>
    </row>
    <row r="124" customFormat="false" ht="15" hidden="false" customHeight="false" outlineLevel="0" collapsed="false">
      <c r="A124" s="32" t="n">
        <v>117</v>
      </c>
      <c r="B124" s="33" t="n">
        <v>18960</v>
      </c>
      <c r="C124" s="34" t="s">
        <v>289</v>
      </c>
      <c r="D124" s="34" t="s">
        <v>290</v>
      </c>
      <c r="E124" s="34" t="s">
        <v>247</v>
      </c>
      <c r="F124" s="32" t="n">
        <f aca="false">COUNTIF(Base!$D$2:$D$2878,B124)</f>
        <v>1</v>
      </c>
      <c r="G124" s="35" t="n">
        <f aca="false">SUMIF(Base!$D$2:$D$2878,B124,Base!$I$2:$I$2878)</f>
        <v>22518</v>
      </c>
      <c r="H124" s="36" t="n">
        <f aca="false">IF($G$2849=0,0,G124/$G$2849)</f>
        <v>0.00147768129238581</v>
      </c>
      <c r="I124" s="37" t="n">
        <f aca="false">I123+H124</f>
        <v>0.674724733935709</v>
      </c>
      <c r="J124" s="37" t="n">
        <f aca="false">A124/2840</f>
        <v>0.0411971830985916</v>
      </c>
      <c r="K124" s="32" t="str">
        <f aca="false">IF(I124&lt;=$E$4,"A",IF(I124&lt;=$E$5,"B","C"))</f>
        <v>A</v>
      </c>
    </row>
    <row r="125" customFormat="false" ht="15" hidden="false" customHeight="false" outlineLevel="0" collapsed="false">
      <c r="A125" s="32" t="n">
        <v>118</v>
      </c>
      <c r="B125" s="33" t="n">
        <v>19215</v>
      </c>
      <c r="C125" s="34" t="s">
        <v>291</v>
      </c>
      <c r="D125" s="34" t="s">
        <v>292</v>
      </c>
      <c r="E125" s="34" t="s">
        <v>93</v>
      </c>
      <c r="F125" s="32" t="n">
        <f aca="false">COUNTIF(Base!$D$2:$D$2878,B125)</f>
        <v>2</v>
      </c>
      <c r="G125" s="35" t="n">
        <f aca="false">SUMIF(Base!$D$2:$D$2878,B125,Base!$I$2:$I$2878)</f>
        <v>22439.6</v>
      </c>
      <c r="H125" s="36" t="n">
        <f aca="false">IF($G$2849=0,0,G125/$G$2849)</f>
        <v>0.00147253650984193</v>
      </c>
      <c r="I125" s="37" t="n">
        <f aca="false">I124+H125</f>
        <v>0.676197270445551</v>
      </c>
      <c r="J125" s="37" t="n">
        <f aca="false">A125/2840</f>
        <v>0.0415492957746479</v>
      </c>
      <c r="K125" s="32" t="str">
        <f aca="false">IF(I125&lt;=$E$4,"A",IF(I125&lt;=$E$5,"B","C"))</f>
        <v>A</v>
      </c>
    </row>
    <row r="126" customFormat="false" ht="15" hidden="false" customHeight="false" outlineLevel="0" collapsed="false">
      <c r="A126" s="32" t="n">
        <v>119</v>
      </c>
      <c r="B126" s="33" t="n">
        <v>49610</v>
      </c>
      <c r="C126" s="34" t="s">
        <v>293</v>
      </c>
      <c r="D126" s="34" t="s">
        <v>294</v>
      </c>
      <c r="E126" s="34" t="s">
        <v>54</v>
      </c>
      <c r="F126" s="32" t="n">
        <f aca="false">COUNTIF(Base!$D$2:$D$2878,B126)</f>
        <v>1</v>
      </c>
      <c r="G126" s="35" t="n">
        <f aca="false">SUMIF(Base!$D$2:$D$2878,B126,Base!$I$2:$I$2878)</f>
        <v>22400</v>
      </c>
      <c r="H126" s="36" t="n">
        <f aca="false">IF($G$2849=0,0,G126/$G$2849)</f>
        <v>0.00146993786967946</v>
      </c>
      <c r="I126" s="37" t="n">
        <f aca="false">I125+H126</f>
        <v>0.67766720831523</v>
      </c>
      <c r="J126" s="37" t="n">
        <f aca="false">A126/2840</f>
        <v>0.0419014084507042</v>
      </c>
      <c r="K126" s="32" t="str">
        <f aca="false">IF(I126&lt;=$E$4,"A",IF(I126&lt;=$E$5,"B","C"))</f>
        <v>A</v>
      </c>
    </row>
    <row r="127" customFormat="false" ht="15" hidden="false" customHeight="false" outlineLevel="0" collapsed="false">
      <c r="A127" s="32" t="n">
        <v>120</v>
      </c>
      <c r="B127" s="33" t="n">
        <v>1608715</v>
      </c>
      <c r="C127" s="34" t="s">
        <v>295</v>
      </c>
      <c r="D127" s="34" t="s">
        <v>296</v>
      </c>
      <c r="E127" s="34" t="s">
        <v>230</v>
      </c>
      <c r="F127" s="32" t="n">
        <f aca="false">COUNTIF(Base!$D$2:$D$2878,B127)</f>
        <v>1</v>
      </c>
      <c r="G127" s="35" t="n">
        <f aca="false">SUMIF(Base!$D$2:$D$2878,B127,Base!$I$2:$I$2878)</f>
        <v>21957.36</v>
      </c>
      <c r="H127" s="36" t="n">
        <f aca="false">IF($G$2849=0,0,G127/$G$2849)</f>
        <v>0.00144089084741898</v>
      </c>
      <c r="I127" s="37" t="n">
        <f aca="false">I126+H127</f>
        <v>0.679108099162649</v>
      </c>
      <c r="J127" s="37" t="n">
        <f aca="false">A127/2840</f>
        <v>0.0422535211267606</v>
      </c>
      <c r="K127" s="32" t="str">
        <f aca="false">IF(I127&lt;=$E$4,"A",IF(I127&lt;=$E$5,"B","C"))</f>
        <v>A</v>
      </c>
    </row>
    <row r="128" customFormat="false" ht="15" hidden="false" customHeight="false" outlineLevel="0" collapsed="false">
      <c r="A128" s="32" t="n">
        <v>121</v>
      </c>
      <c r="B128" s="33" t="n">
        <v>1384433</v>
      </c>
      <c r="C128" s="34" t="s">
        <v>297</v>
      </c>
      <c r="D128" s="34" t="s">
        <v>298</v>
      </c>
      <c r="E128" s="34" t="s">
        <v>38</v>
      </c>
      <c r="F128" s="32" t="n">
        <f aca="false">COUNTIF(Base!$D$2:$D$2878,B128)</f>
        <v>1</v>
      </c>
      <c r="G128" s="35" t="n">
        <f aca="false">SUMIF(Base!$D$2:$D$2878,B128,Base!$I$2:$I$2878)</f>
        <v>21301.35</v>
      </c>
      <c r="H128" s="36" t="n">
        <f aca="false">IF($G$2849=0,0,G128/$G$2849)</f>
        <v>0.00139784201072753</v>
      </c>
      <c r="I128" s="37" t="n">
        <f aca="false">I127+H128</f>
        <v>0.680505941173377</v>
      </c>
      <c r="J128" s="37" t="n">
        <f aca="false">A128/2840</f>
        <v>0.0426056338028169</v>
      </c>
      <c r="K128" s="32" t="str">
        <f aca="false">IF(I128&lt;=$E$4,"A",IF(I128&lt;=$E$5,"B","C"))</f>
        <v>A</v>
      </c>
    </row>
    <row r="129" customFormat="false" ht="15" hidden="false" customHeight="false" outlineLevel="0" collapsed="false">
      <c r="A129" s="32" t="n">
        <v>122</v>
      </c>
      <c r="B129" s="33" t="n">
        <v>1487401</v>
      </c>
      <c r="C129" s="34" t="s">
        <v>299</v>
      </c>
      <c r="D129" s="34" t="s">
        <v>300</v>
      </c>
      <c r="E129" s="34" t="s">
        <v>133</v>
      </c>
      <c r="F129" s="32" t="n">
        <f aca="false">COUNTIF(Base!$D$2:$D$2878,B129)</f>
        <v>1</v>
      </c>
      <c r="G129" s="35" t="n">
        <f aca="false">SUMIF(Base!$D$2:$D$2878,B129,Base!$I$2:$I$2878)</f>
        <v>21279.7</v>
      </c>
      <c r="H129" s="36" t="n">
        <f aca="false">IF($G$2849=0,0,G129/$G$2849)</f>
        <v>0.00139642128952759</v>
      </c>
      <c r="I129" s="37" t="n">
        <f aca="false">I128+H129</f>
        <v>0.681902362462904</v>
      </c>
      <c r="J129" s="37" t="n">
        <f aca="false">A129/2840</f>
        <v>0.0429577464788732</v>
      </c>
      <c r="K129" s="32" t="str">
        <f aca="false">IF(I129&lt;=$E$4,"A",IF(I129&lt;=$E$5,"B","C"))</f>
        <v>A</v>
      </c>
    </row>
    <row r="130" customFormat="false" ht="15" hidden="false" customHeight="false" outlineLevel="0" collapsed="false">
      <c r="A130" s="32" t="n">
        <v>123</v>
      </c>
      <c r="B130" s="33" t="n">
        <v>1327716</v>
      </c>
      <c r="C130" s="34" t="s">
        <v>301</v>
      </c>
      <c r="D130" s="34" t="s">
        <v>302</v>
      </c>
      <c r="E130" s="34" t="s">
        <v>54</v>
      </c>
      <c r="F130" s="32" t="n">
        <f aca="false">COUNTIF(Base!$D$2:$D$2878,B130)</f>
        <v>1</v>
      </c>
      <c r="G130" s="35" t="n">
        <f aca="false">SUMIF(Base!$D$2:$D$2878,B130,Base!$I$2:$I$2878)</f>
        <v>21039.24</v>
      </c>
      <c r="H130" s="36" t="n">
        <f aca="false">IF($G$2849=0,0,G130/$G$2849)</f>
        <v>0.00138064176898549</v>
      </c>
      <c r="I130" s="37" t="n">
        <f aca="false">I129+H130</f>
        <v>0.68328300423189</v>
      </c>
      <c r="J130" s="37" t="n">
        <f aca="false">A130/2840</f>
        <v>0.0433098591549296</v>
      </c>
      <c r="K130" s="32" t="str">
        <f aca="false">IF(I130&lt;=$E$4,"A",IF(I130&lt;=$E$5,"B","C"))</f>
        <v>A</v>
      </c>
    </row>
    <row r="131" customFormat="false" ht="15" hidden="false" customHeight="false" outlineLevel="0" collapsed="false">
      <c r="A131" s="32" t="n">
        <v>124</v>
      </c>
      <c r="B131" s="33" t="n">
        <v>871936</v>
      </c>
      <c r="C131" s="34" t="s">
        <v>303</v>
      </c>
      <c r="D131" s="34" t="s">
        <v>304</v>
      </c>
      <c r="E131" s="34" t="s">
        <v>130</v>
      </c>
      <c r="F131" s="32" t="n">
        <f aca="false">COUNTIF(Base!$D$2:$D$2878,B131)</f>
        <v>1</v>
      </c>
      <c r="G131" s="35" t="n">
        <f aca="false">SUMIF(Base!$D$2:$D$2878,B131,Base!$I$2:$I$2878)</f>
        <v>20390</v>
      </c>
      <c r="H131" s="36" t="n">
        <f aca="false">IF($G$2849=0,0,G131/$G$2849)</f>
        <v>0.00133803719476626</v>
      </c>
      <c r="I131" s="37" t="n">
        <f aca="false">I130+H131</f>
        <v>0.684621041426656</v>
      </c>
      <c r="J131" s="37" t="n">
        <f aca="false">A131/2840</f>
        <v>0.0436619718309859</v>
      </c>
      <c r="K131" s="32" t="str">
        <f aca="false">IF(I131&lt;=$E$4,"A",IF(I131&lt;=$E$5,"B","C"))</f>
        <v>A</v>
      </c>
    </row>
    <row r="132" customFormat="false" ht="15" hidden="false" customHeight="false" outlineLevel="0" collapsed="false">
      <c r="A132" s="32" t="n">
        <v>125</v>
      </c>
      <c r="B132" s="33" t="n">
        <v>738780</v>
      </c>
      <c r="C132" s="34" t="s">
        <v>305</v>
      </c>
      <c r="D132" s="34" t="s">
        <v>306</v>
      </c>
      <c r="E132" s="34" t="s">
        <v>93</v>
      </c>
      <c r="F132" s="32" t="n">
        <f aca="false">COUNTIF(Base!$D$2:$D$2878,B132)</f>
        <v>1</v>
      </c>
      <c r="G132" s="35" t="n">
        <f aca="false">SUMIF(Base!$D$2:$D$2878,B132,Base!$I$2:$I$2878)</f>
        <v>20370</v>
      </c>
      <c r="H132" s="36" t="n">
        <f aca="false">IF($G$2849=0,0,G132/$G$2849)</f>
        <v>0.00133672475023976</v>
      </c>
      <c r="I132" s="37" t="n">
        <f aca="false">I131+H132</f>
        <v>0.685957766176896</v>
      </c>
      <c r="J132" s="37" t="n">
        <f aca="false">A132/2840</f>
        <v>0.0440140845070423</v>
      </c>
      <c r="K132" s="32" t="str">
        <f aca="false">IF(I132&lt;=$E$4,"A",IF(I132&lt;=$E$5,"B","C"))</f>
        <v>A</v>
      </c>
    </row>
    <row r="133" customFormat="false" ht="15" hidden="false" customHeight="false" outlineLevel="0" collapsed="false">
      <c r="A133" s="32" t="n">
        <v>126</v>
      </c>
      <c r="B133" s="33" t="n">
        <v>1468880</v>
      </c>
      <c r="C133" s="34" t="s">
        <v>307</v>
      </c>
      <c r="D133" s="34" t="s">
        <v>308</v>
      </c>
      <c r="E133" s="34" t="s">
        <v>75</v>
      </c>
      <c r="F133" s="32" t="n">
        <f aca="false">COUNTIF(Base!$D$2:$D$2878,B133)</f>
        <v>1</v>
      </c>
      <c r="G133" s="35" t="n">
        <f aca="false">SUMIF(Base!$D$2:$D$2878,B133,Base!$I$2:$I$2878)</f>
        <v>20290</v>
      </c>
      <c r="H133" s="36" t="n">
        <f aca="false">IF($G$2849=0,0,G133/$G$2849)</f>
        <v>0.00133147497213376</v>
      </c>
      <c r="I133" s="37" t="n">
        <f aca="false">I132+H133</f>
        <v>0.68728924114903</v>
      </c>
      <c r="J133" s="37" t="n">
        <f aca="false">A133/2840</f>
        <v>0.0443661971830986</v>
      </c>
      <c r="K133" s="32" t="str">
        <f aca="false">IF(I133&lt;=$E$4,"A",IF(I133&lt;=$E$5,"B","C"))</f>
        <v>A</v>
      </c>
    </row>
    <row r="134" customFormat="false" ht="15" hidden="false" customHeight="false" outlineLevel="0" collapsed="false">
      <c r="A134" s="32" t="n">
        <v>127</v>
      </c>
      <c r="B134" s="33" t="n">
        <v>1487449</v>
      </c>
      <c r="C134" s="34" t="s">
        <v>309</v>
      </c>
      <c r="D134" s="34" t="s">
        <v>310</v>
      </c>
      <c r="E134" s="34" t="s">
        <v>54</v>
      </c>
      <c r="F134" s="32" t="n">
        <f aca="false">COUNTIF(Base!$D$2:$D$2878,B134)</f>
        <v>1</v>
      </c>
      <c r="G134" s="35" t="n">
        <f aca="false">SUMIF(Base!$D$2:$D$2878,B134,Base!$I$2:$I$2878)</f>
        <v>20213</v>
      </c>
      <c r="H134" s="36" t="n">
        <f aca="false">IF($G$2849=0,0,G134/$G$2849)</f>
        <v>0.00132642206070674</v>
      </c>
      <c r="I134" s="37" t="n">
        <f aca="false">I133+H134</f>
        <v>0.688615663209736</v>
      </c>
      <c r="J134" s="37" t="n">
        <f aca="false">A134/2840</f>
        <v>0.0447183098591549</v>
      </c>
      <c r="K134" s="32" t="str">
        <f aca="false">IF(I134&lt;=$E$4,"A",IF(I134&lt;=$E$5,"B","C"))</f>
        <v>A</v>
      </c>
    </row>
    <row r="135" customFormat="false" ht="15" hidden="false" customHeight="false" outlineLevel="0" collapsed="false">
      <c r="A135" s="32" t="n">
        <v>128</v>
      </c>
      <c r="B135" s="33" t="n">
        <v>826451</v>
      </c>
      <c r="C135" s="34" t="s">
        <v>311</v>
      </c>
      <c r="D135" s="34" t="s">
        <v>312</v>
      </c>
      <c r="E135" s="34" t="s">
        <v>38</v>
      </c>
      <c r="F135" s="32" t="n">
        <f aca="false">COUNTIF(Base!$D$2:$D$2878,B135)</f>
        <v>1</v>
      </c>
      <c r="G135" s="35" t="n">
        <f aca="false">SUMIF(Base!$D$2:$D$2878,B135,Base!$I$2:$I$2878)</f>
        <v>20172</v>
      </c>
      <c r="H135" s="36" t="n">
        <f aca="false">IF($G$2849=0,0,G135/$G$2849)</f>
        <v>0.00132373154942742</v>
      </c>
      <c r="I135" s="37" t="n">
        <f aca="false">I134+H135</f>
        <v>0.689939394759164</v>
      </c>
      <c r="J135" s="37" t="n">
        <f aca="false">A135/2840</f>
        <v>0.0450704225352113</v>
      </c>
      <c r="K135" s="32" t="str">
        <f aca="false">IF(I135&lt;=$E$4,"A",IF(I135&lt;=$E$5,"B","C"))</f>
        <v>A</v>
      </c>
    </row>
    <row r="136" customFormat="false" ht="15" hidden="false" customHeight="false" outlineLevel="0" collapsed="false">
      <c r="A136" s="32" t="n">
        <v>129</v>
      </c>
      <c r="B136" s="33" t="n">
        <v>1469195</v>
      </c>
      <c r="C136" s="34" t="s">
        <v>313</v>
      </c>
      <c r="D136" s="34" t="s">
        <v>314</v>
      </c>
      <c r="E136" s="34" t="s">
        <v>100</v>
      </c>
      <c r="F136" s="32" t="n">
        <f aca="false">COUNTIF(Base!$D$2:$D$2878,B136)</f>
        <v>1</v>
      </c>
      <c r="G136" s="35" t="n">
        <f aca="false">SUMIF(Base!$D$2:$D$2878,B136,Base!$I$2:$I$2878)</f>
        <v>20160</v>
      </c>
      <c r="H136" s="36" t="n">
        <f aca="false">IF($G$2849=0,0,G136/$G$2849)</f>
        <v>0.00132294408271152</v>
      </c>
      <c r="I136" s="37" t="n">
        <f aca="false">I135+H136</f>
        <v>0.691262338841875</v>
      </c>
      <c r="J136" s="37" t="n">
        <f aca="false">A136/2840</f>
        <v>0.0454225352112676</v>
      </c>
      <c r="K136" s="32" t="str">
        <f aca="false">IF(I136&lt;=$E$4,"A",IF(I136&lt;=$E$5,"B","C"))</f>
        <v>A</v>
      </c>
    </row>
    <row r="137" customFormat="false" ht="15" hidden="false" customHeight="false" outlineLevel="0" collapsed="false">
      <c r="A137" s="32" t="n">
        <v>130</v>
      </c>
      <c r="B137" s="33" t="n">
        <v>1326678</v>
      </c>
      <c r="C137" s="34" t="s">
        <v>315</v>
      </c>
      <c r="D137" s="34" t="s">
        <v>316</v>
      </c>
      <c r="E137" s="34" t="s">
        <v>38</v>
      </c>
      <c r="F137" s="32" t="n">
        <f aca="false">COUNTIF(Base!$D$2:$D$2878,B137)</f>
        <v>1</v>
      </c>
      <c r="G137" s="35" t="n">
        <f aca="false">SUMIF(Base!$D$2:$D$2878,B137,Base!$I$2:$I$2878)</f>
        <v>19173.4</v>
      </c>
      <c r="H137" s="36" t="n">
        <f aca="false">IF($G$2849=0,0,G137/$G$2849)</f>
        <v>0.0012582011942193</v>
      </c>
      <c r="I137" s="37" t="n">
        <f aca="false">I136+H137</f>
        <v>0.692520540036095</v>
      </c>
      <c r="J137" s="37" t="n">
        <f aca="false">A137/2840</f>
        <v>0.0457746478873239</v>
      </c>
      <c r="K137" s="32" t="str">
        <f aca="false">IF(I137&lt;=$E$4,"A",IF(I137&lt;=$E$5,"B","C"))</f>
        <v>A</v>
      </c>
    </row>
    <row r="138" customFormat="false" ht="15" hidden="false" customHeight="false" outlineLevel="0" collapsed="false">
      <c r="A138" s="32" t="n">
        <v>131</v>
      </c>
      <c r="B138" s="33" t="n">
        <v>34194</v>
      </c>
      <c r="C138" s="34" t="s">
        <v>317</v>
      </c>
      <c r="D138" s="34" t="s">
        <v>318</v>
      </c>
      <c r="E138" s="34" t="s">
        <v>93</v>
      </c>
      <c r="F138" s="32" t="n">
        <f aca="false">COUNTIF(Base!$D$2:$D$2878,B138)</f>
        <v>1</v>
      </c>
      <c r="G138" s="35" t="n">
        <f aca="false">SUMIF(Base!$D$2:$D$2878,B138,Base!$I$2:$I$2878)</f>
        <v>19100</v>
      </c>
      <c r="H138" s="36" t="n">
        <f aca="false">IF($G$2849=0,0,G138/$G$2849)</f>
        <v>0.00125338452280704</v>
      </c>
      <c r="I138" s="37" t="n">
        <f aca="false">I137+H138</f>
        <v>0.693773924558902</v>
      </c>
      <c r="J138" s="37" t="n">
        <f aca="false">A138/2840</f>
        <v>0.0461267605633803</v>
      </c>
      <c r="K138" s="32" t="str">
        <f aca="false">IF(I138&lt;=$E$4,"A",IF(I138&lt;=$E$5,"B","C"))</f>
        <v>A</v>
      </c>
    </row>
    <row r="139" customFormat="false" ht="15" hidden="false" customHeight="false" outlineLevel="0" collapsed="false">
      <c r="A139" s="32" t="n">
        <v>132</v>
      </c>
      <c r="B139" s="33" t="n">
        <v>1461991</v>
      </c>
      <c r="C139" s="34" t="s">
        <v>319</v>
      </c>
      <c r="D139" s="34" t="s">
        <v>320</v>
      </c>
      <c r="E139" s="34" t="s">
        <v>321</v>
      </c>
      <c r="F139" s="32" t="n">
        <f aca="false">COUNTIF(Base!$D$2:$D$2878,B139)</f>
        <v>1</v>
      </c>
      <c r="G139" s="35" t="n">
        <f aca="false">SUMIF(Base!$D$2:$D$2878,B139,Base!$I$2:$I$2878)</f>
        <v>19082</v>
      </c>
      <c r="H139" s="36" t="n">
        <f aca="false">IF($G$2849=0,0,G139/$G$2849)</f>
        <v>0.00125220332273319</v>
      </c>
      <c r="I139" s="37" t="n">
        <f aca="false">I138+H139</f>
        <v>0.695026127881635</v>
      </c>
      <c r="J139" s="37" t="n">
        <f aca="false">A139/2840</f>
        <v>0.0464788732394366</v>
      </c>
      <c r="K139" s="32" t="str">
        <f aca="false">IF(I139&lt;=$E$4,"A",IF(I139&lt;=$E$5,"B","C"))</f>
        <v>A</v>
      </c>
    </row>
    <row r="140" customFormat="false" ht="15" hidden="false" customHeight="false" outlineLevel="0" collapsed="false">
      <c r="A140" s="32" t="n">
        <v>133</v>
      </c>
      <c r="B140" s="33" t="n">
        <v>1666361</v>
      </c>
      <c r="C140" s="34" t="s">
        <v>322</v>
      </c>
      <c r="D140" s="34" t="s">
        <v>323</v>
      </c>
      <c r="E140" s="34" t="s">
        <v>100</v>
      </c>
      <c r="F140" s="32" t="n">
        <f aca="false">COUNTIF(Base!$D$2:$D$2878,B140)</f>
        <v>1</v>
      </c>
      <c r="G140" s="35" t="n">
        <f aca="false">SUMIF(Base!$D$2:$D$2878,B140,Base!$I$2:$I$2878)</f>
        <v>18667.84</v>
      </c>
      <c r="H140" s="36" t="n">
        <f aca="false">IF($G$2849=0,0,G140/$G$2849)</f>
        <v>0.00122502522147844</v>
      </c>
      <c r="I140" s="37" t="n">
        <f aca="false">I139+H140</f>
        <v>0.696251153103113</v>
      </c>
      <c r="J140" s="37" t="n">
        <f aca="false">A140/2840</f>
        <v>0.046830985915493</v>
      </c>
      <c r="K140" s="32" t="str">
        <f aca="false">IF(I140&lt;=$E$4,"A",IF(I140&lt;=$E$5,"B","C"))</f>
        <v>A</v>
      </c>
    </row>
    <row r="141" customFormat="false" ht="15" hidden="false" customHeight="false" outlineLevel="0" collapsed="false">
      <c r="A141" s="32" t="n">
        <v>134</v>
      </c>
      <c r="B141" s="33" t="n">
        <v>226963</v>
      </c>
      <c r="C141" s="34" t="s">
        <v>324</v>
      </c>
      <c r="D141" s="34" t="s">
        <v>325</v>
      </c>
      <c r="E141" s="34" t="s">
        <v>38</v>
      </c>
      <c r="F141" s="32" t="n">
        <f aca="false">COUNTIF(Base!$D$2:$D$2878,B141)</f>
        <v>1</v>
      </c>
      <c r="G141" s="35" t="n">
        <f aca="false">SUMIF(Base!$D$2:$D$2878,B141,Base!$I$2:$I$2878)</f>
        <v>18480</v>
      </c>
      <c r="H141" s="36" t="n">
        <f aca="false">IF($G$2849=0,0,G141/$G$2849)</f>
        <v>0.00121269874248556</v>
      </c>
      <c r="I141" s="37" t="n">
        <f aca="false">I140+H141</f>
        <v>0.697463851845599</v>
      </c>
      <c r="J141" s="37" t="n">
        <f aca="false">A141/2840</f>
        <v>0.0471830985915493</v>
      </c>
      <c r="K141" s="32" t="str">
        <f aca="false">IF(I141&lt;=$E$4,"A",IF(I141&lt;=$E$5,"B","C"))</f>
        <v>A</v>
      </c>
    </row>
    <row r="142" customFormat="false" ht="15" hidden="false" customHeight="false" outlineLevel="0" collapsed="false">
      <c r="A142" s="32" t="n">
        <v>135</v>
      </c>
      <c r="B142" s="33" t="n">
        <v>1387996</v>
      </c>
      <c r="C142" s="34" t="s">
        <v>326</v>
      </c>
      <c r="D142" s="34" t="s">
        <v>327</v>
      </c>
      <c r="E142" s="34" t="s">
        <v>38</v>
      </c>
      <c r="F142" s="32" t="n">
        <f aca="false">COUNTIF(Base!$D$2:$D$2878,B142)</f>
        <v>1</v>
      </c>
      <c r="G142" s="35" t="n">
        <f aca="false">SUMIF(Base!$D$2:$D$2878,B142,Base!$I$2:$I$2878)</f>
        <v>18283.43</v>
      </c>
      <c r="H142" s="36" t="n">
        <f aca="false">IF($G$2849=0,0,G142/$G$2849)</f>
        <v>0.00119979938145686</v>
      </c>
      <c r="I142" s="37" t="n">
        <f aca="false">I141+H142</f>
        <v>0.698663651227056</v>
      </c>
      <c r="J142" s="37" t="n">
        <f aca="false">A142/2840</f>
        <v>0.0475352112676056</v>
      </c>
      <c r="K142" s="32" t="str">
        <f aca="false">IF(I142&lt;=$E$4,"A",IF(I142&lt;=$E$5,"B","C"))</f>
        <v>A</v>
      </c>
    </row>
    <row r="143" customFormat="false" ht="15" hidden="false" customHeight="false" outlineLevel="0" collapsed="false">
      <c r="A143" s="32" t="n">
        <v>136</v>
      </c>
      <c r="B143" s="33" t="n">
        <v>1011111</v>
      </c>
      <c r="C143" s="34" t="s">
        <v>328</v>
      </c>
      <c r="D143" s="34" t="s">
        <v>329</v>
      </c>
      <c r="E143" s="34" t="s">
        <v>133</v>
      </c>
      <c r="F143" s="32" t="n">
        <f aca="false">COUNTIF(Base!$D$2:$D$2878,B143)</f>
        <v>1</v>
      </c>
      <c r="G143" s="35" t="n">
        <f aca="false">SUMIF(Base!$D$2:$D$2878,B143,Base!$I$2:$I$2878)</f>
        <v>18212.1</v>
      </c>
      <c r="H143" s="36" t="n">
        <f aca="false">IF($G$2849=0,0,G143/$G$2849)</f>
        <v>0.0011951185480531</v>
      </c>
      <c r="I143" s="37" t="n">
        <f aca="false">I142+H143</f>
        <v>0.699858769775109</v>
      </c>
      <c r="J143" s="37" t="n">
        <f aca="false">A143/2840</f>
        <v>0.047887323943662</v>
      </c>
      <c r="K143" s="32" t="str">
        <f aca="false">IF(I143&lt;=$E$4,"A",IF(I143&lt;=$E$5,"B","C"))</f>
        <v>A</v>
      </c>
    </row>
    <row r="144" customFormat="false" ht="15" hidden="false" customHeight="false" outlineLevel="0" collapsed="false">
      <c r="A144" s="32" t="n">
        <v>137</v>
      </c>
      <c r="B144" s="33" t="n">
        <v>1540251</v>
      </c>
      <c r="C144" s="34" t="s">
        <v>330</v>
      </c>
      <c r="D144" s="34" t="s">
        <v>331</v>
      </c>
      <c r="E144" s="34" t="s">
        <v>38</v>
      </c>
      <c r="F144" s="32" t="n">
        <f aca="false">COUNTIF(Base!$D$2:$D$2878,B144)</f>
        <v>1</v>
      </c>
      <c r="G144" s="35" t="n">
        <f aca="false">SUMIF(Base!$D$2:$D$2878,B144,Base!$I$2:$I$2878)</f>
        <v>17915.7</v>
      </c>
      <c r="H144" s="36" t="n">
        <f aca="false">IF($G$2849=0,0,G144/$G$2849)</f>
        <v>0.00117566812017037</v>
      </c>
      <c r="I144" s="37" t="n">
        <f aca="false">I143+H144</f>
        <v>0.701034437895279</v>
      </c>
      <c r="J144" s="37" t="n">
        <f aca="false">A144/2840</f>
        <v>0.0482394366197183</v>
      </c>
      <c r="K144" s="32" t="str">
        <f aca="false">IF(I144&lt;=$E$4,"A",IF(I144&lt;=$E$5,"B","C"))</f>
        <v>A</v>
      </c>
    </row>
    <row r="145" customFormat="false" ht="15" hidden="false" customHeight="false" outlineLevel="0" collapsed="false">
      <c r="A145" s="32" t="n">
        <v>138</v>
      </c>
      <c r="B145" s="33" t="n">
        <v>21457</v>
      </c>
      <c r="C145" s="34" t="s">
        <v>332</v>
      </c>
      <c r="D145" s="34" t="s">
        <v>333</v>
      </c>
      <c r="E145" s="34" t="s">
        <v>334</v>
      </c>
      <c r="F145" s="32" t="n">
        <f aca="false">COUNTIF(Base!$D$2:$D$2878,B145)</f>
        <v>1</v>
      </c>
      <c r="G145" s="35" t="n">
        <f aca="false">SUMIF(Base!$D$2:$D$2878,B145,Base!$I$2:$I$2878)</f>
        <v>17907.49</v>
      </c>
      <c r="H145" s="36" t="n">
        <f aca="false">IF($G$2849=0,0,G145/$G$2849)</f>
        <v>0.00117512936169225</v>
      </c>
      <c r="I145" s="37" t="n">
        <f aca="false">I144+H145</f>
        <v>0.702209567256971</v>
      </c>
      <c r="J145" s="37" t="n">
        <f aca="false">A145/2840</f>
        <v>0.0485915492957746</v>
      </c>
      <c r="K145" s="32" t="str">
        <f aca="false">IF(I145&lt;=$E$4,"A",IF(I145&lt;=$E$5,"B","C"))</f>
        <v>A</v>
      </c>
    </row>
    <row r="146" customFormat="false" ht="15" hidden="false" customHeight="false" outlineLevel="0" collapsed="false">
      <c r="A146" s="32" t="n">
        <v>139</v>
      </c>
      <c r="B146" s="33" t="n">
        <v>425806</v>
      </c>
      <c r="C146" s="34" t="s">
        <v>335</v>
      </c>
      <c r="D146" s="34" t="s">
        <v>336</v>
      </c>
      <c r="E146" s="34" t="s">
        <v>75</v>
      </c>
      <c r="F146" s="32" t="n">
        <f aca="false">COUNTIF(Base!$D$2:$D$2878,B146)</f>
        <v>1</v>
      </c>
      <c r="G146" s="35" t="n">
        <f aca="false">SUMIF(Base!$D$2:$D$2878,B146,Base!$I$2:$I$2878)</f>
        <v>17880</v>
      </c>
      <c r="H146" s="36" t="n">
        <f aca="false">IF($G$2849=0,0,G146/$G$2849)</f>
        <v>0.00117332540669057</v>
      </c>
      <c r="I146" s="37" t="n">
        <f aca="false">I145+H146</f>
        <v>0.703382892663662</v>
      </c>
      <c r="J146" s="37" t="n">
        <f aca="false">A146/2840</f>
        <v>0.048943661971831</v>
      </c>
      <c r="K146" s="32" t="str">
        <f aca="false">IF(I146&lt;=$E$4,"A",IF(I146&lt;=$E$5,"B","C"))</f>
        <v>A</v>
      </c>
    </row>
    <row r="147" customFormat="false" ht="15" hidden="false" customHeight="false" outlineLevel="0" collapsed="false">
      <c r="A147" s="32" t="n">
        <v>140</v>
      </c>
      <c r="B147" s="33" t="n">
        <v>1387969</v>
      </c>
      <c r="C147" s="34" t="s">
        <v>337</v>
      </c>
      <c r="D147" s="34" t="s">
        <v>338</v>
      </c>
      <c r="E147" s="34" t="s">
        <v>38</v>
      </c>
      <c r="F147" s="32" t="n">
        <f aca="false">COUNTIF(Base!$D$2:$D$2878,B147)</f>
        <v>1</v>
      </c>
      <c r="G147" s="35" t="n">
        <f aca="false">SUMIF(Base!$D$2:$D$2878,B147,Base!$I$2:$I$2878)</f>
        <v>17234.24</v>
      </c>
      <c r="H147" s="36" t="n">
        <f aca="false">IF($G$2849=0,0,G147/$G$2849)</f>
        <v>0.00113094919781895</v>
      </c>
      <c r="I147" s="37" t="n">
        <f aca="false">I146+H147</f>
        <v>0.704513841861481</v>
      </c>
      <c r="J147" s="37" t="n">
        <f aca="false">A147/2840</f>
        <v>0.0492957746478873</v>
      </c>
      <c r="K147" s="32" t="str">
        <f aca="false">IF(I147&lt;=$E$4,"A",IF(I147&lt;=$E$5,"B","C"))</f>
        <v>A</v>
      </c>
    </row>
    <row r="148" customFormat="false" ht="15" hidden="false" customHeight="false" outlineLevel="0" collapsed="false">
      <c r="A148" s="32" t="n">
        <v>141</v>
      </c>
      <c r="B148" s="33" t="n">
        <v>1385279</v>
      </c>
      <c r="C148" s="34" t="s">
        <v>339</v>
      </c>
      <c r="D148" s="34" t="s">
        <v>340</v>
      </c>
      <c r="E148" s="34" t="s">
        <v>38</v>
      </c>
      <c r="F148" s="32" t="n">
        <f aca="false">COUNTIF(Base!$D$2:$D$2878,B148)</f>
        <v>1</v>
      </c>
      <c r="G148" s="35" t="n">
        <f aca="false">SUMIF(Base!$D$2:$D$2878,B148,Base!$I$2:$I$2878)</f>
        <v>17218.14</v>
      </c>
      <c r="H148" s="36" t="n">
        <f aca="false">IF($G$2849=0,0,G148/$G$2849)</f>
        <v>0.00112989267997512</v>
      </c>
      <c r="I148" s="37" t="n">
        <f aca="false">I147+H148</f>
        <v>0.705643734541456</v>
      </c>
      <c r="J148" s="37" t="n">
        <f aca="false">A148/2840</f>
        <v>0.0496478873239437</v>
      </c>
      <c r="K148" s="32" t="str">
        <f aca="false">IF(I148&lt;=$E$4,"A",IF(I148&lt;=$E$5,"B","C"))</f>
        <v>A</v>
      </c>
    </row>
    <row r="149" customFormat="false" ht="15" hidden="false" customHeight="false" outlineLevel="0" collapsed="false">
      <c r="A149" s="32" t="n">
        <v>142</v>
      </c>
      <c r="B149" s="33" t="n">
        <v>879648</v>
      </c>
      <c r="C149" s="34" t="s">
        <v>341</v>
      </c>
      <c r="D149" s="34" t="s">
        <v>342</v>
      </c>
      <c r="E149" s="34" t="s">
        <v>113</v>
      </c>
      <c r="F149" s="32" t="n">
        <f aca="false">COUNTIF(Base!$D$2:$D$2878,B149)</f>
        <v>1</v>
      </c>
      <c r="G149" s="35" t="n">
        <f aca="false">SUMIF(Base!$D$2:$D$2878,B149,Base!$I$2:$I$2878)</f>
        <v>17100</v>
      </c>
      <c r="H149" s="36" t="n">
        <f aca="false">IF($G$2849=0,0,G149/$G$2849)</f>
        <v>0.00112214007015709</v>
      </c>
      <c r="I149" s="37" t="n">
        <f aca="false">I148+H149</f>
        <v>0.706765874611613</v>
      </c>
      <c r="J149" s="37" t="n">
        <f aca="false">A149/2840</f>
        <v>0.05</v>
      </c>
      <c r="K149" s="32" t="str">
        <f aca="false">IF(I149&lt;=$E$4,"A",IF(I149&lt;=$E$5,"B","C"))</f>
        <v>A</v>
      </c>
    </row>
    <row r="150" customFormat="false" ht="15" hidden="false" customHeight="false" outlineLevel="0" collapsed="false">
      <c r="A150" s="32" t="n">
        <v>143</v>
      </c>
      <c r="B150" s="33" t="n">
        <v>22163</v>
      </c>
      <c r="C150" s="34" t="s">
        <v>343</v>
      </c>
      <c r="D150" s="34" t="s">
        <v>344</v>
      </c>
      <c r="E150" s="34" t="s">
        <v>75</v>
      </c>
      <c r="F150" s="32" t="n">
        <f aca="false">COUNTIF(Base!$D$2:$D$2878,B150)</f>
        <v>1</v>
      </c>
      <c r="G150" s="35" t="n">
        <f aca="false">SUMIF(Base!$D$2:$D$2878,B150,Base!$I$2:$I$2878)</f>
        <v>17043.39</v>
      </c>
      <c r="H150" s="36" t="n">
        <f aca="false">IF($G$2849=0,0,G150/$G$2849)</f>
        <v>0.00111842519592483</v>
      </c>
      <c r="I150" s="37" t="n">
        <f aca="false">I149+H150</f>
        <v>0.707884299807538</v>
      </c>
      <c r="J150" s="37" t="n">
        <f aca="false">A150/2840</f>
        <v>0.0503521126760563</v>
      </c>
      <c r="K150" s="32" t="str">
        <f aca="false">IF(I150&lt;=$E$4,"A",IF(I150&lt;=$E$5,"B","C"))</f>
        <v>A</v>
      </c>
    </row>
    <row r="151" customFormat="false" ht="15" hidden="false" customHeight="false" outlineLevel="0" collapsed="false">
      <c r="A151" s="32" t="n">
        <v>144</v>
      </c>
      <c r="B151" s="33" t="n">
        <v>32387</v>
      </c>
      <c r="C151" s="34" t="s">
        <v>345</v>
      </c>
      <c r="D151" s="34" t="s">
        <v>346</v>
      </c>
      <c r="E151" s="34" t="s">
        <v>47</v>
      </c>
      <c r="F151" s="32" t="n">
        <f aca="false">COUNTIF(Base!$D$2:$D$2878,B151)</f>
        <v>1</v>
      </c>
      <c r="G151" s="35" t="n">
        <f aca="false">SUMIF(Base!$D$2:$D$2878,B151,Base!$I$2:$I$2878)</f>
        <v>16945.59</v>
      </c>
      <c r="H151" s="36" t="n">
        <f aca="false">IF($G$2849=0,0,G151/$G$2849)</f>
        <v>0.00111200734219025</v>
      </c>
      <c r="I151" s="37" t="n">
        <f aca="false">I150+H151</f>
        <v>0.708996307149728</v>
      </c>
      <c r="J151" s="37" t="n">
        <f aca="false">A151/2840</f>
        <v>0.0507042253521127</v>
      </c>
      <c r="K151" s="32" t="str">
        <f aca="false">IF(I151&lt;=$E$4,"A",IF(I151&lt;=$E$5,"B","C"))</f>
        <v>A</v>
      </c>
    </row>
    <row r="152" customFormat="false" ht="15" hidden="false" customHeight="false" outlineLevel="0" collapsed="false">
      <c r="A152" s="32" t="n">
        <v>145</v>
      </c>
      <c r="B152" s="33" t="n">
        <v>1383225</v>
      </c>
      <c r="C152" s="34" t="s">
        <v>347</v>
      </c>
      <c r="D152" s="34" t="s">
        <v>348</v>
      </c>
      <c r="E152" s="34" t="s">
        <v>38</v>
      </c>
      <c r="F152" s="32" t="n">
        <f aca="false">COUNTIF(Base!$D$2:$D$2878,B152)</f>
        <v>1</v>
      </c>
      <c r="G152" s="35" t="n">
        <f aca="false">SUMIF(Base!$D$2:$D$2878,B152,Base!$I$2:$I$2878)</f>
        <v>16940.64</v>
      </c>
      <c r="H152" s="36" t="n">
        <f aca="false">IF($G$2849=0,0,G152/$G$2849)</f>
        <v>0.00111168251216994</v>
      </c>
      <c r="I152" s="37" t="n">
        <f aca="false">I151+H152</f>
        <v>0.710107989661898</v>
      </c>
      <c r="J152" s="37" t="n">
        <f aca="false">A152/2840</f>
        <v>0.051056338028169</v>
      </c>
      <c r="K152" s="32" t="str">
        <f aca="false">IF(I152&lt;=$E$4,"A",IF(I152&lt;=$E$5,"B","C"))</f>
        <v>A</v>
      </c>
    </row>
    <row r="153" customFormat="false" ht="15" hidden="false" customHeight="false" outlineLevel="0" collapsed="false">
      <c r="A153" s="32" t="n">
        <v>146</v>
      </c>
      <c r="B153" s="33" t="n">
        <v>1470345</v>
      </c>
      <c r="C153" s="34" t="s">
        <v>349</v>
      </c>
      <c r="D153" s="34" t="s">
        <v>350</v>
      </c>
      <c r="E153" s="34" t="s">
        <v>130</v>
      </c>
      <c r="F153" s="32" t="n">
        <f aca="false">COUNTIF(Base!$D$2:$D$2878,B153)</f>
        <v>1</v>
      </c>
      <c r="G153" s="35" t="n">
        <f aca="false">SUMIF(Base!$D$2:$D$2878,B153,Base!$I$2:$I$2878)</f>
        <v>16840</v>
      </c>
      <c r="H153" s="36" t="n">
        <f aca="false">IF($G$2849=0,0,G153/$G$2849)</f>
        <v>0.0011050782913126</v>
      </c>
      <c r="I153" s="37" t="n">
        <f aca="false">I152+H153</f>
        <v>0.711213067953211</v>
      </c>
      <c r="J153" s="37" t="n">
        <f aca="false">A153/2840</f>
        <v>0.0514084507042254</v>
      </c>
      <c r="K153" s="32" t="str">
        <f aca="false">IF(I153&lt;=$E$4,"A",IF(I153&lt;=$E$5,"B","C"))</f>
        <v>A</v>
      </c>
    </row>
    <row r="154" customFormat="false" ht="15" hidden="false" customHeight="false" outlineLevel="0" collapsed="false">
      <c r="A154" s="32" t="n">
        <v>147</v>
      </c>
      <c r="B154" s="33" t="n">
        <v>939998</v>
      </c>
      <c r="C154" s="34" t="s">
        <v>351</v>
      </c>
      <c r="D154" s="34" t="s">
        <v>352</v>
      </c>
      <c r="E154" s="34" t="s">
        <v>113</v>
      </c>
      <c r="F154" s="32" t="n">
        <f aca="false">COUNTIF(Base!$D$2:$D$2878,B154)</f>
        <v>1</v>
      </c>
      <c r="G154" s="35" t="n">
        <f aca="false">SUMIF(Base!$D$2:$D$2878,B154,Base!$I$2:$I$2878)</f>
        <v>16809.9</v>
      </c>
      <c r="H154" s="36" t="n">
        <f aca="false">IF($G$2849=0,0,G154/$G$2849)</f>
        <v>0.00110310306230021</v>
      </c>
      <c r="I154" s="37" t="n">
        <f aca="false">I153+H154</f>
        <v>0.712316171015511</v>
      </c>
      <c r="J154" s="37" t="n">
        <f aca="false">A154/2840</f>
        <v>0.0517605633802817</v>
      </c>
      <c r="K154" s="32" t="str">
        <f aca="false">IF(I154&lt;=$E$4,"A",IF(I154&lt;=$E$5,"B","C"))</f>
        <v>A</v>
      </c>
    </row>
    <row r="155" customFormat="false" ht="15" hidden="false" customHeight="false" outlineLevel="0" collapsed="false">
      <c r="A155" s="32" t="n">
        <v>148</v>
      </c>
      <c r="B155" s="33" t="n">
        <v>388955</v>
      </c>
      <c r="C155" s="34" t="s">
        <v>353</v>
      </c>
      <c r="D155" s="34" t="s">
        <v>354</v>
      </c>
      <c r="E155" s="34" t="s">
        <v>355</v>
      </c>
      <c r="F155" s="32" t="n">
        <f aca="false">COUNTIF(Base!$D$2:$D$2878,B155)</f>
        <v>1</v>
      </c>
      <c r="G155" s="35" t="n">
        <f aca="false">SUMIF(Base!$D$2:$D$2878,B155,Base!$I$2:$I$2878)</f>
        <v>16716</v>
      </c>
      <c r="H155" s="36" t="n">
        <f aca="false">IF($G$2849=0,0,G155/$G$2849)</f>
        <v>0.0010969411352483</v>
      </c>
      <c r="I155" s="37" t="n">
        <f aca="false">I154+H155</f>
        <v>0.713413112150759</v>
      </c>
      <c r="J155" s="37" t="n">
        <f aca="false">A155/2840</f>
        <v>0.052112676056338</v>
      </c>
      <c r="K155" s="32" t="str">
        <f aca="false">IF(I155&lt;=$E$4,"A",IF(I155&lt;=$E$5,"B","C"))</f>
        <v>A</v>
      </c>
    </row>
    <row r="156" customFormat="false" ht="15" hidden="false" customHeight="false" outlineLevel="0" collapsed="false">
      <c r="A156" s="32" t="n">
        <v>149</v>
      </c>
      <c r="B156" s="33" t="n">
        <v>1105338</v>
      </c>
      <c r="C156" s="34" t="s">
        <v>356</v>
      </c>
      <c r="D156" s="34" t="s">
        <v>357</v>
      </c>
      <c r="E156" s="34" t="s">
        <v>100</v>
      </c>
      <c r="F156" s="32" t="n">
        <f aca="false">COUNTIF(Base!$D$2:$D$2878,B156)</f>
        <v>1</v>
      </c>
      <c r="G156" s="35" t="n">
        <f aca="false">SUMIF(Base!$D$2:$D$2878,B156,Base!$I$2:$I$2878)</f>
        <v>16572</v>
      </c>
      <c r="H156" s="36" t="n">
        <f aca="false">IF($G$2849=0,0,G156/$G$2849)</f>
        <v>0.0010874915346575</v>
      </c>
      <c r="I156" s="37" t="n">
        <f aca="false">I155+H156</f>
        <v>0.714500603685417</v>
      </c>
      <c r="J156" s="37" t="n">
        <f aca="false">A156/2840</f>
        <v>0.0524647887323944</v>
      </c>
      <c r="K156" s="32" t="str">
        <f aca="false">IF(I156&lt;=$E$4,"A",IF(I156&lt;=$E$5,"B","C"))</f>
        <v>A</v>
      </c>
    </row>
    <row r="157" customFormat="false" ht="15" hidden="false" customHeight="false" outlineLevel="0" collapsed="false">
      <c r="A157" s="32" t="n">
        <v>150</v>
      </c>
      <c r="B157" s="33" t="n">
        <v>18985</v>
      </c>
      <c r="C157" s="34" t="s">
        <v>358</v>
      </c>
      <c r="D157" s="34" t="s">
        <v>359</v>
      </c>
      <c r="E157" s="34" t="s">
        <v>360</v>
      </c>
      <c r="F157" s="32" t="n">
        <f aca="false">COUNTIF(Base!$D$2:$D$2878,B157)</f>
        <v>1</v>
      </c>
      <c r="G157" s="35" t="n">
        <f aca="false">SUMIF(Base!$D$2:$D$2878,B157,Base!$I$2:$I$2878)</f>
        <v>16500</v>
      </c>
      <c r="H157" s="36" t="n">
        <f aca="false">IF($G$2849=0,0,G157/$G$2849)</f>
        <v>0.0010827667343621</v>
      </c>
      <c r="I157" s="37" t="n">
        <f aca="false">I156+H157</f>
        <v>0.715583370419779</v>
      </c>
      <c r="J157" s="37" t="n">
        <f aca="false">A157/2840</f>
        <v>0.0528169014084507</v>
      </c>
      <c r="K157" s="32" t="str">
        <f aca="false">IF(I157&lt;=$E$4,"A",IF(I157&lt;=$E$5,"B","C"))</f>
        <v>A</v>
      </c>
    </row>
    <row r="158" customFormat="false" ht="15" hidden="false" customHeight="false" outlineLevel="0" collapsed="false">
      <c r="A158" s="32" t="n">
        <v>151</v>
      </c>
      <c r="B158" s="33" t="n">
        <v>865896</v>
      </c>
      <c r="C158" s="34" t="s">
        <v>361</v>
      </c>
      <c r="D158" s="34" t="s">
        <v>362</v>
      </c>
      <c r="E158" s="34" t="s">
        <v>363</v>
      </c>
      <c r="F158" s="32" t="n">
        <f aca="false">COUNTIF(Base!$D$2:$D$2878,B158)</f>
        <v>1</v>
      </c>
      <c r="G158" s="35" t="n">
        <f aca="false">SUMIF(Base!$D$2:$D$2878,B158,Base!$I$2:$I$2878)</f>
        <v>16500</v>
      </c>
      <c r="H158" s="36" t="n">
        <f aca="false">IF($G$2849=0,0,G158/$G$2849)</f>
        <v>0.0010827667343621</v>
      </c>
      <c r="I158" s="37" t="n">
        <f aca="false">I157+H158</f>
        <v>0.716666137154141</v>
      </c>
      <c r="J158" s="37" t="n">
        <f aca="false">A158/2840</f>
        <v>0.053169014084507</v>
      </c>
      <c r="K158" s="32" t="str">
        <f aca="false">IF(I158&lt;=$E$4,"A",IF(I158&lt;=$E$5,"B","C"))</f>
        <v>A</v>
      </c>
    </row>
    <row r="159" customFormat="false" ht="15" hidden="false" customHeight="false" outlineLevel="0" collapsed="false">
      <c r="A159" s="32" t="n">
        <v>152</v>
      </c>
      <c r="B159" s="33" t="n">
        <v>53891</v>
      </c>
      <c r="C159" s="34" t="s">
        <v>364</v>
      </c>
      <c r="D159" s="34" t="s">
        <v>365</v>
      </c>
      <c r="E159" s="34" t="s">
        <v>247</v>
      </c>
      <c r="F159" s="32" t="n">
        <f aca="false">COUNTIF(Base!$D$2:$D$2878,B159)</f>
        <v>1</v>
      </c>
      <c r="G159" s="35" t="n">
        <f aca="false">SUMIF(Base!$D$2:$D$2878,B159,Base!$I$2:$I$2878)</f>
        <v>16371.94</v>
      </c>
      <c r="H159" s="36" t="n">
        <f aca="false">IF($G$2849=0,0,G159/$G$2849)</f>
        <v>0.00107436315205893</v>
      </c>
      <c r="I159" s="37" t="n">
        <f aca="false">I158+H159</f>
        <v>0.7177405003062</v>
      </c>
      <c r="J159" s="37" t="n">
        <f aca="false">A159/2840</f>
        <v>0.0535211267605634</v>
      </c>
      <c r="K159" s="32" t="str">
        <f aca="false">IF(I159&lt;=$E$4,"A",IF(I159&lt;=$E$5,"B","C"))</f>
        <v>A</v>
      </c>
    </row>
    <row r="160" customFormat="false" ht="15" hidden="false" customHeight="false" outlineLevel="0" collapsed="false">
      <c r="A160" s="32" t="n">
        <v>153</v>
      </c>
      <c r="B160" s="33" t="n">
        <v>1323070</v>
      </c>
      <c r="C160" s="34" t="s">
        <v>366</v>
      </c>
      <c r="D160" s="34" t="s">
        <v>367</v>
      </c>
      <c r="E160" s="34" t="s">
        <v>66</v>
      </c>
      <c r="F160" s="32" t="n">
        <f aca="false">COUNTIF(Base!$D$2:$D$2878,B160)</f>
        <v>1</v>
      </c>
      <c r="G160" s="35" t="n">
        <f aca="false">SUMIF(Base!$D$2:$D$2878,B160,Base!$I$2:$I$2878)</f>
        <v>16294.38</v>
      </c>
      <c r="H160" s="36" t="n">
        <f aca="false">IF($G$2849=0,0,G160/$G$2849)</f>
        <v>0.00106927349218516</v>
      </c>
      <c r="I160" s="37" t="n">
        <f aca="false">I159+H160</f>
        <v>0.718809773798385</v>
      </c>
      <c r="J160" s="37" t="n">
        <f aca="false">A160/2840</f>
        <v>0.0538732394366197</v>
      </c>
      <c r="K160" s="32" t="str">
        <f aca="false">IF(I160&lt;=$E$4,"A",IF(I160&lt;=$E$5,"B","C"))</f>
        <v>A</v>
      </c>
    </row>
    <row r="161" customFormat="false" ht="15" hidden="false" customHeight="false" outlineLevel="0" collapsed="false">
      <c r="A161" s="32" t="n">
        <v>154</v>
      </c>
      <c r="B161" s="33" t="n">
        <v>35544</v>
      </c>
      <c r="C161" s="34" t="s">
        <v>368</v>
      </c>
      <c r="D161" s="34" t="s">
        <v>369</v>
      </c>
      <c r="E161" s="34" t="s">
        <v>38</v>
      </c>
      <c r="F161" s="32" t="n">
        <f aca="false">COUNTIF(Base!$D$2:$D$2878,B161)</f>
        <v>1</v>
      </c>
      <c r="G161" s="35" t="n">
        <f aca="false">SUMIF(Base!$D$2:$D$2878,B161,Base!$I$2:$I$2878)</f>
        <v>16290</v>
      </c>
      <c r="H161" s="36" t="n">
        <f aca="false">IF($G$2849=0,0,G161/$G$2849)</f>
        <v>0.00106898606683386</v>
      </c>
      <c r="I161" s="37" t="n">
        <f aca="false">I160+H161</f>
        <v>0.719878759865219</v>
      </c>
      <c r="J161" s="37" t="n">
        <f aca="false">A161/2840</f>
        <v>0.0542253521126761</v>
      </c>
      <c r="K161" s="32" t="str">
        <f aca="false">IF(I161&lt;=$E$4,"A",IF(I161&lt;=$E$5,"B","C"))</f>
        <v>A</v>
      </c>
    </row>
    <row r="162" customFormat="false" ht="15" hidden="false" customHeight="false" outlineLevel="0" collapsed="false">
      <c r="A162" s="32" t="n">
        <v>155</v>
      </c>
      <c r="B162" s="33" t="n">
        <v>33591</v>
      </c>
      <c r="C162" s="34" t="s">
        <v>370</v>
      </c>
      <c r="D162" s="34" t="s">
        <v>371</v>
      </c>
      <c r="E162" s="34" t="s">
        <v>35</v>
      </c>
      <c r="F162" s="32" t="n">
        <f aca="false">COUNTIF(Base!$D$2:$D$2878,B162)</f>
        <v>1</v>
      </c>
      <c r="G162" s="35" t="n">
        <f aca="false">SUMIF(Base!$D$2:$D$2878,B162,Base!$I$2:$I$2878)</f>
        <v>16284.52</v>
      </c>
      <c r="H162" s="36" t="n">
        <f aca="false">IF($G$2849=0,0,G162/$G$2849)</f>
        <v>0.0010686264570336</v>
      </c>
      <c r="I162" s="37" t="n">
        <f aca="false">I161+H162</f>
        <v>0.720947386322253</v>
      </c>
      <c r="J162" s="37" t="n">
        <f aca="false">A162/2840</f>
        <v>0.0545774647887324</v>
      </c>
      <c r="K162" s="32" t="str">
        <f aca="false">IF(I162&lt;=$E$4,"A",IF(I162&lt;=$E$5,"B","C"))</f>
        <v>A</v>
      </c>
    </row>
    <row r="163" customFormat="false" ht="15" hidden="false" customHeight="false" outlineLevel="0" collapsed="false">
      <c r="A163" s="32" t="n">
        <v>156</v>
      </c>
      <c r="B163" s="33" t="n">
        <v>1614266</v>
      </c>
      <c r="C163" s="34" t="s">
        <v>372</v>
      </c>
      <c r="D163" s="34" t="s">
        <v>373</v>
      </c>
      <c r="E163" s="34" t="s">
        <v>38</v>
      </c>
      <c r="F163" s="32" t="n">
        <f aca="false">COUNTIF(Base!$D$2:$D$2878,B163)</f>
        <v>1</v>
      </c>
      <c r="G163" s="35" t="n">
        <f aca="false">SUMIF(Base!$D$2:$D$2878,B163,Base!$I$2:$I$2878)</f>
        <v>15938.84</v>
      </c>
      <c r="H163" s="36" t="n">
        <f aca="false">IF($G$2849=0,0,G163/$G$2849)</f>
        <v>0.00104594216583758</v>
      </c>
      <c r="I163" s="37" t="n">
        <f aca="false">I162+H163</f>
        <v>0.72199332848809</v>
      </c>
      <c r="J163" s="37" t="n">
        <f aca="false">A163/2840</f>
        <v>0.0549295774647887</v>
      </c>
      <c r="K163" s="32" t="str">
        <f aca="false">IF(I163&lt;=$E$4,"A",IF(I163&lt;=$E$5,"B","C"))</f>
        <v>A</v>
      </c>
    </row>
    <row r="164" customFormat="false" ht="15" hidden="false" customHeight="false" outlineLevel="0" collapsed="false">
      <c r="A164" s="32" t="n">
        <v>157</v>
      </c>
      <c r="B164" s="33" t="n">
        <v>1330568</v>
      </c>
      <c r="C164" s="34" t="s">
        <v>374</v>
      </c>
      <c r="D164" s="34" t="s">
        <v>375</v>
      </c>
      <c r="E164" s="34" t="s">
        <v>54</v>
      </c>
      <c r="F164" s="32" t="n">
        <f aca="false">COUNTIF(Base!$D$2:$D$2878,B164)</f>
        <v>1</v>
      </c>
      <c r="G164" s="35" t="n">
        <f aca="false">SUMIF(Base!$D$2:$D$2878,B164,Base!$I$2:$I$2878)</f>
        <v>15920</v>
      </c>
      <c r="H164" s="36" t="n">
        <f aca="false">IF($G$2849=0,0,G164/$G$2849)</f>
        <v>0.00104470584309362</v>
      </c>
      <c r="I164" s="37" t="n">
        <f aca="false">I163+H164</f>
        <v>0.723038034331184</v>
      </c>
      <c r="J164" s="37" t="n">
        <f aca="false">A164/2840</f>
        <v>0.0552816901408451</v>
      </c>
      <c r="K164" s="32" t="str">
        <f aca="false">IF(I164&lt;=$E$4,"A",IF(I164&lt;=$E$5,"B","C"))</f>
        <v>A</v>
      </c>
    </row>
    <row r="165" customFormat="false" ht="15" hidden="false" customHeight="false" outlineLevel="0" collapsed="false">
      <c r="A165" s="32" t="n">
        <v>158</v>
      </c>
      <c r="B165" s="33" t="n">
        <v>389170</v>
      </c>
      <c r="C165" s="34" t="s">
        <v>376</v>
      </c>
      <c r="D165" s="34" t="s">
        <v>377</v>
      </c>
      <c r="E165" s="34" t="s">
        <v>247</v>
      </c>
      <c r="F165" s="32" t="n">
        <f aca="false">COUNTIF(Base!$D$2:$D$2878,B165)</f>
        <v>1</v>
      </c>
      <c r="G165" s="35" t="n">
        <f aca="false">SUMIF(Base!$D$2:$D$2878,B165,Base!$I$2:$I$2878)</f>
        <v>15600</v>
      </c>
      <c r="H165" s="36" t="n">
        <f aca="false">IF($G$2849=0,0,G165/$G$2849)</f>
        <v>0.00102370673066963</v>
      </c>
      <c r="I165" s="37" t="n">
        <f aca="false">I164+H165</f>
        <v>0.724061741061853</v>
      </c>
      <c r="J165" s="37" t="n">
        <f aca="false">A165/2840</f>
        <v>0.0556338028169014</v>
      </c>
      <c r="K165" s="32" t="str">
        <f aca="false">IF(I165&lt;=$E$4,"A",IF(I165&lt;=$E$5,"B","C"))</f>
        <v>A</v>
      </c>
    </row>
    <row r="166" customFormat="false" ht="15" hidden="false" customHeight="false" outlineLevel="0" collapsed="false">
      <c r="A166" s="32" t="n">
        <v>159</v>
      </c>
      <c r="B166" s="33" t="n">
        <v>1480716</v>
      </c>
      <c r="C166" s="34" t="s">
        <v>378</v>
      </c>
      <c r="D166" s="34" t="s">
        <v>379</v>
      </c>
      <c r="E166" s="34" t="s">
        <v>38</v>
      </c>
      <c r="F166" s="32" t="n">
        <f aca="false">COUNTIF(Base!$D$2:$D$2878,B166)</f>
        <v>1</v>
      </c>
      <c r="G166" s="35" t="n">
        <f aca="false">SUMIF(Base!$D$2:$D$2878,B166,Base!$I$2:$I$2878)</f>
        <v>15420</v>
      </c>
      <c r="H166" s="36" t="n">
        <f aca="false">IF($G$2849=0,0,G166/$G$2849)</f>
        <v>0.00101189472993113</v>
      </c>
      <c r="I166" s="37" t="n">
        <f aca="false">I165+H166</f>
        <v>0.725073635791784</v>
      </c>
      <c r="J166" s="37" t="n">
        <f aca="false">A166/2840</f>
        <v>0.0559859154929578</v>
      </c>
      <c r="K166" s="32" t="str">
        <f aca="false">IF(I166&lt;=$E$4,"A",IF(I166&lt;=$E$5,"B","C"))</f>
        <v>A</v>
      </c>
    </row>
    <row r="167" customFormat="false" ht="15" hidden="false" customHeight="false" outlineLevel="0" collapsed="false">
      <c r="A167" s="32" t="n">
        <v>160</v>
      </c>
      <c r="B167" s="33" t="n">
        <v>1469075</v>
      </c>
      <c r="C167" s="34" t="s">
        <v>380</v>
      </c>
      <c r="D167" s="34" t="s">
        <v>381</v>
      </c>
      <c r="E167" s="34" t="s">
        <v>47</v>
      </c>
      <c r="F167" s="32" t="n">
        <f aca="false">COUNTIF(Base!$D$2:$D$2878,B167)</f>
        <v>1</v>
      </c>
      <c r="G167" s="35" t="n">
        <f aca="false">SUMIF(Base!$D$2:$D$2878,B167,Base!$I$2:$I$2878)</f>
        <v>15364</v>
      </c>
      <c r="H167" s="36" t="n">
        <f aca="false">IF($G$2849=0,0,G167/$G$2849)</f>
        <v>0.00100821988525693</v>
      </c>
      <c r="I167" s="37" t="n">
        <f aca="false">I166+H167</f>
        <v>0.726081855677041</v>
      </c>
      <c r="J167" s="37" t="n">
        <f aca="false">A167/2840</f>
        <v>0.0563380281690141</v>
      </c>
      <c r="K167" s="32" t="str">
        <f aca="false">IF(I167&lt;=$E$4,"A",IF(I167&lt;=$E$5,"B","C"))</f>
        <v>A</v>
      </c>
    </row>
    <row r="168" customFormat="false" ht="15" hidden="false" customHeight="false" outlineLevel="0" collapsed="false">
      <c r="A168" s="32" t="n">
        <v>161</v>
      </c>
      <c r="B168" s="33" t="n">
        <v>1613400</v>
      </c>
      <c r="C168" s="34" t="s">
        <v>382</v>
      </c>
      <c r="D168" s="34" t="s">
        <v>383</v>
      </c>
      <c r="E168" s="34" t="s">
        <v>38</v>
      </c>
      <c r="F168" s="32" t="n">
        <f aca="false">COUNTIF(Base!$D$2:$D$2878,B168)</f>
        <v>1</v>
      </c>
      <c r="G168" s="35" t="n">
        <f aca="false">SUMIF(Base!$D$2:$D$2878,B168,Base!$I$2:$I$2878)</f>
        <v>15250.36</v>
      </c>
      <c r="H168" s="36" t="n">
        <f aca="false">IF($G$2849=0,0,G168/$G$2849)</f>
        <v>0.00100076257545736</v>
      </c>
      <c r="I168" s="37" t="n">
        <f aca="false">I167+H168</f>
        <v>0.727082618252499</v>
      </c>
      <c r="J168" s="37" t="n">
        <f aca="false">A168/2840</f>
        <v>0.0566901408450704</v>
      </c>
      <c r="K168" s="32" t="str">
        <f aca="false">IF(I168&lt;=$E$4,"A",IF(I168&lt;=$E$5,"B","C"))</f>
        <v>A</v>
      </c>
    </row>
    <row r="169" customFormat="false" ht="15" hidden="false" customHeight="false" outlineLevel="0" collapsed="false">
      <c r="A169" s="32" t="n">
        <v>162</v>
      </c>
      <c r="B169" s="33" t="n">
        <v>554391</v>
      </c>
      <c r="C169" s="34" t="s">
        <v>384</v>
      </c>
      <c r="D169" s="34" t="s">
        <v>385</v>
      </c>
      <c r="E169" s="34" t="s">
        <v>363</v>
      </c>
      <c r="F169" s="32" t="n">
        <f aca="false">COUNTIF(Base!$D$2:$D$2878,B169)</f>
        <v>1</v>
      </c>
      <c r="G169" s="35" t="n">
        <f aca="false">SUMIF(Base!$D$2:$D$2878,B169,Base!$I$2:$I$2878)</f>
        <v>15140</v>
      </c>
      <c r="H169" s="36" t="n">
        <f aca="false">IF($G$2849=0,0,G169/$G$2849)</f>
        <v>0.000993520506560137</v>
      </c>
      <c r="I169" s="37" t="n">
        <f aca="false">I168+H169</f>
        <v>0.728076138759059</v>
      </c>
      <c r="J169" s="37" t="n">
        <f aca="false">A169/2840</f>
        <v>0.0570422535211268</v>
      </c>
      <c r="K169" s="32" t="str">
        <f aca="false">IF(I169&lt;=$E$4,"A",IF(I169&lt;=$E$5,"B","C"))</f>
        <v>A</v>
      </c>
    </row>
    <row r="170" customFormat="false" ht="15" hidden="false" customHeight="false" outlineLevel="0" collapsed="false">
      <c r="A170" s="32" t="n">
        <v>163</v>
      </c>
      <c r="B170" s="33" t="n">
        <v>18905</v>
      </c>
      <c r="C170" s="34" t="s">
        <v>386</v>
      </c>
      <c r="D170" s="34" t="s">
        <v>387</v>
      </c>
      <c r="E170" s="34" t="s">
        <v>247</v>
      </c>
      <c r="F170" s="32" t="n">
        <f aca="false">COUNTIF(Base!$D$2:$D$2878,B170)</f>
        <v>1</v>
      </c>
      <c r="G170" s="35" t="n">
        <f aca="false">SUMIF(Base!$D$2:$D$2878,B170,Base!$I$2:$I$2878)</f>
        <v>15125.8317</v>
      </c>
      <c r="H170" s="36" t="n">
        <f aca="false">IF($G$2849=0,0,G170/$G$2849)</f>
        <v>0.000992590751170897</v>
      </c>
      <c r="I170" s="37" t="n">
        <f aca="false">I169+H170</f>
        <v>0.72906872951023</v>
      </c>
      <c r="J170" s="37" t="n">
        <f aca="false">A170/2840</f>
        <v>0.0573943661971831</v>
      </c>
      <c r="K170" s="32" t="str">
        <f aca="false">IF(I170&lt;=$E$4,"A",IF(I170&lt;=$E$5,"B","C"))</f>
        <v>A</v>
      </c>
    </row>
    <row r="171" customFormat="false" ht="15" hidden="false" customHeight="false" outlineLevel="0" collapsed="false">
      <c r="A171" s="32" t="n">
        <v>164</v>
      </c>
      <c r="B171" s="33" t="n">
        <v>294499</v>
      </c>
      <c r="C171" s="34" t="s">
        <v>388</v>
      </c>
      <c r="D171" s="34" t="s">
        <v>389</v>
      </c>
      <c r="E171" s="34" t="s">
        <v>363</v>
      </c>
      <c r="F171" s="32" t="n">
        <f aca="false">COUNTIF(Base!$D$2:$D$2878,B171)</f>
        <v>1</v>
      </c>
      <c r="G171" s="35" t="n">
        <f aca="false">SUMIF(Base!$D$2:$D$2878,B171,Base!$I$2:$I$2878)</f>
        <v>14990</v>
      </c>
      <c r="H171" s="36" t="n">
        <f aca="false">IF($G$2849=0,0,G171/$G$2849)</f>
        <v>0.000983677172611391</v>
      </c>
      <c r="I171" s="37" t="n">
        <f aca="false">I170+H171</f>
        <v>0.730052406682841</v>
      </c>
      <c r="J171" s="37" t="n">
        <f aca="false">A171/2840</f>
        <v>0.0577464788732394</v>
      </c>
      <c r="K171" s="32" t="str">
        <f aca="false">IF(I171&lt;=$E$4,"A",IF(I171&lt;=$E$5,"B","C"))</f>
        <v>A</v>
      </c>
    </row>
    <row r="172" customFormat="false" ht="15" hidden="false" customHeight="false" outlineLevel="0" collapsed="false">
      <c r="A172" s="32" t="n">
        <v>165</v>
      </c>
      <c r="B172" s="33" t="n">
        <v>22678</v>
      </c>
      <c r="C172" s="34" t="s">
        <v>390</v>
      </c>
      <c r="D172" s="34" t="s">
        <v>391</v>
      </c>
      <c r="E172" s="34" t="s">
        <v>38</v>
      </c>
      <c r="F172" s="32" t="n">
        <f aca="false">COUNTIF(Base!$D$2:$D$2878,B172)</f>
        <v>1</v>
      </c>
      <c r="G172" s="35" t="n">
        <f aca="false">SUMIF(Base!$D$2:$D$2878,B172,Base!$I$2:$I$2878)</f>
        <v>14901.1936</v>
      </c>
      <c r="H172" s="36" t="n">
        <f aca="false">IF($G$2849=0,0,G172/$G$2849)</f>
        <v>0.000977849498931484</v>
      </c>
      <c r="I172" s="37" t="n">
        <f aca="false">I171+H172</f>
        <v>0.731030256181773</v>
      </c>
      <c r="J172" s="37" t="n">
        <f aca="false">A172/2840</f>
        <v>0.0580985915492958</v>
      </c>
      <c r="K172" s="32" t="str">
        <f aca="false">IF(I172&lt;=$E$4,"A",IF(I172&lt;=$E$5,"B","C"))</f>
        <v>A</v>
      </c>
    </row>
    <row r="173" customFormat="false" ht="15" hidden="false" customHeight="false" outlineLevel="0" collapsed="false">
      <c r="A173" s="32" t="n">
        <v>166</v>
      </c>
      <c r="B173" s="33" t="n">
        <v>1469673</v>
      </c>
      <c r="C173" s="34" t="s">
        <v>392</v>
      </c>
      <c r="D173" s="34" t="s">
        <v>393</v>
      </c>
      <c r="E173" s="34" t="s">
        <v>394</v>
      </c>
      <c r="F173" s="32" t="n">
        <f aca="false">COUNTIF(Base!$D$2:$D$2878,B173)</f>
        <v>1</v>
      </c>
      <c r="G173" s="35" t="n">
        <f aca="false">SUMIF(Base!$D$2:$D$2878,B173,Base!$I$2:$I$2878)</f>
        <v>14824.1</v>
      </c>
      <c r="H173" s="36" t="n">
        <f aca="false">IF($G$2849=0,0,G173/$G$2849)</f>
        <v>0.000972790445264077</v>
      </c>
      <c r="I173" s="37" t="n">
        <f aca="false">I172+H173</f>
        <v>0.732003046627037</v>
      </c>
      <c r="J173" s="37" t="n">
        <f aca="false">A173/2840</f>
        <v>0.0584507042253521</v>
      </c>
      <c r="K173" s="32" t="str">
        <f aca="false">IF(I173&lt;=$E$4,"A",IF(I173&lt;=$E$5,"B","C"))</f>
        <v>A</v>
      </c>
    </row>
    <row r="174" customFormat="false" ht="15" hidden="false" customHeight="false" outlineLevel="0" collapsed="false">
      <c r="A174" s="32" t="n">
        <v>167</v>
      </c>
      <c r="B174" s="33" t="n">
        <v>21658</v>
      </c>
      <c r="C174" s="34" t="s">
        <v>395</v>
      </c>
      <c r="D174" s="34" t="s">
        <v>396</v>
      </c>
      <c r="E174" s="34" t="s">
        <v>35</v>
      </c>
      <c r="F174" s="32" t="n">
        <f aca="false">COUNTIF(Base!$D$2:$D$2878,B174)</f>
        <v>1</v>
      </c>
      <c r="G174" s="35" t="n">
        <f aca="false">SUMIF(Base!$D$2:$D$2878,B174,Base!$I$2:$I$2878)</f>
        <v>14820</v>
      </c>
      <c r="H174" s="36" t="n">
        <f aca="false">IF($G$2849=0,0,G174/$G$2849)</f>
        <v>0.000972521394136145</v>
      </c>
      <c r="I174" s="37" t="n">
        <f aca="false">I173+H174</f>
        <v>0.732975568021173</v>
      </c>
      <c r="J174" s="37" t="n">
        <f aca="false">A174/2840</f>
        <v>0.0588028169014085</v>
      </c>
      <c r="K174" s="32" t="str">
        <f aca="false">IF(I174&lt;=$E$4,"A",IF(I174&lt;=$E$5,"B","C"))</f>
        <v>A</v>
      </c>
    </row>
    <row r="175" customFormat="false" ht="15" hidden="false" customHeight="false" outlineLevel="0" collapsed="false">
      <c r="A175" s="32" t="n">
        <v>168</v>
      </c>
      <c r="B175" s="33" t="n">
        <v>1654228</v>
      </c>
      <c r="C175" s="34" t="s">
        <v>397</v>
      </c>
      <c r="D175" s="34" t="s">
        <v>398</v>
      </c>
      <c r="E175" s="34" t="s">
        <v>195</v>
      </c>
      <c r="F175" s="32" t="n">
        <f aca="false">COUNTIF(Base!$D$2:$D$2878,B175)</f>
        <v>1</v>
      </c>
      <c r="G175" s="35" t="n">
        <f aca="false">SUMIF(Base!$D$2:$D$2878,B175,Base!$I$2:$I$2878)</f>
        <v>14760</v>
      </c>
      <c r="H175" s="36" t="n">
        <f aca="false">IF($G$2849=0,0,G175/$G$2849)</f>
        <v>0.000968584060556646</v>
      </c>
      <c r="I175" s="37" t="n">
        <f aca="false">I174+H175</f>
        <v>0.73394415208173</v>
      </c>
      <c r="J175" s="37" t="n">
        <f aca="false">A175/2840</f>
        <v>0.0591549295774648</v>
      </c>
      <c r="K175" s="32" t="str">
        <f aca="false">IF(I175&lt;=$E$4,"A",IF(I175&lt;=$E$5,"B","C"))</f>
        <v>A</v>
      </c>
    </row>
    <row r="176" customFormat="false" ht="15" hidden="false" customHeight="false" outlineLevel="0" collapsed="false">
      <c r="A176" s="32" t="n">
        <v>169</v>
      </c>
      <c r="B176" s="33" t="n">
        <v>1382574</v>
      </c>
      <c r="C176" s="34" t="s">
        <v>399</v>
      </c>
      <c r="D176" s="34" t="s">
        <v>400</v>
      </c>
      <c r="E176" s="34" t="s">
        <v>38</v>
      </c>
      <c r="F176" s="32" t="n">
        <f aca="false">COUNTIF(Base!$D$2:$D$2878,B176)</f>
        <v>1</v>
      </c>
      <c r="G176" s="35" t="n">
        <f aca="false">SUMIF(Base!$D$2:$D$2878,B176,Base!$I$2:$I$2878)</f>
        <v>14308.59</v>
      </c>
      <c r="H176" s="36" t="n">
        <f aca="false">IF($G$2849=0,0,G176/$G$2849)</f>
        <v>0.000938961531371289</v>
      </c>
      <c r="I176" s="37" t="n">
        <f aca="false">I175+H176</f>
        <v>0.734883113613101</v>
      </c>
      <c r="J176" s="37" t="n">
        <f aca="false">A176/2840</f>
        <v>0.0595070422535211</v>
      </c>
      <c r="K176" s="32" t="str">
        <f aca="false">IF(I176&lt;=$E$4,"A",IF(I176&lt;=$E$5,"B","C"))</f>
        <v>A</v>
      </c>
    </row>
    <row r="177" customFormat="false" ht="15" hidden="false" customHeight="false" outlineLevel="0" collapsed="false">
      <c r="A177" s="32" t="n">
        <v>170</v>
      </c>
      <c r="B177" s="33" t="n">
        <v>859744</v>
      </c>
      <c r="C177" s="34" t="s">
        <v>401</v>
      </c>
      <c r="D177" s="34" t="s">
        <v>402</v>
      </c>
      <c r="E177" s="34" t="s">
        <v>355</v>
      </c>
      <c r="F177" s="32" t="n">
        <f aca="false">COUNTIF(Base!$D$2:$D$2878,B177)</f>
        <v>1</v>
      </c>
      <c r="G177" s="35" t="n">
        <f aca="false">SUMIF(Base!$D$2:$D$2878,B177,Base!$I$2:$I$2878)</f>
        <v>14300</v>
      </c>
      <c r="H177" s="36" t="n">
        <f aca="false">IF($G$2849=0,0,G177/$G$2849)</f>
        <v>0.000938397836447157</v>
      </c>
      <c r="I177" s="37" t="n">
        <f aca="false">I176+H177</f>
        <v>0.735821511449548</v>
      </c>
      <c r="J177" s="37" t="n">
        <f aca="false">A177/2840</f>
        <v>0.0598591549295775</v>
      </c>
      <c r="K177" s="32" t="str">
        <f aca="false">IF(I177&lt;=$E$4,"A",IF(I177&lt;=$E$5,"B","C"))</f>
        <v>A</v>
      </c>
    </row>
    <row r="178" customFormat="false" ht="15" hidden="false" customHeight="false" outlineLevel="0" collapsed="false">
      <c r="A178" s="32" t="n">
        <v>171</v>
      </c>
      <c r="B178" s="33" t="n">
        <v>16279</v>
      </c>
      <c r="C178" s="34" t="s">
        <v>403</v>
      </c>
      <c r="D178" s="34" t="s">
        <v>404</v>
      </c>
      <c r="E178" s="34" t="s">
        <v>54</v>
      </c>
      <c r="F178" s="32" t="n">
        <f aca="false">COUNTIF(Base!$D$2:$D$2878,B178)</f>
        <v>1</v>
      </c>
      <c r="G178" s="35" t="n">
        <f aca="false">SUMIF(Base!$D$2:$D$2878,B178,Base!$I$2:$I$2878)</f>
        <v>14157</v>
      </c>
      <c r="H178" s="36" t="n">
        <f aca="false">IF($G$2849=0,0,G178/$G$2849)</f>
        <v>0.000929013858082685</v>
      </c>
      <c r="I178" s="37" t="n">
        <f aca="false">I177+H178</f>
        <v>0.736750525307631</v>
      </c>
      <c r="J178" s="37" t="n">
        <f aca="false">A178/2840</f>
        <v>0.0602112676056338</v>
      </c>
      <c r="K178" s="32" t="str">
        <f aca="false">IF(I178&lt;=$E$4,"A",IF(I178&lt;=$E$5,"B","C"))</f>
        <v>A</v>
      </c>
    </row>
    <row r="179" customFormat="false" ht="15" hidden="false" customHeight="false" outlineLevel="0" collapsed="false">
      <c r="A179" s="32" t="n">
        <v>172</v>
      </c>
      <c r="B179" s="33" t="n">
        <v>1461468</v>
      </c>
      <c r="C179" s="34" t="s">
        <v>405</v>
      </c>
      <c r="D179" s="34" t="s">
        <v>406</v>
      </c>
      <c r="E179" s="34" t="s">
        <v>38</v>
      </c>
      <c r="F179" s="32" t="n">
        <f aca="false">COUNTIF(Base!$D$2:$D$2878,B179)</f>
        <v>1</v>
      </c>
      <c r="G179" s="35" t="n">
        <f aca="false">SUMIF(Base!$D$2:$D$2878,B179,Base!$I$2:$I$2878)</f>
        <v>14090.1</v>
      </c>
      <c r="H179" s="36" t="n">
        <f aca="false">IF($G$2849=0,0,G179/$G$2849)</f>
        <v>0.000924623731141545</v>
      </c>
      <c r="I179" s="37" t="n">
        <f aca="false">I178+H179</f>
        <v>0.737675149038772</v>
      </c>
      <c r="J179" s="37" t="n">
        <f aca="false">A179/2840</f>
        <v>0.0605633802816901</v>
      </c>
      <c r="K179" s="32" t="str">
        <f aca="false">IF(I179&lt;=$E$4,"A",IF(I179&lt;=$E$5,"B","C"))</f>
        <v>A</v>
      </c>
    </row>
    <row r="180" customFormat="false" ht="15" hidden="false" customHeight="false" outlineLevel="0" collapsed="false">
      <c r="A180" s="32" t="n">
        <v>173</v>
      </c>
      <c r="B180" s="33" t="n">
        <v>224752</v>
      </c>
      <c r="C180" s="34" t="s">
        <v>407</v>
      </c>
      <c r="D180" s="34" t="s">
        <v>408</v>
      </c>
      <c r="E180" s="34" t="s">
        <v>38</v>
      </c>
      <c r="F180" s="32" t="n">
        <f aca="false">COUNTIF(Base!$D$2:$D$2878,B180)</f>
        <v>1</v>
      </c>
      <c r="G180" s="35" t="n">
        <f aca="false">SUMIF(Base!$D$2:$D$2878,B180,Base!$I$2:$I$2878)</f>
        <v>14063.08</v>
      </c>
      <c r="H180" s="36" t="n">
        <f aca="false">IF($G$2849=0,0,G180/$G$2849)</f>
        <v>0.000922850618586244</v>
      </c>
      <c r="I180" s="37" t="n">
        <f aca="false">I179+H180</f>
        <v>0.738597999657358</v>
      </c>
      <c r="J180" s="37" t="n">
        <f aca="false">A180/2840</f>
        <v>0.0609154929577465</v>
      </c>
      <c r="K180" s="32" t="str">
        <f aca="false">IF(I180&lt;=$E$4,"A",IF(I180&lt;=$E$5,"B","C"))</f>
        <v>A</v>
      </c>
    </row>
    <row r="181" customFormat="false" ht="15" hidden="false" customHeight="false" outlineLevel="0" collapsed="false">
      <c r="A181" s="32" t="n">
        <v>174</v>
      </c>
      <c r="B181" s="33" t="n">
        <v>428617</v>
      </c>
      <c r="C181" s="34" t="s">
        <v>409</v>
      </c>
      <c r="D181" s="34" t="s">
        <v>410</v>
      </c>
      <c r="E181" s="34" t="s">
        <v>93</v>
      </c>
      <c r="F181" s="32" t="n">
        <f aca="false">COUNTIF(Base!$D$2:$D$2878,B181)</f>
        <v>1</v>
      </c>
      <c r="G181" s="35" t="n">
        <f aca="false">SUMIF(Base!$D$2:$D$2878,B181,Base!$I$2:$I$2878)</f>
        <v>13944</v>
      </c>
      <c r="H181" s="36" t="n">
        <f aca="false">IF($G$2849=0,0,G181/$G$2849)</f>
        <v>0.000915036323875466</v>
      </c>
      <c r="I181" s="37" t="n">
        <f aca="false">I180+H181</f>
        <v>0.739513035981234</v>
      </c>
      <c r="J181" s="37" t="n">
        <f aca="false">A181/2840</f>
        <v>0.0612676056338028</v>
      </c>
      <c r="K181" s="32" t="str">
        <f aca="false">IF(I181&lt;=$E$4,"A",IF(I181&lt;=$E$5,"B","C"))</f>
        <v>A</v>
      </c>
    </row>
    <row r="182" customFormat="false" ht="15" hidden="false" customHeight="false" outlineLevel="0" collapsed="false">
      <c r="A182" s="32" t="n">
        <v>175</v>
      </c>
      <c r="B182" s="33" t="n">
        <v>1464627</v>
      </c>
      <c r="C182" s="34" t="s">
        <v>411</v>
      </c>
      <c r="D182" s="34" t="s">
        <v>412</v>
      </c>
      <c r="E182" s="34" t="s">
        <v>133</v>
      </c>
      <c r="F182" s="32" t="n">
        <f aca="false">COUNTIF(Base!$D$2:$D$2878,B182)</f>
        <v>1</v>
      </c>
      <c r="G182" s="35" t="n">
        <f aca="false">SUMIF(Base!$D$2:$D$2878,B182,Base!$I$2:$I$2878)</f>
        <v>13918.26</v>
      </c>
      <c r="H182" s="36" t="n">
        <f aca="false">IF($G$2849=0,0,G182/$G$2849)</f>
        <v>0.000913347207769861</v>
      </c>
      <c r="I182" s="37" t="n">
        <f aca="false">I181+H182</f>
        <v>0.740426383189004</v>
      </c>
      <c r="J182" s="37" t="n">
        <f aca="false">A182/2840</f>
        <v>0.0616197183098592</v>
      </c>
      <c r="K182" s="32" t="str">
        <f aca="false">IF(I182&lt;=$E$4,"A",IF(I182&lt;=$E$5,"B","C"))</f>
        <v>A</v>
      </c>
    </row>
    <row r="183" customFormat="false" ht="15" hidden="false" customHeight="false" outlineLevel="0" collapsed="false">
      <c r="A183" s="32" t="n">
        <v>176</v>
      </c>
      <c r="B183" s="33" t="n">
        <v>1461516</v>
      </c>
      <c r="C183" s="34" t="s">
        <v>413</v>
      </c>
      <c r="D183" s="34" t="s">
        <v>414</v>
      </c>
      <c r="E183" s="34" t="s">
        <v>54</v>
      </c>
      <c r="F183" s="32" t="n">
        <f aca="false">COUNTIF(Base!$D$2:$D$2878,B183)</f>
        <v>1</v>
      </c>
      <c r="G183" s="35" t="n">
        <f aca="false">SUMIF(Base!$D$2:$D$2878,B183,Base!$I$2:$I$2878)</f>
        <v>13871.02</v>
      </c>
      <c r="H183" s="36" t="n">
        <f aca="false">IF($G$2849=0,0,G183/$G$2849)</f>
        <v>0.000910247213798269</v>
      </c>
      <c r="I183" s="37" t="n">
        <f aca="false">I182+H183</f>
        <v>0.741336630402802</v>
      </c>
      <c r="J183" s="37" t="n">
        <f aca="false">A183/2840</f>
        <v>0.0619718309859155</v>
      </c>
      <c r="K183" s="32" t="str">
        <f aca="false">IF(I183&lt;=$E$4,"A",IF(I183&lt;=$E$5,"B","C"))</f>
        <v>A</v>
      </c>
    </row>
    <row r="184" customFormat="false" ht="15" hidden="false" customHeight="false" outlineLevel="0" collapsed="false">
      <c r="A184" s="32" t="n">
        <v>177</v>
      </c>
      <c r="B184" s="33" t="n">
        <v>18981</v>
      </c>
      <c r="C184" s="34" t="s">
        <v>415</v>
      </c>
      <c r="D184" s="34" t="s">
        <v>416</v>
      </c>
      <c r="E184" s="34" t="s">
        <v>360</v>
      </c>
      <c r="F184" s="32" t="n">
        <f aca="false">COUNTIF(Base!$D$2:$D$2878,B184)</f>
        <v>1</v>
      </c>
      <c r="G184" s="35" t="n">
        <f aca="false">SUMIF(Base!$D$2:$D$2878,B184,Base!$I$2:$I$2878)</f>
        <v>13750</v>
      </c>
      <c r="H184" s="36" t="n">
        <f aca="false">IF($G$2849=0,0,G184/$G$2849)</f>
        <v>0.00090230561196842</v>
      </c>
      <c r="I184" s="37" t="n">
        <f aca="false">I183+H184</f>
        <v>0.74223893601477</v>
      </c>
      <c r="J184" s="37" t="n">
        <f aca="false">A184/2840</f>
        <v>0.0623239436619718</v>
      </c>
      <c r="K184" s="32" t="str">
        <f aca="false">IF(I184&lt;=$E$4,"A",IF(I184&lt;=$E$5,"B","C"))</f>
        <v>A</v>
      </c>
    </row>
    <row r="185" customFormat="false" ht="15" hidden="false" customHeight="false" outlineLevel="0" collapsed="false">
      <c r="A185" s="32" t="n">
        <v>178</v>
      </c>
      <c r="B185" s="33" t="n">
        <v>18984</v>
      </c>
      <c r="C185" s="34" t="s">
        <v>417</v>
      </c>
      <c r="D185" s="34" t="s">
        <v>418</v>
      </c>
      <c r="E185" s="34" t="s">
        <v>360</v>
      </c>
      <c r="F185" s="32" t="n">
        <f aca="false">COUNTIF(Base!$D$2:$D$2878,B185)</f>
        <v>1</v>
      </c>
      <c r="G185" s="35" t="n">
        <f aca="false">SUMIF(Base!$D$2:$D$2878,B185,Base!$I$2:$I$2878)</f>
        <v>13750</v>
      </c>
      <c r="H185" s="36" t="n">
        <f aca="false">IF($G$2849=0,0,G185/$G$2849)</f>
        <v>0.00090230561196842</v>
      </c>
      <c r="I185" s="37" t="n">
        <f aca="false">I184+H185</f>
        <v>0.743141241626739</v>
      </c>
      <c r="J185" s="37" t="n">
        <f aca="false">A185/2840</f>
        <v>0.0626760563380282</v>
      </c>
      <c r="K185" s="32" t="str">
        <f aca="false">IF(I185&lt;=$E$4,"A",IF(I185&lt;=$E$5,"B","C"))</f>
        <v>A</v>
      </c>
    </row>
    <row r="186" customFormat="false" ht="15" hidden="false" customHeight="false" outlineLevel="0" collapsed="false">
      <c r="A186" s="32" t="n">
        <v>179</v>
      </c>
      <c r="B186" s="33" t="n">
        <v>1540275</v>
      </c>
      <c r="C186" s="34" t="s">
        <v>419</v>
      </c>
      <c r="D186" s="34" t="s">
        <v>420</v>
      </c>
      <c r="E186" s="34" t="s">
        <v>38</v>
      </c>
      <c r="F186" s="32" t="n">
        <f aca="false">COUNTIF(Base!$D$2:$D$2878,B186)</f>
        <v>1</v>
      </c>
      <c r="G186" s="35" t="n">
        <f aca="false">SUMIF(Base!$D$2:$D$2878,B186,Base!$I$2:$I$2878)</f>
        <v>13729.9</v>
      </c>
      <c r="H186" s="36" t="n">
        <f aca="false">IF($G$2849=0,0,G186/$G$2849)</f>
        <v>0.000900986605219288</v>
      </c>
      <c r="I186" s="37" t="n">
        <f aca="false">I185+H186</f>
        <v>0.744042228231958</v>
      </c>
      <c r="J186" s="37" t="n">
        <f aca="false">A186/2840</f>
        <v>0.0630281690140845</v>
      </c>
      <c r="K186" s="32" t="str">
        <f aca="false">IF(I186&lt;=$E$4,"A",IF(I186&lt;=$E$5,"B","C"))</f>
        <v>A</v>
      </c>
    </row>
    <row r="187" customFormat="false" ht="15" hidden="false" customHeight="false" outlineLevel="0" collapsed="false">
      <c r="A187" s="32" t="n">
        <v>180</v>
      </c>
      <c r="B187" s="33" t="n">
        <v>34228</v>
      </c>
      <c r="C187" s="34" t="s">
        <v>421</v>
      </c>
      <c r="D187" s="34" t="s">
        <v>422</v>
      </c>
      <c r="E187" s="34" t="s">
        <v>363</v>
      </c>
      <c r="F187" s="32" t="n">
        <f aca="false">COUNTIF(Base!$D$2:$D$2878,B187)</f>
        <v>1</v>
      </c>
      <c r="G187" s="35" t="n">
        <f aca="false">SUMIF(Base!$D$2:$D$2878,B187,Base!$I$2:$I$2878)</f>
        <v>13650</v>
      </c>
      <c r="H187" s="36" t="n">
        <f aca="false">IF($G$2849=0,0,G187/$G$2849)</f>
        <v>0.000895743389335923</v>
      </c>
      <c r="I187" s="37" t="n">
        <f aca="false">I186+H187</f>
        <v>0.744937971621294</v>
      </c>
      <c r="J187" s="37" t="n">
        <f aca="false">A187/2840</f>
        <v>0.0633802816901408</v>
      </c>
      <c r="K187" s="32" t="str">
        <f aca="false">IF(I187&lt;=$E$4,"A",IF(I187&lt;=$E$5,"B","C"))</f>
        <v>A</v>
      </c>
    </row>
    <row r="188" customFormat="false" ht="15" hidden="false" customHeight="false" outlineLevel="0" collapsed="false">
      <c r="A188" s="32" t="n">
        <v>181</v>
      </c>
      <c r="B188" s="33" t="n">
        <v>389167</v>
      </c>
      <c r="C188" s="34" t="s">
        <v>423</v>
      </c>
      <c r="D188" s="34" t="s">
        <v>424</v>
      </c>
      <c r="E188" s="34" t="s">
        <v>247</v>
      </c>
      <c r="F188" s="32" t="n">
        <f aca="false">COUNTIF(Base!$D$2:$D$2878,B188)</f>
        <v>1</v>
      </c>
      <c r="G188" s="35" t="n">
        <f aca="false">SUMIF(Base!$D$2:$D$2878,B188,Base!$I$2:$I$2878)</f>
        <v>13620</v>
      </c>
      <c r="H188" s="36" t="n">
        <f aca="false">IF($G$2849=0,0,G188/$G$2849)</f>
        <v>0.000893774722546173</v>
      </c>
      <c r="I188" s="37" t="n">
        <f aca="false">I187+H188</f>
        <v>0.74583174634384</v>
      </c>
      <c r="J188" s="37" t="n">
        <f aca="false">A188/2840</f>
        <v>0.0637323943661972</v>
      </c>
      <c r="K188" s="32" t="str">
        <f aca="false">IF(I188&lt;=$E$4,"A",IF(I188&lt;=$E$5,"B","C"))</f>
        <v>A</v>
      </c>
    </row>
    <row r="189" customFormat="false" ht="15" hidden="false" customHeight="false" outlineLevel="0" collapsed="false">
      <c r="A189" s="32" t="n">
        <v>182</v>
      </c>
      <c r="B189" s="33" t="n">
        <v>1382815</v>
      </c>
      <c r="C189" s="34" t="s">
        <v>425</v>
      </c>
      <c r="D189" s="34" t="s">
        <v>426</v>
      </c>
      <c r="E189" s="34" t="s">
        <v>133</v>
      </c>
      <c r="F189" s="32" t="n">
        <f aca="false">COUNTIF(Base!$D$2:$D$2878,B189)</f>
        <v>1</v>
      </c>
      <c r="G189" s="35" t="n">
        <f aca="false">SUMIF(Base!$D$2:$D$2878,B189,Base!$I$2:$I$2878)</f>
        <v>13454.55</v>
      </c>
      <c r="H189" s="36" t="n">
        <f aca="false">IF($G$2849=0,0,G189/$G$2849)</f>
        <v>0.000882917525200706</v>
      </c>
      <c r="I189" s="37" t="n">
        <f aca="false">I188+H189</f>
        <v>0.746714663869041</v>
      </c>
      <c r="J189" s="37" t="n">
        <f aca="false">A189/2840</f>
        <v>0.0640845070422535</v>
      </c>
      <c r="K189" s="32" t="str">
        <f aca="false">IF(I189&lt;=$E$4,"A",IF(I189&lt;=$E$5,"B","C"))</f>
        <v>A</v>
      </c>
    </row>
    <row r="190" customFormat="false" ht="15" hidden="false" customHeight="false" outlineLevel="0" collapsed="false">
      <c r="A190" s="32" t="n">
        <v>183</v>
      </c>
      <c r="B190" s="33" t="n">
        <v>1475394</v>
      </c>
      <c r="C190" s="34" t="s">
        <v>427</v>
      </c>
      <c r="D190" s="34" t="s">
        <v>428</v>
      </c>
      <c r="E190" s="34" t="s">
        <v>100</v>
      </c>
      <c r="F190" s="32" t="n">
        <f aca="false">COUNTIF(Base!$D$2:$D$2878,B190)</f>
        <v>1</v>
      </c>
      <c r="G190" s="35" t="n">
        <f aca="false">SUMIF(Base!$D$2:$D$2878,B190,Base!$I$2:$I$2878)</f>
        <v>13309.5</v>
      </c>
      <c r="H190" s="36" t="n">
        <f aca="false">IF($G$2849=0,0,G190/$G$2849)</f>
        <v>0.000873399021272268</v>
      </c>
      <c r="I190" s="37" t="n">
        <f aca="false">I189+H190</f>
        <v>0.747588062890313</v>
      </c>
      <c r="J190" s="37" t="n">
        <f aca="false">A190/2840</f>
        <v>0.0644366197183099</v>
      </c>
      <c r="K190" s="32" t="str">
        <f aca="false">IF(I190&lt;=$E$4,"A",IF(I190&lt;=$E$5,"B","C"))</f>
        <v>A</v>
      </c>
    </row>
    <row r="191" customFormat="false" ht="15" hidden="false" customHeight="false" outlineLevel="0" collapsed="false">
      <c r="A191" s="32" t="n">
        <v>184</v>
      </c>
      <c r="B191" s="33" t="n">
        <v>1385799</v>
      </c>
      <c r="C191" s="34" t="s">
        <v>429</v>
      </c>
      <c r="D191" s="34" t="s">
        <v>430</v>
      </c>
      <c r="E191" s="34" t="s">
        <v>38</v>
      </c>
      <c r="F191" s="32" t="n">
        <f aca="false">COUNTIF(Base!$D$2:$D$2878,B191)</f>
        <v>1</v>
      </c>
      <c r="G191" s="35" t="n">
        <f aca="false">SUMIF(Base!$D$2:$D$2878,B191,Base!$I$2:$I$2878)</f>
        <v>13247</v>
      </c>
      <c r="H191" s="36" t="n">
        <f aca="false">IF($G$2849=0,0,G191/$G$2849)</f>
        <v>0.000869297632126957</v>
      </c>
      <c r="I191" s="37" t="n">
        <f aca="false">I190+H191</f>
        <v>0.74845736052244</v>
      </c>
      <c r="J191" s="37" t="n">
        <f aca="false">A191/2840</f>
        <v>0.0647887323943662</v>
      </c>
      <c r="K191" s="32" t="str">
        <f aca="false">IF(I191&lt;=$E$4,"A",IF(I191&lt;=$E$5,"B","C"))</f>
        <v>A</v>
      </c>
    </row>
    <row r="192" customFormat="false" ht="15" hidden="false" customHeight="false" outlineLevel="0" collapsed="false">
      <c r="A192" s="32" t="n">
        <v>185</v>
      </c>
      <c r="B192" s="33" t="n">
        <v>1540059</v>
      </c>
      <c r="C192" s="34" t="s">
        <v>431</v>
      </c>
      <c r="D192" s="34" t="s">
        <v>432</v>
      </c>
      <c r="E192" s="34" t="s">
        <v>38</v>
      </c>
      <c r="F192" s="32" t="n">
        <f aca="false">COUNTIF(Base!$D$2:$D$2878,B192)</f>
        <v>1</v>
      </c>
      <c r="G192" s="35" t="n">
        <f aca="false">SUMIF(Base!$D$2:$D$2878,B192,Base!$I$2:$I$2878)</f>
        <v>13214.88</v>
      </c>
      <c r="H192" s="36" t="n">
        <f aca="false">IF($G$2849=0,0,G192/$G$2849)</f>
        <v>0.000867189846217399</v>
      </c>
      <c r="I192" s="37" t="n">
        <f aca="false">I191+H192</f>
        <v>0.749324550368658</v>
      </c>
      <c r="J192" s="37" t="n">
        <f aca="false">A192/2840</f>
        <v>0.0651408450704225</v>
      </c>
      <c r="K192" s="32" t="str">
        <f aca="false">IF(I192&lt;=$E$4,"A",IF(I192&lt;=$E$5,"B","C"))</f>
        <v>A</v>
      </c>
    </row>
    <row r="193" customFormat="false" ht="15" hidden="false" customHeight="false" outlineLevel="0" collapsed="false">
      <c r="A193" s="32" t="n">
        <v>186</v>
      </c>
      <c r="B193" s="33" t="n">
        <v>224675</v>
      </c>
      <c r="C193" s="34" t="s">
        <v>433</v>
      </c>
      <c r="D193" s="34" t="s">
        <v>434</v>
      </c>
      <c r="E193" s="34" t="s">
        <v>38</v>
      </c>
      <c r="F193" s="32" t="n">
        <f aca="false">COUNTIF(Base!$D$2:$D$2878,B193)</f>
        <v>1</v>
      </c>
      <c r="G193" s="35" t="n">
        <f aca="false">SUMIF(Base!$D$2:$D$2878,B193,Base!$I$2:$I$2878)</f>
        <v>13186.83</v>
      </c>
      <c r="H193" s="36" t="n">
        <f aca="false">IF($G$2849=0,0,G193/$G$2849)</f>
        <v>0.000865349142768984</v>
      </c>
      <c r="I193" s="37" t="n">
        <f aca="false">I192+H193</f>
        <v>0.750189899511427</v>
      </c>
      <c r="J193" s="37" t="n">
        <f aca="false">A193/2840</f>
        <v>0.0654929577464789</v>
      </c>
      <c r="K193" s="32" t="str">
        <f aca="false">IF(I193&lt;=$E$4,"A",IF(I193&lt;=$E$5,"B","C"))</f>
        <v>A</v>
      </c>
    </row>
    <row r="194" customFormat="false" ht="15" hidden="false" customHeight="false" outlineLevel="0" collapsed="false">
      <c r="A194" s="32" t="n">
        <v>187</v>
      </c>
      <c r="B194" s="33" t="n">
        <v>938077</v>
      </c>
      <c r="C194" s="34" t="s">
        <v>435</v>
      </c>
      <c r="D194" s="34" t="s">
        <v>436</v>
      </c>
      <c r="E194" s="34" t="s">
        <v>38</v>
      </c>
      <c r="F194" s="32" t="n">
        <f aca="false">COUNTIF(Base!$D$2:$D$2878,B194)</f>
        <v>1</v>
      </c>
      <c r="G194" s="35" t="n">
        <f aca="false">SUMIF(Base!$D$2:$D$2878,B194,Base!$I$2:$I$2878)</f>
        <v>13108.7</v>
      </c>
      <c r="H194" s="36" t="n">
        <f aca="false">IF($G$2849=0,0,G194/$G$2849)</f>
        <v>0.000860222078226213</v>
      </c>
      <c r="I194" s="37" t="n">
        <f aca="false">I193+H194</f>
        <v>0.751050121589653</v>
      </c>
      <c r="J194" s="37" t="n">
        <f aca="false">A194/2840</f>
        <v>0.0658450704225352</v>
      </c>
      <c r="K194" s="32" t="str">
        <f aca="false">IF(I194&lt;=$E$4,"A",IF(I194&lt;=$E$5,"B","C"))</f>
        <v>A</v>
      </c>
    </row>
    <row r="195" customFormat="false" ht="15" hidden="false" customHeight="false" outlineLevel="0" collapsed="false">
      <c r="A195" s="32" t="n">
        <v>188</v>
      </c>
      <c r="B195" s="33" t="n">
        <v>873568</v>
      </c>
      <c r="C195" s="34" t="s">
        <v>437</v>
      </c>
      <c r="D195" s="34" t="s">
        <v>438</v>
      </c>
      <c r="E195" s="34" t="s">
        <v>192</v>
      </c>
      <c r="F195" s="32" t="n">
        <f aca="false">COUNTIF(Base!$D$2:$D$2878,B195)</f>
        <v>1</v>
      </c>
      <c r="G195" s="35" t="n">
        <f aca="false">SUMIF(Base!$D$2:$D$2878,B195,Base!$I$2:$I$2878)</f>
        <v>13104.51</v>
      </c>
      <c r="H195" s="36" t="n">
        <f aca="false">IF($G$2849=0,0,G195/$G$2849)</f>
        <v>0.000859947121097911</v>
      </c>
      <c r="I195" s="37" t="n">
        <f aca="false">I194+H195</f>
        <v>0.751910068710751</v>
      </c>
      <c r="J195" s="37" t="n">
        <f aca="false">A195/2840</f>
        <v>0.0661971830985915</v>
      </c>
      <c r="K195" s="32" t="str">
        <f aca="false">IF(I195&lt;=$E$4,"A",IF(I195&lt;=$E$5,"B","C"))</f>
        <v>A</v>
      </c>
    </row>
    <row r="196" customFormat="false" ht="15" hidden="false" customHeight="false" outlineLevel="0" collapsed="false">
      <c r="A196" s="32" t="n">
        <v>189</v>
      </c>
      <c r="B196" s="33" t="n">
        <v>853756</v>
      </c>
      <c r="C196" s="34" t="s">
        <v>439</v>
      </c>
      <c r="D196" s="34" t="s">
        <v>440</v>
      </c>
      <c r="E196" s="34" t="s">
        <v>35</v>
      </c>
      <c r="F196" s="32" t="n">
        <f aca="false">COUNTIF(Base!$D$2:$D$2878,B196)</f>
        <v>2</v>
      </c>
      <c r="G196" s="35" t="n">
        <f aca="false">SUMIF(Base!$D$2:$D$2878,B196,Base!$I$2:$I$2878)</f>
        <v>13022.79</v>
      </c>
      <c r="H196" s="36" t="n">
        <f aca="false">IF($G$2849=0,0,G196/$G$2849)</f>
        <v>0.000854584472762635</v>
      </c>
      <c r="I196" s="37" t="n">
        <f aca="false">I195+H196</f>
        <v>0.752764653183513</v>
      </c>
      <c r="J196" s="37" t="n">
        <f aca="false">A196/2840</f>
        <v>0.0665492957746479</v>
      </c>
      <c r="K196" s="32" t="str">
        <f aca="false">IF(I196&lt;=$E$4,"A",IF(I196&lt;=$E$5,"B","C"))</f>
        <v>A</v>
      </c>
    </row>
    <row r="197" customFormat="false" ht="15" hidden="false" customHeight="false" outlineLevel="0" collapsed="false">
      <c r="A197" s="32" t="n">
        <v>190</v>
      </c>
      <c r="B197" s="33" t="n">
        <v>847120</v>
      </c>
      <c r="C197" s="34" t="s">
        <v>441</v>
      </c>
      <c r="D197" s="34" t="s">
        <v>442</v>
      </c>
      <c r="E197" s="34" t="s">
        <v>394</v>
      </c>
      <c r="F197" s="32" t="n">
        <f aca="false">COUNTIF(Base!$D$2:$D$2878,B197)</f>
        <v>1</v>
      </c>
      <c r="G197" s="35" t="n">
        <f aca="false">SUMIF(Base!$D$2:$D$2878,B197,Base!$I$2:$I$2878)</f>
        <v>12942.72</v>
      </c>
      <c r="H197" s="36" t="n">
        <f aca="false">IF($G$2849=0,0,G197/$G$2849)</f>
        <v>0.000849330101100794</v>
      </c>
      <c r="I197" s="37" t="n">
        <f aca="false">I196+H197</f>
        <v>0.753613983284614</v>
      </c>
      <c r="J197" s="37" t="n">
        <f aca="false">A197/2840</f>
        <v>0.0669014084507042</v>
      </c>
      <c r="K197" s="32" t="str">
        <f aca="false">IF(I197&lt;=$E$4,"A",IF(I197&lt;=$E$5,"B","C"))</f>
        <v>A</v>
      </c>
    </row>
    <row r="198" customFormat="false" ht="15" hidden="false" customHeight="false" outlineLevel="0" collapsed="false">
      <c r="A198" s="32" t="n">
        <v>191</v>
      </c>
      <c r="B198" s="33" t="n">
        <v>1465613</v>
      </c>
      <c r="C198" s="34" t="s">
        <v>443</v>
      </c>
      <c r="D198" s="34" t="s">
        <v>444</v>
      </c>
      <c r="E198" s="34" t="s">
        <v>38</v>
      </c>
      <c r="F198" s="32" t="n">
        <f aca="false">COUNTIF(Base!$D$2:$D$2878,B198)</f>
        <v>1</v>
      </c>
      <c r="G198" s="35" t="n">
        <f aca="false">SUMIF(Base!$D$2:$D$2878,B198,Base!$I$2:$I$2878)</f>
        <v>12897.4</v>
      </c>
      <c r="H198" s="36" t="n">
        <f aca="false">IF($G$2849=0,0,G198/$G$2849)</f>
        <v>0.000846356101803746</v>
      </c>
      <c r="I198" s="37" t="n">
        <f aca="false">I197+H198</f>
        <v>0.754460339386418</v>
      </c>
      <c r="J198" s="37" t="n">
        <f aca="false">A198/2840</f>
        <v>0.0672535211267606</v>
      </c>
      <c r="K198" s="32" t="str">
        <f aca="false">IF(I198&lt;=$E$4,"A",IF(I198&lt;=$E$5,"B","C"))</f>
        <v>A</v>
      </c>
    </row>
    <row r="199" customFormat="false" ht="15" hidden="false" customHeight="false" outlineLevel="0" collapsed="false">
      <c r="A199" s="32" t="n">
        <v>192</v>
      </c>
      <c r="B199" s="33" t="n">
        <v>1382743</v>
      </c>
      <c r="C199" s="34" t="s">
        <v>445</v>
      </c>
      <c r="D199" s="34" t="s">
        <v>446</v>
      </c>
      <c r="E199" s="34" t="s">
        <v>189</v>
      </c>
      <c r="F199" s="32" t="n">
        <f aca="false">COUNTIF(Base!$D$2:$D$2878,B199)</f>
        <v>1</v>
      </c>
      <c r="G199" s="35" t="n">
        <f aca="false">SUMIF(Base!$D$2:$D$2878,B199,Base!$I$2:$I$2878)</f>
        <v>12796.32</v>
      </c>
      <c r="H199" s="36" t="n">
        <f aca="false">IF($G$2849=0,0,G199/$G$2849)</f>
        <v>0.000839723007166817</v>
      </c>
      <c r="I199" s="37" t="n">
        <f aca="false">I198+H199</f>
        <v>0.755300062393585</v>
      </c>
      <c r="J199" s="37" t="n">
        <f aca="false">A199/2840</f>
        <v>0.0676056338028169</v>
      </c>
      <c r="K199" s="32" t="str">
        <f aca="false">IF(I199&lt;=$E$4,"A",IF(I199&lt;=$E$5,"B","C"))</f>
        <v>A</v>
      </c>
    </row>
    <row r="200" customFormat="false" ht="15" hidden="false" customHeight="false" outlineLevel="0" collapsed="false">
      <c r="A200" s="32" t="n">
        <v>193</v>
      </c>
      <c r="B200" s="33" t="n">
        <v>1257072</v>
      </c>
      <c r="C200" s="34" t="s">
        <v>447</v>
      </c>
      <c r="D200" s="34" t="s">
        <v>448</v>
      </c>
      <c r="E200" s="34" t="s">
        <v>133</v>
      </c>
      <c r="F200" s="32" t="n">
        <f aca="false">COUNTIF(Base!$D$2:$D$2878,B200)</f>
        <v>1</v>
      </c>
      <c r="G200" s="35" t="n">
        <f aca="false">SUMIF(Base!$D$2:$D$2878,B200,Base!$I$2:$I$2878)</f>
        <v>12726.09</v>
      </c>
      <c r="H200" s="36" t="n">
        <f aca="false">IF($G$2849=0,0,G200/$G$2849)</f>
        <v>0.000835114358212014</v>
      </c>
      <c r="I200" s="37" t="n">
        <f aca="false">I199+H200</f>
        <v>0.756135176751797</v>
      </c>
      <c r="J200" s="37" t="n">
        <f aca="false">A200/2840</f>
        <v>0.0679577464788733</v>
      </c>
      <c r="K200" s="32" t="str">
        <f aca="false">IF(I200&lt;=$E$4,"A",IF(I200&lt;=$E$5,"B","C"))</f>
        <v>A</v>
      </c>
    </row>
    <row r="201" customFormat="false" ht="15" hidden="false" customHeight="false" outlineLevel="0" collapsed="false">
      <c r="A201" s="32" t="n">
        <v>194</v>
      </c>
      <c r="B201" s="33" t="n">
        <v>1464699</v>
      </c>
      <c r="C201" s="34" t="s">
        <v>449</v>
      </c>
      <c r="D201" s="34" t="s">
        <v>450</v>
      </c>
      <c r="E201" s="34" t="s">
        <v>100</v>
      </c>
      <c r="F201" s="32" t="n">
        <f aca="false">COUNTIF(Base!$D$2:$D$2878,B201)</f>
        <v>1</v>
      </c>
      <c r="G201" s="35" t="n">
        <f aca="false">SUMIF(Base!$D$2:$D$2878,B201,Base!$I$2:$I$2878)</f>
        <v>12718.64</v>
      </c>
      <c r="H201" s="36" t="n">
        <f aca="false">IF($G$2849=0,0,G201/$G$2849)</f>
        <v>0.000834625472625893</v>
      </c>
      <c r="I201" s="37" t="n">
        <f aca="false">I200+H201</f>
        <v>0.756969802224423</v>
      </c>
      <c r="J201" s="37" t="n">
        <f aca="false">A201/2840</f>
        <v>0.0683098591549296</v>
      </c>
      <c r="K201" s="32" t="str">
        <f aca="false">IF(I201&lt;=$E$4,"A",IF(I201&lt;=$E$5,"B","C"))</f>
        <v>A</v>
      </c>
    </row>
    <row r="202" customFormat="false" ht="15" hidden="false" customHeight="false" outlineLevel="0" collapsed="false">
      <c r="A202" s="32" t="n">
        <v>195</v>
      </c>
      <c r="B202" s="33" t="n">
        <v>49545</v>
      </c>
      <c r="C202" s="34" t="s">
        <v>451</v>
      </c>
      <c r="D202" s="34" t="s">
        <v>452</v>
      </c>
      <c r="E202" s="34" t="s">
        <v>360</v>
      </c>
      <c r="F202" s="32" t="n">
        <f aca="false">COUNTIF(Base!$D$2:$D$2878,B202)</f>
        <v>1</v>
      </c>
      <c r="G202" s="35" t="n">
        <f aca="false">SUMIF(Base!$D$2:$D$2878,B202,Base!$I$2:$I$2878)</f>
        <v>12715.7236</v>
      </c>
      <c r="H202" s="36" t="n">
        <f aca="false">IF($G$2849=0,0,G202/$G$2849)</f>
        <v>0.000834434091965039</v>
      </c>
      <c r="I202" s="37" t="n">
        <f aca="false">I201+H202</f>
        <v>0.757804236316388</v>
      </c>
      <c r="J202" s="37" t="n">
        <f aca="false">A202/2840</f>
        <v>0.0686619718309859</v>
      </c>
      <c r="K202" s="32" t="str">
        <f aca="false">IF(I202&lt;=$E$4,"A",IF(I202&lt;=$E$5,"B","C"))</f>
        <v>A</v>
      </c>
    </row>
    <row r="203" customFormat="false" ht="15" hidden="false" customHeight="false" outlineLevel="0" collapsed="false">
      <c r="A203" s="32" t="n">
        <v>196</v>
      </c>
      <c r="B203" s="33" t="n">
        <v>1614807</v>
      </c>
      <c r="C203" s="34" t="s">
        <v>453</v>
      </c>
      <c r="D203" s="34" t="s">
        <v>454</v>
      </c>
      <c r="E203" s="34" t="s">
        <v>66</v>
      </c>
      <c r="F203" s="32" t="n">
        <f aca="false">COUNTIF(Base!$D$2:$D$2878,B203)</f>
        <v>1</v>
      </c>
      <c r="G203" s="35" t="n">
        <f aca="false">SUMIF(Base!$D$2:$D$2878,B203,Base!$I$2:$I$2878)</f>
        <v>12592</v>
      </c>
      <c r="H203" s="36" t="n">
        <f aca="false">IF($G$2849=0,0,G203/$G$2849)</f>
        <v>0.000826315073884098</v>
      </c>
      <c r="I203" s="37" t="n">
        <f aca="false">I202+H203</f>
        <v>0.758630551390272</v>
      </c>
      <c r="J203" s="37" t="n">
        <f aca="false">A203/2840</f>
        <v>0.0690140845070423</v>
      </c>
      <c r="K203" s="32" t="str">
        <f aca="false">IF(I203&lt;=$E$4,"A",IF(I203&lt;=$E$5,"B","C"))</f>
        <v>A</v>
      </c>
    </row>
    <row r="204" customFormat="false" ht="15" hidden="false" customHeight="false" outlineLevel="0" collapsed="false">
      <c r="A204" s="32" t="n">
        <v>197</v>
      </c>
      <c r="B204" s="33" t="n">
        <v>23993</v>
      </c>
      <c r="C204" s="34" t="s">
        <v>455</v>
      </c>
      <c r="D204" s="34" t="s">
        <v>456</v>
      </c>
      <c r="E204" s="34" t="s">
        <v>457</v>
      </c>
      <c r="F204" s="32" t="n">
        <f aca="false">COUNTIF(Base!$D$2:$D$2878,B204)</f>
        <v>1</v>
      </c>
      <c r="G204" s="35" t="n">
        <f aca="false">SUMIF(Base!$D$2:$D$2878,B204,Base!$I$2:$I$2878)</f>
        <v>12202</v>
      </c>
      <c r="H204" s="36" t="n">
        <f aca="false">IF($G$2849=0,0,G204/$G$2849)</f>
        <v>0.000800722405617357</v>
      </c>
      <c r="I204" s="37" t="n">
        <f aca="false">I203+H204</f>
        <v>0.759431273795889</v>
      </c>
      <c r="J204" s="37" t="n">
        <f aca="false">A204/2840</f>
        <v>0.0693661971830986</v>
      </c>
      <c r="K204" s="32" t="str">
        <f aca="false">IF(I204&lt;=$E$4,"A",IF(I204&lt;=$E$5,"B","C"))</f>
        <v>A</v>
      </c>
    </row>
    <row r="205" customFormat="false" ht="15" hidden="false" customHeight="false" outlineLevel="0" collapsed="false">
      <c r="A205" s="32" t="n">
        <v>198</v>
      </c>
      <c r="B205" s="33" t="n">
        <v>884893</v>
      </c>
      <c r="C205" s="34" t="s">
        <v>458</v>
      </c>
      <c r="D205" s="34" t="s">
        <v>459</v>
      </c>
      <c r="E205" s="34" t="s">
        <v>38</v>
      </c>
      <c r="F205" s="32" t="n">
        <f aca="false">COUNTIF(Base!$D$2:$D$2878,B205)</f>
        <v>1</v>
      </c>
      <c r="G205" s="35" t="n">
        <f aca="false">SUMIF(Base!$D$2:$D$2878,B205,Base!$I$2:$I$2878)</f>
        <v>12133.17</v>
      </c>
      <c r="H205" s="36" t="n">
        <f aca="false">IF($G$2849=0,0,G205/$G$2849)</f>
        <v>0.000796205627779409</v>
      </c>
      <c r="I205" s="37" t="n">
        <f aca="false">I204+H205</f>
        <v>0.760227479423669</v>
      </c>
      <c r="J205" s="37" t="n">
        <f aca="false">A205/2840</f>
        <v>0.0697183098591549</v>
      </c>
      <c r="K205" s="32" t="str">
        <f aca="false">IF(I205&lt;=$E$4,"A",IF(I205&lt;=$E$5,"B","C"))</f>
        <v>A</v>
      </c>
    </row>
    <row r="206" customFormat="false" ht="15" hidden="false" customHeight="false" outlineLevel="0" collapsed="false">
      <c r="A206" s="32" t="n">
        <v>199</v>
      </c>
      <c r="B206" s="33" t="n">
        <v>140281</v>
      </c>
      <c r="C206" s="34" t="s">
        <v>460</v>
      </c>
      <c r="D206" s="34" t="s">
        <v>461</v>
      </c>
      <c r="E206" s="34" t="s">
        <v>38</v>
      </c>
      <c r="F206" s="32" t="n">
        <f aca="false">COUNTIF(Base!$D$2:$D$2878,B206)</f>
        <v>1</v>
      </c>
      <c r="G206" s="35" t="n">
        <f aca="false">SUMIF(Base!$D$2:$D$2878,B206,Base!$I$2:$I$2878)</f>
        <v>11980</v>
      </c>
      <c r="H206" s="36" t="n">
        <f aca="false">IF($G$2849=0,0,G206/$G$2849)</f>
        <v>0.000786154271373213</v>
      </c>
      <c r="I206" s="37" t="n">
        <f aca="false">I205+H206</f>
        <v>0.761013633695042</v>
      </c>
      <c r="J206" s="37" t="n">
        <f aca="false">A206/2840</f>
        <v>0.0700704225352113</v>
      </c>
      <c r="K206" s="32" t="str">
        <f aca="false">IF(I206&lt;=$E$4,"A",IF(I206&lt;=$E$5,"B","C"))</f>
        <v>A</v>
      </c>
    </row>
    <row r="207" customFormat="false" ht="15" hidden="false" customHeight="false" outlineLevel="0" collapsed="false">
      <c r="A207" s="32" t="n">
        <v>200</v>
      </c>
      <c r="B207" s="33" t="n">
        <v>1263306</v>
      </c>
      <c r="C207" s="34" t="s">
        <v>462</v>
      </c>
      <c r="D207" s="34" t="s">
        <v>463</v>
      </c>
      <c r="E207" s="34" t="s">
        <v>247</v>
      </c>
      <c r="F207" s="32" t="n">
        <f aca="false">COUNTIF(Base!$D$2:$D$2878,B207)</f>
        <v>1</v>
      </c>
      <c r="G207" s="35" t="n">
        <f aca="false">SUMIF(Base!$D$2:$D$2878,B207,Base!$I$2:$I$2878)</f>
        <v>11965</v>
      </c>
      <c r="H207" s="36" t="n">
        <f aca="false">IF($G$2849=0,0,G207/$G$2849)</f>
        <v>0.000785169937978338</v>
      </c>
      <c r="I207" s="37" t="n">
        <f aca="false">I206+H207</f>
        <v>0.76179880363302</v>
      </c>
      <c r="J207" s="37" t="n">
        <f aca="false">A207/2840</f>
        <v>0.0704225352112676</v>
      </c>
      <c r="K207" s="32" t="str">
        <f aca="false">IF(I207&lt;=$E$4,"A",IF(I207&lt;=$E$5,"B","C"))</f>
        <v>A</v>
      </c>
    </row>
    <row r="208" customFormat="false" ht="15" hidden="false" customHeight="false" outlineLevel="0" collapsed="false">
      <c r="A208" s="32" t="n">
        <v>201</v>
      </c>
      <c r="B208" s="33" t="n">
        <v>1604397</v>
      </c>
      <c r="C208" s="34" t="s">
        <v>464</v>
      </c>
      <c r="D208" s="34" t="s">
        <v>465</v>
      </c>
      <c r="E208" s="34" t="s">
        <v>38</v>
      </c>
      <c r="F208" s="32" t="n">
        <f aca="false">COUNTIF(Base!$D$2:$D$2878,B208)</f>
        <v>1</v>
      </c>
      <c r="G208" s="35" t="n">
        <f aca="false">SUMIF(Base!$D$2:$D$2878,B208,Base!$I$2:$I$2878)</f>
        <v>11916</v>
      </c>
      <c r="H208" s="36" t="n">
        <f aca="false">IF($G$2849=0,0,G208/$G$2849)</f>
        <v>0.000781954448888414</v>
      </c>
      <c r="I208" s="37" t="n">
        <f aca="false">I207+H208</f>
        <v>0.762580758081909</v>
      </c>
      <c r="J208" s="37" t="n">
        <f aca="false">A208/2840</f>
        <v>0.070774647887324</v>
      </c>
      <c r="K208" s="32" t="str">
        <f aca="false">IF(I208&lt;=$E$4,"A",IF(I208&lt;=$E$5,"B","C"))</f>
        <v>A</v>
      </c>
    </row>
    <row r="209" customFormat="false" ht="15" hidden="false" customHeight="false" outlineLevel="0" collapsed="false">
      <c r="A209" s="32" t="n">
        <v>202</v>
      </c>
      <c r="B209" s="33" t="n">
        <v>1470346</v>
      </c>
      <c r="C209" s="34" t="s">
        <v>466</v>
      </c>
      <c r="D209" s="34" t="s">
        <v>467</v>
      </c>
      <c r="E209" s="34" t="s">
        <v>130</v>
      </c>
      <c r="F209" s="32" t="n">
        <f aca="false">COUNTIF(Base!$D$2:$D$2878,B209)</f>
        <v>1</v>
      </c>
      <c r="G209" s="35" t="n">
        <f aca="false">SUMIF(Base!$D$2:$D$2878,B209,Base!$I$2:$I$2878)</f>
        <v>11910</v>
      </c>
      <c r="H209" s="36" t="n">
        <f aca="false">IF($G$2849=0,0,G209/$G$2849)</f>
        <v>0.000781560715530464</v>
      </c>
      <c r="I209" s="37" t="n">
        <f aca="false">I208+H209</f>
        <v>0.763362318797439</v>
      </c>
      <c r="J209" s="37" t="n">
        <f aca="false">A209/2840</f>
        <v>0.0711267605633803</v>
      </c>
      <c r="K209" s="32" t="str">
        <f aca="false">IF(I209&lt;=$E$4,"A",IF(I209&lt;=$E$5,"B","C"))</f>
        <v>A</v>
      </c>
    </row>
    <row r="210" customFormat="false" ht="15" hidden="false" customHeight="false" outlineLevel="0" collapsed="false">
      <c r="A210" s="32" t="n">
        <v>203</v>
      </c>
      <c r="B210" s="33" t="n">
        <v>1088310</v>
      </c>
      <c r="C210" s="34" t="s">
        <v>468</v>
      </c>
      <c r="D210" s="34" t="s">
        <v>469</v>
      </c>
      <c r="E210" s="34" t="s">
        <v>363</v>
      </c>
      <c r="F210" s="32" t="n">
        <f aca="false">COUNTIF(Base!$D$2:$D$2878,B210)</f>
        <v>1</v>
      </c>
      <c r="G210" s="35" t="n">
        <f aca="false">SUMIF(Base!$D$2:$D$2878,B210,Base!$I$2:$I$2878)</f>
        <v>11827.5</v>
      </c>
      <c r="H210" s="36" t="n">
        <f aca="false">IF($G$2849=0,0,G210/$G$2849)</f>
        <v>0.000776146881858654</v>
      </c>
      <c r="I210" s="37" t="n">
        <f aca="false">I209+H210</f>
        <v>0.764138465679298</v>
      </c>
      <c r="J210" s="37" t="n">
        <f aca="false">A210/2840</f>
        <v>0.0714788732394366</v>
      </c>
      <c r="K210" s="32" t="str">
        <f aca="false">IF(I210&lt;=$E$4,"A",IF(I210&lt;=$E$5,"B","C"))</f>
        <v>A</v>
      </c>
    </row>
    <row r="211" customFormat="false" ht="15" hidden="false" customHeight="false" outlineLevel="0" collapsed="false">
      <c r="A211" s="32" t="n">
        <v>204</v>
      </c>
      <c r="B211" s="33" t="n">
        <v>141988</v>
      </c>
      <c r="C211" s="34" t="s">
        <v>470</v>
      </c>
      <c r="D211" s="34" t="s">
        <v>471</v>
      </c>
      <c r="E211" s="34" t="s">
        <v>38</v>
      </c>
      <c r="F211" s="32" t="n">
        <f aca="false">COUNTIF(Base!$D$2:$D$2878,B211)</f>
        <v>1</v>
      </c>
      <c r="G211" s="35" t="n">
        <f aca="false">SUMIF(Base!$D$2:$D$2878,B211,Base!$I$2:$I$2878)</f>
        <v>11728.04</v>
      </c>
      <c r="H211" s="36" t="n">
        <f aca="false">IF($G$2849=0,0,G211/$G$2849)</f>
        <v>0.000769620095228372</v>
      </c>
      <c r="I211" s="37" t="n">
        <f aca="false">I210+H211</f>
        <v>0.764908085774526</v>
      </c>
      <c r="J211" s="37" t="n">
        <f aca="false">A211/2840</f>
        <v>0.071830985915493</v>
      </c>
      <c r="K211" s="32" t="str">
        <f aca="false">IF(I211&lt;=$E$4,"A",IF(I211&lt;=$E$5,"B","C"))</f>
        <v>A</v>
      </c>
    </row>
    <row r="212" customFormat="false" ht="15" hidden="false" customHeight="false" outlineLevel="0" collapsed="false">
      <c r="A212" s="32" t="n">
        <v>205</v>
      </c>
      <c r="B212" s="33" t="n">
        <v>29799</v>
      </c>
      <c r="C212" s="34" t="s">
        <v>472</v>
      </c>
      <c r="D212" s="34" t="s">
        <v>473</v>
      </c>
      <c r="E212" s="34" t="s">
        <v>90</v>
      </c>
      <c r="F212" s="32" t="n">
        <f aca="false">COUNTIF(Base!$D$2:$D$2878,B212)</f>
        <v>1</v>
      </c>
      <c r="G212" s="35" t="n">
        <f aca="false">SUMIF(Base!$D$2:$D$2878,B212,Base!$I$2:$I$2878)</f>
        <v>11700</v>
      </c>
      <c r="H212" s="36" t="n">
        <f aca="false">IF($G$2849=0,0,G212/$G$2849)</f>
        <v>0.000767780048002219</v>
      </c>
      <c r="I212" s="37" t="n">
        <f aca="false">I211+H212</f>
        <v>0.765675865822528</v>
      </c>
      <c r="J212" s="37" t="n">
        <f aca="false">A212/2840</f>
        <v>0.0721830985915493</v>
      </c>
      <c r="K212" s="32" t="str">
        <f aca="false">IF(I212&lt;=$E$4,"A",IF(I212&lt;=$E$5,"B","C"))</f>
        <v>A</v>
      </c>
    </row>
    <row r="213" customFormat="false" ht="15" hidden="false" customHeight="false" outlineLevel="0" collapsed="false">
      <c r="A213" s="32" t="n">
        <v>206</v>
      </c>
      <c r="B213" s="33" t="n">
        <v>1688073</v>
      </c>
      <c r="C213" s="34" t="s">
        <v>474</v>
      </c>
      <c r="D213" s="34" t="s">
        <v>475</v>
      </c>
      <c r="E213" s="34" t="s">
        <v>355</v>
      </c>
      <c r="F213" s="32" t="n">
        <f aca="false">COUNTIF(Base!$D$2:$D$2878,B213)</f>
        <v>1</v>
      </c>
      <c r="G213" s="35" t="n">
        <f aca="false">SUMIF(Base!$D$2:$D$2878,B213,Base!$I$2:$I$2878)</f>
        <v>11610</v>
      </c>
      <c r="H213" s="36" t="n">
        <f aca="false">IF($G$2849=0,0,G213/$G$2849)</f>
        <v>0.000761874047632972</v>
      </c>
      <c r="I213" s="37" t="n">
        <f aca="false">I212+H213</f>
        <v>0.766437739870161</v>
      </c>
      <c r="J213" s="37" t="n">
        <f aca="false">A213/2840</f>
        <v>0.0725352112676056</v>
      </c>
      <c r="K213" s="32" t="str">
        <f aca="false">IF(I213&lt;=$E$4,"A",IF(I213&lt;=$E$5,"B","C"))</f>
        <v>A</v>
      </c>
    </row>
    <row r="214" customFormat="false" ht="15" hidden="false" customHeight="false" outlineLevel="0" collapsed="false">
      <c r="A214" s="32" t="n">
        <v>207</v>
      </c>
      <c r="B214" s="33" t="n">
        <v>1327715</v>
      </c>
      <c r="C214" s="34" t="s">
        <v>476</v>
      </c>
      <c r="D214" s="34" t="s">
        <v>477</v>
      </c>
      <c r="E214" s="34" t="s">
        <v>54</v>
      </c>
      <c r="F214" s="32" t="n">
        <f aca="false">COUNTIF(Base!$D$2:$D$2878,B214)</f>
        <v>1</v>
      </c>
      <c r="G214" s="35" t="n">
        <f aca="false">SUMIF(Base!$D$2:$D$2878,B214,Base!$I$2:$I$2878)</f>
        <v>11462.21</v>
      </c>
      <c r="H214" s="36" t="n">
        <f aca="false">IF($G$2849=0,0,G214/$G$2849)</f>
        <v>0.000752175738804403</v>
      </c>
      <c r="I214" s="37" t="n">
        <f aca="false">I213+H214</f>
        <v>0.767189915608966</v>
      </c>
      <c r="J214" s="37" t="n">
        <f aca="false">A214/2840</f>
        <v>0.072887323943662</v>
      </c>
      <c r="K214" s="32" t="str">
        <f aca="false">IF(I214&lt;=$E$4,"A",IF(I214&lt;=$E$5,"B","C"))</f>
        <v>A</v>
      </c>
    </row>
    <row r="215" customFormat="false" ht="15" hidden="false" customHeight="false" outlineLevel="0" collapsed="false">
      <c r="A215" s="32" t="n">
        <v>208</v>
      </c>
      <c r="B215" s="33" t="n">
        <v>950840</v>
      </c>
      <c r="C215" s="34" t="s">
        <v>478</v>
      </c>
      <c r="D215" s="34" t="s">
        <v>479</v>
      </c>
      <c r="E215" s="34" t="s">
        <v>480</v>
      </c>
      <c r="F215" s="32" t="n">
        <f aca="false">COUNTIF(Base!$D$2:$D$2878,B215)</f>
        <v>1</v>
      </c>
      <c r="G215" s="35" t="n">
        <f aca="false">SUMIF(Base!$D$2:$D$2878,B215,Base!$I$2:$I$2878)</f>
        <v>11426.9672</v>
      </c>
      <c r="H215" s="36" t="n">
        <f aca="false">IF($G$2849=0,0,G215/$G$2849)</f>
        <v>0.000749863027806477</v>
      </c>
      <c r="I215" s="37" t="n">
        <f aca="false">I214+H215</f>
        <v>0.767939778636772</v>
      </c>
      <c r="J215" s="37" t="n">
        <f aca="false">A215/2840</f>
        <v>0.0732394366197183</v>
      </c>
      <c r="K215" s="32" t="str">
        <f aca="false">IF(I215&lt;=$E$4,"A",IF(I215&lt;=$E$5,"B","C"))</f>
        <v>A</v>
      </c>
    </row>
    <row r="216" customFormat="false" ht="15" hidden="false" customHeight="false" outlineLevel="0" collapsed="false">
      <c r="A216" s="32" t="n">
        <v>209</v>
      </c>
      <c r="B216" s="33" t="n">
        <v>1467472</v>
      </c>
      <c r="C216" s="34" t="s">
        <v>481</v>
      </c>
      <c r="D216" s="34" t="s">
        <v>482</v>
      </c>
      <c r="E216" s="34" t="s">
        <v>38</v>
      </c>
      <c r="F216" s="32" t="n">
        <f aca="false">COUNTIF(Base!$D$2:$D$2878,B216)</f>
        <v>1</v>
      </c>
      <c r="G216" s="35" t="n">
        <f aca="false">SUMIF(Base!$D$2:$D$2878,B216,Base!$I$2:$I$2878)</f>
        <v>11400</v>
      </c>
      <c r="H216" s="36" t="n">
        <f aca="false">IF($G$2849=0,0,G216/$G$2849)</f>
        <v>0.000748093380104727</v>
      </c>
      <c r="I216" s="37" t="n">
        <f aca="false">I215+H216</f>
        <v>0.768687872016877</v>
      </c>
      <c r="J216" s="37" t="n">
        <f aca="false">A216/2840</f>
        <v>0.0735915492957747</v>
      </c>
      <c r="K216" s="32" t="str">
        <f aca="false">IF(I216&lt;=$E$4,"A",IF(I216&lt;=$E$5,"B","C"))</f>
        <v>A</v>
      </c>
    </row>
    <row r="217" customFormat="false" ht="15" hidden="false" customHeight="false" outlineLevel="0" collapsed="false">
      <c r="A217" s="32" t="n">
        <v>210</v>
      </c>
      <c r="B217" s="33" t="n">
        <v>277123</v>
      </c>
      <c r="C217" s="34" t="s">
        <v>483</v>
      </c>
      <c r="D217" s="34" t="s">
        <v>484</v>
      </c>
      <c r="E217" s="34" t="s">
        <v>75</v>
      </c>
      <c r="F217" s="32" t="n">
        <f aca="false">COUNTIF(Base!$D$2:$D$2878,B217)</f>
        <v>1</v>
      </c>
      <c r="G217" s="35" t="n">
        <f aca="false">SUMIF(Base!$D$2:$D$2878,B217,Base!$I$2:$I$2878)</f>
        <v>11394</v>
      </c>
      <c r="H217" s="36" t="n">
        <f aca="false">IF($G$2849=0,0,G217/$G$2849)</f>
        <v>0.000747699646746777</v>
      </c>
      <c r="I217" s="37" t="n">
        <f aca="false">I216+H217</f>
        <v>0.769435571663624</v>
      </c>
      <c r="J217" s="37" t="n">
        <f aca="false">A217/2840</f>
        <v>0.073943661971831</v>
      </c>
      <c r="K217" s="32" t="str">
        <f aca="false">IF(I217&lt;=$E$4,"A",IF(I217&lt;=$E$5,"B","C"))</f>
        <v>A</v>
      </c>
    </row>
    <row r="218" customFormat="false" ht="15" hidden="false" customHeight="false" outlineLevel="0" collapsed="false">
      <c r="A218" s="32" t="n">
        <v>211</v>
      </c>
      <c r="B218" s="33" t="n">
        <v>1384482</v>
      </c>
      <c r="C218" s="34" t="s">
        <v>485</v>
      </c>
      <c r="D218" s="34" t="s">
        <v>486</v>
      </c>
      <c r="E218" s="34" t="s">
        <v>38</v>
      </c>
      <c r="F218" s="32" t="n">
        <f aca="false">COUNTIF(Base!$D$2:$D$2878,B218)</f>
        <v>1</v>
      </c>
      <c r="G218" s="35" t="n">
        <f aca="false">SUMIF(Base!$D$2:$D$2878,B218,Base!$I$2:$I$2878)</f>
        <v>11321.64</v>
      </c>
      <c r="H218" s="36" t="n">
        <f aca="false">IF($G$2849=0,0,G218/$G$2849)</f>
        <v>0.000742951222449901</v>
      </c>
      <c r="I218" s="37" t="n">
        <f aca="false">I217+H218</f>
        <v>0.770178522886074</v>
      </c>
      <c r="J218" s="37" t="n">
        <f aca="false">A218/2840</f>
        <v>0.0742957746478873</v>
      </c>
      <c r="K218" s="32" t="str">
        <f aca="false">IF(I218&lt;=$E$4,"A",IF(I218&lt;=$E$5,"B","C"))</f>
        <v>A</v>
      </c>
    </row>
    <row r="219" customFormat="false" ht="15" hidden="false" customHeight="false" outlineLevel="0" collapsed="false">
      <c r="A219" s="32" t="n">
        <v>212</v>
      </c>
      <c r="B219" s="33" t="n">
        <v>1092400</v>
      </c>
      <c r="C219" s="34" t="s">
        <v>487</v>
      </c>
      <c r="D219" s="34" t="s">
        <v>488</v>
      </c>
      <c r="E219" s="34" t="s">
        <v>130</v>
      </c>
      <c r="F219" s="32" t="n">
        <f aca="false">COUNTIF(Base!$D$2:$D$2878,B219)</f>
        <v>1</v>
      </c>
      <c r="G219" s="35" t="n">
        <f aca="false">SUMIF(Base!$D$2:$D$2878,B219,Base!$I$2:$I$2878)</f>
        <v>11300.4</v>
      </c>
      <c r="H219" s="36" t="n">
        <f aca="false">IF($G$2849=0,0,G219/$G$2849)</f>
        <v>0.000741557406362759</v>
      </c>
      <c r="I219" s="37" t="n">
        <f aca="false">I218+H219</f>
        <v>0.770920080292436</v>
      </c>
      <c r="J219" s="37" t="n">
        <f aca="false">A219/2840</f>
        <v>0.0746478873239437</v>
      </c>
      <c r="K219" s="32" t="str">
        <f aca="false">IF(I219&lt;=$E$4,"A",IF(I219&lt;=$E$5,"B","C"))</f>
        <v>A</v>
      </c>
    </row>
    <row r="220" customFormat="false" ht="15" hidden="false" customHeight="false" outlineLevel="0" collapsed="false">
      <c r="A220" s="32" t="n">
        <v>213</v>
      </c>
      <c r="B220" s="33" t="n">
        <v>609695</v>
      </c>
      <c r="C220" s="34" t="s">
        <v>489</v>
      </c>
      <c r="D220" s="34" t="s">
        <v>490</v>
      </c>
      <c r="E220" s="34" t="s">
        <v>491</v>
      </c>
      <c r="F220" s="32" t="n">
        <f aca="false">COUNTIF(Base!$D$2:$D$2878,B220)</f>
        <v>1</v>
      </c>
      <c r="G220" s="35" t="n">
        <f aca="false">SUMIF(Base!$D$2:$D$2878,B220,Base!$I$2:$I$2878)</f>
        <v>11292.9</v>
      </c>
      <c r="H220" s="36" t="n">
        <f aca="false">IF($G$2849=0,0,G220/$G$2849)</f>
        <v>0.000741065239665322</v>
      </c>
      <c r="I220" s="37" t="n">
        <f aca="false">I219+H220</f>
        <v>0.771661145532102</v>
      </c>
      <c r="J220" s="37" t="n">
        <f aca="false">A220/2840</f>
        <v>0.075</v>
      </c>
      <c r="K220" s="32" t="str">
        <f aca="false">IF(I220&lt;=$E$4,"A",IF(I220&lt;=$E$5,"B","C"))</f>
        <v>A</v>
      </c>
    </row>
    <row r="221" customFormat="false" ht="15" hidden="false" customHeight="false" outlineLevel="0" collapsed="false">
      <c r="A221" s="32" t="n">
        <v>214</v>
      </c>
      <c r="B221" s="33" t="n">
        <v>1463615</v>
      </c>
      <c r="C221" s="34" t="s">
        <v>492</v>
      </c>
      <c r="D221" s="34" t="s">
        <v>493</v>
      </c>
      <c r="E221" s="34" t="s">
        <v>494</v>
      </c>
      <c r="F221" s="32" t="n">
        <f aca="false">COUNTIF(Base!$D$2:$D$2878,B221)</f>
        <v>1</v>
      </c>
      <c r="G221" s="35" t="n">
        <f aca="false">SUMIF(Base!$D$2:$D$2878,B221,Base!$I$2:$I$2878)</f>
        <v>11242.1</v>
      </c>
      <c r="H221" s="36" t="n">
        <f aca="false">IF($G$2849=0,0,G221/$G$2849)</f>
        <v>0.000737731630568013</v>
      </c>
      <c r="I221" s="37" t="n">
        <f aca="false">I220+H221</f>
        <v>0.77239887716267</v>
      </c>
      <c r="J221" s="37" t="n">
        <f aca="false">A221/2840</f>
        <v>0.0753521126760563</v>
      </c>
      <c r="K221" s="32" t="str">
        <f aca="false">IF(I221&lt;=$E$4,"A",IF(I221&lt;=$E$5,"B","C"))</f>
        <v>A</v>
      </c>
    </row>
    <row r="222" customFormat="false" ht="15" hidden="false" customHeight="false" outlineLevel="0" collapsed="false">
      <c r="A222" s="32" t="n">
        <v>215</v>
      </c>
      <c r="B222" s="33" t="n">
        <v>1382694</v>
      </c>
      <c r="C222" s="34" t="s">
        <v>495</v>
      </c>
      <c r="D222" s="34" t="s">
        <v>496</v>
      </c>
      <c r="E222" s="34" t="s">
        <v>100</v>
      </c>
      <c r="F222" s="32" t="n">
        <f aca="false">COUNTIF(Base!$D$2:$D$2878,B222)</f>
        <v>1</v>
      </c>
      <c r="G222" s="35" t="n">
        <f aca="false">SUMIF(Base!$D$2:$D$2878,B222,Base!$I$2:$I$2878)</f>
        <v>11177.04</v>
      </c>
      <c r="H222" s="36" t="n">
        <f aca="false">IF($G$2849=0,0,G222/$G$2849)</f>
        <v>0.00073346224852331</v>
      </c>
      <c r="I222" s="37" t="n">
        <f aca="false">I221+H222</f>
        <v>0.773132339411193</v>
      </c>
      <c r="J222" s="37" t="n">
        <f aca="false">A222/2840</f>
        <v>0.0757042253521127</v>
      </c>
      <c r="K222" s="32" t="str">
        <f aca="false">IF(I222&lt;=$E$4,"A",IF(I222&lt;=$E$5,"B","C"))</f>
        <v>A</v>
      </c>
    </row>
    <row r="223" customFormat="false" ht="15" hidden="false" customHeight="false" outlineLevel="0" collapsed="false">
      <c r="A223" s="32" t="n">
        <v>216</v>
      </c>
      <c r="B223" s="33" t="n">
        <v>30892</v>
      </c>
      <c r="C223" s="34" t="s">
        <v>497</v>
      </c>
      <c r="D223" s="34" t="s">
        <v>498</v>
      </c>
      <c r="E223" s="34" t="s">
        <v>38</v>
      </c>
      <c r="F223" s="32" t="n">
        <f aca="false">COUNTIF(Base!$D$2:$D$2878,B223)</f>
        <v>1</v>
      </c>
      <c r="G223" s="35" t="n">
        <f aca="false">SUMIF(Base!$D$2:$D$2878,B223,Base!$I$2:$I$2878)</f>
        <v>11140</v>
      </c>
      <c r="H223" s="36" t="n">
        <f aca="false">IF($G$2849=0,0,G223/$G$2849)</f>
        <v>0.000731031601260233</v>
      </c>
      <c r="I223" s="37" t="n">
        <f aca="false">I222+H223</f>
        <v>0.773863371012453</v>
      </c>
      <c r="J223" s="37" t="n">
        <f aca="false">A223/2840</f>
        <v>0.076056338028169</v>
      </c>
      <c r="K223" s="32" t="str">
        <f aca="false">IF(I223&lt;=$E$4,"A",IF(I223&lt;=$E$5,"B","C"))</f>
        <v>A</v>
      </c>
    </row>
    <row r="224" customFormat="false" ht="15" hidden="false" customHeight="false" outlineLevel="0" collapsed="false">
      <c r="A224" s="32" t="n">
        <v>217</v>
      </c>
      <c r="B224" s="33" t="n">
        <v>32105</v>
      </c>
      <c r="C224" s="34" t="s">
        <v>499</v>
      </c>
      <c r="D224" s="34" t="s">
        <v>500</v>
      </c>
      <c r="E224" s="34" t="s">
        <v>133</v>
      </c>
      <c r="F224" s="32" t="n">
        <f aca="false">COUNTIF(Base!$D$2:$D$2878,B224)</f>
        <v>1</v>
      </c>
      <c r="G224" s="35" t="n">
        <f aca="false">SUMIF(Base!$D$2:$D$2878,B224,Base!$I$2:$I$2878)</f>
        <v>11108.17</v>
      </c>
      <c r="H224" s="36" t="n">
        <f aca="false">IF($G$2849=0,0,G224/$G$2849)</f>
        <v>0.000728942845796309</v>
      </c>
      <c r="I224" s="37" t="n">
        <f aca="false">I223+H224</f>
        <v>0.774592313858249</v>
      </c>
      <c r="J224" s="37" t="n">
        <f aca="false">A224/2840</f>
        <v>0.0764084507042254</v>
      </c>
      <c r="K224" s="32" t="str">
        <f aca="false">IF(I224&lt;=$E$4,"A",IF(I224&lt;=$E$5,"B","C"))</f>
        <v>A</v>
      </c>
    </row>
    <row r="225" customFormat="false" ht="15" hidden="false" customHeight="false" outlineLevel="0" collapsed="false">
      <c r="A225" s="32" t="n">
        <v>218</v>
      </c>
      <c r="B225" s="33" t="n">
        <v>1462171</v>
      </c>
      <c r="C225" s="34" t="s">
        <v>501</v>
      </c>
      <c r="D225" s="34" t="s">
        <v>502</v>
      </c>
      <c r="E225" s="34" t="s">
        <v>54</v>
      </c>
      <c r="F225" s="32" t="n">
        <f aca="false">COUNTIF(Base!$D$2:$D$2878,B225)</f>
        <v>1</v>
      </c>
      <c r="G225" s="35" t="n">
        <f aca="false">SUMIF(Base!$D$2:$D$2878,B225,Base!$I$2:$I$2878)</f>
        <v>11104</v>
      </c>
      <c r="H225" s="36" t="n">
        <f aca="false">IF($G$2849=0,0,G225/$G$2849)</f>
        <v>0.000728669201112534</v>
      </c>
      <c r="I225" s="37" t="n">
        <f aca="false">I224+H225</f>
        <v>0.775320983059362</v>
      </c>
      <c r="J225" s="37" t="n">
        <f aca="false">A225/2840</f>
        <v>0.0767605633802817</v>
      </c>
      <c r="K225" s="32" t="str">
        <f aca="false">IF(I225&lt;=$E$4,"A",IF(I225&lt;=$E$5,"B","C"))</f>
        <v>A</v>
      </c>
    </row>
    <row r="226" customFormat="false" ht="15" hidden="false" customHeight="false" outlineLevel="0" collapsed="false">
      <c r="A226" s="32" t="n">
        <v>219</v>
      </c>
      <c r="B226" s="33" t="n">
        <v>287810</v>
      </c>
      <c r="C226" s="34" t="s">
        <v>503</v>
      </c>
      <c r="D226" s="34" t="s">
        <v>504</v>
      </c>
      <c r="E226" s="34" t="s">
        <v>35</v>
      </c>
      <c r="F226" s="32" t="n">
        <f aca="false">COUNTIF(Base!$D$2:$D$2878,B226)</f>
        <v>1</v>
      </c>
      <c r="G226" s="35" t="n">
        <f aca="false">SUMIF(Base!$D$2:$D$2878,B226,Base!$I$2:$I$2878)</f>
        <v>11100</v>
      </c>
      <c r="H226" s="36" t="n">
        <f aca="false">IF($G$2849=0,0,G226/$G$2849)</f>
        <v>0.000728406712207234</v>
      </c>
      <c r="I226" s="37" t="n">
        <f aca="false">I225+H226</f>
        <v>0.776049389771569</v>
      </c>
      <c r="J226" s="37" t="n">
        <f aca="false">A226/2840</f>
        <v>0.077112676056338</v>
      </c>
      <c r="K226" s="32" t="str">
        <f aca="false">IF(I226&lt;=$E$4,"A",IF(I226&lt;=$E$5,"B","C"))</f>
        <v>A</v>
      </c>
    </row>
    <row r="227" customFormat="false" ht="15" hidden="false" customHeight="false" outlineLevel="0" collapsed="false">
      <c r="A227" s="32" t="n">
        <v>220</v>
      </c>
      <c r="B227" s="33" t="n">
        <v>18983</v>
      </c>
      <c r="C227" s="34" t="s">
        <v>505</v>
      </c>
      <c r="D227" s="34" t="s">
        <v>506</v>
      </c>
      <c r="E227" s="34" t="s">
        <v>360</v>
      </c>
      <c r="F227" s="32" t="n">
        <f aca="false">COUNTIF(Base!$D$2:$D$2878,B227)</f>
        <v>1</v>
      </c>
      <c r="G227" s="35" t="n">
        <f aca="false">SUMIF(Base!$D$2:$D$2878,B227,Base!$I$2:$I$2878)</f>
        <v>11000</v>
      </c>
      <c r="H227" s="36" t="n">
        <f aca="false">IF($G$2849=0,0,G227/$G$2849)</f>
        <v>0.000721844489574736</v>
      </c>
      <c r="I227" s="37" t="n">
        <f aca="false">I226+H227</f>
        <v>0.776771234261144</v>
      </c>
      <c r="J227" s="37" t="n">
        <f aca="false">A227/2840</f>
        <v>0.0774647887323944</v>
      </c>
      <c r="K227" s="32" t="str">
        <f aca="false">IF(I227&lt;=$E$4,"A",IF(I227&lt;=$E$5,"B","C"))</f>
        <v>A</v>
      </c>
    </row>
    <row r="228" customFormat="false" ht="15" hidden="false" customHeight="false" outlineLevel="0" collapsed="false">
      <c r="A228" s="32" t="n">
        <v>221</v>
      </c>
      <c r="B228" s="33" t="n">
        <v>1476119</v>
      </c>
      <c r="C228" s="34" t="s">
        <v>507</v>
      </c>
      <c r="D228" s="34" t="s">
        <v>508</v>
      </c>
      <c r="E228" s="34" t="s">
        <v>509</v>
      </c>
      <c r="F228" s="32" t="n">
        <f aca="false">COUNTIF(Base!$D$2:$D$2878,B228)</f>
        <v>1</v>
      </c>
      <c r="G228" s="35" t="n">
        <f aca="false">SUMIF(Base!$D$2:$D$2878,B228,Base!$I$2:$I$2878)</f>
        <v>10800</v>
      </c>
      <c r="H228" s="36" t="n">
        <f aca="false">IF($G$2849=0,0,G228/$G$2849)</f>
        <v>0.000708720044309741</v>
      </c>
      <c r="I228" s="37" t="n">
        <f aca="false">I227+H228</f>
        <v>0.777479954305454</v>
      </c>
      <c r="J228" s="37" t="n">
        <f aca="false">A228/2840</f>
        <v>0.0778169014084507</v>
      </c>
      <c r="K228" s="32" t="str">
        <f aca="false">IF(I228&lt;=$E$4,"A",IF(I228&lt;=$E$5,"B","C"))</f>
        <v>A</v>
      </c>
    </row>
    <row r="229" customFormat="false" ht="15" hidden="false" customHeight="false" outlineLevel="0" collapsed="false">
      <c r="A229" s="32" t="n">
        <v>222</v>
      </c>
      <c r="B229" s="33" t="n">
        <v>1654230</v>
      </c>
      <c r="C229" s="34" t="s">
        <v>510</v>
      </c>
      <c r="D229" s="34" t="s">
        <v>511</v>
      </c>
      <c r="E229" s="34" t="s">
        <v>195</v>
      </c>
      <c r="F229" s="32" t="n">
        <f aca="false">COUNTIF(Base!$D$2:$D$2878,B229)</f>
        <v>1</v>
      </c>
      <c r="G229" s="35" t="n">
        <f aca="false">SUMIF(Base!$D$2:$D$2878,B229,Base!$I$2:$I$2878)</f>
        <v>10788.69</v>
      </c>
      <c r="H229" s="36" t="n">
        <f aca="false">IF($G$2849=0,0,G229/$G$2849)</f>
        <v>0.000707977856930006</v>
      </c>
      <c r="I229" s="37" t="n">
        <f aca="false">I228+H229</f>
        <v>0.778187932162384</v>
      </c>
      <c r="J229" s="37" t="n">
        <f aca="false">A229/2840</f>
        <v>0.0781690140845071</v>
      </c>
      <c r="K229" s="32" t="str">
        <f aca="false">IF(I229&lt;=$E$4,"A",IF(I229&lt;=$E$5,"B","C"))</f>
        <v>A</v>
      </c>
    </row>
    <row r="230" customFormat="false" ht="15" hidden="false" customHeight="false" outlineLevel="0" collapsed="false">
      <c r="A230" s="32" t="n">
        <v>223</v>
      </c>
      <c r="B230" s="33" t="n">
        <v>1384794</v>
      </c>
      <c r="C230" s="34" t="s">
        <v>512</v>
      </c>
      <c r="D230" s="34" t="s">
        <v>513</v>
      </c>
      <c r="E230" s="34" t="s">
        <v>38</v>
      </c>
      <c r="F230" s="32" t="n">
        <f aca="false">COUNTIF(Base!$D$2:$D$2878,B230)</f>
        <v>1</v>
      </c>
      <c r="G230" s="35" t="n">
        <f aca="false">SUMIF(Base!$D$2:$D$2878,B230,Base!$I$2:$I$2878)</f>
        <v>10681.56</v>
      </c>
      <c r="H230" s="36" t="n">
        <f aca="false">IF($G$2849=0,0,G230/$G$2849)</f>
        <v>0.000700947747823811</v>
      </c>
      <c r="I230" s="37" t="n">
        <f aca="false">I229+H230</f>
        <v>0.778888879910208</v>
      </c>
      <c r="J230" s="37" t="n">
        <f aca="false">A230/2840</f>
        <v>0.0785211267605634</v>
      </c>
      <c r="K230" s="32" t="str">
        <f aca="false">IF(I230&lt;=$E$4,"A",IF(I230&lt;=$E$5,"B","C"))</f>
        <v>A</v>
      </c>
    </row>
    <row r="231" customFormat="false" ht="15" hidden="false" customHeight="false" outlineLevel="0" collapsed="false">
      <c r="A231" s="32" t="n">
        <v>224</v>
      </c>
      <c r="B231" s="33" t="n">
        <v>18979</v>
      </c>
      <c r="C231" s="34" t="s">
        <v>514</v>
      </c>
      <c r="D231" s="34" t="s">
        <v>515</v>
      </c>
      <c r="E231" s="34" t="s">
        <v>360</v>
      </c>
      <c r="F231" s="32" t="n">
        <f aca="false">COUNTIF(Base!$D$2:$D$2878,B231)</f>
        <v>1</v>
      </c>
      <c r="G231" s="35" t="n">
        <f aca="false">SUMIF(Base!$D$2:$D$2878,B231,Base!$I$2:$I$2878)</f>
        <v>10670</v>
      </c>
      <c r="H231" s="36" t="n">
        <f aca="false">IF($G$2849=0,0,G231/$G$2849)</f>
        <v>0.000700189154887494</v>
      </c>
      <c r="I231" s="37" t="n">
        <f aca="false">I230+H231</f>
        <v>0.779589069065095</v>
      </c>
      <c r="J231" s="37" t="n">
        <f aca="false">A231/2840</f>
        <v>0.0788732394366197</v>
      </c>
      <c r="K231" s="32" t="str">
        <f aca="false">IF(I231&lt;=$E$4,"A",IF(I231&lt;=$E$5,"B","C"))</f>
        <v>A</v>
      </c>
    </row>
    <row r="232" customFormat="false" ht="15" hidden="false" customHeight="false" outlineLevel="0" collapsed="false">
      <c r="A232" s="32" t="n">
        <v>225</v>
      </c>
      <c r="B232" s="33" t="n">
        <v>1259177</v>
      </c>
      <c r="C232" s="34" t="s">
        <v>516</v>
      </c>
      <c r="D232" s="34" t="s">
        <v>517</v>
      </c>
      <c r="E232" s="34" t="s">
        <v>133</v>
      </c>
      <c r="F232" s="32" t="n">
        <f aca="false">COUNTIF(Base!$D$2:$D$2878,B232)</f>
        <v>1</v>
      </c>
      <c r="G232" s="35" t="n">
        <f aca="false">SUMIF(Base!$D$2:$D$2878,B232,Base!$I$2:$I$2878)</f>
        <v>10644.78</v>
      </c>
      <c r="H232" s="36" t="n">
        <f aca="false">IF($G$2849=0,0,G232/$G$2849)</f>
        <v>0.000698534162339578</v>
      </c>
      <c r="I232" s="37" t="n">
        <f aca="false">I231+H232</f>
        <v>0.780287603227435</v>
      </c>
      <c r="J232" s="37" t="n">
        <f aca="false">A232/2840</f>
        <v>0.0792253521126761</v>
      </c>
      <c r="K232" s="32" t="str">
        <f aca="false">IF(I232&lt;=$E$4,"A",IF(I232&lt;=$E$5,"B","C"))</f>
        <v>A</v>
      </c>
    </row>
    <row r="233" customFormat="false" ht="15" hidden="false" customHeight="false" outlineLevel="0" collapsed="false">
      <c r="A233" s="32" t="n">
        <v>226</v>
      </c>
      <c r="B233" s="33" t="n">
        <v>1329795</v>
      </c>
      <c r="C233" s="34" t="s">
        <v>518</v>
      </c>
      <c r="D233" s="34" t="s">
        <v>519</v>
      </c>
      <c r="E233" s="34" t="s">
        <v>520</v>
      </c>
      <c r="F233" s="32" t="n">
        <f aca="false">COUNTIF(Base!$D$2:$D$2878,B233)</f>
        <v>1</v>
      </c>
      <c r="G233" s="35" t="n">
        <f aca="false">SUMIF(Base!$D$2:$D$2878,B233,Base!$I$2:$I$2878)</f>
        <v>10634.26</v>
      </c>
      <c r="H233" s="36" t="n">
        <f aca="false">IF($G$2849=0,0,G233/$G$2849)</f>
        <v>0.00069784381651864</v>
      </c>
      <c r="I233" s="37" t="n">
        <f aca="false">I232+H233</f>
        <v>0.780985447043953</v>
      </c>
      <c r="J233" s="37" t="n">
        <f aca="false">A233/2840</f>
        <v>0.0795774647887324</v>
      </c>
      <c r="K233" s="32" t="str">
        <f aca="false">IF(I233&lt;=$E$4,"A",IF(I233&lt;=$E$5,"B","C"))</f>
        <v>A</v>
      </c>
    </row>
    <row r="234" customFormat="false" ht="15" hidden="false" customHeight="false" outlineLevel="0" collapsed="false">
      <c r="A234" s="32" t="n">
        <v>227</v>
      </c>
      <c r="B234" s="33" t="n">
        <v>21443</v>
      </c>
      <c r="C234" s="34" t="s">
        <v>521</v>
      </c>
      <c r="D234" s="34" t="s">
        <v>522</v>
      </c>
      <c r="E234" s="34" t="s">
        <v>93</v>
      </c>
      <c r="F234" s="32" t="n">
        <f aca="false">COUNTIF(Base!$D$2:$D$2878,B234)</f>
        <v>1</v>
      </c>
      <c r="G234" s="35" t="n">
        <f aca="false">SUMIF(Base!$D$2:$D$2878,B234,Base!$I$2:$I$2878)</f>
        <v>10625</v>
      </c>
      <c r="H234" s="36" t="n">
        <f aca="false">IF($G$2849=0,0,G234/$G$2849)</f>
        <v>0.00069723615470287</v>
      </c>
      <c r="I234" s="37" t="n">
        <f aca="false">I233+H234</f>
        <v>0.781682683198656</v>
      </c>
      <c r="J234" s="37" t="n">
        <f aca="false">A234/2840</f>
        <v>0.0799295774647887</v>
      </c>
      <c r="K234" s="32" t="str">
        <f aca="false">IF(I234&lt;=$E$4,"A",IF(I234&lt;=$E$5,"B","C"))</f>
        <v>A</v>
      </c>
    </row>
    <row r="235" customFormat="false" ht="15" hidden="false" customHeight="false" outlineLevel="0" collapsed="false">
      <c r="A235" s="32" t="n">
        <v>228</v>
      </c>
      <c r="B235" s="33" t="n">
        <v>1475370</v>
      </c>
      <c r="C235" s="34" t="s">
        <v>523</v>
      </c>
      <c r="D235" s="34" t="s">
        <v>524</v>
      </c>
      <c r="E235" s="34" t="s">
        <v>100</v>
      </c>
      <c r="F235" s="32" t="n">
        <f aca="false">COUNTIF(Base!$D$2:$D$2878,B235)</f>
        <v>1</v>
      </c>
      <c r="G235" s="35" t="n">
        <f aca="false">SUMIF(Base!$D$2:$D$2878,B235,Base!$I$2:$I$2878)</f>
        <v>10611</v>
      </c>
      <c r="H235" s="36" t="n">
        <f aca="false">IF($G$2849=0,0,G235/$G$2849)</f>
        <v>0.000696317443534321</v>
      </c>
      <c r="I235" s="37" t="n">
        <f aca="false">I234+H235</f>
        <v>0.78237900064219</v>
      </c>
      <c r="J235" s="37" t="n">
        <f aca="false">A235/2840</f>
        <v>0.0802816901408451</v>
      </c>
      <c r="K235" s="32" t="str">
        <f aca="false">IF(I235&lt;=$E$4,"A",IF(I235&lt;=$E$5,"B","C"))</f>
        <v>A</v>
      </c>
    </row>
    <row r="236" customFormat="false" ht="15" hidden="false" customHeight="false" outlineLevel="0" collapsed="false">
      <c r="A236" s="32" t="n">
        <v>229</v>
      </c>
      <c r="B236" s="33" t="n">
        <v>1320927</v>
      </c>
      <c r="C236" s="34" t="s">
        <v>525</v>
      </c>
      <c r="D236" s="34" t="s">
        <v>526</v>
      </c>
      <c r="E236" s="34" t="s">
        <v>38</v>
      </c>
      <c r="F236" s="32" t="n">
        <f aca="false">COUNTIF(Base!$D$2:$D$2878,B236)</f>
        <v>1</v>
      </c>
      <c r="G236" s="35" t="n">
        <f aca="false">SUMIF(Base!$D$2:$D$2878,B236,Base!$I$2:$I$2878)</f>
        <v>10535.6</v>
      </c>
      <c r="H236" s="36" t="n">
        <f aca="false">IF($G$2849=0,0,G236/$G$2849)</f>
        <v>0.000691369527669417</v>
      </c>
      <c r="I236" s="37" t="n">
        <f aca="false">I235+H236</f>
        <v>0.78307037016986</v>
      </c>
      <c r="J236" s="37" t="n">
        <f aca="false">A236/2840</f>
        <v>0.0806338028169014</v>
      </c>
      <c r="K236" s="32" t="str">
        <f aca="false">IF(I236&lt;=$E$4,"A",IF(I236&lt;=$E$5,"B","C"))</f>
        <v>A</v>
      </c>
    </row>
    <row r="237" customFormat="false" ht="15" hidden="false" customHeight="false" outlineLevel="0" collapsed="false">
      <c r="A237" s="32" t="n">
        <v>230</v>
      </c>
      <c r="B237" s="33" t="n">
        <v>316328</v>
      </c>
      <c r="C237" s="34" t="s">
        <v>527</v>
      </c>
      <c r="D237" s="34" t="s">
        <v>528</v>
      </c>
      <c r="E237" s="34" t="s">
        <v>75</v>
      </c>
      <c r="F237" s="32" t="n">
        <f aca="false">COUNTIF(Base!$D$2:$D$2878,B237)</f>
        <v>2</v>
      </c>
      <c r="G237" s="35" t="n">
        <f aca="false">SUMIF(Base!$D$2:$D$2878,B237,Base!$I$2:$I$2878)</f>
        <v>10400.26</v>
      </c>
      <c r="H237" s="36" t="n">
        <f aca="false">IF($G$2849=0,0,G237/$G$2849)</f>
        <v>0.000682488215558595</v>
      </c>
      <c r="I237" s="37" t="n">
        <f aca="false">I236+H237</f>
        <v>0.783752858385418</v>
      </c>
      <c r="J237" s="37" t="n">
        <f aca="false">A237/2840</f>
        <v>0.0809859154929578</v>
      </c>
      <c r="K237" s="32" t="str">
        <f aca="false">IF(I237&lt;=$E$4,"A",IF(I237&lt;=$E$5,"B","C"))</f>
        <v>A</v>
      </c>
    </row>
    <row r="238" customFormat="false" ht="15" hidden="false" customHeight="false" outlineLevel="0" collapsed="false">
      <c r="A238" s="32" t="n">
        <v>231</v>
      </c>
      <c r="B238" s="33" t="n">
        <v>1386844</v>
      </c>
      <c r="C238" s="34" t="s">
        <v>529</v>
      </c>
      <c r="D238" s="34" t="s">
        <v>530</v>
      </c>
      <c r="E238" s="34" t="s">
        <v>100</v>
      </c>
      <c r="F238" s="32" t="n">
        <f aca="false">COUNTIF(Base!$D$2:$D$2878,B238)</f>
        <v>1</v>
      </c>
      <c r="G238" s="35" t="n">
        <f aca="false">SUMIF(Base!$D$2:$D$2878,B238,Base!$I$2:$I$2878)</f>
        <v>10288.87</v>
      </c>
      <c r="H238" s="36" t="n">
        <f aca="false">IF($G$2849=0,0,G238/$G$2849)</f>
        <v>0.000675178555768256</v>
      </c>
      <c r="I238" s="37" t="n">
        <f aca="false">I237+H238</f>
        <v>0.784428036941187</v>
      </c>
      <c r="J238" s="37" t="n">
        <f aca="false">A238/2840</f>
        <v>0.0813380281690141</v>
      </c>
      <c r="K238" s="32" t="str">
        <f aca="false">IF(I238&lt;=$E$4,"A",IF(I238&lt;=$E$5,"B","C"))</f>
        <v>A</v>
      </c>
    </row>
    <row r="239" customFormat="false" ht="15" hidden="false" customHeight="false" outlineLevel="0" collapsed="false">
      <c r="A239" s="32" t="n">
        <v>232</v>
      </c>
      <c r="B239" s="33" t="n">
        <v>141242</v>
      </c>
      <c r="C239" s="34" t="s">
        <v>531</v>
      </c>
      <c r="D239" s="34" t="s">
        <v>532</v>
      </c>
      <c r="E239" s="34" t="s">
        <v>35</v>
      </c>
      <c r="F239" s="32" t="n">
        <f aca="false">COUNTIF(Base!$D$2:$D$2878,B239)</f>
        <v>1</v>
      </c>
      <c r="G239" s="35" t="n">
        <f aca="false">SUMIF(Base!$D$2:$D$2878,B239,Base!$I$2:$I$2878)</f>
        <v>10208</v>
      </c>
      <c r="H239" s="36" t="n">
        <f aca="false">IF($G$2849=0,0,G239/$G$2849)</f>
        <v>0.000669871686325355</v>
      </c>
      <c r="I239" s="37" t="n">
        <f aca="false">I238+H239</f>
        <v>0.785097908627512</v>
      </c>
      <c r="J239" s="37" t="n">
        <f aca="false">A239/2840</f>
        <v>0.0816901408450704</v>
      </c>
      <c r="K239" s="32" t="str">
        <f aca="false">IF(I239&lt;=$E$4,"A",IF(I239&lt;=$E$5,"B","C"))</f>
        <v>A</v>
      </c>
    </row>
    <row r="240" customFormat="false" ht="15" hidden="false" customHeight="false" outlineLevel="0" collapsed="false">
      <c r="A240" s="32" t="n">
        <v>233</v>
      </c>
      <c r="B240" s="33" t="n">
        <v>1463662</v>
      </c>
      <c r="C240" s="34" t="s">
        <v>533</v>
      </c>
      <c r="D240" s="34" t="s">
        <v>534</v>
      </c>
      <c r="E240" s="34" t="s">
        <v>494</v>
      </c>
      <c r="F240" s="32" t="n">
        <f aca="false">COUNTIF(Base!$D$2:$D$2878,B240)</f>
        <v>1</v>
      </c>
      <c r="G240" s="35" t="n">
        <f aca="false">SUMIF(Base!$D$2:$D$2878,B240,Base!$I$2:$I$2878)</f>
        <v>10180.1</v>
      </c>
      <c r="H240" s="36" t="n">
        <f aca="false">IF($G$2849=0,0,G240/$G$2849)</f>
        <v>0.000668040826210888</v>
      </c>
      <c r="I240" s="37" t="n">
        <f aca="false">I239+H240</f>
        <v>0.785765949453723</v>
      </c>
      <c r="J240" s="37" t="n">
        <f aca="false">A240/2840</f>
        <v>0.0820422535211268</v>
      </c>
      <c r="K240" s="32" t="str">
        <f aca="false">IF(I240&lt;=$E$4,"A",IF(I240&lt;=$E$5,"B","C"))</f>
        <v>A</v>
      </c>
    </row>
    <row r="241" customFormat="false" ht="15" hidden="false" customHeight="false" outlineLevel="0" collapsed="false">
      <c r="A241" s="32" t="n">
        <v>234</v>
      </c>
      <c r="B241" s="33" t="n">
        <v>831925</v>
      </c>
      <c r="C241" s="34" t="s">
        <v>535</v>
      </c>
      <c r="D241" s="34" t="s">
        <v>536</v>
      </c>
      <c r="E241" s="34" t="s">
        <v>247</v>
      </c>
      <c r="F241" s="32" t="n">
        <f aca="false">COUNTIF(Base!$D$2:$D$2878,B241)</f>
        <v>1</v>
      </c>
      <c r="G241" s="35" t="n">
        <f aca="false">SUMIF(Base!$D$2:$D$2878,B241,Base!$I$2:$I$2878)</f>
        <v>10129.4</v>
      </c>
      <c r="H241" s="36" t="n">
        <f aca="false">IF($G$2849=0,0,G241/$G$2849)</f>
        <v>0.000664713779336212</v>
      </c>
      <c r="I241" s="37" t="n">
        <f aca="false">I240+H241</f>
        <v>0.786430663233059</v>
      </c>
      <c r="J241" s="37" t="n">
        <f aca="false">A241/2840</f>
        <v>0.0823943661971831</v>
      </c>
      <c r="K241" s="32" t="str">
        <f aca="false">IF(I241&lt;=$E$4,"A",IF(I241&lt;=$E$5,"B","C"))</f>
        <v>A</v>
      </c>
    </row>
    <row r="242" customFormat="false" ht="15" hidden="false" customHeight="false" outlineLevel="0" collapsed="false">
      <c r="A242" s="32" t="n">
        <v>235</v>
      </c>
      <c r="B242" s="33" t="n">
        <v>21444</v>
      </c>
      <c r="C242" s="34" t="s">
        <v>537</v>
      </c>
      <c r="D242" s="34" t="s">
        <v>538</v>
      </c>
      <c r="E242" s="34" t="s">
        <v>93</v>
      </c>
      <c r="F242" s="32" t="n">
        <f aca="false">COUNTIF(Base!$D$2:$D$2878,B242)</f>
        <v>1</v>
      </c>
      <c r="G242" s="35" t="n">
        <f aca="false">SUMIF(Base!$D$2:$D$2878,B242,Base!$I$2:$I$2878)</f>
        <v>10125</v>
      </c>
      <c r="H242" s="36" t="n">
        <f aca="false">IF($G$2849=0,0,G242/$G$2849)</f>
        <v>0.000664425041540382</v>
      </c>
      <c r="I242" s="37" t="n">
        <f aca="false">I241+H242</f>
        <v>0.787095088274599</v>
      </c>
      <c r="J242" s="37" t="n">
        <f aca="false">A242/2840</f>
        <v>0.0827464788732394</v>
      </c>
      <c r="K242" s="32" t="str">
        <f aca="false">IF(I242&lt;=$E$4,"A",IF(I242&lt;=$E$5,"B","C"))</f>
        <v>A</v>
      </c>
    </row>
    <row r="243" customFormat="false" ht="15" hidden="false" customHeight="false" outlineLevel="0" collapsed="false">
      <c r="A243" s="32" t="n">
        <v>236</v>
      </c>
      <c r="B243" s="33" t="n">
        <v>1386720</v>
      </c>
      <c r="C243" s="34" t="s">
        <v>539</v>
      </c>
      <c r="D243" s="34" t="s">
        <v>540</v>
      </c>
      <c r="E243" s="34" t="s">
        <v>100</v>
      </c>
      <c r="F243" s="32" t="n">
        <f aca="false">COUNTIF(Base!$D$2:$D$2878,B243)</f>
        <v>1</v>
      </c>
      <c r="G243" s="35" t="n">
        <f aca="false">SUMIF(Base!$D$2:$D$2878,B243,Base!$I$2:$I$2878)</f>
        <v>10091.28</v>
      </c>
      <c r="H243" s="36" t="n">
        <f aca="false">IF($G$2849=0,0,G243/$G$2849)</f>
        <v>0.000662212260068704</v>
      </c>
      <c r="I243" s="37" t="n">
        <f aca="false">I242+H243</f>
        <v>0.787757300534668</v>
      </c>
      <c r="J243" s="37" t="n">
        <f aca="false">A243/2840</f>
        <v>0.0830985915492958</v>
      </c>
      <c r="K243" s="32" t="str">
        <f aca="false">IF(I243&lt;=$E$4,"A",IF(I243&lt;=$E$5,"B","C"))</f>
        <v>A</v>
      </c>
    </row>
    <row r="244" customFormat="false" ht="15" hidden="false" customHeight="false" outlineLevel="0" collapsed="false">
      <c r="A244" s="32" t="n">
        <v>237</v>
      </c>
      <c r="B244" s="33" t="n">
        <v>228877</v>
      </c>
      <c r="C244" s="34" t="s">
        <v>541</v>
      </c>
      <c r="D244" s="34" t="s">
        <v>542</v>
      </c>
      <c r="E244" s="34" t="s">
        <v>100</v>
      </c>
      <c r="F244" s="32" t="n">
        <f aca="false">COUNTIF(Base!$D$2:$D$2878,B244)</f>
        <v>1</v>
      </c>
      <c r="G244" s="35" t="n">
        <f aca="false">SUMIF(Base!$D$2:$D$2878,B244,Base!$I$2:$I$2878)</f>
        <v>9960</v>
      </c>
      <c r="H244" s="36" t="n">
        <f aca="false">IF($G$2849=0,0,G244/$G$2849)</f>
        <v>0.000653597374196761</v>
      </c>
      <c r="I244" s="37" t="n">
        <f aca="false">I243+H244</f>
        <v>0.788410897908865</v>
      </c>
      <c r="J244" s="37" t="n">
        <f aca="false">A244/2840</f>
        <v>0.0834507042253521</v>
      </c>
      <c r="K244" s="32" t="str">
        <f aca="false">IF(I244&lt;=$E$4,"A",IF(I244&lt;=$E$5,"B","C"))</f>
        <v>A</v>
      </c>
    </row>
    <row r="245" customFormat="false" ht="15" hidden="false" customHeight="false" outlineLevel="0" collapsed="false">
      <c r="A245" s="32" t="n">
        <v>238</v>
      </c>
      <c r="B245" s="33" t="n">
        <v>1486706</v>
      </c>
      <c r="C245" s="34" t="s">
        <v>543</v>
      </c>
      <c r="D245" s="34" t="s">
        <v>544</v>
      </c>
      <c r="E245" s="34" t="s">
        <v>38</v>
      </c>
      <c r="F245" s="32" t="n">
        <f aca="false">COUNTIF(Base!$D$2:$D$2878,B245)</f>
        <v>1</v>
      </c>
      <c r="G245" s="35" t="n">
        <f aca="false">SUMIF(Base!$D$2:$D$2878,B245,Base!$I$2:$I$2878)</f>
        <v>9920</v>
      </c>
      <c r="H245" s="36" t="n">
        <f aca="false">IF($G$2849=0,0,G245/$G$2849)</f>
        <v>0.000650972485143762</v>
      </c>
      <c r="I245" s="37" t="n">
        <f aca="false">I244+H245</f>
        <v>0.789061870394009</v>
      </c>
      <c r="J245" s="37" t="n">
        <f aca="false">A245/2840</f>
        <v>0.0838028169014085</v>
      </c>
      <c r="K245" s="32" t="str">
        <f aca="false">IF(I245&lt;=$E$4,"A",IF(I245&lt;=$E$5,"B","C"))</f>
        <v>A</v>
      </c>
    </row>
    <row r="246" customFormat="false" ht="15" hidden="false" customHeight="false" outlineLevel="0" collapsed="false">
      <c r="A246" s="32" t="n">
        <v>239</v>
      </c>
      <c r="B246" s="33" t="n">
        <v>18895</v>
      </c>
      <c r="C246" s="34" t="s">
        <v>545</v>
      </c>
      <c r="D246" s="34" t="s">
        <v>546</v>
      </c>
      <c r="E246" s="34" t="s">
        <v>247</v>
      </c>
      <c r="F246" s="32" t="n">
        <f aca="false">COUNTIF(Base!$D$2:$D$2878,B246)</f>
        <v>1</v>
      </c>
      <c r="G246" s="35" t="n">
        <f aca="false">SUMIF(Base!$D$2:$D$2878,B246,Base!$I$2:$I$2878)</f>
        <v>9900</v>
      </c>
      <c r="H246" s="36" t="n">
        <f aca="false">IF($G$2849=0,0,G246/$G$2849)</f>
        <v>0.000649660040617263</v>
      </c>
      <c r="I246" s="37" t="n">
        <f aca="false">I245+H246</f>
        <v>0.789711530434626</v>
      </c>
      <c r="J246" s="37" t="n">
        <f aca="false">A246/2840</f>
        <v>0.0841549295774648</v>
      </c>
      <c r="K246" s="32" t="str">
        <f aca="false">IF(I246&lt;=$E$4,"A",IF(I246&lt;=$E$5,"B","C"))</f>
        <v>A</v>
      </c>
    </row>
    <row r="247" customFormat="false" ht="15" hidden="false" customHeight="false" outlineLevel="0" collapsed="false">
      <c r="A247" s="32" t="n">
        <v>240</v>
      </c>
      <c r="B247" s="33" t="n">
        <v>32903</v>
      </c>
      <c r="C247" s="34" t="s">
        <v>547</v>
      </c>
      <c r="D247" s="34" t="s">
        <v>548</v>
      </c>
      <c r="E247" s="34" t="s">
        <v>38</v>
      </c>
      <c r="F247" s="32" t="n">
        <f aca="false">COUNTIF(Base!$D$2:$D$2878,B247)</f>
        <v>1</v>
      </c>
      <c r="G247" s="35" t="n">
        <f aca="false">SUMIF(Base!$D$2:$D$2878,B247,Base!$I$2:$I$2878)</f>
        <v>9900</v>
      </c>
      <c r="H247" s="36" t="n">
        <f aca="false">IF($G$2849=0,0,G247/$G$2849)</f>
        <v>0.000649660040617263</v>
      </c>
      <c r="I247" s="37" t="n">
        <f aca="false">I246+H247</f>
        <v>0.790361190475243</v>
      </c>
      <c r="J247" s="37" t="n">
        <f aca="false">A247/2840</f>
        <v>0.0845070422535211</v>
      </c>
      <c r="K247" s="32" t="str">
        <f aca="false">IF(I247&lt;=$E$4,"A",IF(I247&lt;=$E$5,"B","C"))</f>
        <v>A</v>
      </c>
    </row>
    <row r="248" customFormat="false" ht="15" hidden="false" customHeight="false" outlineLevel="0" collapsed="false">
      <c r="A248" s="32" t="n">
        <v>241</v>
      </c>
      <c r="B248" s="33" t="n">
        <v>965039</v>
      </c>
      <c r="C248" s="34" t="s">
        <v>549</v>
      </c>
      <c r="D248" s="34" t="s">
        <v>550</v>
      </c>
      <c r="E248" s="34" t="s">
        <v>38</v>
      </c>
      <c r="F248" s="32" t="n">
        <f aca="false">COUNTIF(Base!$D$2:$D$2878,B248)</f>
        <v>1</v>
      </c>
      <c r="G248" s="35" t="n">
        <f aca="false">SUMIF(Base!$D$2:$D$2878,B248,Base!$I$2:$I$2878)</f>
        <v>9900</v>
      </c>
      <c r="H248" s="36" t="n">
        <f aca="false">IF($G$2849=0,0,G248/$G$2849)</f>
        <v>0.000649660040617263</v>
      </c>
      <c r="I248" s="37" t="n">
        <f aca="false">I247+H248</f>
        <v>0.791010850515861</v>
      </c>
      <c r="J248" s="37" t="n">
        <f aca="false">A248/2840</f>
        <v>0.0848591549295775</v>
      </c>
      <c r="K248" s="32" t="str">
        <f aca="false">IF(I248&lt;=$E$4,"A",IF(I248&lt;=$E$5,"B","C"))</f>
        <v>A</v>
      </c>
    </row>
    <row r="249" customFormat="false" ht="15" hidden="false" customHeight="false" outlineLevel="0" collapsed="false">
      <c r="A249" s="32" t="n">
        <v>242</v>
      </c>
      <c r="B249" s="33" t="n">
        <v>1609962</v>
      </c>
      <c r="C249" s="34" t="s">
        <v>551</v>
      </c>
      <c r="D249" s="34" t="s">
        <v>552</v>
      </c>
      <c r="E249" s="34" t="s">
        <v>38</v>
      </c>
      <c r="F249" s="32" t="n">
        <f aca="false">COUNTIF(Base!$D$2:$D$2878,B249)</f>
        <v>1</v>
      </c>
      <c r="G249" s="35" t="n">
        <f aca="false">SUMIF(Base!$D$2:$D$2878,B249,Base!$I$2:$I$2878)</f>
        <v>9895</v>
      </c>
      <c r="H249" s="36" t="n">
        <f aca="false">IF($G$2849=0,0,G249/$G$2849)</f>
        <v>0.000649331929485638</v>
      </c>
      <c r="I249" s="37" t="n">
        <f aca="false">I248+H249</f>
        <v>0.791660182445346</v>
      </c>
      <c r="J249" s="37" t="n">
        <f aca="false">A249/2840</f>
        <v>0.0852112676056338</v>
      </c>
      <c r="K249" s="32" t="str">
        <f aca="false">IF(I249&lt;=$E$4,"A",IF(I249&lt;=$E$5,"B","C"))</f>
        <v>A</v>
      </c>
    </row>
    <row r="250" customFormat="false" ht="15" hidden="false" customHeight="false" outlineLevel="0" collapsed="false">
      <c r="A250" s="32" t="n">
        <v>243</v>
      </c>
      <c r="B250" s="33" t="n">
        <v>276056</v>
      </c>
      <c r="C250" s="34" t="s">
        <v>553</v>
      </c>
      <c r="D250" s="34" t="s">
        <v>554</v>
      </c>
      <c r="E250" s="34" t="s">
        <v>217</v>
      </c>
      <c r="F250" s="32" t="n">
        <f aca="false">COUNTIF(Base!$D$2:$D$2878,B250)</f>
        <v>1</v>
      </c>
      <c r="G250" s="35" t="n">
        <f aca="false">SUMIF(Base!$D$2:$D$2878,B250,Base!$I$2:$I$2878)</f>
        <v>9888</v>
      </c>
      <c r="H250" s="36" t="n">
        <f aca="false">IF($G$2849=0,0,G250/$G$2849)</f>
        <v>0.000648872573901363</v>
      </c>
      <c r="I250" s="37" t="n">
        <f aca="false">I249+H250</f>
        <v>0.792309055019248</v>
      </c>
      <c r="J250" s="37" t="n">
        <f aca="false">A250/2840</f>
        <v>0.0855633802816901</v>
      </c>
      <c r="K250" s="32" t="str">
        <f aca="false">IF(I250&lt;=$E$4,"A",IF(I250&lt;=$E$5,"B","C"))</f>
        <v>A</v>
      </c>
    </row>
    <row r="251" customFormat="false" ht="15" hidden="false" customHeight="false" outlineLevel="0" collapsed="false">
      <c r="A251" s="32" t="n">
        <v>244</v>
      </c>
      <c r="B251" s="33" t="n">
        <v>831923</v>
      </c>
      <c r="C251" s="34" t="s">
        <v>555</v>
      </c>
      <c r="D251" s="34" t="s">
        <v>556</v>
      </c>
      <c r="E251" s="34" t="s">
        <v>247</v>
      </c>
      <c r="F251" s="32" t="n">
        <f aca="false">COUNTIF(Base!$D$2:$D$2878,B251)</f>
        <v>1</v>
      </c>
      <c r="G251" s="35" t="n">
        <f aca="false">SUMIF(Base!$D$2:$D$2878,B251,Base!$I$2:$I$2878)</f>
        <v>9870.04</v>
      </c>
      <c r="H251" s="36" t="n">
        <f aca="false">IF($G$2849=0,0,G251/$G$2849)</f>
        <v>0.000647693998716566</v>
      </c>
      <c r="I251" s="37" t="n">
        <f aca="false">I250+H251</f>
        <v>0.792956749017964</v>
      </c>
      <c r="J251" s="37" t="n">
        <f aca="false">A251/2840</f>
        <v>0.0859154929577465</v>
      </c>
      <c r="K251" s="32" t="str">
        <f aca="false">IF(I251&lt;=$E$4,"A",IF(I251&lt;=$E$5,"B","C"))</f>
        <v>A</v>
      </c>
    </row>
    <row r="252" customFormat="false" ht="15" hidden="false" customHeight="false" outlineLevel="0" collapsed="false">
      <c r="A252" s="32" t="n">
        <v>245</v>
      </c>
      <c r="B252" s="33" t="n">
        <v>1067617</v>
      </c>
      <c r="C252" s="34" t="s">
        <v>557</v>
      </c>
      <c r="D252" s="34" t="s">
        <v>558</v>
      </c>
      <c r="E252" s="34" t="s">
        <v>138</v>
      </c>
      <c r="F252" s="32" t="n">
        <f aca="false">COUNTIF(Base!$D$2:$D$2878,B252)</f>
        <v>1</v>
      </c>
      <c r="G252" s="35" t="n">
        <f aca="false">SUMIF(Base!$D$2:$D$2878,B252,Base!$I$2:$I$2878)</f>
        <v>9616.47</v>
      </c>
      <c r="H252" s="36" t="n">
        <f aca="false">IF($G$2849=0,0,G252/$G$2849)</f>
        <v>0.000631054170787342</v>
      </c>
      <c r="I252" s="37" t="n">
        <f aca="false">I251+H252</f>
        <v>0.793587803188751</v>
      </c>
      <c r="J252" s="37" t="n">
        <f aca="false">A252/2840</f>
        <v>0.0862676056338028</v>
      </c>
      <c r="K252" s="32" t="str">
        <f aca="false">IF(I252&lt;=$E$4,"A",IF(I252&lt;=$E$5,"B","C"))</f>
        <v>A</v>
      </c>
    </row>
    <row r="253" customFormat="false" ht="15" hidden="false" customHeight="false" outlineLevel="0" collapsed="false">
      <c r="A253" s="32" t="n">
        <v>246</v>
      </c>
      <c r="B253" s="33" t="n">
        <v>1471296</v>
      </c>
      <c r="C253" s="34" t="s">
        <v>559</v>
      </c>
      <c r="D253" s="34" t="s">
        <v>560</v>
      </c>
      <c r="E253" s="34" t="s">
        <v>63</v>
      </c>
      <c r="F253" s="32" t="n">
        <f aca="false">COUNTIF(Base!$D$2:$D$2878,B253)</f>
        <v>1</v>
      </c>
      <c r="G253" s="35" t="n">
        <f aca="false">SUMIF(Base!$D$2:$D$2878,B253,Base!$I$2:$I$2878)</f>
        <v>9600</v>
      </c>
      <c r="H253" s="36" t="n">
        <f aca="false">IF($G$2849=0,0,G253/$G$2849)</f>
        <v>0.00062997337271977</v>
      </c>
      <c r="I253" s="37" t="n">
        <f aca="false">I252+H253</f>
        <v>0.794217776561471</v>
      </c>
      <c r="J253" s="37" t="n">
        <f aca="false">A253/2840</f>
        <v>0.0866197183098592</v>
      </c>
      <c r="K253" s="32" t="str">
        <f aca="false">IF(I253&lt;=$E$4,"A",IF(I253&lt;=$E$5,"B","C"))</f>
        <v>A</v>
      </c>
    </row>
    <row r="254" customFormat="false" ht="15" hidden="false" customHeight="false" outlineLevel="0" collapsed="false">
      <c r="A254" s="32" t="n">
        <v>247</v>
      </c>
      <c r="B254" s="33" t="n">
        <v>55180</v>
      </c>
      <c r="C254" s="34" t="s">
        <v>561</v>
      </c>
      <c r="D254" s="34" t="s">
        <v>562</v>
      </c>
      <c r="E254" s="34" t="s">
        <v>563</v>
      </c>
      <c r="F254" s="32" t="n">
        <f aca="false">COUNTIF(Base!$D$2:$D$2878,B254)</f>
        <v>1</v>
      </c>
      <c r="G254" s="35" t="n">
        <f aca="false">SUMIF(Base!$D$2:$D$2878,B254,Base!$I$2:$I$2878)</f>
        <v>9597</v>
      </c>
      <c r="H254" s="36" t="n">
        <f aca="false">IF($G$2849=0,0,G254/$G$2849)</f>
        <v>0.000629776506040795</v>
      </c>
      <c r="I254" s="37" t="n">
        <f aca="false">I253+H254</f>
        <v>0.794847553067512</v>
      </c>
      <c r="J254" s="37" t="n">
        <f aca="false">A254/2840</f>
        <v>0.0869718309859155</v>
      </c>
      <c r="K254" s="32" t="str">
        <f aca="false">IF(I254&lt;=$E$4,"A",IF(I254&lt;=$E$5,"B","C"))</f>
        <v>A</v>
      </c>
    </row>
    <row r="255" customFormat="false" ht="15" hidden="false" customHeight="false" outlineLevel="0" collapsed="false">
      <c r="A255" s="32" t="n">
        <v>248</v>
      </c>
      <c r="B255" s="33" t="n">
        <v>860923</v>
      </c>
      <c r="C255" s="34" t="s">
        <v>564</v>
      </c>
      <c r="D255" s="34" t="s">
        <v>565</v>
      </c>
      <c r="E255" s="34" t="s">
        <v>262</v>
      </c>
      <c r="F255" s="32" t="n">
        <f aca="false">COUNTIF(Base!$D$2:$D$2878,B255)</f>
        <v>2</v>
      </c>
      <c r="G255" s="35" t="n">
        <f aca="false">SUMIF(Base!$D$2:$D$2878,B255,Base!$I$2:$I$2878)</f>
        <v>9582.82</v>
      </c>
      <c r="H255" s="36" t="n">
        <f aca="false">IF($G$2849=0,0,G255/$G$2849)</f>
        <v>0.000628845982871507</v>
      </c>
      <c r="I255" s="37" t="n">
        <f aca="false">I254+H255</f>
        <v>0.795476399050384</v>
      </c>
      <c r="J255" s="37" t="n">
        <f aca="false">A255/2840</f>
        <v>0.0873239436619718</v>
      </c>
      <c r="K255" s="32" t="str">
        <f aca="false">IF(I255&lt;=$E$4,"A",IF(I255&lt;=$E$5,"B","C"))</f>
        <v>A</v>
      </c>
    </row>
    <row r="256" customFormat="false" ht="15" hidden="false" customHeight="false" outlineLevel="0" collapsed="false">
      <c r="A256" s="32" t="n">
        <v>249</v>
      </c>
      <c r="B256" s="33" t="n">
        <v>1315072</v>
      </c>
      <c r="C256" s="34" t="s">
        <v>566</v>
      </c>
      <c r="D256" s="34" t="s">
        <v>567</v>
      </c>
      <c r="E256" s="34" t="s">
        <v>35</v>
      </c>
      <c r="F256" s="32" t="n">
        <f aca="false">COUNTIF(Base!$D$2:$D$2878,B256)</f>
        <v>1</v>
      </c>
      <c r="G256" s="35" t="n">
        <f aca="false">SUMIF(Base!$D$2:$D$2878,B256,Base!$I$2:$I$2878)</f>
        <v>9539.98</v>
      </c>
      <c r="H256" s="36" t="n">
        <f aca="false">IF($G$2849=0,0,G256/$G$2849)</f>
        <v>0.000626034726695745</v>
      </c>
      <c r="I256" s="37" t="n">
        <f aca="false">I255+H256</f>
        <v>0.796102433777079</v>
      </c>
      <c r="J256" s="37" t="n">
        <f aca="false">A256/2840</f>
        <v>0.0876760563380282</v>
      </c>
      <c r="K256" s="32" t="str">
        <f aca="false">IF(I256&lt;=$E$4,"A",IF(I256&lt;=$E$5,"B","C"))</f>
        <v>A</v>
      </c>
    </row>
    <row r="257" customFormat="false" ht="15" hidden="false" customHeight="false" outlineLevel="0" collapsed="false">
      <c r="A257" s="32" t="n">
        <v>250</v>
      </c>
      <c r="B257" s="33" t="n">
        <v>1311231</v>
      </c>
      <c r="C257" s="34" t="s">
        <v>568</v>
      </c>
      <c r="D257" s="34" t="s">
        <v>569</v>
      </c>
      <c r="E257" s="34" t="s">
        <v>570</v>
      </c>
      <c r="F257" s="32" t="n">
        <f aca="false">COUNTIF(Base!$D$2:$D$2878,B257)</f>
        <v>1</v>
      </c>
      <c r="G257" s="35" t="n">
        <f aca="false">SUMIF(Base!$D$2:$D$2878,B257,Base!$I$2:$I$2878)</f>
        <v>9506</v>
      </c>
      <c r="H257" s="36" t="n">
        <f aca="false">IF($G$2849=0,0,G257/$G$2849)</f>
        <v>0.000623804883445222</v>
      </c>
      <c r="I257" s="37" t="n">
        <f aca="false">I256+H257</f>
        <v>0.796726238660525</v>
      </c>
      <c r="J257" s="37" t="n">
        <f aca="false">A257/2840</f>
        <v>0.0880281690140845</v>
      </c>
      <c r="K257" s="32" t="str">
        <f aca="false">IF(I257&lt;=$E$4,"A",IF(I257&lt;=$E$5,"B","C"))</f>
        <v>A</v>
      </c>
    </row>
    <row r="258" customFormat="false" ht="15" hidden="false" customHeight="false" outlineLevel="0" collapsed="false">
      <c r="A258" s="32" t="n">
        <v>251</v>
      </c>
      <c r="B258" s="33" t="n">
        <v>1464747</v>
      </c>
      <c r="C258" s="34" t="s">
        <v>571</v>
      </c>
      <c r="D258" s="34" t="s">
        <v>572</v>
      </c>
      <c r="E258" s="34" t="s">
        <v>133</v>
      </c>
      <c r="F258" s="32" t="n">
        <f aca="false">COUNTIF(Base!$D$2:$D$2878,B258)</f>
        <v>1</v>
      </c>
      <c r="G258" s="35" t="n">
        <f aca="false">SUMIF(Base!$D$2:$D$2878,B258,Base!$I$2:$I$2878)</f>
        <v>9489.61</v>
      </c>
      <c r="H258" s="36" t="n">
        <f aca="false">IF($G$2849=0,0,G258/$G$2849)</f>
        <v>0.000622729335155756</v>
      </c>
      <c r="I258" s="37" t="n">
        <f aca="false">I257+H258</f>
        <v>0.79734896799568</v>
      </c>
      <c r="J258" s="37" t="n">
        <f aca="false">A258/2840</f>
        <v>0.0883802816901408</v>
      </c>
      <c r="K258" s="32" t="str">
        <f aca="false">IF(I258&lt;=$E$4,"A",IF(I258&lt;=$E$5,"B","C"))</f>
        <v>A</v>
      </c>
    </row>
    <row r="259" customFormat="false" ht="15" hidden="false" customHeight="false" outlineLevel="0" collapsed="false">
      <c r="A259" s="32" t="n">
        <v>252</v>
      </c>
      <c r="B259" s="33" t="n">
        <v>18173</v>
      </c>
      <c r="C259" s="34" t="s">
        <v>573</v>
      </c>
      <c r="D259" s="34" t="s">
        <v>574</v>
      </c>
      <c r="E259" s="34" t="s">
        <v>130</v>
      </c>
      <c r="F259" s="32" t="n">
        <f aca="false">COUNTIF(Base!$D$2:$D$2878,B259)</f>
        <v>1</v>
      </c>
      <c r="G259" s="35" t="n">
        <f aca="false">SUMIF(Base!$D$2:$D$2878,B259,Base!$I$2:$I$2878)</f>
        <v>9480</v>
      </c>
      <c r="H259" s="36" t="n">
        <f aca="false">IF($G$2849=0,0,G259/$G$2849)</f>
        <v>0.000622098705560773</v>
      </c>
      <c r="I259" s="37" t="n">
        <f aca="false">I258+H259</f>
        <v>0.797971066701241</v>
      </c>
      <c r="J259" s="37" t="n">
        <f aca="false">A259/2840</f>
        <v>0.0887323943661972</v>
      </c>
      <c r="K259" s="32" t="str">
        <f aca="false">IF(I259&lt;=$E$4,"A",IF(I259&lt;=$E$5,"B","C"))</f>
        <v>A</v>
      </c>
    </row>
    <row r="260" customFormat="false" ht="15" hidden="false" customHeight="false" outlineLevel="0" collapsed="false">
      <c r="A260" s="32" t="n">
        <v>253</v>
      </c>
      <c r="B260" s="33" t="n">
        <v>1382791</v>
      </c>
      <c r="C260" s="34" t="s">
        <v>575</v>
      </c>
      <c r="D260" s="34" t="s">
        <v>576</v>
      </c>
      <c r="E260" s="34" t="s">
        <v>38</v>
      </c>
      <c r="F260" s="32" t="n">
        <f aca="false">COUNTIF(Base!$D$2:$D$2878,B260)</f>
        <v>1</v>
      </c>
      <c r="G260" s="35" t="n">
        <f aca="false">SUMIF(Base!$D$2:$D$2878,B260,Base!$I$2:$I$2878)</f>
        <v>9424.8</v>
      </c>
      <c r="H260" s="36" t="n">
        <f aca="false">IF($G$2849=0,0,G260/$G$2849)</f>
        <v>0.000618476358667634</v>
      </c>
      <c r="I260" s="37" t="n">
        <f aca="false">I259+H260</f>
        <v>0.798589543059909</v>
      </c>
      <c r="J260" s="37" t="n">
        <f aca="false">A260/2840</f>
        <v>0.0890845070422535</v>
      </c>
      <c r="K260" s="32" t="str">
        <f aca="false">IF(I260&lt;=$E$4,"A",IF(I260&lt;=$E$5,"B","C"))</f>
        <v>A</v>
      </c>
    </row>
    <row r="261" customFormat="false" ht="15" hidden="false" customHeight="false" outlineLevel="0" collapsed="false">
      <c r="A261" s="32" t="n">
        <v>254</v>
      </c>
      <c r="B261" s="33" t="n">
        <v>55678</v>
      </c>
      <c r="C261" s="34" t="s">
        <v>577</v>
      </c>
      <c r="D261" s="34" t="s">
        <v>578</v>
      </c>
      <c r="E261" s="34" t="s">
        <v>35</v>
      </c>
      <c r="F261" s="32" t="n">
        <f aca="false">COUNTIF(Base!$D$2:$D$2878,B261)</f>
        <v>1</v>
      </c>
      <c r="G261" s="35" t="n">
        <f aca="false">SUMIF(Base!$D$2:$D$2878,B261,Base!$I$2:$I$2878)</f>
        <v>9399.98</v>
      </c>
      <c r="H261" s="36" t="n">
        <f aca="false">IF($G$2849=0,0,G261/$G$2849)</f>
        <v>0.000616847615010248</v>
      </c>
      <c r="I261" s="37" t="n">
        <f aca="false">I260+H261</f>
        <v>0.799206390674919</v>
      </c>
      <c r="J261" s="37" t="n">
        <f aca="false">A261/2840</f>
        <v>0.0894366197183099</v>
      </c>
      <c r="K261" s="32" t="str">
        <f aca="false">IF(I261&lt;=$E$4,"A",IF(I261&lt;=$E$5,"B","C"))</f>
        <v>A</v>
      </c>
    </row>
    <row r="262" customFormat="false" ht="15" hidden="false" customHeight="false" outlineLevel="0" collapsed="false">
      <c r="A262" s="32" t="n">
        <v>255</v>
      </c>
      <c r="B262" s="33" t="n">
        <v>1606481</v>
      </c>
      <c r="C262" s="34" t="s">
        <v>579</v>
      </c>
      <c r="D262" s="34" t="s">
        <v>580</v>
      </c>
      <c r="E262" s="34" t="s">
        <v>170</v>
      </c>
      <c r="F262" s="32" t="n">
        <f aca="false">COUNTIF(Base!$D$2:$D$2878,B262)</f>
        <v>1</v>
      </c>
      <c r="G262" s="35" t="n">
        <f aca="false">SUMIF(Base!$D$2:$D$2878,B262,Base!$I$2:$I$2878)</f>
        <v>9360</v>
      </c>
      <c r="H262" s="36" t="n">
        <f aca="false">IF($G$2849=0,0,G262/$G$2849)</f>
        <v>0.000614224038401776</v>
      </c>
      <c r="I262" s="37" t="n">
        <f aca="false">I261+H262</f>
        <v>0.799820614713321</v>
      </c>
      <c r="J262" s="37" t="n">
        <f aca="false">A262/2840</f>
        <v>0.0897887323943662</v>
      </c>
      <c r="K262" s="32" t="str">
        <f aca="false">IF(I262&lt;=$E$4,"A",IF(I262&lt;=$E$5,"B","C"))</f>
        <v>A</v>
      </c>
    </row>
    <row r="263" customFormat="false" ht="15" hidden="false" customHeight="false" outlineLevel="0" collapsed="false">
      <c r="A263" s="32" t="n">
        <v>256</v>
      </c>
      <c r="B263" s="33" t="n">
        <v>653037</v>
      </c>
      <c r="C263" s="34" t="s">
        <v>581</v>
      </c>
      <c r="D263" s="34" t="s">
        <v>582</v>
      </c>
      <c r="E263" s="34" t="s">
        <v>491</v>
      </c>
      <c r="F263" s="32" t="n">
        <f aca="false">COUNTIF(Base!$D$2:$D$2878,B263)</f>
        <v>1</v>
      </c>
      <c r="G263" s="35" t="n">
        <f aca="false">SUMIF(Base!$D$2:$D$2878,B263,Base!$I$2:$I$2878)</f>
        <v>9355.5</v>
      </c>
      <c r="H263" s="36" t="n">
        <f aca="false">IF($G$2849=0,0,G263/$G$2849)</f>
        <v>0.000613928738383313</v>
      </c>
      <c r="I263" s="37" t="n">
        <f aca="false">I262+H263</f>
        <v>0.800434543451704</v>
      </c>
      <c r="J263" s="37" t="n">
        <f aca="false">A263/2840</f>
        <v>0.0901408450704225</v>
      </c>
      <c r="K263" s="32" t="str">
        <f aca="false">IF(I263&lt;=$E$4,"A",IF(I263&lt;=$E$5,"B","C"))</f>
        <v>B</v>
      </c>
    </row>
    <row r="264" customFormat="false" ht="15" hidden="false" customHeight="false" outlineLevel="0" collapsed="false">
      <c r="A264" s="32" t="n">
        <v>257</v>
      </c>
      <c r="B264" s="33" t="n">
        <v>1310970</v>
      </c>
      <c r="C264" s="34" t="s">
        <v>583</v>
      </c>
      <c r="D264" s="34" t="s">
        <v>584</v>
      </c>
      <c r="E264" s="34" t="s">
        <v>133</v>
      </c>
      <c r="F264" s="32" t="n">
        <f aca="false">COUNTIF(Base!$D$2:$D$2878,B264)</f>
        <v>1</v>
      </c>
      <c r="G264" s="35" t="n">
        <f aca="false">SUMIF(Base!$D$2:$D$2878,B264,Base!$I$2:$I$2878)</f>
        <v>9336.45</v>
      </c>
      <c r="H264" s="36" t="n">
        <f aca="false">IF($G$2849=0,0,G264/$G$2849)</f>
        <v>0.000612678634971822</v>
      </c>
      <c r="I264" s="37" t="n">
        <f aca="false">I263+H264</f>
        <v>0.801047222086676</v>
      </c>
      <c r="J264" s="37" t="n">
        <f aca="false">A264/2840</f>
        <v>0.0904929577464789</v>
      </c>
      <c r="K264" s="32" t="str">
        <f aca="false">IF(I264&lt;=$E$4,"A",IF(I264&lt;=$E$5,"B","C"))</f>
        <v>B</v>
      </c>
    </row>
    <row r="265" customFormat="false" ht="15" hidden="false" customHeight="false" outlineLevel="0" collapsed="false">
      <c r="A265" s="32" t="n">
        <v>258</v>
      </c>
      <c r="B265" s="33" t="n">
        <v>1383032</v>
      </c>
      <c r="C265" s="34" t="s">
        <v>585</v>
      </c>
      <c r="D265" s="34" t="s">
        <v>586</v>
      </c>
      <c r="E265" s="34" t="s">
        <v>38</v>
      </c>
      <c r="F265" s="32" t="n">
        <f aca="false">COUNTIF(Base!$D$2:$D$2878,B265)</f>
        <v>1</v>
      </c>
      <c r="G265" s="35" t="n">
        <f aca="false">SUMIF(Base!$D$2:$D$2878,B265,Base!$I$2:$I$2878)</f>
        <v>9090.12</v>
      </c>
      <c r="H265" s="36" t="n">
        <f aca="false">IF($G$2849=0,0,G265/$G$2849)</f>
        <v>0.000596513911961191</v>
      </c>
      <c r="I265" s="37" t="n">
        <f aca="false">I264+H265</f>
        <v>0.801643735998637</v>
      </c>
      <c r="J265" s="37" t="n">
        <f aca="false">A265/2840</f>
        <v>0.0908450704225352</v>
      </c>
      <c r="K265" s="32" t="str">
        <f aca="false">IF(I265&lt;=$E$4,"A",IF(I265&lt;=$E$5,"B","C"))</f>
        <v>B</v>
      </c>
    </row>
    <row r="266" customFormat="false" ht="15" hidden="false" customHeight="false" outlineLevel="0" collapsed="false">
      <c r="A266" s="32" t="n">
        <v>259</v>
      </c>
      <c r="B266" s="33" t="n">
        <v>1608931</v>
      </c>
      <c r="C266" s="34" t="s">
        <v>587</v>
      </c>
      <c r="D266" s="34" t="s">
        <v>588</v>
      </c>
      <c r="E266" s="34" t="s">
        <v>38</v>
      </c>
      <c r="F266" s="32" t="n">
        <f aca="false">COUNTIF(Base!$D$2:$D$2878,B266)</f>
        <v>1</v>
      </c>
      <c r="G266" s="35" t="n">
        <f aca="false">SUMIF(Base!$D$2:$D$2878,B266,Base!$I$2:$I$2878)</f>
        <v>9042.99</v>
      </c>
      <c r="H266" s="36" t="n">
        <f aca="false">IF($G$2849=0,0,G266/$G$2849)</f>
        <v>0.000593421136434495</v>
      </c>
      <c r="I266" s="37" t="n">
        <f aca="false">I265+H266</f>
        <v>0.802237157135071</v>
      </c>
      <c r="J266" s="37" t="n">
        <f aca="false">A266/2840</f>
        <v>0.0911971830985916</v>
      </c>
      <c r="K266" s="32" t="str">
        <f aca="false">IF(I266&lt;=$E$4,"A",IF(I266&lt;=$E$5,"B","C"))</f>
        <v>B</v>
      </c>
    </row>
    <row r="267" customFormat="false" ht="15" hidden="false" customHeight="false" outlineLevel="0" collapsed="false">
      <c r="A267" s="32" t="n">
        <v>260</v>
      </c>
      <c r="B267" s="33" t="n">
        <v>1464939</v>
      </c>
      <c r="C267" s="34" t="s">
        <v>589</v>
      </c>
      <c r="D267" s="34" t="s">
        <v>590</v>
      </c>
      <c r="E267" s="34" t="s">
        <v>32</v>
      </c>
      <c r="F267" s="32" t="n">
        <f aca="false">COUNTIF(Base!$D$2:$D$2878,B267)</f>
        <v>1</v>
      </c>
      <c r="G267" s="35" t="n">
        <f aca="false">SUMIF(Base!$D$2:$D$2878,B267,Base!$I$2:$I$2878)</f>
        <v>9034.08</v>
      </c>
      <c r="H267" s="36" t="n">
        <f aca="false">IF($G$2849=0,0,G267/$G$2849)</f>
        <v>0.000592836442397939</v>
      </c>
      <c r="I267" s="37" t="n">
        <f aca="false">I266+H267</f>
        <v>0.802829993577469</v>
      </c>
      <c r="J267" s="37" t="n">
        <f aca="false">A267/2840</f>
        <v>0.0915492957746479</v>
      </c>
      <c r="K267" s="32" t="str">
        <f aca="false">IF(I267&lt;=$E$4,"A",IF(I267&lt;=$E$5,"B","C"))</f>
        <v>B</v>
      </c>
    </row>
    <row r="268" customFormat="false" ht="15" hidden="false" customHeight="false" outlineLevel="0" collapsed="false">
      <c r="A268" s="32" t="n">
        <v>261</v>
      </c>
      <c r="B268" s="33" t="n">
        <v>226627</v>
      </c>
      <c r="C268" s="34" t="s">
        <v>591</v>
      </c>
      <c r="D268" s="34" t="s">
        <v>592</v>
      </c>
      <c r="E268" s="34" t="s">
        <v>75</v>
      </c>
      <c r="F268" s="32" t="n">
        <f aca="false">COUNTIF(Base!$D$2:$D$2878,B268)</f>
        <v>1</v>
      </c>
      <c r="G268" s="35" t="n">
        <f aca="false">SUMIF(Base!$D$2:$D$2878,B268,Base!$I$2:$I$2878)</f>
        <v>8995</v>
      </c>
      <c r="H268" s="36" t="n">
        <f aca="false">IF($G$2849=0,0,G268/$G$2849)</f>
        <v>0.000590271925793159</v>
      </c>
      <c r="I268" s="37" t="n">
        <f aca="false">I267+H268</f>
        <v>0.803420265503262</v>
      </c>
      <c r="J268" s="37" t="n">
        <f aca="false">A268/2840</f>
        <v>0.0919014084507042</v>
      </c>
      <c r="K268" s="32" t="str">
        <f aca="false">IF(I268&lt;=$E$4,"A",IF(I268&lt;=$E$5,"B","C"))</f>
        <v>B</v>
      </c>
    </row>
    <row r="269" customFormat="false" ht="15" hidden="false" customHeight="false" outlineLevel="0" collapsed="false">
      <c r="A269" s="32" t="n">
        <v>262</v>
      </c>
      <c r="B269" s="33" t="n">
        <v>1679654</v>
      </c>
      <c r="C269" s="34" t="s">
        <v>593</v>
      </c>
      <c r="D269" s="34" t="s">
        <v>594</v>
      </c>
      <c r="E269" s="34" t="s">
        <v>394</v>
      </c>
      <c r="F269" s="32" t="n">
        <f aca="false">COUNTIF(Base!$D$2:$D$2878,B269)</f>
        <v>1</v>
      </c>
      <c r="G269" s="35" t="n">
        <f aca="false">SUMIF(Base!$D$2:$D$2878,B269,Base!$I$2:$I$2878)</f>
        <v>8983.24</v>
      </c>
      <c r="H269" s="36" t="n">
        <f aca="false">IF($G$2849=0,0,G269/$G$2849)</f>
        <v>0.000589500208411578</v>
      </c>
      <c r="I269" s="37" t="n">
        <f aca="false">I268+H269</f>
        <v>0.804009765711674</v>
      </c>
      <c r="J269" s="37" t="n">
        <f aca="false">A269/2840</f>
        <v>0.0922535211267606</v>
      </c>
      <c r="K269" s="32" t="str">
        <f aca="false">IF(I269&lt;=$E$4,"A",IF(I269&lt;=$E$5,"B","C"))</f>
        <v>B</v>
      </c>
    </row>
    <row r="270" customFormat="false" ht="15" hidden="false" customHeight="false" outlineLevel="0" collapsed="false">
      <c r="A270" s="32" t="n">
        <v>263</v>
      </c>
      <c r="B270" s="33" t="n">
        <v>958673</v>
      </c>
      <c r="C270" s="34" t="s">
        <v>595</v>
      </c>
      <c r="D270" s="34" t="s">
        <v>596</v>
      </c>
      <c r="E270" s="34" t="s">
        <v>170</v>
      </c>
      <c r="F270" s="32" t="n">
        <f aca="false">COUNTIF(Base!$D$2:$D$2878,B270)</f>
        <v>1</v>
      </c>
      <c r="G270" s="35" t="n">
        <f aca="false">SUMIF(Base!$D$2:$D$2878,B270,Base!$I$2:$I$2878)</f>
        <v>8940</v>
      </c>
      <c r="H270" s="36" t="n">
        <f aca="false">IF($G$2849=0,0,G270/$G$2849)</f>
        <v>0.000586662703345286</v>
      </c>
      <c r="I270" s="37" t="n">
        <f aca="false">I269+H270</f>
        <v>0.804596428415019</v>
      </c>
      <c r="J270" s="37" t="n">
        <f aca="false">A270/2840</f>
        <v>0.0926056338028169</v>
      </c>
      <c r="K270" s="32" t="str">
        <f aca="false">IF(I270&lt;=$E$4,"A",IF(I270&lt;=$E$5,"B","C"))</f>
        <v>B</v>
      </c>
    </row>
    <row r="271" customFormat="false" ht="15" hidden="false" customHeight="false" outlineLevel="0" collapsed="false">
      <c r="A271" s="32" t="n">
        <v>264</v>
      </c>
      <c r="B271" s="33" t="n">
        <v>54947</v>
      </c>
      <c r="C271" s="34" t="s">
        <v>597</v>
      </c>
      <c r="D271" s="34" t="s">
        <v>598</v>
      </c>
      <c r="E271" s="34" t="s">
        <v>189</v>
      </c>
      <c r="F271" s="32" t="n">
        <f aca="false">COUNTIF(Base!$D$2:$D$2878,B271)</f>
        <v>1</v>
      </c>
      <c r="G271" s="35" t="n">
        <f aca="false">SUMIF(Base!$D$2:$D$2878,B271,Base!$I$2:$I$2878)</f>
        <v>8900</v>
      </c>
      <c r="H271" s="36" t="n">
        <f aca="false">IF($G$2849=0,0,G271/$G$2849)</f>
        <v>0.000584037814292287</v>
      </c>
      <c r="I271" s="37" t="n">
        <f aca="false">I270+H271</f>
        <v>0.805180466229312</v>
      </c>
      <c r="J271" s="37" t="n">
        <f aca="false">A271/2840</f>
        <v>0.0929577464788732</v>
      </c>
      <c r="K271" s="32" t="str">
        <f aca="false">IF(I271&lt;=$E$4,"A",IF(I271&lt;=$E$5,"B","C"))</f>
        <v>B</v>
      </c>
    </row>
    <row r="272" customFormat="false" ht="15" hidden="false" customHeight="false" outlineLevel="0" collapsed="false">
      <c r="A272" s="32" t="n">
        <v>265</v>
      </c>
      <c r="B272" s="33" t="n">
        <v>1087988</v>
      </c>
      <c r="C272" s="34" t="s">
        <v>599</v>
      </c>
      <c r="D272" s="34" t="s">
        <v>600</v>
      </c>
      <c r="E272" s="34" t="s">
        <v>113</v>
      </c>
      <c r="F272" s="32" t="n">
        <f aca="false">COUNTIF(Base!$D$2:$D$2878,B272)</f>
        <v>1</v>
      </c>
      <c r="G272" s="35" t="n">
        <f aca="false">SUMIF(Base!$D$2:$D$2878,B272,Base!$I$2:$I$2878)</f>
        <v>8896.5</v>
      </c>
      <c r="H272" s="36" t="n">
        <f aca="false">IF($G$2849=0,0,G272/$G$2849)</f>
        <v>0.000583808136500149</v>
      </c>
      <c r="I272" s="37" t="n">
        <f aca="false">I271+H272</f>
        <v>0.805764274365812</v>
      </c>
      <c r="J272" s="37" t="n">
        <f aca="false">A272/2840</f>
        <v>0.0933098591549296</v>
      </c>
      <c r="K272" s="32" t="str">
        <f aca="false">IF(I272&lt;=$E$4,"A",IF(I272&lt;=$E$5,"B","C"))</f>
        <v>B</v>
      </c>
    </row>
    <row r="273" customFormat="false" ht="15" hidden="false" customHeight="false" outlineLevel="0" collapsed="false">
      <c r="A273" s="32" t="n">
        <v>266</v>
      </c>
      <c r="B273" s="33" t="n">
        <v>289886</v>
      </c>
      <c r="C273" s="34" t="s">
        <v>601</v>
      </c>
      <c r="D273" s="34" t="s">
        <v>602</v>
      </c>
      <c r="E273" s="34" t="s">
        <v>170</v>
      </c>
      <c r="F273" s="32" t="n">
        <f aca="false">COUNTIF(Base!$D$2:$D$2878,B273)</f>
        <v>1</v>
      </c>
      <c r="G273" s="35" t="n">
        <f aca="false">SUMIF(Base!$D$2:$D$2878,B273,Base!$I$2:$I$2878)</f>
        <v>8879.21</v>
      </c>
      <c r="H273" s="36" t="n">
        <f aca="false">IF($G$2849=0,0,G273/$G$2849)</f>
        <v>0.00058267352820699</v>
      </c>
      <c r="I273" s="37" t="n">
        <f aca="false">I272+H273</f>
        <v>0.806346947894019</v>
      </c>
      <c r="J273" s="37" t="n">
        <f aca="false">A273/2840</f>
        <v>0.0936619718309859</v>
      </c>
      <c r="K273" s="32" t="str">
        <f aca="false">IF(I273&lt;=$E$4,"A",IF(I273&lt;=$E$5,"B","C"))</f>
        <v>B</v>
      </c>
    </row>
    <row r="274" customFormat="false" ht="15" hidden="false" customHeight="false" outlineLevel="0" collapsed="false">
      <c r="A274" s="32" t="n">
        <v>267</v>
      </c>
      <c r="B274" s="33" t="n">
        <v>19767</v>
      </c>
      <c r="C274" s="34" t="s">
        <v>603</v>
      </c>
      <c r="D274" s="34" t="s">
        <v>604</v>
      </c>
      <c r="E274" s="34" t="s">
        <v>605</v>
      </c>
      <c r="F274" s="32" t="n">
        <f aca="false">COUNTIF(Base!$D$2:$D$2878,B274)</f>
        <v>1</v>
      </c>
      <c r="G274" s="35" t="n">
        <f aca="false">SUMIF(Base!$D$2:$D$2878,B274,Base!$I$2:$I$2878)</f>
        <v>8819.6</v>
      </c>
      <c r="H274" s="36" t="n">
        <f aca="false">IF($G$2849=0,0,G274/$G$2849)</f>
        <v>0.000578761787295759</v>
      </c>
      <c r="I274" s="37" t="n">
        <f aca="false">I273+H274</f>
        <v>0.806925709681314</v>
      </c>
      <c r="J274" s="37" t="n">
        <f aca="false">A274/2840</f>
        <v>0.0940140845070423</v>
      </c>
      <c r="K274" s="32" t="str">
        <f aca="false">IF(I274&lt;=$E$4,"A",IF(I274&lt;=$E$5,"B","C"))</f>
        <v>B</v>
      </c>
    </row>
    <row r="275" customFormat="false" ht="15" hidden="false" customHeight="false" outlineLevel="0" collapsed="false">
      <c r="A275" s="32" t="n">
        <v>268</v>
      </c>
      <c r="B275" s="33" t="n">
        <v>33123</v>
      </c>
      <c r="C275" s="34" t="s">
        <v>606</v>
      </c>
      <c r="D275" s="34" t="s">
        <v>607</v>
      </c>
      <c r="E275" s="34" t="s">
        <v>262</v>
      </c>
      <c r="F275" s="32" t="n">
        <f aca="false">COUNTIF(Base!$D$2:$D$2878,B275)</f>
        <v>1</v>
      </c>
      <c r="G275" s="35" t="n">
        <f aca="false">SUMIF(Base!$D$2:$D$2878,B275,Base!$I$2:$I$2878)</f>
        <v>8800</v>
      </c>
      <c r="H275" s="36" t="n">
        <f aca="false">IF($G$2849=0,0,G275/$G$2849)</f>
        <v>0.000577475591659789</v>
      </c>
      <c r="I275" s="37" t="n">
        <f aca="false">I274+H275</f>
        <v>0.807503185272974</v>
      </c>
      <c r="J275" s="37" t="n">
        <f aca="false">A275/2840</f>
        <v>0.0943661971830986</v>
      </c>
      <c r="K275" s="32" t="str">
        <f aca="false">IF(I275&lt;=$E$4,"A",IF(I275&lt;=$E$5,"B","C"))</f>
        <v>B</v>
      </c>
    </row>
    <row r="276" customFormat="false" ht="15" hidden="false" customHeight="false" outlineLevel="0" collapsed="false">
      <c r="A276" s="32" t="n">
        <v>269</v>
      </c>
      <c r="B276" s="33" t="n">
        <v>1385800</v>
      </c>
      <c r="C276" s="34" t="s">
        <v>608</v>
      </c>
      <c r="D276" s="34" t="s">
        <v>609</v>
      </c>
      <c r="E276" s="34" t="s">
        <v>38</v>
      </c>
      <c r="F276" s="32" t="n">
        <f aca="false">COUNTIF(Base!$D$2:$D$2878,B276)</f>
        <v>1</v>
      </c>
      <c r="G276" s="35" t="n">
        <f aca="false">SUMIF(Base!$D$2:$D$2878,B276,Base!$I$2:$I$2878)</f>
        <v>8761.5</v>
      </c>
      <c r="H276" s="36" t="n">
        <f aca="false">IF($G$2849=0,0,G276/$G$2849)</f>
        <v>0.000574949135946277</v>
      </c>
      <c r="I276" s="37" t="n">
        <f aca="false">I275+H276</f>
        <v>0.80807813440892</v>
      </c>
      <c r="J276" s="37" t="n">
        <f aca="false">A276/2840</f>
        <v>0.0947183098591549</v>
      </c>
      <c r="K276" s="32" t="str">
        <f aca="false">IF(I276&lt;=$E$4,"A",IF(I276&lt;=$E$5,"B","C"))</f>
        <v>B</v>
      </c>
    </row>
    <row r="277" customFormat="false" ht="15" hidden="false" customHeight="false" outlineLevel="0" collapsed="false">
      <c r="A277" s="32" t="n">
        <v>270</v>
      </c>
      <c r="B277" s="33" t="n">
        <v>32875</v>
      </c>
      <c r="C277" s="34" t="s">
        <v>610</v>
      </c>
      <c r="D277" s="34" t="s">
        <v>611</v>
      </c>
      <c r="E277" s="34" t="s">
        <v>363</v>
      </c>
      <c r="F277" s="32" t="n">
        <f aca="false">COUNTIF(Base!$D$2:$D$2878,B277)</f>
        <v>1</v>
      </c>
      <c r="G277" s="35" t="n">
        <f aca="false">SUMIF(Base!$D$2:$D$2878,B277,Base!$I$2:$I$2878)</f>
        <v>8688.54</v>
      </c>
      <c r="H277" s="36" t="n">
        <f aca="false">IF($G$2849=0,0,G277/$G$2849)</f>
        <v>0.000570161338313607</v>
      </c>
      <c r="I277" s="37" t="n">
        <f aca="false">I276+H277</f>
        <v>0.808648295747234</v>
      </c>
      <c r="J277" s="37" t="n">
        <f aca="false">A277/2840</f>
        <v>0.0950704225352113</v>
      </c>
      <c r="K277" s="32" t="str">
        <f aca="false">IF(I277&lt;=$E$4,"A",IF(I277&lt;=$E$5,"B","C"))</f>
        <v>B</v>
      </c>
    </row>
    <row r="278" customFormat="false" ht="15" hidden="false" customHeight="false" outlineLevel="0" collapsed="false">
      <c r="A278" s="32" t="n">
        <v>271</v>
      </c>
      <c r="B278" s="33" t="n">
        <v>1475015</v>
      </c>
      <c r="C278" s="34" t="s">
        <v>612</v>
      </c>
      <c r="D278" s="34" t="s">
        <v>613</v>
      </c>
      <c r="E278" s="34" t="s">
        <v>38</v>
      </c>
      <c r="F278" s="32" t="n">
        <f aca="false">COUNTIF(Base!$D$2:$D$2878,B278)</f>
        <v>1</v>
      </c>
      <c r="G278" s="35" t="n">
        <f aca="false">SUMIF(Base!$D$2:$D$2878,B278,Base!$I$2:$I$2878)</f>
        <v>8670</v>
      </c>
      <c r="H278" s="36" t="n">
        <f aca="false">IF($G$2849=0,0,G278/$G$2849)</f>
        <v>0.000568944702237542</v>
      </c>
      <c r="I278" s="37" t="n">
        <f aca="false">I277+H278</f>
        <v>0.809217240449472</v>
      </c>
      <c r="J278" s="37" t="n">
        <f aca="false">A278/2840</f>
        <v>0.0954225352112676</v>
      </c>
      <c r="K278" s="32" t="str">
        <f aca="false">IF(I278&lt;=$E$4,"A",IF(I278&lt;=$E$5,"B","C"))</f>
        <v>B</v>
      </c>
    </row>
    <row r="279" customFormat="false" ht="15" hidden="false" customHeight="false" outlineLevel="0" collapsed="false">
      <c r="A279" s="32" t="n">
        <v>272</v>
      </c>
      <c r="B279" s="33" t="n">
        <v>19232</v>
      </c>
      <c r="C279" s="34" t="s">
        <v>614</v>
      </c>
      <c r="D279" s="34" t="s">
        <v>615</v>
      </c>
      <c r="E279" s="34" t="s">
        <v>93</v>
      </c>
      <c r="F279" s="32" t="n">
        <f aca="false">COUNTIF(Base!$D$2:$D$2878,B279)</f>
        <v>1</v>
      </c>
      <c r="G279" s="35" t="n">
        <f aca="false">SUMIF(Base!$D$2:$D$2878,B279,Base!$I$2:$I$2878)</f>
        <v>8610</v>
      </c>
      <c r="H279" s="36" t="n">
        <f aca="false">IF($G$2849=0,0,G279/$G$2849)</f>
        <v>0.000565007368658044</v>
      </c>
      <c r="I279" s="37" t="n">
        <f aca="false">I278+H279</f>
        <v>0.80978224781813</v>
      </c>
      <c r="J279" s="37" t="n">
        <f aca="false">A279/2840</f>
        <v>0.0957746478873239</v>
      </c>
      <c r="K279" s="32" t="str">
        <f aca="false">IF(I279&lt;=$E$4,"A",IF(I279&lt;=$E$5,"B","C"))</f>
        <v>B</v>
      </c>
    </row>
    <row r="280" customFormat="false" ht="15" hidden="false" customHeight="false" outlineLevel="0" collapsed="false">
      <c r="A280" s="32" t="n">
        <v>273</v>
      </c>
      <c r="B280" s="33" t="n">
        <v>831924</v>
      </c>
      <c r="C280" s="34" t="s">
        <v>616</v>
      </c>
      <c r="D280" s="34" t="s">
        <v>617</v>
      </c>
      <c r="E280" s="34" t="s">
        <v>247</v>
      </c>
      <c r="F280" s="32" t="n">
        <f aca="false">COUNTIF(Base!$D$2:$D$2878,B280)</f>
        <v>1</v>
      </c>
      <c r="G280" s="35" t="n">
        <f aca="false">SUMIF(Base!$D$2:$D$2878,B280,Base!$I$2:$I$2878)</f>
        <v>8598.64</v>
      </c>
      <c r="H280" s="36" t="n">
        <f aca="false">IF($G$2849=0,0,G280/$G$2849)</f>
        <v>0.000564261900166992</v>
      </c>
      <c r="I280" s="37" t="n">
        <f aca="false">I279+H280</f>
        <v>0.810346509718297</v>
      </c>
      <c r="J280" s="37" t="n">
        <f aca="false">A280/2840</f>
        <v>0.0961267605633803</v>
      </c>
      <c r="K280" s="32" t="str">
        <f aca="false">IF(I280&lt;=$E$4,"A",IF(I280&lt;=$E$5,"B","C"))</f>
        <v>B</v>
      </c>
    </row>
    <row r="281" customFormat="false" ht="15" hidden="false" customHeight="false" outlineLevel="0" collapsed="false">
      <c r="A281" s="32" t="n">
        <v>274</v>
      </c>
      <c r="B281" s="33" t="n">
        <v>1680999</v>
      </c>
      <c r="C281" s="34" t="s">
        <v>618</v>
      </c>
      <c r="D281" s="34" t="s">
        <v>619</v>
      </c>
      <c r="E281" s="34" t="s">
        <v>63</v>
      </c>
      <c r="F281" s="32" t="n">
        <f aca="false">COUNTIF(Base!$D$2:$D$2878,B281)</f>
        <v>1</v>
      </c>
      <c r="G281" s="35" t="n">
        <f aca="false">SUMIF(Base!$D$2:$D$2878,B281,Base!$I$2:$I$2878)</f>
        <v>8483.14</v>
      </c>
      <c r="H281" s="36" t="n">
        <f aca="false">IF($G$2849=0,0,G281/$G$2849)</f>
        <v>0.000556682533026457</v>
      </c>
      <c r="I281" s="37" t="n">
        <f aca="false">I280+H281</f>
        <v>0.810903192251323</v>
      </c>
      <c r="J281" s="37" t="n">
        <f aca="false">A281/2840</f>
        <v>0.0964788732394366</v>
      </c>
      <c r="K281" s="32" t="str">
        <f aca="false">IF(I281&lt;=$E$4,"A",IF(I281&lt;=$E$5,"B","C"))</f>
        <v>B</v>
      </c>
    </row>
    <row r="282" customFormat="false" ht="15" hidden="false" customHeight="false" outlineLevel="0" collapsed="false">
      <c r="A282" s="32" t="n">
        <v>275</v>
      </c>
      <c r="B282" s="33" t="n">
        <v>1009861</v>
      </c>
      <c r="C282" s="34" t="s">
        <v>620</v>
      </c>
      <c r="D282" s="34" t="s">
        <v>621</v>
      </c>
      <c r="E282" s="34" t="s">
        <v>133</v>
      </c>
      <c r="F282" s="32" t="n">
        <f aca="false">COUNTIF(Base!$D$2:$D$2878,B282)</f>
        <v>1</v>
      </c>
      <c r="G282" s="35" t="n">
        <f aca="false">SUMIF(Base!$D$2:$D$2878,B282,Base!$I$2:$I$2878)</f>
        <v>8458.205</v>
      </c>
      <c r="H282" s="36" t="n">
        <f aca="false">IF($G$2849=0,0,G282/$G$2849)</f>
        <v>0.000555046242813044</v>
      </c>
      <c r="I282" s="37" t="n">
        <f aca="false">I281+H282</f>
        <v>0.811458238494136</v>
      </c>
      <c r="J282" s="37" t="n">
        <f aca="false">A282/2840</f>
        <v>0.096830985915493</v>
      </c>
      <c r="K282" s="32" t="str">
        <f aca="false">IF(I282&lt;=$E$4,"A",IF(I282&lt;=$E$5,"B","C"))</f>
        <v>B</v>
      </c>
    </row>
    <row r="283" customFormat="false" ht="15" hidden="false" customHeight="false" outlineLevel="0" collapsed="false">
      <c r="A283" s="32" t="n">
        <v>276</v>
      </c>
      <c r="B283" s="33" t="n">
        <v>952368</v>
      </c>
      <c r="C283" s="34" t="s">
        <v>622</v>
      </c>
      <c r="D283" s="34" t="s">
        <v>623</v>
      </c>
      <c r="E283" s="34" t="s">
        <v>394</v>
      </c>
      <c r="F283" s="32" t="n">
        <f aca="false">COUNTIF(Base!$D$2:$D$2878,B283)</f>
        <v>1</v>
      </c>
      <c r="G283" s="35" t="n">
        <f aca="false">SUMIF(Base!$D$2:$D$2878,B283,Base!$I$2:$I$2878)</f>
        <v>8419.68</v>
      </c>
      <c r="H283" s="36" t="n">
        <f aca="false">IF($G$2849=0,0,G283/$G$2849)</f>
        <v>0.000552518146543874</v>
      </c>
      <c r="I283" s="37" t="n">
        <f aca="false">I282+H283</f>
        <v>0.81201075664068</v>
      </c>
      <c r="J283" s="37" t="n">
        <f aca="false">A283/2840</f>
        <v>0.0971830985915493</v>
      </c>
      <c r="K283" s="32" t="str">
        <f aca="false">IF(I283&lt;=$E$4,"A",IF(I283&lt;=$E$5,"B","C"))</f>
        <v>B</v>
      </c>
    </row>
    <row r="284" customFormat="false" ht="15" hidden="false" customHeight="false" outlineLevel="0" collapsed="false">
      <c r="A284" s="32" t="n">
        <v>277</v>
      </c>
      <c r="B284" s="33" t="n">
        <v>1463584</v>
      </c>
      <c r="C284" s="34" t="s">
        <v>624</v>
      </c>
      <c r="D284" s="34" t="s">
        <v>625</v>
      </c>
      <c r="E284" s="34" t="s">
        <v>38</v>
      </c>
      <c r="F284" s="32" t="n">
        <f aca="false">COUNTIF(Base!$D$2:$D$2878,B284)</f>
        <v>1</v>
      </c>
      <c r="G284" s="35" t="n">
        <f aca="false">SUMIF(Base!$D$2:$D$2878,B284,Base!$I$2:$I$2878)</f>
        <v>8416.83</v>
      </c>
      <c r="H284" s="36" t="n">
        <f aca="false">IF($G$2849=0,0,G284/$G$2849)</f>
        <v>0.000552331123198848</v>
      </c>
      <c r="I284" s="37" t="n">
        <f aca="false">I283+H284</f>
        <v>0.812563087763879</v>
      </c>
      <c r="J284" s="37" t="n">
        <f aca="false">A284/2840</f>
        <v>0.0975352112676056</v>
      </c>
      <c r="K284" s="32" t="str">
        <f aca="false">IF(I284&lt;=$E$4,"A",IF(I284&lt;=$E$5,"B","C"))</f>
        <v>B</v>
      </c>
    </row>
    <row r="285" customFormat="false" ht="15" hidden="false" customHeight="false" outlineLevel="0" collapsed="false">
      <c r="A285" s="32" t="n">
        <v>278</v>
      </c>
      <c r="B285" s="33" t="n">
        <v>1327762</v>
      </c>
      <c r="C285" s="34" t="s">
        <v>626</v>
      </c>
      <c r="D285" s="34" t="s">
        <v>627</v>
      </c>
      <c r="E285" s="34" t="s">
        <v>54</v>
      </c>
      <c r="F285" s="32" t="n">
        <f aca="false">COUNTIF(Base!$D$2:$D$2878,B285)</f>
        <v>1</v>
      </c>
      <c r="G285" s="35" t="n">
        <f aca="false">SUMIF(Base!$D$2:$D$2878,B285,Base!$I$2:$I$2878)</f>
        <v>8404.35</v>
      </c>
      <c r="H285" s="36" t="n">
        <f aca="false">IF($G$2849=0,0,G285/$G$2849)</f>
        <v>0.000551512157814312</v>
      </c>
      <c r="I285" s="37" t="n">
        <f aca="false">I284+H285</f>
        <v>0.813114599921693</v>
      </c>
      <c r="J285" s="37" t="n">
        <f aca="false">A285/2840</f>
        <v>0.097887323943662</v>
      </c>
      <c r="K285" s="32" t="str">
        <f aca="false">IF(I285&lt;=$E$4,"A",IF(I285&lt;=$E$5,"B","C"))</f>
        <v>B</v>
      </c>
    </row>
    <row r="286" customFormat="false" ht="15" hidden="false" customHeight="false" outlineLevel="0" collapsed="false">
      <c r="A286" s="32" t="n">
        <v>279</v>
      </c>
      <c r="B286" s="33" t="n">
        <v>22701</v>
      </c>
      <c r="C286" s="34" t="s">
        <v>628</v>
      </c>
      <c r="D286" s="34" t="s">
        <v>629</v>
      </c>
      <c r="E286" s="34" t="s">
        <v>630</v>
      </c>
      <c r="F286" s="32" t="n">
        <f aca="false">COUNTIF(Base!$D$2:$D$2878,B286)</f>
        <v>1</v>
      </c>
      <c r="G286" s="35" t="n">
        <f aca="false">SUMIF(Base!$D$2:$D$2878,B286,Base!$I$2:$I$2878)</f>
        <v>8400</v>
      </c>
      <c r="H286" s="36" t="n">
        <f aca="false">IF($G$2849=0,0,G286/$G$2849)</f>
        <v>0.000551226701129799</v>
      </c>
      <c r="I286" s="37" t="n">
        <f aca="false">I285+H286</f>
        <v>0.813665826622823</v>
      </c>
      <c r="J286" s="37" t="n">
        <f aca="false">A286/2840</f>
        <v>0.0982394366197183</v>
      </c>
      <c r="K286" s="32" t="str">
        <f aca="false">IF(I286&lt;=$E$4,"A",IF(I286&lt;=$E$5,"B","C"))</f>
        <v>B</v>
      </c>
    </row>
    <row r="287" customFormat="false" ht="15" hidden="false" customHeight="false" outlineLevel="0" collapsed="false">
      <c r="A287" s="32" t="n">
        <v>280</v>
      </c>
      <c r="B287" s="33" t="n">
        <v>12221</v>
      </c>
      <c r="C287" s="34" t="s">
        <v>631</v>
      </c>
      <c r="D287" s="34" t="s">
        <v>632</v>
      </c>
      <c r="E287" s="34" t="s">
        <v>38</v>
      </c>
      <c r="F287" s="32" t="n">
        <f aca="false">COUNTIF(Base!$D$2:$D$2878,B287)</f>
        <v>1</v>
      </c>
      <c r="G287" s="35" t="n">
        <f aca="false">SUMIF(Base!$D$2:$D$2878,B287,Base!$I$2:$I$2878)</f>
        <v>8394.2</v>
      </c>
      <c r="H287" s="36" t="n">
        <f aca="false">IF($G$2849=0,0,G287/$G$2849)</f>
        <v>0.000550846092217114</v>
      </c>
      <c r="I287" s="37" t="n">
        <f aca="false">I286+H287</f>
        <v>0.81421667271504</v>
      </c>
      <c r="J287" s="37" t="n">
        <f aca="false">A287/2840</f>
        <v>0.0985915492957746</v>
      </c>
      <c r="K287" s="32" t="str">
        <f aca="false">IF(I287&lt;=$E$4,"A",IF(I287&lt;=$E$5,"B","C"))</f>
        <v>B</v>
      </c>
    </row>
    <row r="288" customFormat="false" ht="15" hidden="false" customHeight="false" outlineLevel="0" collapsed="false">
      <c r="A288" s="32" t="n">
        <v>281</v>
      </c>
      <c r="B288" s="33" t="n">
        <v>959715</v>
      </c>
      <c r="C288" s="34" t="s">
        <v>633</v>
      </c>
      <c r="D288" s="34" t="s">
        <v>634</v>
      </c>
      <c r="E288" s="34" t="s">
        <v>35</v>
      </c>
      <c r="F288" s="32" t="n">
        <f aca="false">COUNTIF(Base!$D$2:$D$2878,B288)</f>
        <v>1</v>
      </c>
      <c r="G288" s="35" t="n">
        <f aca="false">SUMIF(Base!$D$2:$D$2878,B288,Base!$I$2:$I$2878)</f>
        <v>8349</v>
      </c>
      <c r="H288" s="36" t="n">
        <f aca="false">IF($G$2849=0,0,G288/$G$2849)</f>
        <v>0.000547879967587225</v>
      </c>
      <c r="I288" s="37" t="n">
        <f aca="false">I287+H288</f>
        <v>0.814764552682627</v>
      </c>
      <c r="J288" s="37" t="n">
        <f aca="false">A288/2840</f>
        <v>0.098943661971831</v>
      </c>
      <c r="K288" s="32" t="str">
        <f aca="false">IF(I288&lt;=$E$4,"A",IF(I288&lt;=$E$5,"B","C"))</f>
        <v>B</v>
      </c>
    </row>
    <row r="289" customFormat="false" ht="15" hidden="false" customHeight="false" outlineLevel="0" collapsed="false">
      <c r="A289" s="32" t="n">
        <v>282</v>
      </c>
      <c r="B289" s="33" t="n">
        <v>856750</v>
      </c>
      <c r="C289" s="34" t="s">
        <v>635</v>
      </c>
      <c r="D289" s="34" t="s">
        <v>636</v>
      </c>
      <c r="E289" s="34" t="s">
        <v>637</v>
      </c>
      <c r="F289" s="32" t="n">
        <f aca="false">COUNTIF(Base!$D$2:$D$2878,B289)</f>
        <v>1</v>
      </c>
      <c r="G289" s="35" t="n">
        <f aca="false">SUMIF(Base!$D$2:$D$2878,B289,Base!$I$2:$I$2878)</f>
        <v>8322</v>
      </c>
      <c r="H289" s="36" t="n">
        <f aca="false">IF($G$2849=0,0,G289/$G$2849)</f>
        <v>0.000546108167476451</v>
      </c>
      <c r="I289" s="37" t="n">
        <f aca="false">I288+H289</f>
        <v>0.815310660850104</v>
      </c>
      <c r="J289" s="37" t="n">
        <f aca="false">A289/2840</f>
        <v>0.0992957746478873</v>
      </c>
      <c r="K289" s="32" t="str">
        <f aca="false">IF(I289&lt;=$E$4,"A",IF(I289&lt;=$E$5,"B","C"))</f>
        <v>B</v>
      </c>
    </row>
    <row r="290" customFormat="false" ht="15" hidden="false" customHeight="false" outlineLevel="0" collapsed="false">
      <c r="A290" s="32" t="n">
        <v>283</v>
      </c>
      <c r="B290" s="33" t="n">
        <v>56394</v>
      </c>
      <c r="C290" s="34" t="s">
        <v>638</v>
      </c>
      <c r="D290" s="34" t="s">
        <v>639</v>
      </c>
      <c r="E290" s="34" t="s">
        <v>637</v>
      </c>
      <c r="F290" s="32" t="n">
        <f aca="false">COUNTIF(Base!$D$2:$D$2878,B290)</f>
        <v>1</v>
      </c>
      <c r="G290" s="35" t="n">
        <f aca="false">SUMIF(Base!$D$2:$D$2878,B290,Base!$I$2:$I$2878)</f>
        <v>8300</v>
      </c>
      <c r="H290" s="36" t="n">
        <f aca="false">IF($G$2849=0,0,G290/$G$2849)</f>
        <v>0.000544664478497301</v>
      </c>
      <c r="I290" s="37" t="n">
        <f aca="false">I289+H290</f>
        <v>0.815855325328601</v>
      </c>
      <c r="J290" s="37" t="n">
        <f aca="false">A290/2840</f>
        <v>0.0996478873239437</v>
      </c>
      <c r="K290" s="32" t="str">
        <f aca="false">IF(I290&lt;=$E$4,"A",IF(I290&lt;=$E$5,"B","C"))</f>
        <v>B</v>
      </c>
    </row>
    <row r="291" customFormat="false" ht="15" hidden="false" customHeight="false" outlineLevel="0" collapsed="false">
      <c r="A291" s="32" t="n">
        <v>284</v>
      </c>
      <c r="B291" s="33" t="n">
        <v>1463587</v>
      </c>
      <c r="C291" s="34" t="s">
        <v>640</v>
      </c>
      <c r="D291" s="34" t="s">
        <v>641</v>
      </c>
      <c r="E291" s="34" t="s">
        <v>38</v>
      </c>
      <c r="F291" s="32" t="n">
        <f aca="false">COUNTIF(Base!$D$2:$D$2878,B291)</f>
        <v>1</v>
      </c>
      <c r="G291" s="35" t="n">
        <f aca="false">SUMIF(Base!$D$2:$D$2878,B291,Base!$I$2:$I$2878)</f>
        <v>8252.04</v>
      </c>
      <c r="H291" s="36" t="n">
        <f aca="false">IF($G$2849=0,0,G291/$G$2849)</f>
        <v>0.000541517236522755</v>
      </c>
      <c r="I291" s="37" t="n">
        <f aca="false">I290+H291</f>
        <v>0.816396842565124</v>
      </c>
      <c r="J291" s="37" t="n">
        <f aca="false">A291/2840</f>
        <v>0.1</v>
      </c>
      <c r="K291" s="32" t="str">
        <f aca="false">IF(I291&lt;=$E$4,"A",IF(I291&lt;=$E$5,"B","C"))</f>
        <v>B</v>
      </c>
    </row>
    <row r="292" customFormat="false" ht="15" hidden="false" customHeight="false" outlineLevel="0" collapsed="false">
      <c r="A292" s="32" t="n">
        <v>285</v>
      </c>
      <c r="B292" s="33" t="n">
        <v>18982</v>
      </c>
      <c r="C292" s="34" t="s">
        <v>642</v>
      </c>
      <c r="D292" s="34" t="s">
        <v>643</v>
      </c>
      <c r="E292" s="34" t="s">
        <v>360</v>
      </c>
      <c r="F292" s="32" t="n">
        <f aca="false">COUNTIF(Base!$D$2:$D$2878,B292)</f>
        <v>1</v>
      </c>
      <c r="G292" s="35" t="n">
        <f aca="false">SUMIF(Base!$D$2:$D$2878,B292,Base!$I$2:$I$2878)</f>
        <v>8250</v>
      </c>
      <c r="H292" s="36" t="n">
        <f aca="false">IF($G$2849=0,0,G292/$G$2849)</f>
        <v>0.000541383367181052</v>
      </c>
      <c r="I292" s="37" t="n">
        <f aca="false">I291+H292</f>
        <v>0.816938225932305</v>
      </c>
      <c r="J292" s="37" t="n">
        <f aca="false">A292/2840</f>
        <v>0.100352112676056</v>
      </c>
      <c r="K292" s="32" t="str">
        <f aca="false">IF(I292&lt;=$E$4,"A",IF(I292&lt;=$E$5,"B","C"))</f>
        <v>B</v>
      </c>
    </row>
    <row r="293" customFormat="false" ht="15" hidden="false" customHeight="false" outlineLevel="0" collapsed="false">
      <c r="A293" s="32" t="n">
        <v>286</v>
      </c>
      <c r="B293" s="33" t="n">
        <v>18986</v>
      </c>
      <c r="C293" s="34" t="s">
        <v>644</v>
      </c>
      <c r="D293" s="34" t="s">
        <v>645</v>
      </c>
      <c r="E293" s="34" t="s">
        <v>360</v>
      </c>
      <c r="F293" s="32" t="n">
        <f aca="false">COUNTIF(Base!$D$2:$D$2878,B293)</f>
        <v>1</v>
      </c>
      <c r="G293" s="35" t="n">
        <f aca="false">SUMIF(Base!$D$2:$D$2878,B293,Base!$I$2:$I$2878)</f>
        <v>8250</v>
      </c>
      <c r="H293" s="36" t="n">
        <f aca="false">IF($G$2849=0,0,G293/$G$2849)</f>
        <v>0.000541383367181052</v>
      </c>
      <c r="I293" s="37" t="n">
        <f aca="false">I292+H293</f>
        <v>0.817479609299486</v>
      </c>
      <c r="J293" s="37" t="n">
        <f aca="false">A293/2840</f>
        <v>0.100704225352113</v>
      </c>
      <c r="K293" s="32" t="str">
        <f aca="false">IF(I293&lt;=$E$4,"A",IF(I293&lt;=$E$5,"B","C"))</f>
        <v>B</v>
      </c>
    </row>
    <row r="294" customFormat="false" ht="15" hidden="false" customHeight="false" outlineLevel="0" collapsed="false">
      <c r="A294" s="32" t="n">
        <v>287</v>
      </c>
      <c r="B294" s="33" t="n">
        <v>289512</v>
      </c>
      <c r="C294" s="34" t="s">
        <v>646</v>
      </c>
      <c r="D294" s="34" t="s">
        <v>647</v>
      </c>
      <c r="E294" s="34" t="s">
        <v>230</v>
      </c>
      <c r="F294" s="32" t="n">
        <f aca="false">COUNTIF(Base!$D$2:$D$2878,B294)</f>
        <v>1</v>
      </c>
      <c r="G294" s="35" t="n">
        <f aca="false">SUMIF(Base!$D$2:$D$2878,B294,Base!$I$2:$I$2878)</f>
        <v>8248.5</v>
      </c>
      <c r="H294" s="36" t="n">
        <f aca="false">IF($G$2849=0,0,G294/$G$2849)</f>
        <v>0.000541284933841565</v>
      </c>
      <c r="I294" s="37" t="n">
        <f aca="false">I293+H294</f>
        <v>0.818020894233327</v>
      </c>
      <c r="J294" s="37" t="n">
        <f aca="false">A294/2840</f>
        <v>0.101056338028169</v>
      </c>
      <c r="K294" s="32" t="str">
        <f aca="false">IF(I294&lt;=$E$4,"A",IF(I294&lt;=$E$5,"B","C"))</f>
        <v>B</v>
      </c>
    </row>
    <row r="295" customFormat="false" ht="15" hidden="false" customHeight="false" outlineLevel="0" collapsed="false">
      <c r="A295" s="32" t="n">
        <v>288</v>
      </c>
      <c r="B295" s="33" t="n">
        <v>19244</v>
      </c>
      <c r="C295" s="34" t="s">
        <v>648</v>
      </c>
      <c r="D295" s="34" t="s">
        <v>649</v>
      </c>
      <c r="E295" s="34" t="s">
        <v>93</v>
      </c>
      <c r="F295" s="32" t="n">
        <f aca="false">COUNTIF(Base!$D$2:$D$2878,B295)</f>
        <v>1</v>
      </c>
      <c r="G295" s="35" t="n">
        <f aca="false">SUMIF(Base!$D$2:$D$2878,B295,Base!$I$2:$I$2878)</f>
        <v>8247.6</v>
      </c>
      <c r="H295" s="36" t="n">
        <f aca="false">IF($G$2849=0,0,G295/$G$2849)</f>
        <v>0.000541225873837872</v>
      </c>
      <c r="I295" s="37" t="n">
        <f aca="false">I294+H295</f>
        <v>0.818562120107165</v>
      </c>
      <c r="J295" s="37" t="n">
        <f aca="false">A295/2840</f>
        <v>0.101408450704225</v>
      </c>
      <c r="K295" s="32" t="str">
        <f aca="false">IF(I295&lt;=$E$4,"A",IF(I295&lt;=$E$5,"B","C"))</f>
        <v>B</v>
      </c>
    </row>
    <row r="296" customFormat="false" ht="15" hidden="false" customHeight="false" outlineLevel="0" collapsed="false">
      <c r="A296" s="32" t="n">
        <v>289</v>
      </c>
      <c r="B296" s="33" t="n">
        <v>1383007</v>
      </c>
      <c r="C296" s="34" t="s">
        <v>650</v>
      </c>
      <c r="D296" s="34" t="s">
        <v>651</v>
      </c>
      <c r="E296" s="34" t="s">
        <v>38</v>
      </c>
      <c r="F296" s="32" t="n">
        <f aca="false">COUNTIF(Base!$D$2:$D$2878,B296)</f>
        <v>1</v>
      </c>
      <c r="G296" s="35" t="n">
        <f aca="false">SUMIF(Base!$D$2:$D$2878,B296,Base!$I$2:$I$2878)</f>
        <v>8219.26</v>
      </c>
      <c r="H296" s="36" t="n">
        <f aca="false">IF($G$2849=0,0,G296/$G$2849)</f>
        <v>0.000539366139943822</v>
      </c>
      <c r="I296" s="37" t="n">
        <f aca="false">I295+H296</f>
        <v>0.819101486247109</v>
      </c>
      <c r="J296" s="37" t="n">
        <f aca="false">A296/2840</f>
        <v>0.101760563380282</v>
      </c>
      <c r="K296" s="32" t="str">
        <f aca="false">IF(I296&lt;=$E$4,"A",IF(I296&lt;=$E$5,"B","C"))</f>
        <v>B</v>
      </c>
    </row>
    <row r="297" customFormat="false" ht="15" hidden="false" customHeight="false" outlineLevel="0" collapsed="false">
      <c r="A297" s="32" t="n">
        <v>290</v>
      </c>
      <c r="B297" s="33" t="n">
        <v>32791</v>
      </c>
      <c r="C297" s="34" t="s">
        <v>652</v>
      </c>
      <c r="D297" s="34" t="s">
        <v>653</v>
      </c>
      <c r="E297" s="34" t="s">
        <v>133</v>
      </c>
      <c r="F297" s="32" t="n">
        <f aca="false">COUNTIF(Base!$D$2:$D$2878,B297)</f>
        <v>1</v>
      </c>
      <c r="G297" s="35" t="n">
        <f aca="false">SUMIF(Base!$D$2:$D$2878,B297,Base!$I$2:$I$2878)</f>
        <v>8160</v>
      </c>
      <c r="H297" s="36" t="n">
        <f aca="false">IF($G$2849=0,0,G297/$G$2849)</f>
        <v>0.000535477366811804</v>
      </c>
      <c r="I297" s="37" t="n">
        <f aca="false">I296+H297</f>
        <v>0.819636963613921</v>
      </c>
      <c r="J297" s="37" t="n">
        <f aca="false">A297/2840</f>
        <v>0.102112676056338</v>
      </c>
      <c r="K297" s="32" t="str">
        <f aca="false">IF(I297&lt;=$E$4,"A",IF(I297&lt;=$E$5,"B","C"))</f>
        <v>B</v>
      </c>
    </row>
    <row r="298" customFormat="false" ht="15" hidden="false" customHeight="false" outlineLevel="0" collapsed="false">
      <c r="A298" s="32" t="n">
        <v>291</v>
      </c>
      <c r="B298" s="33" t="n">
        <v>884857</v>
      </c>
      <c r="C298" s="34" t="s">
        <v>654</v>
      </c>
      <c r="D298" s="34" t="s">
        <v>655</v>
      </c>
      <c r="E298" s="34" t="s">
        <v>66</v>
      </c>
      <c r="F298" s="32" t="n">
        <f aca="false">COUNTIF(Base!$D$2:$D$2878,B298)</f>
        <v>1</v>
      </c>
      <c r="G298" s="35" t="n">
        <f aca="false">SUMIF(Base!$D$2:$D$2878,B298,Base!$I$2:$I$2878)</f>
        <v>8155.84</v>
      </c>
      <c r="H298" s="36" t="n">
        <f aca="false">IF($G$2849=0,0,G298/$G$2849)</f>
        <v>0.000535204378350293</v>
      </c>
      <c r="I298" s="37" t="n">
        <f aca="false">I297+H298</f>
        <v>0.820172167992271</v>
      </c>
      <c r="J298" s="37" t="n">
        <f aca="false">A298/2840</f>
        <v>0.102464788732394</v>
      </c>
      <c r="K298" s="32" t="str">
        <f aca="false">IF(I298&lt;=$E$4,"A",IF(I298&lt;=$E$5,"B","C"))</f>
        <v>B</v>
      </c>
    </row>
    <row r="299" customFormat="false" ht="15" hidden="false" customHeight="false" outlineLevel="0" collapsed="false">
      <c r="A299" s="32" t="n">
        <v>292</v>
      </c>
      <c r="B299" s="33" t="n">
        <v>59125</v>
      </c>
      <c r="C299" s="34" t="s">
        <v>656</v>
      </c>
      <c r="D299" s="34" t="s">
        <v>657</v>
      </c>
      <c r="E299" s="34" t="s">
        <v>113</v>
      </c>
      <c r="F299" s="32" t="n">
        <f aca="false">COUNTIF(Base!$D$2:$D$2878,B299)</f>
        <v>1</v>
      </c>
      <c r="G299" s="35" t="n">
        <f aca="false">SUMIF(Base!$D$2:$D$2878,B299,Base!$I$2:$I$2878)</f>
        <v>8120.05</v>
      </c>
      <c r="H299" s="36" t="n">
        <f aca="false">IF($G$2849=0,0,G299/$G$2849)</f>
        <v>0.000532855758870122</v>
      </c>
      <c r="I299" s="37" t="n">
        <f aca="false">I298+H299</f>
        <v>0.820705023751141</v>
      </c>
      <c r="J299" s="37" t="n">
        <f aca="false">A299/2840</f>
        <v>0.102816901408451</v>
      </c>
      <c r="K299" s="32" t="str">
        <f aca="false">IF(I299&lt;=$E$4,"A",IF(I299&lt;=$E$5,"B","C"))</f>
        <v>B</v>
      </c>
    </row>
    <row r="300" customFormat="false" ht="15" hidden="false" customHeight="false" outlineLevel="0" collapsed="false">
      <c r="A300" s="32" t="n">
        <v>293</v>
      </c>
      <c r="B300" s="33" t="n">
        <v>652029</v>
      </c>
      <c r="C300" s="34" t="s">
        <v>658</v>
      </c>
      <c r="D300" s="34" t="s">
        <v>659</v>
      </c>
      <c r="E300" s="34" t="s">
        <v>38</v>
      </c>
      <c r="F300" s="32" t="n">
        <f aca="false">COUNTIF(Base!$D$2:$D$2878,B300)</f>
        <v>1</v>
      </c>
      <c r="G300" s="35" t="n">
        <f aca="false">SUMIF(Base!$D$2:$D$2878,B300,Base!$I$2:$I$2878)</f>
        <v>8011.3</v>
      </c>
      <c r="H300" s="36" t="n">
        <f aca="false">IF($G$2849=0,0,G300/$G$2849)</f>
        <v>0.00052571934175728</v>
      </c>
      <c r="I300" s="37" t="n">
        <f aca="false">I299+H300</f>
        <v>0.821230743092899</v>
      </c>
      <c r="J300" s="37" t="n">
        <f aca="false">A300/2840</f>
        <v>0.103169014084507</v>
      </c>
      <c r="K300" s="32" t="str">
        <f aca="false">IF(I300&lt;=$E$4,"A",IF(I300&lt;=$E$5,"B","C"))</f>
        <v>B</v>
      </c>
    </row>
    <row r="301" customFormat="false" ht="15" hidden="false" customHeight="false" outlineLevel="0" collapsed="false">
      <c r="A301" s="32" t="n">
        <v>294</v>
      </c>
      <c r="B301" s="33" t="n">
        <v>1662287</v>
      </c>
      <c r="C301" s="34" t="s">
        <v>660</v>
      </c>
      <c r="D301" s="34" t="s">
        <v>661</v>
      </c>
      <c r="E301" s="34" t="s">
        <v>38</v>
      </c>
      <c r="F301" s="32" t="n">
        <f aca="false">COUNTIF(Base!$D$2:$D$2878,B301)</f>
        <v>1</v>
      </c>
      <c r="G301" s="35" t="n">
        <f aca="false">SUMIF(Base!$D$2:$D$2878,B301,Base!$I$2:$I$2878)</f>
        <v>7802.16</v>
      </c>
      <c r="H301" s="36" t="n">
        <f aca="false">IF($G$2849=0,0,G301/$G$2849)</f>
        <v>0.000511995109343675</v>
      </c>
      <c r="I301" s="37" t="n">
        <f aca="false">I300+H301</f>
        <v>0.821742738202242</v>
      </c>
      <c r="J301" s="37" t="n">
        <f aca="false">A301/2840</f>
        <v>0.103521126760563</v>
      </c>
      <c r="K301" s="32" t="str">
        <f aca="false">IF(I301&lt;=$E$4,"A",IF(I301&lt;=$E$5,"B","C"))</f>
        <v>B</v>
      </c>
    </row>
    <row r="302" customFormat="false" ht="15" hidden="false" customHeight="false" outlineLevel="0" collapsed="false">
      <c r="A302" s="32" t="n">
        <v>295</v>
      </c>
      <c r="B302" s="33" t="n">
        <v>1487330</v>
      </c>
      <c r="C302" s="34" t="s">
        <v>662</v>
      </c>
      <c r="D302" s="34" t="s">
        <v>663</v>
      </c>
      <c r="E302" s="34" t="s">
        <v>38</v>
      </c>
      <c r="F302" s="32" t="n">
        <f aca="false">COUNTIF(Base!$D$2:$D$2878,B302)</f>
        <v>1</v>
      </c>
      <c r="G302" s="35" t="n">
        <f aca="false">SUMIF(Base!$D$2:$D$2878,B302,Base!$I$2:$I$2878)</f>
        <v>7717.92</v>
      </c>
      <c r="H302" s="36" t="n">
        <f aca="false">IF($G$2849=0,0,G302/$G$2849)</f>
        <v>0.000506467092998059</v>
      </c>
      <c r="I302" s="37" t="n">
        <f aca="false">I301+H302</f>
        <v>0.82224920529524</v>
      </c>
      <c r="J302" s="37" t="n">
        <f aca="false">A302/2840</f>
        <v>0.10387323943662</v>
      </c>
      <c r="K302" s="32" t="str">
        <f aca="false">IF(I302&lt;=$E$4,"A",IF(I302&lt;=$E$5,"B","C"))</f>
        <v>B</v>
      </c>
    </row>
    <row r="303" customFormat="false" ht="15" hidden="false" customHeight="false" outlineLevel="0" collapsed="false">
      <c r="A303" s="32" t="n">
        <v>296</v>
      </c>
      <c r="B303" s="33" t="n">
        <v>34227</v>
      </c>
      <c r="C303" s="34" t="s">
        <v>664</v>
      </c>
      <c r="D303" s="34" t="s">
        <v>665</v>
      </c>
      <c r="E303" s="34" t="s">
        <v>363</v>
      </c>
      <c r="F303" s="32" t="n">
        <f aca="false">COUNTIF(Base!$D$2:$D$2878,B303)</f>
        <v>1</v>
      </c>
      <c r="G303" s="35" t="n">
        <f aca="false">SUMIF(Base!$D$2:$D$2878,B303,Base!$I$2:$I$2878)</f>
        <v>7680</v>
      </c>
      <c r="H303" s="36" t="n">
        <f aca="false">IF($G$2849=0,0,G303/$G$2849)</f>
        <v>0.000503978698175816</v>
      </c>
      <c r="I303" s="37" t="n">
        <f aca="false">I302+H303</f>
        <v>0.822753183993416</v>
      </c>
      <c r="J303" s="37" t="n">
        <f aca="false">A303/2840</f>
        <v>0.104225352112676</v>
      </c>
      <c r="K303" s="32" t="str">
        <f aca="false">IF(I303&lt;=$E$4,"A",IF(I303&lt;=$E$5,"B","C"))</f>
        <v>B</v>
      </c>
    </row>
    <row r="304" customFormat="false" ht="15" hidden="false" customHeight="false" outlineLevel="0" collapsed="false">
      <c r="A304" s="32" t="n">
        <v>297</v>
      </c>
      <c r="B304" s="33" t="n">
        <v>856720</v>
      </c>
      <c r="C304" s="34" t="s">
        <v>666</v>
      </c>
      <c r="D304" s="34" t="s">
        <v>667</v>
      </c>
      <c r="E304" s="34" t="s">
        <v>605</v>
      </c>
      <c r="F304" s="32" t="n">
        <f aca="false">COUNTIF(Base!$D$2:$D$2878,B304)</f>
        <v>1</v>
      </c>
      <c r="G304" s="35" t="n">
        <f aca="false">SUMIF(Base!$D$2:$D$2878,B304,Base!$I$2:$I$2878)</f>
        <v>7560</v>
      </c>
      <c r="H304" s="36" t="n">
        <f aca="false">IF($G$2849=0,0,G304/$G$2849)</f>
        <v>0.000496104031016819</v>
      </c>
      <c r="I304" s="37" t="n">
        <f aca="false">I303+H304</f>
        <v>0.823249288024433</v>
      </c>
      <c r="J304" s="37" t="n">
        <f aca="false">A304/2840</f>
        <v>0.104577464788732</v>
      </c>
      <c r="K304" s="32" t="str">
        <f aca="false">IF(I304&lt;=$E$4,"A",IF(I304&lt;=$E$5,"B","C"))</f>
        <v>B</v>
      </c>
    </row>
    <row r="305" customFormat="false" ht="15" hidden="false" customHeight="false" outlineLevel="0" collapsed="false">
      <c r="A305" s="32" t="n">
        <v>298</v>
      </c>
      <c r="B305" s="33" t="n">
        <v>55478</v>
      </c>
      <c r="C305" s="34" t="s">
        <v>668</v>
      </c>
      <c r="D305" s="34" t="s">
        <v>669</v>
      </c>
      <c r="E305" s="34" t="s">
        <v>247</v>
      </c>
      <c r="F305" s="32" t="n">
        <f aca="false">COUNTIF(Base!$D$2:$D$2878,B305)</f>
        <v>1</v>
      </c>
      <c r="G305" s="35" t="n">
        <f aca="false">SUMIF(Base!$D$2:$D$2878,B305,Base!$I$2:$I$2878)</f>
        <v>7548</v>
      </c>
      <c r="H305" s="36" t="n">
        <f aca="false">IF($G$2849=0,0,G305/$G$2849)</f>
        <v>0.000495316564300919</v>
      </c>
      <c r="I305" s="37" t="n">
        <f aca="false">I304+H305</f>
        <v>0.823744604588734</v>
      </c>
      <c r="J305" s="37" t="n">
        <f aca="false">A305/2840</f>
        <v>0.104929577464789</v>
      </c>
      <c r="K305" s="32" t="str">
        <f aca="false">IF(I305&lt;=$E$4,"A",IF(I305&lt;=$E$5,"B","C"))</f>
        <v>B</v>
      </c>
    </row>
    <row r="306" customFormat="false" ht="15" hidden="false" customHeight="false" outlineLevel="0" collapsed="false">
      <c r="A306" s="32" t="n">
        <v>299</v>
      </c>
      <c r="B306" s="33" t="n">
        <v>1384409</v>
      </c>
      <c r="C306" s="34" t="s">
        <v>670</v>
      </c>
      <c r="D306" s="34" t="s">
        <v>671</v>
      </c>
      <c r="E306" s="34" t="s">
        <v>38</v>
      </c>
      <c r="F306" s="32" t="n">
        <f aca="false">COUNTIF(Base!$D$2:$D$2878,B306)</f>
        <v>1</v>
      </c>
      <c r="G306" s="35" t="n">
        <f aca="false">SUMIF(Base!$D$2:$D$2878,B306,Base!$I$2:$I$2878)</f>
        <v>7408.23</v>
      </c>
      <c r="H306" s="36" t="n">
        <f aca="false">IF($G$2849=0,0,G306/$G$2849)</f>
        <v>0.000486144545727477</v>
      </c>
      <c r="I306" s="37" t="n">
        <f aca="false">I305+H306</f>
        <v>0.824230749134461</v>
      </c>
      <c r="J306" s="37" t="n">
        <f aca="false">A306/2840</f>
        <v>0.105281690140845</v>
      </c>
      <c r="K306" s="32" t="str">
        <f aca="false">IF(I306&lt;=$E$4,"A",IF(I306&lt;=$E$5,"B","C"))</f>
        <v>B</v>
      </c>
    </row>
    <row r="307" customFormat="false" ht="15" hidden="false" customHeight="false" outlineLevel="0" collapsed="false">
      <c r="A307" s="32" t="n">
        <v>300</v>
      </c>
      <c r="B307" s="33" t="n">
        <v>1260642</v>
      </c>
      <c r="C307" s="34" t="s">
        <v>672</v>
      </c>
      <c r="D307" s="34" t="s">
        <v>673</v>
      </c>
      <c r="E307" s="34" t="s">
        <v>54</v>
      </c>
      <c r="F307" s="32" t="n">
        <f aca="false">COUNTIF(Base!$D$2:$D$2878,B307)</f>
        <v>1</v>
      </c>
      <c r="G307" s="35" t="n">
        <f aca="false">SUMIF(Base!$D$2:$D$2878,B307,Base!$I$2:$I$2878)</f>
        <v>7385</v>
      </c>
      <c r="H307" s="36" t="n">
        <f aca="false">IF($G$2849=0,0,G307/$G$2849)</f>
        <v>0.000484620141409948</v>
      </c>
      <c r="I307" s="37" t="n">
        <f aca="false">I306+H307</f>
        <v>0.824715369275871</v>
      </c>
      <c r="J307" s="37" t="n">
        <f aca="false">A307/2840</f>
        <v>0.105633802816901</v>
      </c>
      <c r="K307" s="32" t="str">
        <f aca="false">IF(I307&lt;=$E$4,"A",IF(I307&lt;=$E$5,"B","C"))</f>
        <v>B</v>
      </c>
    </row>
    <row r="308" customFormat="false" ht="15" hidden="false" customHeight="false" outlineLevel="0" collapsed="false">
      <c r="A308" s="32" t="n">
        <v>301</v>
      </c>
      <c r="B308" s="33" t="n">
        <v>1387324</v>
      </c>
      <c r="C308" s="34" t="s">
        <v>674</v>
      </c>
      <c r="D308" s="34" t="s">
        <v>675</v>
      </c>
      <c r="E308" s="34" t="s">
        <v>100</v>
      </c>
      <c r="F308" s="32" t="n">
        <f aca="false">COUNTIF(Base!$D$2:$D$2878,B308)</f>
        <v>1</v>
      </c>
      <c r="G308" s="35" t="n">
        <f aca="false">SUMIF(Base!$D$2:$D$2878,B308,Base!$I$2:$I$2878)</f>
        <v>7378</v>
      </c>
      <c r="H308" s="36" t="n">
        <f aca="false">IF($G$2849=0,0,G308/$G$2849)</f>
        <v>0.000484160785825673</v>
      </c>
      <c r="I308" s="37" t="n">
        <f aca="false">I307+H308</f>
        <v>0.825199530061697</v>
      </c>
      <c r="J308" s="37" t="n">
        <f aca="false">A308/2840</f>
        <v>0.105985915492958</v>
      </c>
      <c r="K308" s="32" t="str">
        <f aca="false">IF(I308&lt;=$E$4,"A",IF(I308&lt;=$E$5,"B","C"))</f>
        <v>B</v>
      </c>
    </row>
    <row r="309" customFormat="false" ht="15" hidden="false" customHeight="false" outlineLevel="0" collapsed="false">
      <c r="A309" s="32" t="n">
        <v>302</v>
      </c>
      <c r="B309" s="33" t="n">
        <v>55644</v>
      </c>
      <c r="C309" s="34" t="s">
        <v>676</v>
      </c>
      <c r="D309" s="34" t="s">
        <v>677</v>
      </c>
      <c r="E309" s="34" t="s">
        <v>678</v>
      </c>
      <c r="F309" s="32" t="n">
        <f aca="false">COUNTIF(Base!$D$2:$D$2878,B309)</f>
        <v>1</v>
      </c>
      <c r="G309" s="35" t="n">
        <f aca="false">SUMIF(Base!$D$2:$D$2878,B309,Base!$I$2:$I$2878)</f>
        <v>7360</v>
      </c>
      <c r="H309" s="36" t="n">
        <f aca="false">IF($G$2849=0,0,G309/$G$2849)</f>
        <v>0.000482979585751824</v>
      </c>
      <c r="I309" s="37" t="n">
        <f aca="false">I308+H309</f>
        <v>0.825682509647449</v>
      </c>
      <c r="J309" s="37" t="n">
        <f aca="false">A309/2840</f>
        <v>0.106338028169014</v>
      </c>
      <c r="K309" s="32" t="str">
        <f aca="false">IF(I309&lt;=$E$4,"A",IF(I309&lt;=$E$5,"B","C"))</f>
        <v>B</v>
      </c>
    </row>
    <row r="310" customFormat="false" ht="15" hidden="false" customHeight="false" outlineLevel="0" collapsed="false">
      <c r="A310" s="32" t="n">
        <v>303</v>
      </c>
      <c r="B310" s="33" t="n">
        <v>22239</v>
      </c>
      <c r="C310" s="34" t="s">
        <v>679</v>
      </c>
      <c r="D310" s="34" t="s">
        <v>680</v>
      </c>
      <c r="E310" s="34" t="s">
        <v>130</v>
      </c>
      <c r="F310" s="32" t="n">
        <f aca="false">COUNTIF(Base!$D$2:$D$2878,B310)</f>
        <v>1</v>
      </c>
      <c r="G310" s="35" t="n">
        <f aca="false">SUMIF(Base!$D$2:$D$2878,B310,Base!$I$2:$I$2878)</f>
        <v>7336.78</v>
      </c>
      <c r="H310" s="36" t="n">
        <f aca="false">IF($G$2849=0,0,G310/$G$2849)</f>
        <v>0.000481455837656558</v>
      </c>
      <c r="I310" s="37" t="n">
        <f aca="false">I309+H310</f>
        <v>0.826163965485105</v>
      </c>
      <c r="J310" s="37" t="n">
        <f aca="false">A310/2840</f>
        <v>0.10669014084507</v>
      </c>
      <c r="K310" s="32" t="str">
        <f aca="false">IF(I310&lt;=$E$4,"A",IF(I310&lt;=$E$5,"B","C"))</f>
        <v>B</v>
      </c>
    </row>
    <row r="311" customFormat="false" ht="15" hidden="false" customHeight="false" outlineLevel="0" collapsed="false">
      <c r="A311" s="32" t="n">
        <v>304</v>
      </c>
      <c r="B311" s="33" t="n">
        <v>274572</v>
      </c>
      <c r="C311" s="34" t="s">
        <v>681</v>
      </c>
      <c r="D311" s="34" t="s">
        <v>682</v>
      </c>
      <c r="E311" s="34" t="s">
        <v>247</v>
      </c>
      <c r="F311" s="32" t="n">
        <f aca="false">COUNTIF(Base!$D$2:$D$2878,B311)</f>
        <v>1</v>
      </c>
      <c r="G311" s="35" t="n">
        <f aca="false">SUMIF(Base!$D$2:$D$2878,B311,Base!$I$2:$I$2878)</f>
        <v>7306.8104</v>
      </c>
      <c r="H311" s="36" t="n">
        <f aca="false">IF($G$2849=0,0,G311/$G$2849)</f>
        <v>0.000479489165782489</v>
      </c>
      <c r="I311" s="37" t="n">
        <f aca="false">I310+H311</f>
        <v>0.826643454650888</v>
      </c>
      <c r="J311" s="37" t="n">
        <f aca="false">A311/2840</f>
        <v>0.107042253521127</v>
      </c>
      <c r="K311" s="32" t="str">
        <f aca="false">IF(I311&lt;=$E$4,"A",IF(I311&lt;=$E$5,"B","C"))</f>
        <v>B</v>
      </c>
    </row>
    <row r="312" customFormat="false" ht="15" hidden="false" customHeight="false" outlineLevel="0" collapsed="false">
      <c r="A312" s="32" t="n">
        <v>305</v>
      </c>
      <c r="B312" s="33" t="n">
        <v>884503</v>
      </c>
      <c r="C312" s="34" t="s">
        <v>683</v>
      </c>
      <c r="D312" s="34" t="s">
        <v>684</v>
      </c>
      <c r="E312" s="34" t="s">
        <v>113</v>
      </c>
      <c r="F312" s="32" t="n">
        <f aca="false">COUNTIF(Base!$D$2:$D$2878,B312)</f>
        <v>1</v>
      </c>
      <c r="G312" s="35" t="n">
        <f aca="false">SUMIF(Base!$D$2:$D$2878,B312,Base!$I$2:$I$2878)</f>
        <v>7271.2</v>
      </c>
      <c r="H312" s="36" t="n">
        <f aca="false">IF($G$2849=0,0,G312/$G$2849)</f>
        <v>0.000477152332054166</v>
      </c>
      <c r="I312" s="37" t="n">
        <f aca="false">I311+H312</f>
        <v>0.827120606982942</v>
      </c>
      <c r="J312" s="37" t="n">
        <f aca="false">A312/2840</f>
        <v>0.107394366197183</v>
      </c>
      <c r="K312" s="32" t="str">
        <f aca="false">IF(I312&lt;=$E$4,"A",IF(I312&lt;=$E$5,"B","C"))</f>
        <v>B</v>
      </c>
    </row>
    <row r="313" customFormat="false" ht="15" hidden="false" customHeight="false" outlineLevel="0" collapsed="false">
      <c r="A313" s="32" t="n">
        <v>306</v>
      </c>
      <c r="B313" s="33" t="n">
        <v>276486</v>
      </c>
      <c r="C313" s="34" t="s">
        <v>685</v>
      </c>
      <c r="D313" s="34" t="s">
        <v>686</v>
      </c>
      <c r="E313" s="34" t="s">
        <v>480</v>
      </c>
      <c r="F313" s="32" t="n">
        <f aca="false">COUNTIF(Base!$D$2:$D$2878,B313)</f>
        <v>1</v>
      </c>
      <c r="G313" s="35" t="n">
        <f aca="false">SUMIF(Base!$D$2:$D$2878,B313,Base!$I$2:$I$2878)</f>
        <v>7269.48</v>
      </c>
      <c r="H313" s="36" t="n">
        <f aca="false">IF($G$2849=0,0,G313/$G$2849)</f>
        <v>0.000477039461824887</v>
      </c>
      <c r="I313" s="37" t="n">
        <f aca="false">I312+H313</f>
        <v>0.827597646444767</v>
      </c>
      <c r="J313" s="37" t="n">
        <f aca="false">A313/2840</f>
        <v>0.107746478873239</v>
      </c>
      <c r="K313" s="32" t="str">
        <f aca="false">IF(I313&lt;=$E$4,"A",IF(I313&lt;=$E$5,"B","C"))</f>
        <v>B</v>
      </c>
    </row>
    <row r="314" customFormat="false" ht="15" hidden="false" customHeight="false" outlineLevel="0" collapsed="false">
      <c r="A314" s="32" t="n">
        <v>307</v>
      </c>
      <c r="B314" s="33" t="n">
        <v>1465408</v>
      </c>
      <c r="C314" s="34" t="s">
        <v>687</v>
      </c>
      <c r="D314" s="34" t="s">
        <v>688</v>
      </c>
      <c r="E314" s="34" t="s">
        <v>133</v>
      </c>
      <c r="F314" s="32" t="n">
        <f aca="false">COUNTIF(Base!$D$2:$D$2878,B314)</f>
        <v>1</v>
      </c>
      <c r="G314" s="35" t="n">
        <f aca="false">SUMIF(Base!$D$2:$D$2878,B314,Base!$I$2:$I$2878)</f>
        <v>7240.96</v>
      </c>
      <c r="H314" s="36" t="n">
        <f aca="false">IF($G$2849=0,0,G314/$G$2849)</f>
        <v>0.000475167915930098</v>
      </c>
      <c r="I314" s="37" t="n">
        <f aca="false">I313+H314</f>
        <v>0.828072814360697</v>
      </c>
      <c r="J314" s="37" t="n">
        <f aca="false">A314/2840</f>
        <v>0.108098591549296</v>
      </c>
      <c r="K314" s="32" t="str">
        <f aca="false">IF(I314&lt;=$E$4,"A",IF(I314&lt;=$E$5,"B","C"))</f>
        <v>B</v>
      </c>
    </row>
    <row r="315" customFormat="false" ht="15" hidden="false" customHeight="false" outlineLevel="0" collapsed="false">
      <c r="A315" s="32" t="n">
        <v>308</v>
      </c>
      <c r="B315" s="33" t="n">
        <v>32022</v>
      </c>
      <c r="C315" s="34" t="s">
        <v>689</v>
      </c>
      <c r="D315" s="34" t="s">
        <v>690</v>
      </c>
      <c r="E315" s="34" t="s">
        <v>75</v>
      </c>
      <c r="F315" s="32" t="n">
        <f aca="false">COUNTIF(Base!$D$2:$D$2878,B315)</f>
        <v>1</v>
      </c>
      <c r="G315" s="35" t="n">
        <f aca="false">SUMIF(Base!$D$2:$D$2878,B315,Base!$I$2:$I$2878)</f>
        <v>7200</v>
      </c>
      <c r="H315" s="36" t="n">
        <f aca="false">IF($G$2849=0,0,G315/$G$2849)</f>
        <v>0.000472480029539827</v>
      </c>
      <c r="I315" s="37" t="n">
        <f aca="false">I314+H315</f>
        <v>0.828545294390237</v>
      </c>
      <c r="J315" s="37" t="n">
        <f aca="false">A315/2840</f>
        <v>0.108450704225352</v>
      </c>
      <c r="K315" s="32" t="str">
        <f aca="false">IF(I315&lt;=$E$4,"A",IF(I315&lt;=$E$5,"B","C"))</f>
        <v>B</v>
      </c>
    </row>
    <row r="316" customFormat="false" ht="15" hidden="false" customHeight="false" outlineLevel="0" collapsed="false">
      <c r="A316" s="32" t="n">
        <v>309</v>
      </c>
      <c r="B316" s="33" t="n">
        <v>222077</v>
      </c>
      <c r="C316" s="34" t="s">
        <v>691</v>
      </c>
      <c r="D316" s="34" t="s">
        <v>692</v>
      </c>
      <c r="E316" s="34" t="s">
        <v>189</v>
      </c>
      <c r="F316" s="32" t="n">
        <f aca="false">COUNTIF(Base!$D$2:$D$2878,B316)</f>
        <v>1</v>
      </c>
      <c r="G316" s="35" t="n">
        <f aca="false">SUMIF(Base!$D$2:$D$2878,B316,Base!$I$2:$I$2878)</f>
        <v>7182</v>
      </c>
      <c r="H316" s="36" t="n">
        <f aca="false">IF($G$2849=0,0,G316/$G$2849)</f>
        <v>0.000471298829465978</v>
      </c>
      <c r="I316" s="37" t="n">
        <f aca="false">I315+H316</f>
        <v>0.829016593219703</v>
      </c>
      <c r="J316" s="37" t="n">
        <f aca="false">A316/2840</f>
        <v>0.108802816901408</v>
      </c>
      <c r="K316" s="32" t="str">
        <f aca="false">IF(I316&lt;=$E$4,"A",IF(I316&lt;=$E$5,"B","C"))</f>
        <v>B</v>
      </c>
    </row>
    <row r="317" customFormat="false" ht="15" hidden="false" customHeight="false" outlineLevel="0" collapsed="false">
      <c r="A317" s="32" t="n">
        <v>310</v>
      </c>
      <c r="B317" s="33" t="n">
        <v>1383079</v>
      </c>
      <c r="C317" s="34" t="s">
        <v>693</v>
      </c>
      <c r="D317" s="34" t="s">
        <v>694</v>
      </c>
      <c r="E317" s="34" t="s">
        <v>38</v>
      </c>
      <c r="F317" s="32" t="n">
        <f aca="false">COUNTIF(Base!$D$2:$D$2878,B317)</f>
        <v>1</v>
      </c>
      <c r="G317" s="35" t="n">
        <f aca="false">SUMIF(Base!$D$2:$D$2878,B317,Base!$I$2:$I$2878)</f>
        <v>7142.23</v>
      </c>
      <c r="H317" s="36" t="n">
        <f aca="false">IF($G$2849=0,0,G317/$G$2849)</f>
        <v>0.000468689033525033</v>
      </c>
      <c r="I317" s="37" t="n">
        <f aca="false">I316+H317</f>
        <v>0.829485282253228</v>
      </c>
      <c r="J317" s="37" t="n">
        <f aca="false">A317/2840</f>
        <v>0.109154929577465</v>
      </c>
      <c r="K317" s="32" t="str">
        <f aca="false">IF(I317&lt;=$E$4,"A",IF(I317&lt;=$E$5,"B","C"))</f>
        <v>B</v>
      </c>
    </row>
    <row r="318" customFormat="false" ht="15" hidden="false" customHeight="false" outlineLevel="0" collapsed="false">
      <c r="A318" s="32" t="n">
        <v>311</v>
      </c>
      <c r="B318" s="33" t="n">
        <v>1097375</v>
      </c>
      <c r="C318" s="34" t="s">
        <v>695</v>
      </c>
      <c r="D318" s="34" t="s">
        <v>696</v>
      </c>
      <c r="E318" s="34" t="s">
        <v>230</v>
      </c>
      <c r="F318" s="32" t="n">
        <f aca="false">COUNTIF(Base!$D$2:$D$2878,B318)</f>
        <v>1</v>
      </c>
      <c r="G318" s="35" t="n">
        <f aca="false">SUMIF(Base!$D$2:$D$2878,B318,Base!$I$2:$I$2878)</f>
        <v>7100.875</v>
      </c>
      <c r="H318" s="36" t="n">
        <f aca="false">IF($G$2849=0,0,G318/$G$2849)</f>
        <v>0.000465975226355364</v>
      </c>
      <c r="I318" s="37" t="n">
        <f aca="false">I317+H318</f>
        <v>0.829951257479583</v>
      </c>
      <c r="J318" s="37" t="n">
        <f aca="false">A318/2840</f>
        <v>0.109507042253521</v>
      </c>
      <c r="K318" s="32" t="str">
        <f aca="false">IF(I318&lt;=$E$4,"A",IF(I318&lt;=$E$5,"B","C"))</f>
        <v>B</v>
      </c>
    </row>
    <row r="319" customFormat="false" ht="15" hidden="false" customHeight="false" outlineLevel="0" collapsed="false">
      <c r="A319" s="32" t="n">
        <v>312</v>
      </c>
      <c r="B319" s="33" t="n">
        <v>938078</v>
      </c>
      <c r="C319" s="34" t="s">
        <v>697</v>
      </c>
      <c r="D319" s="34" t="s">
        <v>698</v>
      </c>
      <c r="E319" s="34" t="s">
        <v>38</v>
      </c>
      <c r="F319" s="32" t="n">
        <f aca="false">COUNTIF(Base!$D$2:$D$2878,B319)</f>
        <v>1</v>
      </c>
      <c r="G319" s="35" t="n">
        <f aca="false">SUMIF(Base!$D$2:$D$2878,B319,Base!$I$2:$I$2878)</f>
        <v>7096.72</v>
      </c>
      <c r="H319" s="36" t="n">
        <f aca="false">IF($G$2849=0,0,G319/$G$2849)</f>
        <v>0.000465702566004984</v>
      </c>
      <c r="I319" s="37" t="n">
        <f aca="false">I318+H319</f>
        <v>0.830416960045588</v>
      </c>
      <c r="J319" s="37" t="n">
        <f aca="false">A319/2840</f>
        <v>0.109859154929577</v>
      </c>
      <c r="K319" s="32" t="str">
        <f aca="false">IF(I319&lt;=$E$4,"A",IF(I319&lt;=$E$5,"B","C"))</f>
        <v>B</v>
      </c>
    </row>
    <row r="320" customFormat="false" ht="15" hidden="false" customHeight="false" outlineLevel="0" collapsed="false">
      <c r="A320" s="32" t="n">
        <v>313</v>
      </c>
      <c r="B320" s="33" t="n">
        <v>33103</v>
      </c>
      <c r="C320" s="34" t="s">
        <v>699</v>
      </c>
      <c r="D320" s="34" t="s">
        <v>700</v>
      </c>
      <c r="E320" s="34" t="s">
        <v>138</v>
      </c>
      <c r="F320" s="32" t="n">
        <f aca="false">COUNTIF(Base!$D$2:$D$2878,B320)</f>
        <v>1</v>
      </c>
      <c r="G320" s="35" t="n">
        <f aca="false">SUMIF(Base!$D$2:$D$2878,B320,Base!$I$2:$I$2878)</f>
        <v>7084</v>
      </c>
      <c r="H320" s="36" t="n">
        <f aca="false">IF($G$2849=0,0,G320/$G$2849)</f>
        <v>0.00046486785128613</v>
      </c>
      <c r="I320" s="37" t="n">
        <f aca="false">I319+H320</f>
        <v>0.830881827896874</v>
      </c>
      <c r="J320" s="37" t="n">
        <f aca="false">A320/2840</f>
        <v>0.110211267605634</v>
      </c>
      <c r="K320" s="32" t="str">
        <f aca="false">IF(I320&lt;=$E$4,"A",IF(I320&lt;=$E$5,"B","C"))</f>
        <v>B</v>
      </c>
    </row>
    <row r="321" customFormat="false" ht="15" hidden="false" customHeight="false" outlineLevel="0" collapsed="false">
      <c r="A321" s="32" t="n">
        <v>314</v>
      </c>
      <c r="B321" s="33" t="n">
        <v>552723</v>
      </c>
      <c r="C321" s="34" t="s">
        <v>701</v>
      </c>
      <c r="D321" s="34" t="s">
        <v>702</v>
      </c>
      <c r="E321" s="34" t="s">
        <v>138</v>
      </c>
      <c r="F321" s="32" t="n">
        <f aca="false">COUNTIF(Base!$D$2:$D$2878,B321)</f>
        <v>1</v>
      </c>
      <c r="G321" s="35" t="n">
        <f aca="false">SUMIF(Base!$D$2:$D$2878,B321,Base!$I$2:$I$2878)</f>
        <v>7080</v>
      </c>
      <c r="H321" s="36" t="n">
        <f aca="false">IF($G$2849=0,0,G321/$G$2849)</f>
        <v>0.00046460536238083</v>
      </c>
      <c r="I321" s="37" t="n">
        <f aca="false">I320+H321</f>
        <v>0.831346433259255</v>
      </c>
      <c r="J321" s="37" t="n">
        <f aca="false">A321/2840</f>
        <v>0.11056338028169</v>
      </c>
      <c r="K321" s="32" t="str">
        <f aca="false">IF(I321&lt;=$E$4,"A",IF(I321&lt;=$E$5,"B","C"))</f>
        <v>B</v>
      </c>
    </row>
    <row r="322" customFormat="false" ht="15" hidden="false" customHeight="false" outlineLevel="0" collapsed="false">
      <c r="A322" s="32" t="n">
        <v>315</v>
      </c>
      <c r="B322" s="33" t="n">
        <v>385732</v>
      </c>
      <c r="C322" s="34" t="s">
        <v>703</v>
      </c>
      <c r="D322" s="34" t="s">
        <v>704</v>
      </c>
      <c r="E322" s="34" t="s">
        <v>705</v>
      </c>
      <c r="F322" s="32" t="n">
        <f aca="false">COUNTIF(Base!$D$2:$D$2878,B322)</f>
        <v>1</v>
      </c>
      <c r="G322" s="35" t="n">
        <f aca="false">SUMIF(Base!$D$2:$D$2878,B322,Base!$I$2:$I$2878)</f>
        <v>7074</v>
      </c>
      <c r="H322" s="36" t="n">
        <f aca="false">IF($G$2849=0,0,G322/$G$2849)</f>
        <v>0.00046421162902288</v>
      </c>
      <c r="I322" s="37" t="n">
        <f aca="false">I321+H322</f>
        <v>0.831810644888278</v>
      </c>
      <c r="J322" s="37" t="n">
        <f aca="false">A322/2840</f>
        <v>0.110915492957746</v>
      </c>
      <c r="K322" s="32" t="str">
        <f aca="false">IF(I322&lt;=$E$4,"A",IF(I322&lt;=$E$5,"B","C"))</f>
        <v>B</v>
      </c>
    </row>
    <row r="323" customFormat="false" ht="15" hidden="false" customHeight="false" outlineLevel="0" collapsed="false">
      <c r="A323" s="32" t="n">
        <v>316</v>
      </c>
      <c r="B323" s="33" t="n">
        <v>58648</v>
      </c>
      <c r="C323" s="34" t="s">
        <v>706</v>
      </c>
      <c r="D323" s="34" t="s">
        <v>707</v>
      </c>
      <c r="E323" s="34" t="s">
        <v>230</v>
      </c>
      <c r="F323" s="32" t="n">
        <f aca="false">COUNTIF(Base!$D$2:$D$2878,B323)</f>
        <v>1</v>
      </c>
      <c r="G323" s="35" t="n">
        <f aca="false">SUMIF(Base!$D$2:$D$2878,B323,Base!$I$2:$I$2878)</f>
        <v>7057.08</v>
      </c>
      <c r="H323" s="36" t="n">
        <f aca="false">IF($G$2849=0,0,G323/$G$2849)</f>
        <v>0.000463101300953462</v>
      </c>
      <c r="I323" s="37" t="n">
        <f aca="false">I322+H323</f>
        <v>0.832273746189231</v>
      </c>
      <c r="J323" s="37" t="n">
        <f aca="false">A323/2840</f>
        <v>0.111267605633803</v>
      </c>
      <c r="K323" s="32" t="str">
        <f aca="false">IF(I323&lt;=$E$4,"A",IF(I323&lt;=$E$5,"B","C"))</f>
        <v>B</v>
      </c>
    </row>
    <row r="324" customFormat="false" ht="15" hidden="false" customHeight="false" outlineLevel="0" collapsed="false">
      <c r="A324" s="32" t="n">
        <v>317</v>
      </c>
      <c r="B324" s="33" t="n">
        <v>869838</v>
      </c>
      <c r="C324" s="34" t="s">
        <v>708</v>
      </c>
      <c r="D324" s="34" t="s">
        <v>709</v>
      </c>
      <c r="E324" s="34" t="s">
        <v>113</v>
      </c>
      <c r="F324" s="32" t="n">
        <f aca="false">COUNTIF(Base!$D$2:$D$2878,B324)</f>
        <v>1</v>
      </c>
      <c r="G324" s="35" t="n">
        <f aca="false">SUMIF(Base!$D$2:$D$2878,B324,Base!$I$2:$I$2878)</f>
        <v>6990</v>
      </c>
      <c r="H324" s="36" t="n">
        <f aca="false">IF($G$2849=0,0,G324/$G$2849)</f>
        <v>0.000458699362011582</v>
      </c>
      <c r="I324" s="37" t="n">
        <f aca="false">I323+H324</f>
        <v>0.832732445551243</v>
      </c>
      <c r="J324" s="37" t="n">
        <f aca="false">A324/2840</f>
        <v>0.111619718309859</v>
      </c>
      <c r="K324" s="32" t="str">
        <f aca="false">IF(I324&lt;=$E$4,"A",IF(I324&lt;=$E$5,"B","C"))</f>
        <v>B</v>
      </c>
    </row>
    <row r="325" customFormat="false" ht="15" hidden="false" customHeight="false" outlineLevel="0" collapsed="false">
      <c r="A325" s="32" t="n">
        <v>318</v>
      </c>
      <c r="B325" s="33" t="n">
        <v>143183</v>
      </c>
      <c r="C325" s="34" t="s">
        <v>710</v>
      </c>
      <c r="D325" s="34" t="s">
        <v>711</v>
      </c>
      <c r="E325" s="34" t="s">
        <v>262</v>
      </c>
      <c r="F325" s="32" t="n">
        <f aca="false">COUNTIF(Base!$D$2:$D$2878,B325)</f>
        <v>1</v>
      </c>
      <c r="G325" s="35" t="n">
        <f aca="false">SUMIF(Base!$D$2:$D$2878,B325,Base!$I$2:$I$2878)</f>
        <v>6980</v>
      </c>
      <c r="H325" s="36" t="n">
        <f aca="false">IF($G$2849=0,0,G325/$G$2849)</f>
        <v>0.000458043139748333</v>
      </c>
      <c r="I325" s="37" t="n">
        <f aca="false">I324+H325</f>
        <v>0.833190488690991</v>
      </c>
      <c r="J325" s="37" t="n">
        <f aca="false">A325/2840</f>
        <v>0.111971830985916</v>
      </c>
      <c r="K325" s="32" t="str">
        <f aca="false">IF(I325&lt;=$E$4,"A",IF(I325&lt;=$E$5,"B","C"))</f>
        <v>B</v>
      </c>
    </row>
    <row r="326" customFormat="false" ht="15" hidden="false" customHeight="false" outlineLevel="0" collapsed="false">
      <c r="A326" s="32" t="n">
        <v>319</v>
      </c>
      <c r="B326" s="33" t="n">
        <v>961502</v>
      </c>
      <c r="C326" s="34" t="s">
        <v>712</v>
      </c>
      <c r="D326" s="34" t="s">
        <v>713</v>
      </c>
      <c r="E326" s="34" t="s">
        <v>38</v>
      </c>
      <c r="F326" s="32" t="n">
        <f aca="false">COUNTIF(Base!$D$2:$D$2878,B326)</f>
        <v>1</v>
      </c>
      <c r="G326" s="35" t="n">
        <f aca="false">SUMIF(Base!$D$2:$D$2878,B326,Base!$I$2:$I$2878)</f>
        <v>6961.16</v>
      </c>
      <c r="H326" s="36" t="n">
        <f aca="false">IF($G$2849=0,0,G326/$G$2849)</f>
        <v>0.00045680681700437</v>
      </c>
      <c r="I326" s="37" t="n">
        <f aca="false">I325+H326</f>
        <v>0.833647295507996</v>
      </c>
      <c r="J326" s="37" t="n">
        <f aca="false">A326/2840</f>
        <v>0.112323943661972</v>
      </c>
      <c r="K326" s="32" t="str">
        <f aca="false">IF(I326&lt;=$E$4,"A",IF(I326&lt;=$E$5,"B","C"))</f>
        <v>B</v>
      </c>
    </row>
    <row r="327" customFormat="false" ht="15" hidden="false" customHeight="false" outlineLevel="0" collapsed="false">
      <c r="A327" s="32" t="n">
        <v>320</v>
      </c>
      <c r="B327" s="33" t="n">
        <v>32904</v>
      </c>
      <c r="C327" s="34" t="s">
        <v>714</v>
      </c>
      <c r="D327" s="34" t="s">
        <v>715</v>
      </c>
      <c r="E327" s="34" t="s">
        <v>38</v>
      </c>
      <c r="F327" s="32" t="n">
        <f aca="false">COUNTIF(Base!$D$2:$D$2878,B327)</f>
        <v>1</v>
      </c>
      <c r="G327" s="35" t="n">
        <f aca="false">SUMIF(Base!$D$2:$D$2878,B327,Base!$I$2:$I$2878)</f>
        <v>6950</v>
      </c>
      <c r="H327" s="36" t="n">
        <f aca="false">IF($G$2849=0,0,G327/$G$2849)</f>
        <v>0.000456074472958583</v>
      </c>
      <c r="I327" s="37" t="n">
        <f aca="false">I326+H327</f>
        <v>0.834103369980954</v>
      </c>
      <c r="J327" s="37" t="n">
        <f aca="false">A327/2840</f>
        <v>0.112676056338028</v>
      </c>
      <c r="K327" s="32" t="str">
        <f aca="false">IF(I327&lt;=$E$4,"A",IF(I327&lt;=$E$5,"B","C"))</f>
        <v>B</v>
      </c>
    </row>
    <row r="328" customFormat="false" ht="15" hidden="false" customHeight="false" outlineLevel="0" collapsed="false">
      <c r="A328" s="32" t="n">
        <v>321</v>
      </c>
      <c r="B328" s="33" t="n">
        <v>1384170</v>
      </c>
      <c r="C328" s="34" t="s">
        <v>716</v>
      </c>
      <c r="D328" s="34" t="s">
        <v>717</v>
      </c>
      <c r="E328" s="34" t="s">
        <v>75</v>
      </c>
      <c r="F328" s="32" t="n">
        <f aca="false">COUNTIF(Base!$D$2:$D$2878,B328)</f>
        <v>1</v>
      </c>
      <c r="G328" s="35" t="n">
        <f aca="false">SUMIF(Base!$D$2:$D$2878,B328,Base!$I$2:$I$2878)</f>
        <v>6921.18</v>
      </c>
      <c r="H328" s="36" t="n">
        <f aca="false">IF($G$2849=0,0,G328/$G$2849)</f>
        <v>0.000454183240395898</v>
      </c>
      <c r="I328" s="37" t="n">
        <f aca="false">I327+H328</f>
        <v>0.83455755322135</v>
      </c>
      <c r="J328" s="37" t="n">
        <f aca="false">A328/2840</f>
        <v>0.113028169014085</v>
      </c>
      <c r="K328" s="32" t="str">
        <f aca="false">IF(I328&lt;=$E$4,"A",IF(I328&lt;=$E$5,"B","C"))</f>
        <v>B</v>
      </c>
    </row>
    <row r="329" customFormat="false" ht="15" hidden="false" customHeight="false" outlineLevel="0" collapsed="false">
      <c r="A329" s="32" t="n">
        <v>322</v>
      </c>
      <c r="B329" s="33" t="n">
        <v>742102</v>
      </c>
      <c r="C329" s="34" t="s">
        <v>718</v>
      </c>
      <c r="D329" s="34" t="s">
        <v>719</v>
      </c>
      <c r="E329" s="34" t="s">
        <v>130</v>
      </c>
      <c r="F329" s="32" t="n">
        <f aca="false">COUNTIF(Base!$D$2:$D$2878,B329)</f>
        <v>1</v>
      </c>
      <c r="G329" s="35" t="n">
        <f aca="false">SUMIF(Base!$D$2:$D$2878,B329,Base!$I$2:$I$2878)</f>
        <v>6890</v>
      </c>
      <c r="H329" s="36" t="n">
        <f aca="false">IF($G$2849=0,0,G329/$G$2849)</f>
        <v>0.000452137139379085</v>
      </c>
      <c r="I329" s="37" t="n">
        <f aca="false">I328+H329</f>
        <v>0.835009690360729</v>
      </c>
      <c r="J329" s="37" t="n">
        <f aca="false">A329/2840</f>
        <v>0.113380281690141</v>
      </c>
      <c r="K329" s="32" t="str">
        <f aca="false">IF(I329&lt;=$E$4,"A",IF(I329&lt;=$E$5,"B","C"))</f>
        <v>B</v>
      </c>
    </row>
    <row r="330" customFormat="false" ht="15" hidden="false" customHeight="false" outlineLevel="0" collapsed="false">
      <c r="A330" s="32" t="n">
        <v>323</v>
      </c>
      <c r="B330" s="33" t="n">
        <v>290899</v>
      </c>
      <c r="C330" s="34" t="s">
        <v>720</v>
      </c>
      <c r="D330" s="34" t="s">
        <v>721</v>
      </c>
      <c r="E330" s="34" t="s">
        <v>722</v>
      </c>
      <c r="F330" s="32" t="n">
        <f aca="false">COUNTIF(Base!$D$2:$D$2878,B330)</f>
        <v>1</v>
      </c>
      <c r="G330" s="35" t="n">
        <f aca="false">SUMIF(Base!$D$2:$D$2878,B330,Base!$I$2:$I$2878)</f>
        <v>6883</v>
      </c>
      <c r="H330" s="36" t="n">
        <f aca="false">IF($G$2849=0,0,G330/$G$2849)</f>
        <v>0.00045167778379481</v>
      </c>
      <c r="I330" s="37" t="n">
        <f aca="false">I329+H330</f>
        <v>0.835461368144524</v>
      </c>
      <c r="J330" s="37" t="n">
        <f aca="false">A330/2840</f>
        <v>0.113732394366197</v>
      </c>
      <c r="K330" s="32" t="str">
        <f aca="false">IF(I330&lt;=$E$4,"A",IF(I330&lt;=$E$5,"B","C"))</f>
        <v>B</v>
      </c>
    </row>
    <row r="331" customFormat="false" ht="15" hidden="false" customHeight="false" outlineLevel="0" collapsed="false">
      <c r="A331" s="32" t="n">
        <v>324</v>
      </c>
      <c r="B331" s="33" t="n">
        <v>1609093</v>
      </c>
      <c r="C331" s="34" t="s">
        <v>723</v>
      </c>
      <c r="D331" s="34" t="s">
        <v>724</v>
      </c>
      <c r="E331" s="34" t="s">
        <v>170</v>
      </c>
      <c r="F331" s="32" t="n">
        <f aca="false">COUNTIF(Base!$D$2:$D$2878,B331)</f>
        <v>1</v>
      </c>
      <c r="G331" s="35" t="n">
        <f aca="false">SUMIF(Base!$D$2:$D$2878,B331,Base!$I$2:$I$2878)</f>
        <v>6882.6</v>
      </c>
      <c r="H331" s="36" t="n">
        <f aca="false">IF($G$2849=0,0,G331/$G$2849)</f>
        <v>0.00045165153490428</v>
      </c>
      <c r="I331" s="37" t="n">
        <f aca="false">I330+H331</f>
        <v>0.835913019679428</v>
      </c>
      <c r="J331" s="37" t="n">
        <f aca="false">A331/2840</f>
        <v>0.114084507042254</v>
      </c>
      <c r="K331" s="32" t="str">
        <f aca="false">IF(I331&lt;=$E$4,"A",IF(I331&lt;=$E$5,"B","C"))</f>
        <v>B</v>
      </c>
    </row>
    <row r="332" customFormat="false" ht="15" hidden="false" customHeight="false" outlineLevel="0" collapsed="false">
      <c r="A332" s="32" t="n">
        <v>325</v>
      </c>
      <c r="B332" s="33" t="n">
        <v>58185</v>
      </c>
      <c r="C332" s="34" t="s">
        <v>725</v>
      </c>
      <c r="D332" s="34" t="s">
        <v>726</v>
      </c>
      <c r="E332" s="34" t="s">
        <v>360</v>
      </c>
      <c r="F332" s="32" t="n">
        <f aca="false">COUNTIF(Base!$D$2:$D$2878,B332)</f>
        <v>1</v>
      </c>
      <c r="G332" s="35" t="n">
        <f aca="false">SUMIF(Base!$D$2:$D$2878,B332,Base!$I$2:$I$2878)</f>
        <v>6875</v>
      </c>
      <c r="H332" s="36" t="n">
        <f aca="false">IF($G$2849=0,0,G332/$G$2849)</f>
        <v>0.00045115280598421</v>
      </c>
      <c r="I332" s="37" t="n">
        <f aca="false">I331+H332</f>
        <v>0.836364172485412</v>
      </c>
      <c r="J332" s="37" t="n">
        <f aca="false">A332/2840</f>
        <v>0.11443661971831</v>
      </c>
      <c r="K332" s="32" t="str">
        <f aca="false">IF(I332&lt;=$E$4,"A",IF(I332&lt;=$E$5,"B","C"))</f>
        <v>B</v>
      </c>
    </row>
    <row r="333" customFormat="false" ht="15" hidden="false" customHeight="false" outlineLevel="0" collapsed="false">
      <c r="A333" s="32" t="n">
        <v>326</v>
      </c>
      <c r="B333" s="33" t="n">
        <v>12258</v>
      </c>
      <c r="C333" s="34" t="s">
        <v>727</v>
      </c>
      <c r="D333" s="34" t="s">
        <v>728</v>
      </c>
      <c r="E333" s="34" t="s">
        <v>38</v>
      </c>
      <c r="F333" s="32" t="n">
        <f aca="false">COUNTIF(Base!$D$2:$D$2878,B333)</f>
        <v>1</v>
      </c>
      <c r="G333" s="35" t="n">
        <f aca="false">SUMIF(Base!$D$2:$D$2878,B333,Base!$I$2:$I$2878)</f>
        <v>6874</v>
      </c>
      <c r="H333" s="36" t="n">
        <f aca="false">IF($G$2849=0,0,G333/$G$2849)</f>
        <v>0.000451087183757885</v>
      </c>
      <c r="I333" s="37" t="n">
        <f aca="false">I332+H333</f>
        <v>0.83681525966917</v>
      </c>
      <c r="J333" s="37" t="n">
        <f aca="false">A333/2840</f>
        <v>0.114788732394366</v>
      </c>
      <c r="K333" s="32" t="str">
        <f aca="false">IF(I333&lt;=$E$4,"A",IF(I333&lt;=$E$5,"B","C"))</f>
        <v>B</v>
      </c>
    </row>
    <row r="334" customFormat="false" ht="15" hidden="false" customHeight="false" outlineLevel="0" collapsed="false">
      <c r="A334" s="32" t="n">
        <v>327</v>
      </c>
      <c r="B334" s="33" t="n">
        <v>12259</v>
      </c>
      <c r="C334" s="34" t="s">
        <v>729</v>
      </c>
      <c r="D334" s="34" t="s">
        <v>730</v>
      </c>
      <c r="E334" s="34" t="s">
        <v>38</v>
      </c>
      <c r="F334" s="32" t="n">
        <f aca="false">COUNTIF(Base!$D$2:$D$2878,B334)</f>
        <v>1</v>
      </c>
      <c r="G334" s="35" t="n">
        <f aca="false">SUMIF(Base!$D$2:$D$2878,B334,Base!$I$2:$I$2878)</f>
        <v>6874</v>
      </c>
      <c r="H334" s="36" t="n">
        <f aca="false">IF($G$2849=0,0,G334/$G$2849)</f>
        <v>0.000451087183757885</v>
      </c>
      <c r="I334" s="37" t="n">
        <f aca="false">I333+H334</f>
        <v>0.837266346852928</v>
      </c>
      <c r="J334" s="37" t="n">
        <f aca="false">A334/2840</f>
        <v>0.115140845070423</v>
      </c>
      <c r="K334" s="32" t="str">
        <f aca="false">IF(I334&lt;=$E$4,"A",IF(I334&lt;=$E$5,"B","C"))</f>
        <v>B</v>
      </c>
    </row>
    <row r="335" customFormat="false" ht="15" hidden="false" customHeight="false" outlineLevel="0" collapsed="false">
      <c r="A335" s="32" t="n">
        <v>328</v>
      </c>
      <c r="B335" s="33" t="n">
        <v>12256</v>
      </c>
      <c r="C335" s="34" t="s">
        <v>731</v>
      </c>
      <c r="D335" s="34" t="s">
        <v>732</v>
      </c>
      <c r="E335" s="34" t="s">
        <v>38</v>
      </c>
      <c r="F335" s="32" t="n">
        <f aca="false">COUNTIF(Base!$D$2:$D$2878,B335)</f>
        <v>1</v>
      </c>
      <c r="G335" s="35" t="n">
        <f aca="false">SUMIF(Base!$D$2:$D$2878,B335,Base!$I$2:$I$2878)</f>
        <v>6873.1</v>
      </c>
      <c r="H335" s="36" t="n">
        <f aca="false">IF($G$2849=0,0,G335/$G$2849)</f>
        <v>0.000451028123754193</v>
      </c>
      <c r="I335" s="37" t="n">
        <f aca="false">I334+H335</f>
        <v>0.837717374976682</v>
      </c>
      <c r="J335" s="37" t="n">
        <f aca="false">A335/2840</f>
        <v>0.115492957746479</v>
      </c>
      <c r="K335" s="32" t="str">
        <f aca="false">IF(I335&lt;=$E$4,"A",IF(I335&lt;=$E$5,"B","C"))</f>
        <v>B</v>
      </c>
    </row>
    <row r="336" customFormat="false" ht="15" hidden="false" customHeight="false" outlineLevel="0" collapsed="false">
      <c r="A336" s="32" t="n">
        <v>329</v>
      </c>
      <c r="B336" s="33" t="n">
        <v>22827</v>
      </c>
      <c r="C336" s="34" t="s">
        <v>733</v>
      </c>
      <c r="D336" s="34" t="s">
        <v>734</v>
      </c>
      <c r="E336" s="34" t="s">
        <v>100</v>
      </c>
      <c r="F336" s="32" t="n">
        <f aca="false">COUNTIF(Base!$D$2:$D$2878,B336)</f>
        <v>1</v>
      </c>
      <c r="G336" s="35" t="n">
        <f aca="false">SUMIF(Base!$D$2:$D$2878,B336,Base!$I$2:$I$2878)</f>
        <v>6834</v>
      </c>
      <c r="H336" s="36" t="n">
        <f aca="false">IF($G$2849=0,0,G336/$G$2849)</f>
        <v>0.000448462294704886</v>
      </c>
      <c r="I336" s="37" t="n">
        <f aca="false">I335+H336</f>
        <v>0.838165837271387</v>
      </c>
      <c r="J336" s="37" t="n">
        <f aca="false">A336/2840</f>
        <v>0.115845070422535</v>
      </c>
      <c r="K336" s="32" t="str">
        <f aca="false">IF(I336&lt;=$E$4,"A",IF(I336&lt;=$E$5,"B","C"))</f>
        <v>B</v>
      </c>
    </row>
    <row r="337" customFormat="false" ht="15" hidden="false" customHeight="false" outlineLevel="0" collapsed="false">
      <c r="A337" s="32" t="n">
        <v>330</v>
      </c>
      <c r="B337" s="33" t="n">
        <v>59714</v>
      </c>
      <c r="C337" s="34" t="s">
        <v>735</v>
      </c>
      <c r="D337" s="34" t="s">
        <v>736</v>
      </c>
      <c r="E337" s="34" t="s">
        <v>355</v>
      </c>
      <c r="F337" s="32" t="n">
        <f aca="false">COUNTIF(Base!$D$2:$D$2878,B337)</f>
        <v>1</v>
      </c>
      <c r="G337" s="35" t="n">
        <f aca="false">SUMIF(Base!$D$2:$D$2878,B337,Base!$I$2:$I$2878)</f>
        <v>6800</v>
      </c>
      <c r="H337" s="36" t="n">
        <f aca="false">IF($G$2849=0,0,G337/$G$2849)</f>
        <v>0.000446231139009837</v>
      </c>
      <c r="I337" s="37" t="n">
        <f aca="false">I336+H337</f>
        <v>0.838612068410397</v>
      </c>
      <c r="J337" s="37" t="n">
        <f aca="false">A337/2840</f>
        <v>0.116197183098592</v>
      </c>
      <c r="K337" s="32" t="str">
        <f aca="false">IF(I337&lt;=$E$4,"A",IF(I337&lt;=$E$5,"B","C"))</f>
        <v>B</v>
      </c>
    </row>
    <row r="338" customFormat="false" ht="15" hidden="false" customHeight="false" outlineLevel="0" collapsed="false">
      <c r="A338" s="32" t="n">
        <v>331</v>
      </c>
      <c r="B338" s="33" t="n">
        <v>280105</v>
      </c>
      <c r="C338" s="34" t="s">
        <v>737</v>
      </c>
      <c r="D338" s="34" t="s">
        <v>738</v>
      </c>
      <c r="E338" s="34" t="s">
        <v>637</v>
      </c>
      <c r="F338" s="32" t="n">
        <f aca="false">COUNTIF(Base!$D$2:$D$2878,B338)</f>
        <v>1</v>
      </c>
      <c r="G338" s="35" t="n">
        <f aca="false">SUMIF(Base!$D$2:$D$2878,B338,Base!$I$2:$I$2878)</f>
        <v>6800</v>
      </c>
      <c r="H338" s="36" t="n">
        <f aca="false">IF($G$2849=0,0,G338/$G$2849)</f>
        <v>0.000446231139009837</v>
      </c>
      <c r="I338" s="37" t="n">
        <f aca="false">I337+H338</f>
        <v>0.839058299549407</v>
      </c>
      <c r="J338" s="37" t="n">
        <f aca="false">A338/2840</f>
        <v>0.116549295774648</v>
      </c>
      <c r="K338" s="32" t="str">
        <f aca="false">IF(I338&lt;=$E$4,"A",IF(I338&lt;=$E$5,"B","C"))</f>
        <v>B</v>
      </c>
    </row>
    <row r="339" customFormat="false" ht="15" hidden="false" customHeight="false" outlineLevel="0" collapsed="false">
      <c r="A339" s="32" t="n">
        <v>332</v>
      </c>
      <c r="B339" s="33" t="n">
        <v>19804</v>
      </c>
      <c r="C339" s="34" t="s">
        <v>739</v>
      </c>
      <c r="D339" s="34" t="s">
        <v>740</v>
      </c>
      <c r="E339" s="34" t="s">
        <v>605</v>
      </c>
      <c r="F339" s="32" t="n">
        <f aca="false">COUNTIF(Base!$D$2:$D$2878,B339)</f>
        <v>1</v>
      </c>
      <c r="G339" s="35" t="n">
        <f aca="false">SUMIF(Base!$D$2:$D$2878,B339,Base!$I$2:$I$2878)</f>
        <v>6782.4</v>
      </c>
      <c r="H339" s="36" t="n">
        <f aca="false">IF($G$2849=0,0,G339/$G$2849)</f>
        <v>0.000445076187826517</v>
      </c>
      <c r="I339" s="37" t="n">
        <f aca="false">I338+H339</f>
        <v>0.839503375737233</v>
      </c>
      <c r="J339" s="37" t="n">
        <f aca="false">A339/2840</f>
        <v>0.116901408450704</v>
      </c>
      <c r="K339" s="32" t="str">
        <f aca="false">IF(I339&lt;=$E$4,"A",IF(I339&lt;=$E$5,"B","C"))</f>
        <v>B</v>
      </c>
    </row>
    <row r="340" customFormat="false" ht="15" hidden="false" customHeight="false" outlineLevel="0" collapsed="false">
      <c r="A340" s="32" t="n">
        <v>333</v>
      </c>
      <c r="B340" s="33" t="n">
        <v>1319422</v>
      </c>
      <c r="C340" s="34" t="s">
        <v>741</v>
      </c>
      <c r="D340" s="34" t="s">
        <v>742</v>
      </c>
      <c r="E340" s="34" t="s">
        <v>217</v>
      </c>
      <c r="F340" s="32" t="n">
        <f aca="false">COUNTIF(Base!$D$2:$D$2878,B340)</f>
        <v>1</v>
      </c>
      <c r="G340" s="35" t="n">
        <f aca="false">SUMIF(Base!$D$2:$D$2878,B340,Base!$I$2:$I$2878)</f>
        <v>6766.83</v>
      </c>
      <c r="H340" s="36" t="n">
        <f aca="false">IF($G$2849=0,0,G340/$G$2849)</f>
        <v>0.000444054449762637</v>
      </c>
      <c r="I340" s="37" t="n">
        <f aca="false">I339+H340</f>
        <v>0.839947430186996</v>
      </c>
      <c r="J340" s="37" t="n">
        <f aca="false">A340/2840</f>
        <v>0.117253521126761</v>
      </c>
      <c r="K340" s="32" t="str">
        <f aca="false">IF(I340&lt;=$E$4,"A",IF(I340&lt;=$E$5,"B","C"))</f>
        <v>B</v>
      </c>
    </row>
    <row r="341" customFormat="false" ht="15" hidden="false" customHeight="false" outlineLevel="0" collapsed="false">
      <c r="A341" s="32" t="n">
        <v>334</v>
      </c>
      <c r="B341" s="33" t="n">
        <v>33202</v>
      </c>
      <c r="C341" s="34" t="s">
        <v>743</v>
      </c>
      <c r="D341" s="34" t="s">
        <v>744</v>
      </c>
      <c r="E341" s="34" t="s">
        <v>189</v>
      </c>
      <c r="F341" s="32" t="n">
        <f aca="false">COUNTIF(Base!$D$2:$D$2878,B341)</f>
        <v>1</v>
      </c>
      <c r="G341" s="35" t="n">
        <f aca="false">SUMIF(Base!$D$2:$D$2878,B341,Base!$I$2:$I$2878)</f>
        <v>6750</v>
      </c>
      <c r="H341" s="36" t="n">
        <f aca="false">IF($G$2849=0,0,G341/$G$2849)</f>
        <v>0.000442950027693588</v>
      </c>
      <c r="I341" s="37" t="n">
        <f aca="false">I340+H341</f>
        <v>0.84039038021469</v>
      </c>
      <c r="J341" s="37" t="n">
        <f aca="false">A341/2840</f>
        <v>0.117605633802817</v>
      </c>
      <c r="K341" s="32" t="str">
        <f aca="false">IF(I341&lt;=$E$4,"A",IF(I341&lt;=$E$5,"B","C"))</f>
        <v>B</v>
      </c>
    </row>
    <row r="342" customFormat="false" ht="15" hidden="false" customHeight="false" outlineLevel="0" collapsed="false">
      <c r="A342" s="32" t="n">
        <v>335</v>
      </c>
      <c r="B342" s="33" t="n">
        <v>137261</v>
      </c>
      <c r="C342" s="34" t="s">
        <v>745</v>
      </c>
      <c r="D342" s="34" t="s">
        <v>746</v>
      </c>
      <c r="E342" s="34" t="s">
        <v>35</v>
      </c>
      <c r="F342" s="32" t="n">
        <f aca="false">COUNTIF(Base!$D$2:$D$2878,B342)</f>
        <v>1</v>
      </c>
      <c r="G342" s="35" t="n">
        <f aca="false">SUMIF(Base!$D$2:$D$2878,B342,Base!$I$2:$I$2878)</f>
        <v>6703.5</v>
      </c>
      <c r="H342" s="36" t="n">
        <f aca="false">IF($G$2849=0,0,G342/$G$2849)</f>
        <v>0.000439898594169477</v>
      </c>
      <c r="I342" s="37" t="n">
        <f aca="false">I341+H342</f>
        <v>0.840830278808859</v>
      </c>
      <c r="J342" s="37" t="n">
        <f aca="false">A342/2840</f>
        <v>0.117957746478873</v>
      </c>
      <c r="K342" s="32" t="str">
        <f aca="false">IF(I342&lt;=$E$4,"A",IF(I342&lt;=$E$5,"B","C"))</f>
        <v>B</v>
      </c>
    </row>
    <row r="343" customFormat="false" ht="15" hidden="false" customHeight="false" outlineLevel="0" collapsed="false">
      <c r="A343" s="32" t="n">
        <v>336</v>
      </c>
      <c r="B343" s="33" t="n">
        <v>1461829</v>
      </c>
      <c r="C343" s="34" t="s">
        <v>747</v>
      </c>
      <c r="D343" s="34" t="s">
        <v>748</v>
      </c>
      <c r="E343" s="34" t="s">
        <v>355</v>
      </c>
      <c r="F343" s="32" t="n">
        <f aca="false">COUNTIF(Base!$D$2:$D$2878,B343)</f>
        <v>1</v>
      </c>
      <c r="G343" s="35" t="n">
        <f aca="false">SUMIF(Base!$D$2:$D$2878,B343,Base!$I$2:$I$2878)</f>
        <v>6700</v>
      </c>
      <c r="H343" s="36" t="n">
        <f aca="false">IF($G$2849=0,0,G343/$G$2849)</f>
        <v>0.000439668916377339</v>
      </c>
      <c r="I343" s="37" t="n">
        <f aca="false">I342+H343</f>
        <v>0.841269947725236</v>
      </c>
      <c r="J343" s="37" t="n">
        <f aca="false">A343/2840</f>
        <v>0.11830985915493</v>
      </c>
      <c r="K343" s="32" t="str">
        <f aca="false">IF(I343&lt;=$E$4,"A",IF(I343&lt;=$E$5,"B","C"))</f>
        <v>B</v>
      </c>
    </row>
    <row r="344" customFormat="false" ht="15" hidden="false" customHeight="false" outlineLevel="0" collapsed="false">
      <c r="A344" s="32" t="n">
        <v>337</v>
      </c>
      <c r="B344" s="33" t="n">
        <v>728577</v>
      </c>
      <c r="C344" s="34" t="s">
        <v>749</v>
      </c>
      <c r="D344" s="34" t="s">
        <v>750</v>
      </c>
      <c r="E344" s="34" t="s">
        <v>38</v>
      </c>
      <c r="F344" s="32" t="n">
        <f aca="false">COUNTIF(Base!$D$2:$D$2878,B344)</f>
        <v>1</v>
      </c>
      <c r="G344" s="35" t="n">
        <f aca="false">SUMIF(Base!$D$2:$D$2878,B344,Base!$I$2:$I$2878)</f>
        <v>6668</v>
      </c>
      <c r="H344" s="36" t="n">
        <f aca="false">IF($G$2849=0,0,G344/$G$2849)</f>
        <v>0.00043756900513494</v>
      </c>
      <c r="I344" s="37" t="n">
        <f aca="false">I343+H344</f>
        <v>0.841707516730371</v>
      </c>
      <c r="J344" s="37" t="n">
        <f aca="false">A344/2840</f>
        <v>0.118661971830986</v>
      </c>
      <c r="K344" s="32" t="str">
        <f aca="false">IF(I344&lt;=$E$4,"A",IF(I344&lt;=$E$5,"B","C"))</f>
        <v>B</v>
      </c>
    </row>
    <row r="345" customFormat="false" ht="15" hidden="false" customHeight="false" outlineLevel="0" collapsed="false">
      <c r="A345" s="32" t="n">
        <v>338</v>
      </c>
      <c r="B345" s="33" t="n">
        <v>59087</v>
      </c>
      <c r="C345" s="34" t="s">
        <v>751</v>
      </c>
      <c r="D345" s="34" t="s">
        <v>752</v>
      </c>
      <c r="E345" s="34" t="s">
        <v>35</v>
      </c>
      <c r="F345" s="32" t="n">
        <f aca="false">COUNTIF(Base!$D$2:$D$2878,B345)</f>
        <v>1</v>
      </c>
      <c r="G345" s="35" t="n">
        <f aca="false">SUMIF(Base!$D$2:$D$2878,B345,Base!$I$2:$I$2878)</f>
        <v>6640</v>
      </c>
      <c r="H345" s="36" t="n">
        <f aca="false">IF($G$2849=0,0,G345/$G$2849)</f>
        <v>0.000435731582797841</v>
      </c>
      <c r="I345" s="37" t="n">
        <f aca="false">I344+H345</f>
        <v>0.842143248313169</v>
      </c>
      <c r="J345" s="37" t="n">
        <f aca="false">A345/2840</f>
        <v>0.119014084507042</v>
      </c>
      <c r="K345" s="32" t="str">
        <f aca="false">IF(I345&lt;=$E$4,"A",IF(I345&lt;=$E$5,"B","C"))</f>
        <v>B</v>
      </c>
    </row>
    <row r="346" customFormat="false" ht="15" hidden="false" customHeight="false" outlineLevel="0" collapsed="false">
      <c r="A346" s="32" t="n">
        <v>339</v>
      </c>
      <c r="B346" s="33" t="n">
        <v>139439</v>
      </c>
      <c r="C346" s="34" t="s">
        <v>753</v>
      </c>
      <c r="D346" s="34" t="s">
        <v>754</v>
      </c>
      <c r="E346" s="34" t="s">
        <v>494</v>
      </c>
      <c r="F346" s="32" t="n">
        <f aca="false">COUNTIF(Base!$D$2:$D$2878,B346)</f>
        <v>1</v>
      </c>
      <c r="G346" s="35" t="n">
        <f aca="false">SUMIF(Base!$D$2:$D$2878,B346,Base!$I$2:$I$2878)</f>
        <v>6547.2</v>
      </c>
      <c r="H346" s="36" t="n">
        <f aca="false">IF($G$2849=0,0,G346/$G$2849)</f>
        <v>0.000429641840194883</v>
      </c>
      <c r="I346" s="37" t="n">
        <f aca="false">I345+H346</f>
        <v>0.842572890153364</v>
      </c>
      <c r="J346" s="37" t="n">
        <f aca="false">A346/2840</f>
        <v>0.119366197183099</v>
      </c>
      <c r="K346" s="32" t="str">
        <f aca="false">IF(I346&lt;=$E$4,"A",IF(I346&lt;=$E$5,"B","C"))</f>
        <v>B</v>
      </c>
    </row>
    <row r="347" customFormat="false" ht="15" hidden="false" customHeight="false" outlineLevel="0" collapsed="false">
      <c r="A347" s="32" t="n">
        <v>340</v>
      </c>
      <c r="B347" s="33" t="n">
        <v>1178324</v>
      </c>
      <c r="C347" s="34" t="s">
        <v>755</v>
      </c>
      <c r="D347" s="34" t="s">
        <v>756</v>
      </c>
      <c r="E347" s="34" t="s">
        <v>113</v>
      </c>
      <c r="F347" s="32" t="n">
        <f aca="false">COUNTIF(Base!$D$2:$D$2878,B347)</f>
        <v>1</v>
      </c>
      <c r="G347" s="35" t="n">
        <f aca="false">SUMIF(Base!$D$2:$D$2878,B347,Base!$I$2:$I$2878)</f>
        <v>6518</v>
      </c>
      <c r="H347" s="36" t="n">
        <f aca="false">IF($G$2849=0,0,G347/$G$2849)</f>
        <v>0.000427725671186194</v>
      </c>
      <c r="I347" s="37" t="n">
        <f aca="false">I346+H347</f>
        <v>0.84300061582455</v>
      </c>
      <c r="J347" s="37" t="n">
        <f aca="false">A347/2840</f>
        <v>0.119718309859155</v>
      </c>
      <c r="K347" s="32" t="str">
        <f aca="false">IF(I347&lt;=$E$4,"A",IF(I347&lt;=$E$5,"B","C"))</f>
        <v>B</v>
      </c>
    </row>
    <row r="348" customFormat="false" ht="15" hidden="false" customHeight="false" outlineLevel="0" collapsed="false">
      <c r="A348" s="32" t="n">
        <v>341</v>
      </c>
      <c r="B348" s="33" t="n">
        <v>34712</v>
      </c>
      <c r="C348" s="34" t="s">
        <v>757</v>
      </c>
      <c r="D348" s="34" t="s">
        <v>758</v>
      </c>
      <c r="E348" s="34" t="s">
        <v>35</v>
      </c>
      <c r="F348" s="32" t="n">
        <f aca="false">COUNTIF(Base!$D$2:$D$2878,B348)</f>
        <v>1</v>
      </c>
      <c r="G348" s="35" t="n">
        <f aca="false">SUMIF(Base!$D$2:$D$2878,B348,Base!$I$2:$I$2878)</f>
        <v>6504</v>
      </c>
      <c r="H348" s="36" t="n">
        <f aca="false">IF($G$2849=0,0,G348/$G$2849)</f>
        <v>0.000426806960017644</v>
      </c>
      <c r="I348" s="37" t="n">
        <f aca="false">I347+H348</f>
        <v>0.843427422784568</v>
      </c>
      <c r="J348" s="37" t="n">
        <f aca="false">A348/2840</f>
        <v>0.120070422535211</v>
      </c>
      <c r="K348" s="32" t="str">
        <f aca="false">IF(I348&lt;=$E$4,"A",IF(I348&lt;=$E$5,"B","C"))</f>
        <v>B</v>
      </c>
    </row>
    <row r="349" customFormat="false" ht="15" hidden="false" customHeight="false" outlineLevel="0" collapsed="false">
      <c r="A349" s="32" t="n">
        <v>342</v>
      </c>
      <c r="B349" s="33" t="n">
        <v>1010580</v>
      </c>
      <c r="C349" s="34" t="s">
        <v>759</v>
      </c>
      <c r="D349" s="34" t="s">
        <v>760</v>
      </c>
      <c r="E349" s="34" t="s">
        <v>230</v>
      </c>
      <c r="F349" s="32" t="n">
        <f aca="false">COUNTIF(Base!$D$2:$D$2878,B349)</f>
        <v>1</v>
      </c>
      <c r="G349" s="35" t="n">
        <f aca="false">SUMIF(Base!$D$2:$D$2878,B349,Base!$I$2:$I$2878)</f>
        <v>6500</v>
      </c>
      <c r="H349" s="36" t="n">
        <f aca="false">IF($G$2849=0,0,G349/$G$2849)</f>
        <v>0.000426544471112344</v>
      </c>
      <c r="I349" s="37" t="n">
        <f aca="false">I348+H349</f>
        <v>0.84385396725568</v>
      </c>
      <c r="J349" s="37" t="n">
        <f aca="false">A349/2840</f>
        <v>0.120422535211268</v>
      </c>
      <c r="K349" s="32" t="str">
        <f aca="false">IF(I349&lt;=$E$4,"A",IF(I349&lt;=$E$5,"B","C"))</f>
        <v>B</v>
      </c>
    </row>
    <row r="350" customFormat="false" ht="15" hidden="false" customHeight="false" outlineLevel="0" collapsed="false">
      <c r="A350" s="32" t="n">
        <v>343</v>
      </c>
      <c r="B350" s="33" t="n">
        <v>1387995</v>
      </c>
      <c r="C350" s="34" t="s">
        <v>761</v>
      </c>
      <c r="D350" s="34" t="s">
        <v>762</v>
      </c>
      <c r="E350" s="34" t="s">
        <v>38</v>
      </c>
      <c r="F350" s="32" t="n">
        <f aca="false">COUNTIF(Base!$D$2:$D$2878,B350)</f>
        <v>1</v>
      </c>
      <c r="G350" s="35" t="n">
        <f aca="false">SUMIF(Base!$D$2:$D$2878,B350,Base!$I$2:$I$2878)</f>
        <v>6453.52</v>
      </c>
      <c r="H350" s="36" t="n">
        <f aca="false">IF($G$2849=0,0,G350/$G$2849)</f>
        <v>0.000423494350032759</v>
      </c>
      <c r="I350" s="37" t="n">
        <f aca="false">I349+H350</f>
        <v>0.844277461605713</v>
      </c>
      <c r="J350" s="37" t="n">
        <f aca="false">A350/2840</f>
        <v>0.120774647887324</v>
      </c>
      <c r="K350" s="32" t="str">
        <f aca="false">IF(I350&lt;=$E$4,"A",IF(I350&lt;=$E$5,"B","C"))</f>
        <v>B</v>
      </c>
    </row>
    <row r="351" customFormat="false" ht="15" hidden="false" customHeight="false" outlineLevel="0" collapsed="false">
      <c r="A351" s="32" t="n">
        <v>344</v>
      </c>
      <c r="B351" s="33" t="n">
        <v>22615</v>
      </c>
      <c r="C351" s="34" t="s">
        <v>763</v>
      </c>
      <c r="D351" s="34" t="s">
        <v>764</v>
      </c>
      <c r="E351" s="34" t="s">
        <v>170</v>
      </c>
      <c r="F351" s="32" t="n">
        <f aca="false">COUNTIF(Base!$D$2:$D$2878,B351)</f>
        <v>1</v>
      </c>
      <c r="G351" s="35" t="n">
        <f aca="false">SUMIF(Base!$D$2:$D$2878,B351,Base!$I$2:$I$2878)</f>
        <v>6400</v>
      </c>
      <c r="H351" s="36" t="n">
        <f aca="false">IF($G$2849=0,0,G351/$G$2849)</f>
        <v>0.000419982248479847</v>
      </c>
      <c r="I351" s="37" t="n">
        <f aca="false">I350+H351</f>
        <v>0.844697443854193</v>
      </c>
      <c r="J351" s="37" t="n">
        <f aca="false">A351/2840</f>
        <v>0.12112676056338</v>
      </c>
      <c r="K351" s="32" t="str">
        <f aca="false">IF(I351&lt;=$E$4,"A",IF(I351&lt;=$E$5,"B","C"))</f>
        <v>B</v>
      </c>
    </row>
    <row r="352" customFormat="false" ht="15" hidden="false" customHeight="false" outlineLevel="0" collapsed="false">
      <c r="A352" s="32" t="n">
        <v>345</v>
      </c>
      <c r="B352" s="33" t="n">
        <v>34380</v>
      </c>
      <c r="C352" s="34" t="s">
        <v>765</v>
      </c>
      <c r="D352" s="34" t="s">
        <v>766</v>
      </c>
      <c r="E352" s="34" t="s">
        <v>722</v>
      </c>
      <c r="F352" s="32" t="n">
        <f aca="false">COUNTIF(Base!$D$2:$D$2878,B352)</f>
        <v>1</v>
      </c>
      <c r="G352" s="35" t="n">
        <f aca="false">SUMIF(Base!$D$2:$D$2878,B352,Base!$I$2:$I$2878)</f>
        <v>6400</v>
      </c>
      <c r="H352" s="36" t="n">
        <f aca="false">IF($G$2849=0,0,G352/$G$2849)</f>
        <v>0.000419982248479847</v>
      </c>
      <c r="I352" s="37" t="n">
        <f aca="false">I351+H352</f>
        <v>0.845117426102673</v>
      </c>
      <c r="J352" s="37" t="n">
        <f aca="false">A352/2840</f>
        <v>0.121478873239437</v>
      </c>
      <c r="K352" s="32" t="str">
        <f aca="false">IF(I352&lt;=$E$4,"A",IF(I352&lt;=$E$5,"B","C"))</f>
        <v>B</v>
      </c>
    </row>
    <row r="353" customFormat="false" ht="15" hidden="false" customHeight="false" outlineLevel="0" collapsed="false">
      <c r="A353" s="32" t="n">
        <v>346</v>
      </c>
      <c r="B353" s="33" t="n">
        <v>273865</v>
      </c>
      <c r="C353" s="34" t="s">
        <v>767</v>
      </c>
      <c r="D353" s="34" t="s">
        <v>768</v>
      </c>
      <c r="E353" s="34" t="s">
        <v>247</v>
      </c>
      <c r="F353" s="32" t="n">
        <f aca="false">COUNTIF(Base!$D$2:$D$2878,B353)</f>
        <v>1</v>
      </c>
      <c r="G353" s="35" t="n">
        <f aca="false">SUMIF(Base!$D$2:$D$2878,B353,Base!$I$2:$I$2878)</f>
        <v>6382.5</v>
      </c>
      <c r="H353" s="36" t="n">
        <f aca="false">IF($G$2849=0,0,G353/$G$2849)</f>
        <v>0.000418833859519159</v>
      </c>
      <c r="I353" s="37" t="n">
        <f aca="false">I352+H353</f>
        <v>0.845536259962192</v>
      </c>
      <c r="J353" s="37" t="n">
        <f aca="false">A353/2840</f>
        <v>0.121830985915493</v>
      </c>
      <c r="K353" s="32" t="str">
        <f aca="false">IF(I353&lt;=$E$4,"A",IF(I353&lt;=$E$5,"B","C"))</f>
        <v>B</v>
      </c>
    </row>
    <row r="354" customFormat="false" ht="15" hidden="false" customHeight="false" outlineLevel="0" collapsed="false">
      <c r="A354" s="32" t="n">
        <v>347</v>
      </c>
      <c r="B354" s="33" t="n">
        <v>831922</v>
      </c>
      <c r="C354" s="34" t="s">
        <v>769</v>
      </c>
      <c r="D354" s="34" t="s">
        <v>770</v>
      </c>
      <c r="E354" s="34" t="s">
        <v>247</v>
      </c>
      <c r="F354" s="32" t="n">
        <f aca="false">COUNTIF(Base!$D$2:$D$2878,B354)</f>
        <v>1</v>
      </c>
      <c r="G354" s="35" t="n">
        <f aca="false">SUMIF(Base!$D$2:$D$2878,B354,Base!$I$2:$I$2878)</f>
        <v>6335.76</v>
      </c>
      <c r="H354" s="36" t="n">
        <f aca="false">IF($G$2849=0,0,G354/$G$2849)</f>
        <v>0.00041576667666073</v>
      </c>
      <c r="I354" s="37" t="n">
        <f aca="false">I353+H354</f>
        <v>0.845952026638853</v>
      </c>
      <c r="J354" s="37" t="n">
        <f aca="false">A354/2840</f>
        <v>0.122183098591549</v>
      </c>
      <c r="K354" s="32" t="str">
        <f aca="false">IF(I354&lt;=$E$4,"A",IF(I354&lt;=$E$5,"B","C"))</f>
        <v>B</v>
      </c>
    </row>
    <row r="355" customFormat="false" ht="15" hidden="false" customHeight="false" outlineLevel="0" collapsed="false">
      <c r="A355" s="32" t="n">
        <v>348</v>
      </c>
      <c r="B355" s="33" t="n">
        <v>1674628</v>
      </c>
      <c r="C355" s="34" t="s">
        <v>771</v>
      </c>
      <c r="D355" s="34" t="s">
        <v>772</v>
      </c>
      <c r="E355" s="34" t="s">
        <v>773</v>
      </c>
      <c r="F355" s="32" t="n">
        <f aca="false">COUNTIF(Base!$D$2:$D$2878,B355)</f>
        <v>1</v>
      </c>
      <c r="G355" s="35" t="n">
        <f aca="false">SUMIF(Base!$D$2:$D$2878,B355,Base!$I$2:$I$2878)</f>
        <v>6285.74</v>
      </c>
      <c r="H355" s="36" t="n">
        <f aca="false">IF($G$2849=0,0,G355/$G$2849)</f>
        <v>0.000412484252899955</v>
      </c>
      <c r="I355" s="37" t="n">
        <f aca="false">I354+H355</f>
        <v>0.846364510891753</v>
      </c>
      <c r="J355" s="37" t="n">
        <f aca="false">A355/2840</f>
        <v>0.122535211267606</v>
      </c>
      <c r="K355" s="32" t="str">
        <f aca="false">IF(I355&lt;=$E$4,"A",IF(I355&lt;=$E$5,"B","C"))</f>
        <v>B</v>
      </c>
    </row>
    <row r="356" customFormat="false" ht="15" hidden="false" customHeight="false" outlineLevel="0" collapsed="false">
      <c r="A356" s="32" t="n">
        <v>349</v>
      </c>
      <c r="B356" s="33" t="n">
        <v>1258632</v>
      </c>
      <c r="C356" s="34" t="s">
        <v>774</v>
      </c>
      <c r="D356" s="34" t="s">
        <v>775</v>
      </c>
      <c r="E356" s="34" t="s">
        <v>247</v>
      </c>
      <c r="F356" s="32" t="n">
        <f aca="false">COUNTIF(Base!$D$2:$D$2878,B356)</f>
        <v>1</v>
      </c>
      <c r="G356" s="35" t="n">
        <f aca="false">SUMIF(Base!$D$2:$D$2878,B356,Base!$I$2:$I$2878)</f>
        <v>6281.48</v>
      </c>
      <c r="H356" s="36" t="n">
        <f aca="false">IF($G$2849=0,0,G356/$G$2849)</f>
        <v>0.00041220470221581</v>
      </c>
      <c r="I356" s="37" t="n">
        <f aca="false">I355+H356</f>
        <v>0.846776715593968</v>
      </c>
      <c r="J356" s="37" t="n">
        <f aca="false">A356/2840</f>
        <v>0.122887323943662</v>
      </c>
      <c r="K356" s="32" t="str">
        <f aca="false">IF(I356&lt;=$E$4,"A",IF(I356&lt;=$E$5,"B","C"))</f>
        <v>B</v>
      </c>
    </row>
    <row r="357" customFormat="false" ht="15" hidden="false" customHeight="false" outlineLevel="0" collapsed="false">
      <c r="A357" s="32" t="n">
        <v>350</v>
      </c>
      <c r="B357" s="33" t="n">
        <v>1475274</v>
      </c>
      <c r="C357" s="34" t="s">
        <v>776</v>
      </c>
      <c r="D357" s="34" t="s">
        <v>777</v>
      </c>
      <c r="E357" s="34" t="s">
        <v>38</v>
      </c>
      <c r="F357" s="32" t="n">
        <f aca="false">COUNTIF(Base!$D$2:$D$2878,B357)</f>
        <v>1</v>
      </c>
      <c r="G357" s="35" t="n">
        <f aca="false">SUMIF(Base!$D$2:$D$2878,B357,Base!$I$2:$I$2878)</f>
        <v>6270.76</v>
      </c>
      <c r="H357" s="36" t="n">
        <f aca="false">IF($G$2849=0,0,G357/$G$2849)</f>
        <v>0.000411501231949607</v>
      </c>
      <c r="I357" s="37" t="n">
        <f aca="false">I356+H357</f>
        <v>0.847188216825918</v>
      </c>
      <c r="J357" s="37" t="n">
        <f aca="false">A357/2840</f>
        <v>0.123239436619718</v>
      </c>
      <c r="K357" s="32" t="str">
        <f aca="false">IF(I357&lt;=$E$4,"A",IF(I357&lt;=$E$5,"B","C"))</f>
        <v>B</v>
      </c>
    </row>
    <row r="358" customFormat="false" ht="15" hidden="false" customHeight="false" outlineLevel="0" collapsed="false">
      <c r="A358" s="32" t="n">
        <v>351</v>
      </c>
      <c r="B358" s="33" t="n">
        <v>1485390</v>
      </c>
      <c r="C358" s="34" t="s">
        <v>778</v>
      </c>
      <c r="D358" s="34" t="s">
        <v>779</v>
      </c>
      <c r="E358" s="34" t="s">
        <v>100</v>
      </c>
      <c r="F358" s="32" t="n">
        <f aca="false">COUNTIF(Base!$D$2:$D$2878,B358)</f>
        <v>1</v>
      </c>
      <c r="G358" s="35" t="n">
        <f aca="false">SUMIF(Base!$D$2:$D$2878,B358,Base!$I$2:$I$2878)</f>
        <v>6266.12</v>
      </c>
      <c r="H358" s="36" t="n">
        <f aca="false">IF($G$2849=0,0,G358/$G$2849)</f>
        <v>0.000411196744819459</v>
      </c>
      <c r="I358" s="37" t="n">
        <f aca="false">I357+H358</f>
        <v>0.847599413570737</v>
      </c>
      <c r="J358" s="37" t="n">
        <f aca="false">A358/2840</f>
        <v>0.123591549295775</v>
      </c>
      <c r="K358" s="32" t="str">
        <f aca="false">IF(I358&lt;=$E$4,"A",IF(I358&lt;=$E$5,"B","C"))</f>
        <v>B</v>
      </c>
    </row>
    <row r="359" customFormat="false" ht="15" hidden="false" customHeight="false" outlineLevel="0" collapsed="false">
      <c r="A359" s="32" t="n">
        <v>352</v>
      </c>
      <c r="B359" s="33" t="n">
        <v>1469148</v>
      </c>
      <c r="C359" s="34" t="s">
        <v>780</v>
      </c>
      <c r="D359" s="34" t="s">
        <v>781</v>
      </c>
      <c r="E359" s="34" t="s">
        <v>47</v>
      </c>
      <c r="F359" s="32" t="n">
        <f aca="false">COUNTIF(Base!$D$2:$D$2878,B359)</f>
        <v>1</v>
      </c>
      <c r="G359" s="35" t="n">
        <f aca="false">SUMIF(Base!$D$2:$D$2878,B359,Base!$I$2:$I$2878)</f>
        <v>6237</v>
      </c>
      <c r="H359" s="36" t="n">
        <f aca="false">IF($G$2849=0,0,G359/$G$2849)</f>
        <v>0.000409285825588875</v>
      </c>
      <c r="I359" s="37" t="n">
        <f aca="false">I358+H359</f>
        <v>0.848008699396326</v>
      </c>
      <c r="J359" s="37" t="n">
        <f aca="false">A359/2840</f>
        <v>0.123943661971831</v>
      </c>
      <c r="K359" s="32" t="str">
        <f aca="false">IF(I359&lt;=$E$4,"A",IF(I359&lt;=$E$5,"B","C"))</f>
        <v>B</v>
      </c>
    </row>
    <row r="360" customFormat="false" ht="15" hidden="false" customHeight="false" outlineLevel="0" collapsed="false">
      <c r="A360" s="32" t="n">
        <v>353</v>
      </c>
      <c r="B360" s="33" t="n">
        <v>1384217</v>
      </c>
      <c r="C360" s="34" t="s">
        <v>782</v>
      </c>
      <c r="D360" s="34" t="s">
        <v>783</v>
      </c>
      <c r="E360" s="34" t="s">
        <v>38</v>
      </c>
      <c r="F360" s="32" t="n">
        <f aca="false">COUNTIF(Base!$D$2:$D$2878,B360)</f>
        <v>1</v>
      </c>
      <c r="G360" s="35" t="n">
        <f aca="false">SUMIF(Base!$D$2:$D$2878,B360,Base!$I$2:$I$2878)</f>
        <v>6200</v>
      </c>
      <c r="H360" s="36" t="n">
        <f aca="false">IF($G$2849=0,0,G360/$G$2849)</f>
        <v>0.000406857803214851</v>
      </c>
      <c r="I360" s="37" t="n">
        <f aca="false">I359+H360</f>
        <v>0.848415557199541</v>
      </c>
      <c r="J360" s="37" t="n">
        <f aca="false">A360/2840</f>
        <v>0.124295774647887</v>
      </c>
      <c r="K360" s="32" t="str">
        <f aca="false">IF(I360&lt;=$E$4,"A",IF(I360&lt;=$E$5,"B","C"))</f>
        <v>B</v>
      </c>
    </row>
    <row r="361" customFormat="false" ht="15" hidden="false" customHeight="false" outlineLevel="0" collapsed="false">
      <c r="A361" s="32" t="n">
        <v>354</v>
      </c>
      <c r="B361" s="33" t="n">
        <v>49601</v>
      </c>
      <c r="C361" s="34" t="s">
        <v>784</v>
      </c>
      <c r="D361" s="34" t="s">
        <v>785</v>
      </c>
      <c r="E361" s="34" t="s">
        <v>457</v>
      </c>
      <c r="F361" s="32" t="n">
        <f aca="false">COUNTIF(Base!$D$2:$D$2878,B361)</f>
        <v>1</v>
      </c>
      <c r="G361" s="35" t="n">
        <f aca="false">SUMIF(Base!$D$2:$D$2878,B361,Base!$I$2:$I$2878)</f>
        <v>6187.6</v>
      </c>
      <c r="H361" s="36" t="n">
        <f aca="false">IF($G$2849=0,0,G361/$G$2849)</f>
        <v>0.000406044087608422</v>
      </c>
      <c r="I361" s="37" t="n">
        <f aca="false">I360+H361</f>
        <v>0.84882160128715</v>
      </c>
      <c r="J361" s="37" t="n">
        <f aca="false">A361/2840</f>
        <v>0.124647887323944</v>
      </c>
      <c r="K361" s="32" t="str">
        <f aca="false">IF(I361&lt;=$E$4,"A",IF(I361&lt;=$E$5,"B","C"))</f>
        <v>B</v>
      </c>
    </row>
    <row r="362" customFormat="false" ht="15" hidden="false" customHeight="false" outlineLevel="0" collapsed="false">
      <c r="A362" s="32" t="n">
        <v>355</v>
      </c>
      <c r="B362" s="33" t="n">
        <v>1101342</v>
      </c>
      <c r="C362" s="34" t="s">
        <v>786</v>
      </c>
      <c r="D362" s="34" t="s">
        <v>787</v>
      </c>
      <c r="E362" s="34" t="s">
        <v>788</v>
      </c>
      <c r="F362" s="32" t="n">
        <f aca="false">COUNTIF(Base!$D$2:$D$2878,B362)</f>
        <v>1</v>
      </c>
      <c r="G362" s="35" t="n">
        <f aca="false">SUMIF(Base!$D$2:$D$2878,B362,Base!$I$2:$I$2878)</f>
        <v>6181.2</v>
      </c>
      <c r="H362" s="36" t="n">
        <f aca="false">IF($G$2849=0,0,G362/$G$2849)</f>
        <v>0.000405624105359942</v>
      </c>
      <c r="I362" s="37" t="n">
        <f aca="false">I361+H362</f>
        <v>0.84922722539251</v>
      </c>
      <c r="J362" s="37" t="n">
        <f aca="false">A362/2840</f>
        <v>0.125</v>
      </c>
      <c r="K362" s="32" t="str">
        <f aca="false">IF(I362&lt;=$E$4,"A",IF(I362&lt;=$E$5,"B","C"))</f>
        <v>B</v>
      </c>
    </row>
    <row r="363" customFormat="false" ht="15" hidden="false" customHeight="false" outlineLevel="0" collapsed="false">
      <c r="A363" s="32" t="n">
        <v>356</v>
      </c>
      <c r="B363" s="33" t="n">
        <v>1471634</v>
      </c>
      <c r="C363" s="34" t="s">
        <v>789</v>
      </c>
      <c r="D363" s="34" t="s">
        <v>790</v>
      </c>
      <c r="E363" s="34" t="s">
        <v>35</v>
      </c>
      <c r="F363" s="32" t="n">
        <f aca="false">COUNTIF(Base!$D$2:$D$2878,B363)</f>
        <v>1</v>
      </c>
      <c r="G363" s="35" t="n">
        <f aca="false">SUMIF(Base!$D$2:$D$2878,B363,Base!$I$2:$I$2878)</f>
        <v>6115.95</v>
      </c>
      <c r="H363" s="36" t="n">
        <f aca="false">IF($G$2849=0,0,G363/$G$2849)</f>
        <v>0.000401342255092237</v>
      </c>
      <c r="I363" s="37" t="n">
        <f aca="false">I362+H363</f>
        <v>0.849628567647602</v>
      </c>
      <c r="J363" s="37" t="n">
        <f aca="false">A363/2840</f>
        <v>0.125352112676056</v>
      </c>
      <c r="K363" s="32" t="str">
        <f aca="false">IF(I363&lt;=$E$4,"A",IF(I363&lt;=$E$5,"B","C"))</f>
        <v>B</v>
      </c>
    </row>
    <row r="364" customFormat="false" ht="15" hidden="false" customHeight="false" outlineLevel="0" collapsed="false">
      <c r="A364" s="32" t="n">
        <v>357</v>
      </c>
      <c r="B364" s="33" t="n">
        <v>1261245</v>
      </c>
      <c r="C364" s="34" t="s">
        <v>791</v>
      </c>
      <c r="D364" s="34" t="s">
        <v>792</v>
      </c>
      <c r="E364" s="34" t="s">
        <v>54</v>
      </c>
      <c r="F364" s="32" t="n">
        <f aca="false">COUNTIF(Base!$D$2:$D$2878,B364)</f>
        <v>1</v>
      </c>
      <c r="G364" s="35" t="n">
        <f aca="false">SUMIF(Base!$D$2:$D$2878,B364,Base!$I$2:$I$2878)</f>
        <v>6094.55</v>
      </c>
      <c r="H364" s="36" t="n">
        <f aca="false">IF($G$2849=0,0,G364/$G$2849)</f>
        <v>0.000399937939448883</v>
      </c>
      <c r="I364" s="37" t="n">
        <f aca="false">I363+H364</f>
        <v>0.850028505587051</v>
      </c>
      <c r="J364" s="37" t="n">
        <f aca="false">A364/2840</f>
        <v>0.125704225352113</v>
      </c>
      <c r="K364" s="32" t="str">
        <f aca="false">IF(I364&lt;=$E$4,"A",IF(I364&lt;=$E$5,"B","C"))</f>
        <v>B</v>
      </c>
    </row>
    <row r="365" customFormat="false" ht="15" hidden="false" customHeight="false" outlineLevel="0" collapsed="false">
      <c r="A365" s="32" t="n">
        <v>358</v>
      </c>
      <c r="B365" s="33" t="n">
        <v>11034</v>
      </c>
      <c r="C365" s="34" t="s">
        <v>793</v>
      </c>
      <c r="D365" s="34" t="s">
        <v>794</v>
      </c>
      <c r="E365" s="34" t="s">
        <v>355</v>
      </c>
      <c r="F365" s="32" t="n">
        <f aca="false">COUNTIF(Base!$D$2:$D$2878,B365)</f>
        <v>1</v>
      </c>
      <c r="G365" s="35" t="n">
        <f aca="false">SUMIF(Base!$D$2:$D$2878,B365,Base!$I$2:$I$2878)</f>
        <v>5994</v>
      </c>
      <c r="H365" s="36" t="n">
        <f aca="false">IF($G$2849=0,0,G365/$G$2849)</f>
        <v>0.000393339624591906</v>
      </c>
      <c r="I365" s="37" t="n">
        <f aca="false">I364+H365</f>
        <v>0.850421845211643</v>
      </c>
      <c r="J365" s="37" t="n">
        <f aca="false">A365/2840</f>
        <v>0.126056338028169</v>
      </c>
      <c r="K365" s="32" t="str">
        <f aca="false">IF(I365&lt;=$E$4,"A",IF(I365&lt;=$E$5,"B","C"))</f>
        <v>B</v>
      </c>
    </row>
    <row r="366" customFormat="false" ht="15" hidden="false" customHeight="false" outlineLevel="0" collapsed="false">
      <c r="A366" s="32" t="n">
        <v>359</v>
      </c>
      <c r="B366" s="33" t="n">
        <v>1614919</v>
      </c>
      <c r="C366" s="34" t="s">
        <v>795</v>
      </c>
      <c r="D366" s="34" t="s">
        <v>796</v>
      </c>
      <c r="E366" s="34" t="s">
        <v>38</v>
      </c>
      <c r="F366" s="32" t="n">
        <f aca="false">COUNTIF(Base!$D$2:$D$2878,B366)</f>
        <v>1</v>
      </c>
      <c r="G366" s="35" t="n">
        <f aca="false">SUMIF(Base!$D$2:$D$2878,B366,Base!$I$2:$I$2878)</f>
        <v>5978</v>
      </c>
      <c r="H366" s="36" t="n">
        <f aca="false">IF($G$2849=0,0,G366/$G$2849)</f>
        <v>0.000392289668970707</v>
      </c>
      <c r="I366" s="37" t="n">
        <f aca="false">I365+H366</f>
        <v>0.850814134880613</v>
      </c>
      <c r="J366" s="37" t="n">
        <f aca="false">A366/2840</f>
        <v>0.126408450704225</v>
      </c>
      <c r="K366" s="32" t="str">
        <f aca="false">IF(I366&lt;=$E$4,"A",IF(I366&lt;=$E$5,"B","C"))</f>
        <v>B</v>
      </c>
    </row>
    <row r="367" customFormat="false" ht="15" hidden="false" customHeight="false" outlineLevel="0" collapsed="false">
      <c r="A367" s="32" t="n">
        <v>360</v>
      </c>
      <c r="B367" s="33" t="n">
        <v>58870</v>
      </c>
      <c r="C367" s="34" t="s">
        <v>797</v>
      </c>
      <c r="D367" s="34" t="s">
        <v>798</v>
      </c>
      <c r="E367" s="34" t="s">
        <v>130</v>
      </c>
      <c r="F367" s="32" t="n">
        <f aca="false">COUNTIF(Base!$D$2:$D$2878,B367)</f>
        <v>1</v>
      </c>
      <c r="G367" s="35" t="n">
        <f aca="false">SUMIF(Base!$D$2:$D$2878,B367,Base!$I$2:$I$2878)</f>
        <v>5960</v>
      </c>
      <c r="H367" s="36" t="n">
        <f aca="false">IF($G$2849=0,0,G367/$G$2849)</f>
        <v>0.000391108468896857</v>
      </c>
      <c r="I367" s="37" t="n">
        <f aca="false">I366+H367</f>
        <v>0.85120524334951</v>
      </c>
      <c r="J367" s="37" t="n">
        <f aca="false">A367/2840</f>
        <v>0.126760563380282</v>
      </c>
      <c r="K367" s="32" t="str">
        <f aca="false">IF(I367&lt;=$E$4,"A",IF(I367&lt;=$E$5,"B","C"))</f>
        <v>B</v>
      </c>
    </row>
    <row r="368" customFormat="false" ht="15" hidden="false" customHeight="false" outlineLevel="0" collapsed="false">
      <c r="A368" s="32" t="n">
        <v>361</v>
      </c>
      <c r="B368" s="33" t="n">
        <v>12610</v>
      </c>
      <c r="C368" s="34" t="s">
        <v>799</v>
      </c>
      <c r="D368" s="34" t="s">
        <v>800</v>
      </c>
      <c r="E368" s="34" t="s">
        <v>38</v>
      </c>
      <c r="F368" s="32" t="n">
        <f aca="false">COUNTIF(Base!$D$2:$D$2878,B368)</f>
        <v>1</v>
      </c>
      <c r="G368" s="35" t="n">
        <f aca="false">SUMIF(Base!$D$2:$D$2878,B368,Base!$I$2:$I$2878)</f>
        <v>5959.38</v>
      </c>
      <c r="H368" s="36" t="n">
        <f aca="false">IF($G$2849=0,0,G368/$G$2849)</f>
        <v>0.000391067783116536</v>
      </c>
      <c r="I368" s="37" t="n">
        <f aca="false">I367+H368</f>
        <v>0.851596311132627</v>
      </c>
      <c r="J368" s="37" t="n">
        <f aca="false">A368/2840</f>
        <v>0.127112676056338</v>
      </c>
      <c r="K368" s="32" t="str">
        <f aca="false">IF(I368&lt;=$E$4,"A",IF(I368&lt;=$E$5,"B","C"))</f>
        <v>B</v>
      </c>
    </row>
    <row r="369" customFormat="false" ht="15" hidden="false" customHeight="false" outlineLevel="0" collapsed="false">
      <c r="A369" s="32" t="n">
        <v>362</v>
      </c>
      <c r="B369" s="33" t="n">
        <v>1672548</v>
      </c>
      <c r="C369" s="34" t="s">
        <v>801</v>
      </c>
      <c r="D369" s="34" t="s">
        <v>802</v>
      </c>
      <c r="E369" s="34" t="s">
        <v>66</v>
      </c>
      <c r="F369" s="32" t="n">
        <f aca="false">COUNTIF(Base!$D$2:$D$2878,B369)</f>
        <v>1</v>
      </c>
      <c r="G369" s="35" t="n">
        <f aca="false">SUMIF(Base!$D$2:$D$2878,B369,Base!$I$2:$I$2878)</f>
        <v>5947.38</v>
      </c>
      <c r="H369" s="36" t="n">
        <f aca="false">IF($G$2849=0,0,G369/$G$2849)</f>
        <v>0.000390280316400636</v>
      </c>
      <c r="I369" s="37" t="n">
        <f aca="false">I368+H369</f>
        <v>0.851986591449027</v>
      </c>
      <c r="J369" s="37" t="n">
        <f aca="false">A369/2840</f>
        <v>0.127464788732394</v>
      </c>
      <c r="K369" s="32" t="str">
        <f aca="false">IF(I369&lt;=$E$4,"A",IF(I369&lt;=$E$5,"B","C"))</f>
        <v>B</v>
      </c>
    </row>
    <row r="370" customFormat="false" ht="15" hidden="false" customHeight="false" outlineLevel="0" collapsed="false">
      <c r="A370" s="32" t="n">
        <v>363</v>
      </c>
      <c r="B370" s="33" t="n">
        <v>843588</v>
      </c>
      <c r="C370" s="34" t="s">
        <v>803</v>
      </c>
      <c r="D370" s="34" t="s">
        <v>804</v>
      </c>
      <c r="E370" s="34" t="s">
        <v>195</v>
      </c>
      <c r="F370" s="32" t="n">
        <f aca="false">COUNTIF(Base!$D$2:$D$2878,B370)</f>
        <v>1</v>
      </c>
      <c r="G370" s="35" t="n">
        <f aca="false">SUMIF(Base!$D$2:$D$2878,B370,Base!$I$2:$I$2878)</f>
        <v>5940</v>
      </c>
      <c r="H370" s="36" t="n">
        <f aca="false">IF($G$2849=0,0,G370/$G$2849)</f>
        <v>0.000389796024370358</v>
      </c>
      <c r="I370" s="37" t="n">
        <f aca="false">I369+H370</f>
        <v>0.852376387473398</v>
      </c>
      <c r="J370" s="37" t="n">
        <f aca="false">A370/2840</f>
        <v>0.127816901408451</v>
      </c>
      <c r="K370" s="32" t="str">
        <f aca="false">IF(I370&lt;=$E$4,"A",IF(I370&lt;=$E$5,"B","C"))</f>
        <v>B</v>
      </c>
    </row>
    <row r="371" customFormat="false" ht="15" hidden="false" customHeight="false" outlineLevel="0" collapsed="false">
      <c r="A371" s="32" t="n">
        <v>364</v>
      </c>
      <c r="B371" s="33" t="n">
        <v>735630</v>
      </c>
      <c r="C371" s="34" t="s">
        <v>805</v>
      </c>
      <c r="D371" s="34" t="s">
        <v>806</v>
      </c>
      <c r="E371" s="34" t="s">
        <v>113</v>
      </c>
      <c r="F371" s="32" t="n">
        <f aca="false">COUNTIF(Base!$D$2:$D$2878,B371)</f>
        <v>1</v>
      </c>
      <c r="G371" s="35" t="n">
        <f aca="false">SUMIF(Base!$D$2:$D$2878,B371,Base!$I$2:$I$2878)</f>
        <v>5906.2</v>
      </c>
      <c r="H371" s="36" t="n">
        <f aca="false">IF($G$2849=0,0,G371/$G$2849)</f>
        <v>0.000387577993120573</v>
      </c>
      <c r="I371" s="37" t="n">
        <f aca="false">I370+H371</f>
        <v>0.852763965466518</v>
      </c>
      <c r="J371" s="37" t="n">
        <f aca="false">A371/2840</f>
        <v>0.128169014084507</v>
      </c>
      <c r="K371" s="32" t="str">
        <f aca="false">IF(I371&lt;=$E$4,"A",IF(I371&lt;=$E$5,"B","C"))</f>
        <v>B</v>
      </c>
    </row>
    <row r="372" customFormat="false" ht="15" hidden="false" customHeight="false" outlineLevel="0" collapsed="false">
      <c r="A372" s="32" t="n">
        <v>365</v>
      </c>
      <c r="B372" s="33" t="n">
        <v>1384385</v>
      </c>
      <c r="C372" s="34" t="s">
        <v>807</v>
      </c>
      <c r="D372" s="34" t="s">
        <v>808</v>
      </c>
      <c r="E372" s="34" t="s">
        <v>38</v>
      </c>
      <c r="F372" s="32" t="n">
        <f aca="false">COUNTIF(Base!$D$2:$D$2878,B372)</f>
        <v>1</v>
      </c>
      <c r="G372" s="35" t="n">
        <f aca="false">SUMIF(Base!$D$2:$D$2878,B372,Base!$I$2:$I$2878)</f>
        <v>5900.0425</v>
      </c>
      <c r="H372" s="36" t="n">
        <f aca="false">IF($G$2849=0,0,G372/$G$2849)</f>
        <v>0.000387173924261977</v>
      </c>
      <c r="I372" s="37" t="n">
        <f aca="false">I371+H372</f>
        <v>0.85315113939078</v>
      </c>
      <c r="J372" s="37" t="n">
        <f aca="false">A372/2840</f>
        <v>0.128521126760563</v>
      </c>
      <c r="K372" s="32" t="str">
        <f aca="false">IF(I372&lt;=$E$4,"A",IF(I372&lt;=$E$5,"B","C"))</f>
        <v>B</v>
      </c>
    </row>
    <row r="373" customFormat="false" ht="15" hidden="false" customHeight="false" outlineLevel="0" collapsed="false">
      <c r="A373" s="32" t="n">
        <v>366</v>
      </c>
      <c r="B373" s="33" t="n">
        <v>18855</v>
      </c>
      <c r="C373" s="34" t="s">
        <v>809</v>
      </c>
      <c r="D373" s="34" t="s">
        <v>810</v>
      </c>
      <c r="E373" s="34" t="s">
        <v>247</v>
      </c>
      <c r="F373" s="32" t="n">
        <f aca="false">COUNTIF(Base!$D$2:$D$2878,B373)</f>
        <v>1</v>
      </c>
      <c r="G373" s="35" t="n">
        <f aca="false">SUMIF(Base!$D$2:$D$2878,B373,Base!$I$2:$I$2878)</f>
        <v>5900.0268</v>
      </c>
      <c r="H373" s="36" t="n">
        <f aca="false">IF($G$2849=0,0,G373/$G$2849)</f>
        <v>0.000387172893993024</v>
      </c>
      <c r="I373" s="37" t="n">
        <f aca="false">I372+H373</f>
        <v>0.853538312284773</v>
      </c>
      <c r="J373" s="37" t="n">
        <f aca="false">A373/2840</f>
        <v>0.12887323943662</v>
      </c>
      <c r="K373" s="32" t="str">
        <f aca="false">IF(I373&lt;=$E$4,"A",IF(I373&lt;=$E$5,"B","C"))</f>
        <v>B</v>
      </c>
    </row>
    <row r="374" customFormat="false" ht="15" hidden="false" customHeight="false" outlineLevel="0" collapsed="false">
      <c r="A374" s="32" t="n">
        <v>367</v>
      </c>
      <c r="B374" s="33" t="n">
        <v>389626</v>
      </c>
      <c r="C374" s="34" t="s">
        <v>811</v>
      </c>
      <c r="D374" s="34" t="s">
        <v>812</v>
      </c>
      <c r="E374" s="34" t="s">
        <v>334</v>
      </c>
      <c r="F374" s="32" t="n">
        <f aca="false">COUNTIF(Base!$D$2:$D$2878,B374)</f>
        <v>1</v>
      </c>
      <c r="G374" s="35" t="n">
        <f aca="false">SUMIF(Base!$D$2:$D$2878,B374,Base!$I$2:$I$2878)</f>
        <v>5880</v>
      </c>
      <c r="H374" s="36" t="n">
        <f aca="false">IF($G$2849=0,0,G374/$G$2849)</f>
        <v>0.000385858690790859</v>
      </c>
      <c r="I374" s="37" t="n">
        <f aca="false">I373+H374</f>
        <v>0.853924170975564</v>
      </c>
      <c r="J374" s="37" t="n">
        <f aca="false">A374/2840</f>
        <v>0.129225352112676</v>
      </c>
      <c r="K374" s="32" t="str">
        <f aca="false">IF(I374&lt;=$E$4,"A",IF(I374&lt;=$E$5,"B","C"))</f>
        <v>B</v>
      </c>
    </row>
    <row r="375" customFormat="false" ht="15" hidden="false" customHeight="false" outlineLevel="0" collapsed="false">
      <c r="A375" s="32" t="n">
        <v>368</v>
      </c>
      <c r="B375" s="33" t="n">
        <v>1604396</v>
      </c>
      <c r="C375" s="34" t="s">
        <v>813</v>
      </c>
      <c r="D375" s="34" t="s">
        <v>814</v>
      </c>
      <c r="E375" s="34" t="s">
        <v>38</v>
      </c>
      <c r="F375" s="32" t="n">
        <f aca="false">COUNTIF(Base!$D$2:$D$2878,B375)</f>
        <v>1</v>
      </c>
      <c r="G375" s="35" t="n">
        <f aca="false">SUMIF(Base!$D$2:$D$2878,B375,Base!$I$2:$I$2878)</f>
        <v>5865.76</v>
      </c>
      <c r="H375" s="36" t="n">
        <f aca="false">IF($G$2849=0,0,G375/$G$2849)</f>
        <v>0.000384924230287991</v>
      </c>
      <c r="I375" s="37" t="n">
        <f aca="false">I374+H375</f>
        <v>0.854309095205852</v>
      </c>
      <c r="J375" s="37" t="n">
        <f aca="false">A375/2840</f>
        <v>0.129577464788732</v>
      </c>
      <c r="K375" s="32" t="str">
        <f aca="false">IF(I375&lt;=$E$4,"A",IF(I375&lt;=$E$5,"B","C"))</f>
        <v>B</v>
      </c>
    </row>
    <row r="376" customFormat="false" ht="15" hidden="false" customHeight="false" outlineLevel="0" collapsed="false">
      <c r="A376" s="32" t="n">
        <v>369</v>
      </c>
      <c r="B376" s="33" t="n">
        <v>12601</v>
      </c>
      <c r="C376" s="34" t="s">
        <v>815</v>
      </c>
      <c r="D376" s="34" t="s">
        <v>816</v>
      </c>
      <c r="E376" s="34" t="s">
        <v>38</v>
      </c>
      <c r="F376" s="32" t="n">
        <f aca="false">COUNTIF(Base!$D$2:$D$2878,B376)</f>
        <v>1</v>
      </c>
      <c r="G376" s="35" t="n">
        <f aca="false">SUMIF(Base!$D$2:$D$2878,B376,Base!$I$2:$I$2878)</f>
        <v>5837.95</v>
      </c>
      <c r="H376" s="36" t="n">
        <f aca="false">IF($G$2849=0,0,G376/$G$2849)</f>
        <v>0.000383099276173894</v>
      </c>
      <c r="I376" s="37" t="n">
        <f aca="false">I375+H376</f>
        <v>0.854692194482026</v>
      </c>
      <c r="J376" s="37" t="n">
        <f aca="false">A376/2840</f>
        <v>0.129929577464789</v>
      </c>
      <c r="K376" s="32" t="str">
        <f aca="false">IF(I376&lt;=$E$4,"A",IF(I376&lt;=$E$5,"B","C"))</f>
        <v>B</v>
      </c>
    </row>
    <row r="377" customFormat="false" ht="15" hidden="false" customHeight="false" outlineLevel="0" collapsed="false">
      <c r="A377" s="32" t="n">
        <v>370</v>
      </c>
      <c r="B377" s="33" t="n">
        <v>1310580</v>
      </c>
      <c r="C377" s="34" t="s">
        <v>817</v>
      </c>
      <c r="D377" s="34" t="s">
        <v>818</v>
      </c>
      <c r="E377" s="34" t="s">
        <v>480</v>
      </c>
      <c r="F377" s="32" t="n">
        <f aca="false">COUNTIF(Base!$D$2:$D$2878,B377)</f>
        <v>1</v>
      </c>
      <c r="G377" s="35" t="n">
        <f aca="false">SUMIF(Base!$D$2:$D$2878,B377,Base!$I$2:$I$2878)</f>
        <v>5832.72</v>
      </c>
      <c r="H377" s="36" t="n">
        <f aca="false">IF($G$2849=0,0,G377/$G$2849)</f>
        <v>0.000382756071930214</v>
      </c>
      <c r="I377" s="37" t="n">
        <f aca="false">I376+H377</f>
        <v>0.855074950553956</v>
      </c>
      <c r="J377" s="37" t="n">
        <f aca="false">A377/2840</f>
        <v>0.130281690140845</v>
      </c>
      <c r="K377" s="32" t="str">
        <f aca="false">IF(I377&lt;=$E$4,"A",IF(I377&lt;=$E$5,"B","C"))</f>
        <v>B</v>
      </c>
    </row>
    <row r="378" customFormat="false" ht="15" hidden="false" customHeight="false" outlineLevel="0" collapsed="false">
      <c r="A378" s="32" t="n">
        <v>371</v>
      </c>
      <c r="B378" s="33" t="n">
        <v>1662409</v>
      </c>
      <c r="C378" s="34" t="s">
        <v>819</v>
      </c>
      <c r="D378" s="34" t="s">
        <v>820</v>
      </c>
      <c r="E378" s="34" t="s">
        <v>133</v>
      </c>
      <c r="F378" s="32" t="n">
        <f aca="false">COUNTIF(Base!$D$2:$D$2878,B378)</f>
        <v>1</v>
      </c>
      <c r="G378" s="35" t="n">
        <f aca="false">SUMIF(Base!$D$2:$D$2878,B378,Base!$I$2:$I$2878)</f>
        <v>5814</v>
      </c>
      <c r="H378" s="36" t="n">
        <f aca="false">IF($G$2849=0,0,G378/$G$2849)</f>
        <v>0.000381527623853411</v>
      </c>
      <c r="I378" s="37" t="n">
        <f aca="false">I377+H378</f>
        <v>0.85545647817781</v>
      </c>
      <c r="J378" s="37" t="n">
        <f aca="false">A378/2840</f>
        <v>0.130633802816901</v>
      </c>
      <c r="K378" s="32" t="str">
        <f aca="false">IF(I378&lt;=$E$4,"A",IF(I378&lt;=$E$5,"B","C"))</f>
        <v>B</v>
      </c>
    </row>
    <row r="379" customFormat="false" ht="15" hidden="false" customHeight="false" outlineLevel="0" collapsed="false">
      <c r="A379" s="32" t="n">
        <v>372</v>
      </c>
      <c r="B379" s="33" t="n">
        <v>1384481</v>
      </c>
      <c r="C379" s="34" t="s">
        <v>821</v>
      </c>
      <c r="D379" s="34" t="s">
        <v>822</v>
      </c>
      <c r="E379" s="34" t="s">
        <v>38</v>
      </c>
      <c r="F379" s="32" t="n">
        <f aca="false">COUNTIF(Base!$D$2:$D$2878,B379)</f>
        <v>1</v>
      </c>
      <c r="G379" s="35" t="n">
        <f aca="false">SUMIF(Base!$D$2:$D$2878,B379,Base!$I$2:$I$2878)</f>
        <v>5812.14</v>
      </c>
      <c r="H379" s="36" t="n">
        <f aca="false">IF($G$2849=0,0,G379/$G$2849)</f>
        <v>0.000381405566512446</v>
      </c>
      <c r="I379" s="37" t="n">
        <f aca="false">I378+H379</f>
        <v>0.855837883744322</v>
      </c>
      <c r="J379" s="37" t="n">
        <f aca="false">A379/2840</f>
        <v>0.130985915492958</v>
      </c>
      <c r="K379" s="32" t="str">
        <f aca="false">IF(I379&lt;=$E$4,"A",IF(I379&lt;=$E$5,"B","C"))</f>
        <v>B</v>
      </c>
    </row>
    <row r="380" customFormat="false" ht="15" hidden="false" customHeight="false" outlineLevel="0" collapsed="false">
      <c r="A380" s="32" t="n">
        <v>373</v>
      </c>
      <c r="B380" s="33" t="n">
        <v>862388</v>
      </c>
      <c r="C380" s="34" t="s">
        <v>823</v>
      </c>
      <c r="D380" s="34" t="s">
        <v>824</v>
      </c>
      <c r="E380" s="34" t="s">
        <v>38</v>
      </c>
      <c r="F380" s="32" t="n">
        <f aca="false">COUNTIF(Base!$D$2:$D$2878,B380)</f>
        <v>1</v>
      </c>
      <c r="G380" s="35" t="n">
        <f aca="false">SUMIF(Base!$D$2:$D$2878,B380,Base!$I$2:$I$2878)</f>
        <v>5792</v>
      </c>
      <c r="H380" s="36" t="n">
        <f aca="false">IF($G$2849=0,0,G380/$G$2849)</f>
        <v>0.000380083934874261</v>
      </c>
      <c r="I380" s="37" t="n">
        <f aca="false">I379+H380</f>
        <v>0.856217967679196</v>
      </c>
      <c r="J380" s="37" t="n">
        <f aca="false">A380/2840</f>
        <v>0.131338028169014</v>
      </c>
      <c r="K380" s="32" t="str">
        <f aca="false">IF(I380&lt;=$E$4,"A",IF(I380&lt;=$E$5,"B","C"))</f>
        <v>B</v>
      </c>
    </row>
    <row r="381" customFormat="false" ht="15" hidden="false" customHeight="false" outlineLevel="0" collapsed="false">
      <c r="A381" s="32" t="n">
        <v>374</v>
      </c>
      <c r="B381" s="33" t="n">
        <v>281187</v>
      </c>
      <c r="C381" s="34" t="s">
        <v>825</v>
      </c>
      <c r="D381" s="34" t="s">
        <v>826</v>
      </c>
      <c r="E381" s="34" t="s">
        <v>170</v>
      </c>
      <c r="F381" s="32" t="n">
        <f aca="false">COUNTIF(Base!$D$2:$D$2878,B381)</f>
        <v>1</v>
      </c>
      <c r="G381" s="35" t="n">
        <f aca="false">SUMIF(Base!$D$2:$D$2878,B381,Base!$I$2:$I$2878)</f>
        <v>5790</v>
      </c>
      <c r="H381" s="36" t="n">
        <f aca="false">IF($G$2849=0,0,G381/$G$2849)</f>
        <v>0.000379952690421611</v>
      </c>
      <c r="I381" s="37" t="n">
        <f aca="false">I380+H381</f>
        <v>0.856597920369618</v>
      </c>
      <c r="J381" s="37" t="n">
        <f aca="false">A381/2840</f>
        <v>0.13169014084507</v>
      </c>
      <c r="K381" s="32" t="str">
        <f aca="false">IF(I381&lt;=$E$4,"A",IF(I381&lt;=$E$5,"B","C"))</f>
        <v>B</v>
      </c>
    </row>
    <row r="382" customFormat="false" ht="15" hidden="false" customHeight="false" outlineLevel="0" collapsed="false">
      <c r="A382" s="32" t="n">
        <v>375</v>
      </c>
      <c r="B382" s="33" t="n">
        <v>35350</v>
      </c>
      <c r="C382" s="34" t="s">
        <v>827</v>
      </c>
      <c r="D382" s="34" t="s">
        <v>828</v>
      </c>
      <c r="E382" s="34" t="s">
        <v>75</v>
      </c>
      <c r="F382" s="32" t="n">
        <f aca="false">COUNTIF(Base!$D$2:$D$2878,B382)</f>
        <v>1</v>
      </c>
      <c r="G382" s="35" t="n">
        <f aca="false">SUMIF(Base!$D$2:$D$2878,B382,Base!$I$2:$I$2878)</f>
        <v>5778</v>
      </c>
      <c r="H382" s="36" t="n">
        <f aca="false">IF($G$2849=0,0,G382/$G$2849)</f>
        <v>0.000379165223705711</v>
      </c>
      <c r="I382" s="37" t="n">
        <f aca="false">I381+H382</f>
        <v>0.856977085593324</v>
      </c>
      <c r="J382" s="37" t="n">
        <f aca="false">A382/2840</f>
        <v>0.132042253521127</v>
      </c>
      <c r="K382" s="32" t="str">
        <f aca="false">IF(I382&lt;=$E$4,"A",IF(I382&lt;=$E$5,"B","C"))</f>
        <v>B</v>
      </c>
    </row>
    <row r="383" customFormat="false" ht="15" hidden="false" customHeight="false" outlineLevel="0" collapsed="false">
      <c r="A383" s="32" t="n">
        <v>376</v>
      </c>
      <c r="B383" s="33" t="n">
        <v>840038</v>
      </c>
      <c r="C383" s="34" t="s">
        <v>829</v>
      </c>
      <c r="D383" s="34" t="s">
        <v>830</v>
      </c>
      <c r="E383" s="34" t="s">
        <v>54</v>
      </c>
      <c r="F383" s="32" t="n">
        <f aca="false">COUNTIF(Base!$D$2:$D$2878,B383)</f>
        <v>1</v>
      </c>
      <c r="G383" s="35" t="n">
        <f aca="false">SUMIF(Base!$D$2:$D$2878,B383,Base!$I$2:$I$2878)</f>
        <v>5735.6</v>
      </c>
      <c r="H383" s="36" t="n">
        <f aca="false">IF($G$2849=0,0,G383/$G$2849)</f>
        <v>0.000376382841309533</v>
      </c>
      <c r="I383" s="37" t="n">
        <f aca="false">I382+H383</f>
        <v>0.857353468434633</v>
      </c>
      <c r="J383" s="37" t="n">
        <f aca="false">A383/2840</f>
        <v>0.132394366197183</v>
      </c>
      <c r="K383" s="32" t="str">
        <f aca="false">IF(I383&lt;=$E$4,"A",IF(I383&lt;=$E$5,"B","C"))</f>
        <v>B</v>
      </c>
    </row>
    <row r="384" customFormat="false" ht="15" hidden="false" customHeight="false" outlineLevel="0" collapsed="false">
      <c r="A384" s="32" t="n">
        <v>377</v>
      </c>
      <c r="B384" s="33" t="n">
        <v>1485486</v>
      </c>
      <c r="C384" s="34" t="s">
        <v>831</v>
      </c>
      <c r="D384" s="34" t="s">
        <v>832</v>
      </c>
      <c r="E384" s="34" t="s">
        <v>38</v>
      </c>
      <c r="F384" s="32" t="n">
        <f aca="false">COUNTIF(Base!$D$2:$D$2878,B384)</f>
        <v>1</v>
      </c>
      <c r="G384" s="35" t="n">
        <f aca="false">SUMIF(Base!$D$2:$D$2878,B384,Base!$I$2:$I$2878)</f>
        <v>5725</v>
      </c>
      <c r="H384" s="36" t="n">
        <f aca="false">IF($G$2849=0,0,G384/$G$2849)</f>
        <v>0.000375687245710488</v>
      </c>
      <c r="I384" s="37" t="n">
        <f aca="false">I383+H384</f>
        <v>0.857729155680344</v>
      </c>
      <c r="J384" s="37" t="n">
        <f aca="false">A384/2840</f>
        <v>0.132746478873239</v>
      </c>
      <c r="K384" s="32" t="str">
        <f aca="false">IF(I384&lt;=$E$4,"A",IF(I384&lt;=$E$5,"B","C"))</f>
        <v>B</v>
      </c>
    </row>
    <row r="385" customFormat="false" ht="15" hidden="false" customHeight="false" outlineLevel="0" collapsed="false">
      <c r="A385" s="32" t="n">
        <v>378</v>
      </c>
      <c r="B385" s="33" t="n">
        <v>227054</v>
      </c>
      <c r="C385" s="34" t="s">
        <v>833</v>
      </c>
      <c r="D385" s="34" t="s">
        <v>834</v>
      </c>
      <c r="E385" s="34" t="s">
        <v>835</v>
      </c>
      <c r="F385" s="32" t="n">
        <f aca="false">COUNTIF(Base!$D$2:$D$2878,B385)</f>
        <v>1</v>
      </c>
      <c r="G385" s="35" t="n">
        <f aca="false">SUMIF(Base!$D$2:$D$2878,B385,Base!$I$2:$I$2878)</f>
        <v>5700</v>
      </c>
      <c r="H385" s="36" t="n">
        <f aca="false">IF($G$2849=0,0,G385/$G$2849)</f>
        <v>0.000374046690052363</v>
      </c>
      <c r="I385" s="37" t="n">
        <f aca="false">I384+H385</f>
        <v>0.858103202370396</v>
      </c>
      <c r="J385" s="37" t="n">
        <f aca="false">A385/2840</f>
        <v>0.133098591549296</v>
      </c>
      <c r="K385" s="32" t="str">
        <f aca="false">IF(I385&lt;=$E$4,"A",IF(I385&lt;=$E$5,"B","C"))</f>
        <v>B</v>
      </c>
    </row>
    <row r="386" customFormat="false" ht="15" hidden="false" customHeight="false" outlineLevel="0" collapsed="false">
      <c r="A386" s="32" t="n">
        <v>379</v>
      </c>
      <c r="B386" s="33" t="n">
        <v>1475418</v>
      </c>
      <c r="C386" s="34" t="s">
        <v>836</v>
      </c>
      <c r="D386" s="34" t="s">
        <v>837</v>
      </c>
      <c r="E386" s="34" t="s">
        <v>38</v>
      </c>
      <c r="F386" s="32" t="n">
        <f aca="false">COUNTIF(Base!$D$2:$D$2878,B386)</f>
        <v>1</v>
      </c>
      <c r="G386" s="35" t="n">
        <f aca="false">SUMIF(Base!$D$2:$D$2878,B386,Base!$I$2:$I$2878)</f>
        <v>5643</v>
      </c>
      <c r="H386" s="36" t="n">
        <f aca="false">IF($G$2849=0,0,G386/$G$2849)</f>
        <v>0.00037030622315184</v>
      </c>
      <c r="I386" s="37" t="n">
        <f aca="false">I385+H386</f>
        <v>0.858473508593548</v>
      </c>
      <c r="J386" s="37" t="n">
        <f aca="false">A386/2840</f>
        <v>0.133450704225352</v>
      </c>
      <c r="K386" s="32" t="str">
        <f aca="false">IF(I386&lt;=$E$4,"A",IF(I386&lt;=$E$5,"B","C"))</f>
        <v>B</v>
      </c>
    </row>
    <row r="387" customFormat="false" ht="15" hidden="false" customHeight="false" outlineLevel="0" collapsed="false">
      <c r="A387" s="32" t="n">
        <v>380</v>
      </c>
      <c r="B387" s="33" t="n">
        <v>222896</v>
      </c>
      <c r="C387" s="34" t="s">
        <v>838</v>
      </c>
      <c r="D387" s="34" t="s">
        <v>839</v>
      </c>
      <c r="E387" s="34" t="s">
        <v>75</v>
      </c>
      <c r="F387" s="32" t="n">
        <f aca="false">COUNTIF(Base!$D$2:$D$2878,B387)</f>
        <v>1</v>
      </c>
      <c r="G387" s="35" t="n">
        <f aca="false">SUMIF(Base!$D$2:$D$2878,B387,Base!$I$2:$I$2878)</f>
        <v>5640</v>
      </c>
      <c r="H387" s="36" t="n">
        <f aca="false">IF($G$2849=0,0,G387/$G$2849)</f>
        <v>0.000370109356472865</v>
      </c>
      <c r="I387" s="37" t="n">
        <f aca="false">I386+H387</f>
        <v>0.858843617950021</v>
      </c>
      <c r="J387" s="37" t="n">
        <f aca="false">A387/2840</f>
        <v>0.133802816901408</v>
      </c>
      <c r="K387" s="32" t="str">
        <f aca="false">IF(I387&lt;=$E$4,"A",IF(I387&lt;=$E$5,"B","C"))</f>
        <v>B</v>
      </c>
    </row>
    <row r="388" customFormat="false" ht="15" hidden="false" customHeight="false" outlineLevel="0" collapsed="false">
      <c r="A388" s="32" t="n">
        <v>381</v>
      </c>
      <c r="B388" s="33" t="n">
        <v>21897</v>
      </c>
      <c r="C388" s="34" t="s">
        <v>840</v>
      </c>
      <c r="D388" s="34" t="s">
        <v>841</v>
      </c>
      <c r="E388" s="34" t="s">
        <v>605</v>
      </c>
      <c r="F388" s="32" t="n">
        <f aca="false">COUNTIF(Base!$D$2:$D$2878,B388)</f>
        <v>1</v>
      </c>
      <c r="G388" s="35" t="n">
        <f aca="false">SUMIF(Base!$D$2:$D$2878,B388,Base!$I$2:$I$2878)</f>
        <v>5600</v>
      </c>
      <c r="H388" s="36" t="n">
        <f aca="false">IF($G$2849=0,0,G388/$G$2849)</f>
        <v>0.000367484467419866</v>
      </c>
      <c r="I388" s="37" t="n">
        <f aca="false">I387+H388</f>
        <v>0.859211102417441</v>
      </c>
      <c r="J388" s="37" t="n">
        <f aca="false">A388/2840</f>
        <v>0.134154929577465</v>
      </c>
      <c r="K388" s="32" t="str">
        <f aca="false">IF(I388&lt;=$E$4,"A",IF(I388&lt;=$E$5,"B","C"))</f>
        <v>B</v>
      </c>
    </row>
    <row r="389" customFormat="false" ht="15" hidden="false" customHeight="false" outlineLevel="0" collapsed="false">
      <c r="A389" s="32" t="n">
        <v>382</v>
      </c>
      <c r="B389" s="33" t="n">
        <v>831926</v>
      </c>
      <c r="C389" s="34" t="s">
        <v>842</v>
      </c>
      <c r="D389" s="34" t="s">
        <v>843</v>
      </c>
      <c r="E389" s="34" t="s">
        <v>247</v>
      </c>
      <c r="F389" s="32" t="n">
        <f aca="false">COUNTIF(Base!$D$2:$D$2878,B389)</f>
        <v>1</v>
      </c>
      <c r="G389" s="35" t="n">
        <f aca="false">SUMIF(Base!$D$2:$D$2878,B389,Base!$I$2:$I$2878)</f>
        <v>5573.8</v>
      </c>
      <c r="H389" s="36" t="n">
        <f aca="false">IF($G$2849=0,0,G389/$G$2849)</f>
        <v>0.000365765165090151</v>
      </c>
      <c r="I389" s="37" t="n">
        <f aca="false">I388+H389</f>
        <v>0.859576867582531</v>
      </c>
      <c r="J389" s="37" t="n">
        <f aca="false">A389/2840</f>
        <v>0.134507042253521</v>
      </c>
      <c r="K389" s="32" t="str">
        <f aca="false">IF(I389&lt;=$E$4,"A",IF(I389&lt;=$E$5,"B","C"))</f>
        <v>B</v>
      </c>
    </row>
    <row r="390" customFormat="false" ht="15" hidden="false" customHeight="false" outlineLevel="0" collapsed="false">
      <c r="A390" s="32" t="n">
        <v>383</v>
      </c>
      <c r="B390" s="33" t="n">
        <v>1382622</v>
      </c>
      <c r="C390" s="34" t="s">
        <v>844</v>
      </c>
      <c r="D390" s="34" t="s">
        <v>845</v>
      </c>
      <c r="E390" s="34" t="s">
        <v>38</v>
      </c>
      <c r="F390" s="32" t="n">
        <f aca="false">COUNTIF(Base!$D$2:$D$2878,B390)</f>
        <v>1</v>
      </c>
      <c r="G390" s="35" t="n">
        <f aca="false">SUMIF(Base!$D$2:$D$2878,B390,Base!$I$2:$I$2878)</f>
        <v>5571.8944</v>
      </c>
      <c r="H390" s="36" t="n">
        <f aca="false">IF($G$2849=0,0,G390/$G$2849)</f>
        <v>0.000365640115375666</v>
      </c>
      <c r="I390" s="37" t="n">
        <f aca="false">I389+H390</f>
        <v>0.859942507697907</v>
      </c>
      <c r="J390" s="37" t="n">
        <f aca="false">A390/2840</f>
        <v>0.134859154929577</v>
      </c>
      <c r="K390" s="32" t="str">
        <f aca="false">IF(I390&lt;=$E$4,"A",IF(I390&lt;=$E$5,"B","C"))</f>
        <v>B</v>
      </c>
    </row>
    <row r="391" customFormat="false" ht="15" hidden="false" customHeight="false" outlineLevel="0" collapsed="false">
      <c r="A391" s="32" t="n">
        <v>384</v>
      </c>
      <c r="B391" s="33" t="n">
        <v>1327800</v>
      </c>
      <c r="C391" s="34" t="s">
        <v>846</v>
      </c>
      <c r="D391" s="34" t="s">
        <v>847</v>
      </c>
      <c r="E391" s="34" t="s">
        <v>54</v>
      </c>
      <c r="F391" s="32" t="n">
        <f aca="false">COUNTIF(Base!$D$2:$D$2878,B391)</f>
        <v>1</v>
      </c>
      <c r="G391" s="35" t="n">
        <f aca="false">SUMIF(Base!$D$2:$D$2878,B391,Base!$I$2:$I$2878)</f>
        <v>5556</v>
      </c>
      <c r="H391" s="36" t="n">
        <f aca="false">IF($G$2849=0,0,G391/$G$2849)</f>
        <v>0.000364597089461567</v>
      </c>
      <c r="I391" s="37" t="n">
        <f aca="false">I390+H391</f>
        <v>0.860307104787368</v>
      </c>
      <c r="J391" s="37" t="n">
        <f aca="false">A391/2840</f>
        <v>0.135211267605634</v>
      </c>
      <c r="K391" s="32" t="str">
        <f aca="false">IF(I391&lt;=$E$4,"A",IF(I391&lt;=$E$5,"B","C"))</f>
        <v>B</v>
      </c>
    </row>
    <row r="392" customFormat="false" ht="15" hidden="false" customHeight="false" outlineLevel="0" collapsed="false">
      <c r="A392" s="32" t="n">
        <v>385</v>
      </c>
      <c r="B392" s="33" t="n">
        <v>884827</v>
      </c>
      <c r="C392" s="34" t="s">
        <v>848</v>
      </c>
      <c r="D392" s="34" t="s">
        <v>849</v>
      </c>
      <c r="E392" s="34" t="s">
        <v>100</v>
      </c>
      <c r="F392" s="32" t="n">
        <f aca="false">COUNTIF(Base!$D$2:$D$2878,B392)</f>
        <v>1</v>
      </c>
      <c r="G392" s="35" t="n">
        <f aca="false">SUMIF(Base!$D$2:$D$2878,B392,Base!$I$2:$I$2878)</f>
        <v>5493.03</v>
      </c>
      <c r="H392" s="36" t="n">
        <f aca="false">IF($G$2849=0,0,G392/$G$2849)</f>
        <v>0.000360464857869883</v>
      </c>
      <c r="I392" s="37" t="n">
        <f aca="false">I391+H392</f>
        <v>0.860667569645238</v>
      </c>
      <c r="J392" s="37" t="n">
        <f aca="false">A392/2840</f>
        <v>0.13556338028169</v>
      </c>
      <c r="K392" s="32" t="str">
        <f aca="false">IF(I392&lt;=$E$4,"A",IF(I392&lt;=$E$5,"B","C"))</f>
        <v>B</v>
      </c>
    </row>
    <row r="393" customFormat="false" ht="15" hidden="false" customHeight="false" outlineLevel="0" collapsed="false">
      <c r="A393" s="32" t="n">
        <v>386</v>
      </c>
      <c r="B393" s="33" t="n">
        <v>1601817</v>
      </c>
      <c r="C393" s="34" t="s">
        <v>850</v>
      </c>
      <c r="D393" s="34" t="s">
        <v>851</v>
      </c>
      <c r="E393" s="34" t="s">
        <v>133</v>
      </c>
      <c r="F393" s="32" t="n">
        <f aca="false">COUNTIF(Base!$D$2:$D$2878,B393)</f>
        <v>1</v>
      </c>
      <c r="G393" s="35" t="n">
        <f aca="false">SUMIF(Base!$D$2:$D$2878,B393,Base!$I$2:$I$2878)</f>
        <v>5484.24</v>
      </c>
      <c r="H393" s="36" t="n">
        <f aca="false">IF($G$2849=0,0,G393/$G$2849)</f>
        <v>0.000359888038500487</v>
      </c>
      <c r="I393" s="37" t="n">
        <f aca="false">I392+H393</f>
        <v>0.861027457683739</v>
      </c>
      <c r="J393" s="37" t="n">
        <f aca="false">A393/2840</f>
        <v>0.135915492957747</v>
      </c>
      <c r="K393" s="32" t="str">
        <f aca="false">IF(I393&lt;=$E$4,"A",IF(I393&lt;=$E$5,"B","C"))</f>
        <v>B</v>
      </c>
    </row>
    <row r="394" customFormat="false" ht="15" hidden="false" customHeight="false" outlineLevel="0" collapsed="false">
      <c r="A394" s="32" t="n">
        <v>387</v>
      </c>
      <c r="B394" s="33" t="n">
        <v>1092762</v>
      </c>
      <c r="C394" s="34" t="s">
        <v>852</v>
      </c>
      <c r="D394" s="34" t="s">
        <v>853</v>
      </c>
      <c r="E394" s="34" t="s">
        <v>334</v>
      </c>
      <c r="F394" s="32" t="n">
        <f aca="false">COUNTIF(Base!$D$2:$D$2878,B394)</f>
        <v>1</v>
      </c>
      <c r="G394" s="35" t="n">
        <f aca="false">SUMIF(Base!$D$2:$D$2878,B394,Base!$I$2:$I$2878)</f>
        <v>5480</v>
      </c>
      <c r="H394" s="36" t="n">
        <f aca="false">IF($G$2849=0,0,G394/$G$2849)</f>
        <v>0.000359609800260869</v>
      </c>
      <c r="I394" s="37" t="n">
        <f aca="false">I393+H394</f>
        <v>0.861387067483999</v>
      </c>
      <c r="J394" s="37" t="n">
        <f aca="false">A394/2840</f>
        <v>0.136267605633803</v>
      </c>
      <c r="K394" s="32" t="str">
        <f aca="false">IF(I394&lt;=$E$4,"A",IF(I394&lt;=$E$5,"B","C"))</f>
        <v>B</v>
      </c>
    </row>
    <row r="395" customFormat="false" ht="15" hidden="false" customHeight="false" outlineLevel="0" collapsed="false">
      <c r="A395" s="32" t="n">
        <v>388</v>
      </c>
      <c r="B395" s="33" t="n">
        <v>1261222</v>
      </c>
      <c r="C395" s="34" t="s">
        <v>854</v>
      </c>
      <c r="D395" s="34" t="s">
        <v>855</v>
      </c>
      <c r="E395" s="34" t="s">
        <v>38</v>
      </c>
      <c r="F395" s="32" t="n">
        <f aca="false">COUNTIF(Base!$D$2:$D$2878,B395)</f>
        <v>1</v>
      </c>
      <c r="G395" s="35" t="n">
        <f aca="false">SUMIF(Base!$D$2:$D$2878,B395,Base!$I$2:$I$2878)</f>
        <v>5453.53</v>
      </c>
      <c r="H395" s="36" t="n">
        <f aca="false">IF($G$2849=0,0,G395/$G$2849)</f>
        <v>0.000357872779930046</v>
      </c>
      <c r="I395" s="37" t="n">
        <f aca="false">I394+H395</f>
        <v>0.861744940263929</v>
      </c>
      <c r="J395" s="37" t="n">
        <f aca="false">A395/2840</f>
        <v>0.136619718309859</v>
      </c>
      <c r="K395" s="32" t="str">
        <f aca="false">IF(I395&lt;=$E$4,"A",IF(I395&lt;=$E$5,"B","C"))</f>
        <v>B</v>
      </c>
    </row>
    <row r="396" customFormat="false" ht="15" hidden="false" customHeight="false" outlineLevel="0" collapsed="false">
      <c r="A396" s="32" t="n">
        <v>389</v>
      </c>
      <c r="B396" s="33" t="n">
        <v>58184</v>
      </c>
      <c r="C396" s="34" t="s">
        <v>856</v>
      </c>
      <c r="D396" s="34" t="s">
        <v>857</v>
      </c>
      <c r="E396" s="34" t="s">
        <v>360</v>
      </c>
      <c r="F396" s="32" t="n">
        <f aca="false">COUNTIF(Base!$D$2:$D$2878,B396)</f>
        <v>1</v>
      </c>
      <c r="G396" s="35" t="n">
        <f aca="false">SUMIF(Base!$D$2:$D$2878,B396,Base!$I$2:$I$2878)</f>
        <v>5445</v>
      </c>
      <c r="H396" s="36" t="n">
        <f aca="false">IF($G$2849=0,0,G396/$G$2849)</f>
        <v>0.000357313022339494</v>
      </c>
      <c r="I396" s="37" t="n">
        <f aca="false">I395+H396</f>
        <v>0.862102253286269</v>
      </c>
      <c r="J396" s="37" t="n">
        <f aca="false">A396/2840</f>
        <v>0.136971830985916</v>
      </c>
      <c r="K396" s="32" t="str">
        <f aca="false">IF(I396&lt;=$E$4,"A",IF(I396&lt;=$E$5,"B","C"))</f>
        <v>B</v>
      </c>
    </row>
    <row r="397" customFormat="false" ht="15" hidden="false" customHeight="false" outlineLevel="0" collapsed="false">
      <c r="A397" s="32" t="n">
        <v>390</v>
      </c>
      <c r="B397" s="33" t="n">
        <v>1476311</v>
      </c>
      <c r="C397" s="34" t="s">
        <v>858</v>
      </c>
      <c r="D397" s="34" t="s">
        <v>859</v>
      </c>
      <c r="E397" s="34" t="s">
        <v>133</v>
      </c>
      <c r="F397" s="32" t="n">
        <f aca="false">COUNTIF(Base!$D$2:$D$2878,B397)</f>
        <v>1</v>
      </c>
      <c r="G397" s="35" t="n">
        <f aca="false">SUMIF(Base!$D$2:$D$2878,B397,Base!$I$2:$I$2878)</f>
        <v>5440</v>
      </c>
      <c r="H397" s="36" t="n">
        <f aca="false">IF($G$2849=0,0,G397/$G$2849)</f>
        <v>0.00035698491120787</v>
      </c>
      <c r="I397" s="37" t="n">
        <f aca="false">I396+H397</f>
        <v>0.862459238197477</v>
      </c>
      <c r="J397" s="37" t="n">
        <f aca="false">A397/2840</f>
        <v>0.137323943661972</v>
      </c>
      <c r="K397" s="32" t="str">
        <f aca="false">IF(I397&lt;=$E$4,"A",IF(I397&lt;=$E$5,"B","C"))</f>
        <v>B</v>
      </c>
    </row>
    <row r="398" customFormat="false" ht="15" hidden="false" customHeight="false" outlineLevel="0" collapsed="false">
      <c r="A398" s="32" t="n">
        <v>391</v>
      </c>
      <c r="B398" s="33" t="n">
        <v>743151</v>
      </c>
      <c r="C398" s="34" t="s">
        <v>860</v>
      </c>
      <c r="D398" s="34" t="s">
        <v>861</v>
      </c>
      <c r="E398" s="34" t="s">
        <v>38</v>
      </c>
      <c r="F398" s="32" t="n">
        <f aca="false">COUNTIF(Base!$D$2:$D$2878,B398)</f>
        <v>1</v>
      </c>
      <c r="G398" s="35" t="n">
        <f aca="false">SUMIF(Base!$D$2:$D$2878,B398,Base!$I$2:$I$2878)</f>
        <v>5419.01</v>
      </c>
      <c r="H398" s="36" t="n">
        <f aca="false">IF($G$2849=0,0,G398/$G$2849)</f>
        <v>0.000355607500677308</v>
      </c>
      <c r="I398" s="37" t="n">
        <f aca="false">I397+H398</f>
        <v>0.862814845698154</v>
      </c>
      <c r="J398" s="37" t="n">
        <f aca="false">A398/2840</f>
        <v>0.137676056338028</v>
      </c>
      <c r="K398" s="32" t="str">
        <f aca="false">IF(I398&lt;=$E$4,"A",IF(I398&lt;=$E$5,"B","C"))</f>
        <v>B</v>
      </c>
    </row>
    <row r="399" customFormat="false" ht="15" hidden="false" customHeight="false" outlineLevel="0" collapsed="false">
      <c r="A399" s="32" t="n">
        <v>392</v>
      </c>
      <c r="B399" s="33" t="n">
        <v>1465407</v>
      </c>
      <c r="C399" s="34" t="s">
        <v>862</v>
      </c>
      <c r="D399" s="34" t="s">
        <v>863</v>
      </c>
      <c r="E399" s="34" t="s">
        <v>133</v>
      </c>
      <c r="F399" s="32" t="n">
        <f aca="false">COUNTIF(Base!$D$2:$D$2878,B399)</f>
        <v>1</v>
      </c>
      <c r="G399" s="35" t="n">
        <f aca="false">SUMIF(Base!$D$2:$D$2878,B399,Base!$I$2:$I$2878)</f>
        <v>5416</v>
      </c>
      <c r="H399" s="36" t="n">
        <f aca="false">IF($G$2849=0,0,G399/$G$2849)</f>
        <v>0.00035540997777607</v>
      </c>
      <c r="I399" s="37" t="n">
        <f aca="false">I398+H399</f>
        <v>0.86317025567593</v>
      </c>
      <c r="J399" s="37" t="n">
        <f aca="false">A399/2840</f>
        <v>0.138028169014085</v>
      </c>
      <c r="K399" s="32" t="str">
        <f aca="false">IF(I399&lt;=$E$4,"A",IF(I399&lt;=$E$5,"B","C"))</f>
        <v>B</v>
      </c>
    </row>
    <row r="400" customFormat="false" ht="15" hidden="false" customHeight="false" outlineLevel="0" collapsed="false">
      <c r="A400" s="32" t="n">
        <v>393</v>
      </c>
      <c r="B400" s="33" t="n">
        <v>1328053</v>
      </c>
      <c r="C400" s="34" t="s">
        <v>864</v>
      </c>
      <c r="D400" s="34" t="s">
        <v>865</v>
      </c>
      <c r="E400" s="34" t="s">
        <v>54</v>
      </c>
      <c r="F400" s="32" t="n">
        <f aca="false">COUNTIF(Base!$D$2:$D$2878,B400)</f>
        <v>1</v>
      </c>
      <c r="G400" s="35" t="n">
        <f aca="false">SUMIF(Base!$D$2:$D$2878,B400,Base!$I$2:$I$2878)</f>
        <v>5390.28</v>
      </c>
      <c r="H400" s="36" t="n">
        <f aca="false">IF($G$2849=0,0,G400/$G$2849)</f>
        <v>0.000353722174114992</v>
      </c>
      <c r="I400" s="37" t="n">
        <f aca="false">I399+H400</f>
        <v>0.863523977850045</v>
      </c>
      <c r="J400" s="37" t="n">
        <f aca="false">A400/2840</f>
        <v>0.138380281690141</v>
      </c>
      <c r="K400" s="32" t="str">
        <f aca="false">IF(I400&lt;=$E$4,"A",IF(I400&lt;=$E$5,"B","C"))</f>
        <v>B</v>
      </c>
    </row>
    <row r="401" customFormat="false" ht="15" hidden="false" customHeight="false" outlineLevel="0" collapsed="false">
      <c r="A401" s="32" t="n">
        <v>394</v>
      </c>
      <c r="B401" s="33" t="n">
        <v>1311276</v>
      </c>
      <c r="C401" s="34" t="s">
        <v>866</v>
      </c>
      <c r="D401" s="34" t="s">
        <v>867</v>
      </c>
      <c r="E401" s="34" t="s">
        <v>130</v>
      </c>
      <c r="F401" s="32" t="n">
        <f aca="false">COUNTIF(Base!$D$2:$D$2878,B401)</f>
        <v>1</v>
      </c>
      <c r="G401" s="35" t="n">
        <f aca="false">SUMIF(Base!$D$2:$D$2878,B401,Base!$I$2:$I$2878)</f>
        <v>5335</v>
      </c>
      <c r="H401" s="36" t="n">
        <f aca="false">IF($G$2849=0,0,G401/$G$2849)</f>
        <v>0.000350094577443747</v>
      </c>
      <c r="I401" s="37" t="n">
        <f aca="false">I400+H401</f>
        <v>0.863874072427489</v>
      </c>
      <c r="J401" s="37" t="n">
        <f aca="false">A401/2840</f>
        <v>0.138732394366197</v>
      </c>
      <c r="K401" s="32" t="str">
        <f aca="false">IF(I401&lt;=$E$4,"A",IF(I401&lt;=$E$5,"B","C"))</f>
        <v>B</v>
      </c>
    </row>
    <row r="402" customFormat="false" ht="15" hidden="false" customHeight="false" outlineLevel="0" collapsed="false">
      <c r="A402" s="32" t="n">
        <v>395</v>
      </c>
      <c r="B402" s="33" t="n">
        <v>55346</v>
      </c>
      <c r="C402" s="34" t="s">
        <v>868</v>
      </c>
      <c r="D402" s="34" t="s">
        <v>869</v>
      </c>
      <c r="E402" s="34" t="s">
        <v>38</v>
      </c>
      <c r="F402" s="32" t="n">
        <f aca="false">COUNTIF(Base!$D$2:$D$2878,B402)</f>
        <v>1</v>
      </c>
      <c r="G402" s="35" t="n">
        <f aca="false">SUMIF(Base!$D$2:$D$2878,B402,Base!$I$2:$I$2878)</f>
        <v>5317.08</v>
      </c>
      <c r="H402" s="36" t="n">
        <f aca="false">IF($G$2849=0,0,G402/$G$2849)</f>
        <v>0.000348918627148004</v>
      </c>
      <c r="I402" s="37" t="n">
        <f aca="false">I401+H402</f>
        <v>0.864222991054637</v>
      </c>
      <c r="J402" s="37" t="n">
        <f aca="false">A402/2840</f>
        <v>0.139084507042254</v>
      </c>
      <c r="K402" s="32" t="str">
        <f aca="false">IF(I402&lt;=$E$4,"A",IF(I402&lt;=$E$5,"B","C"))</f>
        <v>B</v>
      </c>
    </row>
    <row r="403" customFormat="false" ht="15" hidden="false" customHeight="false" outlineLevel="0" collapsed="false">
      <c r="A403" s="32" t="n">
        <v>396</v>
      </c>
      <c r="B403" s="33" t="n">
        <v>1604881</v>
      </c>
      <c r="C403" s="34" t="s">
        <v>870</v>
      </c>
      <c r="D403" s="34" t="s">
        <v>871</v>
      </c>
      <c r="E403" s="34" t="s">
        <v>170</v>
      </c>
      <c r="F403" s="32" t="n">
        <f aca="false">COUNTIF(Base!$D$2:$D$2878,B403)</f>
        <v>1</v>
      </c>
      <c r="G403" s="35" t="n">
        <f aca="false">SUMIF(Base!$D$2:$D$2878,B403,Base!$I$2:$I$2878)</f>
        <v>5284.52</v>
      </c>
      <c r="H403" s="36" t="n">
        <f aca="false">IF($G$2849=0,0,G403/$G$2849)</f>
        <v>0.000346781967458862</v>
      </c>
      <c r="I403" s="37" t="n">
        <f aca="false">I402+H403</f>
        <v>0.864569773022096</v>
      </c>
      <c r="J403" s="37" t="n">
        <f aca="false">A403/2840</f>
        <v>0.13943661971831</v>
      </c>
      <c r="K403" s="32" t="str">
        <f aca="false">IF(I403&lt;=$E$4,"A",IF(I403&lt;=$E$5,"B","C"))</f>
        <v>B</v>
      </c>
    </row>
    <row r="404" customFormat="false" ht="15" hidden="false" customHeight="false" outlineLevel="0" collapsed="false">
      <c r="A404" s="32" t="n">
        <v>397</v>
      </c>
      <c r="B404" s="33" t="n">
        <v>290067</v>
      </c>
      <c r="C404" s="34" t="s">
        <v>872</v>
      </c>
      <c r="D404" s="34" t="s">
        <v>873</v>
      </c>
      <c r="E404" s="34" t="s">
        <v>38</v>
      </c>
      <c r="F404" s="32" t="n">
        <f aca="false">COUNTIF(Base!$D$2:$D$2878,B404)</f>
        <v>1</v>
      </c>
      <c r="G404" s="35" t="n">
        <f aca="false">SUMIF(Base!$D$2:$D$2878,B404,Base!$I$2:$I$2878)</f>
        <v>5275.31</v>
      </c>
      <c r="H404" s="36" t="n">
        <f aca="false">IF($G$2849=0,0,G404/$G$2849)</f>
        <v>0.000346177586754409</v>
      </c>
      <c r="I404" s="37" t="n">
        <f aca="false">I403+H404</f>
        <v>0.86491595060885</v>
      </c>
      <c r="J404" s="37" t="n">
        <f aca="false">A404/2840</f>
        <v>0.139788732394366</v>
      </c>
      <c r="K404" s="32" t="str">
        <f aca="false">IF(I404&lt;=$E$4,"A",IF(I404&lt;=$E$5,"B","C"))</f>
        <v>B</v>
      </c>
    </row>
    <row r="405" customFormat="false" ht="15" hidden="false" customHeight="false" outlineLevel="0" collapsed="false">
      <c r="A405" s="32" t="n">
        <v>398</v>
      </c>
      <c r="B405" s="33" t="n">
        <v>1476383</v>
      </c>
      <c r="C405" s="34" t="s">
        <v>874</v>
      </c>
      <c r="D405" s="34" t="s">
        <v>875</v>
      </c>
      <c r="E405" s="34" t="s">
        <v>133</v>
      </c>
      <c r="F405" s="32" t="n">
        <f aca="false">COUNTIF(Base!$D$2:$D$2878,B405)</f>
        <v>1</v>
      </c>
      <c r="G405" s="35" t="n">
        <f aca="false">SUMIF(Base!$D$2:$D$2878,B405,Base!$I$2:$I$2878)</f>
        <v>5260</v>
      </c>
      <c r="H405" s="36" t="n">
        <f aca="false">IF($G$2849=0,0,G405/$G$2849)</f>
        <v>0.000345172910469374</v>
      </c>
      <c r="I405" s="37" t="n">
        <f aca="false">I404+H405</f>
        <v>0.86526112351932</v>
      </c>
      <c r="J405" s="37" t="n">
        <f aca="false">A405/2840</f>
        <v>0.140140845070423</v>
      </c>
      <c r="K405" s="32" t="str">
        <f aca="false">IF(I405&lt;=$E$4,"A",IF(I405&lt;=$E$5,"B","C"))</f>
        <v>B</v>
      </c>
    </row>
    <row r="406" customFormat="false" ht="15" hidden="false" customHeight="false" outlineLevel="0" collapsed="false">
      <c r="A406" s="32" t="n">
        <v>399</v>
      </c>
      <c r="B406" s="33" t="n">
        <v>11494</v>
      </c>
      <c r="C406" s="34" t="s">
        <v>876</v>
      </c>
      <c r="D406" s="34" t="s">
        <v>877</v>
      </c>
      <c r="E406" s="34" t="s">
        <v>480</v>
      </c>
      <c r="F406" s="32" t="n">
        <f aca="false">COUNTIF(Base!$D$2:$D$2878,B406)</f>
        <v>1</v>
      </c>
      <c r="G406" s="35" t="n">
        <f aca="false">SUMIF(Base!$D$2:$D$2878,B406,Base!$I$2:$I$2878)</f>
        <v>5250</v>
      </c>
      <c r="H406" s="36" t="n">
        <f aca="false">IF($G$2849=0,0,G406/$G$2849)</f>
        <v>0.000344516688206124</v>
      </c>
      <c r="I406" s="37" t="n">
        <f aca="false">I405+H406</f>
        <v>0.865605640207526</v>
      </c>
      <c r="J406" s="37" t="n">
        <f aca="false">A406/2840</f>
        <v>0.140492957746479</v>
      </c>
      <c r="K406" s="32" t="str">
        <f aca="false">IF(I406&lt;=$E$4,"A",IF(I406&lt;=$E$5,"B","C"))</f>
        <v>B</v>
      </c>
    </row>
    <row r="407" customFormat="false" ht="15" hidden="false" customHeight="false" outlineLevel="0" collapsed="false">
      <c r="A407" s="32" t="n">
        <v>400</v>
      </c>
      <c r="B407" s="33" t="n">
        <v>32796</v>
      </c>
      <c r="C407" s="34" t="s">
        <v>878</v>
      </c>
      <c r="D407" s="34" t="s">
        <v>879</v>
      </c>
      <c r="E407" s="34" t="s">
        <v>133</v>
      </c>
      <c r="F407" s="32" t="n">
        <f aca="false">COUNTIF(Base!$D$2:$D$2878,B407)</f>
        <v>1</v>
      </c>
      <c r="G407" s="35" t="n">
        <f aca="false">SUMIF(Base!$D$2:$D$2878,B407,Base!$I$2:$I$2878)</f>
        <v>5232</v>
      </c>
      <c r="H407" s="36" t="n">
        <f aca="false">IF($G$2849=0,0,G407/$G$2849)</f>
        <v>0.000343335488132275</v>
      </c>
      <c r="I407" s="37" t="n">
        <f aca="false">I406+H407</f>
        <v>0.865948975695658</v>
      </c>
      <c r="J407" s="37" t="n">
        <f aca="false">A407/2840</f>
        <v>0.140845070422535</v>
      </c>
      <c r="K407" s="32" t="str">
        <f aca="false">IF(I407&lt;=$E$4,"A",IF(I407&lt;=$E$5,"B","C"))</f>
        <v>B</v>
      </c>
    </row>
    <row r="408" customFormat="false" ht="15" hidden="false" customHeight="false" outlineLevel="0" collapsed="false">
      <c r="A408" s="32" t="n">
        <v>401</v>
      </c>
      <c r="B408" s="33" t="n">
        <v>1606480</v>
      </c>
      <c r="C408" s="34" t="s">
        <v>880</v>
      </c>
      <c r="D408" s="34" t="s">
        <v>881</v>
      </c>
      <c r="E408" s="34" t="s">
        <v>35</v>
      </c>
      <c r="F408" s="32" t="n">
        <f aca="false">COUNTIF(Base!$D$2:$D$2878,B408)</f>
        <v>1</v>
      </c>
      <c r="G408" s="35" t="n">
        <f aca="false">SUMIF(Base!$D$2:$D$2878,B408,Base!$I$2:$I$2878)</f>
        <v>5220</v>
      </c>
      <c r="H408" s="36" t="n">
        <f aca="false">IF($G$2849=0,0,G408/$G$2849)</f>
        <v>0.000342548021416375</v>
      </c>
      <c r="I408" s="37" t="n">
        <f aca="false">I407+H408</f>
        <v>0.866291523717074</v>
      </c>
      <c r="J408" s="37" t="n">
        <f aca="false">A408/2840</f>
        <v>0.141197183098592</v>
      </c>
      <c r="K408" s="32" t="str">
        <f aca="false">IF(I408&lt;=$E$4,"A",IF(I408&lt;=$E$5,"B","C"))</f>
        <v>B</v>
      </c>
    </row>
    <row r="409" customFormat="false" ht="15" hidden="false" customHeight="false" outlineLevel="0" collapsed="false">
      <c r="A409" s="32" t="n">
        <v>402</v>
      </c>
      <c r="B409" s="33" t="n">
        <v>1475975</v>
      </c>
      <c r="C409" s="34" t="s">
        <v>882</v>
      </c>
      <c r="D409" s="34" t="s">
        <v>883</v>
      </c>
      <c r="E409" s="34" t="s">
        <v>637</v>
      </c>
      <c r="F409" s="32" t="n">
        <f aca="false">COUNTIF(Base!$D$2:$D$2878,B409)</f>
        <v>1</v>
      </c>
      <c r="G409" s="35" t="n">
        <f aca="false">SUMIF(Base!$D$2:$D$2878,B409,Base!$I$2:$I$2878)</f>
        <v>5213.6</v>
      </c>
      <c r="H409" s="36" t="n">
        <f aca="false">IF($G$2849=0,0,G409/$G$2849)</f>
        <v>0.000342128039167895</v>
      </c>
      <c r="I409" s="37" t="n">
        <f aca="false">I408+H409</f>
        <v>0.866633651756242</v>
      </c>
      <c r="J409" s="37" t="n">
        <f aca="false">A409/2840</f>
        <v>0.141549295774648</v>
      </c>
      <c r="K409" s="32" t="str">
        <f aca="false">IF(I409&lt;=$E$4,"A",IF(I409&lt;=$E$5,"B","C"))</f>
        <v>B</v>
      </c>
    </row>
    <row r="410" customFormat="false" ht="15" hidden="false" customHeight="false" outlineLevel="0" collapsed="false">
      <c r="A410" s="32" t="n">
        <v>403</v>
      </c>
      <c r="B410" s="33" t="n">
        <v>1680418</v>
      </c>
      <c r="C410" s="34" t="s">
        <v>884</v>
      </c>
      <c r="D410" s="34" t="s">
        <v>885</v>
      </c>
      <c r="E410" s="34" t="s">
        <v>47</v>
      </c>
      <c r="F410" s="32" t="n">
        <f aca="false">COUNTIF(Base!$D$2:$D$2878,B410)</f>
        <v>1</v>
      </c>
      <c r="G410" s="35" t="n">
        <f aca="false">SUMIF(Base!$D$2:$D$2878,B410,Base!$I$2:$I$2878)</f>
        <v>5160</v>
      </c>
      <c r="H410" s="36" t="n">
        <f aca="false">IF($G$2849=0,0,G410/$G$2849)</f>
        <v>0.000338610687836876</v>
      </c>
      <c r="I410" s="37" t="n">
        <f aca="false">I409+H410</f>
        <v>0.866972262444079</v>
      </c>
      <c r="J410" s="37" t="n">
        <f aca="false">A410/2840</f>
        <v>0.141901408450704</v>
      </c>
      <c r="K410" s="32" t="str">
        <f aca="false">IF(I410&lt;=$E$4,"A",IF(I410&lt;=$E$5,"B","C"))</f>
        <v>B</v>
      </c>
    </row>
    <row r="411" customFormat="false" ht="15" hidden="false" customHeight="false" outlineLevel="0" collapsed="false">
      <c r="A411" s="32" t="n">
        <v>404</v>
      </c>
      <c r="B411" s="33" t="n">
        <v>293801</v>
      </c>
      <c r="C411" s="34" t="s">
        <v>886</v>
      </c>
      <c r="D411" s="34" t="s">
        <v>887</v>
      </c>
      <c r="E411" s="34" t="s">
        <v>138</v>
      </c>
      <c r="F411" s="32" t="n">
        <f aca="false">COUNTIF(Base!$D$2:$D$2878,B411)</f>
        <v>1</v>
      </c>
      <c r="G411" s="35" t="n">
        <f aca="false">SUMIF(Base!$D$2:$D$2878,B411,Base!$I$2:$I$2878)</f>
        <v>5142</v>
      </c>
      <c r="H411" s="36" t="n">
        <f aca="false">IF($G$2849=0,0,G411/$G$2849)</f>
        <v>0.000337429487763027</v>
      </c>
      <c r="I411" s="37" t="n">
        <f aca="false">I410+H411</f>
        <v>0.867309691931842</v>
      </c>
      <c r="J411" s="37" t="n">
        <f aca="false">A411/2840</f>
        <v>0.142253521126761</v>
      </c>
      <c r="K411" s="32" t="str">
        <f aca="false">IF(I411&lt;=$E$4,"A",IF(I411&lt;=$E$5,"B","C"))</f>
        <v>B</v>
      </c>
    </row>
    <row r="412" customFormat="false" ht="15" hidden="false" customHeight="false" outlineLevel="0" collapsed="false">
      <c r="A412" s="32" t="n">
        <v>405</v>
      </c>
      <c r="B412" s="33" t="n">
        <v>1677683</v>
      </c>
      <c r="C412" s="34" t="s">
        <v>888</v>
      </c>
      <c r="D412" s="34" t="s">
        <v>889</v>
      </c>
      <c r="E412" s="34" t="s">
        <v>38</v>
      </c>
      <c r="F412" s="32" t="n">
        <f aca="false">COUNTIF(Base!$D$2:$D$2878,B412)</f>
        <v>1</v>
      </c>
      <c r="G412" s="35" t="n">
        <f aca="false">SUMIF(Base!$D$2:$D$2878,B412,Base!$I$2:$I$2878)</f>
        <v>5115.84</v>
      </c>
      <c r="H412" s="36" t="n">
        <f aca="false">IF($G$2849=0,0,G412/$G$2849)</f>
        <v>0.000335712810322365</v>
      </c>
      <c r="I412" s="37" t="n">
        <f aca="false">I411+H412</f>
        <v>0.867645404742165</v>
      </c>
      <c r="J412" s="37" t="n">
        <f aca="false">A412/2840</f>
        <v>0.142605633802817</v>
      </c>
      <c r="K412" s="32" t="str">
        <f aca="false">IF(I412&lt;=$E$4,"A",IF(I412&lt;=$E$5,"B","C"))</f>
        <v>B</v>
      </c>
    </row>
    <row r="413" customFormat="false" ht="15" hidden="false" customHeight="false" outlineLevel="0" collapsed="false">
      <c r="A413" s="32" t="n">
        <v>406</v>
      </c>
      <c r="B413" s="33" t="n">
        <v>1464163</v>
      </c>
      <c r="C413" s="34" t="s">
        <v>890</v>
      </c>
      <c r="D413" s="34" t="s">
        <v>891</v>
      </c>
      <c r="E413" s="34" t="s">
        <v>491</v>
      </c>
      <c r="F413" s="32" t="n">
        <f aca="false">COUNTIF(Base!$D$2:$D$2878,B413)</f>
        <v>1</v>
      </c>
      <c r="G413" s="35" t="n">
        <f aca="false">SUMIF(Base!$D$2:$D$2878,B413,Base!$I$2:$I$2878)</f>
        <v>5100</v>
      </c>
      <c r="H413" s="36" t="n">
        <f aca="false">IF($G$2849=0,0,G413/$G$2849)</f>
        <v>0.000334673354257378</v>
      </c>
      <c r="I413" s="37" t="n">
        <f aca="false">I412+H413</f>
        <v>0.867980078096422</v>
      </c>
      <c r="J413" s="37" t="n">
        <f aca="false">A413/2840</f>
        <v>0.142957746478873</v>
      </c>
      <c r="K413" s="32" t="str">
        <f aca="false">IF(I413&lt;=$E$4,"A",IF(I413&lt;=$E$5,"B","C"))</f>
        <v>B</v>
      </c>
    </row>
    <row r="414" customFormat="false" ht="15" hidden="false" customHeight="false" outlineLevel="0" collapsed="false">
      <c r="A414" s="32" t="n">
        <v>407</v>
      </c>
      <c r="B414" s="33" t="n">
        <v>1467473</v>
      </c>
      <c r="C414" s="34" t="s">
        <v>892</v>
      </c>
      <c r="D414" s="34" t="s">
        <v>893</v>
      </c>
      <c r="E414" s="34" t="s">
        <v>38</v>
      </c>
      <c r="F414" s="32" t="n">
        <f aca="false">COUNTIF(Base!$D$2:$D$2878,B414)</f>
        <v>1</v>
      </c>
      <c r="G414" s="35" t="n">
        <f aca="false">SUMIF(Base!$D$2:$D$2878,B414,Base!$I$2:$I$2878)</f>
        <v>5032.8</v>
      </c>
      <c r="H414" s="36" t="n">
        <f aca="false">IF($G$2849=0,0,G414/$G$2849)</f>
        <v>0.000330263540648339</v>
      </c>
      <c r="I414" s="37" t="n">
        <f aca="false">I413+H414</f>
        <v>0.86831034163707</v>
      </c>
      <c r="J414" s="37" t="n">
        <f aca="false">A414/2840</f>
        <v>0.14330985915493</v>
      </c>
      <c r="K414" s="32" t="str">
        <f aca="false">IF(I414&lt;=$E$4,"A",IF(I414&lt;=$E$5,"B","C"))</f>
        <v>B</v>
      </c>
    </row>
    <row r="415" customFormat="false" ht="15" hidden="false" customHeight="false" outlineLevel="0" collapsed="false">
      <c r="A415" s="32" t="n">
        <v>408</v>
      </c>
      <c r="B415" s="33" t="n">
        <v>1687476</v>
      </c>
      <c r="C415" s="34" t="s">
        <v>894</v>
      </c>
      <c r="D415" s="34" t="s">
        <v>895</v>
      </c>
      <c r="E415" s="34" t="s">
        <v>35</v>
      </c>
      <c r="F415" s="32" t="n">
        <f aca="false">COUNTIF(Base!$D$2:$D$2878,B415)</f>
        <v>1</v>
      </c>
      <c r="G415" s="35" t="n">
        <f aca="false">SUMIF(Base!$D$2:$D$2878,B415,Base!$I$2:$I$2878)</f>
        <v>5028.5</v>
      </c>
      <c r="H415" s="36" t="n">
        <f aca="false">IF($G$2849=0,0,G415/$G$2849)</f>
        <v>0.000329981365075142</v>
      </c>
      <c r="I415" s="37" t="n">
        <f aca="false">I414+H415</f>
        <v>0.868640323002145</v>
      </c>
      <c r="J415" s="37" t="n">
        <f aca="false">A415/2840</f>
        <v>0.143661971830986</v>
      </c>
      <c r="K415" s="32" t="str">
        <f aca="false">IF(I415&lt;=$E$4,"A",IF(I415&lt;=$E$5,"B","C"))</f>
        <v>B</v>
      </c>
    </row>
    <row r="416" customFormat="false" ht="15" hidden="false" customHeight="false" outlineLevel="0" collapsed="false">
      <c r="A416" s="32" t="n">
        <v>409</v>
      </c>
      <c r="B416" s="33" t="n">
        <v>55182</v>
      </c>
      <c r="C416" s="34" t="s">
        <v>896</v>
      </c>
      <c r="D416" s="34" t="s">
        <v>897</v>
      </c>
      <c r="E416" s="34" t="s">
        <v>563</v>
      </c>
      <c r="F416" s="32" t="n">
        <f aca="false">COUNTIF(Base!$D$2:$D$2878,B416)</f>
        <v>1</v>
      </c>
      <c r="G416" s="35" t="n">
        <f aca="false">SUMIF(Base!$D$2:$D$2878,B416,Base!$I$2:$I$2878)</f>
        <v>5028</v>
      </c>
      <c r="H416" s="36" t="n">
        <f aca="false">IF($G$2849=0,0,G416/$G$2849)</f>
        <v>0.000329948553961979</v>
      </c>
      <c r="I416" s="37" t="n">
        <f aca="false">I415+H416</f>
        <v>0.868970271556107</v>
      </c>
      <c r="J416" s="37" t="n">
        <f aca="false">A416/2840</f>
        <v>0.144014084507042</v>
      </c>
      <c r="K416" s="32" t="str">
        <f aca="false">IF(I416&lt;=$E$4,"A",IF(I416&lt;=$E$5,"B","C"))</f>
        <v>B</v>
      </c>
    </row>
    <row r="417" customFormat="false" ht="15" hidden="false" customHeight="false" outlineLevel="0" collapsed="false">
      <c r="A417" s="32" t="n">
        <v>410</v>
      </c>
      <c r="B417" s="33" t="n">
        <v>1662431</v>
      </c>
      <c r="C417" s="34" t="s">
        <v>898</v>
      </c>
      <c r="D417" s="34" t="s">
        <v>899</v>
      </c>
      <c r="E417" s="34" t="s">
        <v>133</v>
      </c>
      <c r="F417" s="32" t="n">
        <f aca="false">COUNTIF(Base!$D$2:$D$2878,B417)</f>
        <v>1</v>
      </c>
      <c r="G417" s="35" t="n">
        <f aca="false">SUMIF(Base!$D$2:$D$2878,B417,Base!$I$2:$I$2878)</f>
        <v>5027.4</v>
      </c>
      <c r="H417" s="36" t="n">
        <f aca="false">IF($G$2849=0,0,G417/$G$2849)</f>
        <v>0.000329909180626184</v>
      </c>
      <c r="I417" s="37" t="n">
        <f aca="false">I416+H417</f>
        <v>0.869300180736734</v>
      </c>
      <c r="J417" s="37" t="n">
        <f aca="false">A417/2840</f>
        <v>0.144366197183099</v>
      </c>
      <c r="K417" s="32" t="str">
        <f aca="false">IF(I417&lt;=$E$4,"A",IF(I417&lt;=$E$5,"B","C"))</f>
        <v>B</v>
      </c>
    </row>
    <row r="418" customFormat="false" ht="15" hidden="false" customHeight="false" outlineLevel="0" collapsed="false">
      <c r="A418" s="32" t="n">
        <v>411</v>
      </c>
      <c r="B418" s="33" t="n">
        <v>274524</v>
      </c>
      <c r="C418" s="34" t="s">
        <v>900</v>
      </c>
      <c r="D418" s="34" t="s">
        <v>901</v>
      </c>
      <c r="E418" s="34" t="s">
        <v>54</v>
      </c>
      <c r="F418" s="32" t="n">
        <f aca="false">COUNTIF(Base!$D$2:$D$2878,B418)</f>
        <v>1</v>
      </c>
      <c r="G418" s="35" t="n">
        <f aca="false">SUMIF(Base!$D$2:$D$2878,B418,Base!$I$2:$I$2878)</f>
        <v>5024</v>
      </c>
      <c r="H418" s="36" t="n">
        <f aca="false">IF($G$2849=0,0,G418/$G$2849)</f>
        <v>0.00032968606505668</v>
      </c>
      <c r="I418" s="37" t="n">
        <f aca="false">I417+H418</f>
        <v>0.86962986680179</v>
      </c>
      <c r="J418" s="37" t="n">
        <f aca="false">A418/2840</f>
        <v>0.144718309859155</v>
      </c>
      <c r="K418" s="32" t="str">
        <f aca="false">IF(I418&lt;=$E$4,"A",IF(I418&lt;=$E$5,"B","C"))</f>
        <v>B</v>
      </c>
    </row>
    <row r="419" customFormat="false" ht="15" hidden="false" customHeight="false" outlineLevel="0" collapsed="false">
      <c r="A419" s="32" t="n">
        <v>412</v>
      </c>
      <c r="B419" s="33" t="n">
        <v>1465590</v>
      </c>
      <c r="C419" s="34" t="s">
        <v>902</v>
      </c>
      <c r="D419" s="34" t="s">
        <v>903</v>
      </c>
      <c r="E419" s="34" t="s">
        <v>38</v>
      </c>
      <c r="F419" s="32" t="n">
        <f aca="false">COUNTIF(Base!$D$2:$D$2878,B419)</f>
        <v>1</v>
      </c>
      <c r="G419" s="35" t="n">
        <f aca="false">SUMIF(Base!$D$2:$D$2878,B419,Base!$I$2:$I$2878)</f>
        <v>5014.2</v>
      </c>
      <c r="H419" s="36" t="n">
        <f aca="false">IF($G$2849=0,0,G419/$G$2849)</f>
        <v>0.000329042967238695</v>
      </c>
      <c r="I419" s="37" t="n">
        <f aca="false">I418+H419</f>
        <v>0.869958909769029</v>
      </c>
      <c r="J419" s="37" t="n">
        <f aca="false">A419/2840</f>
        <v>0.145070422535211</v>
      </c>
      <c r="K419" s="32" t="str">
        <f aca="false">IF(I419&lt;=$E$4,"A",IF(I419&lt;=$E$5,"B","C"))</f>
        <v>B</v>
      </c>
    </row>
    <row r="420" customFormat="false" ht="15" hidden="false" customHeight="false" outlineLevel="0" collapsed="false">
      <c r="A420" s="32" t="n">
        <v>413</v>
      </c>
      <c r="B420" s="33" t="n">
        <v>54997</v>
      </c>
      <c r="C420" s="34" t="s">
        <v>904</v>
      </c>
      <c r="D420" s="34" t="s">
        <v>905</v>
      </c>
      <c r="E420" s="34" t="s">
        <v>35</v>
      </c>
      <c r="F420" s="32" t="n">
        <f aca="false">COUNTIF(Base!$D$2:$D$2878,B420)</f>
        <v>1</v>
      </c>
      <c r="G420" s="35" t="n">
        <f aca="false">SUMIF(Base!$D$2:$D$2878,B420,Base!$I$2:$I$2878)</f>
        <v>5000</v>
      </c>
      <c r="H420" s="36" t="n">
        <f aca="false">IF($G$2849=0,0,G420/$G$2849)</f>
        <v>0.00032811113162488</v>
      </c>
      <c r="I420" s="37" t="n">
        <f aca="false">I419+H420</f>
        <v>0.870287020900654</v>
      </c>
      <c r="J420" s="37" t="n">
        <f aca="false">A420/2840</f>
        <v>0.145422535211268</v>
      </c>
      <c r="K420" s="32" t="str">
        <f aca="false">IF(I420&lt;=$E$4,"A",IF(I420&lt;=$E$5,"B","C"))</f>
        <v>B</v>
      </c>
    </row>
    <row r="421" customFormat="false" ht="15" hidden="false" customHeight="false" outlineLevel="0" collapsed="false">
      <c r="A421" s="32" t="n">
        <v>414</v>
      </c>
      <c r="B421" s="33" t="n">
        <v>11238</v>
      </c>
      <c r="C421" s="34" t="s">
        <v>906</v>
      </c>
      <c r="D421" s="34" t="s">
        <v>907</v>
      </c>
      <c r="E421" s="34" t="s">
        <v>66</v>
      </c>
      <c r="F421" s="32" t="n">
        <f aca="false">COUNTIF(Base!$D$2:$D$2878,B421)</f>
        <v>1</v>
      </c>
      <c r="G421" s="35" t="n">
        <f aca="false">SUMIF(Base!$D$2:$D$2878,B421,Base!$I$2:$I$2878)</f>
        <v>4935</v>
      </c>
      <c r="H421" s="36" t="n">
        <f aca="false">IF($G$2849=0,0,G421/$G$2849)</f>
        <v>0.000323845686913757</v>
      </c>
      <c r="I421" s="37" t="n">
        <f aca="false">I420+H421</f>
        <v>0.870610866587568</v>
      </c>
      <c r="J421" s="37" t="n">
        <f aca="false">A421/2840</f>
        <v>0.145774647887324</v>
      </c>
      <c r="K421" s="32" t="str">
        <f aca="false">IF(I421&lt;=$E$4,"A",IF(I421&lt;=$E$5,"B","C"))</f>
        <v>B</v>
      </c>
    </row>
    <row r="422" customFormat="false" ht="15" hidden="false" customHeight="false" outlineLevel="0" collapsed="false">
      <c r="A422" s="32" t="n">
        <v>415</v>
      </c>
      <c r="B422" s="33" t="n">
        <v>1672762</v>
      </c>
      <c r="C422" s="34" t="s">
        <v>908</v>
      </c>
      <c r="D422" s="34" t="s">
        <v>909</v>
      </c>
      <c r="E422" s="34" t="s">
        <v>66</v>
      </c>
      <c r="F422" s="32" t="n">
        <f aca="false">COUNTIF(Base!$D$2:$D$2878,B422)</f>
        <v>1</v>
      </c>
      <c r="G422" s="35" t="n">
        <f aca="false">SUMIF(Base!$D$2:$D$2878,B422,Base!$I$2:$I$2878)</f>
        <v>4935</v>
      </c>
      <c r="H422" s="36" t="n">
        <f aca="false">IF($G$2849=0,0,G422/$G$2849)</f>
        <v>0.000323845686913757</v>
      </c>
      <c r="I422" s="37" t="n">
        <f aca="false">I421+H422</f>
        <v>0.870934712274481</v>
      </c>
      <c r="J422" s="37" t="n">
        <f aca="false">A422/2840</f>
        <v>0.14612676056338</v>
      </c>
      <c r="K422" s="32" t="str">
        <f aca="false">IF(I422&lt;=$E$4,"A",IF(I422&lt;=$E$5,"B","C"))</f>
        <v>B</v>
      </c>
    </row>
    <row r="423" customFormat="false" ht="15" hidden="false" customHeight="false" outlineLevel="0" collapsed="false">
      <c r="A423" s="32" t="n">
        <v>416</v>
      </c>
      <c r="B423" s="33" t="n">
        <v>1383031</v>
      </c>
      <c r="C423" s="34" t="s">
        <v>910</v>
      </c>
      <c r="D423" s="34" t="s">
        <v>911</v>
      </c>
      <c r="E423" s="34" t="s">
        <v>189</v>
      </c>
      <c r="F423" s="32" t="n">
        <f aca="false">COUNTIF(Base!$D$2:$D$2878,B423)</f>
        <v>1</v>
      </c>
      <c r="G423" s="35" t="n">
        <f aca="false">SUMIF(Base!$D$2:$D$2878,B423,Base!$I$2:$I$2878)</f>
        <v>4928.76</v>
      </c>
      <c r="H423" s="36" t="n">
        <f aca="false">IF($G$2849=0,0,G423/$G$2849)</f>
        <v>0.000323436204221489</v>
      </c>
      <c r="I423" s="37" t="n">
        <f aca="false">I422+H423</f>
        <v>0.871258148478703</v>
      </c>
      <c r="J423" s="37" t="n">
        <f aca="false">A423/2840</f>
        <v>0.146478873239437</v>
      </c>
      <c r="K423" s="32" t="str">
        <f aca="false">IF(I423&lt;=$E$4,"A",IF(I423&lt;=$E$5,"B","C"))</f>
        <v>B</v>
      </c>
    </row>
    <row r="424" customFormat="false" ht="15" hidden="false" customHeight="false" outlineLevel="0" collapsed="false">
      <c r="A424" s="32" t="n">
        <v>417</v>
      </c>
      <c r="B424" s="33" t="n">
        <v>1475903</v>
      </c>
      <c r="C424" s="34" t="s">
        <v>912</v>
      </c>
      <c r="D424" s="34" t="s">
        <v>913</v>
      </c>
      <c r="E424" s="34" t="s">
        <v>363</v>
      </c>
      <c r="F424" s="32" t="n">
        <f aca="false">COUNTIF(Base!$D$2:$D$2878,B424)</f>
        <v>1</v>
      </c>
      <c r="G424" s="35" t="n">
        <f aca="false">SUMIF(Base!$D$2:$D$2878,B424,Base!$I$2:$I$2878)</f>
        <v>4835.9</v>
      </c>
      <c r="H424" s="36" t="n">
        <f aca="false">IF($G$2849=0,0,G424/$G$2849)</f>
        <v>0.000317342524284952</v>
      </c>
      <c r="I424" s="37" t="n">
        <f aca="false">I423+H424</f>
        <v>0.871575491002988</v>
      </c>
      <c r="J424" s="37" t="n">
        <f aca="false">A424/2840</f>
        <v>0.146830985915493</v>
      </c>
      <c r="K424" s="32" t="str">
        <f aca="false">IF(I424&lt;=$E$4,"A",IF(I424&lt;=$E$5,"B","C"))</f>
        <v>B</v>
      </c>
    </row>
    <row r="425" customFormat="false" ht="15" hidden="false" customHeight="false" outlineLevel="0" collapsed="false">
      <c r="A425" s="32" t="n">
        <v>418</v>
      </c>
      <c r="B425" s="33" t="n">
        <v>1464478</v>
      </c>
      <c r="C425" s="34" t="s">
        <v>914</v>
      </c>
      <c r="D425" s="34" t="s">
        <v>915</v>
      </c>
      <c r="E425" s="34" t="s">
        <v>705</v>
      </c>
      <c r="F425" s="32" t="n">
        <f aca="false">COUNTIF(Base!$D$2:$D$2878,B425)</f>
        <v>1</v>
      </c>
      <c r="G425" s="35" t="n">
        <f aca="false">SUMIF(Base!$D$2:$D$2878,B425,Base!$I$2:$I$2878)</f>
        <v>4825.2</v>
      </c>
      <c r="H425" s="36" t="n">
        <f aca="false">IF($G$2849=0,0,G425/$G$2849)</f>
        <v>0.000316640366463274</v>
      </c>
      <c r="I425" s="37" t="n">
        <f aca="false">I424+H425</f>
        <v>0.871892131369451</v>
      </c>
      <c r="J425" s="37" t="n">
        <f aca="false">A425/2840</f>
        <v>0.147183098591549</v>
      </c>
      <c r="K425" s="32" t="str">
        <f aca="false">IF(I425&lt;=$E$4,"A",IF(I425&lt;=$E$5,"B","C"))</f>
        <v>B</v>
      </c>
    </row>
    <row r="426" customFormat="false" ht="15" hidden="false" customHeight="false" outlineLevel="0" collapsed="false">
      <c r="A426" s="32" t="n">
        <v>419</v>
      </c>
      <c r="B426" s="33" t="n">
        <v>1319425</v>
      </c>
      <c r="C426" s="34" t="s">
        <v>916</v>
      </c>
      <c r="D426" s="34" t="s">
        <v>917</v>
      </c>
      <c r="E426" s="34" t="s">
        <v>217</v>
      </c>
      <c r="F426" s="32" t="n">
        <f aca="false">COUNTIF(Base!$D$2:$D$2878,B426)</f>
        <v>1</v>
      </c>
      <c r="G426" s="35" t="n">
        <f aca="false">SUMIF(Base!$D$2:$D$2878,B426,Base!$I$2:$I$2878)</f>
        <v>4811.68</v>
      </c>
      <c r="H426" s="36" t="n">
        <f aca="false">IF($G$2849=0,0,G426/$G$2849)</f>
        <v>0.000315753153963361</v>
      </c>
      <c r="I426" s="37" t="n">
        <f aca="false">I425+H426</f>
        <v>0.872207884523415</v>
      </c>
      <c r="J426" s="37" t="n">
        <f aca="false">A426/2840</f>
        <v>0.147535211267606</v>
      </c>
      <c r="K426" s="32" t="str">
        <f aca="false">IF(I426&lt;=$E$4,"A",IF(I426&lt;=$E$5,"B","C"))</f>
        <v>B</v>
      </c>
    </row>
    <row r="427" customFormat="false" ht="15" hidden="false" customHeight="false" outlineLevel="0" collapsed="false">
      <c r="A427" s="32" t="n">
        <v>420</v>
      </c>
      <c r="B427" s="33" t="n">
        <v>1476239</v>
      </c>
      <c r="C427" s="34" t="s">
        <v>918</v>
      </c>
      <c r="D427" s="34" t="s">
        <v>919</v>
      </c>
      <c r="E427" s="34" t="s">
        <v>133</v>
      </c>
      <c r="F427" s="32" t="n">
        <f aca="false">COUNTIF(Base!$D$2:$D$2878,B427)</f>
        <v>1</v>
      </c>
      <c r="G427" s="35" t="n">
        <f aca="false">SUMIF(Base!$D$2:$D$2878,B427,Base!$I$2:$I$2878)</f>
        <v>4800</v>
      </c>
      <c r="H427" s="36" t="n">
        <f aca="false">IF($G$2849=0,0,G427/$G$2849)</f>
        <v>0.000314986686359885</v>
      </c>
      <c r="I427" s="37" t="n">
        <f aca="false">I426+H427</f>
        <v>0.872522871209774</v>
      </c>
      <c r="J427" s="37" t="n">
        <f aca="false">A427/2840</f>
        <v>0.147887323943662</v>
      </c>
      <c r="K427" s="32" t="str">
        <f aca="false">IF(I427&lt;=$E$4,"A",IF(I427&lt;=$E$5,"B","C"))</f>
        <v>B</v>
      </c>
    </row>
    <row r="428" customFormat="false" ht="15" hidden="false" customHeight="false" outlineLevel="0" collapsed="false">
      <c r="A428" s="32" t="n">
        <v>421</v>
      </c>
      <c r="B428" s="33" t="n">
        <v>22694</v>
      </c>
      <c r="C428" s="34" t="s">
        <v>920</v>
      </c>
      <c r="D428" s="34" t="s">
        <v>921</v>
      </c>
      <c r="E428" s="34" t="s">
        <v>54</v>
      </c>
      <c r="F428" s="32" t="n">
        <f aca="false">COUNTIF(Base!$D$2:$D$2878,B428)</f>
        <v>1</v>
      </c>
      <c r="G428" s="35" t="n">
        <f aca="false">SUMIF(Base!$D$2:$D$2878,B428,Base!$I$2:$I$2878)</f>
        <v>4745</v>
      </c>
      <c r="H428" s="36" t="n">
        <f aca="false">IF($G$2849=0,0,G428/$G$2849)</f>
        <v>0.000311377463912011</v>
      </c>
      <c r="I428" s="37" t="n">
        <f aca="false">I427+H428</f>
        <v>0.872834248673686</v>
      </c>
      <c r="J428" s="37" t="n">
        <f aca="false">A428/2840</f>
        <v>0.148239436619718</v>
      </c>
      <c r="K428" s="32" t="str">
        <f aca="false">IF(I428&lt;=$E$4,"A",IF(I428&lt;=$E$5,"B","C"))</f>
        <v>B</v>
      </c>
    </row>
    <row r="429" customFormat="false" ht="15" hidden="false" customHeight="false" outlineLevel="0" collapsed="false">
      <c r="A429" s="32" t="n">
        <v>422</v>
      </c>
      <c r="B429" s="33" t="n">
        <v>145318</v>
      </c>
      <c r="C429" s="34" t="s">
        <v>922</v>
      </c>
      <c r="D429" s="34" t="s">
        <v>923</v>
      </c>
      <c r="E429" s="34" t="s">
        <v>66</v>
      </c>
      <c r="F429" s="32" t="n">
        <f aca="false">COUNTIF(Base!$D$2:$D$2878,B429)</f>
        <v>1</v>
      </c>
      <c r="G429" s="35" t="n">
        <f aca="false">SUMIF(Base!$D$2:$D$2878,B429,Base!$I$2:$I$2878)</f>
        <v>4730</v>
      </c>
      <c r="H429" s="36" t="n">
        <f aca="false">IF($G$2849=0,0,G429/$G$2849)</f>
        <v>0.000310393130517137</v>
      </c>
      <c r="I429" s="37" t="n">
        <f aca="false">I428+H429</f>
        <v>0.873144641804204</v>
      </c>
      <c r="J429" s="37" t="n">
        <f aca="false">A429/2840</f>
        <v>0.148591549295775</v>
      </c>
      <c r="K429" s="32" t="str">
        <f aca="false">IF(I429&lt;=$E$4,"A",IF(I429&lt;=$E$5,"B","C"))</f>
        <v>B</v>
      </c>
    </row>
    <row r="430" customFormat="false" ht="15" hidden="false" customHeight="false" outlineLevel="0" collapsed="false">
      <c r="A430" s="32" t="n">
        <v>423</v>
      </c>
      <c r="B430" s="33" t="n">
        <v>1679656</v>
      </c>
      <c r="C430" s="34" t="s">
        <v>924</v>
      </c>
      <c r="D430" s="34" t="s">
        <v>925</v>
      </c>
      <c r="E430" s="34" t="s">
        <v>480</v>
      </c>
      <c r="F430" s="32" t="n">
        <f aca="false">COUNTIF(Base!$D$2:$D$2878,B430)</f>
        <v>1</v>
      </c>
      <c r="G430" s="35" t="n">
        <f aca="false">SUMIF(Base!$D$2:$D$2878,B430,Base!$I$2:$I$2878)</f>
        <v>4704</v>
      </c>
      <c r="H430" s="36" t="n">
        <f aca="false">IF($G$2849=0,0,G430/$G$2849)</f>
        <v>0.000308686952632687</v>
      </c>
      <c r="I430" s="37" t="n">
        <f aca="false">I429+H430</f>
        <v>0.873453328756836</v>
      </c>
      <c r="J430" s="37" t="n">
        <f aca="false">A430/2840</f>
        <v>0.148943661971831</v>
      </c>
      <c r="K430" s="32" t="str">
        <f aca="false">IF(I430&lt;=$E$4,"A",IF(I430&lt;=$E$5,"B","C"))</f>
        <v>B</v>
      </c>
    </row>
    <row r="431" customFormat="false" ht="15" hidden="false" customHeight="false" outlineLevel="0" collapsed="false">
      <c r="A431" s="32" t="n">
        <v>424</v>
      </c>
      <c r="B431" s="33" t="n">
        <v>1386845</v>
      </c>
      <c r="C431" s="34" t="s">
        <v>926</v>
      </c>
      <c r="D431" s="34" t="s">
        <v>927</v>
      </c>
      <c r="E431" s="34" t="s">
        <v>100</v>
      </c>
      <c r="F431" s="32" t="n">
        <f aca="false">COUNTIF(Base!$D$2:$D$2878,B431)</f>
        <v>1</v>
      </c>
      <c r="G431" s="35" t="n">
        <f aca="false">SUMIF(Base!$D$2:$D$2878,B431,Base!$I$2:$I$2878)</f>
        <v>4702.04</v>
      </c>
      <c r="H431" s="36" t="n">
        <f aca="false">IF($G$2849=0,0,G431/$G$2849)</f>
        <v>0.00030855833306909</v>
      </c>
      <c r="I431" s="37" t="n">
        <f aca="false">I430+H431</f>
        <v>0.873761887089905</v>
      </c>
      <c r="J431" s="37" t="n">
        <f aca="false">A431/2840</f>
        <v>0.149295774647887</v>
      </c>
      <c r="K431" s="32" t="str">
        <f aca="false">IF(I431&lt;=$E$4,"A",IF(I431&lt;=$E$5,"B","C"))</f>
        <v>B</v>
      </c>
    </row>
    <row r="432" customFormat="false" ht="15" hidden="false" customHeight="false" outlineLevel="0" collapsed="false">
      <c r="A432" s="32" t="n">
        <v>425</v>
      </c>
      <c r="B432" s="33" t="n">
        <v>259864</v>
      </c>
      <c r="C432" s="34" t="s">
        <v>928</v>
      </c>
      <c r="D432" s="34" t="s">
        <v>929</v>
      </c>
      <c r="E432" s="34" t="s">
        <v>605</v>
      </c>
      <c r="F432" s="32" t="n">
        <f aca="false">COUNTIF(Base!$D$2:$D$2878,B432)</f>
        <v>1</v>
      </c>
      <c r="G432" s="35" t="n">
        <f aca="false">SUMIF(Base!$D$2:$D$2878,B432,Base!$I$2:$I$2878)</f>
        <v>4665</v>
      </c>
      <c r="H432" s="36" t="n">
        <f aca="false">IF($G$2849=0,0,G432/$G$2849)</f>
        <v>0.000306127685806013</v>
      </c>
      <c r="I432" s="37" t="n">
        <f aca="false">I431+H432</f>
        <v>0.874068014775711</v>
      </c>
      <c r="J432" s="37" t="n">
        <f aca="false">A432/2840</f>
        <v>0.149647887323944</v>
      </c>
      <c r="K432" s="32" t="str">
        <f aca="false">IF(I432&lt;=$E$4,"A",IF(I432&lt;=$E$5,"B","C"))</f>
        <v>B</v>
      </c>
    </row>
    <row r="433" customFormat="false" ht="15" hidden="false" customHeight="false" outlineLevel="0" collapsed="false">
      <c r="A433" s="32" t="n">
        <v>426</v>
      </c>
      <c r="B433" s="33" t="n">
        <v>1674330</v>
      </c>
      <c r="C433" s="34" t="s">
        <v>930</v>
      </c>
      <c r="D433" s="34" t="s">
        <v>931</v>
      </c>
      <c r="E433" s="34" t="s">
        <v>480</v>
      </c>
      <c r="F433" s="32" t="n">
        <f aca="false">COUNTIF(Base!$D$2:$D$2878,B433)</f>
        <v>1</v>
      </c>
      <c r="G433" s="35" t="n">
        <f aca="false">SUMIF(Base!$D$2:$D$2878,B433,Base!$I$2:$I$2878)</f>
        <v>4620</v>
      </c>
      <c r="H433" s="36" t="n">
        <f aca="false">IF($G$2849=0,0,G433/$G$2849)</f>
        <v>0.000303174685621389</v>
      </c>
      <c r="I433" s="37" t="n">
        <f aca="false">I432+H433</f>
        <v>0.874371189461333</v>
      </c>
      <c r="J433" s="37" t="n">
        <f aca="false">A433/2840</f>
        <v>0.15</v>
      </c>
      <c r="K433" s="32" t="str">
        <f aca="false">IF(I433&lt;=$E$4,"A",IF(I433&lt;=$E$5,"B","C"))</f>
        <v>B</v>
      </c>
    </row>
    <row r="434" customFormat="false" ht="15" hidden="false" customHeight="false" outlineLevel="0" collapsed="false">
      <c r="A434" s="32" t="n">
        <v>427</v>
      </c>
      <c r="B434" s="33" t="n">
        <v>1674331</v>
      </c>
      <c r="C434" s="34" t="s">
        <v>932</v>
      </c>
      <c r="D434" s="34" t="s">
        <v>933</v>
      </c>
      <c r="E434" s="34" t="s">
        <v>480</v>
      </c>
      <c r="F434" s="32" t="n">
        <f aca="false">COUNTIF(Base!$D$2:$D$2878,B434)</f>
        <v>1</v>
      </c>
      <c r="G434" s="35" t="n">
        <f aca="false">SUMIF(Base!$D$2:$D$2878,B434,Base!$I$2:$I$2878)</f>
        <v>4620</v>
      </c>
      <c r="H434" s="36" t="n">
        <f aca="false">IF($G$2849=0,0,G434/$G$2849)</f>
        <v>0.000303174685621389</v>
      </c>
      <c r="I434" s="37" t="n">
        <f aca="false">I433+H434</f>
        <v>0.874674364146954</v>
      </c>
      <c r="J434" s="37" t="n">
        <f aca="false">A434/2840</f>
        <v>0.150352112676056</v>
      </c>
      <c r="K434" s="32" t="str">
        <f aca="false">IF(I434&lt;=$E$4,"A",IF(I434&lt;=$E$5,"B","C"))</f>
        <v>B</v>
      </c>
    </row>
    <row r="435" customFormat="false" ht="15" hidden="false" customHeight="false" outlineLevel="0" collapsed="false">
      <c r="A435" s="32" t="n">
        <v>428</v>
      </c>
      <c r="B435" s="33" t="n">
        <v>1478260</v>
      </c>
      <c r="C435" s="34" t="s">
        <v>934</v>
      </c>
      <c r="D435" s="34" t="s">
        <v>935</v>
      </c>
      <c r="E435" s="34" t="s">
        <v>133</v>
      </c>
      <c r="F435" s="32" t="n">
        <f aca="false">COUNTIF(Base!$D$2:$D$2878,B435)</f>
        <v>1</v>
      </c>
      <c r="G435" s="35" t="n">
        <f aca="false">SUMIF(Base!$D$2:$D$2878,B435,Base!$I$2:$I$2878)</f>
        <v>4603.15</v>
      </c>
      <c r="H435" s="36" t="n">
        <f aca="false">IF($G$2849=0,0,G435/$G$2849)</f>
        <v>0.000302068951107813</v>
      </c>
      <c r="I435" s="37" t="n">
        <f aca="false">I434+H435</f>
        <v>0.874976433098062</v>
      </c>
      <c r="J435" s="37" t="n">
        <f aca="false">A435/2840</f>
        <v>0.150704225352113</v>
      </c>
      <c r="K435" s="32" t="str">
        <f aca="false">IF(I435&lt;=$E$4,"A",IF(I435&lt;=$E$5,"B","C"))</f>
        <v>B</v>
      </c>
    </row>
    <row r="436" customFormat="false" ht="15" hidden="false" customHeight="false" outlineLevel="0" collapsed="false">
      <c r="A436" s="32" t="n">
        <v>429</v>
      </c>
      <c r="B436" s="33" t="n">
        <v>1387038</v>
      </c>
      <c r="C436" s="34" t="s">
        <v>936</v>
      </c>
      <c r="D436" s="34" t="s">
        <v>937</v>
      </c>
      <c r="E436" s="34" t="s">
        <v>133</v>
      </c>
      <c r="F436" s="32" t="n">
        <f aca="false">COUNTIF(Base!$D$2:$D$2878,B436)</f>
        <v>1</v>
      </c>
      <c r="G436" s="35" t="n">
        <f aca="false">SUMIF(Base!$D$2:$D$2878,B436,Base!$I$2:$I$2878)</f>
        <v>4521.03</v>
      </c>
      <c r="H436" s="36" t="n">
        <f aca="false">IF($G$2849=0,0,G436/$G$2849)</f>
        <v>0.000296680053882006</v>
      </c>
      <c r="I436" s="37" t="n">
        <f aca="false">I435+H436</f>
        <v>0.875273113151944</v>
      </c>
      <c r="J436" s="37" t="n">
        <f aca="false">A436/2840</f>
        <v>0.151056338028169</v>
      </c>
      <c r="K436" s="32" t="str">
        <f aca="false">IF(I436&lt;=$E$4,"A",IF(I436&lt;=$E$5,"B","C"))</f>
        <v>B</v>
      </c>
    </row>
    <row r="437" customFormat="false" ht="15" hidden="false" customHeight="false" outlineLevel="0" collapsed="false">
      <c r="A437" s="32" t="n">
        <v>430</v>
      </c>
      <c r="B437" s="33" t="n">
        <v>1088162</v>
      </c>
      <c r="C437" s="34" t="s">
        <v>938</v>
      </c>
      <c r="D437" s="34" t="s">
        <v>939</v>
      </c>
      <c r="E437" s="34" t="s">
        <v>189</v>
      </c>
      <c r="F437" s="32" t="n">
        <f aca="false">COUNTIF(Base!$D$2:$D$2878,B437)</f>
        <v>1</v>
      </c>
      <c r="G437" s="35" t="n">
        <f aca="false">SUMIF(Base!$D$2:$D$2878,B437,Base!$I$2:$I$2878)</f>
        <v>4500</v>
      </c>
      <c r="H437" s="36" t="n">
        <f aca="false">IF($G$2849=0,0,G437/$G$2849)</f>
        <v>0.000295300018462392</v>
      </c>
      <c r="I437" s="37" t="n">
        <f aca="false">I436+H437</f>
        <v>0.875568413170406</v>
      </c>
      <c r="J437" s="37" t="n">
        <f aca="false">A437/2840</f>
        <v>0.151408450704225</v>
      </c>
      <c r="K437" s="32" t="str">
        <f aca="false">IF(I437&lt;=$E$4,"A",IF(I437&lt;=$E$5,"B","C"))</f>
        <v>B</v>
      </c>
    </row>
    <row r="438" customFormat="false" ht="15" hidden="false" customHeight="false" outlineLevel="0" collapsed="false">
      <c r="A438" s="32" t="n">
        <v>431</v>
      </c>
      <c r="B438" s="33" t="n">
        <v>1319146</v>
      </c>
      <c r="C438" s="34" t="s">
        <v>940</v>
      </c>
      <c r="D438" s="34" t="s">
        <v>941</v>
      </c>
      <c r="E438" s="34" t="s">
        <v>563</v>
      </c>
      <c r="F438" s="32" t="n">
        <f aca="false">COUNTIF(Base!$D$2:$D$2878,B438)</f>
        <v>1</v>
      </c>
      <c r="G438" s="35" t="n">
        <f aca="false">SUMIF(Base!$D$2:$D$2878,B438,Base!$I$2:$I$2878)</f>
        <v>4500</v>
      </c>
      <c r="H438" s="36" t="n">
        <f aca="false">IF($G$2849=0,0,G438/$G$2849)</f>
        <v>0.000295300018462392</v>
      </c>
      <c r="I438" s="37" t="n">
        <f aca="false">I437+H438</f>
        <v>0.875863713188869</v>
      </c>
      <c r="J438" s="37" t="n">
        <f aca="false">A438/2840</f>
        <v>0.151760563380282</v>
      </c>
      <c r="K438" s="32" t="str">
        <f aca="false">IF(I438&lt;=$E$4,"A",IF(I438&lt;=$E$5,"B","C"))</f>
        <v>B</v>
      </c>
    </row>
    <row r="439" customFormat="false" ht="15" hidden="false" customHeight="false" outlineLevel="0" collapsed="false">
      <c r="A439" s="32" t="n">
        <v>432</v>
      </c>
      <c r="B439" s="33" t="n">
        <v>1672549</v>
      </c>
      <c r="C439" s="34" t="s">
        <v>942</v>
      </c>
      <c r="D439" s="34" t="s">
        <v>943</v>
      </c>
      <c r="E439" s="34" t="s">
        <v>66</v>
      </c>
      <c r="F439" s="32" t="n">
        <f aca="false">COUNTIF(Base!$D$2:$D$2878,B439)</f>
        <v>1</v>
      </c>
      <c r="G439" s="35" t="n">
        <f aca="false">SUMIF(Base!$D$2:$D$2878,B439,Base!$I$2:$I$2878)</f>
        <v>4493</v>
      </c>
      <c r="H439" s="36" t="n">
        <f aca="false">IF($G$2849=0,0,G439/$G$2849)</f>
        <v>0.000294840662878117</v>
      </c>
      <c r="I439" s="37" t="n">
        <f aca="false">I438+H439</f>
        <v>0.876158553851747</v>
      </c>
      <c r="J439" s="37" t="n">
        <f aca="false">A439/2840</f>
        <v>0.152112676056338</v>
      </c>
      <c r="K439" s="32" t="str">
        <f aca="false">IF(I439&lt;=$E$4,"A",IF(I439&lt;=$E$5,"B","C"))</f>
        <v>B</v>
      </c>
    </row>
    <row r="440" customFormat="false" ht="15" hidden="false" customHeight="false" outlineLevel="0" collapsed="false">
      <c r="A440" s="32" t="n">
        <v>433</v>
      </c>
      <c r="B440" s="33" t="n">
        <v>1672555</v>
      </c>
      <c r="C440" s="34" t="s">
        <v>944</v>
      </c>
      <c r="D440" s="34" t="s">
        <v>945</v>
      </c>
      <c r="E440" s="34" t="s">
        <v>66</v>
      </c>
      <c r="F440" s="32" t="n">
        <f aca="false">COUNTIF(Base!$D$2:$D$2878,B440)</f>
        <v>1</v>
      </c>
      <c r="G440" s="35" t="n">
        <f aca="false">SUMIF(Base!$D$2:$D$2878,B440,Base!$I$2:$I$2878)</f>
        <v>4492.8</v>
      </c>
      <c r="H440" s="36" t="n">
        <f aca="false">IF($G$2849=0,0,G440/$G$2849)</f>
        <v>0.000294827538432852</v>
      </c>
      <c r="I440" s="37" t="n">
        <f aca="false">I439+H440</f>
        <v>0.87645338139018</v>
      </c>
      <c r="J440" s="37" t="n">
        <f aca="false">A440/2840</f>
        <v>0.152464788732394</v>
      </c>
      <c r="K440" s="32" t="str">
        <f aca="false">IF(I440&lt;=$E$4,"A",IF(I440&lt;=$E$5,"B","C"))</f>
        <v>B</v>
      </c>
    </row>
    <row r="441" customFormat="false" ht="15" hidden="false" customHeight="false" outlineLevel="0" collapsed="false">
      <c r="A441" s="32" t="n">
        <v>434</v>
      </c>
      <c r="B441" s="33" t="n">
        <v>1259179</v>
      </c>
      <c r="C441" s="34" t="s">
        <v>946</v>
      </c>
      <c r="D441" s="34" t="s">
        <v>947</v>
      </c>
      <c r="E441" s="34" t="s">
        <v>133</v>
      </c>
      <c r="F441" s="32" t="n">
        <f aca="false">COUNTIF(Base!$D$2:$D$2878,B441)</f>
        <v>1</v>
      </c>
      <c r="G441" s="35" t="n">
        <f aca="false">SUMIF(Base!$D$2:$D$2878,B441,Base!$I$2:$I$2878)</f>
        <v>4482</v>
      </c>
      <c r="H441" s="36" t="n">
        <f aca="false">IF($G$2849=0,0,G441/$G$2849)</f>
        <v>0.000294118818388543</v>
      </c>
      <c r="I441" s="37" t="n">
        <f aca="false">I440+H441</f>
        <v>0.876747500208568</v>
      </c>
      <c r="J441" s="37" t="n">
        <f aca="false">A441/2840</f>
        <v>0.152816901408451</v>
      </c>
      <c r="K441" s="32" t="str">
        <f aca="false">IF(I441&lt;=$E$4,"A",IF(I441&lt;=$E$5,"B","C"))</f>
        <v>B</v>
      </c>
    </row>
    <row r="442" customFormat="false" ht="15" hidden="false" customHeight="false" outlineLevel="0" collapsed="false">
      <c r="A442" s="32" t="n">
        <v>435</v>
      </c>
      <c r="B442" s="33" t="n">
        <v>867723</v>
      </c>
      <c r="C442" s="34" t="s">
        <v>948</v>
      </c>
      <c r="D442" s="34" t="s">
        <v>949</v>
      </c>
      <c r="E442" s="34" t="s">
        <v>247</v>
      </c>
      <c r="F442" s="32" t="n">
        <f aca="false">COUNTIF(Base!$D$2:$D$2878,B442)</f>
        <v>2</v>
      </c>
      <c r="G442" s="35" t="n">
        <f aca="false">SUMIF(Base!$D$2:$D$2878,B442,Base!$I$2:$I$2878)</f>
        <v>4467.31</v>
      </c>
      <c r="H442" s="36" t="n">
        <f aca="false">IF($G$2849=0,0,G442/$G$2849)</f>
        <v>0.000293154827883829</v>
      </c>
      <c r="I442" s="37" t="n">
        <f aca="false">I441+H442</f>
        <v>0.877040655036452</v>
      </c>
      <c r="J442" s="37" t="n">
        <f aca="false">A442/2840</f>
        <v>0.153169014084507</v>
      </c>
      <c r="K442" s="32" t="str">
        <f aca="false">IF(I442&lt;=$E$4,"A",IF(I442&lt;=$E$5,"B","C"))</f>
        <v>B</v>
      </c>
    </row>
    <row r="443" customFormat="false" ht="15" hidden="false" customHeight="false" outlineLevel="0" collapsed="false">
      <c r="A443" s="32" t="n">
        <v>436</v>
      </c>
      <c r="B443" s="33" t="n">
        <v>1387274</v>
      </c>
      <c r="C443" s="34" t="s">
        <v>950</v>
      </c>
      <c r="D443" s="34" t="s">
        <v>951</v>
      </c>
      <c r="E443" s="34" t="s">
        <v>394</v>
      </c>
      <c r="F443" s="32" t="n">
        <f aca="false">COUNTIF(Base!$D$2:$D$2878,B443)</f>
        <v>1</v>
      </c>
      <c r="G443" s="35" t="n">
        <f aca="false">SUMIF(Base!$D$2:$D$2878,B443,Base!$I$2:$I$2878)</f>
        <v>4456.38</v>
      </c>
      <c r="H443" s="36" t="n">
        <f aca="false">IF($G$2849=0,0,G443/$G$2849)</f>
        <v>0.000292437576950097</v>
      </c>
      <c r="I443" s="37" t="n">
        <f aca="false">I442+H443</f>
        <v>0.877333092613402</v>
      </c>
      <c r="J443" s="37" t="n">
        <f aca="false">A443/2840</f>
        <v>0.153521126760563</v>
      </c>
      <c r="K443" s="32" t="str">
        <f aca="false">IF(I443&lt;=$E$4,"A",IF(I443&lt;=$E$5,"B","C"))</f>
        <v>B</v>
      </c>
    </row>
    <row r="444" customFormat="false" ht="15" hidden="false" customHeight="false" outlineLevel="0" collapsed="false">
      <c r="A444" s="32" t="n">
        <v>437</v>
      </c>
      <c r="B444" s="33" t="n">
        <v>1113619</v>
      </c>
      <c r="C444" s="34" t="s">
        <v>952</v>
      </c>
      <c r="D444" s="34" t="s">
        <v>953</v>
      </c>
      <c r="E444" s="34" t="s">
        <v>100</v>
      </c>
      <c r="F444" s="32" t="n">
        <f aca="false">COUNTIF(Base!$D$2:$D$2878,B444)</f>
        <v>1</v>
      </c>
      <c r="G444" s="35" t="n">
        <f aca="false">SUMIF(Base!$D$2:$D$2878,B444,Base!$I$2:$I$2878)</f>
        <v>4418.16</v>
      </c>
      <c r="H444" s="36" t="n">
        <f aca="false">IF($G$2849=0,0,G444/$G$2849)</f>
        <v>0.000289929495459956</v>
      </c>
      <c r="I444" s="37" t="n">
        <f aca="false">I443+H444</f>
        <v>0.877623022108862</v>
      </c>
      <c r="J444" s="37" t="n">
        <f aca="false">A444/2840</f>
        <v>0.15387323943662</v>
      </c>
      <c r="K444" s="32" t="str">
        <f aca="false">IF(I444&lt;=$E$4,"A",IF(I444&lt;=$E$5,"B","C"))</f>
        <v>B</v>
      </c>
    </row>
    <row r="445" customFormat="false" ht="15" hidden="false" customHeight="false" outlineLevel="0" collapsed="false">
      <c r="A445" s="32" t="n">
        <v>438</v>
      </c>
      <c r="B445" s="33" t="n">
        <v>1311230</v>
      </c>
      <c r="C445" s="34" t="s">
        <v>954</v>
      </c>
      <c r="D445" s="34" t="s">
        <v>955</v>
      </c>
      <c r="E445" s="34" t="s">
        <v>570</v>
      </c>
      <c r="F445" s="32" t="n">
        <f aca="false">COUNTIF(Base!$D$2:$D$2878,B445)</f>
        <v>1</v>
      </c>
      <c r="G445" s="35" t="n">
        <f aca="false">SUMIF(Base!$D$2:$D$2878,B445,Base!$I$2:$I$2878)</f>
        <v>4413.5</v>
      </c>
      <c r="H445" s="36" t="n">
        <f aca="false">IF($G$2849=0,0,G445/$G$2849)</f>
        <v>0.000289623695885282</v>
      </c>
      <c r="I445" s="37" t="n">
        <f aca="false">I444+H445</f>
        <v>0.877912645804747</v>
      </c>
      <c r="J445" s="37" t="n">
        <f aca="false">A445/2840</f>
        <v>0.154225352112676</v>
      </c>
      <c r="K445" s="32" t="str">
        <f aca="false">IF(I445&lt;=$E$4,"A",IF(I445&lt;=$E$5,"B","C"))</f>
        <v>B</v>
      </c>
    </row>
    <row r="446" customFormat="false" ht="15" hidden="false" customHeight="false" outlineLevel="0" collapsed="false">
      <c r="A446" s="32" t="n">
        <v>439</v>
      </c>
      <c r="B446" s="33" t="n">
        <v>1470933</v>
      </c>
      <c r="C446" s="34" t="s">
        <v>956</v>
      </c>
      <c r="D446" s="34" t="s">
        <v>957</v>
      </c>
      <c r="E446" s="34" t="s">
        <v>54</v>
      </c>
      <c r="F446" s="32" t="n">
        <f aca="false">COUNTIF(Base!$D$2:$D$2878,B446)</f>
        <v>1</v>
      </c>
      <c r="G446" s="35" t="n">
        <f aca="false">SUMIF(Base!$D$2:$D$2878,B446,Base!$I$2:$I$2878)</f>
        <v>4400</v>
      </c>
      <c r="H446" s="36" t="n">
        <f aca="false">IF($G$2849=0,0,G446/$G$2849)</f>
        <v>0.000288737795829894</v>
      </c>
      <c r="I446" s="37" t="n">
        <f aca="false">I445+H446</f>
        <v>0.878201383600577</v>
      </c>
      <c r="J446" s="37" t="n">
        <f aca="false">A446/2840</f>
        <v>0.154577464788732</v>
      </c>
      <c r="K446" s="32" t="str">
        <f aca="false">IF(I446&lt;=$E$4,"A",IF(I446&lt;=$E$5,"B","C"))</f>
        <v>B</v>
      </c>
    </row>
    <row r="447" customFormat="false" ht="15" hidden="false" customHeight="false" outlineLevel="0" collapsed="false">
      <c r="A447" s="32" t="n">
        <v>440</v>
      </c>
      <c r="B447" s="33" t="n">
        <v>1383151</v>
      </c>
      <c r="C447" s="34" t="s">
        <v>958</v>
      </c>
      <c r="D447" s="34" t="s">
        <v>959</v>
      </c>
      <c r="E447" s="34" t="s">
        <v>54</v>
      </c>
      <c r="F447" s="32" t="n">
        <f aca="false">COUNTIF(Base!$D$2:$D$2878,B447)</f>
        <v>1</v>
      </c>
      <c r="G447" s="35" t="n">
        <f aca="false">SUMIF(Base!$D$2:$D$2878,B447,Base!$I$2:$I$2878)</f>
        <v>4394.87</v>
      </c>
      <c r="H447" s="36" t="n">
        <f aca="false">IF($G$2849=0,0,G447/$G$2849)</f>
        <v>0.000288401153808847</v>
      </c>
      <c r="I447" s="37" t="n">
        <f aca="false">I446+H447</f>
        <v>0.878489784754386</v>
      </c>
      <c r="J447" s="37" t="n">
        <f aca="false">A447/2840</f>
        <v>0.154929577464789</v>
      </c>
      <c r="K447" s="32" t="str">
        <f aca="false">IF(I447&lt;=$E$4,"A",IF(I447&lt;=$E$5,"B","C"))</f>
        <v>B</v>
      </c>
    </row>
    <row r="448" customFormat="false" ht="15" hidden="false" customHeight="false" outlineLevel="0" collapsed="false">
      <c r="A448" s="32" t="n">
        <v>441</v>
      </c>
      <c r="B448" s="33" t="n">
        <v>884972</v>
      </c>
      <c r="C448" s="34" t="s">
        <v>960</v>
      </c>
      <c r="D448" s="34" t="s">
        <v>961</v>
      </c>
      <c r="E448" s="34" t="s">
        <v>130</v>
      </c>
      <c r="F448" s="32" t="n">
        <f aca="false">COUNTIF(Base!$D$2:$D$2878,B448)</f>
        <v>1</v>
      </c>
      <c r="G448" s="35" t="n">
        <f aca="false">SUMIF(Base!$D$2:$D$2878,B448,Base!$I$2:$I$2878)</f>
        <v>4350</v>
      </c>
      <c r="H448" s="36" t="n">
        <f aca="false">IF($G$2849=0,0,G448/$G$2849)</f>
        <v>0.000285456684513646</v>
      </c>
      <c r="I448" s="37" t="n">
        <f aca="false">I447+H448</f>
        <v>0.8787752414389</v>
      </c>
      <c r="J448" s="37" t="n">
        <f aca="false">A448/2840</f>
        <v>0.155281690140845</v>
      </c>
      <c r="K448" s="32" t="str">
        <f aca="false">IF(I448&lt;=$E$4,"A",IF(I448&lt;=$E$5,"B","C"))</f>
        <v>B</v>
      </c>
    </row>
    <row r="449" customFormat="false" ht="15" hidden="false" customHeight="false" outlineLevel="0" collapsed="false">
      <c r="A449" s="32" t="n">
        <v>442</v>
      </c>
      <c r="B449" s="33" t="n">
        <v>1258630</v>
      </c>
      <c r="C449" s="34" t="s">
        <v>962</v>
      </c>
      <c r="D449" s="34" t="s">
        <v>963</v>
      </c>
      <c r="E449" s="34" t="s">
        <v>247</v>
      </c>
      <c r="F449" s="32" t="n">
        <f aca="false">COUNTIF(Base!$D$2:$D$2878,B449)</f>
        <v>1</v>
      </c>
      <c r="G449" s="35" t="n">
        <f aca="false">SUMIF(Base!$D$2:$D$2878,B449,Base!$I$2:$I$2878)</f>
        <v>4350</v>
      </c>
      <c r="H449" s="36" t="n">
        <f aca="false">IF($G$2849=0,0,G449/$G$2849)</f>
        <v>0.000285456684513646</v>
      </c>
      <c r="I449" s="37" t="n">
        <f aca="false">I448+H449</f>
        <v>0.879060698123413</v>
      </c>
      <c r="J449" s="37" t="n">
        <f aca="false">A449/2840</f>
        <v>0.155633802816901</v>
      </c>
      <c r="K449" s="32" t="str">
        <f aca="false">IF(I449&lt;=$E$4,"A",IF(I449&lt;=$E$5,"B","C"))</f>
        <v>B</v>
      </c>
    </row>
    <row r="450" customFormat="false" ht="15" hidden="false" customHeight="false" outlineLevel="0" collapsed="false">
      <c r="A450" s="32" t="n">
        <v>443</v>
      </c>
      <c r="B450" s="33" t="n">
        <v>1385728</v>
      </c>
      <c r="C450" s="34" t="s">
        <v>964</v>
      </c>
      <c r="D450" s="34" t="s">
        <v>965</v>
      </c>
      <c r="E450" s="34" t="s">
        <v>38</v>
      </c>
      <c r="F450" s="32" t="n">
        <f aca="false">COUNTIF(Base!$D$2:$D$2878,B450)</f>
        <v>1</v>
      </c>
      <c r="G450" s="35" t="n">
        <f aca="false">SUMIF(Base!$D$2:$D$2878,B450,Base!$I$2:$I$2878)</f>
        <v>4347.24</v>
      </c>
      <c r="H450" s="36" t="n">
        <f aca="false">IF($G$2849=0,0,G450/$G$2849)</f>
        <v>0.000285275567168989</v>
      </c>
      <c r="I450" s="37" t="n">
        <f aca="false">I449+H450</f>
        <v>0.879345973690582</v>
      </c>
      <c r="J450" s="37" t="n">
        <f aca="false">A450/2840</f>
        <v>0.155985915492958</v>
      </c>
      <c r="K450" s="32" t="str">
        <f aca="false">IF(I450&lt;=$E$4,"A",IF(I450&lt;=$E$5,"B","C"))</f>
        <v>B</v>
      </c>
    </row>
    <row r="451" customFormat="false" ht="15" hidden="false" customHeight="false" outlineLevel="0" collapsed="false">
      <c r="A451" s="32" t="n">
        <v>444</v>
      </c>
      <c r="B451" s="33" t="n">
        <v>19239</v>
      </c>
      <c r="C451" s="34" t="s">
        <v>966</v>
      </c>
      <c r="D451" s="34" t="s">
        <v>967</v>
      </c>
      <c r="E451" s="34" t="s">
        <v>93</v>
      </c>
      <c r="F451" s="32" t="n">
        <f aca="false">COUNTIF(Base!$D$2:$D$2878,B451)</f>
        <v>1</v>
      </c>
      <c r="G451" s="35" t="n">
        <f aca="false">SUMIF(Base!$D$2:$D$2878,B451,Base!$I$2:$I$2878)</f>
        <v>4344.27</v>
      </c>
      <c r="H451" s="36" t="n">
        <f aca="false">IF($G$2849=0,0,G451/$G$2849)</f>
        <v>0.000285080669156804</v>
      </c>
      <c r="I451" s="37" t="n">
        <f aca="false">I450+H451</f>
        <v>0.879631054359739</v>
      </c>
      <c r="J451" s="37" t="n">
        <f aca="false">A451/2840</f>
        <v>0.156338028169014</v>
      </c>
      <c r="K451" s="32" t="str">
        <f aca="false">IF(I451&lt;=$E$4,"A",IF(I451&lt;=$E$5,"B","C"))</f>
        <v>B</v>
      </c>
    </row>
    <row r="452" customFormat="false" ht="15" hidden="false" customHeight="false" outlineLevel="0" collapsed="false">
      <c r="A452" s="32" t="n">
        <v>445</v>
      </c>
      <c r="B452" s="33" t="n">
        <v>138102</v>
      </c>
      <c r="C452" s="34" t="s">
        <v>968</v>
      </c>
      <c r="D452" s="34" t="s">
        <v>969</v>
      </c>
      <c r="E452" s="34" t="s">
        <v>355</v>
      </c>
      <c r="F452" s="32" t="n">
        <f aca="false">COUNTIF(Base!$D$2:$D$2878,B452)</f>
        <v>1</v>
      </c>
      <c r="G452" s="35" t="n">
        <f aca="false">SUMIF(Base!$D$2:$D$2878,B452,Base!$I$2:$I$2878)</f>
        <v>4320</v>
      </c>
      <c r="H452" s="36" t="n">
        <f aca="false">IF($G$2849=0,0,G452/$G$2849)</f>
        <v>0.000283488017723896</v>
      </c>
      <c r="I452" s="37" t="n">
        <f aca="false">I451+H452</f>
        <v>0.879914542377463</v>
      </c>
      <c r="J452" s="37" t="n">
        <f aca="false">A452/2840</f>
        <v>0.15669014084507</v>
      </c>
      <c r="K452" s="32" t="str">
        <f aca="false">IF(I452&lt;=$E$4,"A",IF(I452&lt;=$E$5,"B","C"))</f>
        <v>B</v>
      </c>
    </row>
    <row r="453" customFormat="false" ht="15" hidden="false" customHeight="false" outlineLevel="0" collapsed="false">
      <c r="A453" s="32" t="n">
        <v>446</v>
      </c>
      <c r="B453" s="33" t="n">
        <v>12562</v>
      </c>
      <c r="C453" s="34" t="s">
        <v>970</v>
      </c>
      <c r="D453" s="34" t="s">
        <v>971</v>
      </c>
      <c r="E453" s="34" t="s">
        <v>38</v>
      </c>
      <c r="F453" s="32" t="n">
        <f aca="false">COUNTIF(Base!$D$2:$D$2878,B453)</f>
        <v>1</v>
      </c>
      <c r="G453" s="35" t="n">
        <f aca="false">SUMIF(Base!$D$2:$D$2878,B453,Base!$I$2:$I$2878)</f>
        <v>4304.76</v>
      </c>
      <c r="H453" s="36" t="n">
        <f aca="false">IF($G$2849=0,0,G453/$G$2849)</f>
        <v>0.000282487934994704</v>
      </c>
      <c r="I453" s="37" t="n">
        <f aca="false">I452+H453</f>
        <v>0.880197030312458</v>
      </c>
      <c r="J453" s="37" t="n">
        <f aca="false">A453/2840</f>
        <v>0.157042253521127</v>
      </c>
      <c r="K453" s="32" t="str">
        <f aca="false">IF(I453&lt;=$E$4,"A",IF(I453&lt;=$E$5,"B","C"))</f>
        <v>B</v>
      </c>
    </row>
    <row r="454" customFormat="false" ht="15" hidden="false" customHeight="false" outlineLevel="0" collapsed="false">
      <c r="A454" s="32" t="n">
        <v>447</v>
      </c>
      <c r="B454" s="33" t="n">
        <v>22819</v>
      </c>
      <c r="C454" s="34" t="s">
        <v>972</v>
      </c>
      <c r="D454" s="34" t="s">
        <v>973</v>
      </c>
      <c r="E454" s="34" t="s">
        <v>637</v>
      </c>
      <c r="F454" s="32" t="n">
        <f aca="false">COUNTIF(Base!$D$2:$D$2878,B454)</f>
        <v>1</v>
      </c>
      <c r="G454" s="35" t="n">
        <f aca="false">SUMIF(Base!$D$2:$D$2878,B454,Base!$I$2:$I$2878)</f>
        <v>4292</v>
      </c>
      <c r="H454" s="36" t="n">
        <f aca="false">IF($G$2849=0,0,G454/$G$2849)</f>
        <v>0.000281650595386797</v>
      </c>
      <c r="I454" s="37" t="n">
        <f aca="false">I453+H454</f>
        <v>0.880478680907844</v>
      </c>
      <c r="J454" s="37" t="n">
        <f aca="false">A454/2840</f>
        <v>0.157394366197183</v>
      </c>
      <c r="K454" s="32" t="str">
        <f aca="false">IF(I454&lt;=$E$4,"A",IF(I454&lt;=$E$5,"B","C"))</f>
        <v>B</v>
      </c>
    </row>
    <row r="455" customFormat="false" ht="15" hidden="false" customHeight="false" outlineLevel="0" collapsed="false">
      <c r="A455" s="32" t="n">
        <v>448</v>
      </c>
      <c r="B455" s="33" t="n">
        <v>1662289</v>
      </c>
      <c r="C455" s="34" t="s">
        <v>974</v>
      </c>
      <c r="D455" s="34" t="s">
        <v>975</v>
      </c>
      <c r="E455" s="34" t="s">
        <v>38</v>
      </c>
      <c r="F455" s="32" t="n">
        <f aca="false">COUNTIF(Base!$D$2:$D$2878,B455)</f>
        <v>1</v>
      </c>
      <c r="G455" s="35" t="n">
        <f aca="false">SUMIF(Base!$D$2:$D$2878,B455,Base!$I$2:$I$2878)</f>
        <v>4290</v>
      </c>
      <c r="H455" s="36" t="n">
        <f aca="false">IF($G$2849=0,0,G455/$G$2849)</f>
        <v>0.000281519350934147</v>
      </c>
      <c r="I455" s="37" t="n">
        <f aca="false">I454+H455</f>
        <v>0.880760200258779</v>
      </c>
      <c r="J455" s="37" t="n">
        <f aca="false">A455/2840</f>
        <v>0.157746478873239</v>
      </c>
      <c r="K455" s="32" t="str">
        <f aca="false">IF(I455&lt;=$E$4,"A",IF(I455&lt;=$E$5,"B","C"))</f>
        <v>B</v>
      </c>
    </row>
    <row r="456" customFormat="false" ht="15" hidden="false" customHeight="false" outlineLevel="0" collapsed="false">
      <c r="A456" s="32" t="n">
        <v>449</v>
      </c>
      <c r="B456" s="33" t="n">
        <v>1679926</v>
      </c>
      <c r="C456" s="34" t="s">
        <v>976</v>
      </c>
      <c r="D456" s="34" t="s">
        <v>977</v>
      </c>
      <c r="E456" s="34" t="s">
        <v>705</v>
      </c>
      <c r="F456" s="32" t="n">
        <f aca="false">COUNTIF(Base!$D$2:$D$2878,B456)</f>
        <v>1</v>
      </c>
      <c r="G456" s="35" t="n">
        <f aca="false">SUMIF(Base!$D$2:$D$2878,B456,Base!$I$2:$I$2878)</f>
        <v>4233.74</v>
      </c>
      <c r="H456" s="36" t="n">
        <f aca="false">IF($G$2849=0,0,G456/$G$2849)</f>
        <v>0.000277827444481104</v>
      </c>
      <c r="I456" s="37" t="n">
        <f aca="false">I455+H456</f>
        <v>0.88103802770326</v>
      </c>
      <c r="J456" s="37" t="n">
        <f aca="false">A456/2840</f>
        <v>0.158098591549296</v>
      </c>
      <c r="K456" s="32" t="str">
        <f aca="false">IF(I456&lt;=$E$4,"A",IF(I456&lt;=$E$5,"B","C"))</f>
        <v>B</v>
      </c>
    </row>
    <row r="457" customFormat="false" ht="15" hidden="false" customHeight="false" outlineLevel="0" collapsed="false">
      <c r="A457" s="32" t="n">
        <v>450</v>
      </c>
      <c r="B457" s="33" t="n">
        <v>1014426</v>
      </c>
      <c r="C457" s="34" t="s">
        <v>978</v>
      </c>
      <c r="D457" s="34" t="s">
        <v>979</v>
      </c>
      <c r="E457" s="34" t="s">
        <v>170</v>
      </c>
      <c r="F457" s="32" t="n">
        <f aca="false">COUNTIF(Base!$D$2:$D$2878,B457)</f>
        <v>1</v>
      </c>
      <c r="G457" s="35" t="n">
        <f aca="false">SUMIF(Base!$D$2:$D$2878,B457,Base!$I$2:$I$2878)</f>
        <v>4231.4</v>
      </c>
      <c r="H457" s="36" t="n">
        <f aca="false">IF($G$2849=0,0,G457/$G$2849)</f>
        <v>0.000277673888471504</v>
      </c>
      <c r="I457" s="37" t="n">
        <f aca="false">I456+H457</f>
        <v>0.881315701591731</v>
      </c>
      <c r="J457" s="37" t="n">
        <f aca="false">A457/2840</f>
        <v>0.158450704225352</v>
      </c>
      <c r="K457" s="32" t="str">
        <f aca="false">IF(I457&lt;=$E$4,"A",IF(I457&lt;=$E$5,"B","C"))</f>
        <v>B</v>
      </c>
    </row>
    <row r="458" customFormat="false" ht="15" hidden="false" customHeight="false" outlineLevel="0" collapsed="false">
      <c r="A458" s="32" t="n">
        <v>451</v>
      </c>
      <c r="B458" s="33" t="n">
        <v>1539002</v>
      </c>
      <c r="C458" s="34" t="s">
        <v>980</v>
      </c>
      <c r="D458" s="34" t="s">
        <v>981</v>
      </c>
      <c r="E458" s="34" t="s">
        <v>38</v>
      </c>
      <c r="F458" s="32" t="n">
        <f aca="false">COUNTIF(Base!$D$2:$D$2878,B458)</f>
        <v>1</v>
      </c>
      <c r="G458" s="35" t="n">
        <f aca="false">SUMIF(Base!$D$2:$D$2878,B458,Base!$I$2:$I$2878)</f>
        <v>4215</v>
      </c>
      <c r="H458" s="36" t="n">
        <f aca="false">IF($G$2849=0,0,G458/$G$2849)</f>
        <v>0.000276597683959774</v>
      </c>
      <c r="I458" s="37" t="n">
        <f aca="false">I457+H458</f>
        <v>0.881592299275691</v>
      </c>
      <c r="J458" s="37" t="n">
        <f aca="false">A458/2840</f>
        <v>0.158802816901408</v>
      </c>
      <c r="K458" s="32" t="str">
        <f aca="false">IF(I458&lt;=$E$4,"A",IF(I458&lt;=$E$5,"B","C"))</f>
        <v>B</v>
      </c>
    </row>
    <row r="459" customFormat="false" ht="15" hidden="false" customHeight="false" outlineLevel="0" collapsed="false">
      <c r="A459" s="32" t="n">
        <v>452</v>
      </c>
      <c r="B459" s="33" t="n">
        <v>352405</v>
      </c>
      <c r="C459" s="34" t="s">
        <v>982</v>
      </c>
      <c r="D459" s="34" t="s">
        <v>983</v>
      </c>
      <c r="E459" s="34" t="s">
        <v>130</v>
      </c>
      <c r="F459" s="32" t="n">
        <f aca="false">COUNTIF(Base!$D$2:$D$2878,B459)</f>
        <v>1</v>
      </c>
      <c r="G459" s="35" t="n">
        <f aca="false">SUMIF(Base!$D$2:$D$2878,B459,Base!$I$2:$I$2878)</f>
        <v>4214.43</v>
      </c>
      <c r="H459" s="36" t="n">
        <f aca="false">IF($G$2849=0,0,G459/$G$2849)</f>
        <v>0.000276560279290769</v>
      </c>
      <c r="I459" s="37" t="n">
        <f aca="false">I458+H459</f>
        <v>0.881868859554982</v>
      </c>
      <c r="J459" s="37" t="n">
        <f aca="false">A459/2840</f>
        <v>0.159154929577465</v>
      </c>
      <c r="K459" s="32" t="str">
        <f aca="false">IF(I459&lt;=$E$4,"A",IF(I459&lt;=$E$5,"B","C"))</f>
        <v>B</v>
      </c>
    </row>
    <row r="460" customFormat="false" ht="15" hidden="false" customHeight="false" outlineLevel="0" collapsed="false">
      <c r="A460" s="32" t="n">
        <v>453</v>
      </c>
      <c r="B460" s="33" t="n">
        <v>1382598</v>
      </c>
      <c r="C460" s="34" t="s">
        <v>984</v>
      </c>
      <c r="D460" s="34" t="s">
        <v>985</v>
      </c>
      <c r="E460" s="34" t="s">
        <v>38</v>
      </c>
      <c r="F460" s="32" t="n">
        <f aca="false">COUNTIF(Base!$D$2:$D$2878,B460)</f>
        <v>1</v>
      </c>
      <c r="G460" s="35" t="n">
        <f aca="false">SUMIF(Base!$D$2:$D$2878,B460,Base!$I$2:$I$2878)</f>
        <v>4211.49</v>
      </c>
      <c r="H460" s="36" t="n">
        <f aca="false">IF($G$2849=0,0,G460/$G$2849)</f>
        <v>0.000276367349945373</v>
      </c>
      <c r="I460" s="37" t="n">
        <f aca="false">I459+H460</f>
        <v>0.882145226904927</v>
      </c>
      <c r="J460" s="37" t="n">
        <f aca="false">A460/2840</f>
        <v>0.159507042253521</v>
      </c>
      <c r="K460" s="32" t="str">
        <f aca="false">IF(I460&lt;=$E$4,"A",IF(I460&lt;=$E$5,"B","C"))</f>
        <v>B</v>
      </c>
    </row>
    <row r="461" customFormat="false" ht="15" hidden="false" customHeight="false" outlineLevel="0" collapsed="false">
      <c r="A461" s="32" t="n">
        <v>454</v>
      </c>
      <c r="B461" s="33" t="n">
        <v>554779</v>
      </c>
      <c r="C461" s="34" t="s">
        <v>986</v>
      </c>
      <c r="D461" s="34" t="s">
        <v>987</v>
      </c>
      <c r="E461" s="34" t="s">
        <v>130</v>
      </c>
      <c r="F461" s="32" t="n">
        <f aca="false">COUNTIF(Base!$D$2:$D$2878,B461)</f>
        <v>1</v>
      </c>
      <c r="G461" s="35" t="n">
        <f aca="false">SUMIF(Base!$D$2:$D$2878,B461,Base!$I$2:$I$2878)</f>
        <v>4200</v>
      </c>
      <c r="H461" s="36" t="n">
        <f aca="false">IF($G$2849=0,0,G461/$G$2849)</f>
        <v>0.000275613350564899</v>
      </c>
      <c r="I461" s="37" t="n">
        <f aca="false">I460+H461</f>
        <v>0.882420840255492</v>
      </c>
      <c r="J461" s="37" t="n">
        <f aca="false">A461/2840</f>
        <v>0.159859154929577</v>
      </c>
      <c r="K461" s="32" t="str">
        <f aca="false">IF(I461&lt;=$E$4,"A",IF(I461&lt;=$E$5,"B","C"))</f>
        <v>B</v>
      </c>
    </row>
    <row r="462" customFormat="false" ht="15" hidden="false" customHeight="false" outlineLevel="0" collapsed="false">
      <c r="A462" s="32" t="n">
        <v>455</v>
      </c>
      <c r="B462" s="33" t="n">
        <v>1310603</v>
      </c>
      <c r="C462" s="34" t="s">
        <v>988</v>
      </c>
      <c r="D462" s="34" t="s">
        <v>989</v>
      </c>
      <c r="E462" s="34" t="s">
        <v>480</v>
      </c>
      <c r="F462" s="32" t="n">
        <f aca="false">COUNTIF(Base!$D$2:$D$2878,B462)</f>
        <v>1</v>
      </c>
      <c r="G462" s="35" t="n">
        <f aca="false">SUMIF(Base!$D$2:$D$2878,B462,Base!$I$2:$I$2878)</f>
        <v>4166.4</v>
      </c>
      <c r="H462" s="36" t="n">
        <f aca="false">IF($G$2849=0,0,G462/$G$2849)</f>
        <v>0.00027340844376038</v>
      </c>
      <c r="I462" s="37" t="n">
        <f aca="false">I461+H462</f>
        <v>0.882694248699253</v>
      </c>
      <c r="J462" s="37" t="n">
        <f aca="false">A462/2840</f>
        <v>0.160211267605634</v>
      </c>
      <c r="K462" s="32" t="str">
        <f aca="false">IF(I462&lt;=$E$4,"A",IF(I462&lt;=$E$5,"B","C"))</f>
        <v>B</v>
      </c>
    </row>
    <row r="463" customFormat="false" ht="15" hidden="false" customHeight="false" outlineLevel="0" collapsed="false">
      <c r="A463" s="32" t="n">
        <v>456</v>
      </c>
      <c r="B463" s="33" t="n">
        <v>1106753</v>
      </c>
      <c r="C463" s="34" t="s">
        <v>990</v>
      </c>
      <c r="D463" s="34" t="s">
        <v>991</v>
      </c>
      <c r="E463" s="34" t="s">
        <v>360</v>
      </c>
      <c r="F463" s="32" t="n">
        <f aca="false">COUNTIF(Base!$D$2:$D$2878,B463)</f>
        <v>1</v>
      </c>
      <c r="G463" s="35" t="n">
        <f aca="false">SUMIF(Base!$D$2:$D$2878,B463,Base!$I$2:$I$2878)</f>
        <v>4125</v>
      </c>
      <c r="H463" s="36" t="n">
        <f aca="false">IF($G$2849=0,0,G463/$G$2849)</f>
        <v>0.000270691683590526</v>
      </c>
      <c r="I463" s="37" t="n">
        <f aca="false">I462+H463</f>
        <v>0.882964940382843</v>
      </c>
      <c r="J463" s="37" t="n">
        <f aca="false">A463/2840</f>
        <v>0.16056338028169</v>
      </c>
      <c r="K463" s="32" t="str">
        <f aca="false">IF(I463&lt;=$E$4,"A",IF(I463&lt;=$E$5,"B","C"))</f>
        <v>B</v>
      </c>
    </row>
    <row r="464" customFormat="false" ht="15" hidden="false" customHeight="false" outlineLevel="0" collapsed="false">
      <c r="A464" s="32" t="n">
        <v>457</v>
      </c>
      <c r="B464" s="33" t="n">
        <v>1383080</v>
      </c>
      <c r="C464" s="34" t="s">
        <v>992</v>
      </c>
      <c r="D464" s="34" t="s">
        <v>993</v>
      </c>
      <c r="E464" s="34" t="s">
        <v>38</v>
      </c>
      <c r="F464" s="32" t="n">
        <f aca="false">COUNTIF(Base!$D$2:$D$2878,B464)</f>
        <v>1</v>
      </c>
      <c r="G464" s="35" t="n">
        <f aca="false">SUMIF(Base!$D$2:$D$2878,B464,Base!$I$2:$I$2878)</f>
        <v>4095.39</v>
      </c>
      <c r="H464" s="36" t="n">
        <f aca="false">IF($G$2849=0,0,G464/$G$2849)</f>
        <v>0.000268748609469044</v>
      </c>
      <c r="I464" s="37" t="n">
        <f aca="false">I463+H464</f>
        <v>0.883233688992312</v>
      </c>
      <c r="J464" s="37" t="n">
        <f aca="false">A464/2840</f>
        <v>0.160915492957747</v>
      </c>
      <c r="K464" s="32" t="str">
        <f aca="false">IF(I464&lt;=$E$4,"A",IF(I464&lt;=$E$5,"B","C"))</f>
        <v>B</v>
      </c>
    </row>
    <row r="465" customFormat="false" ht="15" hidden="false" customHeight="false" outlineLevel="0" collapsed="false">
      <c r="A465" s="32" t="n">
        <v>458</v>
      </c>
      <c r="B465" s="33" t="n">
        <v>35503</v>
      </c>
      <c r="C465" s="34" t="s">
        <v>994</v>
      </c>
      <c r="D465" s="34" t="s">
        <v>995</v>
      </c>
      <c r="E465" s="34" t="s">
        <v>247</v>
      </c>
      <c r="F465" s="32" t="n">
        <f aca="false">COUNTIF(Base!$D$2:$D$2878,B465)</f>
        <v>1</v>
      </c>
      <c r="G465" s="35" t="n">
        <f aca="false">SUMIF(Base!$D$2:$D$2878,B465,Base!$I$2:$I$2878)</f>
        <v>4070.84</v>
      </c>
      <c r="H465" s="36" t="n">
        <f aca="false">IF($G$2849=0,0,G465/$G$2849)</f>
        <v>0.000267137583812765</v>
      </c>
      <c r="I465" s="37" t="n">
        <f aca="false">I464+H465</f>
        <v>0.883500826576125</v>
      </c>
      <c r="J465" s="37" t="n">
        <f aca="false">A465/2840</f>
        <v>0.161267605633803</v>
      </c>
      <c r="K465" s="32" t="str">
        <f aca="false">IF(I465&lt;=$E$4,"A",IF(I465&lt;=$E$5,"B","C"))</f>
        <v>B</v>
      </c>
    </row>
    <row r="466" customFormat="false" ht="15" hidden="false" customHeight="false" outlineLevel="0" collapsed="false">
      <c r="A466" s="32" t="n">
        <v>459</v>
      </c>
      <c r="B466" s="33" t="n">
        <v>1679924</v>
      </c>
      <c r="C466" s="34" t="s">
        <v>996</v>
      </c>
      <c r="D466" s="34" t="s">
        <v>997</v>
      </c>
      <c r="E466" s="34" t="s">
        <v>705</v>
      </c>
      <c r="F466" s="32" t="n">
        <f aca="false">COUNTIF(Base!$D$2:$D$2878,B466)</f>
        <v>1</v>
      </c>
      <c r="G466" s="35" t="n">
        <f aca="false">SUMIF(Base!$D$2:$D$2878,B466,Base!$I$2:$I$2878)</f>
        <v>4047.92</v>
      </c>
      <c r="H466" s="36" t="n">
        <f aca="false">IF($G$2849=0,0,G466/$G$2849)</f>
        <v>0.000265633522385397</v>
      </c>
      <c r="I466" s="37" t="n">
        <f aca="false">I465+H466</f>
        <v>0.88376646009851</v>
      </c>
      <c r="J466" s="37" t="n">
        <f aca="false">A466/2840</f>
        <v>0.161619718309859</v>
      </c>
      <c r="K466" s="32" t="str">
        <f aca="false">IF(I466&lt;=$E$4,"A",IF(I466&lt;=$E$5,"B","C"))</f>
        <v>B</v>
      </c>
    </row>
    <row r="467" customFormat="false" ht="15" hidden="false" customHeight="false" outlineLevel="0" collapsed="false">
      <c r="A467" s="32" t="n">
        <v>460</v>
      </c>
      <c r="B467" s="33" t="n">
        <v>1388235</v>
      </c>
      <c r="C467" s="34" t="s">
        <v>998</v>
      </c>
      <c r="D467" s="34" t="s">
        <v>999</v>
      </c>
      <c r="E467" s="34" t="s">
        <v>38</v>
      </c>
      <c r="F467" s="32" t="n">
        <f aca="false">COUNTIF(Base!$D$2:$D$2878,B467)</f>
        <v>1</v>
      </c>
      <c r="G467" s="35" t="n">
        <f aca="false">SUMIF(Base!$D$2:$D$2878,B467,Base!$I$2:$I$2878)</f>
        <v>4035.8</v>
      </c>
      <c r="H467" s="36" t="n">
        <f aca="false">IF($G$2849=0,0,G467/$G$2849)</f>
        <v>0.000264838181002338</v>
      </c>
      <c r="I467" s="37" t="n">
        <f aca="false">I466+H467</f>
        <v>0.884031298279513</v>
      </c>
      <c r="J467" s="37" t="n">
        <f aca="false">A467/2840</f>
        <v>0.161971830985916</v>
      </c>
      <c r="K467" s="32" t="str">
        <f aca="false">IF(I467&lt;=$E$4,"A",IF(I467&lt;=$E$5,"B","C"))</f>
        <v>B</v>
      </c>
    </row>
    <row r="468" customFormat="false" ht="15" hidden="false" customHeight="false" outlineLevel="0" collapsed="false">
      <c r="A468" s="32" t="n">
        <v>461</v>
      </c>
      <c r="B468" s="33" t="n">
        <v>1469219</v>
      </c>
      <c r="C468" s="34" t="s">
        <v>1000</v>
      </c>
      <c r="D468" s="34" t="s">
        <v>1001</v>
      </c>
      <c r="E468" s="34" t="s">
        <v>100</v>
      </c>
      <c r="F468" s="32" t="n">
        <f aca="false">COUNTIF(Base!$D$2:$D$2878,B468)</f>
        <v>1</v>
      </c>
      <c r="G468" s="35" t="n">
        <f aca="false">SUMIF(Base!$D$2:$D$2878,B468,Base!$I$2:$I$2878)</f>
        <v>4032</v>
      </c>
      <c r="H468" s="36" t="n">
        <f aca="false">IF($G$2849=0,0,G468/$G$2849)</f>
        <v>0.000264588816542303</v>
      </c>
      <c r="I468" s="37" t="n">
        <f aca="false">I467+H468</f>
        <v>0.884295887096055</v>
      </c>
      <c r="J468" s="37" t="n">
        <f aca="false">A468/2840</f>
        <v>0.162323943661972</v>
      </c>
      <c r="K468" s="32" t="str">
        <f aca="false">IF(I468&lt;=$E$4,"A",IF(I468&lt;=$E$5,"B","C"))</f>
        <v>B</v>
      </c>
    </row>
    <row r="469" customFormat="false" ht="15" hidden="false" customHeight="false" outlineLevel="0" collapsed="false">
      <c r="A469" s="32" t="n">
        <v>462</v>
      </c>
      <c r="B469" s="33" t="n">
        <v>18182</v>
      </c>
      <c r="C469" s="34" t="s">
        <v>1002</v>
      </c>
      <c r="D469" s="34" t="s">
        <v>1003</v>
      </c>
      <c r="E469" s="34" t="s">
        <v>170</v>
      </c>
      <c r="F469" s="32" t="n">
        <f aca="false">COUNTIF(Base!$D$2:$D$2878,B469)</f>
        <v>1</v>
      </c>
      <c r="G469" s="35" t="n">
        <f aca="false">SUMIF(Base!$D$2:$D$2878,B469,Base!$I$2:$I$2878)</f>
        <v>4023.18</v>
      </c>
      <c r="H469" s="36" t="n">
        <f aca="false">IF($G$2849=0,0,G469/$G$2849)</f>
        <v>0.000264010028506117</v>
      </c>
      <c r="I469" s="37" t="n">
        <f aca="false">I468+H469</f>
        <v>0.884559897124561</v>
      </c>
      <c r="J469" s="37" t="n">
        <f aca="false">A469/2840</f>
        <v>0.162676056338028</v>
      </c>
      <c r="K469" s="32" t="str">
        <f aca="false">IF(I469&lt;=$E$4,"A",IF(I469&lt;=$E$5,"B","C"))</f>
        <v>B</v>
      </c>
    </row>
    <row r="470" customFormat="false" ht="15" hidden="false" customHeight="false" outlineLevel="0" collapsed="false">
      <c r="A470" s="32" t="n">
        <v>463</v>
      </c>
      <c r="B470" s="33" t="n">
        <v>1464603</v>
      </c>
      <c r="C470" s="34" t="s">
        <v>1004</v>
      </c>
      <c r="D470" s="34" t="s">
        <v>1005</v>
      </c>
      <c r="E470" s="34" t="s">
        <v>133</v>
      </c>
      <c r="F470" s="32" t="n">
        <f aca="false">COUNTIF(Base!$D$2:$D$2878,B470)</f>
        <v>1</v>
      </c>
      <c r="G470" s="35" t="n">
        <f aca="false">SUMIF(Base!$D$2:$D$2878,B470,Base!$I$2:$I$2878)</f>
        <v>4012.5</v>
      </c>
      <c r="H470" s="36" t="n">
        <f aca="false">IF($G$2849=0,0,G470/$G$2849)</f>
        <v>0.000263309183128966</v>
      </c>
      <c r="I470" s="37" t="n">
        <f aca="false">I469+H470</f>
        <v>0.88482320630769</v>
      </c>
      <c r="J470" s="37" t="n">
        <f aca="false">A470/2840</f>
        <v>0.163028169014085</v>
      </c>
      <c r="K470" s="32" t="str">
        <f aca="false">IF(I470&lt;=$E$4,"A",IF(I470&lt;=$E$5,"B","C"))</f>
        <v>B</v>
      </c>
    </row>
    <row r="471" customFormat="false" ht="15" hidden="false" customHeight="false" outlineLevel="0" collapsed="false">
      <c r="A471" s="32" t="n">
        <v>464</v>
      </c>
      <c r="B471" s="33" t="n">
        <v>1383152</v>
      </c>
      <c r="C471" s="34" t="s">
        <v>1006</v>
      </c>
      <c r="D471" s="34" t="s">
        <v>1007</v>
      </c>
      <c r="E471" s="34" t="s">
        <v>54</v>
      </c>
      <c r="F471" s="32" t="n">
        <f aca="false">COUNTIF(Base!$D$2:$D$2878,B471)</f>
        <v>1</v>
      </c>
      <c r="G471" s="35" t="n">
        <f aca="false">SUMIF(Base!$D$2:$D$2878,B471,Base!$I$2:$I$2878)</f>
        <v>4011.36</v>
      </c>
      <c r="H471" s="36" t="n">
        <f aca="false">IF($G$2849=0,0,G471/$G$2849)</f>
        <v>0.000263234373790956</v>
      </c>
      <c r="I471" s="37" t="n">
        <f aca="false">I470+H471</f>
        <v>0.885086440681481</v>
      </c>
      <c r="J471" s="37" t="n">
        <f aca="false">A471/2840</f>
        <v>0.163380281690141</v>
      </c>
      <c r="K471" s="32" t="str">
        <f aca="false">IF(I471&lt;=$E$4,"A",IF(I471&lt;=$E$5,"B","C"))</f>
        <v>B</v>
      </c>
    </row>
    <row r="472" customFormat="false" ht="15" hidden="false" customHeight="false" outlineLevel="0" collapsed="false">
      <c r="A472" s="32" t="n">
        <v>465</v>
      </c>
      <c r="B472" s="33" t="n">
        <v>54273</v>
      </c>
      <c r="C472" s="34" t="s">
        <v>1008</v>
      </c>
      <c r="D472" s="34" t="s">
        <v>1009</v>
      </c>
      <c r="E472" s="34" t="s">
        <v>93</v>
      </c>
      <c r="F472" s="32" t="n">
        <f aca="false">COUNTIF(Base!$D$2:$D$2878,B472)</f>
        <v>1</v>
      </c>
      <c r="G472" s="35" t="n">
        <f aca="false">SUMIF(Base!$D$2:$D$2878,B472,Base!$I$2:$I$2878)</f>
        <v>3988.43</v>
      </c>
      <c r="H472" s="36" t="n">
        <f aca="false">IF($G$2849=0,0,G472/$G$2849)</f>
        <v>0.000261729656141324</v>
      </c>
      <c r="I472" s="37" t="n">
        <f aca="false">I471+H472</f>
        <v>0.885348170337622</v>
      </c>
      <c r="J472" s="37" t="n">
        <f aca="false">A472/2840</f>
        <v>0.163732394366197</v>
      </c>
      <c r="K472" s="32" t="str">
        <f aca="false">IF(I472&lt;=$E$4,"A",IF(I472&lt;=$E$5,"B","C"))</f>
        <v>B</v>
      </c>
    </row>
    <row r="473" customFormat="false" ht="15" hidden="false" customHeight="false" outlineLevel="0" collapsed="false">
      <c r="A473" s="32" t="n">
        <v>466</v>
      </c>
      <c r="B473" s="33" t="n">
        <v>822559</v>
      </c>
      <c r="C473" s="34" t="s">
        <v>1010</v>
      </c>
      <c r="D473" s="34" t="s">
        <v>1011</v>
      </c>
      <c r="E473" s="34" t="s">
        <v>113</v>
      </c>
      <c r="F473" s="32" t="n">
        <f aca="false">COUNTIF(Base!$D$2:$D$2878,B473)</f>
        <v>1</v>
      </c>
      <c r="G473" s="35" t="n">
        <f aca="false">SUMIF(Base!$D$2:$D$2878,B473,Base!$I$2:$I$2878)</f>
        <v>3948</v>
      </c>
      <c r="H473" s="36" t="n">
        <f aca="false">IF($G$2849=0,0,G473/$G$2849)</f>
        <v>0.000259076549531005</v>
      </c>
      <c r="I473" s="37" t="n">
        <f aca="false">I472+H473</f>
        <v>0.885607246887153</v>
      </c>
      <c r="J473" s="37" t="n">
        <f aca="false">A473/2840</f>
        <v>0.164084507042254</v>
      </c>
      <c r="K473" s="32" t="str">
        <f aca="false">IF(I473&lt;=$E$4,"A",IF(I473&lt;=$E$5,"B","C"))</f>
        <v>B</v>
      </c>
    </row>
    <row r="474" customFormat="false" ht="15" hidden="false" customHeight="false" outlineLevel="0" collapsed="false">
      <c r="A474" s="32" t="n">
        <v>467</v>
      </c>
      <c r="B474" s="33" t="n">
        <v>1674332</v>
      </c>
      <c r="C474" s="34" t="s">
        <v>1012</v>
      </c>
      <c r="D474" s="34" t="s">
        <v>1013</v>
      </c>
      <c r="E474" s="34" t="s">
        <v>480</v>
      </c>
      <c r="F474" s="32" t="n">
        <f aca="false">COUNTIF(Base!$D$2:$D$2878,B474)</f>
        <v>1</v>
      </c>
      <c r="G474" s="35" t="n">
        <f aca="false">SUMIF(Base!$D$2:$D$2878,B474,Base!$I$2:$I$2878)</f>
        <v>3938.1</v>
      </c>
      <c r="H474" s="36" t="n">
        <f aca="false">IF($G$2849=0,0,G474/$G$2849)</f>
        <v>0.000258426889490388</v>
      </c>
      <c r="I474" s="37" t="n">
        <f aca="false">I473+H474</f>
        <v>0.885865673776644</v>
      </c>
      <c r="J474" s="37" t="n">
        <f aca="false">A474/2840</f>
        <v>0.16443661971831</v>
      </c>
      <c r="K474" s="32" t="str">
        <f aca="false">IF(I474&lt;=$E$4,"A",IF(I474&lt;=$E$5,"B","C"))</f>
        <v>B</v>
      </c>
    </row>
    <row r="475" customFormat="false" ht="15" hidden="false" customHeight="false" outlineLevel="0" collapsed="false">
      <c r="A475" s="32" t="n">
        <v>468</v>
      </c>
      <c r="B475" s="33" t="n">
        <v>1469743</v>
      </c>
      <c r="C475" s="34" t="s">
        <v>1014</v>
      </c>
      <c r="D475" s="34" t="s">
        <v>1015</v>
      </c>
      <c r="E475" s="34" t="s">
        <v>394</v>
      </c>
      <c r="F475" s="32" t="n">
        <f aca="false">COUNTIF(Base!$D$2:$D$2878,B475)</f>
        <v>1</v>
      </c>
      <c r="G475" s="35" t="n">
        <f aca="false">SUMIF(Base!$D$2:$D$2878,B475,Base!$I$2:$I$2878)</f>
        <v>3929.4</v>
      </c>
      <c r="H475" s="36" t="n">
        <f aca="false">IF($G$2849=0,0,G475/$G$2849)</f>
        <v>0.000257855976121361</v>
      </c>
      <c r="I475" s="37" t="n">
        <f aca="false">I474+H475</f>
        <v>0.886123529752765</v>
      </c>
      <c r="J475" s="37" t="n">
        <f aca="false">A475/2840</f>
        <v>0.164788732394366</v>
      </c>
      <c r="K475" s="32" t="str">
        <f aca="false">IF(I475&lt;=$E$4,"A",IF(I475&lt;=$E$5,"B","C"))</f>
        <v>B</v>
      </c>
    </row>
    <row r="476" customFormat="false" ht="15" hidden="false" customHeight="false" outlineLevel="0" collapsed="false">
      <c r="A476" s="32" t="n">
        <v>469</v>
      </c>
      <c r="B476" s="33" t="n">
        <v>1385801</v>
      </c>
      <c r="C476" s="34" t="s">
        <v>1016</v>
      </c>
      <c r="D476" s="34" t="s">
        <v>1017</v>
      </c>
      <c r="E476" s="34" t="s">
        <v>38</v>
      </c>
      <c r="F476" s="32" t="n">
        <f aca="false">COUNTIF(Base!$D$2:$D$2878,B476)</f>
        <v>1</v>
      </c>
      <c r="G476" s="35" t="n">
        <f aca="false">SUMIF(Base!$D$2:$D$2878,B476,Base!$I$2:$I$2878)</f>
        <v>3922.4</v>
      </c>
      <c r="H476" s="36" t="n">
        <f aca="false">IF($G$2849=0,0,G476/$G$2849)</f>
        <v>0.000257396620537086</v>
      </c>
      <c r="I476" s="37" t="n">
        <f aca="false">I475+H476</f>
        <v>0.886380926373302</v>
      </c>
      <c r="J476" s="37" t="n">
        <f aca="false">A476/2840</f>
        <v>0.165140845070423</v>
      </c>
      <c r="K476" s="32" t="str">
        <f aca="false">IF(I476&lt;=$E$4,"A",IF(I476&lt;=$E$5,"B","C"))</f>
        <v>B</v>
      </c>
    </row>
    <row r="477" customFormat="false" ht="15" hidden="false" customHeight="false" outlineLevel="0" collapsed="false">
      <c r="A477" s="32" t="n">
        <v>470</v>
      </c>
      <c r="B477" s="33" t="n">
        <v>385218</v>
      </c>
      <c r="C477" s="34" t="s">
        <v>1018</v>
      </c>
      <c r="D477" s="34" t="s">
        <v>1019</v>
      </c>
      <c r="E477" s="34" t="s">
        <v>35</v>
      </c>
      <c r="F477" s="32" t="n">
        <f aca="false">COUNTIF(Base!$D$2:$D$2878,B477)</f>
        <v>1</v>
      </c>
      <c r="G477" s="35" t="n">
        <f aca="false">SUMIF(Base!$D$2:$D$2878,B477,Base!$I$2:$I$2878)</f>
        <v>3920</v>
      </c>
      <c r="H477" s="36" t="n">
        <f aca="false">IF($G$2849=0,0,G477/$G$2849)</f>
        <v>0.000257239127193906</v>
      </c>
      <c r="I477" s="37" t="n">
        <f aca="false">I476+H477</f>
        <v>0.886638165500496</v>
      </c>
      <c r="J477" s="37" t="n">
        <f aca="false">A477/2840</f>
        <v>0.165492957746479</v>
      </c>
      <c r="K477" s="32" t="str">
        <f aca="false">IF(I477&lt;=$E$4,"A",IF(I477&lt;=$E$5,"B","C"))</f>
        <v>B</v>
      </c>
    </row>
    <row r="478" customFormat="false" ht="15" hidden="false" customHeight="false" outlineLevel="0" collapsed="false">
      <c r="A478" s="32" t="n">
        <v>471</v>
      </c>
      <c r="B478" s="33" t="n">
        <v>1256115</v>
      </c>
      <c r="C478" s="34" t="s">
        <v>1020</v>
      </c>
      <c r="D478" s="34" t="s">
        <v>1021</v>
      </c>
      <c r="E478" s="34" t="s">
        <v>189</v>
      </c>
      <c r="F478" s="32" t="n">
        <f aca="false">COUNTIF(Base!$D$2:$D$2878,B478)</f>
        <v>1</v>
      </c>
      <c r="G478" s="35" t="n">
        <f aca="false">SUMIF(Base!$D$2:$D$2878,B478,Base!$I$2:$I$2878)</f>
        <v>3915.1</v>
      </c>
      <c r="H478" s="36" t="n">
        <f aca="false">IF($G$2849=0,0,G478/$G$2849)</f>
        <v>0.000256917578284914</v>
      </c>
      <c r="I478" s="37" t="n">
        <f aca="false">I477+H478</f>
        <v>0.886895083078781</v>
      </c>
      <c r="J478" s="37" t="n">
        <f aca="false">A478/2840</f>
        <v>0.165845070422535</v>
      </c>
      <c r="K478" s="32" t="str">
        <f aca="false">IF(I478&lt;=$E$4,"A",IF(I478&lt;=$E$5,"B","C"))</f>
        <v>B</v>
      </c>
    </row>
    <row r="479" customFormat="false" ht="15" hidden="false" customHeight="false" outlineLevel="0" collapsed="false">
      <c r="A479" s="32" t="n">
        <v>472</v>
      </c>
      <c r="B479" s="33" t="n">
        <v>22799</v>
      </c>
      <c r="C479" s="34" t="s">
        <v>1022</v>
      </c>
      <c r="D479" s="34" t="s">
        <v>1023</v>
      </c>
      <c r="E479" s="34" t="s">
        <v>189</v>
      </c>
      <c r="F479" s="32" t="n">
        <f aca="false">COUNTIF(Base!$D$2:$D$2878,B479)</f>
        <v>1</v>
      </c>
      <c r="G479" s="35" t="n">
        <f aca="false">SUMIF(Base!$D$2:$D$2878,B479,Base!$I$2:$I$2878)</f>
        <v>3900</v>
      </c>
      <c r="H479" s="36" t="n">
        <f aca="false">IF($G$2849=0,0,G479/$G$2849)</f>
        <v>0.000255926682667406</v>
      </c>
      <c r="I479" s="37" t="n">
        <f aca="false">I478+H479</f>
        <v>0.887151009761448</v>
      </c>
      <c r="J479" s="37" t="n">
        <f aca="false">A479/2840</f>
        <v>0.166197183098592</v>
      </c>
      <c r="K479" s="32" t="str">
        <f aca="false">IF(I479&lt;=$E$4,"A",IF(I479&lt;=$E$5,"B","C"))</f>
        <v>B</v>
      </c>
    </row>
    <row r="480" customFormat="false" ht="15" hidden="false" customHeight="false" outlineLevel="0" collapsed="false">
      <c r="A480" s="32" t="n">
        <v>473</v>
      </c>
      <c r="B480" s="33" t="n">
        <v>137216</v>
      </c>
      <c r="C480" s="34" t="s">
        <v>1024</v>
      </c>
      <c r="D480" s="34" t="s">
        <v>1025</v>
      </c>
      <c r="E480" s="34" t="s">
        <v>113</v>
      </c>
      <c r="F480" s="32" t="n">
        <f aca="false">COUNTIF(Base!$D$2:$D$2878,B480)</f>
        <v>1</v>
      </c>
      <c r="G480" s="35" t="n">
        <f aca="false">SUMIF(Base!$D$2:$D$2878,B480,Base!$I$2:$I$2878)</f>
        <v>3818.2</v>
      </c>
      <c r="H480" s="36" t="n">
        <f aca="false">IF($G$2849=0,0,G480/$G$2849)</f>
        <v>0.000250558784554023</v>
      </c>
      <c r="I480" s="37" t="n">
        <f aca="false">I479+H480</f>
        <v>0.887401568546002</v>
      </c>
      <c r="J480" s="37" t="n">
        <f aca="false">A480/2840</f>
        <v>0.166549295774648</v>
      </c>
      <c r="K480" s="32" t="str">
        <f aca="false">IF(I480&lt;=$E$4,"A",IF(I480&lt;=$E$5,"B","C"))</f>
        <v>B</v>
      </c>
    </row>
    <row r="481" customFormat="false" ht="15" hidden="false" customHeight="false" outlineLevel="0" collapsed="false">
      <c r="A481" s="32" t="n">
        <v>474</v>
      </c>
      <c r="B481" s="33" t="n">
        <v>1388259</v>
      </c>
      <c r="C481" s="34" t="s">
        <v>1026</v>
      </c>
      <c r="D481" s="34" t="s">
        <v>1027</v>
      </c>
      <c r="E481" s="34" t="s">
        <v>38</v>
      </c>
      <c r="F481" s="32" t="n">
        <f aca="false">COUNTIF(Base!$D$2:$D$2878,B481)</f>
        <v>1</v>
      </c>
      <c r="G481" s="35" t="n">
        <f aca="false">SUMIF(Base!$D$2:$D$2878,B481,Base!$I$2:$I$2878)</f>
        <v>3796</v>
      </c>
      <c r="H481" s="36" t="n">
        <f aca="false">IF($G$2849=0,0,G481/$G$2849)</f>
        <v>0.000249101971129609</v>
      </c>
      <c r="I481" s="37" t="n">
        <f aca="false">I480+H481</f>
        <v>0.887650670517132</v>
      </c>
      <c r="J481" s="37" t="n">
        <f aca="false">A481/2840</f>
        <v>0.166901408450704</v>
      </c>
      <c r="K481" s="32" t="str">
        <f aca="false">IF(I481&lt;=$E$4,"A",IF(I481&lt;=$E$5,"B","C"))</f>
        <v>B</v>
      </c>
    </row>
    <row r="482" customFormat="false" ht="15" hidden="false" customHeight="false" outlineLevel="0" collapsed="false">
      <c r="A482" s="32" t="n">
        <v>475</v>
      </c>
      <c r="B482" s="33" t="n">
        <v>1475927</v>
      </c>
      <c r="C482" s="34" t="s">
        <v>1028</v>
      </c>
      <c r="D482" s="34" t="s">
        <v>1029</v>
      </c>
      <c r="E482" s="34" t="s">
        <v>35</v>
      </c>
      <c r="F482" s="32" t="n">
        <f aca="false">COUNTIF(Base!$D$2:$D$2878,B482)</f>
        <v>2</v>
      </c>
      <c r="G482" s="35" t="n">
        <f aca="false">SUMIF(Base!$D$2:$D$2878,B482,Base!$I$2:$I$2878)</f>
        <v>3780</v>
      </c>
      <c r="H482" s="36" t="n">
        <f aca="false">IF($G$2849=0,0,G482/$G$2849)</f>
        <v>0.000248052015508409</v>
      </c>
      <c r="I482" s="37" t="n">
        <f aca="false">I481+H482</f>
        <v>0.88789872253264</v>
      </c>
      <c r="J482" s="37" t="n">
        <f aca="false">A482/2840</f>
        <v>0.167253521126761</v>
      </c>
      <c r="K482" s="32" t="str">
        <f aca="false">IF(I482&lt;=$E$4,"A",IF(I482&lt;=$E$5,"B","C"))</f>
        <v>B</v>
      </c>
    </row>
    <row r="483" customFormat="false" ht="15" hidden="false" customHeight="false" outlineLevel="0" collapsed="false">
      <c r="A483" s="32" t="n">
        <v>476</v>
      </c>
      <c r="B483" s="33" t="n">
        <v>18821</v>
      </c>
      <c r="C483" s="34" t="s">
        <v>1030</v>
      </c>
      <c r="D483" s="34" t="s">
        <v>1031</v>
      </c>
      <c r="E483" s="34" t="s">
        <v>247</v>
      </c>
      <c r="F483" s="32" t="n">
        <f aca="false">COUNTIF(Base!$D$2:$D$2878,B483)</f>
        <v>1</v>
      </c>
      <c r="G483" s="35" t="n">
        <f aca="false">SUMIF(Base!$D$2:$D$2878,B483,Base!$I$2:$I$2878)</f>
        <v>3773.9</v>
      </c>
      <c r="H483" s="36" t="n">
        <f aca="false">IF($G$2849=0,0,G483/$G$2849)</f>
        <v>0.000247651719927827</v>
      </c>
      <c r="I483" s="37" t="n">
        <f aca="false">I482+H483</f>
        <v>0.888146374252568</v>
      </c>
      <c r="J483" s="37" t="n">
        <f aca="false">A483/2840</f>
        <v>0.167605633802817</v>
      </c>
      <c r="K483" s="32" t="str">
        <f aca="false">IF(I483&lt;=$E$4,"A",IF(I483&lt;=$E$5,"B","C"))</f>
        <v>B</v>
      </c>
    </row>
    <row r="484" customFormat="false" ht="15" hidden="false" customHeight="false" outlineLevel="0" collapsed="false">
      <c r="A484" s="32" t="n">
        <v>477</v>
      </c>
      <c r="B484" s="33" t="n">
        <v>351078</v>
      </c>
      <c r="C484" s="34" t="s">
        <v>1032</v>
      </c>
      <c r="D484" s="34" t="s">
        <v>1033</v>
      </c>
      <c r="E484" s="34" t="s">
        <v>1034</v>
      </c>
      <c r="F484" s="32" t="n">
        <f aca="false">COUNTIF(Base!$D$2:$D$2878,B484)</f>
        <v>1</v>
      </c>
      <c r="G484" s="35" t="n">
        <f aca="false">SUMIF(Base!$D$2:$D$2878,B484,Base!$I$2:$I$2878)</f>
        <v>3761.5</v>
      </c>
      <c r="H484" s="36" t="n">
        <f aca="false">IF($G$2849=0,0,G484/$G$2849)</f>
        <v>0.000246838004321397</v>
      </c>
      <c r="I484" s="37" t="n">
        <f aca="false">I483+H484</f>
        <v>0.88839321225689</v>
      </c>
      <c r="J484" s="37" t="n">
        <f aca="false">A484/2840</f>
        <v>0.167957746478873</v>
      </c>
      <c r="K484" s="32" t="str">
        <f aca="false">IF(I484&lt;=$E$4,"A",IF(I484&lt;=$E$5,"B","C"))</f>
        <v>B</v>
      </c>
    </row>
    <row r="485" customFormat="false" ht="15" hidden="false" customHeight="false" outlineLevel="0" collapsed="false">
      <c r="A485" s="32" t="n">
        <v>478</v>
      </c>
      <c r="B485" s="33" t="n">
        <v>1326697</v>
      </c>
      <c r="C485" s="34" t="s">
        <v>1035</v>
      </c>
      <c r="D485" s="34" t="s">
        <v>1036</v>
      </c>
      <c r="E485" s="34" t="s">
        <v>38</v>
      </c>
      <c r="F485" s="32" t="n">
        <f aca="false">COUNTIF(Base!$D$2:$D$2878,B485)</f>
        <v>1</v>
      </c>
      <c r="G485" s="35" t="n">
        <f aca="false">SUMIF(Base!$D$2:$D$2878,B485,Base!$I$2:$I$2878)</f>
        <v>3759.73</v>
      </c>
      <c r="H485" s="36" t="n">
        <f aca="false">IF($G$2849=0,0,G485/$G$2849)</f>
        <v>0.000246721852980802</v>
      </c>
      <c r="I485" s="37" t="n">
        <f aca="false">I484+H485</f>
        <v>0.88863993410987</v>
      </c>
      <c r="J485" s="37" t="n">
        <f aca="false">A485/2840</f>
        <v>0.16830985915493</v>
      </c>
      <c r="K485" s="32" t="str">
        <f aca="false">IF(I485&lt;=$E$4,"A",IF(I485&lt;=$E$5,"B","C"))</f>
        <v>B</v>
      </c>
    </row>
    <row r="486" customFormat="false" ht="15" hidden="false" customHeight="false" outlineLevel="0" collapsed="false">
      <c r="A486" s="32" t="n">
        <v>479</v>
      </c>
      <c r="B486" s="33" t="n">
        <v>1665281</v>
      </c>
      <c r="C486" s="34" t="s">
        <v>1037</v>
      </c>
      <c r="D486" s="34" t="s">
        <v>1038</v>
      </c>
      <c r="E486" s="34" t="s">
        <v>38</v>
      </c>
      <c r="F486" s="32" t="n">
        <f aca="false">COUNTIF(Base!$D$2:$D$2878,B486)</f>
        <v>1</v>
      </c>
      <c r="G486" s="35" t="n">
        <f aca="false">SUMIF(Base!$D$2:$D$2878,B486,Base!$I$2:$I$2878)</f>
        <v>3750</v>
      </c>
      <c r="H486" s="36" t="n">
        <f aca="false">IF($G$2849=0,0,G486/$G$2849)</f>
        <v>0.00024608334871866</v>
      </c>
      <c r="I486" s="37" t="n">
        <f aca="false">I485+H486</f>
        <v>0.888886017458589</v>
      </c>
      <c r="J486" s="37" t="n">
        <f aca="false">A486/2840</f>
        <v>0.168661971830986</v>
      </c>
      <c r="K486" s="32" t="str">
        <f aca="false">IF(I486&lt;=$E$4,"A",IF(I486&lt;=$E$5,"B","C"))</f>
        <v>B</v>
      </c>
    </row>
    <row r="487" customFormat="false" ht="15" hidden="false" customHeight="false" outlineLevel="0" collapsed="false">
      <c r="A487" s="32" t="n">
        <v>480</v>
      </c>
      <c r="B487" s="33" t="n">
        <v>1111642</v>
      </c>
      <c r="C487" s="34" t="s">
        <v>1039</v>
      </c>
      <c r="D487" s="34" t="s">
        <v>1040</v>
      </c>
      <c r="E487" s="34" t="s">
        <v>363</v>
      </c>
      <c r="F487" s="32" t="n">
        <f aca="false">COUNTIF(Base!$D$2:$D$2878,B487)</f>
        <v>1</v>
      </c>
      <c r="G487" s="35" t="n">
        <f aca="false">SUMIF(Base!$D$2:$D$2878,B487,Base!$I$2:$I$2878)</f>
        <v>3748.67</v>
      </c>
      <c r="H487" s="36" t="n">
        <f aca="false">IF($G$2849=0,0,G487/$G$2849)</f>
        <v>0.000245996071157648</v>
      </c>
      <c r="I487" s="37" t="n">
        <f aca="false">I486+H487</f>
        <v>0.889132013529747</v>
      </c>
      <c r="J487" s="37" t="n">
        <f aca="false">A487/2840</f>
        <v>0.169014084507042</v>
      </c>
      <c r="K487" s="32" t="str">
        <f aca="false">IF(I487&lt;=$E$4,"A",IF(I487&lt;=$E$5,"B","C"))</f>
        <v>B</v>
      </c>
    </row>
    <row r="488" customFormat="false" ht="15" hidden="false" customHeight="false" outlineLevel="0" collapsed="false">
      <c r="A488" s="32" t="n">
        <v>481</v>
      </c>
      <c r="B488" s="33" t="n">
        <v>390931</v>
      </c>
      <c r="C488" s="34" t="s">
        <v>1041</v>
      </c>
      <c r="D488" s="34" t="s">
        <v>1042</v>
      </c>
      <c r="E488" s="34" t="s">
        <v>38</v>
      </c>
      <c r="F488" s="32" t="n">
        <f aca="false">COUNTIF(Base!$D$2:$D$2878,B488)</f>
        <v>1</v>
      </c>
      <c r="G488" s="35" t="n">
        <f aca="false">SUMIF(Base!$D$2:$D$2878,B488,Base!$I$2:$I$2878)</f>
        <v>3737.69</v>
      </c>
      <c r="H488" s="36" t="n">
        <f aca="false">IF($G$2849=0,0,G488/$G$2849)</f>
        <v>0.0002452755391126</v>
      </c>
      <c r="I488" s="37" t="n">
        <f aca="false">I487+H488</f>
        <v>0.889377289068859</v>
      </c>
      <c r="J488" s="37" t="n">
        <f aca="false">A488/2840</f>
        <v>0.169366197183099</v>
      </c>
      <c r="K488" s="32" t="str">
        <f aca="false">IF(I488&lt;=$E$4,"A",IF(I488&lt;=$E$5,"B","C"))</f>
        <v>B</v>
      </c>
    </row>
    <row r="489" customFormat="false" ht="15" hidden="false" customHeight="false" outlineLevel="0" collapsed="false">
      <c r="A489" s="32" t="n">
        <v>482</v>
      </c>
      <c r="B489" s="33" t="n">
        <v>1475298</v>
      </c>
      <c r="C489" s="34" t="s">
        <v>1043</v>
      </c>
      <c r="D489" s="34" t="s">
        <v>1044</v>
      </c>
      <c r="E489" s="34" t="s">
        <v>100</v>
      </c>
      <c r="F489" s="32" t="n">
        <f aca="false">COUNTIF(Base!$D$2:$D$2878,B489)</f>
        <v>1</v>
      </c>
      <c r="G489" s="35" t="n">
        <f aca="false">SUMIF(Base!$D$2:$D$2878,B489,Base!$I$2:$I$2878)</f>
        <v>3706.5</v>
      </c>
      <c r="H489" s="36" t="n">
        <f aca="false">IF($G$2849=0,0,G489/$G$2849)</f>
        <v>0.000243228781873524</v>
      </c>
      <c r="I489" s="37" t="n">
        <f aca="false">I488+H489</f>
        <v>0.889620517850733</v>
      </c>
      <c r="J489" s="37" t="n">
        <f aca="false">A489/2840</f>
        <v>0.169718309859155</v>
      </c>
      <c r="K489" s="32" t="str">
        <f aca="false">IF(I489&lt;=$E$4,"A",IF(I489&lt;=$E$5,"B","C"))</f>
        <v>B</v>
      </c>
    </row>
    <row r="490" customFormat="false" ht="15" hidden="false" customHeight="false" outlineLevel="0" collapsed="false">
      <c r="A490" s="32" t="n">
        <v>483</v>
      </c>
      <c r="B490" s="33" t="n">
        <v>20007</v>
      </c>
      <c r="C490" s="34" t="s">
        <v>1045</v>
      </c>
      <c r="D490" s="34" t="s">
        <v>1046</v>
      </c>
      <c r="E490" s="34" t="s">
        <v>35</v>
      </c>
      <c r="F490" s="32" t="n">
        <f aca="false">COUNTIF(Base!$D$2:$D$2878,B490)</f>
        <v>1</v>
      </c>
      <c r="G490" s="35" t="n">
        <f aca="false">SUMIF(Base!$D$2:$D$2878,B490,Base!$I$2:$I$2878)</f>
        <v>3700</v>
      </c>
      <c r="H490" s="36" t="n">
        <f aca="false">IF($G$2849=0,0,G490/$G$2849)</f>
        <v>0.000242802237402411</v>
      </c>
      <c r="I490" s="37" t="n">
        <f aca="false">I489+H490</f>
        <v>0.889863320088135</v>
      </c>
      <c r="J490" s="37" t="n">
        <f aca="false">A490/2840</f>
        <v>0.170070422535211</v>
      </c>
      <c r="K490" s="32" t="str">
        <f aca="false">IF(I490&lt;=$E$4,"A",IF(I490&lt;=$E$5,"B","C"))</f>
        <v>B</v>
      </c>
    </row>
    <row r="491" customFormat="false" ht="15" hidden="false" customHeight="false" outlineLevel="0" collapsed="false">
      <c r="A491" s="32" t="n">
        <v>484</v>
      </c>
      <c r="B491" s="33" t="n">
        <v>35288</v>
      </c>
      <c r="C491" s="34" t="s">
        <v>1047</v>
      </c>
      <c r="D491" s="34" t="s">
        <v>1048</v>
      </c>
      <c r="E491" s="34" t="s">
        <v>355</v>
      </c>
      <c r="F491" s="32" t="n">
        <f aca="false">COUNTIF(Base!$D$2:$D$2878,B491)</f>
        <v>1</v>
      </c>
      <c r="G491" s="35" t="n">
        <f aca="false">SUMIF(Base!$D$2:$D$2878,B491,Base!$I$2:$I$2878)</f>
        <v>3700</v>
      </c>
      <c r="H491" s="36" t="n">
        <f aca="false">IF($G$2849=0,0,G491/$G$2849)</f>
        <v>0.000242802237402411</v>
      </c>
      <c r="I491" s="37" t="n">
        <f aca="false">I490+H491</f>
        <v>0.890106122325537</v>
      </c>
      <c r="J491" s="37" t="n">
        <f aca="false">A491/2840</f>
        <v>0.170422535211268</v>
      </c>
      <c r="K491" s="32" t="str">
        <f aca="false">IF(I491&lt;=$E$4,"A",IF(I491&lt;=$E$5,"B","C"))</f>
        <v>B</v>
      </c>
    </row>
    <row r="492" customFormat="false" ht="15" hidden="false" customHeight="false" outlineLevel="0" collapsed="false">
      <c r="A492" s="32" t="n">
        <v>485</v>
      </c>
      <c r="B492" s="33" t="n">
        <v>1674334</v>
      </c>
      <c r="C492" s="34" t="s">
        <v>1049</v>
      </c>
      <c r="D492" s="34" t="s">
        <v>1050</v>
      </c>
      <c r="E492" s="34" t="s">
        <v>480</v>
      </c>
      <c r="F492" s="32" t="n">
        <f aca="false">COUNTIF(Base!$D$2:$D$2878,B492)</f>
        <v>1</v>
      </c>
      <c r="G492" s="35" t="n">
        <f aca="false">SUMIF(Base!$D$2:$D$2878,B492,Base!$I$2:$I$2878)</f>
        <v>3696</v>
      </c>
      <c r="H492" s="36" t="n">
        <f aca="false">IF($G$2849=0,0,G492/$G$2849)</f>
        <v>0.000242539748497111</v>
      </c>
      <c r="I492" s="37" t="n">
        <f aca="false">I491+H492</f>
        <v>0.890348662074035</v>
      </c>
      <c r="J492" s="37" t="n">
        <f aca="false">A492/2840</f>
        <v>0.170774647887324</v>
      </c>
      <c r="K492" s="32" t="str">
        <f aca="false">IF(I492&lt;=$E$4,"A",IF(I492&lt;=$E$5,"B","C"))</f>
        <v>B</v>
      </c>
    </row>
    <row r="493" customFormat="false" ht="15" hidden="false" customHeight="false" outlineLevel="0" collapsed="false">
      <c r="A493" s="32" t="n">
        <v>486</v>
      </c>
      <c r="B493" s="33" t="n">
        <v>19217</v>
      </c>
      <c r="C493" s="34" t="s">
        <v>1051</v>
      </c>
      <c r="D493" s="34" t="s">
        <v>1052</v>
      </c>
      <c r="E493" s="34" t="s">
        <v>93</v>
      </c>
      <c r="F493" s="32" t="n">
        <f aca="false">COUNTIF(Base!$D$2:$D$2878,B493)</f>
        <v>1</v>
      </c>
      <c r="G493" s="35" t="n">
        <f aca="false">SUMIF(Base!$D$2:$D$2878,B493,Base!$I$2:$I$2878)</f>
        <v>3694.94</v>
      </c>
      <c r="H493" s="36" t="n">
        <f aca="false">IF($G$2849=0,0,G493/$G$2849)</f>
        <v>0.000242470188937207</v>
      </c>
      <c r="I493" s="37" t="n">
        <f aca="false">I492+H493</f>
        <v>0.890591132262972</v>
      </c>
      <c r="J493" s="37" t="n">
        <f aca="false">A493/2840</f>
        <v>0.17112676056338</v>
      </c>
      <c r="K493" s="32" t="str">
        <f aca="false">IF(I493&lt;=$E$4,"A",IF(I493&lt;=$E$5,"B","C"))</f>
        <v>B</v>
      </c>
    </row>
    <row r="494" customFormat="false" ht="15" hidden="false" customHeight="false" outlineLevel="0" collapsed="false">
      <c r="A494" s="32" t="n">
        <v>487</v>
      </c>
      <c r="B494" s="33" t="n">
        <v>1310971</v>
      </c>
      <c r="C494" s="34" t="s">
        <v>1053</v>
      </c>
      <c r="D494" s="34" t="s">
        <v>1054</v>
      </c>
      <c r="E494" s="34" t="s">
        <v>133</v>
      </c>
      <c r="F494" s="32" t="n">
        <f aca="false">COUNTIF(Base!$D$2:$D$2878,B494)</f>
        <v>1</v>
      </c>
      <c r="G494" s="35" t="n">
        <f aca="false">SUMIF(Base!$D$2:$D$2878,B494,Base!$I$2:$I$2878)</f>
        <v>3680</v>
      </c>
      <c r="H494" s="36" t="n">
        <f aca="false">IF($G$2849=0,0,G494/$G$2849)</f>
        <v>0.000241489792875912</v>
      </c>
      <c r="I494" s="37" t="n">
        <f aca="false">I493+H494</f>
        <v>0.890832622055848</v>
      </c>
      <c r="J494" s="37" t="n">
        <f aca="false">A494/2840</f>
        <v>0.171478873239437</v>
      </c>
      <c r="K494" s="32" t="str">
        <f aca="false">IF(I494&lt;=$E$4,"A",IF(I494&lt;=$E$5,"B","C"))</f>
        <v>B</v>
      </c>
    </row>
    <row r="495" customFormat="false" ht="15" hidden="false" customHeight="false" outlineLevel="0" collapsed="false">
      <c r="A495" s="32" t="n">
        <v>488</v>
      </c>
      <c r="B495" s="33" t="n">
        <v>352407</v>
      </c>
      <c r="C495" s="34" t="s">
        <v>1055</v>
      </c>
      <c r="D495" s="34" t="s">
        <v>1056</v>
      </c>
      <c r="E495" s="34" t="s">
        <v>130</v>
      </c>
      <c r="F495" s="32" t="n">
        <f aca="false">COUNTIF(Base!$D$2:$D$2878,B495)</f>
        <v>1</v>
      </c>
      <c r="G495" s="35" t="n">
        <f aca="false">SUMIF(Base!$D$2:$D$2878,B495,Base!$I$2:$I$2878)</f>
        <v>3658.48</v>
      </c>
      <c r="H495" s="36" t="n">
        <f aca="false">IF($G$2849=0,0,G495/$G$2849)</f>
        <v>0.000240077602565398</v>
      </c>
      <c r="I495" s="37" t="n">
        <f aca="false">I494+H495</f>
        <v>0.891072699658413</v>
      </c>
      <c r="J495" s="37" t="n">
        <f aca="false">A495/2840</f>
        <v>0.171830985915493</v>
      </c>
      <c r="K495" s="32" t="str">
        <f aca="false">IF(I495&lt;=$E$4,"A",IF(I495&lt;=$E$5,"B","C"))</f>
        <v>B</v>
      </c>
    </row>
    <row r="496" customFormat="false" ht="15" hidden="false" customHeight="false" outlineLevel="0" collapsed="false">
      <c r="A496" s="32" t="n">
        <v>489</v>
      </c>
      <c r="B496" s="33" t="n">
        <v>1469533</v>
      </c>
      <c r="C496" s="34" t="s">
        <v>1057</v>
      </c>
      <c r="D496" s="34" t="s">
        <v>1058</v>
      </c>
      <c r="E496" s="34" t="s">
        <v>394</v>
      </c>
      <c r="F496" s="32" t="n">
        <f aca="false">COUNTIF(Base!$D$2:$D$2878,B496)</f>
        <v>1</v>
      </c>
      <c r="G496" s="35" t="n">
        <f aca="false">SUMIF(Base!$D$2:$D$2878,B496,Base!$I$2:$I$2878)</f>
        <v>3624.8</v>
      </c>
      <c r="H496" s="36" t="n">
        <f aca="false">IF($G$2849=0,0,G496/$G$2849)</f>
        <v>0.000237867445982773</v>
      </c>
      <c r="I496" s="37" t="n">
        <f aca="false">I495+H496</f>
        <v>0.891310567104396</v>
      </c>
      <c r="J496" s="37" t="n">
        <f aca="false">A496/2840</f>
        <v>0.172183098591549</v>
      </c>
      <c r="K496" s="32" t="str">
        <f aca="false">IF(I496&lt;=$E$4,"A",IF(I496&lt;=$E$5,"B","C"))</f>
        <v>B</v>
      </c>
    </row>
    <row r="497" customFormat="false" ht="15" hidden="false" customHeight="false" outlineLevel="0" collapsed="false">
      <c r="A497" s="32" t="n">
        <v>490</v>
      </c>
      <c r="B497" s="33" t="n">
        <v>930122</v>
      </c>
      <c r="C497" s="34" t="s">
        <v>1059</v>
      </c>
      <c r="D497" s="34" t="s">
        <v>1060</v>
      </c>
      <c r="E497" s="34" t="s">
        <v>835</v>
      </c>
      <c r="F497" s="32" t="n">
        <f aca="false">COUNTIF(Base!$D$2:$D$2878,B497)</f>
        <v>1</v>
      </c>
      <c r="G497" s="35" t="n">
        <f aca="false">SUMIF(Base!$D$2:$D$2878,B497,Base!$I$2:$I$2878)</f>
        <v>3601.01</v>
      </c>
      <c r="H497" s="36" t="n">
        <f aca="false">IF($G$2849=0,0,G497/$G$2849)</f>
        <v>0.000236306293218502</v>
      </c>
      <c r="I497" s="37" t="n">
        <f aca="false">I496+H497</f>
        <v>0.891546873397614</v>
      </c>
      <c r="J497" s="37" t="n">
        <f aca="false">A497/2840</f>
        <v>0.172535211267606</v>
      </c>
      <c r="K497" s="32" t="str">
        <f aca="false">IF(I497&lt;=$E$4,"A",IF(I497&lt;=$E$5,"B","C"))</f>
        <v>B</v>
      </c>
    </row>
    <row r="498" customFormat="false" ht="15" hidden="false" customHeight="false" outlineLevel="0" collapsed="false">
      <c r="A498" s="32" t="n">
        <v>491</v>
      </c>
      <c r="B498" s="33" t="n">
        <v>32794</v>
      </c>
      <c r="C498" s="34" t="s">
        <v>1061</v>
      </c>
      <c r="D498" s="34" t="s">
        <v>1062</v>
      </c>
      <c r="E498" s="34" t="s">
        <v>133</v>
      </c>
      <c r="F498" s="32" t="n">
        <f aca="false">COUNTIF(Base!$D$2:$D$2878,B498)</f>
        <v>1</v>
      </c>
      <c r="G498" s="35" t="n">
        <f aca="false">SUMIF(Base!$D$2:$D$2878,B498,Base!$I$2:$I$2878)</f>
        <v>3600</v>
      </c>
      <c r="H498" s="36" t="n">
        <f aca="false">IF($G$2849=0,0,G498/$G$2849)</f>
        <v>0.000236240014769914</v>
      </c>
      <c r="I498" s="37" t="n">
        <f aca="false">I497+H498</f>
        <v>0.891783113412384</v>
      </c>
      <c r="J498" s="37" t="n">
        <f aca="false">A498/2840</f>
        <v>0.172887323943662</v>
      </c>
      <c r="K498" s="32" t="str">
        <f aca="false">IF(I498&lt;=$E$4,"A",IF(I498&lt;=$E$5,"B","C"))</f>
        <v>B</v>
      </c>
    </row>
    <row r="499" customFormat="false" ht="15" hidden="false" customHeight="false" outlineLevel="0" collapsed="false">
      <c r="A499" s="32" t="n">
        <v>492</v>
      </c>
      <c r="B499" s="33" t="n">
        <v>1476263</v>
      </c>
      <c r="C499" s="34" t="s">
        <v>1063</v>
      </c>
      <c r="D499" s="34" t="s">
        <v>1064</v>
      </c>
      <c r="E499" s="34" t="s">
        <v>133</v>
      </c>
      <c r="F499" s="32" t="n">
        <f aca="false">COUNTIF(Base!$D$2:$D$2878,B499)</f>
        <v>1</v>
      </c>
      <c r="G499" s="35" t="n">
        <f aca="false">SUMIF(Base!$D$2:$D$2878,B499,Base!$I$2:$I$2878)</f>
        <v>3600</v>
      </c>
      <c r="H499" s="36" t="n">
        <f aca="false">IF($G$2849=0,0,G499/$G$2849)</f>
        <v>0.000236240014769914</v>
      </c>
      <c r="I499" s="37" t="n">
        <f aca="false">I498+H499</f>
        <v>0.892019353427154</v>
      </c>
      <c r="J499" s="37" t="n">
        <f aca="false">A499/2840</f>
        <v>0.173239436619718</v>
      </c>
      <c r="K499" s="32" t="str">
        <f aca="false">IF(I499&lt;=$E$4,"A",IF(I499&lt;=$E$5,"B","C"))</f>
        <v>B</v>
      </c>
    </row>
    <row r="500" customFormat="false" ht="15" hidden="false" customHeight="false" outlineLevel="0" collapsed="false">
      <c r="A500" s="32" t="n">
        <v>493</v>
      </c>
      <c r="B500" s="33" t="n">
        <v>1476287</v>
      </c>
      <c r="C500" s="34" t="s">
        <v>1065</v>
      </c>
      <c r="D500" s="34" t="s">
        <v>1066</v>
      </c>
      <c r="E500" s="34" t="s">
        <v>133</v>
      </c>
      <c r="F500" s="32" t="n">
        <f aca="false">COUNTIF(Base!$D$2:$D$2878,B500)</f>
        <v>1</v>
      </c>
      <c r="G500" s="35" t="n">
        <f aca="false">SUMIF(Base!$D$2:$D$2878,B500,Base!$I$2:$I$2878)</f>
        <v>3600</v>
      </c>
      <c r="H500" s="36" t="n">
        <f aca="false">IF($G$2849=0,0,G500/$G$2849)</f>
        <v>0.000236240014769914</v>
      </c>
      <c r="I500" s="37" t="n">
        <f aca="false">I499+H500</f>
        <v>0.892255593441924</v>
      </c>
      <c r="J500" s="37" t="n">
        <f aca="false">A500/2840</f>
        <v>0.173591549295775</v>
      </c>
      <c r="K500" s="32" t="str">
        <f aca="false">IF(I500&lt;=$E$4,"A",IF(I500&lt;=$E$5,"B","C"))</f>
        <v>B</v>
      </c>
    </row>
    <row r="501" customFormat="false" ht="15" hidden="false" customHeight="false" outlineLevel="0" collapsed="false">
      <c r="A501" s="32" t="n">
        <v>494</v>
      </c>
      <c r="B501" s="33" t="n">
        <v>1476359</v>
      </c>
      <c r="C501" s="34" t="s">
        <v>1067</v>
      </c>
      <c r="D501" s="34" t="s">
        <v>1068</v>
      </c>
      <c r="E501" s="34" t="s">
        <v>835</v>
      </c>
      <c r="F501" s="32" t="n">
        <f aca="false">COUNTIF(Base!$D$2:$D$2878,B501)</f>
        <v>1</v>
      </c>
      <c r="G501" s="35" t="n">
        <f aca="false">SUMIF(Base!$D$2:$D$2878,B501,Base!$I$2:$I$2878)</f>
        <v>3600</v>
      </c>
      <c r="H501" s="36" t="n">
        <f aca="false">IF($G$2849=0,0,G501/$G$2849)</f>
        <v>0.000236240014769914</v>
      </c>
      <c r="I501" s="37" t="n">
        <f aca="false">I500+H501</f>
        <v>0.892491833456694</v>
      </c>
      <c r="J501" s="37" t="n">
        <f aca="false">A501/2840</f>
        <v>0.173943661971831</v>
      </c>
      <c r="K501" s="32" t="str">
        <f aca="false">IF(I501&lt;=$E$4,"A",IF(I501&lt;=$E$5,"B","C"))</f>
        <v>B</v>
      </c>
    </row>
    <row r="502" customFormat="false" ht="15" hidden="false" customHeight="false" outlineLevel="0" collapsed="false">
      <c r="A502" s="32" t="n">
        <v>495</v>
      </c>
      <c r="B502" s="33" t="n">
        <v>23187</v>
      </c>
      <c r="C502" s="34" t="s">
        <v>1069</v>
      </c>
      <c r="D502" s="34" t="s">
        <v>1070</v>
      </c>
      <c r="E502" s="34" t="s">
        <v>75</v>
      </c>
      <c r="F502" s="32" t="n">
        <f aca="false">COUNTIF(Base!$D$2:$D$2878,B502)</f>
        <v>1</v>
      </c>
      <c r="G502" s="35" t="n">
        <f aca="false">SUMIF(Base!$D$2:$D$2878,B502,Base!$I$2:$I$2878)</f>
        <v>3598</v>
      </c>
      <c r="H502" s="36" t="n">
        <f aca="false">IF($G$2849=0,0,G502/$G$2849)</f>
        <v>0.000236108770317264</v>
      </c>
      <c r="I502" s="37" t="n">
        <f aca="false">I501+H502</f>
        <v>0.892727942227011</v>
      </c>
      <c r="J502" s="37" t="n">
        <f aca="false">A502/2840</f>
        <v>0.174295774647887</v>
      </c>
      <c r="K502" s="32" t="str">
        <f aca="false">IF(I502&lt;=$E$4,"A",IF(I502&lt;=$E$5,"B","C"))</f>
        <v>B</v>
      </c>
    </row>
    <row r="503" customFormat="false" ht="15" hidden="false" customHeight="false" outlineLevel="0" collapsed="false">
      <c r="A503" s="32" t="n">
        <v>496</v>
      </c>
      <c r="B503" s="33" t="n">
        <v>388769</v>
      </c>
      <c r="C503" s="34" t="s">
        <v>1071</v>
      </c>
      <c r="D503" s="34" t="s">
        <v>1072</v>
      </c>
      <c r="E503" s="34" t="s">
        <v>189</v>
      </c>
      <c r="F503" s="32" t="n">
        <f aca="false">COUNTIF(Base!$D$2:$D$2878,B503)</f>
        <v>1</v>
      </c>
      <c r="G503" s="35" t="n">
        <f aca="false">SUMIF(Base!$D$2:$D$2878,B503,Base!$I$2:$I$2878)</f>
        <v>3560</v>
      </c>
      <c r="H503" s="36" t="n">
        <f aca="false">IF($G$2849=0,0,G503/$G$2849)</f>
        <v>0.000233615125716915</v>
      </c>
      <c r="I503" s="37" t="n">
        <f aca="false">I502+H503</f>
        <v>0.892961557352728</v>
      </c>
      <c r="J503" s="37" t="n">
        <f aca="false">A503/2840</f>
        <v>0.174647887323944</v>
      </c>
      <c r="K503" s="32" t="str">
        <f aca="false">IF(I503&lt;=$E$4,"A",IF(I503&lt;=$E$5,"B","C"))</f>
        <v>B</v>
      </c>
    </row>
    <row r="504" customFormat="false" ht="15" hidden="false" customHeight="false" outlineLevel="0" collapsed="false">
      <c r="A504" s="32" t="n">
        <v>497</v>
      </c>
      <c r="B504" s="33" t="n">
        <v>389171</v>
      </c>
      <c r="C504" s="34" t="s">
        <v>1073</v>
      </c>
      <c r="D504" s="34" t="s">
        <v>1074</v>
      </c>
      <c r="E504" s="34" t="s">
        <v>247</v>
      </c>
      <c r="F504" s="32" t="n">
        <f aca="false">COUNTIF(Base!$D$2:$D$2878,B504)</f>
        <v>1</v>
      </c>
      <c r="G504" s="35" t="n">
        <f aca="false">SUMIF(Base!$D$2:$D$2878,B504,Base!$I$2:$I$2878)</f>
        <v>3560</v>
      </c>
      <c r="H504" s="36" t="n">
        <f aca="false">IF($G$2849=0,0,G504/$G$2849)</f>
        <v>0.000233615125716915</v>
      </c>
      <c r="I504" s="37" t="n">
        <f aca="false">I503+H504</f>
        <v>0.893195172478445</v>
      </c>
      <c r="J504" s="37" t="n">
        <f aca="false">A504/2840</f>
        <v>0.175</v>
      </c>
      <c r="K504" s="32" t="str">
        <f aca="false">IF(I504&lt;=$E$4,"A",IF(I504&lt;=$E$5,"B","C"))</f>
        <v>B</v>
      </c>
    </row>
    <row r="505" customFormat="false" ht="15" hidden="false" customHeight="false" outlineLevel="0" collapsed="false">
      <c r="A505" s="32" t="n">
        <v>498</v>
      </c>
      <c r="B505" s="33" t="n">
        <v>1679662</v>
      </c>
      <c r="C505" s="34" t="s">
        <v>1075</v>
      </c>
      <c r="D505" s="34" t="s">
        <v>1076</v>
      </c>
      <c r="E505" s="34" t="s">
        <v>705</v>
      </c>
      <c r="F505" s="32" t="n">
        <f aca="false">COUNTIF(Base!$D$2:$D$2878,B505)</f>
        <v>1</v>
      </c>
      <c r="G505" s="35" t="n">
        <f aca="false">SUMIF(Base!$D$2:$D$2878,B505,Base!$I$2:$I$2878)</f>
        <v>3546.74</v>
      </c>
      <c r="H505" s="36" t="n">
        <f aca="false">IF($G$2849=0,0,G505/$G$2849)</f>
        <v>0.000232744974995845</v>
      </c>
      <c r="I505" s="37" t="n">
        <f aca="false">I504+H505</f>
        <v>0.893427917453441</v>
      </c>
      <c r="J505" s="37" t="n">
        <f aca="false">A505/2840</f>
        <v>0.175352112676056</v>
      </c>
      <c r="K505" s="32" t="str">
        <f aca="false">IF(I505&lt;=$E$4,"A",IF(I505&lt;=$E$5,"B","C"))</f>
        <v>B</v>
      </c>
    </row>
    <row r="506" customFormat="false" ht="15" hidden="false" customHeight="false" outlineLevel="0" collapsed="false">
      <c r="A506" s="32" t="n">
        <v>499</v>
      </c>
      <c r="B506" s="33" t="n">
        <v>18889</v>
      </c>
      <c r="C506" s="34" t="s">
        <v>1077</v>
      </c>
      <c r="D506" s="34" t="s">
        <v>1078</v>
      </c>
      <c r="E506" s="34" t="s">
        <v>247</v>
      </c>
      <c r="F506" s="32" t="n">
        <f aca="false">COUNTIF(Base!$D$2:$D$2878,B506)</f>
        <v>1</v>
      </c>
      <c r="G506" s="35" t="n">
        <f aca="false">SUMIF(Base!$D$2:$D$2878,B506,Base!$I$2:$I$2878)</f>
        <v>3538.8628</v>
      </c>
      <c r="H506" s="36" t="n">
        <f aca="false">IF($G$2849=0,0,G506/$G$2849)</f>
        <v>0.000232228055594638</v>
      </c>
      <c r="I506" s="37" t="n">
        <f aca="false">I505+H506</f>
        <v>0.893660145509036</v>
      </c>
      <c r="J506" s="37" t="n">
        <f aca="false">A506/2840</f>
        <v>0.175704225352113</v>
      </c>
      <c r="K506" s="32" t="str">
        <f aca="false">IF(I506&lt;=$E$4,"A",IF(I506&lt;=$E$5,"B","C"))</f>
        <v>B</v>
      </c>
    </row>
    <row r="507" customFormat="false" ht="15" hidden="false" customHeight="false" outlineLevel="0" collapsed="false">
      <c r="A507" s="32" t="n">
        <v>500</v>
      </c>
      <c r="B507" s="33" t="n">
        <v>1386772</v>
      </c>
      <c r="C507" s="34" t="s">
        <v>1079</v>
      </c>
      <c r="D507" s="34" t="s">
        <v>1080</v>
      </c>
      <c r="E507" s="34" t="s">
        <v>100</v>
      </c>
      <c r="F507" s="32" t="n">
        <f aca="false">COUNTIF(Base!$D$2:$D$2878,B507)</f>
        <v>1</v>
      </c>
      <c r="G507" s="35" t="n">
        <f aca="false">SUMIF(Base!$D$2:$D$2878,B507,Base!$I$2:$I$2878)</f>
        <v>3530.65</v>
      </c>
      <c r="H507" s="36" t="n">
        <f aca="false">IF($G$2849=0,0,G507/$G$2849)</f>
        <v>0.000231689113374277</v>
      </c>
      <c r="I507" s="37" t="n">
        <f aca="false">I506+H507</f>
        <v>0.89389183462241</v>
      </c>
      <c r="J507" s="37" t="n">
        <f aca="false">A507/2840</f>
        <v>0.176056338028169</v>
      </c>
      <c r="K507" s="32" t="str">
        <f aca="false">IF(I507&lt;=$E$4,"A",IF(I507&lt;=$E$5,"B","C"))</f>
        <v>B</v>
      </c>
    </row>
    <row r="508" customFormat="false" ht="15" hidden="false" customHeight="false" outlineLevel="0" collapsed="false">
      <c r="A508" s="32" t="n">
        <v>501</v>
      </c>
      <c r="B508" s="33" t="n">
        <v>1387250</v>
      </c>
      <c r="C508" s="34" t="s">
        <v>1081</v>
      </c>
      <c r="D508" s="34" t="s">
        <v>1082</v>
      </c>
      <c r="E508" s="34" t="s">
        <v>394</v>
      </c>
      <c r="F508" s="32" t="n">
        <f aca="false">COUNTIF(Base!$D$2:$D$2878,B508)</f>
        <v>1</v>
      </c>
      <c r="G508" s="35" t="n">
        <f aca="false">SUMIF(Base!$D$2:$D$2878,B508,Base!$I$2:$I$2878)</f>
        <v>3524.5</v>
      </c>
      <c r="H508" s="36" t="n">
        <f aca="false">IF($G$2849=0,0,G508/$G$2849)</f>
        <v>0.000231285536682378</v>
      </c>
      <c r="I508" s="37" t="n">
        <f aca="false">I507+H508</f>
        <v>0.894123120159092</v>
      </c>
      <c r="J508" s="37" t="n">
        <f aca="false">A508/2840</f>
        <v>0.176408450704225</v>
      </c>
      <c r="K508" s="32" t="str">
        <f aca="false">IF(I508&lt;=$E$4,"A",IF(I508&lt;=$E$5,"B","C"))</f>
        <v>B</v>
      </c>
    </row>
    <row r="509" customFormat="false" ht="15" hidden="false" customHeight="false" outlineLevel="0" collapsed="false">
      <c r="A509" s="32" t="n">
        <v>502</v>
      </c>
      <c r="B509" s="33" t="n">
        <v>1613427</v>
      </c>
      <c r="C509" s="34" t="s">
        <v>1083</v>
      </c>
      <c r="D509" s="34" t="s">
        <v>1084</v>
      </c>
      <c r="E509" s="34" t="s">
        <v>38</v>
      </c>
      <c r="F509" s="32" t="n">
        <f aca="false">COUNTIF(Base!$D$2:$D$2878,B509)</f>
        <v>1</v>
      </c>
      <c r="G509" s="35" t="n">
        <f aca="false">SUMIF(Base!$D$2:$D$2878,B509,Base!$I$2:$I$2878)</f>
        <v>3509.94</v>
      </c>
      <c r="H509" s="36" t="n">
        <f aca="false">IF($G$2849=0,0,G509/$G$2849)</f>
        <v>0.000230330077067086</v>
      </c>
      <c r="I509" s="37" t="n">
        <f aca="false">I508+H509</f>
        <v>0.894353450236159</v>
      </c>
      <c r="J509" s="37" t="n">
        <f aca="false">A509/2840</f>
        <v>0.176760563380282</v>
      </c>
      <c r="K509" s="32" t="str">
        <f aca="false">IF(I509&lt;=$E$4,"A",IF(I509&lt;=$E$5,"B","C"))</f>
        <v>B</v>
      </c>
    </row>
    <row r="510" customFormat="false" ht="15" hidden="false" customHeight="false" outlineLevel="0" collapsed="false">
      <c r="A510" s="32" t="n">
        <v>503</v>
      </c>
      <c r="B510" s="33" t="n">
        <v>16255</v>
      </c>
      <c r="C510" s="34" t="s">
        <v>1085</v>
      </c>
      <c r="D510" s="34" t="s">
        <v>1086</v>
      </c>
      <c r="E510" s="34" t="s">
        <v>195</v>
      </c>
      <c r="F510" s="32" t="n">
        <f aca="false">COUNTIF(Base!$D$2:$D$2878,B510)</f>
        <v>1</v>
      </c>
      <c r="G510" s="35" t="n">
        <f aca="false">SUMIF(Base!$D$2:$D$2878,B510,Base!$I$2:$I$2878)</f>
        <v>3480</v>
      </c>
      <c r="H510" s="36" t="n">
        <f aca="false">IF($G$2849=0,0,G510/$G$2849)</f>
        <v>0.000228365347610917</v>
      </c>
      <c r="I510" s="37" t="n">
        <f aca="false">I509+H510</f>
        <v>0.89458181558377</v>
      </c>
      <c r="J510" s="37" t="n">
        <f aca="false">A510/2840</f>
        <v>0.177112676056338</v>
      </c>
      <c r="K510" s="32" t="str">
        <f aca="false">IF(I510&lt;=$E$4,"A",IF(I510&lt;=$E$5,"B","C"))</f>
        <v>B</v>
      </c>
    </row>
    <row r="511" customFormat="false" ht="15" hidden="false" customHeight="false" outlineLevel="0" collapsed="false">
      <c r="A511" s="32" t="n">
        <v>504</v>
      </c>
      <c r="B511" s="33" t="n">
        <v>1677142</v>
      </c>
      <c r="C511" s="34" t="s">
        <v>1087</v>
      </c>
      <c r="D511" s="34" t="s">
        <v>1088</v>
      </c>
      <c r="E511" s="34" t="s">
        <v>38</v>
      </c>
      <c r="F511" s="32" t="n">
        <f aca="false">COUNTIF(Base!$D$2:$D$2878,B511)</f>
        <v>1</v>
      </c>
      <c r="G511" s="35" t="n">
        <f aca="false">SUMIF(Base!$D$2:$D$2878,B511,Base!$I$2:$I$2878)</f>
        <v>3476.88</v>
      </c>
      <c r="H511" s="36" t="n">
        <f aca="false">IF($G$2849=0,0,G511/$G$2849)</f>
        <v>0.000228160606264783</v>
      </c>
      <c r="I511" s="37" t="n">
        <f aca="false">I510+H511</f>
        <v>0.894809976190035</v>
      </c>
      <c r="J511" s="37" t="n">
        <f aca="false">A511/2840</f>
        <v>0.177464788732394</v>
      </c>
      <c r="K511" s="32" t="str">
        <f aca="false">IF(I511&lt;=$E$4,"A",IF(I511&lt;=$E$5,"B","C"))</f>
        <v>B</v>
      </c>
    </row>
    <row r="512" customFormat="false" ht="15" hidden="false" customHeight="false" outlineLevel="0" collapsed="false">
      <c r="A512" s="32" t="n">
        <v>505</v>
      </c>
      <c r="B512" s="33" t="n">
        <v>1679661</v>
      </c>
      <c r="C512" s="34" t="s">
        <v>1089</v>
      </c>
      <c r="D512" s="34" t="s">
        <v>1090</v>
      </c>
      <c r="E512" s="34" t="s">
        <v>705</v>
      </c>
      <c r="F512" s="32" t="n">
        <f aca="false">COUNTIF(Base!$D$2:$D$2878,B512)</f>
        <v>1</v>
      </c>
      <c r="G512" s="35" t="n">
        <f aca="false">SUMIF(Base!$D$2:$D$2878,B512,Base!$I$2:$I$2878)</f>
        <v>3473.68</v>
      </c>
      <c r="H512" s="36" t="n">
        <f aca="false">IF($G$2849=0,0,G512/$G$2849)</f>
        <v>0.000227950615140543</v>
      </c>
      <c r="I512" s="37" t="n">
        <f aca="false">I511+H512</f>
        <v>0.895037926805176</v>
      </c>
      <c r="J512" s="37" t="n">
        <f aca="false">A512/2840</f>
        <v>0.177816901408451</v>
      </c>
      <c r="K512" s="32" t="str">
        <f aca="false">IF(I512&lt;=$E$4,"A",IF(I512&lt;=$E$5,"B","C"))</f>
        <v>B</v>
      </c>
    </row>
    <row r="513" customFormat="false" ht="15" hidden="false" customHeight="false" outlineLevel="0" collapsed="false">
      <c r="A513" s="32" t="n">
        <v>506</v>
      </c>
      <c r="B513" s="33" t="n">
        <v>1385805</v>
      </c>
      <c r="C513" s="34" t="s">
        <v>1091</v>
      </c>
      <c r="D513" s="34" t="s">
        <v>1092</v>
      </c>
      <c r="E513" s="34" t="s">
        <v>38</v>
      </c>
      <c r="F513" s="32" t="n">
        <f aca="false">COUNTIF(Base!$D$2:$D$2878,B513)</f>
        <v>1</v>
      </c>
      <c r="G513" s="35" t="n">
        <f aca="false">SUMIF(Base!$D$2:$D$2878,B513,Base!$I$2:$I$2878)</f>
        <v>3472.55</v>
      </c>
      <c r="H513" s="36" t="n">
        <f aca="false">IF($G$2849=0,0,G513/$G$2849)</f>
        <v>0.000227876462024796</v>
      </c>
      <c r="I513" s="37" t="n">
        <f aca="false">I512+H513</f>
        <v>0.8952658032672</v>
      </c>
      <c r="J513" s="37" t="n">
        <f aca="false">A513/2840</f>
        <v>0.178169014084507</v>
      </c>
      <c r="K513" s="32" t="str">
        <f aca="false">IF(I513&lt;=$E$4,"A",IF(I513&lt;=$E$5,"B","C"))</f>
        <v>B</v>
      </c>
    </row>
    <row r="514" customFormat="false" ht="15" hidden="false" customHeight="false" outlineLevel="0" collapsed="false">
      <c r="A514" s="32" t="n">
        <v>507</v>
      </c>
      <c r="B514" s="33" t="n">
        <v>1329178</v>
      </c>
      <c r="C514" s="34" t="s">
        <v>1093</v>
      </c>
      <c r="D514" s="34" t="s">
        <v>1094</v>
      </c>
      <c r="E514" s="34" t="s">
        <v>1095</v>
      </c>
      <c r="F514" s="32" t="n">
        <f aca="false">COUNTIF(Base!$D$2:$D$2878,B514)</f>
        <v>1</v>
      </c>
      <c r="G514" s="35" t="n">
        <f aca="false">SUMIF(Base!$D$2:$D$2878,B514,Base!$I$2:$I$2878)</f>
        <v>3440.64</v>
      </c>
      <c r="H514" s="36" t="n">
        <f aca="false">IF($G$2849=0,0,G514/$G$2849)</f>
        <v>0.000225782456782765</v>
      </c>
      <c r="I514" s="37" t="n">
        <f aca="false">I513+H514</f>
        <v>0.895491585723983</v>
      </c>
      <c r="J514" s="37" t="n">
        <f aca="false">A514/2840</f>
        <v>0.178521126760563</v>
      </c>
      <c r="K514" s="32" t="str">
        <f aca="false">IF(I514&lt;=$E$4,"A",IF(I514&lt;=$E$5,"B","C"))</f>
        <v>B</v>
      </c>
    </row>
    <row r="515" customFormat="false" ht="15" hidden="false" customHeight="false" outlineLevel="0" collapsed="false">
      <c r="A515" s="32" t="n">
        <v>508</v>
      </c>
      <c r="B515" s="33" t="n">
        <v>18831</v>
      </c>
      <c r="C515" s="34" t="s">
        <v>1096</v>
      </c>
      <c r="D515" s="34" t="s">
        <v>1097</v>
      </c>
      <c r="E515" s="34" t="s">
        <v>247</v>
      </c>
      <c r="F515" s="32" t="n">
        <f aca="false">COUNTIF(Base!$D$2:$D$2878,B515)</f>
        <v>1</v>
      </c>
      <c r="G515" s="35" t="n">
        <f aca="false">SUMIF(Base!$D$2:$D$2878,B515,Base!$I$2:$I$2878)</f>
        <v>3430.25</v>
      </c>
      <c r="H515" s="36" t="n">
        <f aca="false">IF($G$2849=0,0,G515/$G$2849)</f>
        <v>0.000225100641851249</v>
      </c>
      <c r="I515" s="37" t="n">
        <f aca="false">I514+H515</f>
        <v>0.895716686365834</v>
      </c>
      <c r="J515" s="37" t="n">
        <f aca="false">A515/2840</f>
        <v>0.17887323943662</v>
      </c>
      <c r="K515" s="32" t="str">
        <f aca="false">IF(I515&lt;=$E$4,"A",IF(I515&lt;=$E$5,"B","C"))</f>
        <v>B</v>
      </c>
    </row>
    <row r="516" customFormat="false" ht="15" hidden="false" customHeight="false" outlineLevel="0" collapsed="false">
      <c r="A516" s="32" t="n">
        <v>509</v>
      </c>
      <c r="B516" s="33" t="n">
        <v>18833</v>
      </c>
      <c r="C516" s="34" t="s">
        <v>1098</v>
      </c>
      <c r="D516" s="34" t="s">
        <v>1099</v>
      </c>
      <c r="E516" s="34" t="s">
        <v>247</v>
      </c>
      <c r="F516" s="32" t="n">
        <f aca="false">COUNTIF(Base!$D$2:$D$2878,B516)</f>
        <v>1</v>
      </c>
      <c r="G516" s="35" t="n">
        <f aca="false">SUMIF(Base!$D$2:$D$2878,B516,Base!$I$2:$I$2878)</f>
        <v>3410.25</v>
      </c>
      <c r="H516" s="36" t="n">
        <f aca="false">IF($G$2849=0,0,G516/$G$2849)</f>
        <v>0.000223788197324749</v>
      </c>
      <c r="I516" s="37" t="n">
        <f aca="false">I515+H516</f>
        <v>0.895940474563159</v>
      </c>
      <c r="J516" s="37" t="n">
        <f aca="false">A516/2840</f>
        <v>0.179225352112676</v>
      </c>
      <c r="K516" s="32" t="str">
        <f aca="false">IF(I516&lt;=$E$4,"A",IF(I516&lt;=$E$5,"B","C"))</f>
        <v>B</v>
      </c>
    </row>
    <row r="517" customFormat="false" ht="15" hidden="false" customHeight="false" outlineLevel="0" collapsed="false">
      <c r="A517" s="32" t="n">
        <v>510</v>
      </c>
      <c r="B517" s="33" t="n">
        <v>19956</v>
      </c>
      <c r="C517" s="34" t="s">
        <v>1100</v>
      </c>
      <c r="D517" s="34" t="s">
        <v>1101</v>
      </c>
      <c r="E517" s="34" t="s">
        <v>35</v>
      </c>
      <c r="F517" s="32" t="n">
        <f aca="false">COUNTIF(Base!$D$2:$D$2878,B517)</f>
        <v>1</v>
      </c>
      <c r="G517" s="35" t="n">
        <f aca="false">SUMIF(Base!$D$2:$D$2878,B517,Base!$I$2:$I$2878)</f>
        <v>3400</v>
      </c>
      <c r="H517" s="36" t="n">
        <f aca="false">IF($G$2849=0,0,G517/$G$2849)</f>
        <v>0.000223115569504918</v>
      </c>
      <c r="I517" s="37" t="n">
        <f aca="false">I516+H517</f>
        <v>0.896163590132664</v>
      </c>
      <c r="J517" s="37" t="n">
        <f aca="false">A517/2840</f>
        <v>0.179577464788732</v>
      </c>
      <c r="K517" s="32" t="str">
        <f aca="false">IF(I517&lt;=$E$4,"A",IF(I517&lt;=$E$5,"B","C"))</f>
        <v>B</v>
      </c>
    </row>
    <row r="518" customFormat="false" ht="15" hidden="false" customHeight="false" outlineLevel="0" collapsed="false">
      <c r="A518" s="32" t="n">
        <v>511</v>
      </c>
      <c r="B518" s="33" t="n">
        <v>316110</v>
      </c>
      <c r="C518" s="34" t="s">
        <v>1102</v>
      </c>
      <c r="D518" s="34" t="s">
        <v>1103</v>
      </c>
      <c r="E518" s="34" t="s">
        <v>247</v>
      </c>
      <c r="F518" s="32" t="n">
        <f aca="false">COUNTIF(Base!$D$2:$D$2878,B518)</f>
        <v>1</v>
      </c>
      <c r="G518" s="35" t="n">
        <f aca="false">SUMIF(Base!$D$2:$D$2878,B518,Base!$I$2:$I$2878)</f>
        <v>3400</v>
      </c>
      <c r="H518" s="36" t="n">
        <f aca="false">IF($G$2849=0,0,G518/$G$2849)</f>
        <v>0.000223115569504918</v>
      </c>
      <c r="I518" s="37" t="n">
        <f aca="false">I517+H518</f>
        <v>0.896386705702169</v>
      </c>
      <c r="J518" s="37" t="n">
        <f aca="false">A518/2840</f>
        <v>0.179929577464789</v>
      </c>
      <c r="K518" s="32" t="str">
        <f aca="false">IF(I518&lt;=$E$4,"A",IF(I518&lt;=$E$5,"B","C"))</f>
        <v>B</v>
      </c>
    </row>
    <row r="519" customFormat="false" ht="15" hidden="false" customHeight="false" outlineLevel="0" collapsed="false">
      <c r="A519" s="32" t="n">
        <v>512</v>
      </c>
      <c r="B519" s="33" t="n">
        <v>942237</v>
      </c>
      <c r="C519" s="34" t="s">
        <v>1104</v>
      </c>
      <c r="D519" s="34" t="s">
        <v>1105</v>
      </c>
      <c r="E519" s="34" t="s">
        <v>38</v>
      </c>
      <c r="F519" s="32" t="n">
        <f aca="false">COUNTIF(Base!$D$2:$D$2878,B519)</f>
        <v>1</v>
      </c>
      <c r="G519" s="35" t="n">
        <f aca="false">SUMIF(Base!$D$2:$D$2878,B519,Base!$I$2:$I$2878)</f>
        <v>3387.18</v>
      </c>
      <c r="H519" s="36" t="n">
        <f aca="false">IF($G$2849=0,0,G519/$G$2849)</f>
        <v>0.000222274292563432</v>
      </c>
      <c r="I519" s="37" t="n">
        <f aca="false">I518+H519</f>
        <v>0.896608979994732</v>
      </c>
      <c r="J519" s="37" t="n">
        <f aca="false">A519/2840</f>
        <v>0.180281690140845</v>
      </c>
      <c r="K519" s="32" t="str">
        <f aca="false">IF(I519&lt;=$E$4,"A",IF(I519&lt;=$E$5,"B","C"))</f>
        <v>B</v>
      </c>
    </row>
    <row r="520" customFormat="false" ht="15" hidden="false" customHeight="false" outlineLevel="0" collapsed="false">
      <c r="A520" s="32" t="n">
        <v>513</v>
      </c>
      <c r="B520" s="33" t="n">
        <v>65309</v>
      </c>
      <c r="C520" s="34" t="s">
        <v>1106</v>
      </c>
      <c r="D520" s="34" t="s">
        <v>1107</v>
      </c>
      <c r="E520" s="34" t="s">
        <v>247</v>
      </c>
      <c r="F520" s="32" t="n">
        <f aca="false">COUNTIF(Base!$D$2:$D$2878,B520)</f>
        <v>1</v>
      </c>
      <c r="G520" s="35" t="n">
        <f aca="false">SUMIF(Base!$D$2:$D$2878,B520,Base!$I$2:$I$2878)</f>
        <v>3375.95</v>
      </c>
      <c r="H520" s="36" t="n">
        <f aca="false">IF($G$2849=0,0,G520/$G$2849)</f>
        <v>0.000221537354961803</v>
      </c>
      <c r="I520" s="37" t="n">
        <f aca="false">I519+H520</f>
        <v>0.896830517349694</v>
      </c>
      <c r="J520" s="37" t="n">
        <f aca="false">A520/2840</f>
        <v>0.180633802816901</v>
      </c>
      <c r="K520" s="32" t="str">
        <f aca="false">IF(I520&lt;=$E$4,"A",IF(I520&lt;=$E$5,"B","C"))</f>
        <v>B</v>
      </c>
    </row>
    <row r="521" customFormat="false" ht="15" hidden="false" customHeight="false" outlineLevel="0" collapsed="false">
      <c r="A521" s="32" t="n">
        <v>514</v>
      </c>
      <c r="B521" s="33" t="n">
        <v>1326868</v>
      </c>
      <c r="C521" s="34" t="s">
        <v>1108</v>
      </c>
      <c r="D521" s="34" t="s">
        <v>1109</v>
      </c>
      <c r="E521" s="34" t="s">
        <v>38</v>
      </c>
      <c r="F521" s="32" t="n">
        <f aca="false">COUNTIF(Base!$D$2:$D$2878,B521)</f>
        <v>1</v>
      </c>
      <c r="G521" s="35" t="n">
        <f aca="false">SUMIF(Base!$D$2:$D$2878,B521,Base!$I$2:$I$2878)</f>
        <v>3375.11</v>
      </c>
      <c r="H521" s="36" t="n">
        <f aca="false">IF($G$2849=0,0,G521/$G$2849)</f>
        <v>0.00022148223229169</v>
      </c>
      <c r="I521" s="37" t="n">
        <f aca="false">I520+H521</f>
        <v>0.897051999581986</v>
      </c>
      <c r="J521" s="37" t="n">
        <f aca="false">A521/2840</f>
        <v>0.180985915492958</v>
      </c>
      <c r="K521" s="32" t="str">
        <f aca="false">IF(I521&lt;=$E$4,"A",IF(I521&lt;=$E$5,"B","C"))</f>
        <v>B</v>
      </c>
    </row>
    <row r="522" customFormat="false" ht="15" hidden="false" customHeight="false" outlineLevel="0" collapsed="false">
      <c r="A522" s="32" t="n">
        <v>515</v>
      </c>
      <c r="B522" s="33" t="n">
        <v>18832</v>
      </c>
      <c r="C522" s="34" t="s">
        <v>1110</v>
      </c>
      <c r="D522" s="34" t="s">
        <v>1111</v>
      </c>
      <c r="E522" s="34" t="s">
        <v>247</v>
      </c>
      <c r="F522" s="32" t="n">
        <f aca="false">COUNTIF(Base!$D$2:$D$2878,B522)</f>
        <v>1</v>
      </c>
      <c r="G522" s="35" t="n">
        <f aca="false">SUMIF(Base!$D$2:$D$2878,B522,Base!$I$2:$I$2878)</f>
        <v>3370.25</v>
      </c>
      <c r="H522" s="36" t="n">
        <f aca="false">IF($G$2849=0,0,G522/$G$2849)</f>
        <v>0.00022116330827175</v>
      </c>
      <c r="I522" s="37" t="n">
        <f aca="false">I521+H522</f>
        <v>0.897273162890258</v>
      </c>
      <c r="J522" s="37" t="n">
        <f aca="false">A522/2840</f>
        <v>0.181338028169014</v>
      </c>
      <c r="K522" s="32" t="str">
        <f aca="false">IF(I522&lt;=$E$4,"A",IF(I522&lt;=$E$5,"B","C"))</f>
        <v>B</v>
      </c>
    </row>
    <row r="523" customFormat="false" ht="15" hidden="false" customHeight="false" outlineLevel="0" collapsed="false">
      <c r="A523" s="32" t="n">
        <v>516</v>
      </c>
      <c r="B523" s="33" t="n">
        <v>1680622</v>
      </c>
      <c r="C523" s="34" t="s">
        <v>1112</v>
      </c>
      <c r="D523" s="34" t="s">
        <v>1113</v>
      </c>
      <c r="E523" s="34" t="s">
        <v>705</v>
      </c>
      <c r="F523" s="32" t="n">
        <f aca="false">COUNTIF(Base!$D$2:$D$2878,B523)</f>
        <v>1</v>
      </c>
      <c r="G523" s="35" t="n">
        <f aca="false">SUMIF(Base!$D$2:$D$2878,B523,Base!$I$2:$I$2878)</f>
        <v>3369.21</v>
      </c>
      <c r="H523" s="36" t="n">
        <f aca="false">IF($G$2849=0,0,G523/$G$2849)</f>
        <v>0.000221095061156372</v>
      </c>
      <c r="I523" s="37" t="n">
        <f aca="false">I522+H523</f>
        <v>0.897494257951414</v>
      </c>
      <c r="J523" s="37" t="n">
        <f aca="false">A523/2840</f>
        <v>0.18169014084507</v>
      </c>
      <c r="K523" s="32" t="str">
        <f aca="false">IF(I523&lt;=$E$4,"A",IF(I523&lt;=$E$5,"B","C"))</f>
        <v>B</v>
      </c>
    </row>
    <row r="524" customFormat="false" ht="15" hidden="false" customHeight="false" outlineLevel="0" collapsed="false">
      <c r="A524" s="32" t="n">
        <v>517</v>
      </c>
      <c r="B524" s="33" t="n">
        <v>1330569</v>
      </c>
      <c r="C524" s="34" t="s">
        <v>1114</v>
      </c>
      <c r="D524" s="34" t="s">
        <v>1115</v>
      </c>
      <c r="E524" s="34" t="s">
        <v>54</v>
      </c>
      <c r="F524" s="32" t="n">
        <f aca="false">COUNTIF(Base!$D$2:$D$2878,B524)</f>
        <v>1</v>
      </c>
      <c r="G524" s="35" t="n">
        <f aca="false">SUMIF(Base!$D$2:$D$2878,B524,Base!$I$2:$I$2878)</f>
        <v>3366.9</v>
      </c>
      <c r="H524" s="36" t="n">
        <f aca="false">IF($G$2849=0,0,G524/$G$2849)</f>
        <v>0.000220943473813562</v>
      </c>
      <c r="I524" s="37" t="n">
        <f aca="false">I523+H524</f>
        <v>0.897715201425227</v>
      </c>
      <c r="J524" s="37" t="n">
        <f aca="false">A524/2840</f>
        <v>0.182042253521127</v>
      </c>
      <c r="K524" s="32" t="str">
        <f aca="false">IF(I524&lt;=$E$4,"A",IF(I524&lt;=$E$5,"B","C"))</f>
        <v>B</v>
      </c>
    </row>
    <row r="525" customFormat="false" ht="15" hidden="false" customHeight="false" outlineLevel="0" collapsed="false">
      <c r="A525" s="32" t="n">
        <v>518</v>
      </c>
      <c r="B525" s="33" t="n">
        <v>1607240</v>
      </c>
      <c r="C525" s="34" t="s">
        <v>1116</v>
      </c>
      <c r="D525" s="34" t="s">
        <v>1117</v>
      </c>
      <c r="E525" s="34" t="s">
        <v>38</v>
      </c>
      <c r="F525" s="32" t="n">
        <f aca="false">COUNTIF(Base!$D$2:$D$2878,B525)</f>
        <v>1</v>
      </c>
      <c r="G525" s="35" t="n">
        <f aca="false">SUMIF(Base!$D$2:$D$2878,B525,Base!$I$2:$I$2878)</f>
        <v>3363.84</v>
      </c>
      <c r="H525" s="36" t="n">
        <f aca="false">IF($G$2849=0,0,G525/$G$2849)</f>
        <v>0.000220742669801007</v>
      </c>
      <c r="I525" s="37" t="n">
        <f aca="false">I524+H525</f>
        <v>0.897935944095028</v>
      </c>
      <c r="J525" s="37" t="n">
        <f aca="false">A525/2840</f>
        <v>0.182394366197183</v>
      </c>
      <c r="K525" s="32" t="str">
        <f aca="false">IF(I525&lt;=$E$4,"A",IF(I525&lt;=$E$5,"B","C"))</f>
        <v>B</v>
      </c>
    </row>
    <row r="526" customFormat="false" ht="15" hidden="false" customHeight="false" outlineLevel="0" collapsed="false">
      <c r="A526" s="32" t="n">
        <v>519</v>
      </c>
      <c r="B526" s="33" t="n">
        <v>293147</v>
      </c>
      <c r="C526" s="34" t="s">
        <v>1118</v>
      </c>
      <c r="D526" s="34" t="s">
        <v>1119</v>
      </c>
      <c r="E526" s="34" t="s">
        <v>93</v>
      </c>
      <c r="F526" s="32" t="n">
        <f aca="false">COUNTIF(Base!$D$2:$D$2878,B526)</f>
        <v>1</v>
      </c>
      <c r="G526" s="35" t="n">
        <f aca="false">SUMIF(Base!$D$2:$D$2878,B526,Base!$I$2:$I$2878)</f>
        <v>3362.57</v>
      </c>
      <c r="H526" s="36" t="n">
        <f aca="false">IF($G$2849=0,0,G526/$G$2849)</f>
        <v>0.000220659329573575</v>
      </c>
      <c r="I526" s="37" t="n">
        <f aca="false">I525+H526</f>
        <v>0.898156603424602</v>
      </c>
      <c r="J526" s="37" t="n">
        <f aca="false">A526/2840</f>
        <v>0.182746478873239</v>
      </c>
      <c r="K526" s="32" t="str">
        <f aca="false">IF(I526&lt;=$E$4,"A",IF(I526&lt;=$E$5,"B","C"))</f>
        <v>B</v>
      </c>
    </row>
    <row r="527" customFormat="false" ht="15" hidden="false" customHeight="false" outlineLevel="0" collapsed="false">
      <c r="A527" s="32" t="n">
        <v>520</v>
      </c>
      <c r="B527" s="33" t="n">
        <v>1311113</v>
      </c>
      <c r="C527" s="34" t="s">
        <v>1120</v>
      </c>
      <c r="D527" s="34" t="s">
        <v>1121</v>
      </c>
      <c r="E527" s="34" t="s">
        <v>133</v>
      </c>
      <c r="F527" s="32" t="n">
        <f aca="false">COUNTIF(Base!$D$2:$D$2878,B527)</f>
        <v>1</v>
      </c>
      <c r="G527" s="35" t="n">
        <f aca="false">SUMIF(Base!$D$2:$D$2878,B527,Base!$I$2:$I$2878)</f>
        <v>3344.4</v>
      </c>
      <c r="H527" s="36" t="n">
        <f aca="false">IF($G$2849=0,0,G527/$G$2849)</f>
        <v>0.00021946697372125</v>
      </c>
      <c r="I527" s="37" t="n">
        <f aca="false">I526+H527</f>
        <v>0.898376070398323</v>
      </c>
      <c r="J527" s="37" t="n">
        <f aca="false">A527/2840</f>
        <v>0.183098591549296</v>
      </c>
      <c r="K527" s="32" t="str">
        <f aca="false">IF(I527&lt;=$E$4,"A",IF(I527&lt;=$E$5,"B","C"))</f>
        <v>B</v>
      </c>
    </row>
    <row r="528" customFormat="false" ht="15" hidden="false" customHeight="false" outlineLevel="0" collapsed="false">
      <c r="A528" s="32" t="n">
        <v>521</v>
      </c>
      <c r="B528" s="33" t="n">
        <v>228954</v>
      </c>
      <c r="C528" s="34" t="s">
        <v>1122</v>
      </c>
      <c r="D528" s="34" t="s">
        <v>1123</v>
      </c>
      <c r="E528" s="34" t="s">
        <v>130</v>
      </c>
      <c r="F528" s="32" t="n">
        <f aca="false">COUNTIF(Base!$D$2:$D$2878,B528)</f>
        <v>1</v>
      </c>
      <c r="G528" s="35" t="n">
        <f aca="false">SUMIF(Base!$D$2:$D$2878,B528,Base!$I$2:$I$2878)</f>
        <v>3340</v>
      </c>
      <c r="H528" s="36" t="n">
        <f aca="false">IF($G$2849=0,0,G528/$G$2849)</f>
        <v>0.00021917823592542</v>
      </c>
      <c r="I528" s="37" t="n">
        <f aca="false">I527+H528</f>
        <v>0.898595248634249</v>
      </c>
      <c r="J528" s="37" t="n">
        <f aca="false">A528/2840</f>
        <v>0.183450704225352</v>
      </c>
      <c r="K528" s="32" t="str">
        <f aca="false">IF(I528&lt;=$E$4,"A",IF(I528&lt;=$E$5,"B","C"))</f>
        <v>B</v>
      </c>
    </row>
    <row r="529" customFormat="false" ht="15" hidden="false" customHeight="false" outlineLevel="0" collapsed="false">
      <c r="A529" s="32" t="n">
        <v>522</v>
      </c>
      <c r="B529" s="33" t="n">
        <v>1472290</v>
      </c>
      <c r="C529" s="34" t="s">
        <v>1124</v>
      </c>
      <c r="D529" s="34" t="s">
        <v>1125</v>
      </c>
      <c r="E529" s="34" t="s">
        <v>355</v>
      </c>
      <c r="F529" s="32" t="n">
        <f aca="false">COUNTIF(Base!$D$2:$D$2878,B529)</f>
        <v>1</v>
      </c>
      <c r="G529" s="35" t="n">
        <f aca="false">SUMIF(Base!$D$2:$D$2878,B529,Base!$I$2:$I$2878)</f>
        <v>3336</v>
      </c>
      <c r="H529" s="36" t="n">
        <f aca="false">IF($G$2849=0,0,G529/$G$2849)</f>
        <v>0.00021891574702012</v>
      </c>
      <c r="I529" s="37" t="n">
        <f aca="false">I528+H529</f>
        <v>0.898814164381269</v>
      </c>
      <c r="J529" s="37" t="n">
        <f aca="false">A529/2840</f>
        <v>0.183802816901408</v>
      </c>
      <c r="K529" s="32" t="str">
        <f aca="false">IF(I529&lt;=$E$4,"A",IF(I529&lt;=$E$5,"B","C"))</f>
        <v>B</v>
      </c>
    </row>
    <row r="530" customFormat="false" ht="15" hidden="false" customHeight="false" outlineLevel="0" collapsed="false">
      <c r="A530" s="32" t="n">
        <v>523</v>
      </c>
      <c r="B530" s="33" t="n">
        <v>18834</v>
      </c>
      <c r="C530" s="34" t="s">
        <v>1126</v>
      </c>
      <c r="D530" s="34" t="s">
        <v>1127</v>
      </c>
      <c r="E530" s="34" t="s">
        <v>247</v>
      </c>
      <c r="F530" s="32" t="n">
        <f aca="false">COUNTIF(Base!$D$2:$D$2878,B530)</f>
        <v>1</v>
      </c>
      <c r="G530" s="35" t="n">
        <f aca="false">SUMIF(Base!$D$2:$D$2878,B530,Base!$I$2:$I$2878)</f>
        <v>3330.25</v>
      </c>
      <c r="H530" s="36" t="n">
        <f aca="false">IF($G$2849=0,0,G530/$G$2849)</f>
        <v>0.000218538419218751</v>
      </c>
      <c r="I530" s="37" t="n">
        <f aca="false">I529+H530</f>
        <v>0.899032702800488</v>
      </c>
      <c r="J530" s="37" t="n">
        <f aca="false">A530/2840</f>
        <v>0.184154929577465</v>
      </c>
      <c r="K530" s="32" t="str">
        <f aca="false">IF(I530&lt;=$E$4,"A",IF(I530&lt;=$E$5,"B","C"))</f>
        <v>B</v>
      </c>
    </row>
    <row r="531" customFormat="false" ht="15" hidden="false" customHeight="false" outlineLevel="0" collapsed="false">
      <c r="A531" s="32" t="n">
        <v>524</v>
      </c>
      <c r="B531" s="33" t="n">
        <v>1386744</v>
      </c>
      <c r="C531" s="34" t="s">
        <v>1128</v>
      </c>
      <c r="D531" s="34" t="s">
        <v>1129</v>
      </c>
      <c r="E531" s="34" t="s">
        <v>100</v>
      </c>
      <c r="F531" s="32" t="n">
        <f aca="false">COUNTIF(Base!$D$2:$D$2878,B531)</f>
        <v>1</v>
      </c>
      <c r="G531" s="35" t="n">
        <f aca="false">SUMIF(Base!$D$2:$D$2878,B531,Base!$I$2:$I$2878)</f>
        <v>3330</v>
      </c>
      <c r="H531" s="36" t="n">
        <f aca="false">IF($G$2849=0,0,G531/$G$2849)</f>
        <v>0.00021852201366217</v>
      </c>
      <c r="I531" s="37" t="n">
        <f aca="false">I530+H531</f>
        <v>0.89925122481415</v>
      </c>
      <c r="J531" s="37" t="n">
        <f aca="false">A531/2840</f>
        <v>0.184507042253521</v>
      </c>
      <c r="K531" s="32" t="str">
        <f aca="false">IF(I531&lt;=$E$4,"A",IF(I531&lt;=$E$5,"B","C"))</f>
        <v>B</v>
      </c>
    </row>
    <row r="532" customFormat="false" ht="15" hidden="false" customHeight="false" outlineLevel="0" collapsed="false">
      <c r="A532" s="32" t="n">
        <v>525</v>
      </c>
      <c r="B532" s="33" t="n">
        <v>429123</v>
      </c>
      <c r="C532" s="34" t="s">
        <v>1130</v>
      </c>
      <c r="D532" s="34" t="s">
        <v>1131</v>
      </c>
      <c r="E532" s="34" t="s">
        <v>705</v>
      </c>
      <c r="F532" s="32" t="n">
        <f aca="false">COUNTIF(Base!$D$2:$D$2878,B532)</f>
        <v>1</v>
      </c>
      <c r="G532" s="35" t="n">
        <f aca="false">SUMIF(Base!$D$2:$D$2878,B532,Base!$I$2:$I$2878)</f>
        <v>3298.5</v>
      </c>
      <c r="H532" s="36" t="n">
        <f aca="false">IF($G$2849=0,0,G532/$G$2849)</f>
        <v>0.000216454913532933</v>
      </c>
      <c r="I532" s="37" t="n">
        <f aca="false">I531+H532</f>
        <v>0.899467679727683</v>
      </c>
      <c r="J532" s="37" t="n">
        <f aca="false">A532/2840</f>
        <v>0.184859154929577</v>
      </c>
      <c r="K532" s="32" t="str">
        <f aca="false">IF(I532&lt;=$E$4,"A",IF(I532&lt;=$E$5,"B","C"))</f>
        <v>B</v>
      </c>
    </row>
    <row r="533" customFormat="false" ht="15" hidden="false" customHeight="false" outlineLevel="0" collapsed="false">
      <c r="A533" s="32" t="n">
        <v>526</v>
      </c>
      <c r="B533" s="33" t="n">
        <v>55587</v>
      </c>
      <c r="C533" s="34" t="s">
        <v>1132</v>
      </c>
      <c r="D533" s="34" t="s">
        <v>1133</v>
      </c>
      <c r="E533" s="34" t="s">
        <v>247</v>
      </c>
      <c r="F533" s="32" t="n">
        <f aca="false">COUNTIF(Base!$D$2:$D$2878,B533)</f>
        <v>1</v>
      </c>
      <c r="G533" s="35" t="n">
        <f aca="false">SUMIF(Base!$D$2:$D$2878,B533,Base!$I$2:$I$2878)</f>
        <v>3285</v>
      </c>
      <c r="H533" s="36" t="n">
        <f aca="false">IF($G$2849=0,0,G533/$G$2849)</f>
        <v>0.000215569013477546</v>
      </c>
      <c r="I533" s="37" t="n">
        <f aca="false">I532+H533</f>
        <v>0.89968324874116</v>
      </c>
      <c r="J533" s="37" t="n">
        <f aca="false">A533/2840</f>
        <v>0.185211267605634</v>
      </c>
      <c r="K533" s="32" t="str">
        <f aca="false">IF(I533&lt;=$E$4,"A",IF(I533&lt;=$E$5,"B","C"))</f>
        <v>B</v>
      </c>
    </row>
    <row r="534" customFormat="false" ht="15" hidden="false" customHeight="false" outlineLevel="0" collapsed="false">
      <c r="A534" s="32" t="n">
        <v>527</v>
      </c>
      <c r="B534" s="33" t="n">
        <v>1475178</v>
      </c>
      <c r="C534" s="34" t="s">
        <v>1134</v>
      </c>
      <c r="D534" s="34" t="s">
        <v>1135</v>
      </c>
      <c r="E534" s="34" t="s">
        <v>54</v>
      </c>
      <c r="F534" s="32" t="n">
        <f aca="false">COUNTIF(Base!$D$2:$D$2878,B534)</f>
        <v>1</v>
      </c>
      <c r="G534" s="35" t="n">
        <f aca="false">SUMIF(Base!$D$2:$D$2878,B534,Base!$I$2:$I$2878)</f>
        <v>3267.52</v>
      </c>
      <c r="H534" s="36" t="n">
        <f aca="false">IF($G$2849=0,0,G534/$G$2849)</f>
        <v>0.000214421936961386</v>
      </c>
      <c r="I534" s="37" t="n">
        <f aca="false">I533+H534</f>
        <v>0.899897670678122</v>
      </c>
      <c r="J534" s="37" t="n">
        <f aca="false">A534/2840</f>
        <v>0.18556338028169</v>
      </c>
      <c r="K534" s="32" t="str">
        <f aca="false">IF(I534&lt;=$E$4,"A",IF(I534&lt;=$E$5,"B","C"))</f>
        <v>B</v>
      </c>
    </row>
    <row r="535" customFormat="false" ht="15" hidden="false" customHeight="false" outlineLevel="0" collapsed="false">
      <c r="A535" s="32" t="n">
        <v>528</v>
      </c>
      <c r="B535" s="33" t="n">
        <v>1064684</v>
      </c>
      <c r="C535" s="34" t="s">
        <v>1136</v>
      </c>
      <c r="D535" s="34" t="s">
        <v>1137</v>
      </c>
      <c r="E535" s="34" t="s">
        <v>100</v>
      </c>
      <c r="F535" s="32" t="n">
        <f aca="false">COUNTIF(Base!$D$2:$D$2878,B535)</f>
        <v>1</v>
      </c>
      <c r="G535" s="35" t="n">
        <f aca="false">SUMIF(Base!$D$2:$D$2878,B535,Base!$I$2:$I$2878)</f>
        <v>3259.2</v>
      </c>
      <c r="H535" s="36" t="n">
        <f aca="false">IF($G$2849=0,0,G535/$G$2849)</f>
        <v>0.000213875960038362</v>
      </c>
      <c r="I535" s="37" t="n">
        <f aca="false">I534+H535</f>
        <v>0.90011154663816</v>
      </c>
      <c r="J535" s="37" t="n">
        <f aca="false">A535/2840</f>
        <v>0.185915492957746</v>
      </c>
      <c r="K535" s="32" t="str">
        <f aca="false">IF(I535&lt;=$E$4,"A",IF(I535&lt;=$E$5,"B","C"))</f>
        <v>B</v>
      </c>
    </row>
    <row r="536" customFormat="false" ht="15" hidden="false" customHeight="false" outlineLevel="0" collapsed="false">
      <c r="A536" s="32" t="n">
        <v>529</v>
      </c>
      <c r="B536" s="33" t="n">
        <v>563618</v>
      </c>
      <c r="C536" s="34" t="s">
        <v>1138</v>
      </c>
      <c r="D536" s="34" t="s">
        <v>1139</v>
      </c>
      <c r="E536" s="34" t="s">
        <v>35</v>
      </c>
      <c r="F536" s="32" t="n">
        <f aca="false">COUNTIF(Base!$D$2:$D$2878,B536)</f>
        <v>1</v>
      </c>
      <c r="G536" s="35" t="n">
        <f aca="false">SUMIF(Base!$D$2:$D$2878,B536,Base!$I$2:$I$2878)</f>
        <v>3250</v>
      </c>
      <c r="H536" s="36" t="n">
        <f aca="false">IF($G$2849=0,0,G536/$G$2849)</f>
        <v>0.000213272235556172</v>
      </c>
      <c r="I536" s="37" t="n">
        <f aca="false">I535+H536</f>
        <v>0.900324818873716</v>
      </c>
      <c r="J536" s="37" t="n">
        <f aca="false">A536/2840</f>
        <v>0.186267605633803</v>
      </c>
      <c r="K536" s="32" t="str">
        <f aca="false">IF(I536&lt;=$E$4,"A",IF(I536&lt;=$E$5,"B","C"))</f>
        <v>B</v>
      </c>
    </row>
    <row r="537" customFormat="false" ht="15" hidden="false" customHeight="false" outlineLevel="0" collapsed="false">
      <c r="A537" s="32" t="n">
        <v>530</v>
      </c>
      <c r="B537" s="33" t="n">
        <v>831921</v>
      </c>
      <c r="C537" s="34" t="s">
        <v>1140</v>
      </c>
      <c r="D537" s="34" t="s">
        <v>1141</v>
      </c>
      <c r="E537" s="34" t="s">
        <v>247</v>
      </c>
      <c r="F537" s="32" t="n">
        <f aca="false">COUNTIF(Base!$D$2:$D$2878,B537)</f>
        <v>1</v>
      </c>
      <c r="G537" s="35" t="n">
        <f aca="false">SUMIF(Base!$D$2:$D$2878,B537,Base!$I$2:$I$2878)</f>
        <v>3237.56</v>
      </c>
      <c r="H537" s="36" t="n">
        <f aca="false">IF($G$2849=0,0,G537/$G$2849)</f>
        <v>0.000212455895060689</v>
      </c>
      <c r="I537" s="37" t="n">
        <f aca="false">I536+H537</f>
        <v>0.900537274768777</v>
      </c>
      <c r="J537" s="37" t="n">
        <f aca="false">A537/2840</f>
        <v>0.186619718309859</v>
      </c>
      <c r="K537" s="32" t="str">
        <f aca="false">IF(I537&lt;=$E$4,"A",IF(I537&lt;=$E$5,"B","C"))</f>
        <v>B</v>
      </c>
    </row>
    <row r="538" customFormat="false" ht="15" hidden="false" customHeight="false" outlineLevel="0" collapsed="false">
      <c r="A538" s="32" t="n">
        <v>531</v>
      </c>
      <c r="B538" s="33" t="n">
        <v>864250</v>
      </c>
      <c r="C538" s="34" t="s">
        <v>1142</v>
      </c>
      <c r="D538" s="34" t="s">
        <v>1143</v>
      </c>
      <c r="E538" s="34" t="s">
        <v>167</v>
      </c>
      <c r="F538" s="32" t="n">
        <f aca="false">COUNTIF(Base!$D$2:$D$2878,B538)</f>
        <v>1</v>
      </c>
      <c r="G538" s="35" t="n">
        <f aca="false">SUMIF(Base!$D$2:$D$2878,B538,Base!$I$2:$I$2878)</f>
        <v>3220</v>
      </c>
      <c r="H538" s="36" t="n">
        <f aca="false">IF($G$2849=0,0,G538/$G$2849)</f>
        <v>0.000211303568766423</v>
      </c>
      <c r="I538" s="37" t="n">
        <f aca="false">I537+H538</f>
        <v>0.900748578337543</v>
      </c>
      <c r="J538" s="37" t="n">
        <f aca="false">A538/2840</f>
        <v>0.186971830985916</v>
      </c>
      <c r="K538" s="32" t="str">
        <f aca="false">IF(I538&lt;=$E$4,"A",IF(I538&lt;=$E$5,"B","C"))</f>
        <v>B</v>
      </c>
    </row>
    <row r="539" customFormat="false" ht="15" hidden="false" customHeight="false" outlineLevel="0" collapsed="false">
      <c r="A539" s="32" t="n">
        <v>532</v>
      </c>
      <c r="B539" s="33" t="n">
        <v>959716</v>
      </c>
      <c r="C539" s="34" t="s">
        <v>1144</v>
      </c>
      <c r="D539" s="34" t="s">
        <v>1145</v>
      </c>
      <c r="E539" s="34" t="s">
        <v>35</v>
      </c>
      <c r="F539" s="32" t="n">
        <f aca="false">COUNTIF(Base!$D$2:$D$2878,B539)</f>
        <v>1</v>
      </c>
      <c r="G539" s="35" t="n">
        <f aca="false">SUMIF(Base!$D$2:$D$2878,B539,Base!$I$2:$I$2878)</f>
        <v>3216.785</v>
      </c>
      <c r="H539" s="36" t="n">
        <f aca="false">IF($G$2849=0,0,G539/$G$2849)</f>
        <v>0.000211092593308788</v>
      </c>
      <c r="I539" s="37" t="n">
        <f aca="false">I538+H539</f>
        <v>0.900959670930852</v>
      </c>
      <c r="J539" s="37" t="n">
        <f aca="false">A539/2840</f>
        <v>0.187323943661972</v>
      </c>
      <c r="K539" s="32" t="str">
        <f aca="false">IF(I539&lt;=$E$4,"A",IF(I539&lt;=$E$5,"B","C"))</f>
        <v>B</v>
      </c>
    </row>
    <row r="540" customFormat="false" ht="15" hidden="false" customHeight="false" outlineLevel="0" collapsed="false">
      <c r="A540" s="32" t="n">
        <v>533</v>
      </c>
      <c r="B540" s="33" t="n">
        <v>1679659</v>
      </c>
      <c r="C540" s="34" t="s">
        <v>1146</v>
      </c>
      <c r="D540" s="34" t="s">
        <v>1147</v>
      </c>
      <c r="E540" s="34" t="s">
        <v>705</v>
      </c>
      <c r="F540" s="32" t="n">
        <f aca="false">COUNTIF(Base!$D$2:$D$2878,B540)</f>
        <v>1</v>
      </c>
      <c r="G540" s="35" t="n">
        <f aca="false">SUMIF(Base!$D$2:$D$2878,B540,Base!$I$2:$I$2878)</f>
        <v>3207.36</v>
      </c>
      <c r="H540" s="36" t="n">
        <f aca="false">IF($G$2849=0,0,G540/$G$2849)</f>
        <v>0.000210474103825675</v>
      </c>
      <c r="I540" s="37" t="n">
        <f aca="false">I539+H540</f>
        <v>0.901170145034678</v>
      </c>
      <c r="J540" s="37" t="n">
        <f aca="false">A540/2840</f>
        <v>0.187676056338028</v>
      </c>
      <c r="K540" s="32" t="str">
        <f aca="false">IF(I540&lt;=$E$4,"A",IF(I540&lt;=$E$5,"B","C"))</f>
        <v>B</v>
      </c>
    </row>
    <row r="541" customFormat="false" ht="15" hidden="false" customHeight="false" outlineLevel="0" collapsed="false">
      <c r="A541" s="32" t="n">
        <v>534</v>
      </c>
      <c r="B541" s="33" t="n">
        <v>259921</v>
      </c>
      <c r="C541" s="34" t="s">
        <v>1148</v>
      </c>
      <c r="D541" s="34" t="s">
        <v>1149</v>
      </c>
      <c r="E541" s="34" t="s">
        <v>66</v>
      </c>
      <c r="F541" s="32" t="n">
        <f aca="false">COUNTIF(Base!$D$2:$D$2878,B541)</f>
        <v>1</v>
      </c>
      <c r="G541" s="35" t="n">
        <f aca="false">SUMIF(Base!$D$2:$D$2878,B541,Base!$I$2:$I$2878)</f>
        <v>3200</v>
      </c>
      <c r="H541" s="36" t="n">
        <f aca="false">IF($G$2849=0,0,G541/$G$2849)</f>
        <v>0.000209991124239923</v>
      </c>
      <c r="I541" s="37" t="n">
        <f aca="false">I540+H541</f>
        <v>0.901380136158918</v>
      </c>
      <c r="J541" s="37" t="n">
        <f aca="false">A541/2840</f>
        <v>0.188028169014085</v>
      </c>
      <c r="K541" s="32" t="str">
        <f aca="false">IF(I541&lt;=$E$4,"A",IF(I541&lt;=$E$5,"B","C"))</f>
        <v>B</v>
      </c>
    </row>
    <row r="542" customFormat="false" ht="15" hidden="false" customHeight="false" outlineLevel="0" collapsed="false">
      <c r="A542" s="32" t="n">
        <v>535</v>
      </c>
      <c r="B542" s="33" t="n">
        <v>1465455</v>
      </c>
      <c r="C542" s="34" t="s">
        <v>1150</v>
      </c>
      <c r="D542" s="34" t="s">
        <v>1151</v>
      </c>
      <c r="E542" s="34" t="s">
        <v>100</v>
      </c>
      <c r="F542" s="32" t="n">
        <f aca="false">COUNTIF(Base!$D$2:$D$2878,B542)</f>
        <v>1</v>
      </c>
      <c r="G542" s="35" t="n">
        <f aca="false">SUMIF(Base!$D$2:$D$2878,B542,Base!$I$2:$I$2878)</f>
        <v>3197</v>
      </c>
      <c r="H542" s="36" t="n">
        <f aca="false">IF($G$2849=0,0,G542/$G$2849)</f>
        <v>0.000209794257560948</v>
      </c>
      <c r="I542" s="37" t="n">
        <f aca="false">I541+H542</f>
        <v>0.901589930416479</v>
      </c>
      <c r="J542" s="37" t="n">
        <f aca="false">A542/2840</f>
        <v>0.188380281690141</v>
      </c>
      <c r="K542" s="32" t="str">
        <f aca="false">IF(I542&lt;=$E$4,"A",IF(I542&lt;=$E$5,"B","C"))</f>
        <v>B</v>
      </c>
    </row>
    <row r="543" customFormat="false" ht="15" hidden="false" customHeight="false" outlineLevel="0" collapsed="false">
      <c r="A543" s="32" t="n">
        <v>536</v>
      </c>
      <c r="B543" s="33" t="n">
        <v>1327938</v>
      </c>
      <c r="C543" s="34" t="s">
        <v>1152</v>
      </c>
      <c r="D543" s="34" t="s">
        <v>1153</v>
      </c>
      <c r="E543" s="34" t="s">
        <v>54</v>
      </c>
      <c r="F543" s="32" t="n">
        <f aca="false">COUNTIF(Base!$D$2:$D$2878,B543)</f>
        <v>1</v>
      </c>
      <c r="G543" s="35" t="n">
        <f aca="false">SUMIF(Base!$D$2:$D$2878,B543,Base!$I$2:$I$2878)</f>
        <v>3145</v>
      </c>
      <c r="H543" s="36" t="n">
        <f aca="false">IF($G$2849=0,0,G543/$G$2849)</f>
        <v>0.00020638190179205</v>
      </c>
      <c r="I543" s="37" t="n">
        <f aca="false">I542+H543</f>
        <v>0.901796312318271</v>
      </c>
      <c r="J543" s="37" t="n">
        <f aca="false">A543/2840</f>
        <v>0.188732394366197</v>
      </c>
      <c r="K543" s="32" t="str">
        <f aca="false">IF(I543&lt;=$E$4,"A",IF(I543&lt;=$E$5,"B","C"))</f>
        <v>B</v>
      </c>
    </row>
    <row r="544" customFormat="false" ht="15" hidden="false" customHeight="false" outlineLevel="0" collapsed="false">
      <c r="A544" s="32" t="n">
        <v>537</v>
      </c>
      <c r="B544" s="33" t="n">
        <v>1380098</v>
      </c>
      <c r="C544" s="34" t="s">
        <v>1154</v>
      </c>
      <c r="D544" s="34" t="s">
        <v>1155</v>
      </c>
      <c r="E544" s="34" t="s">
        <v>38</v>
      </c>
      <c r="F544" s="32" t="n">
        <f aca="false">COUNTIF(Base!$D$2:$D$2878,B544)</f>
        <v>1</v>
      </c>
      <c r="G544" s="35" t="n">
        <f aca="false">SUMIF(Base!$D$2:$D$2878,B544,Base!$I$2:$I$2878)</f>
        <v>3133.5</v>
      </c>
      <c r="H544" s="36" t="n">
        <f aca="false">IF($G$2849=0,0,G544/$G$2849)</f>
        <v>0.000205627246189312</v>
      </c>
      <c r="I544" s="37" t="n">
        <f aca="false">I543+H544</f>
        <v>0.90200193956446</v>
      </c>
      <c r="J544" s="37" t="n">
        <f aca="false">A544/2840</f>
        <v>0.189084507042254</v>
      </c>
      <c r="K544" s="32" t="str">
        <f aca="false">IF(I544&lt;=$E$4,"A",IF(I544&lt;=$E$5,"B","C"))</f>
        <v>B</v>
      </c>
    </row>
    <row r="545" customFormat="false" ht="15" hidden="false" customHeight="false" outlineLevel="0" collapsed="false">
      <c r="A545" s="32" t="n">
        <v>538</v>
      </c>
      <c r="B545" s="33" t="n">
        <v>145663</v>
      </c>
      <c r="C545" s="34" t="s">
        <v>1156</v>
      </c>
      <c r="D545" s="34" t="s">
        <v>1157</v>
      </c>
      <c r="E545" s="34" t="s">
        <v>138</v>
      </c>
      <c r="F545" s="32" t="n">
        <f aca="false">COUNTIF(Base!$D$2:$D$2878,B545)</f>
        <v>1</v>
      </c>
      <c r="G545" s="35" t="n">
        <f aca="false">SUMIF(Base!$D$2:$D$2878,B545,Base!$I$2:$I$2878)</f>
        <v>3125</v>
      </c>
      <c r="H545" s="36" t="n">
        <f aca="false">IF($G$2849=0,0,G545/$G$2849)</f>
        <v>0.00020506945726555</v>
      </c>
      <c r="I545" s="37" t="n">
        <f aca="false">I544+H545</f>
        <v>0.902207009021725</v>
      </c>
      <c r="J545" s="37" t="n">
        <f aca="false">A545/2840</f>
        <v>0.18943661971831</v>
      </c>
      <c r="K545" s="32" t="str">
        <f aca="false">IF(I545&lt;=$E$4,"A",IF(I545&lt;=$E$5,"B","C"))</f>
        <v>B</v>
      </c>
    </row>
    <row r="546" customFormat="false" ht="15" hidden="false" customHeight="false" outlineLevel="0" collapsed="false">
      <c r="A546" s="32" t="n">
        <v>539</v>
      </c>
      <c r="B546" s="33" t="n">
        <v>16245</v>
      </c>
      <c r="C546" s="34" t="s">
        <v>1158</v>
      </c>
      <c r="D546" s="34" t="s">
        <v>1159</v>
      </c>
      <c r="E546" s="34" t="s">
        <v>195</v>
      </c>
      <c r="F546" s="32" t="n">
        <f aca="false">COUNTIF(Base!$D$2:$D$2878,B546)</f>
        <v>1</v>
      </c>
      <c r="G546" s="35" t="n">
        <f aca="false">SUMIF(Base!$D$2:$D$2878,B546,Base!$I$2:$I$2878)</f>
        <v>3120</v>
      </c>
      <c r="H546" s="36" t="n">
        <f aca="false">IF($G$2849=0,0,G546/$G$2849)</f>
        <v>0.000204741346133925</v>
      </c>
      <c r="I546" s="37" t="n">
        <f aca="false">I545+H546</f>
        <v>0.902411750367859</v>
      </c>
      <c r="J546" s="37" t="n">
        <f aca="false">A546/2840</f>
        <v>0.189788732394366</v>
      </c>
      <c r="K546" s="32" t="str">
        <f aca="false">IF(I546&lt;=$E$4,"A",IF(I546&lt;=$E$5,"B","C"))</f>
        <v>B</v>
      </c>
    </row>
    <row r="547" customFormat="false" ht="15" hidden="false" customHeight="false" outlineLevel="0" collapsed="false">
      <c r="A547" s="32" t="n">
        <v>540</v>
      </c>
      <c r="B547" s="33" t="n">
        <v>55251</v>
      </c>
      <c r="C547" s="34" t="s">
        <v>1160</v>
      </c>
      <c r="D547" s="34" t="s">
        <v>1161</v>
      </c>
      <c r="E547" s="34" t="s">
        <v>247</v>
      </c>
      <c r="F547" s="32" t="n">
        <f aca="false">COUNTIF(Base!$D$2:$D$2878,B547)</f>
        <v>1</v>
      </c>
      <c r="G547" s="35" t="n">
        <f aca="false">SUMIF(Base!$D$2:$D$2878,B547,Base!$I$2:$I$2878)</f>
        <v>3120</v>
      </c>
      <c r="H547" s="36" t="n">
        <f aca="false">IF($G$2849=0,0,G547/$G$2849)</f>
        <v>0.000204741346133925</v>
      </c>
      <c r="I547" s="37" t="n">
        <f aca="false">I546+H547</f>
        <v>0.902616491713993</v>
      </c>
      <c r="J547" s="37" t="n">
        <f aca="false">A547/2840</f>
        <v>0.190140845070423</v>
      </c>
      <c r="K547" s="32" t="str">
        <f aca="false">IF(I547&lt;=$E$4,"A",IF(I547&lt;=$E$5,"B","C"))</f>
        <v>B</v>
      </c>
    </row>
    <row r="548" customFormat="false" ht="15" hidden="false" customHeight="false" outlineLevel="0" collapsed="false">
      <c r="A548" s="32" t="n">
        <v>541</v>
      </c>
      <c r="B548" s="33" t="n">
        <v>1255458</v>
      </c>
      <c r="C548" s="34" t="s">
        <v>1162</v>
      </c>
      <c r="D548" s="34" t="s">
        <v>1163</v>
      </c>
      <c r="E548" s="34" t="s">
        <v>247</v>
      </c>
      <c r="F548" s="32" t="n">
        <f aca="false">COUNTIF(Base!$D$2:$D$2878,B548)</f>
        <v>1</v>
      </c>
      <c r="G548" s="35" t="n">
        <f aca="false">SUMIF(Base!$D$2:$D$2878,B548,Base!$I$2:$I$2878)</f>
        <v>3120</v>
      </c>
      <c r="H548" s="36" t="n">
        <f aca="false">IF($G$2849=0,0,G548/$G$2849)</f>
        <v>0.000204741346133925</v>
      </c>
      <c r="I548" s="37" t="n">
        <f aca="false">I547+H548</f>
        <v>0.902821233060127</v>
      </c>
      <c r="J548" s="37" t="n">
        <f aca="false">A548/2840</f>
        <v>0.190492957746479</v>
      </c>
      <c r="K548" s="32" t="str">
        <f aca="false">IF(I548&lt;=$E$4,"A",IF(I548&lt;=$E$5,"B","C"))</f>
        <v>B</v>
      </c>
    </row>
    <row r="549" customFormat="false" ht="15" hidden="false" customHeight="false" outlineLevel="0" collapsed="false">
      <c r="A549" s="32" t="n">
        <v>542</v>
      </c>
      <c r="B549" s="33" t="n">
        <v>279761</v>
      </c>
      <c r="C549" s="34" t="s">
        <v>1164</v>
      </c>
      <c r="D549" s="34" t="s">
        <v>1165</v>
      </c>
      <c r="E549" s="34" t="s">
        <v>54</v>
      </c>
      <c r="F549" s="32" t="n">
        <f aca="false">COUNTIF(Base!$D$2:$D$2878,B549)</f>
        <v>1</v>
      </c>
      <c r="G549" s="35" t="n">
        <f aca="false">SUMIF(Base!$D$2:$D$2878,B549,Base!$I$2:$I$2878)</f>
        <v>3100</v>
      </c>
      <c r="H549" s="36" t="n">
        <f aca="false">IF($G$2849=0,0,G549/$G$2849)</f>
        <v>0.000203428901607426</v>
      </c>
      <c r="I549" s="37" t="n">
        <f aca="false">I548+H549</f>
        <v>0.903024661961735</v>
      </c>
      <c r="J549" s="37" t="n">
        <f aca="false">A549/2840</f>
        <v>0.190845070422535</v>
      </c>
      <c r="K549" s="32" t="str">
        <f aca="false">IF(I549&lt;=$E$4,"A",IF(I549&lt;=$E$5,"B","C"))</f>
        <v>B</v>
      </c>
    </row>
    <row r="550" customFormat="false" ht="15" hidden="false" customHeight="false" outlineLevel="0" collapsed="false">
      <c r="A550" s="32" t="n">
        <v>543</v>
      </c>
      <c r="B550" s="33" t="n">
        <v>863491</v>
      </c>
      <c r="C550" s="34" t="s">
        <v>1166</v>
      </c>
      <c r="D550" s="34" t="s">
        <v>1167</v>
      </c>
      <c r="E550" s="34" t="s">
        <v>170</v>
      </c>
      <c r="F550" s="32" t="n">
        <f aca="false">COUNTIF(Base!$D$2:$D$2878,B550)</f>
        <v>1</v>
      </c>
      <c r="G550" s="35" t="n">
        <f aca="false">SUMIF(Base!$D$2:$D$2878,B550,Base!$I$2:$I$2878)</f>
        <v>3090</v>
      </c>
      <c r="H550" s="36" t="n">
        <f aca="false">IF($G$2849=0,0,G550/$G$2849)</f>
        <v>0.000202772679344176</v>
      </c>
      <c r="I550" s="37" t="n">
        <f aca="false">I549+H550</f>
        <v>0.903227434641079</v>
      </c>
      <c r="J550" s="37" t="n">
        <f aca="false">A550/2840</f>
        <v>0.191197183098592</v>
      </c>
      <c r="K550" s="32" t="str">
        <f aca="false">IF(I550&lt;=$E$4,"A",IF(I550&lt;=$E$5,"B","C"))</f>
        <v>B</v>
      </c>
    </row>
    <row r="551" customFormat="false" ht="15" hidden="false" customHeight="false" outlineLevel="0" collapsed="false">
      <c r="A551" s="32" t="n">
        <v>544</v>
      </c>
      <c r="B551" s="33" t="n">
        <v>137401</v>
      </c>
      <c r="C551" s="34" t="s">
        <v>1168</v>
      </c>
      <c r="D551" s="34" t="s">
        <v>1169</v>
      </c>
      <c r="E551" s="34" t="s">
        <v>247</v>
      </c>
      <c r="F551" s="32" t="n">
        <f aca="false">COUNTIF(Base!$D$2:$D$2878,B551)</f>
        <v>1</v>
      </c>
      <c r="G551" s="35" t="n">
        <f aca="false">SUMIF(Base!$D$2:$D$2878,B551,Base!$I$2:$I$2878)</f>
        <v>3075.6</v>
      </c>
      <c r="H551" s="36" t="n">
        <f aca="false">IF($G$2849=0,0,G551/$G$2849)</f>
        <v>0.000201827719285096</v>
      </c>
      <c r="I551" s="37" t="n">
        <f aca="false">I550+H551</f>
        <v>0.903429262360364</v>
      </c>
      <c r="J551" s="37" t="n">
        <f aca="false">A551/2840</f>
        <v>0.191549295774648</v>
      </c>
      <c r="K551" s="32" t="str">
        <f aca="false">IF(I551&lt;=$E$4,"A",IF(I551&lt;=$E$5,"B","C"))</f>
        <v>B</v>
      </c>
    </row>
    <row r="552" customFormat="false" ht="15" hidden="false" customHeight="false" outlineLevel="0" collapsed="false">
      <c r="A552" s="32" t="n">
        <v>545</v>
      </c>
      <c r="B552" s="33" t="n">
        <v>875108</v>
      </c>
      <c r="C552" s="34" t="s">
        <v>1170</v>
      </c>
      <c r="D552" s="34" t="s">
        <v>1171</v>
      </c>
      <c r="E552" s="34" t="s">
        <v>247</v>
      </c>
      <c r="F552" s="32" t="n">
        <f aca="false">COUNTIF(Base!$D$2:$D$2878,B552)</f>
        <v>2</v>
      </c>
      <c r="G552" s="35" t="n">
        <f aca="false">SUMIF(Base!$D$2:$D$2878,B552,Base!$I$2:$I$2878)</f>
        <v>3069.77</v>
      </c>
      <c r="H552" s="36" t="n">
        <f aca="false">IF($G$2849=0,0,G552/$G$2849)</f>
        <v>0.000201445141705622</v>
      </c>
      <c r="I552" s="37" t="n">
        <f aca="false">I551+H552</f>
        <v>0.903630707502069</v>
      </c>
      <c r="J552" s="37" t="n">
        <f aca="false">A552/2840</f>
        <v>0.191901408450704</v>
      </c>
      <c r="K552" s="32" t="str">
        <f aca="false">IF(I552&lt;=$E$4,"A",IF(I552&lt;=$E$5,"B","C"))</f>
        <v>B</v>
      </c>
    </row>
    <row r="553" customFormat="false" ht="15" hidden="false" customHeight="false" outlineLevel="0" collapsed="false">
      <c r="A553" s="32" t="n">
        <v>546</v>
      </c>
      <c r="B553" s="33" t="n">
        <v>1385804</v>
      </c>
      <c r="C553" s="34" t="s">
        <v>1172</v>
      </c>
      <c r="D553" s="34" t="s">
        <v>1173</v>
      </c>
      <c r="E553" s="34" t="s">
        <v>38</v>
      </c>
      <c r="F553" s="32" t="n">
        <f aca="false">COUNTIF(Base!$D$2:$D$2878,B553)</f>
        <v>1</v>
      </c>
      <c r="G553" s="35" t="n">
        <f aca="false">SUMIF(Base!$D$2:$D$2878,B553,Base!$I$2:$I$2878)</f>
        <v>3067.98</v>
      </c>
      <c r="H553" s="36" t="n">
        <f aca="false">IF($G$2849=0,0,G553/$G$2849)</f>
        <v>0.0002013276779205</v>
      </c>
      <c r="I553" s="37" t="n">
        <f aca="false">I552+H553</f>
        <v>0.90383203517999</v>
      </c>
      <c r="J553" s="37" t="n">
        <f aca="false">A553/2840</f>
        <v>0.192253521126761</v>
      </c>
      <c r="K553" s="32" t="str">
        <f aca="false">IF(I553&lt;=$E$4,"A",IF(I553&lt;=$E$5,"B","C"))</f>
        <v>B</v>
      </c>
    </row>
    <row r="554" customFormat="false" ht="15" hidden="false" customHeight="false" outlineLevel="0" collapsed="false">
      <c r="A554" s="32" t="n">
        <v>547</v>
      </c>
      <c r="B554" s="33" t="n">
        <v>14255</v>
      </c>
      <c r="C554" s="34" t="s">
        <v>1174</v>
      </c>
      <c r="D554" s="34" t="s">
        <v>1175</v>
      </c>
      <c r="E554" s="34" t="s">
        <v>38</v>
      </c>
      <c r="F554" s="32" t="n">
        <f aca="false">COUNTIF(Base!$D$2:$D$2878,B554)</f>
        <v>1</v>
      </c>
      <c r="G554" s="35" t="n">
        <f aca="false">SUMIF(Base!$D$2:$D$2878,B554,Base!$I$2:$I$2878)</f>
        <v>3044.92</v>
      </c>
      <c r="H554" s="36" t="n">
        <f aca="false">IF($G$2849=0,0,G554/$G$2849)</f>
        <v>0.000199814429381446</v>
      </c>
      <c r="I554" s="37" t="n">
        <f aca="false">I553+H554</f>
        <v>0.904031849609371</v>
      </c>
      <c r="J554" s="37" t="n">
        <f aca="false">A554/2840</f>
        <v>0.192605633802817</v>
      </c>
      <c r="K554" s="32" t="str">
        <f aca="false">IF(I554&lt;=$E$4,"A",IF(I554&lt;=$E$5,"B","C"))</f>
        <v>B</v>
      </c>
    </row>
    <row r="555" customFormat="false" ht="15" hidden="false" customHeight="false" outlineLevel="0" collapsed="false">
      <c r="A555" s="32" t="n">
        <v>548</v>
      </c>
      <c r="B555" s="33" t="n">
        <v>386848</v>
      </c>
      <c r="C555" s="34" t="s">
        <v>1176</v>
      </c>
      <c r="D555" s="34" t="s">
        <v>1177</v>
      </c>
      <c r="E555" s="34" t="s">
        <v>363</v>
      </c>
      <c r="F555" s="32" t="n">
        <f aca="false">COUNTIF(Base!$D$2:$D$2878,B555)</f>
        <v>1</v>
      </c>
      <c r="G555" s="35" t="n">
        <f aca="false">SUMIF(Base!$D$2:$D$2878,B555,Base!$I$2:$I$2878)</f>
        <v>3040.99</v>
      </c>
      <c r="H555" s="36" t="n">
        <f aca="false">IF($G$2849=0,0,G555/$G$2849)</f>
        <v>0.000199556534031989</v>
      </c>
      <c r="I555" s="37" t="n">
        <f aca="false">I554+H555</f>
        <v>0.904231406143403</v>
      </c>
      <c r="J555" s="37" t="n">
        <f aca="false">A555/2840</f>
        <v>0.192957746478873</v>
      </c>
      <c r="K555" s="32" t="str">
        <f aca="false">IF(I555&lt;=$E$4,"A",IF(I555&lt;=$E$5,"B","C"))</f>
        <v>B</v>
      </c>
    </row>
    <row r="556" customFormat="false" ht="15" hidden="false" customHeight="false" outlineLevel="0" collapsed="false">
      <c r="A556" s="32" t="n">
        <v>549</v>
      </c>
      <c r="B556" s="33" t="n">
        <v>10386</v>
      </c>
      <c r="C556" s="34" t="s">
        <v>1178</v>
      </c>
      <c r="D556" s="34" t="s">
        <v>1179</v>
      </c>
      <c r="E556" s="34" t="s">
        <v>133</v>
      </c>
      <c r="F556" s="32" t="n">
        <f aca="false">COUNTIF(Base!$D$2:$D$2878,B556)</f>
        <v>1</v>
      </c>
      <c r="G556" s="35" t="n">
        <f aca="false">SUMIF(Base!$D$2:$D$2878,B556,Base!$I$2:$I$2878)</f>
        <v>3028.59</v>
      </c>
      <c r="H556" s="36" t="n">
        <f aca="false">IF($G$2849=0,0,G556/$G$2849)</f>
        <v>0.000198742818425559</v>
      </c>
      <c r="I556" s="37" t="n">
        <f aca="false">I555+H556</f>
        <v>0.904430148961829</v>
      </c>
      <c r="J556" s="37" t="n">
        <f aca="false">A556/2840</f>
        <v>0.19330985915493</v>
      </c>
      <c r="K556" s="32" t="str">
        <f aca="false">IF(I556&lt;=$E$4,"A",IF(I556&lt;=$E$5,"B","C"))</f>
        <v>B</v>
      </c>
    </row>
    <row r="557" customFormat="false" ht="15" hidden="false" customHeight="false" outlineLevel="0" collapsed="false">
      <c r="A557" s="32" t="n">
        <v>550</v>
      </c>
      <c r="B557" s="33" t="n">
        <v>260102</v>
      </c>
      <c r="C557" s="34" t="s">
        <v>1180</v>
      </c>
      <c r="D557" s="34" t="s">
        <v>1181</v>
      </c>
      <c r="E557" s="34" t="s">
        <v>247</v>
      </c>
      <c r="F557" s="32" t="n">
        <f aca="false">COUNTIF(Base!$D$2:$D$2878,B557)</f>
        <v>1</v>
      </c>
      <c r="G557" s="35" t="n">
        <f aca="false">SUMIF(Base!$D$2:$D$2878,B557,Base!$I$2:$I$2878)</f>
        <v>3024</v>
      </c>
      <c r="H557" s="36" t="n">
        <f aca="false">IF($G$2849=0,0,G557/$G$2849)</f>
        <v>0.000198441612406727</v>
      </c>
      <c r="I557" s="37" t="n">
        <f aca="false">I556+H557</f>
        <v>0.904628590574236</v>
      </c>
      <c r="J557" s="37" t="n">
        <f aca="false">A557/2840</f>
        <v>0.193661971830986</v>
      </c>
      <c r="K557" s="32" t="str">
        <f aca="false">IF(I557&lt;=$E$4,"A",IF(I557&lt;=$E$5,"B","C"))</f>
        <v>B</v>
      </c>
    </row>
    <row r="558" customFormat="false" ht="15" hidden="false" customHeight="false" outlineLevel="0" collapsed="false">
      <c r="A558" s="32" t="n">
        <v>551</v>
      </c>
      <c r="B558" s="33" t="n">
        <v>289185</v>
      </c>
      <c r="C558" s="34" t="s">
        <v>1182</v>
      </c>
      <c r="D558" s="34" t="s">
        <v>1183</v>
      </c>
      <c r="E558" s="34" t="s">
        <v>247</v>
      </c>
      <c r="F558" s="32" t="n">
        <f aca="false">COUNTIF(Base!$D$2:$D$2878,B558)</f>
        <v>1</v>
      </c>
      <c r="G558" s="35" t="n">
        <f aca="false">SUMIF(Base!$D$2:$D$2878,B558,Base!$I$2:$I$2878)</f>
        <v>3017.32</v>
      </c>
      <c r="H558" s="36" t="n">
        <f aca="false">IF($G$2849=0,0,G558/$G$2849)</f>
        <v>0.000198003255934877</v>
      </c>
      <c r="I558" s="37" t="n">
        <f aca="false">I557+H558</f>
        <v>0.904826593830171</v>
      </c>
      <c r="J558" s="37" t="n">
        <f aca="false">A558/2840</f>
        <v>0.194014084507042</v>
      </c>
      <c r="K558" s="32" t="str">
        <f aca="false">IF(I558&lt;=$E$4,"A",IF(I558&lt;=$E$5,"B","C"))</f>
        <v>B</v>
      </c>
    </row>
    <row r="559" customFormat="false" ht="15" hidden="false" customHeight="false" outlineLevel="0" collapsed="false">
      <c r="A559" s="32" t="n">
        <v>552</v>
      </c>
      <c r="B559" s="33" t="n">
        <v>57003</v>
      </c>
      <c r="C559" s="34" t="s">
        <v>1184</v>
      </c>
      <c r="D559" s="34" t="s">
        <v>1185</v>
      </c>
      <c r="E559" s="34" t="s">
        <v>637</v>
      </c>
      <c r="F559" s="32" t="n">
        <f aca="false">COUNTIF(Base!$D$2:$D$2878,B559)</f>
        <v>1</v>
      </c>
      <c r="G559" s="35" t="n">
        <f aca="false">SUMIF(Base!$D$2:$D$2878,B559,Base!$I$2:$I$2878)</f>
        <v>3011.86</v>
      </c>
      <c r="H559" s="36" t="n">
        <f aca="false">IF($G$2849=0,0,G559/$G$2849)</f>
        <v>0.000197644958579142</v>
      </c>
      <c r="I559" s="37" t="n">
        <f aca="false">I558+H559</f>
        <v>0.90502423878875</v>
      </c>
      <c r="J559" s="37" t="n">
        <f aca="false">A559/2840</f>
        <v>0.194366197183099</v>
      </c>
      <c r="K559" s="32" t="str">
        <f aca="false">IF(I559&lt;=$E$4,"A",IF(I559&lt;=$E$5,"B","C"))</f>
        <v>B</v>
      </c>
    </row>
    <row r="560" customFormat="false" ht="15" hidden="false" customHeight="false" outlineLevel="0" collapsed="false">
      <c r="A560" s="32" t="n">
        <v>553</v>
      </c>
      <c r="B560" s="33" t="n">
        <v>1388187</v>
      </c>
      <c r="C560" s="34" t="s">
        <v>1186</v>
      </c>
      <c r="D560" s="34" t="s">
        <v>1187</v>
      </c>
      <c r="E560" s="34" t="s">
        <v>38</v>
      </c>
      <c r="F560" s="32" t="n">
        <f aca="false">COUNTIF(Base!$D$2:$D$2878,B560)</f>
        <v>1</v>
      </c>
      <c r="G560" s="35" t="n">
        <f aca="false">SUMIF(Base!$D$2:$D$2878,B560,Base!$I$2:$I$2878)</f>
        <v>3008.52</v>
      </c>
      <c r="H560" s="36" t="n">
        <f aca="false">IF($G$2849=0,0,G560/$G$2849)</f>
        <v>0.000197425780343217</v>
      </c>
      <c r="I560" s="37" t="n">
        <f aca="false">I559+H560</f>
        <v>0.905221664569093</v>
      </c>
      <c r="J560" s="37" t="n">
        <f aca="false">A560/2840</f>
        <v>0.194718309859155</v>
      </c>
      <c r="K560" s="32" t="str">
        <f aca="false">IF(I560&lt;=$E$4,"A",IF(I560&lt;=$E$5,"B","C"))</f>
        <v>B</v>
      </c>
    </row>
    <row r="561" customFormat="false" ht="15" hidden="false" customHeight="false" outlineLevel="0" collapsed="false">
      <c r="A561" s="32" t="n">
        <v>554</v>
      </c>
      <c r="B561" s="33" t="n">
        <v>294260</v>
      </c>
      <c r="C561" s="34" t="s">
        <v>1188</v>
      </c>
      <c r="D561" s="34" t="s">
        <v>1189</v>
      </c>
      <c r="E561" s="34" t="s">
        <v>35</v>
      </c>
      <c r="F561" s="32" t="n">
        <f aca="false">COUNTIF(Base!$D$2:$D$2878,B561)</f>
        <v>1</v>
      </c>
      <c r="G561" s="35" t="n">
        <f aca="false">SUMIF(Base!$D$2:$D$2878,B561,Base!$I$2:$I$2878)</f>
        <v>3000</v>
      </c>
      <c r="H561" s="36" t="n">
        <f aca="false">IF($G$2849=0,0,G561/$G$2849)</f>
        <v>0.000196866678974928</v>
      </c>
      <c r="I561" s="37" t="n">
        <f aca="false">I560+H561</f>
        <v>0.905418531248068</v>
      </c>
      <c r="J561" s="37" t="n">
        <f aca="false">A561/2840</f>
        <v>0.195070422535211</v>
      </c>
      <c r="K561" s="32" t="str">
        <f aca="false">IF(I561&lt;=$E$4,"A",IF(I561&lt;=$E$5,"B","C"))</f>
        <v>B</v>
      </c>
    </row>
    <row r="562" customFormat="false" ht="15" hidden="false" customHeight="false" outlineLevel="0" collapsed="false">
      <c r="A562" s="32" t="n">
        <v>555</v>
      </c>
      <c r="B562" s="33" t="n">
        <v>293989</v>
      </c>
      <c r="C562" s="34" t="s">
        <v>1190</v>
      </c>
      <c r="D562" s="34" t="s">
        <v>1191</v>
      </c>
      <c r="E562" s="34" t="s">
        <v>637</v>
      </c>
      <c r="F562" s="32" t="n">
        <f aca="false">COUNTIF(Base!$D$2:$D$2878,B562)</f>
        <v>1</v>
      </c>
      <c r="G562" s="35" t="n">
        <f aca="false">SUMIF(Base!$D$2:$D$2878,B562,Base!$I$2:$I$2878)</f>
        <v>2998</v>
      </c>
      <c r="H562" s="36" t="n">
        <f aca="false">IF($G$2849=0,0,G562/$G$2849)</f>
        <v>0.000196735434522278</v>
      </c>
      <c r="I562" s="37" t="n">
        <f aca="false">I561+H562</f>
        <v>0.90561526668259</v>
      </c>
      <c r="J562" s="37" t="n">
        <f aca="false">A562/2840</f>
        <v>0.195422535211268</v>
      </c>
      <c r="K562" s="32" t="str">
        <f aca="false">IF(I562&lt;=$E$4,"A",IF(I562&lt;=$E$5,"B","C"))</f>
        <v>B</v>
      </c>
    </row>
    <row r="563" customFormat="false" ht="15" hidden="false" customHeight="false" outlineLevel="0" collapsed="false">
      <c r="A563" s="32" t="n">
        <v>556</v>
      </c>
      <c r="B563" s="33" t="n">
        <v>33844</v>
      </c>
      <c r="C563" s="34" t="s">
        <v>1192</v>
      </c>
      <c r="D563" s="34" t="s">
        <v>1193</v>
      </c>
      <c r="E563" s="34" t="s">
        <v>75</v>
      </c>
      <c r="F563" s="32" t="n">
        <f aca="false">COUNTIF(Base!$D$2:$D$2878,B563)</f>
        <v>1</v>
      </c>
      <c r="G563" s="35" t="n">
        <f aca="false">SUMIF(Base!$D$2:$D$2878,B563,Base!$I$2:$I$2878)</f>
        <v>2990.5</v>
      </c>
      <c r="H563" s="36" t="n">
        <f aca="false">IF($G$2849=0,0,G563/$G$2849)</f>
        <v>0.000196243267824841</v>
      </c>
      <c r="I563" s="37" t="n">
        <f aca="false">I562+H563</f>
        <v>0.905811509950415</v>
      </c>
      <c r="J563" s="37" t="n">
        <f aca="false">A563/2840</f>
        <v>0.195774647887324</v>
      </c>
      <c r="K563" s="32" t="str">
        <f aca="false">IF(I563&lt;=$E$4,"A",IF(I563&lt;=$E$5,"B","C"))</f>
        <v>B</v>
      </c>
    </row>
    <row r="564" customFormat="false" ht="15" hidden="false" customHeight="false" outlineLevel="0" collapsed="false">
      <c r="A564" s="32" t="n">
        <v>557</v>
      </c>
      <c r="B564" s="33" t="n">
        <v>56644</v>
      </c>
      <c r="C564" s="34" t="s">
        <v>1194</v>
      </c>
      <c r="D564" s="34" t="s">
        <v>1195</v>
      </c>
      <c r="E564" s="34" t="s">
        <v>133</v>
      </c>
      <c r="F564" s="32" t="n">
        <f aca="false">COUNTIF(Base!$D$2:$D$2878,B564)</f>
        <v>1</v>
      </c>
      <c r="G564" s="35" t="n">
        <f aca="false">SUMIF(Base!$D$2:$D$2878,B564,Base!$I$2:$I$2878)</f>
        <v>2990</v>
      </c>
      <c r="H564" s="36" t="n">
        <f aca="false">IF($G$2849=0,0,G564/$G$2849)</f>
        <v>0.000196210456711678</v>
      </c>
      <c r="I564" s="37" t="n">
        <f aca="false">I563+H564</f>
        <v>0.906007720407127</v>
      </c>
      <c r="J564" s="37" t="n">
        <f aca="false">A564/2840</f>
        <v>0.19612676056338</v>
      </c>
      <c r="K564" s="32" t="str">
        <f aca="false">IF(I564&lt;=$E$4,"A",IF(I564&lt;=$E$5,"B","C"))</f>
        <v>B</v>
      </c>
    </row>
    <row r="565" customFormat="false" ht="15" hidden="false" customHeight="false" outlineLevel="0" collapsed="false">
      <c r="A565" s="32" t="n">
        <v>558</v>
      </c>
      <c r="B565" s="33" t="n">
        <v>1463585</v>
      </c>
      <c r="C565" s="34" t="s">
        <v>1196</v>
      </c>
      <c r="D565" s="34" t="s">
        <v>1197</v>
      </c>
      <c r="E565" s="34" t="s">
        <v>38</v>
      </c>
      <c r="F565" s="32" t="n">
        <f aca="false">COUNTIF(Base!$D$2:$D$2878,B565)</f>
        <v>1</v>
      </c>
      <c r="G565" s="35" t="n">
        <f aca="false">SUMIF(Base!$D$2:$D$2878,B565,Base!$I$2:$I$2878)</f>
        <v>2989.62</v>
      </c>
      <c r="H565" s="36" t="n">
        <f aca="false">IF($G$2849=0,0,G565/$G$2849)</f>
        <v>0.000196185520265675</v>
      </c>
      <c r="I565" s="37" t="n">
        <f aca="false">I564+H565</f>
        <v>0.906203905927392</v>
      </c>
      <c r="J565" s="37" t="n">
        <f aca="false">A565/2840</f>
        <v>0.196478873239437</v>
      </c>
      <c r="K565" s="32" t="str">
        <f aca="false">IF(I565&lt;=$E$4,"A",IF(I565&lt;=$E$5,"B","C"))</f>
        <v>B</v>
      </c>
    </row>
    <row r="566" customFormat="false" ht="15" hidden="false" customHeight="false" outlineLevel="0" collapsed="false">
      <c r="A566" s="32" t="n">
        <v>559</v>
      </c>
      <c r="B566" s="33" t="n">
        <v>275755</v>
      </c>
      <c r="C566" s="34" t="s">
        <v>1198</v>
      </c>
      <c r="D566" s="34" t="s">
        <v>1199</v>
      </c>
      <c r="E566" s="34" t="s">
        <v>75</v>
      </c>
      <c r="F566" s="32" t="n">
        <f aca="false">COUNTIF(Base!$D$2:$D$2878,B566)</f>
        <v>1</v>
      </c>
      <c r="G566" s="35" t="n">
        <f aca="false">SUMIF(Base!$D$2:$D$2878,B566,Base!$I$2:$I$2878)</f>
        <v>2988</v>
      </c>
      <c r="H566" s="36" t="n">
        <f aca="false">IF($G$2849=0,0,G566/$G$2849)</f>
        <v>0.000196079212259028</v>
      </c>
      <c r="I566" s="37" t="n">
        <f aca="false">I565+H566</f>
        <v>0.906399985139651</v>
      </c>
      <c r="J566" s="37" t="n">
        <f aca="false">A566/2840</f>
        <v>0.196830985915493</v>
      </c>
      <c r="K566" s="32" t="str">
        <f aca="false">IF(I566&lt;=$E$4,"A",IF(I566&lt;=$E$5,"B","C"))</f>
        <v>B</v>
      </c>
    </row>
    <row r="567" customFormat="false" ht="15" hidden="false" customHeight="false" outlineLevel="0" collapsed="false">
      <c r="A567" s="32" t="n">
        <v>560</v>
      </c>
      <c r="B567" s="33" t="n">
        <v>348017</v>
      </c>
      <c r="C567" s="34" t="s">
        <v>1200</v>
      </c>
      <c r="D567" s="34" t="s">
        <v>1201</v>
      </c>
      <c r="E567" s="34" t="s">
        <v>130</v>
      </c>
      <c r="F567" s="32" t="n">
        <f aca="false">COUNTIF(Base!$D$2:$D$2878,B567)</f>
        <v>1</v>
      </c>
      <c r="G567" s="35" t="n">
        <f aca="false">SUMIF(Base!$D$2:$D$2878,B567,Base!$I$2:$I$2878)</f>
        <v>2973.6</v>
      </c>
      <c r="H567" s="36" t="n">
        <f aca="false">IF($G$2849=0,0,G567/$G$2849)</f>
        <v>0.000195134252199949</v>
      </c>
      <c r="I567" s="37" t="n">
        <f aca="false">I566+H567</f>
        <v>0.906595119391851</v>
      </c>
      <c r="J567" s="37" t="n">
        <f aca="false">A567/2840</f>
        <v>0.197183098591549</v>
      </c>
      <c r="K567" s="32" t="str">
        <f aca="false">IF(I567&lt;=$E$4,"A",IF(I567&lt;=$E$5,"B","C"))</f>
        <v>B</v>
      </c>
    </row>
    <row r="568" customFormat="false" ht="15" hidden="false" customHeight="false" outlineLevel="0" collapsed="false">
      <c r="A568" s="32" t="n">
        <v>561</v>
      </c>
      <c r="B568" s="33" t="n">
        <v>1657134</v>
      </c>
      <c r="C568" s="34" t="s">
        <v>1202</v>
      </c>
      <c r="D568" s="34" t="s">
        <v>1203</v>
      </c>
      <c r="E568" s="34" t="s">
        <v>100</v>
      </c>
      <c r="F568" s="32" t="n">
        <f aca="false">COUNTIF(Base!$D$2:$D$2878,B568)</f>
        <v>1</v>
      </c>
      <c r="G568" s="35" t="n">
        <f aca="false">SUMIF(Base!$D$2:$D$2878,B568,Base!$I$2:$I$2878)</f>
        <v>2970</v>
      </c>
      <c r="H568" s="36" t="n">
        <f aca="false">IF($G$2849=0,0,G568/$G$2849)</f>
        <v>0.000194898012185179</v>
      </c>
      <c r="I568" s="37" t="n">
        <f aca="false">I567+H568</f>
        <v>0.906790017404036</v>
      </c>
      <c r="J568" s="37" t="n">
        <f aca="false">A568/2840</f>
        <v>0.197535211267606</v>
      </c>
      <c r="K568" s="32" t="str">
        <f aca="false">IF(I568&lt;=$E$4,"A",IF(I568&lt;=$E$5,"B","C"))</f>
        <v>B</v>
      </c>
    </row>
    <row r="569" customFormat="false" ht="15" hidden="false" customHeight="false" outlineLevel="0" collapsed="false">
      <c r="A569" s="32" t="n">
        <v>562</v>
      </c>
      <c r="B569" s="33" t="n">
        <v>427236</v>
      </c>
      <c r="C569" s="34" t="s">
        <v>1204</v>
      </c>
      <c r="D569" s="34" t="s">
        <v>1205</v>
      </c>
      <c r="E569" s="34" t="s">
        <v>130</v>
      </c>
      <c r="F569" s="32" t="n">
        <f aca="false">COUNTIF(Base!$D$2:$D$2878,B569)</f>
        <v>1</v>
      </c>
      <c r="G569" s="35" t="n">
        <f aca="false">SUMIF(Base!$D$2:$D$2878,B569,Base!$I$2:$I$2878)</f>
        <v>2966</v>
      </c>
      <c r="H569" s="36" t="n">
        <f aca="false">IF($G$2849=0,0,G569/$G$2849)</f>
        <v>0.000194635523279879</v>
      </c>
      <c r="I569" s="37" t="n">
        <f aca="false">I568+H569</f>
        <v>0.906984652927316</v>
      </c>
      <c r="J569" s="37" t="n">
        <f aca="false">A569/2840</f>
        <v>0.197887323943662</v>
      </c>
      <c r="K569" s="32" t="str">
        <f aca="false">IF(I569&lt;=$E$4,"A",IF(I569&lt;=$E$5,"B","C"))</f>
        <v>B</v>
      </c>
    </row>
    <row r="570" customFormat="false" ht="15" hidden="false" customHeight="false" outlineLevel="0" collapsed="false">
      <c r="A570" s="32" t="n">
        <v>563</v>
      </c>
      <c r="B570" s="33" t="n">
        <v>56010</v>
      </c>
      <c r="C570" s="34" t="s">
        <v>1206</v>
      </c>
      <c r="D570" s="34" t="s">
        <v>1207</v>
      </c>
      <c r="E570" s="34" t="s">
        <v>35</v>
      </c>
      <c r="F570" s="32" t="n">
        <f aca="false">COUNTIF(Base!$D$2:$D$2878,B570)</f>
        <v>1</v>
      </c>
      <c r="G570" s="35" t="n">
        <f aca="false">SUMIF(Base!$D$2:$D$2878,B570,Base!$I$2:$I$2878)</f>
        <v>2957.82</v>
      </c>
      <c r="H570" s="36" t="n">
        <f aca="false">IF($G$2849=0,0,G570/$G$2849)</f>
        <v>0.000194098733468541</v>
      </c>
      <c r="I570" s="37" t="n">
        <f aca="false">I569+H570</f>
        <v>0.907178751660785</v>
      </c>
      <c r="J570" s="37" t="n">
        <f aca="false">A570/2840</f>
        <v>0.198239436619718</v>
      </c>
      <c r="K570" s="32" t="str">
        <f aca="false">IF(I570&lt;=$E$4,"A",IF(I570&lt;=$E$5,"B","C"))</f>
        <v>B</v>
      </c>
    </row>
    <row r="571" customFormat="false" ht="15" hidden="false" customHeight="false" outlineLevel="0" collapsed="false">
      <c r="A571" s="32" t="n">
        <v>564</v>
      </c>
      <c r="B571" s="33" t="n">
        <v>1469746</v>
      </c>
      <c r="C571" s="34" t="s">
        <v>1208</v>
      </c>
      <c r="D571" s="34" t="s">
        <v>1209</v>
      </c>
      <c r="E571" s="34" t="s">
        <v>394</v>
      </c>
      <c r="F571" s="32" t="n">
        <f aca="false">COUNTIF(Base!$D$2:$D$2878,B571)</f>
        <v>1</v>
      </c>
      <c r="G571" s="35" t="n">
        <f aca="false">SUMIF(Base!$D$2:$D$2878,B571,Base!$I$2:$I$2878)</f>
        <v>2947.8</v>
      </c>
      <c r="H571" s="36" t="n">
        <f aca="false">IF($G$2849=0,0,G571/$G$2849)</f>
        <v>0.000193441198760764</v>
      </c>
      <c r="I571" s="37" t="n">
        <f aca="false">I570+H571</f>
        <v>0.907372192859546</v>
      </c>
      <c r="J571" s="37" t="n">
        <f aca="false">A571/2840</f>
        <v>0.198591549295775</v>
      </c>
      <c r="K571" s="32" t="str">
        <f aca="false">IF(I571&lt;=$E$4,"A",IF(I571&lt;=$E$5,"B","C"))</f>
        <v>B</v>
      </c>
    </row>
    <row r="572" customFormat="false" ht="15" hidden="false" customHeight="false" outlineLevel="0" collapsed="false">
      <c r="A572" s="32" t="n">
        <v>565</v>
      </c>
      <c r="B572" s="33" t="n">
        <v>1316410</v>
      </c>
      <c r="C572" s="34" t="s">
        <v>1210</v>
      </c>
      <c r="D572" s="34" t="s">
        <v>1211</v>
      </c>
      <c r="E572" s="34" t="s">
        <v>54</v>
      </c>
      <c r="F572" s="32" t="n">
        <f aca="false">COUNTIF(Base!$D$2:$D$2878,B572)</f>
        <v>1</v>
      </c>
      <c r="G572" s="35" t="n">
        <f aca="false">SUMIF(Base!$D$2:$D$2878,B572,Base!$I$2:$I$2878)</f>
        <v>2945</v>
      </c>
      <c r="H572" s="36" t="n">
        <f aca="false">IF($G$2849=0,0,G572/$G$2849)</f>
        <v>0.000193257456527054</v>
      </c>
      <c r="I572" s="37" t="n">
        <f aca="false">I571+H572</f>
        <v>0.907565450316073</v>
      </c>
      <c r="J572" s="37" t="n">
        <f aca="false">A572/2840</f>
        <v>0.198943661971831</v>
      </c>
      <c r="K572" s="32" t="str">
        <f aca="false">IF(I572&lt;=$E$4,"A",IF(I572&lt;=$E$5,"B","C"))</f>
        <v>B</v>
      </c>
    </row>
    <row r="573" customFormat="false" ht="15" hidden="false" customHeight="false" outlineLevel="0" collapsed="false">
      <c r="A573" s="32" t="n">
        <v>566</v>
      </c>
      <c r="B573" s="33" t="n">
        <v>1615269</v>
      </c>
      <c r="C573" s="34" t="s">
        <v>1212</v>
      </c>
      <c r="D573" s="34" t="s">
        <v>1213</v>
      </c>
      <c r="E573" s="34" t="s">
        <v>38</v>
      </c>
      <c r="F573" s="32" t="n">
        <f aca="false">COUNTIF(Base!$D$2:$D$2878,B573)</f>
        <v>1</v>
      </c>
      <c r="G573" s="35" t="n">
        <f aca="false">SUMIF(Base!$D$2:$D$2878,B573,Base!$I$2:$I$2878)</f>
        <v>2943.6</v>
      </c>
      <c r="H573" s="36" t="n">
        <f aca="false">IF($G$2849=0,0,G573/$G$2849)</f>
        <v>0.000193165585410199</v>
      </c>
      <c r="I573" s="37" t="n">
        <f aca="false">I572+H573</f>
        <v>0.907758615901483</v>
      </c>
      <c r="J573" s="37" t="n">
        <f aca="false">A573/2840</f>
        <v>0.199295774647887</v>
      </c>
      <c r="K573" s="32" t="str">
        <f aca="false">IF(I573&lt;=$E$4,"A",IF(I573&lt;=$E$5,"B","C"))</f>
        <v>B</v>
      </c>
    </row>
    <row r="574" customFormat="false" ht="15" hidden="false" customHeight="false" outlineLevel="0" collapsed="false">
      <c r="A574" s="32" t="n">
        <v>567</v>
      </c>
      <c r="B574" s="33" t="n">
        <v>1088327</v>
      </c>
      <c r="C574" s="34" t="s">
        <v>1214</v>
      </c>
      <c r="D574" s="34" t="s">
        <v>1215</v>
      </c>
      <c r="E574" s="34" t="s">
        <v>363</v>
      </c>
      <c r="F574" s="32" t="n">
        <f aca="false">COUNTIF(Base!$D$2:$D$2878,B574)</f>
        <v>1</v>
      </c>
      <c r="G574" s="35" t="n">
        <f aca="false">SUMIF(Base!$D$2:$D$2878,B574,Base!$I$2:$I$2878)</f>
        <v>2940</v>
      </c>
      <c r="H574" s="36" t="n">
        <f aca="false">IF($G$2849=0,0,G574/$G$2849)</f>
        <v>0.000192929345395429</v>
      </c>
      <c r="I574" s="37" t="n">
        <f aca="false">I573+H574</f>
        <v>0.907951545246878</v>
      </c>
      <c r="J574" s="37" t="n">
        <f aca="false">A574/2840</f>
        <v>0.199647887323944</v>
      </c>
      <c r="K574" s="32" t="str">
        <f aca="false">IF(I574&lt;=$E$4,"A",IF(I574&lt;=$E$5,"B","C"))</f>
        <v>B</v>
      </c>
    </row>
    <row r="575" customFormat="false" ht="15" hidden="false" customHeight="false" outlineLevel="0" collapsed="false">
      <c r="A575" s="32" t="n">
        <v>568</v>
      </c>
      <c r="B575" s="33" t="n">
        <v>1067208</v>
      </c>
      <c r="C575" s="34" t="s">
        <v>1216</v>
      </c>
      <c r="D575" s="34" t="s">
        <v>1217</v>
      </c>
      <c r="E575" s="34" t="s">
        <v>230</v>
      </c>
      <c r="F575" s="32" t="n">
        <f aca="false">COUNTIF(Base!$D$2:$D$2878,B575)</f>
        <v>1</v>
      </c>
      <c r="G575" s="35" t="n">
        <f aca="false">SUMIF(Base!$D$2:$D$2878,B575,Base!$I$2:$I$2878)</f>
        <v>2932.5</v>
      </c>
      <c r="H575" s="36" t="n">
        <f aca="false">IF($G$2849=0,0,G575/$G$2849)</f>
        <v>0.000192437178697992</v>
      </c>
      <c r="I575" s="37" t="n">
        <f aca="false">I574+H575</f>
        <v>0.908143982425576</v>
      </c>
      <c r="J575" s="37" t="n">
        <f aca="false">A575/2840</f>
        <v>0.2</v>
      </c>
      <c r="K575" s="32" t="str">
        <f aca="false">IF(I575&lt;=$E$4,"A",IF(I575&lt;=$E$5,"B","C"))</f>
        <v>B</v>
      </c>
    </row>
    <row r="576" customFormat="false" ht="15" hidden="false" customHeight="false" outlineLevel="0" collapsed="false">
      <c r="A576" s="32" t="n">
        <v>569</v>
      </c>
      <c r="B576" s="33" t="n">
        <v>1329959</v>
      </c>
      <c r="C576" s="34" t="s">
        <v>1218</v>
      </c>
      <c r="D576" s="34" t="s">
        <v>1219</v>
      </c>
      <c r="E576" s="34" t="s">
        <v>133</v>
      </c>
      <c r="F576" s="32" t="n">
        <f aca="false">COUNTIF(Base!$D$2:$D$2878,B576)</f>
        <v>1</v>
      </c>
      <c r="G576" s="35" t="n">
        <f aca="false">SUMIF(Base!$D$2:$D$2878,B576,Base!$I$2:$I$2878)</f>
        <v>2900</v>
      </c>
      <c r="H576" s="36" t="n">
        <f aca="false">IF($G$2849=0,0,G576/$G$2849)</f>
        <v>0.00019030445634243</v>
      </c>
      <c r="I576" s="37" t="n">
        <f aca="false">I575+H576</f>
        <v>0.908334286881919</v>
      </c>
      <c r="J576" s="37" t="n">
        <f aca="false">A576/2840</f>
        <v>0.200352112676056</v>
      </c>
      <c r="K576" s="32" t="str">
        <f aca="false">IF(I576&lt;=$E$4,"A",IF(I576&lt;=$E$5,"B","C"))</f>
        <v>B</v>
      </c>
    </row>
    <row r="577" customFormat="false" ht="15" hidden="false" customHeight="false" outlineLevel="0" collapsed="false">
      <c r="A577" s="32" t="n">
        <v>570</v>
      </c>
      <c r="B577" s="33" t="n">
        <v>65808</v>
      </c>
      <c r="C577" s="34" t="s">
        <v>1220</v>
      </c>
      <c r="D577" s="34" t="s">
        <v>1221</v>
      </c>
      <c r="E577" s="34" t="s">
        <v>247</v>
      </c>
      <c r="F577" s="32" t="n">
        <f aca="false">COUNTIF(Base!$D$2:$D$2878,B577)</f>
        <v>1</v>
      </c>
      <c r="G577" s="35" t="n">
        <f aca="false">SUMIF(Base!$D$2:$D$2878,B577,Base!$I$2:$I$2878)</f>
        <v>2899.58</v>
      </c>
      <c r="H577" s="36" t="n">
        <f aca="false">IF($G$2849=0,0,G577/$G$2849)</f>
        <v>0.000190276895007374</v>
      </c>
      <c r="I577" s="37" t="n">
        <f aca="false">I576+H577</f>
        <v>0.908524563776926</v>
      </c>
      <c r="J577" s="37" t="n">
        <f aca="false">A577/2840</f>
        <v>0.200704225352113</v>
      </c>
      <c r="K577" s="32" t="str">
        <f aca="false">IF(I577&lt;=$E$4,"A",IF(I577&lt;=$E$5,"B","C"))</f>
        <v>B</v>
      </c>
    </row>
    <row r="578" customFormat="false" ht="15" hidden="false" customHeight="false" outlineLevel="0" collapsed="false">
      <c r="A578" s="32" t="n">
        <v>571</v>
      </c>
      <c r="B578" s="33" t="n">
        <v>1475760</v>
      </c>
      <c r="C578" s="34" t="s">
        <v>1222</v>
      </c>
      <c r="D578" s="34" t="s">
        <v>1223</v>
      </c>
      <c r="E578" s="34" t="s">
        <v>509</v>
      </c>
      <c r="F578" s="32" t="n">
        <f aca="false">COUNTIF(Base!$D$2:$D$2878,B578)</f>
        <v>1</v>
      </c>
      <c r="G578" s="35" t="n">
        <f aca="false">SUMIF(Base!$D$2:$D$2878,B578,Base!$I$2:$I$2878)</f>
        <v>2897.92</v>
      </c>
      <c r="H578" s="36" t="n">
        <f aca="false">IF($G$2849=0,0,G578/$G$2849)</f>
        <v>0.000190167962111675</v>
      </c>
      <c r="I578" s="37" t="n">
        <f aca="false">I577+H578</f>
        <v>0.908714731739038</v>
      </c>
      <c r="J578" s="37" t="n">
        <f aca="false">A578/2840</f>
        <v>0.201056338028169</v>
      </c>
      <c r="K578" s="32" t="str">
        <f aca="false">IF(I578&lt;=$E$4,"A",IF(I578&lt;=$E$5,"B","C"))</f>
        <v>B</v>
      </c>
    </row>
    <row r="579" customFormat="false" ht="15" hidden="false" customHeight="false" outlineLevel="0" collapsed="false">
      <c r="A579" s="32" t="n">
        <v>572</v>
      </c>
      <c r="B579" s="33" t="n">
        <v>1386190</v>
      </c>
      <c r="C579" s="34" t="s">
        <v>1224</v>
      </c>
      <c r="D579" s="34" t="s">
        <v>1225</v>
      </c>
      <c r="E579" s="34" t="s">
        <v>170</v>
      </c>
      <c r="F579" s="32" t="n">
        <f aca="false">COUNTIF(Base!$D$2:$D$2878,B579)</f>
        <v>1</v>
      </c>
      <c r="G579" s="35" t="n">
        <f aca="false">SUMIF(Base!$D$2:$D$2878,B579,Base!$I$2:$I$2878)</f>
        <v>2890.6</v>
      </c>
      <c r="H579" s="36" t="n">
        <f aca="false">IF($G$2849=0,0,G579/$G$2849)</f>
        <v>0.000189687607414976</v>
      </c>
      <c r="I579" s="37" t="n">
        <f aca="false">I578+H579</f>
        <v>0.908904419346453</v>
      </c>
      <c r="J579" s="37" t="n">
        <f aca="false">A579/2840</f>
        <v>0.201408450704225</v>
      </c>
      <c r="K579" s="32" t="str">
        <f aca="false">IF(I579&lt;=$E$4,"A",IF(I579&lt;=$E$5,"B","C"))</f>
        <v>B</v>
      </c>
    </row>
    <row r="580" customFormat="false" ht="15" hidden="false" customHeight="false" outlineLevel="0" collapsed="false">
      <c r="A580" s="32" t="n">
        <v>573</v>
      </c>
      <c r="B580" s="33" t="n">
        <v>288043</v>
      </c>
      <c r="C580" s="34" t="s">
        <v>1226</v>
      </c>
      <c r="D580" s="34" t="s">
        <v>1227</v>
      </c>
      <c r="E580" s="34" t="s">
        <v>247</v>
      </c>
      <c r="F580" s="32" t="n">
        <f aca="false">COUNTIF(Base!$D$2:$D$2878,B580)</f>
        <v>1</v>
      </c>
      <c r="G580" s="35" t="n">
        <f aca="false">SUMIF(Base!$D$2:$D$2878,B580,Base!$I$2:$I$2878)</f>
        <v>2888.69</v>
      </c>
      <c r="H580" s="36" t="n">
        <f aca="false">IF($G$2849=0,0,G580/$G$2849)</f>
        <v>0.000189562268962695</v>
      </c>
      <c r="I580" s="37" t="n">
        <f aca="false">I579+H580</f>
        <v>0.909093981615415</v>
      </c>
      <c r="J580" s="37" t="n">
        <f aca="false">A580/2840</f>
        <v>0.201760563380282</v>
      </c>
      <c r="K580" s="32" t="str">
        <f aca="false">IF(I580&lt;=$E$4,"A",IF(I580&lt;=$E$5,"B","C"))</f>
        <v>B</v>
      </c>
    </row>
    <row r="581" customFormat="false" ht="15" hidden="false" customHeight="false" outlineLevel="0" collapsed="false">
      <c r="A581" s="32" t="n">
        <v>574</v>
      </c>
      <c r="B581" s="33" t="n">
        <v>853158</v>
      </c>
      <c r="C581" s="34" t="s">
        <v>1228</v>
      </c>
      <c r="D581" s="34" t="s">
        <v>1229</v>
      </c>
      <c r="E581" s="34" t="s">
        <v>38</v>
      </c>
      <c r="F581" s="32" t="n">
        <f aca="false">COUNTIF(Base!$D$2:$D$2878,B581)</f>
        <v>1</v>
      </c>
      <c r="G581" s="35" t="n">
        <f aca="false">SUMIF(Base!$D$2:$D$2878,B581,Base!$I$2:$I$2878)</f>
        <v>2880</v>
      </c>
      <c r="H581" s="36" t="n">
        <f aca="false">IF($G$2849=0,0,G581/$G$2849)</f>
        <v>0.000188992011815931</v>
      </c>
      <c r="I581" s="37" t="n">
        <f aca="false">I580+H581</f>
        <v>0.909282973627231</v>
      </c>
      <c r="J581" s="37" t="n">
        <f aca="false">A581/2840</f>
        <v>0.202112676056338</v>
      </c>
      <c r="K581" s="32" t="str">
        <f aca="false">IF(I581&lt;=$E$4,"A",IF(I581&lt;=$E$5,"B","C"))</f>
        <v>B</v>
      </c>
    </row>
    <row r="582" customFormat="false" ht="15" hidden="false" customHeight="false" outlineLevel="0" collapsed="false">
      <c r="A582" s="32" t="n">
        <v>575</v>
      </c>
      <c r="B582" s="33" t="n">
        <v>1079177</v>
      </c>
      <c r="C582" s="34" t="s">
        <v>1230</v>
      </c>
      <c r="D582" s="34" t="s">
        <v>1231</v>
      </c>
      <c r="E582" s="34" t="s">
        <v>54</v>
      </c>
      <c r="F582" s="32" t="n">
        <f aca="false">COUNTIF(Base!$D$2:$D$2878,B582)</f>
        <v>1</v>
      </c>
      <c r="G582" s="35" t="n">
        <f aca="false">SUMIF(Base!$D$2:$D$2878,B582,Base!$I$2:$I$2878)</f>
        <v>2880</v>
      </c>
      <c r="H582" s="36" t="n">
        <f aca="false">IF($G$2849=0,0,G582/$G$2849)</f>
        <v>0.000188992011815931</v>
      </c>
      <c r="I582" s="37" t="n">
        <f aca="false">I581+H582</f>
        <v>0.909471965639047</v>
      </c>
      <c r="J582" s="37" t="n">
        <f aca="false">A582/2840</f>
        <v>0.202464788732394</v>
      </c>
      <c r="K582" s="32" t="str">
        <f aca="false">IF(I582&lt;=$E$4,"A",IF(I582&lt;=$E$5,"B","C"))</f>
        <v>B</v>
      </c>
    </row>
    <row r="583" customFormat="false" ht="15" hidden="false" customHeight="false" outlineLevel="0" collapsed="false">
      <c r="A583" s="32" t="n">
        <v>576</v>
      </c>
      <c r="B583" s="33" t="n">
        <v>1480860</v>
      </c>
      <c r="C583" s="34" t="s">
        <v>1232</v>
      </c>
      <c r="D583" s="34" t="s">
        <v>1233</v>
      </c>
      <c r="E583" s="34" t="s">
        <v>38</v>
      </c>
      <c r="F583" s="32" t="n">
        <f aca="false">COUNTIF(Base!$D$2:$D$2878,B583)</f>
        <v>1</v>
      </c>
      <c r="G583" s="35" t="n">
        <f aca="false">SUMIF(Base!$D$2:$D$2878,B583,Base!$I$2:$I$2878)</f>
        <v>2880</v>
      </c>
      <c r="H583" s="36" t="n">
        <f aca="false">IF($G$2849=0,0,G583/$G$2849)</f>
        <v>0.000188992011815931</v>
      </c>
      <c r="I583" s="37" t="n">
        <f aca="false">I582+H583</f>
        <v>0.909660957650863</v>
      </c>
      <c r="J583" s="37" t="n">
        <f aca="false">A583/2840</f>
        <v>0.202816901408451</v>
      </c>
      <c r="K583" s="32" t="str">
        <f aca="false">IF(I583&lt;=$E$4,"A",IF(I583&lt;=$E$5,"B","C"))</f>
        <v>B</v>
      </c>
    </row>
    <row r="584" customFormat="false" ht="15" hidden="false" customHeight="false" outlineLevel="0" collapsed="false">
      <c r="A584" s="32" t="n">
        <v>577</v>
      </c>
      <c r="B584" s="33" t="n">
        <v>260108</v>
      </c>
      <c r="C584" s="34" t="s">
        <v>1234</v>
      </c>
      <c r="D584" s="34" t="s">
        <v>1235</v>
      </c>
      <c r="E584" s="34" t="s">
        <v>247</v>
      </c>
      <c r="F584" s="32" t="n">
        <f aca="false">COUNTIF(Base!$D$2:$D$2878,B584)</f>
        <v>1</v>
      </c>
      <c r="G584" s="35" t="n">
        <f aca="false">SUMIF(Base!$D$2:$D$2878,B584,Base!$I$2:$I$2878)</f>
        <v>2879.44</v>
      </c>
      <c r="H584" s="36" t="n">
        <f aca="false">IF($G$2849=0,0,G584/$G$2849)</f>
        <v>0.000188955263369189</v>
      </c>
      <c r="I584" s="37" t="n">
        <f aca="false">I583+H584</f>
        <v>0.909849912914232</v>
      </c>
      <c r="J584" s="37" t="n">
        <f aca="false">A584/2840</f>
        <v>0.203169014084507</v>
      </c>
      <c r="K584" s="32" t="str">
        <f aca="false">IF(I584&lt;=$E$4,"A",IF(I584&lt;=$E$5,"B","C"))</f>
        <v>B</v>
      </c>
    </row>
    <row r="585" customFormat="false" ht="15" hidden="false" customHeight="false" outlineLevel="0" collapsed="false">
      <c r="A585" s="32" t="n">
        <v>578</v>
      </c>
      <c r="B585" s="33" t="n">
        <v>11426</v>
      </c>
      <c r="C585" s="34" t="s">
        <v>1236</v>
      </c>
      <c r="D585" s="34" t="s">
        <v>1237</v>
      </c>
      <c r="E585" s="34" t="s">
        <v>63</v>
      </c>
      <c r="F585" s="32" t="n">
        <f aca="false">COUNTIF(Base!$D$2:$D$2878,B585)</f>
        <v>1</v>
      </c>
      <c r="G585" s="35" t="n">
        <f aca="false">SUMIF(Base!$D$2:$D$2878,B585,Base!$I$2:$I$2878)</f>
        <v>2875</v>
      </c>
      <c r="H585" s="36" t="n">
        <f aca="false">IF($G$2849=0,0,G585/$G$2849)</f>
        <v>0.000188663900684306</v>
      </c>
      <c r="I585" s="37" t="n">
        <f aca="false">I584+H585</f>
        <v>0.910038576814917</v>
      </c>
      <c r="J585" s="37" t="n">
        <f aca="false">A585/2840</f>
        <v>0.203521126760563</v>
      </c>
      <c r="K585" s="32" t="str">
        <f aca="false">IF(I585&lt;=$E$4,"A",IF(I585&lt;=$E$5,"B","C"))</f>
        <v>B</v>
      </c>
    </row>
    <row r="586" customFormat="false" ht="15" hidden="false" customHeight="false" outlineLevel="0" collapsed="false">
      <c r="A586" s="32" t="n">
        <v>579</v>
      </c>
      <c r="B586" s="33" t="n">
        <v>18885</v>
      </c>
      <c r="C586" s="34" t="s">
        <v>1238</v>
      </c>
      <c r="D586" s="34" t="s">
        <v>1239</v>
      </c>
      <c r="E586" s="34" t="s">
        <v>247</v>
      </c>
      <c r="F586" s="32" t="n">
        <f aca="false">COUNTIF(Base!$D$2:$D$2878,B586)</f>
        <v>1</v>
      </c>
      <c r="G586" s="35" t="n">
        <f aca="false">SUMIF(Base!$D$2:$D$2878,B586,Base!$I$2:$I$2878)</f>
        <v>2873.96</v>
      </c>
      <c r="H586" s="36" t="n">
        <f aca="false">IF($G$2849=0,0,G586/$G$2849)</f>
        <v>0.000188595653568928</v>
      </c>
      <c r="I586" s="37" t="n">
        <f aca="false">I585+H586</f>
        <v>0.910227172468485</v>
      </c>
      <c r="J586" s="37" t="n">
        <f aca="false">A586/2840</f>
        <v>0.20387323943662</v>
      </c>
      <c r="K586" s="32" t="str">
        <f aca="false">IF(I586&lt;=$E$4,"A",IF(I586&lt;=$E$5,"B","C"))</f>
        <v>B</v>
      </c>
    </row>
    <row r="587" customFormat="false" ht="15" hidden="false" customHeight="false" outlineLevel="0" collapsed="false">
      <c r="A587" s="32" t="n">
        <v>580</v>
      </c>
      <c r="B587" s="33" t="n">
        <v>957740</v>
      </c>
      <c r="C587" s="34" t="s">
        <v>1240</v>
      </c>
      <c r="D587" s="34" t="s">
        <v>1241</v>
      </c>
      <c r="E587" s="34" t="s">
        <v>247</v>
      </c>
      <c r="F587" s="32" t="n">
        <f aca="false">COUNTIF(Base!$D$2:$D$2878,B587)</f>
        <v>2</v>
      </c>
      <c r="G587" s="35" t="n">
        <f aca="false">SUMIF(Base!$D$2:$D$2878,B587,Base!$I$2:$I$2878)</f>
        <v>2861.43</v>
      </c>
      <c r="H587" s="36" t="n">
        <f aca="false">IF($G$2849=0,0,G587/$G$2849)</f>
        <v>0.000187773407073076</v>
      </c>
      <c r="I587" s="37" t="n">
        <f aca="false">I586+H587</f>
        <v>0.910414945875559</v>
      </c>
      <c r="J587" s="37" t="n">
        <f aca="false">A587/2840</f>
        <v>0.204225352112676</v>
      </c>
      <c r="K587" s="32" t="str">
        <f aca="false">IF(I587&lt;=$E$4,"A",IF(I587&lt;=$E$5,"B","C"))</f>
        <v>B</v>
      </c>
    </row>
    <row r="588" customFormat="false" ht="15" hidden="false" customHeight="false" outlineLevel="0" collapsed="false">
      <c r="A588" s="32" t="n">
        <v>581</v>
      </c>
      <c r="B588" s="33" t="n">
        <v>17844</v>
      </c>
      <c r="C588" s="34" t="s">
        <v>1242</v>
      </c>
      <c r="D588" s="34" t="s">
        <v>1243</v>
      </c>
      <c r="E588" s="34" t="s">
        <v>835</v>
      </c>
      <c r="F588" s="32" t="n">
        <f aca="false">COUNTIF(Base!$D$2:$D$2878,B588)</f>
        <v>1</v>
      </c>
      <c r="G588" s="35" t="n">
        <f aca="false">SUMIF(Base!$D$2:$D$2878,B588,Base!$I$2:$I$2878)</f>
        <v>2857.2</v>
      </c>
      <c r="H588" s="36" t="n">
        <f aca="false">IF($G$2849=0,0,G588/$G$2849)</f>
        <v>0.000187495825055721</v>
      </c>
      <c r="I588" s="37" t="n">
        <f aca="false">I587+H588</f>
        <v>0.910602441700614</v>
      </c>
      <c r="J588" s="37" t="n">
        <f aca="false">A588/2840</f>
        <v>0.204577464788732</v>
      </c>
      <c r="K588" s="32" t="str">
        <f aca="false">IF(I588&lt;=$E$4,"A",IF(I588&lt;=$E$5,"B","C"))</f>
        <v>B</v>
      </c>
    </row>
    <row r="589" customFormat="false" ht="15" hidden="false" customHeight="false" outlineLevel="0" collapsed="false">
      <c r="A589" s="32" t="n">
        <v>582</v>
      </c>
      <c r="B589" s="33" t="n">
        <v>847017</v>
      </c>
      <c r="C589" s="34" t="s">
        <v>1244</v>
      </c>
      <c r="D589" s="34" t="s">
        <v>1245</v>
      </c>
      <c r="E589" s="34" t="s">
        <v>54</v>
      </c>
      <c r="F589" s="32" t="n">
        <f aca="false">COUNTIF(Base!$D$2:$D$2878,B589)</f>
        <v>1</v>
      </c>
      <c r="G589" s="35" t="n">
        <f aca="false">SUMIF(Base!$D$2:$D$2878,B589,Base!$I$2:$I$2878)</f>
        <v>2856.26</v>
      </c>
      <c r="H589" s="36" t="n">
        <f aca="false">IF($G$2849=0,0,G589/$G$2849)</f>
        <v>0.000187434140162976</v>
      </c>
      <c r="I589" s="37" t="n">
        <f aca="false">I588+H589</f>
        <v>0.910789875840777</v>
      </c>
      <c r="J589" s="37" t="n">
        <f aca="false">A589/2840</f>
        <v>0.204929577464789</v>
      </c>
      <c r="K589" s="32" t="str">
        <f aca="false">IF(I589&lt;=$E$4,"A",IF(I589&lt;=$E$5,"B","C"))</f>
        <v>B</v>
      </c>
    </row>
    <row r="590" customFormat="false" ht="15" hidden="false" customHeight="false" outlineLevel="0" collapsed="false">
      <c r="A590" s="32" t="n">
        <v>583</v>
      </c>
      <c r="B590" s="33" t="n">
        <v>23761</v>
      </c>
      <c r="C590" s="34" t="s">
        <v>1246</v>
      </c>
      <c r="D590" s="34" t="s">
        <v>1247</v>
      </c>
      <c r="E590" s="34" t="s">
        <v>130</v>
      </c>
      <c r="F590" s="32" t="n">
        <f aca="false">COUNTIF(Base!$D$2:$D$2878,B590)</f>
        <v>1</v>
      </c>
      <c r="G590" s="35" t="n">
        <f aca="false">SUMIF(Base!$D$2:$D$2878,B590,Base!$I$2:$I$2878)</f>
        <v>2850</v>
      </c>
      <c r="H590" s="36" t="n">
        <f aca="false">IF($G$2849=0,0,G590/$G$2849)</f>
        <v>0.000187023345026182</v>
      </c>
      <c r="I590" s="37" t="n">
        <f aca="false">I589+H590</f>
        <v>0.910976899185803</v>
      </c>
      <c r="J590" s="37" t="n">
        <f aca="false">A590/2840</f>
        <v>0.205281690140845</v>
      </c>
      <c r="K590" s="32" t="str">
        <f aca="false">IF(I590&lt;=$E$4,"A",IF(I590&lt;=$E$5,"B","C"))</f>
        <v>B</v>
      </c>
    </row>
    <row r="591" customFormat="false" ht="15" hidden="false" customHeight="false" outlineLevel="0" collapsed="false">
      <c r="A591" s="32" t="n">
        <v>584</v>
      </c>
      <c r="B591" s="33" t="n">
        <v>23329</v>
      </c>
      <c r="C591" s="34" t="s">
        <v>1248</v>
      </c>
      <c r="D591" s="34" t="s">
        <v>1249</v>
      </c>
      <c r="E591" s="34" t="s">
        <v>54</v>
      </c>
      <c r="F591" s="32" t="n">
        <f aca="false">COUNTIF(Base!$D$2:$D$2878,B591)</f>
        <v>1</v>
      </c>
      <c r="G591" s="35" t="n">
        <f aca="false">SUMIF(Base!$D$2:$D$2878,B591,Base!$I$2:$I$2878)</f>
        <v>2837.64</v>
      </c>
      <c r="H591" s="36" t="n">
        <f aca="false">IF($G$2849=0,0,G591/$G$2849)</f>
        <v>0.000186212254308805</v>
      </c>
      <c r="I591" s="37" t="n">
        <f aca="false">I590+H591</f>
        <v>0.911163111440112</v>
      </c>
      <c r="J591" s="37" t="n">
        <f aca="false">A591/2840</f>
        <v>0.205633802816901</v>
      </c>
      <c r="K591" s="32" t="str">
        <f aca="false">IF(I591&lt;=$E$4,"A",IF(I591&lt;=$E$5,"B","C"))</f>
        <v>B</v>
      </c>
    </row>
    <row r="592" customFormat="false" ht="15" hidden="false" customHeight="false" outlineLevel="0" collapsed="false">
      <c r="A592" s="32" t="n">
        <v>585</v>
      </c>
      <c r="B592" s="33" t="n">
        <v>1604395</v>
      </c>
      <c r="C592" s="34" t="s">
        <v>1250</v>
      </c>
      <c r="D592" s="34" t="s">
        <v>1251</v>
      </c>
      <c r="E592" s="34" t="s">
        <v>38</v>
      </c>
      <c r="F592" s="32" t="n">
        <f aca="false">COUNTIF(Base!$D$2:$D$2878,B592)</f>
        <v>1</v>
      </c>
      <c r="G592" s="35" t="n">
        <f aca="false">SUMIF(Base!$D$2:$D$2878,B592,Base!$I$2:$I$2878)</f>
        <v>2831.77</v>
      </c>
      <c r="H592" s="36" t="n">
        <f aca="false">IF($G$2849=0,0,G592/$G$2849)</f>
        <v>0.000185827051840277</v>
      </c>
      <c r="I592" s="37" t="n">
        <f aca="false">I591+H592</f>
        <v>0.911348938491952</v>
      </c>
      <c r="J592" s="37" t="n">
        <f aca="false">A592/2840</f>
        <v>0.205985915492958</v>
      </c>
      <c r="K592" s="32" t="str">
        <f aca="false">IF(I592&lt;=$E$4,"A",IF(I592&lt;=$E$5,"B","C"))</f>
        <v>B</v>
      </c>
    </row>
    <row r="593" customFormat="false" ht="15" hidden="false" customHeight="false" outlineLevel="0" collapsed="false">
      <c r="A593" s="32" t="n">
        <v>586</v>
      </c>
      <c r="B593" s="33" t="n">
        <v>1066069</v>
      </c>
      <c r="C593" s="34" t="s">
        <v>1252</v>
      </c>
      <c r="D593" s="34" t="s">
        <v>1253</v>
      </c>
      <c r="E593" s="34" t="s">
        <v>35</v>
      </c>
      <c r="F593" s="32" t="n">
        <f aca="false">COUNTIF(Base!$D$2:$D$2878,B593)</f>
        <v>1</v>
      </c>
      <c r="G593" s="35" t="n">
        <f aca="false">SUMIF(Base!$D$2:$D$2878,B593,Base!$I$2:$I$2878)</f>
        <v>2828.92</v>
      </c>
      <c r="H593" s="36" t="n">
        <f aca="false">IF($G$2849=0,0,G593/$G$2849)</f>
        <v>0.000185640028495251</v>
      </c>
      <c r="I593" s="37" t="n">
        <f aca="false">I592+H593</f>
        <v>0.911534578520448</v>
      </c>
      <c r="J593" s="37" t="n">
        <f aca="false">A593/2840</f>
        <v>0.206338028169014</v>
      </c>
      <c r="K593" s="32" t="str">
        <f aca="false">IF(I593&lt;=$E$4,"A",IF(I593&lt;=$E$5,"B","C"))</f>
        <v>B</v>
      </c>
    </row>
    <row r="594" customFormat="false" ht="15" hidden="false" customHeight="false" outlineLevel="0" collapsed="false">
      <c r="A594" s="32" t="n">
        <v>587</v>
      </c>
      <c r="B594" s="33" t="n">
        <v>137403</v>
      </c>
      <c r="C594" s="34" t="s">
        <v>1254</v>
      </c>
      <c r="D594" s="34" t="s">
        <v>1255</v>
      </c>
      <c r="E594" s="34" t="s">
        <v>247</v>
      </c>
      <c r="F594" s="32" t="n">
        <f aca="false">COUNTIF(Base!$D$2:$D$2878,B594)</f>
        <v>1</v>
      </c>
      <c r="G594" s="35" t="n">
        <f aca="false">SUMIF(Base!$D$2:$D$2878,B594,Base!$I$2:$I$2878)</f>
        <v>2813.8801</v>
      </c>
      <c r="H594" s="36" t="n">
        <f aca="false">IF($G$2849=0,0,G594/$G$2849)</f>
        <v>0.000184653076773546</v>
      </c>
      <c r="I594" s="37" t="n">
        <f aca="false">I593+H594</f>
        <v>0.911719231597221</v>
      </c>
      <c r="J594" s="37" t="n">
        <f aca="false">A594/2840</f>
        <v>0.20669014084507</v>
      </c>
      <c r="K594" s="32" t="str">
        <f aca="false">IF(I594&lt;=$E$4,"A",IF(I594&lt;=$E$5,"B","C"))</f>
        <v>B</v>
      </c>
    </row>
    <row r="595" customFormat="false" ht="15" hidden="false" customHeight="false" outlineLevel="0" collapsed="false">
      <c r="A595" s="32" t="n">
        <v>588</v>
      </c>
      <c r="B595" s="33" t="n">
        <v>287821</v>
      </c>
      <c r="C595" s="34" t="s">
        <v>1256</v>
      </c>
      <c r="D595" s="34" t="s">
        <v>1257</v>
      </c>
      <c r="E595" s="34" t="s">
        <v>54</v>
      </c>
      <c r="F595" s="32" t="n">
        <f aca="false">COUNTIF(Base!$D$2:$D$2878,B595)</f>
        <v>1</v>
      </c>
      <c r="G595" s="35" t="n">
        <f aca="false">SUMIF(Base!$D$2:$D$2878,B595,Base!$I$2:$I$2878)</f>
        <v>2800</v>
      </c>
      <c r="H595" s="36" t="n">
        <f aca="false">IF($G$2849=0,0,G595/$G$2849)</f>
        <v>0.000183742233709933</v>
      </c>
      <c r="I595" s="37" t="n">
        <f aca="false">I594+H595</f>
        <v>0.911902973830931</v>
      </c>
      <c r="J595" s="37" t="n">
        <f aca="false">A595/2840</f>
        <v>0.207042253521127</v>
      </c>
      <c r="K595" s="32" t="str">
        <f aca="false">IF(I595&lt;=$E$4,"A",IF(I595&lt;=$E$5,"B","C"))</f>
        <v>B</v>
      </c>
    </row>
    <row r="596" customFormat="false" ht="15" hidden="false" customHeight="false" outlineLevel="0" collapsed="false">
      <c r="A596" s="32" t="n">
        <v>589</v>
      </c>
      <c r="B596" s="33" t="n">
        <v>1068919</v>
      </c>
      <c r="C596" s="34" t="s">
        <v>1258</v>
      </c>
      <c r="D596" s="34" t="s">
        <v>1259</v>
      </c>
      <c r="E596" s="34" t="s">
        <v>247</v>
      </c>
      <c r="F596" s="32" t="n">
        <f aca="false">COUNTIF(Base!$D$2:$D$2878,B596)</f>
        <v>1</v>
      </c>
      <c r="G596" s="35" t="n">
        <f aca="false">SUMIF(Base!$D$2:$D$2878,B596,Base!$I$2:$I$2878)</f>
        <v>2800</v>
      </c>
      <c r="H596" s="36" t="n">
        <f aca="false">IF($G$2849=0,0,G596/$G$2849)</f>
        <v>0.000183742233709933</v>
      </c>
      <c r="I596" s="37" t="n">
        <f aca="false">I595+H596</f>
        <v>0.912086716064641</v>
      </c>
      <c r="J596" s="37" t="n">
        <f aca="false">A596/2840</f>
        <v>0.207394366197183</v>
      </c>
      <c r="K596" s="32" t="str">
        <f aca="false">IF(I596&lt;=$E$4,"A",IF(I596&lt;=$E$5,"B","C"))</f>
        <v>B</v>
      </c>
    </row>
    <row r="597" customFormat="false" ht="15" hidden="false" customHeight="false" outlineLevel="0" collapsed="false">
      <c r="A597" s="32" t="n">
        <v>590</v>
      </c>
      <c r="B597" s="33" t="n">
        <v>1679658</v>
      </c>
      <c r="C597" s="34" t="s">
        <v>1260</v>
      </c>
      <c r="D597" s="34" t="s">
        <v>1261</v>
      </c>
      <c r="E597" s="34" t="s">
        <v>480</v>
      </c>
      <c r="F597" s="32" t="n">
        <f aca="false">COUNTIF(Base!$D$2:$D$2878,B597)</f>
        <v>1</v>
      </c>
      <c r="G597" s="35" t="n">
        <f aca="false">SUMIF(Base!$D$2:$D$2878,B597,Base!$I$2:$I$2878)</f>
        <v>2800</v>
      </c>
      <c r="H597" s="36" t="n">
        <f aca="false">IF($G$2849=0,0,G597/$G$2849)</f>
        <v>0.000183742233709933</v>
      </c>
      <c r="I597" s="37" t="n">
        <f aca="false">I596+H597</f>
        <v>0.912270458298351</v>
      </c>
      <c r="J597" s="37" t="n">
        <f aca="false">A597/2840</f>
        <v>0.207746478873239</v>
      </c>
      <c r="K597" s="32" t="str">
        <f aca="false">IF(I597&lt;=$E$4,"A",IF(I597&lt;=$E$5,"B","C"))</f>
        <v>B</v>
      </c>
    </row>
    <row r="598" customFormat="false" ht="15" hidden="false" customHeight="false" outlineLevel="0" collapsed="false">
      <c r="A598" s="32" t="n">
        <v>591</v>
      </c>
      <c r="B598" s="33" t="n">
        <v>1385183</v>
      </c>
      <c r="C598" s="34" t="s">
        <v>1262</v>
      </c>
      <c r="D598" s="34" t="s">
        <v>1263</v>
      </c>
      <c r="E598" s="34" t="s">
        <v>38</v>
      </c>
      <c r="F598" s="32" t="n">
        <f aca="false">COUNTIF(Base!$D$2:$D$2878,B598)</f>
        <v>1</v>
      </c>
      <c r="G598" s="35" t="n">
        <f aca="false">SUMIF(Base!$D$2:$D$2878,B598,Base!$I$2:$I$2878)</f>
        <v>2772.16</v>
      </c>
      <c r="H598" s="36" t="n">
        <f aca="false">IF($G$2849=0,0,G598/$G$2849)</f>
        <v>0.000181915310929046</v>
      </c>
      <c r="I598" s="37" t="n">
        <f aca="false">I597+H598</f>
        <v>0.91245237360928</v>
      </c>
      <c r="J598" s="37" t="n">
        <f aca="false">A598/2840</f>
        <v>0.208098591549296</v>
      </c>
      <c r="K598" s="32" t="str">
        <f aca="false">IF(I598&lt;=$E$4,"A",IF(I598&lt;=$E$5,"B","C"))</f>
        <v>B</v>
      </c>
    </row>
    <row r="599" customFormat="false" ht="15" hidden="false" customHeight="false" outlineLevel="0" collapsed="false">
      <c r="A599" s="32" t="n">
        <v>592</v>
      </c>
      <c r="B599" s="33" t="n">
        <v>32259</v>
      </c>
      <c r="C599" s="34" t="s">
        <v>1264</v>
      </c>
      <c r="D599" s="34" t="s">
        <v>1265</v>
      </c>
      <c r="E599" s="34" t="s">
        <v>75</v>
      </c>
      <c r="F599" s="32" t="n">
        <f aca="false">COUNTIF(Base!$D$2:$D$2878,B599)</f>
        <v>1</v>
      </c>
      <c r="G599" s="35" t="n">
        <f aca="false">SUMIF(Base!$D$2:$D$2878,B599,Base!$I$2:$I$2878)</f>
        <v>2764.96</v>
      </c>
      <c r="H599" s="36" t="n">
        <f aca="false">IF($G$2849=0,0,G599/$G$2849)</f>
        <v>0.000181442830899506</v>
      </c>
      <c r="I599" s="37" t="n">
        <f aca="false">I598+H599</f>
        <v>0.91263381644018</v>
      </c>
      <c r="J599" s="37" t="n">
        <f aca="false">A599/2840</f>
        <v>0.208450704225352</v>
      </c>
      <c r="K599" s="32" t="str">
        <f aca="false">IF(I599&lt;=$E$4,"A",IF(I599&lt;=$E$5,"B","C"))</f>
        <v>B</v>
      </c>
    </row>
    <row r="600" customFormat="false" ht="15" hidden="false" customHeight="false" outlineLevel="0" collapsed="false">
      <c r="A600" s="32" t="n">
        <v>593</v>
      </c>
      <c r="B600" s="33" t="n">
        <v>1475808</v>
      </c>
      <c r="C600" s="34" t="s">
        <v>1266</v>
      </c>
      <c r="D600" s="34" t="s">
        <v>1267</v>
      </c>
      <c r="E600" s="34" t="s">
        <v>334</v>
      </c>
      <c r="F600" s="32" t="n">
        <f aca="false">COUNTIF(Base!$D$2:$D$2878,B600)</f>
        <v>1</v>
      </c>
      <c r="G600" s="35" t="n">
        <f aca="false">SUMIF(Base!$D$2:$D$2878,B600,Base!$I$2:$I$2878)</f>
        <v>2760</v>
      </c>
      <c r="H600" s="36" t="n">
        <f aca="false">IF($G$2849=0,0,G600/$G$2849)</f>
        <v>0.000181117344656934</v>
      </c>
      <c r="I600" s="37" t="n">
        <f aca="false">I599+H600</f>
        <v>0.912814933784837</v>
      </c>
      <c r="J600" s="37" t="n">
        <f aca="false">A600/2840</f>
        <v>0.208802816901408</v>
      </c>
      <c r="K600" s="32" t="str">
        <f aca="false">IF(I600&lt;=$E$4,"A",IF(I600&lt;=$E$5,"B","C"))</f>
        <v>B</v>
      </c>
    </row>
    <row r="601" customFormat="false" ht="15" hidden="false" customHeight="false" outlineLevel="0" collapsed="false">
      <c r="A601" s="32" t="n">
        <v>594</v>
      </c>
      <c r="B601" s="33" t="n">
        <v>18980</v>
      </c>
      <c r="C601" s="34" t="s">
        <v>1268</v>
      </c>
      <c r="D601" s="34" t="s">
        <v>1269</v>
      </c>
      <c r="E601" s="34" t="s">
        <v>360</v>
      </c>
      <c r="F601" s="32" t="n">
        <f aca="false">COUNTIF(Base!$D$2:$D$2878,B601)</f>
        <v>1</v>
      </c>
      <c r="G601" s="35" t="n">
        <f aca="false">SUMIF(Base!$D$2:$D$2878,B601,Base!$I$2:$I$2878)</f>
        <v>2750</v>
      </c>
      <c r="H601" s="36" t="n">
        <f aca="false">IF($G$2849=0,0,G601/$G$2849)</f>
        <v>0.000180461122393684</v>
      </c>
      <c r="I601" s="37" t="n">
        <f aca="false">I600+H601</f>
        <v>0.91299539490723</v>
      </c>
      <c r="J601" s="37" t="n">
        <f aca="false">A601/2840</f>
        <v>0.209154929577465</v>
      </c>
      <c r="K601" s="32" t="str">
        <f aca="false">IF(I601&lt;=$E$4,"A",IF(I601&lt;=$E$5,"B","C"))</f>
        <v>B</v>
      </c>
    </row>
    <row r="602" customFormat="false" ht="15" hidden="false" customHeight="false" outlineLevel="0" collapsed="false">
      <c r="A602" s="32" t="n">
        <v>595</v>
      </c>
      <c r="B602" s="33" t="n">
        <v>228009</v>
      </c>
      <c r="C602" s="34" t="s">
        <v>1270</v>
      </c>
      <c r="D602" s="34" t="s">
        <v>1271</v>
      </c>
      <c r="E602" s="34" t="s">
        <v>360</v>
      </c>
      <c r="F602" s="32" t="n">
        <f aca="false">COUNTIF(Base!$D$2:$D$2878,B602)</f>
        <v>1</v>
      </c>
      <c r="G602" s="35" t="n">
        <f aca="false">SUMIF(Base!$D$2:$D$2878,B602,Base!$I$2:$I$2878)</f>
        <v>2750</v>
      </c>
      <c r="H602" s="36" t="n">
        <f aca="false">IF($G$2849=0,0,G602/$G$2849)</f>
        <v>0.000180461122393684</v>
      </c>
      <c r="I602" s="37" t="n">
        <f aca="false">I601+H602</f>
        <v>0.913175856029624</v>
      </c>
      <c r="J602" s="37" t="n">
        <f aca="false">A602/2840</f>
        <v>0.209507042253521</v>
      </c>
      <c r="K602" s="32" t="str">
        <f aca="false">IF(I602&lt;=$E$4,"A",IF(I602&lt;=$E$5,"B","C"))</f>
        <v>B</v>
      </c>
    </row>
    <row r="603" customFormat="false" ht="15" hidden="false" customHeight="false" outlineLevel="0" collapsed="false">
      <c r="A603" s="32" t="n">
        <v>596</v>
      </c>
      <c r="B603" s="33" t="n">
        <v>873968</v>
      </c>
      <c r="C603" s="34" t="s">
        <v>1272</v>
      </c>
      <c r="D603" s="34" t="s">
        <v>1273</v>
      </c>
      <c r="E603" s="34" t="s">
        <v>113</v>
      </c>
      <c r="F603" s="32" t="n">
        <f aca="false">COUNTIF(Base!$D$2:$D$2878,B603)</f>
        <v>1</v>
      </c>
      <c r="G603" s="35" t="n">
        <f aca="false">SUMIF(Base!$D$2:$D$2878,B603,Base!$I$2:$I$2878)</f>
        <v>2748.6</v>
      </c>
      <c r="H603" s="36" t="n">
        <f aca="false">IF($G$2849=0,0,G603/$G$2849)</f>
        <v>0.000180369251276829</v>
      </c>
      <c r="I603" s="37" t="n">
        <f aca="false">I602+H603</f>
        <v>0.913356225280901</v>
      </c>
      <c r="J603" s="37" t="n">
        <f aca="false">A603/2840</f>
        <v>0.209859154929577</v>
      </c>
      <c r="K603" s="32" t="str">
        <f aca="false">IF(I603&lt;=$E$4,"A",IF(I603&lt;=$E$5,"B","C"))</f>
        <v>B</v>
      </c>
    </row>
    <row r="604" customFormat="false" ht="15" hidden="false" customHeight="false" outlineLevel="0" collapsed="false">
      <c r="A604" s="32" t="n">
        <v>597</v>
      </c>
      <c r="B604" s="33" t="n">
        <v>33377</v>
      </c>
      <c r="C604" s="34" t="s">
        <v>1274</v>
      </c>
      <c r="D604" s="34" t="s">
        <v>1275</v>
      </c>
      <c r="E604" s="34" t="s">
        <v>705</v>
      </c>
      <c r="F604" s="32" t="n">
        <f aca="false">COUNTIF(Base!$D$2:$D$2878,B604)</f>
        <v>1</v>
      </c>
      <c r="G604" s="35" t="n">
        <f aca="false">SUMIF(Base!$D$2:$D$2878,B604,Base!$I$2:$I$2878)</f>
        <v>2740</v>
      </c>
      <c r="H604" s="36" t="n">
        <f aca="false">IF($G$2849=0,0,G604/$G$2849)</f>
        <v>0.000179804900130434</v>
      </c>
      <c r="I604" s="37" t="n">
        <f aca="false">I603+H604</f>
        <v>0.913536030181031</v>
      </c>
      <c r="J604" s="37" t="n">
        <f aca="false">A604/2840</f>
        <v>0.210211267605634</v>
      </c>
      <c r="K604" s="32" t="str">
        <f aca="false">IF(I604&lt;=$E$4,"A",IF(I604&lt;=$E$5,"B","C"))</f>
        <v>B</v>
      </c>
    </row>
    <row r="605" customFormat="false" ht="15" hidden="false" customHeight="false" outlineLevel="0" collapsed="false">
      <c r="A605" s="32" t="n">
        <v>598</v>
      </c>
      <c r="B605" s="33" t="n">
        <v>18822</v>
      </c>
      <c r="C605" s="34" t="s">
        <v>1276</v>
      </c>
      <c r="D605" s="34" t="s">
        <v>1277</v>
      </c>
      <c r="E605" s="34" t="s">
        <v>247</v>
      </c>
      <c r="F605" s="32" t="n">
        <f aca="false">COUNTIF(Base!$D$2:$D$2878,B605)</f>
        <v>1</v>
      </c>
      <c r="G605" s="35" t="n">
        <f aca="false">SUMIF(Base!$D$2:$D$2878,B605,Base!$I$2:$I$2878)</f>
        <v>2729.4</v>
      </c>
      <c r="H605" s="36" t="n">
        <f aca="false">IF($G$2849=0,0,G605/$G$2849)</f>
        <v>0.00017910930453139</v>
      </c>
      <c r="I605" s="37" t="n">
        <f aca="false">I604+H605</f>
        <v>0.913715139485563</v>
      </c>
      <c r="J605" s="37" t="n">
        <f aca="false">A605/2840</f>
        <v>0.21056338028169</v>
      </c>
      <c r="K605" s="32" t="str">
        <f aca="false">IF(I605&lt;=$E$4,"A",IF(I605&lt;=$E$5,"B","C"))</f>
        <v>B</v>
      </c>
    </row>
    <row r="606" customFormat="false" ht="15" hidden="false" customHeight="false" outlineLevel="0" collapsed="false">
      <c r="A606" s="32" t="n">
        <v>599</v>
      </c>
      <c r="B606" s="33" t="n">
        <v>1386600</v>
      </c>
      <c r="C606" s="34" t="s">
        <v>1278</v>
      </c>
      <c r="D606" s="34" t="s">
        <v>1279</v>
      </c>
      <c r="E606" s="34" t="s">
        <v>38</v>
      </c>
      <c r="F606" s="32" t="n">
        <f aca="false">COUNTIF(Base!$D$2:$D$2878,B606)</f>
        <v>1</v>
      </c>
      <c r="G606" s="35" t="n">
        <f aca="false">SUMIF(Base!$D$2:$D$2878,B606,Base!$I$2:$I$2878)</f>
        <v>2727.67</v>
      </c>
      <c r="H606" s="36" t="n">
        <f aca="false">IF($G$2849=0,0,G606/$G$2849)</f>
        <v>0.000178995778079847</v>
      </c>
      <c r="I606" s="37" t="n">
        <f aca="false">I605+H606</f>
        <v>0.913894135263643</v>
      </c>
      <c r="J606" s="37" t="n">
        <f aca="false">A606/2840</f>
        <v>0.210915492957746</v>
      </c>
      <c r="K606" s="32" t="str">
        <f aca="false">IF(I606&lt;=$E$4,"A",IF(I606&lt;=$E$5,"B","C"))</f>
        <v>B</v>
      </c>
    </row>
    <row r="607" customFormat="false" ht="15" hidden="false" customHeight="false" outlineLevel="0" collapsed="false">
      <c r="A607" s="32" t="n">
        <v>600</v>
      </c>
      <c r="B607" s="33" t="n">
        <v>53715</v>
      </c>
      <c r="C607" s="34" t="s">
        <v>1280</v>
      </c>
      <c r="D607" s="34" t="s">
        <v>1281</v>
      </c>
      <c r="E607" s="34" t="s">
        <v>705</v>
      </c>
      <c r="F607" s="32" t="n">
        <f aca="false">COUNTIF(Base!$D$2:$D$2878,B607)</f>
        <v>1</v>
      </c>
      <c r="G607" s="35" t="n">
        <f aca="false">SUMIF(Base!$D$2:$D$2878,B607,Base!$I$2:$I$2878)</f>
        <v>2720</v>
      </c>
      <c r="H607" s="36" t="n">
        <f aca="false">IF($G$2849=0,0,G607/$G$2849)</f>
        <v>0.000178492455603935</v>
      </c>
      <c r="I607" s="37" t="n">
        <f aca="false">I606+H607</f>
        <v>0.914072627719247</v>
      </c>
      <c r="J607" s="37" t="n">
        <f aca="false">A607/2840</f>
        <v>0.211267605633803</v>
      </c>
      <c r="K607" s="32" t="str">
        <f aca="false">IF(I607&lt;=$E$4,"A",IF(I607&lt;=$E$5,"B","C"))</f>
        <v>B</v>
      </c>
    </row>
    <row r="608" customFormat="false" ht="15" hidden="false" customHeight="false" outlineLevel="0" collapsed="false">
      <c r="A608" s="32" t="n">
        <v>601</v>
      </c>
      <c r="B608" s="33" t="n">
        <v>66418</v>
      </c>
      <c r="C608" s="34" t="s">
        <v>1282</v>
      </c>
      <c r="D608" s="34" t="s">
        <v>1283</v>
      </c>
      <c r="E608" s="34" t="s">
        <v>54</v>
      </c>
      <c r="F608" s="32" t="n">
        <f aca="false">COUNTIF(Base!$D$2:$D$2878,B608)</f>
        <v>1</v>
      </c>
      <c r="G608" s="35" t="n">
        <f aca="false">SUMIF(Base!$D$2:$D$2878,B608,Base!$I$2:$I$2878)</f>
        <v>2715.95</v>
      </c>
      <c r="H608" s="36" t="n">
        <f aca="false">IF($G$2849=0,0,G608/$G$2849)</f>
        <v>0.000178226685587319</v>
      </c>
      <c r="I608" s="37" t="n">
        <f aca="false">I607+H608</f>
        <v>0.914250854404834</v>
      </c>
      <c r="J608" s="37" t="n">
        <f aca="false">A608/2840</f>
        <v>0.211619718309859</v>
      </c>
      <c r="K608" s="32" t="str">
        <f aca="false">IF(I608&lt;=$E$4,"A",IF(I608&lt;=$E$5,"B","C"))</f>
        <v>B</v>
      </c>
    </row>
    <row r="609" customFormat="false" ht="15" hidden="false" customHeight="false" outlineLevel="0" collapsed="false">
      <c r="A609" s="32" t="n">
        <v>602</v>
      </c>
      <c r="B609" s="33" t="n">
        <v>1387874</v>
      </c>
      <c r="C609" s="34" t="s">
        <v>1284</v>
      </c>
      <c r="D609" s="34" t="s">
        <v>1285</v>
      </c>
      <c r="E609" s="34" t="s">
        <v>133</v>
      </c>
      <c r="F609" s="32" t="n">
        <f aca="false">COUNTIF(Base!$D$2:$D$2878,B609)</f>
        <v>1</v>
      </c>
      <c r="G609" s="35" t="n">
        <f aca="false">SUMIF(Base!$D$2:$D$2878,B609,Base!$I$2:$I$2878)</f>
        <v>2695.18</v>
      </c>
      <c r="H609" s="36" t="n">
        <f aca="false">IF($G$2849=0,0,G609/$G$2849)</f>
        <v>0.000176863711946549</v>
      </c>
      <c r="I609" s="37" t="n">
        <f aca="false">I608+H609</f>
        <v>0.914427718116781</v>
      </c>
      <c r="J609" s="37" t="n">
        <f aca="false">A609/2840</f>
        <v>0.211971830985916</v>
      </c>
      <c r="K609" s="32" t="str">
        <f aca="false">IF(I609&lt;=$E$4,"A",IF(I609&lt;=$E$5,"B","C"))</f>
        <v>B</v>
      </c>
    </row>
    <row r="610" customFormat="false" ht="15" hidden="false" customHeight="false" outlineLevel="0" collapsed="false">
      <c r="A610" s="32" t="n">
        <v>603</v>
      </c>
      <c r="B610" s="33" t="n">
        <v>33049</v>
      </c>
      <c r="C610" s="34" t="s">
        <v>1286</v>
      </c>
      <c r="D610" s="34" t="s">
        <v>1287</v>
      </c>
      <c r="E610" s="34" t="s">
        <v>247</v>
      </c>
      <c r="F610" s="32" t="n">
        <f aca="false">COUNTIF(Base!$D$2:$D$2878,B610)</f>
        <v>1</v>
      </c>
      <c r="G610" s="35" t="n">
        <f aca="false">SUMIF(Base!$D$2:$D$2878,B610,Base!$I$2:$I$2878)</f>
        <v>2690</v>
      </c>
      <c r="H610" s="36" t="n">
        <f aca="false">IF($G$2849=0,0,G610/$G$2849)</f>
        <v>0.000176523788814185</v>
      </c>
      <c r="I610" s="37" t="n">
        <f aca="false">I609+H610</f>
        <v>0.914604241905595</v>
      </c>
      <c r="J610" s="37" t="n">
        <f aca="false">A610/2840</f>
        <v>0.212323943661972</v>
      </c>
      <c r="K610" s="32" t="str">
        <f aca="false">IF(I610&lt;=$E$4,"A",IF(I610&lt;=$E$5,"B","C"))</f>
        <v>B</v>
      </c>
    </row>
    <row r="611" customFormat="false" ht="15" hidden="false" customHeight="false" outlineLevel="0" collapsed="false">
      <c r="A611" s="32" t="n">
        <v>604</v>
      </c>
      <c r="B611" s="33" t="n">
        <v>880089</v>
      </c>
      <c r="C611" s="34" t="s">
        <v>1288</v>
      </c>
      <c r="D611" s="34" t="s">
        <v>1289</v>
      </c>
      <c r="E611" s="34" t="s">
        <v>38</v>
      </c>
      <c r="F611" s="32" t="n">
        <f aca="false">COUNTIF(Base!$D$2:$D$2878,B611)</f>
        <v>1</v>
      </c>
      <c r="G611" s="35" t="n">
        <f aca="false">SUMIF(Base!$D$2:$D$2878,B611,Base!$I$2:$I$2878)</f>
        <v>2687.73</v>
      </c>
      <c r="H611" s="36" t="n">
        <f aca="false">IF($G$2849=0,0,G611/$G$2849)</f>
        <v>0.000176374826360428</v>
      </c>
      <c r="I611" s="37" t="n">
        <f aca="false">I610+H611</f>
        <v>0.914780616731955</v>
      </c>
      <c r="J611" s="37" t="n">
        <f aca="false">A611/2840</f>
        <v>0.212676056338028</v>
      </c>
      <c r="K611" s="32" t="str">
        <f aca="false">IF(I611&lt;=$E$4,"A",IF(I611&lt;=$E$5,"B","C"))</f>
        <v>B</v>
      </c>
    </row>
    <row r="612" customFormat="false" ht="15" hidden="false" customHeight="false" outlineLevel="0" collapsed="false">
      <c r="A612" s="32" t="n">
        <v>605</v>
      </c>
      <c r="B612" s="33" t="n">
        <v>1066068</v>
      </c>
      <c r="C612" s="34" t="s">
        <v>1290</v>
      </c>
      <c r="D612" s="34" t="s">
        <v>1291</v>
      </c>
      <c r="E612" s="34" t="s">
        <v>35</v>
      </c>
      <c r="F612" s="32" t="n">
        <f aca="false">COUNTIF(Base!$D$2:$D$2878,B612)</f>
        <v>1</v>
      </c>
      <c r="G612" s="35" t="n">
        <f aca="false">SUMIF(Base!$D$2:$D$2878,B612,Base!$I$2:$I$2878)</f>
        <v>2680.56</v>
      </c>
      <c r="H612" s="36" t="n">
        <f aca="false">IF($G$2849=0,0,G612/$G$2849)</f>
        <v>0.000175904314997678</v>
      </c>
      <c r="I612" s="37" t="n">
        <f aca="false">I611+H612</f>
        <v>0.914956521046953</v>
      </c>
      <c r="J612" s="37" t="n">
        <f aca="false">A612/2840</f>
        <v>0.213028169014085</v>
      </c>
      <c r="K612" s="32" t="str">
        <f aca="false">IF(I612&lt;=$E$4,"A",IF(I612&lt;=$E$5,"B","C"))</f>
        <v>B</v>
      </c>
    </row>
    <row r="613" customFormat="false" ht="15" hidden="false" customHeight="false" outlineLevel="0" collapsed="false">
      <c r="A613" s="32" t="n">
        <v>606</v>
      </c>
      <c r="B613" s="33" t="n">
        <v>14309</v>
      </c>
      <c r="C613" s="34" t="s">
        <v>1292</v>
      </c>
      <c r="D613" s="34" t="s">
        <v>1293</v>
      </c>
      <c r="E613" s="34" t="s">
        <v>38</v>
      </c>
      <c r="F613" s="32" t="n">
        <f aca="false">COUNTIF(Base!$D$2:$D$2878,B613)</f>
        <v>1</v>
      </c>
      <c r="G613" s="35" t="n">
        <f aca="false">SUMIF(Base!$D$2:$D$2878,B613,Base!$I$2:$I$2878)</f>
        <v>2660.2</v>
      </c>
      <c r="H613" s="36" t="n">
        <f aca="false">IF($G$2849=0,0,G613/$G$2849)</f>
        <v>0.000174568246469701</v>
      </c>
      <c r="I613" s="37" t="n">
        <f aca="false">I612+H613</f>
        <v>0.915131089293423</v>
      </c>
      <c r="J613" s="37" t="n">
        <f aca="false">A613/2840</f>
        <v>0.213380281690141</v>
      </c>
      <c r="K613" s="32" t="str">
        <f aca="false">IF(I613&lt;=$E$4,"A",IF(I613&lt;=$E$5,"B","C"))</f>
        <v>B</v>
      </c>
    </row>
    <row r="614" customFormat="false" ht="15" hidden="false" customHeight="false" outlineLevel="0" collapsed="false">
      <c r="A614" s="32" t="n">
        <v>607</v>
      </c>
      <c r="B614" s="33" t="n">
        <v>276463</v>
      </c>
      <c r="C614" s="34" t="s">
        <v>1294</v>
      </c>
      <c r="D614" s="34" t="s">
        <v>1295</v>
      </c>
      <c r="E614" s="34" t="s">
        <v>75</v>
      </c>
      <c r="F614" s="32" t="n">
        <f aca="false">COUNTIF(Base!$D$2:$D$2878,B614)</f>
        <v>1</v>
      </c>
      <c r="G614" s="35" t="n">
        <f aca="false">SUMIF(Base!$D$2:$D$2878,B614,Base!$I$2:$I$2878)</f>
        <v>2657.78</v>
      </c>
      <c r="H614" s="36" t="n">
        <f aca="false">IF($G$2849=0,0,G614/$G$2849)</f>
        <v>0.000174409440681995</v>
      </c>
      <c r="I614" s="37" t="n">
        <f aca="false">I613+H614</f>
        <v>0.915305498734105</v>
      </c>
      <c r="J614" s="37" t="n">
        <f aca="false">A614/2840</f>
        <v>0.213732394366197</v>
      </c>
      <c r="K614" s="32" t="str">
        <f aca="false">IF(I614&lt;=$E$4,"A",IF(I614&lt;=$E$5,"B","C"))</f>
        <v>B</v>
      </c>
    </row>
    <row r="615" customFormat="false" ht="15" hidden="false" customHeight="false" outlineLevel="0" collapsed="false">
      <c r="A615" s="32" t="n">
        <v>608</v>
      </c>
      <c r="B615" s="33" t="n">
        <v>289184</v>
      </c>
      <c r="C615" s="34" t="s">
        <v>1296</v>
      </c>
      <c r="D615" s="34" t="s">
        <v>1297</v>
      </c>
      <c r="E615" s="34" t="s">
        <v>247</v>
      </c>
      <c r="F615" s="32" t="n">
        <f aca="false">COUNTIF(Base!$D$2:$D$2878,B615)</f>
        <v>1</v>
      </c>
      <c r="G615" s="35" t="n">
        <f aca="false">SUMIF(Base!$D$2:$D$2878,B615,Base!$I$2:$I$2878)</f>
        <v>2649.04</v>
      </c>
      <c r="H615" s="36" t="n">
        <f aca="false">IF($G$2849=0,0,G615/$G$2849)</f>
        <v>0.000173835902423914</v>
      </c>
      <c r="I615" s="37" t="n">
        <f aca="false">I614+H615</f>
        <v>0.915479334636528</v>
      </c>
      <c r="J615" s="37" t="n">
        <f aca="false">A615/2840</f>
        <v>0.214084507042254</v>
      </c>
      <c r="K615" s="32" t="str">
        <f aca="false">IF(I615&lt;=$E$4,"A",IF(I615&lt;=$E$5,"B","C"))</f>
        <v>B</v>
      </c>
    </row>
    <row r="616" customFormat="false" ht="15" hidden="false" customHeight="false" outlineLevel="0" collapsed="false">
      <c r="A616" s="32" t="n">
        <v>609</v>
      </c>
      <c r="B616" s="33" t="n">
        <v>879981</v>
      </c>
      <c r="C616" s="34" t="s">
        <v>1298</v>
      </c>
      <c r="D616" s="34" t="s">
        <v>1299</v>
      </c>
      <c r="E616" s="34" t="s">
        <v>47</v>
      </c>
      <c r="F616" s="32" t="n">
        <f aca="false">COUNTIF(Base!$D$2:$D$2878,B616)</f>
        <v>1</v>
      </c>
      <c r="G616" s="35" t="n">
        <f aca="false">SUMIF(Base!$D$2:$D$2878,B616,Base!$I$2:$I$2878)</f>
        <v>2644.15</v>
      </c>
      <c r="H616" s="36" t="n">
        <f aca="false">IF($G$2849=0,0,G616/$G$2849)</f>
        <v>0.000173515009737185</v>
      </c>
      <c r="I616" s="37" t="n">
        <f aca="false">I615+H616</f>
        <v>0.915652849646266</v>
      </c>
      <c r="J616" s="37" t="n">
        <f aca="false">A616/2840</f>
        <v>0.21443661971831</v>
      </c>
      <c r="K616" s="32" t="str">
        <f aca="false">IF(I616&lt;=$E$4,"A",IF(I616&lt;=$E$5,"B","C"))</f>
        <v>B</v>
      </c>
    </row>
    <row r="617" customFormat="false" ht="15" hidden="false" customHeight="false" outlineLevel="0" collapsed="false">
      <c r="A617" s="32" t="n">
        <v>610</v>
      </c>
      <c r="B617" s="33" t="n">
        <v>23864</v>
      </c>
      <c r="C617" s="34" t="s">
        <v>1300</v>
      </c>
      <c r="D617" s="34" t="s">
        <v>1301</v>
      </c>
      <c r="E617" s="34" t="s">
        <v>130</v>
      </c>
      <c r="F617" s="32" t="n">
        <f aca="false">COUNTIF(Base!$D$2:$D$2878,B617)</f>
        <v>1</v>
      </c>
      <c r="G617" s="35" t="n">
        <f aca="false">SUMIF(Base!$D$2:$D$2878,B617,Base!$I$2:$I$2878)</f>
        <v>2639.55</v>
      </c>
      <c r="H617" s="36" t="n">
        <f aca="false">IF($G$2849=0,0,G617/$G$2849)</f>
        <v>0.00017321314749609</v>
      </c>
      <c r="I617" s="37" t="n">
        <f aca="false">I616+H617</f>
        <v>0.915826062793762</v>
      </c>
      <c r="J617" s="37" t="n">
        <f aca="false">A617/2840</f>
        <v>0.214788732394366</v>
      </c>
      <c r="K617" s="32" t="str">
        <f aca="false">IF(I617&lt;=$E$4,"A",IF(I617&lt;=$E$5,"B","C"))</f>
        <v>B</v>
      </c>
    </row>
    <row r="618" customFormat="false" ht="15" hidden="false" customHeight="false" outlineLevel="0" collapsed="false">
      <c r="A618" s="32" t="n">
        <v>611</v>
      </c>
      <c r="B618" s="33" t="n">
        <v>23467</v>
      </c>
      <c r="C618" s="34" t="s">
        <v>1302</v>
      </c>
      <c r="D618" s="34" t="s">
        <v>1303</v>
      </c>
      <c r="E618" s="34" t="s">
        <v>334</v>
      </c>
      <c r="F618" s="32" t="n">
        <f aca="false">COUNTIF(Base!$D$2:$D$2878,B618)</f>
        <v>1</v>
      </c>
      <c r="G618" s="35" t="n">
        <f aca="false">SUMIF(Base!$D$2:$D$2878,B618,Base!$I$2:$I$2878)</f>
        <v>2639.04</v>
      </c>
      <c r="H618" s="36" t="n">
        <f aca="false">IF($G$2849=0,0,G618/$G$2849)</f>
        <v>0.000173179680160665</v>
      </c>
      <c r="I618" s="37" t="n">
        <f aca="false">I617+H618</f>
        <v>0.915999242473922</v>
      </c>
      <c r="J618" s="37" t="n">
        <f aca="false">A618/2840</f>
        <v>0.215140845070423</v>
      </c>
      <c r="K618" s="32" t="str">
        <f aca="false">IF(I618&lt;=$E$4,"A",IF(I618&lt;=$E$5,"B","C"))</f>
        <v>B</v>
      </c>
    </row>
    <row r="619" customFormat="false" ht="15" hidden="false" customHeight="false" outlineLevel="0" collapsed="false">
      <c r="A619" s="32" t="n">
        <v>612</v>
      </c>
      <c r="B619" s="33" t="n">
        <v>275347</v>
      </c>
      <c r="C619" s="34" t="s">
        <v>1304</v>
      </c>
      <c r="D619" s="34" t="s">
        <v>1305</v>
      </c>
      <c r="E619" s="34" t="s">
        <v>133</v>
      </c>
      <c r="F619" s="32" t="n">
        <f aca="false">COUNTIF(Base!$D$2:$D$2878,B619)</f>
        <v>1</v>
      </c>
      <c r="G619" s="35" t="n">
        <f aca="false">SUMIF(Base!$D$2:$D$2878,B619,Base!$I$2:$I$2878)</f>
        <v>2635</v>
      </c>
      <c r="H619" s="36" t="n">
        <f aca="false">IF($G$2849=0,0,G619/$G$2849)</f>
        <v>0.000172914566366312</v>
      </c>
      <c r="I619" s="37" t="n">
        <f aca="false">I618+H619</f>
        <v>0.916172157040289</v>
      </c>
      <c r="J619" s="37" t="n">
        <f aca="false">A619/2840</f>
        <v>0.215492957746479</v>
      </c>
      <c r="K619" s="32" t="str">
        <f aca="false">IF(I619&lt;=$E$4,"A",IF(I619&lt;=$E$5,"B","C"))</f>
        <v>B</v>
      </c>
    </row>
    <row r="620" customFormat="false" ht="15" hidden="false" customHeight="false" outlineLevel="0" collapsed="false">
      <c r="A620" s="32" t="n">
        <v>613</v>
      </c>
      <c r="B620" s="33" t="n">
        <v>22794</v>
      </c>
      <c r="C620" s="34" t="s">
        <v>1306</v>
      </c>
      <c r="D620" s="34" t="s">
        <v>1307</v>
      </c>
      <c r="E620" s="34" t="s">
        <v>54</v>
      </c>
      <c r="F620" s="32" t="n">
        <f aca="false">COUNTIF(Base!$D$2:$D$2878,B620)</f>
        <v>1</v>
      </c>
      <c r="G620" s="35" t="n">
        <f aca="false">SUMIF(Base!$D$2:$D$2878,B620,Base!$I$2:$I$2878)</f>
        <v>2617.8</v>
      </c>
      <c r="H620" s="36" t="n">
        <f aca="false">IF($G$2849=0,0,G620/$G$2849)</f>
        <v>0.000171785864073522</v>
      </c>
      <c r="I620" s="37" t="n">
        <f aca="false">I619+H620</f>
        <v>0.916343942904362</v>
      </c>
      <c r="J620" s="37" t="n">
        <f aca="false">A620/2840</f>
        <v>0.215845070422535</v>
      </c>
      <c r="K620" s="32" t="str">
        <f aca="false">IF(I620&lt;=$E$4,"A",IF(I620&lt;=$E$5,"B","C"))</f>
        <v>B</v>
      </c>
    </row>
    <row r="621" customFormat="false" ht="15" hidden="false" customHeight="false" outlineLevel="0" collapsed="false">
      <c r="A621" s="32" t="n">
        <v>614</v>
      </c>
      <c r="B621" s="33" t="n">
        <v>23283</v>
      </c>
      <c r="C621" s="34" t="s">
        <v>1308</v>
      </c>
      <c r="D621" s="34" t="s">
        <v>1309</v>
      </c>
      <c r="E621" s="34" t="s">
        <v>360</v>
      </c>
      <c r="F621" s="32" t="n">
        <f aca="false">COUNTIF(Base!$D$2:$D$2878,B621)</f>
        <v>1</v>
      </c>
      <c r="G621" s="35" t="n">
        <f aca="false">SUMIF(Base!$D$2:$D$2878,B621,Base!$I$2:$I$2878)</f>
        <v>2610</v>
      </c>
      <c r="H621" s="36" t="n">
        <f aca="false">IF($G$2849=0,0,G621/$G$2849)</f>
        <v>0.000171274010708187</v>
      </c>
      <c r="I621" s="37" t="n">
        <f aca="false">I620+H621</f>
        <v>0.91651521691507</v>
      </c>
      <c r="J621" s="37" t="n">
        <f aca="false">A621/2840</f>
        <v>0.216197183098592</v>
      </c>
      <c r="K621" s="32" t="str">
        <f aca="false">IF(I621&lt;=$E$4,"A",IF(I621&lt;=$E$5,"B","C"))</f>
        <v>B</v>
      </c>
    </row>
    <row r="622" customFormat="false" ht="15" hidden="false" customHeight="false" outlineLevel="0" collapsed="false">
      <c r="A622" s="32" t="n">
        <v>615</v>
      </c>
      <c r="B622" s="33" t="n">
        <v>10377</v>
      </c>
      <c r="C622" s="34" t="s">
        <v>1310</v>
      </c>
      <c r="D622" s="34" t="s">
        <v>1311</v>
      </c>
      <c r="E622" s="34" t="s">
        <v>133</v>
      </c>
      <c r="F622" s="32" t="n">
        <f aca="false">COUNTIF(Base!$D$2:$D$2878,B622)</f>
        <v>1</v>
      </c>
      <c r="G622" s="35" t="n">
        <f aca="false">SUMIF(Base!$D$2:$D$2878,B622,Base!$I$2:$I$2878)</f>
        <v>2608.87</v>
      </c>
      <c r="H622" s="36" t="n">
        <f aca="false">IF($G$2849=0,0,G622/$G$2849)</f>
        <v>0.00017119985759244</v>
      </c>
      <c r="I622" s="37" t="n">
        <f aca="false">I621+H622</f>
        <v>0.916686416772663</v>
      </c>
      <c r="J622" s="37" t="n">
        <f aca="false">A622/2840</f>
        <v>0.216549295774648</v>
      </c>
      <c r="K622" s="32" t="str">
        <f aca="false">IF(I622&lt;=$E$4,"A",IF(I622&lt;=$E$5,"B","C"))</f>
        <v>B</v>
      </c>
    </row>
    <row r="623" customFormat="false" ht="15" hidden="false" customHeight="false" outlineLevel="0" collapsed="false">
      <c r="A623" s="32" t="n">
        <v>616</v>
      </c>
      <c r="B623" s="33" t="n">
        <v>1487425</v>
      </c>
      <c r="C623" s="34" t="s">
        <v>1312</v>
      </c>
      <c r="D623" s="34" t="s">
        <v>1313</v>
      </c>
      <c r="E623" s="34" t="s">
        <v>54</v>
      </c>
      <c r="F623" s="32" t="n">
        <f aca="false">COUNTIF(Base!$D$2:$D$2878,B623)</f>
        <v>1</v>
      </c>
      <c r="G623" s="35" t="n">
        <f aca="false">SUMIF(Base!$D$2:$D$2878,B623,Base!$I$2:$I$2878)</f>
        <v>2608.5</v>
      </c>
      <c r="H623" s="36" t="n">
        <f aca="false">IF($G$2849=0,0,G623/$G$2849)</f>
        <v>0.0001711755773687</v>
      </c>
      <c r="I623" s="37" t="n">
        <f aca="false">I622+H623</f>
        <v>0.916857592350031</v>
      </c>
      <c r="J623" s="37" t="n">
        <f aca="false">A623/2840</f>
        <v>0.216901408450704</v>
      </c>
      <c r="K623" s="32" t="str">
        <f aca="false">IF(I623&lt;=$E$4,"A",IF(I623&lt;=$E$5,"B","C"))</f>
        <v>B</v>
      </c>
    </row>
    <row r="624" customFormat="false" ht="15" hidden="false" customHeight="false" outlineLevel="0" collapsed="false">
      <c r="A624" s="32" t="n">
        <v>617</v>
      </c>
      <c r="B624" s="33" t="n">
        <v>19784</v>
      </c>
      <c r="C624" s="34" t="s">
        <v>1314</v>
      </c>
      <c r="D624" s="34" t="s">
        <v>1315</v>
      </c>
      <c r="E624" s="34" t="s">
        <v>605</v>
      </c>
      <c r="F624" s="32" t="n">
        <f aca="false">COUNTIF(Base!$D$2:$D$2878,B624)</f>
        <v>1</v>
      </c>
      <c r="G624" s="35" t="n">
        <f aca="false">SUMIF(Base!$D$2:$D$2878,B624,Base!$I$2:$I$2878)</f>
        <v>2600</v>
      </c>
      <c r="H624" s="36" t="n">
        <f aca="false">IF($G$2849=0,0,G624/$G$2849)</f>
        <v>0.000170617788444938</v>
      </c>
      <c r="I624" s="37" t="n">
        <f aca="false">I623+H624</f>
        <v>0.917028210138476</v>
      </c>
      <c r="J624" s="37" t="n">
        <f aca="false">A624/2840</f>
        <v>0.217253521126761</v>
      </c>
      <c r="K624" s="32" t="str">
        <f aca="false">IF(I624&lt;=$E$4,"A",IF(I624&lt;=$E$5,"B","C"))</f>
        <v>B</v>
      </c>
    </row>
    <row r="625" customFormat="false" ht="15" hidden="false" customHeight="false" outlineLevel="0" collapsed="false">
      <c r="A625" s="32" t="n">
        <v>618</v>
      </c>
      <c r="B625" s="33" t="n">
        <v>729662</v>
      </c>
      <c r="C625" s="34" t="s">
        <v>1316</v>
      </c>
      <c r="D625" s="34" t="s">
        <v>1317</v>
      </c>
      <c r="E625" s="34" t="s">
        <v>230</v>
      </c>
      <c r="F625" s="32" t="n">
        <f aca="false">COUNTIF(Base!$D$2:$D$2878,B625)</f>
        <v>1</v>
      </c>
      <c r="G625" s="35" t="n">
        <f aca="false">SUMIF(Base!$D$2:$D$2878,B625,Base!$I$2:$I$2878)</f>
        <v>2592</v>
      </c>
      <c r="H625" s="36" t="n">
        <f aca="false">IF($G$2849=0,0,G625/$G$2849)</f>
        <v>0.000170092810634338</v>
      </c>
      <c r="I625" s="37" t="n">
        <f aca="false">I624+H625</f>
        <v>0.917198302949111</v>
      </c>
      <c r="J625" s="37" t="n">
        <f aca="false">A625/2840</f>
        <v>0.217605633802817</v>
      </c>
      <c r="K625" s="32" t="str">
        <f aca="false">IF(I625&lt;=$E$4,"A",IF(I625&lt;=$E$5,"B","C"))</f>
        <v>B</v>
      </c>
    </row>
    <row r="626" customFormat="false" ht="15" hidden="false" customHeight="false" outlineLevel="0" collapsed="false">
      <c r="A626" s="32" t="n">
        <v>619</v>
      </c>
      <c r="B626" s="33" t="n">
        <v>23352</v>
      </c>
      <c r="C626" s="34" t="s">
        <v>1318</v>
      </c>
      <c r="D626" s="34" t="s">
        <v>1319</v>
      </c>
      <c r="E626" s="34" t="s">
        <v>35</v>
      </c>
      <c r="F626" s="32" t="n">
        <f aca="false">COUNTIF(Base!$D$2:$D$2878,B626)</f>
        <v>1</v>
      </c>
      <c r="G626" s="35" t="n">
        <f aca="false">SUMIF(Base!$D$2:$D$2878,B626,Base!$I$2:$I$2878)</f>
        <v>2587.2</v>
      </c>
      <c r="H626" s="36" t="n">
        <f aca="false">IF($G$2849=0,0,G626/$G$2849)</f>
        <v>0.000169777823947978</v>
      </c>
      <c r="I626" s="37" t="n">
        <f aca="false">I625+H626</f>
        <v>0.917368080773059</v>
      </c>
      <c r="J626" s="37" t="n">
        <f aca="false">A626/2840</f>
        <v>0.217957746478873</v>
      </c>
      <c r="K626" s="32" t="str">
        <f aca="false">IF(I626&lt;=$E$4,"A",IF(I626&lt;=$E$5,"B","C"))</f>
        <v>B</v>
      </c>
    </row>
    <row r="627" customFormat="false" ht="15" hidden="false" customHeight="false" outlineLevel="0" collapsed="false">
      <c r="A627" s="32" t="n">
        <v>620</v>
      </c>
      <c r="B627" s="33" t="n">
        <v>727451</v>
      </c>
      <c r="C627" s="34" t="s">
        <v>1320</v>
      </c>
      <c r="D627" s="34" t="s">
        <v>1321</v>
      </c>
      <c r="E627" s="34" t="s">
        <v>247</v>
      </c>
      <c r="F627" s="32" t="n">
        <f aca="false">COUNTIF(Base!$D$2:$D$2878,B627)</f>
        <v>1</v>
      </c>
      <c r="G627" s="35" t="n">
        <f aca="false">SUMIF(Base!$D$2:$D$2878,B627,Base!$I$2:$I$2878)</f>
        <v>2582.86</v>
      </c>
      <c r="H627" s="36" t="n">
        <f aca="false">IF($G$2849=0,0,G627/$G$2849)</f>
        <v>0.000169493023485728</v>
      </c>
      <c r="I627" s="37" t="n">
        <f aca="false">I626+H627</f>
        <v>0.917537573796544</v>
      </c>
      <c r="J627" s="37" t="n">
        <f aca="false">A627/2840</f>
        <v>0.21830985915493</v>
      </c>
      <c r="K627" s="32" t="str">
        <f aca="false">IF(I627&lt;=$E$4,"A",IF(I627&lt;=$E$5,"B","C"))</f>
        <v>B</v>
      </c>
    </row>
    <row r="628" customFormat="false" ht="15" hidden="false" customHeight="false" outlineLevel="0" collapsed="false">
      <c r="A628" s="32" t="n">
        <v>621</v>
      </c>
      <c r="B628" s="33" t="n">
        <v>959986</v>
      </c>
      <c r="C628" s="34" t="s">
        <v>1322</v>
      </c>
      <c r="D628" s="34" t="s">
        <v>1323</v>
      </c>
      <c r="E628" s="34" t="s">
        <v>189</v>
      </c>
      <c r="F628" s="32" t="n">
        <f aca="false">COUNTIF(Base!$D$2:$D$2878,B628)</f>
        <v>1</v>
      </c>
      <c r="G628" s="35" t="n">
        <f aca="false">SUMIF(Base!$D$2:$D$2878,B628,Base!$I$2:$I$2878)</f>
        <v>2580</v>
      </c>
      <c r="H628" s="36" t="n">
        <f aca="false">IF($G$2849=0,0,G628/$G$2849)</f>
        <v>0.000169305343918438</v>
      </c>
      <c r="I628" s="37" t="n">
        <f aca="false">I627+H628</f>
        <v>0.917706879140463</v>
      </c>
      <c r="J628" s="37" t="n">
        <f aca="false">A628/2840</f>
        <v>0.218661971830986</v>
      </c>
      <c r="K628" s="32" t="str">
        <f aca="false">IF(I628&lt;=$E$4,"A",IF(I628&lt;=$E$5,"B","C"))</f>
        <v>B</v>
      </c>
    </row>
    <row r="629" customFormat="false" ht="15" hidden="false" customHeight="false" outlineLevel="0" collapsed="false">
      <c r="A629" s="32" t="n">
        <v>622</v>
      </c>
      <c r="B629" s="33" t="n">
        <v>1476047</v>
      </c>
      <c r="C629" s="34" t="s">
        <v>1324</v>
      </c>
      <c r="D629" s="34" t="s">
        <v>1325</v>
      </c>
      <c r="E629" s="34" t="s">
        <v>705</v>
      </c>
      <c r="F629" s="32" t="n">
        <f aca="false">COUNTIF(Base!$D$2:$D$2878,B629)</f>
        <v>1</v>
      </c>
      <c r="G629" s="35" t="n">
        <f aca="false">SUMIF(Base!$D$2:$D$2878,B629,Base!$I$2:$I$2878)</f>
        <v>2580</v>
      </c>
      <c r="H629" s="36" t="n">
        <f aca="false">IF($G$2849=0,0,G629/$G$2849)</f>
        <v>0.000169305343918438</v>
      </c>
      <c r="I629" s="37" t="n">
        <f aca="false">I628+H629</f>
        <v>0.917876184484381</v>
      </c>
      <c r="J629" s="37" t="n">
        <f aca="false">A629/2840</f>
        <v>0.219014084507042</v>
      </c>
      <c r="K629" s="32" t="str">
        <f aca="false">IF(I629&lt;=$E$4,"A",IF(I629&lt;=$E$5,"B","C"))</f>
        <v>B</v>
      </c>
    </row>
    <row r="630" customFormat="false" ht="15" hidden="false" customHeight="false" outlineLevel="0" collapsed="false">
      <c r="A630" s="32" t="n">
        <v>623</v>
      </c>
      <c r="B630" s="33" t="n">
        <v>22375</v>
      </c>
      <c r="C630" s="34" t="s">
        <v>1326</v>
      </c>
      <c r="D630" s="34" t="s">
        <v>1327</v>
      </c>
      <c r="E630" s="34" t="s">
        <v>262</v>
      </c>
      <c r="F630" s="32" t="n">
        <f aca="false">COUNTIF(Base!$D$2:$D$2878,B630)</f>
        <v>2</v>
      </c>
      <c r="G630" s="35" t="n">
        <f aca="false">SUMIF(Base!$D$2:$D$2878,B630,Base!$I$2:$I$2878)</f>
        <v>2579.7572</v>
      </c>
      <c r="H630" s="36" t="n">
        <f aca="false">IF($G$2849=0,0,G630/$G$2849)</f>
        <v>0.000169289410841886</v>
      </c>
      <c r="I630" s="37" t="n">
        <f aca="false">I629+H630</f>
        <v>0.918045473895223</v>
      </c>
      <c r="J630" s="37" t="n">
        <f aca="false">A630/2840</f>
        <v>0.219366197183099</v>
      </c>
      <c r="K630" s="32" t="str">
        <f aca="false">IF(I630&lt;=$E$4,"A",IF(I630&lt;=$E$5,"B","C"))</f>
        <v>B</v>
      </c>
    </row>
    <row r="631" customFormat="false" ht="15" hidden="false" customHeight="false" outlineLevel="0" collapsed="false">
      <c r="A631" s="32" t="n">
        <v>624</v>
      </c>
      <c r="B631" s="33" t="n">
        <v>12588</v>
      </c>
      <c r="C631" s="34" t="s">
        <v>1328</v>
      </c>
      <c r="D631" s="34" t="s">
        <v>1329</v>
      </c>
      <c r="E631" s="34" t="s">
        <v>38</v>
      </c>
      <c r="F631" s="32" t="n">
        <f aca="false">COUNTIF(Base!$D$2:$D$2878,B631)</f>
        <v>1</v>
      </c>
      <c r="G631" s="35" t="n">
        <f aca="false">SUMIF(Base!$D$2:$D$2878,B631,Base!$I$2:$I$2878)</f>
        <v>2576.78</v>
      </c>
      <c r="H631" s="36" t="n">
        <f aca="false">IF($G$2849=0,0,G631/$G$2849)</f>
        <v>0.000169094040349672</v>
      </c>
      <c r="I631" s="37" t="n">
        <f aca="false">I630+H631</f>
        <v>0.918214567935573</v>
      </c>
      <c r="J631" s="37" t="n">
        <f aca="false">A631/2840</f>
        <v>0.219718309859155</v>
      </c>
      <c r="K631" s="32" t="str">
        <f aca="false">IF(I631&lt;=$E$4,"A",IF(I631&lt;=$E$5,"B","C"))</f>
        <v>B</v>
      </c>
    </row>
    <row r="632" customFormat="false" ht="15" hidden="false" customHeight="false" outlineLevel="0" collapsed="false">
      <c r="A632" s="32" t="n">
        <v>625</v>
      </c>
      <c r="B632" s="33" t="n">
        <v>295480</v>
      </c>
      <c r="C632" s="34" t="s">
        <v>1330</v>
      </c>
      <c r="D632" s="34" t="s">
        <v>1331</v>
      </c>
      <c r="E632" s="34" t="s">
        <v>130</v>
      </c>
      <c r="F632" s="32" t="n">
        <f aca="false">COUNTIF(Base!$D$2:$D$2878,B632)</f>
        <v>1</v>
      </c>
      <c r="G632" s="35" t="n">
        <f aca="false">SUMIF(Base!$D$2:$D$2878,B632,Base!$I$2:$I$2878)</f>
        <v>2576</v>
      </c>
      <c r="H632" s="36" t="n">
        <f aca="false">IF($G$2849=0,0,G632/$G$2849)</f>
        <v>0.000169042855013138</v>
      </c>
      <c r="I632" s="37" t="n">
        <f aca="false">I631+H632</f>
        <v>0.918383610790586</v>
      </c>
      <c r="J632" s="37" t="n">
        <f aca="false">A632/2840</f>
        <v>0.220070422535211</v>
      </c>
      <c r="K632" s="32" t="str">
        <f aca="false">IF(I632&lt;=$E$4,"A",IF(I632&lt;=$E$5,"B","C"))</f>
        <v>B</v>
      </c>
    </row>
    <row r="633" customFormat="false" ht="15" hidden="false" customHeight="false" outlineLevel="0" collapsed="false">
      <c r="A633" s="32" t="n">
        <v>626</v>
      </c>
      <c r="B633" s="33" t="n">
        <v>1486608</v>
      </c>
      <c r="C633" s="34" t="s">
        <v>1332</v>
      </c>
      <c r="D633" s="34" t="s">
        <v>1333</v>
      </c>
      <c r="E633" s="34" t="s">
        <v>170</v>
      </c>
      <c r="F633" s="32" t="n">
        <f aca="false">COUNTIF(Base!$D$2:$D$2878,B633)</f>
        <v>1</v>
      </c>
      <c r="G633" s="35" t="n">
        <f aca="false">SUMIF(Base!$D$2:$D$2878,B633,Base!$I$2:$I$2878)</f>
        <v>2574</v>
      </c>
      <c r="H633" s="36" t="n">
        <f aca="false">IF($G$2849=0,0,G633/$G$2849)</f>
        <v>0.000168911610560488</v>
      </c>
      <c r="I633" s="37" t="n">
        <f aca="false">I632+H633</f>
        <v>0.918552522401147</v>
      </c>
      <c r="J633" s="37" t="n">
        <f aca="false">A633/2840</f>
        <v>0.220422535211268</v>
      </c>
      <c r="K633" s="32" t="str">
        <f aca="false">IF(I633&lt;=$E$4,"A",IF(I633&lt;=$E$5,"B","C"))</f>
        <v>B</v>
      </c>
    </row>
    <row r="634" customFormat="false" ht="15" hidden="false" customHeight="false" outlineLevel="0" collapsed="false">
      <c r="A634" s="32" t="n">
        <v>627</v>
      </c>
      <c r="B634" s="33" t="n">
        <v>1386786</v>
      </c>
      <c r="C634" s="34" t="s">
        <v>1334</v>
      </c>
      <c r="D634" s="34" t="s">
        <v>1335</v>
      </c>
      <c r="E634" s="34" t="s">
        <v>100</v>
      </c>
      <c r="F634" s="32" t="n">
        <f aca="false">COUNTIF(Base!$D$2:$D$2878,B634)</f>
        <v>1</v>
      </c>
      <c r="G634" s="35" t="n">
        <f aca="false">SUMIF(Base!$D$2:$D$2878,B634,Base!$I$2:$I$2878)</f>
        <v>2561.4</v>
      </c>
      <c r="H634" s="36" t="n">
        <f aca="false">IF($G$2849=0,0,G634/$G$2849)</f>
        <v>0.000168084770508794</v>
      </c>
      <c r="I634" s="37" t="n">
        <f aca="false">I633+H634</f>
        <v>0.918720607171655</v>
      </c>
      <c r="J634" s="37" t="n">
        <f aca="false">A634/2840</f>
        <v>0.220774647887324</v>
      </c>
      <c r="K634" s="32" t="str">
        <f aca="false">IF(I634&lt;=$E$4,"A",IF(I634&lt;=$E$5,"B","C"))</f>
        <v>B</v>
      </c>
    </row>
    <row r="635" customFormat="false" ht="15" hidden="false" customHeight="false" outlineLevel="0" collapsed="false">
      <c r="A635" s="32" t="n">
        <v>628</v>
      </c>
      <c r="B635" s="33" t="n">
        <v>429121</v>
      </c>
      <c r="C635" s="34" t="s">
        <v>1336</v>
      </c>
      <c r="D635" s="34" t="s">
        <v>1337</v>
      </c>
      <c r="E635" s="34" t="s">
        <v>133</v>
      </c>
      <c r="F635" s="32" t="n">
        <f aca="false">COUNTIF(Base!$D$2:$D$2878,B635)</f>
        <v>1</v>
      </c>
      <c r="G635" s="35" t="n">
        <f aca="false">SUMIF(Base!$D$2:$D$2878,B635,Base!$I$2:$I$2878)</f>
        <v>2560</v>
      </c>
      <c r="H635" s="36" t="n">
        <f aca="false">IF($G$2849=0,0,G635/$G$2849)</f>
        <v>0.000167992899391939</v>
      </c>
      <c r="I635" s="37" t="n">
        <f aca="false">I634+H635</f>
        <v>0.918888600071047</v>
      </c>
      <c r="J635" s="37" t="n">
        <f aca="false">A635/2840</f>
        <v>0.22112676056338</v>
      </c>
      <c r="K635" s="32" t="str">
        <f aca="false">IF(I635&lt;=$E$4,"A",IF(I635&lt;=$E$5,"B","C"))</f>
        <v>B</v>
      </c>
    </row>
    <row r="636" customFormat="false" ht="15" hidden="false" customHeight="false" outlineLevel="0" collapsed="false">
      <c r="A636" s="32" t="n">
        <v>629</v>
      </c>
      <c r="B636" s="33" t="n">
        <v>1385803</v>
      </c>
      <c r="C636" s="34" t="s">
        <v>1338</v>
      </c>
      <c r="D636" s="34" t="s">
        <v>1339</v>
      </c>
      <c r="E636" s="34" t="s">
        <v>38</v>
      </c>
      <c r="F636" s="32" t="n">
        <f aca="false">COUNTIF(Base!$D$2:$D$2878,B636)</f>
        <v>1</v>
      </c>
      <c r="G636" s="35" t="n">
        <f aca="false">SUMIF(Base!$D$2:$D$2878,B636,Base!$I$2:$I$2878)</f>
        <v>2557.98</v>
      </c>
      <c r="H636" s="36" t="n">
        <f aca="false">IF($G$2849=0,0,G636/$G$2849)</f>
        <v>0.000167860342494762</v>
      </c>
      <c r="I636" s="37" t="n">
        <f aca="false">I635+H636</f>
        <v>0.919056460413542</v>
      </c>
      <c r="J636" s="37" t="n">
        <f aca="false">A636/2840</f>
        <v>0.221478873239437</v>
      </c>
      <c r="K636" s="32" t="str">
        <f aca="false">IF(I636&lt;=$E$4,"A",IF(I636&lt;=$E$5,"B","C"))</f>
        <v>B</v>
      </c>
    </row>
    <row r="637" customFormat="false" ht="15" hidden="false" customHeight="false" outlineLevel="0" collapsed="false">
      <c r="A637" s="32" t="n">
        <v>630</v>
      </c>
      <c r="B637" s="33" t="n">
        <v>1462123</v>
      </c>
      <c r="C637" s="34" t="s">
        <v>1340</v>
      </c>
      <c r="D637" s="34" t="s">
        <v>1341</v>
      </c>
      <c r="E637" s="34" t="s">
        <v>54</v>
      </c>
      <c r="F637" s="32" t="n">
        <f aca="false">COUNTIF(Base!$D$2:$D$2878,B637)</f>
        <v>1</v>
      </c>
      <c r="G637" s="35" t="n">
        <f aca="false">SUMIF(Base!$D$2:$D$2878,B637,Base!$I$2:$I$2878)</f>
        <v>2556</v>
      </c>
      <c r="H637" s="36" t="n">
        <f aca="false">IF($G$2849=0,0,G637/$G$2849)</f>
        <v>0.000167730410486639</v>
      </c>
      <c r="I637" s="37" t="n">
        <f aca="false">I636+H637</f>
        <v>0.919224190824029</v>
      </c>
      <c r="J637" s="37" t="n">
        <f aca="false">A637/2840</f>
        <v>0.221830985915493</v>
      </c>
      <c r="K637" s="32" t="str">
        <f aca="false">IF(I637&lt;=$E$4,"A",IF(I637&lt;=$E$5,"B","C"))</f>
        <v>B</v>
      </c>
    </row>
    <row r="638" customFormat="false" ht="15" hidden="false" customHeight="false" outlineLevel="0" collapsed="false">
      <c r="A638" s="32" t="n">
        <v>631</v>
      </c>
      <c r="B638" s="33" t="n">
        <v>137857</v>
      </c>
      <c r="C638" s="34" t="s">
        <v>1342</v>
      </c>
      <c r="D638" s="34" t="s">
        <v>1343</v>
      </c>
      <c r="E638" s="34" t="s">
        <v>75</v>
      </c>
      <c r="F638" s="32" t="n">
        <f aca="false">COUNTIF(Base!$D$2:$D$2878,B638)</f>
        <v>1</v>
      </c>
      <c r="G638" s="35" t="n">
        <f aca="false">SUMIF(Base!$D$2:$D$2878,B638,Base!$I$2:$I$2878)</f>
        <v>2555.52</v>
      </c>
      <c r="H638" s="36" t="n">
        <f aca="false">IF($G$2849=0,0,G638/$G$2849)</f>
        <v>0.000167698911818003</v>
      </c>
      <c r="I638" s="37" t="n">
        <f aca="false">I637+H638</f>
        <v>0.919391889735847</v>
      </c>
      <c r="J638" s="37" t="n">
        <f aca="false">A638/2840</f>
        <v>0.222183098591549</v>
      </c>
      <c r="K638" s="32" t="str">
        <f aca="false">IF(I638&lt;=$E$4,"A",IF(I638&lt;=$E$5,"B","C"))</f>
        <v>B</v>
      </c>
    </row>
    <row r="639" customFormat="false" ht="15" hidden="false" customHeight="false" outlineLevel="0" collapsed="false">
      <c r="A639" s="32" t="n">
        <v>632</v>
      </c>
      <c r="B639" s="33" t="n">
        <v>1461492</v>
      </c>
      <c r="C639" s="34" t="s">
        <v>1344</v>
      </c>
      <c r="D639" s="34" t="s">
        <v>1345</v>
      </c>
      <c r="E639" s="34" t="s">
        <v>54</v>
      </c>
      <c r="F639" s="32" t="n">
        <f aca="false">COUNTIF(Base!$D$2:$D$2878,B639)</f>
        <v>1</v>
      </c>
      <c r="G639" s="35" t="n">
        <f aca="false">SUMIF(Base!$D$2:$D$2878,B639,Base!$I$2:$I$2878)</f>
        <v>2550</v>
      </c>
      <c r="H639" s="36" t="n">
        <f aca="false">IF($G$2849=0,0,G639/$G$2849)</f>
        <v>0.000167336677128689</v>
      </c>
      <c r="I639" s="37" t="n">
        <f aca="false">I638+H639</f>
        <v>0.919559226412975</v>
      </c>
      <c r="J639" s="37" t="n">
        <f aca="false">A639/2840</f>
        <v>0.222535211267606</v>
      </c>
      <c r="K639" s="32" t="str">
        <f aca="false">IF(I639&lt;=$E$4,"A",IF(I639&lt;=$E$5,"B","C"))</f>
        <v>B</v>
      </c>
    </row>
    <row r="640" customFormat="false" ht="15" hidden="false" customHeight="false" outlineLevel="0" collapsed="false">
      <c r="A640" s="32" t="n">
        <v>633</v>
      </c>
      <c r="B640" s="33" t="n">
        <v>1615271</v>
      </c>
      <c r="C640" s="34" t="s">
        <v>1346</v>
      </c>
      <c r="D640" s="34" t="s">
        <v>1347</v>
      </c>
      <c r="E640" s="34" t="s">
        <v>38</v>
      </c>
      <c r="F640" s="32" t="n">
        <f aca="false">COUNTIF(Base!$D$2:$D$2878,B640)</f>
        <v>1</v>
      </c>
      <c r="G640" s="35" t="n">
        <f aca="false">SUMIF(Base!$D$2:$D$2878,B640,Base!$I$2:$I$2878)</f>
        <v>2548</v>
      </c>
      <c r="H640" s="36" t="n">
        <f aca="false">IF($G$2849=0,0,G640/$G$2849)</f>
        <v>0.000167205432676039</v>
      </c>
      <c r="I640" s="37" t="n">
        <f aca="false">I639+H640</f>
        <v>0.919726431845651</v>
      </c>
      <c r="J640" s="37" t="n">
        <f aca="false">A640/2840</f>
        <v>0.222887323943662</v>
      </c>
      <c r="K640" s="32" t="str">
        <f aca="false">IF(I640&lt;=$E$4,"A",IF(I640&lt;=$E$5,"B","C"))</f>
        <v>B</v>
      </c>
    </row>
    <row r="641" customFormat="false" ht="15" hidden="false" customHeight="false" outlineLevel="0" collapsed="false">
      <c r="A641" s="32" t="n">
        <v>634</v>
      </c>
      <c r="B641" s="33" t="n">
        <v>13350</v>
      </c>
      <c r="C641" s="34" t="s">
        <v>1348</v>
      </c>
      <c r="D641" s="34" t="s">
        <v>1349</v>
      </c>
      <c r="E641" s="34" t="s">
        <v>38</v>
      </c>
      <c r="F641" s="32" t="n">
        <f aca="false">COUNTIF(Base!$D$2:$D$2878,B641)</f>
        <v>1</v>
      </c>
      <c r="G641" s="35" t="n">
        <f aca="false">SUMIF(Base!$D$2:$D$2878,B641,Base!$I$2:$I$2878)</f>
        <v>2544</v>
      </c>
      <c r="H641" s="36" t="n">
        <f aca="false">IF($G$2849=0,0,G641/$G$2849)</f>
        <v>0.000166942943770739</v>
      </c>
      <c r="I641" s="37" t="n">
        <f aca="false">I640+H641</f>
        <v>0.919893374789422</v>
      </c>
      <c r="J641" s="37" t="n">
        <f aca="false">A641/2840</f>
        <v>0.223239436619718</v>
      </c>
      <c r="K641" s="32" t="str">
        <f aca="false">IF(I641&lt;=$E$4,"A",IF(I641&lt;=$E$5,"B","C"))</f>
        <v>B</v>
      </c>
    </row>
    <row r="642" customFormat="false" ht="15" hidden="false" customHeight="false" outlineLevel="0" collapsed="false">
      <c r="A642" s="32" t="n">
        <v>635</v>
      </c>
      <c r="B642" s="33" t="n">
        <v>1319147</v>
      </c>
      <c r="C642" s="34" t="s">
        <v>1350</v>
      </c>
      <c r="D642" s="34" t="s">
        <v>1351</v>
      </c>
      <c r="E642" s="34" t="s">
        <v>170</v>
      </c>
      <c r="F642" s="32" t="n">
        <f aca="false">COUNTIF(Base!$D$2:$D$2878,B642)</f>
        <v>1</v>
      </c>
      <c r="G642" s="35" t="n">
        <f aca="false">SUMIF(Base!$D$2:$D$2878,B642,Base!$I$2:$I$2878)</f>
        <v>2536.5</v>
      </c>
      <c r="H642" s="36" t="n">
        <f aca="false">IF($G$2849=0,0,G642/$G$2849)</f>
        <v>0.000166450777073302</v>
      </c>
      <c r="I642" s="37" t="n">
        <f aca="false">I641+H642</f>
        <v>0.920059825566496</v>
      </c>
      <c r="J642" s="37" t="n">
        <f aca="false">A642/2840</f>
        <v>0.223591549295775</v>
      </c>
      <c r="K642" s="32" t="str">
        <f aca="false">IF(I642&lt;=$E$4,"A",IF(I642&lt;=$E$5,"B","C"))</f>
        <v>B</v>
      </c>
    </row>
    <row r="643" customFormat="false" ht="15" hidden="false" customHeight="false" outlineLevel="0" collapsed="false">
      <c r="A643" s="32" t="n">
        <v>636</v>
      </c>
      <c r="B643" s="33" t="n">
        <v>879313</v>
      </c>
      <c r="C643" s="34" t="s">
        <v>1352</v>
      </c>
      <c r="D643" s="34" t="s">
        <v>1353</v>
      </c>
      <c r="E643" s="34" t="s">
        <v>1354</v>
      </c>
      <c r="F643" s="32" t="n">
        <f aca="false">COUNTIF(Base!$D$2:$D$2878,B643)</f>
        <v>1</v>
      </c>
      <c r="G643" s="35" t="n">
        <f aca="false">SUMIF(Base!$D$2:$D$2878,B643,Base!$I$2:$I$2878)</f>
        <v>2535</v>
      </c>
      <c r="H643" s="36" t="n">
        <f aca="false">IF($G$2849=0,0,G643/$G$2849)</f>
        <v>0.000166352343733814</v>
      </c>
      <c r="I643" s="37" t="n">
        <f aca="false">I642+H643</f>
        <v>0.920226177910229</v>
      </c>
      <c r="J643" s="37" t="n">
        <f aca="false">A643/2840</f>
        <v>0.223943661971831</v>
      </c>
      <c r="K643" s="32" t="str">
        <f aca="false">IF(I643&lt;=$E$4,"A",IF(I643&lt;=$E$5,"B","C"))</f>
        <v>B</v>
      </c>
    </row>
    <row r="644" customFormat="false" ht="15" hidden="false" customHeight="false" outlineLevel="0" collapsed="false">
      <c r="A644" s="32" t="n">
        <v>637</v>
      </c>
      <c r="B644" s="33" t="n">
        <v>17940</v>
      </c>
      <c r="C644" s="34" t="s">
        <v>1355</v>
      </c>
      <c r="D644" s="34" t="s">
        <v>1356</v>
      </c>
      <c r="E644" s="34" t="s">
        <v>130</v>
      </c>
      <c r="F644" s="32" t="n">
        <f aca="false">COUNTIF(Base!$D$2:$D$2878,B644)</f>
        <v>1</v>
      </c>
      <c r="G644" s="35" t="n">
        <f aca="false">SUMIF(Base!$D$2:$D$2878,B644,Base!$I$2:$I$2878)</f>
        <v>2529.88</v>
      </c>
      <c r="H644" s="36" t="n">
        <f aca="false">IF($G$2849=0,0,G644/$G$2849)</f>
        <v>0.00016601635793503</v>
      </c>
      <c r="I644" s="37" t="n">
        <f aca="false">I643+H644</f>
        <v>0.920392194268164</v>
      </c>
      <c r="J644" s="37" t="n">
        <f aca="false">A644/2840</f>
        <v>0.224295774647887</v>
      </c>
      <c r="K644" s="32" t="str">
        <f aca="false">IF(I644&lt;=$E$4,"A",IF(I644&lt;=$E$5,"B","C"))</f>
        <v>B</v>
      </c>
    </row>
    <row r="645" customFormat="false" ht="15" hidden="false" customHeight="false" outlineLevel="0" collapsed="false">
      <c r="A645" s="32" t="n">
        <v>638</v>
      </c>
      <c r="B645" s="33" t="n">
        <v>942238</v>
      </c>
      <c r="C645" s="34" t="s">
        <v>1357</v>
      </c>
      <c r="D645" s="34" t="s">
        <v>1358</v>
      </c>
      <c r="E645" s="34" t="s">
        <v>38</v>
      </c>
      <c r="F645" s="32" t="n">
        <f aca="false">COUNTIF(Base!$D$2:$D$2878,B645)</f>
        <v>1</v>
      </c>
      <c r="G645" s="35" t="n">
        <f aca="false">SUMIF(Base!$D$2:$D$2878,B645,Base!$I$2:$I$2878)</f>
        <v>2522</v>
      </c>
      <c r="H645" s="36" t="n">
        <f aca="false">IF($G$2849=0,0,G645/$G$2849)</f>
        <v>0.00016549925479159</v>
      </c>
      <c r="I645" s="37" t="n">
        <f aca="false">I644+H645</f>
        <v>0.920557693522956</v>
      </c>
      <c r="J645" s="37" t="n">
        <f aca="false">A645/2840</f>
        <v>0.224647887323944</v>
      </c>
      <c r="K645" s="32" t="str">
        <f aca="false">IF(I645&lt;=$E$4,"A",IF(I645&lt;=$E$5,"B","C"))</f>
        <v>B</v>
      </c>
    </row>
    <row r="646" customFormat="false" ht="15" hidden="false" customHeight="false" outlineLevel="0" collapsed="false">
      <c r="A646" s="32" t="n">
        <v>639</v>
      </c>
      <c r="B646" s="33" t="n">
        <v>1385080</v>
      </c>
      <c r="C646" s="34" t="s">
        <v>1359</v>
      </c>
      <c r="D646" s="34" t="s">
        <v>1360</v>
      </c>
      <c r="E646" s="34" t="s">
        <v>38</v>
      </c>
      <c r="F646" s="32" t="n">
        <f aca="false">COUNTIF(Base!$D$2:$D$2878,B646)</f>
        <v>1</v>
      </c>
      <c r="G646" s="35" t="n">
        <f aca="false">SUMIF(Base!$D$2:$D$2878,B646,Base!$I$2:$I$2878)</f>
        <v>2521.8</v>
      </c>
      <c r="H646" s="36" t="n">
        <f aca="false">IF($G$2849=0,0,G646/$G$2849)</f>
        <v>0.000165486130346325</v>
      </c>
      <c r="I646" s="37" t="n">
        <f aca="false">I645+H646</f>
        <v>0.920723179653302</v>
      </c>
      <c r="J646" s="37" t="n">
        <f aca="false">A646/2840</f>
        <v>0.225</v>
      </c>
      <c r="K646" s="32" t="str">
        <f aca="false">IF(I646&lt;=$E$4,"A",IF(I646&lt;=$E$5,"B","C"))</f>
        <v>B</v>
      </c>
    </row>
    <row r="647" customFormat="false" ht="15" hidden="false" customHeight="false" outlineLevel="0" collapsed="false">
      <c r="A647" s="32" t="n">
        <v>640</v>
      </c>
      <c r="B647" s="33" t="n">
        <v>1609095</v>
      </c>
      <c r="C647" s="34" t="s">
        <v>1361</v>
      </c>
      <c r="D647" s="34" t="s">
        <v>1362</v>
      </c>
      <c r="E647" s="34" t="s">
        <v>35</v>
      </c>
      <c r="F647" s="32" t="n">
        <f aca="false">COUNTIF(Base!$D$2:$D$2878,B647)</f>
        <v>1</v>
      </c>
      <c r="G647" s="35" t="n">
        <f aca="false">SUMIF(Base!$D$2:$D$2878,B647,Base!$I$2:$I$2878)</f>
        <v>2519.1</v>
      </c>
      <c r="H647" s="36" t="n">
        <f aca="false">IF($G$2849=0,0,G647/$G$2849)</f>
        <v>0.000165308950335247</v>
      </c>
      <c r="I647" s="37" t="n">
        <f aca="false">I646+H647</f>
        <v>0.920888488603638</v>
      </c>
      <c r="J647" s="37" t="n">
        <f aca="false">A647/2840</f>
        <v>0.225352112676056</v>
      </c>
      <c r="K647" s="32" t="str">
        <f aca="false">IF(I647&lt;=$E$4,"A",IF(I647&lt;=$E$5,"B","C"))</f>
        <v>B</v>
      </c>
    </row>
    <row r="648" customFormat="false" ht="15" hidden="false" customHeight="false" outlineLevel="0" collapsed="false">
      <c r="A648" s="32" t="n">
        <v>641</v>
      </c>
      <c r="B648" s="33" t="n">
        <v>1679925</v>
      </c>
      <c r="C648" s="34" t="s">
        <v>1363</v>
      </c>
      <c r="D648" s="34" t="s">
        <v>1364</v>
      </c>
      <c r="E648" s="34" t="s">
        <v>705</v>
      </c>
      <c r="F648" s="32" t="n">
        <f aca="false">COUNTIF(Base!$D$2:$D$2878,B648)</f>
        <v>1</v>
      </c>
      <c r="G648" s="35" t="n">
        <f aca="false">SUMIF(Base!$D$2:$D$2878,B648,Base!$I$2:$I$2878)</f>
        <v>2507.62</v>
      </c>
      <c r="H648" s="36" t="n">
        <f aca="false">IF($G$2849=0,0,G648/$G$2849)</f>
        <v>0.000164555607177036</v>
      </c>
      <c r="I648" s="37" t="n">
        <f aca="false">I647+H648</f>
        <v>0.921053044210815</v>
      </c>
      <c r="J648" s="37" t="n">
        <f aca="false">A648/2840</f>
        <v>0.225704225352113</v>
      </c>
      <c r="K648" s="32" t="str">
        <f aca="false">IF(I648&lt;=$E$4,"A",IF(I648&lt;=$E$5,"B","C"))</f>
        <v>B</v>
      </c>
    </row>
    <row r="649" customFormat="false" ht="15" hidden="false" customHeight="false" outlineLevel="0" collapsed="false">
      <c r="A649" s="32" t="n">
        <v>642</v>
      </c>
      <c r="B649" s="33" t="n">
        <v>1386624</v>
      </c>
      <c r="C649" s="34" t="s">
        <v>1365</v>
      </c>
      <c r="D649" s="34" t="s">
        <v>1366</v>
      </c>
      <c r="E649" s="34" t="s">
        <v>100</v>
      </c>
      <c r="F649" s="32" t="n">
        <f aca="false">COUNTIF(Base!$D$2:$D$2878,B649)</f>
        <v>1</v>
      </c>
      <c r="G649" s="35" t="n">
        <f aca="false">SUMIF(Base!$D$2:$D$2878,B649,Base!$I$2:$I$2878)</f>
        <v>2501.94</v>
      </c>
      <c r="H649" s="36" t="n">
        <f aca="false">IF($G$2849=0,0,G649/$G$2849)</f>
        <v>0.000164182872931511</v>
      </c>
      <c r="I649" s="37" t="n">
        <f aca="false">I648+H649</f>
        <v>0.921217227083746</v>
      </c>
      <c r="J649" s="37" t="n">
        <f aca="false">A649/2840</f>
        <v>0.226056338028169</v>
      </c>
      <c r="K649" s="32" t="str">
        <f aca="false">IF(I649&lt;=$E$4,"A",IF(I649&lt;=$E$5,"B","C"))</f>
        <v>B</v>
      </c>
    </row>
    <row r="650" customFormat="false" ht="15" hidden="false" customHeight="false" outlineLevel="0" collapsed="false">
      <c r="A650" s="32" t="n">
        <v>643</v>
      </c>
      <c r="B650" s="33" t="n">
        <v>59926</v>
      </c>
      <c r="C650" s="34" t="s">
        <v>1367</v>
      </c>
      <c r="D650" s="34" t="s">
        <v>1368</v>
      </c>
      <c r="E650" s="34" t="s">
        <v>66</v>
      </c>
      <c r="F650" s="32" t="n">
        <f aca="false">COUNTIF(Base!$D$2:$D$2878,B650)</f>
        <v>1</v>
      </c>
      <c r="G650" s="35" t="n">
        <f aca="false">SUMIF(Base!$D$2:$D$2878,B650,Base!$I$2:$I$2878)</f>
        <v>2498</v>
      </c>
      <c r="H650" s="36" t="n">
        <f aca="false">IF($G$2849=0,0,G650/$G$2849)</f>
        <v>0.00016392432135979</v>
      </c>
      <c r="I650" s="37" t="n">
        <f aca="false">I649+H650</f>
        <v>0.921381151405106</v>
      </c>
      <c r="J650" s="37" t="n">
        <f aca="false">A650/2840</f>
        <v>0.226408450704225</v>
      </c>
      <c r="K650" s="32" t="str">
        <f aca="false">IF(I650&lt;=$E$4,"A",IF(I650&lt;=$E$5,"B","C"))</f>
        <v>B</v>
      </c>
    </row>
    <row r="651" customFormat="false" ht="15" hidden="false" customHeight="false" outlineLevel="0" collapsed="false">
      <c r="A651" s="32" t="n">
        <v>644</v>
      </c>
      <c r="B651" s="33" t="n">
        <v>1311112</v>
      </c>
      <c r="C651" s="34" t="s">
        <v>1369</v>
      </c>
      <c r="D651" s="34" t="s">
        <v>1370</v>
      </c>
      <c r="E651" s="34" t="s">
        <v>133</v>
      </c>
      <c r="F651" s="32" t="n">
        <f aca="false">COUNTIF(Base!$D$2:$D$2878,B651)</f>
        <v>1</v>
      </c>
      <c r="G651" s="35" t="n">
        <f aca="false">SUMIF(Base!$D$2:$D$2878,B651,Base!$I$2:$I$2878)</f>
        <v>2497.2</v>
      </c>
      <c r="H651" s="36" t="n">
        <f aca="false">IF($G$2849=0,0,G651/$G$2849)</f>
        <v>0.00016387182357873</v>
      </c>
      <c r="I651" s="37" t="n">
        <f aca="false">I650+H651</f>
        <v>0.921545023228685</v>
      </c>
      <c r="J651" s="37" t="n">
        <f aca="false">A651/2840</f>
        <v>0.226760563380282</v>
      </c>
      <c r="K651" s="32" t="str">
        <f aca="false">IF(I651&lt;=$E$4,"A",IF(I651&lt;=$E$5,"B","C"))</f>
        <v>B</v>
      </c>
    </row>
    <row r="652" customFormat="false" ht="15" hidden="false" customHeight="false" outlineLevel="0" collapsed="false">
      <c r="A652" s="32" t="n">
        <v>645</v>
      </c>
      <c r="B652" s="33" t="n">
        <v>1386846</v>
      </c>
      <c r="C652" s="34" t="s">
        <v>1371</v>
      </c>
      <c r="D652" s="34" t="s">
        <v>1372</v>
      </c>
      <c r="E652" s="34" t="s">
        <v>100</v>
      </c>
      <c r="F652" s="32" t="n">
        <f aca="false">COUNTIF(Base!$D$2:$D$2878,B652)</f>
        <v>1</v>
      </c>
      <c r="G652" s="35" t="n">
        <f aca="false">SUMIF(Base!$D$2:$D$2878,B652,Base!$I$2:$I$2878)</f>
        <v>2494.69</v>
      </c>
      <c r="H652" s="36" t="n">
        <f aca="false">IF($G$2849=0,0,G652/$G$2849)</f>
        <v>0.000163707111790654</v>
      </c>
      <c r="I652" s="37" t="n">
        <f aca="false">I651+H652</f>
        <v>0.921708730340475</v>
      </c>
      <c r="J652" s="37" t="n">
        <f aca="false">A652/2840</f>
        <v>0.227112676056338</v>
      </c>
      <c r="K652" s="32" t="str">
        <f aca="false">IF(I652&lt;=$E$4,"A",IF(I652&lt;=$E$5,"B","C"))</f>
        <v>B</v>
      </c>
    </row>
    <row r="653" customFormat="false" ht="15" hidden="false" customHeight="false" outlineLevel="0" collapsed="false">
      <c r="A653" s="32" t="n">
        <v>646</v>
      </c>
      <c r="B653" s="33" t="n">
        <v>1384746</v>
      </c>
      <c r="C653" s="34" t="s">
        <v>1373</v>
      </c>
      <c r="D653" s="34" t="s">
        <v>1374</v>
      </c>
      <c r="E653" s="34" t="s">
        <v>38</v>
      </c>
      <c r="F653" s="32" t="n">
        <f aca="false">COUNTIF(Base!$D$2:$D$2878,B653)</f>
        <v>1</v>
      </c>
      <c r="G653" s="35" t="n">
        <f aca="false">SUMIF(Base!$D$2:$D$2878,B653,Base!$I$2:$I$2878)</f>
        <v>2491.92</v>
      </c>
      <c r="H653" s="36" t="n">
        <f aca="false">IF($G$2849=0,0,G653/$G$2849)</f>
        <v>0.000163525338223734</v>
      </c>
      <c r="I653" s="37" t="n">
        <f aca="false">I652+H653</f>
        <v>0.921872255678699</v>
      </c>
      <c r="J653" s="37" t="n">
        <f aca="false">A653/2840</f>
        <v>0.227464788732394</v>
      </c>
      <c r="K653" s="32" t="str">
        <f aca="false">IF(I653&lt;=$E$4,"A",IF(I653&lt;=$E$5,"B","C"))</f>
        <v>B</v>
      </c>
    </row>
    <row r="654" customFormat="false" ht="15" hidden="false" customHeight="false" outlineLevel="0" collapsed="false">
      <c r="A654" s="32" t="n">
        <v>647</v>
      </c>
      <c r="B654" s="33" t="n">
        <v>855301</v>
      </c>
      <c r="C654" s="34" t="s">
        <v>1375</v>
      </c>
      <c r="D654" s="34" t="s">
        <v>1376</v>
      </c>
      <c r="E654" s="34" t="s">
        <v>130</v>
      </c>
      <c r="F654" s="32" t="n">
        <f aca="false">COUNTIF(Base!$D$2:$D$2878,B654)</f>
        <v>1</v>
      </c>
      <c r="G654" s="35" t="n">
        <f aca="false">SUMIF(Base!$D$2:$D$2878,B654,Base!$I$2:$I$2878)</f>
        <v>2490</v>
      </c>
      <c r="H654" s="36" t="n">
        <f aca="false">IF($G$2849=0,0,G654/$G$2849)</f>
        <v>0.00016339934354919</v>
      </c>
      <c r="I654" s="37" t="n">
        <f aca="false">I653+H654</f>
        <v>0.922035655022248</v>
      </c>
      <c r="J654" s="37" t="n">
        <f aca="false">A654/2840</f>
        <v>0.227816901408451</v>
      </c>
      <c r="K654" s="32" t="str">
        <f aca="false">IF(I654&lt;=$E$4,"A",IF(I654&lt;=$E$5,"B","C"))</f>
        <v>B</v>
      </c>
    </row>
    <row r="655" customFormat="false" ht="15" hidden="false" customHeight="false" outlineLevel="0" collapsed="false">
      <c r="A655" s="32" t="n">
        <v>648</v>
      </c>
      <c r="B655" s="33" t="n">
        <v>1472194</v>
      </c>
      <c r="C655" s="34" t="s">
        <v>1377</v>
      </c>
      <c r="D655" s="34" t="s">
        <v>1378</v>
      </c>
      <c r="E655" s="34" t="s">
        <v>355</v>
      </c>
      <c r="F655" s="32" t="n">
        <f aca="false">COUNTIF(Base!$D$2:$D$2878,B655)</f>
        <v>1</v>
      </c>
      <c r="G655" s="35" t="n">
        <f aca="false">SUMIF(Base!$D$2:$D$2878,B655,Base!$I$2:$I$2878)</f>
        <v>2490</v>
      </c>
      <c r="H655" s="36" t="n">
        <f aca="false">IF($G$2849=0,0,G655/$G$2849)</f>
        <v>0.00016339934354919</v>
      </c>
      <c r="I655" s="37" t="n">
        <f aca="false">I654+H655</f>
        <v>0.922199054365797</v>
      </c>
      <c r="J655" s="37" t="n">
        <f aca="false">A655/2840</f>
        <v>0.228169014084507</v>
      </c>
      <c r="K655" s="32" t="str">
        <f aca="false">IF(I655&lt;=$E$4,"A",IF(I655&lt;=$E$5,"B","C"))</f>
        <v>B</v>
      </c>
    </row>
    <row r="656" customFormat="false" ht="15" hidden="false" customHeight="false" outlineLevel="0" collapsed="false">
      <c r="A656" s="32" t="n">
        <v>649</v>
      </c>
      <c r="B656" s="33" t="n">
        <v>1326887</v>
      </c>
      <c r="C656" s="34" t="s">
        <v>1379</v>
      </c>
      <c r="D656" s="34" t="s">
        <v>1380</v>
      </c>
      <c r="E656" s="34" t="s">
        <v>38</v>
      </c>
      <c r="F656" s="32" t="n">
        <f aca="false">COUNTIF(Base!$D$2:$D$2878,B656)</f>
        <v>1</v>
      </c>
      <c r="G656" s="35" t="n">
        <f aca="false">SUMIF(Base!$D$2:$D$2878,B656,Base!$I$2:$I$2878)</f>
        <v>2482.96</v>
      </c>
      <c r="H656" s="36" t="n">
        <f aca="false">IF($G$2849=0,0,G656/$G$2849)</f>
        <v>0.000162937363075862</v>
      </c>
      <c r="I656" s="37" t="n">
        <f aca="false">I655+H656</f>
        <v>0.922361991728873</v>
      </c>
      <c r="J656" s="37" t="n">
        <f aca="false">A656/2840</f>
        <v>0.228521126760563</v>
      </c>
      <c r="K656" s="32" t="str">
        <f aca="false">IF(I656&lt;=$E$4,"A",IF(I656&lt;=$E$5,"B","C"))</f>
        <v>B</v>
      </c>
    </row>
    <row r="657" customFormat="false" ht="15" hidden="false" customHeight="false" outlineLevel="0" collapsed="false">
      <c r="A657" s="32" t="n">
        <v>650</v>
      </c>
      <c r="B657" s="33" t="n">
        <v>946716</v>
      </c>
      <c r="C657" s="34" t="s">
        <v>1381</v>
      </c>
      <c r="D657" s="34" t="s">
        <v>1382</v>
      </c>
      <c r="E657" s="34" t="s">
        <v>130</v>
      </c>
      <c r="F657" s="32" t="n">
        <f aca="false">COUNTIF(Base!$D$2:$D$2878,B657)</f>
        <v>1</v>
      </c>
      <c r="G657" s="35" t="n">
        <f aca="false">SUMIF(Base!$D$2:$D$2878,B657,Base!$I$2:$I$2878)</f>
        <v>2475.2</v>
      </c>
      <c r="H657" s="36" t="n">
        <f aca="false">IF($G$2849=0,0,G657/$G$2849)</f>
        <v>0.000162428134599581</v>
      </c>
      <c r="I657" s="37" t="n">
        <f aca="false">I656+H657</f>
        <v>0.922524419863473</v>
      </c>
      <c r="J657" s="37" t="n">
        <f aca="false">A657/2840</f>
        <v>0.22887323943662</v>
      </c>
      <c r="K657" s="32" t="str">
        <f aca="false">IF(I657&lt;=$E$4,"A",IF(I657&lt;=$E$5,"B","C"))</f>
        <v>B</v>
      </c>
    </row>
    <row r="658" customFormat="false" ht="15" hidden="false" customHeight="false" outlineLevel="0" collapsed="false">
      <c r="A658" s="32" t="n">
        <v>651</v>
      </c>
      <c r="B658" s="33" t="n">
        <v>1680621</v>
      </c>
      <c r="C658" s="34" t="s">
        <v>1383</v>
      </c>
      <c r="D658" s="34" t="s">
        <v>1384</v>
      </c>
      <c r="E658" s="34" t="s">
        <v>705</v>
      </c>
      <c r="F658" s="32" t="n">
        <f aca="false">COUNTIF(Base!$D$2:$D$2878,B658)</f>
        <v>1</v>
      </c>
      <c r="G658" s="35" t="n">
        <f aca="false">SUMIF(Base!$D$2:$D$2878,B658,Base!$I$2:$I$2878)</f>
        <v>2464.86</v>
      </c>
      <c r="H658" s="36" t="n">
        <f aca="false">IF($G$2849=0,0,G658/$G$2849)</f>
        <v>0.00016174960077938</v>
      </c>
      <c r="I658" s="37" t="n">
        <f aca="false">I657+H658</f>
        <v>0.922686169464252</v>
      </c>
      <c r="J658" s="37" t="n">
        <f aca="false">A658/2840</f>
        <v>0.229225352112676</v>
      </c>
      <c r="K658" s="32" t="str">
        <f aca="false">IF(I658&lt;=$E$4,"A",IF(I658&lt;=$E$5,"B","C"))</f>
        <v>B</v>
      </c>
    </row>
    <row r="659" customFormat="false" ht="15" hidden="false" customHeight="false" outlineLevel="0" collapsed="false">
      <c r="A659" s="32" t="n">
        <v>652</v>
      </c>
      <c r="B659" s="33" t="n">
        <v>1615272</v>
      </c>
      <c r="C659" s="34" t="s">
        <v>1385</v>
      </c>
      <c r="D659" s="34" t="s">
        <v>1386</v>
      </c>
      <c r="E659" s="34" t="s">
        <v>38</v>
      </c>
      <c r="F659" s="32" t="n">
        <f aca="false">COUNTIF(Base!$D$2:$D$2878,B659)</f>
        <v>1</v>
      </c>
      <c r="G659" s="35" t="n">
        <f aca="false">SUMIF(Base!$D$2:$D$2878,B659,Base!$I$2:$I$2878)</f>
        <v>2464.8</v>
      </c>
      <c r="H659" s="36" t="n">
        <f aca="false">IF($G$2849=0,0,G659/$G$2849)</f>
        <v>0.000161745663445801</v>
      </c>
      <c r="I659" s="37" t="n">
        <f aca="false">I658+H659</f>
        <v>0.922847915127698</v>
      </c>
      <c r="J659" s="37" t="n">
        <f aca="false">A659/2840</f>
        <v>0.229577464788732</v>
      </c>
      <c r="K659" s="32" t="str">
        <f aca="false">IF(I659&lt;=$E$4,"A",IF(I659&lt;=$E$5,"B","C"))</f>
        <v>B</v>
      </c>
    </row>
    <row r="660" customFormat="false" ht="15" hidden="false" customHeight="false" outlineLevel="0" collapsed="false">
      <c r="A660" s="32" t="n">
        <v>653</v>
      </c>
      <c r="B660" s="33" t="n">
        <v>19246</v>
      </c>
      <c r="C660" s="34" t="s">
        <v>1387</v>
      </c>
      <c r="D660" s="34" t="s">
        <v>1388</v>
      </c>
      <c r="E660" s="34" t="s">
        <v>93</v>
      </c>
      <c r="F660" s="32" t="n">
        <f aca="false">COUNTIF(Base!$D$2:$D$2878,B660)</f>
        <v>1</v>
      </c>
      <c r="G660" s="35" t="n">
        <f aca="false">SUMIF(Base!$D$2:$D$2878,B660,Base!$I$2:$I$2878)</f>
        <v>2450</v>
      </c>
      <c r="H660" s="36" t="n">
        <f aca="false">IF($G$2849=0,0,G660/$G$2849)</f>
        <v>0.000160774454496191</v>
      </c>
      <c r="I660" s="37" t="n">
        <f aca="false">I659+H660</f>
        <v>0.923008689582194</v>
      </c>
      <c r="J660" s="37" t="n">
        <f aca="false">A660/2840</f>
        <v>0.229929577464789</v>
      </c>
      <c r="K660" s="32" t="str">
        <f aca="false">IF(I660&lt;=$E$4,"A",IF(I660&lt;=$E$5,"B","C"))</f>
        <v>B</v>
      </c>
    </row>
    <row r="661" customFormat="false" ht="15" hidden="false" customHeight="false" outlineLevel="0" collapsed="false">
      <c r="A661" s="32" t="n">
        <v>654</v>
      </c>
      <c r="B661" s="33" t="n">
        <v>945235</v>
      </c>
      <c r="C661" s="34" t="s">
        <v>1389</v>
      </c>
      <c r="D661" s="34" t="s">
        <v>1390</v>
      </c>
      <c r="E661" s="34" t="s">
        <v>605</v>
      </c>
      <c r="F661" s="32" t="n">
        <f aca="false">COUNTIF(Base!$D$2:$D$2878,B661)</f>
        <v>1</v>
      </c>
      <c r="G661" s="35" t="n">
        <f aca="false">SUMIF(Base!$D$2:$D$2878,B661,Base!$I$2:$I$2878)</f>
        <v>2450</v>
      </c>
      <c r="H661" s="36" t="n">
        <f aca="false">IF($G$2849=0,0,G661/$G$2849)</f>
        <v>0.000160774454496191</v>
      </c>
      <c r="I661" s="37" t="n">
        <f aca="false">I660+H661</f>
        <v>0.92316946403669</v>
      </c>
      <c r="J661" s="37" t="n">
        <f aca="false">A661/2840</f>
        <v>0.230281690140845</v>
      </c>
      <c r="K661" s="32" t="str">
        <f aca="false">IF(I661&lt;=$E$4,"A",IF(I661&lt;=$E$5,"B","C"))</f>
        <v>B</v>
      </c>
    </row>
    <row r="662" customFormat="false" ht="15" hidden="false" customHeight="false" outlineLevel="0" collapsed="false">
      <c r="A662" s="32" t="n">
        <v>655</v>
      </c>
      <c r="B662" s="33" t="n">
        <v>387475</v>
      </c>
      <c r="C662" s="34" t="s">
        <v>1391</v>
      </c>
      <c r="D662" s="34" t="s">
        <v>1392</v>
      </c>
      <c r="E662" s="34" t="s">
        <v>38</v>
      </c>
      <c r="F662" s="32" t="n">
        <f aca="false">COUNTIF(Base!$D$2:$D$2878,B662)</f>
        <v>1</v>
      </c>
      <c r="G662" s="35" t="n">
        <f aca="false">SUMIF(Base!$D$2:$D$2878,B662,Base!$I$2:$I$2878)</f>
        <v>2447.09</v>
      </c>
      <c r="H662" s="36" t="n">
        <f aca="false">IF($G$2849=0,0,G662/$G$2849)</f>
        <v>0.000160583493817586</v>
      </c>
      <c r="I662" s="37" t="n">
        <f aca="false">I661+H662</f>
        <v>0.923330047530508</v>
      </c>
      <c r="J662" s="37" t="n">
        <f aca="false">A662/2840</f>
        <v>0.230633802816901</v>
      </c>
      <c r="K662" s="32" t="str">
        <f aca="false">IF(I662&lt;=$E$4,"A",IF(I662&lt;=$E$5,"B","C"))</f>
        <v>B</v>
      </c>
    </row>
    <row r="663" customFormat="false" ht="15" hidden="false" customHeight="false" outlineLevel="0" collapsed="false">
      <c r="A663" s="32" t="n">
        <v>656</v>
      </c>
      <c r="B663" s="33" t="n">
        <v>946250</v>
      </c>
      <c r="C663" s="34" t="s">
        <v>1393</v>
      </c>
      <c r="D663" s="34" t="s">
        <v>1394</v>
      </c>
      <c r="E663" s="34" t="s">
        <v>130</v>
      </c>
      <c r="F663" s="32" t="n">
        <f aca="false">COUNTIF(Base!$D$2:$D$2878,B663)</f>
        <v>1</v>
      </c>
      <c r="G663" s="35" t="n">
        <f aca="false">SUMIF(Base!$D$2:$D$2878,B663,Base!$I$2:$I$2878)</f>
        <v>2445</v>
      </c>
      <c r="H663" s="36" t="n">
        <f aca="false">IF($G$2849=0,0,G663/$G$2849)</f>
        <v>0.000160446343364566</v>
      </c>
      <c r="I663" s="37" t="n">
        <f aca="false">I662+H663</f>
        <v>0.923490493873872</v>
      </c>
      <c r="J663" s="37" t="n">
        <f aca="false">A663/2840</f>
        <v>0.230985915492958</v>
      </c>
      <c r="K663" s="32" t="str">
        <f aca="false">IF(I663&lt;=$E$4,"A",IF(I663&lt;=$E$5,"B","C"))</f>
        <v>B</v>
      </c>
    </row>
    <row r="664" customFormat="false" ht="15" hidden="false" customHeight="false" outlineLevel="0" collapsed="false">
      <c r="A664" s="32" t="n">
        <v>657</v>
      </c>
      <c r="B664" s="33" t="n">
        <v>24192</v>
      </c>
      <c r="C664" s="34" t="s">
        <v>1395</v>
      </c>
      <c r="D664" s="34" t="s">
        <v>1396</v>
      </c>
      <c r="E664" s="34" t="s">
        <v>130</v>
      </c>
      <c r="F664" s="32" t="n">
        <f aca="false">COUNTIF(Base!$D$2:$D$2878,B664)</f>
        <v>1</v>
      </c>
      <c r="G664" s="35" t="n">
        <f aca="false">SUMIF(Base!$D$2:$D$2878,B664,Base!$I$2:$I$2878)</f>
        <v>2443.96</v>
      </c>
      <c r="H664" s="36" t="n">
        <f aca="false">IF($G$2849=0,0,G664/$G$2849)</f>
        <v>0.000160378096249188</v>
      </c>
      <c r="I664" s="37" t="n">
        <f aca="false">I663+H664</f>
        <v>0.923650871970121</v>
      </c>
      <c r="J664" s="37" t="n">
        <f aca="false">A664/2840</f>
        <v>0.231338028169014</v>
      </c>
      <c r="K664" s="32" t="str">
        <f aca="false">IF(I664&lt;=$E$4,"A",IF(I664&lt;=$E$5,"B","C"))</f>
        <v>B</v>
      </c>
    </row>
    <row r="665" customFormat="false" ht="15" hidden="false" customHeight="false" outlineLevel="0" collapsed="false">
      <c r="A665" s="32" t="n">
        <v>658</v>
      </c>
      <c r="B665" s="33" t="n">
        <v>23975</v>
      </c>
      <c r="C665" s="34" t="s">
        <v>1397</v>
      </c>
      <c r="D665" s="34" t="s">
        <v>1398</v>
      </c>
      <c r="E665" s="34" t="s">
        <v>170</v>
      </c>
      <c r="F665" s="32" t="n">
        <f aca="false">COUNTIF(Base!$D$2:$D$2878,B665)</f>
        <v>1</v>
      </c>
      <c r="G665" s="35" t="n">
        <f aca="false">SUMIF(Base!$D$2:$D$2878,B665,Base!$I$2:$I$2878)</f>
        <v>2442.34</v>
      </c>
      <c r="H665" s="36" t="n">
        <f aca="false">IF($G$2849=0,0,G665/$G$2849)</f>
        <v>0.000160271788242542</v>
      </c>
      <c r="I665" s="37" t="n">
        <f aca="false">I664+H665</f>
        <v>0.923811143758364</v>
      </c>
      <c r="J665" s="37" t="n">
        <f aca="false">A665/2840</f>
        <v>0.23169014084507</v>
      </c>
      <c r="K665" s="32" t="str">
        <f aca="false">IF(I665&lt;=$E$4,"A",IF(I665&lt;=$E$5,"B","C"))</f>
        <v>B</v>
      </c>
    </row>
    <row r="666" customFormat="false" ht="15" hidden="false" customHeight="false" outlineLevel="0" collapsed="false">
      <c r="A666" s="32" t="n">
        <v>659</v>
      </c>
      <c r="B666" s="33" t="n">
        <v>57449</v>
      </c>
      <c r="C666" s="34" t="s">
        <v>1399</v>
      </c>
      <c r="D666" s="34" t="s">
        <v>1400</v>
      </c>
      <c r="E666" s="34" t="s">
        <v>130</v>
      </c>
      <c r="F666" s="32" t="n">
        <f aca="false">COUNTIF(Base!$D$2:$D$2878,B666)</f>
        <v>1</v>
      </c>
      <c r="G666" s="35" t="n">
        <f aca="false">SUMIF(Base!$D$2:$D$2878,B666,Base!$I$2:$I$2878)</f>
        <v>2432</v>
      </c>
      <c r="H666" s="36" t="n">
        <f aca="false">IF($G$2849=0,0,G666/$G$2849)</f>
        <v>0.000159593254422342</v>
      </c>
      <c r="I666" s="37" t="n">
        <f aca="false">I665+H666</f>
        <v>0.923970737012786</v>
      </c>
      <c r="J666" s="37" t="n">
        <f aca="false">A666/2840</f>
        <v>0.232042253521127</v>
      </c>
      <c r="K666" s="32" t="str">
        <f aca="false">IF(I666&lt;=$E$4,"A",IF(I666&lt;=$E$5,"B","C"))</f>
        <v>B</v>
      </c>
    </row>
    <row r="667" customFormat="false" ht="15" hidden="false" customHeight="false" outlineLevel="0" collapsed="false">
      <c r="A667" s="32" t="n">
        <v>660</v>
      </c>
      <c r="B667" s="33" t="n">
        <v>429119</v>
      </c>
      <c r="C667" s="34" t="s">
        <v>1401</v>
      </c>
      <c r="D667" s="34" t="s">
        <v>1402</v>
      </c>
      <c r="E667" s="34" t="s">
        <v>133</v>
      </c>
      <c r="F667" s="32" t="n">
        <f aca="false">COUNTIF(Base!$D$2:$D$2878,B667)</f>
        <v>1</v>
      </c>
      <c r="G667" s="35" t="n">
        <f aca="false">SUMIF(Base!$D$2:$D$2878,B667,Base!$I$2:$I$2878)</f>
        <v>2432</v>
      </c>
      <c r="H667" s="36" t="n">
        <f aca="false">IF($G$2849=0,0,G667/$G$2849)</f>
        <v>0.000159593254422342</v>
      </c>
      <c r="I667" s="37" t="n">
        <f aca="false">I666+H667</f>
        <v>0.924130330267209</v>
      </c>
      <c r="J667" s="37" t="n">
        <f aca="false">A667/2840</f>
        <v>0.232394366197183</v>
      </c>
      <c r="K667" s="32" t="str">
        <f aca="false">IF(I667&lt;=$E$4,"A",IF(I667&lt;=$E$5,"B","C"))</f>
        <v>B</v>
      </c>
    </row>
    <row r="668" customFormat="false" ht="15" hidden="false" customHeight="false" outlineLevel="0" collapsed="false">
      <c r="A668" s="32" t="n">
        <v>661</v>
      </c>
      <c r="B668" s="33" t="n">
        <v>884817</v>
      </c>
      <c r="C668" s="34" t="s">
        <v>1403</v>
      </c>
      <c r="D668" s="34" t="s">
        <v>1404</v>
      </c>
      <c r="E668" s="34" t="s">
        <v>189</v>
      </c>
      <c r="F668" s="32" t="n">
        <f aca="false">COUNTIF(Base!$D$2:$D$2878,B668)</f>
        <v>1</v>
      </c>
      <c r="G668" s="35" t="n">
        <f aca="false">SUMIF(Base!$D$2:$D$2878,B668,Base!$I$2:$I$2878)</f>
        <v>2425.2</v>
      </c>
      <c r="H668" s="36" t="n">
        <f aca="false">IF($G$2849=0,0,G668/$G$2849)</f>
        <v>0.000159147023283332</v>
      </c>
      <c r="I668" s="37" t="n">
        <f aca="false">I667+H668</f>
        <v>0.924289477290492</v>
      </c>
      <c r="J668" s="37" t="n">
        <f aca="false">A668/2840</f>
        <v>0.232746478873239</v>
      </c>
      <c r="K668" s="32" t="str">
        <f aca="false">IF(I668&lt;=$E$4,"A",IF(I668&lt;=$E$5,"B","C"))</f>
        <v>B</v>
      </c>
    </row>
    <row r="669" customFormat="false" ht="15" hidden="false" customHeight="false" outlineLevel="0" collapsed="false">
      <c r="A669" s="32" t="n">
        <v>662</v>
      </c>
      <c r="B669" s="33" t="n">
        <v>19787</v>
      </c>
      <c r="C669" s="34" t="s">
        <v>1405</v>
      </c>
      <c r="D669" s="34" t="s">
        <v>1406</v>
      </c>
      <c r="E669" s="34" t="s">
        <v>605</v>
      </c>
      <c r="F669" s="32" t="n">
        <f aca="false">COUNTIF(Base!$D$2:$D$2878,B669)</f>
        <v>1</v>
      </c>
      <c r="G669" s="35" t="n">
        <f aca="false">SUMIF(Base!$D$2:$D$2878,B669,Base!$I$2:$I$2878)</f>
        <v>2420</v>
      </c>
      <c r="H669" s="36" t="n">
        <f aca="false">IF($G$2849=0,0,G669/$G$2849)</f>
        <v>0.000158805787706442</v>
      </c>
      <c r="I669" s="37" t="n">
        <f aca="false">I668+H669</f>
        <v>0.924448283078198</v>
      </c>
      <c r="J669" s="37" t="n">
        <f aca="false">A669/2840</f>
        <v>0.233098591549296</v>
      </c>
      <c r="K669" s="32" t="str">
        <f aca="false">IF(I669&lt;=$E$4,"A",IF(I669&lt;=$E$5,"B","C"))</f>
        <v>B</v>
      </c>
    </row>
    <row r="670" customFormat="false" ht="15" hidden="false" customHeight="false" outlineLevel="0" collapsed="false">
      <c r="A670" s="32" t="n">
        <v>663</v>
      </c>
      <c r="B670" s="33" t="n">
        <v>747839</v>
      </c>
      <c r="C670" s="34" t="s">
        <v>1407</v>
      </c>
      <c r="D670" s="34" t="s">
        <v>1408</v>
      </c>
      <c r="E670" s="34" t="s">
        <v>835</v>
      </c>
      <c r="F670" s="32" t="n">
        <f aca="false">COUNTIF(Base!$D$2:$D$2878,B670)</f>
        <v>1</v>
      </c>
      <c r="G670" s="35" t="n">
        <f aca="false">SUMIF(Base!$D$2:$D$2878,B670,Base!$I$2:$I$2878)</f>
        <v>2409.97</v>
      </c>
      <c r="H670" s="36" t="n">
        <f aca="false">IF($G$2849=0,0,G670/$G$2849)</f>
        <v>0.000158147596776402</v>
      </c>
      <c r="I670" s="37" t="n">
        <f aca="false">I669+H670</f>
        <v>0.924606430674975</v>
      </c>
      <c r="J670" s="37" t="n">
        <f aca="false">A670/2840</f>
        <v>0.233450704225352</v>
      </c>
      <c r="K670" s="32" t="str">
        <f aca="false">IF(I670&lt;=$E$4,"A",IF(I670&lt;=$E$5,"B","C"))</f>
        <v>B</v>
      </c>
    </row>
    <row r="671" customFormat="false" ht="15" hidden="false" customHeight="false" outlineLevel="0" collapsed="false">
      <c r="A671" s="32" t="n">
        <v>664</v>
      </c>
      <c r="B671" s="33" t="n">
        <v>888891</v>
      </c>
      <c r="C671" s="34" t="s">
        <v>1409</v>
      </c>
      <c r="D671" s="34" t="s">
        <v>1410</v>
      </c>
      <c r="E671" s="34" t="s">
        <v>457</v>
      </c>
      <c r="F671" s="32" t="n">
        <f aca="false">COUNTIF(Base!$D$2:$D$2878,B671)</f>
        <v>1</v>
      </c>
      <c r="G671" s="35" t="n">
        <f aca="false">SUMIF(Base!$D$2:$D$2878,B671,Base!$I$2:$I$2878)</f>
        <v>2402.4</v>
      </c>
      <c r="H671" s="36" t="n">
        <f aca="false">IF($G$2849=0,0,G671/$G$2849)</f>
        <v>0.000157650836523122</v>
      </c>
      <c r="I671" s="37" t="n">
        <f aca="false">I670+H671</f>
        <v>0.924764081511498</v>
      </c>
      <c r="J671" s="37" t="n">
        <f aca="false">A671/2840</f>
        <v>0.233802816901408</v>
      </c>
      <c r="K671" s="32" t="str">
        <f aca="false">IF(I671&lt;=$E$4,"A",IF(I671&lt;=$E$5,"B","C"))</f>
        <v>B</v>
      </c>
    </row>
    <row r="672" customFormat="false" ht="15" hidden="false" customHeight="false" outlineLevel="0" collapsed="false">
      <c r="A672" s="32" t="n">
        <v>665</v>
      </c>
      <c r="B672" s="33" t="n">
        <v>1330449</v>
      </c>
      <c r="C672" s="34" t="s">
        <v>1411</v>
      </c>
      <c r="D672" s="34" t="s">
        <v>1412</v>
      </c>
      <c r="E672" s="34" t="s">
        <v>54</v>
      </c>
      <c r="F672" s="32" t="n">
        <f aca="false">COUNTIF(Base!$D$2:$D$2878,B672)</f>
        <v>1</v>
      </c>
      <c r="G672" s="35" t="n">
        <f aca="false">SUMIF(Base!$D$2:$D$2878,B672,Base!$I$2:$I$2878)</f>
        <v>2401.25</v>
      </c>
      <c r="H672" s="36" t="n">
        <f aca="false">IF($G$2849=0,0,G672/$G$2849)</f>
        <v>0.000157575370962849</v>
      </c>
      <c r="I672" s="37" t="n">
        <f aca="false">I671+H672</f>
        <v>0.924921656882461</v>
      </c>
      <c r="J672" s="37" t="n">
        <f aca="false">A672/2840</f>
        <v>0.234154929577465</v>
      </c>
      <c r="K672" s="32" t="str">
        <f aca="false">IF(I672&lt;=$E$4,"A",IF(I672&lt;=$E$5,"B","C"))</f>
        <v>B</v>
      </c>
    </row>
    <row r="673" customFormat="false" ht="15" hidden="false" customHeight="false" outlineLevel="0" collapsed="false">
      <c r="A673" s="32" t="n">
        <v>666</v>
      </c>
      <c r="B673" s="33" t="n">
        <v>18803</v>
      </c>
      <c r="C673" s="34" t="s">
        <v>1413</v>
      </c>
      <c r="D673" s="34" t="s">
        <v>1414</v>
      </c>
      <c r="E673" s="34" t="s">
        <v>247</v>
      </c>
      <c r="F673" s="32" t="n">
        <f aca="false">COUNTIF(Base!$D$2:$D$2878,B673)</f>
        <v>1</v>
      </c>
      <c r="G673" s="35" t="n">
        <f aca="false">SUMIF(Base!$D$2:$D$2878,B673,Base!$I$2:$I$2878)</f>
        <v>2400</v>
      </c>
      <c r="H673" s="36" t="n">
        <f aca="false">IF($G$2849=0,0,G673/$G$2849)</f>
        <v>0.000157493343179942</v>
      </c>
      <c r="I673" s="37" t="n">
        <f aca="false">I672+H673</f>
        <v>0.925079150225641</v>
      </c>
      <c r="J673" s="37" t="n">
        <f aca="false">A673/2840</f>
        <v>0.234507042253521</v>
      </c>
      <c r="K673" s="32" t="str">
        <f aca="false">IF(I673&lt;=$E$4,"A",IF(I673&lt;=$E$5,"B","C"))</f>
        <v>B</v>
      </c>
    </row>
    <row r="674" customFormat="false" ht="15" hidden="false" customHeight="false" outlineLevel="0" collapsed="false">
      <c r="A674" s="32" t="n">
        <v>667</v>
      </c>
      <c r="B674" s="33" t="n">
        <v>18804</v>
      </c>
      <c r="C674" s="34" t="s">
        <v>1415</v>
      </c>
      <c r="D674" s="34" t="s">
        <v>1416</v>
      </c>
      <c r="E674" s="34" t="s">
        <v>247</v>
      </c>
      <c r="F674" s="32" t="n">
        <f aca="false">COUNTIF(Base!$D$2:$D$2878,B674)</f>
        <v>1</v>
      </c>
      <c r="G674" s="35" t="n">
        <f aca="false">SUMIF(Base!$D$2:$D$2878,B674,Base!$I$2:$I$2878)</f>
        <v>2400</v>
      </c>
      <c r="H674" s="36" t="n">
        <f aca="false">IF($G$2849=0,0,G674/$G$2849)</f>
        <v>0.000157493343179942</v>
      </c>
      <c r="I674" s="37" t="n">
        <f aca="false">I673+H674</f>
        <v>0.925236643568821</v>
      </c>
      <c r="J674" s="37" t="n">
        <f aca="false">A674/2840</f>
        <v>0.234859154929577</v>
      </c>
      <c r="K674" s="32" t="str">
        <f aca="false">IF(I674&lt;=$E$4,"A",IF(I674&lt;=$E$5,"B","C"))</f>
        <v>B</v>
      </c>
    </row>
    <row r="675" customFormat="false" ht="15" hidden="false" customHeight="false" outlineLevel="0" collapsed="false">
      <c r="A675" s="32" t="n">
        <v>668</v>
      </c>
      <c r="B675" s="33" t="n">
        <v>838115</v>
      </c>
      <c r="C675" s="34" t="s">
        <v>1417</v>
      </c>
      <c r="D675" s="34" t="s">
        <v>1418</v>
      </c>
      <c r="E675" s="34" t="s">
        <v>1034</v>
      </c>
      <c r="F675" s="32" t="n">
        <f aca="false">COUNTIF(Base!$D$2:$D$2878,B675)</f>
        <v>1</v>
      </c>
      <c r="G675" s="35" t="n">
        <f aca="false">SUMIF(Base!$D$2:$D$2878,B675,Base!$I$2:$I$2878)</f>
        <v>2400</v>
      </c>
      <c r="H675" s="36" t="n">
        <f aca="false">IF($G$2849=0,0,G675/$G$2849)</f>
        <v>0.000157493343179942</v>
      </c>
      <c r="I675" s="37" t="n">
        <f aca="false">I674+H675</f>
        <v>0.925394136912001</v>
      </c>
      <c r="J675" s="37" t="n">
        <f aca="false">A675/2840</f>
        <v>0.235211267605634</v>
      </c>
      <c r="K675" s="32" t="str">
        <f aca="false">IF(I675&lt;=$E$4,"A",IF(I675&lt;=$E$5,"B","C"))</f>
        <v>B</v>
      </c>
    </row>
    <row r="676" customFormat="false" ht="15" hidden="false" customHeight="false" outlineLevel="0" collapsed="false">
      <c r="A676" s="32" t="n">
        <v>669</v>
      </c>
      <c r="B676" s="33" t="n">
        <v>19272</v>
      </c>
      <c r="C676" s="34" t="s">
        <v>1419</v>
      </c>
      <c r="D676" s="34" t="s">
        <v>1420</v>
      </c>
      <c r="E676" s="34" t="s">
        <v>75</v>
      </c>
      <c r="F676" s="32" t="n">
        <f aca="false">COUNTIF(Base!$D$2:$D$2878,B676)</f>
        <v>1</v>
      </c>
      <c r="G676" s="35" t="n">
        <f aca="false">SUMIF(Base!$D$2:$D$2878,B676,Base!$I$2:$I$2878)</f>
        <v>2396.4099</v>
      </c>
      <c r="H676" s="36" t="n">
        <f aca="false">IF($G$2849=0,0,G676/$G$2849)</f>
        <v>0.000157257752825213</v>
      </c>
      <c r="I676" s="37" t="n">
        <f aca="false">I675+H676</f>
        <v>0.925551394664826</v>
      </c>
      <c r="J676" s="37" t="n">
        <f aca="false">A676/2840</f>
        <v>0.23556338028169</v>
      </c>
      <c r="K676" s="32" t="str">
        <f aca="false">IF(I676&lt;=$E$4,"A",IF(I676&lt;=$E$5,"B","C"))</f>
        <v>B</v>
      </c>
    </row>
    <row r="677" customFormat="false" ht="15" hidden="false" customHeight="false" outlineLevel="0" collapsed="false">
      <c r="A677" s="32" t="n">
        <v>670</v>
      </c>
      <c r="B677" s="33" t="n">
        <v>834915</v>
      </c>
      <c r="C677" s="34" t="s">
        <v>1421</v>
      </c>
      <c r="D677" s="34" t="s">
        <v>1422</v>
      </c>
      <c r="E677" s="34" t="s">
        <v>35</v>
      </c>
      <c r="F677" s="32" t="n">
        <f aca="false">COUNTIF(Base!$D$2:$D$2878,B677)</f>
        <v>1</v>
      </c>
      <c r="G677" s="35" t="n">
        <f aca="false">SUMIF(Base!$D$2:$D$2878,B677,Base!$I$2:$I$2878)</f>
        <v>2391.84</v>
      </c>
      <c r="H677" s="36" t="n">
        <f aca="false">IF($G$2849=0,0,G677/$G$2849)</f>
        <v>0.000156957865813131</v>
      </c>
      <c r="I677" s="37" t="n">
        <f aca="false">I676+H677</f>
        <v>0.925708352530639</v>
      </c>
      <c r="J677" s="37" t="n">
        <f aca="false">A677/2840</f>
        <v>0.235915492957746</v>
      </c>
      <c r="K677" s="32" t="str">
        <f aca="false">IF(I677&lt;=$E$4,"A",IF(I677&lt;=$E$5,"B","C"))</f>
        <v>B</v>
      </c>
    </row>
    <row r="678" customFormat="false" ht="15" hidden="false" customHeight="false" outlineLevel="0" collapsed="false">
      <c r="A678" s="32" t="n">
        <v>671</v>
      </c>
      <c r="B678" s="33" t="n">
        <v>56166</v>
      </c>
      <c r="C678" s="34" t="s">
        <v>1423</v>
      </c>
      <c r="D678" s="34" t="s">
        <v>1424</v>
      </c>
      <c r="E678" s="34" t="s">
        <v>38</v>
      </c>
      <c r="F678" s="32" t="n">
        <f aca="false">COUNTIF(Base!$D$2:$D$2878,B678)</f>
        <v>1</v>
      </c>
      <c r="G678" s="35" t="n">
        <f aca="false">SUMIF(Base!$D$2:$D$2878,B678,Base!$I$2:$I$2878)</f>
        <v>2372.6</v>
      </c>
      <c r="H678" s="36" t="n">
        <f aca="false">IF($G$2849=0,0,G678/$G$2849)</f>
        <v>0.000155695294178638</v>
      </c>
      <c r="I678" s="37" t="n">
        <f aca="false">I677+H678</f>
        <v>0.925864047824818</v>
      </c>
      <c r="J678" s="37" t="n">
        <f aca="false">A678/2840</f>
        <v>0.236267605633803</v>
      </c>
      <c r="K678" s="32" t="str">
        <f aca="false">IF(I678&lt;=$E$4,"A",IF(I678&lt;=$E$5,"B","C"))</f>
        <v>B</v>
      </c>
    </row>
    <row r="679" customFormat="false" ht="15" hidden="false" customHeight="false" outlineLevel="0" collapsed="false">
      <c r="A679" s="32" t="n">
        <v>672</v>
      </c>
      <c r="B679" s="33" t="n">
        <v>1470935</v>
      </c>
      <c r="C679" s="34" t="s">
        <v>1425</v>
      </c>
      <c r="D679" s="34" t="s">
        <v>1426</v>
      </c>
      <c r="E679" s="34" t="s">
        <v>54</v>
      </c>
      <c r="F679" s="32" t="n">
        <f aca="false">COUNTIF(Base!$D$2:$D$2878,B679)</f>
        <v>1</v>
      </c>
      <c r="G679" s="35" t="n">
        <f aca="false">SUMIF(Base!$D$2:$D$2878,B679,Base!$I$2:$I$2878)</f>
        <v>2370</v>
      </c>
      <c r="H679" s="36" t="n">
        <f aca="false">IF($G$2849=0,0,G679/$G$2849)</f>
        <v>0.000155524676390193</v>
      </c>
      <c r="I679" s="37" t="n">
        <f aca="false">I678+H679</f>
        <v>0.926019572501208</v>
      </c>
      <c r="J679" s="37" t="n">
        <f aca="false">A679/2840</f>
        <v>0.236619718309859</v>
      </c>
      <c r="K679" s="32" t="str">
        <f aca="false">IF(I679&lt;=$E$4,"A",IF(I679&lt;=$E$5,"B","C"))</f>
        <v>B</v>
      </c>
    </row>
    <row r="680" customFormat="false" ht="15" hidden="false" customHeight="false" outlineLevel="0" collapsed="false">
      <c r="A680" s="32" t="n">
        <v>673</v>
      </c>
      <c r="B680" s="33" t="n">
        <v>1475226</v>
      </c>
      <c r="C680" s="34" t="s">
        <v>1427</v>
      </c>
      <c r="D680" s="34" t="s">
        <v>1428</v>
      </c>
      <c r="E680" s="34" t="s">
        <v>38</v>
      </c>
      <c r="F680" s="32" t="n">
        <f aca="false">COUNTIF(Base!$D$2:$D$2878,B680)</f>
        <v>1</v>
      </c>
      <c r="G680" s="35" t="n">
        <f aca="false">SUMIF(Base!$D$2:$D$2878,B680,Base!$I$2:$I$2878)</f>
        <v>2367.96</v>
      </c>
      <c r="H680" s="36" t="n">
        <f aca="false">IF($G$2849=0,0,G680/$G$2849)</f>
        <v>0.00015539080704849</v>
      </c>
      <c r="I680" s="37" t="n">
        <f aca="false">I679+H680</f>
        <v>0.926174963308256</v>
      </c>
      <c r="J680" s="37" t="n">
        <f aca="false">A680/2840</f>
        <v>0.236971830985915</v>
      </c>
      <c r="K680" s="32" t="str">
        <f aca="false">IF(I680&lt;=$E$4,"A",IF(I680&lt;=$E$5,"B","C"))</f>
        <v>B</v>
      </c>
    </row>
    <row r="681" customFormat="false" ht="15" hidden="false" customHeight="false" outlineLevel="0" collapsed="false">
      <c r="A681" s="32" t="n">
        <v>674</v>
      </c>
      <c r="B681" s="33" t="n">
        <v>18848</v>
      </c>
      <c r="C681" s="34" t="s">
        <v>1429</v>
      </c>
      <c r="D681" s="34" t="s">
        <v>1430</v>
      </c>
      <c r="E681" s="34" t="s">
        <v>247</v>
      </c>
      <c r="F681" s="32" t="n">
        <f aca="false">COUNTIF(Base!$D$2:$D$2878,B681)</f>
        <v>1</v>
      </c>
      <c r="G681" s="35" t="n">
        <f aca="false">SUMIF(Base!$D$2:$D$2878,B681,Base!$I$2:$I$2878)</f>
        <v>2365.62</v>
      </c>
      <c r="H681" s="36" t="n">
        <f aca="false">IF($G$2849=0,0,G681/$G$2849)</f>
        <v>0.00015523725103889</v>
      </c>
      <c r="I681" s="37" t="n">
        <f aca="false">I680+H681</f>
        <v>0.926330200559295</v>
      </c>
      <c r="J681" s="37" t="n">
        <f aca="false">A681/2840</f>
        <v>0.237323943661972</v>
      </c>
      <c r="K681" s="32" t="str">
        <f aca="false">IF(I681&lt;=$E$4,"A",IF(I681&lt;=$E$5,"B","C"))</f>
        <v>B</v>
      </c>
    </row>
    <row r="682" customFormat="false" ht="15" hidden="false" customHeight="false" outlineLevel="0" collapsed="false">
      <c r="A682" s="32" t="n">
        <v>675</v>
      </c>
      <c r="B682" s="33" t="n">
        <v>1613373</v>
      </c>
      <c r="C682" s="34" t="s">
        <v>1431</v>
      </c>
      <c r="D682" s="34" t="s">
        <v>1432</v>
      </c>
      <c r="E682" s="34" t="s">
        <v>38</v>
      </c>
      <c r="F682" s="32" t="n">
        <f aca="false">COUNTIF(Base!$D$2:$D$2878,B682)</f>
        <v>1</v>
      </c>
      <c r="G682" s="35" t="n">
        <f aca="false">SUMIF(Base!$D$2:$D$2878,B682,Base!$I$2:$I$2878)</f>
        <v>2363.1</v>
      </c>
      <c r="H682" s="36" t="n">
        <f aca="false">IF($G$2849=0,0,G682/$G$2849)</f>
        <v>0.000155071883028551</v>
      </c>
      <c r="I682" s="37" t="n">
        <f aca="false">I681+H682</f>
        <v>0.926485272442324</v>
      </c>
      <c r="J682" s="37" t="n">
        <f aca="false">A682/2840</f>
        <v>0.237676056338028</v>
      </c>
      <c r="K682" s="32" t="str">
        <f aca="false">IF(I682&lt;=$E$4,"A",IF(I682&lt;=$E$5,"B","C"))</f>
        <v>B</v>
      </c>
    </row>
    <row r="683" customFormat="false" ht="15" hidden="false" customHeight="false" outlineLevel="0" collapsed="false">
      <c r="A683" s="32" t="n">
        <v>676</v>
      </c>
      <c r="B683" s="33" t="n">
        <v>22855</v>
      </c>
      <c r="C683" s="34" t="s">
        <v>1433</v>
      </c>
      <c r="D683" s="34" t="s">
        <v>1434</v>
      </c>
      <c r="E683" s="34" t="s">
        <v>38</v>
      </c>
      <c r="F683" s="32" t="n">
        <f aca="false">COUNTIF(Base!$D$2:$D$2878,B683)</f>
        <v>1</v>
      </c>
      <c r="G683" s="35" t="n">
        <f aca="false">SUMIF(Base!$D$2:$D$2878,B683,Base!$I$2:$I$2878)</f>
        <v>2347.26</v>
      </c>
      <c r="H683" s="36" t="n">
        <f aca="false">IF($G$2849=0,0,G683/$G$2849)</f>
        <v>0.000154032426963563</v>
      </c>
      <c r="I683" s="37" t="n">
        <f aca="false">I682+H683</f>
        <v>0.926639304869287</v>
      </c>
      <c r="J683" s="37" t="n">
        <f aca="false">A683/2840</f>
        <v>0.238028169014085</v>
      </c>
      <c r="K683" s="32" t="str">
        <f aca="false">IF(I683&lt;=$E$4,"A",IF(I683&lt;=$E$5,"B","C"))</f>
        <v>B</v>
      </c>
    </row>
    <row r="684" customFormat="false" ht="15" hidden="false" customHeight="false" outlineLevel="0" collapsed="false">
      <c r="A684" s="32" t="n">
        <v>677</v>
      </c>
      <c r="B684" s="33" t="n">
        <v>957399</v>
      </c>
      <c r="C684" s="34" t="s">
        <v>1435</v>
      </c>
      <c r="D684" s="34" t="s">
        <v>1436</v>
      </c>
      <c r="E684" s="34" t="s">
        <v>457</v>
      </c>
      <c r="F684" s="32" t="n">
        <f aca="false">COUNTIF(Base!$D$2:$D$2878,B684)</f>
        <v>1</v>
      </c>
      <c r="G684" s="35" t="n">
        <f aca="false">SUMIF(Base!$D$2:$D$2878,B684,Base!$I$2:$I$2878)</f>
        <v>2336.4</v>
      </c>
      <c r="H684" s="36" t="n">
        <f aca="false">IF($G$2849=0,0,G684/$G$2849)</f>
        <v>0.000153319769585674</v>
      </c>
      <c r="I684" s="37" t="n">
        <f aca="false">I683+H684</f>
        <v>0.926792624638873</v>
      </c>
      <c r="J684" s="37" t="n">
        <f aca="false">A684/2840</f>
        <v>0.238380281690141</v>
      </c>
      <c r="K684" s="32" t="str">
        <f aca="false">IF(I684&lt;=$E$4,"A",IF(I684&lt;=$E$5,"B","C"))</f>
        <v>B</v>
      </c>
    </row>
    <row r="685" customFormat="false" ht="15" hidden="false" customHeight="false" outlineLevel="0" collapsed="false">
      <c r="A685" s="32" t="n">
        <v>678</v>
      </c>
      <c r="B685" s="33" t="n">
        <v>831920</v>
      </c>
      <c r="C685" s="34" t="s">
        <v>1437</v>
      </c>
      <c r="D685" s="34" t="s">
        <v>1438</v>
      </c>
      <c r="E685" s="34" t="s">
        <v>247</v>
      </c>
      <c r="F685" s="32" t="n">
        <f aca="false">COUNTIF(Base!$D$2:$D$2878,B685)</f>
        <v>1</v>
      </c>
      <c r="G685" s="35" t="n">
        <f aca="false">SUMIF(Base!$D$2:$D$2878,B685,Base!$I$2:$I$2878)</f>
        <v>2332.96</v>
      </c>
      <c r="H685" s="36" t="n">
        <f aca="false">IF($G$2849=0,0,G685/$G$2849)</f>
        <v>0.000153094029127116</v>
      </c>
      <c r="I685" s="37" t="n">
        <f aca="false">I684+H685</f>
        <v>0.926945718668</v>
      </c>
      <c r="J685" s="37" t="n">
        <f aca="false">A685/2840</f>
        <v>0.238732394366197</v>
      </c>
      <c r="K685" s="32" t="str">
        <f aca="false">IF(I685&lt;=$E$4,"A",IF(I685&lt;=$E$5,"B","C"))</f>
        <v>B</v>
      </c>
    </row>
    <row r="686" customFormat="false" ht="15" hidden="false" customHeight="false" outlineLevel="0" collapsed="false">
      <c r="A686" s="32" t="n">
        <v>679</v>
      </c>
      <c r="B686" s="33" t="n">
        <v>428731</v>
      </c>
      <c r="C686" s="34" t="s">
        <v>1439</v>
      </c>
      <c r="D686" s="34" t="s">
        <v>1440</v>
      </c>
      <c r="E686" s="34" t="s">
        <v>605</v>
      </c>
      <c r="F686" s="32" t="n">
        <f aca="false">COUNTIF(Base!$D$2:$D$2878,B686)</f>
        <v>1</v>
      </c>
      <c r="G686" s="35" t="n">
        <f aca="false">SUMIF(Base!$D$2:$D$2878,B686,Base!$I$2:$I$2878)</f>
        <v>2329</v>
      </c>
      <c r="H686" s="36" t="n">
        <f aca="false">IF($G$2849=0,0,G686/$G$2849)</f>
        <v>0.000152834165110869</v>
      </c>
      <c r="I686" s="37" t="n">
        <f aca="false">I685+H686</f>
        <v>0.927098552833111</v>
      </c>
      <c r="J686" s="37" t="n">
        <f aca="false">A686/2840</f>
        <v>0.239084507042254</v>
      </c>
      <c r="K686" s="32" t="str">
        <f aca="false">IF(I686&lt;=$E$4,"A",IF(I686&lt;=$E$5,"B","C"))</f>
        <v>B</v>
      </c>
    </row>
    <row r="687" customFormat="false" ht="15" hidden="false" customHeight="false" outlineLevel="0" collapsed="false">
      <c r="A687" s="32" t="n">
        <v>680</v>
      </c>
      <c r="B687" s="33" t="n">
        <v>33618</v>
      </c>
      <c r="C687" s="34" t="s">
        <v>1441</v>
      </c>
      <c r="D687" s="34" t="s">
        <v>1442</v>
      </c>
      <c r="E687" s="34" t="s">
        <v>1443</v>
      </c>
      <c r="F687" s="32" t="n">
        <f aca="false">COUNTIF(Base!$D$2:$D$2878,B687)</f>
        <v>1</v>
      </c>
      <c r="G687" s="35" t="n">
        <f aca="false">SUMIF(Base!$D$2:$D$2878,B687,Base!$I$2:$I$2878)</f>
        <v>2323.4</v>
      </c>
      <c r="H687" s="36" t="n">
        <f aca="false">IF($G$2849=0,0,G687/$G$2849)</f>
        <v>0.000152466680643449</v>
      </c>
      <c r="I687" s="37" t="n">
        <f aca="false">I686+H687</f>
        <v>0.927251019513755</v>
      </c>
      <c r="J687" s="37" t="n">
        <f aca="false">A687/2840</f>
        <v>0.23943661971831</v>
      </c>
      <c r="K687" s="32" t="str">
        <f aca="false">IF(I687&lt;=$E$4,"A",IF(I687&lt;=$E$5,"B","C"))</f>
        <v>B</v>
      </c>
    </row>
    <row r="688" customFormat="false" ht="15" hidden="false" customHeight="false" outlineLevel="0" collapsed="false">
      <c r="A688" s="32" t="n">
        <v>681</v>
      </c>
      <c r="B688" s="33" t="n">
        <v>428624</v>
      </c>
      <c r="C688" s="34" t="s">
        <v>1444</v>
      </c>
      <c r="D688" s="34" t="s">
        <v>1445</v>
      </c>
      <c r="E688" s="34" t="s">
        <v>457</v>
      </c>
      <c r="F688" s="32" t="n">
        <f aca="false">COUNTIF(Base!$D$2:$D$2878,B688)</f>
        <v>1</v>
      </c>
      <c r="G688" s="35" t="n">
        <f aca="false">SUMIF(Base!$D$2:$D$2878,B688,Base!$I$2:$I$2878)</f>
        <v>2310</v>
      </c>
      <c r="H688" s="36" t="n">
        <f aca="false">IF($G$2849=0,0,G688/$G$2849)</f>
        <v>0.000151587342810695</v>
      </c>
      <c r="I688" s="37" t="n">
        <f aca="false">I687+H688</f>
        <v>0.927402606856565</v>
      </c>
      <c r="J688" s="37" t="n">
        <f aca="false">A688/2840</f>
        <v>0.239788732394366</v>
      </c>
      <c r="K688" s="32" t="str">
        <f aca="false">IF(I688&lt;=$E$4,"A",IF(I688&lt;=$E$5,"B","C"))</f>
        <v>B</v>
      </c>
    </row>
    <row r="689" customFormat="false" ht="15" hidden="false" customHeight="false" outlineLevel="0" collapsed="false">
      <c r="A689" s="32" t="n">
        <v>682</v>
      </c>
      <c r="B689" s="33" t="n">
        <v>1674336</v>
      </c>
      <c r="C689" s="34" t="s">
        <v>1446</v>
      </c>
      <c r="D689" s="34" t="s">
        <v>1447</v>
      </c>
      <c r="E689" s="34" t="s">
        <v>480</v>
      </c>
      <c r="F689" s="32" t="n">
        <f aca="false">COUNTIF(Base!$D$2:$D$2878,B689)</f>
        <v>1</v>
      </c>
      <c r="G689" s="35" t="n">
        <f aca="false">SUMIF(Base!$D$2:$D$2878,B689,Base!$I$2:$I$2878)</f>
        <v>2310</v>
      </c>
      <c r="H689" s="36" t="n">
        <f aca="false">IF($G$2849=0,0,G689/$G$2849)</f>
        <v>0.000151587342810695</v>
      </c>
      <c r="I689" s="37" t="n">
        <f aca="false">I688+H689</f>
        <v>0.927554194199376</v>
      </c>
      <c r="J689" s="37" t="n">
        <f aca="false">A689/2840</f>
        <v>0.240140845070423</v>
      </c>
      <c r="K689" s="32" t="str">
        <f aca="false">IF(I689&lt;=$E$4,"A",IF(I689&lt;=$E$5,"B","C"))</f>
        <v>B</v>
      </c>
    </row>
    <row r="690" customFormat="false" ht="15" hidden="false" customHeight="false" outlineLevel="0" collapsed="false">
      <c r="A690" s="32" t="n">
        <v>683</v>
      </c>
      <c r="B690" s="33" t="n">
        <v>220606</v>
      </c>
      <c r="C690" s="34" t="s">
        <v>1448</v>
      </c>
      <c r="D690" s="34" t="s">
        <v>1449</v>
      </c>
      <c r="E690" s="34" t="s">
        <v>38</v>
      </c>
      <c r="F690" s="32" t="n">
        <f aca="false">COUNTIF(Base!$D$2:$D$2878,B690)</f>
        <v>1</v>
      </c>
      <c r="G690" s="35" t="n">
        <f aca="false">SUMIF(Base!$D$2:$D$2878,B690,Base!$I$2:$I$2878)</f>
        <v>2298</v>
      </c>
      <c r="H690" s="36" t="n">
        <f aca="false">IF($G$2849=0,0,G690/$G$2849)</f>
        <v>0.000150799876094795</v>
      </c>
      <c r="I690" s="37" t="n">
        <f aca="false">I689+H690</f>
        <v>0.927704994075471</v>
      </c>
      <c r="J690" s="37" t="n">
        <f aca="false">A690/2840</f>
        <v>0.240492957746479</v>
      </c>
      <c r="K690" s="32" t="str">
        <f aca="false">IF(I690&lt;=$E$4,"A",IF(I690&lt;=$E$5,"B","C"))</f>
        <v>B</v>
      </c>
    </row>
    <row r="691" customFormat="false" ht="15" hidden="false" customHeight="false" outlineLevel="0" collapsed="false">
      <c r="A691" s="32" t="n">
        <v>684</v>
      </c>
      <c r="B691" s="33" t="n">
        <v>1602800</v>
      </c>
      <c r="C691" s="34" t="s">
        <v>1450</v>
      </c>
      <c r="D691" s="34" t="s">
        <v>1451</v>
      </c>
      <c r="E691" s="34" t="s">
        <v>93</v>
      </c>
      <c r="F691" s="32" t="n">
        <f aca="false">COUNTIF(Base!$D$2:$D$2878,B691)</f>
        <v>1</v>
      </c>
      <c r="G691" s="35" t="n">
        <f aca="false">SUMIF(Base!$D$2:$D$2878,B691,Base!$I$2:$I$2878)</f>
        <v>2298</v>
      </c>
      <c r="H691" s="36" t="n">
        <f aca="false">IF($G$2849=0,0,G691/$G$2849)</f>
        <v>0.000150799876094795</v>
      </c>
      <c r="I691" s="37" t="n">
        <f aca="false">I690+H691</f>
        <v>0.927855793951566</v>
      </c>
      <c r="J691" s="37" t="n">
        <f aca="false">A691/2840</f>
        <v>0.240845070422535</v>
      </c>
      <c r="K691" s="32" t="str">
        <f aca="false">IF(I691&lt;=$E$4,"A",IF(I691&lt;=$E$5,"B","C"))</f>
        <v>B</v>
      </c>
    </row>
    <row r="692" customFormat="false" ht="15" hidden="false" customHeight="false" outlineLevel="0" collapsed="false">
      <c r="A692" s="32" t="n">
        <v>685</v>
      </c>
      <c r="B692" s="33" t="n">
        <v>19542</v>
      </c>
      <c r="C692" s="34" t="s">
        <v>1452</v>
      </c>
      <c r="D692" s="34" t="s">
        <v>1453</v>
      </c>
      <c r="E692" s="34" t="s">
        <v>1095</v>
      </c>
      <c r="F692" s="32" t="n">
        <f aca="false">COUNTIF(Base!$D$2:$D$2878,B692)</f>
        <v>1</v>
      </c>
      <c r="G692" s="35" t="n">
        <f aca="false">SUMIF(Base!$D$2:$D$2878,B692,Base!$I$2:$I$2878)</f>
        <v>2282.22</v>
      </c>
      <c r="H692" s="36" t="n">
        <f aca="false">IF($G$2849=0,0,G692/$G$2849)</f>
        <v>0.000149764357363387</v>
      </c>
      <c r="I692" s="37" t="n">
        <f aca="false">I691+H692</f>
        <v>0.928005558308929</v>
      </c>
      <c r="J692" s="37" t="n">
        <f aca="false">A692/2840</f>
        <v>0.241197183098592</v>
      </c>
      <c r="K692" s="32" t="str">
        <f aca="false">IF(I692&lt;=$E$4,"A",IF(I692&lt;=$E$5,"B","C"))</f>
        <v>B</v>
      </c>
    </row>
    <row r="693" customFormat="false" ht="15" hidden="false" customHeight="false" outlineLevel="0" collapsed="false">
      <c r="A693" s="32" t="n">
        <v>686</v>
      </c>
      <c r="B693" s="33" t="n">
        <v>1385182</v>
      </c>
      <c r="C693" s="34" t="s">
        <v>1454</v>
      </c>
      <c r="D693" s="34" t="s">
        <v>1455</v>
      </c>
      <c r="E693" s="34" t="s">
        <v>38</v>
      </c>
      <c r="F693" s="32" t="n">
        <f aca="false">COUNTIF(Base!$D$2:$D$2878,B693)</f>
        <v>1</v>
      </c>
      <c r="G693" s="35" t="n">
        <f aca="false">SUMIF(Base!$D$2:$D$2878,B693,Base!$I$2:$I$2878)</f>
        <v>2277.88</v>
      </c>
      <c r="H693" s="36" t="n">
        <f aca="false">IF($G$2849=0,0,G693/$G$2849)</f>
        <v>0.000149479556901136</v>
      </c>
      <c r="I693" s="37" t="n">
        <f aca="false">I692+H693</f>
        <v>0.92815503786583</v>
      </c>
      <c r="J693" s="37" t="n">
        <f aca="false">A693/2840</f>
        <v>0.241549295774648</v>
      </c>
      <c r="K693" s="32" t="str">
        <f aca="false">IF(I693&lt;=$E$4,"A",IF(I693&lt;=$E$5,"B","C"))</f>
        <v>B</v>
      </c>
    </row>
    <row r="694" customFormat="false" ht="15" hidden="false" customHeight="false" outlineLevel="0" collapsed="false">
      <c r="A694" s="32" t="n">
        <v>687</v>
      </c>
      <c r="B694" s="33" t="n">
        <v>221251</v>
      </c>
      <c r="C694" s="34" t="s">
        <v>1456</v>
      </c>
      <c r="D694" s="34" t="s">
        <v>1457</v>
      </c>
      <c r="E694" s="34" t="s">
        <v>113</v>
      </c>
      <c r="F694" s="32" t="n">
        <f aca="false">COUNTIF(Base!$D$2:$D$2878,B694)</f>
        <v>1</v>
      </c>
      <c r="G694" s="35" t="n">
        <f aca="false">SUMIF(Base!$D$2:$D$2878,B694,Base!$I$2:$I$2878)</f>
        <v>2272.9</v>
      </c>
      <c r="H694" s="36" t="n">
        <f aca="false">IF($G$2849=0,0,G694/$G$2849)</f>
        <v>0.000149152758214038</v>
      </c>
      <c r="I694" s="37" t="n">
        <f aca="false">I693+H694</f>
        <v>0.928304190624044</v>
      </c>
      <c r="J694" s="37" t="n">
        <f aca="false">A694/2840</f>
        <v>0.241901408450704</v>
      </c>
      <c r="K694" s="32" t="str">
        <f aca="false">IF(I694&lt;=$E$4,"A",IF(I694&lt;=$E$5,"B","C"))</f>
        <v>B</v>
      </c>
    </row>
    <row r="695" customFormat="false" ht="15" hidden="false" customHeight="false" outlineLevel="0" collapsed="false">
      <c r="A695" s="32" t="n">
        <v>688</v>
      </c>
      <c r="B695" s="33" t="n">
        <v>884888</v>
      </c>
      <c r="C695" s="34" t="s">
        <v>1458</v>
      </c>
      <c r="D695" s="34" t="s">
        <v>1459</v>
      </c>
      <c r="E695" s="34" t="s">
        <v>247</v>
      </c>
      <c r="F695" s="32" t="n">
        <f aca="false">COUNTIF(Base!$D$2:$D$2878,B695)</f>
        <v>1</v>
      </c>
      <c r="G695" s="35" t="n">
        <f aca="false">SUMIF(Base!$D$2:$D$2878,B695,Base!$I$2:$I$2878)</f>
        <v>2271.35</v>
      </c>
      <c r="H695" s="36" t="n">
        <f aca="false">IF($G$2849=0,0,G695/$G$2849)</f>
        <v>0.000149051043763234</v>
      </c>
      <c r="I695" s="37" t="n">
        <f aca="false">I694+H695</f>
        <v>0.928453241667807</v>
      </c>
      <c r="J695" s="37" t="n">
        <f aca="false">A695/2840</f>
        <v>0.242253521126761</v>
      </c>
      <c r="K695" s="32" t="str">
        <f aca="false">IF(I695&lt;=$E$4,"A",IF(I695&lt;=$E$5,"B","C"))</f>
        <v>B</v>
      </c>
    </row>
    <row r="696" customFormat="false" ht="15" hidden="false" customHeight="false" outlineLevel="0" collapsed="false">
      <c r="A696" s="32" t="n">
        <v>689</v>
      </c>
      <c r="B696" s="33" t="n">
        <v>1387011</v>
      </c>
      <c r="C696" s="34" t="s">
        <v>1460</v>
      </c>
      <c r="D696" s="34" t="s">
        <v>1461</v>
      </c>
      <c r="E696" s="34" t="s">
        <v>133</v>
      </c>
      <c r="F696" s="32" t="n">
        <f aca="false">COUNTIF(Base!$D$2:$D$2878,B696)</f>
        <v>1</v>
      </c>
      <c r="G696" s="35" t="n">
        <f aca="false">SUMIF(Base!$D$2:$D$2878,B696,Base!$I$2:$I$2878)</f>
        <v>2267.04</v>
      </c>
      <c r="H696" s="36" t="n">
        <f aca="false">IF($G$2849=0,0,G696/$G$2849)</f>
        <v>0.000148768211967774</v>
      </c>
      <c r="I696" s="37" t="n">
        <f aca="false">I695+H696</f>
        <v>0.928602009879775</v>
      </c>
      <c r="J696" s="37" t="n">
        <f aca="false">A696/2840</f>
        <v>0.242605633802817</v>
      </c>
      <c r="K696" s="32" t="str">
        <f aca="false">IF(I696&lt;=$E$4,"A",IF(I696&lt;=$E$5,"B","C"))</f>
        <v>B</v>
      </c>
    </row>
    <row r="697" customFormat="false" ht="15" hidden="false" customHeight="false" outlineLevel="0" collapsed="false">
      <c r="A697" s="32" t="n">
        <v>690</v>
      </c>
      <c r="B697" s="33" t="n">
        <v>879645</v>
      </c>
      <c r="C697" s="34" t="s">
        <v>1462</v>
      </c>
      <c r="D697" s="34" t="s">
        <v>1463</v>
      </c>
      <c r="E697" s="34" t="s">
        <v>113</v>
      </c>
      <c r="F697" s="32" t="n">
        <f aca="false">COUNTIF(Base!$D$2:$D$2878,B697)</f>
        <v>1</v>
      </c>
      <c r="G697" s="35" t="n">
        <f aca="false">SUMIF(Base!$D$2:$D$2878,B697,Base!$I$2:$I$2878)</f>
        <v>2260.58</v>
      </c>
      <c r="H697" s="36" t="n">
        <f aca="false">IF($G$2849=0,0,G697/$G$2849)</f>
        <v>0.000148344292385714</v>
      </c>
      <c r="I697" s="37" t="n">
        <f aca="false">I696+H697</f>
        <v>0.928750354172161</v>
      </c>
      <c r="J697" s="37" t="n">
        <f aca="false">A697/2840</f>
        <v>0.242957746478873</v>
      </c>
      <c r="K697" s="32" t="str">
        <f aca="false">IF(I697&lt;=$E$4,"A",IF(I697&lt;=$E$5,"B","C"))</f>
        <v>B</v>
      </c>
    </row>
    <row r="698" customFormat="false" ht="15" hidden="false" customHeight="false" outlineLevel="0" collapsed="false">
      <c r="A698" s="32" t="n">
        <v>691</v>
      </c>
      <c r="B698" s="33" t="n">
        <v>1384097</v>
      </c>
      <c r="C698" s="34" t="s">
        <v>1464</v>
      </c>
      <c r="D698" s="34" t="s">
        <v>1465</v>
      </c>
      <c r="E698" s="34" t="s">
        <v>75</v>
      </c>
      <c r="F698" s="32" t="n">
        <f aca="false">COUNTIF(Base!$D$2:$D$2878,B698)</f>
        <v>1</v>
      </c>
      <c r="G698" s="35" t="n">
        <f aca="false">SUMIF(Base!$D$2:$D$2878,B698,Base!$I$2:$I$2878)</f>
        <v>2259.16</v>
      </c>
      <c r="H698" s="36" t="n">
        <f aca="false">IF($G$2849=0,0,G698/$G$2849)</f>
        <v>0.000148251108824333</v>
      </c>
      <c r="I698" s="37" t="n">
        <f aca="false">I697+H698</f>
        <v>0.928898605280985</v>
      </c>
      <c r="J698" s="37" t="n">
        <f aca="false">A698/2840</f>
        <v>0.24330985915493</v>
      </c>
      <c r="K698" s="32" t="str">
        <f aca="false">IF(I698&lt;=$E$4,"A",IF(I698&lt;=$E$5,"B","C"))</f>
        <v>B</v>
      </c>
    </row>
    <row r="699" customFormat="false" ht="15" hidden="false" customHeight="false" outlineLevel="0" collapsed="false">
      <c r="A699" s="32" t="n">
        <v>692</v>
      </c>
      <c r="B699" s="33" t="n">
        <v>1679660</v>
      </c>
      <c r="C699" s="34" t="s">
        <v>1466</v>
      </c>
      <c r="D699" s="34" t="s">
        <v>1467</v>
      </c>
      <c r="E699" s="34" t="s">
        <v>705</v>
      </c>
      <c r="F699" s="32" t="n">
        <f aca="false">COUNTIF(Base!$D$2:$D$2878,B699)</f>
        <v>1</v>
      </c>
      <c r="G699" s="35" t="n">
        <f aca="false">SUMIF(Base!$D$2:$D$2878,B699,Base!$I$2:$I$2878)</f>
        <v>2257.26</v>
      </c>
      <c r="H699" s="36" t="n">
        <f aca="false">IF($G$2849=0,0,G699/$G$2849)</f>
        <v>0.000148126426594315</v>
      </c>
      <c r="I699" s="37" t="n">
        <f aca="false">I698+H699</f>
        <v>0.92904673170758</v>
      </c>
      <c r="J699" s="37" t="n">
        <f aca="false">A699/2840</f>
        <v>0.243661971830986</v>
      </c>
      <c r="K699" s="32" t="str">
        <f aca="false">IF(I699&lt;=$E$4,"A",IF(I699&lt;=$E$5,"B","C"))</f>
        <v>B</v>
      </c>
    </row>
    <row r="700" customFormat="false" ht="15" hidden="false" customHeight="false" outlineLevel="0" collapsed="false">
      <c r="A700" s="32" t="n">
        <v>693</v>
      </c>
      <c r="B700" s="33" t="n">
        <v>33345</v>
      </c>
      <c r="C700" s="34" t="s">
        <v>1468</v>
      </c>
      <c r="D700" s="34" t="s">
        <v>1469</v>
      </c>
      <c r="E700" s="34" t="s">
        <v>130</v>
      </c>
      <c r="F700" s="32" t="n">
        <f aca="false">COUNTIF(Base!$D$2:$D$2878,B700)</f>
        <v>1</v>
      </c>
      <c r="G700" s="35" t="n">
        <f aca="false">SUMIF(Base!$D$2:$D$2878,B700,Base!$I$2:$I$2878)</f>
        <v>2250</v>
      </c>
      <c r="H700" s="36" t="n">
        <f aca="false">IF($G$2849=0,0,G700/$G$2849)</f>
        <v>0.000147650009231196</v>
      </c>
      <c r="I700" s="37" t="n">
        <f aca="false">I699+H700</f>
        <v>0.929194381716811</v>
      </c>
      <c r="J700" s="37" t="n">
        <f aca="false">A700/2840</f>
        <v>0.244014084507042</v>
      </c>
      <c r="K700" s="32" t="str">
        <f aca="false">IF(I700&lt;=$E$4,"A",IF(I700&lt;=$E$5,"B","C"))</f>
        <v>B</v>
      </c>
    </row>
    <row r="701" customFormat="false" ht="15" hidden="false" customHeight="false" outlineLevel="0" collapsed="false">
      <c r="A701" s="32" t="n">
        <v>694</v>
      </c>
      <c r="B701" s="33" t="n">
        <v>16691</v>
      </c>
      <c r="C701" s="34" t="s">
        <v>1470</v>
      </c>
      <c r="D701" s="34" t="s">
        <v>1471</v>
      </c>
      <c r="E701" s="34" t="s">
        <v>100</v>
      </c>
      <c r="F701" s="32" t="n">
        <f aca="false">COUNTIF(Base!$D$2:$D$2878,B701)</f>
        <v>1</v>
      </c>
      <c r="G701" s="35" t="n">
        <f aca="false">SUMIF(Base!$D$2:$D$2878,B701,Base!$I$2:$I$2878)</f>
        <v>2243.92</v>
      </c>
      <c r="H701" s="36" t="n">
        <f aca="false">IF($G$2849=0,0,G701/$G$2849)</f>
        <v>0.00014725102609514</v>
      </c>
      <c r="I701" s="37" t="n">
        <f aca="false">I700+H701</f>
        <v>0.929341632742906</v>
      </c>
      <c r="J701" s="37" t="n">
        <f aca="false">A701/2840</f>
        <v>0.244366197183099</v>
      </c>
      <c r="K701" s="32" t="str">
        <f aca="false">IF(I701&lt;=$E$4,"A",IF(I701&lt;=$E$5,"B","C"))</f>
        <v>B</v>
      </c>
    </row>
    <row r="702" customFormat="false" ht="15" hidden="false" customHeight="false" outlineLevel="0" collapsed="false">
      <c r="A702" s="32" t="n">
        <v>695</v>
      </c>
      <c r="B702" s="33" t="n">
        <v>55476</v>
      </c>
      <c r="C702" s="34" t="s">
        <v>1472</v>
      </c>
      <c r="D702" s="34" t="s">
        <v>1473</v>
      </c>
      <c r="E702" s="34" t="s">
        <v>138</v>
      </c>
      <c r="F702" s="32" t="n">
        <f aca="false">COUNTIF(Base!$D$2:$D$2878,B702)</f>
        <v>1</v>
      </c>
      <c r="G702" s="35" t="n">
        <f aca="false">SUMIF(Base!$D$2:$D$2878,B702,Base!$I$2:$I$2878)</f>
        <v>2240</v>
      </c>
      <c r="H702" s="36" t="n">
        <f aca="false">IF($G$2849=0,0,G702/$G$2849)</f>
        <v>0.000146993786967946</v>
      </c>
      <c r="I702" s="37" t="n">
        <f aca="false">I701+H702</f>
        <v>0.929488626529874</v>
      </c>
      <c r="J702" s="37" t="n">
        <f aca="false">A702/2840</f>
        <v>0.244718309859155</v>
      </c>
      <c r="K702" s="32" t="str">
        <f aca="false">IF(I702&lt;=$E$4,"A",IF(I702&lt;=$E$5,"B","C"))</f>
        <v>B</v>
      </c>
    </row>
    <row r="703" customFormat="false" ht="15" hidden="false" customHeight="false" outlineLevel="0" collapsed="false">
      <c r="A703" s="32" t="n">
        <v>696</v>
      </c>
      <c r="B703" s="33" t="n">
        <v>727450</v>
      </c>
      <c r="C703" s="34" t="s">
        <v>1474</v>
      </c>
      <c r="D703" s="34" t="s">
        <v>1475</v>
      </c>
      <c r="E703" s="34" t="s">
        <v>247</v>
      </c>
      <c r="F703" s="32" t="n">
        <f aca="false">COUNTIF(Base!$D$2:$D$2878,B703)</f>
        <v>1</v>
      </c>
      <c r="G703" s="35" t="n">
        <f aca="false">SUMIF(Base!$D$2:$D$2878,B703,Base!$I$2:$I$2878)</f>
        <v>2232.85</v>
      </c>
      <c r="H703" s="36" t="n">
        <f aca="false">IF($G$2849=0,0,G703/$G$2849)</f>
        <v>0.000146524588049723</v>
      </c>
      <c r="I703" s="37" t="n">
        <f aca="false">I702+H703</f>
        <v>0.929635151117924</v>
      </c>
      <c r="J703" s="37" t="n">
        <f aca="false">A703/2840</f>
        <v>0.245070422535211</v>
      </c>
      <c r="K703" s="32" t="str">
        <f aca="false">IF(I703&lt;=$E$4,"A",IF(I703&lt;=$E$5,"B","C"))</f>
        <v>B</v>
      </c>
    </row>
    <row r="704" customFormat="false" ht="15" hidden="false" customHeight="false" outlineLevel="0" collapsed="false">
      <c r="A704" s="32" t="n">
        <v>697</v>
      </c>
      <c r="B704" s="33" t="n">
        <v>1475039</v>
      </c>
      <c r="C704" s="34" t="s">
        <v>1476</v>
      </c>
      <c r="D704" s="34" t="s">
        <v>1477</v>
      </c>
      <c r="E704" s="34" t="s">
        <v>100</v>
      </c>
      <c r="F704" s="32" t="n">
        <f aca="false">COUNTIF(Base!$D$2:$D$2878,B704)</f>
        <v>1</v>
      </c>
      <c r="G704" s="35" t="n">
        <f aca="false">SUMIF(Base!$D$2:$D$2878,B704,Base!$I$2:$I$2878)</f>
        <v>2225.0096</v>
      </c>
      <c r="H704" s="36" t="n">
        <f aca="false">IF($G$2849=0,0,G704/$G$2849)</f>
        <v>0.000146010083546444</v>
      </c>
      <c r="I704" s="37" t="n">
        <f aca="false">I703+H704</f>
        <v>0.92978116120147</v>
      </c>
      <c r="J704" s="37" t="n">
        <f aca="false">A704/2840</f>
        <v>0.245422535211268</v>
      </c>
      <c r="K704" s="32" t="str">
        <f aca="false">IF(I704&lt;=$E$4,"A",IF(I704&lt;=$E$5,"B","C"))</f>
        <v>B</v>
      </c>
    </row>
    <row r="705" customFormat="false" ht="15" hidden="false" customHeight="false" outlineLevel="0" collapsed="false">
      <c r="A705" s="32" t="n">
        <v>698</v>
      </c>
      <c r="B705" s="33" t="n">
        <v>1384698</v>
      </c>
      <c r="C705" s="34" t="s">
        <v>1478</v>
      </c>
      <c r="D705" s="34" t="s">
        <v>1479</v>
      </c>
      <c r="E705" s="34" t="s">
        <v>38</v>
      </c>
      <c r="F705" s="32" t="n">
        <f aca="false">COUNTIF(Base!$D$2:$D$2878,B705)</f>
        <v>1</v>
      </c>
      <c r="G705" s="35" t="n">
        <f aca="false">SUMIF(Base!$D$2:$D$2878,B705,Base!$I$2:$I$2878)</f>
        <v>2218.8</v>
      </c>
      <c r="H705" s="36" t="n">
        <f aca="false">IF($G$2849=0,0,G705/$G$2849)</f>
        <v>0.000145602595769857</v>
      </c>
      <c r="I705" s="37" t="n">
        <f aca="false">I704+H705</f>
        <v>0.92992676379724</v>
      </c>
      <c r="J705" s="37" t="n">
        <f aca="false">A705/2840</f>
        <v>0.245774647887324</v>
      </c>
      <c r="K705" s="32" t="str">
        <f aca="false">IF(I705&lt;=$E$4,"A",IF(I705&lt;=$E$5,"B","C"))</f>
        <v>B</v>
      </c>
    </row>
    <row r="706" customFormat="false" ht="15" hidden="false" customHeight="false" outlineLevel="0" collapsed="false">
      <c r="A706" s="32" t="n">
        <v>699</v>
      </c>
      <c r="B706" s="33" t="n">
        <v>1386696</v>
      </c>
      <c r="C706" s="34" t="s">
        <v>1480</v>
      </c>
      <c r="D706" s="34" t="s">
        <v>1481</v>
      </c>
      <c r="E706" s="34" t="s">
        <v>100</v>
      </c>
      <c r="F706" s="32" t="n">
        <f aca="false">COUNTIF(Base!$D$2:$D$2878,B706)</f>
        <v>1</v>
      </c>
      <c r="G706" s="35" t="n">
        <f aca="false">SUMIF(Base!$D$2:$D$2878,B706,Base!$I$2:$I$2878)</f>
        <v>2209.68</v>
      </c>
      <c r="H706" s="36" t="n">
        <f aca="false">IF($G$2849=0,0,G706/$G$2849)</f>
        <v>0.000145004121065773</v>
      </c>
      <c r="I706" s="37" t="n">
        <f aca="false">I705+H706</f>
        <v>0.930071767918306</v>
      </c>
      <c r="J706" s="37" t="n">
        <f aca="false">A706/2840</f>
        <v>0.24612676056338</v>
      </c>
      <c r="K706" s="32" t="str">
        <f aca="false">IF(I706&lt;=$E$4,"A",IF(I706&lt;=$E$5,"B","C"))</f>
        <v>B</v>
      </c>
    </row>
    <row r="707" customFormat="false" ht="15" hidden="false" customHeight="false" outlineLevel="0" collapsed="false">
      <c r="A707" s="32" t="n">
        <v>700</v>
      </c>
      <c r="B707" s="33" t="n">
        <v>1318568</v>
      </c>
      <c r="C707" s="34" t="s">
        <v>1482</v>
      </c>
      <c r="D707" s="34" t="s">
        <v>1483</v>
      </c>
      <c r="E707" s="34" t="s">
        <v>54</v>
      </c>
      <c r="F707" s="32" t="n">
        <f aca="false">COUNTIF(Base!$D$2:$D$2878,B707)</f>
        <v>1</v>
      </c>
      <c r="G707" s="35" t="n">
        <f aca="false">SUMIF(Base!$D$2:$D$2878,B707,Base!$I$2:$I$2878)</f>
        <v>2208</v>
      </c>
      <c r="H707" s="36" t="n">
        <f aca="false">IF($G$2849=0,0,G707/$G$2849)</f>
        <v>0.000144893875725547</v>
      </c>
      <c r="I707" s="37" t="n">
        <f aca="false">I706+H707</f>
        <v>0.930216661794031</v>
      </c>
      <c r="J707" s="37" t="n">
        <f aca="false">A707/2840</f>
        <v>0.246478873239437</v>
      </c>
      <c r="K707" s="32" t="str">
        <f aca="false">IF(I707&lt;=$E$4,"A",IF(I707&lt;=$E$5,"B","C"))</f>
        <v>B</v>
      </c>
    </row>
    <row r="708" customFormat="false" ht="15" hidden="false" customHeight="false" outlineLevel="0" collapsed="false">
      <c r="A708" s="32" t="n">
        <v>701</v>
      </c>
      <c r="B708" s="33" t="n">
        <v>143814</v>
      </c>
      <c r="C708" s="34" t="s">
        <v>1484</v>
      </c>
      <c r="D708" s="34" t="s">
        <v>1485</v>
      </c>
      <c r="E708" s="34" t="s">
        <v>113</v>
      </c>
      <c r="F708" s="32" t="n">
        <f aca="false">COUNTIF(Base!$D$2:$D$2878,B708)</f>
        <v>1</v>
      </c>
      <c r="G708" s="35" t="n">
        <f aca="false">SUMIF(Base!$D$2:$D$2878,B708,Base!$I$2:$I$2878)</f>
        <v>2200</v>
      </c>
      <c r="H708" s="36" t="n">
        <f aca="false">IF($G$2849=0,0,G708/$G$2849)</f>
        <v>0.000144368897914947</v>
      </c>
      <c r="I708" s="37" t="n">
        <f aca="false">I707+H708</f>
        <v>0.930361030691946</v>
      </c>
      <c r="J708" s="37" t="n">
        <f aca="false">A708/2840</f>
        <v>0.246830985915493</v>
      </c>
      <c r="K708" s="32" t="str">
        <f aca="false">IF(I708&lt;=$E$4,"A",IF(I708&lt;=$E$5,"B","C"))</f>
        <v>B</v>
      </c>
    </row>
    <row r="709" customFormat="false" ht="15" hidden="false" customHeight="false" outlineLevel="0" collapsed="false">
      <c r="A709" s="32" t="n">
        <v>702</v>
      </c>
      <c r="B709" s="33" t="n">
        <v>935178</v>
      </c>
      <c r="C709" s="34" t="s">
        <v>1486</v>
      </c>
      <c r="D709" s="34" t="s">
        <v>1487</v>
      </c>
      <c r="E709" s="34" t="s">
        <v>189</v>
      </c>
      <c r="F709" s="32" t="n">
        <f aca="false">COUNTIF(Base!$D$2:$D$2878,B709)</f>
        <v>1</v>
      </c>
      <c r="G709" s="35" t="n">
        <f aca="false">SUMIF(Base!$D$2:$D$2878,B709,Base!$I$2:$I$2878)</f>
        <v>2200</v>
      </c>
      <c r="H709" s="36" t="n">
        <f aca="false">IF($G$2849=0,0,G709/$G$2849)</f>
        <v>0.000144368897914947</v>
      </c>
      <c r="I709" s="37" t="n">
        <f aca="false">I708+H709</f>
        <v>0.930505399589861</v>
      </c>
      <c r="J709" s="37" t="n">
        <f aca="false">A709/2840</f>
        <v>0.247183098591549</v>
      </c>
      <c r="K709" s="32" t="str">
        <f aca="false">IF(I709&lt;=$E$4,"A",IF(I709&lt;=$E$5,"B","C"))</f>
        <v>B</v>
      </c>
    </row>
    <row r="710" customFormat="false" ht="15" hidden="false" customHeight="false" outlineLevel="0" collapsed="false">
      <c r="A710" s="32" t="n">
        <v>703</v>
      </c>
      <c r="B710" s="33" t="n">
        <v>89690</v>
      </c>
      <c r="C710" s="34" t="s">
        <v>1488</v>
      </c>
      <c r="D710" s="34" t="s">
        <v>1489</v>
      </c>
      <c r="E710" s="34" t="s">
        <v>605</v>
      </c>
      <c r="F710" s="32" t="n">
        <f aca="false">COUNTIF(Base!$D$2:$D$2878,B710)</f>
        <v>1</v>
      </c>
      <c r="G710" s="35" t="n">
        <f aca="false">SUMIF(Base!$D$2:$D$2878,B710,Base!$I$2:$I$2878)</f>
        <v>2198</v>
      </c>
      <c r="H710" s="36" t="n">
        <f aca="false">IF($G$2849=0,0,G710/$G$2849)</f>
        <v>0.000144237653462297</v>
      </c>
      <c r="I710" s="37" t="n">
        <f aca="false">I709+H710</f>
        <v>0.930649637243323</v>
      </c>
      <c r="J710" s="37" t="n">
        <f aca="false">A710/2840</f>
        <v>0.247535211267606</v>
      </c>
      <c r="K710" s="32" t="str">
        <f aca="false">IF(I710&lt;=$E$4,"A",IF(I710&lt;=$E$5,"B","C"))</f>
        <v>B</v>
      </c>
    </row>
    <row r="711" customFormat="false" ht="15" hidden="false" customHeight="false" outlineLevel="0" collapsed="false">
      <c r="A711" s="32" t="n">
        <v>704</v>
      </c>
      <c r="B711" s="33" t="n">
        <v>1662402</v>
      </c>
      <c r="C711" s="34" t="s">
        <v>1490</v>
      </c>
      <c r="D711" s="34" t="s">
        <v>1491</v>
      </c>
      <c r="E711" s="34" t="s">
        <v>133</v>
      </c>
      <c r="F711" s="32" t="n">
        <f aca="false">COUNTIF(Base!$D$2:$D$2878,B711)</f>
        <v>1</v>
      </c>
      <c r="G711" s="35" t="n">
        <f aca="false">SUMIF(Base!$D$2:$D$2878,B711,Base!$I$2:$I$2878)</f>
        <v>2193.08</v>
      </c>
      <c r="H711" s="36" t="n">
        <f aca="false">IF($G$2849=0,0,G711/$G$2849)</f>
        <v>0.000143914792108778</v>
      </c>
      <c r="I711" s="37" t="n">
        <f aca="false">I710+H711</f>
        <v>0.930793552035432</v>
      </c>
      <c r="J711" s="37" t="n">
        <f aca="false">A711/2840</f>
        <v>0.247887323943662</v>
      </c>
      <c r="K711" s="32" t="str">
        <f aca="false">IF(I711&lt;=$E$4,"A",IF(I711&lt;=$E$5,"B","C"))</f>
        <v>B</v>
      </c>
    </row>
    <row r="712" customFormat="false" ht="15" hidden="false" customHeight="false" outlineLevel="0" collapsed="false">
      <c r="A712" s="32" t="n">
        <v>705</v>
      </c>
      <c r="B712" s="33" t="n">
        <v>55062</v>
      </c>
      <c r="C712" s="34" t="s">
        <v>1492</v>
      </c>
      <c r="D712" s="34" t="s">
        <v>1493</v>
      </c>
      <c r="E712" s="34" t="s">
        <v>38</v>
      </c>
      <c r="F712" s="32" t="n">
        <f aca="false">COUNTIF(Base!$D$2:$D$2878,B712)</f>
        <v>1</v>
      </c>
      <c r="G712" s="35" t="n">
        <f aca="false">SUMIF(Base!$D$2:$D$2878,B712,Base!$I$2:$I$2878)</f>
        <v>2191.99</v>
      </c>
      <c r="H712" s="36" t="n">
        <f aca="false">IF($G$2849=0,0,G712/$G$2849)</f>
        <v>0.000143843263882084</v>
      </c>
      <c r="I712" s="37" t="n">
        <f aca="false">I711+H712</f>
        <v>0.930937395299314</v>
      </c>
      <c r="J712" s="37" t="n">
        <f aca="false">A712/2840</f>
        <v>0.248239436619718</v>
      </c>
      <c r="K712" s="32" t="str">
        <f aca="false">IF(I712&lt;=$E$4,"A",IF(I712&lt;=$E$5,"B","C"))</f>
        <v>B</v>
      </c>
    </row>
    <row r="713" customFormat="false" ht="15" hidden="false" customHeight="false" outlineLevel="0" collapsed="false">
      <c r="A713" s="32" t="n">
        <v>706</v>
      </c>
      <c r="B713" s="33" t="n">
        <v>18856</v>
      </c>
      <c r="C713" s="34" t="s">
        <v>1494</v>
      </c>
      <c r="D713" s="34" t="s">
        <v>1495</v>
      </c>
      <c r="E713" s="34" t="s">
        <v>247</v>
      </c>
      <c r="F713" s="32" t="n">
        <f aca="false">COUNTIF(Base!$D$2:$D$2878,B713)</f>
        <v>1</v>
      </c>
      <c r="G713" s="35" t="n">
        <f aca="false">SUMIF(Base!$D$2:$D$2878,B713,Base!$I$2:$I$2878)</f>
        <v>2190.04</v>
      </c>
      <c r="H713" s="36" t="n">
        <f aca="false">IF($G$2849=0,0,G713/$G$2849)</f>
        <v>0.00014371530054075</v>
      </c>
      <c r="I713" s="37" t="n">
        <f aca="false">I712+H713</f>
        <v>0.931081110599855</v>
      </c>
      <c r="J713" s="37" t="n">
        <f aca="false">A713/2840</f>
        <v>0.248591549295775</v>
      </c>
      <c r="K713" s="32" t="str">
        <f aca="false">IF(I713&lt;=$E$4,"A",IF(I713&lt;=$E$5,"B","C"))</f>
        <v>B</v>
      </c>
    </row>
    <row r="714" customFormat="false" ht="15" hidden="false" customHeight="false" outlineLevel="0" collapsed="false">
      <c r="A714" s="32" t="n">
        <v>707</v>
      </c>
      <c r="B714" s="33" t="n">
        <v>140520</v>
      </c>
      <c r="C714" s="34" t="s">
        <v>1496</v>
      </c>
      <c r="D714" s="34" t="s">
        <v>1497</v>
      </c>
      <c r="E714" s="34" t="s">
        <v>38</v>
      </c>
      <c r="F714" s="32" t="n">
        <f aca="false">COUNTIF(Base!$D$2:$D$2878,B714)</f>
        <v>1</v>
      </c>
      <c r="G714" s="35" t="n">
        <f aca="false">SUMIF(Base!$D$2:$D$2878,B714,Base!$I$2:$I$2878)</f>
        <v>2189.84</v>
      </c>
      <c r="H714" s="36" t="n">
        <f aca="false">IF($G$2849=0,0,G714/$G$2849)</f>
        <v>0.000143702176095486</v>
      </c>
      <c r="I714" s="37" t="n">
        <f aca="false">I713+H714</f>
        <v>0.931224812775951</v>
      </c>
      <c r="J714" s="37" t="n">
        <f aca="false">A714/2840</f>
        <v>0.248943661971831</v>
      </c>
      <c r="K714" s="32" t="str">
        <f aca="false">IF(I714&lt;=$E$4,"A",IF(I714&lt;=$E$5,"B","C"))</f>
        <v>B</v>
      </c>
    </row>
    <row r="715" customFormat="false" ht="15" hidden="false" customHeight="false" outlineLevel="0" collapsed="false">
      <c r="A715" s="32" t="n">
        <v>708</v>
      </c>
      <c r="B715" s="33" t="n">
        <v>22263</v>
      </c>
      <c r="C715" s="34" t="s">
        <v>1498</v>
      </c>
      <c r="D715" s="34" t="s">
        <v>1499</v>
      </c>
      <c r="E715" s="34" t="s">
        <v>75</v>
      </c>
      <c r="F715" s="32" t="n">
        <f aca="false">COUNTIF(Base!$D$2:$D$2878,B715)</f>
        <v>1</v>
      </c>
      <c r="G715" s="35" t="n">
        <f aca="false">SUMIF(Base!$D$2:$D$2878,B715,Base!$I$2:$I$2878)</f>
        <v>2179.8</v>
      </c>
      <c r="H715" s="36" t="n">
        <f aca="false">IF($G$2849=0,0,G715/$G$2849)</f>
        <v>0.000143043328943183</v>
      </c>
      <c r="I715" s="37" t="n">
        <f aca="false">I714+H715</f>
        <v>0.931367856104894</v>
      </c>
      <c r="J715" s="37" t="n">
        <f aca="false">A715/2840</f>
        <v>0.249295774647887</v>
      </c>
      <c r="K715" s="32" t="str">
        <f aca="false">IF(I715&lt;=$E$4,"A",IF(I715&lt;=$E$5,"B","C"))</f>
        <v>B</v>
      </c>
    </row>
    <row r="716" customFormat="false" ht="15" hidden="false" customHeight="false" outlineLevel="0" collapsed="false">
      <c r="A716" s="32" t="n">
        <v>709</v>
      </c>
      <c r="B716" s="33" t="n">
        <v>141178</v>
      </c>
      <c r="C716" s="34" t="s">
        <v>1500</v>
      </c>
      <c r="D716" s="34" t="s">
        <v>1501</v>
      </c>
      <c r="E716" s="34" t="s">
        <v>113</v>
      </c>
      <c r="F716" s="32" t="n">
        <f aca="false">COUNTIF(Base!$D$2:$D$2878,B716)</f>
        <v>1</v>
      </c>
      <c r="G716" s="35" t="n">
        <f aca="false">SUMIF(Base!$D$2:$D$2878,B716,Base!$I$2:$I$2878)</f>
        <v>2166</v>
      </c>
      <c r="H716" s="36" t="n">
        <f aca="false">IF($G$2849=0,0,G716/$G$2849)</f>
        <v>0.000142137742219898</v>
      </c>
      <c r="I716" s="37" t="n">
        <f aca="false">I715+H716</f>
        <v>0.931509993847114</v>
      </c>
      <c r="J716" s="37" t="n">
        <f aca="false">A716/2840</f>
        <v>0.249647887323944</v>
      </c>
      <c r="K716" s="32" t="str">
        <f aca="false">IF(I716&lt;=$E$4,"A",IF(I716&lt;=$E$5,"B","C"))</f>
        <v>B</v>
      </c>
    </row>
    <row r="717" customFormat="false" ht="15" hidden="false" customHeight="false" outlineLevel="0" collapsed="false">
      <c r="A717" s="32" t="n">
        <v>710</v>
      </c>
      <c r="B717" s="33" t="n">
        <v>1609094</v>
      </c>
      <c r="C717" s="34" t="s">
        <v>1502</v>
      </c>
      <c r="D717" s="34" t="s">
        <v>1503</v>
      </c>
      <c r="E717" s="34" t="s">
        <v>170</v>
      </c>
      <c r="F717" s="32" t="n">
        <f aca="false">COUNTIF(Base!$D$2:$D$2878,B717)</f>
        <v>1</v>
      </c>
      <c r="G717" s="35" t="n">
        <f aca="false">SUMIF(Base!$D$2:$D$2878,B717,Base!$I$2:$I$2878)</f>
        <v>2155.56</v>
      </c>
      <c r="H717" s="36" t="n">
        <f aca="false">IF($G$2849=0,0,G717/$G$2849)</f>
        <v>0.000141452646177065</v>
      </c>
      <c r="I717" s="37" t="n">
        <f aca="false">I716+H717</f>
        <v>0.931651446493291</v>
      </c>
      <c r="J717" s="37" t="n">
        <f aca="false">A717/2840</f>
        <v>0.25</v>
      </c>
      <c r="K717" s="32" t="str">
        <f aca="false">IF(I717&lt;=$E$4,"A",IF(I717&lt;=$E$5,"B","C"))</f>
        <v>B</v>
      </c>
    </row>
    <row r="718" customFormat="false" ht="15" hidden="false" customHeight="false" outlineLevel="0" collapsed="false">
      <c r="A718" s="32" t="n">
        <v>711</v>
      </c>
      <c r="B718" s="33" t="n">
        <v>32976</v>
      </c>
      <c r="C718" s="34" t="s">
        <v>1504</v>
      </c>
      <c r="D718" s="34" t="s">
        <v>1505</v>
      </c>
      <c r="E718" s="34" t="s">
        <v>170</v>
      </c>
      <c r="F718" s="32" t="n">
        <f aca="false">COUNTIF(Base!$D$2:$D$2878,B718)</f>
        <v>1</v>
      </c>
      <c r="G718" s="35" t="n">
        <f aca="false">SUMIF(Base!$D$2:$D$2878,B718,Base!$I$2:$I$2878)</f>
        <v>2147.8</v>
      </c>
      <c r="H718" s="36" t="n">
        <f aca="false">IF($G$2849=0,0,G718/$G$2849)</f>
        <v>0.000140943417700784</v>
      </c>
      <c r="I718" s="37" t="n">
        <f aca="false">I717+H718</f>
        <v>0.931792389910991</v>
      </c>
      <c r="J718" s="37" t="n">
        <f aca="false">A718/2840</f>
        <v>0.250352112676056</v>
      </c>
      <c r="K718" s="32" t="str">
        <f aca="false">IF(I718&lt;=$E$4,"A",IF(I718&lt;=$E$5,"B","C"))</f>
        <v>B</v>
      </c>
    </row>
    <row r="719" customFormat="false" ht="15" hidden="false" customHeight="false" outlineLevel="0" collapsed="false">
      <c r="A719" s="32" t="n">
        <v>712</v>
      </c>
      <c r="B719" s="33" t="n">
        <v>1317675</v>
      </c>
      <c r="C719" s="34" t="s">
        <v>1506</v>
      </c>
      <c r="D719" s="34" t="s">
        <v>1507</v>
      </c>
      <c r="E719" s="34" t="s">
        <v>605</v>
      </c>
      <c r="F719" s="32" t="n">
        <f aca="false">COUNTIF(Base!$D$2:$D$2878,B719)</f>
        <v>1</v>
      </c>
      <c r="G719" s="35" t="n">
        <f aca="false">SUMIF(Base!$D$2:$D$2878,B719,Base!$I$2:$I$2878)</f>
        <v>2140</v>
      </c>
      <c r="H719" s="36" t="n">
        <f aca="false">IF($G$2849=0,0,G719/$G$2849)</f>
        <v>0.000140431564335449</v>
      </c>
      <c r="I719" s="37" t="n">
        <f aca="false">I718+H719</f>
        <v>0.931932821475327</v>
      </c>
      <c r="J719" s="37" t="n">
        <f aca="false">A719/2840</f>
        <v>0.250704225352113</v>
      </c>
      <c r="K719" s="32" t="str">
        <f aca="false">IF(I719&lt;=$E$4,"A",IF(I719&lt;=$E$5,"B","C"))</f>
        <v>B</v>
      </c>
    </row>
    <row r="720" customFormat="false" ht="15" hidden="false" customHeight="false" outlineLevel="0" collapsed="false">
      <c r="A720" s="32" t="n">
        <v>713</v>
      </c>
      <c r="B720" s="33" t="n">
        <v>1382572</v>
      </c>
      <c r="C720" s="34" t="s">
        <v>1508</v>
      </c>
      <c r="D720" s="34" t="s">
        <v>1509</v>
      </c>
      <c r="E720" s="34" t="s">
        <v>189</v>
      </c>
      <c r="F720" s="32" t="n">
        <f aca="false">COUNTIF(Base!$D$2:$D$2878,B720)</f>
        <v>1</v>
      </c>
      <c r="G720" s="35" t="n">
        <f aca="false">SUMIF(Base!$D$2:$D$2878,B720,Base!$I$2:$I$2878)</f>
        <v>2125</v>
      </c>
      <c r="H720" s="36" t="n">
        <f aca="false">IF($G$2849=0,0,G720/$G$2849)</f>
        <v>0.000139447230940574</v>
      </c>
      <c r="I720" s="37" t="n">
        <f aca="false">I719+H720</f>
        <v>0.932072268706268</v>
      </c>
      <c r="J720" s="37" t="n">
        <f aca="false">A720/2840</f>
        <v>0.251056338028169</v>
      </c>
      <c r="K720" s="32" t="str">
        <f aca="false">IF(I720&lt;=$E$4,"A",IF(I720&lt;=$E$5,"B","C"))</f>
        <v>B</v>
      </c>
    </row>
    <row r="721" customFormat="false" ht="15" hidden="false" customHeight="false" outlineLevel="0" collapsed="false">
      <c r="A721" s="32" t="n">
        <v>714</v>
      </c>
      <c r="B721" s="33" t="n">
        <v>555899</v>
      </c>
      <c r="C721" s="34" t="s">
        <v>1510</v>
      </c>
      <c r="D721" s="34" t="s">
        <v>1511</v>
      </c>
      <c r="E721" s="34" t="s">
        <v>54</v>
      </c>
      <c r="F721" s="32" t="n">
        <f aca="false">COUNTIF(Base!$D$2:$D$2878,B721)</f>
        <v>1</v>
      </c>
      <c r="G721" s="35" t="n">
        <f aca="false">SUMIF(Base!$D$2:$D$2878,B721,Base!$I$2:$I$2878)</f>
        <v>2116.8</v>
      </c>
      <c r="H721" s="36" t="n">
        <f aca="false">IF($G$2849=0,0,G721/$G$2849)</f>
        <v>0.000138909128684709</v>
      </c>
      <c r="I721" s="37" t="n">
        <f aca="false">I720+H721</f>
        <v>0.932211177834952</v>
      </c>
      <c r="J721" s="37" t="n">
        <f aca="false">A721/2840</f>
        <v>0.251408450704225</v>
      </c>
      <c r="K721" s="32" t="str">
        <f aca="false">IF(I721&lt;=$E$4,"A",IF(I721&lt;=$E$5,"B","C"))</f>
        <v>B</v>
      </c>
    </row>
    <row r="722" customFormat="false" ht="15" hidden="false" customHeight="false" outlineLevel="0" collapsed="false">
      <c r="A722" s="32" t="n">
        <v>715</v>
      </c>
      <c r="B722" s="33" t="n">
        <v>1636016</v>
      </c>
      <c r="C722" s="34" t="s">
        <v>1512</v>
      </c>
      <c r="D722" s="34" t="s">
        <v>1513</v>
      </c>
      <c r="E722" s="34" t="s">
        <v>195</v>
      </c>
      <c r="F722" s="32" t="n">
        <f aca="false">COUNTIF(Base!$D$2:$D$2878,B722)</f>
        <v>1</v>
      </c>
      <c r="G722" s="35" t="n">
        <f aca="false">SUMIF(Base!$D$2:$D$2878,B722,Base!$I$2:$I$2878)</f>
        <v>2106</v>
      </c>
      <c r="H722" s="36" t="n">
        <f aca="false">IF($G$2849=0,0,G722/$G$2849)</f>
        <v>0.000138200408640399</v>
      </c>
      <c r="I722" s="37" t="n">
        <f aca="false">I721+H722</f>
        <v>0.932349378243593</v>
      </c>
      <c r="J722" s="37" t="n">
        <f aca="false">A722/2840</f>
        <v>0.251760563380282</v>
      </c>
      <c r="K722" s="32" t="str">
        <f aca="false">IF(I722&lt;=$E$4,"A",IF(I722&lt;=$E$5,"B","C"))</f>
        <v>B</v>
      </c>
    </row>
    <row r="723" customFormat="false" ht="15" hidden="false" customHeight="false" outlineLevel="0" collapsed="false">
      <c r="A723" s="32" t="n">
        <v>716</v>
      </c>
      <c r="B723" s="33" t="n">
        <v>53963</v>
      </c>
      <c r="C723" s="34" t="s">
        <v>1514</v>
      </c>
      <c r="D723" s="34" t="s">
        <v>1515</v>
      </c>
      <c r="E723" s="34" t="s">
        <v>130</v>
      </c>
      <c r="F723" s="32" t="n">
        <f aca="false">COUNTIF(Base!$D$2:$D$2878,B723)</f>
        <v>1</v>
      </c>
      <c r="G723" s="35" t="n">
        <f aca="false">SUMIF(Base!$D$2:$D$2878,B723,Base!$I$2:$I$2878)</f>
        <v>2100.96</v>
      </c>
      <c r="H723" s="36" t="n">
        <f aca="false">IF($G$2849=0,0,G723/$G$2849)</f>
        <v>0.000137869672619722</v>
      </c>
      <c r="I723" s="37" t="n">
        <f aca="false">I722+H723</f>
        <v>0.932487247916212</v>
      </c>
      <c r="J723" s="37" t="n">
        <f aca="false">A723/2840</f>
        <v>0.252112676056338</v>
      </c>
      <c r="K723" s="32" t="str">
        <f aca="false">IF(I723&lt;=$E$4,"A",IF(I723&lt;=$E$5,"B","C"))</f>
        <v>B</v>
      </c>
    </row>
    <row r="724" customFormat="false" ht="15" hidden="false" customHeight="false" outlineLevel="0" collapsed="false">
      <c r="A724" s="32" t="n">
        <v>717</v>
      </c>
      <c r="B724" s="33" t="n">
        <v>840056</v>
      </c>
      <c r="C724" s="34" t="s">
        <v>1516</v>
      </c>
      <c r="D724" s="34" t="s">
        <v>1517</v>
      </c>
      <c r="E724" s="34" t="s">
        <v>363</v>
      </c>
      <c r="F724" s="32" t="n">
        <f aca="false">COUNTIF(Base!$D$2:$D$2878,B724)</f>
        <v>1</v>
      </c>
      <c r="G724" s="35" t="n">
        <f aca="false">SUMIF(Base!$D$2:$D$2878,B724,Base!$I$2:$I$2878)</f>
        <v>2099.95</v>
      </c>
      <c r="H724" s="36" t="n">
        <f aca="false">IF($G$2849=0,0,G724/$G$2849)</f>
        <v>0.000137803394171133</v>
      </c>
      <c r="I724" s="37" t="n">
        <f aca="false">I723+H724</f>
        <v>0.932625051310384</v>
      </c>
      <c r="J724" s="37" t="n">
        <f aca="false">A724/2840</f>
        <v>0.252464788732394</v>
      </c>
      <c r="K724" s="32" t="str">
        <f aca="false">IF(I724&lt;=$E$4,"A",IF(I724&lt;=$E$5,"B","C"))</f>
        <v>B</v>
      </c>
    </row>
    <row r="725" customFormat="false" ht="15" hidden="false" customHeight="false" outlineLevel="0" collapsed="false">
      <c r="A725" s="32" t="n">
        <v>718</v>
      </c>
      <c r="B725" s="33" t="n">
        <v>1388115</v>
      </c>
      <c r="C725" s="34" t="s">
        <v>1518</v>
      </c>
      <c r="D725" s="34" t="s">
        <v>1519</v>
      </c>
      <c r="E725" s="34" t="s">
        <v>100</v>
      </c>
      <c r="F725" s="32" t="n">
        <f aca="false">COUNTIF(Base!$D$2:$D$2878,B725)</f>
        <v>1</v>
      </c>
      <c r="G725" s="35" t="n">
        <f aca="false">SUMIF(Base!$D$2:$D$2878,B725,Base!$I$2:$I$2878)</f>
        <v>2080.22</v>
      </c>
      <c r="H725" s="36" t="n">
        <f aca="false">IF($G$2849=0,0,G725/$G$2849)</f>
        <v>0.000136508667645742</v>
      </c>
      <c r="I725" s="37" t="n">
        <f aca="false">I724+H725</f>
        <v>0.932761559978029</v>
      </c>
      <c r="J725" s="37" t="n">
        <f aca="false">A725/2840</f>
        <v>0.252816901408451</v>
      </c>
      <c r="K725" s="32" t="str">
        <f aca="false">IF(I725&lt;=$E$4,"A",IF(I725&lt;=$E$5,"B","C"))</f>
        <v>B</v>
      </c>
    </row>
    <row r="726" customFormat="false" ht="15" hidden="false" customHeight="false" outlineLevel="0" collapsed="false">
      <c r="A726" s="32" t="n">
        <v>719</v>
      </c>
      <c r="B726" s="33" t="n">
        <v>1383616</v>
      </c>
      <c r="C726" s="34" t="s">
        <v>1520</v>
      </c>
      <c r="D726" s="34" t="s">
        <v>1521</v>
      </c>
      <c r="E726" s="34" t="s">
        <v>38</v>
      </c>
      <c r="F726" s="32" t="n">
        <f aca="false">COUNTIF(Base!$D$2:$D$2878,B726)</f>
        <v>1</v>
      </c>
      <c r="G726" s="35" t="n">
        <f aca="false">SUMIF(Base!$D$2:$D$2878,B726,Base!$I$2:$I$2878)</f>
        <v>2072.67</v>
      </c>
      <c r="H726" s="36" t="n">
        <f aca="false">IF($G$2849=0,0,G726/$G$2849)</f>
        <v>0.000136013219836988</v>
      </c>
      <c r="I726" s="37" t="n">
        <f aca="false">I725+H726</f>
        <v>0.932897573197866</v>
      </c>
      <c r="J726" s="37" t="n">
        <f aca="false">A726/2840</f>
        <v>0.253169014084507</v>
      </c>
      <c r="K726" s="32" t="str">
        <f aca="false">IF(I726&lt;=$E$4,"A",IF(I726&lt;=$E$5,"B","C"))</f>
        <v>B</v>
      </c>
    </row>
    <row r="727" customFormat="false" ht="15" hidden="false" customHeight="false" outlineLevel="0" collapsed="false">
      <c r="A727" s="32" t="n">
        <v>720</v>
      </c>
      <c r="B727" s="33" t="n">
        <v>33354</v>
      </c>
      <c r="C727" s="34" t="s">
        <v>1522</v>
      </c>
      <c r="D727" s="34" t="s">
        <v>1523</v>
      </c>
      <c r="E727" s="34" t="s">
        <v>138</v>
      </c>
      <c r="F727" s="32" t="n">
        <f aca="false">COUNTIF(Base!$D$2:$D$2878,B727)</f>
        <v>1</v>
      </c>
      <c r="G727" s="35" t="n">
        <f aca="false">SUMIF(Base!$D$2:$D$2878,B727,Base!$I$2:$I$2878)</f>
        <v>2070</v>
      </c>
      <c r="H727" s="36" t="n">
        <f aca="false">IF($G$2849=0,0,G727/$G$2849)</f>
        <v>0.0001358380084927</v>
      </c>
      <c r="I727" s="37" t="n">
        <f aca="false">I726+H727</f>
        <v>0.933033411206359</v>
      </c>
      <c r="J727" s="37" t="n">
        <f aca="false">A727/2840</f>
        <v>0.253521126760563</v>
      </c>
      <c r="K727" s="32" t="str">
        <f aca="false">IF(I727&lt;=$E$4,"A",IF(I727&lt;=$E$5,"B","C"))</f>
        <v>B</v>
      </c>
    </row>
    <row r="728" customFormat="false" ht="15" hidden="false" customHeight="false" outlineLevel="0" collapsed="false">
      <c r="A728" s="32" t="n">
        <v>721</v>
      </c>
      <c r="B728" s="33" t="n">
        <v>1017274</v>
      </c>
      <c r="C728" s="34" t="s">
        <v>1524</v>
      </c>
      <c r="D728" s="34" t="s">
        <v>1525</v>
      </c>
      <c r="E728" s="34" t="s">
        <v>38</v>
      </c>
      <c r="F728" s="32" t="n">
        <f aca="false">COUNTIF(Base!$D$2:$D$2878,B728)</f>
        <v>1</v>
      </c>
      <c r="G728" s="35" t="n">
        <f aca="false">SUMIF(Base!$D$2:$D$2878,B728,Base!$I$2:$I$2878)</f>
        <v>2064.23</v>
      </c>
      <c r="H728" s="36" t="n">
        <f aca="false">IF($G$2849=0,0,G728/$G$2849)</f>
        <v>0.000135459368246805</v>
      </c>
      <c r="I728" s="37" t="n">
        <f aca="false">I727+H728</f>
        <v>0.933168870574606</v>
      </c>
      <c r="J728" s="37" t="n">
        <f aca="false">A728/2840</f>
        <v>0.25387323943662</v>
      </c>
      <c r="K728" s="32" t="str">
        <f aca="false">IF(I728&lt;=$E$4,"A",IF(I728&lt;=$E$5,"B","C"))</f>
        <v>B</v>
      </c>
    </row>
    <row r="729" customFormat="false" ht="15" hidden="false" customHeight="false" outlineLevel="0" collapsed="false">
      <c r="A729" s="32" t="n">
        <v>722</v>
      </c>
      <c r="B729" s="33" t="n">
        <v>57481</v>
      </c>
      <c r="C729" s="34" t="s">
        <v>1526</v>
      </c>
      <c r="D729" s="34" t="s">
        <v>1527</v>
      </c>
      <c r="E729" s="34" t="s">
        <v>38</v>
      </c>
      <c r="F729" s="32" t="n">
        <f aca="false">COUNTIF(Base!$D$2:$D$2878,B729)</f>
        <v>1</v>
      </c>
      <c r="G729" s="35" t="n">
        <f aca="false">SUMIF(Base!$D$2:$D$2878,B729,Base!$I$2:$I$2878)</f>
        <v>2057.85</v>
      </c>
      <c r="H729" s="36" t="n">
        <f aca="false">IF($G$2849=0,0,G729/$G$2849)</f>
        <v>0.000135040698442852</v>
      </c>
      <c r="I729" s="37" t="n">
        <f aca="false">I728+H729</f>
        <v>0.933303911273049</v>
      </c>
      <c r="J729" s="37" t="n">
        <f aca="false">A729/2840</f>
        <v>0.254225352112676</v>
      </c>
      <c r="K729" s="32" t="str">
        <f aca="false">IF(I729&lt;=$E$4,"A",IF(I729&lt;=$E$5,"B","C"))</f>
        <v>B</v>
      </c>
    </row>
    <row r="730" customFormat="false" ht="15" hidden="false" customHeight="false" outlineLevel="0" collapsed="false">
      <c r="A730" s="32" t="n">
        <v>723</v>
      </c>
      <c r="B730" s="33" t="n">
        <v>57011</v>
      </c>
      <c r="C730" s="34" t="s">
        <v>1528</v>
      </c>
      <c r="D730" s="34" t="s">
        <v>1529</v>
      </c>
      <c r="E730" s="34" t="s">
        <v>38</v>
      </c>
      <c r="F730" s="32" t="n">
        <f aca="false">COUNTIF(Base!$D$2:$D$2878,B730)</f>
        <v>1</v>
      </c>
      <c r="G730" s="35" t="n">
        <f aca="false">SUMIF(Base!$D$2:$D$2878,B730,Base!$I$2:$I$2878)</f>
        <v>2054.83</v>
      </c>
      <c r="H730" s="36" t="n">
        <f aca="false">IF($G$2849=0,0,G730/$G$2849)</f>
        <v>0.00013484251931935</v>
      </c>
      <c r="I730" s="37" t="n">
        <f aca="false">I729+H730</f>
        <v>0.933438753792368</v>
      </c>
      <c r="J730" s="37" t="n">
        <f aca="false">A730/2840</f>
        <v>0.254577464788732</v>
      </c>
      <c r="K730" s="32" t="str">
        <f aca="false">IF(I730&lt;=$E$4,"A",IF(I730&lt;=$E$5,"B","C"))</f>
        <v>B</v>
      </c>
    </row>
    <row r="731" customFormat="false" ht="15" hidden="false" customHeight="false" outlineLevel="0" collapsed="false">
      <c r="A731" s="32" t="n">
        <v>724</v>
      </c>
      <c r="B731" s="33" t="n">
        <v>1662422</v>
      </c>
      <c r="C731" s="34" t="s">
        <v>1530</v>
      </c>
      <c r="D731" s="34" t="s">
        <v>1531</v>
      </c>
      <c r="E731" s="34" t="s">
        <v>133</v>
      </c>
      <c r="F731" s="32" t="n">
        <f aca="false">COUNTIF(Base!$D$2:$D$2878,B731)</f>
        <v>1</v>
      </c>
      <c r="G731" s="35" t="n">
        <f aca="false">SUMIF(Base!$D$2:$D$2878,B731,Base!$I$2:$I$2878)</f>
        <v>2052</v>
      </c>
      <c r="H731" s="36" t="n">
        <f aca="false">IF($G$2849=0,0,G731/$G$2849)</f>
        <v>0.000134656808418851</v>
      </c>
      <c r="I731" s="37" t="n">
        <f aca="false">I730+H731</f>
        <v>0.933573410600787</v>
      </c>
      <c r="J731" s="37" t="n">
        <f aca="false">A731/2840</f>
        <v>0.254929577464789</v>
      </c>
      <c r="K731" s="32" t="str">
        <f aca="false">IF(I731&lt;=$E$4,"A",IF(I731&lt;=$E$5,"B","C"))</f>
        <v>B</v>
      </c>
    </row>
    <row r="732" customFormat="false" ht="15" hidden="false" customHeight="false" outlineLevel="0" collapsed="false">
      <c r="A732" s="32" t="n">
        <v>725</v>
      </c>
      <c r="B732" s="33" t="n">
        <v>854463</v>
      </c>
      <c r="C732" s="34" t="s">
        <v>1532</v>
      </c>
      <c r="D732" s="34" t="s">
        <v>1533</v>
      </c>
      <c r="E732" s="34" t="s">
        <v>835</v>
      </c>
      <c r="F732" s="32" t="n">
        <f aca="false">COUNTIF(Base!$D$2:$D$2878,B732)</f>
        <v>1</v>
      </c>
      <c r="G732" s="35" t="n">
        <f aca="false">SUMIF(Base!$D$2:$D$2878,B732,Base!$I$2:$I$2878)</f>
        <v>2050</v>
      </c>
      <c r="H732" s="36" t="n">
        <f aca="false">IF($G$2849=0,0,G732/$G$2849)</f>
        <v>0.000134525563966201</v>
      </c>
      <c r="I732" s="37" t="n">
        <f aca="false">I731+H732</f>
        <v>0.933707936164753</v>
      </c>
      <c r="J732" s="37" t="n">
        <f aca="false">A732/2840</f>
        <v>0.255281690140845</v>
      </c>
      <c r="K732" s="32" t="str">
        <f aca="false">IF(I732&lt;=$E$4,"A",IF(I732&lt;=$E$5,"B","C"))</f>
        <v>B</v>
      </c>
    </row>
    <row r="733" customFormat="false" ht="15" hidden="false" customHeight="false" outlineLevel="0" collapsed="false">
      <c r="A733" s="32" t="n">
        <v>726</v>
      </c>
      <c r="B733" s="33" t="n">
        <v>141768</v>
      </c>
      <c r="C733" s="34" t="s">
        <v>1534</v>
      </c>
      <c r="D733" s="34" t="s">
        <v>1535</v>
      </c>
      <c r="E733" s="34" t="s">
        <v>35</v>
      </c>
      <c r="F733" s="32" t="n">
        <f aca="false">COUNTIF(Base!$D$2:$D$2878,B733)</f>
        <v>1</v>
      </c>
      <c r="G733" s="35" t="n">
        <f aca="false">SUMIF(Base!$D$2:$D$2878,B733,Base!$I$2:$I$2878)</f>
        <v>2045.9</v>
      </c>
      <c r="H733" s="36" t="n">
        <f aca="false">IF($G$2849=0,0,G733/$G$2849)</f>
        <v>0.000134256512838268</v>
      </c>
      <c r="I733" s="37" t="n">
        <f aca="false">I732+H733</f>
        <v>0.933842192677591</v>
      </c>
      <c r="J733" s="37" t="n">
        <f aca="false">A733/2840</f>
        <v>0.255633802816901</v>
      </c>
      <c r="K733" s="32" t="str">
        <f aca="false">IF(I733&lt;=$E$4,"A",IF(I733&lt;=$E$5,"B","C"))</f>
        <v>B</v>
      </c>
    </row>
    <row r="734" customFormat="false" ht="15" hidden="false" customHeight="false" outlineLevel="0" collapsed="false">
      <c r="A734" s="32" t="n">
        <v>727</v>
      </c>
      <c r="B734" s="33" t="n">
        <v>1016972</v>
      </c>
      <c r="C734" s="34" t="s">
        <v>1536</v>
      </c>
      <c r="D734" s="34" t="s">
        <v>1537</v>
      </c>
      <c r="E734" s="34" t="s">
        <v>217</v>
      </c>
      <c r="F734" s="32" t="n">
        <f aca="false">COUNTIF(Base!$D$2:$D$2878,B734)</f>
        <v>1</v>
      </c>
      <c r="G734" s="35" t="n">
        <f aca="false">SUMIF(Base!$D$2:$D$2878,B734,Base!$I$2:$I$2878)</f>
        <v>2043.63</v>
      </c>
      <c r="H734" s="36" t="n">
        <f aca="false">IF($G$2849=0,0,G734/$G$2849)</f>
        <v>0.000134107550384511</v>
      </c>
      <c r="I734" s="37" t="n">
        <f aca="false">I733+H734</f>
        <v>0.933976300227976</v>
      </c>
      <c r="J734" s="37" t="n">
        <f aca="false">A734/2840</f>
        <v>0.255985915492958</v>
      </c>
      <c r="K734" s="32" t="str">
        <f aca="false">IF(I734&lt;=$E$4,"A",IF(I734&lt;=$E$5,"B","C"))</f>
        <v>B</v>
      </c>
    </row>
    <row r="735" customFormat="false" ht="15" hidden="false" customHeight="false" outlineLevel="0" collapsed="false">
      <c r="A735" s="32" t="n">
        <v>728</v>
      </c>
      <c r="B735" s="33" t="n">
        <v>143909</v>
      </c>
      <c r="C735" s="34" t="s">
        <v>1538</v>
      </c>
      <c r="D735" s="34" t="s">
        <v>1539</v>
      </c>
      <c r="E735" s="34" t="s">
        <v>247</v>
      </c>
      <c r="F735" s="32" t="n">
        <f aca="false">COUNTIF(Base!$D$2:$D$2878,B735)</f>
        <v>1</v>
      </c>
      <c r="G735" s="35" t="n">
        <f aca="false">SUMIF(Base!$D$2:$D$2878,B735,Base!$I$2:$I$2878)</f>
        <v>2040</v>
      </c>
      <c r="H735" s="36" t="n">
        <f aca="false">IF($G$2849=0,0,G735/$G$2849)</f>
        <v>0.000133869341702951</v>
      </c>
      <c r="I735" s="37" t="n">
        <f aca="false">I734+H735</f>
        <v>0.934110169569679</v>
      </c>
      <c r="J735" s="37" t="n">
        <f aca="false">A735/2840</f>
        <v>0.256338028169014</v>
      </c>
      <c r="K735" s="32" t="str">
        <f aca="false">IF(I735&lt;=$E$4,"A",IF(I735&lt;=$E$5,"B","C"))</f>
        <v>B</v>
      </c>
    </row>
    <row r="736" customFormat="false" ht="15" hidden="false" customHeight="false" outlineLevel="0" collapsed="false">
      <c r="A736" s="32" t="n">
        <v>729</v>
      </c>
      <c r="B736" s="33" t="n">
        <v>1614806</v>
      </c>
      <c r="C736" s="34" t="s">
        <v>1540</v>
      </c>
      <c r="D736" s="34" t="s">
        <v>1541</v>
      </c>
      <c r="E736" s="34" t="s">
        <v>38</v>
      </c>
      <c r="F736" s="32" t="n">
        <f aca="false">COUNTIF(Base!$D$2:$D$2878,B736)</f>
        <v>1</v>
      </c>
      <c r="G736" s="35" t="n">
        <f aca="false">SUMIF(Base!$D$2:$D$2878,B736,Base!$I$2:$I$2878)</f>
        <v>2035.7</v>
      </c>
      <c r="H736" s="36" t="n">
        <f aca="false">IF($G$2849=0,0,G736/$G$2849)</f>
        <v>0.000133587166129754</v>
      </c>
      <c r="I736" s="37" t="n">
        <f aca="false">I735+H736</f>
        <v>0.934243756735809</v>
      </c>
      <c r="J736" s="37" t="n">
        <f aca="false">A736/2840</f>
        <v>0.25669014084507</v>
      </c>
      <c r="K736" s="32" t="str">
        <f aca="false">IF(I736&lt;=$E$4,"A",IF(I736&lt;=$E$5,"B","C"))</f>
        <v>B</v>
      </c>
    </row>
    <row r="737" customFormat="false" ht="15" hidden="false" customHeight="false" outlineLevel="0" collapsed="false">
      <c r="A737" s="32" t="n">
        <v>730</v>
      </c>
      <c r="B737" s="33" t="n">
        <v>65986</v>
      </c>
      <c r="C737" s="34" t="s">
        <v>1542</v>
      </c>
      <c r="D737" s="34" t="s">
        <v>1543</v>
      </c>
      <c r="E737" s="34" t="s">
        <v>189</v>
      </c>
      <c r="F737" s="32" t="n">
        <f aca="false">COUNTIF(Base!$D$2:$D$2878,B737)</f>
        <v>1</v>
      </c>
      <c r="G737" s="35" t="n">
        <f aca="false">SUMIF(Base!$D$2:$D$2878,B737,Base!$I$2:$I$2878)</f>
        <v>2028</v>
      </c>
      <c r="H737" s="36" t="n">
        <f aca="false">IF($G$2849=0,0,G737/$G$2849)</f>
        <v>0.000133081874987051</v>
      </c>
      <c r="I737" s="37" t="n">
        <f aca="false">I736+H737</f>
        <v>0.934376838610796</v>
      </c>
      <c r="J737" s="37" t="n">
        <f aca="false">A737/2840</f>
        <v>0.257042253521127</v>
      </c>
      <c r="K737" s="32" t="str">
        <f aca="false">IF(I737&lt;=$E$4,"A",IF(I737&lt;=$E$5,"B","C"))</f>
        <v>B</v>
      </c>
    </row>
    <row r="738" customFormat="false" ht="15" hidden="false" customHeight="false" outlineLevel="0" collapsed="false">
      <c r="A738" s="32" t="n">
        <v>731</v>
      </c>
      <c r="B738" s="33" t="n">
        <v>940569</v>
      </c>
      <c r="C738" s="34" t="s">
        <v>1544</v>
      </c>
      <c r="D738" s="34" t="s">
        <v>1545</v>
      </c>
      <c r="E738" s="34" t="s">
        <v>217</v>
      </c>
      <c r="F738" s="32" t="n">
        <f aca="false">COUNTIF(Base!$D$2:$D$2878,B738)</f>
        <v>1</v>
      </c>
      <c r="G738" s="35" t="n">
        <f aca="false">SUMIF(Base!$D$2:$D$2878,B738,Base!$I$2:$I$2878)</f>
        <v>2025</v>
      </c>
      <c r="H738" s="36" t="n">
        <f aca="false">IF($G$2849=0,0,G738/$G$2849)</f>
        <v>0.000132885008308076</v>
      </c>
      <c r="I738" s="37" t="n">
        <f aca="false">I737+H738</f>
        <v>0.934509723619104</v>
      </c>
      <c r="J738" s="37" t="n">
        <f aca="false">A738/2840</f>
        <v>0.257394366197183</v>
      </c>
      <c r="K738" s="32" t="str">
        <f aca="false">IF(I738&lt;=$E$4,"A",IF(I738&lt;=$E$5,"B","C"))</f>
        <v>B</v>
      </c>
    </row>
    <row r="739" customFormat="false" ht="15" hidden="false" customHeight="false" outlineLevel="0" collapsed="false">
      <c r="A739" s="32" t="n">
        <v>732</v>
      </c>
      <c r="B739" s="33" t="n">
        <v>475403</v>
      </c>
      <c r="C739" s="34" t="s">
        <v>1546</v>
      </c>
      <c r="D739" s="34" t="s">
        <v>1547</v>
      </c>
      <c r="E739" s="34" t="s">
        <v>247</v>
      </c>
      <c r="F739" s="32" t="n">
        <f aca="false">COUNTIF(Base!$D$2:$D$2878,B739)</f>
        <v>1</v>
      </c>
      <c r="G739" s="35" t="n">
        <f aca="false">SUMIF(Base!$D$2:$D$2878,B739,Base!$I$2:$I$2878)</f>
        <v>2022.3</v>
      </c>
      <c r="H739" s="36" t="n">
        <f aca="false">IF($G$2849=0,0,G739/$G$2849)</f>
        <v>0.000132707828296999</v>
      </c>
      <c r="I739" s="37" t="n">
        <f aca="false">I738+H739</f>
        <v>0.934642431447401</v>
      </c>
      <c r="J739" s="37" t="n">
        <f aca="false">A739/2840</f>
        <v>0.257746478873239</v>
      </c>
      <c r="K739" s="32" t="str">
        <f aca="false">IF(I739&lt;=$E$4,"A",IF(I739&lt;=$E$5,"B","C"))</f>
        <v>B</v>
      </c>
    </row>
    <row r="740" customFormat="false" ht="15" hidden="false" customHeight="false" outlineLevel="0" collapsed="false">
      <c r="A740" s="32" t="n">
        <v>733</v>
      </c>
      <c r="B740" s="33" t="n">
        <v>1463582</v>
      </c>
      <c r="C740" s="34" t="s">
        <v>1548</v>
      </c>
      <c r="D740" s="34" t="s">
        <v>1549</v>
      </c>
      <c r="E740" s="34" t="s">
        <v>38</v>
      </c>
      <c r="F740" s="32" t="n">
        <f aca="false">COUNTIF(Base!$D$2:$D$2878,B740)</f>
        <v>1</v>
      </c>
      <c r="G740" s="35" t="n">
        <f aca="false">SUMIF(Base!$D$2:$D$2878,B740,Base!$I$2:$I$2878)</f>
        <v>2018.97</v>
      </c>
      <c r="H740" s="36" t="n">
        <f aca="false">IF($G$2849=0,0,G740/$G$2849)</f>
        <v>0.000132489306283337</v>
      </c>
      <c r="I740" s="37" t="n">
        <f aca="false">I739+H740</f>
        <v>0.934774920753684</v>
      </c>
      <c r="J740" s="37" t="n">
        <f aca="false">A740/2840</f>
        <v>0.258098591549296</v>
      </c>
      <c r="K740" s="32" t="str">
        <f aca="false">IF(I740&lt;=$E$4,"A",IF(I740&lt;=$E$5,"B","C"))</f>
        <v>B</v>
      </c>
    </row>
    <row r="741" customFormat="false" ht="15" hidden="false" customHeight="false" outlineLevel="0" collapsed="false">
      <c r="A741" s="32" t="n">
        <v>734</v>
      </c>
      <c r="B741" s="33" t="n">
        <v>750176</v>
      </c>
      <c r="C741" s="34" t="s">
        <v>1550</v>
      </c>
      <c r="D741" s="34" t="s">
        <v>1551</v>
      </c>
      <c r="E741" s="34" t="s">
        <v>38</v>
      </c>
      <c r="F741" s="32" t="n">
        <f aca="false">COUNTIF(Base!$D$2:$D$2878,B741)</f>
        <v>1</v>
      </c>
      <c r="G741" s="35" t="n">
        <f aca="false">SUMIF(Base!$D$2:$D$2878,B741,Base!$I$2:$I$2878)</f>
        <v>2016</v>
      </c>
      <c r="H741" s="36" t="n">
        <f aca="false">IF($G$2849=0,0,G741/$G$2849)</f>
        <v>0.000132294408271152</v>
      </c>
      <c r="I741" s="37" t="n">
        <f aca="false">I740+H741</f>
        <v>0.934907215161955</v>
      </c>
      <c r="J741" s="37" t="n">
        <f aca="false">A741/2840</f>
        <v>0.258450704225352</v>
      </c>
      <c r="K741" s="32" t="str">
        <f aca="false">IF(I741&lt;=$E$4,"A",IF(I741&lt;=$E$5,"B","C"))</f>
        <v>B</v>
      </c>
    </row>
    <row r="742" customFormat="false" ht="15" hidden="false" customHeight="false" outlineLevel="0" collapsed="false">
      <c r="A742" s="32" t="n">
        <v>735</v>
      </c>
      <c r="B742" s="33" t="n">
        <v>938707</v>
      </c>
      <c r="C742" s="34" t="s">
        <v>1552</v>
      </c>
      <c r="D742" s="34" t="s">
        <v>1553</v>
      </c>
      <c r="E742" s="34" t="s">
        <v>100</v>
      </c>
      <c r="F742" s="32" t="n">
        <f aca="false">COUNTIF(Base!$D$2:$D$2878,B742)</f>
        <v>1</v>
      </c>
      <c r="G742" s="35" t="n">
        <f aca="false">SUMIF(Base!$D$2:$D$2878,B742,Base!$I$2:$I$2878)</f>
        <v>2000.46</v>
      </c>
      <c r="H742" s="36" t="n">
        <f aca="false">IF($G$2849=0,0,G742/$G$2849)</f>
        <v>0.000131274638874062</v>
      </c>
      <c r="I742" s="37" t="n">
        <f aca="false">I741+H742</f>
        <v>0.935038489800829</v>
      </c>
      <c r="J742" s="37" t="n">
        <f aca="false">A742/2840</f>
        <v>0.258802816901408</v>
      </c>
      <c r="K742" s="32" t="str">
        <f aca="false">IF(I742&lt;=$E$4,"A",IF(I742&lt;=$E$5,"B","C"))</f>
        <v>B</v>
      </c>
    </row>
    <row r="743" customFormat="false" ht="15" hidden="false" customHeight="false" outlineLevel="0" collapsed="false">
      <c r="A743" s="32" t="n">
        <v>736</v>
      </c>
      <c r="B743" s="33" t="n">
        <v>888065</v>
      </c>
      <c r="C743" s="34" t="s">
        <v>1554</v>
      </c>
      <c r="D743" s="34" t="s">
        <v>1555</v>
      </c>
      <c r="E743" s="34" t="s">
        <v>133</v>
      </c>
      <c r="F743" s="32" t="n">
        <f aca="false">COUNTIF(Base!$D$2:$D$2878,B743)</f>
        <v>1</v>
      </c>
      <c r="G743" s="35" t="n">
        <f aca="false">SUMIF(Base!$D$2:$D$2878,B743,Base!$I$2:$I$2878)</f>
        <v>2000.29</v>
      </c>
      <c r="H743" s="36" t="n">
        <f aca="false">IF($G$2849=0,0,G743/$G$2849)</f>
        <v>0.000131263483095586</v>
      </c>
      <c r="I743" s="37" t="n">
        <f aca="false">I742+H743</f>
        <v>0.935169753283925</v>
      </c>
      <c r="J743" s="37" t="n">
        <f aca="false">A743/2840</f>
        <v>0.259154929577465</v>
      </c>
      <c r="K743" s="32" t="str">
        <f aca="false">IF(I743&lt;=$E$4,"A",IF(I743&lt;=$E$5,"B","C"))</f>
        <v>B</v>
      </c>
    </row>
    <row r="744" customFormat="false" ht="15" hidden="false" customHeight="false" outlineLevel="0" collapsed="false">
      <c r="A744" s="32" t="n">
        <v>737</v>
      </c>
      <c r="B744" s="33" t="n">
        <v>59502</v>
      </c>
      <c r="C744" s="34" t="s">
        <v>1556</v>
      </c>
      <c r="D744" s="34" t="s">
        <v>1557</v>
      </c>
      <c r="E744" s="34" t="s">
        <v>262</v>
      </c>
      <c r="F744" s="32" t="n">
        <f aca="false">COUNTIF(Base!$D$2:$D$2878,B744)</f>
        <v>1</v>
      </c>
      <c r="G744" s="35" t="n">
        <f aca="false">SUMIF(Base!$D$2:$D$2878,B744,Base!$I$2:$I$2878)</f>
        <v>2000</v>
      </c>
      <c r="H744" s="36" t="n">
        <f aca="false">IF($G$2849=0,0,G744/$G$2849)</f>
        <v>0.000131244452649952</v>
      </c>
      <c r="I744" s="37" t="n">
        <f aca="false">I743+H744</f>
        <v>0.935300997736575</v>
      </c>
      <c r="J744" s="37" t="n">
        <f aca="false">A744/2840</f>
        <v>0.259507042253521</v>
      </c>
      <c r="K744" s="32" t="str">
        <f aca="false">IF(I744&lt;=$E$4,"A",IF(I744&lt;=$E$5,"B","C"))</f>
        <v>B</v>
      </c>
    </row>
    <row r="745" customFormat="false" ht="15" hidden="false" customHeight="false" outlineLevel="0" collapsed="false">
      <c r="A745" s="32" t="n">
        <v>738</v>
      </c>
      <c r="B745" s="33" t="n">
        <v>140804</v>
      </c>
      <c r="C745" s="34" t="s">
        <v>1558</v>
      </c>
      <c r="D745" s="34" t="s">
        <v>1559</v>
      </c>
      <c r="E745" s="34" t="s">
        <v>360</v>
      </c>
      <c r="F745" s="32" t="n">
        <f aca="false">COUNTIF(Base!$D$2:$D$2878,B745)</f>
        <v>1</v>
      </c>
      <c r="G745" s="35" t="n">
        <f aca="false">SUMIF(Base!$D$2:$D$2878,B745,Base!$I$2:$I$2878)</f>
        <v>2000</v>
      </c>
      <c r="H745" s="36" t="n">
        <f aca="false">IF($G$2849=0,0,G745/$G$2849)</f>
        <v>0.000131244452649952</v>
      </c>
      <c r="I745" s="37" t="n">
        <f aca="false">I744+H745</f>
        <v>0.935432242189225</v>
      </c>
      <c r="J745" s="37" t="n">
        <f aca="false">A745/2840</f>
        <v>0.259859154929577</v>
      </c>
      <c r="K745" s="32" t="str">
        <f aca="false">IF(I745&lt;=$E$4,"A",IF(I745&lt;=$E$5,"B","C"))</f>
        <v>B</v>
      </c>
    </row>
    <row r="746" customFormat="false" ht="15" hidden="false" customHeight="false" outlineLevel="0" collapsed="false">
      <c r="A746" s="32" t="n">
        <v>739</v>
      </c>
      <c r="B746" s="33" t="n">
        <v>1327915</v>
      </c>
      <c r="C746" s="34" t="s">
        <v>1560</v>
      </c>
      <c r="D746" s="34" t="s">
        <v>1561</v>
      </c>
      <c r="E746" s="34" t="s">
        <v>54</v>
      </c>
      <c r="F746" s="32" t="n">
        <f aca="false">COUNTIF(Base!$D$2:$D$2878,B746)</f>
        <v>1</v>
      </c>
      <c r="G746" s="35" t="n">
        <f aca="false">SUMIF(Base!$D$2:$D$2878,B746,Base!$I$2:$I$2878)</f>
        <v>1998</v>
      </c>
      <c r="H746" s="36" t="n">
        <f aca="false">IF($G$2849=0,0,G746/$G$2849)</f>
        <v>0.000131113208197302</v>
      </c>
      <c r="I746" s="37" t="n">
        <f aca="false">I745+H746</f>
        <v>0.935563355397422</v>
      </c>
      <c r="J746" s="37" t="n">
        <f aca="false">A746/2840</f>
        <v>0.260211267605634</v>
      </c>
      <c r="K746" s="32" t="str">
        <f aca="false">IF(I746&lt;=$E$4,"A",IF(I746&lt;=$E$5,"B","C"))</f>
        <v>B</v>
      </c>
    </row>
    <row r="747" customFormat="false" ht="15" hidden="false" customHeight="false" outlineLevel="0" collapsed="false">
      <c r="A747" s="32" t="n">
        <v>740</v>
      </c>
      <c r="B747" s="33" t="n">
        <v>32168</v>
      </c>
      <c r="C747" s="34" t="s">
        <v>1562</v>
      </c>
      <c r="D747" s="34" t="s">
        <v>1563</v>
      </c>
      <c r="E747" s="34" t="s">
        <v>93</v>
      </c>
      <c r="F747" s="32" t="n">
        <f aca="false">COUNTIF(Base!$D$2:$D$2878,B747)</f>
        <v>1</v>
      </c>
      <c r="G747" s="35" t="n">
        <f aca="false">SUMIF(Base!$D$2:$D$2878,B747,Base!$I$2:$I$2878)</f>
        <v>1995</v>
      </c>
      <c r="H747" s="36" t="n">
        <f aca="false">IF($G$2849=0,0,G747/$G$2849)</f>
        <v>0.000130916341518327</v>
      </c>
      <c r="I747" s="37" t="n">
        <f aca="false">I746+H747</f>
        <v>0.93569427173894</v>
      </c>
      <c r="J747" s="37" t="n">
        <f aca="false">A747/2840</f>
        <v>0.26056338028169</v>
      </c>
      <c r="K747" s="32" t="str">
        <f aca="false">IF(I747&lt;=$E$4,"A",IF(I747&lt;=$E$5,"B","C"))</f>
        <v>B</v>
      </c>
    </row>
    <row r="748" customFormat="false" ht="15" hidden="false" customHeight="false" outlineLevel="0" collapsed="false">
      <c r="A748" s="32" t="n">
        <v>741</v>
      </c>
      <c r="B748" s="33" t="n">
        <v>143914</v>
      </c>
      <c r="C748" s="34" t="s">
        <v>1564</v>
      </c>
      <c r="D748" s="34" t="s">
        <v>1565</v>
      </c>
      <c r="E748" s="34" t="s">
        <v>247</v>
      </c>
      <c r="F748" s="32" t="n">
        <f aca="false">COUNTIF(Base!$D$2:$D$2878,B748)</f>
        <v>2</v>
      </c>
      <c r="G748" s="35" t="n">
        <f aca="false">SUMIF(Base!$D$2:$D$2878,B748,Base!$I$2:$I$2878)</f>
        <v>1993.89</v>
      </c>
      <c r="H748" s="36" t="n">
        <f aca="false">IF($G$2849=0,0,G748/$G$2849)</f>
        <v>0.000130843500847106</v>
      </c>
      <c r="I748" s="37" t="n">
        <f aca="false">I747+H748</f>
        <v>0.935825115239787</v>
      </c>
      <c r="J748" s="37" t="n">
        <f aca="false">A748/2840</f>
        <v>0.260915492957746</v>
      </c>
      <c r="K748" s="32" t="str">
        <f aca="false">IF(I748&lt;=$E$4,"A",IF(I748&lt;=$E$5,"B","C"))</f>
        <v>B</v>
      </c>
    </row>
    <row r="749" customFormat="false" ht="15" hidden="false" customHeight="false" outlineLevel="0" collapsed="false">
      <c r="A749" s="32" t="n">
        <v>742</v>
      </c>
      <c r="B749" s="33" t="n">
        <v>33640</v>
      </c>
      <c r="C749" s="34" t="s">
        <v>1566</v>
      </c>
      <c r="D749" s="34" t="s">
        <v>1567</v>
      </c>
      <c r="E749" s="34" t="s">
        <v>705</v>
      </c>
      <c r="F749" s="32" t="n">
        <f aca="false">COUNTIF(Base!$D$2:$D$2878,B749)</f>
        <v>1</v>
      </c>
      <c r="G749" s="35" t="n">
        <f aca="false">SUMIF(Base!$D$2:$D$2878,B749,Base!$I$2:$I$2878)</f>
        <v>1992</v>
      </c>
      <c r="H749" s="36" t="n">
        <f aca="false">IF($G$2849=0,0,G749/$G$2849)</f>
        <v>0.000130719474839352</v>
      </c>
      <c r="I749" s="37" t="n">
        <f aca="false">I748+H749</f>
        <v>0.935955834714627</v>
      </c>
      <c r="J749" s="37" t="n">
        <f aca="false">A749/2840</f>
        <v>0.261267605633803</v>
      </c>
      <c r="K749" s="32" t="str">
        <f aca="false">IF(I749&lt;=$E$4,"A",IF(I749&lt;=$E$5,"B","C"))</f>
        <v>B</v>
      </c>
    </row>
    <row r="750" customFormat="false" ht="15" hidden="false" customHeight="false" outlineLevel="0" collapsed="false">
      <c r="A750" s="32" t="n">
        <v>743</v>
      </c>
      <c r="B750" s="33" t="n">
        <v>143228</v>
      </c>
      <c r="C750" s="34" t="s">
        <v>1568</v>
      </c>
      <c r="D750" s="34" t="s">
        <v>1569</v>
      </c>
      <c r="E750" s="34" t="s">
        <v>93</v>
      </c>
      <c r="F750" s="32" t="n">
        <f aca="false">COUNTIF(Base!$D$2:$D$2878,B750)</f>
        <v>1</v>
      </c>
      <c r="G750" s="35" t="n">
        <f aca="false">SUMIF(Base!$D$2:$D$2878,B750,Base!$I$2:$I$2878)</f>
        <v>1989.675</v>
      </c>
      <c r="H750" s="36" t="n">
        <f aca="false">IF($G$2849=0,0,G750/$G$2849)</f>
        <v>0.000130566903163147</v>
      </c>
      <c r="I750" s="37" t="n">
        <f aca="false">I749+H750</f>
        <v>0.93608640161779</v>
      </c>
      <c r="J750" s="37" t="n">
        <f aca="false">A750/2840</f>
        <v>0.261619718309859</v>
      </c>
      <c r="K750" s="32" t="str">
        <f aca="false">IF(I750&lt;=$E$4,"A",IF(I750&lt;=$E$5,"B","C"))</f>
        <v>B</v>
      </c>
    </row>
    <row r="751" customFormat="false" ht="15" hidden="false" customHeight="false" outlineLevel="0" collapsed="false">
      <c r="A751" s="32" t="n">
        <v>744</v>
      </c>
      <c r="B751" s="33" t="n">
        <v>1327761</v>
      </c>
      <c r="C751" s="34" t="s">
        <v>1570</v>
      </c>
      <c r="D751" s="34" t="s">
        <v>1571</v>
      </c>
      <c r="E751" s="34" t="s">
        <v>54</v>
      </c>
      <c r="F751" s="32" t="n">
        <f aca="false">COUNTIF(Base!$D$2:$D$2878,B751)</f>
        <v>1</v>
      </c>
      <c r="G751" s="35" t="n">
        <f aca="false">SUMIF(Base!$D$2:$D$2878,B751,Base!$I$2:$I$2878)</f>
        <v>1987.35</v>
      </c>
      <c r="H751" s="36" t="n">
        <f aca="false">IF($G$2849=0,0,G751/$G$2849)</f>
        <v>0.000130414331486941</v>
      </c>
      <c r="I751" s="37" t="n">
        <f aca="false">I750+H751</f>
        <v>0.936216815949277</v>
      </c>
      <c r="J751" s="37" t="n">
        <f aca="false">A751/2840</f>
        <v>0.261971830985916</v>
      </c>
      <c r="K751" s="32" t="str">
        <f aca="false">IF(I751&lt;=$E$4,"A",IF(I751&lt;=$E$5,"B","C"))</f>
        <v>B</v>
      </c>
    </row>
    <row r="752" customFormat="false" ht="15" hidden="false" customHeight="false" outlineLevel="0" collapsed="false">
      <c r="A752" s="32" t="n">
        <v>745</v>
      </c>
      <c r="B752" s="33" t="n">
        <v>1614267</v>
      </c>
      <c r="C752" s="34" t="s">
        <v>1572</v>
      </c>
      <c r="D752" s="34" t="s">
        <v>1573</v>
      </c>
      <c r="E752" s="34" t="s">
        <v>38</v>
      </c>
      <c r="F752" s="32" t="n">
        <f aca="false">COUNTIF(Base!$D$2:$D$2878,B752)</f>
        <v>1</v>
      </c>
      <c r="G752" s="35" t="n">
        <f aca="false">SUMIF(Base!$D$2:$D$2878,B752,Base!$I$2:$I$2878)</f>
        <v>1986.5</v>
      </c>
      <c r="H752" s="36" t="n">
        <f aca="false">IF($G$2849=0,0,G752/$G$2849)</f>
        <v>0.000130358552594565</v>
      </c>
      <c r="I752" s="37" t="n">
        <f aca="false">I751+H752</f>
        <v>0.936347174501871</v>
      </c>
      <c r="J752" s="37" t="n">
        <f aca="false">A752/2840</f>
        <v>0.262323943661972</v>
      </c>
      <c r="K752" s="32" t="str">
        <f aca="false">IF(I752&lt;=$E$4,"A",IF(I752&lt;=$E$5,"B","C"))</f>
        <v>B</v>
      </c>
    </row>
    <row r="753" customFormat="false" ht="15" hidden="false" customHeight="false" outlineLevel="0" collapsed="false">
      <c r="A753" s="32" t="n">
        <v>746</v>
      </c>
      <c r="B753" s="33" t="n">
        <v>1229052</v>
      </c>
      <c r="C753" s="34" t="s">
        <v>1574</v>
      </c>
      <c r="D753" s="34" t="s">
        <v>1575</v>
      </c>
      <c r="E753" s="34" t="s">
        <v>38</v>
      </c>
      <c r="F753" s="32" t="n">
        <f aca="false">COUNTIF(Base!$D$2:$D$2878,B753)</f>
        <v>1</v>
      </c>
      <c r="G753" s="35" t="n">
        <f aca="false">SUMIF(Base!$D$2:$D$2878,B753,Base!$I$2:$I$2878)</f>
        <v>1985.64</v>
      </c>
      <c r="H753" s="36" t="n">
        <f aca="false">IF($G$2849=0,0,G753/$G$2849)</f>
        <v>0.000130302117479925</v>
      </c>
      <c r="I753" s="37" t="n">
        <f aca="false">I752+H753</f>
        <v>0.936477476619351</v>
      </c>
      <c r="J753" s="37" t="n">
        <f aca="false">A753/2840</f>
        <v>0.262676056338028</v>
      </c>
      <c r="K753" s="32" t="str">
        <f aca="false">IF(I753&lt;=$E$4,"A",IF(I753&lt;=$E$5,"B","C"))</f>
        <v>B</v>
      </c>
    </row>
    <row r="754" customFormat="false" ht="15" hidden="false" customHeight="false" outlineLevel="0" collapsed="false">
      <c r="A754" s="32" t="n">
        <v>747</v>
      </c>
      <c r="B754" s="33" t="n">
        <v>281750</v>
      </c>
      <c r="C754" s="34" t="s">
        <v>1576</v>
      </c>
      <c r="D754" s="34" t="s">
        <v>1577</v>
      </c>
      <c r="E754" s="34" t="s">
        <v>38</v>
      </c>
      <c r="F754" s="32" t="n">
        <f aca="false">COUNTIF(Base!$D$2:$D$2878,B754)</f>
        <v>1</v>
      </c>
      <c r="G754" s="35" t="n">
        <f aca="false">SUMIF(Base!$D$2:$D$2878,B754,Base!$I$2:$I$2878)</f>
        <v>1985.0788</v>
      </c>
      <c r="H754" s="36" t="n">
        <f aca="false">IF($G$2849=0,0,G754/$G$2849)</f>
        <v>0.000130265290286512</v>
      </c>
      <c r="I754" s="37" t="n">
        <f aca="false">I753+H754</f>
        <v>0.936607741909638</v>
      </c>
      <c r="J754" s="37" t="n">
        <f aca="false">A754/2840</f>
        <v>0.263028169014085</v>
      </c>
      <c r="K754" s="32" t="str">
        <f aca="false">IF(I754&lt;=$E$4,"A",IF(I754&lt;=$E$5,"B","C"))</f>
        <v>B</v>
      </c>
    </row>
    <row r="755" customFormat="false" ht="15" hidden="false" customHeight="false" outlineLevel="0" collapsed="false">
      <c r="A755" s="32" t="n">
        <v>748</v>
      </c>
      <c r="B755" s="33" t="n">
        <v>1016525</v>
      </c>
      <c r="C755" s="34" t="s">
        <v>1578</v>
      </c>
      <c r="D755" s="34" t="s">
        <v>1579</v>
      </c>
      <c r="E755" s="34" t="s">
        <v>189</v>
      </c>
      <c r="F755" s="32" t="n">
        <f aca="false">COUNTIF(Base!$D$2:$D$2878,B755)</f>
        <v>1</v>
      </c>
      <c r="G755" s="35" t="n">
        <f aca="false">SUMIF(Base!$D$2:$D$2878,B755,Base!$I$2:$I$2878)</f>
        <v>1985</v>
      </c>
      <c r="H755" s="36" t="n">
        <f aca="false">IF($G$2849=0,0,G755/$G$2849)</f>
        <v>0.000130260119255077</v>
      </c>
      <c r="I755" s="37" t="n">
        <f aca="false">I754+H755</f>
        <v>0.936738002028893</v>
      </c>
      <c r="J755" s="37" t="n">
        <f aca="false">A755/2840</f>
        <v>0.263380281690141</v>
      </c>
      <c r="K755" s="32" t="str">
        <f aca="false">IF(I755&lt;=$E$4,"A",IF(I755&lt;=$E$5,"B","C"))</f>
        <v>B</v>
      </c>
    </row>
    <row r="756" customFormat="false" ht="15" hidden="false" customHeight="false" outlineLevel="0" collapsed="false">
      <c r="A756" s="32" t="n">
        <v>749</v>
      </c>
      <c r="B756" s="33" t="n">
        <v>1327846</v>
      </c>
      <c r="C756" s="34" t="s">
        <v>1580</v>
      </c>
      <c r="D756" s="34" t="s">
        <v>1581</v>
      </c>
      <c r="E756" s="34" t="s">
        <v>54</v>
      </c>
      <c r="F756" s="32" t="n">
        <f aca="false">COUNTIF(Base!$D$2:$D$2878,B756)</f>
        <v>1</v>
      </c>
      <c r="G756" s="35" t="n">
        <f aca="false">SUMIF(Base!$D$2:$D$2878,B756,Base!$I$2:$I$2878)</f>
        <v>1985</v>
      </c>
      <c r="H756" s="36" t="n">
        <f aca="false">IF($G$2849=0,0,G756/$G$2849)</f>
        <v>0.000130260119255077</v>
      </c>
      <c r="I756" s="37" t="n">
        <f aca="false">I755+H756</f>
        <v>0.936868262148148</v>
      </c>
      <c r="J756" s="37" t="n">
        <f aca="false">A756/2840</f>
        <v>0.263732394366197</v>
      </c>
      <c r="K756" s="32" t="str">
        <f aca="false">IF(I756&lt;=$E$4,"A",IF(I756&lt;=$E$5,"B","C"))</f>
        <v>B</v>
      </c>
    </row>
    <row r="757" customFormat="false" ht="15" hidden="false" customHeight="false" outlineLevel="0" collapsed="false">
      <c r="A757" s="32" t="n">
        <v>750</v>
      </c>
      <c r="B757" s="33" t="n">
        <v>19756</v>
      </c>
      <c r="C757" s="34" t="s">
        <v>1582</v>
      </c>
      <c r="D757" s="34" t="s">
        <v>1583</v>
      </c>
      <c r="E757" s="34" t="s">
        <v>605</v>
      </c>
      <c r="F757" s="32" t="n">
        <f aca="false">COUNTIF(Base!$D$2:$D$2878,B757)</f>
        <v>1</v>
      </c>
      <c r="G757" s="35" t="n">
        <f aca="false">SUMIF(Base!$D$2:$D$2878,B757,Base!$I$2:$I$2878)</f>
        <v>1980</v>
      </c>
      <c r="H757" s="36" t="n">
        <f aca="false">IF($G$2849=0,0,G757/$G$2849)</f>
        <v>0.000129932008123453</v>
      </c>
      <c r="I757" s="37" t="n">
        <f aca="false">I756+H757</f>
        <v>0.936998194156272</v>
      </c>
      <c r="J757" s="37" t="n">
        <f aca="false">A757/2840</f>
        <v>0.264084507042254</v>
      </c>
      <c r="K757" s="32" t="str">
        <f aca="false">IF(I757&lt;=$E$4,"A",IF(I757&lt;=$E$5,"B","C"))</f>
        <v>B</v>
      </c>
    </row>
    <row r="758" customFormat="false" ht="15" hidden="false" customHeight="false" outlineLevel="0" collapsed="false">
      <c r="A758" s="32" t="n">
        <v>751</v>
      </c>
      <c r="B758" s="33" t="n">
        <v>942231</v>
      </c>
      <c r="C758" s="34" t="s">
        <v>1584</v>
      </c>
      <c r="D758" s="34" t="s">
        <v>1585</v>
      </c>
      <c r="E758" s="34" t="s">
        <v>133</v>
      </c>
      <c r="F758" s="32" t="n">
        <f aca="false">COUNTIF(Base!$D$2:$D$2878,B758)</f>
        <v>1</v>
      </c>
      <c r="G758" s="35" t="n">
        <f aca="false">SUMIF(Base!$D$2:$D$2878,B758,Base!$I$2:$I$2878)</f>
        <v>1980</v>
      </c>
      <c r="H758" s="36" t="n">
        <f aca="false">IF($G$2849=0,0,G758/$G$2849)</f>
        <v>0.000129932008123453</v>
      </c>
      <c r="I758" s="37" t="n">
        <f aca="false">I757+H758</f>
        <v>0.937128126164395</v>
      </c>
      <c r="J758" s="37" t="n">
        <f aca="false">A758/2840</f>
        <v>0.26443661971831</v>
      </c>
      <c r="K758" s="32" t="str">
        <f aca="false">IF(I758&lt;=$E$4,"A",IF(I758&lt;=$E$5,"B","C"))</f>
        <v>B</v>
      </c>
    </row>
    <row r="759" customFormat="false" ht="15" hidden="false" customHeight="false" outlineLevel="0" collapsed="false">
      <c r="A759" s="32" t="n">
        <v>752</v>
      </c>
      <c r="B759" s="33" t="n">
        <v>1317606</v>
      </c>
      <c r="C759" s="34" t="s">
        <v>1586</v>
      </c>
      <c r="D759" s="34" t="s">
        <v>1587</v>
      </c>
      <c r="E759" s="34" t="s">
        <v>54</v>
      </c>
      <c r="F759" s="32" t="n">
        <f aca="false">COUNTIF(Base!$D$2:$D$2878,B759)</f>
        <v>1</v>
      </c>
      <c r="G759" s="35" t="n">
        <f aca="false">SUMIF(Base!$D$2:$D$2878,B759,Base!$I$2:$I$2878)</f>
        <v>1980</v>
      </c>
      <c r="H759" s="36" t="n">
        <f aca="false">IF($G$2849=0,0,G759/$G$2849)</f>
        <v>0.000129932008123453</v>
      </c>
      <c r="I759" s="37" t="n">
        <f aca="false">I758+H759</f>
        <v>0.937258058172519</v>
      </c>
      <c r="J759" s="37" t="n">
        <f aca="false">A759/2840</f>
        <v>0.264788732394366</v>
      </c>
      <c r="K759" s="32" t="str">
        <f aca="false">IF(I759&lt;=$E$4,"A",IF(I759&lt;=$E$5,"B","C"))</f>
        <v>B</v>
      </c>
    </row>
    <row r="760" customFormat="false" ht="15" hidden="false" customHeight="false" outlineLevel="0" collapsed="false">
      <c r="A760" s="32" t="n">
        <v>753</v>
      </c>
      <c r="B760" s="33" t="n">
        <v>1475784</v>
      </c>
      <c r="C760" s="34" t="s">
        <v>1588</v>
      </c>
      <c r="D760" s="34" t="s">
        <v>1589</v>
      </c>
      <c r="E760" s="34" t="s">
        <v>334</v>
      </c>
      <c r="F760" s="32" t="n">
        <f aca="false">COUNTIF(Base!$D$2:$D$2878,B760)</f>
        <v>1</v>
      </c>
      <c r="G760" s="35" t="n">
        <f aca="false">SUMIF(Base!$D$2:$D$2878,B760,Base!$I$2:$I$2878)</f>
        <v>1980</v>
      </c>
      <c r="H760" s="36" t="n">
        <f aca="false">IF($G$2849=0,0,G760/$G$2849)</f>
        <v>0.000129932008123453</v>
      </c>
      <c r="I760" s="37" t="n">
        <f aca="false">I759+H760</f>
        <v>0.937387990180642</v>
      </c>
      <c r="J760" s="37" t="n">
        <f aca="false">A760/2840</f>
        <v>0.265140845070423</v>
      </c>
      <c r="K760" s="32" t="str">
        <f aca="false">IF(I760&lt;=$E$4,"A",IF(I760&lt;=$E$5,"B","C"))</f>
        <v>B</v>
      </c>
    </row>
    <row r="761" customFormat="false" ht="15" hidden="false" customHeight="false" outlineLevel="0" collapsed="false">
      <c r="A761" s="32" t="n">
        <v>754</v>
      </c>
      <c r="B761" s="33" t="n">
        <v>56122</v>
      </c>
      <c r="C761" s="34" t="s">
        <v>1590</v>
      </c>
      <c r="D761" s="34" t="s">
        <v>1591</v>
      </c>
      <c r="E761" s="34" t="s">
        <v>100</v>
      </c>
      <c r="F761" s="32" t="n">
        <f aca="false">COUNTIF(Base!$D$2:$D$2878,B761)</f>
        <v>1</v>
      </c>
      <c r="G761" s="35" t="n">
        <f aca="false">SUMIF(Base!$D$2:$D$2878,B761,Base!$I$2:$I$2878)</f>
        <v>1979.99</v>
      </c>
      <c r="H761" s="36" t="n">
        <f aca="false">IF($G$2849=0,0,G761/$G$2849)</f>
        <v>0.000129931351901189</v>
      </c>
      <c r="I761" s="37" t="n">
        <f aca="false">I760+H761</f>
        <v>0.937517921532543</v>
      </c>
      <c r="J761" s="37" t="n">
        <f aca="false">A761/2840</f>
        <v>0.265492957746479</v>
      </c>
      <c r="K761" s="32" t="str">
        <f aca="false">IF(I761&lt;=$E$4,"A",IF(I761&lt;=$E$5,"B","C"))</f>
        <v>B</v>
      </c>
    </row>
    <row r="762" customFormat="false" ht="15" hidden="false" customHeight="false" outlineLevel="0" collapsed="false">
      <c r="A762" s="32" t="n">
        <v>755</v>
      </c>
      <c r="B762" s="33" t="n">
        <v>553351</v>
      </c>
      <c r="C762" s="34" t="s">
        <v>1592</v>
      </c>
      <c r="D762" s="34" t="s">
        <v>1593</v>
      </c>
      <c r="E762" s="34" t="s">
        <v>54</v>
      </c>
      <c r="F762" s="32" t="n">
        <f aca="false">COUNTIF(Base!$D$2:$D$2878,B762)</f>
        <v>1</v>
      </c>
      <c r="G762" s="35" t="n">
        <f aca="false">SUMIF(Base!$D$2:$D$2878,B762,Base!$I$2:$I$2878)</f>
        <v>1977.6</v>
      </c>
      <c r="H762" s="36" t="n">
        <f aca="false">IF($G$2849=0,0,G762/$G$2849)</f>
        <v>0.000129774514780273</v>
      </c>
      <c r="I762" s="37" t="n">
        <f aca="false">I761+H762</f>
        <v>0.937647696047324</v>
      </c>
      <c r="J762" s="37" t="n">
        <f aca="false">A762/2840</f>
        <v>0.265845070422535</v>
      </c>
      <c r="K762" s="32" t="str">
        <f aca="false">IF(I762&lt;=$E$4,"A",IF(I762&lt;=$E$5,"B","C"))</f>
        <v>B</v>
      </c>
    </row>
    <row r="763" customFormat="false" ht="15" hidden="false" customHeight="false" outlineLevel="0" collapsed="false">
      <c r="A763" s="32" t="n">
        <v>756</v>
      </c>
      <c r="B763" s="33" t="n">
        <v>18819</v>
      </c>
      <c r="C763" s="34" t="s">
        <v>1594</v>
      </c>
      <c r="D763" s="34" t="s">
        <v>1595</v>
      </c>
      <c r="E763" s="34" t="s">
        <v>247</v>
      </c>
      <c r="F763" s="32" t="n">
        <f aca="false">COUNTIF(Base!$D$2:$D$2878,B763)</f>
        <v>1</v>
      </c>
      <c r="G763" s="35" t="n">
        <f aca="false">SUMIF(Base!$D$2:$D$2878,B763,Base!$I$2:$I$2878)</f>
        <v>1974.6</v>
      </c>
      <c r="H763" s="36" t="n">
        <f aca="false">IF($G$2849=0,0,G763/$G$2849)</f>
        <v>0.000129577648101298</v>
      </c>
      <c r="I763" s="37" t="n">
        <f aca="false">I762+H763</f>
        <v>0.937777273695425</v>
      </c>
      <c r="J763" s="37" t="n">
        <f aca="false">A763/2840</f>
        <v>0.266197183098592</v>
      </c>
      <c r="K763" s="32" t="str">
        <f aca="false">IF(I763&lt;=$E$4,"A",IF(I763&lt;=$E$5,"B","C"))</f>
        <v>B</v>
      </c>
    </row>
    <row r="764" customFormat="false" ht="15" hidden="false" customHeight="false" outlineLevel="0" collapsed="false">
      <c r="A764" s="32" t="n">
        <v>757</v>
      </c>
      <c r="B764" s="33" t="n">
        <v>137402</v>
      </c>
      <c r="C764" s="34" t="s">
        <v>1596</v>
      </c>
      <c r="D764" s="34" t="s">
        <v>1597</v>
      </c>
      <c r="E764" s="34" t="s">
        <v>247</v>
      </c>
      <c r="F764" s="32" t="n">
        <f aca="false">COUNTIF(Base!$D$2:$D$2878,B764)</f>
        <v>1</v>
      </c>
      <c r="G764" s="35" t="n">
        <f aca="false">SUMIF(Base!$D$2:$D$2878,B764,Base!$I$2:$I$2878)</f>
        <v>1966.35</v>
      </c>
      <c r="H764" s="36" t="n">
        <f aca="false">IF($G$2849=0,0,G764/$G$2849)</f>
        <v>0.000129036264734117</v>
      </c>
      <c r="I764" s="37" t="n">
        <f aca="false">I763+H764</f>
        <v>0.937906309960159</v>
      </c>
      <c r="J764" s="37" t="n">
        <f aca="false">A764/2840</f>
        <v>0.266549295774648</v>
      </c>
      <c r="K764" s="32" t="str">
        <f aca="false">IF(I764&lt;=$E$4,"A",IF(I764&lt;=$E$5,"B","C"))</f>
        <v>B</v>
      </c>
    </row>
    <row r="765" customFormat="false" ht="15" hidden="false" customHeight="false" outlineLevel="0" collapsed="false">
      <c r="A765" s="32" t="n">
        <v>758</v>
      </c>
      <c r="B765" s="33" t="n">
        <v>946742</v>
      </c>
      <c r="C765" s="34" t="s">
        <v>1598</v>
      </c>
      <c r="D765" s="34" t="s">
        <v>1599</v>
      </c>
      <c r="E765" s="34" t="s">
        <v>835</v>
      </c>
      <c r="F765" s="32" t="n">
        <f aca="false">COUNTIF(Base!$D$2:$D$2878,B765)</f>
        <v>1</v>
      </c>
      <c r="G765" s="35" t="n">
        <f aca="false">SUMIF(Base!$D$2:$D$2878,B765,Base!$I$2:$I$2878)</f>
        <v>1954</v>
      </c>
      <c r="H765" s="36" t="n">
        <f aca="false">IF($G$2849=0,0,G765/$G$2849)</f>
        <v>0.000128225830239003</v>
      </c>
      <c r="I765" s="37" t="n">
        <f aca="false">I764+H765</f>
        <v>0.938034535790398</v>
      </c>
      <c r="J765" s="37" t="n">
        <f aca="false">A765/2840</f>
        <v>0.266901408450704</v>
      </c>
      <c r="K765" s="32" t="str">
        <f aca="false">IF(I765&lt;=$E$4,"A",IF(I765&lt;=$E$5,"B","C"))</f>
        <v>B</v>
      </c>
    </row>
    <row r="766" customFormat="false" ht="15" hidden="false" customHeight="false" outlineLevel="0" collapsed="false">
      <c r="A766" s="32" t="n">
        <v>759</v>
      </c>
      <c r="B766" s="33" t="n">
        <v>22728</v>
      </c>
      <c r="C766" s="34" t="s">
        <v>1600</v>
      </c>
      <c r="D766" s="34" t="s">
        <v>1601</v>
      </c>
      <c r="E766" s="34" t="s">
        <v>130</v>
      </c>
      <c r="F766" s="32" t="n">
        <f aca="false">COUNTIF(Base!$D$2:$D$2878,B766)</f>
        <v>1</v>
      </c>
      <c r="G766" s="35" t="n">
        <f aca="false">SUMIF(Base!$D$2:$D$2878,B766,Base!$I$2:$I$2878)</f>
        <v>1949</v>
      </c>
      <c r="H766" s="36" t="n">
        <f aca="false">IF($G$2849=0,0,G766/$G$2849)</f>
        <v>0.000127897719107378</v>
      </c>
      <c r="I766" s="37" t="n">
        <f aca="false">I765+H766</f>
        <v>0.938162433509505</v>
      </c>
      <c r="J766" s="37" t="n">
        <f aca="false">A766/2840</f>
        <v>0.267253521126761</v>
      </c>
      <c r="K766" s="32" t="str">
        <f aca="false">IF(I766&lt;=$E$4,"A",IF(I766&lt;=$E$5,"B","C"))</f>
        <v>B</v>
      </c>
    </row>
    <row r="767" customFormat="false" ht="15" hidden="false" customHeight="false" outlineLevel="0" collapsed="false">
      <c r="A767" s="32" t="n">
        <v>760</v>
      </c>
      <c r="B767" s="33" t="n">
        <v>1388091</v>
      </c>
      <c r="C767" s="34" t="s">
        <v>1602</v>
      </c>
      <c r="D767" s="34" t="s">
        <v>1603</v>
      </c>
      <c r="E767" s="34" t="s">
        <v>38</v>
      </c>
      <c r="F767" s="32" t="n">
        <f aca="false">COUNTIF(Base!$D$2:$D$2878,B767)</f>
        <v>1</v>
      </c>
      <c r="G767" s="35" t="n">
        <f aca="false">SUMIF(Base!$D$2:$D$2878,B767,Base!$I$2:$I$2878)</f>
        <v>1947.59</v>
      </c>
      <c r="H767" s="36" t="n">
        <f aca="false">IF($G$2849=0,0,G767/$G$2849)</f>
        <v>0.00012780519176826</v>
      </c>
      <c r="I767" s="37" t="n">
        <f aca="false">I766+H767</f>
        <v>0.938290238701274</v>
      </c>
      <c r="J767" s="37" t="n">
        <f aca="false">A767/2840</f>
        <v>0.267605633802817</v>
      </c>
      <c r="K767" s="32" t="str">
        <f aca="false">IF(I767&lt;=$E$4,"A",IF(I767&lt;=$E$5,"B","C"))</f>
        <v>B</v>
      </c>
    </row>
    <row r="768" customFormat="false" ht="15" hidden="false" customHeight="false" outlineLevel="0" collapsed="false">
      <c r="A768" s="32" t="n">
        <v>761</v>
      </c>
      <c r="B768" s="33" t="n">
        <v>32885</v>
      </c>
      <c r="C768" s="34" t="s">
        <v>1604</v>
      </c>
      <c r="D768" s="34" t="s">
        <v>1605</v>
      </c>
      <c r="E768" s="34" t="s">
        <v>113</v>
      </c>
      <c r="F768" s="32" t="n">
        <f aca="false">COUNTIF(Base!$D$2:$D$2878,B768)</f>
        <v>1</v>
      </c>
      <c r="G768" s="35" t="n">
        <f aca="false">SUMIF(Base!$D$2:$D$2878,B768,Base!$I$2:$I$2878)</f>
        <v>1946.44</v>
      </c>
      <c r="H768" s="36" t="n">
        <f aca="false">IF($G$2849=0,0,G768/$G$2849)</f>
        <v>0.000127729726207986</v>
      </c>
      <c r="I768" s="37" t="n">
        <f aca="false">I767+H768</f>
        <v>0.938417968427482</v>
      </c>
      <c r="J768" s="37" t="n">
        <f aca="false">A768/2840</f>
        <v>0.267957746478873</v>
      </c>
      <c r="K768" s="32" t="str">
        <f aca="false">IF(I768&lt;=$E$4,"A",IF(I768&lt;=$E$5,"B","C"))</f>
        <v>B</v>
      </c>
    </row>
    <row r="769" customFormat="false" ht="15" hidden="false" customHeight="false" outlineLevel="0" collapsed="false">
      <c r="A769" s="32" t="n">
        <v>762</v>
      </c>
      <c r="B769" s="33" t="n">
        <v>1326640</v>
      </c>
      <c r="C769" s="34" t="s">
        <v>1606</v>
      </c>
      <c r="D769" s="34" t="s">
        <v>1607</v>
      </c>
      <c r="E769" s="34" t="s">
        <v>38</v>
      </c>
      <c r="F769" s="32" t="n">
        <f aca="false">COUNTIF(Base!$D$2:$D$2878,B769)</f>
        <v>1</v>
      </c>
      <c r="G769" s="35" t="n">
        <f aca="false">SUMIF(Base!$D$2:$D$2878,B769,Base!$I$2:$I$2878)</f>
        <v>1940.8</v>
      </c>
      <c r="H769" s="36" t="n">
        <f aca="false">IF($G$2849=0,0,G769/$G$2849)</f>
        <v>0.000127359616851513</v>
      </c>
      <c r="I769" s="37" t="n">
        <f aca="false">I768+H769</f>
        <v>0.938545328044333</v>
      </c>
      <c r="J769" s="37" t="n">
        <f aca="false">A769/2840</f>
        <v>0.26830985915493</v>
      </c>
      <c r="K769" s="32" t="str">
        <f aca="false">IF(I769&lt;=$E$4,"A",IF(I769&lt;=$E$5,"B","C"))</f>
        <v>B</v>
      </c>
    </row>
    <row r="770" customFormat="false" ht="15" hidden="false" customHeight="false" outlineLevel="0" collapsed="false">
      <c r="A770" s="32" t="n">
        <v>763</v>
      </c>
      <c r="B770" s="33" t="n">
        <v>1014562</v>
      </c>
      <c r="C770" s="34" t="s">
        <v>1608</v>
      </c>
      <c r="D770" s="34" t="s">
        <v>1609</v>
      </c>
      <c r="E770" s="34" t="s">
        <v>130</v>
      </c>
      <c r="F770" s="32" t="n">
        <f aca="false">COUNTIF(Base!$D$2:$D$2878,B770)</f>
        <v>1</v>
      </c>
      <c r="G770" s="35" t="n">
        <f aca="false">SUMIF(Base!$D$2:$D$2878,B770,Base!$I$2:$I$2878)</f>
        <v>1940</v>
      </c>
      <c r="H770" s="36" t="n">
        <f aca="false">IF($G$2849=0,0,G770/$G$2849)</f>
        <v>0.000127307119070453</v>
      </c>
      <c r="I770" s="37" t="n">
        <f aca="false">I769+H770</f>
        <v>0.938672635163404</v>
      </c>
      <c r="J770" s="37" t="n">
        <f aca="false">A770/2840</f>
        <v>0.268661971830986</v>
      </c>
      <c r="K770" s="32" t="str">
        <f aca="false">IF(I770&lt;=$E$4,"A",IF(I770&lt;=$E$5,"B","C"))</f>
        <v>B</v>
      </c>
    </row>
    <row r="771" customFormat="false" ht="15" hidden="false" customHeight="false" outlineLevel="0" collapsed="false">
      <c r="A771" s="32" t="n">
        <v>764</v>
      </c>
      <c r="B771" s="33" t="n">
        <v>1383664</v>
      </c>
      <c r="C771" s="34" t="s">
        <v>1610</v>
      </c>
      <c r="D771" s="34" t="s">
        <v>1611</v>
      </c>
      <c r="E771" s="34" t="s">
        <v>38</v>
      </c>
      <c r="F771" s="32" t="n">
        <f aca="false">COUNTIF(Base!$D$2:$D$2878,B771)</f>
        <v>1</v>
      </c>
      <c r="G771" s="35" t="n">
        <f aca="false">SUMIF(Base!$D$2:$D$2878,B771,Base!$I$2:$I$2878)</f>
        <v>1936.62</v>
      </c>
      <c r="H771" s="36" t="n">
        <f aca="false">IF($G$2849=0,0,G771/$G$2849)</f>
        <v>0.000127085315945475</v>
      </c>
      <c r="I771" s="37" t="n">
        <f aca="false">I770+H771</f>
        <v>0.938799720479349</v>
      </c>
      <c r="J771" s="37" t="n">
        <f aca="false">A771/2840</f>
        <v>0.269014084507042</v>
      </c>
      <c r="K771" s="32" t="str">
        <f aca="false">IF(I771&lt;=$E$4,"A",IF(I771&lt;=$E$5,"B","C"))</f>
        <v>B</v>
      </c>
    </row>
    <row r="772" customFormat="false" ht="15" hidden="false" customHeight="false" outlineLevel="0" collapsed="false">
      <c r="A772" s="32" t="n">
        <v>765</v>
      </c>
      <c r="B772" s="33" t="n">
        <v>18842</v>
      </c>
      <c r="C772" s="34" t="s">
        <v>1612</v>
      </c>
      <c r="D772" s="34" t="s">
        <v>1613</v>
      </c>
      <c r="E772" s="34" t="s">
        <v>247</v>
      </c>
      <c r="F772" s="32" t="n">
        <f aca="false">COUNTIF(Base!$D$2:$D$2878,B772)</f>
        <v>1</v>
      </c>
      <c r="G772" s="35" t="n">
        <f aca="false">SUMIF(Base!$D$2:$D$2878,B772,Base!$I$2:$I$2878)</f>
        <v>1924.14</v>
      </c>
      <c r="H772" s="36" t="n">
        <f aca="false">IF($G$2849=0,0,G772/$G$2849)</f>
        <v>0.000126266350560939</v>
      </c>
      <c r="I772" s="37" t="n">
        <f aca="false">I771+H772</f>
        <v>0.93892598682991</v>
      </c>
      <c r="J772" s="37" t="n">
        <f aca="false">A772/2840</f>
        <v>0.269366197183099</v>
      </c>
      <c r="K772" s="32" t="str">
        <f aca="false">IF(I772&lt;=$E$4,"A",IF(I772&lt;=$E$5,"B","C"))</f>
        <v>B</v>
      </c>
    </row>
    <row r="773" customFormat="false" ht="15" hidden="false" customHeight="false" outlineLevel="0" collapsed="false">
      <c r="A773" s="32" t="n">
        <v>766</v>
      </c>
      <c r="B773" s="33" t="n">
        <v>232424</v>
      </c>
      <c r="C773" s="34" t="s">
        <v>1614</v>
      </c>
      <c r="D773" s="34" t="s">
        <v>1615</v>
      </c>
      <c r="E773" s="34" t="s">
        <v>38</v>
      </c>
      <c r="F773" s="32" t="n">
        <f aca="false">COUNTIF(Base!$D$2:$D$2878,B773)</f>
        <v>1</v>
      </c>
      <c r="G773" s="35" t="n">
        <f aca="false">SUMIF(Base!$D$2:$D$2878,B773,Base!$I$2:$I$2878)</f>
        <v>1904.9</v>
      </c>
      <c r="H773" s="36" t="n">
        <f aca="false">IF($G$2849=0,0,G773/$G$2849)</f>
        <v>0.000125003778926447</v>
      </c>
      <c r="I773" s="37" t="n">
        <f aca="false">I772+H773</f>
        <v>0.939050990608836</v>
      </c>
      <c r="J773" s="37" t="n">
        <f aca="false">A773/2840</f>
        <v>0.269718309859155</v>
      </c>
      <c r="K773" s="32" t="str">
        <f aca="false">IF(I773&lt;=$E$4,"A",IF(I773&lt;=$E$5,"B","C"))</f>
        <v>B</v>
      </c>
    </row>
    <row r="774" customFormat="false" ht="15" hidden="false" customHeight="false" outlineLevel="0" collapsed="false">
      <c r="A774" s="32" t="n">
        <v>767</v>
      </c>
      <c r="B774" s="33" t="n">
        <v>554895</v>
      </c>
      <c r="C774" s="34" t="s">
        <v>1616</v>
      </c>
      <c r="D774" s="34" t="s">
        <v>1617</v>
      </c>
      <c r="E774" s="34" t="s">
        <v>1618</v>
      </c>
      <c r="F774" s="32" t="n">
        <f aca="false">COUNTIF(Base!$D$2:$D$2878,B774)</f>
        <v>1</v>
      </c>
      <c r="G774" s="35" t="n">
        <f aca="false">SUMIF(Base!$D$2:$D$2878,B774,Base!$I$2:$I$2878)</f>
        <v>1903.44</v>
      </c>
      <c r="H774" s="36" t="n">
        <f aca="false">IF($G$2849=0,0,G774/$G$2849)</f>
        <v>0.000124907970476012</v>
      </c>
      <c r="I774" s="37" t="n">
        <f aca="false">I773+H774</f>
        <v>0.939175898579312</v>
      </c>
      <c r="J774" s="37" t="n">
        <f aca="false">A774/2840</f>
        <v>0.270070422535211</v>
      </c>
      <c r="K774" s="32" t="str">
        <f aca="false">IF(I774&lt;=$E$4,"A",IF(I774&lt;=$E$5,"B","C"))</f>
        <v>B</v>
      </c>
    </row>
    <row r="775" customFormat="false" ht="15" hidden="false" customHeight="false" outlineLevel="0" collapsed="false">
      <c r="A775" s="32" t="n">
        <v>768</v>
      </c>
      <c r="B775" s="33" t="n">
        <v>1679923</v>
      </c>
      <c r="C775" s="34" t="s">
        <v>1619</v>
      </c>
      <c r="D775" s="34" t="s">
        <v>1620</v>
      </c>
      <c r="E775" s="34" t="s">
        <v>705</v>
      </c>
      <c r="F775" s="32" t="n">
        <f aca="false">COUNTIF(Base!$D$2:$D$2878,B775)</f>
        <v>1</v>
      </c>
      <c r="G775" s="35" t="n">
        <f aca="false">SUMIF(Base!$D$2:$D$2878,B775,Base!$I$2:$I$2878)</f>
        <v>1903.2</v>
      </c>
      <c r="H775" s="36" t="n">
        <f aca="false">IF($G$2849=0,0,G775/$G$2849)</f>
        <v>0.000124892221141694</v>
      </c>
      <c r="I775" s="37" t="n">
        <f aca="false">I774+H775</f>
        <v>0.939300790800454</v>
      </c>
      <c r="J775" s="37" t="n">
        <f aca="false">A775/2840</f>
        <v>0.270422535211268</v>
      </c>
      <c r="K775" s="32" t="str">
        <f aca="false">IF(I775&lt;=$E$4,"A",IF(I775&lt;=$E$5,"B","C"))</f>
        <v>B</v>
      </c>
    </row>
    <row r="776" customFormat="false" ht="15" hidden="false" customHeight="false" outlineLevel="0" collapsed="false">
      <c r="A776" s="32" t="n">
        <v>769</v>
      </c>
      <c r="B776" s="33" t="n">
        <v>1464771</v>
      </c>
      <c r="C776" s="34" t="s">
        <v>1621</v>
      </c>
      <c r="D776" s="34" t="s">
        <v>1622</v>
      </c>
      <c r="E776" s="34" t="s">
        <v>133</v>
      </c>
      <c r="F776" s="32" t="n">
        <f aca="false">COUNTIF(Base!$D$2:$D$2878,B776)</f>
        <v>1</v>
      </c>
      <c r="G776" s="35" t="n">
        <f aca="false">SUMIF(Base!$D$2:$D$2878,B776,Base!$I$2:$I$2878)</f>
        <v>1902.99</v>
      </c>
      <c r="H776" s="36" t="n">
        <f aca="false">IF($G$2849=0,0,G776/$G$2849)</f>
        <v>0.000124878440474166</v>
      </c>
      <c r="I776" s="37" t="n">
        <f aca="false">I775+H776</f>
        <v>0.939425669240928</v>
      </c>
      <c r="J776" s="37" t="n">
        <f aca="false">A776/2840</f>
        <v>0.270774647887324</v>
      </c>
      <c r="K776" s="32" t="str">
        <f aca="false">IF(I776&lt;=$E$4,"A",IF(I776&lt;=$E$5,"B","C"))</f>
        <v>B</v>
      </c>
    </row>
    <row r="777" customFormat="false" ht="15" hidden="false" customHeight="false" outlineLevel="0" collapsed="false">
      <c r="A777" s="32" t="n">
        <v>770</v>
      </c>
      <c r="B777" s="33" t="n">
        <v>1386768</v>
      </c>
      <c r="C777" s="34" t="s">
        <v>1623</v>
      </c>
      <c r="D777" s="34" t="s">
        <v>1624</v>
      </c>
      <c r="E777" s="34" t="s">
        <v>160</v>
      </c>
      <c r="F777" s="32" t="n">
        <f aca="false">COUNTIF(Base!$D$2:$D$2878,B777)</f>
        <v>1</v>
      </c>
      <c r="G777" s="35" t="n">
        <f aca="false">SUMIF(Base!$D$2:$D$2878,B777,Base!$I$2:$I$2878)</f>
        <v>1900.43</v>
      </c>
      <c r="H777" s="36" t="n">
        <f aca="false">IF($G$2849=0,0,G777/$G$2849)</f>
        <v>0.000124710447574774</v>
      </c>
      <c r="I777" s="37" t="n">
        <f aca="false">I776+H777</f>
        <v>0.939550379688503</v>
      </c>
      <c r="J777" s="37" t="n">
        <f aca="false">A777/2840</f>
        <v>0.27112676056338</v>
      </c>
      <c r="K777" s="32" t="str">
        <f aca="false">IF(I777&lt;=$E$4,"A",IF(I777&lt;=$E$5,"B","C"))</f>
        <v>B</v>
      </c>
    </row>
    <row r="778" customFormat="false" ht="15" hidden="false" customHeight="false" outlineLevel="0" collapsed="false">
      <c r="A778" s="32" t="n">
        <v>771</v>
      </c>
      <c r="B778" s="33" t="n">
        <v>1018050</v>
      </c>
      <c r="C778" s="34" t="s">
        <v>1625</v>
      </c>
      <c r="D778" s="34" t="s">
        <v>1626</v>
      </c>
      <c r="E778" s="34" t="s">
        <v>75</v>
      </c>
      <c r="F778" s="32" t="n">
        <f aca="false">COUNTIF(Base!$D$2:$D$2878,B778)</f>
        <v>1</v>
      </c>
      <c r="G778" s="35" t="n">
        <f aca="false">SUMIF(Base!$D$2:$D$2878,B778,Base!$I$2:$I$2878)</f>
        <v>1900</v>
      </c>
      <c r="H778" s="36" t="n">
        <f aca="false">IF($G$2849=0,0,G778/$G$2849)</f>
        <v>0.000124682230017454</v>
      </c>
      <c r="I778" s="37" t="n">
        <f aca="false">I777+H778</f>
        <v>0.939675061918521</v>
      </c>
      <c r="J778" s="37" t="n">
        <f aca="false">A778/2840</f>
        <v>0.271478873239437</v>
      </c>
      <c r="K778" s="32" t="str">
        <f aca="false">IF(I778&lt;=$E$4,"A",IF(I778&lt;=$E$5,"B","C"))</f>
        <v>B</v>
      </c>
    </row>
    <row r="779" customFormat="false" ht="15" hidden="false" customHeight="false" outlineLevel="0" collapsed="false">
      <c r="A779" s="32" t="n">
        <v>772</v>
      </c>
      <c r="B779" s="33" t="n">
        <v>1665308</v>
      </c>
      <c r="C779" s="34" t="s">
        <v>1627</v>
      </c>
      <c r="D779" s="34" t="s">
        <v>1628</v>
      </c>
      <c r="E779" s="34" t="s">
        <v>75</v>
      </c>
      <c r="F779" s="32" t="n">
        <f aca="false">COUNTIF(Base!$D$2:$D$2878,B779)</f>
        <v>1</v>
      </c>
      <c r="G779" s="35" t="n">
        <f aca="false">SUMIF(Base!$D$2:$D$2878,B779,Base!$I$2:$I$2878)</f>
        <v>1898</v>
      </c>
      <c r="H779" s="36" t="n">
        <f aca="false">IF($G$2849=0,0,G779/$G$2849)</f>
        <v>0.000124550985564804</v>
      </c>
      <c r="I779" s="37" t="n">
        <f aca="false">I778+H779</f>
        <v>0.939799612904085</v>
      </c>
      <c r="J779" s="37" t="n">
        <f aca="false">A779/2840</f>
        <v>0.271830985915493</v>
      </c>
      <c r="K779" s="32" t="str">
        <f aca="false">IF(I779&lt;=$E$4,"A",IF(I779&lt;=$E$5,"B","C"))</f>
        <v>B</v>
      </c>
    </row>
    <row r="780" customFormat="false" ht="15" hidden="false" customHeight="false" outlineLevel="0" collapsed="false">
      <c r="A780" s="32" t="n">
        <v>773</v>
      </c>
      <c r="B780" s="33" t="n">
        <v>831927</v>
      </c>
      <c r="C780" s="34" t="s">
        <v>1629</v>
      </c>
      <c r="D780" s="34" t="s">
        <v>1630</v>
      </c>
      <c r="E780" s="34" t="s">
        <v>247</v>
      </c>
      <c r="F780" s="32" t="n">
        <f aca="false">COUNTIF(Base!$D$2:$D$2878,B780)</f>
        <v>1</v>
      </c>
      <c r="G780" s="35" t="n">
        <f aca="false">SUMIF(Base!$D$2:$D$2878,B780,Base!$I$2:$I$2878)</f>
        <v>1897.88</v>
      </c>
      <c r="H780" s="36" t="n">
        <f aca="false">IF($G$2849=0,0,G780/$G$2849)</f>
        <v>0.000124543110897646</v>
      </c>
      <c r="I780" s="37" t="n">
        <f aca="false">I779+H780</f>
        <v>0.939924156014983</v>
      </c>
      <c r="J780" s="37" t="n">
        <f aca="false">A780/2840</f>
        <v>0.272183098591549</v>
      </c>
      <c r="K780" s="32" t="str">
        <f aca="false">IF(I780&lt;=$E$4,"A",IF(I780&lt;=$E$5,"B","C"))</f>
        <v>B</v>
      </c>
    </row>
    <row r="781" customFormat="false" ht="15" hidden="false" customHeight="false" outlineLevel="0" collapsed="false">
      <c r="A781" s="32" t="n">
        <v>774</v>
      </c>
      <c r="B781" s="33" t="n">
        <v>65183</v>
      </c>
      <c r="C781" s="34" t="s">
        <v>1631</v>
      </c>
      <c r="D781" s="34" t="s">
        <v>1632</v>
      </c>
      <c r="E781" s="34" t="s">
        <v>247</v>
      </c>
      <c r="F781" s="32" t="n">
        <f aca="false">COUNTIF(Base!$D$2:$D$2878,B781)</f>
        <v>1</v>
      </c>
      <c r="G781" s="35" t="n">
        <f aca="false">SUMIF(Base!$D$2:$D$2878,B781,Base!$I$2:$I$2878)</f>
        <v>1896.79</v>
      </c>
      <c r="H781" s="36" t="n">
        <f aca="false">IF($G$2849=0,0,G781/$G$2849)</f>
        <v>0.000124471582670951</v>
      </c>
      <c r="I781" s="37" t="n">
        <f aca="false">I780+H781</f>
        <v>0.940048627597654</v>
      </c>
      <c r="J781" s="37" t="n">
        <f aca="false">A781/2840</f>
        <v>0.272535211267606</v>
      </c>
      <c r="K781" s="32" t="str">
        <f aca="false">IF(I781&lt;=$E$4,"A",IF(I781&lt;=$E$5,"B","C"))</f>
        <v>B</v>
      </c>
    </row>
    <row r="782" customFormat="false" ht="15" hidden="false" customHeight="false" outlineLevel="0" collapsed="false">
      <c r="A782" s="32" t="n">
        <v>775</v>
      </c>
      <c r="B782" s="33" t="n">
        <v>1654528</v>
      </c>
      <c r="C782" s="34" t="s">
        <v>1633</v>
      </c>
      <c r="D782" s="34" t="s">
        <v>1634</v>
      </c>
      <c r="E782" s="34" t="s">
        <v>217</v>
      </c>
      <c r="F782" s="32" t="n">
        <f aca="false">COUNTIF(Base!$D$2:$D$2878,B782)</f>
        <v>1</v>
      </c>
      <c r="G782" s="35" t="n">
        <f aca="false">SUMIF(Base!$D$2:$D$2878,B782,Base!$I$2:$I$2878)</f>
        <v>1883.07</v>
      </c>
      <c r="H782" s="36" t="n">
        <f aca="false">IF($G$2849=0,0,G782/$G$2849)</f>
        <v>0.000123571245725773</v>
      </c>
      <c r="I782" s="37" t="n">
        <f aca="false">I781+H782</f>
        <v>0.94017219884338</v>
      </c>
      <c r="J782" s="37" t="n">
        <f aca="false">A782/2840</f>
        <v>0.272887323943662</v>
      </c>
      <c r="K782" s="32" t="str">
        <f aca="false">IF(I782&lt;=$E$4,"A",IF(I782&lt;=$E$5,"B","C"))</f>
        <v>B</v>
      </c>
    </row>
    <row r="783" customFormat="false" ht="15" hidden="false" customHeight="false" outlineLevel="0" collapsed="false">
      <c r="A783" s="32" t="n">
        <v>776</v>
      </c>
      <c r="B783" s="33" t="n">
        <v>1661828</v>
      </c>
      <c r="C783" s="34" t="s">
        <v>1635</v>
      </c>
      <c r="D783" s="34" t="s">
        <v>1636</v>
      </c>
      <c r="E783" s="34" t="s">
        <v>38</v>
      </c>
      <c r="F783" s="32" t="n">
        <f aca="false">COUNTIF(Base!$D$2:$D$2878,B783)</f>
        <v>1</v>
      </c>
      <c r="G783" s="35" t="n">
        <f aca="false">SUMIF(Base!$D$2:$D$2878,B783,Base!$I$2:$I$2878)</f>
        <v>1858.5</v>
      </c>
      <c r="H783" s="36" t="n">
        <f aca="false">IF($G$2849=0,0,G783/$G$2849)</f>
        <v>0.000121958907624968</v>
      </c>
      <c r="I783" s="37" t="n">
        <f aca="false">I782+H783</f>
        <v>0.940294157751005</v>
      </c>
      <c r="J783" s="37" t="n">
        <f aca="false">A783/2840</f>
        <v>0.273239436619718</v>
      </c>
      <c r="K783" s="32" t="str">
        <f aca="false">IF(I783&lt;=$E$4,"A",IF(I783&lt;=$E$5,"B","C"))</f>
        <v>B</v>
      </c>
    </row>
    <row r="784" customFormat="false" ht="15" hidden="false" customHeight="false" outlineLevel="0" collapsed="false">
      <c r="A784" s="32" t="n">
        <v>777</v>
      </c>
      <c r="B784" s="33" t="n">
        <v>23282</v>
      </c>
      <c r="C784" s="34" t="s">
        <v>1637</v>
      </c>
      <c r="D784" s="34" t="s">
        <v>1638</v>
      </c>
      <c r="E784" s="34" t="s">
        <v>360</v>
      </c>
      <c r="F784" s="32" t="n">
        <f aca="false">COUNTIF(Base!$D$2:$D$2878,B784)</f>
        <v>1</v>
      </c>
      <c r="G784" s="35" t="n">
        <f aca="false">SUMIF(Base!$D$2:$D$2878,B784,Base!$I$2:$I$2878)</f>
        <v>1856</v>
      </c>
      <c r="H784" s="36" t="n">
        <f aca="false">IF($G$2849=0,0,G784/$G$2849)</f>
        <v>0.000121794852059155</v>
      </c>
      <c r="I784" s="37" t="n">
        <f aca="false">I783+H784</f>
        <v>0.940415952603064</v>
      </c>
      <c r="J784" s="37" t="n">
        <f aca="false">A784/2840</f>
        <v>0.273591549295775</v>
      </c>
      <c r="K784" s="32" t="str">
        <f aca="false">IF(I784&lt;=$E$4,"A",IF(I784&lt;=$E$5,"B","C"))</f>
        <v>B</v>
      </c>
    </row>
    <row r="785" customFormat="false" ht="15" hidden="false" customHeight="false" outlineLevel="0" collapsed="false">
      <c r="A785" s="32" t="n">
        <v>778</v>
      </c>
      <c r="B785" s="33" t="n">
        <v>747919</v>
      </c>
      <c r="C785" s="34" t="s">
        <v>1639</v>
      </c>
      <c r="D785" s="34" t="s">
        <v>1640</v>
      </c>
      <c r="E785" s="34" t="s">
        <v>570</v>
      </c>
      <c r="F785" s="32" t="n">
        <f aca="false">COUNTIF(Base!$D$2:$D$2878,B785)</f>
        <v>1</v>
      </c>
      <c r="G785" s="35" t="n">
        <f aca="false">SUMIF(Base!$D$2:$D$2878,B785,Base!$I$2:$I$2878)</f>
        <v>1855</v>
      </c>
      <c r="H785" s="36" t="n">
        <f aca="false">IF($G$2849=0,0,G785/$G$2849)</f>
        <v>0.000121729229832831</v>
      </c>
      <c r="I785" s="37" t="n">
        <f aca="false">I784+H785</f>
        <v>0.940537681832897</v>
      </c>
      <c r="J785" s="37" t="n">
        <f aca="false">A785/2840</f>
        <v>0.273943661971831</v>
      </c>
      <c r="K785" s="32" t="str">
        <f aca="false">IF(I785&lt;=$E$4,"A",IF(I785&lt;=$E$5,"B","C"))</f>
        <v>B</v>
      </c>
    </row>
    <row r="786" customFormat="false" ht="15" hidden="false" customHeight="false" outlineLevel="0" collapsed="false">
      <c r="A786" s="32" t="n">
        <v>779</v>
      </c>
      <c r="B786" s="33" t="n">
        <v>747920</v>
      </c>
      <c r="C786" s="34" t="s">
        <v>1641</v>
      </c>
      <c r="D786" s="34" t="s">
        <v>1642</v>
      </c>
      <c r="E786" s="34" t="s">
        <v>570</v>
      </c>
      <c r="F786" s="32" t="n">
        <f aca="false">COUNTIF(Base!$D$2:$D$2878,B786)</f>
        <v>1</v>
      </c>
      <c r="G786" s="35" t="n">
        <f aca="false">SUMIF(Base!$D$2:$D$2878,B786,Base!$I$2:$I$2878)</f>
        <v>1855</v>
      </c>
      <c r="H786" s="36" t="n">
        <f aca="false">IF($G$2849=0,0,G786/$G$2849)</f>
        <v>0.000121729229832831</v>
      </c>
      <c r="I786" s="37" t="n">
        <f aca="false">I785+H786</f>
        <v>0.940659411062729</v>
      </c>
      <c r="J786" s="37" t="n">
        <f aca="false">A786/2840</f>
        <v>0.274295774647887</v>
      </c>
      <c r="K786" s="32" t="str">
        <f aca="false">IF(I786&lt;=$E$4,"A",IF(I786&lt;=$E$5,"B","C"))</f>
        <v>B</v>
      </c>
    </row>
    <row r="787" customFormat="false" ht="15" hidden="false" customHeight="false" outlineLevel="0" collapsed="false">
      <c r="A787" s="32" t="n">
        <v>780</v>
      </c>
      <c r="B787" s="33" t="n">
        <v>747922</v>
      </c>
      <c r="C787" s="34" t="s">
        <v>1643</v>
      </c>
      <c r="D787" s="34" t="s">
        <v>1644</v>
      </c>
      <c r="E787" s="34" t="s">
        <v>570</v>
      </c>
      <c r="F787" s="32" t="n">
        <f aca="false">COUNTIF(Base!$D$2:$D$2878,B787)</f>
        <v>1</v>
      </c>
      <c r="G787" s="35" t="n">
        <f aca="false">SUMIF(Base!$D$2:$D$2878,B787,Base!$I$2:$I$2878)</f>
        <v>1855</v>
      </c>
      <c r="H787" s="36" t="n">
        <f aca="false">IF($G$2849=0,0,G787/$G$2849)</f>
        <v>0.000121729229832831</v>
      </c>
      <c r="I787" s="37" t="n">
        <f aca="false">I786+H787</f>
        <v>0.940781140292562</v>
      </c>
      <c r="J787" s="37" t="n">
        <f aca="false">A787/2840</f>
        <v>0.274647887323944</v>
      </c>
      <c r="K787" s="32" t="str">
        <f aca="false">IF(I787&lt;=$E$4,"A",IF(I787&lt;=$E$5,"B","C"))</f>
        <v>B</v>
      </c>
    </row>
    <row r="788" customFormat="false" ht="15" hidden="false" customHeight="false" outlineLevel="0" collapsed="false">
      <c r="A788" s="32" t="n">
        <v>781</v>
      </c>
      <c r="B788" s="33" t="n">
        <v>221391</v>
      </c>
      <c r="C788" s="34" t="s">
        <v>1645</v>
      </c>
      <c r="D788" s="34" t="s">
        <v>1646</v>
      </c>
      <c r="E788" s="34" t="s">
        <v>130</v>
      </c>
      <c r="F788" s="32" t="n">
        <f aca="false">COUNTIF(Base!$D$2:$D$2878,B788)</f>
        <v>1</v>
      </c>
      <c r="G788" s="35" t="n">
        <f aca="false">SUMIF(Base!$D$2:$D$2878,B788,Base!$I$2:$I$2878)</f>
        <v>1848</v>
      </c>
      <c r="H788" s="36" t="n">
        <f aca="false">IF($G$2849=0,0,G788/$G$2849)</f>
        <v>0.000121269874248556</v>
      </c>
      <c r="I788" s="37" t="n">
        <f aca="false">I787+H788</f>
        <v>0.940902410166811</v>
      </c>
      <c r="J788" s="37" t="n">
        <f aca="false">A788/2840</f>
        <v>0.275</v>
      </c>
      <c r="K788" s="32" t="str">
        <f aca="false">IF(I788&lt;=$E$4,"A",IF(I788&lt;=$E$5,"B","C"))</f>
        <v>B</v>
      </c>
    </row>
    <row r="789" customFormat="false" ht="15" hidden="false" customHeight="false" outlineLevel="0" collapsed="false">
      <c r="A789" s="32" t="n">
        <v>782</v>
      </c>
      <c r="B789" s="33" t="n">
        <v>12608</v>
      </c>
      <c r="C789" s="34" t="s">
        <v>1647</v>
      </c>
      <c r="D789" s="34" t="s">
        <v>1648</v>
      </c>
      <c r="E789" s="34" t="s">
        <v>38</v>
      </c>
      <c r="F789" s="32" t="n">
        <f aca="false">COUNTIF(Base!$D$2:$D$2878,B789)</f>
        <v>1</v>
      </c>
      <c r="G789" s="35" t="n">
        <f aca="false">SUMIF(Base!$D$2:$D$2878,B789,Base!$I$2:$I$2878)</f>
        <v>1844.84</v>
      </c>
      <c r="H789" s="36" t="n">
        <f aca="false">IF($G$2849=0,0,G789/$G$2849)</f>
        <v>0.000121062508013369</v>
      </c>
      <c r="I789" s="37" t="n">
        <f aca="false">I788+H789</f>
        <v>0.941023472674824</v>
      </c>
      <c r="J789" s="37" t="n">
        <f aca="false">A789/2840</f>
        <v>0.275352112676056</v>
      </c>
      <c r="K789" s="32" t="str">
        <f aca="false">IF(I789&lt;=$E$4,"A",IF(I789&lt;=$E$5,"B","C"))</f>
        <v>B</v>
      </c>
    </row>
    <row r="790" customFormat="false" ht="15" hidden="false" customHeight="false" outlineLevel="0" collapsed="false">
      <c r="A790" s="32" t="n">
        <v>783</v>
      </c>
      <c r="B790" s="33" t="n">
        <v>1662290</v>
      </c>
      <c r="C790" s="34" t="s">
        <v>1649</v>
      </c>
      <c r="D790" s="34" t="s">
        <v>1650</v>
      </c>
      <c r="E790" s="34" t="s">
        <v>38</v>
      </c>
      <c r="F790" s="32" t="n">
        <f aca="false">COUNTIF(Base!$D$2:$D$2878,B790)</f>
        <v>1</v>
      </c>
      <c r="G790" s="35" t="n">
        <f aca="false">SUMIF(Base!$D$2:$D$2878,B790,Base!$I$2:$I$2878)</f>
        <v>1840.41</v>
      </c>
      <c r="H790" s="36" t="n">
        <f aca="false">IF($G$2849=0,0,G790/$G$2849)</f>
        <v>0.000120771801550749</v>
      </c>
      <c r="I790" s="37" t="n">
        <f aca="false">I789+H790</f>
        <v>0.941144244476375</v>
      </c>
      <c r="J790" s="37" t="n">
        <f aca="false">A790/2840</f>
        <v>0.275704225352113</v>
      </c>
      <c r="K790" s="32" t="str">
        <f aca="false">IF(I790&lt;=$E$4,"A",IF(I790&lt;=$E$5,"B","C"))</f>
        <v>B</v>
      </c>
    </row>
    <row r="791" customFormat="false" ht="15" hidden="false" customHeight="false" outlineLevel="0" collapsed="false">
      <c r="A791" s="32" t="n">
        <v>784</v>
      </c>
      <c r="B791" s="33" t="n">
        <v>1329841</v>
      </c>
      <c r="C791" s="34" t="s">
        <v>1651</v>
      </c>
      <c r="D791" s="34" t="s">
        <v>1652</v>
      </c>
      <c r="E791" s="34" t="s">
        <v>230</v>
      </c>
      <c r="F791" s="32" t="n">
        <f aca="false">COUNTIF(Base!$D$2:$D$2878,B791)</f>
        <v>1</v>
      </c>
      <c r="G791" s="35" t="n">
        <f aca="false">SUMIF(Base!$D$2:$D$2878,B791,Base!$I$2:$I$2878)</f>
        <v>1840</v>
      </c>
      <c r="H791" s="36" t="n">
        <f aca="false">IF($G$2849=0,0,G791/$G$2849)</f>
        <v>0.000120744896437956</v>
      </c>
      <c r="I791" s="37" t="n">
        <f aca="false">I790+H791</f>
        <v>0.941264989372813</v>
      </c>
      <c r="J791" s="37" t="n">
        <f aca="false">A791/2840</f>
        <v>0.276056338028169</v>
      </c>
      <c r="K791" s="32" t="str">
        <f aca="false">IF(I791&lt;=$E$4,"A",IF(I791&lt;=$E$5,"B","C"))</f>
        <v>B</v>
      </c>
    </row>
    <row r="792" customFormat="false" ht="15" hidden="false" customHeight="false" outlineLevel="0" collapsed="false">
      <c r="A792" s="32" t="n">
        <v>785</v>
      </c>
      <c r="B792" s="33" t="n">
        <v>1616856</v>
      </c>
      <c r="C792" s="34" t="s">
        <v>1653</v>
      </c>
      <c r="D792" s="34" t="s">
        <v>1654</v>
      </c>
      <c r="E792" s="34" t="s">
        <v>38</v>
      </c>
      <c r="F792" s="32" t="n">
        <f aca="false">COUNTIF(Base!$D$2:$D$2878,B792)</f>
        <v>1</v>
      </c>
      <c r="G792" s="35" t="n">
        <f aca="false">SUMIF(Base!$D$2:$D$2878,B792,Base!$I$2:$I$2878)</f>
        <v>1833</v>
      </c>
      <c r="H792" s="36" t="n">
        <f aca="false">IF($G$2849=0,0,G792/$G$2849)</f>
        <v>0.000120285540853681</v>
      </c>
      <c r="I792" s="37" t="n">
        <f aca="false">I791+H792</f>
        <v>0.941385274913667</v>
      </c>
      <c r="J792" s="37" t="n">
        <f aca="false">A792/2840</f>
        <v>0.276408450704225</v>
      </c>
      <c r="K792" s="32" t="str">
        <f aca="false">IF(I792&lt;=$E$4,"A",IF(I792&lt;=$E$5,"B","C"))</f>
        <v>B</v>
      </c>
    </row>
    <row r="793" customFormat="false" ht="15" hidden="false" customHeight="false" outlineLevel="0" collapsed="false">
      <c r="A793" s="32" t="n">
        <v>786</v>
      </c>
      <c r="B793" s="33" t="n">
        <v>18853</v>
      </c>
      <c r="C793" s="34" t="s">
        <v>1655</v>
      </c>
      <c r="D793" s="34" t="s">
        <v>1656</v>
      </c>
      <c r="E793" s="34" t="s">
        <v>247</v>
      </c>
      <c r="F793" s="32" t="n">
        <f aca="false">COUNTIF(Base!$D$2:$D$2878,B793)</f>
        <v>2</v>
      </c>
      <c r="G793" s="35" t="n">
        <f aca="false">SUMIF(Base!$D$2:$D$2878,B793,Base!$I$2:$I$2878)</f>
        <v>1826.135</v>
      </c>
      <c r="H793" s="36" t="n">
        <f aca="false">IF($G$2849=0,0,G793/$G$2849)</f>
        <v>0.00011983504426996</v>
      </c>
      <c r="I793" s="37" t="n">
        <f aca="false">I792+H793</f>
        <v>0.941505109957937</v>
      </c>
      <c r="J793" s="37" t="n">
        <f aca="false">A793/2840</f>
        <v>0.276760563380282</v>
      </c>
      <c r="K793" s="32" t="str">
        <f aca="false">IF(I793&lt;=$E$4,"A",IF(I793&lt;=$E$5,"B","C"))</f>
        <v>B</v>
      </c>
    </row>
    <row r="794" customFormat="false" ht="15" hidden="false" customHeight="false" outlineLevel="0" collapsed="false">
      <c r="A794" s="32" t="n">
        <v>787</v>
      </c>
      <c r="B794" s="33" t="n">
        <v>1463588</v>
      </c>
      <c r="C794" s="34" t="s">
        <v>1657</v>
      </c>
      <c r="D794" s="34" t="s">
        <v>1658</v>
      </c>
      <c r="E794" s="34" t="s">
        <v>38</v>
      </c>
      <c r="F794" s="32" t="n">
        <f aca="false">COUNTIF(Base!$D$2:$D$2878,B794)</f>
        <v>1</v>
      </c>
      <c r="G794" s="35" t="n">
        <f aca="false">SUMIF(Base!$D$2:$D$2878,B794,Base!$I$2:$I$2878)</f>
        <v>1818.8</v>
      </c>
      <c r="H794" s="36" t="n">
        <f aca="false">IF($G$2849=0,0,G794/$G$2849)</f>
        <v>0.000119353705239866</v>
      </c>
      <c r="I794" s="37" t="n">
        <f aca="false">I793+H794</f>
        <v>0.941624463663176</v>
      </c>
      <c r="J794" s="37" t="n">
        <f aca="false">A794/2840</f>
        <v>0.277112676056338</v>
      </c>
      <c r="K794" s="32" t="str">
        <f aca="false">IF(I794&lt;=$E$4,"A",IF(I794&lt;=$E$5,"B","C"))</f>
        <v>B</v>
      </c>
    </row>
    <row r="795" customFormat="false" ht="15" hidden="false" customHeight="false" outlineLevel="0" collapsed="false">
      <c r="A795" s="32" t="n">
        <v>788</v>
      </c>
      <c r="B795" s="33" t="n">
        <v>1485726</v>
      </c>
      <c r="C795" s="34" t="s">
        <v>1659</v>
      </c>
      <c r="D795" s="34" t="s">
        <v>1660</v>
      </c>
      <c r="E795" s="34" t="s">
        <v>38</v>
      </c>
      <c r="F795" s="32" t="n">
        <f aca="false">COUNTIF(Base!$D$2:$D$2878,B795)</f>
        <v>1</v>
      </c>
      <c r="G795" s="35" t="n">
        <f aca="false">SUMIF(Base!$D$2:$D$2878,B795,Base!$I$2:$I$2878)</f>
        <v>1804.97</v>
      </c>
      <c r="H795" s="36" t="n">
        <f aca="false">IF($G$2849=0,0,G795/$G$2849)</f>
        <v>0.000118446149849792</v>
      </c>
      <c r="I795" s="37" t="n">
        <f aca="false">I794+H795</f>
        <v>0.941742909813026</v>
      </c>
      <c r="J795" s="37" t="n">
        <f aca="false">A795/2840</f>
        <v>0.277464788732394</v>
      </c>
      <c r="K795" s="32" t="str">
        <f aca="false">IF(I795&lt;=$E$4,"A",IF(I795&lt;=$E$5,"B","C"))</f>
        <v>B</v>
      </c>
    </row>
    <row r="796" customFormat="false" ht="15" hidden="false" customHeight="false" outlineLevel="0" collapsed="false">
      <c r="A796" s="32" t="n">
        <v>789</v>
      </c>
      <c r="B796" s="33" t="n">
        <v>1080406</v>
      </c>
      <c r="C796" s="34" t="s">
        <v>1661</v>
      </c>
      <c r="D796" s="34" t="s">
        <v>1662</v>
      </c>
      <c r="E796" s="34" t="s">
        <v>1618</v>
      </c>
      <c r="F796" s="32" t="n">
        <f aca="false">COUNTIF(Base!$D$2:$D$2878,B796)</f>
        <v>1</v>
      </c>
      <c r="G796" s="35" t="n">
        <f aca="false">SUMIF(Base!$D$2:$D$2878,B796,Base!$I$2:$I$2878)</f>
        <v>1800</v>
      </c>
      <c r="H796" s="36" t="n">
        <f aca="false">IF($G$2849=0,0,G796/$G$2849)</f>
        <v>0.000118120007384957</v>
      </c>
      <c r="I796" s="37" t="n">
        <f aca="false">I795+H796</f>
        <v>0.941861029820411</v>
      </c>
      <c r="J796" s="37" t="n">
        <f aca="false">A796/2840</f>
        <v>0.277816901408451</v>
      </c>
      <c r="K796" s="32" t="str">
        <f aca="false">IF(I796&lt;=$E$4,"A",IF(I796&lt;=$E$5,"B","C"))</f>
        <v>B</v>
      </c>
    </row>
    <row r="797" customFormat="false" ht="15" hidden="false" customHeight="false" outlineLevel="0" collapsed="false">
      <c r="A797" s="32" t="n">
        <v>790</v>
      </c>
      <c r="B797" s="33" t="n">
        <v>1320460</v>
      </c>
      <c r="C797" s="34" t="s">
        <v>1663</v>
      </c>
      <c r="D797" s="34" t="s">
        <v>1664</v>
      </c>
      <c r="E797" s="34" t="s">
        <v>605</v>
      </c>
      <c r="F797" s="32" t="n">
        <f aca="false">COUNTIF(Base!$D$2:$D$2878,B797)</f>
        <v>1</v>
      </c>
      <c r="G797" s="35" t="n">
        <f aca="false">SUMIF(Base!$D$2:$D$2878,B797,Base!$I$2:$I$2878)</f>
        <v>1800</v>
      </c>
      <c r="H797" s="36" t="n">
        <f aca="false">IF($G$2849=0,0,G797/$G$2849)</f>
        <v>0.000118120007384957</v>
      </c>
      <c r="I797" s="37" t="n">
        <f aca="false">I796+H797</f>
        <v>0.941979149827796</v>
      </c>
      <c r="J797" s="37" t="n">
        <f aca="false">A797/2840</f>
        <v>0.278169014084507</v>
      </c>
      <c r="K797" s="32" t="str">
        <f aca="false">IF(I797&lt;=$E$4,"A",IF(I797&lt;=$E$5,"B","C"))</f>
        <v>B</v>
      </c>
    </row>
    <row r="798" customFormat="false" ht="15" hidden="false" customHeight="false" outlineLevel="0" collapsed="false">
      <c r="A798" s="32" t="n">
        <v>791</v>
      </c>
      <c r="B798" s="33" t="n">
        <v>1482757</v>
      </c>
      <c r="C798" s="34" t="s">
        <v>1665</v>
      </c>
      <c r="D798" s="34" t="s">
        <v>1666</v>
      </c>
      <c r="E798" s="34" t="s">
        <v>100</v>
      </c>
      <c r="F798" s="32" t="n">
        <f aca="false">COUNTIF(Base!$D$2:$D$2878,B798)</f>
        <v>1</v>
      </c>
      <c r="G798" s="35" t="n">
        <f aca="false">SUMIF(Base!$D$2:$D$2878,B798,Base!$I$2:$I$2878)</f>
        <v>1785</v>
      </c>
      <c r="H798" s="36" t="n">
        <f aca="false">IF($G$2849=0,0,G798/$G$2849)</f>
        <v>0.000117135673990082</v>
      </c>
      <c r="I798" s="37" t="n">
        <f aca="false">I797+H798</f>
        <v>0.942096285501786</v>
      </c>
      <c r="J798" s="37" t="n">
        <f aca="false">A798/2840</f>
        <v>0.278521126760563</v>
      </c>
      <c r="K798" s="32" t="str">
        <f aca="false">IF(I798&lt;=$E$4,"A",IF(I798&lt;=$E$5,"B","C"))</f>
        <v>B</v>
      </c>
    </row>
    <row r="799" customFormat="false" ht="15" hidden="false" customHeight="false" outlineLevel="0" collapsed="false">
      <c r="A799" s="32" t="n">
        <v>792</v>
      </c>
      <c r="B799" s="33" t="n">
        <v>1113216</v>
      </c>
      <c r="C799" s="34" t="s">
        <v>1667</v>
      </c>
      <c r="D799" s="34" t="s">
        <v>1668</v>
      </c>
      <c r="E799" s="34" t="s">
        <v>35</v>
      </c>
      <c r="F799" s="32" t="n">
        <f aca="false">COUNTIF(Base!$D$2:$D$2878,B799)</f>
        <v>1</v>
      </c>
      <c r="G799" s="35" t="n">
        <f aca="false">SUMIF(Base!$D$2:$D$2878,B799,Base!$I$2:$I$2878)</f>
        <v>1780</v>
      </c>
      <c r="H799" s="36" t="n">
        <f aca="false">IF($G$2849=0,0,G799/$G$2849)</f>
        <v>0.000116807562858457</v>
      </c>
      <c r="I799" s="37" t="n">
        <f aca="false">I798+H799</f>
        <v>0.942213093064645</v>
      </c>
      <c r="J799" s="37" t="n">
        <f aca="false">A799/2840</f>
        <v>0.27887323943662</v>
      </c>
      <c r="K799" s="32" t="str">
        <f aca="false">IF(I799&lt;=$E$4,"A",IF(I799&lt;=$E$5,"B","C"))</f>
        <v>B</v>
      </c>
    </row>
    <row r="800" customFormat="false" ht="15" hidden="false" customHeight="false" outlineLevel="0" collapsed="false">
      <c r="A800" s="32" t="n">
        <v>793</v>
      </c>
      <c r="B800" s="33" t="n">
        <v>1318542</v>
      </c>
      <c r="C800" s="34" t="s">
        <v>1669</v>
      </c>
      <c r="D800" s="34" t="s">
        <v>1670</v>
      </c>
      <c r="E800" s="34" t="s">
        <v>262</v>
      </c>
      <c r="F800" s="32" t="n">
        <f aca="false">COUNTIF(Base!$D$2:$D$2878,B800)</f>
        <v>1</v>
      </c>
      <c r="G800" s="35" t="n">
        <f aca="false">SUMIF(Base!$D$2:$D$2878,B800,Base!$I$2:$I$2878)</f>
        <v>1780</v>
      </c>
      <c r="H800" s="36" t="n">
        <f aca="false">IF($G$2849=0,0,G800/$G$2849)</f>
        <v>0.000116807562858457</v>
      </c>
      <c r="I800" s="37" t="n">
        <f aca="false">I799+H800</f>
        <v>0.942329900627503</v>
      </c>
      <c r="J800" s="37" t="n">
        <f aca="false">A800/2840</f>
        <v>0.279225352112676</v>
      </c>
      <c r="K800" s="32" t="str">
        <f aca="false">IF(I800&lt;=$E$4,"A",IF(I800&lt;=$E$5,"B","C"))</f>
        <v>B</v>
      </c>
    </row>
    <row r="801" customFormat="false" ht="15" hidden="false" customHeight="false" outlineLevel="0" collapsed="false">
      <c r="A801" s="32" t="n">
        <v>794</v>
      </c>
      <c r="B801" s="33" t="n">
        <v>347812</v>
      </c>
      <c r="C801" s="34" t="s">
        <v>1671</v>
      </c>
      <c r="D801" s="34" t="s">
        <v>1672</v>
      </c>
      <c r="E801" s="34" t="s">
        <v>705</v>
      </c>
      <c r="F801" s="32" t="n">
        <f aca="false">COUNTIF(Base!$D$2:$D$2878,B801)</f>
        <v>1</v>
      </c>
      <c r="G801" s="35" t="n">
        <f aca="false">SUMIF(Base!$D$2:$D$2878,B801,Base!$I$2:$I$2878)</f>
        <v>1776.8</v>
      </c>
      <c r="H801" s="36" t="n">
        <f aca="false">IF($G$2849=0,0,G801/$G$2849)</f>
        <v>0.000116597571734217</v>
      </c>
      <c r="I801" s="37" t="n">
        <f aca="false">I800+H801</f>
        <v>0.942446498199237</v>
      </c>
      <c r="J801" s="37" t="n">
        <f aca="false">A801/2840</f>
        <v>0.279577464788732</v>
      </c>
      <c r="K801" s="32" t="str">
        <f aca="false">IF(I801&lt;=$E$4,"A",IF(I801&lt;=$E$5,"B","C"))</f>
        <v>B</v>
      </c>
    </row>
    <row r="802" customFormat="false" ht="15" hidden="false" customHeight="false" outlineLevel="0" collapsed="false">
      <c r="A802" s="32" t="n">
        <v>795</v>
      </c>
      <c r="B802" s="33" t="n">
        <v>727338</v>
      </c>
      <c r="C802" s="34" t="s">
        <v>1673</v>
      </c>
      <c r="D802" s="34" t="s">
        <v>1674</v>
      </c>
      <c r="E802" s="34" t="s">
        <v>457</v>
      </c>
      <c r="F802" s="32" t="n">
        <f aca="false">COUNTIF(Base!$D$2:$D$2878,B802)</f>
        <v>1</v>
      </c>
      <c r="G802" s="35" t="n">
        <f aca="false">SUMIF(Base!$D$2:$D$2878,B802,Base!$I$2:$I$2878)</f>
        <v>1774.32</v>
      </c>
      <c r="H802" s="36" t="n">
        <f aca="false">IF($G$2849=0,0,G802/$G$2849)</f>
        <v>0.000116434828612931</v>
      </c>
      <c r="I802" s="37" t="n">
        <f aca="false">I801+H802</f>
        <v>0.94256293302785</v>
      </c>
      <c r="J802" s="37" t="n">
        <f aca="false">A802/2840</f>
        <v>0.279929577464789</v>
      </c>
      <c r="K802" s="32" t="str">
        <f aca="false">IF(I802&lt;=$E$4,"A",IF(I802&lt;=$E$5,"B","C"))</f>
        <v>B</v>
      </c>
    </row>
    <row r="803" customFormat="false" ht="15" hidden="false" customHeight="false" outlineLevel="0" collapsed="false">
      <c r="A803" s="32" t="n">
        <v>796</v>
      </c>
      <c r="B803" s="33" t="n">
        <v>21578</v>
      </c>
      <c r="C803" s="34" t="s">
        <v>1675</v>
      </c>
      <c r="D803" s="34" t="s">
        <v>1676</v>
      </c>
      <c r="E803" s="34" t="s">
        <v>38</v>
      </c>
      <c r="F803" s="32" t="n">
        <f aca="false">COUNTIF(Base!$D$2:$D$2878,B803)</f>
        <v>1</v>
      </c>
      <c r="G803" s="35" t="n">
        <f aca="false">SUMIF(Base!$D$2:$D$2878,B803,Base!$I$2:$I$2878)</f>
        <v>1765.44</v>
      </c>
      <c r="H803" s="36" t="n">
        <f aca="false">IF($G$2849=0,0,G803/$G$2849)</f>
        <v>0.000115852103243166</v>
      </c>
      <c r="I803" s="37" t="n">
        <f aca="false">I802+H803</f>
        <v>0.942678785131093</v>
      </c>
      <c r="J803" s="37" t="n">
        <f aca="false">A803/2840</f>
        <v>0.280281690140845</v>
      </c>
      <c r="K803" s="32" t="str">
        <f aca="false">IF(I803&lt;=$E$4,"A",IF(I803&lt;=$E$5,"B","C"))</f>
        <v>B</v>
      </c>
    </row>
    <row r="804" customFormat="false" ht="15" hidden="false" customHeight="false" outlineLevel="0" collapsed="false">
      <c r="A804" s="32" t="n">
        <v>797</v>
      </c>
      <c r="B804" s="33" t="n">
        <v>879565</v>
      </c>
      <c r="C804" s="34" t="s">
        <v>1677</v>
      </c>
      <c r="D804" s="34" t="s">
        <v>1678</v>
      </c>
      <c r="E804" s="34" t="s">
        <v>100</v>
      </c>
      <c r="F804" s="32" t="n">
        <f aca="false">COUNTIF(Base!$D$2:$D$2878,B804)</f>
        <v>1</v>
      </c>
      <c r="G804" s="35" t="n">
        <f aca="false">SUMIF(Base!$D$2:$D$2878,B804,Base!$I$2:$I$2878)</f>
        <v>1750</v>
      </c>
      <c r="H804" s="36" t="n">
        <f aca="false">IF($G$2849=0,0,G804/$G$2849)</f>
        <v>0.000114838896068708</v>
      </c>
      <c r="I804" s="37" t="n">
        <f aca="false">I803+H804</f>
        <v>0.942793624027162</v>
      </c>
      <c r="J804" s="37" t="n">
        <f aca="false">A804/2840</f>
        <v>0.280633802816901</v>
      </c>
      <c r="K804" s="32" t="str">
        <f aca="false">IF(I804&lt;=$E$4,"A",IF(I804&lt;=$E$5,"B","C"))</f>
        <v>B</v>
      </c>
    </row>
    <row r="805" customFormat="false" ht="15" hidden="false" customHeight="false" outlineLevel="0" collapsed="false">
      <c r="A805" s="32" t="n">
        <v>798</v>
      </c>
      <c r="B805" s="33" t="n">
        <v>11743</v>
      </c>
      <c r="C805" s="34" t="s">
        <v>1679</v>
      </c>
      <c r="D805" s="34" t="s">
        <v>1680</v>
      </c>
      <c r="E805" s="34" t="s">
        <v>90</v>
      </c>
      <c r="F805" s="32" t="n">
        <f aca="false">COUNTIF(Base!$D$2:$D$2878,B805)</f>
        <v>1</v>
      </c>
      <c r="G805" s="35" t="n">
        <f aca="false">SUMIF(Base!$D$2:$D$2878,B805,Base!$I$2:$I$2878)</f>
        <v>1738</v>
      </c>
      <c r="H805" s="36" t="n">
        <f aca="false">IF($G$2849=0,0,G805/$G$2849)</f>
        <v>0.000114051429352808</v>
      </c>
      <c r="I805" s="37" t="n">
        <f aca="false">I804+H805</f>
        <v>0.942907675456515</v>
      </c>
      <c r="J805" s="37" t="n">
        <f aca="false">A805/2840</f>
        <v>0.280985915492958</v>
      </c>
      <c r="K805" s="32" t="str">
        <f aca="false">IF(I805&lt;=$E$4,"A",IF(I805&lt;=$E$5,"B","C"))</f>
        <v>B</v>
      </c>
    </row>
    <row r="806" customFormat="false" ht="15" hidden="false" customHeight="false" outlineLevel="0" collapsed="false">
      <c r="A806" s="32" t="n">
        <v>799</v>
      </c>
      <c r="B806" s="33" t="n">
        <v>1605801</v>
      </c>
      <c r="C806" s="34" t="s">
        <v>1681</v>
      </c>
      <c r="D806" s="34" t="s">
        <v>1682</v>
      </c>
      <c r="E806" s="34" t="s">
        <v>38</v>
      </c>
      <c r="F806" s="32" t="n">
        <f aca="false">COUNTIF(Base!$D$2:$D$2878,B806)</f>
        <v>1</v>
      </c>
      <c r="G806" s="35" t="n">
        <f aca="false">SUMIF(Base!$D$2:$D$2878,B806,Base!$I$2:$I$2878)</f>
        <v>1737</v>
      </c>
      <c r="H806" s="36" t="n">
        <f aca="false">IF($G$2849=0,0,G806/$G$2849)</f>
        <v>0.000113985807126483</v>
      </c>
      <c r="I806" s="37" t="n">
        <f aca="false">I805+H806</f>
        <v>0.943021661263641</v>
      </c>
      <c r="J806" s="37" t="n">
        <f aca="false">A806/2840</f>
        <v>0.281338028169014</v>
      </c>
      <c r="K806" s="32" t="str">
        <f aca="false">IF(I806&lt;=$E$4,"A",IF(I806&lt;=$E$5,"B","C"))</f>
        <v>B</v>
      </c>
    </row>
    <row r="807" customFormat="false" ht="15" hidden="false" customHeight="false" outlineLevel="0" collapsed="false">
      <c r="A807" s="32" t="n">
        <v>800</v>
      </c>
      <c r="B807" s="33" t="n">
        <v>66082</v>
      </c>
      <c r="C807" s="34" t="s">
        <v>1683</v>
      </c>
      <c r="D807" s="34" t="s">
        <v>1684</v>
      </c>
      <c r="E807" s="34" t="s">
        <v>130</v>
      </c>
      <c r="F807" s="32" t="n">
        <f aca="false">COUNTIF(Base!$D$2:$D$2878,B807)</f>
        <v>1</v>
      </c>
      <c r="G807" s="35" t="n">
        <f aca="false">SUMIF(Base!$D$2:$D$2878,B807,Base!$I$2:$I$2878)</f>
        <v>1725</v>
      </c>
      <c r="H807" s="36" t="n">
        <f aca="false">IF($G$2849=0,0,G807/$G$2849)</f>
        <v>0.000113198340410584</v>
      </c>
      <c r="I807" s="37" t="n">
        <f aca="false">I806+H807</f>
        <v>0.943134859604052</v>
      </c>
      <c r="J807" s="37" t="n">
        <f aca="false">A807/2840</f>
        <v>0.28169014084507</v>
      </c>
      <c r="K807" s="32" t="str">
        <f aca="false">IF(I807&lt;=$E$4,"A",IF(I807&lt;=$E$5,"B","C"))</f>
        <v>B</v>
      </c>
    </row>
    <row r="808" customFormat="false" ht="15" hidden="false" customHeight="false" outlineLevel="0" collapsed="false">
      <c r="A808" s="32" t="n">
        <v>801</v>
      </c>
      <c r="B808" s="33" t="n">
        <v>1068884</v>
      </c>
      <c r="C808" s="34" t="s">
        <v>1685</v>
      </c>
      <c r="D808" s="34" t="s">
        <v>1686</v>
      </c>
      <c r="E808" s="34" t="s">
        <v>247</v>
      </c>
      <c r="F808" s="32" t="n">
        <f aca="false">COUNTIF(Base!$D$2:$D$2878,B808)</f>
        <v>1</v>
      </c>
      <c r="G808" s="35" t="n">
        <f aca="false">SUMIF(Base!$D$2:$D$2878,B808,Base!$I$2:$I$2878)</f>
        <v>1714.18</v>
      </c>
      <c r="H808" s="36" t="n">
        <f aca="false">IF($G$2849=0,0,G808/$G$2849)</f>
        <v>0.000112488307921747</v>
      </c>
      <c r="I808" s="37" t="n">
        <f aca="false">I807+H808</f>
        <v>0.943247347911974</v>
      </c>
      <c r="J808" s="37" t="n">
        <f aca="false">A808/2840</f>
        <v>0.282042253521127</v>
      </c>
      <c r="K808" s="32" t="str">
        <f aca="false">IF(I808&lt;=$E$4,"A",IF(I808&lt;=$E$5,"B","C"))</f>
        <v>B</v>
      </c>
    </row>
    <row r="809" customFormat="false" ht="15" hidden="false" customHeight="false" outlineLevel="0" collapsed="false">
      <c r="A809" s="32" t="n">
        <v>802</v>
      </c>
      <c r="B809" s="33" t="n">
        <v>278233</v>
      </c>
      <c r="C809" s="34" t="s">
        <v>1687</v>
      </c>
      <c r="D809" s="34" t="s">
        <v>1688</v>
      </c>
      <c r="E809" s="34" t="s">
        <v>100</v>
      </c>
      <c r="F809" s="32" t="n">
        <f aca="false">COUNTIF(Base!$D$2:$D$2878,B809)</f>
        <v>1</v>
      </c>
      <c r="G809" s="35" t="n">
        <f aca="false">SUMIF(Base!$D$2:$D$2878,B809,Base!$I$2:$I$2878)</f>
        <v>1705.2</v>
      </c>
      <c r="H809" s="36" t="n">
        <f aca="false">IF($G$2849=0,0,G809/$G$2849)</f>
        <v>0.000111899020329349</v>
      </c>
      <c r="I809" s="37" t="n">
        <f aca="false">I808+H809</f>
        <v>0.943359246932303</v>
      </c>
      <c r="J809" s="37" t="n">
        <f aca="false">A809/2840</f>
        <v>0.282394366197183</v>
      </c>
      <c r="K809" s="32" t="str">
        <f aca="false">IF(I809&lt;=$E$4,"A",IF(I809&lt;=$E$5,"B","C"))</f>
        <v>B</v>
      </c>
    </row>
    <row r="810" customFormat="false" ht="15" hidden="false" customHeight="false" outlineLevel="0" collapsed="false">
      <c r="A810" s="32" t="n">
        <v>803</v>
      </c>
      <c r="B810" s="33" t="n">
        <v>550981</v>
      </c>
      <c r="C810" s="34" t="s">
        <v>1689</v>
      </c>
      <c r="D810" s="34" t="s">
        <v>1690</v>
      </c>
      <c r="E810" s="34" t="s">
        <v>678</v>
      </c>
      <c r="F810" s="32" t="n">
        <f aca="false">COUNTIF(Base!$D$2:$D$2878,B810)</f>
        <v>1</v>
      </c>
      <c r="G810" s="35" t="n">
        <f aca="false">SUMIF(Base!$D$2:$D$2878,B810,Base!$I$2:$I$2878)</f>
        <v>1701</v>
      </c>
      <c r="H810" s="36" t="n">
        <f aca="false">IF($G$2849=0,0,G810/$G$2849)</f>
        <v>0.000111623406978784</v>
      </c>
      <c r="I810" s="37" t="n">
        <f aca="false">I809+H810</f>
        <v>0.943470870339282</v>
      </c>
      <c r="J810" s="37" t="n">
        <f aca="false">A810/2840</f>
        <v>0.282746478873239</v>
      </c>
      <c r="K810" s="32" t="str">
        <f aca="false">IF(I810&lt;=$E$4,"A",IF(I810&lt;=$E$5,"B","C"))</f>
        <v>B</v>
      </c>
    </row>
    <row r="811" customFormat="false" ht="15" hidden="false" customHeight="false" outlineLevel="0" collapsed="false">
      <c r="A811" s="32" t="n">
        <v>804</v>
      </c>
      <c r="B811" s="33" t="n">
        <v>16138</v>
      </c>
      <c r="C811" s="34" t="s">
        <v>1691</v>
      </c>
      <c r="D811" s="34" t="s">
        <v>1692</v>
      </c>
      <c r="E811" s="34" t="s">
        <v>54</v>
      </c>
      <c r="F811" s="32" t="n">
        <f aca="false">COUNTIF(Base!$D$2:$D$2878,B811)</f>
        <v>1</v>
      </c>
      <c r="G811" s="35" t="n">
        <f aca="false">SUMIF(Base!$D$2:$D$2878,B811,Base!$I$2:$I$2878)</f>
        <v>1700</v>
      </c>
      <c r="H811" s="36" t="n">
        <f aca="false">IF($G$2849=0,0,G811/$G$2849)</f>
        <v>0.000111557784752459</v>
      </c>
      <c r="I811" s="37" t="n">
        <f aca="false">I810+H811</f>
        <v>0.943582428124034</v>
      </c>
      <c r="J811" s="37" t="n">
        <f aca="false">A811/2840</f>
        <v>0.283098591549296</v>
      </c>
      <c r="K811" s="32" t="str">
        <f aca="false">IF(I811&lt;=$E$4,"A",IF(I811&lt;=$E$5,"B","C"))</f>
        <v>B</v>
      </c>
    </row>
    <row r="812" customFormat="false" ht="15" hidden="false" customHeight="false" outlineLevel="0" collapsed="false">
      <c r="A812" s="32" t="n">
        <v>805</v>
      </c>
      <c r="B812" s="33" t="n">
        <v>17849</v>
      </c>
      <c r="C812" s="34" t="s">
        <v>1693</v>
      </c>
      <c r="D812" s="34" t="s">
        <v>1694</v>
      </c>
      <c r="E812" s="34" t="s">
        <v>835</v>
      </c>
      <c r="F812" s="32" t="n">
        <f aca="false">COUNTIF(Base!$D$2:$D$2878,B812)</f>
        <v>1</v>
      </c>
      <c r="G812" s="35" t="n">
        <f aca="false">SUMIF(Base!$D$2:$D$2878,B812,Base!$I$2:$I$2878)</f>
        <v>1700</v>
      </c>
      <c r="H812" s="36" t="n">
        <f aca="false">IF($G$2849=0,0,G812/$G$2849)</f>
        <v>0.000111557784752459</v>
      </c>
      <c r="I812" s="37" t="n">
        <f aca="false">I811+H812</f>
        <v>0.943693985908787</v>
      </c>
      <c r="J812" s="37" t="n">
        <f aca="false">A812/2840</f>
        <v>0.283450704225352</v>
      </c>
      <c r="K812" s="32" t="str">
        <f aca="false">IF(I812&lt;=$E$4,"A",IF(I812&lt;=$E$5,"B","C"))</f>
        <v>B</v>
      </c>
    </row>
    <row r="813" customFormat="false" ht="15" hidden="false" customHeight="false" outlineLevel="0" collapsed="false">
      <c r="A813" s="32" t="n">
        <v>806</v>
      </c>
      <c r="B813" s="33" t="n">
        <v>1317605</v>
      </c>
      <c r="C813" s="34" t="s">
        <v>1695</v>
      </c>
      <c r="D813" s="34" t="s">
        <v>1696</v>
      </c>
      <c r="E813" s="34" t="s">
        <v>54</v>
      </c>
      <c r="F813" s="32" t="n">
        <f aca="false">COUNTIF(Base!$D$2:$D$2878,B813)</f>
        <v>1</v>
      </c>
      <c r="G813" s="35" t="n">
        <f aca="false">SUMIF(Base!$D$2:$D$2878,B813,Base!$I$2:$I$2878)</f>
        <v>1700</v>
      </c>
      <c r="H813" s="36" t="n">
        <f aca="false">IF($G$2849=0,0,G813/$G$2849)</f>
        <v>0.000111557784752459</v>
      </c>
      <c r="I813" s="37" t="n">
        <f aca="false">I812+H813</f>
        <v>0.943805543693539</v>
      </c>
      <c r="J813" s="37" t="n">
        <f aca="false">A813/2840</f>
        <v>0.283802816901408</v>
      </c>
      <c r="K813" s="32" t="str">
        <f aca="false">IF(I813&lt;=$E$4,"A",IF(I813&lt;=$E$5,"B","C"))</f>
        <v>B</v>
      </c>
    </row>
    <row r="814" customFormat="false" ht="15" hidden="false" customHeight="false" outlineLevel="0" collapsed="false">
      <c r="A814" s="32" t="n">
        <v>807</v>
      </c>
      <c r="B814" s="33" t="n">
        <v>1688074</v>
      </c>
      <c r="C814" s="34" t="s">
        <v>1697</v>
      </c>
      <c r="D814" s="34" t="s">
        <v>1698</v>
      </c>
      <c r="E814" s="34" t="s">
        <v>355</v>
      </c>
      <c r="F814" s="32" t="n">
        <f aca="false">COUNTIF(Base!$D$2:$D$2878,B814)</f>
        <v>1</v>
      </c>
      <c r="G814" s="35" t="n">
        <f aca="false">SUMIF(Base!$D$2:$D$2878,B814,Base!$I$2:$I$2878)</f>
        <v>1700</v>
      </c>
      <c r="H814" s="36" t="n">
        <f aca="false">IF($G$2849=0,0,G814/$G$2849)</f>
        <v>0.000111557784752459</v>
      </c>
      <c r="I814" s="37" t="n">
        <f aca="false">I813+H814</f>
        <v>0.943917101478292</v>
      </c>
      <c r="J814" s="37" t="n">
        <f aca="false">A814/2840</f>
        <v>0.284154929577465</v>
      </c>
      <c r="K814" s="32" t="str">
        <f aca="false">IF(I814&lt;=$E$4,"A",IF(I814&lt;=$E$5,"B","C"))</f>
        <v>B</v>
      </c>
    </row>
    <row r="815" customFormat="false" ht="15" hidden="false" customHeight="false" outlineLevel="0" collapsed="false">
      <c r="A815" s="32" t="n">
        <v>808</v>
      </c>
      <c r="B815" s="33" t="n">
        <v>140495</v>
      </c>
      <c r="C815" s="34" t="s">
        <v>1699</v>
      </c>
      <c r="D815" s="34" t="s">
        <v>1700</v>
      </c>
      <c r="E815" s="34" t="s">
        <v>1095</v>
      </c>
      <c r="F815" s="32" t="n">
        <f aca="false">COUNTIF(Base!$D$2:$D$2878,B815)</f>
        <v>1</v>
      </c>
      <c r="G815" s="35" t="n">
        <f aca="false">SUMIF(Base!$D$2:$D$2878,B815,Base!$I$2:$I$2878)</f>
        <v>1698</v>
      </c>
      <c r="H815" s="36" t="n">
        <f aca="false">IF($G$2849=0,0,G815/$G$2849)</f>
        <v>0.000111426540299809</v>
      </c>
      <c r="I815" s="37" t="n">
        <f aca="false">I814+H815</f>
        <v>0.944028528018592</v>
      </c>
      <c r="J815" s="37" t="n">
        <f aca="false">A815/2840</f>
        <v>0.284507042253521</v>
      </c>
      <c r="K815" s="32" t="str">
        <f aca="false">IF(I815&lt;=$E$4,"A",IF(I815&lt;=$E$5,"B","C"))</f>
        <v>B</v>
      </c>
    </row>
    <row r="816" customFormat="false" ht="15" hidden="false" customHeight="false" outlineLevel="0" collapsed="false">
      <c r="A816" s="32" t="n">
        <v>809</v>
      </c>
      <c r="B816" s="33" t="n">
        <v>870796</v>
      </c>
      <c r="C816" s="34" t="s">
        <v>1701</v>
      </c>
      <c r="D816" s="34" t="s">
        <v>1702</v>
      </c>
      <c r="E816" s="34" t="s">
        <v>54</v>
      </c>
      <c r="F816" s="32" t="n">
        <f aca="false">COUNTIF(Base!$D$2:$D$2878,B816)</f>
        <v>1</v>
      </c>
      <c r="G816" s="35" t="n">
        <f aca="false">SUMIF(Base!$D$2:$D$2878,B816,Base!$I$2:$I$2878)</f>
        <v>1698</v>
      </c>
      <c r="H816" s="36" t="n">
        <f aca="false">IF($G$2849=0,0,G816/$G$2849)</f>
        <v>0.000111426540299809</v>
      </c>
      <c r="I816" s="37" t="n">
        <f aca="false">I815+H816</f>
        <v>0.944139954558891</v>
      </c>
      <c r="J816" s="37" t="n">
        <f aca="false">A816/2840</f>
        <v>0.284859154929578</v>
      </c>
      <c r="K816" s="32" t="str">
        <f aca="false">IF(I816&lt;=$E$4,"A",IF(I816&lt;=$E$5,"B","C"))</f>
        <v>B</v>
      </c>
    </row>
    <row r="817" customFormat="false" ht="15" hidden="false" customHeight="false" outlineLevel="0" collapsed="false">
      <c r="A817" s="32" t="n">
        <v>810</v>
      </c>
      <c r="B817" s="33" t="n">
        <v>1316411</v>
      </c>
      <c r="C817" s="34" t="s">
        <v>1703</v>
      </c>
      <c r="D817" s="34" t="s">
        <v>1704</v>
      </c>
      <c r="E817" s="34" t="s">
        <v>54</v>
      </c>
      <c r="F817" s="32" t="n">
        <f aca="false">COUNTIF(Base!$D$2:$D$2878,B817)</f>
        <v>1</v>
      </c>
      <c r="G817" s="35" t="n">
        <f aca="false">SUMIF(Base!$D$2:$D$2878,B817,Base!$I$2:$I$2878)</f>
        <v>1690</v>
      </c>
      <c r="H817" s="36" t="n">
        <f aca="false">IF($G$2849=0,0,G817/$G$2849)</f>
        <v>0.000110901562489209</v>
      </c>
      <c r="I817" s="37" t="n">
        <f aca="false">I816+H817</f>
        <v>0.944250856121381</v>
      </c>
      <c r="J817" s="37" t="n">
        <f aca="false">A817/2840</f>
        <v>0.285211267605634</v>
      </c>
      <c r="K817" s="32" t="str">
        <f aca="false">IF(I817&lt;=$E$4,"A",IF(I817&lt;=$E$5,"B","C"))</f>
        <v>B</v>
      </c>
    </row>
    <row r="818" customFormat="false" ht="15" hidden="false" customHeight="false" outlineLevel="0" collapsed="false">
      <c r="A818" s="32" t="n">
        <v>811</v>
      </c>
      <c r="B818" s="33" t="n">
        <v>21798</v>
      </c>
      <c r="C818" s="34" t="s">
        <v>1705</v>
      </c>
      <c r="D818" s="34" t="s">
        <v>1706</v>
      </c>
      <c r="E818" s="34" t="s">
        <v>130</v>
      </c>
      <c r="F818" s="32" t="n">
        <f aca="false">COUNTIF(Base!$D$2:$D$2878,B818)</f>
        <v>1</v>
      </c>
      <c r="G818" s="35" t="n">
        <f aca="false">SUMIF(Base!$D$2:$D$2878,B818,Base!$I$2:$I$2878)</f>
        <v>1688.2</v>
      </c>
      <c r="H818" s="36" t="n">
        <f aca="false">IF($G$2849=0,0,G818/$G$2849)</f>
        <v>0.000110783442481825</v>
      </c>
      <c r="I818" s="37" t="n">
        <f aca="false">I817+H818</f>
        <v>0.944361639563862</v>
      </c>
      <c r="J818" s="37" t="n">
        <f aca="false">A818/2840</f>
        <v>0.28556338028169</v>
      </c>
      <c r="K818" s="32" t="str">
        <f aca="false">IF(I818&lt;=$E$4,"A",IF(I818&lt;=$E$5,"B","C"))</f>
        <v>B</v>
      </c>
    </row>
    <row r="819" customFormat="false" ht="15" hidden="false" customHeight="false" outlineLevel="0" collapsed="false">
      <c r="A819" s="32" t="n">
        <v>812</v>
      </c>
      <c r="B819" s="33" t="n">
        <v>1382646</v>
      </c>
      <c r="C819" s="34" t="s">
        <v>1707</v>
      </c>
      <c r="D819" s="34" t="s">
        <v>1708</v>
      </c>
      <c r="E819" s="34" t="s">
        <v>35</v>
      </c>
      <c r="F819" s="32" t="n">
        <f aca="false">COUNTIF(Base!$D$2:$D$2878,B819)</f>
        <v>1</v>
      </c>
      <c r="G819" s="35" t="n">
        <f aca="false">SUMIF(Base!$D$2:$D$2878,B819,Base!$I$2:$I$2878)</f>
        <v>1682.38</v>
      </c>
      <c r="H819" s="36" t="n">
        <f aca="false">IF($G$2849=0,0,G819/$G$2849)</f>
        <v>0.000110401521124613</v>
      </c>
      <c r="I819" s="37" t="n">
        <f aca="false">I818+H819</f>
        <v>0.944472041084987</v>
      </c>
      <c r="J819" s="37" t="n">
        <f aca="false">A819/2840</f>
        <v>0.285915492957747</v>
      </c>
      <c r="K819" s="32" t="str">
        <f aca="false">IF(I819&lt;=$E$4,"A",IF(I819&lt;=$E$5,"B","C"))</f>
        <v>B</v>
      </c>
    </row>
    <row r="820" customFormat="false" ht="15" hidden="false" customHeight="false" outlineLevel="0" collapsed="false">
      <c r="A820" s="32" t="n">
        <v>813</v>
      </c>
      <c r="B820" s="33" t="n">
        <v>19782</v>
      </c>
      <c r="C820" s="34" t="s">
        <v>1709</v>
      </c>
      <c r="D820" s="34" t="s">
        <v>1710</v>
      </c>
      <c r="E820" s="34" t="s">
        <v>605</v>
      </c>
      <c r="F820" s="32" t="n">
        <f aca="false">COUNTIF(Base!$D$2:$D$2878,B820)</f>
        <v>1</v>
      </c>
      <c r="G820" s="35" t="n">
        <f aca="false">SUMIF(Base!$D$2:$D$2878,B820,Base!$I$2:$I$2878)</f>
        <v>1680</v>
      </c>
      <c r="H820" s="36" t="n">
        <f aca="false">IF($G$2849=0,0,G820/$G$2849)</f>
        <v>0.00011024534022596</v>
      </c>
      <c r="I820" s="37" t="n">
        <f aca="false">I819+H820</f>
        <v>0.944582286425213</v>
      </c>
      <c r="J820" s="37" t="n">
        <f aca="false">A820/2840</f>
        <v>0.286267605633803</v>
      </c>
      <c r="K820" s="32" t="str">
        <f aca="false">IF(I820&lt;=$E$4,"A",IF(I820&lt;=$E$5,"B","C"))</f>
        <v>B</v>
      </c>
    </row>
    <row r="821" customFormat="false" ht="15" hidden="false" customHeight="false" outlineLevel="0" collapsed="false">
      <c r="A821" s="32" t="n">
        <v>814</v>
      </c>
      <c r="B821" s="33" t="n">
        <v>35534</v>
      </c>
      <c r="C821" s="34" t="s">
        <v>1711</v>
      </c>
      <c r="D821" s="34" t="s">
        <v>1712</v>
      </c>
      <c r="E821" s="34" t="s">
        <v>130</v>
      </c>
      <c r="F821" s="32" t="n">
        <f aca="false">COUNTIF(Base!$D$2:$D$2878,B821)</f>
        <v>1</v>
      </c>
      <c r="G821" s="35" t="n">
        <f aca="false">SUMIF(Base!$D$2:$D$2878,B821,Base!$I$2:$I$2878)</f>
        <v>1680</v>
      </c>
      <c r="H821" s="36" t="n">
        <f aca="false">IF($G$2849=0,0,G821/$G$2849)</f>
        <v>0.00011024534022596</v>
      </c>
      <c r="I821" s="37" t="n">
        <f aca="false">I820+H821</f>
        <v>0.944692531765439</v>
      </c>
      <c r="J821" s="37" t="n">
        <f aca="false">A821/2840</f>
        <v>0.286619718309859</v>
      </c>
      <c r="K821" s="32" t="str">
        <f aca="false">IF(I821&lt;=$E$4,"A",IF(I821&lt;=$E$5,"B","C"))</f>
        <v>B</v>
      </c>
    </row>
    <row r="822" customFormat="false" ht="15" hidden="false" customHeight="false" outlineLevel="0" collapsed="false">
      <c r="A822" s="32" t="n">
        <v>815</v>
      </c>
      <c r="B822" s="33" t="n">
        <v>738781</v>
      </c>
      <c r="C822" s="34" t="s">
        <v>1713</v>
      </c>
      <c r="D822" s="34" t="s">
        <v>1714</v>
      </c>
      <c r="E822" s="34" t="s">
        <v>93</v>
      </c>
      <c r="F822" s="32" t="n">
        <f aca="false">COUNTIF(Base!$D$2:$D$2878,B822)</f>
        <v>1</v>
      </c>
      <c r="G822" s="35" t="n">
        <f aca="false">SUMIF(Base!$D$2:$D$2878,B822,Base!$I$2:$I$2878)</f>
        <v>1678.1</v>
      </c>
      <c r="H822" s="36" t="n">
        <f aca="false">IF($G$2849=0,0,G822/$G$2849)</f>
        <v>0.000110120657995942</v>
      </c>
      <c r="I822" s="37" t="n">
        <f aca="false">I821+H822</f>
        <v>0.944802652423435</v>
      </c>
      <c r="J822" s="37" t="n">
        <f aca="false">A822/2840</f>
        <v>0.286971830985916</v>
      </c>
      <c r="K822" s="32" t="str">
        <f aca="false">IF(I822&lt;=$E$4,"A",IF(I822&lt;=$E$5,"B","C"))</f>
        <v>B</v>
      </c>
    </row>
    <row r="823" customFormat="false" ht="15" hidden="false" customHeight="false" outlineLevel="0" collapsed="false">
      <c r="A823" s="32" t="n">
        <v>816</v>
      </c>
      <c r="B823" s="33" t="n">
        <v>557857</v>
      </c>
      <c r="C823" s="34" t="s">
        <v>1715</v>
      </c>
      <c r="D823" s="34" t="s">
        <v>1716</v>
      </c>
      <c r="E823" s="34" t="s">
        <v>1618</v>
      </c>
      <c r="F823" s="32" t="n">
        <f aca="false">COUNTIF(Base!$D$2:$D$2878,B823)</f>
        <v>1</v>
      </c>
      <c r="G823" s="35" t="n">
        <f aca="false">SUMIF(Base!$D$2:$D$2878,B823,Base!$I$2:$I$2878)</f>
        <v>1676.9</v>
      </c>
      <c r="H823" s="36" t="n">
        <f aca="false">IF($G$2849=0,0,G823/$G$2849)</f>
        <v>0.000110041911324352</v>
      </c>
      <c r="I823" s="37" t="n">
        <f aca="false">I822+H823</f>
        <v>0.944912694334759</v>
      </c>
      <c r="J823" s="37" t="n">
        <f aca="false">A823/2840</f>
        <v>0.287323943661972</v>
      </c>
      <c r="K823" s="32" t="str">
        <f aca="false">IF(I823&lt;=$E$4,"A",IF(I823&lt;=$E$5,"B","C"))</f>
        <v>B</v>
      </c>
    </row>
    <row r="824" customFormat="false" ht="15" hidden="false" customHeight="false" outlineLevel="0" collapsed="false">
      <c r="A824" s="32" t="n">
        <v>817</v>
      </c>
      <c r="B824" s="33" t="n">
        <v>18820</v>
      </c>
      <c r="C824" s="34" t="s">
        <v>1717</v>
      </c>
      <c r="D824" s="34" t="s">
        <v>1718</v>
      </c>
      <c r="E824" s="34" t="s">
        <v>247</v>
      </c>
      <c r="F824" s="32" t="n">
        <f aca="false">COUNTIF(Base!$D$2:$D$2878,B824)</f>
        <v>1</v>
      </c>
      <c r="G824" s="35" t="n">
        <f aca="false">SUMIF(Base!$D$2:$D$2878,B824,Base!$I$2:$I$2878)</f>
        <v>1674.7</v>
      </c>
      <c r="H824" s="36" t="n">
        <f aca="false">IF($G$2849=0,0,G824/$G$2849)</f>
        <v>0.000109897542426437</v>
      </c>
      <c r="I824" s="37" t="n">
        <f aca="false">I823+H824</f>
        <v>0.945022591877186</v>
      </c>
      <c r="J824" s="37" t="n">
        <f aca="false">A824/2840</f>
        <v>0.287676056338028</v>
      </c>
      <c r="K824" s="32" t="str">
        <f aca="false">IF(I824&lt;=$E$4,"A",IF(I824&lt;=$E$5,"B","C"))</f>
        <v>B</v>
      </c>
    </row>
    <row r="825" customFormat="false" ht="15" hidden="false" customHeight="false" outlineLevel="0" collapsed="false">
      <c r="A825" s="32" t="n">
        <v>818</v>
      </c>
      <c r="B825" s="33" t="n">
        <v>22809</v>
      </c>
      <c r="C825" s="34" t="s">
        <v>1719</v>
      </c>
      <c r="D825" s="34" t="s">
        <v>1720</v>
      </c>
      <c r="E825" s="34" t="s">
        <v>100</v>
      </c>
      <c r="F825" s="32" t="n">
        <f aca="false">COUNTIF(Base!$D$2:$D$2878,B825)</f>
        <v>1</v>
      </c>
      <c r="G825" s="35" t="n">
        <f aca="false">SUMIF(Base!$D$2:$D$2878,B825,Base!$I$2:$I$2878)</f>
        <v>1674</v>
      </c>
      <c r="H825" s="36" t="n">
        <f aca="false">IF($G$2849=0,0,G825/$G$2849)</f>
        <v>0.00010985160686801</v>
      </c>
      <c r="I825" s="37" t="n">
        <f aca="false">I824+H825</f>
        <v>0.945132443484054</v>
      </c>
      <c r="J825" s="37" t="n">
        <f aca="false">A825/2840</f>
        <v>0.288028169014085</v>
      </c>
      <c r="K825" s="32" t="str">
        <f aca="false">IF(I825&lt;=$E$4,"A",IF(I825&lt;=$E$5,"B","C"))</f>
        <v>B</v>
      </c>
    </row>
    <row r="826" customFormat="false" ht="15" hidden="false" customHeight="false" outlineLevel="0" collapsed="false">
      <c r="A826" s="32" t="n">
        <v>819</v>
      </c>
      <c r="B826" s="33" t="n">
        <v>1469718</v>
      </c>
      <c r="C826" s="34" t="s">
        <v>1721</v>
      </c>
      <c r="D826" s="34" t="s">
        <v>1722</v>
      </c>
      <c r="E826" s="34" t="s">
        <v>189</v>
      </c>
      <c r="F826" s="32" t="n">
        <f aca="false">COUNTIF(Base!$D$2:$D$2878,B826)</f>
        <v>1</v>
      </c>
      <c r="G826" s="35" t="n">
        <f aca="false">SUMIF(Base!$D$2:$D$2878,B826,Base!$I$2:$I$2878)</f>
        <v>1672</v>
      </c>
      <c r="H826" s="36" t="n">
        <f aca="false">IF($G$2849=0,0,G826/$G$2849)</f>
        <v>0.00010972036241536</v>
      </c>
      <c r="I826" s="37" t="n">
        <f aca="false">I825+H826</f>
        <v>0.945242163846469</v>
      </c>
      <c r="J826" s="37" t="n">
        <f aca="false">A826/2840</f>
        <v>0.288380281690141</v>
      </c>
      <c r="K826" s="32" t="str">
        <f aca="false">IF(I826&lt;=$E$4,"A",IF(I826&lt;=$E$5,"B","C"))</f>
        <v>B</v>
      </c>
    </row>
    <row r="827" customFormat="false" ht="15" hidden="false" customHeight="false" outlineLevel="0" collapsed="false">
      <c r="A827" s="32" t="n">
        <v>820</v>
      </c>
      <c r="B827" s="33" t="n">
        <v>18830</v>
      </c>
      <c r="C827" s="34" t="s">
        <v>1723</v>
      </c>
      <c r="D827" s="34" t="s">
        <v>1724</v>
      </c>
      <c r="E827" s="34" t="s">
        <v>247</v>
      </c>
      <c r="F827" s="32" t="n">
        <f aca="false">COUNTIF(Base!$D$2:$D$2878,B827)</f>
        <v>1</v>
      </c>
      <c r="G827" s="35" t="n">
        <f aca="false">SUMIF(Base!$D$2:$D$2878,B827,Base!$I$2:$I$2878)</f>
        <v>1670.87</v>
      </c>
      <c r="H827" s="36" t="n">
        <f aca="false">IF($G$2849=0,0,G827/$G$2849)</f>
        <v>0.000109646209299613</v>
      </c>
      <c r="I827" s="37" t="n">
        <f aca="false">I826+H827</f>
        <v>0.945351810055769</v>
      </c>
      <c r="J827" s="37" t="n">
        <f aca="false">A827/2840</f>
        <v>0.288732394366197</v>
      </c>
      <c r="K827" s="32" t="str">
        <f aca="false">IF(I827&lt;=$E$4,"A",IF(I827&lt;=$E$5,"B","C"))</f>
        <v>B</v>
      </c>
    </row>
    <row r="828" customFormat="false" ht="15" hidden="false" customHeight="false" outlineLevel="0" collapsed="false">
      <c r="A828" s="32" t="n">
        <v>821</v>
      </c>
      <c r="B828" s="33" t="n">
        <v>60476</v>
      </c>
      <c r="C828" s="34" t="s">
        <v>1725</v>
      </c>
      <c r="D828" s="34" t="s">
        <v>1726</v>
      </c>
      <c r="E828" s="34" t="s">
        <v>35</v>
      </c>
      <c r="F828" s="32" t="n">
        <f aca="false">COUNTIF(Base!$D$2:$D$2878,B828)</f>
        <v>1</v>
      </c>
      <c r="G828" s="35" t="n">
        <f aca="false">SUMIF(Base!$D$2:$D$2878,B828,Base!$I$2:$I$2878)</f>
        <v>1668</v>
      </c>
      <c r="H828" s="36" t="n">
        <f aca="false">IF($G$2849=0,0,G828/$G$2849)</f>
        <v>0.00010945787351006</v>
      </c>
      <c r="I828" s="37" t="n">
        <f aca="false">I827+H828</f>
        <v>0.945461267929279</v>
      </c>
      <c r="J828" s="37" t="n">
        <f aca="false">A828/2840</f>
        <v>0.289084507042254</v>
      </c>
      <c r="K828" s="32" t="str">
        <f aca="false">IF(I828&lt;=$E$4,"A",IF(I828&lt;=$E$5,"B","C"))</f>
        <v>B</v>
      </c>
    </row>
    <row r="829" customFormat="false" ht="15" hidden="false" customHeight="false" outlineLevel="0" collapsed="false">
      <c r="A829" s="32" t="n">
        <v>822</v>
      </c>
      <c r="B829" s="33" t="n">
        <v>478936</v>
      </c>
      <c r="C829" s="34" t="s">
        <v>1727</v>
      </c>
      <c r="D829" s="34" t="s">
        <v>1728</v>
      </c>
      <c r="E829" s="34" t="s">
        <v>38</v>
      </c>
      <c r="F829" s="32" t="n">
        <f aca="false">COUNTIF(Base!$D$2:$D$2878,B829)</f>
        <v>1</v>
      </c>
      <c r="G829" s="35" t="n">
        <f aca="false">SUMIF(Base!$D$2:$D$2878,B829,Base!$I$2:$I$2878)</f>
        <v>1666.4514</v>
      </c>
      <c r="H829" s="36" t="n">
        <f aca="false">IF($G$2849=0,0,G829/$G$2849)</f>
        <v>0.000109356250930373</v>
      </c>
      <c r="I829" s="37" t="n">
        <f aca="false">I828+H829</f>
        <v>0.945570624180209</v>
      </c>
      <c r="J829" s="37" t="n">
        <f aca="false">A829/2840</f>
        <v>0.28943661971831</v>
      </c>
      <c r="K829" s="32" t="str">
        <f aca="false">IF(I829&lt;=$E$4,"A",IF(I829&lt;=$E$5,"B","C"))</f>
        <v>B</v>
      </c>
    </row>
    <row r="830" customFormat="false" ht="15" hidden="false" customHeight="false" outlineLevel="0" collapsed="false">
      <c r="A830" s="32" t="n">
        <v>823</v>
      </c>
      <c r="B830" s="33" t="n">
        <v>1465208</v>
      </c>
      <c r="C830" s="34" t="s">
        <v>1729</v>
      </c>
      <c r="D830" s="34" t="s">
        <v>1730</v>
      </c>
      <c r="E830" s="34" t="s">
        <v>133</v>
      </c>
      <c r="F830" s="32" t="n">
        <f aca="false">COUNTIF(Base!$D$2:$D$2878,B830)</f>
        <v>1</v>
      </c>
      <c r="G830" s="35" t="n">
        <f aca="false">SUMIF(Base!$D$2:$D$2878,B830,Base!$I$2:$I$2878)</f>
        <v>1664.82</v>
      </c>
      <c r="H830" s="36" t="n">
        <f aca="false">IF($G$2849=0,0,G830/$G$2849)</f>
        <v>0.000109249194830347</v>
      </c>
      <c r="I830" s="37" t="n">
        <f aca="false">I829+H830</f>
        <v>0.94567987337504</v>
      </c>
      <c r="J830" s="37" t="n">
        <f aca="false">A830/2840</f>
        <v>0.289788732394366</v>
      </c>
      <c r="K830" s="32" t="str">
        <f aca="false">IF(I830&lt;=$E$4,"A",IF(I830&lt;=$E$5,"B","C"))</f>
        <v>B</v>
      </c>
    </row>
    <row r="831" customFormat="false" ht="15" hidden="false" customHeight="false" outlineLevel="0" collapsed="false">
      <c r="A831" s="32" t="n">
        <v>824</v>
      </c>
      <c r="B831" s="33" t="n">
        <v>1319429</v>
      </c>
      <c r="C831" s="34" t="s">
        <v>1731</v>
      </c>
      <c r="D831" s="34" t="s">
        <v>1732</v>
      </c>
      <c r="E831" s="34" t="s">
        <v>217</v>
      </c>
      <c r="F831" s="32" t="n">
        <f aca="false">COUNTIF(Base!$D$2:$D$2878,B831)</f>
        <v>1</v>
      </c>
      <c r="G831" s="35" t="n">
        <f aca="false">SUMIF(Base!$D$2:$D$2878,B831,Base!$I$2:$I$2878)</f>
        <v>1657.76</v>
      </c>
      <c r="H831" s="36" t="n">
        <f aca="false">IF($G$2849=0,0,G831/$G$2849)</f>
        <v>0.000108785901912492</v>
      </c>
      <c r="I831" s="37" t="n">
        <f aca="false">I830+H831</f>
        <v>0.945788659276952</v>
      </c>
      <c r="J831" s="37" t="n">
        <f aca="false">A831/2840</f>
        <v>0.290140845070423</v>
      </c>
      <c r="K831" s="32" t="str">
        <f aca="false">IF(I831&lt;=$E$4,"A",IF(I831&lt;=$E$5,"B","C"))</f>
        <v>B</v>
      </c>
    </row>
    <row r="832" customFormat="false" ht="15" hidden="false" customHeight="false" outlineLevel="0" collapsed="false">
      <c r="A832" s="32" t="n">
        <v>825</v>
      </c>
      <c r="B832" s="33" t="n">
        <v>34043</v>
      </c>
      <c r="C832" s="34" t="s">
        <v>1733</v>
      </c>
      <c r="D832" s="34" t="s">
        <v>1734</v>
      </c>
      <c r="E832" s="34" t="s">
        <v>35</v>
      </c>
      <c r="F832" s="32" t="n">
        <f aca="false">COUNTIF(Base!$D$2:$D$2878,B832)</f>
        <v>1</v>
      </c>
      <c r="G832" s="35" t="n">
        <f aca="false">SUMIF(Base!$D$2:$D$2878,B832,Base!$I$2:$I$2878)</f>
        <v>1656</v>
      </c>
      <c r="H832" s="36" t="n">
        <f aca="false">IF($G$2849=0,0,G832/$G$2849)</f>
        <v>0.00010867040679416</v>
      </c>
      <c r="I832" s="37" t="n">
        <f aca="false">I831+H832</f>
        <v>0.945897329683746</v>
      </c>
      <c r="J832" s="37" t="n">
        <f aca="false">A832/2840</f>
        <v>0.290492957746479</v>
      </c>
      <c r="K832" s="32" t="str">
        <f aca="false">IF(I832&lt;=$E$4,"A",IF(I832&lt;=$E$5,"B","C"))</f>
        <v>B</v>
      </c>
    </row>
    <row r="833" customFormat="false" ht="15" hidden="false" customHeight="false" outlineLevel="0" collapsed="false">
      <c r="A833" s="32" t="n">
        <v>826</v>
      </c>
      <c r="B833" s="33" t="n">
        <v>937230</v>
      </c>
      <c r="C833" s="34" t="s">
        <v>1735</v>
      </c>
      <c r="D833" s="34" t="s">
        <v>1736</v>
      </c>
      <c r="E833" s="34" t="s">
        <v>1095</v>
      </c>
      <c r="F833" s="32" t="n">
        <f aca="false">COUNTIF(Base!$D$2:$D$2878,B833)</f>
        <v>1</v>
      </c>
      <c r="G833" s="35" t="n">
        <f aca="false">SUMIF(Base!$D$2:$D$2878,B833,Base!$I$2:$I$2878)</f>
        <v>1650</v>
      </c>
      <c r="H833" s="36" t="n">
        <f aca="false">IF($G$2849=0,0,G833/$G$2849)</f>
        <v>0.00010827667343621</v>
      </c>
      <c r="I833" s="37" t="n">
        <f aca="false">I832+H833</f>
        <v>0.946005606357182</v>
      </c>
      <c r="J833" s="37" t="n">
        <f aca="false">A833/2840</f>
        <v>0.290845070422535</v>
      </c>
      <c r="K833" s="32" t="str">
        <f aca="false">IF(I833&lt;=$E$4,"A",IF(I833&lt;=$E$5,"B","C"))</f>
        <v>B</v>
      </c>
    </row>
    <row r="834" customFormat="false" ht="15" hidden="false" customHeight="false" outlineLevel="0" collapsed="false">
      <c r="A834" s="32" t="n">
        <v>827</v>
      </c>
      <c r="B834" s="33" t="n">
        <v>1319428</v>
      </c>
      <c r="C834" s="34" t="s">
        <v>1737</v>
      </c>
      <c r="D834" s="34" t="s">
        <v>1738</v>
      </c>
      <c r="E834" s="34" t="s">
        <v>217</v>
      </c>
      <c r="F834" s="32" t="n">
        <f aca="false">COUNTIF(Base!$D$2:$D$2878,B834)</f>
        <v>1</v>
      </c>
      <c r="G834" s="35" t="n">
        <f aca="false">SUMIF(Base!$D$2:$D$2878,B834,Base!$I$2:$I$2878)</f>
        <v>1649.76</v>
      </c>
      <c r="H834" s="36" t="n">
        <f aca="false">IF($G$2849=0,0,G834/$G$2849)</f>
        <v>0.000108260924101892</v>
      </c>
      <c r="I834" s="37" t="n">
        <f aca="false">I833+H834</f>
        <v>0.946113867281284</v>
      </c>
      <c r="J834" s="37" t="n">
        <f aca="false">A834/2840</f>
        <v>0.291197183098592</v>
      </c>
      <c r="K834" s="32" t="str">
        <f aca="false">IF(I834&lt;=$E$4,"A",IF(I834&lt;=$E$5,"B","C"))</f>
        <v>B</v>
      </c>
    </row>
    <row r="835" customFormat="false" ht="15" hidden="false" customHeight="false" outlineLevel="0" collapsed="false">
      <c r="A835" s="32" t="n">
        <v>828</v>
      </c>
      <c r="B835" s="33" t="n">
        <v>32009</v>
      </c>
      <c r="C835" s="34" t="s">
        <v>1739</v>
      </c>
      <c r="D835" s="34" t="s">
        <v>1740</v>
      </c>
      <c r="E835" s="34" t="s">
        <v>75</v>
      </c>
      <c r="F835" s="32" t="n">
        <f aca="false">COUNTIF(Base!$D$2:$D$2878,B835)</f>
        <v>1</v>
      </c>
      <c r="G835" s="35" t="n">
        <f aca="false">SUMIF(Base!$D$2:$D$2878,B835,Base!$I$2:$I$2878)</f>
        <v>1648.75</v>
      </c>
      <c r="H835" s="36" t="n">
        <f aca="false">IF($G$2849=0,0,G835/$G$2849)</f>
        <v>0.000108194645653304</v>
      </c>
      <c r="I835" s="37" t="n">
        <f aca="false">I834+H835</f>
        <v>0.946222061926938</v>
      </c>
      <c r="J835" s="37" t="n">
        <f aca="false">A835/2840</f>
        <v>0.291549295774648</v>
      </c>
      <c r="K835" s="32" t="str">
        <f aca="false">IF(I835&lt;=$E$4,"A",IF(I835&lt;=$E$5,"B","C"))</f>
        <v>B</v>
      </c>
    </row>
    <row r="836" customFormat="false" ht="15" hidden="false" customHeight="false" outlineLevel="0" collapsed="false">
      <c r="A836" s="32" t="n">
        <v>829</v>
      </c>
      <c r="B836" s="33" t="n">
        <v>1464723</v>
      </c>
      <c r="C836" s="34" t="s">
        <v>1741</v>
      </c>
      <c r="D836" s="34" t="s">
        <v>1742</v>
      </c>
      <c r="E836" s="34" t="s">
        <v>100</v>
      </c>
      <c r="F836" s="32" t="n">
        <f aca="false">COUNTIF(Base!$D$2:$D$2878,B836)</f>
        <v>1</v>
      </c>
      <c r="G836" s="35" t="n">
        <f aca="false">SUMIF(Base!$D$2:$D$2878,B836,Base!$I$2:$I$2878)</f>
        <v>1646.92</v>
      </c>
      <c r="H836" s="36" t="n">
        <f aca="false">IF($G$2849=0,0,G836/$G$2849)</f>
        <v>0.00010807455697913</v>
      </c>
      <c r="I836" s="37" t="n">
        <f aca="false">I835+H836</f>
        <v>0.946330136483917</v>
      </c>
      <c r="J836" s="37" t="n">
        <f aca="false">A836/2840</f>
        <v>0.291901408450704</v>
      </c>
      <c r="K836" s="32" t="str">
        <f aca="false">IF(I836&lt;=$E$4,"A",IF(I836&lt;=$E$5,"B","C"))</f>
        <v>B</v>
      </c>
    </row>
    <row r="837" customFormat="false" ht="15" hidden="false" customHeight="false" outlineLevel="0" collapsed="false">
      <c r="A837" s="32" t="n">
        <v>830</v>
      </c>
      <c r="B837" s="33" t="n">
        <v>934334</v>
      </c>
      <c r="C837" s="34" t="s">
        <v>1743</v>
      </c>
      <c r="D837" s="34" t="s">
        <v>1744</v>
      </c>
      <c r="E837" s="34" t="s">
        <v>705</v>
      </c>
      <c r="F837" s="32" t="n">
        <f aca="false">COUNTIF(Base!$D$2:$D$2878,B837)</f>
        <v>1</v>
      </c>
      <c r="G837" s="35" t="n">
        <f aca="false">SUMIF(Base!$D$2:$D$2878,B837,Base!$I$2:$I$2878)</f>
        <v>1644</v>
      </c>
      <c r="H837" s="36" t="n">
        <f aca="false">IF($G$2849=0,0,G837/$G$2849)</f>
        <v>0.000107882940078261</v>
      </c>
      <c r="I837" s="37" t="n">
        <f aca="false">I836+H837</f>
        <v>0.946438019423995</v>
      </c>
      <c r="J837" s="37" t="n">
        <f aca="false">A837/2840</f>
        <v>0.292253521126761</v>
      </c>
      <c r="K837" s="32" t="str">
        <f aca="false">IF(I837&lt;=$E$4,"A",IF(I837&lt;=$E$5,"B","C"))</f>
        <v>B</v>
      </c>
    </row>
    <row r="838" customFormat="false" ht="15" hidden="false" customHeight="false" outlineLevel="0" collapsed="false">
      <c r="A838" s="32" t="n">
        <v>831</v>
      </c>
      <c r="B838" s="33" t="n">
        <v>727452</v>
      </c>
      <c r="C838" s="34" t="s">
        <v>1745</v>
      </c>
      <c r="D838" s="34" t="s">
        <v>1746</v>
      </c>
      <c r="E838" s="34" t="s">
        <v>247</v>
      </c>
      <c r="F838" s="32" t="n">
        <f aca="false">COUNTIF(Base!$D$2:$D$2878,B838)</f>
        <v>1</v>
      </c>
      <c r="G838" s="35" t="n">
        <f aca="false">SUMIF(Base!$D$2:$D$2878,B838,Base!$I$2:$I$2878)</f>
        <v>1641.43</v>
      </c>
      <c r="H838" s="36" t="n">
        <f aca="false">IF($G$2849=0,0,G838/$G$2849)</f>
        <v>0.000107714290956605</v>
      </c>
      <c r="I838" s="37" t="n">
        <f aca="false">I837+H838</f>
        <v>0.946545733714952</v>
      </c>
      <c r="J838" s="37" t="n">
        <f aca="false">A838/2840</f>
        <v>0.292605633802817</v>
      </c>
      <c r="K838" s="32" t="str">
        <f aca="false">IF(I838&lt;=$E$4,"A",IF(I838&lt;=$E$5,"B","C"))</f>
        <v>B</v>
      </c>
    </row>
    <row r="839" customFormat="false" ht="15" hidden="false" customHeight="false" outlineLevel="0" collapsed="false">
      <c r="A839" s="32" t="n">
        <v>832</v>
      </c>
      <c r="B839" s="33" t="n">
        <v>727453</v>
      </c>
      <c r="C839" s="34" t="s">
        <v>1747</v>
      </c>
      <c r="D839" s="34" t="s">
        <v>1748</v>
      </c>
      <c r="E839" s="34" t="s">
        <v>247</v>
      </c>
      <c r="F839" s="32" t="n">
        <f aca="false">COUNTIF(Base!$D$2:$D$2878,B839)</f>
        <v>1</v>
      </c>
      <c r="G839" s="35" t="n">
        <f aca="false">SUMIF(Base!$D$2:$D$2878,B839,Base!$I$2:$I$2878)</f>
        <v>1641.43</v>
      </c>
      <c r="H839" s="36" t="n">
        <f aca="false">IF($G$2849=0,0,G839/$G$2849)</f>
        <v>0.000107714290956605</v>
      </c>
      <c r="I839" s="37" t="n">
        <f aca="false">I838+H839</f>
        <v>0.946653448005908</v>
      </c>
      <c r="J839" s="37" t="n">
        <f aca="false">A839/2840</f>
        <v>0.292957746478873</v>
      </c>
      <c r="K839" s="32" t="str">
        <f aca="false">IF(I839&lt;=$E$4,"A",IF(I839&lt;=$E$5,"B","C"))</f>
        <v>B</v>
      </c>
    </row>
    <row r="840" customFormat="false" ht="15" hidden="false" customHeight="false" outlineLevel="0" collapsed="false">
      <c r="A840" s="32" t="n">
        <v>833</v>
      </c>
      <c r="B840" s="33" t="n">
        <v>1465432</v>
      </c>
      <c r="C840" s="34" t="s">
        <v>1749</v>
      </c>
      <c r="D840" s="34" t="s">
        <v>1750</v>
      </c>
      <c r="E840" s="34" t="s">
        <v>133</v>
      </c>
      <c r="F840" s="32" t="n">
        <f aca="false">COUNTIF(Base!$D$2:$D$2878,B840)</f>
        <v>1</v>
      </c>
      <c r="G840" s="35" t="n">
        <f aca="false">SUMIF(Base!$D$2:$D$2878,B840,Base!$I$2:$I$2878)</f>
        <v>1640</v>
      </c>
      <c r="H840" s="36" t="n">
        <f aca="false">IF($G$2849=0,0,G840/$G$2849)</f>
        <v>0.000107620451172961</v>
      </c>
      <c r="I840" s="37" t="n">
        <f aca="false">I839+H840</f>
        <v>0.946761068457081</v>
      </c>
      <c r="J840" s="37" t="n">
        <f aca="false">A840/2840</f>
        <v>0.29330985915493</v>
      </c>
      <c r="K840" s="32" t="str">
        <f aca="false">IF(I840&lt;=$E$4,"A",IF(I840&lt;=$E$5,"B","C"))</f>
        <v>B</v>
      </c>
    </row>
    <row r="841" customFormat="false" ht="15" hidden="false" customHeight="false" outlineLevel="0" collapsed="false">
      <c r="A841" s="32" t="n">
        <v>834</v>
      </c>
      <c r="B841" s="33" t="n">
        <v>1613481</v>
      </c>
      <c r="C841" s="34" t="s">
        <v>1751</v>
      </c>
      <c r="D841" s="34" t="s">
        <v>1752</v>
      </c>
      <c r="E841" s="34" t="s">
        <v>38</v>
      </c>
      <c r="F841" s="32" t="n">
        <f aca="false">COUNTIF(Base!$D$2:$D$2878,B841)</f>
        <v>1</v>
      </c>
      <c r="G841" s="35" t="n">
        <f aca="false">SUMIF(Base!$D$2:$D$2878,B841,Base!$I$2:$I$2878)</f>
        <v>1639.3</v>
      </c>
      <c r="H841" s="36" t="n">
        <f aca="false">IF($G$2849=0,0,G841/$G$2849)</f>
        <v>0.000107574515614533</v>
      </c>
      <c r="I841" s="37" t="n">
        <f aca="false">I840+H841</f>
        <v>0.946868642972696</v>
      </c>
      <c r="J841" s="37" t="n">
        <f aca="false">A841/2840</f>
        <v>0.293661971830986</v>
      </c>
      <c r="K841" s="32" t="str">
        <f aca="false">IF(I841&lt;=$E$4,"A",IF(I841&lt;=$E$5,"B","C"))</f>
        <v>B</v>
      </c>
    </row>
    <row r="842" customFormat="false" ht="15" hidden="false" customHeight="false" outlineLevel="0" collapsed="false">
      <c r="A842" s="32" t="n">
        <v>835</v>
      </c>
      <c r="B842" s="33" t="n">
        <v>1069521</v>
      </c>
      <c r="C842" s="34" t="s">
        <v>1753</v>
      </c>
      <c r="D842" s="34" t="s">
        <v>1754</v>
      </c>
      <c r="E842" s="34" t="s">
        <v>113</v>
      </c>
      <c r="F842" s="32" t="n">
        <f aca="false">COUNTIF(Base!$D$2:$D$2878,B842)</f>
        <v>1</v>
      </c>
      <c r="G842" s="35" t="n">
        <f aca="false">SUMIF(Base!$D$2:$D$2878,B842,Base!$I$2:$I$2878)</f>
        <v>1638</v>
      </c>
      <c r="H842" s="36" t="n">
        <f aca="false">IF($G$2849=0,0,G842/$G$2849)</f>
        <v>0.000107489206720311</v>
      </c>
      <c r="I842" s="37" t="n">
        <f aca="false">I841+H842</f>
        <v>0.946976132179416</v>
      </c>
      <c r="J842" s="37" t="n">
        <f aca="false">A842/2840</f>
        <v>0.294014084507042</v>
      </c>
      <c r="K842" s="32" t="str">
        <f aca="false">IF(I842&lt;=$E$4,"A",IF(I842&lt;=$E$5,"B","C"))</f>
        <v>B</v>
      </c>
    </row>
    <row r="843" customFormat="false" ht="15" hidden="false" customHeight="false" outlineLevel="0" collapsed="false">
      <c r="A843" s="32" t="n">
        <v>836</v>
      </c>
      <c r="B843" s="33" t="n">
        <v>1539051</v>
      </c>
      <c r="C843" s="34" t="s">
        <v>1755</v>
      </c>
      <c r="D843" s="34" t="s">
        <v>1756</v>
      </c>
      <c r="E843" s="34" t="s">
        <v>170</v>
      </c>
      <c r="F843" s="32" t="n">
        <f aca="false">COUNTIF(Base!$D$2:$D$2878,B843)</f>
        <v>1</v>
      </c>
      <c r="G843" s="35" t="n">
        <f aca="false">SUMIF(Base!$D$2:$D$2878,B843,Base!$I$2:$I$2878)</f>
        <v>1630</v>
      </c>
      <c r="H843" s="36" t="n">
        <f aca="false">IF($G$2849=0,0,G843/$G$2849)</f>
        <v>0.000106964228909711</v>
      </c>
      <c r="I843" s="37" t="n">
        <f aca="false">I842+H843</f>
        <v>0.947083096408326</v>
      </c>
      <c r="J843" s="37" t="n">
        <f aca="false">A843/2840</f>
        <v>0.294366197183099</v>
      </c>
      <c r="K843" s="32" t="str">
        <f aca="false">IF(I843&lt;=$E$4,"A",IF(I843&lt;=$E$5,"B","C"))</f>
        <v>B</v>
      </c>
    </row>
    <row r="844" customFormat="false" ht="15" hidden="false" customHeight="false" outlineLevel="0" collapsed="false">
      <c r="A844" s="32" t="n">
        <v>837</v>
      </c>
      <c r="B844" s="33" t="n">
        <v>609624</v>
      </c>
      <c r="C844" s="34" t="s">
        <v>1757</v>
      </c>
      <c r="D844" s="34" t="s">
        <v>1758</v>
      </c>
      <c r="E844" s="34" t="s">
        <v>217</v>
      </c>
      <c r="F844" s="32" t="n">
        <f aca="false">COUNTIF(Base!$D$2:$D$2878,B844)</f>
        <v>1</v>
      </c>
      <c r="G844" s="35" t="n">
        <f aca="false">SUMIF(Base!$D$2:$D$2878,B844,Base!$I$2:$I$2878)</f>
        <v>1625</v>
      </c>
      <c r="H844" s="36" t="n">
        <f aca="false">IF($G$2849=0,0,G844/$G$2849)</f>
        <v>0.000106636117778086</v>
      </c>
      <c r="I844" s="37" t="n">
        <f aca="false">I843+H844</f>
        <v>0.947189732526104</v>
      </c>
      <c r="J844" s="37" t="n">
        <f aca="false">A844/2840</f>
        <v>0.294718309859155</v>
      </c>
      <c r="K844" s="32" t="str">
        <f aca="false">IF(I844&lt;=$E$4,"A",IF(I844&lt;=$E$5,"B","C"))</f>
        <v>B</v>
      </c>
    </row>
    <row r="845" customFormat="false" ht="15" hidden="false" customHeight="false" outlineLevel="0" collapsed="false">
      <c r="A845" s="32" t="n">
        <v>838</v>
      </c>
      <c r="B845" s="33" t="n">
        <v>601528</v>
      </c>
      <c r="C845" s="34" t="s">
        <v>1759</v>
      </c>
      <c r="D845" s="34" t="s">
        <v>1760</v>
      </c>
      <c r="E845" s="34" t="s">
        <v>247</v>
      </c>
      <c r="F845" s="32" t="n">
        <f aca="false">COUNTIF(Base!$D$2:$D$2878,B845)</f>
        <v>1</v>
      </c>
      <c r="G845" s="35" t="n">
        <f aca="false">SUMIF(Base!$D$2:$D$2878,B845,Base!$I$2:$I$2878)</f>
        <v>1623.55</v>
      </c>
      <c r="H845" s="36" t="n">
        <f aca="false">IF($G$2849=0,0,G845/$G$2849)</f>
        <v>0.000106540965549915</v>
      </c>
      <c r="I845" s="37" t="n">
        <f aca="false">I844+H845</f>
        <v>0.947296273491654</v>
      </c>
      <c r="J845" s="37" t="n">
        <f aca="false">A845/2840</f>
        <v>0.295070422535211</v>
      </c>
      <c r="K845" s="32" t="str">
        <f aca="false">IF(I845&lt;=$E$4,"A",IF(I845&lt;=$E$5,"B","C"))</f>
        <v>B</v>
      </c>
    </row>
    <row r="846" customFormat="false" ht="15" hidden="false" customHeight="false" outlineLevel="0" collapsed="false">
      <c r="A846" s="32" t="n">
        <v>839</v>
      </c>
      <c r="B846" s="33" t="n">
        <v>66440</v>
      </c>
      <c r="C846" s="34" t="s">
        <v>1761</v>
      </c>
      <c r="D846" s="34" t="s">
        <v>1762</v>
      </c>
      <c r="E846" s="34" t="s">
        <v>35</v>
      </c>
      <c r="F846" s="32" t="n">
        <f aca="false">COUNTIF(Base!$D$2:$D$2878,B846)</f>
        <v>1</v>
      </c>
      <c r="G846" s="35" t="n">
        <f aca="false">SUMIF(Base!$D$2:$D$2878,B846,Base!$I$2:$I$2878)</f>
        <v>1620</v>
      </c>
      <c r="H846" s="36" t="n">
        <f aca="false">IF($G$2849=0,0,G846/$G$2849)</f>
        <v>0.000106308006646461</v>
      </c>
      <c r="I846" s="37" t="n">
        <f aca="false">I845+H846</f>
        <v>0.9474025814983</v>
      </c>
      <c r="J846" s="37" t="n">
        <f aca="false">A846/2840</f>
        <v>0.295422535211268</v>
      </c>
      <c r="K846" s="32" t="str">
        <f aca="false">IF(I846&lt;=$E$4,"A",IF(I846&lt;=$E$5,"B","C"))</f>
        <v>B</v>
      </c>
    </row>
    <row r="847" customFormat="false" ht="15" hidden="false" customHeight="false" outlineLevel="0" collapsed="false">
      <c r="A847" s="32" t="n">
        <v>840</v>
      </c>
      <c r="B847" s="33" t="n">
        <v>34916</v>
      </c>
      <c r="C847" s="34" t="s">
        <v>1763</v>
      </c>
      <c r="D847" s="34" t="s">
        <v>1764</v>
      </c>
      <c r="E847" s="34" t="s">
        <v>189</v>
      </c>
      <c r="F847" s="32" t="n">
        <f aca="false">COUNTIF(Base!$D$2:$D$2878,B847)</f>
        <v>1</v>
      </c>
      <c r="G847" s="35" t="n">
        <f aca="false">SUMIF(Base!$D$2:$D$2878,B847,Base!$I$2:$I$2878)</f>
        <v>1618.84</v>
      </c>
      <c r="H847" s="36" t="n">
        <f aca="false">IF($G$2849=0,0,G847/$G$2849)</f>
        <v>0.000106231884863924</v>
      </c>
      <c r="I847" s="37" t="n">
        <f aca="false">I846+H847</f>
        <v>0.947508813383164</v>
      </c>
      <c r="J847" s="37" t="n">
        <f aca="false">A847/2840</f>
        <v>0.295774647887324</v>
      </c>
      <c r="K847" s="32" t="str">
        <f aca="false">IF(I847&lt;=$E$4,"A",IF(I847&lt;=$E$5,"B","C"))</f>
        <v>B</v>
      </c>
    </row>
    <row r="848" customFormat="false" ht="15" hidden="false" customHeight="false" outlineLevel="0" collapsed="false">
      <c r="A848" s="32" t="n">
        <v>841</v>
      </c>
      <c r="B848" s="33" t="n">
        <v>880271</v>
      </c>
      <c r="C848" s="34" t="s">
        <v>1765</v>
      </c>
      <c r="D848" s="34" t="s">
        <v>1766</v>
      </c>
      <c r="E848" s="34" t="s">
        <v>705</v>
      </c>
      <c r="F848" s="32" t="n">
        <f aca="false">COUNTIF(Base!$D$2:$D$2878,B848)</f>
        <v>1</v>
      </c>
      <c r="G848" s="35" t="n">
        <f aca="false">SUMIF(Base!$D$2:$D$2878,B848,Base!$I$2:$I$2878)</f>
        <v>1610</v>
      </c>
      <c r="H848" s="36" t="n">
        <f aca="false">IF($G$2849=0,0,G848/$G$2849)</f>
        <v>0.000105651784383211</v>
      </c>
      <c r="I848" s="37" t="n">
        <f aca="false">I847+H848</f>
        <v>0.947614465167547</v>
      </c>
      <c r="J848" s="37" t="n">
        <f aca="false">A848/2840</f>
        <v>0.29612676056338</v>
      </c>
      <c r="K848" s="32" t="str">
        <f aca="false">IF(I848&lt;=$E$4,"A",IF(I848&lt;=$E$5,"B","C"))</f>
        <v>B</v>
      </c>
    </row>
    <row r="849" customFormat="false" ht="15" hidden="false" customHeight="false" outlineLevel="0" collapsed="false">
      <c r="A849" s="32" t="n">
        <v>842</v>
      </c>
      <c r="B849" s="33" t="n">
        <v>1607597</v>
      </c>
      <c r="C849" s="34" t="s">
        <v>1767</v>
      </c>
      <c r="D849" s="34" t="s">
        <v>1768</v>
      </c>
      <c r="E849" s="34" t="s">
        <v>38</v>
      </c>
      <c r="F849" s="32" t="n">
        <f aca="false">COUNTIF(Base!$D$2:$D$2878,B849)</f>
        <v>1</v>
      </c>
      <c r="G849" s="35" t="n">
        <f aca="false">SUMIF(Base!$D$2:$D$2878,B849,Base!$I$2:$I$2878)</f>
        <v>1610</v>
      </c>
      <c r="H849" s="36" t="n">
        <f aca="false">IF($G$2849=0,0,G849/$G$2849)</f>
        <v>0.000105651784383211</v>
      </c>
      <c r="I849" s="37" t="n">
        <f aca="false">I848+H849</f>
        <v>0.947720116951931</v>
      </c>
      <c r="J849" s="37" t="n">
        <f aca="false">A849/2840</f>
        <v>0.296478873239437</v>
      </c>
      <c r="K849" s="32" t="str">
        <f aca="false">IF(I849&lt;=$E$4,"A",IF(I849&lt;=$E$5,"B","C"))</f>
        <v>B</v>
      </c>
    </row>
    <row r="850" customFormat="false" ht="15" hidden="false" customHeight="false" outlineLevel="0" collapsed="false">
      <c r="A850" s="32" t="n">
        <v>843</v>
      </c>
      <c r="B850" s="33" t="n">
        <v>89691</v>
      </c>
      <c r="C850" s="34" t="s">
        <v>1769</v>
      </c>
      <c r="D850" s="34" t="s">
        <v>1770</v>
      </c>
      <c r="E850" s="34" t="s">
        <v>605</v>
      </c>
      <c r="F850" s="32" t="n">
        <f aca="false">COUNTIF(Base!$D$2:$D$2878,B850)</f>
        <v>1</v>
      </c>
      <c r="G850" s="35" t="n">
        <f aca="false">SUMIF(Base!$D$2:$D$2878,B850,Base!$I$2:$I$2878)</f>
        <v>1608</v>
      </c>
      <c r="H850" s="36" t="n">
        <f aca="false">IF($G$2849=0,0,G850/$G$2849)</f>
        <v>0.000105520539930561</v>
      </c>
      <c r="I850" s="37" t="n">
        <f aca="false">I849+H850</f>
        <v>0.947825637491861</v>
      </c>
      <c r="J850" s="37" t="n">
        <f aca="false">A850/2840</f>
        <v>0.296830985915493</v>
      </c>
      <c r="K850" s="32" t="str">
        <f aca="false">IF(I850&lt;=$E$4,"A",IF(I850&lt;=$E$5,"B","C"))</f>
        <v>B</v>
      </c>
    </row>
    <row r="851" customFormat="false" ht="15" hidden="false" customHeight="false" outlineLevel="0" collapsed="false">
      <c r="A851" s="32" t="n">
        <v>844</v>
      </c>
      <c r="B851" s="33" t="n">
        <v>390952</v>
      </c>
      <c r="C851" s="34" t="s">
        <v>1771</v>
      </c>
      <c r="D851" s="34" t="s">
        <v>1772</v>
      </c>
      <c r="E851" s="34" t="s">
        <v>38</v>
      </c>
      <c r="F851" s="32" t="n">
        <f aca="false">COUNTIF(Base!$D$2:$D$2878,B851)</f>
        <v>1</v>
      </c>
      <c r="G851" s="35" t="n">
        <f aca="false">SUMIF(Base!$D$2:$D$2878,B851,Base!$I$2:$I$2878)</f>
        <v>1606.3</v>
      </c>
      <c r="H851" s="36" t="n">
        <f aca="false">IF($G$2849=0,0,G851/$G$2849)</f>
        <v>0.000105408982145809</v>
      </c>
      <c r="I851" s="37" t="n">
        <f aca="false">I850+H851</f>
        <v>0.947931046474007</v>
      </c>
      <c r="J851" s="37" t="n">
        <f aca="false">A851/2840</f>
        <v>0.297183098591549</v>
      </c>
      <c r="K851" s="32" t="str">
        <f aca="false">IF(I851&lt;=$E$4,"A",IF(I851&lt;=$E$5,"B","C"))</f>
        <v>B</v>
      </c>
    </row>
    <row r="852" customFormat="false" ht="15" hidden="false" customHeight="false" outlineLevel="0" collapsed="false">
      <c r="A852" s="32" t="n">
        <v>845</v>
      </c>
      <c r="B852" s="33" t="n">
        <v>1685478</v>
      </c>
      <c r="C852" s="34" t="s">
        <v>1773</v>
      </c>
      <c r="D852" s="34" t="s">
        <v>1774</v>
      </c>
      <c r="E852" s="34" t="s">
        <v>54</v>
      </c>
      <c r="F852" s="32" t="n">
        <f aca="false">COUNTIF(Base!$D$2:$D$2878,B852)</f>
        <v>1</v>
      </c>
      <c r="G852" s="35" t="n">
        <f aca="false">SUMIF(Base!$D$2:$D$2878,B852,Base!$I$2:$I$2878)</f>
        <v>1600</v>
      </c>
      <c r="H852" s="36" t="n">
        <f aca="false">IF($G$2849=0,0,G852/$G$2849)</f>
        <v>0.000104995562119962</v>
      </c>
      <c r="I852" s="37" t="n">
        <f aca="false">I851+H852</f>
        <v>0.948036042036127</v>
      </c>
      <c r="J852" s="37" t="n">
        <f aca="false">A852/2840</f>
        <v>0.297535211267606</v>
      </c>
      <c r="K852" s="32" t="str">
        <f aca="false">IF(I852&lt;=$E$4,"A",IF(I852&lt;=$E$5,"B","C"))</f>
        <v>B</v>
      </c>
    </row>
    <row r="853" customFormat="false" ht="15" hidden="false" customHeight="false" outlineLevel="0" collapsed="false">
      <c r="A853" s="32" t="n">
        <v>846</v>
      </c>
      <c r="B853" s="33" t="n">
        <v>835400</v>
      </c>
      <c r="C853" s="34" t="s">
        <v>1775</v>
      </c>
      <c r="D853" s="34" t="s">
        <v>1776</v>
      </c>
      <c r="E853" s="34" t="s">
        <v>38</v>
      </c>
      <c r="F853" s="32" t="n">
        <f aca="false">COUNTIF(Base!$D$2:$D$2878,B853)</f>
        <v>1</v>
      </c>
      <c r="G853" s="35" t="n">
        <f aca="false">SUMIF(Base!$D$2:$D$2878,B853,Base!$I$2:$I$2878)</f>
        <v>1598.34</v>
      </c>
      <c r="H853" s="36" t="n">
        <f aca="false">IF($G$2849=0,0,G853/$G$2849)</f>
        <v>0.000104886629224262</v>
      </c>
      <c r="I853" s="37" t="n">
        <f aca="false">I852+H853</f>
        <v>0.948140928665351</v>
      </c>
      <c r="J853" s="37" t="n">
        <f aca="false">A853/2840</f>
        <v>0.297887323943662</v>
      </c>
      <c r="K853" s="32" t="str">
        <f aca="false">IF(I853&lt;=$E$4,"A",IF(I853&lt;=$E$5,"B","C"))</f>
        <v>B</v>
      </c>
    </row>
    <row r="854" customFormat="false" ht="15" hidden="false" customHeight="false" outlineLevel="0" collapsed="false">
      <c r="A854" s="32" t="n">
        <v>847</v>
      </c>
      <c r="B854" s="33" t="n">
        <v>1258633</v>
      </c>
      <c r="C854" s="34" t="s">
        <v>1777</v>
      </c>
      <c r="D854" s="34" t="s">
        <v>1778</v>
      </c>
      <c r="E854" s="34" t="s">
        <v>247</v>
      </c>
      <c r="F854" s="32" t="n">
        <f aca="false">COUNTIF(Base!$D$2:$D$2878,B854)</f>
        <v>1</v>
      </c>
      <c r="G854" s="35" t="n">
        <f aca="false">SUMIF(Base!$D$2:$D$2878,B854,Base!$I$2:$I$2878)</f>
        <v>1585.95</v>
      </c>
      <c r="H854" s="36" t="n">
        <f aca="false">IF($G$2849=0,0,G854/$G$2849)</f>
        <v>0.000104073569840096</v>
      </c>
      <c r="I854" s="37" t="n">
        <f aca="false">I853+H854</f>
        <v>0.948245002235191</v>
      </c>
      <c r="J854" s="37" t="n">
        <f aca="false">A854/2840</f>
        <v>0.298239436619718</v>
      </c>
      <c r="K854" s="32" t="str">
        <f aca="false">IF(I854&lt;=$E$4,"A",IF(I854&lt;=$E$5,"B","C"))</f>
        <v>B</v>
      </c>
    </row>
    <row r="855" customFormat="false" ht="15" hidden="false" customHeight="false" outlineLevel="0" collapsed="false">
      <c r="A855" s="32" t="n">
        <v>848</v>
      </c>
      <c r="B855" s="33" t="n">
        <v>59884</v>
      </c>
      <c r="C855" s="34" t="s">
        <v>1779</v>
      </c>
      <c r="D855" s="34" t="s">
        <v>1780</v>
      </c>
      <c r="E855" s="34" t="s">
        <v>100</v>
      </c>
      <c r="F855" s="32" t="n">
        <f aca="false">COUNTIF(Base!$D$2:$D$2878,B855)</f>
        <v>1</v>
      </c>
      <c r="G855" s="35" t="n">
        <f aca="false">SUMIF(Base!$D$2:$D$2878,B855,Base!$I$2:$I$2878)</f>
        <v>1584.35</v>
      </c>
      <c r="H855" s="36" t="n">
        <f aca="false">IF($G$2849=0,0,G855/$G$2849)</f>
        <v>0.000103968574277976</v>
      </c>
      <c r="I855" s="37" t="n">
        <f aca="false">I854+H855</f>
        <v>0.948348970809469</v>
      </c>
      <c r="J855" s="37" t="n">
        <f aca="false">A855/2840</f>
        <v>0.298591549295775</v>
      </c>
      <c r="K855" s="32" t="str">
        <f aca="false">IF(I855&lt;=$E$4,"A",IF(I855&lt;=$E$5,"B","C"))</f>
        <v>B</v>
      </c>
    </row>
    <row r="856" customFormat="false" ht="15" hidden="false" customHeight="false" outlineLevel="0" collapsed="false">
      <c r="A856" s="32" t="n">
        <v>849</v>
      </c>
      <c r="B856" s="33" t="n">
        <v>429120</v>
      </c>
      <c r="C856" s="34" t="s">
        <v>1781</v>
      </c>
      <c r="D856" s="34" t="s">
        <v>1782</v>
      </c>
      <c r="E856" s="34" t="s">
        <v>133</v>
      </c>
      <c r="F856" s="32" t="n">
        <f aca="false">COUNTIF(Base!$D$2:$D$2878,B856)</f>
        <v>1</v>
      </c>
      <c r="G856" s="35" t="n">
        <f aca="false">SUMIF(Base!$D$2:$D$2878,B856,Base!$I$2:$I$2878)</f>
        <v>1584</v>
      </c>
      <c r="H856" s="36" t="n">
        <f aca="false">IF($G$2849=0,0,G856/$G$2849)</f>
        <v>0.000103945606498762</v>
      </c>
      <c r="I856" s="37" t="n">
        <f aca="false">I855+H856</f>
        <v>0.948452916415968</v>
      </c>
      <c r="J856" s="37" t="n">
        <f aca="false">A856/2840</f>
        <v>0.298943661971831</v>
      </c>
      <c r="K856" s="32" t="str">
        <f aca="false">IF(I856&lt;=$E$4,"A",IF(I856&lt;=$E$5,"B","C"))</f>
        <v>B</v>
      </c>
    </row>
    <row r="857" customFormat="false" ht="15" hidden="false" customHeight="false" outlineLevel="0" collapsed="false">
      <c r="A857" s="32" t="n">
        <v>850</v>
      </c>
      <c r="B857" s="33" t="n">
        <v>1387467</v>
      </c>
      <c r="C857" s="34" t="s">
        <v>1783</v>
      </c>
      <c r="D857" s="34" t="s">
        <v>1784</v>
      </c>
      <c r="E857" s="34" t="s">
        <v>100</v>
      </c>
      <c r="F857" s="32" t="n">
        <f aca="false">COUNTIF(Base!$D$2:$D$2878,B857)</f>
        <v>1</v>
      </c>
      <c r="G857" s="35" t="n">
        <f aca="false">SUMIF(Base!$D$2:$D$2878,B857,Base!$I$2:$I$2878)</f>
        <v>1578.48</v>
      </c>
      <c r="H857" s="36" t="n">
        <f aca="false">IF($G$2849=0,0,G857/$G$2849)</f>
        <v>0.000103583371809448</v>
      </c>
      <c r="I857" s="37" t="n">
        <f aca="false">I856+H857</f>
        <v>0.948556499787777</v>
      </c>
      <c r="J857" s="37" t="n">
        <f aca="false">A857/2840</f>
        <v>0.299295774647887</v>
      </c>
      <c r="K857" s="32" t="str">
        <f aca="false">IF(I857&lt;=$E$4,"A",IF(I857&lt;=$E$5,"B","C"))</f>
        <v>B</v>
      </c>
    </row>
    <row r="858" customFormat="false" ht="15" hidden="false" customHeight="false" outlineLevel="0" collapsed="false">
      <c r="A858" s="32" t="n">
        <v>851</v>
      </c>
      <c r="B858" s="33" t="n">
        <v>1607239</v>
      </c>
      <c r="C858" s="34" t="s">
        <v>1785</v>
      </c>
      <c r="D858" s="34" t="s">
        <v>1786</v>
      </c>
      <c r="E858" s="34" t="s">
        <v>130</v>
      </c>
      <c r="F858" s="32" t="n">
        <f aca="false">COUNTIF(Base!$D$2:$D$2878,B858)</f>
        <v>1</v>
      </c>
      <c r="G858" s="35" t="n">
        <f aca="false">SUMIF(Base!$D$2:$D$2878,B858,Base!$I$2:$I$2878)</f>
        <v>1573.79</v>
      </c>
      <c r="H858" s="36" t="n">
        <f aca="false">IF($G$2849=0,0,G858/$G$2849)</f>
        <v>0.000103275603567984</v>
      </c>
      <c r="I858" s="37" t="n">
        <f aca="false">I857+H858</f>
        <v>0.948659775391345</v>
      </c>
      <c r="J858" s="37" t="n">
        <f aca="false">A858/2840</f>
        <v>0.299647887323944</v>
      </c>
      <c r="K858" s="32" t="str">
        <f aca="false">IF(I858&lt;=$E$4,"A",IF(I858&lt;=$E$5,"B","C"))</f>
        <v>B</v>
      </c>
    </row>
    <row r="859" customFormat="false" ht="15" hidden="false" customHeight="false" outlineLevel="0" collapsed="false">
      <c r="A859" s="32" t="n">
        <v>852</v>
      </c>
      <c r="B859" s="33" t="n">
        <v>1465406</v>
      </c>
      <c r="C859" s="34" t="s">
        <v>1787</v>
      </c>
      <c r="D859" s="34" t="s">
        <v>1788</v>
      </c>
      <c r="E859" s="34" t="s">
        <v>1789</v>
      </c>
      <c r="F859" s="32" t="n">
        <f aca="false">COUNTIF(Base!$D$2:$D$2878,B859)</f>
        <v>1</v>
      </c>
      <c r="G859" s="35" t="n">
        <f aca="false">SUMIF(Base!$D$2:$D$2878,B859,Base!$I$2:$I$2878)</f>
        <v>1568</v>
      </c>
      <c r="H859" s="36" t="n">
        <f aca="false">IF($G$2849=0,0,G859/$G$2849)</f>
        <v>0.000102895650877562</v>
      </c>
      <c r="I859" s="37" t="n">
        <f aca="false">I858+H859</f>
        <v>0.948762671042223</v>
      </c>
      <c r="J859" s="37" t="n">
        <f aca="false">A859/2840</f>
        <v>0.3</v>
      </c>
      <c r="K859" s="32" t="str">
        <f aca="false">IF(I859&lt;=$E$4,"A",IF(I859&lt;=$E$5,"B","C"))</f>
        <v>B</v>
      </c>
    </row>
    <row r="860" customFormat="false" ht="15" hidden="false" customHeight="false" outlineLevel="0" collapsed="false">
      <c r="A860" s="32" t="n">
        <v>853</v>
      </c>
      <c r="B860" s="33" t="n">
        <v>831928</v>
      </c>
      <c r="C860" s="34" t="s">
        <v>1790</v>
      </c>
      <c r="D860" s="34" t="s">
        <v>1791</v>
      </c>
      <c r="E860" s="34" t="s">
        <v>247</v>
      </c>
      <c r="F860" s="32" t="n">
        <f aca="false">COUNTIF(Base!$D$2:$D$2878,B860)</f>
        <v>1</v>
      </c>
      <c r="G860" s="35" t="n">
        <f aca="false">SUMIF(Base!$D$2:$D$2878,B860,Base!$I$2:$I$2878)</f>
        <v>1562.96</v>
      </c>
      <c r="H860" s="36" t="n">
        <f aca="false">IF($G$2849=0,0,G860/$G$2849)</f>
        <v>0.000102564914856885</v>
      </c>
      <c r="I860" s="37" t="n">
        <f aca="false">I859+H860</f>
        <v>0.94886523595708</v>
      </c>
      <c r="J860" s="37" t="n">
        <f aca="false">A860/2840</f>
        <v>0.300352112676056</v>
      </c>
      <c r="K860" s="32" t="str">
        <f aca="false">IF(I860&lt;=$E$4,"A",IF(I860&lt;=$E$5,"B","C"))</f>
        <v>B</v>
      </c>
    </row>
    <row r="861" customFormat="false" ht="15" hidden="false" customHeight="false" outlineLevel="0" collapsed="false">
      <c r="A861" s="32" t="n">
        <v>854</v>
      </c>
      <c r="B861" s="33" t="n">
        <v>1383856</v>
      </c>
      <c r="C861" s="34" t="s">
        <v>1792</v>
      </c>
      <c r="D861" s="34" t="s">
        <v>1793</v>
      </c>
      <c r="E861" s="34" t="s">
        <v>100</v>
      </c>
      <c r="F861" s="32" t="n">
        <f aca="false">COUNTIF(Base!$D$2:$D$2878,B861)</f>
        <v>1</v>
      </c>
      <c r="G861" s="35" t="n">
        <f aca="false">SUMIF(Base!$D$2:$D$2878,B861,Base!$I$2:$I$2878)</f>
        <v>1562.94</v>
      </c>
      <c r="H861" s="36" t="n">
        <f aca="false">IF($G$2849=0,0,G861/$G$2849)</f>
        <v>0.000102563602412358</v>
      </c>
      <c r="I861" s="37" t="n">
        <f aca="false">I860+H861</f>
        <v>0.948967799559492</v>
      </c>
      <c r="J861" s="37" t="n">
        <f aca="false">A861/2840</f>
        <v>0.300704225352113</v>
      </c>
      <c r="K861" s="32" t="str">
        <f aca="false">IF(I861&lt;=$E$4,"A",IF(I861&lt;=$E$5,"B","C"))</f>
        <v>B</v>
      </c>
    </row>
    <row r="862" customFormat="false" ht="15" hidden="false" customHeight="false" outlineLevel="0" collapsed="false">
      <c r="A862" s="32" t="n">
        <v>855</v>
      </c>
      <c r="B862" s="33" t="n">
        <v>10375</v>
      </c>
      <c r="C862" s="34" t="s">
        <v>1794</v>
      </c>
      <c r="D862" s="34" t="s">
        <v>1795</v>
      </c>
      <c r="E862" s="34" t="s">
        <v>133</v>
      </c>
      <c r="F862" s="32" t="n">
        <f aca="false">COUNTIF(Base!$D$2:$D$2878,B862)</f>
        <v>1</v>
      </c>
      <c r="G862" s="35" t="n">
        <f aca="false">SUMIF(Base!$D$2:$D$2878,B862,Base!$I$2:$I$2878)</f>
        <v>1562.12</v>
      </c>
      <c r="H862" s="36" t="n">
        <f aca="false">IF($G$2849=0,0,G862/$G$2849)</f>
        <v>0.000102509792186772</v>
      </c>
      <c r="I862" s="37" t="n">
        <f aca="false">I861+H862</f>
        <v>0.949070309351679</v>
      </c>
      <c r="J862" s="37" t="n">
        <f aca="false">A862/2840</f>
        <v>0.301056338028169</v>
      </c>
      <c r="K862" s="32" t="str">
        <f aca="false">IF(I862&lt;=$E$4,"A",IF(I862&lt;=$E$5,"B","C"))</f>
        <v>B</v>
      </c>
    </row>
    <row r="863" customFormat="false" ht="15" hidden="false" customHeight="false" outlineLevel="0" collapsed="false">
      <c r="A863" s="32" t="n">
        <v>856</v>
      </c>
      <c r="B863" s="33" t="n">
        <v>22355</v>
      </c>
      <c r="C863" s="34" t="s">
        <v>1796</v>
      </c>
      <c r="D863" s="34" t="s">
        <v>1797</v>
      </c>
      <c r="E863" s="34" t="s">
        <v>130</v>
      </c>
      <c r="F863" s="32" t="n">
        <f aca="false">COUNTIF(Base!$D$2:$D$2878,B863)</f>
        <v>1</v>
      </c>
      <c r="G863" s="35" t="n">
        <f aca="false">SUMIF(Base!$D$2:$D$2878,B863,Base!$I$2:$I$2878)</f>
        <v>1560</v>
      </c>
      <c r="H863" s="36" t="n">
        <f aca="false">IF($G$2849=0,0,G863/$G$2849)</f>
        <v>0.000102370673066963</v>
      </c>
      <c r="I863" s="37" t="n">
        <f aca="false">I862+H863</f>
        <v>0.949172680024746</v>
      </c>
      <c r="J863" s="37" t="n">
        <f aca="false">A863/2840</f>
        <v>0.301408450704225</v>
      </c>
      <c r="K863" s="32" t="str">
        <f aca="false">IF(I863&lt;=$E$4,"A",IF(I863&lt;=$E$5,"B","C"))</f>
        <v>B</v>
      </c>
    </row>
    <row r="864" customFormat="false" ht="15" hidden="false" customHeight="false" outlineLevel="0" collapsed="false">
      <c r="A864" s="32" t="n">
        <v>857</v>
      </c>
      <c r="B864" s="33" t="n">
        <v>32282</v>
      </c>
      <c r="C864" s="34" t="s">
        <v>1798</v>
      </c>
      <c r="D864" s="34" t="s">
        <v>1799</v>
      </c>
      <c r="E864" s="34" t="s">
        <v>130</v>
      </c>
      <c r="F864" s="32" t="n">
        <f aca="false">COUNTIF(Base!$D$2:$D$2878,B864)</f>
        <v>1</v>
      </c>
      <c r="G864" s="35" t="n">
        <f aca="false">SUMIF(Base!$D$2:$D$2878,B864,Base!$I$2:$I$2878)</f>
        <v>1560</v>
      </c>
      <c r="H864" s="36" t="n">
        <f aca="false">IF($G$2849=0,0,G864/$G$2849)</f>
        <v>0.000102370673066963</v>
      </c>
      <c r="I864" s="37" t="n">
        <f aca="false">I863+H864</f>
        <v>0.949275050697813</v>
      </c>
      <c r="J864" s="37" t="n">
        <f aca="false">A864/2840</f>
        <v>0.301760563380282</v>
      </c>
      <c r="K864" s="32" t="str">
        <f aca="false">IF(I864&lt;=$E$4,"A",IF(I864&lt;=$E$5,"B","C"))</f>
        <v>B</v>
      </c>
    </row>
    <row r="865" customFormat="false" ht="15" hidden="false" customHeight="false" outlineLevel="0" collapsed="false">
      <c r="A865" s="32" t="n">
        <v>858</v>
      </c>
      <c r="B865" s="33" t="n">
        <v>1317604</v>
      </c>
      <c r="C865" s="34" t="s">
        <v>1800</v>
      </c>
      <c r="D865" s="34" t="s">
        <v>1801</v>
      </c>
      <c r="E865" s="34" t="s">
        <v>54</v>
      </c>
      <c r="F865" s="32" t="n">
        <f aca="false">COUNTIF(Base!$D$2:$D$2878,B865)</f>
        <v>1</v>
      </c>
      <c r="G865" s="35" t="n">
        <f aca="false">SUMIF(Base!$D$2:$D$2878,B865,Base!$I$2:$I$2878)</f>
        <v>1560</v>
      </c>
      <c r="H865" s="36" t="n">
        <f aca="false">IF($G$2849=0,0,G865/$G$2849)</f>
        <v>0.000102370673066963</v>
      </c>
      <c r="I865" s="37" t="n">
        <f aca="false">I864+H865</f>
        <v>0.94937742137088</v>
      </c>
      <c r="J865" s="37" t="n">
        <f aca="false">A865/2840</f>
        <v>0.302112676056338</v>
      </c>
      <c r="K865" s="32" t="str">
        <f aca="false">IF(I865&lt;=$E$4,"A",IF(I865&lt;=$E$5,"B","C"))</f>
        <v>B</v>
      </c>
    </row>
    <row r="866" customFormat="false" ht="15" hidden="false" customHeight="false" outlineLevel="0" collapsed="false">
      <c r="A866" s="32" t="n">
        <v>859</v>
      </c>
      <c r="B866" s="33" t="n">
        <v>1326659</v>
      </c>
      <c r="C866" s="34" t="s">
        <v>1802</v>
      </c>
      <c r="D866" s="34" t="s">
        <v>1803</v>
      </c>
      <c r="E866" s="34" t="s">
        <v>38</v>
      </c>
      <c r="F866" s="32" t="n">
        <f aca="false">COUNTIF(Base!$D$2:$D$2878,B866)</f>
        <v>1</v>
      </c>
      <c r="G866" s="35" t="n">
        <f aca="false">SUMIF(Base!$D$2:$D$2878,B866,Base!$I$2:$I$2878)</f>
        <v>1557.21</v>
      </c>
      <c r="H866" s="36" t="n">
        <f aca="false">IF($G$2849=0,0,G866/$G$2849)</f>
        <v>0.000102187587055516</v>
      </c>
      <c r="I866" s="37" t="n">
        <f aca="false">I865+H866</f>
        <v>0.949479608957935</v>
      </c>
      <c r="J866" s="37" t="n">
        <f aca="false">A866/2840</f>
        <v>0.302464788732394</v>
      </c>
      <c r="K866" s="32" t="str">
        <f aca="false">IF(I866&lt;=$E$4,"A",IF(I866&lt;=$E$5,"B","C"))</f>
        <v>B</v>
      </c>
    </row>
    <row r="867" customFormat="false" ht="15" hidden="false" customHeight="false" outlineLevel="0" collapsed="false">
      <c r="A867" s="32" t="n">
        <v>860</v>
      </c>
      <c r="B867" s="33" t="n">
        <v>1605940</v>
      </c>
      <c r="C867" s="34" t="s">
        <v>1804</v>
      </c>
      <c r="D867" s="34" t="s">
        <v>1805</v>
      </c>
      <c r="E867" s="34" t="s">
        <v>38</v>
      </c>
      <c r="F867" s="32" t="n">
        <f aca="false">COUNTIF(Base!$D$2:$D$2878,B867)</f>
        <v>1</v>
      </c>
      <c r="G867" s="35" t="n">
        <f aca="false">SUMIF(Base!$D$2:$D$2878,B867,Base!$I$2:$I$2878)</f>
        <v>1557.18</v>
      </c>
      <c r="H867" s="36" t="n">
        <f aca="false">IF($G$2849=0,0,G867/$G$2849)</f>
        <v>0.000102185618388726</v>
      </c>
      <c r="I867" s="37" t="n">
        <f aca="false">I866+H867</f>
        <v>0.949581794576324</v>
      </c>
      <c r="J867" s="37" t="n">
        <f aca="false">A867/2840</f>
        <v>0.302816901408451</v>
      </c>
      <c r="K867" s="32" t="str">
        <f aca="false">IF(I867&lt;=$E$4,"A",IF(I867&lt;=$E$5,"B","C"))</f>
        <v>B</v>
      </c>
    </row>
    <row r="868" customFormat="false" ht="15" hidden="false" customHeight="false" outlineLevel="0" collapsed="false">
      <c r="A868" s="32" t="n">
        <v>861</v>
      </c>
      <c r="B868" s="33" t="n">
        <v>555501</v>
      </c>
      <c r="C868" s="34" t="s">
        <v>1806</v>
      </c>
      <c r="D868" s="34" t="s">
        <v>1807</v>
      </c>
      <c r="E868" s="34" t="s">
        <v>130</v>
      </c>
      <c r="F868" s="32" t="n">
        <f aca="false">COUNTIF(Base!$D$2:$D$2878,B868)</f>
        <v>1</v>
      </c>
      <c r="G868" s="35" t="n">
        <f aca="false">SUMIF(Base!$D$2:$D$2878,B868,Base!$I$2:$I$2878)</f>
        <v>1554.17</v>
      </c>
      <c r="H868" s="36" t="n">
        <f aca="false">IF($G$2849=0,0,G868/$G$2849)</f>
        <v>0.000101988095487488</v>
      </c>
      <c r="I868" s="37" t="n">
        <f aca="false">I867+H868</f>
        <v>0.949683782671811</v>
      </c>
      <c r="J868" s="37" t="n">
        <f aca="false">A868/2840</f>
        <v>0.303169014084507</v>
      </c>
      <c r="K868" s="32" t="str">
        <f aca="false">IF(I868&lt;=$E$4,"A",IF(I868&lt;=$E$5,"B","C"))</f>
        <v>B</v>
      </c>
    </row>
    <row r="869" customFormat="false" ht="15" hidden="false" customHeight="false" outlineLevel="0" collapsed="false">
      <c r="A869" s="32" t="n">
        <v>862</v>
      </c>
      <c r="B869" s="33" t="n">
        <v>1113543</v>
      </c>
      <c r="C869" s="34" t="s">
        <v>1808</v>
      </c>
      <c r="D869" s="34" t="s">
        <v>1809</v>
      </c>
      <c r="E869" s="34" t="s">
        <v>63</v>
      </c>
      <c r="F869" s="32" t="n">
        <f aca="false">COUNTIF(Base!$D$2:$D$2878,B869)</f>
        <v>1</v>
      </c>
      <c r="G869" s="35" t="n">
        <f aca="false">SUMIF(Base!$D$2:$D$2878,B869,Base!$I$2:$I$2878)</f>
        <v>1553.38</v>
      </c>
      <c r="H869" s="36" t="n">
        <f aca="false">IF($G$2849=0,0,G869/$G$2849)</f>
        <v>0.000101936253928691</v>
      </c>
      <c r="I869" s="37" t="n">
        <f aca="false">I868+H869</f>
        <v>0.94978571892574</v>
      </c>
      <c r="J869" s="37" t="n">
        <f aca="false">A869/2840</f>
        <v>0.303521126760563</v>
      </c>
      <c r="K869" s="32" t="str">
        <f aca="false">IF(I869&lt;=$E$4,"A",IF(I869&lt;=$E$5,"B","C"))</f>
        <v>B</v>
      </c>
    </row>
    <row r="870" customFormat="false" ht="15" hidden="false" customHeight="false" outlineLevel="0" collapsed="false">
      <c r="A870" s="32" t="n">
        <v>863</v>
      </c>
      <c r="B870" s="33" t="n">
        <v>1674335</v>
      </c>
      <c r="C870" s="34" t="s">
        <v>1810</v>
      </c>
      <c r="D870" s="34" t="s">
        <v>1811</v>
      </c>
      <c r="E870" s="34" t="s">
        <v>480</v>
      </c>
      <c r="F870" s="32" t="n">
        <f aca="false">COUNTIF(Base!$D$2:$D$2878,B870)</f>
        <v>1</v>
      </c>
      <c r="G870" s="35" t="n">
        <f aca="false">SUMIF(Base!$D$2:$D$2878,B870,Base!$I$2:$I$2878)</f>
        <v>1540</v>
      </c>
      <c r="H870" s="36" t="n">
        <f aca="false">IF($G$2849=0,0,G870/$G$2849)</f>
        <v>0.000101058228540463</v>
      </c>
      <c r="I870" s="37" t="n">
        <f aca="false">I869+H870</f>
        <v>0.949886777154281</v>
      </c>
      <c r="J870" s="37" t="n">
        <f aca="false">A870/2840</f>
        <v>0.30387323943662</v>
      </c>
      <c r="K870" s="32" t="str">
        <f aca="false">IF(I870&lt;=$E$4,"A",IF(I870&lt;=$E$5,"B","C"))</f>
        <v>B</v>
      </c>
    </row>
    <row r="871" customFormat="false" ht="15" hidden="false" customHeight="false" outlineLevel="0" collapsed="false">
      <c r="A871" s="32" t="n">
        <v>864</v>
      </c>
      <c r="B871" s="33" t="n">
        <v>17885</v>
      </c>
      <c r="C871" s="34" t="s">
        <v>1812</v>
      </c>
      <c r="D871" s="34" t="s">
        <v>1813</v>
      </c>
      <c r="E871" s="34" t="s">
        <v>835</v>
      </c>
      <c r="F871" s="32" t="n">
        <f aca="false">COUNTIF(Base!$D$2:$D$2878,B871)</f>
        <v>2</v>
      </c>
      <c r="G871" s="35" t="n">
        <f aca="false">SUMIF(Base!$D$2:$D$2878,B871,Base!$I$2:$I$2878)</f>
        <v>1538</v>
      </c>
      <c r="H871" s="36" t="n">
        <f aca="false">IF($G$2849=0,0,G871/$G$2849)</f>
        <v>0.000100926984087813</v>
      </c>
      <c r="I871" s="37" t="n">
        <f aca="false">I870+H871</f>
        <v>0.949987704138368</v>
      </c>
      <c r="J871" s="37" t="n">
        <f aca="false">A871/2840</f>
        <v>0.304225352112676</v>
      </c>
      <c r="K871" s="32" t="str">
        <f aca="false">IF(I871&lt;=$E$4,"A",IF(I871&lt;=$E$5,"B","C"))</f>
        <v>B</v>
      </c>
    </row>
    <row r="872" customFormat="false" ht="15" hidden="false" customHeight="false" outlineLevel="0" collapsed="false">
      <c r="A872" s="32" t="n">
        <v>865</v>
      </c>
      <c r="B872" s="33" t="n">
        <v>23813</v>
      </c>
      <c r="C872" s="34" t="s">
        <v>1814</v>
      </c>
      <c r="D872" s="34" t="s">
        <v>1815</v>
      </c>
      <c r="E872" s="34" t="s">
        <v>247</v>
      </c>
      <c r="F872" s="32" t="n">
        <f aca="false">COUNTIF(Base!$D$2:$D$2878,B872)</f>
        <v>1</v>
      </c>
      <c r="G872" s="35" t="n">
        <f aca="false">SUMIF(Base!$D$2:$D$2878,B872,Base!$I$2:$I$2878)</f>
        <v>1535</v>
      </c>
      <c r="H872" s="36" t="n">
        <f aca="false">IF($G$2849=0,0,G872/$G$2849)</f>
        <v>0.000100730117408838</v>
      </c>
      <c r="I872" s="37" t="n">
        <f aca="false">I871+H872</f>
        <v>0.950088434255777</v>
      </c>
      <c r="J872" s="37" t="n">
        <f aca="false">A872/2840</f>
        <v>0.304577464788732</v>
      </c>
      <c r="K872" s="32" t="str">
        <f aca="false">IF(I872&lt;=$E$4,"A",IF(I872&lt;=$E$5,"B","C"))</f>
        <v>C</v>
      </c>
    </row>
    <row r="873" customFormat="false" ht="15" hidden="false" customHeight="false" outlineLevel="0" collapsed="false">
      <c r="A873" s="32" t="n">
        <v>866</v>
      </c>
      <c r="B873" s="33" t="n">
        <v>1384964</v>
      </c>
      <c r="C873" s="34" t="s">
        <v>1816</v>
      </c>
      <c r="D873" s="34" t="s">
        <v>1817</v>
      </c>
      <c r="E873" s="34" t="s">
        <v>38</v>
      </c>
      <c r="F873" s="32" t="n">
        <f aca="false">COUNTIF(Base!$D$2:$D$2878,B873)</f>
        <v>1</v>
      </c>
      <c r="G873" s="35" t="n">
        <f aca="false">SUMIF(Base!$D$2:$D$2878,B873,Base!$I$2:$I$2878)</f>
        <v>1532.4</v>
      </c>
      <c r="H873" s="36" t="n">
        <f aca="false">IF($G$2849=0,0,G873/$G$2849)</f>
        <v>0.000100559499620393</v>
      </c>
      <c r="I873" s="37" t="n">
        <f aca="false">I872+H873</f>
        <v>0.950188993755398</v>
      </c>
      <c r="J873" s="37" t="n">
        <f aca="false">A873/2840</f>
        <v>0.304929577464789</v>
      </c>
      <c r="K873" s="32" t="str">
        <f aca="false">IF(I873&lt;=$E$4,"A",IF(I873&lt;=$E$5,"B","C"))</f>
        <v>C</v>
      </c>
    </row>
    <row r="874" customFormat="false" ht="15" hidden="false" customHeight="false" outlineLevel="0" collapsed="false">
      <c r="A874" s="32" t="n">
        <v>867</v>
      </c>
      <c r="B874" s="33" t="n">
        <v>648168</v>
      </c>
      <c r="C874" s="34" t="s">
        <v>1818</v>
      </c>
      <c r="D874" s="34" t="s">
        <v>1819</v>
      </c>
      <c r="E874" s="34" t="s">
        <v>363</v>
      </c>
      <c r="F874" s="32" t="n">
        <f aca="false">COUNTIF(Base!$D$2:$D$2878,B874)</f>
        <v>1</v>
      </c>
      <c r="G874" s="35" t="n">
        <f aca="false">SUMIF(Base!$D$2:$D$2878,B874,Base!$I$2:$I$2878)</f>
        <v>1528.8</v>
      </c>
      <c r="H874" s="36" t="n">
        <f aca="false">IF($G$2849=0,0,G874/$G$2849)</f>
        <v>0.000100323259605623</v>
      </c>
      <c r="I874" s="37" t="n">
        <f aca="false">I873+H874</f>
        <v>0.950289317015003</v>
      </c>
      <c r="J874" s="37" t="n">
        <f aca="false">A874/2840</f>
        <v>0.305281690140845</v>
      </c>
      <c r="K874" s="32" t="str">
        <f aca="false">IF(I874&lt;=$E$4,"A",IF(I874&lt;=$E$5,"B","C"))</f>
        <v>C</v>
      </c>
    </row>
    <row r="875" customFormat="false" ht="15" hidden="false" customHeight="false" outlineLevel="0" collapsed="false">
      <c r="A875" s="32" t="n">
        <v>868</v>
      </c>
      <c r="B875" s="33" t="n">
        <v>957747</v>
      </c>
      <c r="C875" s="34" t="s">
        <v>1820</v>
      </c>
      <c r="D875" s="34" t="s">
        <v>1821</v>
      </c>
      <c r="E875" s="34" t="s">
        <v>247</v>
      </c>
      <c r="F875" s="32" t="n">
        <f aca="false">COUNTIF(Base!$D$2:$D$2878,B875)</f>
        <v>1</v>
      </c>
      <c r="G875" s="35" t="n">
        <f aca="false">SUMIF(Base!$D$2:$D$2878,B875,Base!$I$2:$I$2878)</f>
        <v>1521</v>
      </c>
      <c r="H875" s="36" t="n">
        <f aca="false">IF($G$2849=0,0,G875/$G$2849)</f>
        <v>9.98114062402885E-005</v>
      </c>
      <c r="I875" s="37" t="n">
        <f aca="false">I874+H875</f>
        <v>0.950389128421244</v>
      </c>
      <c r="J875" s="37" t="n">
        <f aca="false">A875/2840</f>
        <v>0.305633802816901</v>
      </c>
      <c r="K875" s="32" t="str">
        <f aca="false">IF(I875&lt;=$E$4,"A",IF(I875&lt;=$E$5,"B","C"))</f>
        <v>C</v>
      </c>
    </row>
    <row r="876" customFormat="false" ht="15" hidden="false" customHeight="false" outlineLevel="0" collapsed="false">
      <c r="A876" s="32" t="n">
        <v>869</v>
      </c>
      <c r="B876" s="33" t="n">
        <v>59678</v>
      </c>
      <c r="C876" s="34" t="s">
        <v>1822</v>
      </c>
      <c r="D876" s="34" t="s">
        <v>1823</v>
      </c>
      <c r="E876" s="34" t="s">
        <v>363</v>
      </c>
      <c r="F876" s="32" t="n">
        <f aca="false">COUNTIF(Base!$D$2:$D$2878,B876)</f>
        <v>1</v>
      </c>
      <c r="G876" s="35" t="n">
        <f aca="false">SUMIF(Base!$D$2:$D$2878,B876,Base!$I$2:$I$2878)</f>
        <v>1520.48</v>
      </c>
      <c r="H876" s="36" t="n">
        <f aca="false">IF($G$2849=0,0,G876/$G$2849)</f>
        <v>9.97772826825995E-005</v>
      </c>
      <c r="I876" s="37" t="n">
        <f aca="false">I875+H876</f>
        <v>0.950488905703926</v>
      </c>
      <c r="J876" s="37" t="n">
        <f aca="false">A876/2840</f>
        <v>0.305985915492958</v>
      </c>
      <c r="K876" s="32" t="str">
        <f aca="false">IF(I876&lt;=$E$4,"A",IF(I876&lt;=$E$5,"B","C"))</f>
        <v>C</v>
      </c>
    </row>
    <row r="877" customFormat="false" ht="15" hidden="false" customHeight="false" outlineLevel="0" collapsed="false">
      <c r="A877" s="32" t="n">
        <v>870</v>
      </c>
      <c r="B877" s="33" t="n">
        <v>18823</v>
      </c>
      <c r="C877" s="34" t="s">
        <v>1824</v>
      </c>
      <c r="D877" s="34" t="s">
        <v>1825</v>
      </c>
      <c r="E877" s="34" t="s">
        <v>247</v>
      </c>
      <c r="F877" s="32" t="n">
        <f aca="false">COUNTIF(Base!$D$2:$D$2878,B877)</f>
        <v>1</v>
      </c>
      <c r="G877" s="35" t="n">
        <f aca="false">SUMIF(Base!$D$2:$D$2878,B877,Base!$I$2:$I$2878)</f>
        <v>1519.7</v>
      </c>
      <c r="H877" s="36" t="n">
        <f aca="false">IF($G$2849=0,0,G877/$G$2849)</f>
        <v>9.97260973460661E-005</v>
      </c>
      <c r="I877" s="37" t="n">
        <f aca="false">I876+H877</f>
        <v>0.950588631801272</v>
      </c>
      <c r="J877" s="37" t="n">
        <f aca="false">A877/2840</f>
        <v>0.306338028169014</v>
      </c>
      <c r="K877" s="32" t="str">
        <f aca="false">IF(I877&lt;=$E$4,"A",IF(I877&lt;=$E$5,"B","C"))</f>
        <v>C</v>
      </c>
    </row>
    <row r="878" customFormat="false" ht="15" hidden="false" customHeight="false" outlineLevel="0" collapsed="false">
      <c r="A878" s="32" t="n">
        <v>871</v>
      </c>
      <c r="B878" s="33" t="n">
        <v>287820</v>
      </c>
      <c r="C878" s="34" t="s">
        <v>1826</v>
      </c>
      <c r="D878" s="34" t="s">
        <v>1827</v>
      </c>
      <c r="E878" s="34" t="s">
        <v>100</v>
      </c>
      <c r="F878" s="32" t="n">
        <f aca="false">COUNTIF(Base!$D$2:$D$2878,B878)</f>
        <v>1</v>
      </c>
      <c r="G878" s="35" t="n">
        <f aca="false">SUMIF(Base!$D$2:$D$2878,B878,Base!$I$2:$I$2878)</f>
        <v>1518.2</v>
      </c>
      <c r="H878" s="36" t="n">
        <f aca="false">IF($G$2849=0,0,G878/$G$2849)</f>
        <v>9.96276640065786E-005</v>
      </c>
      <c r="I878" s="37" t="n">
        <f aca="false">I877+H878</f>
        <v>0.950688259465279</v>
      </c>
      <c r="J878" s="37" t="n">
        <f aca="false">A878/2840</f>
        <v>0.30669014084507</v>
      </c>
      <c r="K878" s="32" t="str">
        <f aca="false">IF(I878&lt;=$E$4,"A",IF(I878&lt;=$E$5,"B","C"))</f>
        <v>C</v>
      </c>
    </row>
    <row r="879" customFormat="false" ht="15" hidden="false" customHeight="false" outlineLevel="0" collapsed="false">
      <c r="A879" s="32" t="n">
        <v>872</v>
      </c>
      <c r="B879" s="33" t="n">
        <v>1474895</v>
      </c>
      <c r="C879" s="34" t="s">
        <v>1828</v>
      </c>
      <c r="D879" s="34" t="s">
        <v>1829</v>
      </c>
      <c r="E879" s="34" t="s">
        <v>38</v>
      </c>
      <c r="F879" s="32" t="n">
        <f aca="false">COUNTIF(Base!$D$2:$D$2878,B879)</f>
        <v>1</v>
      </c>
      <c r="G879" s="35" t="n">
        <f aca="false">SUMIF(Base!$D$2:$D$2878,B879,Base!$I$2:$I$2878)</f>
        <v>1508.16</v>
      </c>
      <c r="H879" s="36" t="n">
        <f aca="false">IF($G$2849=0,0,G879/$G$2849)</f>
        <v>9.89688168542758E-005</v>
      </c>
      <c r="I879" s="37" t="n">
        <f aca="false">I878+H879</f>
        <v>0.950787228282133</v>
      </c>
      <c r="J879" s="37" t="n">
        <f aca="false">A879/2840</f>
        <v>0.307042253521127</v>
      </c>
      <c r="K879" s="32" t="str">
        <f aca="false">IF(I879&lt;=$E$4,"A",IF(I879&lt;=$E$5,"B","C"))</f>
        <v>C</v>
      </c>
    </row>
    <row r="880" customFormat="false" ht="15" hidden="false" customHeight="false" outlineLevel="0" collapsed="false">
      <c r="A880" s="32" t="n">
        <v>873</v>
      </c>
      <c r="B880" s="33" t="n">
        <v>220929</v>
      </c>
      <c r="C880" s="34" t="s">
        <v>1830</v>
      </c>
      <c r="D880" s="34" t="s">
        <v>1831</v>
      </c>
      <c r="E880" s="34" t="s">
        <v>38</v>
      </c>
      <c r="F880" s="32" t="n">
        <f aca="false">COUNTIF(Base!$D$2:$D$2878,B880)</f>
        <v>1</v>
      </c>
      <c r="G880" s="35" t="n">
        <f aca="false">SUMIF(Base!$D$2:$D$2878,B880,Base!$I$2:$I$2878)</f>
        <v>1506</v>
      </c>
      <c r="H880" s="36" t="n">
        <f aca="false">IF($G$2849=0,0,G880/$G$2849)</f>
        <v>9.88270728454139E-005</v>
      </c>
      <c r="I880" s="37" t="n">
        <f aca="false">I879+H880</f>
        <v>0.950886055354978</v>
      </c>
      <c r="J880" s="37" t="n">
        <f aca="false">A880/2840</f>
        <v>0.307394366197183</v>
      </c>
      <c r="K880" s="32" t="str">
        <f aca="false">IF(I880&lt;=$E$4,"A",IF(I880&lt;=$E$5,"B","C"))</f>
        <v>C</v>
      </c>
    </row>
    <row r="881" customFormat="false" ht="15" hidden="false" customHeight="false" outlineLevel="0" collapsed="false">
      <c r="A881" s="32" t="n">
        <v>874</v>
      </c>
      <c r="B881" s="33" t="n">
        <v>1603990</v>
      </c>
      <c r="C881" s="34" t="s">
        <v>1832</v>
      </c>
      <c r="D881" s="34" t="s">
        <v>1833</v>
      </c>
      <c r="E881" s="34" t="s">
        <v>38</v>
      </c>
      <c r="F881" s="32" t="n">
        <f aca="false">COUNTIF(Base!$D$2:$D$2878,B881)</f>
        <v>1</v>
      </c>
      <c r="G881" s="35" t="n">
        <f aca="false">SUMIF(Base!$D$2:$D$2878,B881,Base!$I$2:$I$2878)</f>
        <v>1501.38</v>
      </c>
      <c r="H881" s="36" t="n">
        <f aca="false">IF($G$2849=0,0,G881/$G$2849)</f>
        <v>9.85238981597925E-005</v>
      </c>
      <c r="I881" s="37" t="n">
        <f aca="false">I880+H881</f>
        <v>0.950984579253138</v>
      </c>
      <c r="J881" s="37" t="n">
        <f aca="false">A881/2840</f>
        <v>0.307746478873239</v>
      </c>
      <c r="K881" s="32" t="str">
        <f aca="false">IF(I881&lt;=$E$4,"A",IF(I881&lt;=$E$5,"B","C"))</f>
        <v>C</v>
      </c>
    </row>
    <row r="882" customFormat="false" ht="15" hidden="false" customHeight="false" outlineLevel="0" collapsed="false">
      <c r="A882" s="32" t="n">
        <v>875</v>
      </c>
      <c r="B882" s="33" t="n">
        <v>647810</v>
      </c>
      <c r="C882" s="34" t="s">
        <v>1834</v>
      </c>
      <c r="D882" s="34" t="s">
        <v>1835</v>
      </c>
      <c r="E882" s="34" t="s">
        <v>262</v>
      </c>
      <c r="F882" s="32" t="n">
        <f aca="false">COUNTIF(Base!$D$2:$D$2878,B882)</f>
        <v>1</v>
      </c>
      <c r="G882" s="35" t="n">
        <f aca="false">SUMIF(Base!$D$2:$D$2878,B882,Base!$I$2:$I$2878)</f>
        <v>1500</v>
      </c>
      <c r="H882" s="36" t="n">
        <f aca="false">IF($G$2849=0,0,G882/$G$2849)</f>
        <v>9.8433339487464E-005</v>
      </c>
      <c r="I882" s="37" t="n">
        <f aca="false">I881+H882</f>
        <v>0.951083012592626</v>
      </c>
      <c r="J882" s="37" t="n">
        <f aca="false">A882/2840</f>
        <v>0.308098591549296</v>
      </c>
      <c r="K882" s="32" t="str">
        <f aca="false">IF(I882&lt;=$E$4,"A",IF(I882&lt;=$E$5,"B","C"))</f>
        <v>C</v>
      </c>
    </row>
    <row r="883" customFormat="false" ht="15" hidden="false" customHeight="false" outlineLevel="0" collapsed="false">
      <c r="A883" s="32" t="n">
        <v>876</v>
      </c>
      <c r="B883" s="33" t="n">
        <v>22769</v>
      </c>
      <c r="C883" s="34" t="s">
        <v>1836</v>
      </c>
      <c r="D883" s="34" t="s">
        <v>1837</v>
      </c>
      <c r="E883" s="34" t="s">
        <v>247</v>
      </c>
      <c r="F883" s="32" t="n">
        <f aca="false">COUNTIF(Base!$D$2:$D$2878,B883)</f>
        <v>1</v>
      </c>
      <c r="G883" s="35" t="n">
        <f aca="false">SUMIF(Base!$D$2:$D$2878,B883,Base!$I$2:$I$2878)</f>
        <v>1491</v>
      </c>
      <c r="H883" s="36" t="n">
        <f aca="false">IF($G$2849=0,0,G883/$G$2849)</f>
        <v>9.78427394505392E-005</v>
      </c>
      <c r="I883" s="37" t="n">
        <f aca="false">I882+H883</f>
        <v>0.951180855332076</v>
      </c>
      <c r="J883" s="37" t="n">
        <f aca="false">A883/2840</f>
        <v>0.308450704225352</v>
      </c>
      <c r="K883" s="32" t="str">
        <f aca="false">IF(I883&lt;=$E$4,"A",IF(I883&lt;=$E$5,"B","C"))</f>
        <v>C</v>
      </c>
    </row>
    <row r="884" customFormat="false" ht="15" hidden="false" customHeight="false" outlineLevel="0" collapsed="false">
      <c r="A884" s="32" t="n">
        <v>877</v>
      </c>
      <c r="B884" s="33" t="n">
        <v>12539</v>
      </c>
      <c r="C884" s="34" t="s">
        <v>1838</v>
      </c>
      <c r="D884" s="34" t="s">
        <v>1839</v>
      </c>
      <c r="E884" s="34" t="s">
        <v>38</v>
      </c>
      <c r="F884" s="32" t="n">
        <f aca="false">COUNTIF(Base!$D$2:$D$2878,B884)</f>
        <v>1</v>
      </c>
      <c r="G884" s="35" t="n">
        <f aca="false">SUMIF(Base!$D$2:$D$2878,B884,Base!$I$2:$I$2878)</f>
        <v>1479</v>
      </c>
      <c r="H884" s="36" t="n">
        <f aca="false">IF($G$2849=0,0,G884/$G$2849)</f>
        <v>9.70552727346395E-005</v>
      </c>
      <c r="I884" s="37" t="n">
        <f aca="false">I883+H884</f>
        <v>0.951277910604811</v>
      </c>
      <c r="J884" s="37" t="n">
        <f aca="false">A884/2840</f>
        <v>0.308802816901408</v>
      </c>
      <c r="K884" s="32" t="str">
        <f aca="false">IF(I884&lt;=$E$4,"A",IF(I884&lt;=$E$5,"B","C"))</f>
        <v>C</v>
      </c>
    </row>
    <row r="885" customFormat="false" ht="15" hidden="false" customHeight="false" outlineLevel="0" collapsed="false">
      <c r="A885" s="32" t="n">
        <v>878</v>
      </c>
      <c r="B885" s="33" t="n">
        <v>1465280</v>
      </c>
      <c r="C885" s="34" t="s">
        <v>1840</v>
      </c>
      <c r="D885" s="34" t="s">
        <v>1841</v>
      </c>
      <c r="E885" s="34" t="s">
        <v>100</v>
      </c>
      <c r="F885" s="32" t="n">
        <f aca="false">COUNTIF(Base!$D$2:$D$2878,B885)</f>
        <v>1</v>
      </c>
      <c r="G885" s="35" t="n">
        <f aca="false">SUMIF(Base!$D$2:$D$2878,B885,Base!$I$2:$I$2878)</f>
        <v>1475.2</v>
      </c>
      <c r="H885" s="36" t="n">
        <f aca="false">IF($G$2849=0,0,G885/$G$2849)</f>
        <v>9.68059082746046E-005</v>
      </c>
      <c r="I885" s="37" t="n">
        <f aca="false">I884+H885</f>
        <v>0.951374716513086</v>
      </c>
      <c r="J885" s="37" t="n">
        <f aca="false">A885/2840</f>
        <v>0.309154929577465</v>
      </c>
      <c r="K885" s="32" t="str">
        <f aca="false">IF(I885&lt;=$E$4,"A",IF(I885&lt;=$E$5,"B","C"))</f>
        <v>C</v>
      </c>
    </row>
    <row r="886" customFormat="false" ht="15" hidden="false" customHeight="false" outlineLevel="0" collapsed="false">
      <c r="A886" s="32" t="n">
        <v>879</v>
      </c>
      <c r="B886" s="33" t="n">
        <v>11277</v>
      </c>
      <c r="C886" s="34" t="s">
        <v>1842</v>
      </c>
      <c r="D886" s="34" t="s">
        <v>1843</v>
      </c>
      <c r="E886" s="34" t="s">
        <v>66</v>
      </c>
      <c r="F886" s="32" t="n">
        <f aca="false">COUNTIF(Base!$D$2:$D$2878,B886)</f>
        <v>1</v>
      </c>
      <c r="G886" s="35" t="n">
        <f aca="false">SUMIF(Base!$D$2:$D$2878,B886,Base!$I$2:$I$2878)</f>
        <v>1470</v>
      </c>
      <c r="H886" s="36" t="n">
        <f aca="false">IF($G$2849=0,0,G886/$G$2849)</f>
        <v>9.64646726977147E-005</v>
      </c>
      <c r="I886" s="37" t="n">
        <f aca="false">I885+H886</f>
        <v>0.951471181185783</v>
      </c>
      <c r="J886" s="37" t="n">
        <f aca="false">A886/2840</f>
        <v>0.309507042253521</v>
      </c>
      <c r="K886" s="32" t="str">
        <f aca="false">IF(I886&lt;=$E$4,"A",IF(I886&lt;=$E$5,"B","C"))</f>
        <v>C</v>
      </c>
    </row>
    <row r="887" customFormat="false" ht="15" hidden="false" customHeight="false" outlineLevel="0" collapsed="false">
      <c r="A887" s="32" t="n">
        <v>880</v>
      </c>
      <c r="B887" s="33" t="n">
        <v>57880</v>
      </c>
      <c r="C887" s="34" t="s">
        <v>1844</v>
      </c>
      <c r="D887" s="34" t="s">
        <v>1845</v>
      </c>
      <c r="E887" s="34" t="s">
        <v>130</v>
      </c>
      <c r="F887" s="32" t="n">
        <f aca="false">COUNTIF(Base!$D$2:$D$2878,B887)</f>
        <v>1</v>
      </c>
      <c r="G887" s="35" t="n">
        <f aca="false">SUMIF(Base!$D$2:$D$2878,B887,Base!$I$2:$I$2878)</f>
        <v>1469.76</v>
      </c>
      <c r="H887" s="36" t="n">
        <f aca="false">IF($G$2849=0,0,G887/$G$2849)</f>
        <v>9.64489233633968E-005</v>
      </c>
      <c r="I887" s="37" t="n">
        <f aca="false">I886+H887</f>
        <v>0.951567630109147</v>
      </c>
      <c r="J887" s="37" t="n">
        <f aca="false">A887/2840</f>
        <v>0.309859154929577</v>
      </c>
      <c r="K887" s="32" t="str">
        <f aca="false">IF(I887&lt;=$E$4,"A",IF(I887&lt;=$E$5,"B","C"))</f>
        <v>C</v>
      </c>
    </row>
    <row r="888" customFormat="false" ht="15" hidden="false" customHeight="false" outlineLevel="0" collapsed="false">
      <c r="A888" s="32" t="n">
        <v>881</v>
      </c>
      <c r="B888" s="33" t="n">
        <v>291686</v>
      </c>
      <c r="C888" s="34" t="s">
        <v>1846</v>
      </c>
      <c r="D888" s="34" t="s">
        <v>1847</v>
      </c>
      <c r="E888" s="34" t="s">
        <v>38</v>
      </c>
      <c r="F888" s="32" t="n">
        <f aca="false">COUNTIF(Base!$D$2:$D$2878,B888)</f>
        <v>1</v>
      </c>
      <c r="G888" s="35" t="n">
        <f aca="false">SUMIF(Base!$D$2:$D$2878,B888,Base!$I$2:$I$2878)</f>
        <v>1464.5</v>
      </c>
      <c r="H888" s="36" t="n">
        <f aca="false">IF($G$2849=0,0,G888/$G$2849)</f>
        <v>9.61037504529274E-005</v>
      </c>
      <c r="I888" s="37" t="n">
        <f aca="false">I887+H888</f>
        <v>0.9516637338596</v>
      </c>
      <c r="J888" s="37" t="n">
        <f aca="false">A888/2840</f>
        <v>0.310211267605634</v>
      </c>
      <c r="K888" s="32" t="str">
        <f aca="false">IF(I888&lt;=$E$4,"A",IF(I888&lt;=$E$5,"B","C"))</f>
        <v>C</v>
      </c>
    </row>
    <row r="889" customFormat="false" ht="15" hidden="false" customHeight="false" outlineLevel="0" collapsed="false">
      <c r="A889" s="32" t="n">
        <v>882</v>
      </c>
      <c r="B889" s="33" t="n">
        <v>1099788</v>
      </c>
      <c r="C889" s="34" t="s">
        <v>1848</v>
      </c>
      <c r="D889" s="34" t="s">
        <v>1849</v>
      </c>
      <c r="E889" s="34" t="s">
        <v>130</v>
      </c>
      <c r="F889" s="32" t="n">
        <f aca="false">COUNTIF(Base!$D$2:$D$2878,B889)</f>
        <v>1</v>
      </c>
      <c r="G889" s="35" t="n">
        <f aca="false">SUMIF(Base!$D$2:$D$2878,B889,Base!$I$2:$I$2878)</f>
        <v>1463.56</v>
      </c>
      <c r="H889" s="36" t="n">
        <f aca="false">IF($G$2849=0,0,G889/$G$2849)</f>
        <v>9.60420655601819E-005</v>
      </c>
      <c r="I889" s="37" t="n">
        <f aca="false">I888+H889</f>
        <v>0.95175977592516</v>
      </c>
      <c r="J889" s="37" t="n">
        <f aca="false">A889/2840</f>
        <v>0.31056338028169</v>
      </c>
      <c r="K889" s="32" t="str">
        <f aca="false">IF(I889&lt;=$E$4,"A",IF(I889&lt;=$E$5,"B","C"))</f>
        <v>C</v>
      </c>
    </row>
    <row r="890" customFormat="false" ht="15" hidden="false" customHeight="false" outlineLevel="0" collapsed="false">
      <c r="A890" s="32" t="n">
        <v>883</v>
      </c>
      <c r="B890" s="33" t="n">
        <v>609683</v>
      </c>
      <c r="C890" s="34" t="s">
        <v>1850</v>
      </c>
      <c r="D890" s="34" t="s">
        <v>1851</v>
      </c>
      <c r="E890" s="34" t="s">
        <v>130</v>
      </c>
      <c r="F890" s="32" t="n">
        <f aca="false">COUNTIF(Base!$D$2:$D$2878,B890)</f>
        <v>1</v>
      </c>
      <c r="G890" s="35" t="n">
        <f aca="false">SUMIF(Base!$D$2:$D$2878,B890,Base!$I$2:$I$2878)</f>
        <v>1463.45</v>
      </c>
      <c r="H890" s="36" t="n">
        <f aca="false">IF($G$2849=0,0,G890/$G$2849)</f>
        <v>9.60348471152862E-005</v>
      </c>
      <c r="I890" s="37" t="n">
        <f aca="false">I889+H890</f>
        <v>0.951855810772275</v>
      </c>
      <c r="J890" s="37" t="n">
        <f aca="false">A890/2840</f>
        <v>0.310915492957746</v>
      </c>
      <c r="K890" s="32" t="str">
        <f aca="false">IF(I890&lt;=$E$4,"A",IF(I890&lt;=$E$5,"B","C"))</f>
        <v>C</v>
      </c>
    </row>
    <row r="891" customFormat="false" ht="15" hidden="false" customHeight="false" outlineLevel="0" collapsed="false">
      <c r="A891" s="32" t="n">
        <v>884</v>
      </c>
      <c r="B891" s="33" t="n">
        <v>18835</v>
      </c>
      <c r="C891" s="34" t="s">
        <v>1852</v>
      </c>
      <c r="D891" s="34" t="s">
        <v>1853</v>
      </c>
      <c r="E891" s="34" t="s">
        <v>247</v>
      </c>
      <c r="F891" s="32" t="n">
        <f aca="false">COUNTIF(Base!$D$2:$D$2878,B891)</f>
        <v>1</v>
      </c>
      <c r="G891" s="35" t="n">
        <f aca="false">SUMIF(Base!$D$2:$D$2878,B891,Base!$I$2:$I$2878)</f>
        <v>1462.05</v>
      </c>
      <c r="H891" s="36" t="n">
        <f aca="false">IF($G$2849=0,0,G891/$G$2849)</f>
        <v>9.59429759984312E-005</v>
      </c>
      <c r="I891" s="37" t="n">
        <f aca="false">I890+H891</f>
        <v>0.951951753748273</v>
      </c>
      <c r="J891" s="37" t="n">
        <f aca="false">A891/2840</f>
        <v>0.311267605633803</v>
      </c>
      <c r="K891" s="32" t="str">
        <f aca="false">IF(I891&lt;=$E$4,"A",IF(I891&lt;=$E$5,"B","C"))</f>
        <v>C</v>
      </c>
    </row>
    <row r="892" customFormat="false" ht="15" hidden="false" customHeight="false" outlineLevel="0" collapsed="false">
      <c r="A892" s="32" t="n">
        <v>885</v>
      </c>
      <c r="B892" s="33" t="n">
        <v>23284</v>
      </c>
      <c r="C892" s="34" t="s">
        <v>1854</v>
      </c>
      <c r="D892" s="34" t="s">
        <v>1855</v>
      </c>
      <c r="E892" s="34" t="s">
        <v>360</v>
      </c>
      <c r="F892" s="32" t="n">
        <f aca="false">COUNTIF(Base!$D$2:$D$2878,B892)</f>
        <v>1</v>
      </c>
      <c r="G892" s="35" t="n">
        <f aca="false">SUMIF(Base!$D$2:$D$2878,B892,Base!$I$2:$I$2878)</f>
        <v>1450</v>
      </c>
      <c r="H892" s="36" t="n">
        <f aca="false">IF($G$2849=0,0,G892/$G$2849)</f>
        <v>9.51522281712152E-005</v>
      </c>
      <c r="I892" s="37" t="n">
        <f aca="false">I891+H892</f>
        <v>0.952046905976445</v>
      </c>
      <c r="J892" s="37" t="n">
        <f aca="false">A892/2840</f>
        <v>0.311619718309859</v>
      </c>
      <c r="K892" s="32" t="str">
        <f aca="false">IF(I892&lt;=$E$4,"A",IF(I892&lt;=$E$5,"B","C"))</f>
        <v>C</v>
      </c>
    </row>
    <row r="893" customFormat="false" ht="15" hidden="false" customHeight="false" outlineLevel="0" collapsed="false">
      <c r="A893" s="32" t="n">
        <v>886</v>
      </c>
      <c r="B893" s="33" t="n">
        <v>23285</v>
      </c>
      <c r="C893" s="34" t="s">
        <v>1856</v>
      </c>
      <c r="D893" s="34" t="s">
        <v>1857</v>
      </c>
      <c r="E893" s="34" t="s">
        <v>360</v>
      </c>
      <c r="F893" s="32" t="n">
        <f aca="false">COUNTIF(Base!$D$2:$D$2878,B893)</f>
        <v>1</v>
      </c>
      <c r="G893" s="35" t="n">
        <f aca="false">SUMIF(Base!$D$2:$D$2878,B893,Base!$I$2:$I$2878)</f>
        <v>1450</v>
      </c>
      <c r="H893" s="36" t="n">
        <f aca="false">IF($G$2849=0,0,G893/$G$2849)</f>
        <v>9.51522281712152E-005</v>
      </c>
      <c r="I893" s="37" t="n">
        <f aca="false">I892+H893</f>
        <v>0.952142058204616</v>
      </c>
      <c r="J893" s="37" t="n">
        <f aca="false">A893/2840</f>
        <v>0.311971830985915</v>
      </c>
      <c r="K893" s="32" t="str">
        <f aca="false">IF(I893&lt;=$E$4,"A",IF(I893&lt;=$E$5,"B","C"))</f>
        <v>C</v>
      </c>
    </row>
    <row r="894" customFormat="false" ht="15" hidden="false" customHeight="false" outlineLevel="0" collapsed="false">
      <c r="A894" s="32" t="n">
        <v>887</v>
      </c>
      <c r="B894" s="33" t="n">
        <v>53719</v>
      </c>
      <c r="C894" s="34" t="s">
        <v>1858</v>
      </c>
      <c r="D894" s="34" t="s">
        <v>1859</v>
      </c>
      <c r="E894" s="34" t="s">
        <v>35</v>
      </c>
      <c r="F894" s="32" t="n">
        <f aca="false">COUNTIF(Base!$D$2:$D$2878,B894)</f>
        <v>1</v>
      </c>
      <c r="G894" s="35" t="n">
        <f aca="false">SUMIF(Base!$D$2:$D$2878,B894,Base!$I$2:$I$2878)</f>
        <v>1450</v>
      </c>
      <c r="H894" s="36" t="n">
        <f aca="false">IF($G$2849=0,0,G894/$G$2849)</f>
        <v>9.51522281712152E-005</v>
      </c>
      <c r="I894" s="37" t="n">
        <f aca="false">I893+H894</f>
        <v>0.952237210432787</v>
      </c>
      <c r="J894" s="37" t="n">
        <f aca="false">A894/2840</f>
        <v>0.312323943661972</v>
      </c>
      <c r="K894" s="32" t="str">
        <f aca="false">IF(I894&lt;=$E$4,"A",IF(I894&lt;=$E$5,"B","C"))</f>
        <v>C</v>
      </c>
    </row>
    <row r="895" customFormat="false" ht="15" hidden="false" customHeight="false" outlineLevel="0" collapsed="false">
      <c r="A895" s="32" t="n">
        <v>888</v>
      </c>
      <c r="B895" s="33" t="n">
        <v>1461780</v>
      </c>
      <c r="C895" s="34" t="s">
        <v>1860</v>
      </c>
      <c r="D895" s="34" t="s">
        <v>1861</v>
      </c>
      <c r="E895" s="34" t="s">
        <v>167</v>
      </c>
      <c r="F895" s="32" t="n">
        <f aca="false">COUNTIF(Base!$D$2:$D$2878,B895)</f>
        <v>1</v>
      </c>
      <c r="G895" s="35" t="n">
        <f aca="false">SUMIF(Base!$D$2:$D$2878,B895,Base!$I$2:$I$2878)</f>
        <v>1449.19</v>
      </c>
      <c r="H895" s="36" t="n">
        <f aca="false">IF($G$2849=0,0,G895/$G$2849)</f>
        <v>9.5099074167892E-005</v>
      </c>
      <c r="I895" s="37" t="n">
        <f aca="false">I894+H895</f>
        <v>0.952332309506955</v>
      </c>
      <c r="J895" s="37" t="n">
        <f aca="false">A895/2840</f>
        <v>0.312676056338028</v>
      </c>
      <c r="K895" s="32" t="str">
        <f aca="false">IF(I895&lt;=$E$4,"A",IF(I895&lt;=$E$5,"B","C"))</f>
        <v>C</v>
      </c>
    </row>
    <row r="896" customFormat="false" ht="15" hidden="false" customHeight="false" outlineLevel="0" collapsed="false">
      <c r="A896" s="32" t="n">
        <v>889</v>
      </c>
      <c r="B896" s="33" t="n">
        <v>845619</v>
      </c>
      <c r="C896" s="34" t="s">
        <v>1862</v>
      </c>
      <c r="D896" s="34" t="s">
        <v>1863</v>
      </c>
      <c r="E896" s="34" t="s">
        <v>113</v>
      </c>
      <c r="F896" s="32" t="n">
        <f aca="false">COUNTIF(Base!$D$2:$D$2878,B896)</f>
        <v>1</v>
      </c>
      <c r="G896" s="35" t="n">
        <f aca="false">SUMIF(Base!$D$2:$D$2878,B896,Base!$I$2:$I$2878)</f>
        <v>1448</v>
      </c>
      <c r="H896" s="36" t="n">
        <f aca="false">IF($G$2849=0,0,G896/$G$2849)</f>
        <v>9.50209837185653E-005</v>
      </c>
      <c r="I896" s="37" t="n">
        <f aca="false">I895+H896</f>
        <v>0.952427330490674</v>
      </c>
      <c r="J896" s="37" t="n">
        <f aca="false">A896/2840</f>
        <v>0.313028169014085</v>
      </c>
      <c r="K896" s="32" t="str">
        <f aca="false">IF(I896&lt;=$E$4,"A",IF(I896&lt;=$E$5,"B","C"))</f>
        <v>C</v>
      </c>
    </row>
    <row r="897" customFormat="false" ht="15" hidden="false" customHeight="false" outlineLevel="0" collapsed="false">
      <c r="A897" s="32" t="n">
        <v>890</v>
      </c>
      <c r="B897" s="33" t="n">
        <v>875292</v>
      </c>
      <c r="C897" s="34" t="s">
        <v>1864</v>
      </c>
      <c r="D897" s="34" t="s">
        <v>1865</v>
      </c>
      <c r="E897" s="34" t="s">
        <v>1618</v>
      </c>
      <c r="F897" s="32" t="n">
        <f aca="false">COUNTIF(Base!$D$2:$D$2878,B897)</f>
        <v>1</v>
      </c>
      <c r="G897" s="35" t="n">
        <f aca="false">SUMIF(Base!$D$2:$D$2878,B897,Base!$I$2:$I$2878)</f>
        <v>1447</v>
      </c>
      <c r="H897" s="36" t="n">
        <f aca="false">IF($G$2849=0,0,G897/$G$2849)</f>
        <v>9.49553614922403E-005</v>
      </c>
      <c r="I897" s="37" t="n">
        <f aca="false">I896+H897</f>
        <v>0.952522285852166</v>
      </c>
      <c r="J897" s="37" t="n">
        <f aca="false">A897/2840</f>
        <v>0.313380281690141</v>
      </c>
      <c r="K897" s="32" t="str">
        <f aca="false">IF(I897&lt;=$E$4,"A",IF(I897&lt;=$E$5,"B","C"))</f>
        <v>C</v>
      </c>
    </row>
    <row r="898" customFormat="false" ht="15" hidden="false" customHeight="false" outlineLevel="0" collapsed="false">
      <c r="A898" s="32" t="n">
        <v>891</v>
      </c>
      <c r="B898" s="33" t="n">
        <v>59900</v>
      </c>
      <c r="C898" s="34" t="s">
        <v>1866</v>
      </c>
      <c r="D898" s="34" t="s">
        <v>1867</v>
      </c>
      <c r="E898" s="34" t="s">
        <v>35</v>
      </c>
      <c r="F898" s="32" t="n">
        <f aca="false">COUNTIF(Base!$D$2:$D$2878,B898)</f>
        <v>1</v>
      </c>
      <c r="G898" s="35" t="n">
        <f aca="false">SUMIF(Base!$D$2:$D$2878,B898,Base!$I$2:$I$2878)</f>
        <v>1445</v>
      </c>
      <c r="H898" s="36" t="n">
        <f aca="false">IF($G$2849=0,0,G898/$G$2849)</f>
        <v>9.48241170395904E-005</v>
      </c>
      <c r="I898" s="37" t="n">
        <f aca="false">I897+H898</f>
        <v>0.952617109969206</v>
      </c>
      <c r="J898" s="37" t="n">
        <f aca="false">A898/2840</f>
        <v>0.313732394366197</v>
      </c>
      <c r="K898" s="32" t="str">
        <f aca="false">IF(I898&lt;=$E$4,"A",IF(I898&lt;=$E$5,"B","C"))</f>
        <v>C</v>
      </c>
    </row>
    <row r="899" customFormat="false" ht="15" hidden="false" customHeight="false" outlineLevel="0" collapsed="false">
      <c r="A899" s="32" t="n">
        <v>892</v>
      </c>
      <c r="B899" s="33" t="n">
        <v>1475106</v>
      </c>
      <c r="C899" s="34" t="s">
        <v>1868</v>
      </c>
      <c r="D899" s="34" t="s">
        <v>1869</v>
      </c>
      <c r="E899" s="34" t="s">
        <v>38</v>
      </c>
      <c r="F899" s="32" t="n">
        <f aca="false">COUNTIF(Base!$D$2:$D$2878,B899)</f>
        <v>1</v>
      </c>
      <c r="G899" s="35" t="n">
        <f aca="false">SUMIF(Base!$D$2:$D$2878,B899,Base!$I$2:$I$2878)</f>
        <v>1443.57</v>
      </c>
      <c r="H899" s="36" t="n">
        <f aca="false">IF($G$2849=0,0,G899/$G$2849)</f>
        <v>9.47302772559456E-005</v>
      </c>
      <c r="I899" s="37" t="n">
        <f aca="false">I898+H899</f>
        <v>0.952711840246461</v>
      </c>
      <c r="J899" s="37" t="n">
        <f aca="false">A899/2840</f>
        <v>0.314084507042254</v>
      </c>
      <c r="K899" s="32" t="str">
        <f aca="false">IF(I899&lt;=$E$4,"A",IF(I899&lt;=$E$5,"B","C"))</f>
        <v>C</v>
      </c>
    </row>
    <row r="900" customFormat="false" ht="15" hidden="false" customHeight="false" outlineLevel="0" collapsed="false">
      <c r="A900" s="32" t="n">
        <v>893</v>
      </c>
      <c r="B900" s="33" t="n">
        <v>18836</v>
      </c>
      <c r="C900" s="34" t="s">
        <v>1870</v>
      </c>
      <c r="D900" s="34" t="s">
        <v>1871</v>
      </c>
      <c r="E900" s="34" t="s">
        <v>247</v>
      </c>
      <c r="F900" s="32" t="n">
        <f aca="false">COUNTIF(Base!$D$2:$D$2878,B900)</f>
        <v>1</v>
      </c>
      <c r="G900" s="35" t="n">
        <f aca="false">SUMIF(Base!$D$2:$D$2878,B900,Base!$I$2:$I$2878)</f>
        <v>1442.05</v>
      </c>
      <c r="H900" s="36" t="n">
        <f aca="false">IF($G$2849=0,0,G900/$G$2849)</f>
        <v>9.46305314719317E-005</v>
      </c>
      <c r="I900" s="37" t="n">
        <f aca="false">I899+H900</f>
        <v>0.952806470777933</v>
      </c>
      <c r="J900" s="37" t="n">
        <f aca="false">A900/2840</f>
        <v>0.31443661971831</v>
      </c>
      <c r="K900" s="32" t="str">
        <f aca="false">IF(I900&lt;=$E$4,"A",IF(I900&lt;=$E$5,"B","C"))</f>
        <v>C</v>
      </c>
    </row>
    <row r="901" customFormat="false" ht="15" hidden="false" customHeight="false" outlineLevel="0" collapsed="false">
      <c r="A901" s="32" t="n">
        <v>894</v>
      </c>
      <c r="B901" s="33" t="n">
        <v>1385905</v>
      </c>
      <c r="C901" s="34" t="s">
        <v>1872</v>
      </c>
      <c r="D901" s="34" t="s">
        <v>1873</v>
      </c>
      <c r="E901" s="34" t="s">
        <v>160</v>
      </c>
      <c r="F901" s="32" t="n">
        <f aca="false">COUNTIF(Base!$D$2:$D$2878,B901)</f>
        <v>1</v>
      </c>
      <c r="G901" s="35" t="n">
        <f aca="false">SUMIF(Base!$D$2:$D$2878,B901,Base!$I$2:$I$2878)</f>
        <v>1441.66</v>
      </c>
      <c r="H901" s="36" t="n">
        <f aca="false">IF($G$2849=0,0,G901/$G$2849)</f>
        <v>9.46049388036649E-005</v>
      </c>
      <c r="I901" s="37" t="n">
        <f aca="false">I900+H901</f>
        <v>0.952901075716737</v>
      </c>
      <c r="J901" s="37" t="n">
        <f aca="false">A901/2840</f>
        <v>0.314788732394366</v>
      </c>
      <c r="K901" s="32" t="str">
        <f aca="false">IF(I901&lt;=$E$4,"A",IF(I901&lt;=$E$5,"B","C"))</f>
        <v>C</v>
      </c>
    </row>
    <row r="902" customFormat="false" ht="15" hidden="false" customHeight="false" outlineLevel="0" collapsed="false">
      <c r="A902" s="32" t="n">
        <v>895</v>
      </c>
      <c r="B902" s="33" t="n">
        <v>19627</v>
      </c>
      <c r="C902" s="34" t="s">
        <v>1874</v>
      </c>
      <c r="D902" s="34" t="s">
        <v>1875</v>
      </c>
      <c r="E902" s="34" t="s">
        <v>1095</v>
      </c>
      <c r="F902" s="32" t="n">
        <f aca="false">COUNTIF(Base!$D$2:$D$2878,B902)</f>
        <v>1</v>
      </c>
      <c r="G902" s="35" t="n">
        <f aca="false">SUMIF(Base!$D$2:$D$2878,B902,Base!$I$2:$I$2878)</f>
        <v>1440</v>
      </c>
      <c r="H902" s="36" t="n">
        <f aca="false">IF($G$2849=0,0,G902/$G$2849)</f>
        <v>9.44960059079655E-005</v>
      </c>
      <c r="I902" s="37" t="n">
        <f aca="false">I901+H902</f>
        <v>0.952995571722645</v>
      </c>
      <c r="J902" s="37" t="n">
        <f aca="false">A902/2840</f>
        <v>0.315140845070423</v>
      </c>
      <c r="K902" s="32" t="str">
        <f aca="false">IF(I902&lt;=$E$4,"A",IF(I902&lt;=$E$5,"B","C"))</f>
        <v>C</v>
      </c>
    </row>
    <row r="903" customFormat="false" ht="15" hidden="false" customHeight="false" outlineLevel="0" collapsed="false">
      <c r="A903" s="32" t="n">
        <v>896</v>
      </c>
      <c r="B903" s="33" t="n">
        <v>19629</v>
      </c>
      <c r="C903" s="34" t="s">
        <v>1876</v>
      </c>
      <c r="D903" s="34" t="s">
        <v>1877</v>
      </c>
      <c r="E903" s="34" t="s">
        <v>1095</v>
      </c>
      <c r="F903" s="32" t="n">
        <f aca="false">COUNTIF(Base!$D$2:$D$2878,B903)</f>
        <v>1</v>
      </c>
      <c r="G903" s="35" t="n">
        <f aca="false">SUMIF(Base!$D$2:$D$2878,B903,Base!$I$2:$I$2878)</f>
        <v>1440</v>
      </c>
      <c r="H903" s="36" t="n">
        <f aca="false">IF($G$2849=0,0,G903/$G$2849)</f>
        <v>9.44960059079655E-005</v>
      </c>
      <c r="I903" s="37" t="n">
        <f aca="false">I902+H903</f>
        <v>0.953090067728553</v>
      </c>
      <c r="J903" s="37" t="n">
        <f aca="false">A903/2840</f>
        <v>0.315492957746479</v>
      </c>
      <c r="K903" s="32" t="str">
        <f aca="false">IF(I903&lt;=$E$4,"A",IF(I903&lt;=$E$5,"B","C"))</f>
        <v>C</v>
      </c>
    </row>
    <row r="904" customFormat="false" ht="15" hidden="false" customHeight="false" outlineLevel="0" collapsed="false">
      <c r="A904" s="32" t="n">
        <v>897</v>
      </c>
      <c r="B904" s="33" t="n">
        <v>1654879</v>
      </c>
      <c r="C904" s="34" t="s">
        <v>1878</v>
      </c>
      <c r="D904" s="34" t="s">
        <v>1879</v>
      </c>
      <c r="E904" s="34" t="s">
        <v>705</v>
      </c>
      <c r="F904" s="32" t="n">
        <f aca="false">COUNTIF(Base!$D$2:$D$2878,B904)</f>
        <v>1</v>
      </c>
      <c r="G904" s="35" t="n">
        <f aca="false">SUMIF(Base!$D$2:$D$2878,B904,Base!$I$2:$I$2878)</f>
        <v>1440</v>
      </c>
      <c r="H904" s="36" t="n">
        <f aca="false">IF($G$2849=0,0,G904/$G$2849)</f>
        <v>9.44960059079655E-005</v>
      </c>
      <c r="I904" s="37" t="n">
        <f aca="false">I903+H904</f>
        <v>0.953184563734461</v>
      </c>
      <c r="J904" s="37" t="n">
        <f aca="false">A904/2840</f>
        <v>0.315845070422535</v>
      </c>
      <c r="K904" s="32" t="str">
        <f aca="false">IF(I904&lt;=$E$4,"A",IF(I904&lt;=$E$5,"B","C"))</f>
        <v>C</v>
      </c>
    </row>
    <row r="905" customFormat="false" ht="15" hidden="false" customHeight="false" outlineLevel="0" collapsed="false">
      <c r="A905" s="32" t="n">
        <v>898</v>
      </c>
      <c r="B905" s="33" t="n">
        <v>228821</v>
      </c>
      <c r="C905" s="34" t="s">
        <v>1880</v>
      </c>
      <c r="D905" s="34" t="s">
        <v>1881</v>
      </c>
      <c r="E905" s="34" t="s">
        <v>100</v>
      </c>
      <c r="F905" s="32" t="n">
        <f aca="false">COUNTIF(Base!$D$2:$D$2878,B905)</f>
        <v>1</v>
      </c>
      <c r="G905" s="35" t="n">
        <f aca="false">SUMIF(Base!$D$2:$D$2878,B905,Base!$I$2:$I$2878)</f>
        <v>1424</v>
      </c>
      <c r="H905" s="36" t="n">
        <f aca="false">IF($G$2849=0,0,G905/$G$2849)</f>
        <v>9.34460502867659E-005</v>
      </c>
      <c r="I905" s="37" t="n">
        <f aca="false">I904+H905</f>
        <v>0.953278009784748</v>
      </c>
      <c r="J905" s="37" t="n">
        <f aca="false">A905/2840</f>
        <v>0.316197183098592</v>
      </c>
      <c r="K905" s="32" t="str">
        <f aca="false">IF(I905&lt;=$E$4,"A",IF(I905&lt;=$E$5,"B","C"))</f>
        <v>C</v>
      </c>
    </row>
    <row r="906" customFormat="false" ht="15" hidden="false" customHeight="false" outlineLevel="0" collapsed="false">
      <c r="A906" s="32" t="n">
        <v>899</v>
      </c>
      <c r="B906" s="33" t="n">
        <v>878336</v>
      </c>
      <c r="C906" s="34" t="s">
        <v>1882</v>
      </c>
      <c r="D906" s="34" t="s">
        <v>1883</v>
      </c>
      <c r="E906" s="34" t="s">
        <v>113</v>
      </c>
      <c r="F906" s="32" t="n">
        <f aca="false">COUNTIF(Base!$D$2:$D$2878,B906)</f>
        <v>1</v>
      </c>
      <c r="G906" s="35" t="n">
        <f aca="false">SUMIF(Base!$D$2:$D$2878,B906,Base!$I$2:$I$2878)</f>
        <v>1420</v>
      </c>
      <c r="H906" s="36" t="n">
        <f aca="false">IF($G$2849=0,0,G906/$G$2849)</f>
        <v>9.3183561381466E-005</v>
      </c>
      <c r="I906" s="37" t="n">
        <f aca="false">I905+H906</f>
        <v>0.953371193346129</v>
      </c>
      <c r="J906" s="37" t="n">
        <f aca="false">A906/2840</f>
        <v>0.316549295774648</v>
      </c>
      <c r="K906" s="32" t="str">
        <f aca="false">IF(I906&lt;=$E$4,"A",IF(I906&lt;=$E$5,"B","C"))</f>
        <v>C</v>
      </c>
    </row>
    <row r="907" customFormat="false" ht="15" hidden="false" customHeight="false" outlineLevel="0" collapsed="false">
      <c r="A907" s="32" t="n">
        <v>900</v>
      </c>
      <c r="B907" s="33" t="n">
        <v>30889</v>
      </c>
      <c r="C907" s="34" t="s">
        <v>1884</v>
      </c>
      <c r="D907" s="34" t="s">
        <v>1885</v>
      </c>
      <c r="E907" s="34" t="s">
        <v>38</v>
      </c>
      <c r="F907" s="32" t="n">
        <f aca="false">COUNTIF(Base!$D$2:$D$2878,B907)</f>
        <v>1</v>
      </c>
      <c r="G907" s="35" t="n">
        <f aca="false">SUMIF(Base!$D$2:$D$2878,B907,Base!$I$2:$I$2878)</f>
        <v>1414.5</v>
      </c>
      <c r="H907" s="36" t="n">
        <f aca="false">IF($G$2849=0,0,G907/$G$2849)</f>
        <v>9.28226391366786E-005</v>
      </c>
      <c r="I907" s="37" t="n">
        <f aca="false">I906+H907</f>
        <v>0.953464015985266</v>
      </c>
      <c r="J907" s="37" t="n">
        <f aca="false">A907/2840</f>
        <v>0.316901408450704</v>
      </c>
      <c r="K907" s="32" t="str">
        <f aca="false">IF(I907&lt;=$E$4,"A",IF(I907&lt;=$E$5,"B","C"))</f>
        <v>C</v>
      </c>
    </row>
    <row r="908" customFormat="false" ht="15" hidden="false" customHeight="false" outlineLevel="0" collapsed="false">
      <c r="A908" s="32" t="n">
        <v>901</v>
      </c>
      <c r="B908" s="33" t="n">
        <v>352400</v>
      </c>
      <c r="C908" s="34" t="s">
        <v>1886</v>
      </c>
      <c r="D908" s="34" t="s">
        <v>1887</v>
      </c>
      <c r="E908" s="34" t="s">
        <v>130</v>
      </c>
      <c r="F908" s="32" t="n">
        <f aca="false">COUNTIF(Base!$D$2:$D$2878,B908)</f>
        <v>1</v>
      </c>
      <c r="G908" s="35" t="n">
        <f aca="false">SUMIF(Base!$D$2:$D$2878,B908,Base!$I$2:$I$2878)</f>
        <v>1410</v>
      </c>
      <c r="H908" s="36" t="n">
        <f aca="false">IF($G$2849=0,0,G908/$G$2849)</f>
        <v>9.25273391182162E-005</v>
      </c>
      <c r="I908" s="37" t="n">
        <f aca="false">I907+H908</f>
        <v>0.953556543324384</v>
      </c>
      <c r="J908" s="37" t="n">
        <f aca="false">A908/2840</f>
        <v>0.317253521126761</v>
      </c>
      <c r="K908" s="32" t="str">
        <f aca="false">IF(I908&lt;=$E$4,"A",IF(I908&lt;=$E$5,"B","C"))</f>
        <v>C</v>
      </c>
    </row>
    <row r="909" customFormat="false" ht="15" hidden="false" customHeight="false" outlineLevel="0" collapsed="false">
      <c r="A909" s="32" t="n">
        <v>902</v>
      </c>
      <c r="B909" s="33" t="n">
        <v>1464675</v>
      </c>
      <c r="C909" s="34" t="s">
        <v>1888</v>
      </c>
      <c r="D909" s="34" t="s">
        <v>1889</v>
      </c>
      <c r="E909" s="34" t="s">
        <v>100</v>
      </c>
      <c r="F909" s="32" t="n">
        <f aca="false">COUNTIF(Base!$D$2:$D$2878,B909)</f>
        <v>1</v>
      </c>
      <c r="G909" s="35" t="n">
        <f aca="false">SUMIF(Base!$D$2:$D$2878,B909,Base!$I$2:$I$2878)</f>
        <v>1408.58</v>
      </c>
      <c r="H909" s="36" t="n">
        <f aca="false">IF($G$2849=0,0,G909/$G$2849)</f>
        <v>9.24341555568347E-005</v>
      </c>
      <c r="I909" s="37" t="n">
        <f aca="false">I908+H909</f>
        <v>0.953648977479941</v>
      </c>
      <c r="J909" s="37" t="n">
        <f aca="false">A909/2840</f>
        <v>0.317605633802817</v>
      </c>
      <c r="K909" s="32" t="str">
        <f aca="false">IF(I909&lt;=$E$4,"A",IF(I909&lt;=$E$5,"B","C"))</f>
        <v>C</v>
      </c>
    </row>
    <row r="910" customFormat="false" ht="15" hidden="false" customHeight="false" outlineLevel="0" collapsed="false">
      <c r="A910" s="32" t="n">
        <v>903</v>
      </c>
      <c r="B910" s="33" t="n">
        <v>1312592</v>
      </c>
      <c r="C910" s="34" t="s">
        <v>1890</v>
      </c>
      <c r="D910" s="34" t="s">
        <v>1891</v>
      </c>
      <c r="E910" s="34" t="s">
        <v>189</v>
      </c>
      <c r="F910" s="32" t="n">
        <f aca="false">COUNTIF(Base!$D$2:$D$2878,B910)</f>
        <v>1</v>
      </c>
      <c r="G910" s="35" t="n">
        <f aca="false">SUMIF(Base!$D$2:$D$2878,B910,Base!$I$2:$I$2878)</f>
        <v>1402</v>
      </c>
      <c r="H910" s="36" t="n">
        <f aca="false">IF($G$2849=0,0,G910/$G$2849)</f>
        <v>9.20023613076164E-005</v>
      </c>
      <c r="I910" s="37" t="n">
        <f aca="false">I909+H910</f>
        <v>0.953740979841248</v>
      </c>
      <c r="J910" s="37" t="n">
        <f aca="false">A910/2840</f>
        <v>0.317957746478873</v>
      </c>
      <c r="K910" s="32" t="str">
        <f aca="false">IF(I910&lt;=$E$4,"A",IF(I910&lt;=$E$5,"B","C"))</f>
        <v>C</v>
      </c>
    </row>
    <row r="911" customFormat="false" ht="15" hidden="false" customHeight="false" outlineLevel="0" collapsed="false">
      <c r="A911" s="32" t="n">
        <v>904</v>
      </c>
      <c r="B911" s="33" t="n">
        <v>840009</v>
      </c>
      <c r="C911" s="34" t="s">
        <v>1892</v>
      </c>
      <c r="D911" s="34" t="s">
        <v>1893</v>
      </c>
      <c r="E911" s="34" t="s">
        <v>54</v>
      </c>
      <c r="F911" s="32" t="n">
        <f aca="false">COUNTIF(Base!$D$2:$D$2878,B911)</f>
        <v>1</v>
      </c>
      <c r="G911" s="35" t="n">
        <f aca="false">SUMIF(Base!$D$2:$D$2878,B911,Base!$I$2:$I$2878)</f>
        <v>1400.7</v>
      </c>
      <c r="H911" s="36" t="n">
        <f aca="false">IF($G$2849=0,0,G911/$G$2849)</f>
        <v>9.19170524133939E-005</v>
      </c>
      <c r="I911" s="37" t="n">
        <f aca="false">I910+H911</f>
        <v>0.953832896893662</v>
      </c>
      <c r="J911" s="37" t="n">
        <f aca="false">A911/2840</f>
        <v>0.31830985915493</v>
      </c>
      <c r="K911" s="32" t="str">
        <f aca="false">IF(I911&lt;=$E$4,"A",IF(I911&lt;=$E$5,"B","C"))</f>
        <v>C</v>
      </c>
    </row>
    <row r="912" customFormat="false" ht="15" hidden="false" customHeight="false" outlineLevel="0" collapsed="false">
      <c r="A912" s="32" t="n">
        <v>905</v>
      </c>
      <c r="B912" s="33" t="n">
        <v>17891</v>
      </c>
      <c r="C912" s="34" t="s">
        <v>1894</v>
      </c>
      <c r="D912" s="34" t="s">
        <v>1895</v>
      </c>
      <c r="E912" s="34" t="s">
        <v>835</v>
      </c>
      <c r="F912" s="32" t="n">
        <f aca="false">COUNTIF(Base!$D$2:$D$2878,B912)</f>
        <v>1</v>
      </c>
      <c r="G912" s="35" t="n">
        <f aca="false">SUMIF(Base!$D$2:$D$2878,B912,Base!$I$2:$I$2878)</f>
        <v>1400</v>
      </c>
      <c r="H912" s="36" t="n">
        <f aca="false">IF($G$2849=0,0,G912/$G$2849)</f>
        <v>9.18711168549664E-005</v>
      </c>
      <c r="I912" s="37" t="n">
        <f aca="false">I911+H912</f>
        <v>0.953924768010517</v>
      </c>
      <c r="J912" s="37" t="n">
        <f aca="false">A912/2840</f>
        <v>0.318661971830986</v>
      </c>
      <c r="K912" s="32" t="str">
        <f aca="false">IF(I912&lt;=$E$4,"A",IF(I912&lt;=$E$5,"B","C"))</f>
        <v>C</v>
      </c>
    </row>
    <row r="913" customFormat="false" ht="15" hidden="false" customHeight="false" outlineLevel="0" collapsed="false">
      <c r="A913" s="32" t="n">
        <v>906</v>
      </c>
      <c r="B913" s="33" t="n">
        <v>21270</v>
      </c>
      <c r="C913" s="34" t="s">
        <v>1896</v>
      </c>
      <c r="D913" s="34" t="s">
        <v>1897</v>
      </c>
      <c r="E913" s="34" t="s">
        <v>38</v>
      </c>
      <c r="F913" s="32" t="n">
        <f aca="false">COUNTIF(Base!$D$2:$D$2878,B913)</f>
        <v>1</v>
      </c>
      <c r="G913" s="35" t="n">
        <f aca="false">SUMIF(Base!$D$2:$D$2878,B913,Base!$I$2:$I$2878)</f>
        <v>1398</v>
      </c>
      <c r="H913" s="36" t="n">
        <f aca="false">IF($G$2849=0,0,G913/$G$2849)</f>
        <v>9.17398724023165E-005</v>
      </c>
      <c r="I913" s="37" t="n">
        <f aca="false">I912+H913</f>
        <v>0.954016507882919</v>
      </c>
      <c r="J913" s="37" t="n">
        <f aca="false">A913/2840</f>
        <v>0.319014084507042</v>
      </c>
      <c r="K913" s="32" t="str">
        <f aca="false">IF(I913&lt;=$E$4,"A",IF(I913&lt;=$E$5,"B","C"))</f>
        <v>C</v>
      </c>
    </row>
    <row r="914" customFormat="false" ht="15" hidden="false" customHeight="false" outlineLevel="0" collapsed="false">
      <c r="A914" s="32" t="n">
        <v>907</v>
      </c>
      <c r="B914" s="33" t="n">
        <v>31915</v>
      </c>
      <c r="C914" s="34" t="s">
        <v>1898</v>
      </c>
      <c r="D914" s="34" t="s">
        <v>1899</v>
      </c>
      <c r="E914" s="34" t="s">
        <v>189</v>
      </c>
      <c r="F914" s="32" t="n">
        <f aca="false">COUNTIF(Base!$D$2:$D$2878,B914)</f>
        <v>1</v>
      </c>
      <c r="G914" s="35" t="n">
        <f aca="false">SUMIF(Base!$D$2:$D$2878,B914,Base!$I$2:$I$2878)</f>
        <v>1398</v>
      </c>
      <c r="H914" s="36" t="n">
        <f aca="false">IF($G$2849=0,0,G914/$G$2849)</f>
        <v>9.17398724023165E-005</v>
      </c>
      <c r="I914" s="37" t="n">
        <f aca="false">I913+H914</f>
        <v>0.954108247755321</v>
      </c>
      <c r="J914" s="37" t="n">
        <f aca="false">A914/2840</f>
        <v>0.319366197183099</v>
      </c>
      <c r="K914" s="32" t="str">
        <f aca="false">IF(I914&lt;=$E$4,"A",IF(I914&lt;=$E$5,"B","C"))</f>
        <v>C</v>
      </c>
    </row>
    <row r="915" customFormat="false" ht="15" hidden="false" customHeight="false" outlineLevel="0" collapsed="false">
      <c r="A915" s="32" t="n">
        <v>908</v>
      </c>
      <c r="B915" s="33" t="n">
        <v>860924</v>
      </c>
      <c r="C915" s="34" t="s">
        <v>1900</v>
      </c>
      <c r="D915" s="34" t="s">
        <v>1901</v>
      </c>
      <c r="E915" s="34" t="s">
        <v>38</v>
      </c>
      <c r="F915" s="32" t="n">
        <f aca="false">COUNTIF(Base!$D$2:$D$2878,B915)</f>
        <v>1</v>
      </c>
      <c r="G915" s="35" t="n">
        <f aca="false">SUMIF(Base!$D$2:$D$2878,B915,Base!$I$2:$I$2878)</f>
        <v>1396</v>
      </c>
      <c r="H915" s="36" t="n">
        <f aca="false">IF($G$2849=0,0,G915/$G$2849)</f>
        <v>9.16086279496665E-005</v>
      </c>
      <c r="I915" s="37" t="n">
        <f aca="false">I914+H915</f>
        <v>0.954199856383271</v>
      </c>
      <c r="J915" s="37" t="n">
        <f aca="false">A915/2840</f>
        <v>0.319718309859155</v>
      </c>
      <c r="K915" s="32" t="str">
        <f aca="false">IF(I915&lt;=$E$4,"A",IF(I915&lt;=$E$5,"B","C"))</f>
        <v>C</v>
      </c>
    </row>
    <row r="916" customFormat="false" ht="15" hidden="false" customHeight="false" outlineLevel="0" collapsed="false">
      <c r="A916" s="32" t="n">
        <v>909</v>
      </c>
      <c r="B916" s="33" t="n">
        <v>1069242</v>
      </c>
      <c r="C916" s="34" t="s">
        <v>1902</v>
      </c>
      <c r="D916" s="34" t="s">
        <v>1903</v>
      </c>
      <c r="E916" s="34" t="s">
        <v>130</v>
      </c>
      <c r="F916" s="32" t="n">
        <f aca="false">COUNTIF(Base!$D$2:$D$2878,B916)</f>
        <v>1</v>
      </c>
      <c r="G916" s="35" t="n">
        <f aca="false">SUMIF(Base!$D$2:$D$2878,B916,Base!$I$2:$I$2878)</f>
        <v>1396</v>
      </c>
      <c r="H916" s="36" t="n">
        <f aca="false">IF($G$2849=0,0,G916/$G$2849)</f>
        <v>9.16086279496665E-005</v>
      </c>
      <c r="I916" s="37" t="n">
        <f aca="false">I915+H916</f>
        <v>0.954291465011221</v>
      </c>
      <c r="J916" s="37" t="n">
        <f aca="false">A916/2840</f>
        <v>0.320070422535211</v>
      </c>
      <c r="K916" s="32" t="str">
        <f aca="false">IF(I916&lt;=$E$4,"A",IF(I916&lt;=$E$5,"B","C"))</f>
        <v>C</v>
      </c>
    </row>
    <row r="917" customFormat="false" ht="15" hidden="false" customHeight="false" outlineLevel="0" collapsed="false">
      <c r="A917" s="32" t="n">
        <v>910</v>
      </c>
      <c r="B917" s="33" t="n">
        <v>12538</v>
      </c>
      <c r="C917" s="34" t="s">
        <v>1904</v>
      </c>
      <c r="D917" s="34" t="s">
        <v>1905</v>
      </c>
      <c r="E917" s="34" t="s">
        <v>38</v>
      </c>
      <c r="F917" s="32" t="n">
        <f aca="false">COUNTIF(Base!$D$2:$D$2878,B917)</f>
        <v>1</v>
      </c>
      <c r="G917" s="35" t="n">
        <f aca="false">SUMIF(Base!$D$2:$D$2878,B917,Base!$I$2:$I$2878)</f>
        <v>1393.1582</v>
      </c>
      <c r="H917" s="36" t="n">
        <f aca="false">IF($G$2849=0,0,G917/$G$2849)</f>
        <v>9.14221427068962E-005</v>
      </c>
      <c r="I917" s="37" t="n">
        <f aca="false">I916+H917</f>
        <v>0.954382887153927</v>
      </c>
      <c r="J917" s="37" t="n">
        <f aca="false">A917/2840</f>
        <v>0.320422535211268</v>
      </c>
      <c r="K917" s="32" t="str">
        <f aca="false">IF(I917&lt;=$E$4,"A",IF(I917&lt;=$E$5,"B","C"))</f>
        <v>C</v>
      </c>
    </row>
    <row r="918" customFormat="false" ht="15" hidden="false" customHeight="false" outlineLevel="0" collapsed="false">
      <c r="A918" s="32" t="n">
        <v>911</v>
      </c>
      <c r="B918" s="33" t="n">
        <v>1605941</v>
      </c>
      <c r="C918" s="34" t="s">
        <v>1906</v>
      </c>
      <c r="D918" s="34" t="s">
        <v>1907</v>
      </c>
      <c r="E918" s="34" t="s">
        <v>38</v>
      </c>
      <c r="F918" s="32" t="n">
        <f aca="false">COUNTIF(Base!$D$2:$D$2878,B918)</f>
        <v>1</v>
      </c>
      <c r="G918" s="35" t="n">
        <f aca="false">SUMIF(Base!$D$2:$D$2878,B918,Base!$I$2:$I$2878)</f>
        <v>1392.48</v>
      </c>
      <c r="H918" s="36" t="n">
        <f aca="false">IF($G$2849=0,0,G918/$G$2849)</f>
        <v>9.13776377130026E-005</v>
      </c>
      <c r="I918" s="37" t="n">
        <f aca="false">I917+H918</f>
        <v>0.95447426479164</v>
      </c>
      <c r="J918" s="37" t="n">
        <f aca="false">A918/2840</f>
        <v>0.320774647887324</v>
      </c>
      <c r="K918" s="32" t="str">
        <f aca="false">IF(I918&lt;=$E$4,"A",IF(I918&lt;=$E$5,"B","C"))</f>
        <v>C</v>
      </c>
    </row>
    <row r="919" customFormat="false" ht="15" hidden="false" customHeight="false" outlineLevel="0" collapsed="false">
      <c r="A919" s="32" t="n">
        <v>912</v>
      </c>
      <c r="B919" s="33" t="n">
        <v>1474967</v>
      </c>
      <c r="C919" s="34" t="s">
        <v>1908</v>
      </c>
      <c r="D919" s="34" t="s">
        <v>1909</v>
      </c>
      <c r="E919" s="34" t="s">
        <v>38</v>
      </c>
      <c r="F919" s="32" t="n">
        <f aca="false">COUNTIF(Base!$D$2:$D$2878,B919)</f>
        <v>1</v>
      </c>
      <c r="G919" s="35" t="n">
        <f aca="false">SUMIF(Base!$D$2:$D$2878,B919,Base!$I$2:$I$2878)</f>
        <v>1391.76</v>
      </c>
      <c r="H919" s="36" t="n">
        <f aca="false">IF($G$2849=0,0,G919/$G$2849)</f>
        <v>9.13303897100486E-005</v>
      </c>
      <c r="I919" s="37" t="n">
        <f aca="false">I918+H919</f>
        <v>0.954565595181351</v>
      </c>
      <c r="J919" s="37" t="n">
        <f aca="false">A919/2840</f>
        <v>0.32112676056338</v>
      </c>
      <c r="K919" s="32" t="str">
        <f aca="false">IF(I919&lt;=$E$4,"A",IF(I919&lt;=$E$5,"B","C"))</f>
        <v>C</v>
      </c>
    </row>
    <row r="920" customFormat="false" ht="15" hidden="false" customHeight="false" outlineLevel="0" collapsed="false">
      <c r="A920" s="32" t="n">
        <v>913</v>
      </c>
      <c r="B920" s="33" t="n">
        <v>22929</v>
      </c>
      <c r="C920" s="34" t="s">
        <v>1910</v>
      </c>
      <c r="D920" s="34" t="s">
        <v>1911</v>
      </c>
      <c r="E920" s="34" t="s">
        <v>100</v>
      </c>
      <c r="F920" s="32" t="n">
        <f aca="false">COUNTIF(Base!$D$2:$D$2878,B920)</f>
        <v>1</v>
      </c>
      <c r="G920" s="35" t="n">
        <f aca="false">SUMIF(Base!$D$2:$D$2878,B920,Base!$I$2:$I$2878)</f>
        <v>1382.88</v>
      </c>
      <c r="H920" s="36" t="n">
        <f aca="false">IF($G$2849=0,0,G920/$G$2849)</f>
        <v>9.07476643402829E-005</v>
      </c>
      <c r="I920" s="37" t="n">
        <f aca="false">I919+H920</f>
        <v>0.954656342845691</v>
      </c>
      <c r="J920" s="37" t="n">
        <f aca="false">A920/2840</f>
        <v>0.321478873239437</v>
      </c>
      <c r="K920" s="32" t="str">
        <f aca="false">IF(I920&lt;=$E$4,"A",IF(I920&lt;=$E$5,"B","C"))</f>
        <v>C</v>
      </c>
    </row>
    <row r="921" customFormat="false" ht="15" hidden="false" customHeight="false" outlineLevel="0" collapsed="false">
      <c r="A921" s="32" t="n">
        <v>914</v>
      </c>
      <c r="B921" s="33" t="n">
        <v>727563</v>
      </c>
      <c r="C921" s="34" t="s">
        <v>1912</v>
      </c>
      <c r="D921" s="34" t="s">
        <v>1913</v>
      </c>
      <c r="E921" s="34" t="s">
        <v>247</v>
      </c>
      <c r="F921" s="32" t="n">
        <f aca="false">COUNTIF(Base!$D$2:$D$2878,B921)</f>
        <v>1</v>
      </c>
      <c r="G921" s="35" t="n">
        <f aca="false">SUMIF(Base!$D$2:$D$2878,B921,Base!$I$2:$I$2878)</f>
        <v>1378.4</v>
      </c>
      <c r="H921" s="36" t="n">
        <f aca="false">IF($G$2849=0,0,G921/$G$2849)</f>
        <v>9.0453676766347E-005</v>
      </c>
      <c r="I921" s="37" t="n">
        <f aca="false">I920+H921</f>
        <v>0.954746796522457</v>
      </c>
      <c r="J921" s="37" t="n">
        <f aca="false">A921/2840</f>
        <v>0.321830985915493</v>
      </c>
      <c r="K921" s="32" t="str">
        <f aca="false">IF(I921&lt;=$E$4,"A",IF(I921&lt;=$E$5,"B","C"))</f>
        <v>C</v>
      </c>
    </row>
    <row r="922" customFormat="false" ht="15" hidden="false" customHeight="false" outlineLevel="0" collapsed="false">
      <c r="A922" s="32" t="n">
        <v>915</v>
      </c>
      <c r="B922" s="33" t="n">
        <v>12695</v>
      </c>
      <c r="C922" s="34" t="s">
        <v>1914</v>
      </c>
      <c r="D922" s="34" t="s">
        <v>1915</v>
      </c>
      <c r="E922" s="34" t="s">
        <v>38</v>
      </c>
      <c r="F922" s="32" t="n">
        <f aca="false">COUNTIF(Base!$D$2:$D$2878,B922)</f>
        <v>1</v>
      </c>
      <c r="G922" s="35" t="n">
        <f aca="false">SUMIF(Base!$D$2:$D$2878,B922,Base!$I$2:$I$2878)</f>
        <v>1371</v>
      </c>
      <c r="H922" s="36" t="n">
        <f aca="false">IF($G$2849=0,0,G922/$G$2849)</f>
        <v>8.99680722915421E-005</v>
      </c>
      <c r="I922" s="37" t="n">
        <f aca="false">I921+H922</f>
        <v>0.954836764594749</v>
      </c>
      <c r="J922" s="37" t="n">
        <f aca="false">A922/2840</f>
        <v>0.322183098591549</v>
      </c>
      <c r="K922" s="32" t="str">
        <f aca="false">IF(I922&lt;=$E$4,"A",IF(I922&lt;=$E$5,"B","C"))</f>
        <v>C</v>
      </c>
    </row>
    <row r="923" customFormat="false" ht="15" hidden="false" customHeight="false" outlineLevel="0" collapsed="false">
      <c r="A923" s="32" t="n">
        <v>916</v>
      </c>
      <c r="B923" s="33" t="n">
        <v>560975</v>
      </c>
      <c r="C923" s="34" t="s">
        <v>1916</v>
      </c>
      <c r="D923" s="34" t="s">
        <v>1917</v>
      </c>
      <c r="E923" s="34" t="s">
        <v>835</v>
      </c>
      <c r="F923" s="32" t="n">
        <f aca="false">COUNTIF(Base!$D$2:$D$2878,B923)</f>
        <v>1</v>
      </c>
      <c r="G923" s="35" t="n">
        <f aca="false">SUMIF(Base!$D$2:$D$2878,B923,Base!$I$2:$I$2878)</f>
        <v>1369.9</v>
      </c>
      <c r="H923" s="36" t="n">
        <f aca="false">IF($G$2849=0,0,G923/$G$2849)</f>
        <v>8.98958878425847E-005</v>
      </c>
      <c r="I923" s="37" t="n">
        <f aca="false">I922+H923</f>
        <v>0.954926660482591</v>
      </c>
      <c r="J923" s="37" t="n">
        <f aca="false">A923/2840</f>
        <v>0.322535211267606</v>
      </c>
      <c r="K923" s="32" t="str">
        <f aca="false">IF(I923&lt;=$E$4,"A",IF(I923&lt;=$E$5,"B","C"))</f>
        <v>C</v>
      </c>
    </row>
    <row r="924" customFormat="false" ht="15" hidden="false" customHeight="false" outlineLevel="0" collapsed="false">
      <c r="A924" s="32" t="n">
        <v>917</v>
      </c>
      <c r="B924" s="33" t="n">
        <v>1102200</v>
      </c>
      <c r="C924" s="34" t="s">
        <v>1918</v>
      </c>
      <c r="D924" s="34" t="s">
        <v>1919</v>
      </c>
      <c r="E924" s="34" t="s">
        <v>38</v>
      </c>
      <c r="F924" s="32" t="n">
        <f aca="false">COUNTIF(Base!$D$2:$D$2878,B924)</f>
        <v>1</v>
      </c>
      <c r="G924" s="35" t="n">
        <f aca="false">SUMIF(Base!$D$2:$D$2878,B924,Base!$I$2:$I$2878)</f>
        <v>1368</v>
      </c>
      <c r="H924" s="36" t="n">
        <f aca="false">IF($G$2849=0,0,G924/$G$2849)</f>
        <v>8.97712056125672E-005</v>
      </c>
      <c r="I924" s="37" t="n">
        <f aca="false">I923+H924</f>
        <v>0.955016431688204</v>
      </c>
      <c r="J924" s="37" t="n">
        <f aca="false">A924/2840</f>
        <v>0.322887323943662</v>
      </c>
      <c r="K924" s="32" t="str">
        <f aca="false">IF(I924&lt;=$E$4,"A",IF(I924&lt;=$E$5,"B","C"))</f>
        <v>C</v>
      </c>
    </row>
    <row r="925" customFormat="false" ht="15" hidden="false" customHeight="false" outlineLevel="0" collapsed="false">
      <c r="A925" s="32" t="n">
        <v>918</v>
      </c>
      <c r="B925" s="33" t="n">
        <v>1613484</v>
      </c>
      <c r="C925" s="34" t="s">
        <v>1920</v>
      </c>
      <c r="D925" s="34" t="s">
        <v>1921</v>
      </c>
      <c r="E925" s="34" t="s">
        <v>38</v>
      </c>
      <c r="F925" s="32" t="n">
        <f aca="false">COUNTIF(Base!$D$2:$D$2878,B925)</f>
        <v>1</v>
      </c>
      <c r="G925" s="35" t="n">
        <f aca="false">SUMIF(Base!$D$2:$D$2878,B925,Base!$I$2:$I$2878)</f>
        <v>1366.2</v>
      </c>
      <c r="H925" s="36" t="n">
        <f aca="false">IF($G$2849=0,0,G925/$G$2849)</f>
        <v>8.96530856051822E-005</v>
      </c>
      <c r="I925" s="37" t="n">
        <f aca="false">I924+H925</f>
        <v>0.955106084773809</v>
      </c>
      <c r="J925" s="37" t="n">
        <f aca="false">A925/2840</f>
        <v>0.323239436619718</v>
      </c>
      <c r="K925" s="32" t="str">
        <f aca="false">IF(I925&lt;=$E$4,"A",IF(I925&lt;=$E$5,"B","C"))</f>
        <v>C</v>
      </c>
    </row>
    <row r="926" customFormat="false" ht="15" hidden="false" customHeight="false" outlineLevel="0" collapsed="false">
      <c r="A926" s="32" t="n">
        <v>919</v>
      </c>
      <c r="B926" s="33" t="n">
        <v>1386771</v>
      </c>
      <c r="C926" s="34" t="s">
        <v>1922</v>
      </c>
      <c r="D926" s="34" t="s">
        <v>1923</v>
      </c>
      <c r="E926" s="34" t="s">
        <v>100</v>
      </c>
      <c r="F926" s="32" t="n">
        <f aca="false">COUNTIF(Base!$D$2:$D$2878,B926)</f>
        <v>1</v>
      </c>
      <c r="G926" s="35" t="n">
        <f aca="false">SUMIF(Base!$D$2:$D$2878,B926,Base!$I$2:$I$2878)</f>
        <v>1363.8</v>
      </c>
      <c r="H926" s="36" t="n">
        <f aca="false">IF($G$2849=0,0,G926/$G$2849)</f>
        <v>8.94955922620023E-005</v>
      </c>
      <c r="I926" s="37" t="n">
        <f aca="false">I925+H926</f>
        <v>0.955195580366071</v>
      </c>
      <c r="J926" s="37" t="n">
        <f aca="false">A926/2840</f>
        <v>0.323591549295775</v>
      </c>
      <c r="K926" s="32" t="str">
        <f aca="false">IF(I926&lt;=$E$4,"A",IF(I926&lt;=$E$5,"B","C"))</f>
        <v>C</v>
      </c>
    </row>
    <row r="927" customFormat="false" ht="15" hidden="false" customHeight="false" outlineLevel="0" collapsed="false">
      <c r="A927" s="32" t="n">
        <v>920</v>
      </c>
      <c r="B927" s="33" t="n">
        <v>1259168</v>
      </c>
      <c r="C927" s="34" t="s">
        <v>1924</v>
      </c>
      <c r="D927" s="34" t="s">
        <v>1925</v>
      </c>
      <c r="E927" s="34" t="s">
        <v>130</v>
      </c>
      <c r="F927" s="32" t="n">
        <f aca="false">COUNTIF(Base!$D$2:$D$2878,B927)</f>
        <v>1</v>
      </c>
      <c r="G927" s="35" t="n">
        <f aca="false">SUMIF(Base!$D$2:$D$2878,B927,Base!$I$2:$I$2878)</f>
        <v>1361.4</v>
      </c>
      <c r="H927" s="36" t="n">
        <f aca="false">IF($G$2849=0,0,G927/$G$2849)</f>
        <v>8.93380989188224E-005</v>
      </c>
      <c r="I927" s="37" t="n">
        <f aca="false">I926+H927</f>
        <v>0.95528491846499</v>
      </c>
      <c r="J927" s="37" t="n">
        <f aca="false">A927/2840</f>
        <v>0.323943661971831</v>
      </c>
      <c r="K927" s="32" t="str">
        <f aca="false">IF(I927&lt;=$E$4,"A",IF(I927&lt;=$E$5,"B","C"))</f>
        <v>C</v>
      </c>
    </row>
    <row r="928" customFormat="false" ht="15" hidden="false" customHeight="false" outlineLevel="0" collapsed="false">
      <c r="A928" s="32" t="n">
        <v>921</v>
      </c>
      <c r="B928" s="33" t="n">
        <v>962166</v>
      </c>
      <c r="C928" s="34" t="s">
        <v>1926</v>
      </c>
      <c r="D928" s="34" t="s">
        <v>1927</v>
      </c>
      <c r="E928" s="34" t="s">
        <v>130</v>
      </c>
      <c r="F928" s="32" t="n">
        <f aca="false">COUNTIF(Base!$D$2:$D$2878,B928)</f>
        <v>1</v>
      </c>
      <c r="G928" s="35" t="n">
        <f aca="false">SUMIF(Base!$D$2:$D$2878,B928,Base!$I$2:$I$2878)</f>
        <v>1360</v>
      </c>
      <c r="H928" s="36" t="n">
        <f aca="false">IF($G$2849=0,0,G928/$G$2849)</f>
        <v>8.92462278019674E-005</v>
      </c>
      <c r="I928" s="37" t="n">
        <f aca="false">I927+H928</f>
        <v>0.955374164692792</v>
      </c>
      <c r="J928" s="37" t="n">
        <f aca="false">A928/2840</f>
        <v>0.324295774647887</v>
      </c>
      <c r="K928" s="32" t="str">
        <f aca="false">IF(I928&lt;=$E$4,"A",IF(I928&lt;=$E$5,"B","C"))</f>
        <v>C</v>
      </c>
    </row>
    <row r="929" customFormat="false" ht="15" hidden="false" customHeight="false" outlineLevel="0" collapsed="false">
      <c r="A929" s="32" t="n">
        <v>922</v>
      </c>
      <c r="B929" s="33" t="n">
        <v>964895</v>
      </c>
      <c r="C929" s="34" t="s">
        <v>1928</v>
      </c>
      <c r="D929" s="34" t="s">
        <v>1929</v>
      </c>
      <c r="E929" s="34" t="s">
        <v>835</v>
      </c>
      <c r="F929" s="32" t="n">
        <f aca="false">COUNTIF(Base!$D$2:$D$2878,B929)</f>
        <v>1</v>
      </c>
      <c r="G929" s="35" t="n">
        <f aca="false">SUMIF(Base!$D$2:$D$2878,B929,Base!$I$2:$I$2878)</f>
        <v>1360</v>
      </c>
      <c r="H929" s="36" t="n">
        <f aca="false">IF($G$2849=0,0,G929/$G$2849)</f>
        <v>8.92462278019674E-005</v>
      </c>
      <c r="I929" s="37" t="n">
        <f aca="false">I928+H929</f>
        <v>0.955463410920594</v>
      </c>
      <c r="J929" s="37" t="n">
        <f aca="false">A929/2840</f>
        <v>0.324647887323944</v>
      </c>
      <c r="K929" s="32" t="str">
        <f aca="false">IF(I929&lt;=$E$4,"A",IF(I929&lt;=$E$5,"B","C"))</f>
        <v>C</v>
      </c>
    </row>
    <row r="930" customFormat="false" ht="15" hidden="false" customHeight="false" outlineLevel="0" collapsed="false">
      <c r="A930" s="32" t="n">
        <v>923</v>
      </c>
      <c r="B930" s="33" t="n">
        <v>19221</v>
      </c>
      <c r="C930" s="34" t="s">
        <v>1930</v>
      </c>
      <c r="D930" s="34" t="s">
        <v>1931</v>
      </c>
      <c r="E930" s="34" t="s">
        <v>93</v>
      </c>
      <c r="F930" s="32" t="n">
        <f aca="false">COUNTIF(Base!$D$2:$D$2878,B930)</f>
        <v>1</v>
      </c>
      <c r="G930" s="35" t="n">
        <f aca="false">SUMIF(Base!$D$2:$D$2878,B930,Base!$I$2:$I$2878)</f>
        <v>1356.98</v>
      </c>
      <c r="H930" s="36" t="n">
        <f aca="false">IF($G$2849=0,0,G930/$G$2849)</f>
        <v>8.9048048678466E-005</v>
      </c>
      <c r="I930" s="37" t="n">
        <f aca="false">I929+H930</f>
        <v>0.955552458969272</v>
      </c>
      <c r="J930" s="37" t="n">
        <f aca="false">A930/2840</f>
        <v>0.325</v>
      </c>
      <c r="K930" s="32" t="str">
        <f aca="false">IF(I930&lt;=$E$4,"A",IF(I930&lt;=$E$5,"B","C"))</f>
        <v>C</v>
      </c>
    </row>
    <row r="931" customFormat="false" ht="15" hidden="false" customHeight="false" outlineLevel="0" collapsed="false">
      <c r="A931" s="32" t="n">
        <v>924</v>
      </c>
      <c r="B931" s="33" t="n">
        <v>856177</v>
      </c>
      <c r="C931" s="34" t="s">
        <v>1932</v>
      </c>
      <c r="D931" s="34" t="s">
        <v>1933</v>
      </c>
      <c r="E931" s="34" t="s">
        <v>130</v>
      </c>
      <c r="F931" s="32" t="n">
        <f aca="false">COUNTIF(Base!$D$2:$D$2878,B931)</f>
        <v>1</v>
      </c>
      <c r="G931" s="35" t="n">
        <f aca="false">SUMIF(Base!$D$2:$D$2878,B931,Base!$I$2:$I$2878)</f>
        <v>1356</v>
      </c>
      <c r="H931" s="36" t="n">
        <f aca="false">IF($G$2849=0,0,G931/$G$2849)</f>
        <v>8.89837388966675E-005</v>
      </c>
      <c r="I931" s="37" t="n">
        <f aca="false">I930+H931</f>
        <v>0.955641442708169</v>
      </c>
      <c r="J931" s="37" t="n">
        <f aca="false">A931/2840</f>
        <v>0.325352112676056</v>
      </c>
      <c r="K931" s="32" t="str">
        <f aca="false">IF(I931&lt;=$E$4,"A",IF(I931&lt;=$E$5,"B","C"))</f>
        <v>C</v>
      </c>
    </row>
    <row r="932" customFormat="false" ht="15" hidden="false" customHeight="false" outlineLevel="0" collapsed="false">
      <c r="A932" s="32" t="n">
        <v>925</v>
      </c>
      <c r="B932" s="33" t="n">
        <v>224913</v>
      </c>
      <c r="C932" s="34" t="s">
        <v>1934</v>
      </c>
      <c r="D932" s="34" t="s">
        <v>1935</v>
      </c>
      <c r="E932" s="34" t="s">
        <v>247</v>
      </c>
      <c r="F932" s="32" t="n">
        <f aca="false">COUNTIF(Base!$D$2:$D$2878,B932)</f>
        <v>1</v>
      </c>
      <c r="G932" s="35" t="n">
        <f aca="false">SUMIF(Base!$D$2:$D$2878,B932,Base!$I$2:$I$2878)</f>
        <v>1350.92</v>
      </c>
      <c r="H932" s="36" t="n">
        <f aca="false">IF($G$2849=0,0,G932/$G$2849)</f>
        <v>8.86503779869366E-005</v>
      </c>
      <c r="I932" s="37" t="n">
        <f aca="false">I931+H932</f>
        <v>0.955730093086156</v>
      </c>
      <c r="J932" s="37" t="n">
        <f aca="false">A932/2840</f>
        <v>0.325704225352113</v>
      </c>
      <c r="K932" s="32" t="str">
        <f aca="false">IF(I932&lt;=$E$4,"A",IF(I932&lt;=$E$5,"B","C"))</f>
        <v>C</v>
      </c>
    </row>
    <row r="933" customFormat="false" ht="15" hidden="false" customHeight="false" outlineLevel="0" collapsed="false">
      <c r="A933" s="32" t="n">
        <v>926</v>
      </c>
      <c r="B933" s="33" t="n">
        <v>32636</v>
      </c>
      <c r="C933" s="34" t="s">
        <v>1936</v>
      </c>
      <c r="D933" s="34" t="s">
        <v>1937</v>
      </c>
      <c r="E933" s="34" t="s">
        <v>54</v>
      </c>
      <c r="F933" s="32" t="n">
        <f aca="false">COUNTIF(Base!$D$2:$D$2878,B933)</f>
        <v>1</v>
      </c>
      <c r="G933" s="35" t="n">
        <f aca="false">SUMIF(Base!$D$2:$D$2878,B933,Base!$I$2:$I$2878)</f>
        <v>1350</v>
      </c>
      <c r="H933" s="36" t="n">
        <f aca="false">IF($G$2849=0,0,G933/$G$2849)</f>
        <v>8.85900055387176E-005</v>
      </c>
      <c r="I933" s="37" t="n">
        <f aca="false">I932+H933</f>
        <v>0.955818683091695</v>
      </c>
      <c r="J933" s="37" t="n">
        <f aca="false">A933/2840</f>
        <v>0.326056338028169</v>
      </c>
      <c r="K933" s="32" t="str">
        <f aca="false">IF(I933&lt;=$E$4,"A",IF(I933&lt;=$E$5,"B","C"))</f>
        <v>C</v>
      </c>
    </row>
    <row r="934" customFormat="false" ht="15" hidden="false" customHeight="false" outlineLevel="0" collapsed="false">
      <c r="A934" s="32" t="n">
        <v>927</v>
      </c>
      <c r="B934" s="33" t="n">
        <v>1607243</v>
      </c>
      <c r="C934" s="34" t="s">
        <v>1938</v>
      </c>
      <c r="D934" s="34" t="s">
        <v>1939</v>
      </c>
      <c r="E934" s="34" t="s">
        <v>38</v>
      </c>
      <c r="F934" s="32" t="n">
        <f aca="false">COUNTIF(Base!$D$2:$D$2878,B934)</f>
        <v>1</v>
      </c>
      <c r="G934" s="35" t="n">
        <f aca="false">SUMIF(Base!$D$2:$D$2878,B934,Base!$I$2:$I$2878)</f>
        <v>1350</v>
      </c>
      <c r="H934" s="36" t="n">
        <f aca="false">IF($G$2849=0,0,G934/$G$2849)</f>
        <v>8.85900055387176E-005</v>
      </c>
      <c r="I934" s="37" t="n">
        <f aca="false">I933+H934</f>
        <v>0.955907273097233</v>
      </c>
      <c r="J934" s="37" t="n">
        <f aca="false">A934/2840</f>
        <v>0.326408450704225</v>
      </c>
      <c r="K934" s="32" t="str">
        <f aca="false">IF(I934&lt;=$E$4,"A",IF(I934&lt;=$E$5,"B","C"))</f>
        <v>C</v>
      </c>
    </row>
    <row r="935" customFormat="false" ht="15" hidden="false" customHeight="false" outlineLevel="0" collapsed="false">
      <c r="A935" s="32" t="n">
        <v>928</v>
      </c>
      <c r="B935" s="33" t="n">
        <v>877346</v>
      </c>
      <c r="C935" s="34" t="s">
        <v>1940</v>
      </c>
      <c r="D935" s="34" t="s">
        <v>1941</v>
      </c>
      <c r="E935" s="34" t="s">
        <v>189</v>
      </c>
      <c r="F935" s="32" t="n">
        <f aca="false">COUNTIF(Base!$D$2:$D$2878,B935)</f>
        <v>1</v>
      </c>
      <c r="G935" s="35" t="n">
        <f aca="false">SUMIF(Base!$D$2:$D$2878,B935,Base!$I$2:$I$2878)</f>
        <v>1348</v>
      </c>
      <c r="H935" s="36" t="n">
        <f aca="false">IF($G$2849=0,0,G935/$G$2849)</f>
        <v>8.84587610860677E-005</v>
      </c>
      <c r="I935" s="37" t="n">
        <f aca="false">I934+H935</f>
        <v>0.955995731858319</v>
      </c>
      <c r="J935" s="37" t="n">
        <f aca="false">A935/2840</f>
        <v>0.326760563380282</v>
      </c>
      <c r="K935" s="32" t="str">
        <f aca="false">IF(I935&lt;=$E$4,"A",IF(I935&lt;=$E$5,"B","C"))</f>
        <v>C</v>
      </c>
    </row>
    <row r="936" customFormat="false" ht="15" hidden="false" customHeight="false" outlineLevel="0" collapsed="false">
      <c r="A936" s="32" t="n">
        <v>929</v>
      </c>
      <c r="B936" s="33" t="n">
        <v>1385307</v>
      </c>
      <c r="C936" s="34" t="s">
        <v>1942</v>
      </c>
      <c r="D936" s="34" t="s">
        <v>1943</v>
      </c>
      <c r="E936" s="34" t="s">
        <v>38</v>
      </c>
      <c r="F936" s="32" t="n">
        <f aca="false">COUNTIF(Base!$D$2:$D$2878,B936)</f>
        <v>1</v>
      </c>
      <c r="G936" s="35" t="n">
        <f aca="false">SUMIF(Base!$D$2:$D$2878,B936,Base!$I$2:$I$2878)</f>
        <v>1345.17</v>
      </c>
      <c r="H936" s="36" t="n">
        <f aca="false">IF($G$2849=0,0,G936/$G$2849)</f>
        <v>8.8273050185568E-005</v>
      </c>
      <c r="I936" s="37" t="n">
        <f aca="false">I935+H936</f>
        <v>0.956084004908505</v>
      </c>
      <c r="J936" s="37" t="n">
        <f aca="false">A936/2840</f>
        <v>0.327112676056338</v>
      </c>
      <c r="K936" s="32" t="str">
        <f aca="false">IF(I936&lt;=$E$4,"A",IF(I936&lt;=$E$5,"B","C"))</f>
        <v>C</v>
      </c>
    </row>
    <row r="937" customFormat="false" ht="15" hidden="false" customHeight="false" outlineLevel="0" collapsed="false">
      <c r="A937" s="32" t="n">
        <v>930</v>
      </c>
      <c r="B937" s="33" t="n">
        <v>277524</v>
      </c>
      <c r="C937" s="34" t="s">
        <v>1944</v>
      </c>
      <c r="D937" s="34" t="s">
        <v>1945</v>
      </c>
      <c r="E937" s="34" t="s">
        <v>722</v>
      </c>
      <c r="F937" s="32" t="n">
        <f aca="false">COUNTIF(Base!$D$2:$D$2878,B937)</f>
        <v>1</v>
      </c>
      <c r="G937" s="35" t="n">
        <f aca="false">SUMIF(Base!$D$2:$D$2878,B937,Base!$I$2:$I$2878)</f>
        <v>1345</v>
      </c>
      <c r="H937" s="36" t="n">
        <f aca="false">IF($G$2849=0,0,G937/$G$2849)</f>
        <v>8.82618944070927E-005</v>
      </c>
      <c r="I937" s="37" t="n">
        <f aca="false">I936+H937</f>
        <v>0.956172266802912</v>
      </c>
      <c r="J937" s="37" t="n">
        <f aca="false">A937/2840</f>
        <v>0.327464788732394</v>
      </c>
      <c r="K937" s="32" t="str">
        <f aca="false">IF(I937&lt;=$E$4,"A",IF(I937&lt;=$E$5,"B","C"))</f>
        <v>C</v>
      </c>
    </row>
    <row r="938" customFormat="false" ht="15" hidden="false" customHeight="false" outlineLevel="0" collapsed="false">
      <c r="A938" s="32" t="n">
        <v>931</v>
      </c>
      <c r="B938" s="33" t="n">
        <v>1476095</v>
      </c>
      <c r="C938" s="34" t="s">
        <v>1946</v>
      </c>
      <c r="D938" s="34" t="s">
        <v>1947</v>
      </c>
      <c r="E938" s="34" t="s">
        <v>334</v>
      </c>
      <c r="F938" s="32" t="n">
        <f aca="false">COUNTIF(Base!$D$2:$D$2878,B938)</f>
        <v>1</v>
      </c>
      <c r="G938" s="35" t="n">
        <f aca="false">SUMIF(Base!$D$2:$D$2878,B938,Base!$I$2:$I$2878)</f>
        <v>1345</v>
      </c>
      <c r="H938" s="36" t="n">
        <f aca="false">IF($G$2849=0,0,G938/$G$2849)</f>
        <v>8.82618944070927E-005</v>
      </c>
      <c r="I938" s="37" t="n">
        <f aca="false">I937+H938</f>
        <v>0.956260528697319</v>
      </c>
      <c r="J938" s="37" t="n">
        <f aca="false">A938/2840</f>
        <v>0.327816901408451</v>
      </c>
      <c r="K938" s="32" t="str">
        <f aca="false">IF(I938&lt;=$E$4,"A",IF(I938&lt;=$E$5,"B","C"))</f>
        <v>C</v>
      </c>
    </row>
    <row r="939" customFormat="false" ht="15" hidden="false" customHeight="false" outlineLevel="0" collapsed="false">
      <c r="A939" s="32" t="n">
        <v>932</v>
      </c>
      <c r="B939" s="33" t="n">
        <v>1386769</v>
      </c>
      <c r="C939" s="34" t="s">
        <v>1948</v>
      </c>
      <c r="D939" s="34" t="s">
        <v>1949</v>
      </c>
      <c r="E939" s="34" t="s">
        <v>160</v>
      </c>
      <c r="F939" s="32" t="n">
        <f aca="false">COUNTIF(Base!$D$2:$D$2878,B939)</f>
        <v>1</v>
      </c>
      <c r="G939" s="35" t="n">
        <f aca="false">SUMIF(Base!$D$2:$D$2878,B939,Base!$I$2:$I$2878)</f>
        <v>1344.84</v>
      </c>
      <c r="H939" s="36" t="n">
        <f aca="false">IF($G$2849=0,0,G939/$G$2849)</f>
        <v>8.82513948508807E-005</v>
      </c>
      <c r="I939" s="37" t="n">
        <f aca="false">I938+H939</f>
        <v>0.95634878009217</v>
      </c>
      <c r="J939" s="37" t="n">
        <f aca="false">A939/2840</f>
        <v>0.328169014084507</v>
      </c>
      <c r="K939" s="32" t="str">
        <f aca="false">IF(I939&lt;=$E$4,"A",IF(I939&lt;=$E$5,"B","C"))</f>
        <v>C</v>
      </c>
    </row>
    <row r="940" customFormat="false" ht="15" hidden="false" customHeight="false" outlineLevel="0" collapsed="false">
      <c r="A940" s="32" t="n">
        <v>933</v>
      </c>
      <c r="B940" s="33" t="n">
        <v>1329155</v>
      </c>
      <c r="C940" s="34" t="s">
        <v>1950</v>
      </c>
      <c r="D940" s="34" t="s">
        <v>1951</v>
      </c>
      <c r="E940" s="34" t="s">
        <v>1095</v>
      </c>
      <c r="F940" s="32" t="n">
        <f aca="false">COUNTIF(Base!$D$2:$D$2878,B940)</f>
        <v>1</v>
      </c>
      <c r="G940" s="35" t="n">
        <f aca="false">SUMIF(Base!$D$2:$D$2878,B940,Base!$I$2:$I$2878)</f>
        <v>1342.08</v>
      </c>
      <c r="H940" s="36" t="n">
        <f aca="false">IF($G$2849=0,0,G940/$G$2849)</f>
        <v>8.80702775062238E-005</v>
      </c>
      <c r="I940" s="37" t="n">
        <f aca="false">I939+H940</f>
        <v>0.956436850369676</v>
      </c>
      <c r="J940" s="37" t="n">
        <f aca="false">A940/2840</f>
        <v>0.328521126760563</v>
      </c>
      <c r="K940" s="32" t="str">
        <f aca="false">IF(I940&lt;=$E$4,"A",IF(I940&lt;=$E$5,"B","C"))</f>
        <v>C</v>
      </c>
    </row>
    <row r="941" customFormat="false" ht="15" hidden="false" customHeight="false" outlineLevel="0" collapsed="false">
      <c r="A941" s="32" t="n">
        <v>934</v>
      </c>
      <c r="B941" s="33" t="n">
        <v>18064</v>
      </c>
      <c r="C941" s="34" t="s">
        <v>1952</v>
      </c>
      <c r="D941" s="34" t="s">
        <v>1953</v>
      </c>
      <c r="E941" s="34" t="s">
        <v>130</v>
      </c>
      <c r="F941" s="32" t="n">
        <f aca="false">COUNTIF(Base!$D$2:$D$2878,B941)</f>
        <v>1</v>
      </c>
      <c r="G941" s="35" t="n">
        <f aca="false">SUMIF(Base!$D$2:$D$2878,B941,Base!$I$2:$I$2878)</f>
        <v>1340</v>
      </c>
      <c r="H941" s="36" t="n">
        <f aca="false">IF($G$2849=0,0,G941/$G$2849)</f>
        <v>8.79337832754679E-005</v>
      </c>
      <c r="I941" s="37" t="n">
        <f aca="false">I940+H941</f>
        <v>0.956524784152952</v>
      </c>
      <c r="J941" s="37" t="n">
        <f aca="false">A941/2840</f>
        <v>0.32887323943662</v>
      </c>
      <c r="K941" s="32" t="str">
        <f aca="false">IF(I941&lt;=$E$4,"A",IF(I941&lt;=$E$5,"B","C"))</f>
        <v>C</v>
      </c>
    </row>
    <row r="942" customFormat="false" ht="15" hidden="false" customHeight="false" outlineLevel="0" collapsed="false">
      <c r="A942" s="32" t="n">
        <v>935</v>
      </c>
      <c r="B942" s="33" t="n">
        <v>864248</v>
      </c>
      <c r="C942" s="34" t="s">
        <v>1954</v>
      </c>
      <c r="D942" s="34" t="s">
        <v>1955</v>
      </c>
      <c r="E942" s="34" t="s">
        <v>130</v>
      </c>
      <c r="F942" s="32" t="n">
        <f aca="false">COUNTIF(Base!$D$2:$D$2878,B942)</f>
        <v>1</v>
      </c>
      <c r="G942" s="35" t="n">
        <f aca="false">SUMIF(Base!$D$2:$D$2878,B942,Base!$I$2:$I$2878)</f>
        <v>1335</v>
      </c>
      <c r="H942" s="36" t="n">
        <f aca="false">IF($G$2849=0,0,G942/$G$2849)</f>
        <v>8.7605672143843E-005</v>
      </c>
      <c r="I942" s="37" t="n">
        <f aca="false">I941+H942</f>
        <v>0.956612389825096</v>
      </c>
      <c r="J942" s="37" t="n">
        <f aca="false">A942/2840</f>
        <v>0.329225352112676</v>
      </c>
      <c r="K942" s="32" t="str">
        <f aca="false">IF(I942&lt;=$E$4,"A",IF(I942&lt;=$E$5,"B","C"))</f>
        <v>C</v>
      </c>
    </row>
    <row r="943" customFormat="false" ht="15" hidden="false" customHeight="false" outlineLevel="0" collapsed="false">
      <c r="A943" s="32" t="n">
        <v>936</v>
      </c>
      <c r="B943" s="33" t="n">
        <v>855305</v>
      </c>
      <c r="C943" s="34" t="s">
        <v>1956</v>
      </c>
      <c r="D943" s="34" t="s">
        <v>1957</v>
      </c>
      <c r="E943" s="34" t="s">
        <v>133</v>
      </c>
      <c r="F943" s="32" t="n">
        <f aca="false">COUNTIF(Base!$D$2:$D$2878,B943)</f>
        <v>1</v>
      </c>
      <c r="G943" s="35" t="n">
        <f aca="false">SUMIF(Base!$D$2:$D$2878,B943,Base!$I$2:$I$2878)</f>
        <v>1331.04</v>
      </c>
      <c r="H943" s="36" t="n">
        <f aca="false">IF($G$2849=0,0,G943/$G$2849)</f>
        <v>8.73458081275961E-005</v>
      </c>
      <c r="I943" s="37" t="n">
        <f aca="false">I942+H943</f>
        <v>0.956699735633223</v>
      </c>
      <c r="J943" s="37" t="n">
        <f aca="false">A943/2840</f>
        <v>0.329577464788732</v>
      </c>
      <c r="K943" s="32" t="str">
        <f aca="false">IF(I943&lt;=$E$4,"A",IF(I943&lt;=$E$5,"B","C"))</f>
        <v>C</v>
      </c>
    </row>
    <row r="944" customFormat="false" ht="15" hidden="false" customHeight="false" outlineLevel="0" collapsed="false">
      <c r="A944" s="32" t="n">
        <v>937</v>
      </c>
      <c r="B944" s="33" t="n">
        <v>1323076</v>
      </c>
      <c r="C944" s="34" t="s">
        <v>1958</v>
      </c>
      <c r="D944" s="34" t="s">
        <v>1959</v>
      </c>
      <c r="E944" s="34" t="s">
        <v>66</v>
      </c>
      <c r="F944" s="32" t="n">
        <f aca="false">COUNTIF(Base!$D$2:$D$2878,B944)</f>
        <v>1</v>
      </c>
      <c r="G944" s="35" t="n">
        <f aca="false">SUMIF(Base!$D$2:$D$2878,B944,Base!$I$2:$I$2878)</f>
        <v>1330.26</v>
      </c>
      <c r="H944" s="36" t="n">
        <f aca="false">IF($G$2849=0,0,G944/$G$2849)</f>
        <v>8.72946227910626E-005</v>
      </c>
      <c r="I944" s="37" t="n">
        <f aca="false">I943+H944</f>
        <v>0.956787030256014</v>
      </c>
      <c r="J944" s="37" t="n">
        <f aca="false">A944/2840</f>
        <v>0.329929577464789</v>
      </c>
      <c r="K944" s="32" t="str">
        <f aca="false">IF(I944&lt;=$E$4,"A",IF(I944&lt;=$E$5,"B","C"))</f>
        <v>C</v>
      </c>
    </row>
    <row r="945" customFormat="false" ht="15" hidden="false" customHeight="false" outlineLevel="0" collapsed="false">
      <c r="A945" s="32" t="n">
        <v>938</v>
      </c>
      <c r="B945" s="33" t="n">
        <v>1321374</v>
      </c>
      <c r="C945" s="34" t="s">
        <v>1960</v>
      </c>
      <c r="D945" s="34" t="s">
        <v>1961</v>
      </c>
      <c r="E945" s="34" t="s">
        <v>835</v>
      </c>
      <c r="F945" s="32" t="n">
        <f aca="false">COUNTIF(Base!$D$2:$D$2878,B945)</f>
        <v>1</v>
      </c>
      <c r="G945" s="35" t="n">
        <f aca="false">SUMIF(Base!$D$2:$D$2878,B945,Base!$I$2:$I$2878)</f>
        <v>1330</v>
      </c>
      <c r="H945" s="36" t="n">
        <f aca="false">IF($G$2849=0,0,G945/$G$2849)</f>
        <v>8.72775610122181E-005</v>
      </c>
      <c r="I945" s="37" t="n">
        <f aca="false">I944+H945</f>
        <v>0.956874307817027</v>
      </c>
      <c r="J945" s="37" t="n">
        <f aca="false">A945/2840</f>
        <v>0.330281690140845</v>
      </c>
      <c r="K945" s="32" t="str">
        <f aca="false">IF(I945&lt;=$E$4,"A",IF(I945&lt;=$E$5,"B","C"))</f>
        <v>C</v>
      </c>
    </row>
    <row r="946" customFormat="false" ht="15" hidden="false" customHeight="false" outlineLevel="0" collapsed="false">
      <c r="A946" s="32" t="n">
        <v>939</v>
      </c>
      <c r="B946" s="33" t="n">
        <v>1383224</v>
      </c>
      <c r="C946" s="34" t="s">
        <v>1962</v>
      </c>
      <c r="D946" s="34" t="s">
        <v>1963</v>
      </c>
      <c r="E946" s="34" t="s">
        <v>38</v>
      </c>
      <c r="F946" s="32" t="n">
        <f aca="false">COUNTIF(Base!$D$2:$D$2878,B946)</f>
        <v>1</v>
      </c>
      <c r="G946" s="35" t="n">
        <f aca="false">SUMIF(Base!$D$2:$D$2878,B946,Base!$I$2:$I$2878)</f>
        <v>1329.5</v>
      </c>
      <c r="H946" s="36" t="n">
        <f aca="false">IF($G$2849=0,0,G946/$G$2849)</f>
        <v>8.72447498990556E-005</v>
      </c>
      <c r="I946" s="37" t="n">
        <f aca="false">I945+H946</f>
        <v>0.956961552566926</v>
      </c>
      <c r="J946" s="37" t="n">
        <f aca="false">A946/2840</f>
        <v>0.330633802816901</v>
      </c>
      <c r="K946" s="32" t="str">
        <f aca="false">IF(I946&lt;=$E$4,"A",IF(I946&lt;=$E$5,"B","C"))</f>
        <v>C</v>
      </c>
    </row>
    <row r="947" customFormat="false" ht="15" hidden="false" customHeight="false" outlineLevel="0" collapsed="false">
      <c r="A947" s="32" t="n">
        <v>940</v>
      </c>
      <c r="B947" s="33" t="n">
        <v>56168</v>
      </c>
      <c r="C947" s="34" t="s">
        <v>1964</v>
      </c>
      <c r="D947" s="34" t="s">
        <v>1965</v>
      </c>
      <c r="E947" s="34" t="s">
        <v>38</v>
      </c>
      <c r="F947" s="32" t="n">
        <f aca="false">COUNTIF(Base!$D$2:$D$2878,B947)</f>
        <v>1</v>
      </c>
      <c r="G947" s="35" t="n">
        <f aca="false">SUMIF(Base!$D$2:$D$2878,B947,Base!$I$2:$I$2878)</f>
        <v>1321.627</v>
      </c>
      <c r="H947" s="36" t="n">
        <f aca="false">IF($G$2849=0,0,G947/$G$2849)</f>
        <v>8.67281061111991E-005</v>
      </c>
      <c r="I947" s="37" t="n">
        <f aca="false">I946+H947</f>
        <v>0.957048280673037</v>
      </c>
      <c r="J947" s="37" t="n">
        <f aca="false">A947/2840</f>
        <v>0.330985915492958</v>
      </c>
      <c r="K947" s="32" t="str">
        <f aca="false">IF(I947&lt;=$E$4,"A",IF(I947&lt;=$E$5,"B","C"))</f>
        <v>C</v>
      </c>
    </row>
    <row r="948" customFormat="false" ht="15" hidden="false" customHeight="false" outlineLevel="0" collapsed="false">
      <c r="A948" s="32" t="n">
        <v>941</v>
      </c>
      <c r="B948" s="33" t="n">
        <v>349860</v>
      </c>
      <c r="C948" s="34" t="s">
        <v>1966</v>
      </c>
      <c r="D948" s="34" t="s">
        <v>1967</v>
      </c>
      <c r="E948" s="34" t="s">
        <v>100</v>
      </c>
      <c r="F948" s="32" t="n">
        <f aca="false">COUNTIF(Base!$D$2:$D$2878,B948)</f>
        <v>1</v>
      </c>
      <c r="G948" s="35" t="n">
        <f aca="false">SUMIF(Base!$D$2:$D$2878,B948,Base!$I$2:$I$2878)</f>
        <v>1320</v>
      </c>
      <c r="H948" s="36" t="n">
        <f aca="false">IF($G$2849=0,0,G948/$G$2849)</f>
        <v>8.66213387489683E-005</v>
      </c>
      <c r="I948" s="37" t="n">
        <f aca="false">I947+H948</f>
        <v>0.957134902011786</v>
      </c>
      <c r="J948" s="37" t="n">
        <f aca="false">A948/2840</f>
        <v>0.331338028169014</v>
      </c>
      <c r="K948" s="32" t="str">
        <f aca="false">IF(I948&lt;=$E$4,"A",IF(I948&lt;=$E$5,"B","C"))</f>
        <v>C</v>
      </c>
    </row>
    <row r="949" customFormat="false" ht="15" hidden="false" customHeight="false" outlineLevel="0" collapsed="false">
      <c r="A949" s="32" t="n">
        <v>942</v>
      </c>
      <c r="B949" s="33" t="n">
        <v>945721</v>
      </c>
      <c r="C949" s="34" t="s">
        <v>1968</v>
      </c>
      <c r="D949" s="34" t="s">
        <v>1969</v>
      </c>
      <c r="E949" s="34" t="s">
        <v>705</v>
      </c>
      <c r="F949" s="32" t="n">
        <f aca="false">COUNTIF(Base!$D$2:$D$2878,B949)</f>
        <v>1</v>
      </c>
      <c r="G949" s="35" t="n">
        <f aca="false">SUMIF(Base!$D$2:$D$2878,B949,Base!$I$2:$I$2878)</f>
        <v>1320</v>
      </c>
      <c r="H949" s="36" t="n">
        <f aca="false">IF($G$2849=0,0,G949/$G$2849)</f>
        <v>8.66213387489683E-005</v>
      </c>
      <c r="I949" s="37" t="n">
        <f aca="false">I948+H949</f>
        <v>0.957221523350535</v>
      </c>
      <c r="J949" s="37" t="n">
        <f aca="false">A949/2840</f>
        <v>0.33169014084507</v>
      </c>
      <c r="K949" s="32" t="str">
        <f aca="false">IF(I949&lt;=$E$4,"A",IF(I949&lt;=$E$5,"B","C"))</f>
        <v>C</v>
      </c>
    </row>
    <row r="950" customFormat="false" ht="15" hidden="false" customHeight="false" outlineLevel="0" collapsed="false">
      <c r="A950" s="32" t="n">
        <v>943</v>
      </c>
      <c r="B950" s="33" t="n">
        <v>1471982</v>
      </c>
      <c r="C950" s="34" t="s">
        <v>1970</v>
      </c>
      <c r="D950" s="34" t="s">
        <v>1971</v>
      </c>
      <c r="E950" s="34" t="s">
        <v>100</v>
      </c>
      <c r="F950" s="32" t="n">
        <f aca="false">COUNTIF(Base!$D$2:$D$2878,B950)</f>
        <v>1</v>
      </c>
      <c r="G950" s="35" t="n">
        <f aca="false">SUMIF(Base!$D$2:$D$2878,B950,Base!$I$2:$I$2878)</f>
        <v>1320</v>
      </c>
      <c r="H950" s="36" t="n">
        <f aca="false">IF($G$2849=0,0,G950/$G$2849)</f>
        <v>8.66213387489683E-005</v>
      </c>
      <c r="I950" s="37" t="n">
        <f aca="false">I949+H950</f>
        <v>0.957308144689284</v>
      </c>
      <c r="J950" s="37" t="n">
        <f aca="false">A950/2840</f>
        <v>0.332042253521127</v>
      </c>
      <c r="K950" s="32" t="str">
        <f aca="false">IF(I950&lt;=$E$4,"A",IF(I950&lt;=$E$5,"B","C"))</f>
        <v>C</v>
      </c>
    </row>
    <row r="951" customFormat="false" ht="15" hidden="false" customHeight="false" outlineLevel="0" collapsed="false">
      <c r="A951" s="32" t="n">
        <v>944</v>
      </c>
      <c r="B951" s="33" t="n">
        <v>23865</v>
      </c>
      <c r="C951" s="34" t="s">
        <v>1972</v>
      </c>
      <c r="D951" s="34" t="s">
        <v>1973</v>
      </c>
      <c r="E951" s="34" t="s">
        <v>38</v>
      </c>
      <c r="F951" s="32" t="n">
        <f aca="false">COUNTIF(Base!$D$2:$D$2878,B951)</f>
        <v>1</v>
      </c>
      <c r="G951" s="35" t="n">
        <f aca="false">SUMIF(Base!$D$2:$D$2878,B951,Base!$I$2:$I$2878)</f>
        <v>1316</v>
      </c>
      <c r="H951" s="36" t="n">
        <f aca="false">IF($G$2849=0,0,G951/$G$2849)</f>
        <v>8.63588498436684E-005</v>
      </c>
      <c r="I951" s="37" t="n">
        <f aca="false">I950+H951</f>
        <v>0.957394503539127</v>
      </c>
      <c r="J951" s="37" t="n">
        <f aca="false">A951/2840</f>
        <v>0.332394366197183</v>
      </c>
      <c r="K951" s="32" t="str">
        <f aca="false">IF(I951&lt;=$E$4,"A",IF(I951&lt;=$E$5,"B","C"))</f>
        <v>C</v>
      </c>
    </row>
    <row r="952" customFormat="false" ht="15" hidden="false" customHeight="false" outlineLevel="0" collapsed="false">
      <c r="A952" s="32" t="n">
        <v>945</v>
      </c>
      <c r="B952" s="33" t="n">
        <v>140515</v>
      </c>
      <c r="C952" s="34" t="s">
        <v>1974</v>
      </c>
      <c r="D952" s="34" t="s">
        <v>1975</v>
      </c>
      <c r="E952" s="34" t="s">
        <v>38</v>
      </c>
      <c r="F952" s="32" t="n">
        <f aca="false">COUNTIF(Base!$D$2:$D$2878,B952)</f>
        <v>1</v>
      </c>
      <c r="G952" s="35" t="n">
        <f aca="false">SUMIF(Base!$D$2:$D$2878,B952,Base!$I$2:$I$2878)</f>
        <v>1312.3</v>
      </c>
      <c r="H952" s="36" t="n">
        <f aca="false">IF($G$2849=0,0,G952/$G$2849)</f>
        <v>8.6116047606266E-005</v>
      </c>
      <c r="I952" s="37" t="n">
        <f aca="false">I951+H952</f>
        <v>0.957480619586734</v>
      </c>
      <c r="J952" s="37" t="n">
        <f aca="false">A952/2840</f>
        <v>0.332746478873239</v>
      </c>
      <c r="K952" s="32" t="str">
        <f aca="false">IF(I952&lt;=$E$4,"A",IF(I952&lt;=$E$5,"B","C"))</f>
        <v>C</v>
      </c>
    </row>
    <row r="953" customFormat="false" ht="15" hidden="false" customHeight="false" outlineLevel="0" collapsed="false">
      <c r="A953" s="32" t="n">
        <v>946</v>
      </c>
      <c r="B953" s="33" t="n">
        <v>21811</v>
      </c>
      <c r="C953" s="34" t="s">
        <v>1976</v>
      </c>
      <c r="D953" s="34" t="s">
        <v>1977</v>
      </c>
      <c r="E953" s="34" t="s">
        <v>722</v>
      </c>
      <c r="F953" s="32" t="n">
        <f aca="false">COUNTIF(Base!$D$2:$D$2878,B953)</f>
        <v>1</v>
      </c>
      <c r="G953" s="35" t="n">
        <f aca="false">SUMIF(Base!$D$2:$D$2878,B953,Base!$I$2:$I$2878)</f>
        <v>1305.22</v>
      </c>
      <c r="H953" s="36" t="n">
        <f aca="false">IF($G$2849=0,0,G953/$G$2849)</f>
        <v>8.56514422438852E-005</v>
      </c>
      <c r="I953" s="37" t="n">
        <f aca="false">I952+H953</f>
        <v>0.957566271028977</v>
      </c>
      <c r="J953" s="37" t="n">
        <f aca="false">A953/2840</f>
        <v>0.333098591549296</v>
      </c>
      <c r="K953" s="32" t="str">
        <f aca="false">IF(I953&lt;=$E$4,"A",IF(I953&lt;=$E$5,"B","C"))</f>
        <v>C</v>
      </c>
    </row>
    <row r="954" customFormat="false" ht="15" hidden="false" customHeight="false" outlineLevel="0" collapsed="false">
      <c r="A954" s="32" t="n">
        <v>947</v>
      </c>
      <c r="B954" s="33" t="n">
        <v>864247</v>
      </c>
      <c r="C954" s="34" t="s">
        <v>1978</v>
      </c>
      <c r="D954" s="34" t="s">
        <v>1979</v>
      </c>
      <c r="E954" s="34" t="s">
        <v>130</v>
      </c>
      <c r="F954" s="32" t="n">
        <f aca="false">COUNTIF(Base!$D$2:$D$2878,B954)</f>
        <v>1</v>
      </c>
      <c r="G954" s="35" t="n">
        <f aca="false">SUMIF(Base!$D$2:$D$2878,B954,Base!$I$2:$I$2878)</f>
        <v>1305</v>
      </c>
      <c r="H954" s="36" t="n">
        <f aca="false">IF($G$2849=0,0,G954/$G$2849)</f>
        <v>8.56370053540937E-005</v>
      </c>
      <c r="I954" s="37" t="n">
        <f aca="false">I953+H954</f>
        <v>0.957651908034332</v>
      </c>
      <c r="J954" s="37" t="n">
        <f aca="false">A954/2840</f>
        <v>0.333450704225352</v>
      </c>
      <c r="K954" s="32" t="str">
        <f aca="false">IF(I954&lt;=$E$4,"A",IF(I954&lt;=$E$5,"B","C"))</f>
        <v>C</v>
      </c>
    </row>
    <row r="955" customFormat="false" ht="15" hidden="false" customHeight="false" outlineLevel="0" collapsed="false">
      <c r="A955" s="32" t="n">
        <v>948</v>
      </c>
      <c r="B955" s="33" t="n">
        <v>21345</v>
      </c>
      <c r="C955" s="34" t="s">
        <v>1980</v>
      </c>
      <c r="D955" s="34" t="s">
        <v>1981</v>
      </c>
      <c r="E955" s="34" t="s">
        <v>457</v>
      </c>
      <c r="F955" s="32" t="n">
        <f aca="false">COUNTIF(Base!$D$2:$D$2878,B955)</f>
        <v>1</v>
      </c>
      <c r="G955" s="35" t="n">
        <f aca="false">SUMIF(Base!$D$2:$D$2878,B955,Base!$I$2:$I$2878)</f>
        <v>1304.723</v>
      </c>
      <c r="H955" s="36" t="n">
        <f aca="false">IF($G$2849=0,0,G955/$G$2849)</f>
        <v>8.56188279974017E-005</v>
      </c>
      <c r="I955" s="37" t="n">
        <f aca="false">I954+H955</f>
        <v>0.957737526862329</v>
      </c>
      <c r="J955" s="37" t="n">
        <f aca="false">A955/2840</f>
        <v>0.333802816901408</v>
      </c>
      <c r="K955" s="32" t="str">
        <f aca="false">IF(I955&lt;=$E$4,"A",IF(I955&lt;=$E$5,"B","C"))</f>
        <v>C</v>
      </c>
    </row>
    <row r="956" customFormat="false" ht="15" hidden="false" customHeight="false" outlineLevel="0" collapsed="false">
      <c r="A956" s="32" t="n">
        <v>949</v>
      </c>
      <c r="B956" s="33" t="n">
        <v>1674333</v>
      </c>
      <c r="C956" s="34" t="s">
        <v>1982</v>
      </c>
      <c r="D956" s="34" t="s">
        <v>1983</v>
      </c>
      <c r="E956" s="34" t="s">
        <v>480</v>
      </c>
      <c r="F956" s="32" t="n">
        <f aca="false">COUNTIF(Base!$D$2:$D$2878,B956)</f>
        <v>1</v>
      </c>
      <c r="G956" s="35" t="n">
        <f aca="false">SUMIF(Base!$D$2:$D$2878,B956,Base!$I$2:$I$2878)</f>
        <v>1301.98</v>
      </c>
      <c r="H956" s="36" t="n">
        <f aca="false">IF($G$2849=0,0,G956/$G$2849)</f>
        <v>8.54388262305923E-005</v>
      </c>
      <c r="I956" s="37" t="n">
        <f aca="false">I955+H956</f>
        <v>0.95782296568856</v>
      </c>
      <c r="J956" s="37" t="n">
        <f aca="false">A956/2840</f>
        <v>0.334154929577465</v>
      </c>
      <c r="K956" s="32" t="str">
        <f aca="false">IF(I956&lt;=$E$4,"A",IF(I956&lt;=$E$5,"B","C"))</f>
        <v>C</v>
      </c>
    </row>
    <row r="957" customFormat="false" ht="15" hidden="false" customHeight="false" outlineLevel="0" collapsed="false">
      <c r="A957" s="32" t="n">
        <v>950</v>
      </c>
      <c r="B957" s="33" t="n">
        <v>34229</v>
      </c>
      <c r="C957" s="34" t="s">
        <v>1984</v>
      </c>
      <c r="D957" s="34" t="s">
        <v>1985</v>
      </c>
      <c r="E957" s="34" t="s">
        <v>705</v>
      </c>
      <c r="F957" s="32" t="n">
        <f aca="false">COUNTIF(Base!$D$2:$D$2878,B957)</f>
        <v>1</v>
      </c>
      <c r="G957" s="35" t="n">
        <f aca="false">SUMIF(Base!$D$2:$D$2878,B957,Base!$I$2:$I$2878)</f>
        <v>1300</v>
      </c>
      <c r="H957" s="36" t="n">
        <f aca="false">IF($G$2849=0,0,G957/$G$2849)</f>
        <v>8.53088942224688E-005</v>
      </c>
      <c r="I957" s="37" t="n">
        <f aca="false">I956+H957</f>
        <v>0.957908274582782</v>
      </c>
      <c r="J957" s="37" t="n">
        <f aca="false">A957/2840</f>
        <v>0.334507042253521</v>
      </c>
      <c r="K957" s="32" t="str">
        <f aca="false">IF(I957&lt;=$E$4,"A",IF(I957&lt;=$E$5,"B","C"))</f>
        <v>C</v>
      </c>
    </row>
    <row r="958" customFormat="false" ht="15" hidden="false" customHeight="false" outlineLevel="0" collapsed="false">
      <c r="A958" s="32" t="n">
        <v>951</v>
      </c>
      <c r="B958" s="33" t="n">
        <v>857550</v>
      </c>
      <c r="C958" s="34" t="s">
        <v>1986</v>
      </c>
      <c r="D958" s="34" t="s">
        <v>1987</v>
      </c>
      <c r="E958" s="34" t="s">
        <v>189</v>
      </c>
      <c r="F958" s="32" t="n">
        <f aca="false">COUNTIF(Base!$D$2:$D$2878,B958)</f>
        <v>1</v>
      </c>
      <c r="G958" s="35" t="n">
        <f aca="false">SUMIF(Base!$D$2:$D$2878,B958,Base!$I$2:$I$2878)</f>
        <v>1300</v>
      </c>
      <c r="H958" s="36" t="n">
        <f aca="false">IF($G$2849=0,0,G958/$G$2849)</f>
        <v>8.53088942224688E-005</v>
      </c>
      <c r="I958" s="37" t="n">
        <f aca="false">I957+H958</f>
        <v>0.957993583477004</v>
      </c>
      <c r="J958" s="37" t="n">
        <f aca="false">A958/2840</f>
        <v>0.334859154929577</v>
      </c>
      <c r="K958" s="32" t="str">
        <f aca="false">IF(I958&lt;=$E$4,"A",IF(I958&lt;=$E$5,"B","C"))</f>
        <v>C</v>
      </c>
    </row>
    <row r="959" customFormat="false" ht="15" hidden="false" customHeight="false" outlineLevel="0" collapsed="false">
      <c r="A959" s="32" t="n">
        <v>952</v>
      </c>
      <c r="B959" s="33" t="n">
        <v>959144</v>
      </c>
      <c r="C959" s="34" t="s">
        <v>1988</v>
      </c>
      <c r="D959" s="34" t="s">
        <v>1989</v>
      </c>
      <c r="E959" s="34" t="s">
        <v>247</v>
      </c>
      <c r="F959" s="32" t="n">
        <f aca="false">COUNTIF(Base!$D$2:$D$2878,B959)</f>
        <v>1</v>
      </c>
      <c r="G959" s="35" t="n">
        <f aca="false">SUMIF(Base!$D$2:$D$2878,B959,Base!$I$2:$I$2878)</f>
        <v>1298</v>
      </c>
      <c r="H959" s="36" t="n">
        <f aca="false">IF($G$2849=0,0,G959/$G$2849)</f>
        <v>8.51776497698189E-005</v>
      </c>
      <c r="I959" s="37" t="n">
        <f aca="false">I958+H959</f>
        <v>0.958078761126774</v>
      </c>
      <c r="J959" s="37" t="n">
        <f aca="false">A959/2840</f>
        <v>0.335211267605634</v>
      </c>
      <c r="K959" s="32" t="str">
        <f aca="false">IF(I959&lt;=$E$4,"A",IF(I959&lt;=$E$5,"B","C"))</f>
        <v>C</v>
      </c>
    </row>
    <row r="960" customFormat="false" ht="15" hidden="false" customHeight="false" outlineLevel="0" collapsed="false">
      <c r="A960" s="32" t="n">
        <v>953</v>
      </c>
      <c r="B960" s="33" t="n">
        <v>30819</v>
      </c>
      <c r="C960" s="34" t="s">
        <v>1990</v>
      </c>
      <c r="D960" s="34" t="s">
        <v>1991</v>
      </c>
      <c r="E960" s="34" t="s">
        <v>705</v>
      </c>
      <c r="F960" s="32" t="n">
        <f aca="false">COUNTIF(Base!$D$2:$D$2878,B960)</f>
        <v>1</v>
      </c>
      <c r="G960" s="35" t="n">
        <f aca="false">SUMIF(Base!$D$2:$D$2878,B960,Base!$I$2:$I$2878)</f>
        <v>1296</v>
      </c>
      <c r="H960" s="36" t="n">
        <f aca="false">IF($G$2849=0,0,G960/$G$2849)</f>
        <v>8.50464053171689E-005</v>
      </c>
      <c r="I960" s="37" t="n">
        <f aca="false">I959+H960</f>
        <v>0.958163807532091</v>
      </c>
      <c r="J960" s="37" t="n">
        <f aca="false">A960/2840</f>
        <v>0.33556338028169</v>
      </c>
      <c r="K960" s="32" t="str">
        <f aca="false">IF(I960&lt;=$E$4,"A",IF(I960&lt;=$E$5,"B","C"))</f>
        <v>C</v>
      </c>
    </row>
    <row r="961" customFormat="false" ht="15" hidden="false" customHeight="false" outlineLevel="0" collapsed="false">
      <c r="A961" s="32" t="n">
        <v>954</v>
      </c>
      <c r="B961" s="33" t="n">
        <v>1656993</v>
      </c>
      <c r="C961" s="34" t="s">
        <v>1992</v>
      </c>
      <c r="D961" s="34" t="s">
        <v>1993</v>
      </c>
      <c r="E961" s="34" t="s">
        <v>195</v>
      </c>
      <c r="F961" s="32" t="n">
        <f aca="false">COUNTIF(Base!$D$2:$D$2878,B961)</f>
        <v>1</v>
      </c>
      <c r="G961" s="35" t="n">
        <f aca="false">SUMIF(Base!$D$2:$D$2878,B961,Base!$I$2:$I$2878)</f>
        <v>1296</v>
      </c>
      <c r="H961" s="36" t="n">
        <f aca="false">IF($G$2849=0,0,G961/$G$2849)</f>
        <v>8.50464053171689E-005</v>
      </c>
      <c r="I961" s="37" t="n">
        <f aca="false">I960+H961</f>
        <v>0.958248853937408</v>
      </c>
      <c r="J961" s="37" t="n">
        <f aca="false">A961/2840</f>
        <v>0.335915492957747</v>
      </c>
      <c r="K961" s="32" t="str">
        <f aca="false">IF(I961&lt;=$E$4,"A",IF(I961&lt;=$E$5,"B","C"))</f>
        <v>C</v>
      </c>
    </row>
    <row r="962" customFormat="false" ht="15" hidden="false" customHeight="false" outlineLevel="0" collapsed="false">
      <c r="A962" s="32" t="n">
        <v>955</v>
      </c>
      <c r="B962" s="33" t="n">
        <v>1383880</v>
      </c>
      <c r="C962" s="34" t="s">
        <v>1994</v>
      </c>
      <c r="D962" s="34" t="s">
        <v>1995</v>
      </c>
      <c r="E962" s="34" t="s">
        <v>100</v>
      </c>
      <c r="F962" s="32" t="n">
        <f aca="false">COUNTIF(Base!$D$2:$D$2878,B962)</f>
        <v>1</v>
      </c>
      <c r="G962" s="35" t="n">
        <f aca="false">SUMIF(Base!$D$2:$D$2878,B962,Base!$I$2:$I$2878)</f>
        <v>1294.68</v>
      </c>
      <c r="H962" s="36" t="n">
        <f aca="false">IF($G$2849=0,0,G962/$G$2849)</f>
        <v>8.495978397842E-005</v>
      </c>
      <c r="I962" s="37" t="n">
        <f aca="false">I961+H962</f>
        <v>0.958333813721387</v>
      </c>
      <c r="J962" s="37" t="n">
        <f aca="false">A962/2840</f>
        <v>0.336267605633803</v>
      </c>
      <c r="K962" s="32" t="str">
        <f aca="false">IF(I962&lt;=$E$4,"A",IF(I962&lt;=$E$5,"B","C"))</f>
        <v>C</v>
      </c>
    </row>
    <row r="963" customFormat="false" ht="15" hidden="false" customHeight="false" outlineLevel="0" collapsed="false">
      <c r="A963" s="32" t="n">
        <v>956</v>
      </c>
      <c r="B963" s="33" t="n">
        <v>34254</v>
      </c>
      <c r="C963" s="34" t="s">
        <v>1996</v>
      </c>
      <c r="D963" s="34" t="s">
        <v>1997</v>
      </c>
      <c r="E963" s="34" t="s">
        <v>189</v>
      </c>
      <c r="F963" s="32" t="n">
        <f aca="false">COUNTIF(Base!$D$2:$D$2878,B963)</f>
        <v>1</v>
      </c>
      <c r="G963" s="35" t="n">
        <f aca="false">SUMIF(Base!$D$2:$D$2878,B963,Base!$I$2:$I$2878)</f>
        <v>1290</v>
      </c>
      <c r="H963" s="36" t="n">
        <f aca="false">IF($G$2849=0,0,G963/$G$2849)</f>
        <v>8.46526719592191E-005</v>
      </c>
      <c r="I963" s="37" t="n">
        <f aca="false">I962+H963</f>
        <v>0.958418466393346</v>
      </c>
      <c r="J963" s="37" t="n">
        <f aca="false">A963/2840</f>
        <v>0.336619718309859</v>
      </c>
      <c r="K963" s="32" t="str">
        <f aca="false">IF(I963&lt;=$E$4,"A",IF(I963&lt;=$E$5,"B","C"))</f>
        <v>C</v>
      </c>
    </row>
    <row r="964" customFormat="false" ht="15" hidden="false" customHeight="false" outlineLevel="0" collapsed="false">
      <c r="A964" s="32" t="n">
        <v>957</v>
      </c>
      <c r="B964" s="33" t="n">
        <v>945189</v>
      </c>
      <c r="C964" s="34" t="s">
        <v>1998</v>
      </c>
      <c r="D964" s="34" t="s">
        <v>1999</v>
      </c>
      <c r="E964" s="34" t="s">
        <v>170</v>
      </c>
      <c r="F964" s="32" t="n">
        <f aca="false">COUNTIF(Base!$D$2:$D$2878,B964)</f>
        <v>1</v>
      </c>
      <c r="G964" s="35" t="n">
        <f aca="false">SUMIF(Base!$D$2:$D$2878,B964,Base!$I$2:$I$2878)</f>
        <v>1287</v>
      </c>
      <c r="H964" s="36" t="n">
        <f aca="false">IF($G$2849=0,0,G964/$G$2849)</f>
        <v>8.44558052802441E-005</v>
      </c>
      <c r="I964" s="37" t="n">
        <f aca="false">I963+H964</f>
        <v>0.958502922198626</v>
      </c>
      <c r="J964" s="37" t="n">
        <f aca="false">A964/2840</f>
        <v>0.336971830985916</v>
      </c>
      <c r="K964" s="32" t="str">
        <f aca="false">IF(I964&lt;=$E$4,"A",IF(I964&lt;=$E$5,"B","C"))</f>
        <v>C</v>
      </c>
    </row>
    <row r="965" customFormat="false" ht="15" hidden="false" customHeight="false" outlineLevel="0" collapsed="false">
      <c r="A965" s="32" t="n">
        <v>958</v>
      </c>
      <c r="B965" s="33" t="n">
        <v>33296</v>
      </c>
      <c r="C965" s="34" t="s">
        <v>2000</v>
      </c>
      <c r="D965" s="34" t="s">
        <v>2001</v>
      </c>
      <c r="E965" s="34" t="s">
        <v>217</v>
      </c>
      <c r="F965" s="32" t="n">
        <f aca="false">COUNTIF(Base!$D$2:$D$2878,B965)</f>
        <v>1</v>
      </c>
      <c r="G965" s="35" t="n">
        <f aca="false">SUMIF(Base!$D$2:$D$2878,B965,Base!$I$2:$I$2878)</f>
        <v>1275</v>
      </c>
      <c r="H965" s="36" t="n">
        <f aca="false">IF($G$2849=0,0,G965/$G$2849)</f>
        <v>8.36683385643444E-005</v>
      </c>
      <c r="I965" s="37" t="n">
        <f aca="false">I964+H965</f>
        <v>0.958586590537191</v>
      </c>
      <c r="J965" s="37" t="n">
        <f aca="false">A965/2840</f>
        <v>0.337323943661972</v>
      </c>
      <c r="K965" s="32" t="str">
        <f aca="false">IF(I965&lt;=$E$4,"A",IF(I965&lt;=$E$5,"B","C"))</f>
        <v>C</v>
      </c>
    </row>
    <row r="966" customFormat="false" ht="15" hidden="false" customHeight="false" outlineLevel="0" collapsed="false">
      <c r="A966" s="32" t="n">
        <v>959</v>
      </c>
      <c r="B966" s="33" t="n">
        <v>869285</v>
      </c>
      <c r="C966" s="34" t="s">
        <v>2002</v>
      </c>
      <c r="D966" s="34" t="s">
        <v>2003</v>
      </c>
      <c r="E966" s="34" t="s">
        <v>113</v>
      </c>
      <c r="F966" s="32" t="n">
        <f aca="false">COUNTIF(Base!$D$2:$D$2878,B966)</f>
        <v>1</v>
      </c>
      <c r="G966" s="35" t="n">
        <f aca="false">SUMIF(Base!$D$2:$D$2878,B966,Base!$I$2:$I$2878)</f>
        <v>1274.1</v>
      </c>
      <c r="H966" s="36" t="n">
        <f aca="false">IF($G$2849=0,0,G966/$G$2849)</f>
        <v>8.36092785606519E-005</v>
      </c>
      <c r="I966" s="37" t="n">
        <f aca="false">I965+H966</f>
        <v>0.958670199815751</v>
      </c>
      <c r="J966" s="37" t="n">
        <f aca="false">A966/2840</f>
        <v>0.337676056338028</v>
      </c>
      <c r="K966" s="32" t="str">
        <f aca="false">IF(I966&lt;=$E$4,"A",IF(I966&lt;=$E$5,"B","C"))</f>
        <v>C</v>
      </c>
    </row>
    <row r="967" customFormat="false" ht="15" hidden="false" customHeight="false" outlineLevel="0" collapsed="false">
      <c r="A967" s="32" t="n">
        <v>960</v>
      </c>
      <c r="B967" s="33" t="n">
        <v>293168</v>
      </c>
      <c r="C967" s="34" t="s">
        <v>2004</v>
      </c>
      <c r="D967" s="34" t="s">
        <v>2005</v>
      </c>
      <c r="E967" s="34" t="s">
        <v>75</v>
      </c>
      <c r="F967" s="32" t="n">
        <f aca="false">COUNTIF(Base!$D$2:$D$2878,B967)</f>
        <v>1</v>
      </c>
      <c r="G967" s="35" t="n">
        <f aca="false">SUMIF(Base!$D$2:$D$2878,B967,Base!$I$2:$I$2878)</f>
        <v>1273.81</v>
      </c>
      <c r="H967" s="36" t="n">
        <f aca="false">IF($G$2849=0,0,G967/$G$2849)</f>
        <v>8.35902481150177E-005</v>
      </c>
      <c r="I967" s="37" t="n">
        <f aca="false">I966+H967</f>
        <v>0.958753790063866</v>
      </c>
      <c r="J967" s="37" t="n">
        <f aca="false">A967/2840</f>
        <v>0.338028169014085</v>
      </c>
      <c r="K967" s="32" t="str">
        <f aca="false">IF(I967&lt;=$E$4,"A",IF(I967&lt;=$E$5,"B","C"))</f>
        <v>C</v>
      </c>
    </row>
    <row r="968" customFormat="false" ht="15" hidden="false" customHeight="false" outlineLevel="0" collapsed="false">
      <c r="A968" s="32" t="n">
        <v>961</v>
      </c>
      <c r="B968" s="33" t="n">
        <v>23794</v>
      </c>
      <c r="C968" s="34" t="s">
        <v>2006</v>
      </c>
      <c r="D968" s="34" t="s">
        <v>2007</v>
      </c>
      <c r="E968" s="34" t="s">
        <v>130</v>
      </c>
      <c r="F968" s="32" t="n">
        <f aca="false">COUNTIF(Base!$D$2:$D$2878,B968)</f>
        <v>1</v>
      </c>
      <c r="G968" s="35" t="n">
        <f aca="false">SUMIF(Base!$D$2:$D$2878,B968,Base!$I$2:$I$2878)</f>
        <v>1272</v>
      </c>
      <c r="H968" s="36" t="n">
        <f aca="false">IF($G$2849=0,0,G968/$G$2849)</f>
        <v>8.34714718853695E-005</v>
      </c>
      <c r="I968" s="37" t="n">
        <f aca="false">I967+H968</f>
        <v>0.958837261535752</v>
      </c>
      <c r="J968" s="37" t="n">
        <f aca="false">A968/2840</f>
        <v>0.338380281690141</v>
      </c>
      <c r="K968" s="32" t="str">
        <f aca="false">IF(I968&lt;=$E$4,"A",IF(I968&lt;=$E$5,"B","C"))</f>
        <v>C</v>
      </c>
    </row>
    <row r="969" customFormat="false" ht="15" hidden="false" customHeight="false" outlineLevel="0" collapsed="false">
      <c r="A969" s="32" t="n">
        <v>962</v>
      </c>
      <c r="B969" s="33" t="n">
        <v>295485</v>
      </c>
      <c r="C969" s="34" t="s">
        <v>2008</v>
      </c>
      <c r="D969" s="34" t="s">
        <v>2009</v>
      </c>
      <c r="E969" s="34" t="s">
        <v>130</v>
      </c>
      <c r="F969" s="32" t="n">
        <f aca="false">COUNTIF(Base!$D$2:$D$2878,B969)</f>
        <v>1</v>
      </c>
      <c r="G969" s="35" t="n">
        <f aca="false">SUMIF(Base!$D$2:$D$2878,B969,Base!$I$2:$I$2878)</f>
        <v>1268</v>
      </c>
      <c r="H969" s="36" t="n">
        <f aca="false">IF($G$2849=0,0,G969/$G$2849)</f>
        <v>8.32089829800696E-005</v>
      </c>
      <c r="I969" s="37" t="n">
        <f aca="false">I968+H969</f>
        <v>0.958920470518732</v>
      </c>
      <c r="J969" s="37" t="n">
        <f aca="false">A969/2840</f>
        <v>0.338732394366197</v>
      </c>
      <c r="K969" s="32" t="str">
        <f aca="false">IF(I969&lt;=$E$4,"A",IF(I969&lt;=$E$5,"B","C"))</f>
        <v>C</v>
      </c>
    </row>
    <row r="970" customFormat="false" ht="15" hidden="false" customHeight="false" outlineLevel="0" collapsed="false">
      <c r="A970" s="32" t="n">
        <v>963</v>
      </c>
      <c r="B970" s="33" t="n">
        <v>1666789</v>
      </c>
      <c r="C970" s="34" t="s">
        <v>2010</v>
      </c>
      <c r="D970" s="34" t="s">
        <v>2011</v>
      </c>
      <c r="E970" s="34" t="s">
        <v>262</v>
      </c>
      <c r="F970" s="32" t="n">
        <f aca="false">COUNTIF(Base!$D$2:$D$2878,B970)</f>
        <v>1</v>
      </c>
      <c r="G970" s="35" t="n">
        <f aca="false">SUMIF(Base!$D$2:$D$2878,B970,Base!$I$2:$I$2878)</f>
        <v>1266.2</v>
      </c>
      <c r="H970" s="36" t="n">
        <f aca="false">IF($G$2849=0,0,G970/$G$2849)</f>
        <v>8.30908629726846E-005</v>
      </c>
      <c r="I970" s="37" t="n">
        <f aca="false">I969+H970</f>
        <v>0.959003561381704</v>
      </c>
      <c r="J970" s="37" t="n">
        <f aca="false">A970/2840</f>
        <v>0.339084507042254</v>
      </c>
      <c r="K970" s="32" t="str">
        <f aca="false">IF(I970&lt;=$E$4,"A",IF(I970&lt;=$E$5,"B","C"))</f>
        <v>C</v>
      </c>
    </row>
    <row r="971" customFormat="false" ht="15" hidden="false" customHeight="false" outlineLevel="0" collapsed="false">
      <c r="A971" s="32" t="n">
        <v>964</v>
      </c>
      <c r="B971" s="33" t="n">
        <v>1614268</v>
      </c>
      <c r="C971" s="34" t="s">
        <v>2012</v>
      </c>
      <c r="D971" s="34" t="s">
        <v>2013</v>
      </c>
      <c r="E971" s="34" t="s">
        <v>38</v>
      </c>
      <c r="F971" s="32" t="n">
        <f aca="false">COUNTIF(Base!$D$2:$D$2878,B971)</f>
        <v>1</v>
      </c>
      <c r="G971" s="35" t="n">
        <f aca="false">SUMIF(Base!$D$2:$D$2878,B971,Base!$I$2:$I$2878)</f>
        <v>1258.64</v>
      </c>
      <c r="H971" s="36" t="n">
        <f aca="false">IF($G$2849=0,0,G971/$G$2849)</f>
        <v>8.25947589416678E-005</v>
      </c>
      <c r="I971" s="37" t="n">
        <f aca="false">I970+H971</f>
        <v>0.959086156140646</v>
      </c>
      <c r="J971" s="37" t="n">
        <f aca="false">A971/2840</f>
        <v>0.33943661971831</v>
      </c>
      <c r="K971" s="32" t="str">
        <f aca="false">IF(I971&lt;=$E$4,"A",IF(I971&lt;=$E$5,"B","C"))</f>
        <v>C</v>
      </c>
    </row>
    <row r="972" customFormat="false" ht="15" hidden="false" customHeight="false" outlineLevel="0" collapsed="false">
      <c r="A972" s="32" t="n">
        <v>965</v>
      </c>
      <c r="B972" s="33" t="n">
        <v>732768</v>
      </c>
      <c r="C972" s="34" t="s">
        <v>2014</v>
      </c>
      <c r="D972" s="34" t="s">
        <v>2015</v>
      </c>
      <c r="E972" s="34" t="s">
        <v>38</v>
      </c>
      <c r="F972" s="32" t="n">
        <f aca="false">COUNTIF(Base!$D$2:$D$2878,B972)</f>
        <v>1</v>
      </c>
      <c r="G972" s="35" t="n">
        <f aca="false">SUMIF(Base!$D$2:$D$2878,B972,Base!$I$2:$I$2878)</f>
        <v>1253</v>
      </c>
      <c r="H972" s="36" t="n">
        <f aca="false">IF($G$2849=0,0,G972/$G$2849)</f>
        <v>8.2224649585195E-005</v>
      </c>
      <c r="I972" s="37" t="n">
        <f aca="false">I971+H972</f>
        <v>0.959168380790231</v>
      </c>
      <c r="J972" s="37" t="n">
        <f aca="false">A972/2840</f>
        <v>0.339788732394366</v>
      </c>
      <c r="K972" s="32" t="str">
        <f aca="false">IF(I972&lt;=$E$4,"A",IF(I972&lt;=$E$5,"B","C"))</f>
        <v>C</v>
      </c>
    </row>
    <row r="973" customFormat="false" ht="15" hidden="false" customHeight="false" outlineLevel="0" collapsed="false">
      <c r="A973" s="32" t="n">
        <v>966</v>
      </c>
      <c r="B973" s="33" t="n">
        <v>1385184</v>
      </c>
      <c r="C973" s="34" t="s">
        <v>2016</v>
      </c>
      <c r="D973" s="34" t="s">
        <v>2017</v>
      </c>
      <c r="E973" s="34" t="s">
        <v>38</v>
      </c>
      <c r="F973" s="32" t="n">
        <f aca="false">COUNTIF(Base!$D$2:$D$2878,B973)</f>
        <v>1</v>
      </c>
      <c r="G973" s="35" t="n">
        <f aca="false">SUMIF(Base!$D$2:$D$2878,B973,Base!$I$2:$I$2878)</f>
        <v>1252.2</v>
      </c>
      <c r="H973" s="36" t="n">
        <f aca="false">IF($G$2849=0,0,G973/$G$2849)</f>
        <v>8.2172151804135E-005</v>
      </c>
      <c r="I973" s="37" t="n">
        <f aca="false">I972+H973</f>
        <v>0.959250552942035</v>
      </c>
      <c r="J973" s="37" t="n">
        <f aca="false">A973/2840</f>
        <v>0.340140845070423</v>
      </c>
      <c r="K973" s="32" t="str">
        <f aca="false">IF(I973&lt;=$E$4,"A",IF(I973&lt;=$E$5,"B","C"))</f>
        <v>C</v>
      </c>
    </row>
    <row r="974" customFormat="false" ht="15" hidden="false" customHeight="false" outlineLevel="0" collapsed="false">
      <c r="A974" s="32" t="n">
        <v>967</v>
      </c>
      <c r="B974" s="33" t="n">
        <v>961616</v>
      </c>
      <c r="C974" s="34" t="s">
        <v>2018</v>
      </c>
      <c r="D974" s="34" t="s">
        <v>2019</v>
      </c>
      <c r="E974" s="34" t="s">
        <v>113</v>
      </c>
      <c r="F974" s="32" t="n">
        <f aca="false">COUNTIF(Base!$D$2:$D$2878,B974)</f>
        <v>1</v>
      </c>
      <c r="G974" s="35" t="n">
        <f aca="false">SUMIF(Base!$D$2:$D$2878,B974,Base!$I$2:$I$2878)</f>
        <v>1250</v>
      </c>
      <c r="H974" s="36" t="n">
        <f aca="false">IF($G$2849=0,0,G974/$G$2849)</f>
        <v>8.202778290622E-005</v>
      </c>
      <c r="I974" s="37" t="n">
        <f aca="false">I973+H974</f>
        <v>0.959332580724942</v>
      </c>
      <c r="J974" s="37" t="n">
        <f aca="false">A974/2840</f>
        <v>0.340492957746479</v>
      </c>
      <c r="K974" s="32" t="str">
        <f aca="false">IF(I974&lt;=$E$4,"A",IF(I974&lt;=$E$5,"B","C"))</f>
        <v>C</v>
      </c>
    </row>
    <row r="975" customFormat="false" ht="15" hidden="false" customHeight="false" outlineLevel="0" collapsed="false">
      <c r="A975" s="32" t="n">
        <v>968</v>
      </c>
      <c r="B975" s="33" t="n">
        <v>1387008</v>
      </c>
      <c r="C975" s="34" t="s">
        <v>2020</v>
      </c>
      <c r="D975" s="34" t="s">
        <v>2021</v>
      </c>
      <c r="E975" s="34" t="s">
        <v>38</v>
      </c>
      <c r="F975" s="32" t="n">
        <f aca="false">COUNTIF(Base!$D$2:$D$2878,B975)</f>
        <v>1</v>
      </c>
      <c r="G975" s="35" t="n">
        <f aca="false">SUMIF(Base!$D$2:$D$2878,B975,Base!$I$2:$I$2878)</f>
        <v>1245.87</v>
      </c>
      <c r="H975" s="36" t="n">
        <f aca="false">IF($G$2849=0,0,G975/$G$2849)</f>
        <v>8.17567631114979E-005</v>
      </c>
      <c r="I975" s="37" t="n">
        <f aca="false">I974+H975</f>
        <v>0.959414337488053</v>
      </c>
      <c r="J975" s="37" t="n">
        <f aca="false">A975/2840</f>
        <v>0.340845070422535</v>
      </c>
      <c r="K975" s="32" t="str">
        <f aca="false">IF(I975&lt;=$E$4,"A",IF(I975&lt;=$E$5,"B","C"))</f>
        <v>C</v>
      </c>
    </row>
    <row r="976" customFormat="false" ht="15" hidden="false" customHeight="false" outlineLevel="0" collapsed="false">
      <c r="A976" s="32" t="n">
        <v>969</v>
      </c>
      <c r="B976" s="33" t="n">
        <v>30869</v>
      </c>
      <c r="C976" s="34" t="s">
        <v>2022</v>
      </c>
      <c r="D976" s="34" t="s">
        <v>2023</v>
      </c>
      <c r="E976" s="34" t="s">
        <v>38</v>
      </c>
      <c r="F976" s="32" t="n">
        <f aca="false">COUNTIF(Base!$D$2:$D$2878,B976)</f>
        <v>1</v>
      </c>
      <c r="G976" s="35" t="n">
        <f aca="false">SUMIF(Base!$D$2:$D$2878,B976,Base!$I$2:$I$2878)</f>
        <v>1243.2</v>
      </c>
      <c r="H976" s="36" t="n">
        <f aca="false">IF($G$2849=0,0,G976/$G$2849)</f>
        <v>8.15815517672102E-005</v>
      </c>
      <c r="I976" s="37" t="n">
        <f aca="false">I975+H976</f>
        <v>0.95949591903982</v>
      </c>
      <c r="J976" s="37" t="n">
        <f aca="false">A976/2840</f>
        <v>0.341197183098592</v>
      </c>
      <c r="K976" s="32" t="str">
        <f aca="false">IF(I976&lt;=$E$4,"A",IF(I976&lt;=$E$5,"B","C"))</f>
        <v>C</v>
      </c>
    </row>
    <row r="977" customFormat="false" ht="15" hidden="false" customHeight="false" outlineLevel="0" collapsed="false">
      <c r="A977" s="32" t="n">
        <v>970</v>
      </c>
      <c r="B977" s="33" t="n">
        <v>1614239</v>
      </c>
      <c r="C977" s="34" t="s">
        <v>2024</v>
      </c>
      <c r="D977" s="34" t="s">
        <v>2025</v>
      </c>
      <c r="E977" s="34" t="s">
        <v>54</v>
      </c>
      <c r="F977" s="32" t="n">
        <f aca="false">COUNTIF(Base!$D$2:$D$2878,B977)</f>
        <v>1</v>
      </c>
      <c r="G977" s="35" t="n">
        <f aca="false">SUMIF(Base!$D$2:$D$2878,B977,Base!$I$2:$I$2878)</f>
        <v>1241.6</v>
      </c>
      <c r="H977" s="36" t="n">
        <f aca="false">IF($G$2849=0,0,G977/$G$2849)</f>
        <v>8.14765562050902E-005</v>
      </c>
      <c r="I977" s="37" t="n">
        <f aca="false">I976+H977</f>
        <v>0.959577395596025</v>
      </c>
      <c r="J977" s="37" t="n">
        <f aca="false">A977/2840</f>
        <v>0.341549295774648</v>
      </c>
      <c r="K977" s="32" t="str">
        <f aca="false">IF(I977&lt;=$E$4,"A",IF(I977&lt;=$E$5,"B","C"))</f>
        <v>C</v>
      </c>
    </row>
    <row r="978" customFormat="false" ht="15" hidden="false" customHeight="false" outlineLevel="0" collapsed="false">
      <c r="A978" s="32" t="n">
        <v>971</v>
      </c>
      <c r="B978" s="33" t="n">
        <v>1081193</v>
      </c>
      <c r="C978" s="34" t="s">
        <v>2026</v>
      </c>
      <c r="D978" s="34" t="s">
        <v>2027</v>
      </c>
      <c r="E978" s="34" t="s">
        <v>100</v>
      </c>
      <c r="F978" s="32" t="n">
        <f aca="false">COUNTIF(Base!$D$2:$D$2878,B978)</f>
        <v>1</v>
      </c>
      <c r="G978" s="35" t="n">
        <f aca="false">SUMIF(Base!$D$2:$D$2878,B978,Base!$I$2:$I$2878)</f>
        <v>1238.4</v>
      </c>
      <c r="H978" s="36" t="n">
        <f aca="false">IF($G$2849=0,0,G978/$G$2849)</f>
        <v>8.12665650808503E-005</v>
      </c>
      <c r="I978" s="37" t="n">
        <f aca="false">I977+H978</f>
        <v>0.959658662161106</v>
      </c>
      <c r="J978" s="37" t="n">
        <f aca="false">A978/2840</f>
        <v>0.341901408450704</v>
      </c>
      <c r="K978" s="32" t="str">
        <f aca="false">IF(I978&lt;=$E$4,"A",IF(I978&lt;=$E$5,"B","C"))</f>
        <v>C</v>
      </c>
    </row>
    <row r="979" customFormat="false" ht="15" hidden="false" customHeight="false" outlineLevel="0" collapsed="false">
      <c r="A979" s="32" t="n">
        <v>972</v>
      </c>
      <c r="B979" s="33" t="n">
        <v>348076</v>
      </c>
      <c r="C979" s="34" t="s">
        <v>2028</v>
      </c>
      <c r="D979" s="34" t="s">
        <v>2029</v>
      </c>
      <c r="E979" s="34" t="s">
        <v>100</v>
      </c>
      <c r="F979" s="32" t="n">
        <f aca="false">COUNTIF(Base!$D$2:$D$2878,B979)</f>
        <v>1</v>
      </c>
      <c r="G979" s="35" t="n">
        <f aca="false">SUMIF(Base!$D$2:$D$2878,B979,Base!$I$2:$I$2878)</f>
        <v>1236</v>
      </c>
      <c r="H979" s="36" t="n">
        <f aca="false">IF($G$2849=0,0,G979/$G$2849)</f>
        <v>8.11090717376704E-005</v>
      </c>
      <c r="I979" s="37" t="n">
        <f aca="false">I978+H979</f>
        <v>0.959739771232844</v>
      </c>
      <c r="J979" s="37" t="n">
        <f aca="false">A979/2840</f>
        <v>0.342253521126761</v>
      </c>
      <c r="K979" s="32" t="str">
        <f aca="false">IF(I979&lt;=$E$4,"A",IF(I979&lt;=$E$5,"B","C"))</f>
        <v>C</v>
      </c>
    </row>
    <row r="980" customFormat="false" ht="15" hidden="false" customHeight="false" outlineLevel="0" collapsed="false">
      <c r="A980" s="32" t="n">
        <v>973</v>
      </c>
      <c r="B980" s="33" t="n">
        <v>1383153</v>
      </c>
      <c r="C980" s="34" t="s">
        <v>2030</v>
      </c>
      <c r="D980" s="34" t="s">
        <v>2031</v>
      </c>
      <c r="E980" s="34" t="s">
        <v>54</v>
      </c>
      <c r="F980" s="32" t="n">
        <f aca="false">COUNTIF(Base!$D$2:$D$2878,B980)</f>
        <v>1</v>
      </c>
      <c r="G980" s="35" t="n">
        <f aca="false">SUMIF(Base!$D$2:$D$2878,B980,Base!$I$2:$I$2878)</f>
        <v>1235.82</v>
      </c>
      <c r="H980" s="36" t="n">
        <f aca="false">IF($G$2849=0,0,G980/$G$2849)</f>
        <v>8.10972597369319E-005</v>
      </c>
      <c r="I980" s="37" t="n">
        <f aca="false">I979+H980</f>
        <v>0.959820868492581</v>
      </c>
      <c r="J980" s="37" t="n">
        <f aca="false">A980/2840</f>
        <v>0.342605633802817</v>
      </c>
      <c r="K980" s="32" t="str">
        <f aca="false">IF(I980&lt;=$E$4,"A",IF(I980&lt;=$E$5,"B","C"))</f>
        <v>C</v>
      </c>
    </row>
    <row r="981" customFormat="false" ht="15" hidden="false" customHeight="false" outlineLevel="0" collapsed="false">
      <c r="A981" s="32" t="n">
        <v>974</v>
      </c>
      <c r="B981" s="33" t="n">
        <v>1110527</v>
      </c>
      <c r="C981" s="34" t="s">
        <v>2032</v>
      </c>
      <c r="D981" s="34" t="s">
        <v>2033</v>
      </c>
      <c r="E981" s="34" t="s">
        <v>35</v>
      </c>
      <c r="F981" s="32" t="n">
        <f aca="false">COUNTIF(Base!$D$2:$D$2878,B981)</f>
        <v>1</v>
      </c>
      <c r="G981" s="35" t="n">
        <f aca="false">SUMIF(Base!$D$2:$D$2878,B981,Base!$I$2:$I$2878)</f>
        <v>1230</v>
      </c>
      <c r="H981" s="36" t="n">
        <f aca="false">IF($G$2849=0,0,G981/$G$2849)</f>
        <v>8.07153383797205E-005</v>
      </c>
      <c r="I981" s="37" t="n">
        <f aca="false">I980+H981</f>
        <v>0.959901583830961</v>
      </c>
      <c r="J981" s="37" t="n">
        <f aca="false">A981/2840</f>
        <v>0.342957746478873</v>
      </c>
      <c r="K981" s="32" t="str">
        <f aca="false">IF(I981&lt;=$E$4,"A",IF(I981&lt;=$E$5,"B","C"))</f>
        <v>C</v>
      </c>
    </row>
    <row r="982" customFormat="false" ht="15" hidden="false" customHeight="false" outlineLevel="0" collapsed="false">
      <c r="A982" s="32" t="n">
        <v>975</v>
      </c>
      <c r="B982" s="33" t="n">
        <v>1475999</v>
      </c>
      <c r="C982" s="34" t="s">
        <v>2034</v>
      </c>
      <c r="D982" s="34" t="s">
        <v>2035</v>
      </c>
      <c r="E982" s="34" t="s">
        <v>35</v>
      </c>
      <c r="F982" s="32" t="n">
        <f aca="false">COUNTIF(Base!$D$2:$D$2878,B982)</f>
        <v>1</v>
      </c>
      <c r="G982" s="35" t="n">
        <f aca="false">SUMIF(Base!$D$2:$D$2878,B982,Base!$I$2:$I$2878)</f>
        <v>1222.5</v>
      </c>
      <c r="H982" s="36" t="n">
        <f aca="false">IF($G$2849=0,0,G982/$G$2849)</f>
        <v>8.02231716822832E-005</v>
      </c>
      <c r="I982" s="37" t="n">
        <f aca="false">I981+H982</f>
        <v>0.959981807002643</v>
      </c>
      <c r="J982" s="37" t="n">
        <f aca="false">A982/2840</f>
        <v>0.34330985915493</v>
      </c>
      <c r="K982" s="32" t="str">
        <f aca="false">IF(I982&lt;=$E$4,"A",IF(I982&lt;=$E$5,"B","C"))</f>
        <v>C</v>
      </c>
    </row>
    <row r="983" customFormat="false" ht="15" hidden="false" customHeight="false" outlineLevel="0" collapsed="false">
      <c r="A983" s="32" t="n">
        <v>976</v>
      </c>
      <c r="B983" s="33" t="n">
        <v>293126</v>
      </c>
      <c r="C983" s="34" t="s">
        <v>2036</v>
      </c>
      <c r="D983" s="34" t="s">
        <v>2037</v>
      </c>
      <c r="E983" s="34" t="s">
        <v>262</v>
      </c>
      <c r="F983" s="32" t="n">
        <f aca="false">COUNTIF(Base!$D$2:$D$2878,B983)</f>
        <v>1</v>
      </c>
      <c r="G983" s="35" t="n">
        <f aca="false">SUMIF(Base!$D$2:$D$2878,B983,Base!$I$2:$I$2878)</f>
        <v>1222</v>
      </c>
      <c r="H983" s="36" t="n">
        <f aca="false">IF($G$2849=0,0,G983/$G$2849)</f>
        <v>8.01903605691207E-005</v>
      </c>
      <c r="I983" s="37" t="n">
        <f aca="false">I982+H983</f>
        <v>0.960061997363212</v>
      </c>
      <c r="J983" s="37" t="n">
        <f aca="false">A983/2840</f>
        <v>0.343661971830986</v>
      </c>
      <c r="K983" s="32" t="str">
        <f aca="false">IF(I983&lt;=$E$4,"A",IF(I983&lt;=$E$5,"B","C"))</f>
        <v>C</v>
      </c>
    </row>
    <row r="984" customFormat="false" ht="15" hidden="false" customHeight="false" outlineLevel="0" collapsed="false">
      <c r="A984" s="32" t="n">
        <v>977</v>
      </c>
      <c r="B984" s="33" t="n">
        <v>1323072</v>
      </c>
      <c r="C984" s="34" t="s">
        <v>2038</v>
      </c>
      <c r="D984" s="34" t="s">
        <v>2039</v>
      </c>
      <c r="E984" s="34" t="s">
        <v>66</v>
      </c>
      <c r="F984" s="32" t="n">
        <f aca="false">COUNTIF(Base!$D$2:$D$2878,B984)</f>
        <v>1</v>
      </c>
      <c r="G984" s="35" t="n">
        <f aca="false">SUMIF(Base!$D$2:$D$2878,B984,Base!$I$2:$I$2878)</f>
        <v>1221.79</v>
      </c>
      <c r="H984" s="36" t="n">
        <f aca="false">IF($G$2849=0,0,G984/$G$2849)</f>
        <v>8.01765799015924E-005</v>
      </c>
      <c r="I984" s="37" t="n">
        <f aca="false">I983+H984</f>
        <v>0.960142173943114</v>
      </c>
      <c r="J984" s="37" t="n">
        <f aca="false">A984/2840</f>
        <v>0.344014084507042</v>
      </c>
      <c r="K984" s="32" t="str">
        <f aca="false">IF(I984&lt;=$E$4,"A",IF(I984&lt;=$E$5,"B","C"))</f>
        <v>C</v>
      </c>
    </row>
    <row r="985" customFormat="false" ht="15" hidden="false" customHeight="false" outlineLevel="0" collapsed="false">
      <c r="A985" s="32" t="n">
        <v>978</v>
      </c>
      <c r="B985" s="33" t="n">
        <v>1330636</v>
      </c>
      <c r="C985" s="34" t="s">
        <v>2040</v>
      </c>
      <c r="D985" s="34" t="s">
        <v>2041</v>
      </c>
      <c r="E985" s="34" t="s">
        <v>100</v>
      </c>
      <c r="F985" s="32" t="n">
        <f aca="false">COUNTIF(Base!$D$2:$D$2878,B985)</f>
        <v>1</v>
      </c>
      <c r="G985" s="35" t="n">
        <f aca="false">SUMIF(Base!$D$2:$D$2878,B985,Base!$I$2:$I$2878)</f>
        <v>1219.08</v>
      </c>
      <c r="H985" s="36" t="n">
        <f aca="false">IF($G$2849=0,0,G985/$G$2849)</f>
        <v>7.99987436682518E-005</v>
      </c>
      <c r="I985" s="37" t="n">
        <f aca="false">I984+H985</f>
        <v>0.960222172686782</v>
      </c>
      <c r="J985" s="37" t="n">
        <f aca="false">A985/2840</f>
        <v>0.344366197183099</v>
      </c>
      <c r="K985" s="32" t="str">
        <f aca="false">IF(I985&lt;=$E$4,"A",IF(I985&lt;=$E$5,"B","C"))</f>
        <v>C</v>
      </c>
    </row>
    <row r="986" customFormat="false" ht="15" hidden="false" customHeight="false" outlineLevel="0" collapsed="false">
      <c r="A986" s="32" t="n">
        <v>979</v>
      </c>
      <c r="B986" s="33" t="n">
        <v>21323</v>
      </c>
      <c r="C986" s="34" t="s">
        <v>2042</v>
      </c>
      <c r="D986" s="34" t="s">
        <v>2043</v>
      </c>
      <c r="E986" s="34" t="s">
        <v>334</v>
      </c>
      <c r="F986" s="32" t="n">
        <f aca="false">COUNTIF(Base!$D$2:$D$2878,B986)</f>
        <v>1</v>
      </c>
      <c r="G986" s="35" t="n">
        <f aca="false">SUMIF(Base!$D$2:$D$2878,B986,Base!$I$2:$I$2878)</f>
        <v>1218</v>
      </c>
      <c r="H986" s="36" t="n">
        <f aca="false">IF($G$2849=0,0,G986/$G$2849)</f>
        <v>7.99278716638208E-005</v>
      </c>
      <c r="I986" s="37" t="n">
        <f aca="false">I985+H986</f>
        <v>0.960302100558446</v>
      </c>
      <c r="J986" s="37" t="n">
        <f aca="false">A986/2840</f>
        <v>0.344718309859155</v>
      </c>
      <c r="K986" s="32" t="str">
        <f aca="false">IF(I986&lt;=$E$4,"A",IF(I986&lt;=$E$5,"B","C"))</f>
        <v>C</v>
      </c>
    </row>
    <row r="987" customFormat="false" ht="15" hidden="false" customHeight="false" outlineLevel="0" collapsed="false">
      <c r="A987" s="32" t="n">
        <v>980</v>
      </c>
      <c r="B987" s="33" t="n">
        <v>1469243</v>
      </c>
      <c r="C987" s="34" t="s">
        <v>2044</v>
      </c>
      <c r="D987" s="34" t="s">
        <v>2045</v>
      </c>
      <c r="E987" s="34" t="s">
        <v>100</v>
      </c>
      <c r="F987" s="32" t="n">
        <f aca="false">COUNTIF(Base!$D$2:$D$2878,B987)</f>
        <v>1</v>
      </c>
      <c r="G987" s="35" t="n">
        <f aca="false">SUMIF(Base!$D$2:$D$2878,B987,Base!$I$2:$I$2878)</f>
        <v>1209.6</v>
      </c>
      <c r="H987" s="36" t="n">
        <f aca="false">IF($G$2849=0,0,G987/$G$2849)</f>
        <v>7.9376644962691E-005</v>
      </c>
      <c r="I987" s="37" t="n">
        <f aca="false">I986+H987</f>
        <v>0.960381477203408</v>
      </c>
      <c r="J987" s="37" t="n">
        <f aca="false">A987/2840</f>
        <v>0.345070422535211</v>
      </c>
      <c r="K987" s="32" t="str">
        <f aca="false">IF(I987&lt;=$E$4,"A",IF(I987&lt;=$E$5,"B","C"))</f>
        <v>C</v>
      </c>
    </row>
    <row r="988" customFormat="false" ht="15" hidden="false" customHeight="false" outlineLevel="0" collapsed="false">
      <c r="A988" s="32" t="n">
        <v>981</v>
      </c>
      <c r="B988" s="33" t="n">
        <v>222161</v>
      </c>
      <c r="C988" s="34" t="s">
        <v>2046</v>
      </c>
      <c r="D988" s="34" t="s">
        <v>2047</v>
      </c>
      <c r="E988" s="34" t="s">
        <v>217</v>
      </c>
      <c r="F988" s="32" t="n">
        <f aca="false">COUNTIF(Base!$D$2:$D$2878,B988)</f>
        <v>1</v>
      </c>
      <c r="G988" s="35" t="n">
        <f aca="false">SUMIF(Base!$D$2:$D$2878,B988,Base!$I$2:$I$2878)</f>
        <v>1209</v>
      </c>
      <c r="H988" s="36" t="n">
        <f aca="false">IF($G$2849=0,0,G988/$G$2849)</f>
        <v>7.9337271626896E-005</v>
      </c>
      <c r="I988" s="37" t="n">
        <f aca="false">I987+H988</f>
        <v>0.960460814475035</v>
      </c>
      <c r="J988" s="37" t="n">
        <f aca="false">A988/2840</f>
        <v>0.345422535211268</v>
      </c>
      <c r="K988" s="32" t="str">
        <f aca="false">IF(I988&lt;=$E$4,"A",IF(I988&lt;=$E$5,"B","C"))</f>
        <v>C</v>
      </c>
    </row>
    <row r="989" customFormat="false" ht="15" hidden="false" customHeight="false" outlineLevel="0" collapsed="false">
      <c r="A989" s="32" t="n">
        <v>982</v>
      </c>
      <c r="B989" s="33" t="n">
        <v>295500</v>
      </c>
      <c r="C989" s="34" t="s">
        <v>2048</v>
      </c>
      <c r="D989" s="34" t="s">
        <v>2049</v>
      </c>
      <c r="E989" s="34" t="s">
        <v>130</v>
      </c>
      <c r="F989" s="32" t="n">
        <f aca="false">COUNTIF(Base!$D$2:$D$2878,B989)</f>
        <v>1</v>
      </c>
      <c r="G989" s="35" t="n">
        <f aca="false">SUMIF(Base!$D$2:$D$2878,B989,Base!$I$2:$I$2878)</f>
        <v>1206.48</v>
      </c>
      <c r="H989" s="36" t="n">
        <f aca="false">IF($G$2849=0,0,G989/$G$2849)</f>
        <v>7.91719036165571E-005</v>
      </c>
      <c r="I989" s="37" t="n">
        <f aca="false">I988+H989</f>
        <v>0.960539986378652</v>
      </c>
      <c r="J989" s="37" t="n">
        <f aca="false">A989/2840</f>
        <v>0.345774647887324</v>
      </c>
      <c r="K989" s="32" t="str">
        <f aca="false">IF(I989&lt;=$E$4,"A",IF(I989&lt;=$E$5,"B","C"))</f>
        <v>C</v>
      </c>
    </row>
    <row r="990" customFormat="false" ht="15" hidden="false" customHeight="false" outlineLevel="0" collapsed="false">
      <c r="A990" s="32" t="n">
        <v>983</v>
      </c>
      <c r="B990" s="33" t="n">
        <v>35382</v>
      </c>
      <c r="C990" s="34" t="s">
        <v>2050</v>
      </c>
      <c r="D990" s="34" t="s">
        <v>2051</v>
      </c>
      <c r="E990" s="34" t="s">
        <v>247</v>
      </c>
      <c r="F990" s="32" t="n">
        <f aca="false">COUNTIF(Base!$D$2:$D$2878,B990)</f>
        <v>1</v>
      </c>
      <c r="G990" s="35" t="n">
        <f aca="false">SUMIF(Base!$D$2:$D$2878,B990,Base!$I$2:$I$2878)</f>
        <v>1205</v>
      </c>
      <c r="H990" s="36" t="n">
        <f aca="false">IF($G$2849=0,0,G990/$G$2849)</f>
        <v>7.90747827215961E-005</v>
      </c>
      <c r="I990" s="37" t="n">
        <f aca="false">I989+H990</f>
        <v>0.960619061161373</v>
      </c>
      <c r="J990" s="37" t="n">
        <f aca="false">A990/2840</f>
        <v>0.34612676056338</v>
      </c>
      <c r="K990" s="32" t="str">
        <f aca="false">IF(I990&lt;=$E$4,"A",IF(I990&lt;=$E$5,"B","C"))</f>
        <v>C</v>
      </c>
    </row>
    <row r="991" customFormat="false" ht="15" hidden="false" customHeight="false" outlineLevel="0" collapsed="false">
      <c r="A991" s="32" t="n">
        <v>984</v>
      </c>
      <c r="B991" s="33" t="n">
        <v>387506</v>
      </c>
      <c r="C991" s="34" t="s">
        <v>2052</v>
      </c>
      <c r="D991" s="34" t="s">
        <v>2053</v>
      </c>
      <c r="E991" s="34" t="s">
        <v>38</v>
      </c>
      <c r="F991" s="32" t="n">
        <f aca="false">COUNTIF(Base!$D$2:$D$2878,B991)</f>
        <v>1</v>
      </c>
      <c r="G991" s="35" t="n">
        <f aca="false">SUMIF(Base!$D$2:$D$2878,B991,Base!$I$2:$I$2878)</f>
        <v>1203.43</v>
      </c>
      <c r="H991" s="36" t="n">
        <f aca="false">IF($G$2849=0,0,G991/$G$2849)</f>
        <v>7.89717558262659E-005</v>
      </c>
      <c r="I991" s="37" t="n">
        <f aca="false">I990+H991</f>
        <v>0.9606980329172</v>
      </c>
      <c r="J991" s="37" t="n">
        <f aca="false">A991/2840</f>
        <v>0.346478873239437</v>
      </c>
      <c r="K991" s="32" t="str">
        <f aca="false">IF(I991&lt;=$E$4,"A",IF(I991&lt;=$E$5,"B","C"))</f>
        <v>C</v>
      </c>
    </row>
    <row r="992" customFormat="false" ht="15" hidden="false" customHeight="false" outlineLevel="0" collapsed="false">
      <c r="A992" s="32" t="n">
        <v>985</v>
      </c>
      <c r="B992" s="33" t="n">
        <v>227434</v>
      </c>
      <c r="C992" s="34" t="s">
        <v>2054</v>
      </c>
      <c r="D992" s="34" t="s">
        <v>2055</v>
      </c>
      <c r="E992" s="34" t="s">
        <v>2056</v>
      </c>
      <c r="F992" s="32" t="n">
        <f aca="false">COUNTIF(Base!$D$2:$D$2878,B992)</f>
        <v>1</v>
      </c>
      <c r="G992" s="35" t="n">
        <f aca="false">SUMIF(Base!$D$2:$D$2878,B992,Base!$I$2:$I$2878)</f>
        <v>1200</v>
      </c>
      <c r="H992" s="36" t="n">
        <f aca="false">IF($G$2849=0,0,G992/$G$2849)</f>
        <v>7.87466715899712E-005</v>
      </c>
      <c r="I992" s="37" t="n">
        <f aca="false">I991+H992</f>
        <v>0.96077677958879</v>
      </c>
      <c r="J992" s="37" t="n">
        <f aca="false">A992/2840</f>
        <v>0.346830985915493</v>
      </c>
      <c r="K992" s="32" t="str">
        <f aca="false">IF(I992&lt;=$E$4,"A",IF(I992&lt;=$E$5,"B","C"))</f>
        <v>C</v>
      </c>
    </row>
    <row r="993" customFormat="false" ht="15" hidden="false" customHeight="false" outlineLevel="0" collapsed="false">
      <c r="A993" s="32" t="n">
        <v>986</v>
      </c>
      <c r="B993" s="33" t="n">
        <v>1092798</v>
      </c>
      <c r="C993" s="34" t="s">
        <v>2057</v>
      </c>
      <c r="D993" s="34" t="s">
        <v>2058</v>
      </c>
      <c r="E993" s="34" t="s">
        <v>480</v>
      </c>
      <c r="F993" s="32" t="n">
        <f aca="false">COUNTIF(Base!$D$2:$D$2878,B993)</f>
        <v>1</v>
      </c>
      <c r="G993" s="35" t="n">
        <f aca="false">SUMIF(Base!$D$2:$D$2878,B993,Base!$I$2:$I$2878)</f>
        <v>1200</v>
      </c>
      <c r="H993" s="36" t="n">
        <f aca="false">IF($G$2849=0,0,G993/$G$2849)</f>
        <v>7.87466715899712E-005</v>
      </c>
      <c r="I993" s="37" t="n">
        <f aca="false">I992+H993</f>
        <v>0.96085552626038</v>
      </c>
      <c r="J993" s="37" t="n">
        <f aca="false">A993/2840</f>
        <v>0.347183098591549</v>
      </c>
      <c r="K993" s="32" t="str">
        <f aca="false">IF(I993&lt;=$E$4,"A",IF(I993&lt;=$E$5,"B","C"))</f>
        <v>C</v>
      </c>
    </row>
    <row r="994" customFormat="false" ht="15" hidden="false" customHeight="false" outlineLevel="0" collapsed="false">
      <c r="A994" s="32" t="n">
        <v>987</v>
      </c>
      <c r="B994" s="33" t="n">
        <v>730865</v>
      </c>
      <c r="C994" s="34" t="s">
        <v>2059</v>
      </c>
      <c r="D994" s="34" t="s">
        <v>2060</v>
      </c>
      <c r="E994" s="34" t="s">
        <v>605</v>
      </c>
      <c r="F994" s="32" t="n">
        <f aca="false">COUNTIF(Base!$D$2:$D$2878,B994)</f>
        <v>1</v>
      </c>
      <c r="G994" s="35" t="n">
        <f aca="false">SUMIF(Base!$D$2:$D$2878,B994,Base!$I$2:$I$2878)</f>
        <v>1199.6</v>
      </c>
      <c r="H994" s="36" t="n">
        <f aca="false">IF($G$2849=0,0,G994/$G$2849)</f>
        <v>7.87204226994412E-005</v>
      </c>
      <c r="I994" s="37" t="n">
        <f aca="false">I993+H994</f>
        <v>0.960934246683079</v>
      </c>
      <c r="J994" s="37" t="n">
        <f aca="false">A994/2840</f>
        <v>0.347535211267606</v>
      </c>
      <c r="K994" s="32" t="str">
        <f aca="false">IF(I994&lt;=$E$4,"A",IF(I994&lt;=$E$5,"B","C"))</f>
        <v>C</v>
      </c>
    </row>
    <row r="995" customFormat="false" ht="15" hidden="false" customHeight="false" outlineLevel="0" collapsed="false">
      <c r="A995" s="32" t="n">
        <v>988</v>
      </c>
      <c r="B995" s="33" t="n">
        <v>1174574</v>
      </c>
      <c r="C995" s="34" t="s">
        <v>2061</v>
      </c>
      <c r="D995" s="34" t="s">
        <v>2062</v>
      </c>
      <c r="E995" s="34" t="s">
        <v>1618</v>
      </c>
      <c r="F995" s="32" t="n">
        <f aca="false">COUNTIF(Base!$D$2:$D$2878,B995)</f>
        <v>1</v>
      </c>
      <c r="G995" s="35" t="n">
        <f aca="false">SUMIF(Base!$D$2:$D$2878,B995,Base!$I$2:$I$2878)</f>
        <v>1198</v>
      </c>
      <c r="H995" s="36" t="n">
        <f aca="false">IF($G$2849=0,0,G995/$G$2849)</f>
        <v>7.86154271373213E-005</v>
      </c>
      <c r="I995" s="37" t="n">
        <f aca="false">I994+H995</f>
        <v>0.961012862110216</v>
      </c>
      <c r="J995" s="37" t="n">
        <f aca="false">A995/2840</f>
        <v>0.347887323943662</v>
      </c>
      <c r="K995" s="32" t="str">
        <f aca="false">IF(I995&lt;=$E$4,"A",IF(I995&lt;=$E$5,"B","C"))</f>
        <v>C</v>
      </c>
    </row>
    <row r="996" customFormat="false" ht="15" hidden="false" customHeight="false" outlineLevel="0" collapsed="false">
      <c r="A996" s="32" t="n">
        <v>989</v>
      </c>
      <c r="B996" s="33" t="n">
        <v>18691</v>
      </c>
      <c r="C996" s="34" t="s">
        <v>2063</v>
      </c>
      <c r="D996" s="34" t="s">
        <v>2064</v>
      </c>
      <c r="E996" s="34" t="s">
        <v>262</v>
      </c>
      <c r="F996" s="32" t="n">
        <f aca="false">COUNTIF(Base!$D$2:$D$2878,B996)</f>
        <v>1</v>
      </c>
      <c r="G996" s="35" t="n">
        <f aca="false">SUMIF(Base!$D$2:$D$2878,B996,Base!$I$2:$I$2878)</f>
        <v>1196</v>
      </c>
      <c r="H996" s="36" t="n">
        <f aca="false">IF($G$2849=0,0,G996/$G$2849)</f>
        <v>7.84841826846713E-005</v>
      </c>
      <c r="I996" s="37" t="n">
        <f aca="false">I995+H996</f>
        <v>0.961091346292901</v>
      </c>
      <c r="J996" s="37" t="n">
        <f aca="false">A996/2840</f>
        <v>0.348239436619718</v>
      </c>
      <c r="K996" s="32" t="str">
        <f aca="false">IF(I996&lt;=$E$4,"A",IF(I996&lt;=$E$5,"B","C"))</f>
        <v>C</v>
      </c>
    </row>
    <row r="997" customFormat="false" ht="15" hidden="false" customHeight="false" outlineLevel="0" collapsed="false">
      <c r="A997" s="32" t="n">
        <v>990</v>
      </c>
      <c r="B997" s="33" t="n">
        <v>1181486</v>
      </c>
      <c r="C997" s="34" t="s">
        <v>2065</v>
      </c>
      <c r="D997" s="34" t="s">
        <v>2066</v>
      </c>
      <c r="E997" s="34" t="s">
        <v>605</v>
      </c>
      <c r="F997" s="32" t="n">
        <f aca="false">COUNTIF(Base!$D$2:$D$2878,B997)</f>
        <v>1</v>
      </c>
      <c r="G997" s="35" t="n">
        <f aca="false">SUMIF(Base!$D$2:$D$2878,B997,Base!$I$2:$I$2878)</f>
        <v>1193.1</v>
      </c>
      <c r="H997" s="36" t="n">
        <f aca="false">IF($G$2849=0,0,G997/$G$2849)</f>
        <v>7.82938782283289E-005</v>
      </c>
      <c r="I997" s="37" t="n">
        <f aca="false">I996+H997</f>
        <v>0.961169640171129</v>
      </c>
      <c r="J997" s="37" t="n">
        <f aca="false">A997/2840</f>
        <v>0.348591549295775</v>
      </c>
      <c r="K997" s="32" t="str">
        <f aca="false">IF(I997&lt;=$E$4,"A",IF(I997&lt;=$E$5,"B","C"))</f>
        <v>C</v>
      </c>
    </row>
    <row r="998" customFormat="false" ht="15" hidden="false" customHeight="false" outlineLevel="0" collapsed="false">
      <c r="A998" s="32" t="n">
        <v>991</v>
      </c>
      <c r="B998" s="33" t="n">
        <v>1016523</v>
      </c>
      <c r="C998" s="34" t="s">
        <v>2067</v>
      </c>
      <c r="D998" s="34" t="s">
        <v>2068</v>
      </c>
      <c r="E998" s="34" t="s">
        <v>189</v>
      </c>
      <c r="F998" s="32" t="n">
        <f aca="false">COUNTIF(Base!$D$2:$D$2878,B998)</f>
        <v>1</v>
      </c>
      <c r="G998" s="35" t="n">
        <f aca="false">SUMIF(Base!$D$2:$D$2878,B998,Base!$I$2:$I$2878)</f>
        <v>1189.06</v>
      </c>
      <c r="H998" s="36" t="n">
        <f aca="false">IF($G$2849=0,0,G998/$G$2849)</f>
        <v>7.8028764433976E-005</v>
      </c>
      <c r="I998" s="37" t="n">
        <f aca="false">I997+H998</f>
        <v>0.961247668935563</v>
      </c>
      <c r="J998" s="37" t="n">
        <f aca="false">A998/2840</f>
        <v>0.348943661971831</v>
      </c>
      <c r="K998" s="32" t="str">
        <f aca="false">IF(I998&lt;=$E$4,"A",IF(I998&lt;=$E$5,"B","C"))</f>
        <v>C</v>
      </c>
    </row>
    <row r="999" customFormat="false" ht="15" hidden="false" customHeight="false" outlineLevel="0" collapsed="false">
      <c r="A999" s="32" t="n">
        <v>992</v>
      </c>
      <c r="B999" s="33" t="n">
        <v>1465404</v>
      </c>
      <c r="C999" s="34" t="s">
        <v>2069</v>
      </c>
      <c r="D999" s="34" t="s">
        <v>2070</v>
      </c>
      <c r="E999" s="34" t="s">
        <v>32</v>
      </c>
      <c r="F999" s="32" t="n">
        <f aca="false">COUNTIF(Base!$D$2:$D$2878,B999)</f>
        <v>1</v>
      </c>
      <c r="G999" s="35" t="n">
        <f aca="false">SUMIF(Base!$D$2:$D$2878,B999,Base!$I$2:$I$2878)</f>
        <v>1188.4</v>
      </c>
      <c r="H999" s="36" t="n">
        <f aca="false">IF($G$2849=0,0,G999/$G$2849)</f>
        <v>7.79854537646015E-005</v>
      </c>
      <c r="I999" s="37" t="n">
        <f aca="false">I998+H999</f>
        <v>0.961325654389328</v>
      </c>
      <c r="J999" s="37" t="n">
        <f aca="false">A999/2840</f>
        <v>0.349295774647887</v>
      </c>
      <c r="K999" s="32" t="str">
        <f aca="false">IF(I999&lt;=$E$4,"A",IF(I999&lt;=$E$5,"B","C"))</f>
        <v>C</v>
      </c>
    </row>
    <row r="1000" customFormat="false" ht="15" hidden="false" customHeight="false" outlineLevel="0" collapsed="false">
      <c r="A1000" s="32" t="n">
        <v>993</v>
      </c>
      <c r="B1000" s="33" t="n">
        <v>16713</v>
      </c>
      <c r="C1000" s="34" t="s">
        <v>2071</v>
      </c>
      <c r="D1000" s="34" t="s">
        <v>2072</v>
      </c>
      <c r="E1000" s="34" t="s">
        <v>100</v>
      </c>
      <c r="F1000" s="32" t="n">
        <f aca="false">COUNTIF(Base!$D$2:$D$2878,B1000)</f>
        <v>1</v>
      </c>
      <c r="G1000" s="35" t="n">
        <f aca="false">SUMIF(Base!$D$2:$D$2878,B1000,Base!$I$2:$I$2878)</f>
        <v>1188</v>
      </c>
      <c r="H1000" s="36" t="n">
        <f aca="false">IF($G$2849=0,0,G1000/$G$2849)</f>
        <v>7.79592048740715E-005</v>
      </c>
      <c r="I1000" s="37" t="n">
        <f aca="false">I999+H1000</f>
        <v>0.961403613594202</v>
      </c>
      <c r="J1000" s="37" t="n">
        <f aca="false">A1000/2840</f>
        <v>0.349647887323944</v>
      </c>
      <c r="K1000" s="32" t="str">
        <f aca="false">IF(I1000&lt;=$E$4,"A",IF(I1000&lt;=$E$5,"B","C"))</f>
        <v>C</v>
      </c>
    </row>
    <row r="1001" customFormat="false" ht="15" hidden="false" customHeight="false" outlineLevel="0" collapsed="false">
      <c r="A1001" s="32" t="n">
        <v>994</v>
      </c>
      <c r="B1001" s="33" t="n">
        <v>55058</v>
      </c>
      <c r="C1001" s="34" t="s">
        <v>2073</v>
      </c>
      <c r="D1001" s="34" t="s">
        <v>2074</v>
      </c>
      <c r="E1001" s="34" t="s">
        <v>38</v>
      </c>
      <c r="F1001" s="32" t="n">
        <f aca="false">COUNTIF(Base!$D$2:$D$2878,B1001)</f>
        <v>1</v>
      </c>
      <c r="G1001" s="35" t="n">
        <f aca="false">SUMIF(Base!$D$2:$D$2878,B1001,Base!$I$2:$I$2878)</f>
        <v>1174</v>
      </c>
      <c r="H1001" s="36" t="n">
        <f aca="false">IF($G$2849=0,0,G1001/$G$2849)</f>
        <v>7.70404937055218E-005</v>
      </c>
      <c r="I1001" s="37" t="n">
        <f aca="false">I1000+H1001</f>
        <v>0.961480654087908</v>
      </c>
      <c r="J1001" s="37" t="n">
        <f aca="false">A1001/2840</f>
        <v>0.35</v>
      </c>
      <c r="K1001" s="32" t="str">
        <f aca="false">IF(I1001&lt;=$E$4,"A",IF(I1001&lt;=$E$5,"B","C"))</f>
        <v>C</v>
      </c>
    </row>
    <row r="1002" customFormat="false" ht="15" hidden="false" customHeight="false" outlineLevel="0" collapsed="false">
      <c r="A1002" s="32" t="n">
        <v>995</v>
      </c>
      <c r="B1002" s="33" t="n">
        <v>1615275</v>
      </c>
      <c r="C1002" s="34" t="s">
        <v>2075</v>
      </c>
      <c r="D1002" s="34" t="s">
        <v>2076</v>
      </c>
      <c r="E1002" s="34" t="s">
        <v>38</v>
      </c>
      <c r="F1002" s="32" t="n">
        <f aca="false">COUNTIF(Base!$D$2:$D$2878,B1002)</f>
        <v>1</v>
      </c>
      <c r="G1002" s="35" t="n">
        <f aca="false">SUMIF(Base!$D$2:$D$2878,B1002,Base!$I$2:$I$2878)</f>
        <v>1171.84</v>
      </c>
      <c r="H1002" s="36" t="n">
        <f aca="false">IF($G$2849=0,0,G1002/$G$2849)</f>
        <v>7.68987496966599E-005</v>
      </c>
      <c r="I1002" s="37" t="n">
        <f aca="false">I1001+H1002</f>
        <v>0.961557552837604</v>
      </c>
      <c r="J1002" s="37" t="n">
        <f aca="false">A1002/2840</f>
        <v>0.350352112676056</v>
      </c>
      <c r="K1002" s="32" t="str">
        <f aca="false">IF(I1002&lt;=$E$4,"A",IF(I1002&lt;=$E$5,"B","C"))</f>
        <v>C</v>
      </c>
    </row>
    <row r="1003" customFormat="false" ht="15" hidden="false" customHeight="false" outlineLevel="0" collapsed="false">
      <c r="A1003" s="32" t="n">
        <v>996</v>
      </c>
      <c r="B1003" s="33" t="n">
        <v>1476023</v>
      </c>
      <c r="C1003" s="34" t="s">
        <v>2077</v>
      </c>
      <c r="D1003" s="34" t="s">
        <v>2078</v>
      </c>
      <c r="E1003" s="34" t="s">
        <v>130</v>
      </c>
      <c r="F1003" s="32" t="n">
        <f aca="false">COUNTIF(Base!$D$2:$D$2878,B1003)</f>
        <v>1</v>
      </c>
      <c r="G1003" s="35" t="n">
        <f aca="false">SUMIF(Base!$D$2:$D$2878,B1003,Base!$I$2:$I$2878)</f>
        <v>1170</v>
      </c>
      <c r="H1003" s="36" t="n">
        <f aca="false">IF($G$2849=0,0,G1003/$G$2849)</f>
        <v>7.67780048002219E-005</v>
      </c>
      <c r="I1003" s="37" t="n">
        <f aca="false">I1002+H1003</f>
        <v>0.961634330842404</v>
      </c>
      <c r="J1003" s="37" t="n">
        <f aca="false">A1003/2840</f>
        <v>0.350704225352113</v>
      </c>
      <c r="K1003" s="32" t="str">
        <f aca="false">IF(I1003&lt;=$E$4,"A",IF(I1003&lt;=$E$5,"B","C"))</f>
        <v>C</v>
      </c>
    </row>
    <row r="1004" customFormat="false" ht="15" hidden="false" customHeight="false" outlineLevel="0" collapsed="false">
      <c r="A1004" s="32" t="n">
        <v>997</v>
      </c>
      <c r="B1004" s="33" t="n">
        <v>1387009</v>
      </c>
      <c r="C1004" s="34" t="s">
        <v>2079</v>
      </c>
      <c r="D1004" s="34" t="s">
        <v>2080</v>
      </c>
      <c r="E1004" s="34" t="s">
        <v>38</v>
      </c>
      <c r="F1004" s="32" t="n">
        <f aca="false">COUNTIF(Base!$D$2:$D$2878,B1004)</f>
        <v>1</v>
      </c>
      <c r="G1004" s="35" t="n">
        <f aca="false">SUMIF(Base!$D$2:$D$2878,B1004,Base!$I$2:$I$2878)</f>
        <v>1169.74</v>
      </c>
      <c r="H1004" s="36" t="n">
        <f aca="false">IF($G$2849=0,0,G1004/$G$2849)</f>
        <v>7.67609430213775E-005</v>
      </c>
      <c r="I1004" s="37" t="n">
        <f aca="false">I1003+H1004</f>
        <v>0.961711091785426</v>
      </c>
      <c r="J1004" s="37" t="n">
        <f aca="false">A1004/2840</f>
        <v>0.351056338028169</v>
      </c>
      <c r="K1004" s="32" t="str">
        <f aca="false">IF(I1004&lt;=$E$4,"A",IF(I1004&lt;=$E$5,"B","C"))</f>
        <v>C</v>
      </c>
    </row>
    <row r="1005" customFormat="false" ht="15" hidden="false" customHeight="false" outlineLevel="0" collapsed="false">
      <c r="A1005" s="32" t="n">
        <v>998</v>
      </c>
      <c r="B1005" s="33" t="n">
        <v>1068925</v>
      </c>
      <c r="C1005" s="34" t="s">
        <v>2081</v>
      </c>
      <c r="D1005" s="34" t="s">
        <v>2082</v>
      </c>
      <c r="E1005" s="34" t="s">
        <v>247</v>
      </c>
      <c r="F1005" s="32" t="n">
        <f aca="false">COUNTIF(Base!$D$2:$D$2878,B1005)</f>
        <v>1</v>
      </c>
      <c r="G1005" s="35" t="n">
        <f aca="false">SUMIF(Base!$D$2:$D$2878,B1005,Base!$I$2:$I$2878)</f>
        <v>1169.1</v>
      </c>
      <c r="H1005" s="36" t="n">
        <f aca="false">IF($G$2849=0,0,G1005/$G$2849)</f>
        <v>7.67189447965295E-005</v>
      </c>
      <c r="I1005" s="37" t="n">
        <f aca="false">I1004+H1005</f>
        <v>0.961787810730222</v>
      </c>
      <c r="J1005" s="37" t="n">
        <f aca="false">A1005/2840</f>
        <v>0.351408450704225</v>
      </c>
      <c r="K1005" s="32" t="str">
        <f aca="false">IF(I1005&lt;=$E$4,"A",IF(I1005&lt;=$E$5,"B","C"))</f>
        <v>C</v>
      </c>
    </row>
    <row r="1006" customFormat="false" ht="15" hidden="false" customHeight="false" outlineLevel="0" collapsed="false">
      <c r="A1006" s="32" t="n">
        <v>999</v>
      </c>
      <c r="B1006" s="33" t="n">
        <v>280491</v>
      </c>
      <c r="C1006" s="34" t="s">
        <v>2083</v>
      </c>
      <c r="D1006" s="34" t="s">
        <v>2084</v>
      </c>
      <c r="E1006" s="34" t="s">
        <v>38</v>
      </c>
      <c r="F1006" s="32" t="n">
        <f aca="false">COUNTIF(Base!$D$2:$D$2878,B1006)</f>
        <v>1</v>
      </c>
      <c r="G1006" s="35" t="n">
        <f aca="false">SUMIF(Base!$D$2:$D$2878,B1006,Base!$I$2:$I$2878)</f>
        <v>1165.65</v>
      </c>
      <c r="H1006" s="36" t="n">
        <f aca="false">IF($G$2849=0,0,G1006/$G$2849)</f>
        <v>7.64925481157083E-005</v>
      </c>
      <c r="I1006" s="37" t="n">
        <f aca="false">I1005+H1006</f>
        <v>0.961864303278338</v>
      </c>
      <c r="J1006" s="37" t="n">
        <f aca="false">A1006/2840</f>
        <v>0.351760563380282</v>
      </c>
      <c r="K1006" s="32" t="str">
        <f aca="false">IF(I1006&lt;=$E$4,"A",IF(I1006&lt;=$E$5,"B","C"))</f>
        <v>C</v>
      </c>
    </row>
    <row r="1007" customFormat="false" ht="15" hidden="false" customHeight="false" outlineLevel="0" collapsed="false">
      <c r="A1007" s="32" t="n">
        <v>1000</v>
      </c>
      <c r="B1007" s="33" t="n">
        <v>18884</v>
      </c>
      <c r="C1007" s="34" t="s">
        <v>2085</v>
      </c>
      <c r="D1007" s="34" t="s">
        <v>2086</v>
      </c>
      <c r="E1007" s="34" t="s">
        <v>247</v>
      </c>
      <c r="F1007" s="32" t="n">
        <f aca="false">COUNTIF(Base!$D$2:$D$2878,B1007)</f>
        <v>1</v>
      </c>
      <c r="G1007" s="35" t="n">
        <f aca="false">SUMIF(Base!$D$2:$D$2878,B1007,Base!$I$2:$I$2878)</f>
        <v>1160</v>
      </c>
      <c r="H1007" s="36" t="n">
        <f aca="false">IF($G$2849=0,0,G1007/$G$2849)</f>
        <v>7.61217825369722E-005</v>
      </c>
      <c r="I1007" s="37" t="n">
        <f aca="false">I1006+H1007</f>
        <v>0.961940425060875</v>
      </c>
      <c r="J1007" s="37" t="n">
        <f aca="false">A1007/2840</f>
        <v>0.352112676056338</v>
      </c>
      <c r="K1007" s="32" t="str">
        <f aca="false">IF(I1007&lt;=$E$4,"A",IF(I1007&lt;=$E$5,"B","C"))</f>
        <v>C</v>
      </c>
    </row>
    <row r="1008" customFormat="false" ht="15" hidden="false" customHeight="false" outlineLevel="0" collapsed="false">
      <c r="A1008" s="32" t="n">
        <v>1001</v>
      </c>
      <c r="B1008" s="33" t="n">
        <v>144446</v>
      </c>
      <c r="C1008" s="34" t="s">
        <v>2087</v>
      </c>
      <c r="D1008" s="34" t="s">
        <v>2088</v>
      </c>
      <c r="E1008" s="34" t="s">
        <v>247</v>
      </c>
      <c r="F1008" s="32" t="n">
        <f aca="false">COUNTIF(Base!$D$2:$D$2878,B1008)</f>
        <v>1</v>
      </c>
      <c r="G1008" s="35" t="n">
        <f aca="false">SUMIF(Base!$D$2:$D$2878,B1008,Base!$I$2:$I$2878)</f>
        <v>1160</v>
      </c>
      <c r="H1008" s="36" t="n">
        <f aca="false">IF($G$2849=0,0,G1008/$G$2849)</f>
        <v>7.61217825369722E-005</v>
      </c>
      <c r="I1008" s="37" t="n">
        <f aca="false">I1007+H1008</f>
        <v>0.962016546843412</v>
      </c>
      <c r="J1008" s="37" t="n">
        <f aca="false">A1008/2840</f>
        <v>0.352464788732394</v>
      </c>
      <c r="K1008" s="32" t="str">
        <f aca="false">IF(I1008&lt;=$E$4,"A",IF(I1008&lt;=$E$5,"B","C"))</f>
        <v>C</v>
      </c>
    </row>
    <row r="1009" customFormat="false" ht="15" hidden="false" customHeight="false" outlineLevel="0" collapsed="false">
      <c r="A1009" s="32" t="n">
        <v>1002</v>
      </c>
      <c r="B1009" s="33" t="n">
        <v>858570</v>
      </c>
      <c r="C1009" s="34" t="s">
        <v>2089</v>
      </c>
      <c r="D1009" s="34" t="s">
        <v>2090</v>
      </c>
      <c r="E1009" s="34" t="s">
        <v>38</v>
      </c>
      <c r="F1009" s="32" t="n">
        <f aca="false">COUNTIF(Base!$D$2:$D$2878,B1009)</f>
        <v>1</v>
      </c>
      <c r="G1009" s="35" t="n">
        <f aca="false">SUMIF(Base!$D$2:$D$2878,B1009,Base!$I$2:$I$2878)</f>
        <v>1159.44</v>
      </c>
      <c r="H1009" s="36" t="n">
        <f aca="false">IF($G$2849=0,0,G1009/$G$2849)</f>
        <v>7.60850340902302E-005</v>
      </c>
      <c r="I1009" s="37" t="n">
        <f aca="false">I1008+H1009</f>
        <v>0.962092631877502</v>
      </c>
      <c r="J1009" s="37" t="n">
        <f aca="false">A1009/2840</f>
        <v>0.352816901408451</v>
      </c>
      <c r="K1009" s="32" t="str">
        <f aca="false">IF(I1009&lt;=$E$4,"A",IF(I1009&lt;=$E$5,"B","C"))</f>
        <v>C</v>
      </c>
    </row>
    <row r="1010" customFormat="false" ht="15" hidden="false" customHeight="false" outlineLevel="0" collapsed="false">
      <c r="A1010" s="32" t="n">
        <v>1003</v>
      </c>
      <c r="B1010" s="33" t="n">
        <v>1228556</v>
      </c>
      <c r="C1010" s="34" t="s">
        <v>2091</v>
      </c>
      <c r="D1010" s="34" t="s">
        <v>2092</v>
      </c>
      <c r="E1010" s="34" t="s">
        <v>38</v>
      </c>
      <c r="F1010" s="32" t="n">
        <f aca="false">COUNTIF(Base!$D$2:$D$2878,B1010)</f>
        <v>1</v>
      </c>
      <c r="G1010" s="35" t="n">
        <f aca="false">SUMIF(Base!$D$2:$D$2878,B1010,Base!$I$2:$I$2878)</f>
        <v>1158.96</v>
      </c>
      <c r="H1010" s="36" t="n">
        <f aca="false">IF($G$2849=0,0,G1010/$G$2849)</f>
        <v>7.60535354215942E-005</v>
      </c>
      <c r="I1010" s="37" t="n">
        <f aca="false">I1009+H1010</f>
        <v>0.962168685412924</v>
      </c>
      <c r="J1010" s="37" t="n">
        <f aca="false">A1010/2840</f>
        <v>0.353169014084507</v>
      </c>
      <c r="K1010" s="32" t="str">
        <f aca="false">IF(I1010&lt;=$E$4,"A",IF(I1010&lt;=$E$5,"B","C"))</f>
        <v>C</v>
      </c>
    </row>
    <row r="1011" customFormat="false" ht="15" hidden="false" customHeight="false" outlineLevel="0" collapsed="false">
      <c r="A1011" s="32" t="n">
        <v>1004</v>
      </c>
      <c r="B1011" s="33" t="n">
        <v>1479338</v>
      </c>
      <c r="C1011" s="34" t="s">
        <v>2093</v>
      </c>
      <c r="D1011" s="34" t="s">
        <v>2094</v>
      </c>
      <c r="E1011" s="34" t="s">
        <v>32</v>
      </c>
      <c r="F1011" s="32" t="n">
        <f aca="false">COUNTIF(Base!$D$2:$D$2878,B1011)</f>
        <v>1</v>
      </c>
      <c r="G1011" s="35" t="n">
        <f aca="false">SUMIF(Base!$D$2:$D$2878,B1011,Base!$I$2:$I$2878)</f>
        <v>1158.09</v>
      </c>
      <c r="H1011" s="36" t="n">
        <f aca="false">IF($G$2849=0,0,G1011/$G$2849)</f>
        <v>7.59964440846915E-005</v>
      </c>
      <c r="I1011" s="37" t="n">
        <f aca="false">I1010+H1011</f>
        <v>0.962244681857009</v>
      </c>
      <c r="J1011" s="37" t="n">
        <f aca="false">A1011/2840</f>
        <v>0.353521126760563</v>
      </c>
      <c r="K1011" s="32" t="str">
        <f aca="false">IF(I1011&lt;=$E$4,"A",IF(I1011&lt;=$E$5,"B","C"))</f>
        <v>C</v>
      </c>
    </row>
    <row r="1012" customFormat="false" ht="15" hidden="false" customHeight="false" outlineLevel="0" collapsed="false">
      <c r="A1012" s="32" t="n">
        <v>1005</v>
      </c>
      <c r="B1012" s="33" t="n">
        <v>1484156</v>
      </c>
      <c r="C1012" s="34" t="s">
        <v>2095</v>
      </c>
      <c r="D1012" s="34" t="s">
        <v>2096</v>
      </c>
      <c r="E1012" s="34" t="s">
        <v>100</v>
      </c>
      <c r="F1012" s="32" t="n">
        <f aca="false">COUNTIF(Base!$D$2:$D$2878,B1012)</f>
        <v>1</v>
      </c>
      <c r="G1012" s="35" t="n">
        <f aca="false">SUMIF(Base!$D$2:$D$2878,B1012,Base!$I$2:$I$2878)</f>
        <v>1157.82</v>
      </c>
      <c r="H1012" s="36" t="n">
        <f aca="false">IF($G$2849=0,0,G1012/$G$2849)</f>
        <v>7.59787260835837E-005</v>
      </c>
      <c r="I1012" s="37" t="n">
        <f aca="false">I1011+H1012</f>
        <v>0.962320660583092</v>
      </c>
      <c r="J1012" s="37" t="n">
        <f aca="false">A1012/2840</f>
        <v>0.35387323943662</v>
      </c>
      <c r="K1012" s="32" t="str">
        <f aca="false">IF(I1012&lt;=$E$4,"A",IF(I1012&lt;=$E$5,"B","C"))</f>
        <v>C</v>
      </c>
    </row>
    <row r="1013" customFormat="false" ht="15" hidden="false" customHeight="false" outlineLevel="0" collapsed="false">
      <c r="A1013" s="32" t="n">
        <v>1006</v>
      </c>
      <c r="B1013" s="33" t="n">
        <v>18824</v>
      </c>
      <c r="C1013" s="34" t="s">
        <v>2097</v>
      </c>
      <c r="D1013" s="34" t="s">
        <v>2098</v>
      </c>
      <c r="E1013" s="34" t="s">
        <v>247</v>
      </c>
      <c r="F1013" s="32" t="n">
        <f aca="false">COUNTIF(Base!$D$2:$D$2878,B1013)</f>
        <v>1</v>
      </c>
      <c r="G1013" s="35" t="n">
        <f aca="false">SUMIF(Base!$D$2:$D$2878,B1013,Base!$I$2:$I$2878)</f>
        <v>1147.7</v>
      </c>
      <c r="H1013" s="36" t="n">
        <f aca="false">IF($G$2849=0,0,G1013/$G$2849)</f>
        <v>7.5314629153175E-005</v>
      </c>
      <c r="I1013" s="37" t="n">
        <f aca="false">I1012+H1013</f>
        <v>0.962395975212245</v>
      </c>
      <c r="J1013" s="37" t="n">
        <f aca="false">A1013/2840</f>
        <v>0.354225352112676</v>
      </c>
      <c r="K1013" s="32" t="str">
        <f aca="false">IF(I1013&lt;=$E$4,"A",IF(I1013&lt;=$E$5,"B","C"))</f>
        <v>C</v>
      </c>
    </row>
    <row r="1014" customFormat="false" ht="15" hidden="false" customHeight="false" outlineLevel="0" collapsed="false">
      <c r="A1014" s="32" t="n">
        <v>1007</v>
      </c>
      <c r="B1014" s="33" t="n">
        <v>22126</v>
      </c>
      <c r="C1014" s="34" t="s">
        <v>2099</v>
      </c>
      <c r="D1014" s="34" t="s">
        <v>2100</v>
      </c>
      <c r="E1014" s="34" t="s">
        <v>605</v>
      </c>
      <c r="F1014" s="32" t="n">
        <f aca="false">COUNTIF(Base!$D$2:$D$2878,B1014)</f>
        <v>1</v>
      </c>
      <c r="G1014" s="35" t="n">
        <f aca="false">SUMIF(Base!$D$2:$D$2878,B1014,Base!$I$2:$I$2878)</f>
        <v>1142.6</v>
      </c>
      <c r="H1014" s="36" t="n">
        <f aca="false">IF($G$2849=0,0,G1014/$G$2849)</f>
        <v>7.49799557989176E-005</v>
      </c>
      <c r="I1014" s="37" t="n">
        <f aca="false">I1013+H1014</f>
        <v>0.962470955168044</v>
      </c>
      <c r="J1014" s="37" t="n">
        <f aca="false">A1014/2840</f>
        <v>0.354577464788732</v>
      </c>
      <c r="K1014" s="32" t="str">
        <f aca="false">IF(I1014&lt;=$E$4,"A",IF(I1014&lt;=$E$5,"B","C"))</f>
        <v>C</v>
      </c>
    </row>
    <row r="1015" customFormat="false" ht="15" hidden="false" customHeight="false" outlineLevel="0" collapsed="false">
      <c r="A1015" s="32" t="n">
        <v>1008</v>
      </c>
      <c r="B1015" s="33" t="n">
        <v>1387300</v>
      </c>
      <c r="C1015" s="34" t="s">
        <v>2101</v>
      </c>
      <c r="D1015" s="34" t="s">
        <v>2102</v>
      </c>
      <c r="E1015" s="34" t="s">
        <v>133</v>
      </c>
      <c r="F1015" s="32" t="n">
        <f aca="false">COUNTIF(Base!$D$2:$D$2878,B1015)</f>
        <v>1</v>
      </c>
      <c r="G1015" s="35" t="n">
        <f aca="false">SUMIF(Base!$D$2:$D$2878,B1015,Base!$I$2:$I$2878)</f>
        <v>1140</v>
      </c>
      <c r="H1015" s="36" t="n">
        <f aca="false">IF($G$2849=0,0,G1015/$G$2849)</f>
        <v>7.48093380104727E-005</v>
      </c>
      <c r="I1015" s="37" t="n">
        <f aca="false">I1014+H1015</f>
        <v>0.962545764506055</v>
      </c>
      <c r="J1015" s="37" t="n">
        <f aca="false">A1015/2840</f>
        <v>0.354929577464789</v>
      </c>
      <c r="K1015" s="32" t="str">
        <f aca="false">IF(I1015&lt;=$E$4,"A",IF(I1015&lt;=$E$5,"B","C"))</f>
        <v>C</v>
      </c>
    </row>
    <row r="1016" customFormat="false" ht="15" hidden="false" customHeight="false" outlineLevel="0" collapsed="false">
      <c r="A1016" s="32" t="n">
        <v>1009</v>
      </c>
      <c r="B1016" s="33" t="n">
        <v>734072</v>
      </c>
      <c r="C1016" s="34" t="s">
        <v>2103</v>
      </c>
      <c r="D1016" s="34" t="s">
        <v>2104</v>
      </c>
      <c r="E1016" s="34" t="s">
        <v>130</v>
      </c>
      <c r="F1016" s="32" t="n">
        <f aca="false">COUNTIF(Base!$D$2:$D$2878,B1016)</f>
        <v>1</v>
      </c>
      <c r="G1016" s="35" t="n">
        <f aca="false">SUMIF(Base!$D$2:$D$2878,B1016,Base!$I$2:$I$2878)</f>
        <v>1138.18</v>
      </c>
      <c r="H1016" s="36" t="n">
        <f aca="false">IF($G$2849=0,0,G1016/$G$2849)</f>
        <v>7.46899055585612E-005</v>
      </c>
      <c r="I1016" s="37" t="n">
        <f aca="false">I1015+H1016</f>
        <v>0.962620454411613</v>
      </c>
      <c r="J1016" s="37" t="n">
        <f aca="false">A1016/2840</f>
        <v>0.355281690140845</v>
      </c>
      <c r="K1016" s="32" t="str">
        <f aca="false">IF(I1016&lt;=$E$4,"A",IF(I1016&lt;=$E$5,"B","C"))</f>
        <v>C</v>
      </c>
    </row>
    <row r="1017" customFormat="false" ht="15" hidden="false" customHeight="false" outlineLevel="0" collapsed="false">
      <c r="A1017" s="32" t="n">
        <v>1010</v>
      </c>
      <c r="B1017" s="33" t="n">
        <v>604835</v>
      </c>
      <c r="C1017" s="34" t="s">
        <v>2105</v>
      </c>
      <c r="D1017" s="34" t="s">
        <v>2106</v>
      </c>
      <c r="E1017" s="34" t="s">
        <v>35</v>
      </c>
      <c r="F1017" s="32" t="n">
        <f aca="false">COUNTIF(Base!$D$2:$D$2878,B1017)</f>
        <v>1</v>
      </c>
      <c r="G1017" s="35" t="n">
        <f aca="false">SUMIF(Base!$D$2:$D$2878,B1017,Base!$I$2:$I$2878)</f>
        <v>1137.42</v>
      </c>
      <c r="H1017" s="36" t="n">
        <f aca="false">IF($G$2849=0,0,G1017/$G$2849)</f>
        <v>7.46400326665542E-005</v>
      </c>
      <c r="I1017" s="37" t="n">
        <f aca="false">I1016+H1017</f>
        <v>0.96269509444428</v>
      </c>
      <c r="J1017" s="37" t="n">
        <f aca="false">A1017/2840</f>
        <v>0.355633802816901</v>
      </c>
      <c r="K1017" s="32" t="str">
        <f aca="false">IF(I1017&lt;=$E$4,"A",IF(I1017&lt;=$E$5,"B","C"))</f>
        <v>C</v>
      </c>
    </row>
    <row r="1018" customFormat="false" ht="15" hidden="false" customHeight="false" outlineLevel="0" collapsed="false">
      <c r="A1018" s="32" t="n">
        <v>1011</v>
      </c>
      <c r="B1018" s="33" t="n">
        <v>1014256</v>
      </c>
      <c r="C1018" s="34" t="s">
        <v>2107</v>
      </c>
      <c r="D1018" s="34" t="s">
        <v>2108</v>
      </c>
      <c r="E1018" s="34" t="s">
        <v>247</v>
      </c>
      <c r="F1018" s="32" t="n">
        <f aca="false">COUNTIF(Base!$D$2:$D$2878,B1018)</f>
        <v>1</v>
      </c>
      <c r="G1018" s="35" t="n">
        <f aca="false">SUMIF(Base!$D$2:$D$2878,B1018,Base!$I$2:$I$2878)</f>
        <v>1134</v>
      </c>
      <c r="H1018" s="36" t="n">
        <f aca="false">IF($G$2849=0,0,G1018/$G$2849)</f>
        <v>7.44156046525228E-005</v>
      </c>
      <c r="I1018" s="37" t="n">
        <f aca="false">I1017+H1018</f>
        <v>0.962769510048932</v>
      </c>
      <c r="J1018" s="37" t="n">
        <f aca="false">A1018/2840</f>
        <v>0.355985915492958</v>
      </c>
      <c r="K1018" s="32" t="str">
        <f aca="false">IF(I1018&lt;=$E$4,"A",IF(I1018&lt;=$E$5,"B","C"))</f>
        <v>C</v>
      </c>
    </row>
    <row r="1019" customFormat="false" ht="15" hidden="false" customHeight="false" outlineLevel="0" collapsed="false">
      <c r="A1019" s="32" t="n">
        <v>1012</v>
      </c>
      <c r="B1019" s="33" t="n">
        <v>22230</v>
      </c>
      <c r="C1019" s="34" t="s">
        <v>2109</v>
      </c>
      <c r="D1019" s="34" t="s">
        <v>2110</v>
      </c>
      <c r="E1019" s="34" t="s">
        <v>637</v>
      </c>
      <c r="F1019" s="32" t="n">
        <f aca="false">COUNTIF(Base!$D$2:$D$2878,B1019)</f>
        <v>1</v>
      </c>
      <c r="G1019" s="35" t="n">
        <f aca="false">SUMIF(Base!$D$2:$D$2878,B1019,Base!$I$2:$I$2878)</f>
        <v>1130.4</v>
      </c>
      <c r="H1019" s="36" t="n">
        <f aca="false">IF($G$2849=0,0,G1019/$G$2849)</f>
        <v>7.41793646377529E-005</v>
      </c>
      <c r="I1019" s="37" t="n">
        <f aca="false">I1018+H1019</f>
        <v>0.96284368941357</v>
      </c>
      <c r="J1019" s="37" t="n">
        <f aca="false">A1019/2840</f>
        <v>0.356338028169014</v>
      </c>
      <c r="K1019" s="32" t="str">
        <f aca="false">IF(I1019&lt;=$E$4,"A",IF(I1019&lt;=$E$5,"B","C"))</f>
        <v>C</v>
      </c>
    </row>
    <row r="1020" customFormat="false" ht="15" hidden="false" customHeight="false" outlineLevel="0" collapsed="false">
      <c r="A1020" s="32" t="n">
        <v>1013</v>
      </c>
      <c r="B1020" s="33" t="n">
        <v>839811</v>
      </c>
      <c r="C1020" s="34" t="s">
        <v>2111</v>
      </c>
      <c r="D1020" s="34" t="s">
        <v>2112</v>
      </c>
      <c r="E1020" s="34" t="s">
        <v>262</v>
      </c>
      <c r="F1020" s="32" t="n">
        <f aca="false">COUNTIF(Base!$D$2:$D$2878,B1020)</f>
        <v>1</v>
      </c>
      <c r="G1020" s="35" t="n">
        <f aca="false">SUMIF(Base!$D$2:$D$2878,B1020,Base!$I$2:$I$2878)</f>
        <v>1125.48</v>
      </c>
      <c r="H1020" s="36" t="n">
        <f aca="false">IF($G$2849=0,0,G1020/$G$2849)</f>
        <v>7.3856503284234E-005</v>
      </c>
      <c r="I1020" s="37" t="n">
        <f aca="false">I1019+H1020</f>
        <v>0.962917545916854</v>
      </c>
      <c r="J1020" s="37" t="n">
        <f aca="false">A1020/2840</f>
        <v>0.35669014084507</v>
      </c>
      <c r="K1020" s="32" t="str">
        <f aca="false">IF(I1020&lt;=$E$4,"A",IF(I1020&lt;=$E$5,"B","C"))</f>
        <v>C</v>
      </c>
    </row>
    <row r="1021" customFormat="false" ht="15" hidden="false" customHeight="false" outlineLevel="0" collapsed="false">
      <c r="A1021" s="32" t="n">
        <v>1014</v>
      </c>
      <c r="B1021" s="33" t="n">
        <v>23241</v>
      </c>
      <c r="C1021" s="34" t="s">
        <v>2113</v>
      </c>
      <c r="D1021" s="34" t="s">
        <v>2114</v>
      </c>
      <c r="E1021" s="34" t="s">
        <v>1095</v>
      </c>
      <c r="F1021" s="32" t="n">
        <f aca="false">COUNTIF(Base!$D$2:$D$2878,B1021)</f>
        <v>1</v>
      </c>
      <c r="G1021" s="35" t="n">
        <f aca="false">SUMIF(Base!$D$2:$D$2878,B1021,Base!$I$2:$I$2878)</f>
        <v>1121</v>
      </c>
      <c r="H1021" s="36" t="n">
        <f aca="false">IF($G$2849=0,0,G1021/$G$2849)</f>
        <v>7.35625157102981E-005</v>
      </c>
      <c r="I1021" s="37" t="n">
        <f aca="false">I1020+H1021</f>
        <v>0.962991108432565</v>
      </c>
      <c r="J1021" s="37" t="n">
        <f aca="false">A1021/2840</f>
        <v>0.357042253521127</v>
      </c>
      <c r="K1021" s="32" t="str">
        <f aca="false">IF(I1021&lt;=$E$4,"A",IF(I1021&lt;=$E$5,"B","C"))</f>
        <v>C</v>
      </c>
    </row>
    <row r="1022" customFormat="false" ht="15" hidden="false" customHeight="false" outlineLevel="0" collapsed="false">
      <c r="A1022" s="32" t="n">
        <v>1015</v>
      </c>
      <c r="B1022" s="33" t="n">
        <v>1379978</v>
      </c>
      <c r="C1022" s="34" t="s">
        <v>2115</v>
      </c>
      <c r="D1022" s="34" t="s">
        <v>2116</v>
      </c>
      <c r="E1022" s="34" t="s">
        <v>100</v>
      </c>
      <c r="F1022" s="32" t="n">
        <f aca="false">COUNTIF(Base!$D$2:$D$2878,B1022)</f>
        <v>1</v>
      </c>
      <c r="G1022" s="35" t="n">
        <f aca="false">SUMIF(Base!$D$2:$D$2878,B1022,Base!$I$2:$I$2878)</f>
        <v>1118.08</v>
      </c>
      <c r="H1022" s="36" t="n">
        <f aca="false">IF($G$2849=0,0,G1022/$G$2849)</f>
        <v>7.33708988094292E-005</v>
      </c>
      <c r="I1022" s="37" t="n">
        <f aca="false">I1021+H1022</f>
        <v>0.963064479331374</v>
      </c>
      <c r="J1022" s="37" t="n">
        <f aca="false">A1022/2840</f>
        <v>0.357394366197183</v>
      </c>
      <c r="K1022" s="32" t="str">
        <f aca="false">IF(I1022&lt;=$E$4,"A",IF(I1022&lt;=$E$5,"B","C"))</f>
        <v>C</v>
      </c>
    </row>
    <row r="1023" customFormat="false" ht="15" hidden="false" customHeight="false" outlineLevel="0" collapsed="false">
      <c r="A1023" s="32" t="n">
        <v>1016</v>
      </c>
      <c r="B1023" s="33" t="n">
        <v>1385337</v>
      </c>
      <c r="C1023" s="34" t="s">
        <v>2117</v>
      </c>
      <c r="D1023" s="34" t="s">
        <v>2118</v>
      </c>
      <c r="E1023" s="34" t="s">
        <v>75</v>
      </c>
      <c r="F1023" s="32" t="n">
        <f aca="false">COUNTIF(Base!$D$2:$D$2878,B1023)</f>
        <v>1</v>
      </c>
      <c r="G1023" s="35" t="n">
        <f aca="false">SUMIF(Base!$D$2:$D$2878,B1023,Base!$I$2:$I$2878)</f>
        <v>1115.68</v>
      </c>
      <c r="H1023" s="36" t="n">
        <f aca="false">IF($G$2849=0,0,G1023/$G$2849)</f>
        <v>7.32134054662492E-005</v>
      </c>
      <c r="I1023" s="37" t="n">
        <f aca="false">I1022+H1023</f>
        <v>0.963137692736841</v>
      </c>
      <c r="J1023" s="37" t="n">
        <f aca="false">A1023/2840</f>
        <v>0.357746478873239</v>
      </c>
      <c r="K1023" s="32" t="str">
        <f aca="false">IF(I1023&lt;=$E$4,"A",IF(I1023&lt;=$E$5,"B","C"))</f>
        <v>C</v>
      </c>
    </row>
    <row r="1024" customFormat="false" ht="15" hidden="false" customHeight="false" outlineLevel="0" collapsed="false">
      <c r="A1024" s="32" t="n">
        <v>1017</v>
      </c>
      <c r="B1024" s="33" t="n">
        <v>90009</v>
      </c>
      <c r="C1024" s="34" t="s">
        <v>2119</v>
      </c>
      <c r="D1024" s="34" t="s">
        <v>2120</v>
      </c>
      <c r="E1024" s="34" t="s">
        <v>189</v>
      </c>
      <c r="F1024" s="32" t="n">
        <f aca="false">COUNTIF(Base!$D$2:$D$2878,B1024)</f>
        <v>1</v>
      </c>
      <c r="G1024" s="35" t="n">
        <f aca="false">SUMIF(Base!$D$2:$D$2878,B1024,Base!$I$2:$I$2878)</f>
        <v>1113.11</v>
      </c>
      <c r="H1024" s="36" t="n">
        <f aca="false">IF($G$2849=0,0,G1024/$G$2849)</f>
        <v>7.30447563445941E-005</v>
      </c>
      <c r="I1024" s="37" t="n">
        <f aca="false">I1023+H1024</f>
        <v>0.963210737493185</v>
      </c>
      <c r="J1024" s="37" t="n">
        <f aca="false">A1024/2840</f>
        <v>0.358098591549296</v>
      </c>
      <c r="K1024" s="32" t="str">
        <f aca="false">IF(I1024&lt;=$E$4,"A",IF(I1024&lt;=$E$5,"B","C"))</f>
        <v>C</v>
      </c>
    </row>
    <row r="1025" customFormat="false" ht="15" hidden="false" customHeight="false" outlineLevel="0" collapsed="false">
      <c r="A1025" s="32" t="n">
        <v>1018</v>
      </c>
      <c r="B1025" s="33" t="n">
        <v>602573</v>
      </c>
      <c r="C1025" s="34" t="s">
        <v>2121</v>
      </c>
      <c r="D1025" s="34" t="s">
        <v>2122</v>
      </c>
      <c r="E1025" s="34" t="s">
        <v>100</v>
      </c>
      <c r="F1025" s="32" t="n">
        <f aca="false">COUNTIF(Base!$D$2:$D$2878,B1025)</f>
        <v>1</v>
      </c>
      <c r="G1025" s="35" t="n">
        <f aca="false">SUMIF(Base!$D$2:$D$2878,B1025,Base!$I$2:$I$2878)</f>
        <v>1112.03</v>
      </c>
      <c r="H1025" s="36" t="n">
        <f aca="false">IF($G$2849=0,0,G1025/$G$2849)</f>
        <v>7.29738843401631E-005</v>
      </c>
      <c r="I1025" s="37" t="n">
        <f aca="false">I1024+H1025</f>
        <v>0.963283711377525</v>
      </c>
      <c r="J1025" s="37" t="n">
        <f aca="false">A1025/2840</f>
        <v>0.358450704225352</v>
      </c>
      <c r="K1025" s="32" t="str">
        <f aca="false">IF(I1025&lt;=$E$4,"A",IF(I1025&lt;=$E$5,"B","C"))</f>
        <v>C</v>
      </c>
    </row>
    <row r="1026" customFormat="false" ht="15" hidden="false" customHeight="false" outlineLevel="0" collapsed="false">
      <c r="A1026" s="32" t="n">
        <v>1019</v>
      </c>
      <c r="B1026" s="33" t="n">
        <v>852733</v>
      </c>
      <c r="C1026" s="34" t="s">
        <v>2123</v>
      </c>
      <c r="D1026" s="34" t="s">
        <v>2124</v>
      </c>
      <c r="E1026" s="34" t="s">
        <v>100</v>
      </c>
      <c r="F1026" s="32" t="n">
        <f aca="false">COUNTIF(Base!$D$2:$D$2878,B1026)</f>
        <v>1</v>
      </c>
      <c r="G1026" s="35" t="n">
        <f aca="false">SUMIF(Base!$D$2:$D$2878,B1026,Base!$I$2:$I$2878)</f>
        <v>1112</v>
      </c>
      <c r="H1026" s="36" t="n">
        <f aca="false">IF($G$2849=0,0,G1026/$G$2849)</f>
        <v>7.29719156733733E-005</v>
      </c>
      <c r="I1026" s="37" t="n">
        <f aca="false">I1025+H1026</f>
        <v>0.963356683293199</v>
      </c>
      <c r="J1026" s="37" t="n">
        <f aca="false">A1026/2840</f>
        <v>0.358802816901409</v>
      </c>
      <c r="K1026" s="32" t="str">
        <f aca="false">IF(I1026&lt;=$E$4,"A",IF(I1026&lt;=$E$5,"B","C"))</f>
        <v>C</v>
      </c>
    </row>
    <row r="1027" customFormat="false" ht="15" hidden="false" customHeight="false" outlineLevel="0" collapsed="false">
      <c r="A1027" s="32" t="n">
        <v>1020</v>
      </c>
      <c r="B1027" s="33" t="n">
        <v>14259</v>
      </c>
      <c r="C1027" s="34" t="s">
        <v>2125</v>
      </c>
      <c r="D1027" s="34" t="s">
        <v>2126</v>
      </c>
      <c r="E1027" s="34" t="s">
        <v>38</v>
      </c>
      <c r="F1027" s="32" t="n">
        <f aca="false">COUNTIF(Base!$D$2:$D$2878,B1027)</f>
        <v>1</v>
      </c>
      <c r="G1027" s="35" t="n">
        <f aca="false">SUMIF(Base!$D$2:$D$2878,B1027,Base!$I$2:$I$2878)</f>
        <v>1111.8</v>
      </c>
      <c r="H1027" s="36" t="n">
        <f aca="false">IF($G$2849=0,0,G1027/$G$2849)</f>
        <v>7.29587912281083E-005</v>
      </c>
      <c r="I1027" s="37" t="n">
        <f aca="false">I1026+H1027</f>
        <v>0.963429642084427</v>
      </c>
      <c r="J1027" s="37" t="n">
        <f aca="false">A1027/2840</f>
        <v>0.359154929577465</v>
      </c>
      <c r="K1027" s="32" t="str">
        <f aca="false">IF(I1027&lt;=$E$4,"A",IF(I1027&lt;=$E$5,"B","C"))</f>
        <v>C</v>
      </c>
    </row>
    <row r="1028" customFormat="false" ht="15" hidden="false" customHeight="false" outlineLevel="0" collapsed="false">
      <c r="A1028" s="32" t="n">
        <v>1021</v>
      </c>
      <c r="B1028" s="33" t="n">
        <v>1636015</v>
      </c>
      <c r="C1028" s="34" t="s">
        <v>2127</v>
      </c>
      <c r="D1028" s="34" t="s">
        <v>2128</v>
      </c>
      <c r="E1028" s="34" t="s">
        <v>195</v>
      </c>
      <c r="F1028" s="32" t="n">
        <f aca="false">COUNTIF(Base!$D$2:$D$2878,B1028)</f>
        <v>1</v>
      </c>
      <c r="G1028" s="35" t="n">
        <f aca="false">SUMIF(Base!$D$2:$D$2878,B1028,Base!$I$2:$I$2878)</f>
        <v>1107</v>
      </c>
      <c r="H1028" s="36" t="n">
        <f aca="false">IF($G$2849=0,0,G1028/$G$2849)</f>
        <v>7.26438045417485E-005</v>
      </c>
      <c r="I1028" s="37" t="n">
        <f aca="false">I1027+H1028</f>
        <v>0.963502285888969</v>
      </c>
      <c r="J1028" s="37" t="n">
        <f aca="false">A1028/2840</f>
        <v>0.359507042253521</v>
      </c>
      <c r="K1028" s="32" t="str">
        <f aca="false">IF(I1028&lt;=$E$4,"A",IF(I1028&lt;=$E$5,"B","C"))</f>
        <v>C</v>
      </c>
    </row>
    <row r="1029" customFormat="false" ht="15" hidden="false" customHeight="false" outlineLevel="0" collapsed="false">
      <c r="A1029" s="32" t="n">
        <v>1022</v>
      </c>
      <c r="B1029" s="33" t="n">
        <v>14865</v>
      </c>
      <c r="C1029" s="34" t="s">
        <v>2129</v>
      </c>
      <c r="D1029" s="34" t="s">
        <v>2130</v>
      </c>
      <c r="E1029" s="34" t="s">
        <v>54</v>
      </c>
      <c r="F1029" s="32" t="n">
        <f aca="false">COUNTIF(Base!$D$2:$D$2878,B1029)</f>
        <v>1</v>
      </c>
      <c r="G1029" s="35" t="n">
        <f aca="false">SUMIF(Base!$D$2:$D$2878,B1029,Base!$I$2:$I$2878)</f>
        <v>1102</v>
      </c>
      <c r="H1029" s="36" t="n">
        <f aca="false">IF($G$2849=0,0,G1029/$G$2849)</f>
        <v>7.23156934101236E-005</v>
      </c>
      <c r="I1029" s="37" t="n">
        <f aca="false">I1028+H1029</f>
        <v>0.963574601582379</v>
      </c>
      <c r="J1029" s="37" t="n">
        <f aca="false">A1029/2840</f>
        <v>0.359859154929578</v>
      </c>
      <c r="K1029" s="32" t="str">
        <f aca="false">IF(I1029&lt;=$E$4,"A",IF(I1029&lt;=$E$5,"B","C"))</f>
        <v>C</v>
      </c>
    </row>
    <row r="1030" customFormat="false" ht="15" hidden="false" customHeight="false" outlineLevel="0" collapsed="false">
      <c r="A1030" s="32" t="n">
        <v>1023</v>
      </c>
      <c r="B1030" s="33" t="n">
        <v>1112941</v>
      </c>
      <c r="C1030" s="34" t="s">
        <v>2131</v>
      </c>
      <c r="D1030" s="34" t="s">
        <v>2132</v>
      </c>
      <c r="E1030" s="34" t="s">
        <v>247</v>
      </c>
      <c r="F1030" s="32" t="n">
        <f aca="false">COUNTIF(Base!$D$2:$D$2878,B1030)</f>
        <v>1</v>
      </c>
      <c r="G1030" s="35" t="n">
        <f aca="false">SUMIF(Base!$D$2:$D$2878,B1030,Base!$I$2:$I$2878)</f>
        <v>1100</v>
      </c>
      <c r="H1030" s="36" t="n">
        <f aca="false">IF($G$2849=0,0,G1030/$G$2849)</f>
        <v>7.21844489574736E-005</v>
      </c>
      <c r="I1030" s="37" t="n">
        <f aca="false">I1029+H1030</f>
        <v>0.963646786031336</v>
      </c>
      <c r="J1030" s="37" t="n">
        <f aca="false">A1030/2840</f>
        <v>0.360211267605634</v>
      </c>
      <c r="K1030" s="32" t="str">
        <f aca="false">IF(I1030&lt;=$E$4,"A",IF(I1030&lt;=$E$5,"B","C"))</f>
        <v>C</v>
      </c>
    </row>
    <row r="1031" customFormat="false" ht="15" hidden="false" customHeight="false" outlineLevel="0" collapsed="false">
      <c r="A1031" s="32" t="n">
        <v>1024</v>
      </c>
      <c r="B1031" s="33" t="n">
        <v>855299</v>
      </c>
      <c r="C1031" s="34" t="s">
        <v>2133</v>
      </c>
      <c r="D1031" s="34" t="s">
        <v>2134</v>
      </c>
      <c r="E1031" s="34" t="s">
        <v>35</v>
      </c>
      <c r="F1031" s="32" t="n">
        <f aca="false">COUNTIF(Base!$D$2:$D$2878,B1031)</f>
        <v>1</v>
      </c>
      <c r="G1031" s="35" t="n">
        <f aca="false">SUMIF(Base!$D$2:$D$2878,B1031,Base!$I$2:$I$2878)</f>
        <v>1098.75</v>
      </c>
      <c r="H1031" s="36" t="n">
        <f aca="false">IF($G$2849=0,0,G1031/$G$2849)</f>
        <v>7.21024211745674E-005</v>
      </c>
      <c r="I1031" s="37" t="n">
        <f aca="false">I1030+H1031</f>
        <v>0.963718888452511</v>
      </c>
      <c r="J1031" s="37" t="n">
        <f aca="false">A1031/2840</f>
        <v>0.36056338028169</v>
      </c>
      <c r="K1031" s="32" t="str">
        <f aca="false">IF(I1031&lt;=$E$4,"A",IF(I1031&lt;=$E$5,"B","C"))</f>
        <v>C</v>
      </c>
    </row>
    <row r="1032" customFormat="false" ht="15" hidden="false" customHeight="false" outlineLevel="0" collapsed="false">
      <c r="A1032" s="32" t="n">
        <v>1025</v>
      </c>
      <c r="B1032" s="33" t="n">
        <v>60990</v>
      </c>
      <c r="C1032" s="34" t="s">
        <v>2135</v>
      </c>
      <c r="D1032" s="34" t="s">
        <v>2136</v>
      </c>
      <c r="E1032" s="34" t="s">
        <v>705</v>
      </c>
      <c r="F1032" s="32" t="n">
        <f aca="false">COUNTIF(Base!$D$2:$D$2878,B1032)</f>
        <v>1</v>
      </c>
      <c r="G1032" s="35" t="n">
        <f aca="false">SUMIF(Base!$D$2:$D$2878,B1032,Base!$I$2:$I$2878)</f>
        <v>1096</v>
      </c>
      <c r="H1032" s="36" t="n">
        <f aca="false">IF($G$2849=0,0,G1032/$G$2849)</f>
        <v>7.19219600521737E-005</v>
      </c>
      <c r="I1032" s="37" t="n">
        <f aca="false">I1031+H1032</f>
        <v>0.963790810412563</v>
      </c>
      <c r="J1032" s="37" t="n">
        <f aca="false">A1032/2840</f>
        <v>0.360915492957747</v>
      </c>
      <c r="K1032" s="32" t="str">
        <f aca="false">IF(I1032&lt;=$E$4,"A",IF(I1032&lt;=$E$5,"B","C"))</f>
        <v>C</v>
      </c>
    </row>
    <row r="1033" customFormat="false" ht="15" hidden="false" customHeight="false" outlineLevel="0" collapsed="false">
      <c r="A1033" s="32" t="n">
        <v>1026</v>
      </c>
      <c r="B1033" s="33" t="n">
        <v>1330868</v>
      </c>
      <c r="C1033" s="34" t="s">
        <v>2137</v>
      </c>
      <c r="D1033" s="34" t="s">
        <v>2138</v>
      </c>
      <c r="E1033" s="34" t="s">
        <v>100</v>
      </c>
      <c r="F1033" s="32" t="n">
        <f aca="false">COUNTIF(Base!$D$2:$D$2878,B1033)</f>
        <v>1</v>
      </c>
      <c r="G1033" s="35" t="n">
        <f aca="false">SUMIF(Base!$D$2:$D$2878,B1033,Base!$I$2:$I$2878)</f>
        <v>1088.75</v>
      </c>
      <c r="H1033" s="36" t="n">
        <f aca="false">IF($G$2849=0,0,G1033/$G$2849)</f>
        <v>7.14461989113176E-005</v>
      </c>
      <c r="I1033" s="37" t="n">
        <f aca="false">I1032+H1033</f>
        <v>0.963862256611474</v>
      </c>
      <c r="J1033" s="37" t="n">
        <f aca="false">A1033/2840</f>
        <v>0.361267605633803</v>
      </c>
      <c r="K1033" s="32" t="str">
        <f aca="false">IF(I1033&lt;=$E$4,"A",IF(I1033&lt;=$E$5,"B","C"))</f>
        <v>C</v>
      </c>
    </row>
    <row r="1034" customFormat="false" ht="15" hidden="false" customHeight="false" outlineLevel="0" collapsed="false">
      <c r="A1034" s="32" t="n">
        <v>1027</v>
      </c>
      <c r="B1034" s="33" t="n">
        <v>1610263</v>
      </c>
      <c r="C1034" s="34" t="s">
        <v>2139</v>
      </c>
      <c r="D1034" s="34" t="s">
        <v>2140</v>
      </c>
      <c r="E1034" s="34" t="s">
        <v>38</v>
      </c>
      <c r="F1034" s="32" t="n">
        <f aca="false">COUNTIF(Base!$D$2:$D$2878,B1034)</f>
        <v>1</v>
      </c>
      <c r="G1034" s="35" t="n">
        <f aca="false">SUMIF(Base!$D$2:$D$2878,B1034,Base!$I$2:$I$2878)</f>
        <v>1088.34</v>
      </c>
      <c r="H1034" s="36" t="n">
        <f aca="false">IF($G$2849=0,0,G1034/$G$2849)</f>
        <v>7.14192937985244E-005</v>
      </c>
      <c r="I1034" s="37" t="n">
        <f aca="false">I1033+H1034</f>
        <v>0.963933675905273</v>
      </c>
      <c r="J1034" s="37" t="n">
        <f aca="false">A1034/2840</f>
        <v>0.361619718309859</v>
      </c>
      <c r="K1034" s="32" t="str">
        <f aca="false">IF(I1034&lt;=$E$4,"A",IF(I1034&lt;=$E$5,"B","C"))</f>
        <v>C</v>
      </c>
    </row>
    <row r="1035" customFormat="false" ht="15" hidden="false" customHeight="false" outlineLevel="0" collapsed="false">
      <c r="A1035" s="32" t="n">
        <v>1028</v>
      </c>
      <c r="B1035" s="33" t="n">
        <v>1384960</v>
      </c>
      <c r="C1035" s="34" t="s">
        <v>2141</v>
      </c>
      <c r="D1035" s="34" t="s">
        <v>2142</v>
      </c>
      <c r="E1035" s="34" t="s">
        <v>38</v>
      </c>
      <c r="F1035" s="32" t="n">
        <f aca="false">COUNTIF(Base!$D$2:$D$2878,B1035)</f>
        <v>1</v>
      </c>
      <c r="G1035" s="35" t="n">
        <f aca="false">SUMIF(Base!$D$2:$D$2878,B1035,Base!$I$2:$I$2878)</f>
        <v>1086.9</v>
      </c>
      <c r="H1035" s="36" t="n">
        <f aca="false">IF($G$2849=0,0,G1035/$G$2849)</f>
        <v>7.13247977926164E-005</v>
      </c>
      <c r="I1035" s="37" t="n">
        <f aca="false">I1034+H1035</f>
        <v>0.964005000703065</v>
      </c>
      <c r="J1035" s="37" t="n">
        <f aca="false">A1035/2840</f>
        <v>0.361971830985916</v>
      </c>
      <c r="K1035" s="32" t="str">
        <f aca="false">IF(I1035&lt;=$E$4,"A",IF(I1035&lt;=$E$5,"B","C"))</f>
        <v>C</v>
      </c>
    </row>
    <row r="1036" customFormat="false" ht="15" hidden="false" customHeight="false" outlineLevel="0" collapsed="false">
      <c r="A1036" s="32" t="n">
        <v>1029</v>
      </c>
      <c r="B1036" s="33" t="n">
        <v>16012</v>
      </c>
      <c r="C1036" s="34" t="s">
        <v>2143</v>
      </c>
      <c r="D1036" s="34" t="s">
        <v>2144</v>
      </c>
      <c r="E1036" s="34" t="s">
        <v>54</v>
      </c>
      <c r="F1036" s="32" t="n">
        <f aca="false">COUNTIF(Base!$D$2:$D$2878,B1036)</f>
        <v>1</v>
      </c>
      <c r="G1036" s="35" t="n">
        <f aca="false">SUMIF(Base!$D$2:$D$2878,B1036,Base!$I$2:$I$2878)</f>
        <v>1084.8</v>
      </c>
      <c r="H1036" s="36" t="n">
        <f aca="false">IF($G$2849=0,0,G1036/$G$2849)</f>
        <v>7.1186991117334E-005</v>
      </c>
      <c r="I1036" s="37" t="n">
        <f aca="false">I1035+H1036</f>
        <v>0.964076187694183</v>
      </c>
      <c r="J1036" s="37" t="n">
        <f aca="false">A1036/2840</f>
        <v>0.362323943661972</v>
      </c>
      <c r="K1036" s="32" t="str">
        <f aca="false">IF(I1036&lt;=$E$4,"A",IF(I1036&lt;=$E$5,"B","C"))</f>
        <v>C</v>
      </c>
    </row>
    <row r="1037" customFormat="false" ht="15" hidden="false" customHeight="false" outlineLevel="0" collapsed="false">
      <c r="A1037" s="32" t="n">
        <v>1030</v>
      </c>
      <c r="B1037" s="33" t="n">
        <v>860234</v>
      </c>
      <c r="C1037" s="34" t="s">
        <v>2145</v>
      </c>
      <c r="D1037" s="34" t="s">
        <v>2146</v>
      </c>
      <c r="E1037" s="34" t="s">
        <v>130</v>
      </c>
      <c r="F1037" s="32" t="n">
        <f aca="false">COUNTIF(Base!$D$2:$D$2878,B1037)</f>
        <v>1</v>
      </c>
      <c r="G1037" s="35" t="n">
        <f aca="false">SUMIF(Base!$D$2:$D$2878,B1037,Base!$I$2:$I$2878)</f>
        <v>1084.4</v>
      </c>
      <c r="H1037" s="36" t="n">
        <f aca="false">IF($G$2849=0,0,G1037/$G$2849)</f>
        <v>7.1160742226804E-005</v>
      </c>
      <c r="I1037" s="37" t="n">
        <f aca="false">I1036+H1037</f>
        <v>0.964147348436409</v>
      </c>
      <c r="J1037" s="37" t="n">
        <f aca="false">A1037/2840</f>
        <v>0.362676056338028</v>
      </c>
      <c r="K1037" s="32" t="str">
        <f aca="false">IF(I1037&lt;=$E$4,"A",IF(I1037&lt;=$E$5,"B","C"))</f>
        <v>C</v>
      </c>
    </row>
    <row r="1038" customFormat="false" ht="15" hidden="false" customHeight="false" outlineLevel="0" collapsed="false">
      <c r="A1038" s="32" t="n">
        <v>1031</v>
      </c>
      <c r="B1038" s="33" t="n">
        <v>32018</v>
      </c>
      <c r="C1038" s="34" t="s">
        <v>2147</v>
      </c>
      <c r="D1038" s="34" t="s">
        <v>2148</v>
      </c>
      <c r="E1038" s="34" t="s">
        <v>363</v>
      </c>
      <c r="F1038" s="32" t="n">
        <f aca="false">COUNTIF(Base!$D$2:$D$2878,B1038)</f>
        <v>1</v>
      </c>
      <c r="G1038" s="35" t="n">
        <f aca="false">SUMIF(Base!$D$2:$D$2878,B1038,Base!$I$2:$I$2878)</f>
        <v>1080.3</v>
      </c>
      <c r="H1038" s="36" t="n">
        <f aca="false">IF($G$2849=0,0,G1038/$G$2849)</f>
        <v>7.08916910988716E-005</v>
      </c>
      <c r="I1038" s="37" t="n">
        <f aca="false">I1037+H1038</f>
        <v>0.964218240127508</v>
      </c>
      <c r="J1038" s="37" t="n">
        <f aca="false">A1038/2840</f>
        <v>0.363028169014085</v>
      </c>
      <c r="K1038" s="32" t="str">
        <f aca="false">IF(I1038&lt;=$E$4,"A",IF(I1038&lt;=$E$5,"B","C"))</f>
        <v>C</v>
      </c>
    </row>
    <row r="1039" customFormat="false" ht="15" hidden="false" customHeight="false" outlineLevel="0" collapsed="false">
      <c r="A1039" s="32" t="n">
        <v>1032</v>
      </c>
      <c r="B1039" s="33" t="n">
        <v>12561</v>
      </c>
      <c r="C1039" s="34" t="s">
        <v>2149</v>
      </c>
      <c r="D1039" s="34" t="s">
        <v>2150</v>
      </c>
      <c r="E1039" s="34" t="s">
        <v>38</v>
      </c>
      <c r="F1039" s="32" t="n">
        <f aca="false">COUNTIF(Base!$D$2:$D$2878,B1039)</f>
        <v>1</v>
      </c>
      <c r="G1039" s="35" t="n">
        <f aca="false">SUMIF(Base!$D$2:$D$2878,B1039,Base!$I$2:$I$2878)</f>
        <v>1080</v>
      </c>
      <c r="H1039" s="36" t="n">
        <f aca="false">IF($G$2849=0,0,G1039/$G$2849)</f>
        <v>7.08720044309741E-005</v>
      </c>
      <c r="I1039" s="37" t="n">
        <f aca="false">I1038+H1039</f>
        <v>0.964289112131939</v>
      </c>
      <c r="J1039" s="37" t="n">
        <f aca="false">A1039/2840</f>
        <v>0.363380281690141</v>
      </c>
      <c r="K1039" s="32" t="str">
        <f aca="false">IF(I1039&lt;=$E$4,"A",IF(I1039&lt;=$E$5,"B","C"))</f>
        <v>C</v>
      </c>
    </row>
    <row r="1040" customFormat="false" ht="15" hidden="false" customHeight="false" outlineLevel="0" collapsed="false">
      <c r="A1040" s="32" t="n">
        <v>1033</v>
      </c>
      <c r="B1040" s="33" t="n">
        <v>392676</v>
      </c>
      <c r="C1040" s="34" t="s">
        <v>2151</v>
      </c>
      <c r="D1040" s="34" t="s">
        <v>2152</v>
      </c>
      <c r="E1040" s="34" t="s">
        <v>189</v>
      </c>
      <c r="F1040" s="32" t="n">
        <f aca="false">COUNTIF(Base!$D$2:$D$2878,B1040)</f>
        <v>1</v>
      </c>
      <c r="G1040" s="35" t="n">
        <f aca="false">SUMIF(Base!$D$2:$D$2878,B1040,Base!$I$2:$I$2878)</f>
        <v>1080</v>
      </c>
      <c r="H1040" s="36" t="n">
        <f aca="false">IF($G$2849=0,0,G1040/$G$2849)</f>
        <v>7.08720044309741E-005</v>
      </c>
      <c r="I1040" s="37" t="n">
        <f aca="false">I1039+H1040</f>
        <v>0.96435998413637</v>
      </c>
      <c r="J1040" s="37" t="n">
        <f aca="false">A1040/2840</f>
        <v>0.363732394366197</v>
      </c>
      <c r="K1040" s="32" t="str">
        <f aca="false">IF(I1040&lt;=$E$4,"A",IF(I1040&lt;=$E$5,"B","C"))</f>
        <v>C</v>
      </c>
    </row>
    <row r="1041" customFormat="false" ht="15" hidden="false" customHeight="false" outlineLevel="0" collapsed="false">
      <c r="A1041" s="32" t="n">
        <v>1034</v>
      </c>
      <c r="B1041" s="33" t="n">
        <v>856717</v>
      </c>
      <c r="C1041" s="34" t="s">
        <v>2153</v>
      </c>
      <c r="D1041" s="34" t="s">
        <v>2154</v>
      </c>
      <c r="E1041" s="34" t="s">
        <v>130</v>
      </c>
      <c r="F1041" s="32" t="n">
        <f aca="false">COUNTIF(Base!$D$2:$D$2878,B1041)</f>
        <v>1</v>
      </c>
      <c r="G1041" s="35" t="n">
        <f aca="false">SUMIF(Base!$D$2:$D$2878,B1041,Base!$I$2:$I$2878)</f>
        <v>1080</v>
      </c>
      <c r="H1041" s="36" t="n">
        <f aca="false">IF($G$2849=0,0,G1041/$G$2849)</f>
        <v>7.08720044309741E-005</v>
      </c>
      <c r="I1041" s="37" t="n">
        <f aca="false">I1040+H1041</f>
        <v>0.964430856140801</v>
      </c>
      <c r="J1041" s="37" t="n">
        <f aca="false">A1041/2840</f>
        <v>0.364084507042254</v>
      </c>
      <c r="K1041" s="32" t="str">
        <f aca="false">IF(I1041&lt;=$E$4,"A",IF(I1041&lt;=$E$5,"B","C"))</f>
        <v>C</v>
      </c>
    </row>
    <row r="1042" customFormat="false" ht="15" hidden="false" customHeight="false" outlineLevel="0" collapsed="false">
      <c r="A1042" s="32" t="n">
        <v>1035</v>
      </c>
      <c r="B1042" s="33" t="n">
        <v>1109412</v>
      </c>
      <c r="C1042" s="34" t="s">
        <v>2155</v>
      </c>
      <c r="D1042" s="34" t="s">
        <v>2156</v>
      </c>
      <c r="E1042" s="34" t="s">
        <v>355</v>
      </c>
      <c r="F1042" s="32" t="n">
        <f aca="false">COUNTIF(Base!$D$2:$D$2878,B1042)</f>
        <v>1</v>
      </c>
      <c r="G1042" s="35" t="n">
        <f aca="false">SUMIF(Base!$D$2:$D$2878,B1042,Base!$I$2:$I$2878)</f>
        <v>1080</v>
      </c>
      <c r="H1042" s="36" t="n">
        <f aca="false">IF($G$2849=0,0,G1042/$G$2849)</f>
        <v>7.08720044309741E-005</v>
      </c>
      <c r="I1042" s="37" t="n">
        <f aca="false">I1041+H1042</f>
        <v>0.964501728145232</v>
      </c>
      <c r="J1042" s="37" t="n">
        <f aca="false">A1042/2840</f>
        <v>0.36443661971831</v>
      </c>
      <c r="K1042" s="32" t="str">
        <f aca="false">IF(I1042&lt;=$E$4,"A",IF(I1042&lt;=$E$5,"B","C"))</f>
        <v>C</v>
      </c>
    </row>
    <row r="1043" customFormat="false" ht="15" hidden="false" customHeight="false" outlineLevel="0" collapsed="false">
      <c r="A1043" s="32" t="n">
        <v>1036</v>
      </c>
      <c r="B1043" s="33" t="n">
        <v>852441</v>
      </c>
      <c r="C1043" s="34" t="s">
        <v>2157</v>
      </c>
      <c r="D1043" s="34" t="s">
        <v>2158</v>
      </c>
      <c r="E1043" s="34" t="s">
        <v>1618</v>
      </c>
      <c r="F1043" s="32" t="n">
        <f aca="false">COUNTIF(Base!$D$2:$D$2878,B1043)</f>
        <v>2</v>
      </c>
      <c r="G1043" s="35" t="n">
        <f aca="false">SUMIF(Base!$D$2:$D$2878,B1043,Base!$I$2:$I$2878)</f>
        <v>1079.116</v>
      </c>
      <c r="H1043" s="36" t="n">
        <f aca="false">IF($G$2849=0,0,G1043/$G$2849)</f>
        <v>7.08139943829028E-005</v>
      </c>
      <c r="I1043" s="37" t="n">
        <f aca="false">I1042+H1043</f>
        <v>0.964572542139615</v>
      </c>
      <c r="J1043" s="37" t="n">
        <f aca="false">A1043/2840</f>
        <v>0.364788732394366</v>
      </c>
      <c r="K1043" s="32" t="str">
        <f aca="false">IF(I1043&lt;=$E$4,"A",IF(I1043&lt;=$E$5,"B","C"))</f>
        <v>C</v>
      </c>
    </row>
    <row r="1044" customFormat="false" ht="15" hidden="false" customHeight="false" outlineLevel="0" collapsed="false">
      <c r="A1044" s="32" t="n">
        <v>1037</v>
      </c>
      <c r="B1044" s="33" t="n">
        <v>1614269</v>
      </c>
      <c r="C1044" s="34" t="s">
        <v>2159</v>
      </c>
      <c r="D1044" s="34" t="s">
        <v>2160</v>
      </c>
      <c r="E1044" s="34" t="s">
        <v>38</v>
      </c>
      <c r="F1044" s="32" t="n">
        <f aca="false">COUNTIF(Base!$D$2:$D$2878,B1044)</f>
        <v>1</v>
      </c>
      <c r="G1044" s="35" t="n">
        <f aca="false">SUMIF(Base!$D$2:$D$2878,B1044,Base!$I$2:$I$2878)</f>
        <v>1079.08</v>
      </c>
      <c r="H1044" s="36" t="n">
        <f aca="false">IF($G$2849=0,0,G1044/$G$2849)</f>
        <v>7.08116319827551E-005</v>
      </c>
      <c r="I1044" s="37" t="n">
        <f aca="false">I1043+H1044</f>
        <v>0.964643353771598</v>
      </c>
      <c r="J1044" s="37" t="n">
        <f aca="false">A1044/2840</f>
        <v>0.365140845070423</v>
      </c>
      <c r="K1044" s="32" t="str">
        <f aca="false">IF(I1044&lt;=$E$4,"A",IF(I1044&lt;=$E$5,"B","C"))</f>
        <v>C</v>
      </c>
    </row>
    <row r="1045" customFormat="false" ht="15" hidden="false" customHeight="false" outlineLevel="0" collapsed="false">
      <c r="A1045" s="32" t="n">
        <v>1038</v>
      </c>
      <c r="B1045" s="33" t="n">
        <v>559297</v>
      </c>
      <c r="C1045" s="34" t="s">
        <v>2161</v>
      </c>
      <c r="D1045" s="34" t="s">
        <v>2162</v>
      </c>
      <c r="E1045" s="34" t="s">
        <v>605</v>
      </c>
      <c r="F1045" s="32" t="n">
        <f aca="false">COUNTIF(Base!$D$2:$D$2878,B1045)</f>
        <v>1</v>
      </c>
      <c r="G1045" s="35" t="n">
        <f aca="false">SUMIF(Base!$D$2:$D$2878,B1045,Base!$I$2:$I$2878)</f>
        <v>1078</v>
      </c>
      <c r="H1045" s="36" t="n">
        <f aca="false">IF($G$2849=0,0,G1045/$G$2849)</f>
        <v>7.07407599783241E-005</v>
      </c>
      <c r="I1045" s="37" t="n">
        <f aca="false">I1044+H1045</f>
        <v>0.964714094531576</v>
      </c>
      <c r="J1045" s="37" t="n">
        <f aca="false">A1045/2840</f>
        <v>0.365492957746479</v>
      </c>
      <c r="K1045" s="32" t="str">
        <f aca="false">IF(I1045&lt;=$E$4,"A",IF(I1045&lt;=$E$5,"B","C"))</f>
        <v>C</v>
      </c>
    </row>
    <row r="1046" customFormat="false" ht="15" hidden="false" customHeight="false" outlineLevel="0" collapsed="false">
      <c r="A1046" s="32" t="n">
        <v>1039</v>
      </c>
      <c r="B1046" s="33" t="n">
        <v>16280</v>
      </c>
      <c r="C1046" s="34" t="s">
        <v>2163</v>
      </c>
      <c r="D1046" s="34" t="s">
        <v>2164</v>
      </c>
      <c r="E1046" s="34" t="s">
        <v>54</v>
      </c>
      <c r="F1046" s="32" t="n">
        <f aca="false">COUNTIF(Base!$D$2:$D$2878,B1046)</f>
        <v>1</v>
      </c>
      <c r="G1046" s="35" t="n">
        <f aca="false">SUMIF(Base!$D$2:$D$2878,B1046,Base!$I$2:$I$2878)</f>
        <v>1077.6</v>
      </c>
      <c r="H1046" s="36" t="n">
        <f aca="false">IF($G$2849=0,0,G1046/$G$2849)</f>
        <v>7.07145110877942E-005</v>
      </c>
      <c r="I1046" s="37" t="n">
        <f aca="false">I1045+H1046</f>
        <v>0.964784809042664</v>
      </c>
      <c r="J1046" s="37" t="n">
        <f aca="false">A1046/2840</f>
        <v>0.365845070422535</v>
      </c>
      <c r="K1046" s="32" t="str">
        <f aca="false">IF(I1046&lt;=$E$4,"A",IF(I1046&lt;=$E$5,"B","C"))</f>
        <v>C</v>
      </c>
    </row>
    <row r="1047" customFormat="false" ht="15" hidden="false" customHeight="false" outlineLevel="0" collapsed="false">
      <c r="A1047" s="32" t="n">
        <v>1040</v>
      </c>
      <c r="B1047" s="33" t="n">
        <v>1330915</v>
      </c>
      <c r="C1047" s="34" t="s">
        <v>2165</v>
      </c>
      <c r="D1047" s="34" t="s">
        <v>2166</v>
      </c>
      <c r="E1047" s="34" t="s">
        <v>100</v>
      </c>
      <c r="F1047" s="32" t="n">
        <f aca="false">COUNTIF(Base!$D$2:$D$2878,B1047)</f>
        <v>1</v>
      </c>
      <c r="G1047" s="35" t="n">
        <f aca="false">SUMIF(Base!$D$2:$D$2878,B1047,Base!$I$2:$I$2878)</f>
        <v>1075.22</v>
      </c>
      <c r="H1047" s="36" t="n">
        <f aca="false">IF($G$2849=0,0,G1047/$G$2849)</f>
        <v>7.05583301891407E-005</v>
      </c>
      <c r="I1047" s="37" t="n">
        <f aca="false">I1046+H1047</f>
        <v>0.964855367372853</v>
      </c>
      <c r="J1047" s="37" t="n">
        <f aca="false">A1047/2840</f>
        <v>0.366197183098592</v>
      </c>
      <c r="K1047" s="32" t="str">
        <f aca="false">IF(I1047&lt;=$E$4,"A",IF(I1047&lt;=$E$5,"B","C"))</f>
        <v>C</v>
      </c>
    </row>
    <row r="1048" customFormat="false" ht="15" hidden="false" customHeight="false" outlineLevel="0" collapsed="false">
      <c r="A1048" s="32" t="n">
        <v>1041</v>
      </c>
      <c r="B1048" s="33" t="n">
        <v>17864</v>
      </c>
      <c r="C1048" s="34" t="s">
        <v>2167</v>
      </c>
      <c r="D1048" s="34" t="s">
        <v>2168</v>
      </c>
      <c r="E1048" s="34" t="s">
        <v>835</v>
      </c>
      <c r="F1048" s="32" t="n">
        <f aca="false">COUNTIF(Base!$D$2:$D$2878,B1048)</f>
        <v>2</v>
      </c>
      <c r="G1048" s="35" t="n">
        <f aca="false">SUMIF(Base!$D$2:$D$2878,B1048,Base!$I$2:$I$2878)</f>
        <v>1074.9</v>
      </c>
      <c r="H1048" s="36" t="n">
        <f aca="false">IF($G$2849=0,0,G1048/$G$2849)</f>
        <v>7.05373310767167E-005</v>
      </c>
      <c r="I1048" s="37" t="n">
        <f aca="false">I1047+H1048</f>
        <v>0.96492590470393</v>
      </c>
      <c r="J1048" s="37" t="n">
        <f aca="false">A1048/2840</f>
        <v>0.366549295774648</v>
      </c>
      <c r="K1048" s="32" t="str">
        <f aca="false">IF(I1048&lt;=$E$4,"A",IF(I1048&lt;=$E$5,"B","C"))</f>
        <v>C</v>
      </c>
    </row>
    <row r="1049" customFormat="false" ht="15" hidden="false" customHeight="false" outlineLevel="0" collapsed="false">
      <c r="A1049" s="32" t="n">
        <v>1042</v>
      </c>
      <c r="B1049" s="33" t="n">
        <v>1330497</v>
      </c>
      <c r="C1049" s="34" t="s">
        <v>2169</v>
      </c>
      <c r="D1049" s="34" t="s">
        <v>2170</v>
      </c>
      <c r="E1049" s="34" t="s">
        <v>54</v>
      </c>
      <c r="F1049" s="32" t="n">
        <f aca="false">COUNTIF(Base!$D$2:$D$2878,B1049)</f>
        <v>1</v>
      </c>
      <c r="G1049" s="35" t="n">
        <f aca="false">SUMIF(Base!$D$2:$D$2878,B1049,Base!$I$2:$I$2878)</f>
        <v>1074.42</v>
      </c>
      <c r="H1049" s="36" t="n">
        <f aca="false">IF($G$2849=0,0,G1049/$G$2849)</f>
        <v>7.05058324080807E-005</v>
      </c>
      <c r="I1049" s="37" t="n">
        <f aca="false">I1048+H1049</f>
        <v>0.964996410536338</v>
      </c>
      <c r="J1049" s="37" t="n">
        <f aca="false">A1049/2840</f>
        <v>0.366901408450704</v>
      </c>
      <c r="K1049" s="32" t="str">
        <f aca="false">IF(I1049&lt;=$E$4,"A",IF(I1049&lt;=$E$5,"B","C"))</f>
        <v>C</v>
      </c>
    </row>
    <row r="1050" customFormat="false" ht="15" hidden="false" customHeight="false" outlineLevel="0" collapsed="false">
      <c r="A1050" s="32" t="n">
        <v>1043</v>
      </c>
      <c r="B1050" s="33" t="n">
        <v>21546</v>
      </c>
      <c r="C1050" s="34" t="s">
        <v>2171</v>
      </c>
      <c r="D1050" s="34" t="s">
        <v>2172</v>
      </c>
      <c r="E1050" s="34" t="s">
        <v>605</v>
      </c>
      <c r="F1050" s="32" t="n">
        <f aca="false">COUNTIF(Base!$D$2:$D$2878,B1050)</f>
        <v>1</v>
      </c>
      <c r="G1050" s="35" t="n">
        <f aca="false">SUMIF(Base!$D$2:$D$2878,B1050,Base!$I$2:$I$2878)</f>
        <v>1071.353</v>
      </c>
      <c r="H1050" s="36" t="n">
        <f aca="false">IF($G$2849=0,0,G1050/$G$2849)</f>
        <v>7.0304569039942E-005</v>
      </c>
      <c r="I1050" s="37" t="n">
        <f aca="false">I1049+H1050</f>
        <v>0.965066715105378</v>
      </c>
      <c r="J1050" s="37" t="n">
        <f aca="false">A1050/2840</f>
        <v>0.367253521126761</v>
      </c>
      <c r="K1050" s="32" t="str">
        <f aca="false">IF(I1050&lt;=$E$4,"A",IF(I1050&lt;=$E$5,"B","C"))</f>
        <v>C</v>
      </c>
    </row>
    <row r="1051" customFormat="false" ht="15" hidden="false" customHeight="false" outlineLevel="0" collapsed="false">
      <c r="A1051" s="32" t="n">
        <v>1044</v>
      </c>
      <c r="B1051" s="33" t="n">
        <v>19119</v>
      </c>
      <c r="C1051" s="34" t="s">
        <v>2173</v>
      </c>
      <c r="D1051" s="34" t="s">
        <v>2174</v>
      </c>
      <c r="E1051" s="34" t="s">
        <v>113</v>
      </c>
      <c r="F1051" s="32" t="n">
        <f aca="false">COUNTIF(Base!$D$2:$D$2878,B1051)</f>
        <v>1</v>
      </c>
      <c r="G1051" s="35" t="n">
        <f aca="false">SUMIF(Base!$D$2:$D$2878,B1051,Base!$I$2:$I$2878)</f>
        <v>1071</v>
      </c>
      <c r="H1051" s="36" t="n">
        <f aca="false">IF($G$2849=0,0,G1051/$G$2849)</f>
        <v>7.02814043940493E-005</v>
      </c>
      <c r="I1051" s="37" t="n">
        <f aca="false">I1050+H1051</f>
        <v>0.965136996509772</v>
      </c>
      <c r="J1051" s="37" t="n">
        <f aca="false">A1051/2840</f>
        <v>0.367605633802817</v>
      </c>
      <c r="K1051" s="32" t="str">
        <f aca="false">IF(I1051&lt;=$E$4,"A",IF(I1051&lt;=$E$5,"B","C"))</f>
        <v>C</v>
      </c>
    </row>
    <row r="1052" customFormat="false" ht="15" hidden="false" customHeight="false" outlineLevel="0" collapsed="false">
      <c r="A1052" s="32" t="n">
        <v>1045</v>
      </c>
      <c r="B1052" s="33" t="n">
        <v>1066406</v>
      </c>
      <c r="C1052" s="34" t="s">
        <v>2175</v>
      </c>
      <c r="D1052" s="34" t="s">
        <v>2176</v>
      </c>
      <c r="E1052" s="34" t="s">
        <v>167</v>
      </c>
      <c r="F1052" s="32" t="n">
        <f aca="false">COUNTIF(Base!$D$2:$D$2878,B1052)</f>
        <v>1</v>
      </c>
      <c r="G1052" s="35" t="n">
        <f aca="false">SUMIF(Base!$D$2:$D$2878,B1052,Base!$I$2:$I$2878)</f>
        <v>1071</v>
      </c>
      <c r="H1052" s="36" t="n">
        <f aca="false">IF($G$2849=0,0,G1052/$G$2849)</f>
        <v>7.02814043940493E-005</v>
      </c>
      <c r="I1052" s="37" t="n">
        <f aca="false">I1051+H1052</f>
        <v>0.965207277914166</v>
      </c>
      <c r="J1052" s="37" t="n">
        <f aca="false">A1052/2840</f>
        <v>0.367957746478873</v>
      </c>
      <c r="K1052" s="32" t="str">
        <f aca="false">IF(I1052&lt;=$E$4,"A",IF(I1052&lt;=$E$5,"B","C"))</f>
        <v>C</v>
      </c>
    </row>
    <row r="1053" customFormat="false" ht="15" hidden="false" customHeight="false" outlineLevel="0" collapsed="false">
      <c r="A1053" s="32" t="n">
        <v>1046</v>
      </c>
      <c r="B1053" s="33" t="n">
        <v>1317673</v>
      </c>
      <c r="C1053" s="34" t="s">
        <v>2177</v>
      </c>
      <c r="D1053" s="34" t="s">
        <v>2178</v>
      </c>
      <c r="E1053" s="34" t="s">
        <v>605</v>
      </c>
      <c r="F1053" s="32" t="n">
        <f aca="false">COUNTIF(Base!$D$2:$D$2878,B1053)</f>
        <v>1</v>
      </c>
      <c r="G1053" s="35" t="n">
        <f aca="false">SUMIF(Base!$D$2:$D$2878,B1053,Base!$I$2:$I$2878)</f>
        <v>1070</v>
      </c>
      <c r="H1053" s="36" t="n">
        <f aca="false">IF($G$2849=0,0,G1053/$G$2849)</f>
        <v>7.02157821677243E-005</v>
      </c>
      <c r="I1053" s="37" t="n">
        <f aca="false">I1052+H1053</f>
        <v>0.965277493696334</v>
      </c>
      <c r="J1053" s="37" t="n">
        <f aca="false">A1053/2840</f>
        <v>0.36830985915493</v>
      </c>
      <c r="K1053" s="32" t="str">
        <f aca="false">IF(I1053&lt;=$E$4,"A",IF(I1053&lt;=$E$5,"B","C"))</f>
        <v>C</v>
      </c>
    </row>
    <row r="1054" customFormat="false" ht="15" hidden="false" customHeight="false" outlineLevel="0" collapsed="false">
      <c r="A1054" s="32" t="n">
        <v>1047</v>
      </c>
      <c r="B1054" s="33" t="n">
        <v>839618</v>
      </c>
      <c r="C1054" s="34" t="s">
        <v>2179</v>
      </c>
      <c r="D1054" s="34" t="s">
        <v>2180</v>
      </c>
      <c r="E1054" s="34" t="s">
        <v>247</v>
      </c>
      <c r="F1054" s="32" t="n">
        <f aca="false">COUNTIF(Base!$D$2:$D$2878,B1054)</f>
        <v>1</v>
      </c>
      <c r="G1054" s="35" t="n">
        <f aca="false">SUMIF(Base!$D$2:$D$2878,B1054,Base!$I$2:$I$2878)</f>
        <v>1068.51</v>
      </c>
      <c r="H1054" s="36" t="n">
        <f aca="false">IF($G$2849=0,0,G1054/$G$2849)</f>
        <v>7.01180050505001E-005</v>
      </c>
      <c r="I1054" s="37" t="n">
        <f aca="false">I1053+H1054</f>
        <v>0.965347611701384</v>
      </c>
      <c r="J1054" s="37" t="n">
        <f aca="false">A1054/2840</f>
        <v>0.368661971830986</v>
      </c>
      <c r="K1054" s="32" t="str">
        <f aca="false">IF(I1054&lt;=$E$4,"A",IF(I1054&lt;=$E$5,"B","C"))</f>
        <v>C</v>
      </c>
    </row>
    <row r="1055" customFormat="false" ht="15" hidden="false" customHeight="false" outlineLevel="0" collapsed="false">
      <c r="A1055" s="32" t="n">
        <v>1048</v>
      </c>
      <c r="B1055" s="33" t="n">
        <v>23428</v>
      </c>
      <c r="C1055" s="34" t="s">
        <v>2181</v>
      </c>
      <c r="D1055" s="34" t="s">
        <v>2182</v>
      </c>
      <c r="E1055" s="34" t="s">
        <v>1095</v>
      </c>
      <c r="F1055" s="32" t="n">
        <f aca="false">COUNTIF(Base!$D$2:$D$2878,B1055)</f>
        <v>1</v>
      </c>
      <c r="G1055" s="35" t="n">
        <f aca="false">SUMIF(Base!$D$2:$D$2878,B1055,Base!$I$2:$I$2878)</f>
        <v>1060</v>
      </c>
      <c r="H1055" s="36" t="n">
        <f aca="false">IF($G$2849=0,0,G1055/$G$2849)</f>
        <v>6.95595599044746E-005</v>
      </c>
      <c r="I1055" s="37" t="n">
        <f aca="false">I1054+H1055</f>
        <v>0.965417171261289</v>
      </c>
      <c r="J1055" s="37" t="n">
        <f aca="false">A1055/2840</f>
        <v>0.369014084507042</v>
      </c>
      <c r="K1055" s="32" t="str">
        <f aca="false">IF(I1055&lt;=$E$4,"A",IF(I1055&lt;=$E$5,"B","C"))</f>
        <v>C</v>
      </c>
    </row>
    <row r="1056" customFormat="false" ht="15" hidden="false" customHeight="false" outlineLevel="0" collapsed="false">
      <c r="A1056" s="32" t="n">
        <v>1049</v>
      </c>
      <c r="B1056" s="33" t="n">
        <v>278462</v>
      </c>
      <c r="C1056" s="34" t="s">
        <v>2183</v>
      </c>
      <c r="D1056" s="34" t="s">
        <v>2184</v>
      </c>
      <c r="E1056" s="34" t="s">
        <v>38</v>
      </c>
      <c r="F1056" s="32" t="n">
        <f aca="false">COUNTIF(Base!$D$2:$D$2878,B1056)</f>
        <v>1</v>
      </c>
      <c r="G1056" s="35" t="n">
        <f aca="false">SUMIF(Base!$D$2:$D$2878,B1056,Base!$I$2:$I$2878)</f>
        <v>1050.0672</v>
      </c>
      <c r="H1056" s="36" t="n">
        <f aca="false">IF($G$2849=0,0,G1056/$G$2849)</f>
        <v>6.89077474548339E-005</v>
      </c>
      <c r="I1056" s="37" t="n">
        <f aca="false">I1055+H1056</f>
        <v>0.965486079008744</v>
      </c>
      <c r="J1056" s="37" t="n">
        <f aca="false">A1056/2840</f>
        <v>0.369366197183099</v>
      </c>
      <c r="K1056" s="32" t="str">
        <f aca="false">IF(I1056&lt;=$E$4,"A",IF(I1056&lt;=$E$5,"B","C"))</f>
        <v>C</v>
      </c>
    </row>
    <row r="1057" customFormat="false" ht="15" hidden="false" customHeight="false" outlineLevel="0" collapsed="false">
      <c r="A1057" s="32" t="n">
        <v>1050</v>
      </c>
      <c r="B1057" s="33" t="n">
        <v>54270</v>
      </c>
      <c r="C1057" s="34" t="s">
        <v>2185</v>
      </c>
      <c r="D1057" s="34" t="s">
        <v>2186</v>
      </c>
      <c r="E1057" s="34" t="s">
        <v>100</v>
      </c>
      <c r="F1057" s="32" t="n">
        <f aca="false">COUNTIF(Base!$D$2:$D$2878,B1057)</f>
        <v>1</v>
      </c>
      <c r="G1057" s="35" t="n">
        <f aca="false">SUMIF(Base!$D$2:$D$2878,B1057,Base!$I$2:$I$2878)</f>
        <v>1050</v>
      </c>
      <c r="H1057" s="36" t="n">
        <f aca="false">IF($G$2849=0,0,G1057/$G$2849)</f>
        <v>6.89033376412248E-005</v>
      </c>
      <c r="I1057" s="37" t="n">
        <f aca="false">I1056+H1057</f>
        <v>0.965554982346385</v>
      </c>
      <c r="J1057" s="37" t="n">
        <f aca="false">A1057/2840</f>
        <v>0.369718309859155</v>
      </c>
      <c r="K1057" s="32" t="str">
        <f aca="false">IF(I1057&lt;=$E$4,"A",IF(I1057&lt;=$E$5,"B","C"))</f>
        <v>C</v>
      </c>
    </row>
    <row r="1058" customFormat="false" ht="15" hidden="false" customHeight="false" outlineLevel="0" collapsed="false">
      <c r="A1058" s="32" t="n">
        <v>1051</v>
      </c>
      <c r="B1058" s="33" t="n">
        <v>1484204</v>
      </c>
      <c r="C1058" s="34" t="s">
        <v>2187</v>
      </c>
      <c r="D1058" s="34" t="s">
        <v>2188</v>
      </c>
      <c r="E1058" s="34" t="s">
        <v>100</v>
      </c>
      <c r="F1058" s="32" t="n">
        <f aca="false">COUNTIF(Base!$D$2:$D$2878,B1058)</f>
        <v>1</v>
      </c>
      <c r="G1058" s="35" t="n">
        <f aca="false">SUMIF(Base!$D$2:$D$2878,B1058,Base!$I$2:$I$2878)</f>
        <v>1047.8</v>
      </c>
      <c r="H1058" s="36" t="n">
        <f aca="false">IF($G$2849=0,0,G1058/$G$2849)</f>
        <v>6.87589687433099E-005</v>
      </c>
      <c r="I1058" s="37" t="n">
        <f aca="false">I1057+H1058</f>
        <v>0.965623741315128</v>
      </c>
      <c r="J1058" s="37" t="n">
        <f aca="false">A1058/2840</f>
        <v>0.370070422535211</v>
      </c>
      <c r="K1058" s="32" t="str">
        <f aca="false">IF(I1058&lt;=$E$4,"A",IF(I1058&lt;=$E$5,"B","C"))</f>
        <v>C</v>
      </c>
    </row>
    <row r="1059" customFormat="false" ht="15" hidden="false" customHeight="false" outlineLevel="0" collapsed="false">
      <c r="A1059" s="32" t="n">
        <v>1052</v>
      </c>
      <c r="B1059" s="33" t="n">
        <v>57393</v>
      </c>
      <c r="C1059" s="34" t="s">
        <v>2189</v>
      </c>
      <c r="D1059" s="34" t="s">
        <v>2190</v>
      </c>
      <c r="E1059" s="34" t="s">
        <v>133</v>
      </c>
      <c r="F1059" s="32" t="n">
        <f aca="false">COUNTIF(Base!$D$2:$D$2878,B1059)</f>
        <v>1</v>
      </c>
      <c r="G1059" s="35" t="n">
        <f aca="false">SUMIF(Base!$D$2:$D$2878,B1059,Base!$I$2:$I$2878)</f>
        <v>1044.11</v>
      </c>
      <c r="H1059" s="36" t="n">
        <f aca="false">IF($G$2849=0,0,G1059/$G$2849)</f>
        <v>6.85168227281707E-005</v>
      </c>
      <c r="I1059" s="37" t="n">
        <f aca="false">I1058+H1059</f>
        <v>0.965692258137856</v>
      </c>
      <c r="J1059" s="37" t="n">
        <f aca="false">A1059/2840</f>
        <v>0.370422535211268</v>
      </c>
      <c r="K1059" s="32" t="str">
        <f aca="false">IF(I1059&lt;=$E$4,"A",IF(I1059&lt;=$E$5,"B","C"))</f>
        <v>C</v>
      </c>
    </row>
    <row r="1060" customFormat="false" ht="15" hidden="false" customHeight="false" outlineLevel="0" collapsed="false">
      <c r="A1060" s="32" t="n">
        <v>1053</v>
      </c>
      <c r="B1060" s="33" t="n">
        <v>22990</v>
      </c>
      <c r="C1060" s="34" t="s">
        <v>2191</v>
      </c>
      <c r="D1060" s="34" t="s">
        <v>2192</v>
      </c>
      <c r="E1060" s="34" t="s">
        <v>38</v>
      </c>
      <c r="F1060" s="32" t="n">
        <f aca="false">COUNTIF(Base!$D$2:$D$2878,B1060)</f>
        <v>1</v>
      </c>
      <c r="G1060" s="35" t="n">
        <f aca="false">SUMIF(Base!$D$2:$D$2878,B1060,Base!$I$2:$I$2878)</f>
        <v>1043.76</v>
      </c>
      <c r="H1060" s="36" t="n">
        <f aca="false">IF($G$2849=0,0,G1060/$G$2849)</f>
        <v>6.8493854948957E-005</v>
      </c>
      <c r="I1060" s="37" t="n">
        <f aca="false">I1059+H1060</f>
        <v>0.965760751992805</v>
      </c>
      <c r="J1060" s="37" t="n">
        <f aca="false">A1060/2840</f>
        <v>0.370774647887324</v>
      </c>
      <c r="K1060" s="32" t="str">
        <f aca="false">IF(I1060&lt;=$E$4,"A",IF(I1060&lt;=$E$5,"B","C"))</f>
        <v>C</v>
      </c>
    </row>
    <row r="1061" customFormat="false" ht="15" hidden="false" customHeight="false" outlineLevel="0" collapsed="false">
      <c r="A1061" s="32" t="n">
        <v>1054</v>
      </c>
      <c r="B1061" s="33" t="n">
        <v>224633</v>
      </c>
      <c r="C1061" s="34" t="s">
        <v>2193</v>
      </c>
      <c r="D1061" s="34" t="s">
        <v>2194</v>
      </c>
      <c r="E1061" s="34" t="s">
        <v>38</v>
      </c>
      <c r="F1061" s="32" t="n">
        <f aca="false">COUNTIF(Base!$D$2:$D$2878,B1061)</f>
        <v>1</v>
      </c>
      <c r="G1061" s="35" t="n">
        <f aca="false">SUMIF(Base!$D$2:$D$2878,B1061,Base!$I$2:$I$2878)</f>
        <v>1042.08</v>
      </c>
      <c r="H1061" s="36" t="n">
        <f aca="false">IF($G$2849=0,0,G1061/$G$2849)</f>
        <v>6.8383609608731E-005</v>
      </c>
      <c r="I1061" s="37" t="n">
        <f aca="false">I1060+H1061</f>
        <v>0.965829135602414</v>
      </c>
      <c r="J1061" s="37" t="n">
        <f aca="false">A1061/2840</f>
        <v>0.37112676056338</v>
      </c>
      <c r="K1061" s="32" t="str">
        <f aca="false">IF(I1061&lt;=$E$4,"A",IF(I1061&lt;=$E$5,"B","C"))</f>
        <v>C</v>
      </c>
    </row>
    <row r="1062" customFormat="false" ht="15" hidden="false" customHeight="false" outlineLevel="0" collapsed="false">
      <c r="A1062" s="32" t="n">
        <v>1055</v>
      </c>
      <c r="B1062" s="33" t="n">
        <v>1323074</v>
      </c>
      <c r="C1062" s="34" t="s">
        <v>2195</v>
      </c>
      <c r="D1062" s="34" t="s">
        <v>2196</v>
      </c>
      <c r="E1062" s="34" t="s">
        <v>66</v>
      </c>
      <c r="F1062" s="32" t="n">
        <f aca="false">COUNTIF(Base!$D$2:$D$2878,B1062)</f>
        <v>1</v>
      </c>
      <c r="G1062" s="35" t="n">
        <f aca="false">SUMIF(Base!$D$2:$D$2878,B1062,Base!$I$2:$I$2878)</f>
        <v>1039.76</v>
      </c>
      <c r="H1062" s="36" t="n">
        <f aca="false">IF($G$2849=0,0,G1062/$G$2849)</f>
        <v>6.82313660436571E-005</v>
      </c>
      <c r="I1062" s="37" t="n">
        <f aca="false">I1061+H1062</f>
        <v>0.965897366968457</v>
      </c>
      <c r="J1062" s="37" t="n">
        <f aca="false">A1062/2840</f>
        <v>0.371478873239437</v>
      </c>
      <c r="K1062" s="32" t="str">
        <f aca="false">IF(I1062&lt;=$E$4,"A",IF(I1062&lt;=$E$5,"B","C"))</f>
        <v>C</v>
      </c>
    </row>
    <row r="1063" customFormat="false" ht="15" hidden="false" customHeight="false" outlineLevel="0" collapsed="false">
      <c r="A1063" s="32" t="n">
        <v>1056</v>
      </c>
      <c r="B1063" s="33" t="n">
        <v>1315748</v>
      </c>
      <c r="C1063" s="34" t="s">
        <v>2197</v>
      </c>
      <c r="D1063" s="34" t="s">
        <v>2198</v>
      </c>
      <c r="E1063" s="34" t="s">
        <v>54</v>
      </c>
      <c r="F1063" s="32" t="n">
        <f aca="false">COUNTIF(Base!$D$2:$D$2878,B1063)</f>
        <v>1</v>
      </c>
      <c r="G1063" s="35" t="n">
        <f aca="false">SUMIF(Base!$D$2:$D$2878,B1063,Base!$I$2:$I$2878)</f>
        <v>1036</v>
      </c>
      <c r="H1063" s="36" t="n">
        <f aca="false">IF($G$2849=0,0,G1063/$G$2849)</f>
        <v>6.79846264726752E-005</v>
      </c>
      <c r="I1063" s="37" t="n">
        <f aca="false">I1062+H1063</f>
        <v>0.96596535159493</v>
      </c>
      <c r="J1063" s="37" t="n">
        <f aca="false">A1063/2840</f>
        <v>0.371830985915493</v>
      </c>
      <c r="K1063" s="32" t="str">
        <f aca="false">IF(I1063&lt;=$E$4,"A",IF(I1063&lt;=$E$5,"B","C"))</f>
        <v>C</v>
      </c>
    </row>
    <row r="1064" customFormat="false" ht="15" hidden="false" customHeight="false" outlineLevel="0" collapsed="false">
      <c r="A1064" s="32" t="n">
        <v>1057</v>
      </c>
      <c r="B1064" s="33" t="n">
        <v>279027</v>
      </c>
      <c r="C1064" s="34" t="s">
        <v>2199</v>
      </c>
      <c r="D1064" s="34" t="s">
        <v>2200</v>
      </c>
      <c r="E1064" s="34" t="s">
        <v>262</v>
      </c>
      <c r="F1064" s="32" t="n">
        <f aca="false">COUNTIF(Base!$D$2:$D$2878,B1064)</f>
        <v>1</v>
      </c>
      <c r="G1064" s="35" t="n">
        <f aca="false">SUMIF(Base!$D$2:$D$2878,B1064,Base!$I$2:$I$2878)</f>
        <v>1032</v>
      </c>
      <c r="H1064" s="36" t="n">
        <f aca="false">IF($G$2849=0,0,G1064/$G$2849)</f>
        <v>6.77221375673753E-005</v>
      </c>
      <c r="I1064" s="37" t="n">
        <f aca="false">I1063+H1064</f>
        <v>0.966033073732498</v>
      </c>
      <c r="J1064" s="37" t="n">
        <f aca="false">A1064/2840</f>
        <v>0.372183098591549</v>
      </c>
      <c r="K1064" s="32" t="str">
        <f aca="false">IF(I1064&lt;=$E$4,"A",IF(I1064&lt;=$E$5,"B","C"))</f>
        <v>C</v>
      </c>
    </row>
    <row r="1065" customFormat="false" ht="15" hidden="false" customHeight="false" outlineLevel="0" collapsed="false">
      <c r="A1065" s="32" t="n">
        <v>1058</v>
      </c>
      <c r="B1065" s="33" t="n">
        <v>1484209</v>
      </c>
      <c r="C1065" s="34" t="s">
        <v>2201</v>
      </c>
      <c r="D1065" s="34" t="s">
        <v>2202</v>
      </c>
      <c r="E1065" s="34" t="s">
        <v>100</v>
      </c>
      <c r="F1065" s="32" t="n">
        <f aca="false">COUNTIF(Base!$D$2:$D$2878,B1065)</f>
        <v>1</v>
      </c>
      <c r="G1065" s="35" t="n">
        <f aca="false">SUMIF(Base!$D$2:$D$2878,B1065,Base!$I$2:$I$2878)</f>
        <v>1032</v>
      </c>
      <c r="H1065" s="36" t="n">
        <f aca="false">IF($G$2849=0,0,G1065/$G$2849)</f>
        <v>6.77221375673753E-005</v>
      </c>
      <c r="I1065" s="37" t="n">
        <f aca="false">I1064+H1065</f>
        <v>0.966100795870065</v>
      </c>
      <c r="J1065" s="37" t="n">
        <f aca="false">A1065/2840</f>
        <v>0.372535211267606</v>
      </c>
      <c r="K1065" s="32" t="str">
        <f aca="false">IF(I1065&lt;=$E$4,"A",IF(I1065&lt;=$E$5,"B","C"))</f>
        <v>C</v>
      </c>
    </row>
    <row r="1066" customFormat="false" ht="15" hidden="false" customHeight="false" outlineLevel="0" collapsed="false">
      <c r="A1066" s="32" t="n">
        <v>1059</v>
      </c>
      <c r="B1066" s="33" t="n">
        <v>1319423</v>
      </c>
      <c r="C1066" s="34" t="s">
        <v>2203</v>
      </c>
      <c r="D1066" s="34" t="s">
        <v>2204</v>
      </c>
      <c r="E1066" s="34" t="s">
        <v>217</v>
      </c>
      <c r="F1066" s="32" t="n">
        <f aca="false">COUNTIF(Base!$D$2:$D$2878,B1066)</f>
        <v>1</v>
      </c>
      <c r="G1066" s="35" t="n">
        <f aca="false">SUMIF(Base!$D$2:$D$2878,B1066,Base!$I$2:$I$2878)</f>
        <v>1031.1</v>
      </c>
      <c r="H1066" s="36" t="n">
        <f aca="false">IF($G$2849=0,0,G1066/$G$2849)</f>
        <v>6.76630775636828E-005</v>
      </c>
      <c r="I1066" s="37" t="n">
        <f aca="false">I1065+H1066</f>
        <v>0.966168458947629</v>
      </c>
      <c r="J1066" s="37" t="n">
        <f aca="false">A1066/2840</f>
        <v>0.372887323943662</v>
      </c>
      <c r="K1066" s="32" t="str">
        <f aca="false">IF(I1066&lt;=$E$4,"A",IF(I1066&lt;=$E$5,"B","C"))</f>
        <v>C</v>
      </c>
    </row>
    <row r="1067" customFormat="false" ht="15" hidden="false" customHeight="false" outlineLevel="0" collapsed="false">
      <c r="A1067" s="32" t="n">
        <v>1060</v>
      </c>
      <c r="B1067" s="33" t="n">
        <v>1654877</v>
      </c>
      <c r="C1067" s="34" t="s">
        <v>2205</v>
      </c>
      <c r="D1067" s="34" t="s">
        <v>2206</v>
      </c>
      <c r="E1067" s="34" t="s">
        <v>217</v>
      </c>
      <c r="F1067" s="32" t="n">
        <f aca="false">COUNTIF(Base!$D$2:$D$2878,B1067)</f>
        <v>1</v>
      </c>
      <c r="G1067" s="35" t="n">
        <f aca="false">SUMIF(Base!$D$2:$D$2878,B1067,Base!$I$2:$I$2878)</f>
        <v>1030.5</v>
      </c>
      <c r="H1067" s="36" t="n">
        <f aca="false">IF($G$2849=0,0,G1067/$G$2849)</f>
        <v>6.76237042278878E-005</v>
      </c>
      <c r="I1067" s="37" t="n">
        <f aca="false">I1066+H1067</f>
        <v>0.966236082651856</v>
      </c>
      <c r="J1067" s="37" t="n">
        <f aca="false">A1067/2840</f>
        <v>0.373239436619718</v>
      </c>
      <c r="K1067" s="32" t="str">
        <f aca="false">IF(I1067&lt;=$E$4,"A",IF(I1067&lt;=$E$5,"B","C"))</f>
        <v>C</v>
      </c>
    </row>
    <row r="1068" customFormat="false" ht="15" hidden="false" customHeight="false" outlineLevel="0" collapsed="false">
      <c r="A1068" s="32" t="n">
        <v>1061</v>
      </c>
      <c r="B1068" s="33" t="n">
        <v>12541</v>
      </c>
      <c r="C1068" s="34" t="s">
        <v>2207</v>
      </c>
      <c r="D1068" s="34" t="s">
        <v>2208</v>
      </c>
      <c r="E1068" s="34" t="s">
        <v>38</v>
      </c>
      <c r="F1068" s="32" t="n">
        <f aca="false">COUNTIF(Base!$D$2:$D$2878,B1068)</f>
        <v>1</v>
      </c>
      <c r="G1068" s="35" t="n">
        <f aca="false">SUMIF(Base!$D$2:$D$2878,B1068,Base!$I$2:$I$2878)</f>
        <v>1030</v>
      </c>
      <c r="H1068" s="36" t="n">
        <f aca="false">IF($G$2849=0,0,G1068/$G$2849)</f>
        <v>6.75908931147253E-005</v>
      </c>
      <c r="I1068" s="37" t="n">
        <f aca="false">I1067+H1068</f>
        <v>0.966303673544971</v>
      </c>
      <c r="J1068" s="37" t="n">
        <f aca="false">A1068/2840</f>
        <v>0.373591549295775</v>
      </c>
      <c r="K1068" s="32" t="str">
        <f aca="false">IF(I1068&lt;=$E$4,"A",IF(I1068&lt;=$E$5,"B","C"))</f>
        <v>C</v>
      </c>
    </row>
    <row r="1069" customFormat="false" ht="15" hidden="false" customHeight="false" outlineLevel="0" collapsed="false">
      <c r="A1069" s="32" t="n">
        <v>1062</v>
      </c>
      <c r="B1069" s="33" t="n">
        <v>32287</v>
      </c>
      <c r="C1069" s="34" t="s">
        <v>2209</v>
      </c>
      <c r="D1069" s="34" t="s">
        <v>2210</v>
      </c>
      <c r="E1069" s="34" t="s">
        <v>1095</v>
      </c>
      <c r="F1069" s="32" t="n">
        <f aca="false">COUNTIF(Base!$D$2:$D$2878,B1069)</f>
        <v>1</v>
      </c>
      <c r="G1069" s="35" t="n">
        <f aca="false">SUMIF(Base!$D$2:$D$2878,B1069,Base!$I$2:$I$2878)</f>
        <v>1024</v>
      </c>
      <c r="H1069" s="36" t="n">
        <f aca="false">IF($G$2849=0,0,G1069/$G$2849)</f>
        <v>6.71971597567754E-005</v>
      </c>
      <c r="I1069" s="37" t="n">
        <f aca="false">I1068+H1069</f>
        <v>0.966370870704728</v>
      </c>
      <c r="J1069" s="37" t="n">
        <f aca="false">A1069/2840</f>
        <v>0.373943661971831</v>
      </c>
      <c r="K1069" s="32" t="str">
        <f aca="false">IF(I1069&lt;=$E$4,"A",IF(I1069&lt;=$E$5,"B","C"))</f>
        <v>C</v>
      </c>
    </row>
    <row r="1070" customFormat="false" ht="15" hidden="false" customHeight="false" outlineLevel="0" collapsed="false">
      <c r="A1070" s="32" t="n">
        <v>1063</v>
      </c>
      <c r="B1070" s="33" t="n">
        <v>1461931</v>
      </c>
      <c r="C1070" s="34" t="s">
        <v>2211</v>
      </c>
      <c r="D1070" s="34" t="s">
        <v>2212</v>
      </c>
      <c r="E1070" s="34" t="s">
        <v>355</v>
      </c>
      <c r="F1070" s="32" t="n">
        <f aca="false">COUNTIF(Base!$D$2:$D$2878,B1070)</f>
        <v>1</v>
      </c>
      <c r="G1070" s="35" t="n">
        <f aca="false">SUMIF(Base!$D$2:$D$2878,B1070,Base!$I$2:$I$2878)</f>
        <v>1024</v>
      </c>
      <c r="H1070" s="36" t="n">
        <f aca="false">IF($G$2849=0,0,G1070/$G$2849)</f>
        <v>6.71971597567754E-005</v>
      </c>
      <c r="I1070" s="37" t="n">
        <f aca="false">I1069+H1070</f>
        <v>0.966438067864485</v>
      </c>
      <c r="J1070" s="37" t="n">
        <f aca="false">A1070/2840</f>
        <v>0.374295774647887</v>
      </c>
      <c r="K1070" s="32" t="str">
        <f aca="false">IF(I1070&lt;=$E$4,"A",IF(I1070&lt;=$E$5,"B","C"))</f>
        <v>C</v>
      </c>
    </row>
    <row r="1071" customFormat="false" ht="15" hidden="false" customHeight="false" outlineLevel="0" collapsed="false">
      <c r="A1071" s="32" t="n">
        <v>1064</v>
      </c>
      <c r="B1071" s="33" t="n">
        <v>143904</v>
      </c>
      <c r="C1071" s="34" t="s">
        <v>2213</v>
      </c>
      <c r="D1071" s="34" t="s">
        <v>2214</v>
      </c>
      <c r="E1071" s="34" t="s">
        <v>247</v>
      </c>
      <c r="F1071" s="32" t="n">
        <f aca="false">COUNTIF(Base!$D$2:$D$2878,B1071)</f>
        <v>2</v>
      </c>
      <c r="G1071" s="35" t="n">
        <f aca="false">SUMIF(Base!$D$2:$D$2878,B1071,Base!$I$2:$I$2878)</f>
        <v>1022.81</v>
      </c>
      <c r="H1071" s="36" t="n">
        <f aca="false">IF($G$2849=0,0,G1071/$G$2849)</f>
        <v>6.71190693074487E-005</v>
      </c>
      <c r="I1071" s="37" t="n">
        <f aca="false">I1070+H1071</f>
        <v>0.966505186933792</v>
      </c>
      <c r="J1071" s="37" t="n">
        <f aca="false">A1071/2840</f>
        <v>0.374647887323944</v>
      </c>
      <c r="K1071" s="32" t="str">
        <f aca="false">IF(I1071&lt;=$E$4,"A",IF(I1071&lt;=$E$5,"B","C"))</f>
        <v>C</v>
      </c>
    </row>
    <row r="1072" customFormat="false" ht="15" hidden="false" customHeight="false" outlineLevel="0" collapsed="false">
      <c r="A1072" s="32" t="n">
        <v>1065</v>
      </c>
      <c r="B1072" s="33" t="n">
        <v>137867</v>
      </c>
      <c r="C1072" s="34" t="s">
        <v>2215</v>
      </c>
      <c r="D1072" s="34" t="s">
        <v>2216</v>
      </c>
      <c r="E1072" s="34" t="s">
        <v>100</v>
      </c>
      <c r="F1072" s="32" t="n">
        <f aca="false">COUNTIF(Base!$D$2:$D$2878,B1072)</f>
        <v>1</v>
      </c>
      <c r="G1072" s="35" t="n">
        <f aca="false">SUMIF(Base!$D$2:$D$2878,B1072,Base!$I$2:$I$2878)</f>
        <v>1020.08</v>
      </c>
      <c r="H1072" s="36" t="n">
        <f aca="false">IF($G$2849=0,0,G1072/$G$2849)</f>
        <v>6.69399206295815E-005</v>
      </c>
      <c r="I1072" s="37" t="n">
        <f aca="false">I1071+H1072</f>
        <v>0.966572126854422</v>
      </c>
      <c r="J1072" s="37" t="n">
        <f aca="false">A1072/2840</f>
        <v>0.375</v>
      </c>
      <c r="K1072" s="32" t="str">
        <f aca="false">IF(I1072&lt;=$E$4,"A",IF(I1072&lt;=$E$5,"B","C"))</f>
        <v>C</v>
      </c>
    </row>
    <row r="1073" customFormat="false" ht="15" hidden="false" customHeight="false" outlineLevel="0" collapsed="false">
      <c r="A1073" s="32" t="n">
        <v>1066</v>
      </c>
      <c r="B1073" s="33" t="n">
        <v>19741</v>
      </c>
      <c r="C1073" s="34" t="s">
        <v>2217</v>
      </c>
      <c r="D1073" s="34" t="s">
        <v>2218</v>
      </c>
      <c r="E1073" s="34" t="s">
        <v>605</v>
      </c>
      <c r="F1073" s="32" t="n">
        <f aca="false">COUNTIF(Base!$D$2:$D$2878,B1073)</f>
        <v>1</v>
      </c>
      <c r="G1073" s="35" t="n">
        <f aca="false">SUMIF(Base!$D$2:$D$2878,B1073,Base!$I$2:$I$2878)</f>
        <v>1020</v>
      </c>
      <c r="H1073" s="36" t="n">
        <f aca="false">IF($G$2849=0,0,G1073/$G$2849)</f>
        <v>6.69346708514755E-005</v>
      </c>
      <c r="I1073" s="37" t="n">
        <f aca="false">I1072+H1073</f>
        <v>0.966639061525273</v>
      </c>
      <c r="J1073" s="37" t="n">
        <f aca="false">A1073/2840</f>
        <v>0.375352112676056</v>
      </c>
      <c r="K1073" s="32" t="str">
        <f aca="false">IF(I1073&lt;=$E$4,"A",IF(I1073&lt;=$E$5,"B","C"))</f>
        <v>C</v>
      </c>
    </row>
    <row r="1074" customFormat="false" ht="15" hidden="false" customHeight="false" outlineLevel="0" collapsed="false">
      <c r="A1074" s="32" t="n">
        <v>1067</v>
      </c>
      <c r="B1074" s="33" t="n">
        <v>551301</v>
      </c>
      <c r="C1074" s="34" t="s">
        <v>2219</v>
      </c>
      <c r="D1074" s="34" t="s">
        <v>2220</v>
      </c>
      <c r="E1074" s="34" t="s">
        <v>38</v>
      </c>
      <c r="F1074" s="32" t="n">
        <f aca="false">COUNTIF(Base!$D$2:$D$2878,B1074)</f>
        <v>1</v>
      </c>
      <c r="G1074" s="35" t="n">
        <f aca="false">SUMIF(Base!$D$2:$D$2878,B1074,Base!$I$2:$I$2878)</f>
        <v>1020</v>
      </c>
      <c r="H1074" s="36" t="n">
        <f aca="false">IF($G$2849=0,0,G1074/$G$2849)</f>
        <v>6.69346708514755E-005</v>
      </c>
      <c r="I1074" s="37" t="n">
        <f aca="false">I1073+H1074</f>
        <v>0.966705996196125</v>
      </c>
      <c r="J1074" s="37" t="n">
        <f aca="false">A1074/2840</f>
        <v>0.375704225352113</v>
      </c>
      <c r="K1074" s="32" t="str">
        <f aca="false">IF(I1074&lt;=$E$4,"A",IF(I1074&lt;=$E$5,"B","C"))</f>
        <v>C</v>
      </c>
    </row>
    <row r="1075" customFormat="false" ht="15" hidden="false" customHeight="false" outlineLevel="0" collapsed="false">
      <c r="A1075" s="32" t="n">
        <v>1068</v>
      </c>
      <c r="B1075" s="33" t="n">
        <v>873216</v>
      </c>
      <c r="C1075" s="34" t="s">
        <v>2221</v>
      </c>
      <c r="D1075" s="34" t="s">
        <v>2222</v>
      </c>
      <c r="E1075" s="34" t="s">
        <v>247</v>
      </c>
      <c r="F1075" s="32" t="n">
        <f aca="false">COUNTIF(Base!$D$2:$D$2878,B1075)</f>
        <v>1</v>
      </c>
      <c r="G1075" s="35" t="n">
        <f aca="false">SUMIF(Base!$D$2:$D$2878,B1075,Base!$I$2:$I$2878)</f>
        <v>1020</v>
      </c>
      <c r="H1075" s="36" t="n">
        <f aca="false">IF($G$2849=0,0,G1075/$G$2849)</f>
        <v>6.69346708514755E-005</v>
      </c>
      <c r="I1075" s="37" t="n">
        <f aca="false">I1074+H1075</f>
        <v>0.966772930866976</v>
      </c>
      <c r="J1075" s="37" t="n">
        <f aca="false">A1075/2840</f>
        <v>0.376056338028169</v>
      </c>
      <c r="K1075" s="32" t="str">
        <f aca="false">IF(I1075&lt;=$E$4,"A",IF(I1075&lt;=$E$5,"B","C"))</f>
        <v>C</v>
      </c>
    </row>
    <row r="1076" customFormat="false" ht="15" hidden="false" customHeight="false" outlineLevel="0" collapsed="false">
      <c r="A1076" s="32" t="n">
        <v>1069</v>
      </c>
      <c r="B1076" s="33" t="n">
        <v>1474991</v>
      </c>
      <c r="C1076" s="34" t="s">
        <v>2223</v>
      </c>
      <c r="D1076" s="34" t="s">
        <v>2224</v>
      </c>
      <c r="E1076" s="34" t="s">
        <v>38</v>
      </c>
      <c r="F1076" s="32" t="n">
        <f aca="false">COUNTIF(Base!$D$2:$D$2878,B1076)</f>
        <v>1</v>
      </c>
      <c r="G1076" s="35" t="n">
        <f aca="false">SUMIF(Base!$D$2:$D$2878,B1076,Base!$I$2:$I$2878)</f>
        <v>1015.92</v>
      </c>
      <c r="H1076" s="36" t="n">
        <f aca="false">IF($G$2849=0,0,G1076/$G$2849)</f>
        <v>6.66669321680696E-005</v>
      </c>
      <c r="I1076" s="37" t="n">
        <f aca="false">I1075+H1076</f>
        <v>0.966839597799144</v>
      </c>
      <c r="J1076" s="37" t="n">
        <f aca="false">A1076/2840</f>
        <v>0.376408450704225</v>
      </c>
      <c r="K1076" s="32" t="str">
        <f aca="false">IF(I1076&lt;=$E$4,"A",IF(I1076&lt;=$E$5,"B","C"))</f>
        <v>C</v>
      </c>
    </row>
    <row r="1077" customFormat="false" ht="15" hidden="false" customHeight="false" outlineLevel="0" collapsed="false">
      <c r="A1077" s="32" t="n">
        <v>1070</v>
      </c>
      <c r="B1077" s="33" t="n">
        <v>139822</v>
      </c>
      <c r="C1077" s="34" t="s">
        <v>2225</v>
      </c>
      <c r="D1077" s="34" t="s">
        <v>2226</v>
      </c>
      <c r="E1077" s="34" t="s">
        <v>35</v>
      </c>
      <c r="F1077" s="32" t="n">
        <f aca="false">COUNTIF(Base!$D$2:$D$2878,B1077)</f>
        <v>1</v>
      </c>
      <c r="G1077" s="35" t="n">
        <f aca="false">SUMIF(Base!$D$2:$D$2878,B1077,Base!$I$2:$I$2878)</f>
        <v>1015.5</v>
      </c>
      <c r="H1077" s="36" t="n">
        <f aca="false">IF($G$2849=0,0,G1077/$G$2849)</f>
        <v>6.66393708330132E-005</v>
      </c>
      <c r="I1077" s="37" t="n">
        <f aca="false">I1076+H1077</f>
        <v>0.966906237169977</v>
      </c>
      <c r="J1077" s="37" t="n">
        <f aca="false">A1077/2840</f>
        <v>0.376760563380282</v>
      </c>
      <c r="K1077" s="32" t="str">
        <f aca="false">IF(I1077&lt;=$E$4,"A",IF(I1077&lt;=$E$5,"B","C"))</f>
        <v>C</v>
      </c>
    </row>
    <row r="1078" customFormat="false" ht="15" hidden="false" customHeight="false" outlineLevel="0" collapsed="false">
      <c r="A1078" s="32" t="n">
        <v>1071</v>
      </c>
      <c r="B1078" s="33" t="n">
        <v>49592</v>
      </c>
      <c r="C1078" s="34" t="s">
        <v>2227</v>
      </c>
      <c r="D1078" s="34" t="s">
        <v>2228</v>
      </c>
      <c r="E1078" s="34" t="s">
        <v>100</v>
      </c>
      <c r="F1078" s="32" t="n">
        <f aca="false">COUNTIF(Base!$D$2:$D$2878,B1078)</f>
        <v>1</v>
      </c>
      <c r="G1078" s="35" t="n">
        <f aca="false">SUMIF(Base!$D$2:$D$2878,B1078,Base!$I$2:$I$2878)</f>
        <v>1015</v>
      </c>
      <c r="H1078" s="36" t="n">
        <f aca="false">IF($G$2849=0,0,G1078/$G$2849)</f>
        <v>6.66065597198507E-005</v>
      </c>
      <c r="I1078" s="37" t="n">
        <f aca="false">I1077+H1078</f>
        <v>0.966972843729697</v>
      </c>
      <c r="J1078" s="37" t="n">
        <f aca="false">A1078/2840</f>
        <v>0.377112676056338</v>
      </c>
      <c r="K1078" s="32" t="str">
        <f aca="false">IF(I1078&lt;=$E$4,"A",IF(I1078&lt;=$E$5,"B","C"))</f>
        <v>C</v>
      </c>
    </row>
    <row r="1079" customFormat="false" ht="15" hidden="false" customHeight="false" outlineLevel="0" collapsed="false">
      <c r="A1079" s="32" t="n">
        <v>1072</v>
      </c>
      <c r="B1079" s="33" t="n">
        <v>1385278</v>
      </c>
      <c r="C1079" s="34" t="s">
        <v>2229</v>
      </c>
      <c r="D1079" s="34" t="s">
        <v>2230</v>
      </c>
      <c r="E1079" s="34" t="s">
        <v>38</v>
      </c>
      <c r="F1079" s="32" t="n">
        <f aca="false">COUNTIF(Base!$D$2:$D$2878,B1079)</f>
        <v>1</v>
      </c>
      <c r="G1079" s="35" t="n">
        <f aca="false">SUMIF(Base!$D$2:$D$2878,B1079,Base!$I$2:$I$2878)</f>
        <v>1014.9</v>
      </c>
      <c r="H1079" s="36" t="n">
        <f aca="false">IF($G$2849=0,0,G1079/$G$2849)</f>
        <v>6.65999974972182E-005</v>
      </c>
      <c r="I1079" s="37" t="n">
        <f aca="false">I1078+H1079</f>
        <v>0.967039443727194</v>
      </c>
      <c r="J1079" s="37" t="n">
        <f aca="false">A1079/2840</f>
        <v>0.377464788732394</v>
      </c>
      <c r="K1079" s="32" t="str">
        <f aca="false">IF(I1079&lt;=$E$4,"A",IF(I1079&lt;=$E$5,"B","C"))</f>
        <v>C</v>
      </c>
    </row>
    <row r="1080" customFormat="false" ht="15" hidden="false" customHeight="false" outlineLevel="0" collapsed="false">
      <c r="A1080" s="32" t="n">
        <v>1073</v>
      </c>
      <c r="B1080" s="33" t="n">
        <v>55525</v>
      </c>
      <c r="C1080" s="34" t="s">
        <v>2231</v>
      </c>
      <c r="D1080" s="34" t="s">
        <v>2232</v>
      </c>
      <c r="E1080" s="34" t="s">
        <v>170</v>
      </c>
      <c r="F1080" s="32" t="n">
        <f aca="false">COUNTIF(Base!$D$2:$D$2878,B1080)</f>
        <v>1</v>
      </c>
      <c r="G1080" s="35" t="n">
        <f aca="false">SUMIF(Base!$D$2:$D$2878,B1080,Base!$I$2:$I$2878)</f>
        <v>1011.54</v>
      </c>
      <c r="H1080" s="36" t="n">
        <f aca="false">IF($G$2849=0,0,G1080/$G$2849)</f>
        <v>6.63795068167662E-005</v>
      </c>
      <c r="I1080" s="37" t="n">
        <f aca="false">I1079+H1080</f>
        <v>0.967105823234011</v>
      </c>
      <c r="J1080" s="37" t="n">
        <f aca="false">A1080/2840</f>
        <v>0.377816901408451</v>
      </c>
      <c r="K1080" s="32" t="str">
        <f aca="false">IF(I1080&lt;=$E$4,"A",IF(I1080&lt;=$E$5,"B","C"))</f>
        <v>C</v>
      </c>
    </row>
    <row r="1081" customFormat="false" ht="15" hidden="false" customHeight="false" outlineLevel="0" collapsed="false">
      <c r="A1081" s="32" t="n">
        <v>1074</v>
      </c>
      <c r="B1081" s="33" t="n">
        <v>1388211</v>
      </c>
      <c r="C1081" s="34" t="s">
        <v>2233</v>
      </c>
      <c r="D1081" s="34" t="s">
        <v>2234</v>
      </c>
      <c r="E1081" s="34" t="s">
        <v>133</v>
      </c>
      <c r="F1081" s="32" t="n">
        <f aca="false">COUNTIF(Base!$D$2:$D$2878,B1081)</f>
        <v>1</v>
      </c>
      <c r="G1081" s="35" t="n">
        <f aca="false">SUMIF(Base!$D$2:$D$2878,B1081,Base!$I$2:$I$2878)</f>
        <v>1010.8</v>
      </c>
      <c r="H1081" s="36" t="n">
        <f aca="false">IF($G$2849=0,0,G1081/$G$2849)</f>
        <v>6.63309463692858E-005</v>
      </c>
      <c r="I1081" s="37" t="n">
        <f aca="false">I1080+H1081</f>
        <v>0.967172154180381</v>
      </c>
      <c r="J1081" s="37" t="n">
        <f aca="false">A1081/2840</f>
        <v>0.378169014084507</v>
      </c>
      <c r="K1081" s="32" t="str">
        <f aca="false">IF(I1081&lt;=$E$4,"A",IF(I1081&lt;=$E$5,"B","C"))</f>
        <v>C</v>
      </c>
    </row>
    <row r="1082" customFormat="false" ht="15" hidden="false" customHeight="false" outlineLevel="0" collapsed="false">
      <c r="A1082" s="32" t="n">
        <v>1075</v>
      </c>
      <c r="B1082" s="33" t="n">
        <v>1469747</v>
      </c>
      <c r="C1082" s="34" t="s">
        <v>2235</v>
      </c>
      <c r="D1082" s="34" t="s">
        <v>2236</v>
      </c>
      <c r="E1082" s="34" t="s">
        <v>394</v>
      </c>
      <c r="F1082" s="32" t="n">
        <f aca="false">COUNTIF(Base!$D$2:$D$2878,B1082)</f>
        <v>1</v>
      </c>
      <c r="G1082" s="35" t="n">
        <f aca="false">SUMIF(Base!$D$2:$D$2878,B1082,Base!$I$2:$I$2878)</f>
        <v>1008</v>
      </c>
      <c r="H1082" s="36" t="n">
        <f aca="false">IF($G$2849=0,0,G1082/$G$2849)</f>
        <v>6.61472041355758E-005</v>
      </c>
      <c r="I1082" s="37" t="n">
        <f aca="false">I1081+H1082</f>
        <v>0.967238301384516</v>
      </c>
      <c r="J1082" s="37" t="n">
        <f aca="false">A1082/2840</f>
        <v>0.378521126760563</v>
      </c>
      <c r="K1082" s="32" t="str">
        <f aca="false">IF(I1082&lt;=$E$4,"A",IF(I1082&lt;=$E$5,"B","C"))</f>
        <v>C</v>
      </c>
    </row>
    <row r="1083" customFormat="false" ht="15" hidden="false" customHeight="false" outlineLevel="0" collapsed="false">
      <c r="A1083" s="32" t="n">
        <v>1076</v>
      </c>
      <c r="B1083" s="33" t="n">
        <v>478915</v>
      </c>
      <c r="C1083" s="34" t="s">
        <v>2237</v>
      </c>
      <c r="D1083" s="34" t="s">
        <v>2238</v>
      </c>
      <c r="E1083" s="34" t="s">
        <v>133</v>
      </c>
      <c r="F1083" s="32" t="n">
        <f aca="false">COUNTIF(Base!$D$2:$D$2878,B1083)</f>
        <v>1</v>
      </c>
      <c r="G1083" s="35" t="n">
        <f aca="false">SUMIF(Base!$D$2:$D$2878,B1083,Base!$I$2:$I$2878)</f>
        <v>1006.32</v>
      </c>
      <c r="H1083" s="36" t="n">
        <f aca="false">IF($G$2849=0,0,G1083/$G$2849)</f>
        <v>6.60369587953499E-005</v>
      </c>
      <c r="I1083" s="37" t="n">
        <f aca="false">I1082+H1083</f>
        <v>0.967304338343311</v>
      </c>
      <c r="J1083" s="37" t="n">
        <f aca="false">A1083/2840</f>
        <v>0.37887323943662</v>
      </c>
      <c r="K1083" s="32" t="str">
        <f aca="false">IF(I1083&lt;=$E$4,"A",IF(I1083&lt;=$E$5,"B","C"))</f>
        <v>C</v>
      </c>
    </row>
    <row r="1084" customFormat="false" ht="15" hidden="false" customHeight="false" outlineLevel="0" collapsed="false">
      <c r="A1084" s="32" t="n">
        <v>1077</v>
      </c>
      <c r="B1084" s="33" t="n">
        <v>1385727</v>
      </c>
      <c r="C1084" s="34" t="s">
        <v>2239</v>
      </c>
      <c r="D1084" s="34" t="s">
        <v>2240</v>
      </c>
      <c r="E1084" s="34" t="s">
        <v>38</v>
      </c>
      <c r="F1084" s="32" t="n">
        <f aca="false">COUNTIF(Base!$D$2:$D$2878,B1084)</f>
        <v>1</v>
      </c>
      <c r="G1084" s="35" t="n">
        <f aca="false">SUMIF(Base!$D$2:$D$2878,B1084,Base!$I$2:$I$2878)</f>
        <v>1006</v>
      </c>
      <c r="H1084" s="36" t="n">
        <f aca="false">IF($G$2849=0,0,G1084/$G$2849)</f>
        <v>6.60159596829259E-005</v>
      </c>
      <c r="I1084" s="37" t="n">
        <f aca="false">I1083+H1084</f>
        <v>0.967370354302994</v>
      </c>
      <c r="J1084" s="37" t="n">
        <f aca="false">A1084/2840</f>
        <v>0.379225352112676</v>
      </c>
      <c r="K1084" s="32" t="str">
        <f aca="false">IF(I1084&lt;=$E$4,"A",IF(I1084&lt;=$E$5,"B","C"))</f>
        <v>C</v>
      </c>
    </row>
    <row r="1085" customFormat="false" ht="15" hidden="false" customHeight="false" outlineLevel="0" collapsed="false">
      <c r="A1085" s="32" t="n">
        <v>1078</v>
      </c>
      <c r="B1085" s="33" t="n">
        <v>559888</v>
      </c>
      <c r="C1085" s="34" t="s">
        <v>2241</v>
      </c>
      <c r="D1085" s="34" t="s">
        <v>2242</v>
      </c>
      <c r="E1085" s="34" t="s">
        <v>605</v>
      </c>
      <c r="F1085" s="32" t="n">
        <f aca="false">COUNTIF(Base!$D$2:$D$2878,B1085)</f>
        <v>1</v>
      </c>
      <c r="G1085" s="35" t="n">
        <f aca="false">SUMIF(Base!$D$2:$D$2878,B1085,Base!$I$2:$I$2878)</f>
        <v>1002.7</v>
      </c>
      <c r="H1085" s="36" t="n">
        <f aca="false">IF($G$2849=0,0,G1085/$G$2849)</f>
        <v>6.57994063360535E-005</v>
      </c>
      <c r="I1085" s="37" t="n">
        <f aca="false">I1084+H1085</f>
        <v>0.96743615370933</v>
      </c>
      <c r="J1085" s="37" t="n">
        <f aca="false">A1085/2840</f>
        <v>0.379577464788732</v>
      </c>
      <c r="K1085" s="32" t="str">
        <f aca="false">IF(I1085&lt;=$E$4,"A",IF(I1085&lt;=$E$5,"B","C"))</f>
        <v>C</v>
      </c>
    </row>
    <row r="1086" customFormat="false" ht="15" hidden="false" customHeight="false" outlineLevel="0" collapsed="false">
      <c r="A1086" s="32" t="n">
        <v>1079</v>
      </c>
      <c r="B1086" s="33" t="n">
        <v>938668</v>
      </c>
      <c r="C1086" s="34" t="s">
        <v>2243</v>
      </c>
      <c r="D1086" s="34" t="s">
        <v>2244</v>
      </c>
      <c r="E1086" s="34" t="s">
        <v>100</v>
      </c>
      <c r="F1086" s="32" t="n">
        <f aca="false">COUNTIF(Base!$D$2:$D$2878,B1086)</f>
        <v>1</v>
      </c>
      <c r="G1086" s="35" t="n">
        <f aca="false">SUMIF(Base!$D$2:$D$2878,B1086,Base!$I$2:$I$2878)</f>
        <v>1001.36</v>
      </c>
      <c r="H1086" s="36" t="n">
        <f aca="false">IF($G$2849=0,0,G1086/$G$2849)</f>
        <v>6.5711472552778E-005</v>
      </c>
      <c r="I1086" s="37" t="n">
        <f aca="false">I1085+H1086</f>
        <v>0.967501865181883</v>
      </c>
      <c r="J1086" s="37" t="n">
        <f aca="false">A1086/2840</f>
        <v>0.379929577464789</v>
      </c>
      <c r="K1086" s="32" t="str">
        <f aca="false">IF(I1086&lt;=$E$4,"A",IF(I1086&lt;=$E$5,"B","C"))</f>
        <v>C</v>
      </c>
    </row>
    <row r="1087" customFormat="false" ht="15" hidden="false" customHeight="false" outlineLevel="0" collapsed="false">
      <c r="A1087" s="32" t="n">
        <v>1080</v>
      </c>
      <c r="B1087" s="33" t="n">
        <v>856793</v>
      </c>
      <c r="C1087" s="34" t="s">
        <v>2245</v>
      </c>
      <c r="D1087" s="34" t="s">
        <v>2246</v>
      </c>
      <c r="E1087" s="34" t="s">
        <v>100</v>
      </c>
      <c r="F1087" s="32" t="n">
        <f aca="false">COUNTIF(Base!$D$2:$D$2878,B1087)</f>
        <v>1</v>
      </c>
      <c r="G1087" s="35" t="n">
        <f aca="false">SUMIF(Base!$D$2:$D$2878,B1087,Base!$I$2:$I$2878)</f>
        <v>1000</v>
      </c>
      <c r="H1087" s="36" t="n">
        <f aca="false">IF($G$2849=0,0,G1087/$G$2849)</f>
        <v>6.5622226324976E-005</v>
      </c>
      <c r="I1087" s="37" t="n">
        <f aca="false">I1086+H1087</f>
        <v>0.967567487408208</v>
      </c>
      <c r="J1087" s="37" t="n">
        <f aca="false">A1087/2840</f>
        <v>0.380281690140845</v>
      </c>
      <c r="K1087" s="32" t="str">
        <f aca="false">IF(I1087&lt;=$E$4,"A",IF(I1087&lt;=$E$5,"B","C"))</f>
        <v>C</v>
      </c>
    </row>
    <row r="1088" customFormat="false" ht="15" hidden="false" customHeight="false" outlineLevel="0" collapsed="false">
      <c r="A1088" s="32" t="n">
        <v>1081</v>
      </c>
      <c r="B1088" s="33" t="n">
        <v>293366</v>
      </c>
      <c r="C1088" s="34" t="s">
        <v>2247</v>
      </c>
      <c r="D1088" s="34" t="s">
        <v>2248</v>
      </c>
      <c r="E1088" s="34" t="s">
        <v>605</v>
      </c>
      <c r="F1088" s="32" t="n">
        <f aca="false">COUNTIF(Base!$D$2:$D$2878,B1088)</f>
        <v>1</v>
      </c>
      <c r="G1088" s="35" t="n">
        <f aca="false">SUMIF(Base!$D$2:$D$2878,B1088,Base!$I$2:$I$2878)</f>
        <v>999.9</v>
      </c>
      <c r="H1088" s="36" t="n">
        <f aca="false">IF($G$2849=0,0,G1088/$G$2849)</f>
        <v>6.56156641023435E-005</v>
      </c>
      <c r="I1088" s="37" t="n">
        <f aca="false">I1087+H1088</f>
        <v>0.967633103072311</v>
      </c>
      <c r="J1088" s="37" t="n">
        <f aca="false">A1088/2840</f>
        <v>0.380633802816901</v>
      </c>
      <c r="K1088" s="32" t="str">
        <f aca="false">IF(I1088&lt;=$E$4,"A",IF(I1088&lt;=$E$5,"B","C"))</f>
        <v>C</v>
      </c>
    </row>
    <row r="1089" customFormat="false" ht="15" hidden="false" customHeight="false" outlineLevel="0" collapsed="false">
      <c r="A1089" s="32" t="n">
        <v>1082</v>
      </c>
      <c r="B1089" s="33" t="n">
        <v>1466602</v>
      </c>
      <c r="C1089" s="34" t="s">
        <v>2249</v>
      </c>
      <c r="D1089" s="34" t="s">
        <v>2250</v>
      </c>
      <c r="E1089" s="34" t="s">
        <v>38</v>
      </c>
      <c r="F1089" s="32" t="n">
        <f aca="false">COUNTIF(Base!$D$2:$D$2878,B1089)</f>
        <v>1</v>
      </c>
      <c r="G1089" s="35" t="n">
        <f aca="false">SUMIF(Base!$D$2:$D$2878,B1089,Base!$I$2:$I$2878)</f>
        <v>999.02</v>
      </c>
      <c r="H1089" s="36" t="n">
        <f aca="false">IF($G$2849=0,0,G1089/$G$2849)</f>
        <v>6.55579165431775E-005</v>
      </c>
      <c r="I1089" s="37" t="n">
        <f aca="false">I1088+H1089</f>
        <v>0.967698660988854</v>
      </c>
      <c r="J1089" s="37" t="n">
        <f aca="false">A1089/2840</f>
        <v>0.380985915492958</v>
      </c>
      <c r="K1089" s="32" t="str">
        <f aca="false">IF(I1089&lt;=$E$4,"A",IF(I1089&lt;=$E$5,"B","C"))</f>
        <v>C</v>
      </c>
    </row>
    <row r="1090" customFormat="false" ht="15" hidden="false" customHeight="false" outlineLevel="0" collapsed="false">
      <c r="A1090" s="32" t="n">
        <v>1083</v>
      </c>
      <c r="B1090" s="33" t="n">
        <v>15968</v>
      </c>
      <c r="C1090" s="34" t="s">
        <v>2251</v>
      </c>
      <c r="D1090" s="34" t="s">
        <v>2252</v>
      </c>
      <c r="E1090" s="34" t="s">
        <v>54</v>
      </c>
      <c r="F1090" s="32" t="n">
        <f aca="false">COUNTIF(Base!$D$2:$D$2878,B1090)</f>
        <v>1</v>
      </c>
      <c r="G1090" s="35" t="n">
        <f aca="false">SUMIF(Base!$D$2:$D$2878,B1090,Base!$I$2:$I$2878)</f>
        <v>998</v>
      </c>
      <c r="H1090" s="36" t="n">
        <f aca="false">IF($G$2849=0,0,G1090/$G$2849)</f>
        <v>6.54909818723261E-005</v>
      </c>
      <c r="I1090" s="37" t="n">
        <f aca="false">I1089+H1090</f>
        <v>0.967764151970726</v>
      </c>
      <c r="J1090" s="37" t="n">
        <f aca="false">A1090/2840</f>
        <v>0.381338028169014</v>
      </c>
      <c r="K1090" s="32" t="str">
        <f aca="false">IF(I1090&lt;=$E$4,"A",IF(I1090&lt;=$E$5,"B","C"))</f>
        <v>C</v>
      </c>
    </row>
    <row r="1091" customFormat="false" ht="15" hidden="false" customHeight="false" outlineLevel="0" collapsed="false">
      <c r="A1091" s="32" t="n">
        <v>1084</v>
      </c>
      <c r="B1091" s="33" t="n">
        <v>59710</v>
      </c>
      <c r="C1091" s="34" t="s">
        <v>2253</v>
      </c>
      <c r="D1091" s="34" t="s">
        <v>2254</v>
      </c>
      <c r="E1091" s="34" t="s">
        <v>75</v>
      </c>
      <c r="F1091" s="32" t="n">
        <f aca="false">COUNTIF(Base!$D$2:$D$2878,B1091)</f>
        <v>1</v>
      </c>
      <c r="G1091" s="35" t="n">
        <f aca="false">SUMIF(Base!$D$2:$D$2878,B1091,Base!$I$2:$I$2878)</f>
        <v>998</v>
      </c>
      <c r="H1091" s="36" t="n">
        <f aca="false">IF($G$2849=0,0,G1091/$G$2849)</f>
        <v>6.54909818723261E-005</v>
      </c>
      <c r="I1091" s="37" t="n">
        <f aca="false">I1090+H1091</f>
        <v>0.967829642952598</v>
      </c>
      <c r="J1091" s="37" t="n">
        <f aca="false">A1091/2840</f>
        <v>0.38169014084507</v>
      </c>
      <c r="K1091" s="32" t="str">
        <f aca="false">IF(I1091&lt;=$E$4,"A",IF(I1091&lt;=$E$5,"B","C"))</f>
        <v>C</v>
      </c>
    </row>
    <row r="1092" customFormat="false" ht="15" hidden="false" customHeight="false" outlineLevel="0" collapsed="false">
      <c r="A1092" s="32" t="n">
        <v>1085</v>
      </c>
      <c r="B1092" s="33" t="n">
        <v>21251</v>
      </c>
      <c r="C1092" s="34" t="s">
        <v>2255</v>
      </c>
      <c r="D1092" s="34" t="s">
        <v>2256</v>
      </c>
      <c r="E1092" s="34" t="s">
        <v>189</v>
      </c>
      <c r="F1092" s="32" t="n">
        <f aca="false">COUNTIF(Base!$D$2:$D$2878,B1092)</f>
        <v>1</v>
      </c>
      <c r="G1092" s="35" t="n">
        <f aca="false">SUMIF(Base!$D$2:$D$2878,B1092,Base!$I$2:$I$2878)</f>
        <v>997.65</v>
      </c>
      <c r="H1092" s="36" t="n">
        <f aca="false">IF($G$2849=0,0,G1092/$G$2849)</f>
        <v>6.54680140931123E-005</v>
      </c>
      <c r="I1092" s="37" t="n">
        <f aca="false">I1091+H1092</f>
        <v>0.967895110966692</v>
      </c>
      <c r="J1092" s="37" t="n">
        <f aca="false">A1092/2840</f>
        <v>0.382042253521127</v>
      </c>
      <c r="K1092" s="32" t="str">
        <f aca="false">IF(I1092&lt;=$E$4,"A",IF(I1092&lt;=$E$5,"B","C"))</f>
        <v>C</v>
      </c>
    </row>
    <row r="1093" customFormat="false" ht="15" hidden="false" customHeight="false" outlineLevel="0" collapsed="false">
      <c r="A1093" s="32" t="n">
        <v>1086</v>
      </c>
      <c r="B1093" s="33" t="n">
        <v>21301</v>
      </c>
      <c r="C1093" s="34" t="s">
        <v>2257</v>
      </c>
      <c r="D1093" s="34" t="s">
        <v>2258</v>
      </c>
      <c r="E1093" s="34" t="s">
        <v>130</v>
      </c>
      <c r="F1093" s="32" t="n">
        <f aca="false">COUNTIF(Base!$D$2:$D$2878,B1093)</f>
        <v>1</v>
      </c>
      <c r="G1093" s="35" t="n">
        <f aca="false">SUMIF(Base!$D$2:$D$2878,B1093,Base!$I$2:$I$2878)</f>
        <v>996</v>
      </c>
      <c r="H1093" s="36" t="n">
        <f aca="false">IF($G$2849=0,0,G1093/$G$2849)</f>
        <v>6.53597374196761E-005</v>
      </c>
      <c r="I1093" s="37" t="n">
        <f aca="false">I1092+H1093</f>
        <v>0.967960470704111</v>
      </c>
      <c r="J1093" s="37" t="n">
        <f aca="false">A1093/2840</f>
        <v>0.382394366197183</v>
      </c>
      <c r="K1093" s="32" t="str">
        <f aca="false">IF(I1093&lt;=$E$4,"A",IF(I1093&lt;=$E$5,"B","C"))</f>
        <v>C</v>
      </c>
    </row>
    <row r="1094" customFormat="false" ht="15" hidden="false" customHeight="false" outlineLevel="0" collapsed="false">
      <c r="A1094" s="32" t="n">
        <v>1087</v>
      </c>
      <c r="B1094" s="33" t="n">
        <v>60991</v>
      </c>
      <c r="C1094" s="34" t="s">
        <v>2259</v>
      </c>
      <c r="D1094" s="34" t="s">
        <v>2260</v>
      </c>
      <c r="E1094" s="34" t="s">
        <v>705</v>
      </c>
      <c r="F1094" s="32" t="n">
        <f aca="false">COUNTIF(Base!$D$2:$D$2878,B1094)</f>
        <v>1</v>
      </c>
      <c r="G1094" s="35" t="n">
        <f aca="false">SUMIF(Base!$D$2:$D$2878,B1094,Base!$I$2:$I$2878)</f>
        <v>996</v>
      </c>
      <c r="H1094" s="36" t="n">
        <f aca="false">IF($G$2849=0,0,G1094/$G$2849)</f>
        <v>6.53597374196761E-005</v>
      </c>
      <c r="I1094" s="37" t="n">
        <f aca="false">I1093+H1094</f>
        <v>0.968025830441531</v>
      </c>
      <c r="J1094" s="37" t="n">
        <f aca="false">A1094/2840</f>
        <v>0.382746478873239</v>
      </c>
      <c r="K1094" s="32" t="str">
        <f aca="false">IF(I1094&lt;=$E$4,"A",IF(I1094&lt;=$E$5,"B","C"))</f>
        <v>C</v>
      </c>
    </row>
    <row r="1095" customFormat="false" ht="15" hidden="false" customHeight="false" outlineLevel="0" collapsed="false">
      <c r="A1095" s="32" t="n">
        <v>1088</v>
      </c>
      <c r="B1095" s="33" t="n">
        <v>294551</v>
      </c>
      <c r="C1095" s="34" t="s">
        <v>2261</v>
      </c>
      <c r="D1095" s="34" t="s">
        <v>2262</v>
      </c>
      <c r="E1095" s="34" t="s">
        <v>38</v>
      </c>
      <c r="F1095" s="32" t="n">
        <f aca="false">COUNTIF(Base!$D$2:$D$2878,B1095)</f>
        <v>1</v>
      </c>
      <c r="G1095" s="35" t="n">
        <f aca="false">SUMIF(Base!$D$2:$D$2878,B1095,Base!$I$2:$I$2878)</f>
        <v>993.6</v>
      </c>
      <c r="H1095" s="36" t="n">
        <f aca="false">IF($G$2849=0,0,G1095/$G$2849)</f>
        <v>6.52022440764962E-005</v>
      </c>
      <c r="I1095" s="37" t="n">
        <f aca="false">I1094+H1095</f>
        <v>0.968091032685608</v>
      </c>
      <c r="J1095" s="37" t="n">
        <f aca="false">A1095/2840</f>
        <v>0.383098591549296</v>
      </c>
      <c r="K1095" s="32" t="str">
        <f aca="false">IF(I1095&lt;=$E$4,"A",IF(I1095&lt;=$E$5,"B","C"))</f>
        <v>C</v>
      </c>
    </row>
    <row r="1096" customFormat="false" ht="15" hidden="false" customHeight="false" outlineLevel="0" collapsed="false">
      <c r="A1096" s="32" t="n">
        <v>1089</v>
      </c>
      <c r="B1096" s="33" t="n">
        <v>1680702</v>
      </c>
      <c r="C1096" s="34" t="s">
        <v>2263</v>
      </c>
      <c r="D1096" s="34" t="s">
        <v>2264</v>
      </c>
      <c r="E1096" s="34" t="s">
        <v>66</v>
      </c>
      <c r="F1096" s="32" t="n">
        <f aca="false">COUNTIF(Base!$D$2:$D$2878,B1096)</f>
        <v>1</v>
      </c>
      <c r="G1096" s="35" t="n">
        <f aca="false">SUMIF(Base!$D$2:$D$2878,B1096,Base!$I$2:$I$2878)</f>
        <v>990.54</v>
      </c>
      <c r="H1096" s="36" t="n">
        <f aca="false">IF($G$2849=0,0,G1096/$G$2849)</f>
        <v>6.50014400639417E-005</v>
      </c>
      <c r="I1096" s="37" t="n">
        <f aca="false">I1095+H1096</f>
        <v>0.968156034125671</v>
      </c>
      <c r="J1096" s="37" t="n">
        <f aca="false">A1096/2840</f>
        <v>0.383450704225352</v>
      </c>
      <c r="K1096" s="32" t="str">
        <f aca="false">IF(I1096&lt;=$E$4,"A",IF(I1096&lt;=$E$5,"B","C"))</f>
        <v>C</v>
      </c>
    </row>
    <row r="1097" customFormat="false" ht="15" hidden="false" customHeight="false" outlineLevel="0" collapsed="false">
      <c r="A1097" s="32" t="n">
        <v>1090</v>
      </c>
      <c r="B1097" s="33" t="n">
        <v>18913</v>
      </c>
      <c r="C1097" s="34" t="s">
        <v>2265</v>
      </c>
      <c r="D1097" s="34" t="s">
        <v>2266</v>
      </c>
      <c r="E1097" s="34" t="s">
        <v>247</v>
      </c>
      <c r="F1097" s="32" t="n">
        <f aca="false">COUNTIF(Base!$D$2:$D$2878,B1097)</f>
        <v>1</v>
      </c>
      <c r="G1097" s="35" t="n">
        <f aca="false">SUMIF(Base!$D$2:$D$2878,B1097,Base!$I$2:$I$2878)</f>
        <v>990</v>
      </c>
      <c r="H1097" s="36" t="n">
        <f aca="false">IF($G$2849=0,0,G1097/$G$2849)</f>
        <v>6.49660040617263E-005</v>
      </c>
      <c r="I1097" s="37" t="n">
        <f aca="false">I1096+H1097</f>
        <v>0.968221000129733</v>
      </c>
      <c r="J1097" s="37" t="n">
        <f aca="false">A1097/2840</f>
        <v>0.383802816901408</v>
      </c>
      <c r="K1097" s="32" t="str">
        <f aca="false">IF(I1097&lt;=$E$4,"A",IF(I1097&lt;=$E$5,"B","C"))</f>
        <v>C</v>
      </c>
    </row>
    <row r="1098" customFormat="false" ht="15" hidden="false" customHeight="false" outlineLevel="0" collapsed="false">
      <c r="A1098" s="32" t="n">
        <v>1091</v>
      </c>
      <c r="B1098" s="33" t="n">
        <v>1330659</v>
      </c>
      <c r="C1098" s="34" t="s">
        <v>2267</v>
      </c>
      <c r="D1098" s="34" t="s">
        <v>2268</v>
      </c>
      <c r="E1098" s="34" t="s">
        <v>100</v>
      </c>
      <c r="F1098" s="32" t="n">
        <f aca="false">COUNTIF(Base!$D$2:$D$2878,B1098)</f>
        <v>1</v>
      </c>
      <c r="G1098" s="35" t="n">
        <f aca="false">SUMIF(Base!$D$2:$D$2878,B1098,Base!$I$2:$I$2878)</f>
        <v>988.96</v>
      </c>
      <c r="H1098" s="36" t="n">
        <f aca="false">IF($G$2849=0,0,G1098/$G$2849)</f>
        <v>6.48977569463483E-005</v>
      </c>
      <c r="I1098" s="37" t="n">
        <f aca="false">I1097+H1098</f>
        <v>0.96828589788668</v>
      </c>
      <c r="J1098" s="37" t="n">
        <f aca="false">A1098/2840</f>
        <v>0.384154929577465</v>
      </c>
      <c r="K1098" s="32" t="str">
        <f aca="false">IF(I1098&lt;=$E$4,"A",IF(I1098&lt;=$E$5,"B","C"))</f>
        <v>C</v>
      </c>
    </row>
    <row r="1099" customFormat="false" ht="15" hidden="false" customHeight="false" outlineLevel="0" collapsed="false">
      <c r="A1099" s="32" t="n">
        <v>1092</v>
      </c>
      <c r="B1099" s="33" t="n">
        <v>21282</v>
      </c>
      <c r="C1099" s="34" t="s">
        <v>2269</v>
      </c>
      <c r="D1099" s="34" t="s">
        <v>2270</v>
      </c>
      <c r="E1099" s="34" t="s">
        <v>334</v>
      </c>
      <c r="F1099" s="32" t="n">
        <f aca="false">COUNTIF(Base!$D$2:$D$2878,B1099)</f>
        <v>1</v>
      </c>
      <c r="G1099" s="35" t="n">
        <f aca="false">SUMIF(Base!$D$2:$D$2878,B1099,Base!$I$2:$I$2878)</f>
        <v>985.68</v>
      </c>
      <c r="H1099" s="36" t="n">
        <f aca="false">IF($G$2849=0,0,G1099/$G$2849)</f>
        <v>6.46825160440024E-005</v>
      </c>
      <c r="I1099" s="37" t="n">
        <f aca="false">I1098+H1099</f>
        <v>0.968350580402724</v>
      </c>
      <c r="J1099" s="37" t="n">
        <f aca="false">A1099/2840</f>
        <v>0.384507042253521</v>
      </c>
      <c r="K1099" s="32" t="str">
        <f aca="false">IF(I1099&lt;=$E$4,"A",IF(I1099&lt;=$E$5,"B","C"))</f>
        <v>C</v>
      </c>
    </row>
    <row r="1100" customFormat="false" ht="15" hidden="false" customHeight="false" outlineLevel="0" collapsed="false">
      <c r="A1100" s="32" t="n">
        <v>1093</v>
      </c>
      <c r="B1100" s="33" t="n">
        <v>273606</v>
      </c>
      <c r="C1100" s="34" t="s">
        <v>2271</v>
      </c>
      <c r="D1100" s="34" t="s">
        <v>2272</v>
      </c>
      <c r="E1100" s="34" t="s">
        <v>1095</v>
      </c>
      <c r="F1100" s="32" t="n">
        <f aca="false">COUNTIF(Base!$D$2:$D$2878,B1100)</f>
        <v>1</v>
      </c>
      <c r="G1100" s="35" t="n">
        <f aca="false">SUMIF(Base!$D$2:$D$2878,B1100,Base!$I$2:$I$2878)</f>
        <v>983</v>
      </c>
      <c r="H1100" s="36" t="n">
        <f aca="false">IF($G$2849=0,0,G1100/$G$2849)</f>
        <v>6.45066484774514E-005</v>
      </c>
      <c r="I1100" s="37" t="n">
        <f aca="false">I1099+H1100</f>
        <v>0.968415087051201</v>
      </c>
      <c r="J1100" s="37" t="n">
        <f aca="false">A1100/2840</f>
        <v>0.384859154929577</v>
      </c>
      <c r="K1100" s="32" t="str">
        <f aca="false">IF(I1100&lt;=$E$4,"A",IF(I1100&lt;=$E$5,"B","C"))</f>
        <v>C</v>
      </c>
    </row>
    <row r="1101" customFormat="false" ht="15" hidden="false" customHeight="false" outlineLevel="0" collapsed="false">
      <c r="A1101" s="32" t="n">
        <v>1094</v>
      </c>
      <c r="B1101" s="33" t="n">
        <v>59501</v>
      </c>
      <c r="C1101" s="34" t="s">
        <v>2273</v>
      </c>
      <c r="D1101" s="34" t="s">
        <v>2274</v>
      </c>
      <c r="E1101" s="34" t="s">
        <v>1618</v>
      </c>
      <c r="F1101" s="32" t="n">
        <f aca="false">COUNTIF(Base!$D$2:$D$2878,B1101)</f>
        <v>1</v>
      </c>
      <c r="G1101" s="35" t="n">
        <f aca="false">SUMIF(Base!$D$2:$D$2878,B1101,Base!$I$2:$I$2878)</f>
        <v>980</v>
      </c>
      <c r="H1101" s="36" t="n">
        <f aca="false">IF($G$2849=0,0,G1101/$G$2849)</f>
        <v>6.43097817984765E-005</v>
      </c>
      <c r="I1101" s="37" t="n">
        <f aca="false">I1100+H1101</f>
        <v>0.968479396832999</v>
      </c>
      <c r="J1101" s="37" t="n">
        <f aca="false">A1101/2840</f>
        <v>0.385211267605634</v>
      </c>
      <c r="K1101" s="32" t="str">
        <f aca="false">IF(I1101&lt;=$E$4,"A",IF(I1101&lt;=$E$5,"B","C"))</f>
        <v>C</v>
      </c>
    </row>
    <row r="1102" customFormat="false" ht="15" hidden="false" customHeight="false" outlineLevel="0" collapsed="false">
      <c r="A1102" s="32" t="n">
        <v>1095</v>
      </c>
      <c r="B1102" s="33" t="n">
        <v>1088345</v>
      </c>
      <c r="C1102" s="34" t="s">
        <v>2275</v>
      </c>
      <c r="D1102" s="34" t="s">
        <v>2276</v>
      </c>
      <c r="E1102" s="34" t="s">
        <v>130</v>
      </c>
      <c r="F1102" s="32" t="n">
        <f aca="false">COUNTIF(Base!$D$2:$D$2878,B1102)</f>
        <v>1</v>
      </c>
      <c r="G1102" s="35" t="n">
        <f aca="false">SUMIF(Base!$D$2:$D$2878,B1102,Base!$I$2:$I$2878)</f>
        <v>980</v>
      </c>
      <c r="H1102" s="36" t="n">
        <f aca="false">IF($G$2849=0,0,G1102/$G$2849)</f>
        <v>6.43097817984765E-005</v>
      </c>
      <c r="I1102" s="37" t="n">
        <f aca="false">I1101+H1102</f>
        <v>0.968543706614798</v>
      </c>
      <c r="J1102" s="37" t="n">
        <f aca="false">A1102/2840</f>
        <v>0.38556338028169</v>
      </c>
      <c r="K1102" s="32" t="str">
        <f aca="false">IF(I1102&lt;=$E$4,"A",IF(I1102&lt;=$E$5,"B","C"))</f>
        <v>C</v>
      </c>
    </row>
    <row r="1103" customFormat="false" ht="15" hidden="false" customHeight="false" outlineLevel="0" collapsed="false">
      <c r="A1103" s="32" t="n">
        <v>1096</v>
      </c>
      <c r="B1103" s="33" t="n">
        <v>1659860</v>
      </c>
      <c r="C1103" s="34" t="s">
        <v>2277</v>
      </c>
      <c r="D1103" s="34" t="s">
        <v>2278</v>
      </c>
      <c r="E1103" s="34" t="s">
        <v>38</v>
      </c>
      <c r="F1103" s="32" t="n">
        <f aca="false">COUNTIF(Base!$D$2:$D$2878,B1103)</f>
        <v>1</v>
      </c>
      <c r="G1103" s="35" t="n">
        <f aca="false">SUMIF(Base!$D$2:$D$2878,B1103,Base!$I$2:$I$2878)</f>
        <v>980</v>
      </c>
      <c r="H1103" s="36" t="n">
        <f aca="false">IF($G$2849=0,0,G1103/$G$2849)</f>
        <v>6.43097817984765E-005</v>
      </c>
      <c r="I1103" s="37" t="n">
        <f aca="false">I1102+H1103</f>
        <v>0.968608016396596</v>
      </c>
      <c r="J1103" s="37" t="n">
        <f aca="false">A1103/2840</f>
        <v>0.385915492957746</v>
      </c>
      <c r="K1103" s="32" t="str">
        <f aca="false">IF(I1103&lt;=$E$4,"A",IF(I1103&lt;=$E$5,"B","C"))</f>
        <v>C</v>
      </c>
    </row>
    <row r="1104" customFormat="false" ht="15" hidden="false" customHeight="false" outlineLevel="0" collapsed="false">
      <c r="A1104" s="32" t="n">
        <v>1097</v>
      </c>
      <c r="B1104" s="33" t="n">
        <v>857559</v>
      </c>
      <c r="C1104" s="34" t="s">
        <v>2279</v>
      </c>
      <c r="D1104" s="34" t="s">
        <v>2280</v>
      </c>
      <c r="E1104" s="34" t="s">
        <v>130</v>
      </c>
      <c r="F1104" s="32" t="n">
        <f aca="false">COUNTIF(Base!$D$2:$D$2878,B1104)</f>
        <v>1</v>
      </c>
      <c r="G1104" s="35" t="n">
        <f aca="false">SUMIF(Base!$D$2:$D$2878,B1104,Base!$I$2:$I$2878)</f>
        <v>979.98</v>
      </c>
      <c r="H1104" s="36" t="n">
        <f aca="false">IF($G$2849=0,0,G1104/$G$2849)</f>
        <v>6.430846935395E-005</v>
      </c>
      <c r="I1104" s="37" t="n">
        <f aca="false">I1103+H1104</f>
        <v>0.96867232486595</v>
      </c>
      <c r="J1104" s="37" t="n">
        <f aca="false">A1104/2840</f>
        <v>0.386267605633803</v>
      </c>
      <c r="K1104" s="32" t="str">
        <f aca="false">IF(I1104&lt;=$E$4,"A",IF(I1104&lt;=$E$5,"B","C"))</f>
        <v>C</v>
      </c>
    </row>
    <row r="1105" customFormat="false" ht="15" hidden="false" customHeight="false" outlineLevel="0" collapsed="false">
      <c r="A1105" s="32" t="n">
        <v>1098</v>
      </c>
      <c r="B1105" s="33" t="n">
        <v>49543</v>
      </c>
      <c r="C1105" s="34" t="s">
        <v>2281</v>
      </c>
      <c r="D1105" s="34" t="s">
        <v>2282</v>
      </c>
      <c r="E1105" s="34" t="s">
        <v>247</v>
      </c>
      <c r="F1105" s="32" t="n">
        <f aca="false">COUNTIF(Base!$D$2:$D$2878,B1105)</f>
        <v>1</v>
      </c>
      <c r="G1105" s="35" t="n">
        <f aca="false">SUMIF(Base!$D$2:$D$2878,B1105,Base!$I$2:$I$2878)</f>
        <v>976</v>
      </c>
      <c r="H1105" s="36" t="n">
        <f aca="false">IF($G$2849=0,0,G1105/$G$2849)</f>
        <v>6.40472928931766E-005</v>
      </c>
      <c r="I1105" s="37" t="n">
        <f aca="false">I1104+H1105</f>
        <v>0.968736372158844</v>
      </c>
      <c r="J1105" s="37" t="n">
        <f aca="false">A1105/2840</f>
        <v>0.386619718309859</v>
      </c>
      <c r="K1105" s="32" t="str">
        <f aca="false">IF(I1105&lt;=$E$4,"A",IF(I1105&lt;=$E$5,"B","C"))</f>
        <v>C</v>
      </c>
    </row>
    <row r="1106" customFormat="false" ht="15" hidden="false" customHeight="false" outlineLevel="0" collapsed="false">
      <c r="A1106" s="32" t="n">
        <v>1099</v>
      </c>
      <c r="B1106" s="33" t="n">
        <v>33949</v>
      </c>
      <c r="C1106" s="34" t="s">
        <v>2283</v>
      </c>
      <c r="D1106" s="34" t="s">
        <v>2284</v>
      </c>
      <c r="E1106" s="34" t="s">
        <v>130</v>
      </c>
      <c r="F1106" s="32" t="n">
        <f aca="false">COUNTIF(Base!$D$2:$D$2878,B1106)</f>
        <v>1</v>
      </c>
      <c r="G1106" s="35" t="n">
        <f aca="false">SUMIF(Base!$D$2:$D$2878,B1106,Base!$I$2:$I$2878)</f>
        <v>975</v>
      </c>
      <c r="H1106" s="36" t="n">
        <f aca="false">IF($G$2849=0,0,G1106/$G$2849)</f>
        <v>6.39816706668516E-005</v>
      </c>
      <c r="I1106" s="37" t="n">
        <f aca="false">I1105+H1106</f>
        <v>0.968800353829511</v>
      </c>
      <c r="J1106" s="37" t="n">
        <f aca="false">A1106/2840</f>
        <v>0.386971830985916</v>
      </c>
      <c r="K1106" s="32" t="str">
        <f aca="false">IF(I1106&lt;=$E$4,"A",IF(I1106&lt;=$E$5,"B","C"))</f>
        <v>C</v>
      </c>
    </row>
    <row r="1107" customFormat="false" ht="15" hidden="false" customHeight="false" outlineLevel="0" collapsed="false">
      <c r="A1107" s="32" t="n">
        <v>1100</v>
      </c>
      <c r="B1107" s="33" t="n">
        <v>1616857</v>
      </c>
      <c r="C1107" s="34" t="s">
        <v>2285</v>
      </c>
      <c r="D1107" s="34" t="s">
        <v>2286</v>
      </c>
      <c r="E1107" s="34" t="s">
        <v>38</v>
      </c>
      <c r="F1107" s="32" t="n">
        <f aca="false">COUNTIF(Base!$D$2:$D$2878,B1107)</f>
        <v>1</v>
      </c>
      <c r="G1107" s="35" t="n">
        <f aca="false">SUMIF(Base!$D$2:$D$2878,B1107,Base!$I$2:$I$2878)</f>
        <v>969</v>
      </c>
      <c r="H1107" s="36" t="n">
        <f aca="false">IF($G$2849=0,0,G1107/$G$2849)</f>
        <v>6.35879373089018E-005</v>
      </c>
      <c r="I1107" s="37" t="n">
        <f aca="false">I1106+H1107</f>
        <v>0.968863941766819</v>
      </c>
      <c r="J1107" s="37" t="n">
        <f aca="false">A1107/2840</f>
        <v>0.387323943661972</v>
      </c>
      <c r="K1107" s="32" t="str">
        <f aca="false">IF(I1107&lt;=$E$4,"A",IF(I1107&lt;=$E$5,"B","C"))</f>
        <v>C</v>
      </c>
    </row>
    <row r="1108" customFormat="false" ht="15" hidden="false" customHeight="false" outlineLevel="0" collapsed="false">
      <c r="A1108" s="32" t="n">
        <v>1101</v>
      </c>
      <c r="B1108" s="33" t="n">
        <v>1616858</v>
      </c>
      <c r="C1108" s="34" t="s">
        <v>2287</v>
      </c>
      <c r="D1108" s="34" t="s">
        <v>2288</v>
      </c>
      <c r="E1108" s="34" t="s">
        <v>38</v>
      </c>
      <c r="F1108" s="32" t="n">
        <f aca="false">COUNTIF(Base!$D$2:$D$2878,B1108)</f>
        <v>1</v>
      </c>
      <c r="G1108" s="35" t="n">
        <f aca="false">SUMIF(Base!$D$2:$D$2878,B1108,Base!$I$2:$I$2878)</f>
        <v>969</v>
      </c>
      <c r="H1108" s="36" t="n">
        <f aca="false">IF($G$2849=0,0,G1108/$G$2849)</f>
        <v>6.35879373089018E-005</v>
      </c>
      <c r="I1108" s="37" t="n">
        <f aca="false">I1107+H1108</f>
        <v>0.968927529704128</v>
      </c>
      <c r="J1108" s="37" t="n">
        <f aca="false">A1108/2840</f>
        <v>0.387676056338028</v>
      </c>
      <c r="K1108" s="32" t="str">
        <f aca="false">IF(I1108&lt;=$E$4,"A",IF(I1108&lt;=$E$5,"B","C"))</f>
        <v>C</v>
      </c>
    </row>
    <row r="1109" customFormat="false" ht="15" hidden="false" customHeight="false" outlineLevel="0" collapsed="false">
      <c r="A1109" s="32" t="n">
        <v>1102</v>
      </c>
      <c r="B1109" s="33" t="n">
        <v>1610151</v>
      </c>
      <c r="C1109" s="34" t="s">
        <v>2289</v>
      </c>
      <c r="D1109" s="34" t="s">
        <v>2290</v>
      </c>
      <c r="E1109" s="34" t="s">
        <v>100</v>
      </c>
      <c r="F1109" s="32" t="n">
        <f aca="false">COUNTIF(Base!$D$2:$D$2878,B1109)</f>
        <v>1</v>
      </c>
      <c r="G1109" s="35" t="n">
        <f aca="false">SUMIF(Base!$D$2:$D$2878,B1109,Base!$I$2:$I$2878)</f>
        <v>966.92</v>
      </c>
      <c r="H1109" s="36" t="n">
        <f aca="false">IF($G$2849=0,0,G1109/$G$2849)</f>
        <v>6.34514430781458E-005</v>
      </c>
      <c r="I1109" s="37" t="n">
        <f aca="false">I1108+H1109</f>
        <v>0.968990981147206</v>
      </c>
      <c r="J1109" s="37" t="n">
        <f aca="false">A1109/2840</f>
        <v>0.388028169014085</v>
      </c>
      <c r="K1109" s="32" t="str">
        <f aca="false">IF(I1109&lt;=$E$4,"A",IF(I1109&lt;=$E$5,"B","C"))</f>
        <v>C</v>
      </c>
    </row>
    <row r="1110" customFormat="false" ht="15" hidden="false" customHeight="false" outlineLevel="0" collapsed="false">
      <c r="A1110" s="32" t="n">
        <v>1103</v>
      </c>
      <c r="B1110" s="33" t="n">
        <v>830952</v>
      </c>
      <c r="C1110" s="34" t="s">
        <v>2291</v>
      </c>
      <c r="D1110" s="34" t="s">
        <v>2292</v>
      </c>
      <c r="E1110" s="34" t="s">
        <v>38</v>
      </c>
      <c r="F1110" s="32" t="n">
        <f aca="false">COUNTIF(Base!$D$2:$D$2878,B1110)</f>
        <v>1</v>
      </c>
      <c r="G1110" s="35" t="n">
        <f aca="false">SUMIF(Base!$D$2:$D$2878,B1110,Base!$I$2:$I$2878)</f>
        <v>964.44</v>
      </c>
      <c r="H1110" s="36" t="n">
        <f aca="false">IF($G$2849=0,0,G1110/$G$2849)</f>
        <v>6.32886999568599E-005</v>
      </c>
      <c r="I1110" s="37" t="n">
        <f aca="false">I1109+H1110</f>
        <v>0.969054269847163</v>
      </c>
      <c r="J1110" s="37" t="n">
        <f aca="false">A1110/2840</f>
        <v>0.388380281690141</v>
      </c>
      <c r="K1110" s="32" t="str">
        <f aca="false">IF(I1110&lt;=$E$4,"A",IF(I1110&lt;=$E$5,"B","C"))</f>
        <v>C</v>
      </c>
    </row>
    <row r="1111" customFormat="false" ht="15" hidden="false" customHeight="false" outlineLevel="0" collapsed="false">
      <c r="A1111" s="32" t="n">
        <v>1104</v>
      </c>
      <c r="B1111" s="33" t="n">
        <v>66312</v>
      </c>
      <c r="C1111" s="34" t="s">
        <v>2293</v>
      </c>
      <c r="D1111" s="34" t="s">
        <v>2294</v>
      </c>
      <c r="E1111" s="34" t="s">
        <v>113</v>
      </c>
      <c r="F1111" s="32" t="n">
        <f aca="false">COUNTIF(Base!$D$2:$D$2878,B1111)</f>
        <v>1</v>
      </c>
      <c r="G1111" s="35" t="n">
        <f aca="false">SUMIF(Base!$D$2:$D$2878,B1111,Base!$I$2:$I$2878)</f>
        <v>963.02</v>
      </c>
      <c r="H1111" s="36" t="n">
        <f aca="false">IF($G$2849=0,0,G1111/$G$2849)</f>
        <v>6.31955163954784E-005</v>
      </c>
      <c r="I1111" s="37" t="n">
        <f aca="false">I1110+H1111</f>
        <v>0.969117465363559</v>
      </c>
      <c r="J1111" s="37" t="n">
        <f aca="false">A1111/2840</f>
        <v>0.388732394366197</v>
      </c>
      <c r="K1111" s="32" t="str">
        <f aca="false">IF(I1111&lt;=$E$4,"A",IF(I1111&lt;=$E$5,"B","C"))</f>
        <v>C</v>
      </c>
    </row>
    <row r="1112" customFormat="false" ht="15" hidden="false" customHeight="false" outlineLevel="0" collapsed="false">
      <c r="A1112" s="32" t="n">
        <v>1105</v>
      </c>
      <c r="B1112" s="33" t="n">
        <v>952908</v>
      </c>
      <c r="C1112" s="34" t="s">
        <v>2295</v>
      </c>
      <c r="D1112" s="34" t="s">
        <v>2296</v>
      </c>
      <c r="E1112" s="34" t="s">
        <v>1618</v>
      </c>
      <c r="F1112" s="32" t="n">
        <f aca="false">COUNTIF(Base!$D$2:$D$2878,B1112)</f>
        <v>2</v>
      </c>
      <c r="G1112" s="35" t="n">
        <f aca="false">SUMIF(Base!$D$2:$D$2878,B1112,Base!$I$2:$I$2878)</f>
        <v>962.5</v>
      </c>
      <c r="H1112" s="36" t="n">
        <f aca="false">IF($G$2849=0,0,G1112/$G$2849)</f>
        <v>6.31613928377894E-005</v>
      </c>
      <c r="I1112" s="37" t="n">
        <f aca="false">I1111+H1112</f>
        <v>0.969180626756397</v>
      </c>
      <c r="J1112" s="37" t="n">
        <f aca="false">A1112/2840</f>
        <v>0.389084507042254</v>
      </c>
      <c r="K1112" s="32" t="str">
        <f aca="false">IF(I1112&lt;=$E$4,"A",IF(I1112&lt;=$E$5,"B","C"))</f>
        <v>C</v>
      </c>
    </row>
    <row r="1113" customFormat="false" ht="15" hidden="false" customHeight="false" outlineLevel="0" collapsed="false">
      <c r="A1113" s="32" t="n">
        <v>1106</v>
      </c>
      <c r="B1113" s="33" t="n">
        <v>391511</v>
      </c>
      <c r="C1113" s="34" t="s">
        <v>2297</v>
      </c>
      <c r="D1113" s="34" t="s">
        <v>2298</v>
      </c>
      <c r="E1113" s="34" t="s">
        <v>133</v>
      </c>
      <c r="F1113" s="32" t="n">
        <f aca="false">COUNTIF(Base!$D$2:$D$2878,B1113)</f>
        <v>1</v>
      </c>
      <c r="G1113" s="35" t="n">
        <f aca="false">SUMIF(Base!$D$2:$D$2878,B1113,Base!$I$2:$I$2878)</f>
        <v>962.26</v>
      </c>
      <c r="H1113" s="36" t="n">
        <f aca="false">IF($G$2849=0,0,G1113/$G$2849)</f>
        <v>6.31456435034714E-005</v>
      </c>
      <c r="I1113" s="37" t="n">
        <f aca="false">I1112+H1113</f>
        <v>0.9692437723999</v>
      </c>
      <c r="J1113" s="37" t="n">
        <f aca="false">A1113/2840</f>
        <v>0.38943661971831</v>
      </c>
      <c r="K1113" s="32" t="str">
        <f aca="false">IF(I1113&lt;=$E$4,"A",IF(I1113&lt;=$E$5,"B","C"))</f>
        <v>C</v>
      </c>
    </row>
    <row r="1114" customFormat="false" ht="15" hidden="false" customHeight="false" outlineLevel="0" collapsed="false">
      <c r="A1114" s="32" t="n">
        <v>1107</v>
      </c>
      <c r="B1114" s="33" t="n">
        <v>136864</v>
      </c>
      <c r="C1114" s="34" t="s">
        <v>2299</v>
      </c>
      <c r="D1114" s="34" t="s">
        <v>2300</v>
      </c>
      <c r="E1114" s="34" t="s">
        <v>100</v>
      </c>
      <c r="F1114" s="32" t="n">
        <f aca="false">COUNTIF(Base!$D$2:$D$2878,B1114)</f>
        <v>1</v>
      </c>
      <c r="G1114" s="35" t="n">
        <f aca="false">SUMIF(Base!$D$2:$D$2878,B1114,Base!$I$2:$I$2878)</f>
        <v>960</v>
      </c>
      <c r="H1114" s="36" t="n">
        <f aca="false">IF($G$2849=0,0,G1114/$G$2849)</f>
        <v>6.2997337271977E-005</v>
      </c>
      <c r="I1114" s="37" t="n">
        <f aca="false">I1113+H1114</f>
        <v>0.969306769737172</v>
      </c>
      <c r="J1114" s="37" t="n">
        <f aca="false">A1114/2840</f>
        <v>0.389788732394366</v>
      </c>
      <c r="K1114" s="32" t="str">
        <f aca="false">IF(I1114&lt;=$E$4,"A",IF(I1114&lt;=$E$5,"B","C"))</f>
        <v>C</v>
      </c>
    </row>
    <row r="1115" customFormat="false" ht="15" hidden="false" customHeight="false" outlineLevel="0" collapsed="false">
      <c r="A1115" s="32" t="n">
        <v>1108</v>
      </c>
      <c r="B1115" s="33" t="n">
        <v>1605181</v>
      </c>
      <c r="C1115" s="34" t="s">
        <v>2301</v>
      </c>
      <c r="D1115" s="34" t="s">
        <v>2302</v>
      </c>
      <c r="E1115" s="34" t="s">
        <v>38</v>
      </c>
      <c r="F1115" s="32" t="n">
        <f aca="false">COUNTIF(Base!$D$2:$D$2878,B1115)</f>
        <v>1</v>
      </c>
      <c r="G1115" s="35" t="n">
        <f aca="false">SUMIF(Base!$D$2:$D$2878,B1115,Base!$I$2:$I$2878)</f>
        <v>960</v>
      </c>
      <c r="H1115" s="36" t="n">
        <f aca="false">IF($G$2849=0,0,G1115/$G$2849)</f>
        <v>6.2997337271977E-005</v>
      </c>
      <c r="I1115" s="37" t="n">
        <f aca="false">I1114+H1115</f>
        <v>0.969369767074444</v>
      </c>
      <c r="J1115" s="37" t="n">
        <f aca="false">A1115/2840</f>
        <v>0.390140845070423</v>
      </c>
      <c r="K1115" s="32" t="str">
        <f aca="false">IF(I1115&lt;=$E$4,"A",IF(I1115&lt;=$E$5,"B","C"))</f>
        <v>C</v>
      </c>
    </row>
    <row r="1116" customFormat="false" ht="15" hidden="false" customHeight="false" outlineLevel="0" collapsed="false">
      <c r="A1116" s="32" t="n">
        <v>1109</v>
      </c>
      <c r="B1116" s="33" t="n">
        <v>1605186</v>
      </c>
      <c r="C1116" s="34" t="s">
        <v>2303</v>
      </c>
      <c r="D1116" s="34" t="s">
        <v>2304</v>
      </c>
      <c r="E1116" s="34" t="s">
        <v>38</v>
      </c>
      <c r="F1116" s="32" t="n">
        <f aca="false">COUNTIF(Base!$D$2:$D$2878,B1116)</f>
        <v>1</v>
      </c>
      <c r="G1116" s="35" t="n">
        <f aca="false">SUMIF(Base!$D$2:$D$2878,B1116,Base!$I$2:$I$2878)</f>
        <v>954.94</v>
      </c>
      <c r="H1116" s="36" t="n">
        <f aca="false">IF($G$2849=0,0,G1116/$G$2849)</f>
        <v>6.26652888067726E-005</v>
      </c>
      <c r="I1116" s="37" t="n">
        <f aca="false">I1115+H1116</f>
        <v>0.969432432363251</v>
      </c>
      <c r="J1116" s="37" t="n">
        <f aca="false">A1116/2840</f>
        <v>0.390492957746479</v>
      </c>
      <c r="K1116" s="32" t="str">
        <f aca="false">IF(I1116&lt;=$E$4,"A",IF(I1116&lt;=$E$5,"B","C"))</f>
        <v>C</v>
      </c>
    </row>
    <row r="1117" customFormat="false" ht="15" hidden="false" customHeight="false" outlineLevel="0" collapsed="false">
      <c r="A1117" s="32" t="n">
        <v>1110</v>
      </c>
      <c r="B1117" s="33" t="n">
        <v>23684</v>
      </c>
      <c r="C1117" s="34" t="s">
        <v>2305</v>
      </c>
      <c r="D1117" s="34" t="s">
        <v>2306</v>
      </c>
      <c r="E1117" s="34" t="s">
        <v>1618</v>
      </c>
      <c r="F1117" s="32" t="n">
        <f aca="false">COUNTIF(Base!$D$2:$D$2878,B1117)</f>
        <v>1</v>
      </c>
      <c r="G1117" s="35" t="n">
        <f aca="false">SUMIF(Base!$D$2:$D$2878,B1117,Base!$I$2:$I$2878)</f>
        <v>954</v>
      </c>
      <c r="H1117" s="36" t="n">
        <f aca="false">IF($G$2849=0,0,G1117/$G$2849)</f>
        <v>6.26036039140271E-005</v>
      </c>
      <c r="I1117" s="37" t="n">
        <f aca="false">I1116+H1117</f>
        <v>0.969495035967165</v>
      </c>
      <c r="J1117" s="37" t="n">
        <f aca="false">A1117/2840</f>
        <v>0.390845070422535</v>
      </c>
      <c r="K1117" s="32" t="str">
        <f aca="false">IF(I1117&lt;=$E$4,"A",IF(I1117&lt;=$E$5,"B","C"))</f>
        <v>C</v>
      </c>
    </row>
    <row r="1118" customFormat="false" ht="15" hidden="false" customHeight="false" outlineLevel="0" collapsed="false">
      <c r="A1118" s="32" t="n">
        <v>1111</v>
      </c>
      <c r="B1118" s="33" t="n">
        <v>55300</v>
      </c>
      <c r="C1118" s="34" t="s">
        <v>2307</v>
      </c>
      <c r="D1118" s="34" t="s">
        <v>2308</v>
      </c>
      <c r="E1118" s="34" t="s">
        <v>38</v>
      </c>
      <c r="F1118" s="32" t="n">
        <f aca="false">COUNTIF(Base!$D$2:$D$2878,B1118)</f>
        <v>1</v>
      </c>
      <c r="G1118" s="35" t="n">
        <f aca="false">SUMIF(Base!$D$2:$D$2878,B1118,Base!$I$2:$I$2878)</f>
        <v>951.3</v>
      </c>
      <c r="H1118" s="36" t="n">
        <f aca="false">IF($G$2849=0,0,G1118/$G$2849)</f>
        <v>6.24264239029497E-005</v>
      </c>
      <c r="I1118" s="37" t="n">
        <f aca="false">I1117+H1118</f>
        <v>0.969557462391068</v>
      </c>
      <c r="J1118" s="37" t="n">
        <f aca="false">A1118/2840</f>
        <v>0.391197183098592</v>
      </c>
      <c r="K1118" s="32" t="str">
        <f aca="false">IF(I1118&lt;=$E$4,"A",IF(I1118&lt;=$E$5,"B","C"))</f>
        <v>C</v>
      </c>
    </row>
    <row r="1119" customFormat="false" ht="15" hidden="false" customHeight="false" outlineLevel="0" collapsed="false">
      <c r="A1119" s="32" t="n">
        <v>1112</v>
      </c>
      <c r="B1119" s="33" t="n">
        <v>1067227</v>
      </c>
      <c r="C1119" s="34" t="s">
        <v>2309</v>
      </c>
      <c r="D1119" s="34" t="s">
        <v>2310</v>
      </c>
      <c r="E1119" s="34" t="s">
        <v>247</v>
      </c>
      <c r="F1119" s="32" t="n">
        <f aca="false">COUNTIF(Base!$D$2:$D$2878,B1119)</f>
        <v>1</v>
      </c>
      <c r="G1119" s="35" t="n">
        <f aca="false">SUMIF(Base!$D$2:$D$2878,B1119,Base!$I$2:$I$2878)</f>
        <v>950.8</v>
      </c>
      <c r="H1119" s="36" t="n">
        <f aca="false">IF($G$2849=0,0,G1119/$G$2849)</f>
        <v>6.23936127897872E-005</v>
      </c>
      <c r="I1119" s="37" t="n">
        <f aca="false">I1118+H1119</f>
        <v>0.969619856003858</v>
      </c>
      <c r="J1119" s="37" t="n">
        <f aca="false">A1119/2840</f>
        <v>0.391549295774648</v>
      </c>
      <c r="K1119" s="32" t="str">
        <f aca="false">IF(I1119&lt;=$E$4,"A",IF(I1119&lt;=$E$5,"B","C"))</f>
        <v>C</v>
      </c>
    </row>
    <row r="1120" customFormat="false" ht="15" hidden="false" customHeight="false" outlineLevel="0" collapsed="false">
      <c r="A1120" s="32" t="n">
        <v>1113</v>
      </c>
      <c r="B1120" s="33" t="n">
        <v>137812</v>
      </c>
      <c r="C1120" s="34" t="s">
        <v>2311</v>
      </c>
      <c r="D1120" s="34" t="s">
        <v>2312</v>
      </c>
      <c r="E1120" s="34" t="s">
        <v>247</v>
      </c>
      <c r="F1120" s="32" t="n">
        <f aca="false">COUNTIF(Base!$D$2:$D$2878,B1120)</f>
        <v>1</v>
      </c>
      <c r="G1120" s="35" t="n">
        <f aca="false">SUMIF(Base!$D$2:$D$2878,B1120,Base!$I$2:$I$2878)</f>
        <v>950</v>
      </c>
      <c r="H1120" s="36" t="n">
        <f aca="false">IF($G$2849=0,0,G1120/$G$2849)</f>
        <v>6.23411150087272E-005</v>
      </c>
      <c r="I1120" s="37" t="n">
        <f aca="false">I1119+H1120</f>
        <v>0.969682197118866</v>
      </c>
      <c r="J1120" s="37" t="n">
        <f aca="false">A1120/2840</f>
        <v>0.391901408450704</v>
      </c>
      <c r="K1120" s="32" t="str">
        <f aca="false">IF(I1120&lt;=$E$4,"A",IF(I1120&lt;=$E$5,"B","C"))</f>
        <v>C</v>
      </c>
    </row>
    <row r="1121" customFormat="false" ht="15" hidden="false" customHeight="false" outlineLevel="0" collapsed="false">
      <c r="A1121" s="32" t="n">
        <v>1114</v>
      </c>
      <c r="B1121" s="33" t="n">
        <v>18841</v>
      </c>
      <c r="C1121" s="34" t="s">
        <v>2313</v>
      </c>
      <c r="D1121" s="34" t="s">
        <v>2314</v>
      </c>
      <c r="E1121" s="34" t="s">
        <v>247</v>
      </c>
      <c r="F1121" s="32" t="n">
        <f aca="false">COUNTIF(Base!$D$2:$D$2878,B1121)</f>
        <v>1</v>
      </c>
      <c r="G1121" s="35" t="n">
        <f aca="false">SUMIF(Base!$D$2:$D$2878,B1121,Base!$I$2:$I$2878)</f>
        <v>949.01</v>
      </c>
      <c r="H1121" s="36" t="n">
        <f aca="false">IF($G$2849=0,0,G1121/$G$2849)</f>
        <v>6.22761490046655E-005</v>
      </c>
      <c r="I1121" s="37" t="n">
        <f aca="false">I1120+H1121</f>
        <v>0.969744473267871</v>
      </c>
      <c r="J1121" s="37" t="n">
        <f aca="false">A1121/2840</f>
        <v>0.392253521126761</v>
      </c>
      <c r="K1121" s="32" t="str">
        <f aca="false">IF(I1121&lt;=$E$4,"A",IF(I1121&lt;=$E$5,"B","C"))</f>
        <v>C</v>
      </c>
    </row>
    <row r="1122" customFormat="false" ht="15" hidden="false" customHeight="false" outlineLevel="0" collapsed="false">
      <c r="A1122" s="32" t="n">
        <v>1115</v>
      </c>
      <c r="B1122" s="33" t="n">
        <v>741345</v>
      </c>
      <c r="C1122" s="34" t="s">
        <v>2315</v>
      </c>
      <c r="D1122" s="34" t="s">
        <v>2316</v>
      </c>
      <c r="E1122" s="34" t="s">
        <v>130</v>
      </c>
      <c r="F1122" s="32" t="n">
        <f aca="false">COUNTIF(Base!$D$2:$D$2878,B1122)</f>
        <v>2</v>
      </c>
      <c r="G1122" s="35" t="n">
        <f aca="false">SUMIF(Base!$D$2:$D$2878,B1122,Base!$I$2:$I$2878)</f>
        <v>947.04</v>
      </c>
      <c r="H1122" s="36" t="n">
        <f aca="false">IF($G$2849=0,0,G1122/$G$2849)</f>
        <v>6.21468732188053E-005</v>
      </c>
      <c r="I1122" s="37" t="n">
        <f aca="false">I1121+H1122</f>
        <v>0.96980662014109</v>
      </c>
      <c r="J1122" s="37" t="n">
        <f aca="false">A1122/2840</f>
        <v>0.392605633802817</v>
      </c>
      <c r="K1122" s="32" t="str">
        <f aca="false">IF(I1122&lt;=$E$4,"A",IF(I1122&lt;=$E$5,"B","C"))</f>
        <v>C</v>
      </c>
    </row>
    <row r="1123" customFormat="false" ht="15" hidden="false" customHeight="false" outlineLevel="0" collapsed="false">
      <c r="A1123" s="32" t="n">
        <v>1116</v>
      </c>
      <c r="B1123" s="33" t="n">
        <v>749915</v>
      </c>
      <c r="C1123" s="34" t="s">
        <v>2317</v>
      </c>
      <c r="D1123" s="34" t="s">
        <v>2318</v>
      </c>
      <c r="E1123" s="34" t="s">
        <v>130</v>
      </c>
      <c r="F1123" s="32" t="n">
        <f aca="false">COUNTIF(Base!$D$2:$D$2878,B1123)</f>
        <v>1</v>
      </c>
      <c r="G1123" s="35" t="n">
        <f aca="false">SUMIF(Base!$D$2:$D$2878,B1123,Base!$I$2:$I$2878)</f>
        <v>945.99</v>
      </c>
      <c r="H1123" s="36" t="n">
        <f aca="false">IF($G$2849=0,0,G1123/$G$2849)</f>
        <v>6.20779698811641E-005</v>
      </c>
      <c r="I1123" s="37" t="n">
        <f aca="false">I1122+H1123</f>
        <v>0.969868698110971</v>
      </c>
      <c r="J1123" s="37" t="n">
        <f aca="false">A1123/2840</f>
        <v>0.392957746478873</v>
      </c>
      <c r="K1123" s="32" t="str">
        <f aca="false">IF(I1123&lt;=$E$4,"A",IF(I1123&lt;=$E$5,"B","C"))</f>
        <v>C</v>
      </c>
    </row>
    <row r="1124" customFormat="false" ht="15" hidden="false" customHeight="false" outlineLevel="0" collapsed="false">
      <c r="A1124" s="32" t="n">
        <v>1117</v>
      </c>
      <c r="B1124" s="33" t="n">
        <v>225277</v>
      </c>
      <c r="C1124" s="34" t="s">
        <v>2319</v>
      </c>
      <c r="D1124" s="34" t="s">
        <v>2320</v>
      </c>
      <c r="E1124" s="34" t="s">
        <v>38</v>
      </c>
      <c r="F1124" s="32" t="n">
        <f aca="false">COUNTIF(Base!$D$2:$D$2878,B1124)</f>
        <v>1</v>
      </c>
      <c r="G1124" s="35" t="n">
        <f aca="false">SUMIF(Base!$D$2:$D$2878,B1124,Base!$I$2:$I$2878)</f>
        <v>945.66</v>
      </c>
      <c r="H1124" s="36" t="n">
        <f aca="false">IF($G$2849=0,0,G1124/$G$2849)</f>
        <v>6.20563145464768E-005</v>
      </c>
      <c r="I1124" s="37" t="n">
        <f aca="false">I1123+H1124</f>
        <v>0.969930754425517</v>
      </c>
      <c r="J1124" s="37" t="n">
        <f aca="false">A1124/2840</f>
        <v>0.39330985915493</v>
      </c>
      <c r="K1124" s="32" t="str">
        <f aca="false">IF(I1124&lt;=$E$4,"A",IF(I1124&lt;=$E$5,"B","C"))</f>
        <v>C</v>
      </c>
    </row>
    <row r="1125" customFormat="false" ht="15" hidden="false" customHeight="false" outlineLevel="0" collapsed="false">
      <c r="A1125" s="32" t="n">
        <v>1118</v>
      </c>
      <c r="B1125" s="33" t="n">
        <v>18164</v>
      </c>
      <c r="C1125" s="34" t="s">
        <v>2321</v>
      </c>
      <c r="D1125" s="34" t="s">
        <v>2322</v>
      </c>
      <c r="E1125" s="34" t="s">
        <v>130</v>
      </c>
      <c r="F1125" s="32" t="n">
        <f aca="false">COUNTIF(Base!$D$2:$D$2878,B1125)</f>
        <v>2</v>
      </c>
      <c r="G1125" s="35" t="n">
        <f aca="false">SUMIF(Base!$D$2:$D$2878,B1125,Base!$I$2:$I$2878)</f>
        <v>944</v>
      </c>
      <c r="H1125" s="36" t="n">
        <f aca="false">IF($G$2849=0,0,G1125/$G$2849)</f>
        <v>6.19473816507774E-005</v>
      </c>
      <c r="I1125" s="37" t="n">
        <f aca="false">I1124+H1125</f>
        <v>0.969992701807168</v>
      </c>
      <c r="J1125" s="37" t="n">
        <f aca="false">A1125/2840</f>
        <v>0.393661971830986</v>
      </c>
      <c r="K1125" s="32" t="str">
        <f aca="false">IF(I1125&lt;=$E$4,"A",IF(I1125&lt;=$E$5,"B","C"))</f>
        <v>C</v>
      </c>
    </row>
    <row r="1126" customFormat="false" ht="15" hidden="false" customHeight="false" outlineLevel="0" collapsed="false">
      <c r="A1126" s="32" t="n">
        <v>1119</v>
      </c>
      <c r="B1126" s="33" t="n">
        <v>1385185</v>
      </c>
      <c r="C1126" s="34" t="s">
        <v>2323</v>
      </c>
      <c r="D1126" s="34" t="s">
        <v>2324</v>
      </c>
      <c r="E1126" s="34" t="s">
        <v>38</v>
      </c>
      <c r="F1126" s="32" t="n">
        <f aca="false">COUNTIF(Base!$D$2:$D$2878,B1126)</f>
        <v>1</v>
      </c>
      <c r="G1126" s="35" t="n">
        <f aca="false">SUMIF(Base!$D$2:$D$2878,B1126,Base!$I$2:$I$2878)</f>
        <v>941.96</v>
      </c>
      <c r="H1126" s="36" t="n">
        <f aca="false">IF($G$2849=0,0,G1126/$G$2849)</f>
        <v>6.18135123090744E-005</v>
      </c>
      <c r="I1126" s="37" t="n">
        <f aca="false">I1125+H1126</f>
        <v>0.970054515319477</v>
      </c>
      <c r="J1126" s="37" t="n">
        <f aca="false">A1126/2840</f>
        <v>0.394014084507042</v>
      </c>
      <c r="K1126" s="32" t="str">
        <f aca="false">IF(I1126&lt;=$E$4,"A",IF(I1126&lt;=$E$5,"B","C"))</f>
        <v>C</v>
      </c>
    </row>
    <row r="1127" customFormat="false" ht="15" hidden="false" customHeight="false" outlineLevel="0" collapsed="false">
      <c r="A1127" s="32" t="n">
        <v>1120</v>
      </c>
      <c r="B1127" s="33" t="n">
        <v>1013784</v>
      </c>
      <c r="C1127" s="34" t="s">
        <v>2325</v>
      </c>
      <c r="D1127" s="34" t="s">
        <v>2326</v>
      </c>
      <c r="E1127" s="34" t="s">
        <v>38</v>
      </c>
      <c r="F1127" s="32" t="n">
        <f aca="false">COUNTIF(Base!$D$2:$D$2878,B1127)</f>
        <v>1</v>
      </c>
      <c r="G1127" s="35" t="n">
        <f aca="false">SUMIF(Base!$D$2:$D$2878,B1127,Base!$I$2:$I$2878)</f>
        <v>939.84</v>
      </c>
      <c r="H1127" s="36" t="n">
        <f aca="false">IF($G$2849=0,0,G1127/$G$2849)</f>
        <v>6.16743931892655E-005</v>
      </c>
      <c r="I1127" s="37" t="n">
        <f aca="false">I1126+H1127</f>
        <v>0.970116189712666</v>
      </c>
      <c r="J1127" s="37" t="n">
        <f aca="false">A1127/2840</f>
        <v>0.394366197183099</v>
      </c>
      <c r="K1127" s="32" t="str">
        <f aca="false">IF(I1127&lt;=$E$4,"A",IF(I1127&lt;=$E$5,"B","C"))</f>
        <v>C</v>
      </c>
    </row>
    <row r="1128" customFormat="false" ht="15" hidden="false" customHeight="false" outlineLevel="0" collapsed="false">
      <c r="A1128" s="32" t="n">
        <v>1121</v>
      </c>
      <c r="B1128" s="33" t="n">
        <v>24101</v>
      </c>
      <c r="C1128" s="34" t="s">
        <v>2327</v>
      </c>
      <c r="D1128" s="34" t="s">
        <v>2328</v>
      </c>
      <c r="E1128" s="34" t="s">
        <v>457</v>
      </c>
      <c r="F1128" s="32" t="n">
        <f aca="false">COUNTIF(Base!$D$2:$D$2878,B1128)</f>
        <v>1</v>
      </c>
      <c r="G1128" s="35" t="n">
        <f aca="false">SUMIF(Base!$D$2:$D$2878,B1128,Base!$I$2:$I$2878)</f>
        <v>938.863</v>
      </c>
      <c r="H1128" s="36" t="n">
        <f aca="false">IF($G$2849=0,0,G1128/$G$2849)</f>
        <v>6.1610280274146E-005</v>
      </c>
      <c r="I1128" s="37" t="n">
        <f aca="false">I1127+H1128</f>
        <v>0.970177799992941</v>
      </c>
      <c r="J1128" s="37" t="n">
        <f aca="false">A1128/2840</f>
        <v>0.394718309859155</v>
      </c>
      <c r="K1128" s="32" t="str">
        <f aca="false">IF(I1128&lt;=$E$4,"A",IF(I1128&lt;=$E$5,"B","C"))</f>
        <v>C</v>
      </c>
    </row>
    <row r="1129" customFormat="false" ht="15" hidden="false" customHeight="false" outlineLevel="0" collapsed="false">
      <c r="A1129" s="32" t="n">
        <v>1122</v>
      </c>
      <c r="B1129" s="33" t="n">
        <v>884887</v>
      </c>
      <c r="C1129" s="34" t="s">
        <v>2329</v>
      </c>
      <c r="D1129" s="34" t="s">
        <v>2330</v>
      </c>
      <c r="E1129" s="34" t="s">
        <v>247</v>
      </c>
      <c r="F1129" s="32" t="n">
        <f aca="false">COUNTIF(Base!$D$2:$D$2878,B1129)</f>
        <v>1</v>
      </c>
      <c r="G1129" s="35" t="n">
        <f aca="false">SUMIF(Base!$D$2:$D$2878,B1129,Base!$I$2:$I$2878)</f>
        <v>937.7</v>
      </c>
      <c r="H1129" s="36" t="n">
        <f aca="false">IF($G$2849=0,0,G1129/$G$2849)</f>
        <v>6.153396162493E-005</v>
      </c>
      <c r="I1129" s="37" t="n">
        <f aca="false">I1128+H1129</f>
        <v>0.970239333954566</v>
      </c>
      <c r="J1129" s="37" t="n">
        <f aca="false">A1129/2840</f>
        <v>0.395070422535211</v>
      </c>
      <c r="K1129" s="32" t="str">
        <f aca="false">IF(I1129&lt;=$E$4,"A",IF(I1129&lt;=$E$5,"B","C"))</f>
        <v>C</v>
      </c>
    </row>
    <row r="1130" customFormat="false" ht="15" hidden="false" customHeight="false" outlineLevel="0" collapsed="false">
      <c r="A1130" s="32" t="n">
        <v>1123</v>
      </c>
      <c r="B1130" s="33" t="n">
        <v>56536</v>
      </c>
      <c r="C1130" s="34" t="s">
        <v>2331</v>
      </c>
      <c r="D1130" s="34" t="s">
        <v>2332</v>
      </c>
      <c r="E1130" s="34" t="s">
        <v>705</v>
      </c>
      <c r="F1130" s="32" t="n">
        <f aca="false">COUNTIF(Base!$D$2:$D$2878,B1130)</f>
        <v>1</v>
      </c>
      <c r="G1130" s="35" t="n">
        <f aca="false">SUMIF(Base!$D$2:$D$2878,B1130,Base!$I$2:$I$2878)</f>
        <v>936</v>
      </c>
      <c r="H1130" s="36" t="n">
        <f aca="false">IF($G$2849=0,0,G1130/$G$2849)</f>
        <v>6.14224038401776E-005</v>
      </c>
      <c r="I1130" s="37" t="n">
        <f aca="false">I1129+H1130</f>
        <v>0.970300756358406</v>
      </c>
      <c r="J1130" s="37" t="n">
        <f aca="false">A1130/2840</f>
        <v>0.395422535211268</v>
      </c>
      <c r="K1130" s="32" t="str">
        <f aca="false">IF(I1130&lt;=$E$4,"A",IF(I1130&lt;=$E$5,"B","C"))</f>
        <v>C</v>
      </c>
    </row>
    <row r="1131" customFormat="false" ht="15" hidden="false" customHeight="false" outlineLevel="0" collapsed="false">
      <c r="A1131" s="32" t="n">
        <v>1124</v>
      </c>
      <c r="B1131" s="33" t="n">
        <v>65207</v>
      </c>
      <c r="C1131" s="34" t="s">
        <v>2333</v>
      </c>
      <c r="D1131" s="34" t="s">
        <v>2334</v>
      </c>
      <c r="E1131" s="34" t="s">
        <v>247</v>
      </c>
      <c r="F1131" s="32" t="n">
        <f aca="false">COUNTIF(Base!$D$2:$D$2878,B1131)</f>
        <v>1</v>
      </c>
      <c r="G1131" s="35" t="n">
        <f aca="false">SUMIF(Base!$D$2:$D$2878,B1131,Base!$I$2:$I$2878)</f>
        <v>936</v>
      </c>
      <c r="H1131" s="36" t="n">
        <f aca="false">IF($G$2849=0,0,G1131/$G$2849)</f>
        <v>6.14224038401776E-005</v>
      </c>
      <c r="I1131" s="37" t="n">
        <f aca="false">I1130+H1131</f>
        <v>0.970362178762246</v>
      </c>
      <c r="J1131" s="37" t="n">
        <f aca="false">A1131/2840</f>
        <v>0.395774647887324</v>
      </c>
      <c r="K1131" s="32" t="str">
        <f aca="false">IF(I1131&lt;=$E$4,"A",IF(I1131&lt;=$E$5,"B","C"))</f>
        <v>C</v>
      </c>
    </row>
    <row r="1132" customFormat="false" ht="15" hidden="false" customHeight="false" outlineLevel="0" collapsed="false">
      <c r="A1132" s="32" t="n">
        <v>1125</v>
      </c>
      <c r="B1132" s="33" t="n">
        <v>136667</v>
      </c>
      <c r="C1132" s="34" t="s">
        <v>2335</v>
      </c>
      <c r="D1132" s="34" t="s">
        <v>2336</v>
      </c>
      <c r="E1132" s="34" t="s">
        <v>247</v>
      </c>
      <c r="F1132" s="32" t="n">
        <f aca="false">COUNTIF(Base!$D$2:$D$2878,B1132)</f>
        <v>1</v>
      </c>
      <c r="G1132" s="35" t="n">
        <f aca="false">SUMIF(Base!$D$2:$D$2878,B1132,Base!$I$2:$I$2878)</f>
        <v>936</v>
      </c>
      <c r="H1132" s="36" t="n">
        <f aca="false">IF($G$2849=0,0,G1132/$G$2849)</f>
        <v>6.14224038401776E-005</v>
      </c>
      <c r="I1132" s="37" t="n">
        <f aca="false">I1131+H1132</f>
        <v>0.970423601166086</v>
      </c>
      <c r="J1132" s="37" t="n">
        <f aca="false">A1132/2840</f>
        <v>0.39612676056338</v>
      </c>
      <c r="K1132" s="32" t="str">
        <f aca="false">IF(I1132&lt;=$E$4,"A",IF(I1132&lt;=$E$5,"B","C"))</f>
        <v>C</v>
      </c>
    </row>
    <row r="1133" customFormat="false" ht="15" hidden="false" customHeight="false" outlineLevel="0" collapsed="false">
      <c r="A1133" s="32" t="n">
        <v>1126</v>
      </c>
      <c r="B1133" s="33" t="n">
        <v>839824</v>
      </c>
      <c r="C1133" s="34" t="s">
        <v>2337</v>
      </c>
      <c r="D1133" s="34" t="s">
        <v>2338</v>
      </c>
      <c r="E1133" s="34" t="s">
        <v>38</v>
      </c>
      <c r="F1133" s="32" t="n">
        <f aca="false">COUNTIF(Base!$D$2:$D$2878,B1133)</f>
        <v>1</v>
      </c>
      <c r="G1133" s="35" t="n">
        <f aca="false">SUMIF(Base!$D$2:$D$2878,B1133,Base!$I$2:$I$2878)</f>
        <v>929.5</v>
      </c>
      <c r="H1133" s="36" t="n">
        <f aca="false">IF($G$2849=0,0,G1133/$G$2849)</f>
        <v>6.09958593690652E-005</v>
      </c>
      <c r="I1133" s="37" t="n">
        <f aca="false">I1132+H1133</f>
        <v>0.970484597025455</v>
      </c>
      <c r="J1133" s="37" t="n">
        <f aca="false">A1133/2840</f>
        <v>0.396478873239437</v>
      </c>
      <c r="K1133" s="32" t="str">
        <f aca="false">IF(I1133&lt;=$E$4,"A",IF(I1133&lt;=$E$5,"B","C"))</f>
        <v>C</v>
      </c>
    </row>
    <row r="1134" customFormat="false" ht="15" hidden="false" customHeight="false" outlineLevel="0" collapsed="false">
      <c r="A1134" s="32" t="n">
        <v>1127</v>
      </c>
      <c r="B1134" s="33" t="n">
        <v>18134</v>
      </c>
      <c r="C1134" s="34" t="s">
        <v>2339</v>
      </c>
      <c r="D1134" s="34" t="s">
        <v>2340</v>
      </c>
      <c r="E1134" s="34" t="s">
        <v>130</v>
      </c>
      <c r="F1134" s="32" t="n">
        <f aca="false">COUNTIF(Base!$D$2:$D$2878,B1134)</f>
        <v>1</v>
      </c>
      <c r="G1134" s="35" t="n">
        <f aca="false">SUMIF(Base!$D$2:$D$2878,B1134,Base!$I$2:$I$2878)</f>
        <v>924</v>
      </c>
      <c r="H1134" s="36" t="n">
        <f aca="false">IF($G$2849=0,0,G1134/$G$2849)</f>
        <v>6.06349371242778E-005</v>
      </c>
      <c r="I1134" s="37" t="n">
        <f aca="false">I1133+H1134</f>
        <v>0.97054523196258</v>
      </c>
      <c r="J1134" s="37" t="n">
        <f aca="false">A1134/2840</f>
        <v>0.396830985915493</v>
      </c>
      <c r="K1134" s="32" t="str">
        <f aca="false">IF(I1134&lt;=$E$4,"A",IF(I1134&lt;=$E$5,"B","C"))</f>
        <v>C</v>
      </c>
    </row>
    <row r="1135" customFormat="false" ht="15" hidden="false" customHeight="false" outlineLevel="0" collapsed="false">
      <c r="A1135" s="32" t="n">
        <v>1128</v>
      </c>
      <c r="B1135" s="33" t="n">
        <v>1327961</v>
      </c>
      <c r="C1135" s="34" t="s">
        <v>2341</v>
      </c>
      <c r="D1135" s="34" t="s">
        <v>2342</v>
      </c>
      <c r="E1135" s="34" t="s">
        <v>54</v>
      </c>
      <c r="F1135" s="32" t="n">
        <f aca="false">COUNTIF(Base!$D$2:$D$2878,B1135)</f>
        <v>1</v>
      </c>
      <c r="G1135" s="35" t="n">
        <f aca="false">SUMIF(Base!$D$2:$D$2878,B1135,Base!$I$2:$I$2878)</f>
        <v>922.24</v>
      </c>
      <c r="H1135" s="36" t="n">
        <f aca="false">IF($G$2849=0,0,G1135/$G$2849)</f>
        <v>6.05194420059459E-005</v>
      </c>
      <c r="I1135" s="37" t="n">
        <f aca="false">I1134+H1135</f>
        <v>0.970605751404585</v>
      </c>
      <c r="J1135" s="37" t="n">
        <f aca="false">A1135/2840</f>
        <v>0.397183098591549</v>
      </c>
      <c r="K1135" s="32" t="str">
        <f aca="false">IF(I1135&lt;=$E$4,"A",IF(I1135&lt;=$E$5,"B","C"))</f>
        <v>C</v>
      </c>
    </row>
    <row r="1136" customFormat="false" ht="15" hidden="false" customHeight="false" outlineLevel="0" collapsed="false">
      <c r="A1136" s="32" t="n">
        <v>1129</v>
      </c>
      <c r="B1136" s="33" t="n">
        <v>1385179</v>
      </c>
      <c r="C1136" s="34" t="s">
        <v>2343</v>
      </c>
      <c r="D1136" s="34" t="s">
        <v>2344</v>
      </c>
      <c r="E1136" s="34" t="s">
        <v>38</v>
      </c>
      <c r="F1136" s="32" t="n">
        <f aca="false">COUNTIF(Base!$D$2:$D$2878,B1136)</f>
        <v>1</v>
      </c>
      <c r="G1136" s="35" t="n">
        <f aca="false">SUMIF(Base!$D$2:$D$2878,B1136,Base!$I$2:$I$2878)</f>
        <v>911.8</v>
      </c>
      <c r="H1136" s="36" t="n">
        <f aca="false">IF($G$2849=0,0,G1136/$G$2849)</f>
        <v>5.98343459631131E-005</v>
      </c>
      <c r="I1136" s="37" t="n">
        <f aca="false">I1135+H1136</f>
        <v>0.970665585750549</v>
      </c>
      <c r="J1136" s="37" t="n">
        <f aca="false">A1136/2840</f>
        <v>0.397535211267606</v>
      </c>
      <c r="K1136" s="32" t="str">
        <f aca="false">IF(I1136&lt;=$E$4,"A",IF(I1136&lt;=$E$5,"B","C"))</f>
        <v>C</v>
      </c>
    </row>
    <row r="1137" customFormat="false" ht="15" hidden="false" customHeight="false" outlineLevel="0" collapsed="false">
      <c r="A1137" s="32" t="n">
        <v>1130</v>
      </c>
      <c r="B1137" s="33" t="n">
        <v>1380122</v>
      </c>
      <c r="C1137" s="34" t="s">
        <v>2345</v>
      </c>
      <c r="D1137" s="34" t="s">
        <v>2346</v>
      </c>
      <c r="E1137" s="34" t="s">
        <v>38</v>
      </c>
      <c r="F1137" s="32" t="n">
        <f aca="false">COUNTIF(Base!$D$2:$D$2878,B1137)</f>
        <v>1</v>
      </c>
      <c r="G1137" s="35" t="n">
        <f aca="false">SUMIF(Base!$D$2:$D$2878,B1137,Base!$I$2:$I$2878)</f>
        <v>908.44</v>
      </c>
      <c r="H1137" s="36" t="n">
        <f aca="false">IF($G$2849=0,0,G1137/$G$2849)</f>
        <v>5.96138552826612E-005</v>
      </c>
      <c r="I1137" s="37" t="n">
        <f aca="false">I1136+H1137</f>
        <v>0.970725199605831</v>
      </c>
      <c r="J1137" s="37" t="n">
        <f aca="false">A1137/2840</f>
        <v>0.397887323943662</v>
      </c>
      <c r="K1137" s="32" t="str">
        <f aca="false">IF(I1137&lt;=$E$4,"A",IF(I1137&lt;=$E$5,"B","C"))</f>
        <v>C</v>
      </c>
    </row>
    <row r="1138" customFormat="false" ht="15" hidden="false" customHeight="false" outlineLevel="0" collapsed="false">
      <c r="A1138" s="32" t="n">
        <v>1131</v>
      </c>
      <c r="B1138" s="33" t="n">
        <v>1319427</v>
      </c>
      <c r="C1138" s="34" t="s">
        <v>2347</v>
      </c>
      <c r="D1138" s="34" t="s">
        <v>2348</v>
      </c>
      <c r="E1138" s="34" t="s">
        <v>217</v>
      </c>
      <c r="F1138" s="32" t="n">
        <f aca="false">COUNTIF(Base!$D$2:$D$2878,B1138)</f>
        <v>1</v>
      </c>
      <c r="G1138" s="35" t="n">
        <f aca="false">SUMIF(Base!$D$2:$D$2878,B1138,Base!$I$2:$I$2878)</f>
        <v>907.36</v>
      </c>
      <c r="H1138" s="36" t="n">
        <f aca="false">IF($G$2849=0,0,G1138/$G$2849)</f>
        <v>5.95429832782302E-005</v>
      </c>
      <c r="I1138" s="37" t="n">
        <f aca="false">I1137+H1138</f>
        <v>0.970784742589109</v>
      </c>
      <c r="J1138" s="37" t="n">
        <f aca="false">A1138/2840</f>
        <v>0.398239436619718</v>
      </c>
      <c r="K1138" s="32" t="str">
        <f aca="false">IF(I1138&lt;=$E$4,"A",IF(I1138&lt;=$E$5,"B","C"))</f>
        <v>C</v>
      </c>
    </row>
    <row r="1139" customFormat="false" ht="15" hidden="false" customHeight="false" outlineLevel="0" collapsed="false">
      <c r="A1139" s="32" t="n">
        <v>1132</v>
      </c>
      <c r="B1139" s="33" t="n">
        <v>18845</v>
      </c>
      <c r="C1139" s="34" t="s">
        <v>2349</v>
      </c>
      <c r="D1139" s="34" t="s">
        <v>2350</v>
      </c>
      <c r="E1139" s="34" t="s">
        <v>247</v>
      </c>
      <c r="F1139" s="32" t="n">
        <f aca="false">COUNTIF(Base!$D$2:$D$2878,B1139)</f>
        <v>1</v>
      </c>
      <c r="G1139" s="35" t="n">
        <f aca="false">SUMIF(Base!$D$2:$D$2878,B1139,Base!$I$2:$I$2878)</f>
        <v>906.49</v>
      </c>
      <c r="H1139" s="36" t="n">
        <f aca="false">IF($G$2849=0,0,G1139/$G$2849)</f>
        <v>5.94858919413275E-005</v>
      </c>
      <c r="I1139" s="37" t="n">
        <f aca="false">I1138+H1139</f>
        <v>0.970844228481051</v>
      </c>
      <c r="J1139" s="37" t="n">
        <f aca="false">A1139/2840</f>
        <v>0.398591549295775</v>
      </c>
      <c r="K1139" s="32" t="str">
        <f aca="false">IF(I1139&lt;=$E$4,"A",IF(I1139&lt;=$E$5,"B","C"))</f>
        <v>C</v>
      </c>
    </row>
    <row r="1140" customFormat="false" ht="15" hidden="false" customHeight="false" outlineLevel="0" collapsed="false">
      <c r="A1140" s="32" t="n">
        <v>1133</v>
      </c>
      <c r="B1140" s="33" t="n">
        <v>559856</v>
      </c>
      <c r="C1140" s="34" t="s">
        <v>2351</v>
      </c>
      <c r="D1140" s="34" t="s">
        <v>2352</v>
      </c>
      <c r="E1140" s="34" t="s">
        <v>133</v>
      </c>
      <c r="F1140" s="32" t="n">
        <f aca="false">COUNTIF(Base!$D$2:$D$2878,B1140)</f>
        <v>1</v>
      </c>
      <c r="G1140" s="35" t="n">
        <f aca="false">SUMIF(Base!$D$2:$D$2878,B1140,Base!$I$2:$I$2878)</f>
        <v>902.12</v>
      </c>
      <c r="H1140" s="36" t="n">
        <f aca="false">IF($G$2849=0,0,G1140/$G$2849)</f>
        <v>5.91991228122874E-005</v>
      </c>
      <c r="I1140" s="37" t="n">
        <f aca="false">I1139+H1140</f>
        <v>0.970903427603863</v>
      </c>
      <c r="J1140" s="37" t="n">
        <f aca="false">A1140/2840</f>
        <v>0.398943661971831</v>
      </c>
      <c r="K1140" s="32" t="str">
        <f aca="false">IF(I1140&lt;=$E$4,"A",IF(I1140&lt;=$E$5,"B","C"))</f>
        <v>C</v>
      </c>
    </row>
    <row r="1141" customFormat="false" ht="15" hidden="false" customHeight="false" outlineLevel="0" collapsed="false">
      <c r="A1141" s="32" t="n">
        <v>1134</v>
      </c>
      <c r="B1141" s="33" t="n">
        <v>1094512</v>
      </c>
      <c r="C1141" s="34" t="s">
        <v>2353</v>
      </c>
      <c r="D1141" s="34" t="s">
        <v>2354</v>
      </c>
      <c r="E1141" s="34" t="s">
        <v>334</v>
      </c>
      <c r="F1141" s="32" t="n">
        <f aca="false">COUNTIF(Base!$D$2:$D$2878,B1141)</f>
        <v>1</v>
      </c>
      <c r="G1141" s="35" t="n">
        <f aca="false">SUMIF(Base!$D$2:$D$2878,B1141,Base!$I$2:$I$2878)</f>
        <v>900</v>
      </c>
      <c r="H1141" s="36" t="n">
        <f aca="false">IF($G$2849=0,0,G1141/$G$2849)</f>
        <v>5.90600036924784E-005</v>
      </c>
      <c r="I1141" s="37" t="n">
        <f aca="false">I1140+H1141</f>
        <v>0.970962487607556</v>
      </c>
      <c r="J1141" s="37" t="n">
        <f aca="false">A1141/2840</f>
        <v>0.399295774647887</v>
      </c>
      <c r="K1141" s="32" t="str">
        <f aca="false">IF(I1141&lt;=$E$4,"A",IF(I1141&lt;=$E$5,"B","C"))</f>
        <v>C</v>
      </c>
    </row>
    <row r="1142" customFormat="false" ht="15" hidden="false" customHeight="false" outlineLevel="0" collapsed="false">
      <c r="A1142" s="32" t="n">
        <v>1135</v>
      </c>
      <c r="B1142" s="33" t="n">
        <v>34016</v>
      </c>
      <c r="C1142" s="34" t="s">
        <v>2355</v>
      </c>
      <c r="D1142" s="34" t="s">
        <v>2356</v>
      </c>
      <c r="E1142" s="34" t="s">
        <v>705</v>
      </c>
      <c r="F1142" s="32" t="n">
        <f aca="false">COUNTIF(Base!$D$2:$D$2878,B1142)</f>
        <v>1</v>
      </c>
      <c r="G1142" s="35" t="n">
        <f aca="false">SUMIF(Base!$D$2:$D$2878,B1142,Base!$I$2:$I$2878)</f>
        <v>898</v>
      </c>
      <c r="H1142" s="36" t="n">
        <f aca="false">IF($G$2849=0,0,G1142/$G$2849)</f>
        <v>5.89287592398285E-005</v>
      </c>
      <c r="I1142" s="37" t="n">
        <f aca="false">I1141+H1142</f>
        <v>0.971021416366795</v>
      </c>
      <c r="J1142" s="37" t="n">
        <f aca="false">A1142/2840</f>
        <v>0.399647887323944</v>
      </c>
      <c r="K1142" s="32" t="str">
        <f aca="false">IF(I1142&lt;=$E$4,"A",IF(I1142&lt;=$E$5,"B","C"))</f>
        <v>C</v>
      </c>
    </row>
    <row r="1143" customFormat="false" ht="15" hidden="false" customHeight="false" outlineLevel="0" collapsed="false">
      <c r="A1143" s="32" t="n">
        <v>1136</v>
      </c>
      <c r="B1143" s="33" t="n">
        <v>1387994</v>
      </c>
      <c r="C1143" s="34" t="s">
        <v>2357</v>
      </c>
      <c r="D1143" s="34" t="s">
        <v>2358</v>
      </c>
      <c r="E1143" s="34" t="s">
        <v>38</v>
      </c>
      <c r="F1143" s="32" t="n">
        <f aca="false">COUNTIF(Base!$D$2:$D$2878,B1143)</f>
        <v>1</v>
      </c>
      <c r="G1143" s="35" t="n">
        <f aca="false">SUMIF(Base!$D$2:$D$2878,B1143,Base!$I$2:$I$2878)</f>
        <v>896.28</v>
      </c>
      <c r="H1143" s="36" t="n">
        <f aca="false">IF($G$2849=0,0,G1143/$G$2849)</f>
        <v>5.88158890105495E-005</v>
      </c>
      <c r="I1143" s="37" t="n">
        <f aca="false">I1142+H1143</f>
        <v>0.971080232255806</v>
      </c>
      <c r="J1143" s="37" t="n">
        <f aca="false">A1143/2840</f>
        <v>0.4</v>
      </c>
      <c r="K1143" s="32" t="str">
        <f aca="false">IF(I1143&lt;=$E$4,"A",IF(I1143&lt;=$E$5,"B","C"))</f>
        <v>C</v>
      </c>
    </row>
    <row r="1144" customFormat="false" ht="15" hidden="false" customHeight="false" outlineLevel="0" collapsed="false">
      <c r="A1144" s="32" t="n">
        <v>1137</v>
      </c>
      <c r="B1144" s="33" t="n">
        <v>225235</v>
      </c>
      <c r="C1144" s="34" t="s">
        <v>2359</v>
      </c>
      <c r="D1144" s="34" t="s">
        <v>2360</v>
      </c>
      <c r="E1144" s="34" t="s">
        <v>38</v>
      </c>
      <c r="F1144" s="32" t="n">
        <f aca="false">COUNTIF(Base!$D$2:$D$2878,B1144)</f>
        <v>1</v>
      </c>
      <c r="G1144" s="35" t="n">
        <f aca="false">SUMIF(Base!$D$2:$D$2878,B1144,Base!$I$2:$I$2878)</f>
        <v>895.16</v>
      </c>
      <c r="H1144" s="36" t="n">
        <f aca="false">IF($G$2849=0,0,G1144/$G$2849)</f>
        <v>5.87423921170655E-005</v>
      </c>
      <c r="I1144" s="37" t="n">
        <f aca="false">I1143+H1144</f>
        <v>0.971138974647923</v>
      </c>
      <c r="J1144" s="37" t="n">
        <f aca="false">A1144/2840</f>
        <v>0.400352112676056</v>
      </c>
      <c r="K1144" s="32" t="str">
        <f aca="false">IF(I1144&lt;=$E$4,"A",IF(I1144&lt;=$E$5,"B","C"))</f>
        <v>C</v>
      </c>
    </row>
    <row r="1145" customFormat="false" ht="15" hidden="false" customHeight="false" outlineLevel="0" collapsed="false">
      <c r="A1145" s="32" t="n">
        <v>1138</v>
      </c>
      <c r="B1145" s="33" t="n">
        <v>278511</v>
      </c>
      <c r="C1145" s="34" t="s">
        <v>2361</v>
      </c>
      <c r="D1145" s="34" t="s">
        <v>2362</v>
      </c>
      <c r="E1145" s="34" t="s">
        <v>38</v>
      </c>
      <c r="F1145" s="32" t="n">
        <f aca="false">COUNTIF(Base!$D$2:$D$2878,B1145)</f>
        <v>1</v>
      </c>
      <c r="G1145" s="35" t="n">
        <f aca="false">SUMIF(Base!$D$2:$D$2878,B1145,Base!$I$2:$I$2878)</f>
        <v>895.16</v>
      </c>
      <c r="H1145" s="36" t="n">
        <f aca="false">IF($G$2849=0,0,G1145/$G$2849)</f>
        <v>5.87423921170655E-005</v>
      </c>
      <c r="I1145" s="37" t="n">
        <f aca="false">I1144+H1145</f>
        <v>0.97119771704004</v>
      </c>
      <c r="J1145" s="37" t="n">
        <f aca="false">A1145/2840</f>
        <v>0.400704225352113</v>
      </c>
      <c r="K1145" s="32" t="str">
        <f aca="false">IF(I1145&lt;=$E$4,"A",IF(I1145&lt;=$E$5,"B","C"))</f>
        <v>C</v>
      </c>
    </row>
    <row r="1146" customFormat="false" ht="15" hidden="false" customHeight="false" outlineLevel="0" collapsed="false">
      <c r="A1146" s="32" t="n">
        <v>1139</v>
      </c>
      <c r="B1146" s="33" t="n">
        <v>1385085</v>
      </c>
      <c r="C1146" s="34" t="s">
        <v>2363</v>
      </c>
      <c r="D1146" s="34" t="s">
        <v>2364</v>
      </c>
      <c r="E1146" s="34" t="s">
        <v>38</v>
      </c>
      <c r="F1146" s="32" t="n">
        <f aca="false">COUNTIF(Base!$D$2:$D$2878,B1146)</f>
        <v>1</v>
      </c>
      <c r="G1146" s="35" t="n">
        <f aca="false">SUMIF(Base!$D$2:$D$2878,B1146,Base!$I$2:$I$2878)</f>
        <v>894</v>
      </c>
      <c r="H1146" s="36" t="n">
        <f aca="false">IF($G$2849=0,0,G1146/$G$2849)</f>
        <v>5.86662703345286E-005</v>
      </c>
      <c r="I1146" s="37" t="n">
        <f aca="false">I1145+H1146</f>
        <v>0.971256383310375</v>
      </c>
      <c r="J1146" s="37" t="n">
        <f aca="false">A1146/2840</f>
        <v>0.401056338028169</v>
      </c>
      <c r="K1146" s="32" t="str">
        <f aca="false">IF(I1146&lt;=$E$4,"A",IF(I1146&lt;=$E$5,"B","C"))</f>
        <v>C</v>
      </c>
    </row>
    <row r="1147" customFormat="false" ht="15" hidden="false" customHeight="false" outlineLevel="0" collapsed="false">
      <c r="A1147" s="32" t="n">
        <v>1140</v>
      </c>
      <c r="B1147" s="33" t="n">
        <v>1607587</v>
      </c>
      <c r="C1147" s="34" t="s">
        <v>2365</v>
      </c>
      <c r="D1147" s="34" t="s">
        <v>2366</v>
      </c>
      <c r="E1147" s="34" t="s">
        <v>38</v>
      </c>
      <c r="F1147" s="32" t="n">
        <f aca="false">COUNTIF(Base!$D$2:$D$2878,B1147)</f>
        <v>1</v>
      </c>
      <c r="G1147" s="35" t="n">
        <f aca="false">SUMIF(Base!$D$2:$D$2878,B1147,Base!$I$2:$I$2878)</f>
        <v>890</v>
      </c>
      <c r="H1147" s="36" t="n">
        <f aca="false">IF($G$2849=0,0,G1147/$G$2849)</f>
        <v>5.84037814292287E-005</v>
      </c>
      <c r="I1147" s="37" t="n">
        <f aca="false">I1146+H1147</f>
        <v>0.971314787091804</v>
      </c>
      <c r="J1147" s="37" t="n">
        <f aca="false">A1147/2840</f>
        <v>0.401408450704225</v>
      </c>
      <c r="K1147" s="32" t="str">
        <f aca="false">IF(I1147&lt;=$E$4,"A",IF(I1147&lt;=$E$5,"B","C"))</f>
        <v>C</v>
      </c>
    </row>
    <row r="1148" customFormat="false" ht="15" hidden="false" customHeight="false" outlineLevel="0" collapsed="false">
      <c r="A1148" s="32" t="n">
        <v>1141</v>
      </c>
      <c r="B1148" s="33" t="n">
        <v>1602266</v>
      </c>
      <c r="C1148" s="34" t="s">
        <v>2367</v>
      </c>
      <c r="D1148" s="34" t="s">
        <v>2368</v>
      </c>
      <c r="E1148" s="34" t="s">
        <v>38</v>
      </c>
      <c r="F1148" s="32" t="n">
        <f aca="false">COUNTIF(Base!$D$2:$D$2878,B1148)</f>
        <v>1</v>
      </c>
      <c r="G1148" s="35" t="n">
        <f aca="false">SUMIF(Base!$D$2:$D$2878,B1148,Base!$I$2:$I$2878)</f>
        <v>884.07</v>
      </c>
      <c r="H1148" s="36" t="n">
        <f aca="false">IF($G$2849=0,0,G1148/$G$2849)</f>
        <v>5.80146416271216E-005</v>
      </c>
      <c r="I1148" s="37" t="n">
        <f aca="false">I1147+H1148</f>
        <v>0.971372801733431</v>
      </c>
      <c r="J1148" s="37" t="n">
        <f aca="false">A1148/2840</f>
        <v>0.401760563380282</v>
      </c>
      <c r="K1148" s="32" t="str">
        <f aca="false">IF(I1148&lt;=$E$4,"A",IF(I1148&lt;=$E$5,"B","C"))</f>
        <v>C</v>
      </c>
    </row>
    <row r="1149" customFormat="false" ht="15" hidden="false" customHeight="false" outlineLevel="0" collapsed="false">
      <c r="A1149" s="32" t="n">
        <v>1142</v>
      </c>
      <c r="B1149" s="33" t="n">
        <v>19361</v>
      </c>
      <c r="C1149" s="34" t="s">
        <v>2369</v>
      </c>
      <c r="D1149" s="34" t="s">
        <v>2370</v>
      </c>
      <c r="E1149" s="34" t="s">
        <v>1095</v>
      </c>
      <c r="F1149" s="32" t="n">
        <f aca="false">COUNTIF(Base!$D$2:$D$2878,B1149)</f>
        <v>1</v>
      </c>
      <c r="G1149" s="35" t="n">
        <f aca="false">SUMIF(Base!$D$2:$D$2878,B1149,Base!$I$2:$I$2878)</f>
        <v>882</v>
      </c>
      <c r="H1149" s="36" t="n">
        <f aca="false">IF($G$2849=0,0,G1149/$G$2849)</f>
        <v>5.78788036186288E-005</v>
      </c>
      <c r="I1149" s="37" t="n">
        <f aca="false">I1148+H1149</f>
        <v>0.97143068053705</v>
      </c>
      <c r="J1149" s="37" t="n">
        <f aca="false">A1149/2840</f>
        <v>0.402112676056338</v>
      </c>
      <c r="K1149" s="32" t="str">
        <f aca="false">IF(I1149&lt;=$E$4,"A",IF(I1149&lt;=$E$5,"B","C"))</f>
        <v>C</v>
      </c>
    </row>
    <row r="1150" customFormat="false" ht="15" hidden="false" customHeight="false" outlineLevel="0" collapsed="false">
      <c r="A1150" s="32" t="n">
        <v>1143</v>
      </c>
      <c r="B1150" s="33" t="n">
        <v>881614</v>
      </c>
      <c r="C1150" s="34" t="s">
        <v>2371</v>
      </c>
      <c r="D1150" s="34" t="s">
        <v>2372</v>
      </c>
      <c r="E1150" s="34" t="s">
        <v>189</v>
      </c>
      <c r="F1150" s="32" t="n">
        <f aca="false">COUNTIF(Base!$D$2:$D$2878,B1150)</f>
        <v>1</v>
      </c>
      <c r="G1150" s="35" t="n">
        <f aca="false">SUMIF(Base!$D$2:$D$2878,B1150,Base!$I$2:$I$2878)</f>
        <v>880</v>
      </c>
      <c r="H1150" s="36" t="n">
        <f aca="false">IF($G$2849=0,0,G1150/$G$2849)</f>
        <v>5.77475591659789E-005</v>
      </c>
      <c r="I1150" s="37" t="n">
        <f aca="false">I1149+H1150</f>
        <v>0.971488428096216</v>
      </c>
      <c r="J1150" s="37" t="n">
        <f aca="false">A1150/2840</f>
        <v>0.402464788732394</v>
      </c>
      <c r="K1150" s="32" t="str">
        <f aca="false">IF(I1150&lt;=$E$4,"A",IF(I1150&lt;=$E$5,"B","C"))</f>
        <v>C</v>
      </c>
    </row>
    <row r="1151" customFormat="false" ht="15" hidden="false" customHeight="false" outlineLevel="0" collapsed="false">
      <c r="A1151" s="32" t="n">
        <v>1144</v>
      </c>
      <c r="B1151" s="33" t="n">
        <v>475467</v>
      </c>
      <c r="C1151" s="34" t="s">
        <v>2373</v>
      </c>
      <c r="D1151" s="34" t="s">
        <v>2374</v>
      </c>
      <c r="E1151" s="34" t="s">
        <v>247</v>
      </c>
      <c r="F1151" s="32" t="n">
        <f aca="false">COUNTIF(Base!$D$2:$D$2878,B1151)</f>
        <v>1</v>
      </c>
      <c r="G1151" s="35" t="n">
        <f aca="false">SUMIF(Base!$D$2:$D$2878,B1151,Base!$I$2:$I$2878)</f>
        <v>878</v>
      </c>
      <c r="H1151" s="36" t="n">
        <f aca="false">IF($G$2849=0,0,G1151/$G$2849)</f>
        <v>5.76163147133289E-005</v>
      </c>
      <c r="I1151" s="37" t="n">
        <f aca="false">I1150+H1151</f>
        <v>0.971546044410929</v>
      </c>
      <c r="J1151" s="37" t="n">
        <f aca="false">A1151/2840</f>
        <v>0.402816901408451</v>
      </c>
      <c r="K1151" s="32" t="str">
        <f aca="false">IF(I1151&lt;=$E$4,"A",IF(I1151&lt;=$E$5,"B","C"))</f>
        <v>C</v>
      </c>
    </row>
    <row r="1152" customFormat="false" ht="15" hidden="false" customHeight="false" outlineLevel="0" collapsed="false">
      <c r="A1152" s="32" t="n">
        <v>1145</v>
      </c>
      <c r="B1152" s="33" t="n">
        <v>955971</v>
      </c>
      <c r="C1152" s="34" t="s">
        <v>2375</v>
      </c>
      <c r="D1152" s="34" t="s">
        <v>2376</v>
      </c>
      <c r="E1152" s="34" t="s">
        <v>835</v>
      </c>
      <c r="F1152" s="32" t="n">
        <f aca="false">COUNTIF(Base!$D$2:$D$2878,B1152)</f>
        <v>1</v>
      </c>
      <c r="G1152" s="35" t="n">
        <f aca="false">SUMIF(Base!$D$2:$D$2878,B1152,Base!$I$2:$I$2878)</f>
        <v>874.5</v>
      </c>
      <c r="H1152" s="36" t="n">
        <f aca="false">IF($G$2849=0,0,G1152/$G$2849)</f>
        <v>5.73866369211915E-005</v>
      </c>
      <c r="I1152" s="37" t="n">
        <f aca="false">I1151+H1152</f>
        <v>0.97160343104785</v>
      </c>
      <c r="J1152" s="37" t="n">
        <f aca="false">A1152/2840</f>
        <v>0.403169014084507</v>
      </c>
      <c r="K1152" s="32" t="str">
        <f aca="false">IF(I1152&lt;=$E$4,"A",IF(I1152&lt;=$E$5,"B","C"))</f>
        <v>C</v>
      </c>
    </row>
    <row r="1153" customFormat="false" ht="15" hidden="false" customHeight="false" outlineLevel="0" collapsed="false">
      <c r="A1153" s="32" t="n">
        <v>1146</v>
      </c>
      <c r="B1153" s="33" t="n">
        <v>1486850</v>
      </c>
      <c r="C1153" s="34" t="s">
        <v>2377</v>
      </c>
      <c r="D1153" s="34" t="s">
        <v>2378</v>
      </c>
      <c r="E1153" s="34" t="s">
        <v>38</v>
      </c>
      <c r="F1153" s="32" t="n">
        <f aca="false">COUNTIF(Base!$D$2:$D$2878,B1153)</f>
        <v>1</v>
      </c>
      <c r="G1153" s="35" t="n">
        <f aca="false">SUMIF(Base!$D$2:$D$2878,B1153,Base!$I$2:$I$2878)</f>
        <v>871.32</v>
      </c>
      <c r="H1153" s="36" t="n">
        <f aca="false">IF($G$2849=0,0,G1153/$G$2849)</f>
        <v>5.71779582414781E-005</v>
      </c>
      <c r="I1153" s="37" t="n">
        <f aca="false">I1152+H1153</f>
        <v>0.971660609006092</v>
      </c>
      <c r="J1153" s="37" t="n">
        <f aca="false">A1153/2840</f>
        <v>0.403521126760563</v>
      </c>
      <c r="K1153" s="32" t="str">
        <f aca="false">IF(I1153&lt;=$E$4,"A",IF(I1153&lt;=$E$5,"B","C"))</f>
        <v>C</v>
      </c>
    </row>
    <row r="1154" customFormat="false" ht="15" hidden="false" customHeight="false" outlineLevel="0" collapsed="false">
      <c r="A1154" s="32" t="n">
        <v>1147</v>
      </c>
      <c r="B1154" s="33" t="n">
        <v>18137</v>
      </c>
      <c r="C1154" s="34" t="s">
        <v>2379</v>
      </c>
      <c r="D1154" s="34" t="s">
        <v>2380</v>
      </c>
      <c r="E1154" s="34" t="s">
        <v>130</v>
      </c>
      <c r="F1154" s="32" t="n">
        <f aca="false">COUNTIF(Base!$D$2:$D$2878,B1154)</f>
        <v>1</v>
      </c>
      <c r="G1154" s="35" t="n">
        <f aca="false">SUMIF(Base!$D$2:$D$2878,B1154,Base!$I$2:$I$2878)</f>
        <v>867.03</v>
      </c>
      <c r="H1154" s="36" t="n">
        <f aca="false">IF($G$2849=0,0,G1154/$G$2849)</f>
        <v>5.6896438890544E-005</v>
      </c>
      <c r="I1154" s="37" t="n">
        <f aca="false">I1153+H1154</f>
        <v>0.971717505444982</v>
      </c>
      <c r="J1154" s="37" t="n">
        <f aca="false">A1154/2840</f>
        <v>0.40387323943662</v>
      </c>
      <c r="K1154" s="32" t="str">
        <f aca="false">IF(I1154&lt;=$E$4,"A",IF(I1154&lt;=$E$5,"B","C"))</f>
        <v>C</v>
      </c>
    </row>
    <row r="1155" customFormat="false" ht="15" hidden="false" customHeight="false" outlineLevel="0" collapsed="false">
      <c r="A1155" s="32" t="n">
        <v>1148</v>
      </c>
      <c r="B1155" s="33" t="n">
        <v>1327438</v>
      </c>
      <c r="C1155" s="34" t="s">
        <v>2381</v>
      </c>
      <c r="D1155" s="34" t="s">
        <v>2382</v>
      </c>
      <c r="E1155" s="34" t="s">
        <v>38</v>
      </c>
      <c r="F1155" s="32" t="n">
        <f aca="false">COUNTIF(Base!$D$2:$D$2878,B1155)</f>
        <v>1</v>
      </c>
      <c r="G1155" s="35" t="n">
        <f aca="false">SUMIF(Base!$D$2:$D$2878,B1155,Base!$I$2:$I$2878)</f>
        <v>864.37</v>
      </c>
      <c r="H1155" s="36" t="n">
        <f aca="false">IF($G$2849=0,0,G1155/$G$2849)</f>
        <v>5.67218837685195E-005</v>
      </c>
      <c r="I1155" s="37" t="n">
        <f aca="false">I1154+H1155</f>
        <v>0.971774227328751</v>
      </c>
      <c r="J1155" s="37" t="n">
        <f aca="false">A1155/2840</f>
        <v>0.404225352112676</v>
      </c>
      <c r="K1155" s="32" t="str">
        <f aca="false">IF(I1155&lt;=$E$4,"A",IF(I1155&lt;=$E$5,"B","C"))</f>
        <v>C</v>
      </c>
    </row>
    <row r="1156" customFormat="false" ht="15" hidden="false" customHeight="false" outlineLevel="0" collapsed="false">
      <c r="A1156" s="32" t="n">
        <v>1149</v>
      </c>
      <c r="B1156" s="33" t="n">
        <v>1656586</v>
      </c>
      <c r="C1156" s="34" t="s">
        <v>2383</v>
      </c>
      <c r="D1156" s="34" t="s">
        <v>2384</v>
      </c>
      <c r="E1156" s="34" t="s">
        <v>217</v>
      </c>
      <c r="F1156" s="32" t="n">
        <f aca="false">COUNTIF(Base!$D$2:$D$2878,B1156)</f>
        <v>1</v>
      </c>
      <c r="G1156" s="35" t="n">
        <f aca="false">SUMIF(Base!$D$2:$D$2878,B1156,Base!$I$2:$I$2878)</f>
        <v>864.27</v>
      </c>
      <c r="H1156" s="36" t="n">
        <f aca="false">IF($G$2849=0,0,G1156/$G$2849)</f>
        <v>5.6715321545887E-005</v>
      </c>
      <c r="I1156" s="37" t="n">
        <f aca="false">I1155+H1156</f>
        <v>0.971830942650297</v>
      </c>
      <c r="J1156" s="37" t="n">
        <f aca="false">A1156/2840</f>
        <v>0.404577464788732</v>
      </c>
      <c r="K1156" s="32" t="str">
        <f aca="false">IF(I1156&lt;=$E$4,"A",IF(I1156&lt;=$E$5,"B","C"))</f>
        <v>C</v>
      </c>
    </row>
    <row r="1157" customFormat="false" ht="15" hidden="false" customHeight="false" outlineLevel="0" collapsed="false">
      <c r="A1157" s="32" t="n">
        <v>1150</v>
      </c>
      <c r="B1157" s="33" t="n">
        <v>1330074</v>
      </c>
      <c r="C1157" s="34" t="s">
        <v>2385</v>
      </c>
      <c r="D1157" s="34" t="s">
        <v>2386</v>
      </c>
      <c r="E1157" s="34" t="s">
        <v>130</v>
      </c>
      <c r="F1157" s="32" t="n">
        <f aca="false">COUNTIF(Base!$D$2:$D$2878,B1157)</f>
        <v>2</v>
      </c>
      <c r="G1157" s="35" t="n">
        <f aca="false">SUMIF(Base!$D$2:$D$2878,B1157,Base!$I$2:$I$2878)</f>
        <v>864</v>
      </c>
      <c r="H1157" s="36" t="n">
        <f aca="false">IF($G$2849=0,0,G1157/$G$2849)</f>
        <v>5.66976035447793E-005</v>
      </c>
      <c r="I1157" s="37" t="n">
        <f aca="false">I1156+H1157</f>
        <v>0.971887640253841</v>
      </c>
      <c r="J1157" s="37" t="n">
        <f aca="false">A1157/2840</f>
        <v>0.404929577464789</v>
      </c>
      <c r="K1157" s="32" t="str">
        <f aca="false">IF(I1157&lt;=$E$4,"A",IF(I1157&lt;=$E$5,"B","C"))</f>
        <v>C</v>
      </c>
    </row>
    <row r="1158" customFormat="false" ht="15" hidden="false" customHeight="false" outlineLevel="0" collapsed="false">
      <c r="A1158" s="32" t="n">
        <v>1151</v>
      </c>
      <c r="B1158" s="33" t="n">
        <v>1614270</v>
      </c>
      <c r="C1158" s="34" t="s">
        <v>2387</v>
      </c>
      <c r="D1158" s="34" t="s">
        <v>2388</v>
      </c>
      <c r="E1158" s="34" t="s">
        <v>38</v>
      </c>
      <c r="F1158" s="32" t="n">
        <f aca="false">COUNTIF(Base!$D$2:$D$2878,B1158)</f>
        <v>1</v>
      </c>
      <c r="G1158" s="35" t="n">
        <f aca="false">SUMIF(Base!$D$2:$D$2878,B1158,Base!$I$2:$I$2878)</f>
        <v>862.77</v>
      </c>
      <c r="H1158" s="36" t="n">
        <f aca="false">IF($G$2849=0,0,G1158/$G$2849)</f>
        <v>5.66168882063996E-005</v>
      </c>
      <c r="I1158" s="37" t="n">
        <f aca="false">I1157+H1158</f>
        <v>0.971944257142048</v>
      </c>
      <c r="J1158" s="37" t="n">
        <f aca="false">A1158/2840</f>
        <v>0.405281690140845</v>
      </c>
      <c r="K1158" s="32" t="str">
        <f aca="false">IF(I1158&lt;=$E$4,"A",IF(I1158&lt;=$E$5,"B","C"))</f>
        <v>C</v>
      </c>
    </row>
    <row r="1159" customFormat="false" ht="15" hidden="false" customHeight="false" outlineLevel="0" collapsed="false">
      <c r="A1159" s="32" t="n">
        <v>1152</v>
      </c>
      <c r="B1159" s="33" t="n">
        <v>352386</v>
      </c>
      <c r="C1159" s="34" t="s">
        <v>2389</v>
      </c>
      <c r="D1159" s="34" t="s">
        <v>2390</v>
      </c>
      <c r="E1159" s="34" t="s">
        <v>130</v>
      </c>
      <c r="F1159" s="32" t="n">
        <f aca="false">COUNTIF(Base!$D$2:$D$2878,B1159)</f>
        <v>1</v>
      </c>
      <c r="G1159" s="35" t="n">
        <f aca="false">SUMIF(Base!$D$2:$D$2878,B1159,Base!$I$2:$I$2878)</f>
        <v>862.4</v>
      </c>
      <c r="H1159" s="36" t="n">
        <f aca="false">IF($G$2849=0,0,G1159/$G$2849)</f>
        <v>5.65926079826593E-005</v>
      </c>
      <c r="I1159" s="37" t="n">
        <f aca="false">I1158+H1159</f>
        <v>0.97200084975003</v>
      </c>
      <c r="J1159" s="37" t="n">
        <f aca="false">A1159/2840</f>
        <v>0.405633802816901</v>
      </c>
      <c r="K1159" s="32" t="str">
        <f aca="false">IF(I1159&lt;=$E$4,"A",IF(I1159&lt;=$E$5,"B","C"))</f>
        <v>C</v>
      </c>
    </row>
    <row r="1160" customFormat="false" ht="15" hidden="false" customHeight="false" outlineLevel="0" collapsed="false">
      <c r="A1160" s="32" t="n">
        <v>1153</v>
      </c>
      <c r="B1160" s="33" t="n">
        <v>18140</v>
      </c>
      <c r="C1160" s="34" t="s">
        <v>2391</v>
      </c>
      <c r="D1160" s="34" t="s">
        <v>2392</v>
      </c>
      <c r="E1160" s="34" t="s">
        <v>130</v>
      </c>
      <c r="F1160" s="32" t="n">
        <f aca="false">COUNTIF(Base!$D$2:$D$2878,B1160)</f>
        <v>1</v>
      </c>
      <c r="G1160" s="35" t="n">
        <f aca="false">SUMIF(Base!$D$2:$D$2878,B1160,Base!$I$2:$I$2878)</f>
        <v>860</v>
      </c>
      <c r="H1160" s="36" t="n">
        <f aca="false">IF($G$2849=0,0,G1160/$G$2849)</f>
        <v>5.64351146394794E-005</v>
      </c>
      <c r="I1160" s="37" t="n">
        <f aca="false">I1159+H1160</f>
        <v>0.97205728486467</v>
      </c>
      <c r="J1160" s="37" t="n">
        <f aca="false">A1160/2840</f>
        <v>0.405985915492958</v>
      </c>
      <c r="K1160" s="32" t="str">
        <f aca="false">IF(I1160&lt;=$E$4,"A",IF(I1160&lt;=$E$5,"B","C"))</f>
        <v>C</v>
      </c>
    </row>
    <row r="1161" customFormat="false" ht="15" hidden="false" customHeight="false" outlineLevel="0" collapsed="false">
      <c r="A1161" s="32" t="n">
        <v>1154</v>
      </c>
      <c r="B1161" s="33" t="n">
        <v>1087553</v>
      </c>
      <c r="C1161" s="34" t="s">
        <v>2393</v>
      </c>
      <c r="D1161" s="34" t="s">
        <v>2394</v>
      </c>
      <c r="E1161" s="34" t="s">
        <v>1095</v>
      </c>
      <c r="F1161" s="32" t="n">
        <f aca="false">COUNTIF(Base!$D$2:$D$2878,B1161)</f>
        <v>1</v>
      </c>
      <c r="G1161" s="35" t="n">
        <f aca="false">SUMIF(Base!$D$2:$D$2878,B1161,Base!$I$2:$I$2878)</f>
        <v>858.42</v>
      </c>
      <c r="H1161" s="36" t="n">
        <f aca="false">IF($G$2849=0,0,G1161/$G$2849)</f>
        <v>5.63314315218859E-005</v>
      </c>
      <c r="I1161" s="37" t="n">
        <f aca="false">I1160+H1161</f>
        <v>0.972113616296192</v>
      </c>
      <c r="J1161" s="37" t="n">
        <f aca="false">A1161/2840</f>
        <v>0.406338028169014</v>
      </c>
      <c r="K1161" s="32" t="str">
        <f aca="false">IF(I1161&lt;=$E$4,"A",IF(I1161&lt;=$E$5,"B","C"))</f>
        <v>C</v>
      </c>
    </row>
    <row r="1162" customFormat="false" ht="15" hidden="false" customHeight="false" outlineLevel="0" collapsed="false">
      <c r="A1162" s="32" t="n">
        <v>1155</v>
      </c>
      <c r="B1162" s="33" t="n">
        <v>1385084</v>
      </c>
      <c r="C1162" s="34" t="s">
        <v>2395</v>
      </c>
      <c r="D1162" s="34" t="s">
        <v>2396</v>
      </c>
      <c r="E1162" s="34" t="s">
        <v>38</v>
      </c>
      <c r="F1162" s="32" t="n">
        <f aca="false">COUNTIF(Base!$D$2:$D$2878,B1162)</f>
        <v>1</v>
      </c>
      <c r="G1162" s="35" t="n">
        <f aca="false">SUMIF(Base!$D$2:$D$2878,B1162,Base!$I$2:$I$2878)</f>
        <v>853.4</v>
      </c>
      <c r="H1162" s="36" t="n">
        <f aca="false">IF($G$2849=0,0,G1162/$G$2849)</f>
        <v>5.60020079457345E-005</v>
      </c>
      <c r="I1162" s="37" t="n">
        <f aca="false">I1161+H1162</f>
        <v>0.972169618304138</v>
      </c>
      <c r="J1162" s="37" t="n">
        <f aca="false">A1162/2840</f>
        <v>0.40669014084507</v>
      </c>
      <c r="K1162" s="32" t="str">
        <f aca="false">IF(I1162&lt;=$E$4,"A",IF(I1162&lt;=$E$5,"B","C"))</f>
        <v>C</v>
      </c>
    </row>
    <row r="1163" customFormat="false" ht="15" hidden="false" customHeight="false" outlineLevel="0" collapsed="false">
      <c r="A1163" s="32" t="n">
        <v>1156</v>
      </c>
      <c r="B1163" s="33" t="n">
        <v>21111</v>
      </c>
      <c r="C1163" s="34" t="s">
        <v>2397</v>
      </c>
      <c r="D1163" s="34" t="s">
        <v>2398</v>
      </c>
      <c r="E1163" s="34" t="s">
        <v>1095</v>
      </c>
      <c r="F1163" s="32" t="n">
        <f aca="false">COUNTIF(Base!$D$2:$D$2878,B1163)</f>
        <v>2</v>
      </c>
      <c r="G1163" s="35" t="n">
        <f aca="false">SUMIF(Base!$D$2:$D$2878,B1163,Base!$I$2:$I$2878)</f>
        <v>852.6396</v>
      </c>
      <c r="H1163" s="36" t="n">
        <f aca="false">IF($G$2849=0,0,G1163/$G$2849)</f>
        <v>5.5952108804837E-005</v>
      </c>
      <c r="I1163" s="37" t="n">
        <f aca="false">I1162+H1163</f>
        <v>0.972225570412942</v>
      </c>
      <c r="J1163" s="37" t="n">
        <f aca="false">A1163/2840</f>
        <v>0.407042253521127</v>
      </c>
      <c r="K1163" s="32" t="str">
        <f aca="false">IF(I1163&lt;=$E$4,"A",IF(I1163&lt;=$E$5,"B","C"))</f>
        <v>C</v>
      </c>
    </row>
    <row r="1164" customFormat="false" ht="15" hidden="false" customHeight="false" outlineLevel="0" collapsed="false">
      <c r="A1164" s="32" t="n">
        <v>1157</v>
      </c>
      <c r="B1164" s="33" t="n">
        <v>292795</v>
      </c>
      <c r="C1164" s="34" t="s">
        <v>2399</v>
      </c>
      <c r="D1164" s="34" t="s">
        <v>2400</v>
      </c>
      <c r="E1164" s="34" t="s">
        <v>247</v>
      </c>
      <c r="F1164" s="32" t="n">
        <f aca="false">COUNTIF(Base!$D$2:$D$2878,B1164)</f>
        <v>1</v>
      </c>
      <c r="G1164" s="35" t="n">
        <f aca="false">SUMIF(Base!$D$2:$D$2878,B1164,Base!$I$2:$I$2878)</f>
        <v>849.38</v>
      </c>
      <c r="H1164" s="36" t="n">
        <f aca="false">IF($G$2849=0,0,G1164/$G$2849)</f>
        <v>5.57382065959081E-005</v>
      </c>
      <c r="I1164" s="37" t="n">
        <f aca="false">I1163+H1164</f>
        <v>0.972281308619538</v>
      </c>
      <c r="J1164" s="37" t="n">
        <f aca="false">A1164/2840</f>
        <v>0.407394366197183</v>
      </c>
      <c r="K1164" s="32" t="str">
        <f aca="false">IF(I1164&lt;=$E$4,"A",IF(I1164&lt;=$E$5,"B","C"))</f>
        <v>C</v>
      </c>
    </row>
    <row r="1165" customFormat="false" ht="15" hidden="false" customHeight="false" outlineLevel="0" collapsed="false">
      <c r="A1165" s="32" t="n">
        <v>1158</v>
      </c>
      <c r="B1165" s="33" t="n">
        <v>1466627</v>
      </c>
      <c r="C1165" s="34" t="s">
        <v>2401</v>
      </c>
      <c r="D1165" s="34" t="s">
        <v>2402</v>
      </c>
      <c r="E1165" s="34" t="s">
        <v>38</v>
      </c>
      <c r="F1165" s="32" t="n">
        <f aca="false">COUNTIF(Base!$D$2:$D$2878,B1165)</f>
        <v>1</v>
      </c>
      <c r="G1165" s="35" t="n">
        <f aca="false">SUMIF(Base!$D$2:$D$2878,B1165,Base!$I$2:$I$2878)</f>
        <v>846.4</v>
      </c>
      <c r="H1165" s="36" t="n">
        <f aca="false">IF($G$2849=0,0,G1165/$G$2849)</f>
        <v>5.55426523614597E-005</v>
      </c>
      <c r="I1165" s="37" t="n">
        <f aca="false">I1164+H1165</f>
        <v>0.9723368512719</v>
      </c>
      <c r="J1165" s="37" t="n">
        <f aca="false">A1165/2840</f>
        <v>0.407746478873239</v>
      </c>
      <c r="K1165" s="32" t="str">
        <f aca="false">IF(I1165&lt;=$E$4,"A",IF(I1165&lt;=$E$5,"B","C"))</f>
        <v>C</v>
      </c>
    </row>
    <row r="1166" customFormat="false" ht="15" hidden="false" customHeight="false" outlineLevel="0" collapsed="false">
      <c r="A1166" s="32" t="n">
        <v>1159</v>
      </c>
      <c r="B1166" s="33" t="n">
        <v>21136</v>
      </c>
      <c r="C1166" s="34" t="s">
        <v>2403</v>
      </c>
      <c r="D1166" s="34" t="s">
        <v>2404</v>
      </c>
      <c r="E1166" s="34" t="s">
        <v>605</v>
      </c>
      <c r="F1166" s="32" t="n">
        <f aca="false">COUNTIF(Base!$D$2:$D$2878,B1166)</f>
        <v>1</v>
      </c>
      <c r="G1166" s="35" t="n">
        <f aca="false">SUMIF(Base!$D$2:$D$2878,B1166,Base!$I$2:$I$2878)</f>
        <v>843.84</v>
      </c>
      <c r="H1166" s="36" t="n">
        <f aca="false">IF($G$2849=0,0,G1166/$G$2849)</f>
        <v>5.53746594620678E-005</v>
      </c>
      <c r="I1166" s="37" t="n">
        <f aca="false">I1165+H1166</f>
        <v>0.972392225931362</v>
      </c>
      <c r="J1166" s="37" t="n">
        <f aca="false">A1166/2840</f>
        <v>0.408098591549296</v>
      </c>
      <c r="K1166" s="32" t="str">
        <f aca="false">IF(I1166&lt;=$E$4,"A",IF(I1166&lt;=$E$5,"B","C"))</f>
        <v>C</v>
      </c>
    </row>
    <row r="1167" customFormat="false" ht="15" hidden="false" customHeight="false" outlineLevel="0" collapsed="false">
      <c r="A1167" s="32" t="n">
        <v>1160</v>
      </c>
      <c r="B1167" s="33" t="n">
        <v>385221</v>
      </c>
      <c r="C1167" s="34" t="s">
        <v>2405</v>
      </c>
      <c r="D1167" s="34" t="s">
        <v>2406</v>
      </c>
      <c r="E1167" s="34" t="s">
        <v>35</v>
      </c>
      <c r="F1167" s="32" t="n">
        <f aca="false">COUNTIF(Base!$D$2:$D$2878,B1167)</f>
        <v>1</v>
      </c>
      <c r="G1167" s="35" t="n">
        <f aca="false">SUMIF(Base!$D$2:$D$2878,B1167,Base!$I$2:$I$2878)</f>
        <v>843</v>
      </c>
      <c r="H1167" s="36" t="n">
        <f aca="false">IF($G$2849=0,0,G1167/$G$2849)</f>
        <v>5.53195367919548E-005</v>
      </c>
      <c r="I1167" s="37" t="n">
        <f aca="false">I1166+H1167</f>
        <v>0.972447545468154</v>
      </c>
      <c r="J1167" s="37" t="n">
        <f aca="false">A1167/2840</f>
        <v>0.408450704225352</v>
      </c>
      <c r="K1167" s="32" t="str">
        <f aca="false">IF(I1167&lt;=$E$4,"A",IF(I1167&lt;=$E$5,"B","C"))</f>
        <v>C</v>
      </c>
    </row>
    <row r="1168" customFormat="false" ht="15" hidden="false" customHeight="false" outlineLevel="0" collapsed="false">
      <c r="A1168" s="32" t="n">
        <v>1161</v>
      </c>
      <c r="B1168" s="33" t="n">
        <v>1614512</v>
      </c>
      <c r="C1168" s="34" t="s">
        <v>2407</v>
      </c>
      <c r="D1168" s="34" t="s">
        <v>2408</v>
      </c>
      <c r="E1168" s="34" t="s">
        <v>38</v>
      </c>
      <c r="F1168" s="32" t="n">
        <f aca="false">COUNTIF(Base!$D$2:$D$2878,B1168)</f>
        <v>1</v>
      </c>
      <c r="G1168" s="35" t="n">
        <f aca="false">SUMIF(Base!$D$2:$D$2878,B1168,Base!$I$2:$I$2878)</f>
        <v>842.42</v>
      </c>
      <c r="H1168" s="36" t="n">
        <f aca="false">IF($G$2849=0,0,G1168/$G$2849)</f>
        <v>5.52814759006863E-005</v>
      </c>
      <c r="I1168" s="37" t="n">
        <f aca="false">I1167+H1168</f>
        <v>0.972502826944054</v>
      </c>
      <c r="J1168" s="37" t="n">
        <f aca="false">A1168/2840</f>
        <v>0.408802816901408</v>
      </c>
      <c r="K1168" s="32" t="str">
        <f aca="false">IF(I1168&lt;=$E$4,"A",IF(I1168&lt;=$E$5,"B","C"))</f>
        <v>C</v>
      </c>
    </row>
    <row r="1169" customFormat="false" ht="15" hidden="false" customHeight="false" outlineLevel="0" collapsed="false">
      <c r="A1169" s="32" t="n">
        <v>1162</v>
      </c>
      <c r="B1169" s="33" t="n">
        <v>22294</v>
      </c>
      <c r="C1169" s="34" t="s">
        <v>2409</v>
      </c>
      <c r="D1169" s="34" t="s">
        <v>2410</v>
      </c>
      <c r="E1169" s="34" t="s">
        <v>54</v>
      </c>
      <c r="F1169" s="32" t="n">
        <f aca="false">COUNTIF(Base!$D$2:$D$2878,B1169)</f>
        <v>1</v>
      </c>
      <c r="G1169" s="35" t="n">
        <f aca="false">SUMIF(Base!$D$2:$D$2878,B1169,Base!$I$2:$I$2878)</f>
        <v>842.4</v>
      </c>
      <c r="H1169" s="36" t="n">
        <f aca="false">IF($G$2849=0,0,G1169/$G$2849)</f>
        <v>5.52801634561598E-005</v>
      </c>
      <c r="I1169" s="37" t="n">
        <f aca="false">I1168+H1169</f>
        <v>0.972558107107511</v>
      </c>
      <c r="J1169" s="37" t="n">
        <f aca="false">A1169/2840</f>
        <v>0.409154929577465</v>
      </c>
      <c r="K1169" s="32" t="str">
        <f aca="false">IF(I1169&lt;=$E$4,"A",IF(I1169&lt;=$E$5,"B","C"))</f>
        <v>C</v>
      </c>
    </row>
    <row r="1170" customFormat="false" ht="15" hidden="false" customHeight="false" outlineLevel="0" collapsed="false">
      <c r="A1170" s="32" t="n">
        <v>1163</v>
      </c>
      <c r="B1170" s="33" t="n">
        <v>22636</v>
      </c>
      <c r="C1170" s="34" t="s">
        <v>2411</v>
      </c>
      <c r="D1170" s="34" t="s">
        <v>2412</v>
      </c>
      <c r="E1170" s="34" t="s">
        <v>100</v>
      </c>
      <c r="F1170" s="32" t="n">
        <f aca="false">COUNTIF(Base!$D$2:$D$2878,B1170)</f>
        <v>1</v>
      </c>
      <c r="G1170" s="35" t="n">
        <f aca="false">SUMIF(Base!$D$2:$D$2878,B1170,Base!$I$2:$I$2878)</f>
        <v>840</v>
      </c>
      <c r="H1170" s="36" t="n">
        <f aca="false">IF($G$2849=0,0,G1170/$G$2849)</f>
        <v>5.51226701129799E-005</v>
      </c>
      <c r="I1170" s="37" t="n">
        <f aca="false">I1169+H1170</f>
        <v>0.972613229777623</v>
      </c>
      <c r="J1170" s="37" t="n">
        <f aca="false">A1170/2840</f>
        <v>0.409507042253521</v>
      </c>
      <c r="K1170" s="32" t="str">
        <f aca="false">IF(I1170&lt;=$E$4,"A",IF(I1170&lt;=$E$5,"B","C"))</f>
        <v>C</v>
      </c>
    </row>
    <row r="1171" customFormat="false" ht="15" hidden="false" customHeight="false" outlineLevel="0" collapsed="false">
      <c r="A1171" s="32" t="n">
        <v>1164</v>
      </c>
      <c r="B1171" s="33" t="n">
        <v>34538</v>
      </c>
      <c r="C1171" s="34" t="s">
        <v>2413</v>
      </c>
      <c r="D1171" s="34" t="s">
        <v>2414</v>
      </c>
      <c r="E1171" s="34" t="s">
        <v>130</v>
      </c>
      <c r="F1171" s="32" t="n">
        <f aca="false">COUNTIF(Base!$D$2:$D$2878,B1171)</f>
        <v>1</v>
      </c>
      <c r="G1171" s="35" t="n">
        <f aca="false">SUMIF(Base!$D$2:$D$2878,B1171,Base!$I$2:$I$2878)</f>
        <v>840</v>
      </c>
      <c r="H1171" s="36" t="n">
        <f aca="false">IF($G$2849=0,0,G1171/$G$2849)</f>
        <v>5.51226701129799E-005</v>
      </c>
      <c r="I1171" s="37" t="n">
        <f aca="false">I1170+H1171</f>
        <v>0.972668352447736</v>
      </c>
      <c r="J1171" s="37" t="n">
        <f aca="false">A1171/2840</f>
        <v>0.409859154929578</v>
      </c>
      <c r="K1171" s="32" t="str">
        <f aca="false">IF(I1171&lt;=$E$4,"A",IF(I1171&lt;=$E$5,"B","C"))</f>
        <v>C</v>
      </c>
    </row>
    <row r="1172" customFormat="false" ht="15" hidden="false" customHeight="false" outlineLevel="0" collapsed="false">
      <c r="A1172" s="32" t="n">
        <v>1165</v>
      </c>
      <c r="B1172" s="33" t="n">
        <v>426452</v>
      </c>
      <c r="C1172" s="34" t="s">
        <v>2415</v>
      </c>
      <c r="D1172" s="34" t="s">
        <v>2416</v>
      </c>
      <c r="E1172" s="34" t="s">
        <v>133</v>
      </c>
      <c r="F1172" s="32" t="n">
        <f aca="false">COUNTIF(Base!$D$2:$D$2878,B1172)</f>
        <v>1</v>
      </c>
      <c r="G1172" s="35" t="n">
        <f aca="false">SUMIF(Base!$D$2:$D$2878,B1172,Base!$I$2:$I$2878)</f>
        <v>834.39</v>
      </c>
      <c r="H1172" s="36" t="n">
        <f aca="false">IF($G$2849=0,0,G1172/$G$2849)</f>
        <v>5.47545294232967E-005</v>
      </c>
      <c r="I1172" s="37" t="n">
        <f aca="false">I1171+H1172</f>
        <v>0.97272310697716</v>
      </c>
      <c r="J1172" s="37" t="n">
        <f aca="false">A1172/2840</f>
        <v>0.410211267605634</v>
      </c>
      <c r="K1172" s="32" t="str">
        <f aca="false">IF(I1172&lt;=$E$4,"A",IF(I1172&lt;=$E$5,"B","C"))</f>
        <v>C</v>
      </c>
    </row>
    <row r="1173" customFormat="false" ht="15" hidden="false" customHeight="false" outlineLevel="0" collapsed="false">
      <c r="A1173" s="32" t="n">
        <v>1166</v>
      </c>
      <c r="B1173" s="33" t="n">
        <v>1602006</v>
      </c>
      <c r="C1173" s="34" t="s">
        <v>2417</v>
      </c>
      <c r="D1173" s="34" t="s">
        <v>2418</v>
      </c>
      <c r="E1173" s="34" t="s">
        <v>230</v>
      </c>
      <c r="F1173" s="32" t="n">
        <f aca="false">COUNTIF(Base!$D$2:$D$2878,B1173)</f>
        <v>1</v>
      </c>
      <c r="G1173" s="35" t="n">
        <f aca="false">SUMIF(Base!$D$2:$D$2878,B1173,Base!$I$2:$I$2878)</f>
        <v>834</v>
      </c>
      <c r="H1173" s="36" t="n">
        <f aca="false">IF($G$2849=0,0,G1173/$G$2849)</f>
        <v>5.472893675503E-005</v>
      </c>
      <c r="I1173" s="37" t="n">
        <f aca="false">I1172+H1173</f>
        <v>0.972777835913915</v>
      </c>
      <c r="J1173" s="37" t="n">
        <f aca="false">A1173/2840</f>
        <v>0.41056338028169</v>
      </c>
      <c r="K1173" s="32" t="str">
        <f aca="false">IF(I1173&lt;=$E$4,"A",IF(I1173&lt;=$E$5,"B","C"))</f>
        <v>C</v>
      </c>
    </row>
    <row r="1174" customFormat="false" ht="15" hidden="false" customHeight="false" outlineLevel="0" collapsed="false">
      <c r="A1174" s="32" t="n">
        <v>1167</v>
      </c>
      <c r="B1174" s="33" t="n">
        <v>1090959</v>
      </c>
      <c r="C1174" s="34" t="s">
        <v>2419</v>
      </c>
      <c r="D1174" s="34" t="s">
        <v>2420</v>
      </c>
      <c r="E1174" s="34" t="s">
        <v>38</v>
      </c>
      <c r="F1174" s="32" t="n">
        <f aca="false">COUNTIF(Base!$D$2:$D$2878,B1174)</f>
        <v>1</v>
      </c>
      <c r="G1174" s="35" t="n">
        <f aca="false">SUMIF(Base!$D$2:$D$2878,B1174,Base!$I$2:$I$2878)</f>
        <v>831.6</v>
      </c>
      <c r="H1174" s="36" t="n">
        <f aca="false">IF($G$2849=0,0,G1174/$G$2849)</f>
        <v>5.45714434118501E-005</v>
      </c>
      <c r="I1174" s="37" t="n">
        <f aca="false">I1173+H1174</f>
        <v>0.972832407357327</v>
      </c>
      <c r="J1174" s="37" t="n">
        <f aca="false">A1174/2840</f>
        <v>0.410915492957747</v>
      </c>
      <c r="K1174" s="32" t="str">
        <f aca="false">IF(I1174&lt;=$E$4,"A",IF(I1174&lt;=$E$5,"B","C"))</f>
        <v>C</v>
      </c>
    </row>
    <row r="1175" customFormat="false" ht="15" hidden="false" customHeight="false" outlineLevel="0" collapsed="false">
      <c r="A1175" s="32" t="n">
        <v>1168</v>
      </c>
      <c r="B1175" s="33" t="n">
        <v>232841</v>
      </c>
      <c r="C1175" s="34" t="s">
        <v>2421</v>
      </c>
      <c r="D1175" s="34" t="s">
        <v>2422</v>
      </c>
      <c r="E1175" s="34" t="s">
        <v>247</v>
      </c>
      <c r="F1175" s="32" t="n">
        <f aca="false">COUNTIF(Base!$D$2:$D$2878,B1175)</f>
        <v>1</v>
      </c>
      <c r="G1175" s="35" t="n">
        <f aca="false">SUMIF(Base!$D$2:$D$2878,B1175,Base!$I$2:$I$2878)</f>
        <v>831.56</v>
      </c>
      <c r="H1175" s="36" t="n">
        <f aca="false">IF($G$2849=0,0,G1175/$G$2849)</f>
        <v>5.45688185227971E-005</v>
      </c>
      <c r="I1175" s="37" t="n">
        <f aca="false">I1174+H1175</f>
        <v>0.972886976175849</v>
      </c>
      <c r="J1175" s="37" t="n">
        <f aca="false">A1175/2840</f>
        <v>0.411267605633803</v>
      </c>
      <c r="K1175" s="32" t="str">
        <f aca="false">IF(I1175&lt;=$E$4,"A",IF(I1175&lt;=$E$5,"B","C"))</f>
        <v>C</v>
      </c>
    </row>
    <row r="1176" customFormat="false" ht="15" hidden="false" customHeight="false" outlineLevel="0" collapsed="false">
      <c r="A1176" s="32" t="n">
        <v>1169</v>
      </c>
      <c r="B1176" s="33" t="n">
        <v>831919</v>
      </c>
      <c r="C1176" s="34" t="s">
        <v>2423</v>
      </c>
      <c r="D1176" s="34" t="s">
        <v>2424</v>
      </c>
      <c r="E1176" s="34" t="s">
        <v>247</v>
      </c>
      <c r="F1176" s="32" t="n">
        <f aca="false">COUNTIF(Base!$D$2:$D$2878,B1176)</f>
        <v>1</v>
      </c>
      <c r="G1176" s="35" t="n">
        <f aca="false">SUMIF(Base!$D$2:$D$2878,B1176,Base!$I$2:$I$2878)</f>
        <v>831.56</v>
      </c>
      <c r="H1176" s="36" t="n">
        <f aca="false">IF($G$2849=0,0,G1176/$G$2849)</f>
        <v>5.45688185227971E-005</v>
      </c>
      <c r="I1176" s="37" t="n">
        <f aca="false">I1175+H1176</f>
        <v>0.972941544994372</v>
      </c>
      <c r="J1176" s="37" t="n">
        <f aca="false">A1176/2840</f>
        <v>0.411619718309859</v>
      </c>
      <c r="K1176" s="32" t="str">
        <f aca="false">IF(I1176&lt;=$E$4,"A",IF(I1176&lt;=$E$5,"B","C"))</f>
        <v>C</v>
      </c>
    </row>
    <row r="1177" customFormat="false" ht="15" hidden="false" customHeight="false" outlineLevel="0" collapsed="false">
      <c r="A1177" s="32" t="n">
        <v>1170</v>
      </c>
      <c r="B1177" s="33" t="n">
        <v>136019</v>
      </c>
      <c r="C1177" s="34" t="s">
        <v>2425</v>
      </c>
      <c r="D1177" s="34" t="s">
        <v>2426</v>
      </c>
      <c r="E1177" s="34" t="s">
        <v>230</v>
      </c>
      <c r="F1177" s="32" t="n">
        <f aca="false">COUNTIF(Base!$D$2:$D$2878,B1177)</f>
        <v>1</v>
      </c>
      <c r="G1177" s="35" t="n">
        <f aca="false">SUMIF(Base!$D$2:$D$2878,B1177,Base!$I$2:$I$2878)</f>
        <v>830.9</v>
      </c>
      <c r="H1177" s="36" t="n">
        <f aca="false">IF($G$2849=0,0,G1177/$G$2849)</f>
        <v>5.45255078534226E-005</v>
      </c>
      <c r="I1177" s="37" t="n">
        <f aca="false">I1176+H1177</f>
        <v>0.972996070502226</v>
      </c>
      <c r="J1177" s="37" t="n">
        <f aca="false">A1177/2840</f>
        <v>0.411971830985916</v>
      </c>
      <c r="K1177" s="32" t="str">
        <f aca="false">IF(I1177&lt;=$E$4,"A",IF(I1177&lt;=$E$5,"B","C"))</f>
        <v>C</v>
      </c>
    </row>
    <row r="1178" customFormat="false" ht="15" hidden="false" customHeight="false" outlineLevel="0" collapsed="false">
      <c r="A1178" s="32" t="n">
        <v>1171</v>
      </c>
      <c r="B1178" s="33" t="n">
        <v>290639</v>
      </c>
      <c r="C1178" s="34" t="s">
        <v>2427</v>
      </c>
      <c r="D1178" s="34" t="s">
        <v>2428</v>
      </c>
      <c r="E1178" s="34" t="s">
        <v>54</v>
      </c>
      <c r="F1178" s="32" t="n">
        <f aca="false">COUNTIF(Base!$D$2:$D$2878,B1178)</f>
        <v>1</v>
      </c>
      <c r="G1178" s="35" t="n">
        <f aca="false">SUMIF(Base!$D$2:$D$2878,B1178,Base!$I$2:$I$2878)</f>
        <v>830.8</v>
      </c>
      <c r="H1178" s="36" t="n">
        <f aca="false">IF($G$2849=0,0,G1178/$G$2849)</f>
        <v>5.45189456307901E-005</v>
      </c>
      <c r="I1178" s="37" t="n">
        <f aca="false">I1177+H1178</f>
        <v>0.973050589447857</v>
      </c>
      <c r="J1178" s="37" t="n">
        <f aca="false">A1178/2840</f>
        <v>0.412323943661972</v>
      </c>
      <c r="K1178" s="32" t="str">
        <f aca="false">IF(I1178&lt;=$E$4,"A",IF(I1178&lt;=$E$5,"B","C"))</f>
        <v>C</v>
      </c>
    </row>
    <row r="1179" customFormat="false" ht="15" hidden="false" customHeight="false" outlineLevel="0" collapsed="false">
      <c r="A1179" s="32" t="n">
        <v>1172</v>
      </c>
      <c r="B1179" s="33" t="n">
        <v>294962</v>
      </c>
      <c r="C1179" s="34" t="s">
        <v>2429</v>
      </c>
      <c r="D1179" s="34" t="s">
        <v>2430</v>
      </c>
      <c r="E1179" s="34" t="s">
        <v>637</v>
      </c>
      <c r="F1179" s="32" t="n">
        <f aca="false">COUNTIF(Base!$D$2:$D$2878,B1179)</f>
        <v>1</v>
      </c>
      <c r="G1179" s="35" t="n">
        <f aca="false">SUMIF(Base!$D$2:$D$2878,B1179,Base!$I$2:$I$2878)</f>
        <v>830</v>
      </c>
      <c r="H1179" s="36" t="n">
        <f aca="false">IF($G$2849=0,0,G1179/$G$2849)</f>
        <v>5.44664478497301E-005</v>
      </c>
      <c r="I1179" s="37" t="n">
        <f aca="false">I1178+H1179</f>
        <v>0.973105055895706</v>
      </c>
      <c r="J1179" s="37" t="n">
        <f aca="false">A1179/2840</f>
        <v>0.412676056338028</v>
      </c>
      <c r="K1179" s="32" t="str">
        <f aca="false">IF(I1179&lt;=$E$4,"A",IF(I1179&lt;=$E$5,"B","C"))</f>
        <v>C</v>
      </c>
    </row>
    <row r="1180" customFormat="false" ht="15" hidden="false" customHeight="false" outlineLevel="0" collapsed="false">
      <c r="A1180" s="32" t="n">
        <v>1173</v>
      </c>
      <c r="B1180" s="33" t="n">
        <v>352263</v>
      </c>
      <c r="C1180" s="34" t="s">
        <v>2431</v>
      </c>
      <c r="D1180" s="34" t="s">
        <v>2432</v>
      </c>
      <c r="E1180" s="34" t="s">
        <v>637</v>
      </c>
      <c r="F1180" s="32" t="n">
        <f aca="false">COUNTIF(Base!$D$2:$D$2878,B1180)</f>
        <v>1</v>
      </c>
      <c r="G1180" s="35" t="n">
        <f aca="false">SUMIF(Base!$D$2:$D$2878,B1180,Base!$I$2:$I$2878)</f>
        <v>830</v>
      </c>
      <c r="H1180" s="36" t="n">
        <f aca="false">IF($G$2849=0,0,G1180/$G$2849)</f>
        <v>5.44664478497301E-005</v>
      </c>
      <c r="I1180" s="37" t="n">
        <f aca="false">I1179+H1180</f>
        <v>0.973159522343556</v>
      </c>
      <c r="J1180" s="37" t="n">
        <f aca="false">A1180/2840</f>
        <v>0.413028169014085</v>
      </c>
      <c r="K1180" s="32" t="str">
        <f aca="false">IF(I1180&lt;=$E$4,"A",IF(I1180&lt;=$E$5,"B","C"))</f>
        <v>C</v>
      </c>
    </row>
    <row r="1181" customFormat="false" ht="15" hidden="false" customHeight="false" outlineLevel="0" collapsed="false">
      <c r="A1181" s="32" t="n">
        <v>1174</v>
      </c>
      <c r="B1181" s="33" t="n">
        <v>89785</v>
      </c>
      <c r="C1181" s="34" t="s">
        <v>2433</v>
      </c>
      <c r="D1181" s="34" t="s">
        <v>2434</v>
      </c>
      <c r="E1181" s="34" t="s">
        <v>54</v>
      </c>
      <c r="F1181" s="32" t="n">
        <f aca="false">COUNTIF(Base!$D$2:$D$2878,B1181)</f>
        <v>1</v>
      </c>
      <c r="G1181" s="35" t="n">
        <f aca="false">SUMIF(Base!$D$2:$D$2878,B1181,Base!$I$2:$I$2878)</f>
        <v>828.75</v>
      </c>
      <c r="H1181" s="36" t="n">
        <f aca="false">IF($G$2849=0,0,G1181/$G$2849)</f>
        <v>5.43844200668239E-005</v>
      </c>
      <c r="I1181" s="37" t="n">
        <f aca="false">I1180+H1181</f>
        <v>0.973213906763623</v>
      </c>
      <c r="J1181" s="37" t="n">
        <f aca="false">A1181/2840</f>
        <v>0.413380281690141</v>
      </c>
      <c r="K1181" s="32" t="str">
        <f aca="false">IF(I1181&lt;=$E$4,"A",IF(I1181&lt;=$E$5,"B","C"))</f>
        <v>C</v>
      </c>
    </row>
    <row r="1182" customFormat="false" ht="15" hidden="false" customHeight="false" outlineLevel="0" collapsed="false">
      <c r="A1182" s="32" t="n">
        <v>1175</v>
      </c>
      <c r="B1182" s="33" t="n">
        <v>887569</v>
      </c>
      <c r="C1182" s="34" t="s">
        <v>2435</v>
      </c>
      <c r="D1182" s="34" t="s">
        <v>2436</v>
      </c>
      <c r="E1182" s="34" t="s">
        <v>54</v>
      </c>
      <c r="F1182" s="32" t="n">
        <f aca="false">COUNTIF(Base!$D$2:$D$2878,B1182)</f>
        <v>1</v>
      </c>
      <c r="G1182" s="35" t="n">
        <f aca="false">SUMIF(Base!$D$2:$D$2878,B1182,Base!$I$2:$I$2878)</f>
        <v>826</v>
      </c>
      <c r="H1182" s="36" t="n">
        <f aca="false">IF($G$2849=0,0,G1182/$G$2849)</f>
        <v>5.42039589444302E-005</v>
      </c>
      <c r="I1182" s="37" t="n">
        <f aca="false">I1181+H1182</f>
        <v>0.973268110722567</v>
      </c>
      <c r="J1182" s="37" t="n">
        <f aca="false">A1182/2840</f>
        <v>0.413732394366197</v>
      </c>
      <c r="K1182" s="32" t="str">
        <f aca="false">IF(I1182&lt;=$E$4,"A",IF(I1182&lt;=$E$5,"B","C"))</f>
        <v>C</v>
      </c>
    </row>
    <row r="1183" customFormat="false" ht="15" hidden="false" customHeight="false" outlineLevel="0" collapsed="false">
      <c r="A1183" s="32" t="n">
        <v>1176</v>
      </c>
      <c r="B1183" s="33" t="n">
        <v>1014187</v>
      </c>
      <c r="C1183" s="34" t="s">
        <v>2437</v>
      </c>
      <c r="D1183" s="34" t="s">
        <v>2438</v>
      </c>
      <c r="E1183" s="34" t="s">
        <v>130</v>
      </c>
      <c r="F1183" s="32" t="n">
        <f aca="false">COUNTIF(Base!$D$2:$D$2878,B1183)</f>
        <v>1</v>
      </c>
      <c r="G1183" s="35" t="n">
        <f aca="false">SUMIF(Base!$D$2:$D$2878,B1183,Base!$I$2:$I$2878)</f>
        <v>825</v>
      </c>
      <c r="H1183" s="36" t="n">
        <f aca="false">IF($G$2849=0,0,G1183/$G$2849)</f>
        <v>5.41383367181052E-005</v>
      </c>
      <c r="I1183" s="37" t="n">
        <f aca="false">I1182+H1183</f>
        <v>0.973322249059285</v>
      </c>
      <c r="J1183" s="37" t="n">
        <f aca="false">A1183/2840</f>
        <v>0.414084507042254</v>
      </c>
      <c r="K1183" s="32" t="str">
        <f aca="false">IF(I1183&lt;=$E$4,"A",IF(I1183&lt;=$E$5,"B","C"))</f>
        <v>C</v>
      </c>
    </row>
    <row r="1184" customFormat="false" ht="15" hidden="false" customHeight="false" outlineLevel="0" collapsed="false">
      <c r="A1184" s="32" t="n">
        <v>1177</v>
      </c>
      <c r="B1184" s="33" t="n">
        <v>1607244</v>
      </c>
      <c r="C1184" s="34" t="s">
        <v>2439</v>
      </c>
      <c r="D1184" s="34" t="s">
        <v>2440</v>
      </c>
      <c r="E1184" s="34" t="s">
        <v>38</v>
      </c>
      <c r="F1184" s="32" t="n">
        <f aca="false">COUNTIF(Base!$D$2:$D$2878,B1184)</f>
        <v>1</v>
      </c>
      <c r="G1184" s="35" t="n">
        <f aca="false">SUMIF(Base!$D$2:$D$2878,B1184,Base!$I$2:$I$2878)</f>
        <v>824.5</v>
      </c>
      <c r="H1184" s="36" t="n">
        <f aca="false">IF($G$2849=0,0,G1184/$G$2849)</f>
        <v>5.41055256049427E-005</v>
      </c>
      <c r="I1184" s="37" t="n">
        <f aca="false">I1183+H1184</f>
        <v>0.97337635458489</v>
      </c>
      <c r="J1184" s="37" t="n">
        <f aca="false">A1184/2840</f>
        <v>0.41443661971831</v>
      </c>
      <c r="K1184" s="32" t="str">
        <f aca="false">IF(I1184&lt;=$E$4,"A",IF(I1184&lt;=$E$5,"B","C"))</f>
        <v>C</v>
      </c>
    </row>
    <row r="1185" customFormat="false" ht="15" hidden="false" customHeight="false" outlineLevel="0" collapsed="false">
      <c r="A1185" s="32" t="n">
        <v>1178</v>
      </c>
      <c r="B1185" s="33" t="n">
        <v>1462147</v>
      </c>
      <c r="C1185" s="34" t="s">
        <v>2441</v>
      </c>
      <c r="D1185" s="34" t="s">
        <v>2442</v>
      </c>
      <c r="E1185" s="34" t="s">
        <v>66</v>
      </c>
      <c r="F1185" s="32" t="n">
        <f aca="false">COUNTIF(Base!$D$2:$D$2878,B1185)</f>
        <v>1</v>
      </c>
      <c r="G1185" s="35" t="n">
        <f aca="false">SUMIF(Base!$D$2:$D$2878,B1185,Base!$I$2:$I$2878)</f>
        <v>824</v>
      </c>
      <c r="H1185" s="36" t="n">
        <f aca="false">IF($G$2849=0,0,G1185/$G$2849)</f>
        <v>5.40727144917802E-005</v>
      </c>
      <c r="I1185" s="37" t="n">
        <f aca="false">I1184+H1185</f>
        <v>0.973430427299382</v>
      </c>
      <c r="J1185" s="37" t="n">
        <f aca="false">A1185/2840</f>
        <v>0.414788732394366</v>
      </c>
      <c r="K1185" s="32" t="str">
        <f aca="false">IF(I1185&lt;=$E$4,"A",IF(I1185&lt;=$E$5,"B","C"))</f>
        <v>C</v>
      </c>
    </row>
    <row r="1186" customFormat="false" ht="15" hidden="false" customHeight="false" outlineLevel="0" collapsed="false">
      <c r="A1186" s="32" t="n">
        <v>1179</v>
      </c>
      <c r="B1186" s="33" t="n">
        <v>1607588</v>
      </c>
      <c r="C1186" s="34" t="s">
        <v>2443</v>
      </c>
      <c r="D1186" s="34" t="s">
        <v>2444</v>
      </c>
      <c r="E1186" s="34" t="s">
        <v>38</v>
      </c>
      <c r="F1186" s="32" t="n">
        <f aca="false">COUNTIF(Base!$D$2:$D$2878,B1186)</f>
        <v>1</v>
      </c>
      <c r="G1186" s="35" t="n">
        <f aca="false">SUMIF(Base!$D$2:$D$2878,B1186,Base!$I$2:$I$2878)</f>
        <v>824</v>
      </c>
      <c r="H1186" s="36" t="n">
        <f aca="false">IF($G$2849=0,0,G1186/$G$2849)</f>
        <v>5.40727144917802E-005</v>
      </c>
      <c r="I1186" s="37" t="n">
        <f aca="false">I1185+H1186</f>
        <v>0.973484500013874</v>
      </c>
      <c r="J1186" s="37" t="n">
        <f aca="false">A1186/2840</f>
        <v>0.415140845070423</v>
      </c>
      <c r="K1186" s="32" t="str">
        <f aca="false">IF(I1186&lt;=$E$4,"A",IF(I1186&lt;=$E$5,"B","C"))</f>
        <v>C</v>
      </c>
    </row>
    <row r="1187" customFormat="false" ht="15" hidden="false" customHeight="false" outlineLevel="0" collapsed="false">
      <c r="A1187" s="32" t="n">
        <v>1180</v>
      </c>
      <c r="B1187" s="33" t="n">
        <v>727092</v>
      </c>
      <c r="C1187" s="34" t="s">
        <v>2445</v>
      </c>
      <c r="D1187" s="34" t="s">
        <v>2446</v>
      </c>
      <c r="E1187" s="34" t="s">
        <v>457</v>
      </c>
      <c r="F1187" s="32" t="n">
        <f aca="false">COUNTIF(Base!$D$2:$D$2878,B1187)</f>
        <v>1</v>
      </c>
      <c r="G1187" s="35" t="n">
        <f aca="false">SUMIF(Base!$D$2:$D$2878,B1187,Base!$I$2:$I$2878)</f>
        <v>823.16</v>
      </c>
      <c r="H1187" s="36" t="n">
        <f aca="false">IF($G$2849=0,0,G1187/$G$2849)</f>
        <v>5.40175918216673E-005</v>
      </c>
      <c r="I1187" s="37" t="n">
        <f aca="false">I1186+H1187</f>
        <v>0.973538517605695</v>
      </c>
      <c r="J1187" s="37" t="n">
        <f aca="false">A1187/2840</f>
        <v>0.415492957746479</v>
      </c>
      <c r="K1187" s="32" t="str">
        <f aca="false">IF(I1187&lt;=$E$4,"A",IF(I1187&lt;=$E$5,"B","C"))</f>
        <v>C</v>
      </c>
    </row>
    <row r="1188" customFormat="false" ht="15" hidden="false" customHeight="false" outlineLevel="0" collapsed="false">
      <c r="A1188" s="32" t="n">
        <v>1181</v>
      </c>
      <c r="B1188" s="33" t="n">
        <v>19754</v>
      </c>
      <c r="C1188" s="34" t="s">
        <v>2447</v>
      </c>
      <c r="D1188" s="34" t="s">
        <v>2448</v>
      </c>
      <c r="E1188" s="34" t="s">
        <v>605</v>
      </c>
      <c r="F1188" s="32" t="n">
        <f aca="false">COUNTIF(Base!$D$2:$D$2878,B1188)</f>
        <v>1</v>
      </c>
      <c r="G1188" s="35" t="n">
        <f aca="false">SUMIF(Base!$D$2:$D$2878,B1188,Base!$I$2:$I$2878)</f>
        <v>816.25</v>
      </c>
      <c r="H1188" s="36" t="n">
        <f aca="false">IF($G$2849=0,0,G1188/$G$2849)</f>
        <v>5.35641422377617E-005</v>
      </c>
      <c r="I1188" s="37" t="n">
        <f aca="false">I1187+H1188</f>
        <v>0.973592081747933</v>
      </c>
      <c r="J1188" s="37" t="n">
        <f aca="false">A1188/2840</f>
        <v>0.415845070422535</v>
      </c>
      <c r="K1188" s="32" t="str">
        <f aca="false">IF(I1188&lt;=$E$4,"A",IF(I1188&lt;=$E$5,"B","C"))</f>
        <v>C</v>
      </c>
    </row>
    <row r="1189" customFormat="false" ht="15" hidden="false" customHeight="false" outlineLevel="0" collapsed="false">
      <c r="A1189" s="32" t="n">
        <v>1182</v>
      </c>
      <c r="B1189" s="33" t="n">
        <v>1661535</v>
      </c>
      <c r="C1189" s="34" t="s">
        <v>2449</v>
      </c>
      <c r="D1189" s="34" t="s">
        <v>2450</v>
      </c>
      <c r="E1189" s="34" t="s">
        <v>38</v>
      </c>
      <c r="F1189" s="32" t="n">
        <f aca="false">COUNTIF(Base!$D$2:$D$2878,B1189)</f>
        <v>1</v>
      </c>
      <c r="G1189" s="35" t="n">
        <f aca="false">SUMIF(Base!$D$2:$D$2878,B1189,Base!$I$2:$I$2878)</f>
        <v>816</v>
      </c>
      <c r="H1189" s="36" t="n">
        <f aca="false">IF($G$2849=0,0,G1189/$G$2849)</f>
        <v>5.35477366811804E-005</v>
      </c>
      <c r="I1189" s="37" t="n">
        <f aca="false">I1188+H1189</f>
        <v>0.973645629484614</v>
      </c>
      <c r="J1189" s="37" t="n">
        <f aca="false">A1189/2840</f>
        <v>0.416197183098592</v>
      </c>
      <c r="K1189" s="32" t="str">
        <f aca="false">IF(I1189&lt;=$E$4,"A",IF(I1189&lt;=$E$5,"B","C"))</f>
        <v>C</v>
      </c>
    </row>
    <row r="1190" customFormat="false" ht="15" hidden="false" customHeight="false" outlineLevel="0" collapsed="false">
      <c r="A1190" s="32" t="n">
        <v>1183</v>
      </c>
      <c r="B1190" s="33" t="n">
        <v>17855</v>
      </c>
      <c r="C1190" s="34" t="s">
        <v>2451</v>
      </c>
      <c r="D1190" s="34" t="s">
        <v>2452</v>
      </c>
      <c r="E1190" s="34" t="s">
        <v>835</v>
      </c>
      <c r="F1190" s="32" t="n">
        <f aca="false">COUNTIF(Base!$D$2:$D$2878,B1190)</f>
        <v>1</v>
      </c>
      <c r="G1190" s="35" t="n">
        <f aca="false">SUMIF(Base!$D$2:$D$2878,B1190,Base!$I$2:$I$2878)</f>
        <v>810</v>
      </c>
      <c r="H1190" s="36" t="n">
        <f aca="false">IF($G$2849=0,0,G1190/$G$2849)</f>
        <v>5.31540033232306E-005</v>
      </c>
      <c r="I1190" s="37" t="n">
        <f aca="false">I1189+H1190</f>
        <v>0.973698783487938</v>
      </c>
      <c r="J1190" s="37" t="n">
        <f aca="false">A1190/2840</f>
        <v>0.416549295774648</v>
      </c>
      <c r="K1190" s="32" t="str">
        <f aca="false">IF(I1190&lt;=$E$4,"A",IF(I1190&lt;=$E$5,"B","C"))</f>
        <v>C</v>
      </c>
    </row>
    <row r="1191" customFormat="false" ht="15" hidden="false" customHeight="false" outlineLevel="0" collapsed="false">
      <c r="A1191" s="32" t="n">
        <v>1184</v>
      </c>
      <c r="B1191" s="33" t="n">
        <v>17959</v>
      </c>
      <c r="C1191" s="34" t="s">
        <v>2453</v>
      </c>
      <c r="D1191" s="34" t="s">
        <v>2454</v>
      </c>
      <c r="E1191" s="34" t="s">
        <v>130</v>
      </c>
      <c r="F1191" s="32" t="n">
        <f aca="false">COUNTIF(Base!$D$2:$D$2878,B1191)</f>
        <v>1</v>
      </c>
      <c r="G1191" s="35" t="n">
        <f aca="false">SUMIF(Base!$D$2:$D$2878,B1191,Base!$I$2:$I$2878)</f>
        <v>804.3</v>
      </c>
      <c r="H1191" s="36" t="n">
        <f aca="false">IF($G$2849=0,0,G1191/$G$2849)</f>
        <v>5.27799566331782E-005</v>
      </c>
      <c r="I1191" s="37" t="n">
        <f aca="false">I1190+H1191</f>
        <v>0.973751563444571</v>
      </c>
      <c r="J1191" s="37" t="n">
        <f aca="false">A1191/2840</f>
        <v>0.416901408450704</v>
      </c>
      <c r="K1191" s="32" t="str">
        <f aca="false">IF(I1191&lt;=$E$4,"A",IF(I1191&lt;=$E$5,"B","C"))</f>
        <v>C</v>
      </c>
    </row>
    <row r="1192" customFormat="false" ht="15" hidden="false" customHeight="false" outlineLevel="0" collapsed="false">
      <c r="A1192" s="32" t="n">
        <v>1185</v>
      </c>
      <c r="B1192" s="33" t="n">
        <v>1677685</v>
      </c>
      <c r="C1192" s="34" t="s">
        <v>2455</v>
      </c>
      <c r="D1192" s="34" t="s">
        <v>2456</v>
      </c>
      <c r="E1192" s="34" t="s">
        <v>38</v>
      </c>
      <c r="F1192" s="32" t="n">
        <f aca="false">COUNTIF(Base!$D$2:$D$2878,B1192)</f>
        <v>1</v>
      </c>
      <c r="G1192" s="35" t="n">
        <f aca="false">SUMIF(Base!$D$2:$D$2878,B1192,Base!$I$2:$I$2878)</f>
        <v>801.36</v>
      </c>
      <c r="H1192" s="36" t="n">
        <f aca="false">IF($G$2849=0,0,G1192/$G$2849)</f>
        <v>5.25870272877828E-005</v>
      </c>
      <c r="I1192" s="37" t="n">
        <f aca="false">I1191+H1192</f>
        <v>0.973804150471859</v>
      </c>
      <c r="J1192" s="37" t="n">
        <f aca="false">A1192/2840</f>
        <v>0.417253521126761</v>
      </c>
      <c r="K1192" s="32" t="str">
        <f aca="false">IF(I1192&lt;=$E$4,"A",IF(I1192&lt;=$E$5,"B","C"))</f>
        <v>C</v>
      </c>
    </row>
    <row r="1193" customFormat="false" ht="15" hidden="false" customHeight="false" outlineLevel="0" collapsed="false">
      <c r="A1193" s="32" t="n">
        <v>1186</v>
      </c>
      <c r="B1193" s="33" t="n">
        <v>22705</v>
      </c>
      <c r="C1193" s="34" t="s">
        <v>2457</v>
      </c>
      <c r="D1193" s="34" t="s">
        <v>2458</v>
      </c>
      <c r="E1193" s="34" t="s">
        <v>334</v>
      </c>
      <c r="F1193" s="32" t="n">
        <f aca="false">COUNTIF(Base!$D$2:$D$2878,B1193)</f>
        <v>1</v>
      </c>
      <c r="G1193" s="35" t="n">
        <f aca="false">SUMIF(Base!$D$2:$D$2878,B1193,Base!$I$2:$I$2878)</f>
        <v>800</v>
      </c>
      <c r="H1193" s="36" t="n">
        <f aca="false">IF($G$2849=0,0,G1193/$G$2849)</f>
        <v>5.24977810599808E-005</v>
      </c>
      <c r="I1193" s="37" t="n">
        <f aca="false">I1192+H1193</f>
        <v>0.973856648252919</v>
      </c>
      <c r="J1193" s="37" t="n">
        <f aca="false">A1193/2840</f>
        <v>0.417605633802817</v>
      </c>
      <c r="K1193" s="32" t="str">
        <f aca="false">IF(I1193&lt;=$E$4,"A",IF(I1193&lt;=$E$5,"B","C"))</f>
        <v>C</v>
      </c>
    </row>
    <row r="1194" customFormat="false" ht="15" hidden="false" customHeight="false" outlineLevel="0" collapsed="false">
      <c r="A1194" s="32" t="n">
        <v>1187</v>
      </c>
      <c r="B1194" s="33" t="n">
        <v>878948</v>
      </c>
      <c r="C1194" s="34" t="s">
        <v>2459</v>
      </c>
      <c r="D1194" s="34" t="s">
        <v>2460</v>
      </c>
      <c r="E1194" s="34" t="s">
        <v>2056</v>
      </c>
      <c r="F1194" s="32" t="n">
        <f aca="false">COUNTIF(Base!$D$2:$D$2878,B1194)</f>
        <v>1</v>
      </c>
      <c r="G1194" s="35" t="n">
        <f aca="false">SUMIF(Base!$D$2:$D$2878,B1194,Base!$I$2:$I$2878)</f>
        <v>800</v>
      </c>
      <c r="H1194" s="36" t="n">
        <f aca="false">IF($G$2849=0,0,G1194/$G$2849)</f>
        <v>5.24977810599808E-005</v>
      </c>
      <c r="I1194" s="37" t="n">
        <f aca="false">I1193+H1194</f>
        <v>0.973909146033979</v>
      </c>
      <c r="J1194" s="37" t="n">
        <f aca="false">A1194/2840</f>
        <v>0.417957746478873</v>
      </c>
      <c r="K1194" s="32" t="str">
        <f aca="false">IF(I1194&lt;=$E$4,"A",IF(I1194&lt;=$E$5,"B","C"))</f>
        <v>C</v>
      </c>
    </row>
    <row r="1195" customFormat="false" ht="15" hidden="false" customHeight="false" outlineLevel="0" collapsed="false">
      <c r="A1195" s="32" t="n">
        <v>1188</v>
      </c>
      <c r="B1195" s="33" t="n">
        <v>19139</v>
      </c>
      <c r="C1195" s="34" t="s">
        <v>2461</v>
      </c>
      <c r="D1195" s="34" t="s">
        <v>2462</v>
      </c>
      <c r="E1195" s="34" t="s">
        <v>113</v>
      </c>
      <c r="F1195" s="32" t="n">
        <f aca="false">COUNTIF(Base!$D$2:$D$2878,B1195)</f>
        <v>1</v>
      </c>
      <c r="G1195" s="35" t="n">
        <f aca="false">SUMIF(Base!$D$2:$D$2878,B1195,Base!$I$2:$I$2878)</f>
        <v>797.98</v>
      </c>
      <c r="H1195" s="36" t="n">
        <f aca="false">IF($G$2849=0,0,G1195/$G$2849)</f>
        <v>5.23652241628044E-005</v>
      </c>
      <c r="I1195" s="37" t="n">
        <f aca="false">I1194+H1195</f>
        <v>0.973961511258141</v>
      </c>
      <c r="J1195" s="37" t="n">
        <f aca="false">A1195/2840</f>
        <v>0.41830985915493</v>
      </c>
      <c r="K1195" s="32" t="str">
        <f aca="false">IF(I1195&lt;=$E$4,"A",IF(I1195&lt;=$E$5,"B","C"))</f>
        <v>C</v>
      </c>
    </row>
    <row r="1196" customFormat="false" ht="15" hidden="false" customHeight="false" outlineLevel="0" collapsed="false">
      <c r="A1196" s="32" t="n">
        <v>1189</v>
      </c>
      <c r="B1196" s="33" t="n">
        <v>845685</v>
      </c>
      <c r="C1196" s="34" t="s">
        <v>2463</v>
      </c>
      <c r="D1196" s="34" t="s">
        <v>2464</v>
      </c>
      <c r="E1196" s="34" t="s">
        <v>262</v>
      </c>
      <c r="F1196" s="32" t="n">
        <f aca="false">COUNTIF(Base!$D$2:$D$2878,B1196)</f>
        <v>1</v>
      </c>
      <c r="G1196" s="35" t="n">
        <f aca="false">SUMIF(Base!$D$2:$D$2878,B1196,Base!$I$2:$I$2878)</f>
        <v>796</v>
      </c>
      <c r="H1196" s="36" t="n">
        <f aca="false">IF($G$2849=0,0,G1196/$G$2849)</f>
        <v>5.22352921546809E-005</v>
      </c>
      <c r="I1196" s="37" t="n">
        <f aca="false">I1195+H1196</f>
        <v>0.974013746550296</v>
      </c>
      <c r="J1196" s="37" t="n">
        <f aca="false">A1196/2840</f>
        <v>0.418661971830986</v>
      </c>
      <c r="K1196" s="32" t="str">
        <f aca="false">IF(I1196&lt;=$E$4,"A",IF(I1196&lt;=$E$5,"B","C"))</f>
        <v>C</v>
      </c>
    </row>
    <row r="1197" customFormat="false" ht="15" hidden="false" customHeight="false" outlineLevel="0" collapsed="false">
      <c r="A1197" s="32" t="n">
        <v>1190</v>
      </c>
      <c r="B1197" s="33" t="n">
        <v>31835</v>
      </c>
      <c r="C1197" s="34" t="s">
        <v>2465</v>
      </c>
      <c r="D1197" s="34" t="s">
        <v>2466</v>
      </c>
      <c r="E1197" s="34" t="s">
        <v>230</v>
      </c>
      <c r="F1197" s="32" t="n">
        <f aca="false">COUNTIF(Base!$D$2:$D$2878,B1197)</f>
        <v>1</v>
      </c>
      <c r="G1197" s="35" t="n">
        <f aca="false">SUMIF(Base!$D$2:$D$2878,B1197,Base!$I$2:$I$2878)</f>
        <v>792.6667</v>
      </c>
      <c r="H1197" s="36" t="n">
        <f aca="false">IF($G$2849=0,0,G1197/$G$2849)</f>
        <v>5.20165535876719E-005</v>
      </c>
      <c r="I1197" s="37" t="n">
        <f aca="false">I1196+H1197</f>
        <v>0.974065763103884</v>
      </c>
      <c r="J1197" s="37" t="n">
        <f aca="false">A1197/2840</f>
        <v>0.419014084507042</v>
      </c>
      <c r="K1197" s="32" t="str">
        <f aca="false">IF(I1197&lt;=$E$4,"A",IF(I1197&lt;=$E$5,"B","C"))</f>
        <v>C</v>
      </c>
    </row>
    <row r="1198" customFormat="false" ht="15" hidden="false" customHeight="false" outlineLevel="0" collapsed="false">
      <c r="A1198" s="32" t="n">
        <v>1191</v>
      </c>
      <c r="B1198" s="33" t="n">
        <v>65216</v>
      </c>
      <c r="C1198" s="34" t="s">
        <v>2467</v>
      </c>
      <c r="D1198" s="34" t="s">
        <v>2468</v>
      </c>
      <c r="E1198" s="34" t="s">
        <v>2056</v>
      </c>
      <c r="F1198" s="32" t="n">
        <f aca="false">COUNTIF(Base!$D$2:$D$2878,B1198)</f>
        <v>1</v>
      </c>
      <c r="G1198" s="35" t="n">
        <f aca="false">SUMIF(Base!$D$2:$D$2878,B1198,Base!$I$2:$I$2878)</f>
        <v>792</v>
      </c>
      <c r="H1198" s="36" t="n">
        <f aca="false">IF($G$2849=0,0,G1198/$G$2849)</f>
        <v>5.1972803249381E-005</v>
      </c>
      <c r="I1198" s="37" t="n">
        <f aca="false">I1197+H1198</f>
        <v>0.974117735907133</v>
      </c>
      <c r="J1198" s="37" t="n">
        <f aca="false">A1198/2840</f>
        <v>0.419366197183099</v>
      </c>
      <c r="K1198" s="32" t="str">
        <f aca="false">IF(I1198&lt;=$E$4,"A",IF(I1198&lt;=$E$5,"B","C"))</f>
        <v>C</v>
      </c>
    </row>
    <row r="1199" customFormat="false" ht="15" hidden="false" customHeight="false" outlineLevel="0" collapsed="false">
      <c r="A1199" s="32" t="n">
        <v>1192</v>
      </c>
      <c r="B1199" s="33" t="n">
        <v>1610266</v>
      </c>
      <c r="C1199" s="34" t="s">
        <v>2469</v>
      </c>
      <c r="D1199" s="34" t="s">
        <v>2470</v>
      </c>
      <c r="E1199" s="34" t="s">
        <v>38</v>
      </c>
      <c r="F1199" s="32" t="n">
        <f aca="false">COUNTIF(Base!$D$2:$D$2878,B1199)</f>
        <v>1</v>
      </c>
      <c r="G1199" s="35" t="n">
        <f aca="false">SUMIF(Base!$D$2:$D$2878,B1199,Base!$I$2:$I$2878)</f>
        <v>791.52</v>
      </c>
      <c r="H1199" s="36" t="n">
        <f aca="false">IF($G$2849=0,0,G1199/$G$2849)</f>
        <v>5.1941304580745E-005</v>
      </c>
      <c r="I1199" s="37" t="n">
        <f aca="false">I1198+H1199</f>
        <v>0.974169677211714</v>
      </c>
      <c r="J1199" s="37" t="n">
        <f aca="false">A1199/2840</f>
        <v>0.419718309859155</v>
      </c>
      <c r="K1199" s="32" t="str">
        <f aca="false">IF(I1199&lt;=$E$4,"A",IF(I1199&lt;=$E$5,"B","C"))</f>
        <v>C</v>
      </c>
    </row>
    <row r="1200" customFormat="false" ht="15" hidden="false" customHeight="false" outlineLevel="0" collapsed="false">
      <c r="A1200" s="32" t="n">
        <v>1193</v>
      </c>
      <c r="B1200" s="33" t="n">
        <v>1610267</v>
      </c>
      <c r="C1200" s="34" t="s">
        <v>2471</v>
      </c>
      <c r="D1200" s="34" t="s">
        <v>2472</v>
      </c>
      <c r="E1200" s="34" t="s">
        <v>38</v>
      </c>
      <c r="F1200" s="32" t="n">
        <f aca="false">COUNTIF(Base!$D$2:$D$2878,B1200)</f>
        <v>1</v>
      </c>
      <c r="G1200" s="35" t="n">
        <f aca="false">SUMIF(Base!$D$2:$D$2878,B1200,Base!$I$2:$I$2878)</f>
        <v>791.52</v>
      </c>
      <c r="H1200" s="36" t="n">
        <f aca="false">IF($G$2849=0,0,G1200/$G$2849)</f>
        <v>5.1941304580745E-005</v>
      </c>
      <c r="I1200" s="37" t="n">
        <f aca="false">I1199+H1200</f>
        <v>0.974221618516295</v>
      </c>
      <c r="J1200" s="37" t="n">
        <f aca="false">A1200/2840</f>
        <v>0.420070422535211</v>
      </c>
      <c r="K1200" s="32" t="str">
        <f aca="false">IF(I1200&lt;=$E$4,"A",IF(I1200&lt;=$E$5,"B","C"))</f>
        <v>C</v>
      </c>
    </row>
    <row r="1201" customFormat="false" ht="15" hidden="false" customHeight="false" outlineLevel="0" collapsed="false">
      <c r="A1201" s="32" t="n">
        <v>1194</v>
      </c>
      <c r="B1201" s="33" t="n">
        <v>282461</v>
      </c>
      <c r="C1201" s="34" t="s">
        <v>2473</v>
      </c>
      <c r="D1201" s="34" t="s">
        <v>2474</v>
      </c>
      <c r="E1201" s="34" t="s">
        <v>75</v>
      </c>
      <c r="F1201" s="32" t="n">
        <f aca="false">COUNTIF(Base!$D$2:$D$2878,B1201)</f>
        <v>1</v>
      </c>
      <c r="G1201" s="35" t="n">
        <f aca="false">SUMIF(Base!$D$2:$D$2878,B1201,Base!$I$2:$I$2878)</f>
        <v>790</v>
      </c>
      <c r="H1201" s="36" t="n">
        <f aca="false">IF($G$2849=0,0,G1201/$G$2849)</f>
        <v>5.18415587967311E-005</v>
      </c>
      <c r="I1201" s="37" t="n">
        <f aca="false">I1200+H1201</f>
        <v>0.974273460075091</v>
      </c>
      <c r="J1201" s="37" t="n">
        <f aca="false">A1201/2840</f>
        <v>0.420422535211268</v>
      </c>
      <c r="K1201" s="32" t="str">
        <f aca="false">IF(I1201&lt;=$E$4,"A",IF(I1201&lt;=$E$5,"B","C"))</f>
        <v>C</v>
      </c>
    </row>
    <row r="1202" customFormat="false" ht="15" hidden="false" customHeight="false" outlineLevel="0" collapsed="false">
      <c r="A1202" s="32" t="n">
        <v>1195</v>
      </c>
      <c r="B1202" s="33" t="n">
        <v>55060</v>
      </c>
      <c r="C1202" s="34" t="s">
        <v>2475</v>
      </c>
      <c r="D1202" s="34" t="s">
        <v>2476</v>
      </c>
      <c r="E1202" s="34" t="s">
        <v>38</v>
      </c>
      <c r="F1202" s="32" t="n">
        <f aca="false">COUNTIF(Base!$D$2:$D$2878,B1202)</f>
        <v>1</v>
      </c>
      <c r="G1202" s="35" t="n">
        <f aca="false">SUMIF(Base!$D$2:$D$2878,B1202,Base!$I$2:$I$2878)</f>
        <v>786</v>
      </c>
      <c r="H1202" s="36" t="n">
        <f aca="false">IF($G$2849=0,0,G1202/$G$2849)</f>
        <v>5.15790698914312E-005</v>
      </c>
      <c r="I1202" s="37" t="n">
        <f aca="false">I1201+H1202</f>
        <v>0.974325039144983</v>
      </c>
      <c r="J1202" s="37" t="n">
        <f aca="false">A1202/2840</f>
        <v>0.420774647887324</v>
      </c>
      <c r="K1202" s="32" t="str">
        <f aca="false">IF(I1202&lt;=$E$4,"A",IF(I1202&lt;=$E$5,"B","C"))</f>
        <v>C</v>
      </c>
    </row>
    <row r="1203" customFormat="false" ht="15" hidden="false" customHeight="false" outlineLevel="0" collapsed="false">
      <c r="A1203" s="32" t="n">
        <v>1196</v>
      </c>
      <c r="B1203" s="33" t="n">
        <v>22437</v>
      </c>
      <c r="C1203" s="34" t="s">
        <v>2477</v>
      </c>
      <c r="D1203" s="34" t="s">
        <v>2478</v>
      </c>
      <c r="E1203" s="34" t="s">
        <v>605</v>
      </c>
      <c r="F1203" s="32" t="n">
        <f aca="false">COUNTIF(Base!$D$2:$D$2878,B1203)</f>
        <v>1</v>
      </c>
      <c r="G1203" s="35" t="n">
        <f aca="false">SUMIF(Base!$D$2:$D$2878,B1203,Base!$I$2:$I$2878)</f>
        <v>785.9361</v>
      </c>
      <c r="H1203" s="36" t="n">
        <f aca="false">IF($G$2849=0,0,G1203/$G$2849)</f>
        <v>5.1574876631169E-005</v>
      </c>
      <c r="I1203" s="37" t="n">
        <f aca="false">I1202+H1203</f>
        <v>0.974376614021614</v>
      </c>
      <c r="J1203" s="37" t="n">
        <f aca="false">A1203/2840</f>
        <v>0.42112676056338</v>
      </c>
      <c r="K1203" s="32" t="str">
        <f aca="false">IF(I1203&lt;=$E$4,"A",IF(I1203&lt;=$E$5,"B","C"))</f>
        <v>C</v>
      </c>
    </row>
    <row r="1204" customFormat="false" ht="15" hidden="false" customHeight="false" outlineLevel="0" collapsed="false">
      <c r="A1204" s="32" t="n">
        <v>1197</v>
      </c>
      <c r="B1204" s="33" t="n">
        <v>281853</v>
      </c>
      <c r="C1204" s="34" t="s">
        <v>2479</v>
      </c>
      <c r="D1204" s="34" t="s">
        <v>2480</v>
      </c>
      <c r="E1204" s="34" t="s">
        <v>35</v>
      </c>
      <c r="F1204" s="32" t="n">
        <f aca="false">COUNTIF(Base!$D$2:$D$2878,B1204)</f>
        <v>1</v>
      </c>
      <c r="G1204" s="35" t="n">
        <f aca="false">SUMIF(Base!$D$2:$D$2878,B1204,Base!$I$2:$I$2878)</f>
        <v>785</v>
      </c>
      <c r="H1204" s="36" t="n">
        <f aca="false">IF($G$2849=0,0,G1204/$G$2849)</f>
        <v>5.15134476651062E-005</v>
      </c>
      <c r="I1204" s="37" t="n">
        <f aca="false">I1203+H1204</f>
        <v>0.974428127469279</v>
      </c>
      <c r="J1204" s="37" t="n">
        <f aca="false">A1204/2840</f>
        <v>0.421478873239437</v>
      </c>
      <c r="K1204" s="32" t="str">
        <f aca="false">IF(I1204&lt;=$E$4,"A",IF(I1204&lt;=$E$5,"B","C"))</f>
        <v>C</v>
      </c>
    </row>
    <row r="1205" customFormat="false" ht="15" hidden="false" customHeight="false" outlineLevel="0" collapsed="false">
      <c r="A1205" s="32" t="n">
        <v>1198</v>
      </c>
      <c r="B1205" s="33" t="n">
        <v>23344</v>
      </c>
      <c r="C1205" s="34" t="s">
        <v>2481</v>
      </c>
      <c r="D1205" s="34" t="s">
        <v>2482</v>
      </c>
      <c r="E1205" s="34" t="s">
        <v>189</v>
      </c>
      <c r="F1205" s="32" t="n">
        <f aca="false">COUNTIF(Base!$D$2:$D$2878,B1205)</f>
        <v>1</v>
      </c>
      <c r="G1205" s="35" t="n">
        <f aca="false">SUMIF(Base!$D$2:$D$2878,B1205,Base!$I$2:$I$2878)</f>
        <v>780.98</v>
      </c>
      <c r="H1205" s="36" t="n">
        <f aca="false">IF($G$2849=0,0,G1205/$G$2849)</f>
        <v>5.12496463152798E-005</v>
      </c>
      <c r="I1205" s="37" t="n">
        <f aca="false">I1204+H1205</f>
        <v>0.974479377115594</v>
      </c>
      <c r="J1205" s="37" t="n">
        <f aca="false">A1205/2840</f>
        <v>0.421830985915493</v>
      </c>
      <c r="K1205" s="32" t="str">
        <f aca="false">IF(I1205&lt;=$E$4,"A",IF(I1205&lt;=$E$5,"B","C"))</f>
        <v>C</v>
      </c>
    </row>
    <row r="1206" customFormat="false" ht="15" hidden="false" customHeight="false" outlineLevel="0" collapsed="false">
      <c r="A1206" s="32" t="n">
        <v>1199</v>
      </c>
      <c r="B1206" s="33" t="n">
        <v>1384913</v>
      </c>
      <c r="C1206" s="34" t="s">
        <v>2483</v>
      </c>
      <c r="D1206" s="34" t="s">
        <v>2484</v>
      </c>
      <c r="E1206" s="34" t="s">
        <v>38</v>
      </c>
      <c r="F1206" s="32" t="n">
        <f aca="false">COUNTIF(Base!$D$2:$D$2878,B1206)</f>
        <v>1</v>
      </c>
      <c r="G1206" s="35" t="n">
        <f aca="false">SUMIF(Base!$D$2:$D$2878,B1206,Base!$I$2:$I$2878)</f>
        <v>780.35</v>
      </c>
      <c r="H1206" s="36" t="n">
        <f aca="false">IF($G$2849=0,0,G1206/$G$2849)</f>
        <v>5.1208304312695E-005</v>
      </c>
      <c r="I1206" s="37" t="n">
        <f aca="false">I1205+H1206</f>
        <v>0.974530585419907</v>
      </c>
      <c r="J1206" s="37" t="n">
        <f aca="false">A1206/2840</f>
        <v>0.422183098591549</v>
      </c>
      <c r="K1206" s="32" t="str">
        <f aca="false">IF(I1206&lt;=$E$4,"A",IF(I1206&lt;=$E$5,"B","C"))</f>
        <v>C</v>
      </c>
    </row>
    <row r="1207" customFormat="false" ht="15" hidden="false" customHeight="false" outlineLevel="0" collapsed="false">
      <c r="A1207" s="32" t="n">
        <v>1200</v>
      </c>
      <c r="B1207" s="33" t="n">
        <v>291546</v>
      </c>
      <c r="C1207" s="34" t="s">
        <v>2485</v>
      </c>
      <c r="D1207" s="34" t="s">
        <v>2486</v>
      </c>
      <c r="E1207" s="34" t="s">
        <v>2056</v>
      </c>
      <c r="F1207" s="32" t="n">
        <f aca="false">COUNTIF(Base!$D$2:$D$2878,B1207)</f>
        <v>1</v>
      </c>
      <c r="G1207" s="35" t="n">
        <f aca="false">SUMIF(Base!$D$2:$D$2878,B1207,Base!$I$2:$I$2878)</f>
        <v>780</v>
      </c>
      <c r="H1207" s="36" t="n">
        <f aca="false">IF($G$2849=0,0,G1207/$G$2849)</f>
        <v>5.11853365334813E-005</v>
      </c>
      <c r="I1207" s="37" t="n">
        <f aca="false">I1206+H1207</f>
        <v>0.974581770756441</v>
      </c>
      <c r="J1207" s="37" t="n">
        <f aca="false">A1207/2840</f>
        <v>0.422535211267606</v>
      </c>
      <c r="K1207" s="32" t="str">
        <f aca="false">IF(I1207&lt;=$E$4,"A",IF(I1207&lt;=$E$5,"B","C"))</f>
        <v>C</v>
      </c>
    </row>
    <row r="1208" customFormat="false" ht="15" hidden="false" customHeight="false" outlineLevel="0" collapsed="false">
      <c r="A1208" s="32" t="n">
        <v>1201</v>
      </c>
      <c r="B1208" s="33" t="n">
        <v>1661834</v>
      </c>
      <c r="C1208" s="34" t="s">
        <v>2487</v>
      </c>
      <c r="D1208" s="34" t="s">
        <v>2488</v>
      </c>
      <c r="E1208" s="34" t="s">
        <v>133</v>
      </c>
      <c r="F1208" s="32" t="n">
        <f aca="false">COUNTIF(Base!$D$2:$D$2878,B1208)</f>
        <v>1</v>
      </c>
      <c r="G1208" s="35" t="n">
        <f aca="false">SUMIF(Base!$D$2:$D$2878,B1208,Base!$I$2:$I$2878)</f>
        <v>780</v>
      </c>
      <c r="H1208" s="36" t="n">
        <f aca="false">IF($G$2849=0,0,G1208/$G$2849)</f>
        <v>5.11853365334813E-005</v>
      </c>
      <c r="I1208" s="37" t="n">
        <f aca="false">I1207+H1208</f>
        <v>0.974632956092974</v>
      </c>
      <c r="J1208" s="37" t="n">
        <f aca="false">A1208/2840</f>
        <v>0.422887323943662</v>
      </c>
      <c r="K1208" s="32" t="str">
        <f aca="false">IF(I1208&lt;=$E$4,"A",IF(I1208&lt;=$E$5,"B","C"))</f>
        <v>C</v>
      </c>
    </row>
    <row r="1209" customFormat="false" ht="15" hidden="false" customHeight="false" outlineLevel="0" collapsed="false">
      <c r="A1209" s="32" t="n">
        <v>1202</v>
      </c>
      <c r="B1209" s="33" t="n">
        <v>1388043</v>
      </c>
      <c r="C1209" s="34" t="s">
        <v>2489</v>
      </c>
      <c r="D1209" s="34" t="s">
        <v>2490</v>
      </c>
      <c r="E1209" s="34" t="s">
        <v>38</v>
      </c>
      <c r="F1209" s="32" t="n">
        <f aca="false">COUNTIF(Base!$D$2:$D$2878,B1209)</f>
        <v>1</v>
      </c>
      <c r="G1209" s="35" t="n">
        <f aca="false">SUMIF(Base!$D$2:$D$2878,B1209,Base!$I$2:$I$2878)</f>
        <v>777.83</v>
      </c>
      <c r="H1209" s="36" t="n">
        <f aca="false">IF($G$2849=0,0,G1209/$G$2849)</f>
        <v>5.10429363023561E-005</v>
      </c>
      <c r="I1209" s="37" t="n">
        <f aca="false">I1208+H1209</f>
        <v>0.974683999029276</v>
      </c>
      <c r="J1209" s="37" t="n">
        <f aca="false">A1209/2840</f>
        <v>0.423239436619718</v>
      </c>
      <c r="K1209" s="32" t="str">
        <f aca="false">IF(I1209&lt;=$E$4,"A",IF(I1209&lt;=$E$5,"B","C"))</f>
        <v>C</v>
      </c>
    </row>
    <row r="1210" customFormat="false" ht="15" hidden="false" customHeight="false" outlineLevel="0" collapsed="false">
      <c r="A1210" s="32" t="n">
        <v>1203</v>
      </c>
      <c r="B1210" s="33" t="n">
        <v>287526</v>
      </c>
      <c r="C1210" s="34" t="s">
        <v>2491</v>
      </c>
      <c r="D1210" s="34" t="s">
        <v>2492</v>
      </c>
      <c r="E1210" s="34" t="s">
        <v>605</v>
      </c>
      <c r="F1210" s="32" t="n">
        <f aca="false">COUNTIF(Base!$D$2:$D$2878,B1210)</f>
        <v>1</v>
      </c>
      <c r="G1210" s="35" t="n">
        <f aca="false">SUMIF(Base!$D$2:$D$2878,B1210,Base!$I$2:$I$2878)</f>
        <v>774</v>
      </c>
      <c r="H1210" s="36" t="n">
        <f aca="false">IF($G$2849=0,0,G1210/$G$2849)</f>
        <v>5.07916031755314E-005</v>
      </c>
      <c r="I1210" s="37" t="n">
        <f aca="false">I1209+H1210</f>
        <v>0.974734790632452</v>
      </c>
      <c r="J1210" s="37" t="n">
        <f aca="false">A1210/2840</f>
        <v>0.423591549295775</v>
      </c>
      <c r="K1210" s="32" t="str">
        <f aca="false">IF(I1210&lt;=$E$4,"A",IF(I1210&lt;=$E$5,"B","C"))</f>
        <v>C</v>
      </c>
    </row>
    <row r="1211" customFormat="false" ht="15" hidden="false" customHeight="false" outlineLevel="0" collapsed="false">
      <c r="A1211" s="32" t="n">
        <v>1204</v>
      </c>
      <c r="B1211" s="33" t="n">
        <v>23466</v>
      </c>
      <c r="C1211" s="34" t="s">
        <v>2493</v>
      </c>
      <c r="D1211" s="34" t="s">
        <v>2494</v>
      </c>
      <c r="E1211" s="34" t="s">
        <v>334</v>
      </c>
      <c r="F1211" s="32" t="n">
        <f aca="false">COUNTIF(Base!$D$2:$D$2878,B1211)</f>
        <v>1</v>
      </c>
      <c r="G1211" s="35" t="n">
        <f aca="false">SUMIF(Base!$D$2:$D$2878,B1211,Base!$I$2:$I$2878)</f>
        <v>772.8</v>
      </c>
      <c r="H1211" s="36" t="n">
        <f aca="false">IF($G$2849=0,0,G1211/$G$2849)</f>
        <v>5.07128565039415E-005</v>
      </c>
      <c r="I1211" s="37" t="n">
        <f aca="false">I1210+H1211</f>
        <v>0.974785503488956</v>
      </c>
      <c r="J1211" s="37" t="n">
        <f aca="false">A1211/2840</f>
        <v>0.423943661971831</v>
      </c>
      <c r="K1211" s="32" t="str">
        <f aca="false">IF(I1211&lt;=$E$4,"A",IF(I1211&lt;=$E$5,"B","C"))</f>
        <v>C</v>
      </c>
    </row>
    <row r="1212" customFormat="false" ht="15" hidden="false" customHeight="false" outlineLevel="0" collapsed="false">
      <c r="A1212" s="32" t="n">
        <v>1205</v>
      </c>
      <c r="B1212" s="33" t="n">
        <v>559853</v>
      </c>
      <c r="C1212" s="34" t="s">
        <v>2495</v>
      </c>
      <c r="D1212" s="34" t="s">
        <v>2496</v>
      </c>
      <c r="E1212" s="34" t="s">
        <v>38</v>
      </c>
      <c r="F1212" s="32" t="n">
        <f aca="false">COUNTIF(Base!$D$2:$D$2878,B1212)</f>
        <v>1</v>
      </c>
      <c r="G1212" s="35" t="n">
        <f aca="false">SUMIF(Base!$D$2:$D$2878,B1212,Base!$I$2:$I$2878)</f>
        <v>770.59</v>
      </c>
      <c r="H1212" s="36" t="n">
        <f aca="false">IF($G$2849=0,0,G1212/$G$2849)</f>
        <v>5.05678313837633E-005</v>
      </c>
      <c r="I1212" s="37" t="n">
        <f aca="false">I1211+H1212</f>
        <v>0.97483607132034</v>
      </c>
      <c r="J1212" s="37" t="n">
        <f aca="false">A1212/2840</f>
        <v>0.424295774647887</v>
      </c>
      <c r="K1212" s="32" t="str">
        <f aca="false">IF(I1212&lt;=$E$4,"A",IF(I1212&lt;=$E$5,"B","C"))</f>
        <v>C</v>
      </c>
    </row>
    <row r="1213" customFormat="false" ht="15" hidden="false" customHeight="false" outlineLevel="0" collapsed="false">
      <c r="A1213" s="32" t="n">
        <v>1206</v>
      </c>
      <c r="B1213" s="33" t="n">
        <v>839802</v>
      </c>
      <c r="C1213" s="34" t="s">
        <v>2497</v>
      </c>
      <c r="D1213" s="34" t="s">
        <v>2498</v>
      </c>
      <c r="E1213" s="34" t="s">
        <v>38</v>
      </c>
      <c r="F1213" s="32" t="n">
        <f aca="false">COUNTIF(Base!$D$2:$D$2878,B1213)</f>
        <v>1</v>
      </c>
      <c r="G1213" s="35" t="n">
        <f aca="false">SUMIF(Base!$D$2:$D$2878,B1213,Base!$I$2:$I$2878)</f>
        <v>770</v>
      </c>
      <c r="H1213" s="36" t="n">
        <f aca="false">IF($G$2849=0,0,G1213/$G$2849)</f>
        <v>5.05291142702315E-005</v>
      </c>
      <c r="I1213" s="37" t="n">
        <f aca="false">I1212+H1213</f>
        <v>0.97488660043461</v>
      </c>
      <c r="J1213" s="37" t="n">
        <f aca="false">A1213/2840</f>
        <v>0.424647887323944</v>
      </c>
      <c r="K1213" s="32" t="str">
        <f aca="false">IF(I1213&lt;=$E$4,"A",IF(I1213&lt;=$E$5,"B","C"))</f>
        <v>C</v>
      </c>
    </row>
    <row r="1214" customFormat="false" ht="15" hidden="false" customHeight="false" outlineLevel="0" collapsed="false">
      <c r="A1214" s="32" t="n">
        <v>1207</v>
      </c>
      <c r="B1214" s="33" t="n">
        <v>735026</v>
      </c>
      <c r="C1214" s="34" t="s">
        <v>2499</v>
      </c>
      <c r="D1214" s="34" t="s">
        <v>2500</v>
      </c>
      <c r="E1214" s="34" t="s">
        <v>54</v>
      </c>
      <c r="F1214" s="32" t="n">
        <f aca="false">COUNTIF(Base!$D$2:$D$2878,B1214)</f>
        <v>1</v>
      </c>
      <c r="G1214" s="35" t="n">
        <f aca="false">SUMIF(Base!$D$2:$D$2878,B1214,Base!$I$2:$I$2878)</f>
        <v>768.341</v>
      </c>
      <c r="H1214" s="36" t="n">
        <f aca="false">IF($G$2849=0,0,G1214/$G$2849)</f>
        <v>5.04202469967584E-005</v>
      </c>
      <c r="I1214" s="37" t="n">
        <f aca="false">I1213+H1214</f>
        <v>0.974937020681607</v>
      </c>
      <c r="J1214" s="37" t="n">
        <f aca="false">A1214/2840</f>
        <v>0.425</v>
      </c>
      <c r="K1214" s="32" t="str">
        <f aca="false">IF(I1214&lt;=$E$4,"A",IF(I1214&lt;=$E$5,"B","C"))</f>
        <v>C</v>
      </c>
    </row>
    <row r="1215" customFormat="false" ht="15" hidden="false" customHeight="false" outlineLevel="0" collapsed="false">
      <c r="A1215" s="32" t="n">
        <v>1208</v>
      </c>
      <c r="B1215" s="33" t="n">
        <v>17947</v>
      </c>
      <c r="C1215" s="34" t="s">
        <v>2501</v>
      </c>
      <c r="D1215" s="34" t="s">
        <v>2502</v>
      </c>
      <c r="E1215" s="34" t="s">
        <v>130</v>
      </c>
      <c r="F1215" s="32" t="n">
        <f aca="false">COUNTIF(Base!$D$2:$D$2878,B1215)</f>
        <v>1</v>
      </c>
      <c r="G1215" s="35" t="n">
        <f aca="false">SUMIF(Base!$D$2:$D$2878,B1215,Base!$I$2:$I$2878)</f>
        <v>765.6</v>
      </c>
      <c r="H1215" s="36" t="n">
        <f aca="false">IF($G$2849=0,0,G1215/$G$2849)</f>
        <v>5.02403764744016E-005</v>
      </c>
      <c r="I1215" s="37" t="n">
        <f aca="false">I1214+H1215</f>
        <v>0.974987261058081</v>
      </c>
      <c r="J1215" s="37" t="n">
        <f aca="false">A1215/2840</f>
        <v>0.425352112676056</v>
      </c>
      <c r="K1215" s="32" t="str">
        <f aca="false">IF(I1215&lt;=$E$4,"A",IF(I1215&lt;=$E$5,"B","C"))</f>
        <v>C</v>
      </c>
    </row>
    <row r="1216" customFormat="false" ht="15" hidden="false" customHeight="false" outlineLevel="0" collapsed="false">
      <c r="A1216" s="32" t="n">
        <v>1209</v>
      </c>
      <c r="B1216" s="33" t="n">
        <v>881433</v>
      </c>
      <c r="C1216" s="34" t="s">
        <v>2503</v>
      </c>
      <c r="D1216" s="34" t="s">
        <v>2504</v>
      </c>
      <c r="E1216" s="34" t="s">
        <v>38</v>
      </c>
      <c r="F1216" s="32" t="n">
        <f aca="false">COUNTIF(Base!$D$2:$D$2878,B1216)</f>
        <v>1</v>
      </c>
      <c r="G1216" s="35" t="n">
        <f aca="false">SUMIF(Base!$D$2:$D$2878,B1216,Base!$I$2:$I$2878)</f>
        <v>765.2</v>
      </c>
      <c r="H1216" s="36" t="n">
        <f aca="false">IF($G$2849=0,0,G1216/$G$2849)</f>
        <v>5.02141275838717E-005</v>
      </c>
      <c r="I1216" s="37" t="n">
        <f aca="false">I1215+H1216</f>
        <v>0.975037475185665</v>
      </c>
      <c r="J1216" s="37" t="n">
        <f aca="false">A1216/2840</f>
        <v>0.425704225352113</v>
      </c>
      <c r="K1216" s="32" t="str">
        <f aca="false">IF(I1216&lt;=$E$4,"A",IF(I1216&lt;=$E$5,"B","C"))</f>
        <v>C</v>
      </c>
    </row>
    <row r="1217" customFormat="false" ht="15" hidden="false" customHeight="false" outlineLevel="0" collapsed="false">
      <c r="A1217" s="32" t="n">
        <v>1210</v>
      </c>
      <c r="B1217" s="33" t="n">
        <v>21324</v>
      </c>
      <c r="C1217" s="34" t="s">
        <v>2505</v>
      </c>
      <c r="D1217" s="34" t="s">
        <v>2506</v>
      </c>
      <c r="E1217" s="34" t="s">
        <v>334</v>
      </c>
      <c r="F1217" s="32" t="n">
        <f aca="false">COUNTIF(Base!$D$2:$D$2878,B1217)</f>
        <v>1</v>
      </c>
      <c r="G1217" s="35" t="n">
        <f aca="false">SUMIF(Base!$D$2:$D$2878,B1217,Base!$I$2:$I$2878)</f>
        <v>764</v>
      </c>
      <c r="H1217" s="36" t="n">
        <f aca="false">IF($G$2849=0,0,G1217/$G$2849)</f>
        <v>5.01353809122817E-005</v>
      </c>
      <c r="I1217" s="37" t="n">
        <f aca="false">I1216+H1217</f>
        <v>0.975087610566577</v>
      </c>
      <c r="J1217" s="37" t="n">
        <f aca="false">A1217/2840</f>
        <v>0.426056338028169</v>
      </c>
      <c r="K1217" s="32" t="str">
        <f aca="false">IF(I1217&lt;=$E$4,"A",IF(I1217&lt;=$E$5,"B","C"))</f>
        <v>C</v>
      </c>
    </row>
    <row r="1218" customFormat="false" ht="15" hidden="false" customHeight="false" outlineLevel="0" collapsed="false">
      <c r="A1218" s="32" t="n">
        <v>1211</v>
      </c>
      <c r="B1218" s="33" t="n">
        <v>1470135</v>
      </c>
      <c r="C1218" s="34" t="s">
        <v>2507</v>
      </c>
      <c r="D1218" s="34" t="s">
        <v>2508</v>
      </c>
      <c r="E1218" s="34" t="s">
        <v>230</v>
      </c>
      <c r="F1218" s="32" t="n">
        <f aca="false">COUNTIF(Base!$D$2:$D$2878,B1218)</f>
        <v>1</v>
      </c>
      <c r="G1218" s="35" t="n">
        <f aca="false">SUMIF(Base!$D$2:$D$2878,B1218,Base!$I$2:$I$2878)</f>
        <v>764</v>
      </c>
      <c r="H1218" s="36" t="n">
        <f aca="false">IF($G$2849=0,0,G1218/$G$2849)</f>
        <v>5.01353809122817E-005</v>
      </c>
      <c r="I1218" s="37" t="n">
        <f aca="false">I1217+H1218</f>
        <v>0.97513774594749</v>
      </c>
      <c r="J1218" s="37" t="n">
        <f aca="false">A1218/2840</f>
        <v>0.426408450704225</v>
      </c>
      <c r="K1218" s="32" t="str">
        <f aca="false">IF(I1218&lt;=$E$4,"A",IF(I1218&lt;=$E$5,"B","C"))</f>
        <v>C</v>
      </c>
    </row>
    <row r="1219" customFormat="false" ht="15" hidden="false" customHeight="false" outlineLevel="0" collapsed="false">
      <c r="A1219" s="32" t="n">
        <v>1212</v>
      </c>
      <c r="B1219" s="33" t="n">
        <v>19664</v>
      </c>
      <c r="C1219" s="34" t="s">
        <v>2509</v>
      </c>
      <c r="D1219" s="34" t="s">
        <v>2510</v>
      </c>
      <c r="E1219" s="34" t="s">
        <v>1095</v>
      </c>
      <c r="F1219" s="32" t="n">
        <f aca="false">COUNTIF(Base!$D$2:$D$2878,B1219)</f>
        <v>1</v>
      </c>
      <c r="G1219" s="35" t="n">
        <f aca="false">SUMIF(Base!$D$2:$D$2878,B1219,Base!$I$2:$I$2878)</f>
        <v>760.2415</v>
      </c>
      <c r="H1219" s="36" t="n">
        <f aca="false">IF($G$2849=0,0,G1219/$G$2849)</f>
        <v>4.98887397746393E-005</v>
      </c>
      <c r="I1219" s="37" t="n">
        <f aca="false">I1218+H1219</f>
        <v>0.975187634687264</v>
      </c>
      <c r="J1219" s="37" t="n">
        <f aca="false">A1219/2840</f>
        <v>0.426760563380282</v>
      </c>
      <c r="K1219" s="32" t="str">
        <f aca="false">IF(I1219&lt;=$E$4,"A",IF(I1219&lt;=$E$5,"B","C"))</f>
        <v>C</v>
      </c>
    </row>
    <row r="1220" customFormat="false" ht="15" hidden="false" customHeight="false" outlineLevel="0" collapsed="false">
      <c r="A1220" s="32" t="n">
        <v>1213</v>
      </c>
      <c r="B1220" s="33" t="n">
        <v>1605943</v>
      </c>
      <c r="C1220" s="34" t="s">
        <v>2511</v>
      </c>
      <c r="D1220" s="34" t="s">
        <v>2512</v>
      </c>
      <c r="E1220" s="34" t="s">
        <v>38</v>
      </c>
      <c r="F1220" s="32" t="n">
        <f aca="false">COUNTIF(Base!$D$2:$D$2878,B1220)</f>
        <v>1</v>
      </c>
      <c r="G1220" s="35" t="n">
        <f aca="false">SUMIF(Base!$D$2:$D$2878,B1220,Base!$I$2:$I$2878)</f>
        <v>760.24</v>
      </c>
      <c r="H1220" s="36" t="n">
        <f aca="false">IF($G$2849=0,0,G1220/$G$2849)</f>
        <v>4.98886413412998E-005</v>
      </c>
      <c r="I1220" s="37" t="n">
        <f aca="false">I1219+H1220</f>
        <v>0.975237523328605</v>
      </c>
      <c r="J1220" s="37" t="n">
        <f aca="false">A1220/2840</f>
        <v>0.427112676056338</v>
      </c>
      <c r="K1220" s="32" t="str">
        <f aca="false">IF(I1220&lt;=$E$4,"A",IF(I1220&lt;=$E$5,"B","C"))</f>
        <v>C</v>
      </c>
    </row>
    <row r="1221" customFormat="false" ht="15" hidden="false" customHeight="false" outlineLevel="0" collapsed="false">
      <c r="A1221" s="32" t="n">
        <v>1214</v>
      </c>
      <c r="B1221" s="33" t="n">
        <v>875415</v>
      </c>
      <c r="C1221" s="34" t="s">
        <v>2513</v>
      </c>
      <c r="D1221" s="34" t="s">
        <v>2514</v>
      </c>
      <c r="E1221" s="34" t="s">
        <v>247</v>
      </c>
      <c r="F1221" s="32" t="n">
        <f aca="false">COUNTIF(Base!$D$2:$D$2878,B1221)</f>
        <v>1</v>
      </c>
      <c r="G1221" s="35" t="n">
        <f aca="false">SUMIF(Base!$D$2:$D$2878,B1221,Base!$I$2:$I$2878)</f>
        <v>760</v>
      </c>
      <c r="H1221" s="36" t="n">
        <f aca="false">IF($G$2849=0,0,G1221/$G$2849)</f>
        <v>4.98728920069818E-005</v>
      </c>
      <c r="I1221" s="37" t="n">
        <f aca="false">I1220+H1221</f>
        <v>0.975287396220612</v>
      </c>
      <c r="J1221" s="37" t="n">
        <f aca="false">A1221/2840</f>
        <v>0.427464788732394</v>
      </c>
      <c r="K1221" s="32" t="str">
        <f aca="false">IF(I1221&lt;=$E$4,"A",IF(I1221&lt;=$E$5,"B","C"))</f>
        <v>C</v>
      </c>
    </row>
    <row r="1222" customFormat="false" ht="15" hidden="false" customHeight="false" outlineLevel="0" collapsed="false">
      <c r="A1222" s="32" t="n">
        <v>1215</v>
      </c>
      <c r="B1222" s="33" t="n">
        <v>1540527</v>
      </c>
      <c r="C1222" s="34" t="s">
        <v>2515</v>
      </c>
      <c r="D1222" s="34" t="s">
        <v>2516</v>
      </c>
      <c r="E1222" s="34" t="s">
        <v>38</v>
      </c>
      <c r="F1222" s="32" t="n">
        <f aca="false">COUNTIF(Base!$D$2:$D$2878,B1222)</f>
        <v>1</v>
      </c>
      <c r="G1222" s="35" t="n">
        <f aca="false">SUMIF(Base!$D$2:$D$2878,B1222,Base!$I$2:$I$2878)</f>
        <v>760</v>
      </c>
      <c r="H1222" s="36" t="n">
        <f aca="false">IF($G$2849=0,0,G1222/$G$2849)</f>
        <v>4.98728920069818E-005</v>
      </c>
      <c r="I1222" s="37" t="n">
        <f aca="false">I1221+H1222</f>
        <v>0.975337269112619</v>
      </c>
      <c r="J1222" s="37" t="n">
        <f aca="false">A1222/2840</f>
        <v>0.427816901408451</v>
      </c>
      <c r="K1222" s="32" t="str">
        <f aca="false">IF(I1222&lt;=$E$4,"A",IF(I1222&lt;=$E$5,"B","C"))</f>
        <v>C</v>
      </c>
    </row>
    <row r="1223" customFormat="false" ht="15" hidden="false" customHeight="false" outlineLevel="0" collapsed="false">
      <c r="A1223" s="32" t="n">
        <v>1216</v>
      </c>
      <c r="B1223" s="33" t="n">
        <v>934657</v>
      </c>
      <c r="C1223" s="34" t="s">
        <v>2517</v>
      </c>
      <c r="D1223" s="34" t="s">
        <v>2518</v>
      </c>
      <c r="E1223" s="34" t="s">
        <v>38</v>
      </c>
      <c r="F1223" s="32" t="n">
        <f aca="false">COUNTIF(Base!$D$2:$D$2878,B1223)</f>
        <v>1</v>
      </c>
      <c r="G1223" s="35" t="n">
        <f aca="false">SUMIF(Base!$D$2:$D$2878,B1223,Base!$I$2:$I$2878)</f>
        <v>759.6</v>
      </c>
      <c r="H1223" s="36" t="n">
        <f aca="false">IF($G$2849=0,0,G1223/$G$2849)</f>
        <v>4.98466431164518E-005</v>
      </c>
      <c r="I1223" s="37" t="n">
        <f aca="false">I1222+H1223</f>
        <v>0.975387115755736</v>
      </c>
      <c r="J1223" s="37" t="n">
        <f aca="false">A1223/2840</f>
        <v>0.428169014084507</v>
      </c>
      <c r="K1223" s="32" t="str">
        <f aca="false">IF(I1223&lt;=$E$4,"A",IF(I1223&lt;=$E$5,"B","C"))</f>
        <v>C</v>
      </c>
    </row>
    <row r="1224" customFormat="false" ht="15" hidden="false" customHeight="false" outlineLevel="0" collapsed="false">
      <c r="A1224" s="32" t="n">
        <v>1217</v>
      </c>
      <c r="B1224" s="33" t="n">
        <v>865892</v>
      </c>
      <c r="C1224" s="34" t="s">
        <v>2519</v>
      </c>
      <c r="D1224" s="34" t="s">
        <v>2520</v>
      </c>
      <c r="E1224" s="34" t="s">
        <v>262</v>
      </c>
      <c r="F1224" s="32" t="n">
        <f aca="false">COUNTIF(Base!$D$2:$D$2878,B1224)</f>
        <v>1</v>
      </c>
      <c r="G1224" s="35" t="n">
        <f aca="false">SUMIF(Base!$D$2:$D$2878,B1224,Base!$I$2:$I$2878)</f>
        <v>757.6</v>
      </c>
      <c r="H1224" s="36" t="n">
        <f aca="false">IF($G$2849=0,0,G1224/$G$2849)</f>
        <v>4.97153986638018E-005</v>
      </c>
      <c r="I1224" s="37" t="n">
        <f aca="false">I1223+H1224</f>
        <v>0.9754368311544</v>
      </c>
      <c r="J1224" s="37" t="n">
        <f aca="false">A1224/2840</f>
        <v>0.428521126760563</v>
      </c>
      <c r="K1224" s="32" t="str">
        <f aca="false">IF(I1224&lt;=$E$4,"A",IF(I1224&lt;=$E$5,"B","C"))</f>
        <v>C</v>
      </c>
    </row>
    <row r="1225" customFormat="false" ht="15" hidden="false" customHeight="false" outlineLevel="0" collapsed="false">
      <c r="A1225" s="32" t="n">
        <v>1218</v>
      </c>
      <c r="B1225" s="33" t="n">
        <v>141773</v>
      </c>
      <c r="C1225" s="34" t="s">
        <v>2521</v>
      </c>
      <c r="D1225" s="34" t="s">
        <v>2522</v>
      </c>
      <c r="E1225" s="34" t="s">
        <v>35</v>
      </c>
      <c r="F1225" s="32" t="n">
        <f aca="false">COUNTIF(Base!$D$2:$D$2878,B1225)</f>
        <v>1</v>
      </c>
      <c r="G1225" s="35" t="n">
        <f aca="false">SUMIF(Base!$D$2:$D$2878,B1225,Base!$I$2:$I$2878)</f>
        <v>756</v>
      </c>
      <c r="H1225" s="36" t="n">
        <f aca="false">IF($G$2849=0,0,G1225/$G$2849)</f>
        <v>4.96104031016819E-005</v>
      </c>
      <c r="I1225" s="37" t="n">
        <f aca="false">I1224+H1225</f>
        <v>0.975486441557501</v>
      </c>
      <c r="J1225" s="37" t="n">
        <f aca="false">A1225/2840</f>
        <v>0.42887323943662</v>
      </c>
      <c r="K1225" s="32" t="str">
        <f aca="false">IF(I1225&lt;=$E$4,"A",IF(I1225&lt;=$E$5,"B","C"))</f>
        <v>C</v>
      </c>
    </row>
    <row r="1226" customFormat="false" ht="15" hidden="false" customHeight="false" outlineLevel="0" collapsed="false">
      <c r="A1226" s="32" t="n">
        <v>1219</v>
      </c>
      <c r="B1226" s="33" t="n">
        <v>1654527</v>
      </c>
      <c r="C1226" s="34" t="s">
        <v>2523</v>
      </c>
      <c r="D1226" s="34" t="s">
        <v>2524</v>
      </c>
      <c r="E1226" s="34" t="s">
        <v>217</v>
      </c>
      <c r="F1226" s="32" t="n">
        <f aca="false">COUNTIF(Base!$D$2:$D$2878,B1226)</f>
        <v>1</v>
      </c>
      <c r="G1226" s="35" t="n">
        <f aca="false">SUMIF(Base!$D$2:$D$2878,B1226,Base!$I$2:$I$2878)</f>
        <v>753.23</v>
      </c>
      <c r="H1226" s="36" t="n">
        <f aca="false">IF($G$2849=0,0,G1226/$G$2849)</f>
        <v>4.94286295347617E-005</v>
      </c>
      <c r="I1226" s="37" t="n">
        <f aca="false">I1225+H1226</f>
        <v>0.975535870187036</v>
      </c>
      <c r="J1226" s="37" t="n">
        <f aca="false">A1226/2840</f>
        <v>0.429225352112676</v>
      </c>
      <c r="K1226" s="32" t="str">
        <f aca="false">IF(I1226&lt;=$E$4,"A",IF(I1226&lt;=$E$5,"B","C"))</f>
        <v>C</v>
      </c>
    </row>
    <row r="1227" customFormat="false" ht="15" hidden="false" customHeight="false" outlineLevel="0" collapsed="false">
      <c r="A1227" s="32" t="n">
        <v>1220</v>
      </c>
      <c r="B1227" s="33" t="n">
        <v>1171415</v>
      </c>
      <c r="C1227" s="34" t="s">
        <v>2525</v>
      </c>
      <c r="D1227" s="34" t="s">
        <v>2526</v>
      </c>
      <c r="E1227" s="34" t="s">
        <v>54</v>
      </c>
      <c r="F1227" s="32" t="n">
        <f aca="false">COUNTIF(Base!$D$2:$D$2878,B1227)</f>
        <v>1</v>
      </c>
      <c r="G1227" s="35" t="n">
        <f aca="false">SUMIF(Base!$D$2:$D$2878,B1227,Base!$I$2:$I$2878)</f>
        <v>752.93</v>
      </c>
      <c r="H1227" s="36" t="n">
        <f aca="false">IF($G$2849=0,0,G1227/$G$2849)</f>
        <v>4.94089428668642E-005</v>
      </c>
      <c r="I1227" s="37" t="n">
        <f aca="false">I1226+H1227</f>
        <v>0.975585279129903</v>
      </c>
      <c r="J1227" s="37" t="n">
        <f aca="false">A1227/2840</f>
        <v>0.429577464788732</v>
      </c>
      <c r="K1227" s="32" t="str">
        <f aca="false">IF(I1227&lt;=$E$4,"A",IF(I1227&lt;=$E$5,"B","C"))</f>
        <v>C</v>
      </c>
    </row>
    <row r="1228" customFormat="false" ht="15" hidden="false" customHeight="false" outlineLevel="0" collapsed="false">
      <c r="A1228" s="32" t="n">
        <v>1221</v>
      </c>
      <c r="B1228" s="33" t="n">
        <v>1677688</v>
      </c>
      <c r="C1228" s="34" t="s">
        <v>2527</v>
      </c>
      <c r="D1228" s="34" t="s">
        <v>2528</v>
      </c>
      <c r="E1228" s="34" t="s">
        <v>138</v>
      </c>
      <c r="F1228" s="32" t="n">
        <f aca="false">COUNTIF(Base!$D$2:$D$2878,B1228)</f>
        <v>1</v>
      </c>
      <c r="G1228" s="35" t="n">
        <f aca="false">SUMIF(Base!$D$2:$D$2878,B1228,Base!$I$2:$I$2878)</f>
        <v>751.68</v>
      </c>
      <c r="H1228" s="36" t="n">
        <f aca="false">IF($G$2849=0,0,G1228/$G$2849)</f>
        <v>4.9326915083958E-005</v>
      </c>
      <c r="I1228" s="37" t="n">
        <f aca="false">I1227+H1228</f>
        <v>0.975634606044987</v>
      </c>
      <c r="J1228" s="37" t="n">
        <f aca="false">A1228/2840</f>
        <v>0.429929577464789</v>
      </c>
      <c r="K1228" s="32" t="str">
        <f aca="false">IF(I1228&lt;=$E$4,"A",IF(I1228&lt;=$E$5,"B","C"))</f>
        <v>C</v>
      </c>
    </row>
    <row r="1229" customFormat="false" ht="15" hidden="false" customHeight="false" outlineLevel="0" collapsed="false">
      <c r="A1229" s="32" t="n">
        <v>1222</v>
      </c>
      <c r="B1229" s="33" t="n">
        <v>600761</v>
      </c>
      <c r="C1229" s="34" t="s">
        <v>2529</v>
      </c>
      <c r="D1229" s="34" t="s">
        <v>2530</v>
      </c>
      <c r="E1229" s="34" t="s">
        <v>247</v>
      </c>
      <c r="F1229" s="32" t="n">
        <f aca="false">COUNTIF(Base!$D$2:$D$2878,B1229)</f>
        <v>1</v>
      </c>
      <c r="G1229" s="35" t="n">
        <f aca="false">SUMIF(Base!$D$2:$D$2878,B1229,Base!$I$2:$I$2878)</f>
        <v>751.5</v>
      </c>
      <c r="H1229" s="36" t="n">
        <f aca="false">IF($G$2849=0,0,G1229/$G$2849)</f>
        <v>4.93151030832195E-005</v>
      </c>
      <c r="I1229" s="37" t="n">
        <f aca="false">I1228+H1229</f>
        <v>0.97568392114807</v>
      </c>
      <c r="J1229" s="37" t="n">
        <f aca="false">A1229/2840</f>
        <v>0.430281690140845</v>
      </c>
      <c r="K1229" s="32" t="str">
        <f aca="false">IF(I1229&lt;=$E$4,"A",IF(I1229&lt;=$E$5,"B","C"))</f>
        <v>C</v>
      </c>
    </row>
    <row r="1230" customFormat="false" ht="15" hidden="false" customHeight="false" outlineLevel="0" collapsed="false">
      <c r="A1230" s="32" t="n">
        <v>1223</v>
      </c>
      <c r="B1230" s="33" t="n">
        <v>1615081</v>
      </c>
      <c r="C1230" s="34" t="s">
        <v>2531</v>
      </c>
      <c r="D1230" s="34" t="s">
        <v>2532</v>
      </c>
      <c r="E1230" s="34" t="s">
        <v>38</v>
      </c>
      <c r="F1230" s="32" t="n">
        <f aca="false">COUNTIF(Base!$D$2:$D$2878,B1230)</f>
        <v>1</v>
      </c>
      <c r="G1230" s="35" t="n">
        <f aca="false">SUMIF(Base!$D$2:$D$2878,B1230,Base!$I$2:$I$2878)</f>
        <v>749.9</v>
      </c>
      <c r="H1230" s="36" t="n">
        <f aca="false">IF($G$2849=0,0,G1230/$G$2849)</f>
        <v>4.92101075210995E-005</v>
      </c>
      <c r="I1230" s="37" t="n">
        <f aca="false">I1229+H1230</f>
        <v>0.975733131255591</v>
      </c>
      <c r="J1230" s="37" t="n">
        <f aca="false">A1230/2840</f>
        <v>0.430633802816901</v>
      </c>
      <c r="K1230" s="32" t="str">
        <f aca="false">IF(I1230&lt;=$E$4,"A",IF(I1230&lt;=$E$5,"B","C"))</f>
        <v>C</v>
      </c>
    </row>
    <row r="1231" customFormat="false" ht="15" hidden="false" customHeight="false" outlineLevel="0" collapsed="false">
      <c r="A1231" s="32" t="n">
        <v>1224</v>
      </c>
      <c r="B1231" s="33" t="n">
        <v>1112290</v>
      </c>
      <c r="C1231" s="34" t="s">
        <v>2533</v>
      </c>
      <c r="D1231" s="34" t="s">
        <v>2534</v>
      </c>
      <c r="E1231" s="34" t="s">
        <v>457</v>
      </c>
      <c r="F1231" s="32" t="n">
        <f aca="false">COUNTIF(Base!$D$2:$D$2878,B1231)</f>
        <v>1</v>
      </c>
      <c r="G1231" s="35" t="n">
        <f aca="false">SUMIF(Base!$D$2:$D$2878,B1231,Base!$I$2:$I$2878)</f>
        <v>749.25</v>
      </c>
      <c r="H1231" s="36" t="n">
        <f aca="false">IF($G$2849=0,0,G1231/$G$2849)</f>
        <v>4.91674530739883E-005</v>
      </c>
      <c r="I1231" s="37" t="n">
        <f aca="false">I1230+H1231</f>
        <v>0.975782298708665</v>
      </c>
      <c r="J1231" s="37" t="n">
        <f aca="false">A1231/2840</f>
        <v>0.430985915492958</v>
      </c>
      <c r="K1231" s="32" t="str">
        <f aca="false">IF(I1231&lt;=$E$4,"A",IF(I1231&lt;=$E$5,"B","C"))</f>
        <v>C</v>
      </c>
    </row>
    <row r="1232" customFormat="false" ht="15" hidden="false" customHeight="false" outlineLevel="0" collapsed="false">
      <c r="A1232" s="32" t="n">
        <v>1225</v>
      </c>
      <c r="B1232" s="33" t="n">
        <v>1327984</v>
      </c>
      <c r="C1232" s="34" t="s">
        <v>2535</v>
      </c>
      <c r="D1232" s="34" t="s">
        <v>2536</v>
      </c>
      <c r="E1232" s="34" t="s">
        <v>54</v>
      </c>
      <c r="F1232" s="32" t="n">
        <f aca="false">COUNTIF(Base!$D$2:$D$2878,B1232)</f>
        <v>1</v>
      </c>
      <c r="G1232" s="35" t="n">
        <f aca="false">SUMIF(Base!$D$2:$D$2878,B1232,Base!$I$2:$I$2878)</f>
        <v>748</v>
      </c>
      <c r="H1232" s="36" t="n">
        <f aca="false">IF($G$2849=0,0,G1232/$G$2849)</f>
        <v>4.90854252910821E-005</v>
      </c>
      <c r="I1232" s="37" t="n">
        <f aca="false">I1231+H1232</f>
        <v>0.975831384133956</v>
      </c>
      <c r="J1232" s="37" t="n">
        <f aca="false">A1232/2840</f>
        <v>0.431338028169014</v>
      </c>
      <c r="K1232" s="32" t="str">
        <f aca="false">IF(I1232&lt;=$E$4,"A",IF(I1232&lt;=$E$5,"B","C"))</f>
        <v>C</v>
      </c>
    </row>
    <row r="1233" customFormat="false" ht="15" hidden="false" customHeight="false" outlineLevel="0" collapsed="false">
      <c r="A1233" s="32" t="n">
        <v>1226</v>
      </c>
      <c r="B1233" s="33" t="n">
        <v>1387921</v>
      </c>
      <c r="C1233" s="34" t="s">
        <v>2537</v>
      </c>
      <c r="D1233" s="34" t="s">
        <v>2538</v>
      </c>
      <c r="E1233" s="34" t="s">
        <v>100</v>
      </c>
      <c r="F1233" s="32" t="n">
        <f aca="false">COUNTIF(Base!$D$2:$D$2878,B1233)</f>
        <v>1</v>
      </c>
      <c r="G1233" s="35" t="n">
        <f aca="false">SUMIF(Base!$D$2:$D$2878,B1233,Base!$I$2:$I$2878)</f>
        <v>746.69</v>
      </c>
      <c r="H1233" s="36" t="n">
        <f aca="false">IF($G$2849=0,0,G1233/$G$2849)</f>
        <v>4.89994601745964E-005</v>
      </c>
      <c r="I1233" s="37" t="n">
        <f aca="false">I1232+H1233</f>
        <v>0.975880383594131</v>
      </c>
      <c r="J1233" s="37" t="n">
        <f aca="false">A1233/2840</f>
        <v>0.43169014084507</v>
      </c>
      <c r="K1233" s="32" t="str">
        <f aca="false">IF(I1233&lt;=$E$4,"A",IF(I1233&lt;=$E$5,"B","C"))</f>
        <v>C</v>
      </c>
    </row>
    <row r="1234" customFormat="false" ht="15" hidden="false" customHeight="false" outlineLevel="0" collapsed="false">
      <c r="A1234" s="32" t="n">
        <v>1227</v>
      </c>
      <c r="B1234" s="33" t="n">
        <v>32468</v>
      </c>
      <c r="C1234" s="34" t="s">
        <v>2539</v>
      </c>
      <c r="D1234" s="34" t="s">
        <v>2540</v>
      </c>
      <c r="E1234" s="34" t="s">
        <v>38</v>
      </c>
      <c r="F1234" s="32" t="n">
        <f aca="false">COUNTIF(Base!$D$2:$D$2878,B1234)</f>
        <v>1</v>
      </c>
      <c r="G1234" s="35" t="n">
        <f aca="false">SUMIF(Base!$D$2:$D$2878,B1234,Base!$I$2:$I$2878)</f>
        <v>745.07</v>
      </c>
      <c r="H1234" s="36" t="n">
        <f aca="false">IF($G$2849=0,0,G1234/$G$2849)</f>
        <v>4.88931521679499E-005</v>
      </c>
      <c r="I1234" s="37" t="n">
        <f aca="false">I1233+H1234</f>
        <v>0.975929276746299</v>
      </c>
      <c r="J1234" s="37" t="n">
        <f aca="false">A1234/2840</f>
        <v>0.432042253521127</v>
      </c>
      <c r="K1234" s="32" t="str">
        <f aca="false">IF(I1234&lt;=$E$4,"A",IF(I1234&lt;=$E$5,"B","C"))</f>
        <v>C</v>
      </c>
    </row>
    <row r="1235" customFormat="false" ht="15" hidden="false" customHeight="false" outlineLevel="0" collapsed="false">
      <c r="A1235" s="32" t="n">
        <v>1228</v>
      </c>
      <c r="B1235" s="33" t="n">
        <v>888374</v>
      </c>
      <c r="C1235" s="34" t="s">
        <v>2541</v>
      </c>
      <c r="D1235" s="34" t="s">
        <v>2542</v>
      </c>
      <c r="E1235" s="34" t="s">
        <v>38</v>
      </c>
      <c r="F1235" s="32" t="n">
        <f aca="false">COUNTIF(Base!$D$2:$D$2878,B1235)</f>
        <v>1</v>
      </c>
      <c r="G1235" s="35" t="n">
        <f aca="false">SUMIF(Base!$D$2:$D$2878,B1235,Base!$I$2:$I$2878)</f>
        <v>738.74</v>
      </c>
      <c r="H1235" s="36" t="n">
        <f aca="false">IF($G$2849=0,0,G1235/$G$2849)</f>
        <v>4.84777634753128E-005</v>
      </c>
      <c r="I1235" s="37" t="n">
        <f aca="false">I1234+H1235</f>
        <v>0.975977754509774</v>
      </c>
      <c r="J1235" s="37" t="n">
        <f aca="false">A1235/2840</f>
        <v>0.432394366197183</v>
      </c>
      <c r="K1235" s="32" t="str">
        <f aca="false">IF(I1235&lt;=$E$4,"A",IF(I1235&lt;=$E$5,"B","C"))</f>
        <v>C</v>
      </c>
    </row>
    <row r="1236" customFormat="false" ht="15" hidden="false" customHeight="false" outlineLevel="0" collapsed="false">
      <c r="A1236" s="32" t="n">
        <v>1229</v>
      </c>
      <c r="B1236" s="33" t="n">
        <v>1464211</v>
      </c>
      <c r="C1236" s="34" t="s">
        <v>2543</v>
      </c>
      <c r="D1236" s="34" t="s">
        <v>2544</v>
      </c>
      <c r="E1236" s="34" t="s">
        <v>63</v>
      </c>
      <c r="F1236" s="32" t="n">
        <f aca="false">COUNTIF(Base!$D$2:$D$2878,B1236)</f>
        <v>1</v>
      </c>
      <c r="G1236" s="35" t="n">
        <f aca="false">SUMIF(Base!$D$2:$D$2878,B1236,Base!$I$2:$I$2878)</f>
        <v>738.36</v>
      </c>
      <c r="H1236" s="36" t="n">
        <f aca="false">IF($G$2849=0,0,G1236/$G$2849)</f>
        <v>4.84528270293093E-005</v>
      </c>
      <c r="I1236" s="37" t="n">
        <f aca="false">I1235+H1236</f>
        <v>0.976026207336803</v>
      </c>
      <c r="J1236" s="37" t="n">
        <f aca="false">A1236/2840</f>
        <v>0.432746478873239</v>
      </c>
      <c r="K1236" s="32" t="str">
        <f aca="false">IF(I1236&lt;=$E$4,"A",IF(I1236&lt;=$E$5,"B","C"))</f>
        <v>C</v>
      </c>
    </row>
    <row r="1237" customFormat="false" ht="15" hidden="false" customHeight="false" outlineLevel="0" collapsed="false">
      <c r="A1237" s="32" t="n">
        <v>1230</v>
      </c>
      <c r="B1237" s="33" t="n">
        <v>734720</v>
      </c>
      <c r="C1237" s="34" t="s">
        <v>2545</v>
      </c>
      <c r="D1237" s="34" t="s">
        <v>2546</v>
      </c>
      <c r="E1237" s="34" t="s">
        <v>54</v>
      </c>
      <c r="F1237" s="32" t="n">
        <f aca="false">COUNTIF(Base!$D$2:$D$2878,B1237)</f>
        <v>1</v>
      </c>
      <c r="G1237" s="35" t="n">
        <f aca="false">SUMIF(Base!$D$2:$D$2878,B1237,Base!$I$2:$I$2878)</f>
        <v>736</v>
      </c>
      <c r="H1237" s="36" t="n">
        <f aca="false">IF($G$2849=0,0,G1237/$G$2849)</f>
        <v>4.82979585751824E-005</v>
      </c>
      <c r="I1237" s="37" t="n">
        <f aca="false">I1236+H1237</f>
        <v>0.976074505295379</v>
      </c>
      <c r="J1237" s="37" t="n">
        <f aca="false">A1237/2840</f>
        <v>0.433098591549296</v>
      </c>
      <c r="K1237" s="32" t="str">
        <f aca="false">IF(I1237&lt;=$E$4,"A",IF(I1237&lt;=$E$5,"B","C"))</f>
        <v>C</v>
      </c>
    </row>
    <row r="1238" customFormat="false" ht="15" hidden="false" customHeight="false" outlineLevel="0" collapsed="false">
      <c r="A1238" s="32" t="n">
        <v>1231</v>
      </c>
      <c r="B1238" s="33" t="n">
        <v>1383081</v>
      </c>
      <c r="C1238" s="34" t="s">
        <v>2547</v>
      </c>
      <c r="D1238" s="34" t="s">
        <v>2548</v>
      </c>
      <c r="E1238" s="34" t="s">
        <v>38</v>
      </c>
      <c r="F1238" s="32" t="n">
        <f aca="false">COUNTIF(Base!$D$2:$D$2878,B1238)</f>
        <v>1</v>
      </c>
      <c r="G1238" s="35" t="n">
        <f aca="false">SUMIF(Base!$D$2:$D$2878,B1238,Base!$I$2:$I$2878)</f>
        <v>731.13</v>
      </c>
      <c r="H1238" s="36" t="n">
        <f aca="false">IF($G$2849=0,0,G1238/$G$2849)</f>
        <v>4.79783783329797E-005</v>
      </c>
      <c r="I1238" s="37" t="n">
        <f aca="false">I1237+H1238</f>
        <v>0.976122483673712</v>
      </c>
      <c r="J1238" s="37" t="n">
        <f aca="false">A1238/2840</f>
        <v>0.433450704225352</v>
      </c>
      <c r="K1238" s="32" t="str">
        <f aca="false">IF(I1238&lt;=$E$4,"A",IF(I1238&lt;=$E$5,"B","C"))</f>
        <v>C</v>
      </c>
    </row>
    <row r="1239" customFormat="false" ht="15" hidden="false" customHeight="false" outlineLevel="0" collapsed="false">
      <c r="A1239" s="32" t="n">
        <v>1232</v>
      </c>
      <c r="B1239" s="33" t="n">
        <v>867162</v>
      </c>
      <c r="C1239" s="34" t="s">
        <v>2549</v>
      </c>
      <c r="D1239" s="34" t="s">
        <v>2550</v>
      </c>
      <c r="E1239" s="34" t="s">
        <v>93</v>
      </c>
      <c r="F1239" s="32" t="n">
        <f aca="false">COUNTIF(Base!$D$2:$D$2878,B1239)</f>
        <v>1</v>
      </c>
      <c r="G1239" s="35" t="n">
        <f aca="false">SUMIF(Base!$D$2:$D$2878,B1239,Base!$I$2:$I$2878)</f>
        <v>730</v>
      </c>
      <c r="H1239" s="36" t="n">
        <f aca="false">IF($G$2849=0,0,G1239/$G$2849)</f>
        <v>4.79042252172325E-005</v>
      </c>
      <c r="I1239" s="37" t="n">
        <f aca="false">I1238+H1239</f>
        <v>0.976170387898929</v>
      </c>
      <c r="J1239" s="37" t="n">
        <f aca="false">A1239/2840</f>
        <v>0.433802816901408</v>
      </c>
      <c r="K1239" s="32" t="str">
        <f aca="false">IF(I1239&lt;=$E$4,"A",IF(I1239&lt;=$E$5,"B","C"))</f>
        <v>C</v>
      </c>
    </row>
    <row r="1240" customFormat="false" ht="15" hidden="false" customHeight="false" outlineLevel="0" collapsed="false">
      <c r="A1240" s="32" t="n">
        <v>1233</v>
      </c>
      <c r="B1240" s="33" t="n">
        <v>19757</v>
      </c>
      <c r="C1240" s="34" t="s">
        <v>2551</v>
      </c>
      <c r="D1240" s="34" t="s">
        <v>2552</v>
      </c>
      <c r="E1240" s="34" t="s">
        <v>605</v>
      </c>
      <c r="F1240" s="32" t="n">
        <f aca="false">COUNTIF(Base!$D$2:$D$2878,B1240)</f>
        <v>1</v>
      </c>
      <c r="G1240" s="35" t="n">
        <f aca="false">SUMIF(Base!$D$2:$D$2878,B1240,Base!$I$2:$I$2878)</f>
        <v>729</v>
      </c>
      <c r="H1240" s="36" t="n">
        <f aca="false">IF($G$2849=0,0,G1240/$G$2849)</f>
        <v>4.78386029909075E-005</v>
      </c>
      <c r="I1240" s="37" t="n">
        <f aca="false">I1239+H1240</f>
        <v>0.97621822650192</v>
      </c>
      <c r="J1240" s="37" t="n">
        <f aca="false">A1240/2840</f>
        <v>0.434154929577465</v>
      </c>
      <c r="K1240" s="32" t="str">
        <f aca="false">IF(I1240&lt;=$E$4,"A",IF(I1240&lt;=$E$5,"B","C"))</f>
        <v>C</v>
      </c>
    </row>
    <row r="1241" customFormat="false" ht="15" hidden="false" customHeight="false" outlineLevel="0" collapsed="false">
      <c r="A1241" s="32" t="n">
        <v>1234</v>
      </c>
      <c r="B1241" s="33" t="n">
        <v>1677140</v>
      </c>
      <c r="C1241" s="34" t="s">
        <v>2553</v>
      </c>
      <c r="D1241" s="34" t="s">
        <v>2554</v>
      </c>
      <c r="E1241" s="34" t="s">
        <v>38</v>
      </c>
      <c r="F1241" s="32" t="n">
        <f aca="false">COUNTIF(Base!$D$2:$D$2878,B1241)</f>
        <v>1</v>
      </c>
      <c r="G1241" s="35" t="n">
        <f aca="false">SUMIF(Base!$D$2:$D$2878,B1241,Base!$I$2:$I$2878)</f>
        <v>728</v>
      </c>
      <c r="H1241" s="36" t="n">
        <f aca="false">IF($G$2849=0,0,G1241/$G$2849)</f>
        <v>4.77729807645825E-005</v>
      </c>
      <c r="I1241" s="37" t="n">
        <f aca="false">I1240+H1241</f>
        <v>0.976265999482684</v>
      </c>
      <c r="J1241" s="37" t="n">
        <f aca="false">A1241/2840</f>
        <v>0.434507042253521</v>
      </c>
      <c r="K1241" s="32" t="str">
        <f aca="false">IF(I1241&lt;=$E$4,"A",IF(I1241&lt;=$E$5,"B","C"))</f>
        <v>C</v>
      </c>
    </row>
    <row r="1242" customFormat="false" ht="15" hidden="false" customHeight="false" outlineLevel="0" collapsed="false">
      <c r="A1242" s="32" t="n">
        <v>1235</v>
      </c>
      <c r="B1242" s="33" t="n">
        <v>650867</v>
      </c>
      <c r="C1242" s="34" t="s">
        <v>2555</v>
      </c>
      <c r="D1242" s="34" t="s">
        <v>2556</v>
      </c>
      <c r="E1242" s="34" t="s">
        <v>100</v>
      </c>
      <c r="F1242" s="32" t="n">
        <f aca="false">COUNTIF(Base!$D$2:$D$2878,B1242)</f>
        <v>1</v>
      </c>
      <c r="G1242" s="35" t="n">
        <f aca="false">SUMIF(Base!$D$2:$D$2878,B1242,Base!$I$2:$I$2878)</f>
        <v>726</v>
      </c>
      <c r="H1242" s="36" t="n">
        <f aca="false">IF($G$2849=0,0,G1242/$G$2849)</f>
        <v>4.76417363119326E-005</v>
      </c>
      <c r="I1242" s="37" t="n">
        <f aca="false">I1241+H1242</f>
        <v>0.976313641218996</v>
      </c>
      <c r="J1242" s="37" t="n">
        <f aca="false">A1242/2840</f>
        <v>0.434859154929577</v>
      </c>
      <c r="K1242" s="32" t="str">
        <f aca="false">IF(I1242&lt;=$E$4,"A",IF(I1242&lt;=$E$5,"B","C"))</f>
        <v>C</v>
      </c>
    </row>
    <row r="1243" customFormat="false" ht="15" hidden="false" customHeight="false" outlineLevel="0" collapsed="false">
      <c r="A1243" s="32" t="n">
        <v>1236</v>
      </c>
      <c r="B1243" s="33" t="n">
        <v>1608987</v>
      </c>
      <c r="C1243" s="34" t="s">
        <v>2557</v>
      </c>
      <c r="D1243" s="34" t="s">
        <v>2558</v>
      </c>
      <c r="E1243" s="34" t="s">
        <v>170</v>
      </c>
      <c r="F1243" s="32" t="n">
        <f aca="false">COUNTIF(Base!$D$2:$D$2878,B1243)</f>
        <v>1</v>
      </c>
      <c r="G1243" s="35" t="n">
        <f aca="false">SUMIF(Base!$D$2:$D$2878,B1243,Base!$I$2:$I$2878)</f>
        <v>725</v>
      </c>
      <c r="H1243" s="36" t="n">
        <f aca="false">IF($G$2849=0,0,G1243/$G$2849)</f>
        <v>4.75761140856076E-005</v>
      </c>
      <c r="I1243" s="37" t="n">
        <f aca="false">I1242+H1243</f>
        <v>0.976361217333082</v>
      </c>
      <c r="J1243" s="37" t="n">
        <f aca="false">A1243/2840</f>
        <v>0.435211267605634</v>
      </c>
      <c r="K1243" s="32" t="str">
        <f aca="false">IF(I1243&lt;=$E$4,"A",IF(I1243&lt;=$E$5,"B","C"))</f>
        <v>C</v>
      </c>
    </row>
    <row r="1244" customFormat="false" ht="15" hidden="false" customHeight="false" outlineLevel="0" collapsed="false">
      <c r="A1244" s="32" t="n">
        <v>1237</v>
      </c>
      <c r="B1244" s="33" t="n">
        <v>1463944</v>
      </c>
      <c r="C1244" s="34" t="s">
        <v>2559</v>
      </c>
      <c r="D1244" s="34" t="s">
        <v>2560</v>
      </c>
      <c r="E1244" s="34" t="s">
        <v>38</v>
      </c>
      <c r="F1244" s="32" t="n">
        <f aca="false">COUNTIF(Base!$D$2:$D$2878,B1244)</f>
        <v>1</v>
      </c>
      <c r="G1244" s="35" t="n">
        <f aca="false">SUMIF(Base!$D$2:$D$2878,B1244,Base!$I$2:$I$2878)</f>
        <v>721.68</v>
      </c>
      <c r="H1244" s="36" t="n">
        <f aca="false">IF($G$2849=0,0,G1244/$G$2849)</f>
        <v>4.73582482942087E-005</v>
      </c>
      <c r="I1244" s="37" t="n">
        <f aca="false">I1243+H1244</f>
        <v>0.976408575581376</v>
      </c>
      <c r="J1244" s="37" t="n">
        <f aca="false">A1244/2840</f>
        <v>0.43556338028169</v>
      </c>
      <c r="K1244" s="32" t="str">
        <f aca="false">IF(I1244&lt;=$E$4,"A",IF(I1244&lt;=$E$5,"B","C"))</f>
        <v>C</v>
      </c>
    </row>
    <row r="1245" customFormat="false" ht="15" hidden="false" customHeight="false" outlineLevel="0" collapsed="false">
      <c r="A1245" s="32" t="n">
        <v>1238</v>
      </c>
      <c r="B1245" s="33" t="n">
        <v>1679657</v>
      </c>
      <c r="C1245" s="34" t="s">
        <v>2561</v>
      </c>
      <c r="D1245" s="34" t="s">
        <v>2562</v>
      </c>
      <c r="E1245" s="34" t="s">
        <v>480</v>
      </c>
      <c r="F1245" s="32" t="n">
        <f aca="false">COUNTIF(Base!$D$2:$D$2878,B1245)</f>
        <v>1</v>
      </c>
      <c r="G1245" s="35" t="n">
        <f aca="false">SUMIF(Base!$D$2:$D$2878,B1245,Base!$I$2:$I$2878)</f>
        <v>720</v>
      </c>
      <c r="H1245" s="36" t="n">
        <f aca="false">IF($G$2849=0,0,G1245/$G$2849)</f>
        <v>4.72480029539827E-005</v>
      </c>
      <c r="I1245" s="37" t="n">
        <f aca="false">I1244+H1245</f>
        <v>0.97645582358433</v>
      </c>
      <c r="J1245" s="37" t="n">
        <f aca="false">A1245/2840</f>
        <v>0.435915492957746</v>
      </c>
      <c r="K1245" s="32" t="str">
        <f aca="false">IF(I1245&lt;=$E$4,"A",IF(I1245&lt;=$E$5,"B","C"))</f>
        <v>C</v>
      </c>
    </row>
    <row r="1246" customFormat="false" ht="15" hidden="false" customHeight="false" outlineLevel="0" collapsed="false">
      <c r="A1246" s="32" t="n">
        <v>1239</v>
      </c>
      <c r="B1246" s="33" t="n">
        <v>840027</v>
      </c>
      <c r="C1246" s="34" t="s">
        <v>2563</v>
      </c>
      <c r="D1246" s="34" t="s">
        <v>2564</v>
      </c>
      <c r="E1246" s="34" t="s">
        <v>54</v>
      </c>
      <c r="F1246" s="32" t="n">
        <f aca="false">COUNTIF(Base!$D$2:$D$2878,B1246)</f>
        <v>1</v>
      </c>
      <c r="G1246" s="35" t="n">
        <f aca="false">SUMIF(Base!$D$2:$D$2878,B1246,Base!$I$2:$I$2878)</f>
        <v>714.8</v>
      </c>
      <c r="H1246" s="36" t="n">
        <f aca="false">IF($G$2849=0,0,G1246/$G$2849)</f>
        <v>4.69067673770929E-005</v>
      </c>
      <c r="I1246" s="37" t="n">
        <f aca="false">I1245+H1246</f>
        <v>0.976502730351707</v>
      </c>
      <c r="J1246" s="37" t="n">
        <f aca="false">A1246/2840</f>
        <v>0.436267605633803</v>
      </c>
      <c r="K1246" s="32" t="str">
        <f aca="false">IF(I1246&lt;=$E$4,"A",IF(I1246&lt;=$E$5,"B","C"))</f>
        <v>C</v>
      </c>
    </row>
    <row r="1247" customFormat="false" ht="15" hidden="false" customHeight="false" outlineLevel="0" collapsed="false">
      <c r="A1247" s="32" t="n">
        <v>1240</v>
      </c>
      <c r="B1247" s="33" t="n">
        <v>840049</v>
      </c>
      <c r="C1247" s="34" t="s">
        <v>2565</v>
      </c>
      <c r="D1247" s="34" t="s">
        <v>2566</v>
      </c>
      <c r="E1247" s="34" t="s">
        <v>38</v>
      </c>
      <c r="F1247" s="32" t="n">
        <f aca="false">COUNTIF(Base!$D$2:$D$2878,B1247)</f>
        <v>1</v>
      </c>
      <c r="G1247" s="35" t="n">
        <f aca="false">SUMIF(Base!$D$2:$D$2878,B1247,Base!$I$2:$I$2878)</f>
        <v>713</v>
      </c>
      <c r="H1247" s="36" t="n">
        <f aca="false">IF($G$2849=0,0,G1247/$G$2849)</f>
        <v>4.67886473697079E-005</v>
      </c>
      <c r="I1247" s="37" t="n">
        <f aca="false">I1246+H1247</f>
        <v>0.976549518999077</v>
      </c>
      <c r="J1247" s="37" t="n">
        <f aca="false">A1247/2840</f>
        <v>0.436619718309859</v>
      </c>
      <c r="K1247" s="32" t="str">
        <f aca="false">IF(I1247&lt;=$E$4,"A",IF(I1247&lt;=$E$5,"B","C"))</f>
        <v>C</v>
      </c>
    </row>
    <row r="1248" customFormat="false" ht="15" hidden="false" customHeight="false" outlineLevel="0" collapsed="false">
      <c r="A1248" s="32" t="n">
        <v>1241</v>
      </c>
      <c r="B1248" s="33" t="n">
        <v>1486656</v>
      </c>
      <c r="C1248" s="34" t="s">
        <v>2567</v>
      </c>
      <c r="D1248" s="34" t="s">
        <v>2568</v>
      </c>
      <c r="E1248" s="34" t="s">
        <v>38</v>
      </c>
      <c r="F1248" s="32" t="n">
        <f aca="false">COUNTIF(Base!$D$2:$D$2878,B1248)</f>
        <v>1</v>
      </c>
      <c r="G1248" s="35" t="n">
        <f aca="false">SUMIF(Base!$D$2:$D$2878,B1248,Base!$I$2:$I$2878)</f>
        <v>712.8</v>
      </c>
      <c r="H1248" s="36" t="n">
        <f aca="false">IF($G$2849=0,0,G1248/$G$2849)</f>
        <v>4.67755229244429E-005</v>
      </c>
      <c r="I1248" s="37" t="n">
        <f aca="false">I1247+H1248</f>
        <v>0.976596294522001</v>
      </c>
      <c r="J1248" s="37" t="n">
        <f aca="false">A1248/2840</f>
        <v>0.436971830985915</v>
      </c>
      <c r="K1248" s="32" t="str">
        <f aca="false">IF(I1248&lt;=$E$4,"A",IF(I1248&lt;=$E$5,"B","C"))</f>
        <v>C</v>
      </c>
    </row>
    <row r="1249" customFormat="false" ht="15" hidden="false" customHeight="false" outlineLevel="0" collapsed="false">
      <c r="A1249" s="32" t="n">
        <v>1242</v>
      </c>
      <c r="B1249" s="33" t="n">
        <v>277925</v>
      </c>
      <c r="C1249" s="34" t="s">
        <v>2569</v>
      </c>
      <c r="D1249" s="34" t="s">
        <v>2570</v>
      </c>
      <c r="E1249" s="34" t="s">
        <v>100</v>
      </c>
      <c r="F1249" s="32" t="n">
        <f aca="false">COUNTIF(Base!$D$2:$D$2878,B1249)</f>
        <v>1</v>
      </c>
      <c r="G1249" s="35" t="n">
        <f aca="false">SUMIF(Base!$D$2:$D$2878,B1249,Base!$I$2:$I$2878)</f>
        <v>712.37</v>
      </c>
      <c r="H1249" s="36" t="n">
        <f aca="false">IF($G$2849=0,0,G1249/$G$2849)</f>
        <v>4.67473053671232E-005</v>
      </c>
      <c r="I1249" s="37" t="n">
        <f aca="false">I1248+H1249</f>
        <v>0.976643041827368</v>
      </c>
      <c r="J1249" s="37" t="n">
        <f aca="false">A1249/2840</f>
        <v>0.437323943661972</v>
      </c>
      <c r="K1249" s="32" t="str">
        <f aca="false">IF(I1249&lt;=$E$4,"A",IF(I1249&lt;=$E$5,"B","C"))</f>
        <v>C</v>
      </c>
    </row>
    <row r="1250" customFormat="false" ht="15" hidden="false" customHeight="false" outlineLevel="0" collapsed="false">
      <c r="A1250" s="32" t="n">
        <v>1243</v>
      </c>
      <c r="B1250" s="33" t="n">
        <v>1387922</v>
      </c>
      <c r="C1250" s="34" t="s">
        <v>2571</v>
      </c>
      <c r="D1250" s="34" t="s">
        <v>2572</v>
      </c>
      <c r="E1250" s="34" t="s">
        <v>100</v>
      </c>
      <c r="F1250" s="32" t="n">
        <f aca="false">COUNTIF(Base!$D$2:$D$2878,B1250)</f>
        <v>1</v>
      </c>
      <c r="G1250" s="35" t="n">
        <f aca="false">SUMIF(Base!$D$2:$D$2878,B1250,Base!$I$2:$I$2878)</f>
        <v>709.46</v>
      </c>
      <c r="H1250" s="36" t="n">
        <f aca="false">IF($G$2849=0,0,G1250/$G$2849)</f>
        <v>4.65563446885175E-005</v>
      </c>
      <c r="I1250" s="37" t="n">
        <f aca="false">I1249+H1250</f>
        <v>0.976689598172057</v>
      </c>
      <c r="J1250" s="37" t="n">
        <f aca="false">A1250/2840</f>
        <v>0.437676056338028</v>
      </c>
      <c r="K1250" s="32" t="str">
        <f aca="false">IF(I1250&lt;=$E$4,"A",IF(I1250&lt;=$E$5,"B","C"))</f>
        <v>C</v>
      </c>
    </row>
    <row r="1251" customFormat="false" ht="15" hidden="false" customHeight="false" outlineLevel="0" collapsed="false">
      <c r="A1251" s="32" t="n">
        <v>1244</v>
      </c>
      <c r="B1251" s="33" t="n">
        <v>10374</v>
      </c>
      <c r="C1251" s="34" t="s">
        <v>2573</v>
      </c>
      <c r="D1251" s="34" t="s">
        <v>2574</v>
      </c>
      <c r="E1251" s="34" t="s">
        <v>133</v>
      </c>
      <c r="F1251" s="32" t="n">
        <f aca="false">COUNTIF(Base!$D$2:$D$2878,B1251)</f>
        <v>1</v>
      </c>
      <c r="G1251" s="35" t="n">
        <f aca="false">SUMIF(Base!$D$2:$D$2878,B1251,Base!$I$2:$I$2878)</f>
        <v>709.34</v>
      </c>
      <c r="H1251" s="36" t="n">
        <f aca="false">IF($G$2849=0,0,G1251/$G$2849)</f>
        <v>4.65484700213585E-005</v>
      </c>
      <c r="I1251" s="37" t="n">
        <f aca="false">I1250+H1251</f>
        <v>0.976736146642078</v>
      </c>
      <c r="J1251" s="37" t="n">
        <f aca="false">A1251/2840</f>
        <v>0.438028169014085</v>
      </c>
      <c r="K1251" s="32" t="str">
        <f aca="false">IF(I1251&lt;=$E$4,"A",IF(I1251&lt;=$E$5,"B","C"))</f>
        <v>C</v>
      </c>
    </row>
    <row r="1252" customFormat="false" ht="15" hidden="false" customHeight="false" outlineLevel="0" collapsed="false">
      <c r="A1252" s="32" t="n">
        <v>1245</v>
      </c>
      <c r="B1252" s="33" t="n">
        <v>1471882</v>
      </c>
      <c r="C1252" s="34" t="s">
        <v>2575</v>
      </c>
      <c r="D1252" s="34" t="s">
        <v>2576</v>
      </c>
      <c r="E1252" s="34" t="s">
        <v>167</v>
      </c>
      <c r="F1252" s="32" t="n">
        <f aca="false">COUNTIF(Base!$D$2:$D$2878,B1252)</f>
        <v>1</v>
      </c>
      <c r="G1252" s="35" t="n">
        <f aca="false">SUMIF(Base!$D$2:$D$2878,B1252,Base!$I$2:$I$2878)</f>
        <v>704.1</v>
      </c>
      <c r="H1252" s="36" t="n">
        <f aca="false">IF($G$2849=0,0,G1252/$G$2849)</f>
        <v>4.62046095554156E-005</v>
      </c>
      <c r="I1252" s="37" t="n">
        <f aca="false">I1251+H1252</f>
        <v>0.976782351251634</v>
      </c>
      <c r="J1252" s="37" t="n">
        <f aca="false">A1252/2840</f>
        <v>0.438380281690141</v>
      </c>
      <c r="K1252" s="32" t="str">
        <f aca="false">IF(I1252&lt;=$E$4,"A",IF(I1252&lt;=$E$5,"B","C"))</f>
        <v>C</v>
      </c>
    </row>
    <row r="1253" customFormat="false" ht="15" hidden="false" customHeight="false" outlineLevel="0" collapsed="false">
      <c r="A1253" s="32" t="n">
        <v>1246</v>
      </c>
      <c r="B1253" s="33" t="n">
        <v>837693</v>
      </c>
      <c r="C1253" s="34" t="s">
        <v>2577</v>
      </c>
      <c r="D1253" s="34" t="s">
        <v>2578</v>
      </c>
      <c r="E1253" s="34" t="s">
        <v>38</v>
      </c>
      <c r="F1253" s="32" t="n">
        <f aca="false">COUNTIF(Base!$D$2:$D$2878,B1253)</f>
        <v>1</v>
      </c>
      <c r="G1253" s="35" t="n">
        <f aca="false">SUMIF(Base!$D$2:$D$2878,B1253,Base!$I$2:$I$2878)</f>
        <v>701.91</v>
      </c>
      <c r="H1253" s="36" t="n">
        <f aca="false">IF($G$2849=0,0,G1253/$G$2849)</f>
        <v>4.60608968797639E-005</v>
      </c>
      <c r="I1253" s="37" t="n">
        <f aca="false">I1252+H1253</f>
        <v>0.976828412148513</v>
      </c>
      <c r="J1253" s="37" t="n">
        <f aca="false">A1253/2840</f>
        <v>0.438732394366197</v>
      </c>
      <c r="K1253" s="32" t="str">
        <f aca="false">IF(I1253&lt;=$E$4,"A",IF(I1253&lt;=$E$5,"B","C"))</f>
        <v>C</v>
      </c>
    </row>
    <row r="1254" customFormat="false" ht="15" hidden="false" customHeight="false" outlineLevel="0" collapsed="false">
      <c r="A1254" s="32" t="n">
        <v>1247</v>
      </c>
      <c r="B1254" s="33" t="n">
        <v>279068</v>
      </c>
      <c r="C1254" s="34" t="s">
        <v>2579</v>
      </c>
      <c r="D1254" s="34" t="s">
        <v>2580</v>
      </c>
      <c r="E1254" s="34" t="s">
        <v>1618</v>
      </c>
      <c r="F1254" s="32" t="n">
        <f aca="false">COUNTIF(Base!$D$2:$D$2878,B1254)</f>
        <v>1</v>
      </c>
      <c r="G1254" s="35" t="n">
        <f aca="false">SUMIF(Base!$D$2:$D$2878,B1254,Base!$I$2:$I$2878)</f>
        <v>701.9</v>
      </c>
      <c r="H1254" s="36" t="n">
        <f aca="false">IF($G$2849=0,0,G1254/$G$2849)</f>
        <v>4.60602406575007E-005</v>
      </c>
      <c r="I1254" s="37" t="n">
        <f aca="false">I1253+H1254</f>
        <v>0.976874472389171</v>
      </c>
      <c r="J1254" s="37" t="n">
        <f aca="false">A1254/2840</f>
        <v>0.439084507042254</v>
      </c>
      <c r="K1254" s="32" t="str">
        <f aca="false">IF(I1254&lt;=$E$4,"A",IF(I1254&lt;=$E$5,"B","C"))</f>
        <v>C</v>
      </c>
    </row>
    <row r="1255" customFormat="false" ht="15" hidden="false" customHeight="false" outlineLevel="0" collapsed="false">
      <c r="A1255" s="32" t="n">
        <v>1248</v>
      </c>
      <c r="B1255" s="33" t="n">
        <v>1474943</v>
      </c>
      <c r="C1255" s="34" t="s">
        <v>2581</v>
      </c>
      <c r="D1255" s="34" t="s">
        <v>2582</v>
      </c>
      <c r="E1255" s="34" t="s">
        <v>38</v>
      </c>
      <c r="F1255" s="32" t="n">
        <f aca="false">COUNTIF(Base!$D$2:$D$2878,B1255)</f>
        <v>1</v>
      </c>
      <c r="G1255" s="35" t="n">
        <f aca="false">SUMIF(Base!$D$2:$D$2878,B1255,Base!$I$2:$I$2878)</f>
        <v>701.42</v>
      </c>
      <c r="H1255" s="36" t="n">
        <f aca="false">IF($G$2849=0,0,G1255/$G$2849)</f>
        <v>4.60287419888647E-005</v>
      </c>
      <c r="I1255" s="37" t="n">
        <f aca="false">I1254+H1255</f>
        <v>0.97692050113116</v>
      </c>
      <c r="J1255" s="37" t="n">
        <f aca="false">A1255/2840</f>
        <v>0.43943661971831</v>
      </c>
      <c r="K1255" s="32" t="str">
        <f aca="false">IF(I1255&lt;=$E$4,"A",IF(I1255&lt;=$E$5,"B","C"))</f>
        <v>C</v>
      </c>
    </row>
    <row r="1256" customFormat="false" ht="15" hidden="false" customHeight="false" outlineLevel="0" collapsed="false">
      <c r="A1256" s="32" t="n">
        <v>1249</v>
      </c>
      <c r="B1256" s="33" t="n">
        <v>17907</v>
      </c>
      <c r="C1256" s="34" t="s">
        <v>2583</v>
      </c>
      <c r="D1256" s="34" t="s">
        <v>2584</v>
      </c>
      <c r="E1256" s="34" t="s">
        <v>130</v>
      </c>
      <c r="F1256" s="32" t="n">
        <f aca="false">COUNTIF(Base!$D$2:$D$2878,B1256)</f>
        <v>1</v>
      </c>
      <c r="G1256" s="35" t="n">
        <f aca="false">SUMIF(Base!$D$2:$D$2878,B1256,Base!$I$2:$I$2878)</f>
        <v>698</v>
      </c>
      <c r="H1256" s="36" t="n">
        <f aca="false">IF($G$2849=0,0,G1256/$G$2849)</f>
        <v>4.58043139748333E-005</v>
      </c>
      <c r="I1256" s="37" t="n">
        <f aca="false">I1255+H1256</f>
        <v>0.976966305445135</v>
      </c>
      <c r="J1256" s="37" t="n">
        <f aca="false">A1256/2840</f>
        <v>0.439788732394366</v>
      </c>
      <c r="K1256" s="32" t="str">
        <f aca="false">IF(I1256&lt;=$E$4,"A",IF(I1256&lt;=$E$5,"B","C"))</f>
        <v>C</v>
      </c>
    </row>
    <row r="1257" customFormat="false" ht="15" hidden="false" customHeight="false" outlineLevel="0" collapsed="false">
      <c r="A1257" s="32" t="n">
        <v>1250</v>
      </c>
      <c r="B1257" s="33" t="n">
        <v>859797</v>
      </c>
      <c r="C1257" s="34" t="s">
        <v>2585</v>
      </c>
      <c r="D1257" s="34" t="s">
        <v>2586</v>
      </c>
      <c r="E1257" s="34" t="s">
        <v>38</v>
      </c>
      <c r="F1257" s="32" t="n">
        <f aca="false">COUNTIF(Base!$D$2:$D$2878,B1257)</f>
        <v>1</v>
      </c>
      <c r="G1257" s="35" t="n">
        <f aca="false">SUMIF(Base!$D$2:$D$2878,B1257,Base!$I$2:$I$2878)</f>
        <v>697.07</v>
      </c>
      <c r="H1257" s="36" t="n">
        <f aca="false">IF($G$2849=0,0,G1257/$G$2849)</f>
        <v>4.5743285304351E-005</v>
      </c>
      <c r="I1257" s="37" t="n">
        <f aca="false">I1256+H1257</f>
        <v>0.977012048730439</v>
      </c>
      <c r="J1257" s="37" t="n">
        <f aca="false">A1257/2840</f>
        <v>0.440140845070423</v>
      </c>
      <c r="K1257" s="32" t="str">
        <f aca="false">IF(I1257&lt;=$E$4,"A",IF(I1257&lt;=$E$5,"B","C"))</f>
        <v>C</v>
      </c>
    </row>
    <row r="1258" customFormat="false" ht="15" hidden="false" customHeight="false" outlineLevel="0" collapsed="false">
      <c r="A1258" s="32" t="n">
        <v>1251</v>
      </c>
      <c r="B1258" s="33" t="n">
        <v>1382670</v>
      </c>
      <c r="C1258" s="34" t="s">
        <v>2587</v>
      </c>
      <c r="D1258" s="34" t="s">
        <v>2588</v>
      </c>
      <c r="E1258" s="34" t="s">
        <v>100</v>
      </c>
      <c r="F1258" s="32" t="n">
        <f aca="false">COUNTIF(Base!$D$2:$D$2878,B1258)</f>
        <v>1</v>
      </c>
      <c r="G1258" s="35" t="n">
        <f aca="false">SUMIF(Base!$D$2:$D$2878,B1258,Base!$I$2:$I$2878)</f>
        <v>696.52</v>
      </c>
      <c r="H1258" s="36" t="n">
        <f aca="false">IF($G$2849=0,0,G1258/$G$2849)</f>
        <v>4.57071930798723E-005</v>
      </c>
      <c r="I1258" s="37" t="n">
        <f aca="false">I1257+H1258</f>
        <v>0.977057755923519</v>
      </c>
      <c r="J1258" s="37" t="n">
        <f aca="false">A1258/2840</f>
        <v>0.440492957746479</v>
      </c>
      <c r="K1258" s="32" t="str">
        <f aca="false">IF(I1258&lt;=$E$4,"A",IF(I1258&lt;=$E$5,"B","C"))</f>
        <v>C</v>
      </c>
    </row>
    <row r="1259" customFormat="false" ht="15" hidden="false" customHeight="false" outlineLevel="0" collapsed="false">
      <c r="A1259" s="32" t="n">
        <v>1252</v>
      </c>
      <c r="B1259" s="33" t="n">
        <v>1668926</v>
      </c>
      <c r="C1259" s="34" t="s">
        <v>2589</v>
      </c>
      <c r="D1259" s="34" t="s">
        <v>2590</v>
      </c>
      <c r="E1259" s="34" t="s">
        <v>605</v>
      </c>
      <c r="F1259" s="32" t="n">
        <f aca="false">COUNTIF(Base!$D$2:$D$2878,B1259)</f>
        <v>1</v>
      </c>
      <c r="G1259" s="35" t="n">
        <f aca="false">SUMIF(Base!$D$2:$D$2878,B1259,Base!$I$2:$I$2878)</f>
        <v>696</v>
      </c>
      <c r="H1259" s="36" t="n">
        <f aca="false">IF($G$2849=0,0,G1259/$G$2849)</f>
        <v>4.56730695221833E-005</v>
      </c>
      <c r="I1259" s="37" t="n">
        <f aca="false">I1258+H1259</f>
        <v>0.977103428993041</v>
      </c>
      <c r="J1259" s="37" t="n">
        <f aca="false">A1259/2840</f>
        <v>0.440845070422535</v>
      </c>
      <c r="K1259" s="32" t="str">
        <f aca="false">IF(I1259&lt;=$E$4,"A",IF(I1259&lt;=$E$5,"B","C"))</f>
        <v>C</v>
      </c>
    </row>
    <row r="1260" customFormat="false" ht="15" hidden="false" customHeight="false" outlineLevel="0" collapsed="false">
      <c r="A1260" s="32" t="n">
        <v>1253</v>
      </c>
      <c r="B1260" s="33" t="n">
        <v>936333</v>
      </c>
      <c r="C1260" s="34" t="s">
        <v>2591</v>
      </c>
      <c r="D1260" s="34" t="s">
        <v>2592</v>
      </c>
      <c r="E1260" s="34" t="s">
        <v>38</v>
      </c>
      <c r="F1260" s="32" t="n">
        <f aca="false">COUNTIF(Base!$D$2:$D$2878,B1260)</f>
        <v>1</v>
      </c>
      <c r="G1260" s="35" t="n">
        <f aca="false">SUMIF(Base!$D$2:$D$2878,B1260,Base!$I$2:$I$2878)</f>
        <v>694</v>
      </c>
      <c r="H1260" s="36" t="n">
        <f aca="false">IF($G$2849=0,0,G1260/$G$2849)</f>
        <v>4.55418250695334E-005</v>
      </c>
      <c r="I1260" s="37" t="n">
        <f aca="false">I1259+H1260</f>
        <v>0.977148970818111</v>
      </c>
      <c r="J1260" s="37" t="n">
        <f aca="false">A1260/2840</f>
        <v>0.441197183098592</v>
      </c>
      <c r="K1260" s="32" t="str">
        <f aca="false">IF(I1260&lt;=$E$4,"A",IF(I1260&lt;=$E$5,"B","C"))</f>
        <v>C</v>
      </c>
    </row>
    <row r="1261" customFormat="false" ht="15" hidden="false" customHeight="false" outlineLevel="0" collapsed="false">
      <c r="A1261" s="32" t="n">
        <v>1254</v>
      </c>
      <c r="B1261" s="33" t="n">
        <v>89393</v>
      </c>
      <c r="C1261" s="34" t="s">
        <v>2593</v>
      </c>
      <c r="D1261" s="34" t="s">
        <v>2594</v>
      </c>
      <c r="E1261" s="34" t="s">
        <v>100</v>
      </c>
      <c r="F1261" s="32" t="n">
        <f aca="false">COUNTIF(Base!$D$2:$D$2878,B1261)</f>
        <v>1</v>
      </c>
      <c r="G1261" s="35" t="n">
        <f aca="false">SUMIF(Base!$D$2:$D$2878,B1261,Base!$I$2:$I$2878)</f>
        <v>693.64</v>
      </c>
      <c r="H1261" s="36" t="n">
        <f aca="false">IF($G$2849=0,0,G1261/$G$2849)</f>
        <v>4.55182010680564E-005</v>
      </c>
      <c r="I1261" s="37" t="n">
        <f aca="false">I1260+H1261</f>
        <v>0.977194489019179</v>
      </c>
      <c r="J1261" s="37" t="n">
        <f aca="false">A1261/2840</f>
        <v>0.441549295774648</v>
      </c>
      <c r="K1261" s="32" t="str">
        <f aca="false">IF(I1261&lt;=$E$4,"A",IF(I1261&lt;=$E$5,"B","C"))</f>
        <v>C</v>
      </c>
    </row>
    <row r="1262" customFormat="false" ht="15" hidden="false" customHeight="false" outlineLevel="0" collapsed="false">
      <c r="A1262" s="32" t="n">
        <v>1255</v>
      </c>
      <c r="B1262" s="33" t="n">
        <v>21733</v>
      </c>
      <c r="C1262" s="34" t="s">
        <v>2595</v>
      </c>
      <c r="D1262" s="34" t="s">
        <v>2596</v>
      </c>
      <c r="E1262" s="34" t="s">
        <v>130</v>
      </c>
      <c r="F1262" s="32" t="n">
        <f aca="false">COUNTIF(Base!$D$2:$D$2878,B1262)</f>
        <v>1</v>
      </c>
      <c r="G1262" s="35" t="n">
        <f aca="false">SUMIF(Base!$D$2:$D$2878,B1262,Base!$I$2:$I$2878)</f>
        <v>693</v>
      </c>
      <c r="H1262" s="36" t="n">
        <f aca="false">IF($G$2849=0,0,G1262/$G$2849)</f>
        <v>4.54762028432084E-005</v>
      </c>
      <c r="I1262" s="37" t="n">
        <f aca="false">I1261+H1262</f>
        <v>0.977239965222022</v>
      </c>
      <c r="J1262" s="37" t="n">
        <f aca="false">A1262/2840</f>
        <v>0.441901408450704</v>
      </c>
      <c r="K1262" s="32" t="str">
        <f aca="false">IF(I1262&lt;=$E$4,"A",IF(I1262&lt;=$E$5,"B","C"))</f>
        <v>C</v>
      </c>
    </row>
    <row r="1263" customFormat="false" ht="15" hidden="false" customHeight="false" outlineLevel="0" collapsed="false">
      <c r="A1263" s="32" t="n">
        <v>1256</v>
      </c>
      <c r="B1263" s="33" t="n">
        <v>387978</v>
      </c>
      <c r="C1263" s="34" t="s">
        <v>2597</v>
      </c>
      <c r="D1263" s="34" t="s">
        <v>2598</v>
      </c>
      <c r="E1263" s="34" t="s">
        <v>189</v>
      </c>
      <c r="F1263" s="32" t="n">
        <f aca="false">COUNTIF(Base!$D$2:$D$2878,B1263)</f>
        <v>1</v>
      </c>
      <c r="G1263" s="35" t="n">
        <f aca="false">SUMIF(Base!$D$2:$D$2878,B1263,Base!$I$2:$I$2878)</f>
        <v>690</v>
      </c>
      <c r="H1263" s="36" t="n">
        <f aca="false">IF($G$2849=0,0,G1263/$G$2849)</f>
        <v>4.52793361642335E-005</v>
      </c>
      <c r="I1263" s="37" t="n">
        <f aca="false">I1262+H1263</f>
        <v>0.977285244558186</v>
      </c>
      <c r="J1263" s="37" t="n">
        <f aca="false">A1263/2840</f>
        <v>0.442253521126761</v>
      </c>
      <c r="K1263" s="32" t="str">
        <f aca="false">IF(I1263&lt;=$E$4,"A",IF(I1263&lt;=$E$5,"B","C"))</f>
        <v>C</v>
      </c>
    </row>
    <row r="1264" customFormat="false" ht="15" hidden="false" customHeight="false" outlineLevel="0" collapsed="false">
      <c r="A1264" s="32" t="n">
        <v>1257</v>
      </c>
      <c r="B1264" s="33" t="n">
        <v>959277</v>
      </c>
      <c r="C1264" s="34" t="s">
        <v>2599</v>
      </c>
      <c r="D1264" s="34" t="s">
        <v>2600</v>
      </c>
      <c r="E1264" s="34" t="s">
        <v>54</v>
      </c>
      <c r="F1264" s="32" t="n">
        <f aca="false">COUNTIF(Base!$D$2:$D$2878,B1264)</f>
        <v>1</v>
      </c>
      <c r="G1264" s="35" t="n">
        <f aca="false">SUMIF(Base!$D$2:$D$2878,B1264,Base!$I$2:$I$2878)</f>
        <v>690</v>
      </c>
      <c r="H1264" s="36" t="n">
        <f aca="false">IF($G$2849=0,0,G1264/$G$2849)</f>
        <v>4.52793361642335E-005</v>
      </c>
      <c r="I1264" s="37" t="n">
        <f aca="false">I1263+H1264</f>
        <v>0.97733052389435</v>
      </c>
      <c r="J1264" s="37" t="n">
        <f aca="false">A1264/2840</f>
        <v>0.442605633802817</v>
      </c>
      <c r="K1264" s="32" t="str">
        <f aca="false">IF(I1264&lt;=$E$4,"A",IF(I1264&lt;=$E$5,"B","C"))</f>
        <v>C</v>
      </c>
    </row>
    <row r="1265" customFormat="false" ht="15" hidden="false" customHeight="false" outlineLevel="0" collapsed="false">
      <c r="A1265" s="32" t="n">
        <v>1258</v>
      </c>
      <c r="B1265" s="33" t="n">
        <v>1539027</v>
      </c>
      <c r="C1265" s="34" t="s">
        <v>2601</v>
      </c>
      <c r="D1265" s="34" t="s">
        <v>2602</v>
      </c>
      <c r="E1265" s="34" t="s">
        <v>38</v>
      </c>
      <c r="F1265" s="32" t="n">
        <f aca="false">COUNTIF(Base!$D$2:$D$2878,B1265)</f>
        <v>1</v>
      </c>
      <c r="G1265" s="35" t="n">
        <f aca="false">SUMIF(Base!$D$2:$D$2878,B1265,Base!$I$2:$I$2878)</f>
        <v>690</v>
      </c>
      <c r="H1265" s="36" t="n">
        <f aca="false">IF($G$2849=0,0,G1265/$G$2849)</f>
        <v>4.52793361642335E-005</v>
      </c>
      <c r="I1265" s="37" t="n">
        <f aca="false">I1264+H1265</f>
        <v>0.977375803230515</v>
      </c>
      <c r="J1265" s="37" t="n">
        <f aca="false">A1265/2840</f>
        <v>0.442957746478873</v>
      </c>
      <c r="K1265" s="32" t="str">
        <f aca="false">IF(I1265&lt;=$E$4,"A",IF(I1265&lt;=$E$5,"B","C"))</f>
        <v>C</v>
      </c>
    </row>
    <row r="1266" customFormat="false" ht="15" hidden="false" customHeight="false" outlineLevel="0" collapsed="false">
      <c r="A1266" s="32" t="n">
        <v>1259</v>
      </c>
      <c r="B1266" s="33" t="n">
        <v>867726</v>
      </c>
      <c r="C1266" s="34" t="s">
        <v>2603</v>
      </c>
      <c r="D1266" s="34" t="s">
        <v>2604</v>
      </c>
      <c r="E1266" s="34" t="s">
        <v>262</v>
      </c>
      <c r="F1266" s="32" t="n">
        <f aca="false">COUNTIF(Base!$D$2:$D$2878,B1266)</f>
        <v>1</v>
      </c>
      <c r="G1266" s="35" t="n">
        <f aca="false">SUMIF(Base!$D$2:$D$2878,B1266,Base!$I$2:$I$2878)</f>
        <v>687.92</v>
      </c>
      <c r="H1266" s="36" t="n">
        <f aca="false">IF($G$2849=0,0,G1266/$G$2849)</f>
        <v>4.51428419334775E-005</v>
      </c>
      <c r="I1266" s="37" t="n">
        <f aca="false">I1265+H1266</f>
        <v>0.977420946072448</v>
      </c>
      <c r="J1266" s="37" t="n">
        <f aca="false">A1266/2840</f>
        <v>0.44330985915493</v>
      </c>
      <c r="K1266" s="32" t="str">
        <f aca="false">IF(I1266&lt;=$E$4,"A",IF(I1266&lt;=$E$5,"B","C"))</f>
        <v>C</v>
      </c>
    </row>
    <row r="1267" customFormat="false" ht="15" hidden="false" customHeight="false" outlineLevel="0" collapsed="false">
      <c r="A1267" s="32" t="n">
        <v>1260</v>
      </c>
      <c r="B1267" s="33" t="n">
        <v>22114</v>
      </c>
      <c r="C1267" s="34" t="s">
        <v>2605</v>
      </c>
      <c r="D1267" s="34" t="s">
        <v>2606</v>
      </c>
      <c r="E1267" s="34" t="s">
        <v>189</v>
      </c>
      <c r="F1267" s="32" t="n">
        <f aca="false">COUNTIF(Base!$D$2:$D$2878,B1267)</f>
        <v>1</v>
      </c>
      <c r="G1267" s="35" t="n">
        <f aca="false">SUMIF(Base!$D$2:$D$2878,B1267,Base!$I$2:$I$2878)</f>
        <v>684</v>
      </c>
      <c r="H1267" s="36" t="n">
        <f aca="false">IF($G$2849=0,0,G1267/$G$2849)</f>
        <v>4.48856028062836E-005</v>
      </c>
      <c r="I1267" s="37" t="n">
        <f aca="false">I1266+H1267</f>
        <v>0.977465831675254</v>
      </c>
      <c r="J1267" s="37" t="n">
        <f aca="false">A1267/2840</f>
        <v>0.443661971830986</v>
      </c>
      <c r="K1267" s="32" t="str">
        <f aca="false">IF(I1267&lt;=$E$4,"A",IF(I1267&lt;=$E$5,"B","C"))</f>
        <v>C</v>
      </c>
    </row>
    <row r="1268" customFormat="false" ht="15" hidden="false" customHeight="false" outlineLevel="0" collapsed="false">
      <c r="A1268" s="32" t="n">
        <v>1261</v>
      </c>
      <c r="B1268" s="33" t="n">
        <v>60056</v>
      </c>
      <c r="C1268" s="34" t="s">
        <v>2607</v>
      </c>
      <c r="D1268" s="34" t="s">
        <v>2608</v>
      </c>
      <c r="E1268" s="34" t="s">
        <v>38</v>
      </c>
      <c r="F1268" s="32" t="n">
        <f aca="false">COUNTIF(Base!$D$2:$D$2878,B1268)</f>
        <v>1</v>
      </c>
      <c r="G1268" s="35" t="n">
        <f aca="false">SUMIF(Base!$D$2:$D$2878,B1268,Base!$I$2:$I$2878)</f>
        <v>681.38</v>
      </c>
      <c r="H1268" s="36" t="n">
        <f aca="false">IF($G$2849=0,0,G1268/$G$2849)</f>
        <v>4.47136725733122E-005</v>
      </c>
      <c r="I1268" s="37" t="n">
        <f aca="false">I1267+H1268</f>
        <v>0.977510545347828</v>
      </c>
      <c r="J1268" s="37" t="n">
        <f aca="false">A1268/2840</f>
        <v>0.444014084507042</v>
      </c>
      <c r="K1268" s="32" t="str">
        <f aca="false">IF(I1268&lt;=$E$4,"A",IF(I1268&lt;=$E$5,"B","C"))</f>
        <v>C</v>
      </c>
    </row>
    <row r="1269" customFormat="false" ht="15" hidden="false" customHeight="false" outlineLevel="0" collapsed="false">
      <c r="A1269" s="32" t="n">
        <v>1262</v>
      </c>
      <c r="B1269" s="33" t="n">
        <v>22252</v>
      </c>
      <c r="C1269" s="34" t="s">
        <v>2609</v>
      </c>
      <c r="D1269" s="34" t="s">
        <v>2610</v>
      </c>
      <c r="E1269" s="34" t="s">
        <v>262</v>
      </c>
      <c r="F1269" s="32" t="n">
        <f aca="false">COUNTIF(Base!$D$2:$D$2878,B1269)</f>
        <v>1</v>
      </c>
      <c r="G1269" s="35" t="n">
        <f aca="false">SUMIF(Base!$D$2:$D$2878,B1269,Base!$I$2:$I$2878)</f>
        <v>680</v>
      </c>
      <c r="H1269" s="36" t="n">
        <f aca="false">IF($G$2849=0,0,G1269/$G$2849)</f>
        <v>4.46231139009837E-005</v>
      </c>
      <c r="I1269" s="37" t="n">
        <f aca="false">I1268+H1269</f>
        <v>0.977555168461729</v>
      </c>
      <c r="J1269" s="37" t="n">
        <f aca="false">A1269/2840</f>
        <v>0.444366197183099</v>
      </c>
      <c r="K1269" s="32" t="str">
        <f aca="false">IF(I1269&lt;=$E$4,"A",IF(I1269&lt;=$E$5,"B","C"))</f>
        <v>C</v>
      </c>
    </row>
    <row r="1270" customFormat="false" ht="15" hidden="false" customHeight="false" outlineLevel="0" collapsed="false">
      <c r="A1270" s="32" t="n">
        <v>1263</v>
      </c>
      <c r="B1270" s="33" t="n">
        <v>32020</v>
      </c>
      <c r="C1270" s="34" t="s">
        <v>2611</v>
      </c>
      <c r="D1270" s="34" t="s">
        <v>2612</v>
      </c>
      <c r="E1270" s="34" t="s">
        <v>38</v>
      </c>
      <c r="F1270" s="32" t="n">
        <f aca="false">COUNTIF(Base!$D$2:$D$2878,B1270)</f>
        <v>1</v>
      </c>
      <c r="G1270" s="35" t="n">
        <f aca="false">SUMIF(Base!$D$2:$D$2878,B1270,Base!$I$2:$I$2878)</f>
        <v>680</v>
      </c>
      <c r="H1270" s="36" t="n">
        <f aca="false">IF($G$2849=0,0,G1270/$G$2849)</f>
        <v>4.46231139009837E-005</v>
      </c>
      <c r="I1270" s="37" t="n">
        <f aca="false">I1269+H1270</f>
        <v>0.97759979157563</v>
      </c>
      <c r="J1270" s="37" t="n">
        <f aca="false">A1270/2840</f>
        <v>0.444718309859155</v>
      </c>
      <c r="K1270" s="32" t="str">
        <f aca="false">IF(I1270&lt;=$E$4,"A",IF(I1270&lt;=$E$5,"B","C"))</f>
        <v>C</v>
      </c>
    </row>
    <row r="1271" customFormat="false" ht="15" hidden="false" customHeight="false" outlineLevel="0" collapsed="false">
      <c r="A1271" s="32" t="n">
        <v>1264</v>
      </c>
      <c r="B1271" s="33" t="n">
        <v>279529</v>
      </c>
      <c r="C1271" s="34" t="s">
        <v>2613</v>
      </c>
      <c r="D1271" s="34" t="s">
        <v>2614</v>
      </c>
      <c r="E1271" s="34" t="s">
        <v>247</v>
      </c>
      <c r="F1271" s="32" t="n">
        <f aca="false">COUNTIF(Base!$D$2:$D$2878,B1271)</f>
        <v>1</v>
      </c>
      <c r="G1271" s="35" t="n">
        <f aca="false">SUMIF(Base!$D$2:$D$2878,B1271,Base!$I$2:$I$2878)</f>
        <v>680</v>
      </c>
      <c r="H1271" s="36" t="n">
        <f aca="false">IF($G$2849=0,0,G1271/$G$2849)</f>
        <v>4.46231139009837E-005</v>
      </c>
      <c r="I1271" s="37" t="n">
        <f aca="false">I1270+H1271</f>
        <v>0.97764441468953</v>
      </c>
      <c r="J1271" s="37" t="n">
        <f aca="false">A1271/2840</f>
        <v>0.445070422535211</v>
      </c>
      <c r="K1271" s="32" t="str">
        <f aca="false">IF(I1271&lt;=$E$4,"A",IF(I1271&lt;=$E$5,"B","C"))</f>
        <v>C</v>
      </c>
    </row>
    <row r="1272" customFormat="false" ht="15" hidden="false" customHeight="false" outlineLevel="0" collapsed="false">
      <c r="A1272" s="32" t="n">
        <v>1265</v>
      </c>
      <c r="B1272" s="33" t="n">
        <v>554395</v>
      </c>
      <c r="C1272" s="34" t="s">
        <v>2615</v>
      </c>
      <c r="D1272" s="34" t="s">
        <v>2616</v>
      </c>
      <c r="E1272" s="34" t="s">
        <v>35</v>
      </c>
      <c r="F1272" s="32" t="n">
        <f aca="false">COUNTIF(Base!$D$2:$D$2878,B1272)</f>
        <v>1</v>
      </c>
      <c r="G1272" s="35" t="n">
        <f aca="false">SUMIF(Base!$D$2:$D$2878,B1272,Base!$I$2:$I$2878)</f>
        <v>680</v>
      </c>
      <c r="H1272" s="36" t="n">
        <f aca="false">IF($G$2849=0,0,G1272/$G$2849)</f>
        <v>4.46231139009837E-005</v>
      </c>
      <c r="I1272" s="37" t="n">
        <f aca="false">I1271+H1272</f>
        <v>0.977689037803431</v>
      </c>
      <c r="J1272" s="37" t="n">
        <f aca="false">A1272/2840</f>
        <v>0.445422535211268</v>
      </c>
      <c r="K1272" s="32" t="str">
        <f aca="false">IF(I1272&lt;=$E$4,"A",IF(I1272&lt;=$E$5,"B","C"))</f>
        <v>C</v>
      </c>
    </row>
    <row r="1273" customFormat="false" ht="15" hidden="false" customHeight="false" outlineLevel="0" collapsed="false">
      <c r="A1273" s="32" t="n">
        <v>1266</v>
      </c>
      <c r="B1273" s="33" t="n">
        <v>1096687</v>
      </c>
      <c r="C1273" s="34" t="s">
        <v>2617</v>
      </c>
      <c r="D1273" s="34" t="s">
        <v>2618</v>
      </c>
      <c r="E1273" s="34" t="s">
        <v>38</v>
      </c>
      <c r="F1273" s="32" t="n">
        <f aca="false">COUNTIF(Base!$D$2:$D$2878,B1273)</f>
        <v>1</v>
      </c>
      <c r="G1273" s="35" t="n">
        <f aca="false">SUMIF(Base!$D$2:$D$2878,B1273,Base!$I$2:$I$2878)</f>
        <v>677.7</v>
      </c>
      <c r="H1273" s="36" t="n">
        <f aca="false">IF($G$2849=0,0,G1273/$G$2849)</f>
        <v>4.44721827804363E-005</v>
      </c>
      <c r="I1273" s="37" t="n">
        <f aca="false">I1272+H1273</f>
        <v>0.977733509986212</v>
      </c>
      <c r="J1273" s="37" t="n">
        <f aca="false">A1273/2840</f>
        <v>0.445774647887324</v>
      </c>
      <c r="K1273" s="32" t="str">
        <f aca="false">IF(I1273&lt;=$E$4,"A",IF(I1273&lt;=$E$5,"B","C"))</f>
        <v>C</v>
      </c>
    </row>
    <row r="1274" customFormat="false" ht="15" hidden="false" customHeight="false" outlineLevel="0" collapsed="false">
      <c r="A1274" s="32" t="n">
        <v>1267</v>
      </c>
      <c r="B1274" s="33" t="n">
        <v>144009</v>
      </c>
      <c r="C1274" s="34" t="s">
        <v>2619</v>
      </c>
      <c r="D1274" s="34" t="s">
        <v>2620</v>
      </c>
      <c r="E1274" s="34" t="s">
        <v>457</v>
      </c>
      <c r="F1274" s="32" t="n">
        <f aca="false">COUNTIF(Base!$D$2:$D$2878,B1274)</f>
        <v>1</v>
      </c>
      <c r="G1274" s="35" t="n">
        <f aca="false">SUMIF(Base!$D$2:$D$2878,B1274,Base!$I$2:$I$2878)</f>
        <v>675</v>
      </c>
      <c r="H1274" s="36" t="n">
        <f aca="false">IF($G$2849=0,0,G1274/$G$2849)</f>
        <v>4.42950027693588E-005</v>
      </c>
      <c r="I1274" s="37" t="n">
        <f aca="false">I1273+H1274</f>
        <v>0.977777804988981</v>
      </c>
      <c r="J1274" s="37" t="n">
        <f aca="false">A1274/2840</f>
        <v>0.44612676056338</v>
      </c>
      <c r="K1274" s="32" t="str">
        <f aca="false">IF(I1274&lt;=$E$4,"A",IF(I1274&lt;=$E$5,"B","C"))</f>
        <v>C</v>
      </c>
    </row>
    <row r="1275" customFormat="false" ht="15" hidden="false" customHeight="false" outlineLevel="0" collapsed="false">
      <c r="A1275" s="32" t="n">
        <v>1268</v>
      </c>
      <c r="B1275" s="33" t="n">
        <v>1327692</v>
      </c>
      <c r="C1275" s="34" t="s">
        <v>2621</v>
      </c>
      <c r="D1275" s="34" t="s">
        <v>2622</v>
      </c>
      <c r="E1275" s="34" t="s">
        <v>457</v>
      </c>
      <c r="F1275" s="32" t="n">
        <f aca="false">COUNTIF(Base!$D$2:$D$2878,B1275)</f>
        <v>1</v>
      </c>
      <c r="G1275" s="35" t="n">
        <f aca="false">SUMIF(Base!$D$2:$D$2878,B1275,Base!$I$2:$I$2878)</f>
        <v>674.9</v>
      </c>
      <c r="H1275" s="36" t="n">
        <f aca="false">IF($G$2849=0,0,G1275/$G$2849)</f>
        <v>4.42884405467263E-005</v>
      </c>
      <c r="I1275" s="37" t="n">
        <f aca="false">I1274+H1275</f>
        <v>0.977822093429528</v>
      </c>
      <c r="J1275" s="37" t="n">
        <f aca="false">A1275/2840</f>
        <v>0.446478873239437</v>
      </c>
      <c r="K1275" s="32" t="str">
        <f aca="false">IF(I1275&lt;=$E$4,"A",IF(I1275&lt;=$E$5,"B","C"))</f>
        <v>C</v>
      </c>
    </row>
    <row r="1276" customFormat="false" ht="15" hidden="false" customHeight="false" outlineLevel="0" collapsed="false">
      <c r="A1276" s="32" t="n">
        <v>1269</v>
      </c>
      <c r="B1276" s="33" t="n">
        <v>1475832</v>
      </c>
      <c r="C1276" s="34" t="s">
        <v>2623</v>
      </c>
      <c r="D1276" s="34" t="s">
        <v>2624</v>
      </c>
      <c r="E1276" s="34" t="s">
        <v>130</v>
      </c>
      <c r="F1276" s="32" t="n">
        <f aca="false">COUNTIF(Base!$D$2:$D$2878,B1276)</f>
        <v>1</v>
      </c>
      <c r="G1276" s="35" t="n">
        <f aca="false">SUMIF(Base!$D$2:$D$2878,B1276,Base!$I$2:$I$2878)</f>
        <v>674.25</v>
      </c>
      <c r="H1276" s="36" t="n">
        <f aca="false">IF($G$2849=0,0,G1276/$G$2849)</f>
        <v>4.42457860996151E-005</v>
      </c>
      <c r="I1276" s="37" t="n">
        <f aca="false">I1275+H1276</f>
        <v>0.977866339215628</v>
      </c>
      <c r="J1276" s="37" t="n">
        <f aca="false">A1276/2840</f>
        <v>0.446830985915493</v>
      </c>
      <c r="K1276" s="32" t="str">
        <f aca="false">IF(I1276&lt;=$E$4,"A",IF(I1276&lt;=$E$5,"B","C"))</f>
        <v>C</v>
      </c>
    </row>
    <row r="1277" customFormat="false" ht="15" hidden="false" customHeight="false" outlineLevel="0" collapsed="false">
      <c r="A1277" s="32" t="n">
        <v>1270</v>
      </c>
      <c r="B1277" s="33" t="n">
        <v>1540011</v>
      </c>
      <c r="C1277" s="34" t="s">
        <v>2625</v>
      </c>
      <c r="D1277" s="34" t="s">
        <v>2626</v>
      </c>
      <c r="E1277" s="34" t="s">
        <v>334</v>
      </c>
      <c r="F1277" s="32" t="n">
        <f aca="false">COUNTIF(Base!$D$2:$D$2878,B1277)</f>
        <v>1</v>
      </c>
      <c r="G1277" s="35" t="n">
        <f aca="false">SUMIF(Base!$D$2:$D$2878,B1277,Base!$I$2:$I$2878)</f>
        <v>674</v>
      </c>
      <c r="H1277" s="36" t="n">
        <f aca="false">IF($G$2849=0,0,G1277/$G$2849)</f>
        <v>4.42293805430338E-005</v>
      </c>
      <c r="I1277" s="37" t="n">
        <f aca="false">I1276+H1277</f>
        <v>0.977910568596171</v>
      </c>
      <c r="J1277" s="37" t="n">
        <f aca="false">A1277/2840</f>
        <v>0.447183098591549</v>
      </c>
      <c r="K1277" s="32" t="str">
        <f aca="false">IF(I1277&lt;=$E$4,"A",IF(I1277&lt;=$E$5,"B","C"))</f>
        <v>C</v>
      </c>
    </row>
    <row r="1278" customFormat="false" ht="15" hidden="false" customHeight="false" outlineLevel="0" collapsed="false">
      <c r="A1278" s="32" t="n">
        <v>1271</v>
      </c>
      <c r="B1278" s="33" t="n">
        <v>57427</v>
      </c>
      <c r="C1278" s="34" t="s">
        <v>2627</v>
      </c>
      <c r="D1278" s="34" t="s">
        <v>2628</v>
      </c>
      <c r="E1278" s="34" t="s">
        <v>100</v>
      </c>
      <c r="F1278" s="32" t="n">
        <f aca="false">COUNTIF(Base!$D$2:$D$2878,B1278)</f>
        <v>1</v>
      </c>
      <c r="G1278" s="35" t="n">
        <f aca="false">SUMIF(Base!$D$2:$D$2878,B1278,Base!$I$2:$I$2878)</f>
        <v>672</v>
      </c>
      <c r="H1278" s="36" t="n">
        <f aca="false">IF($G$2849=0,0,G1278/$G$2849)</f>
        <v>4.40981360903839E-005</v>
      </c>
      <c r="I1278" s="37" t="n">
        <f aca="false">I1277+H1278</f>
        <v>0.977954666732261</v>
      </c>
      <c r="J1278" s="37" t="n">
        <f aca="false">A1278/2840</f>
        <v>0.447535211267606</v>
      </c>
      <c r="K1278" s="32" t="str">
        <f aca="false">IF(I1278&lt;=$E$4,"A",IF(I1278&lt;=$E$5,"B","C"))</f>
        <v>C</v>
      </c>
    </row>
    <row r="1279" customFormat="false" ht="15" hidden="false" customHeight="false" outlineLevel="0" collapsed="false">
      <c r="A1279" s="32" t="n">
        <v>1272</v>
      </c>
      <c r="B1279" s="33" t="n">
        <v>562056</v>
      </c>
      <c r="C1279" s="34" t="s">
        <v>2629</v>
      </c>
      <c r="D1279" s="34" t="s">
        <v>2630</v>
      </c>
      <c r="E1279" s="34" t="s">
        <v>637</v>
      </c>
      <c r="F1279" s="32" t="n">
        <f aca="false">COUNTIF(Base!$D$2:$D$2878,B1279)</f>
        <v>2</v>
      </c>
      <c r="G1279" s="35" t="n">
        <f aca="false">SUMIF(Base!$D$2:$D$2878,B1279,Base!$I$2:$I$2878)</f>
        <v>669.2</v>
      </c>
      <c r="H1279" s="36" t="n">
        <f aca="false">IF($G$2849=0,0,G1279/$G$2849)</f>
        <v>4.3914393856674E-005</v>
      </c>
      <c r="I1279" s="37" t="n">
        <f aca="false">I1278+H1279</f>
        <v>0.977998581126118</v>
      </c>
      <c r="J1279" s="37" t="n">
        <f aca="false">A1279/2840</f>
        <v>0.447887323943662</v>
      </c>
      <c r="K1279" s="32" t="str">
        <f aca="false">IF(I1279&lt;=$E$4,"A",IF(I1279&lt;=$E$5,"B","C"))</f>
        <v>C</v>
      </c>
    </row>
    <row r="1280" customFormat="false" ht="15" hidden="false" customHeight="false" outlineLevel="0" collapsed="false">
      <c r="A1280" s="32" t="n">
        <v>1273</v>
      </c>
      <c r="B1280" s="33" t="n">
        <v>1330378</v>
      </c>
      <c r="C1280" s="34" t="s">
        <v>2631</v>
      </c>
      <c r="D1280" s="34" t="s">
        <v>2632</v>
      </c>
      <c r="E1280" s="34" t="s">
        <v>54</v>
      </c>
      <c r="F1280" s="32" t="n">
        <f aca="false">COUNTIF(Base!$D$2:$D$2878,B1280)</f>
        <v>1</v>
      </c>
      <c r="G1280" s="35" t="n">
        <f aca="false">SUMIF(Base!$D$2:$D$2878,B1280,Base!$I$2:$I$2878)</f>
        <v>668.84</v>
      </c>
      <c r="H1280" s="36" t="n">
        <f aca="false">IF($G$2849=0,0,G1280/$G$2849)</f>
        <v>4.3890769855197E-005</v>
      </c>
      <c r="I1280" s="37" t="n">
        <f aca="false">I1279+H1280</f>
        <v>0.978042471895973</v>
      </c>
      <c r="J1280" s="37" t="n">
        <f aca="false">A1280/2840</f>
        <v>0.448239436619718</v>
      </c>
      <c r="K1280" s="32" t="str">
        <f aca="false">IF(I1280&lt;=$E$4,"A",IF(I1280&lt;=$E$5,"B","C"))</f>
        <v>C</v>
      </c>
    </row>
    <row r="1281" customFormat="false" ht="15" hidden="false" customHeight="false" outlineLevel="0" collapsed="false">
      <c r="A1281" s="32" t="n">
        <v>1274</v>
      </c>
      <c r="B1281" s="33" t="n">
        <v>23276</v>
      </c>
      <c r="C1281" s="34" t="s">
        <v>2633</v>
      </c>
      <c r="D1281" s="34" t="s">
        <v>2634</v>
      </c>
      <c r="E1281" s="34" t="s">
        <v>130</v>
      </c>
      <c r="F1281" s="32" t="n">
        <f aca="false">COUNTIF(Base!$D$2:$D$2878,B1281)</f>
        <v>1</v>
      </c>
      <c r="G1281" s="35" t="n">
        <f aca="false">SUMIF(Base!$D$2:$D$2878,B1281,Base!$I$2:$I$2878)</f>
        <v>667.64</v>
      </c>
      <c r="H1281" s="36" t="n">
        <f aca="false">IF($G$2849=0,0,G1281/$G$2849)</f>
        <v>4.3812023183607E-005</v>
      </c>
      <c r="I1281" s="37" t="n">
        <f aca="false">I1280+H1281</f>
        <v>0.978086283919157</v>
      </c>
      <c r="J1281" s="37" t="n">
        <f aca="false">A1281/2840</f>
        <v>0.448591549295775</v>
      </c>
      <c r="K1281" s="32" t="str">
        <f aca="false">IF(I1281&lt;=$E$4,"A",IF(I1281&lt;=$E$5,"B","C"))</f>
        <v>C</v>
      </c>
    </row>
    <row r="1282" customFormat="false" ht="15" hidden="false" customHeight="false" outlineLevel="0" collapsed="false">
      <c r="A1282" s="32" t="n">
        <v>1275</v>
      </c>
      <c r="B1282" s="33" t="n">
        <v>23989</v>
      </c>
      <c r="C1282" s="34" t="s">
        <v>2635</v>
      </c>
      <c r="D1282" s="34" t="s">
        <v>2636</v>
      </c>
      <c r="E1282" s="34" t="s">
        <v>189</v>
      </c>
      <c r="F1282" s="32" t="n">
        <f aca="false">COUNTIF(Base!$D$2:$D$2878,B1282)</f>
        <v>1</v>
      </c>
      <c r="G1282" s="35" t="n">
        <f aca="false">SUMIF(Base!$D$2:$D$2878,B1282,Base!$I$2:$I$2878)</f>
        <v>666.6</v>
      </c>
      <c r="H1282" s="36" t="n">
        <f aca="false">IF($G$2849=0,0,G1282/$G$2849)</f>
        <v>4.3743776068229E-005</v>
      </c>
      <c r="I1282" s="37" t="n">
        <f aca="false">I1281+H1282</f>
        <v>0.978130027695225</v>
      </c>
      <c r="J1282" s="37" t="n">
        <f aca="false">A1282/2840</f>
        <v>0.448943661971831</v>
      </c>
      <c r="K1282" s="32" t="str">
        <f aca="false">IF(I1282&lt;=$E$4,"A",IF(I1282&lt;=$E$5,"B","C"))</f>
        <v>C</v>
      </c>
    </row>
    <row r="1283" customFormat="false" ht="15" hidden="false" customHeight="false" outlineLevel="0" collapsed="false">
      <c r="A1283" s="32" t="n">
        <v>1276</v>
      </c>
      <c r="B1283" s="33" t="n">
        <v>143919</v>
      </c>
      <c r="C1283" s="34" t="s">
        <v>2637</v>
      </c>
      <c r="D1283" s="34" t="s">
        <v>2638</v>
      </c>
      <c r="E1283" s="34" t="s">
        <v>247</v>
      </c>
      <c r="F1283" s="32" t="n">
        <f aca="false">COUNTIF(Base!$D$2:$D$2878,B1283)</f>
        <v>1</v>
      </c>
      <c r="G1283" s="35" t="n">
        <f aca="false">SUMIF(Base!$D$2:$D$2878,B1283,Base!$I$2:$I$2878)</f>
        <v>665</v>
      </c>
      <c r="H1283" s="36" t="n">
        <f aca="false">IF($G$2849=0,0,G1283/$G$2849)</f>
        <v>4.36387805061091E-005</v>
      </c>
      <c r="I1283" s="37" t="n">
        <f aca="false">I1282+H1283</f>
        <v>0.978173666475731</v>
      </c>
      <c r="J1283" s="37" t="n">
        <f aca="false">A1283/2840</f>
        <v>0.449295774647887</v>
      </c>
      <c r="K1283" s="32" t="str">
        <f aca="false">IF(I1283&lt;=$E$4,"A",IF(I1283&lt;=$E$5,"B","C"))</f>
        <v>C</v>
      </c>
    </row>
    <row r="1284" customFormat="false" ht="15" hidden="false" customHeight="false" outlineLevel="0" collapsed="false">
      <c r="A1284" s="32" t="n">
        <v>1277</v>
      </c>
      <c r="B1284" s="33" t="n">
        <v>561284</v>
      </c>
      <c r="C1284" s="34" t="s">
        <v>2639</v>
      </c>
      <c r="D1284" s="34" t="s">
        <v>2640</v>
      </c>
      <c r="E1284" s="34" t="s">
        <v>38</v>
      </c>
      <c r="F1284" s="32" t="n">
        <f aca="false">COUNTIF(Base!$D$2:$D$2878,B1284)</f>
        <v>1</v>
      </c>
      <c r="G1284" s="35" t="n">
        <f aca="false">SUMIF(Base!$D$2:$D$2878,B1284,Base!$I$2:$I$2878)</f>
        <v>663.77</v>
      </c>
      <c r="H1284" s="36" t="n">
        <f aca="false">IF($G$2849=0,0,G1284/$G$2849)</f>
        <v>4.35580651677293E-005</v>
      </c>
      <c r="I1284" s="37" t="n">
        <f aca="false">I1283+H1284</f>
        <v>0.978217224540899</v>
      </c>
      <c r="J1284" s="37" t="n">
        <f aca="false">A1284/2840</f>
        <v>0.449647887323944</v>
      </c>
      <c r="K1284" s="32" t="str">
        <f aca="false">IF(I1284&lt;=$E$4,"A",IF(I1284&lt;=$E$5,"B","C"))</f>
        <v>C</v>
      </c>
    </row>
    <row r="1285" customFormat="false" ht="15" hidden="false" customHeight="false" outlineLevel="0" collapsed="false">
      <c r="A1285" s="32" t="n">
        <v>1278</v>
      </c>
      <c r="B1285" s="33" t="n">
        <v>1610259</v>
      </c>
      <c r="C1285" s="34" t="s">
        <v>2641</v>
      </c>
      <c r="D1285" s="34" t="s">
        <v>2642</v>
      </c>
      <c r="E1285" s="34" t="s">
        <v>130</v>
      </c>
      <c r="F1285" s="32" t="n">
        <f aca="false">COUNTIF(Base!$D$2:$D$2878,B1285)</f>
        <v>1</v>
      </c>
      <c r="G1285" s="35" t="n">
        <f aca="false">SUMIF(Base!$D$2:$D$2878,B1285,Base!$I$2:$I$2878)</f>
        <v>662.52</v>
      </c>
      <c r="H1285" s="36" t="n">
        <f aca="false">IF($G$2849=0,0,G1285/$G$2849)</f>
        <v>4.34760373848231E-005</v>
      </c>
      <c r="I1285" s="37" t="n">
        <f aca="false">I1284+H1285</f>
        <v>0.978260700578283</v>
      </c>
      <c r="J1285" s="37" t="n">
        <f aca="false">A1285/2840</f>
        <v>0.45</v>
      </c>
      <c r="K1285" s="32" t="str">
        <f aca="false">IF(I1285&lt;=$E$4,"A",IF(I1285&lt;=$E$5,"B","C"))</f>
        <v>C</v>
      </c>
    </row>
    <row r="1286" customFormat="false" ht="15" hidden="false" customHeight="false" outlineLevel="0" collapsed="false">
      <c r="A1286" s="32" t="n">
        <v>1279</v>
      </c>
      <c r="B1286" s="33" t="n">
        <v>53968</v>
      </c>
      <c r="C1286" s="34" t="s">
        <v>2643</v>
      </c>
      <c r="D1286" s="34" t="s">
        <v>2644</v>
      </c>
      <c r="E1286" s="34" t="s">
        <v>100</v>
      </c>
      <c r="F1286" s="32" t="n">
        <f aca="false">COUNTIF(Base!$D$2:$D$2878,B1286)</f>
        <v>1</v>
      </c>
      <c r="G1286" s="35" t="n">
        <f aca="false">SUMIF(Base!$D$2:$D$2878,B1286,Base!$I$2:$I$2878)</f>
        <v>660.8</v>
      </c>
      <c r="H1286" s="36" t="n">
        <f aca="false">IF($G$2849=0,0,G1286/$G$2849)</f>
        <v>4.33631671555442E-005</v>
      </c>
      <c r="I1286" s="37" t="n">
        <f aca="false">I1285+H1286</f>
        <v>0.978304063745439</v>
      </c>
      <c r="J1286" s="37" t="n">
        <f aca="false">A1286/2840</f>
        <v>0.450352112676056</v>
      </c>
      <c r="K1286" s="32" t="str">
        <f aca="false">IF(I1286&lt;=$E$4,"A",IF(I1286&lt;=$E$5,"B","C"))</f>
        <v>C</v>
      </c>
    </row>
    <row r="1287" customFormat="false" ht="15" hidden="false" customHeight="false" outlineLevel="0" collapsed="false">
      <c r="A1287" s="32" t="n">
        <v>1280</v>
      </c>
      <c r="B1287" s="33" t="n">
        <v>55282</v>
      </c>
      <c r="C1287" s="34" t="s">
        <v>2645</v>
      </c>
      <c r="D1287" s="34" t="s">
        <v>2646</v>
      </c>
      <c r="E1287" s="34" t="s">
        <v>38</v>
      </c>
      <c r="F1287" s="32" t="n">
        <f aca="false">COUNTIF(Base!$D$2:$D$2878,B1287)</f>
        <v>1</v>
      </c>
      <c r="G1287" s="35" t="n">
        <f aca="false">SUMIF(Base!$D$2:$D$2878,B1287,Base!$I$2:$I$2878)</f>
        <v>660</v>
      </c>
      <c r="H1287" s="36" t="n">
        <f aca="false">IF($G$2849=0,0,G1287/$G$2849)</f>
        <v>4.33106693744842E-005</v>
      </c>
      <c r="I1287" s="37" t="n">
        <f aca="false">I1286+H1287</f>
        <v>0.978347374414814</v>
      </c>
      <c r="J1287" s="37" t="n">
        <f aca="false">A1287/2840</f>
        <v>0.450704225352113</v>
      </c>
      <c r="K1287" s="32" t="str">
        <f aca="false">IF(I1287&lt;=$E$4,"A",IF(I1287&lt;=$E$5,"B","C"))</f>
        <v>C</v>
      </c>
    </row>
    <row r="1288" customFormat="false" ht="15" hidden="false" customHeight="false" outlineLevel="0" collapsed="false">
      <c r="A1288" s="32" t="n">
        <v>1281</v>
      </c>
      <c r="B1288" s="33" t="n">
        <v>1091608</v>
      </c>
      <c r="C1288" s="34" t="s">
        <v>2647</v>
      </c>
      <c r="D1288" s="34" t="s">
        <v>2648</v>
      </c>
      <c r="E1288" s="34" t="s">
        <v>130</v>
      </c>
      <c r="F1288" s="32" t="n">
        <f aca="false">COUNTIF(Base!$D$2:$D$2878,B1288)</f>
        <v>1</v>
      </c>
      <c r="G1288" s="35" t="n">
        <f aca="false">SUMIF(Base!$D$2:$D$2878,B1288,Base!$I$2:$I$2878)</f>
        <v>660</v>
      </c>
      <c r="H1288" s="36" t="n">
        <f aca="false">IF($G$2849=0,0,G1288/$G$2849)</f>
        <v>4.33106693744842E-005</v>
      </c>
      <c r="I1288" s="37" t="n">
        <f aca="false">I1287+H1288</f>
        <v>0.978390685084188</v>
      </c>
      <c r="J1288" s="37" t="n">
        <f aca="false">A1288/2840</f>
        <v>0.451056338028169</v>
      </c>
      <c r="K1288" s="32" t="str">
        <f aca="false">IF(I1288&lt;=$E$4,"A",IF(I1288&lt;=$E$5,"B","C"))</f>
        <v>C</v>
      </c>
    </row>
    <row r="1289" customFormat="false" ht="15" hidden="false" customHeight="false" outlineLevel="0" collapsed="false">
      <c r="A1289" s="32" t="n">
        <v>1282</v>
      </c>
      <c r="B1289" s="33" t="n">
        <v>1384361</v>
      </c>
      <c r="C1289" s="34" t="s">
        <v>2649</v>
      </c>
      <c r="D1289" s="34" t="s">
        <v>2650</v>
      </c>
      <c r="E1289" s="34" t="s">
        <v>38</v>
      </c>
      <c r="F1289" s="32" t="n">
        <f aca="false">COUNTIF(Base!$D$2:$D$2878,B1289)</f>
        <v>1</v>
      </c>
      <c r="G1289" s="35" t="n">
        <f aca="false">SUMIF(Base!$D$2:$D$2878,B1289,Base!$I$2:$I$2878)</f>
        <v>657.2</v>
      </c>
      <c r="H1289" s="36" t="n">
        <f aca="false">IF($G$2849=0,0,G1289/$G$2849)</f>
        <v>4.31269271407742E-005</v>
      </c>
      <c r="I1289" s="37" t="n">
        <f aca="false">I1288+H1289</f>
        <v>0.978433812011329</v>
      </c>
      <c r="J1289" s="37" t="n">
        <f aca="false">A1289/2840</f>
        <v>0.451408450704225</v>
      </c>
      <c r="K1289" s="32" t="str">
        <f aca="false">IF(I1289&lt;=$E$4,"A",IF(I1289&lt;=$E$5,"B","C"))</f>
        <v>C</v>
      </c>
    </row>
    <row r="1290" customFormat="false" ht="15" hidden="false" customHeight="false" outlineLevel="0" collapsed="false">
      <c r="A1290" s="32" t="n">
        <v>1283</v>
      </c>
      <c r="B1290" s="33" t="n">
        <v>23812</v>
      </c>
      <c r="C1290" s="34" t="s">
        <v>2651</v>
      </c>
      <c r="D1290" s="34" t="s">
        <v>2652</v>
      </c>
      <c r="E1290" s="34" t="s">
        <v>247</v>
      </c>
      <c r="F1290" s="32" t="n">
        <f aca="false">COUNTIF(Base!$D$2:$D$2878,B1290)</f>
        <v>1</v>
      </c>
      <c r="G1290" s="35" t="n">
        <f aca="false">SUMIF(Base!$D$2:$D$2878,B1290,Base!$I$2:$I$2878)</f>
        <v>655</v>
      </c>
      <c r="H1290" s="36" t="n">
        <f aca="false">IF($G$2849=0,0,G1290/$G$2849)</f>
        <v>4.29825582428593E-005</v>
      </c>
      <c r="I1290" s="37" t="n">
        <f aca="false">I1289+H1290</f>
        <v>0.978476794569572</v>
      </c>
      <c r="J1290" s="37" t="n">
        <f aca="false">A1290/2840</f>
        <v>0.451760563380282</v>
      </c>
      <c r="K1290" s="32" t="str">
        <f aca="false">IF(I1290&lt;=$E$4,"A",IF(I1290&lt;=$E$5,"B","C"))</f>
        <v>C</v>
      </c>
    </row>
    <row r="1291" customFormat="false" ht="15" hidden="false" customHeight="false" outlineLevel="0" collapsed="false">
      <c r="A1291" s="32" t="n">
        <v>1284</v>
      </c>
      <c r="B1291" s="33" t="n">
        <v>560973</v>
      </c>
      <c r="C1291" s="34" t="s">
        <v>2653</v>
      </c>
      <c r="D1291" s="34" t="s">
        <v>2654</v>
      </c>
      <c r="E1291" s="34" t="s">
        <v>38</v>
      </c>
      <c r="F1291" s="32" t="n">
        <f aca="false">COUNTIF(Base!$D$2:$D$2878,B1291)</f>
        <v>1</v>
      </c>
      <c r="G1291" s="35" t="n">
        <f aca="false">SUMIF(Base!$D$2:$D$2878,B1291,Base!$I$2:$I$2878)</f>
        <v>652</v>
      </c>
      <c r="H1291" s="36" t="n">
        <f aca="false">IF($G$2849=0,0,G1291/$G$2849)</f>
        <v>4.27856915638844E-005</v>
      </c>
      <c r="I1291" s="37" t="n">
        <f aca="false">I1290+H1291</f>
        <v>0.978519580261136</v>
      </c>
      <c r="J1291" s="37" t="n">
        <f aca="false">A1291/2840</f>
        <v>0.452112676056338</v>
      </c>
      <c r="K1291" s="32" t="str">
        <f aca="false">IF(I1291&lt;=$E$4,"A",IF(I1291&lt;=$E$5,"B","C"))</f>
        <v>C</v>
      </c>
    </row>
    <row r="1292" customFormat="false" ht="15" hidden="false" customHeight="false" outlineLevel="0" collapsed="false">
      <c r="A1292" s="32" t="n">
        <v>1285</v>
      </c>
      <c r="B1292" s="33" t="n">
        <v>1329132</v>
      </c>
      <c r="C1292" s="34" t="s">
        <v>2655</v>
      </c>
      <c r="D1292" s="34" t="s">
        <v>2656</v>
      </c>
      <c r="E1292" s="34" t="s">
        <v>1095</v>
      </c>
      <c r="F1292" s="32" t="n">
        <f aca="false">COUNTIF(Base!$D$2:$D$2878,B1292)</f>
        <v>1</v>
      </c>
      <c r="G1292" s="35" t="n">
        <f aca="false">SUMIF(Base!$D$2:$D$2878,B1292,Base!$I$2:$I$2878)</f>
        <v>651.84</v>
      </c>
      <c r="H1292" s="36" t="n">
        <f aca="false">IF($G$2849=0,0,G1292/$G$2849)</f>
        <v>4.27751920076724E-005</v>
      </c>
      <c r="I1292" s="37" t="n">
        <f aca="false">I1291+H1292</f>
        <v>0.978562355453143</v>
      </c>
      <c r="J1292" s="37" t="n">
        <f aca="false">A1292/2840</f>
        <v>0.452464788732394</v>
      </c>
      <c r="K1292" s="32" t="str">
        <f aca="false">IF(I1292&lt;=$E$4,"A",IF(I1292&lt;=$E$5,"B","C"))</f>
        <v>C</v>
      </c>
    </row>
    <row r="1293" customFormat="false" ht="15" hidden="false" customHeight="false" outlineLevel="0" collapsed="false">
      <c r="A1293" s="32" t="n">
        <v>1286</v>
      </c>
      <c r="B1293" s="33" t="n">
        <v>1096420</v>
      </c>
      <c r="C1293" s="34" t="s">
        <v>2657</v>
      </c>
      <c r="D1293" s="34" t="s">
        <v>2658</v>
      </c>
      <c r="E1293" s="34" t="s">
        <v>35</v>
      </c>
      <c r="F1293" s="32" t="n">
        <f aca="false">COUNTIF(Base!$D$2:$D$2878,B1293)</f>
        <v>1</v>
      </c>
      <c r="G1293" s="35" t="n">
        <f aca="false">SUMIF(Base!$D$2:$D$2878,B1293,Base!$I$2:$I$2878)</f>
        <v>648.96</v>
      </c>
      <c r="H1293" s="36" t="n">
        <f aca="false">IF($G$2849=0,0,G1293/$G$2849)</f>
        <v>4.25861999958564E-005</v>
      </c>
      <c r="I1293" s="37" t="n">
        <f aca="false">I1292+H1293</f>
        <v>0.978604941653139</v>
      </c>
      <c r="J1293" s="37" t="n">
        <f aca="false">A1293/2840</f>
        <v>0.452816901408451</v>
      </c>
      <c r="K1293" s="32" t="str">
        <f aca="false">IF(I1293&lt;=$E$4,"A",IF(I1293&lt;=$E$5,"B","C"))</f>
        <v>C</v>
      </c>
    </row>
    <row r="1294" customFormat="false" ht="15" hidden="false" customHeight="false" outlineLevel="0" collapsed="false">
      <c r="A1294" s="32" t="n">
        <v>1287</v>
      </c>
      <c r="B1294" s="33" t="n">
        <v>1326773</v>
      </c>
      <c r="C1294" s="34" t="s">
        <v>2659</v>
      </c>
      <c r="D1294" s="34" t="s">
        <v>2660</v>
      </c>
      <c r="E1294" s="34" t="s">
        <v>38</v>
      </c>
      <c r="F1294" s="32" t="n">
        <f aca="false">COUNTIF(Base!$D$2:$D$2878,B1294)</f>
        <v>1</v>
      </c>
      <c r="G1294" s="35" t="n">
        <f aca="false">SUMIF(Base!$D$2:$D$2878,B1294,Base!$I$2:$I$2878)</f>
        <v>645.35</v>
      </c>
      <c r="H1294" s="36" t="n">
        <f aca="false">IF($G$2849=0,0,G1294/$G$2849)</f>
        <v>4.23493037588233E-005</v>
      </c>
      <c r="I1294" s="37" t="n">
        <f aca="false">I1293+H1294</f>
        <v>0.978647290956898</v>
      </c>
      <c r="J1294" s="37" t="n">
        <f aca="false">A1294/2840</f>
        <v>0.453169014084507</v>
      </c>
      <c r="K1294" s="32" t="str">
        <f aca="false">IF(I1294&lt;=$E$4,"A",IF(I1294&lt;=$E$5,"B","C"))</f>
        <v>C</v>
      </c>
    </row>
    <row r="1295" customFormat="false" ht="15" hidden="false" customHeight="false" outlineLevel="0" collapsed="false">
      <c r="A1295" s="32" t="n">
        <v>1288</v>
      </c>
      <c r="B1295" s="33" t="n">
        <v>21821</v>
      </c>
      <c r="C1295" s="34" t="s">
        <v>2661</v>
      </c>
      <c r="D1295" s="34" t="s">
        <v>2662</v>
      </c>
      <c r="E1295" s="34" t="s">
        <v>130</v>
      </c>
      <c r="F1295" s="32" t="n">
        <f aca="false">COUNTIF(Base!$D$2:$D$2878,B1295)</f>
        <v>1</v>
      </c>
      <c r="G1295" s="35" t="n">
        <f aca="false">SUMIF(Base!$D$2:$D$2878,B1295,Base!$I$2:$I$2878)</f>
        <v>644</v>
      </c>
      <c r="H1295" s="36" t="n">
        <f aca="false">IF($G$2849=0,0,G1295/$G$2849)</f>
        <v>4.22607137532846E-005</v>
      </c>
      <c r="I1295" s="37" t="n">
        <f aca="false">I1294+H1295</f>
        <v>0.978689551670651</v>
      </c>
      <c r="J1295" s="37" t="n">
        <f aca="false">A1295/2840</f>
        <v>0.453521126760563</v>
      </c>
      <c r="K1295" s="32" t="str">
        <f aca="false">IF(I1295&lt;=$E$4,"A",IF(I1295&lt;=$E$5,"B","C"))</f>
        <v>C</v>
      </c>
    </row>
    <row r="1296" customFormat="false" ht="15" hidden="false" customHeight="false" outlineLevel="0" collapsed="false">
      <c r="A1296" s="32" t="n">
        <v>1289</v>
      </c>
      <c r="B1296" s="33" t="n">
        <v>1386843</v>
      </c>
      <c r="C1296" s="34" t="s">
        <v>2663</v>
      </c>
      <c r="D1296" s="34" t="s">
        <v>2664</v>
      </c>
      <c r="E1296" s="34" t="s">
        <v>100</v>
      </c>
      <c r="F1296" s="32" t="n">
        <f aca="false">COUNTIF(Base!$D$2:$D$2878,B1296)</f>
        <v>1</v>
      </c>
      <c r="G1296" s="35" t="n">
        <f aca="false">SUMIF(Base!$D$2:$D$2878,B1296,Base!$I$2:$I$2878)</f>
        <v>643.88</v>
      </c>
      <c r="H1296" s="36" t="n">
        <f aca="false">IF($G$2849=0,0,G1296/$G$2849)</f>
        <v>4.22528390861256E-005</v>
      </c>
      <c r="I1296" s="37" t="n">
        <f aca="false">I1295+H1296</f>
        <v>0.978731804509737</v>
      </c>
      <c r="J1296" s="37" t="n">
        <f aca="false">A1296/2840</f>
        <v>0.45387323943662</v>
      </c>
      <c r="K1296" s="32" t="str">
        <f aca="false">IF(I1296&lt;=$E$4,"A",IF(I1296&lt;=$E$5,"B","C"))</f>
        <v>C</v>
      </c>
    </row>
    <row r="1297" customFormat="false" ht="15" hidden="false" customHeight="false" outlineLevel="0" collapsed="false">
      <c r="A1297" s="32" t="n">
        <v>1290</v>
      </c>
      <c r="B1297" s="33" t="n">
        <v>1383640</v>
      </c>
      <c r="C1297" s="34" t="s">
        <v>2665</v>
      </c>
      <c r="D1297" s="34" t="s">
        <v>2666</v>
      </c>
      <c r="E1297" s="34" t="s">
        <v>38</v>
      </c>
      <c r="F1297" s="32" t="n">
        <f aca="false">COUNTIF(Base!$D$2:$D$2878,B1297)</f>
        <v>1</v>
      </c>
      <c r="G1297" s="35" t="n">
        <f aca="false">SUMIF(Base!$D$2:$D$2878,B1297,Base!$I$2:$I$2878)</f>
        <v>643.5</v>
      </c>
      <c r="H1297" s="36" t="n">
        <f aca="false">IF($G$2849=0,0,G1297/$G$2849)</f>
        <v>4.22279026401221E-005</v>
      </c>
      <c r="I1297" s="37" t="n">
        <f aca="false">I1296+H1297</f>
        <v>0.978774032412377</v>
      </c>
      <c r="J1297" s="37" t="n">
        <f aca="false">A1297/2840</f>
        <v>0.454225352112676</v>
      </c>
      <c r="K1297" s="32" t="str">
        <f aca="false">IF(I1297&lt;=$E$4,"A",IF(I1297&lt;=$E$5,"B","C"))</f>
        <v>C</v>
      </c>
    </row>
    <row r="1298" customFormat="false" ht="15" hidden="false" customHeight="false" outlineLevel="0" collapsed="false">
      <c r="A1298" s="32" t="n">
        <v>1291</v>
      </c>
      <c r="B1298" s="33" t="n">
        <v>1464212</v>
      </c>
      <c r="C1298" s="34" t="s">
        <v>2667</v>
      </c>
      <c r="D1298" s="34" t="s">
        <v>2668</v>
      </c>
      <c r="E1298" s="34" t="s">
        <v>63</v>
      </c>
      <c r="F1298" s="32" t="n">
        <f aca="false">COUNTIF(Base!$D$2:$D$2878,B1298)</f>
        <v>1</v>
      </c>
      <c r="G1298" s="35" t="n">
        <f aca="false">SUMIF(Base!$D$2:$D$2878,B1298,Base!$I$2:$I$2878)</f>
        <v>642.84</v>
      </c>
      <c r="H1298" s="36" t="n">
        <f aca="false">IF($G$2849=0,0,G1298/$G$2849)</f>
        <v>4.21845919707476E-005</v>
      </c>
      <c r="I1298" s="37" t="n">
        <f aca="false">I1297+H1298</f>
        <v>0.978816217004348</v>
      </c>
      <c r="J1298" s="37" t="n">
        <f aca="false">A1298/2840</f>
        <v>0.454577464788732</v>
      </c>
      <c r="K1298" s="32" t="str">
        <f aca="false">IF(I1298&lt;=$E$4,"A",IF(I1298&lt;=$E$5,"B","C"))</f>
        <v>C</v>
      </c>
    </row>
    <row r="1299" customFormat="false" ht="15" hidden="false" customHeight="false" outlineLevel="0" collapsed="false">
      <c r="A1299" s="32" t="n">
        <v>1292</v>
      </c>
      <c r="B1299" s="33" t="n">
        <v>1656587</v>
      </c>
      <c r="C1299" s="34" t="s">
        <v>2669</v>
      </c>
      <c r="D1299" s="34" t="s">
        <v>2670</v>
      </c>
      <c r="E1299" s="34" t="s">
        <v>217</v>
      </c>
      <c r="F1299" s="32" t="n">
        <f aca="false">COUNTIF(Base!$D$2:$D$2878,B1299)</f>
        <v>1</v>
      </c>
      <c r="G1299" s="35" t="n">
        <f aca="false">SUMIF(Base!$D$2:$D$2878,B1299,Base!$I$2:$I$2878)</f>
        <v>642.06</v>
      </c>
      <c r="H1299" s="36" t="n">
        <f aca="false">IF($G$2849=0,0,G1299/$G$2849)</f>
        <v>4.21334066342141E-005</v>
      </c>
      <c r="I1299" s="37" t="n">
        <f aca="false">I1298+H1299</f>
        <v>0.978858350410982</v>
      </c>
      <c r="J1299" s="37" t="n">
        <f aca="false">A1299/2840</f>
        <v>0.454929577464789</v>
      </c>
      <c r="K1299" s="32" t="str">
        <f aca="false">IF(I1299&lt;=$E$4,"A",IF(I1299&lt;=$E$5,"B","C"))</f>
        <v>C</v>
      </c>
    </row>
    <row r="1300" customFormat="false" ht="15" hidden="false" customHeight="false" outlineLevel="0" collapsed="false">
      <c r="A1300" s="32" t="n">
        <v>1293</v>
      </c>
      <c r="B1300" s="33" t="n">
        <v>1096007</v>
      </c>
      <c r="C1300" s="34" t="s">
        <v>2671</v>
      </c>
      <c r="D1300" s="34" t="s">
        <v>2672</v>
      </c>
      <c r="E1300" s="34" t="s">
        <v>133</v>
      </c>
      <c r="F1300" s="32" t="n">
        <f aca="false">COUNTIF(Base!$D$2:$D$2878,B1300)</f>
        <v>1</v>
      </c>
      <c r="G1300" s="35" t="n">
        <f aca="false">SUMIF(Base!$D$2:$D$2878,B1300,Base!$I$2:$I$2878)</f>
        <v>637.2</v>
      </c>
      <c r="H1300" s="36" t="n">
        <f aca="false">IF($G$2849=0,0,G1300/$G$2849)</f>
        <v>4.18144826142747E-005</v>
      </c>
      <c r="I1300" s="37" t="n">
        <f aca="false">I1299+H1300</f>
        <v>0.978900164893596</v>
      </c>
      <c r="J1300" s="37" t="n">
        <f aca="false">A1300/2840</f>
        <v>0.455281690140845</v>
      </c>
      <c r="K1300" s="32" t="str">
        <f aca="false">IF(I1300&lt;=$E$4,"A",IF(I1300&lt;=$E$5,"B","C"))</f>
        <v>C</v>
      </c>
    </row>
    <row r="1301" customFormat="false" ht="15" hidden="false" customHeight="false" outlineLevel="0" collapsed="false">
      <c r="A1301" s="32" t="n">
        <v>1294</v>
      </c>
      <c r="B1301" s="33" t="n">
        <v>1462975</v>
      </c>
      <c r="C1301" s="34" t="s">
        <v>2673</v>
      </c>
      <c r="D1301" s="34" t="s">
        <v>2674</v>
      </c>
      <c r="E1301" s="34" t="s">
        <v>54</v>
      </c>
      <c r="F1301" s="32" t="n">
        <f aca="false">COUNTIF(Base!$D$2:$D$2878,B1301)</f>
        <v>1</v>
      </c>
      <c r="G1301" s="35" t="n">
        <f aca="false">SUMIF(Base!$D$2:$D$2878,B1301,Base!$I$2:$I$2878)</f>
        <v>636</v>
      </c>
      <c r="H1301" s="36" t="n">
        <f aca="false">IF($G$2849=0,0,G1301/$G$2849)</f>
        <v>4.17357359426848E-005</v>
      </c>
      <c r="I1301" s="37" t="n">
        <f aca="false">I1300+H1301</f>
        <v>0.978941900629539</v>
      </c>
      <c r="J1301" s="37" t="n">
        <f aca="false">A1301/2840</f>
        <v>0.455633802816901</v>
      </c>
      <c r="K1301" s="32" t="str">
        <f aca="false">IF(I1301&lt;=$E$4,"A",IF(I1301&lt;=$E$5,"B","C"))</f>
        <v>C</v>
      </c>
    </row>
    <row r="1302" customFormat="false" ht="15" hidden="false" customHeight="false" outlineLevel="0" collapsed="false">
      <c r="A1302" s="32" t="n">
        <v>1295</v>
      </c>
      <c r="B1302" s="33" t="n">
        <v>1465210</v>
      </c>
      <c r="C1302" s="34" t="s">
        <v>2675</v>
      </c>
      <c r="D1302" s="34" t="s">
        <v>2676</v>
      </c>
      <c r="E1302" s="34" t="s">
        <v>133</v>
      </c>
      <c r="F1302" s="32" t="n">
        <f aca="false">COUNTIF(Base!$D$2:$D$2878,B1302)</f>
        <v>1</v>
      </c>
      <c r="G1302" s="35" t="n">
        <f aca="false">SUMIF(Base!$D$2:$D$2878,B1302,Base!$I$2:$I$2878)</f>
        <v>634.94</v>
      </c>
      <c r="H1302" s="36" t="n">
        <f aca="false">IF($G$2849=0,0,G1302/$G$2849)</f>
        <v>4.16661763827803E-005</v>
      </c>
      <c r="I1302" s="37" t="n">
        <f aca="false">I1301+H1302</f>
        <v>0.978983566805922</v>
      </c>
      <c r="J1302" s="37" t="n">
        <f aca="false">A1302/2840</f>
        <v>0.455985915492958</v>
      </c>
      <c r="K1302" s="32" t="str">
        <f aca="false">IF(I1302&lt;=$E$4,"A",IF(I1302&lt;=$E$5,"B","C"))</f>
        <v>C</v>
      </c>
    </row>
    <row r="1303" customFormat="false" ht="15" hidden="false" customHeight="false" outlineLevel="0" collapsed="false">
      <c r="A1303" s="32" t="n">
        <v>1296</v>
      </c>
      <c r="B1303" s="33" t="n">
        <v>1387757</v>
      </c>
      <c r="C1303" s="34" t="s">
        <v>2677</v>
      </c>
      <c r="D1303" s="34" t="s">
        <v>2678</v>
      </c>
      <c r="E1303" s="34" t="s">
        <v>38</v>
      </c>
      <c r="F1303" s="32" t="n">
        <f aca="false">COUNTIF(Base!$D$2:$D$2878,B1303)</f>
        <v>1</v>
      </c>
      <c r="G1303" s="35" t="n">
        <f aca="false">SUMIF(Base!$D$2:$D$2878,B1303,Base!$I$2:$I$2878)</f>
        <v>634.5</v>
      </c>
      <c r="H1303" s="36" t="n">
        <f aca="false">IF($G$2849=0,0,G1303/$G$2849)</f>
        <v>4.16373026031973E-005</v>
      </c>
      <c r="I1303" s="37" t="n">
        <f aca="false">I1302+H1303</f>
        <v>0.979025204108525</v>
      </c>
      <c r="J1303" s="37" t="n">
        <f aca="false">A1303/2840</f>
        <v>0.456338028169014</v>
      </c>
      <c r="K1303" s="32" t="str">
        <f aca="false">IF(I1303&lt;=$E$4,"A",IF(I1303&lt;=$E$5,"B","C"))</f>
        <v>C</v>
      </c>
    </row>
    <row r="1304" customFormat="false" ht="15" hidden="false" customHeight="false" outlineLevel="0" collapsed="false">
      <c r="A1304" s="32" t="n">
        <v>1297</v>
      </c>
      <c r="B1304" s="33" t="n">
        <v>1385086</v>
      </c>
      <c r="C1304" s="34" t="s">
        <v>2679</v>
      </c>
      <c r="D1304" s="34" t="s">
        <v>2680</v>
      </c>
      <c r="E1304" s="34" t="s">
        <v>38</v>
      </c>
      <c r="F1304" s="32" t="n">
        <f aca="false">COUNTIF(Base!$D$2:$D$2878,B1304)</f>
        <v>1</v>
      </c>
      <c r="G1304" s="35" t="n">
        <f aca="false">SUMIF(Base!$D$2:$D$2878,B1304,Base!$I$2:$I$2878)</f>
        <v>634.4</v>
      </c>
      <c r="H1304" s="36" t="n">
        <f aca="false">IF($G$2849=0,0,G1304/$G$2849)</f>
        <v>4.16307403805648E-005</v>
      </c>
      <c r="I1304" s="37" t="n">
        <f aca="false">I1303+H1304</f>
        <v>0.979066834848906</v>
      </c>
      <c r="J1304" s="37" t="n">
        <f aca="false">A1304/2840</f>
        <v>0.45669014084507</v>
      </c>
      <c r="K1304" s="32" t="str">
        <f aca="false">IF(I1304&lt;=$E$4,"A",IF(I1304&lt;=$E$5,"B","C"))</f>
        <v>C</v>
      </c>
    </row>
    <row r="1305" customFormat="false" ht="15" hidden="false" customHeight="false" outlineLevel="0" collapsed="false">
      <c r="A1305" s="32" t="n">
        <v>1298</v>
      </c>
      <c r="B1305" s="33" t="n">
        <v>937214</v>
      </c>
      <c r="C1305" s="34" t="s">
        <v>2681</v>
      </c>
      <c r="D1305" s="34" t="s">
        <v>2682</v>
      </c>
      <c r="E1305" s="34" t="s">
        <v>38</v>
      </c>
      <c r="F1305" s="32" t="n">
        <f aca="false">COUNTIF(Base!$D$2:$D$2878,B1305)</f>
        <v>1</v>
      </c>
      <c r="G1305" s="35" t="n">
        <f aca="false">SUMIF(Base!$D$2:$D$2878,B1305,Base!$I$2:$I$2878)</f>
        <v>632.5</v>
      </c>
      <c r="H1305" s="36" t="n">
        <f aca="false">IF($G$2849=0,0,G1305/$G$2849)</f>
        <v>4.15060581505473E-005</v>
      </c>
      <c r="I1305" s="37" t="n">
        <f aca="false">I1304+H1305</f>
        <v>0.979108340907056</v>
      </c>
      <c r="J1305" s="37" t="n">
        <f aca="false">A1305/2840</f>
        <v>0.457042253521127</v>
      </c>
      <c r="K1305" s="32" t="str">
        <f aca="false">IF(I1305&lt;=$E$4,"A",IF(I1305&lt;=$E$5,"B","C"))</f>
        <v>C</v>
      </c>
    </row>
    <row r="1306" customFormat="false" ht="15" hidden="false" customHeight="false" outlineLevel="0" collapsed="false">
      <c r="A1306" s="32" t="n">
        <v>1299</v>
      </c>
      <c r="B1306" s="33" t="n">
        <v>1380123</v>
      </c>
      <c r="C1306" s="34" t="s">
        <v>2683</v>
      </c>
      <c r="D1306" s="34" t="s">
        <v>2684</v>
      </c>
      <c r="E1306" s="34" t="s">
        <v>38</v>
      </c>
      <c r="F1306" s="32" t="n">
        <f aca="false">COUNTIF(Base!$D$2:$D$2878,B1306)</f>
        <v>1</v>
      </c>
      <c r="G1306" s="35" t="n">
        <f aca="false">SUMIF(Base!$D$2:$D$2878,B1306,Base!$I$2:$I$2878)</f>
        <v>632</v>
      </c>
      <c r="H1306" s="36" t="n">
        <f aca="false">IF($G$2849=0,0,G1306/$G$2849)</f>
        <v>4.14732470373848E-005</v>
      </c>
      <c r="I1306" s="37" t="n">
        <f aca="false">I1305+H1306</f>
        <v>0.979149814154094</v>
      </c>
      <c r="J1306" s="37" t="n">
        <f aca="false">A1306/2840</f>
        <v>0.457394366197183</v>
      </c>
      <c r="K1306" s="32" t="str">
        <f aca="false">IF(I1306&lt;=$E$4,"A",IF(I1306&lt;=$E$5,"B","C"))</f>
        <v>C</v>
      </c>
    </row>
    <row r="1307" customFormat="false" ht="15" hidden="false" customHeight="false" outlineLevel="0" collapsed="false">
      <c r="A1307" s="32" t="n">
        <v>1300</v>
      </c>
      <c r="B1307" s="33" t="n">
        <v>835066</v>
      </c>
      <c r="C1307" s="34" t="s">
        <v>2685</v>
      </c>
      <c r="D1307" s="34" t="s">
        <v>2686</v>
      </c>
      <c r="E1307" s="34" t="s">
        <v>705</v>
      </c>
      <c r="F1307" s="32" t="n">
        <f aca="false">COUNTIF(Base!$D$2:$D$2878,B1307)</f>
        <v>1</v>
      </c>
      <c r="G1307" s="35" t="n">
        <f aca="false">SUMIF(Base!$D$2:$D$2878,B1307,Base!$I$2:$I$2878)</f>
        <v>629.1</v>
      </c>
      <c r="H1307" s="36" t="n">
        <f aca="false">IF($G$2849=0,0,G1307/$G$2849)</f>
        <v>4.12829425810424E-005</v>
      </c>
      <c r="I1307" s="37" t="n">
        <f aca="false">I1306+H1307</f>
        <v>0.979191097096675</v>
      </c>
      <c r="J1307" s="37" t="n">
        <f aca="false">A1307/2840</f>
        <v>0.457746478873239</v>
      </c>
      <c r="K1307" s="32" t="str">
        <f aca="false">IF(I1307&lt;=$E$4,"A",IF(I1307&lt;=$E$5,"B","C"))</f>
        <v>C</v>
      </c>
    </row>
    <row r="1308" customFormat="false" ht="15" hidden="false" customHeight="false" outlineLevel="0" collapsed="false">
      <c r="A1308" s="32" t="n">
        <v>1301</v>
      </c>
      <c r="B1308" s="33" t="n">
        <v>142355</v>
      </c>
      <c r="C1308" s="34" t="s">
        <v>2687</v>
      </c>
      <c r="D1308" s="34" t="s">
        <v>2688</v>
      </c>
      <c r="E1308" s="34" t="s">
        <v>133</v>
      </c>
      <c r="F1308" s="32" t="n">
        <f aca="false">COUNTIF(Base!$D$2:$D$2878,B1308)</f>
        <v>1</v>
      </c>
      <c r="G1308" s="35" t="n">
        <f aca="false">SUMIF(Base!$D$2:$D$2878,B1308,Base!$I$2:$I$2878)</f>
        <v>628.2</v>
      </c>
      <c r="H1308" s="36" t="n">
        <f aca="false">IF($G$2849=0,0,G1308/$G$2849)</f>
        <v>4.12238825773499E-005</v>
      </c>
      <c r="I1308" s="37" t="n">
        <f aca="false">I1307+H1308</f>
        <v>0.979232320979252</v>
      </c>
      <c r="J1308" s="37" t="n">
        <f aca="false">A1308/2840</f>
        <v>0.458098591549296</v>
      </c>
      <c r="K1308" s="32" t="str">
        <f aca="false">IF(I1308&lt;=$E$4,"A",IF(I1308&lt;=$E$5,"B","C"))</f>
        <v>C</v>
      </c>
    </row>
    <row r="1309" customFormat="false" ht="15" hidden="false" customHeight="false" outlineLevel="0" collapsed="false">
      <c r="A1309" s="32" t="n">
        <v>1302</v>
      </c>
      <c r="B1309" s="33" t="n">
        <v>18850</v>
      </c>
      <c r="C1309" s="34" t="s">
        <v>2689</v>
      </c>
      <c r="D1309" s="34" t="s">
        <v>2690</v>
      </c>
      <c r="E1309" s="34" t="s">
        <v>247</v>
      </c>
      <c r="F1309" s="32" t="n">
        <f aca="false">COUNTIF(Base!$D$2:$D$2878,B1309)</f>
        <v>1</v>
      </c>
      <c r="G1309" s="35" t="n">
        <f aca="false">SUMIF(Base!$D$2:$D$2878,B1309,Base!$I$2:$I$2878)</f>
        <v>627.4</v>
      </c>
      <c r="H1309" s="36" t="n">
        <f aca="false">IF($G$2849=0,0,G1309/$G$2849)</f>
        <v>4.117138479629E-005</v>
      </c>
      <c r="I1309" s="37" t="n">
        <f aca="false">I1308+H1309</f>
        <v>0.979273492364048</v>
      </c>
      <c r="J1309" s="37" t="n">
        <f aca="false">A1309/2840</f>
        <v>0.458450704225352</v>
      </c>
      <c r="K1309" s="32" t="str">
        <f aca="false">IF(I1309&lt;=$E$4,"A",IF(I1309&lt;=$E$5,"B","C"))</f>
        <v>C</v>
      </c>
    </row>
    <row r="1310" customFormat="false" ht="15" hidden="false" customHeight="false" outlineLevel="0" collapsed="false">
      <c r="A1310" s="32" t="n">
        <v>1303</v>
      </c>
      <c r="B1310" s="33" t="n">
        <v>141723</v>
      </c>
      <c r="C1310" s="34" t="s">
        <v>2691</v>
      </c>
      <c r="D1310" s="34" t="s">
        <v>2692</v>
      </c>
      <c r="E1310" s="34" t="s">
        <v>1095</v>
      </c>
      <c r="F1310" s="32" t="n">
        <f aca="false">COUNTIF(Base!$D$2:$D$2878,B1310)</f>
        <v>1</v>
      </c>
      <c r="G1310" s="35" t="n">
        <f aca="false">SUMIF(Base!$D$2:$D$2878,B1310,Base!$I$2:$I$2878)</f>
        <v>627</v>
      </c>
      <c r="H1310" s="36" t="n">
        <f aca="false">IF($G$2849=0,0,G1310/$G$2849)</f>
        <v>4.114513590576E-005</v>
      </c>
      <c r="I1310" s="37" t="n">
        <f aca="false">I1309+H1310</f>
        <v>0.979314637499954</v>
      </c>
      <c r="J1310" s="37" t="n">
        <f aca="false">A1310/2840</f>
        <v>0.458802816901408</v>
      </c>
      <c r="K1310" s="32" t="str">
        <f aca="false">IF(I1310&lt;=$E$4,"A",IF(I1310&lt;=$E$5,"B","C"))</f>
        <v>C</v>
      </c>
    </row>
    <row r="1311" customFormat="false" ht="15" hidden="false" customHeight="false" outlineLevel="0" collapsed="false">
      <c r="A1311" s="32" t="n">
        <v>1304</v>
      </c>
      <c r="B1311" s="33" t="n">
        <v>1654526</v>
      </c>
      <c r="C1311" s="34" t="s">
        <v>2693</v>
      </c>
      <c r="D1311" s="34" t="s">
        <v>2694</v>
      </c>
      <c r="E1311" s="34" t="s">
        <v>217</v>
      </c>
      <c r="F1311" s="32" t="n">
        <f aca="false">COUNTIF(Base!$D$2:$D$2878,B1311)</f>
        <v>1</v>
      </c>
      <c r="G1311" s="35" t="n">
        <f aca="false">SUMIF(Base!$D$2:$D$2878,B1311,Base!$I$2:$I$2878)</f>
        <v>626.85</v>
      </c>
      <c r="H1311" s="36" t="n">
        <f aca="false">IF($G$2849=0,0,G1311/$G$2849)</f>
        <v>4.11352925718112E-005</v>
      </c>
      <c r="I1311" s="37" t="n">
        <f aca="false">I1310+H1311</f>
        <v>0.979355772792526</v>
      </c>
      <c r="J1311" s="37" t="n">
        <f aca="false">A1311/2840</f>
        <v>0.459154929577465</v>
      </c>
      <c r="K1311" s="32" t="str">
        <f aca="false">IF(I1311&lt;=$E$4,"A",IF(I1311&lt;=$E$5,"B","C"))</f>
        <v>C</v>
      </c>
    </row>
    <row r="1312" customFormat="false" ht="15" hidden="false" customHeight="false" outlineLevel="0" collapsed="false">
      <c r="A1312" s="32" t="n">
        <v>1305</v>
      </c>
      <c r="B1312" s="33" t="n">
        <v>1608986</v>
      </c>
      <c r="C1312" s="34" t="s">
        <v>2695</v>
      </c>
      <c r="D1312" s="34" t="s">
        <v>2696</v>
      </c>
      <c r="E1312" s="34" t="s">
        <v>170</v>
      </c>
      <c r="F1312" s="32" t="n">
        <f aca="false">COUNTIF(Base!$D$2:$D$2878,B1312)</f>
        <v>1</v>
      </c>
      <c r="G1312" s="35" t="n">
        <f aca="false">SUMIF(Base!$D$2:$D$2878,B1312,Base!$I$2:$I$2878)</f>
        <v>625</v>
      </c>
      <c r="H1312" s="36" t="n">
        <f aca="false">IF($G$2849=0,0,G1312/$G$2849)</f>
        <v>4.101389145311E-005</v>
      </c>
      <c r="I1312" s="37" t="n">
        <f aca="false">I1311+H1312</f>
        <v>0.979396786683979</v>
      </c>
      <c r="J1312" s="37" t="n">
        <f aca="false">A1312/2840</f>
        <v>0.459507042253521</v>
      </c>
      <c r="K1312" s="32" t="str">
        <f aca="false">IF(I1312&lt;=$E$4,"A",IF(I1312&lt;=$E$5,"B","C"))</f>
        <v>C</v>
      </c>
    </row>
    <row r="1313" customFormat="false" ht="15" hidden="false" customHeight="false" outlineLevel="0" collapsed="false">
      <c r="A1313" s="32" t="n">
        <v>1306</v>
      </c>
      <c r="B1313" s="33" t="n">
        <v>12569</v>
      </c>
      <c r="C1313" s="34" t="s">
        <v>2697</v>
      </c>
      <c r="D1313" s="34" t="s">
        <v>2698</v>
      </c>
      <c r="E1313" s="34" t="s">
        <v>38</v>
      </c>
      <c r="F1313" s="32" t="n">
        <f aca="false">COUNTIF(Base!$D$2:$D$2878,B1313)</f>
        <v>1</v>
      </c>
      <c r="G1313" s="35" t="n">
        <f aca="false">SUMIF(Base!$D$2:$D$2878,B1313,Base!$I$2:$I$2878)</f>
        <v>624</v>
      </c>
      <c r="H1313" s="36" t="n">
        <f aca="false">IF($G$2849=0,0,G1313/$G$2849)</f>
        <v>4.0948269226785E-005</v>
      </c>
      <c r="I1313" s="37" t="n">
        <f aca="false">I1312+H1313</f>
        <v>0.979437734953206</v>
      </c>
      <c r="J1313" s="37" t="n">
        <f aca="false">A1313/2840</f>
        <v>0.459859154929577</v>
      </c>
      <c r="K1313" s="32" t="str">
        <f aca="false">IF(I1313&lt;=$E$4,"A",IF(I1313&lt;=$E$5,"B","C"))</f>
        <v>C</v>
      </c>
    </row>
    <row r="1314" customFormat="false" ht="15" hidden="false" customHeight="false" outlineLevel="0" collapsed="false">
      <c r="A1314" s="32" t="n">
        <v>1307</v>
      </c>
      <c r="B1314" s="33" t="n">
        <v>34287</v>
      </c>
      <c r="C1314" s="34" t="s">
        <v>2699</v>
      </c>
      <c r="D1314" s="34" t="s">
        <v>2700</v>
      </c>
      <c r="E1314" s="34" t="s">
        <v>247</v>
      </c>
      <c r="F1314" s="32" t="n">
        <f aca="false">COUNTIF(Base!$D$2:$D$2878,B1314)</f>
        <v>1</v>
      </c>
      <c r="G1314" s="35" t="n">
        <f aca="false">SUMIF(Base!$D$2:$D$2878,B1314,Base!$I$2:$I$2878)</f>
        <v>624</v>
      </c>
      <c r="H1314" s="36" t="n">
        <f aca="false">IF($G$2849=0,0,G1314/$G$2849)</f>
        <v>4.0948269226785E-005</v>
      </c>
      <c r="I1314" s="37" t="n">
        <f aca="false">I1313+H1314</f>
        <v>0.979478683222432</v>
      </c>
      <c r="J1314" s="37" t="n">
        <f aca="false">A1314/2840</f>
        <v>0.460211267605634</v>
      </c>
      <c r="K1314" s="32" t="str">
        <f aca="false">IF(I1314&lt;=$E$4,"A",IF(I1314&lt;=$E$5,"B","C"))</f>
        <v>C</v>
      </c>
    </row>
    <row r="1315" customFormat="false" ht="15" hidden="false" customHeight="false" outlineLevel="0" collapsed="false">
      <c r="A1315" s="32" t="n">
        <v>1308</v>
      </c>
      <c r="B1315" s="33" t="n">
        <v>942236</v>
      </c>
      <c r="C1315" s="34" t="s">
        <v>2701</v>
      </c>
      <c r="D1315" s="34" t="s">
        <v>2702</v>
      </c>
      <c r="E1315" s="34" t="s">
        <v>38</v>
      </c>
      <c r="F1315" s="32" t="n">
        <f aca="false">COUNTIF(Base!$D$2:$D$2878,B1315)</f>
        <v>1</v>
      </c>
      <c r="G1315" s="35" t="n">
        <f aca="false">SUMIF(Base!$D$2:$D$2878,B1315,Base!$I$2:$I$2878)</f>
        <v>624</v>
      </c>
      <c r="H1315" s="36" t="n">
        <f aca="false">IF($G$2849=0,0,G1315/$G$2849)</f>
        <v>4.0948269226785E-005</v>
      </c>
      <c r="I1315" s="37" t="n">
        <f aca="false">I1314+H1315</f>
        <v>0.979519631491659</v>
      </c>
      <c r="J1315" s="37" t="n">
        <f aca="false">A1315/2840</f>
        <v>0.46056338028169</v>
      </c>
      <c r="K1315" s="32" t="str">
        <f aca="false">IF(I1315&lt;=$E$4,"A",IF(I1315&lt;=$E$5,"B","C"))</f>
        <v>C</v>
      </c>
    </row>
    <row r="1316" customFormat="false" ht="15" hidden="false" customHeight="false" outlineLevel="0" collapsed="false">
      <c r="A1316" s="32" t="n">
        <v>1309</v>
      </c>
      <c r="B1316" s="33" t="n">
        <v>1384961</v>
      </c>
      <c r="C1316" s="34" t="s">
        <v>2703</v>
      </c>
      <c r="D1316" s="34" t="s">
        <v>2704</v>
      </c>
      <c r="E1316" s="34" t="s">
        <v>38</v>
      </c>
      <c r="F1316" s="32" t="n">
        <f aca="false">COUNTIF(Base!$D$2:$D$2878,B1316)</f>
        <v>1</v>
      </c>
      <c r="G1316" s="35" t="n">
        <f aca="false">SUMIF(Base!$D$2:$D$2878,B1316,Base!$I$2:$I$2878)</f>
        <v>623.4</v>
      </c>
      <c r="H1316" s="36" t="n">
        <f aca="false">IF($G$2849=0,0,G1316/$G$2849)</f>
        <v>4.09088958909901E-005</v>
      </c>
      <c r="I1316" s="37" t="n">
        <f aca="false">I1315+H1316</f>
        <v>0.97956054038755</v>
      </c>
      <c r="J1316" s="37" t="n">
        <f aca="false">A1316/2840</f>
        <v>0.460915492957747</v>
      </c>
      <c r="K1316" s="32" t="str">
        <f aca="false">IF(I1316&lt;=$E$4,"A",IF(I1316&lt;=$E$5,"B","C"))</f>
        <v>C</v>
      </c>
    </row>
    <row r="1317" customFormat="false" ht="15" hidden="false" customHeight="false" outlineLevel="0" collapsed="false">
      <c r="A1317" s="32" t="n">
        <v>1310</v>
      </c>
      <c r="B1317" s="33" t="n">
        <v>1384962</v>
      </c>
      <c r="C1317" s="34" t="s">
        <v>2705</v>
      </c>
      <c r="D1317" s="34" t="s">
        <v>2706</v>
      </c>
      <c r="E1317" s="34" t="s">
        <v>38</v>
      </c>
      <c r="F1317" s="32" t="n">
        <f aca="false">COUNTIF(Base!$D$2:$D$2878,B1317)</f>
        <v>1</v>
      </c>
      <c r="G1317" s="35" t="n">
        <f aca="false">SUMIF(Base!$D$2:$D$2878,B1317,Base!$I$2:$I$2878)</f>
        <v>623.4</v>
      </c>
      <c r="H1317" s="36" t="n">
        <f aca="false">IF($G$2849=0,0,G1317/$G$2849)</f>
        <v>4.09088958909901E-005</v>
      </c>
      <c r="I1317" s="37" t="n">
        <f aca="false">I1316+H1317</f>
        <v>0.979601449283441</v>
      </c>
      <c r="J1317" s="37" t="n">
        <f aca="false">A1317/2840</f>
        <v>0.461267605633803</v>
      </c>
      <c r="K1317" s="32" t="str">
        <f aca="false">IF(I1317&lt;=$E$4,"A",IF(I1317&lt;=$E$5,"B","C"))</f>
        <v>C</v>
      </c>
    </row>
    <row r="1318" customFormat="false" ht="15" hidden="false" customHeight="false" outlineLevel="0" collapsed="false">
      <c r="A1318" s="32" t="n">
        <v>1311</v>
      </c>
      <c r="B1318" s="33" t="n">
        <v>22936</v>
      </c>
      <c r="C1318" s="34" t="s">
        <v>2707</v>
      </c>
      <c r="D1318" s="34" t="s">
        <v>2708</v>
      </c>
      <c r="E1318" s="34" t="s">
        <v>100</v>
      </c>
      <c r="F1318" s="32" t="n">
        <f aca="false">COUNTIF(Base!$D$2:$D$2878,B1318)</f>
        <v>1</v>
      </c>
      <c r="G1318" s="35" t="n">
        <f aca="false">SUMIF(Base!$D$2:$D$2878,B1318,Base!$I$2:$I$2878)</f>
        <v>620.96</v>
      </c>
      <c r="H1318" s="36" t="n">
        <f aca="false">IF($G$2849=0,0,G1318/$G$2849)</f>
        <v>4.07487776587571E-005</v>
      </c>
      <c r="I1318" s="37" t="n">
        <f aca="false">I1317+H1318</f>
        <v>0.9796421980611</v>
      </c>
      <c r="J1318" s="37" t="n">
        <f aca="false">A1318/2840</f>
        <v>0.461619718309859</v>
      </c>
      <c r="K1318" s="32" t="str">
        <f aca="false">IF(I1318&lt;=$E$4,"A",IF(I1318&lt;=$E$5,"B","C"))</f>
        <v>C</v>
      </c>
    </row>
    <row r="1319" customFormat="false" ht="15" hidden="false" customHeight="false" outlineLevel="0" collapsed="false">
      <c r="A1319" s="32" t="n">
        <v>1312</v>
      </c>
      <c r="B1319" s="33" t="n">
        <v>1661835</v>
      </c>
      <c r="C1319" s="34" t="s">
        <v>2709</v>
      </c>
      <c r="D1319" s="34" t="s">
        <v>2710</v>
      </c>
      <c r="E1319" s="34" t="s">
        <v>133</v>
      </c>
      <c r="F1319" s="32" t="n">
        <f aca="false">COUNTIF(Base!$D$2:$D$2878,B1319)</f>
        <v>1</v>
      </c>
      <c r="G1319" s="35" t="n">
        <f aca="false">SUMIF(Base!$D$2:$D$2878,B1319,Base!$I$2:$I$2878)</f>
        <v>620</v>
      </c>
      <c r="H1319" s="36" t="n">
        <f aca="false">IF($G$2849=0,0,G1319/$G$2849)</f>
        <v>4.06857803214851E-005</v>
      </c>
      <c r="I1319" s="37" t="n">
        <f aca="false">I1318+H1319</f>
        <v>0.979682883841421</v>
      </c>
      <c r="J1319" s="37" t="n">
        <f aca="false">A1319/2840</f>
        <v>0.461971830985916</v>
      </c>
      <c r="K1319" s="32" t="str">
        <f aca="false">IF(I1319&lt;=$E$4,"A",IF(I1319&lt;=$E$5,"B","C"))</f>
        <v>C</v>
      </c>
    </row>
    <row r="1320" customFormat="false" ht="15" hidden="false" customHeight="false" outlineLevel="0" collapsed="false">
      <c r="A1320" s="32" t="n">
        <v>1313</v>
      </c>
      <c r="B1320" s="33" t="n">
        <v>1320996</v>
      </c>
      <c r="C1320" s="34" t="s">
        <v>2711</v>
      </c>
      <c r="D1320" s="34" t="s">
        <v>2712</v>
      </c>
      <c r="E1320" s="34" t="s">
        <v>38</v>
      </c>
      <c r="F1320" s="32" t="n">
        <f aca="false">COUNTIF(Base!$D$2:$D$2878,B1320)</f>
        <v>1</v>
      </c>
      <c r="G1320" s="35" t="n">
        <f aca="false">SUMIF(Base!$D$2:$D$2878,B1320,Base!$I$2:$I$2878)</f>
        <v>616.25</v>
      </c>
      <c r="H1320" s="36" t="n">
        <f aca="false">IF($G$2849=0,0,G1320/$G$2849)</f>
        <v>4.04396969727665E-005</v>
      </c>
      <c r="I1320" s="37" t="n">
        <f aca="false">I1319+H1320</f>
        <v>0.979723323538394</v>
      </c>
      <c r="J1320" s="37" t="n">
        <f aca="false">A1320/2840</f>
        <v>0.462323943661972</v>
      </c>
      <c r="K1320" s="32" t="str">
        <f aca="false">IF(I1320&lt;=$E$4,"A",IF(I1320&lt;=$E$5,"B","C"))</f>
        <v>C</v>
      </c>
    </row>
    <row r="1321" customFormat="false" ht="15" hidden="false" customHeight="false" outlineLevel="0" collapsed="false">
      <c r="A1321" s="32" t="n">
        <v>1314</v>
      </c>
      <c r="B1321" s="33" t="n">
        <v>1329818</v>
      </c>
      <c r="C1321" s="34" t="s">
        <v>2713</v>
      </c>
      <c r="D1321" s="34" t="s">
        <v>2714</v>
      </c>
      <c r="E1321" s="34" t="s">
        <v>230</v>
      </c>
      <c r="F1321" s="32" t="n">
        <f aca="false">COUNTIF(Base!$D$2:$D$2878,B1321)</f>
        <v>1</v>
      </c>
      <c r="G1321" s="35" t="n">
        <f aca="false">SUMIF(Base!$D$2:$D$2878,B1321,Base!$I$2:$I$2878)</f>
        <v>615</v>
      </c>
      <c r="H1321" s="36" t="n">
        <f aca="false">IF($G$2849=0,0,G1321/$G$2849)</f>
        <v>4.03576691898603E-005</v>
      </c>
      <c r="I1321" s="37" t="n">
        <f aca="false">I1320+H1321</f>
        <v>0.979763681207584</v>
      </c>
      <c r="J1321" s="37" t="n">
        <f aca="false">A1321/2840</f>
        <v>0.462676056338028</v>
      </c>
      <c r="K1321" s="32" t="str">
        <f aca="false">IF(I1321&lt;=$E$4,"A",IF(I1321&lt;=$E$5,"B","C"))</f>
        <v>C</v>
      </c>
    </row>
    <row r="1322" customFormat="false" ht="15" hidden="false" customHeight="false" outlineLevel="0" collapsed="false">
      <c r="A1322" s="32" t="n">
        <v>1315</v>
      </c>
      <c r="B1322" s="33" t="n">
        <v>280098</v>
      </c>
      <c r="C1322" s="34" t="s">
        <v>2715</v>
      </c>
      <c r="D1322" s="34" t="s">
        <v>2716</v>
      </c>
      <c r="E1322" s="34" t="s">
        <v>38</v>
      </c>
      <c r="F1322" s="32" t="n">
        <f aca="false">COUNTIF(Base!$D$2:$D$2878,B1322)</f>
        <v>1</v>
      </c>
      <c r="G1322" s="35" t="n">
        <f aca="false">SUMIF(Base!$D$2:$D$2878,B1322,Base!$I$2:$I$2878)</f>
        <v>614</v>
      </c>
      <c r="H1322" s="36" t="n">
        <f aca="false">IF($G$2849=0,0,G1322/$G$2849)</f>
        <v>4.02920469635353E-005</v>
      </c>
      <c r="I1322" s="37" t="n">
        <f aca="false">I1321+H1322</f>
        <v>0.979803973254548</v>
      </c>
      <c r="J1322" s="37" t="n">
        <f aca="false">A1322/2840</f>
        <v>0.463028169014085</v>
      </c>
      <c r="K1322" s="32" t="str">
        <f aca="false">IF(I1322&lt;=$E$4,"A",IF(I1322&lt;=$E$5,"B","C"))</f>
        <v>C</v>
      </c>
    </row>
    <row r="1323" customFormat="false" ht="15" hidden="false" customHeight="false" outlineLevel="0" collapsed="false">
      <c r="A1323" s="32" t="n">
        <v>1316</v>
      </c>
      <c r="B1323" s="33" t="n">
        <v>277922</v>
      </c>
      <c r="C1323" s="34" t="s">
        <v>2717</v>
      </c>
      <c r="D1323" s="34" t="s">
        <v>2718</v>
      </c>
      <c r="E1323" s="34" t="s">
        <v>133</v>
      </c>
      <c r="F1323" s="32" t="n">
        <f aca="false">COUNTIF(Base!$D$2:$D$2878,B1323)</f>
        <v>1</v>
      </c>
      <c r="G1323" s="35" t="n">
        <f aca="false">SUMIF(Base!$D$2:$D$2878,B1323,Base!$I$2:$I$2878)</f>
        <v>613.49</v>
      </c>
      <c r="H1323" s="36" t="n">
        <f aca="false">IF($G$2849=0,0,G1323/$G$2849)</f>
        <v>4.02585796281095E-005</v>
      </c>
      <c r="I1323" s="37" t="n">
        <f aca="false">I1322+H1323</f>
        <v>0.979844231834176</v>
      </c>
      <c r="J1323" s="37" t="n">
        <f aca="false">A1323/2840</f>
        <v>0.463380281690141</v>
      </c>
      <c r="K1323" s="32" t="str">
        <f aca="false">IF(I1323&lt;=$E$4,"A",IF(I1323&lt;=$E$5,"B","C"))</f>
        <v>C</v>
      </c>
    </row>
    <row r="1324" customFormat="false" ht="15" hidden="false" customHeight="false" outlineLevel="0" collapsed="false">
      <c r="A1324" s="32" t="n">
        <v>1317</v>
      </c>
      <c r="B1324" s="33" t="n">
        <v>1613482</v>
      </c>
      <c r="C1324" s="34" t="s">
        <v>2719</v>
      </c>
      <c r="D1324" s="34" t="s">
        <v>2720</v>
      </c>
      <c r="E1324" s="34" t="s">
        <v>38</v>
      </c>
      <c r="F1324" s="32" t="n">
        <f aca="false">COUNTIF(Base!$D$2:$D$2878,B1324)</f>
        <v>1</v>
      </c>
      <c r="G1324" s="35" t="n">
        <f aca="false">SUMIF(Base!$D$2:$D$2878,B1324,Base!$I$2:$I$2878)</f>
        <v>612.66</v>
      </c>
      <c r="H1324" s="36" t="n">
        <f aca="false">IF($G$2849=0,0,G1324/$G$2849)</f>
        <v>4.02041131802598E-005</v>
      </c>
      <c r="I1324" s="37" t="n">
        <f aca="false">I1323+H1324</f>
        <v>0.979884435947356</v>
      </c>
      <c r="J1324" s="37" t="n">
        <f aca="false">A1324/2840</f>
        <v>0.463732394366197</v>
      </c>
      <c r="K1324" s="32" t="str">
        <f aca="false">IF(I1324&lt;=$E$4,"A",IF(I1324&lt;=$E$5,"B","C"))</f>
        <v>C</v>
      </c>
    </row>
    <row r="1325" customFormat="false" ht="15" hidden="false" customHeight="false" outlineLevel="0" collapsed="false">
      <c r="A1325" s="32" t="n">
        <v>1318</v>
      </c>
      <c r="B1325" s="33" t="n">
        <v>1384337</v>
      </c>
      <c r="C1325" s="34" t="s">
        <v>2721</v>
      </c>
      <c r="D1325" s="34" t="s">
        <v>2722</v>
      </c>
      <c r="E1325" s="34" t="s">
        <v>38</v>
      </c>
      <c r="F1325" s="32" t="n">
        <f aca="false">COUNTIF(Base!$D$2:$D$2878,B1325)</f>
        <v>1</v>
      </c>
      <c r="G1325" s="35" t="n">
        <f aca="false">SUMIF(Base!$D$2:$D$2878,B1325,Base!$I$2:$I$2878)</f>
        <v>612.44</v>
      </c>
      <c r="H1325" s="36" t="n">
        <f aca="false">IF($G$2849=0,0,G1325/$G$2849)</f>
        <v>4.01896762904683E-005</v>
      </c>
      <c r="I1325" s="37" t="n">
        <f aca="false">I1324+H1325</f>
        <v>0.979924625623647</v>
      </c>
      <c r="J1325" s="37" t="n">
        <f aca="false">A1325/2840</f>
        <v>0.464084507042254</v>
      </c>
      <c r="K1325" s="32" t="str">
        <f aca="false">IF(I1325&lt;=$E$4,"A",IF(I1325&lt;=$E$5,"B","C"))</f>
        <v>C</v>
      </c>
    </row>
    <row r="1326" customFormat="false" ht="15" hidden="false" customHeight="false" outlineLevel="0" collapsed="false">
      <c r="A1326" s="32" t="n">
        <v>1319</v>
      </c>
      <c r="B1326" s="33" t="n">
        <v>21217</v>
      </c>
      <c r="C1326" s="34" t="s">
        <v>2723</v>
      </c>
      <c r="D1326" s="34" t="s">
        <v>2724</v>
      </c>
      <c r="E1326" s="34" t="s">
        <v>189</v>
      </c>
      <c r="F1326" s="32" t="n">
        <f aca="false">COUNTIF(Base!$D$2:$D$2878,B1326)</f>
        <v>1</v>
      </c>
      <c r="G1326" s="35" t="n">
        <f aca="false">SUMIF(Base!$D$2:$D$2878,B1326,Base!$I$2:$I$2878)</f>
        <v>612</v>
      </c>
      <c r="H1326" s="36" t="n">
        <f aca="false">IF($G$2849=0,0,G1326/$G$2849)</f>
        <v>4.01608025108853E-005</v>
      </c>
      <c r="I1326" s="37" t="n">
        <f aca="false">I1325+H1326</f>
        <v>0.979964786426157</v>
      </c>
      <c r="J1326" s="37" t="n">
        <f aca="false">A1326/2840</f>
        <v>0.46443661971831</v>
      </c>
      <c r="K1326" s="32" t="str">
        <f aca="false">IF(I1326&lt;=$E$4,"A",IF(I1326&lt;=$E$5,"B","C"))</f>
        <v>C</v>
      </c>
    </row>
    <row r="1327" customFormat="false" ht="15" hidden="false" customHeight="false" outlineLevel="0" collapsed="false">
      <c r="A1327" s="32" t="n">
        <v>1320</v>
      </c>
      <c r="B1327" s="33" t="n">
        <v>1313782</v>
      </c>
      <c r="C1327" s="34" t="s">
        <v>2725</v>
      </c>
      <c r="D1327" s="34" t="s">
        <v>2726</v>
      </c>
      <c r="E1327" s="34" t="s">
        <v>130</v>
      </c>
      <c r="F1327" s="32" t="n">
        <f aca="false">COUNTIF(Base!$D$2:$D$2878,B1327)</f>
        <v>1</v>
      </c>
      <c r="G1327" s="35" t="n">
        <f aca="false">SUMIF(Base!$D$2:$D$2878,B1327,Base!$I$2:$I$2878)</f>
        <v>611.82</v>
      </c>
      <c r="H1327" s="36" t="n">
        <f aca="false">IF($G$2849=0,0,G1327/$G$2849)</f>
        <v>4.01489905101468E-005</v>
      </c>
      <c r="I1327" s="37" t="n">
        <f aca="false">I1326+H1327</f>
        <v>0.980004935416668</v>
      </c>
      <c r="J1327" s="37" t="n">
        <f aca="false">A1327/2840</f>
        <v>0.464788732394366</v>
      </c>
      <c r="K1327" s="32" t="str">
        <f aca="false">IF(I1327&lt;=$E$4,"A",IF(I1327&lt;=$E$5,"B","C"))</f>
        <v>C</v>
      </c>
    </row>
    <row r="1328" customFormat="false" ht="15" hidden="false" customHeight="false" outlineLevel="0" collapsed="false">
      <c r="A1328" s="32" t="n">
        <v>1321</v>
      </c>
      <c r="B1328" s="33" t="n">
        <v>1114383</v>
      </c>
      <c r="C1328" s="34" t="s">
        <v>2727</v>
      </c>
      <c r="D1328" s="34" t="s">
        <v>2728</v>
      </c>
      <c r="E1328" s="34" t="s">
        <v>38</v>
      </c>
      <c r="F1328" s="32" t="n">
        <f aca="false">COUNTIF(Base!$D$2:$D$2878,B1328)</f>
        <v>1</v>
      </c>
      <c r="G1328" s="35" t="n">
        <f aca="false">SUMIF(Base!$D$2:$D$2878,B1328,Base!$I$2:$I$2878)</f>
        <v>610.5</v>
      </c>
      <c r="H1328" s="36" t="n">
        <f aca="false">IF($G$2849=0,0,G1328/$G$2849)</f>
        <v>4.00623691713979E-005</v>
      </c>
      <c r="I1328" s="37" t="n">
        <f aca="false">I1327+H1328</f>
        <v>0.980044997785839</v>
      </c>
      <c r="J1328" s="37" t="n">
        <f aca="false">A1328/2840</f>
        <v>0.465140845070423</v>
      </c>
      <c r="K1328" s="32" t="str">
        <f aca="false">IF(I1328&lt;=$E$4,"A",IF(I1328&lt;=$E$5,"B","C"))</f>
        <v>C</v>
      </c>
    </row>
    <row r="1329" customFormat="false" ht="15" hidden="false" customHeight="false" outlineLevel="0" collapsed="false">
      <c r="A1329" s="32" t="n">
        <v>1322</v>
      </c>
      <c r="B1329" s="33" t="n">
        <v>23859</v>
      </c>
      <c r="C1329" s="34" t="s">
        <v>2729</v>
      </c>
      <c r="D1329" s="34" t="s">
        <v>2730</v>
      </c>
      <c r="E1329" s="34" t="s">
        <v>130</v>
      </c>
      <c r="F1329" s="32" t="n">
        <f aca="false">COUNTIF(Base!$D$2:$D$2878,B1329)</f>
        <v>1</v>
      </c>
      <c r="G1329" s="35" t="n">
        <f aca="false">SUMIF(Base!$D$2:$D$2878,B1329,Base!$I$2:$I$2878)</f>
        <v>608</v>
      </c>
      <c r="H1329" s="36" t="n">
        <f aca="false">IF($G$2849=0,0,G1329/$G$2849)</f>
        <v>3.98983136055854E-005</v>
      </c>
      <c r="I1329" s="37" t="n">
        <f aca="false">I1328+H1329</f>
        <v>0.980084896099445</v>
      </c>
      <c r="J1329" s="37" t="n">
        <f aca="false">A1329/2840</f>
        <v>0.465492957746479</v>
      </c>
      <c r="K1329" s="32" t="str">
        <f aca="false">IF(I1329&lt;=$E$4,"A",IF(I1329&lt;=$E$5,"B","C"))</f>
        <v>C</v>
      </c>
    </row>
    <row r="1330" customFormat="false" ht="15" hidden="false" customHeight="false" outlineLevel="0" collapsed="false">
      <c r="A1330" s="32" t="n">
        <v>1323</v>
      </c>
      <c r="B1330" s="33" t="n">
        <v>861448</v>
      </c>
      <c r="C1330" s="34" t="s">
        <v>2731</v>
      </c>
      <c r="D1330" s="34" t="s">
        <v>2732</v>
      </c>
      <c r="E1330" s="34" t="s">
        <v>38</v>
      </c>
      <c r="F1330" s="32" t="n">
        <f aca="false">COUNTIF(Base!$D$2:$D$2878,B1330)</f>
        <v>1</v>
      </c>
      <c r="G1330" s="35" t="n">
        <f aca="false">SUMIF(Base!$D$2:$D$2878,B1330,Base!$I$2:$I$2878)</f>
        <v>607.96</v>
      </c>
      <c r="H1330" s="36" t="n">
        <f aca="false">IF($G$2849=0,0,G1330/$G$2849)</f>
        <v>3.98956887165324E-005</v>
      </c>
      <c r="I1330" s="37" t="n">
        <f aca="false">I1329+H1330</f>
        <v>0.980124791788161</v>
      </c>
      <c r="J1330" s="37" t="n">
        <f aca="false">A1330/2840</f>
        <v>0.465845070422535</v>
      </c>
      <c r="K1330" s="32" t="str">
        <f aca="false">IF(I1330&lt;=$E$4,"A",IF(I1330&lt;=$E$5,"B","C"))</f>
        <v>C</v>
      </c>
    </row>
    <row r="1331" customFormat="false" ht="15" hidden="false" customHeight="false" outlineLevel="0" collapsed="false">
      <c r="A1331" s="32" t="n">
        <v>1324</v>
      </c>
      <c r="B1331" s="33" t="n">
        <v>1656804</v>
      </c>
      <c r="C1331" s="34" t="s">
        <v>2733</v>
      </c>
      <c r="D1331" s="34" t="s">
        <v>2734</v>
      </c>
      <c r="E1331" s="34" t="s">
        <v>217</v>
      </c>
      <c r="F1331" s="32" t="n">
        <f aca="false">COUNTIF(Base!$D$2:$D$2878,B1331)</f>
        <v>1</v>
      </c>
      <c r="G1331" s="35" t="n">
        <f aca="false">SUMIF(Base!$D$2:$D$2878,B1331,Base!$I$2:$I$2878)</f>
        <v>607.5</v>
      </c>
      <c r="H1331" s="36" t="n">
        <f aca="false">IF($G$2849=0,0,G1331/$G$2849)</f>
        <v>3.98655024924229E-005</v>
      </c>
      <c r="I1331" s="37" t="n">
        <f aca="false">I1330+H1331</f>
        <v>0.980164657290654</v>
      </c>
      <c r="J1331" s="37" t="n">
        <f aca="false">A1331/2840</f>
        <v>0.466197183098592</v>
      </c>
      <c r="K1331" s="32" t="str">
        <f aca="false">IF(I1331&lt;=$E$4,"A",IF(I1331&lt;=$E$5,"B","C"))</f>
        <v>C</v>
      </c>
    </row>
    <row r="1332" customFormat="false" ht="15" hidden="false" customHeight="false" outlineLevel="0" collapsed="false">
      <c r="A1332" s="32" t="n">
        <v>1325</v>
      </c>
      <c r="B1332" s="33" t="n">
        <v>19349</v>
      </c>
      <c r="C1332" s="34" t="s">
        <v>2735</v>
      </c>
      <c r="D1332" s="34" t="s">
        <v>2736</v>
      </c>
      <c r="E1332" s="34" t="s">
        <v>1095</v>
      </c>
      <c r="F1332" s="32" t="n">
        <f aca="false">COUNTIF(Base!$D$2:$D$2878,B1332)</f>
        <v>1</v>
      </c>
      <c r="G1332" s="35" t="n">
        <f aca="false">SUMIF(Base!$D$2:$D$2878,B1332,Base!$I$2:$I$2878)</f>
        <v>607.0905</v>
      </c>
      <c r="H1332" s="36" t="n">
        <f aca="false">IF($G$2849=0,0,G1332/$G$2849)</f>
        <v>3.98386301907429E-005</v>
      </c>
      <c r="I1332" s="37" t="n">
        <f aca="false">I1331+H1332</f>
        <v>0.980204495920844</v>
      </c>
      <c r="J1332" s="37" t="n">
        <f aca="false">A1332/2840</f>
        <v>0.466549295774648</v>
      </c>
      <c r="K1332" s="32" t="str">
        <f aca="false">IF(I1332&lt;=$E$4,"A",IF(I1332&lt;=$E$5,"B","C"))</f>
        <v>C</v>
      </c>
    </row>
    <row r="1333" customFormat="false" ht="15" hidden="false" customHeight="false" outlineLevel="0" collapsed="false">
      <c r="A1333" s="32" t="n">
        <v>1326</v>
      </c>
      <c r="B1333" s="33" t="n">
        <v>557115</v>
      </c>
      <c r="C1333" s="34" t="s">
        <v>2737</v>
      </c>
      <c r="D1333" s="34" t="s">
        <v>2738</v>
      </c>
      <c r="E1333" s="34" t="s">
        <v>130</v>
      </c>
      <c r="F1333" s="32" t="n">
        <f aca="false">COUNTIF(Base!$D$2:$D$2878,B1333)</f>
        <v>1</v>
      </c>
      <c r="G1333" s="35" t="n">
        <f aca="false">SUMIF(Base!$D$2:$D$2878,B1333,Base!$I$2:$I$2878)</f>
        <v>606.7</v>
      </c>
      <c r="H1333" s="36" t="n">
        <f aca="false">IF($G$2849=0,0,G1333/$G$2849)</f>
        <v>3.9813004711363E-005</v>
      </c>
      <c r="I1333" s="37" t="n">
        <f aca="false">I1332+H1333</f>
        <v>0.980244308925556</v>
      </c>
      <c r="J1333" s="37" t="n">
        <f aca="false">A1333/2840</f>
        <v>0.466901408450704</v>
      </c>
      <c r="K1333" s="32" t="str">
        <f aca="false">IF(I1333&lt;=$E$4,"A",IF(I1333&lt;=$E$5,"B","C"))</f>
        <v>C</v>
      </c>
    </row>
    <row r="1334" customFormat="false" ht="15" hidden="false" customHeight="false" outlineLevel="0" collapsed="false">
      <c r="A1334" s="32" t="n">
        <v>1327</v>
      </c>
      <c r="B1334" s="33" t="n">
        <v>283891</v>
      </c>
      <c r="C1334" s="34" t="s">
        <v>2739</v>
      </c>
      <c r="D1334" s="34" t="s">
        <v>2740</v>
      </c>
      <c r="E1334" s="34" t="s">
        <v>38</v>
      </c>
      <c r="F1334" s="32" t="n">
        <f aca="false">COUNTIF(Base!$D$2:$D$2878,B1334)</f>
        <v>1</v>
      </c>
      <c r="G1334" s="35" t="n">
        <f aca="false">SUMIF(Base!$D$2:$D$2878,B1334,Base!$I$2:$I$2878)</f>
        <v>606.2</v>
      </c>
      <c r="H1334" s="36" t="n">
        <f aca="false">IF($G$2849=0,0,G1334/$G$2849)</f>
        <v>3.97801935982005E-005</v>
      </c>
      <c r="I1334" s="37" t="n">
        <f aca="false">I1333+H1334</f>
        <v>0.980284089119154</v>
      </c>
      <c r="J1334" s="37" t="n">
        <f aca="false">A1334/2840</f>
        <v>0.467253521126761</v>
      </c>
      <c r="K1334" s="32" t="str">
        <f aca="false">IF(I1334&lt;=$E$4,"A",IF(I1334&lt;=$E$5,"B","C"))</f>
        <v>C</v>
      </c>
    </row>
    <row r="1335" customFormat="false" ht="15" hidden="false" customHeight="false" outlineLevel="0" collapsed="false">
      <c r="A1335" s="32" t="n">
        <v>1328</v>
      </c>
      <c r="B1335" s="33" t="n">
        <v>21339</v>
      </c>
      <c r="C1335" s="34" t="s">
        <v>2741</v>
      </c>
      <c r="D1335" s="34" t="s">
        <v>2742</v>
      </c>
      <c r="E1335" s="34" t="s">
        <v>130</v>
      </c>
      <c r="F1335" s="32" t="n">
        <f aca="false">COUNTIF(Base!$D$2:$D$2878,B1335)</f>
        <v>1</v>
      </c>
      <c r="G1335" s="35" t="n">
        <f aca="false">SUMIF(Base!$D$2:$D$2878,B1335,Base!$I$2:$I$2878)</f>
        <v>604.56</v>
      </c>
      <c r="H1335" s="36" t="n">
        <f aca="false">IF($G$2849=0,0,G1335/$G$2849)</f>
        <v>3.96725731470275E-005</v>
      </c>
      <c r="I1335" s="37" t="n">
        <f aca="false">I1334+H1335</f>
        <v>0.980323761692301</v>
      </c>
      <c r="J1335" s="37" t="n">
        <f aca="false">A1335/2840</f>
        <v>0.467605633802817</v>
      </c>
      <c r="K1335" s="32" t="str">
        <f aca="false">IF(I1335&lt;=$E$4,"A",IF(I1335&lt;=$E$5,"B","C"))</f>
        <v>C</v>
      </c>
    </row>
    <row r="1336" customFormat="false" ht="15" hidden="false" customHeight="false" outlineLevel="0" collapsed="false">
      <c r="A1336" s="32" t="n">
        <v>1329</v>
      </c>
      <c r="B1336" s="33" t="n">
        <v>1326792</v>
      </c>
      <c r="C1336" s="34" t="s">
        <v>2743</v>
      </c>
      <c r="D1336" s="34" t="s">
        <v>2744</v>
      </c>
      <c r="E1336" s="34" t="s">
        <v>38</v>
      </c>
      <c r="F1336" s="32" t="n">
        <f aca="false">COUNTIF(Base!$D$2:$D$2878,B1336)</f>
        <v>1</v>
      </c>
      <c r="G1336" s="35" t="n">
        <f aca="false">SUMIF(Base!$D$2:$D$2878,B1336,Base!$I$2:$I$2878)</f>
        <v>604.41</v>
      </c>
      <c r="H1336" s="36" t="n">
        <f aca="false">IF($G$2849=0,0,G1336/$G$2849)</f>
        <v>3.96627298130788E-005</v>
      </c>
      <c r="I1336" s="37" t="n">
        <f aca="false">I1335+H1336</f>
        <v>0.980363424422114</v>
      </c>
      <c r="J1336" s="37" t="n">
        <f aca="false">A1336/2840</f>
        <v>0.467957746478873</v>
      </c>
      <c r="K1336" s="32" t="str">
        <f aca="false">IF(I1336&lt;=$E$4,"A",IF(I1336&lt;=$E$5,"B","C"))</f>
        <v>C</v>
      </c>
    </row>
    <row r="1337" customFormat="false" ht="15" hidden="false" customHeight="false" outlineLevel="0" collapsed="false">
      <c r="A1337" s="32" t="n">
        <v>1330</v>
      </c>
      <c r="B1337" s="33" t="n">
        <v>959562</v>
      </c>
      <c r="C1337" s="34" t="s">
        <v>2745</v>
      </c>
      <c r="D1337" s="34" t="s">
        <v>2746</v>
      </c>
      <c r="E1337" s="34" t="s">
        <v>189</v>
      </c>
      <c r="F1337" s="32" t="n">
        <f aca="false">COUNTIF(Base!$D$2:$D$2878,B1337)</f>
        <v>1</v>
      </c>
      <c r="G1337" s="35" t="n">
        <f aca="false">SUMIF(Base!$D$2:$D$2878,B1337,Base!$I$2:$I$2878)</f>
        <v>604</v>
      </c>
      <c r="H1337" s="36" t="n">
        <f aca="false">IF($G$2849=0,0,G1337/$G$2849)</f>
        <v>3.96358247002855E-005</v>
      </c>
      <c r="I1337" s="37" t="n">
        <f aca="false">I1336+H1337</f>
        <v>0.980403060246814</v>
      </c>
      <c r="J1337" s="37" t="n">
        <f aca="false">A1337/2840</f>
        <v>0.46830985915493</v>
      </c>
      <c r="K1337" s="32" t="str">
        <f aca="false">IF(I1337&lt;=$E$4,"A",IF(I1337&lt;=$E$5,"B","C"))</f>
        <v>C</v>
      </c>
    </row>
    <row r="1338" customFormat="false" ht="15" hidden="false" customHeight="false" outlineLevel="0" collapsed="false">
      <c r="A1338" s="32" t="n">
        <v>1331</v>
      </c>
      <c r="B1338" s="33" t="n">
        <v>1319124</v>
      </c>
      <c r="C1338" s="34" t="s">
        <v>2747</v>
      </c>
      <c r="D1338" s="34" t="s">
        <v>2748</v>
      </c>
      <c r="E1338" s="34" t="s">
        <v>1095</v>
      </c>
      <c r="F1338" s="32" t="n">
        <f aca="false">COUNTIF(Base!$D$2:$D$2878,B1338)</f>
        <v>1</v>
      </c>
      <c r="G1338" s="35" t="n">
        <f aca="false">SUMIF(Base!$D$2:$D$2878,B1338,Base!$I$2:$I$2878)</f>
        <v>603</v>
      </c>
      <c r="H1338" s="36" t="n">
        <f aca="false">IF($G$2849=0,0,G1338/$G$2849)</f>
        <v>3.95702024739605E-005</v>
      </c>
      <c r="I1338" s="37" t="n">
        <f aca="false">I1337+H1338</f>
        <v>0.980442630449288</v>
      </c>
      <c r="J1338" s="37" t="n">
        <f aca="false">A1338/2840</f>
        <v>0.468661971830986</v>
      </c>
      <c r="K1338" s="32" t="str">
        <f aca="false">IF(I1338&lt;=$E$4,"A",IF(I1338&lt;=$E$5,"B","C"))</f>
        <v>C</v>
      </c>
    </row>
    <row r="1339" customFormat="false" ht="15" hidden="false" customHeight="false" outlineLevel="0" collapsed="false">
      <c r="A1339" s="32" t="n">
        <v>1332</v>
      </c>
      <c r="B1339" s="33" t="n">
        <v>1388902</v>
      </c>
      <c r="C1339" s="34" t="s">
        <v>2749</v>
      </c>
      <c r="D1339" s="34" t="s">
        <v>2750</v>
      </c>
      <c r="E1339" s="34" t="s">
        <v>38</v>
      </c>
      <c r="F1339" s="32" t="n">
        <f aca="false">COUNTIF(Base!$D$2:$D$2878,B1339)</f>
        <v>1</v>
      </c>
      <c r="G1339" s="35" t="n">
        <f aca="false">SUMIF(Base!$D$2:$D$2878,B1339,Base!$I$2:$I$2878)</f>
        <v>602</v>
      </c>
      <c r="H1339" s="36" t="n">
        <f aca="false">IF($G$2849=0,0,G1339/$G$2849)</f>
        <v>3.95045802476356E-005</v>
      </c>
      <c r="I1339" s="37" t="n">
        <f aca="false">I1338+H1339</f>
        <v>0.980482135029536</v>
      </c>
      <c r="J1339" s="37" t="n">
        <f aca="false">A1339/2840</f>
        <v>0.469014084507042</v>
      </c>
      <c r="K1339" s="32" t="str">
        <f aca="false">IF(I1339&lt;=$E$4,"A",IF(I1339&lt;=$E$5,"B","C"))</f>
        <v>C</v>
      </c>
    </row>
    <row r="1340" customFormat="false" ht="15" hidden="false" customHeight="false" outlineLevel="0" collapsed="false">
      <c r="A1340" s="32" t="n">
        <v>1333</v>
      </c>
      <c r="B1340" s="33" t="n">
        <v>1662292</v>
      </c>
      <c r="C1340" s="34" t="s">
        <v>2751</v>
      </c>
      <c r="D1340" s="34" t="s">
        <v>2752</v>
      </c>
      <c r="E1340" s="34" t="s">
        <v>38</v>
      </c>
      <c r="F1340" s="32" t="n">
        <f aca="false">COUNTIF(Base!$D$2:$D$2878,B1340)</f>
        <v>1</v>
      </c>
      <c r="G1340" s="35" t="n">
        <f aca="false">SUMIF(Base!$D$2:$D$2878,B1340,Base!$I$2:$I$2878)</f>
        <v>601.2</v>
      </c>
      <c r="H1340" s="36" t="n">
        <f aca="false">IF($G$2849=0,0,G1340/$G$2849)</f>
        <v>3.94520824665756E-005</v>
      </c>
      <c r="I1340" s="37" t="n">
        <f aca="false">I1339+H1340</f>
        <v>0.980521587112002</v>
      </c>
      <c r="J1340" s="37" t="n">
        <f aca="false">A1340/2840</f>
        <v>0.469366197183099</v>
      </c>
      <c r="K1340" s="32" t="str">
        <f aca="false">IF(I1340&lt;=$E$4,"A",IF(I1340&lt;=$E$5,"B","C"))</f>
        <v>C</v>
      </c>
    </row>
    <row r="1341" customFormat="false" ht="15" hidden="false" customHeight="false" outlineLevel="0" collapsed="false">
      <c r="A1341" s="32" t="n">
        <v>1334</v>
      </c>
      <c r="B1341" s="33" t="n">
        <v>19117</v>
      </c>
      <c r="C1341" s="34" t="s">
        <v>2753</v>
      </c>
      <c r="D1341" s="34" t="s">
        <v>2754</v>
      </c>
      <c r="E1341" s="34" t="s">
        <v>113</v>
      </c>
      <c r="F1341" s="32" t="n">
        <f aca="false">COUNTIF(Base!$D$2:$D$2878,B1341)</f>
        <v>1</v>
      </c>
      <c r="G1341" s="35" t="n">
        <f aca="false">SUMIF(Base!$D$2:$D$2878,B1341,Base!$I$2:$I$2878)</f>
        <v>600</v>
      </c>
      <c r="H1341" s="36" t="n">
        <f aca="false">IF($G$2849=0,0,G1341/$G$2849)</f>
        <v>3.93733357949856E-005</v>
      </c>
      <c r="I1341" s="37" t="n">
        <f aca="false">I1340+H1341</f>
        <v>0.980560960447797</v>
      </c>
      <c r="J1341" s="37" t="n">
        <f aca="false">A1341/2840</f>
        <v>0.469718309859155</v>
      </c>
      <c r="K1341" s="32" t="str">
        <f aca="false">IF(I1341&lt;=$E$4,"A",IF(I1341&lt;=$E$5,"B","C"))</f>
        <v>C</v>
      </c>
    </row>
    <row r="1342" customFormat="false" ht="15" hidden="false" customHeight="false" outlineLevel="0" collapsed="false">
      <c r="A1342" s="32" t="n">
        <v>1335</v>
      </c>
      <c r="B1342" s="33" t="n">
        <v>274532</v>
      </c>
      <c r="C1342" s="34" t="s">
        <v>2755</v>
      </c>
      <c r="D1342" s="34" t="s">
        <v>2756</v>
      </c>
      <c r="E1342" s="34" t="s">
        <v>722</v>
      </c>
      <c r="F1342" s="32" t="n">
        <f aca="false">COUNTIF(Base!$D$2:$D$2878,B1342)</f>
        <v>1</v>
      </c>
      <c r="G1342" s="35" t="n">
        <f aca="false">SUMIF(Base!$D$2:$D$2878,B1342,Base!$I$2:$I$2878)</f>
        <v>600</v>
      </c>
      <c r="H1342" s="36" t="n">
        <f aca="false">IF($G$2849=0,0,G1342/$G$2849)</f>
        <v>3.93733357949856E-005</v>
      </c>
      <c r="I1342" s="37" t="n">
        <f aca="false">I1341+H1342</f>
        <v>0.980600333783592</v>
      </c>
      <c r="J1342" s="37" t="n">
        <f aca="false">A1342/2840</f>
        <v>0.470070422535211</v>
      </c>
      <c r="K1342" s="32" t="str">
        <f aca="false">IF(I1342&lt;=$E$4,"A",IF(I1342&lt;=$E$5,"B","C"))</f>
        <v>C</v>
      </c>
    </row>
    <row r="1343" customFormat="false" ht="15" hidden="false" customHeight="false" outlineLevel="0" collapsed="false">
      <c r="A1343" s="32" t="n">
        <v>1336</v>
      </c>
      <c r="B1343" s="33" t="n">
        <v>284063</v>
      </c>
      <c r="C1343" s="34" t="s">
        <v>2757</v>
      </c>
      <c r="D1343" s="34" t="s">
        <v>2758</v>
      </c>
      <c r="E1343" s="34" t="s">
        <v>130</v>
      </c>
      <c r="F1343" s="32" t="n">
        <f aca="false">COUNTIF(Base!$D$2:$D$2878,B1343)</f>
        <v>1</v>
      </c>
      <c r="G1343" s="35" t="n">
        <f aca="false">SUMIF(Base!$D$2:$D$2878,B1343,Base!$I$2:$I$2878)</f>
        <v>600</v>
      </c>
      <c r="H1343" s="36" t="n">
        <f aca="false">IF($G$2849=0,0,G1343/$G$2849)</f>
        <v>3.93733357949856E-005</v>
      </c>
      <c r="I1343" s="37" t="n">
        <f aca="false">I1342+H1343</f>
        <v>0.980639707119387</v>
      </c>
      <c r="J1343" s="37" t="n">
        <f aca="false">A1343/2840</f>
        <v>0.470422535211268</v>
      </c>
      <c r="K1343" s="32" t="str">
        <f aca="false">IF(I1343&lt;=$E$4,"A",IF(I1343&lt;=$E$5,"B","C"))</f>
        <v>C</v>
      </c>
    </row>
    <row r="1344" customFormat="false" ht="15" hidden="false" customHeight="false" outlineLevel="0" collapsed="false">
      <c r="A1344" s="32" t="n">
        <v>1337</v>
      </c>
      <c r="B1344" s="33" t="n">
        <v>294153</v>
      </c>
      <c r="C1344" s="34" t="s">
        <v>2759</v>
      </c>
      <c r="D1344" s="34" t="s">
        <v>2760</v>
      </c>
      <c r="E1344" s="34" t="s">
        <v>93</v>
      </c>
      <c r="F1344" s="32" t="n">
        <f aca="false">COUNTIF(Base!$D$2:$D$2878,B1344)</f>
        <v>1</v>
      </c>
      <c r="G1344" s="35" t="n">
        <f aca="false">SUMIF(Base!$D$2:$D$2878,B1344,Base!$I$2:$I$2878)</f>
        <v>600</v>
      </c>
      <c r="H1344" s="36" t="n">
        <f aca="false">IF($G$2849=0,0,G1344/$G$2849)</f>
        <v>3.93733357949856E-005</v>
      </c>
      <c r="I1344" s="37" t="n">
        <f aca="false">I1343+H1344</f>
        <v>0.980679080455182</v>
      </c>
      <c r="J1344" s="37" t="n">
        <f aca="false">A1344/2840</f>
        <v>0.470774647887324</v>
      </c>
      <c r="K1344" s="32" t="str">
        <f aca="false">IF(I1344&lt;=$E$4,"A",IF(I1344&lt;=$E$5,"B","C"))</f>
        <v>C</v>
      </c>
    </row>
    <row r="1345" customFormat="false" ht="15" hidden="false" customHeight="false" outlineLevel="0" collapsed="false">
      <c r="A1345" s="32" t="n">
        <v>1338</v>
      </c>
      <c r="B1345" s="33" t="n">
        <v>347714</v>
      </c>
      <c r="C1345" s="34" t="s">
        <v>2761</v>
      </c>
      <c r="D1345" s="34" t="s">
        <v>2762</v>
      </c>
      <c r="E1345" s="34" t="s">
        <v>334</v>
      </c>
      <c r="F1345" s="32" t="n">
        <f aca="false">COUNTIF(Base!$D$2:$D$2878,B1345)</f>
        <v>1</v>
      </c>
      <c r="G1345" s="35" t="n">
        <f aca="false">SUMIF(Base!$D$2:$D$2878,B1345,Base!$I$2:$I$2878)</f>
        <v>599.76</v>
      </c>
      <c r="H1345" s="36" t="n">
        <f aca="false">IF($G$2849=0,0,G1345/$G$2849)</f>
        <v>3.93575864606676E-005</v>
      </c>
      <c r="I1345" s="37" t="n">
        <f aca="false">I1344+H1345</f>
        <v>0.980718438041643</v>
      </c>
      <c r="J1345" s="37" t="n">
        <f aca="false">A1345/2840</f>
        <v>0.47112676056338</v>
      </c>
      <c r="K1345" s="32" t="str">
        <f aca="false">IF(I1345&lt;=$E$4,"A",IF(I1345&lt;=$E$5,"B","C"))</f>
        <v>C</v>
      </c>
    </row>
    <row r="1346" customFormat="false" ht="15" hidden="false" customHeight="false" outlineLevel="0" collapsed="false">
      <c r="A1346" s="32" t="n">
        <v>1339</v>
      </c>
      <c r="B1346" s="33" t="n">
        <v>1062490</v>
      </c>
      <c r="C1346" s="34" t="s">
        <v>2763</v>
      </c>
      <c r="D1346" s="34" t="s">
        <v>2764</v>
      </c>
      <c r="E1346" s="34" t="s">
        <v>54</v>
      </c>
      <c r="F1346" s="32" t="n">
        <f aca="false">COUNTIF(Base!$D$2:$D$2878,B1346)</f>
        <v>1</v>
      </c>
      <c r="G1346" s="35" t="n">
        <f aca="false">SUMIF(Base!$D$2:$D$2878,B1346,Base!$I$2:$I$2878)</f>
        <v>598</v>
      </c>
      <c r="H1346" s="36" t="n">
        <f aca="false">IF($G$2849=0,0,G1346/$G$2849)</f>
        <v>3.92420913423357E-005</v>
      </c>
      <c r="I1346" s="37" t="n">
        <f aca="false">I1345+H1346</f>
        <v>0.980757680132985</v>
      </c>
      <c r="J1346" s="37" t="n">
        <f aca="false">A1346/2840</f>
        <v>0.471478873239437</v>
      </c>
      <c r="K1346" s="32" t="str">
        <f aca="false">IF(I1346&lt;=$E$4,"A",IF(I1346&lt;=$E$5,"B","C"))</f>
        <v>C</v>
      </c>
    </row>
    <row r="1347" customFormat="false" ht="15" hidden="false" customHeight="false" outlineLevel="0" collapsed="false">
      <c r="A1347" s="32" t="n">
        <v>1340</v>
      </c>
      <c r="B1347" s="33" t="n">
        <v>945205</v>
      </c>
      <c r="C1347" s="34" t="s">
        <v>2765</v>
      </c>
      <c r="D1347" s="34" t="s">
        <v>2766</v>
      </c>
      <c r="E1347" s="34" t="s">
        <v>247</v>
      </c>
      <c r="F1347" s="32" t="n">
        <f aca="false">COUNTIF(Base!$D$2:$D$2878,B1347)</f>
        <v>1</v>
      </c>
      <c r="G1347" s="35" t="n">
        <f aca="false">SUMIF(Base!$D$2:$D$2878,B1347,Base!$I$2:$I$2878)</f>
        <v>596</v>
      </c>
      <c r="H1347" s="36" t="n">
        <f aca="false">IF($G$2849=0,0,G1347/$G$2849)</f>
        <v>3.91108468896857E-005</v>
      </c>
      <c r="I1347" s="37" t="n">
        <f aca="false">I1346+H1347</f>
        <v>0.980796790979875</v>
      </c>
      <c r="J1347" s="37" t="n">
        <f aca="false">A1347/2840</f>
        <v>0.471830985915493</v>
      </c>
      <c r="K1347" s="32" t="str">
        <f aca="false">IF(I1347&lt;=$E$4,"A",IF(I1347&lt;=$E$5,"B","C"))</f>
        <v>C</v>
      </c>
    </row>
    <row r="1348" customFormat="false" ht="15" hidden="false" customHeight="false" outlineLevel="0" collapsed="false">
      <c r="A1348" s="32" t="n">
        <v>1341</v>
      </c>
      <c r="B1348" s="33" t="n">
        <v>1613483</v>
      </c>
      <c r="C1348" s="34" t="s">
        <v>2767</v>
      </c>
      <c r="D1348" s="34" t="s">
        <v>2768</v>
      </c>
      <c r="E1348" s="34" t="s">
        <v>38</v>
      </c>
      <c r="F1348" s="32" t="n">
        <f aca="false">COUNTIF(Base!$D$2:$D$2878,B1348)</f>
        <v>1</v>
      </c>
      <c r="G1348" s="35" t="n">
        <f aca="false">SUMIF(Base!$D$2:$D$2878,B1348,Base!$I$2:$I$2878)</f>
        <v>595.57</v>
      </c>
      <c r="H1348" s="36" t="n">
        <f aca="false">IF($G$2849=0,0,G1348/$G$2849)</f>
        <v>3.9082629332366E-005</v>
      </c>
      <c r="I1348" s="37" t="n">
        <f aca="false">I1347+H1348</f>
        <v>0.980835873609207</v>
      </c>
      <c r="J1348" s="37" t="n">
        <f aca="false">A1348/2840</f>
        <v>0.472183098591549</v>
      </c>
      <c r="K1348" s="32" t="str">
        <f aca="false">IF(I1348&lt;=$E$4,"A",IF(I1348&lt;=$E$5,"B","C"))</f>
        <v>C</v>
      </c>
    </row>
    <row r="1349" customFormat="false" ht="15" hidden="false" customHeight="false" outlineLevel="0" collapsed="false">
      <c r="A1349" s="32" t="n">
        <v>1342</v>
      </c>
      <c r="B1349" s="33" t="n">
        <v>959719</v>
      </c>
      <c r="C1349" s="34" t="s">
        <v>2769</v>
      </c>
      <c r="D1349" s="34" t="s">
        <v>2770</v>
      </c>
      <c r="E1349" s="34" t="s">
        <v>35</v>
      </c>
      <c r="F1349" s="32" t="n">
        <f aca="false">COUNTIF(Base!$D$2:$D$2878,B1349)</f>
        <v>1</v>
      </c>
      <c r="G1349" s="35" t="n">
        <f aca="false">SUMIF(Base!$D$2:$D$2878,B1349,Base!$I$2:$I$2878)</f>
        <v>594.22</v>
      </c>
      <c r="H1349" s="36" t="n">
        <f aca="false">IF($G$2849=0,0,G1349/$G$2849)</f>
        <v>3.89940393268273E-005</v>
      </c>
      <c r="I1349" s="37" t="n">
        <f aca="false">I1348+H1349</f>
        <v>0.980874867648534</v>
      </c>
      <c r="J1349" s="37" t="n">
        <f aca="false">A1349/2840</f>
        <v>0.472535211267606</v>
      </c>
      <c r="K1349" s="32" t="str">
        <f aca="false">IF(I1349&lt;=$E$4,"A",IF(I1349&lt;=$E$5,"B","C"))</f>
        <v>C</v>
      </c>
    </row>
    <row r="1350" customFormat="false" ht="15" hidden="false" customHeight="false" outlineLevel="0" collapsed="false">
      <c r="A1350" s="32" t="n">
        <v>1343</v>
      </c>
      <c r="B1350" s="33" t="n">
        <v>1475856</v>
      </c>
      <c r="C1350" s="34" t="s">
        <v>2771</v>
      </c>
      <c r="D1350" s="34" t="s">
        <v>2772</v>
      </c>
      <c r="E1350" s="34" t="s">
        <v>130</v>
      </c>
      <c r="F1350" s="32" t="n">
        <f aca="false">COUNTIF(Base!$D$2:$D$2878,B1350)</f>
        <v>1</v>
      </c>
      <c r="G1350" s="35" t="n">
        <f aca="false">SUMIF(Base!$D$2:$D$2878,B1350,Base!$I$2:$I$2878)</f>
        <v>594.01</v>
      </c>
      <c r="H1350" s="36" t="n">
        <f aca="false">IF($G$2849=0,0,G1350/$G$2849)</f>
        <v>3.8980258659299E-005</v>
      </c>
      <c r="I1350" s="37" t="n">
        <f aca="false">I1349+H1350</f>
        <v>0.980913847907193</v>
      </c>
      <c r="J1350" s="37" t="n">
        <f aca="false">A1350/2840</f>
        <v>0.472887323943662</v>
      </c>
      <c r="K1350" s="32" t="str">
        <f aca="false">IF(I1350&lt;=$E$4,"A",IF(I1350&lt;=$E$5,"B","C"))</f>
        <v>C</v>
      </c>
    </row>
    <row r="1351" customFormat="false" ht="15" hidden="false" customHeight="false" outlineLevel="0" collapsed="false">
      <c r="A1351" s="32" t="n">
        <v>1344</v>
      </c>
      <c r="B1351" s="33" t="n">
        <v>1014204</v>
      </c>
      <c r="C1351" s="34" t="s">
        <v>2773</v>
      </c>
      <c r="D1351" s="34" t="s">
        <v>2774</v>
      </c>
      <c r="E1351" s="34" t="s">
        <v>605</v>
      </c>
      <c r="F1351" s="32" t="n">
        <f aca="false">COUNTIF(Base!$D$2:$D$2878,B1351)</f>
        <v>1</v>
      </c>
      <c r="G1351" s="35" t="n">
        <f aca="false">SUMIF(Base!$D$2:$D$2878,B1351,Base!$I$2:$I$2878)</f>
        <v>594</v>
      </c>
      <c r="H1351" s="36" t="n">
        <f aca="false">IF($G$2849=0,0,G1351/$G$2849)</f>
        <v>3.89796024370358E-005</v>
      </c>
      <c r="I1351" s="37" t="n">
        <f aca="false">I1350+H1351</f>
        <v>0.98095282750963</v>
      </c>
      <c r="J1351" s="37" t="n">
        <f aca="false">A1351/2840</f>
        <v>0.473239436619718</v>
      </c>
      <c r="K1351" s="32" t="str">
        <f aca="false">IF(I1351&lt;=$E$4,"A",IF(I1351&lt;=$E$5,"B","C"))</f>
        <v>C</v>
      </c>
    </row>
    <row r="1352" customFormat="false" ht="15" hidden="false" customHeight="false" outlineLevel="0" collapsed="false">
      <c r="A1352" s="32" t="n">
        <v>1345</v>
      </c>
      <c r="B1352" s="33" t="n">
        <v>17953</v>
      </c>
      <c r="C1352" s="34" t="s">
        <v>2775</v>
      </c>
      <c r="D1352" s="34" t="s">
        <v>2776</v>
      </c>
      <c r="E1352" s="34" t="s">
        <v>130</v>
      </c>
      <c r="F1352" s="32" t="n">
        <f aca="false">COUNTIF(Base!$D$2:$D$2878,B1352)</f>
        <v>1</v>
      </c>
      <c r="G1352" s="35" t="n">
        <f aca="false">SUMIF(Base!$D$2:$D$2878,B1352,Base!$I$2:$I$2878)</f>
        <v>592.6</v>
      </c>
      <c r="H1352" s="36" t="n">
        <f aca="false">IF($G$2849=0,0,G1352/$G$2849)</f>
        <v>3.88877313201808E-005</v>
      </c>
      <c r="I1352" s="37" t="n">
        <f aca="false">I1351+H1352</f>
        <v>0.980991715240951</v>
      </c>
      <c r="J1352" s="37" t="n">
        <f aca="false">A1352/2840</f>
        <v>0.473591549295775</v>
      </c>
      <c r="K1352" s="32" t="str">
        <f aca="false">IF(I1352&lt;=$E$4,"A",IF(I1352&lt;=$E$5,"B","C"))</f>
        <v>C</v>
      </c>
    </row>
    <row r="1353" customFormat="false" ht="15" hidden="false" customHeight="false" outlineLevel="0" collapsed="false">
      <c r="A1353" s="32" t="n">
        <v>1346</v>
      </c>
      <c r="B1353" s="33" t="n">
        <v>390718</v>
      </c>
      <c r="C1353" s="34" t="s">
        <v>2777</v>
      </c>
      <c r="D1353" s="34" t="s">
        <v>2778</v>
      </c>
      <c r="E1353" s="34" t="s">
        <v>189</v>
      </c>
      <c r="F1353" s="32" t="n">
        <f aca="false">COUNTIF(Base!$D$2:$D$2878,B1353)</f>
        <v>1</v>
      </c>
      <c r="G1353" s="35" t="n">
        <f aca="false">SUMIF(Base!$D$2:$D$2878,B1353,Base!$I$2:$I$2878)</f>
        <v>592</v>
      </c>
      <c r="H1353" s="36" t="n">
        <f aca="false">IF($G$2849=0,0,G1353/$G$2849)</f>
        <v>3.88483579843858E-005</v>
      </c>
      <c r="I1353" s="37" t="n">
        <f aca="false">I1352+H1353</f>
        <v>0.981030563598935</v>
      </c>
      <c r="J1353" s="37" t="n">
        <f aca="false">A1353/2840</f>
        <v>0.473943661971831</v>
      </c>
      <c r="K1353" s="32" t="str">
        <f aca="false">IF(I1353&lt;=$E$4,"A",IF(I1353&lt;=$E$5,"B","C"))</f>
        <v>C</v>
      </c>
    </row>
    <row r="1354" customFormat="false" ht="15" hidden="false" customHeight="false" outlineLevel="0" collapsed="false">
      <c r="A1354" s="32" t="n">
        <v>1347</v>
      </c>
      <c r="B1354" s="33" t="n">
        <v>1475202</v>
      </c>
      <c r="C1354" s="34" t="s">
        <v>2779</v>
      </c>
      <c r="D1354" s="34" t="s">
        <v>2780</v>
      </c>
      <c r="E1354" s="34" t="s">
        <v>38</v>
      </c>
      <c r="F1354" s="32" t="n">
        <f aca="false">COUNTIF(Base!$D$2:$D$2878,B1354)</f>
        <v>1</v>
      </c>
      <c r="G1354" s="35" t="n">
        <f aca="false">SUMIF(Base!$D$2:$D$2878,B1354,Base!$I$2:$I$2878)</f>
        <v>591.06</v>
      </c>
      <c r="H1354" s="36" t="n">
        <f aca="false">IF($G$2849=0,0,G1354/$G$2849)</f>
        <v>3.87866730916403E-005</v>
      </c>
      <c r="I1354" s="37" t="n">
        <f aca="false">I1353+H1354</f>
        <v>0.981069350272027</v>
      </c>
      <c r="J1354" s="37" t="n">
        <f aca="false">A1354/2840</f>
        <v>0.474295774647887</v>
      </c>
      <c r="K1354" s="32" t="str">
        <f aca="false">IF(I1354&lt;=$E$4,"A",IF(I1354&lt;=$E$5,"B","C"))</f>
        <v>C</v>
      </c>
    </row>
    <row r="1355" customFormat="false" ht="15" hidden="false" customHeight="false" outlineLevel="0" collapsed="false">
      <c r="A1355" s="32" t="n">
        <v>1348</v>
      </c>
      <c r="B1355" s="33" t="n">
        <v>34262</v>
      </c>
      <c r="C1355" s="34" t="s">
        <v>2781</v>
      </c>
      <c r="D1355" s="34" t="s">
        <v>2782</v>
      </c>
      <c r="E1355" s="34" t="s">
        <v>605</v>
      </c>
      <c r="F1355" s="32" t="n">
        <f aca="false">COUNTIF(Base!$D$2:$D$2878,B1355)</f>
        <v>1</v>
      </c>
      <c r="G1355" s="35" t="n">
        <f aca="false">SUMIF(Base!$D$2:$D$2878,B1355,Base!$I$2:$I$2878)</f>
        <v>591</v>
      </c>
      <c r="H1355" s="36" t="n">
        <f aca="false">IF($G$2849=0,0,G1355/$G$2849)</f>
        <v>3.87827357580608E-005</v>
      </c>
      <c r="I1355" s="37" t="n">
        <f aca="false">I1354+H1355</f>
        <v>0.981108133007785</v>
      </c>
      <c r="J1355" s="37" t="n">
        <f aca="false">A1355/2840</f>
        <v>0.474647887323944</v>
      </c>
      <c r="K1355" s="32" t="str">
        <f aca="false">IF(I1355&lt;=$E$4,"A",IF(I1355&lt;=$E$5,"B","C"))</f>
        <v>C</v>
      </c>
    </row>
    <row r="1356" customFormat="false" ht="15" hidden="false" customHeight="false" outlineLevel="0" collapsed="false">
      <c r="A1356" s="32" t="n">
        <v>1349</v>
      </c>
      <c r="B1356" s="33" t="n">
        <v>1067231</v>
      </c>
      <c r="C1356" s="34" t="s">
        <v>2783</v>
      </c>
      <c r="D1356" s="34" t="s">
        <v>2784</v>
      </c>
      <c r="E1356" s="34" t="s">
        <v>247</v>
      </c>
      <c r="F1356" s="32" t="n">
        <f aca="false">COUNTIF(Base!$D$2:$D$2878,B1356)</f>
        <v>1</v>
      </c>
      <c r="G1356" s="35" t="n">
        <f aca="false">SUMIF(Base!$D$2:$D$2878,B1356,Base!$I$2:$I$2878)</f>
        <v>588.8</v>
      </c>
      <c r="H1356" s="36" t="n">
        <f aca="false">IF($G$2849=0,0,G1356/$G$2849)</f>
        <v>3.86383668601459E-005</v>
      </c>
      <c r="I1356" s="37" t="n">
        <f aca="false">I1355+H1356</f>
        <v>0.981146771374645</v>
      </c>
      <c r="J1356" s="37" t="n">
        <f aca="false">A1356/2840</f>
        <v>0.475</v>
      </c>
      <c r="K1356" s="32" t="str">
        <f aca="false">IF(I1356&lt;=$E$4,"A",IF(I1356&lt;=$E$5,"B","C"))</f>
        <v>C</v>
      </c>
    </row>
    <row r="1357" customFormat="false" ht="15" hidden="false" customHeight="false" outlineLevel="0" collapsed="false">
      <c r="A1357" s="32" t="n">
        <v>1350</v>
      </c>
      <c r="B1357" s="33" t="n">
        <v>946746</v>
      </c>
      <c r="C1357" s="34" t="s">
        <v>2785</v>
      </c>
      <c r="D1357" s="34" t="s">
        <v>2786</v>
      </c>
      <c r="E1357" s="34" t="s">
        <v>130</v>
      </c>
      <c r="F1357" s="32" t="n">
        <f aca="false">COUNTIF(Base!$D$2:$D$2878,B1357)</f>
        <v>1</v>
      </c>
      <c r="G1357" s="35" t="n">
        <f aca="false">SUMIF(Base!$D$2:$D$2878,B1357,Base!$I$2:$I$2878)</f>
        <v>588</v>
      </c>
      <c r="H1357" s="36" t="n">
        <f aca="false">IF($G$2849=0,0,G1357/$G$2849)</f>
        <v>3.85858690790859E-005</v>
      </c>
      <c r="I1357" s="37" t="n">
        <f aca="false">I1356+H1357</f>
        <v>0.981185357243724</v>
      </c>
      <c r="J1357" s="37" t="n">
        <f aca="false">A1357/2840</f>
        <v>0.475352112676056</v>
      </c>
      <c r="K1357" s="32" t="str">
        <f aca="false">IF(I1357&lt;=$E$4,"A",IF(I1357&lt;=$E$5,"B","C"))</f>
        <v>C</v>
      </c>
    </row>
    <row r="1358" customFormat="false" ht="15" hidden="false" customHeight="false" outlineLevel="0" collapsed="false">
      <c r="A1358" s="32" t="n">
        <v>1351</v>
      </c>
      <c r="B1358" s="33" t="n">
        <v>1312601</v>
      </c>
      <c r="C1358" s="34" t="s">
        <v>2787</v>
      </c>
      <c r="D1358" s="34" t="s">
        <v>2788</v>
      </c>
      <c r="E1358" s="34" t="s">
        <v>189</v>
      </c>
      <c r="F1358" s="32" t="n">
        <f aca="false">COUNTIF(Base!$D$2:$D$2878,B1358)</f>
        <v>1</v>
      </c>
      <c r="G1358" s="35" t="n">
        <f aca="false">SUMIF(Base!$D$2:$D$2878,B1358,Base!$I$2:$I$2878)</f>
        <v>585.75</v>
      </c>
      <c r="H1358" s="36" t="n">
        <f aca="false">IF($G$2849=0,0,G1358/$G$2849)</f>
        <v>3.84382190698547E-005</v>
      </c>
      <c r="I1358" s="37" t="n">
        <f aca="false">I1357+H1358</f>
        <v>0.981223795462794</v>
      </c>
      <c r="J1358" s="37" t="n">
        <f aca="false">A1358/2840</f>
        <v>0.475704225352113</v>
      </c>
      <c r="K1358" s="32" t="str">
        <f aca="false">IF(I1358&lt;=$E$4,"A",IF(I1358&lt;=$E$5,"B","C"))</f>
        <v>C</v>
      </c>
    </row>
    <row r="1359" customFormat="false" ht="15" hidden="false" customHeight="false" outlineLevel="0" collapsed="false">
      <c r="A1359" s="32" t="n">
        <v>1352</v>
      </c>
      <c r="B1359" s="33" t="n">
        <v>477027</v>
      </c>
      <c r="C1359" s="34" t="s">
        <v>2789</v>
      </c>
      <c r="D1359" s="34" t="s">
        <v>2790</v>
      </c>
      <c r="E1359" s="34" t="s">
        <v>38</v>
      </c>
      <c r="F1359" s="32" t="n">
        <f aca="false">COUNTIF(Base!$D$2:$D$2878,B1359)</f>
        <v>1</v>
      </c>
      <c r="G1359" s="35" t="n">
        <f aca="false">SUMIF(Base!$D$2:$D$2878,B1359,Base!$I$2:$I$2878)</f>
        <v>585.74</v>
      </c>
      <c r="H1359" s="36" t="n">
        <f aca="false">IF($G$2849=0,0,G1359/$G$2849)</f>
        <v>3.84375628475915E-005</v>
      </c>
      <c r="I1359" s="37" t="n">
        <f aca="false">I1358+H1359</f>
        <v>0.981262233025642</v>
      </c>
      <c r="J1359" s="37" t="n">
        <f aca="false">A1359/2840</f>
        <v>0.476056338028169</v>
      </c>
      <c r="K1359" s="32" t="str">
        <f aca="false">IF(I1359&lt;=$E$4,"A",IF(I1359&lt;=$E$5,"B","C"))</f>
        <v>C</v>
      </c>
    </row>
    <row r="1360" customFormat="false" ht="15" hidden="false" customHeight="false" outlineLevel="0" collapsed="false">
      <c r="A1360" s="32" t="n">
        <v>1353</v>
      </c>
      <c r="B1360" s="33" t="n">
        <v>1463613</v>
      </c>
      <c r="C1360" s="34" t="s">
        <v>2791</v>
      </c>
      <c r="D1360" s="34" t="s">
        <v>2792</v>
      </c>
      <c r="E1360" s="34" t="s">
        <v>38</v>
      </c>
      <c r="F1360" s="32" t="n">
        <f aca="false">COUNTIF(Base!$D$2:$D$2878,B1360)</f>
        <v>1</v>
      </c>
      <c r="G1360" s="35" t="n">
        <f aca="false">SUMIF(Base!$D$2:$D$2878,B1360,Base!$I$2:$I$2878)</f>
        <v>583.97</v>
      </c>
      <c r="H1360" s="36" t="n">
        <f aca="false">IF($G$2849=0,0,G1360/$G$2849)</f>
        <v>3.83214115069962E-005</v>
      </c>
      <c r="I1360" s="37" t="n">
        <f aca="false">I1359+H1360</f>
        <v>0.981300554437149</v>
      </c>
      <c r="J1360" s="37" t="n">
        <f aca="false">A1360/2840</f>
        <v>0.476408450704225</v>
      </c>
      <c r="K1360" s="32" t="str">
        <f aca="false">IF(I1360&lt;=$E$4,"A",IF(I1360&lt;=$E$5,"B","C"))</f>
        <v>C</v>
      </c>
    </row>
    <row r="1361" customFormat="false" ht="15" hidden="false" customHeight="false" outlineLevel="0" collapsed="false">
      <c r="A1361" s="32" t="n">
        <v>1354</v>
      </c>
      <c r="B1361" s="33" t="n">
        <v>1463686</v>
      </c>
      <c r="C1361" s="34" t="s">
        <v>2793</v>
      </c>
      <c r="D1361" s="34" t="s">
        <v>2794</v>
      </c>
      <c r="E1361" s="34" t="s">
        <v>38</v>
      </c>
      <c r="F1361" s="32" t="n">
        <f aca="false">COUNTIF(Base!$D$2:$D$2878,B1361)</f>
        <v>1</v>
      </c>
      <c r="G1361" s="35" t="n">
        <f aca="false">SUMIF(Base!$D$2:$D$2878,B1361,Base!$I$2:$I$2878)</f>
        <v>583.97</v>
      </c>
      <c r="H1361" s="36" t="n">
        <f aca="false">IF($G$2849=0,0,G1361/$G$2849)</f>
        <v>3.83214115069962E-005</v>
      </c>
      <c r="I1361" s="37" t="n">
        <f aca="false">I1360+H1361</f>
        <v>0.981338875848655</v>
      </c>
      <c r="J1361" s="37" t="n">
        <f aca="false">A1361/2840</f>
        <v>0.476760563380282</v>
      </c>
      <c r="K1361" s="32" t="str">
        <f aca="false">IF(I1361&lt;=$E$4,"A",IF(I1361&lt;=$E$5,"B","C"))</f>
        <v>C</v>
      </c>
    </row>
    <row r="1362" customFormat="false" ht="15" hidden="false" customHeight="false" outlineLevel="0" collapsed="false">
      <c r="A1362" s="32" t="n">
        <v>1355</v>
      </c>
      <c r="B1362" s="33" t="n">
        <v>1463898</v>
      </c>
      <c r="C1362" s="34" t="s">
        <v>2795</v>
      </c>
      <c r="D1362" s="34" t="s">
        <v>2796</v>
      </c>
      <c r="E1362" s="34" t="s">
        <v>38</v>
      </c>
      <c r="F1362" s="32" t="n">
        <f aca="false">COUNTIF(Base!$D$2:$D$2878,B1362)</f>
        <v>1</v>
      </c>
      <c r="G1362" s="35" t="n">
        <f aca="false">SUMIF(Base!$D$2:$D$2878,B1362,Base!$I$2:$I$2878)</f>
        <v>583.97</v>
      </c>
      <c r="H1362" s="36" t="n">
        <f aca="false">IF($G$2849=0,0,G1362/$G$2849)</f>
        <v>3.83214115069962E-005</v>
      </c>
      <c r="I1362" s="37" t="n">
        <f aca="false">I1361+H1362</f>
        <v>0.981377197260162</v>
      </c>
      <c r="J1362" s="37" t="n">
        <f aca="false">A1362/2840</f>
        <v>0.477112676056338</v>
      </c>
      <c r="K1362" s="32" t="str">
        <f aca="false">IF(I1362&lt;=$E$4,"A",IF(I1362&lt;=$E$5,"B","C"))</f>
        <v>C</v>
      </c>
    </row>
    <row r="1363" customFormat="false" ht="15" hidden="false" customHeight="false" outlineLevel="0" collapsed="false">
      <c r="A1363" s="32" t="n">
        <v>1356</v>
      </c>
      <c r="B1363" s="33" t="n">
        <v>22451</v>
      </c>
      <c r="C1363" s="34" t="s">
        <v>2797</v>
      </c>
      <c r="D1363" s="34" t="s">
        <v>2798</v>
      </c>
      <c r="E1363" s="34" t="s">
        <v>130</v>
      </c>
      <c r="F1363" s="32" t="n">
        <f aca="false">COUNTIF(Base!$D$2:$D$2878,B1363)</f>
        <v>1</v>
      </c>
      <c r="G1363" s="35" t="n">
        <f aca="false">SUMIF(Base!$D$2:$D$2878,B1363,Base!$I$2:$I$2878)</f>
        <v>583.86</v>
      </c>
      <c r="H1363" s="36" t="n">
        <f aca="false">IF($G$2849=0,0,G1363/$G$2849)</f>
        <v>3.83141930621005E-005</v>
      </c>
      <c r="I1363" s="37" t="n">
        <f aca="false">I1362+H1363</f>
        <v>0.981415511453225</v>
      </c>
      <c r="J1363" s="37" t="n">
        <f aca="false">A1363/2840</f>
        <v>0.477464788732394</v>
      </c>
      <c r="K1363" s="32" t="str">
        <f aca="false">IF(I1363&lt;=$E$4,"A",IF(I1363&lt;=$E$5,"B","C"))</f>
        <v>C</v>
      </c>
    </row>
    <row r="1364" customFormat="false" ht="15" hidden="false" customHeight="false" outlineLevel="0" collapsed="false">
      <c r="A1364" s="32" t="n">
        <v>1357</v>
      </c>
      <c r="B1364" s="33" t="n">
        <v>15698</v>
      </c>
      <c r="C1364" s="34" t="s">
        <v>2799</v>
      </c>
      <c r="D1364" s="34" t="s">
        <v>2800</v>
      </c>
      <c r="E1364" s="34" t="s">
        <v>54</v>
      </c>
      <c r="F1364" s="32" t="n">
        <f aca="false">COUNTIF(Base!$D$2:$D$2878,B1364)</f>
        <v>1</v>
      </c>
      <c r="G1364" s="35" t="n">
        <f aca="false">SUMIF(Base!$D$2:$D$2878,B1364,Base!$I$2:$I$2878)</f>
        <v>580</v>
      </c>
      <c r="H1364" s="36" t="n">
        <f aca="false">IF($G$2849=0,0,G1364/$G$2849)</f>
        <v>3.80608912684861E-005</v>
      </c>
      <c r="I1364" s="37" t="n">
        <f aca="false">I1363+H1364</f>
        <v>0.981453572344493</v>
      </c>
      <c r="J1364" s="37" t="n">
        <f aca="false">A1364/2840</f>
        <v>0.477816901408451</v>
      </c>
      <c r="K1364" s="32" t="str">
        <f aca="false">IF(I1364&lt;=$E$4,"A",IF(I1364&lt;=$E$5,"B","C"))</f>
        <v>C</v>
      </c>
    </row>
    <row r="1365" customFormat="false" ht="15" hidden="false" customHeight="false" outlineLevel="0" collapsed="false">
      <c r="A1365" s="32" t="n">
        <v>1358</v>
      </c>
      <c r="B1365" s="33" t="n">
        <v>554093</v>
      </c>
      <c r="C1365" s="34" t="s">
        <v>2801</v>
      </c>
      <c r="D1365" s="34" t="s">
        <v>2802</v>
      </c>
      <c r="E1365" s="34" t="s">
        <v>247</v>
      </c>
      <c r="F1365" s="32" t="n">
        <f aca="false">COUNTIF(Base!$D$2:$D$2878,B1365)</f>
        <v>1</v>
      </c>
      <c r="G1365" s="35" t="n">
        <f aca="false">SUMIF(Base!$D$2:$D$2878,B1365,Base!$I$2:$I$2878)</f>
        <v>580</v>
      </c>
      <c r="H1365" s="36" t="n">
        <f aca="false">IF($G$2849=0,0,G1365/$G$2849)</f>
        <v>3.80608912684861E-005</v>
      </c>
      <c r="I1365" s="37" t="n">
        <f aca="false">I1364+H1365</f>
        <v>0.981491633235761</v>
      </c>
      <c r="J1365" s="37" t="n">
        <f aca="false">A1365/2840</f>
        <v>0.478169014084507</v>
      </c>
      <c r="K1365" s="32" t="str">
        <f aca="false">IF(I1365&lt;=$E$4,"A",IF(I1365&lt;=$E$5,"B","C"))</f>
        <v>C</v>
      </c>
    </row>
    <row r="1366" customFormat="false" ht="15" hidden="false" customHeight="false" outlineLevel="0" collapsed="false">
      <c r="A1366" s="32" t="n">
        <v>1359</v>
      </c>
      <c r="B1366" s="33" t="n">
        <v>554095</v>
      </c>
      <c r="C1366" s="34" t="s">
        <v>2803</v>
      </c>
      <c r="D1366" s="34" t="s">
        <v>2804</v>
      </c>
      <c r="E1366" s="34" t="s">
        <v>247</v>
      </c>
      <c r="F1366" s="32" t="n">
        <f aca="false">COUNTIF(Base!$D$2:$D$2878,B1366)</f>
        <v>1</v>
      </c>
      <c r="G1366" s="35" t="n">
        <f aca="false">SUMIF(Base!$D$2:$D$2878,B1366,Base!$I$2:$I$2878)</f>
        <v>580</v>
      </c>
      <c r="H1366" s="36" t="n">
        <f aca="false">IF($G$2849=0,0,G1366/$G$2849)</f>
        <v>3.80608912684861E-005</v>
      </c>
      <c r="I1366" s="37" t="n">
        <f aca="false">I1365+H1366</f>
        <v>0.98152969412703</v>
      </c>
      <c r="J1366" s="37" t="n">
        <f aca="false">A1366/2840</f>
        <v>0.478521126760563</v>
      </c>
      <c r="K1366" s="32" t="str">
        <f aca="false">IF(I1366&lt;=$E$4,"A",IF(I1366&lt;=$E$5,"B","C"))</f>
        <v>C</v>
      </c>
    </row>
    <row r="1367" customFormat="false" ht="15" hidden="false" customHeight="false" outlineLevel="0" collapsed="false">
      <c r="A1367" s="32" t="n">
        <v>1360</v>
      </c>
      <c r="B1367" s="33" t="n">
        <v>16834</v>
      </c>
      <c r="C1367" s="34" t="s">
        <v>2805</v>
      </c>
      <c r="D1367" s="34" t="s">
        <v>2806</v>
      </c>
      <c r="E1367" s="34" t="s">
        <v>100</v>
      </c>
      <c r="F1367" s="32" t="n">
        <f aca="false">COUNTIF(Base!$D$2:$D$2878,B1367)</f>
        <v>1</v>
      </c>
      <c r="G1367" s="35" t="n">
        <f aca="false">SUMIF(Base!$D$2:$D$2878,B1367,Base!$I$2:$I$2878)</f>
        <v>576.14</v>
      </c>
      <c r="H1367" s="36" t="n">
        <f aca="false">IF($G$2849=0,0,G1367/$G$2849)</f>
        <v>3.78075894748717E-005</v>
      </c>
      <c r="I1367" s="37" t="n">
        <f aca="false">I1366+H1367</f>
        <v>0.981567501716505</v>
      </c>
      <c r="J1367" s="37" t="n">
        <f aca="false">A1367/2840</f>
        <v>0.47887323943662</v>
      </c>
      <c r="K1367" s="32" t="str">
        <f aca="false">IF(I1367&lt;=$E$4,"A",IF(I1367&lt;=$E$5,"B","C"))</f>
        <v>C</v>
      </c>
    </row>
    <row r="1368" customFormat="false" ht="15" hidden="false" customHeight="false" outlineLevel="0" collapsed="false">
      <c r="A1368" s="32" t="n">
        <v>1361</v>
      </c>
      <c r="B1368" s="33" t="n">
        <v>229818</v>
      </c>
      <c r="C1368" s="34" t="s">
        <v>2807</v>
      </c>
      <c r="D1368" s="34" t="s">
        <v>2808</v>
      </c>
      <c r="E1368" s="34" t="s">
        <v>100</v>
      </c>
      <c r="F1368" s="32" t="n">
        <f aca="false">COUNTIF(Base!$D$2:$D$2878,B1368)</f>
        <v>1</v>
      </c>
      <c r="G1368" s="35" t="n">
        <f aca="false">SUMIF(Base!$D$2:$D$2878,B1368,Base!$I$2:$I$2878)</f>
        <v>576</v>
      </c>
      <c r="H1368" s="36" t="n">
        <f aca="false">IF($G$2849=0,0,G1368/$G$2849)</f>
        <v>3.77984023631862E-005</v>
      </c>
      <c r="I1368" s="37" t="n">
        <f aca="false">I1367+H1368</f>
        <v>0.981605300118868</v>
      </c>
      <c r="J1368" s="37" t="n">
        <f aca="false">A1368/2840</f>
        <v>0.479225352112676</v>
      </c>
      <c r="K1368" s="32" t="str">
        <f aca="false">IF(I1368&lt;=$E$4,"A",IF(I1368&lt;=$E$5,"B","C"))</f>
        <v>C</v>
      </c>
    </row>
    <row r="1369" customFormat="false" ht="15" hidden="false" customHeight="false" outlineLevel="0" collapsed="false">
      <c r="A1369" s="32" t="n">
        <v>1362</v>
      </c>
      <c r="B1369" s="33" t="n">
        <v>883568</v>
      </c>
      <c r="C1369" s="34" t="s">
        <v>2809</v>
      </c>
      <c r="D1369" s="34" t="s">
        <v>2810</v>
      </c>
      <c r="E1369" s="34" t="s">
        <v>100</v>
      </c>
      <c r="F1369" s="32" t="n">
        <f aca="false">COUNTIF(Base!$D$2:$D$2878,B1369)</f>
        <v>1</v>
      </c>
      <c r="G1369" s="35" t="n">
        <f aca="false">SUMIF(Base!$D$2:$D$2878,B1369,Base!$I$2:$I$2878)</f>
        <v>576</v>
      </c>
      <c r="H1369" s="36" t="n">
        <f aca="false">IF($G$2849=0,0,G1369/$G$2849)</f>
        <v>3.77984023631862E-005</v>
      </c>
      <c r="I1369" s="37" t="n">
        <f aca="false">I1368+H1369</f>
        <v>0.981643098521231</v>
      </c>
      <c r="J1369" s="37" t="n">
        <f aca="false">A1369/2840</f>
        <v>0.479577464788732</v>
      </c>
      <c r="K1369" s="32" t="str">
        <f aca="false">IF(I1369&lt;=$E$4,"A",IF(I1369&lt;=$E$5,"B","C"))</f>
        <v>C</v>
      </c>
    </row>
    <row r="1370" customFormat="false" ht="15" hidden="false" customHeight="false" outlineLevel="0" collapsed="false">
      <c r="A1370" s="32" t="n">
        <v>1363</v>
      </c>
      <c r="B1370" s="33" t="n">
        <v>1256373</v>
      </c>
      <c r="C1370" s="34" t="s">
        <v>2811</v>
      </c>
      <c r="D1370" s="34" t="s">
        <v>2812</v>
      </c>
      <c r="E1370" s="34" t="s">
        <v>130</v>
      </c>
      <c r="F1370" s="32" t="n">
        <f aca="false">COUNTIF(Base!$D$2:$D$2878,B1370)</f>
        <v>1</v>
      </c>
      <c r="G1370" s="35" t="n">
        <f aca="false">SUMIF(Base!$D$2:$D$2878,B1370,Base!$I$2:$I$2878)</f>
        <v>576</v>
      </c>
      <c r="H1370" s="36" t="n">
        <f aca="false">IF($G$2849=0,0,G1370/$G$2849)</f>
        <v>3.77984023631862E-005</v>
      </c>
      <c r="I1370" s="37" t="n">
        <f aca="false">I1369+H1370</f>
        <v>0.981680896923594</v>
      </c>
      <c r="J1370" s="37" t="n">
        <f aca="false">A1370/2840</f>
        <v>0.479929577464789</v>
      </c>
      <c r="K1370" s="32" t="str">
        <f aca="false">IF(I1370&lt;=$E$4,"A",IF(I1370&lt;=$E$5,"B","C"))</f>
        <v>C</v>
      </c>
    </row>
    <row r="1371" customFormat="false" ht="15" hidden="false" customHeight="false" outlineLevel="0" collapsed="false">
      <c r="A1371" s="32" t="n">
        <v>1364</v>
      </c>
      <c r="B1371" s="33" t="n">
        <v>89334</v>
      </c>
      <c r="C1371" s="34" t="s">
        <v>2813</v>
      </c>
      <c r="D1371" s="34" t="s">
        <v>2814</v>
      </c>
      <c r="E1371" s="34" t="s">
        <v>170</v>
      </c>
      <c r="F1371" s="32" t="n">
        <f aca="false">COUNTIF(Base!$D$2:$D$2878,B1371)</f>
        <v>1</v>
      </c>
      <c r="G1371" s="35" t="n">
        <f aca="false">SUMIF(Base!$D$2:$D$2878,B1371,Base!$I$2:$I$2878)</f>
        <v>575</v>
      </c>
      <c r="H1371" s="36" t="n">
        <f aca="false">IF($G$2849=0,0,G1371/$G$2849)</f>
        <v>3.77327801368612E-005</v>
      </c>
      <c r="I1371" s="37" t="n">
        <f aca="false">I1370+H1371</f>
        <v>0.981718629703731</v>
      </c>
      <c r="J1371" s="37" t="n">
        <f aca="false">A1371/2840</f>
        <v>0.480281690140845</v>
      </c>
      <c r="K1371" s="32" t="str">
        <f aca="false">IF(I1371&lt;=$E$4,"A",IF(I1371&lt;=$E$5,"B","C"))</f>
        <v>C</v>
      </c>
    </row>
    <row r="1372" customFormat="false" ht="15" hidden="false" customHeight="false" outlineLevel="0" collapsed="false">
      <c r="A1372" s="32" t="n">
        <v>1365</v>
      </c>
      <c r="B1372" s="33" t="n">
        <v>221447</v>
      </c>
      <c r="C1372" s="34" t="s">
        <v>2815</v>
      </c>
      <c r="D1372" s="34" t="s">
        <v>2816</v>
      </c>
      <c r="E1372" s="34" t="s">
        <v>130</v>
      </c>
      <c r="F1372" s="32" t="n">
        <f aca="false">COUNTIF(Base!$D$2:$D$2878,B1372)</f>
        <v>1</v>
      </c>
      <c r="G1372" s="35" t="n">
        <f aca="false">SUMIF(Base!$D$2:$D$2878,B1372,Base!$I$2:$I$2878)</f>
        <v>574.65</v>
      </c>
      <c r="H1372" s="36" t="n">
        <f aca="false">IF($G$2849=0,0,G1372/$G$2849)</f>
        <v>3.77098123576475E-005</v>
      </c>
      <c r="I1372" s="37" t="n">
        <f aca="false">I1371+H1372</f>
        <v>0.981756339516089</v>
      </c>
      <c r="J1372" s="37" t="n">
        <f aca="false">A1372/2840</f>
        <v>0.480633802816901</v>
      </c>
      <c r="K1372" s="32" t="str">
        <f aca="false">IF(I1372&lt;=$E$4,"A",IF(I1372&lt;=$E$5,"B","C"))</f>
        <v>C</v>
      </c>
    </row>
    <row r="1373" customFormat="false" ht="15" hidden="false" customHeight="false" outlineLevel="0" collapsed="false">
      <c r="A1373" s="32" t="n">
        <v>1366</v>
      </c>
      <c r="B1373" s="33" t="n">
        <v>225263</v>
      </c>
      <c r="C1373" s="34" t="s">
        <v>2817</v>
      </c>
      <c r="D1373" s="34" t="s">
        <v>2818</v>
      </c>
      <c r="E1373" s="34" t="s">
        <v>38</v>
      </c>
      <c r="F1373" s="32" t="n">
        <f aca="false">COUNTIF(Base!$D$2:$D$2878,B1373)</f>
        <v>1</v>
      </c>
      <c r="G1373" s="35" t="n">
        <f aca="false">SUMIF(Base!$D$2:$D$2878,B1373,Base!$I$2:$I$2878)</f>
        <v>572.1</v>
      </c>
      <c r="H1373" s="36" t="n">
        <f aca="false">IF($G$2849=0,0,G1373/$G$2849)</f>
        <v>3.75424756805188E-005</v>
      </c>
      <c r="I1373" s="37" t="n">
        <f aca="false">I1372+H1373</f>
        <v>0.981793881991769</v>
      </c>
      <c r="J1373" s="37" t="n">
        <f aca="false">A1373/2840</f>
        <v>0.480985915492958</v>
      </c>
      <c r="K1373" s="32" t="str">
        <f aca="false">IF(I1373&lt;=$E$4,"A",IF(I1373&lt;=$E$5,"B","C"))</f>
        <v>C</v>
      </c>
    </row>
    <row r="1374" customFormat="false" ht="15" hidden="false" customHeight="false" outlineLevel="0" collapsed="false">
      <c r="A1374" s="32" t="n">
        <v>1367</v>
      </c>
      <c r="B1374" s="33" t="n">
        <v>18191</v>
      </c>
      <c r="C1374" s="34" t="s">
        <v>2819</v>
      </c>
      <c r="D1374" s="34" t="s">
        <v>2820</v>
      </c>
      <c r="E1374" s="34" t="s">
        <v>170</v>
      </c>
      <c r="F1374" s="32" t="n">
        <f aca="false">COUNTIF(Base!$D$2:$D$2878,B1374)</f>
        <v>1</v>
      </c>
      <c r="G1374" s="35" t="n">
        <f aca="false">SUMIF(Base!$D$2:$D$2878,B1374,Base!$I$2:$I$2878)</f>
        <v>571.13</v>
      </c>
      <c r="H1374" s="36" t="n">
        <f aca="false">IF($G$2849=0,0,G1374/$G$2849)</f>
        <v>3.74788221209836E-005</v>
      </c>
      <c r="I1374" s="37" t="n">
        <f aca="false">I1373+H1374</f>
        <v>0.98183136081389</v>
      </c>
      <c r="J1374" s="37" t="n">
        <f aca="false">A1374/2840</f>
        <v>0.481338028169014</v>
      </c>
      <c r="K1374" s="32" t="str">
        <f aca="false">IF(I1374&lt;=$E$4,"A",IF(I1374&lt;=$E$5,"B","C"))</f>
        <v>C</v>
      </c>
    </row>
    <row r="1375" customFormat="false" ht="15" hidden="false" customHeight="false" outlineLevel="0" collapsed="false">
      <c r="A1375" s="32" t="n">
        <v>1368</v>
      </c>
      <c r="B1375" s="33" t="n">
        <v>839899</v>
      </c>
      <c r="C1375" s="34" t="s">
        <v>2821</v>
      </c>
      <c r="D1375" s="34" t="s">
        <v>2822</v>
      </c>
      <c r="E1375" s="34" t="s">
        <v>100</v>
      </c>
      <c r="F1375" s="32" t="n">
        <f aca="false">COUNTIF(Base!$D$2:$D$2878,B1375)</f>
        <v>1</v>
      </c>
      <c r="G1375" s="35" t="n">
        <f aca="false">SUMIF(Base!$D$2:$D$2878,B1375,Base!$I$2:$I$2878)</f>
        <v>570</v>
      </c>
      <c r="H1375" s="36" t="n">
        <f aca="false">IF($G$2849=0,0,G1375/$G$2849)</f>
        <v>3.74046690052363E-005</v>
      </c>
      <c r="I1375" s="37" t="n">
        <f aca="false">I1374+H1375</f>
        <v>0.981868765482896</v>
      </c>
      <c r="J1375" s="37" t="n">
        <f aca="false">A1375/2840</f>
        <v>0.48169014084507</v>
      </c>
      <c r="K1375" s="32" t="str">
        <f aca="false">IF(I1375&lt;=$E$4,"A",IF(I1375&lt;=$E$5,"B","C"))</f>
        <v>C</v>
      </c>
    </row>
    <row r="1376" customFormat="false" ht="15" hidden="false" customHeight="false" outlineLevel="0" collapsed="false">
      <c r="A1376" s="32" t="n">
        <v>1369</v>
      </c>
      <c r="B1376" s="33" t="n">
        <v>60980</v>
      </c>
      <c r="C1376" s="34" t="s">
        <v>2823</v>
      </c>
      <c r="D1376" s="34" t="s">
        <v>2824</v>
      </c>
      <c r="E1376" s="34" t="s">
        <v>1095</v>
      </c>
      <c r="F1376" s="32" t="n">
        <f aca="false">COUNTIF(Base!$D$2:$D$2878,B1376)</f>
        <v>1</v>
      </c>
      <c r="G1376" s="35" t="n">
        <f aca="false">SUMIF(Base!$D$2:$D$2878,B1376,Base!$I$2:$I$2878)</f>
        <v>569.48</v>
      </c>
      <c r="H1376" s="36" t="n">
        <f aca="false">IF($G$2849=0,0,G1376/$G$2849)</f>
        <v>3.73705454475473E-005</v>
      </c>
      <c r="I1376" s="37" t="n">
        <f aca="false">I1375+H1376</f>
        <v>0.981906136028343</v>
      </c>
      <c r="J1376" s="37" t="n">
        <f aca="false">A1376/2840</f>
        <v>0.482042253521127</v>
      </c>
      <c r="K1376" s="32" t="str">
        <f aca="false">IF(I1376&lt;=$E$4,"A",IF(I1376&lt;=$E$5,"B","C"))</f>
        <v>C</v>
      </c>
    </row>
    <row r="1377" customFormat="false" ht="15" hidden="false" customHeight="false" outlineLevel="0" collapsed="false">
      <c r="A1377" s="32" t="n">
        <v>1370</v>
      </c>
      <c r="B1377" s="33" t="n">
        <v>294077</v>
      </c>
      <c r="C1377" s="34" t="s">
        <v>2825</v>
      </c>
      <c r="D1377" s="34" t="s">
        <v>2826</v>
      </c>
      <c r="E1377" s="34" t="s">
        <v>75</v>
      </c>
      <c r="F1377" s="32" t="n">
        <f aca="false">COUNTIF(Base!$D$2:$D$2878,B1377)</f>
        <v>1</v>
      </c>
      <c r="G1377" s="35" t="n">
        <f aca="false">SUMIF(Base!$D$2:$D$2878,B1377,Base!$I$2:$I$2878)</f>
        <v>568.8516</v>
      </c>
      <c r="H1377" s="36" t="n">
        <f aca="false">IF($G$2849=0,0,G1377/$G$2849)</f>
        <v>3.73293084405247E-005</v>
      </c>
      <c r="I1377" s="37" t="n">
        <f aca="false">I1376+H1377</f>
        <v>0.981943465336784</v>
      </c>
      <c r="J1377" s="37" t="n">
        <f aca="false">A1377/2840</f>
        <v>0.482394366197183</v>
      </c>
      <c r="K1377" s="32" t="str">
        <f aca="false">IF(I1377&lt;=$E$4,"A",IF(I1377&lt;=$E$5,"B","C"))</f>
        <v>C</v>
      </c>
    </row>
    <row r="1378" customFormat="false" ht="15" hidden="false" customHeight="false" outlineLevel="0" collapsed="false">
      <c r="A1378" s="32" t="n">
        <v>1371</v>
      </c>
      <c r="B1378" s="33" t="n">
        <v>1320997</v>
      </c>
      <c r="C1378" s="34" t="s">
        <v>2827</v>
      </c>
      <c r="D1378" s="34" t="s">
        <v>2828</v>
      </c>
      <c r="E1378" s="34" t="s">
        <v>38</v>
      </c>
      <c r="F1378" s="32" t="n">
        <f aca="false">COUNTIF(Base!$D$2:$D$2878,B1378)</f>
        <v>1</v>
      </c>
      <c r="G1378" s="35" t="n">
        <f aca="false">SUMIF(Base!$D$2:$D$2878,B1378,Base!$I$2:$I$2878)</f>
        <v>568.75</v>
      </c>
      <c r="H1378" s="36" t="n">
        <f aca="false">IF($G$2849=0,0,G1378/$G$2849)</f>
        <v>3.73226412223301E-005</v>
      </c>
      <c r="I1378" s="37" t="n">
        <f aca="false">I1377+H1378</f>
        <v>0.981980787978006</v>
      </c>
      <c r="J1378" s="37" t="n">
        <f aca="false">A1378/2840</f>
        <v>0.482746478873239</v>
      </c>
      <c r="K1378" s="32" t="str">
        <f aca="false">IF(I1378&lt;=$E$4,"A",IF(I1378&lt;=$E$5,"B","C"))</f>
        <v>C</v>
      </c>
    </row>
    <row r="1379" customFormat="false" ht="15" hidden="false" customHeight="false" outlineLevel="0" collapsed="false">
      <c r="A1379" s="32" t="n">
        <v>1372</v>
      </c>
      <c r="B1379" s="33" t="n">
        <v>220333</v>
      </c>
      <c r="C1379" s="34" t="s">
        <v>2829</v>
      </c>
      <c r="D1379" s="34" t="s">
        <v>2830</v>
      </c>
      <c r="E1379" s="34" t="s">
        <v>38</v>
      </c>
      <c r="F1379" s="32" t="n">
        <f aca="false">COUNTIF(Base!$D$2:$D$2878,B1379)</f>
        <v>1</v>
      </c>
      <c r="G1379" s="35" t="n">
        <f aca="false">SUMIF(Base!$D$2:$D$2878,B1379,Base!$I$2:$I$2878)</f>
        <v>568</v>
      </c>
      <c r="H1379" s="36" t="n">
        <f aca="false">IF($G$2849=0,0,G1379/$G$2849)</f>
        <v>3.72734245525864E-005</v>
      </c>
      <c r="I1379" s="37" t="n">
        <f aca="false">I1378+H1379</f>
        <v>0.982018061402559</v>
      </c>
      <c r="J1379" s="37" t="n">
        <f aca="false">A1379/2840</f>
        <v>0.483098591549296</v>
      </c>
      <c r="K1379" s="32" t="str">
        <f aca="false">IF(I1379&lt;=$E$4,"A",IF(I1379&lt;=$E$5,"B","C"))</f>
        <v>C</v>
      </c>
    </row>
    <row r="1380" customFormat="false" ht="15" hidden="false" customHeight="false" outlineLevel="0" collapsed="false">
      <c r="A1380" s="32" t="n">
        <v>1373</v>
      </c>
      <c r="B1380" s="33" t="n">
        <v>283279</v>
      </c>
      <c r="C1380" s="34" t="s">
        <v>2831</v>
      </c>
      <c r="D1380" s="34" t="s">
        <v>2832</v>
      </c>
      <c r="E1380" s="34" t="s">
        <v>38</v>
      </c>
      <c r="F1380" s="32" t="n">
        <f aca="false">COUNTIF(Base!$D$2:$D$2878,B1380)</f>
        <v>1</v>
      </c>
      <c r="G1380" s="35" t="n">
        <f aca="false">SUMIF(Base!$D$2:$D$2878,B1380,Base!$I$2:$I$2878)</f>
        <v>566.1</v>
      </c>
      <c r="H1380" s="36" t="n">
        <f aca="false">IF($G$2849=0,0,G1380/$G$2849)</f>
        <v>3.71487423225689E-005</v>
      </c>
      <c r="I1380" s="37" t="n">
        <f aca="false">I1379+H1380</f>
        <v>0.982055210144881</v>
      </c>
      <c r="J1380" s="37" t="n">
        <f aca="false">A1380/2840</f>
        <v>0.483450704225352</v>
      </c>
      <c r="K1380" s="32" t="str">
        <f aca="false">IF(I1380&lt;=$E$4,"A",IF(I1380&lt;=$E$5,"B","C"))</f>
        <v>C</v>
      </c>
    </row>
    <row r="1381" customFormat="false" ht="15" hidden="false" customHeight="false" outlineLevel="0" collapsed="false">
      <c r="A1381" s="32" t="n">
        <v>1374</v>
      </c>
      <c r="B1381" s="33" t="n">
        <v>22729</v>
      </c>
      <c r="C1381" s="34" t="s">
        <v>2833</v>
      </c>
      <c r="D1381" s="34" t="s">
        <v>2834</v>
      </c>
      <c r="E1381" s="34" t="s">
        <v>130</v>
      </c>
      <c r="F1381" s="32" t="n">
        <f aca="false">COUNTIF(Base!$D$2:$D$2878,B1381)</f>
        <v>1</v>
      </c>
      <c r="G1381" s="35" t="n">
        <f aca="false">SUMIF(Base!$D$2:$D$2878,B1381,Base!$I$2:$I$2878)</f>
        <v>566</v>
      </c>
      <c r="H1381" s="36" t="n">
        <f aca="false">IF($G$2849=0,0,G1381/$G$2849)</f>
        <v>3.71421800999364E-005</v>
      </c>
      <c r="I1381" s="37" t="n">
        <f aca="false">I1380+H1381</f>
        <v>0.982092352324981</v>
      </c>
      <c r="J1381" s="37" t="n">
        <f aca="false">A1381/2840</f>
        <v>0.483802816901409</v>
      </c>
      <c r="K1381" s="32" t="str">
        <f aca="false">IF(I1381&lt;=$E$4,"A",IF(I1381&lt;=$E$5,"B","C"))</f>
        <v>C</v>
      </c>
    </row>
    <row r="1382" customFormat="false" ht="15" hidden="false" customHeight="false" outlineLevel="0" collapsed="false">
      <c r="A1382" s="32" t="n">
        <v>1375</v>
      </c>
      <c r="B1382" s="33" t="n">
        <v>479062</v>
      </c>
      <c r="C1382" s="34" t="s">
        <v>2835</v>
      </c>
      <c r="D1382" s="34" t="s">
        <v>2836</v>
      </c>
      <c r="E1382" s="34" t="s">
        <v>38</v>
      </c>
      <c r="F1382" s="32" t="n">
        <f aca="false">COUNTIF(Base!$D$2:$D$2878,B1382)</f>
        <v>1</v>
      </c>
      <c r="G1382" s="35" t="n">
        <f aca="false">SUMIF(Base!$D$2:$D$2878,B1382,Base!$I$2:$I$2878)</f>
        <v>566</v>
      </c>
      <c r="H1382" s="36" t="n">
        <f aca="false">IF($G$2849=0,0,G1382/$G$2849)</f>
        <v>3.71421800999364E-005</v>
      </c>
      <c r="I1382" s="37" t="n">
        <f aca="false">I1381+H1382</f>
        <v>0.982129494505081</v>
      </c>
      <c r="J1382" s="37" t="n">
        <f aca="false">A1382/2840</f>
        <v>0.484154929577465</v>
      </c>
      <c r="K1382" s="32" t="str">
        <f aca="false">IF(I1382&lt;=$E$4,"A",IF(I1382&lt;=$E$5,"B","C"))</f>
        <v>C</v>
      </c>
    </row>
    <row r="1383" customFormat="false" ht="15" hidden="false" customHeight="false" outlineLevel="0" collapsed="false">
      <c r="A1383" s="32" t="n">
        <v>1376</v>
      </c>
      <c r="B1383" s="33" t="n">
        <v>1475466</v>
      </c>
      <c r="C1383" s="34" t="s">
        <v>2837</v>
      </c>
      <c r="D1383" s="34" t="s">
        <v>2838</v>
      </c>
      <c r="E1383" s="34" t="s">
        <v>38</v>
      </c>
      <c r="F1383" s="32" t="n">
        <f aca="false">COUNTIF(Base!$D$2:$D$2878,B1383)</f>
        <v>1</v>
      </c>
      <c r="G1383" s="35" t="n">
        <f aca="false">SUMIF(Base!$D$2:$D$2878,B1383,Base!$I$2:$I$2878)</f>
        <v>562.56</v>
      </c>
      <c r="H1383" s="36" t="n">
        <f aca="false">IF($G$2849=0,0,G1383/$G$2849)</f>
        <v>3.69164396413785E-005</v>
      </c>
      <c r="I1383" s="37" t="n">
        <f aca="false">I1382+H1383</f>
        <v>0.982166410944723</v>
      </c>
      <c r="J1383" s="37" t="n">
        <f aca="false">A1383/2840</f>
        <v>0.484507042253521</v>
      </c>
      <c r="K1383" s="32" t="str">
        <f aca="false">IF(I1383&lt;=$E$4,"A",IF(I1383&lt;=$E$5,"B","C"))</f>
        <v>C</v>
      </c>
    </row>
    <row r="1384" customFormat="false" ht="15" hidden="false" customHeight="false" outlineLevel="0" collapsed="false">
      <c r="A1384" s="32" t="n">
        <v>1377</v>
      </c>
      <c r="B1384" s="33" t="n">
        <v>1330914</v>
      </c>
      <c r="C1384" s="34" t="s">
        <v>2839</v>
      </c>
      <c r="D1384" s="34" t="s">
        <v>2840</v>
      </c>
      <c r="E1384" s="34" t="s">
        <v>100</v>
      </c>
      <c r="F1384" s="32" t="n">
        <f aca="false">COUNTIF(Base!$D$2:$D$2878,B1384)</f>
        <v>1</v>
      </c>
      <c r="G1384" s="35" t="n">
        <f aca="false">SUMIF(Base!$D$2:$D$2878,B1384,Base!$I$2:$I$2878)</f>
        <v>560.86</v>
      </c>
      <c r="H1384" s="36" t="n">
        <f aca="false">IF($G$2849=0,0,G1384/$G$2849)</f>
        <v>3.68048818566261E-005</v>
      </c>
      <c r="I1384" s="37" t="n">
        <f aca="false">I1383+H1384</f>
        <v>0.982203215826579</v>
      </c>
      <c r="J1384" s="37" t="n">
        <f aca="false">A1384/2840</f>
        <v>0.484859154929578</v>
      </c>
      <c r="K1384" s="32" t="str">
        <f aca="false">IF(I1384&lt;=$E$4,"A",IF(I1384&lt;=$E$5,"B","C"))</f>
        <v>C</v>
      </c>
    </row>
    <row r="1385" customFormat="false" ht="15" hidden="false" customHeight="false" outlineLevel="0" collapsed="false">
      <c r="A1385" s="32" t="n">
        <v>1378</v>
      </c>
      <c r="B1385" s="33" t="n">
        <v>18205</v>
      </c>
      <c r="C1385" s="34" t="s">
        <v>2841</v>
      </c>
      <c r="D1385" s="34" t="s">
        <v>2842</v>
      </c>
      <c r="E1385" s="34" t="s">
        <v>1618</v>
      </c>
      <c r="F1385" s="32" t="n">
        <f aca="false">COUNTIF(Base!$D$2:$D$2878,B1385)</f>
        <v>1</v>
      </c>
      <c r="G1385" s="35" t="n">
        <f aca="false">SUMIF(Base!$D$2:$D$2878,B1385,Base!$I$2:$I$2878)</f>
        <v>560</v>
      </c>
      <c r="H1385" s="36" t="n">
        <f aca="false">IF($G$2849=0,0,G1385/$G$2849)</f>
        <v>3.67484467419866E-005</v>
      </c>
      <c r="I1385" s="37" t="n">
        <f aca="false">I1384+H1385</f>
        <v>0.982239964273321</v>
      </c>
      <c r="J1385" s="37" t="n">
        <f aca="false">A1385/2840</f>
        <v>0.485211267605634</v>
      </c>
      <c r="K1385" s="32" t="str">
        <f aca="false">IF(I1385&lt;=$E$4,"A",IF(I1385&lt;=$E$5,"B","C"))</f>
        <v>C</v>
      </c>
    </row>
    <row r="1386" customFormat="false" ht="15" hidden="false" customHeight="false" outlineLevel="0" collapsed="false">
      <c r="A1386" s="32" t="n">
        <v>1379</v>
      </c>
      <c r="B1386" s="33" t="n">
        <v>19093</v>
      </c>
      <c r="C1386" s="34" t="s">
        <v>2843</v>
      </c>
      <c r="D1386" s="34" t="s">
        <v>2844</v>
      </c>
      <c r="E1386" s="34" t="s">
        <v>113</v>
      </c>
      <c r="F1386" s="32" t="n">
        <f aca="false">COUNTIF(Base!$D$2:$D$2878,B1386)</f>
        <v>1</v>
      </c>
      <c r="G1386" s="35" t="n">
        <f aca="false">SUMIF(Base!$D$2:$D$2878,B1386,Base!$I$2:$I$2878)</f>
        <v>560</v>
      </c>
      <c r="H1386" s="36" t="n">
        <f aca="false">IF($G$2849=0,0,G1386/$G$2849)</f>
        <v>3.67484467419866E-005</v>
      </c>
      <c r="I1386" s="37" t="n">
        <f aca="false">I1385+H1386</f>
        <v>0.982276712720063</v>
      </c>
      <c r="J1386" s="37" t="n">
        <f aca="false">A1386/2840</f>
        <v>0.48556338028169</v>
      </c>
      <c r="K1386" s="32" t="str">
        <f aca="false">IF(I1386&lt;=$E$4,"A",IF(I1386&lt;=$E$5,"B","C"))</f>
        <v>C</v>
      </c>
    </row>
    <row r="1387" customFormat="false" ht="15" hidden="false" customHeight="false" outlineLevel="0" collapsed="false">
      <c r="A1387" s="32" t="n">
        <v>1380</v>
      </c>
      <c r="B1387" s="33" t="n">
        <v>287609</v>
      </c>
      <c r="C1387" s="34" t="s">
        <v>2845</v>
      </c>
      <c r="D1387" s="34" t="s">
        <v>2846</v>
      </c>
      <c r="E1387" s="34" t="s">
        <v>38</v>
      </c>
      <c r="F1387" s="32" t="n">
        <f aca="false">COUNTIF(Base!$D$2:$D$2878,B1387)</f>
        <v>1</v>
      </c>
      <c r="G1387" s="35" t="n">
        <f aca="false">SUMIF(Base!$D$2:$D$2878,B1387,Base!$I$2:$I$2878)</f>
        <v>560</v>
      </c>
      <c r="H1387" s="36" t="n">
        <f aca="false">IF($G$2849=0,0,G1387/$G$2849)</f>
        <v>3.67484467419866E-005</v>
      </c>
      <c r="I1387" s="37" t="n">
        <f aca="false">I1386+H1387</f>
        <v>0.982313461166805</v>
      </c>
      <c r="J1387" s="37" t="n">
        <f aca="false">A1387/2840</f>
        <v>0.485915492957747</v>
      </c>
      <c r="K1387" s="32" t="str">
        <f aca="false">IF(I1387&lt;=$E$4,"A",IF(I1387&lt;=$E$5,"B","C"))</f>
        <v>C</v>
      </c>
    </row>
    <row r="1388" customFormat="false" ht="15" hidden="false" customHeight="false" outlineLevel="0" collapsed="false">
      <c r="A1388" s="32" t="n">
        <v>1381</v>
      </c>
      <c r="B1388" s="33" t="n">
        <v>825946</v>
      </c>
      <c r="C1388" s="34" t="s">
        <v>2847</v>
      </c>
      <c r="D1388" s="34" t="s">
        <v>2848</v>
      </c>
      <c r="E1388" s="34" t="s">
        <v>189</v>
      </c>
      <c r="F1388" s="32" t="n">
        <f aca="false">COUNTIF(Base!$D$2:$D$2878,B1388)</f>
        <v>1</v>
      </c>
      <c r="G1388" s="35" t="n">
        <f aca="false">SUMIF(Base!$D$2:$D$2878,B1388,Base!$I$2:$I$2878)</f>
        <v>560</v>
      </c>
      <c r="H1388" s="36" t="n">
        <f aca="false">IF($G$2849=0,0,G1388/$G$2849)</f>
        <v>3.67484467419866E-005</v>
      </c>
      <c r="I1388" s="37" t="n">
        <f aca="false">I1387+H1388</f>
        <v>0.982350209613547</v>
      </c>
      <c r="J1388" s="37" t="n">
        <f aca="false">A1388/2840</f>
        <v>0.486267605633803</v>
      </c>
      <c r="K1388" s="32" t="str">
        <f aca="false">IF(I1388&lt;=$E$4,"A",IF(I1388&lt;=$E$5,"B","C"))</f>
        <v>C</v>
      </c>
    </row>
    <row r="1389" customFormat="false" ht="15" hidden="false" customHeight="false" outlineLevel="0" collapsed="false">
      <c r="A1389" s="32" t="n">
        <v>1382</v>
      </c>
      <c r="B1389" s="33" t="n">
        <v>605206</v>
      </c>
      <c r="C1389" s="34" t="s">
        <v>2849</v>
      </c>
      <c r="D1389" s="34" t="s">
        <v>2850</v>
      </c>
      <c r="E1389" s="34" t="s">
        <v>38</v>
      </c>
      <c r="F1389" s="32" t="n">
        <f aca="false">COUNTIF(Base!$D$2:$D$2878,B1389)</f>
        <v>1</v>
      </c>
      <c r="G1389" s="35" t="n">
        <f aca="false">SUMIF(Base!$D$2:$D$2878,B1389,Base!$I$2:$I$2878)</f>
        <v>559</v>
      </c>
      <c r="H1389" s="36" t="n">
        <f aca="false">IF($G$2849=0,0,G1389/$G$2849)</f>
        <v>3.66828245156616E-005</v>
      </c>
      <c r="I1389" s="37" t="n">
        <f aca="false">I1388+H1389</f>
        <v>0.982386892438063</v>
      </c>
      <c r="J1389" s="37" t="n">
        <f aca="false">A1389/2840</f>
        <v>0.486619718309859</v>
      </c>
      <c r="K1389" s="32" t="str">
        <f aca="false">IF(I1389&lt;=$E$4,"A",IF(I1389&lt;=$E$5,"B","C"))</f>
        <v>C</v>
      </c>
    </row>
    <row r="1390" customFormat="false" ht="15" hidden="false" customHeight="false" outlineLevel="0" collapsed="false">
      <c r="A1390" s="32" t="n">
        <v>1383</v>
      </c>
      <c r="B1390" s="33" t="n">
        <v>18846</v>
      </c>
      <c r="C1390" s="34" t="s">
        <v>2851</v>
      </c>
      <c r="D1390" s="34" t="s">
        <v>2852</v>
      </c>
      <c r="E1390" s="34" t="s">
        <v>247</v>
      </c>
      <c r="F1390" s="32" t="n">
        <f aca="false">COUNTIF(Base!$D$2:$D$2878,B1390)</f>
        <v>1</v>
      </c>
      <c r="G1390" s="35" t="n">
        <f aca="false">SUMIF(Base!$D$2:$D$2878,B1390,Base!$I$2:$I$2878)</f>
        <v>558.3</v>
      </c>
      <c r="H1390" s="36" t="n">
        <f aca="false">IF($G$2849=0,0,G1390/$G$2849)</f>
        <v>3.66368889572341E-005</v>
      </c>
      <c r="I1390" s="37" t="n">
        <f aca="false">I1389+H1390</f>
        <v>0.98242352932702</v>
      </c>
      <c r="J1390" s="37" t="n">
        <f aca="false">A1390/2840</f>
        <v>0.486971830985916</v>
      </c>
      <c r="K1390" s="32" t="str">
        <f aca="false">IF(I1390&lt;=$E$4,"A",IF(I1390&lt;=$E$5,"B","C"))</f>
        <v>C</v>
      </c>
    </row>
    <row r="1391" customFormat="false" ht="15" hidden="false" customHeight="false" outlineLevel="0" collapsed="false">
      <c r="A1391" s="32" t="n">
        <v>1384</v>
      </c>
      <c r="B1391" s="33" t="n">
        <v>1387010</v>
      </c>
      <c r="C1391" s="34" t="s">
        <v>2853</v>
      </c>
      <c r="D1391" s="34" t="s">
        <v>2854</v>
      </c>
      <c r="E1391" s="34" t="s">
        <v>38</v>
      </c>
      <c r="F1391" s="32" t="n">
        <f aca="false">COUNTIF(Base!$D$2:$D$2878,B1391)</f>
        <v>1</v>
      </c>
      <c r="G1391" s="35" t="n">
        <f aca="false">SUMIF(Base!$D$2:$D$2878,B1391,Base!$I$2:$I$2878)</f>
        <v>556.22</v>
      </c>
      <c r="H1391" s="36" t="n">
        <f aca="false">IF($G$2849=0,0,G1391/$G$2849)</f>
        <v>3.65003947264782E-005</v>
      </c>
      <c r="I1391" s="37" t="n">
        <f aca="false">I1390+H1391</f>
        <v>0.982460029721746</v>
      </c>
      <c r="J1391" s="37" t="n">
        <f aca="false">A1391/2840</f>
        <v>0.487323943661972</v>
      </c>
      <c r="K1391" s="32" t="str">
        <f aca="false">IF(I1391&lt;=$E$4,"A",IF(I1391&lt;=$E$5,"B","C"))</f>
        <v>C</v>
      </c>
    </row>
    <row r="1392" customFormat="false" ht="15" hidden="false" customHeight="false" outlineLevel="0" collapsed="false">
      <c r="A1392" s="32" t="n">
        <v>1385</v>
      </c>
      <c r="B1392" s="33" t="n">
        <v>1063862</v>
      </c>
      <c r="C1392" s="34" t="s">
        <v>2855</v>
      </c>
      <c r="D1392" s="34" t="s">
        <v>2856</v>
      </c>
      <c r="E1392" s="34" t="s">
        <v>247</v>
      </c>
      <c r="F1392" s="32" t="n">
        <f aca="false">COUNTIF(Base!$D$2:$D$2878,B1392)</f>
        <v>1</v>
      </c>
      <c r="G1392" s="35" t="n">
        <f aca="false">SUMIF(Base!$D$2:$D$2878,B1392,Base!$I$2:$I$2878)</f>
        <v>555.5</v>
      </c>
      <c r="H1392" s="36" t="n">
        <f aca="false">IF($G$2849=0,0,G1392/$G$2849)</f>
        <v>3.64531467235242E-005</v>
      </c>
      <c r="I1392" s="37" t="n">
        <f aca="false">I1391+H1392</f>
        <v>0.98249648286847</v>
      </c>
      <c r="J1392" s="37" t="n">
        <f aca="false">A1392/2840</f>
        <v>0.487676056338028</v>
      </c>
      <c r="K1392" s="32" t="str">
        <f aca="false">IF(I1392&lt;=$E$4,"A",IF(I1392&lt;=$E$5,"B","C"))</f>
        <v>C</v>
      </c>
    </row>
    <row r="1393" customFormat="false" ht="15" hidden="false" customHeight="false" outlineLevel="0" collapsed="false">
      <c r="A1393" s="32" t="n">
        <v>1386</v>
      </c>
      <c r="B1393" s="33" t="n">
        <v>1110723</v>
      </c>
      <c r="C1393" s="34" t="s">
        <v>2857</v>
      </c>
      <c r="D1393" s="34" t="s">
        <v>2858</v>
      </c>
      <c r="E1393" s="34" t="s">
        <v>38</v>
      </c>
      <c r="F1393" s="32" t="n">
        <f aca="false">COUNTIF(Base!$D$2:$D$2878,B1393)</f>
        <v>1</v>
      </c>
      <c r="G1393" s="35" t="n">
        <f aca="false">SUMIF(Base!$D$2:$D$2878,B1393,Base!$I$2:$I$2878)</f>
        <v>552.8</v>
      </c>
      <c r="H1393" s="36" t="n">
        <f aca="false">IF($G$2849=0,0,G1393/$G$2849)</f>
        <v>3.62759667124467E-005</v>
      </c>
      <c r="I1393" s="37" t="n">
        <f aca="false">I1392+H1393</f>
        <v>0.982532758835182</v>
      </c>
      <c r="J1393" s="37" t="n">
        <f aca="false">A1393/2840</f>
        <v>0.488028169014085</v>
      </c>
      <c r="K1393" s="32" t="str">
        <f aca="false">IF(I1393&lt;=$E$4,"A",IF(I1393&lt;=$E$5,"B","C"))</f>
        <v>C</v>
      </c>
    </row>
    <row r="1394" customFormat="false" ht="15" hidden="false" customHeight="false" outlineLevel="0" collapsed="false">
      <c r="A1394" s="32" t="n">
        <v>1387</v>
      </c>
      <c r="B1394" s="33" t="n">
        <v>1464795</v>
      </c>
      <c r="C1394" s="34" t="s">
        <v>2859</v>
      </c>
      <c r="D1394" s="34" t="s">
        <v>2860</v>
      </c>
      <c r="E1394" s="34" t="s">
        <v>100</v>
      </c>
      <c r="F1394" s="32" t="n">
        <f aca="false">COUNTIF(Base!$D$2:$D$2878,B1394)</f>
        <v>1</v>
      </c>
      <c r="G1394" s="35" t="n">
        <f aca="false">SUMIF(Base!$D$2:$D$2878,B1394,Base!$I$2:$I$2878)</f>
        <v>552</v>
      </c>
      <c r="H1394" s="36" t="n">
        <f aca="false">IF($G$2849=0,0,G1394/$G$2849)</f>
        <v>3.62234689313868E-005</v>
      </c>
      <c r="I1394" s="37" t="n">
        <f aca="false">I1393+H1394</f>
        <v>0.982568982304114</v>
      </c>
      <c r="J1394" s="37" t="n">
        <f aca="false">A1394/2840</f>
        <v>0.488380281690141</v>
      </c>
      <c r="K1394" s="32" t="str">
        <f aca="false">IF(I1394&lt;=$E$4,"A",IF(I1394&lt;=$E$5,"B","C"))</f>
        <v>C</v>
      </c>
    </row>
    <row r="1395" customFormat="false" ht="15" hidden="false" customHeight="false" outlineLevel="0" collapsed="false">
      <c r="A1395" s="32" t="n">
        <v>1388</v>
      </c>
      <c r="B1395" s="33" t="n">
        <v>1611642</v>
      </c>
      <c r="C1395" s="34" t="s">
        <v>2861</v>
      </c>
      <c r="D1395" s="34" t="s">
        <v>2862</v>
      </c>
      <c r="E1395" s="34" t="s">
        <v>130</v>
      </c>
      <c r="F1395" s="32" t="n">
        <f aca="false">COUNTIF(Base!$D$2:$D$2878,B1395)</f>
        <v>1</v>
      </c>
      <c r="G1395" s="35" t="n">
        <f aca="false">SUMIF(Base!$D$2:$D$2878,B1395,Base!$I$2:$I$2878)</f>
        <v>552</v>
      </c>
      <c r="H1395" s="36" t="n">
        <f aca="false">IF($G$2849=0,0,G1395/$G$2849)</f>
        <v>3.62234689313868E-005</v>
      </c>
      <c r="I1395" s="37" t="n">
        <f aca="false">I1394+H1395</f>
        <v>0.982605205773045</v>
      </c>
      <c r="J1395" s="37" t="n">
        <f aca="false">A1395/2840</f>
        <v>0.488732394366197</v>
      </c>
      <c r="K1395" s="32" t="str">
        <f aca="false">IF(I1395&lt;=$E$4,"A",IF(I1395&lt;=$E$5,"B","C"))</f>
        <v>C</v>
      </c>
    </row>
    <row r="1396" customFormat="false" ht="15" hidden="false" customHeight="false" outlineLevel="0" collapsed="false">
      <c r="A1396" s="32" t="n">
        <v>1389</v>
      </c>
      <c r="B1396" s="33" t="n">
        <v>141713</v>
      </c>
      <c r="C1396" s="34" t="s">
        <v>2863</v>
      </c>
      <c r="D1396" s="34" t="s">
        <v>2864</v>
      </c>
      <c r="E1396" s="34" t="s">
        <v>1095</v>
      </c>
      <c r="F1396" s="32" t="n">
        <f aca="false">COUNTIF(Base!$D$2:$D$2878,B1396)</f>
        <v>1</v>
      </c>
      <c r="G1396" s="35" t="n">
        <f aca="false">SUMIF(Base!$D$2:$D$2878,B1396,Base!$I$2:$I$2878)</f>
        <v>551.48</v>
      </c>
      <c r="H1396" s="36" t="n">
        <f aca="false">IF($G$2849=0,0,G1396/$G$2849)</f>
        <v>3.61893453736978E-005</v>
      </c>
      <c r="I1396" s="37" t="n">
        <f aca="false">I1395+H1396</f>
        <v>0.982641395118419</v>
      </c>
      <c r="J1396" s="37" t="n">
        <f aca="false">A1396/2840</f>
        <v>0.489084507042254</v>
      </c>
      <c r="K1396" s="32" t="str">
        <f aca="false">IF(I1396&lt;=$E$4,"A",IF(I1396&lt;=$E$5,"B","C"))</f>
        <v>C</v>
      </c>
    </row>
    <row r="1397" customFormat="false" ht="15" hidden="false" customHeight="false" outlineLevel="0" collapsed="false">
      <c r="A1397" s="32" t="n">
        <v>1390</v>
      </c>
      <c r="B1397" s="33" t="n">
        <v>225662</v>
      </c>
      <c r="C1397" s="34" t="s">
        <v>2865</v>
      </c>
      <c r="D1397" s="34" t="s">
        <v>2866</v>
      </c>
      <c r="E1397" s="34" t="s">
        <v>360</v>
      </c>
      <c r="F1397" s="32" t="n">
        <f aca="false">COUNTIF(Base!$D$2:$D$2878,B1397)</f>
        <v>1</v>
      </c>
      <c r="G1397" s="35" t="n">
        <f aca="false">SUMIF(Base!$D$2:$D$2878,B1397,Base!$I$2:$I$2878)</f>
        <v>550</v>
      </c>
      <c r="H1397" s="36" t="n">
        <f aca="false">IF($G$2849=0,0,G1397/$G$2849)</f>
        <v>3.60922244787368E-005</v>
      </c>
      <c r="I1397" s="37" t="n">
        <f aca="false">I1396+H1397</f>
        <v>0.982677487342898</v>
      </c>
      <c r="J1397" s="37" t="n">
        <f aca="false">A1397/2840</f>
        <v>0.48943661971831</v>
      </c>
      <c r="K1397" s="32" t="str">
        <f aca="false">IF(I1397&lt;=$E$4,"A",IF(I1397&lt;=$E$5,"B","C"))</f>
        <v>C</v>
      </c>
    </row>
    <row r="1398" customFormat="false" ht="15" hidden="false" customHeight="false" outlineLevel="0" collapsed="false">
      <c r="A1398" s="32" t="n">
        <v>1391</v>
      </c>
      <c r="B1398" s="33" t="n">
        <v>284062</v>
      </c>
      <c r="C1398" s="34" t="s">
        <v>2867</v>
      </c>
      <c r="D1398" s="34" t="s">
        <v>2868</v>
      </c>
      <c r="E1398" s="34" t="s">
        <v>130</v>
      </c>
      <c r="F1398" s="32" t="n">
        <f aca="false">COUNTIF(Base!$D$2:$D$2878,B1398)</f>
        <v>1</v>
      </c>
      <c r="G1398" s="35" t="n">
        <f aca="false">SUMIF(Base!$D$2:$D$2878,B1398,Base!$I$2:$I$2878)</f>
        <v>550</v>
      </c>
      <c r="H1398" s="36" t="n">
        <f aca="false">IF($G$2849=0,0,G1398/$G$2849)</f>
        <v>3.60922244787368E-005</v>
      </c>
      <c r="I1398" s="37" t="n">
        <f aca="false">I1397+H1398</f>
        <v>0.982713579567376</v>
      </c>
      <c r="J1398" s="37" t="n">
        <f aca="false">A1398/2840</f>
        <v>0.489788732394366</v>
      </c>
      <c r="K1398" s="32" t="str">
        <f aca="false">IF(I1398&lt;=$E$4,"A",IF(I1398&lt;=$E$5,"B","C"))</f>
        <v>C</v>
      </c>
    </row>
    <row r="1399" customFormat="false" ht="15" hidden="false" customHeight="false" outlineLevel="0" collapsed="false">
      <c r="A1399" s="32" t="n">
        <v>1392</v>
      </c>
      <c r="B1399" s="33" t="n">
        <v>731639</v>
      </c>
      <c r="C1399" s="34" t="s">
        <v>2869</v>
      </c>
      <c r="D1399" s="34" t="s">
        <v>2870</v>
      </c>
      <c r="E1399" s="34" t="s">
        <v>54</v>
      </c>
      <c r="F1399" s="32" t="n">
        <f aca="false">COUNTIF(Base!$D$2:$D$2878,B1399)</f>
        <v>1</v>
      </c>
      <c r="G1399" s="35" t="n">
        <f aca="false">SUMIF(Base!$D$2:$D$2878,B1399,Base!$I$2:$I$2878)</f>
        <v>550</v>
      </c>
      <c r="H1399" s="36" t="n">
        <f aca="false">IF($G$2849=0,0,G1399/$G$2849)</f>
        <v>3.60922244787368E-005</v>
      </c>
      <c r="I1399" s="37" t="n">
        <f aca="false">I1398+H1399</f>
        <v>0.982749671791855</v>
      </c>
      <c r="J1399" s="37" t="n">
        <f aca="false">A1399/2840</f>
        <v>0.490140845070423</v>
      </c>
      <c r="K1399" s="32" t="str">
        <f aca="false">IF(I1399&lt;=$E$4,"A",IF(I1399&lt;=$E$5,"B","C"))</f>
        <v>C</v>
      </c>
    </row>
    <row r="1400" customFormat="false" ht="15" hidden="false" customHeight="false" outlineLevel="0" collapsed="false">
      <c r="A1400" s="32" t="n">
        <v>1393</v>
      </c>
      <c r="B1400" s="33" t="n">
        <v>1080496</v>
      </c>
      <c r="C1400" s="34" t="s">
        <v>2871</v>
      </c>
      <c r="D1400" s="34" t="s">
        <v>2872</v>
      </c>
      <c r="E1400" s="34" t="s">
        <v>130</v>
      </c>
      <c r="F1400" s="32" t="n">
        <f aca="false">COUNTIF(Base!$D$2:$D$2878,B1400)</f>
        <v>1</v>
      </c>
      <c r="G1400" s="35" t="n">
        <f aca="false">SUMIF(Base!$D$2:$D$2878,B1400,Base!$I$2:$I$2878)</f>
        <v>550</v>
      </c>
      <c r="H1400" s="36" t="n">
        <f aca="false">IF($G$2849=0,0,G1400/$G$2849)</f>
        <v>3.60922244787368E-005</v>
      </c>
      <c r="I1400" s="37" t="n">
        <f aca="false">I1399+H1400</f>
        <v>0.982785764016334</v>
      </c>
      <c r="J1400" s="37" t="n">
        <f aca="false">A1400/2840</f>
        <v>0.490492957746479</v>
      </c>
      <c r="K1400" s="32" t="str">
        <f aca="false">IF(I1400&lt;=$E$4,"A",IF(I1400&lt;=$E$5,"B","C"))</f>
        <v>C</v>
      </c>
    </row>
    <row r="1401" customFormat="false" ht="15" hidden="false" customHeight="false" outlineLevel="0" collapsed="false">
      <c r="A1401" s="32" t="n">
        <v>1394</v>
      </c>
      <c r="B1401" s="33" t="n">
        <v>34850</v>
      </c>
      <c r="C1401" s="34" t="s">
        <v>2873</v>
      </c>
      <c r="D1401" s="34" t="s">
        <v>2874</v>
      </c>
      <c r="E1401" s="34" t="s">
        <v>130</v>
      </c>
      <c r="F1401" s="32" t="n">
        <f aca="false">COUNTIF(Base!$D$2:$D$2878,B1401)</f>
        <v>1</v>
      </c>
      <c r="G1401" s="35" t="n">
        <f aca="false">SUMIF(Base!$D$2:$D$2878,B1401,Base!$I$2:$I$2878)</f>
        <v>547.88</v>
      </c>
      <c r="H1401" s="36" t="n">
        <f aca="false">IF($G$2849=0,0,G1401/$G$2849)</f>
        <v>3.59531053589279E-005</v>
      </c>
      <c r="I1401" s="37" t="n">
        <f aca="false">I1400+H1401</f>
        <v>0.982821717121693</v>
      </c>
      <c r="J1401" s="37" t="n">
        <f aca="false">A1401/2840</f>
        <v>0.490845070422535</v>
      </c>
      <c r="K1401" s="32" t="str">
        <f aca="false">IF(I1401&lt;=$E$4,"A",IF(I1401&lt;=$E$5,"B","C"))</f>
        <v>C</v>
      </c>
    </row>
    <row r="1402" customFormat="false" ht="15" hidden="false" customHeight="false" outlineLevel="0" collapsed="false">
      <c r="A1402" s="32" t="n">
        <v>1395</v>
      </c>
      <c r="B1402" s="33" t="n">
        <v>1330237</v>
      </c>
      <c r="C1402" s="34" t="s">
        <v>2875</v>
      </c>
      <c r="D1402" s="34" t="s">
        <v>2876</v>
      </c>
      <c r="E1402" s="34" t="s">
        <v>189</v>
      </c>
      <c r="F1402" s="32" t="n">
        <f aca="false">COUNTIF(Base!$D$2:$D$2878,B1402)</f>
        <v>1</v>
      </c>
      <c r="G1402" s="35" t="n">
        <f aca="false">SUMIF(Base!$D$2:$D$2878,B1402,Base!$I$2:$I$2878)</f>
        <v>546</v>
      </c>
      <c r="H1402" s="36" t="n">
        <f aca="false">IF($G$2849=0,0,G1402/$G$2849)</f>
        <v>3.58297355734369E-005</v>
      </c>
      <c r="I1402" s="37" t="n">
        <f aca="false">I1401+H1402</f>
        <v>0.982857546857266</v>
      </c>
      <c r="J1402" s="37" t="n">
        <f aca="false">A1402/2840</f>
        <v>0.491197183098592</v>
      </c>
      <c r="K1402" s="32" t="str">
        <f aca="false">IF(I1402&lt;=$E$4,"A",IF(I1402&lt;=$E$5,"B","C"))</f>
        <v>C</v>
      </c>
    </row>
    <row r="1403" customFormat="false" ht="15" hidden="false" customHeight="false" outlineLevel="0" collapsed="false">
      <c r="A1403" s="32" t="n">
        <v>1396</v>
      </c>
      <c r="B1403" s="33" t="n">
        <v>1092221</v>
      </c>
      <c r="C1403" s="34" t="s">
        <v>2877</v>
      </c>
      <c r="D1403" s="34" t="s">
        <v>2878</v>
      </c>
      <c r="E1403" s="34" t="s">
        <v>1618</v>
      </c>
      <c r="F1403" s="32" t="n">
        <f aca="false">COUNTIF(Base!$D$2:$D$2878,B1403)</f>
        <v>1</v>
      </c>
      <c r="G1403" s="35" t="n">
        <f aca="false">SUMIF(Base!$D$2:$D$2878,B1403,Base!$I$2:$I$2878)</f>
        <v>545.3786</v>
      </c>
      <c r="H1403" s="36" t="n">
        <f aca="false">IF($G$2849=0,0,G1403/$G$2849)</f>
        <v>3.57889579219986E-005</v>
      </c>
      <c r="I1403" s="37" t="n">
        <f aca="false">I1402+H1403</f>
        <v>0.982893335815188</v>
      </c>
      <c r="J1403" s="37" t="n">
        <f aca="false">A1403/2840</f>
        <v>0.491549295774648</v>
      </c>
      <c r="K1403" s="32" t="str">
        <f aca="false">IF(I1403&lt;=$E$4,"A",IF(I1403&lt;=$E$5,"B","C"))</f>
        <v>C</v>
      </c>
    </row>
    <row r="1404" customFormat="false" ht="15" hidden="false" customHeight="false" outlineLevel="0" collapsed="false">
      <c r="A1404" s="32" t="n">
        <v>1397</v>
      </c>
      <c r="B1404" s="33" t="n">
        <v>1327777</v>
      </c>
      <c r="C1404" s="34" t="s">
        <v>2879</v>
      </c>
      <c r="D1404" s="34" t="s">
        <v>2880</v>
      </c>
      <c r="E1404" s="34" t="s">
        <v>54</v>
      </c>
      <c r="F1404" s="32" t="n">
        <f aca="false">COUNTIF(Base!$D$2:$D$2878,B1404)</f>
        <v>1</v>
      </c>
      <c r="G1404" s="35" t="n">
        <f aca="false">SUMIF(Base!$D$2:$D$2878,B1404,Base!$I$2:$I$2878)</f>
        <v>545</v>
      </c>
      <c r="H1404" s="36" t="n">
        <f aca="false">IF($G$2849=0,0,G1404/$G$2849)</f>
        <v>3.57641133471119E-005</v>
      </c>
      <c r="I1404" s="37" t="n">
        <f aca="false">I1403+H1404</f>
        <v>0.982929099928535</v>
      </c>
      <c r="J1404" s="37" t="n">
        <f aca="false">A1404/2840</f>
        <v>0.491901408450704</v>
      </c>
      <c r="K1404" s="32" t="str">
        <f aca="false">IF(I1404&lt;=$E$4,"A",IF(I1404&lt;=$E$5,"B","C"))</f>
        <v>C</v>
      </c>
    </row>
    <row r="1405" customFormat="false" ht="15" hidden="false" customHeight="false" outlineLevel="0" collapsed="false">
      <c r="A1405" s="32" t="n">
        <v>1398</v>
      </c>
      <c r="B1405" s="33" t="n">
        <v>24085</v>
      </c>
      <c r="C1405" s="34" t="s">
        <v>2881</v>
      </c>
      <c r="D1405" s="34" t="s">
        <v>2882</v>
      </c>
      <c r="E1405" s="34" t="s">
        <v>100</v>
      </c>
      <c r="F1405" s="32" t="n">
        <f aca="false">COUNTIF(Base!$D$2:$D$2878,B1405)</f>
        <v>1</v>
      </c>
      <c r="G1405" s="35" t="n">
        <f aca="false">SUMIF(Base!$D$2:$D$2878,B1405,Base!$I$2:$I$2878)</f>
        <v>544</v>
      </c>
      <c r="H1405" s="36" t="n">
        <f aca="false">IF($G$2849=0,0,G1405/$G$2849)</f>
        <v>3.5698491120787E-005</v>
      </c>
      <c r="I1405" s="37" t="n">
        <f aca="false">I1404+H1405</f>
        <v>0.982964798419656</v>
      </c>
      <c r="J1405" s="37" t="n">
        <f aca="false">A1405/2840</f>
        <v>0.492253521126761</v>
      </c>
      <c r="K1405" s="32" t="str">
        <f aca="false">IF(I1405&lt;=$E$4,"A",IF(I1405&lt;=$E$5,"B","C"))</f>
        <v>C</v>
      </c>
    </row>
    <row r="1406" customFormat="false" ht="15" hidden="false" customHeight="false" outlineLevel="0" collapsed="false">
      <c r="A1406" s="32" t="n">
        <v>1399</v>
      </c>
      <c r="B1406" s="33" t="n">
        <v>141327</v>
      </c>
      <c r="C1406" s="34" t="s">
        <v>2883</v>
      </c>
      <c r="D1406" s="34" t="s">
        <v>2884</v>
      </c>
      <c r="E1406" s="34" t="s">
        <v>247</v>
      </c>
      <c r="F1406" s="32" t="n">
        <f aca="false">COUNTIF(Base!$D$2:$D$2878,B1406)</f>
        <v>1</v>
      </c>
      <c r="G1406" s="35" t="n">
        <f aca="false">SUMIF(Base!$D$2:$D$2878,B1406,Base!$I$2:$I$2878)</f>
        <v>544</v>
      </c>
      <c r="H1406" s="36" t="n">
        <f aca="false">IF($G$2849=0,0,G1406/$G$2849)</f>
        <v>3.5698491120787E-005</v>
      </c>
      <c r="I1406" s="37" t="n">
        <f aca="false">I1405+H1406</f>
        <v>0.983000496910777</v>
      </c>
      <c r="J1406" s="37" t="n">
        <f aca="false">A1406/2840</f>
        <v>0.492605633802817</v>
      </c>
      <c r="K1406" s="32" t="str">
        <f aca="false">IF(I1406&lt;=$E$4,"A",IF(I1406&lt;=$E$5,"B","C"))</f>
        <v>C</v>
      </c>
    </row>
    <row r="1407" customFormat="false" ht="15" hidden="false" customHeight="false" outlineLevel="0" collapsed="false">
      <c r="A1407" s="32" t="n">
        <v>1400</v>
      </c>
      <c r="B1407" s="33" t="n">
        <v>847684</v>
      </c>
      <c r="C1407" s="34" t="s">
        <v>2885</v>
      </c>
      <c r="D1407" s="34" t="s">
        <v>2886</v>
      </c>
      <c r="E1407" s="34" t="s">
        <v>35</v>
      </c>
      <c r="F1407" s="32" t="n">
        <f aca="false">COUNTIF(Base!$D$2:$D$2878,B1407)</f>
        <v>1</v>
      </c>
      <c r="G1407" s="35" t="n">
        <f aca="false">SUMIF(Base!$D$2:$D$2878,B1407,Base!$I$2:$I$2878)</f>
        <v>540</v>
      </c>
      <c r="H1407" s="36" t="n">
        <f aca="false">IF($G$2849=0,0,G1407/$G$2849)</f>
        <v>3.54360022154871E-005</v>
      </c>
      <c r="I1407" s="37" t="n">
        <f aca="false">I1406+H1407</f>
        <v>0.983035932912993</v>
      </c>
      <c r="J1407" s="37" t="n">
        <f aca="false">A1407/2840</f>
        <v>0.492957746478873</v>
      </c>
      <c r="K1407" s="32" t="str">
        <f aca="false">IF(I1407&lt;=$E$4,"A",IF(I1407&lt;=$E$5,"B","C"))</f>
        <v>C</v>
      </c>
    </row>
    <row r="1408" customFormat="false" ht="15" hidden="false" customHeight="false" outlineLevel="0" collapsed="false">
      <c r="A1408" s="32" t="n">
        <v>1401</v>
      </c>
      <c r="B1408" s="33" t="n">
        <v>1325175</v>
      </c>
      <c r="C1408" s="34" t="s">
        <v>2887</v>
      </c>
      <c r="D1408" s="34" t="s">
        <v>2888</v>
      </c>
      <c r="E1408" s="34" t="s">
        <v>355</v>
      </c>
      <c r="F1408" s="32" t="n">
        <f aca="false">COUNTIF(Base!$D$2:$D$2878,B1408)</f>
        <v>1</v>
      </c>
      <c r="G1408" s="35" t="n">
        <f aca="false">SUMIF(Base!$D$2:$D$2878,B1408,Base!$I$2:$I$2878)</f>
        <v>540</v>
      </c>
      <c r="H1408" s="36" t="n">
        <f aca="false">IF($G$2849=0,0,G1408/$G$2849)</f>
        <v>3.54360022154871E-005</v>
      </c>
      <c r="I1408" s="37" t="n">
        <f aca="false">I1407+H1408</f>
        <v>0.983071368915208</v>
      </c>
      <c r="J1408" s="37" t="n">
        <f aca="false">A1408/2840</f>
        <v>0.49330985915493</v>
      </c>
      <c r="K1408" s="32" t="str">
        <f aca="false">IF(I1408&lt;=$E$4,"A",IF(I1408&lt;=$E$5,"B","C"))</f>
        <v>C</v>
      </c>
    </row>
    <row r="1409" customFormat="false" ht="15" hidden="false" customHeight="false" outlineLevel="0" collapsed="false">
      <c r="A1409" s="32" t="n">
        <v>1402</v>
      </c>
      <c r="B1409" s="33" t="n">
        <v>931587</v>
      </c>
      <c r="C1409" s="34" t="s">
        <v>2889</v>
      </c>
      <c r="D1409" s="34" t="s">
        <v>2890</v>
      </c>
      <c r="E1409" s="34" t="s">
        <v>605</v>
      </c>
      <c r="F1409" s="32" t="n">
        <f aca="false">COUNTIF(Base!$D$2:$D$2878,B1409)</f>
        <v>1</v>
      </c>
      <c r="G1409" s="35" t="n">
        <f aca="false">SUMIF(Base!$D$2:$D$2878,B1409,Base!$I$2:$I$2878)</f>
        <v>539</v>
      </c>
      <c r="H1409" s="36" t="n">
        <f aca="false">IF($G$2849=0,0,G1409/$G$2849)</f>
        <v>3.53703799891621E-005</v>
      </c>
      <c r="I1409" s="37" t="n">
        <f aca="false">I1408+H1409</f>
        <v>0.983106739295197</v>
      </c>
      <c r="J1409" s="37" t="n">
        <f aca="false">A1409/2840</f>
        <v>0.493661971830986</v>
      </c>
      <c r="K1409" s="32" t="str">
        <f aca="false">IF(I1409&lt;=$E$4,"A",IF(I1409&lt;=$E$5,"B","C"))</f>
        <v>C</v>
      </c>
    </row>
    <row r="1410" customFormat="false" ht="15" hidden="false" customHeight="false" outlineLevel="0" collapsed="false">
      <c r="A1410" s="32" t="n">
        <v>1403</v>
      </c>
      <c r="B1410" s="33" t="n">
        <v>1380170</v>
      </c>
      <c r="C1410" s="34" t="s">
        <v>2891</v>
      </c>
      <c r="D1410" s="34" t="s">
        <v>2892</v>
      </c>
      <c r="E1410" s="34" t="s">
        <v>38</v>
      </c>
      <c r="F1410" s="32" t="n">
        <f aca="false">COUNTIF(Base!$D$2:$D$2878,B1410)</f>
        <v>1</v>
      </c>
      <c r="G1410" s="35" t="n">
        <f aca="false">SUMIF(Base!$D$2:$D$2878,B1410,Base!$I$2:$I$2878)</f>
        <v>538.98</v>
      </c>
      <c r="H1410" s="36" t="n">
        <f aca="false">IF($G$2849=0,0,G1410/$G$2849)</f>
        <v>3.53690675446356E-005</v>
      </c>
      <c r="I1410" s="37" t="n">
        <f aca="false">I1409+H1410</f>
        <v>0.983142108362742</v>
      </c>
      <c r="J1410" s="37" t="n">
        <f aca="false">A1410/2840</f>
        <v>0.494014084507042</v>
      </c>
      <c r="K1410" s="32" t="str">
        <f aca="false">IF(I1410&lt;=$E$4,"A",IF(I1410&lt;=$E$5,"B","C"))</f>
        <v>C</v>
      </c>
    </row>
    <row r="1411" customFormat="false" ht="15" hidden="false" customHeight="false" outlineLevel="0" collapsed="false">
      <c r="A1411" s="32" t="n">
        <v>1404</v>
      </c>
      <c r="B1411" s="33" t="n">
        <v>1384865</v>
      </c>
      <c r="C1411" s="34" t="s">
        <v>2893</v>
      </c>
      <c r="D1411" s="34" t="s">
        <v>2894</v>
      </c>
      <c r="E1411" s="34" t="s">
        <v>100</v>
      </c>
      <c r="F1411" s="32" t="n">
        <f aca="false">COUNTIF(Base!$D$2:$D$2878,B1411)</f>
        <v>1</v>
      </c>
      <c r="G1411" s="35" t="n">
        <f aca="false">SUMIF(Base!$D$2:$D$2878,B1411,Base!$I$2:$I$2878)</f>
        <v>538.3</v>
      </c>
      <c r="H1411" s="36" t="n">
        <f aca="false">IF($G$2849=0,0,G1411/$G$2849)</f>
        <v>3.53244444307346E-005</v>
      </c>
      <c r="I1411" s="37" t="n">
        <f aca="false">I1410+H1411</f>
        <v>0.983177432807173</v>
      </c>
      <c r="J1411" s="37" t="n">
        <f aca="false">A1411/2840</f>
        <v>0.494366197183099</v>
      </c>
      <c r="K1411" s="32" t="str">
        <f aca="false">IF(I1411&lt;=$E$4,"A",IF(I1411&lt;=$E$5,"B","C"))</f>
        <v>C</v>
      </c>
    </row>
    <row r="1412" customFormat="false" ht="15" hidden="false" customHeight="false" outlineLevel="0" collapsed="false">
      <c r="A1412" s="32" t="n">
        <v>1405</v>
      </c>
      <c r="B1412" s="33" t="n">
        <v>33578</v>
      </c>
      <c r="C1412" s="34" t="s">
        <v>2895</v>
      </c>
      <c r="D1412" s="34" t="s">
        <v>2896</v>
      </c>
      <c r="E1412" s="34" t="s">
        <v>355</v>
      </c>
      <c r="F1412" s="32" t="n">
        <f aca="false">COUNTIF(Base!$D$2:$D$2878,B1412)</f>
        <v>1</v>
      </c>
      <c r="G1412" s="35" t="n">
        <f aca="false">SUMIF(Base!$D$2:$D$2878,B1412,Base!$I$2:$I$2878)</f>
        <v>536</v>
      </c>
      <c r="H1412" s="36" t="n">
        <f aca="false">IF($G$2849=0,0,G1412/$G$2849)</f>
        <v>3.51735133101871E-005</v>
      </c>
      <c r="I1412" s="37" t="n">
        <f aca="false">I1411+H1412</f>
        <v>0.983212606320483</v>
      </c>
      <c r="J1412" s="37" t="n">
        <f aca="false">A1412/2840</f>
        <v>0.494718309859155</v>
      </c>
      <c r="K1412" s="32" t="str">
        <f aca="false">IF(I1412&lt;=$E$4,"A",IF(I1412&lt;=$E$5,"B","C"))</f>
        <v>C</v>
      </c>
    </row>
    <row r="1413" customFormat="false" ht="15" hidden="false" customHeight="false" outlineLevel="0" collapsed="false">
      <c r="A1413" s="32" t="n">
        <v>1406</v>
      </c>
      <c r="B1413" s="33" t="n">
        <v>219198</v>
      </c>
      <c r="C1413" s="34" t="s">
        <v>2897</v>
      </c>
      <c r="D1413" s="34" t="s">
        <v>2898</v>
      </c>
      <c r="E1413" s="34" t="s">
        <v>192</v>
      </c>
      <c r="F1413" s="32" t="n">
        <f aca="false">COUNTIF(Base!$D$2:$D$2878,B1413)</f>
        <v>1</v>
      </c>
      <c r="G1413" s="35" t="n">
        <f aca="false">SUMIF(Base!$D$2:$D$2878,B1413,Base!$I$2:$I$2878)</f>
        <v>536</v>
      </c>
      <c r="H1413" s="36" t="n">
        <f aca="false">IF($G$2849=0,0,G1413/$G$2849)</f>
        <v>3.51735133101871E-005</v>
      </c>
      <c r="I1413" s="37" t="n">
        <f aca="false">I1412+H1413</f>
        <v>0.983247779833793</v>
      </c>
      <c r="J1413" s="37" t="n">
        <f aca="false">A1413/2840</f>
        <v>0.495070422535211</v>
      </c>
      <c r="K1413" s="32" t="str">
        <f aca="false">IF(I1413&lt;=$E$4,"A",IF(I1413&lt;=$E$5,"B","C"))</f>
        <v>C</v>
      </c>
    </row>
    <row r="1414" customFormat="false" ht="15" hidden="false" customHeight="false" outlineLevel="0" collapsed="false">
      <c r="A1414" s="32" t="n">
        <v>1407</v>
      </c>
      <c r="B1414" s="33" t="n">
        <v>1659863</v>
      </c>
      <c r="C1414" s="34" t="s">
        <v>2899</v>
      </c>
      <c r="D1414" s="34" t="s">
        <v>2900</v>
      </c>
      <c r="E1414" s="34" t="s">
        <v>100</v>
      </c>
      <c r="F1414" s="32" t="n">
        <f aca="false">COUNTIF(Base!$D$2:$D$2878,B1414)</f>
        <v>1</v>
      </c>
      <c r="G1414" s="35" t="n">
        <f aca="false">SUMIF(Base!$D$2:$D$2878,B1414,Base!$I$2:$I$2878)</f>
        <v>535.5</v>
      </c>
      <c r="H1414" s="36" t="n">
        <f aca="false">IF($G$2849=0,0,G1414/$G$2849)</f>
        <v>3.51407021970247E-005</v>
      </c>
      <c r="I1414" s="37" t="n">
        <f aca="false">I1413+H1414</f>
        <v>0.98328292053599</v>
      </c>
      <c r="J1414" s="37" t="n">
        <f aca="false">A1414/2840</f>
        <v>0.495422535211268</v>
      </c>
      <c r="K1414" s="32" t="str">
        <f aca="false">IF(I1414&lt;=$E$4,"A",IF(I1414&lt;=$E$5,"B","C"))</f>
        <v>C</v>
      </c>
    </row>
    <row r="1415" customFormat="false" ht="15" hidden="false" customHeight="false" outlineLevel="0" collapsed="false">
      <c r="A1415" s="32" t="n">
        <v>1408</v>
      </c>
      <c r="B1415" s="33" t="n">
        <v>1383592</v>
      </c>
      <c r="C1415" s="34" t="s">
        <v>2901</v>
      </c>
      <c r="D1415" s="34" t="s">
        <v>2902</v>
      </c>
      <c r="E1415" s="34" t="s">
        <v>100</v>
      </c>
      <c r="F1415" s="32" t="n">
        <f aca="false">COUNTIF(Base!$D$2:$D$2878,B1415)</f>
        <v>1</v>
      </c>
      <c r="G1415" s="35" t="n">
        <f aca="false">SUMIF(Base!$D$2:$D$2878,B1415,Base!$I$2:$I$2878)</f>
        <v>535.36</v>
      </c>
      <c r="H1415" s="36" t="n">
        <f aca="false">IF($G$2849=0,0,G1415/$G$2849)</f>
        <v>3.51315150853392E-005</v>
      </c>
      <c r="I1415" s="37" t="n">
        <f aca="false">I1414+H1415</f>
        <v>0.983318052051075</v>
      </c>
      <c r="J1415" s="37" t="n">
        <f aca="false">A1415/2840</f>
        <v>0.495774647887324</v>
      </c>
      <c r="K1415" s="32" t="str">
        <f aca="false">IF(I1415&lt;=$E$4,"A",IF(I1415&lt;=$E$5,"B","C"))</f>
        <v>C</v>
      </c>
    </row>
    <row r="1416" customFormat="false" ht="15" hidden="false" customHeight="false" outlineLevel="0" collapsed="false">
      <c r="A1416" s="32" t="n">
        <v>1409</v>
      </c>
      <c r="B1416" s="33" t="n">
        <v>960689</v>
      </c>
      <c r="C1416" s="34" t="s">
        <v>2903</v>
      </c>
      <c r="D1416" s="34" t="s">
        <v>2904</v>
      </c>
      <c r="E1416" s="34" t="s">
        <v>189</v>
      </c>
      <c r="F1416" s="32" t="n">
        <f aca="false">COUNTIF(Base!$D$2:$D$2878,B1416)</f>
        <v>1</v>
      </c>
      <c r="G1416" s="35" t="n">
        <f aca="false">SUMIF(Base!$D$2:$D$2878,B1416,Base!$I$2:$I$2878)</f>
        <v>535.16</v>
      </c>
      <c r="H1416" s="36" t="n">
        <f aca="false">IF($G$2849=0,0,G1416/$G$2849)</f>
        <v>3.51183906400742E-005</v>
      </c>
      <c r="I1416" s="37" t="n">
        <f aca="false">I1415+H1416</f>
        <v>0.983353170441715</v>
      </c>
      <c r="J1416" s="37" t="n">
        <f aca="false">A1416/2840</f>
        <v>0.49612676056338</v>
      </c>
      <c r="K1416" s="32" t="str">
        <f aca="false">IF(I1416&lt;=$E$4,"A",IF(I1416&lt;=$E$5,"B","C"))</f>
        <v>C</v>
      </c>
    </row>
    <row r="1417" customFormat="false" ht="15" hidden="false" customHeight="false" outlineLevel="0" collapsed="false">
      <c r="A1417" s="32" t="n">
        <v>1410</v>
      </c>
      <c r="B1417" s="33" t="n">
        <v>1096241</v>
      </c>
      <c r="C1417" s="34" t="s">
        <v>2905</v>
      </c>
      <c r="D1417" s="34" t="s">
        <v>2906</v>
      </c>
      <c r="E1417" s="34" t="s">
        <v>605</v>
      </c>
      <c r="F1417" s="32" t="n">
        <f aca="false">COUNTIF(Base!$D$2:$D$2878,B1417)</f>
        <v>1</v>
      </c>
      <c r="G1417" s="35" t="n">
        <f aca="false">SUMIF(Base!$D$2:$D$2878,B1417,Base!$I$2:$I$2878)</f>
        <v>533.91</v>
      </c>
      <c r="H1417" s="36" t="n">
        <f aca="false">IF($G$2849=0,0,G1417/$G$2849)</f>
        <v>3.50363628571679E-005</v>
      </c>
      <c r="I1417" s="37" t="n">
        <f aca="false">I1416+H1417</f>
        <v>0.983388206804573</v>
      </c>
      <c r="J1417" s="37" t="n">
        <f aca="false">A1417/2840</f>
        <v>0.496478873239437</v>
      </c>
      <c r="K1417" s="32" t="str">
        <f aca="false">IF(I1417&lt;=$E$4,"A",IF(I1417&lt;=$E$5,"B","C"))</f>
        <v>C</v>
      </c>
    </row>
    <row r="1418" customFormat="false" ht="15" hidden="false" customHeight="false" outlineLevel="0" collapsed="false">
      <c r="A1418" s="32" t="n">
        <v>1411</v>
      </c>
      <c r="B1418" s="33" t="n">
        <v>826476</v>
      </c>
      <c r="C1418" s="34" t="s">
        <v>2907</v>
      </c>
      <c r="D1418" s="34" t="s">
        <v>2908</v>
      </c>
      <c r="E1418" s="34" t="s">
        <v>38</v>
      </c>
      <c r="F1418" s="32" t="n">
        <f aca="false">COUNTIF(Base!$D$2:$D$2878,B1418)</f>
        <v>1</v>
      </c>
      <c r="G1418" s="35" t="n">
        <f aca="false">SUMIF(Base!$D$2:$D$2878,B1418,Base!$I$2:$I$2878)</f>
        <v>531.63</v>
      </c>
      <c r="H1418" s="36" t="n">
        <f aca="false">IF($G$2849=0,0,G1418/$G$2849)</f>
        <v>3.4886744181147E-005</v>
      </c>
      <c r="I1418" s="37" t="n">
        <f aca="false">I1417+H1418</f>
        <v>0.983423093548754</v>
      </c>
      <c r="J1418" s="37" t="n">
        <f aca="false">A1418/2840</f>
        <v>0.496830985915493</v>
      </c>
      <c r="K1418" s="32" t="str">
        <f aca="false">IF(I1418&lt;=$E$4,"A",IF(I1418&lt;=$E$5,"B","C"))</f>
        <v>C</v>
      </c>
    </row>
    <row r="1419" customFormat="false" ht="15" hidden="false" customHeight="false" outlineLevel="0" collapsed="false">
      <c r="A1419" s="32" t="n">
        <v>1412</v>
      </c>
      <c r="B1419" s="33" t="n">
        <v>18790</v>
      </c>
      <c r="C1419" s="34" t="s">
        <v>2909</v>
      </c>
      <c r="D1419" s="34" t="s">
        <v>2910</v>
      </c>
      <c r="E1419" s="34" t="s">
        <v>247</v>
      </c>
      <c r="F1419" s="32" t="n">
        <f aca="false">COUNTIF(Base!$D$2:$D$2878,B1419)</f>
        <v>1</v>
      </c>
      <c r="G1419" s="35" t="n">
        <f aca="false">SUMIF(Base!$D$2:$D$2878,B1419,Base!$I$2:$I$2878)</f>
        <v>530.5</v>
      </c>
      <c r="H1419" s="36" t="n">
        <f aca="false">IF($G$2849=0,0,G1419/$G$2849)</f>
        <v>3.48125910653998E-005</v>
      </c>
      <c r="I1419" s="37" t="n">
        <f aca="false">I1418+H1419</f>
        <v>0.983457906139819</v>
      </c>
      <c r="J1419" s="37" t="n">
        <f aca="false">A1419/2840</f>
        <v>0.497183098591549</v>
      </c>
      <c r="K1419" s="32" t="str">
        <f aca="false">IF(I1419&lt;=$E$4,"A",IF(I1419&lt;=$E$5,"B","C"))</f>
        <v>C</v>
      </c>
    </row>
    <row r="1420" customFormat="false" ht="15" hidden="false" customHeight="false" outlineLevel="0" collapsed="false">
      <c r="A1420" s="32" t="n">
        <v>1413</v>
      </c>
      <c r="B1420" s="33" t="n">
        <v>1387993</v>
      </c>
      <c r="C1420" s="34" t="s">
        <v>2911</v>
      </c>
      <c r="D1420" s="34" t="s">
        <v>2912</v>
      </c>
      <c r="E1420" s="34" t="s">
        <v>38</v>
      </c>
      <c r="F1420" s="32" t="n">
        <f aca="false">COUNTIF(Base!$D$2:$D$2878,B1420)</f>
        <v>1</v>
      </c>
      <c r="G1420" s="35" t="n">
        <f aca="false">SUMIF(Base!$D$2:$D$2878,B1420,Base!$I$2:$I$2878)</f>
        <v>525.75</v>
      </c>
      <c r="H1420" s="36" t="n">
        <f aca="false">IF($G$2849=0,0,G1420/$G$2849)</f>
        <v>3.45008854903561E-005</v>
      </c>
      <c r="I1420" s="37" t="n">
        <f aca="false">I1419+H1420</f>
        <v>0.98349240702531</v>
      </c>
      <c r="J1420" s="37" t="n">
        <f aca="false">A1420/2840</f>
        <v>0.497535211267606</v>
      </c>
      <c r="K1420" s="32" t="str">
        <f aca="false">IF(I1420&lt;=$E$4,"A",IF(I1420&lt;=$E$5,"B","C"))</f>
        <v>C</v>
      </c>
    </row>
    <row r="1421" customFormat="false" ht="15" hidden="false" customHeight="false" outlineLevel="0" collapsed="false">
      <c r="A1421" s="32" t="n">
        <v>1414</v>
      </c>
      <c r="B1421" s="33" t="n">
        <v>275542</v>
      </c>
      <c r="C1421" s="34" t="s">
        <v>2913</v>
      </c>
      <c r="D1421" s="34" t="s">
        <v>2914</v>
      </c>
      <c r="E1421" s="34" t="s">
        <v>38</v>
      </c>
      <c r="F1421" s="32" t="n">
        <f aca="false">COUNTIF(Base!$D$2:$D$2878,B1421)</f>
        <v>1</v>
      </c>
      <c r="G1421" s="35" t="n">
        <f aca="false">SUMIF(Base!$D$2:$D$2878,B1421,Base!$I$2:$I$2878)</f>
        <v>525.72</v>
      </c>
      <c r="H1421" s="36" t="n">
        <f aca="false">IF($G$2849=0,0,G1421/$G$2849)</f>
        <v>3.44989168235664E-005</v>
      </c>
      <c r="I1421" s="37" t="n">
        <f aca="false">I1420+H1421</f>
        <v>0.983526905942133</v>
      </c>
      <c r="J1421" s="37" t="n">
        <f aca="false">A1421/2840</f>
        <v>0.497887323943662</v>
      </c>
      <c r="K1421" s="32" t="str">
        <f aca="false">IF(I1421&lt;=$E$4,"A",IF(I1421&lt;=$E$5,"B","C"))</f>
        <v>C</v>
      </c>
    </row>
    <row r="1422" customFormat="false" ht="15" hidden="false" customHeight="false" outlineLevel="0" collapsed="false">
      <c r="A1422" s="32" t="n">
        <v>1415</v>
      </c>
      <c r="B1422" s="33" t="n">
        <v>24359</v>
      </c>
      <c r="C1422" s="34" t="s">
        <v>2915</v>
      </c>
      <c r="D1422" s="34" t="s">
        <v>2916</v>
      </c>
      <c r="E1422" s="34" t="s">
        <v>189</v>
      </c>
      <c r="F1422" s="32" t="n">
        <f aca="false">COUNTIF(Base!$D$2:$D$2878,B1422)</f>
        <v>1</v>
      </c>
      <c r="G1422" s="35" t="n">
        <f aca="false">SUMIF(Base!$D$2:$D$2878,B1422,Base!$I$2:$I$2878)</f>
        <v>525</v>
      </c>
      <c r="H1422" s="36" t="n">
        <f aca="false">IF($G$2849=0,0,G1422/$G$2849)</f>
        <v>3.44516688206124E-005</v>
      </c>
      <c r="I1422" s="37" t="n">
        <f aca="false">I1421+H1422</f>
        <v>0.983561357610954</v>
      </c>
      <c r="J1422" s="37" t="n">
        <f aca="false">A1422/2840</f>
        <v>0.498239436619718</v>
      </c>
      <c r="K1422" s="32" t="str">
        <f aca="false">IF(I1422&lt;=$E$4,"A",IF(I1422&lt;=$E$5,"B","C"))</f>
        <v>C</v>
      </c>
    </row>
    <row r="1423" customFormat="false" ht="15" hidden="false" customHeight="false" outlineLevel="0" collapsed="false">
      <c r="A1423" s="32" t="n">
        <v>1416</v>
      </c>
      <c r="B1423" s="33" t="n">
        <v>33853</v>
      </c>
      <c r="C1423" s="34" t="s">
        <v>2917</v>
      </c>
      <c r="D1423" s="34" t="s">
        <v>2918</v>
      </c>
      <c r="E1423" s="34" t="s">
        <v>130</v>
      </c>
      <c r="F1423" s="32" t="n">
        <f aca="false">COUNTIF(Base!$D$2:$D$2878,B1423)</f>
        <v>1</v>
      </c>
      <c r="G1423" s="35" t="n">
        <f aca="false">SUMIF(Base!$D$2:$D$2878,B1423,Base!$I$2:$I$2878)</f>
        <v>525</v>
      </c>
      <c r="H1423" s="36" t="n">
        <f aca="false">IF($G$2849=0,0,G1423/$G$2849)</f>
        <v>3.44516688206124E-005</v>
      </c>
      <c r="I1423" s="37" t="n">
        <f aca="false">I1422+H1423</f>
        <v>0.983595809279774</v>
      </c>
      <c r="J1423" s="37" t="n">
        <f aca="false">A1423/2840</f>
        <v>0.498591549295775</v>
      </c>
      <c r="K1423" s="32" t="str">
        <f aca="false">IF(I1423&lt;=$E$4,"A",IF(I1423&lt;=$E$5,"B","C"))</f>
        <v>C</v>
      </c>
    </row>
    <row r="1424" customFormat="false" ht="15" hidden="false" customHeight="false" outlineLevel="0" collapsed="false">
      <c r="A1424" s="32" t="n">
        <v>1417</v>
      </c>
      <c r="B1424" s="33" t="n">
        <v>227369</v>
      </c>
      <c r="C1424" s="34" t="s">
        <v>2919</v>
      </c>
      <c r="D1424" s="34" t="s">
        <v>2920</v>
      </c>
      <c r="E1424" s="34" t="s">
        <v>189</v>
      </c>
      <c r="F1424" s="32" t="n">
        <f aca="false">COUNTIF(Base!$D$2:$D$2878,B1424)</f>
        <v>1</v>
      </c>
      <c r="G1424" s="35" t="n">
        <f aca="false">SUMIF(Base!$D$2:$D$2878,B1424,Base!$I$2:$I$2878)</f>
        <v>525</v>
      </c>
      <c r="H1424" s="36" t="n">
        <f aca="false">IF($G$2849=0,0,G1424/$G$2849)</f>
        <v>3.44516688206124E-005</v>
      </c>
      <c r="I1424" s="37" t="n">
        <f aca="false">I1423+H1424</f>
        <v>0.983630260948595</v>
      </c>
      <c r="J1424" s="37" t="n">
        <f aca="false">A1424/2840</f>
        <v>0.498943661971831</v>
      </c>
      <c r="K1424" s="32" t="str">
        <f aca="false">IF(I1424&lt;=$E$4,"A",IF(I1424&lt;=$E$5,"B","C"))</f>
        <v>C</v>
      </c>
    </row>
    <row r="1425" customFormat="false" ht="15" hidden="false" customHeight="false" outlineLevel="0" collapsed="false">
      <c r="A1425" s="32" t="n">
        <v>1418</v>
      </c>
      <c r="B1425" s="33" t="n">
        <v>22004</v>
      </c>
      <c r="C1425" s="34" t="s">
        <v>2921</v>
      </c>
      <c r="D1425" s="34" t="s">
        <v>2922</v>
      </c>
      <c r="E1425" s="34" t="s">
        <v>189</v>
      </c>
      <c r="F1425" s="32" t="n">
        <f aca="false">COUNTIF(Base!$D$2:$D$2878,B1425)</f>
        <v>1</v>
      </c>
      <c r="G1425" s="35" t="n">
        <f aca="false">SUMIF(Base!$D$2:$D$2878,B1425,Base!$I$2:$I$2878)</f>
        <v>523.77</v>
      </c>
      <c r="H1425" s="36" t="n">
        <f aca="false">IF($G$2849=0,0,G1425/$G$2849)</f>
        <v>3.43709534822327E-005</v>
      </c>
      <c r="I1425" s="37" t="n">
        <f aca="false">I1424+H1425</f>
        <v>0.983664631902077</v>
      </c>
      <c r="J1425" s="37" t="n">
        <f aca="false">A1425/2840</f>
        <v>0.499295774647887</v>
      </c>
      <c r="K1425" s="32" t="str">
        <f aca="false">IF(I1425&lt;=$E$4,"A",IF(I1425&lt;=$E$5,"B","C"))</f>
        <v>C</v>
      </c>
    </row>
    <row r="1426" customFormat="false" ht="15" hidden="false" customHeight="false" outlineLevel="0" collapsed="false">
      <c r="A1426" s="32" t="n">
        <v>1419</v>
      </c>
      <c r="B1426" s="33" t="n">
        <v>23712</v>
      </c>
      <c r="C1426" s="34" t="s">
        <v>2923</v>
      </c>
      <c r="D1426" s="34" t="s">
        <v>2924</v>
      </c>
      <c r="E1426" s="34" t="s">
        <v>1618</v>
      </c>
      <c r="F1426" s="32" t="n">
        <f aca="false">COUNTIF(Base!$D$2:$D$2878,B1426)</f>
        <v>1</v>
      </c>
      <c r="G1426" s="35" t="n">
        <f aca="false">SUMIF(Base!$D$2:$D$2878,B1426,Base!$I$2:$I$2878)</f>
        <v>523.5</v>
      </c>
      <c r="H1426" s="36" t="n">
        <f aca="false">IF($G$2849=0,0,G1426/$G$2849)</f>
        <v>3.43532354811249E-005</v>
      </c>
      <c r="I1426" s="37" t="n">
        <f aca="false">I1425+H1426</f>
        <v>0.983698985137559</v>
      </c>
      <c r="J1426" s="37" t="n">
        <f aca="false">A1426/2840</f>
        <v>0.499647887323944</v>
      </c>
      <c r="K1426" s="32" t="str">
        <f aca="false">IF(I1426&lt;=$E$4,"A",IF(I1426&lt;=$E$5,"B","C"))</f>
        <v>C</v>
      </c>
    </row>
    <row r="1427" customFormat="false" ht="15" hidden="false" customHeight="false" outlineLevel="0" collapsed="false">
      <c r="A1427" s="32" t="n">
        <v>1420</v>
      </c>
      <c r="B1427" s="33" t="n">
        <v>1465401</v>
      </c>
      <c r="C1427" s="34" t="s">
        <v>2925</v>
      </c>
      <c r="D1427" s="34" t="s">
        <v>2926</v>
      </c>
      <c r="E1427" s="34" t="s">
        <v>32</v>
      </c>
      <c r="F1427" s="32" t="n">
        <f aca="false">COUNTIF(Base!$D$2:$D$2878,B1427)</f>
        <v>1</v>
      </c>
      <c r="G1427" s="35" t="n">
        <f aca="false">SUMIF(Base!$D$2:$D$2878,B1427,Base!$I$2:$I$2878)</f>
        <v>523.05</v>
      </c>
      <c r="H1427" s="36" t="n">
        <f aca="false">IF($G$2849=0,0,G1427/$G$2849)</f>
        <v>3.43237054792787E-005</v>
      </c>
      <c r="I1427" s="37" t="n">
        <f aca="false">I1426+H1427</f>
        <v>0.983733308843038</v>
      </c>
      <c r="J1427" s="37" t="n">
        <f aca="false">A1427/2840</f>
        <v>0.5</v>
      </c>
      <c r="K1427" s="32" t="str">
        <f aca="false">IF(I1427&lt;=$E$4,"A",IF(I1427&lt;=$E$5,"B","C"))</f>
        <v>C</v>
      </c>
    </row>
    <row r="1428" customFormat="false" ht="15" hidden="false" customHeight="false" outlineLevel="0" collapsed="false">
      <c r="A1428" s="32" t="n">
        <v>1421</v>
      </c>
      <c r="B1428" s="33" t="n">
        <v>1462015</v>
      </c>
      <c r="C1428" s="34" t="s">
        <v>2927</v>
      </c>
      <c r="D1428" s="34" t="s">
        <v>2928</v>
      </c>
      <c r="E1428" s="34" t="s">
        <v>38</v>
      </c>
      <c r="F1428" s="32" t="n">
        <f aca="false">COUNTIF(Base!$D$2:$D$2878,B1428)</f>
        <v>1</v>
      </c>
      <c r="G1428" s="35" t="n">
        <f aca="false">SUMIF(Base!$D$2:$D$2878,B1428,Base!$I$2:$I$2878)</f>
        <v>522.6</v>
      </c>
      <c r="H1428" s="36" t="n">
        <f aca="false">IF($G$2849=0,0,G1428/$G$2849)</f>
        <v>3.42941754774325E-005</v>
      </c>
      <c r="I1428" s="37" t="n">
        <f aca="false">I1427+H1428</f>
        <v>0.983767603018515</v>
      </c>
      <c r="J1428" s="37" t="n">
        <f aca="false">A1428/2840</f>
        <v>0.500352112676056</v>
      </c>
      <c r="K1428" s="32" t="str">
        <f aca="false">IF(I1428&lt;=$E$4,"A",IF(I1428&lt;=$E$5,"B","C"))</f>
        <v>C</v>
      </c>
    </row>
    <row r="1429" customFormat="false" ht="15" hidden="false" customHeight="false" outlineLevel="0" collapsed="false">
      <c r="A1429" s="32" t="n">
        <v>1422</v>
      </c>
      <c r="B1429" s="33" t="n">
        <v>1465209</v>
      </c>
      <c r="C1429" s="34" t="s">
        <v>2929</v>
      </c>
      <c r="D1429" s="34" t="s">
        <v>2930</v>
      </c>
      <c r="E1429" s="34" t="s">
        <v>133</v>
      </c>
      <c r="F1429" s="32" t="n">
        <f aca="false">COUNTIF(Base!$D$2:$D$2878,B1429)</f>
        <v>1</v>
      </c>
      <c r="G1429" s="35" t="n">
        <f aca="false">SUMIF(Base!$D$2:$D$2878,B1429,Base!$I$2:$I$2878)</f>
        <v>520</v>
      </c>
      <c r="H1429" s="36" t="n">
        <f aca="false">IF($G$2849=0,0,G1429/$G$2849)</f>
        <v>3.41235576889875E-005</v>
      </c>
      <c r="I1429" s="37" t="n">
        <f aca="false">I1428+H1429</f>
        <v>0.983801726576204</v>
      </c>
      <c r="J1429" s="37" t="n">
        <f aca="false">A1429/2840</f>
        <v>0.500704225352113</v>
      </c>
      <c r="K1429" s="32" t="str">
        <f aca="false">IF(I1429&lt;=$E$4,"A",IF(I1429&lt;=$E$5,"B","C"))</f>
        <v>C</v>
      </c>
    </row>
    <row r="1430" customFormat="false" ht="15" hidden="false" customHeight="false" outlineLevel="0" collapsed="false">
      <c r="A1430" s="32" t="n">
        <v>1423</v>
      </c>
      <c r="B1430" s="33" t="n">
        <v>22434</v>
      </c>
      <c r="C1430" s="34" t="s">
        <v>2931</v>
      </c>
      <c r="D1430" s="34" t="s">
        <v>2932</v>
      </c>
      <c r="E1430" s="34" t="s">
        <v>38</v>
      </c>
      <c r="F1430" s="32" t="n">
        <f aca="false">COUNTIF(Base!$D$2:$D$2878,B1430)</f>
        <v>1</v>
      </c>
      <c r="G1430" s="35" t="n">
        <f aca="false">SUMIF(Base!$D$2:$D$2878,B1430,Base!$I$2:$I$2878)</f>
        <v>517.72</v>
      </c>
      <c r="H1430" s="36" t="n">
        <f aca="false">IF($G$2849=0,0,G1430/$G$2849)</f>
        <v>3.39739390129666E-005</v>
      </c>
      <c r="I1430" s="37" t="n">
        <f aca="false">I1429+H1430</f>
        <v>0.983835700515217</v>
      </c>
      <c r="J1430" s="37" t="n">
        <f aca="false">A1430/2840</f>
        <v>0.501056338028169</v>
      </c>
      <c r="K1430" s="32" t="str">
        <f aca="false">IF(I1430&lt;=$E$4,"A",IF(I1430&lt;=$E$5,"B","C"))</f>
        <v>C</v>
      </c>
    </row>
    <row r="1431" customFormat="false" ht="15" hidden="false" customHeight="false" outlineLevel="0" collapsed="false">
      <c r="A1431" s="32" t="n">
        <v>1424</v>
      </c>
      <c r="B1431" s="33" t="n">
        <v>18793</v>
      </c>
      <c r="C1431" s="34" t="s">
        <v>2933</v>
      </c>
      <c r="D1431" s="34" t="s">
        <v>2934</v>
      </c>
      <c r="E1431" s="34" t="s">
        <v>247</v>
      </c>
      <c r="F1431" s="32" t="n">
        <f aca="false">COUNTIF(Base!$D$2:$D$2878,B1431)</f>
        <v>1</v>
      </c>
      <c r="G1431" s="35" t="n">
        <f aca="false">SUMIF(Base!$D$2:$D$2878,B1431,Base!$I$2:$I$2878)</f>
        <v>516</v>
      </c>
      <c r="H1431" s="36" t="n">
        <f aca="false">IF($G$2849=0,0,G1431/$G$2849)</f>
        <v>3.38610687836876E-005</v>
      </c>
      <c r="I1431" s="37" t="n">
        <f aca="false">I1430+H1431</f>
        <v>0.983869561584001</v>
      </c>
      <c r="J1431" s="37" t="n">
        <f aca="false">A1431/2840</f>
        <v>0.501408450704225</v>
      </c>
      <c r="K1431" s="32" t="str">
        <f aca="false">IF(I1431&lt;=$E$4,"A",IF(I1431&lt;=$E$5,"B","C"))</f>
        <v>C</v>
      </c>
    </row>
    <row r="1432" customFormat="false" ht="15" hidden="false" customHeight="false" outlineLevel="0" collapsed="false">
      <c r="A1432" s="32" t="n">
        <v>1425</v>
      </c>
      <c r="B1432" s="33" t="n">
        <v>884561</v>
      </c>
      <c r="C1432" s="34" t="s">
        <v>2935</v>
      </c>
      <c r="D1432" s="34" t="s">
        <v>2936</v>
      </c>
      <c r="E1432" s="34" t="s">
        <v>1095</v>
      </c>
      <c r="F1432" s="32" t="n">
        <f aca="false">COUNTIF(Base!$D$2:$D$2878,B1432)</f>
        <v>1</v>
      </c>
      <c r="G1432" s="35" t="n">
        <f aca="false">SUMIF(Base!$D$2:$D$2878,B1432,Base!$I$2:$I$2878)</f>
        <v>516</v>
      </c>
      <c r="H1432" s="36" t="n">
        <f aca="false">IF($G$2849=0,0,G1432/$G$2849)</f>
        <v>3.38610687836876E-005</v>
      </c>
      <c r="I1432" s="37" t="n">
        <f aca="false">I1431+H1432</f>
        <v>0.983903422652784</v>
      </c>
      <c r="J1432" s="37" t="n">
        <f aca="false">A1432/2840</f>
        <v>0.501760563380282</v>
      </c>
      <c r="K1432" s="32" t="str">
        <f aca="false">IF(I1432&lt;=$E$4,"A",IF(I1432&lt;=$E$5,"B","C"))</f>
        <v>C</v>
      </c>
    </row>
    <row r="1433" customFormat="false" ht="15" hidden="false" customHeight="false" outlineLevel="0" collapsed="false">
      <c r="A1433" s="32" t="n">
        <v>1426</v>
      </c>
      <c r="B1433" s="33" t="n">
        <v>283711</v>
      </c>
      <c r="C1433" s="34" t="s">
        <v>2937</v>
      </c>
      <c r="D1433" s="34" t="s">
        <v>2938</v>
      </c>
      <c r="E1433" s="34" t="s">
        <v>38</v>
      </c>
      <c r="F1433" s="32" t="n">
        <f aca="false">COUNTIF(Base!$D$2:$D$2878,B1433)</f>
        <v>1</v>
      </c>
      <c r="G1433" s="35" t="n">
        <f aca="false">SUMIF(Base!$D$2:$D$2878,B1433,Base!$I$2:$I$2878)</f>
        <v>514.7</v>
      </c>
      <c r="H1433" s="36" t="n">
        <f aca="false">IF($G$2849=0,0,G1433/$G$2849)</f>
        <v>3.37757598894652E-005</v>
      </c>
      <c r="I1433" s="37" t="n">
        <f aca="false">I1432+H1433</f>
        <v>0.983937198412674</v>
      </c>
      <c r="J1433" s="37" t="n">
        <f aca="false">A1433/2840</f>
        <v>0.502112676056338</v>
      </c>
      <c r="K1433" s="32" t="str">
        <f aca="false">IF(I1433&lt;=$E$4,"A",IF(I1433&lt;=$E$5,"B","C"))</f>
        <v>C</v>
      </c>
    </row>
    <row r="1434" customFormat="false" ht="15" hidden="false" customHeight="false" outlineLevel="0" collapsed="false">
      <c r="A1434" s="32" t="n">
        <v>1427</v>
      </c>
      <c r="B1434" s="33" t="n">
        <v>888370</v>
      </c>
      <c r="C1434" s="34" t="s">
        <v>2939</v>
      </c>
      <c r="D1434" s="34" t="s">
        <v>2940</v>
      </c>
      <c r="E1434" s="34" t="s">
        <v>100</v>
      </c>
      <c r="F1434" s="32" t="n">
        <f aca="false">COUNTIF(Base!$D$2:$D$2878,B1434)</f>
        <v>1</v>
      </c>
      <c r="G1434" s="35" t="n">
        <f aca="false">SUMIF(Base!$D$2:$D$2878,B1434,Base!$I$2:$I$2878)</f>
        <v>514.6</v>
      </c>
      <c r="H1434" s="36" t="n">
        <f aca="false">IF($G$2849=0,0,G1434/$G$2849)</f>
        <v>3.37691976668327E-005</v>
      </c>
      <c r="I1434" s="37" t="n">
        <f aca="false">I1433+H1434</f>
        <v>0.983970967610341</v>
      </c>
      <c r="J1434" s="37" t="n">
        <f aca="false">A1434/2840</f>
        <v>0.502464788732394</v>
      </c>
      <c r="K1434" s="32" t="str">
        <f aca="false">IF(I1434&lt;=$E$4,"A",IF(I1434&lt;=$E$5,"B","C"))</f>
        <v>C</v>
      </c>
    </row>
    <row r="1435" customFormat="false" ht="15" hidden="false" customHeight="false" outlineLevel="0" collapsed="false">
      <c r="A1435" s="32" t="n">
        <v>1428</v>
      </c>
      <c r="B1435" s="33" t="n">
        <v>1084323</v>
      </c>
      <c r="C1435" s="34" t="s">
        <v>2941</v>
      </c>
      <c r="D1435" s="34" t="s">
        <v>2942</v>
      </c>
      <c r="E1435" s="34" t="s">
        <v>1618</v>
      </c>
      <c r="F1435" s="32" t="n">
        <f aca="false">COUNTIF(Base!$D$2:$D$2878,B1435)</f>
        <v>1</v>
      </c>
      <c r="G1435" s="35" t="n">
        <f aca="false">SUMIF(Base!$D$2:$D$2878,B1435,Base!$I$2:$I$2878)</f>
        <v>514.4</v>
      </c>
      <c r="H1435" s="36" t="n">
        <f aca="false">IF($G$2849=0,0,G1435/$G$2849)</f>
        <v>3.37560732215677E-005</v>
      </c>
      <c r="I1435" s="37" t="n">
        <f aca="false">I1434+H1435</f>
        <v>0.984004723683562</v>
      </c>
      <c r="J1435" s="37" t="n">
        <f aca="false">A1435/2840</f>
        <v>0.502816901408451</v>
      </c>
      <c r="K1435" s="32" t="str">
        <f aca="false">IF(I1435&lt;=$E$4,"A",IF(I1435&lt;=$E$5,"B","C"))</f>
        <v>C</v>
      </c>
    </row>
    <row r="1436" customFormat="false" ht="15" hidden="false" customHeight="false" outlineLevel="0" collapsed="false">
      <c r="A1436" s="32" t="n">
        <v>1429</v>
      </c>
      <c r="B1436" s="33" t="n">
        <v>1471978</v>
      </c>
      <c r="C1436" s="34" t="s">
        <v>2943</v>
      </c>
      <c r="D1436" s="34" t="s">
        <v>2944</v>
      </c>
      <c r="E1436" s="34" t="s">
        <v>100</v>
      </c>
      <c r="F1436" s="32" t="n">
        <f aca="false">COUNTIF(Base!$D$2:$D$2878,B1436)</f>
        <v>1</v>
      </c>
      <c r="G1436" s="35" t="n">
        <f aca="false">SUMIF(Base!$D$2:$D$2878,B1436,Base!$I$2:$I$2878)</f>
        <v>512.9</v>
      </c>
      <c r="H1436" s="36" t="n">
        <f aca="false">IF($G$2849=0,0,G1436/$G$2849)</f>
        <v>3.36576398820802E-005</v>
      </c>
      <c r="I1436" s="37" t="n">
        <f aca="false">I1435+H1436</f>
        <v>0.984038381323444</v>
      </c>
      <c r="J1436" s="37" t="n">
        <f aca="false">A1436/2840</f>
        <v>0.503169014084507</v>
      </c>
      <c r="K1436" s="32" t="str">
        <f aca="false">IF(I1436&lt;=$E$4,"A",IF(I1436&lt;=$E$5,"B","C"))</f>
        <v>C</v>
      </c>
    </row>
    <row r="1437" customFormat="false" ht="15" hidden="false" customHeight="false" outlineLevel="0" collapsed="false">
      <c r="A1437" s="32" t="n">
        <v>1430</v>
      </c>
      <c r="B1437" s="33" t="n">
        <v>55083</v>
      </c>
      <c r="C1437" s="34" t="s">
        <v>2945</v>
      </c>
      <c r="D1437" s="34" t="s">
        <v>2946</v>
      </c>
      <c r="E1437" s="34" t="s">
        <v>38</v>
      </c>
      <c r="F1437" s="32" t="n">
        <f aca="false">COUNTIF(Base!$D$2:$D$2878,B1437)</f>
        <v>1</v>
      </c>
      <c r="G1437" s="35" t="n">
        <f aca="false">SUMIF(Base!$D$2:$D$2878,B1437,Base!$I$2:$I$2878)</f>
        <v>512</v>
      </c>
      <c r="H1437" s="36" t="n">
        <f aca="false">IF($G$2849=0,0,G1437/$G$2849)</f>
        <v>3.35985798783877E-005</v>
      </c>
      <c r="I1437" s="37" t="n">
        <f aca="false">I1436+H1437</f>
        <v>0.984071979903323</v>
      </c>
      <c r="J1437" s="37" t="n">
        <f aca="false">A1437/2840</f>
        <v>0.503521126760563</v>
      </c>
      <c r="K1437" s="32" t="str">
        <f aca="false">IF(I1437&lt;=$E$4,"A",IF(I1437&lt;=$E$5,"B","C"))</f>
        <v>C</v>
      </c>
    </row>
    <row r="1438" customFormat="false" ht="15" hidden="false" customHeight="false" outlineLevel="0" collapsed="false">
      <c r="A1438" s="32" t="n">
        <v>1431</v>
      </c>
      <c r="B1438" s="33" t="n">
        <v>58447</v>
      </c>
      <c r="C1438" s="34" t="s">
        <v>2947</v>
      </c>
      <c r="D1438" s="34" t="s">
        <v>2948</v>
      </c>
      <c r="E1438" s="34" t="s">
        <v>130</v>
      </c>
      <c r="F1438" s="32" t="n">
        <f aca="false">COUNTIF(Base!$D$2:$D$2878,B1438)</f>
        <v>1</v>
      </c>
      <c r="G1438" s="35" t="n">
        <f aca="false">SUMIF(Base!$D$2:$D$2878,B1438,Base!$I$2:$I$2878)</f>
        <v>512</v>
      </c>
      <c r="H1438" s="36" t="n">
        <f aca="false">IF($G$2849=0,0,G1438/$G$2849)</f>
        <v>3.35985798783877E-005</v>
      </c>
      <c r="I1438" s="37" t="n">
        <f aca="false">I1437+H1438</f>
        <v>0.984105578483201</v>
      </c>
      <c r="J1438" s="37" t="n">
        <f aca="false">A1438/2840</f>
        <v>0.50387323943662</v>
      </c>
      <c r="K1438" s="32" t="str">
        <f aca="false">IF(I1438&lt;=$E$4,"A",IF(I1438&lt;=$E$5,"B","C"))</f>
        <v>C</v>
      </c>
    </row>
    <row r="1439" customFormat="false" ht="15" hidden="false" customHeight="false" outlineLevel="0" collapsed="false">
      <c r="A1439" s="32" t="n">
        <v>1432</v>
      </c>
      <c r="B1439" s="33" t="n">
        <v>385325</v>
      </c>
      <c r="C1439" s="34" t="s">
        <v>2949</v>
      </c>
      <c r="D1439" s="34" t="s">
        <v>2950</v>
      </c>
      <c r="E1439" s="34" t="s">
        <v>38</v>
      </c>
      <c r="F1439" s="32" t="n">
        <f aca="false">COUNTIF(Base!$D$2:$D$2878,B1439)</f>
        <v>1</v>
      </c>
      <c r="G1439" s="35" t="n">
        <f aca="false">SUMIF(Base!$D$2:$D$2878,B1439,Base!$I$2:$I$2878)</f>
        <v>512</v>
      </c>
      <c r="H1439" s="36" t="n">
        <f aca="false">IF($G$2849=0,0,G1439/$G$2849)</f>
        <v>3.35985798783877E-005</v>
      </c>
      <c r="I1439" s="37" t="n">
        <f aca="false">I1438+H1439</f>
        <v>0.98413917706308</v>
      </c>
      <c r="J1439" s="37" t="n">
        <f aca="false">A1439/2840</f>
        <v>0.504225352112676</v>
      </c>
      <c r="K1439" s="32" t="str">
        <f aca="false">IF(I1439&lt;=$E$4,"A",IF(I1439&lt;=$E$5,"B","C"))</f>
        <v>C</v>
      </c>
    </row>
    <row r="1440" customFormat="false" ht="15" hidden="false" customHeight="false" outlineLevel="0" collapsed="false">
      <c r="A1440" s="32" t="n">
        <v>1433</v>
      </c>
      <c r="B1440" s="33" t="n">
        <v>1661830</v>
      </c>
      <c r="C1440" s="34" t="s">
        <v>2951</v>
      </c>
      <c r="D1440" s="34" t="s">
        <v>2952</v>
      </c>
      <c r="E1440" s="34" t="s">
        <v>133</v>
      </c>
      <c r="F1440" s="32" t="n">
        <f aca="false">COUNTIF(Base!$D$2:$D$2878,B1440)</f>
        <v>1</v>
      </c>
      <c r="G1440" s="35" t="n">
        <f aca="false">SUMIF(Base!$D$2:$D$2878,B1440,Base!$I$2:$I$2878)</f>
        <v>511.56</v>
      </c>
      <c r="H1440" s="36" t="n">
        <f aca="false">IF($G$2849=0,0,G1440/$G$2849)</f>
        <v>3.35697060988047E-005</v>
      </c>
      <c r="I1440" s="37" t="n">
        <f aca="false">I1439+H1440</f>
        <v>0.984172746769178</v>
      </c>
      <c r="J1440" s="37" t="n">
        <f aca="false">A1440/2840</f>
        <v>0.504577464788732</v>
      </c>
      <c r="K1440" s="32" t="str">
        <f aca="false">IF(I1440&lt;=$E$4,"A",IF(I1440&lt;=$E$5,"B","C"))</f>
        <v>C</v>
      </c>
    </row>
    <row r="1441" customFormat="false" ht="15" hidden="false" customHeight="false" outlineLevel="0" collapsed="false">
      <c r="A1441" s="32" t="n">
        <v>1434</v>
      </c>
      <c r="B1441" s="33" t="n">
        <v>930255</v>
      </c>
      <c r="C1441" s="34" t="s">
        <v>2953</v>
      </c>
      <c r="D1441" s="34" t="s">
        <v>2954</v>
      </c>
      <c r="E1441" s="34" t="s">
        <v>75</v>
      </c>
      <c r="F1441" s="32" t="n">
        <f aca="false">COUNTIF(Base!$D$2:$D$2878,B1441)</f>
        <v>1</v>
      </c>
      <c r="G1441" s="35" t="n">
        <f aca="false">SUMIF(Base!$D$2:$D$2878,B1441,Base!$I$2:$I$2878)</f>
        <v>511.34</v>
      </c>
      <c r="H1441" s="36" t="n">
        <f aca="false">IF($G$2849=0,0,G1441/$G$2849)</f>
        <v>3.35552692090132E-005</v>
      </c>
      <c r="I1441" s="37" t="n">
        <f aca="false">I1440+H1441</f>
        <v>0.984206302038387</v>
      </c>
      <c r="J1441" s="37" t="n">
        <f aca="false">A1441/2840</f>
        <v>0.504929577464789</v>
      </c>
      <c r="K1441" s="32" t="str">
        <f aca="false">IF(I1441&lt;=$E$4,"A",IF(I1441&lt;=$E$5,"B","C"))</f>
        <v>C</v>
      </c>
    </row>
    <row r="1442" customFormat="false" ht="15" hidden="false" customHeight="false" outlineLevel="0" collapsed="false">
      <c r="A1442" s="32" t="n">
        <v>1435</v>
      </c>
      <c r="B1442" s="33" t="n">
        <v>1680623</v>
      </c>
      <c r="C1442" s="34" t="s">
        <v>2955</v>
      </c>
      <c r="D1442" s="34" t="s">
        <v>2956</v>
      </c>
      <c r="E1442" s="34" t="s">
        <v>192</v>
      </c>
      <c r="F1442" s="32" t="n">
        <f aca="false">COUNTIF(Base!$D$2:$D$2878,B1442)</f>
        <v>1</v>
      </c>
      <c r="G1442" s="35" t="n">
        <f aca="false">SUMIF(Base!$D$2:$D$2878,B1442,Base!$I$2:$I$2878)</f>
        <v>509.94</v>
      </c>
      <c r="H1442" s="36" t="n">
        <f aca="false">IF($G$2849=0,0,G1442/$G$2849)</f>
        <v>3.34633980921583E-005</v>
      </c>
      <c r="I1442" s="37" t="n">
        <f aca="false">I1441+H1442</f>
        <v>0.98423976543648</v>
      </c>
      <c r="J1442" s="37" t="n">
        <f aca="false">A1442/2840</f>
        <v>0.505281690140845</v>
      </c>
      <c r="K1442" s="32" t="str">
        <f aca="false">IF(I1442&lt;=$E$4,"A",IF(I1442&lt;=$E$5,"B","C"))</f>
        <v>C</v>
      </c>
    </row>
    <row r="1443" customFormat="false" ht="15" hidden="false" customHeight="false" outlineLevel="0" collapsed="false">
      <c r="A1443" s="32" t="n">
        <v>1436</v>
      </c>
      <c r="B1443" s="33" t="n">
        <v>139812</v>
      </c>
      <c r="C1443" s="34" t="s">
        <v>2957</v>
      </c>
      <c r="D1443" s="34" t="s">
        <v>2958</v>
      </c>
      <c r="E1443" s="34" t="s">
        <v>38</v>
      </c>
      <c r="F1443" s="32" t="n">
        <f aca="false">COUNTIF(Base!$D$2:$D$2878,B1443)</f>
        <v>1</v>
      </c>
      <c r="G1443" s="35" t="n">
        <f aca="false">SUMIF(Base!$D$2:$D$2878,B1443,Base!$I$2:$I$2878)</f>
        <v>508.68</v>
      </c>
      <c r="H1443" s="36" t="n">
        <f aca="false">IF($G$2849=0,0,G1443/$G$2849)</f>
        <v>3.33807140869888E-005</v>
      </c>
      <c r="I1443" s="37" t="n">
        <f aca="false">I1442+H1443</f>
        <v>0.984273146150567</v>
      </c>
      <c r="J1443" s="37" t="n">
        <f aca="false">A1443/2840</f>
        <v>0.505633802816901</v>
      </c>
      <c r="K1443" s="32" t="str">
        <f aca="false">IF(I1443&lt;=$E$4,"A",IF(I1443&lt;=$E$5,"B","C"))</f>
        <v>C</v>
      </c>
    </row>
    <row r="1444" customFormat="false" ht="15" hidden="false" customHeight="false" outlineLevel="0" collapsed="false">
      <c r="A1444" s="32" t="n">
        <v>1437</v>
      </c>
      <c r="B1444" s="33" t="n">
        <v>18857</v>
      </c>
      <c r="C1444" s="34" t="s">
        <v>2959</v>
      </c>
      <c r="D1444" s="34" t="s">
        <v>2960</v>
      </c>
      <c r="E1444" s="34" t="s">
        <v>247</v>
      </c>
      <c r="F1444" s="32" t="n">
        <f aca="false">COUNTIF(Base!$D$2:$D$2878,B1444)</f>
        <v>1</v>
      </c>
      <c r="G1444" s="35" t="n">
        <f aca="false">SUMIF(Base!$D$2:$D$2878,B1444,Base!$I$2:$I$2878)</f>
        <v>507.6</v>
      </c>
      <c r="H1444" s="36" t="n">
        <f aca="false">IF($G$2849=0,0,G1444/$G$2849)</f>
        <v>3.33098420825578E-005</v>
      </c>
      <c r="I1444" s="37" t="n">
        <f aca="false">I1443+H1444</f>
        <v>0.984306455992649</v>
      </c>
      <c r="J1444" s="37" t="n">
        <f aca="false">A1444/2840</f>
        <v>0.505985915492958</v>
      </c>
      <c r="K1444" s="32" t="str">
        <f aca="false">IF(I1444&lt;=$E$4,"A",IF(I1444&lt;=$E$5,"B","C"))</f>
        <v>C</v>
      </c>
    </row>
    <row r="1445" customFormat="false" ht="15" hidden="false" customHeight="false" outlineLevel="0" collapsed="false">
      <c r="A1445" s="32" t="n">
        <v>1438</v>
      </c>
      <c r="B1445" s="33" t="n">
        <v>33981</v>
      </c>
      <c r="C1445" s="34" t="s">
        <v>2961</v>
      </c>
      <c r="D1445" s="34" t="s">
        <v>2962</v>
      </c>
      <c r="E1445" s="34" t="s">
        <v>38</v>
      </c>
      <c r="F1445" s="32" t="n">
        <f aca="false">COUNTIF(Base!$D$2:$D$2878,B1445)</f>
        <v>1</v>
      </c>
      <c r="G1445" s="35" t="n">
        <f aca="false">SUMIF(Base!$D$2:$D$2878,B1445,Base!$I$2:$I$2878)</f>
        <v>507.52</v>
      </c>
      <c r="H1445" s="36" t="n">
        <f aca="false">IF($G$2849=0,0,G1445/$G$2849)</f>
        <v>3.33045923044518E-005</v>
      </c>
      <c r="I1445" s="37" t="n">
        <f aca="false">I1444+H1445</f>
        <v>0.984339760584954</v>
      </c>
      <c r="J1445" s="37" t="n">
        <f aca="false">A1445/2840</f>
        <v>0.506338028169014</v>
      </c>
      <c r="K1445" s="32" t="str">
        <f aca="false">IF(I1445&lt;=$E$4,"A",IF(I1445&lt;=$E$5,"B","C"))</f>
        <v>C</v>
      </c>
    </row>
    <row r="1446" customFormat="false" ht="15" hidden="false" customHeight="false" outlineLevel="0" collapsed="false">
      <c r="A1446" s="32" t="n">
        <v>1439</v>
      </c>
      <c r="B1446" s="33" t="n">
        <v>430366</v>
      </c>
      <c r="C1446" s="34" t="s">
        <v>2963</v>
      </c>
      <c r="D1446" s="34" t="s">
        <v>2964</v>
      </c>
      <c r="E1446" s="34" t="s">
        <v>189</v>
      </c>
      <c r="F1446" s="32" t="n">
        <f aca="false">COUNTIF(Base!$D$2:$D$2878,B1446)</f>
        <v>1</v>
      </c>
      <c r="G1446" s="35" t="n">
        <f aca="false">SUMIF(Base!$D$2:$D$2878,B1446,Base!$I$2:$I$2878)</f>
        <v>507</v>
      </c>
      <c r="H1446" s="36" t="n">
        <f aca="false">IF($G$2849=0,0,G1446/$G$2849)</f>
        <v>3.32704687467628E-005</v>
      </c>
      <c r="I1446" s="37" t="n">
        <f aca="false">I1445+H1446</f>
        <v>0.9843730310537</v>
      </c>
      <c r="J1446" s="37" t="n">
        <f aca="false">A1446/2840</f>
        <v>0.506690140845071</v>
      </c>
      <c r="K1446" s="32" t="str">
        <f aca="false">IF(I1446&lt;=$E$4,"A",IF(I1446&lt;=$E$5,"B","C"))</f>
        <v>C</v>
      </c>
    </row>
    <row r="1447" customFormat="false" ht="15" hidden="false" customHeight="false" outlineLevel="0" collapsed="false">
      <c r="A1447" s="32" t="n">
        <v>1440</v>
      </c>
      <c r="B1447" s="33" t="n">
        <v>12599</v>
      </c>
      <c r="C1447" s="34" t="s">
        <v>2965</v>
      </c>
      <c r="D1447" s="34" t="s">
        <v>2966</v>
      </c>
      <c r="E1447" s="34" t="s">
        <v>38</v>
      </c>
      <c r="F1447" s="32" t="n">
        <f aca="false">COUNTIF(Base!$D$2:$D$2878,B1447)</f>
        <v>1</v>
      </c>
      <c r="G1447" s="35" t="n">
        <f aca="false">SUMIF(Base!$D$2:$D$2878,B1447,Base!$I$2:$I$2878)</f>
        <v>505.34</v>
      </c>
      <c r="H1447" s="36" t="n">
        <f aca="false">IF($G$2849=0,0,G1447/$G$2849)</f>
        <v>3.31615358510634E-005</v>
      </c>
      <c r="I1447" s="37" t="n">
        <f aca="false">I1446+H1447</f>
        <v>0.984406192589551</v>
      </c>
      <c r="J1447" s="37" t="n">
        <f aca="false">A1447/2840</f>
        <v>0.507042253521127</v>
      </c>
      <c r="K1447" s="32" t="str">
        <f aca="false">IF(I1447&lt;=$E$4,"A",IF(I1447&lt;=$E$5,"B","C"))</f>
        <v>C</v>
      </c>
    </row>
    <row r="1448" customFormat="false" ht="15" hidden="false" customHeight="false" outlineLevel="0" collapsed="false">
      <c r="A1448" s="32" t="n">
        <v>1441</v>
      </c>
      <c r="B1448" s="33" t="n">
        <v>1097671</v>
      </c>
      <c r="C1448" s="34" t="s">
        <v>2967</v>
      </c>
      <c r="D1448" s="34" t="s">
        <v>2968</v>
      </c>
      <c r="E1448" s="34" t="s">
        <v>230</v>
      </c>
      <c r="F1448" s="32" t="n">
        <f aca="false">COUNTIF(Base!$D$2:$D$2878,B1448)</f>
        <v>1</v>
      </c>
      <c r="G1448" s="35" t="n">
        <f aca="false">SUMIF(Base!$D$2:$D$2878,B1448,Base!$I$2:$I$2878)</f>
        <v>504</v>
      </c>
      <c r="H1448" s="36" t="n">
        <f aca="false">IF($G$2849=0,0,G1448/$G$2849)</f>
        <v>3.30736020677879E-005</v>
      </c>
      <c r="I1448" s="37" t="n">
        <f aca="false">I1447+H1448</f>
        <v>0.984439266191619</v>
      </c>
      <c r="J1448" s="37" t="n">
        <f aca="false">A1448/2840</f>
        <v>0.507394366197183</v>
      </c>
      <c r="K1448" s="32" t="str">
        <f aca="false">IF(I1448&lt;=$E$4,"A",IF(I1448&lt;=$E$5,"B","C"))</f>
        <v>C</v>
      </c>
    </row>
    <row r="1449" customFormat="false" ht="15" hidden="false" customHeight="false" outlineLevel="0" collapsed="false">
      <c r="A1449" s="32" t="n">
        <v>1442</v>
      </c>
      <c r="B1449" s="33" t="n">
        <v>1384963</v>
      </c>
      <c r="C1449" s="34" t="s">
        <v>2969</v>
      </c>
      <c r="D1449" s="34" t="s">
        <v>2970</v>
      </c>
      <c r="E1449" s="34" t="s">
        <v>38</v>
      </c>
      <c r="F1449" s="32" t="n">
        <f aca="false">COUNTIF(Base!$D$2:$D$2878,B1449)</f>
        <v>1</v>
      </c>
      <c r="G1449" s="35" t="n">
        <f aca="false">SUMIF(Base!$D$2:$D$2878,B1449,Base!$I$2:$I$2878)</f>
        <v>503.4</v>
      </c>
      <c r="H1449" s="36" t="n">
        <f aca="false">IF($G$2849=0,0,G1449/$G$2849)</f>
        <v>3.30342287319929E-005</v>
      </c>
      <c r="I1449" s="37" t="n">
        <f aca="false">I1448+H1449</f>
        <v>0.984472300420351</v>
      </c>
      <c r="J1449" s="37" t="n">
        <f aca="false">A1449/2840</f>
        <v>0.507746478873239</v>
      </c>
      <c r="K1449" s="32" t="str">
        <f aca="false">IF(I1449&lt;=$E$4,"A",IF(I1449&lt;=$E$5,"B","C"))</f>
        <v>C</v>
      </c>
    </row>
    <row r="1450" customFormat="false" ht="15" hidden="false" customHeight="false" outlineLevel="0" collapsed="false">
      <c r="A1450" s="32" t="n">
        <v>1443</v>
      </c>
      <c r="B1450" s="33" t="n">
        <v>845312</v>
      </c>
      <c r="C1450" s="34" t="s">
        <v>2971</v>
      </c>
      <c r="D1450" s="34" t="s">
        <v>2972</v>
      </c>
      <c r="E1450" s="34" t="s">
        <v>113</v>
      </c>
      <c r="F1450" s="32" t="n">
        <f aca="false">COUNTIF(Base!$D$2:$D$2878,B1450)</f>
        <v>1</v>
      </c>
      <c r="G1450" s="35" t="n">
        <f aca="false">SUMIF(Base!$D$2:$D$2878,B1450,Base!$I$2:$I$2878)</f>
        <v>503.28</v>
      </c>
      <c r="H1450" s="36" t="n">
        <f aca="false">IF($G$2849=0,0,G1450/$G$2849)</f>
        <v>3.30263540648339E-005</v>
      </c>
      <c r="I1450" s="37" t="n">
        <f aca="false">I1449+H1450</f>
        <v>0.984505326774416</v>
      </c>
      <c r="J1450" s="37" t="n">
        <f aca="false">A1450/2840</f>
        <v>0.508098591549296</v>
      </c>
      <c r="K1450" s="32" t="str">
        <f aca="false">IF(I1450&lt;=$E$4,"A",IF(I1450&lt;=$E$5,"B","C"))</f>
        <v>C</v>
      </c>
    </row>
    <row r="1451" customFormat="false" ht="15" hidden="false" customHeight="false" outlineLevel="0" collapsed="false">
      <c r="A1451" s="32" t="n">
        <v>1444</v>
      </c>
      <c r="B1451" s="33" t="n">
        <v>557140</v>
      </c>
      <c r="C1451" s="34" t="s">
        <v>2973</v>
      </c>
      <c r="D1451" s="34" t="s">
        <v>2974</v>
      </c>
      <c r="E1451" s="34" t="s">
        <v>130</v>
      </c>
      <c r="F1451" s="32" t="n">
        <f aca="false">COUNTIF(Base!$D$2:$D$2878,B1451)</f>
        <v>1</v>
      </c>
      <c r="G1451" s="35" t="n">
        <f aca="false">SUMIF(Base!$D$2:$D$2878,B1451,Base!$I$2:$I$2878)</f>
        <v>502.8</v>
      </c>
      <c r="H1451" s="36" t="n">
        <f aca="false">IF($G$2849=0,0,G1451/$G$2849)</f>
        <v>3.29948553961979E-005</v>
      </c>
      <c r="I1451" s="37" t="n">
        <f aca="false">I1450+H1451</f>
        <v>0.984538321629812</v>
      </c>
      <c r="J1451" s="37" t="n">
        <f aca="false">A1451/2840</f>
        <v>0.508450704225352</v>
      </c>
      <c r="K1451" s="32" t="str">
        <f aca="false">IF(I1451&lt;=$E$4,"A",IF(I1451&lt;=$E$5,"B","C"))</f>
        <v>C</v>
      </c>
    </row>
    <row r="1452" customFormat="false" ht="15" hidden="false" customHeight="false" outlineLevel="0" collapsed="false">
      <c r="A1452" s="32" t="n">
        <v>1445</v>
      </c>
      <c r="B1452" s="33" t="n">
        <v>282631</v>
      </c>
      <c r="C1452" s="34" t="s">
        <v>2975</v>
      </c>
      <c r="D1452" s="34" t="s">
        <v>2976</v>
      </c>
      <c r="E1452" s="34" t="s">
        <v>100</v>
      </c>
      <c r="F1452" s="32" t="n">
        <f aca="false">COUNTIF(Base!$D$2:$D$2878,B1452)</f>
        <v>1</v>
      </c>
      <c r="G1452" s="35" t="n">
        <f aca="false">SUMIF(Base!$D$2:$D$2878,B1452,Base!$I$2:$I$2878)</f>
        <v>502.78</v>
      </c>
      <c r="H1452" s="36" t="n">
        <f aca="false">IF($G$2849=0,0,G1452/$G$2849)</f>
        <v>3.29935429516714E-005</v>
      </c>
      <c r="I1452" s="37" t="n">
        <f aca="false">I1451+H1452</f>
        <v>0.984571315172764</v>
      </c>
      <c r="J1452" s="37" t="n">
        <f aca="false">A1452/2840</f>
        <v>0.508802816901409</v>
      </c>
      <c r="K1452" s="32" t="str">
        <f aca="false">IF(I1452&lt;=$E$4,"A",IF(I1452&lt;=$E$5,"B","C"))</f>
        <v>C</v>
      </c>
    </row>
    <row r="1453" customFormat="false" ht="15" hidden="false" customHeight="false" outlineLevel="0" collapsed="false">
      <c r="A1453" s="32" t="n">
        <v>1446</v>
      </c>
      <c r="B1453" s="33" t="n">
        <v>1661833</v>
      </c>
      <c r="C1453" s="34" t="s">
        <v>2977</v>
      </c>
      <c r="D1453" s="34" t="s">
        <v>2978</v>
      </c>
      <c r="E1453" s="34" t="s">
        <v>100</v>
      </c>
      <c r="F1453" s="32" t="n">
        <f aca="false">COUNTIF(Base!$D$2:$D$2878,B1453)</f>
        <v>1</v>
      </c>
      <c r="G1453" s="35" t="n">
        <f aca="false">SUMIF(Base!$D$2:$D$2878,B1453,Base!$I$2:$I$2878)</f>
        <v>502.72</v>
      </c>
      <c r="H1453" s="36" t="n">
        <f aca="false">IF($G$2849=0,0,G1453/$G$2849)</f>
        <v>3.29896056180919E-005</v>
      </c>
      <c r="I1453" s="37" t="n">
        <f aca="false">I1452+H1453</f>
        <v>0.984604304778382</v>
      </c>
      <c r="J1453" s="37" t="n">
        <f aca="false">A1453/2840</f>
        <v>0.509154929577465</v>
      </c>
      <c r="K1453" s="32" t="str">
        <f aca="false">IF(I1453&lt;=$E$4,"A",IF(I1453&lt;=$E$5,"B","C"))</f>
        <v>C</v>
      </c>
    </row>
    <row r="1454" customFormat="false" ht="15" hidden="false" customHeight="false" outlineLevel="0" collapsed="false">
      <c r="A1454" s="32" t="n">
        <v>1447</v>
      </c>
      <c r="B1454" s="33" t="n">
        <v>840021</v>
      </c>
      <c r="C1454" s="34" t="s">
        <v>2979</v>
      </c>
      <c r="D1454" s="34" t="s">
        <v>2980</v>
      </c>
      <c r="E1454" s="34" t="s">
        <v>54</v>
      </c>
      <c r="F1454" s="32" t="n">
        <f aca="false">COUNTIF(Base!$D$2:$D$2878,B1454)</f>
        <v>1</v>
      </c>
      <c r="G1454" s="35" t="n">
        <f aca="false">SUMIF(Base!$D$2:$D$2878,B1454,Base!$I$2:$I$2878)</f>
        <v>502.13</v>
      </c>
      <c r="H1454" s="36" t="n">
        <f aca="false">IF($G$2849=0,0,G1454/$G$2849)</f>
        <v>3.29508885045602E-005</v>
      </c>
      <c r="I1454" s="37" t="n">
        <f aca="false">I1453+H1454</f>
        <v>0.984637255666887</v>
      </c>
      <c r="J1454" s="37" t="n">
        <f aca="false">A1454/2840</f>
        <v>0.509507042253521</v>
      </c>
      <c r="K1454" s="32" t="str">
        <f aca="false">IF(I1454&lt;=$E$4,"A",IF(I1454&lt;=$E$5,"B","C"))</f>
        <v>C</v>
      </c>
    </row>
    <row r="1455" customFormat="false" ht="15" hidden="false" customHeight="false" outlineLevel="0" collapsed="false">
      <c r="A1455" s="32" t="n">
        <v>1448</v>
      </c>
      <c r="B1455" s="33" t="n">
        <v>1485702</v>
      </c>
      <c r="C1455" s="34" t="s">
        <v>2981</v>
      </c>
      <c r="D1455" s="34" t="s">
        <v>2982</v>
      </c>
      <c r="E1455" s="34" t="s">
        <v>38</v>
      </c>
      <c r="F1455" s="32" t="n">
        <f aca="false">COUNTIF(Base!$D$2:$D$2878,B1455)</f>
        <v>1</v>
      </c>
      <c r="G1455" s="35" t="n">
        <f aca="false">SUMIF(Base!$D$2:$D$2878,B1455,Base!$I$2:$I$2878)</f>
        <v>501.45</v>
      </c>
      <c r="H1455" s="36" t="n">
        <f aca="false">IF($G$2849=0,0,G1455/$G$2849)</f>
        <v>3.29062653906592E-005</v>
      </c>
      <c r="I1455" s="37" t="n">
        <f aca="false">I1454+H1455</f>
        <v>0.984670161932277</v>
      </c>
      <c r="J1455" s="37" t="n">
        <f aca="false">A1455/2840</f>
        <v>0.509859154929578</v>
      </c>
      <c r="K1455" s="32" t="str">
        <f aca="false">IF(I1455&lt;=$E$4,"A",IF(I1455&lt;=$E$5,"B","C"))</f>
        <v>C</v>
      </c>
    </row>
    <row r="1456" customFormat="false" ht="15" hidden="false" customHeight="false" outlineLevel="0" collapsed="false">
      <c r="A1456" s="32" t="n">
        <v>1449</v>
      </c>
      <c r="B1456" s="33" t="n">
        <v>871702</v>
      </c>
      <c r="C1456" s="34" t="s">
        <v>2983</v>
      </c>
      <c r="D1456" s="34" t="s">
        <v>2984</v>
      </c>
      <c r="E1456" s="34" t="s">
        <v>113</v>
      </c>
      <c r="F1456" s="32" t="n">
        <f aca="false">COUNTIF(Base!$D$2:$D$2878,B1456)</f>
        <v>1</v>
      </c>
      <c r="G1456" s="35" t="n">
        <f aca="false">SUMIF(Base!$D$2:$D$2878,B1456,Base!$I$2:$I$2878)</f>
        <v>501.1</v>
      </c>
      <c r="H1456" s="36" t="n">
        <f aca="false">IF($G$2849=0,0,G1456/$G$2849)</f>
        <v>3.28832976114455E-005</v>
      </c>
      <c r="I1456" s="37" t="n">
        <f aca="false">I1455+H1456</f>
        <v>0.984703045229889</v>
      </c>
      <c r="J1456" s="37" t="n">
        <f aca="false">A1456/2840</f>
        <v>0.510211267605634</v>
      </c>
      <c r="K1456" s="32" t="str">
        <f aca="false">IF(I1456&lt;=$E$4,"A",IF(I1456&lt;=$E$5,"B","C"))</f>
        <v>C</v>
      </c>
    </row>
    <row r="1457" customFormat="false" ht="15" hidden="false" customHeight="false" outlineLevel="0" collapsed="false">
      <c r="A1457" s="32" t="n">
        <v>1450</v>
      </c>
      <c r="B1457" s="33" t="n">
        <v>144236</v>
      </c>
      <c r="C1457" s="34" t="s">
        <v>2985</v>
      </c>
      <c r="D1457" s="34" t="s">
        <v>2986</v>
      </c>
      <c r="E1457" s="34" t="s">
        <v>133</v>
      </c>
      <c r="F1457" s="32" t="n">
        <f aca="false">COUNTIF(Base!$D$2:$D$2878,B1457)</f>
        <v>1</v>
      </c>
      <c r="G1457" s="35" t="n">
        <f aca="false">SUMIF(Base!$D$2:$D$2878,B1457,Base!$I$2:$I$2878)</f>
        <v>499</v>
      </c>
      <c r="H1457" s="36" t="n">
        <f aca="false">IF($G$2849=0,0,G1457/$G$2849)</f>
        <v>3.2745490936163E-005</v>
      </c>
      <c r="I1457" s="37" t="n">
        <f aca="false">I1456+H1457</f>
        <v>0.984735790720825</v>
      </c>
      <c r="J1457" s="37" t="n">
        <f aca="false">A1457/2840</f>
        <v>0.51056338028169</v>
      </c>
      <c r="K1457" s="32" t="str">
        <f aca="false">IF(I1457&lt;=$E$4,"A",IF(I1457&lt;=$E$5,"B","C"))</f>
        <v>C</v>
      </c>
    </row>
    <row r="1458" customFormat="false" ht="15" hidden="false" customHeight="false" outlineLevel="0" collapsed="false">
      <c r="A1458" s="32" t="n">
        <v>1451</v>
      </c>
      <c r="B1458" s="33" t="n">
        <v>1463690</v>
      </c>
      <c r="C1458" s="34" t="s">
        <v>2987</v>
      </c>
      <c r="D1458" s="34" t="s">
        <v>2988</v>
      </c>
      <c r="E1458" s="34" t="s">
        <v>38</v>
      </c>
      <c r="F1458" s="32" t="n">
        <f aca="false">COUNTIF(Base!$D$2:$D$2878,B1458)</f>
        <v>1</v>
      </c>
      <c r="G1458" s="35" t="n">
        <f aca="false">SUMIF(Base!$D$2:$D$2878,B1458,Base!$I$2:$I$2878)</f>
        <v>498.96</v>
      </c>
      <c r="H1458" s="36" t="n">
        <f aca="false">IF($G$2849=0,0,G1458/$G$2849)</f>
        <v>3.274286604711E-005</v>
      </c>
      <c r="I1458" s="37" t="n">
        <f aca="false">I1457+H1458</f>
        <v>0.984768533586872</v>
      </c>
      <c r="J1458" s="37" t="n">
        <f aca="false">A1458/2840</f>
        <v>0.510915492957747</v>
      </c>
      <c r="K1458" s="32" t="str">
        <f aca="false">IF(I1458&lt;=$E$4,"A",IF(I1458&lt;=$E$5,"B","C"))</f>
        <v>C</v>
      </c>
    </row>
    <row r="1459" customFormat="false" ht="15" hidden="false" customHeight="false" outlineLevel="0" collapsed="false">
      <c r="A1459" s="32" t="n">
        <v>1452</v>
      </c>
      <c r="B1459" s="33" t="n">
        <v>17946</v>
      </c>
      <c r="C1459" s="34" t="s">
        <v>2989</v>
      </c>
      <c r="D1459" s="34" t="s">
        <v>2990</v>
      </c>
      <c r="E1459" s="34" t="s">
        <v>130</v>
      </c>
      <c r="F1459" s="32" t="n">
        <f aca="false">COUNTIF(Base!$D$2:$D$2878,B1459)</f>
        <v>1</v>
      </c>
      <c r="G1459" s="35" t="n">
        <f aca="false">SUMIF(Base!$D$2:$D$2878,B1459,Base!$I$2:$I$2878)</f>
        <v>498.28</v>
      </c>
      <c r="H1459" s="36" t="n">
        <f aca="false">IF($G$2849=0,0,G1459/$G$2849)</f>
        <v>3.26982429332091E-005</v>
      </c>
      <c r="I1459" s="37" t="n">
        <f aca="false">I1458+H1459</f>
        <v>0.984801231829805</v>
      </c>
      <c r="J1459" s="37" t="n">
        <f aca="false">A1459/2840</f>
        <v>0.511267605633803</v>
      </c>
      <c r="K1459" s="32" t="str">
        <f aca="false">IF(I1459&lt;=$E$4,"A",IF(I1459&lt;=$E$5,"B","C"))</f>
        <v>C</v>
      </c>
    </row>
    <row r="1460" customFormat="false" ht="15" hidden="false" customHeight="false" outlineLevel="0" collapsed="false">
      <c r="A1460" s="32" t="n">
        <v>1453</v>
      </c>
      <c r="B1460" s="33" t="n">
        <v>19653</v>
      </c>
      <c r="C1460" s="34" t="s">
        <v>2991</v>
      </c>
      <c r="D1460" s="34" t="s">
        <v>2992</v>
      </c>
      <c r="E1460" s="34" t="s">
        <v>1095</v>
      </c>
      <c r="F1460" s="32" t="n">
        <f aca="false">COUNTIF(Base!$D$2:$D$2878,B1460)</f>
        <v>1</v>
      </c>
      <c r="G1460" s="35" t="n">
        <f aca="false">SUMIF(Base!$D$2:$D$2878,B1460,Base!$I$2:$I$2878)</f>
        <v>497.85</v>
      </c>
      <c r="H1460" s="36" t="n">
        <f aca="false">IF($G$2849=0,0,G1460/$G$2849)</f>
        <v>3.26700253758893E-005</v>
      </c>
      <c r="I1460" s="37" t="n">
        <f aca="false">I1459+H1460</f>
        <v>0.984833901855181</v>
      </c>
      <c r="J1460" s="37" t="n">
        <f aca="false">A1460/2840</f>
        <v>0.511619718309859</v>
      </c>
      <c r="K1460" s="32" t="str">
        <f aca="false">IF(I1460&lt;=$E$4,"A",IF(I1460&lt;=$E$5,"B","C"))</f>
        <v>C</v>
      </c>
    </row>
    <row r="1461" customFormat="false" ht="15" hidden="false" customHeight="false" outlineLevel="0" collapsed="false">
      <c r="A1461" s="32" t="n">
        <v>1454</v>
      </c>
      <c r="B1461" s="33" t="n">
        <v>1475951</v>
      </c>
      <c r="C1461" s="34" t="s">
        <v>2993</v>
      </c>
      <c r="D1461" s="34" t="s">
        <v>2994</v>
      </c>
      <c r="E1461" s="34" t="s">
        <v>1095</v>
      </c>
      <c r="F1461" s="32" t="n">
        <f aca="false">COUNTIF(Base!$D$2:$D$2878,B1461)</f>
        <v>2</v>
      </c>
      <c r="G1461" s="35" t="n">
        <f aca="false">SUMIF(Base!$D$2:$D$2878,B1461,Base!$I$2:$I$2878)</f>
        <v>497.42</v>
      </c>
      <c r="H1461" s="36" t="n">
        <f aca="false">IF($G$2849=0,0,G1461/$G$2849)</f>
        <v>3.26418078185696E-005</v>
      </c>
      <c r="I1461" s="37" t="n">
        <f aca="false">I1460+H1461</f>
        <v>0.984866543663</v>
      </c>
      <c r="J1461" s="37" t="n">
        <f aca="false">A1461/2840</f>
        <v>0.511971830985916</v>
      </c>
      <c r="K1461" s="32" t="str">
        <f aca="false">IF(I1461&lt;=$E$4,"A",IF(I1461&lt;=$E$5,"B","C"))</f>
        <v>C</v>
      </c>
    </row>
    <row r="1462" customFormat="false" ht="15" hidden="false" customHeight="false" outlineLevel="0" collapsed="false">
      <c r="A1462" s="32" t="n">
        <v>1455</v>
      </c>
      <c r="B1462" s="33" t="n">
        <v>1063861</v>
      </c>
      <c r="C1462" s="34" t="s">
        <v>2995</v>
      </c>
      <c r="D1462" s="34" t="s">
        <v>2996</v>
      </c>
      <c r="E1462" s="34" t="s">
        <v>247</v>
      </c>
      <c r="F1462" s="32" t="n">
        <f aca="false">COUNTIF(Base!$D$2:$D$2878,B1462)</f>
        <v>1</v>
      </c>
      <c r="G1462" s="35" t="n">
        <f aca="false">SUMIF(Base!$D$2:$D$2878,B1462,Base!$I$2:$I$2878)</f>
        <v>497</v>
      </c>
      <c r="H1462" s="36" t="n">
        <f aca="false">IF($G$2849=0,0,G1462/$G$2849)</f>
        <v>3.26142464835131E-005</v>
      </c>
      <c r="I1462" s="37" t="n">
        <f aca="false">I1461+H1462</f>
        <v>0.984899157909483</v>
      </c>
      <c r="J1462" s="37" t="n">
        <f aca="false">A1462/2840</f>
        <v>0.512323943661972</v>
      </c>
      <c r="K1462" s="32" t="str">
        <f aca="false">IF(I1462&lt;=$E$4,"A",IF(I1462&lt;=$E$5,"B","C"))</f>
        <v>C</v>
      </c>
    </row>
    <row r="1463" customFormat="false" ht="15" hidden="false" customHeight="false" outlineLevel="0" collapsed="false">
      <c r="A1463" s="32" t="n">
        <v>1456</v>
      </c>
      <c r="B1463" s="33" t="n">
        <v>1259178</v>
      </c>
      <c r="C1463" s="34" t="s">
        <v>2997</v>
      </c>
      <c r="D1463" s="34" t="s">
        <v>2998</v>
      </c>
      <c r="E1463" s="34" t="s">
        <v>133</v>
      </c>
      <c r="F1463" s="32" t="n">
        <f aca="false">COUNTIF(Base!$D$2:$D$2878,B1463)</f>
        <v>1</v>
      </c>
      <c r="G1463" s="35" t="n">
        <f aca="false">SUMIF(Base!$D$2:$D$2878,B1463,Base!$I$2:$I$2878)</f>
        <v>496.35</v>
      </c>
      <c r="H1463" s="36" t="n">
        <f aca="false">IF($G$2849=0,0,G1463/$G$2849)</f>
        <v>3.25715920364019E-005</v>
      </c>
      <c r="I1463" s="37" t="n">
        <f aca="false">I1462+H1463</f>
        <v>0.98493172950152</v>
      </c>
      <c r="J1463" s="37" t="n">
        <f aca="false">A1463/2840</f>
        <v>0.512676056338028</v>
      </c>
      <c r="K1463" s="32" t="str">
        <f aca="false">IF(I1463&lt;=$E$4,"A",IF(I1463&lt;=$E$5,"B","C"))</f>
        <v>C</v>
      </c>
    </row>
    <row r="1464" customFormat="false" ht="15" hidden="false" customHeight="false" outlineLevel="0" collapsed="false">
      <c r="A1464" s="32" t="n">
        <v>1457</v>
      </c>
      <c r="B1464" s="33" t="n">
        <v>1093796</v>
      </c>
      <c r="C1464" s="34" t="s">
        <v>2999</v>
      </c>
      <c r="D1464" s="34" t="s">
        <v>3000</v>
      </c>
      <c r="E1464" s="34" t="s">
        <v>130</v>
      </c>
      <c r="F1464" s="32" t="n">
        <f aca="false">COUNTIF(Base!$D$2:$D$2878,B1464)</f>
        <v>1</v>
      </c>
      <c r="G1464" s="35" t="n">
        <f aca="false">SUMIF(Base!$D$2:$D$2878,B1464,Base!$I$2:$I$2878)</f>
        <v>495</v>
      </c>
      <c r="H1464" s="36" t="n">
        <f aca="false">IF($G$2849=0,0,G1464/$G$2849)</f>
        <v>3.24830020308631E-005</v>
      </c>
      <c r="I1464" s="37" t="n">
        <f aca="false">I1463+H1464</f>
        <v>0.98496421250355</v>
      </c>
      <c r="J1464" s="37" t="n">
        <f aca="false">A1464/2840</f>
        <v>0.513028169014085</v>
      </c>
      <c r="K1464" s="32" t="str">
        <f aca="false">IF(I1464&lt;=$E$4,"A",IF(I1464&lt;=$E$5,"B","C"))</f>
        <v>C</v>
      </c>
    </row>
    <row r="1465" customFormat="false" ht="15" hidden="false" customHeight="false" outlineLevel="0" collapsed="false">
      <c r="A1465" s="32" t="n">
        <v>1458</v>
      </c>
      <c r="B1465" s="33" t="n">
        <v>1330567</v>
      </c>
      <c r="C1465" s="34" t="s">
        <v>3001</v>
      </c>
      <c r="D1465" s="34" t="s">
        <v>3002</v>
      </c>
      <c r="E1465" s="34" t="s">
        <v>54</v>
      </c>
      <c r="F1465" s="32" t="n">
        <f aca="false">COUNTIF(Base!$D$2:$D$2878,B1465)</f>
        <v>1</v>
      </c>
      <c r="G1465" s="35" t="n">
        <f aca="false">SUMIF(Base!$D$2:$D$2878,B1465,Base!$I$2:$I$2878)</f>
        <v>493.9</v>
      </c>
      <c r="H1465" s="36" t="n">
        <f aca="false">IF($G$2849=0,0,G1465/$G$2849)</f>
        <v>3.24108175819057E-005</v>
      </c>
      <c r="I1465" s="37" t="n">
        <f aca="false">I1464+H1465</f>
        <v>0.984996623321132</v>
      </c>
      <c r="J1465" s="37" t="n">
        <f aca="false">A1465/2840</f>
        <v>0.513380281690141</v>
      </c>
      <c r="K1465" s="32" t="str">
        <f aca="false">IF(I1465&lt;=$E$4,"A",IF(I1465&lt;=$E$5,"B","C"))</f>
        <v>C</v>
      </c>
    </row>
    <row r="1466" customFormat="false" ht="15" hidden="false" customHeight="false" outlineLevel="0" collapsed="false">
      <c r="A1466" s="32" t="n">
        <v>1459</v>
      </c>
      <c r="B1466" s="33" t="n">
        <v>17944</v>
      </c>
      <c r="C1466" s="34" t="s">
        <v>3003</v>
      </c>
      <c r="D1466" s="34" t="s">
        <v>3004</v>
      </c>
      <c r="E1466" s="34" t="s">
        <v>130</v>
      </c>
      <c r="F1466" s="32" t="n">
        <f aca="false">COUNTIF(Base!$D$2:$D$2878,B1466)</f>
        <v>1</v>
      </c>
      <c r="G1466" s="35" t="n">
        <f aca="false">SUMIF(Base!$D$2:$D$2878,B1466,Base!$I$2:$I$2878)</f>
        <v>493.56</v>
      </c>
      <c r="H1466" s="36" t="n">
        <f aca="false">IF($G$2849=0,0,G1466/$G$2849)</f>
        <v>3.23885060249552E-005</v>
      </c>
      <c r="I1466" s="37" t="n">
        <f aca="false">I1465+H1466</f>
        <v>0.985029011827157</v>
      </c>
      <c r="J1466" s="37" t="n">
        <f aca="false">A1466/2840</f>
        <v>0.513732394366197</v>
      </c>
      <c r="K1466" s="32" t="str">
        <f aca="false">IF(I1466&lt;=$E$4,"A",IF(I1466&lt;=$E$5,"B","C"))</f>
        <v>C</v>
      </c>
    </row>
    <row r="1467" customFormat="false" ht="15" hidden="false" customHeight="false" outlineLevel="0" collapsed="false">
      <c r="A1467" s="32" t="n">
        <v>1460</v>
      </c>
      <c r="B1467" s="33" t="n">
        <v>16840</v>
      </c>
      <c r="C1467" s="34" t="s">
        <v>3005</v>
      </c>
      <c r="D1467" s="34" t="s">
        <v>3006</v>
      </c>
      <c r="E1467" s="34" t="s">
        <v>100</v>
      </c>
      <c r="F1467" s="32" t="n">
        <f aca="false">COUNTIF(Base!$D$2:$D$2878,B1467)</f>
        <v>1</v>
      </c>
      <c r="G1467" s="35" t="n">
        <f aca="false">SUMIF(Base!$D$2:$D$2878,B1467,Base!$I$2:$I$2878)</f>
        <v>493.36</v>
      </c>
      <c r="H1467" s="36" t="n">
        <f aca="false">IF($G$2849=0,0,G1467/$G$2849)</f>
        <v>3.23753815796902E-005</v>
      </c>
      <c r="I1467" s="37" t="n">
        <f aca="false">I1466+H1467</f>
        <v>0.985061387208737</v>
      </c>
      <c r="J1467" s="37" t="n">
        <f aca="false">A1467/2840</f>
        <v>0.514084507042254</v>
      </c>
      <c r="K1467" s="32" t="str">
        <f aca="false">IF(I1467&lt;=$E$4,"A",IF(I1467&lt;=$E$5,"B","C"))</f>
        <v>C</v>
      </c>
    </row>
    <row r="1468" customFormat="false" ht="15" hidden="false" customHeight="false" outlineLevel="0" collapsed="false">
      <c r="A1468" s="32" t="n">
        <v>1461</v>
      </c>
      <c r="B1468" s="33" t="n">
        <v>227988</v>
      </c>
      <c r="C1468" s="34" t="s">
        <v>3007</v>
      </c>
      <c r="D1468" s="34" t="s">
        <v>3008</v>
      </c>
      <c r="E1468" s="34" t="s">
        <v>360</v>
      </c>
      <c r="F1468" s="32" t="n">
        <f aca="false">COUNTIF(Base!$D$2:$D$2878,B1468)</f>
        <v>1</v>
      </c>
      <c r="G1468" s="35" t="n">
        <f aca="false">SUMIF(Base!$D$2:$D$2878,B1468,Base!$I$2:$I$2878)</f>
        <v>493</v>
      </c>
      <c r="H1468" s="36" t="n">
        <f aca="false">IF($G$2849=0,0,G1468/$G$2849)</f>
        <v>3.23517575782132E-005</v>
      </c>
      <c r="I1468" s="37" t="n">
        <f aca="false">I1467+H1468</f>
        <v>0.985093738966315</v>
      </c>
      <c r="J1468" s="37" t="n">
        <f aca="false">A1468/2840</f>
        <v>0.51443661971831</v>
      </c>
      <c r="K1468" s="32" t="str">
        <f aca="false">IF(I1468&lt;=$E$4,"A",IF(I1468&lt;=$E$5,"B","C"))</f>
        <v>C</v>
      </c>
    </row>
    <row r="1469" customFormat="false" ht="15" hidden="false" customHeight="false" outlineLevel="0" collapsed="false">
      <c r="A1469" s="32" t="n">
        <v>1462</v>
      </c>
      <c r="B1469" s="33" t="n">
        <v>1465400</v>
      </c>
      <c r="C1469" s="34" t="s">
        <v>3009</v>
      </c>
      <c r="D1469" s="34" t="s">
        <v>3010</v>
      </c>
      <c r="E1469" s="34" t="s">
        <v>38</v>
      </c>
      <c r="F1469" s="32" t="n">
        <f aca="false">COUNTIF(Base!$D$2:$D$2878,B1469)</f>
        <v>1</v>
      </c>
      <c r="G1469" s="35" t="n">
        <f aca="false">SUMIF(Base!$D$2:$D$2878,B1469,Base!$I$2:$I$2878)</f>
        <v>492.15</v>
      </c>
      <c r="H1469" s="36" t="n">
        <f aca="false">IF($G$2849=0,0,G1469/$G$2849)</f>
        <v>3.22959786858369E-005</v>
      </c>
      <c r="I1469" s="37" t="n">
        <f aca="false">I1468+H1469</f>
        <v>0.985126034945001</v>
      </c>
      <c r="J1469" s="37" t="n">
        <f aca="false">A1469/2840</f>
        <v>0.514788732394366</v>
      </c>
      <c r="K1469" s="32" t="str">
        <f aca="false">IF(I1469&lt;=$E$4,"A",IF(I1469&lt;=$E$5,"B","C"))</f>
        <v>C</v>
      </c>
    </row>
    <row r="1470" customFormat="false" ht="15" hidden="false" customHeight="false" outlineLevel="0" collapsed="false">
      <c r="A1470" s="32" t="n">
        <v>1463</v>
      </c>
      <c r="B1470" s="33" t="n">
        <v>1465402</v>
      </c>
      <c r="C1470" s="34" t="s">
        <v>3011</v>
      </c>
      <c r="D1470" s="34" t="s">
        <v>3012</v>
      </c>
      <c r="E1470" s="34" t="s">
        <v>32</v>
      </c>
      <c r="F1470" s="32" t="n">
        <f aca="false">COUNTIF(Base!$D$2:$D$2878,B1470)</f>
        <v>1</v>
      </c>
      <c r="G1470" s="35" t="n">
        <f aca="false">SUMIF(Base!$D$2:$D$2878,B1470,Base!$I$2:$I$2878)</f>
        <v>492.15</v>
      </c>
      <c r="H1470" s="36" t="n">
        <f aca="false">IF($G$2849=0,0,G1470/$G$2849)</f>
        <v>3.22959786858369E-005</v>
      </c>
      <c r="I1470" s="37" t="n">
        <f aca="false">I1469+H1470</f>
        <v>0.985158330923687</v>
      </c>
      <c r="J1470" s="37" t="n">
        <f aca="false">A1470/2840</f>
        <v>0.515140845070423</v>
      </c>
      <c r="K1470" s="32" t="str">
        <f aca="false">IF(I1470&lt;=$E$4,"A",IF(I1470&lt;=$E$5,"B","C"))</f>
        <v>C</v>
      </c>
    </row>
    <row r="1471" customFormat="false" ht="15" hidden="false" customHeight="false" outlineLevel="0" collapsed="false">
      <c r="A1471" s="32" t="n">
        <v>1464</v>
      </c>
      <c r="B1471" s="33" t="n">
        <v>1465403</v>
      </c>
      <c r="C1471" s="34" t="s">
        <v>3013</v>
      </c>
      <c r="D1471" s="34" t="s">
        <v>3014</v>
      </c>
      <c r="E1471" s="34" t="s">
        <v>38</v>
      </c>
      <c r="F1471" s="32" t="n">
        <f aca="false">COUNTIF(Base!$D$2:$D$2878,B1471)</f>
        <v>1</v>
      </c>
      <c r="G1471" s="35" t="n">
        <f aca="false">SUMIF(Base!$D$2:$D$2878,B1471,Base!$I$2:$I$2878)</f>
        <v>492.15</v>
      </c>
      <c r="H1471" s="36" t="n">
        <f aca="false">IF($G$2849=0,0,G1471/$G$2849)</f>
        <v>3.22959786858369E-005</v>
      </c>
      <c r="I1471" s="37" t="n">
        <f aca="false">I1470+H1471</f>
        <v>0.985190626902373</v>
      </c>
      <c r="J1471" s="37" t="n">
        <f aca="false">A1471/2840</f>
        <v>0.515492957746479</v>
      </c>
      <c r="K1471" s="32" t="str">
        <f aca="false">IF(I1471&lt;=$E$4,"A",IF(I1471&lt;=$E$5,"B","C"))</f>
        <v>C</v>
      </c>
    </row>
    <row r="1472" customFormat="false" ht="15" hidden="false" customHeight="false" outlineLevel="0" collapsed="false">
      <c r="A1472" s="32" t="n">
        <v>1465</v>
      </c>
      <c r="B1472" s="33" t="n">
        <v>1382865</v>
      </c>
      <c r="C1472" s="34" t="s">
        <v>3015</v>
      </c>
      <c r="D1472" s="34" t="s">
        <v>3016</v>
      </c>
      <c r="E1472" s="34" t="s">
        <v>38</v>
      </c>
      <c r="F1472" s="32" t="n">
        <f aca="false">COUNTIF(Base!$D$2:$D$2878,B1472)</f>
        <v>1</v>
      </c>
      <c r="G1472" s="35" t="n">
        <f aca="false">SUMIF(Base!$D$2:$D$2878,B1472,Base!$I$2:$I$2878)</f>
        <v>491.95</v>
      </c>
      <c r="H1472" s="36" t="n">
        <f aca="false">IF($G$2849=0,0,G1472/$G$2849)</f>
        <v>3.2282854240572E-005</v>
      </c>
      <c r="I1472" s="37" t="n">
        <f aca="false">I1471+H1472</f>
        <v>0.985222909756613</v>
      </c>
      <c r="J1472" s="37" t="n">
        <f aca="false">A1472/2840</f>
        <v>0.515845070422535</v>
      </c>
      <c r="K1472" s="32" t="str">
        <f aca="false">IF(I1472&lt;=$E$4,"A",IF(I1472&lt;=$E$5,"B","C"))</f>
        <v>C</v>
      </c>
    </row>
    <row r="1473" customFormat="false" ht="15" hidden="false" customHeight="false" outlineLevel="0" collapsed="false">
      <c r="A1473" s="32" t="n">
        <v>1466</v>
      </c>
      <c r="B1473" s="33" t="n">
        <v>556797</v>
      </c>
      <c r="C1473" s="34" t="s">
        <v>3017</v>
      </c>
      <c r="D1473" s="34" t="s">
        <v>3018</v>
      </c>
      <c r="E1473" s="34" t="s">
        <v>130</v>
      </c>
      <c r="F1473" s="32" t="n">
        <f aca="false">COUNTIF(Base!$D$2:$D$2878,B1473)</f>
        <v>1</v>
      </c>
      <c r="G1473" s="35" t="n">
        <f aca="false">SUMIF(Base!$D$2:$D$2878,B1473,Base!$I$2:$I$2878)</f>
        <v>491.6</v>
      </c>
      <c r="H1473" s="36" t="n">
        <f aca="false">IF($G$2849=0,0,G1473/$G$2849)</f>
        <v>3.22598864613582E-005</v>
      </c>
      <c r="I1473" s="37" t="n">
        <f aca="false">I1472+H1473</f>
        <v>0.985255169643075</v>
      </c>
      <c r="J1473" s="37" t="n">
        <f aca="false">A1473/2840</f>
        <v>0.516197183098592</v>
      </c>
      <c r="K1473" s="32" t="str">
        <f aca="false">IF(I1473&lt;=$E$4,"A",IF(I1473&lt;=$E$5,"B","C"))</f>
        <v>C</v>
      </c>
    </row>
    <row r="1474" customFormat="false" ht="15" hidden="false" customHeight="false" outlineLevel="0" collapsed="false">
      <c r="A1474" s="32" t="n">
        <v>1467</v>
      </c>
      <c r="B1474" s="33" t="n">
        <v>1380290</v>
      </c>
      <c r="C1474" s="34" t="s">
        <v>3019</v>
      </c>
      <c r="D1474" s="34" t="s">
        <v>3020</v>
      </c>
      <c r="E1474" s="34" t="s">
        <v>54</v>
      </c>
      <c r="F1474" s="32" t="n">
        <f aca="false">COUNTIF(Base!$D$2:$D$2878,B1474)</f>
        <v>1</v>
      </c>
      <c r="G1474" s="35" t="n">
        <f aca="false">SUMIF(Base!$D$2:$D$2878,B1474,Base!$I$2:$I$2878)</f>
        <v>490</v>
      </c>
      <c r="H1474" s="36" t="n">
        <f aca="false">IF($G$2849=0,0,G1474/$G$2849)</f>
        <v>3.21548908992383E-005</v>
      </c>
      <c r="I1474" s="37" t="n">
        <f aca="false">I1473+H1474</f>
        <v>0.985287324533974</v>
      </c>
      <c r="J1474" s="37" t="n">
        <f aca="false">A1474/2840</f>
        <v>0.516549295774648</v>
      </c>
      <c r="K1474" s="32" t="str">
        <f aca="false">IF(I1474&lt;=$E$4,"A",IF(I1474&lt;=$E$5,"B","C"))</f>
        <v>C</v>
      </c>
    </row>
    <row r="1475" customFormat="false" ht="15" hidden="false" customHeight="false" outlineLevel="0" collapsed="false">
      <c r="A1475" s="32" t="n">
        <v>1468</v>
      </c>
      <c r="B1475" s="33" t="n">
        <v>839232</v>
      </c>
      <c r="C1475" s="34" t="s">
        <v>3021</v>
      </c>
      <c r="D1475" s="34" t="s">
        <v>3022</v>
      </c>
      <c r="E1475" s="34" t="s">
        <v>47</v>
      </c>
      <c r="F1475" s="32" t="n">
        <f aca="false">COUNTIF(Base!$D$2:$D$2878,B1475)</f>
        <v>1</v>
      </c>
      <c r="G1475" s="35" t="n">
        <f aca="false">SUMIF(Base!$D$2:$D$2878,B1475,Base!$I$2:$I$2878)</f>
        <v>489.41</v>
      </c>
      <c r="H1475" s="36" t="n">
        <f aca="false">IF($G$2849=0,0,G1475/$G$2849)</f>
        <v>3.21161737857065E-005</v>
      </c>
      <c r="I1475" s="37" t="n">
        <f aca="false">I1474+H1475</f>
        <v>0.98531944070776</v>
      </c>
      <c r="J1475" s="37" t="n">
        <f aca="false">A1475/2840</f>
        <v>0.516901408450704</v>
      </c>
      <c r="K1475" s="32" t="str">
        <f aca="false">IF(I1475&lt;=$E$4,"A",IF(I1475&lt;=$E$5,"B","C"))</f>
        <v>C</v>
      </c>
    </row>
    <row r="1476" customFormat="false" ht="15" hidden="false" customHeight="false" outlineLevel="0" collapsed="false">
      <c r="A1476" s="32" t="n">
        <v>1469</v>
      </c>
      <c r="B1476" s="33" t="n">
        <v>749215</v>
      </c>
      <c r="C1476" s="34" t="s">
        <v>3023</v>
      </c>
      <c r="D1476" s="34" t="s">
        <v>3024</v>
      </c>
      <c r="E1476" s="34" t="s">
        <v>113</v>
      </c>
      <c r="F1476" s="32" t="n">
        <f aca="false">COUNTIF(Base!$D$2:$D$2878,B1476)</f>
        <v>1</v>
      </c>
      <c r="G1476" s="35" t="n">
        <f aca="false">SUMIF(Base!$D$2:$D$2878,B1476,Base!$I$2:$I$2878)</f>
        <v>488</v>
      </c>
      <c r="H1476" s="36" t="n">
        <f aca="false">IF($G$2849=0,0,G1476/$G$2849)</f>
        <v>3.20236464465883E-005</v>
      </c>
      <c r="I1476" s="37" t="n">
        <f aca="false">I1475+H1476</f>
        <v>0.985351464354206</v>
      </c>
      <c r="J1476" s="37" t="n">
        <f aca="false">A1476/2840</f>
        <v>0.517253521126761</v>
      </c>
      <c r="K1476" s="32" t="str">
        <f aca="false">IF(I1476&lt;=$E$4,"A",IF(I1476&lt;=$E$5,"B","C"))</f>
        <v>C</v>
      </c>
    </row>
    <row r="1477" customFormat="false" ht="15" hidden="false" customHeight="false" outlineLevel="0" collapsed="false">
      <c r="A1477" s="32" t="n">
        <v>1470</v>
      </c>
      <c r="B1477" s="33" t="n">
        <v>18956</v>
      </c>
      <c r="C1477" s="34" t="s">
        <v>3025</v>
      </c>
      <c r="D1477" s="34" t="s">
        <v>3026</v>
      </c>
      <c r="E1477" s="34" t="s">
        <v>247</v>
      </c>
      <c r="F1477" s="32" t="n">
        <f aca="false">COUNTIF(Base!$D$2:$D$2878,B1477)</f>
        <v>1</v>
      </c>
      <c r="G1477" s="35" t="n">
        <f aca="false">SUMIF(Base!$D$2:$D$2878,B1477,Base!$I$2:$I$2878)</f>
        <v>487.23</v>
      </c>
      <c r="H1477" s="36" t="n">
        <f aca="false">IF($G$2849=0,0,G1477/$G$2849)</f>
        <v>3.19731173323181E-005</v>
      </c>
      <c r="I1477" s="37" t="n">
        <f aca="false">I1476+H1477</f>
        <v>0.985383437471538</v>
      </c>
      <c r="J1477" s="37" t="n">
        <f aca="false">A1477/2840</f>
        <v>0.517605633802817</v>
      </c>
      <c r="K1477" s="32" t="str">
        <f aca="false">IF(I1477&lt;=$E$4,"A",IF(I1477&lt;=$E$5,"B","C"))</f>
        <v>C</v>
      </c>
    </row>
    <row r="1478" customFormat="false" ht="15" hidden="false" customHeight="false" outlineLevel="0" collapsed="false">
      <c r="A1478" s="32" t="n">
        <v>1471</v>
      </c>
      <c r="B1478" s="33" t="n">
        <v>563273</v>
      </c>
      <c r="C1478" s="34" t="s">
        <v>3027</v>
      </c>
      <c r="D1478" s="34" t="s">
        <v>3028</v>
      </c>
      <c r="E1478" s="34" t="s">
        <v>35</v>
      </c>
      <c r="F1478" s="32" t="n">
        <f aca="false">COUNTIF(Base!$D$2:$D$2878,B1478)</f>
        <v>1</v>
      </c>
      <c r="G1478" s="35" t="n">
        <f aca="false">SUMIF(Base!$D$2:$D$2878,B1478,Base!$I$2:$I$2878)</f>
        <v>487.05</v>
      </c>
      <c r="H1478" s="36" t="n">
        <f aca="false">IF($G$2849=0,0,G1478/$G$2849)</f>
        <v>3.19613053315796E-005</v>
      </c>
      <c r="I1478" s="37" t="n">
        <f aca="false">I1477+H1478</f>
        <v>0.98541539877687</v>
      </c>
      <c r="J1478" s="37" t="n">
        <f aca="false">A1478/2840</f>
        <v>0.517957746478873</v>
      </c>
      <c r="K1478" s="32" t="str">
        <f aca="false">IF(I1478&lt;=$E$4,"A",IF(I1478&lt;=$E$5,"B","C"))</f>
        <v>C</v>
      </c>
    </row>
    <row r="1479" customFormat="false" ht="15" hidden="false" customHeight="false" outlineLevel="0" collapsed="false">
      <c r="A1479" s="32" t="n">
        <v>1472</v>
      </c>
      <c r="B1479" s="33" t="n">
        <v>1323137</v>
      </c>
      <c r="C1479" s="34" t="s">
        <v>3029</v>
      </c>
      <c r="D1479" s="34" t="s">
        <v>3030</v>
      </c>
      <c r="E1479" s="34" t="s">
        <v>38</v>
      </c>
      <c r="F1479" s="32" t="n">
        <f aca="false">COUNTIF(Base!$D$2:$D$2878,B1479)</f>
        <v>1</v>
      </c>
      <c r="G1479" s="35" t="n">
        <f aca="false">SUMIF(Base!$D$2:$D$2878,B1479,Base!$I$2:$I$2878)</f>
        <v>484</v>
      </c>
      <c r="H1479" s="36" t="n">
        <f aca="false">IF($G$2849=0,0,G1479/$G$2849)</f>
        <v>3.17611575412884E-005</v>
      </c>
      <c r="I1479" s="37" t="n">
        <f aca="false">I1478+H1479</f>
        <v>0.985447159934411</v>
      </c>
      <c r="J1479" s="37" t="n">
        <f aca="false">A1479/2840</f>
        <v>0.51830985915493</v>
      </c>
      <c r="K1479" s="32" t="str">
        <f aca="false">IF(I1479&lt;=$E$4,"A",IF(I1479&lt;=$E$5,"B","C"))</f>
        <v>C</v>
      </c>
    </row>
    <row r="1480" customFormat="false" ht="15" hidden="false" customHeight="false" outlineLevel="0" collapsed="false">
      <c r="A1480" s="32" t="n">
        <v>1473</v>
      </c>
      <c r="B1480" s="33" t="n">
        <v>12297</v>
      </c>
      <c r="C1480" s="34" t="s">
        <v>3031</v>
      </c>
      <c r="D1480" s="34" t="s">
        <v>3032</v>
      </c>
      <c r="E1480" s="34" t="s">
        <v>38</v>
      </c>
      <c r="F1480" s="32" t="n">
        <f aca="false">COUNTIF(Base!$D$2:$D$2878,B1480)</f>
        <v>1</v>
      </c>
      <c r="G1480" s="35" t="n">
        <f aca="false">SUMIF(Base!$D$2:$D$2878,B1480,Base!$I$2:$I$2878)</f>
        <v>480</v>
      </c>
      <c r="H1480" s="36" t="n">
        <f aca="false">IF($G$2849=0,0,G1480/$G$2849)</f>
        <v>3.14986686359885E-005</v>
      </c>
      <c r="I1480" s="37" t="n">
        <f aca="false">I1479+H1480</f>
        <v>0.985478658603047</v>
      </c>
      <c r="J1480" s="37" t="n">
        <f aca="false">A1480/2840</f>
        <v>0.518661971830986</v>
      </c>
      <c r="K1480" s="32" t="str">
        <f aca="false">IF(I1480&lt;=$E$4,"A",IF(I1480&lt;=$E$5,"B","C"))</f>
        <v>C</v>
      </c>
    </row>
    <row r="1481" customFormat="false" ht="15" hidden="false" customHeight="false" outlineLevel="0" collapsed="false">
      <c r="A1481" s="32" t="n">
        <v>1474</v>
      </c>
      <c r="B1481" s="33" t="n">
        <v>12301</v>
      </c>
      <c r="C1481" s="34" t="s">
        <v>3033</v>
      </c>
      <c r="D1481" s="34" t="s">
        <v>3034</v>
      </c>
      <c r="E1481" s="34" t="s">
        <v>38</v>
      </c>
      <c r="F1481" s="32" t="n">
        <f aca="false">COUNTIF(Base!$D$2:$D$2878,B1481)</f>
        <v>1</v>
      </c>
      <c r="G1481" s="35" t="n">
        <f aca="false">SUMIF(Base!$D$2:$D$2878,B1481,Base!$I$2:$I$2878)</f>
        <v>480</v>
      </c>
      <c r="H1481" s="36" t="n">
        <f aca="false">IF($G$2849=0,0,G1481/$G$2849)</f>
        <v>3.14986686359885E-005</v>
      </c>
      <c r="I1481" s="37" t="n">
        <f aca="false">I1480+H1481</f>
        <v>0.985510157271683</v>
      </c>
      <c r="J1481" s="37" t="n">
        <f aca="false">A1481/2840</f>
        <v>0.519014084507042</v>
      </c>
      <c r="K1481" s="32" t="str">
        <f aca="false">IF(I1481&lt;=$E$4,"A",IF(I1481&lt;=$E$5,"B","C"))</f>
        <v>C</v>
      </c>
    </row>
    <row r="1482" customFormat="false" ht="15" hidden="false" customHeight="false" outlineLevel="0" collapsed="false">
      <c r="A1482" s="32" t="n">
        <v>1475</v>
      </c>
      <c r="B1482" s="33" t="n">
        <v>12302</v>
      </c>
      <c r="C1482" s="34" t="s">
        <v>3035</v>
      </c>
      <c r="D1482" s="34" t="s">
        <v>3036</v>
      </c>
      <c r="E1482" s="34" t="s">
        <v>38</v>
      </c>
      <c r="F1482" s="32" t="n">
        <f aca="false">COUNTIF(Base!$D$2:$D$2878,B1482)</f>
        <v>1</v>
      </c>
      <c r="G1482" s="35" t="n">
        <f aca="false">SUMIF(Base!$D$2:$D$2878,B1482,Base!$I$2:$I$2878)</f>
        <v>480</v>
      </c>
      <c r="H1482" s="36" t="n">
        <f aca="false">IF($G$2849=0,0,G1482/$G$2849)</f>
        <v>3.14986686359885E-005</v>
      </c>
      <c r="I1482" s="37" t="n">
        <f aca="false">I1481+H1482</f>
        <v>0.985541655940319</v>
      </c>
      <c r="J1482" s="37" t="n">
        <f aca="false">A1482/2840</f>
        <v>0.519366197183099</v>
      </c>
      <c r="K1482" s="32" t="str">
        <f aca="false">IF(I1482&lt;=$E$4,"A",IF(I1482&lt;=$E$5,"B","C"))</f>
        <v>C</v>
      </c>
    </row>
    <row r="1483" customFormat="false" ht="15" hidden="false" customHeight="false" outlineLevel="0" collapsed="false">
      <c r="A1483" s="32" t="n">
        <v>1476</v>
      </c>
      <c r="B1483" s="33" t="n">
        <v>59749</v>
      </c>
      <c r="C1483" s="34" t="s">
        <v>3037</v>
      </c>
      <c r="D1483" s="34" t="s">
        <v>3038</v>
      </c>
      <c r="E1483" s="34" t="s">
        <v>54</v>
      </c>
      <c r="F1483" s="32" t="n">
        <f aca="false">COUNTIF(Base!$D$2:$D$2878,B1483)</f>
        <v>1</v>
      </c>
      <c r="G1483" s="35" t="n">
        <f aca="false">SUMIF(Base!$D$2:$D$2878,B1483,Base!$I$2:$I$2878)</f>
        <v>480</v>
      </c>
      <c r="H1483" s="36" t="n">
        <f aca="false">IF($G$2849=0,0,G1483/$G$2849)</f>
        <v>3.14986686359885E-005</v>
      </c>
      <c r="I1483" s="37" t="n">
        <f aca="false">I1482+H1483</f>
        <v>0.985573154608955</v>
      </c>
      <c r="J1483" s="37" t="n">
        <f aca="false">A1483/2840</f>
        <v>0.519718309859155</v>
      </c>
      <c r="K1483" s="32" t="str">
        <f aca="false">IF(I1483&lt;=$E$4,"A",IF(I1483&lt;=$E$5,"B","C"))</f>
        <v>C</v>
      </c>
    </row>
    <row r="1484" customFormat="false" ht="15" hidden="false" customHeight="false" outlineLevel="0" collapsed="false">
      <c r="A1484" s="32" t="n">
        <v>1477</v>
      </c>
      <c r="B1484" s="33" t="n">
        <v>275081</v>
      </c>
      <c r="C1484" s="34" t="s">
        <v>3039</v>
      </c>
      <c r="D1484" s="34" t="s">
        <v>3040</v>
      </c>
      <c r="E1484" s="34" t="s">
        <v>355</v>
      </c>
      <c r="F1484" s="32" t="n">
        <f aca="false">COUNTIF(Base!$D$2:$D$2878,B1484)</f>
        <v>1</v>
      </c>
      <c r="G1484" s="35" t="n">
        <f aca="false">SUMIF(Base!$D$2:$D$2878,B1484,Base!$I$2:$I$2878)</f>
        <v>480</v>
      </c>
      <c r="H1484" s="36" t="n">
        <f aca="false">IF($G$2849=0,0,G1484/$G$2849)</f>
        <v>3.14986686359885E-005</v>
      </c>
      <c r="I1484" s="37" t="n">
        <f aca="false">I1483+H1484</f>
        <v>0.985604653277591</v>
      </c>
      <c r="J1484" s="37" t="n">
        <f aca="false">A1484/2840</f>
        <v>0.520070422535211</v>
      </c>
      <c r="K1484" s="32" t="str">
        <f aca="false">IF(I1484&lt;=$E$4,"A",IF(I1484&lt;=$E$5,"B","C"))</f>
        <v>C</v>
      </c>
    </row>
    <row r="1485" customFormat="false" ht="15" hidden="false" customHeight="false" outlineLevel="0" collapsed="false">
      <c r="A1485" s="32" t="n">
        <v>1478</v>
      </c>
      <c r="B1485" s="33" t="n">
        <v>930638</v>
      </c>
      <c r="C1485" s="34" t="s">
        <v>3041</v>
      </c>
      <c r="D1485" s="34" t="s">
        <v>3042</v>
      </c>
      <c r="E1485" s="34" t="s">
        <v>35</v>
      </c>
      <c r="F1485" s="32" t="n">
        <f aca="false">COUNTIF(Base!$D$2:$D$2878,B1485)</f>
        <v>1</v>
      </c>
      <c r="G1485" s="35" t="n">
        <f aca="false">SUMIF(Base!$D$2:$D$2878,B1485,Base!$I$2:$I$2878)</f>
        <v>480</v>
      </c>
      <c r="H1485" s="36" t="n">
        <f aca="false">IF($G$2849=0,0,G1485/$G$2849)</f>
        <v>3.14986686359885E-005</v>
      </c>
      <c r="I1485" s="37" t="n">
        <f aca="false">I1484+H1485</f>
        <v>0.985636151946227</v>
      </c>
      <c r="J1485" s="37" t="n">
        <f aca="false">A1485/2840</f>
        <v>0.520422535211268</v>
      </c>
      <c r="K1485" s="32" t="str">
        <f aca="false">IF(I1485&lt;=$E$4,"A",IF(I1485&lt;=$E$5,"B","C"))</f>
        <v>C</v>
      </c>
    </row>
    <row r="1486" customFormat="false" ht="15" hidden="false" customHeight="false" outlineLevel="0" collapsed="false">
      <c r="A1486" s="32" t="n">
        <v>1479</v>
      </c>
      <c r="B1486" s="33" t="n">
        <v>1261317</v>
      </c>
      <c r="C1486" s="34" t="s">
        <v>3043</v>
      </c>
      <c r="D1486" s="34" t="s">
        <v>3044</v>
      </c>
      <c r="E1486" s="34" t="s">
        <v>457</v>
      </c>
      <c r="F1486" s="32" t="n">
        <f aca="false">COUNTIF(Base!$D$2:$D$2878,B1486)</f>
        <v>1</v>
      </c>
      <c r="G1486" s="35" t="n">
        <f aca="false">SUMIF(Base!$D$2:$D$2878,B1486,Base!$I$2:$I$2878)</f>
        <v>480</v>
      </c>
      <c r="H1486" s="36" t="n">
        <f aca="false">IF($G$2849=0,0,G1486/$G$2849)</f>
        <v>3.14986686359885E-005</v>
      </c>
      <c r="I1486" s="37" t="n">
        <f aca="false">I1485+H1486</f>
        <v>0.985667650614863</v>
      </c>
      <c r="J1486" s="37" t="n">
        <f aca="false">A1486/2840</f>
        <v>0.520774647887324</v>
      </c>
      <c r="K1486" s="32" t="str">
        <f aca="false">IF(I1486&lt;=$E$4,"A",IF(I1486&lt;=$E$5,"B","C"))</f>
        <v>C</v>
      </c>
    </row>
    <row r="1487" customFormat="false" ht="15" hidden="false" customHeight="false" outlineLevel="0" collapsed="false">
      <c r="A1487" s="32" t="n">
        <v>1480</v>
      </c>
      <c r="B1487" s="33" t="n">
        <v>862311</v>
      </c>
      <c r="C1487" s="34" t="s">
        <v>3045</v>
      </c>
      <c r="D1487" s="34" t="s">
        <v>3046</v>
      </c>
      <c r="E1487" s="34" t="s">
        <v>457</v>
      </c>
      <c r="F1487" s="32" t="n">
        <f aca="false">COUNTIF(Base!$D$2:$D$2878,B1487)</f>
        <v>1</v>
      </c>
      <c r="G1487" s="35" t="n">
        <f aca="false">SUMIF(Base!$D$2:$D$2878,B1487,Base!$I$2:$I$2878)</f>
        <v>478.3714</v>
      </c>
      <c r="H1487" s="36" t="n">
        <f aca="false">IF($G$2849=0,0,G1487/$G$2849)</f>
        <v>3.13917962781956E-005</v>
      </c>
      <c r="I1487" s="37" t="n">
        <f aca="false">I1486+H1487</f>
        <v>0.985699042411141</v>
      </c>
      <c r="J1487" s="37" t="n">
        <f aca="false">A1487/2840</f>
        <v>0.52112676056338</v>
      </c>
      <c r="K1487" s="32" t="str">
        <f aca="false">IF(I1487&lt;=$E$4,"A",IF(I1487&lt;=$E$5,"B","C"))</f>
        <v>C</v>
      </c>
    </row>
    <row r="1488" customFormat="false" ht="15" hidden="false" customHeight="false" outlineLevel="0" collapsed="false">
      <c r="A1488" s="32" t="n">
        <v>1481</v>
      </c>
      <c r="B1488" s="33" t="n">
        <v>18792</v>
      </c>
      <c r="C1488" s="34" t="s">
        <v>3047</v>
      </c>
      <c r="D1488" s="34" t="s">
        <v>3048</v>
      </c>
      <c r="E1488" s="34" t="s">
        <v>247</v>
      </c>
      <c r="F1488" s="32" t="n">
        <f aca="false">COUNTIF(Base!$D$2:$D$2878,B1488)</f>
        <v>1</v>
      </c>
      <c r="G1488" s="35" t="n">
        <f aca="false">SUMIF(Base!$D$2:$D$2878,B1488,Base!$I$2:$I$2878)</f>
        <v>477.274</v>
      </c>
      <c r="H1488" s="36" t="n">
        <f aca="false">IF($G$2849=0,0,G1488/$G$2849)</f>
        <v>3.13197824470266E-005</v>
      </c>
      <c r="I1488" s="37" t="n">
        <f aca="false">I1487+H1488</f>
        <v>0.985730362193588</v>
      </c>
      <c r="J1488" s="37" t="n">
        <f aca="false">A1488/2840</f>
        <v>0.521478873239437</v>
      </c>
      <c r="K1488" s="32" t="str">
        <f aca="false">IF(I1488&lt;=$E$4,"A",IF(I1488&lt;=$E$5,"B","C"))</f>
        <v>C</v>
      </c>
    </row>
    <row r="1489" customFormat="false" ht="15" hidden="false" customHeight="false" outlineLevel="0" collapsed="false">
      <c r="A1489" s="32" t="n">
        <v>1482</v>
      </c>
      <c r="B1489" s="33" t="n">
        <v>871346</v>
      </c>
      <c r="C1489" s="34" t="s">
        <v>3049</v>
      </c>
      <c r="D1489" s="34" t="s">
        <v>3050</v>
      </c>
      <c r="E1489" s="34" t="s">
        <v>66</v>
      </c>
      <c r="F1489" s="32" t="n">
        <f aca="false">COUNTIF(Base!$D$2:$D$2878,B1489)</f>
        <v>1</v>
      </c>
      <c r="G1489" s="35" t="n">
        <f aca="false">SUMIF(Base!$D$2:$D$2878,B1489,Base!$I$2:$I$2878)</f>
        <v>477.06</v>
      </c>
      <c r="H1489" s="36" t="n">
        <f aca="false">IF($G$2849=0,0,G1489/$G$2849)</f>
        <v>3.13057392905931E-005</v>
      </c>
      <c r="I1489" s="37" t="n">
        <f aca="false">I1488+H1489</f>
        <v>0.985761667932879</v>
      </c>
      <c r="J1489" s="37" t="n">
        <f aca="false">A1489/2840</f>
        <v>0.521830985915493</v>
      </c>
      <c r="K1489" s="32" t="str">
        <f aca="false">IF(I1489&lt;=$E$4,"A",IF(I1489&lt;=$E$5,"B","C"))</f>
        <v>C</v>
      </c>
    </row>
    <row r="1490" customFormat="false" ht="15" hidden="false" customHeight="false" outlineLevel="0" collapsed="false">
      <c r="A1490" s="32" t="n">
        <v>1483</v>
      </c>
      <c r="B1490" s="33" t="n">
        <v>24376</v>
      </c>
      <c r="C1490" s="34" t="s">
        <v>3051</v>
      </c>
      <c r="D1490" s="34" t="s">
        <v>3052</v>
      </c>
      <c r="E1490" s="34" t="s">
        <v>705</v>
      </c>
      <c r="F1490" s="32" t="n">
        <f aca="false">COUNTIF(Base!$D$2:$D$2878,B1490)</f>
        <v>1</v>
      </c>
      <c r="G1490" s="35" t="n">
        <f aca="false">SUMIF(Base!$D$2:$D$2878,B1490,Base!$I$2:$I$2878)</f>
        <v>476</v>
      </c>
      <c r="H1490" s="36" t="n">
        <f aca="false">IF($G$2849=0,0,G1490/$G$2849)</f>
        <v>3.12361797306886E-005</v>
      </c>
      <c r="I1490" s="37" t="n">
        <f aca="false">I1489+H1490</f>
        <v>0.985792904112609</v>
      </c>
      <c r="J1490" s="37" t="n">
        <f aca="false">A1490/2840</f>
        <v>0.522183098591549</v>
      </c>
      <c r="K1490" s="32" t="str">
        <f aca="false">IF(I1490&lt;=$E$4,"A",IF(I1490&lt;=$E$5,"B","C"))</f>
        <v>C</v>
      </c>
    </row>
    <row r="1491" customFormat="false" ht="15" hidden="false" customHeight="false" outlineLevel="0" collapsed="false">
      <c r="A1491" s="32" t="n">
        <v>1484</v>
      </c>
      <c r="B1491" s="33" t="n">
        <v>35328</v>
      </c>
      <c r="C1491" s="34" t="s">
        <v>3053</v>
      </c>
      <c r="D1491" s="34" t="s">
        <v>3054</v>
      </c>
      <c r="E1491" s="34" t="s">
        <v>520</v>
      </c>
      <c r="F1491" s="32" t="n">
        <f aca="false">COUNTIF(Base!$D$2:$D$2878,B1491)</f>
        <v>1</v>
      </c>
      <c r="G1491" s="35" t="n">
        <f aca="false">SUMIF(Base!$D$2:$D$2878,B1491,Base!$I$2:$I$2878)</f>
        <v>476</v>
      </c>
      <c r="H1491" s="36" t="n">
        <f aca="false">IF($G$2849=0,0,G1491/$G$2849)</f>
        <v>3.12361797306886E-005</v>
      </c>
      <c r="I1491" s="37" t="n">
        <f aca="false">I1490+H1491</f>
        <v>0.98582414029234</v>
      </c>
      <c r="J1491" s="37" t="n">
        <f aca="false">A1491/2840</f>
        <v>0.522535211267606</v>
      </c>
      <c r="K1491" s="32" t="str">
        <f aca="false">IF(I1491&lt;=$E$4,"A",IF(I1491&lt;=$E$5,"B","C"))</f>
        <v>C</v>
      </c>
    </row>
    <row r="1492" customFormat="false" ht="15" hidden="false" customHeight="false" outlineLevel="0" collapsed="false">
      <c r="A1492" s="32" t="n">
        <v>1485</v>
      </c>
      <c r="B1492" s="33" t="n">
        <v>863988</v>
      </c>
      <c r="C1492" s="34" t="s">
        <v>3055</v>
      </c>
      <c r="D1492" s="34" t="s">
        <v>3056</v>
      </c>
      <c r="E1492" s="34" t="s">
        <v>835</v>
      </c>
      <c r="F1492" s="32" t="n">
        <f aca="false">COUNTIF(Base!$D$2:$D$2878,B1492)</f>
        <v>1</v>
      </c>
      <c r="G1492" s="35" t="n">
        <f aca="false">SUMIF(Base!$D$2:$D$2878,B1492,Base!$I$2:$I$2878)</f>
        <v>476</v>
      </c>
      <c r="H1492" s="36" t="n">
        <f aca="false">IF($G$2849=0,0,G1492/$G$2849)</f>
        <v>3.12361797306886E-005</v>
      </c>
      <c r="I1492" s="37" t="n">
        <f aca="false">I1491+H1492</f>
        <v>0.985855376472071</v>
      </c>
      <c r="J1492" s="37" t="n">
        <f aca="false">A1492/2840</f>
        <v>0.522887323943662</v>
      </c>
      <c r="K1492" s="32" t="str">
        <f aca="false">IF(I1492&lt;=$E$4,"A",IF(I1492&lt;=$E$5,"B","C"))</f>
        <v>C</v>
      </c>
    </row>
    <row r="1493" customFormat="false" ht="15" hidden="false" customHeight="false" outlineLevel="0" collapsed="false">
      <c r="A1493" s="32" t="n">
        <v>1486</v>
      </c>
      <c r="B1493" s="33" t="n">
        <v>1469483</v>
      </c>
      <c r="C1493" s="34" t="s">
        <v>3057</v>
      </c>
      <c r="D1493" s="34" t="s">
        <v>3058</v>
      </c>
      <c r="E1493" s="34" t="s">
        <v>637</v>
      </c>
      <c r="F1493" s="32" t="n">
        <f aca="false">COUNTIF(Base!$D$2:$D$2878,B1493)</f>
        <v>1</v>
      </c>
      <c r="G1493" s="35" t="n">
        <f aca="false">SUMIF(Base!$D$2:$D$2878,B1493,Base!$I$2:$I$2878)</f>
        <v>475.2</v>
      </c>
      <c r="H1493" s="36" t="n">
        <f aca="false">IF($G$2849=0,0,G1493/$G$2849)</f>
        <v>3.11836819496286E-005</v>
      </c>
      <c r="I1493" s="37" t="n">
        <f aca="false">I1492+H1493</f>
        <v>0.98588656015402</v>
      </c>
      <c r="J1493" s="37" t="n">
        <f aca="false">A1493/2840</f>
        <v>0.523239436619718</v>
      </c>
      <c r="K1493" s="32" t="str">
        <f aca="false">IF(I1493&lt;=$E$4,"A",IF(I1493&lt;=$E$5,"B","C"))</f>
        <v>C</v>
      </c>
    </row>
    <row r="1494" customFormat="false" ht="15" hidden="false" customHeight="false" outlineLevel="0" collapsed="false">
      <c r="A1494" s="32" t="n">
        <v>1487</v>
      </c>
      <c r="B1494" s="33" t="n">
        <v>883098</v>
      </c>
      <c r="C1494" s="34" t="s">
        <v>3059</v>
      </c>
      <c r="D1494" s="34" t="s">
        <v>3060</v>
      </c>
      <c r="E1494" s="34" t="s">
        <v>130</v>
      </c>
      <c r="F1494" s="32" t="n">
        <f aca="false">COUNTIF(Base!$D$2:$D$2878,B1494)</f>
        <v>1</v>
      </c>
      <c r="G1494" s="35" t="n">
        <f aca="false">SUMIF(Base!$D$2:$D$2878,B1494,Base!$I$2:$I$2878)</f>
        <v>471</v>
      </c>
      <c r="H1494" s="36" t="n">
        <f aca="false">IF($G$2849=0,0,G1494/$G$2849)</f>
        <v>3.09080685990637E-005</v>
      </c>
      <c r="I1494" s="37" t="n">
        <f aca="false">I1493+H1494</f>
        <v>0.98591746822262</v>
      </c>
      <c r="J1494" s="37" t="n">
        <f aca="false">A1494/2840</f>
        <v>0.523591549295775</v>
      </c>
      <c r="K1494" s="32" t="str">
        <f aca="false">IF(I1494&lt;=$E$4,"A",IF(I1494&lt;=$E$5,"B","C"))</f>
        <v>C</v>
      </c>
    </row>
    <row r="1495" customFormat="false" ht="15" hidden="false" customHeight="false" outlineLevel="0" collapsed="false">
      <c r="A1495" s="32" t="n">
        <v>1488</v>
      </c>
      <c r="B1495" s="33" t="n">
        <v>1092833</v>
      </c>
      <c r="C1495" s="34" t="s">
        <v>3061</v>
      </c>
      <c r="D1495" s="34" t="s">
        <v>3062</v>
      </c>
      <c r="E1495" s="34" t="s">
        <v>835</v>
      </c>
      <c r="F1495" s="32" t="n">
        <f aca="false">COUNTIF(Base!$D$2:$D$2878,B1495)</f>
        <v>1</v>
      </c>
      <c r="G1495" s="35" t="n">
        <f aca="false">SUMIF(Base!$D$2:$D$2878,B1495,Base!$I$2:$I$2878)</f>
        <v>469.76</v>
      </c>
      <c r="H1495" s="36" t="n">
        <f aca="false">IF($G$2849=0,0,G1495/$G$2849)</f>
        <v>3.08266970384207E-005</v>
      </c>
      <c r="I1495" s="37" t="n">
        <f aca="false">I1494+H1495</f>
        <v>0.985948294919658</v>
      </c>
      <c r="J1495" s="37" t="n">
        <f aca="false">A1495/2840</f>
        <v>0.523943661971831</v>
      </c>
      <c r="K1495" s="32" t="str">
        <f aca="false">IF(I1495&lt;=$E$4,"A",IF(I1495&lt;=$E$5,"B","C"))</f>
        <v>C</v>
      </c>
    </row>
    <row r="1496" customFormat="false" ht="15" hidden="false" customHeight="false" outlineLevel="0" collapsed="false">
      <c r="A1496" s="32" t="n">
        <v>1489</v>
      </c>
      <c r="B1496" s="33" t="n">
        <v>750177</v>
      </c>
      <c r="C1496" s="34" t="s">
        <v>3063</v>
      </c>
      <c r="D1496" s="34" t="s">
        <v>3064</v>
      </c>
      <c r="E1496" s="34" t="s">
        <v>38</v>
      </c>
      <c r="F1496" s="32" t="n">
        <f aca="false">COUNTIF(Base!$D$2:$D$2878,B1496)</f>
        <v>1</v>
      </c>
      <c r="G1496" s="35" t="n">
        <f aca="false">SUMIF(Base!$D$2:$D$2878,B1496,Base!$I$2:$I$2878)</f>
        <v>469.52</v>
      </c>
      <c r="H1496" s="36" t="n">
        <f aca="false">IF($G$2849=0,0,G1496/$G$2849)</f>
        <v>3.08109477041027E-005</v>
      </c>
      <c r="I1496" s="37" t="n">
        <f aca="false">I1495+H1496</f>
        <v>0.985979105867362</v>
      </c>
      <c r="J1496" s="37" t="n">
        <f aca="false">A1496/2840</f>
        <v>0.524295774647887</v>
      </c>
      <c r="K1496" s="32" t="str">
        <f aca="false">IF(I1496&lt;=$E$4,"A",IF(I1496&lt;=$E$5,"B","C"))</f>
        <v>C</v>
      </c>
    </row>
    <row r="1497" customFormat="false" ht="15" hidden="false" customHeight="false" outlineLevel="0" collapsed="false">
      <c r="A1497" s="32" t="n">
        <v>1490</v>
      </c>
      <c r="B1497" s="33" t="n">
        <v>287889</v>
      </c>
      <c r="C1497" s="34" t="s">
        <v>3065</v>
      </c>
      <c r="D1497" s="34" t="s">
        <v>3066</v>
      </c>
      <c r="E1497" s="34" t="s">
        <v>38</v>
      </c>
      <c r="F1497" s="32" t="n">
        <f aca="false">COUNTIF(Base!$D$2:$D$2878,B1497)</f>
        <v>1</v>
      </c>
      <c r="G1497" s="35" t="n">
        <f aca="false">SUMIF(Base!$D$2:$D$2878,B1497,Base!$I$2:$I$2878)</f>
        <v>468.35</v>
      </c>
      <c r="H1497" s="36" t="n">
        <f aca="false">IF($G$2849=0,0,G1497/$G$2849)</f>
        <v>3.07341696993025E-005</v>
      </c>
      <c r="I1497" s="37" t="n">
        <f aca="false">I1496+H1497</f>
        <v>0.986009840037061</v>
      </c>
      <c r="J1497" s="37" t="n">
        <f aca="false">A1497/2840</f>
        <v>0.524647887323944</v>
      </c>
      <c r="K1497" s="32" t="str">
        <f aca="false">IF(I1497&lt;=$E$4,"A",IF(I1497&lt;=$E$5,"B","C"))</f>
        <v>C</v>
      </c>
    </row>
    <row r="1498" customFormat="false" ht="15" hidden="false" customHeight="false" outlineLevel="0" collapsed="false">
      <c r="A1498" s="32" t="n">
        <v>1491</v>
      </c>
      <c r="B1498" s="33" t="n">
        <v>1385282</v>
      </c>
      <c r="C1498" s="34" t="s">
        <v>3067</v>
      </c>
      <c r="D1498" s="34" t="s">
        <v>3068</v>
      </c>
      <c r="E1498" s="34" t="s">
        <v>38</v>
      </c>
      <c r="F1498" s="32" t="n">
        <f aca="false">COUNTIF(Base!$D$2:$D$2878,B1498)</f>
        <v>1</v>
      </c>
      <c r="G1498" s="35" t="n">
        <f aca="false">SUMIF(Base!$D$2:$D$2878,B1498,Base!$I$2:$I$2878)</f>
        <v>466.69</v>
      </c>
      <c r="H1498" s="36" t="n">
        <f aca="false">IF($G$2849=0,0,G1498/$G$2849)</f>
        <v>3.06252368036031E-005</v>
      </c>
      <c r="I1498" s="37" t="n">
        <f aca="false">I1497+H1498</f>
        <v>0.986040465273865</v>
      </c>
      <c r="J1498" s="37" t="n">
        <f aca="false">A1498/2840</f>
        <v>0.525</v>
      </c>
      <c r="K1498" s="32" t="str">
        <f aca="false">IF(I1498&lt;=$E$4,"A",IF(I1498&lt;=$E$5,"B","C"))</f>
        <v>C</v>
      </c>
    </row>
    <row r="1499" customFormat="false" ht="15" hidden="false" customHeight="false" outlineLevel="0" collapsed="false">
      <c r="A1499" s="32" t="n">
        <v>1492</v>
      </c>
      <c r="B1499" s="33" t="n">
        <v>1326811</v>
      </c>
      <c r="C1499" s="34" t="s">
        <v>3069</v>
      </c>
      <c r="D1499" s="34" t="s">
        <v>3070</v>
      </c>
      <c r="E1499" s="34" t="s">
        <v>38</v>
      </c>
      <c r="F1499" s="32" t="n">
        <f aca="false">COUNTIF(Base!$D$2:$D$2878,B1499)</f>
        <v>1</v>
      </c>
      <c r="G1499" s="35" t="n">
        <f aca="false">SUMIF(Base!$D$2:$D$2878,B1499,Base!$I$2:$I$2878)</f>
        <v>465.18</v>
      </c>
      <c r="H1499" s="36" t="n">
        <f aca="false">IF($G$2849=0,0,G1499/$G$2849)</f>
        <v>3.05261472418523E-005</v>
      </c>
      <c r="I1499" s="37" t="n">
        <f aca="false">I1498+H1499</f>
        <v>0.986070991421107</v>
      </c>
      <c r="J1499" s="37" t="n">
        <f aca="false">A1499/2840</f>
        <v>0.525352112676056</v>
      </c>
      <c r="K1499" s="32" t="str">
        <f aca="false">IF(I1499&lt;=$E$4,"A",IF(I1499&lt;=$E$5,"B","C"))</f>
        <v>C</v>
      </c>
    </row>
    <row r="1500" customFormat="false" ht="15" hidden="false" customHeight="false" outlineLevel="0" collapsed="false">
      <c r="A1500" s="32" t="n">
        <v>1493</v>
      </c>
      <c r="B1500" s="33" t="n">
        <v>1463586</v>
      </c>
      <c r="C1500" s="34" t="s">
        <v>3071</v>
      </c>
      <c r="D1500" s="34" t="s">
        <v>3072</v>
      </c>
      <c r="E1500" s="34" t="s">
        <v>38</v>
      </c>
      <c r="F1500" s="32" t="n">
        <f aca="false">COUNTIF(Base!$D$2:$D$2878,B1500)</f>
        <v>1</v>
      </c>
      <c r="G1500" s="35" t="n">
        <f aca="false">SUMIF(Base!$D$2:$D$2878,B1500,Base!$I$2:$I$2878)</f>
        <v>465.05</v>
      </c>
      <c r="H1500" s="36" t="n">
        <f aca="false">IF($G$2849=0,0,G1500/$G$2849)</f>
        <v>3.05176163524301E-005</v>
      </c>
      <c r="I1500" s="37" t="n">
        <f aca="false">I1499+H1500</f>
        <v>0.986101509037459</v>
      </c>
      <c r="J1500" s="37" t="n">
        <f aca="false">A1500/2840</f>
        <v>0.525704225352113</v>
      </c>
      <c r="K1500" s="32" t="str">
        <f aca="false">IF(I1500&lt;=$E$4,"A",IF(I1500&lt;=$E$5,"B","C"))</f>
        <v>C</v>
      </c>
    </row>
    <row r="1501" customFormat="false" ht="15" hidden="false" customHeight="false" outlineLevel="0" collapsed="false">
      <c r="A1501" s="32" t="n">
        <v>1494</v>
      </c>
      <c r="B1501" s="33" t="n">
        <v>554091</v>
      </c>
      <c r="C1501" s="34" t="s">
        <v>3073</v>
      </c>
      <c r="D1501" s="34" t="s">
        <v>3074</v>
      </c>
      <c r="E1501" s="34" t="s">
        <v>247</v>
      </c>
      <c r="F1501" s="32" t="n">
        <f aca="false">COUNTIF(Base!$D$2:$D$2878,B1501)</f>
        <v>1</v>
      </c>
      <c r="G1501" s="35" t="n">
        <f aca="false">SUMIF(Base!$D$2:$D$2878,B1501,Base!$I$2:$I$2878)</f>
        <v>464</v>
      </c>
      <c r="H1501" s="36" t="n">
        <f aca="false">IF($G$2849=0,0,G1501/$G$2849)</f>
        <v>3.04487130147889E-005</v>
      </c>
      <c r="I1501" s="37" t="n">
        <f aca="false">I1500+H1501</f>
        <v>0.986131957750474</v>
      </c>
      <c r="J1501" s="37" t="n">
        <f aca="false">A1501/2840</f>
        <v>0.526056338028169</v>
      </c>
      <c r="K1501" s="32" t="str">
        <f aca="false">IF(I1501&lt;=$E$4,"A",IF(I1501&lt;=$E$5,"B","C"))</f>
        <v>C</v>
      </c>
    </row>
    <row r="1502" customFormat="false" ht="15" hidden="false" customHeight="false" outlineLevel="0" collapsed="false">
      <c r="A1502" s="32" t="n">
        <v>1495</v>
      </c>
      <c r="B1502" s="33" t="n">
        <v>552229</v>
      </c>
      <c r="C1502" s="34" t="s">
        <v>3075</v>
      </c>
      <c r="D1502" s="34" t="s">
        <v>3076</v>
      </c>
      <c r="E1502" s="34" t="s">
        <v>247</v>
      </c>
      <c r="F1502" s="32" t="n">
        <f aca="false">COUNTIF(Base!$D$2:$D$2878,B1502)</f>
        <v>1</v>
      </c>
      <c r="G1502" s="35" t="n">
        <f aca="false">SUMIF(Base!$D$2:$D$2878,B1502,Base!$I$2:$I$2878)</f>
        <v>463.738</v>
      </c>
      <c r="H1502" s="36" t="n">
        <f aca="false">IF($G$2849=0,0,G1502/$G$2849)</f>
        <v>3.04315199914917E-005</v>
      </c>
      <c r="I1502" s="37" t="n">
        <f aca="false">I1501+H1502</f>
        <v>0.986162389270466</v>
      </c>
      <c r="J1502" s="37" t="n">
        <f aca="false">A1502/2840</f>
        <v>0.526408450704225</v>
      </c>
      <c r="K1502" s="32" t="str">
        <f aca="false">IF(I1502&lt;=$E$4,"A",IF(I1502&lt;=$E$5,"B","C"))</f>
        <v>C</v>
      </c>
    </row>
    <row r="1503" customFormat="false" ht="15" hidden="false" customHeight="false" outlineLevel="0" collapsed="false">
      <c r="A1503" s="32" t="n">
        <v>1496</v>
      </c>
      <c r="B1503" s="33" t="n">
        <v>1384049</v>
      </c>
      <c r="C1503" s="34" t="s">
        <v>3077</v>
      </c>
      <c r="D1503" s="34" t="s">
        <v>3078</v>
      </c>
      <c r="E1503" s="34" t="s">
        <v>38</v>
      </c>
      <c r="F1503" s="32" t="n">
        <f aca="false">COUNTIF(Base!$D$2:$D$2878,B1503)</f>
        <v>1</v>
      </c>
      <c r="G1503" s="35" t="n">
        <f aca="false">SUMIF(Base!$D$2:$D$2878,B1503,Base!$I$2:$I$2878)</f>
        <v>463.37</v>
      </c>
      <c r="H1503" s="36" t="n">
        <f aca="false">IF($G$2849=0,0,G1503/$G$2849)</f>
        <v>3.04073710122041E-005</v>
      </c>
      <c r="I1503" s="37" t="n">
        <f aca="false">I1502+H1503</f>
        <v>0.986192796641478</v>
      </c>
      <c r="J1503" s="37" t="n">
        <f aca="false">A1503/2840</f>
        <v>0.526760563380282</v>
      </c>
      <c r="K1503" s="32" t="str">
        <f aca="false">IF(I1503&lt;=$E$4,"A",IF(I1503&lt;=$E$5,"B","C"))</f>
        <v>C</v>
      </c>
    </row>
    <row r="1504" customFormat="false" ht="15" hidden="false" customHeight="false" outlineLevel="0" collapsed="false">
      <c r="A1504" s="32" t="n">
        <v>1497</v>
      </c>
      <c r="B1504" s="33" t="n">
        <v>861450</v>
      </c>
      <c r="C1504" s="34" t="s">
        <v>3079</v>
      </c>
      <c r="D1504" s="34" t="s">
        <v>3080</v>
      </c>
      <c r="E1504" s="34" t="s">
        <v>38</v>
      </c>
      <c r="F1504" s="32" t="n">
        <f aca="false">COUNTIF(Base!$D$2:$D$2878,B1504)</f>
        <v>1</v>
      </c>
      <c r="G1504" s="35" t="n">
        <f aca="false">SUMIF(Base!$D$2:$D$2878,B1504,Base!$I$2:$I$2878)</f>
        <v>462.6092</v>
      </c>
      <c r="H1504" s="36" t="n">
        <f aca="false">IF($G$2849=0,0,G1504/$G$2849)</f>
        <v>3.03574456224161E-005</v>
      </c>
      <c r="I1504" s="37" t="n">
        <f aca="false">I1503+H1504</f>
        <v>0.9862231540871</v>
      </c>
      <c r="J1504" s="37" t="n">
        <f aca="false">A1504/2840</f>
        <v>0.527112676056338</v>
      </c>
      <c r="K1504" s="32" t="str">
        <f aca="false">IF(I1504&lt;=$E$4,"A",IF(I1504&lt;=$E$5,"B","C"))</f>
        <v>C</v>
      </c>
    </row>
    <row r="1505" customFormat="false" ht="15" hidden="false" customHeight="false" outlineLevel="0" collapsed="false">
      <c r="A1505" s="32" t="n">
        <v>1498</v>
      </c>
      <c r="B1505" s="33" t="n">
        <v>551135</v>
      </c>
      <c r="C1505" s="34" t="s">
        <v>3081</v>
      </c>
      <c r="D1505" s="34" t="s">
        <v>3082</v>
      </c>
      <c r="E1505" s="34" t="s">
        <v>247</v>
      </c>
      <c r="F1505" s="32" t="n">
        <f aca="false">COUNTIF(Base!$D$2:$D$2878,B1505)</f>
        <v>1</v>
      </c>
      <c r="G1505" s="35" t="n">
        <f aca="false">SUMIF(Base!$D$2:$D$2878,B1505,Base!$I$2:$I$2878)</f>
        <v>461.28</v>
      </c>
      <c r="H1505" s="36" t="n">
        <f aca="false">IF($G$2849=0,0,G1505/$G$2849)</f>
        <v>3.02702205591849E-005</v>
      </c>
      <c r="I1505" s="37" t="n">
        <f aca="false">I1504+H1505</f>
        <v>0.98625342430766</v>
      </c>
      <c r="J1505" s="37" t="n">
        <f aca="false">A1505/2840</f>
        <v>0.527464788732394</v>
      </c>
      <c r="K1505" s="32" t="str">
        <f aca="false">IF(I1505&lt;=$E$4,"A",IF(I1505&lt;=$E$5,"B","C"))</f>
        <v>C</v>
      </c>
    </row>
    <row r="1506" customFormat="false" ht="15" hidden="false" customHeight="false" outlineLevel="0" collapsed="false">
      <c r="A1506" s="32" t="n">
        <v>1499</v>
      </c>
      <c r="B1506" s="33" t="n">
        <v>1462016</v>
      </c>
      <c r="C1506" s="34" t="s">
        <v>3083</v>
      </c>
      <c r="D1506" s="34" t="s">
        <v>3084</v>
      </c>
      <c r="E1506" s="34" t="s">
        <v>54</v>
      </c>
      <c r="F1506" s="32" t="n">
        <f aca="false">COUNTIF(Base!$D$2:$D$2878,B1506)</f>
        <v>1</v>
      </c>
      <c r="G1506" s="35" t="n">
        <f aca="false">SUMIF(Base!$D$2:$D$2878,B1506,Base!$I$2:$I$2878)</f>
        <v>459.34</v>
      </c>
      <c r="H1506" s="36" t="n">
        <f aca="false">IF($G$2849=0,0,G1506/$G$2849)</f>
        <v>3.01429134401145E-005</v>
      </c>
      <c r="I1506" s="37" t="n">
        <f aca="false">I1505+H1506</f>
        <v>0.9862835672211</v>
      </c>
      <c r="J1506" s="37" t="n">
        <f aca="false">A1506/2840</f>
        <v>0.527816901408451</v>
      </c>
      <c r="K1506" s="32" t="str">
        <f aca="false">IF(I1506&lt;=$E$4,"A",IF(I1506&lt;=$E$5,"B","C"))</f>
        <v>C</v>
      </c>
    </row>
    <row r="1507" customFormat="false" ht="15" hidden="false" customHeight="false" outlineLevel="0" collapsed="false">
      <c r="A1507" s="32" t="n">
        <v>1500</v>
      </c>
      <c r="B1507" s="33" t="n">
        <v>57886</v>
      </c>
      <c r="C1507" s="34" t="s">
        <v>3085</v>
      </c>
      <c r="D1507" s="34" t="s">
        <v>3086</v>
      </c>
      <c r="E1507" s="34" t="s">
        <v>130</v>
      </c>
      <c r="F1507" s="32" t="n">
        <f aca="false">COUNTIF(Base!$D$2:$D$2878,B1507)</f>
        <v>1</v>
      </c>
      <c r="G1507" s="35" t="n">
        <f aca="false">SUMIF(Base!$D$2:$D$2878,B1507,Base!$I$2:$I$2878)</f>
        <v>457.15</v>
      </c>
      <c r="H1507" s="36" t="n">
        <f aca="false">IF($G$2849=0,0,G1507/$G$2849)</f>
        <v>2.99992007644628E-005</v>
      </c>
      <c r="I1507" s="37" t="n">
        <f aca="false">I1506+H1507</f>
        <v>0.986313566421864</v>
      </c>
      <c r="J1507" s="37" t="n">
        <f aca="false">A1507/2840</f>
        <v>0.528169014084507</v>
      </c>
      <c r="K1507" s="32" t="str">
        <f aca="false">IF(I1507&lt;=$E$4,"A",IF(I1507&lt;=$E$5,"B","C"))</f>
        <v>C</v>
      </c>
    </row>
    <row r="1508" customFormat="false" ht="15" hidden="false" customHeight="false" outlineLevel="0" collapsed="false">
      <c r="A1508" s="32" t="n">
        <v>1501</v>
      </c>
      <c r="B1508" s="33" t="n">
        <v>14219</v>
      </c>
      <c r="C1508" s="34" t="s">
        <v>3087</v>
      </c>
      <c r="D1508" s="34" t="s">
        <v>3088</v>
      </c>
      <c r="E1508" s="34" t="s">
        <v>38</v>
      </c>
      <c r="F1508" s="32" t="n">
        <f aca="false">COUNTIF(Base!$D$2:$D$2878,B1508)</f>
        <v>1</v>
      </c>
      <c r="G1508" s="35" t="n">
        <f aca="false">SUMIF(Base!$D$2:$D$2878,B1508,Base!$I$2:$I$2878)</f>
        <v>456.6</v>
      </c>
      <c r="H1508" s="36" t="n">
        <f aca="false">IF($G$2849=0,0,G1508/$G$2849)</f>
        <v>2.99631085399841E-005</v>
      </c>
      <c r="I1508" s="37" t="n">
        <f aca="false">I1507+H1508</f>
        <v>0.986343529530404</v>
      </c>
      <c r="J1508" s="37" t="n">
        <f aca="false">A1508/2840</f>
        <v>0.528521126760563</v>
      </c>
      <c r="K1508" s="32" t="str">
        <f aca="false">IF(I1508&lt;=$E$4,"A",IF(I1508&lt;=$E$5,"B","C"))</f>
        <v>C</v>
      </c>
    </row>
    <row r="1509" customFormat="false" ht="15" hidden="false" customHeight="false" outlineLevel="0" collapsed="false">
      <c r="A1509" s="32" t="n">
        <v>1502</v>
      </c>
      <c r="B1509" s="33" t="n">
        <v>21163</v>
      </c>
      <c r="C1509" s="34" t="s">
        <v>3089</v>
      </c>
      <c r="D1509" s="34" t="s">
        <v>3090</v>
      </c>
      <c r="E1509" s="34" t="s">
        <v>189</v>
      </c>
      <c r="F1509" s="32" t="n">
        <f aca="false">COUNTIF(Base!$D$2:$D$2878,B1509)</f>
        <v>1</v>
      </c>
      <c r="G1509" s="35" t="n">
        <f aca="false">SUMIF(Base!$D$2:$D$2878,B1509,Base!$I$2:$I$2878)</f>
        <v>456</v>
      </c>
      <c r="H1509" s="36" t="n">
        <f aca="false">IF($G$2849=0,0,G1509/$G$2849)</f>
        <v>2.99237352041891E-005</v>
      </c>
      <c r="I1509" s="37" t="n">
        <f aca="false">I1508+H1509</f>
        <v>0.986373453265608</v>
      </c>
      <c r="J1509" s="37" t="n">
        <f aca="false">A1509/2840</f>
        <v>0.52887323943662</v>
      </c>
      <c r="K1509" s="32" t="str">
        <f aca="false">IF(I1509&lt;=$E$4,"A",IF(I1509&lt;=$E$5,"B","C"))</f>
        <v>C</v>
      </c>
    </row>
    <row r="1510" customFormat="false" ht="15" hidden="false" customHeight="false" outlineLevel="0" collapsed="false">
      <c r="A1510" s="32" t="n">
        <v>1503</v>
      </c>
      <c r="B1510" s="33" t="n">
        <v>33271</v>
      </c>
      <c r="C1510" s="34" t="s">
        <v>3091</v>
      </c>
      <c r="D1510" s="34" t="s">
        <v>3092</v>
      </c>
      <c r="E1510" s="34" t="s">
        <v>100</v>
      </c>
      <c r="F1510" s="32" t="n">
        <f aca="false">COUNTIF(Base!$D$2:$D$2878,B1510)</f>
        <v>1</v>
      </c>
      <c r="G1510" s="35" t="n">
        <f aca="false">SUMIF(Base!$D$2:$D$2878,B1510,Base!$I$2:$I$2878)</f>
        <v>456</v>
      </c>
      <c r="H1510" s="36" t="n">
        <f aca="false">IF($G$2849=0,0,G1510/$G$2849)</f>
        <v>2.99237352041891E-005</v>
      </c>
      <c r="I1510" s="37" t="n">
        <f aca="false">I1509+H1510</f>
        <v>0.986403377000812</v>
      </c>
      <c r="J1510" s="37" t="n">
        <f aca="false">A1510/2840</f>
        <v>0.529225352112676</v>
      </c>
      <c r="K1510" s="32" t="str">
        <f aca="false">IF(I1510&lt;=$E$4,"A",IF(I1510&lt;=$E$5,"B","C"))</f>
        <v>C</v>
      </c>
    </row>
    <row r="1511" customFormat="false" ht="15" hidden="false" customHeight="false" outlineLevel="0" collapsed="false">
      <c r="A1511" s="32" t="n">
        <v>1504</v>
      </c>
      <c r="B1511" s="33" t="n">
        <v>839825</v>
      </c>
      <c r="C1511" s="34" t="s">
        <v>3093</v>
      </c>
      <c r="D1511" s="34" t="s">
        <v>3094</v>
      </c>
      <c r="E1511" s="34" t="s">
        <v>230</v>
      </c>
      <c r="F1511" s="32" t="n">
        <f aca="false">COUNTIF(Base!$D$2:$D$2878,B1511)</f>
        <v>1</v>
      </c>
      <c r="G1511" s="35" t="n">
        <f aca="false">SUMIF(Base!$D$2:$D$2878,B1511,Base!$I$2:$I$2878)</f>
        <v>456</v>
      </c>
      <c r="H1511" s="36" t="n">
        <f aca="false">IF($G$2849=0,0,G1511/$G$2849)</f>
        <v>2.99237352041891E-005</v>
      </c>
      <c r="I1511" s="37" t="n">
        <f aca="false">I1510+H1511</f>
        <v>0.986433300736017</v>
      </c>
      <c r="J1511" s="37" t="n">
        <f aca="false">A1511/2840</f>
        <v>0.529577464788732</v>
      </c>
      <c r="K1511" s="32" t="str">
        <f aca="false">IF(I1511&lt;=$E$4,"A",IF(I1511&lt;=$E$5,"B","C"))</f>
        <v>C</v>
      </c>
    </row>
    <row r="1512" customFormat="false" ht="15" hidden="false" customHeight="false" outlineLevel="0" collapsed="false">
      <c r="A1512" s="32" t="n">
        <v>1505</v>
      </c>
      <c r="B1512" s="33" t="n">
        <v>53865</v>
      </c>
      <c r="C1512" s="34" t="s">
        <v>3095</v>
      </c>
      <c r="D1512" s="34" t="s">
        <v>3096</v>
      </c>
      <c r="E1512" s="34" t="s">
        <v>35</v>
      </c>
      <c r="F1512" s="32" t="n">
        <f aca="false">COUNTIF(Base!$D$2:$D$2878,B1512)</f>
        <v>1</v>
      </c>
      <c r="G1512" s="35" t="n">
        <f aca="false">SUMIF(Base!$D$2:$D$2878,B1512,Base!$I$2:$I$2878)</f>
        <v>455.2</v>
      </c>
      <c r="H1512" s="36" t="n">
        <f aca="false">IF($G$2849=0,0,G1512/$G$2849)</f>
        <v>2.98712374231291E-005</v>
      </c>
      <c r="I1512" s="37" t="n">
        <f aca="false">I1511+H1512</f>
        <v>0.98646317197344</v>
      </c>
      <c r="J1512" s="37" t="n">
        <f aca="false">A1512/2840</f>
        <v>0.529929577464789</v>
      </c>
      <c r="K1512" s="32" t="str">
        <f aca="false">IF(I1512&lt;=$E$4,"A",IF(I1512&lt;=$E$5,"B","C"))</f>
        <v>C</v>
      </c>
    </row>
    <row r="1513" customFormat="false" ht="15" hidden="false" customHeight="false" outlineLevel="0" collapsed="false">
      <c r="A1513" s="32" t="n">
        <v>1506</v>
      </c>
      <c r="B1513" s="33" t="n">
        <v>551136</v>
      </c>
      <c r="C1513" s="34" t="s">
        <v>3097</v>
      </c>
      <c r="D1513" s="34" t="s">
        <v>3098</v>
      </c>
      <c r="E1513" s="34" t="s">
        <v>247</v>
      </c>
      <c r="F1513" s="32" t="n">
        <f aca="false">COUNTIF(Base!$D$2:$D$2878,B1513)</f>
        <v>1</v>
      </c>
      <c r="G1513" s="35" t="n">
        <f aca="false">SUMIF(Base!$D$2:$D$2878,B1513,Base!$I$2:$I$2878)</f>
        <v>454</v>
      </c>
      <c r="H1513" s="36" t="n">
        <f aca="false">IF($G$2849=0,0,G1513/$G$2849)</f>
        <v>2.97924907515391E-005</v>
      </c>
      <c r="I1513" s="37" t="n">
        <f aca="false">I1512+H1513</f>
        <v>0.986492964464191</v>
      </c>
      <c r="J1513" s="37" t="n">
        <f aca="false">A1513/2840</f>
        <v>0.530281690140845</v>
      </c>
      <c r="K1513" s="32" t="str">
        <f aca="false">IF(I1513&lt;=$E$4,"A",IF(I1513&lt;=$E$5,"B","C"))</f>
        <v>C</v>
      </c>
    </row>
    <row r="1514" customFormat="false" ht="15" hidden="false" customHeight="false" outlineLevel="0" collapsed="false">
      <c r="A1514" s="32" t="n">
        <v>1507</v>
      </c>
      <c r="B1514" s="33" t="n">
        <v>21778</v>
      </c>
      <c r="C1514" s="34" t="s">
        <v>3099</v>
      </c>
      <c r="D1514" s="34" t="s">
        <v>3100</v>
      </c>
      <c r="E1514" s="34" t="s">
        <v>605</v>
      </c>
      <c r="F1514" s="32" t="n">
        <f aca="false">COUNTIF(Base!$D$2:$D$2878,B1514)</f>
        <v>1</v>
      </c>
      <c r="G1514" s="35" t="n">
        <f aca="false">SUMIF(Base!$D$2:$D$2878,B1514,Base!$I$2:$I$2878)</f>
        <v>452.3487</v>
      </c>
      <c r="H1514" s="36" t="n">
        <f aca="false">IF($G$2849=0,0,G1514/$G$2849)</f>
        <v>2.96841287692087E-005</v>
      </c>
      <c r="I1514" s="37" t="n">
        <f aca="false">I1513+H1514</f>
        <v>0.986522648592961</v>
      </c>
      <c r="J1514" s="37" t="n">
        <f aca="false">A1514/2840</f>
        <v>0.530633802816901</v>
      </c>
      <c r="K1514" s="32" t="str">
        <f aca="false">IF(I1514&lt;=$E$4,"A",IF(I1514&lt;=$E$5,"B","C"))</f>
        <v>C</v>
      </c>
    </row>
    <row r="1515" customFormat="false" ht="15" hidden="false" customHeight="false" outlineLevel="0" collapsed="false">
      <c r="A1515" s="32" t="n">
        <v>1508</v>
      </c>
      <c r="B1515" s="33" t="n">
        <v>19822</v>
      </c>
      <c r="C1515" s="34" t="s">
        <v>3101</v>
      </c>
      <c r="D1515" s="34" t="s">
        <v>3102</v>
      </c>
      <c r="E1515" s="34" t="s">
        <v>605</v>
      </c>
      <c r="F1515" s="32" t="n">
        <f aca="false">COUNTIF(Base!$D$2:$D$2878,B1515)</f>
        <v>1</v>
      </c>
      <c r="G1515" s="35" t="n">
        <f aca="false">SUMIF(Base!$D$2:$D$2878,B1515,Base!$I$2:$I$2878)</f>
        <v>450</v>
      </c>
      <c r="H1515" s="36" t="n">
        <f aca="false">IF($G$2849=0,0,G1515/$G$2849)</f>
        <v>2.95300018462392E-005</v>
      </c>
      <c r="I1515" s="37" t="n">
        <f aca="false">I1514+H1515</f>
        <v>0.986552178594807</v>
      </c>
      <c r="J1515" s="37" t="n">
        <f aca="false">A1515/2840</f>
        <v>0.530985915492958</v>
      </c>
      <c r="K1515" s="32" t="str">
        <f aca="false">IF(I1515&lt;=$E$4,"A",IF(I1515&lt;=$E$5,"B","C"))</f>
        <v>C</v>
      </c>
    </row>
    <row r="1516" customFormat="false" ht="15" hidden="false" customHeight="false" outlineLevel="0" collapsed="false">
      <c r="A1516" s="32" t="n">
        <v>1509</v>
      </c>
      <c r="B1516" s="33" t="n">
        <v>23891</v>
      </c>
      <c r="C1516" s="34" t="s">
        <v>3103</v>
      </c>
      <c r="D1516" s="34" t="s">
        <v>3104</v>
      </c>
      <c r="E1516" s="34" t="s">
        <v>130</v>
      </c>
      <c r="F1516" s="32" t="n">
        <f aca="false">COUNTIF(Base!$D$2:$D$2878,B1516)</f>
        <v>1</v>
      </c>
      <c r="G1516" s="35" t="n">
        <f aca="false">SUMIF(Base!$D$2:$D$2878,B1516,Base!$I$2:$I$2878)</f>
        <v>449</v>
      </c>
      <c r="H1516" s="36" t="n">
        <f aca="false">IF($G$2849=0,0,G1516/$G$2849)</f>
        <v>2.94643796199142E-005</v>
      </c>
      <c r="I1516" s="37" t="n">
        <f aca="false">I1515+H1516</f>
        <v>0.986581642974427</v>
      </c>
      <c r="J1516" s="37" t="n">
        <f aca="false">A1516/2840</f>
        <v>0.531338028169014</v>
      </c>
      <c r="K1516" s="32" t="str">
        <f aca="false">IF(I1516&lt;=$E$4,"A",IF(I1516&lt;=$E$5,"B","C"))</f>
        <v>C</v>
      </c>
    </row>
    <row r="1517" customFormat="false" ht="15" hidden="false" customHeight="false" outlineLevel="0" collapsed="false">
      <c r="A1517" s="32" t="n">
        <v>1510</v>
      </c>
      <c r="B1517" s="33" t="n">
        <v>19862</v>
      </c>
      <c r="C1517" s="34" t="s">
        <v>3105</v>
      </c>
      <c r="D1517" s="34" t="s">
        <v>3106</v>
      </c>
      <c r="E1517" s="34" t="s">
        <v>457</v>
      </c>
      <c r="F1517" s="32" t="n">
        <f aca="false">COUNTIF(Base!$D$2:$D$2878,B1517)</f>
        <v>1</v>
      </c>
      <c r="G1517" s="35" t="n">
        <f aca="false">SUMIF(Base!$D$2:$D$2878,B1517,Base!$I$2:$I$2878)</f>
        <v>448.2292</v>
      </c>
      <c r="H1517" s="36" t="n">
        <f aca="false">IF($G$2849=0,0,G1517/$G$2849)</f>
        <v>2.94137980078629E-005</v>
      </c>
      <c r="I1517" s="37" t="n">
        <f aca="false">I1516+H1517</f>
        <v>0.986611056772435</v>
      </c>
      <c r="J1517" s="37" t="n">
        <f aca="false">A1517/2840</f>
        <v>0.53169014084507</v>
      </c>
      <c r="K1517" s="32" t="str">
        <f aca="false">IF(I1517&lt;=$E$4,"A",IF(I1517&lt;=$E$5,"B","C"))</f>
        <v>C</v>
      </c>
    </row>
    <row r="1518" customFormat="false" ht="15" hidden="false" customHeight="false" outlineLevel="0" collapsed="false">
      <c r="A1518" s="32" t="n">
        <v>1511</v>
      </c>
      <c r="B1518" s="33" t="n">
        <v>1330544</v>
      </c>
      <c r="C1518" s="34" t="s">
        <v>3107</v>
      </c>
      <c r="D1518" s="34" t="s">
        <v>3108</v>
      </c>
      <c r="E1518" s="34" t="s">
        <v>130</v>
      </c>
      <c r="F1518" s="32" t="n">
        <f aca="false">COUNTIF(Base!$D$2:$D$2878,B1518)</f>
        <v>1</v>
      </c>
      <c r="G1518" s="35" t="n">
        <f aca="false">SUMIF(Base!$D$2:$D$2878,B1518,Base!$I$2:$I$2878)</f>
        <v>448</v>
      </c>
      <c r="H1518" s="36" t="n">
        <f aca="false">IF($G$2849=0,0,G1518/$G$2849)</f>
        <v>2.93987573935893E-005</v>
      </c>
      <c r="I1518" s="37" t="n">
        <f aca="false">I1517+H1518</f>
        <v>0.986640455529828</v>
      </c>
      <c r="J1518" s="37" t="n">
        <f aca="false">A1518/2840</f>
        <v>0.532042253521127</v>
      </c>
      <c r="K1518" s="32" t="str">
        <f aca="false">IF(I1518&lt;=$E$4,"A",IF(I1518&lt;=$E$5,"B","C"))</f>
        <v>C</v>
      </c>
    </row>
    <row r="1519" customFormat="false" ht="15" hidden="false" customHeight="false" outlineLevel="0" collapsed="false">
      <c r="A1519" s="32" t="n">
        <v>1512</v>
      </c>
      <c r="B1519" s="33" t="n">
        <v>1385082</v>
      </c>
      <c r="C1519" s="34" t="s">
        <v>3109</v>
      </c>
      <c r="D1519" s="34" t="s">
        <v>3110</v>
      </c>
      <c r="E1519" s="34" t="s">
        <v>38</v>
      </c>
      <c r="F1519" s="32" t="n">
        <f aca="false">COUNTIF(Base!$D$2:$D$2878,B1519)</f>
        <v>1</v>
      </c>
      <c r="G1519" s="35" t="n">
        <f aca="false">SUMIF(Base!$D$2:$D$2878,B1519,Base!$I$2:$I$2878)</f>
        <v>447</v>
      </c>
      <c r="H1519" s="36" t="n">
        <f aca="false">IF($G$2849=0,0,G1519/$G$2849)</f>
        <v>2.93331351672643E-005</v>
      </c>
      <c r="I1519" s="37" t="n">
        <f aca="false">I1518+H1519</f>
        <v>0.986669788664995</v>
      </c>
      <c r="J1519" s="37" t="n">
        <f aca="false">A1519/2840</f>
        <v>0.532394366197183</v>
      </c>
      <c r="K1519" s="32" t="str">
        <f aca="false">IF(I1519&lt;=$E$4,"A",IF(I1519&lt;=$E$5,"B","C"))</f>
        <v>C</v>
      </c>
    </row>
    <row r="1520" customFormat="false" ht="15" hidden="false" customHeight="false" outlineLevel="0" collapsed="false">
      <c r="A1520" s="32" t="n">
        <v>1513</v>
      </c>
      <c r="B1520" s="33" t="n">
        <v>18451</v>
      </c>
      <c r="C1520" s="34" t="s">
        <v>3111</v>
      </c>
      <c r="D1520" s="34" t="s">
        <v>3112</v>
      </c>
      <c r="E1520" s="34" t="s">
        <v>1618</v>
      </c>
      <c r="F1520" s="32" t="n">
        <f aca="false">COUNTIF(Base!$D$2:$D$2878,B1520)</f>
        <v>1</v>
      </c>
      <c r="G1520" s="35" t="n">
        <f aca="false">SUMIF(Base!$D$2:$D$2878,B1520,Base!$I$2:$I$2878)</f>
        <v>445.68</v>
      </c>
      <c r="H1520" s="36" t="n">
        <f aca="false">IF($G$2849=0,0,G1520/$G$2849)</f>
        <v>2.92465138285153E-005</v>
      </c>
      <c r="I1520" s="37" t="n">
        <f aca="false">I1519+H1520</f>
        <v>0.986699035178824</v>
      </c>
      <c r="J1520" s="37" t="n">
        <f aca="false">A1520/2840</f>
        <v>0.532746478873239</v>
      </c>
      <c r="K1520" s="32" t="str">
        <f aca="false">IF(I1520&lt;=$E$4,"A",IF(I1520&lt;=$E$5,"B","C"))</f>
        <v>C</v>
      </c>
    </row>
    <row r="1521" customFormat="false" ht="15" hidden="false" customHeight="false" outlineLevel="0" collapsed="false">
      <c r="A1521" s="32" t="n">
        <v>1514</v>
      </c>
      <c r="B1521" s="33" t="n">
        <v>1382718</v>
      </c>
      <c r="C1521" s="34" t="s">
        <v>3113</v>
      </c>
      <c r="D1521" s="34" t="s">
        <v>3114</v>
      </c>
      <c r="E1521" s="34" t="s">
        <v>100</v>
      </c>
      <c r="F1521" s="32" t="n">
        <f aca="false">COUNTIF(Base!$D$2:$D$2878,B1521)</f>
        <v>1</v>
      </c>
      <c r="G1521" s="35" t="n">
        <f aca="false">SUMIF(Base!$D$2:$D$2878,B1521,Base!$I$2:$I$2878)</f>
        <v>444.72</v>
      </c>
      <c r="H1521" s="36" t="n">
        <f aca="false">IF($G$2849=0,0,G1521/$G$2849)</f>
        <v>2.91835164912433E-005</v>
      </c>
      <c r="I1521" s="37" t="n">
        <f aca="false">I1520+H1521</f>
        <v>0.986728218695315</v>
      </c>
      <c r="J1521" s="37" t="n">
        <f aca="false">A1521/2840</f>
        <v>0.533098591549296</v>
      </c>
      <c r="K1521" s="32" t="str">
        <f aca="false">IF(I1521&lt;=$E$4,"A",IF(I1521&lt;=$E$5,"B","C"))</f>
        <v>C</v>
      </c>
    </row>
    <row r="1522" customFormat="false" ht="15" hidden="false" customHeight="false" outlineLevel="0" collapsed="false">
      <c r="A1522" s="32" t="n">
        <v>1515</v>
      </c>
      <c r="B1522" s="33" t="n">
        <v>21481</v>
      </c>
      <c r="C1522" s="34" t="s">
        <v>3115</v>
      </c>
      <c r="D1522" s="34" t="s">
        <v>3116</v>
      </c>
      <c r="E1522" s="34" t="s">
        <v>189</v>
      </c>
      <c r="F1522" s="32" t="n">
        <f aca="false">COUNTIF(Base!$D$2:$D$2878,B1522)</f>
        <v>1</v>
      </c>
      <c r="G1522" s="35" t="n">
        <f aca="false">SUMIF(Base!$D$2:$D$2878,B1522,Base!$I$2:$I$2878)</f>
        <v>444</v>
      </c>
      <c r="H1522" s="36" t="n">
        <f aca="false">IF($G$2849=0,0,G1522/$G$2849)</f>
        <v>2.91362684882894E-005</v>
      </c>
      <c r="I1522" s="37" t="n">
        <f aca="false">I1521+H1522</f>
        <v>0.986757354963804</v>
      </c>
      <c r="J1522" s="37" t="n">
        <f aca="false">A1522/2840</f>
        <v>0.533450704225352</v>
      </c>
      <c r="K1522" s="32" t="str">
        <f aca="false">IF(I1522&lt;=$E$4,"A",IF(I1522&lt;=$E$5,"B","C"))</f>
        <v>C</v>
      </c>
    </row>
    <row r="1523" customFormat="false" ht="15" hidden="false" customHeight="false" outlineLevel="0" collapsed="false">
      <c r="A1523" s="32" t="n">
        <v>1516</v>
      </c>
      <c r="B1523" s="33" t="n">
        <v>53853</v>
      </c>
      <c r="C1523" s="34" t="s">
        <v>3117</v>
      </c>
      <c r="D1523" s="34" t="s">
        <v>3118</v>
      </c>
      <c r="E1523" s="34" t="s">
        <v>1354</v>
      </c>
      <c r="F1523" s="32" t="n">
        <f aca="false">COUNTIF(Base!$D$2:$D$2878,B1523)</f>
        <v>1</v>
      </c>
      <c r="G1523" s="35" t="n">
        <f aca="false">SUMIF(Base!$D$2:$D$2878,B1523,Base!$I$2:$I$2878)</f>
        <v>444</v>
      </c>
      <c r="H1523" s="36" t="n">
        <f aca="false">IF($G$2849=0,0,G1523/$G$2849)</f>
        <v>2.91362684882894E-005</v>
      </c>
      <c r="I1523" s="37" t="n">
        <f aca="false">I1522+H1523</f>
        <v>0.986786491232292</v>
      </c>
      <c r="J1523" s="37" t="n">
        <f aca="false">A1523/2840</f>
        <v>0.533802816901408</v>
      </c>
      <c r="K1523" s="32" t="str">
        <f aca="false">IF(I1523&lt;=$E$4,"A",IF(I1523&lt;=$E$5,"B","C"))</f>
        <v>C</v>
      </c>
    </row>
    <row r="1524" customFormat="false" ht="15" hidden="false" customHeight="false" outlineLevel="0" collapsed="false">
      <c r="A1524" s="32" t="n">
        <v>1517</v>
      </c>
      <c r="B1524" s="33" t="n">
        <v>939450</v>
      </c>
      <c r="C1524" s="34" t="s">
        <v>3119</v>
      </c>
      <c r="D1524" s="34" t="s">
        <v>3120</v>
      </c>
      <c r="E1524" s="34" t="s">
        <v>360</v>
      </c>
      <c r="F1524" s="32" t="n">
        <f aca="false">COUNTIF(Base!$D$2:$D$2878,B1524)</f>
        <v>1</v>
      </c>
      <c r="G1524" s="35" t="n">
        <f aca="false">SUMIF(Base!$D$2:$D$2878,B1524,Base!$I$2:$I$2878)</f>
        <v>444</v>
      </c>
      <c r="H1524" s="36" t="n">
        <f aca="false">IF($G$2849=0,0,G1524/$G$2849)</f>
        <v>2.91362684882894E-005</v>
      </c>
      <c r="I1524" s="37" t="n">
        <f aca="false">I1523+H1524</f>
        <v>0.98681562750078</v>
      </c>
      <c r="J1524" s="37" t="n">
        <f aca="false">A1524/2840</f>
        <v>0.534154929577465</v>
      </c>
      <c r="K1524" s="32" t="str">
        <f aca="false">IF(I1524&lt;=$E$4,"A",IF(I1524&lt;=$E$5,"B","C"))</f>
        <v>C</v>
      </c>
    </row>
    <row r="1525" customFormat="false" ht="15" hidden="false" customHeight="false" outlineLevel="0" collapsed="false">
      <c r="A1525" s="32" t="n">
        <v>1518</v>
      </c>
      <c r="B1525" s="33" t="n">
        <v>889036</v>
      </c>
      <c r="C1525" s="34" t="s">
        <v>3121</v>
      </c>
      <c r="D1525" s="34" t="s">
        <v>3122</v>
      </c>
      <c r="E1525" s="34" t="s">
        <v>38</v>
      </c>
      <c r="F1525" s="32" t="n">
        <f aca="false">COUNTIF(Base!$D$2:$D$2878,B1525)</f>
        <v>1</v>
      </c>
      <c r="G1525" s="35" t="n">
        <f aca="false">SUMIF(Base!$D$2:$D$2878,B1525,Base!$I$2:$I$2878)</f>
        <v>441</v>
      </c>
      <c r="H1525" s="36" t="n">
        <f aca="false">IF($G$2849=0,0,G1525/$G$2849)</f>
        <v>2.89394018093144E-005</v>
      </c>
      <c r="I1525" s="37" t="n">
        <f aca="false">I1524+H1525</f>
        <v>0.98684456690259</v>
      </c>
      <c r="J1525" s="37" t="n">
        <f aca="false">A1525/2840</f>
        <v>0.534507042253521</v>
      </c>
      <c r="K1525" s="32" t="str">
        <f aca="false">IF(I1525&lt;=$E$4,"A",IF(I1525&lt;=$E$5,"B","C"))</f>
        <v>C</v>
      </c>
    </row>
    <row r="1526" customFormat="false" ht="15" hidden="false" customHeight="false" outlineLevel="0" collapsed="false">
      <c r="A1526" s="32" t="n">
        <v>1519</v>
      </c>
      <c r="B1526" s="33" t="n">
        <v>35098</v>
      </c>
      <c r="C1526" s="34" t="s">
        <v>3123</v>
      </c>
      <c r="D1526" s="34" t="s">
        <v>3124</v>
      </c>
      <c r="E1526" s="34" t="s">
        <v>457</v>
      </c>
      <c r="F1526" s="32" t="n">
        <f aca="false">COUNTIF(Base!$D$2:$D$2878,B1526)</f>
        <v>1</v>
      </c>
      <c r="G1526" s="35" t="n">
        <f aca="false">SUMIF(Base!$D$2:$D$2878,B1526,Base!$I$2:$I$2878)</f>
        <v>440</v>
      </c>
      <c r="H1526" s="36" t="n">
        <f aca="false">IF($G$2849=0,0,G1526/$G$2849)</f>
        <v>2.88737795829894E-005</v>
      </c>
      <c r="I1526" s="37" t="n">
        <f aca="false">I1525+H1526</f>
        <v>0.986873440682173</v>
      </c>
      <c r="J1526" s="37" t="n">
        <f aca="false">A1526/2840</f>
        <v>0.534859154929578</v>
      </c>
      <c r="K1526" s="32" t="str">
        <f aca="false">IF(I1526&lt;=$E$4,"A",IF(I1526&lt;=$E$5,"B","C"))</f>
        <v>C</v>
      </c>
    </row>
    <row r="1527" customFormat="false" ht="15" hidden="false" customHeight="false" outlineLevel="0" collapsed="false">
      <c r="A1527" s="32" t="n">
        <v>1520</v>
      </c>
      <c r="B1527" s="33" t="n">
        <v>66333</v>
      </c>
      <c r="C1527" s="34" t="s">
        <v>3125</v>
      </c>
      <c r="D1527" s="34" t="s">
        <v>3126</v>
      </c>
      <c r="E1527" s="34" t="s">
        <v>1618</v>
      </c>
      <c r="F1527" s="32" t="n">
        <f aca="false">COUNTIF(Base!$D$2:$D$2878,B1527)</f>
        <v>1</v>
      </c>
      <c r="G1527" s="35" t="n">
        <f aca="false">SUMIF(Base!$D$2:$D$2878,B1527,Base!$I$2:$I$2878)</f>
        <v>440</v>
      </c>
      <c r="H1527" s="36" t="n">
        <f aca="false">IF($G$2849=0,0,G1527/$G$2849)</f>
        <v>2.88737795829894E-005</v>
      </c>
      <c r="I1527" s="37" t="n">
        <f aca="false">I1526+H1527</f>
        <v>0.986902314461756</v>
      </c>
      <c r="J1527" s="37" t="n">
        <f aca="false">A1527/2840</f>
        <v>0.535211267605634</v>
      </c>
      <c r="K1527" s="32" t="str">
        <f aca="false">IF(I1527&lt;=$E$4,"A",IF(I1527&lt;=$E$5,"B","C"))</f>
        <v>C</v>
      </c>
    </row>
    <row r="1528" customFormat="false" ht="15" hidden="false" customHeight="false" outlineLevel="0" collapsed="false">
      <c r="A1528" s="32" t="n">
        <v>1521</v>
      </c>
      <c r="B1528" s="33" t="n">
        <v>426794</v>
      </c>
      <c r="C1528" s="34" t="s">
        <v>3127</v>
      </c>
      <c r="D1528" s="34" t="s">
        <v>3128</v>
      </c>
      <c r="E1528" s="34" t="s">
        <v>38</v>
      </c>
      <c r="F1528" s="32" t="n">
        <f aca="false">COUNTIF(Base!$D$2:$D$2878,B1528)</f>
        <v>1</v>
      </c>
      <c r="G1528" s="35" t="n">
        <f aca="false">SUMIF(Base!$D$2:$D$2878,B1528,Base!$I$2:$I$2878)</f>
        <v>440</v>
      </c>
      <c r="H1528" s="36" t="n">
        <f aca="false">IF($G$2849=0,0,G1528/$G$2849)</f>
        <v>2.88737795829894E-005</v>
      </c>
      <c r="I1528" s="37" t="n">
        <f aca="false">I1527+H1528</f>
        <v>0.986931188241338</v>
      </c>
      <c r="J1528" s="37" t="n">
        <f aca="false">A1528/2840</f>
        <v>0.53556338028169</v>
      </c>
      <c r="K1528" s="32" t="str">
        <f aca="false">IF(I1528&lt;=$E$4,"A",IF(I1528&lt;=$E$5,"B","C"))</f>
        <v>C</v>
      </c>
    </row>
    <row r="1529" customFormat="false" ht="15" hidden="false" customHeight="false" outlineLevel="0" collapsed="false">
      <c r="A1529" s="32" t="n">
        <v>1522</v>
      </c>
      <c r="B1529" s="33" t="n">
        <v>858712</v>
      </c>
      <c r="C1529" s="34" t="s">
        <v>3129</v>
      </c>
      <c r="D1529" s="34" t="s">
        <v>3130</v>
      </c>
      <c r="E1529" s="34" t="s">
        <v>100</v>
      </c>
      <c r="F1529" s="32" t="n">
        <f aca="false">COUNTIF(Base!$D$2:$D$2878,B1529)</f>
        <v>1</v>
      </c>
      <c r="G1529" s="35" t="n">
        <f aca="false">SUMIF(Base!$D$2:$D$2878,B1529,Base!$I$2:$I$2878)</f>
        <v>440</v>
      </c>
      <c r="H1529" s="36" t="n">
        <f aca="false">IF($G$2849=0,0,G1529/$G$2849)</f>
        <v>2.88737795829894E-005</v>
      </c>
      <c r="I1529" s="37" t="n">
        <f aca="false">I1528+H1529</f>
        <v>0.986960062020921</v>
      </c>
      <c r="J1529" s="37" t="n">
        <f aca="false">A1529/2840</f>
        <v>0.535915492957746</v>
      </c>
      <c r="K1529" s="32" t="str">
        <f aca="false">IF(I1529&lt;=$E$4,"A",IF(I1529&lt;=$E$5,"B","C"))</f>
        <v>C</v>
      </c>
    </row>
    <row r="1530" customFormat="false" ht="15" hidden="false" customHeight="false" outlineLevel="0" collapsed="false">
      <c r="A1530" s="32" t="n">
        <v>1523</v>
      </c>
      <c r="B1530" s="33" t="n">
        <v>1105400</v>
      </c>
      <c r="C1530" s="34" t="s">
        <v>3131</v>
      </c>
      <c r="D1530" s="34" t="s">
        <v>3132</v>
      </c>
      <c r="E1530" s="34" t="s">
        <v>2056</v>
      </c>
      <c r="F1530" s="32" t="n">
        <f aca="false">COUNTIF(Base!$D$2:$D$2878,B1530)</f>
        <v>1</v>
      </c>
      <c r="G1530" s="35" t="n">
        <f aca="false">SUMIF(Base!$D$2:$D$2878,B1530,Base!$I$2:$I$2878)</f>
        <v>440</v>
      </c>
      <c r="H1530" s="36" t="n">
        <f aca="false">IF($G$2849=0,0,G1530/$G$2849)</f>
        <v>2.88737795829894E-005</v>
      </c>
      <c r="I1530" s="37" t="n">
        <f aca="false">I1529+H1530</f>
        <v>0.986988935800504</v>
      </c>
      <c r="J1530" s="37" t="n">
        <f aca="false">A1530/2840</f>
        <v>0.536267605633803</v>
      </c>
      <c r="K1530" s="32" t="str">
        <f aca="false">IF(I1530&lt;=$E$4,"A",IF(I1530&lt;=$E$5,"B","C"))</f>
        <v>C</v>
      </c>
    </row>
    <row r="1531" customFormat="false" ht="15" hidden="false" customHeight="false" outlineLevel="0" collapsed="false">
      <c r="A1531" s="32" t="n">
        <v>1524</v>
      </c>
      <c r="B1531" s="33" t="n">
        <v>1685480</v>
      </c>
      <c r="C1531" s="34" t="s">
        <v>3133</v>
      </c>
      <c r="D1531" s="34" t="s">
        <v>3134</v>
      </c>
      <c r="E1531" s="34" t="s">
        <v>54</v>
      </c>
      <c r="F1531" s="32" t="n">
        <f aca="false">COUNTIF(Base!$D$2:$D$2878,B1531)</f>
        <v>1</v>
      </c>
      <c r="G1531" s="35" t="n">
        <f aca="false">SUMIF(Base!$D$2:$D$2878,B1531,Base!$I$2:$I$2878)</f>
        <v>439.8</v>
      </c>
      <c r="H1531" s="36" t="n">
        <f aca="false">IF($G$2849=0,0,G1531/$G$2849)</f>
        <v>2.88606551377245E-005</v>
      </c>
      <c r="I1531" s="37" t="n">
        <f aca="false">I1530+H1531</f>
        <v>0.987017796455642</v>
      </c>
      <c r="J1531" s="37" t="n">
        <f aca="false">A1531/2840</f>
        <v>0.536619718309859</v>
      </c>
      <c r="K1531" s="32" t="str">
        <f aca="false">IF(I1531&lt;=$E$4,"A",IF(I1531&lt;=$E$5,"B","C"))</f>
        <v>C</v>
      </c>
    </row>
    <row r="1532" customFormat="false" ht="15" hidden="false" customHeight="false" outlineLevel="0" collapsed="false">
      <c r="A1532" s="32" t="n">
        <v>1525</v>
      </c>
      <c r="B1532" s="33" t="n">
        <v>222861</v>
      </c>
      <c r="C1532" s="34" t="s">
        <v>3135</v>
      </c>
      <c r="D1532" s="34" t="s">
        <v>3136</v>
      </c>
      <c r="E1532" s="34" t="s">
        <v>38</v>
      </c>
      <c r="F1532" s="32" t="n">
        <f aca="false">COUNTIF(Base!$D$2:$D$2878,B1532)</f>
        <v>1</v>
      </c>
      <c r="G1532" s="35" t="n">
        <f aca="false">SUMIF(Base!$D$2:$D$2878,B1532,Base!$I$2:$I$2878)</f>
        <v>439.44</v>
      </c>
      <c r="H1532" s="36" t="n">
        <f aca="false">IF($G$2849=0,0,G1532/$G$2849)</f>
        <v>2.88370311362475E-005</v>
      </c>
      <c r="I1532" s="37" t="n">
        <f aca="false">I1531+H1532</f>
        <v>0.987046633486778</v>
      </c>
      <c r="J1532" s="37" t="n">
        <f aca="false">A1532/2840</f>
        <v>0.536971830985916</v>
      </c>
      <c r="K1532" s="32" t="str">
        <f aca="false">IF(I1532&lt;=$E$4,"A",IF(I1532&lt;=$E$5,"B","C"))</f>
        <v>C</v>
      </c>
    </row>
    <row r="1533" customFormat="false" ht="15" hidden="false" customHeight="false" outlineLevel="0" collapsed="false">
      <c r="A1533" s="32" t="n">
        <v>1526</v>
      </c>
      <c r="B1533" s="33" t="n">
        <v>19359</v>
      </c>
      <c r="C1533" s="34" t="s">
        <v>3137</v>
      </c>
      <c r="D1533" s="34" t="s">
        <v>3138</v>
      </c>
      <c r="E1533" s="34" t="s">
        <v>1095</v>
      </c>
      <c r="F1533" s="32" t="n">
        <f aca="false">COUNTIF(Base!$D$2:$D$2878,B1533)</f>
        <v>1</v>
      </c>
      <c r="G1533" s="35" t="n">
        <f aca="false">SUMIF(Base!$D$2:$D$2878,B1533,Base!$I$2:$I$2878)</f>
        <v>438.6151</v>
      </c>
      <c r="H1533" s="36" t="n">
        <f aca="false">IF($G$2849=0,0,G1533/$G$2849)</f>
        <v>2.8782899361752E-005</v>
      </c>
      <c r="I1533" s="37" t="n">
        <f aca="false">I1532+H1533</f>
        <v>0.98707541638614</v>
      </c>
      <c r="J1533" s="37" t="n">
        <f aca="false">A1533/2840</f>
        <v>0.537323943661972</v>
      </c>
      <c r="K1533" s="32" t="str">
        <f aca="false">IF(I1533&lt;=$E$4,"A",IF(I1533&lt;=$E$5,"B","C"))</f>
        <v>C</v>
      </c>
    </row>
    <row r="1534" customFormat="false" ht="15" hidden="false" customHeight="false" outlineLevel="0" collapsed="false">
      <c r="A1534" s="32" t="n">
        <v>1527</v>
      </c>
      <c r="B1534" s="33" t="n">
        <v>231002</v>
      </c>
      <c r="C1534" s="34" t="s">
        <v>3139</v>
      </c>
      <c r="D1534" s="34" t="s">
        <v>3140</v>
      </c>
      <c r="E1534" s="34" t="s">
        <v>247</v>
      </c>
      <c r="F1534" s="32" t="n">
        <f aca="false">COUNTIF(Base!$D$2:$D$2878,B1534)</f>
        <v>1</v>
      </c>
      <c r="G1534" s="35" t="n">
        <f aca="false">SUMIF(Base!$D$2:$D$2878,B1534,Base!$I$2:$I$2878)</f>
        <v>438.35</v>
      </c>
      <c r="H1534" s="36" t="n">
        <f aca="false">IF($G$2849=0,0,G1534/$G$2849)</f>
        <v>2.87655029095532E-005</v>
      </c>
      <c r="I1534" s="37" t="n">
        <f aca="false">I1533+H1534</f>
        <v>0.98710418188905</v>
      </c>
      <c r="J1534" s="37" t="n">
        <f aca="false">A1534/2840</f>
        <v>0.537676056338028</v>
      </c>
      <c r="K1534" s="32" t="str">
        <f aca="false">IF(I1534&lt;=$E$4,"A",IF(I1534&lt;=$E$5,"B","C"))</f>
        <v>C</v>
      </c>
    </row>
    <row r="1535" customFormat="false" ht="15" hidden="false" customHeight="false" outlineLevel="0" collapsed="false">
      <c r="A1535" s="32" t="n">
        <v>1528</v>
      </c>
      <c r="B1535" s="33" t="n">
        <v>32113</v>
      </c>
      <c r="C1535" s="34" t="s">
        <v>3141</v>
      </c>
      <c r="D1535" s="34" t="s">
        <v>3142</v>
      </c>
      <c r="E1535" s="34" t="s">
        <v>133</v>
      </c>
      <c r="F1535" s="32" t="n">
        <f aca="false">COUNTIF(Base!$D$2:$D$2878,B1535)</f>
        <v>1</v>
      </c>
      <c r="G1535" s="35" t="n">
        <f aca="false">SUMIF(Base!$D$2:$D$2878,B1535,Base!$I$2:$I$2878)</f>
        <v>436.87</v>
      </c>
      <c r="H1535" s="36" t="n">
        <f aca="false">IF($G$2849=0,0,G1535/$G$2849)</f>
        <v>2.86683820145923E-005</v>
      </c>
      <c r="I1535" s="37" t="n">
        <f aca="false">I1534+H1535</f>
        <v>0.987132850271064</v>
      </c>
      <c r="J1535" s="37" t="n">
        <f aca="false">A1535/2840</f>
        <v>0.538028169014085</v>
      </c>
      <c r="K1535" s="32" t="str">
        <f aca="false">IF(I1535&lt;=$E$4,"A",IF(I1535&lt;=$E$5,"B","C"))</f>
        <v>C</v>
      </c>
    </row>
    <row r="1536" customFormat="false" ht="15" hidden="false" customHeight="false" outlineLevel="0" collapsed="false">
      <c r="A1536" s="32" t="n">
        <v>1529</v>
      </c>
      <c r="B1536" s="33" t="n">
        <v>478197</v>
      </c>
      <c r="C1536" s="34" t="s">
        <v>3143</v>
      </c>
      <c r="D1536" s="34" t="s">
        <v>3144</v>
      </c>
      <c r="E1536" s="34" t="s">
        <v>38</v>
      </c>
      <c r="F1536" s="32" t="n">
        <f aca="false">COUNTIF(Base!$D$2:$D$2878,B1536)</f>
        <v>1</v>
      </c>
      <c r="G1536" s="35" t="n">
        <f aca="false">SUMIF(Base!$D$2:$D$2878,B1536,Base!$I$2:$I$2878)</f>
        <v>436.46</v>
      </c>
      <c r="H1536" s="36" t="n">
        <f aca="false">IF($G$2849=0,0,G1536/$G$2849)</f>
        <v>2.8641476901799E-005</v>
      </c>
      <c r="I1536" s="37" t="n">
        <f aca="false">I1535+H1536</f>
        <v>0.987161491747966</v>
      </c>
      <c r="J1536" s="37" t="n">
        <f aca="false">A1536/2840</f>
        <v>0.538380281690141</v>
      </c>
      <c r="K1536" s="32" t="str">
        <f aca="false">IF(I1536&lt;=$E$4,"A",IF(I1536&lt;=$E$5,"B","C"))</f>
        <v>C</v>
      </c>
    </row>
    <row r="1537" customFormat="false" ht="15" hidden="false" customHeight="false" outlineLevel="0" collapsed="false">
      <c r="A1537" s="32" t="n">
        <v>1530</v>
      </c>
      <c r="B1537" s="33" t="n">
        <v>227995</v>
      </c>
      <c r="C1537" s="34" t="s">
        <v>3145</v>
      </c>
      <c r="D1537" s="34" t="s">
        <v>3146</v>
      </c>
      <c r="E1537" s="34" t="s">
        <v>360</v>
      </c>
      <c r="F1537" s="32" t="n">
        <f aca="false">COUNTIF(Base!$D$2:$D$2878,B1537)</f>
        <v>1</v>
      </c>
      <c r="G1537" s="35" t="n">
        <f aca="false">SUMIF(Base!$D$2:$D$2878,B1537,Base!$I$2:$I$2878)</f>
        <v>435</v>
      </c>
      <c r="H1537" s="36" t="n">
        <f aca="false">IF($G$2849=0,0,G1537/$G$2849)</f>
        <v>2.85456684513646E-005</v>
      </c>
      <c r="I1537" s="37" t="n">
        <f aca="false">I1536+H1537</f>
        <v>0.987190037416417</v>
      </c>
      <c r="J1537" s="37" t="n">
        <f aca="false">A1537/2840</f>
        <v>0.538732394366197</v>
      </c>
      <c r="K1537" s="32" t="str">
        <f aca="false">IF(I1537&lt;=$E$4,"A",IF(I1537&lt;=$E$5,"B","C"))</f>
        <v>C</v>
      </c>
    </row>
    <row r="1538" customFormat="false" ht="15" hidden="false" customHeight="false" outlineLevel="0" collapsed="false">
      <c r="A1538" s="32" t="n">
        <v>1531</v>
      </c>
      <c r="B1538" s="33" t="n">
        <v>1312867</v>
      </c>
      <c r="C1538" s="34" t="s">
        <v>3147</v>
      </c>
      <c r="D1538" s="34" t="s">
        <v>3148</v>
      </c>
      <c r="E1538" s="34" t="s">
        <v>130</v>
      </c>
      <c r="F1538" s="32" t="n">
        <f aca="false">COUNTIF(Base!$D$2:$D$2878,B1538)</f>
        <v>1</v>
      </c>
      <c r="G1538" s="35" t="n">
        <f aca="false">SUMIF(Base!$D$2:$D$2878,B1538,Base!$I$2:$I$2878)</f>
        <v>435</v>
      </c>
      <c r="H1538" s="36" t="n">
        <f aca="false">IF($G$2849=0,0,G1538/$G$2849)</f>
        <v>2.85456684513646E-005</v>
      </c>
      <c r="I1538" s="37" t="n">
        <f aca="false">I1537+H1538</f>
        <v>0.987218583084869</v>
      </c>
      <c r="J1538" s="37" t="n">
        <f aca="false">A1538/2840</f>
        <v>0.539084507042254</v>
      </c>
      <c r="K1538" s="32" t="str">
        <f aca="false">IF(I1538&lt;=$E$4,"A",IF(I1538&lt;=$E$5,"B","C"))</f>
        <v>C</v>
      </c>
    </row>
    <row r="1539" customFormat="false" ht="15" hidden="false" customHeight="false" outlineLevel="0" collapsed="false">
      <c r="A1539" s="32" t="n">
        <v>1532</v>
      </c>
      <c r="B1539" s="33" t="n">
        <v>138658</v>
      </c>
      <c r="C1539" s="34" t="s">
        <v>3149</v>
      </c>
      <c r="D1539" s="34" t="s">
        <v>3150</v>
      </c>
      <c r="E1539" s="34" t="s">
        <v>100</v>
      </c>
      <c r="F1539" s="32" t="n">
        <f aca="false">COUNTIF(Base!$D$2:$D$2878,B1539)</f>
        <v>1</v>
      </c>
      <c r="G1539" s="35" t="n">
        <f aca="false">SUMIF(Base!$D$2:$D$2878,B1539,Base!$I$2:$I$2878)</f>
        <v>433.8</v>
      </c>
      <c r="H1539" s="36" t="n">
        <f aca="false">IF($G$2849=0,0,G1539/$G$2849)</f>
        <v>2.84669217797746E-005</v>
      </c>
      <c r="I1539" s="37" t="n">
        <f aca="false">I1538+H1539</f>
        <v>0.987247050006648</v>
      </c>
      <c r="J1539" s="37" t="n">
        <f aca="false">A1539/2840</f>
        <v>0.53943661971831</v>
      </c>
      <c r="K1539" s="32" t="str">
        <f aca="false">IF(I1539&lt;=$E$4,"A",IF(I1539&lt;=$E$5,"B","C"))</f>
        <v>C</v>
      </c>
    </row>
    <row r="1540" customFormat="false" ht="15" hidden="false" customHeight="false" outlineLevel="0" collapsed="false">
      <c r="A1540" s="32" t="n">
        <v>1533</v>
      </c>
      <c r="B1540" s="33" t="n">
        <v>12543</v>
      </c>
      <c r="C1540" s="34" t="s">
        <v>3151</v>
      </c>
      <c r="D1540" s="34" t="s">
        <v>3152</v>
      </c>
      <c r="E1540" s="34" t="s">
        <v>38</v>
      </c>
      <c r="F1540" s="32" t="n">
        <f aca="false">COUNTIF(Base!$D$2:$D$2878,B1540)</f>
        <v>1</v>
      </c>
      <c r="G1540" s="35" t="n">
        <f aca="false">SUMIF(Base!$D$2:$D$2878,B1540,Base!$I$2:$I$2878)</f>
        <v>433</v>
      </c>
      <c r="H1540" s="36" t="n">
        <f aca="false">IF($G$2849=0,0,G1540/$G$2849)</f>
        <v>2.84144239987146E-005</v>
      </c>
      <c r="I1540" s="37" t="n">
        <f aca="false">I1539+H1540</f>
        <v>0.987275464430647</v>
      </c>
      <c r="J1540" s="37" t="n">
        <f aca="false">A1540/2840</f>
        <v>0.539788732394366</v>
      </c>
      <c r="K1540" s="32" t="str">
        <f aca="false">IF(I1540&lt;=$E$4,"A",IF(I1540&lt;=$E$5,"B","C"))</f>
        <v>C</v>
      </c>
    </row>
    <row r="1541" customFormat="false" ht="15" hidden="false" customHeight="false" outlineLevel="0" collapsed="false">
      <c r="A1541" s="32" t="n">
        <v>1534</v>
      </c>
      <c r="B1541" s="33" t="n">
        <v>929934</v>
      </c>
      <c r="C1541" s="34" t="s">
        <v>3153</v>
      </c>
      <c r="D1541" s="34" t="s">
        <v>3154</v>
      </c>
      <c r="E1541" s="34" t="s">
        <v>217</v>
      </c>
      <c r="F1541" s="32" t="n">
        <f aca="false">COUNTIF(Base!$D$2:$D$2878,B1541)</f>
        <v>1</v>
      </c>
      <c r="G1541" s="35" t="n">
        <f aca="false">SUMIF(Base!$D$2:$D$2878,B1541,Base!$I$2:$I$2878)</f>
        <v>432</v>
      </c>
      <c r="H1541" s="36" t="n">
        <f aca="false">IF($G$2849=0,0,G1541/$G$2849)</f>
        <v>2.83488017723896E-005</v>
      </c>
      <c r="I1541" s="37" t="n">
        <f aca="false">I1540+H1541</f>
        <v>0.987303813232419</v>
      </c>
      <c r="J1541" s="37" t="n">
        <f aca="false">A1541/2840</f>
        <v>0.540140845070423</v>
      </c>
      <c r="K1541" s="32" t="str">
        <f aca="false">IF(I1541&lt;=$E$4,"A",IF(I1541&lt;=$E$5,"B","C"))</f>
        <v>C</v>
      </c>
    </row>
    <row r="1542" customFormat="false" ht="15" hidden="false" customHeight="false" outlineLevel="0" collapsed="false">
      <c r="A1542" s="32" t="n">
        <v>1535</v>
      </c>
      <c r="B1542" s="33" t="n">
        <v>55065</v>
      </c>
      <c r="C1542" s="34" t="s">
        <v>3155</v>
      </c>
      <c r="D1542" s="34" t="s">
        <v>3156</v>
      </c>
      <c r="E1542" s="34" t="s">
        <v>38</v>
      </c>
      <c r="F1542" s="32" t="n">
        <f aca="false">COUNTIF(Base!$D$2:$D$2878,B1542)</f>
        <v>1</v>
      </c>
      <c r="G1542" s="35" t="n">
        <f aca="false">SUMIF(Base!$D$2:$D$2878,B1542,Base!$I$2:$I$2878)</f>
        <v>429.32</v>
      </c>
      <c r="H1542" s="36" t="n">
        <f aca="false">IF($G$2849=0,0,G1542/$G$2849)</f>
        <v>2.81729342058387E-005</v>
      </c>
      <c r="I1542" s="37" t="n">
        <f aca="false">I1541+H1542</f>
        <v>0.987331986166625</v>
      </c>
      <c r="J1542" s="37" t="n">
        <f aca="false">A1542/2840</f>
        <v>0.540492957746479</v>
      </c>
      <c r="K1542" s="32" t="str">
        <f aca="false">IF(I1542&lt;=$E$4,"A",IF(I1542&lt;=$E$5,"B","C"))</f>
        <v>C</v>
      </c>
    </row>
    <row r="1543" customFormat="false" ht="15" hidden="false" customHeight="false" outlineLevel="0" collapsed="false">
      <c r="A1543" s="32" t="n">
        <v>1536</v>
      </c>
      <c r="B1543" s="33" t="n">
        <v>18843</v>
      </c>
      <c r="C1543" s="34" t="s">
        <v>3157</v>
      </c>
      <c r="D1543" s="34" t="s">
        <v>3158</v>
      </c>
      <c r="E1543" s="34" t="s">
        <v>247</v>
      </c>
      <c r="F1543" s="32" t="n">
        <f aca="false">COUNTIF(Base!$D$2:$D$2878,B1543)</f>
        <v>1</v>
      </c>
      <c r="G1543" s="35" t="n">
        <f aca="false">SUMIF(Base!$D$2:$D$2878,B1543,Base!$I$2:$I$2878)</f>
        <v>429.31</v>
      </c>
      <c r="H1543" s="36" t="n">
        <f aca="false">IF($G$2849=0,0,G1543/$G$2849)</f>
        <v>2.81722779835755E-005</v>
      </c>
      <c r="I1543" s="37" t="n">
        <f aca="false">I1542+H1543</f>
        <v>0.987360158444609</v>
      </c>
      <c r="J1543" s="37" t="n">
        <f aca="false">A1543/2840</f>
        <v>0.540845070422535</v>
      </c>
      <c r="K1543" s="32" t="str">
        <f aca="false">IF(I1543&lt;=$E$4,"A",IF(I1543&lt;=$E$5,"B","C"))</f>
        <v>C</v>
      </c>
    </row>
    <row r="1544" customFormat="false" ht="15" hidden="false" customHeight="false" outlineLevel="0" collapsed="false">
      <c r="A1544" s="32" t="n">
        <v>1537</v>
      </c>
      <c r="B1544" s="33" t="n">
        <v>1656588</v>
      </c>
      <c r="C1544" s="34" t="s">
        <v>3159</v>
      </c>
      <c r="D1544" s="34" t="s">
        <v>3160</v>
      </c>
      <c r="E1544" s="34" t="s">
        <v>217</v>
      </c>
      <c r="F1544" s="32" t="n">
        <f aca="false">COUNTIF(Base!$D$2:$D$2878,B1544)</f>
        <v>1</v>
      </c>
      <c r="G1544" s="35" t="n">
        <f aca="false">SUMIF(Base!$D$2:$D$2878,B1544,Base!$I$2:$I$2878)</f>
        <v>428.04</v>
      </c>
      <c r="H1544" s="36" t="n">
        <f aca="false">IF($G$2849=0,0,G1544/$G$2849)</f>
        <v>2.80889377561427E-005</v>
      </c>
      <c r="I1544" s="37" t="n">
        <f aca="false">I1543+H1544</f>
        <v>0.987388247382365</v>
      </c>
      <c r="J1544" s="37" t="n">
        <f aca="false">A1544/2840</f>
        <v>0.541197183098592</v>
      </c>
      <c r="K1544" s="32" t="str">
        <f aca="false">IF(I1544&lt;=$E$4,"A",IF(I1544&lt;=$E$5,"B","C"))</f>
        <v>C</v>
      </c>
    </row>
    <row r="1545" customFormat="false" ht="15" hidden="false" customHeight="false" outlineLevel="0" collapsed="false">
      <c r="A1545" s="32" t="n">
        <v>1538</v>
      </c>
      <c r="B1545" s="33" t="n">
        <v>18945</v>
      </c>
      <c r="C1545" s="34" t="s">
        <v>3161</v>
      </c>
      <c r="D1545" s="34" t="s">
        <v>3162</v>
      </c>
      <c r="E1545" s="34" t="s">
        <v>247</v>
      </c>
      <c r="F1545" s="32" t="n">
        <f aca="false">COUNTIF(Base!$D$2:$D$2878,B1545)</f>
        <v>1</v>
      </c>
      <c r="G1545" s="35" t="n">
        <f aca="false">SUMIF(Base!$D$2:$D$2878,B1545,Base!$I$2:$I$2878)</f>
        <v>427.75</v>
      </c>
      <c r="H1545" s="36" t="n">
        <f aca="false">IF($G$2849=0,0,G1545/$G$2849)</f>
        <v>2.80699073105085E-005</v>
      </c>
      <c r="I1545" s="37" t="n">
        <f aca="false">I1544+H1545</f>
        <v>0.987416317289676</v>
      </c>
      <c r="J1545" s="37" t="n">
        <f aca="false">A1545/2840</f>
        <v>0.541549295774648</v>
      </c>
      <c r="K1545" s="32" t="str">
        <f aca="false">IF(I1545&lt;=$E$4,"A",IF(I1545&lt;=$E$5,"B","C"))</f>
        <v>C</v>
      </c>
    </row>
    <row r="1546" customFormat="false" ht="15" hidden="false" customHeight="false" outlineLevel="0" collapsed="false">
      <c r="A1546" s="32" t="n">
        <v>1539</v>
      </c>
      <c r="B1546" s="33" t="n">
        <v>21344</v>
      </c>
      <c r="C1546" s="34" t="s">
        <v>3163</v>
      </c>
      <c r="D1546" s="34" t="s">
        <v>3164</v>
      </c>
      <c r="E1546" s="34" t="s">
        <v>457</v>
      </c>
      <c r="F1546" s="32" t="n">
        <f aca="false">COUNTIF(Base!$D$2:$D$2878,B1546)</f>
        <v>1</v>
      </c>
      <c r="G1546" s="35" t="n">
        <f aca="false">SUMIF(Base!$D$2:$D$2878,B1546,Base!$I$2:$I$2878)</f>
        <v>427.0688</v>
      </c>
      <c r="H1546" s="36" t="n">
        <f aca="false">IF($G$2849=0,0,G1546/$G$2849)</f>
        <v>2.80252054499359E-005</v>
      </c>
      <c r="I1546" s="37" t="n">
        <f aca="false">I1545+H1546</f>
        <v>0.987444342495126</v>
      </c>
      <c r="J1546" s="37" t="n">
        <f aca="false">A1546/2840</f>
        <v>0.541901408450704</v>
      </c>
      <c r="K1546" s="32" t="str">
        <f aca="false">IF(I1546&lt;=$E$4,"A",IF(I1546&lt;=$E$5,"B","C"))</f>
        <v>C</v>
      </c>
    </row>
    <row r="1547" customFormat="false" ht="15" hidden="false" customHeight="false" outlineLevel="0" collapsed="false">
      <c r="A1547" s="32" t="n">
        <v>1540</v>
      </c>
      <c r="B1547" s="33" t="n">
        <v>59882</v>
      </c>
      <c r="C1547" s="34" t="s">
        <v>3165</v>
      </c>
      <c r="D1547" s="34" t="s">
        <v>3166</v>
      </c>
      <c r="E1547" s="34" t="s">
        <v>100</v>
      </c>
      <c r="F1547" s="32" t="n">
        <f aca="false">COUNTIF(Base!$D$2:$D$2878,B1547)</f>
        <v>1</v>
      </c>
      <c r="G1547" s="35" t="n">
        <f aca="false">SUMIF(Base!$D$2:$D$2878,B1547,Base!$I$2:$I$2878)</f>
        <v>426.57</v>
      </c>
      <c r="H1547" s="36" t="n">
        <f aca="false">IF($G$2849=0,0,G1547/$G$2849)</f>
        <v>2.7992473083445E-005</v>
      </c>
      <c r="I1547" s="37" t="n">
        <f aca="false">I1546+H1547</f>
        <v>0.987472334968209</v>
      </c>
      <c r="J1547" s="37" t="n">
        <f aca="false">A1547/2840</f>
        <v>0.542253521126761</v>
      </c>
      <c r="K1547" s="32" t="str">
        <f aca="false">IF(I1547&lt;=$E$4,"A",IF(I1547&lt;=$E$5,"B","C"))</f>
        <v>C</v>
      </c>
    </row>
    <row r="1548" customFormat="false" ht="15" hidden="false" customHeight="false" outlineLevel="0" collapsed="false">
      <c r="A1548" s="32" t="n">
        <v>1541</v>
      </c>
      <c r="B1548" s="33" t="n">
        <v>548397</v>
      </c>
      <c r="C1548" s="34" t="s">
        <v>3167</v>
      </c>
      <c r="D1548" s="34" t="s">
        <v>3168</v>
      </c>
      <c r="E1548" s="34" t="s">
        <v>262</v>
      </c>
      <c r="F1548" s="32" t="n">
        <f aca="false">COUNTIF(Base!$D$2:$D$2878,B1548)</f>
        <v>1</v>
      </c>
      <c r="G1548" s="35" t="n">
        <f aca="false">SUMIF(Base!$D$2:$D$2878,B1548,Base!$I$2:$I$2878)</f>
        <v>425.66</v>
      </c>
      <c r="H1548" s="36" t="n">
        <f aca="false">IF($G$2849=0,0,G1548/$G$2849)</f>
        <v>2.79327568574893E-005</v>
      </c>
      <c r="I1548" s="37" t="n">
        <f aca="false">I1547+H1548</f>
        <v>0.987500267725067</v>
      </c>
      <c r="J1548" s="37" t="n">
        <f aca="false">A1548/2840</f>
        <v>0.542605633802817</v>
      </c>
      <c r="K1548" s="32" t="str">
        <f aca="false">IF(I1548&lt;=$E$4,"A",IF(I1548&lt;=$E$5,"B","C"))</f>
        <v>C</v>
      </c>
    </row>
    <row r="1549" customFormat="false" ht="15" hidden="false" customHeight="false" outlineLevel="0" collapsed="false">
      <c r="A1549" s="32" t="n">
        <v>1542</v>
      </c>
      <c r="B1549" s="33" t="n">
        <v>21331</v>
      </c>
      <c r="C1549" s="34" t="s">
        <v>3169</v>
      </c>
      <c r="D1549" s="34" t="s">
        <v>3170</v>
      </c>
      <c r="E1549" s="34" t="s">
        <v>605</v>
      </c>
      <c r="F1549" s="32" t="n">
        <f aca="false">COUNTIF(Base!$D$2:$D$2878,B1549)</f>
        <v>1</v>
      </c>
      <c r="G1549" s="35" t="n">
        <f aca="false">SUMIF(Base!$D$2:$D$2878,B1549,Base!$I$2:$I$2878)</f>
        <v>424.6</v>
      </c>
      <c r="H1549" s="36" t="n">
        <f aca="false">IF($G$2849=0,0,G1549/$G$2849)</f>
        <v>2.78631972975848E-005</v>
      </c>
      <c r="I1549" s="37" t="n">
        <f aca="false">I1548+H1549</f>
        <v>0.987528130922364</v>
      </c>
      <c r="J1549" s="37" t="n">
        <f aca="false">A1549/2840</f>
        <v>0.542957746478873</v>
      </c>
      <c r="K1549" s="32" t="str">
        <f aca="false">IF(I1549&lt;=$E$4,"A",IF(I1549&lt;=$E$5,"B","C"))</f>
        <v>C</v>
      </c>
    </row>
    <row r="1550" customFormat="false" ht="15" hidden="false" customHeight="false" outlineLevel="0" collapsed="false">
      <c r="A1550" s="32" t="n">
        <v>1543</v>
      </c>
      <c r="B1550" s="33" t="n">
        <v>228912</v>
      </c>
      <c r="C1550" s="34" t="s">
        <v>3171</v>
      </c>
      <c r="D1550" s="34" t="s">
        <v>3172</v>
      </c>
      <c r="E1550" s="34" t="s">
        <v>130</v>
      </c>
      <c r="F1550" s="32" t="n">
        <f aca="false">COUNTIF(Base!$D$2:$D$2878,B1550)</f>
        <v>1</v>
      </c>
      <c r="G1550" s="35" t="n">
        <f aca="false">SUMIF(Base!$D$2:$D$2878,B1550,Base!$I$2:$I$2878)</f>
        <v>423.32</v>
      </c>
      <c r="H1550" s="36" t="n">
        <f aca="false">IF($G$2849=0,0,G1550/$G$2849)</f>
        <v>2.77792008478888E-005</v>
      </c>
      <c r="I1550" s="37" t="n">
        <f aca="false">I1549+H1550</f>
        <v>0.987555910123212</v>
      </c>
      <c r="J1550" s="37" t="n">
        <f aca="false">A1550/2840</f>
        <v>0.54330985915493</v>
      </c>
      <c r="K1550" s="32" t="str">
        <f aca="false">IF(I1550&lt;=$E$4,"A",IF(I1550&lt;=$E$5,"B","C"))</f>
        <v>C</v>
      </c>
    </row>
    <row r="1551" customFormat="false" ht="15" hidden="false" customHeight="false" outlineLevel="0" collapsed="false">
      <c r="A1551" s="32" t="n">
        <v>1544</v>
      </c>
      <c r="B1551" s="33" t="n">
        <v>876535</v>
      </c>
      <c r="C1551" s="34" t="s">
        <v>3173</v>
      </c>
      <c r="D1551" s="34" t="s">
        <v>3174</v>
      </c>
      <c r="E1551" s="34" t="s">
        <v>133</v>
      </c>
      <c r="F1551" s="32" t="n">
        <f aca="false">COUNTIF(Base!$D$2:$D$2878,B1551)</f>
        <v>1</v>
      </c>
      <c r="G1551" s="35" t="n">
        <f aca="false">SUMIF(Base!$D$2:$D$2878,B1551,Base!$I$2:$I$2878)</f>
        <v>423</v>
      </c>
      <c r="H1551" s="36" t="n">
        <f aca="false">IF($G$2849=0,0,G1551/$G$2849)</f>
        <v>2.77582017354649E-005</v>
      </c>
      <c r="I1551" s="37" t="n">
        <f aca="false">I1550+H1551</f>
        <v>0.987583668324948</v>
      </c>
      <c r="J1551" s="37" t="n">
        <f aca="false">A1551/2840</f>
        <v>0.543661971830986</v>
      </c>
      <c r="K1551" s="32" t="str">
        <f aca="false">IF(I1551&lt;=$E$4,"A",IF(I1551&lt;=$E$5,"B","C"))</f>
        <v>C</v>
      </c>
    </row>
    <row r="1552" customFormat="false" ht="15" hidden="false" customHeight="false" outlineLevel="0" collapsed="false">
      <c r="A1552" s="32" t="n">
        <v>1545</v>
      </c>
      <c r="B1552" s="33" t="n">
        <v>1327892</v>
      </c>
      <c r="C1552" s="34" t="s">
        <v>3175</v>
      </c>
      <c r="D1552" s="34" t="s">
        <v>3176</v>
      </c>
      <c r="E1552" s="34" t="s">
        <v>54</v>
      </c>
      <c r="F1552" s="32" t="n">
        <f aca="false">COUNTIF(Base!$D$2:$D$2878,B1552)</f>
        <v>1</v>
      </c>
      <c r="G1552" s="35" t="n">
        <f aca="false">SUMIF(Base!$D$2:$D$2878,B1552,Base!$I$2:$I$2878)</f>
        <v>423</v>
      </c>
      <c r="H1552" s="36" t="n">
        <f aca="false">IF($G$2849=0,0,G1552/$G$2849)</f>
        <v>2.77582017354649E-005</v>
      </c>
      <c r="I1552" s="37" t="n">
        <f aca="false">I1551+H1552</f>
        <v>0.987611426526683</v>
      </c>
      <c r="J1552" s="37" t="n">
        <f aca="false">A1552/2840</f>
        <v>0.544014084507042</v>
      </c>
      <c r="K1552" s="32" t="str">
        <f aca="false">IF(I1552&lt;=$E$4,"A",IF(I1552&lt;=$E$5,"B","C"))</f>
        <v>C</v>
      </c>
    </row>
    <row r="1553" customFormat="false" ht="15" hidden="false" customHeight="false" outlineLevel="0" collapsed="false">
      <c r="A1553" s="32" t="n">
        <v>1546</v>
      </c>
      <c r="B1553" s="33" t="n">
        <v>1484132</v>
      </c>
      <c r="C1553" s="34" t="s">
        <v>3177</v>
      </c>
      <c r="D1553" s="34" t="s">
        <v>3178</v>
      </c>
      <c r="E1553" s="34" t="s">
        <v>100</v>
      </c>
      <c r="F1553" s="32" t="n">
        <f aca="false">COUNTIF(Base!$D$2:$D$2878,B1553)</f>
        <v>1</v>
      </c>
      <c r="G1553" s="35" t="n">
        <f aca="false">SUMIF(Base!$D$2:$D$2878,B1553,Base!$I$2:$I$2878)</f>
        <v>422.4</v>
      </c>
      <c r="H1553" s="36" t="n">
        <f aca="false">IF($G$2849=0,0,G1553/$G$2849)</f>
        <v>2.77188283996699E-005</v>
      </c>
      <c r="I1553" s="37" t="n">
        <f aca="false">I1552+H1553</f>
        <v>0.987639145355083</v>
      </c>
      <c r="J1553" s="37" t="n">
        <f aca="false">A1553/2840</f>
        <v>0.544366197183099</v>
      </c>
      <c r="K1553" s="32" t="str">
        <f aca="false">IF(I1553&lt;=$E$4,"A",IF(I1553&lt;=$E$5,"B","C"))</f>
        <v>C</v>
      </c>
    </row>
    <row r="1554" customFormat="false" ht="15" hidden="false" customHeight="false" outlineLevel="0" collapsed="false">
      <c r="A1554" s="32" t="n">
        <v>1547</v>
      </c>
      <c r="B1554" s="33" t="n">
        <v>937213</v>
      </c>
      <c r="C1554" s="34" t="s">
        <v>3179</v>
      </c>
      <c r="D1554" s="34" t="s">
        <v>3180</v>
      </c>
      <c r="E1554" s="34" t="s">
        <v>38</v>
      </c>
      <c r="F1554" s="32" t="n">
        <f aca="false">COUNTIF(Base!$D$2:$D$2878,B1554)</f>
        <v>1</v>
      </c>
      <c r="G1554" s="35" t="n">
        <f aca="false">SUMIF(Base!$D$2:$D$2878,B1554,Base!$I$2:$I$2878)</f>
        <v>421.8</v>
      </c>
      <c r="H1554" s="36" t="n">
        <f aca="false">IF($G$2849=0,0,G1554/$G$2849)</f>
        <v>2.76794550638749E-005</v>
      </c>
      <c r="I1554" s="37" t="n">
        <f aca="false">I1553+H1554</f>
        <v>0.987666824810147</v>
      </c>
      <c r="J1554" s="37" t="n">
        <f aca="false">A1554/2840</f>
        <v>0.544718309859155</v>
      </c>
      <c r="K1554" s="32" t="str">
        <f aca="false">IF(I1554&lt;=$E$4,"A",IF(I1554&lt;=$E$5,"B","C"))</f>
        <v>C</v>
      </c>
    </row>
    <row r="1555" customFormat="false" ht="15" hidden="false" customHeight="false" outlineLevel="0" collapsed="false">
      <c r="A1555" s="32" t="n">
        <v>1548</v>
      </c>
      <c r="B1555" s="33" t="n">
        <v>32850</v>
      </c>
      <c r="C1555" s="34" t="s">
        <v>3181</v>
      </c>
      <c r="D1555" s="34" t="s">
        <v>3182</v>
      </c>
      <c r="E1555" s="34" t="s">
        <v>1095</v>
      </c>
      <c r="F1555" s="32" t="n">
        <f aca="false">COUNTIF(Base!$D$2:$D$2878,B1555)</f>
        <v>1</v>
      </c>
      <c r="G1555" s="35" t="n">
        <f aca="false">SUMIF(Base!$D$2:$D$2878,B1555,Base!$I$2:$I$2878)</f>
        <v>420</v>
      </c>
      <c r="H1555" s="36" t="n">
        <f aca="false">IF($G$2849=0,0,G1555/$G$2849)</f>
        <v>2.75613350564899E-005</v>
      </c>
      <c r="I1555" s="37" t="n">
        <f aca="false">I1554+H1555</f>
        <v>0.987694386145203</v>
      </c>
      <c r="J1555" s="37" t="n">
        <f aca="false">A1555/2840</f>
        <v>0.545070422535211</v>
      </c>
      <c r="K1555" s="32" t="str">
        <f aca="false">IF(I1555&lt;=$E$4,"A",IF(I1555&lt;=$E$5,"B","C"))</f>
        <v>C</v>
      </c>
    </row>
    <row r="1556" customFormat="false" ht="15" hidden="false" customHeight="false" outlineLevel="0" collapsed="false">
      <c r="A1556" s="32" t="n">
        <v>1549</v>
      </c>
      <c r="B1556" s="33" t="n">
        <v>1467132</v>
      </c>
      <c r="C1556" s="34" t="s">
        <v>3183</v>
      </c>
      <c r="D1556" s="34" t="s">
        <v>3184</v>
      </c>
      <c r="E1556" s="34" t="s">
        <v>38</v>
      </c>
      <c r="F1556" s="32" t="n">
        <f aca="false">COUNTIF(Base!$D$2:$D$2878,B1556)</f>
        <v>1</v>
      </c>
      <c r="G1556" s="35" t="n">
        <f aca="false">SUMIF(Base!$D$2:$D$2878,B1556,Base!$I$2:$I$2878)</f>
        <v>420</v>
      </c>
      <c r="H1556" s="36" t="n">
        <f aca="false">IF($G$2849=0,0,G1556/$G$2849)</f>
        <v>2.75613350564899E-005</v>
      </c>
      <c r="I1556" s="37" t="n">
        <f aca="false">I1555+H1556</f>
        <v>0.98772194748026</v>
      </c>
      <c r="J1556" s="37" t="n">
        <f aca="false">A1556/2840</f>
        <v>0.545422535211268</v>
      </c>
      <c r="K1556" s="32" t="str">
        <f aca="false">IF(I1556&lt;=$E$4,"A",IF(I1556&lt;=$E$5,"B","C"))</f>
        <v>C</v>
      </c>
    </row>
    <row r="1557" customFormat="false" ht="15" hidden="false" customHeight="false" outlineLevel="0" collapsed="false">
      <c r="A1557" s="32" t="n">
        <v>1550</v>
      </c>
      <c r="B1557" s="33" t="n">
        <v>141718</v>
      </c>
      <c r="C1557" s="34" t="s">
        <v>3185</v>
      </c>
      <c r="D1557" s="34" t="s">
        <v>3186</v>
      </c>
      <c r="E1557" s="34" t="s">
        <v>1095</v>
      </c>
      <c r="F1557" s="32" t="n">
        <f aca="false">COUNTIF(Base!$D$2:$D$2878,B1557)</f>
        <v>1</v>
      </c>
      <c r="G1557" s="35" t="n">
        <f aca="false">SUMIF(Base!$D$2:$D$2878,B1557,Base!$I$2:$I$2878)</f>
        <v>418.55</v>
      </c>
      <c r="H1557" s="36" t="n">
        <f aca="false">IF($G$2849=0,0,G1557/$G$2849)</f>
        <v>2.74661828283187E-005</v>
      </c>
      <c r="I1557" s="37" t="n">
        <f aca="false">I1556+H1557</f>
        <v>0.987749413663088</v>
      </c>
      <c r="J1557" s="37" t="n">
        <f aca="false">A1557/2840</f>
        <v>0.545774647887324</v>
      </c>
      <c r="K1557" s="32" t="str">
        <f aca="false">IF(I1557&lt;=$E$4,"A",IF(I1557&lt;=$E$5,"B","C"))</f>
        <v>C</v>
      </c>
    </row>
    <row r="1558" customFormat="false" ht="15" hidden="false" customHeight="false" outlineLevel="0" collapsed="false">
      <c r="A1558" s="32" t="n">
        <v>1551</v>
      </c>
      <c r="B1558" s="33" t="n">
        <v>140525</v>
      </c>
      <c r="C1558" s="34" t="s">
        <v>3187</v>
      </c>
      <c r="D1558" s="34" t="s">
        <v>3188</v>
      </c>
      <c r="E1558" s="34" t="s">
        <v>38</v>
      </c>
      <c r="F1558" s="32" t="n">
        <f aca="false">COUNTIF(Base!$D$2:$D$2878,B1558)</f>
        <v>1</v>
      </c>
      <c r="G1558" s="35" t="n">
        <f aca="false">SUMIF(Base!$D$2:$D$2878,B1558,Base!$I$2:$I$2878)</f>
        <v>418.4</v>
      </c>
      <c r="H1558" s="36" t="n">
        <f aca="false">IF($G$2849=0,0,G1558/$G$2849)</f>
        <v>2.745633949437E-005</v>
      </c>
      <c r="I1558" s="37" t="n">
        <f aca="false">I1557+H1558</f>
        <v>0.987776870002582</v>
      </c>
      <c r="J1558" s="37" t="n">
        <f aca="false">A1558/2840</f>
        <v>0.54612676056338</v>
      </c>
      <c r="K1558" s="32" t="str">
        <f aca="false">IF(I1558&lt;=$E$4,"A",IF(I1558&lt;=$E$5,"B","C"))</f>
        <v>C</v>
      </c>
    </row>
    <row r="1559" customFormat="false" ht="15" hidden="false" customHeight="false" outlineLevel="0" collapsed="false">
      <c r="A1559" s="32" t="n">
        <v>1552</v>
      </c>
      <c r="B1559" s="33" t="n">
        <v>1386770</v>
      </c>
      <c r="C1559" s="34" t="s">
        <v>3189</v>
      </c>
      <c r="D1559" s="34" t="s">
        <v>3190</v>
      </c>
      <c r="E1559" s="34" t="s">
        <v>160</v>
      </c>
      <c r="F1559" s="32" t="n">
        <f aca="false">COUNTIF(Base!$D$2:$D$2878,B1559)</f>
        <v>1</v>
      </c>
      <c r="G1559" s="35" t="n">
        <f aca="false">SUMIF(Base!$D$2:$D$2878,B1559,Base!$I$2:$I$2878)</f>
        <v>418.2</v>
      </c>
      <c r="H1559" s="36" t="n">
        <f aca="false">IF($G$2849=0,0,G1559/$G$2849)</f>
        <v>2.7443215049105E-005</v>
      </c>
      <c r="I1559" s="37" t="n">
        <f aca="false">I1558+H1559</f>
        <v>0.987804313217631</v>
      </c>
      <c r="J1559" s="37" t="n">
        <f aca="false">A1559/2840</f>
        <v>0.546478873239437</v>
      </c>
      <c r="K1559" s="32" t="str">
        <f aca="false">IF(I1559&lt;=$E$4,"A",IF(I1559&lt;=$E$5,"B","C"))</f>
        <v>C</v>
      </c>
    </row>
    <row r="1560" customFormat="false" ht="15" hidden="false" customHeight="false" outlineLevel="0" collapsed="false">
      <c r="A1560" s="32" t="n">
        <v>1553</v>
      </c>
      <c r="B1560" s="33" t="n">
        <v>1467852</v>
      </c>
      <c r="C1560" s="34" t="s">
        <v>3191</v>
      </c>
      <c r="D1560" s="34" t="s">
        <v>3192</v>
      </c>
      <c r="E1560" s="34" t="s">
        <v>722</v>
      </c>
      <c r="F1560" s="32" t="n">
        <f aca="false">COUNTIF(Base!$D$2:$D$2878,B1560)</f>
        <v>1</v>
      </c>
      <c r="G1560" s="35" t="n">
        <f aca="false">SUMIF(Base!$D$2:$D$2878,B1560,Base!$I$2:$I$2878)</f>
        <v>418</v>
      </c>
      <c r="H1560" s="36" t="n">
        <f aca="false">IF($G$2849=0,0,G1560/$G$2849)</f>
        <v>2.743009060384E-005</v>
      </c>
      <c r="I1560" s="37" t="n">
        <f aca="false">I1559+H1560</f>
        <v>0.987831743308235</v>
      </c>
      <c r="J1560" s="37" t="n">
        <f aca="false">A1560/2840</f>
        <v>0.546830985915493</v>
      </c>
      <c r="K1560" s="32" t="str">
        <f aca="false">IF(I1560&lt;=$E$4,"A",IF(I1560&lt;=$E$5,"B","C"))</f>
        <v>C</v>
      </c>
    </row>
    <row r="1561" customFormat="false" ht="15" hidden="false" customHeight="false" outlineLevel="0" collapsed="false">
      <c r="A1561" s="32" t="n">
        <v>1554</v>
      </c>
      <c r="B1561" s="33" t="n">
        <v>1389118</v>
      </c>
      <c r="C1561" s="34" t="s">
        <v>3193</v>
      </c>
      <c r="D1561" s="34" t="s">
        <v>3194</v>
      </c>
      <c r="E1561" s="34" t="s">
        <v>38</v>
      </c>
      <c r="F1561" s="32" t="n">
        <f aca="false">COUNTIF(Base!$D$2:$D$2878,B1561)</f>
        <v>1</v>
      </c>
      <c r="G1561" s="35" t="n">
        <f aca="false">SUMIF(Base!$D$2:$D$2878,B1561,Base!$I$2:$I$2878)</f>
        <v>417.27</v>
      </c>
      <c r="H1561" s="36" t="n">
        <f aca="false">IF($G$2849=0,0,G1561/$G$2849)</f>
        <v>2.73821863786227E-005</v>
      </c>
      <c r="I1561" s="37" t="n">
        <f aca="false">I1560+H1561</f>
        <v>0.987859125494614</v>
      </c>
      <c r="J1561" s="37" t="n">
        <f aca="false">A1561/2840</f>
        <v>0.547183098591549</v>
      </c>
      <c r="K1561" s="32" t="str">
        <f aca="false">IF(I1561&lt;=$E$4,"A",IF(I1561&lt;=$E$5,"B","C"))</f>
        <v>C</v>
      </c>
    </row>
    <row r="1562" customFormat="false" ht="15" hidden="false" customHeight="false" outlineLevel="0" collapsed="false">
      <c r="A1562" s="32" t="n">
        <v>1555</v>
      </c>
      <c r="B1562" s="33" t="n">
        <v>21399</v>
      </c>
      <c r="C1562" s="34" t="s">
        <v>3195</v>
      </c>
      <c r="D1562" s="34" t="s">
        <v>3196</v>
      </c>
      <c r="E1562" s="34" t="s">
        <v>835</v>
      </c>
      <c r="F1562" s="32" t="n">
        <f aca="false">COUNTIF(Base!$D$2:$D$2878,B1562)</f>
        <v>1</v>
      </c>
      <c r="G1562" s="35" t="n">
        <f aca="false">SUMIF(Base!$D$2:$D$2878,B1562,Base!$I$2:$I$2878)</f>
        <v>416.64</v>
      </c>
      <c r="H1562" s="36" t="n">
        <f aca="false">IF($G$2849=0,0,G1562/$G$2849)</f>
        <v>2.7340844376038E-005</v>
      </c>
      <c r="I1562" s="37" t="n">
        <f aca="false">I1561+H1562</f>
        <v>0.98788646633899</v>
      </c>
      <c r="J1562" s="37" t="n">
        <f aca="false">A1562/2840</f>
        <v>0.547535211267606</v>
      </c>
      <c r="K1562" s="32" t="str">
        <f aca="false">IF(I1562&lt;=$E$4,"A",IF(I1562&lt;=$E$5,"B","C"))</f>
        <v>C</v>
      </c>
    </row>
    <row r="1563" customFormat="false" ht="15" hidden="false" customHeight="false" outlineLevel="0" collapsed="false">
      <c r="A1563" s="32" t="n">
        <v>1556</v>
      </c>
      <c r="B1563" s="33" t="n">
        <v>826194</v>
      </c>
      <c r="C1563" s="34" t="s">
        <v>3197</v>
      </c>
      <c r="D1563" s="34" t="s">
        <v>3198</v>
      </c>
      <c r="E1563" s="34" t="s">
        <v>100</v>
      </c>
      <c r="F1563" s="32" t="n">
        <f aca="false">COUNTIF(Base!$D$2:$D$2878,B1563)</f>
        <v>1</v>
      </c>
      <c r="G1563" s="35" t="n">
        <f aca="false">SUMIF(Base!$D$2:$D$2878,B1563,Base!$I$2:$I$2878)</f>
        <v>414.48</v>
      </c>
      <c r="H1563" s="36" t="n">
        <f aca="false">IF($G$2849=0,0,G1563/$G$2849)</f>
        <v>2.71991003671761E-005</v>
      </c>
      <c r="I1563" s="37" t="n">
        <f aca="false">I1562+H1563</f>
        <v>0.987913665439357</v>
      </c>
      <c r="J1563" s="37" t="n">
        <f aca="false">A1563/2840</f>
        <v>0.547887323943662</v>
      </c>
      <c r="K1563" s="32" t="str">
        <f aca="false">IF(I1563&lt;=$E$4,"A",IF(I1563&lt;=$E$5,"B","C"))</f>
        <v>C</v>
      </c>
    </row>
    <row r="1564" customFormat="false" ht="15" hidden="false" customHeight="false" outlineLevel="0" collapsed="false">
      <c r="A1564" s="32" t="n">
        <v>1557</v>
      </c>
      <c r="B1564" s="33" t="n">
        <v>1319424</v>
      </c>
      <c r="C1564" s="34" t="s">
        <v>3199</v>
      </c>
      <c r="D1564" s="34" t="s">
        <v>3200</v>
      </c>
      <c r="E1564" s="34" t="s">
        <v>217</v>
      </c>
      <c r="F1564" s="32" t="n">
        <f aca="false">COUNTIF(Base!$D$2:$D$2878,B1564)</f>
        <v>1</v>
      </c>
      <c r="G1564" s="35" t="n">
        <f aca="false">SUMIF(Base!$D$2:$D$2878,B1564,Base!$I$2:$I$2878)</f>
        <v>412.44</v>
      </c>
      <c r="H1564" s="36" t="n">
        <f aca="false">IF($G$2849=0,0,G1564/$G$2849)</f>
        <v>2.70652310254731E-005</v>
      </c>
      <c r="I1564" s="37" t="n">
        <f aca="false">I1563+H1564</f>
        <v>0.987940730670383</v>
      </c>
      <c r="J1564" s="37" t="n">
        <f aca="false">A1564/2840</f>
        <v>0.548239436619718</v>
      </c>
      <c r="K1564" s="32" t="str">
        <f aca="false">IF(I1564&lt;=$E$4,"A",IF(I1564&lt;=$E$5,"B","C"))</f>
        <v>C</v>
      </c>
    </row>
    <row r="1565" customFormat="false" ht="15" hidden="false" customHeight="false" outlineLevel="0" collapsed="false">
      <c r="A1565" s="32" t="n">
        <v>1558</v>
      </c>
      <c r="B1565" s="33" t="n">
        <v>1656805</v>
      </c>
      <c r="C1565" s="34" t="s">
        <v>3201</v>
      </c>
      <c r="D1565" s="34" t="s">
        <v>3202</v>
      </c>
      <c r="E1565" s="34" t="s">
        <v>217</v>
      </c>
      <c r="F1565" s="32" t="n">
        <f aca="false">COUNTIF(Base!$D$2:$D$2878,B1565)</f>
        <v>1</v>
      </c>
      <c r="G1565" s="35" t="n">
        <f aca="false">SUMIF(Base!$D$2:$D$2878,B1565,Base!$I$2:$I$2878)</f>
        <v>412.2</v>
      </c>
      <c r="H1565" s="36" t="n">
        <f aca="false">IF($G$2849=0,0,G1565/$G$2849)</f>
        <v>2.70494816911551E-005</v>
      </c>
      <c r="I1565" s="37" t="n">
        <f aca="false">I1564+H1565</f>
        <v>0.987967780152074</v>
      </c>
      <c r="J1565" s="37" t="n">
        <f aca="false">A1565/2840</f>
        <v>0.548591549295775</v>
      </c>
      <c r="K1565" s="32" t="str">
        <f aca="false">IF(I1565&lt;=$E$4,"A",IF(I1565&lt;=$E$5,"B","C"))</f>
        <v>C</v>
      </c>
    </row>
    <row r="1566" customFormat="false" ht="15" hidden="false" customHeight="false" outlineLevel="0" collapsed="false">
      <c r="A1566" s="32" t="n">
        <v>1559</v>
      </c>
      <c r="B1566" s="33" t="n">
        <v>884961</v>
      </c>
      <c r="C1566" s="34" t="s">
        <v>3203</v>
      </c>
      <c r="D1566" s="34" t="s">
        <v>3204</v>
      </c>
      <c r="E1566" s="34" t="s">
        <v>100</v>
      </c>
      <c r="F1566" s="32" t="n">
        <f aca="false">COUNTIF(Base!$D$2:$D$2878,B1566)</f>
        <v>1</v>
      </c>
      <c r="G1566" s="35" t="n">
        <f aca="false">SUMIF(Base!$D$2:$D$2878,B1566,Base!$I$2:$I$2878)</f>
        <v>409.9</v>
      </c>
      <c r="H1566" s="36" t="n">
        <f aca="false">IF($G$2849=0,0,G1566/$G$2849)</f>
        <v>2.68985505706077E-005</v>
      </c>
      <c r="I1566" s="37" t="n">
        <f aca="false">I1565+H1566</f>
        <v>0.987994678702644</v>
      </c>
      <c r="J1566" s="37" t="n">
        <f aca="false">A1566/2840</f>
        <v>0.548943661971831</v>
      </c>
      <c r="K1566" s="32" t="str">
        <f aca="false">IF(I1566&lt;=$E$4,"A",IF(I1566&lt;=$E$5,"B","C"))</f>
        <v>C</v>
      </c>
    </row>
    <row r="1567" customFormat="false" ht="15" hidden="false" customHeight="false" outlineLevel="0" collapsed="false">
      <c r="A1567" s="32" t="n">
        <v>1560</v>
      </c>
      <c r="B1567" s="33" t="n">
        <v>22726</v>
      </c>
      <c r="C1567" s="34" t="s">
        <v>3205</v>
      </c>
      <c r="D1567" s="34" t="s">
        <v>3206</v>
      </c>
      <c r="E1567" s="34" t="s">
        <v>363</v>
      </c>
      <c r="F1567" s="32" t="n">
        <f aca="false">COUNTIF(Base!$D$2:$D$2878,B1567)</f>
        <v>1</v>
      </c>
      <c r="G1567" s="35" t="n">
        <f aca="false">SUMIF(Base!$D$2:$D$2878,B1567,Base!$I$2:$I$2878)</f>
        <v>409.47</v>
      </c>
      <c r="H1567" s="36" t="n">
        <f aca="false">IF($G$2849=0,0,G1567/$G$2849)</f>
        <v>2.68703330132879E-005</v>
      </c>
      <c r="I1567" s="37" t="n">
        <f aca="false">I1566+H1567</f>
        <v>0.988021549035658</v>
      </c>
      <c r="J1567" s="37" t="n">
        <f aca="false">A1567/2840</f>
        <v>0.549295774647887</v>
      </c>
      <c r="K1567" s="32" t="str">
        <f aca="false">IF(I1567&lt;=$E$4,"A",IF(I1567&lt;=$E$5,"B","C"))</f>
        <v>C</v>
      </c>
    </row>
    <row r="1568" customFormat="false" ht="15" hidden="false" customHeight="false" outlineLevel="0" collapsed="false">
      <c r="A1568" s="32" t="n">
        <v>1561</v>
      </c>
      <c r="B1568" s="33" t="n">
        <v>224073</v>
      </c>
      <c r="C1568" s="34" t="s">
        <v>3207</v>
      </c>
      <c r="D1568" s="34" t="s">
        <v>3208</v>
      </c>
      <c r="E1568" s="34" t="s">
        <v>189</v>
      </c>
      <c r="F1568" s="32" t="n">
        <f aca="false">COUNTIF(Base!$D$2:$D$2878,B1568)</f>
        <v>1</v>
      </c>
      <c r="G1568" s="35" t="n">
        <f aca="false">SUMIF(Base!$D$2:$D$2878,B1568,Base!$I$2:$I$2878)</f>
        <v>409</v>
      </c>
      <c r="H1568" s="36" t="n">
        <f aca="false">IF($G$2849=0,0,G1568/$G$2849)</f>
        <v>2.68394905669152E-005</v>
      </c>
      <c r="I1568" s="37" t="n">
        <f aca="false">I1567+H1568</f>
        <v>0.988048388526225</v>
      </c>
      <c r="J1568" s="37" t="n">
        <f aca="false">A1568/2840</f>
        <v>0.549647887323944</v>
      </c>
      <c r="K1568" s="32" t="str">
        <f aca="false">IF(I1568&lt;=$E$4,"A",IF(I1568&lt;=$E$5,"B","C"))</f>
        <v>C</v>
      </c>
    </row>
    <row r="1569" customFormat="false" ht="15" hidden="false" customHeight="false" outlineLevel="0" collapsed="false">
      <c r="A1569" s="32" t="n">
        <v>1562</v>
      </c>
      <c r="B1569" s="33" t="n">
        <v>352398</v>
      </c>
      <c r="C1569" s="34" t="s">
        <v>3209</v>
      </c>
      <c r="D1569" s="34" t="s">
        <v>3210</v>
      </c>
      <c r="E1569" s="34" t="s">
        <v>130</v>
      </c>
      <c r="F1569" s="32" t="n">
        <f aca="false">COUNTIF(Base!$D$2:$D$2878,B1569)</f>
        <v>1</v>
      </c>
      <c r="G1569" s="35" t="n">
        <f aca="false">SUMIF(Base!$D$2:$D$2878,B1569,Base!$I$2:$I$2878)</f>
        <v>408</v>
      </c>
      <c r="H1569" s="36" t="n">
        <f aca="false">IF($G$2849=0,0,G1569/$G$2849)</f>
        <v>2.67738683405902E-005</v>
      </c>
      <c r="I1569" s="37" t="n">
        <f aca="false">I1568+H1569</f>
        <v>0.988075162394565</v>
      </c>
      <c r="J1569" s="37" t="n">
        <f aca="false">A1569/2840</f>
        <v>0.55</v>
      </c>
      <c r="K1569" s="32" t="str">
        <f aca="false">IF(I1569&lt;=$E$4,"A",IF(I1569&lt;=$E$5,"B","C"))</f>
        <v>C</v>
      </c>
    </row>
    <row r="1570" customFormat="false" ht="15" hidden="false" customHeight="false" outlineLevel="0" collapsed="false">
      <c r="A1570" s="32" t="n">
        <v>1563</v>
      </c>
      <c r="B1570" s="33" t="n">
        <v>557721</v>
      </c>
      <c r="C1570" s="34" t="s">
        <v>3211</v>
      </c>
      <c r="D1570" s="34" t="s">
        <v>3212</v>
      </c>
      <c r="E1570" s="34" t="s">
        <v>247</v>
      </c>
      <c r="F1570" s="32" t="n">
        <f aca="false">COUNTIF(Base!$D$2:$D$2878,B1570)</f>
        <v>1</v>
      </c>
      <c r="G1570" s="35" t="n">
        <f aca="false">SUMIF(Base!$D$2:$D$2878,B1570,Base!$I$2:$I$2878)</f>
        <v>408</v>
      </c>
      <c r="H1570" s="36" t="n">
        <f aca="false">IF($G$2849=0,0,G1570/$G$2849)</f>
        <v>2.67738683405902E-005</v>
      </c>
      <c r="I1570" s="37" t="n">
        <f aca="false">I1569+H1570</f>
        <v>0.988101936262906</v>
      </c>
      <c r="J1570" s="37" t="n">
        <f aca="false">A1570/2840</f>
        <v>0.550352112676056</v>
      </c>
      <c r="K1570" s="32" t="str">
        <f aca="false">IF(I1570&lt;=$E$4,"A",IF(I1570&lt;=$E$5,"B","C"))</f>
        <v>C</v>
      </c>
    </row>
    <row r="1571" customFormat="false" ht="15" hidden="false" customHeight="false" outlineLevel="0" collapsed="false">
      <c r="A1571" s="32" t="n">
        <v>1564</v>
      </c>
      <c r="B1571" s="33" t="n">
        <v>731058</v>
      </c>
      <c r="C1571" s="34" t="s">
        <v>3213</v>
      </c>
      <c r="D1571" s="34" t="s">
        <v>3214</v>
      </c>
      <c r="E1571" s="34" t="s">
        <v>230</v>
      </c>
      <c r="F1571" s="32" t="n">
        <f aca="false">COUNTIF(Base!$D$2:$D$2878,B1571)</f>
        <v>1</v>
      </c>
      <c r="G1571" s="35" t="n">
        <f aca="false">SUMIF(Base!$D$2:$D$2878,B1571,Base!$I$2:$I$2878)</f>
        <v>408</v>
      </c>
      <c r="H1571" s="36" t="n">
        <f aca="false">IF($G$2849=0,0,G1571/$G$2849)</f>
        <v>2.67738683405902E-005</v>
      </c>
      <c r="I1571" s="37" t="n">
        <f aca="false">I1570+H1571</f>
        <v>0.988128710131246</v>
      </c>
      <c r="J1571" s="37" t="n">
        <f aca="false">A1571/2840</f>
        <v>0.550704225352113</v>
      </c>
      <c r="K1571" s="32" t="str">
        <f aca="false">IF(I1571&lt;=$E$4,"A",IF(I1571&lt;=$E$5,"B","C"))</f>
        <v>C</v>
      </c>
    </row>
    <row r="1572" customFormat="false" ht="15" hidden="false" customHeight="false" outlineLevel="0" collapsed="false">
      <c r="A1572" s="32" t="n">
        <v>1565</v>
      </c>
      <c r="B1572" s="33" t="n">
        <v>136459</v>
      </c>
      <c r="C1572" s="34" t="s">
        <v>3215</v>
      </c>
      <c r="D1572" s="34" t="s">
        <v>3216</v>
      </c>
      <c r="E1572" s="34" t="s">
        <v>133</v>
      </c>
      <c r="F1572" s="32" t="n">
        <f aca="false">COUNTIF(Base!$D$2:$D$2878,B1572)</f>
        <v>1</v>
      </c>
      <c r="G1572" s="35" t="n">
        <f aca="false">SUMIF(Base!$D$2:$D$2878,B1572,Base!$I$2:$I$2878)</f>
        <v>407.9508</v>
      </c>
      <c r="H1572" s="36" t="n">
        <f aca="false">IF($G$2849=0,0,G1572/$G$2849)</f>
        <v>2.6770639727055E-005</v>
      </c>
      <c r="I1572" s="37" t="n">
        <f aca="false">I1571+H1572</f>
        <v>0.988155480770973</v>
      </c>
      <c r="J1572" s="37" t="n">
        <f aca="false">A1572/2840</f>
        <v>0.551056338028169</v>
      </c>
      <c r="K1572" s="32" t="str">
        <f aca="false">IF(I1572&lt;=$E$4,"A",IF(I1572&lt;=$E$5,"B","C"))</f>
        <v>C</v>
      </c>
    </row>
    <row r="1573" customFormat="false" ht="15" hidden="false" customHeight="false" outlineLevel="0" collapsed="false">
      <c r="A1573" s="32" t="n">
        <v>1566</v>
      </c>
      <c r="B1573" s="33" t="n">
        <v>55089</v>
      </c>
      <c r="C1573" s="34" t="s">
        <v>3217</v>
      </c>
      <c r="D1573" s="34" t="s">
        <v>3218</v>
      </c>
      <c r="E1573" s="34" t="s">
        <v>38</v>
      </c>
      <c r="F1573" s="32" t="n">
        <f aca="false">COUNTIF(Base!$D$2:$D$2878,B1573)</f>
        <v>1</v>
      </c>
      <c r="G1573" s="35" t="n">
        <f aca="false">SUMIF(Base!$D$2:$D$2878,B1573,Base!$I$2:$I$2878)</f>
        <v>407.95</v>
      </c>
      <c r="H1573" s="36" t="n">
        <f aca="false">IF($G$2849=0,0,G1573/$G$2849)</f>
        <v>2.6770587229274E-005</v>
      </c>
      <c r="I1573" s="37" t="n">
        <f aca="false">I1572+H1573</f>
        <v>0.988182251358203</v>
      </c>
      <c r="J1573" s="37" t="n">
        <f aca="false">A1573/2840</f>
        <v>0.551408450704225</v>
      </c>
      <c r="K1573" s="32" t="str">
        <f aca="false">IF(I1573&lt;=$E$4,"A",IF(I1573&lt;=$E$5,"B","C"))</f>
        <v>C</v>
      </c>
    </row>
    <row r="1574" customFormat="false" ht="15" hidden="false" customHeight="false" outlineLevel="0" collapsed="false">
      <c r="A1574" s="32" t="n">
        <v>1567</v>
      </c>
      <c r="B1574" s="33" t="n">
        <v>18108</v>
      </c>
      <c r="C1574" s="34" t="s">
        <v>3219</v>
      </c>
      <c r="D1574" s="34" t="s">
        <v>3220</v>
      </c>
      <c r="E1574" s="34" t="s">
        <v>130</v>
      </c>
      <c r="F1574" s="32" t="n">
        <f aca="false">COUNTIF(Base!$D$2:$D$2878,B1574)</f>
        <v>1</v>
      </c>
      <c r="G1574" s="35" t="n">
        <f aca="false">SUMIF(Base!$D$2:$D$2878,B1574,Base!$I$2:$I$2878)</f>
        <v>406</v>
      </c>
      <c r="H1574" s="36" t="n">
        <f aca="false">IF($G$2849=0,0,G1574/$G$2849)</f>
        <v>2.66426238879403E-005</v>
      </c>
      <c r="I1574" s="37" t="n">
        <f aca="false">I1573+H1574</f>
        <v>0.988208893982091</v>
      </c>
      <c r="J1574" s="37" t="n">
        <f aca="false">A1574/2840</f>
        <v>0.551760563380282</v>
      </c>
      <c r="K1574" s="32" t="str">
        <f aca="false">IF(I1574&lt;=$E$4,"A",IF(I1574&lt;=$E$5,"B","C"))</f>
        <v>C</v>
      </c>
    </row>
    <row r="1575" customFormat="false" ht="15" hidden="false" customHeight="false" outlineLevel="0" collapsed="false">
      <c r="A1575" s="32" t="n">
        <v>1568</v>
      </c>
      <c r="B1575" s="33" t="n">
        <v>293946</v>
      </c>
      <c r="C1575" s="34" t="s">
        <v>3221</v>
      </c>
      <c r="D1575" s="34" t="s">
        <v>3222</v>
      </c>
      <c r="E1575" s="34" t="s">
        <v>38</v>
      </c>
      <c r="F1575" s="32" t="n">
        <f aca="false">COUNTIF(Base!$D$2:$D$2878,B1575)</f>
        <v>1</v>
      </c>
      <c r="G1575" s="35" t="n">
        <f aca="false">SUMIF(Base!$D$2:$D$2878,B1575,Base!$I$2:$I$2878)</f>
        <v>406</v>
      </c>
      <c r="H1575" s="36" t="n">
        <f aca="false">IF($G$2849=0,0,G1575/$G$2849)</f>
        <v>2.66426238879403E-005</v>
      </c>
      <c r="I1575" s="37" t="n">
        <f aca="false">I1574+H1575</f>
        <v>0.988235536605979</v>
      </c>
      <c r="J1575" s="37" t="n">
        <f aca="false">A1575/2840</f>
        <v>0.552112676056338</v>
      </c>
      <c r="K1575" s="32" t="str">
        <f aca="false">IF(I1575&lt;=$E$4,"A",IF(I1575&lt;=$E$5,"B","C"))</f>
        <v>C</v>
      </c>
    </row>
    <row r="1576" customFormat="false" ht="15" hidden="false" customHeight="false" outlineLevel="0" collapsed="false">
      <c r="A1576" s="32" t="n">
        <v>1569</v>
      </c>
      <c r="B1576" s="33" t="n">
        <v>604210</v>
      </c>
      <c r="C1576" s="34" t="s">
        <v>3223</v>
      </c>
      <c r="D1576" s="34" t="s">
        <v>3224</v>
      </c>
      <c r="E1576" s="34" t="s">
        <v>38</v>
      </c>
      <c r="F1576" s="32" t="n">
        <f aca="false">COUNTIF(Base!$D$2:$D$2878,B1576)</f>
        <v>1</v>
      </c>
      <c r="G1576" s="35" t="n">
        <f aca="false">SUMIF(Base!$D$2:$D$2878,B1576,Base!$I$2:$I$2878)</f>
        <v>406</v>
      </c>
      <c r="H1576" s="36" t="n">
        <f aca="false">IF($G$2849=0,0,G1576/$G$2849)</f>
        <v>2.66426238879403E-005</v>
      </c>
      <c r="I1576" s="37" t="n">
        <f aca="false">I1575+H1576</f>
        <v>0.988262179229867</v>
      </c>
      <c r="J1576" s="37" t="n">
        <f aca="false">A1576/2840</f>
        <v>0.552464788732394</v>
      </c>
      <c r="K1576" s="32" t="str">
        <f aca="false">IF(I1576&lt;=$E$4,"A",IF(I1576&lt;=$E$5,"B","C"))</f>
        <v>C</v>
      </c>
    </row>
    <row r="1577" customFormat="false" ht="15" hidden="false" customHeight="false" outlineLevel="0" collapsed="false">
      <c r="A1577" s="32" t="n">
        <v>1570</v>
      </c>
      <c r="B1577" s="33" t="n">
        <v>23538</v>
      </c>
      <c r="C1577" s="34" t="s">
        <v>3225</v>
      </c>
      <c r="D1577" s="34" t="s">
        <v>3226</v>
      </c>
      <c r="E1577" s="34" t="s">
        <v>1618</v>
      </c>
      <c r="F1577" s="32" t="n">
        <f aca="false">COUNTIF(Base!$D$2:$D$2878,B1577)</f>
        <v>1</v>
      </c>
      <c r="G1577" s="35" t="n">
        <f aca="false">SUMIF(Base!$D$2:$D$2878,B1577,Base!$I$2:$I$2878)</f>
        <v>405.72</v>
      </c>
      <c r="H1577" s="36" t="n">
        <f aca="false">IF($G$2849=0,0,G1577/$G$2849)</f>
        <v>2.66242496645693E-005</v>
      </c>
      <c r="I1577" s="37" t="n">
        <f aca="false">I1576+H1577</f>
        <v>0.988288803479531</v>
      </c>
      <c r="J1577" s="37" t="n">
        <f aca="false">A1577/2840</f>
        <v>0.552816901408451</v>
      </c>
      <c r="K1577" s="32" t="str">
        <f aca="false">IF(I1577&lt;=$E$4,"A",IF(I1577&lt;=$E$5,"B","C"))</f>
        <v>C</v>
      </c>
    </row>
    <row r="1578" customFormat="false" ht="15" hidden="false" customHeight="false" outlineLevel="0" collapsed="false">
      <c r="A1578" s="32" t="n">
        <v>1571</v>
      </c>
      <c r="B1578" s="33" t="n">
        <v>65918</v>
      </c>
      <c r="C1578" s="34" t="s">
        <v>3227</v>
      </c>
      <c r="D1578" s="34" t="s">
        <v>3228</v>
      </c>
      <c r="E1578" s="34" t="s">
        <v>1618</v>
      </c>
      <c r="F1578" s="32" t="n">
        <f aca="false">COUNTIF(Base!$D$2:$D$2878,B1578)</f>
        <v>1</v>
      </c>
      <c r="G1578" s="35" t="n">
        <f aca="false">SUMIF(Base!$D$2:$D$2878,B1578,Base!$I$2:$I$2878)</f>
        <v>405.4</v>
      </c>
      <c r="H1578" s="36" t="n">
        <f aca="false">IF($G$2849=0,0,G1578/$G$2849)</f>
        <v>2.66032505521453E-005</v>
      </c>
      <c r="I1578" s="37" t="n">
        <f aca="false">I1577+H1578</f>
        <v>0.988315406730083</v>
      </c>
      <c r="J1578" s="37" t="n">
        <f aca="false">A1578/2840</f>
        <v>0.553169014084507</v>
      </c>
      <c r="K1578" s="32" t="str">
        <f aca="false">IF(I1578&lt;=$E$4,"A",IF(I1578&lt;=$E$5,"B","C"))</f>
        <v>C</v>
      </c>
    </row>
    <row r="1579" customFormat="false" ht="15" hidden="false" customHeight="false" outlineLevel="0" collapsed="false">
      <c r="A1579" s="32" t="n">
        <v>1572</v>
      </c>
      <c r="B1579" s="33" t="n">
        <v>557602</v>
      </c>
      <c r="C1579" s="34" t="s">
        <v>3229</v>
      </c>
      <c r="D1579" s="34" t="s">
        <v>3230</v>
      </c>
      <c r="E1579" s="34" t="s">
        <v>130</v>
      </c>
      <c r="F1579" s="32" t="n">
        <f aca="false">COUNTIF(Base!$D$2:$D$2878,B1579)</f>
        <v>1</v>
      </c>
      <c r="G1579" s="35" t="n">
        <f aca="false">SUMIF(Base!$D$2:$D$2878,B1579,Base!$I$2:$I$2878)</f>
        <v>405</v>
      </c>
      <c r="H1579" s="36" t="n">
        <f aca="false">IF($G$2849=0,0,G1579/$G$2849)</f>
        <v>2.65770016616153E-005</v>
      </c>
      <c r="I1579" s="37" t="n">
        <f aca="false">I1578+H1579</f>
        <v>0.988341983731745</v>
      </c>
      <c r="J1579" s="37" t="n">
        <f aca="false">A1579/2840</f>
        <v>0.553521126760563</v>
      </c>
      <c r="K1579" s="32" t="str">
        <f aca="false">IF(I1579&lt;=$E$4,"A",IF(I1579&lt;=$E$5,"B","C"))</f>
        <v>C</v>
      </c>
    </row>
    <row r="1580" customFormat="false" ht="15" hidden="false" customHeight="false" outlineLevel="0" collapsed="false">
      <c r="A1580" s="32" t="n">
        <v>1573</v>
      </c>
      <c r="B1580" s="33" t="n">
        <v>60870</v>
      </c>
      <c r="C1580" s="34" t="s">
        <v>3231</v>
      </c>
      <c r="D1580" s="34" t="s">
        <v>3232</v>
      </c>
      <c r="E1580" s="34" t="s">
        <v>130</v>
      </c>
      <c r="F1580" s="32" t="n">
        <f aca="false">COUNTIF(Base!$D$2:$D$2878,B1580)</f>
        <v>1</v>
      </c>
      <c r="G1580" s="35" t="n">
        <f aca="false">SUMIF(Base!$D$2:$D$2878,B1580,Base!$I$2:$I$2878)</f>
        <v>402</v>
      </c>
      <c r="H1580" s="36" t="n">
        <f aca="false">IF($G$2849=0,0,G1580/$G$2849)</f>
        <v>2.63801349826404E-005</v>
      </c>
      <c r="I1580" s="37" t="n">
        <f aca="false">I1579+H1580</f>
        <v>0.988368363866728</v>
      </c>
      <c r="J1580" s="37" t="n">
        <f aca="false">A1580/2840</f>
        <v>0.55387323943662</v>
      </c>
      <c r="K1580" s="32" t="str">
        <f aca="false">IF(I1580&lt;=$E$4,"A",IF(I1580&lt;=$E$5,"B","C"))</f>
        <v>C</v>
      </c>
    </row>
    <row r="1581" customFormat="false" ht="15" hidden="false" customHeight="false" outlineLevel="0" collapsed="false">
      <c r="A1581" s="32" t="n">
        <v>1574</v>
      </c>
      <c r="B1581" s="33" t="n">
        <v>1321002</v>
      </c>
      <c r="C1581" s="34" t="s">
        <v>3233</v>
      </c>
      <c r="D1581" s="34" t="s">
        <v>3234</v>
      </c>
      <c r="E1581" s="34" t="s">
        <v>38</v>
      </c>
      <c r="F1581" s="32" t="n">
        <f aca="false">COUNTIF(Base!$D$2:$D$2878,B1581)</f>
        <v>1</v>
      </c>
      <c r="G1581" s="35" t="n">
        <f aca="false">SUMIF(Base!$D$2:$D$2878,B1581,Base!$I$2:$I$2878)</f>
        <v>401.5</v>
      </c>
      <c r="H1581" s="36" t="n">
        <f aca="false">IF($G$2849=0,0,G1581/$G$2849)</f>
        <v>2.63473238694779E-005</v>
      </c>
      <c r="I1581" s="37" t="n">
        <f aca="false">I1580+H1581</f>
        <v>0.988394711190597</v>
      </c>
      <c r="J1581" s="37" t="n">
        <f aca="false">A1581/2840</f>
        <v>0.554225352112676</v>
      </c>
      <c r="K1581" s="32" t="str">
        <f aca="false">IF(I1581&lt;=$E$4,"A",IF(I1581&lt;=$E$5,"B","C"))</f>
        <v>C</v>
      </c>
    </row>
    <row r="1582" customFormat="false" ht="15" hidden="false" customHeight="false" outlineLevel="0" collapsed="false">
      <c r="A1582" s="32" t="n">
        <v>1575</v>
      </c>
      <c r="B1582" s="33" t="n">
        <v>476066</v>
      </c>
      <c r="C1582" s="34" t="s">
        <v>3235</v>
      </c>
      <c r="D1582" s="34" t="s">
        <v>3236</v>
      </c>
      <c r="E1582" s="34" t="s">
        <v>363</v>
      </c>
      <c r="F1582" s="32" t="n">
        <f aca="false">COUNTIF(Base!$D$2:$D$2878,B1582)</f>
        <v>1</v>
      </c>
      <c r="G1582" s="35" t="n">
        <f aca="false">SUMIF(Base!$D$2:$D$2878,B1582,Base!$I$2:$I$2878)</f>
        <v>401</v>
      </c>
      <c r="H1582" s="36" t="n">
        <f aca="false">IF($G$2849=0,0,G1582/$G$2849)</f>
        <v>2.63145127563154E-005</v>
      </c>
      <c r="I1582" s="37" t="n">
        <f aca="false">I1581+H1582</f>
        <v>0.988421025703353</v>
      </c>
      <c r="J1582" s="37" t="n">
        <f aca="false">A1582/2840</f>
        <v>0.554577464788732</v>
      </c>
      <c r="K1582" s="32" t="str">
        <f aca="false">IF(I1582&lt;=$E$4,"A",IF(I1582&lt;=$E$5,"B","C"))</f>
        <v>C</v>
      </c>
    </row>
    <row r="1583" customFormat="false" ht="15" hidden="false" customHeight="false" outlineLevel="0" collapsed="false">
      <c r="A1583" s="32" t="n">
        <v>1576</v>
      </c>
      <c r="B1583" s="33" t="n">
        <v>18923</v>
      </c>
      <c r="C1583" s="34" t="s">
        <v>3237</v>
      </c>
      <c r="D1583" s="34" t="s">
        <v>3238</v>
      </c>
      <c r="E1583" s="34" t="s">
        <v>247</v>
      </c>
      <c r="F1583" s="32" t="n">
        <f aca="false">COUNTIF(Base!$D$2:$D$2878,B1583)</f>
        <v>1</v>
      </c>
      <c r="G1583" s="35" t="n">
        <f aca="false">SUMIF(Base!$D$2:$D$2878,B1583,Base!$I$2:$I$2878)</f>
        <v>400.5</v>
      </c>
      <c r="H1583" s="36" t="n">
        <f aca="false">IF($G$2849=0,0,G1583/$G$2849)</f>
        <v>2.62817016431529E-005</v>
      </c>
      <c r="I1583" s="37" t="n">
        <f aca="false">I1582+H1583</f>
        <v>0.988447307404997</v>
      </c>
      <c r="J1583" s="37" t="n">
        <f aca="false">A1583/2840</f>
        <v>0.554929577464789</v>
      </c>
      <c r="K1583" s="32" t="str">
        <f aca="false">IF(I1583&lt;=$E$4,"A",IF(I1583&lt;=$E$5,"B","C"))</f>
        <v>C</v>
      </c>
    </row>
    <row r="1584" customFormat="false" ht="15" hidden="false" customHeight="false" outlineLevel="0" collapsed="false">
      <c r="A1584" s="32" t="n">
        <v>1577</v>
      </c>
      <c r="B1584" s="33" t="n">
        <v>1608985</v>
      </c>
      <c r="C1584" s="34" t="s">
        <v>3239</v>
      </c>
      <c r="D1584" s="34" t="s">
        <v>3240</v>
      </c>
      <c r="E1584" s="34" t="s">
        <v>170</v>
      </c>
      <c r="F1584" s="32" t="n">
        <f aca="false">COUNTIF(Base!$D$2:$D$2878,B1584)</f>
        <v>1</v>
      </c>
      <c r="G1584" s="35" t="n">
        <f aca="false">SUMIF(Base!$D$2:$D$2878,B1584,Base!$I$2:$I$2878)</f>
        <v>400</v>
      </c>
      <c r="H1584" s="36" t="n">
        <f aca="false">IF($G$2849=0,0,G1584/$G$2849)</f>
        <v>2.62488905299904E-005</v>
      </c>
      <c r="I1584" s="37" t="n">
        <f aca="false">I1583+H1584</f>
        <v>0.988473556295527</v>
      </c>
      <c r="J1584" s="37" t="n">
        <f aca="false">A1584/2840</f>
        <v>0.555281690140845</v>
      </c>
      <c r="K1584" s="32" t="str">
        <f aca="false">IF(I1584&lt;=$E$4,"A",IF(I1584&lt;=$E$5,"B","C"))</f>
        <v>C</v>
      </c>
    </row>
    <row r="1585" customFormat="false" ht="15" hidden="false" customHeight="false" outlineLevel="0" collapsed="false">
      <c r="A1585" s="32" t="n">
        <v>1578</v>
      </c>
      <c r="B1585" s="33" t="n">
        <v>58427</v>
      </c>
      <c r="C1585" s="34" t="s">
        <v>3241</v>
      </c>
      <c r="D1585" s="34" t="s">
        <v>3242</v>
      </c>
      <c r="E1585" s="34" t="s">
        <v>189</v>
      </c>
      <c r="F1585" s="32" t="n">
        <f aca="false">COUNTIF(Base!$D$2:$D$2878,B1585)</f>
        <v>1</v>
      </c>
      <c r="G1585" s="35" t="n">
        <f aca="false">SUMIF(Base!$D$2:$D$2878,B1585,Base!$I$2:$I$2878)</f>
        <v>399.9</v>
      </c>
      <c r="H1585" s="36" t="n">
        <f aca="false">IF($G$2849=0,0,G1585/$G$2849)</f>
        <v>2.62423283073579E-005</v>
      </c>
      <c r="I1585" s="37" t="n">
        <f aca="false">I1584+H1585</f>
        <v>0.988499798623834</v>
      </c>
      <c r="J1585" s="37" t="n">
        <f aca="false">A1585/2840</f>
        <v>0.555633802816901</v>
      </c>
      <c r="K1585" s="32" t="str">
        <f aca="false">IF(I1585&lt;=$E$4,"A",IF(I1585&lt;=$E$5,"B","C"))</f>
        <v>C</v>
      </c>
    </row>
    <row r="1586" customFormat="false" ht="15" hidden="false" customHeight="false" outlineLevel="0" collapsed="false">
      <c r="A1586" s="32" t="n">
        <v>1579</v>
      </c>
      <c r="B1586" s="33" t="n">
        <v>846434</v>
      </c>
      <c r="C1586" s="34" t="s">
        <v>3243</v>
      </c>
      <c r="D1586" s="34" t="s">
        <v>3244</v>
      </c>
      <c r="E1586" s="34" t="s">
        <v>130</v>
      </c>
      <c r="F1586" s="32" t="n">
        <f aca="false">COUNTIF(Base!$D$2:$D$2878,B1586)</f>
        <v>1</v>
      </c>
      <c r="G1586" s="35" t="n">
        <f aca="false">SUMIF(Base!$D$2:$D$2878,B1586,Base!$I$2:$I$2878)</f>
        <v>399.81</v>
      </c>
      <c r="H1586" s="36" t="n">
        <f aca="false">IF($G$2849=0,0,G1586/$G$2849)</f>
        <v>2.62364223069887E-005</v>
      </c>
      <c r="I1586" s="37" t="n">
        <f aca="false">I1585+H1586</f>
        <v>0.988526035046141</v>
      </c>
      <c r="J1586" s="37" t="n">
        <f aca="false">A1586/2840</f>
        <v>0.555985915492958</v>
      </c>
      <c r="K1586" s="32" t="str">
        <f aca="false">IF(I1586&lt;=$E$4,"A",IF(I1586&lt;=$E$5,"B","C"))</f>
        <v>C</v>
      </c>
    </row>
    <row r="1587" customFormat="false" ht="15" hidden="false" customHeight="false" outlineLevel="0" collapsed="false">
      <c r="A1587" s="32" t="n">
        <v>1580</v>
      </c>
      <c r="B1587" s="33" t="n">
        <v>32238</v>
      </c>
      <c r="C1587" s="34" t="s">
        <v>3245</v>
      </c>
      <c r="D1587" s="34" t="s">
        <v>3246</v>
      </c>
      <c r="E1587" s="34" t="s">
        <v>360</v>
      </c>
      <c r="F1587" s="32" t="n">
        <f aca="false">COUNTIF(Base!$D$2:$D$2878,B1587)</f>
        <v>1</v>
      </c>
      <c r="G1587" s="35" t="n">
        <f aca="false">SUMIF(Base!$D$2:$D$2878,B1587,Base!$I$2:$I$2878)</f>
        <v>399</v>
      </c>
      <c r="H1587" s="36" t="n">
        <f aca="false">IF($G$2849=0,0,G1587/$G$2849)</f>
        <v>2.61832683036654E-005</v>
      </c>
      <c r="I1587" s="37" t="n">
        <f aca="false">I1586+H1587</f>
        <v>0.988552218314445</v>
      </c>
      <c r="J1587" s="37" t="n">
        <f aca="false">A1587/2840</f>
        <v>0.556338028169014</v>
      </c>
      <c r="K1587" s="32" t="str">
        <f aca="false">IF(I1587&lt;=$E$4,"A",IF(I1587&lt;=$E$5,"B","C"))</f>
        <v>C</v>
      </c>
    </row>
    <row r="1588" customFormat="false" ht="15" hidden="false" customHeight="false" outlineLevel="0" collapsed="false">
      <c r="A1588" s="32" t="n">
        <v>1581</v>
      </c>
      <c r="B1588" s="33" t="n">
        <v>549249</v>
      </c>
      <c r="C1588" s="34" t="s">
        <v>3247</v>
      </c>
      <c r="D1588" s="34" t="s">
        <v>3248</v>
      </c>
      <c r="E1588" s="34" t="s">
        <v>38</v>
      </c>
      <c r="F1588" s="32" t="n">
        <f aca="false">COUNTIF(Base!$D$2:$D$2878,B1588)</f>
        <v>1</v>
      </c>
      <c r="G1588" s="35" t="n">
        <f aca="false">SUMIF(Base!$D$2:$D$2878,B1588,Base!$I$2:$I$2878)</f>
        <v>398</v>
      </c>
      <c r="H1588" s="36" t="n">
        <f aca="false">IF($G$2849=0,0,G1588/$G$2849)</f>
        <v>2.61176460773405E-005</v>
      </c>
      <c r="I1588" s="37" t="n">
        <f aca="false">I1587+H1588</f>
        <v>0.988578335960522</v>
      </c>
      <c r="J1588" s="37" t="n">
        <f aca="false">A1588/2840</f>
        <v>0.55669014084507</v>
      </c>
      <c r="K1588" s="32" t="str">
        <f aca="false">IF(I1588&lt;=$E$4,"A",IF(I1588&lt;=$E$5,"B","C"))</f>
        <v>C</v>
      </c>
    </row>
    <row r="1589" customFormat="false" ht="15" hidden="false" customHeight="false" outlineLevel="0" collapsed="false">
      <c r="A1589" s="32" t="n">
        <v>1582</v>
      </c>
      <c r="B1589" s="33" t="n">
        <v>1662737</v>
      </c>
      <c r="C1589" s="34" t="s">
        <v>3249</v>
      </c>
      <c r="D1589" s="34" t="s">
        <v>3250</v>
      </c>
      <c r="E1589" s="34" t="s">
        <v>38</v>
      </c>
      <c r="F1589" s="32" t="n">
        <f aca="false">COUNTIF(Base!$D$2:$D$2878,B1589)</f>
        <v>1</v>
      </c>
      <c r="G1589" s="35" t="n">
        <f aca="false">SUMIF(Base!$D$2:$D$2878,B1589,Base!$I$2:$I$2878)</f>
        <v>397</v>
      </c>
      <c r="H1589" s="36" t="n">
        <f aca="false">IF($G$2849=0,0,G1589/$G$2849)</f>
        <v>2.60520238510155E-005</v>
      </c>
      <c r="I1589" s="37" t="n">
        <f aca="false">I1588+H1589</f>
        <v>0.988604387984373</v>
      </c>
      <c r="J1589" s="37" t="n">
        <f aca="false">A1589/2840</f>
        <v>0.557042253521127</v>
      </c>
      <c r="K1589" s="32" t="str">
        <f aca="false">IF(I1589&lt;=$E$4,"A",IF(I1589&lt;=$E$5,"B","C"))</f>
        <v>C</v>
      </c>
    </row>
    <row r="1590" customFormat="false" ht="15" hidden="false" customHeight="false" outlineLevel="0" collapsed="false">
      <c r="A1590" s="32" t="n">
        <v>1583</v>
      </c>
      <c r="B1590" s="33" t="n">
        <v>1313781</v>
      </c>
      <c r="C1590" s="34" t="s">
        <v>3251</v>
      </c>
      <c r="D1590" s="34" t="s">
        <v>3252</v>
      </c>
      <c r="E1590" s="34" t="s">
        <v>189</v>
      </c>
      <c r="F1590" s="32" t="n">
        <f aca="false">COUNTIF(Base!$D$2:$D$2878,B1590)</f>
        <v>1</v>
      </c>
      <c r="G1590" s="35" t="n">
        <f aca="false">SUMIF(Base!$D$2:$D$2878,B1590,Base!$I$2:$I$2878)</f>
        <v>396.25</v>
      </c>
      <c r="H1590" s="36" t="n">
        <f aca="false">IF($G$2849=0,0,G1590/$G$2849)</f>
        <v>2.60028071812717E-005</v>
      </c>
      <c r="I1590" s="37" t="n">
        <f aca="false">I1589+H1590</f>
        <v>0.988630390791554</v>
      </c>
      <c r="J1590" s="37" t="n">
        <f aca="false">A1590/2840</f>
        <v>0.557394366197183</v>
      </c>
      <c r="K1590" s="32" t="str">
        <f aca="false">IF(I1590&lt;=$E$4,"A",IF(I1590&lt;=$E$5,"B","C"))</f>
        <v>C</v>
      </c>
    </row>
    <row r="1591" customFormat="false" ht="15" hidden="false" customHeight="false" outlineLevel="0" collapsed="false">
      <c r="A1591" s="32" t="n">
        <v>1584</v>
      </c>
      <c r="B1591" s="33" t="n">
        <v>294251</v>
      </c>
      <c r="C1591" s="34" t="s">
        <v>3253</v>
      </c>
      <c r="D1591" s="34" t="s">
        <v>3254</v>
      </c>
      <c r="E1591" s="34" t="s">
        <v>100</v>
      </c>
      <c r="F1591" s="32" t="n">
        <f aca="false">COUNTIF(Base!$D$2:$D$2878,B1591)</f>
        <v>1</v>
      </c>
      <c r="G1591" s="35" t="n">
        <f aca="false">SUMIF(Base!$D$2:$D$2878,B1591,Base!$I$2:$I$2878)</f>
        <v>396</v>
      </c>
      <c r="H1591" s="36" t="n">
        <f aca="false">IF($G$2849=0,0,G1591/$G$2849)</f>
        <v>2.59864016246905E-005</v>
      </c>
      <c r="I1591" s="37" t="n">
        <f aca="false">I1590+H1591</f>
        <v>0.988656377193179</v>
      </c>
      <c r="J1591" s="37" t="n">
        <f aca="false">A1591/2840</f>
        <v>0.55774647887324</v>
      </c>
      <c r="K1591" s="32" t="str">
        <f aca="false">IF(I1591&lt;=$E$4,"A",IF(I1591&lt;=$E$5,"B","C"))</f>
        <v>C</v>
      </c>
    </row>
    <row r="1592" customFormat="false" ht="15" hidden="false" customHeight="false" outlineLevel="0" collapsed="false">
      <c r="A1592" s="32" t="n">
        <v>1585</v>
      </c>
      <c r="B1592" s="33" t="n">
        <v>1465501</v>
      </c>
      <c r="C1592" s="34" t="s">
        <v>3255</v>
      </c>
      <c r="D1592" s="34" t="s">
        <v>3256</v>
      </c>
      <c r="E1592" s="34" t="s">
        <v>38</v>
      </c>
      <c r="F1592" s="32" t="n">
        <f aca="false">COUNTIF(Base!$D$2:$D$2878,B1592)</f>
        <v>1</v>
      </c>
      <c r="G1592" s="35" t="n">
        <f aca="false">SUMIF(Base!$D$2:$D$2878,B1592,Base!$I$2:$I$2878)</f>
        <v>395.1</v>
      </c>
      <c r="H1592" s="36" t="n">
        <f aca="false">IF($G$2849=0,0,G1592/$G$2849)</f>
        <v>2.5927341620998E-005</v>
      </c>
      <c r="I1592" s="37" t="n">
        <f aca="false">I1591+H1592</f>
        <v>0.9886823045348</v>
      </c>
      <c r="J1592" s="37" t="n">
        <f aca="false">A1592/2840</f>
        <v>0.558098591549296</v>
      </c>
      <c r="K1592" s="32" t="str">
        <f aca="false">IF(I1592&lt;=$E$4,"A",IF(I1592&lt;=$E$5,"B","C"))</f>
        <v>C</v>
      </c>
    </row>
    <row r="1593" customFormat="false" ht="15" hidden="false" customHeight="false" outlineLevel="0" collapsed="false">
      <c r="A1593" s="32" t="n">
        <v>1586</v>
      </c>
      <c r="B1593" s="33" t="n">
        <v>427429</v>
      </c>
      <c r="C1593" s="34" t="s">
        <v>3257</v>
      </c>
      <c r="D1593" s="34" t="s">
        <v>3258</v>
      </c>
      <c r="E1593" s="34" t="s">
        <v>38</v>
      </c>
      <c r="F1593" s="32" t="n">
        <f aca="false">COUNTIF(Base!$D$2:$D$2878,B1593)</f>
        <v>1</v>
      </c>
      <c r="G1593" s="35" t="n">
        <f aca="false">SUMIF(Base!$D$2:$D$2878,B1593,Base!$I$2:$I$2878)</f>
        <v>394.68</v>
      </c>
      <c r="H1593" s="36" t="n">
        <f aca="false">IF($G$2849=0,0,G1593/$G$2849)</f>
        <v>2.58997802859415E-005</v>
      </c>
      <c r="I1593" s="37" t="n">
        <f aca="false">I1592+H1593</f>
        <v>0.988708204315086</v>
      </c>
      <c r="J1593" s="37" t="n">
        <f aca="false">A1593/2840</f>
        <v>0.558450704225352</v>
      </c>
      <c r="K1593" s="32" t="str">
        <f aca="false">IF(I1593&lt;=$E$4,"A",IF(I1593&lt;=$E$5,"B","C"))</f>
        <v>C</v>
      </c>
    </row>
    <row r="1594" customFormat="false" ht="15" hidden="false" customHeight="false" outlineLevel="0" collapsed="false">
      <c r="A1594" s="32" t="n">
        <v>1587</v>
      </c>
      <c r="B1594" s="33" t="n">
        <v>1685479</v>
      </c>
      <c r="C1594" s="34" t="s">
        <v>3259</v>
      </c>
      <c r="D1594" s="34" t="s">
        <v>3260</v>
      </c>
      <c r="E1594" s="34" t="s">
        <v>54</v>
      </c>
      <c r="F1594" s="32" t="n">
        <f aca="false">COUNTIF(Base!$D$2:$D$2878,B1594)</f>
        <v>1</v>
      </c>
      <c r="G1594" s="35" t="n">
        <f aca="false">SUMIF(Base!$D$2:$D$2878,B1594,Base!$I$2:$I$2878)</f>
        <v>393.88</v>
      </c>
      <c r="H1594" s="36" t="n">
        <f aca="false">IF($G$2849=0,0,G1594/$G$2849)</f>
        <v>2.58472825048816E-005</v>
      </c>
      <c r="I1594" s="37" t="n">
        <f aca="false">I1593+H1594</f>
        <v>0.988734051597591</v>
      </c>
      <c r="J1594" s="37" t="n">
        <f aca="false">A1594/2840</f>
        <v>0.558802816901408</v>
      </c>
      <c r="K1594" s="32" t="str">
        <f aca="false">IF(I1594&lt;=$E$4,"A",IF(I1594&lt;=$E$5,"B","C"))</f>
        <v>C</v>
      </c>
    </row>
    <row r="1595" customFormat="false" ht="15" hidden="false" customHeight="false" outlineLevel="0" collapsed="false">
      <c r="A1595" s="32" t="n">
        <v>1588</v>
      </c>
      <c r="B1595" s="33" t="n">
        <v>23814</v>
      </c>
      <c r="C1595" s="34" t="s">
        <v>3261</v>
      </c>
      <c r="D1595" s="34" t="s">
        <v>3262</v>
      </c>
      <c r="E1595" s="34" t="s">
        <v>247</v>
      </c>
      <c r="F1595" s="32" t="n">
        <f aca="false">COUNTIF(Base!$D$2:$D$2878,B1595)</f>
        <v>1</v>
      </c>
      <c r="G1595" s="35" t="n">
        <f aca="false">SUMIF(Base!$D$2:$D$2878,B1595,Base!$I$2:$I$2878)</f>
        <v>393</v>
      </c>
      <c r="H1595" s="36" t="n">
        <f aca="false">IF($G$2849=0,0,G1595/$G$2849)</f>
        <v>2.57895349457156E-005</v>
      </c>
      <c r="I1595" s="37" t="n">
        <f aca="false">I1594+H1595</f>
        <v>0.988759841132536</v>
      </c>
      <c r="J1595" s="37" t="n">
        <f aca="false">A1595/2840</f>
        <v>0.559154929577465</v>
      </c>
      <c r="K1595" s="32" t="str">
        <f aca="false">IF(I1595&lt;=$E$4,"A",IF(I1595&lt;=$E$5,"B","C"))</f>
        <v>C</v>
      </c>
    </row>
    <row r="1596" customFormat="false" ht="15" hidden="false" customHeight="false" outlineLevel="0" collapsed="false">
      <c r="A1596" s="32" t="n">
        <v>1589</v>
      </c>
      <c r="B1596" s="33" t="n">
        <v>60674</v>
      </c>
      <c r="C1596" s="34" t="s">
        <v>3263</v>
      </c>
      <c r="D1596" s="34" t="s">
        <v>3264</v>
      </c>
      <c r="E1596" s="34" t="s">
        <v>247</v>
      </c>
      <c r="F1596" s="32" t="n">
        <f aca="false">COUNTIF(Base!$D$2:$D$2878,B1596)</f>
        <v>1</v>
      </c>
      <c r="G1596" s="35" t="n">
        <f aca="false">SUMIF(Base!$D$2:$D$2878,B1596,Base!$I$2:$I$2878)</f>
        <v>392</v>
      </c>
      <c r="H1596" s="36" t="n">
        <f aca="false">IF($G$2849=0,0,G1596/$G$2849)</f>
        <v>2.57239127193906E-005</v>
      </c>
      <c r="I1596" s="37" t="n">
        <f aca="false">I1595+H1596</f>
        <v>0.988785565045256</v>
      </c>
      <c r="J1596" s="37" t="n">
        <f aca="false">A1596/2840</f>
        <v>0.559507042253521</v>
      </c>
      <c r="K1596" s="32" t="str">
        <f aca="false">IF(I1596&lt;=$E$4,"A",IF(I1596&lt;=$E$5,"B","C"))</f>
        <v>C</v>
      </c>
    </row>
    <row r="1597" customFormat="false" ht="15" hidden="false" customHeight="false" outlineLevel="0" collapsed="false">
      <c r="A1597" s="32" t="n">
        <v>1590</v>
      </c>
      <c r="B1597" s="33" t="n">
        <v>1330285</v>
      </c>
      <c r="C1597" s="34" t="s">
        <v>3265</v>
      </c>
      <c r="D1597" s="34" t="s">
        <v>3266</v>
      </c>
      <c r="E1597" s="34" t="s">
        <v>262</v>
      </c>
      <c r="F1597" s="32" t="n">
        <f aca="false">COUNTIF(Base!$D$2:$D$2878,B1597)</f>
        <v>1</v>
      </c>
      <c r="G1597" s="35" t="n">
        <f aca="false">SUMIF(Base!$D$2:$D$2878,B1597,Base!$I$2:$I$2878)</f>
        <v>391.17</v>
      </c>
      <c r="H1597" s="36" t="n">
        <f aca="false">IF($G$2849=0,0,G1597/$G$2849)</f>
        <v>2.56694462715409E-005</v>
      </c>
      <c r="I1597" s="37" t="n">
        <f aca="false">I1596+H1597</f>
        <v>0.988811234491527</v>
      </c>
      <c r="J1597" s="37" t="n">
        <f aca="false">A1597/2840</f>
        <v>0.559859154929578</v>
      </c>
      <c r="K1597" s="32" t="str">
        <f aca="false">IF(I1597&lt;=$E$4,"A",IF(I1597&lt;=$E$5,"B","C"))</f>
        <v>C</v>
      </c>
    </row>
    <row r="1598" customFormat="false" ht="15" hidden="false" customHeight="false" outlineLevel="0" collapsed="false">
      <c r="A1598" s="32" t="n">
        <v>1591</v>
      </c>
      <c r="B1598" s="33" t="n">
        <v>12140</v>
      </c>
      <c r="C1598" s="34" t="s">
        <v>3267</v>
      </c>
      <c r="D1598" s="34" t="s">
        <v>3268</v>
      </c>
      <c r="E1598" s="34" t="s">
        <v>38</v>
      </c>
      <c r="F1598" s="32" t="n">
        <f aca="false">COUNTIF(Base!$D$2:$D$2878,B1598)</f>
        <v>1</v>
      </c>
      <c r="G1598" s="35" t="n">
        <f aca="false">SUMIF(Base!$D$2:$D$2878,B1598,Base!$I$2:$I$2878)</f>
        <v>390</v>
      </c>
      <c r="H1598" s="36" t="n">
        <f aca="false">IF($G$2849=0,0,G1598/$G$2849)</f>
        <v>2.55926682667407E-005</v>
      </c>
      <c r="I1598" s="37" t="n">
        <f aca="false">I1597+H1598</f>
        <v>0.988836827159794</v>
      </c>
      <c r="J1598" s="37" t="n">
        <f aca="false">A1598/2840</f>
        <v>0.560211267605634</v>
      </c>
      <c r="K1598" s="32" t="str">
        <f aca="false">IF(I1598&lt;=$E$4,"A",IF(I1598&lt;=$E$5,"B","C"))</f>
        <v>C</v>
      </c>
    </row>
    <row r="1599" customFormat="false" ht="15" hidden="false" customHeight="false" outlineLevel="0" collapsed="false">
      <c r="A1599" s="32" t="n">
        <v>1592</v>
      </c>
      <c r="B1599" s="33" t="n">
        <v>12141</v>
      </c>
      <c r="C1599" s="34" t="s">
        <v>3269</v>
      </c>
      <c r="D1599" s="34" t="s">
        <v>3270</v>
      </c>
      <c r="E1599" s="34" t="s">
        <v>38</v>
      </c>
      <c r="F1599" s="32" t="n">
        <f aca="false">COUNTIF(Base!$D$2:$D$2878,B1599)</f>
        <v>1</v>
      </c>
      <c r="G1599" s="35" t="n">
        <f aca="false">SUMIF(Base!$D$2:$D$2878,B1599,Base!$I$2:$I$2878)</f>
        <v>390</v>
      </c>
      <c r="H1599" s="36" t="n">
        <f aca="false">IF($G$2849=0,0,G1599/$G$2849)</f>
        <v>2.55926682667407E-005</v>
      </c>
      <c r="I1599" s="37" t="n">
        <f aca="false">I1598+H1599</f>
        <v>0.988862419828061</v>
      </c>
      <c r="J1599" s="37" t="n">
        <f aca="false">A1599/2840</f>
        <v>0.56056338028169</v>
      </c>
      <c r="K1599" s="32" t="str">
        <f aca="false">IF(I1599&lt;=$E$4,"A",IF(I1599&lt;=$E$5,"B","C"))</f>
        <v>C</v>
      </c>
    </row>
    <row r="1600" customFormat="false" ht="15" hidden="false" customHeight="false" outlineLevel="0" collapsed="false">
      <c r="A1600" s="32" t="n">
        <v>1593</v>
      </c>
      <c r="B1600" s="33" t="n">
        <v>12145</v>
      </c>
      <c r="C1600" s="34" t="s">
        <v>3271</v>
      </c>
      <c r="D1600" s="34" t="s">
        <v>3272</v>
      </c>
      <c r="E1600" s="34" t="s">
        <v>38</v>
      </c>
      <c r="F1600" s="32" t="n">
        <f aca="false">COUNTIF(Base!$D$2:$D$2878,B1600)</f>
        <v>1</v>
      </c>
      <c r="G1600" s="35" t="n">
        <f aca="false">SUMIF(Base!$D$2:$D$2878,B1600,Base!$I$2:$I$2878)</f>
        <v>390</v>
      </c>
      <c r="H1600" s="36" t="n">
        <f aca="false">IF($G$2849=0,0,G1600/$G$2849)</f>
        <v>2.55926682667407E-005</v>
      </c>
      <c r="I1600" s="37" t="n">
        <f aca="false">I1599+H1600</f>
        <v>0.988888012496328</v>
      </c>
      <c r="J1600" s="37" t="n">
        <f aca="false">A1600/2840</f>
        <v>0.560915492957747</v>
      </c>
      <c r="K1600" s="32" t="str">
        <f aca="false">IF(I1600&lt;=$E$4,"A",IF(I1600&lt;=$E$5,"B","C"))</f>
        <v>C</v>
      </c>
    </row>
    <row r="1601" customFormat="false" ht="15" hidden="false" customHeight="false" outlineLevel="0" collapsed="false">
      <c r="A1601" s="32" t="n">
        <v>1594</v>
      </c>
      <c r="B1601" s="33" t="n">
        <v>12146</v>
      </c>
      <c r="C1601" s="34" t="s">
        <v>3273</v>
      </c>
      <c r="D1601" s="34" t="s">
        <v>3274</v>
      </c>
      <c r="E1601" s="34" t="s">
        <v>38</v>
      </c>
      <c r="F1601" s="32" t="n">
        <f aca="false">COUNTIF(Base!$D$2:$D$2878,B1601)</f>
        <v>1</v>
      </c>
      <c r="G1601" s="35" t="n">
        <f aca="false">SUMIF(Base!$D$2:$D$2878,B1601,Base!$I$2:$I$2878)</f>
        <v>390</v>
      </c>
      <c r="H1601" s="36" t="n">
        <f aca="false">IF($G$2849=0,0,G1601/$G$2849)</f>
        <v>2.55926682667407E-005</v>
      </c>
      <c r="I1601" s="37" t="n">
        <f aca="false">I1600+H1601</f>
        <v>0.988913605164594</v>
      </c>
      <c r="J1601" s="37" t="n">
        <f aca="false">A1601/2840</f>
        <v>0.561267605633803</v>
      </c>
      <c r="K1601" s="32" t="str">
        <f aca="false">IF(I1601&lt;=$E$4,"A",IF(I1601&lt;=$E$5,"B","C"))</f>
        <v>C</v>
      </c>
    </row>
    <row r="1602" customFormat="false" ht="15" hidden="false" customHeight="false" outlineLevel="0" collapsed="false">
      <c r="A1602" s="32" t="n">
        <v>1595</v>
      </c>
      <c r="B1602" s="33" t="n">
        <v>22372</v>
      </c>
      <c r="C1602" s="34" t="s">
        <v>3275</v>
      </c>
      <c r="D1602" s="34" t="s">
        <v>3276</v>
      </c>
      <c r="E1602" s="34" t="s">
        <v>130</v>
      </c>
      <c r="F1602" s="32" t="n">
        <f aca="false">COUNTIF(Base!$D$2:$D$2878,B1602)</f>
        <v>1</v>
      </c>
      <c r="G1602" s="35" t="n">
        <f aca="false">SUMIF(Base!$D$2:$D$2878,B1602,Base!$I$2:$I$2878)</f>
        <v>390</v>
      </c>
      <c r="H1602" s="36" t="n">
        <f aca="false">IF($G$2849=0,0,G1602/$G$2849)</f>
        <v>2.55926682667407E-005</v>
      </c>
      <c r="I1602" s="37" t="n">
        <f aca="false">I1601+H1602</f>
        <v>0.988939197832861</v>
      </c>
      <c r="J1602" s="37" t="n">
        <f aca="false">A1602/2840</f>
        <v>0.561619718309859</v>
      </c>
      <c r="K1602" s="32" t="str">
        <f aca="false">IF(I1602&lt;=$E$4,"A",IF(I1602&lt;=$E$5,"B","C"))</f>
        <v>C</v>
      </c>
    </row>
    <row r="1603" customFormat="false" ht="15" hidden="false" customHeight="false" outlineLevel="0" collapsed="false">
      <c r="A1603" s="32" t="n">
        <v>1596</v>
      </c>
      <c r="B1603" s="33" t="n">
        <v>563274</v>
      </c>
      <c r="C1603" s="34" t="s">
        <v>3277</v>
      </c>
      <c r="D1603" s="34" t="s">
        <v>3278</v>
      </c>
      <c r="E1603" s="34" t="s">
        <v>130</v>
      </c>
      <c r="F1603" s="32" t="n">
        <f aca="false">COUNTIF(Base!$D$2:$D$2878,B1603)</f>
        <v>1</v>
      </c>
      <c r="G1603" s="35" t="n">
        <f aca="false">SUMIF(Base!$D$2:$D$2878,B1603,Base!$I$2:$I$2878)</f>
        <v>390</v>
      </c>
      <c r="H1603" s="36" t="n">
        <f aca="false">IF($G$2849=0,0,G1603/$G$2849)</f>
        <v>2.55926682667407E-005</v>
      </c>
      <c r="I1603" s="37" t="n">
        <f aca="false">I1602+H1603</f>
        <v>0.988964790501128</v>
      </c>
      <c r="J1603" s="37" t="n">
        <f aca="false">A1603/2840</f>
        <v>0.561971830985916</v>
      </c>
      <c r="K1603" s="32" t="str">
        <f aca="false">IF(I1603&lt;=$E$4,"A",IF(I1603&lt;=$E$5,"B","C"))</f>
        <v>C</v>
      </c>
    </row>
    <row r="1604" customFormat="false" ht="15" hidden="false" customHeight="false" outlineLevel="0" collapsed="false">
      <c r="A1604" s="32" t="n">
        <v>1597</v>
      </c>
      <c r="B1604" s="33" t="n">
        <v>273478</v>
      </c>
      <c r="C1604" s="34" t="s">
        <v>3279</v>
      </c>
      <c r="D1604" s="34" t="s">
        <v>3280</v>
      </c>
      <c r="E1604" s="34" t="s">
        <v>75</v>
      </c>
      <c r="F1604" s="32" t="n">
        <f aca="false">COUNTIF(Base!$D$2:$D$2878,B1604)</f>
        <v>1</v>
      </c>
      <c r="G1604" s="35" t="n">
        <f aca="false">SUMIF(Base!$D$2:$D$2878,B1604,Base!$I$2:$I$2878)</f>
        <v>389</v>
      </c>
      <c r="H1604" s="36" t="n">
        <f aca="false">IF($G$2849=0,0,G1604/$G$2849)</f>
        <v>2.55270460404157E-005</v>
      </c>
      <c r="I1604" s="37" t="n">
        <f aca="false">I1603+H1604</f>
        <v>0.988990317547168</v>
      </c>
      <c r="J1604" s="37" t="n">
        <f aca="false">A1604/2840</f>
        <v>0.562323943661972</v>
      </c>
      <c r="K1604" s="32" t="str">
        <f aca="false">IF(I1604&lt;=$E$4,"A",IF(I1604&lt;=$E$5,"B","C"))</f>
        <v>C</v>
      </c>
    </row>
    <row r="1605" customFormat="false" ht="15" hidden="false" customHeight="false" outlineLevel="0" collapsed="false">
      <c r="A1605" s="32" t="n">
        <v>1598</v>
      </c>
      <c r="B1605" s="33" t="n">
        <v>839622</v>
      </c>
      <c r="C1605" s="34" t="s">
        <v>3281</v>
      </c>
      <c r="D1605" s="34" t="s">
        <v>3282</v>
      </c>
      <c r="E1605" s="34" t="s">
        <v>38</v>
      </c>
      <c r="F1605" s="32" t="n">
        <f aca="false">COUNTIF(Base!$D$2:$D$2878,B1605)</f>
        <v>1</v>
      </c>
      <c r="G1605" s="35" t="n">
        <f aca="false">SUMIF(Base!$D$2:$D$2878,B1605,Base!$I$2:$I$2878)</f>
        <v>388.96</v>
      </c>
      <c r="H1605" s="36" t="n">
        <f aca="false">IF($G$2849=0,0,G1605/$G$2849)</f>
        <v>2.55244211513627E-005</v>
      </c>
      <c r="I1605" s="37" t="n">
        <f aca="false">I1604+H1605</f>
        <v>0.98901584196832</v>
      </c>
      <c r="J1605" s="37" t="n">
        <f aca="false">A1605/2840</f>
        <v>0.562676056338028</v>
      </c>
      <c r="K1605" s="32" t="str">
        <f aca="false">IF(I1605&lt;=$E$4,"A",IF(I1605&lt;=$E$5,"B","C"))</f>
        <v>C</v>
      </c>
    </row>
    <row r="1606" customFormat="false" ht="15" hidden="false" customHeight="false" outlineLevel="0" collapsed="false">
      <c r="A1606" s="32" t="n">
        <v>1599</v>
      </c>
      <c r="B1606" s="33" t="n">
        <v>19595</v>
      </c>
      <c r="C1606" s="34" t="s">
        <v>3283</v>
      </c>
      <c r="D1606" s="34" t="s">
        <v>3284</v>
      </c>
      <c r="E1606" s="34" t="s">
        <v>1095</v>
      </c>
      <c r="F1606" s="32" t="n">
        <f aca="false">COUNTIF(Base!$D$2:$D$2878,B1606)</f>
        <v>1</v>
      </c>
      <c r="G1606" s="35" t="n">
        <f aca="false">SUMIF(Base!$D$2:$D$2878,B1606,Base!$I$2:$I$2878)</f>
        <v>388.44</v>
      </c>
      <c r="H1606" s="36" t="n">
        <f aca="false">IF($G$2849=0,0,G1606/$G$2849)</f>
        <v>2.54902975936737E-005</v>
      </c>
      <c r="I1606" s="37" t="n">
        <f aca="false">I1605+H1606</f>
        <v>0.989041332265913</v>
      </c>
      <c r="J1606" s="37" t="n">
        <f aca="false">A1606/2840</f>
        <v>0.563028169014085</v>
      </c>
      <c r="K1606" s="32" t="str">
        <f aca="false">IF(I1606&lt;=$E$4,"A",IF(I1606&lt;=$E$5,"B","C"))</f>
        <v>C</v>
      </c>
    </row>
    <row r="1607" customFormat="false" ht="15" hidden="false" customHeight="false" outlineLevel="0" collapsed="false">
      <c r="A1607" s="32" t="n">
        <v>1600</v>
      </c>
      <c r="B1607" s="33" t="n">
        <v>143063</v>
      </c>
      <c r="C1607" s="34" t="s">
        <v>3285</v>
      </c>
      <c r="D1607" s="34" t="s">
        <v>3286</v>
      </c>
      <c r="E1607" s="34" t="s">
        <v>130</v>
      </c>
      <c r="F1607" s="32" t="n">
        <f aca="false">COUNTIF(Base!$D$2:$D$2878,B1607)</f>
        <v>1</v>
      </c>
      <c r="G1607" s="35" t="n">
        <f aca="false">SUMIF(Base!$D$2:$D$2878,B1607,Base!$I$2:$I$2878)</f>
        <v>388</v>
      </c>
      <c r="H1607" s="36" t="n">
        <f aca="false">IF($G$2849=0,0,G1607/$G$2849)</f>
        <v>2.54614238140907E-005</v>
      </c>
      <c r="I1607" s="37" t="n">
        <f aca="false">I1606+H1607</f>
        <v>0.989066793689727</v>
      </c>
      <c r="J1607" s="37" t="n">
        <f aca="false">A1607/2840</f>
        <v>0.563380281690141</v>
      </c>
      <c r="K1607" s="32" t="str">
        <f aca="false">IF(I1607&lt;=$E$4,"A",IF(I1607&lt;=$E$5,"B","C"))</f>
        <v>C</v>
      </c>
    </row>
    <row r="1608" customFormat="false" ht="15" hidden="false" customHeight="false" outlineLevel="0" collapsed="false">
      <c r="A1608" s="32" t="n">
        <v>1601</v>
      </c>
      <c r="B1608" s="33" t="n">
        <v>19547</v>
      </c>
      <c r="C1608" s="34" t="s">
        <v>3287</v>
      </c>
      <c r="D1608" s="34" t="s">
        <v>3288</v>
      </c>
      <c r="E1608" s="34" t="s">
        <v>1095</v>
      </c>
      <c r="F1608" s="32" t="n">
        <f aca="false">COUNTIF(Base!$D$2:$D$2878,B1608)</f>
        <v>1</v>
      </c>
      <c r="G1608" s="35" t="n">
        <f aca="false">SUMIF(Base!$D$2:$D$2878,B1608,Base!$I$2:$I$2878)</f>
        <v>387.1235</v>
      </c>
      <c r="H1608" s="36" t="n">
        <f aca="false">IF($G$2849=0,0,G1608/$G$2849)</f>
        <v>2.54039059327169E-005</v>
      </c>
      <c r="I1608" s="37" t="n">
        <f aca="false">I1607+H1608</f>
        <v>0.98909219759566</v>
      </c>
      <c r="J1608" s="37" t="n">
        <f aca="false">A1608/2840</f>
        <v>0.563732394366197</v>
      </c>
      <c r="K1608" s="32" t="str">
        <f aca="false">IF(I1608&lt;=$E$4,"A",IF(I1608&lt;=$E$5,"B","C"))</f>
        <v>C</v>
      </c>
    </row>
    <row r="1609" customFormat="false" ht="15" hidden="false" customHeight="false" outlineLevel="0" collapsed="false">
      <c r="A1609" s="32" t="n">
        <v>1602</v>
      </c>
      <c r="B1609" s="33" t="n">
        <v>221489</v>
      </c>
      <c r="C1609" s="34" t="s">
        <v>3289</v>
      </c>
      <c r="D1609" s="34" t="s">
        <v>3290</v>
      </c>
      <c r="E1609" s="34" t="s">
        <v>130</v>
      </c>
      <c r="F1609" s="32" t="n">
        <f aca="false">COUNTIF(Base!$D$2:$D$2878,B1609)</f>
        <v>1</v>
      </c>
      <c r="G1609" s="35" t="n">
        <f aca="false">SUMIF(Base!$D$2:$D$2878,B1609,Base!$I$2:$I$2878)</f>
        <v>386.24</v>
      </c>
      <c r="H1609" s="36" t="n">
        <f aca="false">IF($G$2849=0,0,G1609/$G$2849)</f>
        <v>2.53459286957587E-005</v>
      </c>
      <c r="I1609" s="37" t="n">
        <f aca="false">I1608+H1609</f>
        <v>0.989117543524356</v>
      </c>
      <c r="J1609" s="37" t="n">
        <f aca="false">A1609/2840</f>
        <v>0.564084507042254</v>
      </c>
      <c r="K1609" s="32" t="str">
        <f aca="false">IF(I1609&lt;=$E$4,"A",IF(I1609&lt;=$E$5,"B","C"))</f>
        <v>C</v>
      </c>
    </row>
    <row r="1610" customFormat="false" ht="15" hidden="false" customHeight="false" outlineLevel="0" collapsed="false">
      <c r="A1610" s="32" t="n">
        <v>1603</v>
      </c>
      <c r="B1610" s="33" t="n">
        <v>1539891</v>
      </c>
      <c r="C1610" s="34" t="s">
        <v>3291</v>
      </c>
      <c r="D1610" s="34" t="s">
        <v>3292</v>
      </c>
      <c r="E1610" s="34" t="s">
        <v>130</v>
      </c>
      <c r="F1610" s="32" t="n">
        <f aca="false">COUNTIF(Base!$D$2:$D$2878,B1610)</f>
        <v>1</v>
      </c>
      <c r="G1610" s="35" t="n">
        <f aca="false">SUMIF(Base!$D$2:$D$2878,B1610,Base!$I$2:$I$2878)</f>
        <v>386</v>
      </c>
      <c r="H1610" s="36" t="n">
        <f aca="false">IF($G$2849=0,0,G1610/$G$2849)</f>
        <v>2.53301793614407E-005</v>
      </c>
      <c r="I1610" s="37" t="n">
        <f aca="false">I1609+H1610</f>
        <v>0.989142873703717</v>
      </c>
      <c r="J1610" s="37" t="n">
        <f aca="false">A1610/2840</f>
        <v>0.56443661971831</v>
      </c>
      <c r="K1610" s="32" t="str">
        <f aca="false">IF(I1610&lt;=$E$4,"A",IF(I1610&lt;=$E$5,"B","C"))</f>
        <v>C</v>
      </c>
    </row>
    <row r="1611" customFormat="false" ht="15" hidden="false" customHeight="false" outlineLevel="0" collapsed="false">
      <c r="A1611" s="32" t="n">
        <v>1604</v>
      </c>
      <c r="B1611" s="33" t="n">
        <v>1330098</v>
      </c>
      <c r="C1611" s="34" t="s">
        <v>3293</v>
      </c>
      <c r="D1611" s="34" t="s">
        <v>3294</v>
      </c>
      <c r="E1611" s="34" t="s">
        <v>35</v>
      </c>
      <c r="F1611" s="32" t="n">
        <f aca="false">COUNTIF(Base!$D$2:$D$2878,B1611)</f>
        <v>1</v>
      </c>
      <c r="G1611" s="35" t="n">
        <f aca="false">SUMIF(Base!$D$2:$D$2878,B1611,Base!$I$2:$I$2878)</f>
        <v>384</v>
      </c>
      <c r="H1611" s="36" t="n">
        <f aca="false">IF($G$2849=0,0,G1611/$G$2849)</f>
        <v>2.51989349087908E-005</v>
      </c>
      <c r="I1611" s="37" t="n">
        <f aca="false">I1610+H1611</f>
        <v>0.989168072638626</v>
      </c>
      <c r="J1611" s="37" t="n">
        <f aca="false">A1611/2840</f>
        <v>0.564788732394366</v>
      </c>
      <c r="K1611" s="32" t="str">
        <f aca="false">IF(I1611&lt;=$E$4,"A",IF(I1611&lt;=$E$5,"B","C"))</f>
        <v>C</v>
      </c>
    </row>
    <row r="1612" customFormat="false" ht="15" hidden="false" customHeight="false" outlineLevel="0" collapsed="false">
      <c r="A1612" s="32" t="n">
        <v>1605</v>
      </c>
      <c r="B1612" s="33" t="n">
        <v>1681000</v>
      </c>
      <c r="C1612" s="34" t="s">
        <v>3295</v>
      </c>
      <c r="D1612" s="34" t="s">
        <v>3296</v>
      </c>
      <c r="E1612" s="34" t="s">
        <v>133</v>
      </c>
      <c r="F1612" s="32" t="n">
        <f aca="false">COUNTIF(Base!$D$2:$D$2878,B1612)</f>
        <v>1</v>
      </c>
      <c r="G1612" s="35" t="n">
        <f aca="false">SUMIF(Base!$D$2:$D$2878,B1612,Base!$I$2:$I$2878)</f>
        <v>383.4</v>
      </c>
      <c r="H1612" s="36" t="n">
        <f aca="false">IF($G$2849=0,0,G1612/$G$2849)</f>
        <v>2.51595615729958E-005</v>
      </c>
      <c r="I1612" s="37" t="n">
        <f aca="false">I1611+H1612</f>
        <v>0.989193232200199</v>
      </c>
      <c r="J1612" s="37" t="n">
        <f aca="false">A1612/2840</f>
        <v>0.565140845070423</v>
      </c>
      <c r="K1612" s="32" t="str">
        <f aca="false">IF(I1612&lt;=$E$4,"A",IF(I1612&lt;=$E$5,"B","C"))</f>
        <v>C</v>
      </c>
    </row>
    <row r="1613" customFormat="false" ht="15" hidden="false" customHeight="false" outlineLevel="0" collapsed="false">
      <c r="A1613" s="32" t="n">
        <v>1606</v>
      </c>
      <c r="B1613" s="33" t="n">
        <v>1465889</v>
      </c>
      <c r="C1613" s="34" t="s">
        <v>3297</v>
      </c>
      <c r="D1613" s="34" t="s">
        <v>3298</v>
      </c>
      <c r="E1613" s="34" t="s">
        <v>100</v>
      </c>
      <c r="F1613" s="32" t="n">
        <f aca="false">COUNTIF(Base!$D$2:$D$2878,B1613)</f>
        <v>1</v>
      </c>
      <c r="G1613" s="35" t="n">
        <f aca="false">SUMIF(Base!$D$2:$D$2878,B1613,Base!$I$2:$I$2878)</f>
        <v>381.56</v>
      </c>
      <c r="H1613" s="36" t="n">
        <f aca="false">IF($G$2849=0,0,G1613/$G$2849)</f>
        <v>2.50388166765578E-005</v>
      </c>
      <c r="I1613" s="37" t="n">
        <f aca="false">I1612+H1613</f>
        <v>0.989218271016876</v>
      </c>
      <c r="J1613" s="37" t="n">
        <f aca="false">A1613/2840</f>
        <v>0.565492957746479</v>
      </c>
      <c r="K1613" s="32" t="str">
        <f aca="false">IF(I1613&lt;=$E$4,"A",IF(I1613&lt;=$E$5,"B","C"))</f>
        <v>C</v>
      </c>
    </row>
    <row r="1614" customFormat="false" ht="15" hidden="false" customHeight="false" outlineLevel="0" collapsed="false">
      <c r="A1614" s="32" t="n">
        <v>1607</v>
      </c>
      <c r="B1614" s="33" t="n">
        <v>24041</v>
      </c>
      <c r="C1614" s="34" t="s">
        <v>3299</v>
      </c>
      <c r="D1614" s="34" t="s">
        <v>3300</v>
      </c>
      <c r="E1614" s="34" t="s">
        <v>247</v>
      </c>
      <c r="F1614" s="32" t="n">
        <f aca="false">COUNTIF(Base!$D$2:$D$2878,B1614)</f>
        <v>1</v>
      </c>
      <c r="G1614" s="35" t="n">
        <f aca="false">SUMIF(Base!$D$2:$D$2878,B1614,Base!$I$2:$I$2878)</f>
        <v>381.5</v>
      </c>
      <c r="H1614" s="36" t="n">
        <f aca="false">IF($G$2849=0,0,G1614/$G$2849)</f>
        <v>2.50348793429784E-005</v>
      </c>
      <c r="I1614" s="37" t="n">
        <f aca="false">I1613+H1614</f>
        <v>0.989243305896219</v>
      </c>
      <c r="J1614" s="37" t="n">
        <f aca="false">A1614/2840</f>
        <v>0.565845070422535</v>
      </c>
      <c r="K1614" s="32" t="str">
        <f aca="false">IF(I1614&lt;=$E$4,"A",IF(I1614&lt;=$E$5,"B","C"))</f>
        <v>C</v>
      </c>
    </row>
    <row r="1615" customFormat="false" ht="15" hidden="false" customHeight="false" outlineLevel="0" collapsed="false">
      <c r="A1615" s="32" t="n">
        <v>1608</v>
      </c>
      <c r="B1615" s="33" t="n">
        <v>290267</v>
      </c>
      <c r="C1615" s="34" t="s">
        <v>3301</v>
      </c>
      <c r="D1615" s="34" t="s">
        <v>3302</v>
      </c>
      <c r="E1615" s="34" t="s">
        <v>113</v>
      </c>
      <c r="F1615" s="32" t="n">
        <f aca="false">COUNTIF(Base!$D$2:$D$2878,B1615)</f>
        <v>1</v>
      </c>
      <c r="G1615" s="35" t="n">
        <f aca="false">SUMIF(Base!$D$2:$D$2878,B1615,Base!$I$2:$I$2878)</f>
        <v>381.48</v>
      </c>
      <c r="H1615" s="36" t="n">
        <f aca="false">IF($G$2849=0,0,G1615/$G$2849)</f>
        <v>2.50335668984519E-005</v>
      </c>
      <c r="I1615" s="37" t="n">
        <f aca="false">I1614+H1615</f>
        <v>0.989268339463117</v>
      </c>
      <c r="J1615" s="37" t="n">
        <f aca="false">A1615/2840</f>
        <v>0.566197183098592</v>
      </c>
      <c r="K1615" s="32" t="str">
        <f aca="false">IF(I1615&lt;=$E$4,"A",IF(I1615&lt;=$E$5,"B","C"))</f>
        <v>C</v>
      </c>
    </row>
    <row r="1616" customFormat="false" ht="15" hidden="false" customHeight="false" outlineLevel="0" collapsed="false">
      <c r="A1616" s="32" t="n">
        <v>1609</v>
      </c>
      <c r="B1616" s="33" t="n">
        <v>17884</v>
      </c>
      <c r="C1616" s="34" t="s">
        <v>3303</v>
      </c>
      <c r="D1616" s="34" t="s">
        <v>3304</v>
      </c>
      <c r="E1616" s="34" t="s">
        <v>835</v>
      </c>
      <c r="F1616" s="32" t="n">
        <f aca="false">COUNTIF(Base!$D$2:$D$2878,B1616)</f>
        <v>1</v>
      </c>
      <c r="G1616" s="35" t="n">
        <f aca="false">SUMIF(Base!$D$2:$D$2878,B1616,Base!$I$2:$I$2878)</f>
        <v>380</v>
      </c>
      <c r="H1616" s="36" t="n">
        <f aca="false">IF($G$2849=0,0,G1616/$G$2849)</f>
        <v>2.49364460034909E-005</v>
      </c>
      <c r="I1616" s="37" t="n">
        <f aca="false">I1615+H1616</f>
        <v>0.989293275909121</v>
      </c>
      <c r="J1616" s="37" t="n">
        <f aca="false">A1616/2840</f>
        <v>0.566549295774648</v>
      </c>
      <c r="K1616" s="32" t="str">
        <f aca="false">IF(I1616&lt;=$E$4,"A",IF(I1616&lt;=$E$5,"B","C"))</f>
        <v>C</v>
      </c>
    </row>
    <row r="1617" customFormat="false" ht="15" hidden="false" customHeight="false" outlineLevel="0" collapsed="false">
      <c r="A1617" s="32" t="n">
        <v>1610</v>
      </c>
      <c r="B1617" s="33" t="n">
        <v>18581</v>
      </c>
      <c r="C1617" s="34" t="s">
        <v>3305</v>
      </c>
      <c r="D1617" s="34" t="s">
        <v>3306</v>
      </c>
      <c r="E1617" s="34" t="s">
        <v>262</v>
      </c>
      <c r="F1617" s="32" t="n">
        <f aca="false">COUNTIF(Base!$D$2:$D$2878,B1617)</f>
        <v>1</v>
      </c>
      <c r="G1617" s="35" t="n">
        <f aca="false">SUMIF(Base!$D$2:$D$2878,B1617,Base!$I$2:$I$2878)</f>
        <v>380</v>
      </c>
      <c r="H1617" s="36" t="n">
        <f aca="false">IF($G$2849=0,0,G1617/$G$2849)</f>
        <v>2.49364460034909E-005</v>
      </c>
      <c r="I1617" s="37" t="n">
        <f aca="false">I1616+H1617</f>
        <v>0.989318212355124</v>
      </c>
      <c r="J1617" s="37" t="n">
        <f aca="false">A1617/2840</f>
        <v>0.566901408450704</v>
      </c>
      <c r="K1617" s="32" t="str">
        <f aca="false">IF(I1617&lt;=$E$4,"A",IF(I1617&lt;=$E$5,"B","C"))</f>
        <v>C</v>
      </c>
    </row>
    <row r="1618" customFormat="false" ht="15" hidden="false" customHeight="false" outlineLevel="0" collapsed="false">
      <c r="A1618" s="32" t="n">
        <v>1611</v>
      </c>
      <c r="B1618" s="33" t="n">
        <v>65919</v>
      </c>
      <c r="C1618" s="34" t="s">
        <v>3307</v>
      </c>
      <c r="D1618" s="34" t="s">
        <v>3308</v>
      </c>
      <c r="E1618" s="34" t="s">
        <v>100</v>
      </c>
      <c r="F1618" s="32" t="n">
        <f aca="false">COUNTIF(Base!$D$2:$D$2878,B1618)</f>
        <v>1</v>
      </c>
      <c r="G1618" s="35" t="n">
        <f aca="false">SUMIF(Base!$D$2:$D$2878,B1618,Base!$I$2:$I$2878)</f>
        <v>380</v>
      </c>
      <c r="H1618" s="36" t="n">
        <f aca="false">IF($G$2849=0,0,G1618/$G$2849)</f>
        <v>2.49364460034909E-005</v>
      </c>
      <c r="I1618" s="37" t="n">
        <f aca="false">I1617+H1618</f>
        <v>0.989343148801128</v>
      </c>
      <c r="J1618" s="37" t="n">
        <f aca="false">A1618/2840</f>
        <v>0.567253521126761</v>
      </c>
      <c r="K1618" s="32" t="str">
        <f aca="false">IF(I1618&lt;=$E$4,"A",IF(I1618&lt;=$E$5,"B","C"))</f>
        <v>C</v>
      </c>
    </row>
    <row r="1619" customFormat="false" ht="15" hidden="false" customHeight="false" outlineLevel="0" collapsed="false">
      <c r="A1619" s="32" t="n">
        <v>1612</v>
      </c>
      <c r="B1619" s="33" t="n">
        <v>349305</v>
      </c>
      <c r="C1619" s="34" t="s">
        <v>3309</v>
      </c>
      <c r="D1619" s="34" t="s">
        <v>3310</v>
      </c>
      <c r="E1619" s="34" t="s">
        <v>189</v>
      </c>
      <c r="F1619" s="32" t="n">
        <f aca="false">COUNTIF(Base!$D$2:$D$2878,B1619)</f>
        <v>1</v>
      </c>
      <c r="G1619" s="35" t="n">
        <f aca="false">SUMIF(Base!$D$2:$D$2878,B1619,Base!$I$2:$I$2878)</f>
        <v>376.25</v>
      </c>
      <c r="H1619" s="36" t="n">
        <f aca="false">IF($G$2849=0,0,G1619/$G$2849)</f>
        <v>2.46903626547722E-005</v>
      </c>
      <c r="I1619" s="37" t="n">
        <f aca="false">I1618+H1619</f>
        <v>0.989367839163783</v>
      </c>
      <c r="J1619" s="37" t="n">
        <f aca="false">A1619/2840</f>
        <v>0.567605633802817</v>
      </c>
      <c r="K1619" s="32" t="str">
        <f aca="false">IF(I1619&lt;=$E$4,"A",IF(I1619&lt;=$E$5,"B","C"))</f>
        <v>C</v>
      </c>
    </row>
    <row r="1620" customFormat="false" ht="15" hidden="false" customHeight="false" outlineLevel="0" collapsed="false">
      <c r="A1620" s="32" t="n">
        <v>1613</v>
      </c>
      <c r="B1620" s="33" t="n">
        <v>388730</v>
      </c>
      <c r="C1620" s="34" t="s">
        <v>3311</v>
      </c>
      <c r="D1620" s="34" t="s">
        <v>3312</v>
      </c>
      <c r="E1620" s="34" t="s">
        <v>100</v>
      </c>
      <c r="F1620" s="32" t="n">
        <f aca="false">COUNTIF(Base!$D$2:$D$2878,B1620)</f>
        <v>1</v>
      </c>
      <c r="G1620" s="35" t="n">
        <f aca="false">SUMIF(Base!$D$2:$D$2878,B1620,Base!$I$2:$I$2878)</f>
        <v>376.06</v>
      </c>
      <c r="H1620" s="36" t="n">
        <f aca="false">IF($G$2849=0,0,G1620/$G$2849)</f>
        <v>2.46778944317705E-005</v>
      </c>
      <c r="I1620" s="37" t="n">
        <f aca="false">I1619+H1620</f>
        <v>0.989392517058214</v>
      </c>
      <c r="J1620" s="37" t="n">
        <f aca="false">A1620/2840</f>
        <v>0.567957746478873</v>
      </c>
      <c r="K1620" s="32" t="str">
        <f aca="false">IF(I1620&lt;=$E$4,"A",IF(I1620&lt;=$E$5,"B","C"))</f>
        <v>C</v>
      </c>
    </row>
    <row r="1621" customFormat="false" ht="15" hidden="false" customHeight="false" outlineLevel="0" collapsed="false">
      <c r="A1621" s="32" t="n">
        <v>1614</v>
      </c>
      <c r="B1621" s="33" t="n">
        <v>1063856</v>
      </c>
      <c r="C1621" s="34" t="s">
        <v>3313</v>
      </c>
      <c r="D1621" s="34" t="s">
        <v>3314</v>
      </c>
      <c r="E1621" s="34" t="s">
        <v>247</v>
      </c>
      <c r="F1621" s="32" t="n">
        <f aca="false">COUNTIF(Base!$D$2:$D$2878,B1621)</f>
        <v>1</v>
      </c>
      <c r="G1621" s="35" t="n">
        <f aca="false">SUMIF(Base!$D$2:$D$2878,B1621,Base!$I$2:$I$2878)</f>
        <v>375</v>
      </c>
      <c r="H1621" s="36" t="n">
        <f aca="false">IF($G$2849=0,0,G1621/$G$2849)</f>
        <v>2.4608334871866E-005</v>
      </c>
      <c r="I1621" s="37" t="n">
        <f aca="false">I1620+H1621</f>
        <v>0.989417125393086</v>
      </c>
      <c r="J1621" s="37" t="n">
        <f aca="false">A1621/2840</f>
        <v>0.56830985915493</v>
      </c>
      <c r="K1621" s="32" t="str">
        <f aca="false">IF(I1621&lt;=$E$4,"A",IF(I1621&lt;=$E$5,"B","C"))</f>
        <v>C</v>
      </c>
    </row>
    <row r="1622" customFormat="false" ht="15" hidden="false" customHeight="false" outlineLevel="0" collapsed="false">
      <c r="A1622" s="32" t="n">
        <v>1615</v>
      </c>
      <c r="B1622" s="33" t="n">
        <v>556890</v>
      </c>
      <c r="C1622" s="34" t="s">
        <v>3315</v>
      </c>
      <c r="D1622" s="34" t="s">
        <v>3316</v>
      </c>
      <c r="E1622" s="34" t="s">
        <v>130</v>
      </c>
      <c r="F1622" s="32" t="n">
        <f aca="false">COUNTIF(Base!$D$2:$D$2878,B1622)</f>
        <v>1</v>
      </c>
      <c r="G1622" s="35" t="n">
        <f aca="false">SUMIF(Base!$D$2:$D$2878,B1622,Base!$I$2:$I$2878)</f>
        <v>374.93</v>
      </c>
      <c r="H1622" s="36" t="n">
        <f aca="false">IF($G$2849=0,0,G1622/$G$2849)</f>
        <v>2.46037413160233E-005</v>
      </c>
      <c r="I1622" s="37" t="n">
        <f aca="false">I1621+H1622</f>
        <v>0.989441729134402</v>
      </c>
      <c r="J1622" s="37" t="n">
        <f aca="false">A1622/2840</f>
        <v>0.568661971830986</v>
      </c>
      <c r="K1622" s="32" t="str">
        <f aca="false">IF(I1622&lt;=$E$4,"A",IF(I1622&lt;=$E$5,"B","C"))</f>
        <v>C</v>
      </c>
    </row>
    <row r="1623" customFormat="false" ht="15" hidden="false" customHeight="false" outlineLevel="0" collapsed="false">
      <c r="A1623" s="32" t="n">
        <v>1616</v>
      </c>
      <c r="B1623" s="33" t="n">
        <v>1483891</v>
      </c>
      <c r="C1623" s="34" t="s">
        <v>3317</v>
      </c>
      <c r="D1623" s="34" t="s">
        <v>3318</v>
      </c>
      <c r="E1623" s="34" t="s">
        <v>54</v>
      </c>
      <c r="F1623" s="32" t="n">
        <f aca="false">COUNTIF(Base!$D$2:$D$2878,B1623)</f>
        <v>1</v>
      </c>
      <c r="G1623" s="35" t="n">
        <f aca="false">SUMIF(Base!$D$2:$D$2878,B1623,Base!$I$2:$I$2878)</f>
        <v>374.5</v>
      </c>
      <c r="H1623" s="36" t="n">
        <f aca="false">IF($G$2849=0,0,G1623/$G$2849)</f>
        <v>2.45755237587035E-005</v>
      </c>
      <c r="I1623" s="37" t="n">
        <f aca="false">I1622+H1623</f>
        <v>0.989466304658161</v>
      </c>
      <c r="J1623" s="37" t="n">
        <f aca="false">A1623/2840</f>
        <v>0.569014084507042</v>
      </c>
      <c r="K1623" s="32" t="str">
        <f aca="false">IF(I1623&lt;=$E$4,"A",IF(I1623&lt;=$E$5,"B","C"))</f>
        <v>C</v>
      </c>
    </row>
    <row r="1624" customFormat="false" ht="15" hidden="false" customHeight="false" outlineLevel="0" collapsed="false">
      <c r="A1624" s="32" t="n">
        <v>1617</v>
      </c>
      <c r="B1624" s="33" t="n">
        <v>929609</v>
      </c>
      <c r="C1624" s="34" t="s">
        <v>3319</v>
      </c>
      <c r="D1624" s="34" t="s">
        <v>3320</v>
      </c>
      <c r="E1624" s="34" t="s">
        <v>38</v>
      </c>
      <c r="F1624" s="32" t="n">
        <f aca="false">COUNTIF(Base!$D$2:$D$2878,B1624)</f>
        <v>1</v>
      </c>
      <c r="G1624" s="35" t="n">
        <f aca="false">SUMIF(Base!$D$2:$D$2878,B1624,Base!$I$2:$I$2878)</f>
        <v>373</v>
      </c>
      <c r="H1624" s="36" t="n">
        <f aca="false">IF($G$2849=0,0,G1624/$G$2849)</f>
        <v>2.44770904192161E-005</v>
      </c>
      <c r="I1624" s="37" t="n">
        <f aca="false">I1623+H1624</f>
        <v>0.98949078174858</v>
      </c>
      <c r="J1624" s="37" t="n">
        <f aca="false">A1624/2840</f>
        <v>0.569366197183099</v>
      </c>
      <c r="K1624" s="32" t="str">
        <f aca="false">IF(I1624&lt;=$E$4,"A",IF(I1624&lt;=$E$5,"B","C"))</f>
        <v>C</v>
      </c>
    </row>
    <row r="1625" customFormat="false" ht="15" hidden="false" customHeight="false" outlineLevel="0" collapsed="false">
      <c r="A1625" s="32" t="n">
        <v>1618</v>
      </c>
      <c r="B1625" s="33" t="n">
        <v>1485534</v>
      </c>
      <c r="C1625" s="34" t="s">
        <v>3321</v>
      </c>
      <c r="D1625" s="34" t="s">
        <v>3322</v>
      </c>
      <c r="E1625" s="34" t="s">
        <v>38</v>
      </c>
      <c r="F1625" s="32" t="n">
        <f aca="false">COUNTIF(Base!$D$2:$D$2878,B1625)</f>
        <v>1</v>
      </c>
      <c r="G1625" s="35" t="n">
        <f aca="false">SUMIF(Base!$D$2:$D$2878,B1625,Base!$I$2:$I$2878)</f>
        <v>371.8</v>
      </c>
      <c r="H1625" s="36" t="n">
        <f aca="false">IF($G$2849=0,0,G1625/$G$2849)</f>
        <v>2.43983437476261E-005</v>
      </c>
      <c r="I1625" s="37" t="n">
        <f aca="false">I1624+H1625</f>
        <v>0.989515180092328</v>
      </c>
      <c r="J1625" s="37" t="n">
        <f aca="false">A1625/2840</f>
        <v>0.569718309859155</v>
      </c>
      <c r="K1625" s="32" t="str">
        <f aca="false">IF(I1625&lt;=$E$4,"A",IF(I1625&lt;=$E$5,"B","C"))</f>
        <v>C</v>
      </c>
    </row>
    <row r="1626" customFormat="false" ht="15" hidden="false" customHeight="false" outlineLevel="0" collapsed="false">
      <c r="A1626" s="32" t="n">
        <v>1619</v>
      </c>
      <c r="B1626" s="33" t="n">
        <v>34851</v>
      </c>
      <c r="C1626" s="34" t="s">
        <v>3323</v>
      </c>
      <c r="D1626" s="34" t="s">
        <v>3324</v>
      </c>
      <c r="E1626" s="34" t="s">
        <v>130</v>
      </c>
      <c r="F1626" s="32" t="n">
        <f aca="false">COUNTIF(Base!$D$2:$D$2878,B1626)</f>
        <v>1</v>
      </c>
      <c r="G1626" s="35" t="n">
        <f aca="false">SUMIF(Base!$D$2:$D$2878,B1626,Base!$I$2:$I$2878)</f>
        <v>370.92</v>
      </c>
      <c r="H1626" s="36" t="n">
        <f aca="false">IF($G$2849=0,0,G1626/$G$2849)</f>
        <v>2.43405961884601E-005</v>
      </c>
      <c r="I1626" s="37" t="n">
        <f aca="false">I1625+H1626</f>
        <v>0.989539520688516</v>
      </c>
      <c r="J1626" s="37" t="n">
        <f aca="false">A1626/2840</f>
        <v>0.570070422535211</v>
      </c>
      <c r="K1626" s="32" t="str">
        <f aca="false">IF(I1626&lt;=$E$4,"A",IF(I1626&lt;=$E$5,"B","C"))</f>
        <v>C</v>
      </c>
    </row>
    <row r="1627" customFormat="false" ht="15" hidden="false" customHeight="false" outlineLevel="0" collapsed="false">
      <c r="A1627" s="32" t="n">
        <v>1620</v>
      </c>
      <c r="B1627" s="33" t="n">
        <v>1014563</v>
      </c>
      <c r="C1627" s="34" t="s">
        <v>3325</v>
      </c>
      <c r="D1627" s="34" t="s">
        <v>3326</v>
      </c>
      <c r="E1627" s="34" t="s">
        <v>130</v>
      </c>
      <c r="F1627" s="32" t="n">
        <f aca="false">COUNTIF(Base!$D$2:$D$2878,B1627)</f>
        <v>1</v>
      </c>
      <c r="G1627" s="35" t="n">
        <f aca="false">SUMIF(Base!$D$2:$D$2878,B1627,Base!$I$2:$I$2878)</f>
        <v>370.78</v>
      </c>
      <c r="H1627" s="36" t="n">
        <f aca="false">IF($G$2849=0,0,G1627/$G$2849)</f>
        <v>2.43314090767746E-005</v>
      </c>
      <c r="I1627" s="37" t="n">
        <f aca="false">I1626+H1627</f>
        <v>0.989563852097593</v>
      </c>
      <c r="J1627" s="37" t="n">
        <f aca="false">A1627/2840</f>
        <v>0.570422535211268</v>
      </c>
      <c r="K1627" s="32" t="str">
        <f aca="false">IF(I1627&lt;=$E$4,"A",IF(I1627&lt;=$E$5,"B","C"))</f>
        <v>C</v>
      </c>
    </row>
    <row r="1628" customFormat="false" ht="15" hidden="false" customHeight="false" outlineLevel="0" collapsed="false">
      <c r="A1628" s="32" t="n">
        <v>1621</v>
      </c>
      <c r="B1628" s="33" t="n">
        <v>835621</v>
      </c>
      <c r="C1628" s="34" t="s">
        <v>3327</v>
      </c>
      <c r="D1628" s="34" t="s">
        <v>3328</v>
      </c>
      <c r="E1628" s="34" t="s">
        <v>38</v>
      </c>
      <c r="F1628" s="32" t="n">
        <f aca="false">COUNTIF(Base!$D$2:$D$2878,B1628)</f>
        <v>1</v>
      </c>
      <c r="G1628" s="35" t="n">
        <f aca="false">SUMIF(Base!$D$2:$D$2878,B1628,Base!$I$2:$I$2878)</f>
        <v>370.04</v>
      </c>
      <c r="H1628" s="36" t="n">
        <f aca="false">IF($G$2849=0,0,G1628/$G$2849)</f>
        <v>2.42828486292941E-005</v>
      </c>
      <c r="I1628" s="37" t="n">
        <f aca="false">I1627+H1628</f>
        <v>0.989588134946222</v>
      </c>
      <c r="J1628" s="37" t="n">
        <f aca="false">A1628/2840</f>
        <v>0.570774647887324</v>
      </c>
      <c r="K1628" s="32" t="str">
        <f aca="false">IF(I1628&lt;=$E$4,"A",IF(I1628&lt;=$E$5,"B","C"))</f>
        <v>C</v>
      </c>
    </row>
    <row r="1629" customFormat="false" ht="15" hidden="false" customHeight="false" outlineLevel="0" collapsed="false">
      <c r="A1629" s="32" t="n">
        <v>1622</v>
      </c>
      <c r="B1629" s="33" t="n">
        <v>1111896</v>
      </c>
      <c r="C1629" s="34" t="s">
        <v>3329</v>
      </c>
      <c r="D1629" s="34" t="s">
        <v>3330</v>
      </c>
      <c r="E1629" s="34" t="s">
        <v>100</v>
      </c>
      <c r="F1629" s="32" t="n">
        <f aca="false">COUNTIF(Base!$D$2:$D$2878,B1629)</f>
        <v>1</v>
      </c>
      <c r="G1629" s="35" t="n">
        <f aca="false">SUMIF(Base!$D$2:$D$2878,B1629,Base!$I$2:$I$2878)</f>
        <v>370</v>
      </c>
      <c r="H1629" s="36" t="n">
        <f aca="false">IF($G$2849=0,0,G1629/$G$2849)</f>
        <v>2.42802237402411E-005</v>
      </c>
      <c r="I1629" s="37" t="n">
        <f aca="false">I1628+H1629</f>
        <v>0.989612415169963</v>
      </c>
      <c r="J1629" s="37" t="n">
        <f aca="false">A1629/2840</f>
        <v>0.57112676056338</v>
      </c>
      <c r="K1629" s="32" t="str">
        <f aca="false">IF(I1629&lt;=$E$4,"A",IF(I1629&lt;=$E$5,"B","C"))</f>
        <v>C</v>
      </c>
    </row>
    <row r="1630" customFormat="false" ht="15" hidden="false" customHeight="false" outlineLevel="0" collapsed="false">
      <c r="A1630" s="32" t="n">
        <v>1623</v>
      </c>
      <c r="B1630" s="33" t="n">
        <v>1605182</v>
      </c>
      <c r="C1630" s="34" t="s">
        <v>3331</v>
      </c>
      <c r="D1630" s="34" t="s">
        <v>3332</v>
      </c>
      <c r="E1630" s="34" t="s">
        <v>38</v>
      </c>
      <c r="F1630" s="32" t="n">
        <f aca="false">COUNTIF(Base!$D$2:$D$2878,B1630)</f>
        <v>1</v>
      </c>
      <c r="G1630" s="35" t="n">
        <f aca="false">SUMIF(Base!$D$2:$D$2878,B1630,Base!$I$2:$I$2878)</f>
        <v>370</v>
      </c>
      <c r="H1630" s="36" t="n">
        <f aca="false">IF($G$2849=0,0,G1630/$G$2849)</f>
        <v>2.42802237402411E-005</v>
      </c>
      <c r="I1630" s="37" t="n">
        <f aca="false">I1629+H1630</f>
        <v>0.989636695393703</v>
      </c>
      <c r="J1630" s="37" t="n">
        <f aca="false">A1630/2840</f>
        <v>0.571478873239437</v>
      </c>
      <c r="K1630" s="32" t="str">
        <f aca="false">IF(I1630&lt;=$E$4,"A",IF(I1630&lt;=$E$5,"B","C"))</f>
        <v>C</v>
      </c>
    </row>
    <row r="1631" customFormat="false" ht="15" hidden="false" customHeight="false" outlineLevel="0" collapsed="false">
      <c r="A1631" s="32" t="n">
        <v>1624</v>
      </c>
      <c r="B1631" s="33" t="n">
        <v>280182</v>
      </c>
      <c r="C1631" s="34" t="s">
        <v>3333</v>
      </c>
      <c r="D1631" s="34" t="s">
        <v>3334</v>
      </c>
      <c r="E1631" s="34" t="s">
        <v>38</v>
      </c>
      <c r="F1631" s="32" t="n">
        <f aca="false">COUNTIF(Base!$D$2:$D$2878,B1631)</f>
        <v>1</v>
      </c>
      <c r="G1631" s="35" t="n">
        <f aca="false">SUMIF(Base!$D$2:$D$2878,B1631,Base!$I$2:$I$2878)</f>
        <v>369.2</v>
      </c>
      <c r="H1631" s="36" t="n">
        <f aca="false">IF($G$2849=0,0,G1631/$G$2849)</f>
        <v>2.42277259591811E-005</v>
      </c>
      <c r="I1631" s="37" t="n">
        <f aca="false">I1630+H1631</f>
        <v>0.989660923119662</v>
      </c>
      <c r="J1631" s="37" t="n">
        <f aca="false">A1631/2840</f>
        <v>0.571830985915493</v>
      </c>
      <c r="K1631" s="32" t="str">
        <f aca="false">IF(I1631&lt;=$E$4,"A",IF(I1631&lt;=$E$5,"B","C"))</f>
        <v>C</v>
      </c>
    </row>
    <row r="1632" customFormat="false" ht="15" hidden="false" customHeight="false" outlineLevel="0" collapsed="false">
      <c r="A1632" s="32" t="n">
        <v>1625</v>
      </c>
      <c r="B1632" s="33" t="n">
        <v>1485438</v>
      </c>
      <c r="C1632" s="34" t="s">
        <v>3335</v>
      </c>
      <c r="D1632" s="34" t="s">
        <v>3336</v>
      </c>
      <c r="E1632" s="34" t="s">
        <v>38</v>
      </c>
      <c r="F1632" s="32" t="n">
        <f aca="false">COUNTIF(Base!$D$2:$D$2878,B1632)</f>
        <v>1</v>
      </c>
      <c r="G1632" s="35" t="n">
        <f aca="false">SUMIF(Base!$D$2:$D$2878,B1632,Base!$I$2:$I$2878)</f>
        <v>368.15</v>
      </c>
      <c r="H1632" s="36" t="n">
        <f aca="false">IF($G$2849=0,0,G1632/$G$2849)</f>
        <v>2.41588226215399E-005</v>
      </c>
      <c r="I1632" s="37" t="n">
        <f aca="false">I1631+H1632</f>
        <v>0.989685081942283</v>
      </c>
      <c r="J1632" s="37" t="n">
        <f aca="false">A1632/2840</f>
        <v>0.572183098591549</v>
      </c>
      <c r="K1632" s="32" t="str">
        <f aca="false">IF(I1632&lt;=$E$4,"A",IF(I1632&lt;=$E$5,"B","C"))</f>
        <v>C</v>
      </c>
    </row>
    <row r="1633" customFormat="false" ht="15" hidden="false" customHeight="false" outlineLevel="0" collapsed="false">
      <c r="A1633" s="32" t="n">
        <v>1626</v>
      </c>
      <c r="B1633" s="33" t="n">
        <v>1096419</v>
      </c>
      <c r="C1633" s="34" t="s">
        <v>3337</v>
      </c>
      <c r="D1633" s="34" t="s">
        <v>3338</v>
      </c>
      <c r="E1633" s="34" t="s">
        <v>334</v>
      </c>
      <c r="F1633" s="32" t="n">
        <f aca="false">COUNTIF(Base!$D$2:$D$2878,B1633)</f>
        <v>1</v>
      </c>
      <c r="G1633" s="35" t="n">
        <f aca="false">SUMIF(Base!$D$2:$D$2878,B1633,Base!$I$2:$I$2878)</f>
        <v>367.74</v>
      </c>
      <c r="H1633" s="36" t="n">
        <f aca="false">IF($G$2849=0,0,G1633/$G$2849)</f>
        <v>2.41319175087467E-005</v>
      </c>
      <c r="I1633" s="37" t="n">
        <f aca="false">I1632+H1633</f>
        <v>0.989709213859792</v>
      </c>
      <c r="J1633" s="37" t="n">
        <f aca="false">A1633/2840</f>
        <v>0.572535211267606</v>
      </c>
      <c r="K1633" s="32" t="str">
        <f aca="false">IF(I1633&lt;=$E$4,"A",IF(I1633&lt;=$E$5,"B","C"))</f>
        <v>C</v>
      </c>
    </row>
    <row r="1634" customFormat="false" ht="15" hidden="false" customHeight="false" outlineLevel="0" collapsed="false">
      <c r="A1634" s="32" t="n">
        <v>1627</v>
      </c>
      <c r="B1634" s="33" t="n">
        <v>884892</v>
      </c>
      <c r="C1634" s="34" t="s">
        <v>3339</v>
      </c>
      <c r="D1634" s="34" t="s">
        <v>3340</v>
      </c>
      <c r="E1634" s="34" t="s">
        <v>35</v>
      </c>
      <c r="F1634" s="32" t="n">
        <f aca="false">COUNTIF(Base!$D$2:$D$2878,B1634)</f>
        <v>1</v>
      </c>
      <c r="G1634" s="35" t="n">
        <f aca="false">SUMIF(Base!$D$2:$D$2878,B1634,Base!$I$2:$I$2878)</f>
        <v>366.718</v>
      </c>
      <c r="H1634" s="36" t="n">
        <f aca="false">IF($G$2849=0,0,G1634/$G$2849)</f>
        <v>2.40648515934426E-005</v>
      </c>
      <c r="I1634" s="37" t="n">
        <f aca="false">I1633+H1634</f>
        <v>0.989733278711386</v>
      </c>
      <c r="J1634" s="37" t="n">
        <f aca="false">A1634/2840</f>
        <v>0.572887323943662</v>
      </c>
      <c r="K1634" s="32" t="str">
        <f aca="false">IF(I1634&lt;=$E$4,"A",IF(I1634&lt;=$E$5,"B","C"))</f>
        <v>C</v>
      </c>
    </row>
    <row r="1635" customFormat="false" ht="15" hidden="false" customHeight="false" outlineLevel="0" collapsed="false">
      <c r="A1635" s="32" t="n">
        <v>1628</v>
      </c>
      <c r="B1635" s="33" t="n">
        <v>840026</v>
      </c>
      <c r="C1635" s="34" t="s">
        <v>3341</v>
      </c>
      <c r="D1635" s="34" t="s">
        <v>3342</v>
      </c>
      <c r="E1635" s="34" t="s">
        <v>54</v>
      </c>
      <c r="F1635" s="32" t="n">
        <f aca="false">COUNTIF(Base!$D$2:$D$2878,B1635)</f>
        <v>1</v>
      </c>
      <c r="G1635" s="35" t="n">
        <f aca="false">SUMIF(Base!$D$2:$D$2878,B1635,Base!$I$2:$I$2878)</f>
        <v>364.83</v>
      </c>
      <c r="H1635" s="36" t="n">
        <f aca="false">IF($G$2849=0,0,G1635/$G$2849)</f>
        <v>2.3940956830141E-005</v>
      </c>
      <c r="I1635" s="37" t="n">
        <f aca="false">I1634+H1635</f>
        <v>0.989757219668216</v>
      </c>
      <c r="J1635" s="37" t="n">
        <f aca="false">A1635/2840</f>
        <v>0.573239436619718</v>
      </c>
      <c r="K1635" s="32" t="str">
        <f aca="false">IF(I1635&lt;=$E$4,"A",IF(I1635&lt;=$E$5,"B","C"))</f>
        <v>C</v>
      </c>
    </row>
    <row r="1636" customFormat="false" ht="15" hidden="false" customHeight="false" outlineLevel="0" collapsed="false">
      <c r="A1636" s="32" t="n">
        <v>1629</v>
      </c>
      <c r="B1636" s="33" t="n">
        <v>230162</v>
      </c>
      <c r="C1636" s="34" t="s">
        <v>3343</v>
      </c>
      <c r="D1636" s="34" t="s">
        <v>3344</v>
      </c>
      <c r="E1636" s="34" t="s">
        <v>247</v>
      </c>
      <c r="F1636" s="32" t="n">
        <f aca="false">COUNTIF(Base!$D$2:$D$2878,B1636)</f>
        <v>2</v>
      </c>
      <c r="G1636" s="35" t="n">
        <f aca="false">SUMIF(Base!$D$2:$D$2878,B1636,Base!$I$2:$I$2878)</f>
        <v>360.48</v>
      </c>
      <c r="H1636" s="36" t="n">
        <f aca="false">IF($G$2849=0,0,G1636/$G$2849)</f>
        <v>2.36555001456274E-005</v>
      </c>
      <c r="I1636" s="37" t="n">
        <f aca="false">I1635+H1636</f>
        <v>0.989780875168361</v>
      </c>
      <c r="J1636" s="37" t="n">
        <f aca="false">A1636/2840</f>
        <v>0.573591549295775</v>
      </c>
      <c r="K1636" s="32" t="str">
        <f aca="false">IF(I1636&lt;=$E$4,"A",IF(I1636&lt;=$E$5,"B","C"))</f>
        <v>C</v>
      </c>
    </row>
    <row r="1637" customFormat="false" ht="15" hidden="false" customHeight="false" outlineLevel="0" collapsed="false">
      <c r="A1637" s="32" t="n">
        <v>1630</v>
      </c>
      <c r="B1637" s="33" t="n">
        <v>21804</v>
      </c>
      <c r="C1637" s="34" t="s">
        <v>3345</v>
      </c>
      <c r="D1637" s="34" t="s">
        <v>3346</v>
      </c>
      <c r="E1637" s="34" t="s">
        <v>189</v>
      </c>
      <c r="F1637" s="32" t="n">
        <f aca="false">COUNTIF(Base!$D$2:$D$2878,B1637)</f>
        <v>1</v>
      </c>
      <c r="G1637" s="35" t="n">
        <f aca="false">SUMIF(Base!$D$2:$D$2878,B1637,Base!$I$2:$I$2878)</f>
        <v>360</v>
      </c>
      <c r="H1637" s="36" t="n">
        <f aca="false">IF($G$2849=0,0,G1637/$G$2849)</f>
        <v>2.36240014769914E-005</v>
      </c>
      <c r="I1637" s="37" t="n">
        <f aca="false">I1636+H1637</f>
        <v>0.989804499169838</v>
      </c>
      <c r="J1637" s="37" t="n">
        <f aca="false">A1637/2840</f>
        <v>0.573943661971831</v>
      </c>
      <c r="K1637" s="32" t="str">
        <f aca="false">IF(I1637&lt;=$E$4,"A",IF(I1637&lt;=$E$5,"B","C"))</f>
        <v>C</v>
      </c>
    </row>
    <row r="1638" customFormat="false" ht="15" hidden="false" customHeight="false" outlineLevel="0" collapsed="false">
      <c r="A1638" s="32" t="n">
        <v>1631</v>
      </c>
      <c r="B1638" s="33" t="n">
        <v>137817</v>
      </c>
      <c r="C1638" s="34" t="s">
        <v>3347</v>
      </c>
      <c r="D1638" s="34" t="s">
        <v>3348</v>
      </c>
      <c r="E1638" s="34" t="s">
        <v>247</v>
      </c>
      <c r="F1638" s="32" t="n">
        <f aca="false">COUNTIF(Base!$D$2:$D$2878,B1638)</f>
        <v>1</v>
      </c>
      <c r="G1638" s="35" t="n">
        <f aca="false">SUMIF(Base!$D$2:$D$2878,B1638,Base!$I$2:$I$2878)</f>
        <v>360</v>
      </c>
      <c r="H1638" s="36" t="n">
        <f aca="false">IF($G$2849=0,0,G1638/$G$2849)</f>
        <v>2.36240014769914E-005</v>
      </c>
      <c r="I1638" s="37" t="n">
        <f aca="false">I1637+H1638</f>
        <v>0.989828123171315</v>
      </c>
      <c r="J1638" s="37" t="n">
        <f aca="false">A1638/2840</f>
        <v>0.574295774647887</v>
      </c>
      <c r="K1638" s="32" t="str">
        <f aca="false">IF(I1638&lt;=$E$4,"A",IF(I1638&lt;=$E$5,"B","C"))</f>
        <v>C</v>
      </c>
    </row>
    <row r="1639" customFormat="false" ht="15" hidden="false" customHeight="false" outlineLevel="0" collapsed="false">
      <c r="A1639" s="32" t="n">
        <v>1632</v>
      </c>
      <c r="B1639" s="33" t="n">
        <v>1384073</v>
      </c>
      <c r="C1639" s="34" t="s">
        <v>3349</v>
      </c>
      <c r="D1639" s="34" t="s">
        <v>3350</v>
      </c>
      <c r="E1639" s="34" t="s">
        <v>38</v>
      </c>
      <c r="F1639" s="32" t="n">
        <f aca="false">COUNTIF(Base!$D$2:$D$2878,B1639)</f>
        <v>1</v>
      </c>
      <c r="G1639" s="35" t="n">
        <f aca="false">SUMIF(Base!$D$2:$D$2878,B1639,Base!$I$2:$I$2878)</f>
        <v>359.88</v>
      </c>
      <c r="H1639" s="36" t="n">
        <f aca="false">IF($G$2849=0,0,G1639/$G$2849)</f>
        <v>2.36161268098324E-005</v>
      </c>
      <c r="I1639" s="37" t="n">
        <f aca="false">I1638+H1639</f>
        <v>0.989851739298125</v>
      </c>
      <c r="J1639" s="37" t="n">
        <f aca="false">A1639/2840</f>
        <v>0.574647887323944</v>
      </c>
      <c r="K1639" s="32" t="str">
        <f aca="false">IF(I1639&lt;=$E$4,"A",IF(I1639&lt;=$E$5,"B","C"))</f>
        <v>C</v>
      </c>
    </row>
    <row r="1640" customFormat="false" ht="15" hidden="false" customHeight="false" outlineLevel="0" collapsed="false">
      <c r="A1640" s="32" t="n">
        <v>1633</v>
      </c>
      <c r="B1640" s="33" t="n">
        <v>1605942</v>
      </c>
      <c r="C1640" s="34" t="s">
        <v>3351</v>
      </c>
      <c r="D1640" s="34" t="s">
        <v>3352</v>
      </c>
      <c r="E1640" s="34" t="s">
        <v>38</v>
      </c>
      <c r="F1640" s="32" t="n">
        <f aca="false">COUNTIF(Base!$D$2:$D$2878,B1640)</f>
        <v>1</v>
      </c>
      <c r="G1640" s="35" t="n">
        <f aca="false">SUMIF(Base!$D$2:$D$2878,B1640,Base!$I$2:$I$2878)</f>
        <v>359.24</v>
      </c>
      <c r="H1640" s="36" t="n">
        <f aca="false">IF($G$2849=0,0,G1640/$G$2849)</f>
        <v>2.35741285849844E-005</v>
      </c>
      <c r="I1640" s="37" t="n">
        <f aca="false">I1639+H1640</f>
        <v>0.98987531342671</v>
      </c>
      <c r="J1640" s="37" t="n">
        <f aca="false">A1640/2840</f>
        <v>0.575</v>
      </c>
      <c r="K1640" s="32" t="str">
        <f aca="false">IF(I1640&lt;=$E$4,"A",IF(I1640&lt;=$E$5,"B","C"))</f>
        <v>C</v>
      </c>
    </row>
    <row r="1641" customFormat="false" ht="15" hidden="false" customHeight="false" outlineLevel="0" collapsed="false">
      <c r="A1641" s="32" t="n">
        <v>1634</v>
      </c>
      <c r="B1641" s="33" t="n">
        <v>230631</v>
      </c>
      <c r="C1641" s="34" t="s">
        <v>3353</v>
      </c>
      <c r="D1641" s="34" t="s">
        <v>3354</v>
      </c>
      <c r="E1641" s="34" t="s">
        <v>113</v>
      </c>
      <c r="F1641" s="32" t="n">
        <f aca="false">COUNTIF(Base!$D$2:$D$2878,B1641)</f>
        <v>1</v>
      </c>
      <c r="G1641" s="35" t="n">
        <f aca="false">SUMIF(Base!$D$2:$D$2878,B1641,Base!$I$2:$I$2878)</f>
        <v>359.1</v>
      </c>
      <c r="H1641" s="36" t="n">
        <f aca="false">IF($G$2849=0,0,G1641/$G$2849)</f>
        <v>2.35649414732989E-005</v>
      </c>
      <c r="I1641" s="37" t="n">
        <f aca="false">I1640+H1641</f>
        <v>0.989898878368184</v>
      </c>
      <c r="J1641" s="37" t="n">
        <f aca="false">A1641/2840</f>
        <v>0.575352112676056</v>
      </c>
      <c r="K1641" s="32" t="str">
        <f aca="false">IF(I1641&lt;=$E$4,"A",IF(I1641&lt;=$E$5,"B","C"))</f>
        <v>C</v>
      </c>
    </row>
    <row r="1642" customFormat="false" ht="15" hidden="false" customHeight="false" outlineLevel="0" collapsed="false">
      <c r="A1642" s="32" t="n">
        <v>1635</v>
      </c>
      <c r="B1642" s="33" t="n">
        <v>1326735</v>
      </c>
      <c r="C1642" s="34" t="s">
        <v>3355</v>
      </c>
      <c r="D1642" s="34" t="s">
        <v>3356</v>
      </c>
      <c r="E1642" s="34" t="s">
        <v>38</v>
      </c>
      <c r="F1642" s="32" t="n">
        <f aca="false">COUNTIF(Base!$D$2:$D$2878,B1642)</f>
        <v>1</v>
      </c>
      <c r="G1642" s="35" t="n">
        <f aca="false">SUMIF(Base!$D$2:$D$2878,B1642,Base!$I$2:$I$2878)</f>
        <v>358.72</v>
      </c>
      <c r="H1642" s="36" t="n">
        <f aca="false">IF($G$2849=0,0,G1642/$G$2849)</f>
        <v>2.35400050272954E-005</v>
      </c>
      <c r="I1642" s="37" t="n">
        <f aca="false">I1641+H1642</f>
        <v>0.989922418373211</v>
      </c>
      <c r="J1642" s="37" t="n">
        <f aca="false">A1642/2840</f>
        <v>0.575704225352113</v>
      </c>
      <c r="K1642" s="32" t="str">
        <f aca="false">IF(I1642&lt;=$E$4,"A",IF(I1642&lt;=$E$5,"B","C"))</f>
        <v>C</v>
      </c>
    </row>
    <row r="1643" customFormat="false" ht="15" hidden="false" customHeight="false" outlineLevel="0" collapsed="false">
      <c r="A1643" s="32" t="n">
        <v>1636</v>
      </c>
      <c r="B1643" s="33" t="n">
        <v>32033</v>
      </c>
      <c r="C1643" s="34" t="s">
        <v>3357</v>
      </c>
      <c r="D1643" s="34" t="s">
        <v>3358</v>
      </c>
      <c r="E1643" s="34" t="s">
        <v>1095</v>
      </c>
      <c r="F1643" s="32" t="n">
        <f aca="false">COUNTIF(Base!$D$2:$D$2878,B1643)</f>
        <v>1</v>
      </c>
      <c r="G1643" s="35" t="n">
        <f aca="false">SUMIF(Base!$D$2:$D$2878,B1643,Base!$I$2:$I$2878)</f>
        <v>358.4</v>
      </c>
      <c r="H1643" s="36" t="n">
        <f aca="false">IF($G$2849=0,0,G1643/$G$2849)</f>
        <v>2.35190059148714E-005</v>
      </c>
      <c r="I1643" s="37" t="n">
        <f aca="false">I1642+H1643</f>
        <v>0.989945937379126</v>
      </c>
      <c r="J1643" s="37" t="n">
        <f aca="false">A1643/2840</f>
        <v>0.576056338028169</v>
      </c>
      <c r="K1643" s="32" t="str">
        <f aca="false">IF(I1643&lt;=$E$4,"A",IF(I1643&lt;=$E$5,"B","C"))</f>
        <v>C</v>
      </c>
    </row>
    <row r="1644" customFormat="false" ht="15" hidden="false" customHeight="false" outlineLevel="0" collapsed="false">
      <c r="A1644" s="32" t="n">
        <v>1637</v>
      </c>
      <c r="B1644" s="33" t="n">
        <v>275258</v>
      </c>
      <c r="C1644" s="34" t="s">
        <v>3359</v>
      </c>
      <c r="D1644" s="34" t="s">
        <v>3360</v>
      </c>
      <c r="E1644" s="34" t="s">
        <v>457</v>
      </c>
      <c r="F1644" s="32" t="n">
        <f aca="false">COUNTIF(Base!$D$2:$D$2878,B1644)</f>
        <v>1</v>
      </c>
      <c r="G1644" s="35" t="n">
        <f aca="false">SUMIF(Base!$D$2:$D$2878,B1644,Base!$I$2:$I$2878)</f>
        <v>358</v>
      </c>
      <c r="H1644" s="36" t="n">
        <f aca="false">IF($G$2849=0,0,G1644/$G$2849)</f>
        <v>2.34927570243414E-005</v>
      </c>
      <c r="I1644" s="37" t="n">
        <f aca="false">I1643+H1644</f>
        <v>0.98996943013615</v>
      </c>
      <c r="J1644" s="37" t="n">
        <f aca="false">A1644/2840</f>
        <v>0.576408450704225</v>
      </c>
      <c r="K1644" s="32" t="str">
        <f aca="false">IF(I1644&lt;=$E$4,"A",IF(I1644&lt;=$E$5,"B","C"))</f>
        <v>C</v>
      </c>
    </row>
    <row r="1645" customFormat="false" ht="15" hidden="false" customHeight="false" outlineLevel="0" collapsed="false">
      <c r="A1645" s="32" t="n">
        <v>1638</v>
      </c>
      <c r="B1645" s="33" t="n">
        <v>1018878</v>
      </c>
      <c r="C1645" s="34" t="s">
        <v>3361</v>
      </c>
      <c r="D1645" s="34" t="s">
        <v>3362</v>
      </c>
      <c r="E1645" s="34" t="s">
        <v>38</v>
      </c>
      <c r="F1645" s="32" t="n">
        <f aca="false">COUNTIF(Base!$D$2:$D$2878,B1645)</f>
        <v>1</v>
      </c>
      <c r="G1645" s="35" t="n">
        <f aca="false">SUMIF(Base!$D$2:$D$2878,B1645,Base!$I$2:$I$2878)</f>
        <v>357.94</v>
      </c>
      <c r="H1645" s="36" t="n">
        <f aca="false">IF($G$2849=0,0,G1645/$G$2849)</f>
        <v>2.34888196907619E-005</v>
      </c>
      <c r="I1645" s="37" t="n">
        <f aca="false">I1644+H1645</f>
        <v>0.989992918955841</v>
      </c>
      <c r="J1645" s="37" t="n">
        <f aca="false">A1645/2840</f>
        <v>0.576760563380282</v>
      </c>
      <c r="K1645" s="32" t="str">
        <f aca="false">IF(I1645&lt;=$E$4,"A",IF(I1645&lt;=$E$5,"B","C"))</f>
        <v>C</v>
      </c>
    </row>
    <row r="1646" customFormat="false" ht="15" hidden="false" customHeight="false" outlineLevel="0" collapsed="false">
      <c r="A1646" s="32" t="n">
        <v>1639</v>
      </c>
      <c r="B1646" s="33" t="n">
        <v>929722</v>
      </c>
      <c r="C1646" s="34" t="s">
        <v>3363</v>
      </c>
      <c r="D1646" s="34" t="s">
        <v>3364</v>
      </c>
      <c r="E1646" s="34" t="s">
        <v>480</v>
      </c>
      <c r="F1646" s="32" t="n">
        <f aca="false">COUNTIF(Base!$D$2:$D$2878,B1646)</f>
        <v>1</v>
      </c>
      <c r="G1646" s="35" t="n">
        <f aca="false">SUMIF(Base!$D$2:$D$2878,B1646,Base!$I$2:$I$2878)</f>
        <v>357.28</v>
      </c>
      <c r="H1646" s="36" t="n">
        <f aca="false">IF($G$2849=0,0,G1646/$G$2849)</f>
        <v>2.34455090213874E-005</v>
      </c>
      <c r="I1646" s="37" t="n">
        <f aca="false">I1645+H1646</f>
        <v>0.990016364464862</v>
      </c>
      <c r="J1646" s="37" t="n">
        <f aca="false">A1646/2840</f>
        <v>0.577112676056338</v>
      </c>
      <c r="K1646" s="32" t="str">
        <f aca="false">IF(I1646&lt;=$E$4,"A",IF(I1646&lt;=$E$5,"B","C"))</f>
        <v>C</v>
      </c>
    </row>
    <row r="1647" customFormat="false" ht="15" hidden="false" customHeight="false" outlineLevel="0" collapsed="false">
      <c r="A1647" s="32" t="n">
        <v>1640</v>
      </c>
      <c r="B1647" s="33" t="n">
        <v>1320999</v>
      </c>
      <c r="C1647" s="34" t="s">
        <v>3365</v>
      </c>
      <c r="D1647" s="34" t="s">
        <v>3366</v>
      </c>
      <c r="E1647" s="34" t="s">
        <v>38</v>
      </c>
      <c r="F1647" s="32" t="n">
        <f aca="false">COUNTIF(Base!$D$2:$D$2878,B1647)</f>
        <v>1</v>
      </c>
      <c r="G1647" s="35" t="n">
        <f aca="false">SUMIF(Base!$D$2:$D$2878,B1647,Base!$I$2:$I$2878)</f>
        <v>357</v>
      </c>
      <c r="H1647" s="36" t="n">
        <f aca="false">IF($G$2849=0,0,G1647/$G$2849)</f>
        <v>2.34271347980164E-005</v>
      </c>
      <c r="I1647" s="37" t="n">
        <f aca="false">I1646+H1647</f>
        <v>0.99003979159966</v>
      </c>
      <c r="J1647" s="37" t="n">
        <f aca="false">A1647/2840</f>
        <v>0.577464788732394</v>
      </c>
      <c r="K1647" s="32" t="str">
        <f aca="false">IF(I1647&lt;=$E$4,"A",IF(I1647&lt;=$E$5,"B","C"))</f>
        <v>C</v>
      </c>
    </row>
    <row r="1648" customFormat="false" ht="15" hidden="false" customHeight="false" outlineLevel="0" collapsed="false">
      <c r="A1648" s="32" t="n">
        <v>1641</v>
      </c>
      <c r="B1648" s="33" t="n">
        <v>941848</v>
      </c>
      <c r="C1648" s="34" t="s">
        <v>3367</v>
      </c>
      <c r="D1648" s="34" t="s">
        <v>3368</v>
      </c>
      <c r="E1648" s="34" t="s">
        <v>705</v>
      </c>
      <c r="F1648" s="32" t="n">
        <f aca="false">COUNTIF(Base!$D$2:$D$2878,B1648)</f>
        <v>1</v>
      </c>
      <c r="G1648" s="35" t="n">
        <f aca="false">SUMIF(Base!$D$2:$D$2878,B1648,Base!$I$2:$I$2878)</f>
        <v>356.52</v>
      </c>
      <c r="H1648" s="36" t="n">
        <f aca="false">IF($G$2849=0,0,G1648/$G$2849)</f>
        <v>2.33956361293805E-005</v>
      </c>
      <c r="I1648" s="37" t="n">
        <f aca="false">I1647+H1648</f>
        <v>0.990063187235789</v>
      </c>
      <c r="J1648" s="37" t="n">
        <f aca="false">A1648/2840</f>
        <v>0.577816901408451</v>
      </c>
      <c r="K1648" s="32" t="str">
        <f aca="false">IF(I1648&lt;=$E$4,"A",IF(I1648&lt;=$E$5,"B","C"))</f>
        <v>C</v>
      </c>
    </row>
    <row r="1649" customFormat="false" ht="15" hidden="false" customHeight="false" outlineLevel="0" collapsed="false">
      <c r="A1649" s="32" t="n">
        <v>1642</v>
      </c>
      <c r="B1649" s="33" t="n">
        <v>21171</v>
      </c>
      <c r="C1649" s="34" t="s">
        <v>3369</v>
      </c>
      <c r="D1649" s="34" t="s">
        <v>3370</v>
      </c>
      <c r="E1649" s="34" t="s">
        <v>637</v>
      </c>
      <c r="F1649" s="32" t="n">
        <f aca="false">COUNTIF(Base!$D$2:$D$2878,B1649)</f>
        <v>1</v>
      </c>
      <c r="G1649" s="35" t="n">
        <f aca="false">SUMIF(Base!$D$2:$D$2878,B1649,Base!$I$2:$I$2878)</f>
        <v>356.48</v>
      </c>
      <c r="H1649" s="36" t="n">
        <f aca="false">IF($G$2849=0,0,G1649/$G$2849)</f>
        <v>2.33930112403275E-005</v>
      </c>
      <c r="I1649" s="37" t="n">
        <f aca="false">I1648+H1649</f>
        <v>0.99008658024703</v>
      </c>
      <c r="J1649" s="37" t="n">
        <f aca="false">A1649/2840</f>
        <v>0.578169014084507</v>
      </c>
      <c r="K1649" s="32" t="str">
        <f aca="false">IF(I1649&lt;=$E$4,"A",IF(I1649&lt;=$E$5,"B","C"))</f>
        <v>C</v>
      </c>
    </row>
    <row r="1650" customFormat="false" ht="15" hidden="false" customHeight="false" outlineLevel="0" collapsed="false">
      <c r="A1650" s="32" t="n">
        <v>1643</v>
      </c>
      <c r="B1650" s="33" t="n">
        <v>32426</v>
      </c>
      <c r="C1650" s="34" t="s">
        <v>3371</v>
      </c>
      <c r="D1650" s="34" t="s">
        <v>3372</v>
      </c>
      <c r="E1650" s="34" t="s">
        <v>705</v>
      </c>
      <c r="F1650" s="32" t="n">
        <f aca="false">COUNTIF(Base!$D$2:$D$2878,B1650)</f>
        <v>1</v>
      </c>
      <c r="G1650" s="35" t="n">
        <f aca="false">SUMIF(Base!$D$2:$D$2878,B1650,Base!$I$2:$I$2878)</f>
        <v>356</v>
      </c>
      <c r="H1650" s="36" t="n">
        <f aca="false">IF($G$2849=0,0,G1650/$G$2849)</f>
        <v>2.33615125716915E-005</v>
      </c>
      <c r="I1650" s="37" t="n">
        <f aca="false">I1649+H1650</f>
        <v>0.990109941759601</v>
      </c>
      <c r="J1650" s="37" t="n">
        <f aca="false">A1650/2840</f>
        <v>0.578521126760563</v>
      </c>
      <c r="K1650" s="32" t="str">
        <f aca="false">IF(I1650&lt;=$E$4,"A",IF(I1650&lt;=$E$5,"B","C"))</f>
        <v>C</v>
      </c>
    </row>
    <row r="1651" customFormat="false" ht="15" hidden="false" customHeight="false" outlineLevel="0" collapsed="false">
      <c r="A1651" s="32" t="n">
        <v>1644</v>
      </c>
      <c r="B1651" s="33" t="n">
        <v>1479362</v>
      </c>
      <c r="C1651" s="34" t="s">
        <v>3373</v>
      </c>
      <c r="D1651" s="34" t="s">
        <v>3374</v>
      </c>
      <c r="E1651" s="34" t="s">
        <v>32</v>
      </c>
      <c r="F1651" s="32" t="n">
        <f aca="false">COUNTIF(Base!$D$2:$D$2878,B1651)</f>
        <v>1</v>
      </c>
      <c r="G1651" s="35" t="n">
        <f aca="false">SUMIF(Base!$D$2:$D$2878,B1651,Base!$I$2:$I$2878)</f>
        <v>355.93</v>
      </c>
      <c r="H1651" s="36" t="n">
        <f aca="false">IF($G$2849=0,0,G1651/$G$2849)</f>
        <v>2.33569190158487E-005</v>
      </c>
      <c r="I1651" s="37" t="n">
        <f aca="false">I1650+H1651</f>
        <v>0.990133298678617</v>
      </c>
      <c r="J1651" s="37" t="n">
        <f aca="false">A1651/2840</f>
        <v>0.57887323943662</v>
      </c>
      <c r="K1651" s="32" t="str">
        <f aca="false">IF(I1651&lt;=$E$4,"A",IF(I1651&lt;=$E$5,"B","C"))</f>
        <v>C</v>
      </c>
    </row>
    <row r="1652" customFormat="false" ht="15" hidden="false" customHeight="false" outlineLevel="0" collapsed="false">
      <c r="A1652" s="32" t="n">
        <v>1645</v>
      </c>
      <c r="B1652" s="33" t="n">
        <v>17934</v>
      </c>
      <c r="C1652" s="34" t="s">
        <v>3375</v>
      </c>
      <c r="D1652" s="34" t="s">
        <v>3376</v>
      </c>
      <c r="E1652" s="34" t="s">
        <v>130</v>
      </c>
      <c r="F1652" s="32" t="n">
        <f aca="false">COUNTIF(Base!$D$2:$D$2878,B1652)</f>
        <v>1</v>
      </c>
      <c r="G1652" s="35" t="n">
        <f aca="false">SUMIF(Base!$D$2:$D$2878,B1652,Base!$I$2:$I$2878)</f>
        <v>355.12</v>
      </c>
      <c r="H1652" s="36" t="n">
        <f aca="false">IF($G$2849=0,0,G1652/$G$2849)</f>
        <v>2.33037650125255E-005</v>
      </c>
      <c r="I1652" s="37" t="n">
        <f aca="false">I1651+H1652</f>
        <v>0.99015660244363</v>
      </c>
      <c r="J1652" s="37" t="n">
        <f aca="false">A1652/2840</f>
        <v>0.579225352112676</v>
      </c>
      <c r="K1652" s="32" t="str">
        <f aca="false">IF(I1652&lt;=$E$4,"A",IF(I1652&lt;=$E$5,"B","C"))</f>
        <v>C</v>
      </c>
    </row>
    <row r="1653" customFormat="false" ht="15" hidden="false" customHeight="false" outlineLevel="0" collapsed="false">
      <c r="A1653" s="32" t="n">
        <v>1646</v>
      </c>
      <c r="B1653" s="33" t="n">
        <v>950842</v>
      </c>
      <c r="C1653" s="34" t="s">
        <v>3377</v>
      </c>
      <c r="D1653" s="34" t="s">
        <v>3378</v>
      </c>
      <c r="E1653" s="34" t="s">
        <v>130</v>
      </c>
      <c r="F1653" s="32" t="n">
        <f aca="false">COUNTIF(Base!$D$2:$D$2878,B1653)</f>
        <v>1</v>
      </c>
      <c r="G1653" s="35" t="n">
        <f aca="false">SUMIF(Base!$D$2:$D$2878,B1653,Base!$I$2:$I$2878)</f>
        <v>354</v>
      </c>
      <c r="H1653" s="36" t="n">
        <f aca="false">IF($G$2849=0,0,G1653/$G$2849)</f>
        <v>2.32302681190415E-005</v>
      </c>
      <c r="I1653" s="37" t="n">
        <f aca="false">I1652+H1653</f>
        <v>0.990179832711749</v>
      </c>
      <c r="J1653" s="37" t="n">
        <f aca="false">A1653/2840</f>
        <v>0.579577464788732</v>
      </c>
      <c r="K1653" s="32" t="str">
        <f aca="false">IF(I1653&lt;=$E$4,"A",IF(I1653&lt;=$E$5,"B","C"))</f>
        <v>C</v>
      </c>
    </row>
    <row r="1654" customFormat="false" ht="15" hidden="false" customHeight="false" outlineLevel="0" collapsed="false">
      <c r="A1654" s="32" t="n">
        <v>1647</v>
      </c>
      <c r="B1654" s="33" t="n">
        <v>1672554</v>
      </c>
      <c r="C1654" s="34" t="s">
        <v>3379</v>
      </c>
      <c r="D1654" s="34" t="s">
        <v>3380</v>
      </c>
      <c r="E1654" s="34" t="s">
        <v>66</v>
      </c>
      <c r="F1654" s="32" t="n">
        <f aca="false">COUNTIF(Base!$D$2:$D$2878,B1654)</f>
        <v>1</v>
      </c>
      <c r="G1654" s="35" t="n">
        <f aca="false">SUMIF(Base!$D$2:$D$2878,B1654,Base!$I$2:$I$2878)</f>
        <v>353.8</v>
      </c>
      <c r="H1654" s="36" t="n">
        <f aca="false">IF($G$2849=0,0,G1654/$G$2849)</f>
        <v>2.32171436737765E-005</v>
      </c>
      <c r="I1654" s="37" t="n">
        <f aca="false">I1653+H1654</f>
        <v>0.990203049855423</v>
      </c>
      <c r="J1654" s="37" t="n">
        <f aca="false">A1654/2840</f>
        <v>0.579929577464789</v>
      </c>
      <c r="K1654" s="32" t="str">
        <f aca="false">IF(I1654&lt;=$E$4,"A",IF(I1654&lt;=$E$5,"B","C"))</f>
        <v>C</v>
      </c>
    </row>
    <row r="1655" customFormat="false" ht="15" hidden="false" customHeight="false" outlineLevel="0" collapsed="false">
      <c r="A1655" s="32" t="n">
        <v>1648</v>
      </c>
      <c r="B1655" s="33" t="n">
        <v>1461858</v>
      </c>
      <c r="C1655" s="34" t="s">
        <v>3381</v>
      </c>
      <c r="D1655" s="34" t="s">
        <v>3382</v>
      </c>
      <c r="E1655" s="34" t="s">
        <v>38</v>
      </c>
      <c r="F1655" s="32" t="n">
        <f aca="false">COUNTIF(Base!$D$2:$D$2878,B1655)</f>
        <v>1</v>
      </c>
      <c r="G1655" s="35" t="n">
        <f aca="false">SUMIF(Base!$D$2:$D$2878,B1655,Base!$I$2:$I$2878)</f>
        <v>352</v>
      </c>
      <c r="H1655" s="36" t="n">
        <f aca="false">IF($G$2849=0,0,G1655/$G$2849)</f>
        <v>2.30990236663916E-005</v>
      </c>
      <c r="I1655" s="37" t="n">
        <f aca="false">I1654+H1655</f>
        <v>0.990226148879089</v>
      </c>
      <c r="J1655" s="37" t="n">
        <f aca="false">A1655/2840</f>
        <v>0.580281690140845</v>
      </c>
      <c r="K1655" s="32" t="str">
        <f aca="false">IF(I1655&lt;=$E$4,"A",IF(I1655&lt;=$E$5,"B","C"))</f>
        <v>C</v>
      </c>
    </row>
    <row r="1656" customFormat="false" ht="15" hidden="false" customHeight="false" outlineLevel="0" collapsed="false">
      <c r="A1656" s="32" t="n">
        <v>1649</v>
      </c>
      <c r="B1656" s="33" t="n">
        <v>226458</v>
      </c>
      <c r="C1656" s="34" t="s">
        <v>3383</v>
      </c>
      <c r="D1656" s="34" t="s">
        <v>3384</v>
      </c>
      <c r="E1656" s="34" t="s">
        <v>247</v>
      </c>
      <c r="F1656" s="32" t="n">
        <f aca="false">COUNTIF(Base!$D$2:$D$2878,B1656)</f>
        <v>1</v>
      </c>
      <c r="G1656" s="35" t="n">
        <f aca="false">SUMIF(Base!$D$2:$D$2878,B1656,Base!$I$2:$I$2878)</f>
        <v>350.4</v>
      </c>
      <c r="H1656" s="36" t="n">
        <f aca="false">IF($G$2849=0,0,G1656/$G$2849)</f>
        <v>2.29940281042716E-005</v>
      </c>
      <c r="I1656" s="37" t="n">
        <f aca="false">I1655+H1656</f>
        <v>0.990249142907193</v>
      </c>
      <c r="J1656" s="37" t="n">
        <f aca="false">A1656/2840</f>
        <v>0.580633802816901</v>
      </c>
      <c r="K1656" s="32" t="str">
        <f aca="false">IF(I1656&lt;=$E$4,"A",IF(I1656&lt;=$E$5,"B","C"))</f>
        <v>C</v>
      </c>
    </row>
    <row r="1657" customFormat="false" ht="15" hidden="false" customHeight="false" outlineLevel="0" collapsed="false">
      <c r="A1657" s="32" t="n">
        <v>1650</v>
      </c>
      <c r="B1657" s="33" t="n">
        <v>21488</v>
      </c>
      <c r="C1657" s="34" t="s">
        <v>3385</v>
      </c>
      <c r="D1657" s="34" t="s">
        <v>3386</v>
      </c>
      <c r="E1657" s="34" t="s">
        <v>705</v>
      </c>
      <c r="F1657" s="32" t="n">
        <f aca="false">COUNTIF(Base!$D$2:$D$2878,B1657)</f>
        <v>2</v>
      </c>
      <c r="G1657" s="35" t="n">
        <f aca="false">SUMIF(Base!$D$2:$D$2878,B1657,Base!$I$2:$I$2878)</f>
        <v>350.218</v>
      </c>
      <c r="H1657" s="36" t="n">
        <f aca="false">IF($G$2849=0,0,G1657/$G$2849)</f>
        <v>2.29820848590804E-005</v>
      </c>
      <c r="I1657" s="37" t="n">
        <f aca="false">I1656+H1657</f>
        <v>0.990272124992052</v>
      </c>
      <c r="J1657" s="37" t="n">
        <f aca="false">A1657/2840</f>
        <v>0.580985915492958</v>
      </c>
      <c r="K1657" s="32" t="str">
        <f aca="false">IF(I1657&lt;=$E$4,"A",IF(I1657&lt;=$E$5,"B","C"))</f>
        <v>C</v>
      </c>
    </row>
    <row r="1658" customFormat="false" ht="15" hidden="false" customHeight="false" outlineLevel="0" collapsed="false">
      <c r="A1658" s="32" t="n">
        <v>1651</v>
      </c>
      <c r="B1658" s="33" t="n">
        <v>1257734</v>
      </c>
      <c r="C1658" s="34" t="s">
        <v>3387</v>
      </c>
      <c r="D1658" s="34" t="s">
        <v>3388</v>
      </c>
      <c r="E1658" s="34" t="s">
        <v>38</v>
      </c>
      <c r="F1658" s="32" t="n">
        <f aca="false">COUNTIF(Base!$D$2:$D$2878,B1658)</f>
        <v>1</v>
      </c>
      <c r="G1658" s="35" t="n">
        <f aca="false">SUMIF(Base!$D$2:$D$2878,B1658,Base!$I$2:$I$2878)</f>
        <v>349.5</v>
      </c>
      <c r="H1658" s="36" t="n">
        <f aca="false">IF($G$2849=0,0,G1658/$G$2849)</f>
        <v>2.29349681005791E-005</v>
      </c>
      <c r="I1658" s="37" t="n">
        <f aca="false">I1657+H1658</f>
        <v>0.990295059960153</v>
      </c>
      <c r="J1658" s="37" t="n">
        <f aca="false">A1658/2840</f>
        <v>0.581338028169014</v>
      </c>
      <c r="K1658" s="32" t="str">
        <f aca="false">IF(I1658&lt;=$E$4,"A",IF(I1658&lt;=$E$5,"B","C"))</f>
        <v>C</v>
      </c>
    </row>
    <row r="1659" customFormat="false" ht="15" hidden="false" customHeight="false" outlineLevel="0" collapsed="false">
      <c r="A1659" s="32" t="n">
        <v>1652</v>
      </c>
      <c r="B1659" s="33" t="n">
        <v>1610262</v>
      </c>
      <c r="C1659" s="34" t="s">
        <v>3389</v>
      </c>
      <c r="D1659" s="34" t="s">
        <v>3390</v>
      </c>
      <c r="E1659" s="34" t="s">
        <v>38</v>
      </c>
      <c r="F1659" s="32" t="n">
        <f aca="false">COUNTIF(Base!$D$2:$D$2878,B1659)</f>
        <v>1</v>
      </c>
      <c r="G1659" s="35" t="n">
        <f aca="false">SUMIF(Base!$D$2:$D$2878,B1659,Base!$I$2:$I$2878)</f>
        <v>349.2</v>
      </c>
      <c r="H1659" s="36" t="n">
        <f aca="false">IF($G$2849=0,0,G1659/$G$2849)</f>
        <v>2.29152814326816E-005</v>
      </c>
      <c r="I1659" s="37" t="n">
        <f aca="false">I1658+H1659</f>
        <v>0.990317975241586</v>
      </c>
      <c r="J1659" s="37" t="n">
        <f aca="false">A1659/2840</f>
        <v>0.58169014084507</v>
      </c>
      <c r="K1659" s="32" t="str">
        <f aca="false">IF(I1659&lt;=$E$4,"A",IF(I1659&lt;=$E$5,"B","C"))</f>
        <v>C</v>
      </c>
    </row>
    <row r="1660" customFormat="false" ht="15" hidden="false" customHeight="false" outlineLevel="0" collapsed="false">
      <c r="A1660" s="32" t="n">
        <v>1653</v>
      </c>
      <c r="B1660" s="33" t="n">
        <v>1610264</v>
      </c>
      <c r="C1660" s="34" t="s">
        <v>3391</v>
      </c>
      <c r="D1660" s="34" t="s">
        <v>3392</v>
      </c>
      <c r="E1660" s="34" t="s">
        <v>38</v>
      </c>
      <c r="F1660" s="32" t="n">
        <f aca="false">COUNTIF(Base!$D$2:$D$2878,B1660)</f>
        <v>1</v>
      </c>
      <c r="G1660" s="35" t="n">
        <f aca="false">SUMIF(Base!$D$2:$D$2878,B1660,Base!$I$2:$I$2878)</f>
        <v>349.2</v>
      </c>
      <c r="H1660" s="36" t="n">
        <f aca="false">IF($G$2849=0,0,G1660/$G$2849)</f>
        <v>2.29152814326816E-005</v>
      </c>
      <c r="I1660" s="37" t="n">
        <f aca="false">I1659+H1660</f>
        <v>0.990340890523018</v>
      </c>
      <c r="J1660" s="37" t="n">
        <f aca="false">A1660/2840</f>
        <v>0.582042253521127</v>
      </c>
      <c r="K1660" s="32" t="str">
        <f aca="false">IF(I1660&lt;=$E$4,"A",IF(I1660&lt;=$E$5,"B","C"))</f>
        <v>C</v>
      </c>
    </row>
    <row r="1661" customFormat="false" ht="15" hidden="false" customHeight="false" outlineLevel="0" collapsed="false">
      <c r="A1661" s="32" t="n">
        <v>1654</v>
      </c>
      <c r="B1661" s="33" t="n">
        <v>1328335</v>
      </c>
      <c r="C1661" s="34" t="s">
        <v>3393</v>
      </c>
      <c r="D1661" s="34" t="s">
        <v>3394</v>
      </c>
      <c r="E1661" s="34" t="s">
        <v>457</v>
      </c>
      <c r="F1661" s="32" t="n">
        <f aca="false">COUNTIF(Base!$D$2:$D$2878,B1661)</f>
        <v>1</v>
      </c>
      <c r="G1661" s="35" t="n">
        <f aca="false">SUMIF(Base!$D$2:$D$2878,B1661,Base!$I$2:$I$2878)</f>
        <v>348</v>
      </c>
      <c r="H1661" s="36" t="n">
        <f aca="false">IF($G$2849=0,0,G1661/$G$2849)</f>
        <v>2.28365347610917E-005</v>
      </c>
      <c r="I1661" s="37" t="n">
        <f aca="false">I1660+H1661</f>
        <v>0.990363727057779</v>
      </c>
      <c r="J1661" s="37" t="n">
        <f aca="false">A1661/2840</f>
        <v>0.582394366197183</v>
      </c>
      <c r="K1661" s="32" t="str">
        <f aca="false">IF(I1661&lt;=$E$4,"A",IF(I1661&lt;=$E$5,"B","C"))</f>
        <v>C</v>
      </c>
    </row>
    <row r="1662" customFormat="false" ht="15" hidden="false" customHeight="false" outlineLevel="0" collapsed="false">
      <c r="A1662" s="32" t="n">
        <v>1655</v>
      </c>
      <c r="B1662" s="33" t="n">
        <v>1330051</v>
      </c>
      <c r="C1662" s="34" t="s">
        <v>3395</v>
      </c>
      <c r="D1662" s="34" t="s">
        <v>3396</v>
      </c>
      <c r="E1662" s="34" t="s">
        <v>113</v>
      </c>
      <c r="F1662" s="32" t="n">
        <f aca="false">COUNTIF(Base!$D$2:$D$2878,B1662)</f>
        <v>1</v>
      </c>
      <c r="G1662" s="35" t="n">
        <f aca="false">SUMIF(Base!$D$2:$D$2878,B1662,Base!$I$2:$I$2878)</f>
        <v>348</v>
      </c>
      <c r="H1662" s="36" t="n">
        <f aca="false">IF($G$2849=0,0,G1662/$G$2849)</f>
        <v>2.28365347610917E-005</v>
      </c>
      <c r="I1662" s="37" t="n">
        <f aca="false">I1661+H1662</f>
        <v>0.99038656359254</v>
      </c>
      <c r="J1662" s="37" t="n">
        <f aca="false">A1662/2840</f>
        <v>0.582746478873239</v>
      </c>
      <c r="K1662" s="32" t="str">
        <f aca="false">IF(I1662&lt;=$E$4,"A",IF(I1662&lt;=$E$5,"B","C"))</f>
        <v>C</v>
      </c>
    </row>
    <row r="1663" customFormat="false" ht="15" hidden="false" customHeight="false" outlineLevel="0" collapsed="false">
      <c r="A1663" s="32" t="n">
        <v>1656</v>
      </c>
      <c r="B1663" s="33" t="n">
        <v>840014</v>
      </c>
      <c r="C1663" s="34" t="s">
        <v>3397</v>
      </c>
      <c r="D1663" s="34" t="s">
        <v>3398</v>
      </c>
      <c r="E1663" s="34" t="s">
        <v>54</v>
      </c>
      <c r="F1663" s="32" t="n">
        <f aca="false">COUNTIF(Base!$D$2:$D$2878,B1663)</f>
        <v>1</v>
      </c>
      <c r="G1663" s="35" t="n">
        <f aca="false">SUMIF(Base!$D$2:$D$2878,B1663,Base!$I$2:$I$2878)</f>
        <v>346</v>
      </c>
      <c r="H1663" s="36" t="n">
        <f aca="false">IF($G$2849=0,0,G1663/$G$2849)</f>
        <v>2.27052903084417E-005</v>
      </c>
      <c r="I1663" s="37" t="n">
        <f aca="false">I1662+H1663</f>
        <v>0.990409268882849</v>
      </c>
      <c r="J1663" s="37" t="n">
        <f aca="false">A1663/2840</f>
        <v>0.583098591549296</v>
      </c>
      <c r="K1663" s="32" t="str">
        <f aca="false">IF(I1663&lt;=$E$4,"A",IF(I1663&lt;=$E$5,"B","C"))</f>
        <v>C</v>
      </c>
    </row>
    <row r="1664" customFormat="false" ht="15" hidden="false" customHeight="false" outlineLevel="0" collapsed="false">
      <c r="A1664" s="32" t="n">
        <v>1657</v>
      </c>
      <c r="B1664" s="33" t="n">
        <v>19501</v>
      </c>
      <c r="C1664" s="34" t="s">
        <v>3399</v>
      </c>
      <c r="D1664" s="34" t="s">
        <v>3400</v>
      </c>
      <c r="E1664" s="34" t="s">
        <v>1095</v>
      </c>
      <c r="F1664" s="32" t="n">
        <f aca="false">COUNTIF(Base!$D$2:$D$2878,B1664)</f>
        <v>1</v>
      </c>
      <c r="G1664" s="35" t="n">
        <f aca="false">SUMIF(Base!$D$2:$D$2878,B1664,Base!$I$2:$I$2878)</f>
        <v>345.0728</v>
      </c>
      <c r="H1664" s="36" t="n">
        <f aca="false">IF($G$2849=0,0,G1664/$G$2849)</f>
        <v>2.26444453801932E-005</v>
      </c>
      <c r="I1664" s="37" t="n">
        <f aca="false">I1663+H1664</f>
        <v>0.990431913328229</v>
      </c>
      <c r="J1664" s="37" t="n">
        <f aca="false">A1664/2840</f>
        <v>0.583450704225352</v>
      </c>
      <c r="K1664" s="32" t="str">
        <f aca="false">IF(I1664&lt;=$E$4,"A",IF(I1664&lt;=$E$5,"B","C"))</f>
        <v>C</v>
      </c>
    </row>
    <row r="1665" customFormat="false" ht="15" hidden="false" customHeight="false" outlineLevel="0" collapsed="false">
      <c r="A1665" s="32" t="n">
        <v>1658</v>
      </c>
      <c r="B1665" s="33" t="n">
        <v>292363</v>
      </c>
      <c r="C1665" s="34" t="s">
        <v>3401</v>
      </c>
      <c r="D1665" s="34" t="s">
        <v>3402</v>
      </c>
      <c r="E1665" s="34" t="s">
        <v>189</v>
      </c>
      <c r="F1665" s="32" t="n">
        <f aca="false">COUNTIF(Base!$D$2:$D$2878,B1665)</f>
        <v>1</v>
      </c>
      <c r="G1665" s="35" t="n">
        <f aca="false">SUMIF(Base!$D$2:$D$2878,B1665,Base!$I$2:$I$2878)</f>
        <v>344.75</v>
      </c>
      <c r="H1665" s="36" t="n">
        <f aca="false">IF($G$2849=0,0,G1665/$G$2849)</f>
        <v>2.26232625255355E-005</v>
      </c>
      <c r="I1665" s="37" t="n">
        <f aca="false">I1664+H1665</f>
        <v>0.990454536590755</v>
      </c>
      <c r="J1665" s="37" t="n">
        <f aca="false">A1665/2840</f>
        <v>0.583802816901409</v>
      </c>
      <c r="K1665" s="32" t="str">
        <f aca="false">IF(I1665&lt;=$E$4,"A",IF(I1665&lt;=$E$5,"B","C"))</f>
        <v>C</v>
      </c>
    </row>
    <row r="1666" customFormat="false" ht="15" hidden="false" customHeight="false" outlineLevel="0" collapsed="false">
      <c r="A1666" s="32" t="n">
        <v>1659</v>
      </c>
      <c r="B1666" s="33" t="n">
        <v>548396</v>
      </c>
      <c r="C1666" s="34" t="s">
        <v>3403</v>
      </c>
      <c r="D1666" s="34" t="s">
        <v>3404</v>
      </c>
      <c r="E1666" s="34" t="s">
        <v>262</v>
      </c>
      <c r="F1666" s="32" t="n">
        <f aca="false">COUNTIF(Base!$D$2:$D$2878,B1666)</f>
        <v>1</v>
      </c>
      <c r="G1666" s="35" t="n">
        <f aca="false">SUMIF(Base!$D$2:$D$2878,B1666,Base!$I$2:$I$2878)</f>
        <v>344.36</v>
      </c>
      <c r="H1666" s="36" t="n">
        <f aca="false">IF($G$2849=0,0,G1666/$G$2849)</f>
        <v>2.25976698572687E-005</v>
      </c>
      <c r="I1666" s="37" t="n">
        <f aca="false">I1665+H1666</f>
        <v>0.990477134260612</v>
      </c>
      <c r="J1666" s="37" t="n">
        <f aca="false">A1666/2840</f>
        <v>0.584154929577465</v>
      </c>
      <c r="K1666" s="32" t="str">
        <f aca="false">IF(I1666&lt;=$E$4,"A",IF(I1666&lt;=$E$5,"B","C"))</f>
        <v>C</v>
      </c>
    </row>
    <row r="1667" customFormat="false" ht="15" hidden="false" customHeight="false" outlineLevel="0" collapsed="false">
      <c r="A1667" s="32" t="n">
        <v>1660</v>
      </c>
      <c r="B1667" s="33" t="n">
        <v>962146</v>
      </c>
      <c r="C1667" s="34" t="s">
        <v>3405</v>
      </c>
      <c r="D1667" s="34" t="s">
        <v>3406</v>
      </c>
      <c r="E1667" s="34" t="s">
        <v>130</v>
      </c>
      <c r="F1667" s="32" t="n">
        <f aca="false">COUNTIF(Base!$D$2:$D$2878,B1667)</f>
        <v>1</v>
      </c>
      <c r="G1667" s="35" t="n">
        <f aca="false">SUMIF(Base!$D$2:$D$2878,B1667,Base!$I$2:$I$2878)</f>
        <v>344</v>
      </c>
      <c r="H1667" s="36" t="n">
        <f aca="false">IF($G$2849=0,0,G1667/$G$2849)</f>
        <v>2.25740458557918E-005</v>
      </c>
      <c r="I1667" s="37" t="n">
        <f aca="false">I1666+H1667</f>
        <v>0.990499708306468</v>
      </c>
      <c r="J1667" s="37" t="n">
        <f aca="false">A1667/2840</f>
        <v>0.584507042253521</v>
      </c>
      <c r="K1667" s="32" t="str">
        <f aca="false">IF(I1667&lt;=$E$4,"A",IF(I1667&lt;=$E$5,"B","C"))</f>
        <v>C</v>
      </c>
    </row>
    <row r="1668" customFormat="false" ht="15" hidden="false" customHeight="false" outlineLevel="0" collapsed="false">
      <c r="A1668" s="32" t="n">
        <v>1661</v>
      </c>
      <c r="B1668" s="33" t="n">
        <v>141412</v>
      </c>
      <c r="C1668" s="34" t="s">
        <v>3407</v>
      </c>
      <c r="D1668" s="34" t="s">
        <v>3408</v>
      </c>
      <c r="E1668" s="34" t="s">
        <v>35</v>
      </c>
      <c r="F1668" s="32" t="n">
        <f aca="false">COUNTIF(Base!$D$2:$D$2878,B1668)</f>
        <v>1</v>
      </c>
      <c r="G1668" s="35" t="n">
        <f aca="false">SUMIF(Base!$D$2:$D$2878,B1668,Base!$I$2:$I$2878)</f>
        <v>342.21</v>
      </c>
      <c r="H1668" s="36" t="n">
        <f aca="false">IF($G$2849=0,0,G1668/$G$2849)</f>
        <v>2.245658207067E-005</v>
      </c>
      <c r="I1668" s="37" t="n">
        <f aca="false">I1667+H1668</f>
        <v>0.990522164888538</v>
      </c>
      <c r="J1668" s="37" t="n">
        <f aca="false">A1668/2840</f>
        <v>0.584859154929578</v>
      </c>
      <c r="K1668" s="32" t="str">
        <f aca="false">IF(I1668&lt;=$E$4,"A",IF(I1668&lt;=$E$5,"B","C"))</f>
        <v>C</v>
      </c>
    </row>
    <row r="1669" customFormat="false" ht="15" hidden="false" customHeight="false" outlineLevel="0" collapsed="false">
      <c r="A1669" s="32" t="n">
        <v>1662</v>
      </c>
      <c r="B1669" s="33" t="n">
        <v>562813</v>
      </c>
      <c r="C1669" s="34" t="s">
        <v>3409</v>
      </c>
      <c r="D1669" s="34" t="s">
        <v>3410</v>
      </c>
      <c r="E1669" s="34" t="s">
        <v>130</v>
      </c>
      <c r="F1669" s="32" t="n">
        <f aca="false">COUNTIF(Base!$D$2:$D$2878,B1669)</f>
        <v>1</v>
      </c>
      <c r="G1669" s="35" t="n">
        <f aca="false">SUMIF(Base!$D$2:$D$2878,B1669,Base!$I$2:$I$2878)</f>
        <v>340.2</v>
      </c>
      <c r="H1669" s="36" t="n">
        <f aca="false">IF($G$2849=0,0,G1669/$G$2849)</f>
        <v>2.23246813957568E-005</v>
      </c>
      <c r="I1669" s="37" t="n">
        <f aca="false">I1668+H1669</f>
        <v>0.990544489569934</v>
      </c>
      <c r="J1669" s="37" t="n">
        <f aca="false">A1669/2840</f>
        <v>0.585211267605634</v>
      </c>
      <c r="K1669" s="32" t="str">
        <f aca="false">IF(I1669&lt;=$E$4,"A",IF(I1669&lt;=$E$5,"B","C"))</f>
        <v>C</v>
      </c>
    </row>
    <row r="1670" customFormat="false" ht="15" hidden="false" customHeight="false" outlineLevel="0" collapsed="false">
      <c r="A1670" s="32" t="n">
        <v>1663</v>
      </c>
      <c r="B1670" s="33" t="n">
        <v>1089381</v>
      </c>
      <c r="C1670" s="34" t="s">
        <v>3411</v>
      </c>
      <c r="D1670" s="34" t="s">
        <v>3412</v>
      </c>
      <c r="E1670" s="34" t="s">
        <v>247</v>
      </c>
      <c r="F1670" s="32" t="n">
        <f aca="false">COUNTIF(Base!$D$2:$D$2878,B1670)</f>
        <v>1</v>
      </c>
      <c r="G1670" s="35" t="n">
        <f aca="false">SUMIF(Base!$D$2:$D$2878,B1670,Base!$I$2:$I$2878)</f>
        <v>340</v>
      </c>
      <c r="H1670" s="36" t="n">
        <f aca="false">IF($G$2849=0,0,G1670/$G$2849)</f>
        <v>2.23115569504918E-005</v>
      </c>
      <c r="I1670" s="37" t="n">
        <f aca="false">I1669+H1670</f>
        <v>0.990566801126885</v>
      </c>
      <c r="J1670" s="37" t="n">
        <f aca="false">A1670/2840</f>
        <v>0.58556338028169</v>
      </c>
      <c r="K1670" s="32" t="str">
        <f aca="false">IF(I1670&lt;=$E$4,"A",IF(I1670&lt;=$E$5,"B","C"))</f>
        <v>C</v>
      </c>
    </row>
    <row r="1671" customFormat="false" ht="15" hidden="false" customHeight="false" outlineLevel="0" collapsed="false">
      <c r="A1671" s="32" t="n">
        <v>1664</v>
      </c>
      <c r="B1671" s="33" t="n">
        <v>16277</v>
      </c>
      <c r="C1671" s="34" t="s">
        <v>3413</v>
      </c>
      <c r="D1671" s="34" t="s">
        <v>3414</v>
      </c>
      <c r="E1671" s="34" t="s">
        <v>54</v>
      </c>
      <c r="F1671" s="32" t="n">
        <f aca="false">COUNTIF(Base!$D$2:$D$2878,B1671)</f>
        <v>1</v>
      </c>
      <c r="G1671" s="35" t="n">
        <f aca="false">SUMIF(Base!$D$2:$D$2878,B1671,Base!$I$2:$I$2878)</f>
        <v>338</v>
      </c>
      <c r="H1671" s="36" t="n">
        <f aca="false">IF($G$2849=0,0,G1671/$G$2849)</f>
        <v>2.21803124978419E-005</v>
      </c>
      <c r="I1671" s="37" t="n">
        <f aca="false">I1670+H1671</f>
        <v>0.990588981439382</v>
      </c>
      <c r="J1671" s="37" t="n">
        <f aca="false">A1671/2840</f>
        <v>0.585915492957747</v>
      </c>
      <c r="K1671" s="32" t="str">
        <f aca="false">IF(I1671&lt;=$E$4,"A",IF(I1671&lt;=$E$5,"B","C"))</f>
        <v>C</v>
      </c>
    </row>
    <row r="1672" customFormat="false" ht="15" hidden="false" customHeight="false" outlineLevel="0" collapsed="false">
      <c r="A1672" s="32" t="n">
        <v>1665</v>
      </c>
      <c r="B1672" s="33" t="n">
        <v>23266</v>
      </c>
      <c r="C1672" s="34" t="s">
        <v>3415</v>
      </c>
      <c r="D1672" s="34" t="s">
        <v>3416</v>
      </c>
      <c r="E1672" s="34" t="s">
        <v>189</v>
      </c>
      <c r="F1672" s="32" t="n">
        <f aca="false">COUNTIF(Base!$D$2:$D$2878,B1672)</f>
        <v>1</v>
      </c>
      <c r="G1672" s="35" t="n">
        <f aca="false">SUMIF(Base!$D$2:$D$2878,B1672,Base!$I$2:$I$2878)</f>
        <v>337.68</v>
      </c>
      <c r="H1672" s="36" t="n">
        <f aca="false">IF($G$2849=0,0,G1672/$G$2849)</f>
        <v>2.21593133854179E-005</v>
      </c>
      <c r="I1672" s="37" t="n">
        <f aca="false">I1671+H1672</f>
        <v>0.990611140752768</v>
      </c>
      <c r="J1672" s="37" t="n">
        <f aca="false">A1672/2840</f>
        <v>0.586267605633803</v>
      </c>
      <c r="K1672" s="32" t="str">
        <f aca="false">IF(I1672&lt;=$E$4,"A",IF(I1672&lt;=$E$5,"B","C"))</f>
        <v>C</v>
      </c>
    </row>
    <row r="1673" customFormat="false" ht="15" hidden="false" customHeight="false" outlineLevel="0" collapsed="false">
      <c r="A1673" s="32" t="n">
        <v>1666</v>
      </c>
      <c r="B1673" s="33" t="n">
        <v>884965</v>
      </c>
      <c r="C1673" s="34" t="s">
        <v>3417</v>
      </c>
      <c r="D1673" s="34" t="s">
        <v>3418</v>
      </c>
      <c r="E1673" s="34" t="s">
        <v>130</v>
      </c>
      <c r="F1673" s="32" t="n">
        <f aca="false">COUNTIF(Base!$D$2:$D$2878,B1673)</f>
        <v>1</v>
      </c>
      <c r="G1673" s="35" t="n">
        <f aca="false">SUMIF(Base!$D$2:$D$2878,B1673,Base!$I$2:$I$2878)</f>
        <v>337.2</v>
      </c>
      <c r="H1673" s="36" t="n">
        <f aca="false">IF($G$2849=0,0,G1673/$G$2849)</f>
        <v>2.21278147167819E-005</v>
      </c>
      <c r="I1673" s="37" t="n">
        <f aca="false">I1672+H1673</f>
        <v>0.990633268567485</v>
      </c>
      <c r="J1673" s="37" t="n">
        <f aca="false">A1673/2840</f>
        <v>0.586619718309859</v>
      </c>
      <c r="K1673" s="32" t="str">
        <f aca="false">IF(I1673&lt;=$E$4,"A",IF(I1673&lt;=$E$5,"B","C"))</f>
        <v>C</v>
      </c>
    </row>
    <row r="1674" customFormat="false" ht="15" hidden="false" customHeight="false" outlineLevel="0" collapsed="false">
      <c r="A1674" s="32" t="n">
        <v>1667</v>
      </c>
      <c r="B1674" s="33" t="n">
        <v>1461540</v>
      </c>
      <c r="C1674" s="34" t="s">
        <v>3419</v>
      </c>
      <c r="D1674" s="34" t="s">
        <v>3420</v>
      </c>
      <c r="E1674" s="34" t="s">
        <v>54</v>
      </c>
      <c r="F1674" s="32" t="n">
        <f aca="false">COUNTIF(Base!$D$2:$D$2878,B1674)</f>
        <v>1</v>
      </c>
      <c r="G1674" s="35" t="n">
        <f aca="false">SUMIF(Base!$D$2:$D$2878,B1674,Base!$I$2:$I$2878)</f>
        <v>336.6</v>
      </c>
      <c r="H1674" s="36" t="n">
        <f aca="false">IF($G$2849=0,0,G1674/$G$2849)</f>
        <v>2.20884413809869E-005</v>
      </c>
      <c r="I1674" s="37" t="n">
        <f aca="false">I1673+H1674</f>
        <v>0.990655357008866</v>
      </c>
      <c r="J1674" s="37" t="n">
        <f aca="false">A1674/2840</f>
        <v>0.586971830985916</v>
      </c>
      <c r="K1674" s="32" t="str">
        <f aca="false">IF(I1674&lt;=$E$4,"A",IF(I1674&lt;=$E$5,"B","C"))</f>
        <v>C</v>
      </c>
    </row>
    <row r="1675" customFormat="false" ht="15" hidden="false" customHeight="false" outlineLevel="0" collapsed="false">
      <c r="A1675" s="32" t="n">
        <v>1668</v>
      </c>
      <c r="B1675" s="33" t="n">
        <v>1067619</v>
      </c>
      <c r="C1675" s="34" t="s">
        <v>3421</v>
      </c>
      <c r="D1675" s="34" t="s">
        <v>3422</v>
      </c>
      <c r="E1675" s="34" t="s">
        <v>138</v>
      </c>
      <c r="F1675" s="32" t="n">
        <f aca="false">COUNTIF(Base!$D$2:$D$2878,B1675)</f>
        <v>1</v>
      </c>
      <c r="G1675" s="35" t="n">
        <f aca="false">SUMIF(Base!$D$2:$D$2878,B1675,Base!$I$2:$I$2878)</f>
        <v>336</v>
      </c>
      <c r="H1675" s="36" t="n">
        <f aca="false">IF($G$2849=0,0,G1675/$G$2849)</f>
        <v>2.20490680451919E-005</v>
      </c>
      <c r="I1675" s="37" t="n">
        <f aca="false">I1674+H1675</f>
        <v>0.990677406076911</v>
      </c>
      <c r="J1675" s="37" t="n">
        <f aca="false">A1675/2840</f>
        <v>0.587323943661972</v>
      </c>
      <c r="K1675" s="32" t="str">
        <f aca="false">IF(I1675&lt;=$E$4,"A",IF(I1675&lt;=$E$5,"B","C"))</f>
        <v>C</v>
      </c>
    </row>
    <row r="1676" customFormat="false" ht="15" hidden="false" customHeight="false" outlineLevel="0" collapsed="false">
      <c r="A1676" s="32" t="n">
        <v>1669</v>
      </c>
      <c r="B1676" s="33" t="n">
        <v>1170459</v>
      </c>
      <c r="C1676" s="34" t="s">
        <v>3423</v>
      </c>
      <c r="D1676" s="34" t="s">
        <v>3424</v>
      </c>
      <c r="E1676" s="34" t="s">
        <v>100</v>
      </c>
      <c r="F1676" s="32" t="n">
        <f aca="false">COUNTIF(Base!$D$2:$D$2878,B1676)</f>
        <v>1</v>
      </c>
      <c r="G1676" s="35" t="n">
        <f aca="false">SUMIF(Base!$D$2:$D$2878,B1676,Base!$I$2:$I$2878)</f>
        <v>336</v>
      </c>
      <c r="H1676" s="36" t="n">
        <f aca="false">IF($G$2849=0,0,G1676/$G$2849)</f>
        <v>2.20490680451919E-005</v>
      </c>
      <c r="I1676" s="37" t="n">
        <f aca="false">I1675+H1676</f>
        <v>0.990699455144956</v>
      </c>
      <c r="J1676" s="37" t="n">
        <f aca="false">A1676/2840</f>
        <v>0.587676056338028</v>
      </c>
      <c r="K1676" s="32" t="str">
        <f aca="false">IF(I1676&lt;=$E$4,"A",IF(I1676&lt;=$E$5,"B","C"))</f>
        <v>C</v>
      </c>
    </row>
    <row r="1677" customFormat="false" ht="15" hidden="false" customHeight="false" outlineLevel="0" collapsed="false">
      <c r="A1677" s="32" t="n">
        <v>1670</v>
      </c>
      <c r="B1677" s="33" t="n">
        <v>18858</v>
      </c>
      <c r="C1677" s="34" t="s">
        <v>3425</v>
      </c>
      <c r="D1677" s="34" t="s">
        <v>3426</v>
      </c>
      <c r="E1677" s="34" t="s">
        <v>247</v>
      </c>
      <c r="F1677" s="32" t="n">
        <f aca="false">COUNTIF(Base!$D$2:$D$2878,B1677)</f>
        <v>1</v>
      </c>
      <c r="G1677" s="35" t="n">
        <f aca="false">SUMIF(Base!$D$2:$D$2878,B1677,Base!$I$2:$I$2878)</f>
        <v>332.7</v>
      </c>
      <c r="H1677" s="36" t="n">
        <f aca="false">IF($G$2849=0,0,G1677/$G$2849)</f>
        <v>2.18325146983195E-005</v>
      </c>
      <c r="I1677" s="37" t="n">
        <f aca="false">I1676+H1677</f>
        <v>0.990721287659654</v>
      </c>
      <c r="J1677" s="37" t="n">
        <f aca="false">A1677/2840</f>
        <v>0.588028169014085</v>
      </c>
      <c r="K1677" s="32" t="str">
        <f aca="false">IF(I1677&lt;=$E$4,"A",IF(I1677&lt;=$E$5,"B","C"))</f>
        <v>C</v>
      </c>
    </row>
    <row r="1678" customFormat="false" ht="15" hidden="false" customHeight="false" outlineLevel="0" collapsed="false">
      <c r="A1678" s="32" t="n">
        <v>1671</v>
      </c>
      <c r="B1678" s="33" t="n">
        <v>34275</v>
      </c>
      <c r="C1678" s="34" t="s">
        <v>3427</v>
      </c>
      <c r="D1678" s="34" t="s">
        <v>3428</v>
      </c>
      <c r="E1678" s="34" t="s">
        <v>38</v>
      </c>
      <c r="F1678" s="32" t="n">
        <f aca="false">COUNTIF(Base!$D$2:$D$2878,B1678)</f>
        <v>1</v>
      </c>
      <c r="G1678" s="35" t="n">
        <f aca="false">SUMIF(Base!$D$2:$D$2878,B1678,Base!$I$2:$I$2878)</f>
        <v>331.99</v>
      </c>
      <c r="H1678" s="36" t="n">
        <f aca="false">IF($G$2849=0,0,G1678/$G$2849)</f>
        <v>2.17859229176288E-005</v>
      </c>
      <c r="I1678" s="37" t="n">
        <f aca="false">I1677+H1678</f>
        <v>0.990743073582572</v>
      </c>
      <c r="J1678" s="37" t="n">
        <f aca="false">A1678/2840</f>
        <v>0.588380281690141</v>
      </c>
      <c r="K1678" s="32" t="str">
        <f aca="false">IF(I1678&lt;=$E$4,"A",IF(I1678&lt;=$E$5,"B","C"))</f>
        <v>C</v>
      </c>
    </row>
    <row r="1679" customFormat="false" ht="15" hidden="false" customHeight="false" outlineLevel="0" collapsed="false">
      <c r="A1679" s="32" t="n">
        <v>1672</v>
      </c>
      <c r="B1679" s="33" t="n">
        <v>278456</v>
      </c>
      <c r="C1679" s="34" t="s">
        <v>3429</v>
      </c>
      <c r="D1679" s="34" t="s">
        <v>3430</v>
      </c>
      <c r="E1679" s="34" t="s">
        <v>38</v>
      </c>
      <c r="F1679" s="32" t="n">
        <f aca="false">COUNTIF(Base!$D$2:$D$2878,B1679)</f>
        <v>1</v>
      </c>
      <c r="G1679" s="35" t="n">
        <f aca="false">SUMIF(Base!$D$2:$D$2878,B1679,Base!$I$2:$I$2878)</f>
        <v>331.77</v>
      </c>
      <c r="H1679" s="36" t="n">
        <f aca="false">IF($G$2849=0,0,G1679/$G$2849)</f>
        <v>2.17714860278373E-005</v>
      </c>
      <c r="I1679" s="37" t="n">
        <f aca="false">I1678+H1679</f>
        <v>0.9907648450686</v>
      </c>
      <c r="J1679" s="37" t="n">
        <f aca="false">A1679/2840</f>
        <v>0.588732394366197</v>
      </c>
      <c r="K1679" s="32" t="str">
        <f aca="false">IF(I1679&lt;=$E$4,"A",IF(I1679&lt;=$E$5,"B","C"))</f>
        <v>C</v>
      </c>
    </row>
    <row r="1680" customFormat="false" ht="15" hidden="false" customHeight="false" outlineLevel="0" collapsed="false">
      <c r="A1680" s="32" t="n">
        <v>1673</v>
      </c>
      <c r="B1680" s="33" t="n">
        <v>840004</v>
      </c>
      <c r="C1680" s="34" t="s">
        <v>3431</v>
      </c>
      <c r="D1680" s="34" t="s">
        <v>3432</v>
      </c>
      <c r="E1680" s="34" t="s">
        <v>54</v>
      </c>
      <c r="F1680" s="32" t="n">
        <f aca="false">COUNTIF(Base!$D$2:$D$2878,B1680)</f>
        <v>1</v>
      </c>
      <c r="G1680" s="35" t="n">
        <f aca="false">SUMIF(Base!$D$2:$D$2878,B1680,Base!$I$2:$I$2878)</f>
        <v>331.43</v>
      </c>
      <c r="H1680" s="36" t="n">
        <f aca="false">IF($G$2849=0,0,G1680/$G$2849)</f>
        <v>2.17491744708868E-005</v>
      </c>
      <c r="I1680" s="37" t="n">
        <f aca="false">I1679+H1680</f>
        <v>0.990786594243071</v>
      </c>
      <c r="J1680" s="37" t="n">
        <f aca="false">A1680/2840</f>
        <v>0.589084507042254</v>
      </c>
      <c r="K1680" s="32" t="str">
        <f aca="false">IF(I1680&lt;=$E$4,"A",IF(I1680&lt;=$E$5,"B","C"))</f>
        <v>C</v>
      </c>
    </row>
    <row r="1681" customFormat="false" ht="15" hidden="false" customHeight="false" outlineLevel="0" collapsed="false">
      <c r="A1681" s="32" t="n">
        <v>1674</v>
      </c>
      <c r="B1681" s="33" t="n">
        <v>137049</v>
      </c>
      <c r="C1681" s="34" t="s">
        <v>3433</v>
      </c>
      <c r="D1681" s="34" t="s">
        <v>3434</v>
      </c>
      <c r="E1681" s="34" t="s">
        <v>38</v>
      </c>
      <c r="F1681" s="32" t="n">
        <f aca="false">COUNTIF(Base!$D$2:$D$2878,B1681)</f>
        <v>1</v>
      </c>
      <c r="G1681" s="35" t="n">
        <f aca="false">SUMIF(Base!$D$2:$D$2878,B1681,Base!$I$2:$I$2878)</f>
        <v>330</v>
      </c>
      <c r="H1681" s="36" t="n">
        <f aca="false">IF($G$2849=0,0,G1681/$G$2849)</f>
        <v>2.16553346872421E-005</v>
      </c>
      <c r="I1681" s="37" t="n">
        <f aca="false">I1680+H1681</f>
        <v>0.990808249577758</v>
      </c>
      <c r="J1681" s="37" t="n">
        <f aca="false">A1681/2840</f>
        <v>0.58943661971831</v>
      </c>
      <c r="K1681" s="32" t="str">
        <f aca="false">IF(I1681&lt;=$E$4,"A",IF(I1681&lt;=$E$5,"B","C"))</f>
        <v>C</v>
      </c>
    </row>
    <row r="1682" customFormat="false" ht="15" hidden="false" customHeight="false" outlineLevel="0" collapsed="false">
      <c r="A1682" s="32" t="n">
        <v>1675</v>
      </c>
      <c r="B1682" s="33" t="n">
        <v>561345</v>
      </c>
      <c r="C1682" s="34" t="s">
        <v>3435</v>
      </c>
      <c r="D1682" s="34" t="s">
        <v>3436</v>
      </c>
      <c r="E1682" s="34" t="s">
        <v>130</v>
      </c>
      <c r="F1682" s="32" t="n">
        <f aca="false">COUNTIF(Base!$D$2:$D$2878,B1682)</f>
        <v>1</v>
      </c>
      <c r="G1682" s="35" t="n">
        <f aca="false">SUMIF(Base!$D$2:$D$2878,B1682,Base!$I$2:$I$2878)</f>
        <v>330</v>
      </c>
      <c r="H1682" s="36" t="n">
        <f aca="false">IF($G$2849=0,0,G1682/$G$2849)</f>
        <v>2.16553346872421E-005</v>
      </c>
      <c r="I1682" s="37" t="n">
        <f aca="false">I1681+H1682</f>
        <v>0.990829904912445</v>
      </c>
      <c r="J1682" s="37" t="n">
        <f aca="false">A1682/2840</f>
        <v>0.589788732394366</v>
      </c>
      <c r="K1682" s="32" t="str">
        <f aca="false">IF(I1682&lt;=$E$4,"A",IF(I1682&lt;=$E$5,"B","C"))</f>
        <v>C</v>
      </c>
    </row>
    <row r="1683" customFormat="false" ht="15" hidden="false" customHeight="false" outlineLevel="0" collapsed="false">
      <c r="A1683" s="32" t="n">
        <v>1676</v>
      </c>
      <c r="B1683" s="33" t="n">
        <v>1465935</v>
      </c>
      <c r="C1683" s="34" t="s">
        <v>3437</v>
      </c>
      <c r="D1683" s="34" t="s">
        <v>3438</v>
      </c>
      <c r="E1683" s="34" t="s">
        <v>160</v>
      </c>
      <c r="F1683" s="32" t="n">
        <f aca="false">COUNTIF(Base!$D$2:$D$2878,B1683)</f>
        <v>1</v>
      </c>
      <c r="G1683" s="35" t="n">
        <f aca="false">SUMIF(Base!$D$2:$D$2878,B1683,Base!$I$2:$I$2878)</f>
        <v>330</v>
      </c>
      <c r="H1683" s="36" t="n">
        <f aca="false">IF($G$2849=0,0,G1683/$G$2849)</f>
        <v>2.16553346872421E-005</v>
      </c>
      <c r="I1683" s="37" t="n">
        <f aca="false">I1682+H1683</f>
        <v>0.990851560247132</v>
      </c>
      <c r="J1683" s="37" t="n">
        <f aca="false">A1683/2840</f>
        <v>0.590140845070423</v>
      </c>
      <c r="K1683" s="32" t="str">
        <f aca="false">IF(I1683&lt;=$E$4,"A",IF(I1683&lt;=$E$5,"B","C"))</f>
        <v>C</v>
      </c>
    </row>
    <row r="1684" customFormat="false" ht="15" hidden="false" customHeight="false" outlineLevel="0" collapsed="false">
      <c r="A1684" s="32" t="n">
        <v>1677</v>
      </c>
      <c r="B1684" s="33" t="n">
        <v>21289</v>
      </c>
      <c r="C1684" s="34" t="s">
        <v>3439</v>
      </c>
      <c r="D1684" s="34" t="s">
        <v>3440</v>
      </c>
      <c r="E1684" s="34" t="s">
        <v>705</v>
      </c>
      <c r="F1684" s="32" t="n">
        <f aca="false">COUNTIF(Base!$D$2:$D$2878,B1684)</f>
        <v>1</v>
      </c>
      <c r="G1684" s="35" t="n">
        <f aca="false">SUMIF(Base!$D$2:$D$2878,B1684,Base!$I$2:$I$2878)</f>
        <v>329.96</v>
      </c>
      <c r="H1684" s="36" t="n">
        <f aca="false">IF($G$2849=0,0,G1684/$G$2849)</f>
        <v>2.16527097981891E-005</v>
      </c>
      <c r="I1684" s="37" t="n">
        <f aca="false">I1683+H1684</f>
        <v>0.99087321295693</v>
      </c>
      <c r="J1684" s="37" t="n">
        <f aca="false">A1684/2840</f>
        <v>0.590492957746479</v>
      </c>
      <c r="K1684" s="32" t="str">
        <f aca="false">IF(I1684&lt;=$E$4,"A",IF(I1684&lt;=$E$5,"B","C"))</f>
        <v>C</v>
      </c>
    </row>
    <row r="1685" customFormat="false" ht="15" hidden="false" customHeight="false" outlineLevel="0" collapsed="false">
      <c r="A1685" s="32" t="n">
        <v>1678</v>
      </c>
      <c r="B1685" s="33" t="n">
        <v>292640</v>
      </c>
      <c r="C1685" s="34" t="s">
        <v>3441</v>
      </c>
      <c r="D1685" s="34" t="s">
        <v>3442</v>
      </c>
      <c r="E1685" s="34" t="s">
        <v>189</v>
      </c>
      <c r="F1685" s="32" t="n">
        <f aca="false">COUNTIF(Base!$D$2:$D$2878,B1685)</f>
        <v>1</v>
      </c>
      <c r="G1685" s="35" t="n">
        <f aca="false">SUMIF(Base!$D$2:$D$2878,B1685,Base!$I$2:$I$2878)</f>
        <v>329.94</v>
      </c>
      <c r="H1685" s="36" t="n">
        <f aca="false">IF($G$2849=0,0,G1685/$G$2849)</f>
        <v>2.16513973536626E-005</v>
      </c>
      <c r="I1685" s="37" t="n">
        <f aca="false">I1684+H1685</f>
        <v>0.990894864354284</v>
      </c>
      <c r="J1685" s="37" t="n">
        <f aca="false">A1685/2840</f>
        <v>0.590845070422535</v>
      </c>
      <c r="K1685" s="32" t="str">
        <f aca="false">IF(I1685&lt;=$E$4,"A",IF(I1685&lt;=$E$5,"B","C"))</f>
        <v>C</v>
      </c>
    </row>
    <row r="1686" customFormat="false" ht="15" hidden="false" customHeight="false" outlineLevel="0" collapsed="false">
      <c r="A1686" s="32" t="n">
        <v>1679</v>
      </c>
      <c r="B1686" s="33" t="n">
        <v>743781</v>
      </c>
      <c r="C1686" s="34" t="s">
        <v>3443</v>
      </c>
      <c r="D1686" s="34" t="s">
        <v>3444</v>
      </c>
      <c r="E1686" s="34" t="s">
        <v>38</v>
      </c>
      <c r="F1686" s="32" t="n">
        <f aca="false">COUNTIF(Base!$D$2:$D$2878,B1686)</f>
        <v>1</v>
      </c>
      <c r="G1686" s="35" t="n">
        <f aca="false">SUMIF(Base!$D$2:$D$2878,B1686,Base!$I$2:$I$2878)</f>
        <v>329.8</v>
      </c>
      <c r="H1686" s="36" t="n">
        <f aca="false">IF($G$2849=0,0,G1686/$G$2849)</f>
        <v>2.16422102419771E-005</v>
      </c>
      <c r="I1686" s="37" t="n">
        <f aca="false">I1685+H1686</f>
        <v>0.990916506564526</v>
      </c>
      <c r="J1686" s="37" t="n">
        <f aca="false">A1686/2840</f>
        <v>0.591197183098592</v>
      </c>
      <c r="K1686" s="32" t="str">
        <f aca="false">IF(I1686&lt;=$E$4,"A",IF(I1686&lt;=$E$5,"B","C"))</f>
        <v>C</v>
      </c>
    </row>
    <row r="1687" customFormat="false" ht="15" hidden="false" customHeight="false" outlineLevel="0" collapsed="false">
      <c r="A1687" s="32" t="n">
        <v>1680</v>
      </c>
      <c r="B1687" s="33" t="n">
        <v>33548</v>
      </c>
      <c r="C1687" s="34" t="s">
        <v>3445</v>
      </c>
      <c r="D1687" s="34" t="s">
        <v>3446</v>
      </c>
      <c r="E1687" s="34" t="s">
        <v>54</v>
      </c>
      <c r="F1687" s="32" t="n">
        <f aca="false">COUNTIF(Base!$D$2:$D$2878,B1687)</f>
        <v>1</v>
      </c>
      <c r="G1687" s="35" t="n">
        <f aca="false">SUMIF(Base!$D$2:$D$2878,B1687,Base!$I$2:$I$2878)</f>
        <v>329.56</v>
      </c>
      <c r="H1687" s="36" t="n">
        <f aca="false">IF($G$2849=0,0,G1687/$G$2849)</f>
        <v>2.16264609076591E-005</v>
      </c>
      <c r="I1687" s="37" t="n">
        <f aca="false">I1686+H1687</f>
        <v>0.990938133025434</v>
      </c>
      <c r="J1687" s="37" t="n">
        <f aca="false">A1687/2840</f>
        <v>0.591549295774648</v>
      </c>
      <c r="K1687" s="32" t="str">
        <f aca="false">IF(I1687&lt;=$E$4,"A",IF(I1687&lt;=$E$5,"B","C"))</f>
        <v>C</v>
      </c>
    </row>
    <row r="1688" customFormat="false" ht="15" hidden="false" customHeight="false" outlineLevel="0" collapsed="false">
      <c r="A1688" s="32" t="n">
        <v>1681</v>
      </c>
      <c r="B1688" s="33" t="n">
        <v>58305</v>
      </c>
      <c r="C1688" s="34" t="s">
        <v>3447</v>
      </c>
      <c r="D1688" s="34" t="s">
        <v>3448</v>
      </c>
      <c r="E1688" s="34" t="s">
        <v>262</v>
      </c>
      <c r="F1688" s="32" t="n">
        <f aca="false">COUNTIF(Base!$D$2:$D$2878,B1688)</f>
        <v>1</v>
      </c>
      <c r="G1688" s="35" t="n">
        <f aca="false">SUMIF(Base!$D$2:$D$2878,B1688,Base!$I$2:$I$2878)</f>
        <v>329.56</v>
      </c>
      <c r="H1688" s="36" t="n">
        <f aca="false">IF($G$2849=0,0,G1688/$G$2849)</f>
        <v>2.16264609076591E-005</v>
      </c>
      <c r="I1688" s="37" t="n">
        <f aca="false">I1687+H1688</f>
        <v>0.990959759486341</v>
      </c>
      <c r="J1688" s="37" t="n">
        <f aca="false">A1688/2840</f>
        <v>0.591901408450704</v>
      </c>
      <c r="K1688" s="32" t="str">
        <f aca="false">IF(I1688&lt;=$E$4,"A",IF(I1688&lt;=$E$5,"B","C"))</f>
        <v>C</v>
      </c>
    </row>
    <row r="1689" customFormat="false" ht="15" hidden="false" customHeight="false" outlineLevel="0" collapsed="false">
      <c r="A1689" s="32" t="n">
        <v>1682</v>
      </c>
      <c r="B1689" s="33" t="n">
        <v>16961</v>
      </c>
      <c r="C1689" s="34" t="s">
        <v>3449</v>
      </c>
      <c r="D1689" s="34" t="s">
        <v>3450</v>
      </c>
      <c r="E1689" s="34" t="s">
        <v>100</v>
      </c>
      <c r="F1689" s="32" t="n">
        <f aca="false">COUNTIF(Base!$D$2:$D$2878,B1689)</f>
        <v>1</v>
      </c>
      <c r="G1689" s="35" t="n">
        <f aca="false">SUMIF(Base!$D$2:$D$2878,B1689,Base!$I$2:$I$2878)</f>
        <v>329.34</v>
      </c>
      <c r="H1689" s="36" t="n">
        <f aca="false">IF($G$2849=0,0,G1689/$G$2849)</f>
        <v>2.16120240178676E-005</v>
      </c>
      <c r="I1689" s="37" t="n">
        <f aca="false">I1688+H1689</f>
        <v>0.990981371510359</v>
      </c>
      <c r="J1689" s="37" t="n">
        <f aca="false">A1689/2840</f>
        <v>0.592253521126761</v>
      </c>
      <c r="K1689" s="32" t="str">
        <f aca="false">IF(I1689&lt;=$E$4,"A",IF(I1689&lt;=$E$5,"B","C"))</f>
        <v>C</v>
      </c>
    </row>
    <row r="1690" customFormat="false" ht="15" hidden="false" customHeight="false" outlineLevel="0" collapsed="false">
      <c r="A1690" s="32" t="n">
        <v>1683</v>
      </c>
      <c r="B1690" s="33" t="n">
        <v>1383568</v>
      </c>
      <c r="C1690" s="34" t="s">
        <v>3451</v>
      </c>
      <c r="D1690" s="34" t="s">
        <v>3452</v>
      </c>
      <c r="E1690" s="34" t="s">
        <v>38</v>
      </c>
      <c r="F1690" s="32" t="n">
        <f aca="false">COUNTIF(Base!$D$2:$D$2878,B1690)</f>
        <v>1</v>
      </c>
      <c r="G1690" s="35" t="n">
        <f aca="false">SUMIF(Base!$D$2:$D$2878,B1690,Base!$I$2:$I$2878)</f>
        <v>328.25</v>
      </c>
      <c r="H1690" s="36" t="n">
        <f aca="false">IF($G$2849=0,0,G1690/$G$2849)</f>
        <v>2.15404957911734E-005</v>
      </c>
      <c r="I1690" s="37" t="n">
        <f aca="false">I1689+H1690</f>
        <v>0.99100291200615</v>
      </c>
      <c r="J1690" s="37" t="n">
        <f aca="false">A1690/2840</f>
        <v>0.592605633802817</v>
      </c>
      <c r="K1690" s="32" t="str">
        <f aca="false">IF(I1690&lt;=$E$4,"A",IF(I1690&lt;=$E$5,"B","C"))</f>
        <v>C</v>
      </c>
    </row>
    <row r="1691" customFormat="false" ht="15" hidden="false" customHeight="false" outlineLevel="0" collapsed="false">
      <c r="A1691" s="32" t="n">
        <v>1684</v>
      </c>
      <c r="B1691" s="33" t="n">
        <v>748231</v>
      </c>
      <c r="C1691" s="34" t="s">
        <v>3453</v>
      </c>
      <c r="D1691" s="34" t="s">
        <v>3454</v>
      </c>
      <c r="E1691" s="34" t="s">
        <v>93</v>
      </c>
      <c r="F1691" s="32" t="n">
        <f aca="false">COUNTIF(Base!$D$2:$D$2878,B1691)</f>
        <v>1</v>
      </c>
      <c r="G1691" s="35" t="n">
        <f aca="false">SUMIF(Base!$D$2:$D$2878,B1691,Base!$I$2:$I$2878)</f>
        <v>327.19</v>
      </c>
      <c r="H1691" s="36" t="n">
        <f aca="false">IF($G$2849=0,0,G1691/$G$2849)</f>
        <v>2.14709362312689E-005</v>
      </c>
      <c r="I1691" s="37" t="n">
        <f aca="false">I1690+H1691</f>
        <v>0.991024382942382</v>
      </c>
      <c r="J1691" s="37" t="n">
        <f aca="false">A1691/2840</f>
        <v>0.592957746478873</v>
      </c>
      <c r="K1691" s="32" t="str">
        <f aca="false">IF(I1691&lt;=$E$4,"A",IF(I1691&lt;=$E$5,"B","C"))</f>
        <v>C</v>
      </c>
    </row>
    <row r="1692" customFormat="false" ht="15" hidden="false" customHeight="false" outlineLevel="0" collapsed="false">
      <c r="A1692" s="32" t="n">
        <v>1685</v>
      </c>
      <c r="B1692" s="33" t="n">
        <v>19810</v>
      </c>
      <c r="C1692" s="34" t="s">
        <v>3455</v>
      </c>
      <c r="D1692" s="34" t="s">
        <v>3456</v>
      </c>
      <c r="E1692" s="34" t="s">
        <v>605</v>
      </c>
      <c r="F1692" s="32" t="n">
        <f aca="false">COUNTIF(Base!$D$2:$D$2878,B1692)</f>
        <v>1</v>
      </c>
      <c r="G1692" s="35" t="n">
        <f aca="false">SUMIF(Base!$D$2:$D$2878,B1692,Base!$I$2:$I$2878)</f>
        <v>327.05</v>
      </c>
      <c r="H1692" s="36" t="n">
        <f aca="false">IF($G$2849=0,0,G1692/$G$2849)</f>
        <v>2.14617491195834E-005</v>
      </c>
      <c r="I1692" s="37" t="n">
        <f aca="false">I1691+H1692</f>
        <v>0.991045844691501</v>
      </c>
      <c r="J1692" s="37" t="n">
        <f aca="false">A1692/2840</f>
        <v>0.59330985915493</v>
      </c>
      <c r="K1692" s="32" t="str">
        <f aca="false">IF(I1692&lt;=$E$4,"A",IF(I1692&lt;=$E$5,"B","C"))</f>
        <v>C</v>
      </c>
    </row>
    <row r="1693" customFormat="false" ht="15" hidden="false" customHeight="false" outlineLevel="0" collapsed="false">
      <c r="A1693" s="32" t="n">
        <v>1686</v>
      </c>
      <c r="B1693" s="33" t="n">
        <v>19616</v>
      </c>
      <c r="C1693" s="34" t="s">
        <v>3457</v>
      </c>
      <c r="D1693" s="34" t="s">
        <v>3458</v>
      </c>
      <c r="E1693" s="34" t="s">
        <v>1095</v>
      </c>
      <c r="F1693" s="32" t="n">
        <f aca="false">COUNTIF(Base!$D$2:$D$2878,B1693)</f>
        <v>1</v>
      </c>
      <c r="G1693" s="35" t="n">
        <f aca="false">SUMIF(Base!$D$2:$D$2878,B1693,Base!$I$2:$I$2878)</f>
        <v>325.92</v>
      </c>
      <c r="H1693" s="36" t="n">
        <f aca="false">IF($G$2849=0,0,G1693/$G$2849)</f>
        <v>2.13875960038362E-005</v>
      </c>
      <c r="I1693" s="37" t="n">
        <f aca="false">I1692+H1693</f>
        <v>0.991067232287505</v>
      </c>
      <c r="J1693" s="37" t="n">
        <f aca="false">A1693/2840</f>
        <v>0.593661971830986</v>
      </c>
      <c r="K1693" s="32" t="str">
        <f aca="false">IF(I1693&lt;=$E$4,"A",IF(I1693&lt;=$E$5,"B","C"))</f>
        <v>C</v>
      </c>
    </row>
    <row r="1694" customFormat="false" ht="15" hidden="false" customHeight="false" outlineLevel="0" collapsed="false">
      <c r="A1694" s="32" t="n">
        <v>1687</v>
      </c>
      <c r="B1694" s="33" t="n">
        <v>32241</v>
      </c>
      <c r="C1694" s="34" t="s">
        <v>3459</v>
      </c>
      <c r="D1694" s="34" t="s">
        <v>3460</v>
      </c>
      <c r="E1694" s="34" t="s">
        <v>457</v>
      </c>
      <c r="F1694" s="32" t="n">
        <f aca="false">COUNTIF(Base!$D$2:$D$2878,B1694)</f>
        <v>1</v>
      </c>
      <c r="G1694" s="35" t="n">
        <f aca="false">SUMIF(Base!$D$2:$D$2878,B1694,Base!$I$2:$I$2878)</f>
        <v>325.6088</v>
      </c>
      <c r="H1694" s="36" t="n">
        <f aca="false">IF($G$2849=0,0,G1694/$G$2849)</f>
        <v>2.13671743670038E-005</v>
      </c>
      <c r="I1694" s="37" t="n">
        <f aca="false">I1693+H1694</f>
        <v>0.991088599461872</v>
      </c>
      <c r="J1694" s="37" t="n">
        <f aca="false">A1694/2840</f>
        <v>0.594014084507042</v>
      </c>
      <c r="K1694" s="32" t="str">
        <f aca="false">IF(I1694&lt;=$E$4,"A",IF(I1694&lt;=$E$5,"B","C"))</f>
        <v>C</v>
      </c>
    </row>
    <row r="1695" customFormat="false" ht="15" hidden="false" customHeight="false" outlineLevel="0" collapsed="false">
      <c r="A1695" s="32" t="n">
        <v>1688</v>
      </c>
      <c r="B1695" s="33" t="n">
        <v>1607242</v>
      </c>
      <c r="C1695" s="34" t="s">
        <v>3461</v>
      </c>
      <c r="D1695" s="34" t="s">
        <v>3462</v>
      </c>
      <c r="E1695" s="34" t="s">
        <v>54</v>
      </c>
      <c r="F1695" s="32" t="n">
        <f aca="false">COUNTIF(Base!$D$2:$D$2878,B1695)</f>
        <v>1</v>
      </c>
      <c r="G1695" s="35" t="n">
        <f aca="false">SUMIF(Base!$D$2:$D$2878,B1695,Base!$I$2:$I$2878)</f>
        <v>324.9</v>
      </c>
      <c r="H1695" s="36" t="n">
        <f aca="false">IF($G$2849=0,0,G1695/$G$2849)</f>
        <v>2.13206613329847E-005</v>
      </c>
      <c r="I1695" s="37" t="n">
        <f aca="false">I1694+H1695</f>
        <v>0.991109920123205</v>
      </c>
      <c r="J1695" s="37" t="n">
        <f aca="false">A1695/2840</f>
        <v>0.594366197183099</v>
      </c>
      <c r="K1695" s="32" t="str">
        <f aca="false">IF(I1695&lt;=$E$4,"A",IF(I1695&lt;=$E$5,"B","C"))</f>
        <v>C</v>
      </c>
    </row>
    <row r="1696" customFormat="false" ht="15" hidden="false" customHeight="false" outlineLevel="0" collapsed="false">
      <c r="A1696" s="32" t="n">
        <v>1689</v>
      </c>
      <c r="B1696" s="33" t="n">
        <v>35386</v>
      </c>
      <c r="C1696" s="34" t="s">
        <v>3463</v>
      </c>
      <c r="D1696" s="34" t="s">
        <v>3464</v>
      </c>
      <c r="E1696" s="34" t="s">
        <v>334</v>
      </c>
      <c r="F1696" s="32" t="n">
        <f aca="false">COUNTIF(Base!$D$2:$D$2878,B1696)</f>
        <v>1</v>
      </c>
      <c r="G1696" s="35" t="n">
        <f aca="false">SUMIF(Base!$D$2:$D$2878,B1696,Base!$I$2:$I$2878)</f>
        <v>323.4</v>
      </c>
      <c r="H1696" s="36" t="n">
        <f aca="false">IF($G$2849=0,0,G1696/$G$2849)</f>
        <v>2.12222279934972E-005</v>
      </c>
      <c r="I1696" s="37" t="n">
        <f aca="false">I1695+H1696</f>
        <v>0.991131142351198</v>
      </c>
      <c r="J1696" s="37" t="n">
        <f aca="false">A1696/2840</f>
        <v>0.594718309859155</v>
      </c>
      <c r="K1696" s="32" t="str">
        <f aca="false">IF(I1696&lt;=$E$4,"A",IF(I1696&lt;=$E$5,"B","C"))</f>
        <v>C</v>
      </c>
    </row>
    <row r="1697" customFormat="false" ht="15" hidden="false" customHeight="false" outlineLevel="0" collapsed="false">
      <c r="A1697" s="32" t="n">
        <v>1690</v>
      </c>
      <c r="B1697" s="33" t="n">
        <v>23699</v>
      </c>
      <c r="C1697" s="34" t="s">
        <v>3465</v>
      </c>
      <c r="D1697" s="34" t="s">
        <v>3466</v>
      </c>
      <c r="E1697" s="34" t="s">
        <v>189</v>
      </c>
      <c r="F1697" s="32" t="n">
        <f aca="false">COUNTIF(Base!$D$2:$D$2878,B1697)</f>
        <v>1</v>
      </c>
      <c r="G1697" s="35" t="n">
        <f aca="false">SUMIF(Base!$D$2:$D$2878,B1697,Base!$I$2:$I$2878)</f>
        <v>322.2</v>
      </c>
      <c r="H1697" s="36" t="n">
        <f aca="false">IF($G$2849=0,0,G1697/$G$2849)</f>
        <v>2.11434813219073E-005</v>
      </c>
      <c r="I1697" s="37" t="n">
        <f aca="false">I1696+H1697</f>
        <v>0.99115228583252</v>
      </c>
      <c r="J1697" s="37" t="n">
        <f aca="false">A1697/2840</f>
        <v>0.595070422535211</v>
      </c>
      <c r="K1697" s="32" t="str">
        <f aca="false">IF(I1697&lt;=$E$4,"A",IF(I1697&lt;=$E$5,"B","C"))</f>
        <v>C</v>
      </c>
    </row>
    <row r="1698" customFormat="false" ht="15" hidden="false" customHeight="false" outlineLevel="0" collapsed="false">
      <c r="A1698" s="32" t="n">
        <v>1691</v>
      </c>
      <c r="B1698" s="33" t="n">
        <v>750355</v>
      </c>
      <c r="C1698" s="34" t="s">
        <v>3467</v>
      </c>
      <c r="D1698" s="34" t="s">
        <v>3468</v>
      </c>
      <c r="E1698" s="34" t="s">
        <v>1618</v>
      </c>
      <c r="F1698" s="32" t="n">
        <f aca="false">COUNTIF(Base!$D$2:$D$2878,B1698)</f>
        <v>1</v>
      </c>
      <c r="G1698" s="35" t="n">
        <f aca="false">SUMIF(Base!$D$2:$D$2878,B1698,Base!$I$2:$I$2878)</f>
        <v>321.7</v>
      </c>
      <c r="H1698" s="36" t="n">
        <f aca="false">IF($G$2849=0,0,G1698/$G$2849)</f>
        <v>2.11106702087448E-005</v>
      </c>
      <c r="I1698" s="37" t="n">
        <f aca="false">I1697+H1698</f>
        <v>0.991173396502729</v>
      </c>
      <c r="J1698" s="37" t="n">
        <f aca="false">A1698/2840</f>
        <v>0.595422535211268</v>
      </c>
      <c r="K1698" s="32" t="str">
        <f aca="false">IF(I1698&lt;=$E$4,"A",IF(I1698&lt;=$E$5,"B","C"))</f>
        <v>C</v>
      </c>
    </row>
    <row r="1699" customFormat="false" ht="15" hidden="false" customHeight="false" outlineLevel="0" collapsed="false">
      <c r="A1699" s="32" t="n">
        <v>1692</v>
      </c>
      <c r="B1699" s="33" t="n">
        <v>23124</v>
      </c>
      <c r="C1699" s="34" t="s">
        <v>3469</v>
      </c>
      <c r="D1699" s="34" t="s">
        <v>3470</v>
      </c>
      <c r="E1699" s="34" t="s">
        <v>457</v>
      </c>
      <c r="F1699" s="32" t="n">
        <f aca="false">COUNTIF(Base!$D$2:$D$2878,B1699)</f>
        <v>1</v>
      </c>
      <c r="G1699" s="35" t="n">
        <f aca="false">SUMIF(Base!$D$2:$D$2878,B1699,Base!$I$2:$I$2878)</f>
        <v>321.4165</v>
      </c>
      <c r="H1699" s="36" t="n">
        <f aca="false">IF($G$2849=0,0,G1699/$G$2849)</f>
        <v>2.10920663075817E-005</v>
      </c>
      <c r="I1699" s="37" t="n">
        <f aca="false">I1698+H1699</f>
        <v>0.991194488569037</v>
      </c>
      <c r="J1699" s="37" t="n">
        <f aca="false">A1699/2840</f>
        <v>0.595774647887324</v>
      </c>
      <c r="K1699" s="32" t="str">
        <f aca="false">IF(I1699&lt;=$E$4,"A",IF(I1699&lt;=$E$5,"B","C"))</f>
        <v>C</v>
      </c>
    </row>
    <row r="1700" customFormat="false" ht="15" hidden="false" customHeight="false" outlineLevel="0" collapsed="false">
      <c r="A1700" s="32" t="n">
        <v>1693</v>
      </c>
      <c r="B1700" s="33" t="n">
        <v>852408</v>
      </c>
      <c r="C1700" s="34" t="s">
        <v>3471</v>
      </c>
      <c r="D1700" s="34" t="s">
        <v>3472</v>
      </c>
      <c r="E1700" s="34" t="s">
        <v>637</v>
      </c>
      <c r="F1700" s="32" t="n">
        <f aca="false">COUNTIF(Base!$D$2:$D$2878,B1700)</f>
        <v>1</v>
      </c>
      <c r="G1700" s="35" t="n">
        <f aca="false">SUMIF(Base!$D$2:$D$2878,B1700,Base!$I$2:$I$2878)</f>
        <v>321.21</v>
      </c>
      <c r="H1700" s="36" t="n">
        <f aca="false">IF($G$2849=0,0,G1700/$G$2849)</f>
        <v>2.10785153178455E-005</v>
      </c>
      <c r="I1700" s="37" t="n">
        <f aca="false">I1699+H1700</f>
        <v>0.991215567084354</v>
      </c>
      <c r="J1700" s="37" t="n">
        <f aca="false">A1700/2840</f>
        <v>0.59612676056338</v>
      </c>
      <c r="K1700" s="32" t="str">
        <f aca="false">IF(I1700&lt;=$E$4,"A",IF(I1700&lt;=$E$5,"B","C"))</f>
        <v>C</v>
      </c>
    </row>
    <row r="1701" customFormat="false" ht="15" hidden="false" customHeight="false" outlineLevel="0" collapsed="false">
      <c r="A1701" s="32" t="n">
        <v>1694</v>
      </c>
      <c r="B1701" s="33" t="n">
        <v>58874</v>
      </c>
      <c r="C1701" s="34" t="s">
        <v>3473</v>
      </c>
      <c r="D1701" s="34" t="s">
        <v>3474</v>
      </c>
      <c r="E1701" s="34" t="s">
        <v>130</v>
      </c>
      <c r="F1701" s="32" t="n">
        <f aca="false">COUNTIF(Base!$D$2:$D$2878,B1701)</f>
        <v>1</v>
      </c>
      <c r="G1701" s="35" t="n">
        <f aca="false">SUMIF(Base!$D$2:$D$2878,B1701,Base!$I$2:$I$2878)</f>
        <v>320.36</v>
      </c>
      <c r="H1701" s="36" t="n">
        <f aca="false">IF($G$2849=0,0,G1701/$G$2849)</f>
        <v>2.10227364254693E-005</v>
      </c>
      <c r="I1701" s="37" t="n">
        <f aca="false">I1700+H1701</f>
        <v>0.99123658982078</v>
      </c>
      <c r="J1701" s="37" t="n">
        <f aca="false">A1701/2840</f>
        <v>0.596478873239437</v>
      </c>
      <c r="K1701" s="32" t="str">
        <f aca="false">IF(I1701&lt;=$E$4,"A",IF(I1701&lt;=$E$5,"B","C"))</f>
        <v>C</v>
      </c>
    </row>
    <row r="1702" customFormat="false" ht="15" hidden="false" customHeight="false" outlineLevel="0" collapsed="false">
      <c r="A1702" s="32" t="n">
        <v>1695</v>
      </c>
      <c r="B1702" s="33" t="n">
        <v>1685481</v>
      </c>
      <c r="C1702" s="34" t="s">
        <v>3475</v>
      </c>
      <c r="D1702" s="34" t="s">
        <v>3476</v>
      </c>
      <c r="E1702" s="34" t="s">
        <v>54</v>
      </c>
      <c r="F1702" s="32" t="n">
        <f aca="false">COUNTIF(Base!$D$2:$D$2878,B1702)</f>
        <v>1</v>
      </c>
      <c r="G1702" s="35" t="n">
        <f aca="false">SUMIF(Base!$D$2:$D$2878,B1702,Base!$I$2:$I$2878)</f>
        <v>319.96</v>
      </c>
      <c r="H1702" s="36" t="n">
        <f aca="false">IF($G$2849=0,0,G1702/$G$2849)</f>
        <v>2.09964875349393E-005</v>
      </c>
      <c r="I1702" s="37" t="n">
        <f aca="false">I1701+H1702</f>
        <v>0.991257586308315</v>
      </c>
      <c r="J1702" s="37" t="n">
        <f aca="false">A1702/2840</f>
        <v>0.596830985915493</v>
      </c>
      <c r="K1702" s="32" t="str">
        <f aca="false">IF(I1702&lt;=$E$4,"A",IF(I1702&lt;=$E$5,"B","C"))</f>
        <v>C</v>
      </c>
    </row>
    <row r="1703" customFormat="false" ht="15" hidden="false" customHeight="false" outlineLevel="0" collapsed="false">
      <c r="A1703" s="32" t="n">
        <v>1696</v>
      </c>
      <c r="B1703" s="33" t="n">
        <v>734571</v>
      </c>
      <c r="C1703" s="34" t="s">
        <v>3477</v>
      </c>
      <c r="D1703" s="34" t="s">
        <v>3478</v>
      </c>
      <c r="E1703" s="34" t="s">
        <v>130</v>
      </c>
      <c r="F1703" s="32" t="n">
        <f aca="false">COUNTIF(Base!$D$2:$D$2878,B1703)</f>
        <v>1</v>
      </c>
      <c r="G1703" s="35" t="n">
        <f aca="false">SUMIF(Base!$D$2:$D$2878,B1703,Base!$I$2:$I$2878)</f>
        <v>319.5</v>
      </c>
      <c r="H1703" s="36" t="n">
        <f aca="false">IF($G$2849=0,0,G1703/$G$2849)</f>
        <v>2.09663013108298E-005</v>
      </c>
      <c r="I1703" s="37" t="n">
        <f aca="false">I1702+H1703</f>
        <v>0.991278552609626</v>
      </c>
      <c r="J1703" s="37" t="n">
        <f aca="false">A1703/2840</f>
        <v>0.597183098591549</v>
      </c>
      <c r="K1703" s="32" t="str">
        <f aca="false">IF(I1703&lt;=$E$4,"A",IF(I1703&lt;=$E$5,"B","C"))</f>
        <v>C</v>
      </c>
    </row>
    <row r="1704" customFormat="false" ht="15" hidden="false" customHeight="false" outlineLevel="0" collapsed="false">
      <c r="A1704" s="32" t="n">
        <v>1697</v>
      </c>
      <c r="B1704" s="33" t="n">
        <v>962258</v>
      </c>
      <c r="C1704" s="34" t="s">
        <v>3479</v>
      </c>
      <c r="D1704" s="34" t="s">
        <v>3480</v>
      </c>
      <c r="E1704" s="34" t="s">
        <v>705</v>
      </c>
      <c r="F1704" s="32" t="n">
        <f aca="false">COUNTIF(Base!$D$2:$D$2878,B1704)</f>
        <v>1</v>
      </c>
      <c r="G1704" s="35" t="n">
        <f aca="false">SUMIF(Base!$D$2:$D$2878,B1704,Base!$I$2:$I$2878)</f>
        <v>318</v>
      </c>
      <c r="H1704" s="36" t="n">
        <f aca="false">IF($G$2849=0,0,G1704/$G$2849)</f>
        <v>2.08678679713424E-005</v>
      </c>
      <c r="I1704" s="37" t="n">
        <f aca="false">I1703+H1704</f>
        <v>0.991299420477597</v>
      </c>
      <c r="J1704" s="37" t="n">
        <f aca="false">A1704/2840</f>
        <v>0.597535211267606</v>
      </c>
      <c r="K1704" s="32" t="str">
        <f aca="false">IF(I1704&lt;=$E$4,"A",IF(I1704&lt;=$E$5,"B","C"))</f>
        <v>C</v>
      </c>
    </row>
    <row r="1705" customFormat="false" ht="15" hidden="false" customHeight="false" outlineLevel="0" collapsed="false">
      <c r="A1705" s="32" t="n">
        <v>1698</v>
      </c>
      <c r="B1705" s="33" t="n">
        <v>965629</v>
      </c>
      <c r="C1705" s="34" t="s">
        <v>3481</v>
      </c>
      <c r="D1705" s="34" t="s">
        <v>3482</v>
      </c>
      <c r="E1705" s="34" t="s">
        <v>38</v>
      </c>
      <c r="F1705" s="32" t="n">
        <f aca="false">COUNTIF(Base!$D$2:$D$2878,B1705)</f>
        <v>1</v>
      </c>
      <c r="G1705" s="35" t="n">
        <f aca="false">SUMIF(Base!$D$2:$D$2878,B1705,Base!$I$2:$I$2878)</f>
        <v>318</v>
      </c>
      <c r="H1705" s="36" t="n">
        <f aca="false">IF($G$2849=0,0,G1705/$G$2849)</f>
        <v>2.08678679713424E-005</v>
      </c>
      <c r="I1705" s="37" t="n">
        <f aca="false">I1704+H1705</f>
        <v>0.991320288345569</v>
      </c>
      <c r="J1705" s="37" t="n">
        <f aca="false">A1705/2840</f>
        <v>0.597887323943662</v>
      </c>
      <c r="K1705" s="32" t="str">
        <f aca="false">IF(I1705&lt;=$E$4,"A",IF(I1705&lt;=$E$5,"B","C"))</f>
        <v>C</v>
      </c>
    </row>
    <row r="1706" customFormat="false" ht="15" hidden="false" customHeight="false" outlineLevel="0" collapsed="false">
      <c r="A1706" s="32" t="n">
        <v>1699</v>
      </c>
      <c r="B1706" s="33" t="n">
        <v>1461942</v>
      </c>
      <c r="C1706" s="34" t="s">
        <v>3483</v>
      </c>
      <c r="D1706" s="34" t="s">
        <v>3484</v>
      </c>
      <c r="E1706" s="34" t="s">
        <v>38</v>
      </c>
      <c r="F1706" s="32" t="n">
        <f aca="false">COUNTIF(Base!$D$2:$D$2878,B1706)</f>
        <v>1</v>
      </c>
      <c r="G1706" s="35" t="n">
        <f aca="false">SUMIF(Base!$D$2:$D$2878,B1706,Base!$I$2:$I$2878)</f>
        <v>318</v>
      </c>
      <c r="H1706" s="36" t="n">
        <f aca="false">IF($G$2849=0,0,G1706/$G$2849)</f>
        <v>2.08678679713424E-005</v>
      </c>
      <c r="I1706" s="37" t="n">
        <f aca="false">I1705+H1706</f>
        <v>0.99134115621354</v>
      </c>
      <c r="J1706" s="37" t="n">
        <f aca="false">A1706/2840</f>
        <v>0.598239436619718</v>
      </c>
      <c r="K1706" s="32" t="str">
        <f aca="false">IF(I1706&lt;=$E$4,"A",IF(I1706&lt;=$E$5,"B","C"))</f>
        <v>C</v>
      </c>
    </row>
    <row r="1707" customFormat="false" ht="15" hidden="false" customHeight="false" outlineLevel="0" collapsed="false">
      <c r="A1707" s="32" t="n">
        <v>1700</v>
      </c>
      <c r="B1707" s="33" t="n">
        <v>16730</v>
      </c>
      <c r="C1707" s="34" t="s">
        <v>3485</v>
      </c>
      <c r="D1707" s="34" t="s">
        <v>3486</v>
      </c>
      <c r="E1707" s="34" t="s">
        <v>100</v>
      </c>
      <c r="F1707" s="32" t="n">
        <f aca="false">COUNTIF(Base!$D$2:$D$2878,B1707)</f>
        <v>1</v>
      </c>
      <c r="G1707" s="35" t="n">
        <f aca="false">SUMIF(Base!$D$2:$D$2878,B1707,Base!$I$2:$I$2878)</f>
        <v>317.1426</v>
      </c>
      <c r="H1707" s="36" t="n">
        <f aca="false">IF($G$2849=0,0,G1707/$G$2849)</f>
        <v>2.08116034744913E-005</v>
      </c>
      <c r="I1707" s="37" t="n">
        <f aca="false">I1706+H1707</f>
        <v>0.991361967817014</v>
      </c>
      <c r="J1707" s="37" t="n">
        <f aca="false">A1707/2840</f>
        <v>0.598591549295775</v>
      </c>
      <c r="K1707" s="32" t="str">
        <f aca="false">IF(I1707&lt;=$E$4,"A",IF(I1707&lt;=$E$5,"B","C"))</f>
        <v>C</v>
      </c>
    </row>
    <row r="1708" customFormat="false" ht="15" hidden="false" customHeight="false" outlineLevel="0" collapsed="false">
      <c r="A1708" s="32" t="n">
        <v>1701</v>
      </c>
      <c r="B1708" s="33" t="n">
        <v>1104586</v>
      </c>
      <c r="C1708" s="34" t="s">
        <v>3487</v>
      </c>
      <c r="D1708" s="34" t="s">
        <v>3488</v>
      </c>
      <c r="E1708" s="34" t="s">
        <v>835</v>
      </c>
      <c r="F1708" s="32" t="n">
        <f aca="false">COUNTIF(Base!$D$2:$D$2878,B1708)</f>
        <v>1</v>
      </c>
      <c r="G1708" s="35" t="n">
        <f aca="false">SUMIF(Base!$D$2:$D$2878,B1708,Base!$I$2:$I$2878)</f>
        <v>316.8</v>
      </c>
      <c r="H1708" s="36" t="n">
        <f aca="false">IF($G$2849=0,0,G1708/$G$2849)</f>
        <v>2.07891212997524E-005</v>
      </c>
      <c r="I1708" s="37" t="n">
        <f aca="false">I1707+H1708</f>
        <v>0.991382756938314</v>
      </c>
      <c r="J1708" s="37" t="n">
        <f aca="false">A1708/2840</f>
        <v>0.598943661971831</v>
      </c>
      <c r="K1708" s="32" t="str">
        <f aca="false">IF(I1708&lt;=$E$4,"A",IF(I1708&lt;=$E$5,"B","C"))</f>
        <v>C</v>
      </c>
    </row>
    <row r="1709" customFormat="false" ht="15" hidden="false" customHeight="false" outlineLevel="0" collapsed="false">
      <c r="A1709" s="32" t="n">
        <v>1702</v>
      </c>
      <c r="B1709" s="33" t="n">
        <v>548421</v>
      </c>
      <c r="C1709" s="34" t="s">
        <v>3489</v>
      </c>
      <c r="D1709" s="34" t="s">
        <v>3490</v>
      </c>
      <c r="E1709" s="34" t="s">
        <v>1618</v>
      </c>
      <c r="F1709" s="32" t="n">
        <f aca="false">COUNTIF(Base!$D$2:$D$2878,B1709)</f>
        <v>1</v>
      </c>
      <c r="G1709" s="35" t="n">
        <f aca="false">SUMIF(Base!$D$2:$D$2878,B1709,Base!$I$2:$I$2878)</f>
        <v>316</v>
      </c>
      <c r="H1709" s="36" t="n">
        <f aca="false">IF($G$2849=0,0,G1709/$G$2849)</f>
        <v>2.07366235186924E-005</v>
      </c>
      <c r="I1709" s="37" t="n">
        <f aca="false">I1708+H1709</f>
        <v>0.991403493561833</v>
      </c>
      <c r="J1709" s="37" t="n">
        <f aca="false">A1709/2840</f>
        <v>0.599295774647887</v>
      </c>
      <c r="K1709" s="32" t="str">
        <f aca="false">IF(I1709&lt;=$E$4,"A",IF(I1709&lt;=$E$5,"B","C"))</f>
        <v>C</v>
      </c>
    </row>
    <row r="1710" customFormat="false" ht="15" hidden="false" customHeight="false" outlineLevel="0" collapsed="false">
      <c r="A1710" s="32" t="n">
        <v>1703</v>
      </c>
      <c r="B1710" s="33" t="n">
        <v>22006</v>
      </c>
      <c r="C1710" s="34" t="s">
        <v>3491</v>
      </c>
      <c r="D1710" s="34" t="s">
        <v>3492</v>
      </c>
      <c r="E1710" s="34" t="s">
        <v>605</v>
      </c>
      <c r="F1710" s="32" t="n">
        <f aca="false">COUNTIF(Base!$D$2:$D$2878,B1710)</f>
        <v>1</v>
      </c>
      <c r="G1710" s="35" t="n">
        <f aca="false">SUMIF(Base!$D$2:$D$2878,B1710,Base!$I$2:$I$2878)</f>
        <v>315</v>
      </c>
      <c r="H1710" s="36" t="n">
        <f aca="false">IF($G$2849=0,0,G1710/$G$2849)</f>
        <v>2.06710012923674E-005</v>
      </c>
      <c r="I1710" s="37" t="n">
        <f aca="false">I1709+H1710</f>
        <v>0.991424164563125</v>
      </c>
      <c r="J1710" s="37" t="n">
        <f aca="false">A1710/2840</f>
        <v>0.599647887323944</v>
      </c>
      <c r="K1710" s="32" t="str">
        <f aca="false">IF(I1710&lt;=$E$4,"A",IF(I1710&lt;=$E$5,"B","C"))</f>
        <v>C</v>
      </c>
    </row>
    <row r="1711" customFormat="false" ht="15" hidden="false" customHeight="false" outlineLevel="0" collapsed="false">
      <c r="A1711" s="32" t="n">
        <v>1704</v>
      </c>
      <c r="B1711" s="33" t="n">
        <v>1261244</v>
      </c>
      <c r="C1711" s="34" t="s">
        <v>3493</v>
      </c>
      <c r="D1711" s="34" t="s">
        <v>3494</v>
      </c>
      <c r="E1711" s="34" t="s">
        <v>54</v>
      </c>
      <c r="F1711" s="32" t="n">
        <f aca="false">COUNTIF(Base!$D$2:$D$2878,B1711)</f>
        <v>1</v>
      </c>
      <c r="G1711" s="35" t="n">
        <f aca="false">SUMIF(Base!$D$2:$D$2878,B1711,Base!$I$2:$I$2878)</f>
        <v>314.44</v>
      </c>
      <c r="H1711" s="36" t="n">
        <f aca="false">IF($G$2849=0,0,G1711/$G$2849)</f>
        <v>2.06342528456255E-005</v>
      </c>
      <c r="I1711" s="37" t="n">
        <f aca="false">I1710+H1711</f>
        <v>0.991444798815971</v>
      </c>
      <c r="J1711" s="37" t="n">
        <f aca="false">A1711/2840</f>
        <v>0.6</v>
      </c>
      <c r="K1711" s="32" t="str">
        <f aca="false">IF(I1711&lt;=$E$4,"A",IF(I1711&lt;=$E$5,"B","C"))</f>
        <v>C</v>
      </c>
    </row>
    <row r="1712" customFormat="false" ht="15" hidden="false" customHeight="false" outlineLevel="0" collapsed="false">
      <c r="A1712" s="32" t="n">
        <v>1705</v>
      </c>
      <c r="B1712" s="33" t="n">
        <v>959727</v>
      </c>
      <c r="C1712" s="34" t="s">
        <v>3495</v>
      </c>
      <c r="D1712" s="34" t="s">
        <v>3496</v>
      </c>
      <c r="E1712" s="34" t="s">
        <v>189</v>
      </c>
      <c r="F1712" s="32" t="n">
        <f aca="false">COUNTIF(Base!$D$2:$D$2878,B1712)</f>
        <v>1</v>
      </c>
      <c r="G1712" s="35" t="n">
        <f aca="false">SUMIF(Base!$D$2:$D$2878,B1712,Base!$I$2:$I$2878)</f>
        <v>314</v>
      </c>
      <c r="H1712" s="36" t="n">
        <f aca="false">IF($G$2849=0,0,G1712/$G$2849)</f>
        <v>2.06053790660425E-005</v>
      </c>
      <c r="I1712" s="37" t="n">
        <f aca="false">I1711+H1712</f>
        <v>0.991465404195037</v>
      </c>
      <c r="J1712" s="37" t="n">
        <f aca="false">A1712/2840</f>
        <v>0.600352112676056</v>
      </c>
      <c r="K1712" s="32" t="str">
        <f aca="false">IF(I1712&lt;=$E$4,"A",IF(I1712&lt;=$E$5,"B","C"))</f>
        <v>C</v>
      </c>
    </row>
    <row r="1713" customFormat="false" ht="15" hidden="false" customHeight="false" outlineLevel="0" collapsed="false">
      <c r="A1713" s="32" t="n">
        <v>1706</v>
      </c>
      <c r="B1713" s="33" t="n">
        <v>136668</v>
      </c>
      <c r="C1713" s="34" t="s">
        <v>3497</v>
      </c>
      <c r="D1713" s="34" t="s">
        <v>3498</v>
      </c>
      <c r="E1713" s="34" t="s">
        <v>247</v>
      </c>
      <c r="F1713" s="32" t="n">
        <f aca="false">COUNTIF(Base!$D$2:$D$2878,B1713)</f>
        <v>1</v>
      </c>
      <c r="G1713" s="35" t="n">
        <f aca="false">SUMIF(Base!$D$2:$D$2878,B1713,Base!$I$2:$I$2878)</f>
        <v>312</v>
      </c>
      <c r="H1713" s="36" t="n">
        <f aca="false">IF($G$2849=0,0,G1713/$G$2849)</f>
        <v>2.04741346133925E-005</v>
      </c>
      <c r="I1713" s="37" t="n">
        <f aca="false">I1712+H1713</f>
        <v>0.99148587832965</v>
      </c>
      <c r="J1713" s="37" t="n">
        <f aca="false">A1713/2840</f>
        <v>0.600704225352113</v>
      </c>
      <c r="K1713" s="32" t="str">
        <f aca="false">IF(I1713&lt;=$E$4,"A",IF(I1713&lt;=$E$5,"B","C"))</f>
        <v>C</v>
      </c>
    </row>
    <row r="1714" customFormat="false" ht="15" hidden="false" customHeight="false" outlineLevel="0" collapsed="false">
      <c r="A1714" s="32" t="n">
        <v>1707</v>
      </c>
      <c r="B1714" s="33" t="n">
        <v>1614920</v>
      </c>
      <c r="C1714" s="34" t="s">
        <v>3499</v>
      </c>
      <c r="D1714" s="34" t="s">
        <v>3500</v>
      </c>
      <c r="E1714" s="34" t="s">
        <v>38</v>
      </c>
      <c r="F1714" s="32" t="n">
        <f aca="false">COUNTIF(Base!$D$2:$D$2878,B1714)</f>
        <v>1</v>
      </c>
      <c r="G1714" s="35" t="n">
        <f aca="false">SUMIF(Base!$D$2:$D$2878,B1714,Base!$I$2:$I$2878)</f>
        <v>311.87</v>
      </c>
      <c r="H1714" s="36" t="n">
        <f aca="false">IF($G$2849=0,0,G1714/$G$2849)</f>
        <v>2.04656037239703E-005</v>
      </c>
      <c r="I1714" s="37" t="n">
        <f aca="false">I1713+H1714</f>
        <v>0.991506343933374</v>
      </c>
      <c r="J1714" s="37" t="n">
        <f aca="false">A1714/2840</f>
        <v>0.601056338028169</v>
      </c>
      <c r="K1714" s="32" t="str">
        <f aca="false">IF(I1714&lt;=$E$4,"A",IF(I1714&lt;=$E$5,"B","C"))</f>
        <v>C</v>
      </c>
    </row>
    <row r="1715" customFormat="false" ht="15" hidden="false" customHeight="false" outlineLevel="0" collapsed="false">
      <c r="A1715" s="32" t="n">
        <v>1708</v>
      </c>
      <c r="B1715" s="33" t="n">
        <v>1063858</v>
      </c>
      <c r="C1715" s="34" t="s">
        <v>3501</v>
      </c>
      <c r="D1715" s="34" t="s">
        <v>3502</v>
      </c>
      <c r="E1715" s="34" t="s">
        <v>247</v>
      </c>
      <c r="F1715" s="32" t="n">
        <f aca="false">COUNTIF(Base!$D$2:$D$2878,B1715)</f>
        <v>1</v>
      </c>
      <c r="G1715" s="35" t="n">
        <f aca="false">SUMIF(Base!$D$2:$D$2878,B1715,Base!$I$2:$I$2878)</f>
        <v>311</v>
      </c>
      <c r="H1715" s="36" t="n">
        <f aca="false">IF($G$2849=0,0,G1715/$G$2849)</f>
        <v>2.04085123870675E-005</v>
      </c>
      <c r="I1715" s="37" t="n">
        <f aca="false">I1714+H1715</f>
        <v>0.991526752445761</v>
      </c>
      <c r="J1715" s="37" t="n">
        <f aca="false">A1715/2840</f>
        <v>0.601408450704225</v>
      </c>
      <c r="K1715" s="32" t="str">
        <f aca="false">IF(I1715&lt;=$E$4,"A",IF(I1715&lt;=$E$5,"B","C"))</f>
        <v>C</v>
      </c>
    </row>
    <row r="1716" customFormat="false" ht="15" hidden="false" customHeight="false" outlineLevel="0" collapsed="false">
      <c r="A1716" s="32" t="n">
        <v>1709</v>
      </c>
      <c r="B1716" s="33" t="n">
        <v>19328</v>
      </c>
      <c r="C1716" s="34" t="s">
        <v>3503</v>
      </c>
      <c r="D1716" s="34" t="s">
        <v>3504</v>
      </c>
      <c r="E1716" s="34" t="s">
        <v>1095</v>
      </c>
      <c r="F1716" s="32" t="n">
        <f aca="false">COUNTIF(Base!$D$2:$D$2878,B1716)</f>
        <v>1</v>
      </c>
      <c r="G1716" s="35" t="n">
        <f aca="false">SUMIF(Base!$D$2:$D$2878,B1716,Base!$I$2:$I$2878)</f>
        <v>310.4328</v>
      </c>
      <c r="H1716" s="36" t="n">
        <f aca="false">IF($G$2849=0,0,G1716/$G$2849)</f>
        <v>2.0371291460296E-005</v>
      </c>
      <c r="I1716" s="37" t="n">
        <f aca="false">I1715+H1716</f>
        <v>0.991547123737221</v>
      </c>
      <c r="J1716" s="37" t="n">
        <f aca="false">A1716/2840</f>
        <v>0.601760563380282</v>
      </c>
      <c r="K1716" s="32" t="str">
        <f aca="false">IF(I1716&lt;=$E$4,"A",IF(I1716&lt;=$E$5,"B","C"))</f>
        <v>C</v>
      </c>
    </row>
    <row r="1717" customFormat="false" ht="15" hidden="false" customHeight="false" outlineLevel="0" collapsed="false">
      <c r="A1717" s="32" t="n">
        <v>1710</v>
      </c>
      <c r="B1717" s="33" t="n">
        <v>56968</v>
      </c>
      <c r="C1717" s="34" t="s">
        <v>3505</v>
      </c>
      <c r="D1717" s="34" t="s">
        <v>3506</v>
      </c>
      <c r="E1717" s="34" t="s">
        <v>1618</v>
      </c>
      <c r="F1717" s="32" t="n">
        <f aca="false">COUNTIF(Base!$D$2:$D$2878,B1717)</f>
        <v>1</v>
      </c>
      <c r="G1717" s="35" t="n">
        <f aca="false">SUMIF(Base!$D$2:$D$2878,B1717,Base!$I$2:$I$2878)</f>
        <v>310</v>
      </c>
      <c r="H1717" s="36" t="n">
        <f aca="false">IF($G$2849=0,0,G1717/$G$2849)</f>
        <v>2.03428901607426E-005</v>
      </c>
      <c r="I1717" s="37" t="n">
        <f aca="false">I1716+H1717</f>
        <v>0.991567466627382</v>
      </c>
      <c r="J1717" s="37" t="n">
        <f aca="false">A1717/2840</f>
        <v>0.602112676056338</v>
      </c>
      <c r="K1717" s="32" t="str">
        <f aca="false">IF(I1717&lt;=$E$4,"A",IF(I1717&lt;=$E$5,"B","C"))</f>
        <v>C</v>
      </c>
    </row>
    <row r="1718" customFormat="false" ht="15" hidden="false" customHeight="false" outlineLevel="0" collapsed="false">
      <c r="A1718" s="32" t="n">
        <v>1711</v>
      </c>
      <c r="B1718" s="33" t="n">
        <v>1258240</v>
      </c>
      <c r="C1718" s="34" t="s">
        <v>3507</v>
      </c>
      <c r="D1718" s="34" t="s">
        <v>3508</v>
      </c>
      <c r="E1718" s="34" t="s">
        <v>38</v>
      </c>
      <c r="F1718" s="32" t="n">
        <f aca="false">COUNTIF(Base!$D$2:$D$2878,B1718)</f>
        <v>1</v>
      </c>
      <c r="G1718" s="35" t="n">
        <f aca="false">SUMIF(Base!$D$2:$D$2878,B1718,Base!$I$2:$I$2878)</f>
        <v>309.75</v>
      </c>
      <c r="H1718" s="36" t="n">
        <f aca="false">IF($G$2849=0,0,G1718/$G$2849)</f>
        <v>2.03264846041613E-005</v>
      </c>
      <c r="I1718" s="37" t="n">
        <f aca="false">I1717+H1718</f>
        <v>0.991587793111986</v>
      </c>
      <c r="J1718" s="37" t="n">
        <f aca="false">A1718/2840</f>
        <v>0.602464788732394</v>
      </c>
      <c r="K1718" s="32" t="str">
        <f aca="false">IF(I1718&lt;=$E$4,"A",IF(I1718&lt;=$E$5,"B","C"))</f>
        <v>C</v>
      </c>
    </row>
    <row r="1719" customFormat="false" ht="15" hidden="false" customHeight="false" outlineLevel="0" collapsed="false">
      <c r="A1719" s="32" t="n">
        <v>1712</v>
      </c>
      <c r="B1719" s="33" t="n">
        <v>869641</v>
      </c>
      <c r="C1719" s="34" t="s">
        <v>3509</v>
      </c>
      <c r="D1719" s="34" t="s">
        <v>3510</v>
      </c>
      <c r="E1719" s="34" t="s">
        <v>138</v>
      </c>
      <c r="F1719" s="32" t="n">
        <f aca="false">COUNTIF(Base!$D$2:$D$2878,B1719)</f>
        <v>1</v>
      </c>
      <c r="G1719" s="35" t="n">
        <f aca="false">SUMIF(Base!$D$2:$D$2878,B1719,Base!$I$2:$I$2878)</f>
        <v>308.07</v>
      </c>
      <c r="H1719" s="36" t="n">
        <f aca="false">IF($G$2849=0,0,G1719/$G$2849)</f>
        <v>2.02162392639354E-005</v>
      </c>
      <c r="I1719" s="37" t="n">
        <f aca="false">I1718+H1719</f>
        <v>0.99160800935125</v>
      </c>
      <c r="J1719" s="37" t="n">
        <f aca="false">A1719/2840</f>
        <v>0.602816901408451</v>
      </c>
      <c r="K1719" s="32" t="str">
        <f aca="false">IF(I1719&lt;=$E$4,"A",IF(I1719&lt;=$E$5,"B","C"))</f>
        <v>C</v>
      </c>
    </row>
    <row r="1720" customFormat="false" ht="15" hidden="false" customHeight="false" outlineLevel="0" collapsed="false">
      <c r="A1720" s="32" t="n">
        <v>1713</v>
      </c>
      <c r="B1720" s="33" t="n">
        <v>876698</v>
      </c>
      <c r="C1720" s="34" t="s">
        <v>3511</v>
      </c>
      <c r="D1720" s="34" t="s">
        <v>3512</v>
      </c>
      <c r="E1720" s="34" t="s">
        <v>457</v>
      </c>
      <c r="F1720" s="32" t="n">
        <f aca="false">COUNTIF(Base!$D$2:$D$2878,B1720)</f>
        <v>1</v>
      </c>
      <c r="G1720" s="35" t="n">
        <f aca="false">SUMIF(Base!$D$2:$D$2878,B1720,Base!$I$2:$I$2878)</f>
        <v>306.4</v>
      </c>
      <c r="H1720" s="36" t="n">
        <f aca="false">IF($G$2849=0,0,G1720/$G$2849)</f>
        <v>2.01066501459727E-005</v>
      </c>
      <c r="I1720" s="37" t="n">
        <f aca="false">I1719+H1720</f>
        <v>0.991628116001396</v>
      </c>
      <c r="J1720" s="37" t="n">
        <f aca="false">A1720/2840</f>
        <v>0.603169014084507</v>
      </c>
      <c r="K1720" s="32" t="str">
        <f aca="false">IF(I1720&lt;=$E$4,"A",IF(I1720&lt;=$E$5,"B","C"))</f>
        <v>C</v>
      </c>
    </row>
    <row r="1721" customFormat="false" ht="15" hidden="false" customHeight="false" outlineLevel="0" collapsed="false">
      <c r="A1721" s="32" t="n">
        <v>1714</v>
      </c>
      <c r="B1721" s="33" t="n">
        <v>23183</v>
      </c>
      <c r="C1721" s="34" t="s">
        <v>3513</v>
      </c>
      <c r="D1721" s="34" t="s">
        <v>3514</v>
      </c>
      <c r="E1721" s="34" t="s">
        <v>93</v>
      </c>
      <c r="F1721" s="32" t="n">
        <f aca="false">COUNTIF(Base!$D$2:$D$2878,B1721)</f>
        <v>1</v>
      </c>
      <c r="G1721" s="35" t="n">
        <f aca="false">SUMIF(Base!$D$2:$D$2878,B1721,Base!$I$2:$I$2878)</f>
        <v>306.06</v>
      </c>
      <c r="H1721" s="36" t="n">
        <f aca="false">IF($G$2849=0,0,G1721/$G$2849)</f>
        <v>2.00843385890222E-005</v>
      </c>
      <c r="I1721" s="37" t="n">
        <f aca="false">I1720+H1721</f>
        <v>0.991648200339985</v>
      </c>
      <c r="J1721" s="37" t="n">
        <f aca="false">A1721/2840</f>
        <v>0.603521126760563</v>
      </c>
      <c r="K1721" s="32" t="str">
        <f aca="false">IF(I1721&lt;=$E$4,"A",IF(I1721&lt;=$E$5,"B","C"))</f>
        <v>C</v>
      </c>
    </row>
    <row r="1722" customFormat="false" ht="15" hidden="false" customHeight="false" outlineLevel="0" collapsed="false">
      <c r="A1722" s="32" t="n">
        <v>1715</v>
      </c>
      <c r="B1722" s="33" t="n">
        <v>946720</v>
      </c>
      <c r="C1722" s="34" t="s">
        <v>3515</v>
      </c>
      <c r="D1722" s="34" t="s">
        <v>3516</v>
      </c>
      <c r="E1722" s="34" t="s">
        <v>130</v>
      </c>
      <c r="F1722" s="32" t="n">
        <f aca="false">COUNTIF(Base!$D$2:$D$2878,B1722)</f>
        <v>1</v>
      </c>
      <c r="G1722" s="35" t="n">
        <f aca="false">SUMIF(Base!$D$2:$D$2878,B1722,Base!$I$2:$I$2878)</f>
        <v>305.6</v>
      </c>
      <c r="H1722" s="36" t="n">
        <f aca="false">IF($G$2849=0,0,G1722/$G$2849)</f>
        <v>2.00541523649127E-005</v>
      </c>
      <c r="I1722" s="37" t="n">
        <f aca="false">I1721+H1722</f>
        <v>0.99166825449235</v>
      </c>
      <c r="J1722" s="37" t="n">
        <f aca="false">A1722/2840</f>
        <v>0.60387323943662</v>
      </c>
      <c r="K1722" s="32" t="str">
        <f aca="false">IF(I1722&lt;=$E$4,"A",IF(I1722&lt;=$E$5,"B","C"))</f>
        <v>C</v>
      </c>
    </row>
    <row r="1723" customFormat="false" ht="15" hidden="false" customHeight="false" outlineLevel="0" collapsed="false">
      <c r="A1723" s="32" t="n">
        <v>1716</v>
      </c>
      <c r="B1723" s="33" t="n">
        <v>945740</v>
      </c>
      <c r="C1723" s="34" t="s">
        <v>3517</v>
      </c>
      <c r="D1723" s="34" t="s">
        <v>3518</v>
      </c>
      <c r="E1723" s="34" t="s">
        <v>705</v>
      </c>
      <c r="F1723" s="32" t="n">
        <f aca="false">COUNTIF(Base!$D$2:$D$2878,B1723)</f>
        <v>1</v>
      </c>
      <c r="G1723" s="35" t="n">
        <f aca="false">SUMIF(Base!$D$2:$D$2878,B1723,Base!$I$2:$I$2878)</f>
        <v>304.286</v>
      </c>
      <c r="H1723" s="36" t="n">
        <f aca="false">IF($G$2849=0,0,G1723/$G$2849)</f>
        <v>1.99679247595217E-005</v>
      </c>
      <c r="I1723" s="37" t="n">
        <f aca="false">I1722+H1723</f>
        <v>0.99168822241711</v>
      </c>
      <c r="J1723" s="37" t="n">
        <f aca="false">A1723/2840</f>
        <v>0.604225352112676</v>
      </c>
      <c r="K1723" s="32" t="str">
        <f aca="false">IF(I1723&lt;=$E$4,"A",IF(I1723&lt;=$E$5,"B","C"))</f>
        <v>C</v>
      </c>
    </row>
    <row r="1724" customFormat="false" ht="15" hidden="false" customHeight="false" outlineLevel="0" collapsed="false">
      <c r="A1724" s="32" t="n">
        <v>1717</v>
      </c>
      <c r="B1724" s="33" t="n">
        <v>1656095</v>
      </c>
      <c r="C1724" s="34" t="s">
        <v>3519</v>
      </c>
      <c r="D1724" s="34" t="s">
        <v>3520</v>
      </c>
      <c r="E1724" s="34" t="s">
        <v>217</v>
      </c>
      <c r="F1724" s="32" t="n">
        <f aca="false">COUNTIF(Base!$D$2:$D$2878,B1724)</f>
        <v>1</v>
      </c>
      <c r="G1724" s="35" t="n">
        <f aca="false">SUMIF(Base!$D$2:$D$2878,B1724,Base!$I$2:$I$2878)</f>
        <v>303.75</v>
      </c>
      <c r="H1724" s="36" t="n">
        <f aca="false">IF($G$2849=0,0,G1724/$G$2849)</f>
        <v>1.99327512462115E-005</v>
      </c>
      <c r="I1724" s="37" t="n">
        <f aca="false">I1723+H1724</f>
        <v>0.991708155168356</v>
      </c>
      <c r="J1724" s="37" t="n">
        <f aca="false">A1724/2840</f>
        <v>0.604577464788732</v>
      </c>
      <c r="K1724" s="32" t="str">
        <f aca="false">IF(I1724&lt;=$E$4,"A",IF(I1724&lt;=$E$5,"B","C"))</f>
        <v>C</v>
      </c>
    </row>
    <row r="1725" customFormat="false" ht="15" hidden="false" customHeight="false" outlineLevel="0" collapsed="false">
      <c r="A1725" s="32" t="n">
        <v>1718</v>
      </c>
      <c r="B1725" s="33" t="n">
        <v>1656096</v>
      </c>
      <c r="C1725" s="34" t="s">
        <v>3521</v>
      </c>
      <c r="D1725" s="34" t="s">
        <v>3522</v>
      </c>
      <c r="E1725" s="34" t="s">
        <v>217</v>
      </c>
      <c r="F1725" s="32" t="n">
        <f aca="false">COUNTIF(Base!$D$2:$D$2878,B1725)</f>
        <v>1</v>
      </c>
      <c r="G1725" s="35" t="n">
        <f aca="false">SUMIF(Base!$D$2:$D$2878,B1725,Base!$I$2:$I$2878)</f>
        <v>303.75</v>
      </c>
      <c r="H1725" s="36" t="n">
        <f aca="false">IF($G$2849=0,0,G1725/$G$2849)</f>
        <v>1.99327512462115E-005</v>
      </c>
      <c r="I1725" s="37" t="n">
        <f aca="false">I1724+H1725</f>
        <v>0.991728087919602</v>
      </c>
      <c r="J1725" s="37" t="n">
        <f aca="false">A1725/2840</f>
        <v>0.604929577464789</v>
      </c>
      <c r="K1725" s="32" t="str">
        <f aca="false">IF(I1725&lt;=$E$4,"A",IF(I1725&lt;=$E$5,"B","C"))</f>
        <v>C</v>
      </c>
    </row>
    <row r="1726" customFormat="false" ht="15" hidden="false" customHeight="false" outlineLevel="0" collapsed="false">
      <c r="A1726" s="32" t="n">
        <v>1719</v>
      </c>
      <c r="B1726" s="33" t="n">
        <v>1656585</v>
      </c>
      <c r="C1726" s="34" t="s">
        <v>3523</v>
      </c>
      <c r="D1726" s="34" t="s">
        <v>3524</v>
      </c>
      <c r="E1726" s="34" t="s">
        <v>217</v>
      </c>
      <c r="F1726" s="32" t="n">
        <f aca="false">COUNTIF(Base!$D$2:$D$2878,B1726)</f>
        <v>1</v>
      </c>
      <c r="G1726" s="35" t="n">
        <f aca="false">SUMIF(Base!$D$2:$D$2878,B1726,Base!$I$2:$I$2878)</f>
        <v>303.75</v>
      </c>
      <c r="H1726" s="36" t="n">
        <f aca="false">IF($G$2849=0,0,G1726/$G$2849)</f>
        <v>1.99327512462115E-005</v>
      </c>
      <c r="I1726" s="37" t="n">
        <f aca="false">I1725+H1726</f>
        <v>0.991748020670848</v>
      </c>
      <c r="J1726" s="37" t="n">
        <f aca="false">A1726/2840</f>
        <v>0.605281690140845</v>
      </c>
      <c r="K1726" s="32" t="str">
        <f aca="false">IF(I1726&lt;=$E$4,"A",IF(I1726&lt;=$E$5,"B","C"))</f>
        <v>C</v>
      </c>
    </row>
    <row r="1727" customFormat="false" ht="15" hidden="false" customHeight="false" outlineLevel="0" collapsed="false">
      <c r="A1727" s="32" t="n">
        <v>1720</v>
      </c>
      <c r="B1727" s="33" t="n">
        <v>884954</v>
      </c>
      <c r="C1727" s="34" t="s">
        <v>3525</v>
      </c>
      <c r="D1727" s="34" t="s">
        <v>3526</v>
      </c>
      <c r="E1727" s="34" t="s">
        <v>38</v>
      </c>
      <c r="F1727" s="32" t="n">
        <f aca="false">COUNTIF(Base!$D$2:$D$2878,B1727)</f>
        <v>1</v>
      </c>
      <c r="G1727" s="35" t="n">
        <f aca="false">SUMIF(Base!$D$2:$D$2878,B1727,Base!$I$2:$I$2878)</f>
        <v>302.98</v>
      </c>
      <c r="H1727" s="36" t="n">
        <f aca="false">IF($G$2849=0,0,G1727/$G$2849)</f>
        <v>1.98822221319412E-005</v>
      </c>
      <c r="I1727" s="37" t="n">
        <f aca="false">I1726+H1727</f>
        <v>0.99176790289298</v>
      </c>
      <c r="J1727" s="37" t="n">
        <f aca="false">A1727/2840</f>
        <v>0.605633802816901</v>
      </c>
      <c r="K1727" s="32" t="str">
        <f aca="false">IF(I1727&lt;=$E$4,"A",IF(I1727&lt;=$E$5,"B","C"))</f>
        <v>C</v>
      </c>
    </row>
    <row r="1728" customFormat="false" ht="15" hidden="false" customHeight="false" outlineLevel="0" collapsed="false">
      <c r="A1728" s="32" t="n">
        <v>1721</v>
      </c>
      <c r="B1728" s="33" t="n">
        <v>349007</v>
      </c>
      <c r="C1728" s="34" t="s">
        <v>3527</v>
      </c>
      <c r="D1728" s="34" t="s">
        <v>3528</v>
      </c>
      <c r="E1728" s="34" t="s">
        <v>130</v>
      </c>
      <c r="F1728" s="32" t="n">
        <f aca="false">COUNTIF(Base!$D$2:$D$2878,B1728)</f>
        <v>1</v>
      </c>
      <c r="G1728" s="35" t="n">
        <f aca="false">SUMIF(Base!$D$2:$D$2878,B1728,Base!$I$2:$I$2878)</f>
        <v>302.64</v>
      </c>
      <c r="H1728" s="36" t="n">
        <f aca="false">IF($G$2849=0,0,G1728/$G$2849)</f>
        <v>1.98599105749907E-005</v>
      </c>
      <c r="I1728" s="37" t="n">
        <f aca="false">I1727+H1728</f>
        <v>0.991787762803555</v>
      </c>
      <c r="J1728" s="37" t="n">
        <f aca="false">A1728/2840</f>
        <v>0.605985915492958</v>
      </c>
      <c r="K1728" s="32" t="str">
        <f aca="false">IF(I1728&lt;=$E$4,"A",IF(I1728&lt;=$E$5,"B","C"))</f>
        <v>C</v>
      </c>
    </row>
    <row r="1729" customFormat="false" ht="15" hidden="false" customHeight="false" outlineLevel="0" collapsed="false">
      <c r="A1729" s="32" t="n">
        <v>1722</v>
      </c>
      <c r="B1729" s="33" t="n">
        <v>14208</v>
      </c>
      <c r="C1729" s="34" t="s">
        <v>3529</v>
      </c>
      <c r="D1729" s="34" t="s">
        <v>3530</v>
      </c>
      <c r="E1729" s="34" t="s">
        <v>38</v>
      </c>
      <c r="F1729" s="32" t="n">
        <f aca="false">COUNTIF(Base!$D$2:$D$2878,B1729)</f>
        <v>1</v>
      </c>
      <c r="G1729" s="35" t="n">
        <f aca="false">SUMIF(Base!$D$2:$D$2878,B1729,Base!$I$2:$I$2878)</f>
        <v>302.52</v>
      </c>
      <c r="H1729" s="36" t="n">
        <f aca="false">IF($G$2849=0,0,G1729/$G$2849)</f>
        <v>1.98520359078317E-005</v>
      </c>
      <c r="I1729" s="37" t="n">
        <f aca="false">I1728+H1729</f>
        <v>0.991807614839463</v>
      </c>
      <c r="J1729" s="37" t="n">
        <f aca="false">A1729/2840</f>
        <v>0.606338028169014</v>
      </c>
      <c r="K1729" s="32" t="str">
        <f aca="false">IF(I1729&lt;=$E$4,"A",IF(I1729&lt;=$E$5,"B","C"))</f>
        <v>C</v>
      </c>
    </row>
    <row r="1730" customFormat="false" ht="15" hidden="false" customHeight="false" outlineLevel="0" collapsed="false">
      <c r="A1730" s="32" t="n">
        <v>1723</v>
      </c>
      <c r="B1730" s="33" t="n">
        <v>833727</v>
      </c>
      <c r="C1730" s="34" t="s">
        <v>3531</v>
      </c>
      <c r="D1730" s="34" t="s">
        <v>3532</v>
      </c>
      <c r="E1730" s="34" t="s">
        <v>2056</v>
      </c>
      <c r="F1730" s="32" t="n">
        <f aca="false">COUNTIF(Base!$D$2:$D$2878,B1730)</f>
        <v>1</v>
      </c>
      <c r="G1730" s="35" t="n">
        <f aca="false">SUMIF(Base!$D$2:$D$2878,B1730,Base!$I$2:$I$2878)</f>
        <v>302.4</v>
      </c>
      <c r="H1730" s="36" t="n">
        <f aca="false">IF($G$2849=0,0,G1730/$G$2849)</f>
        <v>1.98441612406727E-005</v>
      </c>
      <c r="I1730" s="37" t="n">
        <f aca="false">I1729+H1730</f>
        <v>0.991827459000704</v>
      </c>
      <c r="J1730" s="37" t="n">
        <f aca="false">A1730/2840</f>
        <v>0.60669014084507</v>
      </c>
      <c r="K1730" s="32" t="str">
        <f aca="false">IF(I1730&lt;=$E$4,"A",IF(I1730&lt;=$E$5,"B","C"))</f>
        <v>C</v>
      </c>
    </row>
    <row r="1731" customFormat="false" ht="15" hidden="false" customHeight="false" outlineLevel="0" collapsed="false">
      <c r="A1731" s="32" t="n">
        <v>1724</v>
      </c>
      <c r="B1731" s="33" t="n">
        <v>57873</v>
      </c>
      <c r="C1731" s="34" t="s">
        <v>3533</v>
      </c>
      <c r="D1731" s="34" t="s">
        <v>3534</v>
      </c>
      <c r="E1731" s="34" t="s">
        <v>2056</v>
      </c>
      <c r="F1731" s="32" t="n">
        <f aca="false">COUNTIF(Base!$D$2:$D$2878,B1731)</f>
        <v>1</v>
      </c>
      <c r="G1731" s="35" t="n">
        <f aca="false">SUMIF(Base!$D$2:$D$2878,B1731,Base!$I$2:$I$2878)</f>
        <v>302</v>
      </c>
      <c r="H1731" s="36" t="n">
        <f aca="false">IF($G$2849=0,0,G1731/$G$2849)</f>
        <v>1.98179123501428E-005</v>
      </c>
      <c r="I1731" s="37" t="n">
        <f aca="false">I1730+H1731</f>
        <v>0.991847276913054</v>
      </c>
      <c r="J1731" s="37" t="n">
        <f aca="false">A1731/2840</f>
        <v>0.607042253521127</v>
      </c>
      <c r="K1731" s="32" t="str">
        <f aca="false">IF(I1731&lt;=$E$4,"A",IF(I1731&lt;=$E$5,"B","C"))</f>
        <v>C</v>
      </c>
    </row>
    <row r="1732" customFormat="false" ht="15" hidden="false" customHeight="false" outlineLevel="0" collapsed="false">
      <c r="A1732" s="32" t="n">
        <v>1725</v>
      </c>
      <c r="B1732" s="33" t="n">
        <v>144566</v>
      </c>
      <c r="C1732" s="34" t="s">
        <v>3535</v>
      </c>
      <c r="D1732" s="34" t="s">
        <v>3536</v>
      </c>
      <c r="E1732" s="34" t="s">
        <v>605</v>
      </c>
      <c r="F1732" s="32" t="n">
        <f aca="false">COUNTIF(Base!$D$2:$D$2878,B1732)</f>
        <v>1</v>
      </c>
      <c r="G1732" s="35" t="n">
        <f aca="false">SUMIF(Base!$D$2:$D$2878,B1732,Base!$I$2:$I$2878)</f>
        <v>300</v>
      </c>
      <c r="H1732" s="36" t="n">
        <f aca="false">IF($G$2849=0,0,G1732/$G$2849)</f>
        <v>1.96866678974928E-005</v>
      </c>
      <c r="I1732" s="37" t="n">
        <f aca="false">I1731+H1732</f>
        <v>0.991866963580951</v>
      </c>
      <c r="J1732" s="37" t="n">
        <f aca="false">A1732/2840</f>
        <v>0.607394366197183</v>
      </c>
      <c r="K1732" s="32" t="str">
        <f aca="false">IF(I1732&lt;=$E$4,"A",IF(I1732&lt;=$E$5,"B","C"))</f>
        <v>C</v>
      </c>
    </row>
    <row r="1733" customFormat="false" ht="15" hidden="false" customHeight="false" outlineLevel="0" collapsed="false">
      <c r="A1733" s="32" t="n">
        <v>1726</v>
      </c>
      <c r="B1733" s="33" t="n">
        <v>390194</v>
      </c>
      <c r="C1733" s="34" t="s">
        <v>3537</v>
      </c>
      <c r="D1733" s="34" t="s">
        <v>3538</v>
      </c>
      <c r="E1733" s="34" t="s">
        <v>189</v>
      </c>
      <c r="F1733" s="32" t="n">
        <f aca="false">COUNTIF(Base!$D$2:$D$2878,B1733)</f>
        <v>1</v>
      </c>
      <c r="G1733" s="35" t="n">
        <f aca="false">SUMIF(Base!$D$2:$D$2878,B1733,Base!$I$2:$I$2878)</f>
        <v>300</v>
      </c>
      <c r="H1733" s="36" t="n">
        <f aca="false">IF($G$2849=0,0,G1733/$G$2849)</f>
        <v>1.96866678974928E-005</v>
      </c>
      <c r="I1733" s="37" t="n">
        <f aca="false">I1732+H1733</f>
        <v>0.991886650248849</v>
      </c>
      <c r="J1733" s="37" t="n">
        <f aca="false">A1733/2840</f>
        <v>0.607746478873239</v>
      </c>
      <c r="K1733" s="32" t="str">
        <f aca="false">IF(I1733&lt;=$E$4,"A",IF(I1733&lt;=$E$5,"B","C"))</f>
        <v>C</v>
      </c>
    </row>
    <row r="1734" customFormat="false" ht="15" hidden="false" customHeight="false" outlineLevel="0" collapsed="false">
      <c r="A1734" s="32" t="n">
        <v>1727</v>
      </c>
      <c r="B1734" s="33" t="n">
        <v>734024</v>
      </c>
      <c r="C1734" s="34" t="s">
        <v>3539</v>
      </c>
      <c r="D1734" s="34" t="s">
        <v>3540</v>
      </c>
      <c r="E1734" s="34" t="s">
        <v>130</v>
      </c>
      <c r="F1734" s="32" t="n">
        <f aca="false">COUNTIF(Base!$D$2:$D$2878,B1734)</f>
        <v>1</v>
      </c>
      <c r="G1734" s="35" t="n">
        <f aca="false">SUMIF(Base!$D$2:$D$2878,B1734,Base!$I$2:$I$2878)</f>
        <v>300</v>
      </c>
      <c r="H1734" s="36" t="n">
        <f aca="false">IF($G$2849=0,0,G1734/$G$2849)</f>
        <v>1.96866678974928E-005</v>
      </c>
      <c r="I1734" s="37" t="n">
        <f aca="false">I1733+H1734</f>
        <v>0.991906336916747</v>
      </c>
      <c r="J1734" s="37" t="n">
        <f aca="false">A1734/2840</f>
        <v>0.608098591549296</v>
      </c>
      <c r="K1734" s="32" t="str">
        <f aca="false">IF(I1734&lt;=$E$4,"A",IF(I1734&lt;=$E$5,"B","C"))</f>
        <v>C</v>
      </c>
    </row>
    <row r="1735" customFormat="false" ht="15" hidden="false" customHeight="false" outlineLevel="0" collapsed="false">
      <c r="A1735" s="32" t="n">
        <v>1728</v>
      </c>
      <c r="B1735" s="33" t="n">
        <v>1009352</v>
      </c>
      <c r="C1735" s="34" t="s">
        <v>3541</v>
      </c>
      <c r="D1735" s="34" t="s">
        <v>3542</v>
      </c>
      <c r="E1735" s="34" t="s">
        <v>637</v>
      </c>
      <c r="F1735" s="32" t="n">
        <f aca="false">COUNTIF(Base!$D$2:$D$2878,B1735)</f>
        <v>1</v>
      </c>
      <c r="G1735" s="35" t="n">
        <f aca="false">SUMIF(Base!$D$2:$D$2878,B1735,Base!$I$2:$I$2878)</f>
        <v>299.85</v>
      </c>
      <c r="H1735" s="36" t="n">
        <f aca="false">IF($G$2849=0,0,G1735/$G$2849)</f>
        <v>1.96768245635441E-005</v>
      </c>
      <c r="I1735" s="37" t="n">
        <f aca="false">I1734+H1735</f>
        <v>0.99192601374131</v>
      </c>
      <c r="J1735" s="37" t="n">
        <f aca="false">A1735/2840</f>
        <v>0.608450704225352</v>
      </c>
      <c r="K1735" s="32" t="str">
        <f aca="false">IF(I1735&lt;=$E$4,"A",IF(I1735&lt;=$E$5,"B","C"))</f>
        <v>C</v>
      </c>
    </row>
    <row r="1736" customFormat="false" ht="15" hidden="false" customHeight="false" outlineLevel="0" collapsed="false">
      <c r="A1736" s="32" t="n">
        <v>1729</v>
      </c>
      <c r="B1736" s="33" t="n">
        <v>60803</v>
      </c>
      <c r="C1736" s="34" t="s">
        <v>3543</v>
      </c>
      <c r="D1736" s="34" t="s">
        <v>3544</v>
      </c>
      <c r="E1736" s="34" t="s">
        <v>54</v>
      </c>
      <c r="F1736" s="32" t="n">
        <f aca="false">COUNTIF(Base!$D$2:$D$2878,B1736)</f>
        <v>1</v>
      </c>
      <c r="G1736" s="35" t="n">
        <f aca="false">SUMIF(Base!$D$2:$D$2878,B1736,Base!$I$2:$I$2878)</f>
        <v>299.6</v>
      </c>
      <c r="H1736" s="36" t="n">
        <f aca="false">IF($G$2849=0,0,G1736/$G$2849)</f>
        <v>1.96604190069628E-005</v>
      </c>
      <c r="I1736" s="37" t="n">
        <f aca="false">I1735+H1736</f>
        <v>0.991945674160317</v>
      </c>
      <c r="J1736" s="37" t="n">
        <f aca="false">A1736/2840</f>
        <v>0.608802816901409</v>
      </c>
      <c r="K1736" s="32" t="str">
        <f aca="false">IF(I1736&lt;=$E$4,"A",IF(I1736&lt;=$E$5,"B","C"))</f>
        <v>C</v>
      </c>
    </row>
    <row r="1737" customFormat="false" ht="15" hidden="false" customHeight="false" outlineLevel="0" collapsed="false">
      <c r="A1737" s="32" t="n">
        <v>1730</v>
      </c>
      <c r="B1737" s="33" t="n">
        <v>24256</v>
      </c>
      <c r="C1737" s="34" t="s">
        <v>3545</v>
      </c>
      <c r="D1737" s="34" t="s">
        <v>3546</v>
      </c>
      <c r="E1737" s="34" t="s">
        <v>75</v>
      </c>
      <c r="F1737" s="32" t="n">
        <f aca="false">COUNTIF(Base!$D$2:$D$2878,B1737)</f>
        <v>1</v>
      </c>
      <c r="G1737" s="35" t="n">
        <f aca="false">SUMIF(Base!$D$2:$D$2878,B1737,Base!$I$2:$I$2878)</f>
        <v>299.13</v>
      </c>
      <c r="H1737" s="36" t="n">
        <f aca="false">IF($G$2849=0,0,G1737/$G$2849)</f>
        <v>1.96295765605901E-005</v>
      </c>
      <c r="I1737" s="37" t="n">
        <f aca="false">I1736+H1737</f>
        <v>0.991965303736877</v>
      </c>
      <c r="J1737" s="37" t="n">
        <f aca="false">A1737/2840</f>
        <v>0.609154929577465</v>
      </c>
      <c r="K1737" s="32" t="str">
        <f aca="false">IF(I1737&lt;=$E$4,"A",IF(I1737&lt;=$E$5,"B","C"))</f>
        <v>C</v>
      </c>
    </row>
    <row r="1738" customFormat="false" ht="15" hidden="false" customHeight="false" outlineLevel="0" collapsed="false">
      <c r="A1738" s="32" t="n">
        <v>1731</v>
      </c>
      <c r="B1738" s="33" t="n">
        <v>57515</v>
      </c>
      <c r="C1738" s="34" t="s">
        <v>3547</v>
      </c>
      <c r="D1738" s="34" t="s">
        <v>3548</v>
      </c>
      <c r="E1738" s="34" t="s">
        <v>100</v>
      </c>
      <c r="F1738" s="32" t="n">
        <f aca="false">COUNTIF(Base!$D$2:$D$2878,B1738)</f>
        <v>1</v>
      </c>
      <c r="G1738" s="35" t="n">
        <f aca="false">SUMIF(Base!$D$2:$D$2878,B1738,Base!$I$2:$I$2878)</f>
        <v>298.66</v>
      </c>
      <c r="H1738" s="36" t="n">
        <f aca="false">IF($G$2849=0,0,G1738/$G$2849)</f>
        <v>1.95987341142173E-005</v>
      </c>
      <c r="I1738" s="37" t="n">
        <f aca="false">I1737+H1738</f>
        <v>0.991984902470992</v>
      </c>
      <c r="J1738" s="37" t="n">
        <f aca="false">A1738/2840</f>
        <v>0.609507042253521</v>
      </c>
      <c r="K1738" s="32" t="str">
        <f aca="false">IF(I1738&lt;=$E$4,"A",IF(I1738&lt;=$E$5,"B","C"))</f>
        <v>C</v>
      </c>
    </row>
    <row r="1739" customFormat="false" ht="15" hidden="false" customHeight="false" outlineLevel="0" collapsed="false">
      <c r="A1739" s="32" t="n">
        <v>1732</v>
      </c>
      <c r="B1739" s="33" t="n">
        <v>21341</v>
      </c>
      <c r="C1739" s="34" t="s">
        <v>3549</v>
      </c>
      <c r="D1739" s="34" t="s">
        <v>3550</v>
      </c>
      <c r="E1739" s="34" t="s">
        <v>130</v>
      </c>
      <c r="F1739" s="32" t="n">
        <f aca="false">COUNTIF(Base!$D$2:$D$2878,B1739)</f>
        <v>1</v>
      </c>
      <c r="G1739" s="35" t="n">
        <f aca="false">SUMIF(Base!$D$2:$D$2878,B1739,Base!$I$2:$I$2878)</f>
        <v>298</v>
      </c>
      <c r="H1739" s="36" t="n">
        <f aca="false">IF($G$2849=0,0,G1739/$G$2849)</f>
        <v>1.95554234448429E-005</v>
      </c>
      <c r="I1739" s="37" t="n">
        <f aca="false">I1738+H1739</f>
        <v>0.992004457894437</v>
      </c>
      <c r="J1739" s="37" t="n">
        <f aca="false">A1739/2840</f>
        <v>0.609859154929577</v>
      </c>
      <c r="K1739" s="32" t="str">
        <f aca="false">IF(I1739&lt;=$E$4,"A",IF(I1739&lt;=$E$5,"B","C"))</f>
        <v>C</v>
      </c>
    </row>
    <row r="1740" customFormat="false" ht="15" hidden="false" customHeight="false" outlineLevel="0" collapsed="false">
      <c r="A1740" s="32" t="n">
        <v>1733</v>
      </c>
      <c r="B1740" s="33" t="n">
        <v>32840</v>
      </c>
      <c r="C1740" s="34" t="s">
        <v>3551</v>
      </c>
      <c r="D1740" s="34" t="s">
        <v>3552</v>
      </c>
      <c r="E1740" s="34" t="s">
        <v>35</v>
      </c>
      <c r="F1740" s="32" t="n">
        <f aca="false">COUNTIF(Base!$D$2:$D$2878,B1740)</f>
        <v>1</v>
      </c>
      <c r="G1740" s="35" t="n">
        <f aca="false">SUMIF(Base!$D$2:$D$2878,B1740,Base!$I$2:$I$2878)</f>
        <v>298</v>
      </c>
      <c r="H1740" s="36" t="n">
        <f aca="false">IF($G$2849=0,0,G1740/$G$2849)</f>
        <v>1.95554234448429E-005</v>
      </c>
      <c r="I1740" s="37" t="n">
        <f aca="false">I1739+H1740</f>
        <v>0.992024013317881</v>
      </c>
      <c r="J1740" s="37" t="n">
        <f aca="false">A1740/2840</f>
        <v>0.610211267605634</v>
      </c>
      <c r="K1740" s="32" t="str">
        <f aca="false">IF(I1740&lt;=$E$4,"A",IF(I1740&lt;=$E$5,"B","C"))</f>
        <v>C</v>
      </c>
    </row>
    <row r="1741" customFormat="false" ht="15" hidden="false" customHeight="false" outlineLevel="0" collapsed="false">
      <c r="A1741" s="32" t="n">
        <v>1734</v>
      </c>
      <c r="B1741" s="33" t="n">
        <v>1062573</v>
      </c>
      <c r="C1741" s="34" t="s">
        <v>3553</v>
      </c>
      <c r="D1741" s="34" t="s">
        <v>3554</v>
      </c>
      <c r="E1741" s="34" t="s">
        <v>480</v>
      </c>
      <c r="F1741" s="32" t="n">
        <f aca="false">COUNTIF(Base!$D$2:$D$2878,B1741)</f>
        <v>1</v>
      </c>
      <c r="G1741" s="35" t="n">
        <f aca="false">SUMIF(Base!$D$2:$D$2878,B1741,Base!$I$2:$I$2878)</f>
        <v>298</v>
      </c>
      <c r="H1741" s="36" t="n">
        <f aca="false">IF($G$2849=0,0,G1741/$G$2849)</f>
        <v>1.95554234448429E-005</v>
      </c>
      <c r="I1741" s="37" t="n">
        <f aca="false">I1740+H1741</f>
        <v>0.992043568741326</v>
      </c>
      <c r="J1741" s="37" t="n">
        <f aca="false">A1741/2840</f>
        <v>0.61056338028169</v>
      </c>
      <c r="K1741" s="32" t="str">
        <f aca="false">IF(I1741&lt;=$E$4,"A",IF(I1741&lt;=$E$5,"B","C"))</f>
        <v>C</v>
      </c>
    </row>
    <row r="1742" customFormat="false" ht="15" hidden="false" customHeight="false" outlineLevel="0" collapsed="false">
      <c r="A1742" s="32" t="n">
        <v>1735</v>
      </c>
      <c r="B1742" s="33" t="n">
        <v>1599872</v>
      </c>
      <c r="C1742" s="34" t="s">
        <v>3555</v>
      </c>
      <c r="D1742" s="34" t="s">
        <v>3556</v>
      </c>
      <c r="E1742" s="34" t="s">
        <v>247</v>
      </c>
      <c r="F1742" s="32" t="n">
        <f aca="false">COUNTIF(Base!$D$2:$D$2878,B1742)</f>
        <v>1</v>
      </c>
      <c r="G1742" s="35" t="n">
        <f aca="false">SUMIF(Base!$D$2:$D$2878,B1742,Base!$I$2:$I$2878)</f>
        <v>298</v>
      </c>
      <c r="H1742" s="36" t="n">
        <f aca="false">IF($G$2849=0,0,G1742/$G$2849)</f>
        <v>1.95554234448429E-005</v>
      </c>
      <c r="I1742" s="37" t="n">
        <f aca="false">I1741+H1742</f>
        <v>0.992063124164771</v>
      </c>
      <c r="J1742" s="37" t="n">
        <f aca="false">A1742/2840</f>
        <v>0.610915492957747</v>
      </c>
      <c r="K1742" s="32" t="str">
        <f aca="false">IF(I1742&lt;=$E$4,"A",IF(I1742&lt;=$E$5,"B","C"))</f>
        <v>C</v>
      </c>
    </row>
    <row r="1743" customFormat="false" ht="15" hidden="false" customHeight="false" outlineLevel="0" collapsed="false">
      <c r="A1743" s="32" t="n">
        <v>1736</v>
      </c>
      <c r="B1743" s="33" t="n">
        <v>1659747</v>
      </c>
      <c r="C1743" s="34" t="s">
        <v>3557</v>
      </c>
      <c r="D1743" s="34" t="s">
        <v>3558</v>
      </c>
      <c r="E1743" s="34" t="s">
        <v>100</v>
      </c>
      <c r="F1743" s="32" t="n">
        <f aca="false">COUNTIF(Base!$D$2:$D$2878,B1743)</f>
        <v>1</v>
      </c>
      <c r="G1743" s="35" t="n">
        <f aca="false">SUMIF(Base!$D$2:$D$2878,B1743,Base!$I$2:$I$2878)</f>
        <v>298</v>
      </c>
      <c r="H1743" s="36" t="n">
        <f aca="false">IF($G$2849=0,0,G1743/$G$2849)</f>
        <v>1.95554234448429E-005</v>
      </c>
      <c r="I1743" s="37" t="n">
        <f aca="false">I1742+H1743</f>
        <v>0.992082679588216</v>
      </c>
      <c r="J1743" s="37" t="n">
        <f aca="false">A1743/2840</f>
        <v>0.611267605633803</v>
      </c>
      <c r="K1743" s="32" t="str">
        <f aca="false">IF(I1743&lt;=$E$4,"A",IF(I1743&lt;=$E$5,"B","C"))</f>
        <v>C</v>
      </c>
    </row>
    <row r="1744" customFormat="false" ht="15" hidden="false" customHeight="false" outlineLevel="0" collapsed="false">
      <c r="A1744" s="32" t="n">
        <v>1737</v>
      </c>
      <c r="B1744" s="33" t="n">
        <v>17931</v>
      </c>
      <c r="C1744" s="34" t="s">
        <v>3559</v>
      </c>
      <c r="D1744" s="34" t="s">
        <v>3560</v>
      </c>
      <c r="E1744" s="34" t="s">
        <v>130</v>
      </c>
      <c r="F1744" s="32" t="n">
        <f aca="false">COUNTIF(Base!$D$2:$D$2878,B1744)</f>
        <v>1</v>
      </c>
      <c r="G1744" s="35" t="n">
        <f aca="false">SUMIF(Base!$D$2:$D$2878,B1744,Base!$I$2:$I$2878)</f>
        <v>297.66</v>
      </c>
      <c r="H1744" s="36" t="n">
        <f aca="false">IF($G$2849=0,0,G1744/$G$2849)</f>
        <v>1.95331118878924E-005</v>
      </c>
      <c r="I1744" s="37" t="n">
        <f aca="false">I1743+H1744</f>
        <v>0.992102212700104</v>
      </c>
      <c r="J1744" s="37" t="n">
        <f aca="false">A1744/2840</f>
        <v>0.611619718309859</v>
      </c>
      <c r="K1744" s="32" t="str">
        <f aca="false">IF(I1744&lt;=$E$4,"A",IF(I1744&lt;=$E$5,"B","C"))</f>
        <v>C</v>
      </c>
    </row>
    <row r="1745" customFormat="false" ht="15" hidden="false" customHeight="false" outlineLevel="0" collapsed="false">
      <c r="A1745" s="32" t="n">
        <v>1738</v>
      </c>
      <c r="B1745" s="33" t="n">
        <v>1616859</v>
      </c>
      <c r="C1745" s="34" t="s">
        <v>3561</v>
      </c>
      <c r="D1745" s="34" t="s">
        <v>3562</v>
      </c>
      <c r="E1745" s="34" t="s">
        <v>38</v>
      </c>
      <c r="F1745" s="32" t="n">
        <f aca="false">COUNTIF(Base!$D$2:$D$2878,B1745)</f>
        <v>1</v>
      </c>
      <c r="G1745" s="35" t="n">
        <f aca="false">SUMIF(Base!$D$2:$D$2878,B1745,Base!$I$2:$I$2878)</f>
        <v>296.82</v>
      </c>
      <c r="H1745" s="36" t="n">
        <f aca="false">IF($G$2849=0,0,G1745/$G$2849)</f>
        <v>1.94779892177794E-005</v>
      </c>
      <c r="I1745" s="37" t="n">
        <f aca="false">I1744+H1745</f>
        <v>0.992121690689322</v>
      </c>
      <c r="J1745" s="37" t="n">
        <f aca="false">A1745/2840</f>
        <v>0.611971830985916</v>
      </c>
      <c r="K1745" s="32" t="str">
        <f aca="false">IF(I1745&lt;=$E$4,"A",IF(I1745&lt;=$E$5,"B","C"))</f>
        <v>C</v>
      </c>
    </row>
    <row r="1746" customFormat="false" ht="15" hidden="false" customHeight="false" outlineLevel="0" collapsed="false">
      <c r="A1746" s="32" t="n">
        <v>1739</v>
      </c>
      <c r="B1746" s="33" t="n">
        <v>1016039</v>
      </c>
      <c r="C1746" s="34" t="s">
        <v>3563</v>
      </c>
      <c r="D1746" s="34" t="s">
        <v>3564</v>
      </c>
      <c r="E1746" s="34" t="s">
        <v>38</v>
      </c>
      <c r="F1746" s="32" t="n">
        <f aca="false">COUNTIF(Base!$D$2:$D$2878,B1746)</f>
        <v>1</v>
      </c>
      <c r="G1746" s="35" t="n">
        <f aca="false">SUMIF(Base!$D$2:$D$2878,B1746,Base!$I$2:$I$2878)</f>
        <v>296</v>
      </c>
      <c r="H1746" s="36" t="n">
        <f aca="false">IF($G$2849=0,0,G1746/$G$2849)</f>
        <v>1.94241789921929E-005</v>
      </c>
      <c r="I1746" s="37" t="n">
        <f aca="false">I1745+H1746</f>
        <v>0.992141114868314</v>
      </c>
      <c r="J1746" s="37" t="n">
        <f aca="false">A1746/2840</f>
        <v>0.612323943661972</v>
      </c>
      <c r="K1746" s="32" t="str">
        <f aca="false">IF(I1746&lt;=$E$4,"A",IF(I1746&lt;=$E$5,"B","C"))</f>
        <v>C</v>
      </c>
    </row>
    <row r="1747" customFormat="false" ht="15" hidden="false" customHeight="false" outlineLevel="0" collapsed="false">
      <c r="A1747" s="32" t="n">
        <v>1740</v>
      </c>
      <c r="B1747" s="33" t="n">
        <v>559567</v>
      </c>
      <c r="C1747" s="34" t="s">
        <v>3565</v>
      </c>
      <c r="D1747" s="34" t="s">
        <v>3566</v>
      </c>
      <c r="E1747" s="34" t="s">
        <v>130</v>
      </c>
      <c r="F1747" s="32" t="n">
        <f aca="false">COUNTIF(Base!$D$2:$D$2878,B1747)</f>
        <v>1</v>
      </c>
      <c r="G1747" s="35" t="n">
        <f aca="false">SUMIF(Base!$D$2:$D$2878,B1747,Base!$I$2:$I$2878)</f>
        <v>295.2</v>
      </c>
      <c r="H1747" s="36" t="n">
        <f aca="false">IF($G$2849=0,0,G1747/$G$2849)</f>
        <v>1.93716812111329E-005</v>
      </c>
      <c r="I1747" s="37" t="n">
        <f aca="false">I1746+H1747</f>
        <v>0.992160486549525</v>
      </c>
      <c r="J1747" s="37" t="n">
        <f aca="false">A1747/2840</f>
        <v>0.612676056338028</v>
      </c>
      <c r="K1747" s="32" t="str">
        <f aca="false">IF(I1747&lt;=$E$4,"A",IF(I1747&lt;=$E$5,"B","C"))</f>
        <v>C</v>
      </c>
    </row>
    <row r="1748" customFormat="false" ht="15" hidden="false" customHeight="false" outlineLevel="0" collapsed="false">
      <c r="A1748" s="32" t="n">
        <v>1741</v>
      </c>
      <c r="B1748" s="33" t="n">
        <v>1250054</v>
      </c>
      <c r="C1748" s="34" t="s">
        <v>3567</v>
      </c>
      <c r="D1748" s="34" t="s">
        <v>3568</v>
      </c>
      <c r="E1748" s="34" t="s">
        <v>1618</v>
      </c>
      <c r="F1748" s="32" t="n">
        <f aca="false">COUNTIF(Base!$D$2:$D$2878,B1748)</f>
        <v>1</v>
      </c>
      <c r="G1748" s="35" t="n">
        <f aca="false">SUMIF(Base!$D$2:$D$2878,B1748,Base!$I$2:$I$2878)</f>
        <v>295</v>
      </c>
      <c r="H1748" s="36" t="n">
        <f aca="false">IF($G$2849=0,0,G1748/$G$2849)</f>
        <v>1.93585567658679E-005</v>
      </c>
      <c r="I1748" s="37" t="n">
        <f aca="false">I1747+H1748</f>
        <v>0.992179845106291</v>
      </c>
      <c r="J1748" s="37" t="n">
        <f aca="false">A1748/2840</f>
        <v>0.613028169014085</v>
      </c>
      <c r="K1748" s="32" t="str">
        <f aca="false">IF(I1748&lt;=$E$4,"A",IF(I1748&lt;=$E$5,"B","C"))</f>
        <v>C</v>
      </c>
    </row>
    <row r="1749" customFormat="false" ht="15" hidden="false" customHeight="false" outlineLevel="0" collapsed="false">
      <c r="A1749" s="32" t="n">
        <v>1742</v>
      </c>
      <c r="B1749" s="33" t="n">
        <v>35465</v>
      </c>
      <c r="C1749" s="34" t="s">
        <v>3569</v>
      </c>
      <c r="D1749" s="34" t="s">
        <v>3570</v>
      </c>
      <c r="E1749" s="34" t="s">
        <v>130</v>
      </c>
      <c r="F1749" s="32" t="n">
        <f aca="false">COUNTIF(Base!$D$2:$D$2878,B1749)</f>
        <v>1</v>
      </c>
      <c r="G1749" s="35" t="n">
        <f aca="false">SUMIF(Base!$D$2:$D$2878,B1749,Base!$I$2:$I$2878)</f>
        <v>294.7</v>
      </c>
      <c r="H1749" s="36" t="n">
        <f aca="false">IF($G$2849=0,0,G1749/$G$2849)</f>
        <v>1.93388700979704E-005</v>
      </c>
      <c r="I1749" s="37" t="n">
        <f aca="false">I1748+H1749</f>
        <v>0.992199183976389</v>
      </c>
      <c r="J1749" s="37" t="n">
        <f aca="false">A1749/2840</f>
        <v>0.613380281690141</v>
      </c>
      <c r="K1749" s="32" t="str">
        <f aca="false">IF(I1749&lt;=$E$4,"A",IF(I1749&lt;=$E$5,"B","C"))</f>
        <v>C</v>
      </c>
    </row>
    <row r="1750" customFormat="false" ht="15" hidden="false" customHeight="false" outlineLevel="0" collapsed="false">
      <c r="A1750" s="32" t="n">
        <v>1743</v>
      </c>
      <c r="B1750" s="33" t="n">
        <v>17943</v>
      </c>
      <c r="C1750" s="34" t="s">
        <v>3571</v>
      </c>
      <c r="D1750" s="34" t="s">
        <v>3572</v>
      </c>
      <c r="E1750" s="34" t="s">
        <v>130</v>
      </c>
      <c r="F1750" s="32" t="n">
        <f aca="false">COUNTIF(Base!$D$2:$D$2878,B1750)</f>
        <v>1</v>
      </c>
      <c r="G1750" s="35" t="n">
        <f aca="false">SUMIF(Base!$D$2:$D$2878,B1750,Base!$I$2:$I$2878)</f>
        <v>294.16</v>
      </c>
      <c r="H1750" s="36" t="n">
        <f aca="false">IF($G$2849=0,0,G1750/$G$2849)</f>
        <v>1.93034340957549E-005</v>
      </c>
      <c r="I1750" s="37" t="n">
        <f aca="false">I1749+H1750</f>
        <v>0.992218487410485</v>
      </c>
      <c r="J1750" s="37" t="n">
        <f aca="false">A1750/2840</f>
        <v>0.613732394366197</v>
      </c>
      <c r="K1750" s="32" t="str">
        <f aca="false">IF(I1750&lt;=$E$4,"A",IF(I1750&lt;=$E$5,"B","C"))</f>
        <v>C</v>
      </c>
    </row>
    <row r="1751" customFormat="false" ht="15" hidden="false" customHeight="false" outlineLevel="0" collapsed="false">
      <c r="A1751" s="32" t="n">
        <v>1744</v>
      </c>
      <c r="B1751" s="33" t="n">
        <v>1488428</v>
      </c>
      <c r="C1751" s="34" t="s">
        <v>3573</v>
      </c>
      <c r="D1751" s="34" t="s">
        <v>3574</v>
      </c>
      <c r="E1751" s="34" t="s">
        <v>247</v>
      </c>
      <c r="F1751" s="32" t="n">
        <f aca="false">COUNTIF(Base!$D$2:$D$2878,B1751)</f>
        <v>1</v>
      </c>
      <c r="G1751" s="35" t="n">
        <f aca="false">SUMIF(Base!$D$2:$D$2878,B1751,Base!$I$2:$I$2878)</f>
        <v>294</v>
      </c>
      <c r="H1751" s="36" t="n">
        <f aca="false">IF($G$2849=0,0,G1751/$G$2849)</f>
        <v>1.92929345395429E-005</v>
      </c>
      <c r="I1751" s="37" t="n">
        <f aca="false">I1750+H1751</f>
        <v>0.992237780345024</v>
      </c>
      <c r="J1751" s="37" t="n">
        <f aca="false">A1751/2840</f>
        <v>0.614084507042254</v>
      </c>
      <c r="K1751" s="32" t="str">
        <f aca="false">IF(I1751&lt;=$E$4,"A",IF(I1751&lt;=$E$5,"B","C"))</f>
        <v>C</v>
      </c>
    </row>
    <row r="1752" customFormat="false" ht="15" hidden="false" customHeight="false" outlineLevel="0" collapsed="false">
      <c r="A1752" s="32" t="n">
        <v>1745</v>
      </c>
      <c r="B1752" s="33" t="n">
        <v>17894</v>
      </c>
      <c r="C1752" s="34" t="s">
        <v>3575</v>
      </c>
      <c r="D1752" s="34" t="s">
        <v>3576</v>
      </c>
      <c r="E1752" s="34" t="s">
        <v>130</v>
      </c>
      <c r="F1752" s="32" t="n">
        <f aca="false">COUNTIF(Base!$D$2:$D$2878,B1752)</f>
        <v>1</v>
      </c>
      <c r="G1752" s="35" t="n">
        <f aca="false">SUMIF(Base!$D$2:$D$2878,B1752,Base!$I$2:$I$2878)</f>
        <v>293.58</v>
      </c>
      <c r="H1752" s="36" t="n">
        <f aca="false">IF($G$2849=0,0,G1752/$G$2849)</f>
        <v>1.92653732044865E-005</v>
      </c>
      <c r="I1752" s="37" t="n">
        <f aca="false">I1751+H1752</f>
        <v>0.992257045718229</v>
      </c>
      <c r="J1752" s="37" t="n">
        <f aca="false">A1752/2840</f>
        <v>0.61443661971831</v>
      </c>
      <c r="K1752" s="32" t="str">
        <f aca="false">IF(I1752&lt;=$E$4,"A",IF(I1752&lt;=$E$5,"B","C"))</f>
        <v>C</v>
      </c>
    </row>
    <row r="1753" customFormat="false" ht="15" hidden="false" customHeight="false" outlineLevel="0" collapsed="false">
      <c r="A1753" s="32" t="n">
        <v>1746</v>
      </c>
      <c r="B1753" s="33" t="n">
        <v>230407</v>
      </c>
      <c r="C1753" s="34" t="s">
        <v>3577</v>
      </c>
      <c r="D1753" s="34" t="s">
        <v>3578</v>
      </c>
      <c r="E1753" s="34" t="s">
        <v>2056</v>
      </c>
      <c r="F1753" s="32" t="n">
        <f aca="false">COUNTIF(Base!$D$2:$D$2878,B1753)</f>
        <v>1</v>
      </c>
      <c r="G1753" s="35" t="n">
        <f aca="false">SUMIF(Base!$D$2:$D$2878,B1753,Base!$I$2:$I$2878)</f>
        <v>293.5</v>
      </c>
      <c r="H1753" s="36" t="n">
        <f aca="false">IF($G$2849=0,0,G1753/$G$2849)</f>
        <v>1.92601234263805E-005</v>
      </c>
      <c r="I1753" s="37" t="n">
        <f aca="false">I1752+H1753</f>
        <v>0.992276305841655</v>
      </c>
      <c r="J1753" s="37" t="n">
        <f aca="false">A1753/2840</f>
        <v>0.614788732394366</v>
      </c>
      <c r="K1753" s="32" t="str">
        <f aca="false">IF(I1753&lt;=$E$4,"A",IF(I1753&lt;=$E$5,"B","C"))</f>
        <v>C</v>
      </c>
    </row>
    <row r="1754" customFormat="false" ht="15" hidden="false" customHeight="false" outlineLevel="0" collapsed="false">
      <c r="A1754" s="32" t="n">
        <v>1747</v>
      </c>
      <c r="B1754" s="33" t="n">
        <v>1677141</v>
      </c>
      <c r="C1754" s="34" t="s">
        <v>3579</v>
      </c>
      <c r="D1754" s="34" t="s">
        <v>3580</v>
      </c>
      <c r="E1754" s="34" t="s">
        <v>38</v>
      </c>
      <c r="F1754" s="32" t="n">
        <f aca="false">COUNTIF(Base!$D$2:$D$2878,B1754)</f>
        <v>1</v>
      </c>
      <c r="G1754" s="35" t="n">
        <f aca="false">SUMIF(Base!$D$2:$D$2878,B1754,Base!$I$2:$I$2878)</f>
        <v>291.84</v>
      </c>
      <c r="H1754" s="36" t="n">
        <f aca="false">IF($G$2849=0,0,G1754/$G$2849)</f>
        <v>1.9151190530681E-005</v>
      </c>
      <c r="I1754" s="37" t="n">
        <f aca="false">I1753+H1754</f>
        <v>0.992295457032186</v>
      </c>
      <c r="J1754" s="37" t="n">
        <f aca="false">A1754/2840</f>
        <v>0.615140845070423</v>
      </c>
      <c r="K1754" s="32" t="str">
        <f aca="false">IF(I1754&lt;=$E$4,"A",IF(I1754&lt;=$E$5,"B","C"))</f>
        <v>C</v>
      </c>
    </row>
    <row r="1755" customFormat="false" ht="15" hidden="false" customHeight="false" outlineLevel="0" collapsed="false">
      <c r="A1755" s="32" t="n">
        <v>1748</v>
      </c>
      <c r="B1755" s="33" t="n">
        <v>1330144</v>
      </c>
      <c r="C1755" s="34" t="s">
        <v>3581</v>
      </c>
      <c r="D1755" s="34" t="s">
        <v>3582</v>
      </c>
      <c r="E1755" s="34" t="s">
        <v>38</v>
      </c>
      <c r="F1755" s="32" t="n">
        <f aca="false">COUNTIF(Base!$D$2:$D$2878,B1755)</f>
        <v>1</v>
      </c>
      <c r="G1755" s="35" t="n">
        <f aca="false">SUMIF(Base!$D$2:$D$2878,B1755,Base!$I$2:$I$2878)</f>
        <v>290</v>
      </c>
      <c r="H1755" s="36" t="n">
        <f aca="false">IF($G$2849=0,0,G1755/$G$2849)</f>
        <v>1.9030445634243E-005</v>
      </c>
      <c r="I1755" s="37" t="n">
        <f aca="false">I1754+H1755</f>
        <v>0.99231448747782</v>
      </c>
      <c r="J1755" s="37" t="n">
        <f aca="false">A1755/2840</f>
        <v>0.615492957746479</v>
      </c>
      <c r="K1755" s="32" t="str">
        <f aca="false">IF(I1755&lt;=$E$4,"A",IF(I1755&lt;=$E$5,"B","C"))</f>
        <v>C</v>
      </c>
    </row>
    <row r="1756" customFormat="false" ht="15" hidden="false" customHeight="false" outlineLevel="0" collapsed="false">
      <c r="A1756" s="32" t="n">
        <v>1749</v>
      </c>
      <c r="B1756" s="33" t="n">
        <v>938325</v>
      </c>
      <c r="C1756" s="34" t="s">
        <v>3583</v>
      </c>
      <c r="D1756" s="34" t="s">
        <v>3584</v>
      </c>
      <c r="E1756" s="34" t="s">
        <v>113</v>
      </c>
      <c r="F1756" s="32" t="n">
        <f aca="false">COUNTIF(Base!$D$2:$D$2878,B1756)</f>
        <v>1</v>
      </c>
      <c r="G1756" s="35" t="n">
        <f aca="false">SUMIF(Base!$D$2:$D$2878,B1756,Base!$I$2:$I$2878)</f>
        <v>289.9</v>
      </c>
      <c r="H1756" s="36" t="n">
        <f aca="false">IF($G$2849=0,0,G1756/$G$2849)</f>
        <v>1.90238834116105E-005</v>
      </c>
      <c r="I1756" s="37" t="n">
        <f aca="false">I1755+H1756</f>
        <v>0.992333511361231</v>
      </c>
      <c r="J1756" s="37" t="n">
        <f aca="false">A1756/2840</f>
        <v>0.615845070422535</v>
      </c>
      <c r="K1756" s="32" t="str">
        <f aca="false">IF(I1756&lt;=$E$4,"A",IF(I1756&lt;=$E$5,"B","C"))</f>
        <v>C</v>
      </c>
    </row>
    <row r="1757" customFormat="false" ht="15" hidden="false" customHeight="false" outlineLevel="0" collapsed="false">
      <c r="A1757" s="32" t="n">
        <v>1750</v>
      </c>
      <c r="B1757" s="33" t="n">
        <v>1312594</v>
      </c>
      <c r="C1757" s="34" t="s">
        <v>3585</v>
      </c>
      <c r="D1757" s="34" t="s">
        <v>3586</v>
      </c>
      <c r="E1757" s="34" t="s">
        <v>189</v>
      </c>
      <c r="F1757" s="32" t="n">
        <f aca="false">COUNTIF(Base!$D$2:$D$2878,B1757)</f>
        <v>1</v>
      </c>
      <c r="G1757" s="35" t="n">
        <f aca="false">SUMIF(Base!$D$2:$D$2878,B1757,Base!$I$2:$I$2878)</f>
        <v>289.25</v>
      </c>
      <c r="H1757" s="36" t="n">
        <f aca="false">IF($G$2849=0,0,G1757/$G$2849)</f>
        <v>1.89812289644993E-005</v>
      </c>
      <c r="I1757" s="37" t="n">
        <f aca="false">I1756+H1757</f>
        <v>0.992352492590196</v>
      </c>
      <c r="J1757" s="37" t="n">
        <f aca="false">A1757/2840</f>
        <v>0.616197183098592</v>
      </c>
      <c r="K1757" s="32" t="str">
        <f aca="false">IF(I1757&lt;=$E$4,"A",IF(I1757&lt;=$E$5,"B","C"))</f>
        <v>C</v>
      </c>
    </row>
    <row r="1758" customFormat="false" ht="15" hidden="false" customHeight="false" outlineLevel="0" collapsed="false">
      <c r="A1758" s="32" t="n">
        <v>1751</v>
      </c>
      <c r="B1758" s="33" t="n">
        <v>844080</v>
      </c>
      <c r="C1758" s="34" t="s">
        <v>3587</v>
      </c>
      <c r="D1758" s="34" t="s">
        <v>3588</v>
      </c>
      <c r="E1758" s="34" t="s">
        <v>38</v>
      </c>
      <c r="F1758" s="32" t="n">
        <f aca="false">COUNTIF(Base!$D$2:$D$2878,B1758)</f>
        <v>1</v>
      </c>
      <c r="G1758" s="35" t="n">
        <f aca="false">SUMIF(Base!$D$2:$D$2878,B1758,Base!$I$2:$I$2878)</f>
        <v>288.96</v>
      </c>
      <c r="H1758" s="36" t="n">
        <f aca="false">IF($G$2849=0,0,G1758/$G$2849)</f>
        <v>1.89621985188651E-005</v>
      </c>
      <c r="I1758" s="37" t="n">
        <f aca="false">I1757+H1758</f>
        <v>0.992371454788715</v>
      </c>
      <c r="J1758" s="37" t="n">
        <f aca="false">A1758/2840</f>
        <v>0.616549295774648</v>
      </c>
      <c r="K1758" s="32" t="str">
        <f aca="false">IF(I1758&lt;=$E$4,"A",IF(I1758&lt;=$E$5,"B","C"))</f>
        <v>C</v>
      </c>
    </row>
    <row r="1759" customFormat="false" ht="15" hidden="false" customHeight="false" outlineLevel="0" collapsed="false">
      <c r="A1759" s="32" t="n">
        <v>1752</v>
      </c>
      <c r="B1759" s="33" t="n">
        <v>1485197</v>
      </c>
      <c r="C1759" s="34" t="s">
        <v>3589</v>
      </c>
      <c r="D1759" s="34" t="s">
        <v>3590</v>
      </c>
      <c r="E1759" s="34" t="s">
        <v>133</v>
      </c>
      <c r="F1759" s="32" t="n">
        <f aca="false">COUNTIF(Base!$D$2:$D$2878,B1759)</f>
        <v>1</v>
      </c>
      <c r="G1759" s="35" t="n">
        <f aca="false">SUMIF(Base!$D$2:$D$2878,B1759,Base!$I$2:$I$2878)</f>
        <v>288.9</v>
      </c>
      <c r="H1759" s="36" t="n">
        <f aca="false">IF($G$2849=0,0,G1759/$G$2849)</f>
        <v>1.89582611852856E-005</v>
      </c>
      <c r="I1759" s="37" t="n">
        <f aca="false">I1758+H1759</f>
        <v>0.9923904130499</v>
      </c>
      <c r="J1759" s="37" t="n">
        <f aca="false">A1759/2840</f>
        <v>0.616901408450704</v>
      </c>
      <c r="K1759" s="32" t="str">
        <f aca="false">IF(I1759&lt;=$E$4,"A",IF(I1759&lt;=$E$5,"B","C"))</f>
        <v>C</v>
      </c>
    </row>
    <row r="1760" customFormat="false" ht="15" hidden="false" customHeight="false" outlineLevel="0" collapsed="false">
      <c r="A1760" s="32" t="n">
        <v>1753</v>
      </c>
      <c r="B1760" s="33" t="n">
        <v>279641</v>
      </c>
      <c r="C1760" s="34" t="s">
        <v>3591</v>
      </c>
      <c r="D1760" s="34" t="s">
        <v>3592</v>
      </c>
      <c r="E1760" s="34" t="s">
        <v>38</v>
      </c>
      <c r="F1760" s="32" t="n">
        <f aca="false">COUNTIF(Base!$D$2:$D$2878,B1760)</f>
        <v>1</v>
      </c>
      <c r="G1760" s="35" t="n">
        <f aca="false">SUMIF(Base!$D$2:$D$2878,B1760,Base!$I$2:$I$2878)</f>
        <v>288.28</v>
      </c>
      <c r="H1760" s="36" t="n">
        <f aca="false">IF($G$2849=0,0,G1760/$G$2849)</f>
        <v>1.89175754049641E-005</v>
      </c>
      <c r="I1760" s="37" t="n">
        <f aca="false">I1759+H1760</f>
        <v>0.992409330625305</v>
      </c>
      <c r="J1760" s="37" t="n">
        <f aca="false">A1760/2840</f>
        <v>0.617253521126761</v>
      </c>
      <c r="K1760" s="32" t="str">
        <f aca="false">IF(I1760&lt;=$E$4,"A",IF(I1760&lt;=$E$5,"B","C"))</f>
        <v>C</v>
      </c>
    </row>
    <row r="1761" customFormat="false" ht="15" hidden="false" customHeight="false" outlineLevel="0" collapsed="false">
      <c r="A1761" s="32" t="n">
        <v>1754</v>
      </c>
      <c r="B1761" s="33" t="n">
        <v>33097</v>
      </c>
      <c r="C1761" s="34" t="s">
        <v>3593</v>
      </c>
      <c r="D1761" s="34" t="s">
        <v>3594</v>
      </c>
      <c r="E1761" s="34" t="s">
        <v>38</v>
      </c>
      <c r="F1761" s="32" t="n">
        <f aca="false">COUNTIF(Base!$D$2:$D$2878,B1761)</f>
        <v>1</v>
      </c>
      <c r="G1761" s="35" t="n">
        <f aca="false">SUMIF(Base!$D$2:$D$2878,B1761,Base!$I$2:$I$2878)</f>
        <v>288</v>
      </c>
      <c r="H1761" s="36" t="n">
        <f aca="false">IF($G$2849=0,0,G1761/$G$2849)</f>
        <v>1.88992011815931E-005</v>
      </c>
      <c r="I1761" s="37" t="n">
        <f aca="false">I1760+H1761</f>
        <v>0.992428229826486</v>
      </c>
      <c r="J1761" s="37" t="n">
        <f aca="false">A1761/2840</f>
        <v>0.617605633802817</v>
      </c>
      <c r="K1761" s="32" t="str">
        <f aca="false">IF(I1761&lt;=$E$4,"A",IF(I1761&lt;=$E$5,"B","C"))</f>
        <v>C</v>
      </c>
    </row>
    <row r="1762" customFormat="false" ht="15" hidden="false" customHeight="false" outlineLevel="0" collapsed="false">
      <c r="A1762" s="32" t="n">
        <v>1755</v>
      </c>
      <c r="B1762" s="33" t="n">
        <v>608439</v>
      </c>
      <c r="C1762" s="34" t="s">
        <v>3595</v>
      </c>
      <c r="D1762" s="34" t="s">
        <v>3596</v>
      </c>
      <c r="E1762" s="34" t="s">
        <v>605</v>
      </c>
      <c r="F1762" s="32" t="n">
        <f aca="false">COUNTIF(Base!$D$2:$D$2878,B1762)</f>
        <v>1</v>
      </c>
      <c r="G1762" s="35" t="n">
        <f aca="false">SUMIF(Base!$D$2:$D$2878,B1762,Base!$I$2:$I$2878)</f>
        <v>288</v>
      </c>
      <c r="H1762" s="36" t="n">
        <f aca="false">IF($G$2849=0,0,G1762/$G$2849)</f>
        <v>1.88992011815931E-005</v>
      </c>
      <c r="I1762" s="37" t="n">
        <f aca="false">I1761+H1762</f>
        <v>0.992447129027668</v>
      </c>
      <c r="J1762" s="37" t="n">
        <f aca="false">A1762/2840</f>
        <v>0.617957746478873</v>
      </c>
      <c r="K1762" s="32" t="str">
        <f aca="false">IF(I1762&lt;=$E$4,"A",IF(I1762&lt;=$E$5,"B","C"))</f>
        <v>C</v>
      </c>
    </row>
    <row r="1763" customFormat="false" ht="15" hidden="false" customHeight="false" outlineLevel="0" collapsed="false">
      <c r="A1763" s="32" t="n">
        <v>1756</v>
      </c>
      <c r="B1763" s="33" t="n">
        <v>880315</v>
      </c>
      <c r="C1763" s="34" t="s">
        <v>3597</v>
      </c>
      <c r="D1763" s="34" t="s">
        <v>3598</v>
      </c>
      <c r="E1763" s="34" t="s">
        <v>130</v>
      </c>
      <c r="F1763" s="32" t="n">
        <f aca="false">COUNTIF(Base!$D$2:$D$2878,B1763)</f>
        <v>1</v>
      </c>
      <c r="G1763" s="35" t="n">
        <f aca="false">SUMIF(Base!$D$2:$D$2878,B1763,Base!$I$2:$I$2878)</f>
        <v>288</v>
      </c>
      <c r="H1763" s="36" t="n">
        <f aca="false">IF($G$2849=0,0,G1763/$G$2849)</f>
        <v>1.88992011815931E-005</v>
      </c>
      <c r="I1763" s="37" t="n">
        <f aca="false">I1762+H1763</f>
        <v>0.99246602822885</v>
      </c>
      <c r="J1763" s="37" t="n">
        <f aca="false">A1763/2840</f>
        <v>0.61830985915493</v>
      </c>
      <c r="K1763" s="32" t="str">
        <f aca="false">IF(I1763&lt;=$E$4,"A",IF(I1763&lt;=$E$5,"B","C"))</f>
        <v>C</v>
      </c>
    </row>
    <row r="1764" customFormat="false" ht="15" hidden="false" customHeight="false" outlineLevel="0" collapsed="false">
      <c r="A1764" s="32" t="n">
        <v>1757</v>
      </c>
      <c r="B1764" s="33" t="n">
        <v>1107852</v>
      </c>
      <c r="C1764" s="34" t="s">
        <v>3599</v>
      </c>
      <c r="D1764" s="34" t="s">
        <v>3600</v>
      </c>
      <c r="E1764" s="34" t="s">
        <v>480</v>
      </c>
      <c r="F1764" s="32" t="n">
        <f aca="false">COUNTIF(Base!$D$2:$D$2878,B1764)</f>
        <v>1</v>
      </c>
      <c r="G1764" s="35" t="n">
        <f aca="false">SUMIF(Base!$D$2:$D$2878,B1764,Base!$I$2:$I$2878)</f>
        <v>288</v>
      </c>
      <c r="H1764" s="36" t="n">
        <f aca="false">IF($G$2849=0,0,G1764/$G$2849)</f>
        <v>1.88992011815931E-005</v>
      </c>
      <c r="I1764" s="37" t="n">
        <f aca="false">I1763+H1764</f>
        <v>0.992484927430031</v>
      </c>
      <c r="J1764" s="37" t="n">
        <f aca="false">A1764/2840</f>
        <v>0.618661971830986</v>
      </c>
      <c r="K1764" s="32" t="str">
        <f aca="false">IF(I1764&lt;=$E$4,"A",IF(I1764&lt;=$E$5,"B","C"))</f>
        <v>C</v>
      </c>
    </row>
    <row r="1765" customFormat="false" ht="15" hidden="false" customHeight="false" outlineLevel="0" collapsed="false">
      <c r="A1765" s="32" t="n">
        <v>1758</v>
      </c>
      <c r="B1765" s="33" t="n">
        <v>24365</v>
      </c>
      <c r="C1765" s="34" t="s">
        <v>3601</v>
      </c>
      <c r="D1765" s="34" t="s">
        <v>3602</v>
      </c>
      <c r="E1765" s="34" t="s">
        <v>1618</v>
      </c>
      <c r="F1765" s="32" t="n">
        <f aca="false">COUNTIF(Base!$D$2:$D$2878,B1765)</f>
        <v>1</v>
      </c>
      <c r="G1765" s="35" t="n">
        <f aca="false">SUMIF(Base!$D$2:$D$2878,B1765,Base!$I$2:$I$2878)</f>
        <v>287.28</v>
      </c>
      <c r="H1765" s="36" t="n">
        <f aca="false">IF($G$2849=0,0,G1765/$G$2849)</f>
        <v>1.88519531786391E-005</v>
      </c>
      <c r="I1765" s="37" t="n">
        <f aca="false">I1764+H1765</f>
        <v>0.99250377938321</v>
      </c>
      <c r="J1765" s="37" t="n">
        <f aca="false">A1765/2840</f>
        <v>0.619014084507042</v>
      </c>
      <c r="K1765" s="32" t="str">
        <f aca="false">IF(I1765&lt;=$E$4,"A",IF(I1765&lt;=$E$5,"B","C"))</f>
        <v>C</v>
      </c>
    </row>
    <row r="1766" customFormat="false" ht="15" hidden="false" customHeight="false" outlineLevel="0" collapsed="false">
      <c r="A1766" s="32" t="n">
        <v>1759</v>
      </c>
      <c r="B1766" s="33" t="n">
        <v>1615084</v>
      </c>
      <c r="C1766" s="34" t="s">
        <v>3603</v>
      </c>
      <c r="D1766" s="34" t="s">
        <v>3604</v>
      </c>
      <c r="E1766" s="34" t="s">
        <v>38</v>
      </c>
      <c r="F1766" s="32" t="n">
        <f aca="false">COUNTIF(Base!$D$2:$D$2878,B1766)</f>
        <v>1</v>
      </c>
      <c r="G1766" s="35" t="n">
        <f aca="false">SUMIF(Base!$D$2:$D$2878,B1766,Base!$I$2:$I$2878)</f>
        <v>285.22</v>
      </c>
      <c r="H1766" s="36" t="n">
        <f aca="false">IF($G$2849=0,0,G1766/$G$2849)</f>
        <v>1.87167713924097E-005</v>
      </c>
      <c r="I1766" s="37" t="n">
        <f aca="false">I1765+H1766</f>
        <v>0.992522496154602</v>
      </c>
      <c r="J1766" s="37" t="n">
        <f aca="false">A1766/2840</f>
        <v>0.619366197183099</v>
      </c>
      <c r="K1766" s="32" t="str">
        <f aca="false">IF(I1766&lt;=$E$4,"A",IF(I1766&lt;=$E$5,"B","C"))</f>
        <v>C</v>
      </c>
    </row>
    <row r="1767" customFormat="false" ht="15" hidden="false" customHeight="false" outlineLevel="0" collapsed="false">
      <c r="A1767" s="32" t="n">
        <v>1760</v>
      </c>
      <c r="B1767" s="33" t="n">
        <v>18847</v>
      </c>
      <c r="C1767" s="34" t="s">
        <v>3605</v>
      </c>
      <c r="D1767" s="34" t="s">
        <v>3606</v>
      </c>
      <c r="E1767" s="34" t="s">
        <v>247</v>
      </c>
      <c r="F1767" s="32" t="n">
        <f aca="false">COUNTIF(Base!$D$2:$D$2878,B1767)</f>
        <v>1</v>
      </c>
      <c r="G1767" s="35" t="n">
        <f aca="false">SUMIF(Base!$D$2:$D$2878,B1767,Base!$I$2:$I$2878)</f>
        <v>284.02</v>
      </c>
      <c r="H1767" s="36" t="n">
        <f aca="false">IF($G$2849=0,0,G1767/$G$2849)</f>
        <v>1.86380247208197E-005</v>
      </c>
      <c r="I1767" s="37" t="n">
        <f aca="false">I1766+H1767</f>
        <v>0.992541134179323</v>
      </c>
      <c r="J1767" s="37" t="n">
        <f aca="false">A1767/2840</f>
        <v>0.619718309859155</v>
      </c>
      <c r="K1767" s="32" t="str">
        <f aca="false">IF(I1767&lt;=$E$4,"A",IF(I1767&lt;=$E$5,"B","C"))</f>
        <v>C</v>
      </c>
    </row>
    <row r="1768" customFormat="false" ht="15" hidden="false" customHeight="false" outlineLevel="0" collapsed="false">
      <c r="A1768" s="32" t="n">
        <v>1761</v>
      </c>
      <c r="B1768" s="33" t="n">
        <v>21656</v>
      </c>
      <c r="C1768" s="34" t="s">
        <v>3607</v>
      </c>
      <c r="D1768" s="34" t="s">
        <v>3608</v>
      </c>
      <c r="E1768" s="34" t="s">
        <v>189</v>
      </c>
      <c r="F1768" s="32" t="n">
        <f aca="false">COUNTIF(Base!$D$2:$D$2878,B1768)</f>
        <v>1</v>
      </c>
      <c r="G1768" s="35" t="n">
        <f aca="false">SUMIF(Base!$D$2:$D$2878,B1768,Base!$I$2:$I$2878)</f>
        <v>283.5</v>
      </c>
      <c r="H1768" s="36" t="n">
        <f aca="false">IF($G$2849=0,0,G1768/$G$2849)</f>
        <v>1.86039011631307E-005</v>
      </c>
      <c r="I1768" s="37" t="n">
        <f aca="false">I1767+H1768</f>
        <v>0.992559738080486</v>
      </c>
      <c r="J1768" s="37" t="n">
        <f aca="false">A1768/2840</f>
        <v>0.620070422535211</v>
      </c>
      <c r="K1768" s="32" t="str">
        <f aca="false">IF(I1768&lt;=$E$4,"A",IF(I1768&lt;=$E$5,"B","C"))</f>
        <v>C</v>
      </c>
    </row>
    <row r="1769" customFormat="false" ht="15" hidden="false" customHeight="false" outlineLevel="0" collapsed="false">
      <c r="A1769" s="32" t="n">
        <v>1762</v>
      </c>
      <c r="B1769" s="33" t="n">
        <v>19577</v>
      </c>
      <c r="C1769" s="34" t="s">
        <v>3609</v>
      </c>
      <c r="D1769" s="34" t="s">
        <v>3610</v>
      </c>
      <c r="E1769" s="34" t="s">
        <v>1095</v>
      </c>
      <c r="F1769" s="32" t="n">
        <f aca="false">COUNTIF(Base!$D$2:$D$2878,B1769)</f>
        <v>1</v>
      </c>
      <c r="G1769" s="35" t="n">
        <f aca="false">SUMIF(Base!$D$2:$D$2878,B1769,Base!$I$2:$I$2878)</f>
        <v>283.2</v>
      </c>
      <c r="H1769" s="36" t="n">
        <f aca="false">IF($G$2849=0,0,G1769/$G$2849)</f>
        <v>1.85842144952332E-005</v>
      </c>
      <c r="I1769" s="37" t="n">
        <f aca="false">I1768+H1769</f>
        <v>0.992578322294981</v>
      </c>
      <c r="J1769" s="37" t="n">
        <f aca="false">A1769/2840</f>
        <v>0.620422535211268</v>
      </c>
      <c r="K1769" s="32" t="str">
        <f aca="false">IF(I1769&lt;=$E$4,"A",IF(I1769&lt;=$E$5,"B","C"))</f>
        <v>C</v>
      </c>
    </row>
    <row r="1770" customFormat="false" ht="15" hidden="false" customHeight="false" outlineLevel="0" collapsed="false">
      <c r="A1770" s="32" t="n">
        <v>1763</v>
      </c>
      <c r="B1770" s="33" t="n">
        <v>1669303</v>
      </c>
      <c r="C1770" s="34" t="s">
        <v>3611</v>
      </c>
      <c r="D1770" s="34" t="s">
        <v>3612</v>
      </c>
      <c r="E1770" s="34" t="s">
        <v>189</v>
      </c>
      <c r="F1770" s="32" t="n">
        <f aca="false">COUNTIF(Base!$D$2:$D$2878,B1770)</f>
        <v>1</v>
      </c>
      <c r="G1770" s="35" t="n">
        <f aca="false">SUMIF(Base!$D$2:$D$2878,B1770,Base!$I$2:$I$2878)</f>
        <v>283.1</v>
      </c>
      <c r="H1770" s="36" t="n">
        <f aca="false">IF($G$2849=0,0,G1770/$G$2849)</f>
        <v>1.85776522726007E-005</v>
      </c>
      <c r="I1770" s="37" t="n">
        <f aca="false">I1769+H1770</f>
        <v>0.992596899947254</v>
      </c>
      <c r="J1770" s="37" t="n">
        <f aca="false">A1770/2840</f>
        <v>0.620774647887324</v>
      </c>
      <c r="K1770" s="32" t="str">
        <f aca="false">IF(I1770&lt;=$E$4,"A",IF(I1770&lt;=$E$5,"B","C"))</f>
        <v>C</v>
      </c>
    </row>
    <row r="1771" customFormat="false" ht="15" hidden="false" customHeight="false" outlineLevel="0" collapsed="false">
      <c r="A1771" s="32" t="n">
        <v>1764</v>
      </c>
      <c r="B1771" s="33" t="n">
        <v>840034</v>
      </c>
      <c r="C1771" s="34" t="s">
        <v>3613</v>
      </c>
      <c r="D1771" s="34" t="s">
        <v>3614</v>
      </c>
      <c r="E1771" s="34" t="s">
        <v>54</v>
      </c>
      <c r="F1771" s="32" t="n">
        <f aca="false">COUNTIF(Base!$D$2:$D$2878,B1771)</f>
        <v>1</v>
      </c>
      <c r="G1771" s="35" t="n">
        <f aca="false">SUMIF(Base!$D$2:$D$2878,B1771,Base!$I$2:$I$2878)</f>
        <v>282.7</v>
      </c>
      <c r="H1771" s="36" t="n">
        <f aca="false">IF($G$2849=0,0,G1771/$G$2849)</f>
        <v>1.85514033820707E-005</v>
      </c>
      <c r="I1771" s="37" t="n">
        <f aca="false">I1770+H1771</f>
        <v>0.992615451350636</v>
      </c>
      <c r="J1771" s="37" t="n">
        <f aca="false">A1771/2840</f>
        <v>0.62112676056338</v>
      </c>
      <c r="K1771" s="32" t="str">
        <f aca="false">IF(I1771&lt;=$E$4,"A",IF(I1771&lt;=$E$5,"B","C"))</f>
        <v>C</v>
      </c>
    </row>
    <row r="1772" customFormat="false" ht="15" hidden="false" customHeight="false" outlineLevel="0" collapsed="false">
      <c r="A1772" s="32" t="n">
        <v>1765</v>
      </c>
      <c r="B1772" s="33" t="n">
        <v>18190</v>
      </c>
      <c r="C1772" s="34" t="s">
        <v>3615</v>
      </c>
      <c r="D1772" s="34" t="s">
        <v>3616</v>
      </c>
      <c r="E1772" s="34" t="s">
        <v>678</v>
      </c>
      <c r="F1772" s="32" t="n">
        <f aca="false">COUNTIF(Base!$D$2:$D$2878,B1772)</f>
        <v>1</v>
      </c>
      <c r="G1772" s="35" t="n">
        <f aca="false">SUMIF(Base!$D$2:$D$2878,B1772,Base!$I$2:$I$2878)</f>
        <v>280</v>
      </c>
      <c r="H1772" s="36" t="n">
        <f aca="false">IF($G$2849=0,0,G1772/$G$2849)</f>
        <v>1.83742233709933E-005</v>
      </c>
      <c r="I1772" s="37" t="n">
        <f aca="false">I1771+H1772</f>
        <v>0.992633825574007</v>
      </c>
      <c r="J1772" s="37" t="n">
        <f aca="false">A1772/2840</f>
        <v>0.621478873239437</v>
      </c>
      <c r="K1772" s="32" t="str">
        <f aca="false">IF(I1772&lt;=$E$4,"A",IF(I1772&lt;=$E$5,"B","C"))</f>
        <v>C</v>
      </c>
    </row>
    <row r="1773" customFormat="false" ht="15" hidden="false" customHeight="false" outlineLevel="0" collapsed="false">
      <c r="A1773" s="32" t="n">
        <v>1766</v>
      </c>
      <c r="B1773" s="33" t="n">
        <v>942092</v>
      </c>
      <c r="C1773" s="34" t="s">
        <v>3617</v>
      </c>
      <c r="D1773" s="34" t="s">
        <v>3618</v>
      </c>
      <c r="E1773" s="34" t="s">
        <v>1095</v>
      </c>
      <c r="F1773" s="32" t="n">
        <f aca="false">COUNTIF(Base!$D$2:$D$2878,B1773)</f>
        <v>1</v>
      </c>
      <c r="G1773" s="35" t="n">
        <f aca="false">SUMIF(Base!$D$2:$D$2878,B1773,Base!$I$2:$I$2878)</f>
        <v>280</v>
      </c>
      <c r="H1773" s="36" t="n">
        <f aca="false">IF($G$2849=0,0,G1773/$G$2849)</f>
        <v>1.83742233709933E-005</v>
      </c>
      <c r="I1773" s="37" t="n">
        <f aca="false">I1772+H1773</f>
        <v>0.992652199797378</v>
      </c>
      <c r="J1773" s="37" t="n">
        <f aca="false">A1773/2840</f>
        <v>0.621830985915493</v>
      </c>
      <c r="K1773" s="32" t="str">
        <f aca="false">IF(I1773&lt;=$E$4,"A",IF(I1773&lt;=$E$5,"B","C"))</f>
        <v>C</v>
      </c>
    </row>
    <row r="1774" customFormat="false" ht="15" hidden="false" customHeight="false" outlineLevel="0" collapsed="false">
      <c r="A1774" s="32" t="n">
        <v>1767</v>
      </c>
      <c r="B1774" s="33" t="n">
        <v>21317</v>
      </c>
      <c r="C1774" s="34" t="s">
        <v>3619</v>
      </c>
      <c r="D1774" s="34" t="s">
        <v>3620</v>
      </c>
      <c r="E1774" s="34" t="s">
        <v>38</v>
      </c>
      <c r="F1774" s="32" t="n">
        <f aca="false">COUNTIF(Base!$D$2:$D$2878,B1774)</f>
        <v>1</v>
      </c>
      <c r="G1774" s="35" t="n">
        <f aca="false">SUMIF(Base!$D$2:$D$2878,B1774,Base!$I$2:$I$2878)</f>
        <v>279.84</v>
      </c>
      <c r="H1774" s="36" t="n">
        <f aca="false">IF($G$2849=0,0,G1774/$G$2849)</f>
        <v>1.83637238147813E-005</v>
      </c>
      <c r="I1774" s="37" t="n">
        <f aca="false">I1773+H1774</f>
        <v>0.992670563521193</v>
      </c>
      <c r="J1774" s="37" t="n">
        <f aca="false">A1774/2840</f>
        <v>0.622183098591549</v>
      </c>
      <c r="K1774" s="32" t="str">
        <f aca="false">IF(I1774&lt;=$E$4,"A",IF(I1774&lt;=$E$5,"B","C"))</f>
        <v>C</v>
      </c>
    </row>
    <row r="1775" customFormat="false" ht="15" hidden="false" customHeight="false" outlineLevel="0" collapsed="false">
      <c r="A1775" s="32" t="n">
        <v>1768</v>
      </c>
      <c r="B1775" s="33" t="n">
        <v>56596</v>
      </c>
      <c r="C1775" s="34" t="s">
        <v>3621</v>
      </c>
      <c r="D1775" s="34" t="s">
        <v>3622</v>
      </c>
      <c r="E1775" s="34" t="s">
        <v>100</v>
      </c>
      <c r="F1775" s="32" t="n">
        <f aca="false">COUNTIF(Base!$D$2:$D$2878,B1775)</f>
        <v>1</v>
      </c>
      <c r="G1775" s="35" t="n">
        <f aca="false">SUMIF(Base!$D$2:$D$2878,B1775,Base!$I$2:$I$2878)</f>
        <v>279.6</v>
      </c>
      <c r="H1775" s="36" t="n">
        <f aca="false">IF($G$2849=0,0,G1775/$G$2849)</f>
        <v>1.83479744804633E-005</v>
      </c>
      <c r="I1775" s="37" t="n">
        <f aca="false">I1774+H1775</f>
        <v>0.992688911495673</v>
      </c>
      <c r="J1775" s="37" t="n">
        <f aca="false">A1775/2840</f>
        <v>0.622535211267606</v>
      </c>
      <c r="K1775" s="32" t="str">
        <f aca="false">IF(I1775&lt;=$E$4,"A",IF(I1775&lt;=$E$5,"B","C"))</f>
        <v>C</v>
      </c>
    </row>
    <row r="1776" customFormat="false" ht="15" hidden="false" customHeight="false" outlineLevel="0" collapsed="false">
      <c r="A1776" s="32" t="n">
        <v>1769</v>
      </c>
      <c r="B1776" s="33" t="n">
        <v>1466626</v>
      </c>
      <c r="C1776" s="34" t="s">
        <v>3623</v>
      </c>
      <c r="D1776" s="34" t="s">
        <v>3624</v>
      </c>
      <c r="E1776" s="34" t="s">
        <v>38</v>
      </c>
      <c r="F1776" s="32" t="n">
        <f aca="false">COUNTIF(Base!$D$2:$D$2878,B1776)</f>
        <v>1</v>
      </c>
      <c r="G1776" s="35" t="n">
        <f aca="false">SUMIF(Base!$D$2:$D$2878,B1776,Base!$I$2:$I$2878)</f>
        <v>279.52</v>
      </c>
      <c r="H1776" s="36" t="n">
        <f aca="false">IF($G$2849=0,0,G1776/$G$2849)</f>
        <v>1.83427247023573E-005</v>
      </c>
      <c r="I1776" s="37" t="n">
        <f aca="false">I1775+H1776</f>
        <v>0.992707254220376</v>
      </c>
      <c r="J1776" s="37" t="n">
        <f aca="false">A1776/2840</f>
        <v>0.622887323943662</v>
      </c>
      <c r="K1776" s="32" t="str">
        <f aca="false">IF(I1776&lt;=$E$4,"A",IF(I1776&lt;=$E$5,"B","C"))</f>
        <v>C</v>
      </c>
    </row>
    <row r="1777" customFormat="false" ht="15" hidden="false" customHeight="false" outlineLevel="0" collapsed="false">
      <c r="A1777" s="32" t="n">
        <v>1770</v>
      </c>
      <c r="B1777" s="33" t="n">
        <v>1382866</v>
      </c>
      <c r="C1777" s="34" t="s">
        <v>3625</v>
      </c>
      <c r="D1777" s="34" t="s">
        <v>3626</v>
      </c>
      <c r="E1777" s="34" t="s">
        <v>38</v>
      </c>
      <c r="F1777" s="32" t="n">
        <f aca="false">COUNTIF(Base!$D$2:$D$2878,B1777)</f>
        <v>1</v>
      </c>
      <c r="G1777" s="35" t="n">
        <f aca="false">SUMIF(Base!$D$2:$D$2878,B1777,Base!$I$2:$I$2878)</f>
        <v>277.65</v>
      </c>
      <c r="H1777" s="36" t="n">
        <f aca="false">IF($G$2849=0,0,G1777/$G$2849)</f>
        <v>1.82200111391296E-005</v>
      </c>
      <c r="I1777" s="37" t="n">
        <f aca="false">I1776+H1777</f>
        <v>0.992725474231515</v>
      </c>
      <c r="J1777" s="37" t="n">
        <f aca="false">A1777/2840</f>
        <v>0.623239436619718</v>
      </c>
      <c r="K1777" s="32" t="str">
        <f aca="false">IF(I1777&lt;=$E$4,"A",IF(I1777&lt;=$E$5,"B","C"))</f>
        <v>C</v>
      </c>
    </row>
    <row r="1778" customFormat="false" ht="15" hidden="false" customHeight="false" outlineLevel="0" collapsed="false">
      <c r="A1778" s="32" t="n">
        <v>1771</v>
      </c>
      <c r="B1778" s="33" t="n">
        <v>1068028</v>
      </c>
      <c r="C1778" s="34" t="s">
        <v>3627</v>
      </c>
      <c r="D1778" s="34" t="s">
        <v>3628</v>
      </c>
      <c r="E1778" s="34" t="s">
        <v>363</v>
      </c>
      <c r="F1778" s="32" t="n">
        <f aca="false">COUNTIF(Base!$D$2:$D$2878,B1778)</f>
        <v>1</v>
      </c>
      <c r="G1778" s="35" t="n">
        <f aca="false">SUMIF(Base!$D$2:$D$2878,B1778,Base!$I$2:$I$2878)</f>
        <v>277</v>
      </c>
      <c r="H1778" s="36" t="n">
        <f aca="false">IF($G$2849=0,0,G1778/$G$2849)</f>
        <v>1.81773566920184E-005</v>
      </c>
      <c r="I1778" s="37" t="n">
        <f aca="false">I1777+H1778</f>
        <v>0.992743651588207</v>
      </c>
      <c r="J1778" s="37" t="n">
        <f aca="false">A1778/2840</f>
        <v>0.623591549295775</v>
      </c>
      <c r="K1778" s="32" t="str">
        <f aca="false">IF(I1778&lt;=$E$4,"A",IF(I1778&lt;=$E$5,"B","C"))</f>
        <v>C</v>
      </c>
    </row>
    <row r="1779" customFormat="false" ht="15" hidden="false" customHeight="false" outlineLevel="0" collapsed="false">
      <c r="A1779" s="32" t="n">
        <v>1772</v>
      </c>
      <c r="B1779" s="33" t="n">
        <v>58867</v>
      </c>
      <c r="C1779" s="34" t="s">
        <v>3629</v>
      </c>
      <c r="D1779" s="34" t="s">
        <v>3630</v>
      </c>
      <c r="E1779" s="34" t="s">
        <v>75</v>
      </c>
      <c r="F1779" s="32" t="n">
        <f aca="false">COUNTIF(Base!$D$2:$D$2878,B1779)</f>
        <v>1</v>
      </c>
      <c r="G1779" s="35" t="n">
        <f aca="false">SUMIF(Base!$D$2:$D$2878,B1779,Base!$I$2:$I$2878)</f>
        <v>276</v>
      </c>
      <c r="H1779" s="36" t="n">
        <f aca="false">IF($G$2849=0,0,G1779/$G$2849)</f>
        <v>1.81117344656934E-005</v>
      </c>
      <c r="I1779" s="37" t="n">
        <f aca="false">I1778+H1779</f>
        <v>0.992761763322673</v>
      </c>
      <c r="J1779" s="37" t="n">
        <f aca="false">A1779/2840</f>
        <v>0.623943661971831</v>
      </c>
      <c r="K1779" s="32" t="str">
        <f aca="false">IF(I1779&lt;=$E$4,"A",IF(I1779&lt;=$E$5,"B","C"))</f>
        <v>C</v>
      </c>
    </row>
    <row r="1780" customFormat="false" ht="15" hidden="false" customHeight="false" outlineLevel="0" collapsed="false">
      <c r="A1780" s="32" t="n">
        <v>1773</v>
      </c>
      <c r="B1780" s="33" t="n">
        <v>1083624</v>
      </c>
      <c r="C1780" s="34" t="s">
        <v>3631</v>
      </c>
      <c r="D1780" s="34" t="s">
        <v>3632</v>
      </c>
      <c r="E1780" s="34" t="s">
        <v>189</v>
      </c>
      <c r="F1780" s="32" t="n">
        <f aca="false">COUNTIF(Base!$D$2:$D$2878,B1780)</f>
        <v>1</v>
      </c>
      <c r="G1780" s="35" t="n">
        <f aca="false">SUMIF(Base!$D$2:$D$2878,B1780,Base!$I$2:$I$2878)</f>
        <v>275</v>
      </c>
      <c r="H1780" s="36" t="n">
        <f aca="false">IF($G$2849=0,0,G1780/$G$2849)</f>
        <v>1.80461122393684E-005</v>
      </c>
      <c r="I1780" s="37" t="n">
        <f aca="false">I1779+H1780</f>
        <v>0.992779809434912</v>
      </c>
      <c r="J1780" s="37" t="n">
        <f aca="false">A1780/2840</f>
        <v>0.624295774647887</v>
      </c>
      <c r="K1780" s="32" t="str">
        <f aca="false">IF(I1780&lt;=$E$4,"A",IF(I1780&lt;=$E$5,"B","C"))</f>
        <v>C</v>
      </c>
    </row>
    <row r="1781" customFormat="false" ht="15" hidden="false" customHeight="false" outlineLevel="0" collapsed="false">
      <c r="A1781" s="32" t="n">
        <v>1774</v>
      </c>
      <c r="B1781" s="33" t="n">
        <v>1614511</v>
      </c>
      <c r="C1781" s="34" t="s">
        <v>3633</v>
      </c>
      <c r="D1781" s="34" t="s">
        <v>3634</v>
      </c>
      <c r="E1781" s="34" t="s">
        <v>38</v>
      </c>
      <c r="F1781" s="32" t="n">
        <f aca="false">COUNTIF(Base!$D$2:$D$2878,B1781)</f>
        <v>1</v>
      </c>
      <c r="G1781" s="35" t="n">
        <f aca="false">SUMIF(Base!$D$2:$D$2878,B1781,Base!$I$2:$I$2878)</f>
        <v>272.36</v>
      </c>
      <c r="H1781" s="36" t="n">
        <f aca="false">IF($G$2849=0,0,G1781/$G$2849)</f>
        <v>1.78728695618705E-005</v>
      </c>
      <c r="I1781" s="37" t="n">
        <f aca="false">I1780+H1781</f>
        <v>0.992797682304474</v>
      </c>
      <c r="J1781" s="37" t="n">
        <f aca="false">A1781/2840</f>
        <v>0.624647887323944</v>
      </c>
      <c r="K1781" s="32" t="str">
        <f aca="false">IF(I1781&lt;=$E$4,"A",IF(I1781&lt;=$E$5,"B","C"))</f>
        <v>C</v>
      </c>
    </row>
    <row r="1782" customFormat="false" ht="15" hidden="false" customHeight="false" outlineLevel="0" collapsed="false">
      <c r="A1782" s="32" t="n">
        <v>1775</v>
      </c>
      <c r="B1782" s="33" t="n">
        <v>352404</v>
      </c>
      <c r="C1782" s="34" t="s">
        <v>3635</v>
      </c>
      <c r="D1782" s="34" t="s">
        <v>3636</v>
      </c>
      <c r="E1782" s="34" t="s">
        <v>130</v>
      </c>
      <c r="F1782" s="32" t="n">
        <f aca="false">COUNTIF(Base!$D$2:$D$2878,B1782)</f>
        <v>1</v>
      </c>
      <c r="G1782" s="35" t="n">
        <f aca="false">SUMIF(Base!$D$2:$D$2878,B1782,Base!$I$2:$I$2878)</f>
        <v>272.3</v>
      </c>
      <c r="H1782" s="36" t="n">
        <f aca="false">IF($G$2849=0,0,G1782/$G$2849)</f>
        <v>1.7868932228291E-005</v>
      </c>
      <c r="I1782" s="37" t="n">
        <f aca="false">I1781+H1782</f>
        <v>0.992815551236702</v>
      </c>
      <c r="J1782" s="37" t="n">
        <f aca="false">A1782/2840</f>
        <v>0.625</v>
      </c>
      <c r="K1782" s="32" t="str">
        <f aca="false">IF(I1782&lt;=$E$4,"A",IF(I1782&lt;=$E$5,"B","C"))</f>
        <v>C</v>
      </c>
    </row>
    <row r="1783" customFormat="false" ht="15" hidden="false" customHeight="false" outlineLevel="0" collapsed="false">
      <c r="A1783" s="32" t="n">
        <v>1776</v>
      </c>
      <c r="B1783" s="33" t="n">
        <v>429143</v>
      </c>
      <c r="C1783" s="34" t="s">
        <v>3637</v>
      </c>
      <c r="D1783" s="34" t="s">
        <v>3638</v>
      </c>
      <c r="E1783" s="34" t="s">
        <v>705</v>
      </c>
      <c r="F1783" s="32" t="n">
        <f aca="false">COUNTIF(Base!$D$2:$D$2878,B1783)</f>
        <v>1</v>
      </c>
      <c r="G1783" s="35" t="n">
        <f aca="false">SUMIF(Base!$D$2:$D$2878,B1783,Base!$I$2:$I$2878)</f>
        <v>272</v>
      </c>
      <c r="H1783" s="36" t="n">
        <f aca="false">IF($G$2849=0,0,G1783/$G$2849)</f>
        <v>1.78492455603935E-005</v>
      </c>
      <c r="I1783" s="37" t="n">
        <f aca="false">I1782+H1783</f>
        <v>0.992833400482262</v>
      </c>
      <c r="J1783" s="37" t="n">
        <f aca="false">A1783/2840</f>
        <v>0.625352112676056</v>
      </c>
      <c r="K1783" s="32" t="str">
        <f aca="false">IF(I1783&lt;=$E$4,"A",IF(I1783&lt;=$E$5,"B","C"))</f>
        <v>C</v>
      </c>
    </row>
    <row r="1784" customFormat="false" ht="15" hidden="false" customHeight="false" outlineLevel="0" collapsed="false">
      <c r="A1784" s="32" t="n">
        <v>1777</v>
      </c>
      <c r="B1784" s="33" t="n">
        <v>840030</v>
      </c>
      <c r="C1784" s="34" t="s">
        <v>3639</v>
      </c>
      <c r="D1784" s="34" t="s">
        <v>3640</v>
      </c>
      <c r="E1784" s="34" t="s">
        <v>54</v>
      </c>
      <c r="F1784" s="32" t="n">
        <f aca="false">COUNTIF(Base!$D$2:$D$2878,B1784)</f>
        <v>1</v>
      </c>
      <c r="G1784" s="35" t="n">
        <f aca="false">SUMIF(Base!$D$2:$D$2878,B1784,Base!$I$2:$I$2878)</f>
        <v>272</v>
      </c>
      <c r="H1784" s="36" t="n">
        <f aca="false">IF($G$2849=0,0,G1784/$G$2849)</f>
        <v>1.78492455603935E-005</v>
      </c>
      <c r="I1784" s="37" t="n">
        <f aca="false">I1783+H1784</f>
        <v>0.992851249727823</v>
      </c>
      <c r="J1784" s="37" t="n">
        <f aca="false">A1784/2840</f>
        <v>0.625704225352113</v>
      </c>
      <c r="K1784" s="32" t="str">
        <f aca="false">IF(I1784&lt;=$E$4,"A",IF(I1784&lt;=$E$5,"B","C"))</f>
        <v>C</v>
      </c>
    </row>
    <row r="1785" customFormat="false" ht="15" hidden="false" customHeight="false" outlineLevel="0" collapsed="false">
      <c r="A1785" s="32" t="n">
        <v>1778</v>
      </c>
      <c r="B1785" s="33" t="n">
        <v>605443</v>
      </c>
      <c r="C1785" s="34" t="s">
        <v>3641</v>
      </c>
      <c r="D1785" s="34" t="s">
        <v>3642</v>
      </c>
      <c r="E1785" s="34" t="s">
        <v>100</v>
      </c>
      <c r="F1785" s="32" t="n">
        <f aca="false">COUNTIF(Base!$D$2:$D$2878,B1785)</f>
        <v>1</v>
      </c>
      <c r="G1785" s="35" t="n">
        <f aca="false">SUMIF(Base!$D$2:$D$2878,B1785,Base!$I$2:$I$2878)</f>
        <v>270.5</v>
      </c>
      <c r="H1785" s="36" t="n">
        <f aca="false">IF($G$2849=0,0,G1785/$G$2849)</f>
        <v>1.7750812220906E-005</v>
      </c>
      <c r="I1785" s="37" t="n">
        <f aca="false">I1784+H1785</f>
        <v>0.992869000540044</v>
      </c>
      <c r="J1785" s="37" t="n">
        <f aca="false">A1785/2840</f>
        <v>0.626056338028169</v>
      </c>
      <c r="K1785" s="32" t="str">
        <f aca="false">IF(I1785&lt;=$E$4,"A",IF(I1785&lt;=$E$5,"B","C"))</f>
        <v>C</v>
      </c>
    </row>
    <row r="1786" customFormat="false" ht="15" hidden="false" customHeight="false" outlineLevel="0" collapsed="false">
      <c r="A1786" s="32" t="n">
        <v>1779</v>
      </c>
      <c r="B1786" s="33" t="n">
        <v>1330891</v>
      </c>
      <c r="C1786" s="34" t="s">
        <v>3643</v>
      </c>
      <c r="D1786" s="34" t="s">
        <v>3644</v>
      </c>
      <c r="E1786" s="34" t="s">
        <v>100</v>
      </c>
      <c r="F1786" s="32" t="n">
        <f aca="false">COUNTIF(Base!$D$2:$D$2878,B1786)</f>
        <v>1</v>
      </c>
      <c r="G1786" s="35" t="n">
        <f aca="false">SUMIF(Base!$D$2:$D$2878,B1786,Base!$I$2:$I$2878)</f>
        <v>270.1</v>
      </c>
      <c r="H1786" s="36" t="n">
        <f aca="false">IF($G$2849=0,0,G1786/$G$2849)</f>
        <v>1.7724563330376E-005</v>
      </c>
      <c r="I1786" s="37" t="n">
        <f aca="false">I1785+H1786</f>
        <v>0.992886725103374</v>
      </c>
      <c r="J1786" s="37" t="n">
        <f aca="false">A1786/2840</f>
        <v>0.626408450704225</v>
      </c>
      <c r="K1786" s="32" t="str">
        <f aca="false">IF(I1786&lt;=$E$4,"A",IF(I1786&lt;=$E$5,"B","C"))</f>
        <v>C</v>
      </c>
    </row>
    <row r="1787" customFormat="false" ht="15" hidden="false" customHeight="false" outlineLevel="0" collapsed="false">
      <c r="A1787" s="32" t="n">
        <v>1780</v>
      </c>
      <c r="B1787" s="33" t="n">
        <v>33034</v>
      </c>
      <c r="C1787" s="34" t="s">
        <v>3645</v>
      </c>
      <c r="D1787" s="34" t="s">
        <v>3646</v>
      </c>
      <c r="E1787" s="34" t="s">
        <v>130</v>
      </c>
      <c r="F1787" s="32" t="n">
        <f aca="false">COUNTIF(Base!$D$2:$D$2878,B1787)</f>
        <v>1</v>
      </c>
      <c r="G1787" s="35" t="n">
        <f aca="false">SUMIF(Base!$D$2:$D$2878,B1787,Base!$I$2:$I$2878)</f>
        <v>270.07</v>
      </c>
      <c r="H1787" s="36" t="n">
        <f aca="false">IF($G$2849=0,0,G1787/$G$2849)</f>
        <v>1.77225946635863E-005</v>
      </c>
      <c r="I1787" s="37" t="n">
        <f aca="false">I1786+H1787</f>
        <v>0.992904447698038</v>
      </c>
      <c r="J1787" s="37" t="n">
        <f aca="false">A1787/2840</f>
        <v>0.626760563380282</v>
      </c>
      <c r="K1787" s="32" t="str">
        <f aca="false">IF(I1787&lt;=$E$4,"A",IF(I1787&lt;=$E$5,"B","C"))</f>
        <v>C</v>
      </c>
    </row>
    <row r="1788" customFormat="false" ht="15" hidden="false" customHeight="false" outlineLevel="0" collapsed="false">
      <c r="A1788" s="32" t="n">
        <v>1781</v>
      </c>
      <c r="B1788" s="33" t="n">
        <v>21398</v>
      </c>
      <c r="C1788" s="34" t="s">
        <v>3647</v>
      </c>
      <c r="D1788" s="34" t="s">
        <v>3648</v>
      </c>
      <c r="E1788" s="34" t="s">
        <v>130</v>
      </c>
      <c r="F1788" s="32" t="n">
        <f aca="false">COUNTIF(Base!$D$2:$D$2878,B1788)</f>
        <v>1</v>
      </c>
      <c r="G1788" s="35" t="n">
        <f aca="false">SUMIF(Base!$D$2:$D$2878,B1788,Base!$I$2:$I$2878)</f>
        <v>270</v>
      </c>
      <c r="H1788" s="36" t="n">
        <f aca="false">IF($G$2849=0,0,G1788/$G$2849)</f>
        <v>1.77180011077435E-005</v>
      </c>
      <c r="I1788" s="37" t="n">
        <f aca="false">I1787+H1788</f>
        <v>0.992922165699145</v>
      </c>
      <c r="J1788" s="37" t="n">
        <f aca="false">A1788/2840</f>
        <v>0.627112676056338</v>
      </c>
      <c r="K1788" s="32" t="str">
        <f aca="false">IF(I1788&lt;=$E$4,"A",IF(I1788&lt;=$E$5,"B","C"))</f>
        <v>C</v>
      </c>
    </row>
    <row r="1789" customFormat="false" ht="15" hidden="false" customHeight="false" outlineLevel="0" collapsed="false">
      <c r="A1789" s="32" t="n">
        <v>1782</v>
      </c>
      <c r="B1789" s="33" t="n">
        <v>1467854</v>
      </c>
      <c r="C1789" s="34" t="s">
        <v>3649</v>
      </c>
      <c r="D1789" s="34" t="s">
        <v>3650</v>
      </c>
      <c r="E1789" s="34" t="s">
        <v>722</v>
      </c>
      <c r="F1789" s="32" t="n">
        <f aca="false">COUNTIF(Base!$D$2:$D$2878,B1789)</f>
        <v>1</v>
      </c>
      <c r="G1789" s="35" t="n">
        <f aca="false">SUMIF(Base!$D$2:$D$2878,B1789,Base!$I$2:$I$2878)</f>
        <v>270</v>
      </c>
      <c r="H1789" s="36" t="n">
        <f aca="false">IF($G$2849=0,0,G1789/$G$2849)</f>
        <v>1.77180011077435E-005</v>
      </c>
      <c r="I1789" s="37" t="n">
        <f aca="false">I1788+H1789</f>
        <v>0.992939883700253</v>
      </c>
      <c r="J1789" s="37" t="n">
        <f aca="false">A1789/2840</f>
        <v>0.627464788732394</v>
      </c>
      <c r="K1789" s="32" t="str">
        <f aca="false">IF(I1789&lt;=$E$4,"A",IF(I1789&lt;=$E$5,"B","C"))</f>
        <v>C</v>
      </c>
    </row>
    <row r="1790" customFormat="false" ht="15" hidden="false" customHeight="false" outlineLevel="0" collapsed="false">
      <c r="A1790" s="32" t="n">
        <v>1783</v>
      </c>
      <c r="B1790" s="33" t="n">
        <v>24071</v>
      </c>
      <c r="C1790" s="34" t="s">
        <v>3651</v>
      </c>
      <c r="D1790" s="34" t="s">
        <v>3652</v>
      </c>
      <c r="E1790" s="34" t="s">
        <v>247</v>
      </c>
      <c r="F1790" s="32" t="n">
        <f aca="false">COUNTIF(Base!$D$2:$D$2878,B1790)</f>
        <v>1</v>
      </c>
      <c r="G1790" s="35" t="n">
        <f aca="false">SUMIF(Base!$D$2:$D$2878,B1790,Base!$I$2:$I$2878)</f>
        <v>269.98</v>
      </c>
      <c r="H1790" s="36" t="n">
        <f aca="false">IF($G$2849=0,0,G1790/$G$2849)</f>
        <v>1.7716688663217E-005</v>
      </c>
      <c r="I1790" s="37" t="n">
        <f aca="false">I1789+H1790</f>
        <v>0.992957600388916</v>
      </c>
      <c r="J1790" s="37" t="n">
        <f aca="false">A1790/2840</f>
        <v>0.627816901408451</v>
      </c>
      <c r="K1790" s="32" t="str">
        <f aca="false">IF(I1790&lt;=$E$4,"A",IF(I1790&lt;=$E$5,"B","C"))</f>
        <v>C</v>
      </c>
    </row>
    <row r="1791" customFormat="false" ht="15" hidden="false" customHeight="false" outlineLevel="0" collapsed="false">
      <c r="A1791" s="32" t="n">
        <v>1784</v>
      </c>
      <c r="B1791" s="33" t="n">
        <v>21356</v>
      </c>
      <c r="C1791" s="34" t="s">
        <v>3653</v>
      </c>
      <c r="D1791" s="34" t="s">
        <v>3654</v>
      </c>
      <c r="E1791" s="34" t="s">
        <v>130</v>
      </c>
      <c r="F1791" s="32" t="n">
        <f aca="false">COUNTIF(Base!$D$2:$D$2878,B1791)</f>
        <v>1</v>
      </c>
      <c r="G1791" s="35" t="n">
        <f aca="false">SUMIF(Base!$D$2:$D$2878,B1791,Base!$I$2:$I$2878)</f>
        <v>269.96</v>
      </c>
      <c r="H1791" s="36" t="n">
        <f aca="false">IF($G$2849=0,0,G1791/$G$2849)</f>
        <v>1.77153762186905E-005</v>
      </c>
      <c r="I1791" s="37" t="n">
        <f aca="false">I1790+H1791</f>
        <v>0.992975315765135</v>
      </c>
      <c r="J1791" s="37" t="n">
        <f aca="false">A1791/2840</f>
        <v>0.628169014084507</v>
      </c>
      <c r="K1791" s="32" t="str">
        <f aca="false">IF(I1791&lt;=$E$4,"A",IF(I1791&lt;=$E$5,"B","C"))</f>
        <v>C</v>
      </c>
    </row>
    <row r="1792" customFormat="false" ht="15" hidden="false" customHeight="false" outlineLevel="0" collapsed="false">
      <c r="A1792" s="32" t="n">
        <v>1785</v>
      </c>
      <c r="B1792" s="33" t="n">
        <v>19445</v>
      </c>
      <c r="C1792" s="34" t="s">
        <v>3655</v>
      </c>
      <c r="D1792" s="34" t="s">
        <v>3656</v>
      </c>
      <c r="E1792" s="34" t="s">
        <v>1095</v>
      </c>
      <c r="F1792" s="32" t="n">
        <f aca="false">COUNTIF(Base!$D$2:$D$2878,B1792)</f>
        <v>1</v>
      </c>
      <c r="G1792" s="35" t="n">
        <f aca="false">SUMIF(Base!$D$2:$D$2878,B1792,Base!$I$2:$I$2878)</f>
        <v>269.91</v>
      </c>
      <c r="H1792" s="36" t="n">
        <f aca="false">IF($G$2849=0,0,G1792/$G$2849)</f>
        <v>1.77120951073743E-005</v>
      </c>
      <c r="I1792" s="37" t="n">
        <f aca="false">I1791+H1792</f>
        <v>0.992993027860242</v>
      </c>
      <c r="J1792" s="37" t="n">
        <f aca="false">A1792/2840</f>
        <v>0.628521126760563</v>
      </c>
      <c r="K1792" s="32" t="str">
        <f aca="false">IF(I1792&lt;=$E$4,"A",IF(I1792&lt;=$E$5,"B","C"))</f>
        <v>C</v>
      </c>
    </row>
    <row r="1793" customFormat="false" ht="15" hidden="false" customHeight="false" outlineLevel="0" collapsed="false">
      <c r="A1793" s="32" t="n">
        <v>1786</v>
      </c>
      <c r="B1793" s="33" t="n">
        <v>279605</v>
      </c>
      <c r="C1793" s="34" t="s">
        <v>3657</v>
      </c>
      <c r="D1793" s="34" t="s">
        <v>3658</v>
      </c>
      <c r="E1793" s="34" t="s">
        <v>457</v>
      </c>
      <c r="F1793" s="32" t="n">
        <f aca="false">COUNTIF(Base!$D$2:$D$2878,B1793)</f>
        <v>1</v>
      </c>
      <c r="G1793" s="35" t="n">
        <f aca="false">SUMIF(Base!$D$2:$D$2878,B1793,Base!$I$2:$I$2878)</f>
        <v>269.88</v>
      </c>
      <c r="H1793" s="36" t="n">
        <f aca="false">IF($G$2849=0,0,G1793/$G$2849)</f>
        <v>1.77101264405845E-005</v>
      </c>
      <c r="I1793" s="37" t="n">
        <f aca="false">I1792+H1793</f>
        <v>0.993010737986683</v>
      </c>
      <c r="J1793" s="37" t="n">
        <f aca="false">A1793/2840</f>
        <v>0.62887323943662</v>
      </c>
      <c r="K1793" s="32" t="str">
        <f aca="false">IF(I1793&lt;=$E$4,"A",IF(I1793&lt;=$E$5,"B","C"))</f>
        <v>C</v>
      </c>
    </row>
    <row r="1794" customFormat="false" ht="15" hidden="false" customHeight="false" outlineLevel="0" collapsed="false">
      <c r="A1794" s="32" t="n">
        <v>1787</v>
      </c>
      <c r="B1794" s="33" t="n">
        <v>12653</v>
      </c>
      <c r="C1794" s="34" t="s">
        <v>3659</v>
      </c>
      <c r="D1794" s="34" t="s">
        <v>3660</v>
      </c>
      <c r="E1794" s="34" t="s">
        <v>38</v>
      </c>
      <c r="F1794" s="32" t="n">
        <f aca="false">COUNTIF(Base!$D$2:$D$2878,B1794)</f>
        <v>1</v>
      </c>
      <c r="G1794" s="35" t="n">
        <f aca="false">SUMIF(Base!$D$2:$D$2878,B1794,Base!$I$2:$I$2878)</f>
        <v>269.64</v>
      </c>
      <c r="H1794" s="36" t="n">
        <f aca="false">IF($G$2849=0,0,G1794/$G$2849)</f>
        <v>1.76943771062665E-005</v>
      </c>
      <c r="I1794" s="37" t="n">
        <f aca="false">I1793+H1794</f>
        <v>0.993028432363789</v>
      </c>
      <c r="J1794" s="37" t="n">
        <f aca="false">A1794/2840</f>
        <v>0.629225352112676</v>
      </c>
      <c r="K1794" s="32" t="str">
        <f aca="false">IF(I1794&lt;=$E$4,"A",IF(I1794&lt;=$E$5,"B","C"))</f>
        <v>C</v>
      </c>
    </row>
    <row r="1795" customFormat="false" ht="15" hidden="false" customHeight="false" outlineLevel="0" collapsed="false">
      <c r="A1795" s="32" t="n">
        <v>1788</v>
      </c>
      <c r="B1795" s="33" t="n">
        <v>1672550</v>
      </c>
      <c r="C1795" s="34" t="s">
        <v>3661</v>
      </c>
      <c r="D1795" s="34" t="s">
        <v>3662</v>
      </c>
      <c r="E1795" s="34" t="s">
        <v>66</v>
      </c>
      <c r="F1795" s="32" t="n">
        <f aca="false">COUNTIF(Base!$D$2:$D$2878,B1795)</f>
        <v>1</v>
      </c>
      <c r="G1795" s="35" t="n">
        <f aca="false">SUMIF(Base!$D$2:$D$2878,B1795,Base!$I$2:$I$2878)</f>
        <v>269.56</v>
      </c>
      <c r="H1795" s="36" t="n">
        <f aca="false">IF($G$2849=0,0,G1795/$G$2849)</f>
        <v>1.76891273281605E-005</v>
      </c>
      <c r="I1795" s="37" t="n">
        <f aca="false">I1794+H1795</f>
        <v>0.993046121491117</v>
      </c>
      <c r="J1795" s="37" t="n">
        <f aca="false">A1795/2840</f>
        <v>0.629577464788732</v>
      </c>
      <c r="K1795" s="32" t="str">
        <f aca="false">IF(I1795&lt;=$E$4,"A",IF(I1795&lt;=$E$5,"B","C"))</f>
        <v>C</v>
      </c>
    </row>
    <row r="1796" customFormat="false" ht="15" hidden="false" customHeight="false" outlineLevel="0" collapsed="false">
      <c r="A1796" s="32" t="n">
        <v>1789</v>
      </c>
      <c r="B1796" s="33" t="n">
        <v>22808</v>
      </c>
      <c r="C1796" s="34" t="s">
        <v>3663</v>
      </c>
      <c r="D1796" s="34" t="s">
        <v>3664</v>
      </c>
      <c r="E1796" s="34" t="s">
        <v>189</v>
      </c>
      <c r="F1796" s="32" t="n">
        <f aca="false">COUNTIF(Base!$D$2:$D$2878,B1796)</f>
        <v>1</v>
      </c>
      <c r="G1796" s="35" t="n">
        <f aca="false">SUMIF(Base!$D$2:$D$2878,B1796,Base!$I$2:$I$2878)</f>
        <v>269.46</v>
      </c>
      <c r="H1796" s="36" t="n">
        <f aca="false">IF($G$2849=0,0,G1796/$G$2849)</f>
        <v>1.7682565105528E-005</v>
      </c>
      <c r="I1796" s="37" t="n">
        <f aca="false">I1795+H1796</f>
        <v>0.993063804056223</v>
      </c>
      <c r="J1796" s="37" t="n">
        <f aca="false">A1796/2840</f>
        <v>0.629929577464789</v>
      </c>
      <c r="K1796" s="32" t="str">
        <f aca="false">IF(I1796&lt;=$E$4,"A",IF(I1796&lt;=$E$5,"B","C"))</f>
        <v>C</v>
      </c>
    </row>
    <row r="1797" customFormat="false" ht="15" hidden="false" customHeight="false" outlineLevel="0" collapsed="false">
      <c r="A1797" s="32" t="n">
        <v>1790</v>
      </c>
      <c r="B1797" s="33" t="n">
        <v>1077314</v>
      </c>
      <c r="C1797" s="34" t="s">
        <v>3665</v>
      </c>
      <c r="D1797" s="34" t="s">
        <v>3666</v>
      </c>
      <c r="E1797" s="34" t="s">
        <v>705</v>
      </c>
      <c r="F1797" s="32" t="n">
        <f aca="false">COUNTIF(Base!$D$2:$D$2878,B1797)</f>
        <v>1</v>
      </c>
      <c r="G1797" s="35" t="n">
        <f aca="false">SUMIF(Base!$D$2:$D$2878,B1797,Base!$I$2:$I$2878)</f>
        <v>269.4</v>
      </c>
      <c r="H1797" s="36" t="n">
        <f aca="false">IF($G$2849=0,0,G1797/$G$2849)</f>
        <v>1.76786277719485E-005</v>
      </c>
      <c r="I1797" s="37" t="n">
        <f aca="false">I1796+H1797</f>
        <v>0.993081482683995</v>
      </c>
      <c r="J1797" s="37" t="n">
        <f aca="false">A1797/2840</f>
        <v>0.630281690140845</v>
      </c>
      <c r="K1797" s="32" t="str">
        <f aca="false">IF(I1797&lt;=$E$4,"A",IF(I1797&lt;=$E$5,"B","C"))</f>
        <v>C</v>
      </c>
    </row>
    <row r="1798" customFormat="false" ht="15" hidden="false" customHeight="false" outlineLevel="0" collapsed="false">
      <c r="A1798" s="32" t="n">
        <v>1791</v>
      </c>
      <c r="B1798" s="33" t="n">
        <v>950843</v>
      </c>
      <c r="C1798" s="34" t="s">
        <v>3667</v>
      </c>
      <c r="D1798" s="34" t="s">
        <v>3668</v>
      </c>
      <c r="E1798" s="34" t="s">
        <v>705</v>
      </c>
      <c r="F1798" s="32" t="n">
        <f aca="false">COUNTIF(Base!$D$2:$D$2878,B1798)</f>
        <v>1</v>
      </c>
      <c r="G1798" s="35" t="n">
        <f aca="false">SUMIF(Base!$D$2:$D$2878,B1798,Base!$I$2:$I$2878)</f>
        <v>268</v>
      </c>
      <c r="H1798" s="36" t="n">
        <f aca="false">IF($G$2849=0,0,G1798/$G$2849)</f>
        <v>1.75867566550936E-005</v>
      </c>
      <c r="I1798" s="37" t="n">
        <f aca="false">I1797+H1798</f>
        <v>0.99309906944065</v>
      </c>
      <c r="J1798" s="37" t="n">
        <f aca="false">A1798/2840</f>
        <v>0.630633802816901</v>
      </c>
      <c r="K1798" s="32" t="str">
        <f aca="false">IF(I1798&lt;=$E$4,"A",IF(I1798&lt;=$E$5,"B","C"))</f>
        <v>C</v>
      </c>
    </row>
    <row r="1799" customFormat="false" ht="15" hidden="false" customHeight="false" outlineLevel="0" collapsed="false">
      <c r="A1799" s="32" t="n">
        <v>1792</v>
      </c>
      <c r="B1799" s="33" t="n">
        <v>869642</v>
      </c>
      <c r="C1799" s="34" t="s">
        <v>3669</v>
      </c>
      <c r="D1799" s="34" t="s">
        <v>3670</v>
      </c>
      <c r="E1799" s="34" t="s">
        <v>138</v>
      </c>
      <c r="F1799" s="32" t="n">
        <f aca="false">COUNTIF(Base!$D$2:$D$2878,B1799)</f>
        <v>1</v>
      </c>
      <c r="G1799" s="35" t="n">
        <f aca="false">SUMIF(Base!$D$2:$D$2878,B1799,Base!$I$2:$I$2878)</f>
        <v>267</v>
      </c>
      <c r="H1799" s="36" t="n">
        <f aca="false">IF($G$2849=0,0,G1799/$G$2849)</f>
        <v>1.75211344287686E-005</v>
      </c>
      <c r="I1799" s="37" t="n">
        <f aca="false">I1798+H1799</f>
        <v>0.993116590575079</v>
      </c>
      <c r="J1799" s="37" t="n">
        <f aca="false">A1799/2840</f>
        <v>0.630985915492958</v>
      </c>
      <c r="K1799" s="32" t="str">
        <f aca="false">IF(I1799&lt;=$E$4,"A",IF(I1799&lt;=$E$5,"B","C"))</f>
        <v>C</v>
      </c>
    </row>
    <row r="1800" customFormat="false" ht="15" hidden="false" customHeight="false" outlineLevel="0" collapsed="false">
      <c r="A1800" s="32" t="n">
        <v>1793</v>
      </c>
      <c r="B1800" s="33" t="n">
        <v>30867</v>
      </c>
      <c r="C1800" s="34" t="s">
        <v>3671</v>
      </c>
      <c r="D1800" s="34" t="s">
        <v>3672</v>
      </c>
      <c r="E1800" s="34" t="s">
        <v>38</v>
      </c>
      <c r="F1800" s="32" t="n">
        <f aca="false">COUNTIF(Base!$D$2:$D$2878,B1800)</f>
        <v>1</v>
      </c>
      <c r="G1800" s="35" t="n">
        <f aca="false">SUMIF(Base!$D$2:$D$2878,B1800,Base!$I$2:$I$2878)</f>
        <v>264</v>
      </c>
      <c r="H1800" s="36" t="n">
        <f aca="false">IF($G$2849=0,0,G1800/$G$2849)</f>
        <v>1.73242677497937E-005</v>
      </c>
      <c r="I1800" s="37" t="n">
        <f aca="false">I1799+H1800</f>
        <v>0.993133914842828</v>
      </c>
      <c r="J1800" s="37" t="n">
        <f aca="false">A1800/2840</f>
        <v>0.631338028169014</v>
      </c>
      <c r="K1800" s="32" t="str">
        <f aca="false">IF(I1800&lt;=$E$4,"A",IF(I1800&lt;=$E$5,"B","C"))</f>
        <v>C</v>
      </c>
    </row>
    <row r="1801" customFormat="false" ht="15" hidden="false" customHeight="false" outlineLevel="0" collapsed="false">
      <c r="A1801" s="32" t="n">
        <v>1794</v>
      </c>
      <c r="B1801" s="33" t="n">
        <v>945177</v>
      </c>
      <c r="C1801" s="34" t="s">
        <v>3673</v>
      </c>
      <c r="D1801" s="34" t="s">
        <v>3674</v>
      </c>
      <c r="E1801" s="34" t="s">
        <v>130</v>
      </c>
      <c r="F1801" s="32" t="n">
        <f aca="false">COUNTIF(Base!$D$2:$D$2878,B1801)</f>
        <v>1</v>
      </c>
      <c r="G1801" s="35" t="n">
        <f aca="false">SUMIF(Base!$D$2:$D$2878,B1801,Base!$I$2:$I$2878)</f>
        <v>264</v>
      </c>
      <c r="H1801" s="36" t="n">
        <f aca="false">IF($G$2849=0,0,G1801/$G$2849)</f>
        <v>1.73242677497937E-005</v>
      </c>
      <c r="I1801" s="37" t="n">
        <f aca="false">I1800+H1801</f>
        <v>0.993151239110578</v>
      </c>
      <c r="J1801" s="37" t="n">
        <f aca="false">A1801/2840</f>
        <v>0.631690140845071</v>
      </c>
      <c r="K1801" s="32" t="str">
        <f aca="false">IF(I1801&lt;=$E$4,"A",IF(I1801&lt;=$E$5,"B","C"))</f>
        <v>C</v>
      </c>
    </row>
    <row r="1802" customFormat="false" ht="15" hidden="false" customHeight="false" outlineLevel="0" collapsed="false">
      <c r="A1802" s="32" t="n">
        <v>1795</v>
      </c>
      <c r="B1802" s="33" t="n">
        <v>1607590</v>
      </c>
      <c r="C1802" s="34" t="s">
        <v>3675</v>
      </c>
      <c r="D1802" s="34" t="s">
        <v>3676</v>
      </c>
      <c r="E1802" s="34" t="s">
        <v>38</v>
      </c>
      <c r="F1802" s="32" t="n">
        <f aca="false">COUNTIF(Base!$D$2:$D$2878,B1802)</f>
        <v>1</v>
      </c>
      <c r="G1802" s="35" t="n">
        <f aca="false">SUMIF(Base!$D$2:$D$2878,B1802,Base!$I$2:$I$2878)</f>
        <v>264</v>
      </c>
      <c r="H1802" s="36" t="n">
        <f aca="false">IF($G$2849=0,0,G1802/$G$2849)</f>
        <v>1.73242677497937E-005</v>
      </c>
      <c r="I1802" s="37" t="n">
        <f aca="false">I1801+H1802</f>
        <v>0.993168563378328</v>
      </c>
      <c r="J1802" s="37" t="n">
        <f aca="false">A1802/2840</f>
        <v>0.632042253521127</v>
      </c>
      <c r="K1802" s="32" t="str">
        <f aca="false">IF(I1802&lt;=$E$4,"A",IF(I1802&lt;=$E$5,"B","C"))</f>
        <v>C</v>
      </c>
    </row>
    <row r="1803" customFormat="false" ht="15" hidden="false" customHeight="false" outlineLevel="0" collapsed="false">
      <c r="A1803" s="32" t="n">
        <v>1796</v>
      </c>
      <c r="B1803" s="33" t="n">
        <v>1657135</v>
      </c>
      <c r="C1803" s="34" t="s">
        <v>3677</v>
      </c>
      <c r="D1803" s="34" t="s">
        <v>3678</v>
      </c>
      <c r="E1803" s="34" t="s">
        <v>100</v>
      </c>
      <c r="F1803" s="32" t="n">
        <f aca="false">COUNTIF(Base!$D$2:$D$2878,B1803)</f>
        <v>1</v>
      </c>
      <c r="G1803" s="35" t="n">
        <f aca="false">SUMIF(Base!$D$2:$D$2878,B1803,Base!$I$2:$I$2878)</f>
        <v>264</v>
      </c>
      <c r="H1803" s="36" t="n">
        <f aca="false">IF($G$2849=0,0,G1803/$G$2849)</f>
        <v>1.73242677497937E-005</v>
      </c>
      <c r="I1803" s="37" t="n">
        <f aca="false">I1802+H1803</f>
        <v>0.993185887646078</v>
      </c>
      <c r="J1803" s="37" t="n">
        <f aca="false">A1803/2840</f>
        <v>0.632394366197183</v>
      </c>
      <c r="K1803" s="32" t="str">
        <f aca="false">IF(I1803&lt;=$E$4,"A",IF(I1803&lt;=$E$5,"B","C"))</f>
        <v>C</v>
      </c>
    </row>
    <row r="1804" customFormat="false" ht="15" hidden="false" customHeight="false" outlineLevel="0" collapsed="false">
      <c r="A1804" s="32" t="n">
        <v>1797</v>
      </c>
      <c r="B1804" s="33" t="n">
        <v>555703</v>
      </c>
      <c r="C1804" s="34" t="s">
        <v>3679</v>
      </c>
      <c r="D1804" s="34" t="s">
        <v>3680</v>
      </c>
      <c r="E1804" s="34" t="s">
        <v>1618</v>
      </c>
      <c r="F1804" s="32" t="n">
        <f aca="false">COUNTIF(Base!$D$2:$D$2878,B1804)</f>
        <v>1</v>
      </c>
      <c r="G1804" s="35" t="n">
        <f aca="false">SUMIF(Base!$D$2:$D$2878,B1804,Base!$I$2:$I$2878)</f>
        <v>263</v>
      </c>
      <c r="H1804" s="36" t="n">
        <f aca="false">IF($G$2849=0,0,G1804/$G$2849)</f>
        <v>1.72586455234687E-005</v>
      </c>
      <c r="I1804" s="37" t="n">
        <f aca="false">I1803+H1804</f>
        <v>0.993203146291601</v>
      </c>
      <c r="J1804" s="37" t="n">
        <f aca="false">A1804/2840</f>
        <v>0.632746478873239</v>
      </c>
      <c r="K1804" s="32" t="str">
        <f aca="false">IF(I1804&lt;=$E$4,"A",IF(I1804&lt;=$E$5,"B","C"))</f>
        <v>C</v>
      </c>
    </row>
    <row r="1805" customFormat="false" ht="15" hidden="false" customHeight="false" outlineLevel="0" collapsed="false">
      <c r="A1805" s="32" t="n">
        <v>1798</v>
      </c>
      <c r="B1805" s="33" t="n">
        <v>49594</v>
      </c>
      <c r="C1805" s="34" t="s">
        <v>3681</v>
      </c>
      <c r="D1805" s="34" t="s">
        <v>3682</v>
      </c>
      <c r="E1805" s="34" t="s">
        <v>705</v>
      </c>
      <c r="F1805" s="32" t="n">
        <f aca="false">COUNTIF(Base!$D$2:$D$2878,B1805)</f>
        <v>1</v>
      </c>
      <c r="G1805" s="35" t="n">
        <f aca="false">SUMIF(Base!$D$2:$D$2878,B1805,Base!$I$2:$I$2878)</f>
        <v>262.98</v>
      </c>
      <c r="H1805" s="36" t="n">
        <f aca="false">IF($G$2849=0,0,G1805/$G$2849)</f>
        <v>1.72573330789422E-005</v>
      </c>
      <c r="I1805" s="37" t="n">
        <f aca="false">I1804+H1805</f>
        <v>0.99322040362468</v>
      </c>
      <c r="J1805" s="37" t="n">
        <f aca="false">A1805/2840</f>
        <v>0.633098591549296</v>
      </c>
      <c r="K1805" s="32" t="str">
        <f aca="false">IF(I1805&lt;=$E$4,"A",IF(I1805&lt;=$E$5,"B","C"))</f>
        <v>C</v>
      </c>
    </row>
    <row r="1806" customFormat="false" ht="15" hidden="false" customHeight="false" outlineLevel="0" collapsed="false">
      <c r="A1806" s="32" t="n">
        <v>1799</v>
      </c>
      <c r="B1806" s="33" t="n">
        <v>862968</v>
      </c>
      <c r="C1806" s="34" t="s">
        <v>3683</v>
      </c>
      <c r="D1806" s="34" t="s">
        <v>3684</v>
      </c>
      <c r="E1806" s="34" t="s">
        <v>605</v>
      </c>
      <c r="F1806" s="32" t="n">
        <f aca="false">COUNTIF(Base!$D$2:$D$2878,B1806)</f>
        <v>1</v>
      </c>
      <c r="G1806" s="35" t="n">
        <f aca="false">SUMIF(Base!$D$2:$D$2878,B1806,Base!$I$2:$I$2878)</f>
        <v>262.7</v>
      </c>
      <c r="H1806" s="36" t="n">
        <f aca="false">IF($G$2849=0,0,G1806/$G$2849)</f>
        <v>1.72389588555712E-005</v>
      </c>
      <c r="I1806" s="37" t="n">
        <f aca="false">I1805+H1806</f>
        <v>0.993237642583536</v>
      </c>
      <c r="J1806" s="37" t="n">
        <f aca="false">A1806/2840</f>
        <v>0.633450704225352</v>
      </c>
      <c r="K1806" s="32" t="str">
        <f aca="false">IF(I1806&lt;=$E$4,"A",IF(I1806&lt;=$E$5,"B","C"))</f>
        <v>C</v>
      </c>
    </row>
    <row r="1807" customFormat="false" ht="15" hidden="false" customHeight="false" outlineLevel="0" collapsed="false">
      <c r="A1807" s="32" t="n">
        <v>1800</v>
      </c>
      <c r="B1807" s="33" t="n">
        <v>1388139</v>
      </c>
      <c r="C1807" s="34" t="s">
        <v>3685</v>
      </c>
      <c r="D1807" s="34" t="s">
        <v>3686</v>
      </c>
      <c r="E1807" s="34" t="s">
        <v>100</v>
      </c>
      <c r="F1807" s="32" t="n">
        <f aca="false">COUNTIF(Base!$D$2:$D$2878,B1807)</f>
        <v>1</v>
      </c>
      <c r="G1807" s="35" t="n">
        <f aca="false">SUMIF(Base!$D$2:$D$2878,B1807,Base!$I$2:$I$2878)</f>
        <v>262.52</v>
      </c>
      <c r="H1807" s="36" t="n">
        <f aca="false">IF($G$2849=0,0,G1807/$G$2849)</f>
        <v>1.72271468548327E-005</v>
      </c>
      <c r="I1807" s="37" t="n">
        <f aca="false">I1806+H1807</f>
        <v>0.993254869730391</v>
      </c>
      <c r="J1807" s="37" t="n">
        <f aca="false">A1807/2840</f>
        <v>0.633802816901409</v>
      </c>
      <c r="K1807" s="32" t="str">
        <f aca="false">IF(I1807&lt;=$E$4,"A",IF(I1807&lt;=$E$5,"B","C"))</f>
        <v>C</v>
      </c>
    </row>
    <row r="1808" customFormat="false" ht="15" hidden="false" customHeight="false" outlineLevel="0" collapsed="false">
      <c r="A1808" s="32" t="n">
        <v>1801</v>
      </c>
      <c r="B1808" s="33" t="n">
        <v>290925</v>
      </c>
      <c r="C1808" s="34" t="s">
        <v>3687</v>
      </c>
      <c r="D1808" s="34" t="s">
        <v>3688</v>
      </c>
      <c r="E1808" s="34" t="s">
        <v>130</v>
      </c>
      <c r="F1808" s="32" t="n">
        <f aca="false">COUNTIF(Base!$D$2:$D$2878,B1808)</f>
        <v>1</v>
      </c>
      <c r="G1808" s="35" t="n">
        <f aca="false">SUMIF(Base!$D$2:$D$2878,B1808,Base!$I$2:$I$2878)</f>
        <v>262.5</v>
      </c>
      <c r="H1808" s="36" t="n">
        <f aca="false">IF($G$2849=0,0,G1808/$G$2849)</f>
        <v>1.72258344103062E-005</v>
      </c>
      <c r="I1808" s="37" t="n">
        <f aca="false">I1807+H1808</f>
        <v>0.993272095564801</v>
      </c>
      <c r="J1808" s="37" t="n">
        <f aca="false">A1808/2840</f>
        <v>0.634154929577465</v>
      </c>
      <c r="K1808" s="32" t="str">
        <f aca="false">IF(I1808&lt;=$E$4,"A",IF(I1808&lt;=$E$5,"B","C"))</f>
        <v>C</v>
      </c>
    </row>
    <row r="1809" customFormat="false" ht="15" hidden="false" customHeight="false" outlineLevel="0" collapsed="false">
      <c r="A1809" s="32" t="n">
        <v>1802</v>
      </c>
      <c r="B1809" s="33" t="n">
        <v>23262</v>
      </c>
      <c r="C1809" s="34" t="s">
        <v>3689</v>
      </c>
      <c r="D1809" s="34" t="s">
        <v>3690</v>
      </c>
      <c r="E1809" s="34" t="s">
        <v>247</v>
      </c>
      <c r="F1809" s="32" t="n">
        <f aca="false">COUNTIF(Base!$D$2:$D$2878,B1809)</f>
        <v>1</v>
      </c>
      <c r="G1809" s="35" t="n">
        <f aca="false">SUMIF(Base!$D$2:$D$2878,B1809,Base!$I$2:$I$2878)</f>
        <v>262</v>
      </c>
      <c r="H1809" s="36" t="n">
        <f aca="false">IF($G$2849=0,0,G1809/$G$2849)</f>
        <v>1.71930232971437E-005</v>
      </c>
      <c r="I1809" s="37" t="n">
        <f aca="false">I1808+H1809</f>
        <v>0.993289288588098</v>
      </c>
      <c r="J1809" s="37" t="n">
        <f aca="false">A1809/2840</f>
        <v>0.634507042253521</v>
      </c>
      <c r="K1809" s="32" t="str">
        <f aca="false">IF(I1809&lt;=$E$4,"A",IF(I1809&lt;=$E$5,"B","C"))</f>
        <v>C</v>
      </c>
    </row>
    <row r="1810" customFormat="false" ht="15" hidden="false" customHeight="false" outlineLevel="0" collapsed="false">
      <c r="A1810" s="32" t="n">
        <v>1803</v>
      </c>
      <c r="B1810" s="33" t="n">
        <v>228765</v>
      </c>
      <c r="C1810" s="34" t="s">
        <v>3691</v>
      </c>
      <c r="D1810" s="34" t="s">
        <v>3692</v>
      </c>
      <c r="E1810" s="34" t="s">
        <v>605</v>
      </c>
      <c r="F1810" s="32" t="n">
        <f aca="false">COUNTIF(Base!$D$2:$D$2878,B1810)</f>
        <v>1</v>
      </c>
      <c r="G1810" s="35" t="n">
        <f aca="false">SUMIF(Base!$D$2:$D$2878,B1810,Base!$I$2:$I$2878)</f>
        <v>261</v>
      </c>
      <c r="H1810" s="36" t="n">
        <f aca="false">IF($G$2849=0,0,G1810/$G$2849)</f>
        <v>1.71274010708187E-005</v>
      </c>
      <c r="I1810" s="37" t="n">
        <f aca="false">I1809+H1810</f>
        <v>0.993306415989169</v>
      </c>
      <c r="J1810" s="37" t="n">
        <f aca="false">A1810/2840</f>
        <v>0.634859154929578</v>
      </c>
      <c r="K1810" s="32" t="str">
        <f aca="false">IF(I1810&lt;=$E$4,"A",IF(I1810&lt;=$E$5,"B","C"))</f>
        <v>C</v>
      </c>
    </row>
    <row r="1811" customFormat="false" ht="15" hidden="false" customHeight="false" outlineLevel="0" collapsed="false">
      <c r="A1811" s="32" t="n">
        <v>1804</v>
      </c>
      <c r="B1811" s="33" t="n">
        <v>315526</v>
      </c>
      <c r="C1811" s="34" t="s">
        <v>3693</v>
      </c>
      <c r="D1811" s="34" t="s">
        <v>3694</v>
      </c>
      <c r="E1811" s="34" t="s">
        <v>130</v>
      </c>
      <c r="F1811" s="32" t="n">
        <f aca="false">COUNTIF(Base!$D$2:$D$2878,B1811)</f>
        <v>1</v>
      </c>
      <c r="G1811" s="35" t="n">
        <f aca="false">SUMIF(Base!$D$2:$D$2878,B1811,Base!$I$2:$I$2878)</f>
        <v>261</v>
      </c>
      <c r="H1811" s="36" t="n">
        <f aca="false">IF($G$2849=0,0,G1811/$G$2849)</f>
        <v>1.71274010708187E-005</v>
      </c>
      <c r="I1811" s="37" t="n">
        <f aca="false">I1810+H1811</f>
        <v>0.99332354339024</v>
      </c>
      <c r="J1811" s="37" t="n">
        <f aca="false">A1811/2840</f>
        <v>0.635211267605634</v>
      </c>
      <c r="K1811" s="32" t="str">
        <f aca="false">IF(I1811&lt;=$E$4,"A",IF(I1811&lt;=$E$5,"B","C"))</f>
        <v>C</v>
      </c>
    </row>
    <row r="1812" customFormat="false" ht="15" hidden="false" customHeight="false" outlineLevel="0" collapsed="false">
      <c r="A1812" s="32" t="n">
        <v>1805</v>
      </c>
      <c r="B1812" s="33" t="n">
        <v>1471981</v>
      </c>
      <c r="C1812" s="34" t="s">
        <v>3695</v>
      </c>
      <c r="D1812" s="34" t="s">
        <v>3696</v>
      </c>
      <c r="E1812" s="34" t="s">
        <v>100</v>
      </c>
      <c r="F1812" s="32" t="n">
        <f aca="false">COUNTIF(Base!$D$2:$D$2878,B1812)</f>
        <v>1</v>
      </c>
      <c r="G1812" s="35" t="n">
        <f aca="false">SUMIF(Base!$D$2:$D$2878,B1812,Base!$I$2:$I$2878)</f>
        <v>261</v>
      </c>
      <c r="H1812" s="36" t="n">
        <f aca="false">IF($G$2849=0,0,G1812/$G$2849)</f>
        <v>1.71274010708187E-005</v>
      </c>
      <c r="I1812" s="37" t="n">
        <f aca="false">I1811+H1812</f>
        <v>0.993340670791311</v>
      </c>
      <c r="J1812" s="37" t="n">
        <f aca="false">A1812/2840</f>
        <v>0.63556338028169</v>
      </c>
      <c r="K1812" s="32" t="str">
        <f aca="false">IF(I1812&lt;=$E$4,"A",IF(I1812&lt;=$E$5,"B","C"))</f>
        <v>C</v>
      </c>
    </row>
    <row r="1813" customFormat="false" ht="15" hidden="false" customHeight="false" outlineLevel="0" collapsed="false">
      <c r="A1813" s="32" t="n">
        <v>1806</v>
      </c>
      <c r="B1813" s="33" t="n">
        <v>136079</v>
      </c>
      <c r="C1813" s="34" t="s">
        <v>3697</v>
      </c>
      <c r="D1813" s="34" t="s">
        <v>3698</v>
      </c>
      <c r="E1813" s="34" t="s">
        <v>38</v>
      </c>
      <c r="F1813" s="32" t="n">
        <f aca="false">COUNTIF(Base!$D$2:$D$2878,B1813)</f>
        <v>1</v>
      </c>
      <c r="G1813" s="35" t="n">
        <f aca="false">SUMIF(Base!$D$2:$D$2878,B1813,Base!$I$2:$I$2878)</f>
        <v>260.86</v>
      </c>
      <c r="H1813" s="36" t="n">
        <f aca="false">IF($G$2849=0,0,G1813/$G$2849)</f>
        <v>1.71182139591332E-005</v>
      </c>
      <c r="I1813" s="37" t="n">
        <f aca="false">I1812+H1813</f>
        <v>0.99335778900527</v>
      </c>
      <c r="J1813" s="37" t="n">
        <f aca="false">A1813/2840</f>
        <v>0.635915492957747</v>
      </c>
      <c r="K1813" s="32" t="str">
        <f aca="false">IF(I1813&lt;=$E$4,"A",IF(I1813&lt;=$E$5,"B","C"))</f>
        <v>C</v>
      </c>
    </row>
    <row r="1814" customFormat="false" ht="15" hidden="false" customHeight="false" outlineLevel="0" collapsed="false">
      <c r="A1814" s="32" t="n">
        <v>1807</v>
      </c>
      <c r="B1814" s="33" t="n">
        <v>18110</v>
      </c>
      <c r="C1814" s="34" t="s">
        <v>3699</v>
      </c>
      <c r="D1814" s="34" t="s">
        <v>3700</v>
      </c>
      <c r="E1814" s="34" t="s">
        <v>130</v>
      </c>
      <c r="F1814" s="32" t="n">
        <f aca="false">COUNTIF(Base!$D$2:$D$2878,B1814)</f>
        <v>1</v>
      </c>
      <c r="G1814" s="35" t="n">
        <f aca="false">SUMIF(Base!$D$2:$D$2878,B1814,Base!$I$2:$I$2878)</f>
        <v>260</v>
      </c>
      <c r="H1814" s="36" t="n">
        <f aca="false">IF($G$2849=0,0,G1814/$G$2849)</f>
        <v>1.70617788444938E-005</v>
      </c>
      <c r="I1814" s="37" t="n">
        <f aca="false">I1813+H1814</f>
        <v>0.993374850784114</v>
      </c>
      <c r="J1814" s="37" t="n">
        <f aca="false">A1814/2840</f>
        <v>0.636267605633803</v>
      </c>
      <c r="K1814" s="32" t="str">
        <f aca="false">IF(I1814&lt;=$E$4,"A",IF(I1814&lt;=$E$5,"B","C"))</f>
        <v>C</v>
      </c>
    </row>
    <row r="1815" customFormat="false" ht="15" hidden="false" customHeight="false" outlineLevel="0" collapsed="false">
      <c r="A1815" s="32" t="n">
        <v>1808</v>
      </c>
      <c r="B1815" s="33" t="n">
        <v>137398</v>
      </c>
      <c r="C1815" s="34" t="s">
        <v>3701</v>
      </c>
      <c r="D1815" s="34" t="s">
        <v>3702</v>
      </c>
      <c r="E1815" s="34" t="s">
        <v>247</v>
      </c>
      <c r="F1815" s="32" t="n">
        <f aca="false">COUNTIF(Base!$D$2:$D$2878,B1815)</f>
        <v>1</v>
      </c>
      <c r="G1815" s="35" t="n">
        <f aca="false">SUMIF(Base!$D$2:$D$2878,B1815,Base!$I$2:$I$2878)</f>
        <v>260</v>
      </c>
      <c r="H1815" s="36" t="n">
        <f aca="false">IF($G$2849=0,0,G1815/$G$2849)</f>
        <v>1.70617788444938E-005</v>
      </c>
      <c r="I1815" s="37" t="n">
        <f aca="false">I1814+H1815</f>
        <v>0.993391912562959</v>
      </c>
      <c r="J1815" s="37" t="n">
        <f aca="false">A1815/2840</f>
        <v>0.636619718309859</v>
      </c>
      <c r="K1815" s="32" t="str">
        <f aca="false">IF(I1815&lt;=$E$4,"A",IF(I1815&lt;=$E$5,"B","C"))</f>
        <v>C</v>
      </c>
    </row>
    <row r="1816" customFormat="false" ht="15" hidden="false" customHeight="false" outlineLevel="0" collapsed="false">
      <c r="A1816" s="32" t="n">
        <v>1809</v>
      </c>
      <c r="B1816" s="33" t="n">
        <v>931416</v>
      </c>
      <c r="C1816" s="34" t="s">
        <v>3703</v>
      </c>
      <c r="D1816" s="34" t="s">
        <v>3704</v>
      </c>
      <c r="E1816" s="34" t="s">
        <v>38</v>
      </c>
      <c r="F1816" s="32" t="n">
        <f aca="false">COUNTIF(Base!$D$2:$D$2878,B1816)</f>
        <v>1</v>
      </c>
      <c r="G1816" s="35" t="n">
        <f aca="false">SUMIF(Base!$D$2:$D$2878,B1816,Base!$I$2:$I$2878)</f>
        <v>260</v>
      </c>
      <c r="H1816" s="36" t="n">
        <f aca="false">IF($G$2849=0,0,G1816/$G$2849)</f>
        <v>1.70617788444938E-005</v>
      </c>
      <c r="I1816" s="37" t="n">
        <f aca="false">I1815+H1816</f>
        <v>0.993408974341803</v>
      </c>
      <c r="J1816" s="37" t="n">
        <f aca="false">A1816/2840</f>
        <v>0.636971830985916</v>
      </c>
      <c r="K1816" s="32" t="str">
        <f aca="false">IF(I1816&lt;=$E$4,"A",IF(I1816&lt;=$E$5,"B","C"))</f>
        <v>C</v>
      </c>
    </row>
    <row r="1817" customFormat="false" ht="15" hidden="false" customHeight="false" outlineLevel="0" collapsed="false">
      <c r="A1817" s="32" t="n">
        <v>1810</v>
      </c>
      <c r="B1817" s="33" t="n">
        <v>1660724</v>
      </c>
      <c r="C1817" s="34" t="s">
        <v>3705</v>
      </c>
      <c r="D1817" s="34" t="s">
        <v>3706</v>
      </c>
      <c r="E1817" s="34" t="s">
        <v>38</v>
      </c>
      <c r="F1817" s="32" t="n">
        <f aca="false">COUNTIF(Base!$D$2:$D$2878,B1817)</f>
        <v>1</v>
      </c>
      <c r="G1817" s="35" t="n">
        <f aca="false">SUMIF(Base!$D$2:$D$2878,B1817,Base!$I$2:$I$2878)</f>
        <v>260</v>
      </c>
      <c r="H1817" s="36" t="n">
        <f aca="false">IF($G$2849=0,0,G1817/$G$2849)</f>
        <v>1.70617788444938E-005</v>
      </c>
      <c r="I1817" s="37" t="n">
        <f aca="false">I1816+H1817</f>
        <v>0.993426036120648</v>
      </c>
      <c r="J1817" s="37" t="n">
        <f aca="false">A1817/2840</f>
        <v>0.637323943661972</v>
      </c>
      <c r="K1817" s="32" t="str">
        <f aca="false">IF(I1817&lt;=$E$4,"A",IF(I1817&lt;=$E$5,"B","C"))</f>
        <v>C</v>
      </c>
    </row>
    <row r="1818" customFormat="false" ht="15" hidden="false" customHeight="false" outlineLevel="0" collapsed="false">
      <c r="A1818" s="32" t="n">
        <v>1811</v>
      </c>
      <c r="B1818" s="33" t="n">
        <v>1672553</v>
      </c>
      <c r="C1818" s="34" t="s">
        <v>3707</v>
      </c>
      <c r="D1818" s="34" t="s">
        <v>3708</v>
      </c>
      <c r="E1818" s="34" t="s">
        <v>66</v>
      </c>
      <c r="F1818" s="32" t="n">
        <f aca="false">COUNTIF(Base!$D$2:$D$2878,B1818)</f>
        <v>1</v>
      </c>
      <c r="G1818" s="35" t="n">
        <f aca="false">SUMIF(Base!$D$2:$D$2878,B1818,Base!$I$2:$I$2878)</f>
        <v>258.89</v>
      </c>
      <c r="H1818" s="36" t="n">
        <f aca="false">IF($G$2849=0,0,G1818/$G$2849)</f>
        <v>1.6988938173273E-005</v>
      </c>
      <c r="I1818" s="37" t="n">
        <f aca="false">I1817+H1818</f>
        <v>0.993443025058821</v>
      </c>
      <c r="J1818" s="37" t="n">
        <f aca="false">A1818/2840</f>
        <v>0.637676056338028</v>
      </c>
      <c r="K1818" s="32" t="str">
        <f aca="false">IF(I1818&lt;=$E$4,"A",IF(I1818&lt;=$E$5,"B","C"))</f>
        <v>C</v>
      </c>
    </row>
    <row r="1819" customFormat="false" ht="15" hidden="false" customHeight="false" outlineLevel="0" collapsed="false">
      <c r="A1819" s="32" t="n">
        <v>1812</v>
      </c>
      <c r="B1819" s="33" t="n">
        <v>22869</v>
      </c>
      <c r="C1819" s="34" t="s">
        <v>3709</v>
      </c>
      <c r="D1819" s="34" t="s">
        <v>3710</v>
      </c>
      <c r="E1819" s="34" t="s">
        <v>1618</v>
      </c>
      <c r="F1819" s="32" t="n">
        <f aca="false">COUNTIF(Base!$D$2:$D$2878,B1819)</f>
        <v>1</v>
      </c>
      <c r="G1819" s="35" t="n">
        <f aca="false">SUMIF(Base!$D$2:$D$2878,B1819,Base!$I$2:$I$2878)</f>
        <v>258.85</v>
      </c>
      <c r="H1819" s="36" t="n">
        <f aca="false">IF($G$2849=0,0,G1819/$G$2849)</f>
        <v>1.698631328422E-005</v>
      </c>
      <c r="I1819" s="37" t="n">
        <f aca="false">I1818+H1819</f>
        <v>0.993460011372105</v>
      </c>
      <c r="J1819" s="37" t="n">
        <f aca="false">A1819/2840</f>
        <v>0.638028169014085</v>
      </c>
      <c r="K1819" s="32" t="str">
        <f aca="false">IF(I1819&lt;=$E$4,"A",IF(I1819&lt;=$E$5,"B","C"))</f>
        <v>C</v>
      </c>
    </row>
    <row r="1820" customFormat="false" ht="15" hidden="false" customHeight="false" outlineLevel="0" collapsed="false">
      <c r="A1820" s="32" t="n">
        <v>1813</v>
      </c>
      <c r="B1820" s="33" t="n">
        <v>1385083</v>
      </c>
      <c r="C1820" s="34" t="s">
        <v>3711</v>
      </c>
      <c r="D1820" s="34" t="s">
        <v>3712</v>
      </c>
      <c r="E1820" s="34" t="s">
        <v>38</v>
      </c>
      <c r="F1820" s="32" t="n">
        <f aca="false">COUNTIF(Base!$D$2:$D$2878,B1820)</f>
        <v>1</v>
      </c>
      <c r="G1820" s="35" t="n">
        <f aca="false">SUMIF(Base!$D$2:$D$2878,B1820,Base!$I$2:$I$2878)</f>
        <v>258.62</v>
      </c>
      <c r="H1820" s="36" t="n">
        <f aca="false">IF($G$2849=0,0,G1820/$G$2849)</f>
        <v>1.69712201721653E-005</v>
      </c>
      <c r="I1820" s="37" t="n">
        <f aca="false">I1819+H1820</f>
        <v>0.993476982592278</v>
      </c>
      <c r="J1820" s="37" t="n">
        <f aca="false">A1820/2840</f>
        <v>0.638380281690141</v>
      </c>
      <c r="K1820" s="32" t="str">
        <f aca="false">IF(I1820&lt;=$E$4,"A",IF(I1820&lt;=$E$5,"B","C"))</f>
        <v>C</v>
      </c>
    </row>
    <row r="1821" customFormat="false" ht="15" hidden="false" customHeight="false" outlineLevel="0" collapsed="false">
      <c r="A1821" s="32" t="n">
        <v>1814</v>
      </c>
      <c r="B1821" s="33" t="n">
        <v>34269</v>
      </c>
      <c r="C1821" s="34" t="s">
        <v>3713</v>
      </c>
      <c r="D1821" s="34" t="s">
        <v>3714</v>
      </c>
      <c r="E1821" s="34" t="s">
        <v>705</v>
      </c>
      <c r="F1821" s="32" t="n">
        <f aca="false">COUNTIF(Base!$D$2:$D$2878,B1821)</f>
        <v>1</v>
      </c>
      <c r="G1821" s="35" t="n">
        <f aca="false">SUMIF(Base!$D$2:$D$2878,B1821,Base!$I$2:$I$2878)</f>
        <v>258</v>
      </c>
      <c r="H1821" s="36" t="n">
        <f aca="false">IF($G$2849=0,0,G1821/$G$2849)</f>
        <v>1.69305343918438E-005</v>
      </c>
      <c r="I1821" s="37" t="n">
        <f aca="false">I1820+H1821</f>
        <v>0.993493913126669</v>
      </c>
      <c r="J1821" s="37" t="n">
        <f aca="false">A1821/2840</f>
        <v>0.638732394366197</v>
      </c>
      <c r="K1821" s="32" t="str">
        <f aca="false">IF(I1821&lt;=$E$4,"A",IF(I1821&lt;=$E$5,"B","C"))</f>
        <v>C</v>
      </c>
    </row>
    <row r="1822" customFormat="false" ht="15" hidden="false" customHeight="false" outlineLevel="0" collapsed="false">
      <c r="A1822" s="32" t="n">
        <v>1815</v>
      </c>
      <c r="B1822" s="33" t="n">
        <v>65509</v>
      </c>
      <c r="C1822" s="34" t="s">
        <v>3715</v>
      </c>
      <c r="D1822" s="34" t="s">
        <v>3716</v>
      </c>
      <c r="E1822" s="34" t="s">
        <v>705</v>
      </c>
      <c r="F1822" s="32" t="n">
        <f aca="false">COUNTIF(Base!$D$2:$D$2878,B1822)</f>
        <v>1</v>
      </c>
      <c r="G1822" s="35" t="n">
        <f aca="false">SUMIF(Base!$D$2:$D$2878,B1822,Base!$I$2:$I$2878)</f>
        <v>258</v>
      </c>
      <c r="H1822" s="36" t="n">
        <f aca="false">IF($G$2849=0,0,G1822/$G$2849)</f>
        <v>1.69305343918438E-005</v>
      </c>
      <c r="I1822" s="37" t="n">
        <f aca="false">I1821+H1822</f>
        <v>0.993510843661061</v>
      </c>
      <c r="J1822" s="37" t="n">
        <f aca="false">A1822/2840</f>
        <v>0.639084507042254</v>
      </c>
      <c r="K1822" s="32" t="str">
        <f aca="false">IF(I1822&lt;=$E$4,"A",IF(I1822&lt;=$E$5,"B","C"))</f>
        <v>C</v>
      </c>
    </row>
    <row r="1823" customFormat="false" ht="15" hidden="false" customHeight="false" outlineLevel="0" collapsed="false">
      <c r="A1823" s="32" t="n">
        <v>1816</v>
      </c>
      <c r="B1823" s="33" t="n">
        <v>1385081</v>
      </c>
      <c r="C1823" s="34" t="s">
        <v>3717</v>
      </c>
      <c r="D1823" s="34" t="s">
        <v>3718</v>
      </c>
      <c r="E1823" s="34" t="s">
        <v>38</v>
      </c>
      <c r="F1823" s="32" t="n">
        <f aca="false">COUNTIF(Base!$D$2:$D$2878,B1823)</f>
        <v>1</v>
      </c>
      <c r="G1823" s="35" t="n">
        <f aca="false">SUMIF(Base!$D$2:$D$2878,B1823,Base!$I$2:$I$2878)</f>
        <v>257.76</v>
      </c>
      <c r="H1823" s="36" t="n">
        <f aca="false">IF($G$2849=0,0,G1823/$G$2849)</f>
        <v>1.69147850575258E-005</v>
      </c>
      <c r="I1823" s="37" t="n">
        <f aca="false">I1822+H1823</f>
        <v>0.993527758446119</v>
      </c>
      <c r="J1823" s="37" t="n">
        <f aca="false">A1823/2840</f>
        <v>0.63943661971831</v>
      </c>
      <c r="K1823" s="32" t="str">
        <f aca="false">IF(I1823&lt;=$E$4,"A",IF(I1823&lt;=$E$5,"B","C"))</f>
        <v>C</v>
      </c>
    </row>
    <row r="1824" customFormat="false" ht="15" hidden="false" customHeight="false" outlineLevel="0" collapsed="false">
      <c r="A1824" s="32" t="n">
        <v>1817</v>
      </c>
      <c r="B1824" s="33" t="n">
        <v>937215</v>
      </c>
      <c r="C1824" s="34" t="s">
        <v>3719</v>
      </c>
      <c r="D1824" s="34" t="s">
        <v>3720</v>
      </c>
      <c r="E1824" s="34" t="s">
        <v>38</v>
      </c>
      <c r="F1824" s="32" t="n">
        <f aca="false">COUNTIF(Base!$D$2:$D$2878,B1824)</f>
        <v>1</v>
      </c>
      <c r="G1824" s="35" t="n">
        <f aca="false">SUMIF(Base!$D$2:$D$2878,B1824,Base!$I$2:$I$2878)</f>
        <v>257.5</v>
      </c>
      <c r="H1824" s="36" t="n">
        <f aca="false">IF($G$2849=0,0,G1824/$G$2849)</f>
        <v>1.68977232786813E-005</v>
      </c>
      <c r="I1824" s="37" t="n">
        <f aca="false">I1823+H1824</f>
        <v>0.993544656169398</v>
      </c>
      <c r="J1824" s="37" t="n">
        <f aca="false">A1824/2840</f>
        <v>0.639788732394366</v>
      </c>
      <c r="K1824" s="32" t="str">
        <f aca="false">IF(I1824&lt;=$E$4,"A",IF(I1824&lt;=$E$5,"B","C"))</f>
        <v>C</v>
      </c>
    </row>
    <row r="1825" customFormat="false" ht="15" hidden="false" customHeight="false" outlineLevel="0" collapsed="false">
      <c r="A1825" s="32" t="n">
        <v>1818</v>
      </c>
      <c r="B1825" s="33" t="n">
        <v>1659748</v>
      </c>
      <c r="C1825" s="34" t="s">
        <v>3721</v>
      </c>
      <c r="D1825" s="34" t="s">
        <v>3722</v>
      </c>
      <c r="E1825" s="34" t="s">
        <v>100</v>
      </c>
      <c r="F1825" s="32" t="n">
        <f aca="false">COUNTIF(Base!$D$2:$D$2878,B1825)</f>
        <v>1</v>
      </c>
      <c r="G1825" s="35" t="n">
        <f aca="false">SUMIF(Base!$D$2:$D$2878,B1825,Base!$I$2:$I$2878)</f>
        <v>257.1</v>
      </c>
      <c r="H1825" s="36" t="n">
        <f aca="false">IF($G$2849=0,0,G1825/$G$2849)</f>
        <v>1.68714743881513E-005</v>
      </c>
      <c r="I1825" s="37" t="n">
        <f aca="false">I1824+H1825</f>
        <v>0.993561527643786</v>
      </c>
      <c r="J1825" s="37" t="n">
        <f aca="false">A1825/2840</f>
        <v>0.640140845070423</v>
      </c>
      <c r="K1825" s="32" t="str">
        <f aca="false">IF(I1825&lt;=$E$4,"A",IF(I1825&lt;=$E$5,"B","C"))</f>
        <v>C</v>
      </c>
    </row>
    <row r="1826" customFormat="false" ht="15" hidden="false" customHeight="false" outlineLevel="0" collapsed="false">
      <c r="A1826" s="32" t="n">
        <v>1819</v>
      </c>
      <c r="B1826" s="33" t="n">
        <v>1330401</v>
      </c>
      <c r="C1826" s="34" t="s">
        <v>3723</v>
      </c>
      <c r="D1826" s="34" t="s">
        <v>3724</v>
      </c>
      <c r="E1826" s="34" t="s">
        <v>54</v>
      </c>
      <c r="F1826" s="32" t="n">
        <f aca="false">COUNTIF(Base!$D$2:$D$2878,B1826)</f>
        <v>1</v>
      </c>
      <c r="G1826" s="35" t="n">
        <f aca="false">SUMIF(Base!$D$2:$D$2878,B1826,Base!$I$2:$I$2878)</f>
        <v>256.25</v>
      </c>
      <c r="H1826" s="36" t="n">
        <f aca="false">IF($G$2849=0,0,G1826/$G$2849)</f>
        <v>1.68156954957751E-005</v>
      </c>
      <c r="I1826" s="37" t="n">
        <f aca="false">I1825+H1826</f>
        <v>0.993578343339281</v>
      </c>
      <c r="J1826" s="37" t="n">
        <f aca="false">A1826/2840</f>
        <v>0.640492957746479</v>
      </c>
      <c r="K1826" s="32" t="str">
        <f aca="false">IF(I1826&lt;=$E$4,"A",IF(I1826&lt;=$E$5,"B","C"))</f>
        <v>C</v>
      </c>
    </row>
    <row r="1827" customFormat="false" ht="15" hidden="false" customHeight="false" outlineLevel="0" collapsed="false">
      <c r="A1827" s="32" t="n">
        <v>1820</v>
      </c>
      <c r="B1827" s="33" t="n">
        <v>283518</v>
      </c>
      <c r="C1827" s="34" t="s">
        <v>3725</v>
      </c>
      <c r="D1827" s="34" t="s">
        <v>3726</v>
      </c>
      <c r="E1827" s="34" t="s">
        <v>54</v>
      </c>
      <c r="F1827" s="32" t="n">
        <f aca="false">COUNTIF(Base!$D$2:$D$2878,B1827)</f>
        <v>1</v>
      </c>
      <c r="G1827" s="35" t="n">
        <f aca="false">SUMIF(Base!$D$2:$D$2878,B1827,Base!$I$2:$I$2878)</f>
        <v>256</v>
      </c>
      <c r="H1827" s="36" t="n">
        <f aca="false">IF($G$2849=0,0,G1827/$G$2849)</f>
        <v>1.67992899391939E-005</v>
      </c>
      <c r="I1827" s="37" t="n">
        <f aca="false">I1826+H1827</f>
        <v>0.99359514262922</v>
      </c>
      <c r="J1827" s="37" t="n">
        <f aca="false">A1827/2840</f>
        <v>0.640845070422535</v>
      </c>
      <c r="K1827" s="32" t="str">
        <f aca="false">IF(I1827&lt;=$E$4,"A",IF(I1827&lt;=$E$5,"B","C"))</f>
        <v>C</v>
      </c>
    </row>
    <row r="1828" customFormat="false" ht="15" hidden="false" customHeight="false" outlineLevel="0" collapsed="false">
      <c r="A1828" s="32" t="n">
        <v>1821</v>
      </c>
      <c r="B1828" s="33" t="n">
        <v>1614271</v>
      </c>
      <c r="C1828" s="34" t="s">
        <v>3727</v>
      </c>
      <c r="D1828" s="34" t="s">
        <v>3728</v>
      </c>
      <c r="E1828" s="34" t="s">
        <v>38</v>
      </c>
      <c r="F1828" s="32" t="n">
        <f aca="false">COUNTIF(Base!$D$2:$D$2878,B1828)</f>
        <v>1</v>
      </c>
      <c r="G1828" s="35" t="n">
        <f aca="false">SUMIF(Base!$D$2:$D$2878,B1828,Base!$I$2:$I$2878)</f>
        <v>255.9</v>
      </c>
      <c r="H1828" s="36" t="n">
        <f aca="false">IF($G$2849=0,0,G1828/$G$2849)</f>
        <v>1.67927277165614E-005</v>
      </c>
      <c r="I1828" s="37" t="n">
        <f aca="false">I1827+H1828</f>
        <v>0.993611935356937</v>
      </c>
      <c r="J1828" s="37" t="n">
        <f aca="false">A1828/2840</f>
        <v>0.641197183098592</v>
      </c>
      <c r="K1828" s="32" t="str">
        <f aca="false">IF(I1828&lt;=$E$4,"A",IF(I1828&lt;=$E$5,"B","C"))</f>
        <v>C</v>
      </c>
    </row>
    <row r="1829" customFormat="false" ht="15" hidden="false" customHeight="false" outlineLevel="0" collapsed="false">
      <c r="A1829" s="32" t="n">
        <v>1822</v>
      </c>
      <c r="B1829" s="33" t="n">
        <v>1103129</v>
      </c>
      <c r="C1829" s="34" t="s">
        <v>3729</v>
      </c>
      <c r="D1829" s="34" t="s">
        <v>3730</v>
      </c>
      <c r="E1829" s="34" t="s">
        <v>113</v>
      </c>
      <c r="F1829" s="32" t="n">
        <f aca="false">COUNTIF(Base!$D$2:$D$2878,B1829)</f>
        <v>1</v>
      </c>
      <c r="G1829" s="35" t="n">
        <f aca="false">SUMIF(Base!$D$2:$D$2878,B1829,Base!$I$2:$I$2878)</f>
        <v>255.55</v>
      </c>
      <c r="H1829" s="36" t="n">
        <f aca="false">IF($G$2849=0,0,G1829/$G$2849)</f>
        <v>1.67697599373476E-005</v>
      </c>
      <c r="I1829" s="37" t="n">
        <f aca="false">I1828+H1829</f>
        <v>0.993628705116874</v>
      </c>
      <c r="J1829" s="37" t="n">
        <f aca="false">A1829/2840</f>
        <v>0.641549295774648</v>
      </c>
      <c r="K1829" s="32" t="str">
        <f aca="false">IF(I1829&lt;=$E$4,"A",IF(I1829&lt;=$E$5,"B","C"))</f>
        <v>C</v>
      </c>
    </row>
    <row r="1830" customFormat="false" ht="15" hidden="false" customHeight="false" outlineLevel="0" collapsed="false">
      <c r="A1830" s="32" t="n">
        <v>1823</v>
      </c>
      <c r="B1830" s="33" t="n">
        <v>1388044</v>
      </c>
      <c r="C1830" s="34" t="s">
        <v>3731</v>
      </c>
      <c r="D1830" s="34" t="s">
        <v>3732</v>
      </c>
      <c r="E1830" s="34" t="s">
        <v>38</v>
      </c>
      <c r="F1830" s="32" t="n">
        <f aca="false">COUNTIF(Base!$D$2:$D$2878,B1830)</f>
        <v>1</v>
      </c>
      <c r="G1830" s="35" t="n">
        <f aca="false">SUMIF(Base!$D$2:$D$2878,B1830,Base!$I$2:$I$2878)</f>
        <v>254.67</v>
      </c>
      <c r="H1830" s="36" t="n">
        <f aca="false">IF($G$2849=0,0,G1830/$G$2849)</f>
        <v>1.67120123781816E-005</v>
      </c>
      <c r="I1830" s="37" t="n">
        <f aca="false">I1829+H1830</f>
        <v>0.993645417129253</v>
      </c>
      <c r="J1830" s="37" t="n">
        <f aca="false">A1830/2840</f>
        <v>0.641901408450704</v>
      </c>
      <c r="K1830" s="32" t="str">
        <f aca="false">IF(I1830&lt;=$E$4,"A",IF(I1830&lt;=$E$5,"B","C"))</f>
        <v>C</v>
      </c>
    </row>
    <row r="1831" customFormat="false" ht="15" hidden="false" customHeight="false" outlineLevel="0" collapsed="false">
      <c r="A1831" s="32" t="n">
        <v>1824</v>
      </c>
      <c r="B1831" s="33" t="n">
        <v>12558</v>
      </c>
      <c r="C1831" s="34" t="s">
        <v>3733</v>
      </c>
      <c r="D1831" s="34" t="s">
        <v>3734</v>
      </c>
      <c r="E1831" s="34" t="s">
        <v>38</v>
      </c>
      <c r="F1831" s="32" t="n">
        <f aca="false">COUNTIF(Base!$D$2:$D$2878,B1831)</f>
        <v>1</v>
      </c>
      <c r="G1831" s="35" t="n">
        <f aca="false">SUMIF(Base!$D$2:$D$2878,B1831,Base!$I$2:$I$2878)</f>
        <v>254</v>
      </c>
      <c r="H1831" s="36" t="n">
        <f aca="false">IF($G$2849=0,0,G1831/$G$2849)</f>
        <v>1.66680454865439E-005</v>
      </c>
      <c r="I1831" s="37" t="n">
        <f aca="false">I1830+H1831</f>
        <v>0.993662085174739</v>
      </c>
      <c r="J1831" s="37" t="n">
        <f aca="false">A1831/2840</f>
        <v>0.642253521126761</v>
      </c>
      <c r="K1831" s="32" t="str">
        <f aca="false">IF(I1831&lt;=$E$4,"A",IF(I1831&lt;=$E$5,"B","C"))</f>
        <v>C</v>
      </c>
    </row>
    <row r="1832" customFormat="false" ht="15" hidden="false" customHeight="false" outlineLevel="0" collapsed="false">
      <c r="A1832" s="32" t="n">
        <v>1825</v>
      </c>
      <c r="B1832" s="33" t="n">
        <v>876002</v>
      </c>
      <c r="C1832" s="34" t="s">
        <v>3735</v>
      </c>
      <c r="D1832" s="34" t="s">
        <v>3736</v>
      </c>
      <c r="E1832" s="34" t="s">
        <v>38</v>
      </c>
      <c r="F1832" s="32" t="n">
        <f aca="false">COUNTIF(Base!$D$2:$D$2878,B1832)</f>
        <v>1</v>
      </c>
      <c r="G1832" s="35" t="n">
        <f aca="false">SUMIF(Base!$D$2:$D$2878,B1832,Base!$I$2:$I$2878)</f>
        <v>253.7</v>
      </c>
      <c r="H1832" s="36" t="n">
        <f aca="false">IF($G$2849=0,0,G1832/$G$2849)</f>
        <v>1.66483588186464E-005</v>
      </c>
      <c r="I1832" s="37" t="n">
        <f aca="false">I1831+H1832</f>
        <v>0.993678733533558</v>
      </c>
      <c r="J1832" s="37" t="n">
        <f aca="false">A1832/2840</f>
        <v>0.642605633802817</v>
      </c>
      <c r="K1832" s="32" t="str">
        <f aca="false">IF(I1832&lt;=$E$4,"A",IF(I1832&lt;=$E$5,"B","C"))</f>
        <v>C</v>
      </c>
    </row>
    <row r="1833" customFormat="false" ht="15" hidden="false" customHeight="false" outlineLevel="0" collapsed="false">
      <c r="A1833" s="32" t="n">
        <v>1826</v>
      </c>
      <c r="B1833" s="33" t="n">
        <v>934087</v>
      </c>
      <c r="C1833" s="34" t="s">
        <v>3737</v>
      </c>
      <c r="D1833" s="34" t="s">
        <v>3738</v>
      </c>
      <c r="E1833" s="34" t="s">
        <v>605</v>
      </c>
      <c r="F1833" s="32" t="n">
        <f aca="false">COUNTIF(Base!$D$2:$D$2878,B1833)</f>
        <v>1</v>
      </c>
      <c r="G1833" s="35" t="n">
        <f aca="false">SUMIF(Base!$D$2:$D$2878,B1833,Base!$I$2:$I$2878)</f>
        <v>252.8</v>
      </c>
      <c r="H1833" s="36" t="n">
        <f aca="false">IF($G$2849=0,0,G1833/$G$2849)</f>
        <v>1.65892988149539E-005</v>
      </c>
      <c r="I1833" s="37" t="n">
        <f aca="false">I1832+H1833</f>
        <v>0.993695322832373</v>
      </c>
      <c r="J1833" s="37" t="n">
        <f aca="false">A1833/2840</f>
        <v>0.642957746478873</v>
      </c>
      <c r="K1833" s="32" t="str">
        <f aca="false">IF(I1833&lt;=$E$4,"A",IF(I1833&lt;=$E$5,"B","C"))</f>
        <v>C</v>
      </c>
    </row>
    <row r="1834" customFormat="false" ht="15" hidden="false" customHeight="false" outlineLevel="0" collapsed="false">
      <c r="A1834" s="32" t="n">
        <v>1827</v>
      </c>
      <c r="B1834" s="33" t="n">
        <v>19497</v>
      </c>
      <c r="C1834" s="34" t="s">
        <v>3739</v>
      </c>
      <c r="D1834" s="34" t="s">
        <v>3740</v>
      </c>
      <c r="E1834" s="34" t="s">
        <v>1095</v>
      </c>
      <c r="F1834" s="32" t="n">
        <f aca="false">COUNTIF(Base!$D$2:$D$2878,B1834)</f>
        <v>1</v>
      </c>
      <c r="G1834" s="35" t="n">
        <f aca="false">SUMIF(Base!$D$2:$D$2878,B1834,Base!$I$2:$I$2878)</f>
        <v>252</v>
      </c>
      <c r="H1834" s="36" t="n">
        <f aca="false">IF($G$2849=0,0,G1834/$G$2849)</f>
        <v>1.6536801033894E-005</v>
      </c>
      <c r="I1834" s="37" t="n">
        <f aca="false">I1833+H1834</f>
        <v>0.993711859633407</v>
      </c>
      <c r="J1834" s="37" t="n">
        <f aca="false">A1834/2840</f>
        <v>0.64330985915493</v>
      </c>
      <c r="K1834" s="32" t="str">
        <f aca="false">IF(I1834&lt;=$E$4,"A",IF(I1834&lt;=$E$5,"B","C"))</f>
        <v>C</v>
      </c>
    </row>
    <row r="1835" customFormat="false" ht="15" hidden="false" customHeight="false" outlineLevel="0" collapsed="false">
      <c r="A1835" s="32" t="n">
        <v>1828</v>
      </c>
      <c r="B1835" s="33" t="n">
        <v>1482109</v>
      </c>
      <c r="C1835" s="34" t="s">
        <v>3741</v>
      </c>
      <c r="D1835" s="34" t="s">
        <v>3742</v>
      </c>
      <c r="E1835" s="34" t="s">
        <v>38</v>
      </c>
      <c r="F1835" s="32" t="n">
        <f aca="false">COUNTIF(Base!$D$2:$D$2878,B1835)</f>
        <v>1</v>
      </c>
      <c r="G1835" s="35" t="n">
        <f aca="false">SUMIF(Base!$D$2:$D$2878,B1835,Base!$I$2:$I$2878)</f>
        <v>250.96</v>
      </c>
      <c r="H1835" s="36" t="n">
        <f aca="false">IF($G$2849=0,0,G1835/$G$2849)</f>
        <v>1.6468553918516E-005</v>
      </c>
      <c r="I1835" s="37" t="n">
        <f aca="false">I1834+H1835</f>
        <v>0.993728328187325</v>
      </c>
      <c r="J1835" s="37" t="n">
        <f aca="false">A1835/2840</f>
        <v>0.643661971830986</v>
      </c>
      <c r="K1835" s="32" t="str">
        <f aca="false">IF(I1835&lt;=$E$4,"A",IF(I1835&lt;=$E$5,"B","C"))</f>
        <v>C</v>
      </c>
    </row>
    <row r="1836" customFormat="false" ht="15" hidden="false" customHeight="false" outlineLevel="0" collapsed="false">
      <c r="A1836" s="32" t="n">
        <v>1829</v>
      </c>
      <c r="B1836" s="33" t="n">
        <v>145062</v>
      </c>
      <c r="C1836" s="34" t="s">
        <v>3743</v>
      </c>
      <c r="D1836" s="34" t="s">
        <v>3744</v>
      </c>
      <c r="E1836" s="34" t="s">
        <v>457</v>
      </c>
      <c r="F1836" s="32" t="n">
        <f aca="false">COUNTIF(Base!$D$2:$D$2878,B1836)</f>
        <v>1</v>
      </c>
      <c r="G1836" s="35" t="n">
        <f aca="false">SUMIF(Base!$D$2:$D$2878,B1836,Base!$I$2:$I$2878)</f>
        <v>250.36</v>
      </c>
      <c r="H1836" s="36" t="n">
        <f aca="false">IF($G$2849=0,0,G1836/$G$2849)</f>
        <v>1.6429180582721E-005</v>
      </c>
      <c r="I1836" s="37" t="n">
        <f aca="false">I1835+H1836</f>
        <v>0.993744757367908</v>
      </c>
      <c r="J1836" s="37" t="n">
        <f aca="false">A1836/2840</f>
        <v>0.644014084507042</v>
      </c>
      <c r="K1836" s="32" t="str">
        <f aca="false">IF(I1836&lt;=$E$4,"A",IF(I1836&lt;=$E$5,"B","C"))</f>
        <v>C</v>
      </c>
    </row>
    <row r="1837" customFormat="false" ht="15" hidden="false" customHeight="false" outlineLevel="0" collapsed="false">
      <c r="A1837" s="32" t="n">
        <v>1830</v>
      </c>
      <c r="B1837" s="33" t="n">
        <v>876699</v>
      </c>
      <c r="C1837" s="34" t="s">
        <v>3745</v>
      </c>
      <c r="D1837" s="34" t="s">
        <v>3746</v>
      </c>
      <c r="E1837" s="34" t="s">
        <v>75</v>
      </c>
      <c r="F1837" s="32" t="n">
        <f aca="false">COUNTIF(Base!$D$2:$D$2878,B1837)</f>
        <v>1</v>
      </c>
      <c r="G1837" s="35" t="n">
        <f aca="false">SUMIF(Base!$D$2:$D$2878,B1837,Base!$I$2:$I$2878)</f>
        <v>250</v>
      </c>
      <c r="H1837" s="36" t="n">
        <f aca="false">IF($G$2849=0,0,G1837/$G$2849)</f>
        <v>1.6405556581244E-005</v>
      </c>
      <c r="I1837" s="37" t="n">
        <f aca="false">I1836+H1837</f>
        <v>0.993761162924489</v>
      </c>
      <c r="J1837" s="37" t="n">
        <f aca="false">A1837/2840</f>
        <v>0.644366197183099</v>
      </c>
      <c r="K1837" s="32" t="str">
        <f aca="false">IF(I1837&lt;=$E$4,"A",IF(I1837&lt;=$E$5,"B","C"))</f>
        <v>C</v>
      </c>
    </row>
    <row r="1838" customFormat="false" ht="15" hidden="false" customHeight="false" outlineLevel="0" collapsed="false">
      <c r="A1838" s="32" t="n">
        <v>1831</v>
      </c>
      <c r="B1838" s="33" t="n">
        <v>1255459</v>
      </c>
      <c r="C1838" s="34" t="s">
        <v>3747</v>
      </c>
      <c r="D1838" s="34" t="s">
        <v>3748</v>
      </c>
      <c r="E1838" s="34" t="s">
        <v>334</v>
      </c>
      <c r="F1838" s="32" t="n">
        <f aca="false">COUNTIF(Base!$D$2:$D$2878,B1838)</f>
        <v>1</v>
      </c>
      <c r="G1838" s="35" t="n">
        <f aca="false">SUMIF(Base!$D$2:$D$2878,B1838,Base!$I$2:$I$2878)</f>
        <v>250</v>
      </c>
      <c r="H1838" s="36" t="n">
        <f aca="false">IF($G$2849=0,0,G1838/$G$2849)</f>
        <v>1.6405556581244E-005</v>
      </c>
      <c r="I1838" s="37" t="n">
        <f aca="false">I1837+H1838</f>
        <v>0.99377756848107</v>
      </c>
      <c r="J1838" s="37" t="n">
        <f aca="false">A1838/2840</f>
        <v>0.644718309859155</v>
      </c>
      <c r="K1838" s="32" t="str">
        <f aca="false">IF(I1838&lt;=$E$4,"A",IF(I1838&lt;=$E$5,"B","C"))</f>
        <v>C</v>
      </c>
    </row>
    <row r="1839" customFormat="false" ht="15" hidden="false" customHeight="false" outlineLevel="0" collapsed="false">
      <c r="A1839" s="32" t="n">
        <v>1832</v>
      </c>
      <c r="B1839" s="33" t="n">
        <v>1169953</v>
      </c>
      <c r="C1839" s="34" t="s">
        <v>3749</v>
      </c>
      <c r="D1839" s="34" t="s">
        <v>3750</v>
      </c>
      <c r="E1839" s="34" t="s">
        <v>54</v>
      </c>
      <c r="F1839" s="32" t="n">
        <f aca="false">COUNTIF(Base!$D$2:$D$2878,B1839)</f>
        <v>1</v>
      </c>
      <c r="G1839" s="35" t="n">
        <f aca="false">SUMIF(Base!$D$2:$D$2878,B1839,Base!$I$2:$I$2878)</f>
        <v>249.9</v>
      </c>
      <c r="H1839" s="36" t="n">
        <f aca="false">IF($G$2849=0,0,G1839/$G$2849)</f>
        <v>1.63989943586115E-005</v>
      </c>
      <c r="I1839" s="37" t="n">
        <f aca="false">I1838+H1839</f>
        <v>0.993793967475429</v>
      </c>
      <c r="J1839" s="37" t="n">
        <f aca="false">A1839/2840</f>
        <v>0.645070422535211</v>
      </c>
      <c r="K1839" s="32" t="str">
        <f aca="false">IF(I1839&lt;=$E$4,"A",IF(I1839&lt;=$E$5,"B","C"))</f>
        <v>C</v>
      </c>
    </row>
    <row r="1840" customFormat="false" ht="15" hidden="false" customHeight="false" outlineLevel="0" collapsed="false">
      <c r="A1840" s="32" t="n">
        <v>1833</v>
      </c>
      <c r="B1840" s="33" t="n">
        <v>950847</v>
      </c>
      <c r="C1840" s="34" t="s">
        <v>3751</v>
      </c>
      <c r="D1840" s="34" t="s">
        <v>3752</v>
      </c>
      <c r="E1840" s="34" t="s">
        <v>100</v>
      </c>
      <c r="F1840" s="32" t="n">
        <f aca="false">COUNTIF(Base!$D$2:$D$2878,B1840)</f>
        <v>1</v>
      </c>
      <c r="G1840" s="35" t="n">
        <f aca="false">SUMIF(Base!$D$2:$D$2878,B1840,Base!$I$2:$I$2878)</f>
        <v>249.8</v>
      </c>
      <c r="H1840" s="36" t="n">
        <f aca="false">IF($G$2849=0,0,G1840/$G$2849)</f>
        <v>1.6392432135979E-005</v>
      </c>
      <c r="I1840" s="37" t="n">
        <f aca="false">I1839+H1840</f>
        <v>0.993810359907565</v>
      </c>
      <c r="J1840" s="37" t="n">
        <f aca="false">A1840/2840</f>
        <v>0.645422535211268</v>
      </c>
      <c r="K1840" s="32" t="str">
        <f aca="false">IF(I1840&lt;=$E$4,"A",IF(I1840&lt;=$E$5,"B","C"))</f>
        <v>C</v>
      </c>
    </row>
    <row r="1841" customFormat="false" ht="15" hidden="false" customHeight="false" outlineLevel="0" collapsed="false">
      <c r="A1841" s="32" t="n">
        <v>1834</v>
      </c>
      <c r="B1841" s="33" t="n">
        <v>35056</v>
      </c>
      <c r="C1841" s="34" t="s">
        <v>3753</v>
      </c>
      <c r="D1841" s="34" t="s">
        <v>3754</v>
      </c>
      <c r="E1841" s="34" t="s">
        <v>247</v>
      </c>
      <c r="F1841" s="32" t="n">
        <f aca="false">COUNTIF(Base!$D$2:$D$2878,B1841)</f>
        <v>2</v>
      </c>
      <c r="G1841" s="35" t="n">
        <f aca="false">SUMIF(Base!$D$2:$D$2878,B1841,Base!$I$2:$I$2878)</f>
        <v>249.38</v>
      </c>
      <c r="H1841" s="36" t="n">
        <f aca="false">IF($G$2849=0,0,G1841/$G$2849)</f>
        <v>1.63648708009225E-005</v>
      </c>
      <c r="I1841" s="37" t="n">
        <f aca="false">I1840+H1841</f>
        <v>0.993826724778366</v>
      </c>
      <c r="J1841" s="37" t="n">
        <f aca="false">A1841/2840</f>
        <v>0.645774647887324</v>
      </c>
      <c r="K1841" s="32" t="str">
        <f aca="false">IF(I1841&lt;=$E$4,"A",IF(I1841&lt;=$E$5,"B","C"))</f>
        <v>C</v>
      </c>
    </row>
    <row r="1842" customFormat="false" ht="15" hidden="false" customHeight="false" outlineLevel="0" collapsed="false">
      <c r="A1842" s="32" t="n">
        <v>1835</v>
      </c>
      <c r="B1842" s="33" t="n">
        <v>66428</v>
      </c>
      <c r="C1842" s="34" t="s">
        <v>3755</v>
      </c>
      <c r="D1842" s="34" t="s">
        <v>3756</v>
      </c>
      <c r="E1842" s="34" t="s">
        <v>563</v>
      </c>
      <c r="F1842" s="32" t="n">
        <f aca="false">COUNTIF(Base!$D$2:$D$2878,B1842)</f>
        <v>1</v>
      </c>
      <c r="G1842" s="35" t="n">
        <f aca="false">SUMIF(Base!$D$2:$D$2878,B1842,Base!$I$2:$I$2878)</f>
        <v>249.12</v>
      </c>
      <c r="H1842" s="36" t="n">
        <f aca="false">IF($G$2849=0,0,G1842/$G$2849)</f>
        <v>1.6347809022078E-005</v>
      </c>
      <c r="I1842" s="37" t="n">
        <f aca="false">I1841+H1842</f>
        <v>0.993843072587388</v>
      </c>
      <c r="J1842" s="37" t="n">
        <f aca="false">A1842/2840</f>
        <v>0.64612676056338</v>
      </c>
      <c r="K1842" s="32" t="str">
        <f aca="false">IF(I1842&lt;=$E$4,"A",IF(I1842&lt;=$E$5,"B","C"))</f>
        <v>C</v>
      </c>
    </row>
    <row r="1843" customFormat="false" ht="15" hidden="false" customHeight="false" outlineLevel="0" collapsed="false">
      <c r="A1843" s="32" t="n">
        <v>1836</v>
      </c>
      <c r="B1843" s="33" t="n">
        <v>18861</v>
      </c>
      <c r="C1843" s="34" t="s">
        <v>3757</v>
      </c>
      <c r="D1843" s="34" t="s">
        <v>3758</v>
      </c>
      <c r="E1843" s="34" t="s">
        <v>247</v>
      </c>
      <c r="F1843" s="32" t="n">
        <f aca="false">COUNTIF(Base!$D$2:$D$2878,B1843)</f>
        <v>1</v>
      </c>
      <c r="G1843" s="35" t="n">
        <f aca="false">SUMIF(Base!$D$2:$D$2878,B1843,Base!$I$2:$I$2878)</f>
        <v>248</v>
      </c>
      <c r="H1843" s="36" t="n">
        <f aca="false">IF($G$2849=0,0,G1843/$G$2849)</f>
        <v>1.62743121285941E-005</v>
      </c>
      <c r="I1843" s="37" t="n">
        <f aca="false">I1842+H1843</f>
        <v>0.993859346899517</v>
      </c>
      <c r="J1843" s="37" t="n">
        <f aca="false">A1843/2840</f>
        <v>0.646478873239437</v>
      </c>
      <c r="K1843" s="32" t="str">
        <f aca="false">IF(I1843&lt;=$E$4,"A",IF(I1843&lt;=$E$5,"B","C"))</f>
        <v>C</v>
      </c>
    </row>
    <row r="1844" customFormat="false" ht="15" hidden="false" customHeight="false" outlineLevel="0" collapsed="false">
      <c r="A1844" s="32" t="n">
        <v>1837</v>
      </c>
      <c r="B1844" s="33" t="n">
        <v>32466</v>
      </c>
      <c r="C1844" s="34" t="s">
        <v>3759</v>
      </c>
      <c r="D1844" s="34" t="s">
        <v>3760</v>
      </c>
      <c r="E1844" s="34" t="s">
        <v>38</v>
      </c>
      <c r="F1844" s="32" t="n">
        <f aca="false">COUNTIF(Base!$D$2:$D$2878,B1844)</f>
        <v>1</v>
      </c>
      <c r="G1844" s="35" t="n">
        <f aca="false">SUMIF(Base!$D$2:$D$2878,B1844,Base!$I$2:$I$2878)</f>
        <v>247</v>
      </c>
      <c r="H1844" s="36" t="n">
        <f aca="false">IF($G$2849=0,0,G1844/$G$2849)</f>
        <v>1.62086899022691E-005</v>
      </c>
      <c r="I1844" s="37" t="n">
        <f aca="false">I1843+H1844</f>
        <v>0.993875555589419</v>
      </c>
      <c r="J1844" s="37" t="n">
        <f aca="false">A1844/2840</f>
        <v>0.646830985915493</v>
      </c>
      <c r="K1844" s="32" t="str">
        <f aca="false">IF(I1844&lt;=$E$4,"A",IF(I1844&lt;=$E$5,"B","C"))</f>
        <v>C</v>
      </c>
    </row>
    <row r="1845" customFormat="false" ht="15" hidden="false" customHeight="false" outlineLevel="0" collapsed="false">
      <c r="A1845" s="32" t="n">
        <v>1838</v>
      </c>
      <c r="B1845" s="33" t="n">
        <v>556842</v>
      </c>
      <c r="C1845" s="34" t="s">
        <v>3761</v>
      </c>
      <c r="D1845" s="34" t="s">
        <v>3762</v>
      </c>
      <c r="E1845" s="34" t="s">
        <v>130</v>
      </c>
      <c r="F1845" s="32" t="n">
        <f aca="false">COUNTIF(Base!$D$2:$D$2878,B1845)</f>
        <v>1</v>
      </c>
      <c r="G1845" s="35" t="n">
        <f aca="false">SUMIF(Base!$D$2:$D$2878,B1845,Base!$I$2:$I$2878)</f>
        <v>246</v>
      </c>
      <c r="H1845" s="36" t="n">
        <f aca="false">IF($G$2849=0,0,G1845/$G$2849)</f>
        <v>1.61430676759441E-005</v>
      </c>
      <c r="I1845" s="37" t="n">
        <f aca="false">I1844+H1845</f>
        <v>0.993891698657095</v>
      </c>
      <c r="J1845" s="37" t="n">
        <f aca="false">A1845/2840</f>
        <v>0.647183098591549</v>
      </c>
      <c r="K1845" s="32" t="str">
        <f aca="false">IF(I1845&lt;=$E$4,"A",IF(I1845&lt;=$E$5,"B","C"))</f>
        <v>C</v>
      </c>
    </row>
    <row r="1846" customFormat="false" ht="15" hidden="false" customHeight="false" outlineLevel="0" collapsed="false">
      <c r="A1846" s="32" t="n">
        <v>1839</v>
      </c>
      <c r="B1846" s="33" t="n">
        <v>555239</v>
      </c>
      <c r="C1846" s="34" t="s">
        <v>3763</v>
      </c>
      <c r="D1846" s="34" t="s">
        <v>3764</v>
      </c>
      <c r="E1846" s="34" t="s">
        <v>130</v>
      </c>
      <c r="F1846" s="32" t="n">
        <f aca="false">COUNTIF(Base!$D$2:$D$2878,B1846)</f>
        <v>1</v>
      </c>
      <c r="G1846" s="35" t="n">
        <f aca="false">SUMIF(Base!$D$2:$D$2878,B1846,Base!$I$2:$I$2878)</f>
        <v>245.7</v>
      </c>
      <c r="H1846" s="36" t="n">
        <f aca="false">IF($G$2849=0,0,G1846/$G$2849)</f>
        <v>1.61233810080466E-005</v>
      </c>
      <c r="I1846" s="37" t="n">
        <f aca="false">I1845+H1846</f>
        <v>0.993907822038103</v>
      </c>
      <c r="J1846" s="37" t="n">
        <f aca="false">A1846/2840</f>
        <v>0.647535211267606</v>
      </c>
      <c r="K1846" s="32" t="str">
        <f aca="false">IF(I1846&lt;=$E$4,"A",IF(I1846&lt;=$E$5,"B","C"))</f>
        <v>C</v>
      </c>
    </row>
    <row r="1847" customFormat="false" ht="15" hidden="false" customHeight="false" outlineLevel="0" collapsed="false">
      <c r="A1847" s="32" t="n">
        <v>1840</v>
      </c>
      <c r="B1847" s="33" t="n">
        <v>275528</v>
      </c>
      <c r="C1847" s="34" t="s">
        <v>3765</v>
      </c>
      <c r="D1847" s="34" t="s">
        <v>3766</v>
      </c>
      <c r="E1847" s="34" t="s">
        <v>38</v>
      </c>
      <c r="F1847" s="32" t="n">
        <f aca="false">COUNTIF(Base!$D$2:$D$2878,B1847)</f>
        <v>1</v>
      </c>
      <c r="G1847" s="35" t="n">
        <f aca="false">SUMIF(Base!$D$2:$D$2878,B1847,Base!$I$2:$I$2878)</f>
        <v>245.63</v>
      </c>
      <c r="H1847" s="36" t="n">
        <f aca="false">IF($G$2849=0,0,G1847/$G$2849)</f>
        <v>1.61187874522039E-005</v>
      </c>
      <c r="I1847" s="37" t="n">
        <f aca="false">I1846+H1847</f>
        <v>0.993923940825555</v>
      </c>
      <c r="J1847" s="37" t="n">
        <f aca="false">A1847/2840</f>
        <v>0.647887323943662</v>
      </c>
      <c r="K1847" s="32" t="str">
        <f aca="false">IF(I1847&lt;=$E$4,"A",IF(I1847&lt;=$E$5,"B","C"))</f>
        <v>C</v>
      </c>
    </row>
    <row r="1848" customFormat="false" ht="15" hidden="false" customHeight="false" outlineLevel="0" collapsed="false">
      <c r="A1848" s="32" t="n">
        <v>1841</v>
      </c>
      <c r="B1848" s="33" t="n">
        <v>17939</v>
      </c>
      <c r="C1848" s="34" t="s">
        <v>3767</v>
      </c>
      <c r="D1848" s="34" t="s">
        <v>3768</v>
      </c>
      <c r="E1848" s="34" t="s">
        <v>130</v>
      </c>
      <c r="F1848" s="32" t="n">
        <f aca="false">COUNTIF(Base!$D$2:$D$2878,B1848)</f>
        <v>1</v>
      </c>
      <c r="G1848" s="35" t="n">
        <f aca="false">SUMIF(Base!$D$2:$D$2878,B1848,Base!$I$2:$I$2878)</f>
        <v>245.32</v>
      </c>
      <c r="H1848" s="36" t="n">
        <f aca="false">IF($G$2849=0,0,G1848/$G$2849)</f>
        <v>1.60984445620431E-005</v>
      </c>
      <c r="I1848" s="37" t="n">
        <f aca="false">I1847+H1848</f>
        <v>0.993940039270117</v>
      </c>
      <c r="J1848" s="37" t="n">
        <f aca="false">A1848/2840</f>
        <v>0.648239436619718</v>
      </c>
      <c r="K1848" s="32" t="str">
        <f aca="false">IF(I1848&lt;=$E$4,"A",IF(I1848&lt;=$E$5,"B","C"))</f>
        <v>C</v>
      </c>
    </row>
    <row r="1849" customFormat="false" ht="15" hidden="false" customHeight="false" outlineLevel="0" collapsed="false">
      <c r="A1849" s="32" t="n">
        <v>1842</v>
      </c>
      <c r="B1849" s="33" t="n">
        <v>1465306</v>
      </c>
      <c r="C1849" s="34" t="s">
        <v>3769</v>
      </c>
      <c r="D1849" s="34" t="s">
        <v>3770</v>
      </c>
      <c r="E1849" s="34" t="s">
        <v>100</v>
      </c>
      <c r="F1849" s="32" t="n">
        <f aca="false">COUNTIF(Base!$D$2:$D$2878,B1849)</f>
        <v>1</v>
      </c>
      <c r="G1849" s="35" t="n">
        <f aca="false">SUMIF(Base!$D$2:$D$2878,B1849,Base!$I$2:$I$2878)</f>
        <v>245.16</v>
      </c>
      <c r="H1849" s="36" t="n">
        <f aca="false">IF($G$2849=0,0,G1849/$G$2849)</f>
        <v>1.60879450058311E-005</v>
      </c>
      <c r="I1849" s="37" t="n">
        <f aca="false">I1848+H1849</f>
        <v>0.993956127215123</v>
      </c>
      <c r="J1849" s="37" t="n">
        <f aca="false">A1849/2840</f>
        <v>0.648591549295775</v>
      </c>
      <c r="K1849" s="32" t="str">
        <f aca="false">IF(I1849&lt;=$E$4,"A",IF(I1849&lt;=$E$5,"B","C"))</f>
        <v>C</v>
      </c>
    </row>
    <row r="1850" customFormat="false" ht="15" hidden="false" customHeight="false" outlineLevel="0" collapsed="false">
      <c r="A1850" s="32" t="n">
        <v>1843</v>
      </c>
      <c r="B1850" s="33" t="n">
        <v>1385308</v>
      </c>
      <c r="C1850" s="34" t="s">
        <v>3771</v>
      </c>
      <c r="D1850" s="34" t="s">
        <v>3772</v>
      </c>
      <c r="E1850" s="34" t="s">
        <v>38</v>
      </c>
      <c r="F1850" s="32" t="n">
        <f aca="false">COUNTIF(Base!$D$2:$D$2878,B1850)</f>
        <v>1</v>
      </c>
      <c r="G1850" s="35" t="n">
        <f aca="false">SUMIF(Base!$D$2:$D$2878,B1850,Base!$I$2:$I$2878)</f>
        <v>244.95</v>
      </c>
      <c r="H1850" s="36" t="n">
        <f aca="false">IF($G$2849=0,0,G1850/$G$2849)</f>
        <v>1.60741643383029E-005</v>
      </c>
      <c r="I1850" s="37" t="n">
        <f aca="false">I1849+H1850</f>
        <v>0.993972201379461</v>
      </c>
      <c r="J1850" s="37" t="n">
        <f aca="false">A1850/2840</f>
        <v>0.648943661971831</v>
      </c>
      <c r="K1850" s="32" t="str">
        <f aca="false">IF(I1850&lt;=$E$4,"A",IF(I1850&lt;=$E$5,"B","C"))</f>
        <v>C</v>
      </c>
    </row>
    <row r="1851" customFormat="false" ht="15" hidden="false" customHeight="false" outlineLevel="0" collapsed="false">
      <c r="A1851" s="32" t="n">
        <v>1844</v>
      </c>
      <c r="B1851" s="33" t="n">
        <v>18014</v>
      </c>
      <c r="C1851" s="34" t="s">
        <v>3773</v>
      </c>
      <c r="D1851" s="34" t="s">
        <v>3774</v>
      </c>
      <c r="E1851" s="34" t="s">
        <v>130</v>
      </c>
      <c r="F1851" s="32" t="n">
        <f aca="false">COUNTIF(Base!$D$2:$D$2878,B1851)</f>
        <v>1</v>
      </c>
      <c r="G1851" s="35" t="n">
        <f aca="false">SUMIF(Base!$D$2:$D$2878,B1851,Base!$I$2:$I$2878)</f>
        <v>243.5</v>
      </c>
      <c r="H1851" s="36" t="n">
        <f aca="false">IF($G$2849=0,0,G1851/$G$2849)</f>
        <v>1.59790121101317E-005</v>
      </c>
      <c r="I1851" s="37" t="n">
        <f aca="false">I1850+H1851</f>
        <v>0.993988180391571</v>
      </c>
      <c r="J1851" s="37" t="n">
        <f aca="false">A1851/2840</f>
        <v>0.649295774647887</v>
      </c>
      <c r="K1851" s="32" t="str">
        <f aca="false">IF(I1851&lt;=$E$4,"A",IF(I1851&lt;=$E$5,"B","C"))</f>
        <v>C</v>
      </c>
    </row>
    <row r="1852" customFormat="false" ht="15" hidden="false" customHeight="false" outlineLevel="0" collapsed="false">
      <c r="A1852" s="32" t="n">
        <v>1845</v>
      </c>
      <c r="B1852" s="33" t="n">
        <v>1672552</v>
      </c>
      <c r="C1852" s="34" t="s">
        <v>3775</v>
      </c>
      <c r="D1852" s="34" t="s">
        <v>3776</v>
      </c>
      <c r="E1852" s="34" t="s">
        <v>66</v>
      </c>
      <c r="F1852" s="32" t="n">
        <f aca="false">COUNTIF(Base!$D$2:$D$2878,B1852)</f>
        <v>1</v>
      </c>
      <c r="G1852" s="35" t="n">
        <f aca="false">SUMIF(Base!$D$2:$D$2878,B1852,Base!$I$2:$I$2878)</f>
        <v>241.27</v>
      </c>
      <c r="H1852" s="36" t="n">
        <f aca="false">IF($G$2849=0,0,G1852/$G$2849)</f>
        <v>1.5832674545427E-005</v>
      </c>
      <c r="I1852" s="37" t="n">
        <f aca="false">I1851+H1852</f>
        <v>0.994004013066117</v>
      </c>
      <c r="J1852" s="37" t="n">
        <f aca="false">A1852/2840</f>
        <v>0.649647887323944</v>
      </c>
      <c r="K1852" s="32" t="str">
        <f aca="false">IF(I1852&lt;=$E$4,"A",IF(I1852&lt;=$E$5,"B","C"))</f>
        <v>C</v>
      </c>
    </row>
    <row r="1853" customFormat="false" ht="15" hidden="false" customHeight="false" outlineLevel="0" collapsed="false">
      <c r="A1853" s="32" t="n">
        <v>1846</v>
      </c>
      <c r="B1853" s="33" t="n">
        <v>390195</v>
      </c>
      <c r="C1853" s="34" t="s">
        <v>3777</v>
      </c>
      <c r="D1853" s="34" t="s">
        <v>3778</v>
      </c>
      <c r="E1853" s="34" t="s">
        <v>189</v>
      </c>
      <c r="F1853" s="32" t="n">
        <f aca="false">COUNTIF(Base!$D$2:$D$2878,B1853)</f>
        <v>1</v>
      </c>
      <c r="G1853" s="35" t="n">
        <f aca="false">SUMIF(Base!$D$2:$D$2878,B1853,Base!$I$2:$I$2878)</f>
        <v>240</v>
      </c>
      <c r="H1853" s="36" t="n">
        <f aca="false">IF($G$2849=0,0,G1853/$G$2849)</f>
        <v>1.57493343179942E-005</v>
      </c>
      <c r="I1853" s="37" t="n">
        <f aca="false">I1852+H1853</f>
        <v>0.994019762400435</v>
      </c>
      <c r="J1853" s="37" t="n">
        <f aca="false">A1853/2840</f>
        <v>0.65</v>
      </c>
      <c r="K1853" s="32" t="str">
        <f aca="false">IF(I1853&lt;=$E$4,"A",IF(I1853&lt;=$E$5,"B","C"))</f>
        <v>C</v>
      </c>
    </row>
    <row r="1854" customFormat="false" ht="15" hidden="false" customHeight="false" outlineLevel="0" collapsed="false">
      <c r="A1854" s="32" t="n">
        <v>1847</v>
      </c>
      <c r="B1854" s="33" t="n">
        <v>852412</v>
      </c>
      <c r="C1854" s="34" t="s">
        <v>3779</v>
      </c>
      <c r="D1854" s="34" t="s">
        <v>3780</v>
      </c>
      <c r="E1854" s="34" t="s">
        <v>100</v>
      </c>
      <c r="F1854" s="32" t="n">
        <f aca="false">COUNTIF(Base!$D$2:$D$2878,B1854)</f>
        <v>1</v>
      </c>
      <c r="G1854" s="35" t="n">
        <f aca="false">SUMIF(Base!$D$2:$D$2878,B1854,Base!$I$2:$I$2878)</f>
        <v>240</v>
      </c>
      <c r="H1854" s="36" t="n">
        <f aca="false">IF($G$2849=0,0,G1854/$G$2849)</f>
        <v>1.57493343179942E-005</v>
      </c>
      <c r="I1854" s="37" t="n">
        <f aca="false">I1853+H1854</f>
        <v>0.994035511734753</v>
      </c>
      <c r="J1854" s="37" t="n">
        <f aca="false">A1854/2840</f>
        <v>0.650352112676056</v>
      </c>
      <c r="K1854" s="32" t="str">
        <f aca="false">IF(I1854&lt;=$E$4,"A",IF(I1854&lt;=$E$5,"B","C"))</f>
        <v>C</v>
      </c>
    </row>
    <row r="1855" customFormat="false" ht="15" hidden="false" customHeight="false" outlineLevel="0" collapsed="false">
      <c r="A1855" s="32" t="n">
        <v>1848</v>
      </c>
      <c r="B1855" s="33" t="n">
        <v>856730</v>
      </c>
      <c r="C1855" s="34" t="s">
        <v>3781</v>
      </c>
      <c r="D1855" s="34" t="s">
        <v>3782</v>
      </c>
      <c r="E1855" s="34" t="s">
        <v>130</v>
      </c>
      <c r="F1855" s="32" t="n">
        <f aca="false">COUNTIF(Base!$D$2:$D$2878,B1855)</f>
        <v>1</v>
      </c>
      <c r="G1855" s="35" t="n">
        <f aca="false">SUMIF(Base!$D$2:$D$2878,B1855,Base!$I$2:$I$2878)</f>
        <v>240</v>
      </c>
      <c r="H1855" s="36" t="n">
        <f aca="false">IF($G$2849=0,0,G1855/$G$2849)</f>
        <v>1.57493343179942E-005</v>
      </c>
      <c r="I1855" s="37" t="n">
        <f aca="false">I1854+H1855</f>
        <v>0.994051261069071</v>
      </c>
      <c r="J1855" s="37" t="n">
        <f aca="false">A1855/2840</f>
        <v>0.650704225352113</v>
      </c>
      <c r="K1855" s="32" t="str">
        <f aca="false">IF(I1855&lt;=$E$4,"A",IF(I1855&lt;=$E$5,"B","C"))</f>
        <v>C</v>
      </c>
    </row>
    <row r="1856" customFormat="false" ht="15" hidden="false" customHeight="false" outlineLevel="0" collapsed="false">
      <c r="A1856" s="32" t="n">
        <v>1849</v>
      </c>
      <c r="B1856" s="33" t="n">
        <v>1605802</v>
      </c>
      <c r="C1856" s="34" t="s">
        <v>3783</v>
      </c>
      <c r="D1856" s="34" t="s">
        <v>3784</v>
      </c>
      <c r="E1856" s="34" t="s">
        <v>38</v>
      </c>
      <c r="F1856" s="32" t="n">
        <f aca="false">COUNTIF(Base!$D$2:$D$2878,B1856)</f>
        <v>1</v>
      </c>
      <c r="G1856" s="35" t="n">
        <f aca="false">SUMIF(Base!$D$2:$D$2878,B1856,Base!$I$2:$I$2878)</f>
        <v>239.8</v>
      </c>
      <c r="H1856" s="36" t="n">
        <f aca="false">IF($G$2849=0,0,G1856/$G$2849)</f>
        <v>1.57362098727293E-005</v>
      </c>
      <c r="I1856" s="37" t="n">
        <f aca="false">I1855+H1856</f>
        <v>0.994066997278944</v>
      </c>
      <c r="J1856" s="37" t="n">
        <f aca="false">A1856/2840</f>
        <v>0.651056338028169</v>
      </c>
      <c r="K1856" s="32" t="str">
        <f aca="false">IF(I1856&lt;=$E$4,"A",IF(I1856&lt;=$E$5,"B","C"))</f>
        <v>C</v>
      </c>
    </row>
    <row r="1857" customFormat="false" ht="15" hidden="false" customHeight="false" outlineLevel="0" collapsed="false">
      <c r="A1857" s="32" t="n">
        <v>1850</v>
      </c>
      <c r="B1857" s="33" t="n">
        <v>1171454</v>
      </c>
      <c r="C1857" s="34" t="s">
        <v>3785</v>
      </c>
      <c r="D1857" s="34" t="s">
        <v>3786</v>
      </c>
      <c r="E1857" s="34" t="s">
        <v>54</v>
      </c>
      <c r="F1857" s="32" t="n">
        <f aca="false">COUNTIF(Base!$D$2:$D$2878,B1857)</f>
        <v>1</v>
      </c>
      <c r="G1857" s="35" t="n">
        <f aca="false">SUMIF(Base!$D$2:$D$2878,B1857,Base!$I$2:$I$2878)</f>
        <v>239.2</v>
      </c>
      <c r="H1857" s="36" t="n">
        <f aca="false">IF($G$2849=0,0,G1857/$G$2849)</f>
        <v>1.56968365369343E-005</v>
      </c>
      <c r="I1857" s="37" t="n">
        <f aca="false">I1856+H1857</f>
        <v>0.994082694115481</v>
      </c>
      <c r="J1857" s="37" t="n">
        <f aca="false">A1857/2840</f>
        <v>0.651408450704225</v>
      </c>
      <c r="K1857" s="32" t="str">
        <f aca="false">IF(I1857&lt;=$E$4,"A",IF(I1857&lt;=$E$5,"B","C"))</f>
        <v>C</v>
      </c>
    </row>
    <row r="1858" customFormat="false" ht="15" hidden="false" customHeight="false" outlineLevel="0" collapsed="false">
      <c r="A1858" s="32" t="n">
        <v>1851</v>
      </c>
      <c r="B1858" s="33" t="n">
        <v>23499</v>
      </c>
      <c r="C1858" s="34" t="s">
        <v>3787</v>
      </c>
      <c r="D1858" s="34" t="s">
        <v>3788</v>
      </c>
      <c r="E1858" s="34" t="s">
        <v>247</v>
      </c>
      <c r="F1858" s="32" t="n">
        <f aca="false">COUNTIF(Base!$D$2:$D$2878,B1858)</f>
        <v>1</v>
      </c>
      <c r="G1858" s="35" t="n">
        <f aca="false">SUMIF(Base!$D$2:$D$2878,B1858,Base!$I$2:$I$2878)</f>
        <v>239</v>
      </c>
      <c r="H1858" s="36" t="n">
        <f aca="false">IF($G$2849=0,0,G1858/$G$2849)</f>
        <v>1.56837120916693E-005</v>
      </c>
      <c r="I1858" s="37" t="n">
        <f aca="false">I1857+H1858</f>
        <v>0.994098377827572</v>
      </c>
      <c r="J1858" s="37" t="n">
        <f aca="false">A1858/2840</f>
        <v>0.651760563380282</v>
      </c>
      <c r="K1858" s="32" t="str">
        <f aca="false">IF(I1858&lt;=$E$4,"A",IF(I1858&lt;=$E$5,"B","C"))</f>
        <v>C</v>
      </c>
    </row>
    <row r="1859" customFormat="false" ht="15" hidden="false" customHeight="false" outlineLevel="0" collapsed="false">
      <c r="A1859" s="32" t="n">
        <v>1852</v>
      </c>
      <c r="B1859" s="33" t="n">
        <v>218904</v>
      </c>
      <c r="C1859" s="34" t="s">
        <v>3789</v>
      </c>
      <c r="D1859" s="34" t="s">
        <v>3790</v>
      </c>
      <c r="E1859" s="34" t="s">
        <v>113</v>
      </c>
      <c r="F1859" s="32" t="n">
        <f aca="false">COUNTIF(Base!$D$2:$D$2878,B1859)</f>
        <v>1</v>
      </c>
      <c r="G1859" s="35" t="n">
        <f aca="false">SUMIF(Base!$D$2:$D$2878,B1859,Base!$I$2:$I$2878)</f>
        <v>239</v>
      </c>
      <c r="H1859" s="36" t="n">
        <f aca="false">IF($G$2849=0,0,G1859/$G$2849)</f>
        <v>1.56837120916693E-005</v>
      </c>
      <c r="I1859" s="37" t="n">
        <f aca="false">I1858+H1859</f>
        <v>0.994114061539664</v>
      </c>
      <c r="J1859" s="37" t="n">
        <f aca="false">A1859/2840</f>
        <v>0.652112676056338</v>
      </c>
      <c r="K1859" s="32" t="str">
        <f aca="false">IF(I1859&lt;=$E$4,"A",IF(I1859&lt;=$E$5,"B","C"))</f>
        <v>C</v>
      </c>
    </row>
    <row r="1860" customFormat="false" ht="15" hidden="false" customHeight="false" outlineLevel="0" collapsed="false">
      <c r="A1860" s="32" t="n">
        <v>1853</v>
      </c>
      <c r="B1860" s="33" t="n">
        <v>230659</v>
      </c>
      <c r="C1860" s="34" t="s">
        <v>3791</v>
      </c>
      <c r="D1860" s="34" t="s">
        <v>3792</v>
      </c>
      <c r="E1860" s="34" t="s">
        <v>247</v>
      </c>
      <c r="F1860" s="32" t="n">
        <f aca="false">COUNTIF(Base!$D$2:$D$2878,B1860)</f>
        <v>1</v>
      </c>
      <c r="G1860" s="35" t="n">
        <f aca="false">SUMIF(Base!$D$2:$D$2878,B1860,Base!$I$2:$I$2878)</f>
        <v>238</v>
      </c>
      <c r="H1860" s="36" t="n">
        <f aca="false">IF($G$2849=0,0,G1860/$G$2849)</f>
        <v>1.56180898653443E-005</v>
      </c>
      <c r="I1860" s="37" t="n">
        <f aca="false">I1859+H1860</f>
        <v>0.994129679629529</v>
      </c>
      <c r="J1860" s="37" t="n">
        <f aca="false">A1860/2840</f>
        <v>0.652464788732394</v>
      </c>
      <c r="K1860" s="32" t="str">
        <f aca="false">IF(I1860&lt;=$E$4,"A",IF(I1860&lt;=$E$5,"B","C"))</f>
        <v>C</v>
      </c>
    </row>
    <row r="1861" customFormat="false" ht="15" hidden="false" customHeight="false" outlineLevel="0" collapsed="false">
      <c r="A1861" s="32" t="n">
        <v>1854</v>
      </c>
      <c r="B1861" s="33" t="n">
        <v>555186</v>
      </c>
      <c r="C1861" s="34" t="s">
        <v>3793</v>
      </c>
      <c r="D1861" s="34" t="s">
        <v>3794</v>
      </c>
      <c r="E1861" s="34" t="s">
        <v>130</v>
      </c>
      <c r="F1861" s="32" t="n">
        <f aca="false">COUNTIF(Base!$D$2:$D$2878,B1861)</f>
        <v>1</v>
      </c>
      <c r="G1861" s="35" t="n">
        <f aca="false">SUMIF(Base!$D$2:$D$2878,B1861,Base!$I$2:$I$2878)</f>
        <v>238</v>
      </c>
      <c r="H1861" s="36" t="n">
        <f aca="false">IF($G$2849=0,0,G1861/$G$2849)</f>
        <v>1.56180898653443E-005</v>
      </c>
      <c r="I1861" s="37" t="n">
        <f aca="false">I1860+H1861</f>
        <v>0.994145297719395</v>
      </c>
      <c r="J1861" s="37" t="n">
        <f aca="false">A1861/2840</f>
        <v>0.652816901408451</v>
      </c>
      <c r="K1861" s="32" t="str">
        <f aca="false">IF(I1861&lt;=$E$4,"A",IF(I1861&lt;=$E$5,"B","C"))</f>
        <v>C</v>
      </c>
    </row>
    <row r="1862" customFormat="false" ht="15" hidden="false" customHeight="false" outlineLevel="0" collapsed="false">
      <c r="A1862" s="32" t="n">
        <v>1855</v>
      </c>
      <c r="B1862" s="33" t="n">
        <v>741194</v>
      </c>
      <c r="C1862" s="34" t="s">
        <v>3795</v>
      </c>
      <c r="D1862" s="34" t="s">
        <v>3796</v>
      </c>
      <c r="E1862" s="34" t="s">
        <v>130</v>
      </c>
      <c r="F1862" s="32" t="n">
        <f aca="false">COUNTIF(Base!$D$2:$D$2878,B1862)</f>
        <v>1</v>
      </c>
      <c r="G1862" s="35" t="n">
        <f aca="false">SUMIF(Base!$D$2:$D$2878,B1862,Base!$I$2:$I$2878)</f>
        <v>238</v>
      </c>
      <c r="H1862" s="36" t="n">
        <f aca="false">IF($G$2849=0,0,G1862/$G$2849)</f>
        <v>1.56180898653443E-005</v>
      </c>
      <c r="I1862" s="37" t="n">
        <f aca="false">I1861+H1862</f>
        <v>0.99416091580926</v>
      </c>
      <c r="J1862" s="37" t="n">
        <f aca="false">A1862/2840</f>
        <v>0.653169014084507</v>
      </c>
      <c r="K1862" s="32" t="str">
        <f aca="false">IF(I1862&lt;=$E$4,"A",IF(I1862&lt;=$E$5,"B","C"))</f>
        <v>C</v>
      </c>
    </row>
    <row r="1863" customFormat="false" ht="15" hidden="false" customHeight="false" outlineLevel="0" collapsed="false">
      <c r="A1863" s="32" t="n">
        <v>1856</v>
      </c>
      <c r="B1863" s="33" t="n">
        <v>1312945</v>
      </c>
      <c r="C1863" s="34" t="s">
        <v>3797</v>
      </c>
      <c r="D1863" s="34" t="s">
        <v>3798</v>
      </c>
      <c r="E1863" s="34" t="s">
        <v>100</v>
      </c>
      <c r="F1863" s="32" t="n">
        <f aca="false">COUNTIF(Base!$D$2:$D$2878,B1863)</f>
        <v>1</v>
      </c>
      <c r="G1863" s="35" t="n">
        <f aca="false">SUMIF(Base!$D$2:$D$2878,B1863,Base!$I$2:$I$2878)</f>
        <v>237.6</v>
      </c>
      <c r="H1863" s="36" t="n">
        <f aca="false">IF($G$2849=0,0,G1863/$G$2849)</f>
        <v>1.55918409748143E-005</v>
      </c>
      <c r="I1863" s="37" t="n">
        <f aca="false">I1862+H1863</f>
        <v>0.994176507650235</v>
      </c>
      <c r="J1863" s="37" t="n">
        <f aca="false">A1863/2840</f>
        <v>0.653521126760563</v>
      </c>
      <c r="K1863" s="32" t="str">
        <f aca="false">IF(I1863&lt;=$E$4,"A",IF(I1863&lt;=$E$5,"B","C"))</f>
        <v>C</v>
      </c>
    </row>
    <row r="1864" customFormat="false" ht="15" hidden="false" customHeight="false" outlineLevel="0" collapsed="false">
      <c r="A1864" s="32" t="n">
        <v>1857</v>
      </c>
      <c r="B1864" s="33" t="n">
        <v>425790</v>
      </c>
      <c r="C1864" s="34" t="s">
        <v>3799</v>
      </c>
      <c r="D1864" s="34" t="s">
        <v>3800</v>
      </c>
      <c r="E1864" s="34" t="s">
        <v>457</v>
      </c>
      <c r="F1864" s="32" t="n">
        <f aca="false">COUNTIF(Base!$D$2:$D$2878,B1864)</f>
        <v>1</v>
      </c>
      <c r="G1864" s="35" t="n">
        <f aca="false">SUMIF(Base!$D$2:$D$2878,B1864,Base!$I$2:$I$2878)</f>
        <v>237.4</v>
      </c>
      <c r="H1864" s="36" t="n">
        <f aca="false">IF($G$2849=0,0,G1864/$G$2849)</f>
        <v>1.55787165295493E-005</v>
      </c>
      <c r="I1864" s="37" t="n">
        <f aca="false">I1863+H1864</f>
        <v>0.994192086366765</v>
      </c>
      <c r="J1864" s="37" t="n">
        <f aca="false">A1864/2840</f>
        <v>0.65387323943662</v>
      </c>
      <c r="K1864" s="32" t="str">
        <f aca="false">IF(I1864&lt;=$E$4,"A",IF(I1864&lt;=$E$5,"B","C"))</f>
        <v>C</v>
      </c>
    </row>
    <row r="1865" customFormat="false" ht="15" hidden="false" customHeight="false" outlineLevel="0" collapsed="false">
      <c r="A1865" s="32" t="n">
        <v>1858</v>
      </c>
      <c r="B1865" s="33" t="n">
        <v>138354</v>
      </c>
      <c r="C1865" s="34" t="s">
        <v>3801</v>
      </c>
      <c r="D1865" s="34" t="s">
        <v>3802</v>
      </c>
      <c r="E1865" s="34" t="s">
        <v>113</v>
      </c>
      <c r="F1865" s="32" t="n">
        <f aca="false">COUNTIF(Base!$D$2:$D$2878,B1865)</f>
        <v>1</v>
      </c>
      <c r="G1865" s="35" t="n">
        <f aca="false">SUMIF(Base!$D$2:$D$2878,B1865,Base!$I$2:$I$2878)</f>
        <v>236.55</v>
      </c>
      <c r="H1865" s="36" t="n">
        <f aca="false">IF($G$2849=0,0,G1865/$G$2849)</f>
        <v>1.55229376371731E-005</v>
      </c>
      <c r="I1865" s="37" t="n">
        <f aca="false">I1864+H1865</f>
        <v>0.994207609304402</v>
      </c>
      <c r="J1865" s="37" t="n">
        <f aca="false">A1865/2840</f>
        <v>0.654225352112676</v>
      </c>
      <c r="K1865" s="32" t="str">
        <f aca="false">IF(I1865&lt;=$E$4,"A",IF(I1865&lt;=$E$5,"B","C"))</f>
        <v>C</v>
      </c>
    </row>
    <row r="1866" customFormat="false" ht="15" hidden="false" customHeight="false" outlineLevel="0" collapsed="false">
      <c r="A1866" s="32" t="n">
        <v>1859</v>
      </c>
      <c r="B1866" s="33" t="n">
        <v>1659749</v>
      </c>
      <c r="C1866" s="34" t="s">
        <v>3803</v>
      </c>
      <c r="D1866" s="34" t="s">
        <v>3804</v>
      </c>
      <c r="E1866" s="34" t="s">
        <v>100</v>
      </c>
      <c r="F1866" s="32" t="n">
        <f aca="false">COUNTIF(Base!$D$2:$D$2878,B1866)</f>
        <v>1</v>
      </c>
      <c r="G1866" s="35" t="n">
        <f aca="false">SUMIF(Base!$D$2:$D$2878,B1866,Base!$I$2:$I$2878)</f>
        <v>236.5</v>
      </c>
      <c r="H1866" s="36" t="n">
        <f aca="false">IF($G$2849=0,0,G1866/$G$2849)</f>
        <v>1.55196565258568E-005</v>
      </c>
      <c r="I1866" s="37" t="n">
        <f aca="false">I1865+H1866</f>
        <v>0.994223128960928</v>
      </c>
      <c r="J1866" s="37" t="n">
        <f aca="false">A1866/2840</f>
        <v>0.654577464788732</v>
      </c>
      <c r="K1866" s="32" t="str">
        <f aca="false">IF(I1866&lt;=$E$4,"A",IF(I1866&lt;=$E$5,"B","C"))</f>
        <v>C</v>
      </c>
    </row>
    <row r="1867" customFormat="false" ht="15" hidden="false" customHeight="false" outlineLevel="0" collapsed="false">
      <c r="A1867" s="32" t="n">
        <v>1860</v>
      </c>
      <c r="B1867" s="33" t="n">
        <v>1681001</v>
      </c>
      <c r="C1867" s="34" t="s">
        <v>3805</v>
      </c>
      <c r="D1867" s="34" t="s">
        <v>3806</v>
      </c>
      <c r="E1867" s="34" t="s">
        <v>133</v>
      </c>
      <c r="F1867" s="32" t="n">
        <f aca="false">COUNTIF(Base!$D$2:$D$2878,B1867)</f>
        <v>1</v>
      </c>
      <c r="G1867" s="35" t="n">
        <f aca="false">SUMIF(Base!$D$2:$D$2878,B1867,Base!$I$2:$I$2878)</f>
        <v>236.35</v>
      </c>
      <c r="H1867" s="36" t="n">
        <f aca="false">IF($G$2849=0,0,G1867/$G$2849)</f>
        <v>1.55098131919081E-005</v>
      </c>
      <c r="I1867" s="37" t="n">
        <f aca="false">I1866+H1867</f>
        <v>0.994238638774119</v>
      </c>
      <c r="J1867" s="37" t="n">
        <f aca="false">A1867/2840</f>
        <v>0.654929577464789</v>
      </c>
      <c r="K1867" s="32" t="str">
        <f aca="false">IF(I1867&lt;=$E$4,"A",IF(I1867&lt;=$E$5,"B","C"))</f>
        <v>C</v>
      </c>
    </row>
    <row r="1868" customFormat="false" ht="15" hidden="false" customHeight="false" outlineLevel="0" collapsed="false">
      <c r="A1868" s="32" t="n">
        <v>1861</v>
      </c>
      <c r="B1868" s="33" t="n">
        <v>18158</v>
      </c>
      <c r="C1868" s="34" t="s">
        <v>3807</v>
      </c>
      <c r="D1868" s="34" t="s">
        <v>3808</v>
      </c>
      <c r="E1868" s="34" t="s">
        <v>130</v>
      </c>
      <c r="F1868" s="32" t="n">
        <f aca="false">COUNTIF(Base!$D$2:$D$2878,B1868)</f>
        <v>1</v>
      </c>
      <c r="G1868" s="35" t="n">
        <f aca="false">SUMIF(Base!$D$2:$D$2878,B1868,Base!$I$2:$I$2878)</f>
        <v>236</v>
      </c>
      <c r="H1868" s="36" t="n">
        <f aca="false">IF($G$2849=0,0,G1868/$G$2849)</f>
        <v>1.54868454126943E-005</v>
      </c>
      <c r="I1868" s="37" t="n">
        <f aca="false">I1867+H1868</f>
        <v>0.994254125619532</v>
      </c>
      <c r="J1868" s="37" t="n">
        <f aca="false">A1868/2840</f>
        <v>0.655281690140845</v>
      </c>
      <c r="K1868" s="32" t="str">
        <f aca="false">IF(I1868&lt;=$E$4,"A",IF(I1868&lt;=$E$5,"B","C"))</f>
        <v>C</v>
      </c>
    </row>
    <row r="1869" customFormat="false" ht="15" hidden="false" customHeight="false" outlineLevel="0" collapsed="false">
      <c r="A1869" s="32" t="n">
        <v>1862</v>
      </c>
      <c r="B1869" s="33" t="n">
        <v>32464</v>
      </c>
      <c r="C1869" s="34" t="s">
        <v>3809</v>
      </c>
      <c r="D1869" s="34" t="s">
        <v>3810</v>
      </c>
      <c r="E1869" s="34" t="s">
        <v>38</v>
      </c>
      <c r="F1869" s="32" t="n">
        <f aca="false">COUNTIF(Base!$D$2:$D$2878,B1869)</f>
        <v>1</v>
      </c>
      <c r="G1869" s="35" t="n">
        <f aca="false">SUMIF(Base!$D$2:$D$2878,B1869,Base!$I$2:$I$2878)</f>
        <v>235.44</v>
      </c>
      <c r="H1869" s="36" t="n">
        <f aca="false">IF($G$2849=0,0,G1869/$G$2849)</f>
        <v>1.54500969659524E-005</v>
      </c>
      <c r="I1869" s="37" t="n">
        <f aca="false">I1868+H1869</f>
        <v>0.994269575716498</v>
      </c>
      <c r="J1869" s="37" t="n">
        <f aca="false">A1869/2840</f>
        <v>0.655633802816901</v>
      </c>
      <c r="K1869" s="32" t="str">
        <f aca="false">IF(I1869&lt;=$E$4,"A",IF(I1869&lt;=$E$5,"B","C"))</f>
        <v>C</v>
      </c>
    </row>
    <row r="1870" customFormat="false" ht="15" hidden="false" customHeight="false" outlineLevel="0" collapsed="false">
      <c r="A1870" s="32" t="n">
        <v>1863</v>
      </c>
      <c r="B1870" s="33" t="n">
        <v>853266</v>
      </c>
      <c r="C1870" s="34" t="s">
        <v>3811</v>
      </c>
      <c r="D1870" s="34" t="s">
        <v>3812</v>
      </c>
      <c r="E1870" s="34" t="s">
        <v>480</v>
      </c>
      <c r="F1870" s="32" t="n">
        <f aca="false">COUNTIF(Base!$D$2:$D$2878,B1870)</f>
        <v>1</v>
      </c>
      <c r="G1870" s="35" t="n">
        <f aca="false">SUMIF(Base!$D$2:$D$2878,B1870,Base!$I$2:$I$2878)</f>
        <v>235.4</v>
      </c>
      <c r="H1870" s="36" t="n">
        <f aca="false">IF($G$2849=0,0,G1870/$G$2849)</f>
        <v>1.54474720768994E-005</v>
      </c>
      <c r="I1870" s="37" t="n">
        <f aca="false">I1869+H1870</f>
        <v>0.994285023188575</v>
      </c>
      <c r="J1870" s="37" t="n">
        <f aca="false">A1870/2840</f>
        <v>0.655985915492958</v>
      </c>
      <c r="K1870" s="32" t="str">
        <f aca="false">IF(I1870&lt;=$E$4,"A",IF(I1870&lt;=$E$5,"B","C"))</f>
        <v>C</v>
      </c>
    </row>
    <row r="1871" customFormat="false" ht="15" hidden="false" customHeight="false" outlineLevel="0" collapsed="false">
      <c r="A1871" s="32" t="n">
        <v>1864</v>
      </c>
      <c r="B1871" s="33" t="n">
        <v>1384241</v>
      </c>
      <c r="C1871" s="34" t="s">
        <v>3813</v>
      </c>
      <c r="D1871" s="34" t="s">
        <v>3814</v>
      </c>
      <c r="E1871" s="34" t="s">
        <v>75</v>
      </c>
      <c r="F1871" s="32" t="n">
        <f aca="false">COUNTIF(Base!$D$2:$D$2878,B1871)</f>
        <v>1</v>
      </c>
      <c r="G1871" s="35" t="n">
        <f aca="false">SUMIF(Base!$D$2:$D$2878,B1871,Base!$I$2:$I$2878)</f>
        <v>233.97</v>
      </c>
      <c r="H1871" s="36" t="n">
        <f aca="false">IF($G$2849=0,0,G1871/$G$2849)</f>
        <v>1.53536322932546E-005</v>
      </c>
      <c r="I1871" s="37" t="n">
        <f aca="false">I1870+H1871</f>
        <v>0.994300376820868</v>
      </c>
      <c r="J1871" s="37" t="n">
        <f aca="false">A1871/2840</f>
        <v>0.656338028169014</v>
      </c>
      <c r="K1871" s="32" t="str">
        <f aca="false">IF(I1871&lt;=$E$4,"A",IF(I1871&lt;=$E$5,"B","C"))</f>
        <v>C</v>
      </c>
    </row>
    <row r="1872" customFormat="false" ht="15" hidden="false" customHeight="false" outlineLevel="0" collapsed="false">
      <c r="A1872" s="32" t="n">
        <v>1865</v>
      </c>
      <c r="B1872" s="33" t="n">
        <v>1320953</v>
      </c>
      <c r="C1872" s="34" t="s">
        <v>3815</v>
      </c>
      <c r="D1872" s="34" t="s">
        <v>3816</v>
      </c>
      <c r="E1872" s="34" t="s">
        <v>133</v>
      </c>
      <c r="F1872" s="32" t="n">
        <f aca="false">COUNTIF(Base!$D$2:$D$2878,B1872)</f>
        <v>1</v>
      </c>
      <c r="G1872" s="35" t="n">
        <f aca="false">SUMIF(Base!$D$2:$D$2878,B1872,Base!$I$2:$I$2878)</f>
        <v>233.82</v>
      </c>
      <c r="H1872" s="36" t="n">
        <f aca="false">IF($G$2849=0,0,G1872/$G$2849)</f>
        <v>1.53437889593059E-005</v>
      </c>
      <c r="I1872" s="37" t="n">
        <f aca="false">I1871+H1872</f>
        <v>0.994315720609828</v>
      </c>
      <c r="J1872" s="37" t="n">
        <f aca="false">A1872/2840</f>
        <v>0.65669014084507</v>
      </c>
      <c r="K1872" s="32" t="str">
        <f aca="false">IF(I1872&lt;=$E$4,"A",IF(I1872&lt;=$E$5,"B","C"))</f>
        <v>C</v>
      </c>
    </row>
    <row r="1873" customFormat="false" ht="15" hidden="false" customHeight="false" outlineLevel="0" collapsed="false">
      <c r="A1873" s="32" t="n">
        <v>1866</v>
      </c>
      <c r="B1873" s="33" t="n">
        <v>839995</v>
      </c>
      <c r="C1873" s="34" t="s">
        <v>3817</v>
      </c>
      <c r="D1873" s="34" t="s">
        <v>3818</v>
      </c>
      <c r="E1873" s="34" t="s">
        <v>54</v>
      </c>
      <c r="F1873" s="32" t="n">
        <f aca="false">COUNTIF(Base!$D$2:$D$2878,B1873)</f>
        <v>1</v>
      </c>
      <c r="G1873" s="35" t="n">
        <f aca="false">SUMIF(Base!$D$2:$D$2878,B1873,Base!$I$2:$I$2878)</f>
        <v>233.52</v>
      </c>
      <c r="H1873" s="36" t="n">
        <f aca="false">IF($G$2849=0,0,G1873/$G$2849)</f>
        <v>1.53241022914084E-005</v>
      </c>
      <c r="I1873" s="37" t="n">
        <f aca="false">I1872+H1873</f>
        <v>0.994331044712119</v>
      </c>
      <c r="J1873" s="37" t="n">
        <f aca="false">A1873/2840</f>
        <v>0.657042253521127</v>
      </c>
      <c r="K1873" s="32" t="str">
        <f aca="false">IF(I1873&lt;=$E$4,"A",IF(I1873&lt;=$E$5,"B","C"))</f>
        <v>C</v>
      </c>
    </row>
    <row r="1874" customFormat="false" ht="15" hidden="false" customHeight="false" outlineLevel="0" collapsed="false">
      <c r="A1874" s="32" t="n">
        <v>1867</v>
      </c>
      <c r="B1874" s="33" t="n">
        <v>143794</v>
      </c>
      <c r="C1874" s="34" t="s">
        <v>3819</v>
      </c>
      <c r="D1874" s="34" t="s">
        <v>3820</v>
      </c>
      <c r="E1874" s="34" t="s">
        <v>130</v>
      </c>
      <c r="F1874" s="32" t="n">
        <f aca="false">COUNTIF(Base!$D$2:$D$2878,B1874)</f>
        <v>1</v>
      </c>
      <c r="G1874" s="35" t="n">
        <f aca="false">SUMIF(Base!$D$2:$D$2878,B1874,Base!$I$2:$I$2878)</f>
        <v>232.2</v>
      </c>
      <c r="H1874" s="36" t="n">
        <f aca="false">IF($G$2849=0,0,G1874/$G$2849)</f>
        <v>1.52374809526594E-005</v>
      </c>
      <c r="I1874" s="37" t="n">
        <f aca="false">I1873+H1874</f>
        <v>0.994346282193072</v>
      </c>
      <c r="J1874" s="37" t="n">
        <f aca="false">A1874/2840</f>
        <v>0.657394366197183</v>
      </c>
      <c r="K1874" s="32" t="str">
        <f aca="false">IF(I1874&lt;=$E$4,"A",IF(I1874&lt;=$E$5,"B","C"))</f>
        <v>C</v>
      </c>
    </row>
    <row r="1875" customFormat="false" ht="15" hidden="false" customHeight="false" outlineLevel="0" collapsed="false">
      <c r="A1875" s="32" t="n">
        <v>1868</v>
      </c>
      <c r="B1875" s="33" t="n">
        <v>231997</v>
      </c>
      <c r="C1875" s="34" t="s">
        <v>3821</v>
      </c>
      <c r="D1875" s="34" t="s">
        <v>3822</v>
      </c>
      <c r="E1875" s="34" t="s">
        <v>480</v>
      </c>
      <c r="F1875" s="32" t="n">
        <f aca="false">COUNTIF(Base!$D$2:$D$2878,B1875)</f>
        <v>1</v>
      </c>
      <c r="G1875" s="35" t="n">
        <f aca="false">SUMIF(Base!$D$2:$D$2878,B1875,Base!$I$2:$I$2878)</f>
        <v>232</v>
      </c>
      <c r="H1875" s="36" t="n">
        <f aca="false">IF($G$2849=0,0,G1875/$G$2849)</f>
        <v>1.52243565073944E-005</v>
      </c>
      <c r="I1875" s="37" t="n">
        <f aca="false">I1874+H1875</f>
        <v>0.994361506549579</v>
      </c>
      <c r="J1875" s="37" t="n">
        <f aca="false">A1875/2840</f>
        <v>0.657746478873239</v>
      </c>
      <c r="K1875" s="32" t="str">
        <f aca="false">IF(I1875&lt;=$E$4,"A",IF(I1875&lt;=$E$5,"B","C"))</f>
        <v>C</v>
      </c>
    </row>
    <row r="1876" customFormat="false" ht="15" hidden="false" customHeight="false" outlineLevel="0" collapsed="false">
      <c r="A1876" s="32" t="n">
        <v>1869</v>
      </c>
      <c r="B1876" s="33" t="n">
        <v>946734</v>
      </c>
      <c r="C1876" s="34" t="s">
        <v>3823</v>
      </c>
      <c r="D1876" s="34" t="s">
        <v>3824</v>
      </c>
      <c r="E1876" s="34" t="s">
        <v>835</v>
      </c>
      <c r="F1876" s="32" t="n">
        <f aca="false">COUNTIF(Base!$D$2:$D$2878,B1876)</f>
        <v>1</v>
      </c>
      <c r="G1876" s="35" t="n">
        <f aca="false">SUMIF(Base!$D$2:$D$2878,B1876,Base!$I$2:$I$2878)</f>
        <v>232</v>
      </c>
      <c r="H1876" s="36" t="n">
        <f aca="false">IF($G$2849=0,0,G1876/$G$2849)</f>
        <v>1.52243565073944E-005</v>
      </c>
      <c r="I1876" s="37" t="n">
        <f aca="false">I1875+H1876</f>
        <v>0.994376730906086</v>
      </c>
      <c r="J1876" s="37" t="n">
        <f aca="false">A1876/2840</f>
        <v>0.658098591549296</v>
      </c>
      <c r="K1876" s="32" t="str">
        <f aca="false">IF(I1876&lt;=$E$4,"A",IF(I1876&lt;=$E$5,"B","C"))</f>
        <v>C</v>
      </c>
    </row>
    <row r="1877" customFormat="false" ht="15" hidden="false" customHeight="false" outlineLevel="0" collapsed="false">
      <c r="A1877" s="32" t="n">
        <v>1870</v>
      </c>
      <c r="B1877" s="33" t="n">
        <v>1319430</v>
      </c>
      <c r="C1877" s="34" t="s">
        <v>3825</v>
      </c>
      <c r="D1877" s="34" t="s">
        <v>3826</v>
      </c>
      <c r="E1877" s="34" t="s">
        <v>217</v>
      </c>
      <c r="F1877" s="32" t="n">
        <f aca="false">COUNTIF(Base!$D$2:$D$2878,B1877)</f>
        <v>1</v>
      </c>
      <c r="G1877" s="35" t="n">
        <f aca="false">SUMIF(Base!$D$2:$D$2878,B1877,Base!$I$2:$I$2878)</f>
        <v>232</v>
      </c>
      <c r="H1877" s="36" t="n">
        <f aca="false">IF($G$2849=0,0,G1877/$G$2849)</f>
        <v>1.52243565073944E-005</v>
      </c>
      <c r="I1877" s="37" t="n">
        <f aca="false">I1876+H1877</f>
        <v>0.994391955262594</v>
      </c>
      <c r="J1877" s="37" t="n">
        <f aca="false">A1877/2840</f>
        <v>0.658450704225352</v>
      </c>
      <c r="K1877" s="32" t="str">
        <f aca="false">IF(I1877&lt;=$E$4,"A",IF(I1877&lt;=$E$5,"B","C"))</f>
        <v>C</v>
      </c>
    </row>
    <row r="1878" customFormat="false" ht="15" hidden="false" customHeight="false" outlineLevel="0" collapsed="false">
      <c r="A1878" s="32" t="n">
        <v>1871</v>
      </c>
      <c r="B1878" s="33" t="n">
        <v>225305</v>
      </c>
      <c r="C1878" s="34" t="s">
        <v>3827</v>
      </c>
      <c r="D1878" s="34" t="s">
        <v>3828</v>
      </c>
      <c r="E1878" s="34" t="s">
        <v>113</v>
      </c>
      <c r="F1878" s="32" t="n">
        <f aca="false">COUNTIF(Base!$D$2:$D$2878,B1878)</f>
        <v>1</v>
      </c>
      <c r="G1878" s="35" t="n">
        <f aca="false">SUMIF(Base!$D$2:$D$2878,B1878,Base!$I$2:$I$2878)</f>
        <v>230</v>
      </c>
      <c r="H1878" s="36" t="n">
        <f aca="false">IF($G$2849=0,0,G1878/$G$2849)</f>
        <v>1.50931120547445E-005</v>
      </c>
      <c r="I1878" s="37" t="n">
        <f aca="false">I1877+H1878</f>
        <v>0.994407048374648</v>
      </c>
      <c r="J1878" s="37" t="n">
        <f aca="false">A1878/2840</f>
        <v>0.658802816901408</v>
      </c>
      <c r="K1878" s="32" t="str">
        <f aca="false">IF(I1878&lt;=$E$4,"A",IF(I1878&lt;=$E$5,"B","C"))</f>
        <v>C</v>
      </c>
    </row>
    <row r="1879" customFormat="false" ht="15" hidden="false" customHeight="false" outlineLevel="0" collapsed="false">
      <c r="A1879" s="32" t="n">
        <v>1872</v>
      </c>
      <c r="B1879" s="33" t="n">
        <v>602367</v>
      </c>
      <c r="C1879" s="34" t="s">
        <v>3829</v>
      </c>
      <c r="D1879" s="34" t="s">
        <v>3830</v>
      </c>
      <c r="E1879" s="34" t="s">
        <v>262</v>
      </c>
      <c r="F1879" s="32" t="n">
        <f aca="false">COUNTIF(Base!$D$2:$D$2878,B1879)</f>
        <v>1</v>
      </c>
      <c r="G1879" s="35" t="n">
        <f aca="false">SUMIF(Base!$D$2:$D$2878,B1879,Base!$I$2:$I$2878)</f>
        <v>230</v>
      </c>
      <c r="H1879" s="36" t="n">
        <f aca="false">IF($G$2849=0,0,G1879/$G$2849)</f>
        <v>1.50931120547445E-005</v>
      </c>
      <c r="I1879" s="37" t="n">
        <f aca="false">I1878+H1879</f>
        <v>0.994422141486703</v>
      </c>
      <c r="J1879" s="37" t="n">
        <f aca="false">A1879/2840</f>
        <v>0.659154929577465</v>
      </c>
      <c r="K1879" s="32" t="str">
        <f aca="false">IF(I1879&lt;=$E$4,"A",IF(I1879&lt;=$E$5,"B","C"))</f>
        <v>C</v>
      </c>
    </row>
    <row r="1880" customFormat="false" ht="15" hidden="false" customHeight="false" outlineLevel="0" collapsed="false">
      <c r="A1880" s="32" t="n">
        <v>1873</v>
      </c>
      <c r="B1880" s="33" t="n">
        <v>1181846</v>
      </c>
      <c r="C1880" s="34" t="s">
        <v>3831</v>
      </c>
      <c r="D1880" s="34" t="s">
        <v>3832</v>
      </c>
      <c r="E1880" s="34" t="s">
        <v>38</v>
      </c>
      <c r="F1880" s="32" t="n">
        <f aca="false">COUNTIF(Base!$D$2:$D$2878,B1880)</f>
        <v>1</v>
      </c>
      <c r="G1880" s="35" t="n">
        <f aca="false">SUMIF(Base!$D$2:$D$2878,B1880,Base!$I$2:$I$2878)</f>
        <v>228.96</v>
      </c>
      <c r="H1880" s="36" t="n">
        <f aca="false">IF($G$2849=0,0,G1880/$G$2849)</f>
        <v>1.50248649393665E-005</v>
      </c>
      <c r="I1880" s="37" t="n">
        <f aca="false">I1879+H1880</f>
        <v>0.994437166351643</v>
      </c>
      <c r="J1880" s="37" t="n">
        <f aca="false">A1880/2840</f>
        <v>0.659507042253521</v>
      </c>
      <c r="K1880" s="32" t="str">
        <f aca="false">IF(I1880&lt;=$E$4,"A",IF(I1880&lt;=$E$5,"B","C"))</f>
        <v>C</v>
      </c>
    </row>
    <row r="1881" customFormat="false" ht="15" hidden="false" customHeight="false" outlineLevel="0" collapsed="false">
      <c r="A1881" s="32" t="n">
        <v>1874</v>
      </c>
      <c r="B1881" s="33" t="n">
        <v>260317</v>
      </c>
      <c r="C1881" s="34" t="s">
        <v>3833</v>
      </c>
      <c r="D1881" s="34" t="s">
        <v>3834</v>
      </c>
      <c r="E1881" s="34" t="s">
        <v>130</v>
      </c>
      <c r="F1881" s="32" t="n">
        <f aca="false">COUNTIF(Base!$D$2:$D$2878,B1881)</f>
        <v>1</v>
      </c>
      <c r="G1881" s="35" t="n">
        <f aca="false">SUMIF(Base!$D$2:$D$2878,B1881,Base!$I$2:$I$2878)</f>
        <v>228.8</v>
      </c>
      <c r="H1881" s="36" t="n">
        <f aca="false">IF($G$2849=0,0,G1881/$G$2849)</f>
        <v>1.50143653831545E-005</v>
      </c>
      <c r="I1881" s="37" t="n">
        <f aca="false">I1880+H1881</f>
        <v>0.994452180717026</v>
      </c>
      <c r="J1881" s="37" t="n">
        <f aca="false">A1881/2840</f>
        <v>0.659859154929578</v>
      </c>
      <c r="K1881" s="32" t="str">
        <f aca="false">IF(I1881&lt;=$E$4,"A",IF(I1881&lt;=$E$5,"B","C"))</f>
        <v>C</v>
      </c>
    </row>
    <row r="1882" customFormat="false" ht="15" hidden="false" customHeight="false" outlineLevel="0" collapsed="false">
      <c r="A1882" s="32" t="n">
        <v>1875</v>
      </c>
      <c r="B1882" s="33" t="n">
        <v>1077331</v>
      </c>
      <c r="C1882" s="34" t="s">
        <v>3835</v>
      </c>
      <c r="D1882" s="34" t="s">
        <v>3836</v>
      </c>
      <c r="E1882" s="34" t="s">
        <v>38</v>
      </c>
      <c r="F1882" s="32" t="n">
        <f aca="false">COUNTIF(Base!$D$2:$D$2878,B1882)</f>
        <v>1</v>
      </c>
      <c r="G1882" s="35" t="n">
        <f aca="false">SUMIF(Base!$D$2:$D$2878,B1882,Base!$I$2:$I$2878)</f>
        <v>228.28</v>
      </c>
      <c r="H1882" s="36" t="n">
        <f aca="false">IF($G$2849=0,0,G1882/$G$2849)</f>
        <v>1.49802418254655E-005</v>
      </c>
      <c r="I1882" s="37" t="n">
        <f aca="false">I1881+H1882</f>
        <v>0.994467160958851</v>
      </c>
      <c r="J1882" s="37" t="n">
        <f aca="false">A1882/2840</f>
        <v>0.660211267605634</v>
      </c>
      <c r="K1882" s="32" t="str">
        <f aca="false">IF(I1882&lt;=$E$4,"A",IF(I1882&lt;=$E$5,"B","C"))</f>
        <v>C</v>
      </c>
    </row>
    <row r="1883" customFormat="false" ht="15" hidden="false" customHeight="false" outlineLevel="0" collapsed="false">
      <c r="A1883" s="32" t="n">
        <v>1876</v>
      </c>
      <c r="B1883" s="33" t="n">
        <v>839231</v>
      </c>
      <c r="C1883" s="34" t="s">
        <v>3837</v>
      </c>
      <c r="D1883" s="34" t="s">
        <v>3838</v>
      </c>
      <c r="E1883" s="34" t="s">
        <v>47</v>
      </c>
      <c r="F1883" s="32" t="n">
        <f aca="false">COUNTIF(Base!$D$2:$D$2878,B1883)</f>
        <v>1</v>
      </c>
      <c r="G1883" s="35" t="n">
        <f aca="false">SUMIF(Base!$D$2:$D$2878,B1883,Base!$I$2:$I$2878)</f>
        <v>228.24</v>
      </c>
      <c r="H1883" s="36" t="n">
        <f aca="false">IF($G$2849=0,0,G1883/$G$2849)</f>
        <v>1.49776169364125E-005</v>
      </c>
      <c r="I1883" s="37" t="n">
        <f aca="false">I1882+H1883</f>
        <v>0.994482138575788</v>
      </c>
      <c r="J1883" s="37" t="n">
        <f aca="false">A1883/2840</f>
        <v>0.66056338028169</v>
      </c>
      <c r="K1883" s="32" t="str">
        <f aca="false">IF(I1883&lt;=$E$4,"A",IF(I1883&lt;=$E$5,"B","C"))</f>
        <v>C</v>
      </c>
    </row>
    <row r="1884" customFormat="false" ht="15" hidden="false" customHeight="false" outlineLevel="0" collapsed="false">
      <c r="A1884" s="32" t="n">
        <v>1877</v>
      </c>
      <c r="B1884" s="33" t="n">
        <v>35170</v>
      </c>
      <c r="C1884" s="34" t="s">
        <v>3839</v>
      </c>
      <c r="D1884" s="34" t="s">
        <v>3840</v>
      </c>
      <c r="E1884" s="34" t="s">
        <v>130</v>
      </c>
      <c r="F1884" s="32" t="n">
        <f aca="false">COUNTIF(Base!$D$2:$D$2878,B1884)</f>
        <v>1</v>
      </c>
      <c r="G1884" s="35" t="n">
        <f aca="false">SUMIF(Base!$D$2:$D$2878,B1884,Base!$I$2:$I$2878)</f>
        <v>228</v>
      </c>
      <c r="H1884" s="36" t="n">
        <f aca="false">IF($G$2849=0,0,G1884/$G$2849)</f>
        <v>1.49618676020945E-005</v>
      </c>
      <c r="I1884" s="37" t="n">
        <f aca="false">I1883+H1884</f>
        <v>0.99449710044339</v>
      </c>
      <c r="J1884" s="37" t="n">
        <f aca="false">A1884/2840</f>
        <v>0.660915492957746</v>
      </c>
      <c r="K1884" s="32" t="str">
        <f aca="false">IF(I1884&lt;=$E$4,"A",IF(I1884&lt;=$E$5,"B","C"))</f>
        <v>C</v>
      </c>
    </row>
    <row r="1885" customFormat="false" ht="15" hidden="false" customHeight="false" outlineLevel="0" collapsed="false">
      <c r="A1885" s="32" t="n">
        <v>1878</v>
      </c>
      <c r="B1885" s="33" t="n">
        <v>278461</v>
      </c>
      <c r="C1885" s="34" t="s">
        <v>3841</v>
      </c>
      <c r="D1885" s="34" t="s">
        <v>3842</v>
      </c>
      <c r="E1885" s="34" t="s">
        <v>38</v>
      </c>
      <c r="F1885" s="32" t="n">
        <f aca="false">COUNTIF(Base!$D$2:$D$2878,B1885)</f>
        <v>1</v>
      </c>
      <c r="G1885" s="35" t="n">
        <f aca="false">SUMIF(Base!$D$2:$D$2878,B1885,Base!$I$2:$I$2878)</f>
        <v>228</v>
      </c>
      <c r="H1885" s="36" t="n">
        <f aca="false">IF($G$2849=0,0,G1885/$G$2849)</f>
        <v>1.49618676020945E-005</v>
      </c>
      <c r="I1885" s="37" t="n">
        <f aca="false">I1884+H1885</f>
        <v>0.994512062310992</v>
      </c>
      <c r="J1885" s="37" t="n">
        <f aca="false">A1885/2840</f>
        <v>0.661267605633803</v>
      </c>
      <c r="K1885" s="32" t="str">
        <f aca="false">IF(I1885&lt;=$E$4,"A",IF(I1885&lt;=$E$5,"B","C"))</f>
        <v>C</v>
      </c>
    </row>
    <row r="1886" customFormat="false" ht="15" hidden="false" customHeight="false" outlineLevel="0" collapsed="false">
      <c r="A1886" s="32" t="n">
        <v>1879</v>
      </c>
      <c r="B1886" s="33" t="n">
        <v>884966</v>
      </c>
      <c r="C1886" s="34" t="s">
        <v>3843</v>
      </c>
      <c r="D1886" s="34" t="s">
        <v>3844</v>
      </c>
      <c r="E1886" s="34" t="s">
        <v>130</v>
      </c>
      <c r="F1886" s="32" t="n">
        <f aca="false">COUNTIF(Base!$D$2:$D$2878,B1886)</f>
        <v>1</v>
      </c>
      <c r="G1886" s="35" t="n">
        <f aca="false">SUMIF(Base!$D$2:$D$2878,B1886,Base!$I$2:$I$2878)</f>
        <v>228</v>
      </c>
      <c r="H1886" s="36" t="n">
        <f aca="false">IF($G$2849=0,0,G1886/$G$2849)</f>
        <v>1.49618676020945E-005</v>
      </c>
      <c r="I1886" s="37" t="n">
        <f aca="false">I1885+H1886</f>
        <v>0.994527024178594</v>
      </c>
      <c r="J1886" s="37" t="n">
        <f aca="false">A1886/2840</f>
        <v>0.661619718309859</v>
      </c>
      <c r="K1886" s="32" t="str">
        <f aca="false">IF(I1886&lt;=$E$4,"A",IF(I1886&lt;=$E$5,"B","C"))</f>
        <v>C</v>
      </c>
    </row>
    <row r="1887" customFormat="false" ht="15" hidden="false" customHeight="false" outlineLevel="0" collapsed="false">
      <c r="A1887" s="32" t="n">
        <v>1880</v>
      </c>
      <c r="B1887" s="33" t="n">
        <v>946737</v>
      </c>
      <c r="C1887" s="34" t="s">
        <v>3845</v>
      </c>
      <c r="D1887" s="34" t="s">
        <v>3846</v>
      </c>
      <c r="E1887" s="34" t="s">
        <v>1618</v>
      </c>
      <c r="F1887" s="32" t="n">
        <f aca="false">COUNTIF(Base!$D$2:$D$2878,B1887)</f>
        <v>1</v>
      </c>
      <c r="G1887" s="35" t="n">
        <f aca="false">SUMIF(Base!$D$2:$D$2878,B1887,Base!$I$2:$I$2878)</f>
        <v>228</v>
      </c>
      <c r="H1887" s="36" t="n">
        <f aca="false">IF($G$2849=0,0,G1887/$G$2849)</f>
        <v>1.49618676020945E-005</v>
      </c>
      <c r="I1887" s="37" t="n">
        <f aca="false">I1886+H1887</f>
        <v>0.994541986046196</v>
      </c>
      <c r="J1887" s="37" t="n">
        <f aca="false">A1887/2840</f>
        <v>0.661971830985916</v>
      </c>
      <c r="K1887" s="32" t="str">
        <f aca="false">IF(I1887&lt;=$E$4,"A",IF(I1887&lt;=$E$5,"B","C"))</f>
        <v>C</v>
      </c>
    </row>
    <row r="1888" customFormat="false" ht="15" hidden="false" customHeight="false" outlineLevel="0" collapsed="false">
      <c r="A1888" s="32" t="n">
        <v>1881</v>
      </c>
      <c r="B1888" s="33" t="n">
        <v>1330682</v>
      </c>
      <c r="C1888" s="34" t="s">
        <v>3847</v>
      </c>
      <c r="D1888" s="34" t="s">
        <v>3848</v>
      </c>
      <c r="E1888" s="34" t="s">
        <v>100</v>
      </c>
      <c r="F1888" s="32" t="n">
        <f aca="false">COUNTIF(Base!$D$2:$D$2878,B1888)</f>
        <v>1</v>
      </c>
      <c r="G1888" s="35" t="n">
        <f aca="false">SUMIF(Base!$D$2:$D$2878,B1888,Base!$I$2:$I$2878)</f>
        <v>228</v>
      </c>
      <c r="H1888" s="36" t="n">
        <f aca="false">IF($G$2849=0,0,G1888/$G$2849)</f>
        <v>1.49618676020945E-005</v>
      </c>
      <c r="I1888" s="37" t="n">
        <f aca="false">I1887+H1888</f>
        <v>0.994556947913798</v>
      </c>
      <c r="J1888" s="37" t="n">
        <f aca="false">A1888/2840</f>
        <v>0.662323943661972</v>
      </c>
      <c r="K1888" s="32" t="str">
        <f aca="false">IF(I1888&lt;=$E$4,"A",IF(I1888&lt;=$E$5,"B","C"))</f>
        <v>C</v>
      </c>
    </row>
    <row r="1889" customFormat="false" ht="15" hidden="false" customHeight="false" outlineLevel="0" collapsed="false">
      <c r="A1889" s="32" t="n">
        <v>1882</v>
      </c>
      <c r="B1889" s="33" t="n">
        <v>476132</v>
      </c>
      <c r="C1889" s="34" t="s">
        <v>3849</v>
      </c>
      <c r="D1889" s="34" t="s">
        <v>3850</v>
      </c>
      <c r="E1889" s="34" t="s">
        <v>130</v>
      </c>
      <c r="F1889" s="32" t="n">
        <f aca="false">COUNTIF(Base!$D$2:$D$2878,B1889)</f>
        <v>1</v>
      </c>
      <c r="G1889" s="35" t="n">
        <f aca="false">SUMIF(Base!$D$2:$D$2878,B1889,Base!$I$2:$I$2878)</f>
        <v>226.18</v>
      </c>
      <c r="H1889" s="36" t="n">
        <f aca="false">IF($G$2849=0,0,G1889/$G$2849)</f>
        <v>1.48424351501831E-005</v>
      </c>
      <c r="I1889" s="37" t="n">
        <f aca="false">I1888+H1889</f>
        <v>0.994571790348948</v>
      </c>
      <c r="J1889" s="37" t="n">
        <f aca="false">A1889/2840</f>
        <v>0.662676056338028</v>
      </c>
      <c r="K1889" s="32" t="str">
        <f aca="false">IF(I1889&lt;=$E$4,"A",IF(I1889&lt;=$E$5,"B","C"))</f>
        <v>C</v>
      </c>
    </row>
    <row r="1890" customFormat="false" ht="15" hidden="false" customHeight="false" outlineLevel="0" collapsed="false">
      <c r="A1890" s="32" t="n">
        <v>1883</v>
      </c>
      <c r="B1890" s="33" t="n">
        <v>23310</v>
      </c>
      <c r="C1890" s="34" t="s">
        <v>3851</v>
      </c>
      <c r="D1890" s="34" t="s">
        <v>3852</v>
      </c>
      <c r="E1890" s="34" t="s">
        <v>705</v>
      </c>
      <c r="F1890" s="32" t="n">
        <f aca="false">COUNTIF(Base!$D$2:$D$2878,B1890)</f>
        <v>1</v>
      </c>
      <c r="G1890" s="35" t="n">
        <f aca="false">SUMIF(Base!$D$2:$D$2878,B1890,Base!$I$2:$I$2878)</f>
        <v>225.98</v>
      </c>
      <c r="H1890" s="36" t="n">
        <f aca="false">IF($G$2849=0,0,G1890/$G$2849)</f>
        <v>1.48293107049181E-005</v>
      </c>
      <c r="I1890" s="37" t="n">
        <f aca="false">I1889+H1890</f>
        <v>0.994586619659653</v>
      </c>
      <c r="J1890" s="37" t="n">
        <f aca="false">A1890/2840</f>
        <v>0.663028169014085</v>
      </c>
      <c r="K1890" s="32" t="str">
        <f aca="false">IF(I1890&lt;=$E$4,"A",IF(I1890&lt;=$E$5,"B","C"))</f>
        <v>C</v>
      </c>
    </row>
    <row r="1891" customFormat="false" ht="15" hidden="false" customHeight="false" outlineLevel="0" collapsed="false">
      <c r="A1891" s="32" t="n">
        <v>1884</v>
      </c>
      <c r="B1891" s="33" t="n">
        <v>18959</v>
      </c>
      <c r="C1891" s="34" t="s">
        <v>3853</v>
      </c>
      <c r="D1891" s="34" t="s">
        <v>3854</v>
      </c>
      <c r="E1891" s="34" t="s">
        <v>247</v>
      </c>
      <c r="F1891" s="32" t="n">
        <f aca="false">COUNTIF(Base!$D$2:$D$2878,B1891)</f>
        <v>1</v>
      </c>
      <c r="G1891" s="35" t="n">
        <f aca="false">SUMIF(Base!$D$2:$D$2878,B1891,Base!$I$2:$I$2878)</f>
        <v>224</v>
      </c>
      <c r="H1891" s="36" t="n">
        <f aca="false">IF($G$2849=0,0,G1891/$G$2849)</f>
        <v>1.46993786967946E-005</v>
      </c>
      <c r="I1891" s="37" t="n">
        <f aca="false">I1890+H1891</f>
        <v>0.99460131903835</v>
      </c>
      <c r="J1891" s="37" t="n">
        <f aca="false">A1891/2840</f>
        <v>0.663380281690141</v>
      </c>
      <c r="K1891" s="32" t="str">
        <f aca="false">IF(I1891&lt;=$E$4,"A",IF(I1891&lt;=$E$5,"B","C"))</f>
        <v>C</v>
      </c>
    </row>
    <row r="1892" customFormat="false" ht="15" hidden="false" customHeight="false" outlineLevel="0" collapsed="false">
      <c r="A1892" s="32" t="n">
        <v>1885</v>
      </c>
      <c r="B1892" s="33" t="n">
        <v>220417</v>
      </c>
      <c r="C1892" s="34" t="s">
        <v>3855</v>
      </c>
      <c r="D1892" s="34" t="s">
        <v>3856</v>
      </c>
      <c r="E1892" s="34" t="s">
        <v>133</v>
      </c>
      <c r="F1892" s="32" t="n">
        <f aca="false">COUNTIF(Base!$D$2:$D$2878,B1892)</f>
        <v>1</v>
      </c>
      <c r="G1892" s="35" t="n">
        <f aca="false">SUMIF(Base!$D$2:$D$2878,B1892,Base!$I$2:$I$2878)</f>
        <v>224</v>
      </c>
      <c r="H1892" s="36" t="n">
        <f aca="false">IF($G$2849=0,0,G1892/$G$2849)</f>
        <v>1.46993786967946E-005</v>
      </c>
      <c r="I1892" s="37" t="n">
        <f aca="false">I1891+H1892</f>
        <v>0.994616018417047</v>
      </c>
      <c r="J1892" s="37" t="n">
        <f aca="false">A1892/2840</f>
        <v>0.663732394366197</v>
      </c>
      <c r="K1892" s="32" t="str">
        <f aca="false">IF(I1892&lt;=$E$4,"A",IF(I1892&lt;=$E$5,"B","C"))</f>
        <v>C</v>
      </c>
    </row>
    <row r="1893" customFormat="false" ht="15" hidden="false" customHeight="false" outlineLevel="0" collapsed="false">
      <c r="A1893" s="32" t="n">
        <v>1886</v>
      </c>
      <c r="B1893" s="33" t="n">
        <v>1384265</v>
      </c>
      <c r="C1893" s="34" t="s">
        <v>3857</v>
      </c>
      <c r="D1893" s="34" t="s">
        <v>3858</v>
      </c>
      <c r="E1893" s="34" t="s">
        <v>75</v>
      </c>
      <c r="F1893" s="32" t="n">
        <f aca="false">COUNTIF(Base!$D$2:$D$2878,B1893)</f>
        <v>1</v>
      </c>
      <c r="G1893" s="35" t="n">
        <f aca="false">SUMIF(Base!$D$2:$D$2878,B1893,Base!$I$2:$I$2878)</f>
        <v>222.52</v>
      </c>
      <c r="H1893" s="36" t="n">
        <f aca="false">IF($G$2849=0,0,G1893/$G$2849)</f>
        <v>1.46022578018337E-005</v>
      </c>
      <c r="I1893" s="37" t="n">
        <f aca="false">I1892+H1893</f>
        <v>0.994630620674848</v>
      </c>
      <c r="J1893" s="37" t="n">
        <f aca="false">A1893/2840</f>
        <v>0.664084507042254</v>
      </c>
      <c r="K1893" s="32" t="str">
        <f aca="false">IF(I1893&lt;=$E$4,"A",IF(I1893&lt;=$E$5,"B","C"))</f>
        <v>C</v>
      </c>
    </row>
    <row r="1894" customFormat="false" ht="15" hidden="false" customHeight="false" outlineLevel="0" collapsed="false">
      <c r="A1894" s="32" t="n">
        <v>1887</v>
      </c>
      <c r="B1894" s="33" t="n">
        <v>19350</v>
      </c>
      <c r="C1894" s="34" t="s">
        <v>3859</v>
      </c>
      <c r="D1894" s="34" t="s">
        <v>3860</v>
      </c>
      <c r="E1894" s="34" t="s">
        <v>1095</v>
      </c>
      <c r="F1894" s="32" t="n">
        <f aca="false">COUNTIF(Base!$D$2:$D$2878,B1894)</f>
        <v>1</v>
      </c>
      <c r="G1894" s="35" t="n">
        <f aca="false">SUMIF(Base!$D$2:$D$2878,B1894,Base!$I$2:$I$2878)</f>
        <v>221.6</v>
      </c>
      <c r="H1894" s="36" t="n">
        <f aca="false">IF($G$2849=0,0,G1894/$G$2849)</f>
        <v>1.45418853536147E-005</v>
      </c>
      <c r="I1894" s="37" t="n">
        <f aca="false">I1893+H1894</f>
        <v>0.994645162560202</v>
      </c>
      <c r="J1894" s="37" t="n">
        <f aca="false">A1894/2840</f>
        <v>0.66443661971831</v>
      </c>
      <c r="K1894" s="32" t="str">
        <f aca="false">IF(I1894&lt;=$E$4,"A",IF(I1894&lt;=$E$5,"B","C"))</f>
        <v>C</v>
      </c>
    </row>
    <row r="1895" customFormat="false" ht="15" hidden="false" customHeight="false" outlineLevel="0" collapsed="false">
      <c r="A1895" s="32" t="n">
        <v>1888</v>
      </c>
      <c r="B1895" s="33" t="n">
        <v>1679444</v>
      </c>
      <c r="C1895" s="34" t="s">
        <v>3861</v>
      </c>
      <c r="D1895" s="34" t="s">
        <v>3862</v>
      </c>
      <c r="E1895" s="34" t="s">
        <v>54</v>
      </c>
      <c r="F1895" s="32" t="n">
        <f aca="false">COUNTIF(Base!$D$2:$D$2878,B1895)</f>
        <v>1</v>
      </c>
      <c r="G1895" s="35" t="n">
        <f aca="false">SUMIF(Base!$D$2:$D$2878,B1895,Base!$I$2:$I$2878)</f>
        <v>221.55</v>
      </c>
      <c r="H1895" s="36" t="n">
        <f aca="false">IF($G$2849=0,0,G1895/$G$2849)</f>
        <v>1.45386042422984E-005</v>
      </c>
      <c r="I1895" s="37" t="n">
        <f aca="false">I1894+H1895</f>
        <v>0.994659701164444</v>
      </c>
      <c r="J1895" s="37" t="n">
        <f aca="false">A1895/2840</f>
        <v>0.664788732394366</v>
      </c>
      <c r="K1895" s="32" t="str">
        <f aca="false">IF(I1895&lt;=$E$4,"A",IF(I1895&lt;=$E$5,"B","C"))</f>
        <v>C</v>
      </c>
    </row>
    <row r="1896" customFormat="false" ht="15" hidden="false" customHeight="false" outlineLevel="0" collapsed="false">
      <c r="A1896" s="32" t="n">
        <v>1889</v>
      </c>
      <c r="B1896" s="33" t="n">
        <v>290518</v>
      </c>
      <c r="C1896" s="34" t="s">
        <v>3863</v>
      </c>
      <c r="D1896" s="34" t="s">
        <v>3864</v>
      </c>
      <c r="E1896" s="34" t="s">
        <v>189</v>
      </c>
      <c r="F1896" s="32" t="n">
        <f aca="false">COUNTIF(Base!$D$2:$D$2878,B1896)</f>
        <v>1</v>
      </c>
      <c r="G1896" s="35" t="n">
        <f aca="false">SUMIF(Base!$D$2:$D$2878,B1896,Base!$I$2:$I$2878)</f>
        <v>221.1</v>
      </c>
      <c r="H1896" s="36" t="n">
        <f aca="false">IF($G$2849=0,0,G1896/$G$2849)</f>
        <v>1.45090742404522E-005</v>
      </c>
      <c r="I1896" s="37" t="n">
        <f aca="false">I1895+H1896</f>
        <v>0.994674210238685</v>
      </c>
      <c r="J1896" s="37" t="n">
        <f aca="false">A1896/2840</f>
        <v>0.665140845070423</v>
      </c>
      <c r="K1896" s="32" t="str">
        <f aca="false">IF(I1896&lt;=$E$4,"A",IF(I1896&lt;=$E$5,"B","C"))</f>
        <v>C</v>
      </c>
    </row>
    <row r="1897" customFormat="false" ht="15" hidden="false" customHeight="false" outlineLevel="0" collapsed="false">
      <c r="A1897" s="32" t="n">
        <v>1890</v>
      </c>
      <c r="B1897" s="33" t="n">
        <v>55332</v>
      </c>
      <c r="C1897" s="34" t="s">
        <v>3865</v>
      </c>
      <c r="D1897" s="34" t="s">
        <v>3866</v>
      </c>
      <c r="E1897" s="34" t="s">
        <v>1618</v>
      </c>
      <c r="F1897" s="32" t="n">
        <f aca="false">COUNTIF(Base!$D$2:$D$2878,B1897)</f>
        <v>1</v>
      </c>
      <c r="G1897" s="35" t="n">
        <f aca="false">SUMIF(Base!$D$2:$D$2878,B1897,Base!$I$2:$I$2878)</f>
        <v>220</v>
      </c>
      <c r="H1897" s="36" t="n">
        <f aca="false">IF($G$2849=0,0,G1897/$G$2849)</f>
        <v>1.44368897914947E-005</v>
      </c>
      <c r="I1897" s="37" t="n">
        <f aca="false">I1896+H1897</f>
        <v>0.994688647128476</v>
      </c>
      <c r="J1897" s="37" t="n">
        <f aca="false">A1897/2840</f>
        <v>0.665492957746479</v>
      </c>
      <c r="K1897" s="32" t="str">
        <f aca="false">IF(I1897&lt;=$E$4,"A",IF(I1897&lt;=$E$5,"B","C"))</f>
        <v>C</v>
      </c>
    </row>
    <row r="1898" customFormat="false" ht="15" hidden="false" customHeight="false" outlineLevel="0" collapsed="false">
      <c r="A1898" s="32" t="n">
        <v>1891</v>
      </c>
      <c r="B1898" s="33" t="n">
        <v>560207</v>
      </c>
      <c r="C1898" s="34" t="s">
        <v>3867</v>
      </c>
      <c r="D1898" s="34" t="s">
        <v>3868</v>
      </c>
      <c r="E1898" s="34" t="s">
        <v>637</v>
      </c>
      <c r="F1898" s="32" t="n">
        <f aca="false">COUNTIF(Base!$D$2:$D$2878,B1898)</f>
        <v>1</v>
      </c>
      <c r="G1898" s="35" t="n">
        <f aca="false">SUMIF(Base!$D$2:$D$2878,B1898,Base!$I$2:$I$2878)</f>
        <v>220</v>
      </c>
      <c r="H1898" s="36" t="n">
        <f aca="false">IF($G$2849=0,0,G1898/$G$2849)</f>
        <v>1.44368897914947E-005</v>
      </c>
      <c r="I1898" s="37" t="n">
        <f aca="false">I1897+H1898</f>
        <v>0.994703084018268</v>
      </c>
      <c r="J1898" s="37" t="n">
        <f aca="false">A1898/2840</f>
        <v>0.665845070422535</v>
      </c>
      <c r="K1898" s="32" t="str">
        <f aca="false">IF(I1898&lt;=$E$4,"A",IF(I1898&lt;=$E$5,"B","C"))</f>
        <v>C</v>
      </c>
    </row>
    <row r="1899" customFormat="false" ht="15" hidden="false" customHeight="false" outlineLevel="0" collapsed="false">
      <c r="A1899" s="32" t="n">
        <v>1892</v>
      </c>
      <c r="B1899" s="33" t="n">
        <v>728574</v>
      </c>
      <c r="C1899" s="34" t="s">
        <v>3869</v>
      </c>
      <c r="D1899" s="34" t="s">
        <v>3870</v>
      </c>
      <c r="E1899" s="34" t="s">
        <v>54</v>
      </c>
      <c r="F1899" s="32" t="n">
        <f aca="false">COUNTIF(Base!$D$2:$D$2878,B1899)</f>
        <v>1</v>
      </c>
      <c r="G1899" s="35" t="n">
        <f aca="false">SUMIF(Base!$D$2:$D$2878,B1899,Base!$I$2:$I$2878)</f>
        <v>219.78</v>
      </c>
      <c r="H1899" s="36" t="n">
        <f aca="false">IF($G$2849=0,0,G1899/$G$2849)</f>
        <v>1.44224529017032E-005</v>
      </c>
      <c r="I1899" s="37" t="n">
        <f aca="false">I1898+H1899</f>
        <v>0.99471750647117</v>
      </c>
      <c r="J1899" s="37" t="n">
        <f aca="false">A1899/2840</f>
        <v>0.666197183098592</v>
      </c>
      <c r="K1899" s="32" t="str">
        <f aca="false">IF(I1899&lt;=$E$4,"A",IF(I1899&lt;=$E$5,"B","C"))</f>
        <v>C</v>
      </c>
    </row>
    <row r="1900" customFormat="false" ht="15" hidden="false" customHeight="false" outlineLevel="0" collapsed="false">
      <c r="A1900" s="32" t="n">
        <v>1893</v>
      </c>
      <c r="B1900" s="33" t="n">
        <v>228898</v>
      </c>
      <c r="C1900" s="34" t="s">
        <v>3871</v>
      </c>
      <c r="D1900" s="34" t="s">
        <v>3872</v>
      </c>
      <c r="E1900" s="34" t="s">
        <v>38</v>
      </c>
      <c r="F1900" s="32" t="n">
        <f aca="false">COUNTIF(Base!$D$2:$D$2878,B1900)</f>
        <v>1</v>
      </c>
      <c r="G1900" s="35" t="n">
        <f aca="false">SUMIF(Base!$D$2:$D$2878,B1900,Base!$I$2:$I$2878)</f>
        <v>219.5</v>
      </c>
      <c r="H1900" s="36" t="n">
        <f aca="false">IF($G$2849=0,0,G1900/$G$2849)</f>
        <v>1.44040786783322E-005</v>
      </c>
      <c r="I1900" s="37" t="n">
        <f aca="false">I1899+H1900</f>
        <v>0.994731910549848</v>
      </c>
      <c r="J1900" s="37" t="n">
        <f aca="false">A1900/2840</f>
        <v>0.666549295774648</v>
      </c>
      <c r="K1900" s="32" t="str">
        <f aca="false">IF(I1900&lt;=$E$4,"A",IF(I1900&lt;=$E$5,"B","C"))</f>
        <v>C</v>
      </c>
    </row>
    <row r="1901" customFormat="false" ht="15" hidden="false" customHeight="false" outlineLevel="0" collapsed="false">
      <c r="A1901" s="32" t="n">
        <v>1894</v>
      </c>
      <c r="B1901" s="33" t="n">
        <v>1379882</v>
      </c>
      <c r="C1901" s="34" t="s">
        <v>3873</v>
      </c>
      <c r="D1901" s="34" t="s">
        <v>3874</v>
      </c>
      <c r="E1901" s="34" t="s">
        <v>38</v>
      </c>
      <c r="F1901" s="32" t="n">
        <f aca="false">COUNTIF(Base!$D$2:$D$2878,B1901)</f>
        <v>1</v>
      </c>
      <c r="G1901" s="35" t="n">
        <f aca="false">SUMIF(Base!$D$2:$D$2878,B1901,Base!$I$2:$I$2878)</f>
        <v>218.4</v>
      </c>
      <c r="H1901" s="36" t="n">
        <f aca="false">IF($G$2849=0,0,G1901/$G$2849)</f>
        <v>1.43318942293748E-005</v>
      </c>
      <c r="I1901" s="37" t="n">
        <f aca="false">I1900+H1901</f>
        <v>0.994746242444077</v>
      </c>
      <c r="J1901" s="37" t="n">
        <f aca="false">A1901/2840</f>
        <v>0.666901408450704</v>
      </c>
      <c r="K1901" s="32" t="str">
        <f aca="false">IF(I1901&lt;=$E$4,"A",IF(I1901&lt;=$E$5,"B","C"))</f>
        <v>C</v>
      </c>
    </row>
    <row r="1902" customFormat="false" ht="15" hidden="false" customHeight="false" outlineLevel="0" collapsed="false">
      <c r="A1902" s="32" t="n">
        <v>1895</v>
      </c>
      <c r="B1902" s="33" t="n">
        <v>21355</v>
      </c>
      <c r="C1902" s="34" t="s">
        <v>3875</v>
      </c>
      <c r="D1902" s="34" t="s">
        <v>3876</v>
      </c>
      <c r="E1902" s="34" t="s">
        <v>130</v>
      </c>
      <c r="F1902" s="32" t="n">
        <f aca="false">COUNTIF(Base!$D$2:$D$2878,B1902)</f>
        <v>1</v>
      </c>
      <c r="G1902" s="35" t="n">
        <f aca="false">SUMIF(Base!$D$2:$D$2878,B1902,Base!$I$2:$I$2878)</f>
        <v>216.16</v>
      </c>
      <c r="H1902" s="36" t="n">
        <f aca="false">IF($G$2849=0,0,G1902/$G$2849)</f>
        <v>1.41849004424068E-005</v>
      </c>
      <c r="I1902" s="37" t="n">
        <f aca="false">I1901+H1902</f>
        <v>0.99476042734452</v>
      </c>
      <c r="J1902" s="37" t="n">
        <f aca="false">A1902/2840</f>
        <v>0.667253521126761</v>
      </c>
      <c r="K1902" s="32" t="str">
        <f aca="false">IF(I1902&lt;=$E$4,"A",IF(I1902&lt;=$E$5,"B","C"))</f>
        <v>C</v>
      </c>
    </row>
    <row r="1903" customFormat="false" ht="15" hidden="false" customHeight="false" outlineLevel="0" collapsed="false">
      <c r="A1903" s="32" t="n">
        <v>1896</v>
      </c>
      <c r="B1903" s="33" t="n">
        <v>1175245</v>
      </c>
      <c r="C1903" s="34" t="s">
        <v>3877</v>
      </c>
      <c r="D1903" s="34" t="s">
        <v>3878</v>
      </c>
      <c r="E1903" s="34" t="s">
        <v>54</v>
      </c>
      <c r="F1903" s="32" t="n">
        <f aca="false">COUNTIF(Base!$D$2:$D$2878,B1903)</f>
        <v>1</v>
      </c>
      <c r="G1903" s="35" t="n">
        <f aca="false">SUMIF(Base!$D$2:$D$2878,B1903,Base!$I$2:$I$2878)</f>
        <v>216</v>
      </c>
      <c r="H1903" s="36" t="n">
        <f aca="false">IF($G$2849=0,0,G1903/$G$2849)</f>
        <v>1.41744008861948E-005</v>
      </c>
      <c r="I1903" s="37" t="n">
        <f aca="false">I1902+H1903</f>
        <v>0.994774601745406</v>
      </c>
      <c r="J1903" s="37" t="n">
        <f aca="false">A1903/2840</f>
        <v>0.667605633802817</v>
      </c>
      <c r="K1903" s="32" t="str">
        <f aca="false">IF(I1903&lt;=$E$4,"A",IF(I1903&lt;=$E$5,"B","C"))</f>
        <v>C</v>
      </c>
    </row>
    <row r="1904" customFormat="false" ht="15" hidden="false" customHeight="false" outlineLevel="0" collapsed="false">
      <c r="A1904" s="32" t="n">
        <v>1897</v>
      </c>
      <c r="B1904" s="33" t="n">
        <v>65315</v>
      </c>
      <c r="C1904" s="34" t="s">
        <v>3879</v>
      </c>
      <c r="D1904" s="34" t="s">
        <v>3880</v>
      </c>
      <c r="E1904" s="34" t="s">
        <v>247</v>
      </c>
      <c r="F1904" s="32" t="n">
        <f aca="false">COUNTIF(Base!$D$2:$D$2878,B1904)</f>
        <v>1</v>
      </c>
      <c r="G1904" s="35" t="n">
        <f aca="false">SUMIF(Base!$D$2:$D$2878,B1904,Base!$I$2:$I$2878)</f>
        <v>215.7</v>
      </c>
      <c r="H1904" s="36" t="n">
        <f aca="false">IF($G$2849=0,0,G1904/$G$2849)</f>
        <v>1.41547142182973E-005</v>
      </c>
      <c r="I1904" s="37" t="n">
        <f aca="false">I1903+H1904</f>
        <v>0.994788756459624</v>
      </c>
      <c r="J1904" s="37" t="n">
        <f aca="false">A1904/2840</f>
        <v>0.667957746478873</v>
      </c>
      <c r="K1904" s="32" t="str">
        <f aca="false">IF(I1904&lt;=$E$4,"A",IF(I1904&lt;=$E$5,"B","C"))</f>
        <v>C</v>
      </c>
    </row>
    <row r="1905" customFormat="false" ht="15" hidden="false" customHeight="false" outlineLevel="0" collapsed="false">
      <c r="A1905" s="32" t="n">
        <v>1898</v>
      </c>
      <c r="B1905" s="33" t="n">
        <v>1317674</v>
      </c>
      <c r="C1905" s="34" t="s">
        <v>3881</v>
      </c>
      <c r="D1905" s="34" t="s">
        <v>3882</v>
      </c>
      <c r="E1905" s="34" t="s">
        <v>605</v>
      </c>
      <c r="F1905" s="32" t="n">
        <f aca="false">COUNTIF(Base!$D$2:$D$2878,B1905)</f>
        <v>1</v>
      </c>
      <c r="G1905" s="35" t="n">
        <f aca="false">SUMIF(Base!$D$2:$D$2878,B1905,Base!$I$2:$I$2878)</f>
        <v>214</v>
      </c>
      <c r="H1905" s="36" t="n">
        <f aca="false">IF($G$2849=0,0,G1905/$G$2849)</f>
        <v>1.40431564335449E-005</v>
      </c>
      <c r="I1905" s="37" t="n">
        <f aca="false">I1904+H1905</f>
        <v>0.994802799616058</v>
      </c>
      <c r="J1905" s="37" t="n">
        <f aca="false">A1905/2840</f>
        <v>0.66830985915493</v>
      </c>
      <c r="K1905" s="32" t="str">
        <f aca="false">IF(I1905&lt;=$E$4,"A",IF(I1905&lt;=$E$5,"B","C"))</f>
        <v>C</v>
      </c>
    </row>
    <row r="1906" customFormat="false" ht="15" hidden="false" customHeight="false" outlineLevel="0" collapsed="false">
      <c r="A1906" s="32" t="n">
        <v>1899</v>
      </c>
      <c r="B1906" s="33" t="n">
        <v>17680</v>
      </c>
      <c r="C1906" s="34" t="s">
        <v>3883</v>
      </c>
      <c r="D1906" s="34" t="s">
        <v>3884</v>
      </c>
      <c r="E1906" s="34" t="s">
        <v>100</v>
      </c>
      <c r="F1906" s="32" t="n">
        <f aca="false">COUNTIF(Base!$D$2:$D$2878,B1906)</f>
        <v>1</v>
      </c>
      <c r="G1906" s="35" t="n">
        <f aca="false">SUMIF(Base!$D$2:$D$2878,B1906,Base!$I$2:$I$2878)</f>
        <v>213.86</v>
      </c>
      <c r="H1906" s="36" t="n">
        <f aca="false">IF($G$2849=0,0,G1906/$G$2849)</f>
        <v>1.40339693218594E-005</v>
      </c>
      <c r="I1906" s="37" t="n">
        <f aca="false">I1905+H1906</f>
        <v>0.99481683358538</v>
      </c>
      <c r="J1906" s="37" t="n">
        <f aca="false">A1906/2840</f>
        <v>0.668661971830986</v>
      </c>
      <c r="K1906" s="32" t="str">
        <f aca="false">IF(I1906&lt;=$E$4,"A",IF(I1906&lt;=$E$5,"B","C"))</f>
        <v>C</v>
      </c>
    </row>
    <row r="1907" customFormat="false" ht="15" hidden="false" customHeight="false" outlineLevel="0" collapsed="false">
      <c r="A1907" s="32" t="n">
        <v>1900</v>
      </c>
      <c r="B1907" s="33" t="n">
        <v>348462</v>
      </c>
      <c r="C1907" s="34" t="s">
        <v>3885</v>
      </c>
      <c r="D1907" s="34" t="s">
        <v>3886</v>
      </c>
      <c r="E1907" s="34" t="s">
        <v>38</v>
      </c>
      <c r="F1907" s="32" t="n">
        <f aca="false">COUNTIF(Base!$D$2:$D$2878,B1907)</f>
        <v>1</v>
      </c>
      <c r="G1907" s="35" t="n">
        <f aca="false">SUMIF(Base!$D$2:$D$2878,B1907,Base!$I$2:$I$2878)</f>
        <v>211.77</v>
      </c>
      <c r="H1907" s="36" t="n">
        <f aca="false">IF($G$2849=0,0,G1907/$G$2849)</f>
        <v>1.38968188688402E-005</v>
      </c>
      <c r="I1907" s="37" t="n">
        <f aca="false">I1906+H1907</f>
        <v>0.994830730404249</v>
      </c>
      <c r="J1907" s="37" t="n">
        <f aca="false">A1907/2840</f>
        <v>0.669014084507042</v>
      </c>
      <c r="K1907" s="32" t="str">
        <f aca="false">IF(I1907&lt;=$E$4,"A",IF(I1907&lt;=$E$5,"B","C"))</f>
        <v>C</v>
      </c>
    </row>
    <row r="1908" customFormat="false" ht="15" hidden="false" customHeight="false" outlineLevel="0" collapsed="false">
      <c r="A1908" s="32" t="n">
        <v>1901</v>
      </c>
      <c r="B1908" s="33" t="n">
        <v>1484180</v>
      </c>
      <c r="C1908" s="34" t="s">
        <v>3887</v>
      </c>
      <c r="D1908" s="34" t="s">
        <v>3888</v>
      </c>
      <c r="E1908" s="34" t="s">
        <v>100</v>
      </c>
      <c r="F1908" s="32" t="n">
        <f aca="false">COUNTIF(Base!$D$2:$D$2878,B1908)</f>
        <v>1</v>
      </c>
      <c r="G1908" s="35" t="n">
        <f aca="false">SUMIF(Base!$D$2:$D$2878,B1908,Base!$I$2:$I$2878)</f>
        <v>211.2</v>
      </c>
      <c r="H1908" s="36" t="n">
        <f aca="false">IF($G$2849=0,0,G1908/$G$2849)</f>
        <v>1.38594141998349E-005</v>
      </c>
      <c r="I1908" s="37" t="n">
        <f aca="false">I1907+H1908</f>
        <v>0.994844589818448</v>
      </c>
      <c r="J1908" s="37" t="n">
        <f aca="false">A1908/2840</f>
        <v>0.669366197183099</v>
      </c>
      <c r="K1908" s="32" t="str">
        <f aca="false">IF(I1908&lt;=$E$4,"A",IF(I1908&lt;=$E$5,"B","C"))</f>
        <v>C</v>
      </c>
    </row>
    <row r="1909" customFormat="false" ht="15" hidden="false" customHeight="false" outlineLevel="0" collapsed="false">
      <c r="A1909" s="32" t="n">
        <v>1902</v>
      </c>
      <c r="B1909" s="33" t="n">
        <v>19166</v>
      </c>
      <c r="C1909" s="34" t="s">
        <v>3889</v>
      </c>
      <c r="D1909" s="34" t="s">
        <v>3890</v>
      </c>
      <c r="E1909" s="34" t="s">
        <v>113</v>
      </c>
      <c r="F1909" s="32" t="n">
        <f aca="false">COUNTIF(Base!$D$2:$D$2878,B1909)</f>
        <v>1</v>
      </c>
      <c r="G1909" s="35" t="n">
        <f aca="false">SUMIF(Base!$D$2:$D$2878,B1909,Base!$I$2:$I$2878)</f>
        <v>210.6284</v>
      </c>
      <c r="H1909" s="36" t="n">
        <f aca="false">IF($G$2849=0,0,G1909/$G$2849)</f>
        <v>1.38219045352676E-005</v>
      </c>
      <c r="I1909" s="37" t="n">
        <f aca="false">I1908+H1909</f>
        <v>0.994858411722984</v>
      </c>
      <c r="J1909" s="37" t="n">
        <f aca="false">A1909/2840</f>
        <v>0.669718309859155</v>
      </c>
      <c r="K1909" s="32" t="str">
        <f aca="false">IF(I1909&lt;=$E$4,"A",IF(I1909&lt;=$E$5,"B","C"))</f>
        <v>C</v>
      </c>
    </row>
    <row r="1910" customFormat="false" ht="15" hidden="false" customHeight="false" outlineLevel="0" collapsed="false">
      <c r="A1910" s="32" t="n">
        <v>1903</v>
      </c>
      <c r="B1910" s="33" t="n">
        <v>1662401</v>
      </c>
      <c r="C1910" s="34" t="s">
        <v>3891</v>
      </c>
      <c r="D1910" s="34" t="s">
        <v>3892</v>
      </c>
      <c r="E1910" s="34" t="s">
        <v>100</v>
      </c>
      <c r="F1910" s="32" t="n">
        <f aca="false">COUNTIF(Base!$D$2:$D$2878,B1910)</f>
        <v>1</v>
      </c>
      <c r="G1910" s="35" t="n">
        <f aca="false">SUMIF(Base!$D$2:$D$2878,B1910,Base!$I$2:$I$2878)</f>
        <v>210.24</v>
      </c>
      <c r="H1910" s="36" t="n">
        <f aca="false">IF($G$2849=0,0,G1910/$G$2849)</f>
        <v>1.3796416862563E-005</v>
      </c>
      <c r="I1910" s="37" t="n">
        <f aca="false">I1909+H1910</f>
        <v>0.994872208139846</v>
      </c>
      <c r="J1910" s="37" t="n">
        <f aca="false">A1910/2840</f>
        <v>0.670070422535211</v>
      </c>
      <c r="K1910" s="32" t="str">
        <f aca="false">IF(I1910&lt;=$E$4,"A",IF(I1910&lt;=$E$5,"B","C"))</f>
        <v>C</v>
      </c>
    </row>
    <row r="1911" customFormat="false" ht="15" hidden="false" customHeight="false" outlineLevel="0" collapsed="false">
      <c r="A1911" s="32" t="n">
        <v>1904</v>
      </c>
      <c r="B1911" s="33" t="n">
        <v>1011493</v>
      </c>
      <c r="C1911" s="34" t="s">
        <v>3893</v>
      </c>
      <c r="D1911" s="34" t="s">
        <v>3894</v>
      </c>
      <c r="E1911" s="34" t="s">
        <v>130</v>
      </c>
      <c r="F1911" s="32" t="n">
        <f aca="false">COUNTIF(Base!$D$2:$D$2878,B1911)</f>
        <v>1</v>
      </c>
      <c r="G1911" s="35" t="n">
        <f aca="false">SUMIF(Base!$D$2:$D$2878,B1911,Base!$I$2:$I$2878)</f>
        <v>210</v>
      </c>
      <c r="H1911" s="36" t="n">
        <f aca="false">IF($G$2849=0,0,G1911/$G$2849)</f>
        <v>1.3780667528245E-005</v>
      </c>
      <c r="I1911" s="37" t="n">
        <f aca="false">I1910+H1911</f>
        <v>0.994885988807374</v>
      </c>
      <c r="J1911" s="37" t="n">
        <f aca="false">A1911/2840</f>
        <v>0.670422535211268</v>
      </c>
      <c r="K1911" s="32" t="str">
        <f aca="false">IF(I1911&lt;=$E$4,"A",IF(I1911&lt;=$E$5,"B","C"))</f>
        <v>C</v>
      </c>
    </row>
    <row r="1912" customFormat="false" ht="15" hidden="false" customHeight="false" outlineLevel="0" collapsed="false">
      <c r="A1912" s="32" t="n">
        <v>1905</v>
      </c>
      <c r="B1912" s="33" t="n">
        <v>1329535</v>
      </c>
      <c r="C1912" s="34" t="s">
        <v>3895</v>
      </c>
      <c r="D1912" s="34" t="s">
        <v>3896</v>
      </c>
      <c r="E1912" s="34" t="s">
        <v>133</v>
      </c>
      <c r="F1912" s="32" t="n">
        <f aca="false">COUNTIF(Base!$D$2:$D$2878,B1912)</f>
        <v>1</v>
      </c>
      <c r="G1912" s="35" t="n">
        <f aca="false">SUMIF(Base!$D$2:$D$2878,B1912,Base!$I$2:$I$2878)</f>
        <v>209.58</v>
      </c>
      <c r="H1912" s="36" t="n">
        <f aca="false">IF($G$2849=0,0,G1912/$G$2849)</f>
        <v>1.37531061931885E-005</v>
      </c>
      <c r="I1912" s="37" t="n">
        <f aca="false">I1911+H1912</f>
        <v>0.994899741913568</v>
      </c>
      <c r="J1912" s="37" t="n">
        <f aca="false">A1912/2840</f>
        <v>0.670774647887324</v>
      </c>
      <c r="K1912" s="32" t="str">
        <f aca="false">IF(I1912&lt;=$E$4,"A",IF(I1912&lt;=$E$5,"B","C"))</f>
        <v>C</v>
      </c>
    </row>
    <row r="1913" customFormat="false" ht="15" hidden="false" customHeight="false" outlineLevel="0" collapsed="false">
      <c r="A1913" s="32" t="n">
        <v>1906</v>
      </c>
      <c r="B1913" s="33" t="n">
        <v>22792</v>
      </c>
      <c r="C1913" s="34" t="s">
        <v>3897</v>
      </c>
      <c r="D1913" s="34" t="s">
        <v>3898</v>
      </c>
      <c r="E1913" s="34" t="s">
        <v>54</v>
      </c>
      <c r="F1913" s="32" t="n">
        <f aca="false">COUNTIF(Base!$D$2:$D$2878,B1913)</f>
        <v>1</v>
      </c>
      <c r="G1913" s="35" t="n">
        <f aca="false">SUMIF(Base!$D$2:$D$2878,B1913,Base!$I$2:$I$2878)</f>
        <v>208.5</v>
      </c>
      <c r="H1913" s="36" t="n">
        <f aca="false">IF($G$2849=0,0,G1913/$G$2849)</f>
        <v>1.36822341887575E-005</v>
      </c>
      <c r="I1913" s="37" t="n">
        <f aca="false">I1912+H1913</f>
        <v>0.994913424147756</v>
      </c>
      <c r="J1913" s="37" t="n">
        <f aca="false">A1913/2840</f>
        <v>0.67112676056338</v>
      </c>
      <c r="K1913" s="32" t="str">
        <f aca="false">IF(I1913&lt;=$E$4,"A",IF(I1913&lt;=$E$5,"B","C"))</f>
        <v>C</v>
      </c>
    </row>
    <row r="1914" customFormat="false" ht="15" hidden="false" customHeight="false" outlineLevel="0" collapsed="false">
      <c r="A1914" s="32" t="n">
        <v>1907</v>
      </c>
      <c r="B1914" s="33" t="n">
        <v>60274</v>
      </c>
      <c r="C1914" s="34" t="s">
        <v>3899</v>
      </c>
      <c r="D1914" s="34" t="s">
        <v>3900</v>
      </c>
      <c r="E1914" s="34" t="s">
        <v>1618</v>
      </c>
      <c r="F1914" s="32" t="n">
        <f aca="false">COUNTIF(Base!$D$2:$D$2878,B1914)</f>
        <v>1</v>
      </c>
      <c r="G1914" s="35" t="n">
        <f aca="false">SUMIF(Base!$D$2:$D$2878,B1914,Base!$I$2:$I$2878)</f>
        <v>208</v>
      </c>
      <c r="H1914" s="36" t="n">
        <f aca="false">IF($G$2849=0,0,G1914/$G$2849)</f>
        <v>1.3649423075595E-005</v>
      </c>
      <c r="I1914" s="37" t="n">
        <f aca="false">I1913+H1914</f>
        <v>0.994927073570832</v>
      </c>
      <c r="J1914" s="37" t="n">
        <f aca="false">A1914/2840</f>
        <v>0.671478873239437</v>
      </c>
      <c r="K1914" s="32" t="str">
        <f aca="false">IF(I1914&lt;=$E$4,"A",IF(I1914&lt;=$E$5,"B","C"))</f>
        <v>C</v>
      </c>
    </row>
    <row r="1915" customFormat="false" ht="15" hidden="false" customHeight="false" outlineLevel="0" collapsed="false">
      <c r="A1915" s="32" t="n">
        <v>1908</v>
      </c>
      <c r="B1915" s="33" t="n">
        <v>17941</v>
      </c>
      <c r="C1915" s="34" t="s">
        <v>3901</v>
      </c>
      <c r="D1915" s="34" t="s">
        <v>3902</v>
      </c>
      <c r="E1915" s="34" t="s">
        <v>130</v>
      </c>
      <c r="F1915" s="32" t="n">
        <f aca="false">COUNTIF(Base!$D$2:$D$2878,B1915)</f>
        <v>1</v>
      </c>
      <c r="G1915" s="35" t="n">
        <f aca="false">SUMIF(Base!$D$2:$D$2878,B1915,Base!$I$2:$I$2878)</f>
        <v>207.14</v>
      </c>
      <c r="H1915" s="36" t="n">
        <f aca="false">IF($G$2849=0,0,G1915/$G$2849)</f>
        <v>1.35929879609555E-005</v>
      </c>
      <c r="I1915" s="37" t="n">
        <f aca="false">I1914+H1915</f>
        <v>0.994940666558793</v>
      </c>
      <c r="J1915" s="37" t="n">
        <f aca="false">A1915/2840</f>
        <v>0.671830985915493</v>
      </c>
      <c r="K1915" s="32" t="str">
        <f aca="false">IF(I1915&lt;=$E$4,"A",IF(I1915&lt;=$E$5,"B","C"))</f>
        <v>C</v>
      </c>
    </row>
    <row r="1916" customFormat="false" ht="15" hidden="false" customHeight="false" outlineLevel="0" collapsed="false">
      <c r="A1916" s="32" t="n">
        <v>1909</v>
      </c>
      <c r="B1916" s="33" t="n">
        <v>1465305</v>
      </c>
      <c r="C1916" s="34" t="s">
        <v>3903</v>
      </c>
      <c r="D1916" s="34" t="s">
        <v>3904</v>
      </c>
      <c r="E1916" s="34" t="s">
        <v>100</v>
      </c>
      <c r="F1916" s="32" t="n">
        <f aca="false">COUNTIF(Base!$D$2:$D$2878,B1916)</f>
        <v>1</v>
      </c>
      <c r="G1916" s="35" t="n">
        <f aca="false">SUMIF(Base!$D$2:$D$2878,B1916,Base!$I$2:$I$2878)</f>
        <v>206.68</v>
      </c>
      <c r="H1916" s="36" t="n">
        <f aca="false">IF($G$2849=0,0,G1916/$G$2849)</f>
        <v>1.3562801736846E-005</v>
      </c>
      <c r="I1916" s="37" t="n">
        <f aca="false">I1915+H1916</f>
        <v>0.99495422936053</v>
      </c>
      <c r="J1916" s="37" t="n">
        <f aca="false">A1916/2840</f>
        <v>0.672183098591549</v>
      </c>
      <c r="K1916" s="32" t="str">
        <f aca="false">IF(I1916&lt;=$E$4,"A",IF(I1916&lt;=$E$5,"B","C"))</f>
        <v>C</v>
      </c>
    </row>
    <row r="1917" customFormat="false" ht="15" hidden="false" customHeight="false" outlineLevel="0" collapsed="false">
      <c r="A1917" s="32" t="n">
        <v>1910</v>
      </c>
      <c r="B1917" s="33" t="n">
        <v>1330309</v>
      </c>
      <c r="C1917" s="34" t="s">
        <v>3905</v>
      </c>
      <c r="D1917" s="34" t="s">
        <v>3906</v>
      </c>
      <c r="E1917" s="34" t="s">
        <v>54</v>
      </c>
      <c r="F1917" s="32" t="n">
        <f aca="false">COUNTIF(Base!$D$2:$D$2878,B1917)</f>
        <v>1</v>
      </c>
      <c r="G1917" s="35" t="n">
        <f aca="false">SUMIF(Base!$D$2:$D$2878,B1917,Base!$I$2:$I$2878)</f>
        <v>206</v>
      </c>
      <c r="H1917" s="36" t="n">
        <f aca="false">IF($G$2849=0,0,G1917/$G$2849)</f>
        <v>1.35181786229451E-005</v>
      </c>
      <c r="I1917" s="37" t="n">
        <f aca="false">I1916+H1917</f>
        <v>0.994967747539153</v>
      </c>
      <c r="J1917" s="37" t="n">
        <f aca="false">A1917/2840</f>
        <v>0.672535211267606</v>
      </c>
      <c r="K1917" s="32" t="str">
        <f aca="false">IF(I1917&lt;=$E$4,"A",IF(I1917&lt;=$E$5,"B","C"))</f>
        <v>C</v>
      </c>
    </row>
    <row r="1918" customFormat="false" ht="15" hidden="false" customHeight="false" outlineLevel="0" collapsed="false">
      <c r="A1918" s="32" t="n">
        <v>1911</v>
      </c>
      <c r="B1918" s="33" t="n">
        <v>55080</v>
      </c>
      <c r="C1918" s="34" t="s">
        <v>3907</v>
      </c>
      <c r="D1918" s="34" t="s">
        <v>3908</v>
      </c>
      <c r="E1918" s="34" t="s">
        <v>38</v>
      </c>
      <c r="F1918" s="32" t="n">
        <f aca="false">COUNTIF(Base!$D$2:$D$2878,B1918)</f>
        <v>1</v>
      </c>
      <c r="G1918" s="35" t="n">
        <f aca="false">SUMIF(Base!$D$2:$D$2878,B1918,Base!$I$2:$I$2878)</f>
        <v>204.12</v>
      </c>
      <c r="H1918" s="36" t="n">
        <f aca="false">IF($G$2849=0,0,G1918/$G$2849)</f>
        <v>1.33948088374541E-005</v>
      </c>
      <c r="I1918" s="37" t="n">
        <f aca="false">I1917+H1918</f>
        <v>0.99498114234799</v>
      </c>
      <c r="J1918" s="37" t="n">
        <f aca="false">A1918/2840</f>
        <v>0.672887323943662</v>
      </c>
      <c r="K1918" s="32" t="str">
        <f aca="false">IF(I1918&lt;=$E$4,"A",IF(I1918&lt;=$E$5,"B","C"))</f>
        <v>C</v>
      </c>
    </row>
    <row r="1919" customFormat="false" ht="15" hidden="false" customHeight="false" outlineLevel="0" collapsed="false">
      <c r="A1919" s="32" t="n">
        <v>1912</v>
      </c>
      <c r="B1919" s="33" t="n">
        <v>274424</v>
      </c>
      <c r="C1919" s="34" t="s">
        <v>3909</v>
      </c>
      <c r="D1919" s="34" t="s">
        <v>3910</v>
      </c>
      <c r="E1919" s="34" t="s">
        <v>54</v>
      </c>
      <c r="F1919" s="32" t="n">
        <f aca="false">COUNTIF(Base!$D$2:$D$2878,B1919)</f>
        <v>1</v>
      </c>
      <c r="G1919" s="35" t="n">
        <f aca="false">SUMIF(Base!$D$2:$D$2878,B1919,Base!$I$2:$I$2878)</f>
        <v>204</v>
      </c>
      <c r="H1919" s="36" t="n">
        <f aca="false">IF($G$2849=0,0,G1919/$G$2849)</f>
        <v>1.33869341702951E-005</v>
      </c>
      <c r="I1919" s="37" t="n">
        <f aca="false">I1918+H1919</f>
        <v>0.994994529282161</v>
      </c>
      <c r="J1919" s="37" t="n">
        <f aca="false">A1919/2840</f>
        <v>0.673239436619718</v>
      </c>
      <c r="K1919" s="32" t="str">
        <f aca="false">IF(I1919&lt;=$E$4,"A",IF(I1919&lt;=$E$5,"B","C"))</f>
        <v>C</v>
      </c>
    </row>
    <row r="1920" customFormat="false" ht="15" hidden="false" customHeight="false" outlineLevel="0" collapsed="false">
      <c r="A1920" s="32" t="n">
        <v>1913</v>
      </c>
      <c r="B1920" s="33" t="n">
        <v>949968</v>
      </c>
      <c r="C1920" s="34" t="s">
        <v>3911</v>
      </c>
      <c r="D1920" s="34" t="s">
        <v>3912</v>
      </c>
      <c r="E1920" s="34" t="s">
        <v>54</v>
      </c>
      <c r="F1920" s="32" t="n">
        <f aca="false">COUNTIF(Base!$D$2:$D$2878,B1920)</f>
        <v>1</v>
      </c>
      <c r="G1920" s="35" t="n">
        <f aca="false">SUMIF(Base!$D$2:$D$2878,B1920,Base!$I$2:$I$2878)</f>
        <v>204</v>
      </c>
      <c r="H1920" s="36" t="n">
        <f aca="false">IF($G$2849=0,0,G1920/$G$2849)</f>
        <v>1.33869341702951E-005</v>
      </c>
      <c r="I1920" s="37" t="n">
        <f aca="false">I1919+H1920</f>
        <v>0.995007916216331</v>
      </c>
      <c r="J1920" s="37" t="n">
        <f aca="false">A1920/2840</f>
        <v>0.673591549295775</v>
      </c>
      <c r="K1920" s="32" t="str">
        <f aca="false">IF(I1920&lt;=$E$4,"A",IF(I1920&lt;=$E$5,"B","C"))</f>
        <v>C</v>
      </c>
    </row>
    <row r="1921" customFormat="false" ht="15" hidden="false" customHeight="false" outlineLevel="0" collapsed="false">
      <c r="A1921" s="32" t="n">
        <v>1914</v>
      </c>
      <c r="B1921" s="33" t="n">
        <v>954946</v>
      </c>
      <c r="C1921" s="34" t="s">
        <v>3913</v>
      </c>
      <c r="D1921" s="34" t="s">
        <v>3914</v>
      </c>
      <c r="E1921" s="34" t="s">
        <v>54</v>
      </c>
      <c r="F1921" s="32" t="n">
        <f aca="false">COUNTIF(Base!$D$2:$D$2878,B1921)</f>
        <v>1</v>
      </c>
      <c r="G1921" s="35" t="n">
        <f aca="false">SUMIF(Base!$D$2:$D$2878,B1921,Base!$I$2:$I$2878)</f>
        <v>203.62</v>
      </c>
      <c r="H1921" s="36" t="n">
        <f aca="false">IF($G$2849=0,0,G1921/$G$2849)</f>
        <v>1.33619977242916E-005</v>
      </c>
      <c r="I1921" s="37" t="n">
        <f aca="false">I1920+H1921</f>
        <v>0.995021278214055</v>
      </c>
      <c r="J1921" s="37" t="n">
        <f aca="false">A1921/2840</f>
        <v>0.673943661971831</v>
      </c>
      <c r="K1921" s="32" t="str">
        <f aca="false">IF(I1921&lt;=$E$4,"A",IF(I1921&lt;=$E$5,"B","C"))</f>
        <v>C</v>
      </c>
    </row>
    <row r="1922" customFormat="false" ht="15" hidden="false" customHeight="false" outlineLevel="0" collapsed="false">
      <c r="A1922" s="32" t="n">
        <v>1915</v>
      </c>
      <c r="B1922" s="33" t="n">
        <v>835503</v>
      </c>
      <c r="C1922" s="34" t="s">
        <v>3915</v>
      </c>
      <c r="D1922" s="34" t="s">
        <v>3916</v>
      </c>
      <c r="E1922" s="34" t="s">
        <v>38</v>
      </c>
      <c r="F1922" s="32" t="n">
        <f aca="false">COUNTIF(Base!$D$2:$D$2878,B1922)</f>
        <v>1</v>
      </c>
      <c r="G1922" s="35" t="n">
        <f aca="false">SUMIF(Base!$D$2:$D$2878,B1922,Base!$I$2:$I$2878)</f>
        <v>203.52</v>
      </c>
      <c r="H1922" s="36" t="n">
        <f aca="false">IF($G$2849=0,0,G1922/$G$2849)</f>
        <v>1.33554355016591E-005</v>
      </c>
      <c r="I1922" s="37" t="n">
        <f aca="false">I1921+H1922</f>
        <v>0.995034633649557</v>
      </c>
      <c r="J1922" s="37" t="n">
        <f aca="false">A1922/2840</f>
        <v>0.674295774647887</v>
      </c>
      <c r="K1922" s="32" t="str">
        <f aca="false">IF(I1922&lt;=$E$4,"A",IF(I1922&lt;=$E$5,"B","C"))</f>
        <v>C</v>
      </c>
    </row>
    <row r="1923" customFormat="false" ht="15" hidden="false" customHeight="false" outlineLevel="0" collapsed="false">
      <c r="A1923" s="32" t="n">
        <v>1916</v>
      </c>
      <c r="B1923" s="33" t="n">
        <v>1659861</v>
      </c>
      <c r="C1923" s="34" t="s">
        <v>3917</v>
      </c>
      <c r="D1923" s="34" t="s">
        <v>3918</v>
      </c>
      <c r="E1923" s="34" t="s">
        <v>38</v>
      </c>
      <c r="F1923" s="32" t="n">
        <f aca="false">COUNTIF(Base!$D$2:$D$2878,B1923)</f>
        <v>1</v>
      </c>
      <c r="G1923" s="35" t="n">
        <f aca="false">SUMIF(Base!$D$2:$D$2878,B1923,Base!$I$2:$I$2878)</f>
        <v>203.2</v>
      </c>
      <c r="H1923" s="36" t="n">
        <f aca="false">IF($G$2849=0,0,G1923/$G$2849)</f>
        <v>1.33344363892351E-005</v>
      </c>
      <c r="I1923" s="37" t="n">
        <f aca="false">I1922+H1923</f>
        <v>0.995047968085946</v>
      </c>
      <c r="J1923" s="37" t="n">
        <f aca="false">A1923/2840</f>
        <v>0.674647887323944</v>
      </c>
      <c r="K1923" s="32" t="str">
        <f aca="false">IF(I1923&lt;=$E$4,"A",IF(I1923&lt;=$E$5,"B","C"))</f>
        <v>C</v>
      </c>
    </row>
    <row r="1924" customFormat="false" ht="15" hidden="false" customHeight="false" outlineLevel="0" collapsed="false">
      <c r="A1924" s="32" t="n">
        <v>1917</v>
      </c>
      <c r="B1924" s="33" t="n">
        <v>1656098</v>
      </c>
      <c r="C1924" s="34" t="s">
        <v>3919</v>
      </c>
      <c r="D1924" s="34" t="s">
        <v>3920</v>
      </c>
      <c r="E1924" s="34" t="s">
        <v>217</v>
      </c>
      <c r="F1924" s="32" t="n">
        <f aca="false">COUNTIF(Base!$D$2:$D$2878,B1924)</f>
        <v>1</v>
      </c>
      <c r="G1924" s="35" t="n">
        <f aca="false">SUMIF(Base!$D$2:$D$2878,B1924,Base!$I$2:$I$2878)</f>
        <v>202.5</v>
      </c>
      <c r="H1924" s="36" t="n">
        <f aca="false">IF($G$2849=0,0,G1924/$G$2849)</f>
        <v>1.32885008308076E-005</v>
      </c>
      <c r="I1924" s="37" t="n">
        <f aca="false">I1923+H1924</f>
        <v>0.995061256586777</v>
      </c>
      <c r="J1924" s="37" t="n">
        <f aca="false">A1924/2840</f>
        <v>0.675</v>
      </c>
      <c r="K1924" s="32" t="str">
        <f aca="false">IF(I1924&lt;=$E$4,"A",IF(I1924&lt;=$E$5,"B","C"))</f>
        <v>C</v>
      </c>
    </row>
    <row r="1925" customFormat="false" ht="15" hidden="false" customHeight="false" outlineLevel="0" collapsed="false">
      <c r="A1925" s="32" t="n">
        <v>1918</v>
      </c>
      <c r="B1925" s="33" t="n">
        <v>1384747</v>
      </c>
      <c r="C1925" s="34" t="s">
        <v>3921</v>
      </c>
      <c r="D1925" s="34" t="s">
        <v>3922</v>
      </c>
      <c r="E1925" s="34" t="s">
        <v>38</v>
      </c>
      <c r="F1925" s="32" t="n">
        <f aca="false">COUNTIF(Base!$D$2:$D$2878,B1925)</f>
        <v>1</v>
      </c>
      <c r="G1925" s="35" t="n">
        <f aca="false">SUMIF(Base!$D$2:$D$2878,B1925,Base!$I$2:$I$2878)</f>
        <v>201.68</v>
      </c>
      <c r="H1925" s="36" t="n">
        <f aca="false">IF($G$2849=0,0,G1925/$G$2849)</f>
        <v>1.32346906052212E-005</v>
      </c>
      <c r="I1925" s="37" t="n">
        <f aca="false">I1924+H1925</f>
        <v>0.995074491277382</v>
      </c>
      <c r="J1925" s="37" t="n">
        <f aca="false">A1925/2840</f>
        <v>0.675352112676056</v>
      </c>
      <c r="K1925" s="32" t="str">
        <f aca="false">IF(I1925&lt;=$E$4,"A",IF(I1925&lt;=$E$5,"B","C"))</f>
        <v>C</v>
      </c>
    </row>
    <row r="1926" customFormat="false" ht="15" hidden="false" customHeight="false" outlineLevel="0" collapsed="false">
      <c r="A1926" s="32" t="n">
        <v>1919</v>
      </c>
      <c r="B1926" s="33" t="n">
        <v>1607593</v>
      </c>
      <c r="C1926" s="34" t="s">
        <v>3923</v>
      </c>
      <c r="D1926" s="34" t="s">
        <v>3924</v>
      </c>
      <c r="E1926" s="34" t="s">
        <v>38</v>
      </c>
      <c r="F1926" s="32" t="n">
        <f aca="false">COUNTIF(Base!$D$2:$D$2878,B1926)</f>
        <v>1</v>
      </c>
      <c r="G1926" s="35" t="n">
        <f aca="false">SUMIF(Base!$D$2:$D$2878,B1926,Base!$I$2:$I$2878)</f>
        <v>201</v>
      </c>
      <c r="H1926" s="36" t="n">
        <f aca="false">IF($G$2849=0,0,G1926/$G$2849)</f>
        <v>1.31900674913202E-005</v>
      </c>
      <c r="I1926" s="37" t="n">
        <f aca="false">I1925+H1926</f>
        <v>0.995087681344873</v>
      </c>
      <c r="J1926" s="37" t="n">
        <f aca="false">A1926/2840</f>
        <v>0.675704225352113</v>
      </c>
      <c r="K1926" s="32" t="str">
        <f aca="false">IF(I1926&lt;=$E$4,"A",IF(I1926&lt;=$E$5,"B","C"))</f>
        <v>C</v>
      </c>
    </row>
    <row r="1927" customFormat="false" ht="15" hidden="false" customHeight="false" outlineLevel="0" collapsed="false">
      <c r="A1927" s="32" t="n">
        <v>1920</v>
      </c>
      <c r="B1927" s="33" t="n">
        <v>35244</v>
      </c>
      <c r="C1927" s="34" t="s">
        <v>3925</v>
      </c>
      <c r="D1927" s="34" t="s">
        <v>3926</v>
      </c>
      <c r="E1927" s="34" t="s">
        <v>457</v>
      </c>
      <c r="F1927" s="32" t="n">
        <f aca="false">COUNTIF(Base!$D$2:$D$2878,B1927)</f>
        <v>1</v>
      </c>
      <c r="G1927" s="35" t="n">
        <f aca="false">SUMIF(Base!$D$2:$D$2878,B1927,Base!$I$2:$I$2878)</f>
        <v>200</v>
      </c>
      <c r="H1927" s="36" t="n">
        <f aca="false">IF($G$2849=0,0,G1927/$G$2849)</f>
        <v>1.31244452649952E-005</v>
      </c>
      <c r="I1927" s="37" t="n">
        <f aca="false">I1926+H1927</f>
        <v>0.995100805790138</v>
      </c>
      <c r="J1927" s="37" t="n">
        <f aca="false">A1927/2840</f>
        <v>0.676056338028169</v>
      </c>
      <c r="K1927" s="32" t="str">
        <f aca="false">IF(I1927&lt;=$E$4,"A",IF(I1927&lt;=$E$5,"B","C"))</f>
        <v>C</v>
      </c>
    </row>
    <row r="1928" customFormat="false" ht="15" hidden="false" customHeight="false" outlineLevel="0" collapsed="false">
      <c r="A1928" s="32" t="n">
        <v>1921</v>
      </c>
      <c r="B1928" s="33" t="n">
        <v>884051</v>
      </c>
      <c r="C1928" s="34" t="s">
        <v>3927</v>
      </c>
      <c r="D1928" s="34" t="s">
        <v>3928</v>
      </c>
      <c r="E1928" s="34" t="s">
        <v>38</v>
      </c>
      <c r="F1928" s="32" t="n">
        <f aca="false">COUNTIF(Base!$D$2:$D$2878,B1928)</f>
        <v>1</v>
      </c>
      <c r="G1928" s="35" t="n">
        <f aca="false">SUMIF(Base!$D$2:$D$2878,B1928,Base!$I$2:$I$2878)</f>
        <v>199.84</v>
      </c>
      <c r="H1928" s="36" t="n">
        <f aca="false">IF($G$2849=0,0,G1928/$G$2849)</f>
        <v>1.31139457087832E-005</v>
      </c>
      <c r="I1928" s="37" t="n">
        <f aca="false">I1927+H1928</f>
        <v>0.995113919735847</v>
      </c>
      <c r="J1928" s="37" t="n">
        <f aca="false">A1928/2840</f>
        <v>0.676408450704225</v>
      </c>
      <c r="K1928" s="32" t="str">
        <f aca="false">IF(I1928&lt;=$E$4,"A",IF(I1928&lt;=$E$5,"B","C"))</f>
        <v>C</v>
      </c>
    </row>
    <row r="1929" customFormat="false" ht="15" hidden="false" customHeight="false" outlineLevel="0" collapsed="false">
      <c r="A1929" s="32" t="n">
        <v>1922</v>
      </c>
      <c r="B1929" s="33" t="n">
        <v>14779</v>
      </c>
      <c r="C1929" s="34" t="s">
        <v>3929</v>
      </c>
      <c r="D1929" s="34" t="s">
        <v>3930</v>
      </c>
      <c r="E1929" s="34" t="s">
        <v>54</v>
      </c>
      <c r="F1929" s="32" t="n">
        <f aca="false">COUNTIF(Base!$D$2:$D$2878,B1929)</f>
        <v>1</v>
      </c>
      <c r="G1929" s="35" t="n">
        <f aca="false">SUMIF(Base!$D$2:$D$2878,B1929,Base!$I$2:$I$2878)</f>
        <v>199.8</v>
      </c>
      <c r="H1929" s="36" t="n">
        <f aca="false">IF($G$2849=0,0,G1929/$G$2849)</f>
        <v>1.31113208197302E-005</v>
      </c>
      <c r="I1929" s="37" t="n">
        <f aca="false">I1928+H1929</f>
        <v>0.995127031056667</v>
      </c>
      <c r="J1929" s="37" t="n">
        <f aca="false">A1929/2840</f>
        <v>0.676760563380282</v>
      </c>
      <c r="K1929" s="32" t="str">
        <f aca="false">IF(I1929&lt;=$E$4,"A",IF(I1929&lt;=$E$5,"B","C"))</f>
        <v>C</v>
      </c>
    </row>
    <row r="1930" customFormat="false" ht="15" hidden="false" customHeight="false" outlineLevel="0" collapsed="false">
      <c r="A1930" s="32" t="n">
        <v>1923</v>
      </c>
      <c r="B1930" s="33" t="n">
        <v>55348</v>
      </c>
      <c r="C1930" s="34" t="s">
        <v>3931</v>
      </c>
      <c r="D1930" s="34" t="s">
        <v>3932</v>
      </c>
      <c r="E1930" s="34" t="s">
        <v>38</v>
      </c>
      <c r="F1930" s="32" t="n">
        <f aca="false">COUNTIF(Base!$D$2:$D$2878,B1930)</f>
        <v>1</v>
      </c>
      <c r="G1930" s="35" t="n">
        <f aca="false">SUMIF(Base!$D$2:$D$2878,B1930,Base!$I$2:$I$2878)</f>
        <v>199.8</v>
      </c>
      <c r="H1930" s="36" t="n">
        <f aca="false">IF($G$2849=0,0,G1930/$G$2849)</f>
        <v>1.31113208197302E-005</v>
      </c>
      <c r="I1930" s="37" t="n">
        <f aca="false">I1929+H1930</f>
        <v>0.995140142377487</v>
      </c>
      <c r="J1930" s="37" t="n">
        <f aca="false">A1930/2840</f>
        <v>0.677112676056338</v>
      </c>
      <c r="K1930" s="32" t="str">
        <f aca="false">IF(I1930&lt;=$E$4,"A",IF(I1930&lt;=$E$5,"B","C"))</f>
        <v>C</v>
      </c>
    </row>
    <row r="1931" customFormat="false" ht="15" hidden="false" customHeight="false" outlineLevel="0" collapsed="false">
      <c r="A1931" s="32" t="n">
        <v>1924</v>
      </c>
      <c r="B1931" s="33" t="n">
        <v>1108304</v>
      </c>
      <c r="C1931" s="34" t="s">
        <v>3933</v>
      </c>
      <c r="D1931" s="34" t="s">
        <v>3934</v>
      </c>
      <c r="E1931" s="34" t="s">
        <v>54</v>
      </c>
      <c r="F1931" s="32" t="n">
        <f aca="false">COUNTIF(Base!$D$2:$D$2878,B1931)</f>
        <v>1</v>
      </c>
      <c r="G1931" s="35" t="n">
        <f aca="false">SUMIF(Base!$D$2:$D$2878,B1931,Base!$I$2:$I$2878)</f>
        <v>199.8</v>
      </c>
      <c r="H1931" s="36" t="n">
        <f aca="false">IF($G$2849=0,0,G1931/$G$2849)</f>
        <v>1.31113208197302E-005</v>
      </c>
      <c r="I1931" s="37" t="n">
        <f aca="false">I1930+H1931</f>
        <v>0.995153253698306</v>
      </c>
      <c r="J1931" s="37" t="n">
        <f aca="false">A1931/2840</f>
        <v>0.677464788732394</v>
      </c>
      <c r="K1931" s="32" t="str">
        <f aca="false">IF(I1931&lt;=$E$4,"A",IF(I1931&lt;=$E$5,"B","C"))</f>
        <v>C</v>
      </c>
    </row>
    <row r="1932" customFormat="false" ht="15" hidden="false" customHeight="false" outlineLevel="0" collapsed="false">
      <c r="A1932" s="32" t="n">
        <v>1925</v>
      </c>
      <c r="B1932" s="33" t="n">
        <v>551137</v>
      </c>
      <c r="C1932" s="34" t="s">
        <v>3935</v>
      </c>
      <c r="D1932" s="34" t="s">
        <v>3936</v>
      </c>
      <c r="E1932" s="34" t="s">
        <v>247</v>
      </c>
      <c r="F1932" s="32" t="n">
        <f aca="false">COUNTIF(Base!$D$2:$D$2878,B1932)</f>
        <v>1</v>
      </c>
      <c r="G1932" s="35" t="n">
        <f aca="false">SUMIF(Base!$D$2:$D$2878,B1932,Base!$I$2:$I$2878)</f>
        <v>199.5</v>
      </c>
      <c r="H1932" s="36" t="n">
        <f aca="false">IF($G$2849=0,0,G1932/$G$2849)</f>
        <v>1.30916341518327E-005</v>
      </c>
      <c r="I1932" s="37" t="n">
        <f aca="false">I1931+H1932</f>
        <v>0.995166345332458</v>
      </c>
      <c r="J1932" s="37" t="n">
        <f aca="false">A1932/2840</f>
        <v>0.677816901408451</v>
      </c>
      <c r="K1932" s="32" t="str">
        <f aca="false">IF(I1932&lt;=$E$4,"A",IF(I1932&lt;=$E$5,"B","C"))</f>
        <v>C</v>
      </c>
    </row>
    <row r="1933" customFormat="false" ht="15" hidden="false" customHeight="false" outlineLevel="0" collapsed="false">
      <c r="A1933" s="32" t="n">
        <v>1926</v>
      </c>
      <c r="B1933" s="33" t="n">
        <v>23560</v>
      </c>
      <c r="C1933" s="34" t="s">
        <v>3937</v>
      </c>
      <c r="D1933" s="34" t="s">
        <v>3938</v>
      </c>
      <c r="E1933" s="34" t="s">
        <v>93</v>
      </c>
      <c r="F1933" s="32" t="n">
        <f aca="false">COUNTIF(Base!$D$2:$D$2878,B1933)</f>
        <v>1</v>
      </c>
      <c r="G1933" s="35" t="n">
        <f aca="false">SUMIF(Base!$D$2:$D$2878,B1933,Base!$I$2:$I$2878)</f>
        <v>199</v>
      </c>
      <c r="H1933" s="36" t="n">
        <f aca="false">IF($G$2849=0,0,G1933/$G$2849)</f>
        <v>1.30588230386702E-005</v>
      </c>
      <c r="I1933" s="37" t="n">
        <f aca="false">I1932+H1933</f>
        <v>0.995179404155497</v>
      </c>
      <c r="J1933" s="37" t="n">
        <f aca="false">A1933/2840</f>
        <v>0.678169014084507</v>
      </c>
      <c r="K1933" s="32" t="str">
        <f aca="false">IF(I1933&lt;=$E$4,"A",IF(I1933&lt;=$E$5,"B","C"))</f>
        <v>C</v>
      </c>
    </row>
    <row r="1934" customFormat="false" ht="15" hidden="false" customHeight="false" outlineLevel="0" collapsed="false">
      <c r="A1934" s="32" t="n">
        <v>1927</v>
      </c>
      <c r="B1934" s="33" t="n">
        <v>1610265</v>
      </c>
      <c r="C1934" s="34" t="s">
        <v>3939</v>
      </c>
      <c r="D1934" s="34" t="s">
        <v>3940</v>
      </c>
      <c r="E1934" s="34" t="s">
        <v>130</v>
      </c>
      <c r="F1934" s="32" t="n">
        <f aca="false">COUNTIF(Base!$D$2:$D$2878,B1934)</f>
        <v>1</v>
      </c>
      <c r="G1934" s="35" t="n">
        <f aca="false">SUMIF(Base!$D$2:$D$2878,B1934,Base!$I$2:$I$2878)</f>
        <v>198.36</v>
      </c>
      <c r="H1934" s="36" t="n">
        <f aca="false">IF($G$2849=0,0,G1934/$G$2849)</f>
        <v>1.30168248138222E-005</v>
      </c>
      <c r="I1934" s="37" t="n">
        <f aca="false">I1933+H1934</f>
        <v>0.995192420980311</v>
      </c>
      <c r="J1934" s="37" t="n">
        <f aca="false">A1934/2840</f>
        <v>0.678521126760563</v>
      </c>
      <c r="K1934" s="32" t="str">
        <f aca="false">IF(I1934&lt;=$E$4,"A",IF(I1934&lt;=$E$5,"B","C"))</f>
        <v>C</v>
      </c>
    </row>
    <row r="1935" customFormat="false" ht="15" hidden="false" customHeight="false" outlineLevel="0" collapsed="false">
      <c r="A1935" s="32" t="n">
        <v>1928</v>
      </c>
      <c r="B1935" s="33" t="n">
        <v>17956</v>
      </c>
      <c r="C1935" s="34" t="s">
        <v>3941</v>
      </c>
      <c r="D1935" s="34" t="s">
        <v>3942</v>
      </c>
      <c r="E1935" s="34" t="s">
        <v>130</v>
      </c>
      <c r="F1935" s="32" t="n">
        <f aca="false">COUNTIF(Base!$D$2:$D$2878,B1935)</f>
        <v>1</v>
      </c>
      <c r="G1935" s="35" t="n">
        <f aca="false">SUMIF(Base!$D$2:$D$2878,B1935,Base!$I$2:$I$2878)</f>
        <v>198</v>
      </c>
      <c r="H1935" s="36" t="n">
        <f aca="false">IF($G$2849=0,0,G1935/$G$2849)</f>
        <v>1.29932008123453E-005</v>
      </c>
      <c r="I1935" s="37" t="n">
        <f aca="false">I1934+H1935</f>
        <v>0.995205414181123</v>
      </c>
      <c r="J1935" s="37" t="n">
        <f aca="false">A1935/2840</f>
        <v>0.67887323943662</v>
      </c>
      <c r="K1935" s="32" t="str">
        <f aca="false">IF(I1935&lt;=$E$4,"A",IF(I1935&lt;=$E$5,"B","C"))</f>
        <v>C</v>
      </c>
    </row>
    <row r="1936" customFormat="false" ht="15" hidden="false" customHeight="false" outlineLevel="0" collapsed="false">
      <c r="A1936" s="32" t="n">
        <v>1929</v>
      </c>
      <c r="B1936" s="33" t="n">
        <v>18051</v>
      </c>
      <c r="C1936" s="34" t="s">
        <v>3943</v>
      </c>
      <c r="D1936" s="34" t="s">
        <v>3944</v>
      </c>
      <c r="E1936" s="34" t="s">
        <v>130</v>
      </c>
      <c r="F1936" s="32" t="n">
        <f aca="false">COUNTIF(Base!$D$2:$D$2878,B1936)</f>
        <v>1</v>
      </c>
      <c r="G1936" s="35" t="n">
        <f aca="false">SUMIF(Base!$D$2:$D$2878,B1936,Base!$I$2:$I$2878)</f>
        <v>198</v>
      </c>
      <c r="H1936" s="36" t="n">
        <f aca="false">IF($G$2849=0,0,G1936/$G$2849)</f>
        <v>1.29932008123453E-005</v>
      </c>
      <c r="I1936" s="37" t="n">
        <f aca="false">I1935+H1936</f>
        <v>0.995218407381936</v>
      </c>
      <c r="J1936" s="37" t="n">
        <f aca="false">A1936/2840</f>
        <v>0.679225352112676</v>
      </c>
      <c r="K1936" s="32" t="str">
        <f aca="false">IF(I1936&lt;=$E$4,"A",IF(I1936&lt;=$E$5,"B","C"))</f>
        <v>C</v>
      </c>
    </row>
    <row r="1937" customFormat="false" ht="15" hidden="false" customHeight="false" outlineLevel="0" collapsed="false">
      <c r="A1937" s="32" t="n">
        <v>1930</v>
      </c>
      <c r="B1937" s="33" t="n">
        <v>34551</v>
      </c>
      <c r="C1937" s="34" t="s">
        <v>3945</v>
      </c>
      <c r="D1937" s="34" t="s">
        <v>3946</v>
      </c>
      <c r="E1937" s="34" t="s">
        <v>75</v>
      </c>
      <c r="F1937" s="32" t="n">
        <f aca="false">COUNTIF(Base!$D$2:$D$2878,B1937)</f>
        <v>1</v>
      </c>
      <c r="G1937" s="35" t="n">
        <f aca="false">SUMIF(Base!$D$2:$D$2878,B1937,Base!$I$2:$I$2878)</f>
        <v>198</v>
      </c>
      <c r="H1937" s="36" t="n">
        <f aca="false">IF($G$2849=0,0,G1937/$G$2849)</f>
        <v>1.29932008123453E-005</v>
      </c>
      <c r="I1937" s="37" t="n">
        <f aca="false">I1936+H1937</f>
        <v>0.995231400582748</v>
      </c>
      <c r="J1937" s="37" t="n">
        <f aca="false">A1937/2840</f>
        <v>0.679577464788732</v>
      </c>
      <c r="K1937" s="32" t="str">
        <f aca="false">IF(I1937&lt;=$E$4,"A",IF(I1937&lt;=$E$5,"B","C"))</f>
        <v>C</v>
      </c>
    </row>
    <row r="1938" customFormat="false" ht="15" hidden="false" customHeight="false" outlineLevel="0" collapsed="false">
      <c r="A1938" s="32" t="n">
        <v>1931</v>
      </c>
      <c r="B1938" s="33" t="n">
        <v>58449</v>
      </c>
      <c r="C1938" s="34" t="s">
        <v>3947</v>
      </c>
      <c r="D1938" s="34" t="s">
        <v>3948</v>
      </c>
      <c r="E1938" s="34" t="s">
        <v>130</v>
      </c>
      <c r="F1938" s="32" t="n">
        <f aca="false">COUNTIF(Base!$D$2:$D$2878,B1938)</f>
        <v>1</v>
      </c>
      <c r="G1938" s="35" t="n">
        <f aca="false">SUMIF(Base!$D$2:$D$2878,B1938,Base!$I$2:$I$2878)</f>
        <v>198</v>
      </c>
      <c r="H1938" s="36" t="n">
        <f aca="false">IF($G$2849=0,0,G1938/$G$2849)</f>
        <v>1.29932008123453E-005</v>
      </c>
      <c r="I1938" s="37" t="n">
        <f aca="false">I1937+H1938</f>
        <v>0.99524439378356</v>
      </c>
      <c r="J1938" s="37" t="n">
        <f aca="false">A1938/2840</f>
        <v>0.679929577464789</v>
      </c>
      <c r="K1938" s="32" t="str">
        <f aca="false">IF(I1938&lt;=$E$4,"A",IF(I1938&lt;=$E$5,"B","C"))</f>
        <v>C</v>
      </c>
    </row>
    <row r="1939" customFormat="false" ht="15" hidden="false" customHeight="false" outlineLevel="0" collapsed="false">
      <c r="A1939" s="32" t="n">
        <v>1932</v>
      </c>
      <c r="B1939" s="33" t="n">
        <v>35255</v>
      </c>
      <c r="C1939" s="34" t="s">
        <v>3949</v>
      </c>
      <c r="D1939" s="34" t="s">
        <v>3950</v>
      </c>
      <c r="E1939" s="34" t="s">
        <v>100</v>
      </c>
      <c r="F1939" s="32" t="n">
        <f aca="false">COUNTIF(Base!$D$2:$D$2878,B1939)</f>
        <v>1</v>
      </c>
      <c r="G1939" s="35" t="n">
        <f aca="false">SUMIF(Base!$D$2:$D$2878,B1939,Base!$I$2:$I$2878)</f>
        <v>197.88</v>
      </c>
      <c r="H1939" s="36" t="n">
        <f aca="false">IF($G$2849=0,0,G1939/$G$2849)</f>
        <v>1.29853261451863E-005</v>
      </c>
      <c r="I1939" s="37" t="n">
        <f aca="false">I1938+H1939</f>
        <v>0.995257379109705</v>
      </c>
      <c r="J1939" s="37" t="n">
        <f aca="false">A1939/2840</f>
        <v>0.680281690140845</v>
      </c>
      <c r="K1939" s="32" t="str">
        <f aca="false">IF(I1939&lt;=$E$4,"A",IF(I1939&lt;=$E$5,"B","C"))</f>
        <v>C</v>
      </c>
    </row>
    <row r="1940" customFormat="false" ht="15" hidden="false" customHeight="false" outlineLevel="0" collapsed="false">
      <c r="A1940" s="32" t="n">
        <v>1933</v>
      </c>
      <c r="B1940" s="33" t="n">
        <v>1475442</v>
      </c>
      <c r="C1940" s="34" t="s">
        <v>3951</v>
      </c>
      <c r="D1940" s="34" t="s">
        <v>3952</v>
      </c>
      <c r="E1940" s="34" t="s">
        <v>38</v>
      </c>
      <c r="F1940" s="32" t="n">
        <f aca="false">COUNTIF(Base!$D$2:$D$2878,B1940)</f>
        <v>1</v>
      </c>
      <c r="G1940" s="35" t="n">
        <f aca="false">SUMIF(Base!$D$2:$D$2878,B1940,Base!$I$2:$I$2878)</f>
        <v>197.76</v>
      </c>
      <c r="H1940" s="36" t="n">
        <f aca="false">IF($G$2849=0,0,G1940/$G$2849)</f>
        <v>1.29774514780273E-005</v>
      </c>
      <c r="I1940" s="37" t="n">
        <f aca="false">I1939+H1940</f>
        <v>0.995270356561183</v>
      </c>
      <c r="J1940" s="37" t="n">
        <f aca="false">A1940/2840</f>
        <v>0.680633802816901</v>
      </c>
      <c r="K1940" s="32" t="str">
        <f aca="false">IF(I1940&lt;=$E$4,"A",IF(I1940&lt;=$E$5,"B","C"))</f>
        <v>C</v>
      </c>
    </row>
    <row r="1941" customFormat="false" ht="15" hidden="false" customHeight="false" outlineLevel="0" collapsed="false">
      <c r="A1941" s="32" t="n">
        <v>1934</v>
      </c>
      <c r="B1941" s="33" t="n">
        <v>1249040</v>
      </c>
      <c r="C1941" s="34" t="s">
        <v>3953</v>
      </c>
      <c r="D1941" s="34" t="s">
        <v>3954</v>
      </c>
      <c r="E1941" s="34" t="s">
        <v>204</v>
      </c>
      <c r="F1941" s="32" t="n">
        <f aca="false">COUNTIF(Base!$D$2:$D$2878,B1941)</f>
        <v>1</v>
      </c>
      <c r="G1941" s="35" t="n">
        <f aca="false">SUMIF(Base!$D$2:$D$2878,B1941,Base!$I$2:$I$2878)</f>
        <v>197.26</v>
      </c>
      <c r="H1941" s="36" t="n">
        <f aca="false">IF($G$2849=0,0,G1941/$G$2849)</f>
        <v>1.29446403648648E-005</v>
      </c>
      <c r="I1941" s="37" t="n">
        <f aca="false">I1940+H1941</f>
        <v>0.995283301201548</v>
      </c>
      <c r="J1941" s="37" t="n">
        <f aca="false">A1941/2840</f>
        <v>0.680985915492958</v>
      </c>
      <c r="K1941" s="32" t="str">
        <f aca="false">IF(I1941&lt;=$E$4,"A",IF(I1941&lt;=$E$5,"B","C"))</f>
        <v>C</v>
      </c>
    </row>
    <row r="1942" customFormat="false" ht="15" hidden="false" customHeight="false" outlineLevel="0" collapsed="false">
      <c r="A1942" s="32" t="n">
        <v>1935</v>
      </c>
      <c r="B1942" s="33" t="n">
        <v>477757</v>
      </c>
      <c r="C1942" s="34" t="s">
        <v>3955</v>
      </c>
      <c r="D1942" s="34" t="s">
        <v>3956</v>
      </c>
      <c r="E1942" s="34" t="s">
        <v>130</v>
      </c>
      <c r="F1942" s="32" t="n">
        <f aca="false">COUNTIF(Base!$D$2:$D$2878,B1942)</f>
        <v>1</v>
      </c>
      <c r="G1942" s="35" t="n">
        <f aca="false">SUMIF(Base!$D$2:$D$2878,B1942,Base!$I$2:$I$2878)</f>
        <v>197.2</v>
      </c>
      <c r="H1942" s="36" t="n">
        <f aca="false">IF($G$2849=0,0,G1942/$G$2849)</f>
        <v>1.29407030312853E-005</v>
      </c>
      <c r="I1942" s="37" t="n">
        <f aca="false">I1941+H1942</f>
        <v>0.995296241904579</v>
      </c>
      <c r="J1942" s="37" t="n">
        <f aca="false">A1942/2840</f>
        <v>0.681338028169014</v>
      </c>
      <c r="K1942" s="32" t="str">
        <f aca="false">IF(I1942&lt;=$E$4,"A",IF(I1942&lt;=$E$5,"B","C"))</f>
        <v>C</v>
      </c>
    </row>
    <row r="1943" customFormat="false" ht="15" hidden="false" customHeight="false" outlineLevel="0" collapsed="false">
      <c r="A1943" s="32" t="n">
        <v>1936</v>
      </c>
      <c r="B1943" s="33" t="n">
        <v>650876</v>
      </c>
      <c r="C1943" s="34" t="s">
        <v>3957</v>
      </c>
      <c r="D1943" s="34" t="s">
        <v>3958</v>
      </c>
      <c r="E1943" s="34" t="s">
        <v>100</v>
      </c>
      <c r="F1943" s="32" t="n">
        <f aca="false">COUNTIF(Base!$D$2:$D$2878,B1943)</f>
        <v>1</v>
      </c>
      <c r="G1943" s="35" t="n">
        <f aca="false">SUMIF(Base!$D$2:$D$2878,B1943,Base!$I$2:$I$2878)</f>
        <v>196.32</v>
      </c>
      <c r="H1943" s="36" t="n">
        <f aca="false">IF($G$2849=0,0,G1943/$G$2849)</f>
        <v>1.28829554721193E-005</v>
      </c>
      <c r="I1943" s="37" t="n">
        <f aca="false">I1942+H1943</f>
        <v>0.995309124860052</v>
      </c>
      <c r="J1943" s="37" t="n">
        <f aca="false">A1943/2840</f>
        <v>0.68169014084507</v>
      </c>
      <c r="K1943" s="32" t="str">
        <f aca="false">IF(I1943&lt;=$E$4,"A",IF(I1943&lt;=$E$5,"B","C"))</f>
        <v>C</v>
      </c>
    </row>
    <row r="1944" customFormat="false" ht="15" hidden="false" customHeight="false" outlineLevel="0" collapsed="false">
      <c r="A1944" s="32" t="n">
        <v>1937</v>
      </c>
      <c r="B1944" s="33" t="n">
        <v>60676</v>
      </c>
      <c r="C1944" s="34" t="s">
        <v>3959</v>
      </c>
      <c r="D1944" s="34" t="s">
        <v>3960</v>
      </c>
      <c r="E1944" s="34" t="s">
        <v>247</v>
      </c>
      <c r="F1944" s="32" t="n">
        <f aca="false">COUNTIF(Base!$D$2:$D$2878,B1944)</f>
        <v>1</v>
      </c>
      <c r="G1944" s="35" t="n">
        <f aca="false">SUMIF(Base!$D$2:$D$2878,B1944,Base!$I$2:$I$2878)</f>
        <v>196</v>
      </c>
      <c r="H1944" s="36" t="n">
        <f aca="false">IF($G$2849=0,0,G1944/$G$2849)</f>
        <v>1.28619563596953E-005</v>
      </c>
      <c r="I1944" s="37" t="n">
        <f aca="false">I1943+H1944</f>
        <v>0.995321986816411</v>
      </c>
      <c r="J1944" s="37" t="n">
        <f aca="false">A1944/2840</f>
        <v>0.682042253521127</v>
      </c>
      <c r="K1944" s="32" t="str">
        <f aca="false">IF(I1944&lt;=$E$4,"A",IF(I1944&lt;=$E$5,"B","C"))</f>
        <v>C</v>
      </c>
    </row>
    <row r="1945" customFormat="false" ht="15" hidden="false" customHeight="false" outlineLevel="0" collapsed="false">
      <c r="A1945" s="32" t="n">
        <v>1938</v>
      </c>
      <c r="B1945" s="33" t="n">
        <v>89195</v>
      </c>
      <c r="C1945" s="34" t="s">
        <v>3961</v>
      </c>
      <c r="D1945" s="34" t="s">
        <v>3962</v>
      </c>
      <c r="E1945" s="34" t="s">
        <v>722</v>
      </c>
      <c r="F1945" s="32" t="n">
        <f aca="false">COUNTIF(Base!$D$2:$D$2878,B1945)</f>
        <v>1</v>
      </c>
      <c r="G1945" s="35" t="n">
        <f aca="false">SUMIF(Base!$D$2:$D$2878,B1945,Base!$I$2:$I$2878)</f>
        <v>196</v>
      </c>
      <c r="H1945" s="36" t="n">
        <f aca="false">IF($G$2849=0,0,G1945/$G$2849)</f>
        <v>1.28619563596953E-005</v>
      </c>
      <c r="I1945" s="37" t="n">
        <f aca="false">I1944+H1945</f>
        <v>0.995334848772771</v>
      </c>
      <c r="J1945" s="37" t="n">
        <f aca="false">A1945/2840</f>
        <v>0.682394366197183</v>
      </c>
      <c r="K1945" s="32" t="str">
        <f aca="false">IF(I1945&lt;=$E$4,"A",IF(I1945&lt;=$E$5,"B","C"))</f>
        <v>C</v>
      </c>
    </row>
    <row r="1946" customFormat="false" ht="15" hidden="false" customHeight="false" outlineLevel="0" collapsed="false">
      <c r="A1946" s="32" t="n">
        <v>1939</v>
      </c>
      <c r="B1946" s="33" t="n">
        <v>292288</v>
      </c>
      <c r="C1946" s="34" t="s">
        <v>3963</v>
      </c>
      <c r="D1946" s="34" t="s">
        <v>3964</v>
      </c>
      <c r="E1946" s="34" t="s">
        <v>38</v>
      </c>
      <c r="F1946" s="32" t="n">
        <f aca="false">COUNTIF(Base!$D$2:$D$2878,B1946)</f>
        <v>1</v>
      </c>
      <c r="G1946" s="35" t="n">
        <f aca="false">SUMIF(Base!$D$2:$D$2878,B1946,Base!$I$2:$I$2878)</f>
        <v>196</v>
      </c>
      <c r="H1946" s="36" t="n">
        <f aca="false">IF($G$2849=0,0,G1946/$G$2849)</f>
        <v>1.28619563596953E-005</v>
      </c>
      <c r="I1946" s="37" t="n">
        <f aca="false">I1945+H1946</f>
        <v>0.995347710729131</v>
      </c>
      <c r="J1946" s="37" t="n">
        <f aca="false">A1946/2840</f>
        <v>0.68274647887324</v>
      </c>
      <c r="K1946" s="32" t="str">
        <f aca="false">IF(I1946&lt;=$E$4,"A",IF(I1946&lt;=$E$5,"B","C"))</f>
        <v>C</v>
      </c>
    </row>
    <row r="1947" customFormat="false" ht="15" hidden="false" customHeight="false" outlineLevel="0" collapsed="false">
      <c r="A1947" s="32" t="n">
        <v>1940</v>
      </c>
      <c r="B1947" s="33" t="n">
        <v>853176</v>
      </c>
      <c r="C1947" s="34" t="s">
        <v>3965</v>
      </c>
      <c r="D1947" s="34" t="s">
        <v>3966</v>
      </c>
      <c r="E1947" s="34" t="s">
        <v>38</v>
      </c>
      <c r="F1947" s="32" t="n">
        <f aca="false">COUNTIF(Base!$D$2:$D$2878,B1947)</f>
        <v>1</v>
      </c>
      <c r="G1947" s="35" t="n">
        <f aca="false">SUMIF(Base!$D$2:$D$2878,B1947,Base!$I$2:$I$2878)</f>
        <v>196</v>
      </c>
      <c r="H1947" s="36" t="n">
        <f aca="false">IF($G$2849=0,0,G1947/$G$2849)</f>
        <v>1.28619563596953E-005</v>
      </c>
      <c r="I1947" s="37" t="n">
        <f aca="false">I1946+H1947</f>
        <v>0.995360572685491</v>
      </c>
      <c r="J1947" s="37" t="n">
        <f aca="false">A1947/2840</f>
        <v>0.683098591549296</v>
      </c>
      <c r="K1947" s="32" t="str">
        <f aca="false">IF(I1947&lt;=$E$4,"A",IF(I1947&lt;=$E$5,"B","C"))</f>
        <v>C</v>
      </c>
    </row>
    <row r="1948" customFormat="false" ht="15" hidden="false" customHeight="false" outlineLevel="0" collapsed="false">
      <c r="A1948" s="32" t="n">
        <v>1941</v>
      </c>
      <c r="B1948" s="33" t="n">
        <v>1388691</v>
      </c>
      <c r="C1948" s="34" t="s">
        <v>3967</v>
      </c>
      <c r="D1948" s="34" t="s">
        <v>3968</v>
      </c>
      <c r="E1948" s="34" t="s">
        <v>130</v>
      </c>
      <c r="F1948" s="32" t="n">
        <f aca="false">COUNTIF(Base!$D$2:$D$2878,B1948)</f>
        <v>1</v>
      </c>
      <c r="G1948" s="35" t="n">
        <f aca="false">SUMIF(Base!$D$2:$D$2878,B1948,Base!$I$2:$I$2878)</f>
        <v>196</v>
      </c>
      <c r="H1948" s="36" t="n">
        <f aca="false">IF($G$2849=0,0,G1948/$G$2849)</f>
        <v>1.28619563596953E-005</v>
      </c>
      <c r="I1948" s="37" t="n">
        <f aca="false">I1947+H1948</f>
        <v>0.99537343464185</v>
      </c>
      <c r="J1948" s="37" t="n">
        <f aca="false">A1948/2840</f>
        <v>0.683450704225352</v>
      </c>
      <c r="K1948" s="32" t="str">
        <f aca="false">IF(I1948&lt;=$E$4,"A",IF(I1948&lt;=$E$5,"B","C"))</f>
        <v>C</v>
      </c>
    </row>
    <row r="1949" customFormat="false" ht="15" hidden="false" customHeight="false" outlineLevel="0" collapsed="false">
      <c r="A1949" s="32" t="n">
        <v>1942</v>
      </c>
      <c r="B1949" s="33" t="n">
        <v>1488427</v>
      </c>
      <c r="C1949" s="34" t="s">
        <v>3969</v>
      </c>
      <c r="D1949" s="34" t="s">
        <v>3970</v>
      </c>
      <c r="E1949" s="34" t="s">
        <v>247</v>
      </c>
      <c r="F1949" s="32" t="n">
        <f aca="false">COUNTIF(Base!$D$2:$D$2878,B1949)</f>
        <v>1</v>
      </c>
      <c r="G1949" s="35" t="n">
        <f aca="false">SUMIF(Base!$D$2:$D$2878,B1949,Base!$I$2:$I$2878)</f>
        <v>196</v>
      </c>
      <c r="H1949" s="36" t="n">
        <f aca="false">IF($G$2849=0,0,G1949/$G$2849)</f>
        <v>1.28619563596953E-005</v>
      </c>
      <c r="I1949" s="37" t="n">
        <f aca="false">I1948+H1949</f>
        <v>0.99538629659821</v>
      </c>
      <c r="J1949" s="37" t="n">
        <f aca="false">A1949/2840</f>
        <v>0.683802816901408</v>
      </c>
      <c r="K1949" s="32" t="str">
        <f aca="false">IF(I1949&lt;=$E$4,"A",IF(I1949&lt;=$E$5,"B","C"))</f>
        <v>C</v>
      </c>
    </row>
    <row r="1950" customFormat="false" ht="15" hidden="false" customHeight="false" outlineLevel="0" collapsed="false">
      <c r="A1950" s="32" t="n">
        <v>1943</v>
      </c>
      <c r="B1950" s="33" t="n">
        <v>1464477</v>
      </c>
      <c r="C1950" s="34" t="s">
        <v>3971</v>
      </c>
      <c r="D1950" s="34" t="s">
        <v>3972</v>
      </c>
      <c r="E1950" s="34" t="s">
        <v>230</v>
      </c>
      <c r="F1950" s="32" t="n">
        <f aca="false">COUNTIF(Base!$D$2:$D$2878,B1950)</f>
        <v>1</v>
      </c>
      <c r="G1950" s="35" t="n">
        <f aca="false">SUMIF(Base!$D$2:$D$2878,B1950,Base!$I$2:$I$2878)</f>
        <v>195.5</v>
      </c>
      <c r="H1950" s="36" t="n">
        <f aca="false">IF($G$2849=0,0,G1950/$G$2849)</f>
        <v>1.28291452465328E-005</v>
      </c>
      <c r="I1950" s="37" t="n">
        <f aca="false">I1949+H1950</f>
        <v>0.995399125743457</v>
      </c>
      <c r="J1950" s="37" t="n">
        <f aca="false">A1950/2840</f>
        <v>0.684154929577465</v>
      </c>
      <c r="K1950" s="32" t="str">
        <f aca="false">IF(I1950&lt;=$E$4,"A",IF(I1950&lt;=$E$5,"B","C"))</f>
        <v>C</v>
      </c>
    </row>
    <row r="1951" customFormat="false" ht="15" hidden="false" customHeight="false" outlineLevel="0" collapsed="false">
      <c r="A1951" s="32" t="n">
        <v>1944</v>
      </c>
      <c r="B1951" s="33" t="n">
        <v>844081</v>
      </c>
      <c r="C1951" s="34" t="s">
        <v>3973</v>
      </c>
      <c r="D1951" s="34" t="s">
        <v>3974</v>
      </c>
      <c r="E1951" s="34" t="s">
        <v>38</v>
      </c>
      <c r="F1951" s="32" t="n">
        <f aca="false">COUNTIF(Base!$D$2:$D$2878,B1951)</f>
        <v>1</v>
      </c>
      <c r="G1951" s="35" t="n">
        <f aca="false">SUMIF(Base!$D$2:$D$2878,B1951,Base!$I$2:$I$2878)</f>
        <v>194.5</v>
      </c>
      <c r="H1951" s="36" t="n">
        <f aca="false">IF($G$2849=0,0,G1951/$G$2849)</f>
        <v>1.27635230202078E-005</v>
      </c>
      <c r="I1951" s="37" t="n">
        <f aca="false">I1950+H1951</f>
        <v>0.995411889266477</v>
      </c>
      <c r="J1951" s="37" t="n">
        <f aca="false">A1951/2840</f>
        <v>0.684507042253521</v>
      </c>
      <c r="K1951" s="32" t="str">
        <f aca="false">IF(I1951&lt;=$E$4,"A",IF(I1951&lt;=$E$5,"B","C"))</f>
        <v>C</v>
      </c>
    </row>
    <row r="1952" customFormat="false" ht="15" hidden="false" customHeight="false" outlineLevel="0" collapsed="false">
      <c r="A1952" s="32" t="n">
        <v>1945</v>
      </c>
      <c r="B1952" s="33" t="n">
        <v>34600</v>
      </c>
      <c r="C1952" s="34" t="s">
        <v>3975</v>
      </c>
      <c r="D1952" s="34" t="s">
        <v>3976</v>
      </c>
      <c r="E1952" s="34" t="s">
        <v>38</v>
      </c>
      <c r="F1952" s="32" t="n">
        <f aca="false">COUNTIF(Base!$D$2:$D$2878,B1952)</f>
        <v>1</v>
      </c>
      <c r="G1952" s="35" t="n">
        <f aca="false">SUMIF(Base!$D$2:$D$2878,B1952,Base!$I$2:$I$2878)</f>
        <v>194.4</v>
      </c>
      <c r="H1952" s="36" t="n">
        <f aca="false">IF($G$2849=0,0,G1952/$G$2849)</f>
        <v>1.27569607975753E-005</v>
      </c>
      <c r="I1952" s="37" t="n">
        <f aca="false">I1951+H1952</f>
        <v>0.995424646227274</v>
      </c>
      <c r="J1952" s="37" t="n">
        <f aca="false">A1952/2840</f>
        <v>0.684859154929578</v>
      </c>
      <c r="K1952" s="32" t="str">
        <f aca="false">IF(I1952&lt;=$E$4,"A",IF(I1952&lt;=$E$5,"B","C"))</f>
        <v>C</v>
      </c>
    </row>
    <row r="1953" customFormat="false" ht="15" hidden="false" customHeight="false" outlineLevel="0" collapsed="false">
      <c r="A1953" s="32" t="n">
        <v>1946</v>
      </c>
      <c r="B1953" s="33" t="n">
        <v>1461933</v>
      </c>
      <c r="C1953" s="34" t="s">
        <v>3977</v>
      </c>
      <c r="D1953" s="34" t="s">
        <v>3978</v>
      </c>
      <c r="E1953" s="34" t="s">
        <v>100</v>
      </c>
      <c r="F1953" s="32" t="n">
        <f aca="false">COUNTIF(Base!$D$2:$D$2878,B1953)</f>
        <v>1</v>
      </c>
      <c r="G1953" s="35" t="n">
        <f aca="false">SUMIF(Base!$D$2:$D$2878,B1953,Base!$I$2:$I$2878)</f>
        <v>194.36</v>
      </c>
      <c r="H1953" s="36" t="n">
        <f aca="false">IF($G$2849=0,0,G1953/$G$2849)</f>
        <v>1.27543359085223E-005</v>
      </c>
      <c r="I1953" s="37" t="n">
        <f aca="false">I1952+H1953</f>
        <v>0.995437400563183</v>
      </c>
      <c r="J1953" s="37" t="n">
        <f aca="false">A1953/2840</f>
        <v>0.685211267605634</v>
      </c>
      <c r="K1953" s="32" t="str">
        <f aca="false">IF(I1953&lt;=$E$4,"A",IF(I1953&lt;=$E$5,"B","C"))</f>
        <v>C</v>
      </c>
    </row>
    <row r="1954" customFormat="false" ht="15" hidden="false" customHeight="false" outlineLevel="0" collapsed="false">
      <c r="A1954" s="32" t="n">
        <v>1947</v>
      </c>
      <c r="B1954" s="33" t="n">
        <v>20992</v>
      </c>
      <c r="C1954" s="34" t="s">
        <v>3979</v>
      </c>
      <c r="D1954" s="34" t="s">
        <v>3980</v>
      </c>
      <c r="E1954" s="34" t="s">
        <v>54</v>
      </c>
      <c r="F1954" s="32" t="n">
        <f aca="false">COUNTIF(Base!$D$2:$D$2878,B1954)</f>
        <v>1</v>
      </c>
      <c r="G1954" s="35" t="n">
        <f aca="false">SUMIF(Base!$D$2:$D$2878,B1954,Base!$I$2:$I$2878)</f>
        <v>194</v>
      </c>
      <c r="H1954" s="36" t="n">
        <f aca="false">IF($G$2849=0,0,G1954/$G$2849)</f>
        <v>1.27307119070453E-005</v>
      </c>
      <c r="I1954" s="37" t="n">
        <f aca="false">I1953+H1954</f>
        <v>0.99545013127509</v>
      </c>
      <c r="J1954" s="37" t="n">
        <f aca="false">A1954/2840</f>
        <v>0.68556338028169</v>
      </c>
      <c r="K1954" s="32" t="str">
        <f aca="false">IF(I1954&lt;=$E$4,"A",IF(I1954&lt;=$E$5,"B","C"))</f>
        <v>C</v>
      </c>
    </row>
    <row r="1955" customFormat="false" ht="15" hidden="false" customHeight="false" outlineLevel="0" collapsed="false">
      <c r="A1955" s="32" t="n">
        <v>1948</v>
      </c>
      <c r="B1955" s="33" t="n">
        <v>840001</v>
      </c>
      <c r="C1955" s="34" t="s">
        <v>3981</v>
      </c>
      <c r="D1955" s="34" t="s">
        <v>3982</v>
      </c>
      <c r="E1955" s="34" t="s">
        <v>54</v>
      </c>
      <c r="F1955" s="32" t="n">
        <f aca="false">COUNTIF(Base!$D$2:$D$2878,B1955)</f>
        <v>1</v>
      </c>
      <c r="G1955" s="35" t="n">
        <f aca="false">SUMIF(Base!$D$2:$D$2878,B1955,Base!$I$2:$I$2878)</f>
        <v>193.08</v>
      </c>
      <c r="H1955" s="36" t="n">
        <f aca="false">IF($G$2849=0,0,G1955/$G$2849)</f>
        <v>1.26703394588264E-005</v>
      </c>
      <c r="I1955" s="37" t="n">
        <f aca="false">I1954+H1955</f>
        <v>0.995462801614549</v>
      </c>
      <c r="J1955" s="37" t="n">
        <f aca="false">A1955/2840</f>
        <v>0.685915492957747</v>
      </c>
      <c r="K1955" s="32" t="str">
        <f aca="false">IF(I1955&lt;=$E$4,"A",IF(I1955&lt;=$E$5,"B","C"))</f>
        <v>C</v>
      </c>
    </row>
    <row r="1956" customFormat="false" ht="15" hidden="false" customHeight="false" outlineLevel="0" collapsed="false">
      <c r="A1956" s="32" t="n">
        <v>1949</v>
      </c>
      <c r="B1956" s="33" t="n">
        <v>16690</v>
      </c>
      <c r="C1956" s="34" t="s">
        <v>3983</v>
      </c>
      <c r="D1956" s="34" t="s">
        <v>3984</v>
      </c>
      <c r="E1956" s="34" t="s">
        <v>100</v>
      </c>
      <c r="F1956" s="32" t="n">
        <f aca="false">COUNTIF(Base!$D$2:$D$2878,B1956)</f>
        <v>1</v>
      </c>
      <c r="G1956" s="35" t="n">
        <f aca="false">SUMIF(Base!$D$2:$D$2878,B1956,Base!$I$2:$I$2878)</f>
        <v>192</v>
      </c>
      <c r="H1956" s="36" t="n">
        <f aca="false">IF($G$2849=0,0,G1956/$G$2849)</f>
        <v>1.25994674543954E-005</v>
      </c>
      <c r="I1956" s="37" t="n">
        <f aca="false">I1955+H1956</f>
        <v>0.995475401082003</v>
      </c>
      <c r="J1956" s="37" t="n">
        <f aca="false">A1956/2840</f>
        <v>0.686267605633803</v>
      </c>
      <c r="K1956" s="32" t="str">
        <f aca="false">IF(I1956&lt;=$E$4,"A",IF(I1956&lt;=$E$5,"B","C"))</f>
        <v>C</v>
      </c>
    </row>
    <row r="1957" customFormat="false" ht="15" hidden="false" customHeight="false" outlineLevel="0" collapsed="false">
      <c r="A1957" s="32" t="n">
        <v>1950</v>
      </c>
      <c r="B1957" s="33" t="n">
        <v>16715</v>
      </c>
      <c r="C1957" s="34" t="s">
        <v>3985</v>
      </c>
      <c r="D1957" s="34" t="s">
        <v>3986</v>
      </c>
      <c r="E1957" s="34" t="s">
        <v>100</v>
      </c>
      <c r="F1957" s="32" t="n">
        <f aca="false">COUNTIF(Base!$D$2:$D$2878,B1957)</f>
        <v>1</v>
      </c>
      <c r="G1957" s="35" t="n">
        <f aca="false">SUMIF(Base!$D$2:$D$2878,B1957,Base!$I$2:$I$2878)</f>
        <v>192</v>
      </c>
      <c r="H1957" s="36" t="n">
        <f aca="false">IF($G$2849=0,0,G1957/$G$2849)</f>
        <v>1.25994674543954E-005</v>
      </c>
      <c r="I1957" s="37" t="n">
        <f aca="false">I1956+H1957</f>
        <v>0.995488000549457</v>
      </c>
      <c r="J1957" s="37" t="n">
        <f aca="false">A1957/2840</f>
        <v>0.686619718309859</v>
      </c>
      <c r="K1957" s="32" t="str">
        <f aca="false">IF(I1957&lt;=$E$4,"A",IF(I1957&lt;=$E$5,"B","C"))</f>
        <v>C</v>
      </c>
    </row>
    <row r="1958" customFormat="false" ht="15" hidden="false" customHeight="false" outlineLevel="0" collapsed="false">
      <c r="A1958" s="32" t="n">
        <v>1951</v>
      </c>
      <c r="B1958" s="33" t="n">
        <v>21363</v>
      </c>
      <c r="C1958" s="34" t="s">
        <v>3987</v>
      </c>
      <c r="D1958" s="34" t="s">
        <v>3988</v>
      </c>
      <c r="E1958" s="34" t="s">
        <v>130</v>
      </c>
      <c r="F1958" s="32" t="n">
        <f aca="false">COUNTIF(Base!$D$2:$D$2878,B1958)</f>
        <v>1</v>
      </c>
      <c r="G1958" s="35" t="n">
        <f aca="false">SUMIF(Base!$D$2:$D$2878,B1958,Base!$I$2:$I$2878)</f>
        <v>192</v>
      </c>
      <c r="H1958" s="36" t="n">
        <f aca="false">IF($G$2849=0,0,G1958/$G$2849)</f>
        <v>1.25994674543954E-005</v>
      </c>
      <c r="I1958" s="37" t="n">
        <f aca="false">I1957+H1958</f>
        <v>0.995500600016912</v>
      </c>
      <c r="J1958" s="37" t="n">
        <f aca="false">A1958/2840</f>
        <v>0.686971830985916</v>
      </c>
      <c r="K1958" s="32" t="str">
        <f aca="false">IF(I1958&lt;=$E$4,"A",IF(I1958&lt;=$E$5,"B","C"))</f>
        <v>C</v>
      </c>
    </row>
    <row r="1959" customFormat="false" ht="15" hidden="false" customHeight="false" outlineLevel="0" collapsed="false">
      <c r="A1959" s="32" t="n">
        <v>1952</v>
      </c>
      <c r="B1959" s="33" t="n">
        <v>477769</v>
      </c>
      <c r="C1959" s="34" t="s">
        <v>3989</v>
      </c>
      <c r="D1959" s="34" t="s">
        <v>3990</v>
      </c>
      <c r="E1959" s="34" t="s">
        <v>130</v>
      </c>
      <c r="F1959" s="32" t="n">
        <f aca="false">COUNTIF(Base!$D$2:$D$2878,B1959)</f>
        <v>1</v>
      </c>
      <c r="G1959" s="35" t="n">
        <f aca="false">SUMIF(Base!$D$2:$D$2878,B1959,Base!$I$2:$I$2878)</f>
        <v>192</v>
      </c>
      <c r="H1959" s="36" t="n">
        <f aca="false">IF($G$2849=0,0,G1959/$G$2849)</f>
        <v>1.25994674543954E-005</v>
      </c>
      <c r="I1959" s="37" t="n">
        <f aca="false">I1958+H1959</f>
        <v>0.995513199484366</v>
      </c>
      <c r="J1959" s="37" t="n">
        <f aca="false">A1959/2840</f>
        <v>0.687323943661972</v>
      </c>
      <c r="K1959" s="32" t="str">
        <f aca="false">IF(I1959&lt;=$E$4,"A",IF(I1959&lt;=$E$5,"B","C"))</f>
        <v>C</v>
      </c>
    </row>
    <row r="1960" customFormat="false" ht="15" hidden="false" customHeight="false" outlineLevel="0" collapsed="false">
      <c r="A1960" s="32" t="n">
        <v>1953</v>
      </c>
      <c r="B1960" s="33" t="n">
        <v>872302</v>
      </c>
      <c r="C1960" s="34" t="s">
        <v>3991</v>
      </c>
      <c r="D1960" s="34" t="s">
        <v>3992</v>
      </c>
      <c r="E1960" s="34" t="s">
        <v>38</v>
      </c>
      <c r="F1960" s="32" t="n">
        <f aca="false">COUNTIF(Base!$D$2:$D$2878,B1960)</f>
        <v>1</v>
      </c>
      <c r="G1960" s="35" t="n">
        <f aca="false">SUMIF(Base!$D$2:$D$2878,B1960,Base!$I$2:$I$2878)</f>
        <v>191.54</v>
      </c>
      <c r="H1960" s="36" t="n">
        <f aca="false">IF($G$2849=0,0,G1960/$G$2849)</f>
        <v>1.25692812302859E-005</v>
      </c>
      <c r="I1960" s="37" t="n">
        <f aca="false">I1959+H1960</f>
        <v>0.995525768765596</v>
      </c>
      <c r="J1960" s="37" t="n">
        <f aca="false">A1960/2840</f>
        <v>0.687676056338028</v>
      </c>
      <c r="K1960" s="32" t="str">
        <f aca="false">IF(I1960&lt;=$E$4,"A",IF(I1960&lt;=$E$5,"B","C"))</f>
        <v>C</v>
      </c>
    </row>
    <row r="1961" customFormat="false" ht="15" hidden="false" customHeight="false" outlineLevel="0" collapsed="false">
      <c r="A1961" s="32" t="n">
        <v>1954</v>
      </c>
      <c r="B1961" s="33" t="n">
        <v>1465405</v>
      </c>
      <c r="C1961" s="34" t="s">
        <v>3993</v>
      </c>
      <c r="D1961" s="34" t="s">
        <v>3994</v>
      </c>
      <c r="E1961" s="34" t="s">
        <v>38</v>
      </c>
      <c r="F1961" s="32" t="n">
        <f aca="false">COUNTIF(Base!$D$2:$D$2878,B1961)</f>
        <v>1</v>
      </c>
      <c r="G1961" s="35" t="n">
        <f aca="false">SUMIF(Base!$D$2:$D$2878,B1961,Base!$I$2:$I$2878)</f>
        <v>190.4</v>
      </c>
      <c r="H1961" s="36" t="n">
        <f aca="false">IF($G$2849=0,0,G1961/$G$2849)</f>
        <v>1.24944718922754E-005</v>
      </c>
      <c r="I1961" s="37" t="n">
        <f aca="false">I1960+H1961</f>
        <v>0.995538263237489</v>
      </c>
      <c r="J1961" s="37" t="n">
        <f aca="false">A1961/2840</f>
        <v>0.688028169014085</v>
      </c>
      <c r="K1961" s="32" t="str">
        <f aca="false">IF(I1961&lt;=$E$4,"A",IF(I1961&lt;=$E$5,"B","C"))</f>
        <v>C</v>
      </c>
    </row>
    <row r="1962" customFormat="false" ht="15" hidden="false" customHeight="false" outlineLevel="0" collapsed="false">
      <c r="A1962" s="32" t="n">
        <v>1955</v>
      </c>
      <c r="B1962" s="33" t="n">
        <v>1471980</v>
      </c>
      <c r="C1962" s="34" t="s">
        <v>3995</v>
      </c>
      <c r="D1962" s="34" t="s">
        <v>3996</v>
      </c>
      <c r="E1962" s="34" t="s">
        <v>100</v>
      </c>
      <c r="F1962" s="32" t="n">
        <f aca="false">COUNTIF(Base!$D$2:$D$2878,B1962)</f>
        <v>1</v>
      </c>
      <c r="G1962" s="35" t="n">
        <f aca="false">SUMIF(Base!$D$2:$D$2878,B1962,Base!$I$2:$I$2878)</f>
        <v>190.4</v>
      </c>
      <c r="H1962" s="36" t="n">
        <f aca="false">IF($G$2849=0,0,G1962/$G$2849)</f>
        <v>1.24944718922754E-005</v>
      </c>
      <c r="I1962" s="37" t="n">
        <f aca="false">I1961+H1962</f>
        <v>0.995550757709381</v>
      </c>
      <c r="J1962" s="37" t="n">
        <f aca="false">A1962/2840</f>
        <v>0.688380281690141</v>
      </c>
      <c r="K1962" s="32" t="str">
        <f aca="false">IF(I1962&lt;=$E$4,"A",IF(I1962&lt;=$E$5,"B","C"))</f>
        <v>C</v>
      </c>
    </row>
    <row r="1963" customFormat="false" ht="15" hidden="false" customHeight="false" outlineLevel="0" collapsed="false">
      <c r="A1963" s="32" t="n">
        <v>1956</v>
      </c>
      <c r="B1963" s="33" t="n">
        <v>19087</v>
      </c>
      <c r="C1963" s="34" t="s">
        <v>3997</v>
      </c>
      <c r="D1963" s="34" t="s">
        <v>3998</v>
      </c>
      <c r="E1963" s="34" t="s">
        <v>113</v>
      </c>
      <c r="F1963" s="32" t="n">
        <f aca="false">COUNTIF(Base!$D$2:$D$2878,B1963)</f>
        <v>1</v>
      </c>
      <c r="G1963" s="35" t="n">
        <f aca="false">SUMIF(Base!$D$2:$D$2878,B1963,Base!$I$2:$I$2878)</f>
        <v>190</v>
      </c>
      <c r="H1963" s="36" t="n">
        <f aca="false">IF($G$2849=0,0,G1963/$G$2849)</f>
        <v>1.24682230017454E-005</v>
      </c>
      <c r="I1963" s="37" t="n">
        <f aca="false">I1962+H1963</f>
        <v>0.995563225932383</v>
      </c>
      <c r="J1963" s="37" t="n">
        <f aca="false">A1963/2840</f>
        <v>0.688732394366197</v>
      </c>
      <c r="K1963" s="32" t="str">
        <f aca="false">IF(I1963&lt;=$E$4,"A",IF(I1963&lt;=$E$5,"B","C"))</f>
        <v>C</v>
      </c>
    </row>
    <row r="1964" customFormat="false" ht="15" hidden="false" customHeight="false" outlineLevel="0" collapsed="false">
      <c r="A1964" s="32" t="n">
        <v>1957</v>
      </c>
      <c r="B1964" s="33" t="n">
        <v>21922</v>
      </c>
      <c r="C1964" s="34" t="s">
        <v>3999</v>
      </c>
      <c r="D1964" s="34" t="s">
        <v>4000</v>
      </c>
      <c r="E1964" s="34" t="s">
        <v>334</v>
      </c>
      <c r="F1964" s="32" t="n">
        <f aca="false">COUNTIF(Base!$D$2:$D$2878,B1964)</f>
        <v>1</v>
      </c>
      <c r="G1964" s="35" t="n">
        <f aca="false">SUMIF(Base!$D$2:$D$2878,B1964,Base!$I$2:$I$2878)</f>
        <v>190</v>
      </c>
      <c r="H1964" s="36" t="n">
        <f aca="false">IF($G$2849=0,0,G1964/$G$2849)</f>
        <v>1.24682230017454E-005</v>
      </c>
      <c r="I1964" s="37" t="n">
        <f aca="false">I1963+H1964</f>
        <v>0.995575694155384</v>
      </c>
      <c r="J1964" s="37" t="n">
        <f aca="false">A1964/2840</f>
        <v>0.689084507042254</v>
      </c>
      <c r="K1964" s="32" t="str">
        <f aca="false">IF(I1964&lt;=$E$4,"A",IF(I1964&lt;=$E$5,"B","C"))</f>
        <v>C</v>
      </c>
    </row>
    <row r="1965" customFormat="false" ht="15" hidden="false" customHeight="false" outlineLevel="0" collapsed="false">
      <c r="A1965" s="32" t="n">
        <v>1958</v>
      </c>
      <c r="B1965" s="33" t="n">
        <v>555468</v>
      </c>
      <c r="C1965" s="34" t="s">
        <v>4001</v>
      </c>
      <c r="D1965" s="34" t="s">
        <v>4002</v>
      </c>
      <c r="E1965" s="34" t="s">
        <v>334</v>
      </c>
      <c r="F1965" s="32" t="n">
        <f aca="false">COUNTIF(Base!$D$2:$D$2878,B1965)</f>
        <v>1</v>
      </c>
      <c r="G1965" s="35" t="n">
        <f aca="false">SUMIF(Base!$D$2:$D$2878,B1965,Base!$I$2:$I$2878)</f>
        <v>190</v>
      </c>
      <c r="H1965" s="36" t="n">
        <f aca="false">IF($G$2849=0,0,G1965/$G$2849)</f>
        <v>1.24682230017454E-005</v>
      </c>
      <c r="I1965" s="37" t="n">
        <f aca="false">I1964+H1965</f>
        <v>0.995588162378386</v>
      </c>
      <c r="J1965" s="37" t="n">
        <f aca="false">A1965/2840</f>
        <v>0.68943661971831</v>
      </c>
      <c r="K1965" s="32" t="str">
        <f aca="false">IF(I1965&lt;=$E$4,"A",IF(I1965&lt;=$E$5,"B","C"))</f>
        <v>C</v>
      </c>
    </row>
    <row r="1966" customFormat="false" ht="15" hidden="false" customHeight="false" outlineLevel="0" collapsed="false">
      <c r="A1966" s="32" t="n">
        <v>1959</v>
      </c>
      <c r="B1966" s="33" t="n">
        <v>555674</v>
      </c>
      <c r="C1966" s="34" t="s">
        <v>4003</v>
      </c>
      <c r="D1966" s="34" t="s">
        <v>4004</v>
      </c>
      <c r="E1966" s="34" t="s">
        <v>1618</v>
      </c>
      <c r="F1966" s="32" t="n">
        <f aca="false">COUNTIF(Base!$D$2:$D$2878,B1966)</f>
        <v>1</v>
      </c>
      <c r="G1966" s="35" t="n">
        <f aca="false">SUMIF(Base!$D$2:$D$2878,B1966,Base!$I$2:$I$2878)</f>
        <v>190</v>
      </c>
      <c r="H1966" s="36" t="n">
        <f aca="false">IF($G$2849=0,0,G1966/$G$2849)</f>
        <v>1.24682230017454E-005</v>
      </c>
      <c r="I1966" s="37" t="n">
        <f aca="false">I1965+H1966</f>
        <v>0.995600630601388</v>
      </c>
      <c r="J1966" s="37" t="n">
        <f aca="false">A1966/2840</f>
        <v>0.689788732394366</v>
      </c>
      <c r="K1966" s="32" t="str">
        <f aca="false">IF(I1966&lt;=$E$4,"A",IF(I1966&lt;=$E$5,"B","C"))</f>
        <v>C</v>
      </c>
    </row>
    <row r="1967" customFormat="false" ht="15" hidden="false" customHeight="false" outlineLevel="0" collapsed="false">
      <c r="A1967" s="32" t="n">
        <v>1960</v>
      </c>
      <c r="B1967" s="33" t="n">
        <v>17942</v>
      </c>
      <c r="C1967" s="34" t="s">
        <v>4005</v>
      </c>
      <c r="D1967" s="34" t="s">
        <v>4006</v>
      </c>
      <c r="E1967" s="34" t="s">
        <v>130</v>
      </c>
      <c r="F1967" s="32" t="n">
        <f aca="false">COUNTIF(Base!$D$2:$D$2878,B1967)</f>
        <v>1</v>
      </c>
      <c r="G1967" s="35" t="n">
        <f aca="false">SUMIF(Base!$D$2:$D$2878,B1967,Base!$I$2:$I$2878)</f>
        <v>189.34</v>
      </c>
      <c r="H1967" s="36" t="n">
        <f aca="false">IF($G$2849=0,0,G1967/$G$2849)</f>
        <v>1.2424912332371E-005</v>
      </c>
      <c r="I1967" s="37" t="n">
        <f aca="false">I1966+H1967</f>
        <v>0.99561305551372</v>
      </c>
      <c r="J1967" s="37" t="n">
        <f aca="false">A1967/2840</f>
        <v>0.690140845070423</v>
      </c>
      <c r="K1967" s="32" t="str">
        <f aca="false">IF(I1967&lt;=$E$4,"A",IF(I1967&lt;=$E$5,"B","C"))</f>
        <v>C</v>
      </c>
    </row>
    <row r="1968" customFormat="false" ht="15" hidden="false" customHeight="false" outlineLevel="0" collapsed="false">
      <c r="A1968" s="32" t="n">
        <v>1961</v>
      </c>
      <c r="B1968" s="33" t="n">
        <v>228499</v>
      </c>
      <c r="C1968" s="34" t="s">
        <v>4007</v>
      </c>
      <c r="D1968" s="34" t="s">
        <v>4008</v>
      </c>
      <c r="E1968" s="34" t="s">
        <v>38</v>
      </c>
      <c r="F1968" s="32" t="n">
        <f aca="false">COUNTIF(Base!$D$2:$D$2878,B1968)</f>
        <v>1</v>
      </c>
      <c r="G1968" s="35" t="n">
        <f aca="false">SUMIF(Base!$D$2:$D$2878,B1968,Base!$I$2:$I$2878)</f>
        <v>188.74</v>
      </c>
      <c r="H1968" s="36" t="n">
        <f aca="false">IF($G$2849=0,0,G1968/$G$2849)</f>
        <v>1.2385538996576E-005</v>
      </c>
      <c r="I1968" s="37" t="n">
        <f aca="false">I1967+H1968</f>
        <v>0.995625441052717</v>
      </c>
      <c r="J1968" s="37" t="n">
        <f aca="false">A1968/2840</f>
        <v>0.690492957746479</v>
      </c>
      <c r="K1968" s="32" t="str">
        <f aca="false">IF(I1968&lt;=$E$4,"A",IF(I1968&lt;=$E$5,"B","C"))</f>
        <v>C</v>
      </c>
    </row>
    <row r="1969" customFormat="false" ht="15" hidden="false" customHeight="false" outlineLevel="0" collapsed="false">
      <c r="A1969" s="32" t="n">
        <v>1962</v>
      </c>
      <c r="B1969" s="33" t="n">
        <v>1607238</v>
      </c>
      <c r="C1969" s="34" t="s">
        <v>4009</v>
      </c>
      <c r="D1969" s="34" t="s">
        <v>4010</v>
      </c>
      <c r="E1969" s="34" t="s">
        <v>100</v>
      </c>
      <c r="F1969" s="32" t="n">
        <f aca="false">COUNTIF(Base!$D$2:$D$2878,B1969)</f>
        <v>1</v>
      </c>
      <c r="G1969" s="35" t="n">
        <f aca="false">SUMIF(Base!$D$2:$D$2878,B1969,Base!$I$2:$I$2878)</f>
        <v>188</v>
      </c>
      <c r="H1969" s="36" t="n">
        <f aca="false">IF($G$2849=0,0,G1969/$G$2849)</f>
        <v>1.23369785490955E-005</v>
      </c>
      <c r="I1969" s="37" t="n">
        <f aca="false">I1968+H1969</f>
        <v>0.995637778031266</v>
      </c>
      <c r="J1969" s="37" t="n">
        <f aca="false">A1969/2840</f>
        <v>0.690845070422535</v>
      </c>
      <c r="K1969" s="32" t="str">
        <f aca="false">IF(I1969&lt;=$E$4,"A",IF(I1969&lt;=$E$5,"B","C"))</f>
        <v>C</v>
      </c>
    </row>
    <row r="1970" customFormat="false" ht="15" hidden="false" customHeight="false" outlineLevel="0" collapsed="false">
      <c r="A1970" s="32" t="n">
        <v>1963</v>
      </c>
      <c r="B1970" s="33" t="n">
        <v>280119</v>
      </c>
      <c r="C1970" s="34" t="s">
        <v>4011</v>
      </c>
      <c r="D1970" s="34" t="s">
        <v>4012</v>
      </c>
      <c r="E1970" s="34" t="s">
        <v>54</v>
      </c>
      <c r="F1970" s="32" t="n">
        <f aca="false">COUNTIF(Base!$D$2:$D$2878,B1970)</f>
        <v>1</v>
      </c>
      <c r="G1970" s="35" t="n">
        <f aca="false">SUMIF(Base!$D$2:$D$2878,B1970,Base!$I$2:$I$2878)</f>
        <v>187.44</v>
      </c>
      <c r="H1970" s="36" t="n">
        <f aca="false">IF($G$2849=0,0,G1970/$G$2849)</f>
        <v>1.23002301023535E-005</v>
      </c>
      <c r="I1970" s="37" t="n">
        <f aca="false">I1969+H1970</f>
        <v>0.995650078261368</v>
      </c>
      <c r="J1970" s="37" t="n">
        <f aca="false">A1970/2840</f>
        <v>0.691197183098592</v>
      </c>
      <c r="K1970" s="32" t="str">
        <f aca="false">IF(I1970&lt;=$E$4,"A",IF(I1970&lt;=$E$5,"B","C"))</f>
        <v>C</v>
      </c>
    </row>
    <row r="1971" customFormat="false" ht="15" hidden="false" customHeight="false" outlineLevel="0" collapsed="false">
      <c r="A1971" s="32" t="n">
        <v>1964</v>
      </c>
      <c r="B1971" s="33" t="n">
        <v>24124</v>
      </c>
      <c r="C1971" s="34" t="s">
        <v>4013</v>
      </c>
      <c r="D1971" s="34" t="s">
        <v>4014</v>
      </c>
      <c r="E1971" s="34" t="s">
        <v>189</v>
      </c>
      <c r="F1971" s="32" t="n">
        <f aca="false">COUNTIF(Base!$D$2:$D$2878,B1971)</f>
        <v>1</v>
      </c>
      <c r="G1971" s="35" t="n">
        <f aca="false">SUMIF(Base!$D$2:$D$2878,B1971,Base!$I$2:$I$2878)</f>
        <v>187</v>
      </c>
      <c r="H1971" s="36" t="n">
        <f aca="false">IF($G$2849=0,0,G1971/$G$2849)</f>
        <v>1.22713563227705E-005</v>
      </c>
      <c r="I1971" s="37" t="n">
        <f aca="false">I1970+H1971</f>
        <v>0.995662349617691</v>
      </c>
      <c r="J1971" s="37" t="n">
        <f aca="false">A1971/2840</f>
        <v>0.691549295774648</v>
      </c>
      <c r="K1971" s="32" t="str">
        <f aca="false">IF(I1971&lt;=$E$4,"A",IF(I1971&lt;=$E$5,"B","C"))</f>
        <v>C</v>
      </c>
    </row>
    <row r="1972" customFormat="false" ht="15" hidden="false" customHeight="false" outlineLevel="0" collapsed="false">
      <c r="A1972" s="32" t="n">
        <v>1965</v>
      </c>
      <c r="B1972" s="33" t="n">
        <v>557442</v>
      </c>
      <c r="C1972" s="34" t="s">
        <v>4015</v>
      </c>
      <c r="D1972" s="34" t="s">
        <v>4016</v>
      </c>
      <c r="E1972" s="34" t="s">
        <v>605</v>
      </c>
      <c r="F1972" s="32" t="n">
        <f aca="false">COUNTIF(Base!$D$2:$D$2878,B1972)</f>
        <v>1</v>
      </c>
      <c r="G1972" s="35" t="n">
        <f aca="false">SUMIF(Base!$D$2:$D$2878,B1972,Base!$I$2:$I$2878)</f>
        <v>186.58</v>
      </c>
      <c r="H1972" s="36" t="n">
        <f aca="false">IF($G$2849=0,0,G1972/$G$2849)</f>
        <v>1.2243794987714E-005</v>
      </c>
      <c r="I1972" s="37" t="n">
        <f aca="false">I1971+H1972</f>
        <v>0.995674593412679</v>
      </c>
      <c r="J1972" s="37" t="n">
        <f aca="false">A1972/2840</f>
        <v>0.691901408450704</v>
      </c>
      <c r="K1972" s="32" t="str">
        <f aca="false">IF(I1972&lt;=$E$4,"A",IF(I1972&lt;=$E$5,"B","C"))</f>
        <v>C</v>
      </c>
    </row>
    <row r="1973" customFormat="false" ht="15" hidden="false" customHeight="false" outlineLevel="0" collapsed="false">
      <c r="A1973" s="32" t="n">
        <v>1966</v>
      </c>
      <c r="B1973" s="33" t="n">
        <v>22870</v>
      </c>
      <c r="C1973" s="34" t="s">
        <v>4017</v>
      </c>
      <c r="D1973" s="34" t="s">
        <v>4018</v>
      </c>
      <c r="E1973" s="34" t="s">
        <v>100</v>
      </c>
      <c r="F1973" s="32" t="n">
        <f aca="false">COUNTIF(Base!$D$2:$D$2878,B1973)</f>
        <v>1</v>
      </c>
      <c r="G1973" s="35" t="n">
        <f aca="false">SUMIF(Base!$D$2:$D$2878,B1973,Base!$I$2:$I$2878)</f>
        <v>186.36</v>
      </c>
      <c r="H1973" s="36" t="n">
        <f aca="false">IF($G$2849=0,0,G1973/$G$2849)</f>
        <v>1.22293580979225E-005</v>
      </c>
      <c r="I1973" s="37" t="n">
        <f aca="false">I1972+H1973</f>
        <v>0.995686822770777</v>
      </c>
      <c r="J1973" s="37" t="n">
        <f aca="false">A1973/2840</f>
        <v>0.692253521126761</v>
      </c>
      <c r="K1973" s="32" t="str">
        <f aca="false">IF(I1973&lt;=$E$4,"A",IF(I1973&lt;=$E$5,"B","C"))</f>
        <v>C</v>
      </c>
    </row>
    <row r="1974" customFormat="false" ht="15" hidden="false" customHeight="false" outlineLevel="0" collapsed="false">
      <c r="A1974" s="32" t="n">
        <v>1967</v>
      </c>
      <c r="B1974" s="33" t="n">
        <v>1063854</v>
      </c>
      <c r="C1974" s="34" t="s">
        <v>4019</v>
      </c>
      <c r="D1974" s="34" t="s">
        <v>4020</v>
      </c>
      <c r="E1974" s="34" t="s">
        <v>247</v>
      </c>
      <c r="F1974" s="32" t="n">
        <f aca="false">COUNTIF(Base!$D$2:$D$2878,B1974)</f>
        <v>1</v>
      </c>
      <c r="G1974" s="35" t="n">
        <f aca="false">SUMIF(Base!$D$2:$D$2878,B1974,Base!$I$2:$I$2878)</f>
        <v>186</v>
      </c>
      <c r="H1974" s="36" t="n">
        <f aca="false">IF($G$2849=0,0,G1974/$G$2849)</f>
        <v>1.22057340964455E-005</v>
      </c>
      <c r="I1974" s="37" t="n">
        <f aca="false">I1973+H1974</f>
        <v>0.995699028504873</v>
      </c>
      <c r="J1974" s="37" t="n">
        <f aca="false">A1974/2840</f>
        <v>0.692605633802817</v>
      </c>
      <c r="K1974" s="32" t="str">
        <f aca="false">IF(I1974&lt;=$E$4,"A",IF(I1974&lt;=$E$5,"B","C"))</f>
        <v>C</v>
      </c>
    </row>
    <row r="1975" customFormat="false" ht="15" hidden="false" customHeight="false" outlineLevel="0" collapsed="false">
      <c r="A1975" s="32" t="n">
        <v>1968</v>
      </c>
      <c r="B1975" s="33" t="n">
        <v>1063857</v>
      </c>
      <c r="C1975" s="34" t="s">
        <v>4021</v>
      </c>
      <c r="D1975" s="34" t="s">
        <v>4022</v>
      </c>
      <c r="E1975" s="34" t="s">
        <v>247</v>
      </c>
      <c r="F1975" s="32" t="n">
        <f aca="false">COUNTIF(Base!$D$2:$D$2878,B1975)</f>
        <v>1</v>
      </c>
      <c r="G1975" s="35" t="n">
        <f aca="false">SUMIF(Base!$D$2:$D$2878,B1975,Base!$I$2:$I$2878)</f>
        <v>186</v>
      </c>
      <c r="H1975" s="36" t="n">
        <f aca="false">IF($G$2849=0,0,G1975/$G$2849)</f>
        <v>1.22057340964455E-005</v>
      </c>
      <c r="I1975" s="37" t="n">
        <f aca="false">I1974+H1975</f>
        <v>0.99571123423897</v>
      </c>
      <c r="J1975" s="37" t="n">
        <f aca="false">A1975/2840</f>
        <v>0.692957746478873</v>
      </c>
      <c r="K1975" s="32" t="str">
        <f aca="false">IF(I1975&lt;=$E$4,"A",IF(I1975&lt;=$E$5,"B","C"))</f>
        <v>C</v>
      </c>
    </row>
    <row r="1976" customFormat="false" ht="15" hidden="false" customHeight="false" outlineLevel="0" collapsed="false">
      <c r="A1976" s="32" t="n">
        <v>1969</v>
      </c>
      <c r="B1976" s="33" t="n">
        <v>1063859</v>
      </c>
      <c r="C1976" s="34" t="s">
        <v>4023</v>
      </c>
      <c r="D1976" s="34" t="s">
        <v>4024</v>
      </c>
      <c r="E1976" s="34" t="s">
        <v>247</v>
      </c>
      <c r="F1976" s="32" t="n">
        <f aca="false">COUNTIF(Base!$D$2:$D$2878,B1976)</f>
        <v>1</v>
      </c>
      <c r="G1976" s="35" t="n">
        <f aca="false">SUMIF(Base!$D$2:$D$2878,B1976,Base!$I$2:$I$2878)</f>
        <v>186</v>
      </c>
      <c r="H1976" s="36" t="n">
        <f aca="false">IF($G$2849=0,0,G1976/$G$2849)</f>
        <v>1.22057340964455E-005</v>
      </c>
      <c r="I1976" s="37" t="n">
        <f aca="false">I1975+H1976</f>
        <v>0.995723439973066</v>
      </c>
      <c r="J1976" s="37" t="n">
        <f aca="false">A1976/2840</f>
        <v>0.69330985915493</v>
      </c>
      <c r="K1976" s="32" t="str">
        <f aca="false">IF(I1976&lt;=$E$4,"A",IF(I1976&lt;=$E$5,"B","C"))</f>
        <v>C</v>
      </c>
    </row>
    <row r="1977" customFormat="false" ht="15" hidden="false" customHeight="false" outlineLevel="0" collapsed="false">
      <c r="A1977" s="32" t="n">
        <v>1970</v>
      </c>
      <c r="B1977" s="33" t="n">
        <v>352396</v>
      </c>
      <c r="C1977" s="34" t="s">
        <v>4025</v>
      </c>
      <c r="D1977" s="34" t="s">
        <v>4026</v>
      </c>
      <c r="E1977" s="34" t="s">
        <v>130</v>
      </c>
      <c r="F1977" s="32" t="n">
        <f aca="false">COUNTIF(Base!$D$2:$D$2878,B1977)</f>
        <v>1</v>
      </c>
      <c r="G1977" s="35" t="n">
        <f aca="false">SUMIF(Base!$D$2:$D$2878,B1977,Base!$I$2:$I$2878)</f>
        <v>182.9</v>
      </c>
      <c r="H1977" s="36" t="n">
        <f aca="false">IF($G$2849=0,0,G1977/$G$2849)</f>
        <v>1.20023051948381E-005</v>
      </c>
      <c r="I1977" s="37" t="n">
        <f aca="false">I1976+H1977</f>
        <v>0.995735442278261</v>
      </c>
      <c r="J1977" s="37" t="n">
        <f aca="false">A1977/2840</f>
        <v>0.693661971830986</v>
      </c>
      <c r="K1977" s="32" t="str">
        <f aca="false">IF(I1977&lt;=$E$4,"A",IF(I1977&lt;=$E$5,"B","C"))</f>
        <v>C</v>
      </c>
    </row>
    <row r="1978" customFormat="false" ht="15" hidden="false" customHeight="false" outlineLevel="0" collapsed="false">
      <c r="A1978" s="32" t="n">
        <v>1971</v>
      </c>
      <c r="B1978" s="33" t="n">
        <v>17935</v>
      </c>
      <c r="C1978" s="34" t="s">
        <v>4027</v>
      </c>
      <c r="D1978" s="34" t="s">
        <v>4028</v>
      </c>
      <c r="E1978" s="34" t="s">
        <v>130</v>
      </c>
      <c r="F1978" s="32" t="n">
        <f aca="false">COUNTIF(Base!$D$2:$D$2878,B1978)</f>
        <v>1</v>
      </c>
      <c r="G1978" s="35" t="n">
        <f aca="false">SUMIF(Base!$D$2:$D$2878,B1978,Base!$I$2:$I$2878)</f>
        <v>182.72</v>
      </c>
      <c r="H1978" s="36" t="n">
        <f aca="false">IF($G$2849=0,0,G1978/$G$2849)</f>
        <v>1.19904931940996E-005</v>
      </c>
      <c r="I1978" s="37" t="n">
        <f aca="false">I1977+H1978</f>
        <v>0.995747432771455</v>
      </c>
      <c r="J1978" s="37" t="n">
        <f aca="false">A1978/2840</f>
        <v>0.694014084507042</v>
      </c>
      <c r="K1978" s="32" t="str">
        <f aca="false">IF(I1978&lt;=$E$4,"A",IF(I1978&lt;=$E$5,"B","C"))</f>
        <v>C</v>
      </c>
    </row>
    <row r="1979" customFormat="false" ht="15" hidden="false" customHeight="false" outlineLevel="0" collapsed="false">
      <c r="A1979" s="32" t="n">
        <v>1972</v>
      </c>
      <c r="B1979" s="33" t="n">
        <v>277209</v>
      </c>
      <c r="C1979" s="34" t="s">
        <v>4029</v>
      </c>
      <c r="D1979" s="34" t="s">
        <v>4030</v>
      </c>
      <c r="E1979" s="34" t="s">
        <v>247</v>
      </c>
      <c r="F1979" s="32" t="n">
        <f aca="false">COUNTIF(Base!$D$2:$D$2878,B1979)</f>
        <v>1</v>
      </c>
      <c r="G1979" s="35" t="n">
        <f aca="false">SUMIF(Base!$D$2:$D$2878,B1979,Base!$I$2:$I$2878)</f>
        <v>182.1</v>
      </c>
      <c r="H1979" s="36" t="n">
        <f aca="false">IF($G$2849=0,0,G1979/$G$2849)</f>
        <v>1.19498074137781E-005</v>
      </c>
      <c r="I1979" s="37" t="n">
        <f aca="false">I1978+H1979</f>
        <v>0.995759382578869</v>
      </c>
      <c r="J1979" s="37" t="n">
        <f aca="false">A1979/2840</f>
        <v>0.694366197183099</v>
      </c>
      <c r="K1979" s="32" t="str">
        <f aca="false">IF(I1979&lt;=$E$4,"A",IF(I1979&lt;=$E$5,"B","C"))</f>
        <v>C</v>
      </c>
    </row>
    <row r="1980" customFormat="false" ht="15" hidden="false" customHeight="false" outlineLevel="0" collapsed="false">
      <c r="A1980" s="32" t="n">
        <v>1973</v>
      </c>
      <c r="B1980" s="33" t="n">
        <v>1461932</v>
      </c>
      <c r="C1980" s="34" t="s">
        <v>4031</v>
      </c>
      <c r="D1980" s="34" t="s">
        <v>4032</v>
      </c>
      <c r="E1980" s="34" t="s">
        <v>100</v>
      </c>
      <c r="F1980" s="32" t="n">
        <f aca="false">COUNTIF(Base!$D$2:$D$2878,B1980)</f>
        <v>1</v>
      </c>
      <c r="G1980" s="35" t="n">
        <f aca="false">SUMIF(Base!$D$2:$D$2878,B1980,Base!$I$2:$I$2878)</f>
        <v>181.21</v>
      </c>
      <c r="H1980" s="36" t="n">
        <f aca="false">IF($G$2849=0,0,G1980/$G$2849)</f>
        <v>1.18914036323489E-005</v>
      </c>
      <c r="I1980" s="37" t="n">
        <f aca="false">I1979+H1980</f>
        <v>0.995771273982501</v>
      </c>
      <c r="J1980" s="37" t="n">
        <f aca="false">A1980/2840</f>
        <v>0.694718309859155</v>
      </c>
      <c r="K1980" s="32" t="str">
        <f aca="false">IF(I1980&lt;=$E$4,"A",IF(I1980&lt;=$E$5,"B","C"))</f>
        <v>C</v>
      </c>
    </row>
    <row r="1981" customFormat="false" ht="15" hidden="false" customHeight="false" outlineLevel="0" collapsed="false">
      <c r="A1981" s="32" t="n">
        <v>1974</v>
      </c>
      <c r="B1981" s="33" t="n">
        <v>34189</v>
      </c>
      <c r="C1981" s="34" t="s">
        <v>4033</v>
      </c>
      <c r="D1981" s="34" t="s">
        <v>4034</v>
      </c>
      <c r="E1981" s="34" t="s">
        <v>247</v>
      </c>
      <c r="F1981" s="32" t="n">
        <f aca="false">COUNTIF(Base!$D$2:$D$2878,B1981)</f>
        <v>1</v>
      </c>
      <c r="G1981" s="35" t="n">
        <f aca="false">SUMIF(Base!$D$2:$D$2878,B1981,Base!$I$2:$I$2878)</f>
        <v>180</v>
      </c>
      <c r="H1981" s="36" t="n">
        <f aca="false">IF($G$2849=0,0,G1981/$G$2849)</f>
        <v>1.18120007384957E-005</v>
      </c>
      <c r="I1981" s="37" t="n">
        <f aca="false">I1980+H1981</f>
        <v>0.99578308598324</v>
      </c>
      <c r="J1981" s="37" t="n">
        <f aca="false">A1981/2840</f>
        <v>0.695070422535211</v>
      </c>
      <c r="K1981" s="32" t="str">
        <f aca="false">IF(I1981&lt;=$E$4,"A",IF(I1981&lt;=$E$5,"B","C"))</f>
        <v>C</v>
      </c>
    </row>
    <row r="1982" customFormat="false" ht="15" hidden="false" customHeight="false" outlineLevel="0" collapsed="false">
      <c r="A1982" s="32" t="n">
        <v>1975</v>
      </c>
      <c r="B1982" s="33" t="n">
        <v>53936</v>
      </c>
      <c r="C1982" s="34" t="s">
        <v>4035</v>
      </c>
      <c r="D1982" s="34" t="s">
        <v>4036</v>
      </c>
      <c r="E1982" s="34" t="s">
        <v>38</v>
      </c>
      <c r="F1982" s="32" t="n">
        <f aca="false">COUNTIF(Base!$D$2:$D$2878,B1982)</f>
        <v>1</v>
      </c>
      <c r="G1982" s="35" t="n">
        <f aca="false">SUMIF(Base!$D$2:$D$2878,B1982,Base!$I$2:$I$2878)</f>
        <v>180</v>
      </c>
      <c r="H1982" s="36" t="n">
        <f aca="false">IF($G$2849=0,0,G1982/$G$2849)</f>
        <v>1.18120007384957E-005</v>
      </c>
      <c r="I1982" s="37" t="n">
        <f aca="false">I1981+H1982</f>
        <v>0.995794897983978</v>
      </c>
      <c r="J1982" s="37" t="n">
        <f aca="false">A1982/2840</f>
        <v>0.695422535211268</v>
      </c>
      <c r="K1982" s="32" t="str">
        <f aca="false">IF(I1982&lt;=$E$4,"A",IF(I1982&lt;=$E$5,"B","C"))</f>
        <v>C</v>
      </c>
    </row>
    <row r="1983" customFormat="false" ht="15" hidden="false" customHeight="false" outlineLevel="0" collapsed="false">
      <c r="A1983" s="32" t="n">
        <v>1976</v>
      </c>
      <c r="B1983" s="33" t="n">
        <v>875464</v>
      </c>
      <c r="C1983" s="34" t="s">
        <v>4037</v>
      </c>
      <c r="D1983" s="34" t="s">
        <v>4038</v>
      </c>
      <c r="E1983" s="34" t="s">
        <v>54</v>
      </c>
      <c r="F1983" s="32" t="n">
        <f aca="false">COUNTIF(Base!$D$2:$D$2878,B1983)</f>
        <v>1</v>
      </c>
      <c r="G1983" s="35" t="n">
        <f aca="false">SUMIF(Base!$D$2:$D$2878,B1983,Base!$I$2:$I$2878)</f>
        <v>180</v>
      </c>
      <c r="H1983" s="36" t="n">
        <f aca="false">IF($G$2849=0,0,G1983/$G$2849)</f>
        <v>1.18120007384957E-005</v>
      </c>
      <c r="I1983" s="37" t="n">
        <f aca="false">I1982+H1983</f>
        <v>0.995806709984717</v>
      </c>
      <c r="J1983" s="37" t="n">
        <f aca="false">A1983/2840</f>
        <v>0.695774647887324</v>
      </c>
      <c r="K1983" s="32" t="str">
        <f aca="false">IF(I1983&lt;=$E$4,"A",IF(I1983&lt;=$E$5,"B","C"))</f>
        <v>C</v>
      </c>
    </row>
    <row r="1984" customFormat="false" ht="15" hidden="false" customHeight="false" outlineLevel="0" collapsed="false">
      <c r="A1984" s="32" t="n">
        <v>1977</v>
      </c>
      <c r="B1984" s="33" t="n">
        <v>1605180</v>
      </c>
      <c r="C1984" s="34" t="s">
        <v>4039</v>
      </c>
      <c r="D1984" s="34" t="s">
        <v>4040</v>
      </c>
      <c r="E1984" s="34" t="s">
        <v>38</v>
      </c>
      <c r="F1984" s="32" t="n">
        <f aca="false">COUNTIF(Base!$D$2:$D$2878,B1984)</f>
        <v>1</v>
      </c>
      <c r="G1984" s="35" t="n">
        <f aca="false">SUMIF(Base!$D$2:$D$2878,B1984,Base!$I$2:$I$2878)</f>
        <v>180</v>
      </c>
      <c r="H1984" s="36" t="n">
        <f aca="false">IF($G$2849=0,0,G1984/$G$2849)</f>
        <v>1.18120007384957E-005</v>
      </c>
      <c r="I1984" s="37" t="n">
        <f aca="false">I1983+H1984</f>
        <v>0.995818521985455</v>
      </c>
      <c r="J1984" s="37" t="n">
        <f aca="false">A1984/2840</f>
        <v>0.69612676056338</v>
      </c>
      <c r="K1984" s="32" t="str">
        <f aca="false">IF(I1984&lt;=$E$4,"A",IF(I1984&lt;=$E$5,"B","C"))</f>
        <v>C</v>
      </c>
    </row>
    <row r="1985" customFormat="false" ht="15" hidden="false" customHeight="false" outlineLevel="0" collapsed="false">
      <c r="A1985" s="32" t="n">
        <v>1978</v>
      </c>
      <c r="B1985" s="33" t="n">
        <v>55146</v>
      </c>
      <c r="C1985" s="34" t="s">
        <v>4041</v>
      </c>
      <c r="D1985" s="34" t="s">
        <v>4042</v>
      </c>
      <c r="E1985" s="34" t="s">
        <v>230</v>
      </c>
      <c r="F1985" s="32" t="n">
        <f aca="false">COUNTIF(Base!$D$2:$D$2878,B1985)</f>
        <v>1</v>
      </c>
      <c r="G1985" s="35" t="n">
        <f aca="false">SUMIF(Base!$D$2:$D$2878,B1985,Base!$I$2:$I$2878)</f>
        <v>179.88</v>
      </c>
      <c r="H1985" s="36" t="n">
        <f aca="false">IF($G$2849=0,0,G1985/$G$2849)</f>
        <v>1.18041260713367E-005</v>
      </c>
      <c r="I1985" s="37" t="n">
        <f aca="false">I1984+H1985</f>
        <v>0.995830326111526</v>
      </c>
      <c r="J1985" s="37" t="n">
        <f aca="false">A1985/2840</f>
        <v>0.696478873239437</v>
      </c>
      <c r="K1985" s="32" t="str">
        <f aca="false">IF(I1985&lt;=$E$4,"A",IF(I1985&lt;=$E$5,"B","C"))</f>
        <v>C</v>
      </c>
    </row>
    <row r="1986" customFormat="false" ht="15" hidden="false" customHeight="false" outlineLevel="0" collapsed="false">
      <c r="A1986" s="32" t="n">
        <v>1979</v>
      </c>
      <c r="B1986" s="33" t="n">
        <v>22768</v>
      </c>
      <c r="C1986" s="34" t="s">
        <v>4043</v>
      </c>
      <c r="D1986" s="34" t="s">
        <v>4044</v>
      </c>
      <c r="E1986" s="34" t="s">
        <v>247</v>
      </c>
      <c r="F1986" s="32" t="n">
        <f aca="false">COUNTIF(Base!$D$2:$D$2878,B1986)</f>
        <v>1</v>
      </c>
      <c r="G1986" s="35" t="n">
        <f aca="false">SUMIF(Base!$D$2:$D$2878,B1986,Base!$I$2:$I$2878)</f>
        <v>179.7</v>
      </c>
      <c r="H1986" s="36" t="n">
        <f aca="false">IF($G$2849=0,0,G1986/$G$2849)</f>
        <v>1.17923140705982E-005</v>
      </c>
      <c r="I1986" s="37" t="n">
        <f aca="false">I1985+H1986</f>
        <v>0.995842118425597</v>
      </c>
      <c r="J1986" s="37" t="n">
        <f aca="false">A1986/2840</f>
        <v>0.696830985915493</v>
      </c>
      <c r="K1986" s="32" t="str">
        <f aca="false">IF(I1986&lt;=$E$4,"A",IF(I1986&lt;=$E$5,"B","C"))</f>
        <v>C</v>
      </c>
    </row>
    <row r="1987" customFormat="false" ht="15" hidden="false" customHeight="false" outlineLevel="0" collapsed="false">
      <c r="A1987" s="32" t="n">
        <v>1980</v>
      </c>
      <c r="B1987" s="33" t="n">
        <v>35082</v>
      </c>
      <c r="C1987" s="34" t="s">
        <v>4045</v>
      </c>
      <c r="D1987" s="34" t="s">
        <v>4046</v>
      </c>
      <c r="E1987" s="34" t="s">
        <v>38</v>
      </c>
      <c r="F1987" s="32" t="n">
        <f aca="false">COUNTIF(Base!$D$2:$D$2878,B1987)</f>
        <v>1</v>
      </c>
      <c r="G1987" s="35" t="n">
        <f aca="false">SUMIF(Base!$D$2:$D$2878,B1987,Base!$I$2:$I$2878)</f>
        <v>179.4</v>
      </c>
      <c r="H1987" s="36" t="n">
        <f aca="false">IF($G$2849=0,0,G1987/$G$2849)</f>
        <v>1.17726274027007E-005</v>
      </c>
      <c r="I1987" s="37" t="n">
        <f aca="false">I1986+H1987</f>
        <v>0.995853891053</v>
      </c>
      <c r="J1987" s="37" t="n">
        <f aca="false">A1987/2840</f>
        <v>0.697183098591549</v>
      </c>
      <c r="K1987" s="32" t="str">
        <f aca="false">IF(I1987&lt;=$E$4,"A",IF(I1987&lt;=$E$5,"B","C"))</f>
        <v>C</v>
      </c>
    </row>
    <row r="1988" customFormat="false" ht="15" hidden="false" customHeight="false" outlineLevel="0" collapsed="false">
      <c r="A1988" s="32" t="n">
        <v>1981</v>
      </c>
      <c r="B1988" s="33" t="n">
        <v>1101079</v>
      </c>
      <c r="C1988" s="34" t="s">
        <v>4047</v>
      </c>
      <c r="D1988" s="34" t="s">
        <v>4048</v>
      </c>
      <c r="E1988" s="34" t="s">
        <v>54</v>
      </c>
      <c r="F1988" s="32" t="n">
        <f aca="false">COUNTIF(Base!$D$2:$D$2878,B1988)</f>
        <v>1</v>
      </c>
      <c r="G1988" s="35" t="n">
        <f aca="false">SUMIF(Base!$D$2:$D$2878,B1988,Base!$I$2:$I$2878)</f>
        <v>179.4</v>
      </c>
      <c r="H1988" s="36" t="n">
        <f aca="false">IF($G$2849=0,0,G1988/$G$2849)</f>
        <v>1.17726274027007E-005</v>
      </c>
      <c r="I1988" s="37" t="n">
        <f aca="false">I1987+H1988</f>
        <v>0.995865663680402</v>
      </c>
      <c r="J1988" s="37" t="n">
        <f aca="false">A1988/2840</f>
        <v>0.697535211267606</v>
      </c>
      <c r="K1988" s="32" t="str">
        <f aca="false">IF(I1988&lt;=$E$4,"A",IF(I1988&lt;=$E$5,"B","C"))</f>
        <v>C</v>
      </c>
    </row>
    <row r="1989" customFormat="false" ht="15" hidden="false" customHeight="false" outlineLevel="0" collapsed="false">
      <c r="A1989" s="32" t="n">
        <v>1982</v>
      </c>
      <c r="B1989" s="33" t="n">
        <v>1320998</v>
      </c>
      <c r="C1989" s="34" t="s">
        <v>4049</v>
      </c>
      <c r="D1989" s="34" t="s">
        <v>4050</v>
      </c>
      <c r="E1989" s="34" t="s">
        <v>38</v>
      </c>
      <c r="F1989" s="32" t="n">
        <f aca="false">COUNTIF(Base!$D$2:$D$2878,B1989)</f>
        <v>1</v>
      </c>
      <c r="G1989" s="35" t="n">
        <f aca="false">SUMIF(Base!$D$2:$D$2878,B1989,Base!$I$2:$I$2878)</f>
        <v>178.5</v>
      </c>
      <c r="H1989" s="36" t="n">
        <f aca="false">IF($G$2849=0,0,G1989/$G$2849)</f>
        <v>1.17135673990082E-005</v>
      </c>
      <c r="I1989" s="37" t="n">
        <f aca="false">I1988+H1989</f>
        <v>0.995877377247802</v>
      </c>
      <c r="J1989" s="37" t="n">
        <f aca="false">A1989/2840</f>
        <v>0.697887323943662</v>
      </c>
      <c r="K1989" s="32" t="str">
        <f aca="false">IF(I1989&lt;=$E$4,"A",IF(I1989&lt;=$E$5,"B","C"))</f>
        <v>C</v>
      </c>
    </row>
    <row r="1990" customFormat="false" ht="15" hidden="false" customHeight="false" outlineLevel="0" collapsed="false">
      <c r="A1990" s="32" t="n">
        <v>1983</v>
      </c>
      <c r="B1990" s="33" t="n">
        <v>21862</v>
      </c>
      <c r="C1990" s="34" t="s">
        <v>4051</v>
      </c>
      <c r="D1990" s="34" t="s">
        <v>4052</v>
      </c>
      <c r="E1990" s="34" t="s">
        <v>130</v>
      </c>
      <c r="F1990" s="32" t="n">
        <f aca="false">COUNTIF(Base!$D$2:$D$2878,B1990)</f>
        <v>1</v>
      </c>
      <c r="G1990" s="35" t="n">
        <f aca="false">SUMIF(Base!$D$2:$D$2878,B1990,Base!$I$2:$I$2878)</f>
        <v>178.2</v>
      </c>
      <c r="H1990" s="36" t="n">
        <f aca="false">IF($G$2849=0,0,G1990/$G$2849)</f>
        <v>1.16938807311107E-005</v>
      </c>
      <c r="I1990" s="37" t="n">
        <f aca="false">I1989+H1990</f>
        <v>0.995889071128533</v>
      </c>
      <c r="J1990" s="37" t="n">
        <f aca="false">A1990/2840</f>
        <v>0.698239436619718</v>
      </c>
      <c r="K1990" s="32" t="str">
        <f aca="false">IF(I1990&lt;=$E$4,"A",IF(I1990&lt;=$E$5,"B","C"))</f>
        <v>C</v>
      </c>
    </row>
    <row r="1991" customFormat="false" ht="15" hidden="false" customHeight="false" outlineLevel="0" collapsed="false">
      <c r="A1991" s="32" t="n">
        <v>1984</v>
      </c>
      <c r="B1991" s="33" t="n">
        <v>476967</v>
      </c>
      <c r="C1991" s="34" t="s">
        <v>4053</v>
      </c>
      <c r="D1991" s="34" t="s">
        <v>4054</v>
      </c>
      <c r="E1991" s="34" t="s">
        <v>54</v>
      </c>
      <c r="F1991" s="32" t="n">
        <f aca="false">COUNTIF(Base!$D$2:$D$2878,B1991)</f>
        <v>1</v>
      </c>
      <c r="G1991" s="35" t="n">
        <f aca="false">SUMIF(Base!$D$2:$D$2878,B1991,Base!$I$2:$I$2878)</f>
        <v>178.04</v>
      </c>
      <c r="H1991" s="36" t="n">
        <f aca="false">IF($G$2849=0,0,G1991/$G$2849)</f>
        <v>1.16833811748987E-005</v>
      </c>
      <c r="I1991" s="37" t="n">
        <f aca="false">I1990+H1991</f>
        <v>0.995900754509707</v>
      </c>
      <c r="J1991" s="37" t="n">
        <f aca="false">A1991/2840</f>
        <v>0.698591549295775</v>
      </c>
      <c r="K1991" s="32" t="str">
        <f aca="false">IF(I1991&lt;=$E$4,"A",IF(I1991&lt;=$E$5,"B","C"))</f>
        <v>C</v>
      </c>
    </row>
    <row r="1992" customFormat="false" ht="15" hidden="false" customHeight="false" outlineLevel="0" collapsed="false">
      <c r="A1992" s="32" t="n">
        <v>1985</v>
      </c>
      <c r="B1992" s="33" t="n">
        <v>352314</v>
      </c>
      <c r="C1992" s="34" t="s">
        <v>4055</v>
      </c>
      <c r="D1992" s="34" t="s">
        <v>4056</v>
      </c>
      <c r="E1992" s="34" t="s">
        <v>54</v>
      </c>
      <c r="F1992" s="32" t="n">
        <f aca="false">COUNTIF(Base!$D$2:$D$2878,B1992)</f>
        <v>1</v>
      </c>
      <c r="G1992" s="35" t="n">
        <f aca="false">SUMIF(Base!$D$2:$D$2878,B1992,Base!$I$2:$I$2878)</f>
        <v>178</v>
      </c>
      <c r="H1992" s="36" t="n">
        <f aca="false">IF($G$2849=0,0,G1992/$G$2849)</f>
        <v>1.16807562858457E-005</v>
      </c>
      <c r="I1992" s="37" t="n">
        <f aca="false">I1991+H1992</f>
        <v>0.995912435265993</v>
      </c>
      <c r="J1992" s="37" t="n">
        <f aca="false">A1992/2840</f>
        <v>0.698943661971831</v>
      </c>
      <c r="K1992" s="32" t="str">
        <f aca="false">IF(I1992&lt;=$E$4,"A",IF(I1992&lt;=$E$5,"B","C"))</f>
        <v>C</v>
      </c>
    </row>
    <row r="1993" customFormat="false" ht="15" hidden="false" customHeight="false" outlineLevel="0" collapsed="false">
      <c r="A1993" s="32" t="n">
        <v>1986</v>
      </c>
      <c r="B1993" s="33" t="n">
        <v>1487954</v>
      </c>
      <c r="C1993" s="34" t="s">
        <v>4057</v>
      </c>
      <c r="D1993" s="34" t="s">
        <v>4058</v>
      </c>
      <c r="E1993" s="34" t="s">
        <v>130</v>
      </c>
      <c r="F1993" s="32" t="n">
        <f aca="false">COUNTIF(Base!$D$2:$D$2878,B1993)</f>
        <v>1</v>
      </c>
      <c r="G1993" s="35" t="n">
        <f aca="false">SUMIF(Base!$D$2:$D$2878,B1993,Base!$I$2:$I$2878)</f>
        <v>178</v>
      </c>
      <c r="H1993" s="36" t="n">
        <f aca="false">IF($G$2849=0,0,G1993/$G$2849)</f>
        <v>1.16807562858457E-005</v>
      </c>
      <c r="I1993" s="37" t="n">
        <f aca="false">I1992+H1993</f>
        <v>0.995924116022279</v>
      </c>
      <c r="J1993" s="37" t="n">
        <f aca="false">A1993/2840</f>
        <v>0.699295774647887</v>
      </c>
      <c r="K1993" s="32" t="str">
        <f aca="false">IF(I1993&lt;=$E$4,"A",IF(I1993&lt;=$E$5,"B","C"))</f>
        <v>C</v>
      </c>
    </row>
    <row r="1994" customFormat="false" ht="15" hidden="false" customHeight="false" outlineLevel="0" collapsed="false">
      <c r="A1994" s="32" t="n">
        <v>1987</v>
      </c>
      <c r="B1994" s="33" t="n">
        <v>840023</v>
      </c>
      <c r="C1994" s="34" t="s">
        <v>4059</v>
      </c>
      <c r="D1994" s="34" t="s">
        <v>4060</v>
      </c>
      <c r="E1994" s="34" t="s">
        <v>54</v>
      </c>
      <c r="F1994" s="32" t="n">
        <f aca="false">COUNTIF(Base!$D$2:$D$2878,B1994)</f>
        <v>1</v>
      </c>
      <c r="G1994" s="35" t="n">
        <f aca="false">SUMIF(Base!$D$2:$D$2878,B1994,Base!$I$2:$I$2878)</f>
        <v>177.8</v>
      </c>
      <c r="H1994" s="36" t="n">
        <f aca="false">IF($G$2849=0,0,G1994/$G$2849)</f>
        <v>1.16676318405807E-005</v>
      </c>
      <c r="I1994" s="37" t="n">
        <f aca="false">I1993+H1994</f>
        <v>0.99593578365412</v>
      </c>
      <c r="J1994" s="37" t="n">
        <f aca="false">A1994/2840</f>
        <v>0.699647887323944</v>
      </c>
      <c r="K1994" s="32" t="str">
        <f aca="false">IF(I1994&lt;=$E$4,"A",IF(I1994&lt;=$E$5,"B","C"))</f>
        <v>C</v>
      </c>
    </row>
    <row r="1995" customFormat="false" ht="15" hidden="false" customHeight="false" outlineLevel="0" collapsed="false">
      <c r="A1995" s="32" t="n">
        <v>1988</v>
      </c>
      <c r="B1995" s="33" t="n">
        <v>21805</v>
      </c>
      <c r="C1995" s="34" t="s">
        <v>4061</v>
      </c>
      <c r="D1995" s="34" t="s">
        <v>4062</v>
      </c>
      <c r="E1995" s="34" t="s">
        <v>189</v>
      </c>
      <c r="F1995" s="32" t="n">
        <f aca="false">COUNTIF(Base!$D$2:$D$2878,B1995)</f>
        <v>1</v>
      </c>
      <c r="G1995" s="35" t="n">
        <f aca="false">SUMIF(Base!$D$2:$D$2878,B1995,Base!$I$2:$I$2878)</f>
        <v>176</v>
      </c>
      <c r="H1995" s="36" t="n">
        <f aca="false">IF($G$2849=0,0,G1995/$G$2849)</f>
        <v>1.15495118331958E-005</v>
      </c>
      <c r="I1995" s="37" t="n">
        <f aca="false">I1994+H1995</f>
        <v>0.995947333165953</v>
      </c>
      <c r="J1995" s="37" t="n">
        <f aca="false">A1995/2840</f>
        <v>0.7</v>
      </c>
      <c r="K1995" s="32" t="str">
        <f aca="false">IF(I1995&lt;=$E$4,"A",IF(I1995&lt;=$E$5,"B","C"))</f>
        <v>C</v>
      </c>
    </row>
    <row r="1996" customFormat="false" ht="15" hidden="false" customHeight="false" outlineLevel="0" collapsed="false">
      <c r="A1996" s="32" t="n">
        <v>1989</v>
      </c>
      <c r="B1996" s="33" t="n">
        <v>284281</v>
      </c>
      <c r="C1996" s="34" t="s">
        <v>4063</v>
      </c>
      <c r="D1996" s="34" t="s">
        <v>4064</v>
      </c>
      <c r="E1996" s="34" t="s">
        <v>38</v>
      </c>
      <c r="F1996" s="32" t="n">
        <f aca="false">COUNTIF(Base!$D$2:$D$2878,B1996)</f>
        <v>1</v>
      </c>
      <c r="G1996" s="35" t="n">
        <f aca="false">SUMIF(Base!$D$2:$D$2878,B1996,Base!$I$2:$I$2878)</f>
        <v>176</v>
      </c>
      <c r="H1996" s="36" t="n">
        <f aca="false">IF($G$2849=0,0,G1996/$G$2849)</f>
        <v>1.15495118331958E-005</v>
      </c>
      <c r="I1996" s="37" t="n">
        <f aca="false">I1995+H1996</f>
        <v>0.995958882677786</v>
      </c>
      <c r="J1996" s="37" t="n">
        <f aca="false">A1996/2840</f>
        <v>0.700352112676056</v>
      </c>
      <c r="K1996" s="32" t="str">
        <f aca="false">IF(I1996&lt;=$E$4,"A",IF(I1996&lt;=$E$5,"B","C"))</f>
        <v>C</v>
      </c>
    </row>
    <row r="1997" customFormat="false" ht="15" hidden="false" customHeight="false" outlineLevel="0" collapsed="false">
      <c r="A1997" s="32" t="n">
        <v>1990</v>
      </c>
      <c r="B1997" s="33" t="n">
        <v>880896</v>
      </c>
      <c r="C1997" s="34" t="s">
        <v>4065</v>
      </c>
      <c r="D1997" s="34" t="s">
        <v>4066</v>
      </c>
      <c r="E1997" s="34" t="s">
        <v>113</v>
      </c>
      <c r="F1997" s="32" t="n">
        <f aca="false">COUNTIF(Base!$D$2:$D$2878,B1997)</f>
        <v>1</v>
      </c>
      <c r="G1997" s="35" t="n">
        <f aca="false">SUMIF(Base!$D$2:$D$2878,B1997,Base!$I$2:$I$2878)</f>
        <v>176</v>
      </c>
      <c r="H1997" s="36" t="n">
        <f aca="false">IF($G$2849=0,0,G1997/$G$2849)</f>
        <v>1.15495118331958E-005</v>
      </c>
      <c r="I1997" s="37" t="n">
        <f aca="false">I1996+H1997</f>
        <v>0.995970432189619</v>
      </c>
      <c r="J1997" s="37" t="n">
        <f aca="false">A1997/2840</f>
        <v>0.700704225352113</v>
      </c>
      <c r="K1997" s="32" t="str">
        <f aca="false">IF(I1997&lt;=$E$4,"A",IF(I1997&lt;=$E$5,"B","C"))</f>
        <v>C</v>
      </c>
    </row>
    <row r="1998" customFormat="false" ht="15" hidden="false" customHeight="false" outlineLevel="0" collapsed="false">
      <c r="A1998" s="32" t="n">
        <v>1991</v>
      </c>
      <c r="B1998" s="33" t="n">
        <v>17930</v>
      </c>
      <c r="C1998" s="34" t="s">
        <v>4067</v>
      </c>
      <c r="D1998" s="34" t="s">
        <v>4068</v>
      </c>
      <c r="E1998" s="34" t="s">
        <v>130</v>
      </c>
      <c r="F1998" s="32" t="n">
        <f aca="false">COUNTIF(Base!$D$2:$D$2878,B1998)</f>
        <v>1</v>
      </c>
      <c r="G1998" s="35" t="n">
        <f aca="false">SUMIF(Base!$D$2:$D$2878,B1998,Base!$I$2:$I$2878)</f>
        <v>175.58</v>
      </c>
      <c r="H1998" s="36" t="n">
        <f aca="false">IF($G$2849=0,0,G1998/$G$2849)</f>
        <v>1.15219504981393E-005</v>
      </c>
      <c r="I1998" s="37" t="n">
        <f aca="false">I1997+H1998</f>
        <v>0.995981954140118</v>
      </c>
      <c r="J1998" s="37" t="n">
        <f aca="false">A1998/2840</f>
        <v>0.701056338028169</v>
      </c>
      <c r="K1998" s="32" t="str">
        <f aca="false">IF(I1998&lt;=$E$4,"A",IF(I1998&lt;=$E$5,"B","C"))</f>
        <v>C</v>
      </c>
    </row>
    <row r="1999" customFormat="false" ht="15" hidden="false" customHeight="false" outlineLevel="0" collapsed="false">
      <c r="A1999" s="32" t="n">
        <v>1992</v>
      </c>
      <c r="B1999" s="33" t="n">
        <v>1312598</v>
      </c>
      <c r="C1999" s="34" t="s">
        <v>4069</v>
      </c>
      <c r="D1999" s="34" t="s">
        <v>4070</v>
      </c>
      <c r="E1999" s="34" t="s">
        <v>189</v>
      </c>
      <c r="F1999" s="32" t="n">
        <f aca="false">COUNTIF(Base!$D$2:$D$2878,B1999)</f>
        <v>1</v>
      </c>
      <c r="G1999" s="35" t="n">
        <f aca="false">SUMIF(Base!$D$2:$D$2878,B1999,Base!$I$2:$I$2878)</f>
        <v>175.44</v>
      </c>
      <c r="H1999" s="36" t="n">
        <f aca="false">IF($G$2849=0,0,G1999/$G$2849)</f>
        <v>1.15127633864538E-005</v>
      </c>
      <c r="I1999" s="37" t="n">
        <f aca="false">I1998+H1999</f>
        <v>0.995993466903504</v>
      </c>
      <c r="J1999" s="37" t="n">
        <f aca="false">A1999/2840</f>
        <v>0.701408450704225</v>
      </c>
      <c r="K1999" s="32" t="str">
        <f aca="false">IF(I1999&lt;=$E$4,"A",IF(I1999&lt;=$E$5,"B","C"))</f>
        <v>C</v>
      </c>
    </row>
    <row r="2000" customFormat="false" ht="15" hidden="false" customHeight="false" outlineLevel="0" collapsed="false">
      <c r="A2000" s="32" t="n">
        <v>1993</v>
      </c>
      <c r="B2000" s="33" t="n">
        <v>942224</v>
      </c>
      <c r="C2000" s="34" t="s">
        <v>4071</v>
      </c>
      <c r="D2000" s="34" t="s">
        <v>4072</v>
      </c>
      <c r="E2000" s="34" t="s">
        <v>100</v>
      </c>
      <c r="F2000" s="32" t="n">
        <f aca="false">COUNTIF(Base!$D$2:$D$2878,B2000)</f>
        <v>1</v>
      </c>
      <c r="G2000" s="35" t="n">
        <f aca="false">SUMIF(Base!$D$2:$D$2878,B2000,Base!$I$2:$I$2878)</f>
        <v>175.2</v>
      </c>
      <c r="H2000" s="36" t="n">
        <f aca="false">IF($G$2849=0,0,G2000/$G$2849)</f>
        <v>1.14970140521358E-005</v>
      </c>
      <c r="I2000" s="37" t="n">
        <f aca="false">I1999+H2000</f>
        <v>0.996004963917556</v>
      </c>
      <c r="J2000" s="37" t="n">
        <f aca="false">A2000/2840</f>
        <v>0.701760563380282</v>
      </c>
      <c r="K2000" s="32" t="str">
        <f aca="false">IF(I2000&lt;=$E$4,"A",IF(I2000&lt;=$E$5,"B","C"))</f>
        <v>C</v>
      </c>
    </row>
    <row r="2001" customFormat="false" ht="15" hidden="false" customHeight="false" outlineLevel="0" collapsed="false">
      <c r="A2001" s="32" t="n">
        <v>1994</v>
      </c>
      <c r="B2001" s="33" t="n">
        <v>35035</v>
      </c>
      <c r="C2001" s="34" t="s">
        <v>4073</v>
      </c>
      <c r="D2001" s="34" t="s">
        <v>4074</v>
      </c>
      <c r="E2001" s="34" t="s">
        <v>1618</v>
      </c>
      <c r="F2001" s="32" t="n">
        <f aca="false">COUNTIF(Base!$D$2:$D$2878,B2001)</f>
        <v>1</v>
      </c>
      <c r="G2001" s="35" t="n">
        <f aca="false">SUMIF(Base!$D$2:$D$2878,B2001,Base!$I$2:$I$2878)</f>
        <v>175</v>
      </c>
      <c r="H2001" s="36" t="n">
        <f aca="false">IF($G$2849=0,0,G2001/$G$2849)</f>
        <v>1.14838896068708E-005</v>
      </c>
      <c r="I2001" s="37" t="n">
        <f aca="false">I2000+H2001</f>
        <v>0.996016447807163</v>
      </c>
      <c r="J2001" s="37" t="n">
        <f aca="false">A2001/2840</f>
        <v>0.702112676056338</v>
      </c>
      <c r="K2001" s="32" t="str">
        <f aca="false">IF(I2001&lt;=$E$4,"A",IF(I2001&lt;=$E$5,"B","C"))</f>
        <v>C</v>
      </c>
    </row>
    <row r="2002" customFormat="false" ht="15" hidden="false" customHeight="false" outlineLevel="0" collapsed="false">
      <c r="A2002" s="32" t="n">
        <v>1995</v>
      </c>
      <c r="B2002" s="33" t="n">
        <v>90179</v>
      </c>
      <c r="C2002" s="34" t="s">
        <v>4075</v>
      </c>
      <c r="D2002" s="34" t="s">
        <v>4076</v>
      </c>
      <c r="E2002" s="34" t="s">
        <v>4077</v>
      </c>
      <c r="F2002" s="32" t="n">
        <f aca="false">COUNTIF(Base!$D$2:$D$2878,B2002)</f>
        <v>1</v>
      </c>
      <c r="G2002" s="35" t="n">
        <f aca="false">SUMIF(Base!$D$2:$D$2878,B2002,Base!$I$2:$I$2878)</f>
        <v>175</v>
      </c>
      <c r="H2002" s="36" t="n">
        <f aca="false">IF($G$2849=0,0,G2002/$G$2849)</f>
        <v>1.14838896068708E-005</v>
      </c>
      <c r="I2002" s="37" t="n">
        <f aca="false">I2001+H2002</f>
        <v>0.99602793169677</v>
      </c>
      <c r="J2002" s="37" t="n">
        <f aca="false">A2002/2840</f>
        <v>0.702464788732394</v>
      </c>
      <c r="K2002" s="32" t="str">
        <f aca="false">IF(I2002&lt;=$E$4,"A",IF(I2002&lt;=$E$5,"B","C"))</f>
        <v>C</v>
      </c>
    </row>
    <row r="2003" customFormat="false" ht="15" hidden="false" customHeight="false" outlineLevel="0" collapsed="false">
      <c r="A2003" s="32" t="n">
        <v>1996</v>
      </c>
      <c r="B2003" s="33" t="n">
        <v>19516</v>
      </c>
      <c r="C2003" s="34" t="s">
        <v>4078</v>
      </c>
      <c r="D2003" s="34" t="s">
        <v>4079</v>
      </c>
      <c r="E2003" s="34" t="s">
        <v>1095</v>
      </c>
      <c r="F2003" s="32" t="n">
        <f aca="false">COUNTIF(Base!$D$2:$D$2878,B2003)</f>
        <v>1</v>
      </c>
      <c r="G2003" s="35" t="n">
        <f aca="false">SUMIF(Base!$D$2:$D$2878,B2003,Base!$I$2:$I$2878)</f>
        <v>174.76</v>
      </c>
      <c r="H2003" s="36" t="n">
        <f aca="false">IF($G$2849=0,0,G2003/$G$2849)</f>
        <v>1.14681402725528E-005</v>
      </c>
      <c r="I2003" s="37" t="n">
        <f aca="false">I2002+H2003</f>
        <v>0.996039399837043</v>
      </c>
      <c r="J2003" s="37" t="n">
        <f aca="false">A2003/2840</f>
        <v>0.702816901408451</v>
      </c>
      <c r="K2003" s="32" t="str">
        <f aca="false">IF(I2003&lt;=$E$4,"A",IF(I2003&lt;=$E$5,"B","C"))</f>
        <v>C</v>
      </c>
    </row>
    <row r="2004" customFormat="false" ht="15" hidden="false" customHeight="false" outlineLevel="0" collapsed="false">
      <c r="A2004" s="32" t="n">
        <v>1997</v>
      </c>
      <c r="B2004" s="33" t="n">
        <v>17987</v>
      </c>
      <c r="C2004" s="34" t="s">
        <v>4080</v>
      </c>
      <c r="D2004" s="34" t="s">
        <v>4081</v>
      </c>
      <c r="E2004" s="34" t="s">
        <v>130</v>
      </c>
      <c r="F2004" s="32" t="n">
        <f aca="false">COUNTIF(Base!$D$2:$D$2878,B2004)</f>
        <v>1</v>
      </c>
      <c r="G2004" s="35" t="n">
        <f aca="false">SUMIF(Base!$D$2:$D$2878,B2004,Base!$I$2:$I$2878)</f>
        <v>174.5</v>
      </c>
      <c r="H2004" s="36" t="n">
        <f aca="false">IF($G$2849=0,0,G2004/$G$2849)</f>
        <v>1.14510784937083E-005</v>
      </c>
      <c r="I2004" s="37" t="n">
        <f aca="false">I2003+H2004</f>
        <v>0.996050850915536</v>
      </c>
      <c r="J2004" s="37" t="n">
        <f aca="false">A2004/2840</f>
        <v>0.703169014084507</v>
      </c>
      <c r="K2004" s="32" t="str">
        <f aca="false">IF(I2004&lt;=$E$4,"A",IF(I2004&lt;=$E$5,"B","C"))</f>
        <v>C</v>
      </c>
    </row>
    <row r="2005" customFormat="false" ht="15" hidden="false" customHeight="false" outlineLevel="0" collapsed="false">
      <c r="A2005" s="32" t="n">
        <v>1998</v>
      </c>
      <c r="B2005" s="33" t="n">
        <v>21837</v>
      </c>
      <c r="C2005" s="34" t="s">
        <v>4082</v>
      </c>
      <c r="D2005" s="34" t="s">
        <v>4083</v>
      </c>
      <c r="E2005" s="34" t="s">
        <v>457</v>
      </c>
      <c r="F2005" s="32" t="n">
        <f aca="false">COUNTIF(Base!$D$2:$D$2878,B2005)</f>
        <v>1</v>
      </c>
      <c r="G2005" s="35" t="n">
        <f aca="false">SUMIF(Base!$D$2:$D$2878,B2005,Base!$I$2:$I$2878)</f>
        <v>173.8</v>
      </c>
      <c r="H2005" s="36" t="n">
        <f aca="false">IF($G$2849=0,0,G2005/$G$2849)</f>
        <v>1.14051429352808E-005</v>
      </c>
      <c r="I2005" s="37" t="n">
        <f aca="false">I2004+H2005</f>
        <v>0.996062256058472</v>
      </c>
      <c r="J2005" s="37" t="n">
        <f aca="false">A2005/2840</f>
        <v>0.703521126760563</v>
      </c>
      <c r="K2005" s="32" t="str">
        <f aca="false">IF(I2005&lt;=$E$4,"A",IF(I2005&lt;=$E$5,"B","C"))</f>
        <v>C</v>
      </c>
    </row>
    <row r="2006" customFormat="false" ht="15" hidden="false" customHeight="false" outlineLevel="0" collapsed="false">
      <c r="A2006" s="32" t="n">
        <v>1999</v>
      </c>
      <c r="B2006" s="33" t="n">
        <v>65262</v>
      </c>
      <c r="C2006" s="34" t="s">
        <v>4084</v>
      </c>
      <c r="D2006" s="34" t="s">
        <v>4085</v>
      </c>
      <c r="E2006" s="34" t="s">
        <v>130</v>
      </c>
      <c r="F2006" s="32" t="n">
        <f aca="false">COUNTIF(Base!$D$2:$D$2878,B2006)</f>
        <v>1</v>
      </c>
      <c r="G2006" s="35" t="n">
        <f aca="false">SUMIF(Base!$D$2:$D$2878,B2006,Base!$I$2:$I$2878)</f>
        <v>172.86</v>
      </c>
      <c r="H2006" s="36" t="n">
        <f aca="false">IF($G$2849=0,0,G2006/$G$2849)</f>
        <v>1.13434580425354E-005</v>
      </c>
      <c r="I2006" s="37" t="n">
        <f aca="false">I2005+H2006</f>
        <v>0.996073599516514</v>
      </c>
      <c r="J2006" s="37" t="n">
        <f aca="false">A2006/2840</f>
        <v>0.70387323943662</v>
      </c>
      <c r="K2006" s="32" t="str">
        <f aca="false">IF(I2006&lt;=$E$4,"A",IF(I2006&lt;=$E$5,"B","C"))</f>
        <v>C</v>
      </c>
    </row>
    <row r="2007" customFormat="false" ht="15" hidden="false" customHeight="false" outlineLevel="0" collapsed="false">
      <c r="A2007" s="32" t="n">
        <v>2000</v>
      </c>
      <c r="B2007" s="33" t="n">
        <v>138484</v>
      </c>
      <c r="C2007" s="34" t="s">
        <v>4086</v>
      </c>
      <c r="D2007" s="34" t="s">
        <v>4087</v>
      </c>
      <c r="E2007" s="34" t="s">
        <v>113</v>
      </c>
      <c r="F2007" s="32" t="n">
        <f aca="false">COUNTIF(Base!$D$2:$D$2878,B2007)</f>
        <v>1</v>
      </c>
      <c r="G2007" s="35" t="n">
        <f aca="false">SUMIF(Base!$D$2:$D$2878,B2007,Base!$I$2:$I$2878)</f>
        <v>172</v>
      </c>
      <c r="H2007" s="36" t="n">
        <f aca="false">IF($G$2849=0,0,G2007/$G$2849)</f>
        <v>1.12870229278959E-005</v>
      </c>
      <c r="I2007" s="37" t="n">
        <f aca="false">I2006+H2007</f>
        <v>0.996084886539442</v>
      </c>
      <c r="J2007" s="37" t="n">
        <f aca="false">A2007/2840</f>
        <v>0.704225352112676</v>
      </c>
      <c r="K2007" s="32" t="str">
        <f aca="false">IF(I2007&lt;=$E$4,"A",IF(I2007&lt;=$E$5,"B","C"))</f>
        <v>C</v>
      </c>
    </row>
    <row r="2008" customFormat="false" ht="15" hidden="false" customHeight="false" outlineLevel="0" collapsed="false">
      <c r="A2008" s="32" t="n">
        <v>2001</v>
      </c>
      <c r="B2008" s="33" t="n">
        <v>932438</v>
      </c>
      <c r="C2008" s="34" t="s">
        <v>4088</v>
      </c>
      <c r="D2008" s="34" t="s">
        <v>4089</v>
      </c>
      <c r="E2008" s="34" t="s">
        <v>54</v>
      </c>
      <c r="F2008" s="32" t="n">
        <f aca="false">COUNTIF(Base!$D$2:$D$2878,B2008)</f>
        <v>1</v>
      </c>
      <c r="G2008" s="35" t="n">
        <f aca="false">SUMIF(Base!$D$2:$D$2878,B2008,Base!$I$2:$I$2878)</f>
        <v>172</v>
      </c>
      <c r="H2008" s="36" t="n">
        <f aca="false">IF($G$2849=0,0,G2008/$G$2849)</f>
        <v>1.12870229278959E-005</v>
      </c>
      <c r="I2008" s="37" t="n">
        <f aca="false">I2007+H2008</f>
        <v>0.99609617356237</v>
      </c>
      <c r="J2008" s="37" t="n">
        <f aca="false">A2008/2840</f>
        <v>0.704577464788732</v>
      </c>
      <c r="K2008" s="32" t="str">
        <f aca="false">IF(I2008&lt;=$E$4,"A",IF(I2008&lt;=$E$5,"B","C"))</f>
        <v>C</v>
      </c>
    </row>
    <row r="2009" customFormat="false" ht="15" hidden="false" customHeight="false" outlineLevel="0" collapsed="false">
      <c r="A2009" s="32" t="n">
        <v>2002</v>
      </c>
      <c r="B2009" s="33" t="n">
        <v>56608</v>
      </c>
      <c r="C2009" s="34" t="s">
        <v>4090</v>
      </c>
      <c r="D2009" s="34" t="s">
        <v>4091</v>
      </c>
      <c r="E2009" s="34" t="s">
        <v>38</v>
      </c>
      <c r="F2009" s="32" t="n">
        <f aca="false">COUNTIF(Base!$D$2:$D$2878,B2009)</f>
        <v>1</v>
      </c>
      <c r="G2009" s="35" t="n">
        <f aca="false">SUMIF(Base!$D$2:$D$2878,B2009,Base!$I$2:$I$2878)</f>
        <v>171.76</v>
      </c>
      <c r="H2009" s="36" t="n">
        <f aca="false">IF($G$2849=0,0,G2009/$G$2849)</f>
        <v>1.12712735935779E-005</v>
      </c>
      <c r="I2009" s="37" t="n">
        <f aca="false">I2008+H2009</f>
        <v>0.996107444835963</v>
      </c>
      <c r="J2009" s="37" t="n">
        <f aca="false">A2009/2840</f>
        <v>0.704929577464789</v>
      </c>
      <c r="K2009" s="32" t="str">
        <f aca="false">IF(I2009&lt;=$E$4,"A",IF(I2009&lt;=$E$5,"B","C"))</f>
        <v>C</v>
      </c>
    </row>
    <row r="2010" customFormat="false" ht="15" hidden="false" customHeight="false" outlineLevel="0" collapsed="false">
      <c r="A2010" s="32" t="n">
        <v>2003</v>
      </c>
      <c r="B2010" s="33" t="n">
        <v>1465936</v>
      </c>
      <c r="C2010" s="34" t="s">
        <v>4092</v>
      </c>
      <c r="D2010" s="34" t="s">
        <v>4093</v>
      </c>
      <c r="E2010" s="34" t="s">
        <v>38</v>
      </c>
      <c r="F2010" s="32" t="n">
        <f aca="false">COUNTIF(Base!$D$2:$D$2878,B2010)</f>
        <v>1</v>
      </c>
      <c r="G2010" s="35" t="n">
        <f aca="false">SUMIF(Base!$D$2:$D$2878,B2010,Base!$I$2:$I$2878)</f>
        <v>171.28</v>
      </c>
      <c r="H2010" s="36" t="n">
        <f aca="false">IF($G$2849=0,0,G2010/$G$2849)</f>
        <v>1.12397749249419E-005</v>
      </c>
      <c r="I2010" s="37" t="n">
        <f aca="false">I2009+H2010</f>
        <v>0.996118684610888</v>
      </c>
      <c r="J2010" s="37" t="n">
        <f aca="false">A2010/2840</f>
        <v>0.705281690140845</v>
      </c>
      <c r="K2010" s="32" t="str">
        <f aca="false">IF(I2010&lt;=$E$4,"A",IF(I2010&lt;=$E$5,"B","C"))</f>
        <v>C</v>
      </c>
    </row>
    <row r="2011" customFormat="false" ht="15" hidden="false" customHeight="false" outlineLevel="0" collapsed="false">
      <c r="A2011" s="32" t="n">
        <v>2004</v>
      </c>
      <c r="B2011" s="33" t="n">
        <v>21854</v>
      </c>
      <c r="C2011" s="34" t="s">
        <v>4094</v>
      </c>
      <c r="D2011" s="34" t="s">
        <v>4095</v>
      </c>
      <c r="E2011" s="34" t="s">
        <v>130</v>
      </c>
      <c r="F2011" s="32" t="n">
        <f aca="false">COUNTIF(Base!$D$2:$D$2878,B2011)</f>
        <v>1</v>
      </c>
      <c r="G2011" s="35" t="n">
        <f aca="false">SUMIF(Base!$D$2:$D$2878,B2011,Base!$I$2:$I$2878)</f>
        <v>171</v>
      </c>
      <c r="H2011" s="36" t="n">
        <f aca="false">IF($G$2849=0,0,G2011/$G$2849)</f>
        <v>1.12214007015709E-005</v>
      </c>
      <c r="I2011" s="37" t="n">
        <f aca="false">I2010+H2011</f>
        <v>0.99612990601159</v>
      </c>
      <c r="J2011" s="37" t="n">
        <f aca="false">A2011/2840</f>
        <v>0.705633802816901</v>
      </c>
      <c r="K2011" s="32" t="str">
        <f aca="false">IF(I2011&lt;=$E$4,"A",IF(I2011&lt;=$E$5,"B","C"))</f>
        <v>C</v>
      </c>
    </row>
    <row r="2012" customFormat="false" ht="15" hidden="false" customHeight="false" outlineLevel="0" collapsed="false">
      <c r="A2012" s="32" t="n">
        <v>2005</v>
      </c>
      <c r="B2012" s="33" t="n">
        <v>57969</v>
      </c>
      <c r="C2012" s="34" t="s">
        <v>4096</v>
      </c>
      <c r="D2012" s="34" t="s">
        <v>4097</v>
      </c>
      <c r="E2012" s="34" t="s">
        <v>130</v>
      </c>
      <c r="F2012" s="32" t="n">
        <f aca="false">COUNTIF(Base!$D$2:$D$2878,B2012)</f>
        <v>1</v>
      </c>
      <c r="G2012" s="35" t="n">
        <f aca="false">SUMIF(Base!$D$2:$D$2878,B2012,Base!$I$2:$I$2878)</f>
        <v>171</v>
      </c>
      <c r="H2012" s="36" t="n">
        <f aca="false">IF($G$2849=0,0,G2012/$G$2849)</f>
        <v>1.12214007015709E-005</v>
      </c>
      <c r="I2012" s="37" t="n">
        <f aca="false">I2011+H2012</f>
        <v>0.996141127412291</v>
      </c>
      <c r="J2012" s="37" t="n">
        <f aca="false">A2012/2840</f>
        <v>0.705985915492958</v>
      </c>
      <c r="K2012" s="32" t="str">
        <f aca="false">IF(I2012&lt;=$E$4,"A",IF(I2012&lt;=$E$5,"B","C"))</f>
        <v>C</v>
      </c>
    </row>
    <row r="2013" customFormat="false" ht="15" hidden="false" customHeight="false" outlineLevel="0" collapsed="false">
      <c r="A2013" s="32" t="n">
        <v>2006</v>
      </c>
      <c r="B2013" s="33" t="n">
        <v>1092148</v>
      </c>
      <c r="C2013" s="34" t="s">
        <v>4098</v>
      </c>
      <c r="D2013" s="34" t="s">
        <v>4099</v>
      </c>
      <c r="E2013" s="34" t="s">
        <v>130</v>
      </c>
      <c r="F2013" s="32" t="n">
        <f aca="false">COUNTIF(Base!$D$2:$D$2878,B2013)</f>
        <v>1</v>
      </c>
      <c r="G2013" s="35" t="n">
        <f aca="false">SUMIF(Base!$D$2:$D$2878,B2013,Base!$I$2:$I$2878)</f>
        <v>170.98</v>
      </c>
      <c r="H2013" s="36" t="n">
        <f aca="false">IF($G$2849=0,0,G2013/$G$2849)</f>
        <v>1.12200882570444E-005</v>
      </c>
      <c r="I2013" s="37" t="n">
        <f aca="false">I2012+H2013</f>
        <v>0.996152347500548</v>
      </c>
      <c r="J2013" s="37" t="n">
        <f aca="false">A2013/2840</f>
        <v>0.706338028169014</v>
      </c>
      <c r="K2013" s="32" t="str">
        <f aca="false">IF(I2013&lt;=$E$4,"A",IF(I2013&lt;=$E$5,"B","C"))</f>
        <v>C</v>
      </c>
    </row>
    <row r="2014" customFormat="false" ht="15" hidden="false" customHeight="false" outlineLevel="0" collapsed="false">
      <c r="A2014" s="32" t="n">
        <v>2007</v>
      </c>
      <c r="B2014" s="33" t="n">
        <v>19352</v>
      </c>
      <c r="C2014" s="34" t="s">
        <v>4100</v>
      </c>
      <c r="D2014" s="34" t="s">
        <v>4101</v>
      </c>
      <c r="E2014" s="34" t="s">
        <v>1095</v>
      </c>
      <c r="F2014" s="32" t="n">
        <f aca="false">COUNTIF(Base!$D$2:$D$2878,B2014)</f>
        <v>1</v>
      </c>
      <c r="G2014" s="35" t="n">
        <f aca="false">SUMIF(Base!$D$2:$D$2878,B2014,Base!$I$2:$I$2878)</f>
        <v>170.85</v>
      </c>
      <c r="H2014" s="36" t="n">
        <f aca="false">IF($G$2849=0,0,G2014/$G$2849)</f>
        <v>1.12115573676222E-005</v>
      </c>
      <c r="I2014" s="37" t="n">
        <f aca="false">I2013+H2014</f>
        <v>0.996163559057916</v>
      </c>
      <c r="J2014" s="37" t="n">
        <f aca="false">A2014/2840</f>
        <v>0.70669014084507</v>
      </c>
      <c r="K2014" s="32" t="str">
        <f aca="false">IF(I2014&lt;=$E$4,"A",IF(I2014&lt;=$E$5,"B","C"))</f>
        <v>C</v>
      </c>
    </row>
    <row r="2015" customFormat="false" ht="15" hidden="false" customHeight="false" outlineLevel="0" collapsed="false">
      <c r="A2015" s="32" t="n">
        <v>2008</v>
      </c>
      <c r="B2015" s="33" t="n">
        <v>19353</v>
      </c>
      <c r="C2015" s="34" t="s">
        <v>4102</v>
      </c>
      <c r="D2015" s="34" t="s">
        <v>4103</v>
      </c>
      <c r="E2015" s="34" t="s">
        <v>1095</v>
      </c>
      <c r="F2015" s="32" t="n">
        <f aca="false">COUNTIF(Base!$D$2:$D$2878,B2015)</f>
        <v>1</v>
      </c>
      <c r="G2015" s="35" t="n">
        <f aca="false">SUMIF(Base!$D$2:$D$2878,B2015,Base!$I$2:$I$2878)</f>
        <v>170.85</v>
      </c>
      <c r="H2015" s="36" t="n">
        <f aca="false">IF($G$2849=0,0,G2015/$G$2849)</f>
        <v>1.12115573676222E-005</v>
      </c>
      <c r="I2015" s="37" t="n">
        <f aca="false">I2014+H2015</f>
        <v>0.996174770615284</v>
      </c>
      <c r="J2015" s="37" t="n">
        <f aca="false">A2015/2840</f>
        <v>0.707042253521127</v>
      </c>
      <c r="K2015" s="32" t="str">
        <f aca="false">IF(I2015&lt;=$E$4,"A",IF(I2015&lt;=$E$5,"B","C"))</f>
        <v>C</v>
      </c>
    </row>
    <row r="2016" customFormat="false" ht="15" hidden="false" customHeight="false" outlineLevel="0" collapsed="false">
      <c r="A2016" s="32" t="n">
        <v>2009</v>
      </c>
      <c r="B2016" s="33" t="n">
        <v>19355</v>
      </c>
      <c r="C2016" s="34" t="s">
        <v>4104</v>
      </c>
      <c r="D2016" s="34" t="s">
        <v>4105</v>
      </c>
      <c r="E2016" s="34" t="s">
        <v>1095</v>
      </c>
      <c r="F2016" s="32" t="n">
        <f aca="false">COUNTIF(Base!$D$2:$D$2878,B2016)</f>
        <v>1</v>
      </c>
      <c r="G2016" s="35" t="n">
        <f aca="false">SUMIF(Base!$D$2:$D$2878,B2016,Base!$I$2:$I$2878)</f>
        <v>170.85</v>
      </c>
      <c r="H2016" s="36" t="n">
        <f aca="false">IF($G$2849=0,0,G2016/$G$2849)</f>
        <v>1.12115573676222E-005</v>
      </c>
      <c r="I2016" s="37" t="n">
        <f aca="false">I2015+H2016</f>
        <v>0.996185982172651</v>
      </c>
      <c r="J2016" s="37" t="n">
        <f aca="false">A2016/2840</f>
        <v>0.707394366197183</v>
      </c>
      <c r="K2016" s="32" t="str">
        <f aca="false">IF(I2016&lt;=$E$4,"A",IF(I2016&lt;=$E$5,"B","C"))</f>
        <v>C</v>
      </c>
    </row>
    <row r="2017" customFormat="false" ht="15" hidden="false" customHeight="false" outlineLevel="0" collapsed="false">
      <c r="A2017" s="32" t="n">
        <v>2010</v>
      </c>
      <c r="B2017" s="33" t="n">
        <v>750198</v>
      </c>
      <c r="C2017" s="34" t="s">
        <v>4106</v>
      </c>
      <c r="D2017" s="34" t="s">
        <v>4107</v>
      </c>
      <c r="E2017" s="34" t="s">
        <v>1618</v>
      </c>
      <c r="F2017" s="32" t="n">
        <f aca="false">COUNTIF(Base!$D$2:$D$2878,B2017)</f>
        <v>1</v>
      </c>
      <c r="G2017" s="35" t="n">
        <f aca="false">SUMIF(Base!$D$2:$D$2878,B2017,Base!$I$2:$I$2878)</f>
        <v>170.72</v>
      </c>
      <c r="H2017" s="36" t="n">
        <f aca="false">IF($G$2849=0,0,G2017/$G$2849)</f>
        <v>1.12030264781999E-005</v>
      </c>
      <c r="I2017" s="37" t="n">
        <f aca="false">I2016+H2017</f>
        <v>0.996197185199129</v>
      </c>
      <c r="J2017" s="37" t="n">
        <f aca="false">A2017/2840</f>
        <v>0.707746478873239</v>
      </c>
      <c r="K2017" s="32" t="str">
        <f aca="false">IF(I2017&lt;=$E$4,"A",IF(I2017&lt;=$E$5,"B","C"))</f>
        <v>C</v>
      </c>
    </row>
    <row r="2018" customFormat="false" ht="15" hidden="false" customHeight="false" outlineLevel="0" collapsed="false">
      <c r="A2018" s="32" t="n">
        <v>2011</v>
      </c>
      <c r="B2018" s="33" t="n">
        <v>54564</v>
      </c>
      <c r="C2018" s="34" t="s">
        <v>4108</v>
      </c>
      <c r="D2018" s="34" t="s">
        <v>4109</v>
      </c>
      <c r="E2018" s="34" t="s">
        <v>38</v>
      </c>
      <c r="F2018" s="32" t="n">
        <f aca="false">COUNTIF(Base!$D$2:$D$2878,B2018)</f>
        <v>1</v>
      </c>
      <c r="G2018" s="35" t="n">
        <f aca="false">SUMIF(Base!$D$2:$D$2878,B2018,Base!$I$2:$I$2878)</f>
        <v>170.68</v>
      </c>
      <c r="H2018" s="36" t="n">
        <f aca="false">IF($G$2849=0,0,G2018/$G$2849)</f>
        <v>1.12004015891469E-005</v>
      </c>
      <c r="I2018" s="37" t="n">
        <f aca="false">I2017+H2018</f>
        <v>0.996208385600719</v>
      </c>
      <c r="J2018" s="37" t="n">
        <f aca="false">A2018/2840</f>
        <v>0.708098591549296</v>
      </c>
      <c r="K2018" s="32" t="str">
        <f aca="false">IF(I2018&lt;=$E$4,"A",IF(I2018&lt;=$E$5,"B","C"))</f>
        <v>C</v>
      </c>
    </row>
    <row r="2019" customFormat="false" ht="15" hidden="false" customHeight="false" outlineLevel="0" collapsed="false">
      <c r="A2019" s="32" t="n">
        <v>2012</v>
      </c>
      <c r="B2019" s="33" t="n">
        <v>16299</v>
      </c>
      <c r="C2019" s="34" t="s">
        <v>4110</v>
      </c>
      <c r="D2019" s="34" t="s">
        <v>4111</v>
      </c>
      <c r="E2019" s="34" t="s">
        <v>54</v>
      </c>
      <c r="F2019" s="32" t="n">
        <f aca="false">COUNTIF(Base!$D$2:$D$2878,B2019)</f>
        <v>1</v>
      </c>
      <c r="G2019" s="35" t="n">
        <f aca="false">SUMIF(Base!$D$2:$D$2878,B2019,Base!$I$2:$I$2878)</f>
        <v>170</v>
      </c>
      <c r="H2019" s="36" t="n">
        <f aca="false">IF($G$2849=0,0,G2019/$G$2849)</f>
        <v>1.11557784752459E-005</v>
      </c>
      <c r="I2019" s="37" t="n">
        <f aca="false">I2018+H2019</f>
        <v>0.996219541379194</v>
      </c>
      <c r="J2019" s="37" t="n">
        <f aca="false">A2019/2840</f>
        <v>0.708450704225352</v>
      </c>
      <c r="K2019" s="32" t="str">
        <f aca="false">IF(I2019&lt;=$E$4,"A",IF(I2019&lt;=$E$5,"B","C"))</f>
        <v>C</v>
      </c>
    </row>
    <row r="2020" customFormat="false" ht="15" hidden="false" customHeight="false" outlineLevel="0" collapsed="false">
      <c r="A2020" s="32" t="n">
        <v>2013</v>
      </c>
      <c r="B2020" s="33" t="n">
        <v>55328</v>
      </c>
      <c r="C2020" s="34" t="s">
        <v>4112</v>
      </c>
      <c r="D2020" s="34" t="s">
        <v>4113</v>
      </c>
      <c r="E2020" s="34" t="s">
        <v>1618</v>
      </c>
      <c r="F2020" s="32" t="n">
        <f aca="false">COUNTIF(Base!$D$2:$D$2878,B2020)</f>
        <v>1</v>
      </c>
      <c r="G2020" s="35" t="n">
        <f aca="false">SUMIF(Base!$D$2:$D$2878,B2020,Base!$I$2:$I$2878)</f>
        <v>170</v>
      </c>
      <c r="H2020" s="36" t="n">
        <f aca="false">IF($G$2849=0,0,G2020/$G$2849)</f>
        <v>1.11557784752459E-005</v>
      </c>
      <c r="I2020" s="37" t="n">
        <f aca="false">I2019+H2020</f>
        <v>0.996230697157669</v>
      </c>
      <c r="J2020" s="37" t="n">
        <f aca="false">A2020/2840</f>
        <v>0.708802816901409</v>
      </c>
      <c r="K2020" s="32" t="str">
        <f aca="false">IF(I2020&lt;=$E$4,"A",IF(I2020&lt;=$E$5,"B","C"))</f>
        <v>C</v>
      </c>
    </row>
    <row r="2021" customFormat="false" ht="15" hidden="false" customHeight="false" outlineLevel="0" collapsed="false">
      <c r="A2021" s="32" t="n">
        <v>2014</v>
      </c>
      <c r="B2021" s="33" t="n">
        <v>853866</v>
      </c>
      <c r="C2021" s="34" t="s">
        <v>4114</v>
      </c>
      <c r="D2021" s="34" t="s">
        <v>4115</v>
      </c>
      <c r="E2021" s="34" t="s">
        <v>262</v>
      </c>
      <c r="F2021" s="32" t="n">
        <f aca="false">COUNTIF(Base!$D$2:$D$2878,B2021)</f>
        <v>1</v>
      </c>
      <c r="G2021" s="35" t="n">
        <f aca="false">SUMIF(Base!$D$2:$D$2878,B2021,Base!$I$2:$I$2878)</f>
        <v>170</v>
      </c>
      <c r="H2021" s="36" t="n">
        <f aca="false">IF($G$2849=0,0,G2021/$G$2849)</f>
        <v>1.11557784752459E-005</v>
      </c>
      <c r="I2021" s="37" t="n">
        <f aca="false">I2020+H2021</f>
        <v>0.996241852936144</v>
      </c>
      <c r="J2021" s="37" t="n">
        <f aca="false">A2021/2840</f>
        <v>0.709154929577465</v>
      </c>
      <c r="K2021" s="32" t="str">
        <f aca="false">IF(I2021&lt;=$E$4,"A",IF(I2021&lt;=$E$5,"B","C"))</f>
        <v>C</v>
      </c>
    </row>
    <row r="2022" customFormat="false" ht="15" hidden="false" customHeight="false" outlineLevel="0" collapsed="false">
      <c r="A2022" s="32" t="n">
        <v>2015</v>
      </c>
      <c r="B2022" s="33" t="n">
        <v>873214</v>
      </c>
      <c r="C2022" s="34" t="s">
        <v>4116</v>
      </c>
      <c r="D2022" s="34" t="s">
        <v>4117</v>
      </c>
      <c r="E2022" s="34" t="s">
        <v>247</v>
      </c>
      <c r="F2022" s="32" t="n">
        <f aca="false">COUNTIF(Base!$D$2:$D$2878,B2022)</f>
        <v>1</v>
      </c>
      <c r="G2022" s="35" t="n">
        <f aca="false">SUMIF(Base!$D$2:$D$2878,B2022,Base!$I$2:$I$2878)</f>
        <v>170</v>
      </c>
      <c r="H2022" s="36" t="n">
        <f aca="false">IF($G$2849=0,0,G2022/$G$2849)</f>
        <v>1.11557784752459E-005</v>
      </c>
      <c r="I2022" s="37" t="n">
        <f aca="false">I2021+H2022</f>
        <v>0.996253008714619</v>
      </c>
      <c r="J2022" s="37" t="n">
        <f aca="false">A2022/2840</f>
        <v>0.709507042253521</v>
      </c>
      <c r="K2022" s="32" t="str">
        <f aca="false">IF(I2022&lt;=$E$4,"A",IF(I2022&lt;=$E$5,"B","C"))</f>
        <v>C</v>
      </c>
    </row>
    <row r="2023" customFormat="false" ht="15" hidden="false" customHeight="false" outlineLevel="0" collapsed="false">
      <c r="A2023" s="32" t="n">
        <v>2016</v>
      </c>
      <c r="B2023" s="33" t="n">
        <v>873215</v>
      </c>
      <c r="C2023" s="34" t="s">
        <v>4118</v>
      </c>
      <c r="D2023" s="34" t="s">
        <v>4119</v>
      </c>
      <c r="E2023" s="34" t="s">
        <v>247</v>
      </c>
      <c r="F2023" s="32" t="n">
        <f aca="false">COUNTIF(Base!$D$2:$D$2878,B2023)</f>
        <v>1</v>
      </c>
      <c r="G2023" s="35" t="n">
        <f aca="false">SUMIF(Base!$D$2:$D$2878,B2023,Base!$I$2:$I$2878)</f>
        <v>170</v>
      </c>
      <c r="H2023" s="36" t="n">
        <f aca="false">IF($G$2849=0,0,G2023/$G$2849)</f>
        <v>1.11557784752459E-005</v>
      </c>
      <c r="I2023" s="37" t="n">
        <f aca="false">I2022+H2023</f>
        <v>0.996264164493095</v>
      </c>
      <c r="J2023" s="37" t="n">
        <f aca="false">A2023/2840</f>
        <v>0.709859154929578</v>
      </c>
      <c r="K2023" s="32" t="str">
        <f aca="false">IF(I2023&lt;=$E$4,"A",IF(I2023&lt;=$E$5,"B","C"))</f>
        <v>C</v>
      </c>
    </row>
    <row r="2024" customFormat="false" ht="15" hidden="false" customHeight="false" outlineLevel="0" collapsed="false">
      <c r="A2024" s="32" t="n">
        <v>2017</v>
      </c>
      <c r="B2024" s="33" t="n">
        <v>873217</v>
      </c>
      <c r="C2024" s="34" t="s">
        <v>4120</v>
      </c>
      <c r="D2024" s="34" t="s">
        <v>4121</v>
      </c>
      <c r="E2024" s="34" t="s">
        <v>247</v>
      </c>
      <c r="F2024" s="32" t="n">
        <f aca="false">COUNTIF(Base!$D$2:$D$2878,B2024)</f>
        <v>1</v>
      </c>
      <c r="G2024" s="35" t="n">
        <f aca="false">SUMIF(Base!$D$2:$D$2878,B2024,Base!$I$2:$I$2878)</f>
        <v>170</v>
      </c>
      <c r="H2024" s="36" t="n">
        <f aca="false">IF($G$2849=0,0,G2024/$G$2849)</f>
        <v>1.11557784752459E-005</v>
      </c>
      <c r="I2024" s="37" t="n">
        <f aca="false">I2023+H2024</f>
        <v>0.99627532027157</v>
      </c>
      <c r="J2024" s="37" t="n">
        <f aca="false">A2024/2840</f>
        <v>0.710211267605634</v>
      </c>
      <c r="K2024" s="32" t="str">
        <f aca="false">IF(I2024&lt;=$E$4,"A",IF(I2024&lt;=$E$5,"B","C"))</f>
        <v>C</v>
      </c>
    </row>
    <row r="2025" customFormat="false" ht="15" hidden="false" customHeight="false" outlineLevel="0" collapsed="false">
      <c r="A2025" s="32" t="n">
        <v>2018</v>
      </c>
      <c r="B2025" s="33" t="n">
        <v>65641</v>
      </c>
      <c r="C2025" s="34" t="s">
        <v>4122</v>
      </c>
      <c r="D2025" s="34" t="s">
        <v>4123</v>
      </c>
      <c r="E2025" s="34" t="s">
        <v>38</v>
      </c>
      <c r="F2025" s="32" t="n">
        <f aca="false">COUNTIF(Base!$D$2:$D$2878,B2025)</f>
        <v>1</v>
      </c>
      <c r="G2025" s="35" t="n">
        <f aca="false">SUMIF(Base!$D$2:$D$2878,B2025,Base!$I$2:$I$2878)</f>
        <v>169.95</v>
      </c>
      <c r="H2025" s="36" t="n">
        <f aca="false">IF($G$2849=0,0,G2025/$G$2849)</f>
        <v>1.11524973639297E-005</v>
      </c>
      <c r="I2025" s="37" t="n">
        <f aca="false">I2024+H2025</f>
        <v>0.996286472768934</v>
      </c>
      <c r="J2025" s="37" t="n">
        <f aca="false">A2025/2840</f>
        <v>0.71056338028169</v>
      </c>
      <c r="K2025" s="32" t="str">
        <f aca="false">IF(I2025&lt;=$E$4,"A",IF(I2025&lt;=$E$5,"B","C"))</f>
        <v>C</v>
      </c>
    </row>
    <row r="2026" customFormat="false" ht="15" hidden="false" customHeight="false" outlineLevel="0" collapsed="false">
      <c r="A2026" s="32" t="n">
        <v>2019</v>
      </c>
      <c r="B2026" s="33" t="n">
        <v>870436</v>
      </c>
      <c r="C2026" s="34" t="s">
        <v>4124</v>
      </c>
      <c r="D2026" s="34" t="s">
        <v>4125</v>
      </c>
      <c r="E2026" s="34" t="s">
        <v>1095</v>
      </c>
      <c r="F2026" s="32" t="n">
        <f aca="false">COUNTIF(Base!$D$2:$D$2878,B2026)</f>
        <v>1</v>
      </c>
      <c r="G2026" s="35" t="n">
        <f aca="false">SUMIF(Base!$D$2:$D$2878,B2026,Base!$I$2:$I$2878)</f>
        <v>169.83</v>
      </c>
      <c r="H2026" s="36" t="n">
        <f aca="false">IF($G$2849=0,0,G2026/$G$2849)</f>
        <v>1.11446226967707E-005</v>
      </c>
      <c r="I2026" s="37" t="n">
        <f aca="false">I2025+H2026</f>
        <v>0.996297617391631</v>
      </c>
      <c r="J2026" s="37" t="n">
        <f aca="false">A2026/2840</f>
        <v>0.710915492957747</v>
      </c>
      <c r="K2026" s="32" t="str">
        <f aca="false">IF(I2026&lt;=$E$4,"A",IF(I2026&lt;=$E$5,"B","C"))</f>
        <v>C</v>
      </c>
    </row>
    <row r="2027" customFormat="false" ht="15" hidden="false" customHeight="false" outlineLevel="0" collapsed="false">
      <c r="A2027" s="32" t="n">
        <v>2020</v>
      </c>
      <c r="B2027" s="33" t="n">
        <v>870437</v>
      </c>
      <c r="C2027" s="34" t="s">
        <v>4126</v>
      </c>
      <c r="D2027" s="34" t="s">
        <v>4127</v>
      </c>
      <c r="E2027" s="34" t="s">
        <v>1095</v>
      </c>
      <c r="F2027" s="32" t="n">
        <f aca="false">COUNTIF(Base!$D$2:$D$2878,B2027)</f>
        <v>1</v>
      </c>
      <c r="G2027" s="35" t="n">
        <f aca="false">SUMIF(Base!$D$2:$D$2878,B2027,Base!$I$2:$I$2878)</f>
        <v>169.83</v>
      </c>
      <c r="H2027" s="36" t="n">
        <f aca="false">IF($G$2849=0,0,G2027/$G$2849)</f>
        <v>1.11446226967707E-005</v>
      </c>
      <c r="I2027" s="37" t="n">
        <f aca="false">I2026+H2027</f>
        <v>0.996308762014327</v>
      </c>
      <c r="J2027" s="37" t="n">
        <f aca="false">A2027/2840</f>
        <v>0.711267605633803</v>
      </c>
      <c r="K2027" s="32" t="str">
        <f aca="false">IF(I2027&lt;=$E$4,"A",IF(I2027&lt;=$E$5,"B","C"))</f>
        <v>C</v>
      </c>
    </row>
    <row r="2028" customFormat="false" ht="15" hidden="false" customHeight="false" outlineLevel="0" collapsed="false">
      <c r="A2028" s="32" t="n">
        <v>2021</v>
      </c>
      <c r="B2028" s="33" t="n">
        <v>1486826</v>
      </c>
      <c r="C2028" s="34" t="s">
        <v>4128</v>
      </c>
      <c r="D2028" s="34" t="s">
        <v>4129</v>
      </c>
      <c r="E2028" s="34" t="s">
        <v>38</v>
      </c>
      <c r="F2028" s="32" t="n">
        <f aca="false">COUNTIF(Base!$D$2:$D$2878,B2028)</f>
        <v>1</v>
      </c>
      <c r="G2028" s="35" t="n">
        <f aca="false">SUMIF(Base!$D$2:$D$2878,B2028,Base!$I$2:$I$2878)</f>
        <v>169.7</v>
      </c>
      <c r="H2028" s="36" t="n">
        <f aca="false">IF($G$2849=0,0,G2028/$G$2849)</f>
        <v>1.11360918073484E-005</v>
      </c>
      <c r="I2028" s="37" t="n">
        <f aca="false">I2027+H2028</f>
        <v>0.996319898106135</v>
      </c>
      <c r="J2028" s="37" t="n">
        <f aca="false">A2028/2840</f>
        <v>0.711619718309859</v>
      </c>
      <c r="K2028" s="32" t="str">
        <f aca="false">IF(I2028&lt;=$E$4,"A",IF(I2028&lt;=$E$5,"B","C"))</f>
        <v>C</v>
      </c>
    </row>
    <row r="2029" customFormat="false" ht="15" hidden="false" customHeight="false" outlineLevel="0" collapsed="false">
      <c r="A2029" s="32" t="n">
        <v>2022</v>
      </c>
      <c r="B2029" s="33" t="n">
        <v>19386</v>
      </c>
      <c r="C2029" s="34" t="s">
        <v>4130</v>
      </c>
      <c r="D2029" s="34" t="s">
        <v>4131</v>
      </c>
      <c r="E2029" s="34" t="s">
        <v>1095</v>
      </c>
      <c r="F2029" s="32" t="n">
        <f aca="false">COUNTIF(Base!$D$2:$D$2878,B2029)</f>
        <v>1</v>
      </c>
      <c r="G2029" s="35" t="n">
        <f aca="false">SUMIF(Base!$D$2:$D$2878,B2029,Base!$I$2:$I$2878)</f>
        <v>168</v>
      </c>
      <c r="H2029" s="36" t="n">
        <f aca="false">IF($G$2849=0,0,G2029/$G$2849)</f>
        <v>1.1024534022596E-005</v>
      </c>
      <c r="I2029" s="37" t="n">
        <f aca="false">I2028+H2029</f>
        <v>0.996330922640157</v>
      </c>
      <c r="J2029" s="37" t="n">
        <f aca="false">A2029/2840</f>
        <v>0.711971830985916</v>
      </c>
      <c r="K2029" s="32" t="str">
        <f aca="false">IF(I2029&lt;=$E$4,"A",IF(I2029&lt;=$E$5,"B","C"))</f>
        <v>C</v>
      </c>
    </row>
    <row r="2030" customFormat="false" ht="15" hidden="false" customHeight="false" outlineLevel="0" collapsed="false">
      <c r="A2030" s="32" t="n">
        <v>2023</v>
      </c>
      <c r="B2030" s="33" t="n">
        <v>21172</v>
      </c>
      <c r="C2030" s="34" t="s">
        <v>4132</v>
      </c>
      <c r="D2030" s="34" t="s">
        <v>4133</v>
      </c>
      <c r="E2030" s="34" t="s">
        <v>189</v>
      </c>
      <c r="F2030" s="32" t="n">
        <f aca="false">COUNTIF(Base!$D$2:$D$2878,B2030)</f>
        <v>1</v>
      </c>
      <c r="G2030" s="35" t="n">
        <f aca="false">SUMIF(Base!$D$2:$D$2878,B2030,Base!$I$2:$I$2878)</f>
        <v>168</v>
      </c>
      <c r="H2030" s="36" t="n">
        <f aca="false">IF($G$2849=0,0,G2030/$G$2849)</f>
        <v>1.1024534022596E-005</v>
      </c>
      <c r="I2030" s="37" t="n">
        <f aca="false">I2029+H2030</f>
        <v>0.99634194717418</v>
      </c>
      <c r="J2030" s="37" t="n">
        <f aca="false">A2030/2840</f>
        <v>0.712323943661972</v>
      </c>
      <c r="K2030" s="32" t="str">
        <f aca="false">IF(I2030&lt;=$E$4,"A",IF(I2030&lt;=$E$5,"B","C"))</f>
        <v>C</v>
      </c>
    </row>
    <row r="2031" customFormat="false" ht="15" hidden="false" customHeight="false" outlineLevel="0" collapsed="false">
      <c r="A2031" s="32" t="n">
        <v>2024</v>
      </c>
      <c r="B2031" s="33" t="n">
        <v>22321</v>
      </c>
      <c r="C2031" s="34" t="s">
        <v>4134</v>
      </c>
      <c r="D2031" s="34" t="s">
        <v>4135</v>
      </c>
      <c r="E2031" s="34" t="s">
        <v>38</v>
      </c>
      <c r="F2031" s="32" t="n">
        <f aca="false">COUNTIF(Base!$D$2:$D$2878,B2031)</f>
        <v>1</v>
      </c>
      <c r="G2031" s="35" t="n">
        <f aca="false">SUMIF(Base!$D$2:$D$2878,B2031,Base!$I$2:$I$2878)</f>
        <v>168</v>
      </c>
      <c r="H2031" s="36" t="n">
        <f aca="false">IF($G$2849=0,0,G2031/$G$2849)</f>
        <v>1.1024534022596E-005</v>
      </c>
      <c r="I2031" s="37" t="n">
        <f aca="false">I2030+H2031</f>
        <v>0.996352971708203</v>
      </c>
      <c r="J2031" s="37" t="n">
        <f aca="false">A2031/2840</f>
        <v>0.712676056338028</v>
      </c>
      <c r="K2031" s="32" t="str">
        <f aca="false">IF(I2031&lt;=$E$4,"A",IF(I2031&lt;=$E$5,"B","C"))</f>
        <v>C</v>
      </c>
    </row>
    <row r="2032" customFormat="false" ht="15" hidden="false" customHeight="false" outlineLevel="0" collapsed="false">
      <c r="A2032" s="32" t="n">
        <v>2025</v>
      </c>
      <c r="B2032" s="33" t="n">
        <v>288687</v>
      </c>
      <c r="C2032" s="34" t="s">
        <v>4136</v>
      </c>
      <c r="D2032" s="34" t="s">
        <v>4137</v>
      </c>
      <c r="E2032" s="34" t="s">
        <v>38</v>
      </c>
      <c r="F2032" s="32" t="n">
        <f aca="false">COUNTIF(Base!$D$2:$D$2878,B2032)</f>
        <v>1</v>
      </c>
      <c r="G2032" s="35" t="n">
        <f aca="false">SUMIF(Base!$D$2:$D$2878,B2032,Base!$I$2:$I$2878)</f>
        <v>168</v>
      </c>
      <c r="H2032" s="36" t="n">
        <f aca="false">IF($G$2849=0,0,G2032/$G$2849)</f>
        <v>1.1024534022596E-005</v>
      </c>
      <c r="I2032" s="37" t="n">
        <f aca="false">I2031+H2032</f>
        <v>0.996363996242225</v>
      </c>
      <c r="J2032" s="37" t="n">
        <f aca="false">A2032/2840</f>
        <v>0.713028169014085</v>
      </c>
      <c r="K2032" s="32" t="str">
        <f aca="false">IF(I2032&lt;=$E$4,"A",IF(I2032&lt;=$E$5,"B","C"))</f>
        <v>C</v>
      </c>
    </row>
    <row r="2033" customFormat="false" ht="15" hidden="false" customHeight="false" outlineLevel="0" collapsed="false">
      <c r="A2033" s="32" t="n">
        <v>2026</v>
      </c>
      <c r="B2033" s="33" t="n">
        <v>747653</v>
      </c>
      <c r="C2033" s="34" t="s">
        <v>4138</v>
      </c>
      <c r="D2033" s="34" t="s">
        <v>3198</v>
      </c>
      <c r="E2033" s="34" t="s">
        <v>54</v>
      </c>
      <c r="F2033" s="32" t="n">
        <f aca="false">COUNTIF(Base!$D$2:$D$2878,B2033)</f>
        <v>1</v>
      </c>
      <c r="G2033" s="35" t="n">
        <f aca="false">SUMIF(Base!$D$2:$D$2878,B2033,Base!$I$2:$I$2878)</f>
        <v>168</v>
      </c>
      <c r="H2033" s="36" t="n">
        <f aca="false">IF($G$2849=0,0,G2033/$G$2849)</f>
        <v>1.1024534022596E-005</v>
      </c>
      <c r="I2033" s="37" t="n">
        <f aca="false">I2032+H2033</f>
        <v>0.996375020776248</v>
      </c>
      <c r="J2033" s="37" t="n">
        <f aca="false">A2033/2840</f>
        <v>0.713380281690141</v>
      </c>
      <c r="K2033" s="32" t="str">
        <f aca="false">IF(I2033&lt;=$E$4,"A",IF(I2033&lt;=$E$5,"B","C"))</f>
        <v>C</v>
      </c>
    </row>
    <row r="2034" customFormat="false" ht="15" hidden="false" customHeight="false" outlineLevel="0" collapsed="false">
      <c r="A2034" s="32" t="n">
        <v>2027</v>
      </c>
      <c r="B2034" s="33" t="n">
        <v>1607237</v>
      </c>
      <c r="C2034" s="34" t="s">
        <v>4139</v>
      </c>
      <c r="D2034" s="34" t="s">
        <v>4140</v>
      </c>
      <c r="E2034" s="34" t="s">
        <v>189</v>
      </c>
      <c r="F2034" s="32" t="n">
        <f aca="false">COUNTIF(Base!$D$2:$D$2878,B2034)</f>
        <v>1</v>
      </c>
      <c r="G2034" s="35" t="n">
        <f aca="false">SUMIF(Base!$D$2:$D$2878,B2034,Base!$I$2:$I$2878)</f>
        <v>168</v>
      </c>
      <c r="H2034" s="36" t="n">
        <f aca="false">IF($G$2849=0,0,G2034/$G$2849)</f>
        <v>1.1024534022596E-005</v>
      </c>
      <c r="I2034" s="37" t="n">
        <f aca="false">I2033+H2034</f>
        <v>0.99638604531027</v>
      </c>
      <c r="J2034" s="37" t="n">
        <f aca="false">A2034/2840</f>
        <v>0.713732394366197</v>
      </c>
      <c r="K2034" s="32" t="str">
        <f aca="false">IF(I2034&lt;=$E$4,"A",IF(I2034&lt;=$E$5,"B","C"))</f>
        <v>C</v>
      </c>
    </row>
    <row r="2035" customFormat="false" ht="15" hidden="false" customHeight="false" outlineLevel="0" collapsed="false">
      <c r="A2035" s="32" t="n">
        <v>2028</v>
      </c>
      <c r="B2035" s="33" t="n">
        <v>1065235</v>
      </c>
      <c r="C2035" s="34" t="s">
        <v>4141</v>
      </c>
      <c r="D2035" s="34" t="s">
        <v>4142</v>
      </c>
      <c r="E2035" s="34" t="s">
        <v>262</v>
      </c>
      <c r="F2035" s="32" t="n">
        <f aca="false">COUNTIF(Base!$D$2:$D$2878,B2035)</f>
        <v>1</v>
      </c>
      <c r="G2035" s="35" t="n">
        <f aca="false">SUMIF(Base!$D$2:$D$2878,B2035,Base!$I$2:$I$2878)</f>
        <v>167.04</v>
      </c>
      <c r="H2035" s="36" t="n">
        <f aca="false">IF($G$2849=0,0,G2035/$G$2849)</f>
        <v>1.0961536685324E-005</v>
      </c>
      <c r="I2035" s="37" t="n">
        <f aca="false">I2034+H2035</f>
        <v>0.996397006846956</v>
      </c>
      <c r="J2035" s="37" t="n">
        <f aca="false">A2035/2840</f>
        <v>0.714084507042254</v>
      </c>
      <c r="K2035" s="32" t="str">
        <f aca="false">IF(I2035&lt;=$E$4,"A",IF(I2035&lt;=$E$5,"B","C"))</f>
        <v>C</v>
      </c>
    </row>
    <row r="2036" customFormat="false" ht="15" hidden="false" customHeight="false" outlineLevel="0" collapsed="false">
      <c r="A2036" s="32" t="n">
        <v>2029</v>
      </c>
      <c r="B2036" s="33" t="n">
        <v>23713</v>
      </c>
      <c r="C2036" s="34" t="s">
        <v>4143</v>
      </c>
      <c r="D2036" s="34" t="s">
        <v>4144</v>
      </c>
      <c r="E2036" s="34" t="s">
        <v>1618</v>
      </c>
      <c r="F2036" s="32" t="n">
        <f aca="false">COUNTIF(Base!$D$2:$D$2878,B2036)</f>
        <v>1</v>
      </c>
      <c r="G2036" s="35" t="n">
        <f aca="false">SUMIF(Base!$D$2:$D$2878,B2036,Base!$I$2:$I$2878)</f>
        <v>166.6</v>
      </c>
      <c r="H2036" s="36" t="n">
        <f aca="false">IF($G$2849=0,0,G2036/$G$2849)</f>
        <v>1.0932662905741E-005</v>
      </c>
      <c r="I2036" s="37" t="n">
        <f aca="false">I2035+H2036</f>
        <v>0.996407939509861</v>
      </c>
      <c r="J2036" s="37" t="n">
        <f aca="false">A2036/2840</f>
        <v>0.71443661971831</v>
      </c>
      <c r="K2036" s="32" t="str">
        <f aca="false">IF(I2036&lt;=$E$4,"A",IF(I2036&lt;=$E$5,"B","C"))</f>
        <v>C</v>
      </c>
    </row>
    <row r="2037" customFormat="false" ht="15" hidden="false" customHeight="false" outlineLevel="0" collapsed="false">
      <c r="A2037" s="32" t="n">
        <v>2030</v>
      </c>
      <c r="B2037" s="33" t="n">
        <v>350923</v>
      </c>
      <c r="C2037" s="34" t="s">
        <v>4145</v>
      </c>
      <c r="D2037" s="34" t="s">
        <v>4146</v>
      </c>
      <c r="E2037" s="34" t="s">
        <v>1095</v>
      </c>
      <c r="F2037" s="32" t="n">
        <f aca="false">COUNTIF(Base!$D$2:$D$2878,B2037)</f>
        <v>1</v>
      </c>
      <c r="G2037" s="35" t="n">
        <f aca="false">SUMIF(Base!$D$2:$D$2878,B2037,Base!$I$2:$I$2878)</f>
        <v>166.5</v>
      </c>
      <c r="H2037" s="36" t="n">
        <f aca="false">IF($G$2849=0,0,G2037/$G$2849)</f>
        <v>1.09261006831085E-005</v>
      </c>
      <c r="I2037" s="37" t="n">
        <f aca="false">I2036+H2037</f>
        <v>0.996418865610544</v>
      </c>
      <c r="J2037" s="37" t="n">
        <f aca="false">A2037/2840</f>
        <v>0.714788732394366</v>
      </c>
      <c r="K2037" s="32" t="str">
        <f aca="false">IF(I2037&lt;=$E$4,"A",IF(I2037&lt;=$E$5,"B","C"))</f>
        <v>C</v>
      </c>
    </row>
    <row r="2038" customFormat="false" ht="15" hidden="false" customHeight="false" outlineLevel="0" collapsed="false">
      <c r="A2038" s="32" t="n">
        <v>2031</v>
      </c>
      <c r="B2038" s="33" t="n">
        <v>946731</v>
      </c>
      <c r="C2038" s="34" t="s">
        <v>4147</v>
      </c>
      <c r="D2038" s="34" t="s">
        <v>4148</v>
      </c>
      <c r="E2038" s="34" t="s">
        <v>705</v>
      </c>
      <c r="F2038" s="32" t="n">
        <f aca="false">COUNTIF(Base!$D$2:$D$2878,B2038)</f>
        <v>1</v>
      </c>
      <c r="G2038" s="35" t="n">
        <f aca="false">SUMIF(Base!$D$2:$D$2878,B2038,Base!$I$2:$I$2878)</f>
        <v>165.89</v>
      </c>
      <c r="H2038" s="36" t="n">
        <f aca="false">IF($G$2849=0,0,G2038/$G$2849)</f>
        <v>1.08860711250503E-005</v>
      </c>
      <c r="I2038" s="37" t="n">
        <f aca="false">I2037+H2038</f>
        <v>0.99642975168167</v>
      </c>
      <c r="J2038" s="37" t="n">
        <f aca="false">A2038/2840</f>
        <v>0.715140845070423</v>
      </c>
      <c r="K2038" s="32" t="str">
        <f aca="false">IF(I2038&lt;=$E$4,"A",IF(I2038&lt;=$E$5,"B","C"))</f>
        <v>C</v>
      </c>
    </row>
    <row r="2039" customFormat="false" ht="15" hidden="false" customHeight="false" outlineLevel="0" collapsed="false">
      <c r="A2039" s="32" t="n">
        <v>2032</v>
      </c>
      <c r="B2039" s="33" t="n">
        <v>57461</v>
      </c>
      <c r="C2039" s="34" t="s">
        <v>4149</v>
      </c>
      <c r="D2039" s="34" t="s">
        <v>4150</v>
      </c>
      <c r="E2039" s="34" t="s">
        <v>38</v>
      </c>
      <c r="F2039" s="32" t="n">
        <f aca="false">COUNTIF(Base!$D$2:$D$2878,B2039)</f>
        <v>1</v>
      </c>
      <c r="G2039" s="35" t="n">
        <f aca="false">SUMIF(Base!$D$2:$D$2878,B2039,Base!$I$2:$I$2878)</f>
        <v>165.06</v>
      </c>
      <c r="H2039" s="36" t="n">
        <f aca="false">IF($G$2849=0,0,G2039/$G$2849)</f>
        <v>1.08316046772005E-005</v>
      </c>
      <c r="I2039" s="37" t="n">
        <f aca="false">I2038+H2039</f>
        <v>0.996440583286347</v>
      </c>
      <c r="J2039" s="37" t="n">
        <f aca="false">A2039/2840</f>
        <v>0.715492957746479</v>
      </c>
      <c r="K2039" s="32" t="str">
        <f aca="false">IF(I2039&lt;=$E$4,"A",IF(I2039&lt;=$E$5,"B","C"))</f>
        <v>C</v>
      </c>
    </row>
    <row r="2040" customFormat="false" ht="15" hidden="false" customHeight="false" outlineLevel="0" collapsed="false">
      <c r="A2040" s="32" t="n">
        <v>2033</v>
      </c>
      <c r="B2040" s="33" t="n">
        <v>59664</v>
      </c>
      <c r="C2040" s="34" t="s">
        <v>4151</v>
      </c>
      <c r="D2040" s="34" t="s">
        <v>4152</v>
      </c>
      <c r="E2040" s="34" t="s">
        <v>100</v>
      </c>
      <c r="F2040" s="32" t="n">
        <f aca="false">COUNTIF(Base!$D$2:$D$2878,B2040)</f>
        <v>1</v>
      </c>
      <c r="G2040" s="35" t="n">
        <f aca="false">SUMIF(Base!$D$2:$D$2878,B2040,Base!$I$2:$I$2878)</f>
        <v>165</v>
      </c>
      <c r="H2040" s="36" t="n">
        <f aca="false">IF($G$2849=0,0,G2040/$G$2849)</f>
        <v>1.0827667343621E-005</v>
      </c>
      <c r="I2040" s="37" t="n">
        <f aca="false">I2039+H2040</f>
        <v>0.99645141095369</v>
      </c>
      <c r="J2040" s="37" t="n">
        <f aca="false">A2040/2840</f>
        <v>0.715845070422535</v>
      </c>
      <c r="K2040" s="32" t="str">
        <f aca="false">IF(I2040&lt;=$E$4,"A",IF(I2040&lt;=$E$5,"B","C"))</f>
        <v>C</v>
      </c>
    </row>
    <row r="2041" customFormat="false" ht="15" hidden="false" customHeight="false" outlineLevel="0" collapsed="false">
      <c r="A2041" s="32" t="n">
        <v>2034</v>
      </c>
      <c r="B2041" s="33" t="n">
        <v>1330332</v>
      </c>
      <c r="C2041" s="34" t="s">
        <v>4153</v>
      </c>
      <c r="D2041" s="34" t="s">
        <v>4154</v>
      </c>
      <c r="E2041" s="34" t="s">
        <v>54</v>
      </c>
      <c r="F2041" s="32" t="n">
        <f aca="false">COUNTIF(Base!$D$2:$D$2878,B2041)</f>
        <v>1</v>
      </c>
      <c r="G2041" s="35" t="n">
        <f aca="false">SUMIF(Base!$D$2:$D$2878,B2041,Base!$I$2:$I$2878)</f>
        <v>164.76</v>
      </c>
      <c r="H2041" s="36" t="n">
        <f aca="false">IF($G$2849=0,0,G2041/$G$2849)</f>
        <v>1.0811918009303E-005</v>
      </c>
      <c r="I2041" s="37" t="n">
        <f aca="false">I2040+H2041</f>
        <v>0.9964622228717</v>
      </c>
      <c r="J2041" s="37" t="n">
        <f aca="false">A2041/2840</f>
        <v>0.716197183098592</v>
      </c>
      <c r="K2041" s="32" t="str">
        <f aca="false">IF(I2041&lt;=$E$4,"A",IF(I2041&lt;=$E$5,"B","C"))</f>
        <v>C</v>
      </c>
    </row>
    <row r="2042" customFormat="false" ht="15" hidden="false" customHeight="false" outlineLevel="0" collapsed="false">
      <c r="A2042" s="32" t="n">
        <v>2035</v>
      </c>
      <c r="B2042" s="33" t="n">
        <v>1614079</v>
      </c>
      <c r="C2042" s="34" t="s">
        <v>4155</v>
      </c>
      <c r="D2042" s="34" t="s">
        <v>4156</v>
      </c>
      <c r="E2042" s="34" t="s">
        <v>100</v>
      </c>
      <c r="F2042" s="32" t="n">
        <f aca="false">COUNTIF(Base!$D$2:$D$2878,B2042)</f>
        <v>1</v>
      </c>
      <c r="G2042" s="35" t="n">
        <f aca="false">SUMIF(Base!$D$2:$D$2878,B2042,Base!$I$2:$I$2878)</f>
        <v>164.59</v>
      </c>
      <c r="H2042" s="36" t="n">
        <f aca="false">IF($G$2849=0,0,G2042/$G$2849)</f>
        <v>1.08007622308278E-005</v>
      </c>
      <c r="I2042" s="37" t="n">
        <f aca="false">I2041+H2042</f>
        <v>0.99647302363393</v>
      </c>
      <c r="J2042" s="37" t="n">
        <f aca="false">A2042/2840</f>
        <v>0.716549295774648</v>
      </c>
      <c r="K2042" s="32" t="str">
        <f aca="false">IF(I2042&lt;=$E$4,"A",IF(I2042&lt;=$E$5,"B","C"))</f>
        <v>C</v>
      </c>
    </row>
    <row r="2043" customFormat="false" ht="15" hidden="false" customHeight="false" outlineLevel="0" collapsed="false">
      <c r="A2043" s="32" t="n">
        <v>2036</v>
      </c>
      <c r="B2043" s="33" t="n">
        <v>89430</v>
      </c>
      <c r="C2043" s="34" t="s">
        <v>4157</v>
      </c>
      <c r="D2043" s="34" t="s">
        <v>4158</v>
      </c>
      <c r="E2043" s="34" t="s">
        <v>100</v>
      </c>
      <c r="F2043" s="32" t="n">
        <f aca="false">COUNTIF(Base!$D$2:$D$2878,B2043)</f>
        <v>1</v>
      </c>
      <c r="G2043" s="35" t="n">
        <f aca="false">SUMIF(Base!$D$2:$D$2878,B2043,Base!$I$2:$I$2878)</f>
        <v>164.34</v>
      </c>
      <c r="H2043" s="36" t="n">
        <f aca="false">IF($G$2849=0,0,G2043/$G$2849)</f>
        <v>1.07843566742466E-005</v>
      </c>
      <c r="I2043" s="37" t="n">
        <f aca="false">I2042+H2043</f>
        <v>0.996483807990605</v>
      </c>
      <c r="J2043" s="37" t="n">
        <f aca="false">A2043/2840</f>
        <v>0.716901408450704</v>
      </c>
      <c r="K2043" s="32" t="str">
        <f aca="false">IF(I2043&lt;=$E$4,"A",IF(I2043&lt;=$E$5,"B","C"))</f>
        <v>C</v>
      </c>
    </row>
    <row r="2044" customFormat="false" ht="15" hidden="false" customHeight="false" outlineLevel="0" collapsed="false">
      <c r="A2044" s="32" t="n">
        <v>2037</v>
      </c>
      <c r="B2044" s="33" t="n">
        <v>1485221</v>
      </c>
      <c r="C2044" s="34" t="s">
        <v>4159</v>
      </c>
      <c r="D2044" s="34" t="s">
        <v>4160</v>
      </c>
      <c r="E2044" s="34" t="s">
        <v>133</v>
      </c>
      <c r="F2044" s="32" t="n">
        <f aca="false">COUNTIF(Base!$D$2:$D$2878,B2044)</f>
        <v>1</v>
      </c>
      <c r="G2044" s="35" t="n">
        <f aca="false">SUMIF(Base!$D$2:$D$2878,B2044,Base!$I$2:$I$2878)</f>
        <v>163.88</v>
      </c>
      <c r="H2044" s="36" t="n">
        <f aca="false">IF($G$2849=0,0,G2044/$G$2849)</f>
        <v>1.07541704501371E-005</v>
      </c>
      <c r="I2044" s="37" t="n">
        <f aca="false">I2043+H2044</f>
        <v>0.996494562161055</v>
      </c>
      <c r="J2044" s="37" t="n">
        <f aca="false">A2044/2840</f>
        <v>0.717253521126761</v>
      </c>
      <c r="K2044" s="32" t="str">
        <f aca="false">IF(I2044&lt;=$E$4,"A",IF(I2044&lt;=$E$5,"B","C"))</f>
        <v>C</v>
      </c>
    </row>
    <row r="2045" customFormat="false" ht="15" hidden="false" customHeight="false" outlineLevel="0" collapsed="false">
      <c r="A2045" s="32" t="n">
        <v>2038</v>
      </c>
      <c r="B2045" s="33" t="n">
        <v>1539075</v>
      </c>
      <c r="C2045" s="34" t="s">
        <v>4161</v>
      </c>
      <c r="D2045" s="34" t="s">
        <v>4162</v>
      </c>
      <c r="E2045" s="34" t="s">
        <v>170</v>
      </c>
      <c r="F2045" s="32" t="n">
        <f aca="false">COUNTIF(Base!$D$2:$D$2878,B2045)</f>
        <v>1</v>
      </c>
      <c r="G2045" s="35" t="n">
        <f aca="false">SUMIF(Base!$D$2:$D$2878,B2045,Base!$I$2:$I$2878)</f>
        <v>163.16</v>
      </c>
      <c r="H2045" s="36" t="n">
        <f aca="false">IF($G$2849=0,0,G2045/$G$2849)</f>
        <v>1.07069224471831E-005</v>
      </c>
      <c r="I2045" s="37" t="n">
        <f aca="false">I2044+H2045</f>
        <v>0.996505269083502</v>
      </c>
      <c r="J2045" s="37" t="n">
        <f aca="false">A2045/2840</f>
        <v>0.717605633802817</v>
      </c>
      <c r="K2045" s="32" t="str">
        <f aca="false">IF(I2045&lt;=$E$4,"A",IF(I2045&lt;=$E$5,"B","C"))</f>
        <v>C</v>
      </c>
    </row>
    <row r="2046" customFormat="false" ht="15" hidden="false" customHeight="false" outlineLevel="0" collapsed="false">
      <c r="A2046" s="32" t="n">
        <v>2039</v>
      </c>
      <c r="B2046" s="33" t="n">
        <v>22365</v>
      </c>
      <c r="C2046" s="34" t="s">
        <v>4163</v>
      </c>
      <c r="D2046" s="34" t="s">
        <v>4164</v>
      </c>
      <c r="E2046" s="34" t="s">
        <v>130</v>
      </c>
      <c r="F2046" s="32" t="n">
        <f aca="false">COUNTIF(Base!$D$2:$D$2878,B2046)</f>
        <v>1</v>
      </c>
      <c r="G2046" s="35" t="n">
        <f aca="false">SUMIF(Base!$D$2:$D$2878,B2046,Base!$I$2:$I$2878)</f>
        <v>162</v>
      </c>
      <c r="H2046" s="36" t="n">
        <f aca="false">IF($G$2849=0,0,G2046/$G$2849)</f>
        <v>1.06308006646461E-005</v>
      </c>
      <c r="I2046" s="37" t="n">
        <f aca="false">I2045+H2046</f>
        <v>0.996515899884167</v>
      </c>
      <c r="J2046" s="37" t="n">
        <f aca="false">A2046/2840</f>
        <v>0.717957746478873</v>
      </c>
      <c r="K2046" s="32" t="str">
        <f aca="false">IF(I2046&lt;=$E$4,"A",IF(I2046&lt;=$E$5,"B","C"))</f>
        <v>C</v>
      </c>
    </row>
    <row r="2047" customFormat="false" ht="15" hidden="false" customHeight="false" outlineLevel="0" collapsed="false">
      <c r="A2047" s="32" t="n">
        <v>2040</v>
      </c>
      <c r="B2047" s="33" t="n">
        <v>19517</v>
      </c>
      <c r="C2047" s="34" t="s">
        <v>4165</v>
      </c>
      <c r="D2047" s="34" t="s">
        <v>4166</v>
      </c>
      <c r="E2047" s="34" t="s">
        <v>1095</v>
      </c>
      <c r="F2047" s="32" t="n">
        <f aca="false">COUNTIF(Base!$D$2:$D$2878,B2047)</f>
        <v>1</v>
      </c>
      <c r="G2047" s="35" t="n">
        <f aca="false">SUMIF(Base!$D$2:$D$2878,B2047,Base!$I$2:$I$2878)</f>
        <v>160.1495</v>
      </c>
      <c r="H2047" s="36" t="n">
        <f aca="false">IF($G$2849=0,0,G2047/$G$2849)</f>
        <v>1.05093667348317E-005</v>
      </c>
      <c r="I2047" s="37" t="n">
        <f aca="false">I2046+H2047</f>
        <v>0.996526409250902</v>
      </c>
      <c r="J2047" s="37" t="n">
        <f aca="false">A2047/2840</f>
        <v>0.71830985915493</v>
      </c>
      <c r="K2047" s="32" t="str">
        <f aca="false">IF(I2047&lt;=$E$4,"A",IF(I2047&lt;=$E$5,"B","C"))</f>
        <v>C</v>
      </c>
    </row>
    <row r="2048" customFormat="false" ht="15" hidden="false" customHeight="false" outlineLevel="0" collapsed="false">
      <c r="A2048" s="32" t="n">
        <v>2041</v>
      </c>
      <c r="B2048" s="33" t="n">
        <v>741279</v>
      </c>
      <c r="C2048" s="34" t="s">
        <v>4167</v>
      </c>
      <c r="D2048" s="34" t="s">
        <v>4168</v>
      </c>
      <c r="E2048" s="34" t="s">
        <v>262</v>
      </c>
      <c r="F2048" s="32" t="n">
        <f aca="false">COUNTIF(Base!$D$2:$D$2878,B2048)</f>
        <v>1</v>
      </c>
      <c r="G2048" s="35" t="n">
        <f aca="false">SUMIF(Base!$D$2:$D$2878,B2048,Base!$I$2:$I$2878)</f>
        <v>160</v>
      </c>
      <c r="H2048" s="36" t="n">
        <f aca="false">IF($G$2849=0,0,G2048/$G$2849)</f>
        <v>1.04995562119962E-005</v>
      </c>
      <c r="I2048" s="37" t="n">
        <f aca="false">I2047+H2048</f>
        <v>0.996536908807114</v>
      </c>
      <c r="J2048" s="37" t="n">
        <f aca="false">A2048/2840</f>
        <v>0.718661971830986</v>
      </c>
      <c r="K2048" s="32" t="str">
        <f aca="false">IF(I2048&lt;=$E$4,"A",IF(I2048&lt;=$E$5,"B","C"))</f>
        <v>C</v>
      </c>
    </row>
    <row r="2049" customFormat="false" ht="15" hidden="false" customHeight="false" outlineLevel="0" collapsed="false">
      <c r="A2049" s="32" t="n">
        <v>2042</v>
      </c>
      <c r="B2049" s="33" t="n">
        <v>1382527</v>
      </c>
      <c r="C2049" s="34" t="s">
        <v>4169</v>
      </c>
      <c r="D2049" s="34" t="s">
        <v>4170</v>
      </c>
      <c r="E2049" s="34" t="s">
        <v>605</v>
      </c>
      <c r="F2049" s="32" t="n">
        <f aca="false">COUNTIF(Base!$D$2:$D$2878,B2049)</f>
        <v>1</v>
      </c>
      <c r="G2049" s="35" t="n">
        <f aca="false">SUMIF(Base!$D$2:$D$2878,B2049,Base!$I$2:$I$2878)</f>
        <v>160</v>
      </c>
      <c r="H2049" s="36" t="n">
        <f aca="false">IF($G$2849=0,0,G2049/$G$2849)</f>
        <v>1.04995562119962E-005</v>
      </c>
      <c r="I2049" s="37" t="n">
        <f aca="false">I2048+H2049</f>
        <v>0.996547408363326</v>
      </c>
      <c r="J2049" s="37" t="n">
        <f aca="false">A2049/2840</f>
        <v>0.719014084507042</v>
      </c>
      <c r="K2049" s="32" t="str">
        <f aca="false">IF(I2049&lt;=$E$4,"A",IF(I2049&lt;=$E$5,"B","C"))</f>
        <v>C</v>
      </c>
    </row>
    <row r="2050" customFormat="false" ht="15" hidden="false" customHeight="false" outlineLevel="0" collapsed="false">
      <c r="A2050" s="32" t="n">
        <v>2043</v>
      </c>
      <c r="B2050" s="33" t="n">
        <v>1331091</v>
      </c>
      <c r="C2050" s="34" t="s">
        <v>4171</v>
      </c>
      <c r="D2050" s="34" t="s">
        <v>4172</v>
      </c>
      <c r="E2050" s="34" t="s">
        <v>1443</v>
      </c>
      <c r="F2050" s="32" t="n">
        <f aca="false">COUNTIF(Base!$D$2:$D$2878,B2050)</f>
        <v>1</v>
      </c>
      <c r="G2050" s="35" t="n">
        <f aca="false">SUMIF(Base!$D$2:$D$2878,B2050,Base!$I$2:$I$2878)</f>
        <v>159.98</v>
      </c>
      <c r="H2050" s="36" t="n">
        <f aca="false">IF($G$2849=0,0,G2050/$G$2849)</f>
        <v>1.04982437674697E-005</v>
      </c>
      <c r="I2050" s="37" t="n">
        <f aca="false">I2049+H2050</f>
        <v>0.996557906607093</v>
      </c>
      <c r="J2050" s="37" t="n">
        <f aca="false">A2050/2840</f>
        <v>0.719366197183099</v>
      </c>
      <c r="K2050" s="32" t="str">
        <f aca="false">IF(I2050&lt;=$E$4,"A",IF(I2050&lt;=$E$5,"B","C"))</f>
        <v>C</v>
      </c>
    </row>
    <row r="2051" customFormat="false" ht="15" hidden="false" customHeight="false" outlineLevel="0" collapsed="false">
      <c r="A2051" s="32" t="n">
        <v>2044</v>
      </c>
      <c r="B2051" s="33" t="n">
        <v>840044</v>
      </c>
      <c r="C2051" s="34" t="s">
        <v>4173</v>
      </c>
      <c r="D2051" s="34" t="s">
        <v>4174</v>
      </c>
      <c r="E2051" s="34" t="s">
        <v>54</v>
      </c>
      <c r="F2051" s="32" t="n">
        <f aca="false">COUNTIF(Base!$D$2:$D$2878,B2051)</f>
        <v>1</v>
      </c>
      <c r="G2051" s="35" t="n">
        <f aca="false">SUMIF(Base!$D$2:$D$2878,B2051,Base!$I$2:$I$2878)</f>
        <v>159.16</v>
      </c>
      <c r="H2051" s="36" t="n">
        <f aca="false">IF($G$2849=0,0,G2051/$G$2849)</f>
        <v>1.04444335418832E-005</v>
      </c>
      <c r="I2051" s="37" t="n">
        <f aca="false">I2050+H2051</f>
        <v>0.996568351040635</v>
      </c>
      <c r="J2051" s="37" t="n">
        <f aca="false">A2051/2840</f>
        <v>0.719718309859155</v>
      </c>
      <c r="K2051" s="32" t="str">
        <f aca="false">IF(I2051&lt;=$E$4,"A",IF(I2051&lt;=$E$5,"B","C"))</f>
        <v>C</v>
      </c>
    </row>
    <row r="2052" customFormat="false" ht="15" hidden="false" customHeight="false" outlineLevel="0" collapsed="false">
      <c r="A2052" s="32" t="n">
        <v>2045</v>
      </c>
      <c r="B2052" s="33" t="n">
        <v>1096178</v>
      </c>
      <c r="C2052" s="34" t="s">
        <v>4175</v>
      </c>
      <c r="D2052" s="34" t="s">
        <v>4176</v>
      </c>
      <c r="E2052" s="34" t="s">
        <v>38</v>
      </c>
      <c r="F2052" s="32" t="n">
        <f aca="false">COUNTIF(Base!$D$2:$D$2878,B2052)</f>
        <v>1</v>
      </c>
      <c r="G2052" s="35" t="n">
        <f aca="false">SUMIF(Base!$D$2:$D$2878,B2052,Base!$I$2:$I$2878)</f>
        <v>159.12</v>
      </c>
      <c r="H2052" s="36" t="n">
        <f aca="false">IF($G$2849=0,0,G2052/$G$2849)</f>
        <v>1.04418086528302E-005</v>
      </c>
      <c r="I2052" s="37" t="n">
        <f aca="false">I2051+H2052</f>
        <v>0.996578792849288</v>
      </c>
      <c r="J2052" s="37" t="n">
        <f aca="false">A2052/2840</f>
        <v>0.720070422535211</v>
      </c>
      <c r="K2052" s="32" t="str">
        <f aca="false">IF(I2052&lt;=$E$4,"A",IF(I2052&lt;=$E$5,"B","C"))</f>
        <v>C</v>
      </c>
    </row>
    <row r="2053" customFormat="false" ht="15" hidden="false" customHeight="false" outlineLevel="0" collapsed="false">
      <c r="A2053" s="32" t="n">
        <v>2046</v>
      </c>
      <c r="B2053" s="33" t="n">
        <v>1380003</v>
      </c>
      <c r="C2053" s="34" t="s">
        <v>4177</v>
      </c>
      <c r="D2053" s="34" t="s">
        <v>4178</v>
      </c>
      <c r="E2053" s="34" t="s">
        <v>100</v>
      </c>
      <c r="F2053" s="32" t="n">
        <f aca="false">COUNTIF(Base!$D$2:$D$2878,B2053)</f>
        <v>1</v>
      </c>
      <c r="G2053" s="35" t="n">
        <f aca="false">SUMIF(Base!$D$2:$D$2878,B2053,Base!$I$2:$I$2878)</f>
        <v>158.16</v>
      </c>
      <c r="H2053" s="36" t="n">
        <f aca="false">IF($G$2849=0,0,G2053/$G$2849)</f>
        <v>1.03788113155582E-005</v>
      </c>
      <c r="I2053" s="37" t="n">
        <f aca="false">I2052+H2053</f>
        <v>0.996589171660603</v>
      </c>
      <c r="J2053" s="37" t="n">
        <f aca="false">A2053/2840</f>
        <v>0.720422535211268</v>
      </c>
      <c r="K2053" s="32" t="str">
        <f aca="false">IF(I2053&lt;=$E$4,"A",IF(I2053&lt;=$E$5,"B","C"))</f>
        <v>C</v>
      </c>
    </row>
    <row r="2054" customFormat="false" ht="15" hidden="false" customHeight="false" outlineLevel="0" collapsed="false">
      <c r="A2054" s="32" t="n">
        <v>2047</v>
      </c>
      <c r="B2054" s="33" t="n">
        <v>1086359</v>
      </c>
      <c r="C2054" s="34" t="s">
        <v>4179</v>
      </c>
      <c r="D2054" s="34" t="s">
        <v>4180</v>
      </c>
      <c r="E2054" s="34" t="s">
        <v>1095</v>
      </c>
      <c r="F2054" s="32" t="n">
        <f aca="false">COUNTIF(Base!$D$2:$D$2878,B2054)</f>
        <v>1</v>
      </c>
      <c r="G2054" s="35" t="n">
        <f aca="false">SUMIF(Base!$D$2:$D$2878,B2054,Base!$I$2:$I$2878)</f>
        <v>158</v>
      </c>
      <c r="H2054" s="36" t="n">
        <f aca="false">IF($G$2849=0,0,G2054/$G$2849)</f>
        <v>1.03683117593462E-005</v>
      </c>
      <c r="I2054" s="37" t="n">
        <f aca="false">I2053+H2054</f>
        <v>0.996599539972363</v>
      </c>
      <c r="J2054" s="37" t="n">
        <f aca="false">A2054/2840</f>
        <v>0.720774647887324</v>
      </c>
      <c r="K2054" s="32" t="str">
        <f aca="false">IF(I2054&lt;=$E$4,"A",IF(I2054&lt;=$E$5,"B","C"))</f>
        <v>C</v>
      </c>
    </row>
    <row r="2055" customFormat="false" ht="15" hidden="false" customHeight="false" outlineLevel="0" collapsed="false">
      <c r="A2055" s="32" t="n">
        <v>2048</v>
      </c>
      <c r="B2055" s="33" t="n">
        <v>17938</v>
      </c>
      <c r="C2055" s="34" t="s">
        <v>4181</v>
      </c>
      <c r="D2055" s="34" t="s">
        <v>4182</v>
      </c>
      <c r="E2055" s="34" t="s">
        <v>130</v>
      </c>
      <c r="F2055" s="32" t="n">
        <f aca="false">COUNTIF(Base!$D$2:$D$2878,B2055)</f>
        <v>1</v>
      </c>
      <c r="G2055" s="35" t="n">
        <f aca="false">SUMIF(Base!$D$2:$D$2878,B2055,Base!$I$2:$I$2878)</f>
        <v>157.8</v>
      </c>
      <c r="H2055" s="36" t="n">
        <f aca="false">IF($G$2849=0,0,G2055/$G$2849)</f>
        <v>1.03551873140812E-005</v>
      </c>
      <c r="I2055" s="37" t="n">
        <f aca="false">I2054+H2055</f>
        <v>0.996609895159677</v>
      </c>
      <c r="J2055" s="37" t="n">
        <f aca="false">A2055/2840</f>
        <v>0.72112676056338</v>
      </c>
      <c r="K2055" s="32" t="str">
        <f aca="false">IF(I2055&lt;=$E$4,"A",IF(I2055&lt;=$E$5,"B","C"))</f>
        <v>C</v>
      </c>
    </row>
    <row r="2056" customFormat="false" ht="15" hidden="false" customHeight="false" outlineLevel="0" collapsed="false">
      <c r="A2056" s="32" t="n">
        <v>2049</v>
      </c>
      <c r="B2056" s="33" t="n">
        <v>645553</v>
      </c>
      <c r="C2056" s="34" t="s">
        <v>4183</v>
      </c>
      <c r="D2056" s="34" t="s">
        <v>4184</v>
      </c>
      <c r="E2056" s="34" t="s">
        <v>100</v>
      </c>
      <c r="F2056" s="32" t="n">
        <f aca="false">COUNTIF(Base!$D$2:$D$2878,B2056)</f>
        <v>1</v>
      </c>
      <c r="G2056" s="35" t="n">
        <f aca="false">SUMIF(Base!$D$2:$D$2878,B2056,Base!$I$2:$I$2878)</f>
        <v>157.5</v>
      </c>
      <c r="H2056" s="36" t="n">
        <f aca="false">IF($G$2849=0,0,G2056/$G$2849)</f>
        <v>1.03355006461837E-005</v>
      </c>
      <c r="I2056" s="37" t="n">
        <f aca="false">I2055+H2056</f>
        <v>0.996620230660323</v>
      </c>
      <c r="J2056" s="37" t="n">
        <f aca="false">A2056/2840</f>
        <v>0.721478873239437</v>
      </c>
      <c r="K2056" s="32" t="str">
        <f aca="false">IF(I2056&lt;=$E$4,"A",IF(I2056&lt;=$E$5,"B","C"))</f>
        <v>C</v>
      </c>
    </row>
    <row r="2057" customFormat="false" ht="15" hidden="false" customHeight="false" outlineLevel="0" collapsed="false">
      <c r="A2057" s="32" t="n">
        <v>2050</v>
      </c>
      <c r="B2057" s="33" t="n">
        <v>12238</v>
      </c>
      <c r="C2057" s="34" t="s">
        <v>4185</v>
      </c>
      <c r="D2057" s="34" t="s">
        <v>4186</v>
      </c>
      <c r="E2057" s="34" t="s">
        <v>38</v>
      </c>
      <c r="F2057" s="32" t="n">
        <f aca="false">COUNTIF(Base!$D$2:$D$2878,B2057)</f>
        <v>1</v>
      </c>
      <c r="G2057" s="35" t="n">
        <f aca="false">SUMIF(Base!$D$2:$D$2878,B2057,Base!$I$2:$I$2878)</f>
        <v>157.2</v>
      </c>
      <c r="H2057" s="36" t="n">
        <f aca="false">IF($G$2849=0,0,G2057/$G$2849)</f>
        <v>1.03158139782862E-005</v>
      </c>
      <c r="I2057" s="37" t="n">
        <f aca="false">I2056+H2057</f>
        <v>0.996630546474301</v>
      </c>
      <c r="J2057" s="37" t="n">
        <f aca="false">A2057/2840</f>
        <v>0.721830985915493</v>
      </c>
      <c r="K2057" s="32" t="str">
        <f aca="false">IF(I2057&lt;=$E$4,"A",IF(I2057&lt;=$E$5,"B","C"))</f>
        <v>C</v>
      </c>
    </row>
    <row r="2058" customFormat="false" ht="15" hidden="false" customHeight="false" outlineLevel="0" collapsed="false">
      <c r="A2058" s="32" t="n">
        <v>2051</v>
      </c>
      <c r="B2058" s="33" t="n">
        <v>12242</v>
      </c>
      <c r="C2058" s="34" t="s">
        <v>4187</v>
      </c>
      <c r="D2058" s="34" t="s">
        <v>4188</v>
      </c>
      <c r="E2058" s="34" t="s">
        <v>38</v>
      </c>
      <c r="F2058" s="32" t="n">
        <f aca="false">COUNTIF(Base!$D$2:$D$2878,B2058)</f>
        <v>1</v>
      </c>
      <c r="G2058" s="35" t="n">
        <f aca="false">SUMIF(Base!$D$2:$D$2878,B2058,Base!$I$2:$I$2878)</f>
        <v>157.2</v>
      </c>
      <c r="H2058" s="36" t="n">
        <f aca="false">IF($G$2849=0,0,G2058/$G$2849)</f>
        <v>1.03158139782862E-005</v>
      </c>
      <c r="I2058" s="37" t="n">
        <f aca="false">I2057+H2058</f>
        <v>0.99664086228828</v>
      </c>
      <c r="J2058" s="37" t="n">
        <f aca="false">A2058/2840</f>
        <v>0.722183098591549</v>
      </c>
      <c r="K2058" s="32" t="str">
        <f aca="false">IF(I2058&lt;=$E$4,"A",IF(I2058&lt;=$E$5,"B","C"))</f>
        <v>C</v>
      </c>
    </row>
    <row r="2059" customFormat="false" ht="15" hidden="false" customHeight="false" outlineLevel="0" collapsed="false">
      <c r="A2059" s="32" t="n">
        <v>2052</v>
      </c>
      <c r="B2059" s="33" t="n">
        <v>17937</v>
      </c>
      <c r="C2059" s="34" t="s">
        <v>4189</v>
      </c>
      <c r="D2059" s="34" t="s">
        <v>4190</v>
      </c>
      <c r="E2059" s="34" t="s">
        <v>130</v>
      </c>
      <c r="F2059" s="32" t="n">
        <f aca="false">COUNTIF(Base!$D$2:$D$2878,B2059)</f>
        <v>1</v>
      </c>
      <c r="G2059" s="35" t="n">
        <f aca="false">SUMIF(Base!$D$2:$D$2878,B2059,Base!$I$2:$I$2878)</f>
        <v>156.86</v>
      </c>
      <c r="H2059" s="36" t="n">
        <f aca="false">IF($G$2849=0,0,G2059/$G$2849)</f>
        <v>1.02935024213357E-005</v>
      </c>
      <c r="I2059" s="37" t="n">
        <f aca="false">I2058+H2059</f>
        <v>0.996651155790701</v>
      </c>
      <c r="J2059" s="37" t="n">
        <f aca="false">A2059/2840</f>
        <v>0.722535211267606</v>
      </c>
      <c r="K2059" s="32" t="str">
        <f aca="false">IF(I2059&lt;=$E$4,"A",IF(I2059&lt;=$E$5,"B","C"))</f>
        <v>C</v>
      </c>
    </row>
    <row r="2060" customFormat="false" ht="15" hidden="false" customHeight="false" outlineLevel="0" collapsed="false">
      <c r="A2060" s="32" t="n">
        <v>2053</v>
      </c>
      <c r="B2060" s="33" t="n">
        <v>14343</v>
      </c>
      <c r="C2060" s="34" t="s">
        <v>4191</v>
      </c>
      <c r="D2060" s="34" t="s">
        <v>4192</v>
      </c>
      <c r="E2060" s="34" t="s">
        <v>38</v>
      </c>
      <c r="F2060" s="32" t="n">
        <f aca="false">COUNTIF(Base!$D$2:$D$2878,B2060)</f>
        <v>1</v>
      </c>
      <c r="G2060" s="35" t="n">
        <f aca="false">SUMIF(Base!$D$2:$D$2878,B2060,Base!$I$2:$I$2878)</f>
        <v>156</v>
      </c>
      <c r="H2060" s="36" t="n">
        <f aca="false">IF($G$2849=0,0,G2060/$G$2849)</f>
        <v>1.02370673066963E-005</v>
      </c>
      <c r="I2060" s="37" t="n">
        <f aca="false">I2059+H2060</f>
        <v>0.996661392858008</v>
      </c>
      <c r="J2060" s="37" t="n">
        <f aca="false">A2060/2840</f>
        <v>0.722887323943662</v>
      </c>
      <c r="K2060" s="32" t="str">
        <f aca="false">IF(I2060&lt;=$E$4,"A",IF(I2060&lt;=$E$5,"B","C"))</f>
        <v>C</v>
      </c>
    </row>
    <row r="2061" customFormat="false" ht="15" hidden="false" customHeight="false" outlineLevel="0" collapsed="false">
      <c r="A2061" s="32" t="n">
        <v>2054</v>
      </c>
      <c r="B2061" s="33" t="n">
        <v>21396</v>
      </c>
      <c r="C2061" s="34" t="s">
        <v>4193</v>
      </c>
      <c r="D2061" s="34" t="s">
        <v>4194</v>
      </c>
      <c r="E2061" s="34" t="s">
        <v>130</v>
      </c>
      <c r="F2061" s="32" t="n">
        <f aca="false">COUNTIF(Base!$D$2:$D$2878,B2061)</f>
        <v>1</v>
      </c>
      <c r="G2061" s="35" t="n">
        <f aca="false">SUMIF(Base!$D$2:$D$2878,B2061,Base!$I$2:$I$2878)</f>
        <v>156</v>
      </c>
      <c r="H2061" s="36" t="n">
        <f aca="false">IF($G$2849=0,0,G2061/$G$2849)</f>
        <v>1.02370673066963E-005</v>
      </c>
      <c r="I2061" s="37" t="n">
        <f aca="false">I2060+H2061</f>
        <v>0.996671629925314</v>
      </c>
      <c r="J2061" s="37" t="n">
        <f aca="false">A2061/2840</f>
        <v>0.723239436619718</v>
      </c>
      <c r="K2061" s="32" t="str">
        <f aca="false">IF(I2061&lt;=$E$4,"A",IF(I2061&lt;=$E$5,"B","C"))</f>
        <v>C</v>
      </c>
    </row>
    <row r="2062" customFormat="false" ht="15" hidden="false" customHeight="false" outlineLevel="0" collapsed="false">
      <c r="A2062" s="32" t="n">
        <v>2055</v>
      </c>
      <c r="B2062" s="33" t="n">
        <v>287947</v>
      </c>
      <c r="C2062" s="34" t="s">
        <v>4195</v>
      </c>
      <c r="D2062" s="34" t="s">
        <v>4196</v>
      </c>
      <c r="E2062" s="34" t="s">
        <v>38</v>
      </c>
      <c r="F2062" s="32" t="n">
        <f aca="false">COUNTIF(Base!$D$2:$D$2878,B2062)</f>
        <v>1</v>
      </c>
      <c r="G2062" s="35" t="n">
        <f aca="false">SUMIF(Base!$D$2:$D$2878,B2062,Base!$I$2:$I$2878)</f>
        <v>156</v>
      </c>
      <c r="H2062" s="36" t="n">
        <f aca="false">IF($G$2849=0,0,G2062/$G$2849)</f>
        <v>1.02370673066963E-005</v>
      </c>
      <c r="I2062" s="37" t="n">
        <f aca="false">I2061+H2062</f>
        <v>0.996681866992621</v>
      </c>
      <c r="J2062" s="37" t="n">
        <f aca="false">A2062/2840</f>
        <v>0.723591549295775</v>
      </c>
      <c r="K2062" s="32" t="str">
        <f aca="false">IF(I2062&lt;=$E$4,"A",IF(I2062&lt;=$E$5,"B","C"))</f>
        <v>C</v>
      </c>
    </row>
    <row r="2063" customFormat="false" ht="15" hidden="false" customHeight="false" outlineLevel="0" collapsed="false">
      <c r="A2063" s="32" t="n">
        <v>2056</v>
      </c>
      <c r="B2063" s="33" t="n">
        <v>936335</v>
      </c>
      <c r="C2063" s="34" t="s">
        <v>4197</v>
      </c>
      <c r="D2063" s="34" t="s">
        <v>4198</v>
      </c>
      <c r="E2063" s="34" t="s">
        <v>1618</v>
      </c>
      <c r="F2063" s="32" t="n">
        <f aca="false">COUNTIF(Base!$D$2:$D$2878,B2063)</f>
        <v>1</v>
      </c>
      <c r="G2063" s="35" t="n">
        <f aca="false">SUMIF(Base!$D$2:$D$2878,B2063,Base!$I$2:$I$2878)</f>
        <v>156</v>
      </c>
      <c r="H2063" s="36" t="n">
        <f aca="false">IF($G$2849=0,0,G2063/$G$2849)</f>
        <v>1.02370673066963E-005</v>
      </c>
      <c r="I2063" s="37" t="n">
        <f aca="false">I2062+H2063</f>
        <v>0.996692104059928</v>
      </c>
      <c r="J2063" s="37" t="n">
        <f aca="false">A2063/2840</f>
        <v>0.723943661971831</v>
      </c>
      <c r="K2063" s="32" t="str">
        <f aca="false">IF(I2063&lt;=$E$4,"A",IF(I2063&lt;=$E$5,"B","C"))</f>
        <v>C</v>
      </c>
    </row>
    <row r="2064" customFormat="false" ht="15" hidden="false" customHeight="false" outlineLevel="0" collapsed="false">
      <c r="A2064" s="32" t="n">
        <v>2057</v>
      </c>
      <c r="B2064" s="33" t="n">
        <v>16830</v>
      </c>
      <c r="C2064" s="34" t="s">
        <v>4199</v>
      </c>
      <c r="D2064" s="34" t="s">
        <v>4200</v>
      </c>
      <c r="E2064" s="34" t="s">
        <v>100</v>
      </c>
      <c r="F2064" s="32" t="n">
        <f aca="false">COUNTIF(Base!$D$2:$D$2878,B2064)</f>
        <v>1</v>
      </c>
      <c r="G2064" s="35" t="n">
        <f aca="false">SUMIF(Base!$D$2:$D$2878,B2064,Base!$I$2:$I$2878)</f>
        <v>155.39</v>
      </c>
      <c r="H2064" s="36" t="n">
        <f aca="false">IF($G$2849=0,0,G2064/$G$2849)</f>
        <v>1.0197037748638E-005</v>
      </c>
      <c r="I2064" s="37" t="n">
        <f aca="false">I2063+H2064</f>
        <v>0.996702301097676</v>
      </c>
      <c r="J2064" s="37" t="n">
        <f aca="false">A2064/2840</f>
        <v>0.724295774647887</v>
      </c>
      <c r="K2064" s="32" t="str">
        <f aca="false">IF(I2064&lt;=$E$4,"A",IF(I2064&lt;=$E$5,"B","C"))</f>
        <v>C</v>
      </c>
    </row>
    <row r="2065" customFormat="false" ht="15" hidden="false" customHeight="false" outlineLevel="0" collapsed="false">
      <c r="A2065" s="32" t="n">
        <v>2058</v>
      </c>
      <c r="B2065" s="33" t="n">
        <v>23269</v>
      </c>
      <c r="C2065" s="34" t="s">
        <v>4201</v>
      </c>
      <c r="D2065" s="34" t="s">
        <v>4202</v>
      </c>
      <c r="E2065" s="34" t="s">
        <v>705</v>
      </c>
      <c r="F2065" s="32" t="n">
        <f aca="false">COUNTIF(Base!$D$2:$D$2878,B2065)</f>
        <v>2</v>
      </c>
      <c r="G2065" s="35" t="n">
        <f aca="false">SUMIF(Base!$D$2:$D$2878,B2065,Base!$I$2:$I$2878)</f>
        <v>155.18</v>
      </c>
      <c r="H2065" s="36" t="n">
        <f aca="false">IF($G$2849=0,0,G2065/$G$2849)</f>
        <v>1.01832570811098E-005</v>
      </c>
      <c r="I2065" s="37" t="n">
        <f aca="false">I2064+H2065</f>
        <v>0.996712484354758</v>
      </c>
      <c r="J2065" s="37" t="n">
        <f aca="false">A2065/2840</f>
        <v>0.724647887323944</v>
      </c>
      <c r="K2065" s="32" t="str">
        <f aca="false">IF(I2065&lt;=$E$4,"A",IF(I2065&lt;=$E$5,"B","C"))</f>
        <v>C</v>
      </c>
    </row>
    <row r="2066" customFormat="false" ht="15" hidden="false" customHeight="false" outlineLevel="0" collapsed="false">
      <c r="A2066" s="32" t="n">
        <v>2059</v>
      </c>
      <c r="B2066" s="33" t="n">
        <v>1461588</v>
      </c>
      <c r="C2066" s="34" t="s">
        <v>4203</v>
      </c>
      <c r="D2066" s="34" t="s">
        <v>4204</v>
      </c>
      <c r="E2066" s="34" t="s">
        <v>54</v>
      </c>
      <c r="F2066" s="32" t="n">
        <f aca="false">COUNTIF(Base!$D$2:$D$2878,B2066)</f>
        <v>1</v>
      </c>
      <c r="G2066" s="35" t="n">
        <f aca="false">SUMIF(Base!$D$2:$D$2878,B2066,Base!$I$2:$I$2878)</f>
        <v>155</v>
      </c>
      <c r="H2066" s="36" t="n">
        <f aca="false">IF($G$2849=0,0,G2066/$G$2849)</f>
        <v>1.01714450803713E-005</v>
      </c>
      <c r="I2066" s="37" t="n">
        <f aca="false">I2065+H2066</f>
        <v>0.996722655799838</v>
      </c>
      <c r="J2066" s="37" t="n">
        <f aca="false">A2066/2840</f>
        <v>0.725</v>
      </c>
      <c r="K2066" s="32" t="str">
        <f aca="false">IF(I2066&lt;=$E$4,"A",IF(I2066&lt;=$E$5,"B","C"))</f>
        <v>C</v>
      </c>
    </row>
    <row r="2067" customFormat="false" ht="15" hidden="false" customHeight="false" outlineLevel="0" collapsed="false">
      <c r="A2067" s="32" t="n">
        <v>2060</v>
      </c>
      <c r="B2067" s="33" t="n">
        <v>17671</v>
      </c>
      <c r="C2067" s="34" t="s">
        <v>4205</v>
      </c>
      <c r="D2067" s="34" t="s">
        <v>4206</v>
      </c>
      <c r="E2067" s="34" t="s">
        <v>100</v>
      </c>
      <c r="F2067" s="32" t="n">
        <f aca="false">COUNTIF(Base!$D$2:$D$2878,B2067)</f>
        <v>1</v>
      </c>
      <c r="G2067" s="35" t="n">
        <f aca="false">SUMIF(Base!$D$2:$D$2878,B2067,Base!$I$2:$I$2878)</f>
        <v>153</v>
      </c>
      <c r="H2067" s="36" t="n">
        <f aca="false">IF($G$2849=0,0,G2067/$G$2849)</f>
        <v>1.00402006277213E-005</v>
      </c>
      <c r="I2067" s="37" t="n">
        <f aca="false">I2066+H2067</f>
        <v>0.996732696000466</v>
      </c>
      <c r="J2067" s="37" t="n">
        <f aca="false">A2067/2840</f>
        <v>0.725352112676056</v>
      </c>
      <c r="K2067" s="32" t="str">
        <f aca="false">IF(I2067&lt;=$E$4,"A",IF(I2067&lt;=$E$5,"B","C"))</f>
        <v>C</v>
      </c>
    </row>
    <row r="2068" customFormat="false" ht="15" hidden="false" customHeight="false" outlineLevel="0" collapsed="false">
      <c r="A2068" s="32" t="n">
        <v>2061</v>
      </c>
      <c r="B2068" s="33" t="n">
        <v>19730</v>
      </c>
      <c r="C2068" s="34" t="s">
        <v>4207</v>
      </c>
      <c r="D2068" s="34" t="s">
        <v>4208</v>
      </c>
      <c r="E2068" s="34" t="s">
        <v>605</v>
      </c>
      <c r="F2068" s="32" t="n">
        <f aca="false">COUNTIF(Base!$D$2:$D$2878,B2068)</f>
        <v>1</v>
      </c>
      <c r="G2068" s="35" t="n">
        <f aca="false">SUMIF(Base!$D$2:$D$2878,B2068,Base!$I$2:$I$2878)</f>
        <v>152</v>
      </c>
      <c r="H2068" s="36" t="n">
        <f aca="false">IF($G$2849=0,0,G2068/$G$2849)</f>
        <v>9.97457840139636E-006</v>
      </c>
      <c r="I2068" s="37" t="n">
        <f aca="false">I2067+H2068</f>
        <v>0.996742670578867</v>
      </c>
      <c r="J2068" s="37" t="n">
        <f aca="false">A2068/2840</f>
        <v>0.725704225352113</v>
      </c>
      <c r="K2068" s="32" t="str">
        <f aca="false">IF(I2068&lt;=$E$4,"A",IF(I2068&lt;=$E$5,"B","C"))</f>
        <v>C</v>
      </c>
    </row>
    <row r="2069" customFormat="false" ht="15" hidden="false" customHeight="false" outlineLevel="0" collapsed="false">
      <c r="A2069" s="32" t="n">
        <v>2062</v>
      </c>
      <c r="B2069" s="33" t="n">
        <v>862330</v>
      </c>
      <c r="C2069" s="34" t="s">
        <v>4209</v>
      </c>
      <c r="D2069" s="34" t="s">
        <v>4210</v>
      </c>
      <c r="E2069" s="34" t="s">
        <v>93</v>
      </c>
      <c r="F2069" s="32" t="n">
        <f aca="false">COUNTIF(Base!$D$2:$D$2878,B2069)</f>
        <v>1</v>
      </c>
      <c r="G2069" s="35" t="n">
        <f aca="false">SUMIF(Base!$D$2:$D$2878,B2069,Base!$I$2:$I$2878)</f>
        <v>152</v>
      </c>
      <c r="H2069" s="36" t="n">
        <f aca="false">IF($G$2849=0,0,G2069/$G$2849)</f>
        <v>9.97457840139636E-006</v>
      </c>
      <c r="I2069" s="37" t="n">
        <f aca="false">I2068+H2069</f>
        <v>0.996752645157268</v>
      </c>
      <c r="J2069" s="37" t="n">
        <f aca="false">A2069/2840</f>
        <v>0.726056338028169</v>
      </c>
      <c r="K2069" s="32" t="str">
        <f aca="false">IF(I2069&lt;=$E$4,"A",IF(I2069&lt;=$E$5,"B","C"))</f>
        <v>C</v>
      </c>
    </row>
    <row r="2070" customFormat="false" ht="15" hidden="false" customHeight="false" outlineLevel="0" collapsed="false">
      <c r="A2070" s="32" t="n">
        <v>2063</v>
      </c>
      <c r="B2070" s="33" t="n">
        <v>1089808</v>
      </c>
      <c r="C2070" s="34" t="s">
        <v>4211</v>
      </c>
      <c r="D2070" s="34" t="s">
        <v>4212</v>
      </c>
      <c r="E2070" s="34" t="s">
        <v>2056</v>
      </c>
      <c r="F2070" s="32" t="n">
        <f aca="false">COUNTIF(Base!$D$2:$D$2878,B2070)</f>
        <v>1</v>
      </c>
      <c r="G2070" s="35" t="n">
        <f aca="false">SUMIF(Base!$D$2:$D$2878,B2070,Base!$I$2:$I$2878)</f>
        <v>151.5</v>
      </c>
      <c r="H2070" s="36" t="n">
        <f aca="false">IF($G$2849=0,0,G2070/$G$2849)</f>
        <v>9.94176728823387E-006</v>
      </c>
      <c r="I2070" s="37" t="n">
        <f aca="false">I2069+H2070</f>
        <v>0.996762586924557</v>
      </c>
      <c r="J2070" s="37" t="n">
        <f aca="false">A2070/2840</f>
        <v>0.726408450704225</v>
      </c>
      <c r="K2070" s="32" t="str">
        <f aca="false">IF(I2070&lt;=$E$4,"A",IF(I2070&lt;=$E$5,"B","C"))</f>
        <v>C</v>
      </c>
    </row>
    <row r="2071" customFormat="false" ht="15" hidden="false" customHeight="false" outlineLevel="0" collapsed="false">
      <c r="A2071" s="32" t="n">
        <v>2064</v>
      </c>
      <c r="B2071" s="33" t="n">
        <v>1110726</v>
      </c>
      <c r="C2071" s="34" t="s">
        <v>4213</v>
      </c>
      <c r="D2071" s="34" t="s">
        <v>4214</v>
      </c>
      <c r="E2071" s="34" t="s">
        <v>38</v>
      </c>
      <c r="F2071" s="32" t="n">
        <f aca="false">COUNTIF(Base!$D$2:$D$2878,B2071)</f>
        <v>1</v>
      </c>
      <c r="G2071" s="35" t="n">
        <f aca="false">SUMIF(Base!$D$2:$D$2878,B2071,Base!$I$2:$I$2878)</f>
        <v>150.9</v>
      </c>
      <c r="H2071" s="36" t="n">
        <f aca="false">IF($G$2849=0,0,G2071/$G$2849)</f>
        <v>9.90239395243888E-006</v>
      </c>
      <c r="I2071" s="37" t="n">
        <f aca="false">I2070+H2071</f>
        <v>0.996772489318509</v>
      </c>
      <c r="J2071" s="37" t="n">
        <f aca="false">A2071/2840</f>
        <v>0.726760563380282</v>
      </c>
      <c r="K2071" s="32" t="str">
        <f aca="false">IF(I2071&lt;=$E$4,"A",IF(I2071&lt;=$E$5,"B","C"))</f>
        <v>C</v>
      </c>
    </row>
    <row r="2072" customFormat="false" ht="15" hidden="false" customHeight="false" outlineLevel="0" collapsed="false">
      <c r="A2072" s="32" t="n">
        <v>2065</v>
      </c>
      <c r="B2072" s="33" t="n">
        <v>1321000</v>
      </c>
      <c r="C2072" s="34" t="s">
        <v>4215</v>
      </c>
      <c r="D2072" s="34" t="s">
        <v>4216</v>
      </c>
      <c r="E2072" s="34" t="s">
        <v>38</v>
      </c>
      <c r="F2072" s="32" t="n">
        <f aca="false">COUNTIF(Base!$D$2:$D$2878,B2072)</f>
        <v>1</v>
      </c>
      <c r="G2072" s="35" t="n">
        <f aca="false">SUMIF(Base!$D$2:$D$2878,B2072,Base!$I$2:$I$2878)</f>
        <v>150.5</v>
      </c>
      <c r="H2072" s="36" t="n">
        <f aca="false">IF($G$2849=0,0,G2072/$G$2849)</f>
        <v>9.87614506190889E-006</v>
      </c>
      <c r="I2072" s="37" t="n">
        <f aca="false">I2071+H2072</f>
        <v>0.996782365463571</v>
      </c>
      <c r="J2072" s="37" t="n">
        <f aca="false">A2072/2840</f>
        <v>0.727112676056338</v>
      </c>
      <c r="K2072" s="32" t="str">
        <f aca="false">IF(I2072&lt;=$E$4,"A",IF(I2072&lt;=$E$5,"B","C"))</f>
        <v>C</v>
      </c>
    </row>
    <row r="2073" customFormat="false" ht="15" hidden="false" customHeight="false" outlineLevel="0" collapsed="false">
      <c r="A2073" s="32" t="n">
        <v>2066</v>
      </c>
      <c r="B2073" s="33" t="n">
        <v>1089770</v>
      </c>
      <c r="C2073" s="34" t="s">
        <v>4217</v>
      </c>
      <c r="D2073" s="34" t="s">
        <v>4218</v>
      </c>
      <c r="E2073" s="34" t="s">
        <v>2056</v>
      </c>
      <c r="F2073" s="32" t="n">
        <f aca="false">COUNTIF(Base!$D$2:$D$2878,B2073)</f>
        <v>1</v>
      </c>
      <c r="G2073" s="35" t="n">
        <f aca="false">SUMIF(Base!$D$2:$D$2878,B2073,Base!$I$2:$I$2878)</f>
        <v>150</v>
      </c>
      <c r="H2073" s="36" t="n">
        <f aca="false">IF($G$2849=0,0,G2073/$G$2849)</f>
        <v>9.8433339487464E-006</v>
      </c>
      <c r="I2073" s="37" t="n">
        <f aca="false">I2072+H2073</f>
        <v>0.99679220879752</v>
      </c>
      <c r="J2073" s="37" t="n">
        <f aca="false">A2073/2840</f>
        <v>0.727464788732394</v>
      </c>
      <c r="K2073" s="32" t="str">
        <f aca="false">IF(I2073&lt;=$E$4,"A",IF(I2073&lt;=$E$5,"B","C"))</f>
        <v>C</v>
      </c>
    </row>
    <row r="2074" customFormat="false" ht="15" hidden="false" customHeight="false" outlineLevel="0" collapsed="false">
      <c r="A2074" s="32" t="n">
        <v>2067</v>
      </c>
      <c r="B2074" s="33" t="n">
        <v>1259169</v>
      </c>
      <c r="C2074" s="34" t="s">
        <v>4219</v>
      </c>
      <c r="D2074" s="34" t="s">
        <v>4220</v>
      </c>
      <c r="E2074" s="34" t="s">
        <v>130</v>
      </c>
      <c r="F2074" s="32" t="n">
        <f aca="false">COUNTIF(Base!$D$2:$D$2878,B2074)</f>
        <v>1</v>
      </c>
      <c r="G2074" s="35" t="n">
        <f aca="false">SUMIF(Base!$D$2:$D$2878,B2074,Base!$I$2:$I$2878)</f>
        <v>150</v>
      </c>
      <c r="H2074" s="36" t="n">
        <f aca="false">IF($G$2849=0,0,G2074/$G$2849)</f>
        <v>9.8433339487464E-006</v>
      </c>
      <c r="I2074" s="37" t="n">
        <f aca="false">I2073+H2074</f>
        <v>0.996802052131468</v>
      </c>
      <c r="J2074" s="37" t="n">
        <f aca="false">A2074/2840</f>
        <v>0.727816901408451</v>
      </c>
      <c r="K2074" s="32" t="str">
        <f aca="false">IF(I2074&lt;=$E$4,"A",IF(I2074&lt;=$E$5,"B","C"))</f>
        <v>C</v>
      </c>
    </row>
    <row r="2075" customFormat="false" ht="15" hidden="false" customHeight="false" outlineLevel="0" collapsed="false">
      <c r="A2075" s="32" t="n">
        <v>2068</v>
      </c>
      <c r="B2075" s="33" t="n">
        <v>1615270</v>
      </c>
      <c r="C2075" s="34" t="s">
        <v>4221</v>
      </c>
      <c r="D2075" s="34" t="s">
        <v>4222</v>
      </c>
      <c r="E2075" s="34" t="s">
        <v>38</v>
      </c>
      <c r="F2075" s="32" t="n">
        <f aca="false">COUNTIF(Base!$D$2:$D$2878,B2075)</f>
        <v>1</v>
      </c>
      <c r="G2075" s="35" t="n">
        <f aca="false">SUMIF(Base!$D$2:$D$2878,B2075,Base!$I$2:$I$2878)</f>
        <v>150</v>
      </c>
      <c r="H2075" s="36" t="n">
        <f aca="false">IF($G$2849=0,0,G2075/$G$2849)</f>
        <v>9.8433339487464E-006</v>
      </c>
      <c r="I2075" s="37" t="n">
        <f aca="false">I2074+H2075</f>
        <v>0.996811895465417</v>
      </c>
      <c r="J2075" s="37" t="n">
        <f aca="false">A2075/2840</f>
        <v>0.728169014084507</v>
      </c>
      <c r="K2075" s="32" t="str">
        <f aca="false">IF(I2075&lt;=$E$4,"A",IF(I2075&lt;=$E$5,"B","C"))</f>
        <v>C</v>
      </c>
    </row>
    <row r="2076" customFormat="false" ht="15" hidden="false" customHeight="false" outlineLevel="0" collapsed="false">
      <c r="A2076" s="32" t="n">
        <v>2069</v>
      </c>
      <c r="B2076" s="33" t="n">
        <v>140764</v>
      </c>
      <c r="C2076" s="34" t="s">
        <v>4223</v>
      </c>
      <c r="D2076" s="34" t="s">
        <v>4224</v>
      </c>
      <c r="E2076" s="34" t="s">
        <v>100</v>
      </c>
      <c r="F2076" s="32" t="n">
        <f aca="false">COUNTIF(Base!$D$2:$D$2878,B2076)</f>
        <v>1</v>
      </c>
      <c r="G2076" s="35" t="n">
        <f aca="false">SUMIF(Base!$D$2:$D$2878,B2076,Base!$I$2:$I$2878)</f>
        <v>149.94</v>
      </c>
      <c r="H2076" s="36" t="n">
        <f aca="false">IF($G$2849=0,0,G2076/$G$2849)</f>
        <v>9.8393966151669E-006</v>
      </c>
      <c r="I2076" s="37" t="n">
        <f aca="false">I2075+H2076</f>
        <v>0.996821734862032</v>
      </c>
      <c r="J2076" s="37" t="n">
        <f aca="false">A2076/2840</f>
        <v>0.728521126760563</v>
      </c>
      <c r="K2076" s="32" t="str">
        <f aca="false">IF(I2076&lt;=$E$4,"A",IF(I2076&lt;=$E$5,"B","C"))</f>
        <v>C</v>
      </c>
    </row>
    <row r="2077" customFormat="false" ht="15" hidden="false" customHeight="false" outlineLevel="0" collapsed="false">
      <c r="A2077" s="32" t="n">
        <v>2070</v>
      </c>
      <c r="B2077" s="33" t="n">
        <v>648666</v>
      </c>
      <c r="C2077" s="34" t="s">
        <v>4225</v>
      </c>
      <c r="D2077" s="34" t="s">
        <v>4226</v>
      </c>
      <c r="E2077" s="34" t="s">
        <v>54</v>
      </c>
      <c r="F2077" s="32" t="n">
        <f aca="false">COUNTIF(Base!$D$2:$D$2878,B2077)</f>
        <v>1</v>
      </c>
      <c r="G2077" s="35" t="n">
        <f aca="false">SUMIF(Base!$D$2:$D$2878,B2077,Base!$I$2:$I$2878)</f>
        <v>149.9</v>
      </c>
      <c r="H2077" s="36" t="n">
        <f aca="false">IF($G$2849=0,0,G2077/$G$2849)</f>
        <v>9.83677172611391E-006</v>
      </c>
      <c r="I2077" s="37" t="n">
        <f aca="false">I2076+H2077</f>
        <v>0.996831571633758</v>
      </c>
      <c r="J2077" s="37" t="n">
        <f aca="false">A2077/2840</f>
        <v>0.72887323943662</v>
      </c>
      <c r="K2077" s="32" t="str">
        <f aca="false">IF(I2077&lt;=$E$4,"A",IF(I2077&lt;=$E$5,"B","C"))</f>
        <v>C</v>
      </c>
    </row>
    <row r="2078" customFormat="false" ht="15" hidden="false" customHeight="false" outlineLevel="0" collapsed="false">
      <c r="A2078" s="32" t="n">
        <v>2071</v>
      </c>
      <c r="B2078" s="33" t="n">
        <v>19904</v>
      </c>
      <c r="C2078" s="34" t="s">
        <v>4227</v>
      </c>
      <c r="D2078" s="34" t="s">
        <v>4228</v>
      </c>
      <c r="E2078" s="34" t="s">
        <v>637</v>
      </c>
      <c r="F2078" s="32" t="n">
        <f aca="false">COUNTIF(Base!$D$2:$D$2878,B2078)</f>
        <v>1</v>
      </c>
      <c r="G2078" s="35" t="n">
        <f aca="false">SUMIF(Base!$D$2:$D$2878,B2078,Base!$I$2:$I$2878)</f>
        <v>149.88</v>
      </c>
      <c r="H2078" s="36" t="n">
        <f aca="false">IF($G$2849=0,0,G2078/$G$2849)</f>
        <v>9.83545928158741E-006</v>
      </c>
      <c r="I2078" s="37" t="n">
        <f aca="false">I2077+H2078</f>
        <v>0.99684140709304</v>
      </c>
      <c r="J2078" s="37" t="n">
        <f aca="false">A2078/2840</f>
        <v>0.729225352112676</v>
      </c>
      <c r="K2078" s="32" t="str">
        <f aca="false">IF(I2078&lt;=$E$4,"A",IF(I2078&lt;=$E$5,"B","C"))</f>
        <v>C</v>
      </c>
    </row>
    <row r="2079" customFormat="false" ht="15" hidden="false" customHeight="false" outlineLevel="0" collapsed="false">
      <c r="A2079" s="32" t="n">
        <v>2072</v>
      </c>
      <c r="B2079" s="33" t="n">
        <v>1672556</v>
      </c>
      <c r="C2079" s="34" t="s">
        <v>4229</v>
      </c>
      <c r="D2079" s="34" t="s">
        <v>4230</v>
      </c>
      <c r="E2079" s="34" t="s">
        <v>66</v>
      </c>
      <c r="F2079" s="32" t="n">
        <f aca="false">COUNTIF(Base!$D$2:$D$2878,B2079)</f>
        <v>1</v>
      </c>
      <c r="G2079" s="35" t="n">
        <f aca="false">SUMIF(Base!$D$2:$D$2878,B2079,Base!$I$2:$I$2878)</f>
        <v>149.76</v>
      </c>
      <c r="H2079" s="36" t="n">
        <f aca="false">IF($G$2849=0,0,G2079/$G$2849)</f>
        <v>9.82758461442841E-006</v>
      </c>
      <c r="I2079" s="37" t="n">
        <f aca="false">I2078+H2079</f>
        <v>0.996851234677654</v>
      </c>
      <c r="J2079" s="37" t="n">
        <f aca="false">A2079/2840</f>
        <v>0.729577464788732</v>
      </c>
      <c r="K2079" s="32" t="str">
        <f aca="false">IF(I2079&lt;=$E$4,"A",IF(I2079&lt;=$E$5,"B","C"))</f>
        <v>C</v>
      </c>
    </row>
    <row r="2080" customFormat="false" ht="15" hidden="false" customHeight="false" outlineLevel="0" collapsed="false">
      <c r="A2080" s="32" t="n">
        <v>2073</v>
      </c>
      <c r="B2080" s="33" t="n">
        <v>18455</v>
      </c>
      <c r="C2080" s="34" t="s">
        <v>4231</v>
      </c>
      <c r="D2080" s="34" t="s">
        <v>4232</v>
      </c>
      <c r="E2080" s="34" t="s">
        <v>1618</v>
      </c>
      <c r="F2080" s="32" t="n">
        <f aca="false">COUNTIF(Base!$D$2:$D$2878,B2080)</f>
        <v>1</v>
      </c>
      <c r="G2080" s="35" t="n">
        <f aca="false">SUMIF(Base!$D$2:$D$2878,B2080,Base!$I$2:$I$2878)</f>
        <v>149.2</v>
      </c>
      <c r="H2080" s="36" t="n">
        <f aca="false">IF($G$2849=0,0,G2080/$G$2849)</f>
        <v>9.79083616768642E-006</v>
      </c>
      <c r="I2080" s="37" t="n">
        <f aca="false">I2079+H2080</f>
        <v>0.996861025513822</v>
      </c>
      <c r="J2080" s="37" t="n">
        <f aca="false">A2080/2840</f>
        <v>0.729929577464789</v>
      </c>
      <c r="K2080" s="32" t="str">
        <f aca="false">IF(I2080&lt;=$E$4,"A",IF(I2080&lt;=$E$5,"B","C"))</f>
        <v>C</v>
      </c>
    </row>
    <row r="2081" customFormat="false" ht="15" hidden="false" customHeight="false" outlineLevel="0" collapsed="false">
      <c r="A2081" s="32" t="n">
        <v>2074</v>
      </c>
      <c r="B2081" s="33" t="n">
        <v>31237</v>
      </c>
      <c r="C2081" s="34" t="s">
        <v>4233</v>
      </c>
      <c r="D2081" s="34" t="s">
        <v>4234</v>
      </c>
      <c r="E2081" s="34" t="s">
        <v>130</v>
      </c>
      <c r="F2081" s="32" t="n">
        <f aca="false">COUNTIF(Base!$D$2:$D$2878,B2081)</f>
        <v>1</v>
      </c>
      <c r="G2081" s="35" t="n">
        <f aca="false">SUMIF(Base!$D$2:$D$2878,B2081,Base!$I$2:$I$2878)</f>
        <v>148</v>
      </c>
      <c r="H2081" s="36" t="n">
        <f aca="false">IF($G$2849=0,0,G2081/$G$2849)</f>
        <v>9.71208949609645E-006</v>
      </c>
      <c r="I2081" s="37" t="n">
        <f aca="false">I2080+H2081</f>
        <v>0.996870737603318</v>
      </c>
      <c r="J2081" s="37" t="n">
        <f aca="false">A2081/2840</f>
        <v>0.730281690140845</v>
      </c>
      <c r="K2081" s="32" t="str">
        <f aca="false">IF(I2081&lt;=$E$4,"A",IF(I2081&lt;=$E$5,"B","C"))</f>
        <v>C</v>
      </c>
    </row>
    <row r="2082" customFormat="false" ht="15" hidden="false" customHeight="false" outlineLevel="0" collapsed="false">
      <c r="A2082" s="32" t="n">
        <v>2075</v>
      </c>
      <c r="B2082" s="33" t="n">
        <v>219982</v>
      </c>
      <c r="C2082" s="34" t="s">
        <v>4235</v>
      </c>
      <c r="D2082" s="34" t="s">
        <v>4236</v>
      </c>
      <c r="E2082" s="34" t="s">
        <v>38</v>
      </c>
      <c r="F2082" s="32" t="n">
        <f aca="false">COUNTIF(Base!$D$2:$D$2878,B2082)</f>
        <v>1</v>
      </c>
      <c r="G2082" s="35" t="n">
        <f aca="false">SUMIF(Base!$D$2:$D$2878,B2082,Base!$I$2:$I$2878)</f>
        <v>148</v>
      </c>
      <c r="H2082" s="36" t="n">
        <f aca="false">IF($G$2849=0,0,G2082/$G$2849)</f>
        <v>9.71208949609645E-006</v>
      </c>
      <c r="I2082" s="37" t="n">
        <f aca="false">I2081+H2082</f>
        <v>0.996880449692814</v>
      </c>
      <c r="J2082" s="37" t="n">
        <f aca="false">A2082/2840</f>
        <v>0.730633802816901</v>
      </c>
      <c r="K2082" s="32" t="str">
        <f aca="false">IF(I2082&lt;=$E$4,"A",IF(I2082&lt;=$E$5,"B","C"))</f>
        <v>C</v>
      </c>
    </row>
    <row r="2083" customFormat="false" ht="15" hidden="false" customHeight="false" outlineLevel="0" collapsed="false">
      <c r="A2083" s="32" t="n">
        <v>2076</v>
      </c>
      <c r="B2083" s="33" t="n">
        <v>18862</v>
      </c>
      <c r="C2083" s="34" t="s">
        <v>4237</v>
      </c>
      <c r="D2083" s="34" t="s">
        <v>4238</v>
      </c>
      <c r="E2083" s="34" t="s">
        <v>247</v>
      </c>
      <c r="F2083" s="32" t="n">
        <f aca="false">COUNTIF(Base!$D$2:$D$2878,B2083)</f>
        <v>1</v>
      </c>
      <c r="G2083" s="35" t="n">
        <f aca="false">SUMIF(Base!$D$2:$D$2878,B2083,Base!$I$2:$I$2878)</f>
        <v>147.4</v>
      </c>
      <c r="H2083" s="36" t="n">
        <f aca="false">IF($G$2849=0,0,G2083/$G$2849)</f>
        <v>9.67271616030147E-006</v>
      </c>
      <c r="I2083" s="37" t="n">
        <f aca="false">I2082+H2083</f>
        <v>0.996890122408975</v>
      </c>
      <c r="J2083" s="37" t="n">
        <f aca="false">A2083/2840</f>
        <v>0.730985915492958</v>
      </c>
      <c r="K2083" s="32" t="str">
        <f aca="false">IF(I2083&lt;=$E$4,"A",IF(I2083&lt;=$E$5,"B","C"))</f>
        <v>C</v>
      </c>
    </row>
    <row r="2084" customFormat="false" ht="15" hidden="false" customHeight="false" outlineLevel="0" collapsed="false">
      <c r="A2084" s="32" t="n">
        <v>2077</v>
      </c>
      <c r="B2084" s="33" t="n">
        <v>60633</v>
      </c>
      <c r="C2084" s="34" t="s">
        <v>4239</v>
      </c>
      <c r="D2084" s="34" t="s">
        <v>4240</v>
      </c>
      <c r="E2084" s="34" t="s">
        <v>38</v>
      </c>
      <c r="F2084" s="32" t="n">
        <f aca="false">COUNTIF(Base!$D$2:$D$2878,B2084)</f>
        <v>1</v>
      </c>
      <c r="G2084" s="35" t="n">
        <f aca="false">SUMIF(Base!$D$2:$D$2878,B2084,Base!$I$2:$I$2878)</f>
        <v>146.88</v>
      </c>
      <c r="H2084" s="36" t="n">
        <f aca="false">IF($G$2849=0,0,G2084/$G$2849)</f>
        <v>9.63859260261248E-006</v>
      </c>
      <c r="I2084" s="37" t="n">
        <f aca="false">I2083+H2084</f>
        <v>0.996899761001577</v>
      </c>
      <c r="J2084" s="37" t="n">
        <f aca="false">A2084/2840</f>
        <v>0.731338028169014</v>
      </c>
      <c r="K2084" s="32" t="str">
        <f aca="false">IF(I2084&lt;=$E$4,"A",IF(I2084&lt;=$E$5,"B","C"))</f>
        <v>C</v>
      </c>
    </row>
    <row r="2085" customFormat="false" ht="15" hidden="false" customHeight="false" outlineLevel="0" collapsed="false">
      <c r="A2085" s="32" t="n">
        <v>2078</v>
      </c>
      <c r="B2085" s="33" t="n">
        <v>22440</v>
      </c>
      <c r="C2085" s="34" t="s">
        <v>4241</v>
      </c>
      <c r="D2085" s="34" t="s">
        <v>4242</v>
      </c>
      <c r="E2085" s="34" t="s">
        <v>38</v>
      </c>
      <c r="F2085" s="32" t="n">
        <f aca="false">COUNTIF(Base!$D$2:$D$2878,B2085)</f>
        <v>1</v>
      </c>
      <c r="G2085" s="35" t="n">
        <f aca="false">SUMIF(Base!$D$2:$D$2878,B2085,Base!$I$2:$I$2878)</f>
        <v>146</v>
      </c>
      <c r="H2085" s="36" t="n">
        <f aca="false">IF($G$2849=0,0,G2085/$G$2849)</f>
        <v>9.5808450434465E-006</v>
      </c>
      <c r="I2085" s="37" t="n">
        <f aca="false">I2084+H2085</f>
        <v>0.996909341846621</v>
      </c>
      <c r="J2085" s="37" t="n">
        <f aca="false">A2085/2840</f>
        <v>0.73169014084507</v>
      </c>
      <c r="K2085" s="32" t="str">
        <f aca="false">IF(I2085&lt;=$E$4,"A",IF(I2085&lt;=$E$5,"B","C"))</f>
        <v>C</v>
      </c>
    </row>
    <row r="2086" customFormat="false" ht="15" hidden="false" customHeight="false" outlineLevel="0" collapsed="false">
      <c r="A2086" s="32" t="n">
        <v>2079</v>
      </c>
      <c r="B2086" s="33" t="n">
        <v>1539987</v>
      </c>
      <c r="C2086" s="34" t="s">
        <v>4243</v>
      </c>
      <c r="D2086" s="34" t="s">
        <v>4244</v>
      </c>
      <c r="E2086" s="34" t="s">
        <v>130</v>
      </c>
      <c r="F2086" s="32" t="n">
        <f aca="false">COUNTIF(Base!$D$2:$D$2878,B2086)</f>
        <v>1</v>
      </c>
      <c r="G2086" s="35" t="n">
        <f aca="false">SUMIF(Base!$D$2:$D$2878,B2086,Base!$I$2:$I$2878)</f>
        <v>146</v>
      </c>
      <c r="H2086" s="36" t="n">
        <f aca="false">IF($G$2849=0,0,G2086/$G$2849)</f>
        <v>9.5808450434465E-006</v>
      </c>
      <c r="I2086" s="37" t="n">
        <f aca="false">I2085+H2086</f>
        <v>0.996918922691664</v>
      </c>
      <c r="J2086" s="37" t="n">
        <f aca="false">A2086/2840</f>
        <v>0.732042253521127</v>
      </c>
      <c r="K2086" s="32" t="str">
        <f aca="false">IF(I2086&lt;=$E$4,"A",IF(I2086&lt;=$E$5,"B","C"))</f>
        <v>C</v>
      </c>
    </row>
    <row r="2087" customFormat="false" ht="15" hidden="false" customHeight="false" outlineLevel="0" collapsed="false">
      <c r="A2087" s="32" t="n">
        <v>2080</v>
      </c>
      <c r="B2087" s="33" t="n">
        <v>1385306</v>
      </c>
      <c r="C2087" s="34" t="s">
        <v>4245</v>
      </c>
      <c r="D2087" s="34" t="s">
        <v>4246</v>
      </c>
      <c r="E2087" s="34" t="s">
        <v>38</v>
      </c>
      <c r="F2087" s="32" t="n">
        <f aca="false">COUNTIF(Base!$D$2:$D$2878,B2087)</f>
        <v>1</v>
      </c>
      <c r="G2087" s="35" t="n">
        <f aca="false">SUMIF(Base!$D$2:$D$2878,B2087,Base!$I$2:$I$2878)</f>
        <v>145.59</v>
      </c>
      <c r="H2087" s="36" t="n">
        <f aca="false">IF($G$2849=0,0,G2087/$G$2849)</f>
        <v>9.55393993065326E-006</v>
      </c>
      <c r="I2087" s="37" t="n">
        <f aca="false">I2086+H2087</f>
        <v>0.996928476631595</v>
      </c>
      <c r="J2087" s="37" t="n">
        <f aca="false">A2087/2840</f>
        <v>0.732394366197183</v>
      </c>
      <c r="K2087" s="32" t="str">
        <f aca="false">IF(I2087&lt;=$E$4,"A",IF(I2087&lt;=$E$5,"B","C"))</f>
        <v>C</v>
      </c>
    </row>
    <row r="2088" customFormat="false" ht="15" hidden="false" customHeight="false" outlineLevel="0" collapsed="false">
      <c r="A2088" s="32" t="n">
        <v>2081</v>
      </c>
      <c r="B2088" s="33" t="n">
        <v>1383520</v>
      </c>
      <c r="C2088" s="34" t="s">
        <v>4247</v>
      </c>
      <c r="D2088" s="34" t="s">
        <v>4248</v>
      </c>
      <c r="E2088" s="34" t="s">
        <v>38</v>
      </c>
      <c r="F2088" s="32" t="n">
        <f aca="false">COUNTIF(Base!$D$2:$D$2878,B2088)</f>
        <v>1</v>
      </c>
      <c r="G2088" s="35" t="n">
        <f aca="false">SUMIF(Base!$D$2:$D$2878,B2088,Base!$I$2:$I$2878)</f>
        <v>145.46</v>
      </c>
      <c r="H2088" s="36" t="n">
        <f aca="false">IF($G$2849=0,0,G2088/$G$2849)</f>
        <v>9.54540904123101E-006</v>
      </c>
      <c r="I2088" s="37" t="n">
        <f aca="false">I2087+H2088</f>
        <v>0.996938022040636</v>
      </c>
      <c r="J2088" s="37" t="n">
        <f aca="false">A2088/2840</f>
        <v>0.732746478873239</v>
      </c>
      <c r="K2088" s="32" t="str">
        <f aca="false">IF(I2088&lt;=$E$4,"A",IF(I2088&lt;=$E$5,"B","C"))</f>
        <v>C</v>
      </c>
    </row>
    <row r="2089" customFormat="false" ht="15" hidden="false" customHeight="false" outlineLevel="0" collapsed="false">
      <c r="A2089" s="32" t="n">
        <v>2082</v>
      </c>
      <c r="B2089" s="33" t="n">
        <v>1614273</v>
      </c>
      <c r="C2089" s="34" t="s">
        <v>4249</v>
      </c>
      <c r="D2089" s="34" t="s">
        <v>4250</v>
      </c>
      <c r="E2089" s="34" t="s">
        <v>38</v>
      </c>
      <c r="F2089" s="32" t="n">
        <f aca="false">COUNTIF(Base!$D$2:$D$2878,B2089)</f>
        <v>1</v>
      </c>
      <c r="G2089" s="35" t="n">
        <f aca="false">SUMIF(Base!$D$2:$D$2878,B2089,Base!$I$2:$I$2878)</f>
        <v>145.38</v>
      </c>
      <c r="H2089" s="36" t="n">
        <f aca="false">IF($G$2849=0,0,G2089/$G$2849)</f>
        <v>9.54015926312501E-006</v>
      </c>
      <c r="I2089" s="37" t="n">
        <f aca="false">I2088+H2089</f>
        <v>0.996947562199899</v>
      </c>
      <c r="J2089" s="37" t="n">
        <f aca="false">A2089/2840</f>
        <v>0.733098591549296</v>
      </c>
      <c r="K2089" s="32" t="str">
        <f aca="false">IF(I2089&lt;=$E$4,"A",IF(I2089&lt;=$E$5,"B","C"))</f>
        <v>C</v>
      </c>
    </row>
    <row r="2090" customFormat="false" ht="15" hidden="false" customHeight="false" outlineLevel="0" collapsed="false">
      <c r="A2090" s="32" t="n">
        <v>2083</v>
      </c>
      <c r="B2090" s="33" t="n">
        <v>1485630</v>
      </c>
      <c r="C2090" s="34" t="s">
        <v>4251</v>
      </c>
      <c r="D2090" s="34" t="s">
        <v>4252</v>
      </c>
      <c r="E2090" s="34" t="s">
        <v>100</v>
      </c>
      <c r="F2090" s="32" t="n">
        <f aca="false">COUNTIF(Base!$D$2:$D$2878,B2090)</f>
        <v>1</v>
      </c>
      <c r="G2090" s="35" t="n">
        <f aca="false">SUMIF(Base!$D$2:$D$2878,B2090,Base!$I$2:$I$2878)</f>
        <v>145.32</v>
      </c>
      <c r="H2090" s="36" t="n">
        <f aca="false">IF($G$2849=0,0,G2090/$G$2849)</f>
        <v>9.53622192954551E-006</v>
      </c>
      <c r="I2090" s="37" t="n">
        <f aca="false">I2089+H2090</f>
        <v>0.996957098421828</v>
      </c>
      <c r="J2090" s="37" t="n">
        <f aca="false">A2090/2840</f>
        <v>0.733450704225352</v>
      </c>
      <c r="K2090" s="32" t="str">
        <f aca="false">IF(I2090&lt;=$E$4,"A",IF(I2090&lt;=$E$5,"B","C"))</f>
        <v>C</v>
      </c>
    </row>
    <row r="2091" customFormat="false" ht="15" hidden="false" customHeight="false" outlineLevel="0" collapsed="false">
      <c r="A2091" s="32" t="n">
        <v>2084</v>
      </c>
      <c r="B2091" s="33" t="n">
        <v>1461564</v>
      </c>
      <c r="C2091" s="34" t="s">
        <v>4253</v>
      </c>
      <c r="D2091" s="34" t="s">
        <v>4254</v>
      </c>
      <c r="E2091" s="34" t="s">
        <v>54</v>
      </c>
      <c r="F2091" s="32" t="n">
        <f aca="false">COUNTIF(Base!$D$2:$D$2878,B2091)</f>
        <v>1</v>
      </c>
      <c r="G2091" s="35" t="n">
        <f aca="false">SUMIF(Base!$D$2:$D$2878,B2091,Base!$I$2:$I$2878)</f>
        <v>145.09</v>
      </c>
      <c r="H2091" s="36" t="n">
        <f aca="false">IF($G$2849=0,0,G2091/$G$2849)</f>
        <v>9.52112881749077E-006</v>
      </c>
      <c r="I2091" s="37" t="n">
        <f aca="false">I2090+H2091</f>
        <v>0.996966619550646</v>
      </c>
      <c r="J2091" s="37" t="n">
        <f aca="false">A2091/2840</f>
        <v>0.733802816901409</v>
      </c>
      <c r="K2091" s="32" t="str">
        <f aca="false">IF(I2091&lt;=$E$4,"A",IF(I2091&lt;=$E$5,"B","C"))</f>
        <v>C</v>
      </c>
    </row>
    <row r="2092" customFormat="false" ht="15" hidden="false" customHeight="false" outlineLevel="0" collapsed="false">
      <c r="A2092" s="32" t="n">
        <v>2085</v>
      </c>
      <c r="B2092" s="33" t="n">
        <v>1607589</v>
      </c>
      <c r="C2092" s="34" t="s">
        <v>4255</v>
      </c>
      <c r="D2092" s="34" t="s">
        <v>4256</v>
      </c>
      <c r="E2092" s="34" t="s">
        <v>38</v>
      </c>
      <c r="F2092" s="32" t="n">
        <f aca="false">COUNTIF(Base!$D$2:$D$2878,B2092)</f>
        <v>1</v>
      </c>
      <c r="G2092" s="35" t="n">
        <f aca="false">SUMIF(Base!$D$2:$D$2878,B2092,Base!$I$2:$I$2878)</f>
        <v>144.9</v>
      </c>
      <c r="H2092" s="36" t="n">
        <f aca="false">IF($G$2849=0,0,G2092/$G$2849)</f>
        <v>9.50866059448903E-006</v>
      </c>
      <c r="I2092" s="37" t="n">
        <f aca="false">I2091+H2092</f>
        <v>0.99697612821124</v>
      </c>
      <c r="J2092" s="37" t="n">
        <f aca="false">A2092/2840</f>
        <v>0.734154929577465</v>
      </c>
      <c r="K2092" s="32" t="str">
        <f aca="false">IF(I2092&lt;=$E$4,"A",IF(I2092&lt;=$E$5,"B","C"))</f>
        <v>C</v>
      </c>
    </row>
    <row r="2093" customFormat="false" ht="15" hidden="false" customHeight="false" outlineLevel="0" collapsed="false">
      <c r="A2093" s="32" t="n">
        <v>2086</v>
      </c>
      <c r="B2093" s="33" t="n">
        <v>840031</v>
      </c>
      <c r="C2093" s="34" t="s">
        <v>4257</v>
      </c>
      <c r="D2093" s="34" t="s">
        <v>4258</v>
      </c>
      <c r="E2093" s="34" t="s">
        <v>54</v>
      </c>
      <c r="F2093" s="32" t="n">
        <f aca="false">COUNTIF(Base!$D$2:$D$2878,B2093)</f>
        <v>1</v>
      </c>
      <c r="G2093" s="35" t="n">
        <f aca="false">SUMIF(Base!$D$2:$D$2878,B2093,Base!$I$2:$I$2878)</f>
        <v>144.68</v>
      </c>
      <c r="H2093" s="36" t="n">
        <f aca="false">IF($G$2849=0,0,G2093/$G$2849)</f>
        <v>9.49422370469753E-006</v>
      </c>
      <c r="I2093" s="37" t="n">
        <f aca="false">I2092+H2093</f>
        <v>0.996985622434945</v>
      </c>
      <c r="J2093" s="37" t="n">
        <f aca="false">A2093/2840</f>
        <v>0.734507042253521</v>
      </c>
      <c r="K2093" s="32" t="str">
        <f aca="false">IF(I2093&lt;=$E$4,"A",IF(I2093&lt;=$E$5,"B","C"))</f>
        <v>C</v>
      </c>
    </row>
    <row r="2094" customFormat="false" ht="15" hidden="false" customHeight="false" outlineLevel="0" collapsed="false">
      <c r="A2094" s="32" t="n">
        <v>2087</v>
      </c>
      <c r="B2094" s="33" t="n">
        <v>1013743</v>
      </c>
      <c r="C2094" s="34" t="s">
        <v>4259</v>
      </c>
      <c r="D2094" s="34" t="s">
        <v>4260</v>
      </c>
      <c r="E2094" s="34" t="s">
        <v>457</v>
      </c>
      <c r="F2094" s="32" t="n">
        <f aca="false">COUNTIF(Base!$D$2:$D$2878,B2094)</f>
        <v>1</v>
      </c>
      <c r="G2094" s="35" t="n">
        <f aca="false">SUMIF(Base!$D$2:$D$2878,B2094,Base!$I$2:$I$2878)</f>
        <v>144.5</v>
      </c>
      <c r="H2094" s="36" t="n">
        <f aca="false">IF($G$2849=0,0,G2094/$G$2849)</f>
        <v>9.48241170395903E-006</v>
      </c>
      <c r="I2094" s="37" t="n">
        <f aca="false">I2093+H2094</f>
        <v>0.996995104846649</v>
      </c>
      <c r="J2094" s="37" t="n">
        <f aca="false">A2094/2840</f>
        <v>0.734859154929577</v>
      </c>
      <c r="K2094" s="32" t="str">
        <f aca="false">IF(I2094&lt;=$E$4,"A",IF(I2094&lt;=$E$5,"B","C"))</f>
        <v>C</v>
      </c>
    </row>
    <row r="2095" customFormat="false" ht="15" hidden="false" customHeight="false" outlineLevel="0" collapsed="false">
      <c r="A2095" s="32" t="n">
        <v>2088</v>
      </c>
      <c r="B2095" s="33" t="n">
        <v>19623</v>
      </c>
      <c r="C2095" s="34" t="s">
        <v>4261</v>
      </c>
      <c r="D2095" s="34" t="s">
        <v>4262</v>
      </c>
      <c r="E2095" s="34" t="s">
        <v>1095</v>
      </c>
      <c r="F2095" s="32" t="n">
        <f aca="false">COUNTIF(Base!$D$2:$D$2878,B2095)</f>
        <v>1</v>
      </c>
      <c r="G2095" s="35" t="n">
        <f aca="false">SUMIF(Base!$D$2:$D$2878,B2095,Base!$I$2:$I$2878)</f>
        <v>144.365</v>
      </c>
      <c r="H2095" s="36" t="n">
        <f aca="false">IF($G$2849=0,0,G2095/$G$2849)</f>
        <v>9.47355270340516E-006</v>
      </c>
      <c r="I2095" s="37" t="n">
        <f aca="false">I2094+H2095</f>
        <v>0.997004578399352</v>
      </c>
      <c r="J2095" s="37" t="n">
        <f aca="false">A2095/2840</f>
        <v>0.735211267605634</v>
      </c>
      <c r="K2095" s="32" t="str">
        <f aca="false">IF(I2095&lt;=$E$4,"A",IF(I2095&lt;=$E$5,"B","C"))</f>
        <v>C</v>
      </c>
    </row>
    <row r="2096" customFormat="false" ht="15" hidden="false" customHeight="false" outlineLevel="0" collapsed="false">
      <c r="A2096" s="32" t="n">
        <v>2089</v>
      </c>
      <c r="B2096" s="33" t="n">
        <v>23457</v>
      </c>
      <c r="C2096" s="34" t="s">
        <v>4263</v>
      </c>
      <c r="D2096" s="34" t="s">
        <v>4264</v>
      </c>
      <c r="E2096" s="34" t="s">
        <v>130</v>
      </c>
      <c r="F2096" s="32" t="n">
        <f aca="false">COUNTIF(Base!$D$2:$D$2878,B2096)</f>
        <v>1</v>
      </c>
      <c r="G2096" s="35" t="n">
        <f aca="false">SUMIF(Base!$D$2:$D$2878,B2096,Base!$I$2:$I$2878)</f>
        <v>144</v>
      </c>
      <c r="H2096" s="36" t="n">
        <f aca="false">IF($G$2849=0,0,G2096/$G$2849)</f>
        <v>9.44960059079655E-006</v>
      </c>
      <c r="I2096" s="37" t="n">
        <f aca="false">I2095+H2096</f>
        <v>0.997014027999943</v>
      </c>
      <c r="J2096" s="37" t="n">
        <f aca="false">A2096/2840</f>
        <v>0.73556338028169</v>
      </c>
      <c r="K2096" s="32" t="str">
        <f aca="false">IF(I2096&lt;=$E$4,"A",IF(I2096&lt;=$E$5,"B","C"))</f>
        <v>C</v>
      </c>
    </row>
    <row r="2097" customFormat="false" ht="15" hidden="false" customHeight="false" outlineLevel="0" collapsed="false">
      <c r="A2097" s="32" t="n">
        <v>2090</v>
      </c>
      <c r="B2097" s="33" t="n">
        <v>226233</v>
      </c>
      <c r="C2097" s="34" t="s">
        <v>4265</v>
      </c>
      <c r="D2097" s="34" t="s">
        <v>4266</v>
      </c>
      <c r="E2097" s="34" t="s">
        <v>2056</v>
      </c>
      <c r="F2097" s="32" t="n">
        <f aca="false">COUNTIF(Base!$D$2:$D$2878,B2097)</f>
        <v>1</v>
      </c>
      <c r="G2097" s="35" t="n">
        <f aca="false">SUMIF(Base!$D$2:$D$2878,B2097,Base!$I$2:$I$2878)</f>
        <v>144</v>
      </c>
      <c r="H2097" s="36" t="n">
        <f aca="false">IF($G$2849=0,0,G2097/$G$2849)</f>
        <v>9.44960059079655E-006</v>
      </c>
      <c r="I2097" s="37" t="n">
        <f aca="false">I2096+H2097</f>
        <v>0.997023477600534</v>
      </c>
      <c r="J2097" s="37" t="n">
        <f aca="false">A2097/2840</f>
        <v>0.735915492957747</v>
      </c>
      <c r="K2097" s="32" t="str">
        <f aca="false">IF(I2097&lt;=$E$4,"A",IF(I2097&lt;=$E$5,"B","C"))</f>
        <v>C</v>
      </c>
    </row>
    <row r="2098" customFormat="false" ht="15" hidden="false" customHeight="false" outlineLevel="0" collapsed="false">
      <c r="A2098" s="32" t="n">
        <v>2091</v>
      </c>
      <c r="B2098" s="33" t="n">
        <v>294431</v>
      </c>
      <c r="C2098" s="34" t="s">
        <v>4267</v>
      </c>
      <c r="D2098" s="34" t="s">
        <v>4268</v>
      </c>
      <c r="E2098" s="34" t="s">
        <v>605</v>
      </c>
      <c r="F2098" s="32" t="n">
        <f aca="false">COUNTIF(Base!$D$2:$D$2878,B2098)</f>
        <v>1</v>
      </c>
      <c r="G2098" s="35" t="n">
        <f aca="false">SUMIF(Base!$D$2:$D$2878,B2098,Base!$I$2:$I$2878)</f>
        <v>144</v>
      </c>
      <c r="H2098" s="36" t="n">
        <f aca="false">IF($G$2849=0,0,G2098/$G$2849)</f>
        <v>9.44960059079655E-006</v>
      </c>
      <c r="I2098" s="37" t="n">
        <f aca="false">I2097+H2098</f>
        <v>0.997032927201125</v>
      </c>
      <c r="J2098" s="37" t="n">
        <f aca="false">A2098/2840</f>
        <v>0.736267605633803</v>
      </c>
      <c r="K2098" s="32" t="str">
        <f aca="false">IF(I2098&lt;=$E$4,"A",IF(I2098&lt;=$E$5,"B","C"))</f>
        <v>C</v>
      </c>
    </row>
    <row r="2099" customFormat="false" ht="15" hidden="false" customHeight="false" outlineLevel="0" collapsed="false">
      <c r="A2099" s="32" t="n">
        <v>2092</v>
      </c>
      <c r="B2099" s="33" t="n">
        <v>884557</v>
      </c>
      <c r="C2099" s="34" t="s">
        <v>4269</v>
      </c>
      <c r="D2099" s="34" t="s">
        <v>4270</v>
      </c>
      <c r="E2099" s="34" t="s">
        <v>130</v>
      </c>
      <c r="F2099" s="32" t="n">
        <f aca="false">COUNTIF(Base!$D$2:$D$2878,B2099)</f>
        <v>1</v>
      </c>
      <c r="G2099" s="35" t="n">
        <f aca="false">SUMIF(Base!$D$2:$D$2878,B2099,Base!$I$2:$I$2878)</f>
        <v>144</v>
      </c>
      <c r="H2099" s="36" t="n">
        <f aca="false">IF($G$2849=0,0,G2099/$G$2849)</f>
        <v>9.44960059079655E-006</v>
      </c>
      <c r="I2099" s="37" t="n">
        <f aca="false">I2098+H2099</f>
        <v>0.997042376801716</v>
      </c>
      <c r="J2099" s="37" t="n">
        <f aca="false">A2099/2840</f>
        <v>0.736619718309859</v>
      </c>
      <c r="K2099" s="32" t="str">
        <f aca="false">IF(I2099&lt;=$E$4,"A",IF(I2099&lt;=$E$5,"B","C"))</f>
        <v>C</v>
      </c>
    </row>
    <row r="2100" customFormat="false" ht="15" hidden="false" customHeight="false" outlineLevel="0" collapsed="false">
      <c r="A2100" s="32" t="n">
        <v>2093</v>
      </c>
      <c r="B2100" s="33" t="n">
        <v>34725</v>
      </c>
      <c r="C2100" s="34" t="s">
        <v>4271</v>
      </c>
      <c r="D2100" s="34" t="s">
        <v>4272</v>
      </c>
      <c r="E2100" s="34" t="s">
        <v>480</v>
      </c>
      <c r="F2100" s="32" t="n">
        <f aca="false">COUNTIF(Base!$D$2:$D$2878,B2100)</f>
        <v>1</v>
      </c>
      <c r="G2100" s="35" t="n">
        <f aca="false">SUMIF(Base!$D$2:$D$2878,B2100,Base!$I$2:$I$2878)</f>
        <v>143.6</v>
      </c>
      <c r="H2100" s="36" t="n">
        <f aca="false">IF($G$2849=0,0,G2100/$G$2849)</f>
        <v>9.42335170026656E-006</v>
      </c>
      <c r="I2100" s="37" t="n">
        <f aca="false">I2099+H2100</f>
        <v>0.997051800153416</v>
      </c>
      <c r="J2100" s="37" t="n">
        <f aca="false">A2100/2840</f>
        <v>0.736971830985916</v>
      </c>
      <c r="K2100" s="32" t="str">
        <f aca="false">IF(I2100&lt;=$E$4,"A",IF(I2100&lt;=$E$5,"B","C"))</f>
        <v>C</v>
      </c>
    </row>
    <row r="2101" customFormat="false" ht="15" hidden="false" customHeight="false" outlineLevel="0" collapsed="false">
      <c r="A2101" s="32" t="n">
        <v>2094</v>
      </c>
      <c r="B2101" s="33" t="n">
        <v>553883</v>
      </c>
      <c r="C2101" s="34" t="s">
        <v>4273</v>
      </c>
      <c r="D2101" s="34" t="s">
        <v>4274</v>
      </c>
      <c r="E2101" s="34" t="s">
        <v>605</v>
      </c>
      <c r="F2101" s="32" t="n">
        <f aca="false">COUNTIF(Base!$D$2:$D$2878,B2101)</f>
        <v>1</v>
      </c>
      <c r="G2101" s="35" t="n">
        <f aca="false">SUMIF(Base!$D$2:$D$2878,B2101,Base!$I$2:$I$2878)</f>
        <v>143.4</v>
      </c>
      <c r="H2101" s="36" t="n">
        <f aca="false">IF($G$2849=0,0,G2101/$G$2849)</f>
        <v>9.41022725500156E-006</v>
      </c>
      <c r="I2101" s="37" t="n">
        <f aca="false">I2100+H2101</f>
        <v>0.997061210380671</v>
      </c>
      <c r="J2101" s="37" t="n">
        <f aca="false">A2101/2840</f>
        <v>0.737323943661972</v>
      </c>
      <c r="K2101" s="32" t="str">
        <f aca="false">IF(I2101&lt;=$E$4,"A",IF(I2101&lt;=$E$5,"B","C"))</f>
        <v>C</v>
      </c>
    </row>
    <row r="2102" customFormat="false" ht="15" hidden="false" customHeight="false" outlineLevel="0" collapsed="false">
      <c r="A2102" s="32" t="n">
        <v>2095</v>
      </c>
      <c r="B2102" s="33" t="n">
        <v>56677</v>
      </c>
      <c r="C2102" s="34" t="s">
        <v>4275</v>
      </c>
      <c r="D2102" s="34" t="s">
        <v>4276</v>
      </c>
      <c r="E2102" s="34" t="s">
        <v>54</v>
      </c>
      <c r="F2102" s="32" t="n">
        <f aca="false">COUNTIF(Base!$D$2:$D$2878,B2102)</f>
        <v>1</v>
      </c>
      <c r="G2102" s="35" t="n">
        <f aca="false">SUMIF(Base!$D$2:$D$2878,B2102,Base!$I$2:$I$2878)</f>
        <v>143.1</v>
      </c>
      <c r="H2102" s="36" t="n">
        <f aca="false">IF($G$2849=0,0,G2102/$G$2849)</f>
        <v>9.39054058710407E-006</v>
      </c>
      <c r="I2102" s="37" t="n">
        <f aca="false">I2101+H2102</f>
        <v>0.997070600921258</v>
      </c>
      <c r="J2102" s="37" t="n">
        <f aca="false">A2102/2840</f>
        <v>0.737676056338028</v>
      </c>
      <c r="K2102" s="32" t="str">
        <f aca="false">IF(I2102&lt;=$E$4,"A",IF(I2102&lt;=$E$5,"B","C"))</f>
        <v>C</v>
      </c>
    </row>
    <row r="2103" customFormat="false" ht="15" hidden="false" customHeight="false" outlineLevel="0" collapsed="false">
      <c r="A2103" s="32" t="n">
        <v>2096</v>
      </c>
      <c r="B2103" s="33" t="n">
        <v>604907</v>
      </c>
      <c r="C2103" s="34" t="s">
        <v>4277</v>
      </c>
      <c r="D2103" s="34" t="s">
        <v>4278</v>
      </c>
      <c r="E2103" s="34" t="s">
        <v>63</v>
      </c>
      <c r="F2103" s="32" t="n">
        <f aca="false">COUNTIF(Base!$D$2:$D$2878,B2103)</f>
        <v>1</v>
      </c>
      <c r="G2103" s="35" t="n">
        <f aca="false">SUMIF(Base!$D$2:$D$2878,B2103,Base!$I$2:$I$2878)</f>
        <v>142.6</v>
      </c>
      <c r="H2103" s="36" t="n">
        <f aca="false">IF($G$2849=0,0,G2103/$G$2849)</f>
        <v>9.35772947394158E-006</v>
      </c>
      <c r="I2103" s="37" t="n">
        <f aca="false">I2102+H2103</f>
        <v>0.997079958650732</v>
      </c>
      <c r="J2103" s="37" t="n">
        <f aca="false">A2103/2840</f>
        <v>0.738028169014085</v>
      </c>
      <c r="K2103" s="32" t="str">
        <f aca="false">IF(I2103&lt;=$E$4,"A",IF(I2103&lt;=$E$5,"B","C"))</f>
        <v>C</v>
      </c>
    </row>
    <row r="2104" customFormat="false" ht="15" hidden="false" customHeight="false" outlineLevel="0" collapsed="false">
      <c r="A2104" s="32" t="n">
        <v>2097</v>
      </c>
      <c r="B2104" s="33" t="n">
        <v>55603</v>
      </c>
      <c r="C2104" s="34" t="s">
        <v>4279</v>
      </c>
      <c r="D2104" s="34" t="s">
        <v>4280</v>
      </c>
      <c r="E2104" s="34" t="s">
        <v>705</v>
      </c>
      <c r="F2104" s="32" t="n">
        <f aca="false">COUNTIF(Base!$D$2:$D$2878,B2104)</f>
        <v>1</v>
      </c>
      <c r="G2104" s="35" t="n">
        <f aca="false">SUMIF(Base!$D$2:$D$2878,B2104,Base!$I$2:$I$2878)</f>
        <v>141</v>
      </c>
      <c r="H2104" s="36" t="n">
        <f aca="false">IF($G$2849=0,0,G2104/$G$2849)</f>
        <v>9.25273391182162E-006</v>
      </c>
      <c r="I2104" s="37" t="n">
        <f aca="false">I2103+H2104</f>
        <v>0.997089211384644</v>
      </c>
      <c r="J2104" s="37" t="n">
        <f aca="false">A2104/2840</f>
        <v>0.738380281690141</v>
      </c>
      <c r="K2104" s="32" t="str">
        <f aca="false">IF(I2104&lt;=$E$4,"A",IF(I2104&lt;=$E$5,"B","C"))</f>
        <v>C</v>
      </c>
    </row>
    <row r="2105" customFormat="false" ht="15" hidden="false" customHeight="false" outlineLevel="0" collapsed="false">
      <c r="A2105" s="32" t="n">
        <v>2098</v>
      </c>
      <c r="B2105" s="33" t="n">
        <v>563975</v>
      </c>
      <c r="C2105" s="34" t="s">
        <v>4281</v>
      </c>
      <c r="D2105" s="34" t="s">
        <v>4282</v>
      </c>
      <c r="E2105" s="34" t="s">
        <v>189</v>
      </c>
      <c r="F2105" s="32" t="n">
        <f aca="false">COUNTIF(Base!$D$2:$D$2878,B2105)</f>
        <v>1</v>
      </c>
      <c r="G2105" s="35" t="n">
        <f aca="false">SUMIF(Base!$D$2:$D$2878,B2105,Base!$I$2:$I$2878)</f>
        <v>140.96</v>
      </c>
      <c r="H2105" s="36" t="n">
        <f aca="false">IF($G$2849=0,0,G2105/$G$2849)</f>
        <v>9.25010902276862E-006</v>
      </c>
      <c r="I2105" s="37" t="n">
        <f aca="false">I2104+H2105</f>
        <v>0.997098461493667</v>
      </c>
      <c r="J2105" s="37" t="n">
        <f aca="false">A2105/2840</f>
        <v>0.738732394366197</v>
      </c>
      <c r="K2105" s="32" t="str">
        <f aca="false">IF(I2105&lt;=$E$4,"A",IF(I2105&lt;=$E$5,"B","C"))</f>
        <v>C</v>
      </c>
    </row>
    <row r="2106" customFormat="false" ht="15" hidden="false" customHeight="false" outlineLevel="0" collapsed="false">
      <c r="A2106" s="32" t="n">
        <v>2099</v>
      </c>
      <c r="B2106" s="33" t="n">
        <v>17034</v>
      </c>
      <c r="C2106" s="34" t="s">
        <v>4283</v>
      </c>
      <c r="D2106" s="34" t="s">
        <v>4284</v>
      </c>
      <c r="E2106" s="34" t="s">
        <v>100</v>
      </c>
      <c r="F2106" s="32" t="n">
        <f aca="false">COUNTIF(Base!$D$2:$D$2878,B2106)</f>
        <v>1</v>
      </c>
      <c r="G2106" s="35" t="n">
        <f aca="false">SUMIF(Base!$D$2:$D$2878,B2106,Base!$I$2:$I$2878)</f>
        <v>140.8</v>
      </c>
      <c r="H2106" s="36" t="n">
        <f aca="false">IF($G$2849=0,0,G2106/$G$2849)</f>
        <v>9.23960946655662E-006</v>
      </c>
      <c r="I2106" s="37" t="n">
        <f aca="false">I2105+H2106</f>
        <v>0.997107701103133</v>
      </c>
      <c r="J2106" s="37" t="n">
        <f aca="false">A2106/2840</f>
        <v>0.739084507042254</v>
      </c>
      <c r="K2106" s="32" t="str">
        <f aca="false">IF(I2106&lt;=$E$4,"A",IF(I2106&lt;=$E$5,"B","C"))</f>
        <v>C</v>
      </c>
    </row>
    <row r="2107" customFormat="false" ht="15" hidden="false" customHeight="false" outlineLevel="0" collapsed="false">
      <c r="A2107" s="32" t="n">
        <v>2100</v>
      </c>
      <c r="B2107" s="33" t="n">
        <v>1605185</v>
      </c>
      <c r="C2107" s="34" t="s">
        <v>4285</v>
      </c>
      <c r="D2107" s="34" t="s">
        <v>4286</v>
      </c>
      <c r="E2107" s="34" t="s">
        <v>38</v>
      </c>
      <c r="F2107" s="32" t="n">
        <f aca="false">COUNTIF(Base!$D$2:$D$2878,B2107)</f>
        <v>1</v>
      </c>
      <c r="G2107" s="35" t="n">
        <f aca="false">SUMIF(Base!$D$2:$D$2878,B2107,Base!$I$2:$I$2878)</f>
        <v>140.58</v>
      </c>
      <c r="H2107" s="36" t="n">
        <f aca="false">IF($G$2849=0,0,G2107/$G$2849)</f>
        <v>9.22517257676513E-006</v>
      </c>
      <c r="I2107" s="37" t="n">
        <f aca="false">I2106+H2107</f>
        <v>0.99711692627571</v>
      </c>
      <c r="J2107" s="37" t="n">
        <f aca="false">A2107/2840</f>
        <v>0.73943661971831</v>
      </c>
      <c r="K2107" s="32" t="str">
        <f aca="false">IF(I2107&lt;=$E$4,"A",IF(I2107&lt;=$E$5,"B","C"))</f>
        <v>C</v>
      </c>
    </row>
    <row r="2108" customFormat="false" ht="15" hidden="false" customHeight="false" outlineLevel="0" collapsed="false">
      <c r="A2108" s="32" t="n">
        <v>2101</v>
      </c>
      <c r="B2108" s="33" t="n">
        <v>32248</v>
      </c>
      <c r="C2108" s="34" t="s">
        <v>4287</v>
      </c>
      <c r="D2108" s="34" t="s">
        <v>4288</v>
      </c>
      <c r="E2108" s="34" t="s">
        <v>130</v>
      </c>
      <c r="F2108" s="32" t="n">
        <f aca="false">COUNTIF(Base!$D$2:$D$2878,B2108)</f>
        <v>1</v>
      </c>
      <c r="G2108" s="35" t="n">
        <f aca="false">SUMIF(Base!$D$2:$D$2878,B2108,Base!$I$2:$I$2878)</f>
        <v>140</v>
      </c>
      <c r="H2108" s="36" t="n">
        <f aca="false">IF($G$2849=0,0,G2108/$G$2849)</f>
        <v>9.18711168549664E-006</v>
      </c>
      <c r="I2108" s="37" t="n">
        <f aca="false">I2107+H2108</f>
        <v>0.997126113387395</v>
      </c>
      <c r="J2108" s="37" t="n">
        <f aca="false">A2108/2840</f>
        <v>0.739788732394366</v>
      </c>
      <c r="K2108" s="32" t="str">
        <f aca="false">IF(I2108&lt;=$E$4,"A",IF(I2108&lt;=$E$5,"B","C"))</f>
        <v>C</v>
      </c>
    </row>
    <row r="2109" customFormat="false" ht="15" hidden="false" customHeight="false" outlineLevel="0" collapsed="false">
      <c r="A2109" s="32" t="n">
        <v>2102</v>
      </c>
      <c r="B2109" s="33" t="n">
        <v>142908</v>
      </c>
      <c r="C2109" s="34" t="s">
        <v>4289</v>
      </c>
      <c r="D2109" s="34" t="s">
        <v>4290</v>
      </c>
      <c r="E2109" s="34" t="s">
        <v>100</v>
      </c>
      <c r="F2109" s="32" t="n">
        <f aca="false">COUNTIF(Base!$D$2:$D$2878,B2109)</f>
        <v>1</v>
      </c>
      <c r="G2109" s="35" t="n">
        <f aca="false">SUMIF(Base!$D$2:$D$2878,B2109,Base!$I$2:$I$2878)</f>
        <v>140</v>
      </c>
      <c r="H2109" s="36" t="n">
        <f aca="false">IF($G$2849=0,0,G2109/$G$2849)</f>
        <v>9.18711168549664E-006</v>
      </c>
      <c r="I2109" s="37" t="n">
        <f aca="false">I2108+H2109</f>
        <v>0.997135300499081</v>
      </c>
      <c r="J2109" s="37" t="n">
        <f aca="false">A2109/2840</f>
        <v>0.740140845070423</v>
      </c>
      <c r="K2109" s="32" t="str">
        <f aca="false">IF(I2109&lt;=$E$4,"A",IF(I2109&lt;=$E$5,"B","C"))</f>
        <v>C</v>
      </c>
    </row>
    <row r="2110" customFormat="false" ht="15" hidden="false" customHeight="false" outlineLevel="0" collapsed="false">
      <c r="A2110" s="32" t="n">
        <v>2103</v>
      </c>
      <c r="B2110" s="33" t="n">
        <v>392677</v>
      </c>
      <c r="C2110" s="34" t="s">
        <v>4291</v>
      </c>
      <c r="D2110" s="34" t="s">
        <v>4292</v>
      </c>
      <c r="E2110" s="34" t="s">
        <v>130</v>
      </c>
      <c r="F2110" s="32" t="n">
        <f aca="false">COUNTIF(Base!$D$2:$D$2878,B2110)</f>
        <v>1</v>
      </c>
      <c r="G2110" s="35" t="n">
        <f aca="false">SUMIF(Base!$D$2:$D$2878,B2110,Base!$I$2:$I$2878)</f>
        <v>140</v>
      </c>
      <c r="H2110" s="36" t="n">
        <f aca="false">IF($G$2849=0,0,G2110/$G$2849)</f>
        <v>9.18711168549664E-006</v>
      </c>
      <c r="I2110" s="37" t="n">
        <f aca="false">I2109+H2110</f>
        <v>0.997144487610766</v>
      </c>
      <c r="J2110" s="37" t="n">
        <f aca="false">A2110/2840</f>
        <v>0.740492957746479</v>
      </c>
      <c r="K2110" s="32" t="str">
        <f aca="false">IF(I2110&lt;=$E$4,"A",IF(I2110&lt;=$E$5,"B","C"))</f>
        <v>C</v>
      </c>
    </row>
    <row r="2111" customFormat="false" ht="15" hidden="false" customHeight="false" outlineLevel="0" collapsed="false">
      <c r="A2111" s="32" t="n">
        <v>2104</v>
      </c>
      <c r="B2111" s="33" t="n">
        <v>1331022</v>
      </c>
      <c r="C2111" s="34" t="s">
        <v>4293</v>
      </c>
      <c r="D2111" s="34" t="s">
        <v>4294</v>
      </c>
      <c r="E2111" s="34" t="s">
        <v>4295</v>
      </c>
      <c r="F2111" s="32" t="n">
        <f aca="false">COUNTIF(Base!$D$2:$D$2878,B2111)</f>
        <v>1</v>
      </c>
      <c r="G2111" s="35" t="n">
        <f aca="false">SUMIF(Base!$D$2:$D$2878,B2111,Base!$I$2:$I$2878)</f>
        <v>139.99</v>
      </c>
      <c r="H2111" s="36" t="n">
        <f aca="false">IF($G$2849=0,0,G2111/$G$2849)</f>
        <v>9.18645546323339E-006</v>
      </c>
      <c r="I2111" s="37" t="n">
        <f aca="false">I2110+H2111</f>
        <v>0.99715367406623</v>
      </c>
      <c r="J2111" s="37" t="n">
        <f aca="false">A2111/2840</f>
        <v>0.740845070422535</v>
      </c>
      <c r="K2111" s="32" t="str">
        <f aca="false">IF(I2111&lt;=$E$4,"A",IF(I2111&lt;=$E$5,"B","C"))</f>
        <v>C</v>
      </c>
    </row>
    <row r="2112" customFormat="false" ht="15" hidden="false" customHeight="false" outlineLevel="0" collapsed="false">
      <c r="A2112" s="32" t="n">
        <v>2105</v>
      </c>
      <c r="B2112" s="33" t="n">
        <v>18225</v>
      </c>
      <c r="C2112" s="34" t="s">
        <v>4296</v>
      </c>
      <c r="D2112" s="34" t="s">
        <v>4297</v>
      </c>
      <c r="E2112" s="34" t="s">
        <v>1618</v>
      </c>
      <c r="F2112" s="32" t="n">
        <f aca="false">COUNTIF(Base!$D$2:$D$2878,B2112)</f>
        <v>1</v>
      </c>
      <c r="G2112" s="35" t="n">
        <f aca="false">SUMIF(Base!$D$2:$D$2878,B2112,Base!$I$2:$I$2878)</f>
        <v>139.45</v>
      </c>
      <c r="H2112" s="36" t="n">
        <f aca="false">IF($G$2849=0,0,G2112/$G$2849)</f>
        <v>9.15101946101791E-006</v>
      </c>
      <c r="I2112" s="37" t="n">
        <f aca="false">I2111+H2112</f>
        <v>0.997162825085691</v>
      </c>
      <c r="J2112" s="37" t="n">
        <f aca="false">A2112/2840</f>
        <v>0.741197183098592</v>
      </c>
      <c r="K2112" s="32" t="str">
        <f aca="false">IF(I2112&lt;=$E$4,"A",IF(I2112&lt;=$E$5,"B","C"))</f>
        <v>C</v>
      </c>
    </row>
    <row r="2113" customFormat="false" ht="15" hidden="false" customHeight="false" outlineLevel="0" collapsed="false">
      <c r="A2113" s="32" t="n">
        <v>2106</v>
      </c>
      <c r="B2113" s="33" t="n">
        <v>19512</v>
      </c>
      <c r="C2113" s="34" t="s">
        <v>4298</v>
      </c>
      <c r="D2113" s="34" t="s">
        <v>4299</v>
      </c>
      <c r="E2113" s="34" t="s">
        <v>1095</v>
      </c>
      <c r="F2113" s="32" t="n">
        <f aca="false">COUNTIF(Base!$D$2:$D$2878,B2113)</f>
        <v>1</v>
      </c>
      <c r="G2113" s="35" t="n">
        <f aca="false">SUMIF(Base!$D$2:$D$2878,B2113,Base!$I$2:$I$2878)</f>
        <v>138.7996</v>
      </c>
      <c r="H2113" s="36" t="n">
        <f aca="false">IF($G$2849=0,0,G2113/$G$2849)</f>
        <v>9.10833876501614E-006</v>
      </c>
      <c r="I2113" s="37" t="n">
        <f aca="false">I2112+H2113</f>
        <v>0.997171933424456</v>
      </c>
      <c r="J2113" s="37" t="n">
        <f aca="false">A2113/2840</f>
        <v>0.741549295774648</v>
      </c>
      <c r="K2113" s="32" t="str">
        <f aca="false">IF(I2113&lt;=$E$4,"A",IF(I2113&lt;=$E$5,"B","C"))</f>
        <v>C</v>
      </c>
    </row>
    <row r="2114" customFormat="false" ht="15" hidden="false" customHeight="false" outlineLevel="0" collapsed="false">
      <c r="A2114" s="32" t="n">
        <v>2107</v>
      </c>
      <c r="B2114" s="33" t="n">
        <v>939278</v>
      </c>
      <c r="C2114" s="34" t="s">
        <v>4300</v>
      </c>
      <c r="D2114" s="34" t="s">
        <v>4301</v>
      </c>
      <c r="E2114" s="34" t="s">
        <v>54</v>
      </c>
      <c r="F2114" s="32" t="n">
        <f aca="false">COUNTIF(Base!$D$2:$D$2878,B2114)</f>
        <v>1</v>
      </c>
      <c r="G2114" s="35" t="n">
        <f aca="false">SUMIF(Base!$D$2:$D$2878,B2114,Base!$I$2:$I$2878)</f>
        <v>138</v>
      </c>
      <c r="H2114" s="36" t="n">
        <f aca="false">IF($G$2849=0,0,G2114/$G$2849)</f>
        <v>9.05586723284669E-006</v>
      </c>
      <c r="I2114" s="37" t="n">
        <f aca="false">I2113+H2114</f>
        <v>0.997180989291688</v>
      </c>
      <c r="J2114" s="37" t="n">
        <f aca="false">A2114/2840</f>
        <v>0.741901408450704</v>
      </c>
      <c r="K2114" s="32" t="str">
        <f aca="false">IF(I2114&lt;=$E$4,"A",IF(I2114&lt;=$E$5,"B","C"))</f>
        <v>C</v>
      </c>
    </row>
    <row r="2115" customFormat="false" ht="15" hidden="false" customHeight="false" outlineLevel="0" collapsed="false">
      <c r="A2115" s="32" t="n">
        <v>2108</v>
      </c>
      <c r="B2115" s="33" t="n">
        <v>1679928</v>
      </c>
      <c r="C2115" s="34" t="s">
        <v>4302</v>
      </c>
      <c r="D2115" s="34" t="s">
        <v>4303</v>
      </c>
      <c r="E2115" s="34" t="s">
        <v>1354</v>
      </c>
      <c r="F2115" s="32" t="n">
        <f aca="false">COUNTIF(Base!$D$2:$D$2878,B2115)</f>
        <v>1</v>
      </c>
      <c r="G2115" s="35" t="n">
        <f aca="false">SUMIF(Base!$D$2:$D$2878,B2115,Base!$I$2:$I$2878)</f>
        <v>138</v>
      </c>
      <c r="H2115" s="36" t="n">
        <f aca="false">IF($G$2849=0,0,G2115/$G$2849)</f>
        <v>9.05586723284669E-006</v>
      </c>
      <c r="I2115" s="37" t="n">
        <f aca="false">I2114+H2115</f>
        <v>0.997190045158921</v>
      </c>
      <c r="J2115" s="37" t="n">
        <f aca="false">A2115/2840</f>
        <v>0.742253521126761</v>
      </c>
      <c r="K2115" s="32" t="str">
        <f aca="false">IF(I2115&lt;=$E$4,"A",IF(I2115&lt;=$E$5,"B","C"))</f>
        <v>C</v>
      </c>
    </row>
    <row r="2116" customFormat="false" ht="15" hidden="false" customHeight="false" outlineLevel="0" collapsed="false">
      <c r="A2116" s="32" t="n">
        <v>2109</v>
      </c>
      <c r="B2116" s="33" t="n">
        <v>1111893</v>
      </c>
      <c r="C2116" s="34" t="s">
        <v>4304</v>
      </c>
      <c r="D2116" s="34" t="s">
        <v>4305</v>
      </c>
      <c r="E2116" s="34" t="s">
        <v>100</v>
      </c>
      <c r="F2116" s="32" t="n">
        <f aca="false">COUNTIF(Base!$D$2:$D$2878,B2116)</f>
        <v>1</v>
      </c>
      <c r="G2116" s="35" t="n">
        <f aca="false">SUMIF(Base!$D$2:$D$2878,B2116,Base!$I$2:$I$2878)</f>
        <v>137.88</v>
      </c>
      <c r="H2116" s="36" t="n">
        <f aca="false">IF($G$2849=0,0,G2116/$G$2849)</f>
        <v>9.04799256568769E-006</v>
      </c>
      <c r="I2116" s="37" t="n">
        <f aca="false">I2115+H2116</f>
        <v>0.997199093151487</v>
      </c>
      <c r="J2116" s="37" t="n">
        <f aca="false">A2116/2840</f>
        <v>0.742605633802817</v>
      </c>
      <c r="K2116" s="32" t="str">
        <f aca="false">IF(I2116&lt;=$E$4,"A",IF(I2116&lt;=$E$5,"B","C"))</f>
        <v>C</v>
      </c>
    </row>
    <row r="2117" customFormat="false" ht="15" hidden="false" customHeight="false" outlineLevel="0" collapsed="false">
      <c r="A2117" s="32" t="n">
        <v>2110</v>
      </c>
      <c r="B2117" s="33" t="n">
        <v>839913</v>
      </c>
      <c r="C2117" s="34" t="s">
        <v>4306</v>
      </c>
      <c r="D2117" s="34" t="s">
        <v>4307</v>
      </c>
      <c r="E2117" s="34" t="s">
        <v>38</v>
      </c>
      <c r="F2117" s="32" t="n">
        <f aca="false">COUNTIF(Base!$D$2:$D$2878,B2117)</f>
        <v>1</v>
      </c>
      <c r="G2117" s="35" t="n">
        <f aca="false">SUMIF(Base!$D$2:$D$2878,B2117,Base!$I$2:$I$2878)</f>
        <v>136.68</v>
      </c>
      <c r="H2117" s="36" t="n">
        <f aca="false">IF($G$2849=0,0,G2117/$G$2849)</f>
        <v>8.96924589409772E-006</v>
      </c>
      <c r="I2117" s="37" t="n">
        <f aca="false">I2116+H2117</f>
        <v>0.997208062397381</v>
      </c>
      <c r="J2117" s="37" t="n">
        <f aca="false">A2117/2840</f>
        <v>0.742957746478873</v>
      </c>
      <c r="K2117" s="32" t="str">
        <f aca="false">IF(I2117&lt;=$E$4,"A",IF(I2117&lt;=$E$5,"B","C"))</f>
        <v>C</v>
      </c>
    </row>
    <row r="2118" customFormat="false" ht="15" hidden="false" customHeight="false" outlineLevel="0" collapsed="false">
      <c r="A2118" s="32" t="n">
        <v>2111</v>
      </c>
      <c r="B2118" s="33" t="n">
        <v>19899</v>
      </c>
      <c r="C2118" s="34" t="s">
        <v>4308</v>
      </c>
      <c r="D2118" s="34" t="s">
        <v>4309</v>
      </c>
      <c r="E2118" s="34" t="s">
        <v>637</v>
      </c>
      <c r="F2118" s="32" t="n">
        <f aca="false">COUNTIF(Base!$D$2:$D$2878,B2118)</f>
        <v>1</v>
      </c>
      <c r="G2118" s="35" t="n">
        <f aca="false">SUMIF(Base!$D$2:$D$2878,B2118,Base!$I$2:$I$2878)</f>
        <v>136</v>
      </c>
      <c r="H2118" s="36" t="n">
        <f aca="false">IF($G$2849=0,0,G2118/$G$2849)</f>
        <v>8.92462278019674E-006</v>
      </c>
      <c r="I2118" s="37" t="n">
        <f aca="false">I2117+H2118</f>
        <v>0.997216987020161</v>
      </c>
      <c r="J2118" s="37" t="n">
        <f aca="false">A2118/2840</f>
        <v>0.74330985915493</v>
      </c>
      <c r="K2118" s="32" t="str">
        <f aca="false">IF(I2118&lt;=$E$4,"A",IF(I2118&lt;=$E$5,"B","C"))</f>
        <v>C</v>
      </c>
    </row>
    <row r="2119" customFormat="false" ht="15" hidden="false" customHeight="false" outlineLevel="0" collapsed="false">
      <c r="A2119" s="32" t="n">
        <v>2112</v>
      </c>
      <c r="B2119" s="33" t="n">
        <v>58381</v>
      </c>
      <c r="C2119" s="34" t="s">
        <v>4310</v>
      </c>
      <c r="D2119" s="34" t="s">
        <v>4311</v>
      </c>
      <c r="E2119" s="34" t="s">
        <v>217</v>
      </c>
      <c r="F2119" s="32" t="n">
        <f aca="false">COUNTIF(Base!$D$2:$D$2878,B2119)</f>
        <v>1</v>
      </c>
      <c r="G2119" s="35" t="n">
        <f aca="false">SUMIF(Base!$D$2:$D$2878,B2119,Base!$I$2:$I$2878)</f>
        <v>136</v>
      </c>
      <c r="H2119" s="36" t="n">
        <f aca="false">IF($G$2849=0,0,G2119/$G$2849)</f>
        <v>8.92462278019674E-006</v>
      </c>
      <c r="I2119" s="37" t="n">
        <f aca="false">I2118+H2119</f>
        <v>0.997225911642942</v>
      </c>
      <c r="J2119" s="37" t="n">
        <f aca="false">A2119/2840</f>
        <v>0.743661971830986</v>
      </c>
      <c r="K2119" s="32" t="str">
        <f aca="false">IF(I2119&lt;=$E$4,"A",IF(I2119&lt;=$E$5,"B","C"))</f>
        <v>C</v>
      </c>
    </row>
    <row r="2120" customFormat="false" ht="15" hidden="false" customHeight="false" outlineLevel="0" collapsed="false">
      <c r="A2120" s="32" t="n">
        <v>2113</v>
      </c>
      <c r="B2120" s="33" t="n">
        <v>478878</v>
      </c>
      <c r="C2120" s="34" t="s">
        <v>4312</v>
      </c>
      <c r="D2120" s="34" t="s">
        <v>4313</v>
      </c>
      <c r="E2120" s="34" t="s">
        <v>100</v>
      </c>
      <c r="F2120" s="32" t="n">
        <f aca="false">COUNTIF(Base!$D$2:$D$2878,B2120)</f>
        <v>1</v>
      </c>
      <c r="G2120" s="35" t="n">
        <f aca="false">SUMIF(Base!$D$2:$D$2878,B2120,Base!$I$2:$I$2878)</f>
        <v>136</v>
      </c>
      <c r="H2120" s="36" t="n">
        <f aca="false">IF($G$2849=0,0,G2120/$G$2849)</f>
        <v>8.92462278019674E-006</v>
      </c>
      <c r="I2120" s="37" t="n">
        <f aca="false">I2119+H2120</f>
        <v>0.997234836265722</v>
      </c>
      <c r="J2120" s="37" t="n">
        <f aca="false">A2120/2840</f>
        <v>0.744014084507042</v>
      </c>
      <c r="K2120" s="32" t="str">
        <f aca="false">IF(I2120&lt;=$E$4,"A",IF(I2120&lt;=$E$5,"B","C"))</f>
        <v>C</v>
      </c>
    </row>
    <row r="2121" customFormat="false" ht="15" hidden="false" customHeight="false" outlineLevel="0" collapsed="false">
      <c r="A2121" s="32" t="n">
        <v>2114</v>
      </c>
      <c r="B2121" s="33" t="n">
        <v>552911</v>
      </c>
      <c r="C2121" s="34" t="s">
        <v>4314</v>
      </c>
      <c r="D2121" s="34" t="s">
        <v>4315</v>
      </c>
      <c r="E2121" s="34" t="s">
        <v>54</v>
      </c>
      <c r="F2121" s="32" t="n">
        <f aca="false">COUNTIF(Base!$D$2:$D$2878,B2121)</f>
        <v>1</v>
      </c>
      <c r="G2121" s="35" t="n">
        <f aca="false">SUMIF(Base!$D$2:$D$2878,B2121,Base!$I$2:$I$2878)</f>
        <v>136</v>
      </c>
      <c r="H2121" s="36" t="n">
        <f aca="false">IF($G$2849=0,0,G2121/$G$2849)</f>
        <v>8.92462278019674E-006</v>
      </c>
      <c r="I2121" s="37" t="n">
        <f aca="false">I2120+H2121</f>
        <v>0.997243760888502</v>
      </c>
      <c r="J2121" s="37" t="n">
        <f aca="false">A2121/2840</f>
        <v>0.744366197183099</v>
      </c>
      <c r="K2121" s="32" t="str">
        <f aca="false">IF(I2121&lt;=$E$4,"A",IF(I2121&lt;=$E$5,"B","C"))</f>
        <v>C</v>
      </c>
    </row>
    <row r="2122" customFormat="false" ht="15" hidden="false" customHeight="false" outlineLevel="0" collapsed="false">
      <c r="A2122" s="32" t="n">
        <v>2115</v>
      </c>
      <c r="B2122" s="33" t="n">
        <v>561495</v>
      </c>
      <c r="C2122" s="34" t="s">
        <v>4316</v>
      </c>
      <c r="D2122" s="34" t="s">
        <v>4317</v>
      </c>
      <c r="E2122" s="34" t="s">
        <v>130</v>
      </c>
      <c r="F2122" s="32" t="n">
        <f aca="false">COUNTIF(Base!$D$2:$D$2878,B2122)</f>
        <v>1</v>
      </c>
      <c r="G2122" s="35" t="n">
        <f aca="false">SUMIF(Base!$D$2:$D$2878,B2122,Base!$I$2:$I$2878)</f>
        <v>136</v>
      </c>
      <c r="H2122" s="36" t="n">
        <f aca="false">IF($G$2849=0,0,G2122/$G$2849)</f>
        <v>8.92462278019674E-006</v>
      </c>
      <c r="I2122" s="37" t="n">
        <f aca="false">I2121+H2122</f>
        <v>0.997252685511282</v>
      </c>
      <c r="J2122" s="37" t="n">
        <f aca="false">A2122/2840</f>
        <v>0.744718309859155</v>
      </c>
      <c r="K2122" s="32" t="str">
        <f aca="false">IF(I2122&lt;=$E$4,"A",IF(I2122&lt;=$E$5,"B","C"))</f>
        <v>C</v>
      </c>
    </row>
    <row r="2123" customFormat="false" ht="15" hidden="false" customHeight="false" outlineLevel="0" collapsed="false">
      <c r="A2123" s="32" t="n">
        <v>2116</v>
      </c>
      <c r="B2123" s="33" t="n">
        <v>1330167</v>
      </c>
      <c r="C2123" s="34" t="s">
        <v>4318</v>
      </c>
      <c r="D2123" s="34" t="s">
        <v>4319</v>
      </c>
      <c r="E2123" s="34" t="s">
        <v>189</v>
      </c>
      <c r="F2123" s="32" t="n">
        <f aca="false">COUNTIF(Base!$D$2:$D$2878,B2123)</f>
        <v>1</v>
      </c>
      <c r="G2123" s="35" t="n">
        <f aca="false">SUMIF(Base!$D$2:$D$2878,B2123,Base!$I$2:$I$2878)</f>
        <v>136</v>
      </c>
      <c r="H2123" s="36" t="n">
        <f aca="false">IF($G$2849=0,0,G2123/$G$2849)</f>
        <v>8.92462278019674E-006</v>
      </c>
      <c r="I2123" s="37" t="n">
        <f aca="false">I2122+H2123</f>
        <v>0.997261610134063</v>
      </c>
      <c r="J2123" s="37" t="n">
        <f aca="false">A2123/2840</f>
        <v>0.745070422535211</v>
      </c>
      <c r="K2123" s="32" t="str">
        <f aca="false">IF(I2123&lt;=$E$4,"A",IF(I2123&lt;=$E$5,"B","C"))</f>
        <v>C</v>
      </c>
    </row>
    <row r="2124" customFormat="false" ht="15" hidden="false" customHeight="false" outlineLevel="0" collapsed="false">
      <c r="A2124" s="32" t="n">
        <v>2117</v>
      </c>
      <c r="B2124" s="33" t="n">
        <v>1606188</v>
      </c>
      <c r="C2124" s="34" t="s">
        <v>4320</v>
      </c>
      <c r="D2124" s="34" t="s">
        <v>4321</v>
      </c>
      <c r="E2124" s="34" t="s">
        <v>38</v>
      </c>
      <c r="F2124" s="32" t="n">
        <f aca="false">COUNTIF(Base!$D$2:$D$2878,B2124)</f>
        <v>1</v>
      </c>
      <c r="G2124" s="35" t="n">
        <f aca="false">SUMIF(Base!$D$2:$D$2878,B2124,Base!$I$2:$I$2878)</f>
        <v>136</v>
      </c>
      <c r="H2124" s="36" t="n">
        <f aca="false">IF($G$2849=0,0,G2124/$G$2849)</f>
        <v>8.92462278019674E-006</v>
      </c>
      <c r="I2124" s="37" t="n">
        <f aca="false">I2123+H2124</f>
        <v>0.997270534756843</v>
      </c>
      <c r="J2124" s="37" t="n">
        <f aca="false">A2124/2840</f>
        <v>0.745422535211268</v>
      </c>
      <c r="K2124" s="32" t="str">
        <f aca="false">IF(I2124&lt;=$E$4,"A",IF(I2124&lt;=$E$5,"B","C"))</f>
        <v>C</v>
      </c>
    </row>
    <row r="2125" customFormat="false" ht="15" hidden="false" customHeight="false" outlineLevel="0" collapsed="false">
      <c r="A2125" s="32" t="n">
        <v>2118</v>
      </c>
      <c r="B2125" s="33" t="n">
        <v>16236</v>
      </c>
      <c r="C2125" s="34" t="s">
        <v>4322</v>
      </c>
      <c r="D2125" s="34" t="s">
        <v>4323</v>
      </c>
      <c r="E2125" s="34" t="s">
        <v>54</v>
      </c>
      <c r="F2125" s="32" t="n">
        <f aca="false">COUNTIF(Base!$D$2:$D$2878,B2125)</f>
        <v>1</v>
      </c>
      <c r="G2125" s="35" t="n">
        <f aca="false">SUMIF(Base!$D$2:$D$2878,B2125,Base!$I$2:$I$2878)</f>
        <v>135.98</v>
      </c>
      <c r="H2125" s="36" t="n">
        <f aca="false">IF($G$2849=0,0,G2125/$G$2849)</f>
        <v>8.92331033567024E-006</v>
      </c>
      <c r="I2125" s="37" t="n">
        <f aca="false">I2124+H2125</f>
        <v>0.997279458067178</v>
      </c>
      <c r="J2125" s="37" t="n">
        <f aca="false">A2125/2840</f>
        <v>0.745774647887324</v>
      </c>
      <c r="K2125" s="32" t="str">
        <f aca="false">IF(I2125&lt;=$E$4,"A",IF(I2125&lt;=$E$5,"B","C"))</f>
        <v>C</v>
      </c>
    </row>
    <row r="2126" customFormat="false" ht="15" hidden="false" customHeight="false" outlineLevel="0" collapsed="false">
      <c r="A2126" s="32" t="n">
        <v>2119</v>
      </c>
      <c r="B2126" s="33" t="n">
        <v>287099</v>
      </c>
      <c r="C2126" s="34" t="s">
        <v>4324</v>
      </c>
      <c r="D2126" s="34" t="s">
        <v>4325</v>
      </c>
      <c r="E2126" s="34" t="s">
        <v>480</v>
      </c>
      <c r="F2126" s="32" t="n">
        <f aca="false">COUNTIF(Base!$D$2:$D$2878,B2126)</f>
        <v>1</v>
      </c>
      <c r="G2126" s="35" t="n">
        <f aca="false">SUMIF(Base!$D$2:$D$2878,B2126,Base!$I$2:$I$2878)</f>
        <v>135.84</v>
      </c>
      <c r="H2126" s="36" t="n">
        <f aca="false">IF($G$2849=0,0,G2126/$G$2849)</f>
        <v>8.91412322398474E-006</v>
      </c>
      <c r="I2126" s="37" t="n">
        <f aca="false">I2125+H2126</f>
        <v>0.997288372190403</v>
      </c>
      <c r="J2126" s="37" t="n">
        <f aca="false">A2126/2840</f>
        <v>0.74612676056338</v>
      </c>
      <c r="K2126" s="32" t="str">
        <f aca="false">IF(I2126&lt;=$E$4,"A",IF(I2126&lt;=$E$5,"B","C"))</f>
        <v>C</v>
      </c>
    </row>
    <row r="2127" customFormat="false" ht="15" hidden="false" customHeight="false" outlineLevel="0" collapsed="false">
      <c r="A2127" s="32" t="n">
        <v>2120</v>
      </c>
      <c r="B2127" s="33" t="n">
        <v>89454</v>
      </c>
      <c r="C2127" s="34" t="s">
        <v>4326</v>
      </c>
      <c r="D2127" s="34" t="s">
        <v>4327</v>
      </c>
      <c r="E2127" s="34" t="s">
        <v>130</v>
      </c>
      <c r="F2127" s="32" t="n">
        <f aca="false">COUNTIF(Base!$D$2:$D$2878,B2127)</f>
        <v>1</v>
      </c>
      <c r="G2127" s="35" t="n">
        <f aca="false">SUMIF(Base!$D$2:$D$2878,B2127,Base!$I$2:$I$2878)</f>
        <v>135.8</v>
      </c>
      <c r="H2127" s="36" t="n">
        <f aca="false">IF($G$2849=0,0,G2127/$G$2849)</f>
        <v>8.91149833493174E-006</v>
      </c>
      <c r="I2127" s="37" t="n">
        <f aca="false">I2126+H2127</f>
        <v>0.997297283688737</v>
      </c>
      <c r="J2127" s="37" t="n">
        <f aca="false">A2127/2840</f>
        <v>0.746478873239437</v>
      </c>
      <c r="K2127" s="32" t="str">
        <f aca="false">IF(I2127&lt;=$E$4,"A",IF(I2127&lt;=$E$5,"B","C"))</f>
        <v>C</v>
      </c>
    </row>
    <row r="2128" customFormat="false" ht="15" hidden="false" customHeight="false" outlineLevel="0" collapsed="false">
      <c r="A2128" s="32" t="n">
        <v>2121</v>
      </c>
      <c r="B2128" s="33" t="n">
        <v>55324</v>
      </c>
      <c r="C2128" s="34" t="s">
        <v>4328</v>
      </c>
      <c r="D2128" s="34" t="s">
        <v>4329</v>
      </c>
      <c r="E2128" s="34" t="s">
        <v>1618</v>
      </c>
      <c r="F2128" s="32" t="n">
        <f aca="false">COUNTIF(Base!$D$2:$D$2878,B2128)</f>
        <v>1</v>
      </c>
      <c r="G2128" s="35" t="n">
        <f aca="false">SUMIF(Base!$D$2:$D$2878,B2128,Base!$I$2:$I$2878)</f>
        <v>135</v>
      </c>
      <c r="H2128" s="36" t="n">
        <f aca="false">IF($G$2849=0,0,G2128/$G$2849)</f>
        <v>8.85900055387176E-006</v>
      </c>
      <c r="I2128" s="37" t="n">
        <f aca="false">I2127+H2128</f>
        <v>0.997306142689291</v>
      </c>
      <c r="J2128" s="37" t="n">
        <f aca="false">A2128/2840</f>
        <v>0.746830985915493</v>
      </c>
      <c r="K2128" s="32" t="str">
        <f aca="false">IF(I2128&lt;=$E$4,"A",IF(I2128&lt;=$E$5,"B","C"))</f>
        <v>C</v>
      </c>
    </row>
    <row r="2129" customFormat="false" ht="15" hidden="false" customHeight="false" outlineLevel="0" collapsed="false">
      <c r="A2129" s="32" t="n">
        <v>2122</v>
      </c>
      <c r="B2129" s="33" t="n">
        <v>55334</v>
      </c>
      <c r="C2129" s="34" t="s">
        <v>4330</v>
      </c>
      <c r="D2129" s="34" t="s">
        <v>4331</v>
      </c>
      <c r="E2129" s="34" t="s">
        <v>1618</v>
      </c>
      <c r="F2129" s="32" t="n">
        <f aca="false">COUNTIF(Base!$D$2:$D$2878,B2129)</f>
        <v>1</v>
      </c>
      <c r="G2129" s="35" t="n">
        <f aca="false">SUMIF(Base!$D$2:$D$2878,B2129,Base!$I$2:$I$2878)</f>
        <v>135</v>
      </c>
      <c r="H2129" s="36" t="n">
        <f aca="false">IF($G$2849=0,0,G2129/$G$2849)</f>
        <v>8.85900055387176E-006</v>
      </c>
      <c r="I2129" s="37" t="n">
        <f aca="false">I2128+H2129</f>
        <v>0.997315001689845</v>
      </c>
      <c r="J2129" s="37" t="n">
        <f aca="false">A2129/2840</f>
        <v>0.747183098591549</v>
      </c>
      <c r="K2129" s="32" t="str">
        <f aca="false">IF(I2129&lt;=$E$4,"A",IF(I2129&lt;=$E$5,"B","C"))</f>
        <v>C</v>
      </c>
    </row>
    <row r="2130" customFormat="false" ht="15" hidden="false" customHeight="false" outlineLevel="0" collapsed="false">
      <c r="A2130" s="32" t="n">
        <v>2123</v>
      </c>
      <c r="B2130" s="33" t="n">
        <v>960688</v>
      </c>
      <c r="C2130" s="34" t="s">
        <v>4332</v>
      </c>
      <c r="D2130" s="34" t="s">
        <v>4333</v>
      </c>
      <c r="E2130" s="34" t="s">
        <v>38</v>
      </c>
      <c r="F2130" s="32" t="n">
        <f aca="false">COUNTIF(Base!$D$2:$D$2878,B2130)</f>
        <v>1</v>
      </c>
      <c r="G2130" s="35" t="n">
        <f aca="false">SUMIF(Base!$D$2:$D$2878,B2130,Base!$I$2:$I$2878)</f>
        <v>134.86</v>
      </c>
      <c r="H2130" s="36" t="n">
        <f aca="false">IF($G$2849=0,0,G2130/$G$2849)</f>
        <v>8.84981344218627E-006</v>
      </c>
      <c r="I2130" s="37" t="n">
        <f aca="false">I2129+H2130</f>
        <v>0.997323851503287</v>
      </c>
      <c r="J2130" s="37" t="n">
        <f aca="false">A2130/2840</f>
        <v>0.747535211267606</v>
      </c>
      <c r="K2130" s="32" t="str">
        <f aca="false">IF(I2130&lt;=$E$4,"A",IF(I2130&lt;=$E$5,"B","C"))</f>
        <v>C</v>
      </c>
    </row>
    <row r="2131" customFormat="false" ht="15" hidden="false" customHeight="false" outlineLevel="0" collapsed="false">
      <c r="A2131" s="32" t="n">
        <v>2124</v>
      </c>
      <c r="B2131" s="33" t="n">
        <v>1385906</v>
      </c>
      <c r="C2131" s="34" t="s">
        <v>4334</v>
      </c>
      <c r="D2131" s="34" t="s">
        <v>4335</v>
      </c>
      <c r="E2131" s="34" t="s">
        <v>160</v>
      </c>
      <c r="F2131" s="32" t="n">
        <f aca="false">COUNTIF(Base!$D$2:$D$2878,B2131)</f>
        <v>1</v>
      </c>
      <c r="G2131" s="35" t="n">
        <f aca="false">SUMIF(Base!$D$2:$D$2878,B2131,Base!$I$2:$I$2878)</f>
        <v>134.83</v>
      </c>
      <c r="H2131" s="36" t="n">
        <f aca="false">IF($G$2849=0,0,G2131/$G$2849)</f>
        <v>8.84784477539652E-006</v>
      </c>
      <c r="I2131" s="37" t="n">
        <f aca="false">I2130+H2131</f>
        <v>0.997332699348063</v>
      </c>
      <c r="J2131" s="37" t="n">
        <f aca="false">A2131/2840</f>
        <v>0.747887323943662</v>
      </c>
      <c r="K2131" s="32" t="str">
        <f aca="false">IF(I2131&lt;=$E$4,"A",IF(I2131&lt;=$E$5,"B","C"))</f>
        <v>C</v>
      </c>
    </row>
    <row r="2132" customFormat="false" ht="15" hidden="false" customHeight="false" outlineLevel="0" collapsed="false">
      <c r="A2132" s="32" t="n">
        <v>2125</v>
      </c>
      <c r="B2132" s="33" t="n">
        <v>56349</v>
      </c>
      <c r="C2132" s="34" t="s">
        <v>4336</v>
      </c>
      <c r="D2132" s="34" t="s">
        <v>4337</v>
      </c>
      <c r="E2132" s="34" t="s">
        <v>1618</v>
      </c>
      <c r="F2132" s="32" t="n">
        <f aca="false">COUNTIF(Base!$D$2:$D$2878,B2132)</f>
        <v>1</v>
      </c>
      <c r="G2132" s="35" t="n">
        <f aca="false">SUMIF(Base!$D$2:$D$2878,B2132,Base!$I$2:$I$2878)</f>
        <v>134.8</v>
      </c>
      <c r="H2132" s="36" t="n">
        <f aca="false">IF($G$2849=0,0,G2132/$G$2849)</f>
        <v>8.84587610860677E-006</v>
      </c>
      <c r="I2132" s="37" t="n">
        <f aca="false">I2131+H2132</f>
        <v>0.997341545224171</v>
      </c>
      <c r="J2132" s="37" t="n">
        <f aca="false">A2132/2840</f>
        <v>0.748239436619718</v>
      </c>
      <c r="K2132" s="32" t="str">
        <f aca="false">IF(I2132&lt;=$E$4,"A",IF(I2132&lt;=$E$5,"B","C"))</f>
        <v>C</v>
      </c>
    </row>
    <row r="2133" customFormat="false" ht="15" hidden="false" customHeight="false" outlineLevel="0" collapsed="false">
      <c r="A2133" s="32" t="n">
        <v>2126</v>
      </c>
      <c r="B2133" s="33" t="n">
        <v>1474099</v>
      </c>
      <c r="C2133" s="34" t="s">
        <v>4338</v>
      </c>
      <c r="D2133" s="34" t="s">
        <v>4339</v>
      </c>
      <c r="E2133" s="34" t="s">
        <v>130</v>
      </c>
      <c r="F2133" s="32" t="n">
        <f aca="false">COUNTIF(Base!$D$2:$D$2878,B2133)</f>
        <v>1</v>
      </c>
      <c r="G2133" s="35" t="n">
        <f aca="false">SUMIF(Base!$D$2:$D$2878,B2133,Base!$I$2:$I$2878)</f>
        <v>134.79</v>
      </c>
      <c r="H2133" s="36" t="n">
        <f aca="false">IF($G$2849=0,0,G2133/$G$2849)</f>
        <v>8.84521988634352E-006</v>
      </c>
      <c r="I2133" s="37" t="n">
        <f aca="false">I2132+H2133</f>
        <v>0.997350390444058</v>
      </c>
      <c r="J2133" s="37" t="n">
        <f aca="false">A2133/2840</f>
        <v>0.748591549295775</v>
      </c>
      <c r="K2133" s="32" t="str">
        <f aca="false">IF(I2133&lt;=$E$4,"A",IF(I2133&lt;=$E$5,"B","C"))</f>
        <v>C</v>
      </c>
    </row>
    <row r="2134" customFormat="false" ht="15" hidden="false" customHeight="false" outlineLevel="0" collapsed="false">
      <c r="A2134" s="32" t="n">
        <v>2127</v>
      </c>
      <c r="B2134" s="33" t="n">
        <v>1672145</v>
      </c>
      <c r="C2134" s="34" t="s">
        <v>4340</v>
      </c>
      <c r="D2134" s="34" t="s">
        <v>4341</v>
      </c>
      <c r="E2134" s="34" t="s">
        <v>100</v>
      </c>
      <c r="F2134" s="32" t="n">
        <f aca="false">COUNTIF(Base!$D$2:$D$2878,B2134)</f>
        <v>1</v>
      </c>
      <c r="G2134" s="35" t="n">
        <f aca="false">SUMIF(Base!$D$2:$D$2878,B2134,Base!$I$2:$I$2878)</f>
        <v>134.4</v>
      </c>
      <c r="H2134" s="36" t="n">
        <f aca="false">IF($G$2849=0,0,G2134/$G$2849)</f>
        <v>8.81962721807678E-006</v>
      </c>
      <c r="I2134" s="37" t="n">
        <f aca="false">I2133+H2134</f>
        <v>0.997359210071276</v>
      </c>
      <c r="J2134" s="37" t="n">
        <f aca="false">A2134/2840</f>
        <v>0.748943661971831</v>
      </c>
      <c r="K2134" s="32" t="str">
        <f aca="false">IF(I2134&lt;=$E$4,"A",IF(I2134&lt;=$E$5,"B","C"))</f>
        <v>C</v>
      </c>
    </row>
    <row r="2135" customFormat="false" ht="15" hidden="false" customHeight="false" outlineLevel="0" collapsed="false">
      <c r="A2135" s="32" t="n">
        <v>2128</v>
      </c>
      <c r="B2135" s="33" t="n">
        <v>1385281</v>
      </c>
      <c r="C2135" s="34" t="s">
        <v>4342</v>
      </c>
      <c r="D2135" s="34" t="s">
        <v>4343</v>
      </c>
      <c r="E2135" s="34" t="s">
        <v>38</v>
      </c>
      <c r="F2135" s="32" t="n">
        <f aca="false">COUNTIF(Base!$D$2:$D$2878,B2135)</f>
        <v>1</v>
      </c>
      <c r="G2135" s="35" t="n">
        <f aca="false">SUMIF(Base!$D$2:$D$2878,B2135,Base!$I$2:$I$2878)</f>
        <v>134.11</v>
      </c>
      <c r="H2135" s="36" t="n">
        <f aca="false">IF($G$2849=0,0,G2135/$G$2849)</f>
        <v>8.80059677244253E-006</v>
      </c>
      <c r="I2135" s="37" t="n">
        <f aca="false">I2134+H2135</f>
        <v>0.997368010668048</v>
      </c>
      <c r="J2135" s="37" t="n">
        <f aca="false">A2135/2840</f>
        <v>0.749295774647887</v>
      </c>
      <c r="K2135" s="32" t="str">
        <f aca="false">IF(I2135&lt;=$E$4,"A",IF(I2135&lt;=$E$5,"B","C"))</f>
        <v>C</v>
      </c>
    </row>
    <row r="2136" customFormat="false" ht="15" hidden="false" customHeight="false" outlineLevel="0" collapsed="false">
      <c r="A2136" s="32" t="n">
        <v>2129</v>
      </c>
      <c r="B2136" s="33" t="n">
        <v>22500</v>
      </c>
      <c r="C2136" s="34" t="s">
        <v>4344</v>
      </c>
      <c r="D2136" s="34" t="s">
        <v>4345</v>
      </c>
      <c r="E2136" s="34" t="s">
        <v>605</v>
      </c>
      <c r="F2136" s="32" t="n">
        <f aca="false">COUNTIF(Base!$D$2:$D$2878,B2136)</f>
        <v>1</v>
      </c>
      <c r="G2136" s="35" t="n">
        <f aca="false">SUMIF(Base!$D$2:$D$2878,B2136,Base!$I$2:$I$2878)</f>
        <v>134</v>
      </c>
      <c r="H2136" s="36" t="n">
        <f aca="false">IF($G$2849=0,0,G2136/$G$2849)</f>
        <v>8.79337832754679E-006</v>
      </c>
      <c r="I2136" s="37" t="n">
        <f aca="false">I2135+H2136</f>
        <v>0.997376804046376</v>
      </c>
      <c r="J2136" s="37" t="n">
        <f aca="false">A2136/2840</f>
        <v>0.749647887323944</v>
      </c>
      <c r="K2136" s="32" t="str">
        <f aca="false">IF(I2136&lt;=$E$4,"A",IF(I2136&lt;=$E$5,"B","C"))</f>
        <v>C</v>
      </c>
    </row>
    <row r="2137" customFormat="false" ht="15" hidden="false" customHeight="false" outlineLevel="0" collapsed="false">
      <c r="A2137" s="32" t="n">
        <v>2130</v>
      </c>
      <c r="B2137" s="33" t="n">
        <v>932987</v>
      </c>
      <c r="C2137" s="34" t="s">
        <v>4346</v>
      </c>
      <c r="D2137" s="34" t="s">
        <v>4347</v>
      </c>
      <c r="E2137" s="34" t="s">
        <v>38</v>
      </c>
      <c r="F2137" s="32" t="n">
        <f aca="false">COUNTIF(Base!$D$2:$D$2878,B2137)</f>
        <v>1</v>
      </c>
      <c r="G2137" s="35" t="n">
        <f aca="false">SUMIF(Base!$D$2:$D$2878,B2137,Base!$I$2:$I$2878)</f>
        <v>134</v>
      </c>
      <c r="H2137" s="36" t="n">
        <f aca="false">IF($G$2849=0,0,G2137/$G$2849)</f>
        <v>8.79337832754679E-006</v>
      </c>
      <c r="I2137" s="37" t="n">
        <f aca="false">I2136+H2137</f>
        <v>0.997385597424704</v>
      </c>
      <c r="J2137" s="37" t="n">
        <f aca="false">A2137/2840</f>
        <v>0.75</v>
      </c>
      <c r="K2137" s="32" t="str">
        <f aca="false">IF(I2137&lt;=$E$4,"A",IF(I2137&lt;=$E$5,"B","C"))</f>
        <v>C</v>
      </c>
    </row>
    <row r="2138" customFormat="false" ht="15" hidden="false" customHeight="false" outlineLevel="0" collapsed="false">
      <c r="A2138" s="32" t="n">
        <v>2131</v>
      </c>
      <c r="B2138" s="33" t="n">
        <v>884895</v>
      </c>
      <c r="C2138" s="34" t="s">
        <v>4348</v>
      </c>
      <c r="D2138" s="34" t="s">
        <v>4349</v>
      </c>
      <c r="E2138" s="34" t="s">
        <v>130</v>
      </c>
      <c r="F2138" s="32" t="n">
        <f aca="false">COUNTIF(Base!$D$2:$D$2878,B2138)</f>
        <v>1</v>
      </c>
      <c r="G2138" s="35" t="n">
        <f aca="false">SUMIF(Base!$D$2:$D$2878,B2138,Base!$I$2:$I$2878)</f>
        <v>132.75</v>
      </c>
      <c r="H2138" s="36" t="n">
        <f aca="false">IF($G$2849=0,0,G2138/$G$2849)</f>
        <v>8.71135054464057E-006</v>
      </c>
      <c r="I2138" s="37" t="n">
        <f aca="false">I2137+H2138</f>
        <v>0.997394308775248</v>
      </c>
      <c r="J2138" s="37" t="n">
        <f aca="false">A2138/2840</f>
        <v>0.750352112676056</v>
      </c>
      <c r="K2138" s="32" t="str">
        <f aca="false">IF(I2138&lt;=$E$4,"A",IF(I2138&lt;=$E$5,"B","C"))</f>
        <v>C</v>
      </c>
    </row>
    <row r="2139" customFormat="false" ht="15" hidden="false" customHeight="false" outlineLevel="0" collapsed="false">
      <c r="A2139" s="32" t="n">
        <v>2132</v>
      </c>
      <c r="B2139" s="33" t="n">
        <v>1330473</v>
      </c>
      <c r="C2139" s="34" t="s">
        <v>4350</v>
      </c>
      <c r="D2139" s="34" t="s">
        <v>4351</v>
      </c>
      <c r="E2139" s="34" t="s">
        <v>54</v>
      </c>
      <c r="F2139" s="32" t="n">
        <f aca="false">COUNTIF(Base!$D$2:$D$2878,B2139)</f>
        <v>1</v>
      </c>
      <c r="G2139" s="35" t="n">
        <f aca="false">SUMIF(Base!$D$2:$D$2878,B2139,Base!$I$2:$I$2878)</f>
        <v>132.5</v>
      </c>
      <c r="H2139" s="36" t="n">
        <f aca="false">IF($G$2849=0,0,G2139/$G$2849)</f>
        <v>8.69494498805932E-006</v>
      </c>
      <c r="I2139" s="37" t="n">
        <f aca="false">I2138+H2139</f>
        <v>0.997403003720236</v>
      </c>
      <c r="J2139" s="37" t="n">
        <f aca="false">A2139/2840</f>
        <v>0.750704225352113</v>
      </c>
      <c r="K2139" s="32" t="str">
        <f aca="false">IF(I2139&lt;=$E$4,"A",IF(I2139&lt;=$E$5,"B","C"))</f>
        <v>C</v>
      </c>
    </row>
    <row r="2140" customFormat="false" ht="15" hidden="false" customHeight="false" outlineLevel="0" collapsed="false">
      <c r="A2140" s="32" t="n">
        <v>2133</v>
      </c>
      <c r="B2140" s="33" t="n">
        <v>1476167</v>
      </c>
      <c r="C2140" s="34" t="s">
        <v>4352</v>
      </c>
      <c r="D2140" s="34" t="s">
        <v>4353</v>
      </c>
      <c r="E2140" s="34" t="s">
        <v>133</v>
      </c>
      <c r="F2140" s="32" t="n">
        <f aca="false">COUNTIF(Base!$D$2:$D$2878,B2140)</f>
        <v>1</v>
      </c>
      <c r="G2140" s="35" t="n">
        <f aca="false">SUMIF(Base!$D$2:$D$2878,B2140,Base!$I$2:$I$2878)</f>
        <v>132</v>
      </c>
      <c r="H2140" s="36" t="n">
        <f aca="false">IF($G$2849=0,0,G2140/$G$2849)</f>
        <v>8.66213387489684E-006</v>
      </c>
      <c r="I2140" s="37" t="n">
        <f aca="false">I2139+H2140</f>
        <v>0.997411665854111</v>
      </c>
      <c r="J2140" s="37" t="n">
        <f aca="false">A2140/2840</f>
        <v>0.751056338028169</v>
      </c>
      <c r="K2140" s="32" t="str">
        <f aca="false">IF(I2140&lt;=$E$4,"A",IF(I2140&lt;=$E$5,"B","C"))</f>
        <v>C</v>
      </c>
    </row>
    <row r="2141" customFormat="false" ht="15" hidden="false" customHeight="false" outlineLevel="0" collapsed="false">
      <c r="A2141" s="32" t="n">
        <v>2134</v>
      </c>
      <c r="B2141" s="33" t="n">
        <v>1476191</v>
      </c>
      <c r="C2141" s="34" t="s">
        <v>4354</v>
      </c>
      <c r="D2141" s="34" t="s">
        <v>4355</v>
      </c>
      <c r="E2141" s="34" t="s">
        <v>133</v>
      </c>
      <c r="F2141" s="32" t="n">
        <f aca="false">COUNTIF(Base!$D$2:$D$2878,B2141)</f>
        <v>1</v>
      </c>
      <c r="G2141" s="35" t="n">
        <f aca="false">SUMIF(Base!$D$2:$D$2878,B2141,Base!$I$2:$I$2878)</f>
        <v>132</v>
      </c>
      <c r="H2141" s="36" t="n">
        <f aca="false">IF($G$2849=0,0,G2141/$G$2849)</f>
        <v>8.66213387489684E-006</v>
      </c>
      <c r="I2141" s="37" t="n">
        <f aca="false">I2140+H2141</f>
        <v>0.997420327987986</v>
      </c>
      <c r="J2141" s="37" t="n">
        <f aca="false">A2141/2840</f>
        <v>0.751408450704225</v>
      </c>
      <c r="K2141" s="32" t="str">
        <f aca="false">IF(I2141&lt;=$E$4,"A",IF(I2141&lt;=$E$5,"B","C"))</f>
        <v>C</v>
      </c>
    </row>
    <row r="2142" customFormat="false" ht="15" hidden="false" customHeight="false" outlineLevel="0" collapsed="false">
      <c r="A2142" s="32" t="n">
        <v>2135</v>
      </c>
      <c r="B2142" s="33" t="n">
        <v>1476215</v>
      </c>
      <c r="C2142" s="34" t="s">
        <v>4356</v>
      </c>
      <c r="D2142" s="34" t="s">
        <v>4357</v>
      </c>
      <c r="E2142" s="34" t="s">
        <v>133</v>
      </c>
      <c r="F2142" s="32" t="n">
        <f aca="false">COUNTIF(Base!$D$2:$D$2878,B2142)</f>
        <v>1</v>
      </c>
      <c r="G2142" s="35" t="n">
        <f aca="false">SUMIF(Base!$D$2:$D$2878,B2142,Base!$I$2:$I$2878)</f>
        <v>132</v>
      </c>
      <c r="H2142" s="36" t="n">
        <f aca="false">IF($G$2849=0,0,G2142/$G$2849)</f>
        <v>8.66213387489684E-006</v>
      </c>
      <c r="I2142" s="37" t="n">
        <f aca="false">I2141+H2142</f>
        <v>0.997428990121861</v>
      </c>
      <c r="J2142" s="37" t="n">
        <f aca="false">A2142/2840</f>
        <v>0.751760563380282</v>
      </c>
      <c r="K2142" s="32" t="str">
        <f aca="false">IF(I2142&lt;=$E$4,"A",IF(I2142&lt;=$E$5,"B","C"))</f>
        <v>C</v>
      </c>
    </row>
    <row r="2143" customFormat="false" ht="15" hidden="false" customHeight="false" outlineLevel="0" collapsed="false">
      <c r="A2143" s="32" t="n">
        <v>2136</v>
      </c>
      <c r="B2143" s="33" t="n">
        <v>16405</v>
      </c>
      <c r="C2143" s="34" t="s">
        <v>4358</v>
      </c>
      <c r="D2143" s="34" t="s">
        <v>4359</v>
      </c>
      <c r="E2143" s="34" t="s">
        <v>54</v>
      </c>
      <c r="F2143" s="32" t="n">
        <f aca="false">COUNTIF(Base!$D$2:$D$2878,B2143)</f>
        <v>1</v>
      </c>
      <c r="G2143" s="35" t="n">
        <f aca="false">SUMIF(Base!$D$2:$D$2878,B2143,Base!$I$2:$I$2878)</f>
        <v>131.88</v>
      </c>
      <c r="H2143" s="36" t="n">
        <f aca="false">IF($G$2849=0,0,G2143/$G$2849)</f>
        <v>8.65425920773784E-006</v>
      </c>
      <c r="I2143" s="37" t="n">
        <f aca="false">I2142+H2143</f>
        <v>0.997437644381068</v>
      </c>
      <c r="J2143" s="37" t="n">
        <f aca="false">A2143/2840</f>
        <v>0.752112676056338</v>
      </c>
      <c r="K2143" s="32" t="str">
        <f aca="false">IF(I2143&lt;=$E$4,"A",IF(I2143&lt;=$E$5,"B","C"))</f>
        <v>C</v>
      </c>
    </row>
    <row r="2144" customFormat="false" ht="15" hidden="false" customHeight="false" outlineLevel="0" collapsed="false">
      <c r="A2144" s="32" t="n">
        <v>2137</v>
      </c>
      <c r="B2144" s="33" t="n">
        <v>1607596</v>
      </c>
      <c r="C2144" s="34" t="s">
        <v>4360</v>
      </c>
      <c r="D2144" s="34" t="s">
        <v>4361</v>
      </c>
      <c r="E2144" s="34" t="s">
        <v>100</v>
      </c>
      <c r="F2144" s="32" t="n">
        <f aca="false">COUNTIF(Base!$D$2:$D$2878,B2144)</f>
        <v>1</v>
      </c>
      <c r="G2144" s="35" t="n">
        <f aca="false">SUMIF(Base!$D$2:$D$2878,B2144,Base!$I$2:$I$2878)</f>
        <v>131.46</v>
      </c>
      <c r="H2144" s="36" t="n">
        <f aca="false">IF($G$2849=0,0,G2144/$G$2849)</f>
        <v>8.62669787268135E-006</v>
      </c>
      <c r="I2144" s="37" t="n">
        <f aca="false">I2143+H2144</f>
        <v>0.997446271078941</v>
      </c>
      <c r="J2144" s="37" t="n">
        <f aca="false">A2144/2840</f>
        <v>0.752464788732394</v>
      </c>
      <c r="K2144" s="32" t="str">
        <f aca="false">IF(I2144&lt;=$E$4,"A",IF(I2144&lt;=$E$5,"B","C"))</f>
        <v>C</v>
      </c>
    </row>
    <row r="2145" customFormat="false" ht="15" hidden="false" customHeight="false" outlineLevel="0" collapsed="false">
      <c r="A2145" s="32" t="n">
        <v>2138</v>
      </c>
      <c r="B2145" s="33" t="n">
        <v>477834</v>
      </c>
      <c r="C2145" s="34" t="s">
        <v>4362</v>
      </c>
      <c r="D2145" s="34" t="s">
        <v>4363</v>
      </c>
      <c r="E2145" s="34" t="s">
        <v>38</v>
      </c>
      <c r="F2145" s="32" t="n">
        <f aca="false">COUNTIF(Base!$D$2:$D$2878,B2145)</f>
        <v>1</v>
      </c>
      <c r="G2145" s="35" t="n">
        <f aca="false">SUMIF(Base!$D$2:$D$2878,B2145,Base!$I$2:$I$2878)</f>
        <v>131.04</v>
      </c>
      <c r="H2145" s="36" t="n">
        <f aca="false">IF($G$2849=0,0,G2145/$G$2849)</f>
        <v>8.59913653762486E-006</v>
      </c>
      <c r="I2145" s="37" t="n">
        <f aca="false">I2144+H2145</f>
        <v>0.997454870215479</v>
      </c>
      <c r="J2145" s="37" t="n">
        <f aca="false">A2145/2840</f>
        <v>0.752816901408451</v>
      </c>
      <c r="K2145" s="32" t="str">
        <f aca="false">IF(I2145&lt;=$E$4,"A",IF(I2145&lt;=$E$5,"B","C"))</f>
        <v>C</v>
      </c>
    </row>
    <row r="2146" customFormat="false" ht="15" hidden="false" customHeight="false" outlineLevel="0" collapsed="false">
      <c r="A2146" s="32" t="n">
        <v>2139</v>
      </c>
      <c r="B2146" s="33" t="n">
        <v>32874</v>
      </c>
      <c r="C2146" s="34" t="s">
        <v>4364</v>
      </c>
      <c r="D2146" s="34" t="s">
        <v>4365</v>
      </c>
      <c r="E2146" s="34" t="s">
        <v>247</v>
      </c>
      <c r="F2146" s="32" t="n">
        <f aca="false">COUNTIF(Base!$D$2:$D$2878,B2146)</f>
        <v>1</v>
      </c>
      <c r="G2146" s="35" t="n">
        <f aca="false">SUMIF(Base!$D$2:$D$2878,B2146,Base!$I$2:$I$2878)</f>
        <v>131</v>
      </c>
      <c r="H2146" s="36" t="n">
        <f aca="false">IF($G$2849=0,0,G2146/$G$2849)</f>
        <v>8.59651164857186E-006</v>
      </c>
      <c r="I2146" s="37" t="n">
        <f aca="false">I2145+H2146</f>
        <v>0.997463466727127</v>
      </c>
      <c r="J2146" s="37" t="n">
        <f aca="false">A2146/2840</f>
        <v>0.753169014084507</v>
      </c>
      <c r="K2146" s="32" t="str">
        <f aca="false">IF(I2146&lt;=$E$4,"A",IF(I2146&lt;=$E$5,"B","C"))</f>
        <v>C</v>
      </c>
    </row>
    <row r="2147" customFormat="false" ht="15" hidden="false" customHeight="false" outlineLevel="0" collapsed="false">
      <c r="A2147" s="32" t="n">
        <v>2140</v>
      </c>
      <c r="B2147" s="33" t="n">
        <v>55009</v>
      </c>
      <c r="C2147" s="34" t="s">
        <v>4366</v>
      </c>
      <c r="D2147" s="34" t="s">
        <v>4367</v>
      </c>
      <c r="E2147" s="34" t="s">
        <v>247</v>
      </c>
      <c r="F2147" s="32" t="n">
        <f aca="false">COUNTIF(Base!$D$2:$D$2878,B2147)</f>
        <v>1</v>
      </c>
      <c r="G2147" s="35" t="n">
        <f aca="false">SUMIF(Base!$D$2:$D$2878,B2147,Base!$I$2:$I$2878)</f>
        <v>131</v>
      </c>
      <c r="H2147" s="36" t="n">
        <f aca="false">IF($G$2849=0,0,G2147/$G$2849)</f>
        <v>8.59651164857186E-006</v>
      </c>
      <c r="I2147" s="37" t="n">
        <f aca="false">I2146+H2147</f>
        <v>0.997472063238776</v>
      </c>
      <c r="J2147" s="37" t="n">
        <f aca="false">A2147/2840</f>
        <v>0.753521126760563</v>
      </c>
      <c r="K2147" s="32" t="str">
        <f aca="false">IF(I2147&lt;=$E$4,"A",IF(I2147&lt;=$E$5,"B","C"))</f>
        <v>C</v>
      </c>
    </row>
    <row r="2148" customFormat="false" ht="15" hidden="false" customHeight="false" outlineLevel="0" collapsed="false">
      <c r="A2148" s="32" t="n">
        <v>2141</v>
      </c>
      <c r="B2148" s="33" t="n">
        <v>1063860</v>
      </c>
      <c r="C2148" s="34" t="s">
        <v>4368</v>
      </c>
      <c r="D2148" s="34" t="s">
        <v>4369</v>
      </c>
      <c r="E2148" s="34" t="s">
        <v>247</v>
      </c>
      <c r="F2148" s="32" t="n">
        <f aca="false">COUNTIF(Base!$D$2:$D$2878,B2148)</f>
        <v>1</v>
      </c>
      <c r="G2148" s="35" t="n">
        <f aca="false">SUMIF(Base!$D$2:$D$2878,B2148,Base!$I$2:$I$2878)</f>
        <v>131</v>
      </c>
      <c r="H2148" s="36" t="n">
        <f aca="false">IF($G$2849=0,0,G2148/$G$2849)</f>
        <v>8.59651164857186E-006</v>
      </c>
      <c r="I2148" s="37" t="n">
        <f aca="false">I2147+H2148</f>
        <v>0.997480659750424</v>
      </c>
      <c r="J2148" s="37" t="n">
        <f aca="false">A2148/2840</f>
        <v>0.75387323943662</v>
      </c>
      <c r="K2148" s="32" t="str">
        <f aca="false">IF(I2148&lt;=$E$4,"A",IF(I2148&lt;=$E$5,"B","C"))</f>
        <v>C</v>
      </c>
    </row>
    <row r="2149" customFormat="false" ht="15" hidden="false" customHeight="false" outlineLevel="0" collapsed="false">
      <c r="A2149" s="32" t="n">
        <v>2142</v>
      </c>
      <c r="B2149" s="33" t="n">
        <v>559570</v>
      </c>
      <c r="C2149" s="34" t="s">
        <v>4370</v>
      </c>
      <c r="D2149" s="34" t="s">
        <v>4371</v>
      </c>
      <c r="E2149" s="34" t="s">
        <v>130</v>
      </c>
      <c r="F2149" s="32" t="n">
        <f aca="false">COUNTIF(Base!$D$2:$D$2878,B2149)</f>
        <v>1</v>
      </c>
      <c r="G2149" s="35" t="n">
        <f aca="false">SUMIF(Base!$D$2:$D$2878,B2149,Base!$I$2:$I$2878)</f>
        <v>130.71</v>
      </c>
      <c r="H2149" s="36" t="n">
        <f aca="false">IF($G$2849=0,0,G2149/$G$2849)</f>
        <v>8.57748120293762E-006</v>
      </c>
      <c r="I2149" s="37" t="n">
        <f aca="false">I2148+H2149</f>
        <v>0.997489237231627</v>
      </c>
      <c r="J2149" s="37" t="n">
        <f aca="false">A2149/2840</f>
        <v>0.754225352112676</v>
      </c>
      <c r="K2149" s="32" t="str">
        <f aca="false">IF(I2149&lt;=$E$4,"A",IF(I2149&lt;=$E$5,"B","C"))</f>
        <v>C</v>
      </c>
    </row>
    <row r="2150" customFormat="false" ht="15" hidden="false" customHeight="false" outlineLevel="0" collapsed="false">
      <c r="A2150" s="32" t="n">
        <v>2143</v>
      </c>
      <c r="B2150" s="33" t="n">
        <v>1320995</v>
      </c>
      <c r="C2150" s="34" t="s">
        <v>4372</v>
      </c>
      <c r="D2150" s="34" t="s">
        <v>4373</v>
      </c>
      <c r="E2150" s="34" t="s">
        <v>38</v>
      </c>
      <c r="F2150" s="32" t="n">
        <f aca="false">COUNTIF(Base!$D$2:$D$2878,B2150)</f>
        <v>1</v>
      </c>
      <c r="G2150" s="35" t="n">
        <f aca="false">SUMIF(Base!$D$2:$D$2878,B2150,Base!$I$2:$I$2878)</f>
        <v>130.24</v>
      </c>
      <c r="H2150" s="36" t="n">
        <f aca="false">IF($G$2849=0,0,G2150/$G$2849)</f>
        <v>8.54663875656488E-006</v>
      </c>
      <c r="I2150" s="37" t="n">
        <f aca="false">I2149+H2150</f>
        <v>0.997497783870384</v>
      </c>
      <c r="J2150" s="37" t="n">
        <f aca="false">A2150/2840</f>
        <v>0.754577464788732</v>
      </c>
      <c r="K2150" s="32" t="str">
        <f aca="false">IF(I2150&lt;=$E$4,"A",IF(I2150&lt;=$E$5,"B","C"))</f>
        <v>C</v>
      </c>
    </row>
    <row r="2151" customFormat="false" ht="15" hidden="false" customHeight="false" outlineLevel="0" collapsed="false">
      <c r="A2151" s="32" t="n">
        <v>2144</v>
      </c>
      <c r="B2151" s="33" t="n">
        <v>32598</v>
      </c>
      <c r="C2151" s="34" t="s">
        <v>4374</v>
      </c>
      <c r="D2151" s="34" t="s">
        <v>4375</v>
      </c>
      <c r="E2151" s="34" t="s">
        <v>54</v>
      </c>
      <c r="F2151" s="32" t="n">
        <f aca="false">COUNTIF(Base!$D$2:$D$2878,B2151)</f>
        <v>1</v>
      </c>
      <c r="G2151" s="35" t="n">
        <f aca="false">SUMIF(Base!$D$2:$D$2878,B2151,Base!$I$2:$I$2878)</f>
        <v>130</v>
      </c>
      <c r="H2151" s="36" t="n">
        <f aca="false">IF($G$2849=0,0,G2151/$G$2849)</f>
        <v>8.53088942224688E-006</v>
      </c>
      <c r="I2151" s="37" t="n">
        <f aca="false">I2150+H2151</f>
        <v>0.997506314759806</v>
      </c>
      <c r="J2151" s="37" t="n">
        <f aca="false">A2151/2840</f>
        <v>0.754929577464789</v>
      </c>
      <c r="K2151" s="32" t="str">
        <f aca="false">IF(I2151&lt;=$E$4,"A",IF(I2151&lt;=$E$5,"B","C"))</f>
        <v>C</v>
      </c>
    </row>
    <row r="2152" customFormat="false" ht="15" hidden="false" customHeight="false" outlineLevel="0" collapsed="false">
      <c r="A2152" s="32" t="n">
        <v>2145</v>
      </c>
      <c r="B2152" s="33" t="n">
        <v>1312602</v>
      </c>
      <c r="C2152" s="34" t="s">
        <v>4376</v>
      </c>
      <c r="D2152" s="34" t="s">
        <v>4377</v>
      </c>
      <c r="E2152" s="34" t="s">
        <v>189</v>
      </c>
      <c r="F2152" s="32" t="n">
        <f aca="false">COUNTIF(Base!$D$2:$D$2878,B2152)</f>
        <v>1</v>
      </c>
      <c r="G2152" s="35" t="n">
        <f aca="false">SUMIF(Base!$D$2:$D$2878,B2152,Base!$I$2:$I$2878)</f>
        <v>129.97</v>
      </c>
      <c r="H2152" s="36" t="n">
        <f aca="false">IF($G$2849=0,0,G2152/$G$2849)</f>
        <v>8.52892075545713E-006</v>
      </c>
      <c r="I2152" s="37" t="n">
        <f aca="false">I2151+H2152</f>
        <v>0.997514843680561</v>
      </c>
      <c r="J2152" s="37" t="n">
        <f aca="false">A2152/2840</f>
        <v>0.755281690140845</v>
      </c>
      <c r="K2152" s="32" t="str">
        <f aca="false">IF(I2152&lt;=$E$4,"A",IF(I2152&lt;=$E$5,"B","C"))</f>
        <v>C</v>
      </c>
    </row>
    <row r="2153" customFormat="false" ht="15" hidden="false" customHeight="false" outlineLevel="0" collapsed="false">
      <c r="A2153" s="32" t="n">
        <v>2146</v>
      </c>
      <c r="B2153" s="33" t="n">
        <v>54375</v>
      </c>
      <c r="C2153" s="34" t="s">
        <v>4378</v>
      </c>
      <c r="D2153" s="34" t="s">
        <v>4379</v>
      </c>
      <c r="E2153" s="34" t="s">
        <v>100</v>
      </c>
      <c r="F2153" s="32" t="n">
        <f aca="false">COUNTIF(Base!$D$2:$D$2878,B2153)</f>
        <v>1</v>
      </c>
      <c r="G2153" s="35" t="n">
        <f aca="false">SUMIF(Base!$D$2:$D$2878,B2153,Base!$I$2:$I$2878)</f>
        <v>129.92</v>
      </c>
      <c r="H2153" s="36" t="n">
        <f aca="false">IF($G$2849=0,0,G2153/$G$2849)</f>
        <v>8.52563964414088E-006</v>
      </c>
      <c r="I2153" s="37" t="n">
        <f aca="false">I2152+H2153</f>
        <v>0.997523369320206</v>
      </c>
      <c r="J2153" s="37" t="n">
        <f aca="false">A2153/2840</f>
        <v>0.755633802816901</v>
      </c>
      <c r="K2153" s="32" t="str">
        <f aca="false">IF(I2153&lt;=$E$4,"A",IF(I2153&lt;=$E$5,"B","C"))</f>
        <v>C</v>
      </c>
    </row>
    <row r="2154" customFormat="false" ht="15" hidden="false" customHeight="false" outlineLevel="0" collapsed="false">
      <c r="A2154" s="32" t="n">
        <v>2147</v>
      </c>
      <c r="B2154" s="33" t="n">
        <v>22531</v>
      </c>
      <c r="C2154" s="34" t="s">
        <v>4380</v>
      </c>
      <c r="D2154" s="34" t="s">
        <v>4381</v>
      </c>
      <c r="E2154" s="34" t="s">
        <v>38</v>
      </c>
      <c r="F2154" s="32" t="n">
        <f aca="false">COUNTIF(Base!$D$2:$D$2878,B2154)</f>
        <v>1</v>
      </c>
      <c r="G2154" s="35" t="n">
        <f aca="false">SUMIF(Base!$D$2:$D$2878,B2154,Base!$I$2:$I$2878)</f>
        <v>129.8</v>
      </c>
      <c r="H2154" s="36" t="n">
        <f aca="false">IF($G$2849=0,0,G2154/$G$2849)</f>
        <v>8.51776497698189E-006</v>
      </c>
      <c r="I2154" s="37" t="n">
        <f aca="false">I2153+H2154</f>
        <v>0.997531887085183</v>
      </c>
      <c r="J2154" s="37" t="n">
        <f aca="false">A2154/2840</f>
        <v>0.755985915492958</v>
      </c>
      <c r="K2154" s="32" t="str">
        <f aca="false">IF(I2154&lt;=$E$4,"A",IF(I2154&lt;=$E$5,"B","C"))</f>
        <v>C</v>
      </c>
    </row>
    <row r="2155" customFormat="false" ht="15" hidden="false" customHeight="false" outlineLevel="0" collapsed="false">
      <c r="A2155" s="32" t="n">
        <v>2148</v>
      </c>
      <c r="B2155" s="33" t="n">
        <v>648380</v>
      </c>
      <c r="C2155" s="34" t="s">
        <v>4382</v>
      </c>
      <c r="D2155" s="34" t="s">
        <v>4383</v>
      </c>
      <c r="E2155" s="34" t="s">
        <v>38</v>
      </c>
      <c r="F2155" s="32" t="n">
        <f aca="false">COUNTIF(Base!$D$2:$D$2878,B2155)</f>
        <v>1</v>
      </c>
      <c r="G2155" s="35" t="n">
        <f aca="false">SUMIF(Base!$D$2:$D$2878,B2155,Base!$I$2:$I$2878)</f>
        <v>129.8</v>
      </c>
      <c r="H2155" s="36" t="n">
        <f aca="false">IF($G$2849=0,0,G2155/$G$2849)</f>
        <v>8.51776497698189E-006</v>
      </c>
      <c r="I2155" s="37" t="n">
        <f aca="false">I2154+H2155</f>
        <v>0.99754040485016</v>
      </c>
      <c r="J2155" s="37" t="n">
        <f aca="false">A2155/2840</f>
        <v>0.756338028169014</v>
      </c>
      <c r="K2155" s="32" t="str">
        <f aca="false">IF(I2155&lt;=$E$4,"A",IF(I2155&lt;=$E$5,"B","C"))</f>
        <v>C</v>
      </c>
    </row>
    <row r="2156" customFormat="false" ht="15" hidden="false" customHeight="false" outlineLevel="0" collapsed="false">
      <c r="A2156" s="32" t="n">
        <v>2149</v>
      </c>
      <c r="B2156" s="33" t="n">
        <v>868794</v>
      </c>
      <c r="C2156" s="34" t="s">
        <v>4384</v>
      </c>
      <c r="D2156" s="34" t="s">
        <v>4385</v>
      </c>
      <c r="E2156" s="34" t="s">
        <v>54</v>
      </c>
      <c r="F2156" s="32" t="n">
        <f aca="false">COUNTIF(Base!$D$2:$D$2878,B2156)</f>
        <v>1</v>
      </c>
      <c r="G2156" s="35" t="n">
        <f aca="false">SUMIF(Base!$D$2:$D$2878,B2156,Base!$I$2:$I$2878)</f>
        <v>129.15</v>
      </c>
      <c r="H2156" s="36" t="n">
        <f aca="false">IF($G$2849=0,0,G2156/$G$2849)</f>
        <v>8.47511052987065E-006</v>
      </c>
      <c r="I2156" s="37" t="n">
        <f aca="false">I2155+H2156</f>
        <v>0.997548879960689</v>
      </c>
      <c r="J2156" s="37" t="n">
        <f aca="false">A2156/2840</f>
        <v>0.756690140845071</v>
      </c>
      <c r="K2156" s="32" t="str">
        <f aca="false">IF(I2156&lt;=$E$4,"A",IF(I2156&lt;=$E$5,"B","C"))</f>
        <v>C</v>
      </c>
    </row>
    <row r="2157" customFormat="false" ht="15" hidden="false" customHeight="false" outlineLevel="0" collapsed="false">
      <c r="A2157" s="32" t="n">
        <v>2150</v>
      </c>
      <c r="B2157" s="33" t="n">
        <v>1016524</v>
      </c>
      <c r="C2157" s="34" t="s">
        <v>4386</v>
      </c>
      <c r="D2157" s="34" t="s">
        <v>4387</v>
      </c>
      <c r="E2157" s="34" t="s">
        <v>189</v>
      </c>
      <c r="F2157" s="32" t="n">
        <f aca="false">COUNTIF(Base!$D$2:$D$2878,B2157)</f>
        <v>1</v>
      </c>
      <c r="G2157" s="35" t="n">
        <f aca="false">SUMIF(Base!$D$2:$D$2878,B2157,Base!$I$2:$I$2878)</f>
        <v>129.06</v>
      </c>
      <c r="H2157" s="36" t="n">
        <f aca="false">IF($G$2849=0,0,G2157/$G$2849)</f>
        <v>8.46920452950141E-006</v>
      </c>
      <c r="I2157" s="37" t="n">
        <f aca="false">I2156+H2157</f>
        <v>0.997557349165219</v>
      </c>
      <c r="J2157" s="37" t="n">
        <f aca="false">A2157/2840</f>
        <v>0.757042253521127</v>
      </c>
      <c r="K2157" s="32" t="str">
        <f aca="false">IF(I2157&lt;=$E$4,"A",IF(I2157&lt;=$E$5,"B","C"))</f>
        <v>C</v>
      </c>
    </row>
    <row r="2158" customFormat="false" ht="15" hidden="false" customHeight="false" outlineLevel="0" collapsed="false">
      <c r="A2158" s="32" t="n">
        <v>2151</v>
      </c>
      <c r="B2158" s="33" t="n">
        <v>19325</v>
      </c>
      <c r="C2158" s="34" t="s">
        <v>4388</v>
      </c>
      <c r="D2158" s="34" t="s">
        <v>4389</v>
      </c>
      <c r="E2158" s="34" t="s">
        <v>1095</v>
      </c>
      <c r="F2158" s="32" t="n">
        <f aca="false">COUNTIF(Base!$D$2:$D$2878,B2158)</f>
        <v>1</v>
      </c>
      <c r="G2158" s="35" t="n">
        <f aca="false">SUMIF(Base!$D$2:$D$2878,B2158,Base!$I$2:$I$2878)</f>
        <v>128.26</v>
      </c>
      <c r="H2158" s="36" t="n">
        <f aca="false">IF($G$2849=0,0,G2158/$G$2849)</f>
        <v>8.41670674844142E-006</v>
      </c>
      <c r="I2158" s="37" t="n">
        <f aca="false">I2157+H2158</f>
        <v>0.997565765871967</v>
      </c>
      <c r="J2158" s="37" t="n">
        <f aca="false">A2158/2840</f>
        <v>0.757394366197183</v>
      </c>
      <c r="K2158" s="32" t="str">
        <f aca="false">IF(I2158&lt;=$E$4,"A",IF(I2158&lt;=$E$5,"B","C"))</f>
        <v>C</v>
      </c>
    </row>
    <row r="2159" customFormat="false" ht="15" hidden="false" customHeight="false" outlineLevel="0" collapsed="false">
      <c r="A2159" s="32" t="n">
        <v>2152</v>
      </c>
      <c r="B2159" s="33" t="n">
        <v>60120</v>
      </c>
      <c r="C2159" s="34" t="s">
        <v>4390</v>
      </c>
      <c r="D2159" s="34" t="s">
        <v>4391</v>
      </c>
      <c r="E2159" s="34" t="s">
        <v>54</v>
      </c>
      <c r="F2159" s="32" t="n">
        <f aca="false">COUNTIF(Base!$D$2:$D$2878,B2159)</f>
        <v>1</v>
      </c>
      <c r="G2159" s="35" t="n">
        <f aca="false">SUMIF(Base!$D$2:$D$2878,B2159,Base!$I$2:$I$2878)</f>
        <v>128</v>
      </c>
      <c r="H2159" s="36" t="n">
        <f aca="false">IF($G$2849=0,0,G2159/$G$2849)</f>
        <v>8.39964496959693E-006</v>
      </c>
      <c r="I2159" s="37" t="n">
        <f aca="false">I2158+H2159</f>
        <v>0.997574165516937</v>
      </c>
      <c r="J2159" s="37" t="n">
        <f aca="false">A2159/2840</f>
        <v>0.757746478873239</v>
      </c>
      <c r="K2159" s="32" t="str">
        <f aca="false">IF(I2159&lt;=$E$4,"A",IF(I2159&lt;=$E$5,"B","C"))</f>
        <v>C</v>
      </c>
    </row>
    <row r="2160" customFormat="false" ht="15" hidden="false" customHeight="false" outlineLevel="0" collapsed="false">
      <c r="A2160" s="32" t="n">
        <v>2153</v>
      </c>
      <c r="B2160" s="33" t="n">
        <v>833456</v>
      </c>
      <c r="C2160" s="34" t="s">
        <v>4392</v>
      </c>
      <c r="D2160" s="34" t="s">
        <v>4393</v>
      </c>
      <c r="E2160" s="34" t="s">
        <v>38</v>
      </c>
      <c r="F2160" s="32" t="n">
        <f aca="false">COUNTIF(Base!$D$2:$D$2878,B2160)</f>
        <v>1</v>
      </c>
      <c r="G2160" s="35" t="n">
        <f aca="false">SUMIF(Base!$D$2:$D$2878,B2160,Base!$I$2:$I$2878)</f>
        <v>128</v>
      </c>
      <c r="H2160" s="36" t="n">
        <f aca="false">IF($G$2849=0,0,G2160/$G$2849)</f>
        <v>8.39964496959693E-006</v>
      </c>
      <c r="I2160" s="37" t="n">
        <f aca="false">I2159+H2160</f>
        <v>0.997582565161907</v>
      </c>
      <c r="J2160" s="37" t="n">
        <f aca="false">A2160/2840</f>
        <v>0.758098591549296</v>
      </c>
      <c r="K2160" s="32" t="str">
        <f aca="false">IF(I2160&lt;=$E$4,"A",IF(I2160&lt;=$E$5,"B","C"))</f>
        <v>C</v>
      </c>
    </row>
    <row r="2161" customFormat="false" ht="15" hidden="false" customHeight="false" outlineLevel="0" collapsed="false">
      <c r="A2161" s="32" t="n">
        <v>2154</v>
      </c>
      <c r="B2161" s="33" t="n">
        <v>1330121</v>
      </c>
      <c r="C2161" s="34" t="s">
        <v>4394</v>
      </c>
      <c r="D2161" s="34" t="s">
        <v>4395</v>
      </c>
      <c r="E2161" s="34" t="s">
        <v>35</v>
      </c>
      <c r="F2161" s="32" t="n">
        <f aca="false">COUNTIF(Base!$D$2:$D$2878,B2161)</f>
        <v>1</v>
      </c>
      <c r="G2161" s="35" t="n">
        <f aca="false">SUMIF(Base!$D$2:$D$2878,B2161,Base!$I$2:$I$2878)</f>
        <v>128</v>
      </c>
      <c r="H2161" s="36" t="n">
        <f aca="false">IF($G$2849=0,0,G2161/$G$2849)</f>
        <v>8.39964496959693E-006</v>
      </c>
      <c r="I2161" s="37" t="n">
        <f aca="false">I2160+H2161</f>
        <v>0.997590964806876</v>
      </c>
      <c r="J2161" s="37" t="n">
        <f aca="false">A2161/2840</f>
        <v>0.758450704225352</v>
      </c>
      <c r="K2161" s="32" t="str">
        <f aca="false">IF(I2161&lt;=$E$4,"A",IF(I2161&lt;=$E$5,"B","C"))</f>
        <v>C</v>
      </c>
    </row>
    <row r="2162" customFormat="false" ht="15" hidden="false" customHeight="false" outlineLevel="0" collapsed="false">
      <c r="A2162" s="32" t="n">
        <v>2155</v>
      </c>
      <c r="B2162" s="33" t="n">
        <v>17960</v>
      </c>
      <c r="C2162" s="34" t="s">
        <v>4396</v>
      </c>
      <c r="D2162" s="34" t="s">
        <v>4397</v>
      </c>
      <c r="E2162" s="34" t="s">
        <v>130</v>
      </c>
      <c r="F2162" s="32" t="n">
        <f aca="false">COUNTIF(Base!$D$2:$D$2878,B2162)</f>
        <v>1</v>
      </c>
      <c r="G2162" s="35" t="n">
        <f aca="false">SUMIF(Base!$D$2:$D$2878,B2162,Base!$I$2:$I$2878)</f>
        <v>127.78</v>
      </c>
      <c r="H2162" s="36" t="n">
        <f aca="false">IF($G$2849=0,0,G2162/$G$2849)</f>
        <v>8.38520807980544E-006</v>
      </c>
      <c r="I2162" s="37" t="n">
        <f aca="false">I2161+H2162</f>
        <v>0.997599350014956</v>
      </c>
      <c r="J2162" s="37" t="n">
        <f aca="false">A2162/2840</f>
        <v>0.758802816901409</v>
      </c>
      <c r="K2162" s="32" t="str">
        <f aca="false">IF(I2162&lt;=$E$4,"A",IF(I2162&lt;=$E$5,"B","C"))</f>
        <v>C</v>
      </c>
    </row>
    <row r="2163" customFormat="false" ht="15" hidden="false" customHeight="false" outlineLevel="0" collapsed="false">
      <c r="A2163" s="32" t="n">
        <v>2156</v>
      </c>
      <c r="B2163" s="33" t="n">
        <v>1613486</v>
      </c>
      <c r="C2163" s="34" t="s">
        <v>4398</v>
      </c>
      <c r="D2163" s="34" t="s">
        <v>4399</v>
      </c>
      <c r="E2163" s="34" t="s">
        <v>38</v>
      </c>
      <c r="F2163" s="32" t="n">
        <f aca="false">COUNTIF(Base!$D$2:$D$2878,B2163)</f>
        <v>1</v>
      </c>
      <c r="G2163" s="35" t="n">
        <f aca="false">SUMIF(Base!$D$2:$D$2878,B2163,Base!$I$2:$I$2878)</f>
        <v>125.48</v>
      </c>
      <c r="H2163" s="36" t="n">
        <f aca="false">IF($G$2849=0,0,G2163/$G$2849)</f>
        <v>8.23427695925799E-006</v>
      </c>
      <c r="I2163" s="37" t="n">
        <f aca="false">I2162+H2163</f>
        <v>0.997607584291915</v>
      </c>
      <c r="J2163" s="37" t="n">
        <f aca="false">A2163/2840</f>
        <v>0.759154929577465</v>
      </c>
      <c r="K2163" s="32" t="str">
        <f aca="false">IF(I2163&lt;=$E$4,"A",IF(I2163&lt;=$E$5,"B","C"))</f>
        <v>C</v>
      </c>
    </row>
    <row r="2164" customFormat="false" ht="15" hidden="false" customHeight="false" outlineLevel="0" collapsed="false">
      <c r="A2164" s="32" t="n">
        <v>2157</v>
      </c>
      <c r="B2164" s="33" t="n">
        <v>1614921</v>
      </c>
      <c r="C2164" s="34" t="s">
        <v>4400</v>
      </c>
      <c r="D2164" s="34" t="s">
        <v>4401</v>
      </c>
      <c r="E2164" s="34" t="s">
        <v>38</v>
      </c>
      <c r="F2164" s="32" t="n">
        <f aca="false">COUNTIF(Base!$D$2:$D$2878,B2164)</f>
        <v>1</v>
      </c>
      <c r="G2164" s="35" t="n">
        <f aca="false">SUMIF(Base!$D$2:$D$2878,B2164,Base!$I$2:$I$2878)</f>
        <v>125.48</v>
      </c>
      <c r="H2164" s="36" t="n">
        <f aca="false">IF($G$2849=0,0,G2164/$G$2849)</f>
        <v>8.23427695925799E-006</v>
      </c>
      <c r="I2164" s="37" t="n">
        <f aca="false">I2163+H2164</f>
        <v>0.997615818568874</v>
      </c>
      <c r="J2164" s="37" t="n">
        <f aca="false">A2164/2840</f>
        <v>0.759507042253521</v>
      </c>
      <c r="K2164" s="32" t="str">
        <f aca="false">IF(I2164&lt;=$E$4,"A",IF(I2164&lt;=$E$5,"B","C"))</f>
        <v>C</v>
      </c>
    </row>
    <row r="2165" customFormat="false" ht="15" hidden="false" customHeight="false" outlineLevel="0" collapsed="false">
      <c r="A2165" s="32" t="n">
        <v>2158</v>
      </c>
      <c r="B2165" s="33" t="n">
        <v>139797</v>
      </c>
      <c r="C2165" s="34" t="s">
        <v>4402</v>
      </c>
      <c r="D2165" s="34" t="s">
        <v>4403</v>
      </c>
      <c r="E2165" s="34" t="s">
        <v>38</v>
      </c>
      <c r="F2165" s="32" t="n">
        <f aca="false">COUNTIF(Base!$D$2:$D$2878,B2165)</f>
        <v>1</v>
      </c>
      <c r="G2165" s="35" t="n">
        <f aca="false">SUMIF(Base!$D$2:$D$2878,B2165,Base!$I$2:$I$2878)</f>
        <v>125.18</v>
      </c>
      <c r="H2165" s="36" t="n">
        <f aca="false">IF($G$2849=0,0,G2165/$G$2849)</f>
        <v>8.2145902913605E-006</v>
      </c>
      <c r="I2165" s="37" t="n">
        <f aca="false">I2164+H2165</f>
        <v>0.997624033159166</v>
      </c>
      <c r="J2165" s="37" t="n">
        <f aca="false">A2165/2840</f>
        <v>0.759859154929578</v>
      </c>
      <c r="K2165" s="32" t="str">
        <f aca="false">IF(I2165&lt;=$E$4,"A",IF(I2165&lt;=$E$5,"B","C"))</f>
        <v>C</v>
      </c>
    </row>
    <row r="2166" customFormat="false" ht="15" hidden="false" customHeight="false" outlineLevel="0" collapsed="false">
      <c r="A2166" s="32" t="n">
        <v>2159</v>
      </c>
      <c r="B2166" s="33" t="n">
        <v>389935</v>
      </c>
      <c r="C2166" s="34" t="s">
        <v>4404</v>
      </c>
      <c r="D2166" s="34" t="s">
        <v>4405</v>
      </c>
      <c r="E2166" s="34" t="s">
        <v>2056</v>
      </c>
      <c r="F2166" s="32" t="n">
        <f aca="false">COUNTIF(Base!$D$2:$D$2878,B2166)</f>
        <v>1</v>
      </c>
      <c r="G2166" s="35" t="n">
        <f aca="false">SUMIF(Base!$D$2:$D$2878,B2166,Base!$I$2:$I$2878)</f>
        <v>125</v>
      </c>
      <c r="H2166" s="36" t="n">
        <f aca="false">IF($G$2849=0,0,G2166/$G$2849)</f>
        <v>8.202778290622E-006</v>
      </c>
      <c r="I2166" s="37" t="n">
        <f aca="false">I2165+H2166</f>
        <v>0.997632235937456</v>
      </c>
      <c r="J2166" s="37" t="n">
        <f aca="false">A2166/2840</f>
        <v>0.760211267605634</v>
      </c>
      <c r="K2166" s="32" t="str">
        <f aca="false">IF(I2166&lt;=$E$4,"A",IF(I2166&lt;=$E$5,"B","C"))</f>
        <v>C</v>
      </c>
    </row>
    <row r="2167" customFormat="false" ht="15" hidden="false" customHeight="false" outlineLevel="0" collapsed="false">
      <c r="A2167" s="32" t="n">
        <v>2160</v>
      </c>
      <c r="B2167" s="33" t="n">
        <v>1063855</v>
      </c>
      <c r="C2167" s="34" t="s">
        <v>4406</v>
      </c>
      <c r="D2167" s="34" t="s">
        <v>4407</v>
      </c>
      <c r="E2167" s="34" t="s">
        <v>247</v>
      </c>
      <c r="F2167" s="32" t="n">
        <f aca="false">COUNTIF(Base!$D$2:$D$2878,B2167)</f>
        <v>1</v>
      </c>
      <c r="G2167" s="35" t="n">
        <f aca="false">SUMIF(Base!$D$2:$D$2878,B2167,Base!$I$2:$I$2878)</f>
        <v>125</v>
      </c>
      <c r="H2167" s="36" t="n">
        <f aca="false">IF($G$2849=0,0,G2167/$G$2849)</f>
        <v>8.202778290622E-006</v>
      </c>
      <c r="I2167" s="37" t="n">
        <f aca="false">I2166+H2167</f>
        <v>0.997640438715747</v>
      </c>
      <c r="J2167" s="37" t="n">
        <f aca="false">A2167/2840</f>
        <v>0.76056338028169</v>
      </c>
      <c r="K2167" s="32" t="str">
        <f aca="false">IF(I2167&lt;=$E$4,"A",IF(I2167&lt;=$E$5,"B","C"))</f>
        <v>C</v>
      </c>
    </row>
    <row r="2168" customFormat="false" ht="15" hidden="false" customHeight="false" outlineLevel="0" collapsed="false">
      <c r="A2168" s="32" t="n">
        <v>2161</v>
      </c>
      <c r="B2168" s="33" t="n">
        <v>1063863</v>
      </c>
      <c r="C2168" s="34" t="s">
        <v>4408</v>
      </c>
      <c r="D2168" s="34" t="s">
        <v>4409</v>
      </c>
      <c r="E2168" s="34" t="s">
        <v>247</v>
      </c>
      <c r="F2168" s="32" t="n">
        <f aca="false">COUNTIF(Base!$D$2:$D$2878,B2168)</f>
        <v>1</v>
      </c>
      <c r="G2168" s="35" t="n">
        <f aca="false">SUMIF(Base!$D$2:$D$2878,B2168,Base!$I$2:$I$2878)</f>
        <v>125</v>
      </c>
      <c r="H2168" s="36" t="n">
        <f aca="false">IF($G$2849=0,0,G2168/$G$2849)</f>
        <v>8.202778290622E-006</v>
      </c>
      <c r="I2168" s="37" t="n">
        <f aca="false">I2167+H2168</f>
        <v>0.997648641494038</v>
      </c>
      <c r="J2168" s="37" t="n">
        <f aca="false">A2168/2840</f>
        <v>0.760915492957747</v>
      </c>
      <c r="K2168" s="32" t="str">
        <f aca="false">IF(I2168&lt;=$E$4,"A",IF(I2168&lt;=$E$5,"B","C"))</f>
        <v>C</v>
      </c>
    </row>
    <row r="2169" customFormat="false" ht="15" hidden="false" customHeight="false" outlineLevel="0" collapsed="false">
      <c r="A2169" s="32" t="n">
        <v>2162</v>
      </c>
      <c r="B2169" s="33" t="n">
        <v>1388904</v>
      </c>
      <c r="C2169" s="34" t="s">
        <v>4410</v>
      </c>
      <c r="D2169" s="34" t="s">
        <v>4411</v>
      </c>
      <c r="E2169" s="34" t="s">
        <v>38</v>
      </c>
      <c r="F2169" s="32" t="n">
        <f aca="false">COUNTIF(Base!$D$2:$D$2878,B2169)</f>
        <v>1</v>
      </c>
      <c r="G2169" s="35" t="n">
        <f aca="false">SUMIF(Base!$D$2:$D$2878,B2169,Base!$I$2:$I$2878)</f>
        <v>124</v>
      </c>
      <c r="H2169" s="36" t="n">
        <f aca="false">IF($G$2849=0,0,G2169/$G$2849)</f>
        <v>8.13715606429703E-006</v>
      </c>
      <c r="I2169" s="37" t="n">
        <f aca="false">I2168+H2169</f>
        <v>0.997656778650102</v>
      </c>
      <c r="J2169" s="37" t="n">
        <f aca="false">A2169/2840</f>
        <v>0.761267605633803</v>
      </c>
      <c r="K2169" s="32" t="str">
        <f aca="false">IF(I2169&lt;=$E$4,"A",IF(I2169&lt;=$E$5,"B","C"))</f>
        <v>C</v>
      </c>
    </row>
    <row r="2170" customFormat="false" ht="15" hidden="false" customHeight="false" outlineLevel="0" collapsed="false">
      <c r="A2170" s="32" t="n">
        <v>2163</v>
      </c>
      <c r="B2170" s="33" t="n">
        <v>1613485</v>
      </c>
      <c r="C2170" s="34" t="s">
        <v>4412</v>
      </c>
      <c r="D2170" s="34" t="s">
        <v>4413</v>
      </c>
      <c r="E2170" s="34" t="s">
        <v>38</v>
      </c>
      <c r="F2170" s="32" t="n">
        <f aca="false">COUNTIF(Base!$D$2:$D$2878,B2170)</f>
        <v>1</v>
      </c>
      <c r="G2170" s="35" t="n">
        <f aca="false">SUMIF(Base!$D$2:$D$2878,B2170,Base!$I$2:$I$2878)</f>
        <v>123.48</v>
      </c>
      <c r="H2170" s="36" t="n">
        <f aca="false">IF($G$2849=0,0,G2170/$G$2849)</f>
        <v>8.10303250660804E-006</v>
      </c>
      <c r="I2170" s="37" t="n">
        <f aca="false">I2169+H2170</f>
        <v>0.997664881682609</v>
      </c>
      <c r="J2170" s="37" t="n">
        <f aca="false">A2170/2840</f>
        <v>0.761619718309859</v>
      </c>
      <c r="K2170" s="32" t="str">
        <f aca="false">IF(I2170&lt;=$E$4,"A",IF(I2170&lt;=$E$5,"B","C"))</f>
        <v>C</v>
      </c>
    </row>
    <row r="2171" customFormat="false" ht="15" hidden="false" customHeight="false" outlineLevel="0" collapsed="false">
      <c r="A2171" s="32" t="n">
        <v>2164</v>
      </c>
      <c r="B2171" s="33" t="n">
        <v>60288</v>
      </c>
      <c r="C2171" s="34" t="s">
        <v>4414</v>
      </c>
      <c r="D2171" s="34" t="s">
        <v>4415</v>
      </c>
      <c r="E2171" s="34" t="s">
        <v>38</v>
      </c>
      <c r="F2171" s="32" t="n">
        <f aca="false">COUNTIF(Base!$D$2:$D$2878,B2171)</f>
        <v>1</v>
      </c>
      <c r="G2171" s="35" t="n">
        <f aca="false">SUMIF(Base!$D$2:$D$2878,B2171,Base!$I$2:$I$2878)</f>
        <v>122.84</v>
      </c>
      <c r="H2171" s="36" t="n">
        <f aca="false">IF($G$2849=0,0,G2171/$G$2849)</f>
        <v>8.06103428176005E-006</v>
      </c>
      <c r="I2171" s="37" t="n">
        <f aca="false">I2170+H2171</f>
        <v>0.99767294271689</v>
      </c>
      <c r="J2171" s="37" t="n">
        <f aca="false">A2171/2840</f>
        <v>0.761971830985916</v>
      </c>
      <c r="K2171" s="32" t="str">
        <f aca="false">IF(I2171&lt;=$E$4,"A",IF(I2171&lt;=$E$5,"B","C"))</f>
        <v>C</v>
      </c>
    </row>
    <row r="2172" customFormat="false" ht="15" hidden="false" customHeight="false" outlineLevel="0" collapsed="false">
      <c r="A2172" s="32" t="n">
        <v>2165</v>
      </c>
      <c r="B2172" s="33" t="n">
        <v>1257680</v>
      </c>
      <c r="C2172" s="34" t="s">
        <v>4416</v>
      </c>
      <c r="D2172" s="34" t="s">
        <v>4417</v>
      </c>
      <c r="E2172" s="34" t="s">
        <v>133</v>
      </c>
      <c r="F2172" s="32" t="n">
        <f aca="false">COUNTIF(Base!$D$2:$D$2878,B2172)</f>
        <v>1</v>
      </c>
      <c r="G2172" s="35" t="n">
        <f aca="false">SUMIF(Base!$D$2:$D$2878,B2172,Base!$I$2:$I$2878)</f>
        <v>122.7</v>
      </c>
      <c r="H2172" s="36" t="n">
        <f aca="false">IF($G$2849=0,0,G2172/$G$2849)</f>
        <v>8.05184717007456E-006</v>
      </c>
      <c r="I2172" s="37" t="n">
        <f aca="false">I2171+H2172</f>
        <v>0.99768099456406</v>
      </c>
      <c r="J2172" s="37" t="n">
        <f aca="false">A2172/2840</f>
        <v>0.762323943661972</v>
      </c>
      <c r="K2172" s="32" t="str">
        <f aca="false">IF(I2172&lt;=$E$4,"A",IF(I2172&lt;=$E$5,"B","C"))</f>
        <v>C</v>
      </c>
    </row>
    <row r="2173" customFormat="false" ht="15" hidden="false" customHeight="false" outlineLevel="0" collapsed="false">
      <c r="A2173" s="32" t="n">
        <v>2166</v>
      </c>
      <c r="B2173" s="33" t="n">
        <v>1330355</v>
      </c>
      <c r="C2173" s="34" t="s">
        <v>4418</v>
      </c>
      <c r="D2173" s="34" t="s">
        <v>4419</v>
      </c>
      <c r="E2173" s="34" t="s">
        <v>54</v>
      </c>
      <c r="F2173" s="32" t="n">
        <f aca="false">COUNTIF(Base!$D$2:$D$2878,B2173)</f>
        <v>1</v>
      </c>
      <c r="G2173" s="35" t="n">
        <f aca="false">SUMIF(Base!$D$2:$D$2878,B2173,Base!$I$2:$I$2878)</f>
        <v>120.64</v>
      </c>
      <c r="H2173" s="36" t="n">
        <f aca="false">IF($G$2849=0,0,G2173/$G$2849)</f>
        <v>7.91666538384511E-006</v>
      </c>
      <c r="I2173" s="37" t="n">
        <f aca="false">I2172+H2173</f>
        <v>0.997688911229444</v>
      </c>
      <c r="J2173" s="37" t="n">
        <f aca="false">A2173/2840</f>
        <v>0.762676056338028</v>
      </c>
      <c r="K2173" s="32" t="str">
        <f aca="false">IF(I2173&lt;=$E$4,"A",IF(I2173&lt;=$E$5,"B","C"))</f>
        <v>C</v>
      </c>
    </row>
    <row r="2174" customFormat="false" ht="15" hidden="false" customHeight="false" outlineLevel="0" collapsed="false">
      <c r="A2174" s="32" t="n">
        <v>2167</v>
      </c>
      <c r="B2174" s="33" t="n">
        <v>31919</v>
      </c>
      <c r="C2174" s="34" t="s">
        <v>4420</v>
      </c>
      <c r="D2174" s="34" t="s">
        <v>4421</v>
      </c>
      <c r="E2174" s="34" t="s">
        <v>189</v>
      </c>
      <c r="F2174" s="32" t="n">
        <f aca="false">COUNTIF(Base!$D$2:$D$2878,B2174)</f>
        <v>1</v>
      </c>
      <c r="G2174" s="35" t="n">
        <f aca="false">SUMIF(Base!$D$2:$D$2878,B2174,Base!$I$2:$I$2878)</f>
        <v>120</v>
      </c>
      <c r="H2174" s="36" t="n">
        <f aca="false">IF($G$2849=0,0,G2174/$G$2849)</f>
        <v>7.87466715899712E-006</v>
      </c>
      <c r="I2174" s="37" t="n">
        <f aca="false">I2173+H2174</f>
        <v>0.997696785896603</v>
      </c>
      <c r="J2174" s="37" t="n">
        <f aca="false">A2174/2840</f>
        <v>0.763028169014085</v>
      </c>
      <c r="K2174" s="32" t="str">
        <f aca="false">IF(I2174&lt;=$E$4,"A",IF(I2174&lt;=$E$5,"B","C"))</f>
        <v>C</v>
      </c>
    </row>
    <row r="2175" customFormat="false" ht="15" hidden="false" customHeight="false" outlineLevel="0" collapsed="false">
      <c r="A2175" s="32" t="n">
        <v>2168</v>
      </c>
      <c r="B2175" s="33" t="n">
        <v>550762</v>
      </c>
      <c r="C2175" s="34" t="s">
        <v>4422</v>
      </c>
      <c r="D2175" s="34" t="s">
        <v>4423</v>
      </c>
      <c r="E2175" s="34" t="s">
        <v>100</v>
      </c>
      <c r="F2175" s="32" t="n">
        <f aca="false">COUNTIF(Base!$D$2:$D$2878,B2175)</f>
        <v>1</v>
      </c>
      <c r="G2175" s="35" t="n">
        <f aca="false">SUMIF(Base!$D$2:$D$2878,B2175,Base!$I$2:$I$2878)</f>
        <v>120</v>
      </c>
      <c r="H2175" s="36" t="n">
        <f aca="false">IF($G$2849=0,0,G2175/$G$2849)</f>
        <v>7.87466715899712E-006</v>
      </c>
      <c r="I2175" s="37" t="n">
        <f aca="false">I2174+H2175</f>
        <v>0.997704660563762</v>
      </c>
      <c r="J2175" s="37" t="n">
        <f aca="false">A2175/2840</f>
        <v>0.763380281690141</v>
      </c>
      <c r="K2175" s="32" t="str">
        <f aca="false">IF(I2175&lt;=$E$4,"A",IF(I2175&lt;=$E$5,"B","C"))</f>
        <v>C</v>
      </c>
    </row>
    <row r="2176" customFormat="false" ht="15" hidden="false" customHeight="false" outlineLevel="0" collapsed="false">
      <c r="A2176" s="32" t="n">
        <v>2169</v>
      </c>
      <c r="B2176" s="33" t="n">
        <v>1607236</v>
      </c>
      <c r="C2176" s="34" t="s">
        <v>4424</v>
      </c>
      <c r="D2176" s="34" t="s">
        <v>4425</v>
      </c>
      <c r="E2176" s="34" t="s">
        <v>189</v>
      </c>
      <c r="F2176" s="32" t="n">
        <f aca="false">COUNTIF(Base!$D$2:$D$2878,B2176)</f>
        <v>1</v>
      </c>
      <c r="G2176" s="35" t="n">
        <f aca="false">SUMIF(Base!$D$2:$D$2878,B2176,Base!$I$2:$I$2878)</f>
        <v>120</v>
      </c>
      <c r="H2176" s="36" t="n">
        <f aca="false">IF($G$2849=0,0,G2176/$G$2849)</f>
        <v>7.87466715899712E-006</v>
      </c>
      <c r="I2176" s="37" t="n">
        <f aca="false">I2175+H2176</f>
        <v>0.997712535230921</v>
      </c>
      <c r="J2176" s="37" t="n">
        <f aca="false">A2176/2840</f>
        <v>0.763732394366197</v>
      </c>
      <c r="K2176" s="32" t="str">
        <f aca="false">IF(I2176&lt;=$E$4,"A",IF(I2176&lt;=$E$5,"B","C"))</f>
        <v>C</v>
      </c>
    </row>
    <row r="2177" customFormat="false" ht="15" hidden="false" customHeight="false" outlineLevel="0" collapsed="false">
      <c r="A2177" s="32" t="n">
        <v>2170</v>
      </c>
      <c r="B2177" s="33" t="n">
        <v>1073873</v>
      </c>
      <c r="C2177" s="34" t="s">
        <v>4426</v>
      </c>
      <c r="D2177" s="34" t="s">
        <v>4427</v>
      </c>
      <c r="E2177" s="34" t="s">
        <v>54</v>
      </c>
      <c r="F2177" s="32" t="n">
        <f aca="false">COUNTIF(Base!$D$2:$D$2878,B2177)</f>
        <v>1</v>
      </c>
      <c r="G2177" s="35" t="n">
        <f aca="false">SUMIF(Base!$D$2:$D$2878,B2177,Base!$I$2:$I$2878)</f>
        <v>119.92</v>
      </c>
      <c r="H2177" s="36" t="n">
        <f aca="false">IF($G$2849=0,0,G2177/$G$2849)</f>
        <v>7.86941738089112E-006</v>
      </c>
      <c r="I2177" s="37" t="n">
        <f aca="false">I2176+H2177</f>
        <v>0.997720404648302</v>
      </c>
      <c r="J2177" s="37" t="n">
        <f aca="false">A2177/2840</f>
        <v>0.764084507042254</v>
      </c>
      <c r="K2177" s="32" t="str">
        <f aca="false">IF(I2177&lt;=$E$4,"A",IF(I2177&lt;=$E$5,"B","C"))</f>
        <v>C</v>
      </c>
    </row>
    <row r="2178" customFormat="false" ht="15" hidden="false" customHeight="false" outlineLevel="0" collapsed="false">
      <c r="A2178" s="32" t="n">
        <v>2171</v>
      </c>
      <c r="B2178" s="33" t="n">
        <v>1599737</v>
      </c>
      <c r="C2178" s="34" t="s">
        <v>4428</v>
      </c>
      <c r="D2178" s="34" t="s">
        <v>4429</v>
      </c>
      <c r="E2178" s="34" t="s">
        <v>54</v>
      </c>
      <c r="F2178" s="32" t="n">
        <f aca="false">COUNTIF(Base!$D$2:$D$2878,B2178)</f>
        <v>1</v>
      </c>
      <c r="G2178" s="35" t="n">
        <f aca="false">SUMIF(Base!$D$2:$D$2878,B2178,Base!$I$2:$I$2878)</f>
        <v>119.92</v>
      </c>
      <c r="H2178" s="36" t="n">
        <f aca="false">IF($G$2849=0,0,G2178/$G$2849)</f>
        <v>7.86941738089112E-006</v>
      </c>
      <c r="I2178" s="37" t="n">
        <f aca="false">I2177+H2178</f>
        <v>0.997728274065683</v>
      </c>
      <c r="J2178" s="37" t="n">
        <f aca="false">A2178/2840</f>
        <v>0.76443661971831</v>
      </c>
      <c r="K2178" s="32" t="str">
        <f aca="false">IF(I2178&lt;=$E$4,"A",IF(I2178&lt;=$E$5,"B","C"))</f>
        <v>C</v>
      </c>
    </row>
    <row r="2179" customFormat="false" ht="15" hidden="false" customHeight="false" outlineLevel="0" collapsed="false">
      <c r="A2179" s="32" t="n">
        <v>2172</v>
      </c>
      <c r="B2179" s="33" t="n">
        <v>138299</v>
      </c>
      <c r="C2179" s="34" t="s">
        <v>4430</v>
      </c>
      <c r="D2179" s="34" t="s">
        <v>4431</v>
      </c>
      <c r="E2179" s="34" t="s">
        <v>189</v>
      </c>
      <c r="F2179" s="32" t="n">
        <f aca="false">COUNTIF(Base!$D$2:$D$2878,B2179)</f>
        <v>1</v>
      </c>
      <c r="G2179" s="35" t="n">
        <f aca="false">SUMIF(Base!$D$2:$D$2878,B2179,Base!$I$2:$I$2878)</f>
        <v>119.88</v>
      </c>
      <c r="H2179" s="36" t="n">
        <f aca="false">IF($G$2849=0,0,G2179/$G$2849)</f>
        <v>7.86679249183812E-006</v>
      </c>
      <c r="I2179" s="37" t="n">
        <f aca="false">I2178+H2179</f>
        <v>0.997736140858175</v>
      </c>
      <c r="J2179" s="37" t="n">
        <f aca="false">A2179/2840</f>
        <v>0.764788732394366</v>
      </c>
      <c r="K2179" s="32" t="str">
        <f aca="false">IF(I2179&lt;=$E$4,"A",IF(I2179&lt;=$E$5,"B","C"))</f>
        <v>C</v>
      </c>
    </row>
    <row r="2180" customFormat="false" ht="15" hidden="false" customHeight="false" outlineLevel="0" collapsed="false">
      <c r="A2180" s="32" t="n">
        <v>2173</v>
      </c>
      <c r="B2180" s="33" t="n">
        <v>1101156</v>
      </c>
      <c r="C2180" s="34" t="s">
        <v>4432</v>
      </c>
      <c r="D2180" s="34" t="s">
        <v>4433</v>
      </c>
      <c r="E2180" s="34" t="s">
        <v>54</v>
      </c>
      <c r="F2180" s="32" t="n">
        <f aca="false">COUNTIF(Base!$D$2:$D$2878,B2180)</f>
        <v>1</v>
      </c>
      <c r="G2180" s="35" t="n">
        <f aca="false">SUMIF(Base!$D$2:$D$2878,B2180,Base!$I$2:$I$2878)</f>
        <v>119.7</v>
      </c>
      <c r="H2180" s="36" t="n">
        <f aca="false">IF($G$2849=0,0,G2180/$G$2849)</f>
        <v>7.85498049109963E-006</v>
      </c>
      <c r="I2180" s="37" t="n">
        <f aca="false">I2179+H2180</f>
        <v>0.997743995838666</v>
      </c>
      <c r="J2180" s="37" t="n">
        <f aca="false">A2180/2840</f>
        <v>0.765140845070423</v>
      </c>
      <c r="K2180" s="32" t="str">
        <f aca="false">IF(I2180&lt;=$E$4,"A",IF(I2180&lt;=$E$5,"B","C"))</f>
        <v>C</v>
      </c>
    </row>
    <row r="2181" customFormat="false" ht="15" hidden="false" customHeight="false" outlineLevel="0" collapsed="false">
      <c r="A2181" s="32" t="n">
        <v>2174</v>
      </c>
      <c r="B2181" s="33" t="n">
        <v>1605945</v>
      </c>
      <c r="C2181" s="34" t="s">
        <v>4434</v>
      </c>
      <c r="D2181" s="34" t="s">
        <v>4435</v>
      </c>
      <c r="E2181" s="34" t="s">
        <v>38</v>
      </c>
      <c r="F2181" s="32" t="n">
        <f aca="false">COUNTIF(Base!$D$2:$D$2878,B2181)</f>
        <v>1</v>
      </c>
      <c r="G2181" s="35" t="n">
        <f aca="false">SUMIF(Base!$D$2:$D$2878,B2181,Base!$I$2:$I$2878)</f>
        <v>119.51</v>
      </c>
      <c r="H2181" s="36" t="n">
        <f aca="false">IF($G$2849=0,0,G2181/$G$2849)</f>
        <v>7.84251226809788E-006</v>
      </c>
      <c r="I2181" s="37" t="n">
        <f aca="false">I2180+H2181</f>
        <v>0.997751838350934</v>
      </c>
      <c r="J2181" s="37" t="n">
        <f aca="false">A2181/2840</f>
        <v>0.765492957746479</v>
      </c>
      <c r="K2181" s="32" t="str">
        <f aca="false">IF(I2181&lt;=$E$4,"A",IF(I2181&lt;=$E$5,"B","C"))</f>
        <v>C</v>
      </c>
    </row>
    <row r="2182" customFormat="false" ht="15" hidden="false" customHeight="false" outlineLevel="0" collapsed="false">
      <c r="A2182" s="32" t="n">
        <v>2175</v>
      </c>
      <c r="B2182" s="33" t="n">
        <v>54081</v>
      </c>
      <c r="C2182" s="34" t="s">
        <v>4436</v>
      </c>
      <c r="D2182" s="34" t="s">
        <v>4437</v>
      </c>
      <c r="E2182" s="34" t="s">
        <v>247</v>
      </c>
      <c r="F2182" s="32" t="n">
        <f aca="false">COUNTIF(Base!$D$2:$D$2878,B2182)</f>
        <v>1</v>
      </c>
      <c r="G2182" s="35" t="n">
        <f aca="false">SUMIF(Base!$D$2:$D$2878,B2182,Base!$I$2:$I$2878)</f>
        <v>119.5</v>
      </c>
      <c r="H2182" s="36" t="n">
        <f aca="false">IF($G$2849=0,0,G2182/$G$2849)</f>
        <v>7.84185604583464E-006</v>
      </c>
      <c r="I2182" s="37" t="n">
        <f aca="false">I2181+H2182</f>
        <v>0.99775968020698</v>
      </c>
      <c r="J2182" s="37" t="n">
        <f aca="false">A2182/2840</f>
        <v>0.765845070422535</v>
      </c>
      <c r="K2182" s="32" t="str">
        <f aca="false">IF(I2182&lt;=$E$4,"A",IF(I2182&lt;=$E$5,"B","C"))</f>
        <v>C</v>
      </c>
    </row>
    <row r="2183" customFormat="false" ht="15" hidden="false" customHeight="false" outlineLevel="0" collapsed="false">
      <c r="A2183" s="32" t="n">
        <v>2176</v>
      </c>
      <c r="B2183" s="33" t="n">
        <v>55559</v>
      </c>
      <c r="C2183" s="34" t="s">
        <v>4438</v>
      </c>
      <c r="D2183" s="34" t="s">
        <v>4439</v>
      </c>
      <c r="E2183" s="34" t="s">
        <v>247</v>
      </c>
      <c r="F2183" s="32" t="n">
        <f aca="false">COUNTIF(Base!$D$2:$D$2878,B2183)</f>
        <v>1</v>
      </c>
      <c r="G2183" s="35" t="n">
        <f aca="false">SUMIF(Base!$D$2:$D$2878,B2183,Base!$I$2:$I$2878)</f>
        <v>119.5</v>
      </c>
      <c r="H2183" s="36" t="n">
        <f aca="false">IF($G$2849=0,0,G2183/$G$2849)</f>
        <v>7.84185604583464E-006</v>
      </c>
      <c r="I2183" s="37" t="n">
        <f aca="false">I2182+H2183</f>
        <v>0.997767522063026</v>
      </c>
      <c r="J2183" s="37" t="n">
        <f aca="false">A2183/2840</f>
        <v>0.766197183098592</v>
      </c>
      <c r="K2183" s="32" t="str">
        <f aca="false">IF(I2183&lt;=$E$4,"A",IF(I2183&lt;=$E$5,"B","C"))</f>
        <v>C</v>
      </c>
    </row>
    <row r="2184" customFormat="false" ht="15" hidden="false" customHeight="false" outlineLevel="0" collapsed="false">
      <c r="A2184" s="32" t="n">
        <v>2177</v>
      </c>
      <c r="B2184" s="33" t="n">
        <v>1657130</v>
      </c>
      <c r="C2184" s="34" t="s">
        <v>4440</v>
      </c>
      <c r="D2184" s="34" t="s">
        <v>4441</v>
      </c>
      <c r="E2184" s="34" t="s">
        <v>100</v>
      </c>
      <c r="F2184" s="32" t="n">
        <f aca="false">COUNTIF(Base!$D$2:$D$2878,B2184)</f>
        <v>1</v>
      </c>
      <c r="G2184" s="35" t="n">
        <f aca="false">SUMIF(Base!$D$2:$D$2878,B2184,Base!$I$2:$I$2878)</f>
        <v>118.8</v>
      </c>
      <c r="H2184" s="36" t="n">
        <f aca="false">IF($G$2849=0,0,G2184/$G$2849)</f>
        <v>7.79592048740715E-006</v>
      </c>
      <c r="I2184" s="37" t="n">
        <f aca="false">I2183+H2184</f>
        <v>0.997775317983513</v>
      </c>
      <c r="J2184" s="37" t="n">
        <f aca="false">A2184/2840</f>
        <v>0.766549295774648</v>
      </c>
      <c r="K2184" s="32" t="str">
        <f aca="false">IF(I2184&lt;=$E$4,"A",IF(I2184&lt;=$E$5,"B","C"))</f>
        <v>C</v>
      </c>
    </row>
    <row r="2185" customFormat="false" ht="15" hidden="false" customHeight="false" outlineLevel="0" collapsed="false">
      <c r="A2185" s="32" t="n">
        <v>2178</v>
      </c>
      <c r="B2185" s="33" t="n">
        <v>145568</v>
      </c>
      <c r="C2185" s="34" t="s">
        <v>4442</v>
      </c>
      <c r="D2185" s="34" t="s">
        <v>4443</v>
      </c>
      <c r="E2185" s="34" t="s">
        <v>1618</v>
      </c>
      <c r="F2185" s="32" t="n">
        <f aca="false">COUNTIF(Base!$D$2:$D$2878,B2185)</f>
        <v>1</v>
      </c>
      <c r="G2185" s="35" t="n">
        <f aca="false">SUMIF(Base!$D$2:$D$2878,B2185,Base!$I$2:$I$2878)</f>
        <v>118.4</v>
      </c>
      <c r="H2185" s="36" t="n">
        <f aca="false">IF($G$2849=0,0,G2185/$G$2849)</f>
        <v>7.76967159687716E-006</v>
      </c>
      <c r="I2185" s="37" t="n">
        <f aca="false">I2184+H2185</f>
        <v>0.99778308765511</v>
      </c>
      <c r="J2185" s="37" t="n">
        <f aca="false">A2185/2840</f>
        <v>0.766901408450704</v>
      </c>
      <c r="K2185" s="32" t="str">
        <f aca="false">IF(I2185&lt;=$E$4,"A",IF(I2185&lt;=$E$5,"B","C"))</f>
        <v>C</v>
      </c>
    </row>
    <row r="2186" customFormat="false" ht="15" hidden="false" customHeight="false" outlineLevel="0" collapsed="false">
      <c r="A2186" s="32" t="n">
        <v>2179</v>
      </c>
      <c r="B2186" s="33" t="n">
        <v>1670498</v>
      </c>
      <c r="C2186" s="34" t="s">
        <v>4444</v>
      </c>
      <c r="D2186" s="34" t="s">
        <v>4445</v>
      </c>
      <c r="E2186" s="34" t="s">
        <v>54</v>
      </c>
      <c r="F2186" s="32" t="n">
        <f aca="false">COUNTIF(Base!$D$2:$D$2878,B2186)</f>
        <v>1</v>
      </c>
      <c r="G2186" s="35" t="n">
        <f aca="false">SUMIF(Base!$D$2:$D$2878,B2186,Base!$I$2:$I$2878)</f>
        <v>118.14</v>
      </c>
      <c r="H2186" s="36" t="n">
        <f aca="false">IF($G$2849=0,0,G2186/$G$2849)</f>
        <v>7.75260981803267E-006</v>
      </c>
      <c r="I2186" s="37" t="n">
        <f aca="false">I2185+H2186</f>
        <v>0.997790840264928</v>
      </c>
      <c r="J2186" s="37" t="n">
        <f aca="false">A2186/2840</f>
        <v>0.767253521126761</v>
      </c>
      <c r="K2186" s="32" t="str">
        <f aca="false">IF(I2186&lt;=$E$4,"A",IF(I2186&lt;=$E$5,"B","C"))</f>
        <v>C</v>
      </c>
    </row>
    <row r="2187" customFormat="false" ht="15" hidden="false" customHeight="false" outlineLevel="0" collapsed="false">
      <c r="A2187" s="32" t="n">
        <v>2180</v>
      </c>
      <c r="B2187" s="33" t="n">
        <v>19952</v>
      </c>
      <c r="C2187" s="34" t="s">
        <v>4446</v>
      </c>
      <c r="D2187" s="34" t="s">
        <v>4447</v>
      </c>
      <c r="E2187" s="34" t="s">
        <v>35</v>
      </c>
      <c r="F2187" s="32" t="n">
        <f aca="false">COUNTIF(Base!$D$2:$D$2878,B2187)</f>
        <v>1</v>
      </c>
      <c r="G2187" s="35" t="n">
        <f aca="false">SUMIF(Base!$D$2:$D$2878,B2187,Base!$I$2:$I$2878)</f>
        <v>118</v>
      </c>
      <c r="H2187" s="36" t="n">
        <f aca="false">IF($G$2849=0,0,G2187/$G$2849)</f>
        <v>7.74342270634717E-006</v>
      </c>
      <c r="I2187" s="37" t="n">
        <f aca="false">I2186+H2187</f>
        <v>0.997798583687634</v>
      </c>
      <c r="J2187" s="37" t="n">
        <f aca="false">A2187/2840</f>
        <v>0.767605633802817</v>
      </c>
      <c r="K2187" s="32" t="str">
        <f aca="false">IF(I2187&lt;=$E$4,"A",IF(I2187&lt;=$E$5,"B","C"))</f>
        <v>C</v>
      </c>
    </row>
    <row r="2188" customFormat="false" ht="15" hidden="false" customHeight="false" outlineLevel="0" collapsed="false">
      <c r="A2188" s="32" t="n">
        <v>2181</v>
      </c>
      <c r="B2188" s="33" t="n">
        <v>55070</v>
      </c>
      <c r="C2188" s="34" t="s">
        <v>4448</v>
      </c>
      <c r="D2188" s="34" t="s">
        <v>4449</v>
      </c>
      <c r="E2188" s="34" t="s">
        <v>38</v>
      </c>
      <c r="F2188" s="32" t="n">
        <f aca="false">COUNTIF(Base!$D$2:$D$2878,B2188)</f>
        <v>1</v>
      </c>
      <c r="G2188" s="35" t="n">
        <f aca="false">SUMIF(Base!$D$2:$D$2878,B2188,Base!$I$2:$I$2878)</f>
        <v>118</v>
      </c>
      <c r="H2188" s="36" t="n">
        <f aca="false">IF($G$2849=0,0,G2188/$G$2849)</f>
        <v>7.74342270634717E-006</v>
      </c>
      <c r="I2188" s="37" t="n">
        <f aca="false">I2187+H2188</f>
        <v>0.997806327110341</v>
      </c>
      <c r="J2188" s="37" t="n">
        <f aca="false">A2188/2840</f>
        <v>0.767957746478873</v>
      </c>
      <c r="K2188" s="32" t="str">
        <f aca="false">IF(I2188&lt;=$E$4,"A",IF(I2188&lt;=$E$5,"B","C"))</f>
        <v>C</v>
      </c>
    </row>
    <row r="2189" customFormat="false" ht="15" hidden="false" customHeight="false" outlineLevel="0" collapsed="false">
      <c r="A2189" s="32" t="n">
        <v>2182</v>
      </c>
      <c r="B2189" s="33" t="n">
        <v>56667</v>
      </c>
      <c r="C2189" s="34" t="s">
        <v>4450</v>
      </c>
      <c r="D2189" s="34" t="s">
        <v>4451</v>
      </c>
      <c r="E2189" s="34" t="s">
        <v>54</v>
      </c>
      <c r="F2189" s="32" t="n">
        <f aca="false">COUNTIF(Base!$D$2:$D$2878,B2189)</f>
        <v>1</v>
      </c>
      <c r="G2189" s="35" t="n">
        <f aca="false">SUMIF(Base!$D$2:$D$2878,B2189,Base!$I$2:$I$2878)</f>
        <v>118</v>
      </c>
      <c r="H2189" s="36" t="n">
        <f aca="false">IF($G$2849=0,0,G2189/$G$2849)</f>
        <v>7.74342270634717E-006</v>
      </c>
      <c r="I2189" s="37" t="n">
        <f aca="false">I2188+H2189</f>
        <v>0.997814070533047</v>
      </c>
      <c r="J2189" s="37" t="n">
        <f aca="false">A2189/2840</f>
        <v>0.76830985915493</v>
      </c>
      <c r="K2189" s="32" t="str">
        <f aca="false">IF(I2189&lt;=$E$4,"A",IF(I2189&lt;=$E$5,"B","C"))</f>
        <v>C</v>
      </c>
    </row>
    <row r="2190" customFormat="false" ht="15" hidden="false" customHeight="false" outlineLevel="0" collapsed="false">
      <c r="A2190" s="32" t="n">
        <v>2183</v>
      </c>
      <c r="B2190" s="33" t="n">
        <v>278771</v>
      </c>
      <c r="C2190" s="34" t="s">
        <v>4452</v>
      </c>
      <c r="D2190" s="34" t="s">
        <v>4453</v>
      </c>
      <c r="E2190" s="34" t="s">
        <v>705</v>
      </c>
      <c r="F2190" s="32" t="n">
        <f aca="false">COUNTIF(Base!$D$2:$D$2878,B2190)</f>
        <v>1</v>
      </c>
      <c r="G2190" s="35" t="n">
        <f aca="false">SUMIF(Base!$D$2:$D$2878,B2190,Base!$I$2:$I$2878)</f>
        <v>118</v>
      </c>
      <c r="H2190" s="36" t="n">
        <f aca="false">IF($G$2849=0,0,G2190/$G$2849)</f>
        <v>7.74342270634717E-006</v>
      </c>
      <c r="I2190" s="37" t="n">
        <f aca="false">I2189+H2190</f>
        <v>0.997821813955753</v>
      </c>
      <c r="J2190" s="37" t="n">
        <f aca="false">A2190/2840</f>
        <v>0.768661971830986</v>
      </c>
      <c r="K2190" s="32" t="str">
        <f aca="false">IF(I2190&lt;=$E$4,"A",IF(I2190&lt;=$E$5,"B","C"))</f>
        <v>C</v>
      </c>
    </row>
    <row r="2191" customFormat="false" ht="15" hidden="false" customHeight="false" outlineLevel="0" collapsed="false">
      <c r="A2191" s="32" t="n">
        <v>2184</v>
      </c>
      <c r="B2191" s="33" t="n">
        <v>294880</v>
      </c>
      <c r="C2191" s="34" t="s">
        <v>4454</v>
      </c>
      <c r="D2191" s="34" t="s">
        <v>4455</v>
      </c>
      <c r="E2191" s="34" t="s">
        <v>247</v>
      </c>
      <c r="F2191" s="32" t="n">
        <f aca="false">COUNTIF(Base!$D$2:$D$2878,B2191)</f>
        <v>1</v>
      </c>
      <c r="G2191" s="35" t="n">
        <f aca="false">SUMIF(Base!$D$2:$D$2878,B2191,Base!$I$2:$I$2878)</f>
        <v>118</v>
      </c>
      <c r="H2191" s="36" t="n">
        <f aca="false">IF($G$2849=0,0,G2191/$G$2849)</f>
        <v>7.74342270634717E-006</v>
      </c>
      <c r="I2191" s="37" t="n">
        <f aca="false">I2190+H2191</f>
        <v>0.99782955737846</v>
      </c>
      <c r="J2191" s="37" t="n">
        <f aca="false">A2191/2840</f>
        <v>0.769014084507042</v>
      </c>
      <c r="K2191" s="32" t="str">
        <f aca="false">IF(I2191&lt;=$E$4,"A",IF(I2191&lt;=$E$5,"B","C"))</f>
        <v>C</v>
      </c>
    </row>
    <row r="2192" customFormat="false" ht="15" hidden="false" customHeight="false" outlineLevel="0" collapsed="false">
      <c r="A2192" s="32" t="n">
        <v>2185</v>
      </c>
      <c r="B2192" s="33" t="n">
        <v>17954</v>
      </c>
      <c r="C2192" s="34" t="s">
        <v>4456</v>
      </c>
      <c r="D2192" s="34" t="s">
        <v>4457</v>
      </c>
      <c r="E2192" s="34" t="s">
        <v>130</v>
      </c>
      <c r="F2192" s="32" t="n">
        <f aca="false">COUNTIF(Base!$D$2:$D$2878,B2192)</f>
        <v>1</v>
      </c>
      <c r="G2192" s="35" t="n">
        <f aca="false">SUMIF(Base!$D$2:$D$2878,B2192,Base!$I$2:$I$2878)</f>
        <v>117</v>
      </c>
      <c r="H2192" s="36" t="n">
        <f aca="false">IF($G$2849=0,0,G2192/$G$2849)</f>
        <v>7.67780048002219E-006</v>
      </c>
      <c r="I2192" s="37" t="n">
        <f aca="false">I2191+H2192</f>
        <v>0.99783723517894</v>
      </c>
      <c r="J2192" s="37" t="n">
        <f aca="false">A2192/2840</f>
        <v>0.769366197183099</v>
      </c>
      <c r="K2192" s="32" t="str">
        <f aca="false">IF(I2192&lt;=$E$4,"A",IF(I2192&lt;=$E$5,"B","C"))</f>
        <v>C</v>
      </c>
    </row>
    <row r="2193" customFormat="false" ht="15" hidden="false" customHeight="false" outlineLevel="0" collapsed="false">
      <c r="A2193" s="32" t="n">
        <v>2186</v>
      </c>
      <c r="B2193" s="33" t="n">
        <v>556794</v>
      </c>
      <c r="C2193" s="34" t="s">
        <v>4458</v>
      </c>
      <c r="D2193" s="34" t="s">
        <v>4459</v>
      </c>
      <c r="E2193" s="34" t="s">
        <v>130</v>
      </c>
      <c r="F2193" s="32" t="n">
        <f aca="false">COUNTIF(Base!$D$2:$D$2878,B2193)</f>
        <v>1</v>
      </c>
      <c r="G2193" s="35" t="n">
        <f aca="false">SUMIF(Base!$D$2:$D$2878,B2193,Base!$I$2:$I$2878)</f>
        <v>116.76</v>
      </c>
      <c r="H2193" s="36" t="n">
        <f aca="false">IF($G$2849=0,0,G2193/$G$2849)</f>
        <v>7.6620511457042E-006</v>
      </c>
      <c r="I2193" s="37" t="n">
        <f aca="false">I2192+H2193</f>
        <v>0.997844897230086</v>
      </c>
      <c r="J2193" s="37" t="n">
        <f aca="false">A2193/2840</f>
        <v>0.769718309859155</v>
      </c>
      <c r="K2193" s="32" t="str">
        <f aca="false">IF(I2193&lt;=$E$4,"A",IF(I2193&lt;=$E$5,"B","C"))</f>
        <v>C</v>
      </c>
    </row>
    <row r="2194" customFormat="false" ht="15" hidden="false" customHeight="false" outlineLevel="0" collapsed="false">
      <c r="A2194" s="32" t="n">
        <v>2187</v>
      </c>
      <c r="B2194" s="33" t="n">
        <v>348078</v>
      </c>
      <c r="C2194" s="34" t="s">
        <v>4460</v>
      </c>
      <c r="D2194" s="34" t="s">
        <v>4461</v>
      </c>
      <c r="E2194" s="34" t="s">
        <v>38</v>
      </c>
      <c r="F2194" s="32" t="n">
        <f aca="false">COUNTIF(Base!$D$2:$D$2878,B2194)</f>
        <v>1</v>
      </c>
      <c r="G2194" s="35" t="n">
        <f aca="false">SUMIF(Base!$D$2:$D$2878,B2194,Base!$I$2:$I$2878)</f>
        <v>116.4</v>
      </c>
      <c r="H2194" s="36" t="n">
        <f aca="false">IF($G$2849=0,0,G2194/$G$2849)</f>
        <v>7.63842714422721E-006</v>
      </c>
      <c r="I2194" s="37" t="n">
        <f aca="false">I2193+H2194</f>
        <v>0.99785253565723</v>
      </c>
      <c r="J2194" s="37" t="n">
        <f aca="false">A2194/2840</f>
        <v>0.770070422535211</v>
      </c>
      <c r="K2194" s="32" t="str">
        <f aca="false">IF(I2194&lt;=$E$4,"A",IF(I2194&lt;=$E$5,"B","C"))</f>
        <v>C</v>
      </c>
    </row>
    <row r="2195" customFormat="false" ht="15" hidden="false" customHeight="false" outlineLevel="0" collapsed="false">
      <c r="A2195" s="32" t="n">
        <v>2188</v>
      </c>
      <c r="B2195" s="33" t="n">
        <v>18737</v>
      </c>
      <c r="C2195" s="34" t="s">
        <v>4462</v>
      </c>
      <c r="D2195" s="34" t="s">
        <v>4463</v>
      </c>
      <c r="E2195" s="34" t="s">
        <v>262</v>
      </c>
      <c r="F2195" s="32" t="n">
        <f aca="false">COUNTIF(Base!$D$2:$D$2878,B2195)</f>
        <v>1</v>
      </c>
      <c r="G2195" s="35" t="n">
        <f aca="false">SUMIF(Base!$D$2:$D$2878,B2195,Base!$I$2:$I$2878)</f>
        <v>116</v>
      </c>
      <c r="H2195" s="36" t="n">
        <f aca="false">IF($G$2849=0,0,G2195/$G$2849)</f>
        <v>7.61217825369722E-006</v>
      </c>
      <c r="I2195" s="37" t="n">
        <f aca="false">I2194+H2195</f>
        <v>0.997860147835484</v>
      </c>
      <c r="J2195" s="37" t="n">
        <f aca="false">A2195/2840</f>
        <v>0.770422535211268</v>
      </c>
      <c r="K2195" s="32" t="str">
        <f aca="false">IF(I2195&lt;=$E$4,"A",IF(I2195&lt;=$E$5,"B","C"))</f>
        <v>C</v>
      </c>
    </row>
    <row r="2196" customFormat="false" ht="15" hidden="false" customHeight="false" outlineLevel="0" collapsed="false">
      <c r="A2196" s="32" t="n">
        <v>2189</v>
      </c>
      <c r="B2196" s="33" t="n">
        <v>19567</v>
      </c>
      <c r="C2196" s="34" t="s">
        <v>4464</v>
      </c>
      <c r="D2196" s="34" t="s">
        <v>4465</v>
      </c>
      <c r="E2196" s="34" t="s">
        <v>1095</v>
      </c>
      <c r="F2196" s="32" t="n">
        <f aca="false">COUNTIF(Base!$D$2:$D$2878,B2196)</f>
        <v>1</v>
      </c>
      <c r="G2196" s="35" t="n">
        <f aca="false">SUMIF(Base!$D$2:$D$2878,B2196,Base!$I$2:$I$2878)</f>
        <v>116</v>
      </c>
      <c r="H2196" s="36" t="n">
        <f aca="false">IF($G$2849=0,0,G2196/$G$2849)</f>
        <v>7.61217825369722E-006</v>
      </c>
      <c r="I2196" s="37" t="n">
        <f aca="false">I2195+H2196</f>
        <v>0.997867760013737</v>
      </c>
      <c r="J2196" s="37" t="n">
        <f aca="false">A2196/2840</f>
        <v>0.770774647887324</v>
      </c>
      <c r="K2196" s="32" t="str">
        <f aca="false">IF(I2196&lt;=$E$4,"A",IF(I2196&lt;=$E$5,"B","C"))</f>
        <v>C</v>
      </c>
    </row>
    <row r="2197" customFormat="false" ht="15" hidden="false" customHeight="false" outlineLevel="0" collapsed="false">
      <c r="A2197" s="32" t="n">
        <v>2190</v>
      </c>
      <c r="B2197" s="33" t="n">
        <v>1012422</v>
      </c>
      <c r="C2197" s="34" t="s">
        <v>4466</v>
      </c>
      <c r="D2197" s="34" t="s">
        <v>4467</v>
      </c>
      <c r="E2197" s="34" t="s">
        <v>480</v>
      </c>
      <c r="F2197" s="32" t="n">
        <f aca="false">COUNTIF(Base!$D$2:$D$2878,B2197)</f>
        <v>1</v>
      </c>
      <c r="G2197" s="35" t="n">
        <f aca="false">SUMIF(Base!$D$2:$D$2878,B2197,Base!$I$2:$I$2878)</f>
        <v>116</v>
      </c>
      <c r="H2197" s="36" t="n">
        <f aca="false">IF($G$2849=0,0,G2197/$G$2849)</f>
        <v>7.61217825369722E-006</v>
      </c>
      <c r="I2197" s="37" t="n">
        <f aca="false">I2196+H2197</f>
        <v>0.997875372191991</v>
      </c>
      <c r="J2197" s="37" t="n">
        <f aca="false">A2197/2840</f>
        <v>0.77112676056338</v>
      </c>
      <c r="K2197" s="32" t="str">
        <f aca="false">IF(I2197&lt;=$E$4,"A",IF(I2197&lt;=$E$5,"B","C"))</f>
        <v>C</v>
      </c>
    </row>
    <row r="2198" customFormat="false" ht="15" hidden="false" customHeight="false" outlineLevel="0" collapsed="false">
      <c r="A2198" s="32" t="n">
        <v>2191</v>
      </c>
      <c r="B2198" s="33" t="n">
        <v>1605944</v>
      </c>
      <c r="C2198" s="34" t="s">
        <v>4468</v>
      </c>
      <c r="D2198" s="34" t="s">
        <v>4469</v>
      </c>
      <c r="E2198" s="34" t="s">
        <v>38</v>
      </c>
      <c r="F2198" s="32" t="n">
        <f aca="false">COUNTIF(Base!$D$2:$D$2878,B2198)</f>
        <v>1</v>
      </c>
      <c r="G2198" s="35" t="n">
        <f aca="false">SUMIF(Base!$D$2:$D$2878,B2198,Base!$I$2:$I$2878)</f>
        <v>115.64</v>
      </c>
      <c r="H2198" s="36" t="n">
        <f aca="false">IF($G$2849=0,0,G2198/$G$2849)</f>
        <v>7.58855425222023E-006</v>
      </c>
      <c r="I2198" s="37" t="n">
        <f aca="false">I2197+H2198</f>
        <v>0.997882960746243</v>
      </c>
      <c r="J2198" s="37" t="n">
        <f aca="false">A2198/2840</f>
        <v>0.771478873239437</v>
      </c>
      <c r="K2198" s="32" t="str">
        <f aca="false">IF(I2198&lt;=$E$4,"A",IF(I2198&lt;=$E$5,"B","C"))</f>
        <v>C</v>
      </c>
    </row>
    <row r="2199" customFormat="false" ht="15" hidden="false" customHeight="false" outlineLevel="0" collapsed="false">
      <c r="A2199" s="32" t="n">
        <v>2192</v>
      </c>
      <c r="B2199" s="33" t="n">
        <v>1110727</v>
      </c>
      <c r="C2199" s="34" t="s">
        <v>4470</v>
      </c>
      <c r="D2199" s="34" t="s">
        <v>4471</v>
      </c>
      <c r="E2199" s="34" t="s">
        <v>38</v>
      </c>
      <c r="F2199" s="32" t="n">
        <f aca="false">COUNTIF(Base!$D$2:$D$2878,B2199)</f>
        <v>1</v>
      </c>
      <c r="G2199" s="35" t="n">
        <f aca="false">SUMIF(Base!$D$2:$D$2878,B2199,Base!$I$2:$I$2878)</f>
        <v>115.6</v>
      </c>
      <c r="H2199" s="36" t="n">
        <f aca="false">IF($G$2849=0,0,G2199/$G$2849)</f>
        <v>7.58592936316723E-006</v>
      </c>
      <c r="I2199" s="37" t="n">
        <f aca="false">I2198+H2199</f>
        <v>0.997890546675606</v>
      </c>
      <c r="J2199" s="37" t="n">
        <f aca="false">A2199/2840</f>
        <v>0.771830985915493</v>
      </c>
      <c r="K2199" s="32" t="str">
        <f aca="false">IF(I2199&lt;=$E$4,"A",IF(I2199&lt;=$E$5,"B","C"))</f>
        <v>C</v>
      </c>
    </row>
    <row r="2200" customFormat="false" ht="15" hidden="false" customHeight="false" outlineLevel="0" collapsed="false">
      <c r="A2200" s="32" t="n">
        <v>2193</v>
      </c>
      <c r="B2200" s="33" t="n">
        <v>1312591</v>
      </c>
      <c r="C2200" s="34" t="s">
        <v>4472</v>
      </c>
      <c r="D2200" s="34" t="s">
        <v>4473</v>
      </c>
      <c r="E2200" s="34" t="s">
        <v>189</v>
      </c>
      <c r="F2200" s="32" t="n">
        <f aca="false">COUNTIF(Base!$D$2:$D$2878,B2200)</f>
        <v>1</v>
      </c>
      <c r="G2200" s="35" t="n">
        <f aca="false">SUMIF(Base!$D$2:$D$2878,B2200,Base!$I$2:$I$2878)</f>
        <v>115.54</v>
      </c>
      <c r="H2200" s="36" t="n">
        <f aca="false">IF($G$2849=0,0,G2200/$G$2849)</f>
        <v>7.58199202958773E-006</v>
      </c>
      <c r="I2200" s="37" t="n">
        <f aca="false">I2199+H2200</f>
        <v>0.997898128667636</v>
      </c>
      <c r="J2200" s="37" t="n">
        <f aca="false">A2200/2840</f>
        <v>0.772183098591549</v>
      </c>
      <c r="K2200" s="32" t="str">
        <f aca="false">IF(I2200&lt;=$E$4,"A",IF(I2200&lt;=$E$5,"B","C"))</f>
        <v>C</v>
      </c>
    </row>
    <row r="2201" customFormat="false" ht="15" hidden="false" customHeight="false" outlineLevel="0" collapsed="false">
      <c r="A2201" s="32" t="n">
        <v>2194</v>
      </c>
      <c r="B2201" s="33" t="n">
        <v>1386216</v>
      </c>
      <c r="C2201" s="34" t="s">
        <v>4474</v>
      </c>
      <c r="D2201" s="34" t="s">
        <v>4475</v>
      </c>
      <c r="E2201" s="34" t="s">
        <v>130</v>
      </c>
      <c r="F2201" s="32" t="n">
        <f aca="false">COUNTIF(Base!$D$2:$D$2878,B2201)</f>
        <v>1</v>
      </c>
      <c r="G2201" s="35" t="n">
        <f aca="false">SUMIF(Base!$D$2:$D$2878,B2201,Base!$I$2:$I$2878)</f>
        <v>115</v>
      </c>
      <c r="H2201" s="36" t="n">
        <f aca="false">IF($G$2849=0,0,G2201/$G$2849)</f>
        <v>7.54655602737224E-006</v>
      </c>
      <c r="I2201" s="37" t="n">
        <f aca="false">I2200+H2201</f>
        <v>0.997905675223663</v>
      </c>
      <c r="J2201" s="37" t="n">
        <f aca="false">A2201/2840</f>
        <v>0.772535211267606</v>
      </c>
      <c r="K2201" s="32" t="str">
        <f aca="false">IF(I2201&lt;=$E$4,"A",IF(I2201&lt;=$E$5,"B","C"))</f>
        <v>C</v>
      </c>
    </row>
    <row r="2202" customFormat="false" ht="15" hidden="false" customHeight="false" outlineLevel="0" collapsed="false">
      <c r="A2202" s="32" t="n">
        <v>2195</v>
      </c>
      <c r="B2202" s="33" t="n">
        <v>554732</v>
      </c>
      <c r="C2202" s="34" t="s">
        <v>4476</v>
      </c>
      <c r="D2202" s="34" t="s">
        <v>4477</v>
      </c>
      <c r="E2202" s="34" t="s">
        <v>605</v>
      </c>
      <c r="F2202" s="32" t="n">
        <f aca="false">COUNTIF(Base!$D$2:$D$2878,B2202)</f>
        <v>1</v>
      </c>
      <c r="G2202" s="35" t="n">
        <f aca="false">SUMIF(Base!$D$2:$D$2878,B2202,Base!$I$2:$I$2878)</f>
        <v>114.84</v>
      </c>
      <c r="H2202" s="36" t="n">
        <f aca="false">IF($G$2849=0,0,G2202/$G$2849)</f>
        <v>7.53605647116025E-006</v>
      </c>
      <c r="I2202" s="37" t="n">
        <f aca="false">I2201+H2202</f>
        <v>0.997913211280134</v>
      </c>
      <c r="J2202" s="37" t="n">
        <f aca="false">A2202/2840</f>
        <v>0.772887323943662</v>
      </c>
      <c r="K2202" s="32" t="str">
        <f aca="false">IF(I2202&lt;=$E$4,"A",IF(I2202&lt;=$E$5,"B","C"))</f>
        <v>C</v>
      </c>
    </row>
    <row r="2203" customFormat="false" ht="15" hidden="false" customHeight="false" outlineLevel="0" collapsed="false">
      <c r="A2203" s="32" t="n">
        <v>2196</v>
      </c>
      <c r="B2203" s="33" t="n">
        <v>1089795</v>
      </c>
      <c r="C2203" s="34" t="s">
        <v>4478</v>
      </c>
      <c r="D2203" s="34" t="s">
        <v>4479</v>
      </c>
      <c r="E2203" s="34" t="s">
        <v>2056</v>
      </c>
      <c r="F2203" s="32" t="n">
        <f aca="false">COUNTIF(Base!$D$2:$D$2878,B2203)</f>
        <v>1</v>
      </c>
      <c r="G2203" s="35" t="n">
        <f aca="false">SUMIF(Base!$D$2:$D$2878,B2203,Base!$I$2:$I$2878)</f>
        <v>114.1</v>
      </c>
      <c r="H2203" s="36" t="n">
        <f aca="false">IF($G$2849=0,0,G2203/$G$2849)</f>
        <v>7.48749602367976E-006</v>
      </c>
      <c r="I2203" s="37" t="n">
        <f aca="false">I2202+H2203</f>
        <v>0.997920698776158</v>
      </c>
      <c r="J2203" s="37" t="n">
        <f aca="false">A2203/2840</f>
        <v>0.773239436619718</v>
      </c>
      <c r="K2203" s="32" t="str">
        <f aca="false">IF(I2203&lt;=$E$4,"A",IF(I2203&lt;=$E$5,"B","C"))</f>
        <v>C</v>
      </c>
    </row>
    <row r="2204" customFormat="false" ht="15" hidden="false" customHeight="false" outlineLevel="0" collapsed="false">
      <c r="A2204" s="32" t="n">
        <v>2197</v>
      </c>
      <c r="B2204" s="33" t="n">
        <v>19739</v>
      </c>
      <c r="C2204" s="34" t="s">
        <v>4480</v>
      </c>
      <c r="D2204" s="34" t="s">
        <v>4481</v>
      </c>
      <c r="E2204" s="34" t="s">
        <v>605</v>
      </c>
      <c r="F2204" s="32" t="n">
        <f aca="false">COUNTIF(Base!$D$2:$D$2878,B2204)</f>
        <v>1</v>
      </c>
      <c r="G2204" s="35" t="n">
        <f aca="false">SUMIF(Base!$D$2:$D$2878,B2204,Base!$I$2:$I$2878)</f>
        <v>114</v>
      </c>
      <c r="H2204" s="36" t="n">
        <f aca="false">IF($G$2849=0,0,G2204/$G$2849)</f>
        <v>7.48093380104727E-006</v>
      </c>
      <c r="I2204" s="37" t="n">
        <f aca="false">I2203+H2204</f>
        <v>0.997928179709959</v>
      </c>
      <c r="J2204" s="37" t="n">
        <f aca="false">A2204/2840</f>
        <v>0.773591549295775</v>
      </c>
      <c r="K2204" s="32" t="str">
        <f aca="false">IF(I2204&lt;=$E$4,"A",IF(I2204&lt;=$E$5,"B","C"))</f>
        <v>C</v>
      </c>
    </row>
    <row r="2205" customFormat="false" ht="15" hidden="false" customHeight="false" outlineLevel="0" collapsed="false">
      <c r="A2205" s="32" t="n">
        <v>2198</v>
      </c>
      <c r="B2205" s="33" t="n">
        <v>24272</v>
      </c>
      <c r="C2205" s="34" t="s">
        <v>4482</v>
      </c>
      <c r="D2205" s="34" t="s">
        <v>4483</v>
      </c>
      <c r="E2205" s="34" t="s">
        <v>1095</v>
      </c>
      <c r="F2205" s="32" t="n">
        <f aca="false">COUNTIF(Base!$D$2:$D$2878,B2205)</f>
        <v>1</v>
      </c>
      <c r="G2205" s="35" t="n">
        <f aca="false">SUMIF(Base!$D$2:$D$2878,B2205,Base!$I$2:$I$2878)</f>
        <v>114</v>
      </c>
      <c r="H2205" s="36" t="n">
        <f aca="false">IF($G$2849=0,0,G2205/$G$2849)</f>
        <v>7.48093380104727E-006</v>
      </c>
      <c r="I2205" s="37" t="n">
        <f aca="false">I2204+H2205</f>
        <v>0.99793566064376</v>
      </c>
      <c r="J2205" s="37" t="n">
        <f aca="false">A2205/2840</f>
        <v>0.773943661971831</v>
      </c>
      <c r="K2205" s="32" t="str">
        <f aca="false">IF(I2205&lt;=$E$4,"A",IF(I2205&lt;=$E$5,"B","C"))</f>
        <v>C</v>
      </c>
    </row>
    <row r="2206" customFormat="false" ht="15" hidden="false" customHeight="false" outlineLevel="0" collapsed="false">
      <c r="A2206" s="32" t="n">
        <v>2199</v>
      </c>
      <c r="B2206" s="33" t="n">
        <v>33876</v>
      </c>
      <c r="C2206" s="34" t="s">
        <v>4484</v>
      </c>
      <c r="D2206" s="34" t="s">
        <v>4485</v>
      </c>
      <c r="E2206" s="34" t="s">
        <v>480</v>
      </c>
      <c r="F2206" s="32" t="n">
        <f aca="false">COUNTIF(Base!$D$2:$D$2878,B2206)</f>
        <v>1</v>
      </c>
      <c r="G2206" s="35" t="n">
        <f aca="false">SUMIF(Base!$D$2:$D$2878,B2206,Base!$I$2:$I$2878)</f>
        <v>114</v>
      </c>
      <c r="H2206" s="36" t="n">
        <f aca="false">IF($G$2849=0,0,G2206/$G$2849)</f>
        <v>7.48093380104727E-006</v>
      </c>
      <c r="I2206" s="37" t="n">
        <f aca="false">I2205+H2206</f>
        <v>0.997943141577561</v>
      </c>
      <c r="J2206" s="37" t="n">
        <f aca="false">A2206/2840</f>
        <v>0.774295774647887</v>
      </c>
      <c r="K2206" s="32" t="str">
        <f aca="false">IF(I2206&lt;=$E$4,"A",IF(I2206&lt;=$E$5,"B","C"))</f>
        <v>C</v>
      </c>
    </row>
    <row r="2207" customFormat="false" ht="15" hidden="false" customHeight="false" outlineLevel="0" collapsed="false">
      <c r="A2207" s="32" t="n">
        <v>2200</v>
      </c>
      <c r="B2207" s="33" t="n">
        <v>59820</v>
      </c>
      <c r="C2207" s="34" t="s">
        <v>4486</v>
      </c>
      <c r="D2207" s="34" t="s">
        <v>4487</v>
      </c>
      <c r="E2207" s="34" t="s">
        <v>705</v>
      </c>
      <c r="F2207" s="32" t="n">
        <f aca="false">COUNTIF(Base!$D$2:$D$2878,B2207)</f>
        <v>1</v>
      </c>
      <c r="G2207" s="35" t="n">
        <f aca="false">SUMIF(Base!$D$2:$D$2878,B2207,Base!$I$2:$I$2878)</f>
        <v>114</v>
      </c>
      <c r="H2207" s="36" t="n">
        <f aca="false">IF($G$2849=0,0,G2207/$G$2849)</f>
        <v>7.48093380104727E-006</v>
      </c>
      <c r="I2207" s="37" t="n">
        <f aca="false">I2206+H2207</f>
        <v>0.997950622511363</v>
      </c>
      <c r="J2207" s="37" t="n">
        <f aca="false">A2207/2840</f>
        <v>0.774647887323944</v>
      </c>
      <c r="K2207" s="32" t="str">
        <f aca="false">IF(I2207&lt;=$E$4,"A",IF(I2207&lt;=$E$5,"B","C"))</f>
        <v>C</v>
      </c>
    </row>
    <row r="2208" customFormat="false" ht="15" hidden="false" customHeight="false" outlineLevel="0" collapsed="false">
      <c r="A2208" s="32" t="n">
        <v>2201</v>
      </c>
      <c r="B2208" s="33" t="n">
        <v>870438</v>
      </c>
      <c r="C2208" s="34" t="s">
        <v>4488</v>
      </c>
      <c r="D2208" s="34" t="s">
        <v>4489</v>
      </c>
      <c r="E2208" s="34" t="s">
        <v>1095</v>
      </c>
      <c r="F2208" s="32" t="n">
        <f aca="false">COUNTIF(Base!$D$2:$D$2878,B2208)</f>
        <v>1</v>
      </c>
      <c r="G2208" s="35" t="n">
        <f aca="false">SUMIF(Base!$D$2:$D$2878,B2208,Base!$I$2:$I$2878)</f>
        <v>113.22</v>
      </c>
      <c r="H2208" s="36" t="n">
        <f aca="false">IF($G$2849=0,0,G2208/$G$2849)</f>
        <v>7.42974846451379E-006</v>
      </c>
      <c r="I2208" s="37" t="n">
        <f aca="false">I2207+H2208</f>
        <v>0.997958052259827</v>
      </c>
      <c r="J2208" s="37" t="n">
        <f aca="false">A2208/2840</f>
        <v>0.775</v>
      </c>
      <c r="K2208" s="32" t="str">
        <f aca="false">IF(I2208&lt;=$E$4,"A",IF(I2208&lt;=$E$5,"B","C"))</f>
        <v>C</v>
      </c>
    </row>
    <row r="2209" customFormat="false" ht="15" hidden="false" customHeight="false" outlineLevel="0" collapsed="false">
      <c r="A2209" s="32" t="n">
        <v>2202</v>
      </c>
      <c r="B2209" s="33" t="n">
        <v>1113408</v>
      </c>
      <c r="C2209" s="34" t="s">
        <v>4490</v>
      </c>
      <c r="D2209" s="34" t="s">
        <v>4491</v>
      </c>
      <c r="E2209" s="34" t="s">
        <v>100</v>
      </c>
      <c r="F2209" s="32" t="n">
        <f aca="false">COUNTIF(Base!$D$2:$D$2878,B2209)</f>
        <v>1</v>
      </c>
      <c r="G2209" s="35" t="n">
        <f aca="false">SUMIF(Base!$D$2:$D$2878,B2209,Base!$I$2:$I$2878)</f>
        <v>113</v>
      </c>
      <c r="H2209" s="36" t="n">
        <f aca="false">IF($G$2849=0,0,G2209/$G$2849)</f>
        <v>7.41531157472229E-006</v>
      </c>
      <c r="I2209" s="37" t="n">
        <f aca="false">I2208+H2209</f>
        <v>0.997965467571402</v>
      </c>
      <c r="J2209" s="37" t="n">
        <f aca="false">A2209/2840</f>
        <v>0.775352112676056</v>
      </c>
      <c r="K2209" s="32" t="str">
        <f aca="false">IF(I2209&lt;=$E$4,"A",IF(I2209&lt;=$E$5,"B","C"))</f>
        <v>C</v>
      </c>
    </row>
    <row r="2210" customFormat="false" ht="15" hidden="false" customHeight="false" outlineLevel="0" collapsed="false">
      <c r="A2210" s="32" t="n">
        <v>2203</v>
      </c>
      <c r="B2210" s="33" t="n">
        <v>21505</v>
      </c>
      <c r="C2210" s="34" t="s">
        <v>4492</v>
      </c>
      <c r="D2210" s="34" t="s">
        <v>4493</v>
      </c>
      <c r="E2210" s="34" t="s">
        <v>189</v>
      </c>
      <c r="F2210" s="32" t="n">
        <f aca="false">COUNTIF(Base!$D$2:$D$2878,B2210)</f>
        <v>1</v>
      </c>
      <c r="G2210" s="35" t="n">
        <f aca="false">SUMIF(Base!$D$2:$D$2878,B2210,Base!$I$2:$I$2878)</f>
        <v>112</v>
      </c>
      <c r="H2210" s="36" t="n">
        <f aca="false">IF($G$2849=0,0,G2210/$G$2849)</f>
        <v>7.34968934839731E-006</v>
      </c>
      <c r="I2210" s="37" t="n">
        <f aca="false">I2209+H2210</f>
        <v>0.99797281726075</v>
      </c>
      <c r="J2210" s="37" t="n">
        <f aca="false">A2210/2840</f>
        <v>0.775704225352113</v>
      </c>
      <c r="K2210" s="32" t="str">
        <f aca="false">IF(I2210&lt;=$E$4,"A",IF(I2210&lt;=$E$5,"B","C"))</f>
        <v>C</v>
      </c>
    </row>
    <row r="2211" customFormat="false" ht="15" hidden="false" customHeight="false" outlineLevel="0" collapsed="false">
      <c r="A2211" s="32" t="n">
        <v>2204</v>
      </c>
      <c r="B2211" s="33" t="n">
        <v>864614</v>
      </c>
      <c r="C2211" s="34" t="s">
        <v>4494</v>
      </c>
      <c r="D2211" s="34" t="s">
        <v>4495</v>
      </c>
      <c r="E2211" s="34" t="s">
        <v>189</v>
      </c>
      <c r="F2211" s="32" t="n">
        <f aca="false">COUNTIF(Base!$D$2:$D$2878,B2211)</f>
        <v>1</v>
      </c>
      <c r="G2211" s="35" t="n">
        <f aca="false">SUMIF(Base!$D$2:$D$2878,B2211,Base!$I$2:$I$2878)</f>
        <v>112</v>
      </c>
      <c r="H2211" s="36" t="n">
        <f aca="false">IF($G$2849=0,0,G2211/$G$2849)</f>
        <v>7.34968934839731E-006</v>
      </c>
      <c r="I2211" s="37" t="n">
        <f aca="false">I2210+H2211</f>
        <v>0.997980166950098</v>
      </c>
      <c r="J2211" s="37" t="n">
        <f aca="false">A2211/2840</f>
        <v>0.776056338028169</v>
      </c>
      <c r="K2211" s="32" t="str">
        <f aca="false">IF(I2211&lt;=$E$4,"A",IF(I2211&lt;=$E$5,"B","C"))</f>
        <v>C</v>
      </c>
    </row>
    <row r="2212" customFormat="false" ht="15" hidden="false" customHeight="false" outlineLevel="0" collapsed="false">
      <c r="A2212" s="32" t="n">
        <v>2205</v>
      </c>
      <c r="B2212" s="33" t="n">
        <v>1598198</v>
      </c>
      <c r="C2212" s="34" t="s">
        <v>4496</v>
      </c>
      <c r="D2212" s="34" t="s">
        <v>4497</v>
      </c>
      <c r="E2212" s="34" t="s">
        <v>2056</v>
      </c>
      <c r="F2212" s="32" t="n">
        <f aca="false">COUNTIF(Base!$D$2:$D$2878,B2212)</f>
        <v>1</v>
      </c>
      <c r="G2212" s="35" t="n">
        <f aca="false">SUMIF(Base!$D$2:$D$2878,B2212,Base!$I$2:$I$2878)</f>
        <v>112</v>
      </c>
      <c r="H2212" s="36" t="n">
        <f aca="false">IF($G$2849=0,0,G2212/$G$2849)</f>
        <v>7.34968934839731E-006</v>
      </c>
      <c r="I2212" s="37" t="n">
        <f aca="false">I2211+H2212</f>
        <v>0.997987516639447</v>
      </c>
      <c r="J2212" s="37" t="n">
        <f aca="false">A2212/2840</f>
        <v>0.776408450704225</v>
      </c>
      <c r="K2212" s="32" t="str">
        <f aca="false">IF(I2212&lt;=$E$4,"A",IF(I2212&lt;=$E$5,"B","C"))</f>
        <v>C</v>
      </c>
    </row>
    <row r="2213" customFormat="false" ht="15" hidden="false" customHeight="false" outlineLevel="0" collapsed="false">
      <c r="A2213" s="32" t="n">
        <v>2206</v>
      </c>
      <c r="B2213" s="33" t="n">
        <v>19348</v>
      </c>
      <c r="C2213" s="34" t="s">
        <v>4498</v>
      </c>
      <c r="D2213" s="34" t="s">
        <v>4499</v>
      </c>
      <c r="E2213" s="34" t="s">
        <v>1095</v>
      </c>
      <c r="F2213" s="32" t="n">
        <f aca="false">COUNTIF(Base!$D$2:$D$2878,B2213)</f>
        <v>1</v>
      </c>
      <c r="G2213" s="35" t="n">
        <f aca="false">SUMIF(Base!$D$2:$D$2878,B2213,Base!$I$2:$I$2878)</f>
        <v>111.6005</v>
      </c>
      <c r="H2213" s="36" t="n">
        <f aca="false">IF($G$2849=0,0,G2213/$G$2849)</f>
        <v>7.32347326898049E-006</v>
      </c>
      <c r="I2213" s="37" t="n">
        <f aca="false">I2212+H2213</f>
        <v>0.997994840112716</v>
      </c>
      <c r="J2213" s="37" t="n">
        <f aca="false">A2213/2840</f>
        <v>0.776760563380282</v>
      </c>
      <c r="K2213" s="32" t="str">
        <f aca="false">IF(I2213&lt;=$E$4,"A",IF(I2213&lt;=$E$5,"B","C"))</f>
        <v>C</v>
      </c>
    </row>
    <row r="2214" customFormat="false" ht="15" hidden="false" customHeight="false" outlineLevel="0" collapsed="false">
      <c r="A2214" s="32" t="n">
        <v>2207</v>
      </c>
      <c r="B2214" s="33" t="n">
        <v>18018</v>
      </c>
      <c r="C2214" s="34" t="s">
        <v>4500</v>
      </c>
      <c r="D2214" s="34" t="s">
        <v>4501</v>
      </c>
      <c r="E2214" s="34" t="s">
        <v>130</v>
      </c>
      <c r="F2214" s="32" t="n">
        <f aca="false">COUNTIF(Base!$D$2:$D$2878,B2214)</f>
        <v>1</v>
      </c>
      <c r="G2214" s="35" t="n">
        <f aca="false">SUMIF(Base!$D$2:$D$2878,B2214,Base!$I$2:$I$2878)</f>
        <v>111.15</v>
      </c>
      <c r="H2214" s="36" t="n">
        <f aca="false">IF($G$2849=0,0,G2214/$G$2849)</f>
        <v>7.29391045602109E-006</v>
      </c>
      <c r="I2214" s="37" t="n">
        <f aca="false">I2213+H2214</f>
        <v>0.998002134023172</v>
      </c>
      <c r="J2214" s="37" t="n">
        <f aca="false">A2214/2840</f>
        <v>0.777112676056338</v>
      </c>
      <c r="K2214" s="32" t="str">
        <f aca="false">IF(I2214&lt;=$E$4,"A",IF(I2214&lt;=$E$5,"B","C"))</f>
        <v>C</v>
      </c>
    </row>
    <row r="2215" customFormat="false" ht="15" hidden="false" customHeight="false" outlineLevel="0" collapsed="false">
      <c r="A2215" s="32" t="n">
        <v>2208</v>
      </c>
      <c r="B2215" s="33" t="n">
        <v>24133</v>
      </c>
      <c r="C2215" s="34" t="s">
        <v>4502</v>
      </c>
      <c r="D2215" s="34" t="s">
        <v>4503</v>
      </c>
      <c r="E2215" s="34" t="s">
        <v>130</v>
      </c>
      <c r="F2215" s="32" t="n">
        <f aca="false">COUNTIF(Base!$D$2:$D$2878,B2215)</f>
        <v>1</v>
      </c>
      <c r="G2215" s="35" t="n">
        <f aca="false">SUMIF(Base!$D$2:$D$2878,B2215,Base!$I$2:$I$2878)</f>
        <v>111</v>
      </c>
      <c r="H2215" s="36" t="n">
        <f aca="false">IF($G$2849=0,0,G2215/$G$2849)</f>
        <v>7.28406712207234E-006</v>
      </c>
      <c r="I2215" s="37" t="n">
        <f aca="false">I2214+H2215</f>
        <v>0.998009418090294</v>
      </c>
      <c r="J2215" s="37" t="n">
        <f aca="false">A2215/2840</f>
        <v>0.777464788732394</v>
      </c>
      <c r="K2215" s="32" t="str">
        <f aca="false">IF(I2215&lt;=$E$4,"A",IF(I2215&lt;=$E$5,"B","C"))</f>
        <v>C</v>
      </c>
    </row>
    <row r="2216" customFormat="false" ht="15" hidden="false" customHeight="false" outlineLevel="0" collapsed="false">
      <c r="A2216" s="32" t="n">
        <v>2209</v>
      </c>
      <c r="B2216" s="33" t="n">
        <v>1607594</v>
      </c>
      <c r="C2216" s="34" t="s">
        <v>4504</v>
      </c>
      <c r="D2216" s="34" t="s">
        <v>4505</v>
      </c>
      <c r="E2216" s="34" t="s">
        <v>38</v>
      </c>
      <c r="F2216" s="32" t="n">
        <f aca="false">COUNTIF(Base!$D$2:$D$2878,B2216)</f>
        <v>1</v>
      </c>
      <c r="G2216" s="35" t="n">
        <f aca="false">SUMIF(Base!$D$2:$D$2878,B2216,Base!$I$2:$I$2878)</f>
        <v>110.34</v>
      </c>
      <c r="H2216" s="36" t="n">
        <f aca="false">IF($G$2849=0,0,G2216/$G$2849)</f>
        <v>7.24075645269785E-006</v>
      </c>
      <c r="I2216" s="37" t="n">
        <f aca="false">I2215+H2216</f>
        <v>0.998016658846747</v>
      </c>
      <c r="J2216" s="37" t="n">
        <f aca="false">A2216/2840</f>
        <v>0.777816901408451</v>
      </c>
      <c r="K2216" s="32" t="str">
        <f aca="false">IF(I2216&lt;=$E$4,"A",IF(I2216&lt;=$E$5,"B","C"))</f>
        <v>C</v>
      </c>
    </row>
    <row r="2217" customFormat="false" ht="15" hidden="false" customHeight="false" outlineLevel="0" collapsed="false">
      <c r="A2217" s="32" t="n">
        <v>2210</v>
      </c>
      <c r="B2217" s="33" t="n">
        <v>1485750</v>
      </c>
      <c r="C2217" s="34" t="s">
        <v>4506</v>
      </c>
      <c r="D2217" s="34" t="s">
        <v>4507</v>
      </c>
      <c r="E2217" s="34" t="s">
        <v>38</v>
      </c>
      <c r="F2217" s="32" t="n">
        <f aca="false">COUNTIF(Base!$D$2:$D$2878,B2217)</f>
        <v>1</v>
      </c>
      <c r="G2217" s="35" t="n">
        <f aca="false">SUMIF(Base!$D$2:$D$2878,B2217,Base!$I$2:$I$2878)</f>
        <v>110.08</v>
      </c>
      <c r="H2217" s="36" t="n">
        <f aca="false">IF($G$2849=0,0,G2217/$G$2849)</f>
        <v>7.22369467385336E-006</v>
      </c>
      <c r="I2217" s="37" t="n">
        <f aca="false">I2216+H2217</f>
        <v>0.99802388254142</v>
      </c>
      <c r="J2217" s="37" t="n">
        <f aca="false">A2217/2840</f>
        <v>0.778169014084507</v>
      </c>
      <c r="K2217" s="32" t="str">
        <f aca="false">IF(I2217&lt;=$E$4,"A",IF(I2217&lt;=$E$5,"B","C"))</f>
        <v>C</v>
      </c>
    </row>
    <row r="2218" customFormat="false" ht="15" hidden="false" customHeight="false" outlineLevel="0" collapsed="false">
      <c r="A2218" s="32" t="n">
        <v>2211</v>
      </c>
      <c r="B2218" s="33" t="n">
        <v>887578</v>
      </c>
      <c r="C2218" s="34" t="s">
        <v>4508</v>
      </c>
      <c r="D2218" s="34" t="s">
        <v>4509</v>
      </c>
      <c r="E2218" s="34" t="s">
        <v>54</v>
      </c>
      <c r="F2218" s="32" t="n">
        <f aca="false">COUNTIF(Base!$D$2:$D$2878,B2218)</f>
        <v>1</v>
      </c>
      <c r="G2218" s="35" t="n">
        <f aca="false">SUMIF(Base!$D$2:$D$2878,B2218,Base!$I$2:$I$2878)</f>
        <v>110</v>
      </c>
      <c r="H2218" s="36" t="n">
        <f aca="false">IF($G$2849=0,0,G2218/$G$2849)</f>
        <v>7.21844489574736E-006</v>
      </c>
      <c r="I2218" s="37" t="n">
        <f aca="false">I2217+H2218</f>
        <v>0.998031100986316</v>
      </c>
      <c r="J2218" s="37" t="n">
        <f aca="false">A2218/2840</f>
        <v>0.778521126760563</v>
      </c>
      <c r="K2218" s="32" t="str">
        <f aca="false">IF(I2218&lt;=$E$4,"A",IF(I2218&lt;=$E$5,"B","C"))</f>
        <v>C</v>
      </c>
    </row>
    <row r="2219" customFormat="false" ht="15" hidden="false" customHeight="false" outlineLevel="0" collapsed="false">
      <c r="A2219" s="32" t="n">
        <v>2212</v>
      </c>
      <c r="B2219" s="33" t="n">
        <v>293977</v>
      </c>
      <c r="C2219" s="34" t="s">
        <v>4510</v>
      </c>
      <c r="D2219" s="34" t="s">
        <v>4511</v>
      </c>
      <c r="E2219" s="34" t="s">
        <v>54</v>
      </c>
      <c r="F2219" s="32" t="n">
        <f aca="false">COUNTIF(Base!$D$2:$D$2878,B2219)</f>
        <v>1</v>
      </c>
      <c r="G2219" s="35" t="n">
        <f aca="false">SUMIF(Base!$D$2:$D$2878,B2219,Base!$I$2:$I$2878)</f>
        <v>109.72</v>
      </c>
      <c r="H2219" s="36" t="n">
        <f aca="false">IF($G$2849=0,0,G2219/$G$2849)</f>
        <v>7.20007067237637E-006</v>
      </c>
      <c r="I2219" s="37" t="n">
        <f aca="false">I2218+H2219</f>
        <v>0.998038301056988</v>
      </c>
      <c r="J2219" s="37" t="n">
        <f aca="false">A2219/2840</f>
        <v>0.77887323943662</v>
      </c>
      <c r="K2219" s="32" t="str">
        <f aca="false">IF(I2219&lt;=$E$4,"A",IF(I2219&lt;=$E$5,"B","C"))</f>
        <v>C</v>
      </c>
    </row>
    <row r="2220" customFormat="false" ht="15" hidden="false" customHeight="false" outlineLevel="0" collapsed="false">
      <c r="A2220" s="32" t="n">
        <v>2213</v>
      </c>
      <c r="B2220" s="33" t="n">
        <v>19377</v>
      </c>
      <c r="C2220" s="34" t="s">
        <v>4512</v>
      </c>
      <c r="D2220" s="34" t="s">
        <v>4513</v>
      </c>
      <c r="E2220" s="34" t="s">
        <v>1095</v>
      </c>
      <c r="F2220" s="32" t="n">
        <f aca="false">COUNTIF(Base!$D$2:$D$2878,B2220)</f>
        <v>1</v>
      </c>
      <c r="G2220" s="35" t="n">
        <f aca="false">SUMIF(Base!$D$2:$D$2878,B2220,Base!$I$2:$I$2878)</f>
        <v>109.5413</v>
      </c>
      <c r="H2220" s="36" t="n">
        <f aca="false">IF($G$2849=0,0,G2220/$G$2849)</f>
        <v>7.1883439805321E-006</v>
      </c>
      <c r="I2220" s="37" t="n">
        <f aca="false">I2219+H2220</f>
        <v>0.998045489400969</v>
      </c>
      <c r="J2220" s="37" t="n">
        <f aca="false">A2220/2840</f>
        <v>0.779225352112676</v>
      </c>
      <c r="K2220" s="32" t="str">
        <f aca="false">IF(I2220&lt;=$E$4,"A",IF(I2220&lt;=$E$5,"B","C"))</f>
        <v>C</v>
      </c>
    </row>
    <row r="2221" customFormat="false" ht="15" hidden="false" customHeight="false" outlineLevel="0" collapsed="false">
      <c r="A2221" s="32" t="n">
        <v>2214</v>
      </c>
      <c r="B2221" s="33" t="n">
        <v>1113634</v>
      </c>
      <c r="C2221" s="34" t="s">
        <v>4514</v>
      </c>
      <c r="D2221" s="34" t="s">
        <v>4515</v>
      </c>
      <c r="E2221" s="34" t="s">
        <v>38</v>
      </c>
      <c r="F2221" s="32" t="n">
        <f aca="false">COUNTIF(Base!$D$2:$D$2878,B2221)</f>
        <v>1</v>
      </c>
      <c r="G2221" s="35" t="n">
        <f aca="false">SUMIF(Base!$D$2:$D$2878,B2221,Base!$I$2:$I$2878)</f>
        <v>109.45</v>
      </c>
      <c r="H2221" s="36" t="n">
        <f aca="false">IF($G$2849=0,0,G2221/$G$2849)</f>
        <v>7.18235267126863E-006</v>
      </c>
      <c r="I2221" s="37" t="n">
        <f aca="false">I2220+H2221</f>
        <v>0.99805267175364</v>
      </c>
      <c r="J2221" s="37" t="n">
        <f aca="false">A2221/2840</f>
        <v>0.779577464788732</v>
      </c>
      <c r="K2221" s="32" t="str">
        <f aca="false">IF(I2221&lt;=$E$4,"A",IF(I2221&lt;=$E$5,"B","C"))</f>
        <v>C</v>
      </c>
    </row>
    <row r="2222" customFormat="false" ht="15" hidden="false" customHeight="false" outlineLevel="0" collapsed="false">
      <c r="A2222" s="32" t="n">
        <v>2215</v>
      </c>
      <c r="B2222" s="33" t="n">
        <v>349917</v>
      </c>
      <c r="C2222" s="34" t="s">
        <v>4516</v>
      </c>
      <c r="D2222" s="34" t="s">
        <v>4517</v>
      </c>
      <c r="E2222" s="34" t="s">
        <v>35</v>
      </c>
      <c r="F2222" s="32" t="n">
        <f aca="false">COUNTIF(Base!$D$2:$D$2878,B2222)</f>
        <v>1</v>
      </c>
      <c r="G2222" s="35" t="n">
        <f aca="false">SUMIF(Base!$D$2:$D$2878,B2222,Base!$I$2:$I$2878)</f>
        <v>109.25</v>
      </c>
      <c r="H2222" s="36" t="n">
        <f aca="false">IF($G$2849=0,0,G2222/$G$2849)</f>
        <v>7.16922822600363E-006</v>
      </c>
      <c r="I2222" s="37" t="n">
        <f aca="false">I2221+H2222</f>
        <v>0.998059840981866</v>
      </c>
      <c r="J2222" s="37" t="n">
        <f aca="false">A2222/2840</f>
        <v>0.779929577464789</v>
      </c>
      <c r="K2222" s="32" t="str">
        <f aca="false">IF(I2222&lt;=$E$4,"A",IF(I2222&lt;=$E$5,"B","C"))</f>
        <v>C</v>
      </c>
    </row>
    <row r="2223" customFormat="false" ht="15" hidden="false" customHeight="false" outlineLevel="0" collapsed="false">
      <c r="A2223" s="32" t="n">
        <v>2216</v>
      </c>
      <c r="B2223" s="33" t="n">
        <v>1485245</v>
      </c>
      <c r="C2223" s="34" t="s">
        <v>4518</v>
      </c>
      <c r="D2223" s="34" t="s">
        <v>4519</v>
      </c>
      <c r="E2223" s="34" t="s">
        <v>133</v>
      </c>
      <c r="F2223" s="32" t="n">
        <f aca="false">COUNTIF(Base!$D$2:$D$2878,B2223)</f>
        <v>1</v>
      </c>
      <c r="G2223" s="35" t="n">
        <f aca="false">SUMIF(Base!$D$2:$D$2878,B2223,Base!$I$2:$I$2878)</f>
        <v>109.25</v>
      </c>
      <c r="H2223" s="36" t="n">
        <f aca="false">IF($G$2849=0,0,G2223/$G$2849)</f>
        <v>7.16922822600363E-006</v>
      </c>
      <c r="I2223" s="37" t="n">
        <f aca="false">I2222+H2223</f>
        <v>0.998067010210092</v>
      </c>
      <c r="J2223" s="37" t="n">
        <f aca="false">A2223/2840</f>
        <v>0.780281690140845</v>
      </c>
      <c r="K2223" s="32" t="str">
        <f aca="false">IF(I2223&lt;=$E$4,"A",IF(I2223&lt;=$E$5,"B","C"))</f>
        <v>C</v>
      </c>
    </row>
    <row r="2224" customFormat="false" ht="15" hidden="false" customHeight="false" outlineLevel="0" collapsed="false">
      <c r="A2224" s="32" t="n">
        <v>2217</v>
      </c>
      <c r="B2224" s="33" t="n">
        <v>17351</v>
      </c>
      <c r="C2224" s="34" t="s">
        <v>4520</v>
      </c>
      <c r="D2224" s="34" t="s">
        <v>4521</v>
      </c>
      <c r="E2224" s="34" t="s">
        <v>100</v>
      </c>
      <c r="F2224" s="32" t="n">
        <f aca="false">COUNTIF(Base!$D$2:$D$2878,B2224)</f>
        <v>1</v>
      </c>
      <c r="G2224" s="35" t="n">
        <f aca="false">SUMIF(Base!$D$2:$D$2878,B2224,Base!$I$2:$I$2878)</f>
        <v>108.88</v>
      </c>
      <c r="H2224" s="36" t="n">
        <f aca="false">IF($G$2849=0,0,G2224/$G$2849)</f>
        <v>7.14494800226339E-006</v>
      </c>
      <c r="I2224" s="37" t="n">
        <f aca="false">I2223+H2224</f>
        <v>0.998074155158094</v>
      </c>
      <c r="J2224" s="37" t="n">
        <f aca="false">A2224/2840</f>
        <v>0.780633802816901</v>
      </c>
      <c r="K2224" s="32" t="str">
        <f aca="false">IF(I2224&lt;=$E$4,"A",IF(I2224&lt;=$E$5,"B","C"))</f>
        <v>C</v>
      </c>
    </row>
    <row r="2225" customFormat="false" ht="15" hidden="false" customHeight="false" outlineLevel="0" collapsed="false">
      <c r="A2225" s="32" t="n">
        <v>2218</v>
      </c>
      <c r="B2225" s="33" t="n">
        <v>876708</v>
      </c>
      <c r="C2225" s="34" t="s">
        <v>4522</v>
      </c>
      <c r="D2225" s="34" t="s">
        <v>4523</v>
      </c>
      <c r="E2225" s="34" t="s">
        <v>457</v>
      </c>
      <c r="F2225" s="32" t="n">
        <f aca="false">COUNTIF(Base!$D$2:$D$2878,B2225)</f>
        <v>1</v>
      </c>
      <c r="G2225" s="35" t="n">
        <f aca="false">SUMIF(Base!$D$2:$D$2878,B2225,Base!$I$2:$I$2878)</f>
        <v>108.3</v>
      </c>
      <c r="H2225" s="36" t="n">
        <f aca="false">IF($G$2849=0,0,G2225/$G$2849)</f>
        <v>7.1068871109949E-006</v>
      </c>
      <c r="I2225" s="37" t="n">
        <f aca="false">I2224+H2225</f>
        <v>0.998081262045205</v>
      </c>
      <c r="J2225" s="37" t="n">
        <f aca="false">A2225/2840</f>
        <v>0.780985915492958</v>
      </c>
      <c r="K2225" s="32" t="str">
        <f aca="false">IF(I2225&lt;=$E$4,"A",IF(I2225&lt;=$E$5,"B","C"))</f>
        <v>C</v>
      </c>
    </row>
    <row r="2226" customFormat="false" ht="15" hidden="false" customHeight="false" outlineLevel="0" collapsed="false">
      <c r="A2226" s="32" t="n">
        <v>2219</v>
      </c>
      <c r="B2226" s="33" t="n">
        <v>58875</v>
      </c>
      <c r="C2226" s="34" t="s">
        <v>4524</v>
      </c>
      <c r="D2226" s="34" t="s">
        <v>4525</v>
      </c>
      <c r="E2226" s="34" t="s">
        <v>130</v>
      </c>
      <c r="F2226" s="32" t="n">
        <f aca="false">COUNTIF(Base!$D$2:$D$2878,B2226)</f>
        <v>1</v>
      </c>
      <c r="G2226" s="35" t="n">
        <f aca="false">SUMIF(Base!$D$2:$D$2878,B2226,Base!$I$2:$I$2878)</f>
        <v>108</v>
      </c>
      <c r="H2226" s="36" t="n">
        <f aca="false">IF($G$2849=0,0,G2226/$G$2849)</f>
        <v>7.08720044309741E-006</v>
      </c>
      <c r="I2226" s="37" t="n">
        <f aca="false">I2225+H2226</f>
        <v>0.998088349245649</v>
      </c>
      <c r="J2226" s="37" t="n">
        <f aca="false">A2226/2840</f>
        <v>0.781338028169014</v>
      </c>
      <c r="K2226" s="32" t="str">
        <f aca="false">IF(I2226&lt;=$E$4,"A",IF(I2226&lt;=$E$5,"B","C"))</f>
        <v>C</v>
      </c>
    </row>
    <row r="2227" customFormat="false" ht="15" hidden="false" customHeight="false" outlineLevel="0" collapsed="false">
      <c r="A2227" s="32" t="n">
        <v>2220</v>
      </c>
      <c r="B2227" s="33" t="n">
        <v>1467156</v>
      </c>
      <c r="C2227" s="34" t="s">
        <v>4526</v>
      </c>
      <c r="D2227" s="34" t="s">
        <v>4527</v>
      </c>
      <c r="E2227" s="34" t="s">
        <v>189</v>
      </c>
      <c r="F2227" s="32" t="n">
        <f aca="false">COUNTIF(Base!$D$2:$D$2878,B2227)</f>
        <v>1</v>
      </c>
      <c r="G2227" s="35" t="n">
        <f aca="false">SUMIF(Base!$D$2:$D$2878,B2227,Base!$I$2:$I$2878)</f>
        <v>108</v>
      </c>
      <c r="H2227" s="36" t="n">
        <f aca="false">IF($G$2849=0,0,G2227/$G$2849)</f>
        <v>7.08720044309741E-006</v>
      </c>
      <c r="I2227" s="37" t="n">
        <f aca="false">I2226+H2227</f>
        <v>0.998095436446092</v>
      </c>
      <c r="J2227" s="37" t="n">
        <f aca="false">A2227/2840</f>
        <v>0.78169014084507</v>
      </c>
      <c r="K2227" s="32" t="str">
        <f aca="false">IF(I2227&lt;=$E$4,"A",IF(I2227&lt;=$E$5,"B","C"))</f>
        <v>C</v>
      </c>
    </row>
    <row r="2228" customFormat="false" ht="15" hidden="false" customHeight="false" outlineLevel="0" collapsed="false">
      <c r="A2228" s="32" t="n">
        <v>2221</v>
      </c>
      <c r="B2228" s="33" t="n">
        <v>1383737</v>
      </c>
      <c r="C2228" s="34" t="s">
        <v>4528</v>
      </c>
      <c r="D2228" s="34" t="s">
        <v>4529</v>
      </c>
      <c r="E2228" s="34" t="s">
        <v>38</v>
      </c>
      <c r="F2228" s="32" t="n">
        <f aca="false">COUNTIF(Base!$D$2:$D$2878,B2228)</f>
        <v>1</v>
      </c>
      <c r="G2228" s="35" t="n">
        <f aca="false">SUMIF(Base!$D$2:$D$2878,B2228,Base!$I$2:$I$2878)</f>
        <v>107.32</v>
      </c>
      <c r="H2228" s="36" t="n">
        <f aca="false">IF($G$2849=0,0,G2228/$G$2849)</f>
        <v>7.04257732919643E-006</v>
      </c>
      <c r="I2228" s="37" t="n">
        <f aca="false">I2227+H2228</f>
        <v>0.998102479023421</v>
      </c>
      <c r="J2228" s="37" t="n">
        <f aca="false">A2228/2840</f>
        <v>0.782042253521127</v>
      </c>
      <c r="K2228" s="32" t="str">
        <f aca="false">IF(I2228&lt;=$E$4,"A",IF(I2228&lt;=$E$5,"B","C"))</f>
        <v>C</v>
      </c>
    </row>
    <row r="2229" customFormat="false" ht="15" hidden="false" customHeight="false" outlineLevel="0" collapsed="false">
      <c r="A2229" s="32" t="n">
        <v>2222</v>
      </c>
      <c r="B2229" s="33" t="n">
        <v>1379884</v>
      </c>
      <c r="C2229" s="34" t="s">
        <v>4530</v>
      </c>
      <c r="D2229" s="34" t="s">
        <v>4531</v>
      </c>
      <c r="E2229" s="34" t="s">
        <v>38</v>
      </c>
      <c r="F2229" s="32" t="n">
        <f aca="false">COUNTIF(Base!$D$2:$D$2878,B2229)</f>
        <v>1</v>
      </c>
      <c r="G2229" s="35" t="n">
        <f aca="false">SUMIF(Base!$D$2:$D$2878,B2229,Base!$I$2:$I$2878)</f>
        <v>106.4</v>
      </c>
      <c r="H2229" s="36" t="n">
        <f aca="false">IF($G$2849=0,0,G2229/$G$2849)</f>
        <v>6.98220488097745E-006</v>
      </c>
      <c r="I2229" s="37" t="n">
        <f aca="false">I2228+H2229</f>
        <v>0.998109461228302</v>
      </c>
      <c r="J2229" s="37" t="n">
        <f aca="false">A2229/2840</f>
        <v>0.782394366197183</v>
      </c>
      <c r="K2229" s="32" t="str">
        <f aca="false">IF(I2229&lt;=$E$4,"A",IF(I2229&lt;=$E$5,"B","C"))</f>
        <v>C</v>
      </c>
    </row>
    <row r="2230" customFormat="false" ht="15" hidden="false" customHeight="false" outlineLevel="0" collapsed="false">
      <c r="A2230" s="32" t="n">
        <v>2223</v>
      </c>
      <c r="B2230" s="33" t="n">
        <v>1465304</v>
      </c>
      <c r="C2230" s="34" t="s">
        <v>4532</v>
      </c>
      <c r="D2230" s="34" t="s">
        <v>4533</v>
      </c>
      <c r="E2230" s="34" t="s">
        <v>100</v>
      </c>
      <c r="F2230" s="32" t="n">
        <f aca="false">COUNTIF(Base!$D$2:$D$2878,B2230)</f>
        <v>1</v>
      </c>
      <c r="G2230" s="35" t="n">
        <f aca="false">SUMIF(Base!$D$2:$D$2878,B2230,Base!$I$2:$I$2878)</f>
        <v>106.28</v>
      </c>
      <c r="H2230" s="36" t="n">
        <f aca="false">IF($G$2849=0,0,G2230/$G$2849)</f>
        <v>6.97433021381845E-006</v>
      </c>
      <c r="I2230" s="37" t="n">
        <f aca="false">I2229+H2230</f>
        <v>0.998116435558516</v>
      </c>
      <c r="J2230" s="37" t="n">
        <f aca="false">A2230/2840</f>
        <v>0.782746478873239</v>
      </c>
      <c r="K2230" s="32" t="str">
        <f aca="false">IF(I2230&lt;=$E$4,"A",IF(I2230&lt;=$E$5,"B","C"))</f>
        <v>C</v>
      </c>
    </row>
    <row r="2231" customFormat="false" ht="15" hidden="false" customHeight="false" outlineLevel="0" collapsed="false">
      <c r="A2231" s="32" t="n">
        <v>2224</v>
      </c>
      <c r="B2231" s="33" t="n">
        <v>19319</v>
      </c>
      <c r="C2231" s="34" t="s">
        <v>4534</v>
      </c>
      <c r="D2231" s="34" t="s">
        <v>4535</v>
      </c>
      <c r="E2231" s="34" t="s">
        <v>1095</v>
      </c>
      <c r="F2231" s="32" t="n">
        <f aca="false">COUNTIF(Base!$D$2:$D$2878,B2231)</f>
        <v>1</v>
      </c>
      <c r="G2231" s="35" t="n">
        <f aca="false">SUMIF(Base!$D$2:$D$2878,B2231,Base!$I$2:$I$2878)</f>
        <v>106</v>
      </c>
      <c r="H2231" s="36" t="n">
        <f aca="false">IF($G$2849=0,0,G2231/$G$2849)</f>
        <v>6.95595599044746E-006</v>
      </c>
      <c r="I2231" s="37" t="n">
        <f aca="false">I2230+H2231</f>
        <v>0.998123391514506</v>
      </c>
      <c r="J2231" s="37" t="n">
        <f aca="false">A2231/2840</f>
        <v>0.783098591549296</v>
      </c>
      <c r="K2231" s="32" t="str">
        <f aca="false">IF(I2231&lt;=$E$4,"A",IF(I2231&lt;=$E$5,"B","C"))</f>
        <v>C</v>
      </c>
    </row>
    <row r="2232" customFormat="false" ht="15" hidden="false" customHeight="false" outlineLevel="0" collapsed="false">
      <c r="A2232" s="32" t="n">
        <v>2225</v>
      </c>
      <c r="B2232" s="33" t="n">
        <v>55066</v>
      </c>
      <c r="C2232" s="34" t="s">
        <v>4536</v>
      </c>
      <c r="D2232" s="34" t="s">
        <v>4537</v>
      </c>
      <c r="E2232" s="34" t="s">
        <v>38</v>
      </c>
      <c r="F2232" s="32" t="n">
        <f aca="false">COUNTIF(Base!$D$2:$D$2878,B2232)</f>
        <v>1</v>
      </c>
      <c r="G2232" s="35" t="n">
        <f aca="false">SUMIF(Base!$D$2:$D$2878,B2232,Base!$I$2:$I$2878)</f>
        <v>105.6</v>
      </c>
      <c r="H2232" s="36" t="n">
        <f aca="false">IF($G$2849=0,0,G2232/$G$2849)</f>
        <v>6.92970709991747E-006</v>
      </c>
      <c r="I2232" s="37" t="n">
        <f aca="false">I2231+H2232</f>
        <v>0.998130321221606</v>
      </c>
      <c r="J2232" s="37" t="n">
        <f aca="false">A2232/2840</f>
        <v>0.783450704225352</v>
      </c>
      <c r="K2232" s="32" t="str">
        <f aca="false">IF(I2232&lt;=$E$4,"A",IF(I2232&lt;=$E$5,"B","C"))</f>
        <v>C</v>
      </c>
    </row>
    <row r="2233" customFormat="false" ht="15" hidden="false" customHeight="false" outlineLevel="0" collapsed="false">
      <c r="A2233" s="32" t="n">
        <v>2226</v>
      </c>
      <c r="B2233" s="33" t="n">
        <v>55067</v>
      </c>
      <c r="C2233" s="34" t="s">
        <v>4538</v>
      </c>
      <c r="D2233" s="34" t="s">
        <v>4539</v>
      </c>
      <c r="E2233" s="34" t="s">
        <v>38</v>
      </c>
      <c r="F2233" s="32" t="n">
        <f aca="false">COUNTIF(Base!$D$2:$D$2878,B2233)</f>
        <v>1</v>
      </c>
      <c r="G2233" s="35" t="n">
        <f aca="false">SUMIF(Base!$D$2:$D$2878,B2233,Base!$I$2:$I$2878)</f>
        <v>105.6</v>
      </c>
      <c r="H2233" s="36" t="n">
        <f aca="false">IF($G$2849=0,0,G2233/$G$2849)</f>
        <v>6.92970709991747E-006</v>
      </c>
      <c r="I2233" s="37" t="n">
        <f aca="false">I2232+H2233</f>
        <v>0.998137250928706</v>
      </c>
      <c r="J2233" s="37" t="n">
        <f aca="false">A2233/2840</f>
        <v>0.783802816901408</v>
      </c>
      <c r="K2233" s="32" t="str">
        <f aca="false">IF(I2233&lt;=$E$4,"A",IF(I2233&lt;=$E$5,"B","C"))</f>
        <v>C</v>
      </c>
    </row>
    <row r="2234" customFormat="false" ht="15" hidden="false" customHeight="false" outlineLevel="0" collapsed="false">
      <c r="A2234" s="32" t="n">
        <v>2227</v>
      </c>
      <c r="B2234" s="33" t="n">
        <v>23440</v>
      </c>
      <c r="C2234" s="34" t="s">
        <v>4540</v>
      </c>
      <c r="D2234" s="34" t="s">
        <v>4541</v>
      </c>
      <c r="E2234" s="34" t="s">
        <v>1618</v>
      </c>
      <c r="F2234" s="32" t="n">
        <f aca="false">COUNTIF(Base!$D$2:$D$2878,B2234)</f>
        <v>1</v>
      </c>
      <c r="G2234" s="35" t="n">
        <f aca="false">SUMIF(Base!$D$2:$D$2878,B2234,Base!$I$2:$I$2878)</f>
        <v>105.45</v>
      </c>
      <c r="H2234" s="36" t="n">
        <f aca="false">IF($G$2849=0,0,G2234/$G$2849)</f>
        <v>6.91986376596872E-006</v>
      </c>
      <c r="I2234" s="37" t="n">
        <f aca="false">I2233+H2234</f>
        <v>0.998144170792472</v>
      </c>
      <c r="J2234" s="37" t="n">
        <f aca="false">A2234/2840</f>
        <v>0.784154929577465</v>
      </c>
      <c r="K2234" s="32" t="str">
        <f aca="false">IF(I2234&lt;=$E$4,"A",IF(I2234&lt;=$E$5,"B","C"))</f>
        <v>C</v>
      </c>
    </row>
    <row r="2235" customFormat="false" ht="15" hidden="false" customHeight="false" outlineLevel="0" collapsed="false">
      <c r="A2235" s="32" t="n">
        <v>2228</v>
      </c>
      <c r="B2235" s="33" t="n">
        <v>21297</v>
      </c>
      <c r="C2235" s="34" t="s">
        <v>4542</v>
      </c>
      <c r="D2235" s="34" t="s">
        <v>4543</v>
      </c>
      <c r="E2235" s="34" t="s">
        <v>130</v>
      </c>
      <c r="F2235" s="32" t="n">
        <f aca="false">COUNTIF(Base!$D$2:$D$2878,B2235)</f>
        <v>2</v>
      </c>
      <c r="G2235" s="35" t="n">
        <f aca="false">SUMIF(Base!$D$2:$D$2878,B2235,Base!$I$2:$I$2878)</f>
        <v>105.44</v>
      </c>
      <c r="H2235" s="36" t="n">
        <f aca="false">IF($G$2849=0,0,G2235/$G$2849)</f>
        <v>6.91920754370547E-006</v>
      </c>
      <c r="I2235" s="37" t="n">
        <f aca="false">I2234+H2235</f>
        <v>0.998151090000016</v>
      </c>
      <c r="J2235" s="37" t="n">
        <f aca="false">A2235/2840</f>
        <v>0.784507042253521</v>
      </c>
      <c r="K2235" s="32" t="str">
        <f aca="false">IF(I2235&lt;=$E$4,"A",IF(I2235&lt;=$E$5,"B","C"))</f>
        <v>C</v>
      </c>
    </row>
    <row r="2236" customFormat="false" ht="15" hidden="false" customHeight="false" outlineLevel="0" collapsed="false">
      <c r="A2236" s="32" t="n">
        <v>2229</v>
      </c>
      <c r="B2236" s="33" t="n">
        <v>731251</v>
      </c>
      <c r="C2236" s="34" t="s">
        <v>4544</v>
      </c>
      <c r="D2236" s="34" t="s">
        <v>4545</v>
      </c>
      <c r="E2236" s="34" t="s">
        <v>100</v>
      </c>
      <c r="F2236" s="32" t="n">
        <f aca="false">COUNTIF(Base!$D$2:$D$2878,B2236)</f>
        <v>1</v>
      </c>
      <c r="G2236" s="35" t="n">
        <f aca="false">SUMIF(Base!$D$2:$D$2878,B2236,Base!$I$2:$I$2878)</f>
        <v>105</v>
      </c>
      <c r="H2236" s="36" t="n">
        <f aca="false">IF($G$2849=0,0,G2236/$G$2849)</f>
        <v>6.89033376412248E-006</v>
      </c>
      <c r="I2236" s="37" t="n">
        <f aca="false">I2235+H2236</f>
        <v>0.99815798033378</v>
      </c>
      <c r="J2236" s="37" t="n">
        <f aca="false">A2236/2840</f>
        <v>0.784859154929578</v>
      </c>
      <c r="K2236" s="32" t="str">
        <f aca="false">IF(I2236&lt;=$E$4,"A",IF(I2236&lt;=$E$5,"B","C"))</f>
        <v>C</v>
      </c>
    </row>
    <row r="2237" customFormat="false" ht="15" hidden="false" customHeight="false" outlineLevel="0" collapsed="false">
      <c r="A2237" s="32" t="n">
        <v>2230</v>
      </c>
      <c r="B2237" s="33" t="n">
        <v>18786</v>
      </c>
      <c r="C2237" s="34" t="s">
        <v>4546</v>
      </c>
      <c r="D2237" s="34" t="s">
        <v>4547</v>
      </c>
      <c r="E2237" s="34" t="s">
        <v>262</v>
      </c>
      <c r="F2237" s="32" t="n">
        <f aca="false">COUNTIF(Base!$D$2:$D$2878,B2237)</f>
        <v>1</v>
      </c>
      <c r="G2237" s="35" t="n">
        <f aca="false">SUMIF(Base!$D$2:$D$2878,B2237,Base!$I$2:$I$2878)</f>
        <v>104.72</v>
      </c>
      <c r="H2237" s="36" t="n">
        <f aca="false">IF($G$2849=0,0,G2237/$G$2849)</f>
        <v>6.87195954075149E-006</v>
      </c>
      <c r="I2237" s="37" t="n">
        <f aca="false">I2236+H2237</f>
        <v>0.99816485229332</v>
      </c>
      <c r="J2237" s="37" t="n">
        <f aca="false">A2237/2840</f>
        <v>0.785211267605634</v>
      </c>
      <c r="K2237" s="32" t="str">
        <f aca="false">IF(I2237&lt;=$E$4,"A",IF(I2237&lt;=$E$5,"B","C"))</f>
        <v>C</v>
      </c>
    </row>
    <row r="2238" customFormat="false" ht="15" hidden="false" customHeight="false" outlineLevel="0" collapsed="false">
      <c r="A2238" s="32" t="n">
        <v>2231</v>
      </c>
      <c r="B2238" s="33" t="n">
        <v>1672251</v>
      </c>
      <c r="C2238" s="34" t="s">
        <v>4548</v>
      </c>
      <c r="D2238" s="34" t="s">
        <v>4549</v>
      </c>
      <c r="E2238" s="34" t="s">
        <v>262</v>
      </c>
      <c r="F2238" s="32" t="n">
        <f aca="false">COUNTIF(Base!$D$2:$D$2878,B2238)</f>
        <v>1</v>
      </c>
      <c r="G2238" s="35" t="n">
        <f aca="false">SUMIF(Base!$D$2:$D$2878,B2238,Base!$I$2:$I$2878)</f>
        <v>104.72</v>
      </c>
      <c r="H2238" s="36" t="n">
        <f aca="false">IF($G$2849=0,0,G2238/$G$2849)</f>
        <v>6.87195954075149E-006</v>
      </c>
      <c r="I2238" s="37" t="n">
        <f aca="false">I2237+H2238</f>
        <v>0.998171724252861</v>
      </c>
      <c r="J2238" s="37" t="n">
        <f aca="false">A2238/2840</f>
        <v>0.78556338028169</v>
      </c>
      <c r="K2238" s="32" t="str">
        <f aca="false">IF(I2238&lt;=$E$4,"A",IF(I2238&lt;=$E$5,"B","C"))</f>
        <v>C</v>
      </c>
    </row>
    <row r="2239" customFormat="false" ht="15" hidden="false" customHeight="false" outlineLevel="0" collapsed="false">
      <c r="A2239" s="32" t="n">
        <v>2232</v>
      </c>
      <c r="B2239" s="33" t="n">
        <v>1614077</v>
      </c>
      <c r="C2239" s="34" t="s">
        <v>4550</v>
      </c>
      <c r="D2239" s="34" t="s">
        <v>4551</v>
      </c>
      <c r="E2239" s="34" t="s">
        <v>100</v>
      </c>
      <c r="F2239" s="32" t="n">
        <f aca="false">COUNTIF(Base!$D$2:$D$2878,B2239)</f>
        <v>1</v>
      </c>
      <c r="G2239" s="35" t="n">
        <f aca="false">SUMIF(Base!$D$2:$D$2878,B2239,Base!$I$2:$I$2878)</f>
        <v>104.52</v>
      </c>
      <c r="H2239" s="36" t="n">
        <f aca="false">IF($G$2849=0,0,G2239/$G$2849)</f>
        <v>6.85883509548649E-006</v>
      </c>
      <c r="I2239" s="37" t="n">
        <f aca="false">I2238+H2239</f>
        <v>0.998178583087957</v>
      </c>
      <c r="J2239" s="37" t="n">
        <f aca="false">A2239/2840</f>
        <v>0.785915492957746</v>
      </c>
      <c r="K2239" s="32" t="str">
        <f aca="false">IF(I2239&lt;=$E$4,"A",IF(I2239&lt;=$E$5,"B","C"))</f>
        <v>C</v>
      </c>
    </row>
    <row r="2240" customFormat="false" ht="15" hidden="false" customHeight="false" outlineLevel="0" collapsed="false">
      <c r="A2240" s="32" t="n">
        <v>2233</v>
      </c>
      <c r="B2240" s="33" t="n">
        <v>884862</v>
      </c>
      <c r="C2240" s="34" t="s">
        <v>4552</v>
      </c>
      <c r="D2240" s="34" t="s">
        <v>4553</v>
      </c>
      <c r="E2240" s="34" t="s">
        <v>100</v>
      </c>
      <c r="F2240" s="32" t="n">
        <f aca="false">COUNTIF(Base!$D$2:$D$2878,B2240)</f>
        <v>1</v>
      </c>
      <c r="G2240" s="35" t="n">
        <f aca="false">SUMIF(Base!$D$2:$D$2878,B2240,Base!$I$2:$I$2878)</f>
        <v>104.51</v>
      </c>
      <c r="H2240" s="36" t="n">
        <f aca="false">IF($G$2849=0,0,G2240/$G$2849)</f>
        <v>6.85817887322324E-006</v>
      </c>
      <c r="I2240" s="37" t="n">
        <f aca="false">I2239+H2240</f>
        <v>0.99818544126683</v>
      </c>
      <c r="J2240" s="37" t="n">
        <f aca="false">A2240/2840</f>
        <v>0.786267605633803</v>
      </c>
      <c r="K2240" s="32" t="str">
        <f aca="false">IF(I2240&lt;=$E$4,"A",IF(I2240&lt;=$E$5,"B","C"))</f>
        <v>C</v>
      </c>
    </row>
    <row r="2241" customFormat="false" ht="15" hidden="false" customHeight="false" outlineLevel="0" collapsed="false">
      <c r="A2241" s="32" t="n">
        <v>2234</v>
      </c>
      <c r="B2241" s="33" t="n">
        <v>34113</v>
      </c>
      <c r="C2241" s="34" t="s">
        <v>4554</v>
      </c>
      <c r="D2241" s="34" t="s">
        <v>4555</v>
      </c>
      <c r="E2241" s="34" t="s">
        <v>100</v>
      </c>
      <c r="F2241" s="32" t="n">
        <f aca="false">COUNTIF(Base!$D$2:$D$2878,B2241)</f>
        <v>1</v>
      </c>
      <c r="G2241" s="35" t="n">
        <f aca="false">SUMIF(Base!$D$2:$D$2878,B2241,Base!$I$2:$I$2878)</f>
        <v>104</v>
      </c>
      <c r="H2241" s="36" t="n">
        <f aca="false">IF($G$2849=0,0,G2241/$G$2849)</f>
        <v>6.82471153779751E-006</v>
      </c>
      <c r="I2241" s="37" t="n">
        <f aca="false">I2240+H2241</f>
        <v>0.998192265978368</v>
      </c>
      <c r="J2241" s="37" t="n">
        <f aca="false">A2241/2840</f>
        <v>0.786619718309859</v>
      </c>
      <c r="K2241" s="32" t="str">
        <f aca="false">IF(I2241&lt;=$E$4,"A",IF(I2241&lt;=$E$5,"B","C"))</f>
        <v>C</v>
      </c>
    </row>
    <row r="2242" customFormat="false" ht="15" hidden="false" customHeight="false" outlineLevel="0" collapsed="false">
      <c r="A2242" s="32" t="n">
        <v>2235</v>
      </c>
      <c r="B2242" s="33" t="n">
        <v>733740</v>
      </c>
      <c r="C2242" s="34" t="s">
        <v>4556</v>
      </c>
      <c r="D2242" s="34" t="s">
        <v>4557</v>
      </c>
      <c r="E2242" s="34" t="s">
        <v>130</v>
      </c>
      <c r="F2242" s="32" t="n">
        <f aca="false">COUNTIF(Base!$D$2:$D$2878,B2242)</f>
        <v>1</v>
      </c>
      <c r="G2242" s="35" t="n">
        <f aca="false">SUMIF(Base!$D$2:$D$2878,B2242,Base!$I$2:$I$2878)</f>
        <v>104</v>
      </c>
      <c r="H2242" s="36" t="n">
        <f aca="false">IF($G$2849=0,0,G2242/$G$2849)</f>
        <v>6.82471153779751E-006</v>
      </c>
      <c r="I2242" s="37" t="n">
        <f aca="false">I2241+H2242</f>
        <v>0.998199090689905</v>
      </c>
      <c r="J2242" s="37" t="n">
        <f aca="false">A2242/2840</f>
        <v>0.786971830985916</v>
      </c>
      <c r="K2242" s="32" t="str">
        <f aca="false">IF(I2242&lt;=$E$4,"A",IF(I2242&lt;=$E$5,"B","C"))</f>
        <v>C</v>
      </c>
    </row>
    <row r="2243" customFormat="false" ht="15" hidden="false" customHeight="false" outlineLevel="0" collapsed="false">
      <c r="A2243" s="32" t="n">
        <v>2236</v>
      </c>
      <c r="B2243" s="33" t="n">
        <v>552919</v>
      </c>
      <c r="C2243" s="34" t="s">
        <v>4558</v>
      </c>
      <c r="D2243" s="34" t="s">
        <v>4559</v>
      </c>
      <c r="E2243" s="34" t="s">
        <v>54</v>
      </c>
      <c r="F2243" s="32" t="n">
        <f aca="false">COUNTIF(Base!$D$2:$D$2878,B2243)</f>
        <v>1</v>
      </c>
      <c r="G2243" s="35" t="n">
        <f aca="false">SUMIF(Base!$D$2:$D$2878,B2243,Base!$I$2:$I$2878)</f>
        <v>103.92</v>
      </c>
      <c r="H2243" s="36" t="n">
        <f aca="false">IF($G$2849=0,0,G2243/$G$2849)</f>
        <v>6.81946175969151E-006</v>
      </c>
      <c r="I2243" s="37" t="n">
        <f aca="false">I2242+H2243</f>
        <v>0.998205910151665</v>
      </c>
      <c r="J2243" s="37" t="n">
        <f aca="false">A2243/2840</f>
        <v>0.787323943661972</v>
      </c>
      <c r="K2243" s="32" t="str">
        <f aca="false">IF(I2243&lt;=$E$4,"A",IF(I2243&lt;=$E$5,"B","C"))</f>
        <v>C</v>
      </c>
    </row>
    <row r="2244" customFormat="false" ht="15" hidden="false" customHeight="false" outlineLevel="0" collapsed="false">
      <c r="A2244" s="32" t="n">
        <v>2237</v>
      </c>
      <c r="B2244" s="33" t="n">
        <v>222434</v>
      </c>
      <c r="C2244" s="34" t="s">
        <v>4560</v>
      </c>
      <c r="D2244" s="34" t="s">
        <v>4561</v>
      </c>
      <c r="E2244" s="34" t="s">
        <v>2056</v>
      </c>
      <c r="F2244" s="32" t="n">
        <f aca="false">COUNTIF(Base!$D$2:$D$2878,B2244)</f>
        <v>1</v>
      </c>
      <c r="G2244" s="35" t="n">
        <f aca="false">SUMIF(Base!$D$2:$D$2878,B2244,Base!$I$2:$I$2878)</f>
        <v>103.62</v>
      </c>
      <c r="H2244" s="36" t="n">
        <f aca="false">IF($G$2849=0,0,G2244/$G$2849)</f>
        <v>6.79977509179402E-006</v>
      </c>
      <c r="I2244" s="37" t="n">
        <f aca="false">I2243+H2244</f>
        <v>0.998212709926757</v>
      </c>
      <c r="J2244" s="37" t="n">
        <f aca="false">A2244/2840</f>
        <v>0.787676056338028</v>
      </c>
      <c r="K2244" s="32" t="str">
        <f aca="false">IF(I2244&lt;=$E$4,"A",IF(I2244&lt;=$E$5,"B","C"))</f>
        <v>C</v>
      </c>
    </row>
    <row r="2245" customFormat="false" ht="15" hidden="false" customHeight="false" outlineLevel="0" collapsed="false">
      <c r="A2245" s="32" t="n">
        <v>2238</v>
      </c>
      <c r="B2245" s="33" t="n">
        <v>1476143</v>
      </c>
      <c r="C2245" s="34" t="s">
        <v>4562</v>
      </c>
      <c r="D2245" s="34" t="s">
        <v>4563</v>
      </c>
      <c r="E2245" s="34" t="s">
        <v>130</v>
      </c>
      <c r="F2245" s="32" t="n">
        <f aca="false">COUNTIF(Base!$D$2:$D$2878,B2245)</f>
        <v>1</v>
      </c>
      <c r="G2245" s="35" t="n">
        <f aca="false">SUMIF(Base!$D$2:$D$2878,B2245,Base!$I$2:$I$2878)</f>
        <v>102.35</v>
      </c>
      <c r="H2245" s="36" t="n">
        <f aca="false">IF($G$2849=0,0,G2245/$G$2849)</f>
        <v>6.7164348643613E-006</v>
      </c>
      <c r="I2245" s="37" t="n">
        <f aca="false">I2244+H2245</f>
        <v>0.998219426361621</v>
      </c>
      <c r="J2245" s="37" t="n">
        <f aca="false">A2245/2840</f>
        <v>0.788028169014085</v>
      </c>
      <c r="K2245" s="32" t="str">
        <f aca="false">IF(I2245&lt;=$E$4,"A",IF(I2245&lt;=$E$5,"B","C"))</f>
        <v>C</v>
      </c>
    </row>
    <row r="2246" customFormat="false" ht="15" hidden="false" customHeight="false" outlineLevel="0" collapsed="false">
      <c r="A2246" s="32" t="n">
        <v>2239</v>
      </c>
      <c r="B2246" s="33" t="n">
        <v>276672</v>
      </c>
      <c r="C2246" s="34" t="s">
        <v>4564</v>
      </c>
      <c r="D2246" s="34" t="s">
        <v>4565</v>
      </c>
      <c r="E2246" s="34" t="s">
        <v>38</v>
      </c>
      <c r="F2246" s="32" t="n">
        <f aca="false">COUNTIF(Base!$D$2:$D$2878,B2246)</f>
        <v>1</v>
      </c>
      <c r="G2246" s="35" t="n">
        <f aca="false">SUMIF(Base!$D$2:$D$2878,B2246,Base!$I$2:$I$2878)</f>
        <v>102.32</v>
      </c>
      <c r="H2246" s="36" t="n">
        <f aca="false">IF($G$2849=0,0,G2246/$G$2849)</f>
        <v>6.71446619757155E-006</v>
      </c>
      <c r="I2246" s="37" t="n">
        <f aca="false">I2245+H2246</f>
        <v>0.998226140827819</v>
      </c>
      <c r="J2246" s="37" t="n">
        <f aca="false">A2246/2840</f>
        <v>0.788380281690141</v>
      </c>
      <c r="K2246" s="32" t="str">
        <f aca="false">IF(I2246&lt;=$E$4,"A",IF(I2246&lt;=$E$5,"B","C"))</f>
        <v>C</v>
      </c>
    </row>
    <row r="2247" customFormat="false" ht="15" hidden="false" customHeight="false" outlineLevel="0" collapsed="false">
      <c r="A2247" s="32" t="n">
        <v>2240</v>
      </c>
      <c r="B2247" s="33" t="n">
        <v>1379883</v>
      </c>
      <c r="C2247" s="34" t="s">
        <v>4566</v>
      </c>
      <c r="D2247" s="34" t="s">
        <v>4567</v>
      </c>
      <c r="E2247" s="34" t="s">
        <v>38</v>
      </c>
      <c r="F2247" s="32" t="n">
        <f aca="false">COUNTIF(Base!$D$2:$D$2878,B2247)</f>
        <v>1</v>
      </c>
      <c r="G2247" s="35" t="n">
        <f aca="false">SUMIF(Base!$D$2:$D$2878,B2247,Base!$I$2:$I$2878)</f>
        <v>101.66</v>
      </c>
      <c r="H2247" s="36" t="n">
        <f aca="false">IF($G$2849=0,0,G2247/$G$2849)</f>
        <v>6.67115552819706E-006</v>
      </c>
      <c r="I2247" s="37" t="n">
        <f aca="false">I2246+H2247</f>
        <v>0.998232811983347</v>
      </c>
      <c r="J2247" s="37" t="n">
        <f aca="false">A2247/2840</f>
        <v>0.788732394366197</v>
      </c>
      <c r="K2247" s="32" t="str">
        <f aca="false">IF(I2247&lt;=$E$4,"A",IF(I2247&lt;=$E$5,"B","C"))</f>
        <v>C</v>
      </c>
    </row>
    <row r="2248" customFormat="false" ht="15" hidden="false" customHeight="false" outlineLevel="0" collapsed="false">
      <c r="A2248" s="32" t="n">
        <v>2241</v>
      </c>
      <c r="B2248" s="33" t="n">
        <v>1384313</v>
      </c>
      <c r="C2248" s="34" t="s">
        <v>4568</v>
      </c>
      <c r="D2248" s="34" t="s">
        <v>4569</v>
      </c>
      <c r="E2248" s="34" t="s">
        <v>75</v>
      </c>
      <c r="F2248" s="32" t="n">
        <f aca="false">COUNTIF(Base!$D$2:$D$2878,B2248)</f>
        <v>1</v>
      </c>
      <c r="G2248" s="35" t="n">
        <f aca="false">SUMIF(Base!$D$2:$D$2878,B2248,Base!$I$2:$I$2878)</f>
        <v>101.6</v>
      </c>
      <c r="H2248" s="36" t="n">
        <f aca="false">IF($G$2849=0,0,G2248/$G$2849)</f>
        <v>6.66721819461756E-006</v>
      </c>
      <c r="I2248" s="37" t="n">
        <f aca="false">I2247+H2248</f>
        <v>0.998239479201542</v>
      </c>
      <c r="J2248" s="37" t="n">
        <f aca="false">A2248/2840</f>
        <v>0.789084507042254</v>
      </c>
      <c r="K2248" s="32" t="str">
        <f aca="false">IF(I2248&lt;=$E$4,"A",IF(I2248&lt;=$E$5,"B","C"))</f>
        <v>C</v>
      </c>
    </row>
    <row r="2249" customFormat="false" ht="15" hidden="false" customHeight="false" outlineLevel="0" collapsed="false">
      <c r="A2249" s="32" t="n">
        <v>2242</v>
      </c>
      <c r="B2249" s="33" t="n">
        <v>750194</v>
      </c>
      <c r="C2249" s="34" t="s">
        <v>4570</v>
      </c>
      <c r="D2249" s="34" t="s">
        <v>4571</v>
      </c>
      <c r="E2249" s="34" t="s">
        <v>1618</v>
      </c>
      <c r="F2249" s="32" t="n">
        <f aca="false">COUNTIF(Base!$D$2:$D$2878,B2249)</f>
        <v>1</v>
      </c>
      <c r="G2249" s="35" t="n">
        <f aca="false">SUMIF(Base!$D$2:$D$2878,B2249,Base!$I$2:$I$2878)</f>
        <v>101.27</v>
      </c>
      <c r="H2249" s="36" t="n">
        <f aca="false">IF($G$2849=0,0,G2249/$G$2849)</f>
        <v>6.64556285993032E-006</v>
      </c>
      <c r="I2249" s="37" t="n">
        <f aca="false">I2248+H2249</f>
        <v>0.998246124764402</v>
      </c>
      <c r="J2249" s="37" t="n">
        <f aca="false">A2249/2840</f>
        <v>0.78943661971831</v>
      </c>
      <c r="K2249" s="32" t="str">
        <f aca="false">IF(I2249&lt;=$E$4,"A",IF(I2249&lt;=$E$5,"B","C"))</f>
        <v>C</v>
      </c>
    </row>
    <row r="2250" customFormat="false" ht="15" hidden="false" customHeight="false" outlineLevel="0" collapsed="false">
      <c r="A2250" s="32" t="n">
        <v>2243</v>
      </c>
      <c r="B2250" s="33" t="n">
        <v>750197</v>
      </c>
      <c r="C2250" s="34" t="s">
        <v>4572</v>
      </c>
      <c r="D2250" s="34" t="s">
        <v>4573</v>
      </c>
      <c r="E2250" s="34" t="s">
        <v>1618</v>
      </c>
      <c r="F2250" s="32" t="n">
        <f aca="false">COUNTIF(Base!$D$2:$D$2878,B2250)</f>
        <v>1</v>
      </c>
      <c r="G2250" s="35" t="n">
        <f aca="false">SUMIF(Base!$D$2:$D$2878,B2250,Base!$I$2:$I$2878)</f>
        <v>100.88</v>
      </c>
      <c r="H2250" s="36" t="n">
        <f aca="false">IF($G$2849=0,0,G2250/$G$2849)</f>
        <v>6.61997019166358E-006</v>
      </c>
      <c r="I2250" s="37" t="n">
        <f aca="false">I2249+H2250</f>
        <v>0.998252744734593</v>
      </c>
      <c r="J2250" s="37" t="n">
        <f aca="false">A2250/2840</f>
        <v>0.789788732394366</v>
      </c>
      <c r="K2250" s="32" t="str">
        <f aca="false">IF(I2250&lt;=$E$4,"A",IF(I2250&lt;=$E$5,"B","C"))</f>
        <v>C</v>
      </c>
    </row>
    <row r="2251" customFormat="false" ht="15" hidden="false" customHeight="false" outlineLevel="0" collapsed="false">
      <c r="A2251" s="32" t="n">
        <v>2244</v>
      </c>
      <c r="B2251" s="33" t="n">
        <v>32775</v>
      </c>
      <c r="C2251" s="34" t="s">
        <v>4574</v>
      </c>
      <c r="D2251" s="34" t="s">
        <v>4575</v>
      </c>
      <c r="E2251" s="34" t="s">
        <v>54</v>
      </c>
      <c r="F2251" s="32" t="n">
        <f aca="false">COUNTIF(Base!$D$2:$D$2878,B2251)</f>
        <v>1</v>
      </c>
      <c r="G2251" s="35" t="n">
        <f aca="false">SUMIF(Base!$D$2:$D$2878,B2251,Base!$I$2:$I$2878)</f>
        <v>100.7</v>
      </c>
      <c r="H2251" s="36" t="n">
        <f aca="false">IF($G$2849=0,0,G2251/$G$2849)</f>
        <v>6.60815819092509E-006</v>
      </c>
      <c r="I2251" s="37" t="n">
        <f aca="false">I2250+H2251</f>
        <v>0.998259352892784</v>
      </c>
      <c r="J2251" s="37" t="n">
        <f aca="false">A2251/2840</f>
        <v>0.790140845070423</v>
      </c>
      <c r="K2251" s="32" t="str">
        <f aca="false">IF(I2251&lt;=$E$4,"A",IF(I2251&lt;=$E$5,"B","C"))</f>
        <v>C</v>
      </c>
    </row>
    <row r="2252" customFormat="false" ht="15" hidden="false" customHeight="false" outlineLevel="0" collapsed="false">
      <c r="A2252" s="32" t="n">
        <v>2245</v>
      </c>
      <c r="B2252" s="33" t="n">
        <v>60795</v>
      </c>
      <c r="C2252" s="34" t="s">
        <v>4576</v>
      </c>
      <c r="D2252" s="34" t="s">
        <v>4577</v>
      </c>
      <c r="E2252" s="34" t="s">
        <v>130</v>
      </c>
      <c r="F2252" s="32" t="n">
        <f aca="false">COUNTIF(Base!$D$2:$D$2878,B2252)</f>
        <v>1</v>
      </c>
      <c r="G2252" s="35" t="n">
        <f aca="false">SUMIF(Base!$D$2:$D$2878,B2252,Base!$I$2:$I$2878)</f>
        <v>100.2</v>
      </c>
      <c r="H2252" s="36" t="n">
        <f aca="false">IF($G$2849=0,0,G2252/$G$2849)</f>
        <v>6.5753470777626E-006</v>
      </c>
      <c r="I2252" s="37" t="n">
        <f aca="false">I2251+H2252</f>
        <v>0.998265928239862</v>
      </c>
      <c r="J2252" s="37" t="n">
        <f aca="false">A2252/2840</f>
        <v>0.790492957746479</v>
      </c>
      <c r="K2252" s="32" t="str">
        <f aca="false">IF(I2252&lt;=$E$4,"A",IF(I2252&lt;=$E$5,"B","C"))</f>
        <v>C</v>
      </c>
    </row>
    <row r="2253" customFormat="false" ht="15" hidden="false" customHeight="false" outlineLevel="0" collapsed="false">
      <c r="A2253" s="32" t="n">
        <v>2246</v>
      </c>
      <c r="B2253" s="33" t="n">
        <v>54784</v>
      </c>
      <c r="C2253" s="34" t="s">
        <v>4578</v>
      </c>
      <c r="D2253" s="34" t="s">
        <v>4579</v>
      </c>
      <c r="E2253" s="34" t="s">
        <v>2056</v>
      </c>
      <c r="F2253" s="32" t="n">
        <f aca="false">COUNTIF(Base!$D$2:$D$2878,B2253)</f>
        <v>1</v>
      </c>
      <c r="G2253" s="35" t="n">
        <f aca="false">SUMIF(Base!$D$2:$D$2878,B2253,Base!$I$2:$I$2878)</f>
        <v>100</v>
      </c>
      <c r="H2253" s="36" t="n">
        <f aca="false">IF($G$2849=0,0,G2253/$G$2849)</f>
        <v>6.5622226324976E-006</v>
      </c>
      <c r="I2253" s="37" t="n">
        <f aca="false">I2252+H2253</f>
        <v>0.998272490462494</v>
      </c>
      <c r="J2253" s="37" t="n">
        <f aca="false">A2253/2840</f>
        <v>0.790845070422535</v>
      </c>
      <c r="K2253" s="32" t="str">
        <f aca="false">IF(I2253&lt;=$E$4,"A",IF(I2253&lt;=$E$5,"B","C"))</f>
        <v>C</v>
      </c>
    </row>
    <row r="2254" customFormat="false" ht="15" hidden="false" customHeight="false" outlineLevel="0" collapsed="false">
      <c r="A2254" s="32" t="n">
        <v>2247</v>
      </c>
      <c r="B2254" s="33" t="n">
        <v>349311</v>
      </c>
      <c r="C2254" s="34" t="s">
        <v>4580</v>
      </c>
      <c r="D2254" s="34" t="s">
        <v>4581</v>
      </c>
      <c r="E2254" s="34" t="s">
        <v>2056</v>
      </c>
      <c r="F2254" s="32" t="n">
        <f aca="false">COUNTIF(Base!$D$2:$D$2878,B2254)</f>
        <v>1</v>
      </c>
      <c r="G2254" s="35" t="n">
        <f aca="false">SUMIF(Base!$D$2:$D$2878,B2254,Base!$I$2:$I$2878)</f>
        <v>100</v>
      </c>
      <c r="H2254" s="36" t="n">
        <f aca="false">IF($G$2849=0,0,G2254/$G$2849)</f>
        <v>6.5622226324976E-006</v>
      </c>
      <c r="I2254" s="37" t="n">
        <f aca="false">I2253+H2254</f>
        <v>0.998279052685127</v>
      </c>
      <c r="J2254" s="37" t="n">
        <f aca="false">A2254/2840</f>
        <v>0.791197183098592</v>
      </c>
      <c r="K2254" s="32" t="str">
        <f aca="false">IF(I2254&lt;=$E$4,"A",IF(I2254&lt;=$E$5,"B","C"))</f>
        <v>C</v>
      </c>
    </row>
    <row r="2255" customFormat="false" ht="15" hidden="false" customHeight="false" outlineLevel="0" collapsed="false">
      <c r="A2255" s="32" t="n">
        <v>2248</v>
      </c>
      <c r="B2255" s="33" t="n">
        <v>741312</v>
      </c>
      <c r="C2255" s="34" t="s">
        <v>4582</v>
      </c>
      <c r="D2255" s="34" t="s">
        <v>4583</v>
      </c>
      <c r="E2255" s="34" t="s">
        <v>130</v>
      </c>
      <c r="F2255" s="32" t="n">
        <f aca="false">COUNTIF(Base!$D$2:$D$2878,B2255)</f>
        <v>1</v>
      </c>
      <c r="G2255" s="35" t="n">
        <f aca="false">SUMIF(Base!$D$2:$D$2878,B2255,Base!$I$2:$I$2878)</f>
        <v>100</v>
      </c>
      <c r="H2255" s="36" t="n">
        <f aca="false">IF($G$2849=0,0,G2255/$G$2849)</f>
        <v>6.5622226324976E-006</v>
      </c>
      <c r="I2255" s="37" t="n">
        <f aca="false">I2254+H2255</f>
        <v>0.99828561490776</v>
      </c>
      <c r="J2255" s="37" t="n">
        <f aca="false">A2255/2840</f>
        <v>0.791549295774648</v>
      </c>
      <c r="K2255" s="32" t="str">
        <f aca="false">IF(I2255&lt;=$E$4,"A",IF(I2255&lt;=$E$5,"B","C"))</f>
        <v>C</v>
      </c>
    </row>
    <row r="2256" customFormat="false" ht="15" hidden="false" customHeight="false" outlineLevel="0" collapsed="false">
      <c r="A2256" s="32" t="n">
        <v>2249</v>
      </c>
      <c r="B2256" s="33" t="n">
        <v>869146</v>
      </c>
      <c r="C2256" s="34" t="s">
        <v>4584</v>
      </c>
      <c r="D2256" s="34" t="s">
        <v>4585</v>
      </c>
      <c r="E2256" s="34" t="s">
        <v>722</v>
      </c>
      <c r="F2256" s="32" t="n">
        <f aca="false">COUNTIF(Base!$D$2:$D$2878,B2256)</f>
        <v>1</v>
      </c>
      <c r="G2256" s="35" t="n">
        <f aca="false">SUMIF(Base!$D$2:$D$2878,B2256,Base!$I$2:$I$2878)</f>
        <v>100</v>
      </c>
      <c r="H2256" s="36" t="n">
        <f aca="false">IF($G$2849=0,0,G2256/$G$2849)</f>
        <v>6.5622226324976E-006</v>
      </c>
      <c r="I2256" s="37" t="n">
        <f aca="false">I2255+H2256</f>
        <v>0.998292177130392</v>
      </c>
      <c r="J2256" s="37" t="n">
        <f aca="false">A2256/2840</f>
        <v>0.791901408450704</v>
      </c>
      <c r="K2256" s="32" t="str">
        <f aca="false">IF(I2256&lt;=$E$4,"A",IF(I2256&lt;=$E$5,"B","C"))</f>
        <v>C</v>
      </c>
    </row>
    <row r="2257" customFormat="false" ht="15" hidden="false" customHeight="false" outlineLevel="0" collapsed="false">
      <c r="A2257" s="32" t="n">
        <v>2250</v>
      </c>
      <c r="B2257" s="33" t="n">
        <v>14328</v>
      </c>
      <c r="C2257" s="34" t="s">
        <v>4586</v>
      </c>
      <c r="D2257" s="34" t="s">
        <v>4587</v>
      </c>
      <c r="E2257" s="34" t="s">
        <v>38</v>
      </c>
      <c r="F2257" s="32" t="n">
        <f aca="false">COUNTIF(Base!$D$2:$D$2878,B2257)</f>
        <v>1</v>
      </c>
      <c r="G2257" s="35" t="n">
        <f aca="false">SUMIF(Base!$D$2:$D$2878,B2257,Base!$I$2:$I$2878)</f>
        <v>99.9</v>
      </c>
      <c r="H2257" s="36" t="n">
        <f aca="false">IF($G$2849=0,0,G2257/$G$2849)</f>
        <v>6.55566040986511E-006</v>
      </c>
      <c r="I2257" s="37" t="n">
        <f aca="false">I2256+H2257</f>
        <v>0.998298732790802</v>
      </c>
      <c r="J2257" s="37" t="n">
        <f aca="false">A2257/2840</f>
        <v>0.792253521126761</v>
      </c>
      <c r="K2257" s="32" t="str">
        <f aca="false">IF(I2257&lt;=$E$4,"A",IF(I2257&lt;=$E$5,"B","C"))</f>
        <v>C</v>
      </c>
    </row>
    <row r="2258" customFormat="false" ht="15" hidden="false" customHeight="false" outlineLevel="0" collapsed="false">
      <c r="A2258" s="32" t="n">
        <v>2251</v>
      </c>
      <c r="B2258" s="33" t="n">
        <v>57320</v>
      </c>
      <c r="C2258" s="34" t="s">
        <v>4588</v>
      </c>
      <c r="D2258" s="34" t="s">
        <v>4589</v>
      </c>
      <c r="E2258" s="34" t="s">
        <v>54</v>
      </c>
      <c r="F2258" s="32" t="n">
        <f aca="false">COUNTIF(Base!$D$2:$D$2878,B2258)</f>
        <v>1</v>
      </c>
      <c r="G2258" s="35" t="n">
        <f aca="false">SUMIF(Base!$D$2:$D$2878,B2258,Base!$I$2:$I$2878)</f>
        <v>99.9</v>
      </c>
      <c r="H2258" s="36" t="n">
        <f aca="false">IF($G$2849=0,0,G2258/$G$2849)</f>
        <v>6.55566040986511E-006</v>
      </c>
      <c r="I2258" s="37" t="n">
        <f aca="false">I2257+H2258</f>
        <v>0.998305288451212</v>
      </c>
      <c r="J2258" s="37" t="n">
        <f aca="false">A2258/2840</f>
        <v>0.792605633802817</v>
      </c>
      <c r="K2258" s="32" t="str">
        <f aca="false">IF(I2258&lt;=$E$4,"A",IF(I2258&lt;=$E$5,"B","C"))</f>
        <v>C</v>
      </c>
    </row>
    <row r="2259" customFormat="false" ht="15" hidden="false" customHeight="false" outlineLevel="0" collapsed="false">
      <c r="A2259" s="32" t="n">
        <v>2252</v>
      </c>
      <c r="B2259" s="33" t="n">
        <v>19729</v>
      </c>
      <c r="C2259" s="34" t="s">
        <v>4590</v>
      </c>
      <c r="D2259" s="34" t="s">
        <v>4591</v>
      </c>
      <c r="E2259" s="34" t="s">
        <v>605</v>
      </c>
      <c r="F2259" s="32" t="n">
        <f aca="false">COUNTIF(Base!$D$2:$D$2878,B2259)</f>
        <v>1</v>
      </c>
      <c r="G2259" s="35" t="n">
        <f aca="false">SUMIF(Base!$D$2:$D$2878,B2259,Base!$I$2:$I$2878)</f>
        <v>99.4674</v>
      </c>
      <c r="H2259" s="36" t="n">
        <f aca="false">IF($G$2849=0,0,G2259/$G$2849)</f>
        <v>6.52727223475692E-006</v>
      </c>
      <c r="I2259" s="37" t="n">
        <f aca="false">I2258+H2259</f>
        <v>0.998311815723446</v>
      </c>
      <c r="J2259" s="37" t="n">
        <f aca="false">A2259/2840</f>
        <v>0.792957746478873</v>
      </c>
      <c r="K2259" s="32" t="str">
        <f aca="false">IF(I2259&lt;=$E$4,"A",IF(I2259&lt;=$E$5,"B","C"))</f>
        <v>C</v>
      </c>
    </row>
    <row r="2260" customFormat="false" ht="15" hidden="false" customHeight="false" outlineLevel="0" collapsed="false">
      <c r="A2260" s="32" t="n">
        <v>2253</v>
      </c>
      <c r="B2260" s="33" t="n">
        <v>1475063</v>
      </c>
      <c r="C2260" s="34" t="s">
        <v>4592</v>
      </c>
      <c r="D2260" s="34" t="s">
        <v>4593</v>
      </c>
      <c r="E2260" s="34" t="s">
        <v>100</v>
      </c>
      <c r="F2260" s="32" t="n">
        <f aca="false">COUNTIF(Base!$D$2:$D$2878,B2260)</f>
        <v>1</v>
      </c>
      <c r="G2260" s="35" t="n">
        <f aca="false">SUMIF(Base!$D$2:$D$2878,B2260,Base!$I$2:$I$2878)</f>
        <v>99.04</v>
      </c>
      <c r="H2260" s="36" t="n">
        <f aca="false">IF($G$2849=0,0,G2260/$G$2849)</f>
        <v>6.49922529522563E-006</v>
      </c>
      <c r="I2260" s="37" t="n">
        <f aca="false">I2259+H2260</f>
        <v>0.998318314948742</v>
      </c>
      <c r="J2260" s="37" t="n">
        <f aca="false">A2260/2840</f>
        <v>0.79330985915493</v>
      </c>
      <c r="K2260" s="32" t="str">
        <f aca="false">IF(I2260&lt;=$E$4,"A",IF(I2260&lt;=$E$5,"B","C"))</f>
        <v>C</v>
      </c>
    </row>
    <row r="2261" customFormat="false" ht="15" hidden="false" customHeight="false" outlineLevel="0" collapsed="false">
      <c r="A2261" s="32" t="n">
        <v>2254</v>
      </c>
      <c r="B2261" s="33" t="n">
        <v>33375</v>
      </c>
      <c r="C2261" s="34" t="s">
        <v>4594</v>
      </c>
      <c r="D2261" s="34" t="s">
        <v>4595</v>
      </c>
      <c r="E2261" s="34" t="s">
        <v>130</v>
      </c>
      <c r="F2261" s="32" t="n">
        <f aca="false">COUNTIF(Base!$D$2:$D$2878,B2261)</f>
        <v>1</v>
      </c>
      <c r="G2261" s="35" t="n">
        <f aca="false">SUMIF(Base!$D$2:$D$2878,B2261,Base!$I$2:$I$2878)</f>
        <v>99</v>
      </c>
      <c r="H2261" s="36" t="n">
        <f aca="false">IF($G$2849=0,0,G2261/$G$2849)</f>
        <v>6.49660040617263E-006</v>
      </c>
      <c r="I2261" s="37" t="n">
        <f aca="false">I2260+H2261</f>
        <v>0.998324811549148</v>
      </c>
      <c r="J2261" s="37" t="n">
        <f aca="false">A2261/2840</f>
        <v>0.793661971830986</v>
      </c>
      <c r="K2261" s="32" t="str">
        <f aca="false">IF(I2261&lt;=$E$4,"A",IF(I2261&lt;=$E$5,"B","C"))</f>
        <v>C</v>
      </c>
    </row>
    <row r="2262" customFormat="false" ht="15" hidden="false" customHeight="false" outlineLevel="0" collapsed="false">
      <c r="A2262" s="32" t="n">
        <v>2255</v>
      </c>
      <c r="B2262" s="33" t="n">
        <v>35313</v>
      </c>
      <c r="C2262" s="34" t="s">
        <v>4596</v>
      </c>
      <c r="D2262" s="34" t="s">
        <v>4597</v>
      </c>
      <c r="E2262" s="34" t="s">
        <v>360</v>
      </c>
      <c r="F2262" s="32" t="n">
        <f aca="false">COUNTIF(Base!$D$2:$D$2878,B2262)</f>
        <v>1</v>
      </c>
      <c r="G2262" s="35" t="n">
        <f aca="false">SUMIF(Base!$D$2:$D$2878,B2262,Base!$I$2:$I$2878)</f>
        <v>99</v>
      </c>
      <c r="H2262" s="36" t="n">
        <f aca="false">IF($G$2849=0,0,G2262/$G$2849)</f>
        <v>6.49660040617263E-006</v>
      </c>
      <c r="I2262" s="37" t="n">
        <f aca="false">I2261+H2262</f>
        <v>0.998331308149554</v>
      </c>
      <c r="J2262" s="37" t="n">
        <f aca="false">A2262/2840</f>
        <v>0.794014084507042</v>
      </c>
      <c r="K2262" s="32" t="str">
        <f aca="false">IF(I2262&lt;=$E$4,"A",IF(I2262&lt;=$E$5,"B","C"))</f>
        <v>C</v>
      </c>
    </row>
    <row r="2263" customFormat="false" ht="15" hidden="false" customHeight="false" outlineLevel="0" collapsed="false">
      <c r="A2263" s="32" t="n">
        <v>2256</v>
      </c>
      <c r="B2263" s="33" t="n">
        <v>946749</v>
      </c>
      <c r="C2263" s="34" t="s">
        <v>4598</v>
      </c>
      <c r="D2263" s="34" t="s">
        <v>4599</v>
      </c>
      <c r="E2263" s="34" t="s">
        <v>835</v>
      </c>
      <c r="F2263" s="32" t="n">
        <f aca="false">COUNTIF(Base!$D$2:$D$2878,B2263)</f>
        <v>1</v>
      </c>
      <c r="G2263" s="35" t="n">
        <f aca="false">SUMIF(Base!$D$2:$D$2878,B2263,Base!$I$2:$I$2878)</f>
        <v>98.62</v>
      </c>
      <c r="H2263" s="36" t="n">
        <f aca="false">IF($G$2849=0,0,G2263/$G$2849)</f>
        <v>6.47166396016914E-006</v>
      </c>
      <c r="I2263" s="37" t="n">
        <f aca="false">I2262+H2263</f>
        <v>0.998337779813514</v>
      </c>
      <c r="J2263" s="37" t="n">
        <f aca="false">A2263/2840</f>
        <v>0.794366197183099</v>
      </c>
      <c r="K2263" s="32" t="str">
        <f aca="false">IF(I2263&lt;=$E$4,"A",IF(I2263&lt;=$E$5,"B","C"))</f>
        <v>C</v>
      </c>
    </row>
    <row r="2264" customFormat="false" ht="15" hidden="false" customHeight="false" outlineLevel="0" collapsed="false">
      <c r="A2264" s="32" t="n">
        <v>2257</v>
      </c>
      <c r="B2264" s="33" t="n">
        <v>32465</v>
      </c>
      <c r="C2264" s="34" t="s">
        <v>4600</v>
      </c>
      <c r="D2264" s="34" t="s">
        <v>4601</v>
      </c>
      <c r="E2264" s="34" t="s">
        <v>38</v>
      </c>
      <c r="F2264" s="32" t="n">
        <f aca="false">COUNTIF(Base!$D$2:$D$2878,B2264)</f>
        <v>1</v>
      </c>
      <c r="G2264" s="35" t="n">
        <f aca="false">SUMIF(Base!$D$2:$D$2878,B2264,Base!$I$2:$I$2878)</f>
        <v>98.56</v>
      </c>
      <c r="H2264" s="36" t="n">
        <f aca="false">IF($G$2849=0,0,G2264/$G$2849)</f>
        <v>6.46772662658964E-006</v>
      </c>
      <c r="I2264" s="37" t="n">
        <f aca="false">I2263+H2264</f>
        <v>0.998344247540141</v>
      </c>
      <c r="J2264" s="37" t="n">
        <f aca="false">A2264/2840</f>
        <v>0.794718309859155</v>
      </c>
      <c r="K2264" s="32" t="str">
        <f aca="false">IF(I2264&lt;=$E$4,"A",IF(I2264&lt;=$E$5,"B","C"))</f>
        <v>C</v>
      </c>
    </row>
    <row r="2265" customFormat="false" ht="15" hidden="false" customHeight="false" outlineLevel="0" collapsed="false">
      <c r="A2265" s="32" t="n">
        <v>2258</v>
      </c>
      <c r="B2265" s="33" t="n">
        <v>391131</v>
      </c>
      <c r="C2265" s="34" t="s">
        <v>4602</v>
      </c>
      <c r="D2265" s="34" t="s">
        <v>4603</v>
      </c>
      <c r="E2265" s="34" t="s">
        <v>1618</v>
      </c>
      <c r="F2265" s="32" t="n">
        <f aca="false">COUNTIF(Base!$D$2:$D$2878,B2265)</f>
        <v>1</v>
      </c>
      <c r="G2265" s="35" t="n">
        <f aca="false">SUMIF(Base!$D$2:$D$2878,B2265,Base!$I$2:$I$2878)</f>
        <v>98.55</v>
      </c>
      <c r="H2265" s="36" t="n">
        <f aca="false">IF($G$2849=0,0,G2265/$G$2849)</f>
        <v>6.46707040432639E-006</v>
      </c>
      <c r="I2265" s="37" t="n">
        <f aca="false">I2264+H2265</f>
        <v>0.998350714610545</v>
      </c>
      <c r="J2265" s="37" t="n">
        <f aca="false">A2265/2840</f>
        <v>0.795070422535211</v>
      </c>
      <c r="K2265" s="32" t="str">
        <f aca="false">IF(I2265&lt;=$E$4,"A",IF(I2265&lt;=$E$5,"B","C"))</f>
        <v>C</v>
      </c>
    </row>
    <row r="2266" customFormat="false" ht="15" hidden="false" customHeight="false" outlineLevel="0" collapsed="false">
      <c r="A2266" s="32" t="n">
        <v>2259</v>
      </c>
      <c r="B2266" s="33" t="n">
        <v>292573</v>
      </c>
      <c r="C2266" s="34" t="s">
        <v>4604</v>
      </c>
      <c r="D2266" s="34" t="s">
        <v>4605</v>
      </c>
      <c r="E2266" s="34" t="s">
        <v>262</v>
      </c>
      <c r="F2266" s="32" t="n">
        <f aca="false">COUNTIF(Base!$D$2:$D$2878,B2266)</f>
        <v>1</v>
      </c>
      <c r="G2266" s="35" t="n">
        <f aca="false">SUMIF(Base!$D$2:$D$2878,B2266,Base!$I$2:$I$2878)</f>
        <v>98.4</v>
      </c>
      <c r="H2266" s="36" t="n">
        <f aca="false">IF($G$2849=0,0,G2266/$G$2849)</f>
        <v>6.45722707037764E-006</v>
      </c>
      <c r="I2266" s="37" t="n">
        <f aca="false">I2265+H2266</f>
        <v>0.998357171837616</v>
      </c>
      <c r="J2266" s="37" t="n">
        <f aca="false">A2266/2840</f>
        <v>0.795422535211268</v>
      </c>
      <c r="K2266" s="32" t="str">
        <f aca="false">IF(I2266&lt;=$E$4,"A",IF(I2266&lt;=$E$5,"B","C"))</f>
        <v>C</v>
      </c>
    </row>
    <row r="2267" customFormat="false" ht="15" hidden="false" customHeight="false" outlineLevel="0" collapsed="false">
      <c r="A2267" s="32" t="n">
        <v>2260</v>
      </c>
      <c r="B2267" s="33" t="n">
        <v>23579</v>
      </c>
      <c r="C2267" s="34" t="s">
        <v>4606</v>
      </c>
      <c r="D2267" s="34" t="s">
        <v>4607</v>
      </c>
      <c r="E2267" s="34" t="s">
        <v>130</v>
      </c>
      <c r="F2267" s="32" t="n">
        <f aca="false">COUNTIF(Base!$D$2:$D$2878,B2267)</f>
        <v>1</v>
      </c>
      <c r="G2267" s="35" t="n">
        <f aca="false">SUMIF(Base!$D$2:$D$2878,B2267,Base!$I$2:$I$2878)</f>
        <v>98</v>
      </c>
      <c r="H2267" s="36" t="n">
        <f aca="false">IF($G$2849=0,0,G2267/$G$2849)</f>
        <v>6.43097817984765E-006</v>
      </c>
      <c r="I2267" s="37" t="n">
        <f aca="false">I2266+H2267</f>
        <v>0.998363602815795</v>
      </c>
      <c r="J2267" s="37" t="n">
        <f aca="false">A2267/2840</f>
        <v>0.795774647887324</v>
      </c>
      <c r="K2267" s="32" t="str">
        <f aca="false">IF(I2267&lt;=$E$4,"A",IF(I2267&lt;=$E$5,"B","C"))</f>
        <v>C</v>
      </c>
    </row>
    <row r="2268" customFormat="false" ht="15" hidden="false" customHeight="false" outlineLevel="0" collapsed="false">
      <c r="A2268" s="32" t="n">
        <v>2261</v>
      </c>
      <c r="B2268" s="33" t="n">
        <v>31973</v>
      </c>
      <c r="C2268" s="34" t="s">
        <v>4608</v>
      </c>
      <c r="D2268" s="34" t="s">
        <v>4609</v>
      </c>
      <c r="E2268" s="34" t="s">
        <v>457</v>
      </c>
      <c r="F2268" s="32" t="n">
        <f aca="false">COUNTIF(Base!$D$2:$D$2878,B2268)</f>
        <v>1</v>
      </c>
      <c r="G2268" s="35" t="n">
        <f aca="false">SUMIF(Base!$D$2:$D$2878,B2268,Base!$I$2:$I$2878)</f>
        <v>98</v>
      </c>
      <c r="H2268" s="36" t="n">
        <f aca="false">IF($G$2849=0,0,G2268/$G$2849)</f>
        <v>6.43097817984765E-006</v>
      </c>
      <c r="I2268" s="37" t="n">
        <f aca="false">I2267+H2268</f>
        <v>0.998370033793975</v>
      </c>
      <c r="J2268" s="37" t="n">
        <f aca="false">A2268/2840</f>
        <v>0.79612676056338</v>
      </c>
      <c r="K2268" s="32" t="str">
        <f aca="false">IF(I2268&lt;=$E$4,"A",IF(I2268&lt;=$E$5,"B","C"))</f>
        <v>C</v>
      </c>
    </row>
    <row r="2269" customFormat="false" ht="15" hidden="false" customHeight="false" outlineLevel="0" collapsed="false">
      <c r="A2269" s="32" t="n">
        <v>2262</v>
      </c>
      <c r="B2269" s="33" t="n">
        <v>32457</v>
      </c>
      <c r="C2269" s="34" t="s">
        <v>4610</v>
      </c>
      <c r="D2269" s="34" t="s">
        <v>4611</v>
      </c>
      <c r="E2269" s="34" t="s">
        <v>38</v>
      </c>
      <c r="F2269" s="32" t="n">
        <f aca="false">COUNTIF(Base!$D$2:$D$2878,B2269)</f>
        <v>1</v>
      </c>
      <c r="G2269" s="35" t="n">
        <f aca="false">SUMIF(Base!$D$2:$D$2878,B2269,Base!$I$2:$I$2878)</f>
        <v>98</v>
      </c>
      <c r="H2269" s="36" t="n">
        <f aca="false">IF($G$2849=0,0,G2269/$G$2849)</f>
        <v>6.43097817984765E-006</v>
      </c>
      <c r="I2269" s="37" t="n">
        <f aca="false">I2268+H2269</f>
        <v>0.998376464772155</v>
      </c>
      <c r="J2269" s="37" t="n">
        <f aca="false">A2269/2840</f>
        <v>0.796478873239437</v>
      </c>
      <c r="K2269" s="32" t="str">
        <f aca="false">IF(I2269&lt;=$E$4,"A",IF(I2269&lt;=$E$5,"B","C"))</f>
        <v>C</v>
      </c>
    </row>
    <row r="2270" customFormat="false" ht="15" hidden="false" customHeight="false" outlineLevel="0" collapsed="false">
      <c r="A2270" s="32" t="n">
        <v>2263</v>
      </c>
      <c r="B2270" s="33" t="n">
        <v>57261</v>
      </c>
      <c r="C2270" s="34" t="s">
        <v>4612</v>
      </c>
      <c r="D2270" s="34" t="s">
        <v>4613</v>
      </c>
      <c r="E2270" s="34" t="s">
        <v>38</v>
      </c>
      <c r="F2270" s="32" t="n">
        <f aca="false">COUNTIF(Base!$D$2:$D$2878,B2270)</f>
        <v>1</v>
      </c>
      <c r="G2270" s="35" t="n">
        <f aca="false">SUMIF(Base!$D$2:$D$2878,B2270,Base!$I$2:$I$2878)</f>
        <v>98</v>
      </c>
      <c r="H2270" s="36" t="n">
        <f aca="false">IF($G$2849=0,0,G2270/$G$2849)</f>
        <v>6.43097817984765E-006</v>
      </c>
      <c r="I2270" s="37" t="n">
        <f aca="false">I2269+H2270</f>
        <v>0.998382895750335</v>
      </c>
      <c r="J2270" s="37" t="n">
        <f aca="false">A2270/2840</f>
        <v>0.796830985915493</v>
      </c>
      <c r="K2270" s="32" t="str">
        <f aca="false">IF(I2270&lt;=$E$4,"A",IF(I2270&lt;=$E$5,"B","C"))</f>
        <v>C</v>
      </c>
    </row>
    <row r="2271" customFormat="false" ht="15" hidden="false" customHeight="false" outlineLevel="0" collapsed="false">
      <c r="A2271" s="32" t="n">
        <v>2264</v>
      </c>
      <c r="B2271" s="33" t="n">
        <v>60331</v>
      </c>
      <c r="C2271" s="34" t="s">
        <v>4614</v>
      </c>
      <c r="D2271" s="34" t="s">
        <v>4615</v>
      </c>
      <c r="E2271" s="34" t="s">
        <v>1618</v>
      </c>
      <c r="F2271" s="32" t="n">
        <f aca="false">COUNTIF(Base!$D$2:$D$2878,B2271)</f>
        <v>1</v>
      </c>
      <c r="G2271" s="35" t="n">
        <f aca="false">SUMIF(Base!$D$2:$D$2878,B2271,Base!$I$2:$I$2878)</f>
        <v>98</v>
      </c>
      <c r="H2271" s="36" t="n">
        <f aca="false">IF($G$2849=0,0,G2271/$G$2849)</f>
        <v>6.43097817984765E-006</v>
      </c>
      <c r="I2271" s="37" t="n">
        <f aca="false">I2270+H2271</f>
        <v>0.998389326728515</v>
      </c>
      <c r="J2271" s="37" t="n">
        <f aca="false">A2271/2840</f>
        <v>0.797183098591549</v>
      </c>
      <c r="K2271" s="32" t="str">
        <f aca="false">IF(I2271&lt;=$E$4,"A",IF(I2271&lt;=$E$5,"B","C"))</f>
        <v>C</v>
      </c>
    </row>
    <row r="2272" customFormat="false" ht="15" hidden="false" customHeight="false" outlineLevel="0" collapsed="false">
      <c r="A2272" s="32" t="n">
        <v>2265</v>
      </c>
      <c r="B2272" s="33" t="n">
        <v>60675</v>
      </c>
      <c r="C2272" s="34" t="s">
        <v>4616</v>
      </c>
      <c r="D2272" s="34" t="s">
        <v>4617</v>
      </c>
      <c r="E2272" s="34" t="s">
        <v>247</v>
      </c>
      <c r="F2272" s="32" t="n">
        <f aca="false">COUNTIF(Base!$D$2:$D$2878,B2272)</f>
        <v>1</v>
      </c>
      <c r="G2272" s="35" t="n">
        <f aca="false">SUMIF(Base!$D$2:$D$2878,B2272,Base!$I$2:$I$2878)</f>
        <v>98</v>
      </c>
      <c r="H2272" s="36" t="n">
        <f aca="false">IF($G$2849=0,0,G2272/$G$2849)</f>
        <v>6.43097817984765E-006</v>
      </c>
      <c r="I2272" s="37" t="n">
        <f aca="false">I2271+H2272</f>
        <v>0.998395757706695</v>
      </c>
      <c r="J2272" s="37" t="n">
        <f aca="false">A2272/2840</f>
        <v>0.797535211267606</v>
      </c>
      <c r="K2272" s="32" t="str">
        <f aca="false">IF(I2272&lt;=$E$4,"A",IF(I2272&lt;=$E$5,"B","C"))</f>
        <v>C</v>
      </c>
    </row>
    <row r="2273" customFormat="false" ht="15" hidden="false" customHeight="false" outlineLevel="0" collapsed="false">
      <c r="A2273" s="32" t="n">
        <v>2266</v>
      </c>
      <c r="B2273" s="33" t="n">
        <v>230155</v>
      </c>
      <c r="C2273" s="34" t="s">
        <v>4618</v>
      </c>
      <c r="D2273" s="34" t="s">
        <v>4619</v>
      </c>
      <c r="E2273" s="34" t="s">
        <v>247</v>
      </c>
      <c r="F2273" s="32" t="n">
        <f aca="false">COUNTIF(Base!$D$2:$D$2878,B2273)</f>
        <v>1</v>
      </c>
      <c r="G2273" s="35" t="n">
        <f aca="false">SUMIF(Base!$D$2:$D$2878,B2273,Base!$I$2:$I$2878)</f>
        <v>98</v>
      </c>
      <c r="H2273" s="36" t="n">
        <f aca="false">IF($G$2849=0,0,G2273/$G$2849)</f>
        <v>6.43097817984765E-006</v>
      </c>
      <c r="I2273" s="37" t="n">
        <f aca="false">I2272+H2273</f>
        <v>0.998402188684875</v>
      </c>
      <c r="J2273" s="37" t="n">
        <f aca="false">A2273/2840</f>
        <v>0.797887323943662</v>
      </c>
      <c r="K2273" s="32" t="str">
        <f aca="false">IF(I2273&lt;=$E$4,"A",IF(I2273&lt;=$E$5,"B","C"))</f>
        <v>C</v>
      </c>
    </row>
    <row r="2274" customFormat="false" ht="15" hidden="false" customHeight="false" outlineLevel="0" collapsed="false">
      <c r="A2274" s="32" t="n">
        <v>2267</v>
      </c>
      <c r="B2274" s="33" t="n">
        <v>602574</v>
      </c>
      <c r="C2274" s="34" t="s">
        <v>4620</v>
      </c>
      <c r="D2274" s="34" t="s">
        <v>4621</v>
      </c>
      <c r="E2274" s="34" t="s">
        <v>100</v>
      </c>
      <c r="F2274" s="32" t="n">
        <f aca="false">COUNTIF(Base!$D$2:$D$2878,B2274)</f>
        <v>1</v>
      </c>
      <c r="G2274" s="35" t="n">
        <f aca="false">SUMIF(Base!$D$2:$D$2878,B2274,Base!$I$2:$I$2878)</f>
        <v>98</v>
      </c>
      <c r="H2274" s="36" t="n">
        <f aca="false">IF($G$2849=0,0,G2274/$G$2849)</f>
        <v>6.43097817984765E-006</v>
      </c>
      <c r="I2274" s="37" t="n">
        <f aca="false">I2273+H2274</f>
        <v>0.998408619663055</v>
      </c>
      <c r="J2274" s="37" t="n">
        <f aca="false">A2274/2840</f>
        <v>0.798239436619718</v>
      </c>
      <c r="K2274" s="32" t="str">
        <f aca="false">IF(I2274&lt;=$E$4,"A",IF(I2274&lt;=$E$5,"B","C"))</f>
        <v>C</v>
      </c>
    </row>
    <row r="2275" customFormat="false" ht="15" hidden="false" customHeight="false" outlineLevel="0" collapsed="false">
      <c r="A2275" s="32" t="n">
        <v>2268</v>
      </c>
      <c r="B2275" s="33" t="n">
        <v>609684</v>
      </c>
      <c r="C2275" s="34" t="s">
        <v>4622</v>
      </c>
      <c r="D2275" s="34" t="s">
        <v>4623</v>
      </c>
      <c r="E2275" s="34" t="s">
        <v>130</v>
      </c>
      <c r="F2275" s="32" t="n">
        <f aca="false">COUNTIF(Base!$D$2:$D$2878,B2275)</f>
        <v>1</v>
      </c>
      <c r="G2275" s="35" t="n">
        <f aca="false">SUMIF(Base!$D$2:$D$2878,B2275,Base!$I$2:$I$2878)</f>
        <v>98</v>
      </c>
      <c r="H2275" s="36" t="n">
        <f aca="false">IF($G$2849=0,0,G2275/$G$2849)</f>
        <v>6.43097817984765E-006</v>
      </c>
      <c r="I2275" s="37" t="n">
        <f aca="false">I2274+H2275</f>
        <v>0.998415050641234</v>
      </c>
      <c r="J2275" s="37" t="n">
        <f aca="false">A2275/2840</f>
        <v>0.798591549295775</v>
      </c>
      <c r="K2275" s="32" t="str">
        <f aca="false">IF(I2275&lt;=$E$4,"A",IF(I2275&lt;=$E$5,"B","C"))</f>
        <v>C</v>
      </c>
    </row>
    <row r="2276" customFormat="false" ht="15" hidden="false" customHeight="false" outlineLevel="0" collapsed="false">
      <c r="A2276" s="32" t="n">
        <v>2269</v>
      </c>
      <c r="B2276" s="33" t="n">
        <v>871972</v>
      </c>
      <c r="C2276" s="34" t="s">
        <v>4624</v>
      </c>
      <c r="D2276" s="34" t="s">
        <v>4625</v>
      </c>
      <c r="E2276" s="34" t="s">
        <v>480</v>
      </c>
      <c r="F2276" s="32" t="n">
        <f aca="false">COUNTIF(Base!$D$2:$D$2878,B2276)</f>
        <v>1</v>
      </c>
      <c r="G2276" s="35" t="n">
        <f aca="false">SUMIF(Base!$D$2:$D$2878,B2276,Base!$I$2:$I$2878)</f>
        <v>98</v>
      </c>
      <c r="H2276" s="36" t="n">
        <f aca="false">IF($G$2849=0,0,G2276/$G$2849)</f>
        <v>6.43097817984765E-006</v>
      </c>
      <c r="I2276" s="37" t="n">
        <f aca="false">I2275+H2276</f>
        <v>0.998421481619414</v>
      </c>
      <c r="J2276" s="37" t="n">
        <f aca="false">A2276/2840</f>
        <v>0.798943661971831</v>
      </c>
      <c r="K2276" s="32" t="str">
        <f aca="false">IF(I2276&lt;=$E$4,"A",IF(I2276&lt;=$E$5,"B","C"))</f>
        <v>C</v>
      </c>
    </row>
    <row r="2277" customFormat="false" ht="15" hidden="false" customHeight="false" outlineLevel="0" collapsed="false">
      <c r="A2277" s="32" t="n">
        <v>2270</v>
      </c>
      <c r="B2277" s="33" t="n">
        <v>1090204</v>
      </c>
      <c r="C2277" s="34" t="s">
        <v>4626</v>
      </c>
      <c r="D2277" s="34" t="s">
        <v>4627</v>
      </c>
      <c r="E2277" s="34" t="s">
        <v>1354</v>
      </c>
      <c r="F2277" s="32" t="n">
        <f aca="false">COUNTIF(Base!$D$2:$D$2878,B2277)</f>
        <v>1</v>
      </c>
      <c r="G2277" s="35" t="n">
        <f aca="false">SUMIF(Base!$D$2:$D$2878,B2277,Base!$I$2:$I$2878)</f>
        <v>98</v>
      </c>
      <c r="H2277" s="36" t="n">
        <f aca="false">IF($G$2849=0,0,G2277/$G$2849)</f>
        <v>6.43097817984765E-006</v>
      </c>
      <c r="I2277" s="37" t="n">
        <f aca="false">I2276+H2277</f>
        <v>0.998427912597594</v>
      </c>
      <c r="J2277" s="37" t="n">
        <f aca="false">A2277/2840</f>
        <v>0.799295774647887</v>
      </c>
      <c r="K2277" s="32" t="str">
        <f aca="false">IF(I2277&lt;=$E$4,"A",IF(I2277&lt;=$E$5,"B","C"))</f>
        <v>C</v>
      </c>
    </row>
    <row r="2278" customFormat="false" ht="15" hidden="false" customHeight="false" outlineLevel="0" collapsed="false">
      <c r="A2278" s="32" t="n">
        <v>2271</v>
      </c>
      <c r="B2278" s="33" t="n">
        <v>1389022</v>
      </c>
      <c r="C2278" s="34" t="s">
        <v>4628</v>
      </c>
      <c r="D2278" s="34" t="s">
        <v>4629</v>
      </c>
      <c r="E2278" s="34" t="s">
        <v>1618</v>
      </c>
      <c r="F2278" s="32" t="n">
        <f aca="false">COUNTIF(Base!$D$2:$D$2878,B2278)</f>
        <v>1</v>
      </c>
      <c r="G2278" s="35" t="n">
        <f aca="false">SUMIF(Base!$D$2:$D$2878,B2278,Base!$I$2:$I$2878)</f>
        <v>98</v>
      </c>
      <c r="H2278" s="36" t="n">
        <f aca="false">IF($G$2849=0,0,G2278/$G$2849)</f>
        <v>6.43097817984765E-006</v>
      </c>
      <c r="I2278" s="37" t="n">
        <f aca="false">I2277+H2278</f>
        <v>0.998434343575774</v>
      </c>
      <c r="J2278" s="37" t="n">
        <f aca="false">A2278/2840</f>
        <v>0.799647887323944</v>
      </c>
      <c r="K2278" s="32" t="str">
        <f aca="false">IF(I2278&lt;=$E$4,"A",IF(I2278&lt;=$E$5,"B","C"))</f>
        <v>C</v>
      </c>
    </row>
    <row r="2279" customFormat="false" ht="15" hidden="false" customHeight="false" outlineLevel="0" collapsed="false">
      <c r="A2279" s="32" t="n">
        <v>2272</v>
      </c>
      <c r="B2279" s="33" t="n">
        <v>1484060</v>
      </c>
      <c r="C2279" s="34" t="s">
        <v>4630</v>
      </c>
      <c r="D2279" s="34" t="s">
        <v>4631</v>
      </c>
      <c r="E2279" s="34" t="s">
        <v>100</v>
      </c>
      <c r="F2279" s="32" t="n">
        <f aca="false">COUNTIF(Base!$D$2:$D$2878,B2279)</f>
        <v>1</v>
      </c>
      <c r="G2279" s="35" t="n">
        <f aca="false">SUMIF(Base!$D$2:$D$2878,B2279,Base!$I$2:$I$2878)</f>
        <v>98</v>
      </c>
      <c r="H2279" s="36" t="n">
        <f aca="false">IF($G$2849=0,0,G2279/$G$2849)</f>
        <v>6.43097817984765E-006</v>
      </c>
      <c r="I2279" s="37" t="n">
        <f aca="false">I2278+H2279</f>
        <v>0.998440774553954</v>
      </c>
      <c r="J2279" s="37" t="n">
        <f aca="false">A2279/2840</f>
        <v>0.8</v>
      </c>
      <c r="K2279" s="32" t="str">
        <f aca="false">IF(I2279&lt;=$E$4,"A",IF(I2279&lt;=$E$5,"B","C"))</f>
        <v>C</v>
      </c>
    </row>
    <row r="2280" customFormat="false" ht="15" hidden="false" customHeight="false" outlineLevel="0" collapsed="false">
      <c r="A2280" s="32" t="n">
        <v>2273</v>
      </c>
      <c r="B2280" s="33" t="n">
        <v>1476335</v>
      </c>
      <c r="C2280" s="34" t="s">
        <v>4632</v>
      </c>
      <c r="D2280" s="34" t="s">
        <v>4633</v>
      </c>
      <c r="E2280" s="34" t="s">
        <v>133</v>
      </c>
      <c r="F2280" s="32" t="n">
        <f aca="false">COUNTIF(Base!$D$2:$D$2878,B2280)</f>
        <v>1</v>
      </c>
      <c r="G2280" s="35" t="n">
        <f aca="false">SUMIF(Base!$D$2:$D$2878,B2280,Base!$I$2:$I$2878)</f>
        <v>97.8</v>
      </c>
      <c r="H2280" s="36" t="n">
        <f aca="false">IF($G$2849=0,0,G2280/$G$2849)</f>
        <v>6.41785373458265E-006</v>
      </c>
      <c r="I2280" s="37" t="n">
        <f aca="false">I2279+H2280</f>
        <v>0.998447192407688</v>
      </c>
      <c r="J2280" s="37" t="n">
        <f aca="false">A2280/2840</f>
        <v>0.800352112676056</v>
      </c>
      <c r="K2280" s="32" t="str">
        <f aca="false">IF(I2280&lt;=$E$4,"A",IF(I2280&lt;=$E$5,"B","C"))</f>
        <v>C</v>
      </c>
    </row>
    <row r="2281" customFormat="false" ht="15" hidden="false" customHeight="false" outlineLevel="0" collapsed="false">
      <c r="A2281" s="32" t="n">
        <v>2274</v>
      </c>
      <c r="B2281" s="33" t="n">
        <v>1386070</v>
      </c>
      <c r="C2281" s="34" t="s">
        <v>4634</v>
      </c>
      <c r="D2281" s="34" t="s">
        <v>4635</v>
      </c>
      <c r="E2281" s="34" t="s">
        <v>160</v>
      </c>
      <c r="F2281" s="32" t="n">
        <f aca="false">COUNTIF(Base!$D$2:$D$2878,B2281)</f>
        <v>1</v>
      </c>
      <c r="G2281" s="35" t="n">
        <f aca="false">SUMIF(Base!$D$2:$D$2878,B2281,Base!$I$2:$I$2878)</f>
        <v>97.08</v>
      </c>
      <c r="H2281" s="36" t="n">
        <f aca="false">IF($G$2849=0,0,G2281/$G$2849)</f>
        <v>6.37060573162867E-006</v>
      </c>
      <c r="I2281" s="37" t="n">
        <f aca="false">I2280+H2281</f>
        <v>0.99845356301342</v>
      </c>
      <c r="J2281" s="37" t="n">
        <f aca="false">A2281/2840</f>
        <v>0.800704225352113</v>
      </c>
      <c r="K2281" s="32" t="str">
        <f aca="false">IF(I2281&lt;=$E$4,"A",IF(I2281&lt;=$E$5,"B","C"))</f>
        <v>C</v>
      </c>
    </row>
    <row r="2282" customFormat="false" ht="15" hidden="false" customHeight="false" outlineLevel="0" collapsed="false">
      <c r="A2282" s="32" t="n">
        <v>2275</v>
      </c>
      <c r="B2282" s="33" t="n">
        <v>1096772</v>
      </c>
      <c r="C2282" s="34" t="s">
        <v>4636</v>
      </c>
      <c r="D2282" s="34" t="s">
        <v>4637</v>
      </c>
      <c r="E2282" s="34" t="s">
        <v>38</v>
      </c>
      <c r="F2282" s="32" t="n">
        <f aca="false">COUNTIF(Base!$D$2:$D$2878,B2282)</f>
        <v>1</v>
      </c>
      <c r="G2282" s="35" t="n">
        <f aca="false">SUMIF(Base!$D$2:$D$2878,B2282,Base!$I$2:$I$2878)</f>
        <v>96.58</v>
      </c>
      <c r="H2282" s="36" t="n">
        <f aca="false">IF($G$2849=0,0,G2282/$G$2849)</f>
        <v>6.33779461846618E-006</v>
      </c>
      <c r="I2282" s="37" t="n">
        <f aca="false">I2281+H2282</f>
        <v>0.998459900808039</v>
      </c>
      <c r="J2282" s="37" t="n">
        <f aca="false">A2282/2840</f>
        <v>0.801056338028169</v>
      </c>
      <c r="K2282" s="32" t="str">
        <f aca="false">IF(I2282&lt;=$E$4,"A",IF(I2282&lt;=$E$5,"B","C"))</f>
        <v>C</v>
      </c>
    </row>
    <row r="2283" customFormat="false" ht="15" hidden="false" customHeight="false" outlineLevel="0" collapsed="false">
      <c r="A2283" s="32" t="n">
        <v>2276</v>
      </c>
      <c r="B2283" s="33" t="n">
        <v>884822</v>
      </c>
      <c r="C2283" s="34" t="s">
        <v>4638</v>
      </c>
      <c r="D2283" s="34" t="s">
        <v>4639</v>
      </c>
      <c r="E2283" s="34" t="s">
        <v>38</v>
      </c>
      <c r="F2283" s="32" t="n">
        <f aca="false">COUNTIF(Base!$D$2:$D$2878,B2283)</f>
        <v>1</v>
      </c>
      <c r="G2283" s="35" t="n">
        <f aca="false">SUMIF(Base!$D$2:$D$2878,B2283,Base!$I$2:$I$2878)</f>
        <v>96.03</v>
      </c>
      <c r="H2283" s="36" t="n">
        <f aca="false">IF($G$2849=0,0,G2283/$G$2849)</f>
        <v>6.30170239398745E-006</v>
      </c>
      <c r="I2283" s="37" t="n">
        <f aca="false">I2282+H2283</f>
        <v>0.998466202510433</v>
      </c>
      <c r="J2283" s="37" t="n">
        <f aca="false">A2283/2840</f>
        <v>0.801408450704225</v>
      </c>
      <c r="K2283" s="32" t="str">
        <f aca="false">IF(I2283&lt;=$E$4,"A",IF(I2283&lt;=$E$5,"B","C"))</f>
        <v>C</v>
      </c>
    </row>
    <row r="2284" customFormat="false" ht="15" hidden="false" customHeight="false" outlineLevel="0" collapsed="false">
      <c r="A2284" s="32" t="n">
        <v>2277</v>
      </c>
      <c r="B2284" s="33" t="n">
        <v>351660</v>
      </c>
      <c r="C2284" s="34" t="s">
        <v>4640</v>
      </c>
      <c r="D2284" s="34" t="s">
        <v>4641</v>
      </c>
      <c r="E2284" s="34" t="s">
        <v>130</v>
      </c>
      <c r="F2284" s="32" t="n">
        <f aca="false">COUNTIF(Base!$D$2:$D$2878,B2284)</f>
        <v>1</v>
      </c>
      <c r="G2284" s="35" t="n">
        <f aca="false">SUMIF(Base!$D$2:$D$2878,B2284,Base!$I$2:$I$2878)</f>
        <v>96</v>
      </c>
      <c r="H2284" s="36" t="n">
        <f aca="false">IF($G$2849=0,0,G2284/$G$2849)</f>
        <v>6.2997337271977E-006</v>
      </c>
      <c r="I2284" s="37" t="n">
        <f aca="false">I2283+H2284</f>
        <v>0.99847250224416</v>
      </c>
      <c r="J2284" s="37" t="n">
        <f aca="false">A2284/2840</f>
        <v>0.801760563380282</v>
      </c>
      <c r="K2284" s="32" t="str">
        <f aca="false">IF(I2284&lt;=$E$4,"A",IF(I2284&lt;=$E$5,"B","C"))</f>
        <v>C</v>
      </c>
    </row>
    <row r="2285" customFormat="false" ht="15" hidden="false" customHeight="false" outlineLevel="0" collapsed="false">
      <c r="A2285" s="32" t="n">
        <v>2278</v>
      </c>
      <c r="B2285" s="33" t="n">
        <v>747903</v>
      </c>
      <c r="C2285" s="34" t="s">
        <v>4642</v>
      </c>
      <c r="D2285" s="34" t="s">
        <v>4643</v>
      </c>
      <c r="E2285" s="34" t="s">
        <v>54</v>
      </c>
      <c r="F2285" s="32" t="n">
        <f aca="false">COUNTIF(Base!$D$2:$D$2878,B2285)</f>
        <v>1</v>
      </c>
      <c r="G2285" s="35" t="n">
        <f aca="false">SUMIF(Base!$D$2:$D$2878,B2285,Base!$I$2:$I$2878)</f>
        <v>96</v>
      </c>
      <c r="H2285" s="36" t="n">
        <f aca="false">IF($G$2849=0,0,G2285/$G$2849)</f>
        <v>6.2997337271977E-006</v>
      </c>
      <c r="I2285" s="37" t="n">
        <f aca="false">I2284+H2285</f>
        <v>0.998478801977887</v>
      </c>
      <c r="J2285" s="37" t="n">
        <f aca="false">A2285/2840</f>
        <v>0.802112676056338</v>
      </c>
      <c r="K2285" s="32" t="str">
        <f aca="false">IF(I2285&lt;=$E$4,"A",IF(I2285&lt;=$E$5,"B","C"))</f>
        <v>C</v>
      </c>
    </row>
    <row r="2286" customFormat="false" ht="15" hidden="false" customHeight="false" outlineLevel="0" collapsed="false">
      <c r="A2286" s="32" t="n">
        <v>2279</v>
      </c>
      <c r="B2286" s="33" t="n">
        <v>1538738</v>
      </c>
      <c r="C2286" s="34" t="s">
        <v>4644</v>
      </c>
      <c r="D2286" s="34" t="s">
        <v>4645</v>
      </c>
      <c r="E2286" s="34" t="s">
        <v>262</v>
      </c>
      <c r="F2286" s="32" t="n">
        <f aca="false">COUNTIF(Base!$D$2:$D$2878,B2286)</f>
        <v>1</v>
      </c>
      <c r="G2286" s="35" t="n">
        <f aca="false">SUMIF(Base!$D$2:$D$2878,B2286,Base!$I$2:$I$2878)</f>
        <v>96</v>
      </c>
      <c r="H2286" s="36" t="n">
        <f aca="false">IF($G$2849=0,0,G2286/$G$2849)</f>
        <v>6.2997337271977E-006</v>
      </c>
      <c r="I2286" s="37" t="n">
        <f aca="false">I2285+H2286</f>
        <v>0.998485101711614</v>
      </c>
      <c r="J2286" s="37" t="n">
        <f aca="false">A2286/2840</f>
        <v>0.802464788732394</v>
      </c>
      <c r="K2286" s="32" t="str">
        <f aca="false">IF(I2286&lt;=$E$4,"A",IF(I2286&lt;=$E$5,"B","C"))</f>
        <v>C</v>
      </c>
    </row>
    <row r="2287" customFormat="false" ht="15" hidden="false" customHeight="false" outlineLevel="0" collapsed="false">
      <c r="A2287" s="32" t="n">
        <v>2280</v>
      </c>
      <c r="B2287" s="33" t="n">
        <v>1661534</v>
      </c>
      <c r="C2287" s="34" t="s">
        <v>4646</v>
      </c>
      <c r="D2287" s="34" t="s">
        <v>4647</v>
      </c>
      <c r="E2287" s="34" t="s">
        <v>38</v>
      </c>
      <c r="F2287" s="32" t="n">
        <f aca="false">COUNTIF(Base!$D$2:$D$2878,B2287)</f>
        <v>1</v>
      </c>
      <c r="G2287" s="35" t="n">
        <f aca="false">SUMIF(Base!$D$2:$D$2878,B2287,Base!$I$2:$I$2878)</f>
        <v>96</v>
      </c>
      <c r="H2287" s="36" t="n">
        <f aca="false">IF($G$2849=0,0,G2287/$G$2849)</f>
        <v>6.2997337271977E-006</v>
      </c>
      <c r="I2287" s="37" t="n">
        <f aca="false">I2286+H2287</f>
        <v>0.998491401445341</v>
      </c>
      <c r="J2287" s="37" t="n">
        <f aca="false">A2287/2840</f>
        <v>0.802816901408451</v>
      </c>
      <c r="K2287" s="32" t="str">
        <f aca="false">IF(I2287&lt;=$E$4,"A",IF(I2287&lt;=$E$5,"B","C"))</f>
        <v>C</v>
      </c>
    </row>
    <row r="2288" customFormat="false" ht="15" hidden="false" customHeight="false" outlineLevel="0" collapsed="false">
      <c r="A2288" s="32" t="n">
        <v>2281</v>
      </c>
      <c r="B2288" s="33" t="n">
        <v>12642</v>
      </c>
      <c r="C2288" s="34" t="s">
        <v>4648</v>
      </c>
      <c r="D2288" s="34" t="s">
        <v>4649</v>
      </c>
      <c r="E2288" s="34" t="s">
        <v>38</v>
      </c>
      <c r="F2288" s="32" t="n">
        <f aca="false">COUNTIF(Base!$D$2:$D$2878,B2288)</f>
        <v>1</v>
      </c>
      <c r="G2288" s="35" t="n">
        <f aca="false">SUMIF(Base!$D$2:$D$2878,B2288,Base!$I$2:$I$2878)</f>
        <v>95.68</v>
      </c>
      <c r="H2288" s="36" t="n">
        <f aca="false">IF($G$2849=0,0,G2288/$G$2849)</f>
        <v>6.27873461477371E-006</v>
      </c>
      <c r="I2288" s="37" t="n">
        <f aca="false">I2287+H2288</f>
        <v>0.998497680179956</v>
      </c>
      <c r="J2288" s="37" t="n">
        <f aca="false">A2288/2840</f>
        <v>0.803169014084507</v>
      </c>
      <c r="K2288" s="32" t="str">
        <f aca="false">IF(I2288&lt;=$E$4,"A",IF(I2288&lt;=$E$5,"B","C"))</f>
        <v>C</v>
      </c>
    </row>
    <row r="2289" customFormat="false" ht="15" hidden="false" customHeight="false" outlineLevel="0" collapsed="false">
      <c r="A2289" s="32" t="n">
        <v>2282</v>
      </c>
      <c r="B2289" s="33" t="n">
        <v>750196</v>
      </c>
      <c r="C2289" s="34" t="s">
        <v>4650</v>
      </c>
      <c r="D2289" s="34" t="s">
        <v>4651</v>
      </c>
      <c r="E2289" s="34" t="s">
        <v>1618</v>
      </c>
      <c r="F2289" s="32" t="n">
        <f aca="false">COUNTIF(Base!$D$2:$D$2878,B2289)</f>
        <v>1</v>
      </c>
      <c r="G2289" s="35" t="n">
        <f aca="false">SUMIF(Base!$D$2:$D$2878,B2289,Base!$I$2:$I$2878)</f>
        <v>95.06</v>
      </c>
      <c r="H2289" s="36" t="n">
        <f aca="false">IF($G$2849=0,0,G2289/$G$2849)</f>
        <v>6.23804883445222E-006</v>
      </c>
      <c r="I2289" s="37" t="n">
        <f aca="false">I2288+H2289</f>
        <v>0.998503918228791</v>
      </c>
      <c r="J2289" s="37" t="n">
        <f aca="false">A2289/2840</f>
        <v>0.803521126760563</v>
      </c>
      <c r="K2289" s="32" t="str">
        <f aca="false">IF(I2289&lt;=$E$4,"A",IF(I2289&lt;=$E$5,"B","C"))</f>
        <v>C</v>
      </c>
    </row>
    <row r="2290" customFormat="false" ht="15" hidden="false" customHeight="false" outlineLevel="0" collapsed="false">
      <c r="A2290" s="32" t="n">
        <v>2283</v>
      </c>
      <c r="B2290" s="33" t="n">
        <v>22054</v>
      </c>
      <c r="C2290" s="34" t="s">
        <v>4652</v>
      </c>
      <c r="D2290" s="34" t="s">
        <v>4653</v>
      </c>
      <c r="E2290" s="34" t="s">
        <v>722</v>
      </c>
      <c r="F2290" s="32" t="n">
        <f aca="false">COUNTIF(Base!$D$2:$D$2878,B2290)</f>
        <v>1</v>
      </c>
      <c r="G2290" s="35" t="n">
        <f aca="false">SUMIF(Base!$D$2:$D$2878,B2290,Base!$I$2:$I$2878)</f>
        <v>95</v>
      </c>
      <c r="H2290" s="36" t="n">
        <f aca="false">IF($G$2849=0,0,G2290/$G$2849)</f>
        <v>6.23411150087272E-006</v>
      </c>
      <c r="I2290" s="37" t="n">
        <f aca="false">I2289+H2290</f>
        <v>0.998510152340292</v>
      </c>
      <c r="J2290" s="37" t="n">
        <f aca="false">A2290/2840</f>
        <v>0.80387323943662</v>
      </c>
      <c r="K2290" s="32" t="str">
        <f aca="false">IF(I2290&lt;=$E$4,"A",IF(I2290&lt;=$E$5,"B","C"))</f>
        <v>C</v>
      </c>
    </row>
    <row r="2291" customFormat="false" ht="15" hidden="false" customHeight="false" outlineLevel="0" collapsed="false">
      <c r="A2291" s="32" t="n">
        <v>2284</v>
      </c>
      <c r="B2291" s="33" t="n">
        <v>18007</v>
      </c>
      <c r="C2291" s="34" t="s">
        <v>4654</v>
      </c>
      <c r="D2291" s="34" t="s">
        <v>4655</v>
      </c>
      <c r="E2291" s="34" t="s">
        <v>130</v>
      </c>
      <c r="F2291" s="32" t="n">
        <f aca="false">COUNTIF(Base!$D$2:$D$2878,B2291)</f>
        <v>1</v>
      </c>
      <c r="G2291" s="35" t="n">
        <f aca="false">SUMIF(Base!$D$2:$D$2878,B2291,Base!$I$2:$I$2878)</f>
        <v>94.45</v>
      </c>
      <c r="H2291" s="36" t="n">
        <f aca="false">IF($G$2849=0,0,G2291/$G$2849)</f>
        <v>6.19801927639399E-006</v>
      </c>
      <c r="I2291" s="37" t="n">
        <f aca="false">I2290+H2291</f>
        <v>0.998516350359568</v>
      </c>
      <c r="J2291" s="37" t="n">
        <f aca="false">A2291/2840</f>
        <v>0.804225352112676</v>
      </c>
      <c r="K2291" s="32" t="str">
        <f aca="false">IF(I2291&lt;=$E$4,"A",IF(I2291&lt;=$E$5,"B","C"))</f>
        <v>C</v>
      </c>
    </row>
    <row r="2292" customFormat="false" ht="15" hidden="false" customHeight="false" outlineLevel="0" collapsed="false">
      <c r="A2292" s="32" t="n">
        <v>2285</v>
      </c>
      <c r="B2292" s="33" t="n">
        <v>750195</v>
      </c>
      <c r="C2292" s="34" t="s">
        <v>4656</v>
      </c>
      <c r="D2292" s="34" t="s">
        <v>4657</v>
      </c>
      <c r="E2292" s="34" t="s">
        <v>1618</v>
      </c>
      <c r="F2292" s="32" t="n">
        <f aca="false">COUNTIF(Base!$D$2:$D$2878,B2292)</f>
        <v>1</v>
      </c>
      <c r="G2292" s="35" t="n">
        <f aca="false">SUMIF(Base!$D$2:$D$2878,B2292,Base!$I$2:$I$2878)</f>
        <v>94.09</v>
      </c>
      <c r="H2292" s="36" t="n">
        <f aca="false">IF($G$2849=0,0,G2292/$G$2849)</f>
        <v>6.17439527491699E-006</v>
      </c>
      <c r="I2292" s="37" t="n">
        <f aca="false">I2291+H2292</f>
        <v>0.998522524754843</v>
      </c>
      <c r="J2292" s="37" t="n">
        <f aca="false">A2292/2840</f>
        <v>0.804577464788732</v>
      </c>
      <c r="K2292" s="32" t="str">
        <f aca="false">IF(I2292&lt;=$E$4,"A",IF(I2292&lt;=$E$5,"B","C"))</f>
        <v>C</v>
      </c>
    </row>
    <row r="2293" customFormat="false" ht="15" hidden="false" customHeight="false" outlineLevel="0" collapsed="false">
      <c r="A2293" s="32" t="n">
        <v>2286</v>
      </c>
      <c r="B2293" s="33" t="n">
        <v>351656</v>
      </c>
      <c r="C2293" s="34" t="s">
        <v>4658</v>
      </c>
      <c r="D2293" s="34" t="s">
        <v>4659</v>
      </c>
      <c r="E2293" s="34" t="s">
        <v>130</v>
      </c>
      <c r="F2293" s="32" t="n">
        <f aca="false">COUNTIF(Base!$D$2:$D$2878,B2293)</f>
        <v>1</v>
      </c>
      <c r="G2293" s="35" t="n">
        <f aca="false">SUMIF(Base!$D$2:$D$2878,B2293,Base!$I$2:$I$2878)</f>
        <v>94</v>
      </c>
      <c r="H2293" s="36" t="n">
        <f aca="false">IF($G$2849=0,0,G2293/$G$2849)</f>
        <v>6.16848927454775E-006</v>
      </c>
      <c r="I2293" s="37" t="n">
        <f aca="false">I2292+H2293</f>
        <v>0.998528693244118</v>
      </c>
      <c r="J2293" s="37" t="n">
        <f aca="false">A2293/2840</f>
        <v>0.804929577464789</v>
      </c>
      <c r="K2293" s="32" t="str">
        <f aca="false">IF(I2293&lt;=$E$4,"A",IF(I2293&lt;=$E$5,"B","C"))</f>
        <v>C</v>
      </c>
    </row>
    <row r="2294" customFormat="false" ht="15" hidden="false" customHeight="false" outlineLevel="0" collapsed="false">
      <c r="A2294" s="32" t="n">
        <v>2287</v>
      </c>
      <c r="B2294" s="33" t="n">
        <v>840020</v>
      </c>
      <c r="C2294" s="34" t="s">
        <v>4660</v>
      </c>
      <c r="D2294" s="34" t="s">
        <v>4661</v>
      </c>
      <c r="E2294" s="34" t="s">
        <v>54</v>
      </c>
      <c r="F2294" s="32" t="n">
        <f aca="false">COUNTIF(Base!$D$2:$D$2878,B2294)</f>
        <v>1</v>
      </c>
      <c r="G2294" s="35" t="n">
        <f aca="false">SUMIF(Base!$D$2:$D$2878,B2294,Base!$I$2:$I$2878)</f>
        <v>94</v>
      </c>
      <c r="H2294" s="36" t="n">
        <f aca="false">IF($G$2849=0,0,G2294/$G$2849)</f>
        <v>6.16848927454775E-006</v>
      </c>
      <c r="I2294" s="37" t="n">
        <f aca="false">I2293+H2294</f>
        <v>0.998534861733392</v>
      </c>
      <c r="J2294" s="37" t="n">
        <f aca="false">A2294/2840</f>
        <v>0.805281690140845</v>
      </c>
      <c r="K2294" s="32" t="str">
        <f aca="false">IF(I2294&lt;=$E$4,"A",IF(I2294&lt;=$E$5,"B","C"))</f>
        <v>C</v>
      </c>
    </row>
    <row r="2295" customFormat="false" ht="15" hidden="false" customHeight="false" outlineLevel="0" collapsed="false">
      <c r="A2295" s="32" t="n">
        <v>2288</v>
      </c>
      <c r="B2295" s="33" t="n">
        <v>1315686</v>
      </c>
      <c r="C2295" s="34" t="s">
        <v>4662</v>
      </c>
      <c r="D2295" s="34" t="s">
        <v>4663</v>
      </c>
      <c r="E2295" s="34" t="s">
        <v>38</v>
      </c>
      <c r="F2295" s="32" t="n">
        <f aca="false">COUNTIF(Base!$D$2:$D$2878,B2295)</f>
        <v>1</v>
      </c>
      <c r="G2295" s="35" t="n">
        <f aca="false">SUMIF(Base!$D$2:$D$2878,B2295,Base!$I$2:$I$2878)</f>
        <v>93.65</v>
      </c>
      <c r="H2295" s="36" t="n">
        <f aca="false">IF($G$2849=0,0,G2295/$G$2849)</f>
        <v>6.145521495334E-006</v>
      </c>
      <c r="I2295" s="37" t="n">
        <f aca="false">I2294+H2295</f>
        <v>0.998541007254888</v>
      </c>
      <c r="J2295" s="37" t="n">
        <f aca="false">A2295/2840</f>
        <v>0.805633802816901</v>
      </c>
      <c r="K2295" s="32" t="str">
        <f aca="false">IF(I2295&lt;=$E$4,"A",IF(I2295&lt;=$E$5,"B","C"))</f>
        <v>C</v>
      </c>
    </row>
    <row r="2296" customFormat="false" ht="15" hidden="false" customHeight="false" outlineLevel="0" collapsed="false">
      <c r="A2296" s="32" t="n">
        <v>2289</v>
      </c>
      <c r="B2296" s="33" t="n">
        <v>950782</v>
      </c>
      <c r="C2296" s="34" t="s">
        <v>4664</v>
      </c>
      <c r="D2296" s="34" t="s">
        <v>4665</v>
      </c>
      <c r="E2296" s="34" t="s">
        <v>38</v>
      </c>
      <c r="F2296" s="32" t="n">
        <f aca="false">COUNTIF(Base!$D$2:$D$2878,B2296)</f>
        <v>1</v>
      </c>
      <c r="G2296" s="35" t="n">
        <f aca="false">SUMIF(Base!$D$2:$D$2878,B2296,Base!$I$2:$I$2878)</f>
        <v>93.6</v>
      </c>
      <c r="H2296" s="36" t="n">
        <f aca="false">IF($G$2849=0,0,G2296/$G$2849)</f>
        <v>6.14224038401776E-006</v>
      </c>
      <c r="I2296" s="37" t="n">
        <f aca="false">I2295+H2296</f>
        <v>0.998547149495272</v>
      </c>
      <c r="J2296" s="37" t="n">
        <f aca="false">A2296/2840</f>
        <v>0.805985915492958</v>
      </c>
      <c r="K2296" s="32" t="str">
        <f aca="false">IF(I2296&lt;=$E$4,"A",IF(I2296&lt;=$E$5,"B","C"))</f>
        <v>C</v>
      </c>
    </row>
    <row r="2297" customFormat="false" ht="15" hidden="false" customHeight="false" outlineLevel="0" collapsed="false">
      <c r="A2297" s="32" t="n">
        <v>2290</v>
      </c>
      <c r="B2297" s="33" t="n">
        <v>19346</v>
      </c>
      <c r="C2297" s="34" t="s">
        <v>4666</v>
      </c>
      <c r="D2297" s="34" t="s">
        <v>4667</v>
      </c>
      <c r="E2297" s="34" t="s">
        <v>1095</v>
      </c>
      <c r="F2297" s="32" t="n">
        <f aca="false">COUNTIF(Base!$D$2:$D$2878,B2297)</f>
        <v>1</v>
      </c>
      <c r="G2297" s="35" t="n">
        <f aca="false">SUMIF(Base!$D$2:$D$2878,B2297,Base!$I$2:$I$2878)</f>
        <v>93.4</v>
      </c>
      <c r="H2297" s="36" t="n">
        <f aca="false">IF($G$2849=0,0,G2297/$G$2849)</f>
        <v>6.12911593875276E-006</v>
      </c>
      <c r="I2297" s="37" t="n">
        <f aca="false">I2296+H2297</f>
        <v>0.99855327861121</v>
      </c>
      <c r="J2297" s="37" t="n">
        <f aca="false">A2297/2840</f>
        <v>0.806338028169014</v>
      </c>
      <c r="K2297" s="32" t="str">
        <f aca="false">IF(I2297&lt;=$E$4,"A",IF(I2297&lt;=$E$5,"B","C"))</f>
        <v>C</v>
      </c>
    </row>
    <row r="2298" customFormat="false" ht="15" hidden="false" customHeight="false" outlineLevel="0" collapsed="false">
      <c r="A2298" s="32" t="n">
        <v>2291</v>
      </c>
      <c r="B2298" s="33" t="n">
        <v>19347</v>
      </c>
      <c r="C2298" s="34" t="s">
        <v>4668</v>
      </c>
      <c r="D2298" s="34" t="s">
        <v>4669</v>
      </c>
      <c r="E2298" s="34" t="s">
        <v>1095</v>
      </c>
      <c r="F2298" s="32" t="n">
        <f aca="false">COUNTIF(Base!$D$2:$D$2878,B2298)</f>
        <v>1</v>
      </c>
      <c r="G2298" s="35" t="n">
        <f aca="false">SUMIF(Base!$D$2:$D$2878,B2298,Base!$I$2:$I$2878)</f>
        <v>93.4</v>
      </c>
      <c r="H2298" s="36" t="n">
        <f aca="false">IF($G$2849=0,0,G2298/$G$2849)</f>
        <v>6.12911593875276E-006</v>
      </c>
      <c r="I2298" s="37" t="n">
        <f aca="false">I2297+H2298</f>
        <v>0.998559407727149</v>
      </c>
      <c r="J2298" s="37" t="n">
        <f aca="false">A2298/2840</f>
        <v>0.80669014084507</v>
      </c>
      <c r="K2298" s="32" t="str">
        <f aca="false">IF(I2298&lt;=$E$4,"A",IF(I2298&lt;=$E$5,"B","C"))</f>
        <v>C</v>
      </c>
    </row>
    <row r="2299" customFormat="false" ht="15" hidden="false" customHeight="false" outlineLevel="0" collapsed="false">
      <c r="A2299" s="32" t="n">
        <v>2292</v>
      </c>
      <c r="B2299" s="33" t="n">
        <v>1379885</v>
      </c>
      <c r="C2299" s="34" t="s">
        <v>4670</v>
      </c>
      <c r="D2299" s="34" t="s">
        <v>4671</v>
      </c>
      <c r="E2299" s="34" t="s">
        <v>38</v>
      </c>
      <c r="F2299" s="32" t="n">
        <f aca="false">COUNTIF(Base!$D$2:$D$2878,B2299)</f>
        <v>1</v>
      </c>
      <c r="G2299" s="35" t="n">
        <f aca="false">SUMIF(Base!$D$2:$D$2878,B2299,Base!$I$2:$I$2878)</f>
        <v>93.24</v>
      </c>
      <c r="H2299" s="36" t="n">
        <f aca="false">IF($G$2849=0,0,G2299/$G$2849)</f>
        <v>6.11861638254076E-006</v>
      </c>
      <c r="I2299" s="37" t="n">
        <f aca="false">I2298+H2299</f>
        <v>0.998565526343532</v>
      </c>
      <c r="J2299" s="37" t="n">
        <f aca="false">A2299/2840</f>
        <v>0.807042253521127</v>
      </c>
      <c r="K2299" s="32" t="str">
        <f aca="false">IF(I2299&lt;=$E$4,"A",IF(I2299&lt;=$E$5,"B","C"))</f>
        <v>C</v>
      </c>
    </row>
    <row r="2300" customFormat="false" ht="15" hidden="false" customHeight="false" outlineLevel="0" collapsed="false">
      <c r="A2300" s="32" t="n">
        <v>2293</v>
      </c>
      <c r="B2300" s="33" t="n">
        <v>292160</v>
      </c>
      <c r="C2300" s="34" t="s">
        <v>4672</v>
      </c>
      <c r="D2300" s="34" t="s">
        <v>4673</v>
      </c>
      <c r="E2300" s="34" t="s">
        <v>230</v>
      </c>
      <c r="F2300" s="32" t="n">
        <f aca="false">COUNTIF(Base!$D$2:$D$2878,B2300)</f>
        <v>1</v>
      </c>
      <c r="G2300" s="35" t="n">
        <f aca="false">SUMIF(Base!$D$2:$D$2878,B2300,Base!$I$2:$I$2878)</f>
        <v>92.4</v>
      </c>
      <c r="H2300" s="36" t="n">
        <f aca="false">IF($G$2849=0,0,G2300/$G$2849)</f>
        <v>6.06349371242778E-006</v>
      </c>
      <c r="I2300" s="37" t="n">
        <f aca="false">I2299+H2300</f>
        <v>0.998571589837244</v>
      </c>
      <c r="J2300" s="37" t="n">
        <f aca="false">A2300/2840</f>
        <v>0.807394366197183</v>
      </c>
      <c r="K2300" s="32" t="str">
        <f aca="false">IF(I2300&lt;=$E$4,"A",IF(I2300&lt;=$E$5,"B","C"))</f>
        <v>C</v>
      </c>
    </row>
    <row r="2301" customFormat="false" ht="15" hidden="false" customHeight="false" outlineLevel="0" collapsed="false">
      <c r="A2301" s="32" t="n">
        <v>2294</v>
      </c>
      <c r="B2301" s="33" t="n">
        <v>19300</v>
      </c>
      <c r="C2301" s="34" t="s">
        <v>4674</v>
      </c>
      <c r="D2301" s="34" t="s">
        <v>4675</v>
      </c>
      <c r="E2301" s="34" t="s">
        <v>1095</v>
      </c>
      <c r="F2301" s="32" t="n">
        <f aca="false">COUNTIF(Base!$D$2:$D$2878,B2301)</f>
        <v>1</v>
      </c>
      <c r="G2301" s="35" t="n">
        <f aca="false">SUMIF(Base!$D$2:$D$2878,B2301,Base!$I$2:$I$2878)</f>
        <v>92</v>
      </c>
      <c r="H2301" s="36" t="n">
        <f aca="false">IF($G$2849=0,0,G2301/$G$2849)</f>
        <v>6.03724482189779E-006</v>
      </c>
      <c r="I2301" s="37" t="n">
        <f aca="false">I2300+H2301</f>
        <v>0.998577627082066</v>
      </c>
      <c r="J2301" s="37" t="n">
        <f aca="false">A2301/2840</f>
        <v>0.80774647887324</v>
      </c>
      <c r="K2301" s="32" t="str">
        <f aca="false">IF(I2301&lt;=$E$4,"A",IF(I2301&lt;=$E$5,"B","C"))</f>
        <v>C</v>
      </c>
    </row>
    <row r="2302" customFormat="false" ht="15" hidden="false" customHeight="false" outlineLevel="0" collapsed="false">
      <c r="A2302" s="32" t="n">
        <v>2295</v>
      </c>
      <c r="B2302" s="33" t="n">
        <v>351655</v>
      </c>
      <c r="C2302" s="34" t="s">
        <v>4676</v>
      </c>
      <c r="D2302" s="34" t="s">
        <v>4677</v>
      </c>
      <c r="E2302" s="34" t="s">
        <v>130</v>
      </c>
      <c r="F2302" s="32" t="n">
        <f aca="false">COUNTIF(Base!$D$2:$D$2878,B2302)</f>
        <v>1</v>
      </c>
      <c r="G2302" s="35" t="n">
        <f aca="false">SUMIF(Base!$D$2:$D$2878,B2302,Base!$I$2:$I$2878)</f>
        <v>92</v>
      </c>
      <c r="H2302" s="36" t="n">
        <f aca="false">IF($G$2849=0,0,G2302/$G$2849)</f>
        <v>6.03724482189779E-006</v>
      </c>
      <c r="I2302" s="37" t="n">
        <f aca="false">I2301+H2302</f>
        <v>0.998583664326888</v>
      </c>
      <c r="J2302" s="37" t="n">
        <f aca="false">A2302/2840</f>
        <v>0.808098591549296</v>
      </c>
      <c r="K2302" s="32" t="str">
        <f aca="false">IF(I2302&lt;=$E$4,"A",IF(I2302&lt;=$E$5,"B","C"))</f>
        <v>C</v>
      </c>
    </row>
    <row r="2303" customFormat="false" ht="15" hidden="false" customHeight="false" outlineLevel="0" collapsed="false">
      <c r="A2303" s="32" t="n">
        <v>2296</v>
      </c>
      <c r="B2303" s="33" t="n">
        <v>965627</v>
      </c>
      <c r="C2303" s="34" t="s">
        <v>4678</v>
      </c>
      <c r="D2303" s="34" t="s">
        <v>4679</v>
      </c>
      <c r="E2303" s="34" t="s">
        <v>38</v>
      </c>
      <c r="F2303" s="32" t="n">
        <f aca="false">COUNTIF(Base!$D$2:$D$2878,B2303)</f>
        <v>1</v>
      </c>
      <c r="G2303" s="35" t="n">
        <f aca="false">SUMIF(Base!$D$2:$D$2878,B2303,Base!$I$2:$I$2878)</f>
        <v>91.92</v>
      </c>
      <c r="H2303" s="36" t="n">
        <f aca="false">IF($G$2849=0,0,G2303/$G$2849)</f>
        <v>6.0319950437918E-006</v>
      </c>
      <c r="I2303" s="37" t="n">
        <f aca="false">I2302+H2303</f>
        <v>0.998589696321932</v>
      </c>
      <c r="J2303" s="37" t="n">
        <f aca="false">A2303/2840</f>
        <v>0.808450704225352</v>
      </c>
      <c r="K2303" s="32" t="str">
        <f aca="false">IF(I2303&lt;=$E$4,"A",IF(I2303&lt;=$E$5,"B","C"))</f>
        <v>C</v>
      </c>
    </row>
    <row r="2304" customFormat="false" ht="15" hidden="false" customHeight="false" outlineLevel="0" collapsed="false">
      <c r="A2304" s="32" t="n">
        <v>2297</v>
      </c>
      <c r="B2304" s="33" t="n">
        <v>966291</v>
      </c>
      <c r="C2304" s="34" t="s">
        <v>4680</v>
      </c>
      <c r="D2304" s="34" t="s">
        <v>4681</v>
      </c>
      <c r="E2304" s="34" t="s">
        <v>1095</v>
      </c>
      <c r="F2304" s="32" t="n">
        <f aca="false">COUNTIF(Base!$D$2:$D$2878,B2304)</f>
        <v>1</v>
      </c>
      <c r="G2304" s="35" t="n">
        <f aca="false">SUMIF(Base!$D$2:$D$2878,B2304,Base!$I$2:$I$2878)</f>
        <v>91.7</v>
      </c>
      <c r="H2304" s="36" t="n">
        <f aca="false">IF($G$2849=0,0,G2304/$G$2849)</f>
        <v>6.0175581540003E-006</v>
      </c>
      <c r="I2304" s="37" t="n">
        <f aca="false">I2303+H2304</f>
        <v>0.998595713880086</v>
      </c>
      <c r="J2304" s="37" t="n">
        <f aca="false">A2304/2840</f>
        <v>0.808802816901408</v>
      </c>
      <c r="K2304" s="32" t="str">
        <f aca="false">IF(I2304&lt;=$E$4,"A",IF(I2304&lt;=$E$5,"B","C"))</f>
        <v>C</v>
      </c>
    </row>
    <row r="2305" customFormat="false" ht="15" hidden="false" customHeight="false" outlineLevel="0" collapsed="false">
      <c r="A2305" s="32" t="n">
        <v>2298</v>
      </c>
      <c r="B2305" s="33" t="n">
        <v>1385181</v>
      </c>
      <c r="C2305" s="34" t="s">
        <v>4682</v>
      </c>
      <c r="D2305" s="34" t="s">
        <v>4683</v>
      </c>
      <c r="E2305" s="34" t="s">
        <v>38</v>
      </c>
      <c r="F2305" s="32" t="n">
        <f aca="false">COUNTIF(Base!$D$2:$D$2878,B2305)</f>
        <v>1</v>
      </c>
      <c r="G2305" s="35" t="n">
        <f aca="false">SUMIF(Base!$D$2:$D$2878,B2305,Base!$I$2:$I$2878)</f>
        <v>91.58</v>
      </c>
      <c r="H2305" s="36" t="n">
        <f aca="false">IF($G$2849=0,0,G2305/$G$2849)</f>
        <v>6.0096834868413E-006</v>
      </c>
      <c r="I2305" s="37" t="n">
        <f aca="false">I2304+H2305</f>
        <v>0.998601723563572</v>
      </c>
      <c r="J2305" s="37" t="n">
        <f aca="false">A2305/2840</f>
        <v>0.809154929577465</v>
      </c>
      <c r="K2305" s="32" t="str">
        <f aca="false">IF(I2305&lt;=$E$4,"A",IF(I2305&lt;=$E$5,"B","C"))</f>
        <v>C</v>
      </c>
    </row>
    <row r="2306" customFormat="false" ht="15" hidden="false" customHeight="false" outlineLevel="0" collapsed="false">
      <c r="A2306" s="32" t="n">
        <v>2299</v>
      </c>
      <c r="B2306" s="33" t="n">
        <v>839810</v>
      </c>
      <c r="C2306" s="34" t="s">
        <v>4684</v>
      </c>
      <c r="D2306" s="34" t="s">
        <v>4685</v>
      </c>
      <c r="E2306" s="34" t="s">
        <v>100</v>
      </c>
      <c r="F2306" s="32" t="n">
        <f aca="false">COUNTIF(Base!$D$2:$D$2878,B2306)</f>
        <v>1</v>
      </c>
      <c r="G2306" s="35" t="n">
        <f aca="false">SUMIF(Base!$D$2:$D$2878,B2306,Base!$I$2:$I$2878)</f>
        <v>91.2</v>
      </c>
      <c r="H2306" s="36" t="n">
        <f aca="false">IF($G$2849=0,0,G2306/$G$2849)</f>
        <v>5.98474704083781E-006</v>
      </c>
      <c r="I2306" s="37" t="n">
        <f aca="false">I2305+H2306</f>
        <v>0.998607708310613</v>
      </c>
      <c r="J2306" s="37" t="n">
        <f aca="false">A2306/2840</f>
        <v>0.809507042253521</v>
      </c>
      <c r="K2306" s="32" t="str">
        <f aca="false">IF(I2306&lt;=$E$4,"A",IF(I2306&lt;=$E$5,"B","C"))</f>
        <v>C</v>
      </c>
    </row>
    <row r="2307" customFormat="false" ht="15" hidden="false" customHeight="false" outlineLevel="0" collapsed="false">
      <c r="A2307" s="32" t="n">
        <v>2300</v>
      </c>
      <c r="B2307" s="33" t="n">
        <v>17888</v>
      </c>
      <c r="C2307" s="34" t="s">
        <v>4686</v>
      </c>
      <c r="D2307" s="34" t="s">
        <v>4687</v>
      </c>
      <c r="E2307" s="34" t="s">
        <v>835</v>
      </c>
      <c r="F2307" s="32" t="n">
        <f aca="false">COUNTIF(Base!$D$2:$D$2878,B2307)</f>
        <v>1</v>
      </c>
      <c r="G2307" s="35" t="n">
        <f aca="false">SUMIF(Base!$D$2:$D$2878,B2307,Base!$I$2:$I$2878)</f>
        <v>91.08</v>
      </c>
      <c r="H2307" s="36" t="n">
        <f aca="false">IF($G$2849=0,0,G2307/$G$2849)</f>
        <v>5.97687237367882E-006</v>
      </c>
      <c r="I2307" s="37" t="n">
        <f aca="false">I2306+H2307</f>
        <v>0.998613685182987</v>
      </c>
      <c r="J2307" s="37" t="n">
        <f aca="false">A2307/2840</f>
        <v>0.809859154929578</v>
      </c>
      <c r="K2307" s="32" t="str">
        <f aca="false">IF(I2307&lt;=$E$4,"A",IF(I2307&lt;=$E$5,"B","C"))</f>
        <v>C</v>
      </c>
    </row>
    <row r="2308" customFormat="false" ht="15" hidden="false" customHeight="false" outlineLevel="0" collapsed="false">
      <c r="A2308" s="32" t="n">
        <v>2301</v>
      </c>
      <c r="B2308" s="33" t="n">
        <v>138289</v>
      </c>
      <c r="C2308" s="34" t="s">
        <v>4688</v>
      </c>
      <c r="D2308" s="34" t="s">
        <v>4689</v>
      </c>
      <c r="E2308" s="34" t="s">
        <v>189</v>
      </c>
      <c r="F2308" s="32" t="n">
        <f aca="false">COUNTIF(Base!$D$2:$D$2878,B2308)</f>
        <v>1</v>
      </c>
      <c r="G2308" s="35" t="n">
        <f aca="false">SUMIF(Base!$D$2:$D$2878,B2308,Base!$I$2:$I$2878)</f>
        <v>90</v>
      </c>
      <c r="H2308" s="36" t="n">
        <f aca="false">IF($G$2849=0,0,G2308/$G$2849)</f>
        <v>5.90600036924784E-006</v>
      </c>
      <c r="I2308" s="37" t="n">
        <f aca="false">I2307+H2308</f>
        <v>0.998619591183356</v>
      </c>
      <c r="J2308" s="37" t="n">
        <f aca="false">A2308/2840</f>
        <v>0.810211267605634</v>
      </c>
      <c r="K2308" s="32" t="str">
        <f aca="false">IF(I2308&lt;=$E$4,"A",IF(I2308&lt;=$E$5,"B","C"))</f>
        <v>C</v>
      </c>
    </row>
    <row r="2309" customFormat="false" ht="15" hidden="false" customHeight="false" outlineLevel="0" collapsed="false">
      <c r="A2309" s="32" t="n">
        <v>2302</v>
      </c>
      <c r="B2309" s="33" t="n">
        <v>833726</v>
      </c>
      <c r="C2309" s="34" t="s">
        <v>4690</v>
      </c>
      <c r="D2309" s="34" t="s">
        <v>4691</v>
      </c>
      <c r="E2309" s="34" t="s">
        <v>2056</v>
      </c>
      <c r="F2309" s="32" t="n">
        <f aca="false">COUNTIF(Base!$D$2:$D$2878,B2309)</f>
        <v>1</v>
      </c>
      <c r="G2309" s="35" t="n">
        <f aca="false">SUMIF(Base!$D$2:$D$2878,B2309,Base!$I$2:$I$2878)</f>
        <v>90</v>
      </c>
      <c r="H2309" s="36" t="n">
        <f aca="false">IF($G$2849=0,0,G2309/$G$2849)</f>
        <v>5.90600036924784E-006</v>
      </c>
      <c r="I2309" s="37" t="n">
        <f aca="false">I2308+H2309</f>
        <v>0.998625497183725</v>
      </c>
      <c r="J2309" s="37" t="n">
        <f aca="false">A2309/2840</f>
        <v>0.81056338028169</v>
      </c>
      <c r="K2309" s="32" t="str">
        <f aca="false">IF(I2309&lt;=$E$4,"A",IF(I2309&lt;=$E$5,"B","C"))</f>
        <v>C</v>
      </c>
    </row>
    <row r="2310" customFormat="false" ht="15" hidden="false" customHeight="false" outlineLevel="0" collapsed="false">
      <c r="A2310" s="32" t="n">
        <v>2303</v>
      </c>
      <c r="B2310" s="33" t="n">
        <v>950827</v>
      </c>
      <c r="C2310" s="34" t="s">
        <v>4692</v>
      </c>
      <c r="D2310" s="34" t="s">
        <v>4693</v>
      </c>
      <c r="E2310" s="34" t="s">
        <v>38</v>
      </c>
      <c r="F2310" s="32" t="n">
        <f aca="false">COUNTIF(Base!$D$2:$D$2878,B2310)</f>
        <v>1</v>
      </c>
      <c r="G2310" s="35" t="n">
        <f aca="false">SUMIF(Base!$D$2:$D$2878,B2310,Base!$I$2:$I$2878)</f>
        <v>90</v>
      </c>
      <c r="H2310" s="36" t="n">
        <f aca="false">IF($G$2849=0,0,G2310/$G$2849)</f>
        <v>5.90600036924784E-006</v>
      </c>
      <c r="I2310" s="37" t="n">
        <f aca="false">I2309+H2310</f>
        <v>0.998631403184095</v>
      </c>
      <c r="J2310" s="37" t="n">
        <f aca="false">A2310/2840</f>
        <v>0.810915492957747</v>
      </c>
      <c r="K2310" s="32" t="str">
        <f aca="false">IF(I2310&lt;=$E$4,"A",IF(I2310&lt;=$E$5,"B","C"))</f>
        <v>C</v>
      </c>
    </row>
    <row r="2311" customFormat="false" ht="15" hidden="false" customHeight="false" outlineLevel="0" collapsed="false">
      <c r="A2311" s="32" t="n">
        <v>2304</v>
      </c>
      <c r="B2311" s="33" t="n">
        <v>861121</v>
      </c>
      <c r="C2311" s="34" t="s">
        <v>4694</v>
      </c>
      <c r="D2311" s="34" t="s">
        <v>4695</v>
      </c>
      <c r="E2311" s="34" t="s">
        <v>2056</v>
      </c>
      <c r="F2311" s="32" t="n">
        <f aca="false">COUNTIF(Base!$D$2:$D$2878,B2311)</f>
        <v>1</v>
      </c>
      <c r="G2311" s="35" t="n">
        <f aca="false">SUMIF(Base!$D$2:$D$2878,B2311,Base!$I$2:$I$2878)</f>
        <v>89.97</v>
      </c>
      <c r="H2311" s="36" t="n">
        <f aca="false">IF($G$2849=0,0,G2311/$G$2849)</f>
        <v>5.90403170245809E-006</v>
      </c>
      <c r="I2311" s="37" t="n">
        <f aca="false">I2310+H2311</f>
        <v>0.998637307215797</v>
      </c>
      <c r="J2311" s="37" t="n">
        <f aca="false">A2311/2840</f>
        <v>0.811267605633803</v>
      </c>
      <c r="K2311" s="32" t="str">
        <f aca="false">IF(I2311&lt;=$E$4,"A",IF(I2311&lt;=$E$5,"B","C"))</f>
        <v>C</v>
      </c>
    </row>
    <row r="2312" customFormat="false" ht="15" hidden="false" customHeight="false" outlineLevel="0" collapsed="false">
      <c r="A2312" s="32" t="n">
        <v>2305</v>
      </c>
      <c r="B2312" s="33" t="n">
        <v>959543</v>
      </c>
      <c r="C2312" s="34" t="s">
        <v>4696</v>
      </c>
      <c r="D2312" s="34" t="s">
        <v>4697</v>
      </c>
      <c r="E2312" s="34" t="s">
        <v>38</v>
      </c>
      <c r="F2312" s="32" t="n">
        <f aca="false">COUNTIF(Base!$D$2:$D$2878,B2312)</f>
        <v>1</v>
      </c>
      <c r="G2312" s="35" t="n">
        <f aca="false">SUMIF(Base!$D$2:$D$2878,B2312,Base!$I$2:$I$2878)</f>
        <v>89.88</v>
      </c>
      <c r="H2312" s="36" t="n">
        <f aca="false">IF($G$2849=0,0,G2312/$G$2849)</f>
        <v>5.89812570208884E-006</v>
      </c>
      <c r="I2312" s="37" t="n">
        <f aca="false">I2311+H2312</f>
        <v>0.998643205341499</v>
      </c>
      <c r="J2312" s="37" t="n">
        <f aca="false">A2312/2840</f>
        <v>0.811619718309859</v>
      </c>
      <c r="K2312" s="32" t="str">
        <f aca="false">IF(I2312&lt;=$E$4,"A",IF(I2312&lt;=$E$5,"B","C"))</f>
        <v>C</v>
      </c>
    </row>
    <row r="2313" customFormat="false" ht="15" hidden="false" customHeight="false" outlineLevel="0" collapsed="false">
      <c r="A2313" s="32" t="n">
        <v>2306</v>
      </c>
      <c r="B2313" s="33" t="n">
        <v>1062572</v>
      </c>
      <c r="C2313" s="34" t="s">
        <v>4698</v>
      </c>
      <c r="D2313" s="34" t="s">
        <v>4699</v>
      </c>
      <c r="E2313" s="34" t="s">
        <v>54</v>
      </c>
      <c r="F2313" s="32" t="n">
        <f aca="false">COUNTIF(Base!$D$2:$D$2878,B2313)</f>
        <v>1</v>
      </c>
      <c r="G2313" s="35" t="n">
        <f aca="false">SUMIF(Base!$D$2:$D$2878,B2313,Base!$I$2:$I$2878)</f>
        <v>89.82</v>
      </c>
      <c r="H2313" s="36" t="n">
        <f aca="false">IF($G$2849=0,0,G2313/$G$2849)</f>
        <v>5.89418836850935E-006</v>
      </c>
      <c r="I2313" s="37" t="n">
        <f aca="false">I2312+H2313</f>
        <v>0.998649099529868</v>
      </c>
      <c r="J2313" s="37" t="n">
        <f aca="false">A2313/2840</f>
        <v>0.811971830985916</v>
      </c>
      <c r="K2313" s="32" t="str">
        <f aca="false">IF(I2313&lt;=$E$4,"A",IF(I2313&lt;=$E$5,"B","C"))</f>
        <v>C</v>
      </c>
    </row>
    <row r="2314" customFormat="false" ht="15" hidden="false" customHeight="false" outlineLevel="0" collapsed="false">
      <c r="A2314" s="32" t="n">
        <v>2307</v>
      </c>
      <c r="B2314" s="33" t="n">
        <v>60793</v>
      </c>
      <c r="C2314" s="34" t="s">
        <v>4700</v>
      </c>
      <c r="D2314" s="34" t="s">
        <v>4701</v>
      </c>
      <c r="E2314" s="34" t="s">
        <v>130</v>
      </c>
      <c r="F2314" s="32" t="n">
        <f aca="false">COUNTIF(Base!$D$2:$D$2878,B2314)</f>
        <v>1</v>
      </c>
      <c r="G2314" s="35" t="n">
        <f aca="false">SUMIF(Base!$D$2:$D$2878,B2314,Base!$I$2:$I$2878)</f>
        <v>89.42</v>
      </c>
      <c r="H2314" s="36" t="n">
        <f aca="false">IF($G$2849=0,0,G2314/$G$2849)</f>
        <v>5.86793947797936E-006</v>
      </c>
      <c r="I2314" s="37" t="n">
        <f aca="false">I2313+H2314</f>
        <v>0.998654967469346</v>
      </c>
      <c r="J2314" s="37" t="n">
        <f aca="false">A2314/2840</f>
        <v>0.812323943661972</v>
      </c>
      <c r="K2314" s="32" t="str">
        <f aca="false">IF(I2314&lt;=$E$4,"A",IF(I2314&lt;=$E$5,"B","C"))</f>
        <v>C</v>
      </c>
    </row>
    <row r="2315" customFormat="false" ht="15" hidden="false" customHeight="false" outlineLevel="0" collapsed="false">
      <c r="A2315" s="32" t="n">
        <v>2308</v>
      </c>
      <c r="B2315" s="33" t="n">
        <v>555403</v>
      </c>
      <c r="C2315" s="34" t="s">
        <v>4702</v>
      </c>
      <c r="D2315" s="34" t="s">
        <v>4703</v>
      </c>
      <c r="E2315" s="34" t="s">
        <v>130</v>
      </c>
      <c r="F2315" s="32" t="n">
        <f aca="false">COUNTIF(Base!$D$2:$D$2878,B2315)</f>
        <v>1</v>
      </c>
      <c r="G2315" s="35" t="n">
        <f aca="false">SUMIF(Base!$D$2:$D$2878,B2315,Base!$I$2:$I$2878)</f>
        <v>89.2</v>
      </c>
      <c r="H2315" s="36" t="n">
        <f aca="false">IF($G$2849=0,0,G2315/$G$2849)</f>
        <v>5.85350258818786E-006</v>
      </c>
      <c r="I2315" s="37" t="n">
        <f aca="false">I2314+H2315</f>
        <v>0.998660820971934</v>
      </c>
      <c r="J2315" s="37" t="n">
        <f aca="false">A2315/2840</f>
        <v>0.812676056338028</v>
      </c>
      <c r="K2315" s="32" t="str">
        <f aca="false">IF(I2315&lt;=$E$4,"A",IF(I2315&lt;=$E$5,"B","C"))</f>
        <v>C</v>
      </c>
    </row>
    <row r="2316" customFormat="false" ht="15" hidden="false" customHeight="false" outlineLevel="0" collapsed="false">
      <c r="A2316" s="32" t="n">
        <v>2309</v>
      </c>
      <c r="B2316" s="33" t="n">
        <v>1385180</v>
      </c>
      <c r="C2316" s="34" t="s">
        <v>4704</v>
      </c>
      <c r="D2316" s="34" t="s">
        <v>4705</v>
      </c>
      <c r="E2316" s="34" t="s">
        <v>38</v>
      </c>
      <c r="F2316" s="32" t="n">
        <f aca="false">COUNTIF(Base!$D$2:$D$2878,B2316)</f>
        <v>1</v>
      </c>
      <c r="G2316" s="35" t="n">
        <f aca="false">SUMIF(Base!$D$2:$D$2878,B2316,Base!$I$2:$I$2878)</f>
        <v>89.18</v>
      </c>
      <c r="H2316" s="36" t="n">
        <f aca="false">IF($G$2849=0,0,G2316/$G$2849)</f>
        <v>5.85219014366136E-006</v>
      </c>
      <c r="I2316" s="37" t="n">
        <f aca="false">I2315+H2316</f>
        <v>0.998666673162077</v>
      </c>
      <c r="J2316" s="37" t="n">
        <f aca="false">A2316/2840</f>
        <v>0.813028169014085</v>
      </c>
      <c r="K2316" s="32" t="str">
        <f aca="false">IF(I2316&lt;=$E$4,"A",IF(I2316&lt;=$E$5,"B","C"))</f>
        <v>C</v>
      </c>
    </row>
    <row r="2317" customFormat="false" ht="15" hidden="false" customHeight="false" outlineLevel="0" collapsed="false">
      <c r="A2317" s="32" t="n">
        <v>2310</v>
      </c>
      <c r="B2317" s="33" t="n">
        <v>17949</v>
      </c>
      <c r="C2317" s="34" t="s">
        <v>4706</v>
      </c>
      <c r="D2317" s="34" t="s">
        <v>4707</v>
      </c>
      <c r="E2317" s="34" t="s">
        <v>130</v>
      </c>
      <c r="F2317" s="32" t="n">
        <f aca="false">COUNTIF(Base!$D$2:$D$2878,B2317)</f>
        <v>1</v>
      </c>
      <c r="G2317" s="35" t="n">
        <f aca="false">SUMIF(Base!$D$2:$D$2878,B2317,Base!$I$2:$I$2878)</f>
        <v>89</v>
      </c>
      <c r="H2317" s="36" t="n">
        <f aca="false">IF($G$2849=0,0,G2317/$G$2849)</f>
        <v>5.84037814292287E-006</v>
      </c>
      <c r="I2317" s="37" t="n">
        <f aca="false">I2316+H2317</f>
        <v>0.99867251354022</v>
      </c>
      <c r="J2317" s="37" t="n">
        <f aca="false">A2317/2840</f>
        <v>0.813380281690141</v>
      </c>
      <c r="K2317" s="32" t="str">
        <f aca="false">IF(I2317&lt;=$E$4,"A",IF(I2317&lt;=$E$5,"B","C"))</f>
        <v>C</v>
      </c>
    </row>
    <row r="2318" customFormat="false" ht="15" hidden="false" customHeight="false" outlineLevel="0" collapsed="false">
      <c r="A2318" s="32" t="n">
        <v>2311</v>
      </c>
      <c r="B2318" s="33" t="n">
        <v>645415</v>
      </c>
      <c r="C2318" s="34" t="s">
        <v>4708</v>
      </c>
      <c r="D2318" s="34" t="s">
        <v>4709</v>
      </c>
      <c r="E2318" s="34" t="s">
        <v>93</v>
      </c>
      <c r="F2318" s="32" t="n">
        <f aca="false">COUNTIF(Base!$D$2:$D$2878,B2318)</f>
        <v>1</v>
      </c>
      <c r="G2318" s="35" t="n">
        <f aca="false">SUMIF(Base!$D$2:$D$2878,B2318,Base!$I$2:$I$2878)</f>
        <v>89</v>
      </c>
      <c r="H2318" s="36" t="n">
        <f aca="false">IF($G$2849=0,0,G2318/$G$2849)</f>
        <v>5.84037814292287E-006</v>
      </c>
      <c r="I2318" s="37" t="n">
        <f aca="false">I2317+H2318</f>
        <v>0.998678353918363</v>
      </c>
      <c r="J2318" s="37" t="n">
        <f aca="false">A2318/2840</f>
        <v>0.813732394366197</v>
      </c>
      <c r="K2318" s="32" t="str">
        <f aca="false">IF(I2318&lt;=$E$4,"A",IF(I2318&lt;=$E$5,"B","C"))</f>
        <v>C</v>
      </c>
    </row>
    <row r="2319" customFormat="false" ht="15" hidden="false" customHeight="false" outlineLevel="0" collapsed="false">
      <c r="A2319" s="32" t="n">
        <v>2312</v>
      </c>
      <c r="B2319" s="33" t="n">
        <v>956788</v>
      </c>
      <c r="C2319" s="34" t="s">
        <v>4710</v>
      </c>
      <c r="D2319" s="34" t="s">
        <v>4711</v>
      </c>
      <c r="E2319" s="34" t="s">
        <v>38</v>
      </c>
      <c r="F2319" s="32" t="n">
        <f aca="false">COUNTIF(Base!$D$2:$D$2878,B2319)</f>
        <v>1</v>
      </c>
      <c r="G2319" s="35" t="n">
        <f aca="false">SUMIF(Base!$D$2:$D$2878,B2319,Base!$I$2:$I$2878)</f>
        <v>88.92</v>
      </c>
      <c r="H2319" s="36" t="n">
        <f aca="false">IF($G$2849=0,0,G2319/$G$2849)</f>
        <v>5.83512836481687E-006</v>
      </c>
      <c r="I2319" s="37" t="n">
        <f aca="false">I2318+H2319</f>
        <v>0.998684189046728</v>
      </c>
      <c r="J2319" s="37" t="n">
        <f aca="false">A2319/2840</f>
        <v>0.814084507042254</v>
      </c>
      <c r="K2319" s="32" t="str">
        <f aca="false">IF(I2319&lt;=$E$4,"A",IF(I2319&lt;=$E$5,"B","C"))</f>
        <v>C</v>
      </c>
    </row>
    <row r="2320" customFormat="false" ht="15" hidden="false" customHeight="false" outlineLevel="0" collapsed="false">
      <c r="A2320" s="32" t="n">
        <v>2313</v>
      </c>
      <c r="B2320" s="33" t="n">
        <v>1113308</v>
      </c>
      <c r="C2320" s="34" t="s">
        <v>4712</v>
      </c>
      <c r="D2320" s="34" t="s">
        <v>4713</v>
      </c>
      <c r="E2320" s="34" t="s">
        <v>262</v>
      </c>
      <c r="F2320" s="32" t="n">
        <f aca="false">COUNTIF(Base!$D$2:$D$2878,B2320)</f>
        <v>1</v>
      </c>
      <c r="G2320" s="35" t="n">
        <f aca="false">SUMIF(Base!$D$2:$D$2878,B2320,Base!$I$2:$I$2878)</f>
        <v>88.3282</v>
      </c>
      <c r="H2320" s="36" t="n">
        <f aca="false">IF($G$2849=0,0,G2320/$G$2849)</f>
        <v>5.79629313127775E-006</v>
      </c>
      <c r="I2320" s="37" t="n">
        <f aca="false">I2319+H2320</f>
        <v>0.998689985339859</v>
      </c>
      <c r="J2320" s="37" t="n">
        <f aca="false">A2320/2840</f>
        <v>0.81443661971831</v>
      </c>
      <c r="K2320" s="32" t="str">
        <f aca="false">IF(I2320&lt;=$E$4,"A",IF(I2320&lt;=$E$5,"B","C"))</f>
        <v>C</v>
      </c>
    </row>
    <row r="2321" customFormat="false" ht="15" hidden="false" customHeight="false" outlineLevel="0" collapsed="false">
      <c r="A2321" s="32" t="n">
        <v>2314</v>
      </c>
      <c r="B2321" s="33" t="n">
        <v>18119</v>
      </c>
      <c r="C2321" s="34" t="s">
        <v>4714</v>
      </c>
      <c r="D2321" s="34" t="s">
        <v>4715</v>
      </c>
      <c r="E2321" s="34" t="s">
        <v>130</v>
      </c>
      <c r="F2321" s="32" t="n">
        <f aca="false">COUNTIF(Base!$D$2:$D$2878,B2321)</f>
        <v>1</v>
      </c>
      <c r="G2321" s="35" t="n">
        <f aca="false">SUMIF(Base!$D$2:$D$2878,B2321,Base!$I$2:$I$2878)</f>
        <v>88</v>
      </c>
      <c r="H2321" s="36" t="n">
        <f aca="false">IF($G$2849=0,0,G2321/$G$2849)</f>
        <v>5.77475591659789E-006</v>
      </c>
      <c r="I2321" s="37" t="n">
        <f aca="false">I2320+H2321</f>
        <v>0.998695760095776</v>
      </c>
      <c r="J2321" s="37" t="n">
        <f aca="false">A2321/2840</f>
        <v>0.814788732394366</v>
      </c>
      <c r="K2321" s="32" t="str">
        <f aca="false">IF(I2321&lt;=$E$4,"A",IF(I2321&lt;=$E$5,"B","C"))</f>
        <v>C</v>
      </c>
    </row>
    <row r="2322" customFormat="false" ht="15" hidden="false" customHeight="false" outlineLevel="0" collapsed="false">
      <c r="A2322" s="32" t="n">
        <v>2315</v>
      </c>
      <c r="B2322" s="33" t="n">
        <v>19569</v>
      </c>
      <c r="C2322" s="34" t="s">
        <v>4716</v>
      </c>
      <c r="D2322" s="34" t="s">
        <v>4717</v>
      </c>
      <c r="E2322" s="34" t="s">
        <v>1095</v>
      </c>
      <c r="F2322" s="32" t="n">
        <f aca="false">COUNTIF(Base!$D$2:$D$2878,B2322)</f>
        <v>1</v>
      </c>
      <c r="G2322" s="35" t="n">
        <f aca="false">SUMIF(Base!$D$2:$D$2878,B2322,Base!$I$2:$I$2878)</f>
        <v>88</v>
      </c>
      <c r="H2322" s="36" t="n">
        <f aca="false">IF($G$2849=0,0,G2322/$G$2849)</f>
        <v>5.77475591659789E-006</v>
      </c>
      <c r="I2322" s="37" t="n">
        <f aca="false">I2321+H2322</f>
        <v>0.998701534851692</v>
      </c>
      <c r="J2322" s="37" t="n">
        <f aca="false">A2322/2840</f>
        <v>0.815140845070423</v>
      </c>
      <c r="K2322" s="32" t="str">
        <f aca="false">IF(I2322&lt;=$E$4,"A",IF(I2322&lt;=$E$5,"B","C"))</f>
        <v>C</v>
      </c>
    </row>
    <row r="2323" customFormat="false" ht="15" hidden="false" customHeight="false" outlineLevel="0" collapsed="false">
      <c r="A2323" s="32" t="n">
        <v>2316</v>
      </c>
      <c r="B2323" s="33" t="n">
        <v>22742</v>
      </c>
      <c r="C2323" s="34" t="s">
        <v>4718</v>
      </c>
      <c r="D2323" s="34" t="s">
        <v>4719</v>
      </c>
      <c r="E2323" s="34" t="s">
        <v>130</v>
      </c>
      <c r="F2323" s="32" t="n">
        <f aca="false">COUNTIF(Base!$D$2:$D$2878,B2323)</f>
        <v>1</v>
      </c>
      <c r="G2323" s="35" t="n">
        <f aca="false">SUMIF(Base!$D$2:$D$2878,B2323,Base!$I$2:$I$2878)</f>
        <v>88</v>
      </c>
      <c r="H2323" s="36" t="n">
        <f aca="false">IF($G$2849=0,0,G2323/$G$2849)</f>
        <v>5.77475591659789E-006</v>
      </c>
      <c r="I2323" s="37" t="n">
        <f aca="false">I2322+H2323</f>
        <v>0.998707309607609</v>
      </c>
      <c r="J2323" s="37" t="n">
        <f aca="false">A2323/2840</f>
        <v>0.815492957746479</v>
      </c>
      <c r="K2323" s="32" t="str">
        <f aca="false">IF(I2323&lt;=$E$4,"A",IF(I2323&lt;=$E$5,"B","C"))</f>
        <v>C</v>
      </c>
    </row>
    <row r="2324" customFormat="false" ht="15" hidden="false" customHeight="false" outlineLevel="0" collapsed="false">
      <c r="A2324" s="32" t="n">
        <v>2317</v>
      </c>
      <c r="B2324" s="33" t="n">
        <v>65520</v>
      </c>
      <c r="C2324" s="34" t="s">
        <v>4720</v>
      </c>
      <c r="D2324" s="34" t="s">
        <v>4721</v>
      </c>
      <c r="E2324" s="34" t="s">
        <v>189</v>
      </c>
      <c r="F2324" s="32" t="n">
        <f aca="false">COUNTIF(Base!$D$2:$D$2878,B2324)</f>
        <v>1</v>
      </c>
      <c r="G2324" s="35" t="n">
        <f aca="false">SUMIF(Base!$D$2:$D$2878,B2324,Base!$I$2:$I$2878)</f>
        <v>88</v>
      </c>
      <c r="H2324" s="36" t="n">
        <f aca="false">IF($G$2849=0,0,G2324/$G$2849)</f>
        <v>5.77475591659789E-006</v>
      </c>
      <c r="I2324" s="37" t="n">
        <f aca="false">I2323+H2324</f>
        <v>0.998713084363526</v>
      </c>
      <c r="J2324" s="37" t="n">
        <f aca="false">A2324/2840</f>
        <v>0.815845070422535</v>
      </c>
      <c r="K2324" s="32" t="str">
        <f aca="false">IF(I2324&lt;=$E$4,"A",IF(I2324&lt;=$E$5,"B","C"))</f>
        <v>C</v>
      </c>
    </row>
    <row r="2325" customFormat="false" ht="15" hidden="false" customHeight="false" outlineLevel="0" collapsed="false">
      <c r="A2325" s="32" t="n">
        <v>2318</v>
      </c>
      <c r="B2325" s="33" t="n">
        <v>1012420</v>
      </c>
      <c r="C2325" s="34" t="s">
        <v>4722</v>
      </c>
      <c r="D2325" s="34" t="s">
        <v>4723</v>
      </c>
      <c r="E2325" s="34" t="s">
        <v>113</v>
      </c>
      <c r="F2325" s="32" t="n">
        <f aca="false">COUNTIF(Base!$D$2:$D$2878,B2325)</f>
        <v>1</v>
      </c>
      <c r="G2325" s="35" t="n">
        <f aca="false">SUMIF(Base!$D$2:$D$2878,B2325,Base!$I$2:$I$2878)</f>
        <v>88</v>
      </c>
      <c r="H2325" s="36" t="n">
        <f aca="false">IF($G$2849=0,0,G2325/$G$2849)</f>
        <v>5.77475591659789E-006</v>
      </c>
      <c r="I2325" s="37" t="n">
        <f aca="false">I2324+H2325</f>
        <v>0.998718859119442</v>
      </c>
      <c r="J2325" s="37" t="n">
        <f aca="false">A2325/2840</f>
        <v>0.816197183098592</v>
      </c>
      <c r="K2325" s="32" t="str">
        <f aca="false">IF(I2325&lt;=$E$4,"A",IF(I2325&lt;=$E$5,"B","C"))</f>
        <v>C</v>
      </c>
    </row>
    <row r="2326" customFormat="false" ht="15" hidden="false" customHeight="false" outlineLevel="0" collapsed="false">
      <c r="A2326" s="32" t="n">
        <v>2319</v>
      </c>
      <c r="B2326" s="33" t="n">
        <v>1263127</v>
      </c>
      <c r="C2326" s="34" t="s">
        <v>4724</v>
      </c>
      <c r="D2326" s="34" t="s">
        <v>4725</v>
      </c>
      <c r="E2326" s="34" t="s">
        <v>130</v>
      </c>
      <c r="F2326" s="32" t="n">
        <f aca="false">COUNTIF(Base!$D$2:$D$2878,B2326)</f>
        <v>1</v>
      </c>
      <c r="G2326" s="35" t="n">
        <f aca="false">SUMIF(Base!$D$2:$D$2878,B2326,Base!$I$2:$I$2878)</f>
        <v>88</v>
      </c>
      <c r="H2326" s="36" t="n">
        <f aca="false">IF($G$2849=0,0,G2326/$G$2849)</f>
        <v>5.77475591659789E-006</v>
      </c>
      <c r="I2326" s="37" t="n">
        <f aca="false">I2325+H2326</f>
        <v>0.998724633875359</v>
      </c>
      <c r="J2326" s="37" t="n">
        <f aca="false">A2326/2840</f>
        <v>0.816549295774648</v>
      </c>
      <c r="K2326" s="32" t="str">
        <f aca="false">IF(I2326&lt;=$E$4,"A",IF(I2326&lt;=$E$5,"B","C"))</f>
        <v>C</v>
      </c>
    </row>
    <row r="2327" customFormat="false" ht="15" hidden="false" customHeight="false" outlineLevel="0" collapsed="false">
      <c r="A2327" s="32" t="n">
        <v>2320</v>
      </c>
      <c r="B2327" s="33" t="n">
        <v>1320565</v>
      </c>
      <c r="C2327" s="34" t="s">
        <v>4726</v>
      </c>
      <c r="D2327" s="34" t="s">
        <v>4727</v>
      </c>
      <c r="E2327" s="34" t="s">
        <v>130</v>
      </c>
      <c r="F2327" s="32" t="n">
        <f aca="false">COUNTIF(Base!$D$2:$D$2878,B2327)</f>
        <v>1</v>
      </c>
      <c r="G2327" s="35" t="n">
        <f aca="false">SUMIF(Base!$D$2:$D$2878,B2327,Base!$I$2:$I$2878)</f>
        <v>88</v>
      </c>
      <c r="H2327" s="36" t="n">
        <f aca="false">IF($G$2849=0,0,G2327/$G$2849)</f>
        <v>5.77475591659789E-006</v>
      </c>
      <c r="I2327" s="37" t="n">
        <f aca="false">I2326+H2327</f>
        <v>0.998730408631275</v>
      </c>
      <c r="J2327" s="37" t="n">
        <f aca="false">A2327/2840</f>
        <v>0.816901408450704</v>
      </c>
      <c r="K2327" s="32" t="str">
        <f aca="false">IF(I2327&lt;=$E$4,"A",IF(I2327&lt;=$E$5,"B","C"))</f>
        <v>C</v>
      </c>
    </row>
    <row r="2328" customFormat="false" ht="15" hidden="false" customHeight="false" outlineLevel="0" collapsed="false">
      <c r="A2328" s="32" t="n">
        <v>2321</v>
      </c>
      <c r="B2328" s="33" t="n">
        <v>16025</v>
      </c>
      <c r="C2328" s="34" t="s">
        <v>4728</v>
      </c>
      <c r="D2328" s="34" t="s">
        <v>4729</v>
      </c>
      <c r="E2328" s="34" t="s">
        <v>54</v>
      </c>
      <c r="F2328" s="32" t="n">
        <f aca="false">COUNTIF(Base!$D$2:$D$2878,B2328)</f>
        <v>1</v>
      </c>
      <c r="G2328" s="35" t="n">
        <f aca="false">SUMIF(Base!$D$2:$D$2878,B2328,Base!$I$2:$I$2878)</f>
        <v>87.96</v>
      </c>
      <c r="H2328" s="36" t="n">
        <f aca="false">IF($G$2849=0,0,G2328/$G$2849)</f>
        <v>5.77213102754489E-006</v>
      </c>
      <c r="I2328" s="37" t="n">
        <f aca="false">I2327+H2328</f>
        <v>0.998736180762303</v>
      </c>
      <c r="J2328" s="37" t="n">
        <f aca="false">A2328/2840</f>
        <v>0.817253521126761</v>
      </c>
      <c r="K2328" s="32" t="str">
        <f aca="false">IF(I2328&lt;=$E$4,"A",IF(I2328&lt;=$E$5,"B","C"))</f>
        <v>C</v>
      </c>
    </row>
    <row r="2329" customFormat="false" ht="15" hidden="false" customHeight="false" outlineLevel="0" collapsed="false">
      <c r="A2329" s="32" t="n">
        <v>2322</v>
      </c>
      <c r="B2329" s="33" t="n">
        <v>1383808</v>
      </c>
      <c r="C2329" s="34" t="s">
        <v>4730</v>
      </c>
      <c r="D2329" s="34" t="s">
        <v>4731</v>
      </c>
      <c r="E2329" s="34" t="s">
        <v>100</v>
      </c>
      <c r="F2329" s="32" t="n">
        <f aca="false">COUNTIF(Base!$D$2:$D$2878,B2329)</f>
        <v>1</v>
      </c>
      <c r="G2329" s="35" t="n">
        <f aca="false">SUMIF(Base!$D$2:$D$2878,B2329,Base!$I$2:$I$2878)</f>
        <v>87.04</v>
      </c>
      <c r="H2329" s="36" t="n">
        <f aca="false">IF($G$2849=0,0,G2329/$G$2849)</f>
        <v>5.71175857932591E-006</v>
      </c>
      <c r="I2329" s="37" t="n">
        <f aca="false">I2328+H2329</f>
        <v>0.998741892520882</v>
      </c>
      <c r="J2329" s="37" t="n">
        <f aca="false">A2329/2840</f>
        <v>0.817605633802817</v>
      </c>
      <c r="K2329" s="32" t="str">
        <f aca="false">IF(I2329&lt;=$E$4,"A",IF(I2329&lt;=$E$5,"B","C"))</f>
        <v>C</v>
      </c>
    </row>
    <row r="2330" customFormat="false" ht="15" hidden="false" customHeight="false" outlineLevel="0" collapsed="false">
      <c r="A2330" s="32" t="n">
        <v>2323</v>
      </c>
      <c r="B2330" s="33" t="n">
        <v>881389</v>
      </c>
      <c r="C2330" s="34" t="s">
        <v>4732</v>
      </c>
      <c r="D2330" s="34" t="s">
        <v>4733</v>
      </c>
      <c r="E2330" s="34" t="s">
        <v>100</v>
      </c>
      <c r="F2330" s="32" t="n">
        <f aca="false">COUNTIF(Base!$D$2:$D$2878,B2330)</f>
        <v>1</v>
      </c>
      <c r="G2330" s="35" t="n">
        <f aca="false">SUMIF(Base!$D$2:$D$2878,B2330,Base!$I$2:$I$2878)</f>
        <v>85.6</v>
      </c>
      <c r="H2330" s="36" t="n">
        <f aca="false">IF($G$2849=0,0,G2330/$G$2849)</f>
        <v>5.61726257341795E-006</v>
      </c>
      <c r="I2330" s="37" t="n">
        <f aca="false">I2329+H2330</f>
        <v>0.998747509783456</v>
      </c>
      <c r="J2330" s="37" t="n">
        <f aca="false">A2330/2840</f>
        <v>0.817957746478873</v>
      </c>
      <c r="K2330" s="32" t="str">
        <f aca="false">IF(I2330&lt;=$E$4,"A",IF(I2330&lt;=$E$5,"B","C"))</f>
        <v>C</v>
      </c>
    </row>
    <row r="2331" customFormat="false" ht="15" hidden="false" customHeight="false" outlineLevel="0" collapsed="false">
      <c r="A2331" s="32" t="n">
        <v>2324</v>
      </c>
      <c r="B2331" s="33" t="n">
        <v>17696</v>
      </c>
      <c r="C2331" s="34" t="s">
        <v>4734</v>
      </c>
      <c r="D2331" s="34" t="s">
        <v>4735</v>
      </c>
      <c r="E2331" s="34" t="s">
        <v>100</v>
      </c>
      <c r="F2331" s="32" t="n">
        <f aca="false">COUNTIF(Base!$D$2:$D$2878,B2331)</f>
        <v>1</v>
      </c>
      <c r="G2331" s="35" t="n">
        <f aca="false">SUMIF(Base!$D$2:$D$2878,B2331,Base!$I$2:$I$2878)</f>
        <v>85.5</v>
      </c>
      <c r="H2331" s="36" t="n">
        <f aca="false">IF($G$2849=0,0,G2331/$G$2849)</f>
        <v>5.61070035078545E-006</v>
      </c>
      <c r="I2331" s="37" t="n">
        <f aca="false">I2330+H2331</f>
        <v>0.998753120483806</v>
      </c>
      <c r="J2331" s="37" t="n">
        <f aca="false">A2331/2840</f>
        <v>0.81830985915493</v>
      </c>
      <c r="K2331" s="32" t="str">
        <f aca="false">IF(I2331&lt;=$E$4,"A",IF(I2331&lt;=$E$5,"B","C"))</f>
        <v>C</v>
      </c>
    </row>
    <row r="2332" customFormat="false" ht="15" hidden="false" customHeight="false" outlineLevel="0" collapsed="false">
      <c r="A2332" s="32" t="n">
        <v>2325</v>
      </c>
      <c r="B2332" s="33" t="n">
        <v>1380004</v>
      </c>
      <c r="C2332" s="34" t="s">
        <v>4736</v>
      </c>
      <c r="D2332" s="34" t="s">
        <v>4737</v>
      </c>
      <c r="E2332" s="34" t="s">
        <v>100</v>
      </c>
      <c r="F2332" s="32" t="n">
        <f aca="false">COUNTIF(Base!$D$2:$D$2878,B2332)</f>
        <v>1</v>
      </c>
      <c r="G2332" s="35" t="n">
        <f aca="false">SUMIF(Base!$D$2:$D$2878,B2332,Base!$I$2:$I$2878)</f>
        <v>84.04</v>
      </c>
      <c r="H2332" s="36" t="n">
        <f aca="false">IF($G$2849=0,0,G2332/$G$2849)</f>
        <v>5.51489190035099E-006</v>
      </c>
      <c r="I2332" s="37" t="n">
        <f aca="false">I2331+H2332</f>
        <v>0.998758635375707</v>
      </c>
      <c r="J2332" s="37" t="n">
        <f aca="false">A2332/2840</f>
        <v>0.818661971830986</v>
      </c>
      <c r="K2332" s="32" t="str">
        <f aca="false">IF(I2332&lt;=$E$4,"A",IF(I2332&lt;=$E$5,"B","C"))</f>
        <v>C</v>
      </c>
    </row>
    <row r="2333" customFormat="false" ht="15" hidden="false" customHeight="false" outlineLevel="0" collapsed="false">
      <c r="A2333" s="32" t="n">
        <v>2326</v>
      </c>
      <c r="B2333" s="33" t="n">
        <v>18050</v>
      </c>
      <c r="C2333" s="34" t="s">
        <v>4738</v>
      </c>
      <c r="D2333" s="34" t="s">
        <v>4739</v>
      </c>
      <c r="E2333" s="34" t="s">
        <v>130</v>
      </c>
      <c r="F2333" s="32" t="n">
        <f aca="false">COUNTIF(Base!$D$2:$D$2878,B2333)</f>
        <v>1</v>
      </c>
      <c r="G2333" s="35" t="n">
        <f aca="false">SUMIF(Base!$D$2:$D$2878,B2333,Base!$I$2:$I$2878)</f>
        <v>84</v>
      </c>
      <c r="H2333" s="36" t="n">
        <f aca="false">IF($G$2849=0,0,G2333/$G$2849)</f>
        <v>5.51226701129799E-006</v>
      </c>
      <c r="I2333" s="37" t="n">
        <f aca="false">I2332+H2333</f>
        <v>0.998764147642718</v>
      </c>
      <c r="J2333" s="37" t="n">
        <f aca="false">A2333/2840</f>
        <v>0.819014084507042</v>
      </c>
      <c r="K2333" s="32" t="str">
        <f aca="false">IF(I2333&lt;=$E$4,"A",IF(I2333&lt;=$E$5,"B","C"))</f>
        <v>C</v>
      </c>
    </row>
    <row r="2334" customFormat="false" ht="15" hidden="false" customHeight="false" outlineLevel="0" collapsed="false">
      <c r="A2334" s="32" t="n">
        <v>2327</v>
      </c>
      <c r="B2334" s="33" t="n">
        <v>286778</v>
      </c>
      <c r="C2334" s="34" t="s">
        <v>4740</v>
      </c>
      <c r="D2334" s="34" t="s">
        <v>4741</v>
      </c>
      <c r="E2334" s="34" t="s">
        <v>100</v>
      </c>
      <c r="F2334" s="32" t="n">
        <f aca="false">COUNTIF(Base!$D$2:$D$2878,B2334)</f>
        <v>1</v>
      </c>
      <c r="G2334" s="35" t="n">
        <f aca="false">SUMIF(Base!$D$2:$D$2878,B2334,Base!$I$2:$I$2878)</f>
        <v>84</v>
      </c>
      <c r="H2334" s="36" t="n">
        <f aca="false">IF($G$2849=0,0,G2334/$G$2849)</f>
        <v>5.51226701129799E-006</v>
      </c>
      <c r="I2334" s="37" t="n">
        <f aca="false">I2333+H2334</f>
        <v>0.998769659909729</v>
      </c>
      <c r="J2334" s="37" t="n">
        <f aca="false">A2334/2840</f>
        <v>0.819366197183099</v>
      </c>
      <c r="K2334" s="32" t="str">
        <f aca="false">IF(I2334&lt;=$E$4,"A",IF(I2334&lt;=$E$5,"B","C"))</f>
        <v>C</v>
      </c>
    </row>
    <row r="2335" customFormat="false" ht="15" hidden="false" customHeight="false" outlineLevel="0" collapsed="false">
      <c r="A2335" s="32" t="n">
        <v>2328</v>
      </c>
      <c r="B2335" s="33" t="n">
        <v>19840</v>
      </c>
      <c r="C2335" s="34" t="s">
        <v>4742</v>
      </c>
      <c r="D2335" s="34" t="s">
        <v>4743</v>
      </c>
      <c r="E2335" s="34" t="s">
        <v>457</v>
      </c>
      <c r="F2335" s="32" t="n">
        <f aca="false">COUNTIF(Base!$D$2:$D$2878,B2335)</f>
        <v>1</v>
      </c>
      <c r="G2335" s="35" t="n">
        <f aca="false">SUMIF(Base!$D$2:$D$2878,B2335,Base!$I$2:$I$2878)</f>
        <v>83.85</v>
      </c>
      <c r="H2335" s="36" t="n">
        <f aca="false">IF($G$2849=0,0,G2335/$G$2849)</f>
        <v>5.50242367734924E-006</v>
      </c>
      <c r="I2335" s="37" t="n">
        <f aca="false">I2334+H2335</f>
        <v>0.998775162333407</v>
      </c>
      <c r="J2335" s="37" t="n">
        <f aca="false">A2335/2840</f>
        <v>0.819718309859155</v>
      </c>
      <c r="K2335" s="32" t="str">
        <f aca="false">IF(I2335&lt;=$E$4,"A",IF(I2335&lt;=$E$5,"B","C"))</f>
        <v>C</v>
      </c>
    </row>
    <row r="2336" customFormat="false" ht="15" hidden="false" customHeight="false" outlineLevel="0" collapsed="false">
      <c r="A2336" s="32" t="n">
        <v>2329</v>
      </c>
      <c r="B2336" s="33" t="n">
        <v>19515</v>
      </c>
      <c r="C2336" s="34" t="s">
        <v>4744</v>
      </c>
      <c r="D2336" s="34" t="s">
        <v>4745</v>
      </c>
      <c r="E2336" s="34" t="s">
        <v>1095</v>
      </c>
      <c r="F2336" s="32" t="n">
        <f aca="false">COUNTIF(Base!$D$2:$D$2878,B2336)</f>
        <v>1</v>
      </c>
      <c r="G2336" s="35" t="n">
        <f aca="false">SUMIF(Base!$D$2:$D$2878,B2336,Base!$I$2:$I$2878)</f>
        <v>83.6</v>
      </c>
      <c r="H2336" s="36" t="n">
        <f aca="false">IF($G$2849=0,0,G2336/$G$2849)</f>
        <v>5.486018120768E-006</v>
      </c>
      <c r="I2336" s="37" t="n">
        <f aca="false">I2335+H2336</f>
        <v>0.998780648351527</v>
      </c>
      <c r="J2336" s="37" t="n">
        <f aca="false">A2336/2840</f>
        <v>0.820070422535211</v>
      </c>
      <c r="K2336" s="32" t="str">
        <f aca="false">IF(I2336&lt;=$E$4,"A",IF(I2336&lt;=$E$5,"B","C"))</f>
        <v>C</v>
      </c>
    </row>
    <row r="2337" customFormat="false" ht="15" hidden="false" customHeight="false" outlineLevel="0" collapsed="false">
      <c r="A2337" s="32" t="n">
        <v>2330</v>
      </c>
      <c r="B2337" s="33" t="n">
        <v>32460</v>
      </c>
      <c r="C2337" s="34" t="s">
        <v>4746</v>
      </c>
      <c r="D2337" s="34" t="s">
        <v>4747</v>
      </c>
      <c r="E2337" s="34" t="s">
        <v>38</v>
      </c>
      <c r="F2337" s="32" t="n">
        <f aca="false">COUNTIF(Base!$D$2:$D$2878,B2337)</f>
        <v>1</v>
      </c>
      <c r="G2337" s="35" t="n">
        <f aca="false">SUMIF(Base!$D$2:$D$2878,B2337,Base!$I$2:$I$2878)</f>
        <v>82.15</v>
      </c>
      <c r="H2337" s="36" t="n">
        <f aca="false">IF($G$2849=0,0,G2337/$G$2849)</f>
        <v>5.39086589259678E-006</v>
      </c>
      <c r="I2337" s="37" t="n">
        <f aca="false">I2336+H2337</f>
        <v>0.99878603921742</v>
      </c>
      <c r="J2337" s="37" t="n">
        <f aca="false">A2337/2840</f>
        <v>0.820422535211268</v>
      </c>
      <c r="K2337" s="32" t="str">
        <f aca="false">IF(I2337&lt;=$E$4,"A",IF(I2337&lt;=$E$5,"B","C"))</f>
        <v>C</v>
      </c>
    </row>
    <row r="2338" customFormat="false" ht="15" hidden="false" customHeight="false" outlineLevel="0" collapsed="false">
      <c r="A2338" s="32" t="n">
        <v>2331</v>
      </c>
      <c r="B2338" s="33" t="n">
        <v>646926</v>
      </c>
      <c r="C2338" s="34" t="s">
        <v>4748</v>
      </c>
      <c r="D2338" s="34" t="s">
        <v>4749</v>
      </c>
      <c r="E2338" s="34" t="s">
        <v>100</v>
      </c>
      <c r="F2338" s="32" t="n">
        <f aca="false">COUNTIF(Base!$D$2:$D$2878,B2338)</f>
        <v>1</v>
      </c>
      <c r="G2338" s="35" t="n">
        <f aca="false">SUMIF(Base!$D$2:$D$2878,B2338,Base!$I$2:$I$2878)</f>
        <v>81.88</v>
      </c>
      <c r="H2338" s="36" t="n">
        <f aca="false">IF($G$2849=0,0,G2338/$G$2849)</f>
        <v>5.37314789148904E-006</v>
      </c>
      <c r="I2338" s="37" t="n">
        <f aca="false">I2337+H2338</f>
        <v>0.998791412365311</v>
      </c>
      <c r="J2338" s="37" t="n">
        <f aca="false">A2338/2840</f>
        <v>0.820774647887324</v>
      </c>
      <c r="K2338" s="32" t="str">
        <f aca="false">IF(I2338&lt;=$E$4,"A",IF(I2338&lt;=$E$5,"B","C"))</f>
        <v>C</v>
      </c>
    </row>
    <row r="2339" customFormat="false" ht="15" hidden="false" customHeight="false" outlineLevel="0" collapsed="false">
      <c r="A2339" s="32" t="n">
        <v>2332</v>
      </c>
      <c r="B2339" s="33" t="n">
        <v>1385904</v>
      </c>
      <c r="C2339" s="34" t="s">
        <v>4750</v>
      </c>
      <c r="D2339" s="34" t="s">
        <v>4751</v>
      </c>
      <c r="E2339" s="34" t="s">
        <v>160</v>
      </c>
      <c r="F2339" s="32" t="n">
        <f aca="false">COUNTIF(Base!$D$2:$D$2878,B2339)</f>
        <v>1</v>
      </c>
      <c r="G2339" s="35" t="n">
        <f aca="false">SUMIF(Base!$D$2:$D$2878,B2339,Base!$I$2:$I$2878)</f>
        <v>81.77</v>
      </c>
      <c r="H2339" s="36" t="n">
        <f aca="false">IF($G$2849=0,0,G2339/$G$2849)</f>
        <v>5.36592944659329E-006</v>
      </c>
      <c r="I2339" s="37" t="n">
        <f aca="false">I2338+H2339</f>
        <v>0.998796778294758</v>
      </c>
      <c r="J2339" s="37" t="n">
        <f aca="false">A2339/2840</f>
        <v>0.82112676056338</v>
      </c>
      <c r="K2339" s="32" t="str">
        <f aca="false">IF(I2339&lt;=$E$4,"A",IF(I2339&lt;=$E$5,"B","C"))</f>
        <v>C</v>
      </c>
    </row>
    <row r="2340" customFormat="false" ht="15" hidden="false" customHeight="false" outlineLevel="0" collapsed="false">
      <c r="A2340" s="32" t="n">
        <v>2333</v>
      </c>
      <c r="B2340" s="33" t="n">
        <v>23796</v>
      </c>
      <c r="C2340" s="34" t="s">
        <v>4752</v>
      </c>
      <c r="D2340" s="34" t="s">
        <v>4753</v>
      </c>
      <c r="E2340" s="34" t="s">
        <v>1618</v>
      </c>
      <c r="F2340" s="32" t="n">
        <f aca="false">COUNTIF(Base!$D$2:$D$2878,B2340)</f>
        <v>1</v>
      </c>
      <c r="G2340" s="35" t="n">
        <f aca="false">SUMIF(Base!$D$2:$D$2878,B2340,Base!$I$2:$I$2878)</f>
        <v>81.24</v>
      </c>
      <c r="H2340" s="36" t="n">
        <f aca="false">IF($G$2849=0,0,G2340/$G$2849)</f>
        <v>5.33114966664105E-006</v>
      </c>
      <c r="I2340" s="37" t="n">
        <f aca="false">I2339+H2340</f>
        <v>0.998802109444425</v>
      </c>
      <c r="J2340" s="37" t="n">
        <f aca="false">A2340/2840</f>
        <v>0.821478873239437</v>
      </c>
      <c r="K2340" s="32" t="str">
        <f aca="false">IF(I2340&lt;=$E$4,"A",IF(I2340&lt;=$E$5,"B","C"))</f>
        <v>C</v>
      </c>
    </row>
    <row r="2341" customFormat="false" ht="15" hidden="false" customHeight="false" outlineLevel="0" collapsed="false">
      <c r="A2341" s="32" t="n">
        <v>2334</v>
      </c>
      <c r="B2341" s="33" t="n">
        <v>427780</v>
      </c>
      <c r="C2341" s="34" t="s">
        <v>4754</v>
      </c>
      <c r="D2341" s="34" t="s">
        <v>4755</v>
      </c>
      <c r="E2341" s="34" t="s">
        <v>204</v>
      </c>
      <c r="F2341" s="32" t="n">
        <f aca="false">COUNTIF(Base!$D$2:$D$2878,B2341)</f>
        <v>1</v>
      </c>
      <c r="G2341" s="35" t="n">
        <f aca="false">SUMIF(Base!$D$2:$D$2878,B2341,Base!$I$2:$I$2878)</f>
        <v>80.33</v>
      </c>
      <c r="H2341" s="36" t="n">
        <f aca="false">IF($G$2849=0,0,G2341/$G$2849)</f>
        <v>5.27143344068532E-006</v>
      </c>
      <c r="I2341" s="37" t="n">
        <f aca="false">I2340+H2341</f>
        <v>0.998807380877865</v>
      </c>
      <c r="J2341" s="37" t="n">
        <f aca="false">A2341/2840</f>
        <v>0.821830985915493</v>
      </c>
      <c r="K2341" s="32" t="str">
        <f aca="false">IF(I2341&lt;=$E$4,"A",IF(I2341&lt;=$E$5,"B","C"))</f>
        <v>C</v>
      </c>
    </row>
    <row r="2342" customFormat="false" ht="15" hidden="false" customHeight="false" outlineLevel="0" collapsed="false">
      <c r="A2342" s="32" t="n">
        <v>2335</v>
      </c>
      <c r="B2342" s="33" t="n">
        <v>35549</v>
      </c>
      <c r="C2342" s="34" t="s">
        <v>4756</v>
      </c>
      <c r="D2342" s="34" t="s">
        <v>4757</v>
      </c>
      <c r="E2342" s="34" t="s">
        <v>38</v>
      </c>
      <c r="F2342" s="32" t="n">
        <f aca="false">COUNTIF(Base!$D$2:$D$2878,B2342)</f>
        <v>1</v>
      </c>
      <c r="G2342" s="35" t="n">
        <f aca="false">SUMIF(Base!$D$2:$D$2878,B2342,Base!$I$2:$I$2878)</f>
        <v>80.22</v>
      </c>
      <c r="H2342" s="36" t="n">
        <f aca="false">IF($G$2849=0,0,G2342/$G$2849)</f>
        <v>5.26421499578958E-006</v>
      </c>
      <c r="I2342" s="37" t="n">
        <f aca="false">I2341+H2342</f>
        <v>0.998812645092861</v>
      </c>
      <c r="J2342" s="37" t="n">
        <f aca="false">A2342/2840</f>
        <v>0.822183098591549</v>
      </c>
      <c r="K2342" s="32" t="str">
        <f aca="false">IF(I2342&lt;=$E$4,"A",IF(I2342&lt;=$E$5,"B","C"))</f>
        <v>C</v>
      </c>
    </row>
    <row r="2343" customFormat="false" ht="15" hidden="false" customHeight="false" outlineLevel="0" collapsed="false">
      <c r="A2343" s="32" t="n">
        <v>2336</v>
      </c>
      <c r="B2343" s="33" t="n">
        <v>54662</v>
      </c>
      <c r="C2343" s="34" t="s">
        <v>4758</v>
      </c>
      <c r="D2343" s="34" t="s">
        <v>4759</v>
      </c>
      <c r="E2343" s="34" t="s">
        <v>130</v>
      </c>
      <c r="F2343" s="32" t="n">
        <f aca="false">COUNTIF(Base!$D$2:$D$2878,B2343)</f>
        <v>1</v>
      </c>
      <c r="G2343" s="35" t="n">
        <f aca="false">SUMIF(Base!$D$2:$D$2878,B2343,Base!$I$2:$I$2878)</f>
        <v>80</v>
      </c>
      <c r="H2343" s="36" t="n">
        <f aca="false">IF($G$2849=0,0,G2343/$G$2849)</f>
        <v>5.24977810599808E-006</v>
      </c>
      <c r="I2343" s="37" t="n">
        <f aca="false">I2342+H2343</f>
        <v>0.998817894870967</v>
      </c>
      <c r="J2343" s="37" t="n">
        <f aca="false">A2343/2840</f>
        <v>0.822535211267606</v>
      </c>
      <c r="K2343" s="32" t="str">
        <f aca="false">IF(I2343&lt;=$E$4,"A",IF(I2343&lt;=$E$5,"B","C"))</f>
        <v>C</v>
      </c>
    </row>
    <row r="2344" customFormat="false" ht="15" hidden="false" customHeight="false" outlineLevel="0" collapsed="false">
      <c r="A2344" s="32" t="n">
        <v>2337</v>
      </c>
      <c r="B2344" s="33" t="n">
        <v>1657132</v>
      </c>
      <c r="C2344" s="34" t="s">
        <v>4760</v>
      </c>
      <c r="D2344" s="34" t="s">
        <v>4761</v>
      </c>
      <c r="E2344" s="34" t="s">
        <v>100</v>
      </c>
      <c r="F2344" s="32" t="n">
        <f aca="false">COUNTIF(Base!$D$2:$D$2878,B2344)</f>
        <v>1</v>
      </c>
      <c r="G2344" s="35" t="n">
        <f aca="false">SUMIF(Base!$D$2:$D$2878,B2344,Base!$I$2:$I$2878)</f>
        <v>80</v>
      </c>
      <c r="H2344" s="36" t="n">
        <f aca="false">IF($G$2849=0,0,G2344/$G$2849)</f>
        <v>5.24977810599808E-006</v>
      </c>
      <c r="I2344" s="37" t="n">
        <f aca="false">I2343+H2344</f>
        <v>0.998823144649073</v>
      </c>
      <c r="J2344" s="37" t="n">
        <f aca="false">A2344/2840</f>
        <v>0.822887323943662</v>
      </c>
      <c r="K2344" s="32" t="str">
        <f aca="false">IF(I2344&lt;=$E$4,"A",IF(I2344&lt;=$E$5,"B","C"))</f>
        <v>C</v>
      </c>
    </row>
    <row r="2345" customFormat="false" ht="15" hidden="false" customHeight="false" outlineLevel="0" collapsed="false">
      <c r="A2345" s="32" t="n">
        <v>2338</v>
      </c>
      <c r="B2345" s="33" t="n">
        <v>856178</v>
      </c>
      <c r="C2345" s="34" t="s">
        <v>4762</v>
      </c>
      <c r="D2345" s="34" t="s">
        <v>4763</v>
      </c>
      <c r="E2345" s="34" t="s">
        <v>363</v>
      </c>
      <c r="F2345" s="32" t="n">
        <f aca="false">COUNTIF(Base!$D$2:$D$2878,B2345)</f>
        <v>1</v>
      </c>
      <c r="G2345" s="35" t="n">
        <f aca="false">SUMIF(Base!$D$2:$D$2878,B2345,Base!$I$2:$I$2878)</f>
        <v>79.96</v>
      </c>
      <c r="H2345" s="36" t="n">
        <f aca="false">IF($G$2849=0,0,G2345/$G$2849)</f>
        <v>5.24715321694508E-006</v>
      </c>
      <c r="I2345" s="37" t="n">
        <f aca="false">I2344+H2345</f>
        <v>0.99882839180229</v>
      </c>
      <c r="J2345" s="37" t="n">
        <f aca="false">A2345/2840</f>
        <v>0.823239436619718</v>
      </c>
      <c r="K2345" s="32" t="str">
        <f aca="false">IF(I2345&lt;=$E$4,"A",IF(I2345&lt;=$E$5,"B","C"))</f>
        <v>C</v>
      </c>
    </row>
    <row r="2346" customFormat="false" ht="15" hidden="false" customHeight="false" outlineLevel="0" collapsed="false">
      <c r="A2346" s="32" t="n">
        <v>2339</v>
      </c>
      <c r="B2346" s="33" t="n">
        <v>942232</v>
      </c>
      <c r="C2346" s="34" t="s">
        <v>4764</v>
      </c>
      <c r="D2346" s="34" t="s">
        <v>4765</v>
      </c>
      <c r="E2346" s="34" t="s">
        <v>38</v>
      </c>
      <c r="F2346" s="32" t="n">
        <f aca="false">COUNTIF(Base!$D$2:$D$2878,B2346)</f>
        <v>1</v>
      </c>
      <c r="G2346" s="35" t="n">
        <f aca="false">SUMIF(Base!$D$2:$D$2878,B2346,Base!$I$2:$I$2878)</f>
        <v>79.96</v>
      </c>
      <c r="H2346" s="36" t="n">
        <f aca="false">IF($G$2849=0,0,G2346/$G$2849)</f>
        <v>5.24715321694508E-006</v>
      </c>
      <c r="I2346" s="37" t="n">
        <f aca="false">I2345+H2346</f>
        <v>0.998833638955507</v>
      </c>
      <c r="J2346" s="37" t="n">
        <f aca="false">A2346/2840</f>
        <v>0.823591549295775</v>
      </c>
      <c r="K2346" s="32" t="str">
        <f aca="false">IF(I2346&lt;=$E$4,"A",IF(I2346&lt;=$E$5,"B","C"))</f>
        <v>C</v>
      </c>
    </row>
    <row r="2347" customFormat="false" ht="15" hidden="false" customHeight="false" outlineLevel="0" collapsed="false">
      <c r="A2347" s="32" t="n">
        <v>2340</v>
      </c>
      <c r="B2347" s="33" t="n">
        <v>22529</v>
      </c>
      <c r="C2347" s="34" t="s">
        <v>4766</v>
      </c>
      <c r="D2347" s="34" t="s">
        <v>4767</v>
      </c>
      <c r="E2347" s="34" t="s">
        <v>38</v>
      </c>
      <c r="F2347" s="32" t="n">
        <f aca="false">COUNTIF(Base!$D$2:$D$2878,B2347)</f>
        <v>1</v>
      </c>
      <c r="G2347" s="35" t="n">
        <f aca="false">SUMIF(Base!$D$2:$D$2878,B2347,Base!$I$2:$I$2878)</f>
        <v>79.92</v>
      </c>
      <c r="H2347" s="36" t="n">
        <f aca="false">IF($G$2849=0,0,G2347/$G$2849)</f>
        <v>5.24452832789208E-006</v>
      </c>
      <c r="I2347" s="37" t="n">
        <f aca="false">I2346+H2347</f>
        <v>0.998838883483835</v>
      </c>
      <c r="J2347" s="37" t="n">
        <f aca="false">A2347/2840</f>
        <v>0.823943661971831</v>
      </c>
      <c r="K2347" s="32" t="str">
        <f aca="false">IF(I2347&lt;=$E$4,"A",IF(I2347&lt;=$E$5,"B","C"))</f>
        <v>C</v>
      </c>
    </row>
    <row r="2348" customFormat="false" ht="15" hidden="false" customHeight="false" outlineLevel="0" collapsed="false">
      <c r="A2348" s="32" t="n">
        <v>2341</v>
      </c>
      <c r="B2348" s="33" t="n">
        <v>879187</v>
      </c>
      <c r="C2348" s="34" t="s">
        <v>4768</v>
      </c>
      <c r="D2348" s="34" t="s">
        <v>4769</v>
      </c>
      <c r="E2348" s="34" t="s">
        <v>38</v>
      </c>
      <c r="F2348" s="32" t="n">
        <f aca="false">COUNTIF(Base!$D$2:$D$2878,B2348)</f>
        <v>1</v>
      </c>
      <c r="G2348" s="35" t="n">
        <f aca="false">SUMIF(Base!$D$2:$D$2878,B2348,Base!$I$2:$I$2878)</f>
        <v>79.92</v>
      </c>
      <c r="H2348" s="36" t="n">
        <f aca="false">IF($G$2849=0,0,G2348/$G$2849)</f>
        <v>5.24452832789208E-006</v>
      </c>
      <c r="I2348" s="37" t="n">
        <f aca="false">I2347+H2348</f>
        <v>0.998844128012163</v>
      </c>
      <c r="J2348" s="37" t="n">
        <f aca="false">A2348/2840</f>
        <v>0.824295774647887</v>
      </c>
      <c r="K2348" s="32" t="str">
        <f aca="false">IF(I2348&lt;=$E$4,"A",IF(I2348&lt;=$E$5,"B","C"))</f>
        <v>C</v>
      </c>
    </row>
    <row r="2349" customFormat="false" ht="15" hidden="false" customHeight="false" outlineLevel="0" collapsed="false">
      <c r="A2349" s="32" t="n">
        <v>2342</v>
      </c>
      <c r="B2349" s="33" t="n">
        <v>1668629</v>
      </c>
      <c r="C2349" s="34" t="s">
        <v>4770</v>
      </c>
      <c r="D2349" s="34" t="s">
        <v>4771</v>
      </c>
      <c r="E2349" s="34" t="s">
        <v>54</v>
      </c>
      <c r="F2349" s="32" t="n">
        <f aca="false">COUNTIF(Base!$D$2:$D$2878,B2349)</f>
        <v>1</v>
      </c>
      <c r="G2349" s="35" t="n">
        <f aca="false">SUMIF(Base!$D$2:$D$2878,B2349,Base!$I$2:$I$2878)</f>
        <v>78.85</v>
      </c>
      <c r="H2349" s="36" t="n">
        <f aca="false">IF($G$2849=0,0,G2349/$G$2849)</f>
        <v>5.17431254572436E-006</v>
      </c>
      <c r="I2349" s="37" t="n">
        <f aca="false">I2348+H2349</f>
        <v>0.998849302324708</v>
      </c>
      <c r="J2349" s="37" t="n">
        <f aca="false">A2349/2840</f>
        <v>0.824647887323944</v>
      </c>
      <c r="K2349" s="32" t="str">
        <f aca="false">IF(I2349&lt;=$E$4,"A",IF(I2349&lt;=$E$5,"B","C"))</f>
        <v>C</v>
      </c>
    </row>
    <row r="2350" customFormat="false" ht="15" hidden="false" customHeight="false" outlineLevel="0" collapsed="false">
      <c r="A2350" s="32" t="n">
        <v>2343</v>
      </c>
      <c r="B2350" s="33" t="n">
        <v>14685</v>
      </c>
      <c r="C2350" s="34" t="s">
        <v>4772</v>
      </c>
      <c r="D2350" s="34" t="s">
        <v>4773</v>
      </c>
      <c r="E2350" s="34" t="s">
        <v>54</v>
      </c>
      <c r="F2350" s="32" t="n">
        <f aca="false">COUNTIF(Base!$D$2:$D$2878,B2350)</f>
        <v>1</v>
      </c>
      <c r="G2350" s="35" t="n">
        <f aca="false">SUMIF(Base!$D$2:$D$2878,B2350,Base!$I$2:$I$2878)</f>
        <v>78.78</v>
      </c>
      <c r="H2350" s="36" t="n">
        <f aca="false">IF($G$2849=0,0,G2350/$G$2849)</f>
        <v>5.16971898988161E-006</v>
      </c>
      <c r="I2350" s="37" t="n">
        <f aca="false">I2349+H2350</f>
        <v>0.998854472043698</v>
      </c>
      <c r="J2350" s="37" t="n">
        <f aca="false">A2350/2840</f>
        <v>0.825</v>
      </c>
      <c r="K2350" s="32" t="str">
        <f aca="false">IF(I2350&lt;=$E$4,"A",IF(I2350&lt;=$E$5,"B","C"))</f>
        <v>C</v>
      </c>
    </row>
    <row r="2351" customFormat="false" ht="15" hidden="false" customHeight="false" outlineLevel="0" collapsed="false">
      <c r="A2351" s="32" t="n">
        <v>2344</v>
      </c>
      <c r="B2351" s="33" t="n">
        <v>19820</v>
      </c>
      <c r="C2351" s="34" t="s">
        <v>4774</v>
      </c>
      <c r="D2351" s="34" t="s">
        <v>4775</v>
      </c>
      <c r="E2351" s="34" t="s">
        <v>605</v>
      </c>
      <c r="F2351" s="32" t="n">
        <f aca="false">COUNTIF(Base!$D$2:$D$2878,B2351)</f>
        <v>1</v>
      </c>
      <c r="G2351" s="35" t="n">
        <f aca="false">SUMIF(Base!$D$2:$D$2878,B2351,Base!$I$2:$I$2878)</f>
        <v>78</v>
      </c>
      <c r="H2351" s="36" t="n">
        <f aca="false">IF($G$2849=0,0,G2351/$G$2849)</f>
        <v>5.11853365334813E-006</v>
      </c>
      <c r="I2351" s="37" t="n">
        <f aca="false">I2350+H2351</f>
        <v>0.998859590577352</v>
      </c>
      <c r="J2351" s="37" t="n">
        <f aca="false">A2351/2840</f>
        <v>0.825352112676056</v>
      </c>
      <c r="K2351" s="32" t="str">
        <f aca="false">IF(I2351&lt;=$E$4,"A",IF(I2351&lt;=$E$5,"B","C"))</f>
        <v>C</v>
      </c>
    </row>
    <row r="2352" customFormat="false" ht="15" hidden="false" customHeight="false" outlineLevel="0" collapsed="false">
      <c r="A2352" s="32" t="n">
        <v>2345</v>
      </c>
      <c r="B2352" s="33" t="n">
        <v>136924</v>
      </c>
      <c r="C2352" s="34" t="s">
        <v>4776</v>
      </c>
      <c r="D2352" s="34" t="s">
        <v>4777</v>
      </c>
      <c r="E2352" s="34" t="s">
        <v>54</v>
      </c>
      <c r="F2352" s="32" t="n">
        <f aca="false">COUNTIF(Base!$D$2:$D$2878,B2352)</f>
        <v>1</v>
      </c>
      <c r="G2352" s="35" t="n">
        <f aca="false">SUMIF(Base!$D$2:$D$2878,B2352,Base!$I$2:$I$2878)</f>
        <v>78</v>
      </c>
      <c r="H2352" s="36" t="n">
        <f aca="false">IF($G$2849=0,0,G2352/$G$2849)</f>
        <v>5.11853365334813E-006</v>
      </c>
      <c r="I2352" s="37" t="n">
        <f aca="false">I2351+H2352</f>
        <v>0.998864709111005</v>
      </c>
      <c r="J2352" s="37" t="n">
        <f aca="false">A2352/2840</f>
        <v>0.825704225352113</v>
      </c>
      <c r="K2352" s="32" t="str">
        <f aca="false">IF(I2352&lt;=$E$4,"A",IF(I2352&lt;=$E$5,"B","C"))</f>
        <v>C</v>
      </c>
    </row>
    <row r="2353" customFormat="false" ht="15" hidden="false" customHeight="false" outlineLevel="0" collapsed="false">
      <c r="A2353" s="32" t="n">
        <v>2346</v>
      </c>
      <c r="B2353" s="33" t="n">
        <v>932391</v>
      </c>
      <c r="C2353" s="34" t="s">
        <v>4778</v>
      </c>
      <c r="D2353" s="34" t="s">
        <v>4779</v>
      </c>
      <c r="E2353" s="34" t="s">
        <v>54</v>
      </c>
      <c r="F2353" s="32" t="n">
        <f aca="false">COUNTIF(Base!$D$2:$D$2878,B2353)</f>
        <v>1</v>
      </c>
      <c r="G2353" s="35" t="n">
        <f aca="false">SUMIF(Base!$D$2:$D$2878,B2353,Base!$I$2:$I$2878)</f>
        <v>78</v>
      </c>
      <c r="H2353" s="36" t="n">
        <f aca="false">IF($G$2849=0,0,G2353/$G$2849)</f>
        <v>5.11853365334813E-006</v>
      </c>
      <c r="I2353" s="37" t="n">
        <f aca="false">I2352+H2353</f>
        <v>0.998869827644658</v>
      </c>
      <c r="J2353" s="37" t="n">
        <f aca="false">A2353/2840</f>
        <v>0.826056338028169</v>
      </c>
      <c r="K2353" s="32" t="str">
        <f aca="false">IF(I2353&lt;=$E$4,"A",IF(I2353&lt;=$E$5,"B","C"))</f>
        <v>C</v>
      </c>
    </row>
    <row r="2354" customFormat="false" ht="15" hidden="false" customHeight="false" outlineLevel="0" collapsed="false">
      <c r="A2354" s="32" t="n">
        <v>2347</v>
      </c>
      <c r="B2354" s="33" t="n">
        <v>1107808</v>
      </c>
      <c r="C2354" s="34" t="s">
        <v>4780</v>
      </c>
      <c r="D2354" s="34" t="s">
        <v>4781</v>
      </c>
      <c r="E2354" s="34" t="s">
        <v>38</v>
      </c>
      <c r="F2354" s="32" t="n">
        <f aca="false">COUNTIF(Base!$D$2:$D$2878,B2354)</f>
        <v>1</v>
      </c>
      <c r="G2354" s="35" t="n">
        <f aca="false">SUMIF(Base!$D$2:$D$2878,B2354,Base!$I$2:$I$2878)</f>
        <v>78</v>
      </c>
      <c r="H2354" s="36" t="n">
        <f aca="false">IF($G$2849=0,0,G2354/$G$2849)</f>
        <v>5.11853365334813E-006</v>
      </c>
      <c r="I2354" s="37" t="n">
        <f aca="false">I2353+H2354</f>
        <v>0.998874946178312</v>
      </c>
      <c r="J2354" s="37" t="n">
        <f aca="false">A2354/2840</f>
        <v>0.826408450704225</v>
      </c>
      <c r="K2354" s="32" t="str">
        <f aca="false">IF(I2354&lt;=$E$4,"A",IF(I2354&lt;=$E$5,"B","C"))</f>
        <v>C</v>
      </c>
    </row>
    <row r="2355" customFormat="false" ht="15" hidden="false" customHeight="false" outlineLevel="0" collapsed="false">
      <c r="A2355" s="32" t="n">
        <v>2348</v>
      </c>
      <c r="B2355" s="33" t="n">
        <v>1381902</v>
      </c>
      <c r="C2355" s="34" t="s">
        <v>4782</v>
      </c>
      <c r="D2355" s="34" t="s">
        <v>4783</v>
      </c>
      <c r="E2355" s="34" t="s">
        <v>54</v>
      </c>
      <c r="F2355" s="32" t="n">
        <f aca="false">COUNTIF(Base!$D$2:$D$2878,B2355)</f>
        <v>1</v>
      </c>
      <c r="G2355" s="35" t="n">
        <f aca="false">SUMIF(Base!$D$2:$D$2878,B2355,Base!$I$2:$I$2878)</f>
        <v>78</v>
      </c>
      <c r="H2355" s="36" t="n">
        <f aca="false">IF($G$2849=0,0,G2355/$G$2849)</f>
        <v>5.11853365334813E-006</v>
      </c>
      <c r="I2355" s="37" t="n">
        <f aca="false">I2354+H2355</f>
        <v>0.998880064711965</v>
      </c>
      <c r="J2355" s="37" t="n">
        <f aca="false">A2355/2840</f>
        <v>0.826760563380282</v>
      </c>
      <c r="K2355" s="32" t="str">
        <f aca="false">IF(I2355&lt;=$E$4,"A",IF(I2355&lt;=$E$5,"B","C"))</f>
        <v>C</v>
      </c>
    </row>
    <row r="2356" customFormat="false" ht="15" hidden="false" customHeight="false" outlineLevel="0" collapsed="false">
      <c r="A2356" s="32" t="n">
        <v>2349</v>
      </c>
      <c r="B2356" s="33" t="n">
        <v>1386217</v>
      </c>
      <c r="C2356" s="34" t="s">
        <v>4784</v>
      </c>
      <c r="D2356" s="34" t="s">
        <v>4785</v>
      </c>
      <c r="E2356" s="34" t="s">
        <v>130</v>
      </c>
      <c r="F2356" s="32" t="n">
        <f aca="false">COUNTIF(Base!$D$2:$D$2878,B2356)</f>
        <v>1</v>
      </c>
      <c r="G2356" s="35" t="n">
        <f aca="false">SUMIF(Base!$D$2:$D$2878,B2356,Base!$I$2:$I$2878)</f>
        <v>78</v>
      </c>
      <c r="H2356" s="36" t="n">
        <f aca="false">IF($G$2849=0,0,G2356/$G$2849)</f>
        <v>5.11853365334813E-006</v>
      </c>
      <c r="I2356" s="37" t="n">
        <f aca="false">I2355+H2356</f>
        <v>0.998885183245619</v>
      </c>
      <c r="J2356" s="37" t="n">
        <f aca="false">A2356/2840</f>
        <v>0.827112676056338</v>
      </c>
      <c r="K2356" s="32" t="str">
        <f aca="false">IF(I2356&lt;=$E$4,"A",IF(I2356&lt;=$E$5,"B","C"))</f>
        <v>C</v>
      </c>
    </row>
    <row r="2357" customFormat="false" ht="15" hidden="false" customHeight="false" outlineLevel="0" collapsed="false">
      <c r="A2357" s="32" t="n">
        <v>2350</v>
      </c>
      <c r="B2357" s="33" t="n">
        <v>1461941</v>
      </c>
      <c r="C2357" s="34" t="s">
        <v>4786</v>
      </c>
      <c r="D2357" s="34" t="s">
        <v>4787</v>
      </c>
      <c r="E2357" s="34" t="s">
        <v>38</v>
      </c>
      <c r="F2357" s="32" t="n">
        <f aca="false">COUNTIF(Base!$D$2:$D$2878,B2357)</f>
        <v>1</v>
      </c>
      <c r="G2357" s="35" t="n">
        <f aca="false">SUMIF(Base!$D$2:$D$2878,B2357,Base!$I$2:$I$2878)</f>
        <v>78</v>
      </c>
      <c r="H2357" s="36" t="n">
        <f aca="false">IF($G$2849=0,0,G2357/$G$2849)</f>
        <v>5.11853365334813E-006</v>
      </c>
      <c r="I2357" s="37" t="n">
        <f aca="false">I2356+H2357</f>
        <v>0.998890301779272</v>
      </c>
      <c r="J2357" s="37" t="n">
        <f aca="false">A2357/2840</f>
        <v>0.827464788732394</v>
      </c>
      <c r="K2357" s="32" t="str">
        <f aca="false">IF(I2357&lt;=$E$4,"A",IF(I2357&lt;=$E$5,"B","C"))</f>
        <v>C</v>
      </c>
    </row>
    <row r="2358" customFormat="false" ht="15" hidden="false" customHeight="false" outlineLevel="0" collapsed="false">
      <c r="A2358" s="32" t="n">
        <v>2351</v>
      </c>
      <c r="B2358" s="33" t="n">
        <v>1659750</v>
      </c>
      <c r="C2358" s="34" t="s">
        <v>4788</v>
      </c>
      <c r="D2358" s="34" t="s">
        <v>4789</v>
      </c>
      <c r="E2358" s="34" t="s">
        <v>100</v>
      </c>
      <c r="F2358" s="32" t="n">
        <f aca="false">COUNTIF(Base!$D$2:$D$2878,B2358)</f>
        <v>1</v>
      </c>
      <c r="G2358" s="35" t="n">
        <f aca="false">SUMIF(Base!$D$2:$D$2878,B2358,Base!$I$2:$I$2878)</f>
        <v>78</v>
      </c>
      <c r="H2358" s="36" t="n">
        <f aca="false">IF($G$2849=0,0,G2358/$G$2849)</f>
        <v>5.11853365334813E-006</v>
      </c>
      <c r="I2358" s="37" t="n">
        <f aca="false">I2357+H2358</f>
        <v>0.998895420312925</v>
      </c>
      <c r="J2358" s="37" t="n">
        <f aca="false">A2358/2840</f>
        <v>0.827816901408451</v>
      </c>
      <c r="K2358" s="32" t="str">
        <f aca="false">IF(I2358&lt;=$E$4,"A",IF(I2358&lt;=$E$5,"B","C"))</f>
        <v>C</v>
      </c>
    </row>
    <row r="2359" customFormat="false" ht="15" hidden="false" customHeight="false" outlineLevel="0" collapsed="false">
      <c r="A2359" s="32" t="n">
        <v>2352</v>
      </c>
      <c r="B2359" s="33" t="n">
        <v>22528</v>
      </c>
      <c r="C2359" s="34" t="s">
        <v>4790</v>
      </c>
      <c r="D2359" s="34" t="s">
        <v>4791</v>
      </c>
      <c r="E2359" s="34" t="s">
        <v>38</v>
      </c>
      <c r="F2359" s="32" t="n">
        <f aca="false">COUNTIF(Base!$D$2:$D$2878,B2359)</f>
        <v>1</v>
      </c>
      <c r="G2359" s="35" t="n">
        <f aca="false">SUMIF(Base!$D$2:$D$2878,B2359,Base!$I$2:$I$2878)</f>
        <v>77.88</v>
      </c>
      <c r="H2359" s="36" t="n">
        <f aca="false">IF($G$2849=0,0,G2359/$G$2849)</f>
        <v>5.11065898618913E-006</v>
      </c>
      <c r="I2359" s="37" t="n">
        <f aca="false">I2358+H2359</f>
        <v>0.998900530971911</v>
      </c>
      <c r="J2359" s="37" t="n">
        <f aca="false">A2359/2840</f>
        <v>0.828169014084507</v>
      </c>
      <c r="K2359" s="32" t="str">
        <f aca="false">IF(I2359&lt;=$E$4,"A",IF(I2359&lt;=$E$5,"B","C"))</f>
        <v>C</v>
      </c>
    </row>
    <row r="2360" customFormat="false" ht="15" hidden="false" customHeight="false" outlineLevel="0" collapsed="false">
      <c r="A2360" s="32" t="n">
        <v>2353</v>
      </c>
      <c r="B2360" s="33" t="n">
        <v>932993</v>
      </c>
      <c r="C2360" s="34" t="s">
        <v>4792</v>
      </c>
      <c r="D2360" s="34" t="s">
        <v>4793</v>
      </c>
      <c r="E2360" s="34" t="s">
        <v>38</v>
      </c>
      <c r="F2360" s="32" t="n">
        <f aca="false">COUNTIF(Base!$D$2:$D$2878,B2360)</f>
        <v>1</v>
      </c>
      <c r="G2360" s="35" t="n">
        <f aca="false">SUMIF(Base!$D$2:$D$2878,B2360,Base!$I$2:$I$2878)</f>
        <v>77.88</v>
      </c>
      <c r="H2360" s="36" t="n">
        <f aca="false">IF($G$2849=0,0,G2360/$G$2849)</f>
        <v>5.11065898618913E-006</v>
      </c>
      <c r="I2360" s="37" t="n">
        <f aca="false">I2359+H2360</f>
        <v>0.998905641630898</v>
      </c>
      <c r="J2360" s="37" t="n">
        <f aca="false">A2360/2840</f>
        <v>0.828521126760563</v>
      </c>
      <c r="K2360" s="32" t="str">
        <f aca="false">IF(I2360&lt;=$E$4,"A",IF(I2360&lt;=$E$5,"B","C"))</f>
        <v>C</v>
      </c>
    </row>
    <row r="2361" customFormat="false" ht="15" hidden="false" customHeight="false" outlineLevel="0" collapsed="false">
      <c r="A2361" s="32" t="n">
        <v>2354</v>
      </c>
      <c r="B2361" s="33" t="n">
        <v>19382</v>
      </c>
      <c r="C2361" s="34" t="s">
        <v>4794</v>
      </c>
      <c r="D2361" s="34" t="s">
        <v>4795</v>
      </c>
      <c r="E2361" s="34" t="s">
        <v>1095</v>
      </c>
      <c r="F2361" s="32" t="n">
        <f aca="false">COUNTIF(Base!$D$2:$D$2878,B2361)</f>
        <v>1</v>
      </c>
      <c r="G2361" s="35" t="n">
        <f aca="false">SUMIF(Base!$D$2:$D$2878,B2361,Base!$I$2:$I$2878)</f>
        <v>77.8335</v>
      </c>
      <c r="H2361" s="36" t="n">
        <f aca="false">IF($G$2849=0,0,G2361/$G$2849)</f>
        <v>5.10760755266502E-006</v>
      </c>
      <c r="I2361" s="37" t="n">
        <f aca="false">I2360+H2361</f>
        <v>0.99891074923845</v>
      </c>
      <c r="J2361" s="37" t="n">
        <f aca="false">A2361/2840</f>
        <v>0.82887323943662</v>
      </c>
      <c r="K2361" s="32" t="str">
        <f aca="false">IF(I2361&lt;=$E$4,"A",IF(I2361&lt;=$E$5,"B","C"))</f>
        <v>C</v>
      </c>
    </row>
    <row r="2362" customFormat="false" ht="15" hidden="false" customHeight="false" outlineLevel="0" collapsed="false">
      <c r="A2362" s="32" t="n">
        <v>2355</v>
      </c>
      <c r="B2362" s="33" t="n">
        <v>59097</v>
      </c>
      <c r="C2362" s="34" t="s">
        <v>4796</v>
      </c>
      <c r="D2362" s="34" t="s">
        <v>4797</v>
      </c>
      <c r="E2362" s="34" t="s">
        <v>2056</v>
      </c>
      <c r="F2362" s="32" t="n">
        <f aca="false">COUNTIF(Base!$D$2:$D$2878,B2362)</f>
        <v>1</v>
      </c>
      <c r="G2362" s="35" t="n">
        <f aca="false">SUMIF(Base!$D$2:$D$2878,B2362,Base!$I$2:$I$2878)</f>
        <v>77.78</v>
      </c>
      <c r="H2362" s="36" t="n">
        <f aca="false">IF($G$2849=0,0,G2362/$G$2849)</f>
        <v>5.10409676355664E-006</v>
      </c>
      <c r="I2362" s="37" t="n">
        <f aca="false">I2361+H2362</f>
        <v>0.998915853335214</v>
      </c>
      <c r="J2362" s="37" t="n">
        <f aca="false">A2362/2840</f>
        <v>0.829225352112676</v>
      </c>
      <c r="K2362" s="32" t="str">
        <f aca="false">IF(I2362&lt;=$E$4,"A",IF(I2362&lt;=$E$5,"B","C"))</f>
        <v>C</v>
      </c>
    </row>
    <row r="2363" customFormat="false" ht="15" hidden="false" customHeight="false" outlineLevel="0" collapsed="false">
      <c r="A2363" s="32" t="n">
        <v>2356</v>
      </c>
      <c r="B2363" s="33" t="n">
        <v>1090980</v>
      </c>
      <c r="C2363" s="34" t="s">
        <v>4798</v>
      </c>
      <c r="D2363" s="34" t="s">
        <v>4799</v>
      </c>
      <c r="E2363" s="34" t="s">
        <v>230</v>
      </c>
      <c r="F2363" s="32" t="n">
        <f aca="false">COUNTIF(Base!$D$2:$D$2878,B2363)</f>
        <v>1</v>
      </c>
      <c r="G2363" s="35" t="n">
        <f aca="false">SUMIF(Base!$D$2:$D$2878,B2363,Base!$I$2:$I$2878)</f>
        <v>77.4</v>
      </c>
      <c r="H2363" s="36" t="n">
        <f aca="false">IF($G$2849=0,0,G2363/$G$2849)</f>
        <v>5.07916031755314E-006</v>
      </c>
      <c r="I2363" s="37" t="n">
        <f aca="false">I2362+H2363</f>
        <v>0.998920932495532</v>
      </c>
      <c r="J2363" s="37" t="n">
        <f aca="false">A2363/2840</f>
        <v>0.829577464788732</v>
      </c>
      <c r="K2363" s="32" t="str">
        <f aca="false">IF(I2363&lt;=$E$4,"A",IF(I2363&lt;=$E$5,"B","C"))</f>
        <v>C</v>
      </c>
    </row>
    <row r="2364" customFormat="false" ht="15" hidden="false" customHeight="false" outlineLevel="0" collapsed="false">
      <c r="A2364" s="32" t="n">
        <v>2357</v>
      </c>
      <c r="B2364" s="33" t="n">
        <v>880088</v>
      </c>
      <c r="C2364" s="34" t="s">
        <v>4800</v>
      </c>
      <c r="D2364" s="34" t="s">
        <v>4801</v>
      </c>
      <c r="E2364" s="34" t="s">
        <v>1618</v>
      </c>
      <c r="F2364" s="32" t="n">
        <f aca="false">COUNTIF(Base!$D$2:$D$2878,B2364)</f>
        <v>1</v>
      </c>
      <c r="G2364" s="35" t="n">
        <f aca="false">SUMIF(Base!$D$2:$D$2878,B2364,Base!$I$2:$I$2878)</f>
        <v>77.28</v>
      </c>
      <c r="H2364" s="36" t="n">
        <f aca="false">IF($G$2849=0,0,G2364/$G$2849)</f>
        <v>5.07128565039415E-006</v>
      </c>
      <c r="I2364" s="37" t="n">
        <f aca="false">I2363+H2364</f>
        <v>0.998926003781182</v>
      </c>
      <c r="J2364" s="37" t="n">
        <f aca="false">A2364/2840</f>
        <v>0.829929577464789</v>
      </c>
      <c r="K2364" s="32" t="str">
        <f aca="false">IF(I2364&lt;=$E$4,"A",IF(I2364&lt;=$E$5,"B","C"))</f>
        <v>C</v>
      </c>
    </row>
    <row r="2365" customFormat="false" ht="15" hidden="false" customHeight="false" outlineLevel="0" collapsed="false">
      <c r="A2365" s="32" t="n">
        <v>2358</v>
      </c>
      <c r="B2365" s="33" t="n">
        <v>844082</v>
      </c>
      <c r="C2365" s="34" t="s">
        <v>4802</v>
      </c>
      <c r="D2365" s="34" t="s">
        <v>4803</v>
      </c>
      <c r="E2365" s="34" t="s">
        <v>38</v>
      </c>
      <c r="F2365" s="32" t="n">
        <f aca="false">COUNTIF(Base!$D$2:$D$2878,B2365)</f>
        <v>1</v>
      </c>
      <c r="G2365" s="35" t="n">
        <f aca="false">SUMIF(Base!$D$2:$D$2878,B2365,Base!$I$2:$I$2878)</f>
        <v>77</v>
      </c>
      <c r="H2365" s="36" t="n">
        <f aca="false">IF($G$2849=0,0,G2365/$G$2849)</f>
        <v>5.05291142702315E-006</v>
      </c>
      <c r="I2365" s="37" t="n">
        <f aca="false">I2364+H2365</f>
        <v>0.998931056692609</v>
      </c>
      <c r="J2365" s="37" t="n">
        <f aca="false">A2365/2840</f>
        <v>0.830281690140845</v>
      </c>
      <c r="K2365" s="32" t="str">
        <f aca="false">IF(I2365&lt;=$E$4,"A",IF(I2365&lt;=$E$5,"B","C"))</f>
        <v>C</v>
      </c>
    </row>
    <row r="2366" customFormat="false" ht="15" hidden="false" customHeight="false" outlineLevel="0" collapsed="false">
      <c r="A2366" s="32" t="n">
        <v>2359</v>
      </c>
      <c r="B2366" s="33" t="n">
        <v>350613</v>
      </c>
      <c r="C2366" s="34" t="s">
        <v>4804</v>
      </c>
      <c r="D2366" s="34" t="s">
        <v>4805</v>
      </c>
      <c r="E2366" s="34" t="s">
        <v>100</v>
      </c>
      <c r="F2366" s="32" t="n">
        <f aca="false">COUNTIF(Base!$D$2:$D$2878,B2366)</f>
        <v>1</v>
      </c>
      <c r="G2366" s="35" t="n">
        <f aca="false">SUMIF(Base!$D$2:$D$2878,B2366,Base!$I$2:$I$2878)</f>
        <v>76.8</v>
      </c>
      <c r="H2366" s="36" t="n">
        <f aca="false">IF($G$2849=0,0,G2366/$G$2849)</f>
        <v>5.03978698175816E-006</v>
      </c>
      <c r="I2366" s="37" t="n">
        <f aca="false">I2365+H2366</f>
        <v>0.998936096479591</v>
      </c>
      <c r="J2366" s="37" t="n">
        <f aca="false">A2366/2840</f>
        <v>0.830633802816901</v>
      </c>
      <c r="K2366" s="32" t="str">
        <f aca="false">IF(I2366&lt;=$E$4,"A",IF(I2366&lt;=$E$5,"B","C"))</f>
        <v>C</v>
      </c>
    </row>
    <row r="2367" customFormat="false" ht="15" hidden="false" customHeight="false" outlineLevel="0" collapsed="false">
      <c r="A2367" s="32" t="n">
        <v>2360</v>
      </c>
      <c r="B2367" s="33" t="n">
        <v>650866</v>
      </c>
      <c r="C2367" s="34" t="s">
        <v>4806</v>
      </c>
      <c r="D2367" s="34" t="s">
        <v>4807</v>
      </c>
      <c r="E2367" s="34" t="s">
        <v>100</v>
      </c>
      <c r="F2367" s="32" t="n">
        <f aca="false">COUNTIF(Base!$D$2:$D$2878,B2367)</f>
        <v>1</v>
      </c>
      <c r="G2367" s="35" t="n">
        <f aca="false">SUMIF(Base!$D$2:$D$2878,B2367,Base!$I$2:$I$2878)</f>
        <v>76.44</v>
      </c>
      <c r="H2367" s="36" t="n">
        <f aca="false">IF($G$2849=0,0,G2367/$G$2849)</f>
        <v>5.01616298028117E-006</v>
      </c>
      <c r="I2367" s="37" t="n">
        <f aca="false">I2366+H2367</f>
        <v>0.998941112642571</v>
      </c>
      <c r="J2367" s="37" t="n">
        <f aca="false">A2367/2840</f>
        <v>0.830985915492958</v>
      </c>
      <c r="K2367" s="32" t="str">
        <f aca="false">IF(I2367&lt;=$E$4,"A",IF(I2367&lt;=$E$5,"B","C"))</f>
        <v>C</v>
      </c>
    </row>
    <row r="2368" customFormat="false" ht="15" hidden="false" customHeight="false" outlineLevel="0" collapsed="false">
      <c r="A2368" s="32" t="n">
        <v>2361</v>
      </c>
      <c r="B2368" s="33" t="n">
        <v>864244</v>
      </c>
      <c r="C2368" s="34" t="s">
        <v>4808</v>
      </c>
      <c r="D2368" s="34" t="s">
        <v>4809</v>
      </c>
      <c r="E2368" s="34" t="s">
        <v>130</v>
      </c>
      <c r="F2368" s="32" t="n">
        <f aca="false">COUNTIF(Base!$D$2:$D$2878,B2368)</f>
        <v>1</v>
      </c>
      <c r="G2368" s="35" t="n">
        <f aca="false">SUMIF(Base!$D$2:$D$2878,B2368,Base!$I$2:$I$2878)</f>
        <v>76.02</v>
      </c>
      <c r="H2368" s="36" t="n">
        <f aca="false">IF($G$2849=0,0,G2368/$G$2849)</f>
        <v>4.98860164522468E-006</v>
      </c>
      <c r="I2368" s="37" t="n">
        <f aca="false">I2367+H2368</f>
        <v>0.998946101244216</v>
      </c>
      <c r="J2368" s="37" t="n">
        <f aca="false">A2368/2840</f>
        <v>0.831338028169014</v>
      </c>
      <c r="K2368" s="32" t="str">
        <f aca="false">IF(I2368&lt;=$E$4,"A",IF(I2368&lt;=$E$5,"B","C"))</f>
        <v>C</v>
      </c>
    </row>
    <row r="2369" customFormat="false" ht="15" hidden="false" customHeight="false" outlineLevel="0" collapsed="false">
      <c r="A2369" s="32" t="n">
        <v>2362</v>
      </c>
      <c r="B2369" s="33" t="n">
        <v>1182187</v>
      </c>
      <c r="C2369" s="34" t="s">
        <v>4810</v>
      </c>
      <c r="D2369" s="34" t="s">
        <v>4811</v>
      </c>
      <c r="E2369" s="34" t="s">
        <v>230</v>
      </c>
      <c r="F2369" s="32" t="n">
        <f aca="false">COUNTIF(Base!$D$2:$D$2878,B2369)</f>
        <v>1</v>
      </c>
      <c r="G2369" s="35" t="n">
        <f aca="false">SUMIF(Base!$D$2:$D$2878,B2369,Base!$I$2:$I$2878)</f>
        <v>76</v>
      </c>
      <c r="H2369" s="36" t="n">
        <f aca="false">IF($G$2849=0,0,G2369/$G$2849)</f>
        <v>4.98728920069818E-006</v>
      </c>
      <c r="I2369" s="37" t="n">
        <f aca="false">I2368+H2369</f>
        <v>0.998951088533417</v>
      </c>
      <c r="J2369" s="37" t="n">
        <f aca="false">A2369/2840</f>
        <v>0.83169014084507</v>
      </c>
      <c r="K2369" s="32" t="str">
        <f aca="false">IF(I2369&lt;=$E$4,"A",IF(I2369&lt;=$E$5,"B","C"))</f>
        <v>C</v>
      </c>
    </row>
    <row r="2370" customFormat="false" ht="15" hidden="false" customHeight="false" outlineLevel="0" collapsed="false">
      <c r="A2370" s="32" t="n">
        <v>2363</v>
      </c>
      <c r="B2370" s="33" t="n">
        <v>14641</v>
      </c>
      <c r="C2370" s="34" t="s">
        <v>4812</v>
      </c>
      <c r="D2370" s="34" t="s">
        <v>4813</v>
      </c>
      <c r="E2370" s="34" t="s">
        <v>54</v>
      </c>
      <c r="F2370" s="32" t="n">
        <f aca="false">COUNTIF(Base!$D$2:$D$2878,B2370)</f>
        <v>1</v>
      </c>
      <c r="G2370" s="35" t="n">
        <f aca="false">SUMIF(Base!$D$2:$D$2878,B2370,Base!$I$2:$I$2878)</f>
        <v>75.92</v>
      </c>
      <c r="H2370" s="36" t="n">
        <f aca="false">IF($G$2849=0,0,G2370/$G$2849)</f>
        <v>4.98203942259218E-006</v>
      </c>
      <c r="I2370" s="37" t="n">
        <f aca="false">I2369+H2370</f>
        <v>0.99895607057284</v>
      </c>
      <c r="J2370" s="37" t="n">
        <f aca="false">A2370/2840</f>
        <v>0.832042253521127</v>
      </c>
      <c r="K2370" s="32" t="str">
        <f aca="false">IF(I2370&lt;=$E$4,"A",IF(I2370&lt;=$E$5,"B","C"))</f>
        <v>C</v>
      </c>
    </row>
    <row r="2371" customFormat="false" ht="15" hidden="false" customHeight="false" outlineLevel="0" collapsed="false">
      <c r="A2371" s="32" t="n">
        <v>2364</v>
      </c>
      <c r="B2371" s="33" t="n">
        <v>390179</v>
      </c>
      <c r="C2371" s="34" t="s">
        <v>4814</v>
      </c>
      <c r="D2371" s="34" t="s">
        <v>4815</v>
      </c>
      <c r="E2371" s="34" t="s">
        <v>100</v>
      </c>
      <c r="F2371" s="32" t="n">
        <f aca="false">COUNTIF(Base!$D$2:$D$2878,B2371)</f>
        <v>1</v>
      </c>
      <c r="G2371" s="35" t="n">
        <f aca="false">SUMIF(Base!$D$2:$D$2878,B2371,Base!$I$2:$I$2878)</f>
        <v>75</v>
      </c>
      <c r="H2371" s="36" t="n">
        <f aca="false">IF($G$2849=0,0,G2371/$G$2849)</f>
        <v>4.9216669743732E-006</v>
      </c>
      <c r="I2371" s="37" t="n">
        <f aca="false">I2370+H2371</f>
        <v>0.998960992239814</v>
      </c>
      <c r="J2371" s="37" t="n">
        <f aca="false">A2371/2840</f>
        <v>0.832394366197183</v>
      </c>
      <c r="K2371" s="32" t="str">
        <f aca="false">IF(I2371&lt;=$E$4,"A",IF(I2371&lt;=$E$5,"B","C"))</f>
        <v>C</v>
      </c>
    </row>
    <row r="2372" customFormat="false" ht="15" hidden="false" customHeight="false" outlineLevel="0" collapsed="false">
      <c r="A2372" s="32" t="n">
        <v>2365</v>
      </c>
      <c r="B2372" s="33" t="n">
        <v>1485678</v>
      </c>
      <c r="C2372" s="34" t="s">
        <v>4816</v>
      </c>
      <c r="D2372" s="34" t="s">
        <v>4817</v>
      </c>
      <c r="E2372" s="34" t="s">
        <v>100</v>
      </c>
      <c r="F2372" s="32" t="n">
        <f aca="false">COUNTIF(Base!$D$2:$D$2878,B2372)</f>
        <v>1</v>
      </c>
      <c r="G2372" s="35" t="n">
        <f aca="false">SUMIF(Base!$D$2:$D$2878,B2372,Base!$I$2:$I$2878)</f>
        <v>75</v>
      </c>
      <c r="H2372" s="36" t="n">
        <f aca="false">IF($G$2849=0,0,G2372/$G$2849)</f>
        <v>4.9216669743732E-006</v>
      </c>
      <c r="I2372" s="37" t="n">
        <f aca="false">I2371+H2372</f>
        <v>0.998965913906788</v>
      </c>
      <c r="J2372" s="37" t="n">
        <f aca="false">A2372/2840</f>
        <v>0.832746478873239</v>
      </c>
      <c r="K2372" s="32" t="str">
        <f aca="false">IF(I2372&lt;=$E$4,"A",IF(I2372&lt;=$E$5,"B","C"))</f>
        <v>C</v>
      </c>
    </row>
    <row r="2373" customFormat="false" ht="15" hidden="false" customHeight="false" outlineLevel="0" collapsed="false">
      <c r="A2373" s="32" t="n">
        <v>2366</v>
      </c>
      <c r="B2373" s="33" t="n">
        <v>1331023</v>
      </c>
      <c r="C2373" s="34" t="s">
        <v>4818</v>
      </c>
      <c r="D2373" s="34" t="s">
        <v>4819</v>
      </c>
      <c r="E2373" s="34" t="s">
        <v>4295</v>
      </c>
      <c r="F2373" s="32" t="n">
        <f aca="false">COUNTIF(Base!$D$2:$D$2878,B2373)</f>
        <v>1</v>
      </c>
      <c r="G2373" s="35" t="n">
        <f aca="false">SUMIF(Base!$D$2:$D$2878,B2373,Base!$I$2:$I$2878)</f>
        <v>74.98</v>
      </c>
      <c r="H2373" s="36" t="n">
        <f aca="false">IF($G$2849=0,0,G2373/$G$2849)</f>
        <v>4.9203545298467E-006</v>
      </c>
      <c r="I2373" s="37" t="n">
        <f aca="false">I2372+H2373</f>
        <v>0.998970834261318</v>
      </c>
      <c r="J2373" s="37" t="n">
        <f aca="false">A2373/2840</f>
        <v>0.833098591549296</v>
      </c>
      <c r="K2373" s="32" t="str">
        <f aca="false">IF(I2373&lt;=$E$4,"A",IF(I2373&lt;=$E$5,"B","C"))</f>
        <v>C</v>
      </c>
    </row>
    <row r="2374" customFormat="false" ht="15" hidden="false" customHeight="false" outlineLevel="0" collapsed="false">
      <c r="A2374" s="32" t="n">
        <v>2367</v>
      </c>
      <c r="B2374" s="33" t="n">
        <v>19621</v>
      </c>
      <c r="C2374" s="34" t="s">
        <v>4820</v>
      </c>
      <c r="D2374" s="34" t="s">
        <v>4821</v>
      </c>
      <c r="E2374" s="34" t="s">
        <v>1095</v>
      </c>
      <c r="F2374" s="32" t="n">
        <f aca="false">COUNTIF(Base!$D$2:$D$2878,B2374)</f>
        <v>1</v>
      </c>
      <c r="G2374" s="35" t="n">
        <f aca="false">SUMIF(Base!$D$2:$D$2878,B2374,Base!$I$2:$I$2878)</f>
        <v>74.5419</v>
      </c>
      <c r="H2374" s="36" t="n">
        <f aca="false">IF($G$2849=0,0,G2374/$G$2849)</f>
        <v>4.89160543249373E-006</v>
      </c>
      <c r="I2374" s="37" t="n">
        <f aca="false">I2373+H2374</f>
        <v>0.998975725866751</v>
      </c>
      <c r="J2374" s="37" t="n">
        <f aca="false">A2374/2840</f>
        <v>0.833450704225352</v>
      </c>
      <c r="K2374" s="32" t="str">
        <f aca="false">IF(I2374&lt;=$E$4,"A",IF(I2374&lt;=$E$5,"B","C"))</f>
        <v>C</v>
      </c>
    </row>
    <row r="2375" customFormat="false" ht="15" hidden="false" customHeight="false" outlineLevel="0" collapsed="false">
      <c r="A2375" s="32" t="n">
        <v>2368</v>
      </c>
      <c r="B2375" s="33" t="n">
        <v>18416</v>
      </c>
      <c r="C2375" s="34" t="s">
        <v>4822</v>
      </c>
      <c r="D2375" s="34" t="s">
        <v>4823</v>
      </c>
      <c r="E2375" s="34" t="s">
        <v>1618</v>
      </c>
      <c r="F2375" s="32" t="n">
        <f aca="false">COUNTIF(Base!$D$2:$D$2878,B2375)</f>
        <v>1</v>
      </c>
      <c r="G2375" s="35" t="n">
        <f aca="false">SUMIF(Base!$D$2:$D$2878,B2375,Base!$I$2:$I$2878)</f>
        <v>74.04</v>
      </c>
      <c r="H2375" s="36" t="n">
        <f aca="false">IF($G$2849=0,0,G2375/$G$2849)</f>
        <v>4.85866963710123E-006</v>
      </c>
      <c r="I2375" s="37" t="n">
        <f aca="false">I2374+H2375</f>
        <v>0.998980584536388</v>
      </c>
      <c r="J2375" s="37" t="n">
        <f aca="false">A2375/2840</f>
        <v>0.833802816901409</v>
      </c>
      <c r="K2375" s="32" t="str">
        <f aca="false">IF(I2375&lt;=$E$4,"A",IF(I2375&lt;=$E$5,"B","C"))</f>
        <v>C</v>
      </c>
    </row>
    <row r="2376" customFormat="false" ht="15" hidden="false" customHeight="false" outlineLevel="0" collapsed="false">
      <c r="A2376" s="32" t="n">
        <v>2369</v>
      </c>
      <c r="B2376" s="33" t="n">
        <v>22826</v>
      </c>
      <c r="C2376" s="34" t="s">
        <v>4824</v>
      </c>
      <c r="D2376" s="34" t="s">
        <v>4825</v>
      </c>
      <c r="E2376" s="34" t="s">
        <v>100</v>
      </c>
      <c r="F2376" s="32" t="n">
        <f aca="false">COUNTIF(Base!$D$2:$D$2878,B2376)</f>
        <v>1</v>
      </c>
      <c r="G2376" s="35" t="n">
        <f aca="false">SUMIF(Base!$D$2:$D$2878,B2376,Base!$I$2:$I$2878)</f>
        <v>74.04</v>
      </c>
      <c r="H2376" s="36" t="n">
        <f aca="false">IF($G$2849=0,0,G2376/$G$2849)</f>
        <v>4.85866963710123E-006</v>
      </c>
      <c r="I2376" s="37" t="n">
        <f aca="false">I2375+H2376</f>
        <v>0.998985443206025</v>
      </c>
      <c r="J2376" s="37" t="n">
        <f aca="false">A2376/2840</f>
        <v>0.834154929577465</v>
      </c>
      <c r="K2376" s="32" t="str">
        <f aca="false">IF(I2376&lt;=$E$4,"A",IF(I2376&lt;=$E$5,"B","C"))</f>
        <v>C</v>
      </c>
    </row>
    <row r="2377" customFormat="false" ht="15" hidden="false" customHeight="false" outlineLevel="0" collapsed="false">
      <c r="A2377" s="32" t="n">
        <v>2370</v>
      </c>
      <c r="B2377" s="33" t="n">
        <v>19380</v>
      </c>
      <c r="C2377" s="34" t="s">
        <v>4826</v>
      </c>
      <c r="D2377" s="34" t="s">
        <v>4827</v>
      </c>
      <c r="E2377" s="34" t="s">
        <v>1095</v>
      </c>
      <c r="F2377" s="32" t="n">
        <f aca="false">COUNTIF(Base!$D$2:$D$2878,B2377)</f>
        <v>1</v>
      </c>
      <c r="G2377" s="35" t="n">
        <f aca="false">SUMIF(Base!$D$2:$D$2878,B2377,Base!$I$2:$I$2878)</f>
        <v>73.9232</v>
      </c>
      <c r="H2377" s="36" t="n">
        <f aca="false">IF($G$2849=0,0,G2377/$G$2849)</f>
        <v>4.85100496106647E-006</v>
      </c>
      <c r="I2377" s="37" t="n">
        <f aca="false">I2376+H2377</f>
        <v>0.998990294210986</v>
      </c>
      <c r="J2377" s="37" t="n">
        <f aca="false">A2377/2840</f>
        <v>0.834507042253521</v>
      </c>
      <c r="K2377" s="32" t="str">
        <f aca="false">IF(I2377&lt;=$E$4,"A",IF(I2377&lt;=$E$5,"B","C"))</f>
        <v>C</v>
      </c>
    </row>
    <row r="2378" customFormat="false" ht="15" hidden="false" customHeight="false" outlineLevel="0" collapsed="false">
      <c r="A2378" s="32" t="n">
        <v>2371</v>
      </c>
      <c r="B2378" s="33" t="n">
        <v>1170363</v>
      </c>
      <c r="C2378" s="34" t="s">
        <v>4828</v>
      </c>
      <c r="D2378" s="34" t="s">
        <v>4829</v>
      </c>
      <c r="E2378" s="34" t="s">
        <v>54</v>
      </c>
      <c r="F2378" s="32" t="n">
        <f aca="false">COUNTIF(Base!$D$2:$D$2878,B2378)</f>
        <v>1</v>
      </c>
      <c r="G2378" s="35" t="n">
        <f aca="false">SUMIF(Base!$D$2:$D$2878,B2378,Base!$I$2:$I$2878)</f>
        <v>73.86</v>
      </c>
      <c r="H2378" s="36" t="n">
        <f aca="false">IF($G$2849=0,0,G2378/$G$2849)</f>
        <v>4.84685763636273E-006</v>
      </c>
      <c r="I2378" s="37" t="n">
        <f aca="false">I2377+H2378</f>
        <v>0.998995141068622</v>
      </c>
      <c r="J2378" s="37" t="n">
        <f aca="false">A2378/2840</f>
        <v>0.834859154929578</v>
      </c>
      <c r="K2378" s="32" t="str">
        <f aca="false">IF(I2378&lt;=$E$4,"A",IF(I2378&lt;=$E$5,"B","C"))</f>
        <v>C</v>
      </c>
    </row>
    <row r="2379" customFormat="false" ht="15" hidden="false" customHeight="false" outlineLevel="0" collapsed="false">
      <c r="A2379" s="32" t="n">
        <v>2372</v>
      </c>
      <c r="B2379" s="33" t="n">
        <v>750193</v>
      </c>
      <c r="C2379" s="34" t="s">
        <v>4830</v>
      </c>
      <c r="D2379" s="34" t="s">
        <v>4831</v>
      </c>
      <c r="E2379" s="34" t="s">
        <v>1618</v>
      </c>
      <c r="F2379" s="32" t="n">
        <f aca="false">COUNTIF(Base!$D$2:$D$2878,B2379)</f>
        <v>1</v>
      </c>
      <c r="G2379" s="35" t="n">
        <f aca="false">SUMIF(Base!$D$2:$D$2878,B2379,Base!$I$2:$I$2878)</f>
        <v>73.6267</v>
      </c>
      <c r="H2379" s="36" t="n">
        <f aca="false">IF($G$2849=0,0,G2379/$G$2849)</f>
        <v>4.83154797096111E-006</v>
      </c>
      <c r="I2379" s="37" t="n">
        <f aca="false">I2378+H2379</f>
        <v>0.998999972616593</v>
      </c>
      <c r="J2379" s="37" t="n">
        <f aca="false">A2379/2840</f>
        <v>0.835211267605634</v>
      </c>
      <c r="K2379" s="32" t="str">
        <f aca="false">IF(I2379&lt;=$E$4,"A",IF(I2379&lt;=$E$5,"B","C"))</f>
        <v>C</v>
      </c>
    </row>
    <row r="2380" customFormat="false" ht="15" hidden="false" customHeight="false" outlineLevel="0" collapsed="false">
      <c r="A2380" s="32" t="n">
        <v>2373</v>
      </c>
      <c r="B2380" s="33" t="n">
        <v>56160</v>
      </c>
      <c r="C2380" s="34" t="s">
        <v>4832</v>
      </c>
      <c r="D2380" s="34" t="s">
        <v>4833</v>
      </c>
      <c r="E2380" s="34" t="s">
        <v>38</v>
      </c>
      <c r="F2380" s="32" t="n">
        <f aca="false">COUNTIF(Base!$D$2:$D$2878,B2380)</f>
        <v>1</v>
      </c>
      <c r="G2380" s="35" t="n">
        <f aca="false">SUMIF(Base!$D$2:$D$2878,B2380,Base!$I$2:$I$2878)</f>
        <v>73.44</v>
      </c>
      <c r="H2380" s="36" t="n">
        <f aca="false">IF($G$2849=0,0,G2380/$G$2849)</f>
        <v>4.81929630130624E-006</v>
      </c>
      <c r="I2380" s="37" t="n">
        <f aca="false">I2379+H2380</f>
        <v>0.999004791912895</v>
      </c>
      <c r="J2380" s="37" t="n">
        <f aca="false">A2380/2840</f>
        <v>0.83556338028169</v>
      </c>
      <c r="K2380" s="32" t="str">
        <f aca="false">IF(I2380&lt;=$E$4,"A",IF(I2380&lt;=$E$5,"B","C"))</f>
        <v>C</v>
      </c>
    </row>
    <row r="2381" customFormat="false" ht="15" hidden="false" customHeight="false" outlineLevel="0" collapsed="false">
      <c r="A2381" s="32" t="n">
        <v>2374</v>
      </c>
      <c r="B2381" s="33" t="n">
        <v>1615458</v>
      </c>
      <c r="C2381" s="34" t="s">
        <v>4834</v>
      </c>
      <c r="D2381" s="34" t="s">
        <v>4835</v>
      </c>
      <c r="E2381" s="34" t="s">
        <v>38</v>
      </c>
      <c r="F2381" s="32" t="n">
        <f aca="false">COUNTIF(Base!$D$2:$D$2878,B2381)</f>
        <v>1</v>
      </c>
      <c r="G2381" s="35" t="n">
        <f aca="false">SUMIF(Base!$D$2:$D$2878,B2381,Base!$I$2:$I$2878)</f>
        <v>73.06</v>
      </c>
      <c r="H2381" s="36" t="n">
        <f aca="false">IF($G$2849=0,0,G2381/$G$2849)</f>
        <v>4.79435985530275E-006</v>
      </c>
      <c r="I2381" s="37" t="n">
        <f aca="false">I2380+H2381</f>
        <v>0.99900958627275</v>
      </c>
      <c r="J2381" s="37" t="n">
        <f aca="false">A2381/2840</f>
        <v>0.835915492957747</v>
      </c>
      <c r="K2381" s="32" t="str">
        <f aca="false">IF(I2381&lt;=$E$4,"A",IF(I2381&lt;=$E$5,"B","C"))</f>
        <v>C</v>
      </c>
    </row>
    <row r="2382" customFormat="false" ht="15" hidden="false" customHeight="false" outlineLevel="0" collapsed="false">
      <c r="A2382" s="32" t="n">
        <v>2375</v>
      </c>
      <c r="B2382" s="33" t="n">
        <v>833723</v>
      </c>
      <c r="C2382" s="34" t="s">
        <v>4836</v>
      </c>
      <c r="D2382" s="34" t="s">
        <v>4837</v>
      </c>
      <c r="E2382" s="34" t="s">
        <v>2056</v>
      </c>
      <c r="F2382" s="32" t="n">
        <f aca="false">COUNTIF(Base!$D$2:$D$2878,B2382)</f>
        <v>1</v>
      </c>
      <c r="G2382" s="35" t="n">
        <f aca="false">SUMIF(Base!$D$2:$D$2878,B2382,Base!$I$2:$I$2878)</f>
        <v>72.42</v>
      </c>
      <c r="H2382" s="36" t="n">
        <f aca="false">IF($G$2849=0,0,G2382/$G$2849)</f>
        <v>4.75236163045476E-006</v>
      </c>
      <c r="I2382" s="37" t="n">
        <f aca="false">I2381+H2382</f>
        <v>0.99901433863438</v>
      </c>
      <c r="J2382" s="37" t="n">
        <f aca="false">A2382/2840</f>
        <v>0.836267605633803</v>
      </c>
      <c r="K2382" s="32" t="str">
        <f aca="false">IF(I2382&lt;=$E$4,"A",IF(I2382&lt;=$E$5,"B","C"))</f>
        <v>C</v>
      </c>
    </row>
    <row r="2383" customFormat="false" ht="15" hidden="false" customHeight="false" outlineLevel="0" collapsed="false">
      <c r="A2383" s="32" t="n">
        <v>2376</v>
      </c>
      <c r="B2383" s="33" t="n">
        <v>22813</v>
      </c>
      <c r="C2383" s="34" t="s">
        <v>4838</v>
      </c>
      <c r="D2383" s="34" t="s">
        <v>4839</v>
      </c>
      <c r="E2383" s="34" t="s">
        <v>1618</v>
      </c>
      <c r="F2383" s="32" t="n">
        <f aca="false">COUNTIF(Base!$D$2:$D$2878,B2383)</f>
        <v>1</v>
      </c>
      <c r="G2383" s="35" t="n">
        <f aca="false">SUMIF(Base!$D$2:$D$2878,B2383,Base!$I$2:$I$2878)</f>
        <v>72.2</v>
      </c>
      <c r="H2383" s="36" t="n">
        <f aca="false">IF($G$2849=0,0,G2383/$G$2849)</f>
        <v>4.73792474066327E-006</v>
      </c>
      <c r="I2383" s="37" t="n">
        <f aca="false">I2382+H2383</f>
        <v>0.999019076559121</v>
      </c>
      <c r="J2383" s="37" t="n">
        <f aca="false">A2383/2840</f>
        <v>0.836619718309859</v>
      </c>
      <c r="K2383" s="32" t="str">
        <f aca="false">IF(I2383&lt;=$E$4,"A",IF(I2383&lt;=$E$5,"B","C"))</f>
        <v>C</v>
      </c>
    </row>
    <row r="2384" customFormat="false" ht="15" hidden="false" customHeight="false" outlineLevel="0" collapsed="false">
      <c r="A2384" s="32" t="n">
        <v>2377</v>
      </c>
      <c r="B2384" s="33" t="n">
        <v>15060</v>
      </c>
      <c r="C2384" s="34" t="s">
        <v>4840</v>
      </c>
      <c r="D2384" s="34" t="s">
        <v>4841</v>
      </c>
      <c r="E2384" s="34" t="s">
        <v>54</v>
      </c>
      <c r="F2384" s="32" t="n">
        <f aca="false">COUNTIF(Base!$D$2:$D$2878,B2384)</f>
        <v>1</v>
      </c>
      <c r="G2384" s="35" t="n">
        <f aca="false">SUMIF(Base!$D$2:$D$2878,B2384,Base!$I$2:$I$2878)</f>
        <v>72</v>
      </c>
      <c r="H2384" s="36" t="n">
        <f aca="false">IF($G$2849=0,0,G2384/$G$2849)</f>
        <v>4.72480029539827E-006</v>
      </c>
      <c r="I2384" s="37" t="n">
        <f aca="false">I2383+H2384</f>
        <v>0.999023801359416</v>
      </c>
      <c r="J2384" s="37" t="n">
        <f aca="false">A2384/2840</f>
        <v>0.836971830985916</v>
      </c>
      <c r="K2384" s="32" t="str">
        <f aca="false">IF(I2384&lt;=$E$4,"A",IF(I2384&lt;=$E$5,"B","C"))</f>
        <v>C</v>
      </c>
    </row>
    <row r="2385" customFormat="false" ht="15" hidden="false" customHeight="false" outlineLevel="0" collapsed="false">
      <c r="A2385" s="32" t="n">
        <v>2378</v>
      </c>
      <c r="B2385" s="33" t="n">
        <v>260240</v>
      </c>
      <c r="C2385" s="34" t="s">
        <v>4842</v>
      </c>
      <c r="D2385" s="34" t="s">
        <v>4843</v>
      </c>
      <c r="E2385" s="34" t="s">
        <v>2056</v>
      </c>
      <c r="F2385" s="32" t="n">
        <f aca="false">COUNTIF(Base!$D$2:$D$2878,B2385)</f>
        <v>1</v>
      </c>
      <c r="G2385" s="35" t="n">
        <f aca="false">SUMIF(Base!$D$2:$D$2878,B2385,Base!$I$2:$I$2878)</f>
        <v>72</v>
      </c>
      <c r="H2385" s="36" t="n">
        <f aca="false">IF($G$2849=0,0,G2385/$G$2849)</f>
        <v>4.72480029539827E-006</v>
      </c>
      <c r="I2385" s="37" t="n">
        <f aca="false">I2384+H2385</f>
        <v>0.999028526159712</v>
      </c>
      <c r="J2385" s="37" t="n">
        <f aca="false">A2385/2840</f>
        <v>0.837323943661972</v>
      </c>
      <c r="K2385" s="32" t="str">
        <f aca="false">IF(I2385&lt;=$E$4,"A",IF(I2385&lt;=$E$5,"B","C"))</f>
        <v>C</v>
      </c>
    </row>
    <row r="2386" customFormat="false" ht="15" hidden="false" customHeight="false" outlineLevel="0" collapsed="false">
      <c r="A2386" s="32" t="n">
        <v>2379</v>
      </c>
      <c r="B2386" s="33" t="n">
        <v>653367</v>
      </c>
      <c r="C2386" s="34" t="s">
        <v>4844</v>
      </c>
      <c r="D2386" s="34" t="s">
        <v>4845</v>
      </c>
      <c r="E2386" s="34" t="s">
        <v>54</v>
      </c>
      <c r="F2386" s="32" t="n">
        <f aca="false">COUNTIF(Base!$D$2:$D$2878,B2386)</f>
        <v>1</v>
      </c>
      <c r="G2386" s="35" t="n">
        <f aca="false">SUMIF(Base!$D$2:$D$2878,B2386,Base!$I$2:$I$2878)</f>
        <v>71.9</v>
      </c>
      <c r="H2386" s="36" t="n">
        <f aca="false">IF($G$2849=0,0,G2386/$G$2849)</f>
        <v>4.71823807276578E-006</v>
      </c>
      <c r="I2386" s="37" t="n">
        <f aca="false">I2385+H2386</f>
        <v>0.999033244397785</v>
      </c>
      <c r="J2386" s="37" t="n">
        <f aca="false">A2386/2840</f>
        <v>0.837676056338028</v>
      </c>
      <c r="K2386" s="32" t="str">
        <f aca="false">IF(I2386&lt;=$E$4,"A",IF(I2386&lt;=$E$5,"B","C"))</f>
        <v>C</v>
      </c>
    </row>
    <row r="2387" customFormat="false" ht="15" hidden="false" customHeight="false" outlineLevel="0" collapsed="false">
      <c r="A2387" s="32" t="n">
        <v>2380</v>
      </c>
      <c r="B2387" s="33" t="n">
        <v>18427</v>
      </c>
      <c r="C2387" s="34" t="s">
        <v>4846</v>
      </c>
      <c r="D2387" s="34" t="s">
        <v>4847</v>
      </c>
      <c r="E2387" s="34" t="s">
        <v>1618</v>
      </c>
      <c r="F2387" s="32" t="n">
        <f aca="false">COUNTIF(Base!$D$2:$D$2878,B2387)</f>
        <v>1</v>
      </c>
      <c r="G2387" s="35" t="n">
        <f aca="false">SUMIF(Base!$D$2:$D$2878,B2387,Base!$I$2:$I$2878)</f>
        <v>71.1</v>
      </c>
      <c r="H2387" s="36" t="n">
        <f aca="false">IF($G$2849=0,0,G2387/$G$2849)</f>
        <v>4.66574029170579E-006</v>
      </c>
      <c r="I2387" s="37" t="n">
        <f aca="false">I2386+H2387</f>
        <v>0.999037910138076</v>
      </c>
      <c r="J2387" s="37" t="n">
        <f aca="false">A2387/2840</f>
        <v>0.838028169014085</v>
      </c>
      <c r="K2387" s="32" t="str">
        <f aca="false">IF(I2387&lt;=$E$4,"A",IF(I2387&lt;=$E$5,"B","C"))</f>
        <v>C</v>
      </c>
    </row>
    <row r="2388" customFormat="false" ht="15" hidden="false" customHeight="false" outlineLevel="0" collapsed="false">
      <c r="A2388" s="32" t="n">
        <v>2381</v>
      </c>
      <c r="B2388" s="33" t="n">
        <v>22250</v>
      </c>
      <c r="C2388" s="34" t="s">
        <v>4848</v>
      </c>
      <c r="D2388" s="34" t="s">
        <v>4849</v>
      </c>
      <c r="E2388" s="34" t="s">
        <v>605</v>
      </c>
      <c r="F2388" s="32" t="n">
        <f aca="false">COUNTIF(Base!$D$2:$D$2878,B2388)</f>
        <v>1</v>
      </c>
      <c r="G2388" s="35" t="n">
        <f aca="false">SUMIF(Base!$D$2:$D$2878,B2388,Base!$I$2:$I$2878)</f>
        <v>71.02</v>
      </c>
      <c r="H2388" s="36" t="n">
        <f aca="false">IF($G$2849=0,0,G2388/$G$2849)</f>
        <v>4.6604905135998E-006</v>
      </c>
      <c r="I2388" s="37" t="n">
        <f aca="false">I2387+H2388</f>
        <v>0.99904257062859</v>
      </c>
      <c r="J2388" s="37" t="n">
        <f aca="false">A2388/2840</f>
        <v>0.838380281690141</v>
      </c>
      <c r="K2388" s="32" t="str">
        <f aca="false">IF(I2388&lt;=$E$4,"A",IF(I2388&lt;=$E$5,"B","C"))</f>
        <v>C</v>
      </c>
    </row>
    <row r="2389" customFormat="false" ht="15" hidden="false" customHeight="false" outlineLevel="0" collapsed="false">
      <c r="A2389" s="32" t="n">
        <v>2382</v>
      </c>
      <c r="B2389" s="33" t="n">
        <v>1662150</v>
      </c>
      <c r="C2389" s="34" t="s">
        <v>4850</v>
      </c>
      <c r="D2389" s="34" t="s">
        <v>4851</v>
      </c>
      <c r="E2389" s="34" t="s">
        <v>38</v>
      </c>
      <c r="F2389" s="32" t="n">
        <f aca="false">COUNTIF(Base!$D$2:$D$2878,B2389)</f>
        <v>1</v>
      </c>
      <c r="G2389" s="35" t="n">
        <f aca="false">SUMIF(Base!$D$2:$D$2878,B2389,Base!$I$2:$I$2878)</f>
        <v>70.98</v>
      </c>
      <c r="H2389" s="36" t="n">
        <f aca="false">IF($G$2849=0,0,G2389/$G$2849)</f>
        <v>4.6578656245468E-006</v>
      </c>
      <c r="I2389" s="37" t="n">
        <f aca="false">I2388+H2389</f>
        <v>0.999047228494215</v>
      </c>
      <c r="J2389" s="37" t="n">
        <f aca="false">A2389/2840</f>
        <v>0.838732394366197</v>
      </c>
      <c r="K2389" s="32" t="str">
        <f aca="false">IF(I2389&lt;=$E$4,"A",IF(I2389&lt;=$E$5,"B","C"))</f>
        <v>C</v>
      </c>
    </row>
    <row r="2390" customFormat="false" ht="15" hidden="false" customHeight="false" outlineLevel="0" collapsed="false">
      <c r="A2390" s="32" t="n">
        <v>2383</v>
      </c>
      <c r="B2390" s="33" t="n">
        <v>60598</v>
      </c>
      <c r="C2390" s="34" t="s">
        <v>4852</v>
      </c>
      <c r="D2390" s="34" t="s">
        <v>4853</v>
      </c>
      <c r="E2390" s="34" t="s">
        <v>1618</v>
      </c>
      <c r="F2390" s="32" t="n">
        <f aca="false">COUNTIF(Base!$D$2:$D$2878,B2390)</f>
        <v>1</v>
      </c>
      <c r="G2390" s="35" t="n">
        <f aca="false">SUMIF(Base!$D$2:$D$2878,B2390,Base!$I$2:$I$2878)</f>
        <v>70.84</v>
      </c>
      <c r="H2390" s="36" t="n">
        <f aca="false">IF($G$2849=0,0,G2390/$G$2849)</f>
        <v>4.6486785128613E-006</v>
      </c>
      <c r="I2390" s="37" t="n">
        <f aca="false">I2389+H2390</f>
        <v>0.999051877172727</v>
      </c>
      <c r="J2390" s="37" t="n">
        <f aca="false">A2390/2840</f>
        <v>0.839084507042254</v>
      </c>
      <c r="K2390" s="32" t="str">
        <f aca="false">IF(I2390&lt;=$E$4,"A",IF(I2390&lt;=$E$5,"B","C"))</f>
        <v>C</v>
      </c>
    </row>
    <row r="2391" customFormat="false" ht="15" hidden="false" customHeight="false" outlineLevel="0" collapsed="false">
      <c r="A2391" s="32" t="n">
        <v>2384</v>
      </c>
      <c r="B2391" s="33" t="n">
        <v>17899</v>
      </c>
      <c r="C2391" s="34" t="s">
        <v>4854</v>
      </c>
      <c r="D2391" s="34" t="s">
        <v>4855</v>
      </c>
      <c r="E2391" s="34" t="s">
        <v>130</v>
      </c>
      <c r="F2391" s="32" t="n">
        <f aca="false">COUNTIF(Base!$D$2:$D$2878,B2391)</f>
        <v>1</v>
      </c>
      <c r="G2391" s="35" t="n">
        <f aca="false">SUMIF(Base!$D$2:$D$2878,B2391,Base!$I$2:$I$2878)</f>
        <v>70.78</v>
      </c>
      <c r="H2391" s="36" t="n">
        <f aca="false">IF($G$2849=0,0,G2391/$G$2849)</f>
        <v>4.6447411792818E-006</v>
      </c>
      <c r="I2391" s="37" t="n">
        <f aca="false">I2390+H2391</f>
        <v>0.999056521913907</v>
      </c>
      <c r="J2391" s="37" t="n">
        <f aca="false">A2391/2840</f>
        <v>0.83943661971831</v>
      </c>
      <c r="K2391" s="32" t="str">
        <f aca="false">IF(I2391&lt;=$E$4,"A",IF(I2391&lt;=$E$5,"B","C"))</f>
        <v>C</v>
      </c>
    </row>
    <row r="2392" customFormat="false" ht="15" hidden="false" customHeight="false" outlineLevel="0" collapsed="false">
      <c r="A2392" s="32" t="n">
        <v>2385</v>
      </c>
      <c r="B2392" s="33" t="n">
        <v>292350</v>
      </c>
      <c r="C2392" s="34" t="s">
        <v>4856</v>
      </c>
      <c r="D2392" s="34" t="s">
        <v>4857</v>
      </c>
      <c r="E2392" s="34" t="s">
        <v>189</v>
      </c>
      <c r="F2392" s="32" t="n">
        <f aca="false">COUNTIF(Base!$D$2:$D$2878,B2392)</f>
        <v>1</v>
      </c>
      <c r="G2392" s="35" t="n">
        <f aca="false">SUMIF(Base!$D$2:$D$2878,B2392,Base!$I$2:$I$2878)</f>
        <v>70.5</v>
      </c>
      <c r="H2392" s="36" t="n">
        <f aca="false">IF($G$2849=0,0,G2392/$G$2849)</f>
        <v>4.62636695591081E-006</v>
      </c>
      <c r="I2392" s="37" t="n">
        <f aca="false">I2391+H2392</f>
        <v>0.999061148280863</v>
      </c>
      <c r="J2392" s="37" t="n">
        <f aca="false">A2392/2840</f>
        <v>0.839788732394366</v>
      </c>
      <c r="K2392" s="32" t="str">
        <f aca="false">IF(I2392&lt;=$E$4,"A",IF(I2392&lt;=$E$5,"B","C"))</f>
        <v>C</v>
      </c>
    </row>
    <row r="2393" customFormat="false" ht="15" hidden="false" customHeight="false" outlineLevel="0" collapsed="false">
      <c r="A2393" s="32" t="n">
        <v>2386</v>
      </c>
      <c r="B2393" s="33" t="n">
        <v>21612</v>
      </c>
      <c r="C2393" s="34" t="s">
        <v>4858</v>
      </c>
      <c r="D2393" s="34" t="s">
        <v>4859</v>
      </c>
      <c r="E2393" s="34" t="s">
        <v>189</v>
      </c>
      <c r="F2393" s="32" t="n">
        <f aca="false">COUNTIF(Base!$D$2:$D$2878,B2393)</f>
        <v>1</v>
      </c>
      <c r="G2393" s="35" t="n">
        <f aca="false">SUMIF(Base!$D$2:$D$2878,B2393,Base!$I$2:$I$2878)</f>
        <v>70.4</v>
      </c>
      <c r="H2393" s="36" t="n">
        <f aca="false">IF($G$2849=0,0,G2393/$G$2849)</f>
        <v>4.61980473327831E-006</v>
      </c>
      <c r="I2393" s="37" t="n">
        <f aca="false">I2392+H2393</f>
        <v>0.999065768085596</v>
      </c>
      <c r="J2393" s="37" t="n">
        <f aca="false">A2393/2840</f>
        <v>0.840140845070423</v>
      </c>
      <c r="K2393" s="32" t="str">
        <f aca="false">IF(I2393&lt;=$E$4,"A",IF(I2393&lt;=$E$5,"B","C"))</f>
        <v>C</v>
      </c>
    </row>
    <row r="2394" customFormat="false" ht="15" hidden="false" customHeight="false" outlineLevel="0" collapsed="false">
      <c r="A2394" s="32" t="n">
        <v>2387</v>
      </c>
      <c r="B2394" s="33" t="n">
        <v>1670496</v>
      </c>
      <c r="C2394" s="34" t="s">
        <v>4860</v>
      </c>
      <c r="D2394" s="34" t="s">
        <v>4861</v>
      </c>
      <c r="E2394" s="34" t="s">
        <v>54</v>
      </c>
      <c r="F2394" s="32" t="n">
        <f aca="false">COUNTIF(Base!$D$2:$D$2878,B2394)</f>
        <v>1</v>
      </c>
      <c r="G2394" s="35" t="n">
        <f aca="false">SUMIF(Base!$D$2:$D$2878,B2394,Base!$I$2:$I$2878)</f>
        <v>70.4</v>
      </c>
      <c r="H2394" s="36" t="n">
        <f aca="false">IF($G$2849=0,0,G2394/$G$2849)</f>
        <v>4.61980473327831E-006</v>
      </c>
      <c r="I2394" s="37" t="n">
        <f aca="false">I2393+H2394</f>
        <v>0.999070387890329</v>
      </c>
      <c r="J2394" s="37" t="n">
        <f aca="false">A2394/2840</f>
        <v>0.840492957746479</v>
      </c>
      <c r="K2394" s="32" t="str">
        <f aca="false">IF(I2394&lt;=$E$4,"A",IF(I2394&lt;=$E$5,"B","C"))</f>
        <v>C</v>
      </c>
    </row>
    <row r="2395" customFormat="false" ht="15" hidden="false" customHeight="false" outlineLevel="0" collapsed="false">
      <c r="A2395" s="32" t="n">
        <v>2388</v>
      </c>
      <c r="B2395" s="33" t="n">
        <v>293605</v>
      </c>
      <c r="C2395" s="34" t="s">
        <v>4862</v>
      </c>
      <c r="D2395" s="34" t="s">
        <v>4863</v>
      </c>
      <c r="E2395" s="34" t="s">
        <v>2056</v>
      </c>
      <c r="F2395" s="32" t="n">
        <f aca="false">COUNTIF(Base!$D$2:$D$2878,B2395)</f>
        <v>1</v>
      </c>
      <c r="G2395" s="35" t="n">
        <f aca="false">SUMIF(Base!$D$2:$D$2878,B2395,Base!$I$2:$I$2878)</f>
        <v>70</v>
      </c>
      <c r="H2395" s="36" t="n">
        <f aca="false">IF($G$2849=0,0,G2395/$G$2849)</f>
        <v>4.59355584274832E-006</v>
      </c>
      <c r="I2395" s="37" t="n">
        <f aca="false">I2394+H2395</f>
        <v>0.999074981446172</v>
      </c>
      <c r="J2395" s="37" t="n">
        <f aca="false">A2395/2840</f>
        <v>0.840845070422535</v>
      </c>
      <c r="K2395" s="32" t="str">
        <f aca="false">IF(I2395&lt;=$E$4,"A",IF(I2395&lt;=$E$5,"B","C"))</f>
        <v>C</v>
      </c>
    </row>
    <row r="2396" customFormat="false" ht="15" hidden="false" customHeight="false" outlineLevel="0" collapsed="false">
      <c r="A2396" s="32" t="n">
        <v>2389</v>
      </c>
      <c r="B2396" s="33" t="n">
        <v>21749</v>
      </c>
      <c r="C2396" s="34" t="s">
        <v>4864</v>
      </c>
      <c r="D2396" s="34" t="s">
        <v>4865</v>
      </c>
      <c r="E2396" s="34" t="s">
        <v>189</v>
      </c>
      <c r="F2396" s="32" t="n">
        <f aca="false">COUNTIF(Base!$D$2:$D$2878,B2396)</f>
        <v>1</v>
      </c>
      <c r="G2396" s="35" t="n">
        <f aca="false">SUMIF(Base!$D$2:$D$2878,B2396,Base!$I$2:$I$2878)</f>
        <v>69.96</v>
      </c>
      <c r="H2396" s="36" t="n">
        <f aca="false">IF($G$2849=0,0,G2396/$G$2849)</f>
        <v>4.59093095369532E-006</v>
      </c>
      <c r="I2396" s="37" t="n">
        <f aca="false">I2395+H2396</f>
        <v>0.999079572377126</v>
      </c>
      <c r="J2396" s="37" t="n">
        <f aca="false">A2396/2840</f>
        <v>0.841197183098592</v>
      </c>
      <c r="K2396" s="32" t="str">
        <f aca="false">IF(I2396&lt;=$E$4,"A",IF(I2396&lt;=$E$5,"B","C"))</f>
        <v>C</v>
      </c>
    </row>
    <row r="2397" customFormat="false" ht="15" hidden="false" customHeight="false" outlineLevel="0" collapsed="false">
      <c r="A2397" s="32" t="n">
        <v>2390</v>
      </c>
      <c r="B2397" s="33" t="n">
        <v>292351</v>
      </c>
      <c r="C2397" s="34" t="s">
        <v>4866</v>
      </c>
      <c r="D2397" s="34" t="s">
        <v>4867</v>
      </c>
      <c r="E2397" s="34" t="s">
        <v>189</v>
      </c>
      <c r="F2397" s="32" t="n">
        <f aca="false">COUNTIF(Base!$D$2:$D$2878,B2397)</f>
        <v>1</v>
      </c>
      <c r="G2397" s="35" t="n">
        <f aca="false">SUMIF(Base!$D$2:$D$2878,B2397,Base!$I$2:$I$2878)</f>
        <v>69.25</v>
      </c>
      <c r="H2397" s="36" t="n">
        <f aca="false">IF($G$2849=0,0,G2397/$G$2849)</f>
        <v>4.54433917300459E-006</v>
      </c>
      <c r="I2397" s="37" t="n">
        <f aca="false">I2396+H2397</f>
        <v>0.999084116716299</v>
      </c>
      <c r="J2397" s="37" t="n">
        <f aca="false">A2397/2840</f>
        <v>0.841549295774648</v>
      </c>
      <c r="K2397" s="32" t="str">
        <f aca="false">IF(I2397&lt;=$E$4,"A",IF(I2397&lt;=$E$5,"B","C"))</f>
        <v>C</v>
      </c>
    </row>
    <row r="2398" customFormat="false" ht="15" hidden="false" customHeight="false" outlineLevel="0" collapsed="false">
      <c r="A2398" s="32" t="n">
        <v>2391</v>
      </c>
      <c r="B2398" s="33" t="n">
        <v>17951</v>
      </c>
      <c r="C2398" s="34" t="s">
        <v>4868</v>
      </c>
      <c r="D2398" s="34" t="s">
        <v>4869</v>
      </c>
      <c r="E2398" s="34" t="s">
        <v>130</v>
      </c>
      <c r="F2398" s="32" t="n">
        <f aca="false">COUNTIF(Base!$D$2:$D$2878,B2398)</f>
        <v>1</v>
      </c>
      <c r="G2398" s="35" t="n">
        <f aca="false">SUMIF(Base!$D$2:$D$2878,B2398,Base!$I$2:$I$2878)</f>
        <v>69</v>
      </c>
      <c r="H2398" s="36" t="n">
        <f aca="false">IF($G$2849=0,0,G2398/$G$2849)</f>
        <v>4.52793361642335E-006</v>
      </c>
      <c r="I2398" s="37" t="n">
        <f aca="false">I2397+H2398</f>
        <v>0.999088644649915</v>
      </c>
      <c r="J2398" s="37" t="n">
        <f aca="false">A2398/2840</f>
        <v>0.841901408450704</v>
      </c>
      <c r="K2398" s="32" t="str">
        <f aca="false">IF(I2398&lt;=$E$4,"A",IF(I2398&lt;=$E$5,"B","C"))</f>
        <v>C</v>
      </c>
    </row>
    <row r="2399" customFormat="false" ht="15" hidden="false" customHeight="false" outlineLevel="0" collapsed="false">
      <c r="A2399" s="32" t="n">
        <v>2392</v>
      </c>
      <c r="B2399" s="33" t="n">
        <v>17952</v>
      </c>
      <c r="C2399" s="34" t="s">
        <v>4870</v>
      </c>
      <c r="D2399" s="34" t="s">
        <v>4871</v>
      </c>
      <c r="E2399" s="34" t="s">
        <v>130</v>
      </c>
      <c r="F2399" s="32" t="n">
        <f aca="false">COUNTIF(Base!$D$2:$D$2878,B2399)</f>
        <v>1</v>
      </c>
      <c r="G2399" s="35" t="n">
        <f aca="false">SUMIF(Base!$D$2:$D$2878,B2399,Base!$I$2:$I$2878)</f>
        <v>69</v>
      </c>
      <c r="H2399" s="36" t="n">
        <f aca="false">IF($G$2849=0,0,G2399/$G$2849)</f>
        <v>4.52793361642335E-006</v>
      </c>
      <c r="I2399" s="37" t="n">
        <f aca="false">I2398+H2399</f>
        <v>0.999093172583531</v>
      </c>
      <c r="J2399" s="37" t="n">
        <f aca="false">A2399/2840</f>
        <v>0.842253521126761</v>
      </c>
      <c r="K2399" s="32" t="str">
        <f aca="false">IF(I2399&lt;=$E$4,"A",IF(I2399&lt;=$E$5,"B","C"))</f>
        <v>C</v>
      </c>
    </row>
    <row r="2400" customFormat="false" ht="15" hidden="false" customHeight="false" outlineLevel="0" collapsed="false">
      <c r="A2400" s="32" t="n">
        <v>2393</v>
      </c>
      <c r="B2400" s="33" t="n">
        <v>19360</v>
      </c>
      <c r="C2400" s="34" t="s">
        <v>4872</v>
      </c>
      <c r="D2400" s="34" t="s">
        <v>4873</v>
      </c>
      <c r="E2400" s="34" t="s">
        <v>1095</v>
      </c>
      <c r="F2400" s="32" t="n">
        <f aca="false">COUNTIF(Base!$D$2:$D$2878,B2400)</f>
        <v>1</v>
      </c>
      <c r="G2400" s="35" t="n">
        <f aca="false">SUMIF(Base!$D$2:$D$2878,B2400,Base!$I$2:$I$2878)</f>
        <v>69</v>
      </c>
      <c r="H2400" s="36" t="n">
        <f aca="false">IF($G$2849=0,0,G2400/$G$2849)</f>
        <v>4.52793361642335E-006</v>
      </c>
      <c r="I2400" s="37" t="n">
        <f aca="false">I2399+H2400</f>
        <v>0.999097700517148</v>
      </c>
      <c r="J2400" s="37" t="n">
        <f aca="false">A2400/2840</f>
        <v>0.842605633802817</v>
      </c>
      <c r="K2400" s="32" t="str">
        <f aca="false">IF(I2400&lt;=$E$4,"A",IF(I2400&lt;=$E$5,"B","C"))</f>
        <v>C</v>
      </c>
    </row>
    <row r="2401" customFormat="false" ht="15" hidden="false" customHeight="false" outlineLevel="0" collapsed="false">
      <c r="A2401" s="32" t="n">
        <v>2394</v>
      </c>
      <c r="B2401" s="33" t="n">
        <v>830295</v>
      </c>
      <c r="C2401" s="34" t="s">
        <v>4874</v>
      </c>
      <c r="D2401" s="34" t="s">
        <v>4875</v>
      </c>
      <c r="E2401" s="34" t="s">
        <v>38</v>
      </c>
      <c r="F2401" s="32" t="n">
        <f aca="false">COUNTIF(Base!$D$2:$D$2878,B2401)</f>
        <v>1</v>
      </c>
      <c r="G2401" s="35" t="n">
        <f aca="false">SUMIF(Base!$D$2:$D$2878,B2401,Base!$I$2:$I$2878)</f>
        <v>68.94</v>
      </c>
      <c r="H2401" s="36" t="n">
        <f aca="false">IF($G$2849=0,0,G2401/$G$2849)</f>
        <v>4.52399628284385E-006</v>
      </c>
      <c r="I2401" s="37" t="n">
        <f aca="false">I2400+H2401</f>
        <v>0.99910222451343</v>
      </c>
      <c r="J2401" s="37" t="n">
        <f aca="false">A2401/2840</f>
        <v>0.842957746478873</v>
      </c>
      <c r="K2401" s="32" t="str">
        <f aca="false">IF(I2401&lt;=$E$4,"A",IF(I2401&lt;=$E$5,"B","C"))</f>
        <v>C</v>
      </c>
    </row>
    <row r="2402" customFormat="false" ht="15" hidden="false" customHeight="false" outlineLevel="0" collapsed="false">
      <c r="A2402" s="32" t="n">
        <v>2395</v>
      </c>
      <c r="B2402" s="33" t="n">
        <v>1066455</v>
      </c>
      <c r="C2402" s="34" t="s">
        <v>4876</v>
      </c>
      <c r="D2402" s="34" t="s">
        <v>4877</v>
      </c>
      <c r="E2402" s="34" t="s">
        <v>54</v>
      </c>
      <c r="F2402" s="32" t="n">
        <f aca="false">COUNTIF(Base!$D$2:$D$2878,B2402)</f>
        <v>1</v>
      </c>
      <c r="G2402" s="35" t="n">
        <f aca="false">SUMIF(Base!$D$2:$D$2878,B2402,Base!$I$2:$I$2878)</f>
        <v>68.94</v>
      </c>
      <c r="H2402" s="36" t="n">
        <f aca="false">IF($G$2849=0,0,G2402/$G$2849)</f>
        <v>4.52399628284385E-006</v>
      </c>
      <c r="I2402" s="37" t="n">
        <f aca="false">I2401+H2402</f>
        <v>0.999106748509713</v>
      </c>
      <c r="J2402" s="37" t="n">
        <f aca="false">A2402/2840</f>
        <v>0.84330985915493</v>
      </c>
      <c r="K2402" s="32" t="str">
        <f aca="false">IF(I2402&lt;=$E$4,"A",IF(I2402&lt;=$E$5,"B","C"))</f>
        <v>C</v>
      </c>
    </row>
    <row r="2403" customFormat="false" ht="15" hidden="false" customHeight="false" outlineLevel="0" collapsed="false">
      <c r="A2403" s="32" t="n">
        <v>2396</v>
      </c>
      <c r="B2403" s="33" t="n">
        <v>14442</v>
      </c>
      <c r="C2403" s="34" t="s">
        <v>4878</v>
      </c>
      <c r="D2403" s="34" t="s">
        <v>4879</v>
      </c>
      <c r="E2403" s="34" t="s">
        <v>54</v>
      </c>
      <c r="F2403" s="32" t="n">
        <f aca="false">COUNTIF(Base!$D$2:$D$2878,B2403)</f>
        <v>1</v>
      </c>
      <c r="G2403" s="35" t="n">
        <f aca="false">SUMIF(Base!$D$2:$D$2878,B2403,Base!$I$2:$I$2878)</f>
        <v>68</v>
      </c>
      <c r="H2403" s="36" t="n">
        <f aca="false">IF($G$2849=0,0,G2403/$G$2849)</f>
        <v>4.46231139009837E-006</v>
      </c>
      <c r="I2403" s="37" t="n">
        <f aca="false">I2402+H2403</f>
        <v>0.999111210821103</v>
      </c>
      <c r="J2403" s="37" t="n">
        <f aca="false">A2403/2840</f>
        <v>0.843661971830986</v>
      </c>
      <c r="K2403" s="32" t="str">
        <f aca="false">IF(I2403&lt;=$E$4,"A",IF(I2403&lt;=$E$5,"B","C"))</f>
        <v>C</v>
      </c>
    </row>
    <row r="2404" customFormat="false" ht="15" hidden="false" customHeight="false" outlineLevel="0" collapsed="false">
      <c r="A2404" s="32" t="n">
        <v>2397</v>
      </c>
      <c r="B2404" s="33" t="n">
        <v>21850</v>
      </c>
      <c r="C2404" s="34" t="s">
        <v>4880</v>
      </c>
      <c r="D2404" s="34" t="s">
        <v>4881</v>
      </c>
      <c r="E2404" s="34" t="s">
        <v>130</v>
      </c>
      <c r="F2404" s="32" t="n">
        <f aca="false">COUNTIF(Base!$D$2:$D$2878,B2404)</f>
        <v>1</v>
      </c>
      <c r="G2404" s="35" t="n">
        <f aca="false">SUMIF(Base!$D$2:$D$2878,B2404,Base!$I$2:$I$2878)</f>
        <v>68</v>
      </c>
      <c r="H2404" s="36" t="n">
        <f aca="false">IF($G$2849=0,0,G2404/$G$2849)</f>
        <v>4.46231139009837E-006</v>
      </c>
      <c r="I2404" s="37" t="n">
        <f aca="false">I2403+H2404</f>
        <v>0.999115673132493</v>
      </c>
      <c r="J2404" s="37" t="n">
        <f aca="false">A2404/2840</f>
        <v>0.844014084507042</v>
      </c>
      <c r="K2404" s="32" t="str">
        <f aca="false">IF(I2404&lt;=$E$4,"A",IF(I2404&lt;=$E$5,"B","C"))</f>
        <v>C</v>
      </c>
    </row>
    <row r="2405" customFormat="false" ht="15" hidden="false" customHeight="false" outlineLevel="0" collapsed="false">
      <c r="A2405" s="32" t="n">
        <v>2398</v>
      </c>
      <c r="B2405" s="33" t="n">
        <v>22453</v>
      </c>
      <c r="C2405" s="34" t="s">
        <v>4882</v>
      </c>
      <c r="D2405" s="34" t="s">
        <v>4883</v>
      </c>
      <c r="E2405" s="34" t="s">
        <v>130</v>
      </c>
      <c r="F2405" s="32" t="n">
        <f aca="false">COUNTIF(Base!$D$2:$D$2878,B2405)</f>
        <v>1</v>
      </c>
      <c r="G2405" s="35" t="n">
        <f aca="false">SUMIF(Base!$D$2:$D$2878,B2405,Base!$I$2:$I$2878)</f>
        <v>68</v>
      </c>
      <c r="H2405" s="36" t="n">
        <f aca="false">IF($G$2849=0,0,G2405/$G$2849)</f>
        <v>4.46231139009837E-006</v>
      </c>
      <c r="I2405" s="37" t="n">
        <f aca="false">I2404+H2405</f>
        <v>0.999120135443884</v>
      </c>
      <c r="J2405" s="37" t="n">
        <f aca="false">A2405/2840</f>
        <v>0.844366197183099</v>
      </c>
      <c r="K2405" s="32" t="str">
        <f aca="false">IF(I2405&lt;=$E$4,"A",IF(I2405&lt;=$E$5,"B","C"))</f>
        <v>C</v>
      </c>
    </row>
    <row r="2406" customFormat="false" ht="15" hidden="false" customHeight="false" outlineLevel="0" collapsed="false">
      <c r="A2406" s="32" t="n">
        <v>2399</v>
      </c>
      <c r="B2406" s="33" t="n">
        <v>139249</v>
      </c>
      <c r="C2406" s="34" t="s">
        <v>4884</v>
      </c>
      <c r="D2406" s="34" t="s">
        <v>4885</v>
      </c>
      <c r="E2406" s="34" t="s">
        <v>54</v>
      </c>
      <c r="F2406" s="32" t="n">
        <f aca="false">COUNTIF(Base!$D$2:$D$2878,B2406)</f>
        <v>1</v>
      </c>
      <c r="G2406" s="35" t="n">
        <f aca="false">SUMIF(Base!$D$2:$D$2878,B2406,Base!$I$2:$I$2878)</f>
        <v>68</v>
      </c>
      <c r="H2406" s="36" t="n">
        <f aca="false">IF($G$2849=0,0,G2406/$G$2849)</f>
        <v>4.46231139009837E-006</v>
      </c>
      <c r="I2406" s="37" t="n">
        <f aca="false">I2405+H2406</f>
        <v>0.999124597755274</v>
      </c>
      <c r="J2406" s="37" t="n">
        <f aca="false">A2406/2840</f>
        <v>0.844718309859155</v>
      </c>
      <c r="K2406" s="32" t="str">
        <f aca="false">IF(I2406&lt;=$E$4,"A",IF(I2406&lt;=$E$5,"B","C"))</f>
        <v>C</v>
      </c>
    </row>
    <row r="2407" customFormat="false" ht="15" hidden="false" customHeight="false" outlineLevel="0" collapsed="false">
      <c r="A2407" s="32" t="n">
        <v>2400</v>
      </c>
      <c r="B2407" s="33" t="n">
        <v>651843</v>
      </c>
      <c r="C2407" s="34" t="s">
        <v>4886</v>
      </c>
      <c r="D2407" s="34" t="s">
        <v>4887</v>
      </c>
      <c r="E2407" s="34" t="s">
        <v>192</v>
      </c>
      <c r="F2407" s="32" t="n">
        <f aca="false">COUNTIF(Base!$D$2:$D$2878,B2407)</f>
        <v>1</v>
      </c>
      <c r="G2407" s="35" t="n">
        <f aca="false">SUMIF(Base!$D$2:$D$2878,B2407,Base!$I$2:$I$2878)</f>
        <v>68</v>
      </c>
      <c r="H2407" s="36" t="n">
        <f aca="false">IF($G$2849=0,0,G2407/$G$2849)</f>
        <v>4.46231139009837E-006</v>
      </c>
      <c r="I2407" s="37" t="n">
        <f aca="false">I2406+H2407</f>
        <v>0.999129060066664</v>
      </c>
      <c r="J2407" s="37" t="n">
        <f aca="false">A2407/2840</f>
        <v>0.845070422535211</v>
      </c>
      <c r="K2407" s="32" t="str">
        <f aca="false">IF(I2407&lt;=$E$4,"A",IF(I2407&lt;=$E$5,"B","C"))</f>
        <v>C</v>
      </c>
    </row>
    <row r="2408" customFormat="false" ht="15" hidden="false" customHeight="false" outlineLevel="0" collapsed="false">
      <c r="A2408" s="32" t="n">
        <v>2401</v>
      </c>
      <c r="B2408" s="33" t="n">
        <v>856744</v>
      </c>
      <c r="C2408" s="34" t="s">
        <v>4888</v>
      </c>
      <c r="D2408" s="34" t="s">
        <v>4889</v>
      </c>
      <c r="E2408" s="34" t="s">
        <v>35</v>
      </c>
      <c r="F2408" s="32" t="n">
        <f aca="false">COUNTIF(Base!$D$2:$D$2878,B2408)</f>
        <v>1</v>
      </c>
      <c r="G2408" s="35" t="n">
        <f aca="false">SUMIF(Base!$D$2:$D$2878,B2408,Base!$I$2:$I$2878)</f>
        <v>68</v>
      </c>
      <c r="H2408" s="36" t="n">
        <f aca="false">IF($G$2849=0,0,G2408/$G$2849)</f>
        <v>4.46231139009837E-006</v>
      </c>
      <c r="I2408" s="37" t="n">
        <f aca="false">I2407+H2408</f>
        <v>0.999133522378054</v>
      </c>
      <c r="J2408" s="37" t="n">
        <f aca="false">A2408/2840</f>
        <v>0.845422535211268</v>
      </c>
      <c r="K2408" s="32" t="str">
        <f aca="false">IF(I2408&lt;=$E$4,"A",IF(I2408&lt;=$E$5,"B","C"))</f>
        <v>C</v>
      </c>
    </row>
    <row r="2409" customFormat="false" ht="15" hidden="false" customHeight="false" outlineLevel="0" collapsed="false">
      <c r="A2409" s="32" t="n">
        <v>2402</v>
      </c>
      <c r="B2409" s="33" t="n">
        <v>869276</v>
      </c>
      <c r="C2409" s="34" t="s">
        <v>4890</v>
      </c>
      <c r="D2409" s="34" t="s">
        <v>4891</v>
      </c>
      <c r="E2409" s="34" t="s">
        <v>130</v>
      </c>
      <c r="F2409" s="32" t="n">
        <f aca="false">COUNTIF(Base!$D$2:$D$2878,B2409)</f>
        <v>1</v>
      </c>
      <c r="G2409" s="35" t="n">
        <f aca="false">SUMIF(Base!$D$2:$D$2878,B2409,Base!$I$2:$I$2878)</f>
        <v>68</v>
      </c>
      <c r="H2409" s="36" t="n">
        <f aca="false">IF($G$2849=0,0,G2409/$G$2849)</f>
        <v>4.46231139009837E-006</v>
      </c>
      <c r="I2409" s="37" t="n">
        <f aca="false">I2408+H2409</f>
        <v>0.999137984689444</v>
      </c>
      <c r="J2409" s="37" t="n">
        <f aca="false">A2409/2840</f>
        <v>0.845774647887324</v>
      </c>
      <c r="K2409" s="32" t="str">
        <f aca="false">IF(I2409&lt;=$E$4,"A",IF(I2409&lt;=$E$5,"B","C"))</f>
        <v>C</v>
      </c>
    </row>
    <row r="2410" customFormat="false" ht="15" hidden="false" customHeight="false" outlineLevel="0" collapsed="false">
      <c r="A2410" s="32" t="n">
        <v>2403</v>
      </c>
      <c r="B2410" s="33" t="n">
        <v>1387394</v>
      </c>
      <c r="C2410" s="34" t="s">
        <v>4892</v>
      </c>
      <c r="D2410" s="34" t="s">
        <v>4893</v>
      </c>
      <c r="E2410" s="34" t="s">
        <v>130</v>
      </c>
      <c r="F2410" s="32" t="n">
        <f aca="false">COUNTIF(Base!$D$2:$D$2878,B2410)</f>
        <v>1</v>
      </c>
      <c r="G2410" s="35" t="n">
        <f aca="false">SUMIF(Base!$D$2:$D$2878,B2410,Base!$I$2:$I$2878)</f>
        <v>68</v>
      </c>
      <c r="H2410" s="36" t="n">
        <f aca="false">IF($G$2849=0,0,G2410/$G$2849)</f>
        <v>4.46231139009837E-006</v>
      </c>
      <c r="I2410" s="37" t="n">
        <f aca="false">I2409+H2410</f>
        <v>0.999142447000834</v>
      </c>
      <c r="J2410" s="37" t="n">
        <f aca="false">A2410/2840</f>
        <v>0.84612676056338</v>
      </c>
      <c r="K2410" s="32" t="str">
        <f aca="false">IF(I2410&lt;=$E$4,"A",IF(I2410&lt;=$E$5,"B","C"))</f>
        <v>C</v>
      </c>
    </row>
    <row r="2411" customFormat="false" ht="15" hidden="false" customHeight="false" outlineLevel="0" collapsed="false">
      <c r="A2411" s="32" t="n">
        <v>2404</v>
      </c>
      <c r="B2411" s="33" t="n">
        <v>33574</v>
      </c>
      <c r="C2411" s="34" t="s">
        <v>4894</v>
      </c>
      <c r="D2411" s="34" t="s">
        <v>4895</v>
      </c>
      <c r="E2411" s="34" t="s">
        <v>480</v>
      </c>
      <c r="F2411" s="32" t="n">
        <f aca="false">COUNTIF(Base!$D$2:$D$2878,B2411)</f>
        <v>1</v>
      </c>
      <c r="G2411" s="35" t="n">
        <f aca="false">SUMIF(Base!$D$2:$D$2878,B2411,Base!$I$2:$I$2878)</f>
        <v>67.92</v>
      </c>
      <c r="H2411" s="36" t="n">
        <f aca="false">IF($G$2849=0,0,G2411/$G$2849)</f>
        <v>4.45706161199237E-006</v>
      </c>
      <c r="I2411" s="37" t="n">
        <f aca="false">I2410+H2411</f>
        <v>0.999146904062446</v>
      </c>
      <c r="J2411" s="37" t="n">
        <f aca="false">A2411/2840</f>
        <v>0.846478873239437</v>
      </c>
      <c r="K2411" s="32" t="str">
        <f aca="false">IF(I2411&lt;=$E$4,"A",IF(I2411&lt;=$E$5,"B","C"))</f>
        <v>C</v>
      </c>
    </row>
    <row r="2412" customFormat="false" ht="15" hidden="false" customHeight="false" outlineLevel="0" collapsed="false">
      <c r="A2412" s="32" t="n">
        <v>2405</v>
      </c>
      <c r="B2412" s="33" t="n">
        <v>19594</v>
      </c>
      <c r="C2412" s="34" t="s">
        <v>4896</v>
      </c>
      <c r="D2412" s="34" t="s">
        <v>4897</v>
      </c>
      <c r="E2412" s="34" t="s">
        <v>1095</v>
      </c>
      <c r="F2412" s="32" t="n">
        <f aca="false">COUNTIF(Base!$D$2:$D$2878,B2412)</f>
        <v>1</v>
      </c>
      <c r="G2412" s="35" t="n">
        <f aca="false">SUMIF(Base!$D$2:$D$2878,B2412,Base!$I$2:$I$2878)</f>
        <v>67.76</v>
      </c>
      <c r="H2412" s="36" t="n">
        <f aca="false">IF($G$2849=0,0,G2412/$G$2849)</f>
        <v>4.44656205578038E-006</v>
      </c>
      <c r="I2412" s="37" t="n">
        <f aca="false">I2411+H2412</f>
        <v>0.999151350624502</v>
      </c>
      <c r="J2412" s="37" t="n">
        <f aca="false">A2412/2840</f>
        <v>0.846830985915493</v>
      </c>
      <c r="K2412" s="32" t="str">
        <f aca="false">IF(I2412&lt;=$E$4,"A",IF(I2412&lt;=$E$5,"B","C"))</f>
        <v>C</v>
      </c>
    </row>
    <row r="2413" customFormat="false" ht="15" hidden="false" customHeight="false" outlineLevel="0" collapsed="false">
      <c r="A2413" s="32" t="n">
        <v>2406</v>
      </c>
      <c r="B2413" s="33" t="n">
        <v>1672551</v>
      </c>
      <c r="C2413" s="34" t="s">
        <v>4898</v>
      </c>
      <c r="D2413" s="34" t="s">
        <v>4899</v>
      </c>
      <c r="E2413" s="34" t="s">
        <v>66</v>
      </c>
      <c r="F2413" s="32" t="n">
        <f aca="false">COUNTIF(Base!$D$2:$D$2878,B2413)</f>
        <v>1</v>
      </c>
      <c r="G2413" s="35" t="n">
        <f aca="false">SUMIF(Base!$D$2:$D$2878,B2413,Base!$I$2:$I$2878)</f>
        <v>67.4</v>
      </c>
      <c r="H2413" s="36" t="n">
        <f aca="false">IF($G$2849=0,0,G2413/$G$2849)</f>
        <v>4.42293805430338E-006</v>
      </c>
      <c r="I2413" s="37" t="n">
        <f aca="false">I2412+H2413</f>
        <v>0.999155773562556</v>
      </c>
      <c r="J2413" s="37" t="n">
        <f aca="false">A2413/2840</f>
        <v>0.847183098591549</v>
      </c>
      <c r="K2413" s="32" t="str">
        <f aca="false">IF(I2413&lt;=$E$4,"A",IF(I2413&lt;=$E$5,"B","C"))</f>
        <v>C</v>
      </c>
    </row>
    <row r="2414" customFormat="false" ht="15" hidden="false" customHeight="false" outlineLevel="0" collapsed="false">
      <c r="A2414" s="32" t="n">
        <v>2407</v>
      </c>
      <c r="B2414" s="33" t="n">
        <v>1484108</v>
      </c>
      <c r="C2414" s="34" t="s">
        <v>4900</v>
      </c>
      <c r="D2414" s="34" t="s">
        <v>4901</v>
      </c>
      <c r="E2414" s="34" t="s">
        <v>100</v>
      </c>
      <c r="F2414" s="32" t="n">
        <f aca="false">COUNTIF(Base!$D$2:$D$2878,B2414)</f>
        <v>1</v>
      </c>
      <c r="G2414" s="35" t="n">
        <f aca="false">SUMIF(Base!$D$2:$D$2878,B2414,Base!$I$2:$I$2878)</f>
        <v>67.2</v>
      </c>
      <c r="H2414" s="36" t="n">
        <f aca="false">IF($G$2849=0,0,G2414/$G$2849)</f>
        <v>4.40981360903839E-006</v>
      </c>
      <c r="I2414" s="37" t="n">
        <f aca="false">I2413+H2414</f>
        <v>0.999160183376165</v>
      </c>
      <c r="J2414" s="37" t="n">
        <f aca="false">A2414/2840</f>
        <v>0.847535211267606</v>
      </c>
      <c r="K2414" s="32" t="str">
        <f aca="false">IF(I2414&lt;=$E$4,"A",IF(I2414&lt;=$E$5,"B","C"))</f>
        <v>C</v>
      </c>
    </row>
    <row r="2415" customFormat="false" ht="15" hidden="false" customHeight="false" outlineLevel="0" collapsed="false">
      <c r="A2415" s="32" t="n">
        <v>2408</v>
      </c>
      <c r="B2415" s="33" t="n">
        <v>17950</v>
      </c>
      <c r="C2415" s="34" t="s">
        <v>4902</v>
      </c>
      <c r="D2415" s="34" t="s">
        <v>4903</v>
      </c>
      <c r="E2415" s="34" t="s">
        <v>130</v>
      </c>
      <c r="F2415" s="32" t="n">
        <f aca="false">COUNTIF(Base!$D$2:$D$2878,B2415)</f>
        <v>1</v>
      </c>
      <c r="G2415" s="35" t="n">
        <f aca="false">SUMIF(Base!$D$2:$D$2878,B2415,Base!$I$2:$I$2878)</f>
        <v>67</v>
      </c>
      <c r="H2415" s="36" t="n">
        <f aca="false">IF($G$2849=0,0,G2415/$G$2849)</f>
        <v>4.39668916377339E-006</v>
      </c>
      <c r="I2415" s="37" t="n">
        <f aca="false">I2414+H2415</f>
        <v>0.999164580065329</v>
      </c>
      <c r="J2415" s="37" t="n">
        <f aca="false">A2415/2840</f>
        <v>0.847887323943662</v>
      </c>
      <c r="K2415" s="32" t="str">
        <f aca="false">IF(I2415&lt;=$E$4,"A",IF(I2415&lt;=$E$5,"B","C"))</f>
        <v>C</v>
      </c>
    </row>
    <row r="2416" customFormat="false" ht="15" hidden="false" customHeight="false" outlineLevel="0" collapsed="false">
      <c r="A2416" s="32" t="n">
        <v>2409</v>
      </c>
      <c r="B2416" s="33" t="n">
        <v>35128</v>
      </c>
      <c r="C2416" s="34" t="s">
        <v>4904</v>
      </c>
      <c r="D2416" s="34" t="s">
        <v>4905</v>
      </c>
      <c r="E2416" s="34" t="s">
        <v>1618</v>
      </c>
      <c r="F2416" s="32" t="n">
        <f aca="false">COUNTIF(Base!$D$2:$D$2878,B2416)</f>
        <v>1</v>
      </c>
      <c r="G2416" s="35" t="n">
        <f aca="false">SUMIF(Base!$D$2:$D$2878,B2416,Base!$I$2:$I$2878)</f>
        <v>66.93</v>
      </c>
      <c r="H2416" s="36" t="n">
        <f aca="false">IF($G$2849=0,0,G2416/$G$2849)</f>
        <v>4.39209560793065E-006</v>
      </c>
      <c r="I2416" s="37" t="n">
        <f aca="false">I2415+H2416</f>
        <v>0.999168972160937</v>
      </c>
      <c r="J2416" s="37" t="n">
        <f aca="false">A2416/2840</f>
        <v>0.848239436619718</v>
      </c>
      <c r="K2416" s="32" t="str">
        <f aca="false">IF(I2416&lt;=$E$4,"A",IF(I2416&lt;=$E$5,"B","C"))</f>
        <v>C</v>
      </c>
    </row>
    <row r="2417" customFormat="false" ht="15" hidden="false" customHeight="false" outlineLevel="0" collapsed="false">
      <c r="A2417" s="32" t="n">
        <v>2410</v>
      </c>
      <c r="B2417" s="33" t="n">
        <v>1383881</v>
      </c>
      <c r="C2417" s="34" t="s">
        <v>4906</v>
      </c>
      <c r="D2417" s="34" t="s">
        <v>4907</v>
      </c>
      <c r="E2417" s="34" t="s">
        <v>100</v>
      </c>
      <c r="F2417" s="32" t="n">
        <f aca="false">COUNTIF(Base!$D$2:$D$2878,B2417)</f>
        <v>1</v>
      </c>
      <c r="G2417" s="35" t="n">
        <f aca="false">SUMIF(Base!$D$2:$D$2878,B2417,Base!$I$2:$I$2878)</f>
        <v>66.36</v>
      </c>
      <c r="H2417" s="36" t="n">
        <f aca="false">IF($G$2849=0,0,G2417/$G$2849)</f>
        <v>4.35469093892541E-006</v>
      </c>
      <c r="I2417" s="37" t="n">
        <f aca="false">I2416+H2417</f>
        <v>0.999173326851876</v>
      </c>
      <c r="J2417" s="37" t="n">
        <f aca="false">A2417/2840</f>
        <v>0.848591549295775</v>
      </c>
      <c r="K2417" s="32" t="str">
        <f aca="false">IF(I2417&lt;=$E$4,"A",IF(I2417&lt;=$E$5,"B","C"))</f>
        <v>C</v>
      </c>
    </row>
    <row r="2418" customFormat="false" ht="15" hidden="false" customHeight="false" outlineLevel="0" collapsed="false">
      <c r="A2418" s="32" t="n">
        <v>2411</v>
      </c>
      <c r="B2418" s="33" t="n">
        <v>138663</v>
      </c>
      <c r="C2418" s="34" t="s">
        <v>4908</v>
      </c>
      <c r="D2418" s="34" t="s">
        <v>4909</v>
      </c>
      <c r="E2418" s="34" t="s">
        <v>480</v>
      </c>
      <c r="F2418" s="32" t="n">
        <f aca="false">COUNTIF(Base!$D$2:$D$2878,B2418)</f>
        <v>1</v>
      </c>
      <c r="G2418" s="35" t="n">
        <f aca="false">SUMIF(Base!$D$2:$D$2878,B2418,Base!$I$2:$I$2878)</f>
        <v>66</v>
      </c>
      <c r="H2418" s="36" t="n">
        <f aca="false">IF($G$2849=0,0,G2418/$G$2849)</f>
        <v>4.33106693744842E-006</v>
      </c>
      <c r="I2418" s="37" t="n">
        <f aca="false">I2417+H2418</f>
        <v>0.999177657918813</v>
      </c>
      <c r="J2418" s="37" t="n">
        <f aca="false">A2418/2840</f>
        <v>0.848943661971831</v>
      </c>
      <c r="K2418" s="32" t="str">
        <f aca="false">IF(I2418&lt;=$E$4,"A",IF(I2418&lt;=$E$5,"B","C"))</f>
        <v>C</v>
      </c>
    </row>
    <row r="2419" customFormat="false" ht="15" hidden="false" customHeight="false" outlineLevel="0" collapsed="false">
      <c r="A2419" s="32" t="n">
        <v>2412</v>
      </c>
      <c r="B2419" s="33" t="n">
        <v>21652</v>
      </c>
      <c r="C2419" s="34" t="s">
        <v>4910</v>
      </c>
      <c r="D2419" s="34" t="s">
        <v>4911</v>
      </c>
      <c r="E2419" s="34" t="s">
        <v>189</v>
      </c>
      <c r="F2419" s="32" t="n">
        <f aca="false">COUNTIF(Base!$D$2:$D$2878,B2419)</f>
        <v>1</v>
      </c>
      <c r="G2419" s="35" t="n">
        <f aca="false">SUMIF(Base!$D$2:$D$2878,B2419,Base!$I$2:$I$2878)</f>
        <v>65.82</v>
      </c>
      <c r="H2419" s="36" t="n">
        <f aca="false">IF($G$2849=0,0,G2419/$G$2849)</f>
        <v>4.31925493670992E-006</v>
      </c>
      <c r="I2419" s="37" t="n">
        <f aca="false">I2418+H2419</f>
        <v>0.99918197717375</v>
      </c>
      <c r="J2419" s="37" t="n">
        <f aca="false">A2419/2840</f>
        <v>0.849295774647887</v>
      </c>
      <c r="K2419" s="32" t="str">
        <f aca="false">IF(I2419&lt;=$E$4,"A",IF(I2419&lt;=$E$5,"B","C"))</f>
        <v>C</v>
      </c>
    </row>
    <row r="2420" customFormat="false" ht="15" hidden="false" customHeight="false" outlineLevel="0" collapsed="false">
      <c r="A2420" s="32" t="n">
        <v>2413</v>
      </c>
      <c r="B2420" s="33" t="n">
        <v>22601</v>
      </c>
      <c r="C2420" s="34" t="s">
        <v>4912</v>
      </c>
      <c r="D2420" s="34" t="s">
        <v>4913</v>
      </c>
      <c r="E2420" s="34" t="s">
        <v>262</v>
      </c>
      <c r="F2420" s="32" t="n">
        <f aca="false">COUNTIF(Base!$D$2:$D$2878,B2420)</f>
        <v>1</v>
      </c>
      <c r="G2420" s="35" t="n">
        <f aca="false">SUMIF(Base!$D$2:$D$2878,B2420,Base!$I$2:$I$2878)</f>
        <v>65.6</v>
      </c>
      <c r="H2420" s="36" t="n">
        <f aca="false">IF($G$2849=0,0,G2420/$G$2849)</f>
        <v>4.30481804691843E-006</v>
      </c>
      <c r="I2420" s="37" t="n">
        <f aca="false">I2419+H2420</f>
        <v>0.999186281991797</v>
      </c>
      <c r="J2420" s="37" t="n">
        <f aca="false">A2420/2840</f>
        <v>0.849647887323944</v>
      </c>
      <c r="K2420" s="32" t="str">
        <f aca="false">IF(I2420&lt;=$E$4,"A",IF(I2420&lt;=$E$5,"B","C"))</f>
        <v>C</v>
      </c>
    </row>
    <row r="2421" customFormat="false" ht="15" hidden="false" customHeight="false" outlineLevel="0" collapsed="false">
      <c r="A2421" s="32" t="n">
        <v>2414</v>
      </c>
      <c r="B2421" s="33" t="n">
        <v>55527</v>
      </c>
      <c r="C2421" s="34" t="s">
        <v>4914</v>
      </c>
      <c r="D2421" s="34" t="s">
        <v>4915</v>
      </c>
      <c r="E2421" s="34" t="s">
        <v>130</v>
      </c>
      <c r="F2421" s="32" t="n">
        <f aca="false">COUNTIF(Base!$D$2:$D$2878,B2421)</f>
        <v>1</v>
      </c>
      <c r="G2421" s="35" t="n">
        <f aca="false">SUMIF(Base!$D$2:$D$2878,B2421,Base!$I$2:$I$2878)</f>
        <v>65</v>
      </c>
      <c r="H2421" s="36" t="n">
        <f aca="false">IF($G$2849=0,0,G2421/$G$2849)</f>
        <v>4.26544471112344E-006</v>
      </c>
      <c r="I2421" s="37" t="n">
        <f aca="false">I2420+H2421</f>
        <v>0.999190547436508</v>
      </c>
      <c r="J2421" s="37" t="n">
        <f aca="false">A2421/2840</f>
        <v>0.85</v>
      </c>
      <c r="K2421" s="32" t="str">
        <f aca="false">IF(I2421&lt;=$E$4,"A",IF(I2421&lt;=$E$5,"B","C"))</f>
        <v>C</v>
      </c>
    </row>
    <row r="2422" customFormat="false" ht="15" hidden="false" customHeight="false" outlineLevel="0" collapsed="false">
      <c r="A2422" s="32" t="n">
        <v>2415</v>
      </c>
      <c r="B2422" s="33" t="n">
        <v>16035</v>
      </c>
      <c r="C2422" s="34" t="s">
        <v>4916</v>
      </c>
      <c r="D2422" s="34" t="s">
        <v>4917</v>
      </c>
      <c r="E2422" s="34" t="s">
        <v>54</v>
      </c>
      <c r="F2422" s="32" t="n">
        <f aca="false">COUNTIF(Base!$D$2:$D$2878,B2422)</f>
        <v>1</v>
      </c>
      <c r="G2422" s="35" t="n">
        <f aca="false">SUMIF(Base!$D$2:$D$2878,B2422,Base!$I$2:$I$2878)</f>
        <v>64.98</v>
      </c>
      <c r="H2422" s="36" t="n">
        <f aca="false">IF($G$2849=0,0,G2422/$G$2849)</f>
        <v>4.26413226659694E-006</v>
      </c>
      <c r="I2422" s="37" t="n">
        <f aca="false">I2421+H2422</f>
        <v>0.999194811568774</v>
      </c>
      <c r="J2422" s="37" t="n">
        <f aca="false">A2422/2840</f>
        <v>0.850352112676056</v>
      </c>
      <c r="K2422" s="32" t="str">
        <f aca="false">IF(I2422&lt;=$E$4,"A",IF(I2422&lt;=$E$5,"B","C"))</f>
        <v>C</v>
      </c>
    </row>
    <row r="2423" customFormat="false" ht="15" hidden="false" customHeight="false" outlineLevel="0" collapsed="false">
      <c r="A2423" s="32" t="n">
        <v>2416</v>
      </c>
      <c r="B2423" s="33" t="n">
        <v>391747</v>
      </c>
      <c r="C2423" s="34" t="s">
        <v>4918</v>
      </c>
      <c r="D2423" s="34" t="s">
        <v>4919</v>
      </c>
      <c r="E2423" s="34" t="s">
        <v>38</v>
      </c>
      <c r="F2423" s="32" t="n">
        <f aca="false">COUNTIF(Base!$D$2:$D$2878,B2423)</f>
        <v>1</v>
      </c>
      <c r="G2423" s="35" t="n">
        <f aca="false">SUMIF(Base!$D$2:$D$2878,B2423,Base!$I$2:$I$2878)</f>
        <v>64.9</v>
      </c>
      <c r="H2423" s="36" t="n">
        <f aca="false">IF($G$2849=0,0,G2423/$G$2849)</f>
        <v>4.25888248849094E-006</v>
      </c>
      <c r="I2423" s="37" t="n">
        <f aca="false">I2422+H2423</f>
        <v>0.999199070451263</v>
      </c>
      <c r="J2423" s="37" t="n">
        <f aca="false">A2423/2840</f>
        <v>0.850704225352113</v>
      </c>
      <c r="K2423" s="32" t="str">
        <f aca="false">IF(I2423&lt;=$E$4,"A",IF(I2423&lt;=$E$5,"B","C"))</f>
        <v>C</v>
      </c>
    </row>
    <row r="2424" customFormat="false" ht="15" hidden="false" customHeight="false" outlineLevel="0" collapsed="false">
      <c r="A2424" s="32" t="n">
        <v>2417</v>
      </c>
      <c r="B2424" s="33" t="n">
        <v>835826</v>
      </c>
      <c r="C2424" s="34" t="s">
        <v>4920</v>
      </c>
      <c r="D2424" s="34" t="s">
        <v>4921</v>
      </c>
      <c r="E2424" s="34" t="s">
        <v>38</v>
      </c>
      <c r="F2424" s="32" t="n">
        <f aca="false">COUNTIF(Base!$D$2:$D$2878,B2424)</f>
        <v>1</v>
      </c>
      <c r="G2424" s="35" t="n">
        <f aca="false">SUMIF(Base!$D$2:$D$2878,B2424,Base!$I$2:$I$2878)</f>
        <v>64.08</v>
      </c>
      <c r="H2424" s="36" t="n">
        <f aca="false">IF($G$2849=0,0,G2424/$G$2849)</f>
        <v>4.20507226290446E-006</v>
      </c>
      <c r="I2424" s="37" t="n">
        <f aca="false">I2423+H2424</f>
        <v>0.999203275523526</v>
      </c>
      <c r="J2424" s="37" t="n">
        <f aca="false">A2424/2840</f>
        <v>0.851056338028169</v>
      </c>
      <c r="K2424" s="32" t="str">
        <f aca="false">IF(I2424&lt;=$E$4,"A",IF(I2424&lt;=$E$5,"B","C"))</f>
        <v>C</v>
      </c>
    </row>
    <row r="2425" customFormat="false" ht="15" hidden="false" customHeight="false" outlineLevel="0" collapsed="false">
      <c r="A2425" s="32" t="n">
        <v>2418</v>
      </c>
      <c r="B2425" s="33" t="n">
        <v>652213</v>
      </c>
      <c r="C2425" s="34" t="s">
        <v>4922</v>
      </c>
      <c r="D2425" s="34" t="s">
        <v>4923</v>
      </c>
      <c r="E2425" s="34" t="s">
        <v>457</v>
      </c>
      <c r="F2425" s="32" t="n">
        <f aca="false">COUNTIF(Base!$D$2:$D$2878,B2425)</f>
        <v>1</v>
      </c>
      <c r="G2425" s="35" t="n">
        <f aca="false">SUMIF(Base!$D$2:$D$2878,B2425,Base!$I$2:$I$2878)</f>
        <v>64.03</v>
      </c>
      <c r="H2425" s="36" t="n">
        <f aca="false">IF($G$2849=0,0,G2425/$G$2849)</f>
        <v>4.20179115158821E-006</v>
      </c>
      <c r="I2425" s="37" t="n">
        <f aca="false">I2424+H2425</f>
        <v>0.999207477314677</v>
      </c>
      <c r="J2425" s="37" t="n">
        <f aca="false">A2425/2840</f>
        <v>0.851408450704225</v>
      </c>
      <c r="K2425" s="32" t="str">
        <f aca="false">IF(I2425&lt;=$E$4,"A",IF(I2425&lt;=$E$5,"B","C"))</f>
        <v>C</v>
      </c>
    </row>
    <row r="2426" customFormat="false" ht="15" hidden="false" customHeight="false" outlineLevel="0" collapsed="false">
      <c r="A2426" s="32" t="n">
        <v>2419</v>
      </c>
      <c r="B2426" s="33" t="n">
        <v>35096</v>
      </c>
      <c r="C2426" s="34" t="s">
        <v>4924</v>
      </c>
      <c r="D2426" s="34" t="s">
        <v>4925</v>
      </c>
      <c r="E2426" s="34" t="s">
        <v>100</v>
      </c>
      <c r="F2426" s="32" t="n">
        <f aca="false">COUNTIF(Base!$D$2:$D$2878,B2426)</f>
        <v>1</v>
      </c>
      <c r="G2426" s="35" t="n">
        <f aca="false">SUMIF(Base!$D$2:$D$2878,B2426,Base!$I$2:$I$2878)</f>
        <v>64</v>
      </c>
      <c r="H2426" s="36" t="n">
        <f aca="false">IF($G$2849=0,0,G2426/$G$2849)</f>
        <v>4.19982248479847E-006</v>
      </c>
      <c r="I2426" s="37" t="n">
        <f aca="false">I2425+H2426</f>
        <v>0.999211677137162</v>
      </c>
      <c r="J2426" s="37" t="n">
        <f aca="false">A2426/2840</f>
        <v>0.851760563380282</v>
      </c>
      <c r="K2426" s="32" t="str">
        <f aca="false">IF(I2426&lt;=$E$4,"A",IF(I2426&lt;=$E$5,"B","C"))</f>
        <v>C</v>
      </c>
    </row>
    <row r="2427" customFormat="false" ht="15" hidden="false" customHeight="false" outlineLevel="0" collapsed="false">
      <c r="A2427" s="32" t="n">
        <v>2420</v>
      </c>
      <c r="B2427" s="33" t="n">
        <v>728594</v>
      </c>
      <c r="C2427" s="34" t="s">
        <v>4926</v>
      </c>
      <c r="D2427" s="34" t="s">
        <v>4927</v>
      </c>
      <c r="E2427" s="34" t="s">
        <v>100</v>
      </c>
      <c r="F2427" s="32" t="n">
        <f aca="false">COUNTIF(Base!$D$2:$D$2878,B2427)</f>
        <v>1</v>
      </c>
      <c r="G2427" s="35" t="n">
        <f aca="false">SUMIF(Base!$D$2:$D$2878,B2427,Base!$I$2:$I$2878)</f>
        <v>64</v>
      </c>
      <c r="H2427" s="36" t="n">
        <f aca="false">IF($G$2849=0,0,G2427/$G$2849)</f>
        <v>4.19982248479847E-006</v>
      </c>
      <c r="I2427" s="37" t="n">
        <f aca="false">I2426+H2427</f>
        <v>0.999215876959647</v>
      </c>
      <c r="J2427" s="37" t="n">
        <f aca="false">A2427/2840</f>
        <v>0.852112676056338</v>
      </c>
      <c r="K2427" s="32" t="str">
        <f aca="false">IF(I2427&lt;=$E$4,"A",IF(I2427&lt;=$E$5,"B","C"))</f>
        <v>C</v>
      </c>
    </row>
    <row r="2428" customFormat="false" ht="15" hidden="false" customHeight="false" outlineLevel="0" collapsed="false">
      <c r="A2428" s="32" t="n">
        <v>2421</v>
      </c>
      <c r="B2428" s="33" t="n">
        <v>1380002</v>
      </c>
      <c r="C2428" s="34" t="s">
        <v>4928</v>
      </c>
      <c r="D2428" s="34" t="s">
        <v>4929</v>
      </c>
      <c r="E2428" s="34" t="s">
        <v>100</v>
      </c>
      <c r="F2428" s="32" t="n">
        <f aca="false">COUNTIF(Base!$D$2:$D$2878,B2428)</f>
        <v>1</v>
      </c>
      <c r="G2428" s="35" t="n">
        <f aca="false">SUMIF(Base!$D$2:$D$2878,B2428,Base!$I$2:$I$2878)</f>
        <v>63.89</v>
      </c>
      <c r="H2428" s="36" t="n">
        <f aca="false">IF($G$2849=0,0,G2428/$G$2849)</f>
        <v>4.19260403990272E-006</v>
      </c>
      <c r="I2428" s="37" t="n">
        <f aca="false">I2427+H2428</f>
        <v>0.999220069563687</v>
      </c>
      <c r="J2428" s="37" t="n">
        <f aca="false">A2428/2840</f>
        <v>0.852464788732394</v>
      </c>
      <c r="K2428" s="32" t="str">
        <f aca="false">IF(I2428&lt;=$E$4,"A",IF(I2428&lt;=$E$5,"B","C"))</f>
        <v>C</v>
      </c>
    </row>
    <row r="2429" customFormat="false" ht="15" hidden="false" customHeight="false" outlineLevel="0" collapsed="false">
      <c r="A2429" s="32" t="n">
        <v>2422</v>
      </c>
      <c r="B2429" s="33" t="n">
        <v>1384289</v>
      </c>
      <c r="C2429" s="34" t="s">
        <v>4930</v>
      </c>
      <c r="D2429" s="34" t="s">
        <v>4931</v>
      </c>
      <c r="E2429" s="34" t="s">
        <v>75</v>
      </c>
      <c r="F2429" s="32" t="n">
        <f aca="false">COUNTIF(Base!$D$2:$D$2878,B2429)</f>
        <v>1</v>
      </c>
      <c r="G2429" s="35" t="n">
        <f aca="false">SUMIF(Base!$D$2:$D$2878,B2429,Base!$I$2:$I$2878)</f>
        <v>63.53</v>
      </c>
      <c r="H2429" s="36" t="n">
        <f aca="false">IF($G$2849=0,0,G2429/$G$2849)</f>
        <v>4.16898003842573E-006</v>
      </c>
      <c r="I2429" s="37" t="n">
        <f aca="false">I2428+H2429</f>
        <v>0.999224238543725</v>
      </c>
      <c r="J2429" s="37" t="n">
        <f aca="false">A2429/2840</f>
        <v>0.852816901408451</v>
      </c>
      <c r="K2429" s="32" t="str">
        <f aca="false">IF(I2429&lt;=$E$4,"A",IF(I2429&lt;=$E$5,"B","C"))</f>
        <v>C</v>
      </c>
    </row>
    <row r="2430" customFormat="false" ht="15" hidden="false" customHeight="false" outlineLevel="0" collapsed="false">
      <c r="A2430" s="32" t="n">
        <v>2423</v>
      </c>
      <c r="B2430" s="33" t="n">
        <v>19329</v>
      </c>
      <c r="C2430" s="34" t="s">
        <v>4932</v>
      </c>
      <c r="D2430" s="34" t="s">
        <v>4933</v>
      </c>
      <c r="E2430" s="34" t="s">
        <v>1095</v>
      </c>
      <c r="F2430" s="32" t="n">
        <f aca="false">COUNTIF(Base!$D$2:$D$2878,B2430)</f>
        <v>1</v>
      </c>
      <c r="G2430" s="35" t="n">
        <f aca="false">SUMIF(Base!$D$2:$D$2878,B2430,Base!$I$2:$I$2878)</f>
        <v>63</v>
      </c>
      <c r="H2430" s="36" t="n">
        <f aca="false">IF($G$2849=0,0,G2430/$G$2849)</f>
        <v>4.13420025847349E-006</v>
      </c>
      <c r="I2430" s="37" t="n">
        <f aca="false">I2429+H2430</f>
        <v>0.999228372743984</v>
      </c>
      <c r="J2430" s="37" t="n">
        <f aca="false">A2430/2840</f>
        <v>0.853169014084507</v>
      </c>
      <c r="K2430" s="32" t="str">
        <f aca="false">IF(I2430&lt;=$E$4,"A",IF(I2430&lt;=$E$5,"B","C"))</f>
        <v>C</v>
      </c>
    </row>
    <row r="2431" customFormat="false" ht="15" hidden="false" customHeight="false" outlineLevel="0" collapsed="false">
      <c r="A2431" s="32" t="n">
        <v>2424</v>
      </c>
      <c r="B2431" s="33" t="n">
        <v>293004</v>
      </c>
      <c r="C2431" s="34" t="s">
        <v>4934</v>
      </c>
      <c r="D2431" s="34" t="s">
        <v>4935</v>
      </c>
      <c r="E2431" s="34" t="s">
        <v>100</v>
      </c>
      <c r="F2431" s="32" t="n">
        <f aca="false">COUNTIF(Base!$D$2:$D$2878,B2431)</f>
        <v>1</v>
      </c>
      <c r="G2431" s="35" t="n">
        <f aca="false">SUMIF(Base!$D$2:$D$2878,B2431,Base!$I$2:$I$2878)</f>
        <v>63</v>
      </c>
      <c r="H2431" s="36" t="n">
        <f aca="false">IF($G$2849=0,0,G2431/$G$2849)</f>
        <v>4.13420025847349E-006</v>
      </c>
      <c r="I2431" s="37" t="n">
        <f aca="false">I2430+H2431</f>
        <v>0.999232506944242</v>
      </c>
      <c r="J2431" s="37" t="n">
        <f aca="false">A2431/2840</f>
        <v>0.853521126760563</v>
      </c>
      <c r="K2431" s="32" t="str">
        <f aca="false">IF(I2431&lt;=$E$4,"A",IF(I2431&lt;=$E$5,"B","C"))</f>
        <v>C</v>
      </c>
    </row>
    <row r="2432" customFormat="false" ht="15" hidden="false" customHeight="false" outlineLevel="0" collapsed="false">
      <c r="A2432" s="32" t="n">
        <v>2425</v>
      </c>
      <c r="B2432" s="33" t="n">
        <v>16838</v>
      </c>
      <c r="C2432" s="34" t="s">
        <v>4936</v>
      </c>
      <c r="D2432" s="34" t="s">
        <v>4937</v>
      </c>
      <c r="E2432" s="34" t="s">
        <v>100</v>
      </c>
      <c r="F2432" s="32" t="n">
        <f aca="false">COUNTIF(Base!$D$2:$D$2878,B2432)</f>
        <v>1</v>
      </c>
      <c r="G2432" s="35" t="n">
        <f aca="false">SUMIF(Base!$D$2:$D$2878,B2432,Base!$I$2:$I$2878)</f>
        <v>62.73</v>
      </c>
      <c r="H2432" s="36" t="n">
        <f aca="false">IF($G$2849=0,0,G2432/$G$2849)</f>
        <v>4.11648225736575E-006</v>
      </c>
      <c r="I2432" s="37" t="n">
        <f aca="false">I2431+H2432</f>
        <v>0.9992366234265</v>
      </c>
      <c r="J2432" s="37" t="n">
        <f aca="false">A2432/2840</f>
        <v>0.85387323943662</v>
      </c>
      <c r="K2432" s="32" t="str">
        <f aca="false">IF(I2432&lt;=$E$4,"A",IF(I2432&lt;=$E$5,"B","C"))</f>
        <v>C</v>
      </c>
    </row>
    <row r="2433" customFormat="false" ht="15" hidden="false" customHeight="false" outlineLevel="0" collapsed="false">
      <c r="A2433" s="32" t="n">
        <v>2426</v>
      </c>
      <c r="B2433" s="33" t="n">
        <v>385421</v>
      </c>
      <c r="C2433" s="34" t="s">
        <v>4938</v>
      </c>
      <c r="D2433" s="34" t="s">
        <v>4939</v>
      </c>
      <c r="E2433" s="34" t="s">
        <v>113</v>
      </c>
      <c r="F2433" s="32" t="n">
        <f aca="false">COUNTIF(Base!$D$2:$D$2878,B2433)</f>
        <v>1</v>
      </c>
      <c r="G2433" s="35" t="n">
        <f aca="false">SUMIF(Base!$D$2:$D$2878,B2433,Base!$I$2:$I$2878)</f>
        <v>62.1</v>
      </c>
      <c r="H2433" s="36" t="n">
        <f aca="false">IF($G$2849=0,0,G2433/$G$2849)</f>
        <v>4.07514025478101E-006</v>
      </c>
      <c r="I2433" s="37" t="n">
        <f aca="false">I2432+H2433</f>
        <v>0.999240698566754</v>
      </c>
      <c r="J2433" s="37" t="n">
        <f aca="false">A2433/2840</f>
        <v>0.854225352112676</v>
      </c>
      <c r="K2433" s="32" t="str">
        <f aca="false">IF(I2433&lt;=$E$4,"A",IF(I2433&lt;=$E$5,"B","C"))</f>
        <v>C</v>
      </c>
    </row>
    <row r="2434" customFormat="false" ht="15" hidden="false" customHeight="false" outlineLevel="0" collapsed="false">
      <c r="A2434" s="32" t="n">
        <v>2427</v>
      </c>
      <c r="B2434" s="33" t="n">
        <v>733673</v>
      </c>
      <c r="C2434" s="34" t="s">
        <v>4940</v>
      </c>
      <c r="D2434" s="34" t="s">
        <v>4941</v>
      </c>
      <c r="E2434" s="34" t="s">
        <v>130</v>
      </c>
      <c r="F2434" s="32" t="n">
        <f aca="false">COUNTIF(Base!$D$2:$D$2878,B2434)</f>
        <v>1</v>
      </c>
      <c r="G2434" s="35" t="n">
        <f aca="false">SUMIF(Base!$D$2:$D$2878,B2434,Base!$I$2:$I$2878)</f>
        <v>62</v>
      </c>
      <c r="H2434" s="36" t="n">
        <f aca="false">IF($G$2849=0,0,G2434/$G$2849)</f>
        <v>4.06857803214851E-006</v>
      </c>
      <c r="I2434" s="37" t="n">
        <f aca="false">I2433+H2434</f>
        <v>0.999244767144787</v>
      </c>
      <c r="J2434" s="37" t="n">
        <f aca="false">A2434/2840</f>
        <v>0.854577464788732</v>
      </c>
      <c r="K2434" s="32" t="str">
        <f aca="false">IF(I2434&lt;=$E$4,"A",IF(I2434&lt;=$E$5,"B","C"))</f>
        <v>C</v>
      </c>
    </row>
    <row r="2435" customFormat="false" ht="15" hidden="false" customHeight="false" outlineLevel="0" collapsed="false">
      <c r="A2435" s="32" t="n">
        <v>2428</v>
      </c>
      <c r="B2435" s="33" t="n">
        <v>1323079</v>
      </c>
      <c r="C2435" s="34" t="s">
        <v>4942</v>
      </c>
      <c r="D2435" s="34" t="s">
        <v>4943</v>
      </c>
      <c r="E2435" s="34" t="s">
        <v>54</v>
      </c>
      <c r="F2435" s="32" t="n">
        <f aca="false">COUNTIF(Base!$D$2:$D$2878,B2435)</f>
        <v>1</v>
      </c>
      <c r="G2435" s="35" t="n">
        <f aca="false">SUMIF(Base!$D$2:$D$2878,B2435,Base!$I$2:$I$2878)</f>
        <v>62</v>
      </c>
      <c r="H2435" s="36" t="n">
        <f aca="false">IF($G$2849=0,0,G2435/$G$2849)</f>
        <v>4.06857803214851E-006</v>
      </c>
      <c r="I2435" s="37" t="n">
        <f aca="false">I2434+H2435</f>
        <v>0.999248835722819</v>
      </c>
      <c r="J2435" s="37" t="n">
        <f aca="false">A2435/2840</f>
        <v>0.854929577464789</v>
      </c>
      <c r="K2435" s="32" t="str">
        <f aca="false">IF(I2435&lt;=$E$4,"A",IF(I2435&lt;=$E$5,"B","C"))</f>
        <v>C</v>
      </c>
    </row>
    <row r="2436" customFormat="false" ht="15" hidden="false" customHeight="false" outlineLevel="0" collapsed="false">
      <c r="A2436" s="32" t="n">
        <v>2429</v>
      </c>
      <c r="B2436" s="33" t="n">
        <v>1478188</v>
      </c>
      <c r="C2436" s="34" t="s">
        <v>4944</v>
      </c>
      <c r="D2436" s="34" t="s">
        <v>4945</v>
      </c>
      <c r="E2436" s="34" t="s">
        <v>130</v>
      </c>
      <c r="F2436" s="32" t="n">
        <f aca="false">COUNTIF(Base!$D$2:$D$2878,B2436)</f>
        <v>1</v>
      </c>
      <c r="G2436" s="35" t="n">
        <f aca="false">SUMIF(Base!$D$2:$D$2878,B2436,Base!$I$2:$I$2878)</f>
        <v>61.02</v>
      </c>
      <c r="H2436" s="36" t="n">
        <f aca="false">IF($G$2849=0,0,G2436/$G$2849)</f>
        <v>4.00426825035004E-006</v>
      </c>
      <c r="I2436" s="37" t="n">
        <f aca="false">I2435+H2436</f>
        <v>0.999252839991069</v>
      </c>
      <c r="J2436" s="37" t="n">
        <f aca="false">A2436/2840</f>
        <v>0.855281690140845</v>
      </c>
      <c r="K2436" s="32" t="str">
        <f aca="false">IF(I2436&lt;=$E$4,"A",IF(I2436&lt;=$E$5,"B","C"))</f>
        <v>C</v>
      </c>
    </row>
    <row r="2437" customFormat="false" ht="15" hidden="false" customHeight="false" outlineLevel="0" collapsed="false">
      <c r="A2437" s="32" t="n">
        <v>2430</v>
      </c>
      <c r="B2437" s="33" t="n">
        <v>223519</v>
      </c>
      <c r="C2437" s="34" t="s">
        <v>4946</v>
      </c>
      <c r="D2437" s="34" t="s">
        <v>4947</v>
      </c>
      <c r="E2437" s="34" t="s">
        <v>2056</v>
      </c>
      <c r="F2437" s="32" t="n">
        <f aca="false">COUNTIF(Base!$D$2:$D$2878,B2437)</f>
        <v>1</v>
      </c>
      <c r="G2437" s="35" t="n">
        <f aca="false">SUMIF(Base!$D$2:$D$2878,B2437,Base!$I$2:$I$2878)</f>
        <v>60</v>
      </c>
      <c r="H2437" s="36" t="n">
        <f aca="false">IF($G$2849=0,0,G2437/$G$2849)</f>
        <v>3.93733357949856E-006</v>
      </c>
      <c r="I2437" s="37" t="n">
        <f aca="false">I2436+H2437</f>
        <v>0.999256777324649</v>
      </c>
      <c r="J2437" s="37" t="n">
        <f aca="false">A2437/2840</f>
        <v>0.855633802816901</v>
      </c>
      <c r="K2437" s="32" t="str">
        <f aca="false">IF(I2437&lt;=$E$4,"A",IF(I2437&lt;=$E$5,"B","C"))</f>
        <v>C</v>
      </c>
    </row>
    <row r="2438" customFormat="false" ht="15" hidden="false" customHeight="false" outlineLevel="0" collapsed="false">
      <c r="A2438" s="32" t="n">
        <v>2431</v>
      </c>
      <c r="B2438" s="33" t="n">
        <v>223547</v>
      </c>
      <c r="C2438" s="34" t="s">
        <v>4948</v>
      </c>
      <c r="D2438" s="34" t="s">
        <v>4949</v>
      </c>
      <c r="E2438" s="34" t="s">
        <v>2056</v>
      </c>
      <c r="F2438" s="32" t="n">
        <f aca="false">COUNTIF(Base!$D$2:$D$2878,B2438)</f>
        <v>1</v>
      </c>
      <c r="G2438" s="35" t="n">
        <f aca="false">SUMIF(Base!$D$2:$D$2878,B2438,Base!$I$2:$I$2878)</f>
        <v>60</v>
      </c>
      <c r="H2438" s="36" t="n">
        <f aca="false">IF($G$2849=0,0,G2438/$G$2849)</f>
        <v>3.93733357949856E-006</v>
      </c>
      <c r="I2438" s="37" t="n">
        <f aca="false">I2437+H2438</f>
        <v>0.999260714658228</v>
      </c>
      <c r="J2438" s="37" t="n">
        <f aca="false">A2438/2840</f>
        <v>0.855985915492958</v>
      </c>
      <c r="K2438" s="32" t="str">
        <f aca="false">IF(I2438&lt;=$E$4,"A",IF(I2438&lt;=$E$5,"B","C"))</f>
        <v>C</v>
      </c>
    </row>
    <row r="2439" customFormat="false" ht="15" hidden="false" customHeight="false" outlineLevel="0" collapsed="false">
      <c r="A2439" s="32" t="n">
        <v>2432</v>
      </c>
      <c r="B2439" s="33" t="n">
        <v>1259170</v>
      </c>
      <c r="C2439" s="34" t="s">
        <v>4950</v>
      </c>
      <c r="D2439" s="34" t="s">
        <v>4951</v>
      </c>
      <c r="E2439" s="34" t="s">
        <v>130</v>
      </c>
      <c r="F2439" s="32" t="n">
        <f aca="false">COUNTIF(Base!$D$2:$D$2878,B2439)</f>
        <v>1</v>
      </c>
      <c r="G2439" s="35" t="n">
        <f aca="false">SUMIF(Base!$D$2:$D$2878,B2439,Base!$I$2:$I$2878)</f>
        <v>60</v>
      </c>
      <c r="H2439" s="36" t="n">
        <f aca="false">IF($G$2849=0,0,G2439/$G$2849)</f>
        <v>3.93733357949856E-006</v>
      </c>
      <c r="I2439" s="37" t="n">
        <f aca="false">I2438+H2439</f>
        <v>0.999264651991808</v>
      </c>
      <c r="J2439" s="37" t="n">
        <f aca="false">A2439/2840</f>
        <v>0.856338028169014</v>
      </c>
      <c r="K2439" s="32" t="str">
        <f aca="false">IF(I2439&lt;=$E$4,"A",IF(I2439&lt;=$E$5,"B","C"))</f>
        <v>C</v>
      </c>
    </row>
    <row r="2440" customFormat="false" ht="15" hidden="false" customHeight="false" outlineLevel="0" collapsed="false">
      <c r="A2440" s="32" t="n">
        <v>2433</v>
      </c>
      <c r="B2440" s="33" t="n">
        <v>1016260</v>
      </c>
      <c r="C2440" s="34" t="s">
        <v>4952</v>
      </c>
      <c r="D2440" s="34" t="s">
        <v>4953</v>
      </c>
      <c r="E2440" s="34" t="s">
        <v>2056</v>
      </c>
      <c r="F2440" s="32" t="n">
        <f aca="false">COUNTIF(Base!$D$2:$D$2878,B2440)</f>
        <v>1</v>
      </c>
      <c r="G2440" s="35" t="n">
        <f aca="false">SUMIF(Base!$D$2:$D$2878,B2440,Base!$I$2:$I$2878)</f>
        <v>59.98</v>
      </c>
      <c r="H2440" s="36" t="n">
        <f aca="false">IF($G$2849=0,0,G2440/$G$2849)</f>
        <v>3.93602113497206E-006</v>
      </c>
      <c r="I2440" s="37" t="n">
        <f aca="false">I2439+H2440</f>
        <v>0.999268588012943</v>
      </c>
      <c r="J2440" s="37" t="n">
        <f aca="false">A2440/2840</f>
        <v>0.85669014084507</v>
      </c>
      <c r="K2440" s="32" t="str">
        <f aca="false">IF(I2440&lt;=$E$4,"A",IF(I2440&lt;=$E$5,"B","C"))</f>
        <v>C</v>
      </c>
    </row>
    <row r="2441" customFormat="false" ht="15" hidden="false" customHeight="false" outlineLevel="0" collapsed="false">
      <c r="A2441" s="32" t="n">
        <v>2434</v>
      </c>
      <c r="B2441" s="33" t="n">
        <v>23556</v>
      </c>
      <c r="C2441" s="34" t="s">
        <v>4954</v>
      </c>
      <c r="D2441" s="34" t="s">
        <v>4955</v>
      </c>
      <c r="E2441" s="34" t="s">
        <v>705</v>
      </c>
      <c r="F2441" s="32" t="n">
        <f aca="false">COUNTIF(Base!$D$2:$D$2878,B2441)</f>
        <v>1</v>
      </c>
      <c r="G2441" s="35" t="n">
        <f aca="false">SUMIF(Base!$D$2:$D$2878,B2441,Base!$I$2:$I$2878)</f>
        <v>59.96</v>
      </c>
      <c r="H2441" s="36" t="n">
        <f aca="false">IF($G$2849=0,0,G2441/$G$2849)</f>
        <v>3.93470869044556E-006</v>
      </c>
      <c r="I2441" s="37" t="n">
        <f aca="false">I2440+H2441</f>
        <v>0.999272522721633</v>
      </c>
      <c r="J2441" s="37" t="n">
        <f aca="false">A2441/2840</f>
        <v>0.857042253521127</v>
      </c>
      <c r="K2441" s="32" t="str">
        <f aca="false">IF(I2441&lt;=$E$4,"A",IF(I2441&lt;=$E$5,"B","C"))</f>
        <v>C</v>
      </c>
    </row>
    <row r="2442" customFormat="false" ht="15" hidden="false" customHeight="false" outlineLevel="0" collapsed="false">
      <c r="A2442" s="32" t="n">
        <v>2435</v>
      </c>
      <c r="B2442" s="33" t="n">
        <v>56606</v>
      </c>
      <c r="C2442" s="34" t="s">
        <v>4956</v>
      </c>
      <c r="D2442" s="34" t="s">
        <v>4957</v>
      </c>
      <c r="E2442" s="34" t="s">
        <v>38</v>
      </c>
      <c r="F2442" s="32" t="n">
        <f aca="false">COUNTIF(Base!$D$2:$D$2878,B2442)</f>
        <v>1</v>
      </c>
      <c r="G2442" s="35" t="n">
        <f aca="false">SUMIF(Base!$D$2:$D$2878,B2442,Base!$I$2:$I$2878)</f>
        <v>59.92</v>
      </c>
      <c r="H2442" s="36" t="n">
        <f aca="false">IF($G$2849=0,0,G2442/$G$2849)</f>
        <v>3.93208380139256E-006</v>
      </c>
      <c r="I2442" s="37" t="n">
        <f aca="false">I2441+H2442</f>
        <v>0.999276454805434</v>
      </c>
      <c r="J2442" s="37" t="n">
        <f aca="false">A2442/2840</f>
        <v>0.857394366197183</v>
      </c>
      <c r="K2442" s="32" t="str">
        <f aca="false">IF(I2442&lt;=$E$4,"A",IF(I2442&lt;=$E$5,"B","C"))</f>
        <v>C</v>
      </c>
    </row>
    <row r="2443" customFormat="false" ht="15" hidden="false" customHeight="false" outlineLevel="0" collapsed="false">
      <c r="A2443" s="32" t="n">
        <v>2436</v>
      </c>
      <c r="B2443" s="33" t="n">
        <v>18844</v>
      </c>
      <c r="C2443" s="34" t="s">
        <v>4958</v>
      </c>
      <c r="D2443" s="34" t="s">
        <v>4959</v>
      </c>
      <c r="E2443" s="34" t="s">
        <v>247</v>
      </c>
      <c r="F2443" s="32" t="n">
        <f aca="false">COUNTIF(Base!$D$2:$D$2878,B2443)</f>
        <v>1</v>
      </c>
      <c r="G2443" s="35" t="n">
        <f aca="false">SUMIF(Base!$D$2:$D$2878,B2443,Base!$I$2:$I$2878)</f>
        <v>59.58</v>
      </c>
      <c r="H2443" s="36" t="n">
        <f aca="false">IF($G$2849=0,0,G2443/$G$2849)</f>
        <v>3.90977224444207E-006</v>
      </c>
      <c r="I2443" s="37" t="n">
        <f aca="false">I2442+H2443</f>
        <v>0.999280364577679</v>
      </c>
      <c r="J2443" s="37" t="n">
        <f aca="false">A2443/2840</f>
        <v>0.857746478873239</v>
      </c>
      <c r="K2443" s="32" t="str">
        <f aca="false">IF(I2443&lt;=$E$4,"A",IF(I2443&lt;=$E$5,"B","C"))</f>
        <v>C</v>
      </c>
    </row>
    <row r="2444" customFormat="false" ht="15" hidden="false" customHeight="false" outlineLevel="0" collapsed="false">
      <c r="A2444" s="32" t="n">
        <v>2437</v>
      </c>
      <c r="B2444" s="33" t="n">
        <v>33721</v>
      </c>
      <c r="C2444" s="34" t="s">
        <v>4960</v>
      </c>
      <c r="D2444" s="34" t="s">
        <v>4961</v>
      </c>
      <c r="E2444" s="34" t="s">
        <v>38</v>
      </c>
      <c r="F2444" s="32" t="n">
        <f aca="false">COUNTIF(Base!$D$2:$D$2878,B2444)</f>
        <v>1</v>
      </c>
      <c r="G2444" s="35" t="n">
        <f aca="false">SUMIF(Base!$D$2:$D$2878,B2444,Base!$I$2:$I$2878)</f>
        <v>59.4614</v>
      </c>
      <c r="H2444" s="36" t="n">
        <f aca="false">IF($G$2849=0,0,G2444/$G$2849)</f>
        <v>3.90198944839993E-006</v>
      </c>
      <c r="I2444" s="37" t="n">
        <f aca="false">I2443+H2444</f>
        <v>0.999284266567127</v>
      </c>
      <c r="J2444" s="37" t="n">
        <f aca="false">A2444/2840</f>
        <v>0.858098591549296</v>
      </c>
      <c r="K2444" s="32" t="str">
        <f aca="false">IF(I2444&lt;=$E$4,"A",IF(I2444&lt;=$E$5,"B","C"))</f>
        <v>C</v>
      </c>
    </row>
    <row r="2445" customFormat="false" ht="15" hidden="false" customHeight="false" outlineLevel="0" collapsed="false">
      <c r="A2445" s="32" t="n">
        <v>2438</v>
      </c>
      <c r="B2445" s="33" t="n">
        <v>1312590</v>
      </c>
      <c r="C2445" s="34" t="s">
        <v>4962</v>
      </c>
      <c r="D2445" s="34" t="s">
        <v>4963</v>
      </c>
      <c r="E2445" s="34" t="s">
        <v>189</v>
      </c>
      <c r="F2445" s="32" t="n">
        <f aca="false">COUNTIF(Base!$D$2:$D$2878,B2445)</f>
        <v>1</v>
      </c>
      <c r="G2445" s="35" t="n">
        <f aca="false">SUMIF(Base!$D$2:$D$2878,B2445,Base!$I$2:$I$2878)</f>
        <v>59.24</v>
      </c>
      <c r="H2445" s="36" t="n">
        <f aca="false">IF($G$2849=0,0,G2445/$G$2849)</f>
        <v>3.88746068749158E-006</v>
      </c>
      <c r="I2445" s="37" t="n">
        <f aca="false">I2444+H2445</f>
        <v>0.999288154027815</v>
      </c>
      <c r="J2445" s="37" t="n">
        <f aca="false">A2445/2840</f>
        <v>0.858450704225352</v>
      </c>
      <c r="K2445" s="32" t="str">
        <f aca="false">IF(I2445&lt;=$E$4,"A",IF(I2445&lt;=$E$5,"B","C"))</f>
        <v>C</v>
      </c>
    </row>
    <row r="2446" customFormat="false" ht="15" hidden="false" customHeight="false" outlineLevel="0" collapsed="false">
      <c r="A2446" s="32" t="n">
        <v>2439</v>
      </c>
      <c r="B2446" s="33" t="n">
        <v>31948</v>
      </c>
      <c r="C2446" s="34" t="s">
        <v>4964</v>
      </c>
      <c r="D2446" s="34" t="s">
        <v>4965</v>
      </c>
      <c r="E2446" s="34" t="s">
        <v>1618</v>
      </c>
      <c r="F2446" s="32" t="n">
        <f aca="false">COUNTIF(Base!$D$2:$D$2878,B2446)</f>
        <v>1</v>
      </c>
      <c r="G2446" s="35" t="n">
        <f aca="false">SUMIF(Base!$D$2:$D$2878,B2446,Base!$I$2:$I$2878)</f>
        <v>58.6</v>
      </c>
      <c r="H2446" s="36" t="n">
        <f aca="false">IF($G$2849=0,0,G2446/$G$2849)</f>
        <v>3.84546246264359E-006</v>
      </c>
      <c r="I2446" s="37" t="n">
        <f aca="false">I2445+H2446</f>
        <v>0.999291999490277</v>
      </c>
      <c r="J2446" s="37" t="n">
        <f aca="false">A2446/2840</f>
        <v>0.858802816901409</v>
      </c>
      <c r="K2446" s="32" t="str">
        <f aca="false">IF(I2446&lt;=$E$4,"A",IF(I2446&lt;=$E$5,"B","C"))</f>
        <v>C</v>
      </c>
    </row>
    <row r="2447" customFormat="false" ht="15" hidden="false" customHeight="false" outlineLevel="0" collapsed="false">
      <c r="A2447" s="32" t="n">
        <v>2440</v>
      </c>
      <c r="B2447" s="33" t="n">
        <v>24086</v>
      </c>
      <c r="C2447" s="34" t="s">
        <v>4966</v>
      </c>
      <c r="D2447" s="34" t="s">
        <v>4967</v>
      </c>
      <c r="E2447" s="34" t="s">
        <v>100</v>
      </c>
      <c r="F2447" s="32" t="n">
        <f aca="false">COUNTIF(Base!$D$2:$D$2878,B2447)</f>
        <v>1</v>
      </c>
      <c r="G2447" s="35" t="n">
        <f aca="false">SUMIF(Base!$D$2:$D$2878,B2447,Base!$I$2:$I$2878)</f>
        <v>58</v>
      </c>
      <c r="H2447" s="36" t="n">
        <f aca="false">IF($G$2849=0,0,G2447/$G$2849)</f>
        <v>3.80608912684861E-006</v>
      </c>
      <c r="I2447" s="37" t="n">
        <f aca="false">I2446+H2447</f>
        <v>0.999295805579404</v>
      </c>
      <c r="J2447" s="37" t="n">
        <f aca="false">A2447/2840</f>
        <v>0.859154929577465</v>
      </c>
      <c r="K2447" s="32" t="str">
        <f aca="false">IF(I2447&lt;=$E$4,"A",IF(I2447&lt;=$E$5,"B","C"))</f>
        <v>C</v>
      </c>
    </row>
    <row r="2448" customFormat="false" ht="15" hidden="false" customHeight="false" outlineLevel="0" collapsed="false">
      <c r="A2448" s="32" t="n">
        <v>2441</v>
      </c>
      <c r="B2448" s="33" t="n">
        <v>227904</v>
      </c>
      <c r="C2448" s="34" t="s">
        <v>4968</v>
      </c>
      <c r="D2448" s="34" t="s">
        <v>4969</v>
      </c>
      <c r="E2448" s="34" t="s">
        <v>100</v>
      </c>
      <c r="F2448" s="32" t="n">
        <f aca="false">COUNTIF(Base!$D$2:$D$2878,B2448)</f>
        <v>1</v>
      </c>
      <c r="G2448" s="35" t="n">
        <f aca="false">SUMIF(Base!$D$2:$D$2878,B2448,Base!$I$2:$I$2878)</f>
        <v>58</v>
      </c>
      <c r="H2448" s="36" t="n">
        <f aca="false">IF($G$2849=0,0,G2448/$G$2849)</f>
        <v>3.80608912684861E-006</v>
      </c>
      <c r="I2448" s="37" t="n">
        <f aca="false">I2447+H2448</f>
        <v>0.999299611668531</v>
      </c>
      <c r="J2448" s="37" t="n">
        <f aca="false">A2448/2840</f>
        <v>0.859507042253521</v>
      </c>
      <c r="K2448" s="32" t="str">
        <f aca="false">IF(I2448&lt;=$E$4,"A",IF(I2448&lt;=$E$5,"B","C"))</f>
        <v>C</v>
      </c>
    </row>
    <row r="2449" customFormat="false" ht="15" hidden="false" customHeight="false" outlineLevel="0" collapsed="false">
      <c r="A2449" s="32" t="n">
        <v>2442</v>
      </c>
      <c r="B2449" s="33" t="n">
        <v>283611</v>
      </c>
      <c r="C2449" s="34" t="s">
        <v>4970</v>
      </c>
      <c r="D2449" s="34" t="s">
        <v>4971</v>
      </c>
      <c r="E2449" s="34" t="s">
        <v>54</v>
      </c>
      <c r="F2449" s="32" t="n">
        <f aca="false">COUNTIF(Base!$D$2:$D$2878,B2449)</f>
        <v>1</v>
      </c>
      <c r="G2449" s="35" t="n">
        <f aca="false">SUMIF(Base!$D$2:$D$2878,B2449,Base!$I$2:$I$2878)</f>
        <v>58</v>
      </c>
      <c r="H2449" s="36" t="n">
        <f aca="false">IF($G$2849=0,0,G2449/$G$2849)</f>
        <v>3.80608912684861E-006</v>
      </c>
      <c r="I2449" s="37" t="n">
        <f aca="false">I2448+H2449</f>
        <v>0.999303417757658</v>
      </c>
      <c r="J2449" s="37" t="n">
        <f aca="false">A2449/2840</f>
        <v>0.859859154929577</v>
      </c>
      <c r="K2449" s="32" t="str">
        <f aca="false">IF(I2449&lt;=$E$4,"A",IF(I2449&lt;=$E$5,"B","C"))</f>
        <v>C</v>
      </c>
    </row>
    <row r="2450" customFormat="false" ht="15" hidden="false" customHeight="false" outlineLevel="0" collapsed="false">
      <c r="A2450" s="32" t="n">
        <v>2443</v>
      </c>
      <c r="B2450" s="33" t="n">
        <v>946722</v>
      </c>
      <c r="C2450" s="34" t="s">
        <v>4972</v>
      </c>
      <c r="D2450" s="34" t="s">
        <v>4973</v>
      </c>
      <c r="E2450" s="34" t="s">
        <v>835</v>
      </c>
      <c r="F2450" s="32" t="n">
        <f aca="false">COUNTIF(Base!$D$2:$D$2878,B2450)</f>
        <v>1</v>
      </c>
      <c r="G2450" s="35" t="n">
        <f aca="false">SUMIF(Base!$D$2:$D$2878,B2450,Base!$I$2:$I$2878)</f>
        <v>58</v>
      </c>
      <c r="H2450" s="36" t="n">
        <f aca="false">IF($G$2849=0,0,G2450/$G$2849)</f>
        <v>3.80608912684861E-006</v>
      </c>
      <c r="I2450" s="37" t="n">
        <f aca="false">I2449+H2450</f>
        <v>0.999307223846785</v>
      </c>
      <c r="J2450" s="37" t="n">
        <f aca="false">A2450/2840</f>
        <v>0.860211267605634</v>
      </c>
      <c r="K2450" s="32" t="str">
        <f aca="false">IF(I2450&lt;=$E$4,"A",IF(I2450&lt;=$E$5,"B","C"))</f>
        <v>C</v>
      </c>
    </row>
    <row r="2451" customFormat="false" ht="15" hidden="false" customHeight="false" outlineLevel="0" collapsed="false">
      <c r="A2451" s="32" t="n">
        <v>2444</v>
      </c>
      <c r="B2451" s="33" t="n">
        <v>955972</v>
      </c>
      <c r="C2451" s="34" t="s">
        <v>4974</v>
      </c>
      <c r="D2451" s="34" t="s">
        <v>4975</v>
      </c>
      <c r="E2451" s="34" t="s">
        <v>1095</v>
      </c>
      <c r="F2451" s="32" t="n">
        <f aca="false">COUNTIF(Base!$D$2:$D$2878,B2451)</f>
        <v>1</v>
      </c>
      <c r="G2451" s="35" t="n">
        <f aca="false">SUMIF(Base!$D$2:$D$2878,B2451,Base!$I$2:$I$2878)</f>
        <v>58</v>
      </c>
      <c r="H2451" s="36" t="n">
        <f aca="false">IF($G$2849=0,0,G2451/$G$2849)</f>
        <v>3.80608912684861E-006</v>
      </c>
      <c r="I2451" s="37" t="n">
        <f aca="false">I2450+H2451</f>
        <v>0.999311029935912</v>
      </c>
      <c r="J2451" s="37" t="n">
        <f aca="false">A2451/2840</f>
        <v>0.86056338028169</v>
      </c>
      <c r="K2451" s="32" t="str">
        <f aca="false">IF(I2451&lt;=$E$4,"A",IF(I2451&lt;=$E$5,"B","C"))</f>
        <v>C</v>
      </c>
    </row>
    <row r="2452" customFormat="false" ht="15" hidden="false" customHeight="false" outlineLevel="0" collapsed="false">
      <c r="A2452" s="32" t="n">
        <v>2445</v>
      </c>
      <c r="B2452" s="33" t="n">
        <v>862386</v>
      </c>
      <c r="C2452" s="34" t="s">
        <v>4976</v>
      </c>
      <c r="D2452" s="34" t="s">
        <v>4977</v>
      </c>
      <c r="E2452" s="34" t="s">
        <v>38</v>
      </c>
      <c r="F2452" s="32" t="n">
        <f aca="false">COUNTIF(Base!$D$2:$D$2878,B2452)</f>
        <v>1</v>
      </c>
      <c r="G2452" s="35" t="n">
        <f aca="false">SUMIF(Base!$D$2:$D$2878,B2452,Base!$I$2:$I$2878)</f>
        <v>57.6</v>
      </c>
      <c r="H2452" s="36" t="n">
        <f aca="false">IF($G$2849=0,0,G2452/$G$2849)</f>
        <v>3.77984023631862E-006</v>
      </c>
      <c r="I2452" s="37" t="n">
        <f aca="false">I2451+H2452</f>
        <v>0.999314809776148</v>
      </c>
      <c r="J2452" s="37" t="n">
        <f aca="false">A2452/2840</f>
        <v>0.860915492957747</v>
      </c>
      <c r="K2452" s="32" t="str">
        <f aca="false">IF(I2452&lt;=$E$4,"A",IF(I2452&lt;=$E$5,"B","C"))</f>
        <v>C</v>
      </c>
    </row>
    <row r="2453" customFormat="false" ht="15" hidden="false" customHeight="false" outlineLevel="0" collapsed="false">
      <c r="A2453" s="32" t="n">
        <v>2446</v>
      </c>
      <c r="B2453" s="33" t="n">
        <v>54660</v>
      </c>
      <c r="C2453" s="34" t="s">
        <v>4978</v>
      </c>
      <c r="D2453" s="34" t="s">
        <v>4979</v>
      </c>
      <c r="E2453" s="34" t="s">
        <v>38</v>
      </c>
      <c r="F2453" s="32" t="n">
        <f aca="false">COUNTIF(Base!$D$2:$D$2878,B2453)</f>
        <v>1</v>
      </c>
      <c r="G2453" s="35" t="n">
        <f aca="false">SUMIF(Base!$D$2:$D$2878,B2453,Base!$I$2:$I$2878)</f>
        <v>57.5</v>
      </c>
      <c r="H2453" s="36" t="n">
        <f aca="false">IF($G$2849=0,0,G2453/$G$2849)</f>
        <v>3.77327801368612E-006</v>
      </c>
      <c r="I2453" s="37" t="n">
        <f aca="false">I2452+H2453</f>
        <v>0.999318583054162</v>
      </c>
      <c r="J2453" s="37" t="n">
        <f aca="false">A2453/2840</f>
        <v>0.861267605633803</v>
      </c>
      <c r="K2453" s="32" t="str">
        <f aca="false">IF(I2453&lt;=$E$4,"A",IF(I2453&lt;=$E$5,"B","C"))</f>
        <v>C</v>
      </c>
    </row>
    <row r="2454" customFormat="false" ht="15" hidden="false" customHeight="false" outlineLevel="0" collapsed="false">
      <c r="A2454" s="32" t="n">
        <v>2447</v>
      </c>
      <c r="B2454" s="33" t="n">
        <v>740315</v>
      </c>
      <c r="C2454" s="34" t="s">
        <v>4980</v>
      </c>
      <c r="D2454" s="34" t="s">
        <v>4981</v>
      </c>
      <c r="E2454" s="34" t="s">
        <v>722</v>
      </c>
      <c r="F2454" s="32" t="n">
        <f aca="false">COUNTIF(Base!$D$2:$D$2878,B2454)</f>
        <v>1</v>
      </c>
      <c r="G2454" s="35" t="n">
        <f aca="false">SUMIF(Base!$D$2:$D$2878,B2454,Base!$I$2:$I$2878)</f>
        <v>57.5</v>
      </c>
      <c r="H2454" s="36" t="n">
        <f aca="false">IF($G$2849=0,0,G2454/$G$2849)</f>
        <v>3.77327801368612E-006</v>
      </c>
      <c r="I2454" s="37" t="n">
        <f aca="false">I2453+H2454</f>
        <v>0.999322356332175</v>
      </c>
      <c r="J2454" s="37" t="n">
        <f aca="false">A2454/2840</f>
        <v>0.861619718309859</v>
      </c>
      <c r="K2454" s="32" t="str">
        <f aca="false">IF(I2454&lt;=$E$4,"A",IF(I2454&lt;=$E$5,"B","C"))</f>
        <v>C</v>
      </c>
    </row>
    <row r="2455" customFormat="false" ht="15" hidden="false" customHeight="false" outlineLevel="0" collapsed="false">
      <c r="A2455" s="32" t="n">
        <v>2448</v>
      </c>
      <c r="B2455" s="33" t="n">
        <v>18413</v>
      </c>
      <c r="C2455" s="34" t="s">
        <v>4982</v>
      </c>
      <c r="D2455" s="34" t="s">
        <v>4983</v>
      </c>
      <c r="E2455" s="34" t="s">
        <v>1618</v>
      </c>
      <c r="F2455" s="32" t="n">
        <f aca="false">COUNTIF(Base!$D$2:$D$2878,B2455)</f>
        <v>1</v>
      </c>
      <c r="G2455" s="35" t="n">
        <f aca="false">SUMIF(Base!$D$2:$D$2878,B2455,Base!$I$2:$I$2878)</f>
        <v>57.48</v>
      </c>
      <c r="H2455" s="36" t="n">
        <f aca="false">IF($G$2849=0,0,G2455/$G$2849)</f>
        <v>3.77196556915962E-006</v>
      </c>
      <c r="I2455" s="37" t="n">
        <f aca="false">I2454+H2455</f>
        <v>0.999326128297745</v>
      </c>
      <c r="J2455" s="37" t="n">
        <f aca="false">A2455/2840</f>
        <v>0.861971830985916</v>
      </c>
      <c r="K2455" s="32" t="str">
        <f aca="false">IF(I2455&lt;=$E$4,"A",IF(I2455&lt;=$E$5,"B","C"))</f>
        <v>C</v>
      </c>
    </row>
    <row r="2456" customFormat="false" ht="15" hidden="false" customHeight="false" outlineLevel="0" collapsed="false">
      <c r="A2456" s="32" t="n">
        <v>2449</v>
      </c>
      <c r="B2456" s="33" t="n">
        <v>60597</v>
      </c>
      <c r="C2456" s="34" t="s">
        <v>4984</v>
      </c>
      <c r="D2456" s="34" t="s">
        <v>4985</v>
      </c>
      <c r="E2456" s="34" t="s">
        <v>130</v>
      </c>
      <c r="F2456" s="32" t="n">
        <f aca="false">COUNTIF(Base!$D$2:$D$2878,B2456)</f>
        <v>1</v>
      </c>
      <c r="G2456" s="35" t="n">
        <f aca="false">SUMIF(Base!$D$2:$D$2878,B2456,Base!$I$2:$I$2878)</f>
        <v>57.29</v>
      </c>
      <c r="H2456" s="36" t="n">
        <f aca="false">IF($G$2849=0,0,G2456/$G$2849)</f>
        <v>3.75949734615788E-006</v>
      </c>
      <c r="I2456" s="37" t="n">
        <f aca="false">I2455+H2456</f>
        <v>0.999329887795091</v>
      </c>
      <c r="J2456" s="37" t="n">
        <f aca="false">A2456/2840</f>
        <v>0.862323943661972</v>
      </c>
      <c r="K2456" s="32" t="str">
        <f aca="false">IF(I2456&lt;=$E$4,"A",IF(I2456&lt;=$E$5,"B","C"))</f>
        <v>C</v>
      </c>
    </row>
    <row r="2457" customFormat="false" ht="15" hidden="false" customHeight="false" outlineLevel="0" collapsed="false">
      <c r="A2457" s="32" t="n">
        <v>2450</v>
      </c>
      <c r="B2457" s="33" t="n">
        <v>14782</v>
      </c>
      <c r="C2457" s="34" t="s">
        <v>4986</v>
      </c>
      <c r="D2457" s="34" t="s">
        <v>4987</v>
      </c>
      <c r="E2457" s="34" t="s">
        <v>54</v>
      </c>
      <c r="F2457" s="32" t="n">
        <f aca="false">COUNTIF(Base!$D$2:$D$2878,B2457)</f>
        <v>1</v>
      </c>
      <c r="G2457" s="35" t="n">
        <f aca="false">SUMIF(Base!$D$2:$D$2878,B2457,Base!$I$2:$I$2878)</f>
        <v>56.7</v>
      </c>
      <c r="H2457" s="36" t="n">
        <f aca="false">IF($G$2849=0,0,G2457/$G$2849)</f>
        <v>3.72078023262614E-006</v>
      </c>
      <c r="I2457" s="37" t="n">
        <f aca="false">I2456+H2457</f>
        <v>0.999333608575323</v>
      </c>
      <c r="J2457" s="37" t="n">
        <f aca="false">A2457/2840</f>
        <v>0.862676056338028</v>
      </c>
      <c r="K2457" s="32" t="str">
        <f aca="false">IF(I2457&lt;=$E$4,"A",IF(I2457&lt;=$E$5,"B","C"))</f>
        <v>C</v>
      </c>
    </row>
    <row r="2458" customFormat="false" ht="15" hidden="false" customHeight="false" outlineLevel="0" collapsed="false">
      <c r="A2458" s="32" t="n">
        <v>2451</v>
      </c>
      <c r="B2458" s="33" t="n">
        <v>870439</v>
      </c>
      <c r="C2458" s="34" t="s">
        <v>4988</v>
      </c>
      <c r="D2458" s="34" t="s">
        <v>4989</v>
      </c>
      <c r="E2458" s="34" t="s">
        <v>1095</v>
      </c>
      <c r="F2458" s="32" t="n">
        <f aca="false">COUNTIF(Base!$D$2:$D$2878,B2458)</f>
        <v>1</v>
      </c>
      <c r="G2458" s="35" t="n">
        <f aca="false">SUMIF(Base!$D$2:$D$2878,B2458,Base!$I$2:$I$2878)</f>
        <v>56.61</v>
      </c>
      <c r="H2458" s="36" t="n">
        <f aca="false">IF($G$2849=0,0,G2458/$G$2849)</f>
        <v>3.71487423225689E-006</v>
      </c>
      <c r="I2458" s="37" t="n">
        <f aca="false">I2457+H2458</f>
        <v>0.999337323449556</v>
      </c>
      <c r="J2458" s="37" t="n">
        <f aca="false">A2458/2840</f>
        <v>0.863028169014085</v>
      </c>
      <c r="K2458" s="32" t="str">
        <f aca="false">IF(I2458&lt;=$E$4,"A",IF(I2458&lt;=$E$5,"B","C"))</f>
        <v>C</v>
      </c>
    </row>
    <row r="2459" customFormat="false" ht="15" hidden="false" customHeight="false" outlineLevel="0" collapsed="false">
      <c r="A2459" s="32" t="n">
        <v>2452</v>
      </c>
      <c r="B2459" s="33" t="n">
        <v>966467</v>
      </c>
      <c r="C2459" s="34" t="s">
        <v>4990</v>
      </c>
      <c r="D2459" s="34" t="s">
        <v>4991</v>
      </c>
      <c r="E2459" s="34" t="s">
        <v>54</v>
      </c>
      <c r="F2459" s="32" t="n">
        <f aca="false">COUNTIF(Base!$D$2:$D$2878,B2459)</f>
        <v>1</v>
      </c>
      <c r="G2459" s="35" t="n">
        <f aca="false">SUMIF(Base!$D$2:$D$2878,B2459,Base!$I$2:$I$2878)</f>
        <v>56.48</v>
      </c>
      <c r="H2459" s="36" t="n">
        <f aca="false">IF($G$2849=0,0,G2459/$G$2849)</f>
        <v>3.70634334283465E-006</v>
      </c>
      <c r="I2459" s="37" t="n">
        <f aca="false">I2458+H2459</f>
        <v>0.999341029792898</v>
      </c>
      <c r="J2459" s="37" t="n">
        <f aca="false">A2459/2840</f>
        <v>0.863380281690141</v>
      </c>
      <c r="K2459" s="32" t="str">
        <f aca="false">IF(I2459&lt;=$E$4,"A",IF(I2459&lt;=$E$5,"B","C"))</f>
        <v>C</v>
      </c>
    </row>
    <row r="2460" customFormat="false" ht="15" hidden="false" customHeight="false" outlineLevel="0" collapsed="false">
      <c r="A2460" s="32" t="n">
        <v>2453</v>
      </c>
      <c r="B2460" s="33" t="n">
        <v>12590</v>
      </c>
      <c r="C2460" s="34" t="s">
        <v>4992</v>
      </c>
      <c r="D2460" s="34" t="s">
        <v>4993</v>
      </c>
      <c r="E2460" s="34" t="s">
        <v>38</v>
      </c>
      <c r="F2460" s="32" t="n">
        <f aca="false">COUNTIF(Base!$D$2:$D$2878,B2460)</f>
        <v>1</v>
      </c>
      <c r="G2460" s="35" t="n">
        <f aca="false">SUMIF(Base!$D$2:$D$2878,B2460,Base!$I$2:$I$2878)</f>
        <v>56</v>
      </c>
      <c r="H2460" s="36" t="n">
        <f aca="false">IF($G$2849=0,0,G2460/$G$2849)</f>
        <v>3.67484467419866E-006</v>
      </c>
      <c r="I2460" s="37" t="n">
        <f aca="false">I2459+H2460</f>
        <v>0.999344704637573</v>
      </c>
      <c r="J2460" s="37" t="n">
        <f aca="false">A2460/2840</f>
        <v>0.863732394366197</v>
      </c>
      <c r="K2460" s="32" t="str">
        <f aca="false">IF(I2460&lt;=$E$4,"A",IF(I2460&lt;=$E$5,"B","C"))</f>
        <v>C</v>
      </c>
    </row>
    <row r="2461" customFormat="false" ht="15" hidden="false" customHeight="false" outlineLevel="0" collapsed="false">
      <c r="A2461" s="32" t="n">
        <v>2454</v>
      </c>
      <c r="B2461" s="33" t="n">
        <v>856748</v>
      </c>
      <c r="C2461" s="34" t="s">
        <v>4994</v>
      </c>
      <c r="D2461" s="34" t="s">
        <v>4995</v>
      </c>
      <c r="E2461" s="34" t="s">
        <v>130</v>
      </c>
      <c r="F2461" s="32" t="n">
        <f aca="false">COUNTIF(Base!$D$2:$D$2878,B2461)</f>
        <v>1</v>
      </c>
      <c r="G2461" s="35" t="n">
        <f aca="false">SUMIF(Base!$D$2:$D$2878,B2461,Base!$I$2:$I$2878)</f>
        <v>56</v>
      </c>
      <c r="H2461" s="36" t="n">
        <f aca="false">IF($G$2849=0,0,G2461/$G$2849)</f>
        <v>3.67484467419866E-006</v>
      </c>
      <c r="I2461" s="37" t="n">
        <f aca="false">I2460+H2461</f>
        <v>0.999348379482247</v>
      </c>
      <c r="J2461" s="37" t="n">
        <f aca="false">A2461/2840</f>
        <v>0.864084507042254</v>
      </c>
      <c r="K2461" s="32" t="str">
        <f aca="false">IF(I2461&lt;=$E$4,"A",IF(I2461&lt;=$E$5,"B","C"))</f>
        <v>C</v>
      </c>
    </row>
    <row r="2462" customFormat="false" ht="15" hidden="false" customHeight="false" outlineLevel="0" collapsed="false">
      <c r="A2462" s="32" t="n">
        <v>2455</v>
      </c>
      <c r="B2462" s="33" t="n">
        <v>959012</v>
      </c>
      <c r="C2462" s="34" t="s">
        <v>4996</v>
      </c>
      <c r="D2462" s="34" t="s">
        <v>4997</v>
      </c>
      <c r="E2462" s="34" t="s">
        <v>54</v>
      </c>
      <c r="F2462" s="32" t="n">
        <f aca="false">COUNTIF(Base!$D$2:$D$2878,B2462)</f>
        <v>1</v>
      </c>
      <c r="G2462" s="35" t="n">
        <f aca="false">SUMIF(Base!$D$2:$D$2878,B2462,Base!$I$2:$I$2878)</f>
        <v>56</v>
      </c>
      <c r="H2462" s="36" t="n">
        <f aca="false">IF($G$2849=0,0,G2462/$G$2849)</f>
        <v>3.67484467419866E-006</v>
      </c>
      <c r="I2462" s="37" t="n">
        <f aca="false">I2461+H2462</f>
        <v>0.999352054326921</v>
      </c>
      <c r="J2462" s="37" t="n">
        <f aca="false">A2462/2840</f>
        <v>0.86443661971831</v>
      </c>
      <c r="K2462" s="32" t="str">
        <f aca="false">IF(I2462&lt;=$E$4,"A",IF(I2462&lt;=$E$5,"B","C"))</f>
        <v>C</v>
      </c>
    </row>
    <row r="2463" customFormat="false" ht="15" hidden="false" customHeight="false" outlineLevel="0" collapsed="false">
      <c r="A2463" s="32" t="n">
        <v>2456</v>
      </c>
      <c r="B2463" s="33" t="n">
        <v>284049</v>
      </c>
      <c r="C2463" s="34" t="s">
        <v>4998</v>
      </c>
      <c r="D2463" s="34" t="s">
        <v>4999</v>
      </c>
      <c r="E2463" s="34" t="s">
        <v>705</v>
      </c>
      <c r="F2463" s="32" t="n">
        <f aca="false">COUNTIF(Base!$D$2:$D$2878,B2463)</f>
        <v>1</v>
      </c>
      <c r="G2463" s="35" t="n">
        <f aca="false">SUMIF(Base!$D$2:$D$2878,B2463,Base!$I$2:$I$2878)</f>
        <v>55.76</v>
      </c>
      <c r="H2463" s="36" t="n">
        <f aca="false">IF($G$2849=0,0,G2463/$G$2849)</f>
        <v>3.65909533988066E-006</v>
      </c>
      <c r="I2463" s="37" t="n">
        <f aca="false">I2462+H2463</f>
        <v>0.999355713422261</v>
      </c>
      <c r="J2463" s="37" t="n">
        <f aca="false">A2463/2840</f>
        <v>0.864788732394366</v>
      </c>
      <c r="K2463" s="32" t="str">
        <f aca="false">IF(I2463&lt;=$E$4,"A",IF(I2463&lt;=$E$5,"B","C"))</f>
        <v>C</v>
      </c>
    </row>
    <row r="2464" customFormat="false" ht="15" hidden="false" customHeight="false" outlineLevel="0" collapsed="false">
      <c r="A2464" s="32" t="n">
        <v>2457</v>
      </c>
      <c r="B2464" s="33" t="n">
        <v>932272</v>
      </c>
      <c r="C2464" s="34" t="s">
        <v>5000</v>
      </c>
      <c r="D2464" s="34" t="s">
        <v>5001</v>
      </c>
      <c r="E2464" s="34" t="s">
        <v>54</v>
      </c>
      <c r="F2464" s="32" t="n">
        <f aca="false">COUNTIF(Base!$D$2:$D$2878,B2464)</f>
        <v>1</v>
      </c>
      <c r="G2464" s="35" t="n">
        <f aca="false">SUMIF(Base!$D$2:$D$2878,B2464,Base!$I$2:$I$2878)</f>
        <v>55.72</v>
      </c>
      <c r="H2464" s="36" t="n">
        <f aca="false">IF($G$2849=0,0,G2464/$G$2849)</f>
        <v>3.65647045082766E-006</v>
      </c>
      <c r="I2464" s="37" t="n">
        <f aca="false">I2463+H2464</f>
        <v>0.999359369892712</v>
      </c>
      <c r="J2464" s="37" t="n">
        <f aca="false">A2464/2840</f>
        <v>0.865140845070423</v>
      </c>
      <c r="K2464" s="32" t="str">
        <f aca="false">IF(I2464&lt;=$E$4,"A",IF(I2464&lt;=$E$5,"B","C"))</f>
        <v>C</v>
      </c>
    </row>
    <row r="2465" customFormat="false" ht="15" hidden="false" customHeight="false" outlineLevel="0" collapsed="false">
      <c r="A2465" s="32" t="n">
        <v>2458</v>
      </c>
      <c r="B2465" s="33" t="n">
        <v>1011343</v>
      </c>
      <c r="C2465" s="34" t="s">
        <v>5002</v>
      </c>
      <c r="D2465" s="34" t="s">
        <v>5003</v>
      </c>
      <c r="E2465" s="34" t="s">
        <v>54</v>
      </c>
      <c r="F2465" s="32" t="n">
        <f aca="false">COUNTIF(Base!$D$2:$D$2878,B2465)</f>
        <v>1</v>
      </c>
      <c r="G2465" s="35" t="n">
        <f aca="false">SUMIF(Base!$D$2:$D$2878,B2465,Base!$I$2:$I$2878)</f>
        <v>55.68</v>
      </c>
      <c r="H2465" s="36" t="n">
        <f aca="false">IF($G$2849=0,0,G2465/$G$2849)</f>
        <v>3.65384556177466E-006</v>
      </c>
      <c r="I2465" s="37" t="n">
        <f aca="false">I2464+H2465</f>
        <v>0.999363023738274</v>
      </c>
      <c r="J2465" s="37" t="n">
        <f aca="false">A2465/2840</f>
        <v>0.865492957746479</v>
      </c>
      <c r="K2465" s="32" t="str">
        <f aca="false">IF(I2465&lt;=$E$4,"A",IF(I2465&lt;=$E$5,"B","C"))</f>
        <v>C</v>
      </c>
    </row>
    <row r="2466" customFormat="false" ht="15" hidden="false" customHeight="false" outlineLevel="0" collapsed="false">
      <c r="A2466" s="32" t="n">
        <v>2459</v>
      </c>
      <c r="B2466" s="33" t="n">
        <v>33779</v>
      </c>
      <c r="C2466" s="34" t="s">
        <v>5004</v>
      </c>
      <c r="D2466" s="34" t="s">
        <v>5005</v>
      </c>
      <c r="E2466" s="34" t="s">
        <v>1618</v>
      </c>
      <c r="F2466" s="32" t="n">
        <f aca="false">COUNTIF(Base!$D$2:$D$2878,B2466)</f>
        <v>1</v>
      </c>
      <c r="G2466" s="35" t="n">
        <f aca="false">SUMIF(Base!$D$2:$D$2878,B2466,Base!$I$2:$I$2878)</f>
        <v>55.35</v>
      </c>
      <c r="H2466" s="36" t="n">
        <f aca="false">IF($G$2849=0,0,G2466/$G$2849)</f>
        <v>3.63219022708742E-006</v>
      </c>
      <c r="I2466" s="37" t="n">
        <f aca="false">I2465+H2466</f>
        <v>0.999366655928501</v>
      </c>
      <c r="J2466" s="37" t="n">
        <f aca="false">A2466/2840</f>
        <v>0.865845070422535</v>
      </c>
      <c r="K2466" s="32" t="str">
        <f aca="false">IF(I2466&lt;=$E$4,"A",IF(I2466&lt;=$E$5,"B","C"))</f>
        <v>C</v>
      </c>
    </row>
    <row r="2467" customFormat="false" ht="15" hidden="false" customHeight="false" outlineLevel="0" collapsed="false">
      <c r="A2467" s="32" t="n">
        <v>2460</v>
      </c>
      <c r="B2467" s="33" t="n">
        <v>294837</v>
      </c>
      <c r="C2467" s="34" t="s">
        <v>5006</v>
      </c>
      <c r="D2467" s="34" t="s">
        <v>5007</v>
      </c>
      <c r="E2467" s="34" t="s">
        <v>133</v>
      </c>
      <c r="F2467" s="32" t="n">
        <f aca="false">COUNTIF(Base!$D$2:$D$2878,B2467)</f>
        <v>1</v>
      </c>
      <c r="G2467" s="35" t="n">
        <f aca="false">SUMIF(Base!$D$2:$D$2878,B2467,Base!$I$2:$I$2878)</f>
        <v>55</v>
      </c>
      <c r="H2467" s="36" t="n">
        <f aca="false">IF($G$2849=0,0,G2467/$G$2849)</f>
        <v>3.60922244787368E-006</v>
      </c>
      <c r="I2467" s="37" t="n">
        <f aca="false">I2466+H2467</f>
        <v>0.999370265150948</v>
      </c>
      <c r="J2467" s="37" t="n">
        <f aca="false">A2467/2840</f>
        <v>0.866197183098592</v>
      </c>
      <c r="K2467" s="32" t="str">
        <f aca="false">IF(I2467&lt;=$E$4,"A",IF(I2467&lt;=$E$5,"B","C"))</f>
        <v>C</v>
      </c>
    </row>
    <row r="2468" customFormat="false" ht="15" hidden="false" customHeight="false" outlineLevel="0" collapsed="false">
      <c r="A2468" s="32" t="n">
        <v>2461</v>
      </c>
      <c r="B2468" s="33" t="n">
        <v>1615082</v>
      </c>
      <c r="C2468" s="34" t="s">
        <v>5008</v>
      </c>
      <c r="D2468" s="34" t="s">
        <v>5009</v>
      </c>
      <c r="E2468" s="34" t="s">
        <v>38</v>
      </c>
      <c r="F2468" s="32" t="n">
        <f aca="false">COUNTIF(Base!$D$2:$D$2878,B2468)</f>
        <v>1</v>
      </c>
      <c r="G2468" s="35" t="n">
        <f aca="false">SUMIF(Base!$D$2:$D$2878,B2468,Base!$I$2:$I$2878)</f>
        <v>54.44</v>
      </c>
      <c r="H2468" s="36" t="n">
        <f aca="false">IF($G$2849=0,0,G2468/$G$2849)</f>
        <v>3.57247400113169E-006</v>
      </c>
      <c r="I2468" s="37" t="n">
        <f aca="false">I2467+H2468</f>
        <v>0.99937383762495</v>
      </c>
      <c r="J2468" s="37" t="n">
        <f aca="false">A2468/2840</f>
        <v>0.866549295774648</v>
      </c>
      <c r="K2468" s="32" t="str">
        <f aca="false">IF(I2468&lt;=$E$4,"A",IF(I2468&lt;=$E$5,"B","C"))</f>
        <v>C</v>
      </c>
    </row>
    <row r="2469" customFormat="false" ht="15" hidden="false" customHeight="false" outlineLevel="0" collapsed="false">
      <c r="A2469" s="32" t="n">
        <v>2462</v>
      </c>
      <c r="B2469" s="33" t="n">
        <v>938995</v>
      </c>
      <c r="C2469" s="34" t="s">
        <v>5010</v>
      </c>
      <c r="D2469" s="34" t="s">
        <v>5011</v>
      </c>
      <c r="E2469" s="34" t="s">
        <v>100</v>
      </c>
      <c r="F2469" s="32" t="n">
        <f aca="false">COUNTIF(Base!$D$2:$D$2878,B2469)</f>
        <v>1</v>
      </c>
      <c r="G2469" s="35" t="n">
        <f aca="false">SUMIF(Base!$D$2:$D$2878,B2469,Base!$I$2:$I$2878)</f>
        <v>54.32</v>
      </c>
      <c r="H2469" s="36" t="n">
        <f aca="false">IF($G$2849=0,0,G2469/$G$2849)</f>
        <v>3.5645993339727E-006</v>
      </c>
      <c r="I2469" s="37" t="n">
        <f aca="false">I2468+H2469</f>
        <v>0.999377402224284</v>
      </c>
      <c r="J2469" s="37" t="n">
        <f aca="false">A2469/2840</f>
        <v>0.866901408450704</v>
      </c>
      <c r="K2469" s="32" t="str">
        <f aca="false">IF(I2469&lt;=$E$4,"A",IF(I2469&lt;=$E$5,"B","C"))</f>
        <v>C</v>
      </c>
    </row>
    <row r="2470" customFormat="false" ht="15" hidden="false" customHeight="false" outlineLevel="0" collapsed="false">
      <c r="A2470" s="32" t="n">
        <v>2463</v>
      </c>
      <c r="B2470" s="33" t="n">
        <v>294407</v>
      </c>
      <c r="C2470" s="34" t="s">
        <v>5012</v>
      </c>
      <c r="D2470" s="34" t="s">
        <v>5013</v>
      </c>
      <c r="E2470" s="34" t="s">
        <v>2056</v>
      </c>
      <c r="F2470" s="32" t="n">
        <f aca="false">COUNTIF(Base!$D$2:$D$2878,B2470)</f>
        <v>1</v>
      </c>
      <c r="G2470" s="35" t="n">
        <f aca="false">SUMIF(Base!$D$2:$D$2878,B2470,Base!$I$2:$I$2878)</f>
        <v>54</v>
      </c>
      <c r="H2470" s="36" t="n">
        <f aca="false">IF($G$2849=0,0,G2470/$G$2849)</f>
        <v>3.54360022154871E-006</v>
      </c>
      <c r="I2470" s="37" t="n">
        <f aca="false">I2469+H2470</f>
        <v>0.999380945824505</v>
      </c>
      <c r="J2470" s="37" t="n">
        <f aca="false">A2470/2840</f>
        <v>0.867253521126761</v>
      </c>
      <c r="K2470" s="32" t="str">
        <f aca="false">IF(I2470&lt;=$E$4,"A",IF(I2470&lt;=$E$5,"B","C"))</f>
        <v>C</v>
      </c>
    </row>
    <row r="2471" customFormat="false" ht="15" hidden="false" customHeight="false" outlineLevel="0" collapsed="false">
      <c r="A2471" s="32" t="n">
        <v>2464</v>
      </c>
      <c r="B2471" s="33" t="n">
        <v>348321</v>
      </c>
      <c r="C2471" s="34" t="s">
        <v>5014</v>
      </c>
      <c r="D2471" s="34" t="s">
        <v>5015</v>
      </c>
      <c r="E2471" s="34" t="s">
        <v>100</v>
      </c>
      <c r="F2471" s="32" t="n">
        <f aca="false">COUNTIF(Base!$D$2:$D$2878,B2471)</f>
        <v>1</v>
      </c>
      <c r="G2471" s="35" t="n">
        <f aca="false">SUMIF(Base!$D$2:$D$2878,B2471,Base!$I$2:$I$2878)</f>
        <v>54</v>
      </c>
      <c r="H2471" s="36" t="n">
        <f aca="false">IF($G$2849=0,0,G2471/$G$2849)</f>
        <v>3.54360022154871E-006</v>
      </c>
      <c r="I2471" s="37" t="n">
        <f aca="false">I2470+H2471</f>
        <v>0.999384489424727</v>
      </c>
      <c r="J2471" s="37" t="n">
        <f aca="false">A2471/2840</f>
        <v>0.867605633802817</v>
      </c>
      <c r="K2471" s="32" t="str">
        <f aca="false">IF(I2471&lt;=$E$4,"A",IF(I2471&lt;=$E$5,"B","C"))</f>
        <v>C</v>
      </c>
    </row>
    <row r="2472" customFormat="false" ht="15" hidden="false" customHeight="false" outlineLevel="0" collapsed="false">
      <c r="A2472" s="32" t="n">
        <v>2465</v>
      </c>
      <c r="B2472" s="33" t="n">
        <v>49544</v>
      </c>
      <c r="C2472" s="34" t="s">
        <v>5016</v>
      </c>
      <c r="D2472" s="34" t="s">
        <v>5017</v>
      </c>
      <c r="E2472" s="34" t="s">
        <v>247</v>
      </c>
      <c r="F2472" s="32" t="n">
        <f aca="false">COUNTIF(Base!$D$2:$D$2878,B2472)</f>
        <v>1</v>
      </c>
      <c r="G2472" s="35" t="n">
        <f aca="false">SUMIF(Base!$D$2:$D$2878,B2472,Base!$I$2:$I$2878)</f>
        <v>53.8</v>
      </c>
      <c r="H2472" s="36" t="n">
        <f aca="false">IF($G$2849=0,0,G2472/$G$2849)</f>
        <v>3.53047577628371E-006</v>
      </c>
      <c r="I2472" s="37" t="n">
        <f aca="false">I2471+H2472</f>
        <v>0.999388019900503</v>
      </c>
      <c r="J2472" s="37" t="n">
        <f aca="false">A2472/2840</f>
        <v>0.867957746478873</v>
      </c>
      <c r="K2472" s="32" t="str">
        <f aca="false">IF(I2472&lt;=$E$4,"A",IF(I2472&lt;=$E$5,"B","C"))</f>
        <v>C</v>
      </c>
    </row>
    <row r="2473" customFormat="false" ht="15" hidden="false" customHeight="false" outlineLevel="0" collapsed="false">
      <c r="A2473" s="32" t="n">
        <v>2466</v>
      </c>
      <c r="B2473" s="33" t="n">
        <v>1383736</v>
      </c>
      <c r="C2473" s="34" t="s">
        <v>5018</v>
      </c>
      <c r="D2473" s="34" t="s">
        <v>5019</v>
      </c>
      <c r="E2473" s="34" t="s">
        <v>38</v>
      </c>
      <c r="F2473" s="32" t="n">
        <f aca="false">COUNTIF(Base!$D$2:$D$2878,B2473)</f>
        <v>1</v>
      </c>
      <c r="G2473" s="35" t="n">
        <f aca="false">SUMIF(Base!$D$2:$D$2878,B2473,Base!$I$2:$I$2878)</f>
        <v>53.66</v>
      </c>
      <c r="H2473" s="36" t="n">
        <f aca="false">IF($G$2849=0,0,G2473/$G$2849)</f>
        <v>3.52128866459821E-006</v>
      </c>
      <c r="I2473" s="37" t="n">
        <f aca="false">I2472+H2473</f>
        <v>0.999391541189168</v>
      </c>
      <c r="J2473" s="37" t="n">
        <f aca="false">A2473/2840</f>
        <v>0.86830985915493</v>
      </c>
      <c r="K2473" s="32" t="str">
        <f aca="false">IF(I2473&lt;=$E$4,"A",IF(I2473&lt;=$E$5,"B","C"))</f>
        <v>C</v>
      </c>
    </row>
    <row r="2474" customFormat="false" ht="15" hidden="false" customHeight="false" outlineLevel="0" collapsed="false">
      <c r="A2474" s="32" t="n">
        <v>2467</v>
      </c>
      <c r="B2474" s="33" t="n">
        <v>21315</v>
      </c>
      <c r="C2474" s="34" t="s">
        <v>5020</v>
      </c>
      <c r="D2474" s="34" t="s">
        <v>5021</v>
      </c>
      <c r="E2474" s="34" t="s">
        <v>38</v>
      </c>
      <c r="F2474" s="32" t="n">
        <f aca="false">COUNTIF(Base!$D$2:$D$2878,B2474)</f>
        <v>1</v>
      </c>
      <c r="G2474" s="35" t="n">
        <f aca="false">SUMIF(Base!$D$2:$D$2878,B2474,Base!$I$2:$I$2878)</f>
        <v>53.65</v>
      </c>
      <c r="H2474" s="36" t="n">
        <f aca="false">IF($G$2849=0,0,G2474/$G$2849)</f>
        <v>3.52063244233496E-006</v>
      </c>
      <c r="I2474" s="37" t="n">
        <f aca="false">I2473+H2474</f>
        <v>0.99939506182161</v>
      </c>
      <c r="J2474" s="37" t="n">
        <f aca="false">A2474/2840</f>
        <v>0.868661971830986</v>
      </c>
      <c r="K2474" s="32" t="str">
        <f aca="false">IF(I2474&lt;=$E$4,"A",IF(I2474&lt;=$E$5,"B","C"))</f>
        <v>C</v>
      </c>
    </row>
    <row r="2475" customFormat="false" ht="15" hidden="false" customHeight="false" outlineLevel="0" collapsed="false">
      <c r="A2475" s="32" t="n">
        <v>2468</v>
      </c>
      <c r="B2475" s="33" t="n">
        <v>20977</v>
      </c>
      <c r="C2475" s="34" t="s">
        <v>5022</v>
      </c>
      <c r="D2475" s="34" t="s">
        <v>5023</v>
      </c>
      <c r="E2475" s="34" t="s">
        <v>54</v>
      </c>
      <c r="F2475" s="32" t="n">
        <f aca="false">COUNTIF(Base!$D$2:$D$2878,B2475)</f>
        <v>1</v>
      </c>
      <c r="G2475" s="35" t="n">
        <f aca="false">SUMIF(Base!$D$2:$D$2878,B2475,Base!$I$2:$I$2878)</f>
        <v>53.28</v>
      </c>
      <c r="H2475" s="36" t="n">
        <f aca="false">IF($G$2849=0,0,G2475/$G$2849)</f>
        <v>3.49635221859472E-006</v>
      </c>
      <c r="I2475" s="37" t="n">
        <f aca="false">I2474+H2475</f>
        <v>0.999398558173829</v>
      </c>
      <c r="J2475" s="37" t="n">
        <f aca="false">A2475/2840</f>
        <v>0.869014084507042</v>
      </c>
      <c r="K2475" s="32" t="str">
        <f aca="false">IF(I2475&lt;=$E$4,"A",IF(I2475&lt;=$E$5,"B","C"))</f>
        <v>C</v>
      </c>
    </row>
    <row r="2476" customFormat="false" ht="15" hidden="false" customHeight="false" outlineLevel="0" collapsed="false">
      <c r="A2476" s="32" t="n">
        <v>2469</v>
      </c>
      <c r="B2476" s="33" t="n">
        <v>1661538</v>
      </c>
      <c r="C2476" s="34" t="s">
        <v>5024</v>
      </c>
      <c r="D2476" s="34" t="s">
        <v>5025</v>
      </c>
      <c r="E2476" s="34" t="s">
        <v>38</v>
      </c>
      <c r="F2476" s="32" t="n">
        <f aca="false">COUNTIF(Base!$D$2:$D$2878,B2476)</f>
        <v>1</v>
      </c>
      <c r="G2476" s="35" t="n">
        <f aca="false">SUMIF(Base!$D$2:$D$2878,B2476,Base!$I$2:$I$2878)</f>
        <v>53.2</v>
      </c>
      <c r="H2476" s="36" t="n">
        <f aca="false">IF($G$2849=0,0,G2476/$G$2849)</f>
        <v>3.49110244048872E-006</v>
      </c>
      <c r="I2476" s="37" t="n">
        <f aca="false">I2475+H2476</f>
        <v>0.999402049276269</v>
      </c>
      <c r="J2476" s="37" t="n">
        <f aca="false">A2476/2840</f>
        <v>0.869366197183099</v>
      </c>
      <c r="K2476" s="32" t="str">
        <f aca="false">IF(I2476&lt;=$E$4,"A",IF(I2476&lt;=$E$5,"B","C"))</f>
        <v>C</v>
      </c>
    </row>
    <row r="2477" customFormat="false" ht="15" hidden="false" customHeight="false" outlineLevel="0" collapsed="false">
      <c r="A2477" s="32" t="n">
        <v>2470</v>
      </c>
      <c r="B2477" s="33" t="n">
        <v>1094670</v>
      </c>
      <c r="C2477" s="34" t="s">
        <v>5026</v>
      </c>
      <c r="D2477" s="34" t="s">
        <v>5027</v>
      </c>
      <c r="E2477" s="34" t="s">
        <v>1095</v>
      </c>
      <c r="F2477" s="32" t="n">
        <f aca="false">COUNTIF(Base!$D$2:$D$2878,B2477)</f>
        <v>1</v>
      </c>
      <c r="G2477" s="35" t="n">
        <f aca="false">SUMIF(Base!$D$2:$D$2878,B2477,Base!$I$2:$I$2878)</f>
        <v>53.04</v>
      </c>
      <c r="H2477" s="36" t="n">
        <f aca="false">IF($G$2849=0,0,G2477/$G$2849)</f>
        <v>3.48060288427673E-006</v>
      </c>
      <c r="I2477" s="37" t="n">
        <f aca="false">I2476+H2477</f>
        <v>0.999405529879153</v>
      </c>
      <c r="J2477" s="37" t="n">
        <f aca="false">A2477/2840</f>
        <v>0.869718309859155</v>
      </c>
      <c r="K2477" s="32" t="str">
        <f aca="false">IF(I2477&lt;=$E$4,"A",IF(I2477&lt;=$E$5,"B","C"))</f>
        <v>C</v>
      </c>
    </row>
    <row r="2478" customFormat="false" ht="15" hidden="false" customHeight="false" outlineLevel="0" collapsed="false">
      <c r="A2478" s="32" t="n">
        <v>2471</v>
      </c>
      <c r="B2478" s="33" t="n">
        <v>549259</v>
      </c>
      <c r="C2478" s="34" t="s">
        <v>5028</v>
      </c>
      <c r="D2478" s="34" t="s">
        <v>5029</v>
      </c>
      <c r="E2478" s="34" t="s">
        <v>38</v>
      </c>
      <c r="F2478" s="32" t="n">
        <f aca="false">COUNTIF(Base!$D$2:$D$2878,B2478)</f>
        <v>1</v>
      </c>
      <c r="G2478" s="35" t="n">
        <f aca="false">SUMIF(Base!$D$2:$D$2878,B2478,Base!$I$2:$I$2878)</f>
        <v>52.9042</v>
      </c>
      <c r="H2478" s="36" t="n">
        <f aca="false">IF($G$2849=0,0,G2478/$G$2849)</f>
        <v>3.4716913859418E-006</v>
      </c>
      <c r="I2478" s="37" t="n">
        <f aca="false">I2477+H2478</f>
        <v>0.999409001570539</v>
      </c>
      <c r="J2478" s="37" t="n">
        <f aca="false">A2478/2840</f>
        <v>0.870070422535211</v>
      </c>
      <c r="K2478" s="32" t="str">
        <f aca="false">IF(I2478&lt;=$E$4,"A",IF(I2478&lt;=$E$5,"B","C"))</f>
        <v>C</v>
      </c>
    </row>
    <row r="2479" customFormat="false" ht="15" hidden="false" customHeight="false" outlineLevel="0" collapsed="false">
      <c r="A2479" s="32" t="n">
        <v>2472</v>
      </c>
      <c r="B2479" s="33" t="n">
        <v>57517</v>
      </c>
      <c r="C2479" s="34" t="s">
        <v>5030</v>
      </c>
      <c r="D2479" s="34" t="s">
        <v>5031</v>
      </c>
      <c r="E2479" s="34" t="s">
        <v>100</v>
      </c>
      <c r="F2479" s="32" t="n">
        <f aca="false">COUNTIF(Base!$D$2:$D$2878,B2479)</f>
        <v>1</v>
      </c>
      <c r="G2479" s="35" t="n">
        <f aca="false">SUMIF(Base!$D$2:$D$2878,B2479,Base!$I$2:$I$2878)</f>
        <v>52.52</v>
      </c>
      <c r="H2479" s="36" t="n">
        <f aca="false">IF($G$2849=0,0,G2479/$G$2849)</f>
        <v>3.44647932658774E-006</v>
      </c>
      <c r="I2479" s="37" t="n">
        <f aca="false">I2478+H2479</f>
        <v>0.999412448049866</v>
      </c>
      <c r="J2479" s="37" t="n">
        <f aca="false">A2479/2840</f>
        <v>0.870422535211268</v>
      </c>
      <c r="K2479" s="32" t="str">
        <f aca="false">IF(I2479&lt;=$E$4,"A",IF(I2479&lt;=$E$5,"B","C"))</f>
        <v>C</v>
      </c>
    </row>
    <row r="2480" customFormat="false" ht="15" hidden="false" customHeight="false" outlineLevel="0" collapsed="false">
      <c r="A2480" s="32" t="n">
        <v>2473</v>
      </c>
      <c r="B2480" s="33" t="n">
        <v>1321362</v>
      </c>
      <c r="C2480" s="34" t="s">
        <v>5032</v>
      </c>
      <c r="D2480" s="34" t="s">
        <v>5033</v>
      </c>
      <c r="E2480" s="34" t="s">
        <v>38</v>
      </c>
      <c r="F2480" s="32" t="n">
        <f aca="false">COUNTIF(Base!$D$2:$D$2878,B2480)</f>
        <v>1</v>
      </c>
      <c r="G2480" s="35" t="n">
        <f aca="false">SUMIF(Base!$D$2:$D$2878,B2480,Base!$I$2:$I$2878)</f>
        <v>52</v>
      </c>
      <c r="H2480" s="36" t="n">
        <f aca="false">IF($G$2849=0,0,G2480/$G$2849)</f>
        <v>3.41235576889875E-006</v>
      </c>
      <c r="I2480" s="37" t="n">
        <f aca="false">I2479+H2480</f>
        <v>0.999415860405635</v>
      </c>
      <c r="J2480" s="37" t="n">
        <f aca="false">A2480/2840</f>
        <v>0.870774647887324</v>
      </c>
      <c r="K2480" s="32" t="str">
        <f aca="false">IF(I2480&lt;=$E$4,"A",IF(I2480&lt;=$E$5,"B","C"))</f>
        <v>C</v>
      </c>
    </row>
    <row r="2481" customFormat="false" ht="15" hidden="false" customHeight="false" outlineLevel="0" collapsed="false">
      <c r="A2481" s="32" t="n">
        <v>2474</v>
      </c>
      <c r="B2481" s="33" t="n">
        <v>12600</v>
      </c>
      <c r="C2481" s="34" t="s">
        <v>5034</v>
      </c>
      <c r="D2481" s="34" t="s">
        <v>5035</v>
      </c>
      <c r="E2481" s="34" t="s">
        <v>38</v>
      </c>
      <c r="F2481" s="32" t="n">
        <f aca="false">COUNTIF(Base!$D$2:$D$2878,B2481)</f>
        <v>1</v>
      </c>
      <c r="G2481" s="35" t="n">
        <f aca="false">SUMIF(Base!$D$2:$D$2878,B2481,Base!$I$2:$I$2878)</f>
        <v>51.92</v>
      </c>
      <c r="H2481" s="36" t="n">
        <f aca="false">IF($G$2849=0,0,G2481/$G$2849)</f>
        <v>3.40710599079276E-006</v>
      </c>
      <c r="I2481" s="37" t="n">
        <f aca="false">I2480+H2481</f>
        <v>0.999419267511626</v>
      </c>
      <c r="J2481" s="37" t="n">
        <f aca="false">A2481/2840</f>
        <v>0.87112676056338</v>
      </c>
      <c r="K2481" s="32" t="str">
        <f aca="false">IF(I2481&lt;=$E$4,"A",IF(I2481&lt;=$E$5,"B","C"))</f>
        <v>C</v>
      </c>
    </row>
    <row r="2482" customFormat="false" ht="15" hidden="false" customHeight="false" outlineLevel="0" collapsed="false">
      <c r="A2482" s="32" t="n">
        <v>2475</v>
      </c>
      <c r="B2482" s="33" t="n">
        <v>220887</v>
      </c>
      <c r="C2482" s="34" t="s">
        <v>5036</v>
      </c>
      <c r="D2482" s="34" t="s">
        <v>4919</v>
      </c>
      <c r="E2482" s="34" t="s">
        <v>38</v>
      </c>
      <c r="F2482" s="32" t="n">
        <f aca="false">COUNTIF(Base!$D$2:$D$2878,B2482)</f>
        <v>1</v>
      </c>
      <c r="G2482" s="35" t="n">
        <f aca="false">SUMIF(Base!$D$2:$D$2878,B2482,Base!$I$2:$I$2878)</f>
        <v>51.92</v>
      </c>
      <c r="H2482" s="36" t="n">
        <f aca="false">IF($G$2849=0,0,G2482/$G$2849)</f>
        <v>3.40710599079276E-006</v>
      </c>
      <c r="I2482" s="37" t="n">
        <f aca="false">I2481+H2482</f>
        <v>0.999422674617616</v>
      </c>
      <c r="J2482" s="37" t="n">
        <f aca="false">A2482/2840</f>
        <v>0.871478873239437</v>
      </c>
      <c r="K2482" s="32" t="str">
        <f aca="false">IF(I2482&lt;=$E$4,"A",IF(I2482&lt;=$E$5,"B","C"))</f>
        <v>C</v>
      </c>
    </row>
    <row r="2483" customFormat="false" ht="15" hidden="false" customHeight="false" outlineLevel="0" collapsed="false">
      <c r="A2483" s="32" t="n">
        <v>2476</v>
      </c>
      <c r="B2483" s="33" t="n">
        <v>316121</v>
      </c>
      <c r="C2483" s="34" t="s">
        <v>5037</v>
      </c>
      <c r="D2483" s="34" t="s">
        <v>5038</v>
      </c>
      <c r="E2483" s="34" t="s">
        <v>54</v>
      </c>
      <c r="F2483" s="32" t="n">
        <f aca="false">COUNTIF(Base!$D$2:$D$2878,B2483)</f>
        <v>1</v>
      </c>
      <c r="G2483" s="35" t="n">
        <f aca="false">SUMIF(Base!$D$2:$D$2878,B2483,Base!$I$2:$I$2878)</f>
        <v>51.92</v>
      </c>
      <c r="H2483" s="36" t="n">
        <f aca="false">IF($G$2849=0,0,G2483/$G$2849)</f>
        <v>3.40710599079276E-006</v>
      </c>
      <c r="I2483" s="37" t="n">
        <f aca="false">I2482+H2483</f>
        <v>0.999426081723607</v>
      </c>
      <c r="J2483" s="37" t="n">
        <f aca="false">A2483/2840</f>
        <v>0.871830985915493</v>
      </c>
      <c r="K2483" s="32" t="str">
        <f aca="false">IF(I2483&lt;=$E$4,"A",IF(I2483&lt;=$E$5,"B","C"))</f>
        <v>C</v>
      </c>
    </row>
    <row r="2484" customFormat="false" ht="15" hidden="false" customHeight="false" outlineLevel="0" collapsed="false">
      <c r="A2484" s="32" t="n">
        <v>2477</v>
      </c>
      <c r="B2484" s="33" t="n">
        <v>32187</v>
      </c>
      <c r="C2484" s="34" t="s">
        <v>5039</v>
      </c>
      <c r="D2484" s="34" t="s">
        <v>5040</v>
      </c>
      <c r="E2484" s="34" t="s">
        <v>54</v>
      </c>
      <c r="F2484" s="32" t="n">
        <f aca="false">COUNTIF(Base!$D$2:$D$2878,B2484)</f>
        <v>1</v>
      </c>
      <c r="G2484" s="35" t="n">
        <f aca="false">SUMIF(Base!$D$2:$D$2878,B2484,Base!$I$2:$I$2878)</f>
        <v>51.28</v>
      </c>
      <c r="H2484" s="36" t="n">
        <f aca="false">IF($G$2849=0,0,G2484/$G$2849)</f>
        <v>3.36510776594477E-006</v>
      </c>
      <c r="I2484" s="37" t="n">
        <f aca="false">I2483+H2484</f>
        <v>0.999429446831373</v>
      </c>
      <c r="J2484" s="37" t="n">
        <f aca="false">A2484/2840</f>
        <v>0.872183098591549</v>
      </c>
      <c r="K2484" s="32" t="str">
        <f aca="false">IF(I2484&lt;=$E$4,"A",IF(I2484&lt;=$E$5,"B","C"))</f>
        <v>C</v>
      </c>
    </row>
    <row r="2485" customFormat="false" ht="15" hidden="false" customHeight="false" outlineLevel="0" collapsed="false">
      <c r="A2485" s="32" t="n">
        <v>2478</v>
      </c>
      <c r="B2485" s="33" t="n">
        <v>281821</v>
      </c>
      <c r="C2485" s="34" t="s">
        <v>5041</v>
      </c>
      <c r="D2485" s="34" t="s">
        <v>5042</v>
      </c>
      <c r="E2485" s="34" t="s">
        <v>100</v>
      </c>
      <c r="F2485" s="32" t="n">
        <f aca="false">COUNTIF(Base!$D$2:$D$2878,B2485)</f>
        <v>1</v>
      </c>
      <c r="G2485" s="35" t="n">
        <f aca="false">SUMIF(Base!$D$2:$D$2878,B2485,Base!$I$2:$I$2878)</f>
        <v>51.06</v>
      </c>
      <c r="H2485" s="36" t="n">
        <f aca="false">IF($G$2849=0,0,G2485/$G$2849)</f>
        <v>3.35067087615328E-006</v>
      </c>
      <c r="I2485" s="37" t="n">
        <f aca="false">I2484+H2485</f>
        <v>0.999432797502249</v>
      </c>
      <c r="J2485" s="37" t="n">
        <f aca="false">A2485/2840</f>
        <v>0.872535211267606</v>
      </c>
      <c r="K2485" s="32" t="str">
        <f aca="false">IF(I2485&lt;=$E$4,"A",IF(I2485&lt;=$E$5,"B","C"))</f>
        <v>C</v>
      </c>
    </row>
    <row r="2486" customFormat="false" ht="15" hidden="false" customHeight="false" outlineLevel="0" collapsed="false">
      <c r="A2486" s="32" t="n">
        <v>2479</v>
      </c>
      <c r="B2486" s="33" t="n">
        <v>937217</v>
      </c>
      <c r="C2486" s="34" t="s">
        <v>5043</v>
      </c>
      <c r="D2486" s="34" t="s">
        <v>5044</v>
      </c>
      <c r="E2486" s="34" t="s">
        <v>38</v>
      </c>
      <c r="F2486" s="32" t="n">
        <f aca="false">COUNTIF(Base!$D$2:$D$2878,B2486)</f>
        <v>1</v>
      </c>
      <c r="G2486" s="35" t="n">
        <f aca="false">SUMIF(Base!$D$2:$D$2878,B2486,Base!$I$2:$I$2878)</f>
        <v>51</v>
      </c>
      <c r="H2486" s="36" t="n">
        <f aca="false">IF($G$2849=0,0,G2486/$G$2849)</f>
        <v>3.34673354257378E-006</v>
      </c>
      <c r="I2486" s="37" t="n">
        <f aca="false">I2485+H2486</f>
        <v>0.999436144235792</v>
      </c>
      <c r="J2486" s="37" t="n">
        <f aca="false">A2486/2840</f>
        <v>0.872887323943662</v>
      </c>
      <c r="K2486" s="32" t="str">
        <f aca="false">IF(I2486&lt;=$E$4,"A",IF(I2486&lt;=$E$5,"B","C"))</f>
        <v>C</v>
      </c>
    </row>
    <row r="2487" customFormat="false" ht="15" hidden="false" customHeight="false" outlineLevel="0" collapsed="false">
      <c r="A2487" s="32" t="n">
        <v>2480</v>
      </c>
      <c r="B2487" s="33" t="n">
        <v>1385802</v>
      </c>
      <c r="C2487" s="34" t="s">
        <v>5045</v>
      </c>
      <c r="D2487" s="34" t="s">
        <v>5046</v>
      </c>
      <c r="E2487" s="34" t="s">
        <v>38</v>
      </c>
      <c r="F2487" s="32" t="n">
        <f aca="false">COUNTIF(Base!$D$2:$D$2878,B2487)</f>
        <v>1</v>
      </c>
      <c r="G2487" s="35" t="n">
        <f aca="false">SUMIF(Base!$D$2:$D$2878,B2487,Base!$I$2:$I$2878)</f>
        <v>50.95</v>
      </c>
      <c r="H2487" s="36" t="n">
        <f aca="false">IF($G$2849=0,0,G2487/$G$2849)</f>
        <v>3.34345243125753E-006</v>
      </c>
      <c r="I2487" s="37" t="n">
        <f aca="false">I2486+H2487</f>
        <v>0.999439487688223</v>
      </c>
      <c r="J2487" s="37" t="n">
        <f aca="false">A2487/2840</f>
        <v>0.873239436619718</v>
      </c>
      <c r="K2487" s="32" t="str">
        <f aca="false">IF(I2487&lt;=$E$4,"A",IF(I2487&lt;=$E$5,"B","C"))</f>
        <v>C</v>
      </c>
    </row>
    <row r="2488" customFormat="false" ht="15" hidden="false" customHeight="false" outlineLevel="0" collapsed="false">
      <c r="A2488" s="32" t="n">
        <v>2481</v>
      </c>
      <c r="B2488" s="33" t="n">
        <v>287892</v>
      </c>
      <c r="C2488" s="34" t="s">
        <v>5047</v>
      </c>
      <c r="D2488" s="34" t="s">
        <v>5048</v>
      </c>
      <c r="E2488" s="34" t="s">
        <v>38</v>
      </c>
      <c r="F2488" s="32" t="n">
        <f aca="false">COUNTIF(Base!$D$2:$D$2878,B2488)</f>
        <v>1</v>
      </c>
      <c r="G2488" s="35" t="n">
        <f aca="false">SUMIF(Base!$D$2:$D$2878,B2488,Base!$I$2:$I$2878)</f>
        <v>50.88</v>
      </c>
      <c r="H2488" s="36" t="n">
        <f aca="false">IF($G$2849=0,0,G2488/$G$2849)</f>
        <v>3.33885887541478E-006</v>
      </c>
      <c r="I2488" s="37" t="n">
        <f aca="false">I2487+H2488</f>
        <v>0.999442826547098</v>
      </c>
      <c r="J2488" s="37" t="n">
        <f aca="false">A2488/2840</f>
        <v>0.873591549295775</v>
      </c>
      <c r="K2488" s="32" t="str">
        <f aca="false">IF(I2488&lt;=$E$4,"A",IF(I2488&lt;=$E$5,"B","C"))</f>
        <v>C</v>
      </c>
    </row>
    <row r="2489" customFormat="false" ht="15" hidden="false" customHeight="false" outlineLevel="0" collapsed="false">
      <c r="A2489" s="32" t="n">
        <v>2482</v>
      </c>
      <c r="B2489" s="33" t="n">
        <v>1598223</v>
      </c>
      <c r="C2489" s="34" t="s">
        <v>5049</v>
      </c>
      <c r="D2489" s="34" t="s">
        <v>5050</v>
      </c>
      <c r="E2489" s="34" t="s">
        <v>2056</v>
      </c>
      <c r="F2489" s="32" t="n">
        <f aca="false">COUNTIF(Base!$D$2:$D$2878,B2489)</f>
        <v>1</v>
      </c>
      <c r="G2489" s="35" t="n">
        <f aca="false">SUMIF(Base!$D$2:$D$2878,B2489,Base!$I$2:$I$2878)</f>
        <v>50.7</v>
      </c>
      <c r="H2489" s="36" t="n">
        <f aca="false">IF($G$2849=0,0,G2489/$G$2849)</f>
        <v>3.32704687467628E-006</v>
      </c>
      <c r="I2489" s="37" t="n">
        <f aca="false">I2488+H2489</f>
        <v>0.999446153593973</v>
      </c>
      <c r="J2489" s="37" t="n">
        <f aca="false">A2489/2840</f>
        <v>0.873943661971831</v>
      </c>
      <c r="K2489" s="32" t="str">
        <f aca="false">IF(I2489&lt;=$E$4,"A",IF(I2489&lt;=$E$5,"B","C"))</f>
        <v>C</v>
      </c>
    </row>
    <row r="2490" customFormat="false" ht="15" hidden="false" customHeight="false" outlineLevel="0" collapsed="false">
      <c r="A2490" s="32" t="n">
        <v>2483</v>
      </c>
      <c r="B2490" s="33" t="n">
        <v>879056</v>
      </c>
      <c r="C2490" s="34" t="s">
        <v>5051</v>
      </c>
      <c r="D2490" s="34" t="s">
        <v>5052</v>
      </c>
      <c r="E2490" s="34" t="s">
        <v>2056</v>
      </c>
      <c r="F2490" s="32" t="n">
        <f aca="false">COUNTIF(Base!$D$2:$D$2878,B2490)</f>
        <v>1</v>
      </c>
      <c r="G2490" s="35" t="n">
        <f aca="false">SUMIF(Base!$D$2:$D$2878,B2490,Base!$I$2:$I$2878)</f>
        <v>50</v>
      </c>
      <c r="H2490" s="36" t="n">
        <f aca="false">IF($G$2849=0,0,G2490/$G$2849)</f>
        <v>3.2811113162488E-006</v>
      </c>
      <c r="I2490" s="37" t="n">
        <f aca="false">I2489+H2490</f>
        <v>0.999449434705289</v>
      </c>
      <c r="J2490" s="37" t="n">
        <f aca="false">A2490/2840</f>
        <v>0.874295774647887</v>
      </c>
      <c r="K2490" s="32" t="str">
        <f aca="false">IF(I2490&lt;=$E$4,"A",IF(I2490&lt;=$E$5,"B","C"))</f>
        <v>C</v>
      </c>
    </row>
    <row r="2491" customFormat="false" ht="15" hidden="false" customHeight="false" outlineLevel="0" collapsed="false">
      <c r="A2491" s="32" t="n">
        <v>2484</v>
      </c>
      <c r="B2491" s="33" t="n">
        <v>223526</v>
      </c>
      <c r="C2491" s="34" t="s">
        <v>5053</v>
      </c>
      <c r="D2491" s="34" t="s">
        <v>5054</v>
      </c>
      <c r="E2491" s="34" t="s">
        <v>2056</v>
      </c>
      <c r="F2491" s="32" t="n">
        <f aca="false">COUNTIF(Base!$D$2:$D$2878,B2491)</f>
        <v>1</v>
      </c>
      <c r="G2491" s="35" t="n">
        <f aca="false">SUMIF(Base!$D$2:$D$2878,B2491,Base!$I$2:$I$2878)</f>
        <v>49.98</v>
      </c>
      <c r="H2491" s="36" t="n">
        <f aca="false">IF($G$2849=0,0,G2491/$G$2849)</f>
        <v>3.2797988717223E-006</v>
      </c>
      <c r="I2491" s="37" t="n">
        <f aca="false">I2490+H2491</f>
        <v>0.999452714504161</v>
      </c>
      <c r="J2491" s="37" t="n">
        <f aca="false">A2491/2840</f>
        <v>0.874647887323944</v>
      </c>
      <c r="K2491" s="32" t="str">
        <f aca="false">IF(I2491&lt;=$E$4,"A",IF(I2491&lt;=$E$5,"B","C"))</f>
        <v>C</v>
      </c>
    </row>
    <row r="2492" customFormat="false" ht="15" hidden="false" customHeight="false" outlineLevel="0" collapsed="false">
      <c r="A2492" s="32" t="n">
        <v>2485</v>
      </c>
      <c r="B2492" s="33" t="n">
        <v>16375</v>
      </c>
      <c r="C2492" s="34" t="s">
        <v>5055</v>
      </c>
      <c r="D2492" s="34" t="s">
        <v>5056</v>
      </c>
      <c r="E2492" s="34" t="s">
        <v>54</v>
      </c>
      <c r="F2492" s="32" t="n">
        <f aca="false">COUNTIF(Base!$D$2:$D$2878,B2492)</f>
        <v>1</v>
      </c>
      <c r="G2492" s="35" t="n">
        <f aca="false">SUMIF(Base!$D$2:$D$2878,B2492,Base!$I$2:$I$2878)</f>
        <v>49.9</v>
      </c>
      <c r="H2492" s="36" t="n">
        <f aca="false">IF($G$2849=0,0,G2492/$G$2849)</f>
        <v>3.2745490936163E-006</v>
      </c>
      <c r="I2492" s="37" t="n">
        <f aca="false">I2491+H2492</f>
        <v>0.999455989053255</v>
      </c>
      <c r="J2492" s="37" t="n">
        <f aca="false">A2492/2840</f>
        <v>0.875</v>
      </c>
      <c r="K2492" s="32" t="str">
        <f aca="false">IF(I2492&lt;=$E$4,"A",IF(I2492&lt;=$E$5,"B","C"))</f>
        <v>C</v>
      </c>
    </row>
    <row r="2493" customFormat="false" ht="15" hidden="false" customHeight="false" outlineLevel="0" collapsed="false">
      <c r="A2493" s="32" t="n">
        <v>2486</v>
      </c>
      <c r="B2493" s="33" t="n">
        <v>16924</v>
      </c>
      <c r="C2493" s="34" t="s">
        <v>5057</v>
      </c>
      <c r="D2493" s="34" t="s">
        <v>5058</v>
      </c>
      <c r="E2493" s="34" t="s">
        <v>100</v>
      </c>
      <c r="F2493" s="32" t="n">
        <f aca="false">COUNTIF(Base!$D$2:$D$2878,B2493)</f>
        <v>1</v>
      </c>
      <c r="G2493" s="35" t="n">
        <f aca="false">SUMIF(Base!$D$2:$D$2878,B2493,Base!$I$2:$I$2878)</f>
        <v>49.6</v>
      </c>
      <c r="H2493" s="36" t="n">
        <f aca="false">IF($G$2849=0,0,G2493/$G$2849)</f>
        <v>3.25486242571881E-006</v>
      </c>
      <c r="I2493" s="37" t="n">
        <f aca="false">I2492+H2493</f>
        <v>0.99945924391568</v>
      </c>
      <c r="J2493" s="37" t="n">
        <f aca="false">A2493/2840</f>
        <v>0.875352112676056</v>
      </c>
      <c r="K2493" s="32" t="str">
        <f aca="false">IF(I2493&lt;=$E$4,"A",IF(I2493&lt;=$E$5,"B","C"))</f>
        <v>C</v>
      </c>
    </row>
    <row r="2494" customFormat="false" ht="15" hidden="false" customHeight="false" outlineLevel="0" collapsed="false">
      <c r="A2494" s="32" t="n">
        <v>2487</v>
      </c>
      <c r="B2494" s="33" t="n">
        <v>840035</v>
      </c>
      <c r="C2494" s="34" t="s">
        <v>5059</v>
      </c>
      <c r="D2494" s="34" t="s">
        <v>5060</v>
      </c>
      <c r="E2494" s="34" t="s">
        <v>54</v>
      </c>
      <c r="F2494" s="32" t="n">
        <f aca="false">COUNTIF(Base!$D$2:$D$2878,B2494)</f>
        <v>1</v>
      </c>
      <c r="G2494" s="35" t="n">
        <f aca="false">SUMIF(Base!$D$2:$D$2878,B2494,Base!$I$2:$I$2878)</f>
        <v>49.57</v>
      </c>
      <c r="H2494" s="36" t="n">
        <f aca="false">IF($G$2849=0,0,G2494/$G$2849)</f>
        <v>3.25289375892906E-006</v>
      </c>
      <c r="I2494" s="37" t="n">
        <f aca="false">I2493+H2494</f>
        <v>0.999462496809439</v>
      </c>
      <c r="J2494" s="37" t="n">
        <f aca="false">A2494/2840</f>
        <v>0.875704225352113</v>
      </c>
      <c r="K2494" s="32" t="str">
        <f aca="false">IF(I2494&lt;=$E$4,"A",IF(I2494&lt;=$E$5,"B","C"))</f>
        <v>C</v>
      </c>
    </row>
    <row r="2495" customFormat="false" ht="15" hidden="false" customHeight="false" outlineLevel="0" collapsed="false">
      <c r="A2495" s="32" t="n">
        <v>2488</v>
      </c>
      <c r="B2495" s="33" t="n">
        <v>1067636</v>
      </c>
      <c r="C2495" s="34" t="s">
        <v>5061</v>
      </c>
      <c r="D2495" s="34" t="s">
        <v>5062</v>
      </c>
      <c r="E2495" s="34" t="s">
        <v>38</v>
      </c>
      <c r="F2495" s="32" t="n">
        <f aca="false">COUNTIF(Base!$D$2:$D$2878,B2495)</f>
        <v>1</v>
      </c>
      <c r="G2495" s="35" t="n">
        <f aca="false">SUMIF(Base!$D$2:$D$2878,B2495,Base!$I$2:$I$2878)</f>
        <v>49.4</v>
      </c>
      <c r="H2495" s="36" t="n">
        <f aca="false">IF($G$2849=0,0,G2495/$G$2849)</f>
        <v>3.24173798045382E-006</v>
      </c>
      <c r="I2495" s="37" t="n">
        <f aca="false">I2494+H2495</f>
        <v>0.99946573854742</v>
      </c>
      <c r="J2495" s="37" t="n">
        <f aca="false">A2495/2840</f>
        <v>0.876056338028169</v>
      </c>
      <c r="K2495" s="32" t="str">
        <f aca="false">IF(I2495&lt;=$E$4,"A",IF(I2495&lt;=$E$5,"B","C"))</f>
        <v>C</v>
      </c>
    </row>
    <row r="2496" customFormat="false" ht="15" hidden="false" customHeight="false" outlineLevel="0" collapsed="false">
      <c r="A2496" s="32" t="n">
        <v>2489</v>
      </c>
      <c r="B2496" s="33" t="n">
        <v>1190684</v>
      </c>
      <c r="C2496" s="34" t="s">
        <v>5063</v>
      </c>
      <c r="D2496" s="34" t="s">
        <v>5064</v>
      </c>
      <c r="E2496" s="34" t="s">
        <v>1354</v>
      </c>
      <c r="F2496" s="32" t="n">
        <f aca="false">COUNTIF(Base!$D$2:$D$2878,B2496)</f>
        <v>1</v>
      </c>
      <c r="G2496" s="35" t="n">
        <f aca="false">SUMIF(Base!$D$2:$D$2878,B2496,Base!$I$2:$I$2878)</f>
        <v>49.181</v>
      </c>
      <c r="H2496" s="36" t="n">
        <f aca="false">IF($G$2849=0,0,G2496/$G$2849)</f>
        <v>3.22736671288865E-006</v>
      </c>
      <c r="I2496" s="37" t="n">
        <f aca="false">I2495+H2496</f>
        <v>0.999468965914133</v>
      </c>
      <c r="J2496" s="37" t="n">
        <f aca="false">A2496/2840</f>
        <v>0.876408450704225</v>
      </c>
      <c r="K2496" s="32" t="str">
        <f aca="false">IF(I2496&lt;=$E$4,"A",IF(I2496&lt;=$E$5,"B","C"))</f>
        <v>C</v>
      </c>
    </row>
    <row r="2497" customFormat="false" ht="15" hidden="false" customHeight="false" outlineLevel="0" collapsed="false">
      <c r="A2497" s="32" t="n">
        <v>2490</v>
      </c>
      <c r="B2497" s="33" t="n">
        <v>17963</v>
      </c>
      <c r="C2497" s="34" t="s">
        <v>5065</v>
      </c>
      <c r="D2497" s="34" t="s">
        <v>5066</v>
      </c>
      <c r="E2497" s="34" t="s">
        <v>130</v>
      </c>
      <c r="F2497" s="32" t="n">
        <f aca="false">COUNTIF(Base!$D$2:$D$2878,B2497)</f>
        <v>1</v>
      </c>
      <c r="G2497" s="35" t="n">
        <f aca="false">SUMIF(Base!$D$2:$D$2878,B2497,Base!$I$2:$I$2878)</f>
        <v>49</v>
      </c>
      <c r="H2497" s="36" t="n">
        <f aca="false">IF($G$2849=0,0,G2497/$G$2849)</f>
        <v>3.21548908992383E-006</v>
      </c>
      <c r="I2497" s="37" t="n">
        <f aca="false">I2496+H2497</f>
        <v>0.999472181403223</v>
      </c>
      <c r="J2497" s="37" t="n">
        <f aca="false">A2497/2840</f>
        <v>0.876760563380282</v>
      </c>
      <c r="K2497" s="32" t="str">
        <f aca="false">IF(I2497&lt;=$E$4,"A",IF(I2497&lt;=$E$5,"B","C"))</f>
        <v>C</v>
      </c>
    </row>
    <row r="2498" customFormat="false" ht="15" hidden="false" customHeight="false" outlineLevel="0" collapsed="false">
      <c r="A2498" s="32" t="n">
        <v>2491</v>
      </c>
      <c r="B2498" s="33" t="n">
        <v>34134</v>
      </c>
      <c r="C2498" s="34" t="s">
        <v>5067</v>
      </c>
      <c r="D2498" s="34" t="s">
        <v>5068</v>
      </c>
      <c r="E2498" s="34" t="s">
        <v>100</v>
      </c>
      <c r="F2498" s="32" t="n">
        <f aca="false">COUNTIF(Base!$D$2:$D$2878,B2498)</f>
        <v>1</v>
      </c>
      <c r="G2498" s="35" t="n">
        <f aca="false">SUMIF(Base!$D$2:$D$2878,B2498,Base!$I$2:$I$2878)</f>
        <v>49</v>
      </c>
      <c r="H2498" s="36" t="n">
        <f aca="false">IF($G$2849=0,0,G2498/$G$2849)</f>
        <v>3.21548908992383E-006</v>
      </c>
      <c r="I2498" s="37" t="n">
        <f aca="false">I2497+H2498</f>
        <v>0.999475396892312</v>
      </c>
      <c r="J2498" s="37" t="n">
        <f aca="false">A2498/2840</f>
        <v>0.877112676056338</v>
      </c>
      <c r="K2498" s="32" t="str">
        <f aca="false">IF(I2498&lt;=$E$4,"A",IF(I2498&lt;=$E$5,"B","C"))</f>
        <v>C</v>
      </c>
    </row>
    <row r="2499" customFormat="false" ht="15" hidden="false" customHeight="false" outlineLevel="0" collapsed="false">
      <c r="A2499" s="32" t="n">
        <v>2492</v>
      </c>
      <c r="B2499" s="33" t="n">
        <v>1472779</v>
      </c>
      <c r="C2499" s="34" t="s">
        <v>5069</v>
      </c>
      <c r="D2499" s="34" t="s">
        <v>5070</v>
      </c>
      <c r="E2499" s="34" t="s">
        <v>100</v>
      </c>
      <c r="F2499" s="32" t="n">
        <f aca="false">COUNTIF(Base!$D$2:$D$2878,B2499)</f>
        <v>1</v>
      </c>
      <c r="G2499" s="35" t="n">
        <f aca="false">SUMIF(Base!$D$2:$D$2878,B2499,Base!$I$2:$I$2878)</f>
        <v>49</v>
      </c>
      <c r="H2499" s="36" t="n">
        <f aca="false">IF($G$2849=0,0,G2499/$G$2849)</f>
        <v>3.21548908992383E-006</v>
      </c>
      <c r="I2499" s="37" t="n">
        <f aca="false">I2498+H2499</f>
        <v>0.999478612381402</v>
      </c>
      <c r="J2499" s="37" t="n">
        <f aca="false">A2499/2840</f>
        <v>0.877464788732394</v>
      </c>
      <c r="K2499" s="32" t="str">
        <f aca="false">IF(I2499&lt;=$E$4,"A",IF(I2499&lt;=$E$5,"B","C"))</f>
        <v>C</v>
      </c>
    </row>
    <row r="2500" customFormat="false" ht="15" hidden="false" customHeight="false" outlineLevel="0" collapsed="false">
      <c r="A2500" s="32" t="n">
        <v>2493</v>
      </c>
      <c r="B2500" s="33" t="n">
        <v>1385280</v>
      </c>
      <c r="C2500" s="34" t="s">
        <v>5071</v>
      </c>
      <c r="D2500" s="34" t="s">
        <v>5072</v>
      </c>
      <c r="E2500" s="34" t="s">
        <v>38</v>
      </c>
      <c r="F2500" s="32" t="n">
        <f aca="false">COUNTIF(Base!$D$2:$D$2878,B2500)</f>
        <v>1</v>
      </c>
      <c r="G2500" s="35" t="n">
        <f aca="false">SUMIF(Base!$D$2:$D$2878,B2500,Base!$I$2:$I$2878)</f>
        <v>48.22</v>
      </c>
      <c r="H2500" s="36" t="n">
        <f aca="false">IF($G$2849=0,0,G2500/$G$2849)</f>
        <v>3.16430375339034E-006</v>
      </c>
      <c r="I2500" s="37" t="n">
        <f aca="false">I2499+H2500</f>
        <v>0.999481776685156</v>
      </c>
      <c r="J2500" s="37" t="n">
        <f aca="false">A2500/2840</f>
        <v>0.877816901408451</v>
      </c>
      <c r="K2500" s="32" t="str">
        <f aca="false">IF(I2500&lt;=$E$4,"A",IF(I2500&lt;=$E$5,"B","C"))</f>
        <v>C</v>
      </c>
    </row>
    <row r="2501" customFormat="false" ht="15" hidden="false" customHeight="false" outlineLevel="0" collapsed="false">
      <c r="A2501" s="32" t="n">
        <v>2494</v>
      </c>
      <c r="B2501" s="33" t="n">
        <v>12693</v>
      </c>
      <c r="C2501" s="34" t="s">
        <v>5073</v>
      </c>
      <c r="D2501" s="34" t="s">
        <v>5074</v>
      </c>
      <c r="E2501" s="34" t="s">
        <v>38</v>
      </c>
      <c r="F2501" s="32" t="n">
        <f aca="false">COUNTIF(Base!$D$2:$D$2878,B2501)</f>
        <v>1</v>
      </c>
      <c r="G2501" s="35" t="n">
        <f aca="false">SUMIF(Base!$D$2:$D$2878,B2501,Base!$I$2:$I$2878)</f>
        <v>48</v>
      </c>
      <c r="H2501" s="36" t="n">
        <f aca="false">IF($G$2849=0,0,G2501/$G$2849)</f>
        <v>3.14986686359885E-006</v>
      </c>
      <c r="I2501" s="37" t="n">
        <f aca="false">I2500+H2501</f>
        <v>0.999484926552019</v>
      </c>
      <c r="J2501" s="37" t="n">
        <f aca="false">A2501/2840</f>
        <v>0.878169014084507</v>
      </c>
      <c r="K2501" s="32" t="str">
        <f aca="false">IF(I2501&lt;=$E$4,"A",IF(I2501&lt;=$E$5,"B","C"))</f>
        <v>C</v>
      </c>
    </row>
    <row r="2502" customFormat="false" ht="15" hidden="false" customHeight="false" outlineLevel="0" collapsed="false">
      <c r="A2502" s="32" t="n">
        <v>2495</v>
      </c>
      <c r="B2502" s="33" t="n">
        <v>16693</v>
      </c>
      <c r="C2502" s="34" t="s">
        <v>5075</v>
      </c>
      <c r="D2502" s="34" t="s">
        <v>5076</v>
      </c>
      <c r="E2502" s="34" t="s">
        <v>100</v>
      </c>
      <c r="F2502" s="32" t="n">
        <f aca="false">COUNTIF(Base!$D$2:$D$2878,B2502)</f>
        <v>1</v>
      </c>
      <c r="G2502" s="35" t="n">
        <f aca="false">SUMIF(Base!$D$2:$D$2878,B2502,Base!$I$2:$I$2878)</f>
        <v>48</v>
      </c>
      <c r="H2502" s="36" t="n">
        <f aca="false">IF($G$2849=0,0,G2502/$G$2849)</f>
        <v>3.14986686359885E-006</v>
      </c>
      <c r="I2502" s="37" t="n">
        <f aca="false">I2501+H2502</f>
        <v>0.999488076418883</v>
      </c>
      <c r="J2502" s="37" t="n">
        <f aca="false">A2502/2840</f>
        <v>0.878521126760563</v>
      </c>
      <c r="K2502" s="32" t="str">
        <f aca="false">IF(I2502&lt;=$E$4,"A",IF(I2502&lt;=$E$5,"B","C"))</f>
        <v>C</v>
      </c>
    </row>
    <row r="2503" customFormat="false" ht="15" hidden="false" customHeight="false" outlineLevel="0" collapsed="false">
      <c r="A2503" s="32" t="n">
        <v>2496</v>
      </c>
      <c r="B2503" s="33" t="n">
        <v>22208</v>
      </c>
      <c r="C2503" s="34" t="s">
        <v>5077</v>
      </c>
      <c r="D2503" s="34" t="s">
        <v>5078</v>
      </c>
      <c r="E2503" s="34" t="s">
        <v>189</v>
      </c>
      <c r="F2503" s="32" t="n">
        <f aca="false">COUNTIF(Base!$D$2:$D$2878,B2503)</f>
        <v>1</v>
      </c>
      <c r="G2503" s="35" t="n">
        <f aca="false">SUMIF(Base!$D$2:$D$2878,B2503,Base!$I$2:$I$2878)</f>
        <v>48</v>
      </c>
      <c r="H2503" s="36" t="n">
        <f aca="false">IF($G$2849=0,0,G2503/$G$2849)</f>
        <v>3.14986686359885E-006</v>
      </c>
      <c r="I2503" s="37" t="n">
        <f aca="false">I2502+H2503</f>
        <v>0.999491226285746</v>
      </c>
      <c r="J2503" s="37" t="n">
        <f aca="false">A2503/2840</f>
        <v>0.87887323943662</v>
      </c>
      <c r="K2503" s="32" t="str">
        <f aca="false">IF(I2503&lt;=$E$4,"A",IF(I2503&lt;=$E$5,"B","C"))</f>
        <v>C</v>
      </c>
    </row>
    <row r="2504" customFormat="false" ht="15" hidden="false" customHeight="false" outlineLevel="0" collapsed="false">
      <c r="A2504" s="32" t="n">
        <v>2497</v>
      </c>
      <c r="B2504" s="33" t="n">
        <v>23298</v>
      </c>
      <c r="C2504" s="34" t="s">
        <v>5079</v>
      </c>
      <c r="D2504" s="34" t="s">
        <v>5080</v>
      </c>
      <c r="E2504" s="34" t="s">
        <v>480</v>
      </c>
      <c r="F2504" s="32" t="n">
        <f aca="false">COUNTIF(Base!$D$2:$D$2878,B2504)</f>
        <v>1</v>
      </c>
      <c r="G2504" s="35" t="n">
        <f aca="false">SUMIF(Base!$D$2:$D$2878,B2504,Base!$I$2:$I$2878)</f>
        <v>48</v>
      </c>
      <c r="H2504" s="36" t="n">
        <f aca="false">IF($G$2849=0,0,G2504/$G$2849)</f>
        <v>3.14986686359885E-006</v>
      </c>
      <c r="I2504" s="37" t="n">
        <f aca="false">I2503+H2504</f>
        <v>0.99949437615261</v>
      </c>
      <c r="J2504" s="37" t="n">
        <f aca="false">A2504/2840</f>
        <v>0.879225352112676</v>
      </c>
      <c r="K2504" s="32" t="str">
        <f aca="false">IF(I2504&lt;=$E$4,"A",IF(I2504&lt;=$E$5,"B","C"))</f>
        <v>C</v>
      </c>
    </row>
    <row r="2505" customFormat="false" ht="15" hidden="false" customHeight="false" outlineLevel="0" collapsed="false">
      <c r="A2505" s="32" t="n">
        <v>2498</v>
      </c>
      <c r="B2505" s="33" t="n">
        <v>35525</v>
      </c>
      <c r="C2505" s="34" t="s">
        <v>5081</v>
      </c>
      <c r="D2505" s="34" t="s">
        <v>5082</v>
      </c>
      <c r="E2505" s="34" t="s">
        <v>705</v>
      </c>
      <c r="F2505" s="32" t="n">
        <f aca="false">COUNTIF(Base!$D$2:$D$2878,B2505)</f>
        <v>1</v>
      </c>
      <c r="G2505" s="35" t="n">
        <f aca="false">SUMIF(Base!$D$2:$D$2878,B2505,Base!$I$2:$I$2878)</f>
        <v>48</v>
      </c>
      <c r="H2505" s="36" t="n">
        <f aca="false">IF($G$2849=0,0,G2505/$G$2849)</f>
        <v>3.14986686359885E-006</v>
      </c>
      <c r="I2505" s="37" t="n">
        <f aca="false">I2504+H2505</f>
        <v>0.999497526019473</v>
      </c>
      <c r="J2505" s="37" t="n">
        <f aca="false">A2505/2840</f>
        <v>0.879577464788732</v>
      </c>
      <c r="K2505" s="32" t="str">
        <f aca="false">IF(I2505&lt;=$E$4,"A",IF(I2505&lt;=$E$5,"B","C"))</f>
        <v>C</v>
      </c>
    </row>
    <row r="2506" customFormat="false" ht="15" hidden="false" customHeight="false" outlineLevel="0" collapsed="false">
      <c r="A2506" s="32" t="n">
        <v>2499</v>
      </c>
      <c r="B2506" s="33" t="n">
        <v>53718</v>
      </c>
      <c r="C2506" s="34" t="s">
        <v>5083</v>
      </c>
      <c r="D2506" s="34" t="s">
        <v>5084</v>
      </c>
      <c r="E2506" s="34" t="s">
        <v>705</v>
      </c>
      <c r="F2506" s="32" t="n">
        <f aca="false">COUNTIF(Base!$D$2:$D$2878,B2506)</f>
        <v>1</v>
      </c>
      <c r="G2506" s="35" t="n">
        <f aca="false">SUMIF(Base!$D$2:$D$2878,B2506,Base!$I$2:$I$2878)</f>
        <v>48</v>
      </c>
      <c r="H2506" s="36" t="n">
        <f aca="false">IF($G$2849=0,0,G2506/$G$2849)</f>
        <v>3.14986686359885E-006</v>
      </c>
      <c r="I2506" s="37" t="n">
        <f aca="false">I2505+H2506</f>
        <v>0.999500675886337</v>
      </c>
      <c r="J2506" s="37" t="n">
        <f aca="false">A2506/2840</f>
        <v>0.879929577464789</v>
      </c>
      <c r="K2506" s="32" t="str">
        <f aca="false">IF(I2506&lt;=$E$4,"A",IF(I2506&lt;=$E$5,"B","C"))</f>
        <v>C</v>
      </c>
    </row>
    <row r="2507" customFormat="false" ht="15" hidden="false" customHeight="false" outlineLevel="0" collapsed="false">
      <c r="A2507" s="32" t="n">
        <v>2500</v>
      </c>
      <c r="B2507" s="33" t="n">
        <v>391934</v>
      </c>
      <c r="C2507" s="34" t="s">
        <v>5085</v>
      </c>
      <c r="D2507" s="34" t="s">
        <v>5086</v>
      </c>
      <c r="E2507" s="34" t="s">
        <v>189</v>
      </c>
      <c r="F2507" s="32" t="n">
        <f aca="false">COUNTIF(Base!$D$2:$D$2878,B2507)</f>
        <v>1</v>
      </c>
      <c r="G2507" s="35" t="n">
        <f aca="false">SUMIF(Base!$D$2:$D$2878,B2507,Base!$I$2:$I$2878)</f>
        <v>48</v>
      </c>
      <c r="H2507" s="36" t="n">
        <f aca="false">IF($G$2849=0,0,G2507/$G$2849)</f>
        <v>3.14986686359885E-006</v>
      </c>
      <c r="I2507" s="37" t="n">
        <f aca="false">I2506+H2507</f>
        <v>0.999503825753201</v>
      </c>
      <c r="J2507" s="37" t="n">
        <f aca="false">A2507/2840</f>
        <v>0.880281690140845</v>
      </c>
      <c r="K2507" s="32" t="str">
        <f aca="false">IF(I2507&lt;=$E$4,"A",IF(I2507&lt;=$E$5,"B","C"))</f>
        <v>C</v>
      </c>
    </row>
    <row r="2508" customFormat="false" ht="15" hidden="false" customHeight="false" outlineLevel="0" collapsed="false">
      <c r="A2508" s="32" t="n">
        <v>2501</v>
      </c>
      <c r="B2508" s="33" t="n">
        <v>937236</v>
      </c>
      <c r="C2508" s="34" t="s">
        <v>5087</v>
      </c>
      <c r="D2508" s="34" t="s">
        <v>5088</v>
      </c>
      <c r="E2508" s="34" t="s">
        <v>217</v>
      </c>
      <c r="F2508" s="32" t="n">
        <f aca="false">COUNTIF(Base!$D$2:$D$2878,B2508)</f>
        <v>1</v>
      </c>
      <c r="G2508" s="35" t="n">
        <f aca="false">SUMIF(Base!$D$2:$D$2878,B2508,Base!$I$2:$I$2878)</f>
        <v>48</v>
      </c>
      <c r="H2508" s="36" t="n">
        <f aca="false">IF($G$2849=0,0,G2508/$G$2849)</f>
        <v>3.14986686359885E-006</v>
      </c>
      <c r="I2508" s="37" t="n">
        <f aca="false">I2507+H2508</f>
        <v>0.999506975620064</v>
      </c>
      <c r="J2508" s="37" t="n">
        <f aca="false">A2508/2840</f>
        <v>0.880633802816901</v>
      </c>
      <c r="K2508" s="32" t="str">
        <f aca="false">IF(I2508&lt;=$E$4,"A",IF(I2508&lt;=$E$5,"B","C"))</f>
        <v>C</v>
      </c>
    </row>
    <row r="2509" customFormat="false" ht="15" hidden="false" customHeight="false" outlineLevel="0" collapsed="false">
      <c r="A2509" s="32" t="n">
        <v>2502</v>
      </c>
      <c r="B2509" s="33" t="n">
        <v>1383688</v>
      </c>
      <c r="C2509" s="34" t="s">
        <v>5089</v>
      </c>
      <c r="D2509" s="34" t="s">
        <v>5090</v>
      </c>
      <c r="E2509" s="34" t="s">
        <v>54</v>
      </c>
      <c r="F2509" s="32" t="n">
        <f aca="false">COUNTIF(Base!$D$2:$D$2878,B2509)</f>
        <v>1</v>
      </c>
      <c r="G2509" s="35" t="n">
        <f aca="false">SUMIF(Base!$D$2:$D$2878,B2509,Base!$I$2:$I$2878)</f>
        <v>47.96</v>
      </c>
      <c r="H2509" s="36" t="n">
        <f aca="false">IF($G$2849=0,0,G2509/$G$2849)</f>
        <v>3.14724197454585E-006</v>
      </c>
      <c r="I2509" s="37" t="n">
        <f aca="false">I2508+H2509</f>
        <v>0.999510122862039</v>
      </c>
      <c r="J2509" s="37" t="n">
        <f aca="false">A2509/2840</f>
        <v>0.880985915492958</v>
      </c>
      <c r="K2509" s="32" t="str">
        <f aca="false">IF(I2509&lt;=$E$4,"A",IF(I2509&lt;=$E$5,"B","C"))</f>
        <v>C</v>
      </c>
    </row>
    <row r="2510" customFormat="false" ht="15" hidden="false" customHeight="false" outlineLevel="0" collapsed="false">
      <c r="A2510" s="32" t="n">
        <v>2503</v>
      </c>
      <c r="B2510" s="33" t="n">
        <v>1485462</v>
      </c>
      <c r="C2510" s="34" t="s">
        <v>5091</v>
      </c>
      <c r="D2510" s="34" t="s">
        <v>5092</v>
      </c>
      <c r="E2510" s="34" t="s">
        <v>38</v>
      </c>
      <c r="F2510" s="32" t="n">
        <f aca="false">COUNTIF(Base!$D$2:$D$2878,B2510)</f>
        <v>1</v>
      </c>
      <c r="G2510" s="35" t="n">
        <f aca="false">SUMIF(Base!$D$2:$D$2878,B2510,Base!$I$2:$I$2878)</f>
        <v>47.95</v>
      </c>
      <c r="H2510" s="36" t="n">
        <f aca="false">IF($G$2849=0,0,G2510/$G$2849)</f>
        <v>3.1465857522826E-006</v>
      </c>
      <c r="I2510" s="37" t="n">
        <f aca="false">I2509+H2510</f>
        <v>0.999513269447791</v>
      </c>
      <c r="J2510" s="37" t="n">
        <f aca="false">A2510/2840</f>
        <v>0.881338028169014</v>
      </c>
      <c r="K2510" s="32" t="str">
        <f aca="false">IF(I2510&lt;=$E$4,"A",IF(I2510&lt;=$E$5,"B","C"))</f>
        <v>C</v>
      </c>
    </row>
    <row r="2511" customFormat="false" ht="15" hidden="false" customHeight="false" outlineLevel="0" collapsed="false">
      <c r="A2511" s="32" t="n">
        <v>2504</v>
      </c>
      <c r="B2511" s="33" t="n">
        <v>56955</v>
      </c>
      <c r="C2511" s="34" t="s">
        <v>5093</v>
      </c>
      <c r="D2511" s="34" t="s">
        <v>5094</v>
      </c>
      <c r="E2511" s="34" t="s">
        <v>38</v>
      </c>
      <c r="F2511" s="32" t="n">
        <f aca="false">COUNTIF(Base!$D$2:$D$2878,B2511)</f>
        <v>1</v>
      </c>
      <c r="G2511" s="35" t="n">
        <f aca="false">SUMIF(Base!$D$2:$D$2878,B2511,Base!$I$2:$I$2878)</f>
        <v>47.84</v>
      </c>
      <c r="H2511" s="36" t="n">
        <f aca="false">IF($G$2849=0,0,G2511/$G$2849)</f>
        <v>3.13936730738685E-006</v>
      </c>
      <c r="I2511" s="37" t="n">
        <f aca="false">I2510+H2511</f>
        <v>0.999516408815098</v>
      </c>
      <c r="J2511" s="37" t="n">
        <f aca="false">A2511/2840</f>
        <v>0.881690140845071</v>
      </c>
      <c r="K2511" s="32" t="str">
        <f aca="false">IF(I2511&lt;=$E$4,"A",IF(I2511&lt;=$E$5,"B","C"))</f>
        <v>C</v>
      </c>
    </row>
    <row r="2512" customFormat="false" ht="15" hidden="false" customHeight="false" outlineLevel="0" collapsed="false">
      <c r="A2512" s="32" t="n">
        <v>2505</v>
      </c>
      <c r="B2512" s="33" t="n">
        <v>1312596</v>
      </c>
      <c r="C2512" s="34" t="s">
        <v>5095</v>
      </c>
      <c r="D2512" s="34" t="s">
        <v>5096</v>
      </c>
      <c r="E2512" s="34" t="s">
        <v>189</v>
      </c>
      <c r="F2512" s="32" t="n">
        <f aca="false">COUNTIF(Base!$D$2:$D$2878,B2512)</f>
        <v>1</v>
      </c>
      <c r="G2512" s="35" t="n">
        <f aca="false">SUMIF(Base!$D$2:$D$2878,B2512,Base!$I$2:$I$2878)</f>
        <v>47.49</v>
      </c>
      <c r="H2512" s="36" t="n">
        <f aca="false">IF($G$2849=0,0,G2512/$G$2849)</f>
        <v>3.11639952817311E-006</v>
      </c>
      <c r="I2512" s="37" t="n">
        <f aca="false">I2511+H2512</f>
        <v>0.999519525214627</v>
      </c>
      <c r="J2512" s="37" t="n">
        <f aca="false">A2512/2840</f>
        <v>0.882042253521127</v>
      </c>
      <c r="K2512" s="32" t="str">
        <f aca="false">IF(I2512&lt;=$E$4,"A",IF(I2512&lt;=$E$5,"B","C"))</f>
        <v>C</v>
      </c>
    </row>
    <row r="2513" customFormat="false" ht="15" hidden="false" customHeight="false" outlineLevel="0" collapsed="false">
      <c r="A2513" s="32" t="n">
        <v>2506</v>
      </c>
      <c r="B2513" s="33" t="n">
        <v>54982</v>
      </c>
      <c r="C2513" s="34" t="s">
        <v>5097</v>
      </c>
      <c r="D2513" s="34" t="s">
        <v>5098</v>
      </c>
      <c r="E2513" s="34" t="s">
        <v>100</v>
      </c>
      <c r="F2513" s="32" t="n">
        <f aca="false">COUNTIF(Base!$D$2:$D$2878,B2513)</f>
        <v>1</v>
      </c>
      <c r="G2513" s="35" t="n">
        <f aca="false">SUMIF(Base!$D$2:$D$2878,B2513,Base!$I$2:$I$2878)</f>
        <v>47.25</v>
      </c>
      <c r="H2513" s="36" t="n">
        <f aca="false">IF($G$2849=0,0,G2513/$G$2849)</f>
        <v>3.10065019385512E-006</v>
      </c>
      <c r="I2513" s="37" t="n">
        <f aca="false">I2512+H2513</f>
        <v>0.99952262586482</v>
      </c>
      <c r="J2513" s="37" t="n">
        <f aca="false">A2513/2840</f>
        <v>0.882394366197183</v>
      </c>
      <c r="K2513" s="32" t="str">
        <f aca="false">IF(I2513&lt;=$E$4,"A",IF(I2513&lt;=$E$5,"B","C"))</f>
        <v>C</v>
      </c>
    </row>
    <row r="2514" customFormat="false" ht="15" hidden="false" customHeight="false" outlineLevel="0" collapsed="false">
      <c r="A2514" s="32" t="n">
        <v>2507</v>
      </c>
      <c r="B2514" s="33" t="n">
        <v>12661</v>
      </c>
      <c r="C2514" s="34" t="s">
        <v>5099</v>
      </c>
      <c r="D2514" s="34" t="s">
        <v>5100</v>
      </c>
      <c r="E2514" s="34" t="s">
        <v>38</v>
      </c>
      <c r="F2514" s="32" t="n">
        <f aca="false">COUNTIF(Base!$D$2:$D$2878,B2514)</f>
        <v>1</v>
      </c>
      <c r="G2514" s="35" t="n">
        <f aca="false">SUMIF(Base!$D$2:$D$2878,B2514,Base!$I$2:$I$2878)</f>
        <v>46.6</v>
      </c>
      <c r="H2514" s="36" t="n">
        <f aca="false">IF($G$2849=0,0,G2514/$G$2849)</f>
        <v>3.05799574674388E-006</v>
      </c>
      <c r="I2514" s="37" t="n">
        <f aca="false">I2513+H2514</f>
        <v>0.999525683860567</v>
      </c>
      <c r="J2514" s="37" t="n">
        <f aca="false">A2514/2840</f>
        <v>0.882746478873239</v>
      </c>
      <c r="K2514" s="32" t="str">
        <f aca="false">IF(I2514&lt;=$E$4,"A",IF(I2514&lt;=$E$5,"B","C"))</f>
        <v>C</v>
      </c>
    </row>
    <row r="2515" customFormat="false" ht="15" hidden="false" customHeight="false" outlineLevel="0" collapsed="false">
      <c r="A2515" s="32" t="n">
        <v>2508</v>
      </c>
      <c r="B2515" s="33" t="n">
        <v>16041</v>
      </c>
      <c r="C2515" s="34" t="s">
        <v>5101</v>
      </c>
      <c r="D2515" s="34" t="s">
        <v>5102</v>
      </c>
      <c r="E2515" s="34" t="s">
        <v>54</v>
      </c>
      <c r="F2515" s="32" t="n">
        <f aca="false">COUNTIF(Base!$D$2:$D$2878,B2515)</f>
        <v>1</v>
      </c>
      <c r="G2515" s="35" t="n">
        <f aca="false">SUMIF(Base!$D$2:$D$2878,B2515,Base!$I$2:$I$2878)</f>
        <v>45.96</v>
      </c>
      <c r="H2515" s="36" t="n">
        <f aca="false">IF($G$2849=0,0,G2515/$G$2849)</f>
        <v>3.0159975218959E-006</v>
      </c>
      <c r="I2515" s="37" t="n">
        <f aca="false">I2514+H2515</f>
        <v>0.999528699858089</v>
      </c>
      <c r="J2515" s="37" t="n">
        <f aca="false">A2515/2840</f>
        <v>0.883098591549296</v>
      </c>
      <c r="K2515" s="32" t="str">
        <f aca="false">IF(I2515&lt;=$E$4,"A",IF(I2515&lt;=$E$5,"B","C"))</f>
        <v>C</v>
      </c>
    </row>
    <row r="2516" customFormat="false" ht="15" hidden="false" customHeight="false" outlineLevel="0" collapsed="false">
      <c r="A2516" s="32" t="n">
        <v>2509</v>
      </c>
      <c r="B2516" s="33" t="n">
        <v>864542</v>
      </c>
      <c r="C2516" s="34" t="s">
        <v>5103</v>
      </c>
      <c r="D2516" s="34" t="s">
        <v>5104</v>
      </c>
      <c r="E2516" s="34" t="s">
        <v>705</v>
      </c>
      <c r="F2516" s="32" t="n">
        <f aca="false">COUNTIF(Base!$D$2:$D$2878,B2516)</f>
        <v>1</v>
      </c>
      <c r="G2516" s="35" t="n">
        <f aca="false">SUMIF(Base!$D$2:$D$2878,B2516,Base!$I$2:$I$2878)</f>
        <v>45.96</v>
      </c>
      <c r="H2516" s="36" t="n">
        <f aca="false">IF($G$2849=0,0,G2516/$G$2849)</f>
        <v>3.0159975218959E-006</v>
      </c>
      <c r="I2516" s="37" t="n">
        <f aca="false">I2515+H2516</f>
        <v>0.999531715855611</v>
      </c>
      <c r="J2516" s="37" t="n">
        <f aca="false">A2516/2840</f>
        <v>0.883450704225352</v>
      </c>
      <c r="K2516" s="32" t="str">
        <f aca="false">IF(I2516&lt;=$E$4,"A",IF(I2516&lt;=$E$5,"B","C"))</f>
        <v>C</v>
      </c>
    </row>
    <row r="2517" customFormat="false" ht="15" hidden="false" customHeight="false" outlineLevel="0" collapsed="false">
      <c r="A2517" s="32" t="n">
        <v>2510</v>
      </c>
      <c r="B2517" s="33" t="n">
        <v>1462822</v>
      </c>
      <c r="C2517" s="34" t="s">
        <v>5105</v>
      </c>
      <c r="D2517" s="34" t="s">
        <v>5106</v>
      </c>
      <c r="E2517" s="34" t="s">
        <v>100</v>
      </c>
      <c r="F2517" s="32" t="n">
        <f aca="false">COUNTIF(Base!$D$2:$D$2878,B2517)</f>
        <v>1</v>
      </c>
      <c r="G2517" s="35" t="n">
        <f aca="false">SUMIF(Base!$D$2:$D$2878,B2517,Base!$I$2:$I$2878)</f>
        <v>45.72</v>
      </c>
      <c r="H2517" s="36" t="n">
        <f aca="false">IF($G$2849=0,0,G2517/$G$2849)</f>
        <v>3.0002481875779E-006</v>
      </c>
      <c r="I2517" s="37" t="n">
        <f aca="false">I2516+H2517</f>
        <v>0.999534716103799</v>
      </c>
      <c r="J2517" s="37" t="n">
        <f aca="false">A2517/2840</f>
        <v>0.883802816901409</v>
      </c>
      <c r="K2517" s="32" t="str">
        <f aca="false">IF(I2517&lt;=$E$4,"A",IF(I2517&lt;=$E$5,"B","C"))</f>
        <v>C</v>
      </c>
    </row>
    <row r="2518" customFormat="false" ht="15" hidden="false" customHeight="false" outlineLevel="0" collapsed="false">
      <c r="A2518" s="32" t="n">
        <v>2511</v>
      </c>
      <c r="B2518" s="33" t="n">
        <v>260310</v>
      </c>
      <c r="C2518" s="34" t="s">
        <v>5107</v>
      </c>
      <c r="D2518" s="34" t="s">
        <v>5108</v>
      </c>
      <c r="E2518" s="34" t="s">
        <v>1095</v>
      </c>
      <c r="F2518" s="32" t="n">
        <f aca="false">COUNTIF(Base!$D$2:$D$2878,B2518)</f>
        <v>1</v>
      </c>
      <c r="G2518" s="35" t="n">
        <f aca="false">SUMIF(Base!$D$2:$D$2878,B2518,Base!$I$2:$I$2878)</f>
        <v>45</v>
      </c>
      <c r="H2518" s="36" t="n">
        <f aca="false">IF($G$2849=0,0,G2518/$G$2849)</f>
        <v>2.95300018462392E-006</v>
      </c>
      <c r="I2518" s="37" t="n">
        <f aca="false">I2517+H2518</f>
        <v>0.999537669103983</v>
      </c>
      <c r="J2518" s="37" t="n">
        <f aca="false">A2518/2840</f>
        <v>0.884154929577465</v>
      </c>
      <c r="K2518" s="32" t="str">
        <f aca="false">IF(I2518&lt;=$E$4,"A",IF(I2518&lt;=$E$5,"B","C"))</f>
        <v>C</v>
      </c>
    </row>
    <row r="2519" customFormat="false" ht="15" hidden="false" customHeight="false" outlineLevel="0" collapsed="false">
      <c r="A2519" s="32" t="n">
        <v>2512</v>
      </c>
      <c r="B2519" s="33" t="n">
        <v>1605183</v>
      </c>
      <c r="C2519" s="34" t="s">
        <v>5109</v>
      </c>
      <c r="D2519" s="34" t="s">
        <v>5110</v>
      </c>
      <c r="E2519" s="34" t="s">
        <v>100</v>
      </c>
      <c r="F2519" s="32" t="n">
        <f aca="false">COUNTIF(Base!$D$2:$D$2878,B2519)</f>
        <v>1</v>
      </c>
      <c r="G2519" s="35" t="n">
        <f aca="false">SUMIF(Base!$D$2:$D$2878,B2519,Base!$I$2:$I$2878)</f>
        <v>45</v>
      </c>
      <c r="H2519" s="36" t="n">
        <f aca="false">IF($G$2849=0,0,G2519/$G$2849)</f>
        <v>2.95300018462392E-006</v>
      </c>
      <c r="I2519" s="37" t="n">
        <f aca="false">I2518+H2519</f>
        <v>0.999540622104168</v>
      </c>
      <c r="J2519" s="37" t="n">
        <f aca="false">A2519/2840</f>
        <v>0.884507042253521</v>
      </c>
      <c r="K2519" s="32" t="str">
        <f aca="false">IF(I2519&lt;=$E$4,"A",IF(I2519&lt;=$E$5,"B","C"))</f>
        <v>C</v>
      </c>
    </row>
    <row r="2520" customFormat="false" ht="15" hidden="false" customHeight="false" outlineLevel="0" collapsed="false">
      <c r="A2520" s="32" t="n">
        <v>2513</v>
      </c>
      <c r="B2520" s="33" t="n">
        <v>54629</v>
      </c>
      <c r="C2520" s="34" t="s">
        <v>5111</v>
      </c>
      <c r="D2520" s="34" t="s">
        <v>5112</v>
      </c>
      <c r="E2520" s="34" t="s">
        <v>480</v>
      </c>
      <c r="F2520" s="32" t="n">
        <f aca="false">COUNTIF(Base!$D$2:$D$2878,B2520)</f>
        <v>1</v>
      </c>
      <c r="G2520" s="35" t="n">
        <f aca="false">SUMIF(Base!$D$2:$D$2878,B2520,Base!$I$2:$I$2878)</f>
        <v>44.94</v>
      </c>
      <c r="H2520" s="36" t="n">
        <f aca="false">IF($G$2849=0,0,G2520/$G$2849)</f>
        <v>2.94906285104442E-006</v>
      </c>
      <c r="I2520" s="37" t="n">
        <f aca="false">I2519+H2520</f>
        <v>0.999543571167019</v>
      </c>
      <c r="J2520" s="37" t="n">
        <f aca="false">A2520/2840</f>
        <v>0.884859154929578</v>
      </c>
      <c r="K2520" s="32" t="str">
        <f aca="false">IF(I2520&lt;=$E$4,"A",IF(I2520&lt;=$E$5,"B","C"))</f>
        <v>C</v>
      </c>
    </row>
    <row r="2521" customFormat="false" ht="15" hidden="false" customHeight="false" outlineLevel="0" collapsed="false">
      <c r="A2521" s="32" t="n">
        <v>2514</v>
      </c>
      <c r="B2521" s="33" t="n">
        <v>1599662</v>
      </c>
      <c r="C2521" s="34" t="s">
        <v>5113</v>
      </c>
      <c r="D2521" s="34" t="s">
        <v>5114</v>
      </c>
      <c r="E2521" s="34" t="s">
        <v>54</v>
      </c>
      <c r="F2521" s="32" t="n">
        <f aca="false">COUNTIF(Base!$D$2:$D$2878,B2521)</f>
        <v>1</v>
      </c>
      <c r="G2521" s="35" t="n">
        <f aca="false">SUMIF(Base!$D$2:$D$2878,B2521,Base!$I$2:$I$2878)</f>
        <v>44.94</v>
      </c>
      <c r="H2521" s="36" t="n">
        <f aca="false">IF($G$2849=0,0,G2521/$G$2849)</f>
        <v>2.94906285104442E-006</v>
      </c>
      <c r="I2521" s="37" t="n">
        <f aca="false">I2520+H2521</f>
        <v>0.99954652022987</v>
      </c>
      <c r="J2521" s="37" t="n">
        <f aca="false">A2521/2840</f>
        <v>0.885211267605634</v>
      </c>
      <c r="K2521" s="32" t="str">
        <f aca="false">IF(I2521&lt;=$E$4,"A",IF(I2521&lt;=$E$5,"B","C"))</f>
        <v>C</v>
      </c>
    </row>
    <row r="2522" customFormat="false" ht="15" hidden="false" customHeight="false" outlineLevel="0" collapsed="false">
      <c r="A2522" s="32" t="n">
        <v>2515</v>
      </c>
      <c r="B2522" s="33" t="n">
        <v>349924</v>
      </c>
      <c r="C2522" s="34" t="s">
        <v>5115</v>
      </c>
      <c r="D2522" s="34" t="s">
        <v>5116</v>
      </c>
      <c r="E2522" s="34" t="s">
        <v>35</v>
      </c>
      <c r="F2522" s="32" t="n">
        <f aca="false">COUNTIF(Base!$D$2:$D$2878,B2522)</f>
        <v>1</v>
      </c>
      <c r="G2522" s="35" t="n">
        <f aca="false">SUMIF(Base!$D$2:$D$2878,B2522,Base!$I$2:$I$2878)</f>
        <v>44.5</v>
      </c>
      <c r="H2522" s="36" t="n">
        <f aca="false">IF($G$2849=0,0,G2522/$G$2849)</f>
        <v>2.92018907146143E-006</v>
      </c>
      <c r="I2522" s="37" t="n">
        <f aca="false">I2521+H2522</f>
        <v>0.999549440418941</v>
      </c>
      <c r="J2522" s="37" t="n">
        <f aca="false">A2522/2840</f>
        <v>0.88556338028169</v>
      </c>
      <c r="K2522" s="32" t="str">
        <f aca="false">IF(I2522&lt;=$E$4,"A",IF(I2522&lt;=$E$5,"B","C"))</f>
        <v>C</v>
      </c>
    </row>
    <row r="2523" customFormat="false" ht="15" hidden="false" customHeight="false" outlineLevel="0" collapsed="false">
      <c r="A2523" s="32" t="n">
        <v>2516</v>
      </c>
      <c r="B2523" s="33" t="n">
        <v>601527</v>
      </c>
      <c r="C2523" s="34" t="s">
        <v>5117</v>
      </c>
      <c r="D2523" s="34" t="s">
        <v>5118</v>
      </c>
      <c r="E2523" s="34" t="s">
        <v>38</v>
      </c>
      <c r="F2523" s="32" t="n">
        <f aca="false">COUNTIF(Base!$D$2:$D$2878,B2523)</f>
        <v>1</v>
      </c>
      <c r="G2523" s="35" t="n">
        <f aca="false">SUMIF(Base!$D$2:$D$2878,B2523,Base!$I$2:$I$2878)</f>
        <v>44.07</v>
      </c>
      <c r="H2523" s="36" t="n">
        <f aca="false">IF($G$2849=0,0,G2523/$G$2849)</f>
        <v>2.89197151414169E-006</v>
      </c>
      <c r="I2523" s="37" t="n">
        <f aca="false">I2522+H2523</f>
        <v>0.999552332390455</v>
      </c>
      <c r="J2523" s="37" t="n">
        <f aca="false">A2523/2840</f>
        <v>0.885915492957747</v>
      </c>
      <c r="K2523" s="32" t="str">
        <f aca="false">IF(I2523&lt;=$E$4,"A",IF(I2523&lt;=$E$5,"B","C"))</f>
        <v>C</v>
      </c>
    </row>
    <row r="2524" customFormat="false" ht="15" hidden="false" customHeight="false" outlineLevel="0" collapsed="false">
      <c r="A2524" s="32" t="n">
        <v>2517</v>
      </c>
      <c r="B2524" s="33" t="n">
        <v>1386218</v>
      </c>
      <c r="C2524" s="34" t="s">
        <v>5119</v>
      </c>
      <c r="D2524" s="34" t="s">
        <v>5120</v>
      </c>
      <c r="E2524" s="34" t="s">
        <v>130</v>
      </c>
      <c r="F2524" s="32" t="n">
        <f aca="false">COUNTIF(Base!$D$2:$D$2878,B2524)</f>
        <v>1</v>
      </c>
      <c r="G2524" s="35" t="n">
        <f aca="false">SUMIF(Base!$D$2:$D$2878,B2524,Base!$I$2:$I$2878)</f>
        <v>44</v>
      </c>
      <c r="H2524" s="36" t="n">
        <f aca="false">IF($G$2849=0,0,G2524/$G$2849)</f>
        <v>2.88737795829895E-006</v>
      </c>
      <c r="I2524" s="37" t="n">
        <f aca="false">I2523+H2524</f>
        <v>0.999555219768414</v>
      </c>
      <c r="J2524" s="37" t="n">
        <f aca="false">A2524/2840</f>
        <v>0.886267605633803</v>
      </c>
      <c r="K2524" s="32" t="str">
        <f aca="false">IF(I2524&lt;=$E$4,"A",IF(I2524&lt;=$E$5,"B","C"))</f>
        <v>C</v>
      </c>
    </row>
    <row r="2525" customFormat="false" ht="15" hidden="false" customHeight="false" outlineLevel="0" collapsed="false">
      <c r="A2525" s="32" t="n">
        <v>2518</v>
      </c>
      <c r="B2525" s="33" t="n">
        <v>1615083</v>
      </c>
      <c r="C2525" s="34" t="s">
        <v>5121</v>
      </c>
      <c r="D2525" s="34" t="s">
        <v>5122</v>
      </c>
      <c r="E2525" s="34" t="s">
        <v>38</v>
      </c>
      <c r="F2525" s="32" t="n">
        <f aca="false">COUNTIF(Base!$D$2:$D$2878,B2525)</f>
        <v>1</v>
      </c>
      <c r="G2525" s="35" t="n">
        <f aca="false">SUMIF(Base!$D$2:$D$2878,B2525,Base!$I$2:$I$2878)</f>
        <v>43.72</v>
      </c>
      <c r="H2525" s="36" t="n">
        <f aca="false">IF($G$2849=0,0,G2525/$G$2849)</f>
        <v>2.86900373492795E-006</v>
      </c>
      <c r="I2525" s="37" t="n">
        <f aca="false">I2524+H2525</f>
        <v>0.999558088772149</v>
      </c>
      <c r="J2525" s="37" t="n">
        <f aca="false">A2525/2840</f>
        <v>0.886619718309859</v>
      </c>
      <c r="K2525" s="32" t="str">
        <f aca="false">IF(I2525&lt;=$E$4,"A",IF(I2525&lt;=$E$5,"B","C"))</f>
        <v>C</v>
      </c>
    </row>
    <row r="2526" customFormat="false" ht="15" hidden="false" customHeight="false" outlineLevel="0" collapsed="false">
      <c r="A2526" s="32" t="n">
        <v>2519</v>
      </c>
      <c r="B2526" s="33" t="n">
        <v>1322824</v>
      </c>
      <c r="C2526" s="34" t="s">
        <v>5123</v>
      </c>
      <c r="D2526" s="34" t="s">
        <v>5124</v>
      </c>
      <c r="E2526" s="34" t="s">
        <v>54</v>
      </c>
      <c r="F2526" s="32" t="n">
        <f aca="false">COUNTIF(Base!$D$2:$D$2878,B2526)</f>
        <v>1</v>
      </c>
      <c r="G2526" s="35" t="n">
        <f aca="false">SUMIF(Base!$D$2:$D$2878,B2526,Base!$I$2:$I$2878)</f>
        <v>43.55</v>
      </c>
      <c r="H2526" s="36" t="n">
        <f aca="false">IF($G$2849=0,0,G2526/$G$2849)</f>
        <v>2.85784795645271E-006</v>
      </c>
      <c r="I2526" s="37" t="n">
        <f aca="false">I2525+H2526</f>
        <v>0.999560946620105</v>
      </c>
      <c r="J2526" s="37" t="n">
        <f aca="false">A2526/2840</f>
        <v>0.886971830985916</v>
      </c>
      <c r="K2526" s="32" t="str">
        <f aca="false">IF(I2526&lt;=$E$4,"A",IF(I2526&lt;=$E$5,"B","C"))</f>
        <v>C</v>
      </c>
    </row>
    <row r="2527" customFormat="false" ht="15" hidden="false" customHeight="false" outlineLevel="0" collapsed="false">
      <c r="A2527" s="32" t="n">
        <v>2520</v>
      </c>
      <c r="B2527" s="33" t="n">
        <v>14871</v>
      </c>
      <c r="C2527" s="34" t="s">
        <v>5125</v>
      </c>
      <c r="D2527" s="34" t="s">
        <v>5126</v>
      </c>
      <c r="E2527" s="34" t="s">
        <v>54</v>
      </c>
      <c r="F2527" s="32" t="n">
        <f aca="false">COUNTIF(Base!$D$2:$D$2878,B2527)</f>
        <v>1</v>
      </c>
      <c r="G2527" s="35" t="n">
        <f aca="false">SUMIF(Base!$D$2:$D$2878,B2527,Base!$I$2:$I$2878)</f>
        <v>43.05</v>
      </c>
      <c r="H2527" s="36" t="n">
        <f aca="false">IF($G$2849=0,0,G2527/$G$2849)</f>
        <v>2.82503684329022E-006</v>
      </c>
      <c r="I2527" s="37" t="n">
        <f aca="false">I2526+H2527</f>
        <v>0.999563771656948</v>
      </c>
      <c r="J2527" s="37" t="n">
        <f aca="false">A2527/2840</f>
        <v>0.887323943661972</v>
      </c>
      <c r="K2527" s="32" t="str">
        <f aca="false">IF(I2527&lt;=$E$4,"A",IF(I2527&lt;=$E$5,"B","C"))</f>
        <v>C</v>
      </c>
    </row>
    <row r="2528" customFormat="false" ht="15" hidden="false" customHeight="false" outlineLevel="0" collapsed="false">
      <c r="A2528" s="32" t="n">
        <v>2521</v>
      </c>
      <c r="B2528" s="33" t="n">
        <v>952597</v>
      </c>
      <c r="C2528" s="34" t="s">
        <v>5127</v>
      </c>
      <c r="D2528" s="34" t="s">
        <v>5128</v>
      </c>
      <c r="E2528" s="34" t="s">
        <v>480</v>
      </c>
      <c r="F2528" s="32" t="n">
        <f aca="false">COUNTIF(Base!$D$2:$D$2878,B2528)</f>
        <v>1</v>
      </c>
      <c r="G2528" s="35" t="n">
        <f aca="false">SUMIF(Base!$D$2:$D$2878,B2528,Base!$I$2:$I$2878)</f>
        <v>43</v>
      </c>
      <c r="H2528" s="36" t="n">
        <f aca="false">IF($G$2849=0,0,G2528/$G$2849)</f>
        <v>2.82175573197397E-006</v>
      </c>
      <c r="I2528" s="37" t="n">
        <f aca="false">I2527+H2528</f>
        <v>0.99956659341268</v>
      </c>
      <c r="J2528" s="37" t="n">
        <f aca="false">A2528/2840</f>
        <v>0.887676056338028</v>
      </c>
      <c r="K2528" s="32" t="str">
        <f aca="false">IF(I2528&lt;=$E$4,"A",IF(I2528&lt;=$E$5,"B","C"))</f>
        <v>C</v>
      </c>
    </row>
    <row r="2529" customFormat="false" ht="15" hidden="false" customHeight="false" outlineLevel="0" collapsed="false">
      <c r="A2529" s="32" t="n">
        <v>2522</v>
      </c>
      <c r="B2529" s="33" t="n">
        <v>15443</v>
      </c>
      <c r="C2529" s="34" t="s">
        <v>5129</v>
      </c>
      <c r="D2529" s="34" t="s">
        <v>5130</v>
      </c>
      <c r="E2529" s="34" t="s">
        <v>54</v>
      </c>
      <c r="F2529" s="32" t="n">
        <f aca="false">COUNTIF(Base!$D$2:$D$2878,B2529)</f>
        <v>1</v>
      </c>
      <c r="G2529" s="35" t="n">
        <f aca="false">SUMIF(Base!$D$2:$D$2878,B2529,Base!$I$2:$I$2878)</f>
        <v>42.72</v>
      </c>
      <c r="H2529" s="36" t="n">
        <f aca="false">IF($G$2849=0,0,G2529/$G$2849)</f>
        <v>2.80338150860298E-006</v>
      </c>
      <c r="I2529" s="37" t="n">
        <f aca="false">I2528+H2529</f>
        <v>0.999569396794189</v>
      </c>
      <c r="J2529" s="37" t="n">
        <f aca="false">A2529/2840</f>
        <v>0.888028169014085</v>
      </c>
      <c r="K2529" s="32" t="str">
        <f aca="false">IF(I2529&lt;=$E$4,"A",IF(I2529&lt;=$E$5,"B","C"))</f>
        <v>C</v>
      </c>
    </row>
    <row r="2530" customFormat="false" ht="15" hidden="false" customHeight="false" outlineLevel="0" collapsed="false">
      <c r="A2530" s="32" t="n">
        <v>2523</v>
      </c>
      <c r="B2530" s="33" t="n">
        <v>1614272</v>
      </c>
      <c r="C2530" s="34" t="s">
        <v>5131</v>
      </c>
      <c r="D2530" s="34" t="s">
        <v>5132</v>
      </c>
      <c r="E2530" s="34" t="s">
        <v>38</v>
      </c>
      <c r="F2530" s="32" t="n">
        <f aca="false">COUNTIF(Base!$D$2:$D$2878,B2530)</f>
        <v>1</v>
      </c>
      <c r="G2530" s="35" t="n">
        <f aca="false">SUMIF(Base!$D$2:$D$2878,B2530,Base!$I$2:$I$2878)</f>
        <v>42.22</v>
      </c>
      <c r="H2530" s="36" t="n">
        <f aca="false">IF($G$2849=0,0,G2530/$G$2849)</f>
        <v>2.77057039544049E-006</v>
      </c>
      <c r="I2530" s="37" t="n">
        <f aca="false">I2529+H2530</f>
        <v>0.999572167364584</v>
      </c>
      <c r="J2530" s="37" t="n">
        <f aca="false">A2530/2840</f>
        <v>0.888380281690141</v>
      </c>
      <c r="K2530" s="32" t="str">
        <f aca="false">IF(I2530&lt;=$E$4,"A",IF(I2530&lt;=$E$5,"B","C"))</f>
        <v>C</v>
      </c>
    </row>
    <row r="2531" customFormat="false" ht="15" hidden="false" customHeight="false" outlineLevel="0" collapsed="false">
      <c r="A2531" s="32" t="n">
        <v>2524</v>
      </c>
      <c r="B2531" s="33" t="n">
        <v>56733</v>
      </c>
      <c r="C2531" s="34" t="s">
        <v>5133</v>
      </c>
      <c r="D2531" s="34" t="s">
        <v>5134</v>
      </c>
      <c r="E2531" s="34" t="s">
        <v>38</v>
      </c>
      <c r="F2531" s="32" t="n">
        <f aca="false">COUNTIF(Base!$D$2:$D$2878,B2531)</f>
        <v>1</v>
      </c>
      <c r="G2531" s="35" t="n">
        <f aca="false">SUMIF(Base!$D$2:$D$2878,B2531,Base!$I$2:$I$2878)</f>
        <v>42.2</v>
      </c>
      <c r="H2531" s="36" t="n">
        <f aca="false">IF($G$2849=0,0,G2531/$G$2849)</f>
        <v>2.76925795091399E-006</v>
      </c>
      <c r="I2531" s="37" t="n">
        <f aca="false">I2530+H2531</f>
        <v>0.999574936622535</v>
      </c>
      <c r="J2531" s="37" t="n">
        <f aca="false">A2531/2840</f>
        <v>0.888732394366197</v>
      </c>
      <c r="K2531" s="32" t="str">
        <f aca="false">IF(I2531&lt;=$E$4,"A",IF(I2531&lt;=$E$5,"B","C"))</f>
        <v>C</v>
      </c>
    </row>
    <row r="2532" customFormat="false" ht="15" hidden="false" customHeight="false" outlineLevel="0" collapsed="false">
      <c r="A2532" s="32" t="n">
        <v>2525</v>
      </c>
      <c r="B2532" s="33" t="n">
        <v>550168</v>
      </c>
      <c r="C2532" s="34" t="s">
        <v>5135</v>
      </c>
      <c r="D2532" s="34" t="s">
        <v>5136</v>
      </c>
      <c r="E2532" s="34" t="s">
        <v>189</v>
      </c>
      <c r="F2532" s="32" t="n">
        <f aca="false">COUNTIF(Base!$D$2:$D$2878,B2532)</f>
        <v>1</v>
      </c>
      <c r="G2532" s="35" t="n">
        <f aca="false">SUMIF(Base!$D$2:$D$2878,B2532,Base!$I$2:$I$2878)</f>
        <v>42.1</v>
      </c>
      <c r="H2532" s="36" t="n">
        <f aca="false">IF($G$2849=0,0,G2532/$G$2849)</f>
        <v>2.76269572828149E-006</v>
      </c>
      <c r="I2532" s="37" t="n">
        <f aca="false">I2531+H2532</f>
        <v>0.999577699318264</v>
      </c>
      <c r="J2532" s="37" t="n">
        <f aca="false">A2532/2840</f>
        <v>0.889084507042254</v>
      </c>
      <c r="K2532" s="32" t="str">
        <f aca="false">IF(I2532&lt;=$E$4,"A",IF(I2532&lt;=$E$5,"B","C"))</f>
        <v>C</v>
      </c>
    </row>
    <row r="2533" customFormat="false" ht="15" hidden="false" customHeight="false" outlineLevel="0" collapsed="false">
      <c r="A2533" s="32" t="n">
        <v>2526</v>
      </c>
      <c r="B2533" s="33" t="n">
        <v>556795</v>
      </c>
      <c r="C2533" s="34" t="s">
        <v>5137</v>
      </c>
      <c r="D2533" s="34" t="s">
        <v>5138</v>
      </c>
      <c r="E2533" s="34" t="s">
        <v>130</v>
      </c>
      <c r="F2533" s="32" t="n">
        <f aca="false">COUNTIF(Base!$D$2:$D$2878,B2533)</f>
        <v>1</v>
      </c>
      <c r="G2533" s="35" t="n">
        <f aca="false">SUMIF(Base!$D$2:$D$2878,B2533,Base!$I$2:$I$2878)</f>
        <v>41.98</v>
      </c>
      <c r="H2533" s="36" t="n">
        <f aca="false">IF($G$2849=0,0,G2533/$G$2849)</f>
        <v>2.75482106112249E-006</v>
      </c>
      <c r="I2533" s="37" t="n">
        <f aca="false">I2532+H2533</f>
        <v>0.999580454139325</v>
      </c>
      <c r="J2533" s="37" t="n">
        <f aca="false">A2533/2840</f>
        <v>0.88943661971831</v>
      </c>
      <c r="K2533" s="32" t="str">
        <f aca="false">IF(I2533&lt;=$E$4,"A",IF(I2533&lt;=$E$5,"B","C"))</f>
        <v>C</v>
      </c>
    </row>
    <row r="2534" customFormat="false" ht="15" hidden="false" customHeight="false" outlineLevel="0" collapsed="false">
      <c r="A2534" s="32" t="n">
        <v>2527</v>
      </c>
      <c r="B2534" s="33" t="n">
        <v>57792</v>
      </c>
      <c r="C2534" s="34" t="s">
        <v>5139</v>
      </c>
      <c r="D2534" s="34" t="s">
        <v>5140</v>
      </c>
      <c r="E2534" s="34" t="s">
        <v>100</v>
      </c>
      <c r="F2534" s="32" t="n">
        <f aca="false">COUNTIF(Base!$D$2:$D$2878,B2534)</f>
        <v>1</v>
      </c>
      <c r="G2534" s="35" t="n">
        <f aca="false">SUMIF(Base!$D$2:$D$2878,B2534,Base!$I$2:$I$2878)</f>
        <v>41.88</v>
      </c>
      <c r="H2534" s="36" t="n">
        <f aca="false">IF($G$2849=0,0,G2534/$G$2849)</f>
        <v>2.74825883849E-006</v>
      </c>
      <c r="I2534" s="37" t="n">
        <f aca="false">I2533+H2534</f>
        <v>0.999583202398163</v>
      </c>
      <c r="J2534" s="37" t="n">
        <f aca="false">A2534/2840</f>
        <v>0.889788732394366</v>
      </c>
      <c r="K2534" s="32" t="str">
        <f aca="false">IF(I2534&lt;=$E$4,"A",IF(I2534&lt;=$E$5,"B","C"))</f>
        <v>C</v>
      </c>
    </row>
    <row r="2535" customFormat="false" ht="15" hidden="false" customHeight="false" outlineLevel="0" collapsed="false">
      <c r="A2535" s="32" t="n">
        <v>2528</v>
      </c>
      <c r="B2535" s="33" t="n">
        <v>966284</v>
      </c>
      <c r="C2535" s="34" t="s">
        <v>5141</v>
      </c>
      <c r="D2535" s="34" t="s">
        <v>5142</v>
      </c>
      <c r="E2535" s="34" t="s">
        <v>100</v>
      </c>
      <c r="F2535" s="32" t="n">
        <f aca="false">COUNTIF(Base!$D$2:$D$2878,B2535)</f>
        <v>1</v>
      </c>
      <c r="G2535" s="35" t="n">
        <f aca="false">SUMIF(Base!$D$2:$D$2878,B2535,Base!$I$2:$I$2878)</f>
        <v>41.88</v>
      </c>
      <c r="H2535" s="36" t="n">
        <f aca="false">IF($G$2849=0,0,G2535/$G$2849)</f>
        <v>2.74825883849E-006</v>
      </c>
      <c r="I2535" s="37" t="n">
        <f aca="false">I2534+H2535</f>
        <v>0.999585950657002</v>
      </c>
      <c r="J2535" s="37" t="n">
        <f aca="false">A2535/2840</f>
        <v>0.890140845070423</v>
      </c>
      <c r="K2535" s="32" t="str">
        <f aca="false">IF(I2535&lt;=$E$4,"A",IF(I2535&lt;=$E$5,"B","C"))</f>
        <v>C</v>
      </c>
    </row>
    <row r="2536" customFormat="false" ht="15" hidden="false" customHeight="false" outlineLevel="0" collapsed="false">
      <c r="A2536" s="32" t="n">
        <v>2529</v>
      </c>
      <c r="B2536" s="33" t="n">
        <v>22994</v>
      </c>
      <c r="C2536" s="34" t="s">
        <v>5143</v>
      </c>
      <c r="D2536" s="34" t="s">
        <v>5144</v>
      </c>
      <c r="E2536" s="34" t="s">
        <v>38</v>
      </c>
      <c r="F2536" s="32" t="n">
        <f aca="false">COUNTIF(Base!$D$2:$D$2878,B2536)</f>
        <v>1</v>
      </c>
      <c r="G2536" s="35" t="n">
        <f aca="false">SUMIF(Base!$D$2:$D$2878,B2536,Base!$I$2:$I$2878)</f>
        <v>41.84</v>
      </c>
      <c r="H2536" s="36" t="n">
        <f aca="false">IF($G$2849=0,0,G2536/$G$2849)</f>
        <v>2.745633949437E-006</v>
      </c>
      <c r="I2536" s="37" t="n">
        <f aca="false">I2535+H2536</f>
        <v>0.999588696290951</v>
      </c>
      <c r="J2536" s="37" t="n">
        <f aca="false">A2536/2840</f>
        <v>0.890492957746479</v>
      </c>
      <c r="K2536" s="32" t="str">
        <f aca="false">IF(I2536&lt;=$E$4,"A",IF(I2536&lt;=$E$5,"B","C"))</f>
        <v>C</v>
      </c>
    </row>
    <row r="2537" customFormat="false" ht="15" hidden="false" customHeight="false" outlineLevel="0" collapsed="false">
      <c r="A2537" s="32" t="n">
        <v>2530</v>
      </c>
      <c r="B2537" s="33" t="n">
        <v>278518</v>
      </c>
      <c r="C2537" s="34" t="s">
        <v>5145</v>
      </c>
      <c r="D2537" s="34" t="s">
        <v>5146</v>
      </c>
      <c r="E2537" s="34" t="s">
        <v>38</v>
      </c>
      <c r="F2537" s="32" t="n">
        <f aca="false">COUNTIF(Base!$D$2:$D$2878,B2537)</f>
        <v>1</v>
      </c>
      <c r="G2537" s="35" t="n">
        <f aca="false">SUMIF(Base!$D$2:$D$2878,B2537,Base!$I$2:$I$2878)</f>
        <v>41.84</v>
      </c>
      <c r="H2537" s="36" t="n">
        <f aca="false">IF($G$2849=0,0,G2537/$G$2849)</f>
        <v>2.745633949437E-006</v>
      </c>
      <c r="I2537" s="37" t="n">
        <f aca="false">I2536+H2537</f>
        <v>0.999591441924901</v>
      </c>
      <c r="J2537" s="37" t="n">
        <f aca="false">A2537/2840</f>
        <v>0.890845070422535</v>
      </c>
      <c r="K2537" s="32" t="str">
        <f aca="false">IF(I2537&lt;=$E$4,"A",IF(I2537&lt;=$E$5,"B","C"))</f>
        <v>C</v>
      </c>
    </row>
    <row r="2538" customFormat="false" ht="15" hidden="false" customHeight="false" outlineLevel="0" collapsed="false">
      <c r="A2538" s="32" t="n">
        <v>2531</v>
      </c>
      <c r="B2538" s="33" t="n">
        <v>14346</v>
      </c>
      <c r="C2538" s="34" t="s">
        <v>5147</v>
      </c>
      <c r="D2538" s="34" t="s">
        <v>5148</v>
      </c>
      <c r="E2538" s="34" t="s">
        <v>38</v>
      </c>
      <c r="F2538" s="32" t="n">
        <f aca="false">COUNTIF(Base!$D$2:$D$2878,B2538)</f>
        <v>1</v>
      </c>
      <c r="G2538" s="35" t="n">
        <f aca="false">SUMIF(Base!$D$2:$D$2878,B2538,Base!$I$2:$I$2878)</f>
        <v>41.8</v>
      </c>
      <c r="H2538" s="36" t="n">
        <f aca="false">IF($G$2849=0,0,G2538/$G$2849)</f>
        <v>2.743009060384E-006</v>
      </c>
      <c r="I2538" s="37" t="n">
        <f aca="false">I2537+H2538</f>
        <v>0.999594184933961</v>
      </c>
      <c r="J2538" s="37" t="n">
        <f aca="false">A2538/2840</f>
        <v>0.891197183098592</v>
      </c>
      <c r="K2538" s="32" t="str">
        <f aca="false">IF(I2538&lt;=$E$4,"A",IF(I2538&lt;=$E$5,"B","C"))</f>
        <v>C</v>
      </c>
    </row>
    <row r="2539" customFormat="false" ht="15" hidden="false" customHeight="false" outlineLevel="0" collapsed="false">
      <c r="A2539" s="32" t="n">
        <v>2532</v>
      </c>
      <c r="B2539" s="33" t="n">
        <v>1322826</v>
      </c>
      <c r="C2539" s="34" t="s">
        <v>5149</v>
      </c>
      <c r="D2539" s="34" t="s">
        <v>5150</v>
      </c>
      <c r="E2539" s="34" t="s">
        <v>38</v>
      </c>
      <c r="F2539" s="32" t="n">
        <f aca="false">COUNTIF(Base!$D$2:$D$2878,B2539)</f>
        <v>1</v>
      </c>
      <c r="G2539" s="35" t="n">
        <f aca="false">SUMIF(Base!$D$2:$D$2878,B2539,Base!$I$2:$I$2878)</f>
        <v>41.73</v>
      </c>
      <c r="H2539" s="36" t="n">
        <f aca="false">IF($G$2849=0,0,G2539/$G$2849)</f>
        <v>2.73841550454125E-006</v>
      </c>
      <c r="I2539" s="37" t="n">
        <f aca="false">I2538+H2539</f>
        <v>0.999596923349466</v>
      </c>
      <c r="J2539" s="37" t="n">
        <f aca="false">A2539/2840</f>
        <v>0.891549295774648</v>
      </c>
      <c r="K2539" s="32" t="str">
        <f aca="false">IF(I2539&lt;=$E$4,"A",IF(I2539&lt;=$E$5,"B","C"))</f>
        <v>C</v>
      </c>
    </row>
    <row r="2540" customFormat="false" ht="15" hidden="false" customHeight="false" outlineLevel="0" collapsed="false">
      <c r="A2540" s="32" t="n">
        <v>2533</v>
      </c>
      <c r="B2540" s="33" t="n">
        <v>1330450</v>
      </c>
      <c r="C2540" s="34" t="s">
        <v>5151</v>
      </c>
      <c r="D2540" s="34" t="s">
        <v>5152</v>
      </c>
      <c r="E2540" s="34" t="s">
        <v>54</v>
      </c>
      <c r="F2540" s="32" t="n">
        <f aca="false">COUNTIF(Base!$D$2:$D$2878,B2540)</f>
        <v>1</v>
      </c>
      <c r="G2540" s="35" t="n">
        <f aca="false">SUMIF(Base!$D$2:$D$2878,B2540,Base!$I$2:$I$2878)</f>
        <v>41.68</v>
      </c>
      <c r="H2540" s="36" t="n">
        <f aca="false">IF($G$2849=0,0,G2540/$G$2849)</f>
        <v>2.735134393225E-006</v>
      </c>
      <c r="I2540" s="37" t="n">
        <f aca="false">I2539+H2540</f>
        <v>0.999599658483859</v>
      </c>
      <c r="J2540" s="37" t="n">
        <f aca="false">A2540/2840</f>
        <v>0.891901408450704</v>
      </c>
      <c r="K2540" s="32" t="str">
        <f aca="false">IF(I2540&lt;=$E$4,"A",IF(I2540&lt;=$E$5,"B","C"))</f>
        <v>C</v>
      </c>
    </row>
    <row r="2541" customFormat="false" ht="15" hidden="false" customHeight="false" outlineLevel="0" collapsed="false">
      <c r="A2541" s="32" t="n">
        <v>2534</v>
      </c>
      <c r="B2541" s="33" t="n">
        <v>1383809</v>
      </c>
      <c r="C2541" s="34" t="s">
        <v>5153</v>
      </c>
      <c r="D2541" s="34" t="s">
        <v>5154</v>
      </c>
      <c r="E2541" s="34" t="s">
        <v>100</v>
      </c>
      <c r="F2541" s="32" t="n">
        <f aca="false">COUNTIF(Base!$D$2:$D$2878,B2541)</f>
        <v>1</v>
      </c>
      <c r="G2541" s="35" t="n">
        <f aca="false">SUMIF(Base!$D$2:$D$2878,B2541,Base!$I$2:$I$2878)</f>
        <v>41.59</v>
      </c>
      <c r="H2541" s="36" t="n">
        <f aca="false">IF($G$2849=0,0,G2541/$G$2849)</f>
        <v>2.72922839285575E-006</v>
      </c>
      <c r="I2541" s="37" t="n">
        <f aca="false">I2540+H2541</f>
        <v>0.999602387712252</v>
      </c>
      <c r="J2541" s="37" t="n">
        <f aca="false">A2541/2840</f>
        <v>0.892253521126761</v>
      </c>
      <c r="K2541" s="32" t="str">
        <f aca="false">IF(I2541&lt;=$E$4,"A",IF(I2541&lt;=$E$5,"B","C"))</f>
        <v>C</v>
      </c>
    </row>
    <row r="2542" customFormat="false" ht="15" hidden="false" customHeight="false" outlineLevel="0" collapsed="false">
      <c r="A2542" s="32" t="n">
        <v>2535</v>
      </c>
      <c r="B2542" s="33" t="n">
        <v>1485510</v>
      </c>
      <c r="C2542" s="34" t="s">
        <v>5155</v>
      </c>
      <c r="D2542" s="34" t="s">
        <v>5156</v>
      </c>
      <c r="E2542" s="34" t="s">
        <v>38</v>
      </c>
      <c r="F2542" s="32" t="n">
        <f aca="false">COUNTIF(Base!$D$2:$D$2878,B2542)</f>
        <v>1</v>
      </c>
      <c r="G2542" s="35" t="n">
        <f aca="false">SUMIF(Base!$D$2:$D$2878,B2542,Base!$I$2:$I$2878)</f>
        <v>41.52</v>
      </c>
      <c r="H2542" s="36" t="n">
        <f aca="false">IF($G$2849=0,0,G2542/$G$2849)</f>
        <v>2.724634837013E-006</v>
      </c>
      <c r="I2542" s="37" t="n">
        <f aca="false">I2541+H2542</f>
        <v>0.999605112347089</v>
      </c>
      <c r="J2542" s="37" t="n">
        <f aca="false">A2542/2840</f>
        <v>0.892605633802817</v>
      </c>
      <c r="K2542" s="32" t="str">
        <f aca="false">IF(I2542&lt;=$E$4,"A",IF(I2542&lt;=$E$5,"B","C"))</f>
        <v>C</v>
      </c>
    </row>
    <row r="2543" customFormat="false" ht="15" hidden="false" customHeight="false" outlineLevel="0" collapsed="false">
      <c r="A2543" s="32" t="n">
        <v>2536</v>
      </c>
      <c r="B2543" s="33" t="n">
        <v>520105</v>
      </c>
      <c r="C2543" s="34" t="s">
        <v>5157</v>
      </c>
      <c r="D2543" s="34" t="s">
        <v>5158</v>
      </c>
      <c r="E2543" s="34" t="s">
        <v>100</v>
      </c>
      <c r="F2543" s="32" t="n">
        <f aca="false">COUNTIF(Base!$D$2:$D$2878,B2543)</f>
        <v>1</v>
      </c>
      <c r="G2543" s="35" t="n">
        <f aca="false">SUMIF(Base!$D$2:$D$2878,B2543,Base!$I$2:$I$2878)</f>
        <v>40.8</v>
      </c>
      <c r="H2543" s="36" t="n">
        <f aca="false">IF($G$2849=0,0,G2543/$G$2849)</f>
        <v>2.67738683405902E-006</v>
      </c>
      <c r="I2543" s="37" t="n">
        <f aca="false">I2542+H2543</f>
        <v>0.999607789733923</v>
      </c>
      <c r="J2543" s="37" t="n">
        <f aca="false">A2543/2840</f>
        <v>0.892957746478873</v>
      </c>
      <c r="K2543" s="32" t="str">
        <f aca="false">IF(I2543&lt;=$E$4,"A",IF(I2543&lt;=$E$5,"B","C"))</f>
        <v>C</v>
      </c>
    </row>
    <row r="2544" customFormat="false" ht="15" hidden="false" customHeight="false" outlineLevel="0" collapsed="false">
      <c r="A2544" s="32" t="n">
        <v>2537</v>
      </c>
      <c r="B2544" s="33" t="n">
        <v>604202</v>
      </c>
      <c r="C2544" s="34" t="s">
        <v>5159</v>
      </c>
      <c r="D2544" s="34" t="s">
        <v>5160</v>
      </c>
      <c r="E2544" s="34" t="s">
        <v>1618</v>
      </c>
      <c r="F2544" s="32" t="n">
        <f aca="false">COUNTIF(Base!$D$2:$D$2878,B2544)</f>
        <v>1</v>
      </c>
      <c r="G2544" s="35" t="n">
        <f aca="false">SUMIF(Base!$D$2:$D$2878,B2544,Base!$I$2:$I$2878)</f>
        <v>40.64</v>
      </c>
      <c r="H2544" s="36" t="n">
        <f aca="false">IF($G$2849=0,0,G2544/$G$2849)</f>
        <v>2.66688727784703E-006</v>
      </c>
      <c r="I2544" s="37" t="n">
        <f aca="false">I2543+H2544</f>
        <v>0.9996104566212</v>
      </c>
      <c r="J2544" s="37" t="n">
        <f aca="false">A2544/2840</f>
        <v>0.89330985915493</v>
      </c>
      <c r="K2544" s="32" t="str">
        <f aca="false">IF(I2544&lt;=$E$4,"A",IF(I2544&lt;=$E$5,"B","C"))</f>
        <v>C</v>
      </c>
    </row>
    <row r="2545" customFormat="false" ht="15" hidden="false" customHeight="false" outlineLevel="0" collapsed="false">
      <c r="A2545" s="32" t="n">
        <v>2538</v>
      </c>
      <c r="B2545" s="33" t="n">
        <v>1467943</v>
      </c>
      <c r="C2545" s="34" t="s">
        <v>5161</v>
      </c>
      <c r="D2545" s="34" t="s">
        <v>5162</v>
      </c>
      <c r="E2545" s="34" t="s">
        <v>2056</v>
      </c>
      <c r="F2545" s="32" t="n">
        <f aca="false">COUNTIF(Base!$D$2:$D$2878,B2545)</f>
        <v>1</v>
      </c>
      <c r="G2545" s="35" t="n">
        <f aca="false">SUMIF(Base!$D$2:$D$2878,B2545,Base!$I$2:$I$2878)</f>
        <v>40</v>
      </c>
      <c r="H2545" s="36" t="n">
        <f aca="false">IF($G$2849=0,0,G2545/$G$2849)</f>
        <v>2.62488905299904E-006</v>
      </c>
      <c r="I2545" s="37" t="n">
        <f aca="false">I2544+H2545</f>
        <v>0.999613081510253</v>
      </c>
      <c r="J2545" s="37" t="n">
        <f aca="false">A2545/2840</f>
        <v>0.893661971830986</v>
      </c>
      <c r="K2545" s="32" t="str">
        <f aca="false">IF(I2545&lt;=$E$4,"A",IF(I2545&lt;=$E$5,"B","C"))</f>
        <v>C</v>
      </c>
    </row>
    <row r="2546" customFormat="false" ht="15" hidden="false" customHeight="false" outlineLevel="0" collapsed="false">
      <c r="A2546" s="32" t="n">
        <v>2539</v>
      </c>
      <c r="B2546" s="33" t="n">
        <v>1331021</v>
      </c>
      <c r="C2546" s="34" t="s">
        <v>5163</v>
      </c>
      <c r="D2546" s="34" t="s">
        <v>5164</v>
      </c>
      <c r="E2546" s="34" t="s">
        <v>4295</v>
      </c>
      <c r="F2546" s="32" t="n">
        <f aca="false">COUNTIF(Base!$D$2:$D$2878,B2546)</f>
        <v>1</v>
      </c>
      <c r="G2546" s="35" t="n">
        <f aca="false">SUMIF(Base!$D$2:$D$2878,B2546,Base!$I$2:$I$2878)</f>
        <v>39.99</v>
      </c>
      <c r="H2546" s="36" t="n">
        <f aca="false">IF($G$2849=0,0,G2546/$G$2849)</f>
        <v>2.62423283073579E-006</v>
      </c>
      <c r="I2546" s="37" t="n">
        <f aca="false">I2545+H2546</f>
        <v>0.999615705743084</v>
      </c>
      <c r="J2546" s="37" t="n">
        <f aca="false">A2546/2840</f>
        <v>0.894014084507042</v>
      </c>
      <c r="K2546" s="32" t="str">
        <f aca="false">IF(I2546&lt;=$E$4,"A",IF(I2546&lt;=$E$5,"B","C"))</f>
        <v>C</v>
      </c>
    </row>
    <row r="2547" customFormat="false" ht="15" hidden="false" customHeight="false" outlineLevel="0" collapsed="false">
      <c r="A2547" s="32" t="n">
        <v>2540</v>
      </c>
      <c r="B2547" s="33" t="n">
        <v>22128</v>
      </c>
      <c r="C2547" s="34" t="s">
        <v>5165</v>
      </c>
      <c r="D2547" s="34" t="s">
        <v>5166</v>
      </c>
      <c r="E2547" s="34" t="s">
        <v>334</v>
      </c>
      <c r="F2547" s="32" t="n">
        <f aca="false">COUNTIF(Base!$D$2:$D$2878,B2547)</f>
        <v>1</v>
      </c>
      <c r="G2547" s="35" t="n">
        <f aca="false">SUMIF(Base!$D$2:$D$2878,B2547,Base!$I$2:$I$2878)</f>
        <v>39.98</v>
      </c>
      <c r="H2547" s="36" t="n">
        <f aca="false">IF($G$2849=0,0,G2547/$G$2849)</f>
        <v>2.62357660847254E-006</v>
      </c>
      <c r="I2547" s="37" t="n">
        <f aca="false">I2546+H2547</f>
        <v>0.999618329319693</v>
      </c>
      <c r="J2547" s="37" t="n">
        <f aca="false">A2547/2840</f>
        <v>0.894366197183099</v>
      </c>
      <c r="K2547" s="32" t="str">
        <f aca="false">IF(I2547&lt;=$E$4,"A",IF(I2547&lt;=$E$5,"B","C"))</f>
        <v>C</v>
      </c>
    </row>
    <row r="2548" customFormat="false" ht="15" hidden="false" customHeight="false" outlineLevel="0" collapsed="false">
      <c r="A2548" s="32" t="n">
        <v>2541</v>
      </c>
      <c r="B2548" s="33" t="n">
        <v>429117</v>
      </c>
      <c r="C2548" s="34" t="s">
        <v>5167</v>
      </c>
      <c r="D2548" s="34" t="s">
        <v>5168</v>
      </c>
      <c r="E2548" s="34" t="s">
        <v>1095</v>
      </c>
      <c r="F2548" s="32" t="n">
        <f aca="false">COUNTIF(Base!$D$2:$D$2878,B2548)</f>
        <v>1</v>
      </c>
      <c r="G2548" s="35" t="n">
        <f aca="false">SUMIF(Base!$D$2:$D$2878,B2548,Base!$I$2:$I$2878)</f>
        <v>39.98</v>
      </c>
      <c r="H2548" s="36" t="n">
        <f aca="false">IF($G$2849=0,0,G2548/$G$2849)</f>
        <v>2.62357660847254E-006</v>
      </c>
      <c r="I2548" s="37" t="n">
        <f aca="false">I2547+H2548</f>
        <v>0.999620952896301</v>
      </c>
      <c r="J2548" s="37" t="n">
        <f aca="false">A2548/2840</f>
        <v>0.894718309859155</v>
      </c>
      <c r="K2548" s="32" t="str">
        <f aca="false">IF(I2548&lt;=$E$4,"A",IF(I2548&lt;=$E$5,"B","C"))</f>
        <v>C</v>
      </c>
    </row>
    <row r="2549" customFormat="false" ht="15" hidden="false" customHeight="false" outlineLevel="0" collapsed="false">
      <c r="A2549" s="32" t="n">
        <v>2542</v>
      </c>
      <c r="B2549" s="33" t="n">
        <v>861122</v>
      </c>
      <c r="C2549" s="34" t="s">
        <v>5169</v>
      </c>
      <c r="D2549" s="34" t="s">
        <v>5170</v>
      </c>
      <c r="E2549" s="34" t="s">
        <v>2056</v>
      </c>
      <c r="F2549" s="32" t="n">
        <f aca="false">COUNTIF(Base!$D$2:$D$2878,B2549)</f>
        <v>1</v>
      </c>
      <c r="G2549" s="35" t="n">
        <f aca="false">SUMIF(Base!$D$2:$D$2878,B2549,Base!$I$2:$I$2878)</f>
        <v>39.98</v>
      </c>
      <c r="H2549" s="36" t="n">
        <f aca="false">IF($G$2849=0,0,G2549/$G$2849)</f>
        <v>2.62357660847254E-006</v>
      </c>
      <c r="I2549" s="37" t="n">
        <f aca="false">I2548+H2549</f>
        <v>0.99962357647291</v>
      </c>
      <c r="J2549" s="37" t="n">
        <f aca="false">A2549/2840</f>
        <v>0.895070422535211</v>
      </c>
      <c r="K2549" s="32" t="str">
        <f aca="false">IF(I2549&lt;=$E$4,"A",IF(I2549&lt;=$E$5,"B","C"))</f>
        <v>C</v>
      </c>
    </row>
    <row r="2550" customFormat="false" ht="15" hidden="false" customHeight="false" outlineLevel="0" collapsed="false">
      <c r="A2550" s="32" t="n">
        <v>2543</v>
      </c>
      <c r="B2550" s="33" t="n">
        <v>23321</v>
      </c>
      <c r="C2550" s="34" t="s">
        <v>5171</v>
      </c>
      <c r="D2550" s="34" t="s">
        <v>5172</v>
      </c>
      <c r="E2550" s="34" t="s">
        <v>38</v>
      </c>
      <c r="F2550" s="32" t="n">
        <f aca="false">COUNTIF(Base!$D$2:$D$2878,B2550)</f>
        <v>1</v>
      </c>
      <c r="G2550" s="35" t="n">
        <f aca="false">SUMIF(Base!$D$2:$D$2878,B2550,Base!$I$2:$I$2878)</f>
        <v>39.96</v>
      </c>
      <c r="H2550" s="36" t="n">
        <f aca="false">IF($G$2849=0,0,G2550/$G$2849)</f>
        <v>2.62226416394604E-006</v>
      </c>
      <c r="I2550" s="37" t="n">
        <f aca="false">I2549+H2550</f>
        <v>0.999626198737074</v>
      </c>
      <c r="J2550" s="37" t="n">
        <f aca="false">A2550/2840</f>
        <v>0.895422535211268</v>
      </c>
      <c r="K2550" s="32" t="str">
        <f aca="false">IF(I2550&lt;=$E$4,"A",IF(I2550&lt;=$E$5,"B","C"))</f>
        <v>C</v>
      </c>
    </row>
    <row r="2551" customFormat="false" ht="15" hidden="false" customHeight="false" outlineLevel="0" collapsed="false">
      <c r="A2551" s="32" t="n">
        <v>2544</v>
      </c>
      <c r="B2551" s="33" t="n">
        <v>1327594</v>
      </c>
      <c r="C2551" s="34" t="s">
        <v>5173</v>
      </c>
      <c r="D2551" s="34" t="s">
        <v>5174</v>
      </c>
      <c r="E2551" s="34" t="s">
        <v>54</v>
      </c>
      <c r="F2551" s="32" t="n">
        <f aca="false">COUNTIF(Base!$D$2:$D$2878,B2551)</f>
        <v>1</v>
      </c>
      <c r="G2551" s="35" t="n">
        <f aca="false">SUMIF(Base!$D$2:$D$2878,B2551,Base!$I$2:$I$2878)</f>
        <v>39.96</v>
      </c>
      <c r="H2551" s="36" t="n">
        <f aca="false">IF($G$2849=0,0,G2551/$G$2849)</f>
        <v>2.62226416394604E-006</v>
      </c>
      <c r="I2551" s="37" t="n">
        <f aca="false">I2550+H2551</f>
        <v>0.999628821001238</v>
      </c>
      <c r="J2551" s="37" t="n">
        <f aca="false">A2551/2840</f>
        <v>0.895774647887324</v>
      </c>
      <c r="K2551" s="32" t="str">
        <f aca="false">IF(I2551&lt;=$E$4,"A",IF(I2551&lt;=$E$5,"B","C"))</f>
        <v>C</v>
      </c>
    </row>
    <row r="2552" customFormat="false" ht="15" hidden="false" customHeight="false" outlineLevel="0" collapsed="false">
      <c r="A2552" s="32" t="n">
        <v>2545</v>
      </c>
      <c r="B2552" s="33" t="n">
        <v>1484084</v>
      </c>
      <c r="C2552" s="34" t="s">
        <v>5175</v>
      </c>
      <c r="D2552" s="34" t="s">
        <v>5176</v>
      </c>
      <c r="E2552" s="34" t="s">
        <v>100</v>
      </c>
      <c r="F2552" s="32" t="n">
        <f aca="false">COUNTIF(Base!$D$2:$D$2878,B2552)</f>
        <v>1</v>
      </c>
      <c r="G2552" s="35" t="n">
        <f aca="false">SUMIF(Base!$D$2:$D$2878,B2552,Base!$I$2:$I$2878)</f>
        <v>39.96</v>
      </c>
      <c r="H2552" s="36" t="n">
        <f aca="false">IF($G$2849=0,0,G2552/$G$2849)</f>
        <v>2.62226416394604E-006</v>
      </c>
      <c r="I2552" s="37" t="n">
        <f aca="false">I2551+H2552</f>
        <v>0.999631443265401</v>
      </c>
      <c r="J2552" s="37" t="n">
        <f aca="false">A2552/2840</f>
        <v>0.89612676056338</v>
      </c>
      <c r="K2552" s="32" t="str">
        <f aca="false">IF(I2552&lt;=$E$4,"A",IF(I2552&lt;=$E$5,"B","C"))</f>
        <v>C</v>
      </c>
    </row>
    <row r="2553" customFormat="false" ht="15" hidden="false" customHeight="false" outlineLevel="0" collapsed="false">
      <c r="A2553" s="32" t="n">
        <v>2546</v>
      </c>
      <c r="B2553" s="33" t="n">
        <v>1599712</v>
      </c>
      <c r="C2553" s="34" t="s">
        <v>5177</v>
      </c>
      <c r="D2553" s="34" t="s">
        <v>5178</v>
      </c>
      <c r="E2553" s="34" t="s">
        <v>54</v>
      </c>
      <c r="F2553" s="32" t="n">
        <f aca="false">COUNTIF(Base!$D$2:$D$2878,B2553)</f>
        <v>1</v>
      </c>
      <c r="G2553" s="35" t="n">
        <f aca="false">SUMIF(Base!$D$2:$D$2878,B2553,Base!$I$2:$I$2878)</f>
        <v>39.92</v>
      </c>
      <c r="H2553" s="36" t="n">
        <f aca="false">IF($G$2849=0,0,G2553/$G$2849)</f>
        <v>2.61963927489304E-006</v>
      </c>
      <c r="I2553" s="37" t="n">
        <f aca="false">I2552+H2553</f>
        <v>0.999634062904676</v>
      </c>
      <c r="J2553" s="37" t="n">
        <f aca="false">A2553/2840</f>
        <v>0.896478873239437</v>
      </c>
      <c r="K2553" s="32" t="str">
        <f aca="false">IF(I2553&lt;=$E$4,"A",IF(I2553&lt;=$E$5,"B","C"))</f>
        <v>C</v>
      </c>
    </row>
    <row r="2554" customFormat="false" ht="15" hidden="false" customHeight="false" outlineLevel="0" collapsed="false">
      <c r="A2554" s="32" t="n">
        <v>2547</v>
      </c>
      <c r="B2554" s="33" t="n">
        <v>16230</v>
      </c>
      <c r="C2554" s="34" t="s">
        <v>5179</v>
      </c>
      <c r="D2554" s="34" t="s">
        <v>5180</v>
      </c>
      <c r="E2554" s="34" t="s">
        <v>54</v>
      </c>
      <c r="F2554" s="32" t="n">
        <f aca="false">COUNTIF(Base!$D$2:$D$2878,B2554)</f>
        <v>1</v>
      </c>
      <c r="G2554" s="35" t="n">
        <f aca="false">SUMIF(Base!$D$2:$D$2878,B2554,Base!$I$2:$I$2878)</f>
        <v>39.9</v>
      </c>
      <c r="H2554" s="36" t="n">
        <f aca="false">IF($G$2849=0,0,G2554/$G$2849)</f>
        <v>2.61832683036654E-006</v>
      </c>
      <c r="I2554" s="37" t="n">
        <f aca="false">I2553+H2554</f>
        <v>0.999636681231507</v>
      </c>
      <c r="J2554" s="37" t="n">
        <f aca="false">A2554/2840</f>
        <v>0.896830985915493</v>
      </c>
      <c r="K2554" s="32" t="str">
        <f aca="false">IF(I2554&lt;=$E$4,"A",IF(I2554&lt;=$E$5,"B","C"))</f>
        <v>C</v>
      </c>
    </row>
    <row r="2555" customFormat="false" ht="15" hidden="false" customHeight="false" outlineLevel="0" collapsed="false">
      <c r="A2555" s="32" t="n">
        <v>2548</v>
      </c>
      <c r="B2555" s="33" t="n">
        <v>846343</v>
      </c>
      <c r="C2555" s="34" t="s">
        <v>5181</v>
      </c>
      <c r="D2555" s="34" t="s">
        <v>5182</v>
      </c>
      <c r="E2555" s="34" t="s">
        <v>457</v>
      </c>
      <c r="F2555" s="32" t="n">
        <f aca="false">COUNTIF(Base!$D$2:$D$2878,B2555)</f>
        <v>1</v>
      </c>
      <c r="G2555" s="35" t="n">
        <f aca="false">SUMIF(Base!$D$2:$D$2878,B2555,Base!$I$2:$I$2878)</f>
        <v>39.9</v>
      </c>
      <c r="H2555" s="36" t="n">
        <f aca="false">IF($G$2849=0,0,G2555/$G$2849)</f>
        <v>2.61832683036654E-006</v>
      </c>
      <c r="I2555" s="37" t="n">
        <f aca="false">I2554+H2555</f>
        <v>0.999639299558337</v>
      </c>
      <c r="J2555" s="37" t="n">
        <f aca="false">A2555/2840</f>
        <v>0.897183098591549</v>
      </c>
      <c r="K2555" s="32" t="str">
        <f aca="false">IF(I2555&lt;=$E$4,"A",IF(I2555&lt;=$E$5,"B","C"))</f>
        <v>C</v>
      </c>
    </row>
    <row r="2556" customFormat="false" ht="15" hidden="false" customHeight="false" outlineLevel="0" collapsed="false">
      <c r="A2556" s="32" t="n">
        <v>2549</v>
      </c>
      <c r="B2556" s="33" t="n">
        <v>65916</v>
      </c>
      <c r="C2556" s="34" t="s">
        <v>5183</v>
      </c>
      <c r="D2556" s="34" t="s">
        <v>5184</v>
      </c>
      <c r="E2556" s="34" t="s">
        <v>1618</v>
      </c>
      <c r="F2556" s="32" t="n">
        <f aca="false">COUNTIF(Base!$D$2:$D$2878,B2556)</f>
        <v>1</v>
      </c>
      <c r="G2556" s="35" t="n">
        <f aca="false">SUMIF(Base!$D$2:$D$2878,B2556,Base!$I$2:$I$2878)</f>
        <v>39.3</v>
      </c>
      <c r="H2556" s="36" t="n">
        <f aca="false">IF($G$2849=0,0,G2556/$G$2849)</f>
        <v>2.57895349457156E-006</v>
      </c>
      <c r="I2556" s="37" t="n">
        <f aca="false">I2555+H2556</f>
        <v>0.999641878511832</v>
      </c>
      <c r="J2556" s="37" t="n">
        <f aca="false">A2556/2840</f>
        <v>0.897535211267606</v>
      </c>
      <c r="K2556" s="32" t="str">
        <f aca="false">IF(I2556&lt;=$E$4,"A",IF(I2556&lt;=$E$5,"B","C"))</f>
        <v>C</v>
      </c>
    </row>
    <row r="2557" customFormat="false" ht="15" hidden="false" customHeight="false" outlineLevel="0" collapsed="false">
      <c r="A2557" s="32" t="n">
        <v>2550</v>
      </c>
      <c r="B2557" s="33" t="n">
        <v>55918</v>
      </c>
      <c r="C2557" s="34" t="s">
        <v>5185</v>
      </c>
      <c r="D2557" s="34" t="s">
        <v>5186</v>
      </c>
      <c r="E2557" s="34" t="s">
        <v>100</v>
      </c>
      <c r="F2557" s="32" t="n">
        <f aca="false">COUNTIF(Base!$D$2:$D$2878,B2557)</f>
        <v>1</v>
      </c>
      <c r="G2557" s="35" t="n">
        <f aca="false">SUMIF(Base!$D$2:$D$2878,B2557,Base!$I$2:$I$2878)</f>
        <v>39.12</v>
      </c>
      <c r="H2557" s="36" t="n">
        <f aca="false">IF($G$2849=0,0,G2557/$G$2849)</f>
        <v>2.56714149383306E-006</v>
      </c>
      <c r="I2557" s="37" t="n">
        <f aca="false">I2556+H2557</f>
        <v>0.999644445653325</v>
      </c>
      <c r="J2557" s="37" t="n">
        <f aca="false">A2557/2840</f>
        <v>0.897887323943662</v>
      </c>
      <c r="K2557" s="32" t="str">
        <f aca="false">IF(I2557&lt;=$E$4,"A",IF(I2557&lt;=$E$5,"B","C"))</f>
        <v>C</v>
      </c>
    </row>
    <row r="2558" customFormat="false" ht="15" hidden="false" customHeight="false" outlineLevel="0" collapsed="false">
      <c r="A2558" s="32" t="n">
        <v>2551</v>
      </c>
      <c r="B2558" s="33" t="n">
        <v>1329748</v>
      </c>
      <c r="C2558" s="34" t="s">
        <v>5187</v>
      </c>
      <c r="D2558" s="34" t="s">
        <v>5188</v>
      </c>
      <c r="E2558" s="34" t="s">
        <v>100</v>
      </c>
      <c r="F2558" s="32" t="n">
        <f aca="false">COUNTIF(Base!$D$2:$D$2878,B2558)</f>
        <v>1</v>
      </c>
      <c r="G2558" s="35" t="n">
        <f aca="false">SUMIF(Base!$D$2:$D$2878,B2558,Base!$I$2:$I$2878)</f>
        <v>39</v>
      </c>
      <c r="H2558" s="36" t="n">
        <f aca="false">IF($G$2849=0,0,G2558/$G$2849)</f>
        <v>2.55926682667406E-006</v>
      </c>
      <c r="I2558" s="37" t="n">
        <f aca="false">I2557+H2558</f>
        <v>0.999647004920152</v>
      </c>
      <c r="J2558" s="37" t="n">
        <f aca="false">A2558/2840</f>
        <v>0.898239436619718</v>
      </c>
      <c r="K2558" s="32" t="str">
        <f aca="false">IF(I2558&lt;=$E$4,"A",IF(I2558&lt;=$E$5,"B","C"))</f>
        <v>C</v>
      </c>
    </row>
    <row r="2559" customFormat="false" ht="15" hidden="false" customHeight="false" outlineLevel="0" collapsed="false">
      <c r="A2559" s="32" t="n">
        <v>2552</v>
      </c>
      <c r="B2559" s="33" t="n">
        <v>1462798</v>
      </c>
      <c r="C2559" s="34" t="s">
        <v>5189</v>
      </c>
      <c r="D2559" s="34" t="s">
        <v>5190</v>
      </c>
      <c r="E2559" s="34" t="s">
        <v>100</v>
      </c>
      <c r="F2559" s="32" t="n">
        <f aca="false">COUNTIF(Base!$D$2:$D$2878,B2559)</f>
        <v>1</v>
      </c>
      <c r="G2559" s="35" t="n">
        <f aca="false">SUMIF(Base!$D$2:$D$2878,B2559,Base!$I$2:$I$2878)</f>
        <v>39</v>
      </c>
      <c r="H2559" s="36" t="n">
        <f aca="false">IF($G$2849=0,0,G2559/$G$2849)</f>
        <v>2.55926682667406E-006</v>
      </c>
      <c r="I2559" s="37" t="n">
        <f aca="false">I2558+H2559</f>
        <v>0.999649564186979</v>
      </c>
      <c r="J2559" s="37" t="n">
        <f aca="false">A2559/2840</f>
        <v>0.898591549295775</v>
      </c>
      <c r="K2559" s="32" t="str">
        <f aca="false">IF(I2559&lt;=$E$4,"A",IF(I2559&lt;=$E$5,"B","C"))</f>
        <v>C</v>
      </c>
    </row>
    <row r="2560" customFormat="false" ht="15" hidden="false" customHeight="false" outlineLevel="0" collapsed="false">
      <c r="A2560" s="32" t="n">
        <v>2553</v>
      </c>
      <c r="B2560" s="33" t="n">
        <v>1657129</v>
      </c>
      <c r="C2560" s="34" t="s">
        <v>5191</v>
      </c>
      <c r="D2560" s="34" t="s">
        <v>5192</v>
      </c>
      <c r="E2560" s="34" t="s">
        <v>100</v>
      </c>
      <c r="F2560" s="32" t="n">
        <f aca="false">COUNTIF(Base!$D$2:$D$2878,B2560)</f>
        <v>1</v>
      </c>
      <c r="G2560" s="35" t="n">
        <f aca="false">SUMIF(Base!$D$2:$D$2878,B2560,Base!$I$2:$I$2878)</f>
        <v>39</v>
      </c>
      <c r="H2560" s="36" t="n">
        <f aca="false">IF($G$2849=0,0,G2560/$G$2849)</f>
        <v>2.55926682667406E-006</v>
      </c>
      <c r="I2560" s="37" t="n">
        <f aca="false">I2559+H2560</f>
        <v>0.999652123453806</v>
      </c>
      <c r="J2560" s="37" t="n">
        <f aca="false">A2560/2840</f>
        <v>0.898943661971831</v>
      </c>
      <c r="K2560" s="32" t="str">
        <f aca="false">IF(I2560&lt;=$E$4,"A",IF(I2560&lt;=$E$5,"B","C"))</f>
        <v>C</v>
      </c>
    </row>
    <row r="2561" customFormat="false" ht="15" hidden="false" customHeight="false" outlineLevel="0" collapsed="false">
      <c r="A2561" s="32" t="n">
        <v>2554</v>
      </c>
      <c r="B2561" s="33" t="n">
        <v>1461937</v>
      </c>
      <c r="C2561" s="34" t="s">
        <v>5193</v>
      </c>
      <c r="D2561" s="34" t="s">
        <v>5194</v>
      </c>
      <c r="E2561" s="34" t="s">
        <v>38</v>
      </c>
      <c r="F2561" s="32" t="n">
        <f aca="false">COUNTIF(Base!$D$2:$D$2878,B2561)</f>
        <v>1</v>
      </c>
      <c r="G2561" s="35" t="n">
        <f aca="false">SUMIF(Base!$D$2:$D$2878,B2561,Base!$I$2:$I$2878)</f>
        <v>38.94</v>
      </c>
      <c r="H2561" s="36" t="n">
        <f aca="false">IF($G$2849=0,0,G2561/$G$2849)</f>
        <v>2.55532949309457E-006</v>
      </c>
      <c r="I2561" s="37" t="n">
        <f aca="false">I2560+H2561</f>
        <v>0.999654678783299</v>
      </c>
      <c r="J2561" s="37" t="n">
        <f aca="false">A2561/2840</f>
        <v>0.899295774647887</v>
      </c>
      <c r="K2561" s="32" t="str">
        <f aca="false">IF(I2561&lt;=$E$4,"A",IF(I2561&lt;=$E$5,"B","C"))</f>
        <v>C</v>
      </c>
    </row>
    <row r="2562" customFormat="false" ht="15" hidden="false" customHeight="false" outlineLevel="0" collapsed="false">
      <c r="A2562" s="32" t="n">
        <v>2555</v>
      </c>
      <c r="B2562" s="33" t="n">
        <v>33546</v>
      </c>
      <c r="C2562" s="34" t="s">
        <v>5195</v>
      </c>
      <c r="D2562" s="34" t="s">
        <v>5196</v>
      </c>
      <c r="E2562" s="34" t="s">
        <v>100</v>
      </c>
      <c r="F2562" s="32" t="n">
        <f aca="false">COUNTIF(Base!$D$2:$D$2878,B2562)</f>
        <v>1</v>
      </c>
      <c r="G2562" s="35" t="n">
        <f aca="false">SUMIF(Base!$D$2:$D$2878,B2562,Base!$I$2:$I$2878)</f>
        <v>38.74</v>
      </c>
      <c r="H2562" s="36" t="n">
        <f aca="false">IF($G$2849=0,0,G2562/$G$2849)</f>
        <v>2.54220504782957E-006</v>
      </c>
      <c r="I2562" s="37" t="n">
        <f aca="false">I2561+H2562</f>
        <v>0.999657220988346</v>
      </c>
      <c r="J2562" s="37" t="n">
        <f aca="false">A2562/2840</f>
        <v>0.899647887323944</v>
      </c>
      <c r="K2562" s="32" t="str">
        <f aca="false">IF(I2562&lt;=$E$4,"A",IF(I2562&lt;=$E$5,"B","C"))</f>
        <v>C</v>
      </c>
    </row>
    <row r="2563" customFormat="false" ht="15" hidden="false" customHeight="false" outlineLevel="0" collapsed="false">
      <c r="A2563" s="32" t="n">
        <v>2556</v>
      </c>
      <c r="B2563" s="33" t="n">
        <v>276673</v>
      </c>
      <c r="C2563" s="34" t="s">
        <v>5197</v>
      </c>
      <c r="D2563" s="34" t="s">
        <v>5198</v>
      </c>
      <c r="E2563" s="34" t="s">
        <v>38</v>
      </c>
      <c r="F2563" s="32" t="n">
        <f aca="false">COUNTIF(Base!$D$2:$D$2878,B2563)</f>
        <v>1</v>
      </c>
      <c r="G2563" s="35" t="n">
        <f aca="false">SUMIF(Base!$D$2:$D$2878,B2563,Base!$I$2:$I$2878)</f>
        <v>38.5</v>
      </c>
      <c r="H2563" s="36" t="n">
        <f aca="false">IF($G$2849=0,0,G2563/$G$2849)</f>
        <v>2.52645571351158E-006</v>
      </c>
      <c r="I2563" s="37" t="n">
        <f aca="false">I2562+H2563</f>
        <v>0.99965974744406</v>
      </c>
      <c r="J2563" s="37" t="n">
        <f aca="false">A2563/2840</f>
        <v>0.9</v>
      </c>
      <c r="K2563" s="32" t="str">
        <f aca="false">IF(I2563&lt;=$E$4,"A",IF(I2563&lt;=$E$5,"B","C"))</f>
        <v>C</v>
      </c>
    </row>
    <row r="2564" customFormat="false" ht="15" hidden="false" customHeight="false" outlineLevel="0" collapsed="false">
      <c r="A2564" s="32" t="n">
        <v>2557</v>
      </c>
      <c r="B2564" s="33" t="n">
        <v>1660995</v>
      </c>
      <c r="C2564" s="34" t="s">
        <v>5199</v>
      </c>
      <c r="D2564" s="34" t="s">
        <v>5200</v>
      </c>
      <c r="E2564" s="34" t="s">
        <v>38</v>
      </c>
      <c r="F2564" s="32" t="n">
        <f aca="false">COUNTIF(Base!$D$2:$D$2878,B2564)</f>
        <v>1</v>
      </c>
      <c r="G2564" s="35" t="n">
        <f aca="false">SUMIF(Base!$D$2:$D$2878,B2564,Base!$I$2:$I$2878)</f>
        <v>38.1</v>
      </c>
      <c r="H2564" s="36" t="n">
        <f aca="false">IF($G$2849=0,0,G2564/$G$2849)</f>
        <v>2.50020682298159E-006</v>
      </c>
      <c r="I2564" s="37" t="n">
        <f aca="false">I2563+H2564</f>
        <v>0.999662247650883</v>
      </c>
      <c r="J2564" s="37" t="n">
        <f aca="false">A2564/2840</f>
        <v>0.900352112676056</v>
      </c>
      <c r="K2564" s="32" t="str">
        <f aca="false">IF(I2564&lt;=$E$4,"A",IF(I2564&lt;=$E$5,"B","C"))</f>
        <v>C</v>
      </c>
    </row>
    <row r="2565" customFormat="false" ht="15" hidden="false" customHeight="false" outlineLevel="0" collapsed="false">
      <c r="A2565" s="32" t="n">
        <v>2558</v>
      </c>
      <c r="B2565" s="33" t="n">
        <v>389938</v>
      </c>
      <c r="C2565" s="34" t="s">
        <v>5201</v>
      </c>
      <c r="D2565" s="34" t="s">
        <v>5202</v>
      </c>
      <c r="E2565" s="34" t="s">
        <v>2056</v>
      </c>
      <c r="F2565" s="32" t="n">
        <f aca="false">COUNTIF(Base!$D$2:$D$2878,B2565)</f>
        <v>1</v>
      </c>
      <c r="G2565" s="35" t="n">
        <f aca="false">SUMIF(Base!$D$2:$D$2878,B2565,Base!$I$2:$I$2878)</f>
        <v>38.06</v>
      </c>
      <c r="H2565" s="36" t="n">
        <f aca="false">IF($G$2849=0,0,G2565/$G$2849)</f>
        <v>2.49758193392859E-006</v>
      </c>
      <c r="I2565" s="37" t="n">
        <f aca="false">I2564+H2565</f>
        <v>0.999664745232817</v>
      </c>
      <c r="J2565" s="37" t="n">
        <f aca="false">A2565/2840</f>
        <v>0.900704225352113</v>
      </c>
      <c r="K2565" s="32" t="str">
        <f aca="false">IF(I2565&lt;=$E$4,"A",IF(I2565&lt;=$E$5,"B","C"))</f>
        <v>C</v>
      </c>
    </row>
    <row r="2566" customFormat="false" ht="15" hidden="false" customHeight="false" outlineLevel="0" collapsed="false">
      <c r="A2566" s="32" t="n">
        <v>2559</v>
      </c>
      <c r="B2566" s="33" t="n">
        <v>22123</v>
      </c>
      <c r="C2566" s="34" t="s">
        <v>5203</v>
      </c>
      <c r="D2566" s="34" t="s">
        <v>5204</v>
      </c>
      <c r="E2566" s="34" t="s">
        <v>189</v>
      </c>
      <c r="F2566" s="32" t="n">
        <f aca="false">COUNTIF(Base!$D$2:$D$2878,B2566)</f>
        <v>1</v>
      </c>
      <c r="G2566" s="35" t="n">
        <f aca="false">SUMIF(Base!$D$2:$D$2878,B2566,Base!$I$2:$I$2878)</f>
        <v>38</v>
      </c>
      <c r="H2566" s="36" t="n">
        <f aca="false">IF($G$2849=0,0,G2566/$G$2849)</f>
        <v>2.49364460034909E-006</v>
      </c>
      <c r="I2566" s="37" t="n">
        <f aca="false">I2565+H2566</f>
        <v>0.999667238877417</v>
      </c>
      <c r="J2566" s="37" t="n">
        <f aca="false">A2566/2840</f>
        <v>0.901056338028169</v>
      </c>
      <c r="K2566" s="32" t="str">
        <f aca="false">IF(I2566&lt;=$E$4,"A",IF(I2566&lt;=$E$5,"B","C"))</f>
        <v>C</v>
      </c>
    </row>
    <row r="2567" customFormat="false" ht="15" hidden="false" customHeight="false" outlineLevel="0" collapsed="false">
      <c r="A2567" s="32" t="n">
        <v>2560</v>
      </c>
      <c r="B2567" s="33" t="n">
        <v>1461939</v>
      </c>
      <c r="C2567" s="34" t="s">
        <v>5205</v>
      </c>
      <c r="D2567" s="34" t="s">
        <v>5206</v>
      </c>
      <c r="E2567" s="34" t="s">
        <v>38</v>
      </c>
      <c r="F2567" s="32" t="n">
        <f aca="false">COUNTIF(Base!$D$2:$D$2878,B2567)</f>
        <v>1</v>
      </c>
      <c r="G2567" s="35" t="n">
        <f aca="false">SUMIF(Base!$D$2:$D$2878,B2567,Base!$I$2:$I$2878)</f>
        <v>38</v>
      </c>
      <c r="H2567" s="36" t="n">
        <f aca="false">IF($G$2849=0,0,G2567/$G$2849)</f>
        <v>2.49364460034909E-006</v>
      </c>
      <c r="I2567" s="37" t="n">
        <f aca="false">I2566+H2567</f>
        <v>0.999669732522018</v>
      </c>
      <c r="J2567" s="37" t="n">
        <f aca="false">A2567/2840</f>
        <v>0.901408450704225</v>
      </c>
      <c r="K2567" s="32" t="str">
        <f aca="false">IF(I2567&lt;=$E$4,"A",IF(I2567&lt;=$E$5,"B","C"))</f>
        <v>C</v>
      </c>
    </row>
    <row r="2568" customFormat="false" ht="15" hidden="false" customHeight="false" outlineLevel="0" collapsed="false">
      <c r="A2568" s="32" t="n">
        <v>2561</v>
      </c>
      <c r="B2568" s="33" t="n">
        <v>1668929</v>
      </c>
      <c r="C2568" s="34" t="s">
        <v>5207</v>
      </c>
      <c r="D2568" s="34" t="s">
        <v>5208</v>
      </c>
      <c r="E2568" s="34" t="s">
        <v>457</v>
      </c>
      <c r="F2568" s="32" t="n">
        <f aca="false">COUNTIF(Base!$D$2:$D$2878,B2568)</f>
        <v>1</v>
      </c>
      <c r="G2568" s="35" t="n">
        <f aca="false">SUMIF(Base!$D$2:$D$2878,B2568,Base!$I$2:$I$2878)</f>
        <v>37.98</v>
      </c>
      <c r="H2568" s="36" t="n">
        <f aca="false">IF($G$2849=0,0,G2568/$G$2849)</f>
        <v>2.49233215582259E-006</v>
      </c>
      <c r="I2568" s="37" t="n">
        <f aca="false">I2567+H2568</f>
        <v>0.999672224854173</v>
      </c>
      <c r="J2568" s="37" t="n">
        <f aca="false">A2568/2840</f>
        <v>0.901760563380282</v>
      </c>
      <c r="K2568" s="32" t="str">
        <f aca="false">IF(I2568&lt;=$E$4,"A",IF(I2568&lt;=$E$5,"B","C"))</f>
        <v>C</v>
      </c>
    </row>
    <row r="2569" customFormat="false" ht="15" hidden="false" customHeight="false" outlineLevel="0" collapsed="false">
      <c r="A2569" s="32" t="n">
        <v>2562</v>
      </c>
      <c r="B2569" s="33" t="n">
        <v>275389</v>
      </c>
      <c r="C2569" s="34" t="s">
        <v>5209</v>
      </c>
      <c r="D2569" s="34" t="s">
        <v>5210</v>
      </c>
      <c r="E2569" s="34" t="s">
        <v>38</v>
      </c>
      <c r="F2569" s="32" t="n">
        <f aca="false">COUNTIF(Base!$D$2:$D$2878,B2569)</f>
        <v>1</v>
      </c>
      <c r="G2569" s="35" t="n">
        <f aca="false">SUMIF(Base!$D$2:$D$2878,B2569,Base!$I$2:$I$2878)</f>
        <v>37.5</v>
      </c>
      <c r="H2569" s="36" t="n">
        <f aca="false">IF($G$2849=0,0,G2569/$G$2849)</f>
        <v>2.4608334871866E-006</v>
      </c>
      <c r="I2569" s="37" t="n">
        <f aca="false">I2568+H2569</f>
        <v>0.999674685687661</v>
      </c>
      <c r="J2569" s="37" t="n">
        <f aca="false">A2569/2840</f>
        <v>0.902112676056338</v>
      </c>
      <c r="K2569" s="32" t="str">
        <f aca="false">IF(I2569&lt;=$E$4,"A",IF(I2569&lt;=$E$5,"B","C"))</f>
        <v>C</v>
      </c>
    </row>
    <row r="2570" customFormat="false" ht="15" hidden="false" customHeight="false" outlineLevel="0" collapsed="false">
      <c r="A2570" s="32" t="n">
        <v>2563</v>
      </c>
      <c r="B2570" s="33" t="n">
        <v>136085</v>
      </c>
      <c r="C2570" s="34" t="s">
        <v>5211</v>
      </c>
      <c r="D2570" s="34" t="s">
        <v>5212</v>
      </c>
      <c r="E2570" s="34" t="s">
        <v>262</v>
      </c>
      <c r="F2570" s="32" t="n">
        <f aca="false">COUNTIF(Base!$D$2:$D$2878,B2570)</f>
        <v>1</v>
      </c>
      <c r="G2570" s="35" t="n">
        <f aca="false">SUMIF(Base!$D$2:$D$2878,B2570,Base!$I$2:$I$2878)</f>
        <v>37.3</v>
      </c>
      <c r="H2570" s="36" t="n">
        <f aca="false">IF($G$2849=0,0,G2570/$G$2849)</f>
        <v>2.44770904192161E-006</v>
      </c>
      <c r="I2570" s="37" t="n">
        <f aca="false">I2569+H2570</f>
        <v>0.999677133396703</v>
      </c>
      <c r="J2570" s="37" t="n">
        <f aca="false">A2570/2840</f>
        <v>0.902464788732394</v>
      </c>
      <c r="K2570" s="32" t="str">
        <f aca="false">IF(I2570&lt;=$E$4,"A",IF(I2570&lt;=$E$5,"B","C"))</f>
        <v>C</v>
      </c>
    </row>
    <row r="2571" customFormat="false" ht="15" hidden="false" customHeight="false" outlineLevel="0" collapsed="false">
      <c r="A2571" s="32" t="n">
        <v>2564</v>
      </c>
      <c r="B2571" s="33" t="n">
        <v>22499</v>
      </c>
      <c r="C2571" s="34" t="s">
        <v>5213</v>
      </c>
      <c r="D2571" s="34" t="s">
        <v>5214</v>
      </c>
      <c r="E2571" s="34" t="s">
        <v>1095</v>
      </c>
      <c r="F2571" s="32" t="n">
        <f aca="false">COUNTIF(Base!$D$2:$D$2878,B2571)</f>
        <v>1</v>
      </c>
      <c r="G2571" s="35" t="n">
        <f aca="false">SUMIF(Base!$D$2:$D$2878,B2571,Base!$I$2:$I$2878)</f>
        <v>36.5</v>
      </c>
      <c r="H2571" s="36" t="n">
        <f aca="false">IF($G$2849=0,0,G2571/$G$2849)</f>
        <v>2.39521126086162E-006</v>
      </c>
      <c r="I2571" s="37" t="n">
        <f aca="false">I2570+H2571</f>
        <v>0.999679528607963</v>
      </c>
      <c r="J2571" s="37" t="n">
        <f aca="false">A2571/2840</f>
        <v>0.902816901408451</v>
      </c>
      <c r="K2571" s="32" t="str">
        <f aca="false">IF(I2571&lt;=$E$4,"A",IF(I2571&lt;=$E$5,"B","C"))</f>
        <v>C</v>
      </c>
    </row>
    <row r="2572" customFormat="false" ht="15" hidden="false" customHeight="false" outlineLevel="0" collapsed="false">
      <c r="A2572" s="32" t="n">
        <v>2565</v>
      </c>
      <c r="B2572" s="33" t="n">
        <v>1614078</v>
      </c>
      <c r="C2572" s="34" t="s">
        <v>5215</v>
      </c>
      <c r="D2572" s="34" t="s">
        <v>5216</v>
      </c>
      <c r="E2572" s="34" t="s">
        <v>100</v>
      </c>
      <c r="F2572" s="32" t="n">
        <f aca="false">COUNTIF(Base!$D$2:$D$2878,B2572)</f>
        <v>1</v>
      </c>
      <c r="G2572" s="35" t="n">
        <f aca="false">SUMIF(Base!$D$2:$D$2878,B2572,Base!$I$2:$I$2878)</f>
        <v>36.24</v>
      </c>
      <c r="H2572" s="36" t="n">
        <f aca="false">IF($G$2849=0,0,G2572/$G$2849)</f>
        <v>2.37814948201713E-006</v>
      </c>
      <c r="I2572" s="37" t="n">
        <f aca="false">I2571+H2572</f>
        <v>0.999681906757445</v>
      </c>
      <c r="J2572" s="37" t="n">
        <f aca="false">A2572/2840</f>
        <v>0.903169014084507</v>
      </c>
      <c r="K2572" s="32" t="str">
        <f aca="false">IF(I2572&lt;=$E$4,"A",IF(I2572&lt;=$E$5,"B","C"))</f>
        <v>C</v>
      </c>
    </row>
    <row r="2573" customFormat="false" ht="15" hidden="false" customHeight="false" outlineLevel="0" collapsed="false">
      <c r="A2573" s="32" t="n">
        <v>2566</v>
      </c>
      <c r="B2573" s="33" t="n">
        <v>426085</v>
      </c>
      <c r="C2573" s="34" t="s">
        <v>5217</v>
      </c>
      <c r="D2573" s="34" t="s">
        <v>5218</v>
      </c>
      <c r="E2573" s="34" t="s">
        <v>2056</v>
      </c>
      <c r="F2573" s="32" t="n">
        <f aca="false">COUNTIF(Base!$D$2:$D$2878,B2573)</f>
        <v>1</v>
      </c>
      <c r="G2573" s="35" t="n">
        <f aca="false">SUMIF(Base!$D$2:$D$2878,B2573,Base!$I$2:$I$2878)</f>
        <v>36</v>
      </c>
      <c r="H2573" s="36" t="n">
        <f aca="false">IF($G$2849=0,0,G2573/$G$2849)</f>
        <v>2.36240014769914E-006</v>
      </c>
      <c r="I2573" s="37" t="n">
        <f aca="false">I2572+H2573</f>
        <v>0.999684269157593</v>
      </c>
      <c r="J2573" s="37" t="n">
        <f aca="false">A2573/2840</f>
        <v>0.903521126760563</v>
      </c>
      <c r="K2573" s="32" t="str">
        <f aca="false">IF(I2573&lt;=$E$4,"A",IF(I2573&lt;=$E$5,"B","C"))</f>
        <v>C</v>
      </c>
    </row>
    <row r="2574" customFormat="false" ht="15" hidden="false" customHeight="false" outlineLevel="0" collapsed="false">
      <c r="A2574" s="32" t="n">
        <v>2567</v>
      </c>
      <c r="B2574" s="33" t="n">
        <v>644581</v>
      </c>
      <c r="C2574" s="34" t="s">
        <v>5219</v>
      </c>
      <c r="D2574" s="34" t="s">
        <v>5220</v>
      </c>
      <c r="E2574" s="34" t="s">
        <v>130</v>
      </c>
      <c r="F2574" s="32" t="n">
        <f aca="false">COUNTIF(Base!$D$2:$D$2878,B2574)</f>
        <v>1</v>
      </c>
      <c r="G2574" s="35" t="n">
        <f aca="false">SUMIF(Base!$D$2:$D$2878,B2574,Base!$I$2:$I$2878)</f>
        <v>36</v>
      </c>
      <c r="H2574" s="36" t="n">
        <f aca="false">IF($G$2849=0,0,G2574/$G$2849)</f>
        <v>2.36240014769914E-006</v>
      </c>
      <c r="I2574" s="37" t="n">
        <f aca="false">I2573+H2574</f>
        <v>0.999686631557741</v>
      </c>
      <c r="J2574" s="37" t="n">
        <f aca="false">A2574/2840</f>
        <v>0.90387323943662</v>
      </c>
      <c r="K2574" s="32" t="str">
        <f aca="false">IF(I2574&lt;=$E$4,"A",IF(I2574&lt;=$E$5,"B","C"))</f>
        <v>C</v>
      </c>
    </row>
    <row r="2575" customFormat="false" ht="15" hidden="false" customHeight="false" outlineLevel="0" collapsed="false">
      <c r="A2575" s="32" t="n">
        <v>2568</v>
      </c>
      <c r="B2575" s="33" t="n">
        <v>1539963</v>
      </c>
      <c r="C2575" s="34" t="s">
        <v>5221</v>
      </c>
      <c r="D2575" s="34" t="s">
        <v>5222</v>
      </c>
      <c r="E2575" s="34" t="s">
        <v>130</v>
      </c>
      <c r="F2575" s="32" t="n">
        <f aca="false">COUNTIF(Base!$D$2:$D$2878,B2575)</f>
        <v>1</v>
      </c>
      <c r="G2575" s="35" t="n">
        <f aca="false">SUMIF(Base!$D$2:$D$2878,B2575,Base!$I$2:$I$2878)</f>
        <v>36</v>
      </c>
      <c r="H2575" s="36" t="n">
        <f aca="false">IF($G$2849=0,0,G2575/$G$2849)</f>
        <v>2.36240014769914E-006</v>
      </c>
      <c r="I2575" s="37" t="n">
        <f aca="false">I2574+H2575</f>
        <v>0.999688993957889</v>
      </c>
      <c r="J2575" s="37" t="n">
        <f aca="false">A2575/2840</f>
        <v>0.904225352112676</v>
      </c>
      <c r="K2575" s="32" t="str">
        <f aca="false">IF(I2575&lt;=$E$4,"A",IF(I2575&lt;=$E$5,"B","C"))</f>
        <v>C</v>
      </c>
    </row>
    <row r="2576" customFormat="false" ht="15" hidden="false" customHeight="false" outlineLevel="0" collapsed="false">
      <c r="A2576" s="32" t="n">
        <v>2569</v>
      </c>
      <c r="B2576" s="33" t="n">
        <v>283143</v>
      </c>
      <c r="C2576" s="34" t="s">
        <v>5223</v>
      </c>
      <c r="D2576" s="34" t="s">
        <v>5224</v>
      </c>
      <c r="E2576" s="34" t="s">
        <v>54</v>
      </c>
      <c r="F2576" s="32" t="n">
        <f aca="false">COUNTIF(Base!$D$2:$D$2878,B2576)</f>
        <v>1</v>
      </c>
      <c r="G2576" s="35" t="n">
        <f aca="false">SUMIF(Base!$D$2:$D$2878,B2576,Base!$I$2:$I$2878)</f>
        <v>35.94</v>
      </c>
      <c r="H2576" s="36" t="n">
        <f aca="false">IF($G$2849=0,0,G2576/$G$2849)</f>
        <v>2.35846281411964E-006</v>
      </c>
      <c r="I2576" s="37" t="n">
        <f aca="false">I2575+H2576</f>
        <v>0.999691352420703</v>
      </c>
      <c r="J2576" s="37" t="n">
        <f aca="false">A2576/2840</f>
        <v>0.904577464788732</v>
      </c>
      <c r="K2576" s="32" t="str">
        <f aca="false">IF(I2576&lt;=$E$4,"A",IF(I2576&lt;=$E$5,"B","C"))</f>
        <v>C</v>
      </c>
    </row>
    <row r="2577" customFormat="false" ht="15" hidden="false" customHeight="false" outlineLevel="0" collapsed="false">
      <c r="A2577" s="32" t="n">
        <v>2570</v>
      </c>
      <c r="B2577" s="33" t="n">
        <v>14887</v>
      </c>
      <c r="C2577" s="34" t="s">
        <v>5225</v>
      </c>
      <c r="D2577" s="34" t="s">
        <v>5226</v>
      </c>
      <c r="E2577" s="34" t="s">
        <v>54</v>
      </c>
      <c r="F2577" s="32" t="n">
        <f aca="false">COUNTIF(Base!$D$2:$D$2878,B2577)</f>
        <v>1</v>
      </c>
      <c r="G2577" s="35" t="n">
        <f aca="false">SUMIF(Base!$D$2:$D$2878,B2577,Base!$I$2:$I$2878)</f>
        <v>35.92</v>
      </c>
      <c r="H2577" s="36" t="n">
        <f aca="false">IF($G$2849=0,0,G2577/$G$2849)</f>
        <v>2.35715036959314E-006</v>
      </c>
      <c r="I2577" s="37" t="n">
        <f aca="false">I2576+H2577</f>
        <v>0.999693709571072</v>
      </c>
      <c r="J2577" s="37" t="n">
        <f aca="false">A2577/2840</f>
        <v>0.904929577464789</v>
      </c>
      <c r="K2577" s="32" t="str">
        <f aca="false">IF(I2577&lt;=$E$4,"A",IF(I2577&lt;=$E$5,"B","C"))</f>
        <v>C</v>
      </c>
    </row>
    <row r="2578" customFormat="false" ht="15" hidden="false" customHeight="false" outlineLevel="0" collapsed="false">
      <c r="A2578" s="32" t="n">
        <v>2571</v>
      </c>
      <c r="B2578" s="33" t="n">
        <v>141613</v>
      </c>
      <c r="C2578" s="34" t="s">
        <v>5227</v>
      </c>
      <c r="D2578" s="34" t="s">
        <v>5228</v>
      </c>
      <c r="E2578" s="34" t="s">
        <v>100</v>
      </c>
      <c r="F2578" s="32" t="n">
        <f aca="false">COUNTIF(Base!$D$2:$D$2878,B2578)</f>
        <v>1</v>
      </c>
      <c r="G2578" s="35" t="n">
        <f aca="false">SUMIF(Base!$D$2:$D$2878,B2578,Base!$I$2:$I$2878)</f>
        <v>35.92</v>
      </c>
      <c r="H2578" s="36" t="n">
        <f aca="false">IF($G$2849=0,0,G2578/$G$2849)</f>
        <v>2.35715036959314E-006</v>
      </c>
      <c r="I2578" s="37" t="n">
        <f aca="false">I2577+H2578</f>
        <v>0.999696066721442</v>
      </c>
      <c r="J2578" s="37" t="n">
        <f aca="false">A2578/2840</f>
        <v>0.905281690140845</v>
      </c>
      <c r="K2578" s="32" t="str">
        <f aca="false">IF(I2578&lt;=$E$4,"A",IF(I2578&lt;=$E$5,"B","C"))</f>
        <v>C</v>
      </c>
    </row>
    <row r="2579" customFormat="false" ht="15" hidden="false" customHeight="false" outlineLevel="0" collapsed="false">
      <c r="A2579" s="32" t="n">
        <v>2572</v>
      </c>
      <c r="B2579" s="33" t="n">
        <v>1097297</v>
      </c>
      <c r="C2579" s="34" t="s">
        <v>5229</v>
      </c>
      <c r="D2579" s="34" t="s">
        <v>5230</v>
      </c>
      <c r="E2579" s="34" t="s">
        <v>705</v>
      </c>
      <c r="F2579" s="32" t="n">
        <f aca="false">COUNTIF(Base!$D$2:$D$2878,B2579)</f>
        <v>1</v>
      </c>
      <c r="G2579" s="35" t="n">
        <f aca="false">SUMIF(Base!$D$2:$D$2878,B2579,Base!$I$2:$I$2878)</f>
        <v>35.92</v>
      </c>
      <c r="H2579" s="36" t="n">
        <f aca="false">IF($G$2849=0,0,G2579/$G$2849)</f>
        <v>2.35715036959314E-006</v>
      </c>
      <c r="I2579" s="37" t="n">
        <f aca="false">I2578+H2579</f>
        <v>0.999698423871811</v>
      </c>
      <c r="J2579" s="37" t="n">
        <f aca="false">A2579/2840</f>
        <v>0.905633802816901</v>
      </c>
      <c r="K2579" s="32" t="str">
        <f aca="false">IF(I2579&lt;=$E$4,"A",IF(I2579&lt;=$E$5,"B","C"))</f>
        <v>C</v>
      </c>
    </row>
    <row r="2580" customFormat="false" ht="15" hidden="false" customHeight="false" outlineLevel="0" collapsed="false">
      <c r="A2580" s="32" t="n">
        <v>2573</v>
      </c>
      <c r="B2580" s="33" t="n">
        <v>1383784</v>
      </c>
      <c r="C2580" s="34" t="s">
        <v>5231</v>
      </c>
      <c r="D2580" s="34" t="s">
        <v>5232</v>
      </c>
      <c r="E2580" s="34" t="s">
        <v>38</v>
      </c>
      <c r="F2580" s="32" t="n">
        <f aca="false">COUNTIF(Base!$D$2:$D$2878,B2580)</f>
        <v>1</v>
      </c>
      <c r="G2580" s="35" t="n">
        <f aca="false">SUMIF(Base!$D$2:$D$2878,B2580,Base!$I$2:$I$2878)</f>
        <v>35.52</v>
      </c>
      <c r="H2580" s="36" t="n">
        <f aca="false">IF($G$2849=0,0,G2580/$G$2849)</f>
        <v>2.33090147906315E-006</v>
      </c>
      <c r="I2580" s="37" t="n">
        <f aca="false">I2579+H2580</f>
        <v>0.999700754773291</v>
      </c>
      <c r="J2580" s="37" t="n">
        <f aca="false">A2580/2840</f>
        <v>0.905985915492958</v>
      </c>
      <c r="K2580" s="32" t="str">
        <f aca="false">IF(I2580&lt;=$E$4,"A",IF(I2580&lt;=$E$5,"B","C"))</f>
        <v>C</v>
      </c>
    </row>
    <row r="2581" customFormat="false" ht="15" hidden="false" customHeight="false" outlineLevel="0" collapsed="false">
      <c r="A2581" s="32" t="n">
        <v>2574</v>
      </c>
      <c r="B2581" s="33" t="n">
        <v>35101</v>
      </c>
      <c r="C2581" s="34" t="s">
        <v>5233</v>
      </c>
      <c r="D2581" s="34" t="s">
        <v>5234</v>
      </c>
      <c r="E2581" s="34" t="s">
        <v>1618</v>
      </c>
      <c r="F2581" s="32" t="n">
        <f aca="false">COUNTIF(Base!$D$2:$D$2878,B2581)</f>
        <v>1</v>
      </c>
      <c r="G2581" s="35" t="n">
        <f aca="false">SUMIF(Base!$D$2:$D$2878,B2581,Base!$I$2:$I$2878)</f>
        <v>35.4</v>
      </c>
      <c r="H2581" s="36" t="n">
        <f aca="false">IF($G$2849=0,0,G2581/$G$2849)</f>
        <v>2.32302681190415E-006</v>
      </c>
      <c r="I2581" s="37" t="n">
        <f aca="false">I2580+H2581</f>
        <v>0.999703077800102</v>
      </c>
      <c r="J2581" s="37" t="n">
        <f aca="false">A2581/2840</f>
        <v>0.906338028169014</v>
      </c>
      <c r="K2581" s="32" t="str">
        <f aca="false">IF(I2581&lt;=$E$4,"A",IF(I2581&lt;=$E$5,"B","C"))</f>
        <v>C</v>
      </c>
    </row>
    <row r="2582" customFormat="false" ht="15" hidden="false" customHeight="false" outlineLevel="0" collapsed="false">
      <c r="A2582" s="32" t="n">
        <v>2575</v>
      </c>
      <c r="B2582" s="33" t="n">
        <v>1110728</v>
      </c>
      <c r="C2582" s="34" t="s">
        <v>5235</v>
      </c>
      <c r="D2582" s="34" t="s">
        <v>5236</v>
      </c>
      <c r="E2582" s="34" t="s">
        <v>38</v>
      </c>
      <c r="F2582" s="32" t="n">
        <f aca="false">COUNTIF(Base!$D$2:$D$2878,B2582)</f>
        <v>1</v>
      </c>
      <c r="G2582" s="35" t="n">
        <f aca="false">SUMIF(Base!$D$2:$D$2878,B2582,Base!$I$2:$I$2878)</f>
        <v>35.4</v>
      </c>
      <c r="H2582" s="36" t="n">
        <f aca="false">IF($G$2849=0,0,G2582/$G$2849)</f>
        <v>2.32302681190415E-006</v>
      </c>
      <c r="I2582" s="37" t="n">
        <f aca="false">I2581+H2582</f>
        <v>0.999705400826914</v>
      </c>
      <c r="J2582" s="37" t="n">
        <f aca="false">A2582/2840</f>
        <v>0.90669014084507</v>
      </c>
      <c r="K2582" s="32" t="str">
        <f aca="false">IF(I2582&lt;=$E$4,"A",IF(I2582&lt;=$E$5,"B","C"))</f>
        <v>C</v>
      </c>
    </row>
    <row r="2583" customFormat="false" ht="15" hidden="false" customHeight="false" outlineLevel="0" collapsed="false">
      <c r="A2583" s="32" t="n">
        <v>2576</v>
      </c>
      <c r="B2583" s="33" t="n">
        <v>1312597</v>
      </c>
      <c r="C2583" s="34" t="s">
        <v>5237</v>
      </c>
      <c r="D2583" s="34" t="s">
        <v>5238</v>
      </c>
      <c r="E2583" s="34" t="s">
        <v>189</v>
      </c>
      <c r="F2583" s="32" t="n">
        <f aca="false">COUNTIF(Base!$D$2:$D$2878,B2583)</f>
        <v>1</v>
      </c>
      <c r="G2583" s="35" t="n">
        <f aca="false">SUMIF(Base!$D$2:$D$2878,B2583,Base!$I$2:$I$2878)</f>
        <v>35.25</v>
      </c>
      <c r="H2583" s="36" t="n">
        <f aca="false">IF($G$2849=0,0,G2583/$G$2849)</f>
        <v>2.3131834779554E-006</v>
      </c>
      <c r="I2583" s="37" t="n">
        <f aca="false">I2582+H2583</f>
        <v>0.999707714010392</v>
      </c>
      <c r="J2583" s="37" t="n">
        <f aca="false">A2583/2840</f>
        <v>0.907042253521127</v>
      </c>
      <c r="K2583" s="32" t="str">
        <f aca="false">IF(I2583&lt;=$E$4,"A",IF(I2583&lt;=$E$5,"B","C"))</f>
        <v>C</v>
      </c>
    </row>
    <row r="2584" customFormat="false" ht="15" hidden="false" customHeight="false" outlineLevel="0" collapsed="false">
      <c r="A2584" s="32" t="n">
        <v>2577</v>
      </c>
      <c r="B2584" s="33" t="n">
        <v>866367</v>
      </c>
      <c r="C2584" s="34" t="s">
        <v>5239</v>
      </c>
      <c r="D2584" s="34" t="s">
        <v>5240</v>
      </c>
      <c r="E2584" s="34" t="s">
        <v>38</v>
      </c>
      <c r="F2584" s="32" t="n">
        <f aca="false">COUNTIF(Base!$D$2:$D$2878,B2584)</f>
        <v>1</v>
      </c>
      <c r="G2584" s="35" t="n">
        <f aca="false">SUMIF(Base!$D$2:$D$2878,B2584,Base!$I$2:$I$2878)</f>
        <v>35.2</v>
      </c>
      <c r="H2584" s="36" t="n">
        <f aca="false">IF($G$2849=0,0,G2584/$G$2849)</f>
        <v>2.30990236663916E-006</v>
      </c>
      <c r="I2584" s="37" t="n">
        <f aca="false">I2583+H2584</f>
        <v>0.999710023912759</v>
      </c>
      <c r="J2584" s="37" t="n">
        <f aca="false">A2584/2840</f>
        <v>0.907394366197183</v>
      </c>
      <c r="K2584" s="32" t="str">
        <f aca="false">IF(I2584&lt;=$E$4,"A",IF(I2584&lt;=$E$5,"B","C"))</f>
        <v>C</v>
      </c>
    </row>
    <row r="2585" customFormat="false" ht="15" hidden="false" customHeight="false" outlineLevel="0" collapsed="false">
      <c r="A2585" s="32" t="n">
        <v>2578</v>
      </c>
      <c r="B2585" s="33" t="n">
        <v>1089786</v>
      </c>
      <c r="C2585" s="34" t="s">
        <v>5241</v>
      </c>
      <c r="D2585" s="34" t="s">
        <v>5242</v>
      </c>
      <c r="E2585" s="34" t="s">
        <v>2056</v>
      </c>
      <c r="F2585" s="32" t="n">
        <f aca="false">COUNTIF(Base!$D$2:$D$2878,B2585)</f>
        <v>1</v>
      </c>
      <c r="G2585" s="35" t="n">
        <f aca="false">SUMIF(Base!$D$2:$D$2878,B2585,Base!$I$2:$I$2878)</f>
        <v>35</v>
      </c>
      <c r="H2585" s="36" t="n">
        <f aca="false">IF($G$2849=0,0,G2585/$G$2849)</f>
        <v>2.29677792137416E-006</v>
      </c>
      <c r="I2585" s="37" t="n">
        <f aca="false">I2584+H2585</f>
        <v>0.99971232069068</v>
      </c>
      <c r="J2585" s="37" t="n">
        <f aca="false">A2585/2840</f>
        <v>0.907746478873239</v>
      </c>
      <c r="K2585" s="32" t="str">
        <f aca="false">IF(I2585&lt;=$E$4,"A",IF(I2585&lt;=$E$5,"B","C"))</f>
        <v>C</v>
      </c>
    </row>
    <row r="2586" customFormat="false" ht="15" hidden="false" customHeight="false" outlineLevel="0" collapsed="false">
      <c r="A2586" s="32" t="n">
        <v>2579</v>
      </c>
      <c r="B2586" s="33" t="n">
        <v>15110</v>
      </c>
      <c r="C2586" s="34" t="s">
        <v>5243</v>
      </c>
      <c r="D2586" s="34" t="s">
        <v>5244</v>
      </c>
      <c r="E2586" s="34" t="s">
        <v>54</v>
      </c>
      <c r="F2586" s="32" t="n">
        <f aca="false">COUNTIF(Base!$D$2:$D$2878,B2586)</f>
        <v>1</v>
      </c>
      <c r="G2586" s="35" t="n">
        <f aca="false">SUMIF(Base!$D$2:$D$2878,B2586,Base!$I$2:$I$2878)</f>
        <v>34.98</v>
      </c>
      <c r="H2586" s="36" t="n">
        <f aca="false">IF($G$2849=0,0,G2586/$G$2849)</f>
        <v>2.29546547684766E-006</v>
      </c>
      <c r="I2586" s="37" t="n">
        <f aca="false">I2585+H2586</f>
        <v>0.999714616156157</v>
      </c>
      <c r="J2586" s="37" t="n">
        <f aca="false">A2586/2840</f>
        <v>0.908098591549296</v>
      </c>
      <c r="K2586" s="32" t="str">
        <f aca="false">IF(I2586&lt;=$E$4,"A",IF(I2586&lt;=$E$5,"B","C"))</f>
        <v>C</v>
      </c>
    </row>
    <row r="2587" customFormat="false" ht="15" hidden="false" customHeight="false" outlineLevel="0" collapsed="false">
      <c r="A2587" s="32" t="n">
        <v>2580</v>
      </c>
      <c r="B2587" s="33" t="n">
        <v>15111</v>
      </c>
      <c r="C2587" s="34" t="s">
        <v>5245</v>
      </c>
      <c r="D2587" s="34" t="s">
        <v>5246</v>
      </c>
      <c r="E2587" s="34" t="s">
        <v>54</v>
      </c>
      <c r="F2587" s="32" t="n">
        <f aca="false">COUNTIF(Base!$D$2:$D$2878,B2587)</f>
        <v>1</v>
      </c>
      <c r="G2587" s="35" t="n">
        <f aca="false">SUMIF(Base!$D$2:$D$2878,B2587,Base!$I$2:$I$2878)</f>
        <v>34.98</v>
      </c>
      <c r="H2587" s="36" t="n">
        <f aca="false">IF($G$2849=0,0,G2587/$G$2849)</f>
        <v>2.29546547684766E-006</v>
      </c>
      <c r="I2587" s="37" t="n">
        <f aca="false">I2586+H2587</f>
        <v>0.999716911621634</v>
      </c>
      <c r="J2587" s="37" t="n">
        <f aca="false">A2587/2840</f>
        <v>0.908450704225352</v>
      </c>
      <c r="K2587" s="32" t="str">
        <f aca="false">IF(I2587&lt;=$E$4,"A",IF(I2587&lt;=$E$5,"B","C"))</f>
        <v>C</v>
      </c>
    </row>
    <row r="2588" customFormat="false" ht="15" hidden="false" customHeight="false" outlineLevel="0" collapsed="false">
      <c r="A2588" s="32" t="n">
        <v>2581</v>
      </c>
      <c r="B2588" s="33" t="n">
        <v>21162</v>
      </c>
      <c r="C2588" s="34" t="s">
        <v>5247</v>
      </c>
      <c r="D2588" s="34" t="s">
        <v>5248</v>
      </c>
      <c r="E2588" s="34" t="s">
        <v>637</v>
      </c>
      <c r="F2588" s="32" t="n">
        <f aca="false">COUNTIF(Base!$D$2:$D$2878,B2588)</f>
        <v>1</v>
      </c>
      <c r="G2588" s="35" t="n">
        <f aca="false">SUMIF(Base!$D$2:$D$2878,B2588,Base!$I$2:$I$2878)</f>
        <v>34.98</v>
      </c>
      <c r="H2588" s="36" t="n">
        <f aca="false">IF($G$2849=0,0,G2588/$G$2849)</f>
        <v>2.29546547684766E-006</v>
      </c>
      <c r="I2588" s="37" t="n">
        <f aca="false">I2587+H2588</f>
        <v>0.999719207087111</v>
      </c>
      <c r="J2588" s="37" t="n">
        <f aca="false">A2588/2840</f>
        <v>0.908802816901408</v>
      </c>
      <c r="K2588" s="32" t="str">
        <f aca="false">IF(I2588&lt;=$E$4,"A",IF(I2588&lt;=$E$5,"B","C"))</f>
        <v>C</v>
      </c>
    </row>
    <row r="2589" customFormat="false" ht="15" hidden="false" customHeight="false" outlineLevel="0" collapsed="false">
      <c r="A2589" s="32" t="n">
        <v>2582</v>
      </c>
      <c r="B2589" s="33" t="n">
        <v>33969</v>
      </c>
      <c r="C2589" s="34" t="s">
        <v>5249</v>
      </c>
      <c r="D2589" s="34" t="s">
        <v>5250</v>
      </c>
      <c r="E2589" s="34" t="s">
        <v>100</v>
      </c>
      <c r="F2589" s="32" t="n">
        <f aca="false">COUNTIF(Base!$D$2:$D$2878,B2589)</f>
        <v>1</v>
      </c>
      <c r="G2589" s="35" t="n">
        <f aca="false">SUMIF(Base!$D$2:$D$2878,B2589,Base!$I$2:$I$2878)</f>
        <v>34.8</v>
      </c>
      <c r="H2589" s="36" t="n">
        <f aca="false">IF($G$2849=0,0,G2589/$G$2849)</f>
        <v>2.28365347610917E-006</v>
      </c>
      <c r="I2589" s="37" t="n">
        <f aca="false">I2588+H2589</f>
        <v>0.999721490740587</v>
      </c>
      <c r="J2589" s="37" t="n">
        <f aca="false">A2589/2840</f>
        <v>0.909154929577465</v>
      </c>
      <c r="K2589" s="32" t="str">
        <f aca="false">IF(I2589&lt;=$E$4,"A",IF(I2589&lt;=$E$5,"B","C"))</f>
        <v>C</v>
      </c>
    </row>
    <row r="2590" customFormat="false" ht="15" hidden="false" customHeight="false" outlineLevel="0" collapsed="false">
      <c r="A2590" s="32" t="n">
        <v>2583</v>
      </c>
      <c r="B2590" s="33" t="n">
        <v>1069541</v>
      </c>
      <c r="C2590" s="34" t="s">
        <v>5251</v>
      </c>
      <c r="D2590" s="34" t="s">
        <v>5252</v>
      </c>
      <c r="E2590" s="34" t="s">
        <v>113</v>
      </c>
      <c r="F2590" s="32" t="n">
        <f aca="false">COUNTIF(Base!$D$2:$D$2878,B2590)</f>
        <v>1</v>
      </c>
      <c r="G2590" s="35" t="n">
        <f aca="false">SUMIF(Base!$D$2:$D$2878,B2590,Base!$I$2:$I$2878)</f>
        <v>34.8</v>
      </c>
      <c r="H2590" s="36" t="n">
        <f aca="false">IF($G$2849=0,0,G2590/$G$2849)</f>
        <v>2.28365347610917E-006</v>
      </c>
      <c r="I2590" s="37" t="n">
        <f aca="false">I2589+H2590</f>
        <v>0.999723774394063</v>
      </c>
      <c r="J2590" s="37" t="n">
        <f aca="false">A2590/2840</f>
        <v>0.909507042253521</v>
      </c>
      <c r="K2590" s="32" t="str">
        <f aca="false">IF(I2590&lt;=$E$4,"A",IF(I2590&lt;=$E$5,"B","C"))</f>
        <v>C</v>
      </c>
    </row>
    <row r="2591" customFormat="false" ht="15" hidden="false" customHeight="false" outlineLevel="0" collapsed="false">
      <c r="A2591" s="32" t="n">
        <v>2584</v>
      </c>
      <c r="B2591" s="33" t="n">
        <v>19330</v>
      </c>
      <c r="C2591" s="34" t="s">
        <v>5253</v>
      </c>
      <c r="D2591" s="34" t="s">
        <v>5254</v>
      </c>
      <c r="E2591" s="34" t="s">
        <v>1095</v>
      </c>
      <c r="F2591" s="32" t="n">
        <f aca="false">COUNTIF(Base!$D$2:$D$2878,B2591)</f>
        <v>1</v>
      </c>
      <c r="G2591" s="35" t="n">
        <f aca="false">SUMIF(Base!$D$2:$D$2878,B2591,Base!$I$2:$I$2878)</f>
        <v>34</v>
      </c>
      <c r="H2591" s="36" t="n">
        <f aca="false">IF($G$2849=0,0,G2591/$G$2849)</f>
        <v>2.23115569504918E-006</v>
      </c>
      <c r="I2591" s="37" t="n">
        <f aca="false">I2590+H2591</f>
        <v>0.999726005549758</v>
      </c>
      <c r="J2591" s="37" t="n">
        <f aca="false">A2591/2840</f>
        <v>0.909859154929578</v>
      </c>
      <c r="K2591" s="32" t="str">
        <f aca="false">IF(I2591&lt;=$E$4,"A",IF(I2591&lt;=$E$5,"B","C"))</f>
        <v>C</v>
      </c>
    </row>
    <row r="2592" customFormat="false" ht="15" hidden="false" customHeight="false" outlineLevel="0" collapsed="false">
      <c r="A2592" s="32" t="n">
        <v>2585</v>
      </c>
      <c r="B2592" s="33" t="n">
        <v>1662288</v>
      </c>
      <c r="C2592" s="34" t="s">
        <v>5255</v>
      </c>
      <c r="D2592" s="34" t="s">
        <v>5256</v>
      </c>
      <c r="E2592" s="34" t="s">
        <v>38</v>
      </c>
      <c r="F2592" s="32" t="n">
        <f aca="false">COUNTIF(Base!$D$2:$D$2878,B2592)</f>
        <v>1</v>
      </c>
      <c r="G2592" s="35" t="n">
        <f aca="false">SUMIF(Base!$D$2:$D$2878,B2592,Base!$I$2:$I$2878)</f>
        <v>33.84</v>
      </c>
      <c r="H2592" s="36" t="n">
        <f aca="false">IF($G$2849=0,0,G2592/$G$2849)</f>
        <v>2.22065613883719E-006</v>
      </c>
      <c r="I2592" s="37" t="n">
        <f aca="false">I2591+H2592</f>
        <v>0.999728226205897</v>
      </c>
      <c r="J2592" s="37" t="n">
        <f aca="false">A2592/2840</f>
        <v>0.910211267605634</v>
      </c>
      <c r="K2592" s="32" t="str">
        <f aca="false">IF(I2592&lt;=$E$4,"A",IF(I2592&lt;=$E$5,"B","C"))</f>
        <v>C</v>
      </c>
    </row>
    <row r="2593" customFormat="false" ht="15" hidden="false" customHeight="false" outlineLevel="0" collapsed="false">
      <c r="A2593" s="32" t="n">
        <v>2586</v>
      </c>
      <c r="B2593" s="33" t="n">
        <v>21839</v>
      </c>
      <c r="C2593" s="34" t="s">
        <v>5257</v>
      </c>
      <c r="D2593" s="34" t="s">
        <v>5258</v>
      </c>
      <c r="E2593" s="34" t="s">
        <v>457</v>
      </c>
      <c r="F2593" s="32" t="n">
        <f aca="false">COUNTIF(Base!$D$2:$D$2878,B2593)</f>
        <v>1</v>
      </c>
      <c r="G2593" s="35" t="n">
        <f aca="false">SUMIF(Base!$D$2:$D$2878,B2593,Base!$I$2:$I$2878)</f>
        <v>33.75</v>
      </c>
      <c r="H2593" s="36" t="n">
        <f aca="false">IF($G$2849=0,0,G2593/$G$2849)</f>
        <v>2.21475013846794E-006</v>
      </c>
      <c r="I2593" s="37" t="n">
        <f aca="false">I2592+H2593</f>
        <v>0.999730440956035</v>
      </c>
      <c r="J2593" s="37" t="n">
        <f aca="false">A2593/2840</f>
        <v>0.91056338028169</v>
      </c>
      <c r="K2593" s="32" t="str">
        <f aca="false">IF(I2593&lt;=$E$4,"A",IF(I2593&lt;=$E$5,"B","C"))</f>
        <v>C</v>
      </c>
    </row>
    <row r="2594" customFormat="false" ht="15" hidden="false" customHeight="false" outlineLevel="0" collapsed="false">
      <c r="A2594" s="32" t="n">
        <v>2587</v>
      </c>
      <c r="B2594" s="33" t="n">
        <v>1331115</v>
      </c>
      <c r="C2594" s="34" t="s">
        <v>5259</v>
      </c>
      <c r="D2594" s="34" t="s">
        <v>5260</v>
      </c>
      <c r="E2594" s="34" t="s">
        <v>1443</v>
      </c>
      <c r="F2594" s="32" t="n">
        <f aca="false">COUNTIF(Base!$D$2:$D$2878,B2594)</f>
        <v>1</v>
      </c>
      <c r="G2594" s="35" t="n">
        <f aca="false">SUMIF(Base!$D$2:$D$2878,B2594,Base!$I$2:$I$2878)</f>
        <v>33.48</v>
      </c>
      <c r="H2594" s="36" t="n">
        <f aca="false">IF($G$2849=0,0,G2594/$G$2849)</f>
        <v>2.1970321373602E-006</v>
      </c>
      <c r="I2594" s="37" t="n">
        <f aca="false">I2593+H2594</f>
        <v>0.999732637988173</v>
      </c>
      <c r="J2594" s="37" t="n">
        <f aca="false">A2594/2840</f>
        <v>0.910915492957746</v>
      </c>
      <c r="K2594" s="32" t="str">
        <f aca="false">IF(I2594&lt;=$E$4,"A",IF(I2594&lt;=$E$5,"B","C"))</f>
        <v>C</v>
      </c>
    </row>
    <row r="2595" customFormat="false" ht="15" hidden="false" customHeight="false" outlineLevel="0" collapsed="false">
      <c r="A2595" s="32" t="n">
        <v>2588</v>
      </c>
      <c r="B2595" s="33" t="n">
        <v>549248</v>
      </c>
      <c r="C2595" s="34" t="s">
        <v>5261</v>
      </c>
      <c r="D2595" s="34" t="s">
        <v>5262</v>
      </c>
      <c r="E2595" s="34" t="s">
        <v>38</v>
      </c>
      <c r="F2595" s="32" t="n">
        <f aca="false">COUNTIF(Base!$D$2:$D$2878,B2595)</f>
        <v>1</v>
      </c>
      <c r="G2595" s="35" t="n">
        <f aca="false">SUMIF(Base!$D$2:$D$2878,B2595,Base!$I$2:$I$2878)</f>
        <v>33.35</v>
      </c>
      <c r="H2595" s="36" t="n">
        <f aca="false">IF($G$2849=0,0,G2595/$G$2849)</f>
        <v>2.18850124793795E-006</v>
      </c>
      <c r="I2595" s="37" t="n">
        <f aca="false">I2594+H2595</f>
        <v>0.999734826489421</v>
      </c>
      <c r="J2595" s="37" t="n">
        <f aca="false">A2595/2840</f>
        <v>0.911267605633803</v>
      </c>
      <c r="K2595" s="32" t="str">
        <f aca="false">IF(I2595&lt;=$E$4,"A",IF(I2595&lt;=$E$5,"B","C"))</f>
        <v>C</v>
      </c>
    </row>
    <row r="2596" customFormat="false" ht="15" hidden="false" customHeight="false" outlineLevel="0" collapsed="false">
      <c r="A2596" s="32" t="n">
        <v>2589</v>
      </c>
      <c r="B2596" s="33" t="n">
        <v>18125</v>
      </c>
      <c r="C2596" s="34" t="s">
        <v>5263</v>
      </c>
      <c r="D2596" s="34" t="s">
        <v>5264</v>
      </c>
      <c r="E2596" s="34" t="s">
        <v>130</v>
      </c>
      <c r="F2596" s="32" t="n">
        <f aca="false">COUNTIF(Base!$D$2:$D$2878,B2596)</f>
        <v>1</v>
      </c>
      <c r="G2596" s="35" t="n">
        <f aca="false">SUMIF(Base!$D$2:$D$2878,B2596,Base!$I$2:$I$2878)</f>
        <v>33.12</v>
      </c>
      <c r="H2596" s="36" t="n">
        <f aca="false">IF($G$2849=0,0,G2596/$G$2849)</f>
        <v>2.17340813588321E-006</v>
      </c>
      <c r="I2596" s="37" t="n">
        <f aca="false">I2595+H2596</f>
        <v>0.999736999897557</v>
      </c>
      <c r="J2596" s="37" t="n">
        <f aca="false">A2596/2840</f>
        <v>0.911619718309859</v>
      </c>
      <c r="K2596" s="32" t="str">
        <f aca="false">IF(I2596&lt;=$E$4,"A",IF(I2596&lt;=$E$5,"B","C"))</f>
        <v>C</v>
      </c>
    </row>
    <row r="2597" customFormat="false" ht="15" hidden="false" customHeight="false" outlineLevel="0" collapsed="false">
      <c r="A2597" s="32" t="n">
        <v>2590</v>
      </c>
      <c r="B2597" s="33" t="n">
        <v>22269</v>
      </c>
      <c r="C2597" s="34" t="s">
        <v>5265</v>
      </c>
      <c r="D2597" s="34" t="s">
        <v>5266</v>
      </c>
      <c r="E2597" s="34" t="s">
        <v>130</v>
      </c>
      <c r="F2597" s="32" t="n">
        <f aca="false">COUNTIF(Base!$D$2:$D$2878,B2597)</f>
        <v>1</v>
      </c>
      <c r="G2597" s="35" t="n">
        <f aca="false">SUMIF(Base!$D$2:$D$2878,B2597,Base!$I$2:$I$2878)</f>
        <v>33</v>
      </c>
      <c r="H2597" s="36" t="n">
        <f aca="false">IF($G$2849=0,0,G2597/$G$2849)</f>
        <v>2.16553346872421E-006</v>
      </c>
      <c r="I2597" s="37" t="n">
        <f aca="false">I2596+H2597</f>
        <v>0.999739165431025</v>
      </c>
      <c r="J2597" s="37" t="n">
        <f aca="false">A2597/2840</f>
        <v>0.911971830985916</v>
      </c>
      <c r="K2597" s="32" t="str">
        <f aca="false">IF(I2597&lt;=$E$4,"A",IF(I2597&lt;=$E$5,"B","C"))</f>
        <v>C</v>
      </c>
    </row>
    <row r="2598" customFormat="false" ht="15" hidden="false" customHeight="false" outlineLevel="0" collapsed="false">
      <c r="A2598" s="32" t="n">
        <v>2591</v>
      </c>
      <c r="B2598" s="33" t="n">
        <v>1330262</v>
      </c>
      <c r="C2598" s="34" t="s">
        <v>5267</v>
      </c>
      <c r="D2598" s="34" t="s">
        <v>5268</v>
      </c>
      <c r="E2598" s="34" t="s">
        <v>100</v>
      </c>
      <c r="F2598" s="32" t="n">
        <f aca="false">COUNTIF(Base!$D$2:$D$2878,B2598)</f>
        <v>1</v>
      </c>
      <c r="G2598" s="35" t="n">
        <f aca="false">SUMIF(Base!$D$2:$D$2878,B2598,Base!$I$2:$I$2878)</f>
        <v>32.98</v>
      </c>
      <c r="H2598" s="36" t="n">
        <f aca="false">IF($G$2849=0,0,G2598/$G$2849)</f>
        <v>2.16422102419771E-006</v>
      </c>
      <c r="I2598" s="37" t="n">
        <f aca="false">I2597+H2598</f>
        <v>0.999741329652049</v>
      </c>
      <c r="J2598" s="37" t="n">
        <f aca="false">A2598/2840</f>
        <v>0.912323943661972</v>
      </c>
      <c r="K2598" s="32" t="str">
        <f aca="false">IF(I2598&lt;=$E$4,"A",IF(I2598&lt;=$E$5,"B","C"))</f>
        <v>C</v>
      </c>
    </row>
    <row r="2599" customFormat="false" ht="15" hidden="false" customHeight="false" outlineLevel="0" collapsed="false">
      <c r="A2599" s="32" t="n">
        <v>2592</v>
      </c>
      <c r="B2599" s="33" t="n">
        <v>1659864</v>
      </c>
      <c r="C2599" s="34" t="s">
        <v>5269</v>
      </c>
      <c r="D2599" s="34" t="s">
        <v>5270</v>
      </c>
      <c r="E2599" s="34" t="s">
        <v>100</v>
      </c>
      <c r="F2599" s="32" t="n">
        <f aca="false">COUNTIF(Base!$D$2:$D$2878,B2599)</f>
        <v>1</v>
      </c>
      <c r="G2599" s="35" t="n">
        <f aca="false">SUMIF(Base!$D$2:$D$2878,B2599,Base!$I$2:$I$2878)</f>
        <v>32.9</v>
      </c>
      <c r="H2599" s="36" t="n">
        <f aca="false">IF($G$2849=0,0,G2599/$G$2849)</f>
        <v>2.15897124609171E-006</v>
      </c>
      <c r="I2599" s="37" t="n">
        <f aca="false">I2598+H2599</f>
        <v>0.999743488623296</v>
      </c>
      <c r="J2599" s="37" t="n">
        <f aca="false">A2599/2840</f>
        <v>0.912676056338028</v>
      </c>
      <c r="K2599" s="32" t="str">
        <f aca="false">IF(I2599&lt;=$E$4,"A",IF(I2599&lt;=$E$5,"B","C"))</f>
        <v>C</v>
      </c>
    </row>
    <row r="2600" customFormat="false" ht="15" hidden="false" customHeight="false" outlineLevel="0" collapsed="false">
      <c r="A2600" s="32" t="n">
        <v>2593</v>
      </c>
      <c r="B2600" s="33" t="n">
        <v>220676</v>
      </c>
      <c r="C2600" s="34" t="s">
        <v>5271</v>
      </c>
      <c r="D2600" s="34" t="s">
        <v>5272</v>
      </c>
      <c r="E2600" s="34" t="s">
        <v>2056</v>
      </c>
      <c r="F2600" s="32" t="n">
        <f aca="false">COUNTIF(Base!$D$2:$D$2878,B2600)</f>
        <v>1</v>
      </c>
      <c r="G2600" s="35" t="n">
        <f aca="false">SUMIF(Base!$D$2:$D$2878,B2600,Base!$I$2:$I$2878)</f>
        <v>32.8</v>
      </c>
      <c r="H2600" s="36" t="n">
        <f aca="false">IF($G$2849=0,0,G2600/$G$2849)</f>
        <v>2.15240902345921E-006</v>
      </c>
      <c r="I2600" s="37" t="n">
        <f aca="false">I2599+H2600</f>
        <v>0.999745641032319</v>
      </c>
      <c r="J2600" s="37" t="n">
        <f aca="false">A2600/2840</f>
        <v>0.913028169014085</v>
      </c>
      <c r="K2600" s="32" t="str">
        <f aca="false">IF(I2600&lt;=$E$4,"A",IF(I2600&lt;=$E$5,"B","C"))</f>
        <v>C</v>
      </c>
    </row>
    <row r="2601" customFormat="false" ht="15" hidden="false" customHeight="false" outlineLevel="0" collapsed="false">
      <c r="A2601" s="32" t="n">
        <v>2594</v>
      </c>
      <c r="B2601" s="33" t="n">
        <v>292980</v>
      </c>
      <c r="C2601" s="34" t="s">
        <v>5273</v>
      </c>
      <c r="D2601" s="34" t="s">
        <v>5274</v>
      </c>
      <c r="E2601" s="34" t="s">
        <v>262</v>
      </c>
      <c r="F2601" s="32" t="n">
        <f aca="false">COUNTIF(Base!$D$2:$D$2878,B2601)</f>
        <v>1</v>
      </c>
      <c r="G2601" s="35" t="n">
        <f aca="false">SUMIF(Base!$D$2:$D$2878,B2601,Base!$I$2:$I$2878)</f>
        <v>32.8</v>
      </c>
      <c r="H2601" s="36" t="n">
        <f aca="false">IF($G$2849=0,0,G2601/$G$2849)</f>
        <v>2.15240902345921E-006</v>
      </c>
      <c r="I2601" s="37" t="n">
        <f aca="false">I2600+H2601</f>
        <v>0.999747793441343</v>
      </c>
      <c r="J2601" s="37" t="n">
        <f aca="false">A2601/2840</f>
        <v>0.913380281690141</v>
      </c>
      <c r="K2601" s="32" t="str">
        <f aca="false">IF(I2601&lt;=$E$4,"A",IF(I2601&lt;=$E$5,"B","C"))</f>
        <v>C</v>
      </c>
    </row>
    <row r="2602" customFormat="false" ht="15" hidden="false" customHeight="false" outlineLevel="0" collapsed="false">
      <c r="A2602" s="32" t="n">
        <v>2595</v>
      </c>
      <c r="B2602" s="33" t="n">
        <v>35399</v>
      </c>
      <c r="C2602" s="34" t="s">
        <v>5275</v>
      </c>
      <c r="D2602" s="34" t="s">
        <v>5276</v>
      </c>
      <c r="E2602" s="34" t="s">
        <v>563</v>
      </c>
      <c r="F2602" s="32" t="n">
        <f aca="false">COUNTIF(Base!$D$2:$D$2878,B2602)</f>
        <v>1</v>
      </c>
      <c r="G2602" s="35" t="n">
        <f aca="false">SUMIF(Base!$D$2:$D$2878,B2602,Base!$I$2:$I$2878)</f>
        <v>32.56</v>
      </c>
      <c r="H2602" s="36" t="n">
        <f aca="false">IF($G$2849=0,0,G2602/$G$2849)</f>
        <v>2.13665968914122E-006</v>
      </c>
      <c r="I2602" s="37" t="n">
        <f aca="false">I2601+H2602</f>
        <v>0.999749930101032</v>
      </c>
      <c r="J2602" s="37" t="n">
        <f aca="false">A2602/2840</f>
        <v>0.913732394366197</v>
      </c>
      <c r="K2602" s="32" t="str">
        <f aca="false">IF(I2602&lt;=$E$4,"A",IF(I2602&lt;=$E$5,"B","C"))</f>
        <v>C</v>
      </c>
    </row>
    <row r="2603" customFormat="false" ht="15" hidden="false" customHeight="false" outlineLevel="0" collapsed="false">
      <c r="A2603" s="32" t="n">
        <v>2596</v>
      </c>
      <c r="B2603" s="33" t="n">
        <v>260233</v>
      </c>
      <c r="C2603" s="34" t="s">
        <v>5277</v>
      </c>
      <c r="D2603" s="34" t="s">
        <v>5278</v>
      </c>
      <c r="E2603" s="34" t="s">
        <v>2056</v>
      </c>
      <c r="F2603" s="32" t="n">
        <f aca="false">COUNTIF(Base!$D$2:$D$2878,B2603)</f>
        <v>1</v>
      </c>
      <c r="G2603" s="35" t="n">
        <f aca="false">SUMIF(Base!$D$2:$D$2878,B2603,Base!$I$2:$I$2878)</f>
        <v>32</v>
      </c>
      <c r="H2603" s="36" t="n">
        <f aca="false">IF($G$2849=0,0,G2603/$G$2849)</f>
        <v>2.09991124239923E-006</v>
      </c>
      <c r="I2603" s="37" t="n">
        <f aca="false">I2602+H2603</f>
        <v>0.999752030012274</v>
      </c>
      <c r="J2603" s="37" t="n">
        <f aca="false">A2603/2840</f>
        <v>0.914084507042254</v>
      </c>
      <c r="K2603" s="32" t="str">
        <f aca="false">IF(I2603&lt;=$E$4,"A",IF(I2603&lt;=$E$5,"B","C"))</f>
        <v>C</v>
      </c>
    </row>
    <row r="2604" customFormat="false" ht="15" hidden="false" customHeight="false" outlineLevel="0" collapsed="false">
      <c r="A2604" s="32" t="n">
        <v>2597</v>
      </c>
      <c r="B2604" s="33" t="n">
        <v>89391</v>
      </c>
      <c r="C2604" s="34" t="s">
        <v>5279</v>
      </c>
      <c r="D2604" s="34" t="s">
        <v>5280</v>
      </c>
      <c r="E2604" s="34" t="s">
        <v>100</v>
      </c>
      <c r="F2604" s="32" t="n">
        <f aca="false">COUNTIF(Base!$D$2:$D$2878,B2604)</f>
        <v>1</v>
      </c>
      <c r="G2604" s="35" t="n">
        <f aca="false">SUMIF(Base!$D$2:$D$2878,B2604,Base!$I$2:$I$2878)</f>
        <v>31.9</v>
      </c>
      <c r="H2604" s="36" t="n">
        <f aca="false">IF($G$2849=0,0,G2604/$G$2849)</f>
        <v>2.09334901976674E-006</v>
      </c>
      <c r="I2604" s="37" t="n">
        <f aca="false">I2603+H2604</f>
        <v>0.999754123361294</v>
      </c>
      <c r="J2604" s="37" t="n">
        <f aca="false">A2604/2840</f>
        <v>0.91443661971831</v>
      </c>
      <c r="K2604" s="32" t="str">
        <f aca="false">IF(I2604&lt;=$E$4,"A",IF(I2604&lt;=$E$5,"B","C"))</f>
        <v>C</v>
      </c>
    </row>
    <row r="2605" customFormat="false" ht="15" hidden="false" customHeight="false" outlineLevel="0" collapsed="false">
      <c r="A2605" s="32" t="n">
        <v>2598</v>
      </c>
      <c r="B2605" s="33" t="n">
        <v>728362</v>
      </c>
      <c r="C2605" s="34" t="s">
        <v>5281</v>
      </c>
      <c r="D2605" s="34" t="s">
        <v>5282</v>
      </c>
      <c r="E2605" s="34" t="s">
        <v>100</v>
      </c>
      <c r="F2605" s="32" t="n">
        <f aca="false">COUNTIF(Base!$D$2:$D$2878,B2605)</f>
        <v>1</v>
      </c>
      <c r="G2605" s="35" t="n">
        <f aca="false">SUMIF(Base!$D$2:$D$2878,B2605,Base!$I$2:$I$2878)</f>
        <v>31.6</v>
      </c>
      <c r="H2605" s="36" t="n">
        <f aca="false">IF($G$2849=0,0,G2605/$G$2849)</f>
        <v>2.07366235186924E-006</v>
      </c>
      <c r="I2605" s="37" t="n">
        <f aca="false">I2604+H2605</f>
        <v>0.999756197023646</v>
      </c>
      <c r="J2605" s="37" t="n">
        <f aca="false">A2605/2840</f>
        <v>0.914788732394366</v>
      </c>
      <c r="K2605" s="32" t="str">
        <f aca="false">IF(I2605&lt;=$E$4,"A",IF(I2605&lt;=$E$5,"B","C"))</f>
        <v>C</v>
      </c>
    </row>
    <row r="2606" customFormat="false" ht="15" hidden="false" customHeight="false" outlineLevel="0" collapsed="false">
      <c r="A2606" s="32" t="n">
        <v>2599</v>
      </c>
      <c r="B2606" s="33" t="n">
        <v>35547</v>
      </c>
      <c r="C2606" s="34" t="s">
        <v>5283</v>
      </c>
      <c r="D2606" s="34" t="s">
        <v>5284</v>
      </c>
      <c r="E2606" s="34" t="s">
        <v>38</v>
      </c>
      <c r="F2606" s="32" t="n">
        <f aca="false">COUNTIF(Base!$D$2:$D$2878,B2606)</f>
        <v>1</v>
      </c>
      <c r="G2606" s="35" t="n">
        <f aca="false">SUMIF(Base!$D$2:$D$2878,B2606,Base!$I$2:$I$2878)</f>
        <v>31.5</v>
      </c>
      <c r="H2606" s="36" t="n">
        <f aca="false">IF($G$2849=0,0,G2606/$G$2849)</f>
        <v>2.06710012923674E-006</v>
      </c>
      <c r="I2606" s="37" t="n">
        <f aca="false">I2605+H2606</f>
        <v>0.999758264123775</v>
      </c>
      <c r="J2606" s="37" t="n">
        <f aca="false">A2606/2840</f>
        <v>0.915140845070423</v>
      </c>
      <c r="K2606" s="32" t="str">
        <f aca="false">IF(I2606&lt;=$E$4,"A",IF(I2606&lt;=$E$5,"B","C"))</f>
        <v>C</v>
      </c>
    </row>
    <row r="2607" customFormat="false" ht="15" hidden="false" customHeight="false" outlineLevel="0" collapsed="false">
      <c r="A2607" s="32" t="n">
        <v>2600</v>
      </c>
      <c r="B2607" s="33" t="n">
        <v>21316</v>
      </c>
      <c r="C2607" s="34" t="s">
        <v>5285</v>
      </c>
      <c r="D2607" s="34" t="s">
        <v>5286</v>
      </c>
      <c r="E2607" s="34" t="s">
        <v>38</v>
      </c>
      <c r="F2607" s="32" t="n">
        <f aca="false">COUNTIF(Base!$D$2:$D$2878,B2607)</f>
        <v>1</v>
      </c>
      <c r="G2607" s="35" t="n">
        <f aca="false">SUMIF(Base!$D$2:$D$2878,B2607,Base!$I$2:$I$2878)</f>
        <v>31.05</v>
      </c>
      <c r="H2607" s="36" t="n">
        <f aca="false">IF($G$2849=0,0,G2607/$G$2849)</f>
        <v>2.03757012739051E-006</v>
      </c>
      <c r="I2607" s="37" t="n">
        <f aca="false">I2606+H2607</f>
        <v>0.999760301693902</v>
      </c>
      <c r="J2607" s="37" t="n">
        <f aca="false">A2607/2840</f>
        <v>0.915492957746479</v>
      </c>
      <c r="K2607" s="32" t="str">
        <f aca="false">IF(I2607&lt;=$E$4,"A",IF(I2607&lt;=$E$5,"B","C"))</f>
        <v>C</v>
      </c>
    </row>
    <row r="2608" customFormat="false" ht="15" hidden="false" customHeight="false" outlineLevel="0" collapsed="false">
      <c r="A2608" s="32" t="n">
        <v>2601</v>
      </c>
      <c r="B2608" s="33" t="n">
        <v>856184</v>
      </c>
      <c r="C2608" s="34" t="s">
        <v>5287</v>
      </c>
      <c r="D2608" s="34" t="s">
        <v>5288</v>
      </c>
      <c r="E2608" s="34" t="s">
        <v>100</v>
      </c>
      <c r="F2608" s="32" t="n">
        <f aca="false">COUNTIF(Base!$D$2:$D$2878,B2608)</f>
        <v>1</v>
      </c>
      <c r="G2608" s="35" t="n">
        <f aca="false">SUMIF(Base!$D$2:$D$2878,B2608,Base!$I$2:$I$2878)</f>
        <v>31.04</v>
      </c>
      <c r="H2608" s="36" t="n">
        <f aca="false">IF($G$2849=0,0,G2608/$G$2849)</f>
        <v>2.03691390512726E-006</v>
      </c>
      <c r="I2608" s="37" t="n">
        <f aca="false">I2607+H2608</f>
        <v>0.999762338607808</v>
      </c>
      <c r="J2608" s="37" t="n">
        <f aca="false">A2608/2840</f>
        <v>0.915845070422535</v>
      </c>
      <c r="K2608" s="32" t="str">
        <f aca="false">IF(I2608&lt;=$E$4,"A",IF(I2608&lt;=$E$5,"B","C"))</f>
        <v>C</v>
      </c>
    </row>
    <row r="2609" customFormat="false" ht="15" hidden="false" customHeight="false" outlineLevel="0" collapsed="false">
      <c r="A2609" s="32" t="n">
        <v>2602</v>
      </c>
      <c r="B2609" s="33" t="n">
        <v>18269</v>
      </c>
      <c r="C2609" s="34" t="s">
        <v>5289</v>
      </c>
      <c r="D2609" s="34" t="s">
        <v>5290</v>
      </c>
      <c r="E2609" s="34" t="s">
        <v>1618</v>
      </c>
      <c r="F2609" s="32" t="n">
        <f aca="false">COUNTIF(Base!$D$2:$D$2878,B2609)</f>
        <v>1</v>
      </c>
      <c r="G2609" s="35" t="n">
        <f aca="false">SUMIF(Base!$D$2:$D$2878,B2609,Base!$I$2:$I$2878)</f>
        <v>30.94</v>
      </c>
      <c r="H2609" s="36" t="n">
        <f aca="false">IF($G$2849=0,0,G2609/$G$2849)</f>
        <v>2.03035168249476E-006</v>
      </c>
      <c r="I2609" s="37" t="n">
        <f aca="false">I2608+H2609</f>
        <v>0.99976436895949</v>
      </c>
      <c r="J2609" s="37" t="n">
        <f aca="false">A2609/2840</f>
        <v>0.916197183098592</v>
      </c>
      <c r="K2609" s="32" t="str">
        <f aca="false">IF(I2609&lt;=$E$4,"A",IF(I2609&lt;=$E$5,"B","C"))</f>
        <v>C</v>
      </c>
    </row>
    <row r="2610" customFormat="false" ht="15" hidden="false" customHeight="false" outlineLevel="0" collapsed="false">
      <c r="A2610" s="32" t="n">
        <v>2603</v>
      </c>
      <c r="B2610" s="33" t="n">
        <v>138733</v>
      </c>
      <c r="C2610" s="34" t="s">
        <v>5291</v>
      </c>
      <c r="D2610" s="34" t="s">
        <v>5292</v>
      </c>
      <c r="E2610" s="34" t="s">
        <v>457</v>
      </c>
      <c r="F2610" s="32" t="n">
        <f aca="false">COUNTIF(Base!$D$2:$D$2878,B2610)</f>
        <v>1</v>
      </c>
      <c r="G2610" s="35" t="n">
        <f aca="false">SUMIF(Base!$D$2:$D$2878,B2610,Base!$I$2:$I$2878)</f>
        <v>30.15</v>
      </c>
      <c r="H2610" s="36" t="n">
        <f aca="false">IF($G$2849=0,0,G2610/$G$2849)</f>
        <v>1.97851012369803E-006</v>
      </c>
      <c r="I2610" s="37" t="n">
        <f aca="false">I2609+H2610</f>
        <v>0.999766347469614</v>
      </c>
      <c r="J2610" s="37" t="n">
        <f aca="false">A2610/2840</f>
        <v>0.916549295774648</v>
      </c>
      <c r="K2610" s="32" t="str">
        <f aca="false">IF(I2610&lt;=$E$4,"A",IF(I2610&lt;=$E$5,"B","C"))</f>
        <v>C</v>
      </c>
    </row>
    <row r="2611" customFormat="false" ht="15" hidden="false" customHeight="false" outlineLevel="0" collapsed="false">
      <c r="A2611" s="32" t="n">
        <v>2604</v>
      </c>
      <c r="B2611" s="33" t="n">
        <v>24314</v>
      </c>
      <c r="C2611" s="34" t="s">
        <v>5293</v>
      </c>
      <c r="D2611" s="34" t="s">
        <v>5294</v>
      </c>
      <c r="E2611" s="34" t="s">
        <v>54</v>
      </c>
      <c r="F2611" s="32" t="n">
        <f aca="false">COUNTIF(Base!$D$2:$D$2878,B2611)</f>
        <v>1</v>
      </c>
      <c r="G2611" s="35" t="n">
        <f aca="false">SUMIF(Base!$D$2:$D$2878,B2611,Base!$I$2:$I$2878)</f>
        <v>30</v>
      </c>
      <c r="H2611" s="36" t="n">
        <f aca="false">IF($G$2849=0,0,G2611/$G$2849)</f>
        <v>1.96866678974928E-006</v>
      </c>
      <c r="I2611" s="37" t="n">
        <f aca="false">I2610+H2611</f>
        <v>0.999768316136403</v>
      </c>
      <c r="J2611" s="37" t="n">
        <f aca="false">A2611/2840</f>
        <v>0.916901408450704</v>
      </c>
      <c r="K2611" s="32" t="str">
        <f aca="false">IF(I2611&lt;=$E$4,"A",IF(I2611&lt;=$E$5,"B","C"))</f>
        <v>C</v>
      </c>
    </row>
    <row r="2612" customFormat="false" ht="15" hidden="false" customHeight="false" outlineLevel="0" collapsed="false">
      <c r="A2612" s="32" t="n">
        <v>2605</v>
      </c>
      <c r="B2612" s="33" t="n">
        <v>24315</v>
      </c>
      <c r="C2612" s="34" t="s">
        <v>5295</v>
      </c>
      <c r="D2612" s="34" t="s">
        <v>5296</v>
      </c>
      <c r="E2612" s="34" t="s">
        <v>54</v>
      </c>
      <c r="F2612" s="32" t="n">
        <f aca="false">COUNTIF(Base!$D$2:$D$2878,B2612)</f>
        <v>1</v>
      </c>
      <c r="G2612" s="35" t="n">
        <f aca="false">SUMIF(Base!$D$2:$D$2878,B2612,Base!$I$2:$I$2878)</f>
        <v>30</v>
      </c>
      <c r="H2612" s="36" t="n">
        <f aca="false">IF($G$2849=0,0,G2612/$G$2849)</f>
        <v>1.96866678974928E-006</v>
      </c>
      <c r="I2612" s="37" t="n">
        <f aca="false">I2611+H2612</f>
        <v>0.999770284803193</v>
      </c>
      <c r="J2612" s="37" t="n">
        <f aca="false">A2612/2840</f>
        <v>0.917253521126761</v>
      </c>
      <c r="K2612" s="32" t="str">
        <f aca="false">IF(I2612&lt;=$E$4,"A",IF(I2612&lt;=$E$5,"B","C"))</f>
        <v>C</v>
      </c>
    </row>
    <row r="2613" customFormat="false" ht="15" hidden="false" customHeight="false" outlineLevel="0" collapsed="false">
      <c r="A2613" s="32" t="n">
        <v>2606</v>
      </c>
      <c r="B2613" s="33" t="n">
        <v>35285</v>
      </c>
      <c r="C2613" s="34" t="s">
        <v>5297</v>
      </c>
      <c r="D2613" s="34" t="s">
        <v>5298</v>
      </c>
      <c r="E2613" s="34" t="s">
        <v>189</v>
      </c>
      <c r="F2613" s="32" t="n">
        <f aca="false">COUNTIF(Base!$D$2:$D$2878,B2613)</f>
        <v>1</v>
      </c>
      <c r="G2613" s="35" t="n">
        <f aca="false">SUMIF(Base!$D$2:$D$2878,B2613,Base!$I$2:$I$2878)</f>
        <v>30</v>
      </c>
      <c r="H2613" s="36" t="n">
        <f aca="false">IF($G$2849=0,0,G2613/$G$2849)</f>
        <v>1.96866678974928E-006</v>
      </c>
      <c r="I2613" s="37" t="n">
        <f aca="false">I2612+H2613</f>
        <v>0.999772253469983</v>
      </c>
      <c r="J2613" s="37" t="n">
        <f aca="false">A2613/2840</f>
        <v>0.917605633802817</v>
      </c>
      <c r="K2613" s="32" t="str">
        <f aca="false">IF(I2613&lt;=$E$4,"A",IF(I2613&lt;=$E$5,"B","C"))</f>
        <v>C</v>
      </c>
    </row>
    <row r="2614" customFormat="false" ht="15" hidden="false" customHeight="false" outlineLevel="0" collapsed="false">
      <c r="A2614" s="32" t="n">
        <v>2607</v>
      </c>
      <c r="B2614" s="33" t="n">
        <v>223498</v>
      </c>
      <c r="C2614" s="34" t="s">
        <v>5299</v>
      </c>
      <c r="D2614" s="34" t="s">
        <v>5300</v>
      </c>
      <c r="E2614" s="34" t="s">
        <v>2056</v>
      </c>
      <c r="F2614" s="32" t="n">
        <f aca="false">COUNTIF(Base!$D$2:$D$2878,B2614)</f>
        <v>1</v>
      </c>
      <c r="G2614" s="35" t="n">
        <f aca="false">SUMIF(Base!$D$2:$D$2878,B2614,Base!$I$2:$I$2878)</f>
        <v>30</v>
      </c>
      <c r="H2614" s="36" t="n">
        <f aca="false">IF($G$2849=0,0,G2614/$G$2849)</f>
        <v>1.96866678974928E-006</v>
      </c>
      <c r="I2614" s="37" t="n">
        <f aca="false">I2613+H2614</f>
        <v>0.999774222136773</v>
      </c>
      <c r="J2614" s="37" t="n">
        <f aca="false">A2614/2840</f>
        <v>0.917957746478873</v>
      </c>
      <c r="K2614" s="32" t="str">
        <f aca="false">IF(I2614&lt;=$E$4,"A",IF(I2614&lt;=$E$5,"B","C"))</f>
        <v>C</v>
      </c>
    </row>
    <row r="2615" customFormat="false" ht="15" hidden="false" customHeight="false" outlineLevel="0" collapsed="false">
      <c r="A2615" s="32" t="n">
        <v>2608</v>
      </c>
      <c r="B2615" s="33" t="n">
        <v>426083</v>
      </c>
      <c r="C2615" s="34" t="s">
        <v>5301</v>
      </c>
      <c r="D2615" s="34" t="s">
        <v>5302</v>
      </c>
      <c r="E2615" s="34" t="s">
        <v>2056</v>
      </c>
      <c r="F2615" s="32" t="n">
        <f aca="false">COUNTIF(Base!$D$2:$D$2878,B2615)</f>
        <v>1</v>
      </c>
      <c r="G2615" s="35" t="n">
        <f aca="false">SUMIF(Base!$D$2:$D$2878,B2615,Base!$I$2:$I$2878)</f>
        <v>30</v>
      </c>
      <c r="H2615" s="36" t="n">
        <f aca="false">IF($G$2849=0,0,G2615/$G$2849)</f>
        <v>1.96866678974928E-006</v>
      </c>
      <c r="I2615" s="37" t="n">
        <f aca="false">I2614+H2615</f>
        <v>0.999776190803562</v>
      </c>
      <c r="J2615" s="37" t="n">
        <f aca="false">A2615/2840</f>
        <v>0.91830985915493</v>
      </c>
      <c r="K2615" s="32" t="str">
        <f aca="false">IF(I2615&lt;=$E$4,"A",IF(I2615&lt;=$E$5,"B","C"))</f>
        <v>C</v>
      </c>
    </row>
    <row r="2616" customFormat="false" ht="15" hidden="false" customHeight="false" outlineLevel="0" collapsed="false">
      <c r="A2616" s="32" t="n">
        <v>2609</v>
      </c>
      <c r="B2616" s="33" t="n">
        <v>875463</v>
      </c>
      <c r="C2616" s="34" t="s">
        <v>5303</v>
      </c>
      <c r="D2616" s="34" t="s">
        <v>5304</v>
      </c>
      <c r="E2616" s="34" t="s">
        <v>54</v>
      </c>
      <c r="F2616" s="32" t="n">
        <f aca="false">COUNTIF(Base!$D$2:$D$2878,B2616)</f>
        <v>1</v>
      </c>
      <c r="G2616" s="35" t="n">
        <f aca="false">SUMIF(Base!$D$2:$D$2878,B2616,Base!$I$2:$I$2878)</f>
        <v>30</v>
      </c>
      <c r="H2616" s="36" t="n">
        <f aca="false">IF($G$2849=0,0,G2616/$G$2849)</f>
        <v>1.96866678974928E-006</v>
      </c>
      <c r="I2616" s="37" t="n">
        <f aca="false">I2615+H2616</f>
        <v>0.999778159470352</v>
      </c>
      <c r="J2616" s="37" t="n">
        <f aca="false">A2616/2840</f>
        <v>0.918661971830986</v>
      </c>
      <c r="K2616" s="32" t="str">
        <f aca="false">IF(I2616&lt;=$E$4,"A",IF(I2616&lt;=$E$5,"B","C"))</f>
        <v>C</v>
      </c>
    </row>
    <row r="2617" customFormat="false" ht="15" hidden="false" customHeight="false" outlineLevel="0" collapsed="false">
      <c r="A2617" s="32" t="n">
        <v>2610</v>
      </c>
      <c r="B2617" s="33" t="n">
        <v>888294</v>
      </c>
      <c r="C2617" s="34" t="s">
        <v>5305</v>
      </c>
      <c r="D2617" s="34" t="s">
        <v>5306</v>
      </c>
      <c r="E2617" s="34" t="s">
        <v>2056</v>
      </c>
      <c r="F2617" s="32" t="n">
        <f aca="false">COUNTIF(Base!$D$2:$D$2878,B2617)</f>
        <v>1</v>
      </c>
      <c r="G2617" s="35" t="n">
        <f aca="false">SUMIF(Base!$D$2:$D$2878,B2617,Base!$I$2:$I$2878)</f>
        <v>30</v>
      </c>
      <c r="H2617" s="36" t="n">
        <f aca="false">IF($G$2849=0,0,G2617/$G$2849)</f>
        <v>1.96866678974928E-006</v>
      </c>
      <c r="I2617" s="37" t="n">
        <f aca="false">I2616+H2617</f>
        <v>0.999780128137142</v>
      </c>
      <c r="J2617" s="37" t="n">
        <f aca="false">A2617/2840</f>
        <v>0.919014084507042</v>
      </c>
      <c r="K2617" s="32" t="str">
        <f aca="false">IF(I2617&lt;=$E$4,"A",IF(I2617&lt;=$E$5,"B","C"))</f>
        <v>C</v>
      </c>
    </row>
    <row r="2618" customFormat="false" ht="15" hidden="false" customHeight="false" outlineLevel="0" collapsed="false">
      <c r="A2618" s="32" t="n">
        <v>2611</v>
      </c>
      <c r="B2618" s="33" t="n">
        <v>293376</v>
      </c>
      <c r="C2618" s="34" t="s">
        <v>5307</v>
      </c>
      <c r="D2618" s="34" t="s">
        <v>5308</v>
      </c>
      <c r="E2618" s="34" t="s">
        <v>705</v>
      </c>
      <c r="F2618" s="32" t="n">
        <f aca="false">COUNTIF(Base!$D$2:$D$2878,B2618)</f>
        <v>1</v>
      </c>
      <c r="G2618" s="35" t="n">
        <f aca="false">SUMIF(Base!$D$2:$D$2878,B2618,Base!$I$2:$I$2878)</f>
        <v>29.98</v>
      </c>
      <c r="H2618" s="36" t="n">
        <f aca="false">IF($G$2849=0,0,G2618/$G$2849)</f>
        <v>1.96735434522278E-006</v>
      </c>
      <c r="I2618" s="37" t="n">
        <f aca="false">I2617+H2618</f>
        <v>0.999782095491487</v>
      </c>
      <c r="J2618" s="37" t="n">
        <f aca="false">A2618/2840</f>
        <v>0.919366197183099</v>
      </c>
      <c r="K2618" s="32" t="str">
        <f aca="false">IF(I2618&lt;=$E$4,"A",IF(I2618&lt;=$E$5,"B","C"))</f>
        <v>C</v>
      </c>
    </row>
    <row r="2619" customFormat="false" ht="15" hidden="false" customHeight="false" outlineLevel="0" collapsed="false">
      <c r="A2619" s="32" t="n">
        <v>2612</v>
      </c>
      <c r="B2619" s="33" t="n">
        <v>847701</v>
      </c>
      <c r="C2619" s="34" t="s">
        <v>5309</v>
      </c>
      <c r="D2619" s="34" t="s">
        <v>5310</v>
      </c>
      <c r="E2619" s="34" t="s">
        <v>35</v>
      </c>
      <c r="F2619" s="32" t="n">
        <f aca="false">COUNTIF(Base!$D$2:$D$2878,B2619)</f>
        <v>1</v>
      </c>
      <c r="G2619" s="35" t="n">
        <f aca="false">SUMIF(Base!$D$2:$D$2878,B2619,Base!$I$2:$I$2878)</f>
        <v>29.98</v>
      </c>
      <c r="H2619" s="36" t="n">
        <f aca="false">IF($G$2849=0,0,G2619/$G$2849)</f>
        <v>1.96735434522278E-006</v>
      </c>
      <c r="I2619" s="37" t="n">
        <f aca="false">I2618+H2619</f>
        <v>0.999784062845832</v>
      </c>
      <c r="J2619" s="37" t="n">
        <f aca="false">A2619/2840</f>
        <v>0.919718309859155</v>
      </c>
      <c r="K2619" s="32" t="str">
        <f aca="false">IF(I2619&lt;=$E$4,"A",IF(I2619&lt;=$E$5,"B","C"))</f>
        <v>C</v>
      </c>
    </row>
    <row r="2620" customFormat="false" ht="15" hidden="false" customHeight="false" outlineLevel="0" collapsed="false">
      <c r="A2620" s="32" t="n">
        <v>2613</v>
      </c>
      <c r="B2620" s="33" t="n">
        <v>1073871</v>
      </c>
      <c r="C2620" s="34" t="s">
        <v>5311</v>
      </c>
      <c r="D2620" s="34" t="s">
        <v>5312</v>
      </c>
      <c r="E2620" s="34" t="s">
        <v>170</v>
      </c>
      <c r="F2620" s="32" t="n">
        <f aca="false">COUNTIF(Base!$D$2:$D$2878,B2620)</f>
        <v>1</v>
      </c>
      <c r="G2620" s="35" t="n">
        <f aca="false">SUMIF(Base!$D$2:$D$2878,B2620,Base!$I$2:$I$2878)</f>
        <v>29.98</v>
      </c>
      <c r="H2620" s="36" t="n">
        <f aca="false">IF($G$2849=0,0,G2620/$G$2849)</f>
        <v>1.96735434522278E-006</v>
      </c>
      <c r="I2620" s="37" t="n">
        <f aca="false">I2619+H2620</f>
        <v>0.999786030200177</v>
      </c>
      <c r="J2620" s="37" t="n">
        <f aca="false">A2620/2840</f>
        <v>0.920070422535211</v>
      </c>
      <c r="K2620" s="32" t="str">
        <f aca="false">IF(I2620&lt;=$E$4,"A",IF(I2620&lt;=$E$5,"B","C"))</f>
        <v>C</v>
      </c>
    </row>
    <row r="2621" customFormat="false" ht="15" hidden="false" customHeight="false" outlineLevel="0" collapsed="false">
      <c r="A2621" s="32" t="n">
        <v>2614</v>
      </c>
      <c r="B2621" s="33" t="n">
        <v>1077337</v>
      </c>
      <c r="C2621" s="34" t="s">
        <v>5313</v>
      </c>
      <c r="D2621" s="34" t="s">
        <v>5314</v>
      </c>
      <c r="E2621" s="34" t="s">
        <v>170</v>
      </c>
      <c r="F2621" s="32" t="n">
        <f aca="false">COUNTIF(Base!$D$2:$D$2878,B2621)</f>
        <v>1</v>
      </c>
      <c r="G2621" s="35" t="n">
        <f aca="false">SUMIF(Base!$D$2:$D$2878,B2621,Base!$I$2:$I$2878)</f>
        <v>29.98</v>
      </c>
      <c r="H2621" s="36" t="n">
        <f aca="false">IF($G$2849=0,0,G2621/$G$2849)</f>
        <v>1.96735434522278E-006</v>
      </c>
      <c r="I2621" s="37" t="n">
        <f aca="false">I2620+H2621</f>
        <v>0.999787997554522</v>
      </c>
      <c r="J2621" s="37" t="n">
        <f aca="false">A2621/2840</f>
        <v>0.920422535211268</v>
      </c>
      <c r="K2621" s="32" t="str">
        <f aca="false">IF(I2621&lt;=$E$4,"A",IF(I2621&lt;=$E$5,"B","C"))</f>
        <v>C</v>
      </c>
    </row>
    <row r="2622" customFormat="false" ht="15" hidden="false" customHeight="false" outlineLevel="0" collapsed="false">
      <c r="A2622" s="32" t="n">
        <v>2615</v>
      </c>
      <c r="B2622" s="33" t="n">
        <v>1462923</v>
      </c>
      <c r="C2622" s="34" t="s">
        <v>5315</v>
      </c>
      <c r="D2622" s="34" t="s">
        <v>5316</v>
      </c>
      <c r="E2622" s="34" t="s">
        <v>54</v>
      </c>
      <c r="F2622" s="32" t="n">
        <f aca="false">COUNTIF(Base!$D$2:$D$2878,B2622)</f>
        <v>1</v>
      </c>
      <c r="G2622" s="35" t="n">
        <f aca="false">SUMIF(Base!$D$2:$D$2878,B2622,Base!$I$2:$I$2878)</f>
        <v>29.98</v>
      </c>
      <c r="H2622" s="36" t="n">
        <f aca="false">IF($G$2849=0,0,G2622/$G$2849)</f>
        <v>1.96735434522278E-006</v>
      </c>
      <c r="I2622" s="37" t="n">
        <f aca="false">I2621+H2622</f>
        <v>0.999789964908868</v>
      </c>
      <c r="J2622" s="37" t="n">
        <f aca="false">A2622/2840</f>
        <v>0.920774647887324</v>
      </c>
      <c r="K2622" s="32" t="str">
        <f aca="false">IF(I2622&lt;=$E$4,"A",IF(I2622&lt;=$E$5,"B","C"))</f>
        <v>C</v>
      </c>
    </row>
    <row r="2623" customFormat="false" ht="15" hidden="false" customHeight="false" outlineLevel="0" collapsed="false">
      <c r="A2623" s="32" t="n">
        <v>2616</v>
      </c>
      <c r="B2623" s="33" t="n">
        <v>33028</v>
      </c>
      <c r="C2623" s="34" t="s">
        <v>5317</v>
      </c>
      <c r="D2623" s="34" t="s">
        <v>5318</v>
      </c>
      <c r="E2623" s="34" t="s">
        <v>100</v>
      </c>
      <c r="F2623" s="32" t="n">
        <f aca="false">COUNTIF(Base!$D$2:$D$2878,B2623)</f>
        <v>1</v>
      </c>
      <c r="G2623" s="35" t="n">
        <f aca="false">SUMIF(Base!$D$2:$D$2878,B2623,Base!$I$2:$I$2878)</f>
        <v>29.96</v>
      </c>
      <c r="H2623" s="36" t="n">
        <f aca="false">IF($G$2849=0,0,G2623/$G$2849)</f>
        <v>1.96604190069628E-006</v>
      </c>
      <c r="I2623" s="37" t="n">
        <f aca="false">I2622+H2623</f>
        <v>0.999791930950768</v>
      </c>
      <c r="J2623" s="37" t="n">
        <f aca="false">A2623/2840</f>
        <v>0.92112676056338</v>
      </c>
      <c r="K2623" s="32" t="str">
        <f aca="false">IF(I2623&lt;=$E$4,"A",IF(I2623&lt;=$E$5,"B","C"))</f>
        <v>C</v>
      </c>
    </row>
    <row r="2624" customFormat="false" ht="15" hidden="false" customHeight="false" outlineLevel="0" collapsed="false">
      <c r="A2624" s="32" t="n">
        <v>2617</v>
      </c>
      <c r="B2624" s="33" t="n">
        <v>279219</v>
      </c>
      <c r="C2624" s="34" t="s">
        <v>5319</v>
      </c>
      <c r="D2624" s="34" t="s">
        <v>5320</v>
      </c>
      <c r="E2624" s="34" t="s">
        <v>605</v>
      </c>
      <c r="F2624" s="32" t="n">
        <f aca="false">COUNTIF(Base!$D$2:$D$2878,B2624)</f>
        <v>1</v>
      </c>
      <c r="G2624" s="35" t="n">
        <f aca="false">SUMIF(Base!$D$2:$D$2878,B2624,Base!$I$2:$I$2878)</f>
        <v>29.96</v>
      </c>
      <c r="H2624" s="36" t="n">
        <f aca="false">IF($G$2849=0,0,G2624/$G$2849)</f>
        <v>1.96604190069628E-006</v>
      </c>
      <c r="I2624" s="37" t="n">
        <f aca="false">I2623+H2624</f>
        <v>0.999793896992669</v>
      </c>
      <c r="J2624" s="37" t="n">
        <f aca="false">A2624/2840</f>
        <v>0.921478873239437</v>
      </c>
      <c r="K2624" s="32" t="str">
        <f aca="false">IF(I2624&lt;=$E$4,"A",IF(I2624&lt;=$E$5,"B","C"))</f>
        <v>C</v>
      </c>
    </row>
    <row r="2625" customFormat="false" ht="15" hidden="false" customHeight="false" outlineLevel="0" collapsed="false">
      <c r="A2625" s="32" t="n">
        <v>2618</v>
      </c>
      <c r="B2625" s="33" t="n">
        <v>58992</v>
      </c>
      <c r="C2625" s="34" t="s">
        <v>5321</v>
      </c>
      <c r="D2625" s="34" t="s">
        <v>5322</v>
      </c>
      <c r="E2625" s="34" t="s">
        <v>100</v>
      </c>
      <c r="F2625" s="32" t="n">
        <f aca="false">COUNTIF(Base!$D$2:$D$2878,B2625)</f>
        <v>1</v>
      </c>
      <c r="G2625" s="35" t="n">
        <f aca="false">SUMIF(Base!$D$2:$D$2878,B2625,Base!$I$2:$I$2878)</f>
        <v>29.94</v>
      </c>
      <c r="H2625" s="36" t="n">
        <f aca="false">IF($G$2849=0,0,G2625/$G$2849)</f>
        <v>1.96472945616978E-006</v>
      </c>
      <c r="I2625" s="37" t="n">
        <f aca="false">I2624+H2625</f>
        <v>0.999795861722125</v>
      </c>
      <c r="J2625" s="37" t="n">
        <f aca="false">A2625/2840</f>
        <v>0.921830985915493</v>
      </c>
      <c r="K2625" s="32" t="str">
        <f aca="false">IF(I2625&lt;=$E$4,"A",IF(I2625&lt;=$E$5,"B","C"))</f>
        <v>C</v>
      </c>
    </row>
    <row r="2626" customFormat="false" ht="15" hidden="false" customHeight="false" outlineLevel="0" collapsed="false">
      <c r="A2626" s="32" t="n">
        <v>2619</v>
      </c>
      <c r="B2626" s="33" t="n">
        <v>1389070</v>
      </c>
      <c r="C2626" s="34" t="s">
        <v>5323</v>
      </c>
      <c r="D2626" s="34" t="s">
        <v>5324</v>
      </c>
      <c r="E2626" s="34" t="s">
        <v>38</v>
      </c>
      <c r="F2626" s="32" t="n">
        <f aca="false">COUNTIF(Base!$D$2:$D$2878,B2626)</f>
        <v>1</v>
      </c>
      <c r="G2626" s="35" t="n">
        <f aca="false">SUMIF(Base!$D$2:$D$2878,B2626,Base!$I$2:$I$2878)</f>
        <v>29.94</v>
      </c>
      <c r="H2626" s="36" t="n">
        <f aca="false">IF($G$2849=0,0,G2626/$G$2849)</f>
        <v>1.96472945616978E-006</v>
      </c>
      <c r="I2626" s="37" t="n">
        <f aca="false">I2625+H2626</f>
        <v>0.999797826451581</v>
      </c>
      <c r="J2626" s="37" t="n">
        <f aca="false">A2626/2840</f>
        <v>0.922183098591549</v>
      </c>
      <c r="K2626" s="32" t="str">
        <f aca="false">IF(I2626&lt;=$E$4,"A",IF(I2626&lt;=$E$5,"B","C"))</f>
        <v>C</v>
      </c>
    </row>
    <row r="2627" customFormat="false" ht="15" hidden="false" customHeight="false" outlineLevel="0" collapsed="false">
      <c r="A2627" s="32" t="n">
        <v>2620</v>
      </c>
      <c r="B2627" s="33" t="n">
        <v>609677</v>
      </c>
      <c r="C2627" s="34" t="s">
        <v>5325</v>
      </c>
      <c r="D2627" s="34" t="s">
        <v>5326</v>
      </c>
      <c r="E2627" s="34" t="s">
        <v>130</v>
      </c>
      <c r="F2627" s="32" t="n">
        <f aca="false">COUNTIF(Base!$D$2:$D$2878,B2627)</f>
        <v>1</v>
      </c>
      <c r="G2627" s="35" t="n">
        <f aca="false">SUMIF(Base!$D$2:$D$2878,B2627,Base!$I$2:$I$2878)</f>
        <v>29.9</v>
      </c>
      <c r="H2627" s="36" t="n">
        <f aca="false">IF($G$2849=0,0,G2627/$G$2849)</f>
        <v>1.96210456711678E-006</v>
      </c>
      <c r="I2627" s="37" t="n">
        <f aca="false">I2626+H2627</f>
        <v>0.999799788556149</v>
      </c>
      <c r="J2627" s="37" t="n">
        <f aca="false">A2627/2840</f>
        <v>0.922535211267606</v>
      </c>
      <c r="K2627" s="32" t="str">
        <f aca="false">IF(I2627&lt;=$E$4,"A",IF(I2627&lt;=$E$5,"B","C"))</f>
        <v>C</v>
      </c>
    </row>
    <row r="2628" customFormat="false" ht="15" hidden="false" customHeight="false" outlineLevel="0" collapsed="false">
      <c r="A2628" s="32" t="n">
        <v>2621</v>
      </c>
      <c r="B2628" s="33" t="n">
        <v>1612462</v>
      </c>
      <c r="C2628" s="34" t="s">
        <v>5327</v>
      </c>
      <c r="D2628" s="34" t="s">
        <v>5328</v>
      </c>
      <c r="E2628" s="34" t="s">
        <v>38</v>
      </c>
      <c r="F2628" s="32" t="n">
        <f aca="false">COUNTIF(Base!$D$2:$D$2878,B2628)</f>
        <v>1</v>
      </c>
      <c r="G2628" s="35" t="n">
        <f aca="false">SUMIF(Base!$D$2:$D$2878,B2628,Base!$I$2:$I$2878)</f>
        <v>29.8</v>
      </c>
      <c r="H2628" s="36" t="n">
        <f aca="false">IF($G$2849=0,0,G2628/$G$2849)</f>
        <v>1.95554234448429E-006</v>
      </c>
      <c r="I2628" s="37" t="n">
        <f aca="false">I2627+H2628</f>
        <v>0.999801744098493</v>
      </c>
      <c r="J2628" s="37" t="n">
        <f aca="false">A2628/2840</f>
        <v>0.922887323943662</v>
      </c>
      <c r="K2628" s="32" t="str">
        <f aca="false">IF(I2628&lt;=$E$4,"A",IF(I2628&lt;=$E$5,"B","C"))</f>
        <v>C</v>
      </c>
    </row>
    <row r="2629" customFormat="false" ht="15" hidden="false" customHeight="false" outlineLevel="0" collapsed="false">
      <c r="A2629" s="32" t="n">
        <v>2622</v>
      </c>
      <c r="B2629" s="33" t="n">
        <v>1315685</v>
      </c>
      <c r="C2629" s="34" t="s">
        <v>5329</v>
      </c>
      <c r="D2629" s="34" t="s">
        <v>5330</v>
      </c>
      <c r="E2629" s="34" t="s">
        <v>38</v>
      </c>
      <c r="F2629" s="32" t="n">
        <f aca="false">COUNTIF(Base!$D$2:$D$2878,B2629)</f>
        <v>1</v>
      </c>
      <c r="G2629" s="35" t="n">
        <f aca="false">SUMIF(Base!$D$2:$D$2878,B2629,Base!$I$2:$I$2878)</f>
        <v>29.45</v>
      </c>
      <c r="H2629" s="36" t="n">
        <f aca="false">IF($G$2849=0,0,G2629/$G$2849)</f>
        <v>1.93257456527054E-006</v>
      </c>
      <c r="I2629" s="37" t="n">
        <f aca="false">I2628+H2629</f>
        <v>0.999803676673058</v>
      </c>
      <c r="J2629" s="37" t="n">
        <f aca="false">A2629/2840</f>
        <v>0.923239436619718</v>
      </c>
      <c r="K2629" s="32" t="str">
        <f aca="false">IF(I2629&lt;=$E$4,"A",IF(I2629&lt;=$E$5,"B","C"))</f>
        <v>C</v>
      </c>
    </row>
    <row r="2630" customFormat="false" ht="15" hidden="false" customHeight="false" outlineLevel="0" collapsed="false">
      <c r="A2630" s="32" t="n">
        <v>2623</v>
      </c>
      <c r="B2630" s="33" t="n">
        <v>17928</v>
      </c>
      <c r="C2630" s="34" t="s">
        <v>5331</v>
      </c>
      <c r="D2630" s="34" t="s">
        <v>5332</v>
      </c>
      <c r="E2630" s="34" t="s">
        <v>130</v>
      </c>
      <c r="F2630" s="32" t="n">
        <f aca="false">COUNTIF(Base!$D$2:$D$2878,B2630)</f>
        <v>1</v>
      </c>
      <c r="G2630" s="35" t="n">
        <f aca="false">SUMIF(Base!$D$2:$D$2878,B2630,Base!$I$2:$I$2878)</f>
        <v>29.4</v>
      </c>
      <c r="H2630" s="36" t="n">
        <f aca="false">IF($G$2849=0,0,G2630/$G$2849)</f>
        <v>1.9292934539543E-006</v>
      </c>
      <c r="I2630" s="37" t="n">
        <f aca="false">I2629+H2630</f>
        <v>0.999805605966512</v>
      </c>
      <c r="J2630" s="37" t="n">
        <f aca="false">A2630/2840</f>
        <v>0.923591549295775</v>
      </c>
      <c r="K2630" s="32" t="str">
        <f aca="false">IF(I2630&lt;=$E$4,"A",IF(I2630&lt;=$E$5,"B","C"))</f>
        <v>C</v>
      </c>
    </row>
    <row r="2631" customFormat="false" ht="15" hidden="false" customHeight="false" outlineLevel="0" collapsed="false">
      <c r="A2631" s="32" t="n">
        <v>2624</v>
      </c>
      <c r="B2631" s="33" t="n">
        <v>17948</v>
      </c>
      <c r="C2631" s="34" t="s">
        <v>5333</v>
      </c>
      <c r="D2631" s="34" t="s">
        <v>5334</v>
      </c>
      <c r="E2631" s="34" t="s">
        <v>130</v>
      </c>
      <c r="F2631" s="32" t="n">
        <f aca="false">COUNTIF(Base!$D$2:$D$2878,B2631)</f>
        <v>1</v>
      </c>
      <c r="G2631" s="35" t="n">
        <f aca="false">SUMIF(Base!$D$2:$D$2878,B2631,Base!$I$2:$I$2878)</f>
        <v>29.4</v>
      </c>
      <c r="H2631" s="36" t="n">
        <f aca="false">IF($G$2849=0,0,G2631/$G$2849)</f>
        <v>1.9292934539543E-006</v>
      </c>
      <c r="I2631" s="37" t="n">
        <f aca="false">I2630+H2631</f>
        <v>0.999807535259966</v>
      </c>
      <c r="J2631" s="37" t="n">
        <f aca="false">A2631/2840</f>
        <v>0.923943661971831</v>
      </c>
      <c r="K2631" s="32" t="str">
        <f aca="false">IF(I2631&lt;=$E$4,"A",IF(I2631&lt;=$E$5,"B","C"))</f>
        <v>C</v>
      </c>
    </row>
    <row r="2632" customFormat="false" ht="15" hidden="false" customHeight="false" outlineLevel="0" collapsed="false">
      <c r="A2632" s="32" t="n">
        <v>2625</v>
      </c>
      <c r="B2632" s="33" t="n">
        <v>1384889</v>
      </c>
      <c r="C2632" s="34" t="s">
        <v>5335</v>
      </c>
      <c r="D2632" s="34" t="s">
        <v>5336</v>
      </c>
      <c r="E2632" s="34" t="s">
        <v>100</v>
      </c>
      <c r="F2632" s="32" t="n">
        <f aca="false">COUNTIF(Base!$D$2:$D$2878,B2632)</f>
        <v>1</v>
      </c>
      <c r="G2632" s="35" t="n">
        <f aca="false">SUMIF(Base!$D$2:$D$2878,B2632,Base!$I$2:$I$2878)</f>
        <v>29.39</v>
      </c>
      <c r="H2632" s="36" t="n">
        <f aca="false">IF($G$2849=0,0,G2632/$G$2849)</f>
        <v>1.92863723169105E-006</v>
      </c>
      <c r="I2632" s="37" t="n">
        <f aca="false">I2631+H2632</f>
        <v>0.999809463897198</v>
      </c>
      <c r="J2632" s="37" t="n">
        <f aca="false">A2632/2840</f>
        <v>0.924295774647887</v>
      </c>
      <c r="K2632" s="32" t="str">
        <f aca="false">IF(I2632&lt;=$E$4,"A",IF(I2632&lt;=$E$5,"B","C"))</f>
        <v>C</v>
      </c>
    </row>
    <row r="2633" customFormat="false" ht="15" hidden="false" customHeight="false" outlineLevel="0" collapsed="false">
      <c r="A2633" s="32" t="n">
        <v>2626</v>
      </c>
      <c r="B2633" s="33" t="n">
        <v>870706</v>
      </c>
      <c r="C2633" s="34" t="s">
        <v>5337</v>
      </c>
      <c r="D2633" s="34" t="s">
        <v>5338</v>
      </c>
      <c r="E2633" s="34" t="s">
        <v>138</v>
      </c>
      <c r="F2633" s="32" t="n">
        <f aca="false">COUNTIF(Base!$D$2:$D$2878,B2633)</f>
        <v>1</v>
      </c>
      <c r="G2633" s="35" t="n">
        <f aca="false">SUMIF(Base!$D$2:$D$2878,B2633,Base!$I$2:$I$2878)</f>
        <v>29</v>
      </c>
      <c r="H2633" s="36" t="n">
        <f aca="false">IF($G$2849=0,0,G2633/$G$2849)</f>
        <v>1.9030445634243E-006</v>
      </c>
      <c r="I2633" s="37" t="n">
        <f aca="false">I2632+H2633</f>
        <v>0.999811366941761</v>
      </c>
      <c r="J2633" s="37" t="n">
        <f aca="false">A2633/2840</f>
        <v>0.924647887323944</v>
      </c>
      <c r="K2633" s="32" t="str">
        <f aca="false">IF(I2633&lt;=$E$4,"A",IF(I2633&lt;=$E$5,"B","C"))</f>
        <v>C</v>
      </c>
    </row>
    <row r="2634" customFormat="false" ht="15" hidden="false" customHeight="false" outlineLevel="0" collapsed="false">
      <c r="A2634" s="32" t="n">
        <v>2627</v>
      </c>
      <c r="B2634" s="33" t="n">
        <v>23091</v>
      </c>
      <c r="C2634" s="34" t="s">
        <v>5339</v>
      </c>
      <c r="D2634" s="34" t="s">
        <v>5340</v>
      </c>
      <c r="E2634" s="34" t="s">
        <v>1618</v>
      </c>
      <c r="F2634" s="32" t="n">
        <f aca="false">COUNTIF(Base!$D$2:$D$2878,B2634)</f>
        <v>1</v>
      </c>
      <c r="G2634" s="35" t="n">
        <f aca="false">SUMIF(Base!$D$2:$D$2878,B2634,Base!$I$2:$I$2878)</f>
        <v>28.5</v>
      </c>
      <c r="H2634" s="36" t="n">
        <f aca="false">IF($G$2849=0,0,G2634/$G$2849)</f>
        <v>1.87023345026182E-006</v>
      </c>
      <c r="I2634" s="37" t="n">
        <f aca="false">I2633+H2634</f>
        <v>0.999813237175212</v>
      </c>
      <c r="J2634" s="37" t="n">
        <f aca="false">A2634/2840</f>
        <v>0.925</v>
      </c>
      <c r="K2634" s="32" t="str">
        <f aca="false">IF(I2634&lt;=$E$4,"A",IF(I2634&lt;=$E$5,"B","C"))</f>
        <v>C</v>
      </c>
    </row>
    <row r="2635" customFormat="false" ht="15" hidden="false" customHeight="false" outlineLevel="0" collapsed="false">
      <c r="A2635" s="32" t="n">
        <v>2628</v>
      </c>
      <c r="B2635" s="33" t="n">
        <v>220711</v>
      </c>
      <c r="C2635" s="34" t="s">
        <v>5341</v>
      </c>
      <c r="D2635" s="34" t="s">
        <v>5342</v>
      </c>
      <c r="E2635" s="34" t="s">
        <v>2056</v>
      </c>
      <c r="F2635" s="32" t="n">
        <f aca="false">COUNTIF(Base!$D$2:$D$2878,B2635)</f>
        <v>1</v>
      </c>
      <c r="G2635" s="35" t="n">
        <f aca="false">SUMIF(Base!$D$2:$D$2878,B2635,Base!$I$2:$I$2878)</f>
        <v>28.5</v>
      </c>
      <c r="H2635" s="36" t="n">
        <f aca="false">IF($G$2849=0,0,G2635/$G$2849)</f>
        <v>1.87023345026182E-006</v>
      </c>
      <c r="I2635" s="37" t="n">
        <f aca="false">I2634+H2635</f>
        <v>0.999815107408662</v>
      </c>
      <c r="J2635" s="37" t="n">
        <f aca="false">A2635/2840</f>
        <v>0.925352112676056</v>
      </c>
      <c r="K2635" s="32" t="str">
        <f aca="false">IF(I2635&lt;=$E$4,"A",IF(I2635&lt;=$E$5,"B","C"))</f>
        <v>C</v>
      </c>
    </row>
    <row r="2636" customFormat="false" ht="15" hidden="false" customHeight="false" outlineLevel="0" collapsed="false">
      <c r="A2636" s="32" t="n">
        <v>2629</v>
      </c>
      <c r="B2636" s="33" t="n">
        <v>609676</v>
      </c>
      <c r="C2636" s="34" t="s">
        <v>5343</v>
      </c>
      <c r="D2636" s="34" t="s">
        <v>5344</v>
      </c>
      <c r="E2636" s="34" t="s">
        <v>130</v>
      </c>
      <c r="F2636" s="32" t="n">
        <f aca="false">COUNTIF(Base!$D$2:$D$2878,B2636)</f>
        <v>1</v>
      </c>
      <c r="G2636" s="35" t="n">
        <f aca="false">SUMIF(Base!$D$2:$D$2878,B2636,Base!$I$2:$I$2878)</f>
        <v>28.4</v>
      </c>
      <c r="H2636" s="36" t="n">
        <f aca="false">IF($G$2849=0,0,G2636/$G$2849)</f>
        <v>1.86367122762932E-006</v>
      </c>
      <c r="I2636" s="37" t="n">
        <f aca="false">I2635+H2636</f>
        <v>0.999816971079889</v>
      </c>
      <c r="J2636" s="37" t="n">
        <f aca="false">A2636/2840</f>
        <v>0.925704225352113</v>
      </c>
      <c r="K2636" s="32" t="str">
        <f aca="false">IF(I2636&lt;=$E$4,"A",IF(I2636&lt;=$E$5,"B","C"))</f>
        <v>C</v>
      </c>
    </row>
    <row r="2637" customFormat="false" ht="15" hidden="false" customHeight="false" outlineLevel="0" collapsed="false">
      <c r="A2637" s="32" t="n">
        <v>2630</v>
      </c>
      <c r="B2637" s="33" t="n">
        <v>835843</v>
      </c>
      <c r="C2637" s="34" t="s">
        <v>5345</v>
      </c>
      <c r="D2637" s="34" t="s">
        <v>5346</v>
      </c>
      <c r="E2637" s="34" t="s">
        <v>38</v>
      </c>
      <c r="F2637" s="32" t="n">
        <f aca="false">COUNTIF(Base!$D$2:$D$2878,B2637)</f>
        <v>1</v>
      </c>
      <c r="G2637" s="35" t="n">
        <f aca="false">SUMIF(Base!$D$2:$D$2878,B2637,Base!$I$2:$I$2878)</f>
        <v>28.38</v>
      </c>
      <c r="H2637" s="36" t="n">
        <f aca="false">IF($G$2849=0,0,G2637/$G$2849)</f>
        <v>1.86235878310282E-006</v>
      </c>
      <c r="I2637" s="37" t="n">
        <f aca="false">I2636+H2637</f>
        <v>0.999818833438673</v>
      </c>
      <c r="J2637" s="37" t="n">
        <f aca="false">A2637/2840</f>
        <v>0.926056338028169</v>
      </c>
      <c r="K2637" s="32" t="str">
        <f aca="false">IF(I2637&lt;=$E$4,"A",IF(I2637&lt;=$E$5,"B","C"))</f>
        <v>C</v>
      </c>
    </row>
    <row r="2638" customFormat="false" ht="15" hidden="false" customHeight="false" outlineLevel="0" collapsed="false">
      <c r="A2638" s="32" t="n">
        <v>2631</v>
      </c>
      <c r="B2638" s="33" t="n">
        <v>563410</v>
      </c>
      <c r="C2638" s="34" t="s">
        <v>5347</v>
      </c>
      <c r="D2638" s="34" t="s">
        <v>5348</v>
      </c>
      <c r="E2638" s="34" t="s">
        <v>262</v>
      </c>
      <c r="F2638" s="32" t="n">
        <f aca="false">COUNTIF(Base!$D$2:$D$2878,B2638)</f>
        <v>1</v>
      </c>
      <c r="G2638" s="35" t="n">
        <f aca="false">SUMIF(Base!$D$2:$D$2878,B2638,Base!$I$2:$I$2878)</f>
        <v>28</v>
      </c>
      <c r="H2638" s="36" t="n">
        <f aca="false">IF($G$2849=0,0,G2638/$G$2849)</f>
        <v>1.83742233709933E-006</v>
      </c>
      <c r="I2638" s="37" t="n">
        <f aca="false">I2637+H2638</f>
        <v>0.99982067086101</v>
      </c>
      <c r="J2638" s="37" t="n">
        <f aca="false">A2638/2840</f>
        <v>0.926408450704225</v>
      </c>
      <c r="K2638" s="32" t="str">
        <f aca="false">IF(I2638&lt;=$E$4,"A",IF(I2638&lt;=$E$5,"B","C"))</f>
        <v>C</v>
      </c>
    </row>
    <row r="2639" customFormat="false" ht="15" hidden="false" customHeight="false" outlineLevel="0" collapsed="false">
      <c r="A2639" s="32" t="n">
        <v>2632</v>
      </c>
      <c r="B2639" s="33" t="n">
        <v>609656</v>
      </c>
      <c r="C2639" s="34" t="s">
        <v>5349</v>
      </c>
      <c r="D2639" s="34" t="s">
        <v>5350</v>
      </c>
      <c r="E2639" s="34" t="s">
        <v>130</v>
      </c>
      <c r="F2639" s="32" t="n">
        <f aca="false">COUNTIF(Base!$D$2:$D$2878,B2639)</f>
        <v>1</v>
      </c>
      <c r="G2639" s="35" t="n">
        <f aca="false">SUMIF(Base!$D$2:$D$2878,B2639,Base!$I$2:$I$2878)</f>
        <v>28</v>
      </c>
      <c r="H2639" s="36" t="n">
        <f aca="false">IF($G$2849=0,0,G2639/$G$2849)</f>
        <v>1.83742233709933E-006</v>
      </c>
      <c r="I2639" s="37" t="n">
        <f aca="false">I2638+H2639</f>
        <v>0.999822508283347</v>
      </c>
      <c r="J2639" s="37" t="n">
        <f aca="false">A2639/2840</f>
        <v>0.926760563380282</v>
      </c>
      <c r="K2639" s="32" t="str">
        <f aca="false">IF(I2639&lt;=$E$4,"A",IF(I2639&lt;=$E$5,"B","C"))</f>
        <v>C</v>
      </c>
    </row>
    <row r="2640" customFormat="false" ht="15" hidden="false" customHeight="false" outlineLevel="0" collapsed="false">
      <c r="A2640" s="32" t="n">
        <v>2633</v>
      </c>
      <c r="B2640" s="33" t="n">
        <v>1113981</v>
      </c>
      <c r="C2640" s="34" t="s">
        <v>5351</v>
      </c>
      <c r="D2640" s="34" t="s">
        <v>5352</v>
      </c>
      <c r="E2640" s="34" t="s">
        <v>705</v>
      </c>
      <c r="F2640" s="32" t="n">
        <f aca="false">COUNTIF(Base!$D$2:$D$2878,B2640)</f>
        <v>1</v>
      </c>
      <c r="G2640" s="35" t="n">
        <f aca="false">SUMIF(Base!$D$2:$D$2878,B2640,Base!$I$2:$I$2878)</f>
        <v>27.98</v>
      </c>
      <c r="H2640" s="36" t="n">
        <f aca="false">IF($G$2849=0,0,G2640/$G$2849)</f>
        <v>1.83610989257283E-006</v>
      </c>
      <c r="I2640" s="37" t="n">
        <f aca="false">I2639+H2640</f>
        <v>0.999824344393239</v>
      </c>
      <c r="J2640" s="37" t="n">
        <f aca="false">A2640/2840</f>
        <v>0.927112676056338</v>
      </c>
      <c r="K2640" s="32" t="str">
        <f aca="false">IF(I2640&lt;=$E$4,"A",IF(I2640&lt;=$E$5,"B","C"))</f>
        <v>C</v>
      </c>
    </row>
    <row r="2641" customFormat="false" ht="15" hidden="false" customHeight="false" outlineLevel="0" collapsed="false">
      <c r="A2641" s="32" t="n">
        <v>2634</v>
      </c>
      <c r="B2641" s="33" t="n">
        <v>609675</v>
      </c>
      <c r="C2641" s="34" t="s">
        <v>5353</v>
      </c>
      <c r="D2641" s="34" t="s">
        <v>5354</v>
      </c>
      <c r="E2641" s="34" t="s">
        <v>130</v>
      </c>
      <c r="F2641" s="32" t="n">
        <f aca="false">COUNTIF(Base!$D$2:$D$2878,B2641)</f>
        <v>1</v>
      </c>
      <c r="G2641" s="35" t="n">
        <f aca="false">SUMIF(Base!$D$2:$D$2878,B2641,Base!$I$2:$I$2878)</f>
        <v>27.9</v>
      </c>
      <c r="H2641" s="36" t="n">
        <f aca="false">IF($G$2849=0,0,G2641/$G$2849)</f>
        <v>1.83086011446683E-006</v>
      </c>
      <c r="I2641" s="37" t="n">
        <f aca="false">I2640+H2641</f>
        <v>0.999826175253354</v>
      </c>
      <c r="J2641" s="37" t="n">
        <f aca="false">A2641/2840</f>
        <v>0.927464788732394</v>
      </c>
      <c r="K2641" s="32" t="str">
        <f aca="false">IF(I2641&lt;=$E$4,"A",IF(I2641&lt;=$E$5,"B","C"))</f>
        <v>C</v>
      </c>
    </row>
    <row r="2642" customFormat="false" ht="15" hidden="false" customHeight="false" outlineLevel="0" collapsed="false">
      <c r="A2642" s="32" t="n">
        <v>2635</v>
      </c>
      <c r="B2642" s="33" t="n">
        <v>224059</v>
      </c>
      <c r="C2642" s="34" t="s">
        <v>5355</v>
      </c>
      <c r="D2642" s="34" t="s">
        <v>5356</v>
      </c>
      <c r="E2642" s="34" t="s">
        <v>189</v>
      </c>
      <c r="F2642" s="32" t="n">
        <f aca="false">COUNTIF(Base!$D$2:$D$2878,B2642)</f>
        <v>1</v>
      </c>
      <c r="G2642" s="35" t="n">
        <f aca="false">SUMIF(Base!$D$2:$D$2878,B2642,Base!$I$2:$I$2878)</f>
        <v>27.52</v>
      </c>
      <c r="H2642" s="36" t="n">
        <f aca="false">IF($G$2849=0,0,G2642/$G$2849)</f>
        <v>1.80592366846334E-006</v>
      </c>
      <c r="I2642" s="37" t="n">
        <f aca="false">I2641+H2642</f>
        <v>0.999827981177022</v>
      </c>
      <c r="J2642" s="37" t="n">
        <f aca="false">A2642/2840</f>
        <v>0.927816901408451</v>
      </c>
      <c r="K2642" s="32" t="str">
        <f aca="false">IF(I2642&lt;=$E$4,"A",IF(I2642&lt;=$E$5,"B","C"))</f>
        <v>C</v>
      </c>
    </row>
    <row r="2643" customFormat="false" ht="15" hidden="false" customHeight="false" outlineLevel="0" collapsed="false">
      <c r="A2643" s="32" t="n">
        <v>2636</v>
      </c>
      <c r="B2643" s="33" t="n">
        <v>1181507</v>
      </c>
      <c r="C2643" s="34" t="s">
        <v>5357</v>
      </c>
      <c r="D2643" s="34" t="s">
        <v>5358</v>
      </c>
      <c r="E2643" s="34" t="s">
        <v>54</v>
      </c>
      <c r="F2643" s="32" t="n">
        <f aca="false">COUNTIF(Base!$D$2:$D$2878,B2643)</f>
        <v>1</v>
      </c>
      <c r="G2643" s="35" t="n">
        <f aca="false">SUMIF(Base!$D$2:$D$2878,B2643,Base!$I$2:$I$2878)</f>
        <v>27</v>
      </c>
      <c r="H2643" s="36" t="n">
        <f aca="false">IF($G$2849=0,0,G2643/$G$2849)</f>
        <v>1.77180011077435E-006</v>
      </c>
      <c r="I2643" s="37" t="n">
        <f aca="false">I2642+H2643</f>
        <v>0.999829752977133</v>
      </c>
      <c r="J2643" s="37" t="n">
        <f aca="false">A2643/2840</f>
        <v>0.928169014084507</v>
      </c>
      <c r="K2643" s="32" t="str">
        <f aca="false">IF(I2643&lt;=$E$4,"A",IF(I2643&lt;=$E$5,"B","C"))</f>
        <v>C</v>
      </c>
    </row>
    <row r="2644" customFormat="false" ht="15" hidden="false" customHeight="false" outlineLevel="0" collapsed="false">
      <c r="A2644" s="32" t="n">
        <v>2637</v>
      </c>
      <c r="B2644" s="33" t="n">
        <v>1383544</v>
      </c>
      <c r="C2644" s="34" t="s">
        <v>5359</v>
      </c>
      <c r="D2644" s="34" t="s">
        <v>5360</v>
      </c>
      <c r="E2644" s="34" t="s">
        <v>100</v>
      </c>
      <c r="F2644" s="32" t="n">
        <f aca="false">COUNTIF(Base!$D$2:$D$2878,B2644)</f>
        <v>1</v>
      </c>
      <c r="G2644" s="35" t="n">
        <f aca="false">SUMIF(Base!$D$2:$D$2878,B2644,Base!$I$2:$I$2878)</f>
        <v>27</v>
      </c>
      <c r="H2644" s="36" t="n">
        <f aca="false">IF($G$2849=0,0,G2644/$G$2849)</f>
        <v>1.77180011077435E-006</v>
      </c>
      <c r="I2644" s="37" t="n">
        <f aca="false">I2643+H2644</f>
        <v>0.999831524777244</v>
      </c>
      <c r="J2644" s="37" t="n">
        <f aca="false">A2644/2840</f>
        <v>0.928521126760563</v>
      </c>
      <c r="K2644" s="32" t="str">
        <f aca="false">IF(I2644&lt;=$E$4,"A",IF(I2644&lt;=$E$5,"B","C"))</f>
        <v>C</v>
      </c>
    </row>
    <row r="2645" customFormat="false" ht="15" hidden="false" customHeight="false" outlineLevel="0" collapsed="false">
      <c r="A2645" s="32" t="n">
        <v>2638</v>
      </c>
      <c r="B2645" s="33" t="n">
        <v>1539939</v>
      </c>
      <c r="C2645" s="34" t="s">
        <v>5361</v>
      </c>
      <c r="D2645" s="34" t="s">
        <v>5362</v>
      </c>
      <c r="E2645" s="34" t="s">
        <v>130</v>
      </c>
      <c r="F2645" s="32" t="n">
        <f aca="false">COUNTIF(Base!$D$2:$D$2878,B2645)</f>
        <v>1</v>
      </c>
      <c r="G2645" s="35" t="n">
        <f aca="false">SUMIF(Base!$D$2:$D$2878,B2645,Base!$I$2:$I$2878)</f>
        <v>26</v>
      </c>
      <c r="H2645" s="36" t="n">
        <f aca="false">IF($G$2849=0,0,G2645/$G$2849)</f>
        <v>1.70617788444938E-006</v>
      </c>
      <c r="I2645" s="37" t="n">
        <f aca="false">I2644+H2645</f>
        <v>0.999833230955128</v>
      </c>
      <c r="J2645" s="37" t="n">
        <f aca="false">A2645/2840</f>
        <v>0.92887323943662</v>
      </c>
      <c r="K2645" s="32" t="str">
        <f aca="false">IF(I2645&lt;=$E$4,"A",IF(I2645&lt;=$E$5,"B","C"))</f>
        <v>C</v>
      </c>
    </row>
    <row r="2646" customFormat="false" ht="15" hidden="false" customHeight="false" outlineLevel="0" collapsed="false">
      <c r="A2646" s="32" t="n">
        <v>2639</v>
      </c>
      <c r="B2646" s="33" t="n">
        <v>1605179</v>
      </c>
      <c r="C2646" s="34" t="s">
        <v>5363</v>
      </c>
      <c r="D2646" s="34" t="s">
        <v>5364</v>
      </c>
      <c r="E2646" s="34" t="s">
        <v>38</v>
      </c>
      <c r="F2646" s="32" t="n">
        <f aca="false">COUNTIF(Base!$D$2:$D$2878,B2646)</f>
        <v>1</v>
      </c>
      <c r="G2646" s="35" t="n">
        <f aca="false">SUMIF(Base!$D$2:$D$2878,B2646,Base!$I$2:$I$2878)</f>
        <v>26</v>
      </c>
      <c r="H2646" s="36" t="n">
        <f aca="false">IF($G$2849=0,0,G2646/$G$2849)</f>
        <v>1.70617788444938E-006</v>
      </c>
      <c r="I2646" s="37" t="n">
        <f aca="false">I2645+H2646</f>
        <v>0.999834937133013</v>
      </c>
      <c r="J2646" s="37" t="n">
        <f aca="false">A2646/2840</f>
        <v>0.929225352112676</v>
      </c>
      <c r="K2646" s="32" t="str">
        <f aca="false">IF(I2646&lt;=$E$4,"A",IF(I2646&lt;=$E$5,"B","C"))</f>
        <v>C</v>
      </c>
    </row>
    <row r="2647" customFormat="false" ht="15" hidden="false" customHeight="false" outlineLevel="0" collapsed="false">
      <c r="A2647" s="32" t="n">
        <v>2640</v>
      </c>
      <c r="B2647" s="33" t="n">
        <v>1657133</v>
      </c>
      <c r="C2647" s="34" t="s">
        <v>5365</v>
      </c>
      <c r="D2647" s="34" t="s">
        <v>5366</v>
      </c>
      <c r="E2647" s="34" t="s">
        <v>100</v>
      </c>
      <c r="F2647" s="32" t="n">
        <f aca="false">COUNTIF(Base!$D$2:$D$2878,B2647)</f>
        <v>1</v>
      </c>
      <c r="G2647" s="35" t="n">
        <f aca="false">SUMIF(Base!$D$2:$D$2878,B2647,Base!$I$2:$I$2878)</f>
        <v>26</v>
      </c>
      <c r="H2647" s="36" t="n">
        <f aca="false">IF($G$2849=0,0,G2647/$G$2849)</f>
        <v>1.70617788444938E-006</v>
      </c>
      <c r="I2647" s="37" t="n">
        <f aca="false">I2646+H2647</f>
        <v>0.999836643310897</v>
      </c>
      <c r="J2647" s="37" t="n">
        <f aca="false">A2647/2840</f>
        <v>0.929577464788732</v>
      </c>
      <c r="K2647" s="32" t="str">
        <f aca="false">IF(I2647&lt;=$E$4,"A",IF(I2647&lt;=$E$5,"B","C"))</f>
        <v>C</v>
      </c>
    </row>
    <row r="2648" customFormat="false" ht="15" hidden="false" customHeight="false" outlineLevel="0" collapsed="false">
      <c r="A2648" s="32" t="n">
        <v>2641</v>
      </c>
      <c r="B2648" s="33" t="n">
        <v>1171284</v>
      </c>
      <c r="C2648" s="34" t="s">
        <v>5367</v>
      </c>
      <c r="D2648" s="34" t="s">
        <v>5368</v>
      </c>
      <c r="E2648" s="34" t="s">
        <v>54</v>
      </c>
      <c r="F2648" s="32" t="n">
        <f aca="false">COUNTIF(Base!$D$2:$D$2878,B2648)</f>
        <v>1</v>
      </c>
      <c r="G2648" s="35" t="n">
        <f aca="false">SUMIF(Base!$D$2:$D$2878,B2648,Base!$I$2:$I$2878)</f>
        <v>25.98</v>
      </c>
      <c r="H2648" s="36" t="n">
        <f aca="false">IF($G$2849=0,0,G2648/$G$2849)</f>
        <v>1.70486543992288E-006</v>
      </c>
      <c r="I2648" s="37" t="n">
        <f aca="false">I2647+H2648</f>
        <v>0.999838348176337</v>
      </c>
      <c r="J2648" s="37" t="n">
        <f aca="false">A2648/2840</f>
        <v>0.929929577464789</v>
      </c>
      <c r="K2648" s="32" t="str">
        <f aca="false">IF(I2648&lt;=$E$4,"A",IF(I2648&lt;=$E$5,"B","C"))</f>
        <v>C</v>
      </c>
    </row>
    <row r="2649" customFormat="false" ht="15" hidden="false" customHeight="false" outlineLevel="0" collapsed="false">
      <c r="A2649" s="32" t="n">
        <v>2642</v>
      </c>
      <c r="B2649" s="33" t="n">
        <v>884962</v>
      </c>
      <c r="C2649" s="34" t="s">
        <v>5369</v>
      </c>
      <c r="D2649" s="34" t="s">
        <v>5370</v>
      </c>
      <c r="E2649" s="34" t="s">
        <v>100</v>
      </c>
      <c r="F2649" s="32" t="n">
        <f aca="false">COUNTIF(Base!$D$2:$D$2878,B2649)</f>
        <v>1</v>
      </c>
      <c r="G2649" s="35" t="n">
        <f aca="false">SUMIF(Base!$D$2:$D$2878,B2649,Base!$I$2:$I$2878)</f>
        <v>25.6</v>
      </c>
      <c r="H2649" s="36" t="n">
        <f aca="false">IF($G$2849=0,0,G2649/$G$2849)</f>
        <v>1.67992899391939E-006</v>
      </c>
      <c r="I2649" s="37" t="n">
        <f aca="false">I2648+H2649</f>
        <v>0.999840028105331</v>
      </c>
      <c r="J2649" s="37" t="n">
        <f aca="false">A2649/2840</f>
        <v>0.930281690140845</v>
      </c>
      <c r="K2649" s="32" t="str">
        <f aca="false">IF(I2649&lt;=$E$4,"A",IF(I2649&lt;=$E$5,"B","C"))</f>
        <v>C</v>
      </c>
    </row>
    <row r="2650" customFormat="false" ht="15" hidden="false" customHeight="false" outlineLevel="0" collapsed="false">
      <c r="A2650" s="32" t="n">
        <v>2643</v>
      </c>
      <c r="B2650" s="33" t="n">
        <v>14740</v>
      </c>
      <c r="C2650" s="34" t="s">
        <v>5371</v>
      </c>
      <c r="D2650" s="34" t="s">
        <v>5372</v>
      </c>
      <c r="E2650" s="34" t="s">
        <v>54</v>
      </c>
      <c r="F2650" s="32" t="n">
        <f aca="false">COUNTIF(Base!$D$2:$D$2878,B2650)</f>
        <v>1</v>
      </c>
      <c r="G2650" s="35" t="n">
        <f aca="false">SUMIF(Base!$D$2:$D$2878,B2650,Base!$I$2:$I$2878)</f>
        <v>25.4</v>
      </c>
      <c r="H2650" s="36" t="n">
        <f aca="false">IF($G$2849=0,0,G2650/$G$2849)</f>
        <v>1.66680454865439E-006</v>
      </c>
      <c r="I2650" s="37" t="n">
        <f aca="false">I2649+H2650</f>
        <v>0.999841694909879</v>
      </c>
      <c r="J2650" s="37" t="n">
        <f aca="false">A2650/2840</f>
        <v>0.930633802816901</v>
      </c>
      <c r="K2650" s="32" t="str">
        <f aca="false">IF(I2650&lt;=$E$4,"A",IF(I2650&lt;=$E$5,"B","C"))</f>
        <v>C</v>
      </c>
    </row>
    <row r="2651" customFormat="false" ht="15" hidden="false" customHeight="false" outlineLevel="0" collapsed="false">
      <c r="A2651" s="32" t="n">
        <v>2644</v>
      </c>
      <c r="B2651" s="33" t="n">
        <v>601403</v>
      </c>
      <c r="C2651" s="34" t="s">
        <v>5373</v>
      </c>
      <c r="D2651" s="34" t="s">
        <v>5374</v>
      </c>
      <c r="E2651" s="34" t="s">
        <v>100</v>
      </c>
      <c r="F2651" s="32" t="n">
        <f aca="false">COUNTIF(Base!$D$2:$D$2878,B2651)</f>
        <v>1</v>
      </c>
      <c r="G2651" s="35" t="n">
        <f aca="false">SUMIF(Base!$D$2:$D$2878,B2651,Base!$I$2:$I$2878)</f>
        <v>25.26</v>
      </c>
      <c r="H2651" s="36" t="n">
        <f aca="false">IF($G$2849=0,0,G2651/$G$2849)</f>
        <v>1.65761743696889E-006</v>
      </c>
      <c r="I2651" s="37" t="n">
        <f aca="false">I2650+H2651</f>
        <v>0.999843352527316</v>
      </c>
      <c r="J2651" s="37" t="n">
        <f aca="false">A2651/2840</f>
        <v>0.930985915492958</v>
      </c>
      <c r="K2651" s="32" t="str">
        <f aca="false">IF(I2651&lt;=$E$4,"A",IF(I2651&lt;=$E$5,"B","C"))</f>
        <v>C</v>
      </c>
    </row>
    <row r="2652" customFormat="false" ht="15" hidden="false" customHeight="false" outlineLevel="0" collapsed="false">
      <c r="A2652" s="32" t="n">
        <v>2645</v>
      </c>
      <c r="B2652" s="33" t="n">
        <v>879038</v>
      </c>
      <c r="C2652" s="34" t="s">
        <v>5375</v>
      </c>
      <c r="D2652" s="34" t="s">
        <v>5376</v>
      </c>
      <c r="E2652" s="34" t="s">
        <v>2056</v>
      </c>
      <c r="F2652" s="32" t="n">
        <f aca="false">COUNTIF(Base!$D$2:$D$2878,B2652)</f>
        <v>1</v>
      </c>
      <c r="G2652" s="35" t="n">
        <f aca="false">SUMIF(Base!$D$2:$D$2878,B2652,Base!$I$2:$I$2878)</f>
        <v>25</v>
      </c>
      <c r="H2652" s="36" t="n">
        <f aca="false">IF($G$2849=0,0,G2652/$G$2849)</f>
        <v>1.6405556581244E-006</v>
      </c>
      <c r="I2652" s="37" t="n">
        <f aca="false">I2651+H2652</f>
        <v>0.999844993082975</v>
      </c>
      <c r="J2652" s="37" t="n">
        <f aca="false">A2652/2840</f>
        <v>0.931338028169014</v>
      </c>
      <c r="K2652" s="32" t="str">
        <f aca="false">IF(I2652&lt;=$E$4,"A",IF(I2652&lt;=$E$5,"B","C"))</f>
        <v>C</v>
      </c>
    </row>
    <row r="2653" customFormat="false" ht="15" hidden="false" customHeight="false" outlineLevel="0" collapsed="false">
      <c r="A2653" s="32" t="n">
        <v>2646</v>
      </c>
      <c r="B2653" s="33" t="n">
        <v>872193</v>
      </c>
      <c r="C2653" s="34" t="s">
        <v>5377</v>
      </c>
      <c r="D2653" s="34" t="s">
        <v>5378</v>
      </c>
      <c r="E2653" s="34" t="s">
        <v>457</v>
      </c>
      <c r="F2653" s="32" t="n">
        <f aca="false">COUNTIF(Base!$D$2:$D$2878,B2653)</f>
        <v>1</v>
      </c>
      <c r="G2653" s="35" t="n">
        <f aca="false">SUMIF(Base!$D$2:$D$2878,B2653,Base!$I$2:$I$2878)</f>
        <v>24.98</v>
      </c>
      <c r="H2653" s="36" t="n">
        <f aca="false">IF($G$2849=0,0,G2653/$G$2849)</f>
        <v>1.6392432135979E-006</v>
      </c>
      <c r="I2653" s="37" t="n">
        <f aca="false">I2652+H2653</f>
        <v>0.999846632326188</v>
      </c>
      <c r="J2653" s="37" t="n">
        <f aca="false">A2653/2840</f>
        <v>0.93169014084507</v>
      </c>
      <c r="K2653" s="32" t="str">
        <f aca="false">IF(I2653&lt;=$E$4,"A",IF(I2653&lt;=$E$5,"B","C"))</f>
        <v>C</v>
      </c>
    </row>
    <row r="2654" customFormat="false" ht="15" hidden="false" customHeight="false" outlineLevel="0" collapsed="false">
      <c r="A2654" s="32" t="n">
        <v>2647</v>
      </c>
      <c r="B2654" s="33" t="n">
        <v>1078659</v>
      </c>
      <c r="C2654" s="34" t="s">
        <v>5379</v>
      </c>
      <c r="D2654" s="34" t="s">
        <v>5380</v>
      </c>
      <c r="E2654" s="34" t="s">
        <v>38</v>
      </c>
      <c r="F2654" s="32" t="n">
        <f aca="false">COUNTIF(Base!$D$2:$D$2878,B2654)</f>
        <v>1</v>
      </c>
      <c r="G2654" s="35" t="n">
        <f aca="false">SUMIF(Base!$D$2:$D$2878,B2654,Base!$I$2:$I$2878)</f>
        <v>24.98</v>
      </c>
      <c r="H2654" s="36" t="n">
        <f aca="false">IF($G$2849=0,0,G2654/$G$2849)</f>
        <v>1.6392432135979E-006</v>
      </c>
      <c r="I2654" s="37" t="n">
        <f aca="false">I2653+H2654</f>
        <v>0.999848271569402</v>
      </c>
      <c r="J2654" s="37" t="n">
        <f aca="false">A2654/2840</f>
        <v>0.932042253521127</v>
      </c>
      <c r="K2654" s="32" t="str">
        <f aca="false">IF(I2654&lt;=$E$4,"A",IF(I2654&lt;=$E$5,"B","C"))</f>
        <v>C</v>
      </c>
    </row>
    <row r="2655" customFormat="false" ht="15" hidden="false" customHeight="false" outlineLevel="0" collapsed="false">
      <c r="A2655" s="32" t="n">
        <v>2648</v>
      </c>
      <c r="B2655" s="33" t="n">
        <v>17945</v>
      </c>
      <c r="C2655" s="34" t="s">
        <v>5381</v>
      </c>
      <c r="D2655" s="34" t="s">
        <v>5382</v>
      </c>
      <c r="E2655" s="34" t="s">
        <v>130</v>
      </c>
      <c r="F2655" s="32" t="n">
        <f aca="false">COUNTIF(Base!$D$2:$D$2878,B2655)</f>
        <v>1</v>
      </c>
      <c r="G2655" s="35" t="n">
        <f aca="false">SUMIF(Base!$D$2:$D$2878,B2655,Base!$I$2:$I$2878)</f>
        <v>24</v>
      </c>
      <c r="H2655" s="36" t="n">
        <f aca="false">IF($G$2849=0,0,G2655/$G$2849)</f>
        <v>1.57493343179942E-006</v>
      </c>
      <c r="I2655" s="37" t="n">
        <f aca="false">I2654+H2655</f>
        <v>0.999849846502834</v>
      </c>
      <c r="J2655" s="37" t="n">
        <f aca="false">A2655/2840</f>
        <v>0.932394366197183</v>
      </c>
      <c r="K2655" s="32" t="str">
        <f aca="false">IF(I2655&lt;=$E$4,"A",IF(I2655&lt;=$E$5,"B","C"))</f>
        <v>C</v>
      </c>
    </row>
    <row r="2656" customFormat="false" ht="15" hidden="false" customHeight="false" outlineLevel="0" collapsed="false">
      <c r="A2656" s="32" t="n">
        <v>2649</v>
      </c>
      <c r="B2656" s="33" t="n">
        <v>740203</v>
      </c>
      <c r="C2656" s="34" t="s">
        <v>5383</v>
      </c>
      <c r="D2656" s="34" t="s">
        <v>5384</v>
      </c>
      <c r="E2656" s="34" t="s">
        <v>2056</v>
      </c>
      <c r="F2656" s="32" t="n">
        <f aca="false">COUNTIF(Base!$D$2:$D$2878,B2656)</f>
        <v>1</v>
      </c>
      <c r="G2656" s="35" t="n">
        <f aca="false">SUMIF(Base!$D$2:$D$2878,B2656,Base!$I$2:$I$2878)</f>
        <v>24</v>
      </c>
      <c r="H2656" s="36" t="n">
        <f aca="false">IF($G$2849=0,0,G2656/$G$2849)</f>
        <v>1.57493343179942E-006</v>
      </c>
      <c r="I2656" s="37" t="n">
        <f aca="false">I2655+H2656</f>
        <v>0.999851421436265</v>
      </c>
      <c r="J2656" s="37" t="n">
        <f aca="false">A2656/2840</f>
        <v>0.93274647887324</v>
      </c>
      <c r="K2656" s="32" t="str">
        <f aca="false">IF(I2656&lt;=$E$4,"A",IF(I2656&lt;=$E$5,"B","C"))</f>
        <v>C</v>
      </c>
    </row>
    <row r="2657" customFormat="false" ht="15" hidden="false" customHeight="false" outlineLevel="0" collapsed="false">
      <c r="A2657" s="32" t="n">
        <v>2650</v>
      </c>
      <c r="B2657" s="33" t="n">
        <v>1068029</v>
      </c>
      <c r="C2657" s="34" t="s">
        <v>5385</v>
      </c>
      <c r="D2657" s="34" t="s">
        <v>5386</v>
      </c>
      <c r="E2657" s="34" t="s">
        <v>363</v>
      </c>
      <c r="F2657" s="32" t="n">
        <f aca="false">COUNTIF(Base!$D$2:$D$2878,B2657)</f>
        <v>1</v>
      </c>
      <c r="G2657" s="35" t="n">
        <f aca="false">SUMIF(Base!$D$2:$D$2878,B2657,Base!$I$2:$I$2878)</f>
        <v>24</v>
      </c>
      <c r="H2657" s="36" t="n">
        <f aca="false">IF($G$2849=0,0,G2657/$G$2849)</f>
        <v>1.57493343179942E-006</v>
      </c>
      <c r="I2657" s="37" t="n">
        <f aca="false">I2656+H2657</f>
        <v>0.999852996369697</v>
      </c>
      <c r="J2657" s="37" t="n">
        <f aca="false">A2657/2840</f>
        <v>0.933098591549296</v>
      </c>
      <c r="K2657" s="32" t="str">
        <f aca="false">IF(I2657&lt;=$E$4,"A",IF(I2657&lt;=$E$5,"B","C"))</f>
        <v>C</v>
      </c>
    </row>
    <row r="2658" customFormat="false" ht="15" hidden="false" customHeight="false" outlineLevel="0" collapsed="false">
      <c r="A2658" s="32" t="n">
        <v>2651</v>
      </c>
      <c r="B2658" s="33" t="n">
        <v>1089797</v>
      </c>
      <c r="C2658" s="34" t="s">
        <v>5387</v>
      </c>
      <c r="D2658" s="34" t="s">
        <v>5388</v>
      </c>
      <c r="E2658" s="34" t="s">
        <v>2056</v>
      </c>
      <c r="F2658" s="32" t="n">
        <f aca="false">COUNTIF(Base!$D$2:$D$2878,B2658)</f>
        <v>1</v>
      </c>
      <c r="G2658" s="35" t="n">
        <f aca="false">SUMIF(Base!$D$2:$D$2878,B2658,Base!$I$2:$I$2878)</f>
        <v>24</v>
      </c>
      <c r="H2658" s="36" t="n">
        <f aca="false">IF($G$2849=0,0,G2658/$G$2849)</f>
        <v>1.57493343179942E-006</v>
      </c>
      <c r="I2658" s="37" t="n">
        <f aca="false">I2657+H2658</f>
        <v>0.999854571303129</v>
      </c>
      <c r="J2658" s="37" t="n">
        <f aca="false">A2658/2840</f>
        <v>0.933450704225352</v>
      </c>
      <c r="K2658" s="32" t="str">
        <f aca="false">IF(I2658&lt;=$E$4,"A",IF(I2658&lt;=$E$5,"B","C"))</f>
        <v>C</v>
      </c>
    </row>
    <row r="2659" customFormat="false" ht="15" hidden="false" customHeight="false" outlineLevel="0" collapsed="false">
      <c r="A2659" s="32" t="n">
        <v>2652</v>
      </c>
      <c r="B2659" s="33" t="n">
        <v>646418</v>
      </c>
      <c r="C2659" s="34" t="s">
        <v>5389</v>
      </c>
      <c r="D2659" s="34" t="s">
        <v>5390</v>
      </c>
      <c r="E2659" s="34" t="s">
        <v>100</v>
      </c>
      <c r="F2659" s="32" t="n">
        <f aca="false">COUNTIF(Base!$D$2:$D$2878,B2659)</f>
        <v>1</v>
      </c>
      <c r="G2659" s="35" t="n">
        <f aca="false">SUMIF(Base!$D$2:$D$2878,B2659,Base!$I$2:$I$2878)</f>
        <v>23.88</v>
      </c>
      <c r="H2659" s="36" t="n">
        <f aca="false">IF($G$2849=0,0,G2659/$G$2849)</f>
        <v>1.56705876464043E-006</v>
      </c>
      <c r="I2659" s="37" t="n">
        <f aca="false">I2658+H2659</f>
        <v>0.999856138361894</v>
      </c>
      <c r="J2659" s="37" t="n">
        <f aca="false">A2659/2840</f>
        <v>0.933802816901408</v>
      </c>
      <c r="K2659" s="32" t="str">
        <f aca="false">IF(I2659&lt;=$E$4,"A",IF(I2659&lt;=$E$5,"B","C"))</f>
        <v>C</v>
      </c>
    </row>
    <row r="2660" customFormat="false" ht="15" hidden="false" customHeight="false" outlineLevel="0" collapsed="false">
      <c r="A2660" s="32" t="n">
        <v>2653</v>
      </c>
      <c r="B2660" s="33" t="n">
        <v>1670497</v>
      </c>
      <c r="C2660" s="34" t="s">
        <v>5391</v>
      </c>
      <c r="D2660" s="34" t="s">
        <v>5392</v>
      </c>
      <c r="E2660" s="34" t="s">
        <v>54</v>
      </c>
      <c r="F2660" s="32" t="n">
        <f aca="false">COUNTIF(Base!$D$2:$D$2878,B2660)</f>
        <v>1</v>
      </c>
      <c r="G2660" s="35" t="n">
        <f aca="false">SUMIF(Base!$D$2:$D$2878,B2660,Base!$I$2:$I$2878)</f>
        <v>23.88</v>
      </c>
      <c r="H2660" s="36" t="n">
        <f aca="false">IF($G$2849=0,0,G2660/$G$2849)</f>
        <v>1.56705876464043E-006</v>
      </c>
      <c r="I2660" s="37" t="n">
        <f aca="false">I2659+H2660</f>
        <v>0.999857705420658</v>
      </c>
      <c r="J2660" s="37" t="n">
        <f aca="false">A2660/2840</f>
        <v>0.934154929577465</v>
      </c>
      <c r="K2660" s="32" t="str">
        <f aca="false">IF(I2660&lt;=$E$4,"A",IF(I2660&lt;=$E$5,"B","C"))</f>
        <v>C</v>
      </c>
    </row>
    <row r="2661" customFormat="false" ht="15" hidden="false" customHeight="false" outlineLevel="0" collapsed="false">
      <c r="A2661" s="32" t="n">
        <v>2654</v>
      </c>
      <c r="B2661" s="33" t="n">
        <v>1677302</v>
      </c>
      <c r="C2661" s="34" t="s">
        <v>5393</v>
      </c>
      <c r="D2661" s="34" t="s">
        <v>5394</v>
      </c>
      <c r="E2661" s="34" t="s">
        <v>38</v>
      </c>
      <c r="F2661" s="32" t="n">
        <f aca="false">COUNTIF(Base!$D$2:$D$2878,B2661)</f>
        <v>1</v>
      </c>
      <c r="G2661" s="35" t="n">
        <f aca="false">SUMIF(Base!$D$2:$D$2878,B2661,Base!$I$2:$I$2878)</f>
        <v>23.68</v>
      </c>
      <c r="H2661" s="36" t="n">
        <f aca="false">IF($G$2849=0,0,G2661/$G$2849)</f>
        <v>1.55393431937543E-006</v>
      </c>
      <c r="I2661" s="37" t="n">
        <f aca="false">I2660+H2661</f>
        <v>0.999859259354977</v>
      </c>
      <c r="J2661" s="37" t="n">
        <f aca="false">A2661/2840</f>
        <v>0.934507042253521</v>
      </c>
      <c r="K2661" s="32" t="str">
        <f aca="false">IF(I2661&lt;=$E$4,"A",IF(I2661&lt;=$E$5,"B","C"))</f>
        <v>C</v>
      </c>
    </row>
    <row r="2662" customFormat="false" ht="15" hidden="false" customHeight="false" outlineLevel="0" collapsed="false">
      <c r="A2662" s="32" t="n">
        <v>2655</v>
      </c>
      <c r="B2662" s="33" t="n">
        <v>13151</v>
      </c>
      <c r="C2662" s="34" t="s">
        <v>5395</v>
      </c>
      <c r="D2662" s="34" t="s">
        <v>5396</v>
      </c>
      <c r="E2662" s="34" t="s">
        <v>38</v>
      </c>
      <c r="F2662" s="32" t="n">
        <f aca="false">COUNTIF(Base!$D$2:$D$2878,B2662)</f>
        <v>1</v>
      </c>
      <c r="G2662" s="35" t="n">
        <f aca="false">SUMIF(Base!$D$2:$D$2878,B2662,Base!$I$2:$I$2878)</f>
        <v>23.6</v>
      </c>
      <c r="H2662" s="36" t="n">
        <f aca="false">IF($G$2849=0,0,G2662/$G$2849)</f>
        <v>1.54868454126943E-006</v>
      </c>
      <c r="I2662" s="37" t="n">
        <f aca="false">I2661+H2662</f>
        <v>0.999860808039519</v>
      </c>
      <c r="J2662" s="37" t="n">
        <f aca="false">A2662/2840</f>
        <v>0.934859154929578</v>
      </c>
      <c r="K2662" s="32" t="str">
        <f aca="false">IF(I2662&lt;=$E$4,"A",IF(I2662&lt;=$E$5,"B","C"))</f>
        <v>C</v>
      </c>
    </row>
    <row r="2663" customFormat="false" ht="15" hidden="false" customHeight="false" outlineLevel="0" collapsed="false">
      <c r="A2663" s="32" t="n">
        <v>2656</v>
      </c>
      <c r="B2663" s="33" t="n">
        <v>138613</v>
      </c>
      <c r="C2663" s="34" t="s">
        <v>5397</v>
      </c>
      <c r="D2663" s="34" t="s">
        <v>5398</v>
      </c>
      <c r="E2663" s="34" t="s">
        <v>100</v>
      </c>
      <c r="F2663" s="32" t="n">
        <f aca="false">COUNTIF(Base!$D$2:$D$2878,B2663)</f>
        <v>1</v>
      </c>
      <c r="G2663" s="35" t="n">
        <f aca="false">SUMIF(Base!$D$2:$D$2878,B2663,Base!$I$2:$I$2878)</f>
        <v>23.25</v>
      </c>
      <c r="H2663" s="36" t="n">
        <f aca="false">IF($G$2849=0,0,G2663/$G$2849)</f>
        <v>1.52571676205569E-006</v>
      </c>
      <c r="I2663" s="37" t="n">
        <f aca="false">I2662+H2663</f>
        <v>0.999862333756281</v>
      </c>
      <c r="J2663" s="37" t="n">
        <f aca="false">A2663/2840</f>
        <v>0.935211267605634</v>
      </c>
      <c r="K2663" s="32" t="str">
        <f aca="false">IF(I2663&lt;=$E$4,"A",IF(I2663&lt;=$E$5,"B","C"))</f>
        <v>C</v>
      </c>
    </row>
    <row r="2664" customFormat="false" ht="15" hidden="false" customHeight="false" outlineLevel="0" collapsed="false">
      <c r="A2664" s="32" t="n">
        <v>2657</v>
      </c>
      <c r="B2664" s="33" t="n">
        <v>881428</v>
      </c>
      <c r="C2664" s="34" t="s">
        <v>5399</v>
      </c>
      <c r="D2664" s="34" t="s">
        <v>5400</v>
      </c>
      <c r="E2664" s="34" t="s">
        <v>38</v>
      </c>
      <c r="F2664" s="32" t="n">
        <f aca="false">COUNTIF(Base!$D$2:$D$2878,B2664)</f>
        <v>1</v>
      </c>
      <c r="G2664" s="35" t="n">
        <f aca="false">SUMIF(Base!$D$2:$D$2878,B2664,Base!$I$2:$I$2878)</f>
        <v>23</v>
      </c>
      <c r="H2664" s="36" t="n">
        <f aca="false">IF($G$2849=0,0,G2664/$G$2849)</f>
        <v>1.50931120547445E-006</v>
      </c>
      <c r="I2664" s="37" t="n">
        <f aca="false">I2663+H2664</f>
        <v>0.999863843067486</v>
      </c>
      <c r="J2664" s="37" t="n">
        <f aca="false">A2664/2840</f>
        <v>0.93556338028169</v>
      </c>
      <c r="K2664" s="32" t="str">
        <f aca="false">IF(I2664&lt;=$E$4,"A",IF(I2664&lt;=$E$5,"B","C"))</f>
        <v>C</v>
      </c>
    </row>
    <row r="2665" customFormat="false" ht="15" hidden="false" customHeight="false" outlineLevel="0" collapsed="false">
      <c r="A2665" s="32" t="n">
        <v>2658</v>
      </c>
      <c r="B2665" s="33" t="n">
        <v>16057</v>
      </c>
      <c r="C2665" s="34" t="s">
        <v>5401</v>
      </c>
      <c r="D2665" s="34" t="s">
        <v>5402</v>
      </c>
      <c r="E2665" s="34" t="s">
        <v>54</v>
      </c>
      <c r="F2665" s="32" t="n">
        <f aca="false">COUNTIF(Base!$D$2:$D$2878,B2665)</f>
        <v>1</v>
      </c>
      <c r="G2665" s="35" t="n">
        <f aca="false">SUMIF(Base!$D$2:$D$2878,B2665,Base!$I$2:$I$2878)</f>
        <v>22.98</v>
      </c>
      <c r="H2665" s="36" t="n">
        <f aca="false">IF($G$2849=0,0,G2665/$G$2849)</f>
        <v>1.50799876094795E-006</v>
      </c>
      <c r="I2665" s="37" t="n">
        <f aca="false">I2664+H2665</f>
        <v>0.999865351066247</v>
      </c>
      <c r="J2665" s="37" t="n">
        <f aca="false">A2665/2840</f>
        <v>0.935915492957747</v>
      </c>
      <c r="K2665" s="32" t="str">
        <f aca="false">IF(I2665&lt;=$E$4,"A",IF(I2665&lt;=$E$5,"B","C"))</f>
        <v>C</v>
      </c>
    </row>
    <row r="2666" customFormat="false" ht="15" hidden="false" customHeight="false" outlineLevel="0" collapsed="false">
      <c r="A2666" s="32" t="n">
        <v>2659</v>
      </c>
      <c r="B2666" s="33" t="n">
        <v>221342</v>
      </c>
      <c r="C2666" s="34" t="s">
        <v>5403</v>
      </c>
      <c r="D2666" s="34" t="s">
        <v>5404</v>
      </c>
      <c r="E2666" s="34" t="s">
        <v>100</v>
      </c>
      <c r="F2666" s="32" t="n">
        <f aca="false">COUNTIF(Base!$D$2:$D$2878,B2666)</f>
        <v>1</v>
      </c>
      <c r="G2666" s="35" t="n">
        <f aca="false">SUMIF(Base!$D$2:$D$2878,B2666,Base!$I$2:$I$2878)</f>
        <v>22.98</v>
      </c>
      <c r="H2666" s="36" t="n">
        <f aca="false">IF($G$2849=0,0,G2666/$G$2849)</f>
        <v>1.50799876094795E-006</v>
      </c>
      <c r="I2666" s="37" t="n">
        <f aca="false">I2665+H2666</f>
        <v>0.999866859065008</v>
      </c>
      <c r="J2666" s="37" t="n">
        <f aca="false">A2666/2840</f>
        <v>0.936267605633803</v>
      </c>
      <c r="K2666" s="32" t="str">
        <f aca="false">IF(I2666&lt;=$E$4,"A",IF(I2666&lt;=$E$5,"B","C"))</f>
        <v>C</v>
      </c>
    </row>
    <row r="2667" customFormat="false" ht="15" hidden="false" customHeight="false" outlineLevel="0" collapsed="false">
      <c r="A2667" s="32" t="n">
        <v>2660</v>
      </c>
      <c r="B2667" s="33" t="n">
        <v>950836</v>
      </c>
      <c r="C2667" s="34" t="s">
        <v>5405</v>
      </c>
      <c r="D2667" s="34" t="s">
        <v>5406</v>
      </c>
      <c r="E2667" s="34" t="s">
        <v>54</v>
      </c>
      <c r="F2667" s="32" t="n">
        <f aca="false">COUNTIF(Base!$D$2:$D$2878,B2667)</f>
        <v>1</v>
      </c>
      <c r="G2667" s="35" t="n">
        <f aca="false">SUMIF(Base!$D$2:$D$2878,B2667,Base!$I$2:$I$2878)</f>
        <v>22.98</v>
      </c>
      <c r="H2667" s="36" t="n">
        <f aca="false">IF($G$2849=0,0,G2667/$G$2849)</f>
        <v>1.50799876094795E-006</v>
      </c>
      <c r="I2667" s="37" t="n">
        <f aca="false">I2666+H2667</f>
        <v>0.999868367063769</v>
      </c>
      <c r="J2667" s="37" t="n">
        <f aca="false">A2667/2840</f>
        <v>0.936619718309859</v>
      </c>
      <c r="K2667" s="32" t="str">
        <f aca="false">IF(I2667&lt;=$E$4,"A",IF(I2667&lt;=$E$5,"B","C"))</f>
        <v>C</v>
      </c>
    </row>
    <row r="2668" customFormat="false" ht="15" hidden="false" customHeight="false" outlineLevel="0" collapsed="false">
      <c r="A2668" s="32" t="n">
        <v>2661</v>
      </c>
      <c r="B2668" s="33" t="n">
        <v>1330498</v>
      </c>
      <c r="C2668" s="34" t="s">
        <v>5407</v>
      </c>
      <c r="D2668" s="34" t="s">
        <v>5408</v>
      </c>
      <c r="E2668" s="34" t="s">
        <v>262</v>
      </c>
      <c r="F2668" s="32" t="n">
        <f aca="false">COUNTIF(Base!$D$2:$D$2878,B2668)</f>
        <v>1</v>
      </c>
      <c r="G2668" s="35" t="n">
        <f aca="false">SUMIF(Base!$D$2:$D$2878,B2668,Base!$I$2:$I$2878)</f>
        <v>22.98</v>
      </c>
      <c r="H2668" s="36" t="n">
        <f aca="false">IF($G$2849=0,0,G2668/$G$2849)</f>
        <v>1.50799876094795E-006</v>
      </c>
      <c r="I2668" s="37" t="n">
        <f aca="false">I2667+H2668</f>
        <v>0.99986987506253</v>
      </c>
      <c r="J2668" s="37" t="n">
        <f aca="false">A2668/2840</f>
        <v>0.936971830985916</v>
      </c>
      <c r="K2668" s="32" t="str">
        <f aca="false">IF(I2668&lt;=$E$4,"A",IF(I2668&lt;=$E$5,"B","C"))</f>
        <v>C</v>
      </c>
    </row>
    <row r="2669" customFormat="false" ht="15" hidden="false" customHeight="false" outlineLevel="0" collapsed="false">
      <c r="A2669" s="32" t="n">
        <v>2662</v>
      </c>
      <c r="B2669" s="33" t="n">
        <v>1477380</v>
      </c>
      <c r="C2669" s="34" t="s">
        <v>5409</v>
      </c>
      <c r="D2669" s="34" t="s">
        <v>5410</v>
      </c>
      <c r="E2669" s="34" t="s">
        <v>54</v>
      </c>
      <c r="F2669" s="32" t="n">
        <f aca="false">COUNTIF(Base!$D$2:$D$2878,B2669)</f>
        <v>1</v>
      </c>
      <c r="G2669" s="35" t="n">
        <f aca="false">SUMIF(Base!$D$2:$D$2878,B2669,Base!$I$2:$I$2878)</f>
        <v>22.42</v>
      </c>
      <c r="H2669" s="36" t="n">
        <f aca="false">IF($G$2849=0,0,G2669/$G$2849)</f>
        <v>1.47125031420596E-006</v>
      </c>
      <c r="I2669" s="37" t="n">
        <f aca="false">I2668+H2669</f>
        <v>0.999871346312844</v>
      </c>
      <c r="J2669" s="37" t="n">
        <f aca="false">A2669/2840</f>
        <v>0.937323943661972</v>
      </c>
      <c r="K2669" s="32" t="str">
        <f aca="false">IF(I2669&lt;=$E$4,"A",IF(I2669&lt;=$E$5,"B","C"))</f>
        <v>C</v>
      </c>
    </row>
    <row r="2670" customFormat="false" ht="15" hidden="false" customHeight="false" outlineLevel="0" collapsed="false">
      <c r="A2670" s="32" t="n">
        <v>2663</v>
      </c>
      <c r="B2670" s="33" t="n">
        <v>1312600</v>
      </c>
      <c r="C2670" s="34" t="s">
        <v>5411</v>
      </c>
      <c r="D2670" s="34" t="s">
        <v>5412</v>
      </c>
      <c r="E2670" s="34" t="s">
        <v>189</v>
      </c>
      <c r="F2670" s="32" t="n">
        <f aca="false">COUNTIF(Base!$D$2:$D$2878,B2670)</f>
        <v>1</v>
      </c>
      <c r="G2670" s="35" t="n">
        <f aca="false">SUMIF(Base!$D$2:$D$2878,B2670,Base!$I$2:$I$2878)</f>
        <v>22.25</v>
      </c>
      <c r="H2670" s="36" t="n">
        <f aca="false">IF($G$2849=0,0,G2670/$G$2849)</f>
        <v>1.46009453573072E-006</v>
      </c>
      <c r="I2670" s="37" t="n">
        <f aca="false">I2669+H2670</f>
        <v>0.99987280640738</v>
      </c>
      <c r="J2670" s="37" t="n">
        <f aca="false">A2670/2840</f>
        <v>0.937676056338028</v>
      </c>
      <c r="K2670" s="32" t="str">
        <f aca="false">IF(I2670&lt;=$E$4,"A",IF(I2670&lt;=$E$5,"B","C"))</f>
        <v>C</v>
      </c>
    </row>
    <row r="2671" customFormat="false" ht="15" hidden="false" customHeight="false" outlineLevel="0" collapsed="false">
      <c r="A2671" s="32" t="n">
        <v>2664</v>
      </c>
      <c r="B2671" s="33" t="n">
        <v>844084</v>
      </c>
      <c r="C2671" s="34" t="s">
        <v>5413</v>
      </c>
      <c r="D2671" s="34" t="s">
        <v>5414</v>
      </c>
      <c r="E2671" s="34" t="s">
        <v>38</v>
      </c>
      <c r="F2671" s="32" t="n">
        <f aca="false">COUNTIF(Base!$D$2:$D$2878,B2671)</f>
        <v>1</v>
      </c>
      <c r="G2671" s="35" t="n">
        <f aca="false">SUMIF(Base!$D$2:$D$2878,B2671,Base!$I$2:$I$2878)</f>
        <v>22.04</v>
      </c>
      <c r="H2671" s="36" t="n">
        <f aca="false">IF($G$2849=0,0,G2671/$G$2849)</f>
        <v>1.44631386820247E-006</v>
      </c>
      <c r="I2671" s="37" t="n">
        <f aca="false">I2670+H2671</f>
        <v>0.999874252721248</v>
      </c>
      <c r="J2671" s="37" t="n">
        <f aca="false">A2671/2840</f>
        <v>0.938028169014085</v>
      </c>
      <c r="K2671" s="32" t="str">
        <f aca="false">IF(I2671&lt;=$E$4,"A",IF(I2671&lt;=$E$5,"B","C"))</f>
        <v>C</v>
      </c>
    </row>
    <row r="2672" customFormat="false" ht="15" hidden="false" customHeight="false" outlineLevel="0" collapsed="false">
      <c r="A2672" s="32" t="n">
        <v>2665</v>
      </c>
      <c r="B2672" s="33" t="n">
        <v>1539915</v>
      </c>
      <c r="C2672" s="34" t="s">
        <v>5415</v>
      </c>
      <c r="D2672" s="34" t="s">
        <v>5416</v>
      </c>
      <c r="E2672" s="34" t="s">
        <v>130</v>
      </c>
      <c r="F2672" s="32" t="n">
        <f aca="false">COUNTIF(Base!$D$2:$D$2878,B2672)</f>
        <v>1</v>
      </c>
      <c r="G2672" s="35" t="n">
        <f aca="false">SUMIF(Base!$D$2:$D$2878,B2672,Base!$I$2:$I$2878)</f>
        <v>22</v>
      </c>
      <c r="H2672" s="36" t="n">
        <f aca="false">IF($G$2849=0,0,G2672/$G$2849)</f>
        <v>1.44368897914947E-006</v>
      </c>
      <c r="I2672" s="37" t="n">
        <f aca="false">I2671+H2672</f>
        <v>0.999875696410227</v>
      </c>
      <c r="J2672" s="37" t="n">
        <f aca="false">A2672/2840</f>
        <v>0.938380281690141</v>
      </c>
      <c r="K2672" s="32" t="str">
        <f aca="false">IF(I2672&lt;=$E$4,"A",IF(I2672&lt;=$E$5,"B","C"))</f>
        <v>C</v>
      </c>
    </row>
    <row r="2673" customFormat="false" ht="15" hidden="false" customHeight="false" outlineLevel="0" collapsed="false">
      <c r="A2673" s="32" t="n">
        <v>2666</v>
      </c>
      <c r="B2673" s="33" t="n">
        <v>19877</v>
      </c>
      <c r="C2673" s="34" t="s">
        <v>5417</v>
      </c>
      <c r="D2673" s="34" t="s">
        <v>5418</v>
      </c>
      <c r="E2673" s="34" t="s">
        <v>457</v>
      </c>
      <c r="F2673" s="32" t="n">
        <f aca="false">COUNTIF(Base!$D$2:$D$2878,B2673)</f>
        <v>1</v>
      </c>
      <c r="G2673" s="35" t="n">
        <f aca="false">SUMIF(Base!$D$2:$D$2878,B2673,Base!$I$2:$I$2878)</f>
        <v>21.95</v>
      </c>
      <c r="H2673" s="36" t="n">
        <f aca="false">IF($G$2849=0,0,G2673/$G$2849)</f>
        <v>1.44040786783322E-006</v>
      </c>
      <c r="I2673" s="37" t="n">
        <f aca="false">I2672+H2673</f>
        <v>0.999877136818095</v>
      </c>
      <c r="J2673" s="37" t="n">
        <f aca="false">A2673/2840</f>
        <v>0.938732394366197</v>
      </c>
      <c r="K2673" s="32" t="str">
        <f aca="false">IF(I2673&lt;=$E$4,"A",IF(I2673&lt;=$E$5,"B","C"))</f>
        <v>C</v>
      </c>
    </row>
    <row r="2674" customFormat="false" ht="15" hidden="false" customHeight="false" outlineLevel="0" collapsed="false">
      <c r="A2674" s="32" t="n">
        <v>2667</v>
      </c>
      <c r="B2674" s="33" t="n">
        <v>605444</v>
      </c>
      <c r="C2674" s="34" t="s">
        <v>5419</v>
      </c>
      <c r="D2674" s="34" t="s">
        <v>5420</v>
      </c>
      <c r="E2674" s="34" t="s">
        <v>100</v>
      </c>
      <c r="F2674" s="32" t="n">
        <f aca="false">COUNTIF(Base!$D$2:$D$2878,B2674)</f>
        <v>1</v>
      </c>
      <c r="G2674" s="35" t="n">
        <f aca="false">SUMIF(Base!$D$2:$D$2878,B2674,Base!$I$2:$I$2878)</f>
        <v>21.6</v>
      </c>
      <c r="H2674" s="36" t="n">
        <f aca="false">IF($G$2849=0,0,G2674/$G$2849)</f>
        <v>1.41744008861948E-006</v>
      </c>
      <c r="I2674" s="37" t="n">
        <f aca="false">I2673+H2674</f>
        <v>0.999878554258184</v>
      </c>
      <c r="J2674" s="37" t="n">
        <f aca="false">A2674/2840</f>
        <v>0.939084507042254</v>
      </c>
      <c r="K2674" s="32" t="str">
        <f aca="false">IF(I2674&lt;=$E$4,"A",IF(I2674&lt;=$E$5,"B","C"))</f>
        <v>C</v>
      </c>
    </row>
    <row r="2675" customFormat="false" ht="15" hidden="false" customHeight="false" outlineLevel="0" collapsed="false">
      <c r="A2675" s="32" t="n">
        <v>2668</v>
      </c>
      <c r="B2675" s="33" t="n">
        <v>14759</v>
      </c>
      <c r="C2675" s="34" t="s">
        <v>5421</v>
      </c>
      <c r="D2675" s="34" t="s">
        <v>5422</v>
      </c>
      <c r="E2675" s="34" t="s">
        <v>54</v>
      </c>
      <c r="F2675" s="32" t="n">
        <f aca="false">COUNTIF(Base!$D$2:$D$2878,B2675)</f>
        <v>1</v>
      </c>
      <c r="G2675" s="35" t="n">
        <f aca="false">SUMIF(Base!$D$2:$D$2878,B2675,Base!$I$2:$I$2878)</f>
        <v>21.36</v>
      </c>
      <c r="H2675" s="36" t="n">
        <f aca="false">IF($G$2849=0,0,G2675/$G$2849)</f>
        <v>1.40169075430149E-006</v>
      </c>
      <c r="I2675" s="37" t="n">
        <f aca="false">I2674+H2675</f>
        <v>0.999879955948938</v>
      </c>
      <c r="J2675" s="37" t="n">
        <f aca="false">A2675/2840</f>
        <v>0.93943661971831</v>
      </c>
      <c r="K2675" s="32" t="str">
        <f aca="false">IF(I2675&lt;=$E$4,"A",IF(I2675&lt;=$E$5,"B","C"))</f>
        <v>C</v>
      </c>
    </row>
    <row r="2676" customFormat="false" ht="15" hidden="false" customHeight="false" outlineLevel="0" collapsed="false">
      <c r="A2676" s="32" t="n">
        <v>2669</v>
      </c>
      <c r="B2676" s="33" t="n">
        <v>1660992</v>
      </c>
      <c r="C2676" s="34" t="s">
        <v>5423</v>
      </c>
      <c r="D2676" s="34" t="s">
        <v>5424</v>
      </c>
      <c r="E2676" s="34" t="s">
        <v>38</v>
      </c>
      <c r="F2676" s="32" t="n">
        <f aca="false">COUNTIF(Base!$D$2:$D$2878,B2676)</f>
        <v>1</v>
      </c>
      <c r="G2676" s="35" t="n">
        <f aca="false">SUMIF(Base!$D$2:$D$2878,B2676,Base!$I$2:$I$2878)</f>
        <v>21</v>
      </c>
      <c r="H2676" s="36" t="n">
        <f aca="false">IF($G$2849=0,0,G2676/$G$2849)</f>
        <v>1.3780667528245E-006</v>
      </c>
      <c r="I2676" s="37" t="n">
        <f aca="false">I2675+H2676</f>
        <v>0.999881334015691</v>
      </c>
      <c r="J2676" s="37" t="n">
        <f aca="false">A2676/2840</f>
        <v>0.939788732394366</v>
      </c>
      <c r="K2676" s="32" t="str">
        <f aca="false">IF(I2676&lt;=$E$4,"A",IF(I2676&lt;=$E$5,"B","C"))</f>
        <v>C</v>
      </c>
    </row>
    <row r="2677" customFormat="false" ht="15" hidden="false" customHeight="false" outlineLevel="0" collapsed="false">
      <c r="A2677" s="32" t="n">
        <v>2670</v>
      </c>
      <c r="B2677" s="33" t="n">
        <v>1660993</v>
      </c>
      <c r="C2677" s="34" t="s">
        <v>5425</v>
      </c>
      <c r="D2677" s="34" t="s">
        <v>5426</v>
      </c>
      <c r="E2677" s="34" t="s">
        <v>38</v>
      </c>
      <c r="F2677" s="32" t="n">
        <f aca="false">COUNTIF(Base!$D$2:$D$2878,B2677)</f>
        <v>1</v>
      </c>
      <c r="G2677" s="35" t="n">
        <f aca="false">SUMIF(Base!$D$2:$D$2878,B2677,Base!$I$2:$I$2878)</f>
        <v>21</v>
      </c>
      <c r="H2677" s="36" t="n">
        <f aca="false">IF($G$2849=0,0,G2677/$G$2849)</f>
        <v>1.3780667528245E-006</v>
      </c>
      <c r="I2677" s="37" t="n">
        <f aca="false">I2676+H2677</f>
        <v>0.999882712082444</v>
      </c>
      <c r="J2677" s="37" t="n">
        <f aca="false">A2677/2840</f>
        <v>0.940140845070423</v>
      </c>
      <c r="K2677" s="32" t="str">
        <f aca="false">IF(I2677&lt;=$E$4,"A",IF(I2677&lt;=$E$5,"B","C"))</f>
        <v>C</v>
      </c>
    </row>
    <row r="2678" customFormat="false" ht="15" hidden="false" customHeight="false" outlineLevel="0" collapsed="false">
      <c r="A2678" s="32" t="n">
        <v>2671</v>
      </c>
      <c r="B2678" s="33" t="n">
        <v>942228</v>
      </c>
      <c r="C2678" s="34" t="s">
        <v>5427</v>
      </c>
      <c r="D2678" s="34" t="s">
        <v>5428</v>
      </c>
      <c r="E2678" s="34" t="s">
        <v>100</v>
      </c>
      <c r="F2678" s="32" t="n">
        <f aca="false">COUNTIF(Base!$D$2:$D$2878,B2678)</f>
        <v>1</v>
      </c>
      <c r="G2678" s="35" t="n">
        <f aca="false">SUMIF(Base!$D$2:$D$2878,B2678,Base!$I$2:$I$2878)</f>
        <v>20.3</v>
      </c>
      <c r="H2678" s="36" t="n">
        <f aca="false">IF($G$2849=0,0,G2678/$G$2849)</f>
        <v>1.33213119439701E-006</v>
      </c>
      <c r="I2678" s="37" t="n">
        <f aca="false">I2677+H2678</f>
        <v>0.999884044213638</v>
      </c>
      <c r="J2678" s="37" t="n">
        <f aca="false">A2678/2840</f>
        <v>0.940492957746479</v>
      </c>
      <c r="K2678" s="32" t="str">
        <f aca="false">IF(I2678&lt;=$E$4,"A",IF(I2678&lt;=$E$5,"B","C"))</f>
        <v>C</v>
      </c>
    </row>
    <row r="2679" customFormat="false" ht="15" hidden="false" customHeight="false" outlineLevel="0" collapsed="false">
      <c r="A2679" s="32" t="n">
        <v>2672</v>
      </c>
      <c r="B2679" s="33" t="n">
        <v>33798</v>
      </c>
      <c r="C2679" s="34" t="s">
        <v>5429</v>
      </c>
      <c r="D2679" s="34" t="s">
        <v>5430</v>
      </c>
      <c r="E2679" s="34" t="s">
        <v>100</v>
      </c>
      <c r="F2679" s="32" t="n">
        <f aca="false">COUNTIF(Base!$D$2:$D$2878,B2679)</f>
        <v>1</v>
      </c>
      <c r="G2679" s="35" t="n">
        <f aca="false">SUMIF(Base!$D$2:$D$2878,B2679,Base!$I$2:$I$2878)</f>
        <v>20</v>
      </c>
      <c r="H2679" s="36" t="n">
        <f aca="false">IF($G$2849=0,0,G2679/$G$2849)</f>
        <v>1.31244452649952E-006</v>
      </c>
      <c r="I2679" s="37" t="n">
        <f aca="false">I2678+H2679</f>
        <v>0.999885356658165</v>
      </c>
      <c r="J2679" s="37" t="n">
        <f aca="false">A2679/2840</f>
        <v>0.940845070422535</v>
      </c>
      <c r="K2679" s="32" t="str">
        <f aca="false">IF(I2679&lt;=$E$4,"A",IF(I2679&lt;=$E$5,"B","C"))</f>
        <v>C</v>
      </c>
    </row>
    <row r="2680" customFormat="false" ht="15" hidden="false" customHeight="false" outlineLevel="0" collapsed="false">
      <c r="A2680" s="32" t="n">
        <v>2673</v>
      </c>
      <c r="B2680" s="33" t="n">
        <v>56738</v>
      </c>
      <c r="C2680" s="34" t="s">
        <v>5431</v>
      </c>
      <c r="D2680" s="34" t="s">
        <v>5432</v>
      </c>
      <c r="E2680" s="34" t="s">
        <v>38</v>
      </c>
      <c r="F2680" s="32" t="n">
        <f aca="false">COUNTIF(Base!$D$2:$D$2878,B2680)</f>
        <v>1</v>
      </c>
      <c r="G2680" s="35" t="n">
        <f aca="false">SUMIF(Base!$D$2:$D$2878,B2680,Base!$I$2:$I$2878)</f>
        <v>20</v>
      </c>
      <c r="H2680" s="36" t="n">
        <f aca="false">IF($G$2849=0,0,G2680/$G$2849)</f>
        <v>1.31244452649952E-006</v>
      </c>
      <c r="I2680" s="37" t="n">
        <f aca="false">I2679+H2680</f>
        <v>0.999886669102691</v>
      </c>
      <c r="J2680" s="37" t="n">
        <f aca="false">A2680/2840</f>
        <v>0.941197183098592</v>
      </c>
      <c r="K2680" s="32" t="str">
        <f aca="false">IF(I2680&lt;=$E$4,"A",IF(I2680&lt;=$E$5,"B","C"))</f>
        <v>C</v>
      </c>
    </row>
    <row r="2681" customFormat="false" ht="15" hidden="false" customHeight="false" outlineLevel="0" collapsed="false">
      <c r="A2681" s="32" t="n">
        <v>2674</v>
      </c>
      <c r="B2681" s="33" t="n">
        <v>277262</v>
      </c>
      <c r="C2681" s="34" t="s">
        <v>5433</v>
      </c>
      <c r="D2681" s="34" t="s">
        <v>5434</v>
      </c>
      <c r="E2681" s="34" t="s">
        <v>2056</v>
      </c>
      <c r="F2681" s="32" t="n">
        <f aca="false">COUNTIF(Base!$D$2:$D$2878,B2681)</f>
        <v>1</v>
      </c>
      <c r="G2681" s="35" t="n">
        <f aca="false">SUMIF(Base!$D$2:$D$2878,B2681,Base!$I$2:$I$2878)</f>
        <v>20</v>
      </c>
      <c r="H2681" s="36" t="n">
        <f aca="false">IF($G$2849=0,0,G2681/$G$2849)</f>
        <v>1.31244452649952E-006</v>
      </c>
      <c r="I2681" s="37" t="n">
        <f aca="false">I2680+H2681</f>
        <v>0.999887981547218</v>
      </c>
      <c r="J2681" s="37" t="n">
        <f aca="false">A2681/2840</f>
        <v>0.941549295774648</v>
      </c>
      <c r="K2681" s="32" t="str">
        <f aca="false">IF(I2681&lt;=$E$4,"A",IF(I2681&lt;=$E$5,"B","C"))</f>
        <v>C</v>
      </c>
    </row>
    <row r="2682" customFormat="false" ht="15" hidden="false" customHeight="false" outlineLevel="0" collapsed="false">
      <c r="A2682" s="32" t="n">
        <v>2675</v>
      </c>
      <c r="B2682" s="33" t="n">
        <v>833724</v>
      </c>
      <c r="C2682" s="34" t="s">
        <v>5435</v>
      </c>
      <c r="D2682" s="34" t="s">
        <v>5436</v>
      </c>
      <c r="E2682" s="34" t="s">
        <v>2056</v>
      </c>
      <c r="F2682" s="32" t="n">
        <f aca="false">COUNTIF(Base!$D$2:$D$2878,B2682)</f>
        <v>1</v>
      </c>
      <c r="G2682" s="35" t="n">
        <f aca="false">SUMIF(Base!$D$2:$D$2878,B2682,Base!$I$2:$I$2878)</f>
        <v>20</v>
      </c>
      <c r="H2682" s="36" t="n">
        <f aca="false">IF($G$2849=0,0,G2682/$G$2849)</f>
        <v>1.31244452649952E-006</v>
      </c>
      <c r="I2682" s="37" t="n">
        <f aca="false">I2681+H2682</f>
        <v>0.999889293991744</v>
      </c>
      <c r="J2682" s="37" t="n">
        <f aca="false">A2682/2840</f>
        <v>0.941901408450704</v>
      </c>
      <c r="K2682" s="32" t="str">
        <f aca="false">IF(I2682&lt;=$E$4,"A",IF(I2682&lt;=$E$5,"B","C"))</f>
        <v>C</v>
      </c>
    </row>
    <row r="2683" customFormat="false" ht="15" hidden="false" customHeight="false" outlineLevel="0" collapsed="false">
      <c r="A2683" s="32" t="n">
        <v>2676</v>
      </c>
      <c r="B2683" s="33" t="n">
        <v>16406</v>
      </c>
      <c r="C2683" s="34" t="s">
        <v>5437</v>
      </c>
      <c r="D2683" s="34" t="s">
        <v>5438</v>
      </c>
      <c r="E2683" s="34" t="s">
        <v>54</v>
      </c>
      <c r="F2683" s="32" t="n">
        <f aca="false">COUNTIF(Base!$D$2:$D$2878,B2683)</f>
        <v>1</v>
      </c>
      <c r="G2683" s="35" t="n">
        <f aca="false">SUMIF(Base!$D$2:$D$2878,B2683,Base!$I$2:$I$2878)</f>
        <v>19.98</v>
      </c>
      <c r="H2683" s="36" t="n">
        <f aca="false">IF($G$2849=0,0,G2683/$G$2849)</f>
        <v>1.31113208197302E-006</v>
      </c>
      <c r="I2683" s="37" t="n">
        <f aca="false">I2682+H2683</f>
        <v>0.999890605123826</v>
      </c>
      <c r="J2683" s="37" t="n">
        <f aca="false">A2683/2840</f>
        <v>0.942253521126761</v>
      </c>
      <c r="K2683" s="32" t="str">
        <f aca="false">IF(I2683&lt;=$E$4,"A",IF(I2683&lt;=$E$5,"B","C"))</f>
        <v>C</v>
      </c>
    </row>
    <row r="2684" customFormat="false" ht="15" hidden="false" customHeight="false" outlineLevel="0" collapsed="false">
      <c r="A2684" s="32" t="n">
        <v>2677</v>
      </c>
      <c r="B2684" s="33" t="n">
        <v>18026</v>
      </c>
      <c r="C2684" s="34" t="s">
        <v>5439</v>
      </c>
      <c r="D2684" s="34" t="s">
        <v>5440</v>
      </c>
      <c r="E2684" s="34" t="s">
        <v>130</v>
      </c>
      <c r="F2684" s="32" t="n">
        <f aca="false">COUNTIF(Base!$D$2:$D$2878,B2684)</f>
        <v>1</v>
      </c>
      <c r="G2684" s="35" t="n">
        <f aca="false">SUMIF(Base!$D$2:$D$2878,B2684,Base!$I$2:$I$2878)</f>
        <v>19.98</v>
      </c>
      <c r="H2684" s="36" t="n">
        <f aca="false">IF($G$2849=0,0,G2684/$G$2849)</f>
        <v>1.31113208197302E-006</v>
      </c>
      <c r="I2684" s="37" t="n">
        <f aca="false">I2683+H2684</f>
        <v>0.999891916255908</v>
      </c>
      <c r="J2684" s="37" t="n">
        <f aca="false">A2684/2840</f>
        <v>0.942605633802817</v>
      </c>
      <c r="K2684" s="32" t="str">
        <f aca="false">IF(I2684&lt;=$E$4,"A",IF(I2684&lt;=$E$5,"B","C"))</f>
        <v>C</v>
      </c>
    </row>
    <row r="2685" customFormat="false" ht="15" hidden="false" customHeight="false" outlineLevel="0" collapsed="false">
      <c r="A2685" s="32" t="n">
        <v>2678</v>
      </c>
      <c r="B2685" s="33" t="n">
        <v>22886</v>
      </c>
      <c r="C2685" s="34" t="s">
        <v>5441</v>
      </c>
      <c r="D2685" s="34" t="s">
        <v>5442</v>
      </c>
      <c r="E2685" s="34" t="s">
        <v>1618</v>
      </c>
      <c r="F2685" s="32" t="n">
        <f aca="false">COUNTIF(Base!$D$2:$D$2878,B2685)</f>
        <v>1</v>
      </c>
      <c r="G2685" s="35" t="n">
        <f aca="false">SUMIF(Base!$D$2:$D$2878,B2685,Base!$I$2:$I$2878)</f>
        <v>19.98</v>
      </c>
      <c r="H2685" s="36" t="n">
        <f aca="false">IF($G$2849=0,0,G2685/$G$2849)</f>
        <v>1.31113208197302E-006</v>
      </c>
      <c r="I2685" s="37" t="n">
        <f aca="false">I2684+H2685</f>
        <v>0.99989322738799</v>
      </c>
      <c r="J2685" s="37" t="n">
        <f aca="false">A2685/2840</f>
        <v>0.942957746478873</v>
      </c>
      <c r="K2685" s="32" t="str">
        <f aca="false">IF(I2685&lt;=$E$4,"A",IF(I2685&lt;=$E$5,"B","C"))</f>
        <v>C</v>
      </c>
    </row>
    <row r="2686" customFormat="false" ht="15" hidden="false" customHeight="false" outlineLevel="0" collapsed="false">
      <c r="A2686" s="32" t="n">
        <v>2679</v>
      </c>
      <c r="B2686" s="33" t="n">
        <v>33787</v>
      </c>
      <c r="C2686" s="34" t="s">
        <v>5443</v>
      </c>
      <c r="D2686" s="34" t="s">
        <v>5444</v>
      </c>
      <c r="E2686" s="34" t="s">
        <v>54</v>
      </c>
      <c r="F2686" s="32" t="n">
        <f aca="false">COUNTIF(Base!$D$2:$D$2878,B2686)</f>
        <v>1</v>
      </c>
      <c r="G2686" s="35" t="n">
        <f aca="false">SUMIF(Base!$D$2:$D$2878,B2686,Base!$I$2:$I$2878)</f>
        <v>19.98</v>
      </c>
      <c r="H2686" s="36" t="n">
        <f aca="false">IF($G$2849=0,0,G2686/$G$2849)</f>
        <v>1.31113208197302E-006</v>
      </c>
      <c r="I2686" s="37" t="n">
        <f aca="false">I2685+H2686</f>
        <v>0.999894538520072</v>
      </c>
      <c r="J2686" s="37" t="n">
        <f aca="false">A2686/2840</f>
        <v>0.94330985915493</v>
      </c>
      <c r="K2686" s="32" t="str">
        <f aca="false">IF(I2686&lt;=$E$4,"A",IF(I2686&lt;=$E$5,"B","C"))</f>
        <v>C</v>
      </c>
    </row>
    <row r="2687" customFormat="false" ht="15" hidden="false" customHeight="false" outlineLevel="0" collapsed="false">
      <c r="A2687" s="32" t="n">
        <v>2680</v>
      </c>
      <c r="B2687" s="33" t="n">
        <v>427056</v>
      </c>
      <c r="C2687" s="34" t="s">
        <v>5445</v>
      </c>
      <c r="D2687" s="34" t="s">
        <v>5446</v>
      </c>
      <c r="E2687" s="34" t="s">
        <v>54</v>
      </c>
      <c r="F2687" s="32" t="n">
        <f aca="false">COUNTIF(Base!$D$2:$D$2878,B2687)</f>
        <v>1</v>
      </c>
      <c r="G2687" s="35" t="n">
        <f aca="false">SUMIF(Base!$D$2:$D$2878,B2687,Base!$I$2:$I$2878)</f>
        <v>19.98</v>
      </c>
      <c r="H2687" s="36" t="n">
        <f aca="false">IF($G$2849=0,0,G2687/$G$2849)</f>
        <v>1.31113208197302E-006</v>
      </c>
      <c r="I2687" s="37" t="n">
        <f aca="false">I2686+H2687</f>
        <v>0.999895849652154</v>
      </c>
      <c r="J2687" s="37" t="n">
        <f aca="false">A2687/2840</f>
        <v>0.943661971830986</v>
      </c>
      <c r="K2687" s="32" t="str">
        <f aca="false">IF(I2687&lt;=$E$4,"A",IF(I2687&lt;=$E$5,"B","C"))</f>
        <v>C</v>
      </c>
    </row>
    <row r="2688" customFormat="false" ht="15" hidden="false" customHeight="false" outlineLevel="0" collapsed="false">
      <c r="A2688" s="32" t="n">
        <v>2681</v>
      </c>
      <c r="B2688" s="33" t="n">
        <v>728572</v>
      </c>
      <c r="C2688" s="34" t="s">
        <v>5447</v>
      </c>
      <c r="D2688" s="34" t="s">
        <v>5448</v>
      </c>
      <c r="E2688" s="34" t="s">
        <v>54</v>
      </c>
      <c r="F2688" s="32" t="n">
        <f aca="false">COUNTIF(Base!$D$2:$D$2878,B2688)</f>
        <v>1</v>
      </c>
      <c r="G2688" s="35" t="n">
        <f aca="false">SUMIF(Base!$D$2:$D$2878,B2688,Base!$I$2:$I$2878)</f>
        <v>19.98</v>
      </c>
      <c r="H2688" s="36" t="n">
        <f aca="false">IF($G$2849=0,0,G2688/$G$2849)</f>
        <v>1.31113208197302E-006</v>
      </c>
      <c r="I2688" s="37" t="n">
        <f aca="false">I2687+H2688</f>
        <v>0.999897160784236</v>
      </c>
      <c r="J2688" s="37" t="n">
        <f aca="false">A2688/2840</f>
        <v>0.944014084507042</v>
      </c>
      <c r="K2688" s="32" t="str">
        <f aca="false">IF(I2688&lt;=$E$4,"A",IF(I2688&lt;=$E$5,"B","C"))</f>
        <v>C</v>
      </c>
    </row>
    <row r="2689" customFormat="false" ht="15" hidden="false" customHeight="false" outlineLevel="0" collapsed="false">
      <c r="A2689" s="32" t="n">
        <v>2682</v>
      </c>
      <c r="B2689" s="33" t="n">
        <v>941221</v>
      </c>
      <c r="C2689" s="34" t="s">
        <v>5449</v>
      </c>
      <c r="D2689" s="34" t="s">
        <v>5450</v>
      </c>
      <c r="E2689" s="34" t="s">
        <v>1095</v>
      </c>
      <c r="F2689" s="32" t="n">
        <f aca="false">COUNTIF(Base!$D$2:$D$2878,B2689)</f>
        <v>1</v>
      </c>
      <c r="G2689" s="35" t="n">
        <f aca="false">SUMIF(Base!$D$2:$D$2878,B2689,Base!$I$2:$I$2878)</f>
        <v>19.98</v>
      </c>
      <c r="H2689" s="36" t="n">
        <f aca="false">IF($G$2849=0,0,G2689/$G$2849)</f>
        <v>1.31113208197302E-006</v>
      </c>
      <c r="I2689" s="37" t="n">
        <f aca="false">I2688+H2689</f>
        <v>0.999898471916318</v>
      </c>
      <c r="J2689" s="37" t="n">
        <f aca="false">A2689/2840</f>
        <v>0.944366197183099</v>
      </c>
      <c r="K2689" s="32" t="str">
        <f aca="false">IF(I2689&lt;=$E$4,"A",IF(I2689&lt;=$E$5,"B","C"))</f>
        <v>C</v>
      </c>
    </row>
    <row r="2690" customFormat="false" ht="15" hidden="false" customHeight="false" outlineLevel="0" collapsed="false">
      <c r="A2690" s="32" t="n">
        <v>2683</v>
      </c>
      <c r="B2690" s="33" t="n">
        <v>1389046</v>
      </c>
      <c r="C2690" s="34" t="s">
        <v>5451</v>
      </c>
      <c r="D2690" s="34" t="s">
        <v>5452</v>
      </c>
      <c r="E2690" s="34" t="s">
        <v>38</v>
      </c>
      <c r="F2690" s="32" t="n">
        <f aca="false">COUNTIF(Base!$D$2:$D$2878,B2690)</f>
        <v>1</v>
      </c>
      <c r="G2690" s="35" t="n">
        <f aca="false">SUMIF(Base!$D$2:$D$2878,B2690,Base!$I$2:$I$2878)</f>
        <v>19.98</v>
      </c>
      <c r="H2690" s="36" t="n">
        <f aca="false">IF($G$2849=0,0,G2690/$G$2849)</f>
        <v>1.31113208197302E-006</v>
      </c>
      <c r="I2690" s="37" t="n">
        <f aca="false">I2689+H2690</f>
        <v>0.9998997830484</v>
      </c>
      <c r="J2690" s="37" t="n">
        <f aca="false">A2690/2840</f>
        <v>0.944718309859155</v>
      </c>
      <c r="K2690" s="32" t="str">
        <f aca="false">IF(I2690&lt;=$E$4,"A",IF(I2690&lt;=$E$5,"B","C"))</f>
        <v>C</v>
      </c>
    </row>
    <row r="2691" customFormat="false" ht="15" hidden="false" customHeight="false" outlineLevel="0" collapsed="false">
      <c r="A2691" s="32" t="n">
        <v>2684</v>
      </c>
      <c r="B2691" s="33" t="n">
        <v>12654</v>
      </c>
      <c r="C2691" s="34" t="s">
        <v>5453</v>
      </c>
      <c r="D2691" s="34" t="s">
        <v>5454</v>
      </c>
      <c r="E2691" s="34" t="s">
        <v>38</v>
      </c>
      <c r="F2691" s="32" t="n">
        <f aca="false">COUNTIF(Base!$D$2:$D$2878,B2691)</f>
        <v>1</v>
      </c>
      <c r="G2691" s="35" t="n">
        <f aca="false">SUMIF(Base!$D$2:$D$2878,B2691,Base!$I$2:$I$2878)</f>
        <v>19.96</v>
      </c>
      <c r="H2691" s="36" t="n">
        <f aca="false">IF($G$2849=0,0,G2691/$G$2849)</f>
        <v>1.30981963744652E-006</v>
      </c>
      <c r="I2691" s="37" t="n">
        <f aca="false">I2690+H2691</f>
        <v>0.999901092868038</v>
      </c>
      <c r="J2691" s="37" t="n">
        <f aca="false">A2691/2840</f>
        <v>0.945070422535211</v>
      </c>
      <c r="K2691" s="32" t="str">
        <f aca="false">IF(I2691&lt;=$E$4,"A",IF(I2691&lt;=$E$5,"B","C"))</f>
        <v>C</v>
      </c>
    </row>
    <row r="2692" customFormat="false" ht="15" hidden="false" customHeight="false" outlineLevel="0" collapsed="false">
      <c r="A2692" s="32" t="n">
        <v>2685</v>
      </c>
      <c r="B2692" s="33" t="n">
        <v>289969</v>
      </c>
      <c r="C2692" s="34" t="s">
        <v>5455</v>
      </c>
      <c r="D2692" s="34" t="s">
        <v>5456</v>
      </c>
      <c r="E2692" s="34" t="s">
        <v>54</v>
      </c>
      <c r="F2692" s="32" t="n">
        <f aca="false">COUNTIF(Base!$D$2:$D$2878,B2692)</f>
        <v>1</v>
      </c>
      <c r="G2692" s="35" t="n">
        <f aca="false">SUMIF(Base!$D$2:$D$2878,B2692,Base!$I$2:$I$2878)</f>
        <v>19.96</v>
      </c>
      <c r="H2692" s="36" t="n">
        <f aca="false">IF($G$2849=0,0,G2692/$G$2849)</f>
        <v>1.30981963744652E-006</v>
      </c>
      <c r="I2692" s="37" t="n">
        <f aca="false">I2691+H2692</f>
        <v>0.999902402687675</v>
      </c>
      <c r="J2692" s="37" t="n">
        <f aca="false">A2692/2840</f>
        <v>0.945422535211268</v>
      </c>
      <c r="K2692" s="32" t="str">
        <f aca="false">IF(I2692&lt;=$E$4,"A",IF(I2692&lt;=$E$5,"B","C"))</f>
        <v>C</v>
      </c>
    </row>
    <row r="2693" customFormat="false" ht="15" hidden="false" customHeight="false" outlineLevel="0" collapsed="false">
      <c r="A2693" s="32" t="n">
        <v>2686</v>
      </c>
      <c r="B2693" s="33" t="n">
        <v>21378</v>
      </c>
      <c r="C2693" s="34" t="s">
        <v>5457</v>
      </c>
      <c r="D2693" s="34" t="s">
        <v>5458</v>
      </c>
      <c r="E2693" s="34" t="s">
        <v>189</v>
      </c>
      <c r="F2693" s="32" t="n">
        <f aca="false">COUNTIF(Base!$D$2:$D$2878,B2693)</f>
        <v>1</v>
      </c>
      <c r="G2693" s="35" t="n">
        <f aca="false">SUMIF(Base!$D$2:$D$2878,B2693,Base!$I$2:$I$2878)</f>
        <v>19.92</v>
      </c>
      <c r="H2693" s="36" t="n">
        <f aca="false">IF($G$2849=0,0,G2693/$G$2849)</f>
        <v>1.30719474839352E-006</v>
      </c>
      <c r="I2693" s="37" t="n">
        <f aca="false">I2692+H2693</f>
        <v>0.999903709882424</v>
      </c>
      <c r="J2693" s="37" t="n">
        <f aca="false">A2693/2840</f>
        <v>0.945774647887324</v>
      </c>
      <c r="K2693" s="32" t="str">
        <f aca="false">IF(I2693&lt;=$E$4,"A",IF(I2693&lt;=$E$5,"B","C"))</f>
        <v>C</v>
      </c>
    </row>
    <row r="2694" customFormat="false" ht="15" hidden="false" customHeight="false" outlineLevel="0" collapsed="false">
      <c r="A2694" s="32" t="n">
        <v>2687</v>
      </c>
      <c r="B2694" s="33" t="n">
        <v>141109</v>
      </c>
      <c r="C2694" s="34" t="s">
        <v>5459</v>
      </c>
      <c r="D2694" s="34" t="s">
        <v>5460</v>
      </c>
      <c r="E2694" s="34" t="s">
        <v>189</v>
      </c>
      <c r="F2694" s="32" t="n">
        <f aca="false">COUNTIF(Base!$D$2:$D$2878,B2694)</f>
        <v>1</v>
      </c>
      <c r="G2694" s="35" t="n">
        <f aca="false">SUMIF(Base!$D$2:$D$2878,B2694,Base!$I$2:$I$2878)</f>
        <v>19.88</v>
      </c>
      <c r="H2694" s="36" t="n">
        <f aca="false">IF($G$2849=0,0,G2694/$G$2849)</f>
        <v>1.30456985934052E-006</v>
      </c>
      <c r="I2694" s="37" t="n">
        <f aca="false">I2693+H2694</f>
        <v>0.999905014452283</v>
      </c>
      <c r="J2694" s="37" t="n">
        <f aca="false">A2694/2840</f>
        <v>0.94612676056338</v>
      </c>
      <c r="K2694" s="32" t="str">
        <f aca="false">IF(I2694&lt;=$E$4,"A",IF(I2694&lt;=$E$5,"B","C"))</f>
        <v>C</v>
      </c>
    </row>
    <row r="2695" customFormat="false" ht="15" hidden="false" customHeight="false" outlineLevel="0" collapsed="false">
      <c r="A2695" s="32" t="n">
        <v>2688</v>
      </c>
      <c r="B2695" s="33" t="n">
        <v>16864</v>
      </c>
      <c r="C2695" s="34" t="s">
        <v>5461</v>
      </c>
      <c r="D2695" s="34" t="s">
        <v>5462</v>
      </c>
      <c r="E2695" s="34" t="s">
        <v>100</v>
      </c>
      <c r="F2695" s="32" t="n">
        <f aca="false">COUNTIF(Base!$D$2:$D$2878,B2695)</f>
        <v>1</v>
      </c>
      <c r="G2695" s="35" t="n">
        <f aca="false">SUMIF(Base!$D$2:$D$2878,B2695,Base!$I$2:$I$2878)</f>
        <v>19.6</v>
      </c>
      <c r="H2695" s="36" t="n">
        <f aca="false">IF($G$2849=0,0,G2695/$G$2849)</f>
        <v>1.28619563596953E-006</v>
      </c>
      <c r="I2695" s="37" t="n">
        <f aca="false">I2694+H2695</f>
        <v>0.999906300647919</v>
      </c>
      <c r="J2695" s="37" t="n">
        <f aca="false">A2695/2840</f>
        <v>0.946478873239437</v>
      </c>
      <c r="K2695" s="32" t="str">
        <f aca="false">IF(I2695&lt;=$E$4,"A",IF(I2695&lt;=$E$5,"B","C"))</f>
        <v>C</v>
      </c>
    </row>
    <row r="2696" customFormat="false" ht="15" hidden="false" customHeight="false" outlineLevel="0" collapsed="false">
      <c r="A2696" s="32" t="n">
        <v>2689</v>
      </c>
      <c r="B2696" s="33" t="n">
        <v>652843</v>
      </c>
      <c r="C2696" s="34" t="s">
        <v>5463</v>
      </c>
      <c r="D2696" s="34" t="s">
        <v>5464</v>
      </c>
      <c r="E2696" s="34" t="s">
        <v>54</v>
      </c>
      <c r="F2696" s="32" t="n">
        <f aca="false">COUNTIF(Base!$D$2:$D$2878,B2696)</f>
        <v>1</v>
      </c>
      <c r="G2696" s="35" t="n">
        <f aca="false">SUMIF(Base!$D$2:$D$2878,B2696,Base!$I$2:$I$2878)</f>
        <v>19.36</v>
      </c>
      <c r="H2696" s="36" t="n">
        <f aca="false">IF($G$2849=0,0,G2696/$G$2849)</f>
        <v>1.27044630165154E-006</v>
      </c>
      <c r="I2696" s="37" t="n">
        <f aca="false">I2695+H2696</f>
        <v>0.999907571094221</v>
      </c>
      <c r="J2696" s="37" t="n">
        <f aca="false">A2696/2840</f>
        <v>0.946830985915493</v>
      </c>
      <c r="K2696" s="32" t="str">
        <f aca="false">IF(I2696&lt;=$E$4,"A",IF(I2696&lt;=$E$5,"B","C"))</f>
        <v>C</v>
      </c>
    </row>
    <row r="2697" customFormat="false" ht="15" hidden="false" customHeight="false" outlineLevel="0" collapsed="false">
      <c r="A2697" s="32" t="n">
        <v>2690</v>
      </c>
      <c r="B2697" s="33" t="n">
        <v>19504</v>
      </c>
      <c r="C2697" s="34" t="s">
        <v>5465</v>
      </c>
      <c r="D2697" s="34" t="s">
        <v>5466</v>
      </c>
      <c r="E2697" s="34" t="s">
        <v>1095</v>
      </c>
      <c r="F2697" s="32" t="n">
        <f aca="false">COUNTIF(Base!$D$2:$D$2878,B2697)</f>
        <v>1</v>
      </c>
      <c r="G2697" s="35" t="n">
        <f aca="false">SUMIF(Base!$D$2:$D$2878,B2697,Base!$I$2:$I$2878)</f>
        <v>19.19</v>
      </c>
      <c r="H2697" s="36" t="n">
        <f aca="false">IF($G$2849=0,0,G2697/$G$2849)</f>
        <v>1.25929052317629E-006</v>
      </c>
      <c r="I2697" s="37" t="n">
        <f aca="false">I2696+H2697</f>
        <v>0.999908830384744</v>
      </c>
      <c r="J2697" s="37" t="n">
        <f aca="false">A2697/2840</f>
        <v>0.947183098591549</v>
      </c>
      <c r="K2697" s="32" t="str">
        <f aca="false">IF(I2697&lt;=$E$4,"A",IF(I2697&lt;=$E$5,"B","C"))</f>
        <v>C</v>
      </c>
    </row>
    <row r="2698" customFormat="false" ht="15" hidden="false" customHeight="false" outlineLevel="0" collapsed="false">
      <c r="A2698" s="32" t="n">
        <v>2691</v>
      </c>
      <c r="B2698" s="33" t="n">
        <v>1615085</v>
      </c>
      <c r="C2698" s="34" t="s">
        <v>5467</v>
      </c>
      <c r="D2698" s="34" t="s">
        <v>5468</v>
      </c>
      <c r="E2698" s="34" t="s">
        <v>38</v>
      </c>
      <c r="F2698" s="32" t="n">
        <f aca="false">COUNTIF(Base!$D$2:$D$2878,B2698)</f>
        <v>1</v>
      </c>
      <c r="G2698" s="35" t="n">
        <f aca="false">SUMIF(Base!$D$2:$D$2878,B2698,Base!$I$2:$I$2878)</f>
        <v>18.78</v>
      </c>
      <c r="H2698" s="36" t="n">
        <f aca="false">IF($G$2849=0,0,G2698/$G$2849)</f>
        <v>1.23238541038305E-006</v>
      </c>
      <c r="I2698" s="37" t="n">
        <f aca="false">I2697+H2698</f>
        <v>0.999910062770154</v>
      </c>
      <c r="J2698" s="37" t="n">
        <f aca="false">A2698/2840</f>
        <v>0.947535211267606</v>
      </c>
      <c r="K2698" s="32" t="str">
        <f aca="false">IF(I2698&lt;=$E$4,"A",IF(I2698&lt;=$E$5,"B","C"))</f>
        <v>C</v>
      </c>
    </row>
    <row r="2699" customFormat="false" ht="15" hidden="false" customHeight="false" outlineLevel="0" collapsed="false">
      <c r="A2699" s="32" t="n">
        <v>2692</v>
      </c>
      <c r="B2699" s="33" t="n">
        <v>22320</v>
      </c>
      <c r="C2699" s="34" t="s">
        <v>5469</v>
      </c>
      <c r="D2699" s="34" t="s">
        <v>5470</v>
      </c>
      <c r="E2699" s="34" t="s">
        <v>38</v>
      </c>
      <c r="F2699" s="32" t="n">
        <f aca="false">COUNTIF(Base!$D$2:$D$2878,B2699)</f>
        <v>1</v>
      </c>
      <c r="G2699" s="35" t="n">
        <f aca="false">SUMIF(Base!$D$2:$D$2878,B2699,Base!$I$2:$I$2878)</f>
        <v>18</v>
      </c>
      <c r="H2699" s="36" t="n">
        <f aca="false">IF($G$2849=0,0,G2699/$G$2849)</f>
        <v>1.18120007384957E-006</v>
      </c>
      <c r="I2699" s="37" t="n">
        <f aca="false">I2698+H2699</f>
        <v>0.999911243970228</v>
      </c>
      <c r="J2699" s="37" t="n">
        <f aca="false">A2699/2840</f>
        <v>0.947887323943662</v>
      </c>
      <c r="K2699" s="32" t="str">
        <f aca="false">IF(I2699&lt;=$E$4,"A",IF(I2699&lt;=$E$5,"B","C"))</f>
        <v>C</v>
      </c>
    </row>
    <row r="2700" customFormat="false" ht="15" hidden="false" customHeight="false" outlineLevel="0" collapsed="false">
      <c r="A2700" s="32" t="n">
        <v>2693</v>
      </c>
      <c r="B2700" s="33" t="n">
        <v>833722</v>
      </c>
      <c r="C2700" s="34" t="s">
        <v>5471</v>
      </c>
      <c r="D2700" s="34" t="s">
        <v>5472</v>
      </c>
      <c r="E2700" s="34" t="s">
        <v>2056</v>
      </c>
      <c r="F2700" s="32" t="n">
        <f aca="false">COUNTIF(Base!$D$2:$D$2878,B2700)</f>
        <v>1</v>
      </c>
      <c r="G2700" s="35" t="n">
        <f aca="false">SUMIF(Base!$D$2:$D$2878,B2700,Base!$I$2:$I$2878)</f>
        <v>18</v>
      </c>
      <c r="H2700" s="36" t="n">
        <f aca="false">IF($G$2849=0,0,G2700/$G$2849)</f>
        <v>1.18120007384957E-006</v>
      </c>
      <c r="I2700" s="37" t="n">
        <f aca="false">I2699+H2700</f>
        <v>0.999912425170302</v>
      </c>
      <c r="J2700" s="37" t="n">
        <f aca="false">A2700/2840</f>
        <v>0.948239436619718</v>
      </c>
      <c r="K2700" s="32" t="str">
        <f aca="false">IF(I2700&lt;=$E$4,"A",IF(I2700&lt;=$E$5,"B","C"))</f>
        <v>C</v>
      </c>
    </row>
    <row r="2701" customFormat="false" ht="15" hidden="false" customHeight="false" outlineLevel="0" collapsed="false">
      <c r="A2701" s="32" t="n">
        <v>2694</v>
      </c>
      <c r="B2701" s="33" t="n">
        <v>1077620</v>
      </c>
      <c r="C2701" s="34" t="s">
        <v>5473</v>
      </c>
      <c r="D2701" s="34" t="s">
        <v>5474</v>
      </c>
      <c r="E2701" s="34" t="s">
        <v>705</v>
      </c>
      <c r="F2701" s="32" t="n">
        <f aca="false">COUNTIF(Base!$D$2:$D$2878,B2701)</f>
        <v>1</v>
      </c>
      <c r="G2701" s="35" t="n">
        <f aca="false">SUMIF(Base!$D$2:$D$2878,B2701,Base!$I$2:$I$2878)</f>
        <v>18</v>
      </c>
      <c r="H2701" s="36" t="n">
        <f aca="false">IF($G$2849=0,0,G2701/$G$2849)</f>
        <v>1.18120007384957E-006</v>
      </c>
      <c r="I2701" s="37" t="n">
        <f aca="false">I2700+H2701</f>
        <v>0.999913606370376</v>
      </c>
      <c r="J2701" s="37" t="n">
        <f aca="false">A2701/2840</f>
        <v>0.948591549295775</v>
      </c>
      <c r="K2701" s="32" t="str">
        <f aca="false">IF(I2701&lt;=$E$4,"A",IF(I2701&lt;=$E$5,"B","C"))</f>
        <v>C</v>
      </c>
    </row>
    <row r="2702" customFormat="false" ht="15" hidden="false" customHeight="false" outlineLevel="0" collapsed="false">
      <c r="A2702" s="32" t="n">
        <v>2695</v>
      </c>
      <c r="B2702" s="33" t="n">
        <v>1321360</v>
      </c>
      <c r="C2702" s="34" t="s">
        <v>5475</v>
      </c>
      <c r="D2702" s="34" t="s">
        <v>5476</v>
      </c>
      <c r="E2702" s="34" t="s">
        <v>38</v>
      </c>
      <c r="F2702" s="32" t="n">
        <f aca="false">COUNTIF(Base!$D$2:$D$2878,B2702)</f>
        <v>1</v>
      </c>
      <c r="G2702" s="35" t="n">
        <f aca="false">SUMIF(Base!$D$2:$D$2878,B2702,Base!$I$2:$I$2878)</f>
        <v>18</v>
      </c>
      <c r="H2702" s="36" t="n">
        <f aca="false">IF($G$2849=0,0,G2702/$G$2849)</f>
        <v>1.18120007384957E-006</v>
      </c>
      <c r="I2702" s="37" t="n">
        <f aca="false">I2701+H2702</f>
        <v>0.99991478757045</v>
      </c>
      <c r="J2702" s="37" t="n">
        <f aca="false">A2702/2840</f>
        <v>0.948943661971831</v>
      </c>
      <c r="K2702" s="32" t="str">
        <f aca="false">IF(I2702&lt;=$E$4,"A",IF(I2702&lt;=$E$5,"B","C"))</f>
        <v>C</v>
      </c>
    </row>
    <row r="2703" customFormat="false" ht="15" hidden="false" customHeight="false" outlineLevel="0" collapsed="false">
      <c r="A2703" s="32" t="n">
        <v>2696</v>
      </c>
      <c r="B2703" s="33" t="n">
        <v>1461938</v>
      </c>
      <c r="C2703" s="34" t="s">
        <v>5477</v>
      </c>
      <c r="D2703" s="34" t="s">
        <v>5478</v>
      </c>
      <c r="E2703" s="34" t="s">
        <v>38</v>
      </c>
      <c r="F2703" s="32" t="n">
        <f aca="false">COUNTIF(Base!$D$2:$D$2878,B2703)</f>
        <v>1</v>
      </c>
      <c r="G2703" s="35" t="n">
        <f aca="false">SUMIF(Base!$D$2:$D$2878,B2703,Base!$I$2:$I$2878)</f>
        <v>18</v>
      </c>
      <c r="H2703" s="36" t="n">
        <f aca="false">IF($G$2849=0,0,G2703/$G$2849)</f>
        <v>1.18120007384957E-006</v>
      </c>
      <c r="I2703" s="37" t="n">
        <f aca="false">I2702+H2703</f>
        <v>0.999915968770524</v>
      </c>
      <c r="J2703" s="37" t="n">
        <f aca="false">A2703/2840</f>
        <v>0.949295774647887</v>
      </c>
      <c r="K2703" s="32" t="str">
        <f aca="false">IF(I2703&lt;=$E$4,"A",IF(I2703&lt;=$E$5,"B","C"))</f>
        <v>C</v>
      </c>
    </row>
    <row r="2704" customFormat="false" ht="15" hidden="false" customHeight="false" outlineLevel="0" collapsed="false">
      <c r="A2704" s="32" t="n">
        <v>2697</v>
      </c>
      <c r="B2704" s="33" t="n">
        <v>1461854</v>
      </c>
      <c r="C2704" s="34" t="s">
        <v>5479</v>
      </c>
      <c r="D2704" s="34" t="s">
        <v>5480</v>
      </c>
      <c r="E2704" s="34" t="s">
        <v>100</v>
      </c>
      <c r="F2704" s="32" t="n">
        <f aca="false">COUNTIF(Base!$D$2:$D$2878,B2704)</f>
        <v>1</v>
      </c>
      <c r="G2704" s="35" t="n">
        <f aca="false">SUMIF(Base!$D$2:$D$2878,B2704,Base!$I$2:$I$2878)</f>
        <v>17.96</v>
      </c>
      <c r="H2704" s="36" t="n">
        <f aca="false">IF($G$2849=0,0,G2704/$G$2849)</f>
        <v>1.17857518479657E-006</v>
      </c>
      <c r="I2704" s="37" t="n">
        <f aca="false">I2703+H2704</f>
        <v>0.999917147345708</v>
      </c>
      <c r="J2704" s="37" t="n">
        <f aca="false">A2704/2840</f>
        <v>0.949647887323944</v>
      </c>
      <c r="K2704" s="32" t="str">
        <f aca="false">IF(I2704&lt;=$E$4,"A",IF(I2704&lt;=$E$5,"B","C"))</f>
        <v>C</v>
      </c>
    </row>
    <row r="2705" customFormat="false" ht="15" hidden="false" customHeight="false" outlineLevel="0" collapsed="false">
      <c r="A2705" s="32" t="n">
        <v>2698</v>
      </c>
      <c r="B2705" s="33" t="n">
        <v>1660994</v>
      </c>
      <c r="C2705" s="34" t="s">
        <v>5481</v>
      </c>
      <c r="D2705" s="34" t="s">
        <v>5482</v>
      </c>
      <c r="E2705" s="34" t="s">
        <v>38</v>
      </c>
      <c r="F2705" s="32" t="n">
        <f aca="false">COUNTIF(Base!$D$2:$D$2878,B2705)</f>
        <v>1</v>
      </c>
      <c r="G2705" s="35" t="n">
        <f aca="false">SUMIF(Base!$D$2:$D$2878,B2705,Base!$I$2:$I$2878)</f>
        <v>17.78</v>
      </c>
      <c r="H2705" s="36" t="n">
        <f aca="false">IF($G$2849=0,0,G2705/$G$2849)</f>
        <v>1.16676318405807E-006</v>
      </c>
      <c r="I2705" s="37" t="n">
        <f aca="false">I2704+H2705</f>
        <v>0.999918314108892</v>
      </c>
      <c r="J2705" s="37" t="n">
        <f aca="false">A2705/2840</f>
        <v>0.95</v>
      </c>
      <c r="K2705" s="32" t="str">
        <f aca="false">IF(I2705&lt;=$E$4,"A",IF(I2705&lt;=$E$5,"B","C"))</f>
        <v>C</v>
      </c>
    </row>
    <row r="2706" customFormat="false" ht="15" hidden="false" customHeight="false" outlineLevel="0" collapsed="false">
      <c r="A2706" s="32" t="n">
        <v>2699</v>
      </c>
      <c r="B2706" s="33" t="n">
        <v>58865</v>
      </c>
      <c r="C2706" s="34" t="s">
        <v>5483</v>
      </c>
      <c r="D2706" s="34" t="s">
        <v>5484</v>
      </c>
      <c r="E2706" s="34" t="s">
        <v>1618</v>
      </c>
      <c r="F2706" s="32" t="n">
        <f aca="false">COUNTIF(Base!$D$2:$D$2878,B2706)</f>
        <v>1</v>
      </c>
      <c r="G2706" s="35" t="n">
        <f aca="false">SUMIF(Base!$D$2:$D$2878,B2706,Base!$I$2:$I$2878)</f>
        <v>17.57</v>
      </c>
      <c r="H2706" s="36" t="n">
        <f aca="false">IF($G$2849=0,0,G2706/$G$2849)</f>
        <v>1.15298251652983E-006</v>
      </c>
      <c r="I2706" s="37" t="n">
        <f aca="false">I2705+H2706</f>
        <v>0.999919467091409</v>
      </c>
      <c r="J2706" s="37" t="n">
        <f aca="false">A2706/2840</f>
        <v>0.950352112676056</v>
      </c>
      <c r="K2706" s="32" t="str">
        <f aca="false">IF(I2706&lt;=$E$4,"A",IF(I2706&lt;=$E$5,"B","C"))</f>
        <v>C</v>
      </c>
    </row>
    <row r="2707" customFormat="false" ht="15" hidden="false" customHeight="false" outlineLevel="0" collapsed="false">
      <c r="A2707" s="32" t="n">
        <v>2700</v>
      </c>
      <c r="B2707" s="33" t="n">
        <v>875291</v>
      </c>
      <c r="C2707" s="34" t="s">
        <v>5485</v>
      </c>
      <c r="D2707" s="34" t="s">
        <v>5486</v>
      </c>
      <c r="E2707" s="34" t="s">
        <v>130</v>
      </c>
      <c r="F2707" s="32" t="n">
        <f aca="false">COUNTIF(Base!$D$2:$D$2878,B2707)</f>
        <v>1</v>
      </c>
      <c r="G2707" s="35" t="n">
        <f aca="false">SUMIF(Base!$D$2:$D$2878,B2707,Base!$I$2:$I$2878)</f>
        <v>17.48</v>
      </c>
      <c r="H2707" s="36" t="n">
        <f aca="false">IF($G$2849=0,0,G2707/$G$2849)</f>
        <v>1.14707651616058E-006</v>
      </c>
      <c r="I2707" s="37" t="n">
        <f aca="false">I2706+H2707</f>
        <v>0.999920614167925</v>
      </c>
      <c r="J2707" s="37" t="n">
        <f aca="false">A2707/2840</f>
        <v>0.950704225352113</v>
      </c>
      <c r="K2707" s="32" t="str">
        <f aca="false">IF(I2707&lt;=$E$4,"A",IF(I2707&lt;=$E$5,"B","C"))</f>
        <v>C</v>
      </c>
    </row>
    <row r="2708" customFormat="false" ht="15" hidden="false" customHeight="false" outlineLevel="0" collapsed="false">
      <c r="A2708" s="32" t="n">
        <v>2701</v>
      </c>
      <c r="B2708" s="33" t="n">
        <v>1614510</v>
      </c>
      <c r="C2708" s="34" t="s">
        <v>5487</v>
      </c>
      <c r="D2708" s="34" t="s">
        <v>5488</v>
      </c>
      <c r="E2708" s="34" t="s">
        <v>38</v>
      </c>
      <c r="F2708" s="32" t="n">
        <f aca="false">COUNTIF(Base!$D$2:$D$2878,B2708)</f>
        <v>1</v>
      </c>
      <c r="G2708" s="35" t="n">
        <f aca="false">SUMIF(Base!$D$2:$D$2878,B2708,Base!$I$2:$I$2878)</f>
        <v>17.16</v>
      </c>
      <c r="H2708" s="36" t="n">
        <f aca="false">IF($G$2849=0,0,G2708/$G$2849)</f>
        <v>1.12607740373659E-006</v>
      </c>
      <c r="I2708" s="37" t="n">
        <f aca="false">I2707+H2708</f>
        <v>0.999921740245329</v>
      </c>
      <c r="J2708" s="37" t="n">
        <f aca="false">A2708/2840</f>
        <v>0.951056338028169</v>
      </c>
      <c r="K2708" s="32" t="str">
        <f aca="false">IF(I2708&lt;=$E$4,"A",IF(I2708&lt;=$E$5,"B","C"))</f>
        <v>C</v>
      </c>
    </row>
    <row r="2709" customFormat="false" ht="15" hidden="false" customHeight="false" outlineLevel="0" collapsed="false">
      <c r="A2709" s="32" t="n">
        <v>2702</v>
      </c>
      <c r="B2709" s="33" t="n">
        <v>14667</v>
      </c>
      <c r="C2709" s="34" t="s">
        <v>5489</v>
      </c>
      <c r="D2709" s="34" t="s">
        <v>5490</v>
      </c>
      <c r="E2709" s="34" t="s">
        <v>54</v>
      </c>
      <c r="F2709" s="32" t="n">
        <f aca="false">COUNTIF(Base!$D$2:$D$2878,B2709)</f>
        <v>1</v>
      </c>
      <c r="G2709" s="35" t="n">
        <f aca="false">SUMIF(Base!$D$2:$D$2878,B2709,Base!$I$2:$I$2878)</f>
        <v>16.98</v>
      </c>
      <c r="H2709" s="36" t="n">
        <f aca="false">IF($G$2849=0,0,G2709/$G$2849)</f>
        <v>1.11426540299809E-006</v>
      </c>
      <c r="I2709" s="37" t="n">
        <f aca="false">I2708+H2709</f>
        <v>0.999922854510732</v>
      </c>
      <c r="J2709" s="37" t="n">
        <f aca="false">A2709/2840</f>
        <v>0.951408450704225</v>
      </c>
      <c r="K2709" s="32" t="str">
        <f aca="false">IF(I2709&lt;=$E$4,"A",IF(I2709&lt;=$E$5,"B","C"))</f>
        <v>C</v>
      </c>
    </row>
    <row r="2710" customFormat="false" ht="15" hidden="false" customHeight="false" outlineLevel="0" collapsed="false">
      <c r="A2710" s="32" t="n">
        <v>2703</v>
      </c>
      <c r="B2710" s="33" t="n">
        <v>1011492</v>
      </c>
      <c r="C2710" s="34" t="s">
        <v>5491</v>
      </c>
      <c r="D2710" s="34" t="s">
        <v>5492</v>
      </c>
      <c r="E2710" s="34" t="s">
        <v>363</v>
      </c>
      <c r="F2710" s="32" t="n">
        <f aca="false">COUNTIF(Base!$D$2:$D$2878,B2710)</f>
        <v>1</v>
      </c>
      <c r="G2710" s="35" t="n">
        <f aca="false">SUMIF(Base!$D$2:$D$2878,B2710,Base!$I$2:$I$2878)</f>
        <v>16.98</v>
      </c>
      <c r="H2710" s="36" t="n">
        <f aca="false">IF($G$2849=0,0,G2710/$G$2849)</f>
        <v>1.11426540299809E-006</v>
      </c>
      <c r="I2710" s="37" t="n">
        <f aca="false">I2709+H2710</f>
        <v>0.999923968776135</v>
      </c>
      <c r="J2710" s="37" t="n">
        <f aca="false">A2710/2840</f>
        <v>0.951760563380282</v>
      </c>
      <c r="K2710" s="32" t="str">
        <f aca="false">IF(I2710&lt;=$E$4,"A",IF(I2710&lt;=$E$5,"B","C"))</f>
        <v>C</v>
      </c>
    </row>
    <row r="2711" customFormat="false" ht="15" hidden="false" customHeight="false" outlineLevel="0" collapsed="false">
      <c r="A2711" s="32" t="n">
        <v>2704</v>
      </c>
      <c r="B2711" s="33" t="n">
        <v>835775</v>
      </c>
      <c r="C2711" s="34" t="s">
        <v>5493</v>
      </c>
      <c r="D2711" s="34" t="s">
        <v>5494</v>
      </c>
      <c r="E2711" s="34" t="s">
        <v>130</v>
      </c>
      <c r="F2711" s="32" t="n">
        <f aca="false">COUNTIF(Base!$D$2:$D$2878,B2711)</f>
        <v>1</v>
      </c>
      <c r="G2711" s="35" t="n">
        <f aca="false">SUMIF(Base!$D$2:$D$2878,B2711,Base!$I$2:$I$2878)</f>
        <v>16.8</v>
      </c>
      <c r="H2711" s="36" t="n">
        <f aca="false">IF($G$2849=0,0,G2711/$G$2849)</f>
        <v>1.1024534022596E-006</v>
      </c>
      <c r="I2711" s="37" t="n">
        <f aca="false">I2710+H2711</f>
        <v>0.999925071229537</v>
      </c>
      <c r="J2711" s="37" t="n">
        <f aca="false">A2711/2840</f>
        <v>0.952112676056338</v>
      </c>
      <c r="K2711" s="32" t="str">
        <f aca="false">IF(I2711&lt;=$E$4,"A",IF(I2711&lt;=$E$5,"B","C"))</f>
        <v>C</v>
      </c>
    </row>
    <row r="2712" customFormat="false" ht="15" hidden="false" customHeight="false" outlineLevel="0" collapsed="false">
      <c r="A2712" s="32" t="n">
        <v>2705</v>
      </c>
      <c r="B2712" s="33" t="n">
        <v>957093</v>
      </c>
      <c r="C2712" s="34" t="s">
        <v>5495</v>
      </c>
      <c r="D2712" s="34" t="s">
        <v>5496</v>
      </c>
      <c r="E2712" s="34" t="s">
        <v>100</v>
      </c>
      <c r="F2712" s="32" t="n">
        <f aca="false">COUNTIF(Base!$D$2:$D$2878,B2712)</f>
        <v>1</v>
      </c>
      <c r="G2712" s="35" t="n">
        <f aca="false">SUMIF(Base!$D$2:$D$2878,B2712,Base!$I$2:$I$2878)</f>
        <v>16.8</v>
      </c>
      <c r="H2712" s="36" t="n">
        <f aca="false">IF($G$2849=0,0,G2712/$G$2849)</f>
        <v>1.1024534022596E-006</v>
      </c>
      <c r="I2712" s="37" t="n">
        <f aca="false">I2711+H2712</f>
        <v>0.999926173682939</v>
      </c>
      <c r="J2712" s="37" t="n">
        <f aca="false">A2712/2840</f>
        <v>0.952464788732394</v>
      </c>
      <c r="K2712" s="32" t="str">
        <f aca="false">IF(I2712&lt;=$E$4,"A",IF(I2712&lt;=$E$5,"B","C"))</f>
        <v>C</v>
      </c>
    </row>
    <row r="2713" customFormat="false" ht="15" hidden="false" customHeight="false" outlineLevel="0" collapsed="false">
      <c r="A2713" s="32" t="n">
        <v>2706</v>
      </c>
      <c r="B2713" s="33" t="n">
        <v>17936</v>
      </c>
      <c r="C2713" s="34" t="s">
        <v>5497</v>
      </c>
      <c r="D2713" s="34" t="s">
        <v>5498</v>
      </c>
      <c r="E2713" s="34" t="s">
        <v>130</v>
      </c>
      <c r="F2713" s="32" t="n">
        <f aca="false">COUNTIF(Base!$D$2:$D$2878,B2713)</f>
        <v>1</v>
      </c>
      <c r="G2713" s="35" t="n">
        <f aca="false">SUMIF(Base!$D$2:$D$2878,B2713,Base!$I$2:$I$2878)</f>
        <v>16.7</v>
      </c>
      <c r="H2713" s="36" t="n">
        <f aca="false">IF($G$2849=0,0,G2713/$G$2849)</f>
        <v>1.0958911796271E-006</v>
      </c>
      <c r="I2713" s="37" t="n">
        <f aca="false">I2712+H2713</f>
        <v>0.999927269574119</v>
      </c>
      <c r="J2713" s="37" t="n">
        <f aca="false">A2713/2840</f>
        <v>0.952816901408451</v>
      </c>
      <c r="K2713" s="32" t="str">
        <f aca="false">IF(I2713&lt;=$E$4,"A",IF(I2713&lt;=$E$5,"B","C"))</f>
        <v>C</v>
      </c>
    </row>
    <row r="2714" customFormat="false" ht="15" hidden="false" customHeight="false" outlineLevel="0" collapsed="false">
      <c r="A2714" s="32" t="n">
        <v>2707</v>
      </c>
      <c r="B2714" s="33" t="n">
        <v>1099818</v>
      </c>
      <c r="C2714" s="34" t="s">
        <v>5499</v>
      </c>
      <c r="D2714" s="34" t="s">
        <v>5500</v>
      </c>
      <c r="E2714" s="34" t="s">
        <v>54</v>
      </c>
      <c r="F2714" s="32" t="n">
        <f aca="false">COUNTIF(Base!$D$2:$D$2878,B2714)</f>
        <v>1</v>
      </c>
      <c r="G2714" s="35" t="n">
        <f aca="false">SUMIF(Base!$D$2:$D$2878,B2714,Base!$I$2:$I$2878)</f>
        <v>16.48</v>
      </c>
      <c r="H2714" s="36" t="n">
        <f aca="false">IF($G$2849=0,0,G2714/$G$2849)</f>
        <v>1.0814542898356E-006</v>
      </c>
      <c r="I2714" s="37" t="n">
        <f aca="false">I2713+H2714</f>
        <v>0.999928351028409</v>
      </c>
      <c r="J2714" s="37" t="n">
        <f aca="false">A2714/2840</f>
        <v>0.953169014084507</v>
      </c>
      <c r="K2714" s="32" t="str">
        <f aca="false">IF(I2714&lt;=$E$4,"A",IF(I2714&lt;=$E$5,"B","C"))</f>
        <v>C</v>
      </c>
    </row>
    <row r="2715" customFormat="false" ht="15" hidden="false" customHeight="false" outlineLevel="0" collapsed="false">
      <c r="A2715" s="32" t="n">
        <v>2708</v>
      </c>
      <c r="B2715" s="33" t="n">
        <v>878930</v>
      </c>
      <c r="C2715" s="34" t="s">
        <v>5501</v>
      </c>
      <c r="D2715" s="34" t="s">
        <v>5502</v>
      </c>
      <c r="E2715" s="34" t="s">
        <v>2056</v>
      </c>
      <c r="F2715" s="32" t="n">
        <f aca="false">COUNTIF(Base!$D$2:$D$2878,B2715)</f>
        <v>1</v>
      </c>
      <c r="G2715" s="35" t="n">
        <f aca="false">SUMIF(Base!$D$2:$D$2878,B2715,Base!$I$2:$I$2878)</f>
        <v>16.45</v>
      </c>
      <c r="H2715" s="36" t="n">
        <f aca="false">IF($G$2849=0,0,G2715/$G$2849)</f>
        <v>1.07948562304586E-006</v>
      </c>
      <c r="I2715" s="37" t="n">
        <f aca="false">I2714+H2715</f>
        <v>0.999929430514032</v>
      </c>
      <c r="J2715" s="37" t="n">
        <f aca="false">A2715/2840</f>
        <v>0.953521126760563</v>
      </c>
      <c r="K2715" s="32" t="str">
        <f aca="false">IF(I2715&lt;=$E$4,"A",IF(I2715&lt;=$E$5,"B","C"))</f>
        <v>C</v>
      </c>
    </row>
    <row r="2716" customFormat="false" ht="15" hidden="false" customHeight="false" outlineLevel="0" collapsed="false">
      <c r="A2716" s="32" t="n">
        <v>2709</v>
      </c>
      <c r="B2716" s="33" t="n">
        <v>552789</v>
      </c>
      <c r="C2716" s="34" t="s">
        <v>5503</v>
      </c>
      <c r="D2716" s="34" t="s">
        <v>5504</v>
      </c>
      <c r="E2716" s="34" t="s">
        <v>38</v>
      </c>
      <c r="F2716" s="32" t="n">
        <f aca="false">COUNTIF(Base!$D$2:$D$2878,B2716)</f>
        <v>1</v>
      </c>
      <c r="G2716" s="35" t="n">
        <f aca="false">SUMIF(Base!$D$2:$D$2878,B2716,Base!$I$2:$I$2878)</f>
        <v>16.44</v>
      </c>
      <c r="H2716" s="36" t="n">
        <f aca="false">IF($G$2849=0,0,G2716/$G$2849)</f>
        <v>1.07882940078261E-006</v>
      </c>
      <c r="I2716" s="37" t="n">
        <f aca="false">I2715+H2716</f>
        <v>0.999930509343432</v>
      </c>
      <c r="J2716" s="37" t="n">
        <f aca="false">A2716/2840</f>
        <v>0.95387323943662</v>
      </c>
      <c r="K2716" s="32" t="str">
        <f aca="false">IF(I2716&lt;=$E$4,"A",IF(I2716&lt;=$E$5,"B","C"))</f>
        <v>C</v>
      </c>
    </row>
    <row r="2717" customFormat="false" ht="15" hidden="false" customHeight="false" outlineLevel="0" collapsed="false">
      <c r="A2717" s="32" t="n">
        <v>2710</v>
      </c>
      <c r="B2717" s="33" t="n">
        <v>389032</v>
      </c>
      <c r="C2717" s="34" t="s">
        <v>5505</v>
      </c>
      <c r="D2717" s="34" t="s">
        <v>5506</v>
      </c>
      <c r="E2717" s="34" t="s">
        <v>189</v>
      </c>
      <c r="F2717" s="32" t="n">
        <f aca="false">COUNTIF(Base!$D$2:$D$2878,B2717)</f>
        <v>1</v>
      </c>
      <c r="G2717" s="35" t="n">
        <f aca="false">SUMIF(Base!$D$2:$D$2878,B2717,Base!$I$2:$I$2878)</f>
        <v>16.4</v>
      </c>
      <c r="H2717" s="36" t="n">
        <f aca="false">IF($G$2849=0,0,G2717/$G$2849)</f>
        <v>1.07620451172961E-006</v>
      </c>
      <c r="I2717" s="37" t="n">
        <f aca="false">I2716+H2717</f>
        <v>0.999931585547944</v>
      </c>
      <c r="J2717" s="37" t="n">
        <f aca="false">A2717/2840</f>
        <v>0.954225352112676</v>
      </c>
      <c r="K2717" s="32" t="str">
        <f aca="false">IF(I2717&lt;=$E$4,"A",IF(I2717&lt;=$E$5,"B","C"))</f>
        <v>C</v>
      </c>
    </row>
    <row r="2718" customFormat="false" ht="15" hidden="false" customHeight="false" outlineLevel="0" collapsed="false">
      <c r="A2718" s="32" t="n">
        <v>2711</v>
      </c>
      <c r="B2718" s="33" t="n">
        <v>17961</v>
      </c>
      <c r="C2718" s="34" t="s">
        <v>5507</v>
      </c>
      <c r="D2718" s="34" t="s">
        <v>5508</v>
      </c>
      <c r="E2718" s="34" t="s">
        <v>130</v>
      </c>
      <c r="F2718" s="32" t="n">
        <f aca="false">COUNTIF(Base!$D$2:$D$2878,B2718)</f>
        <v>1</v>
      </c>
      <c r="G2718" s="35" t="n">
        <f aca="false">SUMIF(Base!$D$2:$D$2878,B2718,Base!$I$2:$I$2878)</f>
        <v>16.2</v>
      </c>
      <c r="H2718" s="36" t="n">
        <f aca="false">IF($G$2849=0,0,G2718/$G$2849)</f>
        <v>1.06308006646461E-006</v>
      </c>
      <c r="I2718" s="37" t="n">
        <f aca="false">I2717+H2718</f>
        <v>0.999932648628011</v>
      </c>
      <c r="J2718" s="37" t="n">
        <f aca="false">A2718/2840</f>
        <v>0.954577464788732</v>
      </c>
      <c r="K2718" s="32" t="str">
        <f aca="false">IF(I2718&lt;=$E$4,"A",IF(I2718&lt;=$E$5,"B","C"))</f>
        <v>C</v>
      </c>
    </row>
    <row r="2719" customFormat="false" ht="15" hidden="false" customHeight="false" outlineLevel="0" collapsed="false">
      <c r="A2719" s="32" t="n">
        <v>2712</v>
      </c>
      <c r="B2719" s="33" t="n">
        <v>1479314</v>
      </c>
      <c r="C2719" s="34" t="s">
        <v>5509</v>
      </c>
      <c r="D2719" s="34" t="s">
        <v>5510</v>
      </c>
      <c r="E2719" s="34" t="s">
        <v>32</v>
      </c>
      <c r="F2719" s="32" t="n">
        <f aca="false">COUNTIF(Base!$D$2:$D$2878,B2719)</f>
        <v>1</v>
      </c>
      <c r="G2719" s="35" t="n">
        <f aca="false">SUMIF(Base!$D$2:$D$2878,B2719,Base!$I$2:$I$2878)</f>
        <v>15.68</v>
      </c>
      <c r="H2719" s="36" t="n">
        <f aca="false">IF($G$2849=0,0,G2719/$G$2849)</f>
        <v>1.02895650877562E-006</v>
      </c>
      <c r="I2719" s="37" t="n">
        <f aca="false">I2718+H2719</f>
        <v>0.999933677584519</v>
      </c>
      <c r="J2719" s="37" t="n">
        <f aca="false">A2719/2840</f>
        <v>0.954929577464789</v>
      </c>
      <c r="K2719" s="32" t="str">
        <f aca="false">IF(I2719&lt;=$E$4,"A",IF(I2719&lt;=$E$5,"B","C"))</f>
        <v>C</v>
      </c>
    </row>
    <row r="2720" customFormat="false" ht="15" hidden="false" customHeight="false" outlineLevel="0" collapsed="false">
      <c r="A2720" s="32" t="n">
        <v>2713</v>
      </c>
      <c r="B2720" s="33" t="n">
        <v>651219</v>
      </c>
      <c r="C2720" s="34" t="s">
        <v>5511</v>
      </c>
      <c r="D2720" s="34" t="s">
        <v>5512</v>
      </c>
      <c r="E2720" s="34" t="s">
        <v>100</v>
      </c>
      <c r="F2720" s="32" t="n">
        <f aca="false">COUNTIF(Base!$D$2:$D$2878,B2720)</f>
        <v>1</v>
      </c>
      <c r="G2720" s="35" t="n">
        <f aca="false">SUMIF(Base!$D$2:$D$2878,B2720,Base!$I$2:$I$2878)</f>
        <v>15.6</v>
      </c>
      <c r="H2720" s="36" t="n">
        <f aca="false">IF($G$2849=0,0,G2720/$G$2849)</f>
        <v>1.02370673066963E-006</v>
      </c>
      <c r="I2720" s="37" t="n">
        <f aca="false">I2719+H2720</f>
        <v>0.99993470129125</v>
      </c>
      <c r="J2720" s="37" t="n">
        <f aca="false">A2720/2840</f>
        <v>0.955281690140845</v>
      </c>
      <c r="K2720" s="32" t="str">
        <f aca="false">IF(I2720&lt;=$E$4,"A",IF(I2720&lt;=$E$5,"B","C"))</f>
        <v>C</v>
      </c>
    </row>
    <row r="2721" customFormat="false" ht="15" hidden="false" customHeight="false" outlineLevel="0" collapsed="false">
      <c r="A2721" s="32" t="n">
        <v>2714</v>
      </c>
      <c r="B2721" s="33" t="n">
        <v>1384818</v>
      </c>
      <c r="C2721" s="34" t="s">
        <v>5513</v>
      </c>
      <c r="D2721" s="34" t="s">
        <v>5514</v>
      </c>
      <c r="E2721" s="34" t="s">
        <v>38</v>
      </c>
      <c r="F2721" s="32" t="n">
        <f aca="false">COUNTIF(Base!$D$2:$D$2878,B2721)</f>
        <v>1</v>
      </c>
      <c r="G2721" s="35" t="n">
        <f aca="false">SUMIF(Base!$D$2:$D$2878,B2721,Base!$I$2:$I$2878)</f>
        <v>15.59</v>
      </c>
      <c r="H2721" s="36" t="n">
        <f aca="false">IF($G$2849=0,0,G2721/$G$2849)</f>
        <v>1.02305050840638E-006</v>
      </c>
      <c r="I2721" s="37" t="n">
        <f aca="false">I2720+H2721</f>
        <v>0.999935724341759</v>
      </c>
      <c r="J2721" s="37" t="n">
        <f aca="false">A2721/2840</f>
        <v>0.955633802816901</v>
      </c>
      <c r="K2721" s="32" t="str">
        <f aca="false">IF(I2721&lt;=$E$4,"A",IF(I2721&lt;=$E$5,"B","C"))</f>
        <v>C</v>
      </c>
    </row>
    <row r="2722" customFormat="false" ht="15" hidden="false" customHeight="false" outlineLevel="0" collapsed="false">
      <c r="A2722" s="32" t="n">
        <v>2715</v>
      </c>
      <c r="B2722" s="33" t="n">
        <v>225543</v>
      </c>
      <c r="C2722" s="34" t="s">
        <v>5515</v>
      </c>
      <c r="D2722" s="34" t="s">
        <v>5516</v>
      </c>
      <c r="E2722" s="34" t="s">
        <v>2056</v>
      </c>
      <c r="F2722" s="32" t="n">
        <f aca="false">COUNTIF(Base!$D$2:$D$2878,B2722)</f>
        <v>1</v>
      </c>
      <c r="G2722" s="35" t="n">
        <f aca="false">SUMIF(Base!$D$2:$D$2878,B2722,Base!$I$2:$I$2878)</f>
        <v>15.44</v>
      </c>
      <c r="H2722" s="36" t="n">
        <f aca="false">IF($G$2849=0,0,G2722/$G$2849)</f>
        <v>1.01320717445763E-006</v>
      </c>
      <c r="I2722" s="37" t="n">
        <f aca="false">I2721+H2722</f>
        <v>0.999936737548933</v>
      </c>
      <c r="J2722" s="37" t="n">
        <f aca="false">A2722/2840</f>
        <v>0.955985915492958</v>
      </c>
      <c r="K2722" s="32" t="str">
        <f aca="false">IF(I2722&lt;=$E$4,"A",IF(I2722&lt;=$E$5,"B","C"))</f>
        <v>C</v>
      </c>
    </row>
    <row r="2723" customFormat="false" ht="15" hidden="false" customHeight="false" outlineLevel="0" collapsed="false">
      <c r="A2723" s="32" t="n">
        <v>2716</v>
      </c>
      <c r="B2723" s="33" t="n">
        <v>1662291</v>
      </c>
      <c r="C2723" s="34" t="s">
        <v>5517</v>
      </c>
      <c r="D2723" s="34" t="s">
        <v>5518</v>
      </c>
      <c r="E2723" s="34" t="s">
        <v>38</v>
      </c>
      <c r="F2723" s="32" t="n">
        <f aca="false">COUNTIF(Base!$D$2:$D$2878,B2723)</f>
        <v>1</v>
      </c>
      <c r="G2723" s="35" t="n">
        <f aca="false">SUMIF(Base!$D$2:$D$2878,B2723,Base!$I$2:$I$2878)</f>
        <v>15.36</v>
      </c>
      <c r="H2723" s="36" t="n">
        <f aca="false">IF($G$2849=0,0,G2723/$G$2849)</f>
        <v>1.00795739635163E-006</v>
      </c>
      <c r="I2723" s="37" t="n">
        <f aca="false">I2722+H2723</f>
        <v>0.999937745506329</v>
      </c>
      <c r="J2723" s="37" t="n">
        <f aca="false">A2723/2840</f>
        <v>0.956338028169014</v>
      </c>
      <c r="K2723" s="32" t="str">
        <f aca="false">IF(I2723&lt;=$E$4,"A",IF(I2723&lt;=$E$5,"B","C"))</f>
        <v>C</v>
      </c>
    </row>
    <row r="2724" customFormat="false" ht="15" hidden="false" customHeight="false" outlineLevel="0" collapsed="false">
      <c r="A2724" s="32" t="n">
        <v>2717</v>
      </c>
      <c r="B2724" s="33" t="n">
        <v>66011</v>
      </c>
      <c r="C2724" s="34" t="s">
        <v>5519</v>
      </c>
      <c r="D2724" s="34" t="s">
        <v>5520</v>
      </c>
      <c r="E2724" s="34" t="s">
        <v>262</v>
      </c>
      <c r="F2724" s="32" t="n">
        <f aca="false">COUNTIF(Base!$D$2:$D$2878,B2724)</f>
        <v>1</v>
      </c>
      <c r="G2724" s="35" t="n">
        <f aca="false">SUMIF(Base!$D$2:$D$2878,B2724,Base!$I$2:$I$2878)</f>
        <v>15.24</v>
      </c>
      <c r="H2724" s="36" t="n">
        <f aca="false">IF($G$2849=0,0,G2724/$G$2849)</f>
        <v>1.00008272919263E-006</v>
      </c>
      <c r="I2724" s="37" t="n">
        <f aca="false">I2723+H2724</f>
        <v>0.999938745589059</v>
      </c>
      <c r="J2724" s="37" t="n">
        <f aca="false">A2724/2840</f>
        <v>0.95669014084507</v>
      </c>
      <c r="K2724" s="32" t="str">
        <f aca="false">IF(I2724&lt;=$E$4,"A",IF(I2724&lt;=$E$5,"B","C"))</f>
        <v>C</v>
      </c>
    </row>
    <row r="2725" customFormat="false" ht="15" hidden="false" customHeight="false" outlineLevel="0" collapsed="false">
      <c r="A2725" s="32" t="n">
        <v>2718</v>
      </c>
      <c r="B2725" s="33" t="n">
        <v>1312599</v>
      </c>
      <c r="C2725" s="34" t="s">
        <v>5521</v>
      </c>
      <c r="D2725" s="34" t="s">
        <v>5522</v>
      </c>
      <c r="E2725" s="34" t="s">
        <v>189</v>
      </c>
      <c r="F2725" s="32" t="n">
        <f aca="false">COUNTIF(Base!$D$2:$D$2878,B2725)</f>
        <v>1</v>
      </c>
      <c r="G2725" s="35" t="n">
        <f aca="false">SUMIF(Base!$D$2:$D$2878,B2725,Base!$I$2:$I$2878)</f>
        <v>15.24</v>
      </c>
      <c r="H2725" s="36" t="n">
        <f aca="false">IF($G$2849=0,0,G2725/$G$2849)</f>
        <v>1.00008272919263E-006</v>
      </c>
      <c r="I2725" s="37" t="n">
        <f aca="false">I2724+H2725</f>
        <v>0.999939745671788</v>
      </c>
      <c r="J2725" s="37" t="n">
        <f aca="false">A2725/2840</f>
        <v>0.957042253521127</v>
      </c>
      <c r="K2725" s="32" t="str">
        <f aca="false">IF(I2725&lt;=$E$4,"A",IF(I2725&lt;=$E$5,"B","C"))</f>
        <v>C</v>
      </c>
    </row>
    <row r="2726" customFormat="false" ht="15" hidden="false" customHeight="false" outlineLevel="0" collapsed="false">
      <c r="A2726" s="32" t="n">
        <v>2719</v>
      </c>
      <c r="B2726" s="33" t="n">
        <v>1467805</v>
      </c>
      <c r="C2726" s="34" t="s">
        <v>5523</v>
      </c>
      <c r="D2726" s="34" t="s">
        <v>5524</v>
      </c>
      <c r="E2726" s="34" t="s">
        <v>2056</v>
      </c>
      <c r="F2726" s="32" t="n">
        <f aca="false">COUNTIF(Base!$D$2:$D$2878,B2726)</f>
        <v>1</v>
      </c>
      <c r="G2726" s="35" t="n">
        <f aca="false">SUMIF(Base!$D$2:$D$2878,B2726,Base!$I$2:$I$2878)</f>
        <v>15</v>
      </c>
      <c r="H2726" s="36" t="n">
        <f aca="false">IF($G$2849=0,0,G2726/$G$2849)</f>
        <v>9.8433339487464E-007</v>
      </c>
      <c r="I2726" s="37" t="n">
        <f aca="false">I2725+H2726</f>
        <v>0.999940730005183</v>
      </c>
      <c r="J2726" s="37" t="n">
        <f aca="false">A2726/2840</f>
        <v>0.957394366197183</v>
      </c>
      <c r="K2726" s="32" t="str">
        <f aca="false">IF(I2726&lt;=$E$4,"A",IF(I2726&lt;=$E$5,"B","C"))</f>
        <v>C</v>
      </c>
    </row>
    <row r="2727" customFormat="false" ht="15" hidden="false" customHeight="false" outlineLevel="0" collapsed="false">
      <c r="A2727" s="32" t="n">
        <v>2720</v>
      </c>
      <c r="B2727" s="33" t="n">
        <v>22823</v>
      </c>
      <c r="C2727" s="34" t="s">
        <v>5525</v>
      </c>
      <c r="D2727" s="34" t="s">
        <v>5526</v>
      </c>
      <c r="E2727" s="34" t="s">
        <v>457</v>
      </c>
      <c r="F2727" s="32" t="n">
        <f aca="false">COUNTIF(Base!$D$2:$D$2878,B2727)</f>
        <v>1</v>
      </c>
      <c r="G2727" s="35" t="n">
        <f aca="false">SUMIF(Base!$D$2:$D$2878,B2727,Base!$I$2:$I$2878)</f>
        <v>14.98</v>
      </c>
      <c r="H2727" s="36" t="n">
        <f aca="false">IF($G$2849=0,0,G2727/$G$2849)</f>
        <v>9.83020950348141E-007</v>
      </c>
      <c r="I2727" s="37" t="n">
        <f aca="false">I2726+H2727</f>
        <v>0.999941713026133</v>
      </c>
      <c r="J2727" s="37" t="n">
        <f aca="false">A2727/2840</f>
        <v>0.957746478873239</v>
      </c>
      <c r="K2727" s="32" t="str">
        <f aca="false">IF(I2727&lt;=$E$4,"A",IF(I2727&lt;=$E$5,"B","C"))</f>
        <v>C</v>
      </c>
    </row>
    <row r="2728" customFormat="false" ht="15" hidden="false" customHeight="false" outlineLevel="0" collapsed="false">
      <c r="A2728" s="32" t="n">
        <v>2721</v>
      </c>
      <c r="B2728" s="33" t="n">
        <v>1461940</v>
      </c>
      <c r="C2728" s="34" t="s">
        <v>5527</v>
      </c>
      <c r="D2728" s="34" t="s">
        <v>5528</v>
      </c>
      <c r="E2728" s="34" t="s">
        <v>38</v>
      </c>
      <c r="F2728" s="32" t="n">
        <f aca="false">COUNTIF(Base!$D$2:$D$2878,B2728)</f>
        <v>1</v>
      </c>
      <c r="G2728" s="35" t="n">
        <f aca="false">SUMIF(Base!$D$2:$D$2878,B2728,Base!$I$2:$I$2878)</f>
        <v>14.98</v>
      </c>
      <c r="H2728" s="36" t="n">
        <f aca="false">IF($G$2849=0,0,G2728/$G$2849)</f>
        <v>9.83020950348141E-007</v>
      </c>
      <c r="I2728" s="37" t="n">
        <f aca="false">I2727+H2728</f>
        <v>0.999942696047083</v>
      </c>
      <c r="J2728" s="37" t="n">
        <f aca="false">A2728/2840</f>
        <v>0.958098591549296</v>
      </c>
      <c r="K2728" s="32" t="str">
        <f aca="false">IF(I2728&lt;=$E$4,"A",IF(I2728&lt;=$E$5,"B","C"))</f>
        <v>C</v>
      </c>
    </row>
    <row r="2729" customFormat="false" ht="15" hidden="false" customHeight="false" outlineLevel="0" collapsed="false">
      <c r="A2729" s="32" t="n">
        <v>2722</v>
      </c>
      <c r="B2729" s="33" t="n">
        <v>1389578</v>
      </c>
      <c r="C2729" s="34" t="s">
        <v>5529</v>
      </c>
      <c r="D2729" s="34" t="s">
        <v>5530</v>
      </c>
      <c r="E2729" s="34" t="s">
        <v>54</v>
      </c>
      <c r="F2729" s="32" t="n">
        <f aca="false">COUNTIF(Base!$D$2:$D$2878,B2729)</f>
        <v>1</v>
      </c>
      <c r="G2729" s="35" t="n">
        <f aca="false">SUMIF(Base!$D$2:$D$2878,B2729,Base!$I$2:$I$2878)</f>
        <v>14.96</v>
      </c>
      <c r="H2729" s="36" t="n">
        <f aca="false">IF($G$2849=0,0,G2729/$G$2849)</f>
        <v>9.81708505821641E-007</v>
      </c>
      <c r="I2729" s="37" t="n">
        <f aca="false">I2728+H2729</f>
        <v>0.999943677755589</v>
      </c>
      <c r="J2729" s="37" t="n">
        <f aca="false">A2729/2840</f>
        <v>0.958450704225352</v>
      </c>
      <c r="K2729" s="32" t="str">
        <f aca="false">IF(I2729&lt;=$E$4,"A",IF(I2729&lt;=$E$5,"B","C"))</f>
        <v>C</v>
      </c>
    </row>
    <row r="2730" customFormat="false" ht="15" hidden="false" customHeight="false" outlineLevel="0" collapsed="false">
      <c r="A2730" s="32" t="n">
        <v>2723</v>
      </c>
      <c r="B2730" s="33" t="n">
        <v>1461934</v>
      </c>
      <c r="C2730" s="34" t="s">
        <v>5531</v>
      </c>
      <c r="D2730" s="34" t="s">
        <v>5532</v>
      </c>
      <c r="E2730" s="34" t="s">
        <v>100</v>
      </c>
      <c r="F2730" s="32" t="n">
        <f aca="false">COUNTIF(Base!$D$2:$D$2878,B2730)</f>
        <v>1</v>
      </c>
      <c r="G2730" s="35" t="n">
        <f aca="false">SUMIF(Base!$D$2:$D$2878,B2730,Base!$I$2:$I$2878)</f>
        <v>14.96</v>
      </c>
      <c r="H2730" s="36" t="n">
        <f aca="false">IF($G$2849=0,0,G2730/$G$2849)</f>
        <v>9.81708505821641E-007</v>
      </c>
      <c r="I2730" s="37" t="n">
        <f aca="false">I2729+H2730</f>
        <v>0.999944659464095</v>
      </c>
      <c r="J2730" s="37" t="n">
        <f aca="false">A2730/2840</f>
        <v>0.958802816901409</v>
      </c>
      <c r="K2730" s="32" t="str">
        <f aca="false">IF(I2730&lt;=$E$4,"A",IF(I2730&lt;=$E$5,"B","C"))</f>
        <v>C</v>
      </c>
    </row>
    <row r="2731" customFormat="false" ht="15" hidden="false" customHeight="false" outlineLevel="0" collapsed="false">
      <c r="A2731" s="32" t="n">
        <v>2724</v>
      </c>
      <c r="B2731" s="33" t="n">
        <v>931415</v>
      </c>
      <c r="C2731" s="34" t="s">
        <v>5533</v>
      </c>
      <c r="D2731" s="34" t="s">
        <v>5534</v>
      </c>
      <c r="E2731" s="34" t="s">
        <v>38</v>
      </c>
      <c r="F2731" s="32" t="n">
        <f aca="false">COUNTIF(Base!$D$2:$D$2878,B2731)</f>
        <v>1</v>
      </c>
      <c r="G2731" s="35" t="n">
        <f aca="false">SUMIF(Base!$D$2:$D$2878,B2731,Base!$I$2:$I$2878)</f>
        <v>14.9</v>
      </c>
      <c r="H2731" s="36" t="n">
        <f aca="false">IF($G$2849=0,0,G2731/$G$2849)</f>
        <v>9.77771172242143E-007</v>
      </c>
      <c r="I2731" s="37" t="n">
        <f aca="false">I2730+H2731</f>
        <v>0.999945637235267</v>
      </c>
      <c r="J2731" s="37" t="n">
        <f aca="false">A2731/2840</f>
        <v>0.959154929577465</v>
      </c>
      <c r="K2731" s="32" t="str">
        <f aca="false">IF(I2731&lt;=$E$4,"A",IF(I2731&lt;=$E$5,"B","C"))</f>
        <v>C</v>
      </c>
    </row>
    <row r="2732" customFormat="false" ht="15" hidden="false" customHeight="false" outlineLevel="0" collapsed="false">
      <c r="A2732" s="32" t="n">
        <v>2725</v>
      </c>
      <c r="B2732" s="33" t="n">
        <v>946240</v>
      </c>
      <c r="C2732" s="34" t="s">
        <v>5535</v>
      </c>
      <c r="D2732" s="34" t="s">
        <v>5536</v>
      </c>
      <c r="E2732" s="34" t="s">
        <v>130</v>
      </c>
      <c r="F2732" s="32" t="n">
        <f aca="false">COUNTIF(Base!$D$2:$D$2878,B2732)</f>
        <v>1</v>
      </c>
      <c r="G2732" s="35" t="n">
        <f aca="false">SUMIF(Base!$D$2:$D$2878,B2732,Base!$I$2:$I$2878)</f>
        <v>14.9</v>
      </c>
      <c r="H2732" s="36" t="n">
        <f aca="false">IF($G$2849=0,0,G2732/$G$2849)</f>
        <v>9.77771172242143E-007</v>
      </c>
      <c r="I2732" s="37" t="n">
        <f aca="false">I2731+H2732</f>
        <v>0.999946615006439</v>
      </c>
      <c r="J2732" s="37" t="n">
        <f aca="false">A2732/2840</f>
        <v>0.959507042253521</v>
      </c>
      <c r="K2732" s="32" t="str">
        <f aca="false">IF(I2732&lt;=$E$4,"A",IF(I2732&lt;=$E$5,"B","C"))</f>
        <v>C</v>
      </c>
    </row>
    <row r="2733" customFormat="false" ht="15" hidden="false" customHeight="false" outlineLevel="0" collapsed="false">
      <c r="A2733" s="32" t="n">
        <v>2726</v>
      </c>
      <c r="B2733" s="33" t="n">
        <v>27944</v>
      </c>
      <c r="C2733" s="34" t="s">
        <v>5537</v>
      </c>
      <c r="D2733" s="34" t="s">
        <v>5538</v>
      </c>
      <c r="E2733" s="34" t="s">
        <v>457</v>
      </c>
      <c r="F2733" s="32" t="n">
        <f aca="false">COUNTIF(Base!$D$2:$D$2878,B2733)</f>
        <v>1</v>
      </c>
      <c r="G2733" s="35" t="n">
        <f aca="false">SUMIF(Base!$D$2:$D$2878,B2733,Base!$I$2:$I$2878)</f>
        <v>14</v>
      </c>
      <c r="H2733" s="36" t="n">
        <f aca="false">IF($G$2849=0,0,G2733/$G$2849)</f>
        <v>9.18711168549664E-007</v>
      </c>
      <c r="I2733" s="37" t="n">
        <f aca="false">I2732+H2733</f>
        <v>0.999947533717608</v>
      </c>
      <c r="J2733" s="37" t="n">
        <f aca="false">A2733/2840</f>
        <v>0.959859154929578</v>
      </c>
      <c r="K2733" s="32" t="str">
        <f aca="false">IF(I2733&lt;=$E$4,"A",IF(I2733&lt;=$E$5,"B","C"))</f>
        <v>C</v>
      </c>
    </row>
    <row r="2734" customFormat="false" ht="15" hidden="false" customHeight="false" outlineLevel="0" collapsed="false">
      <c r="A2734" s="32" t="n">
        <v>2727</v>
      </c>
      <c r="B2734" s="33" t="n">
        <v>734056</v>
      </c>
      <c r="C2734" s="34" t="s">
        <v>5539</v>
      </c>
      <c r="D2734" s="34" t="s">
        <v>5540</v>
      </c>
      <c r="E2734" s="34" t="s">
        <v>457</v>
      </c>
      <c r="F2734" s="32" t="n">
        <f aca="false">COUNTIF(Base!$D$2:$D$2878,B2734)</f>
        <v>1</v>
      </c>
      <c r="G2734" s="35" t="n">
        <f aca="false">SUMIF(Base!$D$2:$D$2878,B2734,Base!$I$2:$I$2878)</f>
        <v>14</v>
      </c>
      <c r="H2734" s="36" t="n">
        <f aca="false">IF($G$2849=0,0,G2734/$G$2849)</f>
        <v>9.18711168549664E-007</v>
      </c>
      <c r="I2734" s="37" t="n">
        <f aca="false">I2733+H2734</f>
        <v>0.999948452428777</v>
      </c>
      <c r="J2734" s="37" t="n">
        <f aca="false">A2734/2840</f>
        <v>0.960211267605634</v>
      </c>
      <c r="K2734" s="32" t="str">
        <f aca="false">IF(I2734&lt;=$E$4,"A",IF(I2734&lt;=$E$5,"B","C"))</f>
        <v>C</v>
      </c>
    </row>
    <row r="2735" customFormat="false" ht="15" hidden="false" customHeight="false" outlineLevel="0" collapsed="false">
      <c r="A2735" s="32" t="n">
        <v>2728</v>
      </c>
      <c r="B2735" s="33" t="n">
        <v>840007</v>
      </c>
      <c r="C2735" s="34" t="s">
        <v>5541</v>
      </c>
      <c r="D2735" s="34" t="s">
        <v>5542</v>
      </c>
      <c r="E2735" s="34" t="s">
        <v>54</v>
      </c>
      <c r="F2735" s="32" t="n">
        <f aca="false">COUNTIF(Base!$D$2:$D$2878,B2735)</f>
        <v>1</v>
      </c>
      <c r="G2735" s="35" t="n">
        <f aca="false">SUMIF(Base!$D$2:$D$2878,B2735,Base!$I$2:$I$2878)</f>
        <v>13.96</v>
      </c>
      <c r="H2735" s="36" t="n">
        <f aca="false">IF($G$2849=0,0,G2735/$G$2849)</f>
        <v>9.16086279496665E-007</v>
      </c>
      <c r="I2735" s="37" t="n">
        <f aca="false">I2734+H2735</f>
        <v>0.999949368515056</v>
      </c>
      <c r="J2735" s="37" t="n">
        <f aca="false">A2735/2840</f>
        <v>0.96056338028169</v>
      </c>
      <c r="K2735" s="32" t="str">
        <f aca="false">IF(I2735&lt;=$E$4,"A",IF(I2735&lt;=$E$5,"B","C"))</f>
        <v>C</v>
      </c>
    </row>
    <row r="2736" customFormat="false" ht="15" hidden="false" customHeight="false" outlineLevel="0" collapsed="false">
      <c r="A2736" s="32" t="n">
        <v>2729</v>
      </c>
      <c r="B2736" s="33" t="n">
        <v>231037</v>
      </c>
      <c r="C2736" s="34" t="s">
        <v>5543</v>
      </c>
      <c r="D2736" s="34" t="s">
        <v>5544</v>
      </c>
      <c r="E2736" s="34" t="s">
        <v>54</v>
      </c>
      <c r="F2736" s="32" t="n">
        <f aca="false">COUNTIF(Base!$D$2:$D$2878,B2736)</f>
        <v>1</v>
      </c>
      <c r="G2736" s="35" t="n">
        <f aca="false">SUMIF(Base!$D$2:$D$2878,B2736,Base!$I$2:$I$2878)</f>
        <v>13.92</v>
      </c>
      <c r="H2736" s="36" t="n">
        <f aca="false">IF($G$2849=0,0,G2736/$G$2849)</f>
        <v>9.13461390443666E-007</v>
      </c>
      <c r="I2736" s="37" t="n">
        <f aca="false">I2735+H2736</f>
        <v>0.999950281976446</v>
      </c>
      <c r="J2736" s="37" t="n">
        <f aca="false">A2736/2840</f>
        <v>0.960915492957747</v>
      </c>
      <c r="K2736" s="32" t="str">
        <f aca="false">IF(I2736&lt;=$E$4,"A",IF(I2736&lt;=$E$5,"B","C"))</f>
        <v>C</v>
      </c>
    </row>
    <row r="2737" customFormat="false" ht="15" hidden="false" customHeight="false" outlineLevel="0" collapsed="false">
      <c r="A2737" s="32" t="n">
        <v>2730</v>
      </c>
      <c r="B2737" s="33" t="n">
        <v>17957</v>
      </c>
      <c r="C2737" s="34" t="s">
        <v>5545</v>
      </c>
      <c r="D2737" s="34" t="s">
        <v>5546</v>
      </c>
      <c r="E2737" s="34" t="s">
        <v>130</v>
      </c>
      <c r="F2737" s="32" t="n">
        <f aca="false">COUNTIF(Base!$D$2:$D$2878,B2737)</f>
        <v>1</v>
      </c>
      <c r="G2737" s="35" t="n">
        <f aca="false">SUMIF(Base!$D$2:$D$2878,B2737,Base!$I$2:$I$2878)</f>
        <v>13.7</v>
      </c>
      <c r="H2737" s="36" t="n">
        <f aca="false">IF($G$2849=0,0,G2737/$G$2849)</f>
        <v>8.99024500652171E-007</v>
      </c>
      <c r="I2737" s="37" t="n">
        <f aca="false">I2736+H2737</f>
        <v>0.999951181000947</v>
      </c>
      <c r="J2737" s="37" t="n">
        <f aca="false">A2737/2840</f>
        <v>0.961267605633803</v>
      </c>
      <c r="K2737" s="32" t="str">
        <f aca="false">IF(I2737&lt;=$E$4,"A",IF(I2737&lt;=$E$5,"B","C"))</f>
        <v>C</v>
      </c>
    </row>
    <row r="2738" customFormat="false" ht="15" hidden="false" customHeight="false" outlineLevel="0" collapsed="false">
      <c r="A2738" s="32" t="n">
        <v>2731</v>
      </c>
      <c r="B2738" s="33" t="n">
        <v>54863</v>
      </c>
      <c r="C2738" s="34" t="s">
        <v>5547</v>
      </c>
      <c r="D2738" s="34" t="s">
        <v>5548</v>
      </c>
      <c r="E2738" s="34" t="s">
        <v>100</v>
      </c>
      <c r="F2738" s="32" t="n">
        <f aca="false">COUNTIF(Base!$D$2:$D$2878,B2738)</f>
        <v>1</v>
      </c>
      <c r="G2738" s="35" t="n">
        <f aca="false">SUMIF(Base!$D$2:$D$2878,B2738,Base!$I$2:$I$2878)</f>
        <v>13.2</v>
      </c>
      <c r="H2738" s="36" t="n">
        <f aca="false">IF($G$2849=0,0,G2738/$G$2849)</f>
        <v>8.66213387489683E-007</v>
      </c>
      <c r="I2738" s="37" t="n">
        <f aca="false">I2737+H2738</f>
        <v>0.999952047214335</v>
      </c>
      <c r="J2738" s="37" t="n">
        <f aca="false">A2738/2840</f>
        <v>0.961619718309859</v>
      </c>
      <c r="K2738" s="32" t="str">
        <f aca="false">IF(I2738&lt;=$E$4,"A",IF(I2738&lt;=$E$5,"B","C"))</f>
        <v>C</v>
      </c>
    </row>
    <row r="2739" customFormat="false" ht="15" hidden="false" customHeight="false" outlineLevel="0" collapsed="false">
      <c r="A2739" s="32" t="n">
        <v>2732</v>
      </c>
      <c r="B2739" s="33" t="n">
        <v>139722</v>
      </c>
      <c r="C2739" s="34" t="s">
        <v>5549</v>
      </c>
      <c r="D2739" s="34" t="s">
        <v>5550</v>
      </c>
      <c r="E2739" s="34" t="s">
        <v>262</v>
      </c>
      <c r="F2739" s="32" t="n">
        <f aca="false">COUNTIF(Base!$D$2:$D$2878,B2739)</f>
        <v>1</v>
      </c>
      <c r="G2739" s="35" t="n">
        <f aca="false">SUMIF(Base!$D$2:$D$2878,B2739,Base!$I$2:$I$2878)</f>
        <v>13.12</v>
      </c>
      <c r="H2739" s="36" t="n">
        <f aca="false">IF($G$2849=0,0,G2739/$G$2849)</f>
        <v>8.60963609383685E-007</v>
      </c>
      <c r="I2739" s="37" t="n">
        <f aca="false">I2738+H2739</f>
        <v>0.999952908177944</v>
      </c>
      <c r="J2739" s="37" t="n">
        <f aca="false">A2739/2840</f>
        <v>0.961971830985916</v>
      </c>
      <c r="K2739" s="32" t="str">
        <f aca="false">IF(I2739&lt;=$E$4,"A",IF(I2739&lt;=$E$5,"B","C"))</f>
        <v>C</v>
      </c>
    </row>
    <row r="2740" customFormat="false" ht="15" hidden="false" customHeight="false" outlineLevel="0" collapsed="false">
      <c r="A2740" s="32" t="n">
        <v>2733</v>
      </c>
      <c r="B2740" s="33" t="n">
        <v>315613</v>
      </c>
      <c r="C2740" s="34" t="s">
        <v>5551</v>
      </c>
      <c r="D2740" s="34" t="s">
        <v>5552</v>
      </c>
      <c r="E2740" s="34" t="s">
        <v>2056</v>
      </c>
      <c r="F2740" s="32" t="n">
        <f aca="false">COUNTIF(Base!$D$2:$D$2878,B2740)</f>
        <v>1</v>
      </c>
      <c r="G2740" s="35" t="n">
        <f aca="false">SUMIF(Base!$D$2:$D$2878,B2740,Base!$I$2:$I$2878)</f>
        <v>13</v>
      </c>
      <c r="H2740" s="36" t="n">
        <f aca="false">IF($G$2849=0,0,G2740/$G$2849)</f>
        <v>8.53088942224688E-007</v>
      </c>
      <c r="I2740" s="37" t="n">
        <f aca="false">I2739+H2740</f>
        <v>0.999953761266886</v>
      </c>
      <c r="J2740" s="37" t="n">
        <f aca="false">A2740/2840</f>
        <v>0.962323943661972</v>
      </c>
      <c r="K2740" s="32" t="str">
        <f aca="false">IF(I2740&lt;=$E$4,"A",IF(I2740&lt;=$E$5,"B","C"))</f>
        <v>C</v>
      </c>
    </row>
    <row r="2741" customFormat="false" ht="15" hidden="false" customHeight="false" outlineLevel="0" collapsed="false">
      <c r="A2741" s="32" t="n">
        <v>2734</v>
      </c>
      <c r="B2741" s="33" t="n">
        <v>887574</v>
      </c>
      <c r="C2741" s="34" t="s">
        <v>5553</v>
      </c>
      <c r="D2741" s="34" t="s">
        <v>5554</v>
      </c>
      <c r="E2741" s="34" t="s">
        <v>100</v>
      </c>
      <c r="F2741" s="32" t="n">
        <f aca="false">COUNTIF(Base!$D$2:$D$2878,B2741)</f>
        <v>1</v>
      </c>
      <c r="G2741" s="35" t="n">
        <f aca="false">SUMIF(Base!$D$2:$D$2878,B2741,Base!$I$2:$I$2878)</f>
        <v>12.98</v>
      </c>
      <c r="H2741" s="36" t="n">
        <f aca="false">IF($G$2849=0,0,G2741/$G$2849)</f>
        <v>8.51776497698189E-007</v>
      </c>
      <c r="I2741" s="37" t="n">
        <f aca="false">I2740+H2741</f>
        <v>0.999954613043384</v>
      </c>
      <c r="J2741" s="37" t="n">
        <f aca="false">A2741/2840</f>
        <v>0.962676056338028</v>
      </c>
      <c r="K2741" s="32" t="str">
        <f aca="false">IF(I2741&lt;=$E$4,"A",IF(I2741&lt;=$E$5,"B","C"))</f>
        <v>C</v>
      </c>
    </row>
    <row r="2742" customFormat="false" ht="15" hidden="false" customHeight="false" outlineLevel="0" collapsed="false">
      <c r="A2742" s="32" t="n">
        <v>2735</v>
      </c>
      <c r="B2742" s="33" t="n">
        <v>224493</v>
      </c>
      <c r="C2742" s="34" t="s">
        <v>5555</v>
      </c>
      <c r="D2742" s="34" t="s">
        <v>5556</v>
      </c>
      <c r="E2742" s="34" t="s">
        <v>38</v>
      </c>
      <c r="F2742" s="32" t="n">
        <f aca="false">COUNTIF(Base!$D$2:$D$2878,B2742)</f>
        <v>1</v>
      </c>
      <c r="G2742" s="35" t="n">
        <f aca="false">SUMIF(Base!$D$2:$D$2878,B2742,Base!$I$2:$I$2878)</f>
        <v>12.9</v>
      </c>
      <c r="H2742" s="36" t="n">
        <f aca="false">IF($G$2849=0,0,G2742/$G$2849)</f>
        <v>8.46526719592191E-007</v>
      </c>
      <c r="I2742" s="37" t="n">
        <f aca="false">I2741+H2742</f>
        <v>0.999955459570104</v>
      </c>
      <c r="J2742" s="37" t="n">
        <f aca="false">A2742/2840</f>
        <v>0.963028169014085</v>
      </c>
      <c r="K2742" s="32" t="str">
        <f aca="false">IF(I2742&lt;=$E$4,"A",IF(I2742&lt;=$E$5,"B","C"))</f>
        <v>C</v>
      </c>
    </row>
    <row r="2743" customFormat="false" ht="15" hidden="false" customHeight="false" outlineLevel="0" collapsed="false">
      <c r="A2743" s="32" t="n">
        <v>2736</v>
      </c>
      <c r="B2743" s="33" t="n">
        <v>54849</v>
      </c>
      <c r="C2743" s="34" t="s">
        <v>5557</v>
      </c>
      <c r="D2743" s="34" t="s">
        <v>5558</v>
      </c>
      <c r="E2743" s="34" t="s">
        <v>100</v>
      </c>
      <c r="F2743" s="32" t="n">
        <f aca="false">COUNTIF(Base!$D$2:$D$2878,B2743)</f>
        <v>1</v>
      </c>
      <c r="G2743" s="35" t="n">
        <f aca="false">SUMIF(Base!$D$2:$D$2878,B2743,Base!$I$2:$I$2878)</f>
        <v>12.72</v>
      </c>
      <c r="H2743" s="36" t="n">
        <f aca="false">IF($G$2849=0,0,G2743/$G$2849)</f>
        <v>8.34714718853695E-007</v>
      </c>
      <c r="I2743" s="37" t="n">
        <f aca="false">I2742+H2743</f>
        <v>0.999956294284822</v>
      </c>
      <c r="J2743" s="37" t="n">
        <f aca="false">A2743/2840</f>
        <v>0.963380281690141</v>
      </c>
      <c r="K2743" s="32" t="str">
        <f aca="false">IF(I2743&lt;=$E$4,"A",IF(I2743&lt;=$E$5,"B","C"))</f>
        <v>C</v>
      </c>
    </row>
    <row r="2744" customFormat="false" ht="15" hidden="false" customHeight="false" outlineLevel="0" collapsed="false">
      <c r="A2744" s="32" t="n">
        <v>2737</v>
      </c>
      <c r="B2744" s="33" t="n">
        <v>16409</v>
      </c>
      <c r="C2744" s="34" t="s">
        <v>5559</v>
      </c>
      <c r="D2744" s="34" t="s">
        <v>5560</v>
      </c>
      <c r="E2744" s="34" t="s">
        <v>54</v>
      </c>
      <c r="F2744" s="32" t="n">
        <f aca="false">COUNTIF(Base!$D$2:$D$2878,B2744)</f>
        <v>1</v>
      </c>
      <c r="G2744" s="35" t="n">
        <f aca="false">SUMIF(Base!$D$2:$D$2878,B2744,Base!$I$2:$I$2878)</f>
        <v>12.34</v>
      </c>
      <c r="H2744" s="36" t="n">
        <f aca="false">IF($G$2849=0,0,G2744/$G$2849)</f>
        <v>8.09778272850204E-007</v>
      </c>
      <c r="I2744" s="37" t="n">
        <f aca="false">I2743+H2744</f>
        <v>0.999957104063095</v>
      </c>
      <c r="J2744" s="37" t="n">
        <f aca="false">A2744/2840</f>
        <v>0.963732394366197</v>
      </c>
      <c r="K2744" s="32" t="str">
        <f aca="false">IF(I2744&lt;=$E$4,"A",IF(I2744&lt;=$E$5,"B","C"))</f>
        <v>C</v>
      </c>
    </row>
    <row r="2745" customFormat="false" ht="15" hidden="false" customHeight="false" outlineLevel="0" collapsed="false">
      <c r="A2745" s="32" t="n">
        <v>2738</v>
      </c>
      <c r="B2745" s="33" t="n">
        <v>15065</v>
      </c>
      <c r="C2745" s="34" t="s">
        <v>5561</v>
      </c>
      <c r="D2745" s="34" t="s">
        <v>5562</v>
      </c>
      <c r="E2745" s="34" t="s">
        <v>54</v>
      </c>
      <c r="F2745" s="32" t="n">
        <f aca="false">COUNTIF(Base!$D$2:$D$2878,B2745)</f>
        <v>1</v>
      </c>
      <c r="G2745" s="35" t="n">
        <f aca="false">SUMIF(Base!$D$2:$D$2878,B2745,Base!$I$2:$I$2878)</f>
        <v>12</v>
      </c>
      <c r="H2745" s="36" t="n">
        <f aca="false">IF($G$2849=0,0,G2745/$G$2849)</f>
        <v>7.87466715899712E-007</v>
      </c>
      <c r="I2745" s="37" t="n">
        <f aca="false">I2744+H2745</f>
        <v>0.999957891529811</v>
      </c>
      <c r="J2745" s="37" t="n">
        <f aca="false">A2745/2840</f>
        <v>0.964084507042254</v>
      </c>
      <c r="K2745" s="32" t="str">
        <f aca="false">IF(I2745&lt;=$E$4,"A",IF(I2745&lt;=$E$5,"B","C"))</f>
        <v>C</v>
      </c>
    </row>
    <row r="2746" customFormat="false" ht="15" hidden="false" customHeight="false" outlineLevel="0" collapsed="false">
      <c r="A2746" s="32" t="n">
        <v>2739</v>
      </c>
      <c r="B2746" s="33" t="n">
        <v>17958</v>
      </c>
      <c r="C2746" s="34" t="s">
        <v>5563</v>
      </c>
      <c r="D2746" s="34" t="s">
        <v>5564</v>
      </c>
      <c r="E2746" s="34" t="s">
        <v>130</v>
      </c>
      <c r="F2746" s="32" t="n">
        <f aca="false">COUNTIF(Base!$D$2:$D$2878,B2746)</f>
        <v>1</v>
      </c>
      <c r="G2746" s="35" t="n">
        <f aca="false">SUMIF(Base!$D$2:$D$2878,B2746,Base!$I$2:$I$2878)</f>
        <v>12</v>
      </c>
      <c r="H2746" s="36" t="n">
        <f aca="false">IF($G$2849=0,0,G2746/$G$2849)</f>
        <v>7.87466715899712E-007</v>
      </c>
      <c r="I2746" s="37" t="n">
        <f aca="false">I2745+H2746</f>
        <v>0.999958678996527</v>
      </c>
      <c r="J2746" s="37" t="n">
        <f aca="false">A2746/2840</f>
        <v>0.96443661971831</v>
      </c>
      <c r="K2746" s="32" t="str">
        <f aca="false">IF(I2746&lt;=$E$4,"A",IF(I2746&lt;=$E$5,"B","C"))</f>
        <v>C</v>
      </c>
    </row>
    <row r="2747" customFormat="false" ht="15" hidden="false" customHeight="false" outlineLevel="0" collapsed="false">
      <c r="A2747" s="32" t="n">
        <v>2740</v>
      </c>
      <c r="B2747" s="33" t="n">
        <v>645539</v>
      </c>
      <c r="C2747" s="34" t="s">
        <v>5565</v>
      </c>
      <c r="D2747" s="34" t="s">
        <v>5566</v>
      </c>
      <c r="E2747" s="34" t="s">
        <v>100</v>
      </c>
      <c r="F2747" s="32" t="n">
        <f aca="false">COUNTIF(Base!$D$2:$D$2878,B2747)</f>
        <v>1</v>
      </c>
      <c r="G2747" s="35" t="n">
        <f aca="false">SUMIF(Base!$D$2:$D$2878,B2747,Base!$I$2:$I$2878)</f>
        <v>12</v>
      </c>
      <c r="H2747" s="36" t="n">
        <f aca="false">IF($G$2849=0,0,G2747/$G$2849)</f>
        <v>7.87466715899712E-007</v>
      </c>
      <c r="I2747" s="37" t="n">
        <f aca="false">I2746+H2747</f>
        <v>0.999959466463243</v>
      </c>
      <c r="J2747" s="37" t="n">
        <f aca="false">A2747/2840</f>
        <v>0.964788732394366</v>
      </c>
      <c r="K2747" s="32" t="str">
        <f aca="false">IF(I2747&lt;=$E$4,"A",IF(I2747&lt;=$E$5,"B","C"))</f>
        <v>C</v>
      </c>
    </row>
    <row r="2748" customFormat="false" ht="15" hidden="false" customHeight="false" outlineLevel="0" collapsed="false">
      <c r="A2748" s="32" t="n">
        <v>2741</v>
      </c>
      <c r="B2748" s="33" t="n">
        <v>879002</v>
      </c>
      <c r="C2748" s="34" t="s">
        <v>5567</v>
      </c>
      <c r="D2748" s="34" t="s">
        <v>5568</v>
      </c>
      <c r="E2748" s="34" t="s">
        <v>2056</v>
      </c>
      <c r="F2748" s="32" t="n">
        <f aca="false">COUNTIF(Base!$D$2:$D$2878,B2748)</f>
        <v>1</v>
      </c>
      <c r="G2748" s="35" t="n">
        <f aca="false">SUMIF(Base!$D$2:$D$2878,B2748,Base!$I$2:$I$2878)</f>
        <v>12</v>
      </c>
      <c r="H2748" s="36" t="n">
        <f aca="false">IF($G$2849=0,0,G2748/$G$2849)</f>
        <v>7.87466715899712E-007</v>
      </c>
      <c r="I2748" s="37" t="n">
        <f aca="false">I2747+H2748</f>
        <v>0.999960253929959</v>
      </c>
      <c r="J2748" s="37" t="n">
        <f aca="false">A2748/2840</f>
        <v>0.965140845070423</v>
      </c>
      <c r="K2748" s="32" t="str">
        <f aca="false">IF(I2748&lt;=$E$4,"A",IF(I2748&lt;=$E$5,"B","C"))</f>
        <v>C</v>
      </c>
    </row>
    <row r="2749" customFormat="false" ht="15" hidden="false" customHeight="false" outlineLevel="0" collapsed="false">
      <c r="A2749" s="32" t="n">
        <v>2742</v>
      </c>
      <c r="B2749" s="33" t="n">
        <v>552915</v>
      </c>
      <c r="C2749" s="34" t="s">
        <v>5569</v>
      </c>
      <c r="D2749" s="34" t="s">
        <v>5570</v>
      </c>
      <c r="E2749" s="34" t="s">
        <v>54</v>
      </c>
      <c r="F2749" s="32" t="n">
        <f aca="false">COUNTIF(Base!$D$2:$D$2878,B2749)</f>
        <v>1</v>
      </c>
      <c r="G2749" s="35" t="n">
        <f aca="false">SUMIF(Base!$D$2:$D$2878,B2749,Base!$I$2:$I$2878)</f>
        <v>11.98</v>
      </c>
      <c r="H2749" s="36" t="n">
        <f aca="false">IF($G$2849=0,0,G2749/$G$2849)</f>
        <v>7.86154271373213E-007</v>
      </c>
      <c r="I2749" s="37" t="n">
        <f aca="false">I2748+H2749</f>
        <v>0.99996104008423</v>
      </c>
      <c r="J2749" s="37" t="n">
        <f aca="false">A2749/2840</f>
        <v>0.965492957746479</v>
      </c>
      <c r="K2749" s="32" t="str">
        <f aca="false">IF(I2749&lt;=$E$4,"A",IF(I2749&lt;=$E$5,"B","C"))</f>
        <v>C</v>
      </c>
    </row>
    <row r="2750" customFormat="false" ht="15" hidden="false" customHeight="false" outlineLevel="0" collapsed="false">
      <c r="A2750" s="32" t="n">
        <v>2743</v>
      </c>
      <c r="B2750" s="33" t="n">
        <v>1603755</v>
      </c>
      <c r="C2750" s="34" t="s">
        <v>5571</v>
      </c>
      <c r="D2750" s="34" t="s">
        <v>5572</v>
      </c>
      <c r="E2750" s="34" t="s">
        <v>38</v>
      </c>
      <c r="F2750" s="32" t="n">
        <f aca="false">COUNTIF(Base!$D$2:$D$2878,B2750)</f>
        <v>1</v>
      </c>
      <c r="G2750" s="35" t="n">
        <f aca="false">SUMIF(Base!$D$2:$D$2878,B2750,Base!$I$2:$I$2878)</f>
        <v>11.98</v>
      </c>
      <c r="H2750" s="36" t="n">
        <f aca="false">IF($G$2849=0,0,G2750/$G$2849)</f>
        <v>7.86154271373213E-007</v>
      </c>
      <c r="I2750" s="37" t="n">
        <f aca="false">I2749+H2750</f>
        <v>0.999961826238502</v>
      </c>
      <c r="J2750" s="37" t="n">
        <f aca="false">A2750/2840</f>
        <v>0.965845070422535</v>
      </c>
      <c r="K2750" s="32" t="str">
        <f aca="false">IF(I2750&lt;=$E$4,"A",IF(I2750&lt;=$E$5,"B","C"))</f>
        <v>C</v>
      </c>
    </row>
    <row r="2751" customFormat="false" ht="15" hidden="false" customHeight="false" outlineLevel="0" collapsed="false">
      <c r="A2751" s="32" t="n">
        <v>2744</v>
      </c>
      <c r="B2751" s="33" t="n">
        <v>24280</v>
      </c>
      <c r="C2751" s="34" t="s">
        <v>5573</v>
      </c>
      <c r="D2751" s="34" t="s">
        <v>5574</v>
      </c>
      <c r="E2751" s="34" t="s">
        <v>705</v>
      </c>
      <c r="F2751" s="32" t="n">
        <f aca="false">COUNTIF(Base!$D$2:$D$2878,B2751)</f>
        <v>1</v>
      </c>
      <c r="G2751" s="35" t="n">
        <f aca="false">SUMIF(Base!$D$2:$D$2878,B2751,Base!$I$2:$I$2878)</f>
        <v>11.94</v>
      </c>
      <c r="H2751" s="36" t="n">
        <f aca="false">IF($G$2849=0,0,G2751/$G$2849)</f>
        <v>7.83529382320214E-007</v>
      </c>
      <c r="I2751" s="37" t="n">
        <f aca="false">I2750+H2751</f>
        <v>0.999962609767884</v>
      </c>
      <c r="J2751" s="37" t="n">
        <f aca="false">A2751/2840</f>
        <v>0.966197183098592</v>
      </c>
      <c r="K2751" s="32" t="str">
        <f aca="false">IF(I2751&lt;=$E$4,"A",IF(I2751&lt;=$E$5,"B","C"))</f>
        <v>C</v>
      </c>
    </row>
    <row r="2752" customFormat="false" ht="15" hidden="false" customHeight="false" outlineLevel="0" collapsed="false">
      <c r="A2752" s="32" t="n">
        <v>2745</v>
      </c>
      <c r="B2752" s="33" t="n">
        <v>138648</v>
      </c>
      <c r="C2752" s="34" t="s">
        <v>5575</v>
      </c>
      <c r="D2752" s="34" t="s">
        <v>5576</v>
      </c>
      <c r="E2752" s="34" t="s">
        <v>100</v>
      </c>
      <c r="F2752" s="32" t="n">
        <f aca="false">COUNTIF(Base!$D$2:$D$2878,B2752)</f>
        <v>1</v>
      </c>
      <c r="G2752" s="35" t="n">
        <f aca="false">SUMIF(Base!$D$2:$D$2878,B2752,Base!$I$2:$I$2878)</f>
        <v>11.84</v>
      </c>
      <c r="H2752" s="36" t="n">
        <f aca="false">IF($G$2849=0,0,G2752/$G$2849)</f>
        <v>7.76967159687716E-007</v>
      </c>
      <c r="I2752" s="37" t="n">
        <f aca="false">I2751+H2752</f>
        <v>0.999963386735044</v>
      </c>
      <c r="J2752" s="37" t="n">
        <f aca="false">A2752/2840</f>
        <v>0.966549295774648</v>
      </c>
      <c r="K2752" s="32" t="str">
        <f aca="false">IF(I2752&lt;=$E$4,"A",IF(I2752&lt;=$E$5,"B","C"))</f>
        <v>C</v>
      </c>
    </row>
    <row r="2753" customFormat="false" ht="15" hidden="false" customHeight="false" outlineLevel="0" collapsed="false">
      <c r="A2753" s="32" t="n">
        <v>2746</v>
      </c>
      <c r="B2753" s="33" t="n">
        <v>1660722</v>
      </c>
      <c r="C2753" s="34" t="s">
        <v>5577</v>
      </c>
      <c r="D2753" s="34" t="s">
        <v>5578</v>
      </c>
      <c r="E2753" s="34" t="s">
        <v>100</v>
      </c>
      <c r="F2753" s="32" t="n">
        <f aca="false">COUNTIF(Base!$D$2:$D$2878,B2753)</f>
        <v>1</v>
      </c>
      <c r="G2753" s="35" t="n">
        <f aca="false">SUMIF(Base!$D$2:$D$2878,B2753,Base!$I$2:$I$2878)</f>
        <v>11.52</v>
      </c>
      <c r="H2753" s="36" t="n">
        <f aca="false">IF($G$2849=0,0,G2753/$G$2849)</f>
        <v>7.55968047263724E-007</v>
      </c>
      <c r="I2753" s="37" t="n">
        <f aca="false">I2752+H2753</f>
        <v>0.999964142703091</v>
      </c>
      <c r="J2753" s="37" t="n">
        <f aca="false">A2753/2840</f>
        <v>0.966901408450704</v>
      </c>
      <c r="K2753" s="32" t="str">
        <f aca="false">IF(I2753&lt;=$E$4,"A",IF(I2753&lt;=$E$5,"B","C"))</f>
        <v>C</v>
      </c>
    </row>
    <row r="2754" customFormat="false" ht="15" hidden="false" customHeight="false" outlineLevel="0" collapsed="false">
      <c r="A2754" s="32" t="n">
        <v>2747</v>
      </c>
      <c r="B2754" s="33" t="n">
        <v>17677</v>
      </c>
      <c r="C2754" s="34" t="s">
        <v>5579</v>
      </c>
      <c r="D2754" s="34" t="s">
        <v>5580</v>
      </c>
      <c r="E2754" s="34" t="s">
        <v>100</v>
      </c>
      <c r="F2754" s="32" t="n">
        <f aca="false">COUNTIF(Base!$D$2:$D$2878,B2754)</f>
        <v>1</v>
      </c>
      <c r="G2754" s="35" t="n">
        <f aca="false">SUMIF(Base!$D$2:$D$2878,B2754,Base!$I$2:$I$2878)</f>
        <v>11.34</v>
      </c>
      <c r="H2754" s="36" t="n">
        <f aca="false">IF($G$2849=0,0,G2754/$G$2849)</f>
        <v>7.44156046525228E-007</v>
      </c>
      <c r="I2754" s="37" t="n">
        <f aca="false">I2753+H2754</f>
        <v>0.999964886859138</v>
      </c>
      <c r="J2754" s="37" t="n">
        <f aca="false">A2754/2840</f>
        <v>0.967253521126761</v>
      </c>
      <c r="K2754" s="32" t="str">
        <f aca="false">IF(I2754&lt;=$E$4,"A",IF(I2754&lt;=$E$5,"B","C"))</f>
        <v>C</v>
      </c>
    </row>
    <row r="2755" customFormat="false" ht="15" hidden="false" customHeight="false" outlineLevel="0" collapsed="false">
      <c r="A2755" s="32" t="n">
        <v>2748</v>
      </c>
      <c r="B2755" s="33" t="n">
        <v>17955</v>
      </c>
      <c r="C2755" s="34" t="s">
        <v>5581</v>
      </c>
      <c r="D2755" s="34" t="s">
        <v>5582</v>
      </c>
      <c r="E2755" s="34" t="s">
        <v>130</v>
      </c>
      <c r="F2755" s="32" t="n">
        <f aca="false">COUNTIF(Base!$D$2:$D$2878,B2755)</f>
        <v>1</v>
      </c>
      <c r="G2755" s="35" t="n">
        <f aca="false">SUMIF(Base!$D$2:$D$2878,B2755,Base!$I$2:$I$2878)</f>
        <v>11.3</v>
      </c>
      <c r="H2755" s="36" t="n">
        <f aca="false">IF($G$2849=0,0,G2755/$G$2849)</f>
        <v>7.41531157472229E-007</v>
      </c>
      <c r="I2755" s="37" t="n">
        <f aca="false">I2754+H2755</f>
        <v>0.999965628390295</v>
      </c>
      <c r="J2755" s="37" t="n">
        <f aca="false">A2755/2840</f>
        <v>0.967605633802817</v>
      </c>
      <c r="K2755" s="32" t="str">
        <f aca="false">IF(I2755&lt;=$E$4,"A",IF(I2755&lt;=$E$5,"B","C"))</f>
        <v>C</v>
      </c>
    </row>
    <row r="2756" customFormat="false" ht="15" hidden="false" customHeight="false" outlineLevel="0" collapsed="false">
      <c r="A2756" s="32" t="n">
        <v>2749</v>
      </c>
      <c r="B2756" s="33" t="n">
        <v>33321</v>
      </c>
      <c r="C2756" s="34" t="s">
        <v>5583</v>
      </c>
      <c r="D2756" s="34" t="s">
        <v>5584</v>
      </c>
      <c r="E2756" s="34" t="s">
        <v>100</v>
      </c>
      <c r="F2756" s="32" t="n">
        <f aca="false">COUNTIF(Base!$D$2:$D$2878,B2756)</f>
        <v>1</v>
      </c>
      <c r="G2756" s="35" t="n">
        <f aca="false">SUMIF(Base!$D$2:$D$2878,B2756,Base!$I$2:$I$2878)</f>
        <v>11.25</v>
      </c>
      <c r="H2756" s="36" t="n">
        <f aca="false">IF($G$2849=0,0,G2756/$G$2849)</f>
        <v>7.3825004615598E-007</v>
      </c>
      <c r="I2756" s="37" t="n">
        <f aca="false">I2755+H2756</f>
        <v>0.999966366640341</v>
      </c>
      <c r="J2756" s="37" t="n">
        <f aca="false">A2756/2840</f>
        <v>0.967957746478873</v>
      </c>
      <c r="K2756" s="32" t="str">
        <f aca="false">IF(I2756&lt;=$E$4,"A",IF(I2756&lt;=$E$5,"B","C"))</f>
        <v>C</v>
      </c>
    </row>
    <row r="2757" customFormat="false" ht="15" hidden="false" customHeight="false" outlineLevel="0" collapsed="false">
      <c r="A2757" s="32" t="n">
        <v>2750</v>
      </c>
      <c r="B2757" s="33" t="n">
        <v>89436</v>
      </c>
      <c r="C2757" s="34" t="s">
        <v>5585</v>
      </c>
      <c r="D2757" s="34" t="s">
        <v>5586</v>
      </c>
      <c r="E2757" s="34" t="s">
        <v>100</v>
      </c>
      <c r="F2757" s="32" t="n">
        <f aca="false">COUNTIF(Base!$D$2:$D$2878,B2757)</f>
        <v>1</v>
      </c>
      <c r="G2757" s="35" t="n">
        <f aca="false">SUMIF(Base!$D$2:$D$2878,B2757,Base!$I$2:$I$2878)</f>
        <v>11.06</v>
      </c>
      <c r="H2757" s="36" t="n">
        <f aca="false">IF($G$2849=0,0,G2757/$G$2849)</f>
        <v>7.25781823154235E-007</v>
      </c>
      <c r="I2757" s="37" t="n">
        <f aca="false">I2756+H2757</f>
        <v>0.999967092422165</v>
      </c>
      <c r="J2757" s="37" t="n">
        <f aca="false">A2757/2840</f>
        <v>0.96830985915493</v>
      </c>
      <c r="K2757" s="32" t="str">
        <f aca="false">IF(I2757&lt;=$E$4,"A",IF(I2757&lt;=$E$5,"B","C"))</f>
        <v>C</v>
      </c>
    </row>
    <row r="2758" customFormat="false" ht="15" hidden="false" customHeight="false" outlineLevel="0" collapsed="false">
      <c r="A2758" s="32" t="n">
        <v>2751</v>
      </c>
      <c r="B2758" s="33" t="n">
        <v>871573</v>
      </c>
      <c r="C2758" s="34" t="s">
        <v>5587</v>
      </c>
      <c r="D2758" s="34" t="s">
        <v>5588</v>
      </c>
      <c r="E2758" s="34" t="s">
        <v>100</v>
      </c>
      <c r="F2758" s="32" t="n">
        <f aca="false">COUNTIF(Base!$D$2:$D$2878,B2758)</f>
        <v>1</v>
      </c>
      <c r="G2758" s="35" t="n">
        <f aca="false">SUMIF(Base!$D$2:$D$2878,B2758,Base!$I$2:$I$2878)</f>
        <v>11</v>
      </c>
      <c r="H2758" s="36" t="n">
        <f aca="false">IF($G$2849=0,0,G2758/$G$2849)</f>
        <v>7.21844489574736E-007</v>
      </c>
      <c r="I2758" s="37" t="n">
        <f aca="false">I2757+H2758</f>
        <v>0.999967814266654</v>
      </c>
      <c r="J2758" s="37" t="n">
        <f aca="false">A2758/2840</f>
        <v>0.968661971830986</v>
      </c>
      <c r="K2758" s="32" t="str">
        <f aca="false">IF(I2758&lt;=$E$4,"A",IF(I2758&lt;=$E$5,"B","C"))</f>
        <v>C</v>
      </c>
    </row>
    <row r="2759" customFormat="false" ht="15" hidden="false" customHeight="false" outlineLevel="0" collapsed="false">
      <c r="A2759" s="32" t="n">
        <v>2752</v>
      </c>
      <c r="B2759" s="33" t="n">
        <v>1385729</v>
      </c>
      <c r="C2759" s="34" t="s">
        <v>5589</v>
      </c>
      <c r="D2759" s="34" t="s">
        <v>5590</v>
      </c>
      <c r="E2759" s="34" t="s">
        <v>38</v>
      </c>
      <c r="F2759" s="32" t="n">
        <f aca="false">COUNTIF(Base!$D$2:$D$2878,B2759)</f>
        <v>1</v>
      </c>
      <c r="G2759" s="35" t="n">
        <f aca="false">SUMIF(Base!$D$2:$D$2878,B2759,Base!$I$2:$I$2878)</f>
        <v>10.65</v>
      </c>
      <c r="H2759" s="36" t="n">
        <f aca="false">IF($G$2849=0,0,G2759/$G$2849)</f>
        <v>6.98876710360995E-007</v>
      </c>
      <c r="I2759" s="37" t="n">
        <f aca="false">I2758+H2759</f>
        <v>0.999968513143365</v>
      </c>
      <c r="J2759" s="37" t="n">
        <f aca="false">A2759/2840</f>
        <v>0.969014084507042</v>
      </c>
      <c r="K2759" s="32" t="str">
        <f aca="false">IF(I2759&lt;=$E$4,"A",IF(I2759&lt;=$E$5,"B","C"))</f>
        <v>C</v>
      </c>
    </row>
    <row r="2760" customFormat="false" ht="15" hidden="false" customHeight="false" outlineLevel="0" collapsed="false">
      <c r="A2760" s="32" t="n">
        <v>2753</v>
      </c>
      <c r="B2760" s="33" t="n">
        <v>1388140</v>
      </c>
      <c r="C2760" s="34" t="s">
        <v>5591</v>
      </c>
      <c r="D2760" s="34" t="s">
        <v>5592</v>
      </c>
      <c r="E2760" s="34" t="s">
        <v>100</v>
      </c>
      <c r="F2760" s="32" t="n">
        <f aca="false">COUNTIF(Base!$D$2:$D$2878,B2760)</f>
        <v>1</v>
      </c>
      <c r="G2760" s="35" t="n">
        <f aca="false">SUMIF(Base!$D$2:$D$2878,B2760,Base!$I$2:$I$2878)</f>
        <v>10.46</v>
      </c>
      <c r="H2760" s="36" t="n">
        <f aca="false">IF($G$2849=0,0,G2760/$G$2849)</f>
        <v>6.86408487359249E-007</v>
      </c>
      <c r="I2760" s="37" t="n">
        <f aca="false">I2759+H2760</f>
        <v>0.999969199551852</v>
      </c>
      <c r="J2760" s="37" t="n">
        <f aca="false">A2760/2840</f>
        <v>0.969366197183099</v>
      </c>
      <c r="K2760" s="32" t="str">
        <f aca="false">IF(I2760&lt;=$E$4,"A",IF(I2760&lt;=$E$5,"B","C"))</f>
        <v>C</v>
      </c>
    </row>
    <row r="2761" customFormat="false" ht="15" hidden="false" customHeight="false" outlineLevel="0" collapsed="false">
      <c r="A2761" s="32" t="n">
        <v>2754</v>
      </c>
      <c r="B2761" s="33" t="n">
        <v>1670495</v>
      </c>
      <c r="C2761" s="34" t="s">
        <v>5593</v>
      </c>
      <c r="D2761" s="34" t="s">
        <v>5594</v>
      </c>
      <c r="E2761" s="34" t="s">
        <v>100</v>
      </c>
      <c r="F2761" s="32" t="n">
        <f aca="false">COUNTIF(Base!$D$2:$D$2878,B2761)</f>
        <v>1</v>
      </c>
      <c r="G2761" s="35" t="n">
        <f aca="false">SUMIF(Base!$D$2:$D$2878,B2761,Base!$I$2:$I$2878)</f>
        <v>10.18</v>
      </c>
      <c r="H2761" s="36" t="n">
        <f aca="false">IF($G$2849=0,0,G2761/$G$2849)</f>
        <v>6.68034263988256E-007</v>
      </c>
      <c r="I2761" s="37" t="n">
        <f aca="false">I2760+H2761</f>
        <v>0.999969867586116</v>
      </c>
      <c r="J2761" s="37" t="n">
        <f aca="false">A2761/2840</f>
        <v>0.969718309859155</v>
      </c>
      <c r="K2761" s="32" t="str">
        <f aca="false">IF(I2761&lt;=$E$4,"A",IF(I2761&lt;=$E$5,"B","C"))</f>
        <v>C</v>
      </c>
    </row>
    <row r="2762" customFormat="false" ht="15" hidden="false" customHeight="false" outlineLevel="0" collapsed="false">
      <c r="A2762" s="32" t="n">
        <v>2755</v>
      </c>
      <c r="B2762" s="33" t="n">
        <v>16374</v>
      </c>
      <c r="C2762" s="34" t="s">
        <v>5595</v>
      </c>
      <c r="D2762" s="34" t="s">
        <v>5596</v>
      </c>
      <c r="E2762" s="34" t="s">
        <v>54</v>
      </c>
      <c r="F2762" s="32" t="n">
        <f aca="false">COUNTIF(Base!$D$2:$D$2878,B2762)</f>
        <v>1</v>
      </c>
      <c r="G2762" s="35" t="n">
        <f aca="false">SUMIF(Base!$D$2:$D$2878,B2762,Base!$I$2:$I$2878)</f>
        <v>9.98</v>
      </c>
      <c r="H2762" s="36" t="n">
        <f aca="false">IF($G$2849=0,0,G2762/$G$2849)</f>
        <v>6.54909818723261E-007</v>
      </c>
      <c r="I2762" s="37" t="n">
        <f aca="false">I2761+H2762</f>
        <v>0.999970522495935</v>
      </c>
      <c r="J2762" s="37" t="n">
        <f aca="false">A2762/2840</f>
        <v>0.970070422535211</v>
      </c>
      <c r="K2762" s="32" t="str">
        <f aca="false">IF(I2762&lt;=$E$4,"A",IF(I2762&lt;=$E$5,"B","C"))</f>
        <v>C</v>
      </c>
    </row>
    <row r="2763" customFormat="false" ht="15" hidden="false" customHeight="false" outlineLevel="0" collapsed="false">
      <c r="A2763" s="32" t="n">
        <v>2756</v>
      </c>
      <c r="B2763" s="33" t="n">
        <v>1461936</v>
      </c>
      <c r="C2763" s="34" t="s">
        <v>5597</v>
      </c>
      <c r="D2763" s="34" t="s">
        <v>5598</v>
      </c>
      <c r="E2763" s="34" t="s">
        <v>100</v>
      </c>
      <c r="F2763" s="32" t="n">
        <f aca="false">COUNTIF(Base!$D$2:$D$2878,B2763)</f>
        <v>1</v>
      </c>
      <c r="G2763" s="35" t="n">
        <f aca="false">SUMIF(Base!$D$2:$D$2878,B2763,Base!$I$2:$I$2878)</f>
        <v>9.98</v>
      </c>
      <c r="H2763" s="36" t="n">
        <f aca="false">IF($G$2849=0,0,G2763/$G$2849)</f>
        <v>6.54909818723261E-007</v>
      </c>
      <c r="I2763" s="37" t="n">
        <f aca="false">I2762+H2763</f>
        <v>0.999971177405753</v>
      </c>
      <c r="J2763" s="37" t="n">
        <f aca="false">A2763/2840</f>
        <v>0.970422535211268</v>
      </c>
      <c r="K2763" s="32" t="str">
        <f aca="false">IF(I2763&lt;=$E$4,"A",IF(I2763&lt;=$E$5,"B","C"))</f>
        <v>C</v>
      </c>
    </row>
    <row r="2764" customFormat="false" ht="15" hidden="false" customHeight="false" outlineLevel="0" collapsed="false">
      <c r="A2764" s="32" t="n">
        <v>2757</v>
      </c>
      <c r="B2764" s="33" t="n">
        <v>14635</v>
      </c>
      <c r="C2764" s="34" t="s">
        <v>5599</v>
      </c>
      <c r="D2764" s="34" t="s">
        <v>5600</v>
      </c>
      <c r="E2764" s="34" t="s">
        <v>54</v>
      </c>
      <c r="F2764" s="32" t="n">
        <f aca="false">COUNTIF(Base!$D$2:$D$2878,B2764)</f>
        <v>1</v>
      </c>
      <c r="G2764" s="35" t="n">
        <f aca="false">SUMIF(Base!$D$2:$D$2878,B2764,Base!$I$2:$I$2878)</f>
        <v>9.96</v>
      </c>
      <c r="H2764" s="36" t="n">
        <f aca="false">IF($G$2849=0,0,G2764/$G$2849)</f>
        <v>6.53597374196761E-007</v>
      </c>
      <c r="I2764" s="37" t="n">
        <f aca="false">I2763+H2764</f>
        <v>0.999971831003128</v>
      </c>
      <c r="J2764" s="37" t="n">
        <f aca="false">A2764/2840</f>
        <v>0.970774647887324</v>
      </c>
      <c r="K2764" s="32" t="str">
        <f aca="false">IF(I2764&lt;=$E$4,"A",IF(I2764&lt;=$E$5,"B","C"))</f>
        <v>C</v>
      </c>
    </row>
    <row r="2765" customFormat="false" ht="15" hidden="false" customHeight="false" outlineLevel="0" collapsed="false">
      <c r="A2765" s="32" t="n">
        <v>2758</v>
      </c>
      <c r="B2765" s="33" t="n">
        <v>139132</v>
      </c>
      <c r="C2765" s="34" t="s">
        <v>5601</v>
      </c>
      <c r="D2765" s="34" t="s">
        <v>5602</v>
      </c>
      <c r="E2765" s="34" t="s">
        <v>100</v>
      </c>
      <c r="F2765" s="32" t="n">
        <f aca="false">COUNTIF(Base!$D$2:$D$2878,B2765)</f>
        <v>1</v>
      </c>
      <c r="G2765" s="35" t="n">
        <f aca="false">SUMIF(Base!$D$2:$D$2878,B2765,Base!$I$2:$I$2878)</f>
        <v>9.96</v>
      </c>
      <c r="H2765" s="36" t="n">
        <f aca="false">IF($G$2849=0,0,G2765/$G$2849)</f>
        <v>6.53597374196761E-007</v>
      </c>
      <c r="I2765" s="37" t="n">
        <f aca="false">I2764+H2765</f>
        <v>0.999972484600502</v>
      </c>
      <c r="J2765" s="37" t="n">
        <f aca="false">A2765/2840</f>
        <v>0.97112676056338</v>
      </c>
      <c r="K2765" s="32" t="str">
        <f aca="false">IF(I2765&lt;=$E$4,"A",IF(I2765&lt;=$E$5,"B","C"))</f>
        <v>C</v>
      </c>
    </row>
    <row r="2766" customFormat="false" ht="15" hidden="false" customHeight="false" outlineLevel="0" collapsed="false">
      <c r="A2766" s="32" t="n">
        <v>2759</v>
      </c>
      <c r="B2766" s="33" t="n">
        <v>1462824</v>
      </c>
      <c r="C2766" s="34" t="s">
        <v>5603</v>
      </c>
      <c r="D2766" s="34" t="s">
        <v>5604</v>
      </c>
      <c r="E2766" s="34" t="s">
        <v>100</v>
      </c>
      <c r="F2766" s="32" t="n">
        <f aca="false">COUNTIF(Base!$D$2:$D$2878,B2766)</f>
        <v>1</v>
      </c>
      <c r="G2766" s="35" t="n">
        <f aca="false">SUMIF(Base!$D$2:$D$2878,B2766,Base!$I$2:$I$2878)</f>
        <v>9.92</v>
      </c>
      <c r="H2766" s="36" t="n">
        <f aca="false">IF($G$2849=0,0,G2766/$G$2849)</f>
        <v>6.50972485143762E-007</v>
      </c>
      <c r="I2766" s="37" t="n">
        <f aca="false">I2765+H2766</f>
        <v>0.999973135572987</v>
      </c>
      <c r="J2766" s="37" t="n">
        <f aca="false">A2766/2840</f>
        <v>0.971478873239437</v>
      </c>
      <c r="K2766" s="32" t="str">
        <f aca="false">IF(I2766&lt;=$E$4,"A",IF(I2766&lt;=$E$5,"B","C"))</f>
        <v>C</v>
      </c>
    </row>
    <row r="2767" customFormat="false" ht="15" hidden="false" customHeight="false" outlineLevel="0" collapsed="false">
      <c r="A2767" s="32" t="n">
        <v>2760</v>
      </c>
      <c r="B2767" s="33" t="n">
        <v>13150</v>
      </c>
      <c r="C2767" s="34" t="s">
        <v>5605</v>
      </c>
      <c r="D2767" s="34" t="s">
        <v>5606</v>
      </c>
      <c r="E2767" s="34" t="s">
        <v>38</v>
      </c>
      <c r="F2767" s="32" t="n">
        <f aca="false">COUNTIF(Base!$D$2:$D$2878,B2767)</f>
        <v>1</v>
      </c>
      <c r="G2767" s="35" t="n">
        <f aca="false">SUMIF(Base!$D$2:$D$2878,B2767,Base!$I$2:$I$2878)</f>
        <v>9.8</v>
      </c>
      <c r="H2767" s="36" t="n">
        <f aca="false">IF($G$2849=0,0,G2767/$G$2849)</f>
        <v>6.43097817984765E-007</v>
      </c>
      <c r="I2767" s="37" t="n">
        <f aca="false">I2766+H2767</f>
        <v>0.999973778670805</v>
      </c>
      <c r="J2767" s="37" t="n">
        <f aca="false">A2767/2840</f>
        <v>0.971830985915493</v>
      </c>
      <c r="K2767" s="32" t="str">
        <f aca="false">IF(I2767&lt;=$E$4,"A",IF(I2767&lt;=$E$5,"B","C"))</f>
        <v>C</v>
      </c>
    </row>
    <row r="2768" customFormat="false" ht="15" hidden="false" customHeight="false" outlineLevel="0" collapsed="false">
      <c r="A2768" s="32" t="n">
        <v>2761</v>
      </c>
      <c r="B2768" s="33" t="n">
        <v>1485654</v>
      </c>
      <c r="C2768" s="34" t="s">
        <v>5607</v>
      </c>
      <c r="D2768" s="34" t="s">
        <v>5608</v>
      </c>
      <c r="E2768" s="34" t="s">
        <v>100</v>
      </c>
      <c r="F2768" s="32" t="n">
        <f aca="false">COUNTIF(Base!$D$2:$D$2878,B2768)</f>
        <v>1</v>
      </c>
      <c r="G2768" s="35" t="n">
        <f aca="false">SUMIF(Base!$D$2:$D$2878,B2768,Base!$I$2:$I$2878)</f>
        <v>9.5</v>
      </c>
      <c r="H2768" s="36" t="n">
        <f aca="false">IF($G$2849=0,0,G2768/$G$2849)</f>
        <v>6.23411150087272E-007</v>
      </c>
      <c r="I2768" s="37" t="n">
        <f aca="false">I2767+H2768</f>
        <v>0.999974402081955</v>
      </c>
      <c r="J2768" s="37" t="n">
        <f aca="false">A2768/2840</f>
        <v>0.972183098591549</v>
      </c>
      <c r="K2768" s="32" t="str">
        <f aca="false">IF(I2768&lt;=$E$4,"A",IF(I2768&lt;=$E$5,"B","C"))</f>
        <v>C</v>
      </c>
    </row>
    <row r="2769" customFormat="false" ht="15" hidden="false" customHeight="false" outlineLevel="0" collapsed="false">
      <c r="A2769" s="32" t="n">
        <v>2762</v>
      </c>
      <c r="B2769" s="33" t="n">
        <v>938573</v>
      </c>
      <c r="C2769" s="34" t="s">
        <v>5609</v>
      </c>
      <c r="D2769" s="34" t="s">
        <v>5610</v>
      </c>
      <c r="E2769" s="34" t="s">
        <v>100</v>
      </c>
      <c r="F2769" s="32" t="n">
        <f aca="false">COUNTIF(Base!$D$2:$D$2878,B2769)</f>
        <v>1</v>
      </c>
      <c r="G2769" s="35" t="n">
        <f aca="false">SUMIF(Base!$D$2:$D$2878,B2769,Base!$I$2:$I$2878)</f>
        <v>8.96</v>
      </c>
      <c r="H2769" s="36" t="n">
        <f aca="false">IF($G$2849=0,0,G2769/$G$2849)</f>
        <v>5.87975147871785E-007</v>
      </c>
      <c r="I2769" s="37" t="n">
        <f aca="false">I2768+H2769</f>
        <v>0.999974990057103</v>
      </c>
      <c r="J2769" s="37" t="n">
        <f aca="false">A2769/2840</f>
        <v>0.972535211267606</v>
      </c>
      <c r="K2769" s="32" t="str">
        <f aca="false">IF(I2769&lt;=$E$4,"A",IF(I2769&lt;=$E$5,"B","C"))</f>
        <v>C</v>
      </c>
    </row>
    <row r="2770" customFormat="false" ht="15" hidden="false" customHeight="false" outlineLevel="0" collapsed="false">
      <c r="A2770" s="32" t="n">
        <v>2763</v>
      </c>
      <c r="B2770" s="33" t="n">
        <v>1605184</v>
      </c>
      <c r="C2770" s="34" t="s">
        <v>5611</v>
      </c>
      <c r="D2770" s="34" t="s">
        <v>5612</v>
      </c>
      <c r="E2770" s="34" t="s">
        <v>38</v>
      </c>
      <c r="F2770" s="32" t="n">
        <f aca="false">COUNTIF(Base!$D$2:$D$2878,B2770)</f>
        <v>1</v>
      </c>
      <c r="G2770" s="35" t="n">
        <f aca="false">SUMIF(Base!$D$2:$D$2878,B2770,Base!$I$2:$I$2878)</f>
        <v>8.9</v>
      </c>
      <c r="H2770" s="36" t="n">
        <f aca="false">IF($G$2849=0,0,G2770/$G$2849)</f>
        <v>5.84037814292287E-007</v>
      </c>
      <c r="I2770" s="37" t="n">
        <f aca="false">I2769+H2770</f>
        <v>0.999975574094917</v>
      </c>
      <c r="J2770" s="37" t="n">
        <f aca="false">A2770/2840</f>
        <v>0.972887323943662</v>
      </c>
      <c r="K2770" s="32" t="str">
        <f aca="false">IF(I2770&lt;=$E$4,"A",IF(I2770&lt;=$E$5,"B","C"))</f>
        <v>C</v>
      </c>
    </row>
    <row r="2771" customFormat="false" ht="15" hidden="false" customHeight="false" outlineLevel="0" collapsed="false">
      <c r="A2771" s="32" t="n">
        <v>2764</v>
      </c>
      <c r="B2771" s="33" t="n">
        <v>55799</v>
      </c>
      <c r="C2771" s="34" t="s">
        <v>5613</v>
      </c>
      <c r="D2771" s="34" t="s">
        <v>5614</v>
      </c>
      <c r="E2771" s="34" t="s">
        <v>38</v>
      </c>
      <c r="F2771" s="32" t="n">
        <f aca="false">COUNTIF(Base!$D$2:$D$2878,B2771)</f>
        <v>1</v>
      </c>
      <c r="G2771" s="35" t="n">
        <f aca="false">SUMIF(Base!$D$2:$D$2878,B2771,Base!$I$2:$I$2878)</f>
        <v>8.22</v>
      </c>
      <c r="H2771" s="36" t="n">
        <f aca="false">IF($G$2849=0,0,G2771/$G$2849)</f>
        <v>5.39414700391303E-007</v>
      </c>
      <c r="I2771" s="37" t="n">
        <f aca="false">I2770+H2771</f>
        <v>0.999976113509618</v>
      </c>
      <c r="J2771" s="37" t="n">
        <f aca="false">A2771/2840</f>
        <v>0.973239436619718</v>
      </c>
      <c r="K2771" s="32" t="str">
        <f aca="false">IF(I2771&lt;=$E$4,"A",IF(I2771&lt;=$E$5,"B","C"))</f>
        <v>C</v>
      </c>
    </row>
    <row r="2772" customFormat="false" ht="15" hidden="false" customHeight="false" outlineLevel="0" collapsed="false">
      <c r="A2772" s="32" t="n">
        <v>2765</v>
      </c>
      <c r="B2772" s="33" t="n">
        <v>839996</v>
      </c>
      <c r="C2772" s="34" t="s">
        <v>5615</v>
      </c>
      <c r="D2772" s="34" t="s">
        <v>5616</v>
      </c>
      <c r="E2772" s="34" t="s">
        <v>54</v>
      </c>
      <c r="F2772" s="32" t="n">
        <f aca="false">COUNTIF(Base!$D$2:$D$2878,B2772)</f>
        <v>1</v>
      </c>
      <c r="G2772" s="35" t="n">
        <f aca="false">SUMIF(Base!$D$2:$D$2878,B2772,Base!$I$2:$I$2878)</f>
        <v>8.07</v>
      </c>
      <c r="H2772" s="36" t="n">
        <f aca="false">IF($G$2849=0,0,G2772/$G$2849)</f>
        <v>5.29571366442557E-007</v>
      </c>
      <c r="I2772" s="37" t="n">
        <f aca="false">I2771+H2772</f>
        <v>0.999976643080984</v>
      </c>
      <c r="J2772" s="37" t="n">
        <f aca="false">A2772/2840</f>
        <v>0.973591549295775</v>
      </c>
      <c r="K2772" s="32" t="str">
        <f aca="false">IF(I2772&lt;=$E$4,"A",IF(I2772&lt;=$E$5,"B","C"))</f>
        <v>C</v>
      </c>
    </row>
    <row r="2773" customFormat="false" ht="15" hidden="false" customHeight="false" outlineLevel="0" collapsed="false">
      <c r="A2773" s="32" t="n">
        <v>2766</v>
      </c>
      <c r="B2773" s="33" t="n">
        <v>277198</v>
      </c>
      <c r="C2773" s="34" t="s">
        <v>5617</v>
      </c>
      <c r="D2773" s="34" t="s">
        <v>5618</v>
      </c>
      <c r="E2773" s="34" t="s">
        <v>189</v>
      </c>
      <c r="F2773" s="32" t="n">
        <f aca="false">COUNTIF(Base!$D$2:$D$2878,B2773)</f>
        <v>1</v>
      </c>
      <c r="G2773" s="35" t="n">
        <f aca="false">SUMIF(Base!$D$2:$D$2878,B2773,Base!$I$2:$I$2878)</f>
        <v>8</v>
      </c>
      <c r="H2773" s="36" t="n">
        <f aca="false">IF($G$2849=0,0,G2773/$G$2849)</f>
        <v>5.24977810599808E-007</v>
      </c>
      <c r="I2773" s="37" t="n">
        <f aca="false">I2772+H2773</f>
        <v>0.999977168058795</v>
      </c>
      <c r="J2773" s="37" t="n">
        <f aca="false">A2773/2840</f>
        <v>0.973943661971831</v>
      </c>
      <c r="K2773" s="32" t="str">
        <f aca="false">IF(I2773&lt;=$E$4,"A",IF(I2773&lt;=$E$5,"B","C"))</f>
        <v>C</v>
      </c>
    </row>
    <row r="2774" customFormat="false" ht="15" hidden="false" customHeight="false" outlineLevel="0" collapsed="false">
      <c r="A2774" s="32" t="n">
        <v>2767</v>
      </c>
      <c r="B2774" s="33" t="n">
        <v>879111</v>
      </c>
      <c r="C2774" s="34" t="s">
        <v>5619</v>
      </c>
      <c r="D2774" s="34" t="s">
        <v>5620</v>
      </c>
      <c r="E2774" s="34" t="s">
        <v>2056</v>
      </c>
      <c r="F2774" s="32" t="n">
        <f aca="false">COUNTIF(Base!$D$2:$D$2878,B2774)</f>
        <v>1</v>
      </c>
      <c r="G2774" s="35" t="n">
        <f aca="false">SUMIF(Base!$D$2:$D$2878,B2774,Base!$I$2:$I$2878)</f>
        <v>8</v>
      </c>
      <c r="H2774" s="36" t="n">
        <f aca="false">IF($G$2849=0,0,G2774/$G$2849)</f>
        <v>5.24977810599808E-007</v>
      </c>
      <c r="I2774" s="37" t="n">
        <f aca="false">I2773+H2774</f>
        <v>0.999977693036605</v>
      </c>
      <c r="J2774" s="37" t="n">
        <f aca="false">A2774/2840</f>
        <v>0.974295774647887</v>
      </c>
      <c r="K2774" s="32" t="str">
        <f aca="false">IF(I2774&lt;=$E$4,"A",IF(I2774&lt;=$E$5,"B","C"))</f>
        <v>C</v>
      </c>
    </row>
    <row r="2775" customFormat="false" ht="15" hidden="false" customHeight="false" outlineLevel="0" collapsed="false">
      <c r="A2775" s="32" t="n">
        <v>2768</v>
      </c>
      <c r="B2775" s="33" t="n">
        <v>14628</v>
      </c>
      <c r="C2775" s="34" t="s">
        <v>5621</v>
      </c>
      <c r="D2775" s="34" t="s">
        <v>5622</v>
      </c>
      <c r="E2775" s="34" t="s">
        <v>54</v>
      </c>
      <c r="F2775" s="32" t="n">
        <f aca="false">COUNTIF(Base!$D$2:$D$2878,B2775)</f>
        <v>1</v>
      </c>
      <c r="G2775" s="35" t="n">
        <f aca="false">SUMIF(Base!$D$2:$D$2878,B2775,Base!$I$2:$I$2878)</f>
        <v>7.98</v>
      </c>
      <c r="H2775" s="36" t="n">
        <f aca="false">IF($G$2849=0,0,G2775/$G$2849)</f>
        <v>5.23665366073309E-007</v>
      </c>
      <c r="I2775" s="37" t="n">
        <f aca="false">I2774+H2775</f>
        <v>0.999978216701971</v>
      </c>
      <c r="J2775" s="37" t="n">
        <f aca="false">A2775/2840</f>
        <v>0.974647887323944</v>
      </c>
      <c r="K2775" s="32" t="str">
        <f aca="false">IF(I2775&lt;=$E$4,"A",IF(I2775&lt;=$E$5,"B","C"))</f>
        <v>C</v>
      </c>
    </row>
    <row r="2776" customFormat="false" ht="15" hidden="false" customHeight="false" outlineLevel="0" collapsed="false">
      <c r="A2776" s="32" t="n">
        <v>2769</v>
      </c>
      <c r="B2776" s="33" t="n">
        <v>34095</v>
      </c>
      <c r="C2776" s="34" t="s">
        <v>5623</v>
      </c>
      <c r="D2776" s="34" t="s">
        <v>5624</v>
      </c>
      <c r="E2776" s="34" t="s">
        <v>705</v>
      </c>
      <c r="F2776" s="32" t="n">
        <f aca="false">COUNTIF(Base!$D$2:$D$2878,B2776)</f>
        <v>1</v>
      </c>
      <c r="G2776" s="35" t="n">
        <f aca="false">SUMIF(Base!$D$2:$D$2878,B2776,Base!$I$2:$I$2878)</f>
        <v>7.96</v>
      </c>
      <c r="H2776" s="36" t="n">
        <f aca="false">IF($G$2849=0,0,G2776/$G$2849)</f>
        <v>5.22352921546809E-007</v>
      </c>
      <c r="I2776" s="37" t="n">
        <f aca="false">I2775+H2776</f>
        <v>0.999978739054893</v>
      </c>
      <c r="J2776" s="37" t="n">
        <f aca="false">A2776/2840</f>
        <v>0.975</v>
      </c>
      <c r="K2776" s="32" t="str">
        <f aca="false">IF(I2776&lt;=$E$4,"A",IF(I2776&lt;=$E$5,"B","C"))</f>
        <v>C</v>
      </c>
    </row>
    <row r="2777" customFormat="false" ht="15" hidden="false" customHeight="false" outlineLevel="0" collapsed="false">
      <c r="A2777" s="32" t="n">
        <v>2770</v>
      </c>
      <c r="B2777" s="33" t="n">
        <v>32057</v>
      </c>
      <c r="C2777" s="34" t="s">
        <v>5625</v>
      </c>
      <c r="D2777" s="34" t="s">
        <v>5626</v>
      </c>
      <c r="E2777" s="34" t="s">
        <v>189</v>
      </c>
      <c r="F2777" s="32" t="n">
        <f aca="false">COUNTIF(Base!$D$2:$D$2878,B2777)</f>
        <v>1</v>
      </c>
      <c r="G2777" s="35" t="n">
        <f aca="false">SUMIF(Base!$D$2:$D$2878,B2777,Base!$I$2:$I$2878)</f>
        <v>7.92</v>
      </c>
      <c r="H2777" s="36" t="n">
        <f aca="false">IF($G$2849=0,0,G2777/$G$2849)</f>
        <v>5.1972803249381E-007</v>
      </c>
      <c r="I2777" s="37" t="n">
        <f aca="false">I2776+H2777</f>
        <v>0.999979258782925</v>
      </c>
      <c r="J2777" s="37" t="n">
        <f aca="false">A2777/2840</f>
        <v>0.975352112676056</v>
      </c>
      <c r="K2777" s="32" t="str">
        <f aca="false">IF(I2777&lt;=$E$4,"A",IF(I2777&lt;=$E$5,"B","C"))</f>
        <v>C</v>
      </c>
    </row>
    <row r="2778" customFormat="false" ht="15" hidden="false" customHeight="false" outlineLevel="0" collapsed="false">
      <c r="A2778" s="32" t="n">
        <v>2771</v>
      </c>
      <c r="B2778" s="33" t="n">
        <v>55071</v>
      </c>
      <c r="C2778" s="34" t="s">
        <v>5627</v>
      </c>
      <c r="D2778" s="34" t="s">
        <v>5628</v>
      </c>
      <c r="E2778" s="34" t="s">
        <v>38</v>
      </c>
      <c r="F2778" s="32" t="n">
        <f aca="false">COUNTIF(Base!$D$2:$D$2878,B2778)</f>
        <v>1</v>
      </c>
      <c r="G2778" s="35" t="n">
        <f aca="false">SUMIF(Base!$D$2:$D$2878,B2778,Base!$I$2:$I$2878)</f>
        <v>7.9</v>
      </c>
      <c r="H2778" s="36" t="n">
        <f aca="false">IF($G$2849=0,0,G2778/$G$2849)</f>
        <v>5.18415587967311E-007</v>
      </c>
      <c r="I2778" s="37" t="n">
        <f aca="false">I2777+H2778</f>
        <v>0.999979777198513</v>
      </c>
      <c r="J2778" s="37" t="n">
        <f aca="false">A2778/2840</f>
        <v>0.975704225352113</v>
      </c>
      <c r="K2778" s="32" t="str">
        <f aca="false">IF(I2778&lt;=$E$4,"A",IF(I2778&lt;=$E$5,"B","C"))</f>
        <v>C</v>
      </c>
    </row>
    <row r="2779" customFormat="false" ht="15" hidden="false" customHeight="false" outlineLevel="0" collapsed="false">
      <c r="A2779" s="32" t="n">
        <v>2772</v>
      </c>
      <c r="B2779" s="33" t="n">
        <v>16884</v>
      </c>
      <c r="C2779" s="34" t="s">
        <v>5629</v>
      </c>
      <c r="D2779" s="34" t="s">
        <v>5630</v>
      </c>
      <c r="E2779" s="34" t="s">
        <v>100</v>
      </c>
      <c r="F2779" s="32" t="n">
        <f aca="false">COUNTIF(Base!$D$2:$D$2878,B2779)</f>
        <v>1</v>
      </c>
      <c r="G2779" s="35" t="n">
        <f aca="false">SUMIF(Base!$D$2:$D$2878,B2779,Base!$I$2:$I$2878)</f>
        <v>7.84</v>
      </c>
      <c r="H2779" s="36" t="n">
        <f aca="false">IF($G$2849=0,0,G2779/$G$2849)</f>
        <v>5.14478254387812E-007</v>
      </c>
      <c r="I2779" s="37" t="n">
        <f aca="false">I2778+H2779</f>
        <v>0.999980291676768</v>
      </c>
      <c r="J2779" s="37" t="n">
        <f aca="false">A2779/2840</f>
        <v>0.976056338028169</v>
      </c>
      <c r="K2779" s="32" t="str">
        <f aca="false">IF(I2779&lt;=$E$4,"A",IF(I2779&lt;=$E$5,"B","C"))</f>
        <v>C</v>
      </c>
    </row>
    <row r="2780" customFormat="false" ht="15" hidden="false" customHeight="false" outlineLevel="0" collapsed="false">
      <c r="A2780" s="32" t="n">
        <v>2773</v>
      </c>
      <c r="B2780" s="33" t="n">
        <v>1096374</v>
      </c>
      <c r="C2780" s="34" t="s">
        <v>5631</v>
      </c>
      <c r="D2780" s="34" t="s">
        <v>5632</v>
      </c>
      <c r="E2780" s="34" t="s">
        <v>100</v>
      </c>
      <c r="F2780" s="32" t="n">
        <f aca="false">COUNTIF(Base!$D$2:$D$2878,B2780)</f>
        <v>1</v>
      </c>
      <c r="G2780" s="35" t="n">
        <f aca="false">SUMIF(Base!$D$2:$D$2878,B2780,Base!$I$2:$I$2878)</f>
        <v>7.84</v>
      </c>
      <c r="H2780" s="36" t="n">
        <f aca="false">IF($G$2849=0,0,G2780/$G$2849)</f>
        <v>5.14478254387812E-007</v>
      </c>
      <c r="I2780" s="37" t="n">
        <f aca="false">I2779+H2780</f>
        <v>0.999980806155022</v>
      </c>
      <c r="J2780" s="37" t="n">
        <f aca="false">A2780/2840</f>
        <v>0.976408450704225</v>
      </c>
      <c r="K2780" s="32" t="str">
        <f aca="false">IF(I2780&lt;=$E$4,"A",IF(I2780&lt;=$E$5,"B","C"))</f>
        <v>C</v>
      </c>
    </row>
    <row r="2781" customFormat="false" ht="15" hidden="false" customHeight="false" outlineLevel="0" collapsed="false">
      <c r="A2781" s="32" t="n">
        <v>2774</v>
      </c>
      <c r="B2781" s="33" t="n">
        <v>55411</v>
      </c>
      <c r="C2781" s="34" t="s">
        <v>5633</v>
      </c>
      <c r="D2781" s="34" t="s">
        <v>5634</v>
      </c>
      <c r="E2781" s="34" t="s">
        <v>130</v>
      </c>
      <c r="F2781" s="32" t="n">
        <f aca="false">COUNTIF(Base!$D$2:$D$2878,B2781)</f>
        <v>1</v>
      </c>
      <c r="G2781" s="35" t="n">
        <f aca="false">SUMIF(Base!$D$2:$D$2878,B2781,Base!$I$2:$I$2878)</f>
        <v>7.8</v>
      </c>
      <c r="H2781" s="36" t="n">
        <f aca="false">IF($G$2849=0,0,G2781/$G$2849)</f>
        <v>5.11853365334813E-007</v>
      </c>
      <c r="I2781" s="37" t="n">
        <f aca="false">I2780+H2781</f>
        <v>0.999981318008388</v>
      </c>
      <c r="J2781" s="37" t="n">
        <f aca="false">A2781/2840</f>
        <v>0.976760563380282</v>
      </c>
      <c r="K2781" s="32" t="str">
        <f aca="false">IF(I2781&lt;=$E$4,"A",IF(I2781&lt;=$E$5,"B","C"))</f>
        <v>C</v>
      </c>
    </row>
    <row r="2782" customFormat="false" ht="15" hidden="false" customHeight="false" outlineLevel="0" collapsed="false">
      <c r="A2782" s="32" t="n">
        <v>2775</v>
      </c>
      <c r="B2782" s="33" t="n">
        <v>609655</v>
      </c>
      <c r="C2782" s="34" t="s">
        <v>5635</v>
      </c>
      <c r="D2782" s="34" t="s">
        <v>5636</v>
      </c>
      <c r="E2782" s="34" t="s">
        <v>130</v>
      </c>
      <c r="F2782" s="32" t="n">
        <f aca="false">COUNTIF(Base!$D$2:$D$2878,B2782)</f>
        <v>1</v>
      </c>
      <c r="G2782" s="35" t="n">
        <f aca="false">SUMIF(Base!$D$2:$D$2878,B2782,Base!$I$2:$I$2878)</f>
        <v>7.8</v>
      </c>
      <c r="H2782" s="36" t="n">
        <f aca="false">IF($G$2849=0,0,G2782/$G$2849)</f>
        <v>5.11853365334813E-007</v>
      </c>
      <c r="I2782" s="37" t="n">
        <f aca="false">I2781+H2782</f>
        <v>0.999981829861753</v>
      </c>
      <c r="J2782" s="37" t="n">
        <f aca="false">A2782/2840</f>
        <v>0.977112676056338</v>
      </c>
      <c r="K2782" s="32" t="str">
        <f aca="false">IF(I2782&lt;=$E$4,"A",IF(I2782&lt;=$E$5,"B","C"))</f>
        <v>C</v>
      </c>
    </row>
    <row r="2783" customFormat="false" ht="15" hidden="false" customHeight="false" outlineLevel="0" collapsed="false">
      <c r="A2783" s="32" t="n">
        <v>2776</v>
      </c>
      <c r="B2783" s="33" t="n">
        <v>1662387</v>
      </c>
      <c r="C2783" s="34" t="s">
        <v>5637</v>
      </c>
      <c r="D2783" s="34" t="s">
        <v>5638</v>
      </c>
      <c r="E2783" s="34" t="s">
        <v>100</v>
      </c>
      <c r="F2783" s="32" t="n">
        <f aca="false">COUNTIF(Base!$D$2:$D$2878,B2783)</f>
        <v>1</v>
      </c>
      <c r="G2783" s="35" t="n">
        <f aca="false">SUMIF(Base!$D$2:$D$2878,B2783,Base!$I$2:$I$2878)</f>
        <v>7.67</v>
      </c>
      <c r="H2783" s="36" t="n">
        <f aca="false">IF($G$2849=0,0,G2783/$G$2849)</f>
        <v>5.03322475912566E-007</v>
      </c>
      <c r="I2783" s="37" t="n">
        <f aca="false">I2782+H2783</f>
        <v>0.999982333184229</v>
      </c>
      <c r="J2783" s="37" t="n">
        <f aca="false">A2783/2840</f>
        <v>0.977464788732394</v>
      </c>
      <c r="K2783" s="32" t="str">
        <f aca="false">IF(I2783&lt;=$E$4,"A",IF(I2783&lt;=$E$5,"B","C"))</f>
        <v>C</v>
      </c>
    </row>
    <row r="2784" customFormat="false" ht="15" hidden="false" customHeight="false" outlineLevel="0" collapsed="false">
      <c r="A2784" s="32" t="n">
        <v>2777</v>
      </c>
      <c r="B2784" s="33" t="n">
        <v>1484400</v>
      </c>
      <c r="C2784" s="34" t="s">
        <v>5639</v>
      </c>
      <c r="D2784" s="34" t="s">
        <v>5640</v>
      </c>
      <c r="E2784" s="34" t="s">
        <v>54</v>
      </c>
      <c r="F2784" s="32" t="n">
        <f aca="false">COUNTIF(Base!$D$2:$D$2878,B2784)</f>
        <v>1</v>
      </c>
      <c r="G2784" s="35" t="n">
        <f aca="false">SUMIF(Base!$D$2:$D$2878,B2784,Base!$I$2:$I$2878)</f>
        <v>7.48</v>
      </c>
      <c r="H2784" s="36" t="n">
        <f aca="false">IF($G$2849=0,0,G2784/$G$2849)</f>
        <v>4.90854252910821E-007</v>
      </c>
      <c r="I2784" s="37" t="n">
        <f aca="false">I2783+H2784</f>
        <v>0.999982824038482</v>
      </c>
      <c r="J2784" s="37" t="n">
        <f aca="false">A2784/2840</f>
        <v>0.977816901408451</v>
      </c>
      <c r="K2784" s="32" t="str">
        <f aca="false">IF(I2784&lt;=$E$4,"A",IF(I2784&lt;=$E$5,"B","C"))</f>
        <v>C</v>
      </c>
    </row>
    <row r="2785" customFormat="false" ht="15" hidden="false" customHeight="false" outlineLevel="0" collapsed="false">
      <c r="A2785" s="32" t="n">
        <v>2778</v>
      </c>
      <c r="B2785" s="33" t="n">
        <v>13148</v>
      </c>
      <c r="C2785" s="34" t="s">
        <v>5641</v>
      </c>
      <c r="D2785" s="34" t="s">
        <v>5642</v>
      </c>
      <c r="E2785" s="34" t="s">
        <v>38</v>
      </c>
      <c r="F2785" s="32" t="n">
        <f aca="false">COUNTIF(Base!$D$2:$D$2878,B2785)</f>
        <v>1</v>
      </c>
      <c r="G2785" s="35" t="n">
        <f aca="false">SUMIF(Base!$D$2:$D$2878,B2785,Base!$I$2:$I$2878)</f>
        <v>7</v>
      </c>
      <c r="H2785" s="36" t="n">
        <f aca="false">IF($G$2849=0,0,G2785/$G$2849)</f>
        <v>4.59355584274832E-007</v>
      </c>
      <c r="I2785" s="37" t="n">
        <f aca="false">I2784+H2785</f>
        <v>0.999983283394066</v>
      </c>
      <c r="J2785" s="37" t="n">
        <f aca="false">A2785/2840</f>
        <v>0.978169014084507</v>
      </c>
      <c r="K2785" s="32" t="str">
        <f aca="false">IF(I2785&lt;=$E$4,"A",IF(I2785&lt;=$E$5,"B","C"))</f>
        <v>C</v>
      </c>
    </row>
    <row r="2786" customFormat="false" ht="15" hidden="false" customHeight="false" outlineLevel="0" collapsed="false">
      <c r="A2786" s="32" t="n">
        <v>2779</v>
      </c>
      <c r="B2786" s="33" t="n">
        <v>56737</v>
      </c>
      <c r="C2786" s="34" t="s">
        <v>5643</v>
      </c>
      <c r="D2786" s="34" t="s">
        <v>5644</v>
      </c>
      <c r="E2786" s="34" t="s">
        <v>38</v>
      </c>
      <c r="F2786" s="32" t="n">
        <f aca="false">COUNTIF(Base!$D$2:$D$2878,B2786)</f>
        <v>1</v>
      </c>
      <c r="G2786" s="35" t="n">
        <f aca="false">SUMIF(Base!$D$2:$D$2878,B2786,Base!$I$2:$I$2878)</f>
        <v>7</v>
      </c>
      <c r="H2786" s="36" t="n">
        <f aca="false">IF($G$2849=0,0,G2786/$G$2849)</f>
        <v>4.59355584274832E-007</v>
      </c>
      <c r="I2786" s="37" t="n">
        <f aca="false">I2785+H2786</f>
        <v>0.99998374274965</v>
      </c>
      <c r="J2786" s="37" t="n">
        <f aca="false">A2786/2840</f>
        <v>0.978521126760563</v>
      </c>
      <c r="K2786" s="32" t="str">
        <f aca="false">IF(I2786&lt;=$E$4,"A",IF(I2786&lt;=$E$5,"B","C"))</f>
        <v>C</v>
      </c>
    </row>
    <row r="2787" customFormat="false" ht="15" hidden="false" customHeight="false" outlineLevel="0" collapsed="false">
      <c r="A2787" s="32" t="n">
        <v>2780</v>
      </c>
      <c r="B2787" s="33" t="n">
        <v>232747</v>
      </c>
      <c r="C2787" s="34" t="s">
        <v>5645</v>
      </c>
      <c r="D2787" s="34" t="s">
        <v>5646</v>
      </c>
      <c r="E2787" s="34" t="s">
        <v>100</v>
      </c>
      <c r="F2787" s="32" t="n">
        <f aca="false">COUNTIF(Base!$D$2:$D$2878,B2787)</f>
        <v>1</v>
      </c>
      <c r="G2787" s="35" t="n">
        <f aca="false">SUMIF(Base!$D$2:$D$2878,B2787,Base!$I$2:$I$2878)</f>
        <v>6.72</v>
      </c>
      <c r="H2787" s="36" t="n">
        <f aca="false">IF($G$2849=0,0,G2787/$G$2849)</f>
        <v>4.40981360903839E-007</v>
      </c>
      <c r="I2787" s="37" t="n">
        <f aca="false">I2786+H2787</f>
        <v>0.999984183731011</v>
      </c>
      <c r="J2787" s="37" t="n">
        <f aca="false">A2787/2840</f>
        <v>0.97887323943662</v>
      </c>
      <c r="K2787" s="32" t="str">
        <f aca="false">IF(I2787&lt;=$E$4,"A",IF(I2787&lt;=$E$5,"B","C"))</f>
        <v>C</v>
      </c>
    </row>
    <row r="2788" customFormat="false" ht="15" hidden="false" customHeight="false" outlineLevel="0" collapsed="false">
      <c r="A2788" s="32" t="n">
        <v>2781</v>
      </c>
      <c r="B2788" s="33" t="n">
        <v>14738</v>
      </c>
      <c r="C2788" s="34" t="s">
        <v>5647</v>
      </c>
      <c r="D2788" s="34" t="s">
        <v>5648</v>
      </c>
      <c r="E2788" s="34" t="s">
        <v>54</v>
      </c>
      <c r="F2788" s="32" t="n">
        <f aca="false">COUNTIF(Base!$D$2:$D$2878,B2788)</f>
        <v>1</v>
      </c>
      <c r="G2788" s="35" t="n">
        <f aca="false">SUMIF(Base!$D$2:$D$2878,B2788,Base!$I$2:$I$2878)</f>
        <v>6.56</v>
      </c>
      <c r="H2788" s="36" t="n">
        <f aca="false">IF($G$2849=0,0,G2788/$G$2849)</f>
        <v>4.30481804691843E-007</v>
      </c>
      <c r="I2788" s="37" t="n">
        <f aca="false">I2787+H2788</f>
        <v>0.999984614212816</v>
      </c>
      <c r="J2788" s="37" t="n">
        <f aca="false">A2788/2840</f>
        <v>0.979225352112676</v>
      </c>
      <c r="K2788" s="32" t="str">
        <f aca="false">IF(I2788&lt;=$E$4,"A",IF(I2788&lt;=$E$5,"B","C"))</f>
        <v>C</v>
      </c>
    </row>
    <row r="2789" customFormat="false" ht="15" hidden="false" customHeight="false" outlineLevel="0" collapsed="false">
      <c r="A2789" s="32" t="n">
        <v>2782</v>
      </c>
      <c r="B2789" s="33" t="n">
        <v>65218</v>
      </c>
      <c r="C2789" s="34" t="s">
        <v>5649</v>
      </c>
      <c r="D2789" s="34" t="s">
        <v>5650</v>
      </c>
      <c r="E2789" s="34" t="s">
        <v>2056</v>
      </c>
      <c r="F2789" s="32" t="n">
        <f aca="false">COUNTIF(Base!$D$2:$D$2878,B2789)</f>
        <v>1</v>
      </c>
      <c r="G2789" s="35" t="n">
        <f aca="false">SUMIF(Base!$D$2:$D$2878,B2789,Base!$I$2:$I$2878)</f>
        <v>6.4</v>
      </c>
      <c r="H2789" s="36" t="n">
        <f aca="false">IF($G$2849=0,0,G2789/$G$2849)</f>
        <v>4.19982248479847E-007</v>
      </c>
      <c r="I2789" s="37" t="n">
        <f aca="false">I2788+H2789</f>
        <v>0.999985034195064</v>
      </c>
      <c r="J2789" s="37" t="n">
        <f aca="false">A2789/2840</f>
        <v>0.979577464788732</v>
      </c>
      <c r="K2789" s="32" t="str">
        <f aca="false">IF(I2789&lt;=$E$4,"A",IF(I2789&lt;=$E$5,"B","C"))</f>
        <v>C</v>
      </c>
    </row>
    <row r="2790" customFormat="false" ht="15" hidden="false" customHeight="false" outlineLevel="0" collapsed="false">
      <c r="A2790" s="32" t="n">
        <v>2783</v>
      </c>
      <c r="B2790" s="33" t="n">
        <v>389234</v>
      </c>
      <c r="C2790" s="34" t="s">
        <v>5651</v>
      </c>
      <c r="D2790" s="34" t="s">
        <v>5652</v>
      </c>
      <c r="E2790" s="34" t="s">
        <v>100</v>
      </c>
      <c r="F2790" s="32" t="n">
        <f aca="false">COUNTIF(Base!$D$2:$D$2878,B2790)</f>
        <v>1</v>
      </c>
      <c r="G2790" s="35" t="n">
        <f aca="false">SUMIF(Base!$D$2:$D$2878,B2790,Base!$I$2:$I$2878)</f>
        <v>6.36</v>
      </c>
      <c r="H2790" s="36" t="n">
        <f aca="false">IF($G$2849=0,0,G2790/$G$2849)</f>
        <v>4.17357359426848E-007</v>
      </c>
      <c r="I2790" s="37" t="n">
        <f aca="false">I2789+H2790</f>
        <v>0.999985451552424</v>
      </c>
      <c r="J2790" s="37" t="n">
        <f aca="false">A2790/2840</f>
        <v>0.979929577464789</v>
      </c>
      <c r="K2790" s="32" t="str">
        <f aca="false">IF(I2790&lt;=$E$4,"A",IF(I2790&lt;=$E$5,"B","C"))</f>
        <v>C</v>
      </c>
    </row>
    <row r="2791" customFormat="false" ht="15" hidden="false" customHeight="false" outlineLevel="0" collapsed="false">
      <c r="A2791" s="32" t="n">
        <v>2784</v>
      </c>
      <c r="B2791" s="33" t="n">
        <v>16956</v>
      </c>
      <c r="C2791" s="34" t="s">
        <v>5653</v>
      </c>
      <c r="D2791" s="34" t="s">
        <v>5654</v>
      </c>
      <c r="E2791" s="34" t="s">
        <v>100</v>
      </c>
      <c r="F2791" s="32" t="n">
        <f aca="false">COUNTIF(Base!$D$2:$D$2878,B2791)</f>
        <v>1</v>
      </c>
      <c r="G2791" s="35" t="n">
        <f aca="false">SUMIF(Base!$D$2:$D$2878,B2791,Base!$I$2:$I$2878)</f>
        <v>6.32</v>
      </c>
      <c r="H2791" s="36" t="n">
        <f aca="false">IF($G$2849=0,0,G2791/$G$2849)</f>
        <v>4.14732470373848E-007</v>
      </c>
      <c r="I2791" s="37" t="n">
        <f aca="false">I2790+H2791</f>
        <v>0.999985866284894</v>
      </c>
      <c r="J2791" s="37" t="n">
        <f aca="false">A2791/2840</f>
        <v>0.980281690140845</v>
      </c>
      <c r="K2791" s="32" t="str">
        <f aca="false">IF(I2791&lt;=$E$4,"A",IF(I2791&lt;=$E$5,"B","C"))</f>
        <v>C</v>
      </c>
    </row>
    <row r="2792" customFormat="false" ht="15" hidden="false" customHeight="false" outlineLevel="0" collapsed="false">
      <c r="A2792" s="32" t="n">
        <v>2785</v>
      </c>
      <c r="B2792" s="33" t="n">
        <v>21468</v>
      </c>
      <c r="C2792" s="34" t="s">
        <v>5655</v>
      </c>
      <c r="D2792" s="34" t="s">
        <v>5656</v>
      </c>
      <c r="E2792" s="34" t="s">
        <v>189</v>
      </c>
      <c r="F2792" s="32" t="n">
        <f aca="false">COUNTIF(Base!$D$2:$D$2878,B2792)</f>
        <v>1</v>
      </c>
      <c r="G2792" s="35" t="n">
        <f aca="false">SUMIF(Base!$D$2:$D$2878,B2792,Base!$I$2:$I$2878)</f>
        <v>6.32</v>
      </c>
      <c r="H2792" s="36" t="n">
        <f aca="false">IF($G$2849=0,0,G2792/$G$2849)</f>
        <v>4.14732470373848E-007</v>
      </c>
      <c r="I2792" s="37" t="n">
        <f aca="false">I2791+H2792</f>
        <v>0.999986281017364</v>
      </c>
      <c r="J2792" s="37" t="n">
        <f aca="false">A2792/2840</f>
        <v>0.980633802816901</v>
      </c>
      <c r="K2792" s="32" t="str">
        <f aca="false">IF(I2792&lt;=$E$4,"A",IF(I2792&lt;=$E$5,"B","C"))</f>
        <v>C</v>
      </c>
    </row>
    <row r="2793" customFormat="false" ht="15" hidden="false" customHeight="false" outlineLevel="0" collapsed="false">
      <c r="A2793" s="32" t="n">
        <v>2786</v>
      </c>
      <c r="B2793" s="33" t="n">
        <v>942226</v>
      </c>
      <c r="C2793" s="34" t="s">
        <v>5657</v>
      </c>
      <c r="D2793" s="34" t="s">
        <v>5658</v>
      </c>
      <c r="E2793" s="34" t="s">
        <v>100</v>
      </c>
      <c r="F2793" s="32" t="n">
        <f aca="false">COUNTIF(Base!$D$2:$D$2878,B2793)</f>
        <v>1</v>
      </c>
      <c r="G2793" s="35" t="n">
        <f aca="false">SUMIF(Base!$D$2:$D$2878,B2793,Base!$I$2:$I$2878)</f>
        <v>6.12</v>
      </c>
      <c r="H2793" s="36" t="n">
        <f aca="false">IF($G$2849=0,0,G2793/$G$2849)</f>
        <v>4.01608025108853E-007</v>
      </c>
      <c r="I2793" s="37" t="n">
        <f aca="false">I2792+H2793</f>
        <v>0.99998668262539</v>
      </c>
      <c r="J2793" s="37" t="n">
        <f aca="false">A2793/2840</f>
        <v>0.980985915492958</v>
      </c>
      <c r="K2793" s="32" t="str">
        <f aca="false">IF(I2793&lt;=$E$4,"A",IF(I2793&lt;=$E$5,"B","C"))</f>
        <v>C</v>
      </c>
    </row>
    <row r="2794" customFormat="false" ht="15" hidden="false" customHeight="false" outlineLevel="0" collapsed="false">
      <c r="A2794" s="32" t="n">
        <v>2787</v>
      </c>
      <c r="B2794" s="33" t="n">
        <v>275375</v>
      </c>
      <c r="C2794" s="34" t="s">
        <v>5659</v>
      </c>
      <c r="D2794" s="34" t="s">
        <v>5660</v>
      </c>
      <c r="E2794" s="34" t="s">
        <v>38</v>
      </c>
      <c r="F2794" s="32" t="n">
        <f aca="false">COUNTIF(Base!$D$2:$D$2878,B2794)</f>
        <v>1</v>
      </c>
      <c r="G2794" s="35" t="n">
        <f aca="false">SUMIF(Base!$D$2:$D$2878,B2794,Base!$I$2:$I$2878)</f>
        <v>6</v>
      </c>
      <c r="H2794" s="36" t="n">
        <f aca="false">IF($G$2849=0,0,G2794/$G$2849)</f>
        <v>3.93733357949856E-007</v>
      </c>
      <c r="I2794" s="37" t="n">
        <f aca="false">I2793+H2794</f>
        <v>0.999987076358747</v>
      </c>
      <c r="J2794" s="37" t="n">
        <f aca="false">A2794/2840</f>
        <v>0.981338028169014</v>
      </c>
      <c r="K2794" s="32" t="str">
        <f aca="false">IF(I2794&lt;=$E$4,"A",IF(I2794&lt;=$E$5,"B","C"))</f>
        <v>C</v>
      </c>
    </row>
    <row r="2795" customFormat="false" ht="15" hidden="false" customHeight="false" outlineLevel="0" collapsed="false">
      <c r="A2795" s="32" t="n">
        <v>2788</v>
      </c>
      <c r="B2795" s="33" t="n">
        <v>389287</v>
      </c>
      <c r="C2795" s="34" t="s">
        <v>5661</v>
      </c>
      <c r="D2795" s="34" t="s">
        <v>5662</v>
      </c>
      <c r="E2795" s="34" t="s">
        <v>38</v>
      </c>
      <c r="F2795" s="32" t="n">
        <f aca="false">COUNTIF(Base!$D$2:$D$2878,B2795)</f>
        <v>1</v>
      </c>
      <c r="G2795" s="35" t="n">
        <f aca="false">SUMIF(Base!$D$2:$D$2878,B2795,Base!$I$2:$I$2878)</f>
        <v>6</v>
      </c>
      <c r="H2795" s="36" t="n">
        <f aca="false">IF($G$2849=0,0,G2795/$G$2849)</f>
        <v>3.93733357949856E-007</v>
      </c>
      <c r="I2795" s="37" t="n">
        <f aca="false">I2794+H2795</f>
        <v>0.999987470092105</v>
      </c>
      <c r="J2795" s="37" t="n">
        <f aca="false">A2795/2840</f>
        <v>0.98169014084507</v>
      </c>
      <c r="K2795" s="32" t="str">
        <f aca="false">IF(I2795&lt;=$E$4,"A",IF(I2795&lt;=$E$5,"B","C"))</f>
        <v>C</v>
      </c>
    </row>
    <row r="2796" customFormat="false" ht="15" hidden="false" customHeight="false" outlineLevel="0" collapsed="false">
      <c r="A2796" s="32" t="n">
        <v>2789</v>
      </c>
      <c r="B2796" s="33" t="n">
        <v>18271</v>
      </c>
      <c r="C2796" s="34" t="s">
        <v>5663</v>
      </c>
      <c r="D2796" s="34" t="s">
        <v>5664</v>
      </c>
      <c r="E2796" s="34" t="s">
        <v>1618</v>
      </c>
      <c r="F2796" s="32" t="n">
        <f aca="false">COUNTIF(Base!$D$2:$D$2878,B2796)</f>
        <v>1</v>
      </c>
      <c r="G2796" s="35" t="n">
        <f aca="false">SUMIF(Base!$D$2:$D$2878,B2796,Base!$I$2:$I$2878)</f>
        <v>5.98</v>
      </c>
      <c r="H2796" s="36" t="n">
        <f aca="false">IF($G$2849=0,0,G2796/$G$2849)</f>
        <v>3.92420913423357E-007</v>
      </c>
      <c r="I2796" s="37" t="n">
        <f aca="false">I2795+H2796</f>
        <v>0.999987862513019</v>
      </c>
      <c r="J2796" s="37" t="n">
        <f aca="false">A2796/2840</f>
        <v>0.982042253521127</v>
      </c>
      <c r="K2796" s="32" t="str">
        <f aca="false">IF(I2796&lt;=$E$4,"A",IF(I2796&lt;=$E$5,"B","C"))</f>
        <v>C</v>
      </c>
    </row>
    <row r="2797" customFormat="false" ht="15" hidden="false" customHeight="false" outlineLevel="0" collapsed="false">
      <c r="A2797" s="32" t="n">
        <v>2790</v>
      </c>
      <c r="B2797" s="33" t="n">
        <v>35302</v>
      </c>
      <c r="C2797" s="34" t="s">
        <v>5665</v>
      </c>
      <c r="D2797" s="34" t="s">
        <v>5666</v>
      </c>
      <c r="E2797" s="34" t="s">
        <v>705</v>
      </c>
      <c r="F2797" s="32" t="n">
        <f aca="false">COUNTIF(Base!$D$2:$D$2878,B2797)</f>
        <v>1</v>
      </c>
      <c r="G2797" s="35" t="n">
        <f aca="false">SUMIF(Base!$D$2:$D$2878,B2797,Base!$I$2:$I$2878)</f>
        <v>5.98</v>
      </c>
      <c r="H2797" s="36" t="n">
        <f aca="false">IF($G$2849=0,0,G2797/$G$2849)</f>
        <v>3.92420913423357E-007</v>
      </c>
      <c r="I2797" s="37" t="n">
        <f aca="false">I2796+H2797</f>
        <v>0.999988254933932</v>
      </c>
      <c r="J2797" s="37" t="n">
        <f aca="false">A2797/2840</f>
        <v>0.982394366197183</v>
      </c>
      <c r="K2797" s="32" t="str">
        <f aca="false">IF(I2797&lt;=$E$4,"A",IF(I2797&lt;=$E$5,"B","C"))</f>
        <v>C</v>
      </c>
    </row>
    <row r="2798" customFormat="false" ht="15" hidden="false" customHeight="false" outlineLevel="0" collapsed="false">
      <c r="A2798" s="32" t="n">
        <v>2791</v>
      </c>
      <c r="B2798" s="33" t="n">
        <v>1388998</v>
      </c>
      <c r="C2798" s="34" t="s">
        <v>5667</v>
      </c>
      <c r="D2798" s="34" t="s">
        <v>5668</v>
      </c>
      <c r="E2798" s="34" t="s">
        <v>38</v>
      </c>
      <c r="F2798" s="32" t="n">
        <f aca="false">COUNTIF(Base!$D$2:$D$2878,B2798)</f>
        <v>1</v>
      </c>
      <c r="G2798" s="35" t="n">
        <f aca="false">SUMIF(Base!$D$2:$D$2878,B2798,Base!$I$2:$I$2878)</f>
        <v>5.98</v>
      </c>
      <c r="H2798" s="36" t="n">
        <f aca="false">IF($G$2849=0,0,G2798/$G$2849)</f>
        <v>3.92420913423357E-007</v>
      </c>
      <c r="I2798" s="37" t="n">
        <f aca="false">I2797+H2798</f>
        <v>0.999988647354846</v>
      </c>
      <c r="J2798" s="37" t="n">
        <f aca="false">A2798/2840</f>
        <v>0.982746478873239</v>
      </c>
      <c r="K2798" s="32" t="str">
        <f aca="false">IF(I2798&lt;=$E$4,"A",IF(I2798&lt;=$E$5,"B","C"))</f>
        <v>C</v>
      </c>
    </row>
    <row r="2799" customFormat="false" ht="15" hidden="false" customHeight="false" outlineLevel="0" collapsed="false">
      <c r="A2799" s="32" t="n">
        <v>2792</v>
      </c>
      <c r="B2799" s="33" t="n">
        <v>16831</v>
      </c>
      <c r="C2799" s="34" t="s">
        <v>5669</v>
      </c>
      <c r="D2799" s="34" t="s">
        <v>5670</v>
      </c>
      <c r="E2799" s="34" t="s">
        <v>100</v>
      </c>
      <c r="F2799" s="32" t="n">
        <f aca="false">COUNTIF(Base!$D$2:$D$2878,B2799)</f>
        <v>1</v>
      </c>
      <c r="G2799" s="35" t="n">
        <f aca="false">SUMIF(Base!$D$2:$D$2878,B2799,Base!$I$2:$I$2878)</f>
        <v>5.96</v>
      </c>
      <c r="H2799" s="36" t="n">
        <f aca="false">IF($G$2849=0,0,G2799/$G$2849)</f>
        <v>3.91108468896857E-007</v>
      </c>
      <c r="I2799" s="37" t="n">
        <f aca="false">I2798+H2799</f>
        <v>0.999989038463315</v>
      </c>
      <c r="J2799" s="37" t="n">
        <f aca="false">A2799/2840</f>
        <v>0.983098591549296</v>
      </c>
      <c r="K2799" s="32" t="str">
        <f aca="false">IF(I2799&lt;=$E$4,"A",IF(I2799&lt;=$E$5,"B","C"))</f>
        <v>C</v>
      </c>
    </row>
    <row r="2800" customFormat="false" ht="15" hidden="false" customHeight="false" outlineLevel="0" collapsed="false">
      <c r="A2800" s="32" t="n">
        <v>2793</v>
      </c>
      <c r="B2800" s="33" t="n">
        <v>1661826</v>
      </c>
      <c r="C2800" s="34" t="s">
        <v>5671</v>
      </c>
      <c r="D2800" s="34" t="s">
        <v>5672</v>
      </c>
      <c r="E2800" s="34" t="s">
        <v>38</v>
      </c>
      <c r="F2800" s="32" t="n">
        <f aca="false">COUNTIF(Base!$D$2:$D$2878,B2800)</f>
        <v>1</v>
      </c>
      <c r="G2800" s="35" t="n">
        <f aca="false">SUMIF(Base!$D$2:$D$2878,B2800,Base!$I$2:$I$2878)</f>
        <v>5.94</v>
      </c>
      <c r="H2800" s="36" t="n">
        <f aca="false">IF($G$2849=0,0,G2800/$G$2849)</f>
        <v>3.89796024370358E-007</v>
      </c>
      <c r="I2800" s="37" t="n">
        <f aca="false">I2799+H2800</f>
        <v>0.999989428259339</v>
      </c>
      <c r="J2800" s="37" t="n">
        <f aca="false">A2800/2840</f>
        <v>0.983450704225352</v>
      </c>
      <c r="K2800" s="32" t="str">
        <f aca="false">IF(I2800&lt;=$E$4,"A",IF(I2800&lt;=$E$5,"B","C"))</f>
        <v>C</v>
      </c>
    </row>
    <row r="2801" customFormat="false" ht="15" hidden="false" customHeight="false" outlineLevel="0" collapsed="false">
      <c r="A2801" s="32" t="n">
        <v>2794</v>
      </c>
      <c r="B2801" s="33" t="n">
        <v>54860</v>
      </c>
      <c r="C2801" s="34" t="s">
        <v>5673</v>
      </c>
      <c r="D2801" s="34" t="s">
        <v>5674</v>
      </c>
      <c r="E2801" s="34" t="s">
        <v>100</v>
      </c>
      <c r="F2801" s="32" t="n">
        <f aca="false">COUNTIF(Base!$D$2:$D$2878,B2801)</f>
        <v>1</v>
      </c>
      <c r="G2801" s="35" t="n">
        <f aca="false">SUMIF(Base!$D$2:$D$2878,B2801,Base!$I$2:$I$2878)</f>
        <v>5.88</v>
      </c>
      <c r="H2801" s="36" t="n">
        <f aca="false">IF($G$2849=0,0,G2801/$G$2849)</f>
        <v>3.85858690790859E-007</v>
      </c>
      <c r="I2801" s="37" t="n">
        <f aca="false">I2800+H2801</f>
        <v>0.99998981411803</v>
      </c>
      <c r="J2801" s="37" t="n">
        <f aca="false">A2801/2840</f>
        <v>0.983802816901409</v>
      </c>
      <c r="K2801" s="32" t="str">
        <f aca="false">IF(I2801&lt;=$E$4,"A",IF(I2801&lt;=$E$5,"B","C"))</f>
        <v>C</v>
      </c>
    </row>
    <row r="2802" customFormat="false" ht="15" hidden="false" customHeight="false" outlineLevel="0" collapsed="false">
      <c r="A2802" s="32" t="n">
        <v>2795</v>
      </c>
      <c r="B2802" s="33" t="n">
        <v>1614509</v>
      </c>
      <c r="C2802" s="34" t="s">
        <v>5675</v>
      </c>
      <c r="D2802" s="34" t="s">
        <v>5676</v>
      </c>
      <c r="E2802" s="34" t="s">
        <v>38</v>
      </c>
      <c r="F2802" s="32" t="n">
        <f aca="false">COUNTIF(Base!$D$2:$D$2878,B2802)</f>
        <v>1</v>
      </c>
      <c r="G2802" s="35" t="n">
        <f aca="false">SUMIF(Base!$D$2:$D$2878,B2802,Base!$I$2:$I$2878)</f>
        <v>5.82</v>
      </c>
      <c r="H2802" s="36" t="n">
        <f aca="false">IF($G$2849=0,0,G2802/$G$2849)</f>
        <v>3.8192135721136E-007</v>
      </c>
      <c r="I2802" s="37" t="n">
        <f aca="false">I2801+H2802</f>
        <v>0.999990196039387</v>
      </c>
      <c r="J2802" s="37" t="n">
        <f aca="false">A2802/2840</f>
        <v>0.984154929577465</v>
      </c>
      <c r="K2802" s="32" t="str">
        <f aca="false">IF(I2802&lt;=$E$4,"A",IF(I2802&lt;=$E$5,"B","C"))</f>
        <v>C</v>
      </c>
    </row>
    <row r="2803" customFormat="false" ht="15" hidden="false" customHeight="false" outlineLevel="0" collapsed="false">
      <c r="A2803" s="32" t="n">
        <v>2796</v>
      </c>
      <c r="B2803" s="33" t="n">
        <v>1607591</v>
      </c>
      <c r="C2803" s="34" t="s">
        <v>5677</v>
      </c>
      <c r="D2803" s="34" t="s">
        <v>5678</v>
      </c>
      <c r="E2803" s="34" t="s">
        <v>38</v>
      </c>
      <c r="F2803" s="32" t="n">
        <f aca="false">COUNTIF(Base!$D$2:$D$2878,B2803)</f>
        <v>1</v>
      </c>
      <c r="G2803" s="35" t="n">
        <f aca="false">SUMIF(Base!$D$2:$D$2878,B2803,Base!$I$2:$I$2878)</f>
        <v>5.77</v>
      </c>
      <c r="H2803" s="36" t="n">
        <f aca="false">IF($G$2849=0,0,G2803/$G$2849)</f>
        <v>3.78640245895112E-007</v>
      </c>
      <c r="I2803" s="37" t="n">
        <f aca="false">I2802+H2803</f>
        <v>0.999990574679633</v>
      </c>
      <c r="J2803" s="37" t="n">
        <f aca="false">A2803/2840</f>
        <v>0.984507042253521</v>
      </c>
      <c r="K2803" s="32" t="str">
        <f aca="false">IF(I2803&lt;=$E$4,"A",IF(I2803&lt;=$E$5,"B","C"))</f>
        <v>C</v>
      </c>
    </row>
    <row r="2804" customFormat="false" ht="15" hidden="false" customHeight="false" outlineLevel="0" collapsed="false">
      <c r="A2804" s="32" t="n">
        <v>2797</v>
      </c>
      <c r="B2804" s="33" t="n">
        <v>1087451</v>
      </c>
      <c r="C2804" s="34" t="s">
        <v>5679</v>
      </c>
      <c r="D2804" s="34" t="s">
        <v>5680</v>
      </c>
      <c r="E2804" s="34" t="s">
        <v>38</v>
      </c>
      <c r="F2804" s="32" t="n">
        <f aca="false">COUNTIF(Base!$D$2:$D$2878,B2804)</f>
        <v>1</v>
      </c>
      <c r="G2804" s="35" t="n">
        <f aca="false">SUMIF(Base!$D$2:$D$2878,B2804,Base!$I$2:$I$2878)</f>
        <v>5.48</v>
      </c>
      <c r="H2804" s="36" t="n">
        <f aca="false">IF($G$2849=0,0,G2804/$G$2849)</f>
        <v>3.59609800260869E-007</v>
      </c>
      <c r="I2804" s="37" t="n">
        <f aca="false">I2803+H2804</f>
        <v>0.999990934289433</v>
      </c>
      <c r="J2804" s="37" t="n">
        <f aca="false">A2804/2840</f>
        <v>0.984859154929577</v>
      </c>
      <c r="K2804" s="32" t="str">
        <f aca="false">IF(I2804&lt;=$E$4,"A",IF(I2804&lt;=$E$5,"B","C"))</f>
        <v>C</v>
      </c>
    </row>
    <row r="2805" customFormat="false" ht="15" hidden="false" customHeight="false" outlineLevel="0" collapsed="false">
      <c r="A2805" s="32" t="n">
        <v>2798</v>
      </c>
      <c r="B2805" s="33" t="n">
        <v>1330424</v>
      </c>
      <c r="C2805" s="34" t="s">
        <v>5681</v>
      </c>
      <c r="D2805" s="34" t="s">
        <v>5682</v>
      </c>
      <c r="E2805" s="34" t="s">
        <v>54</v>
      </c>
      <c r="F2805" s="32" t="n">
        <f aca="false">COUNTIF(Base!$D$2:$D$2878,B2805)</f>
        <v>1</v>
      </c>
      <c r="G2805" s="35" t="n">
        <f aca="false">SUMIF(Base!$D$2:$D$2878,B2805,Base!$I$2:$I$2878)</f>
        <v>5.4</v>
      </c>
      <c r="H2805" s="36" t="n">
        <f aca="false">IF($G$2849=0,0,G2805/$G$2849)</f>
        <v>3.54360022154871E-007</v>
      </c>
      <c r="I2805" s="37" t="n">
        <f aca="false">I2804+H2805</f>
        <v>0.999991288649455</v>
      </c>
      <c r="J2805" s="37" t="n">
        <f aca="false">A2805/2840</f>
        <v>0.985211267605634</v>
      </c>
      <c r="K2805" s="32" t="str">
        <f aca="false">IF(I2805&lt;=$E$4,"A",IF(I2805&lt;=$E$5,"B","C"))</f>
        <v>C</v>
      </c>
    </row>
    <row r="2806" customFormat="false" ht="15" hidden="false" customHeight="false" outlineLevel="0" collapsed="false">
      <c r="A2806" s="32" t="n">
        <v>2799</v>
      </c>
      <c r="B2806" s="33" t="n">
        <v>873190</v>
      </c>
      <c r="C2806" s="34" t="s">
        <v>5683</v>
      </c>
      <c r="D2806" s="34" t="s">
        <v>5684</v>
      </c>
      <c r="E2806" s="34" t="s">
        <v>189</v>
      </c>
      <c r="F2806" s="32" t="n">
        <f aca="false">COUNTIF(Base!$D$2:$D$2878,B2806)</f>
        <v>1</v>
      </c>
      <c r="G2806" s="35" t="n">
        <f aca="false">SUMIF(Base!$D$2:$D$2878,B2806,Base!$I$2:$I$2878)</f>
        <v>5.28</v>
      </c>
      <c r="H2806" s="36" t="n">
        <f aca="false">IF($G$2849=0,0,G2806/$G$2849)</f>
        <v>3.46485354995873E-007</v>
      </c>
      <c r="I2806" s="37" t="n">
        <f aca="false">I2805+H2806</f>
        <v>0.99999163513481</v>
      </c>
      <c r="J2806" s="37" t="n">
        <f aca="false">A2806/2840</f>
        <v>0.98556338028169</v>
      </c>
      <c r="K2806" s="32" t="str">
        <f aca="false">IF(I2806&lt;=$E$4,"A",IF(I2806&lt;=$E$5,"B","C"))</f>
        <v>C</v>
      </c>
    </row>
    <row r="2807" customFormat="false" ht="15" hidden="false" customHeight="false" outlineLevel="0" collapsed="false">
      <c r="A2807" s="32" t="n">
        <v>2800</v>
      </c>
      <c r="B2807" s="33" t="n">
        <v>14755</v>
      </c>
      <c r="C2807" s="34" t="s">
        <v>5685</v>
      </c>
      <c r="D2807" s="34" t="s">
        <v>5686</v>
      </c>
      <c r="E2807" s="34" t="s">
        <v>54</v>
      </c>
      <c r="F2807" s="32" t="n">
        <f aca="false">COUNTIF(Base!$D$2:$D$2878,B2807)</f>
        <v>1</v>
      </c>
      <c r="G2807" s="35" t="n">
        <f aca="false">SUMIF(Base!$D$2:$D$2878,B2807,Base!$I$2:$I$2878)</f>
        <v>5.04</v>
      </c>
      <c r="H2807" s="36" t="n">
        <f aca="false">IF($G$2849=0,0,G2807/$G$2849)</f>
        <v>3.30736020677879E-007</v>
      </c>
      <c r="I2807" s="37" t="n">
        <f aca="false">I2806+H2807</f>
        <v>0.999991965870831</v>
      </c>
      <c r="J2807" s="37" t="n">
        <f aca="false">A2807/2840</f>
        <v>0.985915492957747</v>
      </c>
      <c r="K2807" s="32" t="str">
        <f aca="false">IF(I2807&lt;=$E$4,"A",IF(I2807&lt;=$E$5,"B","C"))</f>
        <v>C</v>
      </c>
    </row>
    <row r="2808" customFormat="false" ht="15" hidden="false" customHeight="false" outlineLevel="0" collapsed="false">
      <c r="A2808" s="32" t="n">
        <v>2801</v>
      </c>
      <c r="B2808" s="33" t="n">
        <v>23200</v>
      </c>
      <c r="C2808" s="34" t="s">
        <v>5687</v>
      </c>
      <c r="D2808" s="34" t="s">
        <v>5688</v>
      </c>
      <c r="E2808" s="34" t="s">
        <v>54</v>
      </c>
      <c r="F2808" s="32" t="n">
        <f aca="false">COUNTIF(Base!$D$2:$D$2878,B2808)</f>
        <v>1</v>
      </c>
      <c r="G2808" s="35" t="n">
        <f aca="false">SUMIF(Base!$D$2:$D$2878,B2808,Base!$I$2:$I$2878)</f>
        <v>4.98</v>
      </c>
      <c r="H2808" s="36" t="n">
        <f aca="false">IF($G$2849=0,0,G2808/$G$2849)</f>
        <v>3.26798687098381E-007</v>
      </c>
      <c r="I2808" s="37" t="n">
        <f aca="false">I2807+H2808</f>
        <v>0.999992292669518</v>
      </c>
      <c r="J2808" s="37" t="n">
        <f aca="false">A2808/2840</f>
        <v>0.986267605633803</v>
      </c>
      <c r="K2808" s="32" t="str">
        <f aca="false">IF(I2808&lt;=$E$4,"A",IF(I2808&lt;=$E$5,"B","C"))</f>
        <v>C</v>
      </c>
    </row>
    <row r="2809" customFormat="false" ht="15" hidden="false" customHeight="false" outlineLevel="0" collapsed="false">
      <c r="A2809" s="32" t="n">
        <v>2802</v>
      </c>
      <c r="B2809" s="33" t="n">
        <v>66194</v>
      </c>
      <c r="C2809" s="34" t="s">
        <v>5689</v>
      </c>
      <c r="D2809" s="34" t="s">
        <v>5690</v>
      </c>
      <c r="E2809" s="34" t="s">
        <v>189</v>
      </c>
      <c r="F2809" s="32" t="n">
        <f aca="false">COUNTIF(Base!$D$2:$D$2878,B2809)</f>
        <v>1</v>
      </c>
      <c r="G2809" s="35" t="n">
        <f aca="false">SUMIF(Base!$D$2:$D$2878,B2809,Base!$I$2:$I$2878)</f>
        <v>4.98</v>
      </c>
      <c r="H2809" s="36" t="n">
        <f aca="false">IF($G$2849=0,0,G2809/$G$2849)</f>
        <v>3.26798687098381E-007</v>
      </c>
      <c r="I2809" s="37" t="n">
        <f aca="false">I2808+H2809</f>
        <v>0.999992619468205</v>
      </c>
      <c r="J2809" s="37" t="n">
        <f aca="false">A2809/2840</f>
        <v>0.986619718309859</v>
      </c>
      <c r="K2809" s="32" t="str">
        <f aca="false">IF(I2809&lt;=$E$4,"A",IF(I2809&lt;=$E$5,"B","C"))</f>
        <v>C</v>
      </c>
    </row>
    <row r="2810" customFormat="false" ht="15" hidden="false" customHeight="false" outlineLevel="0" collapsed="false">
      <c r="A2810" s="32" t="n">
        <v>2803</v>
      </c>
      <c r="B2810" s="33" t="n">
        <v>1659862</v>
      </c>
      <c r="C2810" s="34" t="s">
        <v>5691</v>
      </c>
      <c r="D2810" s="34" t="s">
        <v>5692</v>
      </c>
      <c r="E2810" s="34" t="s">
        <v>100</v>
      </c>
      <c r="F2810" s="32" t="n">
        <f aca="false">COUNTIF(Base!$D$2:$D$2878,B2810)</f>
        <v>1</v>
      </c>
      <c r="G2810" s="35" t="n">
        <f aca="false">SUMIF(Base!$D$2:$D$2878,B2810,Base!$I$2:$I$2878)</f>
        <v>4.9</v>
      </c>
      <c r="H2810" s="36" t="n">
        <f aca="false">IF($G$2849=0,0,G2810/$G$2849)</f>
        <v>3.21548908992383E-007</v>
      </c>
      <c r="I2810" s="37" t="n">
        <f aca="false">I2809+H2810</f>
        <v>0.999992941017114</v>
      </c>
      <c r="J2810" s="37" t="n">
        <f aca="false">A2810/2840</f>
        <v>0.986971830985916</v>
      </c>
      <c r="K2810" s="32" t="str">
        <f aca="false">IF(I2810&lt;=$E$4,"A",IF(I2810&lt;=$E$5,"B","C"))</f>
        <v>C</v>
      </c>
    </row>
    <row r="2811" customFormat="false" ht="15" hidden="false" customHeight="false" outlineLevel="0" collapsed="false">
      <c r="A2811" s="32" t="n">
        <v>2804</v>
      </c>
      <c r="B2811" s="33" t="n">
        <v>938996</v>
      </c>
      <c r="C2811" s="34" t="s">
        <v>5693</v>
      </c>
      <c r="D2811" s="34" t="s">
        <v>5694</v>
      </c>
      <c r="E2811" s="34" t="s">
        <v>189</v>
      </c>
      <c r="F2811" s="32" t="n">
        <f aca="false">COUNTIF(Base!$D$2:$D$2878,B2811)</f>
        <v>1</v>
      </c>
      <c r="G2811" s="35" t="n">
        <f aca="false">SUMIF(Base!$D$2:$D$2878,B2811,Base!$I$2:$I$2878)</f>
        <v>4.8</v>
      </c>
      <c r="H2811" s="36" t="n">
        <f aca="false">IF($G$2849=0,0,G2811/$G$2849)</f>
        <v>3.14986686359885E-007</v>
      </c>
      <c r="I2811" s="37" t="n">
        <f aca="false">I2810+H2811</f>
        <v>0.9999932560038</v>
      </c>
      <c r="J2811" s="37" t="n">
        <f aca="false">A2811/2840</f>
        <v>0.987323943661972</v>
      </c>
      <c r="K2811" s="32" t="str">
        <f aca="false">IF(I2811&lt;=$E$4,"A",IF(I2811&lt;=$E$5,"B","C"))</f>
        <v>C</v>
      </c>
    </row>
    <row r="2812" customFormat="false" ht="15" hidden="false" customHeight="false" outlineLevel="0" collapsed="false">
      <c r="A2812" s="32" t="n">
        <v>2805</v>
      </c>
      <c r="B2812" s="33" t="n">
        <v>1310408</v>
      </c>
      <c r="C2812" s="34" t="s">
        <v>5695</v>
      </c>
      <c r="D2812" s="34" t="s">
        <v>5696</v>
      </c>
      <c r="E2812" s="34" t="s">
        <v>100</v>
      </c>
      <c r="F2812" s="32" t="n">
        <f aca="false">COUNTIF(Base!$D$2:$D$2878,B2812)</f>
        <v>1</v>
      </c>
      <c r="G2812" s="35" t="n">
        <f aca="false">SUMIF(Base!$D$2:$D$2878,B2812,Base!$I$2:$I$2878)</f>
        <v>4.74</v>
      </c>
      <c r="H2812" s="36" t="n">
        <f aca="false">IF($G$2849=0,0,G2812/$G$2849)</f>
        <v>3.11049352780386E-007</v>
      </c>
      <c r="I2812" s="37" t="n">
        <f aca="false">I2811+H2812</f>
        <v>0.999993567053153</v>
      </c>
      <c r="J2812" s="37" t="n">
        <f aca="false">A2812/2840</f>
        <v>0.987676056338028</v>
      </c>
      <c r="K2812" s="32" t="str">
        <f aca="false">IF(I2812&lt;=$E$4,"A",IF(I2812&lt;=$E$5,"B","C"))</f>
        <v>C</v>
      </c>
    </row>
    <row r="2813" customFormat="false" ht="15" hidden="false" customHeight="false" outlineLevel="0" collapsed="false">
      <c r="A2813" s="32" t="n">
        <v>2806</v>
      </c>
      <c r="B2813" s="33" t="n">
        <v>1615080</v>
      </c>
      <c r="C2813" s="34" t="s">
        <v>5697</v>
      </c>
      <c r="D2813" s="34" t="s">
        <v>5698</v>
      </c>
      <c r="E2813" s="34" t="s">
        <v>38</v>
      </c>
      <c r="F2813" s="32" t="n">
        <f aca="false">COUNTIF(Base!$D$2:$D$2878,B2813)</f>
        <v>1</v>
      </c>
      <c r="G2813" s="35" t="n">
        <f aca="false">SUMIF(Base!$D$2:$D$2878,B2813,Base!$I$2:$I$2878)</f>
        <v>4.56</v>
      </c>
      <c r="H2813" s="36" t="n">
        <f aca="false">IF($G$2849=0,0,G2813/$G$2849)</f>
        <v>2.99237352041891E-007</v>
      </c>
      <c r="I2813" s="37" t="n">
        <f aca="false">I2812+H2813</f>
        <v>0.999993866290505</v>
      </c>
      <c r="J2813" s="37" t="n">
        <f aca="false">A2813/2840</f>
        <v>0.988028169014085</v>
      </c>
      <c r="K2813" s="32" t="str">
        <f aca="false">IF(I2813&lt;=$E$4,"A",IF(I2813&lt;=$E$5,"B","C"))</f>
        <v>C</v>
      </c>
    </row>
    <row r="2814" customFormat="false" ht="15" hidden="false" customHeight="false" outlineLevel="0" collapsed="false">
      <c r="A2814" s="32" t="n">
        <v>2807</v>
      </c>
      <c r="B2814" s="33" t="n">
        <v>1461935</v>
      </c>
      <c r="C2814" s="34" t="s">
        <v>5699</v>
      </c>
      <c r="D2814" s="34" t="s">
        <v>5700</v>
      </c>
      <c r="E2814" s="34" t="s">
        <v>100</v>
      </c>
      <c r="F2814" s="32" t="n">
        <f aca="false">COUNTIF(Base!$D$2:$D$2878,B2814)</f>
        <v>1</v>
      </c>
      <c r="G2814" s="35" t="n">
        <f aca="false">SUMIF(Base!$D$2:$D$2878,B2814,Base!$I$2:$I$2878)</f>
        <v>4.28</v>
      </c>
      <c r="H2814" s="36" t="n">
        <f aca="false">IF($G$2849=0,0,G2814/$G$2849)</f>
        <v>2.80863128670897E-007</v>
      </c>
      <c r="I2814" s="37" t="n">
        <f aca="false">I2813+H2814</f>
        <v>0.999994147153634</v>
      </c>
      <c r="J2814" s="37" t="n">
        <f aca="false">A2814/2840</f>
        <v>0.988380281690141</v>
      </c>
      <c r="K2814" s="32" t="str">
        <f aca="false">IF(I2814&lt;=$E$4,"A",IF(I2814&lt;=$E$5,"B","C"))</f>
        <v>C</v>
      </c>
    </row>
    <row r="2815" customFormat="false" ht="15" hidden="false" customHeight="false" outlineLevel="0" collapsed="false">
      <c r="A2815" s="32" t="n">
        <v>2808</v>
      </c>
      <c r="B2815" s="33" t="n">
        <v>227483</v>
      </c>
      <c r="C2815" s="34" t="s">
        <v>5701</v>
      </c>
      <c r="D2815" s="34" t="s">
        <v>5702</v>
      </c>
      <c r="E2815" s="34" t="s">
        <v>2056</v>
      </c>
      <c r="F2815" s="32" t="n">
        <f aca="false">COUNTIF(Base!$D$2:$D$2878,B2815)</f>
        <v>1</v>
      </c>
      <c r="G2815" s="35" t="n">
        <f aca="false">SUMIF(Base!$D$2:$D$2878,B2815,Base!$I$2:$I$2878)</f>
        <v>4.2</v>
      </c>
      <c r="H2815" s="36" t="n">
        <f aca="false">IF($G$2849=0,0,G2815/$G$2849)</f>
        <v>2.75613350564899E-007</v>
      </c>
      <c r="I2815" s="37" t="n">
        <f aca="false">I2814+H2815</f>
        <v>0.999994422766985</v>
      </c>
      <c r="J2815" s="37" t="n">
        <f aca="false">A2815/2840</f>
        <v>0.988732394366197</v>
      </c>
      <c r="K2815" s="32" t="str">
        <f aca="false">IF(I2815&lt;=$E$4,"A",IF(I2815&lt;=$E$5,"B","C"))</f>
        <v>C</v>
      </c>
    </row>
    <row r="2816" customFormat="false" ht="15" hidden="false" customHeight="false" outlineLevel="0" collapsed="false">
      <c r="A2816" s="32" t="n">
        <v>2809</v>
      </c>
      <c r="B2816" s="33" t="n">
        <v>227490</v>
      </c>
      <c r="C2816" s="34" t="s">
        <v>5703</v>
      </c>
      <c r="D2816" s="34" t="s">
        <v>5704</v>
      </c>
      <c r="E2816" s="34" t="s">
        <v>2056</v>
      </c>
      <c r="F2816" s="32" t="n">
        <f aca="false">COUNTIF(Base!$D$2:$D$2878,B2816)</f>
        <v>1</v>
      </c>
      <c r="G2816" s="35" t="n">
        <f aca="false">SUMIF(Base!$D$2:$D$2878,B2816,Base!$I$2:$I$2878)</f>
        <v>4.2</v>
      </c>
      <c r="H2816" s="36" t="n">
        <f aca="false">IF($G$2849=0,0,G2816/$G$2849)</f>
        <v>2.75613350564899E-007</v>
      </c>
      <c r="I2816" s="37" t="n">
        <f aca="false">I2815+H2816</f>
        <v>0.999994698380335</v>
      </c>
      <c r="J2816" s="37" t="n">
        <f aca="false">A2816/2840</f>
        <v>0.989084507042254</v>
      </c>
      <c r="K2816" s="32" t="str">
        <f aca="false">IF(I2816&lt;=$E$4,"A",IF(I2816&lt;=$E$5,"B","C"))</f>
        <v>C</v>
      </c>
    </row>
    <row r="2817" customFormat="false" ht="15" hidden="false" customHeight="false" outlineLevel="0" collapsed="false">
      <c r="A2817" s="32" t="n">
        <v>2810</v>
      </c>
      <c r="B2817" s="33" t="n">
        <v>1467736</v>
      </c>
      <c r="C2817" s="34" t="s">
        <v>5705</v>
      </c>
      <c r="D2817" s="34" t="s">
        <v>5706</v>
      </c>
      <c r="E2817" s="34" t="s">
        <v>2056</v>
      </c>
      <c r="F2817" s="32" t="n">
        <f aca="false">COUNTIF(Base!$D$2:$D$2878,B2817)</f>
        <v>1</v>
      </c>
      <c r="G2817" s="35" t="n">
        <f aca="false">SUMIF(Base!$D$2:$D$2878,B2817,Base!$I$2:$I$2878)</f>
        <v>4.2</v>
      </c>
      <c r="H2817" s="36" t="n">
        <f aca="false">IF($G$2849=0,0,G2817/$G$2849)</f>
        <v>2.75613350564899E-007</v>
      </c>
      <c r="I2817" s="37" t="n">
        <f aca="false">I2816+H2817</f>
        <v>0.999994973993686</v>
      </c>
      <c r="J2817" s="37" t="n">
        <f aca="false">A2817/2840</f>
        <v>0.98943661971831</v>
      </c>
      <c r="K2817" s="32" t="str">
        <f aca="false">IF(I2817&lt;=$E$4,"A",IF(I2817&lt;=$E$5,"B","C"))</f>
        <v>C</v>
      </c>
    </row>
    <row r="2818" customFormat="false" ht="15" hidden="false" customHeight="false" outlineLevel="0" collapsed="false">
      <c r="A2818" s="32" t="n">
        <v>2811</v>
      </c>
      <c r="B2818" s="33" t="n">
        <v>1467737</v>
      </c>
      <c r="C2818" s="34" t="s">
        <v>5707</v>
      </c>
      <c r="D2818" s="34" t="s">
        <v>5708</v>
      </c>
      <c r="E2818" s="34" t="s">
        <v>2056</v>
      </c>
      <c r="F2818" s="32" t="n">
        <f aca="false">COUNTIF(Base!$D$2:$D$2878,B2818)</f>
        <v>1</v>
      </c>
      <c r="G2818" s="35" t="n">
        <f aca="false">SUMIF(Base!$D$2:$D$2878,B2818,Base!$I$2:$I$2878)</f>
        <v>4.2</v>
      </c>
      <c r="H2818" s="36" t="n">
        <f aca="false">IF($G$2849=0,0,G2818/$G$2849)</f>
        <v>2.75613350564899E-007</v>
      </c>
      <c r="I2818" s="37" t="n">
        <f aca="false">I2817+H2818</f>
        <v>0.999995249607036</v>
      </c>
      <c r="J2818" s="37" t="n">
        <f aca="false">A2818/2840</f>
        <v>0.989788732394366</v>
      </c>
      <c r="K2818" s="32" t="str">
        <f aca="false">IF(I2818&lt;=$E$4,"A",IF(I2818&lt;=$E$5,"B","C"))</f>
        <v>C</v>
      </c>
    </row>
    <row r="2819" customFormat="false" ht="15" hidden="false" customHeight="false" outlineLevel="0" collapsed="false">
      <c r="A2819" s="32" t="n">
        <v>2812</v>
      </c>
      <c r="B2819" s="33" t="n">
        <v>1467738</v>
      </c>
      <c r="C2819" s="34" t="s">
        <v>5709</v>
      </c>
      <c r="D2819" s="34" t="s">
        <v>5710</v>
      </c>
      <c r="E2819" s="34" t="s">
        <v>2056</v>
      </c>
      <c r="F2819" s="32" t="n">
        <f aca="false">COUNTIF(Base!$D$2:$D$2878,B2819)</f>
        <v>1</v>
      </c>
      <c r="G2819" s="35" t="n">
        <f aca="false">SUMIF(Base!$D$2:$D$2878,B2819,Base!$I$2:$I$2878)</f>
        <v>4.2</v>
      </c>
      <c r="H2819" s="36" t="n">
        <f aca="false">IF($G$2849=0,0,G2819/$G$2849)</f>
        <v>2.75613350564899E-007</v>
      </c>
      <c r="I2819" s="37" t="n">
        <f aca="false">I2818+H2819</f>
        <v>0.999995525220387</v>
      </c>
      <c r="J2819" s="37" t="n">
        <f aca="false">A2819/2840</f>
        <v>0.990140845070423</v>
      </c>
      <c r="K2819" s="32" t="str">
        <f aca="false">IF(I2819&lt;=$E$4,"A",IF(I2819&lt;=$E$5,"B","C"))</f>
        <v>C</v>
      </c>
    </row>
    <row r="2820" customFormat="false" ht="15" hidden="false" customHeight="false" outlineLevel="0" collapsed="false">
      <c r="A2820" s="32" t="n">
        <v>2813</v>
      </c>
      <c r="B2820" s="33" t="n">
        <v>225536</v>
      </c>
      <c r="C2820" s="34" t="s">
        <v>5711</v>
      </c>
      <c r="D2820" s="34" t="s">
        <v>5712</v>
      </c>
      <c r="E2820" s="34" t="s">
        <v>2056</v>
      </c>
      <c r="F2820" s="32" t="n">
        <f aca="false">COUNTIF(Base!$D$2:$D$2878,B2820)</f>
        <v>1</v>
      </c>
      <c r="G2820" s="35" t="n">
        <f aca="false">SUMIF(Base!$D$2:$D$2878,B2820,Base!$I$2:$I$2878)</f>
        <v>4</v>
      </c>
      <c r="H2820" s="36" t="n">
        <f aca="false">IF($G$2849=0,0,G2820/$G$2849)</f>
        <v>2.62488905299904E-007</v>
      </c>
      <c r="I2820" s="37" t="n">
        <f aca="false">I2819+H2820</f>
        <v>0.999995787709292</v>
      </c>
      <c r="J2820" s="37" t="n">
        <f aca="false">A2820/2840</f>
        <v>0.990492957746479</v>
      </c>
      <c r="K2820" s="32" t="str">
        <f aca="false">IF(I2820&lt;=$E$4,"A",IF(I2820&lt;=$E$5,"B","C"))</f>
        <v>C</v>
      </c>
    </row>
    <row r="2821" customFormat="false" ht="15" hidden="false" customHeight="false" outlineLevel="0" collapsed="false">
      <c r="A2821" s="32" t="n">
        <v>2814</v>
      </c>
      <c r="B2821" s="33" t="n">
        <v>935058</v>
      </c>
      <c r="C2821" s="34" t="s">
        <v>5713</v>
      </c>
      <c r="D2821" s="34" t="s">
        <v>5714</v>
      </c>
      <c r="E2821" s="34" t="s">
        <v>2056</v>
      </c>
      <c r="F2821" s="32" t="n">
        <f aca="false">COUNTIF(Base!$D$2:$D$2878,B2821)</f>
        <v>1</v>
      </c>
      <c r="G2821" s="35" t="n">
        <f aca="false">SUMIF(Base!$D$2:$D$2878,B2821,Base!$I$2:$I$2878)</f>
        <v>4</v>
      </c>
      <c r="H2821" s="36" t="n">
        <f aca="false">IF($G$2849=0,0,G2821/$G$2849)</f>
        <v>2.62488905299904E-007</v>
      </c>
      <c r="I2821" s="37" t="n">
        <f aca="false">I2820+H2821</f>
        <v>0.999996050198197</v>
      </c>
      <c r="J2821" s="37" t="n">
        <f aca="false">A2821/2840</f>
        <v>0.990845070422535</v>
      </c>
      <c r="K2821" s="32" t="str">
        <f aca="false">IF(I2821&lt;=$E$4,"A",IF(I2821&lt;=$E$5,"B","C"))</f>
        <v>C</v>
      </c>
    </row>
    <row r="2822" customFormat="false" ht="15" hidden="false" customHeight="false" outlineLevel="0" collapsed="false">
      <c r="A2822" s="32" t="n">
        <v>2815</v>
      </c>
      <c r="B2822" s="33" t="n">
        <v>14868</v>
      </c>
      <c r="C2822" s="34" t="s">
        <v>5715</v>
      </c>
      <c r="D2822" s="34" t="s">
        <v>5716</v>
      </c>
      <c r="E2822" s="34" t="s">
        <v>54</v>
      </c>
      <c r="F2822" s="32" t="n">
        <f aca="false">COUNTIF(Base!$D$2:$D$2878,B2822)</f>
        <v>1</v>
      </c>
      <c r="G2822" s="35" t="n">
        <f aca="false">SUMIF(Base!$D$2:$D$2878,B2822,Base!$I$2:$I$2878)</f>
        <v>3.98</v>
      </c>
      <c r="H2822" s="36" t="n">
        <f aca="false">IF($G$2849=0,0,G2822/$G$2849)</f>
        <v>2.61176460773405E-007</v>
      </c>
      <c r="I2822" s="37" t="n">
        <f aca="false">I2821+H2822</f>
        <v>0.999996311374658</v>
      </c>
      <c r="J2822" s="37" t="n">
        <f aca="false">A2822/2840</f>
        <v>0.991197183098592</v>
      </c>
      <c r="K2822" s="32" t="str">
        <f aca="false">IF(I2822&lt;=$E$4,"A",IF(I2822&lt;=$E$5,"B","C"))</f>
        <v>C</v>
      </c>
    </row>
    <row r="2823" customFormat="false" ht="15" hidden="false" customHeight="false" outlineLevel="0" collapsed="false">
      <c r="A2823" s="32" t="n">
        <v>2816</v>
      </c>
      <c r="B2823" s="33" t="n">
        <v>931931</v>
      </c>
      <c r="C2823" s="34" t="s">
        <v>5717</v>
      </c>
      <c r="D2823" s="34" t="s">
        <v>5718</v>
      </c>
      <c r="E2823" s="34" t="s">
        <v>54</v>
      </c>
      <c r="F2823" s="32" t="n">
        <f aca="false">COUNTIF(Base!$D$2:$D$2878,B2823)</f>
        <v>1</v>
      </c>
      <c r="G2823" s="35" t="n">
        <f aca="false">SUMIF(Base!$D$2:$D$2878,B2823,Base!$I$2:$I$2878)</f>
        <v>3.98</v>
      </c>
      <c r="H2823" s="36" t="n">
        <f aca="false">IF($G$2849=0,0,G2823/$G$2849)</f>
        <v>2.61176460773405E-007</v>
      </c>
      <c r="I2823" s="37" t="n">
        <f aca="false">I2822+H2823</f>
        <v>0.999996572551119</v>
      </c>
      <c r="J2823" s="37" t="n">
        <f aca="false">A2823/2840</f>
        <v>0.991549295774648</v>
      </c>
      <c r="K2823" s="32" t="str">
        <f aca="false">IF(I2823&lt;=$E$4,"A",IF(I2823&lt;=$E$5,"B","C"))</f>
        <v>C</v>
      </c>
    </row>
    <row r="2824" customFormat="false" ht="15" hidden="false" customHeight="false" outlineLevel="0" collapsed="false">
      <c r="A2824" s="32" t="n">
        <v>2817</v>
      </c>
      <c r="B2824" s="33" t="n">
        <v>1461857</v>
      </c>
      <c r="C2824" s="34" t="s">
        <v>5719</v>
      </c>
      <c r="D2824" s="34" t="s">
        <v>5720</v>
      </c>
      <c r="E2824" s="34" t="s">
        <v>100</v>
      </c>
      <c r="F2824" s="32" t="n">
        <f aca="false">COUNTIF(Base!$D$2:$D$2878,B2824)</f>
        <v>1</v>
      </c>
      <c r="G2824" s="35" t="n">
        <f aca="false">SUMIF(Base!$D$2:$D$2878,B2824,Base!$I$2:$I$2878)</f>
        <v>3.98</v>
      </c>
      <c r="H2824" s="36" t="n">
        <f aca="false">IF($G$2849=0,0,G2824/$G$2849)</f>
        <v>2.61176460773405E-007</v>
      </c>
      <c r="I2824" s="37" t="n">
        <f aca="false">I2823+H2824</f>
        <v>0.99999683372758</v>
      </c>
      <c r="J2824" s="37" t="n">
        <f aca="false">A2824/2840</f>
        <v>0.991901408450704</v>
      </c>
      <c r="K2824" s="32" t="str">
        <f aca="false">IF(I2824&lt;=$E$4,"A",IF(I2824&lt;=$E$5,"B","C"))</f>
        <v>C</v>
      </c>
    </row>
    <row r="2825" customFormat="false" ht="15" hidden="false" customHeight="false" outlineLevel="0" collapsed="false">
      <c r="A2825" s="32" t="n">
        <v>2818</v>
      </c>
      <c r="B2825" s="33" t="n">
        <v>949966</v>
      </c>
      <c r="C2825" s="34" t="s">
        <v>5721</v>
      </c>
      <c r="D2825" s="34" t="s">
        <v>5722</v>
      </c>
      <c r="E2825" s="34" t="s">
        <v>54</v>
      </c>
      <c r="F2825" s="32" t="n">
        <f aca="false">COUNTIF(Base!$D$2:$D$2878,B2825)</f>
        <v>1</v>
      </c>
      <c r="G2825" s="35" t="n">
        <f aca="false">SUMIF(Base!$D$2:$D$2878,B2825,Base!$I$2:$I$2878)</f>
        <v>3.9</v>
      </c>
      <c r="H2825" s="36" t="n">
        <f aca="false">IF($G$2849=0,0,G2825/$G$2849)</f>
        <v>2.55926682667406E-007</v>
      </c>
      <c r="I2825" s="37" t="n">
        <f aca="false">I2824+H2825</f>
        <v>0.999997089654262</v>
      </c>
      <c r="J2825" s="37" t="n">
        <f aca="false">A2825/2840</f>
        <v>0.992253521126761</v>
      </c>
      <c r="K2825" s="32" t="str">
        <f aca="false">IF(I2825&lt;=$E$4,"A",IF(I2825&lt;=$E$5,"B","C"))</f>
        <v>C</v>
      </c>
    </row>
    <row r="2826" customFormat="false" ht="15" hidden="false" customHeight="false" outlineLevel="0" collapsed="false">
      <c r="A2826" s="32" t="n">
        <v>2819</v>
      </c>
      <c r="B2826" s="33" t="n">
        <v>33370</v>
      </c>
      <c r="C2826" s="34" t="s">
        <v>5723</v>
      </c>
      <c r="D2826" s="34" t="s">
        <v>5724</v>
      </c>
      <c r="E2826" s="34" t="s">
        <v>100</v>
      </c>
      <c r="F2826" s="32" t="n">
        <f aca="false">COUNTIF(Base!$D$2:$D$2878,B2826)</f>
        <v>1</v>
      </c>
      <c r="G2826" s="35" t="n">
        <f aca="false">SUMIF(Base!$D$2:$D$2878,B2826,Base!$I$2:$I$2878)</f>
        <v>3.88</v>
      </c>
      <c r="H2826" s="36" t="n">
        <f aca="false">IF($G$2849=0,0,G2826/$G$2849)</f>
        <v>2.54614238140907E-007</v>
      </c>
      <c r="I2826" s="37" t="n">
        <f aca="false">I2825+H2826</f>
        <v>0.999997344268501</v>
      </c>
      <c r="J2826" s="37" t="n">
        <f aca="false">A2826/2840</f>
        <v>0.992605633802817</v>
      </c>
      <c r="K2826" s="32" t="str">
        <f aca="false">IF(I2826&lt;=$E$4,"A",IF(I2826&lt;=$E$5,"B","C"))</f>
        <v>C</v>
      </c>
    </row>
    <row r="2827" customFormat="false" ht="15" hidden="false" customHeight="false" outlineLevel="0" collapsed="false">
      <c r="A2827" s="32" t="n">
        <v>2820</v>
      </c>
      <c r="B2827" s="33" t="n">
        <v>14746</v>
      </c>
      <c r="C2827" s="34" t="s">
        <v>5725</v>
      </c>
      <c r="D2827" s="34" t="s">
        <v>5726</v>
      </c>
      <c r="E2827" s="34" t="s">
        <v>54</v>
      </c>
      <c r="F2827" s="32" t="n">
        <f aca="false">COUNTIF(Base!$D$2:$D$2878,B2827)</f>
        <v>1</v>
      </c>
      <c r="G2827" s="35" t="n">
        <f aca="false">SUMIF(Base!$D$2:$D$2878,B2827,Base!$I$2:$I$2878)</f>
        <v>3.48</v>
      </c>
      <c r="H2827" s="36" t="n">
        <f aca="false">IF($G$2849=0,0,G2827/$G$2849)</f>
        <v>2.28365347610917E-007</v>
      </c>
      <c r="I2827" s="37" t="n">
        <f aca="false">I2826+H2827</f>
        <v>0.999997572633848</v>
      </c>
      <c r="J2827" s="37" t="n">
        <f aca="false">A2827/2840</f>
        <v>0.992957746478873</v>
      </c>
      <c r="K2827" s="32" t="str">
        <f aca="false">IF(I2827&lt;=$E$4,"A",IF(I2827&lt;=$E$5,"B","C"))</f>
        <v>C</v>
      </c>
    </row>
    <row r="2828" customFormat="false" ht="15" hidden="false" customHeight="false" outlineLevel="0" collapsed="false">
      <c r="A2828" s="32" t="n">
        <v>2821</v>
      </c>
      <c r="B2828" s="33" t="n">
        <v>16847</v>
      </c>
      <c r="C2828" s="34" t="s">
        <v>5727</v>
      </c>
      <c r="D2828" s="34" t="s">
        <v>5728</v>
      </c>
      <c r="E2828" s="34" t="s">
        <v>100</v>
      </c>
      <c r="F2828" s="32" t="n">
        <f aca="false">COUNTIF(Base!$D$2:$D$2878,B2828)</f>
        <v>1</v>
      </c>
      <c r="G2828" s="35" t="n">
        <f aca="false">SUMIF(Base!$D$2:$D$2878,B2828,Base!$I$2:$I$2878)</f>
        <v>3.48</v>
      </c>
      <c r="H2828" s="36" t="n">
        <f aca="false">IF($G$2849=0,0,G2828/$G$2849)</f>
        <v>2.28365347610917E-007</v>
      </c>
      <c r="I2828" s="37" t="n">
        <f aca="false">I2827+H2828</f>
        <v>0.999997800999196</v>
      </c>
      <c r="J2828" s="37" t="n">
        <f aca="false">A2828/2840</f>
        <v>0.99330985915493</v>
      </c>
      <c r="K2828" s="32" t="str">
        <f aca="false">IF(I2828&lt;=$E$4,"A",IF(I2828&lt;=$E$5,"B","C"))</f>
        <v>C</v>
      </c>
    </row>
    <row r="2829" customFormat="false" ht="15" hidden="false" customHeight="false" outlineLevel="0" collapsed="false">
      <c r="A2829" s="32" t="n">
        <v>2822</v>
      </c>
      <c r="B2829" s="33" t="n">
        <v>59474</v>
      </c>
      <c r="C2829" s="34" t="s">
        <v>5729</v>
      </c>
      <c r="D2829" s="34" t="s">
        <v>5730</v>
      </c>
      <c r="E2829" s="34" t="s">
        <v>54</v>
      </c>
      <c r="F2829" s="32" t="n">
        <f aca="false">COUNTIF(Base!$D$2:$D$2878,B2829)</f>
        <v>1</v>
      </c>
      <c r="G2829" s="35" t="n">
        <f aca="false">SUMIF(Base!$D$2:$D$2878,B2829,Base!$I$2:$I$2878)</f>
        <v>3.48</v>
      </c>
      <c r="H2829" s="36" t="n">
        <f aca="false">IF($G$2849=0,0,G2829/$G$2849)</f>
        <v>2.28365347610917E-007</v>
      </c>
      <c r="I2829" s="37" t="n">
        <f aca="false">I2828+H2829</f>
        <v>0.999998029364543</v>
      </c>
      <c r="J2829" s="37" t="n">
        <f aca="false">A2829/2840</f>
        <v>0.993661971830986</v>
      </c>
      <c r="K2829" s="32" t="str">
        <f aca="false">IF(I2829&lt;=$E$4,"A",IF(I2829&lt;=$E$5,"B","C"))</f>
        <v>C</v>
      </c>
    </row>
    <row r="2830" customFormat="false" ht="15" hidden="false" customHeight="false" outlineLevel="0" collapsed="false">
      <c r="A2830" s="32" t="n">
        <v>2823</v>
      </c>
      <c r="B2830" s="33" t="n">
        <v>21938</v>
      </c>
      <c r="C2830" s="34" t="s">
        <v>5731</v>
      </c>
      <c r="D2830" s="34" t="s">
        <v>5732</v>
      </c>
      <c r="E2830" s="34" t="s">
        <v>189</v>
      </c>
      <c r="F2830" s="32" t="n">
        <f aca="false">COUNTIF(Base!$D$2:$D$2878,B2830)</f>
        <v>1</v>
      </c>
      <c r="G2830" s="35" t="n">
        <f aca="false">SUMIF(Base!$D$2:$D$2878,B2830,Base!$I$2:$I$2878)</f>
        <v>3.16</v>
      </c>
      <c r="H2830" s="36" t="n">
        <f aca="false">IF($G$2849=0,0,G2830/$G$2849)</f>
        <v>2.07366235186924E-007</v>
      </c>
      <c r="I2830" s="37" t="n">
        <f aca="false">I2829+H2830</f>
        <v>0.999998236730779</v>
      </c>
      <c r="J2830" s="37" t="n">
        <f aca="false">A2830/2840</f>
        <v>0.994014084507042</v>
      </c>
      <c r="K2830" s="32" t="str">
        <f aca="false">IF(I2830&lt;=$E$4,"A",IF(I2830&lt;=$E$5,"B","C"))</f>
        <v>C</v>
      </c>
    </row>
    <row r="2831" customFormat="false" ht="15" hidden="false" customHeight="false" outlineLevel="0" collapsed="false">
      <c r="A2831" s="32" t="n">
        <v>2824</v>
      </c>
      <c r="B2831" s="33" t="n">
        <v>879110</v>
      </c>
      <c r="C2831" s="34" t="s">
        <v>5733</v>
      </c>
      <c r="D2831" s="34" t="s">
        <v>5734</v>
      </c>
      <c r="E2831" s="34" t="s">
        <v>2056</v>
      </c>
      <c r="F2831" s="32" t="n">
        <f aca="false">COUNTIF(Base!$D$2:$D$2878,B2831)</f>
        <v>1</v>
      </c>
      <c r="G2831" s="35" t="n">
        <f aca="false">SUMIF(Base!$D$2:$D$2878,B2831,Base!$I$2:$I$2878)</f>
        <v>2.4</v>
      </c>
      <c r="H2831" s="36" t="n">
        <f aca="false">IF($G$2849=0,0,G2831/$G$2849)</f>
        <v>1.57493343179942E-007</v>
      </c>
      <c r="I2831" s="37" t="n">
        <f aca="false">I2830+H2831</f>
        <v>0.999998394224122</v>
      </c>
      <c r="J2831" s="37" t="n">
        <f aca="false">A2831/2840</f>
        <v>0.994366197183099</v>
      </c>
      <c r="K2831" s="32" t="str">
        <f aca="false">IF(I2831&lt;=$E$4,"A",IF(I2831&lt;=$E$5,"B","C"))</f>
        <v>C</v>
      </c>
    </row>
    <row r="2832" customFormat="false" ht="15" hidden="false" customHeight="false" outlineLevel="0" collapsed="false">
      <c r="A2832" s="32" t="n">
        <v>2825</v>
      </c>
      <c r="B2832" s="33" t="n">
        <v>930160</v>
      </c>
      <c r="C2832" s="34" t="s">
        <v>5735</v>
      </c>
      <c r="D2832" s="34" t="s">
        <v>5736</v>
      </c>
      <c r="E2832" s="34" t="s">
        <v>100</v>
      </c>
      <c r="F2832" s="32" t="n">
        <f aca="false">COUNTIF(Base!$D$2:$D$2878,B2832)</f>
        <v>1</v>
      </c>
      <c r="G2832" s="35" t="n">
        <f aca="false">SUMIF(Base!$D$2:$D$2878,B2832,Base!$I$2:$I$2878)</f>
        <v>2.4</v>
      </c>
      <c r="H2832" s="36" t="n">
        <f aca="false">IF($G$2849=0,0,G2832/$G$2849)</f>
        <v>1.57493343179942E-007</v>
      </c>
      <c r="I2832" s="37" t="n">
        <f aca="false">I2831+H2832</f>
        <v>0.999998551717465</v>
      </c>
      <c r="J2832" s="37" t="n">
        <f aca="false">A2832/2840</f>
        <v>0.994718309859155</v>
      </c>
      <c r="K2832" s="32" t="str">
        <f aca="false">IF(I2832&lt;=$E$4,"A",IF(I2832&lt;=$E$5,"B","C"))</f>
        <v>C</v>
      </c>
    </row>
    <row r="2833" customFormat="false" ht="15" hidden="false" customHeight="false" outlineLevel="0" collapsed="false">
      <c r="A2833" s="32" t="n">
        <v>2826</v>
      </c>
      <c r="B2833" s="33" t="n">
        <v>17537</v>
      </c>
      <c r="C2833" s="34" t="s">
        <v>5737</v>
      </c>
      <c r="D2833" s="34" t="s">
        <v>5738</v>
      </c>
      <c r="E2833" s="34" t="s">
        <v>100</v>
      </c>
      <c r="F2833" s="32" t="n">
        <f aca="false">COUNTIF(Base!$D$2:$D$2878,B2833)</f>
        <v>1</v>
      </c>
      <c r="G2833" s="35" t="n">
        <f aca="false">SUMIF(Base!$D$2:$D$2878,B2833,Base!$I$2:$I$2878)</f>
        <v>2.24</v>
      </c>
      <c r="H2833" s="36" t="n">
        <f aca="false">IF($G$2849=0,0,G2833/$G$2849)</f>
        <v>1.46993786967946E-007</v>
      </c>
      <c r="I2833" s="37" t="n">
        <f aca="false">I2832+H2833</f>
        <v>0.999998698711252</v>
      </c>
      <c r="J2833" s="37" t="n">
        <f aca="false">A2833/2840</f>
        <v>0.995070422535211</v>
      </c>
      <c r="K2833" s="32" t="str">
        <f aca="false">IF(I2833&lt;=$E$4,"A",IF(I2833&lt;=$E$5,"B","C"))</f>
        <v>C</v>
      </c>
    </row>
    <row r="2834" customFormat="false" ht="15" hidden="false" customHeight="false" outlineLevel="0" collapsed="false">
      <c r="A2834" s="32" t="n">
        <v>2827</v>
      </c>
      <c r="B2834" s="33" t="n">
        <v>280309</v>
      </c>
      <c r="C2834" s="34" t="s">
        <v>5739</v>
      </c>
      <c r="D2834" s="34" t="s">
        <v>5740</v>
      </c>
      <c r="E2834" s="34" t="s">
        <v>189</v>
      </c>
      <c r="F2834" s="32" t="n">
        <f aca="false">COUNTIF(Base!$D$2:$D$2878,B2834)</f>
        <v>1</v>
      </c>
      <c r="G2834" s="35" t="n">
        <f aca="false">SUMIF(Base!$D$2:$D$2878,B2834,Base!$I$2:$I$2878)</f>
        <v>2.24</v>
      </c>
      <c r="H2834" s="36" t="n">
        <f aca="false">IF($G$2849=0,0,G2834/$G$2849)</f>
        <v>1.46993786967946E-007</v>
      </c>
      <c r="I2834" s="37" t="n">
        <f aca="false">I2833+H2834</f>
        <v>0.999998845705039</v>
      </c>
      <c r="J2834" s="37" t="n">
        <f aca="false">A2834/2840</f>
        <v>0.995422535211268</v>
      </c>
      <c r="K2834" s="32" t="str">
        <f aca="false">IF(I2834&lt;=$E$4,"A",IF(I2834&lt;=$E$5,"B","C"))</f>
        <v>C</v>
      </c>
    </row>
    <row r="2835" customFormat="false" ht="15" hidden="false" customHeight="false" outlineLevel="0" collapsed="false">
      <c r="A2835" s="32" t="n">
        <v>2828</v>
      </c>
      <c r="B2835" s="33" t="n">
        <v>283487</v>
      </c>
      <c r="C2835" s="34" t="s">
        <v>5741</v>
      </c>
      <c r="D2835" s="34" t="s">
        <v>5742</v>
      </c>
      <c r="E2835" s="34" t="s">
        <v>189</v>
      </c>
      <c r="F2835" s="32" t="n">
        <f aca="false">COUNTIF(Base!$D$2:$D$2878,B2835)</f>
        <v>1</v>
      </c>
      <c r="G2835" s="35" t="n">
        <f aca="false">SUMIF(Base!$D$2:$D$2878,B2835,Base!$I$2:$I$2878)</f>
        <v>2.24</v>
      </c>
      <c r="H2835" s="36" t="n">
        <f aca="false">IF($G$2849=0,0,G2835/$G$2849)</f>
        <v>1.46993786967946E-007</v>
      </c>
      <c r="I2835" s="37" t="n">
        <f aca="false">I2834+H2835</f>
        <v>0.999998992698826</v>
      </c>
      <c r="J2835" s="37" t="n">
        <f aca="false">A2835/2840</f>
        <v>0.995774647887324</v>
      </c>
      <c r="K2835" s="32" t="str">
        <f aca="false">IF(I2835&lt;=$E$4,"A",IF(I2835&lt;=$E$5,"B","C"))</f>
        <v>C</v>
      </c>
    </row>
    <row r="2836" customFormat="false" ht="15" hidden="false" customHeight="false" outlineLevel="0" collapsed="false">
      <c r="A2836" s="32" t="n">
        <v>2829</v>
      </c>
      <c r="B2836" s="33" t="n">
        <v>1109739</v>
      </c>
      <c r="C2836" s="34" t="s">
        <v>5743</v>
      </c>
      <c r="D2836" s="34" t="s">
        <v>5744</v>
      </c>
      <c r="E2836" s="34" t="s">
        <v>100</v>
      </c>
      <c r="F2836" s="32" t="n">
        <f aca="false">COUNTIF(Base!$D$2:$D$2878,B2836)</f>
        <v>1</v>
      </c>
      <c r="G2836" s="35" t="n">
        <f aca="false">SUMIF(Base!$D$2:$D$2878,B2836,Base!$I$2:$I$2878)</f>
        <v>2.24</v>
      </c>
      <c r="H2836" s="36" t="n">
        <f aca="false">IF($G$2849=0,0,G2836/$G$2849)</f>
        <v>1.46993786967946E-007</v>
      </c>
      <c r="I2836" s="37" t="n">
        <f aca="false">I2835+H2836</f>
        <v>0.999999139692613</v>
      </c>
      <c r="J2836" s="37" t="n">
        <f aca="false">A2836/2840</f>
        <v>0.99612676056338</v>
      </c>
      <c r="K2836" s="32" t="str">
        <f aca="false">IF(I2836&lt;=$E$4,"A",IF(I2836&lt;=$E$5,"B","C"))</f>
        <v>C</v>
      </c>
    </row>
    <row r="2837" customFormat="false" ht="15" hidden="false" customHeight="false" outlineLevel="0" collapsed="false">
      <c r="A2837" s="32" t="n">
        <v>2830</v>
      </c>
      <c r="B2837" s="33" t="n">
        <v>17694</v>
      </c>
      <c r="C2837" s="34" t="s">
        <v>5745</v>
      </c>
      <c r="D2837" s="34" t="s">
        <v>5746</v>
      </c>
      <c r="E2837" s="34" t="s">
        <v>100</v>
      </c>
      <c r="F2837" s="32" t="n">
        <f aca="false">COUNTIF(Base!$D$2:$D$2878,B2837)</f>
        <v>1</v>
      </c>
      <c r="G2837" s="35" t="n">
        <f aca="false">SUMIF(Base!$D$2:$D$2878,B2837,Base!$I$2:$I$2878)</f>
        <v>1.92</v>
      </c>
      <c r="H2837" s="36" t="n">
        <f aca="false">IF($G$2849=0,0,G2837/$G$2849)</f>
        <v>1.25994674543954E-007</v>
      </c>
      <c r="I2837" s="37" t="n">
        <f aca="false">I2836+H2837</f>
        <v>0.999999265687287</v>
      </c>
      <c r="J2837" s="37" t="n">
        <f aca="false">A2837/2840</f>
        <v>0.996478873239437</v>
      </c>
      <c r="K2837" s="32" t="str">
        <f aca="false">IF(I2837&lt;=$E$4,"A",IF(I2837&lt;=$E$5,"B","C"))</f>
        <v>C</v>
      </c>
    </row>
    <row r="2838" customFormat="false" ht="15" hidden="false" customHeight="false" outlineLevel="0" collapsed="false">
      <c r="A2838" s="32" t="n">
        <v>2831</v>
      </c>
      <c r="B2838" s="33" t="n">
        <v>938593</v>
      </c>
      <c r="C2838" s="34" t="s">
        <v>5747</v>
      </c>
      <c r="D2838" s="34" t="s">
        <v>5748</v>
      </c>
      <c r="E2838" s="34" t="s">
        <v>100</v>
      </c>
      <c r="F2838" s="32" t="n">
        <f aca="false">COUNTIF(Base!$D$2:$D$2878,B2838)</f>
        <v>1</v>
      </c>
      <c r="G2838" s="35" t="n">
        <f aca="false">SUMIF(Base!$D$2:$D$2878,B2838,Base!$I$2:$I$2878)</f>
        <v>1.76</v>
      </c>
      <c r="H2838" s="36" t="n">
        <f aca="false">IF($G$2849=0,0,G2838/$G$2849)</f>
        <v>1.15495118331958E-007</v>
      </c>
      <c r="I2838" s="37" t="n">
        <f aca="false">I2837+H2838</f>
        <v>0.999999381182406</v>
      </c>
      <c r="J2838" s="37" t="n">
        <f aca="false">A2838/2840</f>
        <v>0.996830985915493</v>
      </c>
      <c r="K2838" s="32" t="str">
        <f aca="false">IF(I2838&lt;=$E$4,"A",IF(I2838&lt;=$E$5,"B","C"))</f>
        <v>C</v>
      </c>
    </row>
    <row r="2839" customFormat="false" ht="15" hidden="false" customHeight="false" outlineLevel="0" collapsed="false">
      <c r="A2839" s="32" t="n">
        <v>2832</v>
      </c>
      <c r="B2839" s="33" t="n">
        <v>14756</v>
      </c>
      <c r="C2839" s="34" t="s">
        <v>5749</v>
      </c>
      <c r="D2839" s="34" t="s">
        <v>5750</v>
      </c>
      <c r="E2839" s="34" t="s">
        <v>54</v>
      </c>
      <c r="F2839" s="32" t="n">
        <f aca="false">COUNTIF(Base!$D$2:$D$2878,B2839)</f>
        <v>1</v>
      </c>
      <c r="G2839" s="35" t="n">
        <f aca="false">SUMIF(Base!$D$2:$D$2878,B2839,Base!$I$2:$I$2878)</f>
        <v>1.52</v>
      </c>
      <c r="H2839" s="36" t="n">
        <f aca="false">IF($G$2849=0,0,G2839/$G$2849)</f>
        <v>9.97457840139636E-008</v>
      </c>
      <c r="I2839" s="37" t="n">
        <f aca="false">I2838+H2839</f>
        <v>0.99999948092819</v>
      </c>
      <c r="J2839" s="37" t="n">
        <f aca="false">A2839/2840</f>
        <v>0.997183098591549</v>
      </c>
      <c r="K2839" s="32" t="str">
        <f aca="false">IF(I2839&lt;=$E$4,"A",IF(I2839&lt;=$E$5,"B","C"))</f>
        <v>C</v>
      </c>
    </row>
    <row r="2840" customFormat="false" ht="15" hidden="false" customHeight="false" outlineLevel="0" collapsed="false">
      <c r="A2840" s="32" t="n">
        <v>2833</v>
      </c>
      <c r="B2840" s="33" t="n">
        <v>56741</v>
      </c>
      <c r="C2840" s="34" t="s">
        <v>5751</v>
      </c>
      <c r="D2840" s="34" t="s">
        <v>5752</v>
      </c>
      <c r="E2840" s="34" t="s">
        <v>38</v>
      </c>
      <c r="F2840" s="32" t="n">
        <f aca="false">COUNTIF(Base!$D$2:$D$2878,B2840)</f>
        <v>1</v>
      </c>
      <c r="G2840" s="35" t="n">
        <f aca="false">SUMIF(Base!$D$2:$D$2878,B2840,Base!$I$2:$I$2878)</f>
        <v>1.5</v>
      </c>
      <c r="H2840" s="36" t="n">
        <f aca="false">IF($G$2849=0,0,G2840/$G$2849)</f>
        <v>9.8433339487464E-008</v>
      </c>
      <c r="I2840" s="37" t="n">
        <f aca="false">I2839+H2840</f>
        <v>0.999999579361529</v>
      </c>
      <c r="J2840" s="37" t="n">
        <f aca="false">A2840/2840</f>
        <v>0.997535211267606</v>
      </c>
      <c r="K2840" s="32" t="str">
        <f aca="false">IF(I2840&lt;=$E$4,"A",IF(I2840&lt;=$E$5,"B","C"))</f>
        <v>C</v>
      </c>
    </row>
    <row r="2841" customFormat="false" ht="15" hidden="false" customHeight="false" outlineLevel="0" collapsed="false">
      <c r="A2841" s="32" t="n">
        <v>2834</v>
      </c>
      <c r="B2841" s="33" t="n">
        <v>293602</v>
      </c>
      <c r="C2841" s="34" t="s">
        <v>5753</v>
      </c>
      <c r="D2841" s="34" t="s">
        <v>5754</v>
      </c>
      <c r="E2841" s="34" t="s">
        <v>2056</v>
      </c>
      <c r="F2841" s="32" t="n">
        <f aca="false">COUNTIF(Base!$D$2:$D$2878,B2841)</f>
        <v>1</v>
      </c>
      <c r="G2841" s="35" t="n">
        <f aca="false">SUMIF(Base!$D$2:$D$2878,B2841,Base!$I$2:$I$2878)</f>
        <v>1.5</v>
      </c>
      <c r="H2841" s="36" t="n">
        <f aca="false">IF($G$2849=0,0,G2841/$G$2849)</f>
        <v>9.8433339487464E-008</v>
      </c>
      <c r="I2841" s="37" t="n">
        <f aca="false">I2840+H2841</f>
        <v>0.999999677794868</v>
      </c>
      <c r="J2841" s="37" t="n">
        <f aca="false">A2841/2840</f>
        <v>0.997887323943662</v>
      </c>
      <c r="K2841" s="32" t="str">
        <f aca="false">IF(I2841&lt;=$E$4,"A",IF(I2841&lt;=$E$5,"B","C"))</f>
        <v>C</v>
      </c>
    </row>
    <row r="2842" customFormat="false" ht="15" hidden="false" customHeight="false" outlineLevel="0" collapsed="false">
      <c r="A2842" s="32" t="n">
        <v>2835</v>
      </c>
      <c r="B2842" s="33" t="n">
        <v>56740</v>
      </c>
      <c r="C2842" s="34" t="s">
        <v>5755</v>
      </c>
      <c r="D2842" s="34" t="s">
        <v>5756</v>
      </c>
      <c r="E2842" s="34" t="s">
        <v>38</v>
      </c>
      <c r="F2842" s="32" t="n">
        <f aca="false">COUNTIF(Base!$D$2:$D$2878,B2842)</f>
        <v>1</v>
      </c>
      <c r="G2842" s="35" t="n">
        <f aca="false">SUMIF(Base!$D$2:$D$2878,B2842,Base!$I$2:$I$2878)</f>
        <v>1.2</v>
      </c>
      <c r="H2842" s="36" t="n">
        <f aca="false">IF($G$2849=0,0,G2842/$G$2849)</f>
        <v>7.87466715899712E-008</v>
      </c>
      <c r="I2842" s="37" t="n">
        <f aca="false">I2841+H2842</f>
        <v>0.99999975654154</v>
      </c>
      <c r="J2842" s="37" t="n">
        <f aca="false">A2842/2840</f>
        <v>0.998239436619718</v>
      </c>
      <c r="K2842" s="32" t="str">
        <f aca="false">IF(I2842&lt;=$E$4,"A",IF(I2842&lt;=$E$5,"B","C"))</f>
        <v>C</v>
      </c>
    </row>
    <row r="2843" customFormat="false" ht="15" hidden="false" customHeight="false" outlineLevel="0" collapsed="false">
      <c r="A2843" s="32" t="n">
        <v>2836</v>
      </c>
      <c r="B2843" s="33" t="n">
        <v>937216</v>
      </c>
      <c r="C2843" s="34" t="s">
        <v>5757</v>
      </c>
      <c r="D2843" s="34" t="s">
        <v>5758</v>
      </c>
      <c r="E2843" s="34" t="s">
        <v>38</v>
      </c>
      <c r="F2843" s="32" t="n">
        <f aca="false">COUNTIF(Base!$D$2:$D$2878,B2843)</f>
        <v>1</v>
      </c>
      <c r="G2843" s="35" t="n">
        <f aca="false">SUMIF(Base!$D$2:$D$2878,B2843,Base!$I$2:$I$2878)</f>
        <v>0.86</v>
      </c>
      <c r="H2843" s="36" t="n">
        <f aca="false">IF($G$2849=0,0,G2843/$G$2849)</f>
        <v>5.64351146394794E-008</v>
      </c>
      <c r="I2843" s="37" t="n">
        <f aca="false">I2842+H2843</f>
        <v>0.999999812976655</v>
      </c>
      <c r="J2843" s="37" t="n">
        <f aca="false">A2843/2840</f>
        <v>0.998591549295775</v>
      </c>
      <c r="K2843" s="32" t="str">
        <f aca="false">IF(I2843&lt;=$E$4,"A",IF(I2843&lt;=$E$5,"B","C"))</f>
        <v>C</v>
      </c>
    </row>
    <row r="2844" customFormat="false" ht="15" hidden="false" customHeight="false" outlineLevel="0" collapsed="false">
      <c r="A2844" s="32" t="n">
        <v>2837</v>
      </c>
      <c r="B2844" s="33" t="n">
        <v>1607592</v>
      </c>
      <c r="C2844" s="34" t="s">
        <v>5759</v>
      </c>
      <c r="D2844" s="34" t="s">
        <v>5760</v>
      </c>
      <c r="E2844" s="34" t="s">
        <v>38</v>
      </c>
      <c r="F2844" s="32" t="n">
        <f aca="false">COUNTIF(Base!$D$2:$D$2878,B2844)</f>
        <v>1</v>
      </c>
      <c r="G2844" s="35" t="n">
        <f aca="false">SUMIF(Base!$D$2:$D$2878,B2844,Base!$I$2:$I$2878)</f>
        <v>0.86</v>
      </c>
      <c r="H2844" s="36" t="n">
        <f aca="false">IF($G$2849=0,0,G2844/$G$2849)</f>
        <v>5.64351146394794E-008</v>
      </c>
      <c r="I2844" s="37" t="n">
        <f aca="false">I2843+H2844</f>
        <v>0.999999869411769</v>
      </c>
      <c r="J2844" s="37" t="n">
        <f aca="false">A2844/2840</f>
        <v>0.998943661971831</v>
      </c>
      <c r="K2844" s="32" t="str">
        <f aca="false">IF(I2844&lt;=$E$4,"A",IF(I2844&lt;=$E$5,"B","C"))</f>
        <v>C</v>
      </c>
    </row>
    <row r="2845" customFormat="false" ht="15" hidden="false" customHeight="false" outlineLevel="0" collapsed="false">
      <c r="A2845" s="32" t="n">
        <v>2838</v>
      </c>
      <c r="B2845" s="33" t="n">
        <v>33790</v>
      </c>
      <c r="C2845" s="34" t="s">
        <v>5761</v>
      </c>
      <c r="D2845" s="34" t="s">
        <v>5762</v>
      </c>
      <c r="E2845" s="34" t="s">
        <v>100</v>
      </c>
      <c r="F2845" s="32" t="n">
        <f aca="false">COUNTIF(Base!$D$2:$D$2878,B2845)</f>
        <v>1</v>
      </c>
      <c r="G2845" s="35" t="n">
        <f aca="false">SUMIF(Base!$D$2:$D$2878,B2845,Base!$I$2:$I$2878)</f>
        <v>0.8</v>
      </c>
      <c r="H2845" s="36" t="n">
        <f aca="false">IF($G$2849=0,0,G2845/$G$2849)</f>
        <v>5.24977810599808E-008</v>
      </c>
      <c r="I2845" s="37" t="n">
        <f aca="false">I2844+H2845</f>
        <v>0.99999992190955</v>
      </c>
      <c r="J2845" s="37" t="n">
        <f aca="false">A2845/2840</f>
        <v>0.999295774647887</v>
      </c>
      <c r="K2845" s="32" t="str">
        <f aca="false">IF(I2845&lt;=$E$4,"A",IF(I2845&lt;=$E$5,"B","C"))</f>
        <v>C</v>
      </c>
    </row>
    <row r="2846" customFormat="false" ht="15" hidden="false" customHeight="false" outlineLevel="0" collapsed="false">
      <c r="A2846" s="32" t="n">
        <v>2839</v>
      </c>
      <c r="B2846" s="33" t="n">
        <v>273915</v>
      </c>
      <c r="C2846" s="34" t="s">
        <v>5763</v>
      </c>
      <c r="D2846" s="34" t="s">
        <v>5764</v>
      </c>
      <c r="E2846" s="34" t="s">
        <v>100</v>
      </c>
      <c r="F2846" s="32" t="n">
        <f aca="false">COUNTIF(Base!$D$2:$D$2878,B2846)</f>
        <v>1</v>
      </c>
      <c r="G2846" s="35" t="n">
        <f aca="false">SUMIF(Base!$D$2:$D$2878,B2846,Base!$I$2:$I$2878)</f>
        <v>0.71</v>
      </c>
      <c r="H2846" s="36" t="n">
        <f aca="false">IF($G$2849=0,0,G2846/$G$2849)</f>
        <v>4.6591780690733E-008</v>
      </c>
      <c r="I2846" s="37" t="n">
        <f aca="false">I2845+H2846</f>
        <v>0.999999968501331</v>
      </c>
      <c r="J2846" s="37" t="n">
        <f aca="false">A2846/2840</f>
        <v>0.999647887323944</v>
      </c>
      <c r="K2846" s="32" t="str">
        <f aca="false">IF(I2846&lt;=$E$4,"A",IF(I2846&lt;=$E$5,"B","C"))</f>
        <v>C</v>
      </c>
    </row>
    <row r="2847" customFormat="false" ht="15" hidden="false" customHeight="false" outlineLevel="0" collapsed="false">
      <c r="A2847" s="32" t="n">
        <v>2840</v>
      </c>
      <c r="B2847" s="33" t="n">
        <v>1614274</v>
      </c>
      <c r="C2847" s="34" t="s">
        <v>5765</v>
      </c>
      <c r="D2847" s="34" t="s">
        <v>5766</v>
      </c>
      <c r="E2847" s="34" t="s">
        <v>38</v>
      </c>
      <c r="F2847" s="32" t="n">
        <f aca="false">COUNTIF(Base!$D$2:$D$2878,B2847)</f>
        <v>1</v>
      </c>
      <c r="G2847" s="35" t="n">
        <f aca="false">SUMIF(Base!$D$2:$D$2878,B2847,Base!$I$2:$I$2878)</f>
        <v>0.48</v>
      </c>
      <c r="H2847" s="36" t="n">
        <f aca="false">IF($G$2849=0,0,G2847/$G$2849)</f>
        <v>3.14986686359885E-008</v>
      </c>
      <c r="I2847" s="37" t="n">
        <f aca="false">I2846+H2847</f>
        <v>1</v>
      </c>
      <c r="J2847" s="37" t="n">
        <f aca="false">A2847/2840</f>
        <v>1</v>
      </c>
      <c r="K2847" s="32" t="str">
        <f aca="false">IF(I2847&lt;=$E$4,"A",IF(I2847&lt;=$E$5,"B","C"))</f>
        <v>C</v>
      </c>
    </row>
    <row r="2849" customFormat="false" ht="15" hidden="false" customHeight="false" outlineLevel="0" collapsed="false">
      <c r="F2849" s="38" t="s">
        <v>5767</v>
      </c>
      <c r="G2849" s="39" t="n">
        <f aca="false">SUM(G8:G2847)</f>
        <v>15238739.3114</v>
      </c>
    </row>
    <row r="2850" customFormat="false" ht="15" hidden="false" customHeight="false" outlineLevel="0" collapsed="false">
      <c r="F2850" s="40" t="s">
        <v>5768</v>
      </c>
      <c r="G2850" s="41" t="n">
        <f aca="false">G2849-SUM(Base!$I$2:$I$2878)</f>
        <v>0</v>
      </c>
    </row>
  </sheetData>
  <autoFilter ref="A7:K2847"/>
  <conditionalFormatting sqref="K8:K2847">
    <cfRule type="cellIs" priority="2" operator="equal" aboveAverage="0" equalAverage="0" bottom="0" percent="0" rank="0" text="" dxfId="6">
      <formula>"A"</formula>
    </cfRule>
    <cfRule type="cellIs" priority="3" operator="equal" aboveAverage="0" equalAverage="0" bottom="0" percent="0" rank="0" text="" dxfId="7">
      <formula>"B"</formula>
    </cfRule>
    <cfRule type="cellIs" priority="4" operator="equal" aboveAverage="0" equalAverage="0" bottom="0" percent="0" rank="0" text="" dxfId="8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0"/>
    <col collapsed="false" customWidth="true" hidden="false" outlineLevel="0" max="6" min="3" style="0" width="17"/>
  </cols>
  <sheetData>
    <row r="1" customFormat="false" ht="15" hidden="false" customHeight="false" outlineLevel="0" collapsed="false">
      <c r="A1" s="42" t="s">
        <v>5769</v>
      </c>
    </row>
    <row r="3" customFormat="false" ht="15" hidden="false" customHeight="false" outlineLevel="0" collapsed="false">
      <c r="A3" s="43" t="s">
        <v>9</v>
      </c>
      <c r="B3" s="43" t="s">
        <v>10</v>
      </c>
      <c r="C3" s="43" t="s">
        <v>11</v>
      </c>
      <c r="D3" s="43" t="s">
        <v>12</v>
      </c>
      <c r="E3" s="43" t="s">
        <v>13</v>
      </c>
    </row>
    <row r="4" customFormat="false" ht="15" hidden="false" customHeight="false" outlineLevel="0" collapsed="false">
      <c r="A4" s="34" t="s">
        <v>5770</v>
      </c>
      <c r="B4" s="34" t="n">
        <f aca="false">COUNTIF('Curva ABC'!$K$8:$K$2847,A4)</f>
        <v>255</v>
      </c>
      <c r="C4" s="37" t="n">
        <f aca="false">B4/$B$7</f>
        <v>0.0897887323943662</v>
      </c>
      <c r="D4" s="44" t="n">
        <f aca="false">SUMIF('Curva ABC'!$K$8:$K$2847,A4,'Curva ABC'!$G$8:$G$2847)</f>
        <v>12188257.8435</v>
      </c>
      <c r="E4" s="37" t="n">
        <f aca="false">D4/$D$7</f>
        <v>0.799820614713321</v>
      </c>
    </row>
    <row r="5" customFormat="false" ht="15" hidden="false" customHeight="false" outlineLevel="0" collapsed="false">
      <c r="A5" s="34" t="s">
        <v>5771</v>
      </c>
      <c r="B5" s="34" t="n">
        <f aca="false">COUNTIF('Curva ABC'!$K$8:$K$2847,A5)</f>
        <v>609</v>
      </c>
      <c r="C5" s="37" t="n">
        <f aca="false">B5/$B$7</f>
        <v>0.21443661971831</v>
      </c>
      <c r="D5" s="44" t="n">
        <f aca="false">SUMIF('Curva ABC'!$K$8:$K$2847,A5,'Curva ABC'!$G$8:$G$2847)</f>
        <v>2288357.1289</v>
      </c>
      <c r="E5" s="37" t="n">
        <f aca="false">D5/$D$7</f>
        <v>0.150167089425048</v>
      </c>
    </row>
    <row r="6" customFormat="false" ht="15" hidden="false" customHeight="false" outlineLevel="0" collapsed="false">
      <c r="A6" s="34" t="s">
        <v>5772</v>
      </c>
      <c r="B6" s="34" t="n">
        <f aca="false">COUNTIF('Curva ABC'!$K$8:$K$2847,A6)</f>
        <v>1976</v>
      </c>
      <c r="C6" s="37" t="n">
        <f aca="false">B6/$B$7</f>
        <v>0.695774647887324</v>
      </c>
      <c r="D6" s="44" t="n">
        <f aca="false">SUMIF('Curva ABC'!$K$8:$K$2847,A6,'Curva ABC'!$G$8:$G$2847)</f>
        <v>762124.339</v>
      </c>
      <c r="E6" s="37" t="n">
        <f aca="false">D6/$D$7</f>
        <v>0.0500122958616308</v>
      </c>
    </row>
    <row r="7" customFormat="false" ht="15" hidden="false" customHeight="false" outlineLevel="0" collapsed="false">
      <c r="A7" s="45" t="s">
        <v>5773</v>
      </c>
      <c r="B7" s="45" t="n">
        <f aca="false">SUM(B4:B6)</f>
        <v>2840</v>
      </c>
      <c r="C7" s="46" t="n">
        <f aca="false">SUM(C4:C6)</f>
        <v>1</v>
      </c>
      <c r="D7" s="47" t="n">
        <f aca="false">SUM(D4:D6)</f>
        <v>15238739.3114</v>
      </c>
      <c r="E7" s="46" t="n">
        <f aca="false">SUM(E4:E6)</f>
        <v>1</v>
      </c>
    </row>
    <row r="10" customFormat="false" ht="15" hidden="false" customHeight="false" outlineLevel="0" collapsed="false">
      <c r="A10" s="43" t="s">
        <v>5774</v>
      </c>
      <c r="B10" s="43" t="s">
        <v>5775</v>
      </c>
      <c r="C10" s="43" t="s">
        <v>5776</v>
      </c>
      <c r="D10" s="43" t="s">
        <v>12</v>
      </c>
      <c r="E10" s="43" t="s">
        <v>13</v>
      </c>
    </row>
    <row r="11" customFormat="false" ht="15" hidden="false" customHeight="false" outlineLevel="0" collapsed="false">
      <c r="A11" s="34" t="s">
        <v>5777</v>
      </c>
      <c r="B11" s="34" t="s">
        <v>5778</v>
      </c>
      <c r="C11" s="34" t="n">
        <f aca="false">COUNTIF(Base!$B$2:$B$2878,A11)</f>
        <v>2731</v>
      </c>
      <c r="D11" s="44" t="n">
        <f aca="false">SUMIF(Base!$B$2:$B$2878,A11,Base!$I$2:$I$2878)</f>
        <v>10186546.0904</v>
      </c>
      <c r="E11" s="37" t="n">
        <f aca="false">D11/$D$16</f>
        <v>0.668463833014028</v>
      </c>
    </row>
    <row r="12" customFormat="false" ht="15" hidden="false" customHeight="false" outlineLevel="0" collapsed="false">
      <c r="A12" s="34" t="s">
        <v>5779</v>
      </c>
      <c r="B12" s="34" t="s">
        <v>5780</v>
      </c>
      <c r="C12" s="34" t="n">
        <f aca="false">COUNTIF(Base!$B$2:$B$2878,A12)</f>
        <v>30</v>
      </c>
      <c r="D12" s="44" t="n">
        <f aca="false">SUMIF(Base!$B$2:$B$2878,A12,Base!$I$2:$I$2878)</f>
        <v>2926675.02</v>
      </c>
      <c r="E12" s="37" t="n">
        <f aca="false">D12/$D$16</f>
        <v>0.192054930542094</v>
      </c>
    </row>
    <row r="13" customFormat="false" ht="15" hidden="false" customHeight="false" outlineLevel="0" collapsed="false">
      <c r="A13" s="34" t="s">
        <v>5781</v>
      </c>
      <c r="B13" s="34" t="s">
        <v>5782</v>
      </c>
      <c r="C13" s="34" t="n">
        <f aca="false">COUNTIF(Base!$B$2:$B$2878,A13)</f>
        <v>91</v>
      </c>
      <c r="D13" s="44" t="n">
        <f aca="false">SUMIF(Base!$B$2:$B$2878,A13,Base!$I$2:$I$2878)</f>
        <v>2117923.501</v>
      </c>
      <c r="E13" s="37" t="n">
        <f aca="false">D13/$D$16</f>
        <v>0.138982855321608</v>
      </c>
    </row>
    <row r="14" customFormat="false" ht="15" hidden="false" customHeight="false" outlineLevel="0" collapsed="false">
      <c r="A14" s="34" t="s">
        <v>5783</v>
      </c>
      <c r="B14" s="34" t="s">
        <v>5784</v>
      </c>
      <c r="C14" s="34" t="n">
        <f aca="false">COUNTIF(Base!$B$2:$B$2878,A14)</f>
        <v>23</v>
      </c>
      <c r="D14" s="44" t="n">
        <f aca="false">SUMIF(Base!$B$2:$B$2878,A14,Base!$I$2:$I$2878)</f>
        <v>7096.7</v>
      </c>
      <c r="E14" s="37" t="n">
        <f aca="false">D14/$D$16</f>
        <v>0.000465701253560457</v>
      </c>
    </row>
    <row r="15" customFormat="false" ht="15" hidden="false" customHeight="false" outlineLevel="0" collapsed="false">
      <c r="A15" s="34" t="s">
        <v>5785</v>
      </c>
      <c r="B15" s="34" t="s">
        <v>5786</v>
      </c>
      <c r="C15" s="34" t="n">
        <f aca="false">COUNTIF(Base!$B$2:$B$2878,A15)</f>
        <v>2</v>
      </c>
      <c r="D15" s="44" t="n">
        <f aca="false">SUMIF(Base!$B$2:$B$2878,A15,Base!$I$2:$I$2878)</f>
        <v>498</v>
      </c>
      <c r="E15" s="37" t="n">
        <f aca="false">D15/$D$16</f>
        <v>3.26798687098381E-005</v>
      </c>
    </row>
    <row r="16" customFormat="false" ht="15" hidden="false" customHeight="false" outlineLevel="0" collapsed="false">
      <c r="A16" s="45" t="s">
        <v>5773</v>
      </c>
      <c r="C16" s="45" t="n">
        <f aca="false">SUM(C11:C15)</f>
        <v>2877</v>
      </c>
      <c r="D16" s="47" t="n">
        <f aca="false">SUM(D11:D15)</f>
        <v>15238739.3114</v>
      </c>
      <c r="E16" s="46" t="n">
        <f aca="false">SUM(E11:E15)</f>
        <v>1</v>
      </c>
    </row>
    <row r="19" customFormat="false" ht="15" hidden="false" customHeight="false" outlineLevel="0" collapsed="false">
      <c r="A19" s="43" t="s">
        <v>5774</v>
      </c>
      <c r="B19" s="43" t="s">
        <v>5775</v>
      </c>
      <c r="C19" s="43" t="s">
        <v>5787</v>
      </c>
      <c r="D19" s="43" t="s">
        <v>5788</v>
      </c>
      <c r="E19" s="43" t="s">
        <v>5789</v>
      </c>
      <c r="F19" s="43" t="s">
        <v>5790</v>
      </c>
    </row>
    <row r="20" customFormat="false" ht="15" hidden="false" customHeight="false" outlineLevel="0" collapsed="false">
      <c r="A20" s="34" t="s">
        <v>5777</v>
      </c>
      <c r="B20" s="34" t="str">
        <f aca="false">B11</f>
        <v>USO E CONSUMO</v>
      </c>
      <c r="C20" s="44" t="n">
        <f aca="false">SUMIFS(Base!$I$2:$I$2878,Base!$B$2:$B$2878,$A20,Base!$K$2:$K$2878,"A")</f>
        <v>7352689.2924</v>
      </c>
      <c r="D20" s="44" t="n">
        <f aca="false">SUMIFS(Base!$I$2:$I$2878,Base!$B$2:$B$2878,$A20,Base!$K$2:$K$2878,"B")</f>
        <v>2089884.549</v>
      </c>
      <c r="E20" s="44" t="n">
        <f aca="false">SUMIFS(Base!$I$2:$I$2878,Base!$B$2:$B$2878,$A20,Base!$K$2:$K$2878,"C")</f>
        <v>743972.249</v>
      </c>
      <c r="F20" s="44" t="n">
        <f aca="false">SUM(C20:E20)</f>
        <v>10186546.0904</v>
      </c>
    </row>
    <row r="21" customFormat="false" ht="15" hidden="false" customHeight="false" outlineLevel="0" collapsed="false">
      <c r="A21" s="34" t="s">
        <v>5779</v>
      </c>
      <c r="B21" s="34" t="str">
        <f aca="false">B12</f>
        <v>FAT. DIR. CLIENTE</v>
      </c>
      <c r="C21" s="44" t="n">
        <f aca="false">SUMIFS(Base!$I$2:$I$2878,Base!$B$2:$B$2878,$A21,Base!$K$2:$K$2878,"A")</f>
        <v>2911160.22</v>
      </c>
      <c r="D21" s="44" t="n">
        <f aca="false">SUMIFS(Base!$I$2:$I$2878,Base!$B$2:$B$2878,$A21,Base!$K$2:$K$2878,"B")</f>
        <v>11922.99</v>
      </c>
      <c r="E21" s="44" t="n">
        <f aca="false">SUMIFS(Base!$I$2:$I$2878,Base!$B$2:$B$2878,$A21,Base!$K$2:$K$2878,"C")</f>
        <v>3591.81</v>
      </c>
      <c r="F21" s="44" t="n">
        <f aca="false">SUM(C21:E21)</f>
        <v>2926675.02</v>
      </c>
    </row>
    <row r="22" customFormat="false" ht="15" hidden="false" customHeight="false" outlineLevel="0" collapsed="false">
      <c r="A22" s="34" t="s">
        <v>5781</v>
      </c>
      <c r="B22" s="34" t="str">
        <f aca="false">B13</f>
        <v>IMOBILIZADO</v>
      </c>
      <c r="C22" s="44" t="n">
        <f aca="false">SUMIFS(Base!$I$2:$I$2878,Base!$B$2:$B$2878,$A22,Base!$K$2:$K$2878,"A")</f>
        <v>1924408.3311</v>
      </c>
      <c r="D22" s="44" t="n">
        <f aca="false">SUMIFS(Base!$I$2:$I$2878,Base!$B$2:$B$2878,$A22,Base!$K$2:$K$2878,"B")</f>
        <v>185473.5899</v>
      </c>
      <c r="E22" s="44" t="n">
        <f aca="false">SUMIFS(Base!$I$2:$I$2878,Base!$B$2:$B$2878,$A22,Base!$K$2:$K$2878,"C")</f>
        <v>8041.58</v>
      </c>
      <c r="F22" s="44" t="n">
        <f aca="false">SUM(C22:E22)</f>
        <v>2117923.501</v>
      </c>
    </row>
    <row r="23" customFormat="false" ht="15" hidden="false" customHeight="false" outlineLevel="0" collapsed="false">
      <c r="A23" s="34" t="s">
        <v>5783</v>
      </c>
      <c r="B23" s="34" t="str">
        <f aca="false">B14</f>
        <v>FAT. DIR. TERCEIRO</v>
      </c>
      <c r="C23" s="44" t="n">
        <f aca="false">SUMIFS(Base!$I$2:$I$2878,Base!$B$2:$B$2878,$A23,Base!$K$2:$K$2878,"A")</f>
        <v>0</v>
      </c>
      <c r="D23" s="44" t="n">
        <f aca="false">SUMIFS(Base!$I$2:$I$2878,Base!$B$2:$B$2878,$A23,Base!$K$2:$K$2878,"B")</f>
        <v>1076</v>
      </c>
      <c r="E23" s="44" t="n">
        <f aca="false">SUMIFS(Base!$I$2:$I$2878,Base!$B$2:$B$2878,$A23,Base!$K$2:$K$2878,"C")</f>
        <v>6020.7</v>
      </c>
      <c r="F23" s="44" t="n">
        <f aca="false">SUM(C23:E23)</f>
        <v>7096.7</v>
      </c>
    </row>
    <row r="24" customFormat="false" ht="15" hidden="false" customHeight="false" outlineLevel="0" collapsed="false">
      <c r="A24" s="34" t="s">
        <v>5785</v>
      </c>
      <c r="B24" s="34" t="str">
        <f aca="false">B15</f>
        <v>ESTOQUE MATRIZ FIL 1</v>
      </c>
      <c r="C24" s="44" t="n">
        <f aca="false">SUMIFS(Base!$I$2:$I$2878,Base!$B$2:$B$2878,$A24,Base!$K$2:$K$2878,"A")</f>
        <v>0</v>
      </c>
      <c r="D24" s="44" t="n">
        <f aca="false">SUMIFS(Base!$I$2:$I$2878,Base!$B$2:$B$2878,$A24,Base!$K$2:$K$2878,"B")</f>
        <v>0</v>
      </c>
      <c r="E24" s="44" t="n">
        <f aca="false">SUMIFS(Base!$I$2:$I$2878,Base!$B$2:$B$2878,$A24,Base!$K$2:$K$2878,"C")</f>
        <v>498</v>
      </c>
      <c r="F24" s="44" t="n">
        <f aca="false">SUM(C24:E24)</f>
        <v>498</v>
      </c>
    </row>
    <row r="28" customFormat="false" ht="15" hidden="false" customHeight="false" outlineLevel="0" collapsed="false">
      <c r="A28" s="43" t="s">
        <v>5791</v>
      </c>
      <c r="B28" s="43" t="s">
        <v>10</v>
      </c>
      <c r="C28" s="43" t="s">
        <v>12</v>
      </c>
      <c r="D28" s="43" t="s">
        <v>13</v>
      </c>
    </row>
    <row r="29" customFormat="false" ht="15" hidden="false" customHeight="false" outlineLevel="0" collapsed="false">
      <c r="A29" s="34" t="s">
        <v>38</v>
      </c>
      <c r="B29" s="34" t="n">
        <f aca="false">COUNTIF('Curva ABC'!$E$8:$E$2847,A29)</f>
        <v>665</v>
      </c>
      <c r="C29" s="44" t="n">
        <f aca="false">SUMIF('Curva ABC'!$E$8:$E$2847,A29,'Curva ABC'!$G$8:$G$2847)</f>
        <v>5664327.2879</v>
      </c>
      <c r="D29" s="37" t="n">
        <f aca="false">C29/'Curva ABC'!$G$2849</f>
        <v>0.371705767265311</v>
      </c>
    </row>
    <row r="30" customFormat="false" ht="15" hidden="false" customHeight="false" outlineLevel="0" collapsed="false">
      <c r="A30" s="34" t="s">
        <v>35</v>
      </c>
      <c r="B30" s="34" t="n">
        <f aca="false">COUNTIF('Curva ABC'!$E$8:$E$2847,A30)</f>
        <v>69</v>
      </c>
      <c r="C30" s="44" t="n">
        <f aca="false">SUMIF('Curva ABC'!$E$8:$E$2847,A30,'Curva ABC'!$G$8:$G$2847)</f>
        <v>1473726.0631</v>
      </c>
      <c r="D30" s="37" t="n">
        <f aca="false">C30/'Curva ABC'!$G$2849</f>
        <v>0.0967091852537641</v>
      </c>
    </row>
    <row r="31" customFormat="false" ht="15" hidden="false" customHeight="false" outlineLevel="0" collapsed="false">
      <c r="A31" s="34" t="s">
        <v>54</v>
      </c>
      <c r="B31" s="34" t="n">
        <f aca="false">COUNTIF('Curva ABC'!$E$8:$E$2847,A31)</f>
        <v>243</v>
      </c>
      <c r="C31" s="44" t="n">
        <f aca="false">SUMIF('Curva ABC'!$E$8:$E$2847,A31,'Curva ABC'!$G$8:$G$2847)</f>
        <v>1077720.781</v>
      </c>
      <c r="D31" s="37" t="n">
        <f aca="false">C31/'Curva ABC'!$G$2849</f>
        <v>0.0707224370059119</v>
      </c>
    </row>
    <row r="32" customFormat="false" ht="15" hidden="false" customHeight="false" outlineLevel="0" collapsed="false">
      <c r="A32" s="34" t="s">
        <v>32</v>
      </c>
      <c r="B32" s="34" t="n">
        <f aca="false">COUNTIF('Curva ABC'!$E$8:$E$2847,A32)</f>
        <v>8</v>
      </c>
      <c r="C32" s="44" t="n">
        <f aca="false">SUMIF('Curva ABC'!$E$8:$E$2847,A32,'Curva ABC'!$G$8:$G$2847)</f>
        <v>702645.3</v>
      </c>
      <c r="D32" s="37" t="n">
        <f aca="false">C32/'Curva ABC'!$G$2849</f>
        <v>0.0461091489027807</v>
      </c>
    </row>
    <row r="33" customFormat="false" ht="15" hidden="false" customHeight="false" outlineLevel="0" collapsed="false">
      <c r="A33" s="34" t="s">
        <v>66</v>
      </c>
      <c r="B33" s="34" t="n">
        <f aca="false">COUNTIF('Curva ABC'!$E$8:$E$2847,A33)</f>
        <v>30</v>
      </c>
      <c r="C33" s="44" t="n">
        <f aca="false">SUMIF('Curva ABC'!$E$8:$E$2847,A33,'Curva ABC'!$G$8:$G$2847)</f>
        <v>557131.232</v>
      </c>
      <c r="D33" s="37" t="n">
        <f aca="false">C33/'Curva ABC'!$G$2849</f>
        <v>0.0365601917990167</v>
      </c>
    </row>
    <row r="34" customFormat="false" ht="15" hidden="false" customHeight="false" outlineLevel="0" collapsed="false">
      <c r="A34" s="34" t="s">
        <v>100</v>
      </c>
      <c r="B34" s="34" t="n">
        <f aca="false">COUNTIF('Curva ABC'!$E$8:$E$2847,A34)</f>
        <v>280</v>
      </c>
      <c r="C34" s="44" t="n">
        <f aca="false">SUMIF('Curva ABC'!$E$8:$E$2847,A34,'Curva ABC'!$G$8:$G$2847)</f>
        <v>478791.7822</v>
      </c>
      <c r="D34" s="37" t="n">
        <f aca="false">C34/'Curva ABC'!$G$2849</f>
        <v>0.031419382694067</v>
      </c>
    </row>
    <row r="35" customFormat="false" ht="15" hidden="false" customHeight="false" outlineLevel="0" collapsed="false">
      <c r="A35" s="34" t="s">
        <v>133</v>
      </c>
      <c r="B35" s="34" t="n">
        <f aca="false">COUNTIF('Curva ABC'!$E$8:$E$2847,A35)</f>
        <v>88</v>
      </c>
      <c r="C35" s="44" t="n">
        <f aca="false">SUMIF('Curva ABC'!$E$8:$E$2847,A35,'Curva ABC'!$G$8:$G$2847)</f>
        <v>463918.5458</v>
      </c>
      <c r="D35" s="37" t="n">
        <f aca="false">C35/'Curva ABC'!$G$2849</f>
        <v>0.0304433678088414</v>
      </c>
    </row>
    <row r="36" customFormat="false" ht="15" hidden="false" customHeight="false" outlineLevel="0" collapsed="false">
      <c r="A36" s="34" t="s">
        <v>93</v>
      </c>
      <c r="B36" s="34" t="n">
        <f aca="false">COUNTIF('Curva ABC'!$E$8:$E$2847,A36)</f>
        <v>29</v>
      </c>
      <c r="C36" s="44" t="n">
        <f aca="false">SUMIF('Curva ABC'!$E$8:$E$2847,A36,'Curva ABC'!$G$8:$G$2847)</f>
        <v>455464.1744</v>
      </c>
      <c r="D36" s="37" t="n">
        <f aca="false">C36/'Curva ABC'!$G$2849</f>
        <v>0.0298885731353951</v>
      </c>
    </row>
    <row r="37" customFormat="false" ht="15" hidden="false" customHeight="false" outlineLevel="0" collapsed="false">
      <c r="A37" s="34" t="s">
        <v>247</v>
      </c>
      <c r="B37" s="34" t="n">
        <f aca="false">COUNTIF('Curva ABC'!$E$8:$E$2847,A37)</f>
        <v>183</v>
      </c>
      <c r="C37" s="44" t="n">
        <f aca="false">SUMIF('Curva ABC'!$E$8:$E$2847,A37,'Curva ABC'!$G$8:$G$2847)</f>
        <v>437756.6088</v>
      </c>
      <c r="D37" s="37" t="n">
        <f aca="false">C37/'Curva ABC'!$G$2849</f>
        <v>0.0287265632579276</v>
      </c>
    </row>
    <row r="38" customFormat="false" ht="15" hidden="false" customHeight="false" outlineLevel="0" collapsed="false">
      <c r="A38" s="34" t="s">
        <v>75</v>
      </c>
      <c r="B38" s="34" t="n">
        <f aca="false">COUNTIF('Curva ABC'!$E$8:$E$2847,A38)</f>
        <v>40</v>
      </c>
      <c r="C38" s="44" t="n">
        <f aca="false">SUMIF('Curva ABC'!$E$8:$E$2847,A38,'Curva ABC'!$G$8:$G$2847)</f>
        <v>370257.8227</v>
      </c>
      <c r="D38" s="37" t="n">
        <f aca="false">C38/'Curva ABC'!$G$2849</f>
        <v>0.0242971426398122</v>
      </c>
    </row>
    <row r="39" customFormat="false" ht="15" hidden="false" customHeight="false" outlineLevel="0" collapsed="false">
      <c r="A39" s="34" t="s">
        <v>5792</v>
      </c>
      <c r="C39" s="44" t="n">
        <f aca="false">'Curva ABC'!$G$2849-SUM(C29:C38)</f>
        <v>3556999.7135</v>
      </c>
      <c r="D39" s="37" t="n">
        <f aca="false">C39/'Curva ABC'!$G$2849</f>
        <v>0.233418240237172</v>
      </c>
    </row>
    <row r="43" customFormat="false" ht="15" hidden="false" customHeight="false" outlineLevel="0" collapsed="false">
      <c r="A43" s="43" t="s">
        <v>5793</v>
      </c>
      <c r="B43" s="43" t="s">
        <v>12</v>
      </c>
      <c r="C43" s="43" t="s">
        <v>13</v>
      </c>
    </row>
    <row r="44" customFormat="false" ht="15" hidden="false" customHeight="false" outlineLevel="0" collapsed="false">
      <c r="A44" s="34" t="str">
        <f aca="false">'Curva ABC'!C8&amp;" - "&amp;LEFT('Curva ABC'!D8,38)</f>
        <v>17.01.1200 - CABO UNIPOLAR DE ALUMÍNIO, CLASSE 0,6/</v>
      </c>
      <c r="B44" s="44" t="n">
        <f aca="false">'Curva ABC'!G8</f>
        <v>689877.92</v>
      </c>
      <c r="C44" s="37" t="n">
        <f aca="false">'Curva ABC'!H8</f>
        <v>0.0452713250028437</v>
      </c>
    </row>
    <row r="45" customFormat="false" ht="15" hidden="false" customHeight="false" outlineLevel="0" collapsed="false">
      <c r="A45" s="34" t="str">
        <f aca="false">'Curva ABC'!C9&amp;" - "&amp;LEFT('Curva ABC'!D9,38)</f>
        <v>32.13.0045 - CARPA DORMITÓRIO COM DIVISÓRIA EM PVC </v>
      </c>
      <c r="B45" s="44" t="n">
        <f aca="false">'Curva ABC'!G9</f>
        <v>595000.0001</v>
      </c>
      <c r="C45" s="37" t="n">
        <f aca="false">'Curva ABC'!H9</f>
        <v>0.039045224669923</v>
      </c>
    </row>
    <row r="46" customFormat="false" ht="15" hidden="false" customHeight="false" outlineLevel="0" collapsed="false">
      <c r="A46" s="34" t="str">
        <f aca="false">'Curva ABC'!C10&amp;" - "&amp;LEFT('Curva ABC'!D10,38)</f>
        <v>17.01.1206 - CABO BT 6MM² SOLAR, CONDUTOR DE COBRE </v>
      </c>
      <c r="B46" s="44" t="n">
        <f aca="false">'Curva ABC'!G10</f>
        <v>355560.3</v>
      </c>
      <c r="C46" s="37" t="n">
        <f aca="false">'Curva ABC'!H10</f>
        <v>0.0233326584787764</v>
      </c>
    </row>
    <row r="47" customFormat="false" ht="15" hidden="false" customHeight="false" outlineLevel="0" collapsed="false">
      <c r="A47" s="34" t="str">
        <f aca="false">'Curva ABC'!C11&amp;" - "&amp;LEFT('Curva ABC'!D11,38)</f>
        <v>17.01.0846 - CABO DE COBRE NU 50MM²,TÊMPERA MEIO DU</v>
      </c>
      <c r="B47" s="44" t="n">
        <f aca="false">'Curva ABC'!G11</f>
        <v>348968.62</v>
      </c>
      <c r="C47" s="37" t="n">
        <f aca="false">'Curva ABC'!H11</f>
        <v>0.0229000977619546</v>
      </c>
    </row>
    <row r="48" customFormat="false" ht="15" hidden="false" customHeight="false" outlineLevel="0" collapsed="false">
      <c r="A48" s="34" t="str">
        <f aca="false">'Curva ABC'!C12&amp;" - "&amp;LEFT('Curva ABC'!D12,38)</f>
        <v>17.01.1203 - CABO DE COBRE MONOPOLAR 240 MM², CLASS</v>
      </c>
      <c r="B48" s="44" t="n">
        <f aca="false">'Curva ABC'!G12</f>
        <v>340633.99</v>
      </c>
      <c r="C48" s="37" t="n">
        <f aca="false">'Curva ABC'!H12</f>
        <v>0.0223531607857596</v>
      </c>
    </row>
    <row r="49" customFormat="false" ht="15" hidden="false" customHeight="false" outlineLevel="0" collapsed="false">
      <c r="A49" s="34" t="str">
        <f aca="false">'Curva ABC'!C13&amp;" - "&amp;LEFT('Curva ABC'!D13,38)</f>
        <v>17.06.0053 - CABO ELETRICO FLEXIVEL DE COBRE ISOLAD</v>
      </c>
      <c r="B49" s="44" t="n">
        <f aca="false">'Curva ABC'!G13</f>
        <v>340477.81</v>
      </c>
      <c r="C49" s="37" t="n">
        <f aca="false">'Curva ABC'!H13</f>
        <v>0.0223429119064522</v>
      </c>
    </row>
    <row r="50" customFormat="false" ht="15" hidden="false" customHeight="false" outlineLevel="0" collapsed="false">
      <c r="A50" s="34" t="str">
        <f aca="false">'Curva ABC'!C14&amp;" - "&amp;LEFT('Curva ABC'!D14,38)</f>
        <v>02.01.0080 - TELA DO TIPO ALAMBRADO, MALHA DE ARAME</v>
      </c>
      <c r="B50" s="44" t="n">
        <f aca="false">'Curva ABC'!G14</f>
        <v>319377.6</v>
      </c>
      <c r="C50" s="37" t="n">
        <f aca="false">'Curva ABC'!H14</f>
        <v>0.0209582691503277</v>
      </c>
    </row>
    <row r="51" customFormat="false" ht="15" hidden="false" customHeight="false" outlineLevel="0" collapsed="false">
      <c r="A51" s="34" t="str">
        <f aca="false">'Curva ABC'!C15&amp;" - "&amp;LEFT('Curva ABC'!D15,38)</f>
        <v>17.01.1205 - CABO DE COBRE NU 120 MM², CLASSE 2A, T</v>
      </c>
      <c r="B51" s="44" t="n">
        <f aca="false">'Curva ABC'!G15</f>
        <v>289781.22</v>
      </c>
      <c r="C51" s="37" t="n">
        <f aca="false">'Curva ABC'!H15</f>
        <v>0.0190160888035677</v>
      </c>
    </row>
    <row r="52" customFormat="false" ht="15" hidden="false" customHeight="false" outlineLevel="0" collapsed="false">
      <c r="A52" s="34" t="str">
        <f aca="false">'Curva ABC'!C16&amp;" - "&amp;LEFT('Curva ABC'!D16,38)</f>
        <v>17.01.1207 - CABO BT 6MM² SOLAR, CONDUTOR DE COBRE </v>
      </c>
      <c r="B52" s="44" t="n">
        <f aca="false">'Curva ABC'!G16</f>
        <v>266529.6</v>
      </c>
      <c r="C52" s="37" t="n">
        <f aca="false">'Curva ABC'!H16</f>
        <v>0.0174902657335053</v>
      </c>
    </row>
    <row r="53" customFormat="false" ht="15" hidden="false" customHeight="false" outlineLevel="0" collapsed="false">
      <c r="A53" s="34" t="str">
        <f aca="false">'Curva ABC'!C17&amp;" - "&amp;LEFT('Curva ABC'!D17,38)</f>
        <v>18.07.0094 - RESERVATÓRIO DE 30.000 L EM PEAD</v>
      </c>
      <c r="B53" s="44" t="n">
        <f aca="false">'Curva ABC'!G17</f>
        <v>239772.49</v>
      </c>
      <c r="C53" s="37" t="n">
        <f aca="false">'Curva ABC'!H17</f>
        <v>0.0157344046052831</v>
      </c>
    </row>
    <row r="57" customFormat="false" ht="15" hidden="false" customHeight="false" outlineLevel="0" collapsed="false">
      <c r="A57" s="43" t="s">
        <v>20</v>
      </c>
      <c r="B57" s="43" t="s">
        <v>12</v>
      </c>
      <c r="C57" s="43" t="s">
        <v>28</v>
      </c>
    </row>
    <row r="58" customFormat="false" ht="15" hidden="false" customHeight="false" outlineLevel="0" collapsed="false">
      <c r="A58" s="34" t="n">
        <f aca="false">'Curva ABC'!A8</f>
        <v>1</v>
      </c>
      <c r="B58" s="44" t="n">
        <f aca="false">'Curva ABC'!G8</f>
        <v>689877.92</v>
      </c>
      <c r="C58" s="37" t="n">
        <f aca="false">'Curva ABC'!I8</f>
        <v>0.0452713250028437</v>
      </c>
    </row>
    <row r="59" customFormat="false" ht="15" hidden="false" customHeight="false" outlineLevel="0" collapsed="false">
      <c r="A59" s="34" t="n">
        <f aca="false">'Curva ABC'!A9</f>
        <v>2</v>
      </c>
      <c r="B59" s="44" t="n">
        <f aca="false">'Curva ABC'!G9</f>
        <v>595000.0001</v>
      </c>
      <c r="C59" s="37" t="n">
        <f aca="false">'Curva ABC'!I9</f>
        <v>0.0843165496727667</v>
      </c>
    </row>
    <row r="60" customFormat="false" ht="15" hidden="false" customHeight="false" outlineLevel="0" collapsed="false">
      <c r="A60" s="34" t="n">
        <f aca="false">'Curva ABC'!A10</f>
        <v>3</v>
      </c>
      <c r="B60" s="44" t="n">
        <f aca="false">'Curva ABC'!G10</f>
        <v>355560.3</v>
      </c>
      <c r="C60" s="37" t="n">
        <f aca="false">'Curva ABC'!I10</f>
        <v>0.107649208151543</v>
      </c>
    </row>
    <row r="61" customFormat="false" ht="15" hidden="false" customHeight="false" outlineLevel="0" collapsed="false">
      <c r="A61" s="34" t="n">
        <f aca="false">'Curva ABC'!A11</f>
        <v>4</v>
      </c>
      <c r="B61" s="44" t="n">
        <f aca="false">'Curva ABC'!G11</f>
        <v>348968.62</v>
      </c>
      <c r="C61" s="37" t="n">
        <f aca="false">'Curva ABC'!I11</f>
        <v>0.130549305913498</v>
      </c>
    </row>
    <row r="62" customFormat="false" ht="15" hidden="false" customHeight="false" outlineLevel="0" collapsed="false">
      <c r="A62" s="34" t="n">
        <f aca="false">'Curva ABC'!A12</f>
        <v>5</v>
      </c>
      <c r="B62" s="44" t="n">
        <f aca="false">'Curva ABC'!G12</f>
        <v>340633.99</v>
      </c>
      <c r="C62" s="37" t="n">
        <f aca="false">'Curva ABC'!I12</f>
        <v>0.152902466699257</v>
      </c>
    </row>
    <row r="63" customFormat="false" ht="15" hidden="false" customHeight="false" outlineLevel="0" collapsed="false">
      <c r="A63" s="34" t="n">
        <f aca="false">'Curva ABC'!A13</f>
        <v>6</v>
      </c>
      <c r="B63" s="44" t="n">
        <f aca="false">'Curva ABC'!G13</f>
        <v>340477.81</v>
      </c>
      <c r="C63" s="37" t="n">
        <f aca="false">'Curva ABC'!I13</f>
        <v>0.175245378605709</v>
      </c>
    </row>
    <row r="64" customFormat="false" ht="15" hidden="false" customHeight="false" outlineLevel="0" collapsed="false">
      <c r="A64" s="34" t="n">
        <f aca="false">'Curva ABC'!A14</f>
        <v>7</v>
      </c>
      <c r="B64" s="44" t="n">
        <f aca="false">'Curva ABC'!G14</f>
        <v>319377.6</v>
      </c>
      <c r="C64" s="37" t="n">
        <f aca="false">'Curva ABC'!I14</f>
        <v>0.196203647756037</v>
      </c>
    </row>
    <row r="65" customFormat="false" ht="15" hidden="false" customHeight="false" outlineLevel="0" collapsed="false">
      <c r="A65" s="34" t="n">
        <f aca="false">'Curva ABC'!A15</f>
        <v>8</v>
      </c>
      <c r="B65" s="44" t="n">
        <f aca="false">'Curva ABC'!G15</f>
        <v>289781.22</v>
      </c>
      <c r="C65" s="37" t="n">
        <f aca="false">'Curva ABC'!I15</f>
        <v>0.215219736559605</v>
      </c>
    </row>
    <row r="66" customFormat="false" ht="15" hidden="false" customHeight="false" outlineLevel="0" collapsed="false">
      <c r="A66" s="34" t="n">
        <f aca="false">'Curva ABC'!A16</f>
        <v>9</v>
      </c>
      <c r="B66" s="44" t="n">
        <f aca="false">'Curva ABC'!G16</f>
        <v>266529.6</v>
      </c>
      <c r="C66" s="37" t="n">
        <f aca="false">'Curva ABC'!I16</f>
        <v>0.23271000229311</v>
      </c>
    </row>
    <row r="67" customFormat="false" ht="15" hidden="false" customHeight="false" outlineLevel="0" collapsed="false">
      <c r="A67" s="34" t="n">
        <f aca="false">'Curva ABC'!A17</f>
        <v>10</v>
      </c>
      <c r="B67" s="44" t="n">
        <f aca="false">'Curva ABC'!G17</f>
        <v>239772.49</v>
      </c>
      <c r="C67" s="37" t="n">
        <f aca="false">'Curva ABC'!I17</f>
        <v>0.248444406898393</v>
      </c>
    </row>
    <row r="68" customFormat="false" ht="15" hidden="false" customHeight="false" outlineLevel="0" collapsed="false">
      <c r="A68" s="34" t="n">
        <f aca="false">'Curva ABC'!A18</f>
        <v>11</v>
      </c>
      <c r="B68" s="44" t="n">
        <f aca="false">'Curva ABC'!G18</f>
        <v>198764.12</v>
      </c>
      <c r="C68" s="37" t="n">
        <f aca="false">'Curva ABC'!I18</f>
        <v>0.261487750966318</v>
      </c>
    </row>
    <row r="69" customFormat="false" ht="15" hidden="false" customHeight="false" outlineLevel="0" collapsed="false">
      <c r="A69" s="34" t="n">
        <f aca="false">'Curva ABC'!A19</f>
        <v>12</v>
      </c>
      <c r="B69" s="44" t="n">
        <f aca="false">'Curva ABC'!G19</f>
        <v>171047.93</v>
      </c>
      <c r="C69" s="37" t="n">
        <f aca="false">'Curva ABC'!I19</f>
        <v>0.272712296941196</v>
      </c>
    </row>
    <row r="70" customFormat="false" ht="15" hidden="false" customHeight="false" outlineLevel="0" collapsed="false">
      <c r="A70" s="34" t="n">
        <f aca="false">'Curva ABC'!A20</f>
        <v>13</v>
      </c>
      <c r="B70" s="44" t="n">
        <f aca="false">'Curva ABC'!G20</f>
        <v>169258.31</v>
      </c>
      <c r="C70" s="37" t="n">
        <f aca="false">'Curva ABC'!I20</f>
        <v>0.283819404067399</v>
      </c>
    </row>
    <row r="71" customFormat="false" ht="15" hidden="false" customHeight="false" outlineLevel="0" collapsed="false">
      <c r="A71" s="34" t="n">
        <f aca="false">'Curva ABC'!A21</f>
        <v>14</v>
      </c>
      <c r="B71" s="44" t="n">
        <f aca="false">'Curva ABC'!G21</f>
        <v>163012.5</v>
      </c>
      <c r="C71" s="37" t="n">
        <f aca="false">'Curva ABC'!I21</f>
        <v>0.2945166472362</v>
      </c>
    </row>
    <row r="72" customFormat="false" ht="15" hidden="false" customHeight="false" outlineLevel="0" collapsed="false">
      <c r="A72" s="34" t="n">
        <f aca="false">'Curva ABC'!A22</f>
        <v>15</v>
      </c>
      <c r="B72" s="44" t="n">
        <f aca="false">'Curva ABC'!G22</f>
        <v>159390</v>
      </c>
      <c r="C72" s="37" t="n">
        <f aca="false">'Curva ABC'!I22</f>
        <v>0.304976173890137</v>
      </c>
    </row>
    <row r="73" customFormat="false" ht="15" hidden="false" customHeight="false" outlineLevel="0" collapsed="false">
      <c r="A73" s="34" t="n">
        <f aca="false">'Curva ABC'!A23</f>
        <v>16</v>
      </c>
      <c r="B73" s="44" t="n">
        <f aca="false">'Curva ABC'!G23</f>
        <v>151354.5</v>
      </c>
      <c r="C73" s="37" t="n">
        <f aca="false">'Curva ABC'!I23</f>
        <v>0.314908393144441</v>
      </c>
    </row>
    <row r="74" customFormat="false" ht="15" hidden="false" customHeight="false" outlineLevel="0" collapsed="false">
      <c r="A74" s="34" t="n">
        <f aca="false">'Curva ABC'!A24</f>
        <v>17</v>
      </c>
      <c r="B74" s="44" t="n">
        <f aca="false">'Curva ABC'!G24</f>
        <v>148930</v>
      </c>
      <c r="C74" s="37" t="n">
        <f aca="false">'Curva ABC'!I24</f>
        <v>0.32468151131102</v>
      </c>
    </row>
    <row r="75" customFormat="false" ht="15" hidden="false" customHeight="false" outlineLevel="0" collapsed="false">
      <c r="A75" s="34" t="n">
        <f aca="false">'Curva ABC'!A25</f>
        <v>18</v>
      </c>
      <c r="B75" s="44" t="n">
        <f aca="false">'Curva ABC'!G25</f>
        <v>142639.77</v>
      </c>
      <c r="C75" s="37" t="n">
        <f aca="false">'Curva ABC'!I25</f>
        <v>0.334041850580902</v>
      </c>
    </row>
    <row r="76" customFormat="false" ht="15" hidden="false" customHeight="false" outlineLevel="0" collapsed="false">
      <c r="A76" s="34" t="n">
        <f aca="false">'Curva ABC'!A26</f>
        <v>19</v>
      </c>
      <c r="B76" s="44" t="n">
        <f aca="false">'Curva ABC'!G26</f>
        <v>142156.2012</v>
      </c>
      <c r="C76" s="37" t="n">
        <f aca="false">'Curva ABC'!I26</f>
        <v>0.343370456989547</v>
      </c>
    </row>
    <row r="77" customFormat="false" ht="15" hidden="false" customHeight="false" outlineLevel="0" collapsed="false">
      <c r="A77" s="34" t="n">
        <f aca="false">'Curva ABC'!A27</f>
        <v>20</v>
      </c>
      <c r="B77" s="44" t="n">
        <f aca="false">'Curva ABC'!G27</f>
        <v>137108.08</v>
      </c>
      <c r="C77" s="37" t="n">
        <f aca="false">'Curva ABC'!I27</f>
        <v>0.35236779444629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28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9"/>
    <col collapsed="false" customWidth="true" hidden="false" outlineLevel="0" max="10" min="10" style="0" width="46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48" t="s">
        <v>5794</v>
      </c>
      <c r="B1" s="48" t="s">
        <v>5774</v>
      </c>
      <c r="C1" s="48" t="s">
        <v>5775</v>
      </c>
      <c r="D1" s="48" t="s">
        <v>21</v>
      </c>
      <c r="E1" s="48" t="s">
        <v>22</v>
      </c>
      <c r="F1" s="48" t="s">
        <v>23</v>
      </c>
      <c r="G1" s="48" t="s">
        <v>5795</v>
      </c>
      <c r="H1" s="48" t="s">
        <v>5796</v>
      </c>
      <c r="I1" s="48" t="s">
        <v>5797</v>
      </c>
      <c r="J1" s="48" t="s">
        <v>24</v>
      </c>
      <c r="K1" s="48" t="s">
        <v>5798</v>
      </c>
    </row>
    <row r="2" customFormat="false" ht="15" hidden="false" customHeight="false" outlineLevel="0" collapsed="false">
      <c r="A2" s="34" t="s">
        <v>5799</v>
      </c>
      <c r="B2" s="34" t="str">
        <f aca="false">'Uso e Consumo'!A2</f>
        <v>0335</v>
      </c>
      <c r="C2" s="34" t="str">
        <f aca="false">'Uso e Consumo'!B2</f>
        <v>UFV NORONHA VERDE - USO E CONSUMO</v>
      </c>
      <c r="D2" s="33" t="n">
        <f aca="false">'Uso e Consumo'!C2</f>
        <v>387747</v>
      </c>
      <c r="E2" s="34" t="str">
        <f aca="false">'Uso e Consumo'!D2</f>
        <v>17.01.0846</v>
      </c>
      <c r="F2" s="34" t="str">
        <f aca="false">'Uso e Consumo'!E2</f>
        <v>CABO DE COBRE NU 50MM²,TÊMPERA MEIO DURA,7 FIOS E ENCORDOAMENTO CLASSE 2A</v>
      </c>
      <c r="G2" s="34" t="str">
        <f aca="false">'Uso e Consumo'!J2</f>
        <v>M</v>
      </c>
      <c r="H2" s="49" t="n">
        <f aca="false">'Uso e Consumo'!F2</f>
        <v>8080</v>
      </c>
      <c r="I2" s="35" t="n">
        <f aca="false">'Uso e Consumo'!G2</f>
        <v>348968.62</v>
      </c>
      <c r="J2" s="34" t="str">
        <f aca="false">'Uso e Consumo'!M2</f>
        <v>3.8.1.017 - Instalações elétricas/telefônicas/lógica</v>
      </c>
      <c r="K2" s="32" t="str">
        <f aca="false">INDEX('Curva ABC'!$K$8:$K$2847,MATCH(D2,'Curva ABC'!$B$8:$B$2847,0))</f>
        <v>A</v>
      </c>
    </row>
    <row r="3" customFormat="false" ht="15" hidden="false" customHeight="false" outlineLevel="0" collapsed="false">
      <c r="A3" s="34" t="s">
        <v>5799</v>
      </c>
      <c r="B3" s="34" t="str">
        <f aca="false">'Uso e Consumo'!A3</f>
        <v>0335</v>
      </c>
      <c r="C3" s="34" t="str">
        <f aca="false">'Uso e Consumo'!B3</f>
        <v>UFV NORONHA VERDE - USO E CONSUMO</v>
      </c>
      <c r="D3" s="33" t="n">
        <f aca="false">'Uso e Consumo'!C3</f>
        <v>1328095</v>
      </c>
      <c r="E3" s="34" t="str">
        <f aca="false">'Uso e Consumo'!D3</f>
        <v>17.01.1203</v>
      </c>
      <c r="F3" s="34" t="str">
        <f aca="false">'Uso e Consumo'!E3</f>
        <v>CABO DE COBRE MONOPOLAR 240 MM², CLASSE 2, 8,7/15 KV, ISOLAÇÃO EPR, COBERTURA PVC PRETO, BLINDAGEM 25 MM²</v>
      </c>
      <c r="G3" s="34" t="str">
        <f aca="false">'Uso e Consumo'!J3</f>
        <v>M</v>
      </c>
      <c r="H3" s="49" t="n">
        <f aca="false">'Uso e Consumo'!F3</f>
        <v>1000</v>
      </c>
      <c r="I3" s="35" t="n">
        <f aca="false">'Uso e Consumo'!G3</f>
        <v>340633.99</v>
      </c>
      <c r="J3" s="34" t="str">
        <f aca="false">'Uso e Consumo'!M3</f>
        <v>3.8.1.017 - Instalações elétricas/telefônicas/lógica</v>
      </c>
      <c r="K3" s="32" t="str">
        <f aca="false">INDEX('Curva ABC'!$K$8:$K$2847,MATCH(D3,'Curva ABC'!$B$8:$B$2847,0))</f>
        <v>A</v>
      </c>
    </row>
    <row r="4" customFormat="false" ht="15" hidden="false" customHeight="false" outlineLevel="0" collapsed="false">
      <c r="A4" s="34" t="s">
        <v>5799</v>
      </c>
      <c r="B4" s="34" t="str">
        <f aca="false">'Uso e Consumo'!A4</f>
        <v>0335</v>
      </c>
      <c r="C4" s="34" t="str">
        <f aca="false">'Uso e Consumo'!B4</f>
        <v>UFV NORONHA VERDE - USO E CONSUMO</v>
      </c>
      <c r="D4" s="33" t="n">
        <f aca="false">'Uso e Consumo'!C4</f>
        <v>1092910</v>
      </c>
      <c r="E4" s="34" t="str">
        <f aca="false">'Uso e Consumo'!D4</f>
        <v>02.01.0080</v>
      </c>
      <c r="F4" s="34" t="str">
        <f aca="false">'Uso e Consumo'!E4</f>
        <v>TELA DO TIPO ALAMBRADO, MALHA DE ARAME EM AÇO GALVANIZADO. BWG 12 E ABERTURA DE 50MM (9,70M² POR PORTÃO)</v>
      </c>
      <c r="G4" s="34" t="str">
        <f aca="false">'Uso e Consumo'!J4</f>
        <v>M2</v>
      </c>
      <c r="H4" s="49" t="n">
        <f aca="false">'Uso e Consumo'!F4</f>
        <v>13307.4</v>
      </c>
      <c r="I4" s="35" t="n">
        <f aca="false">'Uso e Consumo'!G4</f>
        <v>319377.6</v>
      </c>
      <c r="J4" s="34" t="str">
        <f aca="false">'Uso e Consumo'!M4</f>
        <v>3.8.1.002 - Telas e arames</v>
      </c>
      <c r="K4" s="32" t="str">
        <f aca="false">INDEX('Curva ABC'!$K$8:$K$2847,MATCH(D4,'Curva ABC'!$B$8:$B$2847,0))</f>
        <v>A</v>
      </c>
    </row>
    <row r="5" customFormat="false" ht="15" hidden="false" customHeight="false" outlineLevel="0" collapsed="false">
      <c r="A5" s="34" t="s">
        <v>5799</v>
      </c>
      <c r="B5" s="34" t="str">
        <f aca="false">'Uso e Consumo'!A5</f>
        <v>0335</v>
      </c>
      <c r="C5" s="34" t="str">
        <f aca="false">'Uso e Consumo'!B5</f>
        <v>UFV NORONHA VERDE - USO E CONSUMO</v>
      </c>
      <c r="D5" s="33" t="n">
        <f aca="false">'Uso e Consumo'!C5</f>
        <v>1485414</v>
      </c>
      <c r="E5" s="34" t="str">
        <f aca="false">'Uso e Consumo'!D5</f>
        <v>17.24.0018</v>
      </c>
      <c r="F5" s="34" t="str">
        <f aca="false">'Uso e Consumo'!E5</f>
        <v>CAIXA DE INTERLIGAÇÃO EM AÇO INOX 304 PARA TP</v>
      </c>
      <c r="G5" s="34" t="str">
        <f aca="false">'Uso e Consumo'!J5</f>
        <v>UN</v>
      </c>
      <c r="H5" s="49" t="n">
        <f aca="false">'Uso e Consumo'!F5</f>
        <v>13</v>
      </c>
      <c r="I5" s="35" t="n">
        <f aca="false">'Uso e Consumo'!G5</f>
        <v>198764.12</v>
      </c>
      <c r="J5" s="34" t="str">
        <f aca="false">'Uso e Consumo'!M5</f>
        <v>3.8.1.017 - Instalações elétricas/telefônicas/lógica</v>
      </c>
      <c r="K5" s="32" t="str">
        <f aca="false">INDEX('Curva ABC'!$K$8:$K$2847,MATCH(D5,'Curva ABC'!$B$8:$B$2847,0))</f>
        <v>A</v>
      </c>
    </row>
    <row r="6" customFormat="false" ht="15" hidden="false" customHeight="false" outlineLevel="0" collapsed="false">
      <c r="A6" s="34" t="s">
        <v>5799</v>
      </c>
      <c r="B6" s="34" t="str">
        <f aca="false">'Uso e Consumo'!A6</f>
        <v>0335</v>
      </c>
      <c r="C6" s="34" t="str">
        <f aca="false">'Uso e Consumo'!B6</f>
        <v>UFV NORONHA VERDE - USO E CONSUMO</v>
      </c>
      <c r="D6" s="33" t="n">
        <f aca="false">'Uso e Consumo'!C6</f>
        <v>1321831</v>
      </c>
      <c r="E6" s="34" t="str">
        <f aca="false">'Uso e Consumo'!D6</f>
        <v>17.08.0218</v>
      </c>
      <c r="F6" s="34" t="str">
        <f aca="false">'Uso e Consumo'!E6</f>
        <v>QUADRO DE DISTRIBUIÇÃO DE CORRENTE CONTÍNUA, 2 ENTRADAS DE TENSÃO 125Vcc - 300A - 10kA</v>
      </c>
      <c r="G6" s="34" t="str">
        <f aca="false">'Uso e Consumo'!J6</f>
        <v>UN</v>
      </c>
      <c r="H6" s="49" t="n">
        <f aca="false">'Uso e Consumo'!F6</f>
        <v>2</v>
      </c>
      <c r="I6" s="35" t="n">
        <f aca="false">'Uso e Consumo'!G6</f>
        <v>171047.93</v>
      </c>
      <c r="J6" s="34" t="str">
        <f aca="false">'Uso e Consumo'!M6</f>
        <v>3.8.1.017 - Instalações elétricas/telefônicas/lógica</v>
      </c>
      <c r="K6" s="32" t="str">
        <f aca="false">INDEX('Curva ABC'!$K$8:$K$2847,MATCH(D6,'Curva ABC'!$B$8:$B$2847,0))</f>
        <v>A</v>
      </c>
    </row>
    <row r="7" customFormat="false" ht="15" hidden="false" customHeight="false" outlineLevel="0" collapsed="false">
      <c r="A7" s="34" t="s">
        <v>5799</v>
      </c>
      <c r="B7" s="34" t="str">
        <f aca="false">'Uso e Consumo'!A7</f>
        <v>0335</v>
      </c>
      <c r="C7" s="34" t="str">
        <f aca="false">'Uso e Consumo'!B7</f>
        <v>UFV NORONHA VERDE - USO E CONSUMO</v>
      </c>
      <c r="D7" s="33" t="n">
        <f aca="false">'Uso e Consumo'!C7</f>
        <v>1321832</v>
      </c>
      <c r="E7" s="34" t="str">
        <f aca="false">'Uso e Consumo'!D7</f>
        <v>17.08.0219</v>
      </c>
      <c r="F7" s="34" t="str">
        <f aca="false">'Uso e Consumo'!E7</f>
        <v>QUADRO DE DISTRIBUIÇÃO DE CORRENTE ALTERNADA, 2 ENTRADAS DE TENSÃO 380/220Vca - 300A - 10kA</v>
      </c>
      <c r="G7" s="34" t="str">
        <f aca="false">'Uso e Consumo'!J7</f>
        <v>UN</v>
      </c>
      <c r="H7" s="49" t="n">
        <f aca="false">'Uso e Consumo'!F7</f>
        <v>2</v>
      </c>
      <c r="I7" s="35" t="n">
        <f aca="false">'Uso e Consumo'!G7</f>
        <v>169258.31</v>
      </c>
      <c r="J7" s="34" t="str">
        <f aca="false">'Uso e Consumo'!M7</f>
        <v>3.8.1.017 - Instalações elétricas/telefônicas/lógica</v>
      </c>
      <c r="K7" s="32" t="str">
        <f aca="false">INDEX('Curva ABC'!$K$8:$K$2847,MATCH(D7,'Curva ABC'!$B$8:$B$2847,0))</f>
        <v>A</v>
      </c>
    </row>
    <row r="8" customFormat="false" ht="15" hidden="false" customHeight="false" outlineLevel="0" collapsed="false">
      <c r="A8" s="34" t="s">
        <v>5799</v>
      </c>
      <c r="B8" s="34" t="str">
        <f aca="false">'Uso e Consumo'!A8</f>
        <v>0335</v>
      </c>
      <c r="C8" s="34" t="str">
        <f aca="false">'Uso e Consumo'!B8</f>
        <v>UFV NORONHA VERDE - USO E CONSUMO</v>
      </c>
      <c r="D8" s="33" t="n">
        <f aca="false">'Uso e Consumo'!C8</f>
        <v>57985</v>
      </c>
      <c r="E8" s="34" t="str">
        <f aca="false">'Uso e Consumo'!D8</f>
        <v>09.19.0032</v>
      </c>
      <c r="F8" s="34" t="str">
        <f aca="false">'Uso e Consumo'!E8</f>
        <v>PISO INTERTRAVADO CONCRETO RETANGULAR 10,00CM X 20,00CM X 8,00CM NATURAL</v>
      </c>
      <c r="G8" s="34" t="str">
        <f aca="false">'Uso e Consumo'!J8</f>
        <v>M2</v>
      </c>
      <c r="H8" s="49" t="n">
        <f aca="false">'Uso e Consumo'!F8</f>
        <v>2587.5</v>
      </c>
      <c r="I8" s="35" t="n">
        <f aca="false">'Uso e Consumo'!G8</f>
        <v>163012.5</v>
      </c>
      <c r="J8" s="34" t="str">
        <f aca="false">'Uso e Consumo'!M8</f>
        <v>3.8.1.010 - Revestimentos e pisos</v>
      </c>
      <c r="K8" s="32" t="str">
        <f aca="false">INDEX('Curva ABC'!$K$8:$K$2847,MATCH(D8,'Curva ABC'!$B$8:$B$2847,0))</f>
        <v>A</v>
      </c>
    </row>
    <row r="9" customFormat="false" ht="15" hidden="false" customHeight="false" outlineLevel="0" collapsed="false">
      <c r="A9" s="34" t="s">
        <v>5799</v>
      </c>
      <c r="B9" s="34" t="str">
        <f aca="false">'Uso e Consumo'!A9</f>
        <v>0335</v>
      </c>
      <c r="C9" s="34" t="str">
        <f aca="false">'Uso e Consumo'!B9</f>
        <v>UFV NORONHA VERDE - USO E CONSUMO</v>
      </c>
      <c r="D9" s="33" t="n">
        <f aca="false">'Uso e Consumo'!C9</f>
        <v>742688</v>
      </c>
      <c r="E9" s="34" t="str">
        <f aca="false">'Uso e Consumo'!D9</f>
        <v>09.16.0030</v>
      </c>
      <c r="F9" s="34" t="str">
        <f aca="false">'Uso e Consumo'!E9</f>
        <v>MOURÃO DE CONCRETO 10 X 10 CM NOS VÉRTICES, E A CADA 100 M</v>
      </c>
      <c r="G9" s="34" t="str">
        <f aca="false">'Uso e Consumo'!J9</f>
        <v>UN</v>
      </c>
      <c r="H9" s="49" t="n">
        <f aca="false">'Uso e Consumo'!F9</f>
        <v>2100</v>
      </c>
      <c r="I9" s="35" t="n">
        <f aca="false">'Uso e Consumo'!G9</f>
        <v>159390</v>
      </c>
      <c r="J9" s="34" t="str">
        <f aca="false">'Uso e Consumo'!M9</f>
        <v>3.8.1.009 - Artefatos pré-moldados de concreto</v>
      </c>
      <c r="K9" s="32" t="str">
        <f aca="false">INDEX('Curva ABC'!$K$8:$K$2847,MATCH(D9,'Curva ABC'!$B$8:$B$2847,0))</f>
        <v>A</v>
      </c>
    </row>
    <row r="10" customFormat="false" ht="15" hidden="false" customHeight="false" outlineLevel="0" collapsed="false">
      <c r="A10" s="34" t="s">
        <v>5799</v>
      </c>
      <c r="B10" s="34" t="str">
        <f aca="false">'Uso e Consumo'!A10</f>
        <v>0335</v>
      </c>
      <c r="C10" s="34" t="str">
        <f aca="false">'Uso e Consumo'!B10</f>
        <v>UFV NORONHA VERDE - USO E CONSUMO</v>
      </c>
      <c r="D10" s="33" t="n">
        <f aca="false">'Uso e Consumo'!C10</f>
        <v>1322477</v>
      </c>
      <c r="E10" s="34" t="str">
        <f aca="false">'Uso e Consumo'!D10</f>
        <v>17.01.1198</v>
      </c>
      <c r="F10" s="34" t="str">
        <f aca="false">'Uso e Consumo'!E10</f>
        <v>CABO UNIPOLAR DE COBRE, CLASSE 8,7/15KV, ISOL. HEPR, COB. PVC SEÇÃO 150MM², BLINDAGEM 25MM². REF PRYSMIAN OU SIMILAR</v>
      </c>
      <c r="G10" s="34" t="str">
        <f aca="false">'Uso e Consumo'!J10</f>
        <v>M</v>
      </c>
      <c r="H10" s="49" t="n">
        <f aca="false">'Uso e Consumo'!F10</f>
        <v>804</v>
      </c>
      <c r="I10" s="35" t="n">
        <f aca="false">'Uso e Consumo'!G10</f>
        <v>151354.5</v>
      </c>
      <c r="J10" s="34" t="str">
        <f aca="false">'Uso e Consumo'!M10</f>
        <v>3.8.1.017 - Instalações elétricas/telefônicas/lógica</v>
      </c>
      <c r="K10" s="32" t="str">
        <f aca="false">INDEX('Curva ABC'!$K$8:$K$2847,MATCH(D10,'Curva ABC'!$B$8:$B$2847,0))</f>
        <v>A</v>
      </c>
    </row>
    <row r="11" customFormat="false" ht="15" hidden="false" customHeight="false" outlineLevel="0" collapsed="false">
      <c r="A11" s="34" t="s">
        <v>5799</v>
      </c>
      <c r="B11" s="34" t="str">
        <f aca="false">'Uso e Consumo'!A11</f>
        <v>0335</v>
      </c>
      <c r="C11" s="34" t="str">
        <f aca="false">'Uso e Consumo'!B11</f>
        <v>UFV NORONHA VERDE - USO E CONSUMO</v>
      </c>
      <c r="D11" s="33" t="n">
        <f aca="false">'Uso e Consumo'!C11</f>
        <v>884974</v>
      </c>
      <c r="E11" s="34" t="str">
        <f aca="false">'Uso e Consumo'!D11</f>
        <v>17.22.0110</v>
      </c>
      <c r="F11" s="34" t="str">
        <f aca="false">'Uso e Consumo'!E11</f>
        <v>ALÇA PREFORMADA PARA AMARRAÇÃO DO CABO NU</v>
      </c>
      <c r="G11" s="34" t="str">
        <f aca="false">'Uso e Consumo'!J11</f>
        <v>UND</v>
      </c>
      <c r="H11" s="49" t="n">
        <f aca="false">'Uso e Consumo'!F11</f>
        <v>600</v>
      </c>
      <c r="I11" s="35" t="n">
        <f aca="false">'Uso e Consumo'!G11</f>
        <v>142639.77</v>
      </c>
      <c r="J11" s="34" t="str">
        <f aca="false">'Uso e Consumo'!M11</f>
        <v>3.8.1.017 - Instalações elétricas/telefônicas/lógica</v>
      </c>
      <c r="K11" s="32" t="str">
        <f aca="false">INDEX('Curva ABC'!$K$8:$K$2847,MATCH(D11,'Curva ABC'!$B$8:$B$2847,0))</f>
        <v>A</v>
      </c>
    </row>
    <row r="12" customFormat="false" ht="15" hidden="false" customHeight="false" outlineLevel="0" collapsed="false">
      <c r="A12" s="34" t="s">
        <v>5799</v>
      </c>
      <c r="B12" s="34" t="str">
        <f aca="false">'Uso e Consumo'!A12</f>
        <v>0335</v>
      </c>
      <c r="C12" s="34" t="str">
        <f aca="false">'Uso e Consumo'!B12</f>
        <v>UFV NORONHA VERDE - USO E CONSUMO</v>
      </c>
      <c r="D12" s="33" t="n">
        <f aca="false">'Uso e Consumo'!C12</f>
        <v>1328795</v>
      </c>
      <c r="E12" s="34" t="str">
        <f aca="false">'Uso e Consumo'!D12</f>
        <v>32.07.0231</v>
      </c>
      <c r="F12" s="34" t="str">
        <f aca="false">'Uso e Consumo'!E12</f>
        <v>RETIFICADOR 380VCA 3F - 125 VCC / 48 VCC / 12 VCC CHAVEADO EM ALTA FREQUÊNCIA 11,11 KVA</v>
      </c>
      <c r="G12" s="34" t="str">
        <f aca="false">'Uso e Consumo'!J12</f>
        <v>UN</v>
      </c>
      <c r="H12" s="49" t="n">
        <f aca="false">'Uso e Consumo'!F12</f>
        <v>2</v>
      </c>
      <c r="I12" s="35" t="n">
        <f aca="false">'Uso e Consumo'!G12</f>
        <v>137108.08</v>
      </c>
      <c r="J12" s="34" t="str">
        <f aca="false">'Uso e Consumo'!M12</f>
        <v>6.1.2.001 - Equipamentos</v>
      </c>
      <c r="K12" s="32" t="str">
        <f aca="false">INDEX('Curva ABC'!$K$8:$K$2847,MATCH(D12,'Curva ABC'!$B$8:$B$2847,0))</f>
        <v>A</v>
      </c>
    </row>
    <row r="13" customFormat="false" ht="15" hidden="false" customHeight="false" outlineLevel="0" collapsed="false">
      <c r="A13" s="34" t="s">
        <v>5799</v>
      </c>
      <c r="B13" s="34" t="str">
        <f aca="false">'Uso e Consumo'!A13</f>
        <v>0335</v>
      </c>
      <c r="C13" s="34" t="str">
        <f aca="false">'Uso e Consumo'!B13</f>
        <v>UFV NORONHA VERDE - USO E CONSUMO</v>
      </c>
      <c r="D13" s="33" t="n">
        <f aca="false">'Uso e Consumo'!C13</f>
        <v>53717</v>
      </c>
      <c r="E13" s="34" t="str">
        <f aca="false">'Uso e Consumo'!D13</f>
        <v>18.07.0053</v>
      </c>
      <c r="F13" s="34" t="str">
        <f aca="false">'Uso e Consumo'!E13</f>
        <v>CAIXA D´AGUA POLIETILENO 10.000L C/ TAMPA</v>
      </c>
      <c r="G13" s="34" t="str">
        <f aca="false">'Uso e Consumo'!J13</f>
        <v>UN</v>
      </c>
      <c r="H13" s="49" t="n">
        <f aca="false">'Uso e Consumo'!F13</f>
        <v>10</v>
      </c>
      <c r="I13" s="35" t="n">
        <f aca="false">'Uso e Consumo'!G13</f>
        <v>119800</v>
      </c>
      <c r="J13" s="34" t="str">
        <f aca="false">'Uso e Consumo'!M13</f>
        <v>3.8.1.018 - Instalações hidráulicas/sanitárias/industriais</v>
      </c>
      <c r="K13" s="32" t="str">
        <f aca="false">INDEX('Curva ABC'!$K$8:$K$2847,MATCH(D13,'Curva ABC'!$B$8:$B$2847,0))</f>
        <v>A</v>
      </c>
    </row>
    <row r="14" customFormat="false" ht="15" hidden="false" customHeight="false" outlineLevel="0" collapsed="false">
      <c r="A14" s="34" t="s">
        <v>5799</v>
      </c>
      <c r="B14" s="34" t="str">
        <f aca="false">'Uso e Consumo'!A14</f>
        <v>0335</v>
      </c>
      <c r="C14" s="34" t="str">
        <f aca="false">'Uso e Consumo'!B14</f>
        <v>UFV NORONHA VERDE - USO E CONSUMO</v>
      </c>
      <c r="D14" s="33" t="n">
        <f aca="false">'Uso e Consumo'!C14</f>
        <v>742411</v>
      </c>
      <c r="E14" s="34" t="str">
        <f aca="false">'Uso e Consumo'!D14</f>
        <v>18.01.1241</v>
      </c>
      <c r="F14" s="34" t="str">
        <f aca="false">'Uso e Consumo'!E14</f>
        <v>ABRAÇADEIRA POLIAMIDA 6.6 ESTABILIZADA À ULTRAVIOLETA- 8,9X770MM</v>
      </c>
      <c r="G14" s="34" t="str">
        <f aca="false">'Uso e Consumo'!J14</f>
        <v>UN</v>
      </c>
      <c r="H14" s="49" t="n">
        <f aca="false">'Uso e Consumo'!F14</f>
        <v>92000</v>
      </c>
      <c r="I14" s="35" t="n">
        <f aca="false">'Uso e Consumo'!G14</f>
        <v>115863.08</v>
      </c>
      <c r="J14" s="34" t="str">
        <f aca="false">'Uso e Consumo'!M14</f>
        <v>3.8.1.018 - Instalações hidráulicas/sanitárias/industriais</v>
      </c>
      <c r="K14" s="32" t="str">
        <f aca="false">INDEX('Curva ABC'!$K$8:$K$2847,MATCH(D14,'Curva ABC'!$B$8:$B$2847,0))</f>
        <v>A</v>
      </c>
    </row>
    <row r="15" customFormat="false" ht="15" hidden="false" customHeight="false" outlineLevel="0" collapsed="false">
      <c r="A15" s="34" t="s">
        <v>5799</v>
      </c>
      <c r="B15" s="34" t="str">
        <f aca="false">'Uso e Consumo'!A15</f>
        <v>0335</v>
      </c>
      <c r="C15" s="34" t="str">
        <f aca="false">'Uso e Consumo'!B15</f>
        <v>UFV NORONHA VERDE - USO E CONSUMO</v>
      </c>
      <c r="D15" s="33" t="n">
        <f aca="false">'Uso e Consumo'!C15</f>
        <v>1464891</v>
      </c>
      <c r="E15" s="34" t="str">
        <f aca="false">'Uso e Consumo'!D15</f>
        <v>14.02.0059</v>
      </c>
      <c r="F15" s="34" t="str">
        <f aca="false">'Uso e Consumo'!E15</f>
        <v>TELHA DE FIBROCIMENTO SEM AMIANTO 4,00M - CANALETE 49 - 8MM</v>
      </c>
      <c r="G15" s="34" t="str">
        <f aca="false">'Uso e Consumo'!J15</f>
        <v>M2</v>
      </c>
      <c r="H15" s="49" t="n">
        <f aca="false">'Uso e Consumo'!F15</f>
        <v>109.76</v>
      </c>
      <c r="I15" s="35" t="n">
        <f aca="false">'Uso e Consumo'!G15</f>
        <v>112855.23</v>
      </c>
      <c r="J15" s="34" t="str">
        <f aca="false">'Uso e Consumo'!M15</f>
        <v>3.8.1.014 - Cobertura</v>
      </c>
      <c r="K15" s="32" t="str">
        <f aca="false">INDEX('Curva ABC'!$K$8:$K$2847,MATCH(D15,'Curva ABC'!$B$8:$B$2847,0))</f>
        <v>A</v>
      </c>
    </row>
    <row r="16" customFormat="false" ht="15" hidden="false" customHeight="false" outlineLevel="0" collapsed="false">
      <c r="A16" s="34" t="s">
        <v>5799</v>
      </c>
      <c r="B16" s="34" t="str">
        <f aca="false">'Uso e Consumo'!A16</f>
        <v>0335</v>
      </c>
      <c r="C16" s="34" t="str">
        <f aca="false">'Uso e Consumo'!B16</f>
        <v>UFV NORONHA VERDE - USO E CONSUMO</v>
      </c>
      <c r="D16" s="33" t="n">
        <f aca="false">'Uso e Consumo'!C16</f>
        <v>1475346</v>
      </c>
      <c r="E16" s="34" t="str">
        <f aca="false">'Uso e Consumo'!D16</f>
        <v>17.21.0112</v>
      </c>
      <c r="F16" s="34" t="str">
        <f aca="false">'Uso e Consumo'!E16</f>
        <v>CONJUNTO DE FERRAGENS PARA FIXAÇÃO DE SC EM EST. CONCRETO</v>
      </c>
      <c r="G16" s="34" t="str">
        <f aca="false">'Uso e Consumo'!J16</f>
        <v>UN</v>
      </c>
      <c r="H16" s="49" t="n">
        <f aca="false">'Uso e Consumo'!F16</f>
        <v>57</v>
      </c>
      <c r="I16" s="35" t="n">
        <f aca="false">'Uso e Consumo'!G16</f>
        <v>97810.95</v>
      </c>
      <c r="J16" s="34" t="str">
        <f aca="false">'Uso e Consumo'!M16</f>
        <v>3.8.1.022 - Elementos de fixação</v>
      </c>
      <c r="K16" s="32" t="str">
        <f aca="false">INDEX('Curva ABC'!$K$8:$K$2847,MATCH(D16,'Curva ABC'!$B$8:$B$2847,0))</f>
        <v>A</v>
      </c>
    </row>
    <row r="17" customFormat="false" ht="15" hidden="false" customHeight="false" outlineLevel="0" collapsed="false">
      <c r="A17" s="34" t="s">
        <v>5799</v>
      </c>
      <c r="B17" s="34" t="str">
        <f aca="false">'Uso e Consumo'!A17</f>
        <v>0335</v>
      </c>
      <c r="C17" s="34" t="str">
        <f aca="false">'Uso e Consumo'!B17</f>
        <v>UFV NORONHA VERDE - USO E CONSUMO</v>
      </c>
      <c r="D17" s="33" t="n">
        <f aca="false">'Uso e Consumo'!C17</f>
        <v>839805</v>
      </c>
      <c r="E17" s="34" t="str">
        <f aca="false">'Uso e Consumo'!D17</f>
        <v>17.02.0685</v>
      </c>
      <c r="F17" s="34" t="str">
        <f aca="false">'Uso e Consumo'!E17</f>
        <v>CONECTOR PARALELO COM 3 PARAFUSOS 34,5 KV, EM LIGA DE ALUMÍNIOCOMPATÍVEL P/CABOS DE ALUMÍNIO</v>
      </c>
      <c r="G17" s="34" t="str">
        <f aca="false">'Uso e Consumo'!J17</f>
        <v>UN</v>
      </c>
      <c r="H17" s="49" t="n">
        <f aca="false">'Uso e Consumo'!F17</f>
        <v>160</v>
      </c>
      <c r="I17" s="35" t="n">
        <f aca="false">'Uso e Consumo'!G17</f>
        <v>93920</v>
      </c>
      <c r="J17" s="34" t="str">
        <f aca="false">'Uso e Consumo'!M17</f>
        <v>3.8.1.017 - Instalações elétricas/telefônicas/lógica</v>
      </c>
      <c r="K17" s="32" t="str">
        <f aca="false">INDEX('Curva ABC'!$K$8:$K$2847,MATCH(D17,'Curva ABC'!$B$8:$B$2847,0))</f>
        <v>A</v>
      </c>
    </row>
    <row r="18" customFormat="false" ht="15" hidden="false" customHeight="false" outlineLevel="0" collapsed="false">
      <c r="A18" s="34" t="s">
        <v>5799</v>
      </c>
      <c r="B18" s="34" t="str">
        <f aca="false">'Uso e Consumo'!A18</f>
        <v>0335</v>
      </c>
      <c r="C18" s="34" t="str">
        <f aca="false">'Uso e Consumo'!B18</f>
        <v>UFV NORONHA VERDE - USO E CONSUMO</v>
      </c>
      <c r="D18" s="33" t="n">
        <f aca="false">'Uso e Consumo'!C18</f>
        <v>12123</v>
      </c>
      <c r="E18" s="34" t="str">
        <f aca="false">'Uso e Consumo'!D18</f>
        <v>17.01.0210</v>
      </c>
      <c r="F18" s="34" t="str">
        <f aca="false">'Uso e Consumo'!E18</f>
        <v>CABO ELETRICO FLEXIVEL 0,6/1KV 1 X 16,00MM2 COBRE PVC CLASSE 5 VERDE NBR 7288</v>
      </c>
      <c r="G18" s="34" t="str">
        <f aca="false">'Uso e Consumo'!J18</f>
        <v>M</v>
      </c>
      <c r="H18" s="49" t="n">
        <f aca="false">'Uso e Consumo'!F18</f>
        <v>3000</v>
      </c>
      <c r="I18" s="35" t="n">
        <f aca="false">'Uso e Consumo'!G18</f>
        <v>91160</v>
      </c>
      <c r="J18" s="34" t="str">
        <f aca="false">'Uso e Consumo'!M18</f>
        <v>3.8.1.017 - Instalações elétricas/telefônicas/lógica</v>
      </c>
      <c r="K18" s="32" t="str">
        <f aca="false">INDEX('Curva ABC'!$K$8:$K$2847,MATCH(D18,'Curva ABC'!$B$8:$B$2847,0))</f>
        <v>A</v>
      </c>
    </row>
    <row r="19" customFormat="false" ht="15" hidden="false" customHeight="false" outlineLevel="0" collapsed="false">
      <c r="A19" s="34" t="s">
        <v>5799</v>
      </c>
      <c r="B19" s="34" t="str">
        <f aca="false">'Uso e Consumo'!A19</f>
        <v>0335</v>
      </c>
      <c r="C19" s="34" t="str">
        <f aca="false">'Uso e Consumo'!B19</f>
        <v>UFV NORONHA VERDE - USO E CONSUMO</v>
      </c>
      <c r="D19" s="33" t="n">
        <f aca="false">'Uso e Consumo'!C19</f>
        <v>1261128</v>
      </c>
      <c r="E19" s="34" t="str">
        <f aca="false">'Uso e Consumo'!D19</f>
        <v>09.19.0064</v>
      </c>
      <c r="F19" s="34" t="str">
        <f aca="false">'Uso e Consumo'!E19</f>
        <v>BLOQUETE PISO INTERTRAVADO DE CONCRETO, 20 CM X 10 CM, E = 8 CM, COR NATURAL</v>
      </c>
      <c r="G19" s="34" t="str">
        <f aca="false">'Uso e Consumo'!J19</f>
        <v>M2</v>
      </c>
      <c r="H19" s="49" t="n">
        <f aca="false">'Uso e Consumo'!F19</f>
        <v>1476</v>
      </c>
      <c r="I19" s="35" t="n">
        <f aca="false">'Uso e Consumo'!G19</f>
        <v>88560</v>
      </c>
      <c r="J19" s="34" t="str">
        <f aca="false">'Uso e Consumo'!M19</f>
        <v>3.8.1.009 - Artefatos pré-moldados de concreto</v>
      </c>
      <c r="K19" s="32" t="str">
        <f aca="false">INDEX('Curva ABC'!$K$8:$K$2847,MATCH(D19,'Curva ABC'!$B$8:$B$2847,0))</f>
        <v>A</v>
      </c>
    </row>
    <row r="20" customFormat="false" ht="15" hidden="false" customHeight="false" outlineLevel="0" collapsed="false">
      <c r="A20" s="34" t="s">
        <v>5799</v>
      </c>
      <c r="B20" s="34" t="str">
        <f aca="false">'Uso e Consumo'!A20</f>
        <v>0335</v>
      </c>
      <c r="C20" s="34" t="str">
        <f aca="false">'Uso e Consumo'!B20</f>
        <v>UFV NORONHA VERDE - USO E CONSUMO</v>
      </c>
      <c r="D20" s="33" t="n">
        <f aca="false">'Uso e Consumo'!C20</f>
        <v>1261267</v>
      </c>
      <c r="E20" s="34" t="str">
        <f aca="false">'Uso e Consumo'!D20</f>
        <v>29.01.1570</v>
      </c>
      <c r="F20" s="34" t="str">
        <f aca="false">'Uso e Consumo'!E20</f>
        <v>BANCO DE BATERIAS, TIPO CHUMBO ÁCIDO ESTACIONÁRIO, 60 ELEMENTOS, TENSÃO NOMINAL 125VCC, CAPACIDADE NOMINAL 300AH/10H</v>
      </c>
      <c r="G20" s="34" t="str">
        <f aca="false">'Uso e Consumo'!J20</f>
        <v>UN</v>
      </c>
      <c r="H20" s="49" t="n">
        <f aca="false">'Uso e Consumo'!F20</f>
        <v>2</v>
      </c>
      <c r="I20" s="35" t="n">
        <f aca="false">'Uso e Consumo'!G20</f>
        <v>87265.45</v>
      </c>
      <c r="J20" s="34" t="str">
        <f aca="false">'Uso e Consumo'!M20</f>
        <v>4.1.1.007 - Equipamentos e acessórios para informática</v>
      </c>
      <c r="K20" s="32" t="str">
        <f aca="false">INDEX('Curva ABC'!$K$8:$K$2847,MATCH(D20,'Curva ABC'!$B$8:$B$2847,0))</f>
        <v>A</v>
      </c>
    </row>
    <row r="21" customFormat="false" ht="15" hidden="false" customHeight="false" outlineLevel="0" collapsed="false">
      <c r="A21" s="34" t="s">
        <v>5799</v>
      </c>
      <c r="B21" s="34" t="str">
        <f aca="false">'Uso e Consumo'!A21</f>
        <v>0335</v>
      </c>
      <c r="C21" s="34" t="str">
        <f aca="false">'Uso e Consumo'!B21</f>
        <v>UFV NORONHA VERDE - USO E CONSUMO</v>
      </c>
      <c r="D21" s="33" t="n">
        <f aca="false">'Uso e Consumo'!C21</f>
        <v>1384483</v>
      </c>
      <c r="E21" s="34" t="str">
        <f aca="false">'Uso e Consumo'!D21</f>
        <v>17.02.0867</v>
      </c>
      <c r="F21" s="34" t="str">
        <f aca="false">'Uso e Consumo'!E21</f>
        <v>CONECTOR DERIVAÇÃO “T”, LIGA COBRE ESTANHADO, APARAFUSADO, 1 CABO 120 MM² PASSAGEM + 1 CABO DERIVAÇÃO, TENSÃO 13,8 KV</v>
      </c>
      <c r="G21" s="34" t="str">
        <f aca="false">'Uso e Consumo'!J21</f>
        <v>UN</v>
      </c>
      <c r="H21" s="49" t="n">
        <f aca="false">'Uso e Consumo'!F21</f>
        <v>213</v>
      </c>
      <c r="I21" s="35" t="n">
        <f aca="false">'Uso e Consumo'!G21</f>
        <v>83740.09</v>
      </c>
      <c r="J21" s="34" t="str">
        <f aca="false">'Uso e Consumo'!M21</f>
        <v>3.8.1.017 - Instalações elétricas/telefônicas/lógica</v>
      </c>
      <c r="K21" s="32" t="str">
        <f aca="false">INDEX('Curva ABC'!$K$8:$K$2847,MATCH(D21,'Curva ABC'!$B$8:$B$2847,0))</f>
        <v>A</v>
      </c>
    </row>
    <row r="22" customFormat="false" ht="15" hidden="false" customHeight="false" outlineLevel="0" collapsed="false">
      <c r="A22" s="34" t="s">
        <v>5799</v>
      </c>
      <c r="B22" s="34" t="str">
        <f aca="false">'Uso e Consumo'!A22</f>
        <v>0335</v>
      </c>
      <c r="C22" s="34" t="str">
        <f aca="false">'Uso e Consumo'!B22</f>
        <v>UFV NORONHA VERDE - USO E CONSUMO</v>
      </c>
      <c r="D22" s="33" t="n">
        <f aca="false">'Uso e Consumo'!C22</f>
        <v>1475322</v>
      </c>
      <c r="E22" s="34" t="str">
        <f aca="false">'Uso e Consumo'!D22</f>
        <v>17.21.0111</v>
      </c>
      <c r="F22" s="34" t="str">
        <f aca="false">'Uso e Consumo'!E22</f>
        <v>CONJUNTO DE FERRAGENS PARA FIXAÇÃO DE PR EM EST. CONCRETO</v>
      </c>
      <c r="G22" s="34" t="str">
        <f aca="false">'Uso e Consumo'!J22</f>
        <v>UN</v>
      </c>
      <c r="H22" s="49" t="n">
        <f aca="false">'Uso e Consumo'!F22</f>
        <v>51</v>
      </c>
      <c r="I22" s="35" t="n">
        <f aca="false">'Uso e Consumo'!G22</f>
        <v>83343</v>
      </c>
      <c r="J22" s="34" t="str">
        <f aca="false">'Uso e Consumo'!M22</f>
        <v>3.8.1.022 - Elementos de fixação</v>
      </c>
      <c r="K22" s="32" t="str">
        <f aca="false">INDEX('Curva ABC'!$K$8:$K$2847,MATCH(D22,'Curva ABC'!$B$8:$B$2847,0))</f>
        <v>A</v>
      </c>
    </row>
    <row r="23" customFormat="false" ht="15" hidden="false" customHeight="false" outlineLevel="0" collapsed="false">
      <c r="A23" s="34" t="s">
        <v>5799</v>
      </c>
      <c r="B23" s="34" t="str">
        <f aca="false">'Uso e Consumo'!A23</f>
        <v>0335</v>
      </c>
      <c r="C23" s="34" t="str">
        <f aca="false">'Uso e Consumo'!B23</f>
        <v>UFV NORONHA VERDE - USO E CONSUMO</v>
      </c>
      <c r="D23" s="33" t="n">
        <f aca="false">'Uso e Consumo'!C23</f>
        <v>221860</v>
      </c>
      <c r="E23" s="34" t="str">
        <f aca="false">'Uso e Consumo'!D23</f>
        <v>17.01.0729</v>
      </c>
      <c r="F23" s="34" t="str">
        <f aca="false">'Uso e Consumo'!E23</f>
        <v>CABO DE COBRE NÚ, MEIO DURO, EM CONFORMIDADE COM A NBR 6254, SEÇÃO 70MM2</v>
      </c>
      <c r="G23" s="34" t="str">
        <f aca="false">'Uso e Consumo'!J23</f>
        <v>M</v>
      </c>
      <c r="H23" s="49" t="n">
        <f aca="false">'Uso e Consumo'!F23</f>
        <v>935</v>
      </c>
      <c r="I23" s="35" t="n">
        <f aca="false">'Uso e Consumo'!G23</f>
        <v>81667.22</v>
      </c>
      <c r="J23" s="34" t="str">
        <f aca="false">'Uso e Consumo'!M23</f>
        <v>3.8.1.017 - Instalações elétricas/telefônicas/lógica</v>
      </c>
      <c r="K23" s="32" t="str">
        <f aca="false">INDEX('Curva ABC'!$K$8:$K$2847,MATCH(D23,'Curva ABC'!$B$8:$B$2847,0))</f>
        <v>A</v>
      </c>
    </row>
    <row r="24" customFormat="false" ht="15" hidden="false" customHeight="false" outlineLevel="0" collapsed="false">
      <c r="A24" s="34" t="s">
        <v>5799</v>
      </c>
      <c r="B24" s="34" t="str">
        <f aca="false">'Uso e Consumo'!A24</f>
        <v>0335</v>
      </c>
      <c r="C24" s="34" t="str">
        <f aca="false">'Uso e Consumo'!B24</f>
        <v>UFV NORONHA VERDE - USO E CONSUMO</v>
      </c>
      <c r="D24" s="33" t="n">
        <f aca="false">'Uso e Consumo'!C24</f>
        <v>1170016</v>
      </c>
      <c r="E24" s="34" t="str">
        <f aca="false">'Uso e Consumo'!D24</f>
        <v>18.07.0094</v>
      </c>
      <c r="F24" s="34" t="str">
        <f aca="false">'Uso e Consumo'!E24</f>
        <v>RESERVATÓRIO DE 30.000 L EM PEAD</v>
      </c>
      <c r="G24" s="34" t="str">
        <f aca="false">'Uso e Consumo'!J24</f>
        <v>UN</v>
      </c>
      <c r="H24" s="49" t="n">
        <f aca="false">'Uso e Consumo'!F24</f>
        <v>2</v>
      </c>
      <c r="I24" s="35" t="n">
        <f aca="false">'Uso e Consumo'!G24</f>
        <v>79550</v>
      </c>
      <c r="J24" s="34" t="str">
        <f aca="false">'Uso e Consumo'!M24</f>
        <v>3.8.1.018 - Instalações hidráulicas/sanitárias/industriais</v>
      </c>
      <c r="K24" s="32" t="str">
        <f aca="false">INDEX('Curva ABC'!$K$8:$K$2847,MATCH(D24,'Curva ABC'!$B$8:$B$2847,0))</f>
        <v>A</v>
      </c>
    </row>
    <row r="25" customFormat="false" ht="15" hidden="false" customHeight="false" outlineLevel="0" collapsed="false">
      <c r="A25" s="34" t="s">
        <v>5799</v>
      </c>
      <c r="B25" s="34" t="str">
        <f aca="false">'Uso e Consumo'!A25</f>
        <v>0335</v>
      </c>
      <c r="C25" s="34" t="str">
        <f aca="false">'Uso e Consumo'!B25</f>
        <v>UFV NORONHA VERDE - USO E CONSUMO</v>
      </c>
      <c r="D25" s="33" t="n">
        <f aca="false">'Uso e Consumo'!C25</f>
        <v>1465478</v>
      </c>
      <c r="E25" s="34" t="str">
        <f aca="false">'Uso e Consumo'!D25</f>
        <v>17.01.1248</v>
      </c>
      <c r="F25" s="34" t="str">
        <f aca="false">'Uso e Consumo'!E25</f>
        <v>CABO ADSS 9.3 mm - 24 F.O</v>
      </c>
      <c r="G25" s="34" t="str">
        <f aca="false">'Uso e Consumo'!J25</f>
        <v>M</v>
      </c>
      <c r="H25" s="49" t="n">
        <f aca="false">'Uso e Consumo'!F25</f>
        <v>2262</v>
      </c>
      <c r="I25" s="35" t="n">
        <f aca="false">'Uso e Consumo'!G25</f>
        <v>79398.01</v>
      </c>
      <c r="J25" s="34" t="str">
        <f aca="false">'Uso e Consumo'!M25</f>
        <v>3.8.1.017 - Instalações elétricas/telefônicas/lógica</v>
      </c>
      <c r="K25" s="32" t="str">
        <f aca="false">INDEX('Curva ABC'!$K$8:$K$2847,MATCH(D25,'Curva ABC'!$B$8:$B$2847,0))</f>
        <v>A</v>
      </c>
    </row>
    <row r="26" customFormat="false" ht="15" hidden="false" customHeight="false" outlineLevel="0" collapsed="false">
      <c r="A26" s="34" t="s">
        <v>5799</v>
      </c>
      <c r="B26" s="34" t="str">
        <f aca="false">'Uso e Consumo'!A26</f>
        <v>0335</v>
      </c>
      <c r="C26" s="34" t="str">
        <f aca="false">'Uso e Consumo'!B26</f>
        <v>UFV NORONHA VERDE - USO E CONSUMO</v>
      </c>
      <c r="D26" s="33" t="n">
        <f aca="false">'Uso e Consumo'!C26</f>
        <v>554809</v>
      </c>
      <c r="E26" s="34" t="str">
        <f aca="false">'Uso e Consumo'!D26</f>
        <v>24.08.0055</v>
      </c>
      <c r="F26" s="34" t="str">
        <f aca="false">'Uso e Consumo'!E26</f>
        <v>ALICATE PRENSA ELETRICO EPG45 BATERIA 18V CONEXEL</v>
      </c>
      <c r="G26" s="34" t="str">
        <f aca="false">'Uso e Consumo'!J26</f>
        <v>UN</v>
      </c>
      <c r="H26" s="49" t="n">
        <f aca="false">'Uso e Consumo'!F26</f>
        <v>2</v>
      </c>
      <c r="I26" s="35" t="n">
        <f aca="false">'Uso e Consumo'!G26</f>
        <v>75960</v>
      </c>
      <c r="J26" s="34" t="str">
        <f aca="false">'Uso e Consumo'!M26</f>
        <v>3.8.2.002 - Ferramentas manuais</v>
      </c>
      <c r="K26" s="32" t="str">
        <f aca="false">INDEX('Curva ABC'!$K$8:$K$2847,MATCH(D26,'Curva ABC'!$B$8:$B$2847,0))</f>
        <v>A</v>
      </c>
    </row>
    <row r="27" customFormat="false" ht="15" hidden="false" customHeight="false" outlineLevel="0" collapsed="false">
      <c r="A27" s="34" t="s">
        <v>5799</v>
      </c>
      <c r="B27" s="34" t="str">
        <f aca="false">'Uso e Consumo'!A27</f>
        <v>0335</v>
      </c>
      <c r="C27" s="34" t="str">
        <f aca="false">'Uso e Consumo'!B27</f>
        <v>UFV NORONHA VERDE - USO E CONSUMO</v>
      </c>
      <c r="D27" s="33" t="n">
        <f aca="false">'Uso e Consumo'!C27</f>
        <v>1257074</v>
      </c>
      <c r="E27" s="34" t="str">
        <f aca="false">'Uso e Consumo'!D27</f>
        <v>01.09.0344</v>
      </c>
      <c r="F27" s="34" t="str">
        <f aca="false">'Uso e Consumo'!E27</f>
        <v>PERFIL “C” ENRIJECIDO 75X40X15 CHAPA: 2,65MM 6000MM</v>
      </c>
      <c r="G27" s="34" t="str">
        <f aca="false">'Uso e Consumo'!J27</f>
        <v>UN</v>
      </c>
      <c r="H27" s="49" t="n">
        <f aca="false">'Uso e Consumo'!F27</f>
        <v>630</v>
      </c>
      <c r="I27" s="35" t="n">
        <f aca="false">'Uso e Consumo'!G27</f>
        <v>75413.7</v>
      </c>
      <c r="J27" s="34" t="str">
        <f aca="false">'Uso e Consumo'!M27</f>
        <v>3.8.1.001 - Aços e trefilados</v>
      </c>
      <c r="K27" s="32" t="str">
        <f aca="false">INDEX('Curva ABC'!$K$8:$K$2847,MATCH(D27,'Curva ABC'!$B$8:$B$2847,0))</f>
        <v>A</v>
      </c>
    </row>
    <row r="28" customFormat="false" ht="15" hidden="false" customHeight="false" outlineLevel="0" collapsed="false">
      <c r="A28" s="34" t="s">
        <v>5799</v>
      </c>
      <c r="B28" s="34" t="str">
        <f aca="false">'Uso e Consumo'!A28</f>
        <v>0335</v>
      </c>
      <c r="C28" s="34" t="str">
        <f aca="false">'Uso e Consumo'!B28</f>
        <v>UFV NORONHA VERDE - USO E CONSUMO</v>
      </c>
      <c r="D28" s="33" t="n">
        <f aca="false">'Uso e Consumo'!C28</f>
        <v>1387756</v>
      </c>
      <c r="E28" s="34" t="str">
        <f aca="false">'Uso e Consumo'!D28</f>
        <v>17.16.3824</v>
      </c>
      <c r="F28" s="34" t="str">
        <f aca="false">'Uso e Consumo'!E28</f>
        <v>EMENDA RETO CONTRÁTIL - CABO ISOLADO SEÇÃO 400 MM² - 8.7 / 15 KV - CONDUTOR COBRE COMPACTO, ISOLAÇÃO EM EPR 105°C</v>
      </c>
      <c r="G28" s="34" t="str">
        <f aca="false">'Uso e Consumo'!J28</f>
        <v>UN</v>
      </c>
      <c r="H28" s="49" t="n">
        <f aca="false">'Uso e Consumo'!F28</f>
        <v>14</v>
      </c>
      <c r="I28" s="35" t="n">
        <f aca="false">'Uso e Consumo'!G28</f>
        <v>65328.9</v>
      </c>
      <c r="J28" s="34" t="str">
        <f aca="false">'Uso e Consumo'!M28</f>
        <v>3.8.1.017 - Instalações elétricas/telefônicas/lógica</v>
      </c>
      <c r="K28" s="32" t="str">
        <f aca="false">INDEX('Curva ABC'!$K$8:$K$2847,MATCH(D28,'Curva ABC'!$B$8:$B$2847,0))</f>
        <v>A</v>
      </c>
    </row>
    <row r="29" customFormat="false" ht="15" hidden="false" customHeight="false" outlineLevel="0" collapsed="false">
      <c r="A29" s="34" t="s">
        <v>5799</v>
      </c>
      <c r="B29" s="34" t="str">
        <f aca="false">'Uso e Consumo'!A29</f>
        <v>0335</v>
      </c>
      <c r="C29" s="34" t="str">
        <f aca="false">'Uso e Consumo'!B29</f>
        <v>UFV NORONHA VERDE - USO E CONSUMO</v>
      </c>
      <c r="D29" s="33" t="n">
        <f aca="false">'Uso e Consumo'!C29</f>
        <v>1328133</v>
      </c>
      <c r="E29" s="34" t="str">
        <f aca="false">'Uso e Consumo'!D29</f>
        <v>17.01.1205</v>
      </c>
      <c r="F29" s="34" t="str">
        <f aca="false">'Uso e Consumo'!E29</f>
        <v>CABO DE COBRE NU 120 MM², CLASSE 2A, TÊMPERA MEIO DURA, NBR 6524.</v>
      </c>
      <c r="G29" s="34" t="str">
        <f aca="false">'Uso e Consumo'!J29</f>
        <v>M</v>
      </c>
      <c r="H29" s="49" t="n">
        <f aca="false">'Uso e Consumo'!F29</f>
        <v>576</v>
      </c>
      <c r="I29" s="35" t="n">
        <f aca="false">'Uso e Consumo'!G29</f>
        <v>64051.2</v>
      </c>
      <c r="J29" s="34" t="str">
        <f aca="false">'Uso e Consumo'!M29</f>
        <v>3.8.1.017 - Instalações elétricas/telefônicas/lógica</v>
      </c>
      <c r="K29" s="32" t="str">
        <f aca="false">INDEX('Curva ABC'!$K$8:$K$2847,MATCH(D29,'Curva ABC'!$B$8:$B$2847,0))</f>
        <v>A</v>
      </c>
    </row>
    <row r="30" customFormat="false" ht="15" hidden="false" customHeight="false" outlineLevel="0" collapsed="false">
      <c r="A30" s="34" t="s">
        <v>5799</v>
      </c>
      <c r="B30" s="34" t="str">
        <f aca="false">'Uso e Consumo'!A30</f>
        <v>0335</v>
      </c>
      <c r="C30" s="34" t="str">
        <f aca="false">'Uso e Consumo'!B30</f>
        <v>UFV NORONHA VERDE - USO E CONSUMO</v>
      </c>
      <c r="D30" s="33" t="n">
        <f aca="false">'Uso e Consumo'!C30</f>
        <v>286788</v>
      </c>
      <c r="E30" s="34" t="str">
        <f aca="false">'Uso e Consumo'!D30</f>
        <v>26.12.0094</v>
      </c>
      <c r="F30" s="34" t="str">
        <f aca="false">'Uso e Consumo'!E30</f>
        <v>FITA DE SINALIZAÇÃO ESCRITA "CUIDADO, REDE ELÉTRICA ABAIXO"</v>
      </c>
      <c r="G30" s="34" t="str">
        <f aca="false">'Uso e Consumo'!J30</f>
        <v>UN</v>
      </c>
      <c r="H30" s="49" t="n">
        <f aca="false">'Uso e Consumo'!F30</f>
        <v>250</v>
      </c>
      <c r="I30" s="35" t="n">
        <f aca="false">'Uso e Consumo'!G30</f>
        <v>63683.08</v>
      </c>
      <c r="J30" s="34" t="str">
        <f aca="false">'Uso e Consumo'!M30</f>
        <v>4.3.4.002 - Equipamento de proteção e sinalização coletiva</v>
      </c>
      <c r="K30" s="32" t="str">
        <f aca="false">INDEX('Curva ABC'!$K$8:$K$2847,MATCH(D30,'Curva ABC'!$B$8:$B$2847,0))</f>
        <v>A</v>
      </c>
    </row>
    <row r="31" customFormat="false" ht="15" hidden="false" customHeight="false" outlineLevel="0" collapsed="false">
      <c r="A31" s="34" t="s">
        <v>5799</v>
      </c>
      <c r="B31" s="34" t="str">
        <f aca="false">'Uso e Consumo'!A31</f>
        <v>0335</v>
      </c>
      <c r="C31" s="34" t="str">
        <f aca="false">'Uso e Consumo'!B31</f>
        <v>UFV NORONHA VERDE - USO E CONSUMO</v>
      </c>
      <c r="D31" s="33" t="n">
        <f aca="false">'Uso e Consumo'!C31</f>
        <v>839986</v>
      </c>
      <c r="E31" s="34" t="str">
        <f aca="false">'Uso e Consumo'!D31</f>
        <v>17.16.0448</v>
      </c>
      <c r="F31" s="34" t="str">
        <f aca="false">'Uso e Consumo'!E31</f>
        <v>TERMINAL BIMETÁLICO 400MM²</v>
      </c>
      <c r="G31" s="34" t="str">
        <f aca="false">'Uso e Consumo'!J31</f>
        <v>pç</v>
      </c>
      <c r="H31" s="49" t="n">
        <f aca="false">'Uso e Consumo'!F31</f>
        <v>400</v>
      </c>
      <c r="I31" s="35" t="n">
        <f aca="false">'Uso e Consumo'!G31</f>
        <v>52407.47</v>
      </c>
      <c r="J31" s="34" t="str">
        <f aca="false">'Uso e Consumo'!M31</f>
        <v>3.8.1.017 - Instalações elétricas/telefônicas/lógica</v>
      </c>
      <c r="K31" s="32" t="str">
        <f aca="false">INDEX('Curva ABC'!$K$8:$K$2847,MATCH(D31,'Curva ABC'!$B$8:$B$2847,0))</f>
        <v>A</v>
      </c>
    </row>
    <row r="32" customFormat="false" ht="15" hidden="false" customHeight="false" outlineLevel="0" collapsed="false">
      <c r="A32" s="34" t="s">
        <v>5799</v>
      </c>
      <c r="B32" s="34" t="str">
        <f aca="false">'Uso e Consumo'!A32</f>
        <v>0335</v>
      </c>
      <c r="C32" s="34" t="str">
        <f aca="false">'Uso e Consumo'!B32</f>
        <v>UFV NORONHA VERDE - USO E CONSUMO</v>
      </c>
      <c r="D32" s="33" t="n">
        <f aca="false">'Uso e Consumo'!C32</f>
        <v>1484496</v>
      </c>
      <c r="E32" s="34" t="str">
        <f aca="false">'Uso e Consumo'!D32</f>
        <v>17.24.0017</v>
      </c>
      <c r="F32" s="34" t="str">
        <f aca="false">'Uso e Consumo'!E32</f>
        <v>SUPORTE PARA PAINÉIS DE CASA DE COMANDO</v>
      </c>
      <c r="G32" s="34" t="str">
        <f aca="false">'Uso e Consumo'!J32</f>
        <v>UN</v>
      </c>
      <c r="H32" s="49" t="n">
        <f aca="false">'Uso e Consumo'!F32</f>
        <v>14</v>
      </c>
      <c r="I32" s="35" t="n">
        <f aca="false">'Uso e Consumo'!G32</f>
        <v>50286</v>
      </c>
      <c r="J32" s="34" t="str">
        <f aca="false">'Uso e Consumo'!M32</f>
        <v>3.8.1.017 - Instalações elétricas/telefônicas/lógica</v>
      </c>
      <c r="K32" s="32" t="str">
        <f aca="false">INDEX('Curva ABC'!$K$8:$K$2847,MATCH(D32,'Curva ABC'!$B$8:$B$2847,0))</f>
        <v>A</v>
      </c>
    </row>
    <row r="33" customFormat="false" ht="15" hidden="false" customHeight="false" outlineLevel="0" collapsed="false">
      <c r="A33" s="34" t="s">
        <v>5799</v>
      </c>
      <c r="B33" s="34" t="str">
        <f aca="false">'Uso e Consumo'!A33</f>
        <v>0335</v>
      </c>
      <c r="C33" s="34" t="str">
        <f aca="false">'Uso e Consumo'!B33</f>
        <v>UFV NORONHA VERDE - USO E CONSUMO</v>
      </c>
      <c r="D33" s="33" t="n">
        <f aca="false">'Uso e Consumo'!C33</f>
        <v>560464</v>
      </c>
      <c r="E33" s="34" t="str">
        <f aca="false">'Uso e Consumo'!D33</f>
        <v>17.01.0936</v>
      </c>
      <c r="F33" s="34" t="str">
        <f aca="false">'Uso e Consumo'!E33</f>
        <v>CABO COBRE NU 70MM² - TMD 7F</v>
      </c>
      <c r="G33" s="34" t="str">
        <f aca="false">'Uso e Consumo'!J33</f>
        <v>M</v>
      </c>
      <c r="H33" s="49" t="n">
        <f aca="false">'Uso e Consumo'!F33</f>
        <v>600</v>
      </c>
      <c r="I33" s="35" t="n">
        <f aca="false">'Uso e Consumo'!G33</f>
        <v>49200</v>
      </c>
      <c r="J33" s="34" t="str">
        <f aca="false">'Uso e Consumo'!M33</f>
        <v>3.8.1.017 - Instalações elétricas/telefônicas/lógica</v>
      </c>
      <c r="K33" s="32" t="str">
        <f aca="false">INDEX('Curva ABC'!$K$8:$K$2847,MATCH(D33,'Curva ABC'!$B$8:$B$2847,0))</f>
        <v>A</v>
      </c>
    </row>
    <row r="34" customFormat="false" ht="15" hidden="false" customHeight="false" outlineLevel="0" collapsed="false">
      <c r="A34" s="34" t="s">
        <v>5799</v>
      </c>
      <c r="B34" s="34" t="str">
        <f aca="false">'Uso e Consumo'!A34</f>
        <v>0335</v>
      </c>
      <c r="C34" s="34" t="str">
        <f aca="false">'Uso e Consumo'!B34</f>
        <v>UFV NORONHA VERDE - USO E CONSUMO</v>
      </c>
      <c r="D34" s="33" t="n">
        <f aca="false">'Uso e Consumo'!C34</f>
        <v>882066</v>
      </c>
      <c r="E34" s="34" t="str">
        <f aca="false">'Uso e Consumo'!D34</f>
        <v>05.01.0044</v>
      </c>
      <c r="F34" s="34" t="str">
        <f aca="false">'Uso e Consumo'!E34</f>
        <v>CIMENTO CINZA CPV - ARI PLUS 40KG</v>
      </c>
      <c r="G34" s="34" t="str">
        <f aca="false">'Uso e Consumo'!J34</f>
        <v>UN</v>
      </c>
      <c r="H34" s="49" t="n">
        <f aca="false">'Uso e Consumo'!F34</f>
        <v>300</v>
      </c>
      <c r="I34" s="35" t="n">
        <f aca="false">'Uso e Consumo'!G34</f>
        <v>47400</v>
      </c>
      <c r="J34" s="34" t="str">
        <f aca="false">'Uso e Consumo'!M34</f>
        <v>3.8.1.005 - Aglomerante</v>
      </c>
      <c r="K34" s="32" t="str">
        <f aca="false">INDEX('Curva ABC'!$K$8:$K$2847,MATCH(D34,'Curva ABC'!$B$8:$B$2847,0))</f>
        <v>A</v>
      </c>
    </row>
    <row r="35" customFormat="false" ht="15" hidden="false" customHeight="false" outlineLevel="0" collapsed="false">
      <c r="A35" s="34" t="s">
        <v>5799</v>
      </c>
      <c r="B35" s="34" t="str">
        <f aca="false">'Uso e Consumo'!A35</f>
        <v>0335</v>
      </c>
      <c r="C35" s="34" t="str">
        <f aca="false">'Uso e Consumo'!B35</f>
        <v>UFV NORONHA VERDE - USO E CONSUMO</v>
      </c>
      <c r="D35" s="33" t="n">
        <f aca="false">'Uso e Consumo'!C35</f>
        <v>1324155</v>
      </c>
      <c r="E35" s="34" t="str">
        <f aca="false">'Uso e Consumo'!D35</f>
        <v>25.19.0029</v>
      </c>
      <c r="F35" s="34" t="str">
        <f aca="false">'Uso e Consumo'!E35</f>
        <v>BIG BAG EM POLIPROPILENO DE ALTA RESISTÊNCIA COM SAIA DE ENCHIM E FUNDO FECHADO CARGA MÁXIMA 1500KG</v>
      </c>
      <c r="G35" s="34" t="str">
        <f aca="false">'Uso e Consumo'!J35</f>
        <v>UN</v>
      </c>
      <c r="H35" s="49" t="n">
        <f aca="false">'Uso e Consumo'!F35</f>
        <v>1444</v>
      </c>
      <c r="I35" s="35" t="n">
        <f aca="false">'Uso e Consumo'!G35</f>
        <v>46878.9541</v>
      </c>
      <c r="J35" s="34" t="str">
        <f aca="false">'Uso e Consumo'!M35</f>
        <v>3.1.1.001 - Material de uso e consumo</v>
      </c>
      <c r="K35" s="32" t="str">
        <f aca="false">INDEX('Curva ABC'!$K$8:$K$2847,MATCH(D35,'Curva ABC'!$B$8:$B$2847,0))</f>
        <v>A</v>
      </c>
    </row>
    <row r="36" customFormat="false" ht="15" hidden="false" customHeight="false" outlineLevel="0" collapsed="false">
      <c r="A36" s="34" t="s">
        <v>5799</v>
      </c>
      <c r="B36" s="34" t="str">
        <f aca="false">'Uso e Consumo'!A36</f>
        <v>0335</v>
      </c>
      <c r="C36" s="34" t="str">
        <f aca="false">'Uso e Consumo'!B36</f>
        <v>UFV NORONHA VERDE - USO E CONSUMO</v>
      </c>
      <c r="D36" s="33" t="n">
        <f aca="false">'Uso e Consumo'!C36</f>
        <v>1324194</v>
      </c>
      <c r="E36" s="34" t="str">
        <f aca="false">'Uso e Consumo'!D36</f>
        <v>29.03.0394</v>
      </c>
      <c r="F36" s="34" t="str">
        <f aca="false">'Uso e Consumo'!E36</f>
        <v>VENTILADOR DE TETO PREMIUM 360 / 60CM  / 170W / 220V </v>
      </c>
      <c r="G36" s="34" t="str">
        <f aca="false">'Uso e Consumo'!J36</f>
        <v>UN</v>
      </c>
      <c r="H36" s="49" t="n">
        <f aca="false">'Uso e Consumo'!F36</f>
        <v>117</v>
      </c>
      <c r="I36" s="35" t="n">
        <f aca="false">'Uso e Consumo'!G36</f>
        <v>44226</v>
      </c>
      <c r="J36" s="34" t="str">
        <f aca="false">'Uso e Consumo'!M36</f>
        <v>3.1.1.009 - Eletro eletrônico e acessórios</v>
      </c>
      <c r="K36" s="32" t="str">
        <f aca="false">INDEX('Curva ABC'!$K$8:$K$2847,MATCH(D36,'Curva ABC'!$B$8:$B$2847,0))</f>
        <v>A</v>
      </c>
    </row>
    <row r="37" customFormat="false" ht="15" hidden="false" customHeight="false" outlineLevel="0" collapsed="false">
      <c r="A37" s="34" t="s">
        <v>5799</v>
      </c>
      <c r="B37" s="34" t="str">
        <f aca="false">'Uso e Consumo'!A37</f>
        <v>0335</v>
      </c>
      <c r="C37" s="34" t="str">
        <f aca="false">'Uso e Consumo'!B37</f>
        <v>UFV NORONHA VERDE - USO E CONSUMO</v>
      </c>
      <c r="D37" s="33" t="n">
        <f aca="false">'Uso e Consumo'!C37</f>
        <v>1387419</v>
      </c>
      <c r="E37" s="34" t="str">
        <f aca="false">'Uso e Consumo'!D37</f>
        <v>17.11.1125</v>
      </c>
      <c r="F37" s="34" t="str">
        <f aca="false">'Uso e Consumo'!E37</f>
        <v>FILTRO ÓLEO/ÁGUA P/BASE SKID - MOD. P-PIT 410</v>
      </c>
      <c r="G37" s="34" t="str">
        <f aca="false">'Uso e Consumo'!J37</f>
        <v>UN</v>
      </c>
      <c r="H37" s="49" t="n">
        <f aca="false">'Uso e Consumo'!F37</f>
        <v>7</v>
      </c>
      <c r="I37" s="35" t="n">
        <f aca="false">'Uso e Consumo'!G37</f>
        <v>43040</v>
      </c>
      <c r="J37" s="34" t="str">
        <f aca="false">'Uso e Consumo'!M37</f>
        <v>3.8.1.017 - Instalações elétricas/telefônicas/lógica</v>
      </c>
      <c r="K37" s="32" t="str">
        <f aca="false">INDEX('Curva ABC'!$K$8:$K$2847,MATCH(D37,'Curva ABC'!$B$8:$B$2847,0))</f>
        <v>A</v>
      </c>
    </row>
    <row r="38" customFormat="false" ht="15" hidden="false" customHeight="false" outlineLevel="0" collapsed="false">
      <c r="A38" s="34" t="s">
        <v>5799</v>
      </c>
      <c r="B38" s="34" t="str">
        <f aca="false">'Uso e Consumo'!A38</f>
        <v>0335</v>
      </c>
      <c r="C38" s="34" t="str">
        <f aca="false">'Uso e Consumo'!B38</f>
        <v>UFV NORONHA VERDE - USO E CONSUMO</v>
      </c>
      <c r="D38" s="33" t="n">
        <f aca="false">'Uso e Consumo'!C38</f>
        <v>1677684</v>
      </c>
      <c r="E38" s="34" t="str">
        <f aca="false">'Uso e Consumo'!D38</f>
        <v>17.05.0131</v>
      </c>
      <c r="F38" s="34" t="str">
        <f aca="false">'Uso e Consumo'!E38</f>
        <v>TERMINAL DESCONECTAVEL RSTI 5854 15/25 KV, CB 95-240 MM, TE CONNECTIVITY, PARA CABO 240 MM, COM ACESSORIOS, CONFORME</v>
      </c>
      <c r="G38" s="34" t="str">
        <f aca="false">'Uso e Consumo'!J38</f>
        <v>UN</v>
      </c>
      <c r="H38" s="49" t="n">
        <f aca="false">'Uso e Consumo'!F38</f>
        <v>12</v>
      </c>
      <c r="I38" s="35" t="n">
        <f aca="false">'Uso e Consumo'!G38</f>
        <v>42987.84</v>
      </c>
      <c r="J38" s="34" t="str">
        <f aca="false">'Uso e Consumo'!M38</f>
        <v>3.8.1.017 - Instalações elétricas/telefônicas/lógica</v>
      </c>
      <c r="K38" s="32" t="str">
        <f aca="false">INDEX('Curva ABC'!$K$8:$K$2847,MATCH(D38,'Curva ABC'!$B$8:$B$2847,0))</f>
        <v>A</v>
      </c>
    </row>
    <row r="39" customFormat="false" ht="32.8" hidden="false" customHeight="false" outlineLevel="0" collapsed="false">
      <c r="A39" s="34" t="s">
        <v>5799</v>
      </c>
      <c r="B39" s="34" t="str">
        <f aca="false">'Uso e Consumo'!A39</f>
        <v>0335</v>
      </c>
      <c r="C39" s="34" t="str">
        <f aca="false">'Uso e Consumo'!B39</f>
        <v>UFV NORONHA VERDE - USO E CONSUMO</v>
      </c>
      <c r="D39" s="33" t="n">
        <f aca="false">'Uso e Consumo'!C39</f>
        <v>1554759</v>
      </c>
      <c r="E39" s="34" t="str">
        <f aca="false">'Uso e Consumo'!D39</f>
        <v>17.06.0054</v>
      </c>
      <c r="F39" s="50" t="str">
        <f aca="false">'Uso e Consumo'!E39</f>
        <v>CABO ELÉTRICO DE COBRE FLEXÍVEL HEPR 0,6/1 KV 4 CONDUTORES 4,0 MM² COM BLINDAGEM EM COBRE
</v>
      </c>
      <c r="G39" s="34" t="str">
        <f aca="false">'Uso e Consumo'!J39</f>
        <v>M</v>
      </c>
      <c r="H39" s="49" t="n">
        <f aca="false">'Uso e Consumo'!F39</f>
        <v>720</v>
      </c>
      <c r="I39" s="35" t="n">
        <f aca="false">'Uso e Consumo'!G39</f>
        <v>42150.04</v>
      </c>
      <c r="J39" s="34" t="str">
        <f aca="false">'Uso e Consumo'!M39</f>
        <v>3.8.1.017 - Instalações elétricas/telefônicas/lógica</v>
      </c>
      <c r="K39" s="32" t="str">
        <f aca="false">INDEX('Curva ABC'!$K$8:$K$2847,MATCH(D39,'Curva ABC'!$B$8:$B$2847,0))</f>
        <v>A</v>
      </c>
    </row>
    <row r="40" customFormat="false" ht="15" hidden="false" customHeight="false" outlineLevel="0" collapsed="false">
      <c r="A40" s="34" t="s">
        <v>5799</v>
      </c>
      <c r="B40" s="34" t="str">
        <f aca="false">'Uso e Consumo'!A40</f>
        <v>0335</v>
      </c>
      <c r="C40" s="34" t="str">
        <f aca="false">'Uso e Consumo'!B40</f>
        <v>UFV NORONHA VERDE - USO E CONSUMO</v>
      </c>
      <c r="D40" s="33" t="n">
        <f aca="false">'Uso e Consumo'!C40</f>
        <v>557073</v>
      </c>
      <c r="E40" s="34" t="str">
        <f aca="false">'Uso e Consumo'!D40</f>
        <v>17.01.0931</v>
      </c>
      <c r="F40" s="34" t="str">
        <f aca="false">'Uso e Consumo'!E40</f>
        <v>CABO OPTICO CFOA-SM-DDR-S 24F LSZH - TERCEIROS </v>
      </c>
      <c r="G40" s="34" t="str">
        <f aca="false">'Uso e Consumo'!J40</f>
        <v>M</v>
      </c>
      <c r="H40" s="49" t="n">
        <f aca="false">'Uso e Consumo'!F40</f>
        <v>2559</v>
      </c>
      <c r="I40" s="35" t="n">
        <f aca="false">'Uso e Consumo'!G40</f>
        <v>40508.97</v>
      </c>
      <c r="J40" s="34" t="str">
        <f aca="false">'Uso e Consumo'!M40</f>
        <v>3.8.1.017 - Instalações elétricas/telefônicas/lógica</v>
      </c>
      <c r="K40" s="32" t="str">
        <f aca="false">INDEX('Curva ABC'!$K$8:$K$2847,MATCH(D40,'Curva ABC'!$B$8:$B$2847,0))</f>
        <v>A</v>
      </c>
    </row>
    <row r="41" customFormat="false" ht="15" hidden="false" customHeight="false" outlineLevel="0" collapsed="false">
      <c r="A41" s="34" t="s">
        <v>5799</v>
      </c>
      <c r="B41" s="34" t="str">
        <f aca="false">'Uso e Consumo'!A41</f>
        <v>0335</v>
      </c>
      <c r="C41" s="34" t="str">
        <f aca="false">'Uso e Consumo'!B41</f>
        <v>UFV NORONHA VERDE - USO E CONSUMO</v>
      </c>
      <c r="D41" s="33" t="n">
        <f aca="false">'Uso e Consumo'!C41</f>
        <v>889163</v>
      </c>
      <c r="E41" s="34" t="str">
        <f aca="false">'Uso e Consumo'!D41</f>
        <v>18.01.1321</v>
      </c>
      <c r="F41" s="34" t="str">
        <f aca="false">'Uso e Consumo'!E41</f>
        <v>TUBO PEAD LISO D=250 MM</v>
      </c>
      <c r="G41" s="34" t="str">
        <f aca="false">'Uso e Consumo'!J41</f>
        <v>M</v>
      </c>
      <c r="H41" s="49" t="n">
        <f aca="false">'Uso e Consumo'!F41</f>
        <v>36</v>
      </c>
      <c r="I41" s="35" t="n">
        <f aca="false">'Uso e Consumo'!G41</f>
        <v>40102.92</v>
      </c>
      <c r="J41" s="34" t="str">
        <f aca="false">'Uso e Consumo'!M41</f>
        <v>3.8.1.018 - Instalações hidráulicas/sanitárias/industriais</v>
      </c>
      <c r="K41" s="32" t="str">
        <f aca="false">INDEX('Curva ABC'!$K$8:$K$2847,MATCH(D41,'Curva ABC'!$B$8:$B$2847,0))</f>
        <v>A</v>
      </c>
    </row>
    <row r="42" customFormat="false" ht="15" hidden="false" customHeight="false" outlineLevel="0" collapsed="false">
      <c r="A42" s="34" t="s">
        <v>5799</v>
      </c>
      <c r="B42" s="34" t="str">
        <f aca="false">'Uso e Consumo'!A42</f>
        <v>0335</v>
      </c>
      <c r="C42" s="34" t="str">
        <f aca="false">'Uso e Consumo'!B42</f>
        <v>UFV NORONHA VERDE - USO E CONSUMO</v>
      </c>
      <c r="D42" s="33" t="n">
        <f aca="false">'Uso e Consumo'!C42</f>
        <v>1087986</v>
      </c>
      <c r="E42" s="34" t="str">
        <f aca="false">'Uso e Consumo'!D42</f>
        <v>32.12.0242</v>
      </c>
      <c r="F42" s="34" t="str">
        <f aca="false">'Uso e Consumo'!E42</f>
        <v>LASER HILTI PR 300-HV2S</v>
      </c>
      <c r="G42" s="34" t="str">
        <f aca="false">'Uso e Consumo'!J42</f>
        <v>UN</v>
      </c>
      <c r="H42" s="49" t="n">
        <f aca="false">'Uso e Consumo'!F42</f>
        <v>2</v>
      </c>
      <c r="I42" s="35" t="n">
        <f aca="false">'Uso e Consumo'!G42</f>
        <v>38150.56</v>
      </c>
      <c r="J42" s="34" t="str">
        <f aca="false">'Uso e Consumo'!M42</f>
        <v>4.1.1.007 - Equipamentos e acessórios para informática</v>
      </c>
      <c r="K42" s="32" t="str">
        <f aca="false">INDEX('Curva ABC'!$K$8:$K$2847,MATCH(D42,'Curva ABC'!$B$8:$B$2847,0))</f>
        <v>A</v>
      </c>
    </row>
    <row r="43" customFormat="false" ht="15" hidden="false" customHeight="false" outlineLevel="0" collapsed="false">
      <c r="A43" s="34" t="s">
        <v>5799</v>
      </c>
      <c r="B43" s="34" t="str">
        <f aca="false">'Uso e Consumo'!A43</f>
        <v>0335</v>
      </c>
      <c r="C43" s="34" t="str">
        <f aca="false">'Uso e Consumo'!B43</f>
        <v>UFV NORONHA VERDE - USO E CONSUMO</v>
      </c>
      <c r="D43" s="33" t="n">
        <f aca="false">'Uso e Consumo'!C43</f>
        <v>884891</v>
      </c>
      <c r="E43" s="34" t="str">
        <f aca="false">'Uso e Consumo'!D43</f>
        <v>17.22.0109</v>
      </c>
      <c r="F43" s="34" t="str">
        <f aca="false">'Uso e Consumo'!E43</f>
        <v>LAÇO PREFORMADO PARA AMARRAÇÃO DO CABO NU</v>
      </c>
      <c r="G43" s="34" t="str">
        <f aca="false">'Uso e Consumo'!J43</f>
        <v>UND</v>
      </c>
      <c r="H43" s="49" t="n">
        <f aca="false">'Uso e Consumo'!F43</f>
        <v>264</v>
      </c>
      <c r="I43" s="35" t="n">
        <f aca="false">'Uso e Consumo'!G43</f>
        <v>37602.43</v>
      </c>
      <c r="J43" s="34" t="str">
        <f aca="false">'Uso e Consumo'!M43</f>
        <v>3.8.1.017 - Instalações elétricas/telefônicas/lógica</v>
      </c>
      <c r="K43" s="32" t="str">
        <f aca="false">INDEX('Curva ABC'!$K$8:$K$2847,MATCH(D43,'Curva ABC'!$B$8:$B$2847,0))</f>
        <v>A</v>
      </c>
    </row>
    <row r="44" customFormat="false" ht="15" hidden="false" customHeight="false" outlineLevel="0" collapsed="false">
      <c r="A44" s="34" t="s">
        <v>5799</v>
      </c>
      <c r="B44" s="34" t="str">
        <f aca="false">'Uso e Consumo'!A44</f>
        <v>0335</v>
      </c>
      <c r="C44" s="34" t="str">
        <f aca="false">'Uso e Consumo'!B44</f>
        <v>UFV NORONHA VERDE - USO E CONSUMO</v>
      </c>
      <c r="D44" s="33" t="n">
        <f aca="false">'Uso e Consumo'!C44</f>
        <v>1382767</v>
      </c>
      <c r="E44" s="34" t="str">
        <f aca="false">'Uso e Consumo'!D44</f>
        <v>33.02.3178</v>
      </c>
      <c r="F44" s="34" t="str">
        <f aca="false">'Uso e Consumo'!E44</f>
        <v>GRAMPO GUIA DE DESCIDA PARA CABOS 9.3 MM COM FITA DE AÇO INOX</v>
      </c>
      <c r="G44" s="34" t="str">
        <f aca="false">'Uso e Consumo'!J44</f>
        <v>UN</v>
      </c>
      <c r="H44" s="49" t="n">
        <f aca="false">'Uso e Consumo'!F44</f>
        <v>32</v>
      </c>
      <c r="I44" s="35" t="n">
        <f aca="false">'Uso e Consumo'!G44</f>
        <v>37138.66</v>
      </c>
      <c r="J44" s="34" t="str">
        <f aca="false">'Uso e Consumo'!M44</f>
        <v>3.1.6.002 - Pneus e peças</v>
      </c>
      <c r="K44" s="32" t="str">
        <f aca="false">INDEX('Curva ABC'!$K$8:$K$2847,MATCH(D44,'Curva ABC'!$B$8:$B$2847,0))</f>
        <v>A</v>
      </c>
    </row>
    <row r="45" customFormat="false" ht="15" hidden="false" customHeight="false" outlineLevel="0" collapsed="false">
      <c r="A45" s="34" t="s">
        <v>5799</v>
      </c>
      <c r="B45" s="34" t="str">
        <f aca="false">'Uso e Consumo'!A45</f>
        <v>0335</v>
      </c>
      <c r="C45" s="34" t="str">
        <f aca="false">'Uso e Consumo'!B45</f>
        <v>UFV NORONHA VERDE - USO E CONSUMO</v>
      </c>
      <c r="D45" s="33" t="n">
        <f aca="false">'Uso e Consumo'!C45</f>
        <v>477717</v>
      </c>
      <c r="E45" s="34" t="str">
        <f aca="false">'Uso e Consumo'!D45</f>
        <v>15.03.0049</v>
      </c>
      <c r="F45" s="34" t="str">
        <f aca="false">'Uso e Consumo'!E45</f>
        <v>SIKA GROUT - 250</v>
      </c>
      <c r="G45" s="34" t="str">
        <f aca="false">'Uso e Consumo'!J45</f>
        <v>KG</v>
      </c>
      <c r="H45" s="49" t="n">
        <f aca="false">'Uso e Consumo'!F45</f>
        <v>32000</v>
      </c>
      <c r="I45" s="35" t="n">
        <f aca="false">'Uso e Consumo'!G45</f>
        <v>37044.73</v>
      </c>
      <c r="J45" s="34" t="str">
        <f aca="false">'Uso e Consumo'!M45</f>
        <v>3.8.1.015 - Impermeabilizantes</v>
      </c>
      <c r="K45" s="32" t="str">
        <f aca="false">INDEX('Curva ABC'!$K$8:$K$2847,MATCH(D45,'Curva ABC'!$B$8:$B$2847,0))</f>
        <v>A</v>
      </c>
    </row>
    <row r="46" customFormat="false" ht="15" hidden="false" customHeight="false" outlineLevel="0" collapsed="false">
      <c r="A46" s="34" t="s">
        <v>5799</v>
      </c>
      <c r="B46" s="34" t="str">
        <f aca="false">'Uso e Consumo'!A46</f>
        <v>0335</v>
      </c>
      <c r="C46" s="34" t="str">
        <f aca="false">'Uso e Consumo'!B46</f>
        <v>UFV NORONHA VERDE - USO E CONSUMO</v>
      </c>
      <c r="D46" s="33" t="n">
        <f aca="false">'Uso e Consumo'!C46</f>
        <v>1654229</v>
      </c>
      <c r="E46" s="34" t="str">
        <f aca="false">'Uso e Consumo'!D46</f>
        <v>18.11.0234</v>
      </c>
      <c r="F46" s="34" t="str">
        <f aca="false">'Uso e Consumo'!E46</f>
        <v>EXTINTOR DE INCENDIO M500 50 L  10A:80B  SOBRE RODAS (CARRETA)</v>
      </c>
      <c r="G46" s="34" t="str">
        <f aca="false">'Uso e Consumo'!J46</f>
        <v>UN</v>
      </c>
      <c r="H46" s="49" t="n">
        <f aca="false">'Uso e Consumo'!F46</f>
        <v>7</v>
      </c>
      <c r="I46" s="35" t="n">
        <f aca="false">'Uso e Consumo'!G46</f>
        <v>37044</v>
      </c>
      <c r="J46" s="34" t="str">
        <f aca="false">'Uso e Consumo'!M46</f>
        <v>4.3.4.005 - Combate incêndio</v>
      </c>
      <c r="K46" s="32" t="str">
        <f aca="false">INDEX('Curva ABC'!$K$8:$K$2847,MATCH(D46,'Curva ABC'!$B$8:$B$2847,0))</f>
        <v>A</v>
      </c>
    </row>
    <row r="47" customFormat="false" ht="15" hidden="false" customHeight="false" outlineLevel="0" collapsed="false">
      <c r="A47" s="34" t="s">
        <v>5799</v>
      </c>
      <c r="B47" s="34" t="str">
        <f aca="false">'Uso e Consumo'!A47</f>
        <v>0335</v>
      </c>
      <c r="C47" s="34" t="str">
        <f aca="false">'Uso e Consumo'!B47</f>
        <v>UFV NORONHA VERDE - USO E CONSUMO</v>
      </c>
      <c r="D47" s="33" t="n">
        <f aca="false">'Uso e Consumo'!C47</f>
        <v>1087797</v>
      </c>
      <c r="E47" s="34" t="str">
        <f aca="false">'Uso e Consumo'!D47</f>
        <v>09.08.0061</v>
      </c>
      <c r="F47" s="34" t="str">
        <f aca="false">'Uso e Consumo'!E47</f>
        <v>TAMPA DE CONCRETO</v>
      </c>
      <c r="G47" s="34" t="str">
        <f aca="false">'Uso e Consumo'!J47</f>
        <v>UN</v>
      </c>
      <c r="H47" s="49" t="n">
        <f aca="false">'Uso e Consumo'!F47</f>
        <v>329</v>
      </c>
      <c r="I47" s="35" t="n">
        <f aca="false">'Uso e Consumo'!G47</f>
        <v>36899.262</v>
      </c>
      <c r="J47" s="34" t="str">
        <f aca="false">'Uso e Consumo'!M47</f>
        <v>3.8.1.009 - Artefatos pré-moldados de concreto</v>
      </c>
      <c r="K47" s="32" t="str">
        <f aca="false">INDEX('Curva ABC'!$K$8:$K$2847,MATCH(D47,'Curva ABC'!$B$8:$B$2847,0))</f>
        <v>A</v>
      </c>
    </row>
    <row r="48" customFormat="false" ht="15" hidden="false" customHeight="false" outlineLevel="0" collapsed="false">
      <c r="A48" s="34" t="s">
        <v>5799</v>
      </c>
      <c r="B48" s="34" t="str">
        <f aca="false">'Uso e Consumo'!A48</f>
        <v>0335</v>
      </c>
      <c r="C48" s="34" t="str">
        <f aca="false">'Uso e Consumo'!B48</f>
        <v>UFV NORONHA VERDE - USO E CONSUMO</v>
      </c>
      <c r="D48" s="33" t="n">
        <f aca="false">'Uso e Consumo'!C48</f>
        <v>1257073</v>
      </c>
      <c r="E48" s="34" t="str">
        <f aca="false">'Uso e Consumo'!D48</f>
        <v>01.11.0306</v>
      </c>
      <c r="F48" s="34" t="str">
        <f aca="false">'Uso e Consumo'!E48</f>
        <v>KIT DE CHAPA FINA A QUENTE 2,65 MM CORTADA A LASER</v>
      </c>
      <c r="G48" s="34" t="str">
        <f aca="false">'Uso e Consumo'!J48</f>
        <v>KG</v>
      </c>
      <c r="H48" s="49" t="n">
        <f aca="false">'Uso e Consumo'!F48</f>
        <v>2013</v>
      </c>
      <c r="I48" s="35" t="n">
        <f aca="false">'Uso e Consumo'!G48</f>
        <v>36862.2</v>
      </c>
      <c r="J48" s="34" t="str">
        <f aca="false">'Uso e Consumo'!M48</f>
        <v>3.8.1.001 - Aços e trefilados</v>
      </c>
      <c r="K48" s="32" t="str">
        <f aca="false">INDEX('Curva ABC'!$K$8:$K$2847,MATCH(D48,'Curva ABC'!$B$8:$B$2847,0))</f>
        <v>A</v>
      </c>
    </row>
    <row r="49" customFormat="false" ht="15" hidden="false" customHeight="false" outlineLevel="0" collapsed="false">
      <c r="A49" s="34" t="s">
        <v>5799</v>
      </c>
      <c r="B49" s="34" t="str">
        <f aca="false">'Uso e Consumo'!A49</f>
        <v>0335</v>
      </c>
      <c r="C49" s="34" t="str">
        <f aca="false">'Uso e Consumo'!B49</f>
        <v>UFV NORONHA VERDE - USO E CONSUMO</v>
      </c>
      <c r="D49" s="33" t="n">
        <f aca="false">'Uso e Consumo'!C49</f>
        <v>1677690</v>
      </c>
      <c r="E49" s="34" t="str">
        <f aca="false">'Uso e Consumo'!D49</f>
        <v>17.16.3908</v>
      </c>
      <c r="F49" s="34" t="str">
        <f aca="false">'Uso e Consumo'!E49</f>
        <v>TERMINAL DESCONECTAVEL RSTI 5851 15/25 KV, CB 35-70 MM, TE CONNECTIVITY, PARA CABO 70 MM, COM ACESSORIOS, CONFORME NBR</v>
      </c>
      <c r="G49" s="34" t="str">
        <f aca="false">'Uso e Consumo'!J49</f>
        <v>UN</v>
      </c>
      <c r="H49" s="49" t="n">
        <f aca="false">'Uso e Consumo'!F49</f>
        <v>8</v>
      </c>
      <c r="I49" s="35" t="n">
        <f aca="false">'Uso e Consumo'!G49</f>
        <v>36188.96</v>
      </c>
      <c r="J49" s="34" t="str">
        <f aca="false">'Uso e Consumo'!M49</f>
        <v>3.8.1.017 - Instalações elétricas/telefônicas/lógica</v>
      </c>
      <c r="K49" s="32" t="str">
        <f aca="false">INDEX('Curva ABC'!$K$8:$K$2847,MATCH(D49,'Curva ABC'!$B$8:$B$2847,0))</f>
        <v>A</v>
      </c>
    </row>
    <row r="50" customFormat="false" ht="15" hidden="false" customHeight="false" outlineLevel="0" collapsed="false">
      <c r="A50" s="34" t="s">
        <v>5799</v>
      </c>
      <c r="B50" s="34" t="str">
        <f aca="false">'Uso e Consumo'!A50</f>
        <v>0335</v>
      </c>
      <c r="C50" s="34" t="str">
        <f aca="false">'Uso e Consumo'!B50</f>
        <v>UFV NORONHA VERDE - USO E CONSUMO</v>
      </c>
      <c r="D50" s="33" t="n">
        <f aca="false">'Uso e Consumo'!C50</f>
        <v>21421</v>
      </c>
      <c r="E50" s="34" t="str">
        <f aca="false">'Uso e Consumo'!D50</f>
        <v>30.05.0026</v>
      </c>
      <c r="F50" s="34" t="str">
        <f aca="false">'Uso e Consumo'!E50</f>
        <v>ÁGUA MINERAL GARRAFAO 20L - PRODUTO</v>
      </c>
      <c r="G50" s="34" t="str">
        <f aca="false">'Uso e Consumo'!J50</f>
        <v>UN</v>
      </c>
      <c r="H50" s="49" t="n">
        <f aca="false">'Uso e Consumo'!F50</f>
        <v>733</v>
      </c>
      <c r="I50" s="35" t="n">
        <f aca="false">'Uso e Consumo'!G50</f>
        <v>35573.34</v>
      </c>
      <c r="J50" s="34" t="str">
        <f aca="false">'Uso e Consumo'!M50</f>
        <v>4.3.6.007 - Refeições</v>
      </c>
      <c r="K50" s="32" t="str">
        <f aca="false">INDEX('Curva ABC'!$K$8:$K$2847,MATCH(D50,'Curva ABC'!$B$8:$B$2847,0))</f>
        <v>A</v>
      </c>
    </row>
    <row r="51" customFormat="false" ht="15" hidden="false" customHeight="false" outlineLevel="0" collapsed="false">
      <c r="A51" s="34" t="s">
        <v>5799</v>
      </c>
      <c r="B51" s="34" t="str">
        <f aca="false">'Uso e Consumo'!A51</f>
        <v>0335</v>
      </c>
      <c r="C51" s="34" t="str">
        <f aca="false">'Uso e Consumo'!B51</f>
        <v>UFV NORONHA VERDE - USO E CONSUMO</v>
      </c>
      <c r="D51" s="33" t="n">
        <f aca="false">'Uso e Consumo'!C51</f>
        <v>884930</v>
      </c>
      <c r="E51" s="34" t="str">
        <f aca="false">'Uso e Consumo'!D51</f>
        <v>26.12.0132</v>
      </c>
      <c r="F51" s="34" t="str">
        <f aca="false">'Uso e Consumo'!E51</f>
        <v>CAMISA PARA LANÇAMENTO DE CABO PARA SEÇÃO ATÉ 400M2</v>
      </c>
      <c r="G51" s="34" t="str">
        <f aca="false">'Uso e Consumo'!J51</f>
        <v>UND</v>
      </c>
      <c r="H51" s="49" t="n">
        <f aca="false">'Uso e Consumo'!F51</f>
        <v>10</v>
      </c>
      <c r="I51" s="35" t="n">
        <f aca="false">'Uso e Consumo'!G51</f>
        <v>35000</v>
      </c>
      <c r="J51" s="34" t="str">
        <f aca="false">'Uso e Consumo'!M51</f>
        <v>4.3.4.002 - Equipamento de proteção e sinalização coletiva</v>
      </c>
      <c r="K51" s="32" t="str">
        <f aca="false">INDEX('Curva ABC'!$K$8:$K$2847,MATCH(D51,'Curva ABC'!$B$8:$B$2847,0))</f>
        <v>A</v>
      </c>
    </row>
    <row r="52" customFormat="false" ht="15" hidden="false" customHeight="false" outlineLevel="0" collapsed="false">
      <c r="A52" s="34" t="s">
        <v>5799</v>
      </c>
      <c r="B52" s="34" t="str">
        <f aca="false">'Uso e Consumo'!A52</f>
        <v>0335</v>
      </c>
      <c r="C52" s="34" t="str">
        <f aca="false">'Uso e Consumo'!B52</f>
        <v>UFV NORONHA VERDE - USO E CONSUMO</v>
      </c>
      <c r="D52" s="33" t="n">
        <f aca="false">'Uso e Consumo'!C52</f>
        <v>1387013</v>
      </c>
      <c r="E52" s="34" t="str">
        <f aca="false">'Uso e Consumo'!D52</f>
        <v>09.21.0414</v>
      </c>
      <c r="F52" s="34" t="str">
        <f aca="false">'Uso e Consumo'!E52</f>
        <v>CRUZETA DE FIBRA DE VIDRO RETA - 90X90X2000MM - 400 DAN</v>
      </c>
      <c r="G52" s="34" t="str">
        <f aca="false">'Uso e Consumo'!J52</f>
        <v>UN</v>
      </c>
      <c r="H52" s="49" t="n">
        <f aca="false">'Uso e Consumo'!F52</f>
        <v>169</v>
      </c>
      <c r="I52" s="35" t="n">
        <f aca="false">'Uso e Consumo'!G52</f>
        <v>34805.85</v>
      </c>
      <c r="J52" s="34" t="str">
        <f aca="false">'Uso e Consumo'!M52</f>
        <v>3.8.1.001 - Aços e trefilados</v>
      </c>
      <c r="K52" s="32" t="str">
        <f aca="false">INDEX('Curva ABC'!$K$8:$K$2847,MATCH(D52,'Curva ABC'!$B$8:$B$2847,0))</f>
        <v>A</v>
      </c>
    </row>
    <row r="53" customFormat="false" ht="15" hidden="false" customHeight="false" outlineLevel="0" collapsed="false">
      <c r="A53" s="34" t="s">
        <v>5799</v>
      </c>
      <c r="B53" s="34" t="str">
        <f aca="false">'Uso e Consumo'!A53</f>
        <v>0335</v>
      </c>
      <c r="C53" s="34" t="str">
        <f aca="false">'Uso e Consumo'!B53</f>
        <v>UFV NORONHA VERDE - USO E CONSUMO</v>
      </c>
      <c r="D53" s="33" t="n">
        <f aca="false">'Uso e Consumo'!C53</f>
        <v>291895</v>
      </c>
      <c r="E53" s="34" t="str">
        <f aca="false">'Uso e Consumo'!D53</f>
        <v>18.07.0063</v>
      </c>
      <c r="F53" s="34" t="str">
        <f aca="false">'Uso e Consumo'!E53</f>
        <v>CAIXA D´AGUA POLIETILENO 20.000L C/ TAMPA</v>
      </c>
      <c r="G53" s="34" t="str">
        <f aca="false">'Uso e Consumo'!J53</f>
        <v>UN</v>
      </c>
      <c r="H53" s="49" t="n">
        <f aca="false">'Uso e Consumo'!F53</f>
        <v>2</v>
      </c>
      <c r="I53" s="35" t="n">
        <f aca="false">'Uso e Consumo'!G53</f>
        <v>34551.8</v>
      </c>
      <c r="J53" s="34" t="str">
        <f aca="false">'Uso e Consumo'!M53</f>
        <v>3.8.1.018 - Instalações hidráulicas/sanitárias/industriais</v>
      </c>
      <c r="K53" s="32" t="str">
        <f aca="false">INDEX('Curva ABC'!$K$8:$K$2847,MATCH(D53,'Curva ABC'!$B$8:$B$2847,0))</f>
        <v>A</v>
      </c>
    </row>
    <row r="54" customFormat="false" ht="15" hidden="false" customHeight="false" outlineLevel="0" collapsed="false">
      <c r="A54" s="34" t="s">
        <v>5799</v>
      </c>
      <c r="B54" s="34" t="str">
        <f aca="false">'Uso e Consumo'!A54</f>
        <v>0335</v>
      </c>
      <c r="C54" s="34" t="str">
        <f aca="false">'Uso e Consumo'!B54</f>
        <v>UFV NORONHA VERDE - USO E CONSUMO</v>
      </c>
      <c r="D54" s="33" t="n">
        <f aca="false">'Uso e Consumo'!C54</f>
        <v>1384625</v>
      </c>
      <c r="E54" s="34" t="str">
        <f aca="false">'Uso e Consumo'!D54</f>
        <v>17.16.3823</v>
      </c>
      <c r="F54" s="34" t="str">
        <f aca="false">'Uso e Consumo'!E54</f>
        <v>CONECTOR DERIVAÇÃO “T”, LIGA COBRE ESTANHADO, 2 CABOS 120 MM² PASSAGEM (ESPAÇADOS 200 MM) + 1 CABO DERIVAÇÃO</v>
      </c>
      <c r="G54" s="34" t="str">
        <f aca="false">'Uso e Consumo'!J54</f>
        <v>UN</v>
      </c>
      <c r="H54" s="49" t="n">
        <f aca="false">'Uso e Consumo'!F54</f>
        <v>21</v>
      </c>
      <c r="I54" s="35" t="n">
        <f aca="false">'Uso e Consumo'!G54</f>
        <v>34537.56</v>
      </c>
      <c r="J54" s="34" t="str">
        <f aca="false">'Uso e Consumo'!M54</f>
        <v>3.8.1.017 - Instalações elétricas/telefônicas/lógica</v>
      </c>
      <c r="K54" s="32" t="str">
        <f aca="false">INDEX('Curva ABC'!$K$8:$K$2847,MATCH(D54,'Curva ABC'!$B$8:$B$2847,0))</f>
        <v>A</v>
      </c>
    </row>
    <row r="55" customFormat="false" ht="15" hidden="false" customHeight="false" outlineLevel="0" collapsed="false">
      <c r="A55" s="34" t="s">
        <v>5799</v>
      </c>
      <c r="B55" s="34" t="str">
        <f aca="false">'Uso e Consumo'!A55</f>
        <v>0335</v>
      </c>
      <c r="C55" s="34" t="str">
        <f aca="false">'Uso e Consumo'!B55</f>
        <v>UFV NORONHA VERDE - USO E CONSUMO</v>
      </c>
      <c r="D55" s="33" t="n">
        <f aca="false">'Uso e Consumo'!C55</f>
        <v>932214</v>
      </c>
      <c r="E55" s="34" t="str">
        <f aca="false">'Uso e Consumo'!D55</f>
        <v>24.24.0090</v>
      </c>
      <c r="F55" s="34" t="str">
        <f aca="false">'Uso e Consumo'!E55</f>
        <v>CHAVE DE IMPACTO 1/2" COM DUAS BATERIAS DEWALT DCF922D2-BR</v>
      </c>
      <c r="G55" s="34" t="str">
        <f aca="false">'Uso e Consumo'!J55</f>
        <v>UN</v>
      </c>
      <c r="H55" s="49" t="n">
        <f aca="false">'Uso e Consumo'!F55</f>
        <v>12</v>
      </c>
      <c r="I55" s="35" t="n">
        <f aca="false">'Uso e Consumo'!G55</f>
        <v>34452</v>
      </c>
      <c r="J55" s="34" t="str">
        <f aca="false">'Uso e Consumo'!M55</f>
        <v>3.8.2.003 - Ferramentas elétricas/pneumáticas</v>
      </c>
      <c r="K55" s="32" t="str">
        <f aca="false">INDEX('Curva ABC'!$K$8:$K$2847,MATCH(D55,'Curva ABC'!$B$8:$B$2847,0))</f>
        <v>A</v>
      </c>
    </row>
    <row r="56" customFormat="false" ht="15" hidden="false" customHeight="false" outlineLevel="0" collapsed="false">
      <c r="A56" s="34" t="s">
        <v>5799</v>
      </c>
      <c r="B56" s="34" t="str">
        <f aca="false">'Uso e Consumo'!A56</f>
        <v>0335</v>
      </c>
      <c r="C56" s="34" t="str">
        <f aca="false">'Uso e Consumo'!B56</f>
        <v>UFV NORONHA VERDE - USO E CONSUMO</v>
      </c>
      <c r="D56" s="33" t="n">
        <f aca="false">'Uso e Consumo'!C56</f>
        <v>90175</v>
      </c>
      <c r="E56" s="34" t="str">
        <f aca="false">'Uso e Consumo'!D56</f>
        <v>14.08.0004</v>
      </c>
      <c r="F56" s="34" t="str">
        <f aca="false">'Uso e Consumo'!E56</f>
        <v>TENDA 6,00M X 6,00M EM AÇO GALVANIZADO A FOGO ANTI FERRUGEM, PVC 650 GR ANTI FOGO, ANTI ÁCARO, ANTI</v>
      </c>
      <c r="G56" s="34" t="str">
        <f aca="false">'Uso e Consumo'!J56</f>
        <v>UN</v>
      </c>
      <c r="H56" s="49" t="n">
        <f aca="false">'Uso e Consumo'!F56</f>
        <v>6</v>
      </c>
      <c r="I56" s="35" t="n">
        <f aca="false">'Uso e Consumo'!G56</f>
        <v>33800</v>
      </c>
      <c r="J56" s="34" t="str">
        <f aca="false">'Uso e Consumo'!M56</f>
        <v>3.8.1.014 - Cobertura</v>
      </c>
      <c r="K56" s="32" t="str">
        <f aca="false">INDEX('Curva ABC'!$K$8:$K$2847,MATCH(D56,'Curva ABC'!$B$8:$B$2847,0))</f>
        <v>A</v>
      </c>
    </row>
    <row r="57" customFormat="false" ht="15" hidden="false" customHeight="false" outlineLevel="0" collapsed="false">
      <c r="A57" s="34" t="s">
        <v>5799</v>
      </c>
      <c r="B57" s="34" t="str">
        <f aca="false">'Uso e Consumo'!A57</f>
        <v>0335</v>
      </c>
      <c r="C57" s="34" t="str">
        <f aca="false">'Uso e Consumo'!B57</f>
        <v>UFV NORONHA VERDE - USO E CONSUMO</v>
      </c>
      <c r="D57" s="33" t="n">
        <f aca="false">'Uso e Consumo'!C57</f>
        <v>1319426</v>
      </c>
      <c r="E57" s="34" t="str">
        <f aca="false">'Uso e Consumo'!D57</f>
        <v>28.01.0716</v>
      </c>
      <c r="F57" s="34" t="str">
        <f aca="false">'Uso e Consumo'!E57</f>
        <v>PLACA DE SINALIZAÇÃO 80X66CM - CHAPA DE ZINCO - COM CAVALETE</v>
      </c>
      <c r="G57" s="34" t="str">
        <f aca="false">'Uso e Consumo'!J57</f>
        <v>UN</v>
      </c>
      <c r="H57" s="49" t="n">
        <f aca="false">'Uso e Consumo'!F57</f>
        <v>148</v>
      </c>
      <c r="I57" s="35" t="n">
        <f aca="false">'Uso e Consumo'!G57</f>
        <v>33572.32</v>
      </c>
      <c r="J57" s="34" t="str">
        <f aca="false">'Uso e Consumo'!M57</f>
        <v>3.8.1.023 - Comunicação visual e sinalização</v>
      </c>
      <c r="K57" s="32" t="str">
        <f aca="false">INDEX('Curva ABC'!$K$8:$K$2847,MATCH(D57,'Curva ABC'!$B$8:$B$2847,0))</f>
        <v>A</v>
      </c>
    </row>
    <row r="58" customFormat="false" ht="15" hidden="false" customHeight="false" outlineLevel="0" collapsed="false">
      <c r="A58" s="34" t="s">
        <v>5799</v>
      </c>
      <c r="B58" s="34" t="str">
        <f aca="false">'Uso e Consumo'!A58</f>
        <v>0335</v>
      </c>
      <c r="C58" s="34" t="str">
        <f aca="false">'Uso e Consumo'!B58</f>
        <v>UFV NORONHA VERDE - USO E CONSUMO</v>
      </c>
      <c r="D58" s="33" t="n">
        <f aca="false">'Uso e Consumo'!C58</f>
        <v>1661537</v>
      </c>
      <c r="E58" s="34" t="str">
        <f aca="false">'Uso e Consumo'!D58</f>
        <v>01.09.0408</v>
      </c>
      <c r="F58" s="34" t="str">
        <f aca="false">'Uso e Consumo'!E58</f>
        <v>CONJUNTO DE FERRAGENS EM ACO GALVANIZADO PARA SUPORTE DOS CABOS</v>
      </c>
      <c r="G58" s="34" t="str">
        <f aca="false">'Uso e Consumo'!J58</f>
        <v>UN</v>
      </c>
      <c r="H58" s="49" t="n">
        <f aca="false">'Uso e Consumo'!F58</f>
        <v>28</v>
      </c>
      <c r="I58" s="35" t="n">
        <f aca="false">'Uso e Consumo'!G58</f>
        <v>33028.4</v>
      </c>
      <c r="J58" s="34" t="str">
        <f aca="false">'Uso e Consumo'!M58</f>
        <v>3.8.1.001 - Aços e trefilados</v>
      </c>
      <c r="K58" s="32" t="str">
        <f aca="false">INDEX('Curva ABC'!$K$8:$K$2847,MATCH(D58,'Curva ABC'!$B$8:$B$2847,0))</f>
        <v>A</v>
      </c>
    </row>
    <row r="59" customFormat="false" ht="15" hidden="false" customHeight="false" outlineLevel="0" collapsed="false">
      <c r="A59" s="34" t="s">
        <v>5799</v>
      </c>
      <c r="B59" s="34" t="str">
        <f aca="false">'Uso e Consumo'!A59</f>
        <v>0335</v>
      </c>
      <c r="C59" s="34" t="str">
        <f aca="false">'Uso e Consumo'!B59</f>
        <v>UFV NORONHA VERDE - USO E CONSUMO</v>
      </c>
      <c r="D59" s="33" t="n">
        <f aca="false">'Uso e Consumo'!C59</f>
        <v>736181</v>
      </c>
      <c r="E59" s="34" t="str">
        <f aca="false">'Uso e Consumo'!D59</f>
        <v>09.16.0027</v>
      </c>
      <c r="F59" s="34" t="str">
        <f aca="false">'Uso e Consumo'!E59</f>
        <v>MOURÃO RETO PRÉ-MOLDADO DE CONCRETO H=3M</v>
      </c>
      <c r="G59" s="34" t="str">
        <f aca="false">'Uso e Consumo'!J59</f>
        <v>UN</v>
      </c>
      <c r="H59" s="49" t="n">
        <f aca="false">'Uso e Consumo'!F59</f>
        <v>600</v>
      </c>
      <c r="I59" s="35" t="n">
        <f aca="false">'Uso e Consumo'!G59</f>
        <v>32340</v>
      </c>
      <c r="J59" s="34" t="str">
        <f aca="false">'Uso e Consumo'!M59</f>
        <v>3.8.1.009 - Artefatos pré-moldados de concreto</v>
      </c>
      <c r="K59" s="32" t="str">
        <f aca="false">INDEX('Curva ABC'!$K$8:$K$2847,MATCH(D59,'Curva ABC'!$B$8:$B$2847,0))</f>
        <v>A</v>
      </c>
    </row>
    <row r="60" customFormat="false" ht="15" hidden="false" customHeight="false" outlineLevel="0" collapsed="false">
      <c r="A60" s="34" t="s">
        <v>5799</v>
      </c>
      <c r="B60" s="34" t="str">
        <f aca="false">'Uso e Consumo'!A60</f>
        <v>0335</v>
      </c>
      <c r="C60" s="34" t="str">
        <f aca="false">'Uso e Consumo'!B60</f>
        <v>UFV NORONHA VERDE - USO E CONSUMO</v>
      </c>
      <c r="D60" s="33" t="n">
        <f aca="false">'Uso e Consumo'!C60</f>
        <v>1464892</v>
      </c>
      <c r="E60" s="34" t="str">
        <f aca="false">'Uso e Consumo'!D60</f>
        <v>14.02.0060</v>
      </c>
      <c r="F60" s="34" t="str">
        <f aca="false">'Uso e Consumo'!E60</f>
        <v>CUMEEIRA ARTICULADA DE FIBROCIMENTO SEM AMIANTO PARA TELHA CANALETE 49</v>
      </c>
      <c r="G60" s="34" t="str">
        <f aca="false">'Uso e Consumo'!J60</f>
        <v>M</v>
      </c>
      <c r="H60" s="49" t="n">
        <f aca="false">'Uso e Consumo'!F60</f>
        <v>35.16</v>
      </c>
      <c r="I60" s="35" t="n">
        <f aca="false">'Uso e Consumo'!G60</f>
        <v>31992.75</v>
      </c>
      <c r="J60" s="34" t="str">
        <f aca="false">'Uso e Consumo'!M60</f>
        <v>3.8.1.014 - Cobertura</v>
      </c>
      <c r="K60" s="32" t="str">
        <f aca="false">INDEX('Curva ABC'!$K$8:$K$2847,MATCH(D60,'Curva ABC'!$B$8:$B$2847,0))</f>
        <v>A</v>
      </c>
    </row>
    <row r="61" customFormat="false" ht="15" hidden="false" customHeight="false" outlineLevel="0" collapsed="false">
      <c r="A61" s="34" t="s">
        <v>5799</v>
      </c>
      <c r="B61" s="34" t="str">
        <f aca="false">'Uso e Consumo'!A61</f>
        <v>0335</v>
      </c>
      <c r="C61" s="34" t="str">
        <f aca="false">'Uso e Consumo'!B61</f>
        <v>UFV NORONHA VERDE - USO E CONSUMO</v>
      </c>
      <c r="D61" s="33" t="n">
        <f aca="false">'Uso e Consumo'!C61</f>
        <v>425639</v>
      </c>
      <c r="E61" s="34" t="str">
        <f aca="false">'Uso e Consumo'!D61</f>
        <v>06.01.0065</v>
      </c>
      <c r="F61" s="34" t="str">
        <f aca="false">'Uso e Consumo'!E61</f>
        <v>ADITIVO REDUTOR DE ÁGUA (Sika® Plastocrete®-100 RM) NBR 11768</v>
      </c>
      <c r="G61" s="34" t="str">
        <f aca="false">'Uso e Consumo'!J61</f>
        <v>L</v>
      </c>
      <c r="H61" s="49" t="n">
        <f aca="false">'Uso e Consumo'!F61</f>
        <v>4917.06</v>
      </c>
      <c r="I61" s="35" t="n">
        <f aca="false">'Uso e Consumo'!G61</f>
        <v>29618.691</v>
      </c>
      <c r="J61" s="34" t="str">
        <f aca="false">'Uso e Consumo'!M61</f>
        <v>3.8.1.006 - Aditivos e produtos químicos</v>
      </c>
      <c r="K61" s="32" t="str">
        <f aca="false">INDEX('Curva ABC'!$K$8:$K$2847,MATCH(D61,'Curva ABC'!$B$8:$B$2847,0))</f>
        <v>A</v>
      </c>
    </row>
    <row r="62" customFormat="false" ht="15" hidden="false" customHeight="false" outlineLevel="0" collapsed="false">
      <c r="A62" s="34" t="s">
        <v>5799</v>
      </c>
      <c r="B62" s="34" t="str">
        <f aca="false">'Uso e Consumo'!A62</f>
        <v>0335</v>
      </c>
      <c r="C62" s="34" t="str">
        <f aca="false">'Uso e Consumo'!B62</f>
        <v>UFV NORONHA VERDE - USO E CONSUMO</v>
      </c>
      <c r="D62" s="33" t="n">
        <f aca="false">'Uso e Consumo'!C62</f>
        <v>844489</v>
      </c>
      <c r="E62" s="34" t="str">
        <f aca="false">'Uso e Consumo'!D62</f>
        <v>34.02.1202</v>
      </c>
      <c r="F62" s="34" t="str">
        <f aca="false">'Uso e Consumo'!E62</f>
        <v>RESERVATÓRIO P/ GASOLINA</v>
      </c>
      <c r="G62" s="34" t="str">
        <f aca="false">'Uso e Consumo'!J62</f>
        <v>UN</v>
      </c>
      <c r="H62" s="49" t="n">
        <f aca="false">'Uso e Consumo'!F62</f>
        <v>8</v>
      </c>
      <c r="I62" s="35" t="n">
        <f aca="false">'Uso e Consumo'!G62</f>
        <v>29184</v>
      </c>
      <c r="J62" s="34" t="str">
        <f aca="false">'Uso e Consumo'!M62</f>
        <v>3.1.6.002 - Pneus e peças</v>
      </c>
      <c r="K62" s="32" t="str">
        <f aca="false">INDEX('Curva ABC'!$K$8:$K$2847,MATCH(D62,'Curva ABC'!$B$8:$B$2847,0))</f>
        <v>A</v>
      </c>
    </row>
    <row r="63" customFormat="false" ht="15" hidden="false" customHeight="false" outlineLevel="0" collapsed="false">
      <c r="A63" s="34" t="s">
        <v>5799</v>
      </c>
      <c r="B63" s="34" t="str">
        <f aca="false">'Uso e Consumo'!A63</f>
        <v>0335</v>
      </c>
      <c r="C63" s="34" t="str">
        <f aca="false">'Uso e Consumo'!B63</f>
        <v>UFV NORONHA VERDE - USO E CONSUMO</v>
      </c>
      <c r="D63" s="33" t="n">
        <f aca="false">'Uso e Consumo'!C63</f>
        <v>1464213</v>
      </c>
      <c r="E63" s="34" t="str">
        <f aca="false">'Uso e Consumo'!D63</f>
        <v>10.08.0015</v>
      </c>
      <c r="F63" s="34" t="str">
        <f aca="false">'Uso e Consumo'!E63</f>
        <v>PISO ELEVADO METÁLICO COM LONGARINAS, PEDESTAIS REGULÁVEIS E ACABAMENTO VINÍLICO 600MM×600MMX30MM</v>
      </c>
      <c r="G63" s="34" t="str">
        <f aca="false">'Uso e Consumo'!J63</f>
        <v>M2</v>
      </c>
      <c r="H63" s="49" t="n">
        <f aca="false">'Uso e Consumo'!F63</f>
        <v>54.96</v>
      </c>
      <c r="I63" s="35" t="n">
        <f aca="false">'Uso e Consumo'!G63</f>
        <v>29053.2</v>
      </c>
      <c r="J63" s="34" t="str">
        <f aca="false">'Uso e Consumo'!M63</f>
        <v>3.8.1.010 - Revestimentos e pisos</v>
      </c>
      <c r="K63" s="32" t="str">
        <f aca="false">INDEX('Curva ABC'!$K$8:$K$2847,MATCH(D63,'Curva ABC'!$B$8:$B$2847,0))</f>
        <v>A</v>
      </c>
    </row>
    <row r="64" customFormat="false" ht="15" hidden="false" customHeight="false" outlineLevel="0" collapsed="false">
      <c r="A64" s="34" t="s">
        <v>5799</v>
      </c>
      <c r="B64" s="34" t="str">
        <f aca="false">'Uso e Consumo'!A64</f>
        <v>0335</v>
      </c>
      <c r="C64" s="34" t="str">
        <f aca="false">'Uso e Consumo'!B64</f>
        <v>UFV NORONHA VERDE - USO E CONSUMO</v>
      </c>
      <c r="D64" s="33" t="n">
        <f aca="false">'Uso e Consumo'!C64</f>
        <v>854325</v>
      </c>
      <c r="E64" s="34" t="str">
        <f aca="false">'Uso e Consumo'!D64</f>
        <v>15.03.0067</v>
      </c>
      <c r="F64" s="34" t="str">
        <f aca="false">'Uso e Consumo'!E64</f>
        <v>ADITIVO SIKA SIKAPLAST 950 FLOOR</v>
      </c>
      <c r="G64" s="34" t="str">
        <f aca="false">'Uso e Consumo'!J64</f>
        <v>L</v>
      </c>
      <c r="H64" s="49" t="n">
        <f aca="false">'Uso e Consumo'!F64</f>
        <v>1630.91</v>
      </c>
      <c r="I64" s="35" t="n">
        <f aca="false">'Uso e Consumo'!G64</f>
        <v>28421.3132</v>
      </c>
      <c r="J64" s="34" t="str">
        <f aca="false">'Uso e Consumo'!M64</f>
        <v>3.8.1.015 - Impermeabilizantes</v>
      </c>
      <c r="K64" s="32" t="str">
        <f aca="false">INDEX('Curva ABC'!$K$8:$K$2847,MATCH(D64,'Curva ABC'!$B$8:$B$2847,0))</f>
        <v>A</v>
      </c>
    </row>
    <row r="65" customFormat="false" ht="15" hidden="false" customHeight="false" outlineLevel="0" collapsed="false">
      <c r="A65" s="34" t="s">
        <v>5799</v>
      </c>
      <c r="B65" s="34" t="str">
        <f aca="false">'Uso e Consumo'!A65</f>
        <v>0335</v>
      </c>
      <c r="C65" s="34" t="str">
        <f aca="false">'Uso e Consumo'!B65</f>
        <v>UFV NORONHA VERDE - USO E CONSUMO</v>
      </c>
      <c r="D65" s="33" t="n">
        <f aca="false">'Uso e Consumo'!C65</f>
        <v>21580</v>
      </c>
      <c r="E65" s="34" t="str">
        <f aca="false">'Uso e Consumo'!D65</f>
        <v>17.20.0036</v>
      </c>
      <c r="F65" s="34" t="str">
        <f aca="false">'Uso e Consumo'!E65</f>
        <v>HASTE DE COBRE PARA ATERRAMENTO Ø 3/4" MM X 3,00M</v>
      </c>
      <c r="G65" s="34" t="str">
        <f aca="false">'Uso e Consumo'!J65</f>
        <v>UN</v>
      </c>
      <c r="H65" s="49" t="n">
        <f aca="false">'Uso e Consumo'!F65</f>
        <v>148</v>
      </c>
      <c r="I65" s="35" t="n">
        <f aca="false">'Uso e Consumo'!G65</f>
        <v>28355.2</v>
      </c>
      <c r="J65" s="34" t="str">
        <f aca="false">'Uso e Consumo'!M65</f>
        <v>3.8.1.017 - Instalações elétricas/telefônicas/lógica</v>
      </c>
      <c r="K65" s="32" t="str">
        <f aca="false">INDEX('Curva ABC'!$K$8:$K$2847,MATCH(D65,'Curva ABC'!$B$8:$B$2847,0))</f>
        <v>A</v>
      </c>
    </row>
    <row r="66" customFormat="false" ht="15" hidden="false" customHeight="false" outlineLevel="0" collapsed="false">
      <c r="A66" s="34" t="s">
        <v>5799</v>
      </c>
      <c r="B66" s="34" t="str">
        <f aca="false">'Uso e Consumo'!A66</f>
        <v>0335</v>
      </c>
      <c r="C66" s="34" t="str">
        <f aca="false">'Uso e Consumo'!B66</f>
        <v>UFV NORONHA VERDE - USO E CONSUMO</v>
      </c>
      <c r="D66" s="33" t="n">
        <f aca="false">'Uso e Consumo'!C66</f>
        <v>30886</v>
      </c>
      <c r="E66" s="34" t="str">
        <f aca="false">'Uso e Consumo'!D66</f>
        <v>17.02.0022</v>
      </c>
      <c r="F66" s="34" t="str">
        <f aca="false">'Uso e Consumo'!E66</f>
        <v>ELETRODUTO PEAD 50,00MM (1.1/2") X 50,00M  NBR 15715</v>
      </c>
      <c r="G66" s="34" t="str">
        <f aca="false">'Uso e Consumo'!J66</f>
        <v>M</v>
      </c>
      <c r="H66" s="49" t="n">
        <f aca="false">'Uso e Consumo'!F66</f>
        <v>3425</v>
      </c>
      <c r="I66" s="35" t="n">
        <f aca="false">'Uso e Consumo'!G66</f>
        <v>27448.25</v>
      </c>
      <c r="J66" s="34" t="str">
        <f aca="false">'Uso e Consumo'!M66</f>
        <v>3.8.1.017 - Instalações elétricas/telefônicas/lógica</v>
      </c>
      <c r="K66" s="32" t="str">
        <f aca="false">INDEX('Curva ABC'!$K$8:$K$2847,MATCH(D66,'Curva ABC'!$B$8:$B$2847,0))</f>
        <v>A</v>
      </c>
    </row>
    <row r="67" customFormat="false" ht="15" hidden="false" customHeight="false" outlineLevel="0" collapsed="false">
      <c r="A67" s="34" t="s">
        <v>5799</v>
      </c>
      <c r="B67" s="34" t="str">
        <f aca="false">'Uso e Consumo'!A67</f>
        <v>0335</v>
      </c>
      <c r="C67" s="34" t="str">
        <f aca="false">'Uso e Consumo'!B67</f>
        <v>UFV NORONHA VERDE - USO E CONSUMO</v>
      </c>
      <c r="D67" s="33" t="n">
        <f aca="false">'Uso e Consumo'!C67</f>
        <v>12100</v>
      </c>
      <c r="E67" s="34" t="str">
        <f aca="false">'Uso e Consumo'!D67</f>
        <v>17.01.0187</v>
      </c>
      <c r="F67" s="34" t="str">
        <f aca="false">'Uso e Consumo'!E67</f>
        <v>CABO ELETRICO FLEXIVEL 0,6/1KV 1 X 10,00MM2 COBRE PVC CLASSE 5 VERDE NBR 7288</v>
      </c>
      <c r="G67" s="34" t="str">
        <f aca="false">'Uso e Consumo'!J67</f>
        <v>M</v>
      </c>
      <c r="H67" s="49" t="n">
        <f aca="false">'Uso e Consumo'!F67</f>
        <v>2000</v>
      </c>
      <c r="I67" s="35" t="n">
        <f aca="false">'Uso e Consumo'!G67</f>
        <v>27200</v>
      </c>
      <c r="J67" s="34" t="str">
        <f aca="false">'Uso e Consumo'!M67</f>
        <v>3.8.1.017 - Instalações elétricas/telefônicas/lógica</v>
      </c>
      <c r="K67" s="32" t="str">
        <f aca="false">INDEX('Curva ABC'!$K$8:$K$2847,MATCH(D67,'Curva ABC'!$B$8:$B$2847,0))</f>
        <v>A</v>
      </c>
    </row>
    <row r="68" customFormat="false" ht="15" hidden="false" customHeight="false" outlineLevel="0" collapsed="false">
      <c r="A68" s="34" t="s">
        <v>5799</v>
      </c>
      <c r="B68" s="34" t="str">
        <f aca="false">'Uso e Consumo'!A68</f>
        <v>0335</v>
      </c>
      <c r="C68" s="34" t="str">
        <f aca="false">'Uso e Consumo'!B68</f>
        <v>UFV NORONHA VERDE - USO E CONSUMO</v>
      </c>
      <c r="D68" s="33" t="n">
        <f aca="false">'Uso e Consumo'!C68</f>
        <v>389169</v>
      </c>
      <c r="E68" s="34" t="str">
        <f aca="false">'Uso e Consumo'!D68</f>
        <v>26.01.0062</v>
      </c>
      <c r="F68" s="34" t="str">
        <f aca="false">'Uso e Consumo'!E68</f>
        <v>UNIFORME ELETRICISTA - VESTIMENTA DE SEGURANÇA NR10 (CALÇA E CAMISA) - ATPV 11,3 CAL/CM² TAMANHO G</v>
      </c>
      <c r="G68" s="34" t="str">
        <f aca="false">'Uso e Consumo'!J68</f>
        <v>UN</v>
      </c>
      <c r="H68" s="49" t="n">
        <f aca="false">'Uso e Consumo'!F68</f>
        <v>90</v>
      </c>
      <c r="I68" s="35" t="n">
        <f aca="false">'Uso e Consumo'!G68</f>
        <v>26800</v>
      </c>
      <c r="J68" s="34" t="str">
        <f aca="false">'Uso e Consumo'!M68</f>
        <v>4.3.4.001 - Equipamento de proteção individual</v>
      </c>
      <c r="K68" s="32" t="str">
        <f aca="false">INDEX('Curva ABC'!$K$8:$K$2847,MATCH(D68,'Curva ABC'!$B$8:$B$2847,0))</f>
        <v>A</v>
      </c>
    </row>
    <row r="69" customFormat="false" ht="15" hidden="false" customHeight="false" outlineLevel="0" collapsed="false">
      <c r="A69" s="34" t="s">
        <v>5799</v>
      </c>
      <c r="B69" s="34" t="str">
        <f aca="false">'Uso e Consumo'!A69</f>
        <v>0335</v>
      </c>
      <c r="C69" s="34" t="str">
        <f aca="false">'Uso e Consumo'!B69</f>
        <v>UFV NORONHA VERDE - USO E CONSUMO</v>
      </c>
      <c r="D69" s="33" t="n">
        <f aca="false">'Uso e Consumo'!C69</f>
        <v>59249</v>
      </c>
      <c r="E69" s="34" t="str">
        <f aca="false">'Uso e Consumo'!D69</f>
        <v>18.01.0912</v>
      </c>
      <c r="F69" s="34" t="str">
        <f aca="false">'Uso e Consumo'!E69</f>
        <v>TUBO PEAD PARA DRENAGEM DI 1200MM DNIT 094</v>
      </c>
      <c r="G69" s="34" t="str">
        <f aca="false">'Uso e Consumo'!J69</f>
        <v>M</v>
      </c>
      <c r="H69" s="49" t="n">
        <f aca="false">'Uso e Consumo'!F69</f>
        <v>30</v>
      </c>
      <c r="I69" s="35" t="n">
        <f aca="false">'Uso e Consumo'!G69</f>
        <v>26672.89</v>
      </c>
      <c r="J69" s="34" t="str">
        <f aca="false">'Uso e Consumo'!M69</f>
        <v>3.8.1.018 - Instalações hidráulicas/sanitárias/industriais</v>
      </c>
      <c r="K69" s="32" t="str">
        <f aca="false">INDEX('Curva ABC'!$K$8:$K$2847,MATCH(D69,'Curva ABC'!$B$8:$B$2847,0))</f>
        <v>A</v>
      </c>
    </row>
    <row r="70" customFormat="false" ht="15" hidden="false" customHeight="false" outlineLevel="0" collapsed="false">
      <c r="A70" s="34" t="s">
        <v>5799</v>
      </c>
      <c r="B70" s="34" t="str">
        <f aca="false">'Uso e Consumo'!A70</f>
        <v>0335</v>
      </c>
      <c r="C70" s="34" t="str">
        <f aca="false">'Uso e Consumo'!B70</f>
        <v>UFV NORONHA VERDE - USO E CONSUMO</v>
      </c>
      <c r="D70" s="33" t="n">
        <f aca="false">'Uso e Consumo'!C70</f>
        <v>1463583</v>
      </c>
      <c r="E70" s="34" t="str">
        <f aca="false">'Uso e Consumo'!D70</f>
        <v>17.01.1232</v>
      </c>
      <c r="F70" s="34" t="str">
        <f aca="false">'Uso e Consumo'!E70</f>
        <v>CABO ELETRICO FLEXIVEL 0,6/1KV 1 X 25,00MM2 COBRE PVC CLASSE 5 VERDE NBR 7288</v>
      </c>
      <c r="G70" s="34" t="str">
        <f aca="false">'Uso e Consumo'!J70</f>
        <v>M</v>
      </c>
      <c r="H70" s="49" t="n">
        <f aca="false">'Uso e Consumo'!F70</f>
        <v>1164.29</v>
      </c>
      <c r="I70" s="35" t="n">
        <f aca="false">'Uso e Consumo'!G70</f>
        <v>25905.72</v>
      </c>
      <c r="J70" s="34" t="str">
        <f aca="false">'Uso e Consumo'!M70</f>
        <v>3.8.1.017 - Instalações elétricas/telefônicas/lógica</v>
      </c>
      <c r="K70" s="32" t="str">
        <f aca="false">INDEX('Curva ABC'!$K$8:$K$2847,MATCH(D70,'Curva ABC'!$B$8:$B$2847,0))</f>
        <v>A</v>
      </c>
    </row>
    <row r="71" customFormat="false" ht="15" hidden="false" customHeight="false" outlineLevel="0" collapsed="false">
      <c r="A71" s="34" t="s">
        <v>5799</v>
      </c>
      <c r="B71" s="34" t="str">
        <f aca="false">'Uso e Consumo'!A71</f>
        <v>0335</v>
      </c>
      <c r="C71" s="34" t="str">
        <f aca="false">'Uso e Consumo'!B71</f>
        <v>UFV NORONHA VERDE - USO E CONSUMO</v>
      </c>
      <c r="D71" s="33" t="n">
        <f aca="false">'Uso e Consumo'!C71</f>
        <v>730656</v>
      </c>
      <c r="E71" s="34" t="str">
        <f aca="false">'Uso e Consumo'!D71</f>
        <v>05.01.0039</v>
      </c>
      <c r="F71" s="34" t="str">
        <f aca="false">'Uso e Consumo'!E71</f>
        <v>CIMENTO PORTLAND CP II (50KG)</v>
      </c>
      <c r="G71" s="34" t="str">
        <f aca="false">'Uso e Consumo'!J71</f>
        <v>KG</v>
      </c>
      <c r="H71" s="49" t="n">
        <f aca="false">'Uso e Consumo'!F71</f>
        <v>32000</v>
      </c>
      <c r="I71" s="35" t="n">
        <f aca="false">'Uso e Consumo'!G71</f>
        <v>25523.416</v>
      </c>
      <c r="J71" s="34" t="str">
        <f aca="false">'Uso e Consumo'!M71</f>
        <v>3.8.1.005 - Aglomerante</v>
      </c>
      <c r="K71" s="32" t="str">
        <f aca="false">INDEX('Curva ABC'!$K$8:$K$2847,MATCH(D71,'Curva ABC'!$B$8:$B$2847,0))</f>
        <v>A</v>
      </c>
    </row>
    <row r="72" customFormat="false" ht="15" hidden="false" customHeight="false" outlineLevel="0" collapsed="false">
      <c r="A72" s="34" t="s">
        <v>5799</v>
      </c>
      <c r="B72" s="34" t="str">
        <f aca="false">'Uso e Consumo'!A72</f>
        <v>0335</v>
      </c>
      <c r="C72" s="34" t="str">
        <f aca="false">'Uso e Consumo'!B72</f>
        <v>UFV NORONHA VERDE - USO E CONSUMO</v>
      </c>
      <c r="D72" s="33" t="n">
        <f aca="false">'Uso e Consumo'!C72</f>
        <v>219688</v>
      </c>
      <c r="E72" s="34" t="str">
        <f aca="false">'Uso e Consumo'!D72</f>
        <v>17.20.0235</v>
      </c>
      <c r="F72" s="34" t="str">
        <f aca="false">'Uso e Consumo'!E72</f>
        <v>FERRAGEM PARA PARA-RAIO</v>
      </c>
      <c r="G72" s="34" t="str">
        <f aca="false">'Uso e Consumo'!J72</f>
        <v>UN</v>
      </c>
      <c r="H72" s="49" t="n">
        <f aca="false">'Uso e Consumo'!F72</f>
        <v>7</v>
      </c>
      <c r="I72" s="35" t="n">
        <f aca="false">'Uso e Consumo'!G72</f>
        <v>25430.3</v>
      </c>
      <c r="J72" s="34" t="str">
        <f aca="false">'Uso e Consumo'!M72</f>
        <v>3.8.1.017 - Instalações elétricas/telefônicas/lógica</v>
      </c>
      <c r="K72" s="32" t="str">
        <f aca="false">INDEX('Curva ABC'!$K$8:$K$2847,MATCH(D72,'Curva ABC'!$B$8:$B$2847,0))</f>
        <v>A</v>
      </c>
    </row>
    <row r="73" customFormat="false" ht="15" hidden="false" customHeight="false" outlineLevel="0" collapsed="false">
      <c r="A73" s="34" t="s">
        <v>5799</v>
      </c>
      <c r="B73" s="34" t="str">
        <f aca="false">'Uso e Consumo'!A73</f>
        <v>0335</v>
      </c>
      <c r="C73" s="34" t="str">
        <f aca="false">'Uso e Consumo'!B73</f>
        <v>UFV NORONHA VERDE - USO E CONSUMO</v>
      </c>
      <c r="D73" s="33" t="n">
        <f aca="false">'Uso e Consumo'!C73</f>
        <v>19959</v>
      </c>
      <c r="E73" s="34" t="str">
        <f aca="false">'Uso e Consumo'!D73</f>
        <v>32.08.0005</v>
      </c>
      <c r="F73" s="34" t="str">
        <f aca="false">'Uso e Consumo'!E73</f>
        <v>TRANSFORMADOR TRIFÁSICO 112,5KVA 13800V  -  380/220V 60HZ</v>
      </c>
      <c r="G73" s="34" t="str">
        <f aca="false">'Uso e Consumo'!J73</f>
        <v>UN</v>
      </c>
      <c r="H73" s="49" t="n">
        <f aca="false">'Uso e Consumo'!F73</f>
        <v>1</v>
      </c>
      <c r="I73" s="35" t="n">
        <f aca="false">'Uso e Consumo'!G73</f>
        <v>25180</v>
      </c>
      <c r="J73" s="34" t="str">
        <f aca="false">'Uso e Consumo'!M73</f>
        <v>6.1.2.001 - Equipamentos</v>
      </c>
      <c r="K73" s="32" t="str">
        <f aca="false">INDEX('Curva ABC'!$K$8:$K$2847,MATCH(D73,'Curva ABC'!$B$8:$B$2847,0))</f>
        <v>A</v>
      </c>
    </row>
    <row r="74" customFormat="false" ht="15" hidden="false" customHeight="false" outlineLevel="0" collapsed="false">
      <c r="A74" s="34" t="s">
        <v>5799</v>
      </c>
      <c r="B74" s="34" t="str">
        <f aca="false">'Uso e Consumo'!A74</f>
        <v>0335</v>
      </c>
      <c r="C74" s="34" t="str">
        <f aca="false">'Uso e Consumo'!B74</f>
        <v>UFV NORONHA VERDE - USO E CONSUMO</v>
      </c>
      <c r="D74" s="33" t="n">
        <f aca="false">'Uso e Consumo'!C74</f>
        <v>1382972</v>
      </c>
      <c r="E74" s="34" t="str">
        <f aca="false">'Uso e Consumo'!D74</f>
        <v>17.02.0852</v>
      </c>
      <c r="F74" s="34" t="str">
        <f aca="false">'Uso e Consumo'!E74</f>
        <v>CHAVE SECCIONADORA MONOPOLAR 15 KV - 630 A</v>
      </c>
      <c r="G74" s="34" t="str">
        <f aca="false">'Uso e Consumo'!J74</f>
        <v>UN</v>
      </c>
      <c r="H74" s="49" t="n">
        <f aca="false">'Uso e Consumo'!F74</f>
        <v>21</v>
      </c>
      <c r="I74" s="35" t="n">
        <f aca="false">'Uso e Consumo'!G74</f>
        <v>24730.63</v>
      </c>
      <c r="J74" s="34" t="str">
        <f aca="false">'Uso e Consumo'!M74</f>
        <v>3.8.1.017 - Instalações elétricas/telefônicas/lógica</v>
      </c>
      <c r="K74" s="32" t="str">
        <f aca="false">INDEX('Curva ABC'!$K$8:$K$2847,MATCH(D74,'Curva ABC'!$B$8:$B$2847,0))</f>
        <v>A</v>
      </c>
    </row>
    <row r="75" customFormat="false" ht="15" hidden="false" customHeight="false" outlineLevel="0" collapsed="false">
      <c r="A75" s="34" t="s">
        <v>5799</v>
      </c>
      <c r="B75" s="34" t="str">
        <f aca="false">'Uso e Consumo'!A75</f>
        <v>0335</v>
      </c>
      <c r="C75" s="34" t="str">
        <f aca="false">'Uso e Consumo'!B75</f>
        <v>UFV NORONHA VERDE - USO E CONSUMO</v>
      </c>
      <c r="D75" s="33" t="n">
        <f aca="false">'Uso e Consumo'!C75</f>
        <v>1318567</v>
      </c>
      <c r="E75" s="34" t="str">
        <f aca="false">'Uso e Consumo'!D75</f>
        <v>25.19.0028</v>
      </c>
      <c r="F75" s="34" t="str">
        <f aca="false">'Uso e Consumo'!E75</f>
        <v>SACO PARA VESTIR PALETE - KIT 50 UND</v>
      </c>
      <c r="G75" s="34" t="str">
        <f aca="false">'Uso e Consumo'!J75</f>
        <v>UN</v>
      </c>
      <c r="H75" s="49" t="n">
        <f aca="false">'Uso e Consumo'!F75</f>
        <v>20</v>
      </c>
      <c r="I75" s="35" t="n">
        <f aca="false">'Uso e Consumo'!G75</f>
        <v>24700</v>
      </c>
      <c r="J75" s="34" t="str">
        <f aca="false">'Uso e Consumo'!M75</f>
        <v>3.8.2.006 - Utensílios</v>
      </c>
      <c r="K75" s="32" t="str">
        <f aca="false">INDEX('Curva ABC'!$K$8:$K$2847,MATCH(D75,'Curva ABC'!$B$8:$B$2847,0))</f>
        <v>A</v>
      </c>
    </row>
    <row r="76" customFormat="false" ht="15" hidden="false" customHeight="false" outlineLevel="0" collapsed="false">
      <c r="A76" s="34" t="s">
        <v>5799</v>
      </c>
      <c r="B76" s="34" t="str">
        <f aca="false">'Uso e Consumo'!A76</f>
        <v>0335</v>
      </c>
      <c r="C76" s="34" t="str">
        <f aca="false">'Uso e Consumo'!B76</f>
        <v>UFV NORONHA VERDE - USO E CONSUMO</v>
      </c>
      <c r="D76" s="33" t="n">
        <f aca="false">'Uso e Consumo'!C76</f>
        <v>1259694</v>
      </c>
      <c r="E76" s="34" t="str">
        <f aca="false">'Uso e Consumo'!D76</f>
        <v>18.02.0728</v>
      </c>
      <c r="F76" s="34" t="str">
        <f aca="false">'Uso e Consumo'!E76</f>
        <v>TUBO QUADRADO 30 X 30 PAREDE 1,2 MM BARRA 6 M</v>
      </c>
      <c r="G76" s="34" t="str">
        <f aca="false">'Uso e Consumo'!J76</f>
        <v>UN</v>
      </c>
      <c r="H76" s="49" t="n">
        <f aca="false">'Uso e Consumo'!F76</f>
        <v>350</v>
      </c>
      <c r="I76" s="35" t="n">
        <f aca="false">'Uso e Consumo'!G76</f>
        <v>24327.9</v>
      </c>
      <c r="J76" s="34" t="str">
        <f aca="false">'Uso e Consumo'!M76</f>
        <v>3.8.1.018 - Instalações hidráulicas/sanitárias/industriais</v>
      </c>
      <c r="K76" s="32" t="str">
        <f aca="false">INDEX('Curva ABC'!$K$8:$K$2847,MATCH(D76,'Curva ABC'!$B$8:$B$2847,0))</f>
        <v>A</v>
      </c>
    </row>
    <row r="77" customFormat="false" ht="15" hidden="false" customHeight="false" outlineLevel="0" collapsed="false">
      <c r="A77" s="34" t="s">
        <v>5799</v>
      </c>
      <c r="B77" s="34" t="str">
        <f aca="false">'Uso e Consumo'!A77</f>
        <v>0335</v>
      </c>
      <c r="C77" s="34" t="str">
        <f aca="false">'Uso e Consumo'!B77</f>
        <v>UFV NORONHA VERDE - USO E CONSUMO</v>
      </c>
      <c r="D77" s="33" t="n">
        <f aca="false">'Uso e Consumo'!C77</f>
        <v>221923</v>
      </c>
      <c r="E77" s="34" t="str">
        <f aca="false">'Uso e Consumo'!D77</f>
        <v>17.02.0325</v>
      </c>
      <c r="F77" s="34" t="str">
        <f aca="false">'Uso e Consumo'!E77</f>
        <v>ELETRODUTO PEAD CORRUGADO DE 40MM</v>
      </c>
      <c r="G77" s="34" t="str">
        <f aca="false">'Uso e Consumo'!J77</f>
        <v>M</v>
      </c>
      <c r="H77" s="49" t="n">
        <f aca="false">'Uso e Consumo'!F77</f>
        <v>3550</v>
      </c>
      <c r="I77" s="35" t="n">
        <f aca="false">'Uso e Consumo'!G77</f>
        <v>24104.5</v>
      </c>
      <c r="J77" s="34" t="str">
        <f aca="false">'Uso e Consumo'!M77</f>
        <v>3.8.1.017 - Instalações elétricas/telefônicas/lógica</v>
      </c>
      <c r="K77" s="32" t="str">
        <f aca="false">INDEX('Curva ABC'!$K$8:$K$2847,MATCH(D77,'Curva ABC'!$B$8:$B$2847,0))</f>
        <v>A</v>
      </c>
    </row>
    <row r="78" customFormat="false" ht="15" hidden="false" customHeight="false" outlineLevel="0" collapsed="false">
      <c r="A78" s="34" t="s">
        <v>5799</v>
      </c>
      <c r="B78" s="34" t="str">
        <f aca="false">'Uso e Consumo'!A78</f>
        <v>0335</v>
      </c>
      <c r="C78" s="34" t="str">
        <f aca="false">'Uso e Consumo'!B78</f>
        <v>UFV NORONHA VERDE - USO E CONSUMO</v>
      </c>
      <c r="D78" s="33" t="n">
        <f aca="false">'Uso e Consumo'!C78</f>
        <v>1261451</v>
      </c>
      <c r="E78" s="34" t="str">
        <f aca="false">'Uso e Consumo'!D78</f>
        <v>32.08.0083</v>
      </c>
      <c r="F78" s="34" t="str">
        <f aca="false">'Uso e Consumo'!E78</f>
        <v>TRANSFORMADOR TRIFÁSICO DE POTÊNCIA EM MÉDIA TENSÃO PARA INSTALAÇÃO AO TEMPO, A ÓLEO, 13.800-380/220V, 60HZ, POTÊNCIA NO</v>
      </c>
      <c r="G78" s="34" t="str">
        <f aca="false">'Uso e Consumo'!J78</f>
        <v>UN</v>
      </c>
      <c r="H78" s="49" t="n">
        <f aca="false">'Uso e Consumo'!F78</f>
        <v>1</v>
      </c>
      <c r="I78" s="35" t="n">
        <f aca="false">'Uso e Consumo'!G78</f>
        <v>23400</v>
      </c>
      <c r="J78" s="34" t="str">
        <f aca="false">'Uso e Consumo'!M78</f>
        <v>6.1.2.001 - Equipamentos</v>
      </c>
      <c r="K78" s="32" t="str">
        <f aca="false">INDEX('Curva ABC'!$K$8:$K$2847,MATCH(D78,'Curva ABC'!$B$8:$B$2847,0))</f>
        <v>A</v>
      </c>
    </row>
    <row r="79" customFormat="false" ht="15" hidden="false" customHeight="false" outlineLevel="0" collapsed="false">
      <c r="A79" s="34" t="s">
        <v>5799</v>
      </c>
      <c r="B79" s="34" t="str">
        <f aca="false">'Uso e Consumo'!A79</f>
        <v>0335</v>
      </c>
      <c r="C79" s="34" t="str">
        <f aca="false">'Uso e Consumo'!B79</f>
        <v>UFV NORONHA VERDE - USO E CONSUMO</v>
      </c>
      <c r="D79" s="33" t="n">
        <f aca="false">'Uso e Consumo'!C79</f>
        <v>1384697</v>
      </c>
      <c r="E79" s="34" t="str">
        <f aca="false">'Uso e Consumo'!D79</f>
        <v>09.21.0413</v>
      </c>
      <c r="F79" s="34" t="str">
        <f aca="false">'Uso e Consumo'!E79</f>
        <v>POSTE DE CONCRETO SEÇÃO DUPLO “T”, ALTURA TOTAL IGUAL A 11,00 M, RESISTÊNCIA NOMINAL IGUAL A 1.500 KG, 1,70M ENGASTADO </v>
      </c>
      <c r="G79" s="34" t="str">
        <f aca="false">'Uso e Consumo'!J79</f>
        <v>UN</v>
      </c>
      <c r="H79" s="49" t="n">
        <f aca="false">'Uso e Consumo'!F79</f>
        <v>8</v>
      </c>
      <c r="I79" s="35" t="n">
        <f aca="false">'Uso e Consumo'!G79</f>
        <v>23141.44</v>
      </c>
      <c r="J79" s="34" t="str">
        <f aca="false">'Uso e Consumo'!M79</f>
        <v>3.8.1.009 - Artefatos pré-moldados de concreto</v>
      </c>
      <c r="K79" s="32" t="str">
        <f aca="false">INDEX('Curva ABC'!$K$8:$K$2847,MATCH(D79,'Curva ABC'!$B$8:$B$2847,0))</f>
        <v>A</v>
      </c>
    </row>
    <row r="80" customFormat="false" ht="15" hidden="false" customHeight="false" outlineLevel="0" collapsed="false">
      <c r="A80" s="34" t="s">
        <v>5799</v>
      </c>
      <c r="B80" s="34" t="str">
        <f aca="false">'Uso e Consumo'!A80</f>
        <v>0335</v>
      </c>
      <c r="C80" s="34" t="str">
        <f aca="false">'Uso e Consumo'!B80</f>
        <v>UFV NORONHA VERDE - USO E CONSUMO</v>
      </c>
      <c r="D80" s="33" t="n">
        <f aca="false">'Uso e Consumo'!C80</f>
        <v>1327823</v>
      </c>
      <c r="E80" s="34" t="str">
        <f aca="false">'Uso e Consumo'!D80</f>
        <v>06.03.0030</v>
      </c>
      <c r="F80" s="34" t="str">
        <f aca="false">'Uso e Consumo'!E80</f>
        <v>MANTA GEOTÊXTIL OP-20 (200G/M²) PARA ENVOLTÓRIA DOS DRENOS</v>
      </c>
      <c r="G80" s="34" t="str">
        <f aca="false">'Uso e Consumo'!J80</f>
        <v>M2</v>
      </c>
      <c r="H80" s="49" t="n">
        <f aca="false">'Uso e Consumo'!F80</f>
        <v>2841.8</v>
      </c>
      <c r="I80" s="35" t="n">
        <f aca="false">'Uso e Consumo'!G80</f>
        <v>23013.32</v>
      </c>
      <c r="J80" s="34" t="str">
        <f aca="false">'Uso e Consumo'!M80</f>
        <v>3.8.1.006 - Aditivos e produtos químicos</v>
      </c>
      <c r="K80" s="32" t="str">
        <f aca="false">INDEX('Curva ABC'!$K$8:$K$2847,MATCH(D80,'Curva ABC'!$B$8:$B$2847,0))</f>
        <v>A</v>
      </c>
    </row>
    <row r="81" customFormat="false" ht="15" hidden="false" customHeight="false" outlineLevel="0" collapsed="false">
      <c r="A81" s="34" t="s">
        <v>5799</v>
      </c>
      <c r="B81" s="34" t="str">
        <f aca="false">'Uso e Consumo'!A81</f>
        <v>0335</v>
      </c>
      <c r="C81" s="34" t="str">
        <f aca="false">'Uso e Consumo'!B81</f>
        <v>UFV NORONHA VERDE - USO E CONSUMO</v>
      </c>
      <c r="D81" s="33" t="n">
        <f aca="false">'Uso e Consumo'!C81</f>
        <v>1607595</v>
      </c>
      <c r="E81" s="34" t="str">
        <f aca="false">'Uso e Consumo'!D81</f>
        <v>17.01.1391</v>
      </c>
      <c r="F81" s="34" t="str">
        <f aca="false">'Uso e Consumo'!E81</f>
        <v>CABO MULTIPLEXADO DE ALUMINIO COM ISOLACAO HEPR 0,6/1KV DE 4X150MM  </v>
      </c>
      <c r="G81" s="34" t="str">
        <f aca="false">'Uso e Consumo'!J81</f>
        <v>M</v>
      </c>
      <c r="H81" s="49" t="n">
        <f aca="false">'Uso e Consumo'!F81</f>
        <v>218</v>
      </c>
      <c r="I81" s="35" t="n">
        <f aca="false">'Uso e Consumo'!G81</f>
        <v>23000</v>
      </c>
      <c r="J81" s="34" t="str">
        <f aca="false">'Uso e Consumo'!M81</f>
        <v>3.8.1.017 - Instalações elétricas/telefônicas/lógica</v>
      </c>
      <c r="K81" s="32" t="str">
        <f aca="false">INDEX('Curva ABC'!$K$8:$K$2847,MATCH(D81,'Curva ABC'!$B$8:$B$2847,0))</f>
        <v>A</v>
      </c>
    </row>
    <row r="82" customFormat="false" ht="15" hidden="false" customHeight="false" outlineLevel="0" collapsed="false">
      <c r="A82" s="34" t="s">
        <v>5799</v>
      </c>
      <c r="B82" s="34" t="str">
        <f aca="false">'Uso e Consumo'!A82</f>
        <v>0335</v>
      </c>
      <c r="C82" s="34" t="str">
        <f aca="false">'Uso e Consumo'!B82</f>
        <v>UFV NORONHA VERDE - USO E CONSUMO</v>
      </c>
      <c r="D82" s="33" t="n">
        <f aca="false">'Uso e Consumo'!C82</f>
        <v>389168</v>
      </c>
      <c r="E82" s="34" t="str">
        <f aca="false">'Uso e Consumo'!D82</f>
        <v>26.01.0061</v>
      </c>
      <c r="F82" s="34" t="str">
        <f aca="false">'Uso e Consumo'!E82</f>
        <v>UNIFORME ELETRICISTA - VESTIMENTA DE SEGURANÇA NR10 (CALÇA E CAMISA) - ATPV 11,3 CAL/CM² TAMANHO M</v>
      </c>
      <c r="G82" s="34" t="str">
        <f aca="false">'Uso e Consumo'!J82</f>
        <v>UN</v>
      </c>
      <c r="H82" s="49" t="n">
        <f aca="false">'Uso e Consumo'!F82</f>
        <v>77</v>
      </c>
      <c r="I82" s="35" t="n">
        <f aca="false">'Uso e Consumo'!G82</f>
        <v>22900</v>
      </c>
      <c r="J82" s="34" t="str">
        <f aca="false">'Uso e Consumo'!M82</f>
        <v>4.3.4.001 - Equipamento de proteção individual</v>
      </c>
      <c r="K82" s="32" t="str">
        <f aca="false">INDEX('Curva ABC'!$K$8:$K$2847,MATCH(D82,'Curva ABC'!$B$8:$B$2847,0))</f>
        <v>A</v>
      </c>
    </row>
    <row r="83" customFormat="false" ht="15" hidden="false" customHeight="false" outlineLevel="0" collapsed="false">
      <c r="A83" s="34" t="s">
        <v>5799</v>
      </c>
      <c r="B83" s="34" t="str">
        <f aca="false">'Uso e Consumo'!A83</f>
        <v>0335</v>
      </c>
      <c r="C83" s="34" t="str">
        <f aca="false">'Uso e Consumo'!B83</f>
        <v>UFV NORONHA VERDE - USO E CONSUMO</v>
      </c>
      <c r="D83" s="33" t="n">
        <f aca="false">'Uso e Consumo'!C83</f>
        <v>291107</v>
      </c>
      <c r="E83" s="34" t="str">
        <f aca="false">'Uso e Consumo'!D83</f>
        <v>06.07.0007</v>
      </c>
      <c r="F83" s="34" t="str">
        <f aca="false">'Uso e Consumo'!E83</f>
        <v>RESINA EPÓXI PARA PROTEÇÃO SUPERFICIAL DE ALTO DESEMPENHO - MC COLOR PROOF VISION 12KG</v>
      </c>
      <c r="G83" s="34" t="str">
        <f aca="false">'Uso e Consumo'!J83</f>
        <v>KG</v>
      </c>
      <c r="H83" s="49" t="n">
        <f aca="false">'Uso e Consumo'!F83</f>
        <v>104</v>
      </c>
      <c r="I83" s="35" t="n">
        <f aca="false">'Uso e Consumo'!G83</f>
        <v>22793.33</v>
      </c>
      <c r="J83" s="34" t="str">
        <f aca="false">'Uso e Consumo'!M83</f>
        <v>3.8.1.006 - Aditivos e produtos químicos</v>
      </c>
      <c r="K83" s="32" t="str">
        <f aca="false">INDEX('Curva ABC'!$K$8:$K$2847,MATCH(D83,'Curva ABC'!$B$8:$B$2847,0))</f>
        <v>A</v>
      </c>
    </row>
    <row r="84" customFormat="false" ht="15" hidden="false" customHeight="false" outlineLevel="0" collapsed="false">
      <c r="A84" s="34" t="s">
        <v>5799</v>
      </c>
      <c r="B84" s="34" t="str">
        <f aca="false">'Uso e Consumo'!A84</f>
        <v>0335</v>
      </c>
      <c r="C84" s="34" t="str">
        <f aca="false">'Uso e Consumo'!B84</f>
        <v>UFV NORONHA VERDE - USO E CONSUMO</v>
      </c>
      <c r="D84" s="33" t="n">
        <f aca="false">'Uso e Consumo'!C84</f>
        <v>1330705</v>
      </c>
      <c r="E84" s="34" t="str">
        <f aca="false">'Uso e Consumo'!D84</f>
        <v>19.02.0015</v>
      </c>
      <c r="F84" s="34" t="str">
        <f aca="false">'Uso e Consumo'!E84</f>
        <v>MICTORIO SEM SIFÃO DE DESCARGA AUTOMÁTICA</v>
      </c>
      <c r="G84" s="34" t="str">
        <f aca="false">'Uso e Consumo'!J84</f>
        <v>UN</v>
      </c>
      <c r="H84" s="49" t="n">
        <f aca="false">'Uso e Consumo'!F84</f>
        <v>53</v>
      </c>
      <c r="I84" s="35" t="n">
        <f aca="false">'Uso e Consumo'!G84</f>
        <v>22660.15</v>
      </c>
      <c r="J84" s="34" t="str">
        <f aca="false">'Uso e Consumo'!M84</f>
        <v>3.8.1.018 - Instalações hidráulicas/sanitárias/industriais</v>
      </c>
      <c r="K84" s="32" t="str">
        <f aca="false">INDEX('Curva ABC'!$K$8:$K$2847,MATCH(D84,'Curva ABC'!$B$8:$B$2847,0))</f>
        <v>A</v>
      </c>
    </row>
    <row r="85" customFormat="false" ht="15" hidden="false" customHeight="false" outlineLevel="0" collapsed="false">
      <c r="A85" s="34" t="s">
        <v>5799</v>
      </c>
      <c r="B85" s="34" t="str">
        <f aca="false">'Uso e Consumo'!A85</f>
        <v>0335</v>
      </c>
      <c r="C85" s="34" t="str">
        <f aca="false">'Uso e Consumo'!B85</f>
        <v>UFV NORONHA VERDE - USO E CONSUMO</v>
      </c>
      <c r="D85" s="33" t="n">
        <f aca="false">'Uso e Consumo'!C85</f>
        <v>221692</v>
      </c>
      <c r="E85" s="34" t="str">
        <f aca="false">'Uso e Consumo'!D85</f>
        <v>17.20.0242</v>
      </c>
      <c r="F85" s="34" t="str">
        <f aca="false">'Uso e Consumo'!E85</f>
        <v>TERMINAL DESCONECTÁVEL BLINDADO CL 36KV, CORPO EM T, C/CONECTOR TERM BIMETÁLICO A COMPR E ADAPTADOR P/CABO AL. 150 MM2</v>
      </c>
      <c r="G85" s="34" t="str">
        <f aca="false">'Uso e Consumo'!J85</f>
        <v>UN</v>
      </c>
      <c r="H85" s="49" t="n">
        <f aca="false">'Uso e Consumo'!F85</f>
        <v>9</v>
      </c>
      <c r="I85" s="35" t="n">
        <f aca="false">'Uso e Consumo'!G85</f>
        <v>22601.82</v>
      </c>
      <c r="J85" s="34" t="str">
        <f aca="false">'Uso e Consumo'!M85</f>
        <v>3.8.1.017 - Instalações elétricas/telefônicas/lógica</v>
      </c>
      <c r="K85" s="32" t="str">
        <f aca="false">INDEX('Curva ABC'!$K$8:$K$2847,MATCH(D85,'Curva ABC'!$B$8:$B$2847,0))</f>
        <v>A</v>
      </c>
    </row>
    <row r="86" customFormat="false" ht="15" hidden="false" customHeight="false" outlineLevel="0" collapsed="false">
      <c r="A86" s="34" t="s">
        <v>5799</v>
      </c>
      <c r="B86" s="34" t="str">
        <f aca="false">'Uso e Consumo'!A86</f>
        <v>0335</v>
      </c>
      <c r="C86" s="34" t="str">
        <f aca="false">'Uso e Consumo'!B86</f>
        <v>UFV NORONHA VERDE - USO E CONSUMO</v>
      </c>
      <c r="D86" s="33" t="n">
        <f aca="false">'Uso e Consumo'!C86</f>
        <v>18960</v>
      </c>
      <c r="E86" s="34" t="str">
        <f aca="false">'Uso e Consumo'!D86</f>
        <v>26.10.0002</v>
      </c>
      <c r="F86" s="34" t="str">
        <f aca="false">'Uso e Consumo'!E86</f>
        <v>PERNEIRA BIDIM (PERNEIRA FLORESTAL) C/ VELCRO (CA-14750/11410/17136)</v>
      </c>
      <c r="G86" s="34" t="str">
        <f aca="false">'Uso e Consumo'!J86</f>
        <v>UN</v>
      </c>
      <c r="H86" s="49" t="n">
        <f aca="false">'Uso e Consumo'!F86</f>
        <v>900</v>
      </c>
      <c r="I86" s="35" t="n">
        <f aca="false">'Uso e Consumo'!G86</f>
        <v>22518</v>
      </c>
      <c r="J86" s="34" t="str">
        <f aca="false">'Uso e Consumo'!M86</f>
        <v>4.3.4.001 - Equipamento de proteção individual</v>
      </c>
      <c r="K86" s="32" t="str">
        <f aca="false">INDEX('Curva ABC'!$K$8:$K$2847,MATCH(D86,'Curva ABC'!$B$8:$B$2847,0))</f>
        <v>A</v>
      </c>
    </row>
    <row r="87" customFormat="false" ht="15" hidden="false" customHeight="false" outlineLevel="0" collapsed="false">
      <c r="A87" s="34" t="s">
        <v>5799</v>
      </c>
      <c r="B87" s="34" t="str">
        <f aca="false">'Uso e Consumo'!A87</f>
        <v>0335</v>
      </c>
      <c r="C87" s="34" t="str">
        <f aca="false">'Uso e Consumo'!B87</f>
        <v>UFV NORONHA VERDE - USO E CONSUMO</v>
      </c>
      <c r="D87" s="33" t="n">
        <f aca="false">'Uso e Consumo'!C87</f>
        <v>49610</v>
      </c>
      <c r="E87" s="34" t="str">
        <f aca="false">'Uso e Consumo'!D87</f>
        <v>18.01.0827</v>
      </c>
      <c r="F87" s="34" t="str">
        <f aca="false">'Uso e Consumo'!E87</f>
        <v>TUBO PEAD PARA DRENAGEM 600MM X 6,00M DNIT 094</v>
      </c>
      <c r="G87" s="34" t="str">
        <f aca="false">'Uso e Consumo'!J87</f>
        <v>UN</v>
      </c>
      <c r="H87" s="49" t="n">
        <f aca="false">'Uso e Consumo'!F87</f>
        <v>7</v>
      </c>
      <c r="I87" s="35" t="n">
        <f aca="false">'Uso e Consumo'!G87</f>
        <v>22400</v>
      </c>
      <c r="J87" s="34" t="str">
        <f aca="false">'Uso e Consumo'!M87</f>
        <v>3.8.1.018 - Instalações hidráulicas/sanitárias/industriais</v>
      </c>
      <c r="K87" s="32" t="str">
        <f aca="false">INDEX('Curva ABC'!$K$8:$K$2847,MATCH(D87,'Curva ABC'!$B$8:$B$2847,0))</f>
        <v>A</v>
      </c>
    </row>
    <row r="88" customFormat="false" ht="15" hidden="false" customHeight="false" outlineLevel="0" collapsed="false">
      <c r="A88" s="34" t="s">
        <v>5799</v>
      </c>
      <c r="B88" s="34" t="str">
        <f aca="false">'Uso e Consumo'!A88</f>
        <v>0335</v>
      </c>
      <c r="C88" s="34" t="str">
        <f aca="false">'Uso e Consumo'!B88</f>
        <v>UFV NORONHA VERDE - USO E CONSUMO</v>
      </c>
      <c r="D88" s="33" t="n">
        <f aca="false">'Uso e Consumo'!C88</f>
        <v>1608715</v>
      </c>
      <c r="E88" s="34" t="str">
        <f aca="false">'Uso e Consumo'!D88</f>
        <v>06.01.0116</v>
      </c>
      <c r="F88" s="34" t="str">
        <f aca="false">'Uso e Consumo'!E88</f>
        <v>IMPERMEABILIZANTE EPOXI</v>
      </c>
      <c r="G88" s="34" t="str">
        <f aca="false">'Uso e Consumo'!J88</f>
        <v>KG</v>
      </c>
      <c r="H88" s="49" t="n">
        <f aca="false">'Uso e Consumo'!F88</f>
        <v>293.5</v>
      </c>
      <c r="I88" s="35" t="n">
        <f aca="false">'Uso e Consumo'!G88</f>
        <v>21957.36</v>
      </c>
      <c r="J88" s="34" t="str">
        <f aca="false">'Uso e Consumo'!M88</f>
        <v>3.8.1.006 - Aditivos e produtos químicos</v>
      </c>
      <c r="K88" s="32" t="str">
        <f aca="false">INDEX('Curva ABC'!$K$8:$K$2847,MATCH(D88,'Curva ABC'!$B$8:$B$2847,0))</f>
        <v>A</v>
      </c>
    </row>
    <row r="89" customFormat="false" ht="15" hidden="false" customHeight="false" outlineLevel="0" collapsed="false">
      <c r="A89" s="34" t="s">
        <v>5799</v>
      </c>
      <c r="B89" s="34" t="str">
        <f aca="false">'Uso e Consumo'!A89</f>
        <v>0335</v>
      </c>
      <c r="C89" s="34" t="str">
        <f aca="false">'Uso e Consumo'!B89</f>
        <v>UFV NORONHA VERDE - USO E CONSUMO</v>
      </c>
      <c r="D89" s="33" t="n">
        <f aca="false">'Uso e Consumo'!C89</f>
        <v>1384433</v>
      </c>
      <c r="E89" s="34" t="str">
        <f aca="false">'Uso e Consumo'!D89</f>
        <v>17.16.3818</v>
      </c>
      <c r="F89" s="34" t="str">
        <f aca="false">'Uso e Consumo'!E89</f>
        <v>CONECTOR SUPORTE PASSANTE, LIGA COBRE ESTANHADO, APARAFUSADO, 1 CABO 120 MM², FIXAÇÃO IP Ø 76,2 MM, FUROS M12x1,75 MM 16</v>
      </c>
      <c r="G89" s="34" t="str">
        <f aca="false">'Uso e Consumo'!J89</f>
        <v>UN</v>
      </c>
      <c r="H89" s="49" t="n">
        <f aca="false">'Uso e Consumo'!F89</f>
        <v>39</v>
      </c>
      <c r="I89" s="35" t="n">
        <f aca="false">'Uso e Consumo'!G89</f>
        <v>21301.35</v>
      </c>
      <c r="J89" s="34" t="str">
        <f aca="false">'Uso e Consumo'!M89</f>
        <v>3.8.1.017 - Instalações elétricas/telefônicas/lógica</v>
      </c>
      <c r="K89" s="32" t="str">
        <f aca="false">INDEX('Curva ABC'!$K$8:$K$2847,MATCH(D89,'Curva ABC'!$B$8:$B$2847,0))</f>
        <v>A</v>
      </c>
    </row>
    <row r="90" customFormat="false" ht="15" hidden="false" customHeight="false" outlineLevel="0" collapsed="false">
      <c r="A90" s="34" t="s">
        <v>5799</v>
      </c>
      <c r="B90" s="34" t="str">
        <f aca="false">'Uso e Consumo'!A90</f>
        <v>0335</v>
      </c>
      <c r="C90" s="34" t="str">
        <f aca="false">'Uso e Consumo'!B90</f>
        <v>UFV NORONHA VERDE - USO E CONSUMO</v>
      </c>
      <c r="D90" s="33" t="n">
        <f aca="false">'Uso e Consumo'!C90</f>
        <v>1487401</v>
      </c>
      <c r="E90" s="34" t="str">
        <f aca="false">'Uso e Consumo'!D90</f>
        <v>19.01.0065</v>
      </c>
      <c r="F90" s="34" t="str">
        <f aca="false">'Uso e Consumo'!E90</f>
        <v>PERFIL U LAMINADO EM AÇO 6" COM PESO 12,20 KG/M</v>
      </c>
      <c r="G90" s="34" t="str">
        <f aca="false">'Uso e Consumo'!J90</f>
        <v>M</v>
      </c>
      <c r="H90" s="49" t="n">
        <f aca="false">'Uso e Consumo'!F90</f>
        <v>45.26</v>
      </c>
      <c r="I90" s="35" t="n">
        <f aca="false">'Uso e Consumo'!G90</f>
        <v>21279.7</v>
      </c>
      <c r="J90" s="34" t="str">
        <f aca="false">'Uso e Consumo'!M90</f>
        <v>3.8.1.001 - Aços e trefilados</v>
      </c>
      <c r="K90" s="32" t="str">
        <f aca="false">INDEX('Curva ABC'!$K$8:$K$2847,MATCH(D90,'Curva ABC'!$B$8:$B$2847,0))</f>
        <v>A</v>
      </c>
    </row>
    <row r="91" customFormat="false" ht="15" hidden="false" customHeight="false" outlineLevel="0" collapsed="false">
      <c r="A91" s="34" t="s">
        <v>5799</v>
      </c>
      <c r="B91" s="34" t="str">
        <f aca="false">'Uso e Consumo'!A91</f>
        <v>0335</v>
      </c>
      <c r="C91" s="34" t="str">
        <f aca="false">'Uso e Consumo'!B91</f>
        <v>UFV NORONHA VERDE - USO E CONSUMO</v>
      </c>
      <c r="D91" s="33" t="n">
        <f aca="false">'Uso e Consumo'!C91</f>
        <v>1327716</v>
      </c>
      <c r="E91" s="34" t="str">
        <f aca="false">'Uso e Consumo'!D91</f>
        <v>18.01.1580</v>
      </c>
      <c r="F91" s="34" t="str">
        <f aca="false">'Uso e Consumo'!E91</f>
        <v>TUBO PEAD PERFURADO 200 MM</v>
      </c>
      <c r="G91" s="34" t="str">
        <f aca="false">'Uso e Consumo'!J91</f>
        <v>M</v>
      </c>
      <c r="H91" s="49" t="n">
        <f aca="false">'Uso e Consumo'!F91</f>
        <v>210</v>
      </c>
      <c r="I91" s="35" t="n">
        <f aca="false">'Uso e Consumo'!G91</f>
        <v>21039.24</v>
      </c>
      <c r="J91" s="34" t="str">
        <f aca="false">'Uso e Consumo'!M91</f>
        <v>3.8.1.018 - Instalações hidráulicas/sanitárias/industriais</v>
      </c>
      <c r="K91" s="32" t="str">
        <f aca="false">INDEX('Curva ABC'!$K$8:$K$2847,MATCH(D91,'Curva ABC'!$B$8:$B$2847,0))</f>
        <v>A</v>
      </c>
    </row>
    <row r="92" customFormat="false" ht="15" hidden="false" customHeight="false" outlineLevel="0" collapsed="false">
      <c r="A92" s="34" t="s">
        <v>5799</v>
      </c>
      <c r="B92" s="34" t="str">
        <f aca="false">'Uso e Consumo'!A92</f>
        <v>0335</v>
      </c>
      <c r="C92" s="34" t="str">
        <f aca="false">'Uso e Consumo'!B92</f>
        <v>UFV NORONHA VERDE - USO E CONSUMO</v>
      </c>
      <c r="D92" s="33" t="n">
        <f aca="false">'Uso e Consumo'!C92</f>
        <v>19255</v>
      </c>
      <c r="E92" s="34" t="str">
        <f aca="false">'Uso e Consumo'!D92</f>
        <v>29.03.0003</v>
      </c>
      <c r="F92" s="34" t="str">
        <f aca="false">'Uso e Consumo'!E92</f>
        <v>AR CONDICIONADO 12000 BTU/H 220V SPLIT DIGITAL CICLO QUENTE/FRIO</v>
      </c>
      <c r="G92" s="34" t="str">
        <f aca="false">'Uso e Consumo'!J92</f>
        <v>UN</v>
      </c>
      <c r="H92" s="49" t="n">
        <f aca="false">'Uso e Consumo'!F92</f>
        <v>10</v>
      </c>
      <c r="I92" s="35" t="n">
        <f aca="false">'Uso e Consumo'!G92</f>
        <v>20534</v>
      </c>
      <c r="J92" s="34" t="str">
        <f aca="false">'Uso e Consumo'!M92</f>
        <v>4.1.1.009 - Eletro eletrônico e acessórios</v>
      </c>
      <c r="K92" s="32" t="str">
        <f aca="false">INDEX('Curva ABC'!$K$8:$K$2847,MATCH(D92,'Curva ABC'!$B$8:$B$2847,0))</f>
        <v>A</v>
      </c>
    </row>
    <row r="93" customFormat="false" ht="15" hidden="false" customHeight="false" outlineLevel="0" collapsed="false">
      <c r="A93" s="34" t="s">
        <v>5799</v>
      </c>
      <c r="B93" s="34" t="str">
        <f aca="false">'Uso e Consumo'!A93</f>
        <v>0335</v>
      </c>
      <c r="C93" s="34" t="str">
        <f aca="false">'Uso e Consumo'!B93</f>
        <v>UFV NORONHA VERDE - USO E CONSUMO</v>
      </c>
      <c r="D93" s="33" t="n">
        <f aca="false">'Uso e Consumo'!C93</f>
        <v>871936</v>
      </c>
      <c r="E93" s="34" t="str">
        <f aca="false">'Uso e Consumo'!D93</f>
        <v>24.08.0088</v>
      </c>
      <c r="F93" s="34" t="str">
        <f aca="false">'Uso e Consumo'!E93</f>
        <v>ALICATE CRIMPADOR HIDRÁULICO A BATERIA 18V VONDER ACV 400B</v>
      </c>
      <c r="G93" s="34" t="str">
        <f aca="false">'Uso e Consumo'!J93</f>
        <v>UN</v>
      </c>
      <c r="H93" s="49" t="n">
        <f aca="false">'Uso e Consumo'!F93</f>
        <v>1</v>
      </c>
      <c r="I93" s="35" t="n">
        <f aca="false">'Uso e Consumo'!G93</f>
        <v>20390</v>
      </c>
      <c r="J93" s="34" t="str">
        <f aca="false">'Uso e Consumo'!M93</f>
        <v>3.8.2.002 - Ferramentas manuais</v>
      </c>
      <c r="K93" s="32" t="str">
        <f aca="false">INDEX('Curva ABC'!$K$8:$K$2847,MATCH(D93,'Curva ABC'!$B$8:$B$2847,0))</f>
        <v>A</v>
      </c>
    </row>
    <row r="94" customFormat="false" ht="15" hidden="false" customHeight="false" outlineLevel="0" collapsed="false">
      <c r="A94" s="34" t="s">
        <v>5799</v>
      </c>
      <c r="B94" s="34" t="str">
        <f aca="false">'Uso e Consumo'!A94</f>
        <v>0335</v>
      </c>
      <c r="C94" s="34" t="str">
        <f aca="false">'Uso e Consumo'!B94</f>
        <v>UFV NORONHA VERDE - USO E CONSUMO</v>
      </c>
      <c r="D94" s="33" t="n">
        <f aca="false">'Uso e Consumo'!C94</f>
        <v>738780</v>
      </c>
      <c r="E94" s="34" t="str">
        <f aca="false">'Uso e Consumo'!D94</f>
        <v>29.02.0394</v>
      </c>
      <c r="F94" s="34" t="str">
        <f aca="false">'Uso e Consumo'!E94</f>
        <v>MESA DE ESCRITÓRIO COM DUAS GAVETAS EM MADEIRA MDF, COM COR CINZA</v>
      </c>
      <c r="G94" s="34" t="str">
        <f aca="false">'Uso e Consumo'!J94</f>
        <v>UN</v>
      </c>
      <c r="H94" s="49" t="n">
        <f aca="false">'Uso e Consumo'!F94</f>
        <v>62</v>
      </c>
      <c r="I94" s="35" t="n">
        <f aca="false">'Uso e Consumo'!G94</f>
        <v>20370</v>
      </c>
      <c r="J94" s="34" t="str">
        <f aca="false">'Uso e Consumo'!M94</f>
        <v>4.1.1.008 - Mobiliário e acessórios</v>
      </c>
      <c r="K94" s="32" t="str">
        <f aca="false">INDEX('Curva ABC'!$K$8:$K$2847,MATCH(D94,'Curva ABC'!$B$8:$B$2847,0))</f>
        <v>A</v>
      </c>
    </row>
    <row r="95" customFormat="false" ht="15" hidden="false" customHeight="false" outlineLevel="0" collapsed="false">
      <c r="A95" s="34" t="s">
        <v>5799</v>
      </c>
      <c r="B95" s="34" t="str">
        <f aca="false">'Uso e Consumo'!A95</f>
        <v>0335</v>
      </c>
      <c r="C95" s="34" t="str">
        <f aca="false">'Uso e Consumo'!B95</f>
        <v>UFV NORONHA VERDE - USO E CONSUMO</v>
      </c>
      <c r="D95" s="33" t="n">
        <f aca="false">'Uso e Consumo'!C95</f>
        <v>1487449</v>
      </c>
      <c r="E95" s="34" t="str">
        <f aca="false">'Uso e Consumo'!D95</f>
        <v>18.04.0085</v>
      </c>
      <c r="F95" s="34" t="str">
        <f aca="false">'Uso e Consumo'!E95</f>
        <v>TUBO PEAD LISO DIÂMETRO 110 MM</v>
      </c>
      <c r="G95" s="34" t="str">
        <f aca="false">'Uso e Consumo'!J95</f>
        <v>M</v>
      </c>
      <c r="H95" s="49" t="n">
        <f aca="false">'Uso e Consumo'!F95</f>
        <v>205</v>
      </c>
      <c r="I95" s="35" t="n">
        <f aca="false">'Uso e Consumo'!G95</f>
        <v>20213</v>
      </c>
      <c r="J95" s="34" t="str">
        <f aca="false">'Uso e Consumo'!M95</f>
        <v>3.8.1.018 - Instalações hidráulicas/sanitárias/industriais</v>
      </c>
      <c r="K95" s="32" t="str">
        <f aca="false">INDEX('Curva ABC'!$K$8:$K$2847,MATCH(D95,'Curva ABC'!$B$8:$B$2847,0))</f>
        <v>A</v>
      </c>
    </row>
    <row r="96" customFormat="false" ht="15" hidden="false" customHeight="false" outlineLevel="0" collapsed="false">
      <c r="A96" s="34" t="s">
        <v>5799</v>
      </c>
      <c r="B96" s="34" t="str">
        <f aca="false">'Uso e Consumo'!A96</f>
        <v>0335</v>
      </c>
      <c r="C96" s="34" t="str">
        <f aca="false">'Uso e Consumo'!B96</f>
        <v>UFV NORONHA VERDE - USO E CONSUMO</v>
      </c>
      <c r="D96" s="33" t="n">
        <f aca="false">'Uso e Consumo'!C96</f>
        <v>826451</v>
      </c>
      <c r="E96" s="34" t="str">
        <f aca="false">'Uso e Consumo'!D96</f>
        <v>17.01.1002</v>
      </c>
      <c r="F96" s="34" t="str">
        <f aca="false">'Uso e Consumo'!E96</f>
        <v>CABO DE AÇO COBREADO 70MM²  30% IACS LCA 7 OU 19 FIOS</v>
      </c>
      <c r="G96" s="34" t="str">
        <f aca="false">'Uso e Consumo'!J96</f>
        <v>M</v>
      </c>
      <c r="H96" s="49" t="n">
        <f aca="false">'Uso e Consumo'!F96</f>
        <v>400</v>
      </c>
      <c r="I96" s="35" t="n">
        <f aca="false">'Uso e Consumo'!G96</f>
        <v>20172</v>
      </c>
      <c r="J96" s="34" t="str">
        <f aca="false">'Uso e Consumo'!M96</f>
        <v>3.8.1.017 - Instalações elétricas/telefônicas/lógica</v>
      </c>
      <c r="K96" s="32" t="str">
        <f aca="false">INDEX('Curva ABC'!$K$8:$K$2847,MATCH(D96,'Curva ABC'!$B$8:$B$2847,0))</f>
        <v>A</v>
      </c>
    </row>
    <row r="97" customFormat="false" ht="15" hidden="false" customHeight="false" outlineLevel="0" collapsed="false">
      <c r="A97" s="34" t="s">
        <v>5799</v>
      </c>
      <c r="B97" s="34" t="str">
        <f aca="false">'Uso e Consumo'!A97</f>
        <v>0335</v>
      </c>
      <c r="C97" s="34" t="str">
        <f aca="false">'Uso e Consumo'!B97</f>
        <v>UFV NORONHA VERDE - USO E CONSUMO</v>
      </c>
      <c r="D97" s="33" t="n">
        <f aca="false">'Uso e Consumo'!C97</f>
        <v>1469195</v>
      </c>
      <c r="E97" s="34" t="str">
        <f aca="false">'Uso e Consumo'!D97</f>
        <v>09.21.0417</v>
      </c>
      <c r="F97" s="34" t="str">
        <f aca="false">'Uso e Consumo'!E97</f>
        <v>POSTE ESCORA 2 CH 16 GALV 3,00 MTS</v>
      </c>
      <c r="G97" s="34" t="str">
        <f aca="false">'Uso e Consumo'!J97</f>
        <v>UN</v>
      </c>
      <c r="H97" s="49" t="n">
        <f aca="false">'Uso e Consumo'!F97</f>
        <v>224</v>
      </c>
      <c r="I97" s="35" t="n">
        <f aca="false">'Uso e Consumo'!G97</f>
        <v>20160</v>
      </c>
      <c r="J97" s="34" t="str">
        <f aca="false">'Uso e Consumo'!M97</f>
        <v>3.8.1.022 - Elementos de fixação</v>
      </c>
      <c r="K97" s="32" t="str">
        <f aca="false">INDEX('Curva ABC'!$K$8:$K$2847,MATCH(D97,'Curva ABC'!$B$8:$B$2847,0))</f>
        <v>A</v>
      </c>
    </row>
    <row r="98" customFormat="false" ht="15" hidden="false" customHeight="false" outlineLevel="0" collapsed="false">
      <c r="A98" s="34" t="s">
        <v>5799</v>
      </c>
      <c r="B98" s="34" t="str">
        <f aca="false">'Uso e Consumo'!A98</f>
        <v>0335</v>
      </c>
      <c r="C98" s="34" t="str">
        <f aca="false">'Uso e Consumo'!B98</f>
        <v>UFV NORONHA VERDE - USO E CONSUMO</v>
      </c>
      <c r="D98" s="33" t="n">
        <f aca="false">'Uso e Consumo'!C98</f>
        <v>1326678</v>
      </c>
      <c r="E98" s="34" t="str">
        <f aca="false">'Uso e Consumo'!D98</f>
        <v>17.16.0669</v>
      </c>
      <c r="F98" s="34" t="str">
        <f aca="false">'Uso e Consumo'!E98</f>
        <v>CONECTOR DE COBRE ESTANHADO, PARA DERIVAÇÃO PARALELA DE 2 CABOS 50 A 150 mm²</v>
      </c>
      <c r="G98" s="34" t="str">
        <f aca="false">'Uso e Consumo'!J98</f>
        <v>pç</v>
      </c>
      <c r="H98" s="49" t="n">
        <f aca="false">'Uso e Consumo'!F98</f>
        <v>139</v>
      </c>
      <c r="I98" s="35" t="n">
        <f aca="false">'Uso e Consumo'!G98</f>
        <v>19173.4</v>
      </c>
      <c r="J98" s="34" t="str">
        <f aca="false">'Uso e Consumo'!M98</f>
        <v>3.8.1.017 - Instalações elétricas/telefônicas/lógica</v>
      </c>
      <c r="K98" s="32" t="str">
        <f aca="false">INDEX('Curva ABC'!$K$8:$K$2847,MATCH(D98,'Curva ABC'!$B$8:$B$2847,0))</f>
        <v>A</v>
      </c>
    </row>
    <row r="99" customFormat="false" ht="15" hidden="false" customHeight="false" outlineLevel="0" collapsed="false">
      <c r="A99" s="34" t="s">
        <v>5799</v>
      </c>
      <c r="B99" s="34" t="str">
        <f aca="false">'Uso e Consumo'!A99</f>
        <v>0335</v>
      </c>
      <c r="C99" s="34" t="str">
        <f aca="false">'Uso e Consumo'!B99</f>
        <v>UFV NORONHA VERDE - USO E CONSUMO</v>
      </c>
      <c r="D99" s="33" t="n">
        <f aca="false">'Uso e Consumo'!C99</f>
        <v>34194</v>
      </c>
      <c r="E99" s="34" t="str">
        <f aca="false">'Uso e Consumo'!D99</f>
        <v>29.02.0130</v>
      </c>
      <c r="F99" s="34" t="str">
        <f aca="false">'Uso e Consumo'!E99</f>
        <v>ARMARIO ALTO COM 02 E 03 DIVISÓRIAS</v>
      </c>
      <c r="G99" s="34" t="str">
        <f aca="false">'Uso e Consumo'!J99</f>
        <v>UN</v>
      </c>
      <c r="H99" s="49" t="n">
        <f aca="false">'Uso e Consumo'!F99</f>
        <v>20</v>
      </c>
      <c r="I99" s="35" t="n">
        <f aca="false">'Uso e Consumo'!G99</f>
        <v>19100</v>
      </c>
      <c r="J99" s="34" t="str">
        <f aca="false">'Uso e Consumo'!M99</f>
        <v>4.1.1.008 - Mobiliário e acessórios</v>
      </c>
      <c r="K99" s="32" t="str">
        <f aca="false">INDEX('Curva ABC'!$K$8:$K$2847,MATCH(D99,'Curva ABC'!$B$8:$B$2847,0))</f>
        <v>A</v>
      </c>
    </row>
    <row r="100" customFormat="false" ht="15" hidden="false" customHeight="false" outlineLevel="0" collapsed="false">
      <c r="A100" s="34" t="s">
        <v>5799</v>
      </c>
      <c r="B100" s="34" t="str">
        <f aca="false">'Uso e Consumo'!A100</f>
        <v>0335</v>
      </c>
      <c r="C100" s="34" t="str">
        <f aca="false">'Uso e Consumo'!B100</f>
        <v>UFV NORONHA VERDE - USO E CONSUMO</v>
      </c>
      <c r="D100" s="33" t="n">
        <f aca="false">'Uso e Consumo'!C100</f>
        <v>1461991</v>
      </c>
      <c r="E100" s="34" t="str">
        <f aca="false">'Uso e Consumo'!D100</f>
        <v>20.02.0014</v>
      </c>
      <c r="F100" s="34" t="str">
        <f aca="false">'Uso e Consumo'!E100</f>
        <v>MEIO FIO EM CONCRETO - MFC 03</v>
      </c>
      <c r="G100" s="34" t="str">
        <f aca="false">'Uso e Consumo'!J100</f>
        <v>M</v>
      </c>
      <c r="H100" s="49" t="n">
        <f aca="false">'Uso e Consumo'!F100</f>
        <v>812</v>
      </c>
      <c r="I100" s="35" t="n">
        <f aca="false">'Uso e Consumo'!G100</f>
        <v>19082</v>
      </c>
      <c r="J100" s="34" t="str">
        <f aca="false">'Uso e Consumo'!M100</f>
        <v>1.1.1.003 - Estruturas pré-moldadas de concreto</v>
      </c>
      <c r="K100" s="32" t="str">
        <f aca="false">INDEX('Curva ABC'!$K$8:$K$2847,MATCH(D100,'Curva ABC'!$B$8:$B$2847,0))</f>
        <v>A</v>
      </c>
    </row>
    <row r="101" customFormat="false" ht="15" hidden="false" customHeight="false" outlineLevel="0" collapsed="false">
      <c r="A101" s="34" t="s">
        <v>5799</v>
      </c>
      <c r="B101" s="34" t="str">
        <f aca="false">'Uso e Consumo'!A101</f>
        <v>0335</v>
      </c>
      <c r="C101" s="34" t="str">
        <f aca="false">'Uso e Consumo'!B101</f>
        <v>UFV NORONHA VERDE - USO E CONSUMO</v>
      </c>
      <c r="D101" s="33" t="n">
        <f aca="false">'Uso e Consumo'!C101</f>
        <v>1666361</v>
      </c>
      <c r="E101" s="34" t="str">
        <f aca="false">'Uso e Consumo'!D101</f>
        <v>23.10.0074</v>
      </c>
      <c r="F101" s="34" t="str">
        <f aca="false">'Uso e Consumo'!E101</f>
        <v>CHUMBADOR QUIMICO M20 X 150 MM TIPO HILTI HAS, HDG, ACO CARBONO CLASSE 8.8</v>
      </c>
      <c r="G101" s="34" t="str">
        <f aca="false">'Uso e Consumo'!J101</f>
        <v>UN</v>
      </c>
      <c r="H101" s="49" t="n">
        <f aca="false">'Uso e Consumo'!F101</f>
        <v>42</v>
      </c>
      <c r="I101" s="35" t="n">
        <f aca="false">'Uso e Consumo'!G101</f>
        <v>18667.84</v>
      </c>
      <c r="J101" s="34" t="str">
        <f aca="false">'Uso e Consumo'!M101</f>
        <v>3.8.1.022 - Elementos de fixação</v>
      </c>
      <c r="K101" s="32" t="str">
        <f aca="false">INDEX('Curva ABC'!$K$8:$K$2847,MATCH(D101,'Curva ABC'!$B$8:$B$2847,0))</f>
        <v>A</v>
      </c>
    </row>
    <row r="102" customFormat="false" ht="15" hidden="false" customHeight="false" outlineLevel="0" collapsed="false">
      <c r="A102" s="34" t="s">
        <v>5799</v>
      </c>
      <c r="B102" s="34" t="str">
        <f aca="false">'Uso e Consumo'!A102</f>
        <v>0335</v>
      </c>
      <c r="C102" s="34" t="str">
        <f aca="false">'Uso e Consumo'!B102</f>
        <v>UFV NORONHA VERDE - USO E CONSUMO</v>
      </c>
      <c r="D102" s="33" t="n">
        <f aca="false">'Uso e Consumo'!C102</f>
        <v>226963</v>
      </c>
      <c r="E102" s="34" t="str">
        <f aca="false">'Uso e Consumo'!D102</f>
        <v>17.16.0221</v>
      </c>
      <c r="F102" s="34" t="str">
        <f aca="false">'Uso e Consumo'!E102</f>
        <v>CONECTOR BIMETÁLICO TORQUIMETRO 2 FUROS 150 MM2</v>
      </c>
      <c r="G102" s="34" t="str">
        <f aca="false">'Uso e Consumo'!J102</f>
        <v>UN</v>
      </c>
      <c r="H102" s="49" t="n">
        <f aca="false">'Uso e Consumo'!F102</f>
        <v>11</v>
      </c>
      <c r="I102" s="35" t="n">
        <f aca="false">'Uso e Consumo'!G102</f>
        <v>18480</v>
      </c>
      <c r="J102" s="34" t="str">
        <f aca="false">'Uso e Consumo'!M102</f>
        <v>3.8.1.017 - Instalações elétricas/telefônicas/lógica</v>
      </c>
      <c r="K102" s="32" t="str">
        <f aca="false">INDEX('Curva ABC'!$K$8:$K$2847,MATCH(D102,'Curva ABC'!$B$8:$B$2847,0))</f>
        <v>A</v>
      </c>
    </row>
    <row r="103" customFormat="false" ht="15" hidden="false" customHeight="false" outlineLevel="0" collapsed="false">
      <c r="A103" s="34" t="s">
        <v>5799</v>
      </c>
      <c r="B103" s="34" t="str">
        <f aca="false">'Uso e Consumo'!A103</f>
        <v>0335</v>
      </c>
      <c r="C103" s="34" t="str">
        <f aca="false">'Uso e Consumo'!B103</f>
        <v>UFV NORONHA VERDE - USO E CONSUMO</v>
      </c>
      <c r="D103" s="33" t="n">
        <f aca="false">'Uso e Consumo'!C103</f>
        <v>1387996</v>
      </c>
      <c r="E103" s="34" t="str">
        <f aca="false">'Uso e Consumo'!D103</f>
        <v>17.02.0887</v>
      </c>
      <c r="F103" s="34" t="str">
        <f aca="false">'Uso e Consumo'!E103</f>
        <v>CONECTOR MACHO FIXO PARA ELETRODUTO METÁLICO FLEXÍVEL, COM PORCA, Ø 3" BSP.</v>
      </c>
      <c r="G103" s="34" t="str">
        <f aca="false">'Uso e Consumo'!J103</f>
        <v>UN</v>
      </c>
      <c r="H103" s="49" t="n">
        <f aca="false">'Uso e Consumo'!F103</f>
        <v>168</v>
      </c>
      <c r="I103" s="35" t="n">
        <f aca="false">'Uso e Consumo'!G103</f>
        <v>18283.43</v>
      </c>
      <c r="J103" s="34" t="str">
        <f aca="false">'Uso e Consumo'!M103</f>
        <v>3.8.1.017 - Instalações elétricas/telefônicas/lógica</v>
      </c>
      <c r="K103" s="32" t="str">
        <f aca="false">INDEX('Curva ABC'!$K$8:$K$2847,MATCH(D103,'Curva ABC'!$B$8:$B$2847,0))</f>
        <v>A</v>
      </c>
    </row>
    <row r="104" customFormat="false" ht="15" hidden="false" customHeight="false" outlineLevel="0" collapsed="false">
      <c r="A104" s="34" t="s">
        <v>5799</v>
      </c>
      <c r="B104" s="34" t="str">
        <f aca="false">'Uso e Consumo'!A104</f>
        <v>0335</v>
      </c>
      <c r="C104" s="34" t="str">
        <f aca="false">'Uso e Consumo'!B104</f>
        <v>UFV NORONHA VERDE - USO E CONSUMO</v>
      </c>
      <c r="D104" s="33" t="n">
        <f aca="false">'Uso e Consumo'!C104</f>
        <v>1011111</v>
      </c>
      <c r="E104" s="34" t="str">
        <f aca="false">'Uso e Consumo'!D104</f>
        <v>01.12.0353</v>
      </c>
      <c r="F104" s="34" t="str">
        <f aca="false">'Uso e Consumo'!E104</f>
        <v>TUBO METALON RETANGULAR 50MM X 30MM CH 16</v>
      </c>
      <c r="G104" s="34" t="str">
        <f aca="false">'Uso e Consumo'!J104</f>
        <v>UN</v>
      </c>
      <c r="H104" s="49" t="n">
        <f aca="false">'Uso e Consumo'!F104</f>
        <v>170</v>
      </c>
      <c r="I104" s="35" t="n">
        <f aca="false">'Uso e Consumo'!G104</f>
        <v>18212.1</v>
      </c>
      <c r="J104" s="34" t="str">
        <f aca="false">'Uso e Consumo'!M104</f>
        <v>3.8.1.001 - Aços e trefilados</v>
      </c>
      <c r="K104" s="32" t="str">
        <f aca="false">INDEX('Curva ABC'!$K$8:$K$2847,MATCH(D104,'Curva ABC'!$B$8:$B$2847,0))</f>
        <v>A</v>
      </c>
    </row>
    <row r="105" customFormat="false" ht="15" hidden="false" customHeight="false" outlineLevel="0" collapsed="false">
      <c r="A105" s="34" t="s">
        <v>5799</v>
      </c>
      <c r="B105" s="34" t="str">
        <f aca="false">'Uso e Consumo'!A105</f>
        <v>0335</v>
      </c>
      <c r="C105" s="34" t="str">
        <f aca="false">'Uso e Consumo'!B105</f>
        <v>UFV NORONHA VERDE - USO E CONSUMO</v>
      </c>
      <c r="D105" s="33" t="n">
        <f aca="false">'Uso e Consumo'!C105</f>
        <v>21457</v>
      </c>
      <c r="E105" s="34" t="str">
        <f aca="false">'Uso e Consumo'!D105</f>
        <v>24.32.0002</v>
      </c>
      <c r="F105" s="34" t="str">
        <f aca="false">'Uso e Consumo'!E105</f>
        <v>PALLETS DE MADEIRA PARA ESTOCAGEM DUPLA FACE REVERSÍVEL ALT 12CM X LAR 100CM X COMP 120CM</v>
      </c>
      <c r="G105" s="34" t="str">
        <f aca="false">'Uso e Consumo'!J105</f>
        <v>UN</v>
      </c>
      <c r="H105" s="49" t="n">
        <f aca="false">'Uso e Consumo'!F105</f>
        <v>427</v>
      </c>
      <c r="I105" s="35" t="n">
        <f aca="false">'Uso e Consumo'!G105</f>
        <v>17907.49</v>
      </c>
      <c r="J105" s="34" t="str">
        <f aca="false">'Uso e Consumo'!M105</f>
        <v>6.1.2.002 - Ferramentas e utensílios</v>
      </c>
      <c r="K105" s="32" t="str">
        <f aca="false">INDEX('Curva ABC'!$K$8:$K$2847,MATCH(D105,'Curva ABC'!$B$8:$B$2847,0))</f>
        <v>A</v>
      </c>
    </row>
    <row r="106" customFormat="false" ht="15" hidden="false" customHeight="false" outlineLevel="0" collapsed="false">
      <c r="A106" s="34" t="s">
        <v>5799</v>
      </c>
      <c r="B106" s="34" t="str">
        <f aca="false">'Uso e Consumo'!A106</f>
        <v>0335</v>
      </c>
      <c r="C106" s="34" t="str">
        <f aca="false">'Uso e Consumo'!B106</f>
        <v>UFV NORONHA VERDE - USO E CONSUMO</v>
      </c>
      <c r="D106" s="33" t="n">
        <f aca="false">'Uso e Consumo'!C106</f>
        <v>425806</v>
      </c>
      <c r="E106" s="34" t="str">
        <f aca="false">'Uso e Consumo'!D106</f>
        <v>29.03.0236</v>
      </c>
      <c r="F106" s="34" t="str">
        <f aca="false">'Uso e Consumo'!E106</f>
        <v>SECADOR DE MÃO ELÉTRICO </v>
      </c>
      <c r="G106" s="34" t="str">
        <f aca="false">'Uso e Consumo'!J106</f>
        <v>UN</v>
      </c>
      <c r="H106" s="49" t="n">
        <f aca="false">'Uso e Consumo'!F106</f>
        <v>24</v>
      </c>
      <c r="I106" s="35" t="n">
        <f aca="false">'Uso e Consumo'!G106</f>
        <v>17880</v>
      </c>
      <c r="J106" s="34" t="str">
        <f aca="false">'Uso e Consumo'!M106</f>
        <v>4.1.1.009 - Eletro eletrônico e acessórios</v>
      </c>
      <c r="K106" s="32" t="str">
        <f aca="false">INDEX('Curva ABC'!$K$8:$K$2847,MATCH(D106,'Curva ABC'!$B$8:$B$2847,0))</f>
        <v>A</v>
      </c>
    </row>
    <row r="107" customFormat="false" ht="15" hidden="false" customHeight="false" outlineLevel="0" collapsed="false">
      <c r="A107" s="34" t="s">
        <v>5799</v>
      </c>
      <c r="B107" s="34" t="str">
        <f aca="false">'Uso e Consumo'!A107</f>
        <v>0335</v>
      </c>
      <c r="C107" s="34" t="str">
        <f aca="false">'Uso e Consumo'!B107</f>
        <v>UFV NORONHA VERDE - USO E CONSUMO</v>
      </c>
      <c r="D107" s="33" t="n">
        <f aca="false">'Uso e Consumo'!C107</f>
        <v>1387969</v>
      </c>
      <c r="E107" s="34" t="str">
        <f aca="false">'Uso e Consumo'!D107</f>
        <v>17.02.0883</v>
      </c>
      <c r="F107" s="34" t="str">
        <f aca="false">'Uso e Consumo'!E107</f>
        <v>ELETRODUTO DE ALUMÍNIO COM ROSCA, TIPO PESADO, Ø 3" BSP, VARA DE 3,00 M</v>
      </c>
      <c r="G107" s="34" t="str">
        <f aca="false">'Uso e Consumo'!J107</f>
        <v>UN</v>
      </c>
      <c r="H107" s="49" t="n">
        <f aca="false">'Uso e Consumo'!F107</f>
        <v>33</v>
      </c>
      <c r="I107" s="35" t="n">
        <f aca="false">'Uso e Consumo'!G107</f>
        <v>17234.24</v>
      </c>
      <c r="J107" s="34" t="str">
        <f aca="false">'Uso e Consumo'!M107</f>
        <v>3.8.1.017 - Instalações elétricas/telefônicas/lógica</v>
      </c>
      <c r="K107" s="32" t="str">
        <f aca="false">INDEX('Curva ABC'!$K$8:$K$2847,MATCH(D107,'Curva ABC'!$B$8:$B$2847,0))</f>
        <v>A</v>
      </c>
    </row>
    <row r="108" customFormat="false" ht="15" hidden="false" customHeight="false" outlineLevel="0" collapsed="false">
      <c r="A108" s="34" t="s">
        <v>5799</v>
      </c>
      <c r="B108" s="34" t="str">
        <f aca="false">'Uso e Consumo'!A108</f>
        <v>0335</v>
      </c>
      <c r="C108" s="34" t="str">
        <f aca="false">'Uso e Consumo'!B108</f>
        <v>UFV NORONHA VERDE - USO E CONSUMO</v>
      </c>
      <c r="D108" s="33" t="n">
        <f aca="false">'Uso e Consumo'!C108</f>
        <v>1385279</v>
      </c>
      <c r="E108" s="34" t="str">
        <f aca="false">'Uso e Consumo'!D108</f>
        <v>17.11.1124</v>
      </c>
      <c r="F108" s="34" t="str">
        <f aca="false">'Uso e Consumo'!E108</f>
        <v>REFLETOR LED 250 220V, 90°, EXTERNO, IP66 IK08, ALUMÍNIO, FLUXO 37550 LM, 5000K, IRC&gt;70 </v>
      </c>
      <c r="G108" s="34" t="str">
        <f aca="false">'Uso e Consumo'!J108</f>
        <v>UN</v>
      </c>
      <c r="H108" s="49" t="n">
        <f aca="false">'Uso e Consumo'!F108</f>
        <v>6</v>
      </c>
      <c r="I108" s="35" t="n">
        <f aca="false">'Uso e Consumo'!G108</f>
        <v>17218.14</v>
      </c>
      <c r="J108" s="34" t="str">
        <f aca="false">'Uso e Consumo'!M108</f>
        <v>3.8.1.017 - Instalações elétricas/telefônicas/lógica</v>
      </c>
      <c r="K108" s="32" t="str">
        <f aca="false">INDEX('Curva ABC'!$K$8:$K$2847,MATCH(D108,'Curva ABC'!$B$8:$B$2847,0))</f>
        <v>A</v>
      </c>
    </row>
    <row r="109" customFormat="false" ht="15" hidden="false" customHeight="false" outlineLevel="0" collapsed="false">
      <c r="A109" s="34" t="s">
        <v>5799</v>
      </c>
      <c r="B109" s="34" t="str">
        <f aca="false">'Uso e Consumo'!A109</f>
        <v>0335</v>
      </c>
      <c r="C109" s="34" t="str">
        <f aca="false">'Uso e Consumo'!B109</f>
        <v>UFV NORONHA VERDE - USO E CONSUMO</v>
      </c>
      <c r="D109" s="33" t="n">
        <f aca="false">'Uso e Consumo'!C109</f>
        <v>879648</v>
      </c>
      <c r="E109" s="34" t="str">
        <f aca="false">'Uso e Consumo'!D109</f>
        <v>29.01.1266</v>
      </c>
      <c r="F109" s="34" t="str">
        <f aca="false">'Uso e Consumo'!E109</f>
        <v>RACK OUTDOOR 10U 350MM SECUNDÁRIO EXTERNO</v>
      </c>
      <c r="G109" s="34" t="str">
        <f aca="false">'Uso e Consumo'!J109</f>
        <v>UN</v>
      </c>
      <c r="H109" s="49" t="n">
        <f aca="false">'Uso e Consumo'!F109</f>
        <v>9</v>
      </c>
      <c r="I109" s="35" t="n">
        <f aca="false">'Uso e Consumo'!G109</f>
        <v>17100</v>
      </c>
      <c r="J109" s="34" t="str">
        <f aca="false">'Uso e Consumo'!M109</f>
        <v>4.1.1.007 - Equipamentos e acessórios para informática</v>
      </c>
      <c r="K109" s="32" t="str">
        <f aca="false">INDEX('Curva ABC'!$K$8:$K$2847,MATCH(D109,'Curva ABC'!$B$8:$B$2847,0))</f>
        <v>A</v>
      </c>
    </row>
    <row r="110" customFormat="false" ht="15" hidden="false" customHeight="false" outlineLevel="0" collapsed="false">
      <c r="A110" s="34" t="s">
        <v>5799</v>
      </c>
      <c r="B110" s="34" t="str">
        <f aca="false">'Uso e Consumo'!A110</f>
        <v>0335</v>
      </c>
      <c r="C110" s="34" t="str">
        <f aca="false">'Uso e Consumo'!B110</f>
        <v>UFV NORONHA VERDE - USO E CONSUMO</v>
      </c>
      <c r="D110" s="33" t="n">
        <f aca="false">'Uso e Consumo'!C110</f>
        <v>32387</v>
      </c>
      <c r="E110" s="34" t="str">
        <f aca="false">'Uso e Consumo'!D110</f>
        <v>02.03.0002</v>
      </c>
      <c r="F110" s="34" t="str">
        <f aca="false">'Uso e Consumo'!E110</f>
        <v>ARAME FARPADO AÇO CARBONO 1,60MM GALVANIZACAO LEVE ROLO 500,00M</v>
      </c>
      <c r="G110" s="34" t="str">
        <f aca="false">'Uso e Consumo'!J110</f>
        <v>R500M</v>
      </c>
      <c r="H110" s="49" t="n">
        <f aca="false">'Uso e Consumo'!F110</f>
        <v>48</v>
      </c>
      <c r="I110" s="35" t="n">
        <f aca="false">'Uso e Consumo'!G110</f>
        <v>16945.59</v>
      </c>
      <c r="J110" s="34" t="str">
        <f aca="false">'Uso e Consumo'!M110</f>
        <v>3.8.1.002 - Telas e arames</v>
      </c>
      <c r="K110" s="32" t="str">
        <f aca="false">INDEX('Curva ABC'!$K$8:$K$2847,MATCH(D110,'Curva ABC'!$B$8:$B$2847,0))</f>
        <v>A</v>
      </c>
    </row>
    <row r="111" customFormat="false" ht="15" hidden="false" customHeight="false" outlineLevel="0" collapsed="false">
      <c r="A111" s="34" t="s">
        <v>5799</v>
      </c>
      <c r="B111" s="34" t="str">
        <f aca="false">'Uso e Consumo'!A111</f>
        <v>0335</v>
      </c>
      <c r="C111" s="34" t="str">
        <f aca="false">'Uso e Consumo'!B111</f>
        <v>UFV NORONHA VERDE - USO E CONSUMO</v>
      </c>
      <c r="D111" s="33" t="n">
        <f aca="false">'Uso e Consumo'!C111</f>
        <v>1383225</v>
      </c>
      <c r="E111" s="34" t="str">
        <f aca="false">'Uso e Consumo'!D111</f>
        <v>17.16.3814</v>
      </c>
      <c r="F111" s="34" t="str">
        <f aca="false">'Uso e Consumo'!E111</f>
        <v>CONECTOR TORQUIMÉTRICO PARA CABO CU 400 MM² REDONDO COMPACTO</v>
      </c>
      <c r="G111" s="34" t="str">
        <f aca="false">'Uso e Consumo'!J111</f>
        <v>UN</v>
      </c>
      <c r="H111" s="49" t="n">
        <f aca="false">'Uso e Consumo'!F111</f>
        <v>13</v>
      </c>
      <c r="I111" s="35" t="n">
        <f aca="false">'Uso e Consumo'!G111</f>
        <v>16940.64</v>
      </c>
      <c r="J111" s="34" t="str">
        <f aca="false">'Uso e Consumo'!M111</f>
        <v>3.8.1.017 - Instalações elétricas/telefônicas/lógica</v>
      </c>
      <c r="K111" s="32" t="str">
        <f aca="false">INDEX('Curva ABC'!$K$8:$K$2847,MATCH(D111,'Curva ABC'!$B$8:$B$2847,0))</f>
        <v>A</v>
      </c>
    </row>
    <row r="112" customFormat="false" ht="15" hidden="false" customHeight="false" outlineLevel="0" collapsed="false">
      <c r="A112" s="34" t="s">
        <v>5799</v>
      </c>
      <c r="B112" s="34" t="str">
        <f aca="false">'Uso e Consumo'!A112</f>
        <v>0335</v>
      </c>
      <c r="C112" s="34" t="str">
        <f aca="false">'Uso e Consumo'!B112</f>
        <v>UFV NORONHA VERDE - USO E CONSUMO</v>
      </c>
      <c r="D112" s="33" t="n">
        <f aca="false">'Uso e Consumo'!C112</f>
        <v>939998</v>
      </c>
      <c r="E112" s="34" t="str">
        <f aca="false">'Uso e Consumo'!D112</f>
        <v>29.01.1324</v>
      </c>
      <c r="F112" s="34" t="str">
        <f aca="false">'Uso e Consumo'!E112</f>
        <v>ACESS POINT UBIQUITI UNIFI UAP-AC-PRO C/ FONTE</v>
      </c>
      <c r="G112" s="34" t="str">
        <f aca="false">'Uso e Consumo'!J112</f>
        <v>UN.</v>
      </c>
      <c r="H112" s="49" t="n">
        <f aca="false">'Uso e Consumo'!F112</f>
        <v>12</v>
      </c>
      <c r="I112" s="35" t="n">
        <f aca="false">'Uso e Consumo'!G112</f>
        <v>16809.9</v>
      </c>
      <c r="J112" s="34" t="str">
        <f aca="false">'Uso e Consumo'!M112</f>
        <v>4.1.1.007 - Equipamentos e acessórios para informática</v>
      </c>
      <c r="K112" s="32" t="str">
        <f aca="false">INDEX('Curva ABC'!$K$8:$K$2847,MATCH(D112,'Curva ABC'!$B$8:$B$2847,0))</f>
        <v>A</v>
      </c>
    </row>
    <row r="113" customFormat="false" ht="15" hidden="false" customHeight="false" outlineLevel="0" collapsed="false">
      <c r="A113" s="34" t="s">
        <v>5799</v>
      </c>
      <c r="B113" s="34" t="str">
        <f aca="false">'Uso e Consumo'!A113</f>
        <v>0335</v>
      </c>
      <c r="C113" s="34" t="str">
        <f aca="false">'Uso e Consumo'!B113</f>
        <v>UFV NORONHA VERDE - USO E CONSUMO</v>
      </c>
      <c r="D113" s="33" t="n">
        <f aca="false">'Uso e Consumo'!C113</f>
        <v>388955</v>
      </c>
      <c r="E113" s="34" t="str">
        <f aca="false">'Uso e Consumo'!D113</f>
        <v>03.04.0024</v>
      </c>
      <c r="F113" s="34" t="str">
        <f aca="false">'Uso e Consumo'!E113</f>
        <v>BARROTE MADEIRA MASSARANDUBA 6CM X 6CM X 3,00M</v>
      </c>
      <c r="G113" s="34" t="str">
        <f aca="false">'Uso e Consumo'!J113</f>
        <v>UN</v>
      </c>
      <c r="H113" s="49" t="n">
        <f aca="false">'Uso e Consumo'!F113</f>
        <v>162</v>
      </c>
      <c r="I113" s="35" t="n">
        <f aca="false">'Uso e Consumo'!G113</f>
        <v>16716</v>
      </c>
      <c r="J113" s="34" t="str">
        <f aca="false">'Uso e Consumo'!M113</f>
        <v>3.8.1.003 - Madeira</v>
      </c>
      <c r="K113" s="32" t="str">
        <f aca="false">INDEX('Curva ABC'!$K$8:$K$2847,MATCH(D113,'Curva ABC'!$B$8:$B$2847,0))</f>
        <v>A</v>
      </c>
    </row>
    <row r="114" customFormat="false" ht="15" hidden="false" customHeight="false" outlineLevel="0" collapsed="false">
      <c r="A114" s="34" t="s">
        <v>5799</v>
      </c>
      <c r="B114" s="34" t="str">
        <f aca="false">'Uso e Consumo'!A114</f>
        <v>0335</v>
      </c>
      <c r="C114" s="34" t="str">
        <f aca="false">'Uso e Consumo'!B114</f>
        <v>UFV NORONHA VERDE - USO E CONSUMO</v>
      </c>
      <c r="D114" s="33" t="n">
        <f aca="false">'Uso e Consumo'!C114</f>
        <v>1105338</v>
      </c>
      <c r="E114" s="34" t="str">
        <f aca="false">'Uso e Consumo'!D114</f>
        <v>23.10.0055</v>
      </c>
      <c r="F114" s="34" t="str">
        <f aca="false">'Uso e Consumo'!E114</f>
        <v>CHUMBADOR PARABOLT 1/2" COM OLHAL DE ROSCA</v>
      </c>
      <c r="G114" s="34" t="str">
        <f aca="false">'Uso e Consumo'!J114</f>
        <v>UN</v>
      </c>
      <c r="H114" s="49" t="n">
        <f aca="false">'Uso e Consumo'!F114</f>
        <v>300</v>
      </c>
      <c r="I114" s="35" t="n">
        <f aca="false">'Uso e Consumo'!G114</f>
        <v>16572</v>
      </c>
      <c r="J114" s="34" t="str">
        <f aca="false">'Uso e Consumo'!M114</f>
        <v>3.8.1.022 - Elementos de fixação</v>
      </c>
      <c r="K114" s="32" t="str">
        <f aca="false">INDEX('Curva ABC'!$K$8:$K$2847,MATCH(D114,'Curva ABC'!$B$8:$B$2847,0))</f>
        <v>A</v>
      </c>
    </row>
    <row r="115" customFormat="false" ht="15" hidden="false" customHeight="false" outlineLevel="0" collapsed="false">
      <c r="A115" s="34" t="s">
        <v>5799</v>
      </c>
      <c r="B115" s="34" t="str">
        <f aca="false">'Uso e Consumo'!A115</f>
        <v>0335</v>
      </c>
      <c r="C115" s="34" t="str">
        <f aca="false">'Uso e Consumo'!B115</f>
        <v>UFV NORONHA VERDE - USO E CONSUMO</v>
      </c>
      <c r="D115" s="33" t="n">
        <f aca="false">'Uso e Consumo'!C115</f>
        <v>18985</v>
      </c>
      <c r="E115" s="34" t="str">
        <f aca="false">'Uso e Consumo'!D115</f>
        <v>26.13.0007</v>
      </c>
      <c r="F115" s="34" t="str">
        <f aca="false">'Uso e Consumo'!E115</f>
        <v>CALÇA COM ELÁSTICO TAMANHO G - 4 BOLSOS, FORRO NO JOELHO, 02 ARGOLAS REFLETIVAS ABAIXO DO JOELHO, CO</v>
      </c>
      <c r="G115" s="34" t="str">
        <f aca="false">'Uso e Consumo'!J115</f>
        <v>UN</v>
      </c>
      <c r="H115" s="49" t="n">
        <f aca="false">'Uso e Consumo'!F115</f>
        <v>300</v>
      </c>
      <c r="I115" s="35" t="n">
        <f aca="false">'Uso e Consumo'!G115</f>
        <v>16500</v>
      </c>
      <c r="J115" s="34" t="str">
        <f aca="false">'Uso e Consumo'!M115</f>
        <v>4.3.4.003 - Fardamentos</v>
      </c>
      <c r="K115" s="32" t="str">
        <f aca="false">INDEX('Curva ABC'!$K$8:$K$2847,MATCH(D115,'Curva ABC'!$B$8:$B$2847,0))</f>
        <v>A</v>
      </c>
    </row>
    <row r="116" customFormat="false" ht="15" hidden="false" customHeight="false" outlineLevel="0" collapsed="false">
      <c r="A116" s="34" t="s">
        <v>5799</v>
      </c>
      <c r="B116" s="34" t="str">
        <f aca="false">'Uso e Consumo'!A116</f>
        <v>0335</v>
      </c>
      <c r="C116" s="34" t="str">
        <f aca="false">'Uso e Consumo'!B116</f>
        <v>UFV NORONHA VERDE - USO E CONSUMO</v>
      </c>
      <c r="D116" s="33" t="n">
        <f aca="false">'Uso e Consumo'!C116</f>
        <v>53891</v>
      </c>
      <c r="E116" s="34" t="str">
        <f aca="false">'Uso e Consumo'!D116</f>
        <v>26.06.0056</v>
      </c>
      <c r="F116" s="34" t="str">
        <f aca="false">'Uso e Consumo'!E116</f>
        <v>LUVA NITRÍLICA IMPERMEÁVEL COR VERDE (CA 32738)</v>
      </c>
      <c r="G116" s="34" t="str">
        <f aca="false">'Uso e Consumo'!J116</f>
        <v>PAR</v>
      </c>
      <c r="H116" s="49" t="n">
        <f aca="false">'Uso e Consumo'!F116</f>
        <v>3000</v>
      </c>
      <c r="I116" s="35" t="n">
        <f aca="false">'Uso e Consumo'!G116</f>
        <v>16371.94</v>
      </c>
      <c r="J116" s="34" t="str">
        <f aca="false">'Uso e Consumo'!M116</f>
        <v>4.3.4.001 - Equipamento de proteção individual</v>
      </c>
      <c r="K116" s="32" t="str">
        <f aca="false">INDEX('Curva ABC'!$K$8:$K$2847,MATCH(D116,'Curva ABC'!$B$8:$B$2847,0))</f>
        <v>A</v>
      </c>
    </row>
    <row r="117" customFormat="false" ht="15" hidden="false" customHeight="false" outlineLevel="0" collapsed="false">
      <c r="A117" s="34" t="s">
        <v>5799</v>
      </c>
      <c r="B117" s="34" t="str">
        <f aca="false">'Uso e Consumo'!A117</f>
        <v>0335</v>
      </c>
      <c r="C117" s="34" t="str">
        <f aca="false">'Uso e Consumo'!B117</f>
        <v>UFV NORONHA VERDE - USO E CONSUMO</v>
      </c>
      <c r="D117" s="33" t="n">
        <f aca="false">'Uso e Consumo'!C117</f>
        <v>35544</v>
      </c>
      <c r="E117" s="34" t="str">
        <f aca="false">'Uso e Consumo'!D117</f>
        <v>17.20.0152</v>
      </c>
      <c r="F117" s="34" t="str">
        <f aca="false">'Uso e Consumo'!E117</f>
        <v>SOLDA EXOTÉRMICA Nº 200 PLUS F20</v>
      </c>
      <c r="G117" s="34" t="str">
        <f aca="false">'Uso e Consumo'!J117</f>
        <v>UN</v>
      </c>
      <c r="H117" s="49" t="n">
        <f aca="false">'Uso e Consumo'!F117</f>
        <v>300</v>
      </c>
      <c r="I117" s="35" t="n">
        <f aca="false">'Uso e Consumo'!G117</f>
        <v>16290</v>
      </c>
      <c r="J117" s="34" t="str">
        <f aca="false">'Uso e Consumo'!M117</f>
        <v>3.8.1.017 - Instalações elétricas/telefônicas/lógica</v>
      </c>
      <c r="K117" s="32" t="str">
        <f aca="false">INDEX('Curva ABC'!$K$8:$K$2847,MATCH(D117,'Curva ABC'!$B$8:$B$2847,0))</f>
        <v>A</v>
      </c>
    </row>
    <row r="118" customFormat="false" ht="15" hidden="false" customHeight="false" outlineLevel="0" collapsed="false">
      <c r="A118" s="34" t="s">
        <v>5799</v>
      </c>
      <c r="B118" s="34" t="str">
        <f aca="false">'Uso e Consumo'!A118</f>
        <v>0335</v>
      </c>
      <c r="C118" s="34" t="str">
        <f aca="false">'Uso e Consumo'!B118</f>
        <v>UFV NORONHA VERDE - USO E CONSUMO</v>
      </c>
      <c r="D118" s="33" t="n">
        <f aca="false">'Uso e Consumo'!C118</f>
        <v>33591</v>
      </c>
      <c r="E118" s="34" t="str">
        <f aca="false">'Uso e Consumo'!D118</f>
        <v>32.09.0063</v>
      </c>
      <c r="F118" s="34" t="str">
        <f aca="false">'Uso e Consumo'!E118</f>
        <v>BOMBA SUBMERSÍVEL P/ MANGOTE BF3"</v>
      </c>
      <c r="G118" s="34" t="str">
        <f aca="false">'Uso e Consumo'!J118</f>
        <v>UN</v>
      </c>
      <c r="H118" s="49" t="n">
        <f aca="false">'Uso e Consumo'!F118</f>
        <v>10</v>
      </c>
      <c r="I118" s="35" t="n">
        <f aca="false">'Uso e Consumo'!G118</f>
        <v>16284.52</v>
      </c>
      <c r="J118" s="34" t="str">
        <f aca="false">'Uso e Consumo'!M118</f>
        <v>6.1.2.001 - Equipamentos</v>
      </c>
      <c r="K118" s="32" t="str">
        <f aca="false">INDEX('Curva ABC'!$K$8:$K$2847,MATCH(D118,'Curva ABC'!$B$8:$B$2847,0))</f>
        <v>A</v>
      </c>
    </row>
    <row r="119" customFormat="false" ht="15" hidden="false" customHeight="false" outlineLevel="0" collapsed="false">
      <c r="A119" s="34" t="s">
        <v>5799</v>
      </c>
      <c r="B119" s="34" t="str">
        <f aca="false">'Uso e Consumo'!A119</f>
        <v>0335</v>
      </c>
      <c r="C119" s="34" t="str">
        <f aca="false">'Uso e Consumo'!B119</f>
        <v>UFV NORONHA VERDE - USO E CONSUMO</v>
      </c>
      <c r="D119" s="33" t="n">
        <f aca="false">'Uso e Consumo'!C119</f>
        <v>1614266</v>
      </c>
      <c r="E119" s="34" t="str">
        <f aca="false">'Uso e Consumo'!D119</f>
        <v>17.03.0613</v>
      </c>
      <c r="F119" s="34" t="str">
        <f aca="false">'Uso e Consumo'!E119</f>
        <v>ELETROCALHA TIPO U PERFURADA 200X100MM COMPRIMENTO 3,0M</v>
      </c>
      <c r="G119" s="34" t="str">
        <f aca="false">'Uso e Consumo'!J119</f>
        <v>UN</v>
      </c>
      <c r="H119" s="49" t="n">
        <f aca="false">'Uso e Consumo'!F119</f>
        <v>28</v>
      </c>
      <c r="I119" s="35" t="n">
        <f aca="false">'Uso e Consumo'!G119</f>
        <v>15938.84</v>
      </c>
      <c r="J119" s="34" t="str">
        <f aca="false">'Uso e Consumo'!M119</f>
        <v>3.8.1.017 - Instalações elétricas/telefônicas/lógica</v>
      </c>
      <c r="K119" s="32" t="str">
        <f aca="false">INDEX('Curva ABC'!$K$8:$K$2847,MATCH(D119,'Curva ABC'!$B$8:$B$2847,0))</f>
        <v>A</v>
      </c>
    </row>
    <row r="120" customFormat="false" ht="15" hidden="false" customHeight="false" outlineLevel="0" collapsed="false">
      <c r="A120" s="34" t="s">
        <v>5799</v>
      </c>
      <c r="B120" s="34" t="str">
        <f aca="false">'Uso e Consumo'!A120</f>
        <v>0335</v>
      </c>
      <c r="C120" s="34" t="str">
        <f aca="false">'Uso e Consumo'!B120</f>
        <v>UFV NORONHA VERDE - USO E CONSUMO</v>
      </c>
      <c r="D120" s="33" t="n">
        <f aca="false">'Uso e Consumo'!C120</f>
        <v>389170</v>
      </c>
      <c r="E120" s="34" t="str">
        <f aca="false">'Uso e Consumo'!D120</f>
        <v>26.01.0063</v>
      </c>
      <c r="F120" s="34" t="str">
        <f aca="false">'Uso e Consumo'!E120</f>
        <v>UNIFORME ELETRICISTA - VESTIMENTA DE SEGURANÇA NR10 (CALÇA E CAMISA) - ATPV 11,3 CAL/CM² TAMANHO GG</v>
      </c>
      <c r="G120" s="34" t="str">
        <f aca="false">'Uso e Consumo'!J120</f>
        <v>UN</v>
      </c>
      <c r="H120" s="49" t="n">
        <f aca="false">'Uso e Consumo'!F120</f>
        <v>52</v>
      </c>
      <c r="I120" s="35" t="n">
        <f aca="false">'Uso e Consumo'!G120</f>
        <v>15600</v>
      </c>
      <c r="J120" s="34" t="str">
        <f aca="false">'Uso e Consumo'!M120</f>
        <v>4.3.4.001 - Equipamento de proteção individual</v>
      </c>
      <c r="K120" s="32" t="str">
        <f aca="false">INDEX('Curva ABC'!$K$8:$K$2847,MATCH(D120,'Curva ABC'!$B$8:$B$2847,0))</f>
        <v>A</v>
      </c>
    </row>
    <row r="121" customFormat="false" ht="15" hidden="false" customHeight="false" outlineLevel="0" collapsed="false">
      <c r="A121" s="34" t="s">
        <v>5799</v>
      </c>
      <c r="B121" s="34" t="str">
        <f aca="false">'Uso e Consumo'!A121</f>
        <v>0335</v>
      </c>
      <c r="C121" s="34" t="str">
        <f aca="false">'Uso e Consumo'!B121</f>
        <v>UFV NORONHA VERDE - USO E CONSUMO</v>
      </c>
      <c r="D121" s="33" t="n">
        <f aca="false">'Uso e Consumo'!C121</f>
        <v>1469075</v>
      </c>
      <c r="E121" s="34" t="str">
        <f aca="false">'Uso e Consumo'!D121</f>
        <v>02.01.0086</v>
      </c>
      <c r="F121" s="34" t="str">
        <f aca="false">'Uso e Consumo'!E121</f>
        <v>TELA ARAME GALVANIZADO FIO 12 - 2,76MM</v>
      </c>
      <c r="G121" s="34" t="str">
        <f aca="false">'Uso e Consumo'!J121</f>
        <v>KG</v>
      </c>
      <c r="H121" s="49" t="n">
        <f aca="false">'Uso e Consumo'!F121</f>
        <v>1150</v>
      </c>
      <c r="I121" s="35" t="n">
        <f aca="false">'Uso e Consumo'!G121</f>
        <v>15364</v>
      </c>
      <c r="J121" s="34" t="str">
        <f aca="false">'Uso e Consumo'!M121</f>
        <v>3.8.1.002 - Telas e arames</v>
      </c>
      <c r="K121" s="32" t="str">
        <f aca="false">INDEX('Curva ABC'!$K$8:$K$2847,MATCH(D121,'Curva ABC'!$B$8:$B$2847,0))</f>
        <v>A</v>
      </c>
    </row>
    <row r="122" customFormat="false" ht="15" hidden="false" customHeight="false" outlineLevel="0" collapsed="false">
      <c r="A122" s="34" t="s">
        <v>5799</v>
      </c>
      <c r="B122" s="34" t="str">
        <f aca="false">'Uso e Consumo'!A122</f>
        <v>0335</v>
      </c>
      <c r="C122" s="34" t="str">
        <f aca="false">'Uso e Consumo'!B122</f>
        <v>UFV NORONHA VERDE - USO E CONSUMO</v>
      </c>
      <c r="D122" s="33" t="n">
        <f aca="false">'Uso e Consumo'!C122</f>
        <v>1613400</v>
      </c>
      <c r="E122" s="34" t="str">
        <f aca="false">'Uso e Consumo'!D122</f>
        <v>17.08.0251</v>
      </c>
      <c r="F122" s="34" t="str">
        <f aca="false">'Uso e Consumo'!E122</f>
        <v>QUADRO DE DISTRIBUICAO METALICO PARA ATE 20 DISJUNTORES COM BARRAMENTO DE NEUTRO E TERRA PARA BAIXA TENSAO</v>
      </c>
      <c r="G122" s="34" t="str">
        <f aca="false">'Uso e Consumo'!J122</f>
        <v>UN</v>
      </c>
      <c r="H122" s="49" t="n">
        <f aca="false">'Uso e Consumo'!F122</f>
        <v>16</v>
      </c>
      <c r="I122" s="35" t="n">
        <f aca="false">'Uso e Consumo'!G122</f>
        <v>15250.36</v>
      </c>
      <c r="J122" s="34" t="str">
        <f aca="false">'Uso e Consumo'!M122</f>
        <v>3.8.1.017 - Instalações elétricas/telefônicas/lógica</v>
      </c>
      <c r="K122" s="32" t="str">
        <f aca="false">INDEX('Curva ABC'!$K$8:$K$2847,MATCH(D122,'Curva ABC'!$B$8:$B$2847,0))</f>
        <v>A</v>
      </c>
    </row>
    <row r="123" customFormat="false" ht="15" hidden="false" customHeight="false" outlineLevel="0" collapsed="false">
      <c r="A123" s="34" t="s">
        <v>5799</v>
      </c>
      <c r="B123" s="34" t="str">
        <f aca="false">'Uso e Consumo'!A123</f>
        <v>0335</v>
      </c>
      <c r="C123" s="34" t="str">
        <f aca="false">'Uso e Consumo'!B123</f>
        <v>UFV NORONHA VERDE - USO E CONSUMO</v>
      </c>
      <c r="D123" s="33" t="n">
        <f aca="false">'Uso e Consumo'!C123</f>
        <v>1328114</v>
      </c>
      <c r="E123" s="34" t="str">
        <f aca="false">'Uso e Consumo'!D123</f>
        <v>17.01.1204</v>
      </c>
      <c r="F123" s="34" t="str">
        <f aca="false">'Uso e Consumo'!E123</f>
        <v>CABO DE COBRE MONOPOLAR 70 MM², CLASSE 2, 8,7/15 KV, ISOLAÇÃO EPR, COBERTURA PVC PRETO, BLINDAGEM 25 MM²</v>
      </c>
      <c r="G123" s="34" t="str">
        <f aca="false">'Uso e Consumo'!J123</f>
        <v>M</v>
      </c>
      <c r="H123" s="49" t="n">
        <f aca="false">'Uso e Consumo'!F123</f>
        <v>80</v>
      </c>
      <c r="I123" s="35" t="n">
        <f aca="false">'Uso e Consumo'!G123</f>
        <v>15200</v>
      </c>
      <c r="J123" s="34" t="str">
        <f aca="false">'Uso e Consumo'!M123</f>
        <v>3.8.1.017 - Instalações elétricas/telefônicas/lógica</v>
      </c>
      <c r="K123" s="32" t="str">
        <f aca="false">INDEX('Curva ABC'!$K$8:$K$2847,MATCH(D123,'Curva ABC'!$B$8:$B$2847,0))</f>
        <v>A</v>
      </c>
    </row>
    <row r="124" customFormat="false" ht="15" hidden="false" customHeight="false" outlineLevel="0" collapsed="false">
      <c r="A124" s="34" t="s">
        <v>5799</v>
      </c>
      <c r="B124" s="34" t="str">
        <f aca="false">'Uso e Consumo'!A124</f>
        <v>0335</v>
      </c>
      <c r="C124" s="34" t="str">
        <f aca="false">'Uso e Consumo'!B124</f>
        <v>UFV NORONHA VERDE - USO E CONSUMO</v>
      </c>
      <c r="D124" s="33" t="n">
        <f aca="false">'Uso e Consumo'!C124</f>
        <v>554391</v>
      </c>
      <c r="E124" s="34" t="str">
        <f aca="false">'Uso e Consumo'!D124</f>
        <v>32.12.0140</v>
      </c>
      <c r="F124" s="34" t="str">
        <f aca="false">'Uso e Consumo'!E124</f>
        <v>MULTIMETRO DIGIT. FLUKE 87-V AC/DC 600V/1000V CAT IV/III 10A TEMP.1090°C FLUKE 87-V 2074974 F</v>
      </c>
      <c r="G124" s="34" t="str">
        <f aca="false">'Uso e Consumo'!J124</f>
        <v>UN</v>
      </c>
      <c r="H124" s="49" t="n">
        <f aca="false">'Uso e Consumo'!F124</f>
        <v>1</v>
      </c>
      <c r="I124" s="35" t="n">
        <f aca="false">'Uso e Consumo'!G124</f>
        <v>15140</v>
      </c>
      <c r="J124" s="34" t="str">
        <f aca="false">'Uso e Consumo'!M124</f>
        <v>4.1.1.011 - Instrumentos para medição</v>
      </c>
      <c r="K124" s="32" t="str">
        <f aca="false">INDEX('Curva ABC'!$K$8:$K$2847,MATCH(D124,'Curva ABC'!$B$8:$B$2847,0))</f>
        <v>A</v>
      </c>
    </row>
    <row r="125" customFormat="false" ht="15" hidden="false" customHeight="false" outlineLevel="0" collapsed="false">
      <c r="A125" s="34" t="s">
        <v>5799</v>
      </c>
      <c r="B125" s="34" t="str">
        <f aca="false">'Uso e Consumo'!A125</f>
        <v>0335</v>
      </c>
      <c r="C125" s="34" t="str">
        <f aca="false">'Uso e Consumo'!B125</f>
        <v>UFV NORONHA VERDE - USO E CONSUMO</v>
      </c>
      <c r="D125" s="33" t="n">
        <f aca="false">'Uso e Consumo'!C125</f>
        <v>18905</v>
      </c>
      <c r="E125" s="34" t="str">
        <f aca="false">'Uso e Consumo'!D125</f>
        <v>26.06.0023</v>
      </c>
      <c r="F125" s="34" t="str">
        <f aca="false">'Uso e Consumo'!E125</f>
        <v>LUVA DE VAQUETA - TAM G (CA-12059/16474/9455/7384)</v>
      </c>
      <c r="G125" s="34" t="str">
        <f aca="false">'Uso e Consumo'!J125</f>
        <v>PAR</v>
      </c>
      <c r="H125" s="49" t="n">
        <f aca="false">'Uso e Consumo'!F125</f>
        <v>1197</v>
      </c>
      <c r="I125" s="35" t="n">
        <f aca="false">'Uso e Consumo'!G125</f>
        <v>15125.8317</v>
      </c>
      <c r="J125" s="34" t="str">
        <f aca="false">'Uso e Consumo'!M125</f>
        <v>4.3.4.001 - Equipamento de proteção individual</v>
      </c>
      <c r="K125" s="32" t="str">
        <f aca="false">INDEX('Curva ABC'!$K$8:$K$2847,MATCH(D125,'Curva ABC'!$B$8:$B$2847,0))</f>
        <v>A</v>
      </c>
    </row>
    <row r="126" customFormat="false" ht="15" hidden="false" customHeight="false" outlineLevel="0" collapsed="false">
      <c r="A126" s="34" t="s">
        <v>5799</v>
      </c>
      <c r="B126" s="34" t="str">
        <f aca="false">'Uso e Consumo'!A126</f>
        <v>0335</v>
      </c>
      <c r="C126" s="34" t="str">
        <f aca="false">'Uso e Consumo'!B126</f>
        <v>UFV NORONHA VERDE - USO E CONSUMO</v>
      </c>
      <c r="D126" s="33" t="n">
        <f aca="false">'Uso e Consumo'!C126</f>
        <v>294499</v>
      </c>
      <c r="E126" s="34" t="str">
        <f aca="false">'Uso e Consumo'!D126</f>
        <v>32.12.0089</v>
      </c>
      <c r="F126" s="34" t="str">
        <f aca="false">'Uso e Consumo'!E126</f>
        <v>OPACÍMETRO SMOKE CHECK 2000</v>
      </c>
      <c r="G126" s="34" t="str">
        <f aca="false">'Uso e Consumo'!J126</f>
        <v>UN</v>
      </c>
      <c r="H126" s="49" t="n">
        <f aca="false">'Uso e Consumo'!F126</f>
        <v>1</v>
      </c>
      <c r="I126" s="35" t="n">
        <f aca="false">'Uso e Consumo'!G126</f>
        <v>14990</v>
      </c>
      <c r="J126" s="34" t="str">
        <f aca="false">'Uso e Consumo'!M126</f>
        <v>4.1.1.011 - Instrumentos para medição</v>
      </c>
      <c r="K126" s="32" t="str">
        <f aca="false">INDEX('Curva ABC'!$K$8:$K$2847,MATCH(D126,'Curva ABC'!$B$8:$B$2847,0))</f>
        <v>A</v>
      </c>
    </row>
    <row r="127" customFormat="false" ht="15" hidden="false" customHeight="false" outlineLevel="0" collapsed="false">
      <c r="A127" s="34" t="s">
        <v>5799</v>
      </c>
      <c r="B127" s="34" t="str">
        <f aca="false">'Uso e Consumo'!A127</f>
        <v>0335</v>
      </c>
      <c r="C127" s="34" t="str">
        <f aca="false">'Uso e Consumo'!B127</f>
        <v>UFV NORONHA VERDE - USO E CONSUMO</v>
      </c>
      <c r="D127" s="33" t="n">
        <f aca="false">'Uso e Consumo'!C127</f>
        <v>22678</v>
      </c>
      <c r="E127" s="34" t="str">
        <f aca="false">'Uso e Consumo'!D127</f>
        <v>17.02.0216</v>
      </c>
      <c r="F127" s="34" t="str">
        <f aca="false">'Uso e Consumo'!E127</f>
        <v>MANILHA SAPATILHA AÇO 5000 DAN</v>
      </c>
      <c r="G127" s="34" t="str">
        <f aca="false">'Uso e Consumo'!J127</f>
        <v>UN</v>
      </c>
      <c r="H127" s="49" t="n">
        <f aca="false">'Uso e Consumo'!F127</f>
        <v>290</v>
      </c>
      <c r="I127" s="35" t="n">
        <f aca="false">'Uso e Consumo'!G127</f>
        <v>14901.1936</v>
      </c>
      <c r="J127" s="34" t="str">
        <f aca="false">'Uso e Consumo'!M127</f>
        <v>3.8.1.017 - Instalações elétricas/telefônicas/lógica</v>
      </c>
      <c r="K127" s="32" t="str">
        <f aca="false">INDEX('Curva ABC'!$K$8:$K$2847,MATCH(D127,'Curva ABC'!$B$8:$B$2847,0))</f>
        <v>A</v>
      </c>
    </row>
    <row r="128" customFormat="false" ht="15" hidden="false" customHeight="false" outlineLevel="0" collapsed="false">
      <c r="A128" s="34" t="s">
        <v>5799</v>
      </c>
      <c r="B128" s="34" t="str">
        <f aca="false">'Uso e Consumo'!A128</f>
        <v>0335</v>
      </c>
      <c r="C128" s="34" t="str">
        <f aca="false">'Uso e Consumo'!B128</f>
        <v>UFV NORONHA VERDE - USO E CONSUMO</v>
      </c>
      <c r="D128" s="33" t="n">
        <f aca="false">'Uso e Consumo'!C128</f>
        <v>1469673</v>
      </c>
      <c r="E128" s="34" t="str">
        <f aca="false">'Uso e Consumo'!D128</f>
        <v>08.02.0089</v>
      </c>
      <c r="F128" s="34" t="str">
        <f aca="false">'Uso e Consumo'!E128</f>
        <v>BLOCO VEDAÇÃO 19X19X39CM 4MPA</v>
      </c>
      <c r="G128" s="34" t="str">
        <f aca="false">'Uso e Consumo'!J128</f>
        <v>UN</v>
      </c>
      <c r="H128" s="49" t="n">
        <f aca="false">'Uso e Consumo'!F128</f>
        <v>2797</v>
      </c>
      <c r="I128" s="35" t="n">
        <f aca="false">'Uso e Consumo'!G128</f>
        <v>14824.1</v>
      </c>
      <c r="J128" s="34" t="str">
        <f aca="false">'Uso e Consumo'!M128</f>
        <v>3.8.1.008 - Blocos, painéis e divisórias</v>
      </c>
      <c r="K128" s="32" t="str">
        <f aca="false">INDEX('Curva ABC'!$K$8:$K$2847,MATCH(D128,'Curva ABC'!$B$8:$B$2847,0))</f>
        <v>A</v>
      </c>
    </row>
    <row r="129" customFormat="false" ht="15" hidden="false" customHeight="false" outlineLevel="0" collapsed="false">
      <c r="A129" s="34" t="s">
        <v>5799</v>
      </c>
      <c r="B129" s="34" t="str">
        <f aca="false">'Uso e Consumo'!A129</f>
        <v>0335</v>
      </c>
      <c r="C129" s="34" t="str">
        <f aca="false">'Uso e Consumo'!B129</f>
        <v>UFV NORONHA VERDE - USO E CONSUMO</v>
      </c>
      <c r="D129" s="33" t="n">
        <f aca="false">'Uso e Consumo'!C129</f>
        <v>21658</v>
      </c>
      <c r="E129" s="34" t="str">
        <f aca="false">'Uso e Consumo'!D129</f>
        <v>33.02.0084</v>
      </c>
      <c r="F129" s="34" t="str">
        <f aca="false">'Uso e Consumo'!E129</f>
        <v>ESTICADOR</v>
      </c>
      <c r="G129" s="34" t="str">
        <f aca="false">'Uso e Consumo'!J129</f>
        <v>UN</v>
      </c>
      <c r="H129" s="49" t="n">
        <f aca="false">'Uso e Consumo'!F129</f>
        <v>600</v>
      </c>
      <c r="I129" s="35" t="n">
        <f aca="false">'Uso e Consumo'!G129</f>
        <v>14820</v>
      </c>
      <c r="J129" s="34" t="str">
        <f aca="false">'Uso e Consumo'!M129</f>
        <v>6.1.2.001 - Equipamentos</v>
      </c>
      <c r="K129" s="32" t="str">
        <f aca="false">INDEX('Curva ABC'!$K$8:$K$2847,MATCH(D129,'Curva ABC'!$B$8:$B$2847,0))</f>
        <v>A</v>
      </c>
    </row>
    <row r="130" customFormat="false" ht="15" hidden="false" customHeight="false" outlineLevel="0" collapsed="false">
      <c r="A130" s="34" t="s">
        <v>5799</v>
      </c>
      <c r="B130" s="34" t="str">
        <f aca="false">'Uso e Consumo'!A130</f>
        <v>0335</v>
      </c>
      <c r="C130" s="34" t="str">
        <f aca="false">'Uso e Consumo'!B130</f>
        <v>UFV NORONHA VERDE - USO E CONSUMO</v>
      </c>
      <c r="D130" s="33" t="n">
        <f aca="false">'Uso e Consumo'!C130</f>
        <v>22157</v>
      </c>
      <c r="E130" s="34" t="str">
        <f aca="false">'Uso e Consumo'!D130</f>
        <v>29.03.0044</v>
      </c>
      <c r="F130" s="34" t="str">
        <f aca="false">'Uso e Consumo'!E130</f>
        <v>AR CONDICIONADO 18000 BTU/H 220V SPLIT</v>
      </c>
      <c r="G130" s="34" t="str">
        <f aca="false">'Uso e Consumo'!J130</f>
        <v>UN</v>
      </c>
      <c r="H130" s="49" t="n">
        <f aca="false">'Uso e Consumo'!F130</f>
        <v>5</v>
      </c>
      <c r="I130" s="35" t="n">
        <f aca="false">'Uso e Consumo'!G130</f>
        <v>14778.52</v>
      </c>
      <c r="J130" s="34" t="str">
        <f aca="false">'Uso e Consumo'!M130</f>
        <v>4.1.1.009 - Eletro eletrônico e acessórios</v>
      </c>
      <c r="K130" s="32" t="str">
        <f aca="false">INDEX('Curva ABC'!$K$8:$K$2847,MATCH(D130,'Curva ABC'!$B$8:$B$2847,0))</f>
        <v>A</v>
      </c>
    </row>
    <row r="131" customFormat="false" ht="15" hidden="false" customHeight="false" outlineLevel="0" collapsed="false">
      <c r="A131" s="34" t="s">
        <v>5799</v>
      </c>
      <c r="B131" s="34" t="str">
        <f aca="false">'Uso e Consumo'!A131</f>
        <v>0335</v>
      </c>
      <c r="C131" s="34" t="str">
        <f aca="false">'Uso e Consumo'!B131</f>
        <v>UFV NORONHA VERDE - USO E CONSUMO</v>
      </c>
      <c r="D131" s="33" t="n">
        <f aca="false">'Uso e Consumo'!C131</f>
        <v>1654228</v>
      </c>
      <c r="E131" s="34" t="str">
        <f aca="false">'Uso e Consumo'!D131</f>
        <v>18.11.0233</v>
      </c>
      <c r="F131" s="34" t="str">
        <f aca="false">'Uso e Consumo'!E131</f>
        <v>EXTINTOR M500 9 L  3A:40B  PORTATIL</v>
      </c>
      <c r="G131" s="34" t="str">
        <f aca="false">'Uso e Consumo'!J131</f>
        <v>UN</v>
      </c>
      <c r="H131" s="49" t="n">
        <f aca="false">'Uso e Consumo'!F131</f>
        <v>8</v>
      </c>
      <c r="I131" s="35" t="n">
        <f aca="false">'Uso e Consumo'!G131</f>
        <v>14760</v>
      </c>
      <c r="J131" s="34" t="str">
        <f aca="false">'Uso e Consumo'!M131</f>
        <v>4.3.4.005 - Combate incêndio</v>
      </c>
      <c r="K131" s="32" t="str">
        <f aca="false">INDEX('Curva ABC'!$K$8:$K$2847,MATCH(D131,'Curva ABC'!$B$8:$B$2847,0))</f>
        <v>A</v>
      </c>
    </row>
    <row r="132" customFormat="false" ht="15" hidden="false" customHeight="false" outlineLevel="0" collapsed="false">
      <c r="A132" s="34" t="s">
        <v>5799</v>
      </c>
      <c r="B132" s="34" t="str">
        <f aca="false">'Uso e Consumo'!A132</f>
        <v>0335</v>
      </c>
      <c r="C132" s="34" t="str">
        <f aca="false">'Uso e Consumo'!B132</f>
        <v>UFV NORONHA VERDE - USO E CONSUMO</v>
      </c>
      <c r="D132" s="33" t="n">
        <f aca="false">'Uso e Consumo'!C132</f>
        <v>1382574</v>
      </c>
      <c r="E132" s="34" t="str">
        <f aca="false">'Uso e Consumo'!D132</f>
        <v>17.01.1210</v>
      </c>
      <c r="F132" s="34" t="str">
        <f aca="false">'Uso e Consumo'!E132</f>
        <v>CABO COPPERSTEEL 16 MM² 40% IACS</v>
      </c>
      <c r="G132" s="34" t="str">
        <f aca="false">'Uso e Consumo'!J132</f>
        <v>KG</v>
      </c>
      <c r="H132" s="49" t="n">
        <f aca="false">'Uso e Consumo'!F132</f>
        <v>86.78</v>
      </c>
      <c r="I132" s="35" t="n">
        <f aca="false">'Uso e Consumo'!G132</f>
        <v>14308.59</v>
      </c>
      <c r="J132" s="34" t="str">
        <f aca="false">'Uso e Consumo'!M132</f>
        <v>3.8.1.017 - Instalações elétricas/telefônicas/lógica</v>
      </c>
      <c r="K132" s="32" t="str">
        <f aca="false">INDEX('Curva ABC'!$K$8:$K$2847,MATCH(D132,'Curva ABC'!$B$8:$B$2847,0))</f>
        <v>A</v>
      </c>
    </row>
    <row r="133" customFormat="false" ht="15" hidden="false" customHeight="false" outlineLevel="0" collapsed="false">
      <c r="A133" s="34" t="s">
        <v>5799</v>
      </c>
      <c r="B133" s="34" t="str">
        <f aca="false">'Uso e Consumo'!A133</f>
        <v>0335</v>
      </c>
      <c r="C133" s="34" t="str">
        <f aca="false">'Uso e Consumo'!B133</f>
        <v>UFV NORONHA VERDE - USO E CONSUMO</v>
      </c>
      <c r="D133" s="33" t="n">
        <f aca="false">'Uso e Consumo'!C133</f>
        <v>859744</v>
      </c>
      <c r="E133" s="34" t="str">
        <f aca="false">'Uso e Consumo'!D133</f>
        <v>03.10.0022</v>
      </c>
      <c r="F133" s="34" t="str">
        <f aca="false">'Uso e Consumo'!E133</f>
        <v>POSTE EUCALIPTO 10.00 X 18A20</v>
      </c>
      <c r="G133" s="34" t="str">
        <f aca="false">'Uso e Consumo'!J133</f>
        <v>UN</v>
      </c>
      <c r="H133" s="49" t="n">
        <f aca="false">'Uso e Consumo'!F133</f>
        <v>8</v>
      </c>
      <c r="I133" s="35" t="n">
        <f aca="false">'Uso e Consumo'!G133</f>
        <v>14300</v>
      </c>
      <c r="J133" s="34" t="str">
        <f aca="false">'Uso e Consumo'!M133</f>
        <v>3.8.1.003 - Madeira</v>
      </c>
      <c r="K133" s="32" t="str">
        <f aca="false">INDEX('Curva ABC'!$K$8:$K$2847,MATCH(D133,'Curva ABC'!$B$8:$B$2847,0))</f>
        <v>A</v>
      </c>
    </row>
    <row r="134" customFormat="false" ht="15" hidden="false" customHeight="false" outlineLevel="0" collapsed="false">
      <c r="A134" s="34" t="s">
        <v>5799</v>
      </c>
      <c r="B134" s="34" t="str">
        <f aca="false">'Uso e Consumo'!A134</f>
        <v>0335</v>
      </c>
      <c r="C134" s="34" t="str">
        <f aca="false">'Uso e Consumo'!B134</f>
        <v>UFV NORONHA VERDE - USO E CONSUMO</v>
      </c>
      <c r="D134" s="33" t="n">
        <f aca="false">'Uso e Consumo'!C134</f>
        <v>16279</v>
      </c>
      <c r="E134" s="34" t="str">
        <f aca="false">'Uso e Consumo'!D134</f>
        <v>19.01.0006</v>
      </c>
      <c r="F134" s="34" t="str">
        <f aca="false">'Uso e Consumo'!E134</f>
        <v>BACIA SANITARIA CAIXA ACOPLADA SAIDA VERTICAL LOUCA BOTAO CONVENCIONAL BRANCO</v>
      </c>
      <c r="G134" s="34" t="str">
        <f aca="false">'Uso e Consumo'!J134</f>
        <v>UN</v>
      </c>
      <c r="H134" s="49" t="n">
        <f aca="false">'Uso e Consumo'!F134</f>
        <v>65</v>
      </c>
      <c r="I134" s="35" t="n">
        <f aca="false">'Uso e Consumo'!G134</f>
        <v>14157</v>
      </c>
      <c r="J134" s="34" t="str">
        <f aca="false">'Uso e Consumo'!M134</f>
        <v>3.8.1.018 - Instalações hidráulicas/sanitárias/industriais</v>
      </c>
      <c r="K134" s="32" t="str">
        <f aca="false">INDEX('Curva ABC'!$K$8:$K$2847,MATCH(D134,'Curva ABC'!$B$8:$B$2847,0))</f>
        <v>A</v>
      </c>
    </row>
    <row r="135" customFormat="false" ht="15" hidden="false" customHeight="false" outlineLevel="0" collapsed="false">
      <c r="A135" s="34" t="s">
        <v>5799</v>
      </c>
      <c r="B135" s="34" t="str">
        <f aca="false">'Uso e Consumo'!A135</f>
        <v>0335</v>
      </c>
      <c r="C135" s="34" t="str">
        <f aca="false">'Uso e Consumo'!B135</f>
        <v>UFV NORONHA VERDE - USO E CONSUMO</v>
      </c>
      <c r="D135" s="33" t="n">
        <f aca="false">'Uso e Consumo'!C135</f>
        <v>1461468</v>
      </c>
      <c r="E135" s="34" t="str">
        <f aca="false">'Uso e Consumo'!D135</f>
        <v>17.02.0896</v>
      </c>
      <c r="F135" s="34" t="str">
        <f aca="false">'Uso e Consumo'!E135</f>
        <v>ELETRODUTO PEAD FLEXÍVEL - DIÂM. INT. 63 MM</v>
      </c>
      <c r="G135" s="34" t="str">
        <f aca="false">'Uso e Consumo'!J135</f>
        <v>M</v>
      </c>
      <c r="H135" s="49" t="n">
        <f aca="false">'Uso e Consumo'!F135</f>
        <v>1720</v>
      </c>
      <c r="I135" s="35" t="n">
        <f aca="false">'Uso e Consumo'!G135</f>
        <v>14090.1</v>
      </c>
      <c r="J135" s="34" t="str">
        <f aca="false">'Uso e Consumo'!M135</f>
        <v>3.8.1.017 - Instalações elétricas/telefônicas/lógica</v>
      </c>
      <c r="K135" s="32" t="str">
        <f aca="false">INDEX('Curva ABC'!$K$8:$K$2847,MATCH(D135,'Curva ABC'!$B$8:$B$2847,0))</f>
        <v>A</v>
      </c>
    </row>
    <row r="136" customFormat="false" ht="15" hidden="false" customHeight="false" outlineLevel="0" collapsed="false">
      <c r="A136" s="34" t="s">
        <v>5799</v>
      </c>
      <c r="B136" s="34" t="str">
        <f aca="false">'Uso e Consumo'!A136</f>
        <v>0335</v>
      </c>
      <c r="C136" s="34" t="str">
        <f aca="false">'Uso e Consumo'!B136</f>
        <v>UFV NORONHA VERDE - USO E CONSUMO</v>
      </c>
      <c r="D136" s="33" t="n">
        <f aca="false">'Uso e Consumo'!C136</f>
        <v>224752</v>
      </c>
      <c r="E136" s="34" t="str">
        <f aca="false">'Uso e Consumo'!D136</f>
        <v>17.20.0263</v>
      </c>
      <c r="F136" s="34" t="str">
        <f aca="false">'Uso e Consumo'!E136</f>
        <v>TERMINAÇÃO CONTRÁTIL A FRIO, FABRICADA EM BORRACHA Á BASE DE SILICONE COM ALÍVIO DE TENSÃO E VEDAÇÃO, USO INTERNO/EXTERN</v>
      </c>
      <c r="G136" s="34" t="str">
        <f aca="false">'Uso e Consumo'!J136</f>
        <v>UN</v>
      </c>
      <c r="H136" s="49" t="n">
        <f aca="false">'Uso e Consumo'!F136</f>
        <v>12</v>
      </c>
      <c r="I136" s="35" t="n">
        <f aca="false">'Uso e Consumo'!G136</f>
        <v>14063.08</v>
      </c>
      <c r="J136" s="34" t="str">
        <f aca="false">'Uso e Consumo'!M136</f>
        <v>3.8.1.017 - Instalações elétricas/telefônicas/lógica</v>
      </c>
      <c r="K136" s="32" t="str">
        <f aca="false">INDEX('Curva ABC'!$K$8:$K$2847,MATCH(D136,'Curva ABC'!$B$8:$B$2847,0))</f>
        <v>A</v>
      </c>
    </row>
    <row r="137" customFormat="false" ht="15" hidden="false" customHeight="false" outlineLevel="0" collapsed="false">
      <c r="A137" s="34" t="s">
        <v>5799</v>
      </c>
      <c r="B137" s="34" t="str">
        <f aca="false">'Uso e Consumo'!A137</f>
        <v>0335</v>
      </c>
      <c r="C137" s="34" t="str">
        <f aca="false">'Uso e Consumo'!B137</f>
        <v>UFV NORONHA VERDE - USO E CONSUMO</v>
      </c>
      <c r="D137" s="33" t="n">
        <f aca="false">'Uso e Consumo'!C137</f>
        <v>428617</v>
      </c>
      <c r="E137" s="34" t="str">
        <f aca="false">'Uso e Consumo'!D137</f>
        <v>29.02.0364</v>
      </c>
      <c r="F137" s="34" t="str">
        <f aca="false">'Uso e Consumo'!E137</f>
        <v>CADEIRA DE PLÁSTICO SEM BRAÇO</v>
      </c>
      <c r="G137" s="34" t="str">
        <f aca="false">'Uso e Consumo'!J137</f>
        <v>UN</v>
      </c>
      <c r="H137" s="49" t="n">
        <f aca="false">'Uso e Consumo'!F137</f>
        <v>280</v>
      </c>
      <c r="I137" s="35" t="n">
        <f aca="false">'Uso e Consumo'!G137</f>
        <v>13944</v>
      </c>
      <c r="J137" s="34" t="str">
        <f aca="false">'Uso e Consumo'!M137</f>
        <v>4.1.1.008 - Mobiliário e acessórios</v>
      </c>
      <c r="K137" s="32" t="str">
        <f aca="false">INDEX('Curva ABC'!$K$8:$K$2847,MATCH(D137,'Curva ABC'!$B$8:$B$2847,0))</f>
        <v>A</v>
      </c>
    </row>
    <row r="138" customFormat="false" ht="15" hidden="false" customHeight="false" outlineLevel="0" collapsed="false">
      <c r="A138" s="34" t="s">
        <v>5799</v>
      </c>
      <c r="B138" s="34" t="str">
        <f aca="false">'Uso e Consumo'!A138</f>
        <v>0335</v>
      </c>
      <c r="C138" s="34" t="str">
        <f aca="false">'Uso e Consumo'!B138</f>
        <v>UFV NORONHA VERDE - USO E CONSUMO</v>
      </c>
      <c r="D138" s="33" t="n">
        <f aca="false">'Uso e Consumo'!C138</f>
        <v>1464627</v>
      </c>
      <c r="E138" s="34" t="str">
        <f aca="false">'Uso e Consumo'!D138</f>
        <v>01.09.0388</v>
      </c>
      <c r="F138" s="34" t="str">
        <f aca="false">'Uso e Consumo'!E138</f>
        <v>PERFIL TUBULAR LAMINADO 100X100X2,25MM </v>
      </c>
      <c r="G138" s="34" t="str">
        <f aca="false">'Uso e Consumo'!J138</f>
        <v>M</v>
      </c>
      <c r="H138" s="49" t="n">
        <f aca="false">'Uso e Consumo'!F138</f>
        <v>34.65</v>
      </c>
      <c r="I138" s="35" t="n">
        <f aca="false">'Uso e Consumo'!G138</f>
        <v>13918.26</v>
      </c>
      <c r="J138" s="34" t="str">
        <f aca="false">'Uso e Consumo'!M138</f>
        <v>3.8.1.001 - Aços e trefilados</v>
      </c>
      <c r="K138" s="32" t="str">
        <f aca="false">INDEX('Curva ABC'!$K$8:$K$2847,MATCH(D138,'Curva ABC'!$B$8:$B$2847,0))</f>
        <v>A</v>
      </c>
    </row>
    <row r="139" customFormat="false" ht="15" hidden="false" customHeight="false" outlineLevel="0" collapsed="false">
      <c r="A139" s="34" t="s">
        <v>5799</v>
      </c>
      <c r="B139" s="34" t="str">
        <f aca="false">'Uso e Consumo'!A139</f>
        <v>0335</v>
      </c>
      <c r="C139" s="34" t="str">
        <f aca="false">'Uso e Consumo'!B139</f>
        <v>UFV NORONHA VERDE - USO E CONSUMO</v>
      </c>
      <c r="D139" s="33" t="n">
        <f aca="false">'Uso e Consumo'!C139</f>
        <v>1461516</v>
      </c>
      <c r="E139" s="34" t="str">
        <f aca="false">'Uso e Consumo'!D139</f>
        <v>18.01.1642</v>
      </c>
      <c r="F139" s="34" t="str">
        <f aca="false">'Uso e Consumo'!E139</f>
        <v>TUBO PEAD CORRUGADO NÃO PERFURADO 200 MM </v>
      </c>
      <c r="G139" s="34" t="str">
        <f aca="false">'Uso e Consumo'!J139</f>
        <v>M</v>
      </c>
      <c r="H139" s="49" t="n">
        <f aca="false">'Uso e Consumo'!F139</f>
        <v>50</v>
      </c>
      <c r="I139" s="35" t="n">
        <f aca="false">'Uso e Consumo'!G139</f>
        <v>13871.02</v>
      </c>
      <c r="J139" s="34" t="str">
        <f aca="false">'Uso e Consumo'!M139</f>
        <v>3.8.1.018 - Instalações hidráulicas/sanitárias/industriais</v>
      </c>
      <c r="K139" s="32" t="str">
        <f aca="false">INDEX('Curva ABC'!$K$8:$K$2847,MATCH(D139,'Curva ABC'!$B$8:$B$2847,0))</f>
        <v>A</v>
      </c>
    </row>
    <row r="140" customFormat="false" ht="15" hidden="false" customHeight="false" outlineLevel="0" collapsed="false">
      <c r="A140" s="34" t="s">
        <v>5799</v>
      </c>
      <c r="B140" s="34" t="str">
        <f aca="false">'Uso e Consumo'!A140</f>
        <v>0335</v>
      </c>
      <c r="C140" s="34" t="str">
        <f aca="false">'Uso e Consumo'!B140</f>
        <v>UFV NORONHA VERDE - USO E CONSUMO</v>
      </c>
      <c r="D140" s="33" t="n">
        <f aca="false">'Uso e Consumo'!C140</f>
        <v>18981</v>
      </c>
      <c r="E140" s="34" t="str">
        <f aca="false">'Uso e Consumo'!D140</f>
        <v>26.13.0003</v>
      </c>
      <c r="F140" s="34" t="str">
        <f aca="false">'Uso e Consumo'!E140</f>
        <v>BATA MANGA LONGA TAMANHO G - FORRO NO OMBRO, GOLA COM VELCRO, 3 BOLSOS, LOGOMARCA NAS COSTAS, 02 ARG</v>
      </c>
      <c r="G140" s="34" t="str">
        <f aca="false">'Uso e Consumo'!J140</f>
        <v>UN</v>
      </c>
      <c r="H140" s="49" t="n">
        <f aca="false">'Uso e Consumo'!F140</f>
        <v>250</v>
      </c>
      <c r="I140" s="35" t="n">
        <f aca="false">'Uso e Consumo'!G140</f>
        <v>13750</v>
      </c>
      <c r="J140" s="34" t="str">
        <f aca="false">'Uso e Consumo'!M140</f>
        <v>4.3.4.003 - Fardamentos</v>
      </c>
      <c r="K140" s="32" t="str">
        <f aca="false">INDEX('Curva ABC'!$K$8:$K$2847,MATCH(D140,'Curva ABC'!$B$8:$B$2847,0))</f>
        <v>A</v>
      </c>
    </row>
    <row r="141" customFormat="false" ht="15" hidden="false" customHeight="false" outlineLevel="0" collapsed="false">
      <c r="A141" s="34" t="s">
        <v>5799</v>
      </c>
      <c r="B141" s="34" t="str">
        <f aca="false">'Uso e Consumo'!A141</f>
        <v>0335</v>
      </c>
      <c r="C141" s="34" t="str">
        <f aca="false">'Uso e Consumo'!B141</f>
        <v>UFV NORONHA VERDE - USO E CONSUMO</v>
      </c>
      <c r="D141" s="33" t="n">
        <f aca="false">'Uso e Consumo'!C141</f>
        <v>18984</v>
      </c>
      <c r="E141" s="34" t="str">
        <f aca="false">'Uso e Consumo'!D141</f>
        <v>26.13.0006</v>
      </c>
      <c r="F141" s="34" t="str">
        <f aca="false">'Uso e Consumo'!E141</f>
        <v>CALÇA COM ELÁSTICO TAMANHO M - 4 BOLSOS, FORRO NO JOELHO, 02 ARGOLAS REFLETIVAS ABAIXO DO JOELHO, CO</v>
      </c>
      <c r="G141" s="34" t="str">
        <f aca="false">'Uso e Consumo'!J141</f>
        <v>UN</v>
      </c>
      <c r="H141" s="49" t="n">
        <f aca="false">'Uso e Consumo'!F141</f>
        <v>250</v>
      </c>
      <c r="I141" s="35" t="n">
        <f aca="false">'Uso e Consumo'!G141</f>
        <v>13750</v>
      </c>
      <c r="J141" s="34" t="str">
        <f aca="false">'Uso e Consumo'!M141</f>
        <v>4.3.4.003 - Fardamentos</v>
      </c>
      <c r="K141" s="32" t="str">
        <f aca="false">INDEX('Curva ABC'!$K$8:$K$2847,MATCH(D141,'Curva ABC'!$B$8:$B$2847,0))</f>
        <v>A</v>
      </c>
    </row>
    <row r="142" customFormat="false" ht="15" hidden="false" customHeight="false" outlineLevel="0" collapsed="false">
      <c r="A142" s="34" t="s">
        <v>5799</v>
      </c>
      <c r="B142" s="34" t="str">
        <f aca="false">'Uso e Consumo'!A142</f>
        <v>0335</v>
      </c>
      <c r="C142" s="34" t="str">
        <f aca="false">'Uso e Consumo'!B142</f>
        <v>UFV NORONHA VERDE - USO E CONSUMO</v>
      </c>
      <c r="D142" s="33" t="n">
        <f aca="false">'Uso e Consumo'!C142</f>
        <v>389167</v>
      </c>
      <c r="E142" s="34" t="str">
        <f aca="false">'Uso e Consumo'!D142</f>
        <v>26.01.0060</v>
      </c>
      <c r="F142" s="34" t="str">
        <f aca="false">'Uso e Consumo'!E142</f>
        <v>UNIFORME ELETRICISTA - VESTIMENTA DE SEGURANÇA NR10 (CALÇA E CAMISA) - ATPV 11,3 CAL/CM² TAMANHO P</v>
      </c>
      <c r="G142" s="34" t="str">
        <f aca="false">'Uso e Consumo'!J142</f>
        <v>UN</v>
      </c>
      <c r="H142" s="49" t="n">
        <f aca="false">'Uso e Consumo'!F142</f>
        <v>46</v>
      </c>
      <c r="I142" s="35" t="n">
        <f aca="false">'Uso e Consumo'!G142</f>
        <v>13620</v>
      </c>
      <c r="J142" s="34" t="str">
        <f aca="false">'Uso e Consumo'!M142</f>
        <v>4.3.4.001 - Equipamento de proteção individual</v>
      </c>
      <c r="K142" s="32" t="str">
        <f aca="false">INDEX('Curva ABC'!$K$8:$K$2847,MATCH(D142,'Curva ABC'!$B$8:$B$2847,0))</f>
        <v>A</v>
      </c>
    </row>
    <row r="143" customFormat="false" ht="15" hidden="false" customHeight="false" outlineLevel="0" collapsed="false">
      <c r="A143" s="34" t="s">
        <v>5799</v>
      </c>
      <c r="B143" s="34" t="str">
        <f aca="false">'Uso e Consumo'!A143</f>
        <v>0335</v>
      </c>
      <c r="C143" s="34" t="str">
        <f aca="false">'Uso e Consumo'!B143</f>
        <v>UFV NORONHA VERDE - USO E CONSUMO</v>
      </c>
      <c r="D143" s="33" t="n">
        <f aca="false">'Uso e Consumo'!C143</f>
        <v>1382815</v>
      </c>
      <c r="E143" s="34" t="str">
        <f aca="false">'Uso e Consumo'!D143</f>
        <v>01.11.0311</v>
      </c>
      <c r="F143" s="34" t="str">
        <f aca="false">'Uso e Consumo'!E143</f>
        <v>CHAPA DE AÇO SAE 1020 150 X 40 X 4MM</v>
      </c>
      <c r="G143" s="34" t="str">
        <f aca="false">'Uso e Consumo'!J143</f>
        <v>UN</v>
      </c>
      <c r="H143" s="49" t="n">
        <f aca="false">'Uso e Consumo'!F143</f>
        <v>453</v>
      </c>
      <c r="I143" s="35" t="n">
        <f aca="false">'Uso e Consumo'!G143</f>
        <v>13454.55</v>
      </c>
      <c r="J143" s="34" t="str">
        <f aca="false">'Uso e Consumo'!M143</f>
        <v>3.8.1.001 - Aços e trefilados</v>
      </c>
      <c r="K143" s="32" t="str">
        <f aca="false">INDEX('Curva ABC'!$K$8:$K$2847,MATCH(D143,'Curva ABC'!$B$8:$B$2847,0))</f>
        <v>A</v>
      </c>
    </row>
    <row r="144" customFormat="false" ht="15" hidden="false" customHeight="false" outlineLevel="0" collapsed="false">
      <c r="A144" s="34" t="s">
        <v>5799</v>
      </c>
      <c r="B144" s="34" t="str">
        <f aca="false">'Uso e Consumo'!A144</f>
        <v>0335</v>
      </c>
      <c r="C144" s="34" t="str">
        <f aca="false">'Uso e Consumo'!B144</f>
        <v>UFV NORONHA VERDE - USO E CONSUMO</v>
      </c>
      <c r="D144" s="33" t="n">
        <f aca="false">'Uso e Consumo'!C144</f>
        <v>1475394</v>
      </c>
      <c r="E144" s="34" t="str">
        <f aca="false">'Uso e Consumo'!D144</f>
        <v>17.21.0114</v>
      </c>
      <c r="F144" s="34" t="str">
        <f aca="false">'Uso e Consumo'!E144</f>
        <v>CONJUNTO DE FERRAGENS PARA FIXAÇÃO DE TP EM EST. CONCRETO</v>
      </c>
      <c r="G144" s="34" t="str">
        <f aca="false">'Uso e Consumo'!J144</f>
        <v>UN</v>
      </c>
      <c r="H144" s="49" t="n">
        <f aca="false">'Uso e Consumo'!F144</f>
        <v>6</v>
      </c>
      <c r="I144" s="35" t="n">
        <f aca="false">'Uso e Consumo'!G144</f>
        <v>13309.5</v>
      </c>
      <c r="J144" s="34" t="str">
        <f aca="false">'Uso e Consumo'!M144</f>
        <v>3.8.1.022 - Elementos de fixação</v>
      </c>
      <c r="K144" s="32" t="str">
        <f aca="false">INDEX('Curva ABC'!$K$8:$K$2847,MATCH(D144,'Curva ABC'!$B$8:$B$2847,0))</f>
        <v>A</v>
      </c>
    </row>
    <row r="145" customFormat="false" ht="15" hidden="false" customHeight="false" outlineLevel="0" collapsed="false">
      <c r="A145" s="34" t="s">
        <v>5799</v>
      </c>
      <c r="B145" s="34" t="str">
        <f aca="false">'Uso e Consumo'!A145</f>
        <v>0335</v>
      </c>
      <c r="C145" s="34" t="str">
        <f aca="false">'Uso e Consumo'!B145</f>
        <v>UFV NORONHA VERDE - USO E CONSUMO</v>
      </c>
      <c r="D145" s="33" t="n">
        <f aca="false">'Uso e Consumo'!C145</f>
        <v>1385799</v>
      </c>
      <c r="E145" s="34" t="str">
        <f aca="false">'Uso e Consumo'!D145</f>
        <v>17.01.1224</v>
      </c>
      <c r="F145" s="34" t="str">
        <f aca="false">'Uso e Consumo'!E145</f>
        <v>CABO TRIPOLAR POTÊNCIA 2,5 MM², FLEXÍVEL COBRE, EPR, 0,6/1KV, PVC PRETO, 3 VIAS</v>
      </c>
      <c r="G145" s="34" t="str">
        <f aca="false">'Uso e Consumo'!J145</f>
        <v>M</v>
      </c>
      <c r="H145" s="49" t="n">
        <f aca="false">'Uso e Consumo'!F145</f>
        <v>1040</v>
      </c>
      <c r="I145" s="35" t="n">
        <f aca="false">'Uso e Consumo'!G145</f>
        <v>13247</v>
      </c>
      <c r="J145" s="34" t="str">
        <f aca="false">'Uso e Consumo'!M145</f>
        <v>3.8.1.017 - Instalações elétricas/telefônicas/lógica</v>
      </c>
      <c r="K145" s="32" t="str">
        <f aca="false">INDEX('Curva ABC'!$K$8:$K$2847,MATCH(D145,'Curva ABC'!$B$8:$B$2847,0))</f>
        <v>A</v>
      </c>
    </row>
    <row r="146" customFormat="false" ht="15" hidden="false" customHeight="false" outlineLevel="0" collapsed="false">
      <c r="A146" s="34" t="s">
        <v>5799</v>
      </c>
      <c r="B146" s="34" t="str">
        <f aca="false">'Uso e Consumo'!A146</f>
        <v>0335</v>
      </c>
      <c r="C146" s="34" t="str">
        <f aca="false">'Uso e Consumo'!B146</f>
        <v>UFV NORONHA VERDE - USO E CONSUMO</v>
      </c>
      <c r="D146" s="33" t="n">
        <f aca="false">'Uso e Consumo'!C146</f>
        <v>224675</v>
      </c>
      <c r="E146" s="34" t="str">
        <f aca="false">'Uso e Consumo'!D146</f>
        <v>17.02.0353</v>
      </c>
      <c r="F146" s="34" t="str">
        <f aca="false">'Uso e Consumo'!E146</f>
        <v>EMENDAS PARA CABOS ISOLADOS</v>
      </c>
      <c r="G146" s="34" t="str">
        <f aca="false">'Uso e Consumo'!J146</f>
        <v>UN</v>
      </c>
      <c r="H146" s="49" t="n">
        <f aca="false">'Uso e Consumo'!F146</f>
        <v>20</v>
      </c>
      <c r="I146" s="35" t="n">
        <f aca="false">'Uso e Consumo'!G146</f>
        <v>13186.83</v>
      </c>
      <c r="J146" s="34" t="str">
        <f aca="false">'Uso e Consumo'!M146</f>
        <v>3.8.1.017 - Instalações elétricas/telefônicas/lógica</v>
      </c>
      <c r="K146" s="32" t="str">
        <f aca="false">INDEX('Curva ABC'!$K$8:$K$2847,MATCH(D146,'Curva ABC'!$B$8:$B$2847,0))</f>
        <v>A</v>
      </c>
    </row>
    <row r="147" customFormat="false" ht="15" hidden="false" customHeight="false" outlineLevel="0" collapsed="false">
      <c r="A147" s="34" t="s">
        <v>5799</v>
      </c>
      <c r="B147" s="34" t="str">
        <f aca="false">'Uso e Consumo'!A147</f>
        <v>0335</v>
      </c>
      <c r="C147" s="34" t="str">
        <f aca="false">'Uso e Consumo'!B147</f>
        <v>UFV NORONHA VERDE - USO E CONSUMO</v>
      </c>
      <c r="D147" s="33" t="n">
        <f aca="false">'Uso e Consumo'!C147</f>
        <v>938077</v>
      </c>
      <c r="E147" s="34" t="str">
        <f aca="false">'Uso e Consumo'!D147</f>
        <v>17.16.0530</v>
      </c>
      <c r="F147" s="34" t="str">
        <f aca="false">'Uso e Consumo'!E147</f>
        <v>TERMINAL OLHAL A COMPRESSÃO 300MM²</v>
      </c>
      <c r="G147" s="34" t="str">
        <f aca="false">'Uso e Consumo'!J147</f>
        <v>UN</v>
      </c>
      <c r="H147" s="49" t="n">
        <f aca="false">'Uso e Consumo'!F147</f>
        <v>187</v>
      </c>
      <c r="I147" s="35" t="n">
        <f aca="false">'Uso e Consumo'!G147</f>
        <v>13108.7</v>
      </c>
      <c r="J147" s="34" t="str">
        <f aca="false">'Uso e Consumo'!M147</f>
        <v>3.8.1.017 - Instalações elétricas/telefônicas/lógica</v>
      </c>
      <c r="K147" s="32" t="str">
        <f aca="false">INDEX('Curva ABC'!$K$8:$K$2847,MATCH(D147,'Curva ABC'!$B$8:$B$2847,0))</f>
        <v>A</v>
      </c>
    </row>
    <row r="148" customFormat="false" ht="15" hidden="false" customHeight="false" outlineLevel="0" collapsed="false">
      <c r="A148" s="34" t="s">
        <v>5799</v>
      </c>
      <c r="B148" s="34" t="str">
        <f aca="false">'Uso e Consumo'!A148</f>
        <v>0335</v>
      </c>
      <c r="C148" s="34" t="str">
        <f aca="false">'Uso e Consumo'!B148</f>
        <v>UFV NORONHA VERDE - USO E CONSUMO</v>
      </c>
      <c r="D148" s="33" t="n">
        <f aca="false">'Uso e Consumo'!C148</f>
        <v>873568</v>
      </c>
      <c r="E148" s="34" t="str">
        <f aca="false">'Uso e Consumo'!D148</f>
        <v>15.05.0015</v>
      </c>
      <c r="F148" s="34" t="str">
        <f aca="false">'Uso e Consumo'!E148</f>
        <v>IMPERMEABILIZANTE ASFÁLTICO DISPERSO EM ÁGUA (IGOL - 2 DA SIKA OU SIMILAR) LATA DE 18L</v>
      </c>
      <c r="G148" s="34" t="str">
        <f aca="false">'Uso e Consumo'!J148</f>
        <v>UN</v>
      </c>
      <c r="H148" s="49" t="n">
        <f aca="false">'Uso e Consumo'!F148</f>
        <v>63</v>
      </c>
      <c r="I148" s="35" t="n">
        <f aca="false">'Uso e Consumo'!G148</f>
        <v>13104.51</v>
      </c>
      <c r="J148" s="34" t="str">
        <f aca="false">'Uso e Consumo'!M148</f>
        <v>3.8.1.015 - Impermeabilizantes</v>
      </c>
      <c r="K148" s="32" t="str">
        <f aca="false">INDEX('Curva ABC'!$K$8:$K$2847,MATCH(D148,'Curva ABC'!$B$8:$B$2847,0))</f>
        <v>A</v>
      </c>
    </row>
    <row r="149" customFormat="false" ht="15" hidden="false" customHeight="false" outlineLevel="0" collapsed="false">
      <c r="A149" s="34" t="s">
        <v>5799</v>
      </c>
      <c r="B149" s="34" t="str">
        <f aca="false">'Uso e Consumo'!A149</f>
        <v>0335</v>
      </c>
      <c r="C149" s="34" t="str">
        <f aca="false">'Uso e Consumo'!B149</f>
        <v>UFV NORONHA VERDE - USO E CONSUMO</v>
      </c>
      <c r="D149" s="33" t="n">
        <f aca="false">'Uso e Consumo'!C149</f>
        <v>847120</v>
      </c>
      <c r="E149" s="34" t="str">
        <f aca="false">'Uso e Consumo'!D149</f>
        <v>08.02.0033</v>
      </c>
      <c r="F149" s="34" t="str">
        <f aca="false">'Uso e Consumo'!E149</f>
        <v>BLOCO CONCRETO DE 14X19X39 ATÉ 4 MPA</v>
      </c>
      <c r="G149" s="34" t="str">
        <f aca="false">'Uso e Consumo'!J149</f>
        <v>UN</v>
      </c>
      <c r="H149" s="49" t="n">
        <f aca="false">'Uso e Consumo'!F149</f>
        <v>3024</v>
      </c>
      <c r="I149" s="35" t="n">
        <f aca="false">'Uso e Consumo'!G149</f>
        <v>12942.72</v>
      </c>
      <c r="J149" s="34" t="str">
        <f aca="false">'Uso e Consumo'!M149</f>
        <v>3.8.1.008 - Blocos, painéis e divisórias</v>
      </c>
      <c r="K149" s="32" t="str">
        <f aca="false">INDEX('Curva ABC'!$K$8:$K$2847,MATCH(D149,'Curva ABC'!$B$8:$B$2847,0))</f>
        <v>A</v>
      </c>
    </row>
    <row r="150" customFormat="false" ht="15" hidden="false" customHeight="false" outlineLevel="0" collapsed="false">
      <c r="A150" s="34" t="s">
        <v>5799</v>
      </c>
      <c r="B150" s="34" t="str">
        <f aca="false">'Uso e Consumo'!A150</f>
        <v>0335</v>
      </c>
      <c r="C150" s="34" t="str">
        <f aca="false">'Uso e Consumo'!B150</f>
        <v>UFV NORONHA VERDE - USO E CONSUMO</v>
      </c>
      <c r="D150" s="33" t="n">
        <f aca="false">'Uso e Consumo'!C150</f>
        <v>1465613</v>
      </c>
      <c r="E150" s="34" t="str">
        <f aca="false">'Uso e Consumo'!D150</f>
        <v>17.01.1251</v>
      </c>
      <c r="F150" s="34" t="str">
        <f aca="false">'Uso e Consumo'!E150</f>
        <v>CABO COBRE ISOLADO 450/750 V, 70 MM², TÊMPERA MOLE, ENCORDOA CLAS 2, FORM 19 FIOS 2,12 MM, DN 10,70 MM, MASSA 0,682 KG/M</v>
      </c>
      <c r="G150" s="34" t="str">
        <f aca="false">'Uso e Consumo'!J150</f>
        <v>M</v>
      </c>
      <c r="H150" s="49" t="n">
        <f aca="false">'Uso e Consumo'!F150</f>
        <v>150</v>
      </c>
      <c r="I150" s="35" t="n">
        <f aca="false">'Uso e Consumo'!G150</f>
        <v>12897.4</v>
      </c>
      <c r="J150" s="34" t="str">
        <f aca="false">'Uso e Consumo'!M150</f>
        <v>3.8.1.017 - Instalações elétricas/telefônicas/lógica</v>
      </c>
      <c r="K150" s="32" t="str">
        <f aca="false">INDEX('Curva ABC'!$K$8:$K$2847,MATCH(D150,'Curva ABC'!$B$8:$B$2847,0))</f>
        <v>A</v>
      </c>
    </row>
    <row r="151" customFormat="false" ht="15" hidden="false" customHeight="false" outlineLevel="0" collapsed="false">
      <c r="A151" s="34" t="s">
        <v>5799</v>
      </c>
      <c r="B151" s="34" t="str">
        <f aca="false">'Uso e Consumo'!A151</f>
        <v>0335</v>
      </c>
      <c r="C151" s="34" t="str">
        <f aca="false">'Uso e Consumo'!B151</f>
        <v>UFV NORONHA VERDE - USO E CONSUMO</v>
      </c>
      <c r="D151" s="33" t="n">
        <f aca="false">'Uso e Consumo'!C151</f>
        <v>1382743</v>
      </c>
      <c r="E151" s="34" t="str">
        <f aca="false">'Uso e Consumo'!D151</f>
        <v>33.02.3177</v>
      </c>
      <c r="F151" s="34" t="str">
        <f aca="false">'Uso e Consumo'!E151</f>
        <v>GRAMPO PARALELO BIMETÁLICO PARA CABOS DE 16 A 95 MM²</v>
      </c>
      <c r="G151" s="34" t="str">
        <f aca="false">'Uso e Consumo'!J151</f>
        <v>UN</v>
      </c>
      <c r="H151" s="49" t="n">
        <f aca="false">'Uso e Consumo'!F151</f>
        <v>159</v>
      </c>
      <c r="I151" s="35" t="n">
        <f aca="false">'Uso e Consumo'!G151</f>
        <v>12796.32</v>
      </c>
      <c r="J151" s="34" t="str">
        <f aca="false">'Uso e Consumo'!M151</f>
        <v>3.1.6.002 - Pneus e peças</v>
      </c>
      <c r="K151" s="32" t="str">
        <f aca="false">INDEX('Curva ABC'!$K$8:$K$2847,MATCH(D151,'Curva ABC'!$B$8:$B$2847,0))</f>
        <v>A</v>
      </c>
    </row>
    <row r="152" customFormat="false" ht="15" hidden="false" customHeight="false" outlineLevel="0" collapsed="false">
      <c r="A152" s="34" t="s">
        <v>5799</v>
      </c>
      <c r="B152" s="34" t="str">
        <f aca="false">'Uso e Consumo'!A152</f>
        <v>0335</v>
      </c>
      <c r="C152" s="34" t="str">
        <f aca="false">'Uso e Consumo'!B152</f>
        <v>UFV NORONHA VERDE - USO E CONSUMO</v>
      </c>
      <c r="D152" s="33" t="n">
        <f aca="false">'Uso e Consumo'!C152</f>
        <v>19240</v>
      </c>
      <c r="E152" s="34" t="str">
        <f aca="false">'Uso e Consumo'!D152</f>
        <v>29.02.0026</v>
      </c>
      <c r="F152" s="34" t="str">
        <f aca="false">'Uso e Consumo'!E152</f>
        <v>CAMA BELICHE</v>
      </c>
      <c r="G152" s="34" t="str">
        <f aca="false">'Uso e Consumo'!J152</f>
        <v>UN</v>
      </c>
      <c r="H152" s="49" t="n">
        <f aca="false">'Uso e Consumo'!F152</f>
        <v>16</v>
      </c>
      <c r="I152" s="35" t="n">
        <f aca="false">'Uso e Consumo'!G152</f>
        <v>12768</v>
      </c>
      <c r="J152" s="34" t="str">
        <f aca="false">'Uso e Consumo'!M152</f>
        <v>4.1.1.008 - Mobiliário e acessórios</v>
      </c>
      <c r="K152" s="32" t="str">
        <f aca="false">INDEX('Curva ABC'!$K$8:$K$2847,MATCH(D152,'Curva ABC'!$B$8:$B$2847,0))</f>
        <v>A</v>
      </c>
    </row>
    <row r="153" customFormat="false" ht="15" hidden="false" customHeight="false" outlineLevel="0" collapsed="false">
      <c r="A153" s="34" t="s">
        <v>5799</v>
      </c>
      <c r="B153" s="34" t="str">
        <f aca="false">'Uso e Consumo'!A153</f>
        <v>0335</v>
      </c>
      <c r="C153" s="34" t="str">
        <f aca="false">'Uso e Consumo'!B153</f>
        <v>UFV NORONHA VERDE - USO E CONSUMO</v>
      </c>
      <c r="D153" s="33" t="n">
        <f aca="false">'Uso e Consumo'!C153</f>
        <v>1257072</v>
      </c>
      <c r="E153" s="34" t="str">
        <f aca="false">'Uso e Consumo'!D153</f>
        <v>01.11.0305</v>
      </c>
      <c r="F153" s="34" t="str">
        <f aca="false">'Uso e Consumo'!E153</f>
        <v>KIT DE CHAPA 1/2 CORTADA A LASER</v>
      </c>
      <c r="G153" s="34" t="str">
        <f aca="false">'Uso e Consumo'!J153</f>
        <v>KG</v>
      </c>
      <c r="H153" s="49" t="n">
        <f aca="false">'Uso e Consumo'!F153</f>
        <v>730</v>
      </c>
      <c r="I153" s="35" t="n">
        <f aca="false">'Uso e Consumo'!G153</f>
        <v>12726.09</v>
      </c>
      <c r="J153" s="34" t="str">
        <f aca="false">'Uso e Consumo'!M153</f>
        <v>3.8.1.001 - Aços e trefilados</v>
      </c>
      <c r="K153" s="32" t="str">
        <f aca="false">INDEX('Curva ABC'!$K$8:$K$2847,MATCH(D153,'Curva ABC'!$B$8:$B$2847,0))</f>
        <v>A</v>
      </c>
    </row>
    <row r="154" customFormat="false" ht="15" hidden="false" customHeight="false" outlineLevel="0" collapsed="false">
      <c r="A154" s="34" t="s">
        <v>5799</v>
      </c>
      <c r="B154" s="34" t="str">
        <f aca="false">'Uso e Consumo'!A154</f>
        <v>0335</v>
      </c>
      <c r="C154" s="34" t="str">
        <f aca="false">'Uso e Consumo'!B154</f>
        <v>UFV NORONHA VERDE - USO E CONSUMO</v>
      </c>
      <c r="D154" s="33" t="n">
        <f aca="false">'Uso e Consumo'!C154</f>
        <v>1464699</v>
      </c>
      <c r="E154" s="34" t="str">
        <f aca="false">'Uso e Consumo'!D154</f>
        <v>13.02.0366</v>
      </c>
      <c r="F154" s="34" t="str">
        <f aca="false">'Uso e Consumo'!E154</f>
        <v>GRADE DE VENTILAÇÃO EM POLIPROPILENO</v>
      </c>
      <c r="G154" s="34" t="str">
        <f aca="false">'Uso e Consumo'!J154</f>
        <v>UN</v>
      </c>
      <c r="H154" s="49" t="n">
        <f aca="false">'Uso e Consumo'!F154</f>
        <v>88</v>
      </c>
      <c r="I154" s="35" t="n">
        <f aca="false">'Uso e Consumo'!G154</f>
        <v>12718.64</v>
      </c>
      <c r="J154" s="34" t="str">
        <f aca="false">'Uso e Consumo'!M154</f>
        <v>3.8.1.022 - Elementos de fixação</v>
      </c>
      <c r="K154" s="32" t="str">
        <f aca="false">INDEX('Curva ABC'!$K$8:$K$2847,MATCH(D154,'Curva ABC'!$B$8:$B$2847,0))</f>
        <v>A</v>
      </c>
    </row>
    <row r="155" customFormat="false" ht="15" hidden="false" customHeight="false" outlineLevel="0" collapsed="false">
      <c r="A155" s="34" t="s">
        <v>5799</v>
      </c>
      <c r="B155" s="34" t="str">
        <f aca="false">'Uso e Consumo'!A155</f>
        <v>0335</v>
      </c>
      <c r="C155" s="34" t="str">
        <f aca="false">'Uso e Consumo'!B155</f>
        <v>UFV NORONHA VERDE - USO E CONSUMO</v>
      </c>
      <c r="D155" s="33" t="n">
        <f aca="false">'Uso e Consumo'!C155</f>
        <v>49545</v>
      </c>
      <c r="E155" s="34" t="str">
        <f aca="false">'Uso e Consumo'!D155</f>
        <v>26.13.0055</v>
      </c>
      <c r="F155" s="34" t="str">
        <f aca="false">'Uso e Consumo'!E155</f>
        <v>MACACÃO BRANCO EM DUPONTTM TYVEK - TRAT. ANTIEST. - C/ ABERT. FRONT. E FECHAM. C/ Z – TAM. – “GG”</v>
      </c>
      <c r="G155" s="34" t="str">
        <f aca="false">'Uso e Consumo'!J155</f>
        <v>UN</v>
      </c>
      <c r="H155" s="49" t="n">
        <f aca="false">'Uso e Consumo'!F155</f>
        <v>1264</v>
      </c>
      <c r="I155" s="35" t="n">
        <f aca="false">'Uso e Consumo'!G155</f>
        <v>12715.7236</v>
      </c>
      <c r="J155" s="34" t="str">
        <f aca="false">'Uso e Consumo'!M155</f>
        <v>4.3.4.003 - Fardamentos</v>
      </c>
      <c r="K155" s="32" t="str">
        <f aca="false">INDEX('Curva ABC'!$K$8:$K$2847,MATCH(D155,'Curva ABC'!$B$8:$B$2847,0))</f>
        <v>A</v>
      </c>
    </row>
    <row r="156" customFormat="false" ht="15" hidden="false" customHeight="false" outlineLevel="0" collapsed="false">
      <c r="A156" s="34" t="s">
        <v>5799</v>
      </c>
      <c r="B156" s="34" t="str">
        <f aca="false">'Uso e Consumo'!A156</f>
        <v>0335</v>
      </c>
      <c r="C156" s="34" t="str">
        <f aca="false">'Uso e Consumo'!B156</f>
        <v>UFV NORONHA VERDE - USO E CONSUMO</v>
      </c>
      <c r="D156" s="33" t="n">
        <f aca="false">'Uso e Consumo'!C156</f>
        <v>1614807</v>
      </c>
      <c r="E156" s="34" t="str">
        <f aca="false">'Uso e Consumo'!D156</f>
        <v>09.21.0420</v>
      </c>
      <c r="F156" s="34" t="str">
        <f aca="false">'Uso e Consumo'!E156</f>
        <v>POSTE PRFV CIRCULAR CONICO TOPO QUADRADO 11 M 600 DAN</v>
      </c>
      <c r="G156" s="34" t="str">
        <f aca="false">'Uso e Consumo'!J156</f>
        <v>UN</v>
      </c>
      <c r="H156" s="49" t="n">
        <f aca="false">'Uso e Consumo'!F156</f>
        <v>1</v>
      </c>
      <c r="I156" s="35" t="n">
        <f aca="false">'Uso e Consumo'!G156</f>
        <v>12592</v>
      </c>
      <c r="J156" s="34" t="str">
        <f aca="false">'Uso e Consumo'!M156</f>
        <v>3.8.1.009 - Artefatos pré-moldados de concreto</v>
      </c>
      <c r="K156" s="32" t="str">
        <f aca="false">INDEX('Curva ABC'!$K$8:$K$2847,MATCH(D156,'Curva ABC'!$B$8:$B$2847,0))</f>
        <v>A</v>
      </c>
    </row>
    <row r="157" customFormat="false" ht="15" hidden="false" customHeight="false" outlineLevel="0" collapsed="false">
      <c r="A157" s="34" t="s">
        <v>5799</v>
      </c>
      <c r="B157" s="34" t="str">
        <f aca="false">'Uso e Consumo'!A157</f>
        <v>0335</v>
      </c>
      <c r="C157" s="34" t="str">
        <f aca="false">'Uso e Consumo'!B157</f>
        <v>UFV NORONHA VERDE - USO E CONSUMO</v>
      </c>
      <c r="D157" s="33" t="n">
        <f aca="false">'Uso e Consumo'!C157</f>
        <v>21649</v>
      </c>
      <c r="E157" s="34" t="str">
        <f aca="false">'Uso e Consumo'!D157</f>
        <v>14.08.0001</v>
      </c>
      <c r="F157" s="34" t="str">
        <f aca="false">'Uso e Consumo'!E157</f>
        <v>TENDA 3,00M X 3,00M</v>
      </c>
      <c r="G157" s="34" t="str">
        <f aca="false">'Uso e Consumo'!J157</f>
        <v>UN</v>
      </c>
      <c r="H157" s="49" t="n">
        <f aca="false">'Uso e Consumo'!F157</f>
        <v>5</v>
      </c>
      <c r="I157" s="35" t="n">
        <f aca="false">'Uso e Consumo'!G157</f>
        <v>12250</v>
      </c>
      <c r="J157" s="34" t="str">
        <f aca="false">'Uso e Consumo'!M157</f>
        <v>3.8.1.014 - Cobertura</v>
      </c>
      <c r="K157" s="32" t="str">
        <f aca="false">INDEX('Curva ABC'!$K$8:$K$2847,MATCH(D157,'Curva ABC'!$B$8:$B$2847,0))</f>
        <v>A</v>
      </c>
    </row>
    <row r="158" customFormat="false" ht="15" hidden="false" customHeight="false" outlineLevel="0" collapsed="false">
      <c r="A158" s="34" t="s">
        <v>5799</v>
      </c>
      <c r="B158" s="34" t="str">
        <f aca="false">'Uso e Consumo'!A158</f>
        <v>0335</v>
      </c>
      <c r="C158" s="34" t="str">
        <f aca="false">'Uso e Consumo'!B158</f>
        <v>UFV NORONHA VERDE - USO E CONSUMO</v>
      </c>
      <c r="D158" s="33" t="n">
        <f aca="false">'Uso e Consumo'!C158</f>
        <v>23993</v>
      </c>
      <c r="E158" s="34" t="str">
        <f aca="false">'Uso e Consumo'!D158</f>
        <v>30.03.0147</v>
      </c>
      <c r="F158" s="34" t="str">
        <f aca="false">'Uso e Consumo'!E158</f>
        <v>KIT COLETA SELETIVA 50L COM ABERTURA FRONTAL E SUPORTE</v>
      </c>
      <c r="G158" s="34" t="str">
        <f aca="false">'Uso e Consumo'!J158</f>
        <v>UN</v>
      </c>
      <c r="H158" s="49" t="n">
        <f aca="false">'Uso e Consumo'!F158</f>
        <v>12</v>
      </c>
      <c r="I158" s="35" t="n">
        <f aca="false">'Uso e Consumo'!G158</f>
        <v>12202</v>
      </c>
      <c r="J158" s="34" t="str">
        <f aca="false">'Uso e Consumo'!M158</f>
        <v>4.1.1.001 - Material de uso e consumo</v>
      </c>
      <c r="K158" s="32" t="str">
        <f aca="false">INDEX('Curva ABC'!$K$8:$K$2847,MATCH(D158,'Curva ABC'!$B$8:$B$2847,0))</f>
        <v>A</v>
      </c>
    </row>
    <row r="159" customFormat="false" ht="15" hidden="false" customHeight="false" outlineLevel="0" collapsed="false">
      <c r="A159" s="34" t="s">
        <v>5799</v>
      </c>
      <c r="B159" s="34" t="str">
        <f aca="false">'Uso e Consumo'!A159</f>
        <v>0335</v>
      </c>
      <c r="C159" s="34" t="str">
        <f aca="false">'Uso e Consumo'!B159</f>
        <v>UFV NORONHA VERDE - USO E CONSUMO</v>
      </c>
      <c r="D159" s="33" t="n">
        <f aca="false">'Uso e Consumo'!C159</f>
        <v>884893</v>
      </c>
      <c r="E159" s="34" t="str">
        <f aca="false">'Uso e Consumo'!D159</f>
        <v>17.16.0500</v>
      </c>
      <c r="F159" s="34" t="str">
        <f aca="false">'Uso e Consumo'!E159</f>
        <v>KIT DE CONECTORES MC4, 1500V, MACHO E FÊMEA, SEÇÃO 6MM²</v>
      </c>
      <c r="G159" s="34" t="str">
        <f aca="false">'Uso e Consumo'!J159</f>
        <v>CJ</v>
      </c>
      <c r="H159" s="49" t="n">
        <f aca="false">'Uso e Consumo'!F159</f>
        <v>1100</v>
      </c>
      <c r="I159" s="35" t="n">
        <f aca="false">'Uso e Consumo'!G159</f>
        <v>12133.17</v>
      </c>
      <c r="J159" s="34" t="str">
        <f aca="false">'Uso e Consumo'!M159</f>
        <v>3.8.1.017 - Instalações elétricas/telefônicas/lógica</v>
      </c>
      <c r="K159" s="32" t="str">
        <f aca="false">INDEX('Curva ABC'!$K$8:$K$2847,MATCH(D159,'Curva ABC'!$B$8:$B$2847,0))</f>
        <v>A</v>
      </c>
    </row>
    <row r="160" customFormat="false" ht="15" hidden="false" customHeight="false" outlineLevel="0" collapsed="false">
      <c r="A160" s="34" t="s">
        <v>5799</v>
      </c>
      <c r="B160" s="34" t="str">
        <f aca="false">'Uso e Consumo'!A160</f>
        <v>0335</v>
      </c>
      <c r="C160" s="34" t="str">
        <f aca="false">'Uso e Consumo'!B160</f>
        <v>UFV NORONHA VERDE - USO E CONSUMO</v>
      </c>
      <c r="D160" s="33" t="n">
        <f aca="false">'Uso e Consumo'!C160</f>
        <v>1263306</v>
      </c>
      <c r="E160" s="34" t="str">
        <f aca="false">'Uso e Consumo'!D160</f>
        <v>26.09.0027</v>
      </c>
      <c r="F160" s="34" t="str">
        <f aca="false">'Uso e Consumo'!E160</f>
        <v>PROTETOR SOLAR FPS 60 COM REPELENTE 2,0L</v>
      </c>
      <c r="G160" s="34" t="str">
        <f aca="false">'Uso e Consumo'!J160</f>
        <v>UN</v>
      </c>
      <c r="H160" s="49" t="n">
        <f aca="false">'Uso e Consumo'!F160</f>
        <v>40</v>
      </c>
      <c r="I160" s="35" t="n">
        <f aca="false">'Uso e Consumo'!G160</f>
        <v>11965</v>
      </c>
      <c r="J160" s="34" t="str">
        <f aca="false">'Uso e Consumo'!M160</f>
        <v>4.3.4.001 - Equipamento de proteção individual</v>
      </c>
      <c r="K160" s="32" t="str">
        <f aca="false">INDEX('Curva ABC'!$K$8:$K$2847,MATCH(D160,'Curva ABC'!$B$8:$B$2847,0))</f>
        <v>A</v>
      </c>
    </row>
    <row r="161" customFormat="false" ht="15" hidden="false" customHeight="false" outlineLevel="0" collapsed="false">
      <c r="A161" s="34" t="s">
        <v>5799</v>
      </c>
      <c r="B161" s="34" t="str">
        <f aca="false">'Uso e Consumo'!A161</f>
        <v>0335</v>
      </c>
      <c r="C161" s="34" t="str">
        <f aca="false">'Uso e Consumo'!B161</f>
        <v>UFV NORONHA VERDE - USO E CONSUMO</v>
      </c>
      <c r="D161" s="33" t="n">
        <f aca="false">'Uso e Consumo'!C161</f>
        <v>1604397</v>
      </c>
      <c r="E161" s="34" t="str">
        <f aca="false">'Uso e Consumo'!D161</f>
        <v>17.01.1388</v>
      </c>
      <c r="F161" s="34" t="str">
        <f aca="false">'Uso e Consumo'!E161</f>
        <v>CABO DE INSTRUMENTAÇÃO FLEXÍVEL PVC 300V 4 CONDUTORES 18 AWG COM BLINDAGEM EM FITA DE ALUMÍNIO</v>
      </c>
      <c r="G161" s="34" t="str">
        <f aca="false">'Uso e Consumo'!J161</f>
        <v>M</v>
      </c>
      <c r="H161" s="49" t="n">
        <f aca="false">'Uso e Consumo'!F161</f>
        <v>400</v>
      </c>
      <c r="I161" s="35" t="n">
        <f aca="false">'Uso e Consumo'!G161</f>
        <v>11916</v>
      </c>
      <c r="J161" s="34" t="str">
        <f aca="false">'Uso e Consumo'!M161</f>
        <v>3.8.1.017 - Instalações elétricas/telefônicas/lógica</v>
      </c>
      <c r="K161" s="32" t="str">
        <f aca="false">INDEX('Curva ABC'!$K$8:$K$2847,MATCH(D161,'Curva ABC'!$B$8:$B$2847,0))</f>
        <v>A</v>
      </c>
    </row>
    <row r="162" customFormat="false" ht="15" hidden="false" customHeight="false" outlineLevel="0" collapsed="false">
      <c r="A162" s="34" t="s">
        <v>5799</v>
      </c>
      <c r="B162" s="34" t="str">
        <f aca="false">'Uso e Consumo'!A162</f>
        <v>0335</v>
      </c>
      <c r="C162" s="34" t="str">
        <f aca="false">'Uso e Consumo'!B162</f>
        <v>UFV NORONHA VERDE - USO E CONSUMO</v>
      </c>
      <c r="D162" s="33" t="n">
        <f aca="false">'Uso e Consumo'!C162</f>
        <v>1088310</v>
      </c>
      <c r="E162" s="34" t="str">
        <f aca="false">'Uso e Consumo'!D162</f>
        <v>32.12.0243</v>
      </c>
      <c r="F162" s="34" t="str">
        <f aca="false">'Uso e Consumo'!E162</f>
        <v>INCLINOMETRO DIGITAL BOSH 50M</v>
      </c>
      <c r="G162" s="34" t="str">
        <f aca="false">'Uso e Consumo'!J162</f>
        <v>UN</v>
      </c>
      <c r="H162" s="49" t="n">
        <f aca="false">'Uso e Consumo'!F162</f>
        <v>5</v>
      </c>
      <c r="I162" s="35" t="n">
        <f aca="false">'Uso e Consumo'!G162</f>
        <v>11827.5</v>
      </c>
      <c r="J162" s="34" t="str">
        <f aca="false">'Uso e Consumo'!M162</f>
        <v>4.1.1.011 - Instrumentos para medição</v>
      </c>
      <c r="K162" s="32" t="str">
        <f aca="false">INDEX('Curva ABC'!$K$8:$K$2847,MATCH(D162,'Curva ABC'!$B$8:$B$2847,0))</f>
        <v>A</v>
      </c>
    </row>
    <row r="163" customFormat="false" ht="15" hidden="false" customHeight="false" outlineLevel="0" collapsed="false">
      <c r="A163" s="34" t="s">
        <v>5799</v>
      </c>
      <c r="B163" s="34" t="str">
        <f aca="false">'Uso e Consumo'!A163</f>
        <v>0335</v>
      </c>
      <c r="C163" s="34" t="str">
        <f aca="false">'Uso e Consumo'!B163</f>
        <v>UFV NORONHA VERDE - USO E CONSUMO</v>
      </c>
      <c r="D163" s="33" t="n">
        <f aca="false">'Uso e Consumo'!C163</f>
        <v>141988</v>
      </c>
      <c r="E163" s="34" t="str">
        <f aca="false">'Uso e Consumo'!D163</f>
        <v>17.02.0309</v>
      </c>
      <c r="F163" s="34" t="str">
        <f aca="false">'Uso e Consumo'!E163</f>
        <v>ELETRODUTO CORRUGADO PEAD 63 MM</v>
      </c>
      <c r="G163" s="34" t="str">
        <f aca="false">'Uso e Consumo'!J163</f>
        <v>M</v>
      </c>
      <c r="H163" s="49" t="n">
        <f aca="false">'Uso e Consumo'!F163</f>
        <v>1137</v>
      </c>
      <c r="I163" s="35" t="n">
        <f aca="false">'Uso e Consumo'!G163</f>
        <v>11728.04</v>
      </c>
      <c r="J163" s="34" t="str">
        <f aca="false">'Uso e Consumo'!M163</f>
        <v>3.8.1.017 - Instalações elétricas/telefônicas/lógica</v>
      </c>
      <c r="K163" s="32" t="str">
        <f aca="false">INDEX('Curva ABC'!$K$8:$K$2847,MATCH(D163,'Curva ABC'!$B$8:$B$2847,0))</f>
        <v>A</v>
      </c>
    </row>
    <row r="164" customFormat="false" ht="15" hidden="false" customHeight="false" outlineLevel="0" collapsed="false">
      <c r="A164" s="34" t="s">
        <v>5799</v>
      </c>
      <c r="B164" s="34" t="str">
        <f aca="false">'Uso e Consumo'!A164</f>
        <v>0335</v>
      </c>
      <c r="C164" s="34" t="str">
        <f aca="false">'Uso e Consumo'!B164</f>
        <v>UFV NORONHA VERDE - USO E CONSUMO</v>
      </c>
      <c r="D164" s="33" t="n">
        <f aca="false">'Uso e Consumo'!C164</f>
        <v>29799</v>
      </c>
      <c r="E164" s="34" t="str">
        <f aca="false">'Uso e Consumo'!D164</f>
        <v>14.01.0003</v>
      </c>
      <c r="F164" s="34" t="str">
        <f aca="false">'Uso e Consumo'!E164</f>
        <v>TELHA COLONIAL VERMELHA 47CM X 18CM X 14CM</v>
      </c>
      <c r="G164" s="34" t="str">
        <f aca="false">'Uso e Consumo'!J164</f>
        <v>UN</v>
      </c>
      <c r="H164" s="49" t="n">
        <f aca="false">'Uso e Consumo'!F164</f>
        <v>1500</v>
      </c>
      <c r="I164" s="35" t="n">
        <f aca="false">'Uso e Consumo'!G164</f>
        <v>11700</v>
      </c>
      <c r="J164" s="34" t="str">
        <f aca="false">'Uso e Consumo'!M164</f>
        <v>3.8.1.014 - Cobertura</v>
      </c>
      <c r="K164" s="32" t="str">
        <f aca="false">INDEX('Curva ABC'!$K$8:$K$2847,MATCH(D164,'Curva ABC'!$B$8:$B$2847,0))</f>
        <v>A</v>
      </c>
    </row>
    <row r="165" customFormat="false" ht="15" hidden="false" customHeight="false" outlineLevel="0" collapsed="false">
      <c r="A165" s="34" t="s">
        <v>5799</v>
      </c>
      <c r="B165" s="34" t="str">
        <f aca="false">'Uso e Consumo'!A165</f>
        <v>0335</v>
      </c>
      <c r="C165" s="34" t="str">
        <f aca="false">'Uso e Consumo'!B165</f>
        <v>UFV NORONHA VERDE - USO E CONSUMO</v>
      </c>
      <c r="D165" s="33" t="n">
        <f aca="false">'Uso e Consumo'!C165</f>
        <v>1688073</v>
      </c>
      <c r="E165" s="34" t="str">
        <f aca="false">'Uso e Consumo'!D165</f>
        <v>03.05.0071</v>
      </c>
      <c r="F165" s="34" t="str">
        <f aca="false">'Uso e Consumo'!E165</f>
        <v>LINHA DE MADEIRA 6 CM X 20 CM X 6 METROS</v>
      </c>
      <c r="G165" s="34" t="str">
        <f aca="false">'Uso e Consumo'!J165</f>
        <v>UN</v>
      </c>
      <c r="H165" s="49" t="n">
        <f aca="false">'Uso e Consumo'!F165</f>
        <v>27</v>
      </c>
      <c r="I165" s="35" t="n">
        <f aca="false">'Uso e Consumo'!G165</f>
        <v>11610</v>
      </c>
      <c r="J165" s="34" t="str">
        <f aca="false">'Uso e Consumo'!M165</f>
        <v>3.8.1.003 - Madeira</v>
      </c>
      <c r="K165" s="32" t="str">
        <f aca="false">INDEX('Curva ABC'!$K$8:$K$2847,MATCH(D165,'Curva ABC'!$B$8:$B$2847,0))</f>
        <v>A</v>
      </c>
    </row>
    <row r="166" customFormat="false" ht="15" hidden="false" customHeight="false" outlineLevel="0" collapsed="false">
      <c r="A166" s="34" t="s">
        <v>5799</v>
      </c>
      <c r="B166" s="34" t="str">
        <f aca="false">'Uso e Consumo'!A166</f>
        <v>0335</v>
      </c>
      <c r="C166" s="34" t="str">
        <f aca="false">'Uso e Consumo'!B166</f>
        <v>UFV NORONHA VERDE - USO E CONSUMO</v>
      </c>
      <c r="D166" s="33" t="n">
        <f aca="false">'Uso e Consumo'!C166</f>
        <v>1327715</v>
      </c>
      <c r="E166" s="34" t="str">
        <f aca="false">'Uso e Consumo'!D166</f>
        <v>18.01.1579</v>
      </c>
      <c r="F166" s="34" t="str">
        <f aca="false">'Uso e Consumo'!E166</f>
        <v>TUBO PEAD PERFURADO 150 MM</v>
      </c>
      <c r="G166" s="34" t="str">
        <f aca="false">'Uso e Consumo'!J166</f>
        <v>M</v>
      </c>
      <c r="H166" s="49" t="n">
        <f aca="false">'Uso e Consumo'!F166</f>
        <v>344</v>
      </c>
      <c r="I166" s="35" t="n">
        <f aca="false">'Uso e Consumo'!G166</f>
        <v>11462.21</v>
      </c>
      <c r="J166" s="34" t="str">
        <f aca="false">'Uso e Consumo'!M166</f>
        <v>3.8.1.018 - Instalações hidráulicas/sanitárias/industriais</v>
      </c>
      <c r="K166" s="32" t="str">
        <f aca="false">INDEX('Curva ABC'!$K$8:$K$2847,MATCH(D166,'Curva ABC'!$B$8:$B$2847,0))</f>
        <v>A</v>
      </c>
    </row>
    <row r="167" customFormat="false" ht="15" hidden="false" customHeight="false" outlineLevel="0" collapsed="false">
      <c r="A167" s="34" t="s">
        <v>5799</v>
      </c>
      <c r="B167" s="34" t="str">
        <f aca="false">'Uso e Consumo'!A167</f>
        <v>0335</v>
      </c>
      <c r="C167" s="34" t="str">
        <f aca="false">'Uso e Consumo'!B167</f>
        <v>UFV NORONHA VERDE - USO E CONSUMO</v>
      </c>
      <c r="D167" s="33" t="n">
        <f aca="false">'Uso e Consumo'!C167</f>
        <v>950840</v>
      </c>
      <c r="E167" s="34" t="str">
        <f aca="false">'Uso e Consumo'!D167</f>
        <v>13.06.0323</v>
      </c>
      <c r="F167" s="34" t="str">
        <f aca="false">'Uso e Consumo'!E167</f>
        <v>FECHADURA ALIANCA PREMIUM EXT</v>
      </c>
      <c r="G167" s="34" t="str">
        <f aca="false">'Uso e Consumo'!J167</f>
        <v>UN</v>
      </c>
      <c r="H167" s="49" t="n">
        <f aca="false">'Uso e Consumo'!F167</f>
        <v>200</v>
      </c>
      <c r="I167" s="35" t="n">
        <f aca="false">'Uso e Consumo'!G167</f>
        <v>11426.9672</v>
      </c>
      <c r="J167" s="34" t="str">
        <f aca="false">'Uso e Consumo'!M167</f>
        <v>3.8.1.013 - Esquadrias e vidros</v>
      </c>
      <c r="K167" s="32" t="str">
        <f aca="false">INDEX('Curva ABC'!$K$8:$K$2847,MATCH(D167,'Curva ABC'!$B$8:$B$2847,0))</f>
        <v>A</v>
      </c>
    </row>
    <row r="168" customFormat="false" ht="15" hidden="false" customHeight="false" outlineLevel="0" collapsed="false">
      <c r="A168" s="34" t="s">
        <v>5799</v>
      </c>
      <c r="B168" s="34" t="str">
        <f aca="false">'Uso e Consumo'!A168</f>
        <v>0335</v>
      </c>
      <c r="C168" s="34" t="str">
        <f aca="false">'Uso e Consumo'!B168</f>
        <v>UFV NORONHA VERDE - USO E CONSUMO</v>
      </c>
      <c r="D168" s="33" t="n">
        <f aca="false">'Uso e Consumo'!C168</f>
        <v>1467472</v>
      </c>
      <c r="E168" s="34" t="str">
        <f aca="false">'Uso e Consumo'!D168</f>
        <v>17.01.1287</v>
      </c>
      <c r="F168" s="34" t="str">
        <f aca="false">'Uso e Consumo'!E168</f>
        <v>CABO FLEXIVEL ATOX 25MM X 0,6/1 kV PRETO HEPR 90C - NBR 7286</v>
      </c>
      <c r="G168" s="34" t="str">
        <f aca="false">'Uso e Consumo'!J168</f>
        <v>M</v>
      </c>
      <c r="H168" s="49" t="n">
        <f aca="false">'Uso e Consumo'!F168</f>
        <v>300</v>
      </c>
      <c r="I168" s="35" t="n">
        <f aca="false">'Uso e Consumo'!G168</f>
        <v>11400</v>
      </c>
      <c r="J168" s="34" t="str">
        <f aca="false">'Uso e Consumo'!M168</f>
        <v>3.8.1.017 - Instalações elétricas/telefônicas/lógica</v>
      </c>
      <c r="K168" s="32" t="str">
        <f aca="false">INDEX('Curva ABC'!$K$8:$K$2847,MATCH(D168,'Curva ABC'!$B$8:$B$2847,0))</f>
        <v>A</v>
      </c>
    </row>
    <row r="169" customFormat="false" ht="15" hidden="false" customHeight="false" outlineLevel="0" collapsed="false">
      <c r="A169" s="34" t="s">
        <v>5799</v>
      </c>
      <c r="B169" s="34" t="str">
        <f aca="false">'Uso e Consumo'!A169</f>
        <v>0335</v>
      </c>
      <c r="C169" s="34" t="str">
        <f aca="false">'Uso e Consumo'!B169</f>
        <v>UFV NORONHA VERDE - USO E CONSUMO</v>
      </c>
      <c r="D169" s="33" t="n">
        <f aca="false">'Uso e Consumo'!C169</f>
        <v>1384482</v>
      </c>
      <c r="E169" s="34" t="str">
        <f aca="false">'Uso e Consumo'!D169</f>
        <v>17.02.0866</v>
      </c>
      <c r="F169" s="34" t="str">
        <f aca="false">'Uso e Consumo'!E169</f>
        <v>CONECTOR TERMINAL 90° 1 CABO 120 MM², 2 FUROS NEMA, TENSÃO 13,8 KV</v>
      </c>
      <c r="G169" s="34" t="str">
        <f aca="false">'Uso e Consumo'!J169</f>
        <v>UN</v>
      </c>
      <c r="H169" s="49" t="n">
        <f aca="false">'Uso e Consumo'!F169</f>
        <v>27</v>
      </c>
      <c r="I169" s="35" t="n">
        <f aca="false">'Uso e Consumo'!G169</f>
        <v>11321.64</v>
      </c>
      <c r="J169" s="34" t="str">
        <f aca="false">'Uso e Consumo'!M169</f>
        <v>3.8.1.017 - Instalações elétricas/telefônicas/lógica</v>
      </c>
      <c r="K169" s="32" t="str">
        <f aca="false">INDEX('Curva ABC'!$K$8:$K$2847,MATCH(D169,'Curva ABC'!$B$8:$B$2847,0))</f>
        <v>A</v>
      </c>
    </row>
    <row r="170" customFormat="false" ht="15" hidden="false" customHeight="false" outlineLevel="0" collapsed="false">
      <c r="A170" s="34" t="s">
        <v>5799</v>
      </c>
      <c r="B170" s="34" t="str">
        <f aca="false">'Uso e Consumo'!A170</f>
        <v>0335</v>
      </c>
      <c r="C170" s="34" t="str">
        <f aca="false">'Uso e Consumo'!B170</f>
        <v>UFV NORONHA VERDE - USO E CONSUMO</v>
      </c>
      <c r="D170" s="33" t="n">
        <f aca="false">'Uso e Consumo'!C170</f>
        <v>1092400</v>
      </c>
      <c r="E170" s="34" t="str">
        <f aca="false">'Uso e Consumo'!D170</f>
        <v>24.30.0047</v>
      </c>
      <c r="F170" s="34" t="str">
        <f aca="false">'Uso e Consumo'!E170</f>
        <v>CARRO PLATAFORMA CAPACIDADE 800KG PNEUS DE EVA</v>
      </c>
      <c r="G170" s="34" t="str">
        <f aca="false">'Uso e Consumo'!J170</f>
        <v>UN</v>
      </c>
      <c r="H170" s="49" t="n">
        <f aca="false">'Uso e Consumo'!F170</f>
        <v>5</v>
      </c>
      <c r="I170" s="35" t="n">
        <f aca="false">'Uso e Consumo'!G170</f>
        <v>11300.4</v>
      </c>
      <c r="J170" s="34" t="str">
        <f aca="false">'Uso e Consumo'!M170</f>
        <v>3.8.2.002 - Ferramentas manuais</v>
      </c>
      <c r="K170" s="32" t="str">
        <f aca="false">INDEX('Curva ABC'!$K$8:$K$2847,MATCH(D170,'Curva ABC'!$B$8:$B$2847,0))</f>
        <v>A</v>
      </c>
    </row>
    <row r="171" customFormat="false" ht="15" hidden="false" customHeight="false" outlineLevel="0" collapsed="false">
      <c r="A171" s="34" t="s">
        <v>5799</v>
      </c>
      <c r="B171" s="34" t="str">
        <f aca="false">'Uso e Consumo'!A171</f>
        <v>0335</v>
      </c>
      <c r="C171" s="34" t="str">
        <f aca="false">'Uso e Consumo'!B171</f>
        <v>UFV NORONHA VERDE - USO E CONSUMO</v>
      </c>
      <c r="D171" s="33" t="n">
        <f aca="false">'Uso e Consumo'!C171</f>
        <v>1463615</v>
      </c>
      <c r="E171" s="34" t="str">
        <f aca="false">'Uso e Consumo'!D171</f>
        <v>04.02.0042</v>
      </c>
      <c r="F171" s="34" t="str">
        <f aca="false">'Uso e Consumo'!E171</f>
        <v>BRITTA 1" (25MM) - ENSACADA</v>
      </c>
      <c r="G171" s="34" t="str">
        <f aca="false">'Uso e Consumo'!J171</f>
        <v>m³</v>
      </c>
      <c r="H171" s="49" t="n">
        <f aca="false">'Uso e Consumo'!F171</f>
        <v>132.26</v>
      </c>
      <c r="I171" s="35" t="n">
        <f aca="false">'Uso e Consumo'!G171</f>
        <v>11242.1</v>
      </c>
      <c r="J171" s="34" t="str">
        <f aca="false">'Uso e Consumo'!M171</f>
        <v>3.8.1.004 - Agregados</v>
      </c>
      <c r="K171" s="32" t="str">
        <f aca="false">INDEX('Curva ABC'!$K$8:$K$2847,MATCH(D171,'Curva ABC'!$B$8:$B$2847,0))</f>
        <v>A</v>
      </c>
    </row>
    <row r="172" customFormat="false" ht="15" hidden="false" customHeight="false" outlineLevel="0" collapsed="false">
      <c r="A172" s="34" t="s">
        <v>5799</v>
      </c>
      <c r="B172" s="34" t="str">
        <f aca="false">'Uso e Consumo'!A172</f>
        <v>0335</v>
      </c>
      <c r="C172" s="34" t="str">
        <f aca="false">'Uso e Consumo'!B172</f>
        <v>UFV NORONHA VERDE - USO E CONSUMO</v>
      </c>
      <c r="D172" s="33" t="n">
        <f aca="false">'Uso e Consumo'!C172</f>
        <v>1382694</v>
      </c>
      <c r="E172" s="34" t="str">
        <f aca="false">'Uso e Consumo'!D172</f>
        <v>23.15.0038</v>
      </c>
      <c r="F172" s="34" t="str">
        <f aca="false">'Uso e Consumo'!E172</f>
        <v>FITA EM AÇO INOX - 1/2" ESPESSURA 0,5MM (C/ FECHO)</v>
      </c>
      <c r="G172" s="34" t="str">
        <f aca="false">'Uso e Consumo'!J172</f>
        <v>M</v>
      </c>
      <c r="H172" s="49" t="n">
        <f aca="false">'Uso e Consumo'!F172</f>
        <v>60</v>
      </c>
      <c r="I172" s="35" t="n">
        <f aca="false">'Uso e Consumo'!G172</f>
        <v>11177.04</v>
      </c>
      <c r="J172" s="34" t="str">
        <f aca="false">'Uso e Consumo'!M172</f>
        <v>3.8.1.022 - Elementos de fixação</v>
      </c>
      <c r="K172" s="32" t="str">
        <f aca="false">INDEX('Curva ABC'!$K$8:$K$2847,MATCH(D172,'Curva ABC'!$B$8:$B$2847,0))</f>
        <v>A</v>
      </c>
    </row>
    <row r="173" customFormat="false" ht="15" hidden="false" customHeight="false" outlineLevel="0" collapsed="false">
      <c r="A173" s="34" t="s">
        <v>5799</v>
      </c>
      <c r="B173" s="34" t="str">
        <f aca="false">'Uso e Consumo'!A173</f>
        <v>0335</v>
      </c>
      <c r="C173" s="34" t="str">
        <f aca="false">'Uso e Consumo'!B173</f>
        <v>UFV NORONHA VERDE - USO E CONSUMO</v>
      </c>
      <c r="D173" s="33" t="n">
        <f aca="false">'Uso e Consumo'!C173</f>
        <v>30892</v>
      </c>
      <c r="E173" s="34" t="str">
        <f aca="false">'Uso e Consumo'!D173</f>
        <v>17.02.0028</v>
      </c>
      <c r="F173" s="34" t="str">
        <f aca="false">'Uso e Consumo'!E173</f>
        <v>ELETRODUTO PEAD 125,00MM (5") X 50,00M  NBR 15715</v>
      </c>
      <c r="G173" s="34" t="str">
        <f aca="false">'Uso e Consumo'!J173</f>
        <v>R100M</v>
      </c>
      <c r="H173" s="49" t="n">
        <f aca="false">'Uso e Consumo'!F173</f>
        <v>4</v>
      </c>
      <c r="I173" s="35" t="n">
        <f aca="false">'Uso e Consumo'!G173</f>
        <v>11140</v>
      </c>
      <c r="J173" s="34" t="str">
        <f aca="false">'Uso e Consumo'!M173</f>
        <v>3.8.1.017 - Instalações elétricas/telefônicas/lógica</v>
      </c>
      <c r="K173" s="32" t="str">
        <f aca="false">INDEX('Curva ABC'!$K$8:$K$2847,MATCH(D173,'Curva ABC'!$B$8:$B$2847,0))</f>
        <v>A</v>
      </c>
    </row>
    <row r="174" customFormat="false" ht="15" hidden="false" customHeight="false" outlineLevel="0" collapsed="false">
      <c r="A174" s="34" t="s">
        <v>5799</v>
      </c>
      <c r="B174" s="34" t="str">
        <f aca="false">'Uso e Consumo'!A174</f>
        <v>0335</v>
      </c>
      <c r="C174" s="34" t="str">
        <f aca="false">'Uso e Consumo'!B174</f>
        <v>UFV NORONHA VERDE - USO E CONSUMO</v>
      </c>
      <c r="D174" s="33" t="n">
        <f aca="false">'Uso e Consumo'!C174</f>
        <v>32105</v>
      </c>
      <c r="E174" s="34" t="str">
        <f aca="false">'Uso e Consumo'!D174</f>
        <v>01.05.0008</v>
      </c>
      <c r="F174" s="34" t="str">
        <f aca="false">'Uso e Consumo'!E174</f>
        <v>TELA SOLDADA AÇO CA-60 NERVURADO Q 196 10,00CM X 10,00CM FIO 5,0MM PAINEL 2,45M X 6,00M (3,11KG/M2) NBR 7481</v>
      </c>
      <c r="G174" s="34" t="str">
        <f aca="false">'Uso e Consumo'!J174</f>
        <v>P14,7</v>
      </c>
      <c r="H174" s="49" t="n">
        <f aca="false">'Uso e Consumo'!F174</f>
        <v>36</v>
      </c>
      <c r="I174" s="35" t="n">
        <f aca="false">'Uso e Consumo'!G174</f>
        <v>11108.17</v>
      </c>
      <c r="J174" s="34" t="str">
        <f aca="false">'Uso e Consumo'!M174</f>
        <v>3.8.1.001 - Aços e trefilados</v>
      </c>
      <c r="K174" s="32" t="str">
        <f aca="false">INDEX('Curva ABC'!$K$8:$K$2847,MATCH(D174,'Curva ABC'!$B$8:$B$2847,0))</f>
        <v>A</v>
      </c>
    </row>
    <row r="175" customFormat="false" ht="15" hidden="false" customHeight="false" outlineLevel="0" collapsed="false">
      <c r="A175" s="34" t="s">
        <v>5799</v>
      </c>
      <c r="B175" s="34" t="str">
        <f aca="false">'Uso e Consumo'!A175</f>
        <v>0335</v>
      </c>
      <c r="C175" s="34" t="str">
        <f aca="false">'Uso e Consumo'!B175</f>
        <v>UFV NORONHA VERDE - USO E CONSUMO</v>
      </c>
      <c r="D175" s="33" t="n">
        <f aca="false">'Uso e Consumo'!C175</f>
        <v>1462171</v>
      </c>
      <c r="E175" s="34" t="str">
        <f aca="false">'Uso e Consumo'!D175</f>
        <v>17.20.0704</v>
      </c>
      <c r="F175" s="34" t="str">
        <f aca="false">'Uso e Consumo'!E175</f>
        <v>CAIXA DE INSPEÇÃO 50 X 50 </v>
      </c>
      <c r="G175" s="34" t="str">
        <f aca="false">'Uso e Consumo'!J175</f>
        <v>UN</v>
      </c>
      <c r="H175" s="49" t="n">
        <f aca="false">'Uso e Consumo'!F175</f>
        <v>16</v>
      </c>
      <c r="I175" s="35" t="n">
        <f aca="false">'Uso e Consumo'!G175</f>
        <v>11104</v>
      </c>
      <c r="J175" s="34" t="str">
        <f aca="false">'Uso e Consumo'!M175</f>
        <v>3.8.1.018 - Instalações hidráulicas/sanitárias/industriais</v>
      </c>
      <c r="K175" s="32" t="str">
        <f aca="false">INDEX('Curva ABC'!$K$8:$K$2847,MATCH(D175,'Curva ABC'!$B$8:$B$2847,0))</f>
        <v>A</v>
      </c>
    </row>
    <row r="176" customFormat="false" ht="15" hidden="false" customHeight="false" outlineLevel="0" collapsed="false">
      <c r="A176" s="34" t="s">
        <v>5799</v>
      </c>
      <c r="B176" s="34" t="str">
        <f aca="false">'Uso e Consumo'!A176</f>
        <v>0335</v>
      </c>
      <c r="C176" s="34" t="str">
        <f aca="false">'Uso e Consumo'!B176</f>
        <v>UFV NORONHA VERDE - USO E CONSUMO</v>
      </c>
      <c r="D176" s="33" t="n">
        <f aca="false">'Uso e Consumo'!C176</f>
        <v>287810</v>
      </c>
      <c r="E176" s="34" t="str">
        <f aca="false">'Uso e Consumo'!D176</f>
        <v>32.09.0108</v>
      </c>
      <c r="F176" s="34" t="str">
        <f aca="false">'Uso e Consumo'!E176</f>
        <v>BOMBA SUBMERSÍVEL P/ MANGOTE 2”</v>
      </c>
      <c r="G176" s="34" t="str">
        <f aca="false">'Uso e Consumo'!J176</f>
        <v>UN</v>
      </c>
      <c r="H176" s="49" t="n">
        <f aca="false">'Uso e Consumo'!F176</f>
        <v>3</v>
      </c>
      <c r="I176" s="35" t="n">
        <f aca="false">'Uso e Consumo'!G176</f>
        <v>11100</v>
      </c>
      <c r="J176" s="34" t="str">
        <f aca="false">'Uso e Consumo'!M176</f>
        <v>6.1.2.001 - Equipamentos</v>
      </c>
      <c r="K176" s="32" t="str">
        <f aca="false">INDEX('Curva ABC'!$K$8:$K$2847,MATCH(D176,'Curva ABC'!$B$8:$B$2847,0))</f>
        <v>A</v>
      </c>
    </row>
    <row r="177" customFormat="false" ht="15" hidden="false" customHeight="false" outlineLevel="0" collapsed="false">
      <c r="A177" s="34" t="s">
        <v>5799</v>
      </c>
      <c r="B177" s="34" t="str">
        <f aca="false">'Uso e Consumo'!A177</f>
        <v>0335</v>
      </c>
      <c r="C177" s="34" t="str">
        <f aca="false">'Uso e Consumo'!B177</f>
        <v>UFV NORONHA VERDE - USO E CONSUMO</v>
      </c>
      <c r="D177" s="33" t="n">
        <f aca="false">'Uso e Consumo'!C177</f>
        <v>18983</v>
      </c>
      <c r="E177" s="34" t="str">
        <f aca="false">'Uso e Consumo'!D177</f>
        <v>26.13.0005</v>
      </c>
      <c r="F177" s="34" t="str">
        <f aca="false">'Uso e Consumo'!E177</f>
        <v>CALÇA COM ELÁSTICO TAMANHO P - 4 BOLSOS, FORRO NO JOELHO, 02 ARGOLAS REFLETIVAS ABAIXO DO JOELHO, CO</v>
      </c>
      <c r="G177" s="34" t="str">
        <f aca="false">'Uso e Consumo'!J177</f>
        <v>UN</v>
      </c>
      <c r="H177" s="49" t="n">
        <f aca="false">'Uso e Consumo'!F177</f>
        <v>200</v>
      </c>
      <c r="I177" s="35" t="n">
        <f aca="false">'Uso e Consumo'!G177</f>
        <v>11000</v>
      </c>
      <c r="J177" s="34" t="str">
        <f aca="false">'Uso e Consumo'!M177</f>
        <v>4.3.4.003 - Fardamentos</v>
      </c>
      <c r="K177" s="32" t="str">
        <f aca="false">INDEX('Curva ABC'!$K$8:$K$2847,MATCH(D177,'Curva ABC'!$B$8:$B$2847,0))</f>
        <v>A</v>
      </c>
    </row>
    <row r="178" customFormat="false" ht="15" hidden="false" customHeight="false" outlineLevel="0" collapsed="false">
      <c r="A178" s="34" t="s">
        <v>5799</v>
      </c>
      <c r="B178" s="34" t="str">
        <f aca="false">'Uso e Consumo'!A178</f>
        <v>0335</v>
      </c>
      <c r="C178" s="34" t="str">
        <f aca="false">'Uso e Consumo'!B178</f>
        <v>UFV NORONHA VERDE - USO E CONSUMO</v>
      </c>
      <c r="D178" s="33" t="n">
        <f aca="false">'Uso e Consumo'!C178</f>
        <v>1476119</v>
      </c>
      <c r="E178" s="34" t="str">
        <f aca="false">'Uso e Consumo'!D178</f>
        <v>24.03.0010</v>
      </c>
      <c r="F178" s="34" t="str">
        <f aca="false">'Uso e Consumo'!E178</f>
        <v>CONJUNTO MEDIDOR DE BITOLA FIOS E CABOS ELÉTRICOS MDK500</v>
      </c>
      <c r="G178" s="34" t="str">
        <f aca="false">'Uso e Consumo'!J178</f>
        <v>UN</v>
      </c>
      <c r="H178" s="49" t="n">
        <f aca="false">'Uso e Consumo'!F178</f>
        <v>1</v>
      </c>
      <c r="I178" s="35" t="n">
        <f aca="false">'Uso e Consumo'!G178</f>
        <v>10800</v>
      </c>
      <c r="J178" s="34" t="str">
        <f aca="false">'Uso e Consumo'!M178</f>
        <v>3.7.2.002 - Serviço em ferramentas/utensílios</v>
      </c>
      <c r="K178" s="32" t="str">
        <f aca="false">INDEX('Curva ABC'!$K$8:$K$2847,MATCH(D178,'Curva ABC'!$B$8:$B$2847,0))</f>
        <v>A</v>
      </c>
    </row>
    <row r="179" customFormat="false" ht="15" hidden="false" customHeight="false" outlineLevel="0" collapsed="false">
      <c r="A179" s="34" t="s">
        <v>5799</v>
      </c>
      <c r="B179" s="34" t="str">
        <f aca="false">'Uso e Consumo'!A179</f>
        <v>0335</v>
      </c>
      <c r="C179" s="34" t="str">
        <f aca="false">'Uso e Consumo'!B179</f>
        <v>UFV NORONHA VERDE - USO E CONSUMO</v>
      </c>
      <c r="D179" s="33" t="n">
        <f aca="false">'Uso e Consumo'!C179</f>
        <v>1654230</v>
      </c>
      <c r="E179" s="34" t="str">
        <f aca="false">'Uso e Consumo'!D179</f>
        <v>18.11.0235</v>
      </c>
      <c r="F179" s="34" t="str">
        <f aca="false">'Uso e Consumo'!E179</f>
        <v>EXTINTOR DE INCENDIO PQS 50 KG  80B:C  SOBRE RODAS (TIPO CARRETA)</v>
      </c>
      <c r="G179" s="34" t="str">
        <f aca="false">'Uso e Consumo'!J179</f>
        <v>UN</v>
      </c>
      <c r="H179" s="49" t="n">
        <f aca="false">'Uso e Consumo'!F179</f>
        <v>3</v>
      </c>
      <c r="I179" s="35" t="n">
        <f aca="false">'Uso e Consumo'!G179</f>
        <v>10788.69</v>
      </c>
      <c r="J179" s="34" t="str">
        <f aca="false">'Uso e Consumo'!M179</f>
        <v>4.3.4.005 - Combate incêndio</v>
      </c>
      <c r="K179" s="32" t="str">
        <f aca="false">INDEX('Curva ABC'!$K$8:$K$2847,MATCH(D179,'Curva ABC'!$B$8:$B$2847,0))</f>
        <v>A</v>
      </c>
    </row>
    <row r="180" customFormat="false" ht="15" hidden="false" customHeight="false" outlineLevel="0" collapsed="false">
      <c r="A180" s="34" t="s">
        <v>5799</v>
      </c>
      <c r="B180" s="34" t="str">
        <f aca="false">'Uso e Consumo'!A180</f>
        <v>0335</v>
      </c>
      <c r="C180" s="34" t="str">
        <f aca="false">'Uso e Consumo'!B180</f>
        <v>UFV NORONHA VERDE - USO E CONSUMO</v>
      </c>
      <c r="D180" s="33" t="n">
        <f aca="false">'Uso e Consumo'!C180</f>
        <v>1384794</v>
      </c>
      <c r="E180" s="34" t="str">
        <f aca="false">'Uso e Consumo'!D180</f>
        <v>17.20.0691</v>
      </c>
      <c r="F180" s="34" t="str">
        <f aca="false">'Uso e Consumo'!E180</f>
        <v>TERMINAÇÃO CONTRÁTIL A FRIO, INSTALAÇÃO EXTERNA, TENSÃO NOMINAL 8,7/15 KV, PARA CABO DE BITOLA 240 MM²</v>
      </c>
      <c r="G180" s="34" t="str">
        <f aca="false">'Uso e Consumo'!J180</f>
        <v>UN</v>
      </c>
      <c r="H180" s="49" t="n">
        <f aca="false">'Uso e Consumo'!F180</f>
        <v>24</v>
      </c>
      <c r="I180" s="35" t="n">
        <f aca="false">'Uso e Consumo'!G180</f>
        <v>10681.56</v>
      </c>
      <c r="J180" s="34" t="str">
        <f aca="false">'Uso e Consumo'!M180</f>
        <v>3.8.1.017 - Instalações elétricas/telefônicas/lógica</v>
      </c>
      <c r="K180" s="32" t="str">
        <f aca="false">INDEX('Curva ABC'!$K$8:$K$2847,MATCH(D180,'Curva ABC'!$B$8:$B$2847,0))</f>
        <v>A</v>
      </c>
    </row>
    <row r="181" customFormat="false" ht="15" hidden="false" customHeight="false" outlineLevel="0" collapsed="false">
      <c r="A181" s="34" t="s">
        <v>5799</v>
      </c>
      <c r="B181" s="34" t="str">
        <f aca="false">'Uso e Consumo'!A181</f>
        <v>0335</v>
      </c>
      <c r="C181" s="34" t="str">
        <f aca="false">'Uso e Consumo'!B181</f>
        <v>UFV NORONHA VERDE - USO E CONSUMO</v>
      </c>
      <c r="D181" s="33" t="n">
        <f aca="false">'Uso e Consumo'!C181</f>
        <v>18979</v>
      </c>
      <c r="E181" s="34" t="str">
        <f aca="false">'Uso e Consumo'!D181</f>
        <v>26.13.0001</v>
      </c>
      <c r="F181" s="34" t="str">
        <f aca="false">'Uso e Consumo'!E181</f>
        <v>BATA MANGA LONGA TAMANHO P - FORRO NO OMBRO, GOLA COM VELCRO, 3 BOLSOS, LOGOMARCA NAS COSTAS, 02 ARG</v>
      </c>
      <c r="G181" s="34" t="str">
        <f aca="false">'Uso e Consumo'!J181</f>
        <v>UN</v>
      </c>
      <c r="H181" s="49" t="n">
        <f aca="false">'Uso e Consumo'!F181</f>
        <v>194</v>
      </c>
      <c r="I181" s="35" t="n">
        <f aca="false">'Uso e Consumo'!G181</f>
        <v>10670</v>
      </c>
      <c r="J181" s="34" t="str">
        <f aca="false">'Uso e Consumo'!M181</f>
        <v>4.3.4.003 - Fardamentos</v>
      </c>
      <c r="K181" s="32" t="str">
        <f aca="false">INDEX('Curva ABC'!$K$8:$K$2847,MATCH(D181,'Curva ABC'!$B$8:$B$2847,0))</f>
        <v>A</v>
      </c>
    </row>
    <row r="182" customFormat="false" ht="15" hidden="false" customHeight="false" outlineLevel="0" collapsed="false">
      <c r="A182" s="34" t="s">
        <v>5799</v>
      </c>
      <c r="B182" s="34" t="str">
        <f aca="false">'Uso e Consumo'!A182</f>
        <v>0335</v>
      </c>
      <c r="C182" s="34" t="str">
        <f aca="false">'Uso e Consumo'!B182</f>
        <v>UFV NORONHA VERDE - USO E CONSUMO</v>
      </c>
      <c r="D182" s="33" t="n">
        <f aca="false">'Uso e Consumo'!C182</f>
        <v>1259177</v>
      </c>
      <c r="E182" s="34" t="str">
        <f aca="false">'Uso e Consumo'!D182</f>
        <v>01.09.0356</v>
      </c>
      <c r="F182" s="34" t="str">
        <f aca="false">'Uso e Consumo'!E182</f>
        <v>PERFIL “C” DOBRADO 50MM X 32MM X 50MM X COMPRIMENTO DE 3 METROS NA CHAPA 0,5 MM COR: BRANCO</v>
      </c>
      <c r="G182" s="34" t="str">
        <f aca="false">'Uso e Consumo'!J182</f>
        <v>UN</v>
      </c>
      <c r="H182" s="49" t="n">
        <f aca="false">'Uso e Consumo'!F182</f>
        <v>126.72</v>
      </c>
      <c r="I182" s="35" t="n">
        <f aca="false">'Uso e Consumo'!G182</f>
        <v>10644.78</v>
      </c>
      <c r="J182" s="34" t="str">
        <f aca="false">'Uso e Consumo'!M182</f>
        <v>3.8.1.001 - Aços e trefilados</v>
      </c>
      <c r="K182" s="32" t="str">
        <f aca="false">INDEX('Curva ABC'!$K$8:$K$2847,MATCH(D182,'Curva ABC'!$B$8:$B$2847,0))</f>
        <v>A</v>
      </c>
    </row>
    <row r="183" customFormat="false" ht="15" hidden="false" customHeight="false" outlineLevel="0" collapsed="false">
      <c r="A183" s="34" t="s">
        <v>5799</v>
      </c>
      <c r="B183" s="34" t="str">
        <f aca="false">'Uso e Consumo'!A183</f>
        <v>0335</v>
      </c>
      <c r="C183" s="34" t="str">
        <f aca="false">'Uso e Consumo'!B183</f>
        <v>UFV NORONHA VERDE - USO E CONSUMO</v>
      </c>
      <c r="D183" s="33" t="n">
        <f aca="false">'Uso e Consumo'!C183</f>
        <v>1329795</v>
      </c>
      <c r="E183" s="34" t="str">
        <f aca="false">'Uso e Consumo'!D183</f>
        <v>21.02.0012</v>
      </c>
      <c r="F183" s="34" t="str">
        <f aca="false">'Uso e Consumo'!E183</f>
        <v>BIORRETENTOR COM MALHA DE JUTA E FIBRA DE COCO COM DIÂMETRO DE 30cm</v>
      </c>
      <c r="G183" s="34" t="str">
        <f aca="false">'Uso e Consumo'!J183</f>
        <v>M</v>
      </c>
      <c r="H183" s="49" t="n">
        <f aca="false">'Uso e Consumo'!F183</f>
        <v>110.4</v>
      </c>
      <c r="I183" s="35" t="n">
        <f aca="false">'Uso e Consumo'!G183</f>
        <v>10634.26</v>
      </c>
      <c r="J183" s="34" t="str">
        <f aca="false">'Uso e Consumo'!M183</f>
        <v>3.8.1.020 - Paisagismo</v>
      </c>
      <c r="K183" s="32" t="str">
        <f aca="false">INDEX('Curva ABC'!$K$8:$K$2847,MATCH(D183,'Curva ABC'!$B$8:$B$2847,0))</f>
        <v>A</v>
      </c>
    </row>
    <row r="184" customFormat="false" ht="15" hidden="false" customHeight="false" outlineLevel="0" collapsed="false">
      <c r="A184" s="34" t="s">
        <v>5799</v>
      </c>
      <c r="B184" s="34" t="str">
        <f aca="false">'Uso e Consumo'!A184</f>
        <v>0335</v>
      </c>
      <c r="C184" s="34" t="str">
        <f aca="false">'Uso e Consumo'!B184</f>
        <v>UFV NORONHA VERDE - USO E CONSUMO</v>
      </c>
      <c r="D184" s="33" t="n">
        <f aca="false">'Uso e Consumo'!C184</f>
        <v>21443</v>
      </c>
      <c r="E184" s="34" t="str">
        <f aca="false">'Uso e Consumo'!D184</f>
        <v>29.02.0045</v>
      </c>
      <c r="F184" s="34" t="str">
        <f aca="false">'Uso e Consumo'!E184</f>
        <v>LENÇOL DE CAMA SOLTEIRO COM ELÁSTICO</v>
      </c>
      <c r="G184" s="34" t="str">
        <f aca="false">'Uso e Consumo'!J184</f>
        <v>UN</v>
      </c>
      <c r="H184" s="49" t="n">
        <f aca="false">'Uso e Consumo'!F184</f>
        <v>350</v>
      </c>
      <c r="I184" s="35" t="n">
        <f aca="false">'Uso e Consumo'!G184</f>
        <v>10625</v>
      </c>
      <c r="J184" s="34" t="str">
        <f aca="false">'Uso e Consumo'!M184</f>
        <v>4.1.1.008 - Mobiliário e acessórios</v>
      </c>
      <c r="K184" s="32" t="str">
        <f aca="false">INDEX('Curva ABC'!$K$8:$K$2847,MATCH(D184,'Curva ABC'!$B$8:$B$2847,0))</f>
        <v>A</v>
      </c>
    </row>
    <row r="185" customFormat="false" ht="15" hidden="false" customHeight="false" outlineLevel="0" collapsed="false">
      <c r="A185" s="34" t="s">
        <v>5799</v>
      </c>
      <c r="B185" s="34" t="str">
        <f aca="false">'Uso e Consumo'!A185</f>
        <v>0335</v>
      </c>
      <c r="C185" s="34" t="str">
        <f aca="false">'Uso e Consumo'!B185</f>
        <v>UFV NORONHA VERDE - USO E CONSUMO</v>
      </c>
      <c r="D185" s="33" t="n">
        <f aca="false">'Uso e Consumo'!C185</f>
        <v>1475370</v>
      </c>
      <c r="E185" s="34" t="str">
        <f aca="false">'Uso e Consumo'!D185</f>
        <v>17.21.0113</v>
      </c>
      <c r="F185" s="34" t="str">
        <f aca="false">'Uso e Consumo'!E185</f>
        <v>CONJUNTO DE FERRAGENS PARA FIXAÇÃO DE SC/CHAVE FUSÍVEL EM EST. CONCRETO</v>
      </c>
      <c r="G185" s="34" t="str">
        <f aca="false">'Uso e Consumo'!J185</f>
        <v>UN</v>
      </c>
      <c r="H185" s="49" t="n">
        <f aca="false">'Uso e Consumo'!F185</f>
        <v>9</v>
      </c>
      <c r="I185" s="35" t="n">
        <f aca="false">'Uso e Consumo'!G185</f>
        <v>10611</v>
      </c>
      <c r="J185" s="34" t="str">
        <f aca="false">'Uso e Consumo'!M185</f>
        <v>3.8.1.022 - Elementos de fixação</v>
      </c>
      <c r="K185" s="32" t="str">
        <f aca="false">INDEX('Curva ABC'!$K$8:$K$2847,MATCH(D185,'Curva ABC'!$B$8:$B$2847,0))</f>
        <v>A</v>
      </c>
    </row>
    <row r="186" customFormat="false" ht="15" hidden="false" customHeight="false" outlineLevel="0" collapsed="false">
      <c r="A186" s="34" t="s">
        <v>5799</v>
      </c>
      <c r="B186" s="34" t="str">
        <f aca="false">'Uso e Consumo'!A186</f>
        <v>0335</v>
      </c>
      <c r="C186" s="34" t="str">
        <f aca="false">'Uso e Consumo'!B186</f>
        <v>UFV NORONHA VERDE - USO E CONSUMO</v>
      </c>
      <c r="D186" s="33" t="n">
        <f aca="false">'Uso e Consumo'!C186</f>
        <v>1320927</v>
      </c>
      <c r="E186" s="34" t="str">
        <f aca="false">'Uso e Consumo'!D186</f>
        <v>17.12.0498</v>
      </c>
      <c r="F186" s="34" t="str">
        <f aca="false">'Uso e Consumo'!E186</f>
        <v>TOMADA DUPLA EXTERNA 10A PARA CONDULETE PVC 1/2"</v>
      </c>
      <c r="G186" s="34" t="str">
        <f aca="false">'Uso e Consumo'!J186</f>
        <v>UN</v>
      </c>
      <c r="H186" s="49" t="n">
        <f aca="false">'Uso e Consumo'!F186</f>
        <v>440</v>
      </c>
      <c r="I186" s="35" t="n">
        <f aca="false">'Uso e Consumo'!G186</f>
        <v>10535.6</v>
      </c>
      <c r="J186" s="34" t="str">
        <f aca="false">'Uso e Consumo'!M186</f>
        <v>3.8.1.017 - Instalações elétricas/telefônicas/lógica</v>
      </c>
      <c r="K186" s="32" t="str">
        <f aca="false">INDEX('Curva ABC'!$K$8:$K$2847,MATCH(D186,'Curva ABC'!$B$8:$B$2847,0))</f>
        <v>A</v>
      </c>
    </row>
    <row r="187" customFormat="false" ht="15" hidden="false" customHeight="false" outlineLevel="0" collapsed="false">
      <c r="A187" s="34" t="s">
        <v>5799</v>
      </c>
      <c r="B187" s="34" t="str">
        <f aca="false">'Uso e Consumo'!A187</f>
        <v>0335</v>
      </c>
      <c r="C187" s="34" t="str">
        <f aca="false">'Uso e Consumo'!B187</f>
        <v>UFV NORONHA VERDE - USO E CONSUMO</v>
      </c>
      <c r="D187" s="33" t="n">
        <f aca="false">'Uso e Consumo'!C187</f>
        <v>1386844</v>
      </c>
      <c r="E187" s="34" t="str">
        <f aca="false">'Uso e Consumo'!D187</f>
        <v>17.22.0137</v>
      </c>
      <c r="F187" s="34" t="str">
        <f aca="false">'Uso e Consumo'!E187</f>
        <v>CINTA POSTE CIRCULAR Ø460 5000DAN</v>
      </c>
      <c r="G187" s="34" t="str">
        <f aca="false">'Uso e Consumo'!J187</f>
        <v>UN</v>
      </c>
      <c r="H187" s="49" t="n">
        <f aca="false">'Uso e Consumo'!F187</f>
        <v>61</v>
      </c>
      <c r="I187" s="35" t="n">
        <f aca="false">'Uso e Consumo'!G187</f>
        <v>10288.87</v>
      </c>
      <c r="J187" s="34" t="str">
        <f aca="false">'Uso e Consumo'!M187</f>
        <v>3.8.1.022 - Elementos de fixação</v>
      </c>
      <c r="K187" s="32" t="str">
        <f aca="false">INDEX('Curva ABC'!$K$8:$K$2847,MATCH(D187,'Curva ABC'!$B$8:$B$2847,0))</f>
        <v>A</v>
      </c>
    </row>
    <row r="188" customFormat="false" ht="15" hidden="false" customHeight="false" outlineLevel="0" collapsed="false">
      <c r="A188" s="34" t="s">
        <v>5799</v>
      </c>
      <c r="B188" s="34" t="str">
        <f aca="false">'Uso e Consumo'!A188</f>
        <v>0335</v>
      </c>
      <c r="C188" s="34" t="str">
        <f aca="false">'Uso e Consumo'!B188</f>
        <v>UFV NORONHA VERDE - USO E CONSUMO</v>
      </c>
      <c r="D188" s="33" t="n">
        <f aca="false">'Uso e Consumo'!C188</f>
        <v>1463662</v>
      </c>
      <c r="E188" s="34" t="str">
        <f aca="false">'Uso e Consumo'!D188</f>
        <v>04.02.0043</v>
      </c>
      <c r="F188" s="34" t="str">
        <f aca="false">'Uso e Consumo'!E188</f>
        <v>BRITA 3/4" (19MM) - ENSACADA</v>
      </c>
      <c r="G188" s="34" t="str">
        <f aca="false">'Uso e Consumo'!J188</f>
        <v>m³</v>
      </c>
      <c r="H188" s="49" t="n">
        <f aca="false">'Uso e Consumo'!F188</f>
        <v>128.75</v>
      </c>
      <c r="I188" s="35" t="n">
        <f aca="false">'Uso e Consumo'!G188</f>
        <v>10180.1</v>
      </c>
      <c r="J188" s="34" t="str">
        <f aca="false">'Uso e Consumo'!M188</f>
        <v>3.8.1.004 - Agregados</v>
      </c>
      <c r="K188" s="32" t="str">
        <f aca="false">INDEX('Curva ABC'!$K$8:$K$2847,MATCH(D188,'Curva ABC'!$B$8:$B$2847,0))</f>
        <v>A</v>
      </c>
    </row>
    <row r="189" customFormat="false" ht="15" hidden="false" customHeight="false" outlineLevel="0" collapsed="false">
      <c r="A189" s="34" t="s">
        <v>5799</v>
      </c>
      <c r="B189" s="34" t="str">
        <f aca="false">'Uso e Consumo'!A189</f>
        <v>0335</v>
      </c>
      <c r="C189" s="34" t="str">
        <f aca="false">'Uso e Consumo'!B189</f>
        <v>UFV NORONHA VERDE - USO E CONSUMO</v>
      </c>
      <c r="D189" s="33" t="n">
        <f aca="false">'Uso e Consumo'!C189</f>
        <v>831925</v>
      </c>
      <c r="E189" s="34" t="str">
        <f aca="false">'Uso e Consumo'!D189</f>
        <v>26.02.0191</v>
      </c>
      <c r="F189" s="34" t="str">
        <f aca="false">'Uso e Consumo'!E189</f>
        <v>BOTINA FUJIWARA HESS C/BICO DE AÇO COMPOSITE E PALMILHA ANTIPERFURANTE CA 42330 N° 43</v>
      </c>
      <c r="G189" s="34" t="str">
        <f aca="false">'Uso e Consumo'!J189</f>
        <v>UN</v>
      </c>
      <c r="H189" s="49" t="n">
        <f aca="false">'Uso e Consumo'!F189</f>
        <v>105</v>
      </c>
      <c r="I189" s="35" t="n">
        <f aca="false">'Uso e Consumo'!G189</f>
        <v>10129.4</v>
      </c>
      <c r="J189" s="34" t="str">
        <f aca="false">'Uso e Consumo'!M189</f>
        <v>4.3.4.001 - Equipamento de proteção individual</v>
      </c>
      <c r="K189" s="32" t="str">
        <f aca="false">INDEX('Curva ABC'!$K$8:$K$2847,MATCH(D189,'Curva ABC'!$B$8:$B$2847,0))</f>
        <v>A</v>
      </c>
    </row>
    <row r="190" customFormat="false" ht="15" hidden="false" customHeight="false" outlineLevel="0" collapsed="false">
      <c r="A190" s="34" t="s">
        <v>5799</v>
      </c>
      <c r="B190" s="34" t="str">
        <f aca="false">'Uso e Consumo'!A190</f>
        <v>0335</v>
      </c>
      <c r="C190" s="34" t="str">
        <f aca="false">'Uso e Consumo'!B190</f>
        <v>UFV NORONHA VERDE - USO E CONSUMO</v>
      </c>
      <c r="D190" s="33" t="n">
        <f aca="false">'Uso e Consumo'!C190</f>
        <v>21444</v>
      </c>
      <c r="E190" s="34" t="str">
        <f aca="false">'Uso e Consumo'!D190</f>
        <v>29.02.0046</v>
      </c>
      <c r="F190" s="34" t="str">
        <f aca="false">'Uso e Consumo'!E190</f>
        <v>LENÇOL DE CAMA SOLTEIRO SEM ELÁSTICO</v>
      </c>
      <c r="G190" s="34" t="str">
        <f aca="false">'Uso e Consumo'!J190</f>
        <v>UN</v>
      </c>
      <c r="H190" s="49" t="n">
        <f aca="false">'Uso e Consumo'!F190</f>
        <v>350</v>
      </c>
      <c r="I190" s="35" t="n">
        <f aca="false">'Uso e Consumo'!G190</f>
        <v>10125</v>
      </c>
      <c r="J190" s="34" t="str">
        <f aca="false">'Uso e Consumo'!M190</f>
        <v>4.1.1.008 - Mobiliário e acessórios</v>
      </c>
      <c r="K190" s="32" t="str">
        <f aca="false">INDEX('Curva ABC'!$K$8:$K$2847,MATCH(D190,'Curva ABC'!$B$8:$B$2847,0))</f>
        <v>A</v>
      </c>
    </row>
    <row r="191" customFormat="false" ht="15" hidden="false" customHeight="false" outlineLevel="0" collapsed="false">
      <c r="A191" s="34" t="s">
        <v>5799</v>
      </c>
      <c r="B191" s="34" t="str">
        <f aca="false">'Uso e Consumo'!A191</f>
        <v>0335</v>
      </c>
      <c r="C191" s="34" t="str">
        <f aca="false">'Uso e Consumo'!B191</f>
        <v>UFV NORONHA VERDE - USO E CONSUMO</v>
      </c>
      <c r="D191" s="33" t="n">
        <f aca="false">'Uso e Consumo'!C191</f>
        <v>1386720</v>
      </c>
      <c r="E191" s="34" t="str">
        <f aca="false">'Uso e Consumo'!D191</f>
        <v>23.07.1583</v>
      </c>
      <c r="F191" s="34" t="str">
        <f aca="false">'Uso e Consumo'!E191</f>
        <v>PARAFUSO ROSCA DUPLA M16X750 C/ PORCAS</v>
      </c>
      <c r="G191" s="34" t="str">
        <f aca="false">'Uso e Consumo'!J191</f>
        <v>UN</v>
      </c>
      <c r="H191" s="49" t="n">
        <f aca="false">'Uso e Consumo'!F191</f>
        <v>114</v>
      </c>
      <c r="I191" s="35" t="n">
        <f aca="false">'Uso e Consumo'!G191</f>
        <v>10091.28</v>
      </c>
      <c r="J191" s="34" t="str">
        <f aca="false">'Uso e Consumo'!M191</f>
        <v>3.8.1.022 - Elementos de fixação</v>
      </c>
      <c r="K191" s="32" t="str">
        <f aca="false">INDEX('Curva ABC'!$K$8:$K$2847,MATCH(D191,'Curva ABC'!$B$8:$B$2847,0))</f>
        <v>A</v>
      </c>
    </row>
    <row r="192" customFormat="false" ht="15" hidden="false" customHeight="false" outlineLevel="0" collapsed="false">
      <c r="A192" s="34" t="s">
        <v>5799</v>
      </c>
      <c r="B192" s="34" t="str">
        <f aca="false">'Uso e Consumo'!A192</f>
        <v>0335</v>
      </c>
      <c r="C192" s="34" t="str">
        <f aca="false">'Uso e Consumo'!B192</f>
        <v>UFV NORONHA VERDE - USO E CONSUMO</v>
      </c>
      <c r="D192" s="33" t="n">
        <f aca="false">'Uso e Consumo'!C192</f>
        <v>18895</v>
      </c>
      <c r="E192" s="34" t="str">
        <f aca="false">'Uso e Consumo'!D192</f>
        <v>26.06.0013</v>
      </c>
      <c r="F192" s="34" t="str">
        <f aca="false">'Uso e Consumo'!E192</f>
        <v>LUVA DE SEGURANÇA ISOLANTE DE BORRACHA TIPO II - CLASSE 0 - TENSÃO MÁXIMA DE USO: 1000 V - TAM 10" (</v>
      </c>
      <c r="G192" s="34" t="str">
        <f aca="false">'Uso e Consumo'!J192</f>
        <v>PAR</v>
      </c>
      <c r="H192" s="49" t="n">
        <f aca="false">'Uso e Consumo'!F192</f>
        <v>30</v>
      </c>
      <c r="I192" s="35" t="n">
        <f aca="false">'Uso e Consumo'!G192</f>
        <v>9900</v>
      </c>
      <c r="J192" s="34" t="str">
        <f aca="false">'Uso e Consumo'!M192</f>
        <v>4.3.4.001 - Equipamento de proteção individual</v>
      </c>
      <c r="K192" s="32" t="str">
        <f aca="false">INDEX('Curva ABC'!$K$8:$K$2847,MATCH(D192,'Curva ABC'!$B$8:$B$2847,0))</f>
        <v>A</v>
      </c>
    </row>
    <row r="193" customFormat="false" ht="15" hidden="false" customHeight="false" outlineLevel="0" collapsed="false">
      <c r="A193" s="34" t="s">
        <v>5799</v>
      </c>
      <c r="B193" s="34" t="str">
        <f aca="false">'Uso e Consumo'!A193</f>
        <v>0335</v>
      </c>
      <c r="C193" s="34" t="str">
        <f aca="false">'Uso e Consumo'!B193</f>
        <v>UFV NORONHA VERDE - USO E CONSUMO</v>
      </c>
      <c r="D193" s="33" t="n">
        <f aca="false">'Uso e Consumo'!C193</f>
        <v>32903</v>
      </c>
      <c r="E193" s="34" t="str">
        <f aca="false">'Uso e Consumo'!D193</f>
        <v>17.20.0110</v>
      </c>
      <c r="F193" s="34" t="str">
        <f aca="false">'Uso e Consumo'!E193</f>
        <v>SOLDA EXOTÉRMICA Nº 115 PLUS F20</v>
      </c>
      <c r="G193" s="34" t="str">
        <f aca="false">'Uso e Consumo'!J193</f>
        <v>UN</v>
      </c>
      <c r="H193" s="49" t="n">
        <f aca="false">'Uso e Consumo'!F193</f>
        <v>300</v>
      </c>
      <c r="I193" s="35" t="n">
        <f aca="false">'Uso e Consumo'!G193</f>
        <v>9900</v>
      </c>
      <c r="J193" s="34" t="str">
        <f aca="false">'Uso e Consumo'!M193</f>
        <v>3.8.1.017 - Instalações elétricas/telefônicas/lógica</v>
      </c>
      <c r="K193" s="32" t="str">
        <f aca="false">INDEX('Curva ABC'!$K$8:$K$2847,MATCH(D193,'Curva ABC'!$B$8:$B$2847,0))</f>
        <v>A</v>
      </c>
    </row>
    <row r="194" customFormat="false" ht="15" hidden="false" customHeight="false" outlineLevel="0" collapsed="false">
      <c r="A194" s="34" t="s">
        <v>5799</v>
      </c>
      <c r="B194" s="34" t="str">
        <f aca="false">'Uso e Consumo'!A194</f>
        <v>0335</v>
      </c>
      <c r="C194" s="34" t="str">
        <f aca="false">'Uso e Consumo'!B194</f>
        <v>UFV NORONHA VERDE - USO E CONSUMO</v>
      </c>
      <c r="D194" s="33" t="n">
        <f aca="false">'Uso e Consumo'!C194</f>
        <v>965039</v>
      </c>
      <c r="E194" s="34" t="str">
        <f aca="false">'Uso e Consumo'!D194</f>
        <v>17.21.0084</v>
      </c>
      <c r="F194" s="34" t="str">
        <f aca="false">'Uso e Consumo'!E194</f>
        <v>CONJUNTO DE ATERRAMENTO TEMPORÁRIO TRIFÁSICO</v>
      </c>
      <c r="G194" s="34" t="str">
        <f aca="false">'Uso e Consumo'!J194</f>
        <v>UN</v>
      </c>
      <c r="H194" s="49" t="n">
        <f aca="false">'Uso e Consumo'!F194</f>
        <v>5</v>
      </c>
      <c r="I194" s="35" t="n">
        <f aca="false">'Uso e Consumo'!G194</f>
        <v>9900</v>
      </c>
      <c r="J194" s="34" t="str">
        <f aca="false">'Uso e Consumo'!M194</f>
        <v>3.8.1.017 - Instalações elétricas/telefônicas/lógica</v>
      </c>
      <c r="K194" s="32" t="str">
        <f aca="false">INDEX('Curva ABC'!$K$8:$K$2847,MATCH(D194,'Curva ABC'!$B$8:$B$2847,0))</f>
        <v>A</v>
      </c>
    </row>
    <row r="195" customFormat="false" ht="15" hidden="false" customHeight="false" outlineLevel="0" collapsed="false">
      <c r="A195" s="34" t="s">
        <v>5799</v>
      </c>
      <c r="B195" s="34" t="str">
        <f aca="false">'Uso e Consumo'!A195</f>
        <v>0335</v>
      </c>
      <c r="C195" s="34" t="str">
        <f aca="false">'Uso e Consumo'!B195</f>
        <v>UFV NORONHA VERDE - USO E CONSUMO</v>
      </c>
      <c r="D195" s="33" t="n">
        <f aca="false">'Uso e Consumo'!C195</f>
        <v>1609962</v>
      </c>
      <c r="E195" s="34" t="str">
        <f aca="false">'Uso e Consumo'!D195</f>
        <v>17.01.1392</v>
      </c>
      <c r="F195" s="34" t="str">
        <f aca="false">'Uso e Consumo'!E195</f>
        <v>CABO AFT 8X18 AWG BLINDADO EM MALHA DE COBRE ESTANHADO</v>
      </c>
      <c r="G195" s="34" t="str">
        <f aca="false">'Uso e Consumo'!J195</f>
        <v>M</v>
      </c>
      <c r="H195" s="49" t="n">
        <f aca="false">'Uso e Consumo'!F195</f>
        <v>500</v>
      </c>
      <c r="I195" s="35" t="n">
        <f aca="false">'Uso e Consumo'!G195</f>
        <v>9895</v>
      </c>
      <c r="J195" s="34" t="str">
        <f aca="false">'Uso e Consumo'!M195</f>
        <v>3.8.1.017 - Instalações elétricas/telefônicas/lógica</v>
      </c>
      <c r="K195" s="32" t="str">
        <f aca="false">INDEX('Curva ABC'!$K$8:$K$2847,MATCH(D195,'Curva ABC'!$B$8:$B$2847,0))</f>
        <v>A</v>
      </c>
    </row>
    <row r="196" customFormat="false" ht="15" hidden="false" customHeight="false" outlineLevel="0" collapsed="false">
      <c r="A196" s="34" t="s">
        <v>5799</v>
      </c>
      <c r="B196" s="34" t="str">
        <f aca="false">'Uso e Consumo'!A196</f>
        <v>0335</v>
      </c>
      <c r="C196" s="34" t="str">
        <f aca="false">'Uso e Consumo'!B196</f>
        <v>UFV NORONHA VERDE - USO E CONSUMO</v>
      </c>
      <c r="D196" s="33" t="n">
        <f aca="false">'Uso e Consumo'!C196</f>
        <v>276056</v>
      </c>
      <c r="E196" s="34" t="str">
        <f aca="false">'Uso e Consumo'!D196</f>
        <v>28.01.0375</v>
      </c>
      <c r="F196" s="34" t="str">
        <f aca="false">'Uso e Consumo'!E196</f>
        <v>ADESIVO VINIL 1,20m X 0,80m</v>
      </c>
      <c r="G196" s="34" t="str">
        <f aca="false">'Uso e Consumo'!J196</f>
        <v>UN</v>
      </c>
      <c r="H196" s="49" t="n">
        <f aca="false">'Uso e Consumo'!F196</f>
        <v>6</v>
      </c>
      <c r="I196" s="35" t="n">
        <f aca="false">'Uso e Consumo'!G196</f>
        <v>9888</v>
      </c>
      <c r="J196" s="34" t="str">
        <f aca="false">'Uso e Consumo'!M196</f>
        <v>3.8.1.023 - Comunicação visual e sinalização</v>
      </c>
      <c r="K196" s="32" t="str">
        <f aca="false">INDEX('Curva ABC'!$K$8:$K$2847,MATCH(D196,'Curva ABC'!$B$8:$B$2847,0))</f>
        <v>A</v>
      </c>
    </row>
    <row r="197" customFormat="false" ht="15" hidden="false" customHeight="false" outlineLevel="0" collapsed="false">
      <c r="A197" s="34" t="s">
        <v>5799</v>
      </c>
      <c r="B197" s="34" t="str">
        <f aca="false">'Uso e Consumo'!A197</f>
        <v>0335</v>
      </c>
      <c r="C197" s="34" t="str">
        <f aca="false">'Uso e Consumo'!B197</f>
        <v>UFV NORONHA VERDE - USO E CONSUMO</v>
      </c>
      <c r="D197" s="33" t="n">
        <f aca="false">'Uso e Consumo'!C197</f>
        <v>831923</v>
      </c>
      <c r="E197" s="34" t="str">
        <f aca="false">'Uso e Consumo'!D197</f>
        <v>26.02.0189</v>
      </c>
      <c r="F197" s="34" t="str">
        <f aca="false">'Uso e Consumo'!E197</f>
        <v>BOTINA FUJIWARA HESS C/BICO DE AÇO COMPOSITE E PALMILHA ANTIPERFURANTE CA 42330 N° 41</v>
      </c>
      <c r="G197" s="34" t="str">
        <f aca="false">'Uso e Consumo'!J197</f>
        <v>UN</v>
      </c>
      <c r="H197" s="49" t="n">
        <f aca="false">'Uso e Consumo'!F197</f>
        <v>111</v>
      </c>
      <c r="I197" s="35" t="n">
        <f aca="false">'Uso e Consumo'!G197</f>
        <v>9870.04</v>
      </c>
      <c r="J197" s="34" t="str">
        <f aca="false">'Uso e Consumo'!M197</f>
        <v>4.3.4.001 - Equipamento de proteção individual</v>
      </c>
      <c r="K197" s="32" t="str">
        <f aca="false">INDEX('Curva ABC'!$K$8:$K$2847,MATCH(D197,'Curva ABC'!$B$8:$B$2847,0))</f>
        <v>A</v>
      </c>
    </row>
    <row r="198" customFormat="false" ht="15" hidden="false" customHeight="false" outlineLevel="0" collapsed="false">
      <c r="A198" s="34" t="s">
        <v>5799</v>
      </c>
      <c r="B198" s="34" t="str">
        <f aca="false">'Uso e Consumo'!A198</f>
        <v>0335</v>
      </c>
      <c r="C198" s="34" t="str">
        <f aca="false">'Uso e Consumo'!B198</f>
        <v>UFV NORONHA VERDE - USO E CONSUMO</v>
      </c>
      <c r="D198" s="33" t="n">
        <f aca="false">'Uso e Consumo'!C198</f>
        <v>1471296</v>
      </c>
      <c r="E198" s="34" t="str">
        <f aca="false">'Uso e Consumo'!D198</f>
        <v>09.19.0073</v>
      </c>
      <c r="F198" s="34" t="str">
        <f aca="false">'Uso e Consumo'!E198</f>
        <v>ESTRADO PLASTICO 50X50</v>
      </c>
      <c r="G198" s="34" t="str">
        <f aca="false">'Uso e Consumo'!J198</f>
        <v>pç</v>
      </c>
      <c r="H198" s="49" t="n">
        <f aca="false">'Uso e Consumo'!F198</f>
        <v>200</v>
      </c>
      <c r="I198" s="35" t="n">
        <f aca="false">'Uso e Consumo'!G198</f>
        <v>9600</v>
      </c>
      <c r="J198" s="34" t="str">
        <f aca="false">'Uso e Consumo'!M198</f>
        <v>3.8.1.010 - Revestimentos e pisos</v>
      </c>
      <c r="K198" s="32" t="str">
        <f aca="false">INDEX('Curva ABC'!$K$8:$K$2847,MATCH(D198,'Curva ABC'!$B$8:$B$2847,0))</f>
        <v>A</v>
      </c>
    </row>
    <row r="199" customFormat="false" ht="15" hidden="false" customHeight="false" outlineLevel="0" collapsed="false">
      <c r="A199" s="34" t="s">
        <v>5799</v>
      </c>
      <c r="B199" s="34" t="str">
        <f aca="false">'Uso e Consumo'!A199</f>
        <v>0335</v>
      </c>
      <c r="C199" s="34" t="str">
        <f aca="false">'Uso e Consumo'!B199</f>
        <v>UFV NORONHA VERDE - USO E CONSUMO</v>
      </c>
      <c r="D199" s="33" t="n">
        <f aca="false">'Uso e Consumo'!C199</f>
        <v>1311231</v>
      </c>
      <c r="E199" s="34" t="str">
        <f aca="false">'Uso e Consumo'!D199</f>
        <v>30.03.0546</v>
      </c>
      <c r="F199" s="34" t="str">
        <f aca="false">'Uso e Consumo'!E199</f>
        <v>REFIL P/ LAVADOR DE VIDROS 45 CM LUVA</v>
      </c>
      <c r="G199" s="34" t="str">
        <f aca="false">'Uso e Consumo'!J199</f>
        <v>UN</v>
      </c>
      <c r="H199" s="49" t="n">
        <f aca="false">'Uso e Consumo'!F199</f>
        <v>50</v>
      </c>
      <c r="I199" s="35" t="n">
        <f aca="false">'Uso e Consumo'!G199</f>
        <v>9506</v>
      </c>
      <c r="J199" s="34" t="str">
        <f aca="false">'Uso e Consumo'!M199</f>
        <v>3.1.1.003 - Material limpeza</v>
      </c>
      <c r="K199" s="32" t="str">
        <f aca="false">INDEX('Curva ABC'!$K$8:$K$2847,MATCH(D199,'Curva ABC'!$B$8:$B$2847,0))</f>
        <v>A</v>
      </c>
    </row>
    <row r="200" customFormat="false" ht="15" hidden="false" customHeight="false" outlineLevel="0" collapsed="false">
      <c r="A200" s="34" t="s">
        <v>5799</v>
      </c>
      <c r="B200" s="34" t="str">
        <f aca="false">'Uso e Consumo'!A200</f>
        <v>0335</v>
      </c>
      <c r="C200" s="34" t="str">
        <f aca="false">'Uso e Consumo'!B200</f>
        <v>UFV NORONHA VERDE - USO E CONSUMO</v>
      </c>
      <c r="D200" s="33" t="n">
        <f aca="false">'Uso e Consumo'!C200</f>
        <v>1464747</v>
      </c>
      <c r="E200" s="34" t="str">
        <f aca="false">'Uso e Consumo'!D200</f>
        <v>09.13.0006</v>
      </c>
      <c r="F200" s="34" t="str">
        <f aca="false">'Uso e Consumo'!E200</f>
        <v>RUFO SUPERIOR EM CHAPA METÁLICA GALVANIZADA </v>
      </c>
      <c r="G200" s="34" t="str">
        <f aca="false">'Uso e Consumo'!J200</f>
        <v>M</v>
      </c>
      <c r="H200" s="49" t="n">
        <f aca="false">'Uso e Consumo'!F200</f>
        <v>68.84</v>
      </c>
      <c r="I200" s="35" t="n">
        <f aca="false">'Uso e Consumo'!G200</f>
        <v>9489.61</v>
      </c>
      <c r="J200" s="34" t="str">
        <f aca="false">'Uso e Consumo'!M200</f>
        <v>3.8.1.001 - Aços e trefilados</v>
      </c>
      <c r="K200" s="32" t="str">
        <f aca="false">INDEX('Curva ABC'!$K$8:$K$2847,MATCH(D200,'Curva ABC'!$B$8:$B$2847,0))</f>
        <v>A</v>
      </c>
    </row>
    <row r="201" customFormat="false" ht="15" hidden="false" customHeight="false" outlineLevel="0" collapsed="false">
      <c r="A201" s="34" t="s">
        <v>5799</v>
      </c>
      <c r="B201" s="34" t="str">
        <f aca="false">'Uso e Consumo'!A201</f>
        <v>0335</v>
      </c>
      <c r="C201" s="34" t="str">
        <f aca="false">'Uso e Consumo'!B201</f>
        <v>UFV NORONHA VERDE - USO E CONSUMO</v>
      </c>
      <c r="D201" s="33" t="n">
        <f aca="false">'Uso e Consumo'!C201</f>
        <v>18173</v>
      </c>
      <c r="E201" s="34" t="str">
        <f aca="false">'Uso e Consumo'!D201</f>
        <v>24.23.0001</v>
      </c>
      <c r="F201" s="34" t="str">
        <f aca="false">'Uso e Consumo'!E201</f>
        <v>BOMBA MANUAL P/GRAXA AÇO INOX ALAVANCA LATERAL BICO FLEXIVEL</v>
      </c>
      <c r="G201" s="34" t="str">
        <f aca="false">'Uso e Consumo'!J201</f>
        <v>UN</v>
      </c>
      <c r="H201" s="49" t="n">
        <f aca="false">'Uso e Consumo'!F201</f>
        <v>3</v>
      </c>
      <c r="I201" s="35" t="n">
        <f aca="false">'Uso e Consumo'!G201</f>
        <v>9480</v>
      </c>
      <c r="J201" s="34" t="str">
        <f aca="false">'Uso e Consumo'!M201</f>
        <v>3.8.2.002 - Ferramentas manuais</v>
      </c>
      <c r="K201" s="32" t="str">
        <f aca="false">INDEX('Curva ABC'!$K$8:$K$2847,MATCH(D201,'Curva ABC'!$B$8:$B$2847,0))</f>
        <v>A</v>
      </c>
    </row>
    <row r="202" customFormat="false" ht="15" hidden="false" customHeight="false" outlineLevel="0" collapsed="false">
      <c r="A202" s="34" t="s">
        <v>5799</v>
      </c>
      <c r="B202" s="34" t="str">
        <f aca="false">'Uso e Consumo'!A202</f>
        <v>0335</v>
      </c>
      <c r="C202" s="34" t="str">
        <f aca="false">'Uso e Consumo'!B202</f>
        <v>UFV NORONHA VERDE - USO E CONSUMO</v>
      </c>
      <c r="D202" s="33" t="n">
        <f aca="false">'Uso e Consumo'!C202</f>
        <v>1382791</v>
      </c>
      <c r="E202" s="34" t="str">
        <f aca="false">'Uso e Consumo'!D202</f>
        <v>17.16.3811</v>
      </c>
      <c r="F202" s="34" t="str">
        <f aca="false">'Uso e Consumo'!E202</f>
        <v>CONECTOR BIMETÁLICO PARA ATERRAMENTO - CABOS 16 MM²</v>
      </c>
      <c r="G202" s="34" t="str">
        <f aca="false">'Uso e Consumo'!J202</f>
        <v>UN</v>
      </c>
      <c r="H202" s="49" t="n">
        <f aca="false">'Uso e Consumo'!F202</f>
        <v>308</v>
      </c>
      <c r="I202" s="35" t="n">
        <f aca="false">'Uso e Consumo'!G202</f>
        <v>9424.8</v>
      </c>
      <c r="J202" s="34" t="str">
        <f aca="false">'Uso e Consumo'!M202</f>
        <v>3.8.1.017 - Instalações elétricas/telefônicas/lógica</v>
      </c>
      <c r="K202" s="32" t="str">
        <f aca="false">INDEX('Curva ABC'!$K$8:$K$2847,MATCH(D202,'Curva ABC'!$B$8:$B$2847,0))</f>
        <v>A</v>
      </c>
    </row>
    <row r="203" customFormat="false" ht="15" hidden="false" customHeight="false" outlineLevel="0" collapsed="false">
      <c r="A203" s="34" t="s">
        <v>5799</v>
      </c>
      <c r="B203" s="34" t="str">
        <f aca="false">'Uso e Consumo'!A203</f>
        <v>0335</v>
      </c>
      <c r="C203" s="34" t="str">
        <f aca="false">'Uso e Consumo'!B203</f>
        <v>UFV NORONHA VERDE - USO E CONSUMO</v>
      </c>
      <c r="D203" s="33" t="n">
        <f aca="false">'Uso e Consumo'!C203</f>
        <v>1606481</v>
      </c>
      <c r="E203" s="34" t="str">
        <f aca="false">'Uso e Consumo'!D203</f>
        <v>24.27.0017</v>
      </c>
      <c r="F203" s="34" t="str">
        <f aca="false">'Uso e Consumo'!E203</f>
        <v>MOTOR BUFFALO</v>
      </c>
      <c r="G203" s="34" t="str">
        <f aca="false">'Uso e Consumo'!J203</f>
        <v>UN</v>
      </c>
      <c r="H203" s="49" t="n">
        <f aca="false">'Uso e Consumo'!F203</f>
        <v>4</v>
      </c>
      <c r="I203" s="35" t="n">
        <f aca="false">'Uso e Consumo'!G203</f>
        <v>9360</v>
      </c>
      <c r="J203" s="34" t="str">
        <f aca="false">'Uso e Consumo'!M203</f>
        <v>3.8.2.003 - Ferramentas elétricas/pneumáticas</v>
      </c>
      <c r="K203" s="32" t="str">
        <f aca="false">INDEX('Curva ABC'!$K$8:$K$2847,MATCH(D203,'Curva ABC'!$B$8:$B$2847,0))</f>
        <v>A</v>
      </c>
    </row>
    <row r="204" customFormat="false" ht="15" hidden="false" customHeight="false" outlineLevel="0" collapsed="false">
      <c r="A204" s="34" t="s">
        <v>5799</v>
      </c>
      <c r="B204" s="34" t="str">
        <f aca="false">'Uso e Consumo'!A204</f>
        <v>0335</v>
      </c>
      <c r="C204" s="34" t="str">
        <f aca="false">'Uso e Consumo'!B204</f>
        <v>UFV NORONHA VERDE - USO E CONSUMO</v>
      </c>
      <c r="D204" s="33" t="n">
        <f aca="false">'Uso e Consumo'!C204</f>
        <v>1310970</v>
      </c>
      <c r="E204" s="34" t="str">
        <f aca="false">'Uso e Consumo'!D204</f>
        <v>01.09.0364</v>
      </c>
      <c r="F204" s="34" t="str">
        <f aca="false">'Uso e Consumo'!E204</f>
        <v>PERFIL "C" DOBRADO 28 MM X 58 MM X 28 MM NA CHAPA 0,5 MM COM COMPRIMENTO DE 3 METROS E PINTURA EXTERNA</v>
      </c>
      <c r="G204" s="34" t="str">
        <f aca="false">'Uso e Consumo'!J204</f>
        <v>UN</v>
      </c>
      <c r="H204" s="49" t="n">
        <f aca="false">'Uso e Consumo'!F204</f>
        <v>335</v>
      </c>
      <c r="I204" s="35" t="n">
        <f aca="false">'Uso e Consumo'!G204</f>
        <v>9336.45</v>
      </c>
      <c r="J204" s="34" t="str">
        <f aca="false">'Uso e Consumo'!M204</f>
        <v>3.8.1.001 - Aços e trefilados</v>
      </c>
      <c r="K204" s="32" t="str">
        <f aca="false">INDEX('Curva ABC'!$K$8:$K$2847,MATCH(D204,'Curva ABC'!$B$8:$B$2847,0))</f>
        <v>B</v>
      </c>
    </row>
    <row r="205" customFormat="false" ht="15" hidden="false" customHeight="false" outlineLevel="0" collapsed="false">
      <c r="A205" s="34" t="s">
        <v>5799</v>
      </c>
      <c r="B205" s="34" t="str">
        <f aca="false">'Uso e Consumo'!A205</f>
        <v>0335</v>
      </c>
      <c r="C205" s="34" t="str">
        <f aca="false">'Uso e Consumo'!B205</f>
        <v>UFV NORONHA VERDE - USO E CONSUMO</v>
      </c>
      <c r="D205" s="33" t="n">
        <f aca="false">'Uso e Consumo'!C205</f>
        <v>1383032</v>
      </c>
      <c r="E205" s="34" t="str">
        <f aca="false">'Uso e Consumo'!D205</f>
        <v>19.14.0079</v>
      </c>
      <c r="F205" s="34" t="str">
        <f aca="false">'Uso e Consumo'!E205</f>
        <v>TERMINAL MUFLA CABO CU 400 MM² - 8.7 - 15 KV</v>
      </c>
      <c r="G205" s="34" t="str">
        <f aca="false">'Uso e Consumo'!J205</f>
        <v>UN</v>
      </c>
      <c r="H205" s="49" t="n">
        <f aca="false">'Uso e Consumo'!F205</f>
        <v>13</v>
      </c>
      <c r="I205" s="35" t="n">
        <f aca="false">'Uso e Consumo'!G205</f>
        <v>9090.12</v>
      </c>
      <c r="J205" s="34" t="str">
        <f aca="false">'Uso e Consumo'!M205</f>
        <v>3.8.1.017 - Instalações elétricas/telefônicas/lógica</v>
      </c>
      <c r="K205" s="32" t="str">
        <f aca="false">INDEX('Curva ABC'!$K$8:$K$2847,MATCH(D205,'Curva ABC'!$B$8:$B$2847,0))</f>
        <v>B</v>
      </c>
    </row>
    <row r="206" customFormat="false" ht="15" hidden="false" customHeight="false" outlineLevel="0" collapsed="false">
      <c r="A206" s="34" t="s">
        <v>5799</v>
      </c>
      <c r="B206" s="34" t="str">
        <f aca="false">'Uso e Consumo'!A206</f>
        <v>0335</v>
      </c>
      <c r="C206" s="34" t="str">
        <f aca="false">'Uso e Consumo'!B206</f>
        <v>UFV NORONHA VERDE - USO E CONSUMO</v>
      </c>
      <c r="D206" s="33" t="n">
        <f aca="false">'Uso e Consumo'!C206</f>
        <v>1464939</v>
      </c>
      <c r="E206" s="34" t="str">
        <f aca="false">'Uso e Consumo'!D206</f>
        <v>17.21.0108</v>
      </c>
      <c r="F206" s="34" t="str">
        <f aca="false">'Uso e Consumo'!E206</f>
        <v>ISOLADOR POLIMÉRICO TIPO BASTÃO PARA CADEIA DE ANCORAGEM ENGATE GARFO-OLHAL DIÂMETRO 120 MM TENSÃO MÁXIMA 25 KV NBI 150 </v>
      </c>
      <c r="G206" s="34" t="str">
        <f aca="false">'Uso e Consumo'!J206</f>
        <v>UN</v>
      </c>
      <c r="H206" s="49" t="n">
        <f aca="false">'Uso e Consumo'!F206</f>
        <v>132</v>
      </c>
      <c r="I206" s="35" t="n">
        <f aca="false">'Uso e Consumo'!G206</f>
        <v>9034.08</v>
      </c>
      <c r="J206" s="34" t="str">
        <f aca="false">'Uso e Consumo'!M206</f>
        <v>3.7.1.018 - Serviço de instalações elétricas/telefônica/lógica</v>
      </c>
      <c r="K206" s="32" t="str">
        <f aca="false">INDEX('Curva ABC'!$K$8:$K$2847,MATCH(D206,'Curva ABC'!$B$8:$B$2847,0))</f>
        <v>B</v>
      </c>
    </row>
    <row r="207" customFormat="false" ht="15" hidden="false" customHeight="false" outlineLevel="0" collapsed="false">
      <c r="A207" s="34" t="s">
        <v>5799</v>
      </c>
      <c r="B207" s="34" t="str">
        <f aca="false">'Uso e Consumo'!A207</f>
        <v>0335</v>
      </c>
      <c r="C207" s="34" t="str">
        <f aca="false">'Uso e Consumo'!B207</f>
        <v>UFV NORONHA VERDE - USO E CONSUMO</v>
      </c>
      <c r="D207" s="33" t="n">
        <f aca="false">'Uso e Consumo'!C207</f>
        <v>1679654</v>
      </c>
      <c r="E207" s="34" t="str">
        <f aca="false">'Uso e Consumo'!D207</f>
        <v>08.04.0047</v>
      </c>
      <c r="F207" s="34" t="str">
        <f aca="false">'Uso e Consumo'!E207</f>
        <v>PAREDE DRYWALL C/ ISOLAMENTO EM LA DE ROCHA E FECHAMENTO EM PLACA DE GESSO ACARTONADO</v>
      </c>
      <c r="G207" s="34" t="str">
        <f aca="false">'Uso e Consumo'!J207</f>
        <v>M2</v>
      </c>
      <c r="H207" s="49" t="n">
        <f aca="false">'Uso e Consumo'!F207</f>
        <v>50</v>
      </c>
      <c r="I207" s="35" t="n">
        <f aca="false">'Uso e Consumo'!G207</f>
        <v>8983.24</v>
      </c>
      <c r="J207" s="34" t="str">
        <f aca="false">'Uso e Consumo'!M207</f>
        <v>3.8.1.008 - Blocos, painéis e divisórias</v>
      </c>
      <c r="K207" s="32" t="str">
        <f aca="false">INDEX('Curva ABC'!$K$8:$K$2847,MATCH(D207,'Curva ABC'!$B$8:$B$2847,0))</f>
        <v>B</v>
      </c>
    </row>
    <row r="208" customFormat="false" ht="15" hidden="false" customHeight="false" outlineLevel="0" collapsed="false">
      <c r="A208" s="34" t="s">
        <v>5799</v>
      </c>
      <c r="B208" s="34" t="str">
        <f aca="false">'Uso e Consumo'!A208</f>
        <v>0335</v>
      </c>
      <c r="C208" s="34" t="str">
        <f aca="false">'Uso e Consumo'!B208</f>
        <v>UFV NORONHA VERDE - USO E CONSUMO</v>
      </c>
      <c r="D208" s="33" t="n">
        <f aca="false">'Uso e Consumo'!C208</f>
        <v>958673</v>
      </c>
      <c r="E208" s="34" t="str">
        <f aca="false">'Uso e Consumo'!D208</f>
        <v>24.24.0094</v>
      </c>
      <c r="F208" s="34" t="str">
        <f aca="false">'Uso e Consumo'!E208</f>
        <v>PARAFUSADEIRA DE IMPACTO 1/4 POL 20V MAX BRUSHLESS 170NM COM 4 BATERIAS 20V LI-LON E CARREGADOR BIVOLT MARCA DEWALT </v>
      </c>
      <c r="G208" s="34" t="str">
        <f aca="false">'Uso e Consumo'!J208</f>
        <v>UN</v>
      </c>
      <c r="H208" s="49" t="n">
        <f aca="false">'Uso e Consumo'!F208</f>
        <v>3</v>
      </c>
      <c r="I208" s="35" t="n">
        <f aca="false">'Uso e Consumo'!G208</f>
        <v>8940</v>
      </c>
      <c r="J208" s="34" t="str">
        <f aca="false">'Uso e Consumo'!M208</f>
        <v>3.8.2.003 - Ferramentas elétricas/pneumáticas</v>
      </c>
      <c r="K208" s="32" t="str">
        <f aca="false">INDEX('Curva ABC'!$K$8:$K$2847,MATCH(D208,'Curva ABC'!$B$8:$B$2847,0))</f>
        <v>B</v>
      </c>
    </row>
    <row r="209" customFormat="false" ht="15" hidden="false" customHeight="false" outlineLevel="0" collapsed="false">
      <c r="A209" s="34" t="s">
        <v>5799</v>
      </c>
      <c r="B209" s="34" t="str">
        <f aca="false">'Uso e Consumo'!A209</f>
        <v>0335</v>
      </c>
      <c r="C209" s="34" t="str">
        <f aca="false">'Uso e Consumo'!B209</f>
        <v>UFV NORONHA VERDE - USO E CONSUMO</v>
      </c>
      <c r="D209" s="33" t="n">
        <f aca="false">'Uso e Consumo'!C209</f>
        <v>54947</v>
      </c>
      <c r="E209" s="34" t="str">
        <f aca="false">'Uso e Consumo'!D209</f>
        <v>34.02.0809</v>
      </c>
      <c r="F209" s="34" t="str">
        <f aca="false">'Uso e Consumo'!E209</f>
        <v>BOMBA HIDRÁULICA</v>
      </c>
      <c r="G209" s="34" t="str">
        <f aca="false">'Uso e Consumo'!J209</f>
        <v>UN</v>
      </c>
      <c r="H209" s="49" t="n">
        <f aca="false">'Uso e Consumo'!F209</f>
        <v>1</v>
      </c>
      <c r="I209" s="35" t="n">
        <f aca="false">'Uso e Consumo'!G209</f>
        <v>8900</v>
      </c>
      <c r="J209" s="34" t="str">
        <f aca="false">'Uso e Consumo'!M209</f>
        <v>3.1.6.002 - Pneus e peças</v>
      </c>
      <c r="K209" s="32" t="str">
        <f aca="false">INDEX('Curva ABC'!$K$8:$K$2847,MATCH(D209,'Curva ABC'!$B$8:$B$2847,0))</f>
        <v>B</v>
      </c>
    </row>
    <row r="210" customFormat="false" ht="15" hidden="false" customHeight="false" outlineLevel="0" collapsed="false">
      <c r="A210" s="34" t="s">
        <v>5799</v>
      </c>
      <c r="B210" s="34" t="str">
        <f aca="false">'Uso e Consumo'!A210</f>
        <v>0335</v>
      </c>
      <c r="C210" s="34" t="str">
        <f aca="false">'Uso e Consumo'!B210</f>
        <v>UFV NORONHA VERDE - USO E CONSUMO</v>
      </c>
      <c r="D210" s="33" t="n">
        <f aca="false">'Uso e Consumo'!C210</f>
        <v>1087988</v>
      </c>
      <c r="E210" s="34" t="str">
        <f aca="false">'Uso e Consumo'!D210</f>
        <v>32.11.0016</v>
      </c>
      <c r="F210" s="34" t="str">
        <f aca="false">'Uso e Consumo'!E210</f>
        <v>TRIPÉ LASER HILTI PR 300-HV2S</v>
      </c>
      <c r="G210" s="34" t="str">
        <f aca="false">'Uso e Consumo'!J210</f>
        <v>UN</v>
      </c>
      <c r="H210" s="49" t="n">
        <f aca="false">'Uso e Consumo'!F210</f>
        <v>2</v>
      </c>
      <c r="I210" s="35" t="n">
        <f aca="false">'Uso e Consumo'!G210</f>
        <v>8896.5</v>
      </c>
      <c r="J210" s="34" t="str">
        <f aca="false">'Uso e Consumo'!M210</f>
        <v>4.1.1.007 - Equipamentos e acessórios para informática</v>
      </c>
      <c r="K210" s="32" t="str">
        <f aca="false">INDEX('Curva ABC'!$K$8:$K$2847,MATCH(D210,'Curva ABC'!$B$8:$B$2847,0))</f>
        <v>B</v>
      </c>
    </row>
    <row r="211" customFormat="false" ht="15" hidden="false" customHeight="false" outlineLevel="0" collapsed="false">
      <c r="A211" s="34" t="s">
        <v>5799</v>
      </c>
      <c r="B211" s="34" t="str">
        <f aca="false">'Uso e Consumo'!A211</f>
        <v>0335</v>
      </c>
      <c r="C211" s="34" t="str">
        <f aca="false">'Uso e Consumo'!B211</f>
        <v>UFV NORONHA VERDE - USO E CONSUMO</v>
      </c>
      <c r="D211" s="33" t="n">
        <f aca="false">'Uso e Consumo'!C211</f>
        <v>19767</v>
      </c>
      <c r="E211" s="34" t="str">
        <f aca="false">'Uso e Consumo'!D211</f>
        <v>30.03.0040</v>
      </c>
      <c r="F211" s="34" t="str">
        <f aca="false">'Uso e Consumo'!E211</f>
        <v>LIXEIRA AÇO INOX COM PEDAL 11,00L</v>
      </c>
      <c r="G211" s="34" t="str">
        <f aca="false">'Uso e Consumo'!J211</f>
        <v>UN</v>
      </c>
      <c r="H211" s="49" t="n">
        <f aca="false">'Uso e Consumo'!F211</f>
        <v>68</v>
      </c>
      <c r="I211" s="35" t="n">
        <f aca="false">'Uso e Consumo'!G211</f>
        <v>8819.6</v>
      </c>
      <c r="J211" s="34" t="str">
        <f aca="false">'Uso e Consumo'!M211</f>
        <v>4.1.1.003 - Material limpeza</v>
      </c>
      <c r="K211" s="32" t="str">
        <f aca="false">INDEX('Curva ABC'!$K$8:$K$2847,MATCH(D211,'Curva ABC'!$B$8:$B$2847,0))</f>
        <v>B</v>
      </c>
    </row>
    <row r="212" customFormat="false" ht="15" hidden="false" customHeight="false" outlineLevel="0" collapsed="false">
      <c r="A212" s="34" t="s">
        <v>5799</v>
      </c>
      <c r="B212" s="34" t="str">
        <f aca="false">'Uso e Consumo'!A212</f>
        <v>0335</v>
      </c>
      <c r="C212" s="34" t="str">
        <f aca="false">'Uso e Consumo'!B212</f>
        <v>UFV NORONHA VERDE - USO E CONSUMO</v>
      </c>
      <c r="D212" s="33" t="n">
        <f aca="false">'Uso e Consumo'!C212</f>
        <v>33123</v>
      </c>
      <c r="E212" s="34" t="str">
        <f aca="false">'Uso e Consumo'!D212</f>
        <v>25.15.0015</v>
      </c>
      <c r="F212" s="34" t="str">
        <f aca="false">'Uso e Consumo'!E212</f>
        <v>LONA PLASTICA POLIETILENO DUPLA FACE 200 MICRAS 8,00M X 100,00M</v>
      </c>
      <c r="G212" s="34" t="str">
        <f aca="false">'Uso e Consumo'!J212</f>
        <v>RL800</v>
      </c>
      <c r="H212" s="49" t="n">
        <f aca="false">'Uso e Consumo'!F212</f>
        <v>4</v>
      </c>
      <c r="I212" s="35" t="n">
        <f aca="false">'Uso e Consumo'!G212</f>
        <v>8800</v>
      </c>
      <c r="J212" s="34" t="str">
        <f aca="false">'Uso e Consumo'!M212</f>
        <v>3.8.2.006 - Utensílios</v>
      </c>
      <c r="K212" s="32" t="str">
        <f aca="false">INDEX('Curva ABC'!$K$8:$K$2847,MATCH(D212,'Curva ABC'!$B$8:$B$2847,0))</f>
        <v>B</v>
      </c>
    </row>
    <row r="213" customFormat="false" ht="15" hidden="false" customHeight="false" outlineLevel="0" collapsed="false">
      <c r="A213" s="34" t="s">
        <v>5799</v>
      </c>
      <c r="B213" s="34" t="str">
        <f aca="false">'Uso e Consumo'!A213</f>
        <v>0335</v>
      </c>
      <c r="C213" s="34" t="str">
        <f aca="false">'Uso e Consumo'!B213</f>
        <v>UFV NORONHA VERDE - USO E CONSUMO</v>
      </c>
      <c r="D213" s="33" t="n">
        <f aca="false">'Uso e Consumo'!C213</f>
        <v>1385800</v>
      </c>
      <c r="E213" s="34" t="str">
        <f aca="false">'Uso e Consumo'!D213</f>
        <v>17.01.1225</v>
      </c>
      <c r="F213" s="34" t="str">
        <f aca="false">'Uso e Consumo'!E213</f>
        <v>CABO MULTIPOLAR 5 VIAS POTÊNCIA 6 MM², FLEXÍVEL COBRE, EPR, 0,6/1KV, PVC PRETO</v>
      </c>
      <c r="G213" s="34" t="str">
        <f aca="false">'Uso e Consumo'!J213</f>
        <v>M</v>
      </c>
      <c r="H213" s="49" t="n">
        <f aca="false">'Uso e Consumo'!F213</f>
        <v>135</v>
      </c>
      <c r="I213" s="35" t="n">
        <f aca="false">'Uso e Consumo'!G213</f>
        <v>8761.5</v>
      </c>
      <c r="J213" s="34" t="str">
        <f aca="false">'Uso e Consumo'!M213</f>
        <v>3.8.1.017 - Instalações elétricas/telefônicas/lógica</v>
      </c>
      <c r="K213" s="32" t="str">
        <f aca="false">INDEX('Curva ABC'!$K$8:$K$2847,MATCH(D213,'Curva ABC'!$B$8:$B$2847,0))</f>
        <v>B</v>
      </c>
    </row>
    <row r="214" customFormat="false" ht="15" hidden="false" customHeight="false" outlineLevel="0" collapsed="false">
      <c r="A214" s="34" t="s">
        <v>5799</v>
      </c>
      <c r="B214" s="34" t="str">
        <f aca="false">'Uso e Consumo'!A214</f>
        <v>0335</v>
      </c>
      <c r="C214" s="34" t="str">
        <f aca="false">'Uso e Consumo'!B214</f>
        <v>UFV NORONHA VERDE - USO E CONSUMO</v>
      </c>
      <c r="D214" s="33" t="n">
        <f aca="false">'Uso e Consumo'!C214</f>
        <v>32875</v>
      </c>
      <c r="E214" s="34" t="str">
        <f aca="false">'Uso e Consumo'!D214</f>
        <v>32.12.0010</v>
      </c>
      <c r="F214" s="34" t="str">
        <f aca="false">'Uso e Consumo'!E214</f>
        <v>MEDIDOR DE INCLINAÇÃO DIGITAL 0-360°</v>
      </c>
      <c r="G214" s="34" t="str">
        <f aca="false">'Uso e Consumo'!J214</f>
        <v>UN</v>
      </c>
      <c r="H214" s="49" t="n">
        <f aca="false">'Uso e Consumo'!F214</f>
        <v>3</v>
      </c>
      <c r="I214" s="35" t="n">
        <f aca="false">'Uso e Consumo'!G214</f>
        <v>8688.54</v>
      </c>
      <c r="J214" s="34" t="str">
        <f aca="false">'Uso e Consumo'!M214</f>
        <v>4.1.1.011 - Instrumentos para medição</v>
      </c>
      <c r="K214" s="32" t="str">
        <f aca="false">INDEX('Curva ABC'!$K$8:$K$2847,MATCH(D214,'Curva ABC'!$B$8:$B$2847,0))</f>
        <v>B</v>
      </c>
    </row>
    <row r="215" customFormat="false" ht="15" hidden="false" customHeight="false" outlineLevel="0" collapsed="false">
      <c r="A215" s="34" t="s">
        <v>5799</v>
      </c>
      <c r="B215" s="34" t="str">
        <f aca="false">'Uso e Consumo'!A215</f>
        <v>0335</v>
      </c>
      <c r="C215" s="34" t="str">
        <f aca="false">'Uso e Consumo'!B215</f>
        <v>UFV NORONHA VERDE - USO E CONSUMO</v>
      </c>
      <c r="D215" s="33" t="n">
        <f aca="false">'Uso e Consumo'!C215</f>
        <v>1475015</v>
      </c>
      <c r="E215" s="34" t="str">
        <f aca="false">'Uso e Consumo'!D215</f>
        <v>17.20.0716</v>
      </c>
      <c r="F215" s="34" t="str">
        <f aca="false">'Uso e Consumo'!E215</f>
        <v>CARTUCHO IGNIÇÃO SOLDA EXOTÉRMICA CABO COBRE 50MM² 90G</v>
      </c>
      <c r="G215" s="34" t="str">
        <f aca="false">'Uso e Consumo'!J215</f>
        <v>UN</v>
      </c>
      <c r="H215" s="49" t="n">
        <f aca="false">'Uso e Consumo'!F215</f>
        <v>500</v>
      </c>
      <c r="I215" s="35" t="n">
        <f aca="false">'Uso e Consumo'!G215</f>
        <v>8670</v>
      </c>
      <c r="J215" s="34" t="str">
        <f aca="false">'Uso e Consumo'!M215</f>
        <v>3.8.1.017 - Instalações elétricas/telefônicas/lógica</v>
      </c>
      <c r="K215" s="32" t="str">
        <f aca="false">INDEX('Curva ABC'!$K$8:$K$2847,MATCH(D215,'Curva ABC'!$B$8:$B$2847,0))</f>
        <v>B</v>
      </c>
    </row>
    <row r="216" customFormat="false" ht="15" hidden="false" customHeight="false" outlineLevel="0" collapsed="false">
      <c r="A216" s="34" t="s">
        <v>5799</v>
      </c>
      <c r="B216" s="34" t="str">
        <f aca="false">'Uso e Consumo'!A216</f>
        <v>0335</v>
      </c>
      <c r="C216" s="34" t="str">
        <f aca="false">'Uso e Consumo'!B216</f>
        <v>UFV NORONHA VERDE - USO E CONSUMO</v>
      </c>
      <c r="D216" s="33" t="n">
        <f aca="false">'Uso e Consumo'!C216</f>
        <v>19232</v>
      </c>
      <c r="E216" s="34" t="str">
        <f aca="false">'Uso e Consumo'!D216</f>
        <v>29.02.0018</v>
      </c>
      <c r="F216" s="34" t="str">
        <f aca="false">'Uso e Consumo'!E216</f>
        <v>MESA PLÁSTICA QUADRADA</v>
      </c>
      <c r="G216" s="34" t="str">
        <f aca="false">'Uso e Consumo'!J216</f>
        <v>UN</v>
      </c>
      <c r="H216" s="49" t="n">
        <f aca="false">'Uso e Consumo'!F216</f>
        <v>105</v>
      </c>
      <c r="I216" s="35" t="n">
        <f aca="false">'Uso e Consumo'!G216</f>
        <v>8610</v>
      </c>
      <c r="J216" s="34" t="str">
        <f aca="false">'Uso e Consumo'!M216</f>
        <v>4.1.1.008 - Mobiliário e acessórios</v>
      </c>
      <c r="K216" s="32" t="str">
        <f aca="false">INDEX('Curva ABC'!$K$8:$K$2847,MATCH(D216,'Curva ABC'!$B$8:$B$2847,0))</f>
        <v>B</v>
      </c>
    </row>
    <row r="217" customFormat="false" ht="15" hidden="false" customHeight="false" outlineLevel="0" collapsed="false">
      <c r="A217" s="34" t="s">
        <v>5799</v>
      </c>
      <c r="B217" s="34" t="str">
        <f aca="false">'Uso e Consumo'!A217</f>
        <v>0335</v>
      </c>
      <c r="C217" s="34" t="str">
        <f aca="false">'Uso e Consumo'!B217</f>
        <v>UFV NORONHA VERDE - USO E CONSUMO</v>
      </c>
      <c r="D217" s="33" t="n">
        <f aca="false">'Uso e Consumo'!C217</f>
        <v>831924</v>
      </c>
      <c r="E217" s="34" t="str">
        <f aca="false">'Uso e Consumo'!D217</f>
        <v>26.02.0190</v>
      </c>
      <c r="F217" s="34" t="str">
        <f aca="false">'Uso e Consumo'!E217</f>
        <v>BOTINA FUJIWARA HESS C/BICO DE AÇO COMPOSITE E PALMILHA ANTIPERFURANTE CA 42330 N° 42</v>
      </c>
      <c r="G217" s="34" t="str">
        <f aca="false">'Uso e Consumo'!J217</f>
        <v>UN</v>
      </c>
      <c r="H217" s="49" t="n">
        <f aca="false">'Uso e Consumo'!F217</f>
        <v>96</v>
      </c>
      <c r="I217" s="35" t="n">
        <f aca="false">'Uso e Consumo'!G217</f>
        <v>8598.64</v>
      </c>
      <c r="J217" s="34" t="str">
        <f aca="false">'Uso e Consumo'!M217</f>
        <v>4.3.4.001 - Equipamento de proteção individual</v>
      </c>
      <c r="K217" s="32" t="str">
        <f aca="false">INDEX('Curva ABC'!$K$8:$K$2847,MATCH(D217,'Curva ABC'!$B$8:$B$2847,0))</f>
        <v>B</v>
      </c>
    </row>
    <row r="218" customFormat="false" ht="15" hidden="false" customHeight="false" outlineLevel="0" collapsed="false">
      <c r="A218" s="34" t="s">
        <v>5799</v>
      </c>
      <c r="B218" s="34" t="str">
        <f aca="false">'Uso e Consumo'!A218</f>
        <v>0335</v>
      </c>
      <c r="C218" s="34" t="str">
        <f aca="false">'Uso e Consumo'!B218</f>
        <v>UFV NORONHA VERDE - USO E CONSUMO</v>
      </c>
      <c r="D218" s="33" t="n">
        <f aca="false">'Uso e Consumo'!C218</f>
        <v>853756</v>
      </c>
      <c r="E218" s="34" t="str">
        <f aca="false">'Uso e Consumo'!D218</f>
        <v>32.02.0311</v>
      </c>
      <c r="F218" s="34" t="str">
        <f aca="false">'Uso e Consumo'!E218</f>
        <v>MOTOR P/ VIBRADOR A GASOLINA BRANCO B 4T - 6,5HP</v>
      </c>
      <c r="G218" s="34" t="str">
        <f aca="false">'Uso e Consumo'!J218</f>
        <v>UN</v>
      </c>
      <c r="H218" s="49" t="n">
        <f aca="false">'Uso e Consumo'!F218</f>
        <v>4</v>
      </c>
      <c r="I218" s="35" t="n">
        <f aca="false">'Uso e Consumo'!G218</f>
        <v>8522.79</v>
      </c>
      <c r="J218" s="34" t="str">
        <f aca="false">'Uso e Consumo'!M218</f>
        <v>6.1.2.001 - Equipamentos</v>
      </c>
      <c r="K218" s="32" t="str">
        <f aca="false">INDEX('Curva ABC'!$K$8:$K$2847,MATCH(D218,'Curva ABC'!$B$8:$B$2847,0))</f>
        <v>A</v>
      </c>
    </row>
    <row r="219" customFormat="false" ht="15" hidden="false" customHeight="false" outlineLevel="0" collapsed="false">
      <c r="A219" s="34" t="s">
        <v>5799</v>
      </c>
      <c r="B219" s="34" t="str">
        <f aca="false">'Uso e Consumo'!A219</f>
        <v>0335</v>
      </c>
      <c r="C219" s="34" t="str">
        <f aca="false">'Uso e Consumo'!B219</f>
        <v>UFV NORONHA VERDE - USO E CONSUMO</v>
      </c>
      <c r="D219" s="33" t="n">
        <f aca="false">'Uso e Consumo'!C219</f>
        <v>1680999</v>
      </c>
      <c r="E219" s="34" t="str">
        <f aca="false">'Uso e Consumo'!D219</f>
        <v>10.01.0116</v>
      </c>
      <c r="F219" s="34" t="str">
        <f aca="false">'Uso e Consumo'!E219</f>
        <v>CERAMICA ESMALTADA RETIFICADA, ACABAMENTO ACETINADO, PARA USO INTERNO, 60X60 - COR: BRANCA</v>
      </c>
      <c r="G219" s="34" t="str">
        <f aca="false">'Uso e Consumo'!J219</f>
        <v>M2</v>
      </c>
      <c r="H219" s="49" t="n">
        <f aca="false">'Uso e Consumo'!F219</f>
        <v>282.96</v>
      </c>
      <c r="I219" s="35" t="n">
        <f aca="false">'Uso e Consumo'!G219</f>
        <v>8483.14</v>
      </c>
      <c r="J219" s="34" t="str">
        <f aca="false">'Uso e Consumo'!M219</f>
        <v>3.8.1.010 - Revestimentos e pisos</v>
      </c>
      <c r="K219" s="32" t="str">
        <f aca="false">INDEX('Curva ABC'!$K$8:$K$2847,MATCH(D219,'Curva ABC'!$B$8:$B$2847,0))</f>
        <v>B</v>
      </c>
    </row>
    <row r="220" customFormat="false" ht="15" hidden="false" customHeight="false" outlineLevel="0" collapsed="false">
      <c r="A220" s="34" t="s">
        <v>5799</v>
      </c>
      <c r="B220" s="34" t="str">
        <f aca="false">'Uso e Consumo'!A220</f>
        <v>0335</v>
      </c>
      <c r="C220" s="34" t="str">
        <f aca="false">'Uso e Consumo'!B220</f>
        <v>UFV NORONHA VERDE - USO E CONSUMO</v>
      </c>
      <c r="D220" s="33" t="n">
        <f aca="false">'Uso e Consumo'!C220</f>
        <v>1009861</v>
      </c>
      <c r="E220" s="34" t="str">
        <f aca="false">'Uso e Consumo'!D220</f>
        <v>01.12.0350</v>
      </c>
      <c r="F220" s="34" t="str">
        <f aca="false">'Uso e Consumo'!E220</f>
        <v>BARRA DE METALON 50X30X1.5</v>
      </c>
      <c r="G220" s="34" t="str">
        <f aca="false">'Uso e Consumo'!J220</f>
        <v>UN</v>
      </c>
      <c r="H220" s="49" t="n">
        <f aca="false">'Uso e Consumo'!F220</f>
        <v>70</v>
      </c>
      <c r="I220" s="35" t="n">
        <f aca="false">'Uso e Consumo'!G220</f>
        <v>8458.205</v>
      </c>
      <c r="J220" s="34" t="str">
        <f aca="false">'Uso e Consumo'!M220</f>
        <v>3.8.1.001 - Aços e trefilados</v>
      </c>
      <c r="K220" s="32" t="str">
        <f aca="false">INDEX('Curva ABC'!$K$8:$K$2847,MATCH(D220,'Curva ABC'!$B$8:$B$2847,0))</f>
        <v>B</v>
      </c>
    </row>
    <row r="221" customFormat="false" ht="15" hidden="false" customHeight="false" outlineLevel="0" collapsed="false">
      <c r="A221" s="34" t="s">
        <v>5799</v>
      </c>
      <c r="B221" s="34" t="str">
        <f aca="false">'Uso e Consumo'!A221</f>
        <v>0335</v>
      </c>
      <c r="C221" s="34" t="str">
        <f aca="false">'Uso e Consumo'!B221</f>
        <v>UFV NORONHA VERDE - USO E CONSUMO</v>
      </c>
      <c r="D221" s="33" t="n">
        <f aca="false">'Uso e Consumo'!C221</f>
        <v>952368</v>
      </c>
      <c r="E221" s="34" t="str">
        <f aca="false">'Uso e Consumo'!D221</f>
        <v>08.02.0045</v>
      </c>
      <c r="F221" s="34" t="str">
        <f aca="false">'Uso e Consumo'!E221</f>
        <v>BLOCO CERÂMICO FURADO 9X19X19CM PARA VEDAÇÃO</v>
      </c>
      <c r="G221" s="34" t="str">
        <f aca="false">'Uso e Consumo'!J221</f>
        <v>UN</v>
      </c>
      <c r="H221" s="49" t="n">
        <f aca="false">'Uso e Consumo'!F221</f>
        <v>7200</v>
      </c>
      <c r="I221" s="35" t="n">
        <f aca="false">'Uso e Consumo'!G221</f>
        <v>8419.68</v>
      </c>
      <c r="J221" s="34" t="str">
        <f aca="false">'Uso e Consumo'!M221</f>
        <v>3.8.1.008 - Blocos, painéis e divisórias</v>
      </c>
      <c r="K221" s="32" t="str">
        <f aca="false">INDEX('Curva ABC'!$K$8:$K$2847,MATCH(D221,'Curva ABC'!$B$8:$B$2847,0))</f>
        <v>B</v>
      </c>
    </row>
    <row r="222" customFormat="false" ht="15" hidden="false" customHeight="false" outlineLevel="0" collapsed="false">
      <c r="A222" s="34" t="s">
        <v>5799</v>
      </c>
      <c r="B222" s="34" t="str">
        <f aca="false">'Uso e Consumo'!A222</f>
        <v>0335</v>
      </c>
      <c r="C222" s="34" t="str">
        <f aca="false">'Uso e Consumo'!B222</f>
        <v>UFV NORONHA VERDE - USO E CONSUMO</v>
      </c>
      <c r="D222" s="33" t="n">
        <f aca="false">'Uso e Consumo'!C222</f>
        <v>1463584</v>
      </c>
      <c r="E222" s="34" t="str">
        <f aca="false">'Uso e Consumo'!D222</f>
        <v>17.01.1233</v>
      </c>
      <c r="F222" s="34" t="str">
        <f aca="false">'Uso e Consumo'!E222</f>
        <v>CABO ELETRICO FLEXIVEL 0,6/1KV 1 X 35,00MM2 COBRE PVC CLASSE 5 VERMELHO NBR 728</v>
      </c>
      <c r="G222" s="34" t="str">
        <f aca="false">'Uso e Consumo'!J222</f>
        <v>M</v>
      </c>
      <c r="H222" s="49" t="n">
        <f aca="false">'Uso e Consumo'!F222</f>
        <v>205.275</v>
      </c>
      <c r="I222" s="35" t="n">
        <f aca="false">'Uso e Consumo'!G222</f>
        <v>8416.83</v>
      </c>
      <c r="J222" s="34" t="str">
        <f aca="false">'Uso e Consumo'!M222</f>
        <v>3.8.1.017 - Instalações elétricas/telefônicas/lógica</v>
      </c>
      <c r="K222" s="32" t="str">
        <f aca="false">INDEX('Curva ABC'!$K$8:$K$2847,MATCH(D222,'Curva ABC'!$B$8:$B$2847,0))</f>
        <v>B</v>
      </c>
    </row>
    <row r="223" customFormat="false" ht="15" hidden="false" customHeight="false" outlineLevel="0" collapsed="false">
      <c r="A223" s="34" t="s">
        <v>5799</v>
      </c>
      <c r="B223" s="34" t="str">
        <f aca="false">'Uso e Consumo'!A223</f>
        <v>0335</v>
      </c>
      <c r="C223" s="34" t="str">
        <f aca="false">'Uso e Consumo'!B223</f>
        <v>UFV NORONHA VERDE - USO E CONSUMO</v>
      </c>
      <c r="D223" s="33" t="n">
        <f aca="false">'Uso e Consumo'!C223</f>
        <v>1327762</v>
      </c>
      <c r="E223" s="34" t="str">
        <f aca="false">'Uso e Consumo'!D223</f>
        <v>18.03.0202</v>
      </c>
      <c r="F223" s="34" t="str">
        <f aca="false">'Uso e Consumo'!E223</f>
        <v>TUBO FERRO FUNDIDO CLASSE K7 100MM</v>
      </c>
      <c r="G223" s="34" t="str">
        <f aca="false">'Uso e Consumo'!J223</f>
        <v>M</v>
      </c>
      <c r="H223" s="49" t="n">
        <f aca="false">'Uso e Consumo'!F223</f>
        <v>13.85</v>
      </c>
      <c r="I223" s="35" t="n">
        <f aca="false">'Uso e Consumo'!G223</f>
        <v>8404.35</v>
      </c>
      <c r="J223" s="34" t="str">
        <f aca="false">'Uso e Consumo'!M223</f>
        <v>3.8.1.018 - Instalações hidráulicas/sanitárias/industriais</v>
      </c>
      <c r="K223" s="32" t="str">
        <f aca="false">INDEX('Curva ABC'!$K$8:$K$2847,MATCH(D223,'Curva ABC'!$B$8:$B$2847,0))</f>
        <v>B</v>
      </c>
    </row>
    <row r="224" customFormat="false" ht="15" hidden="false" customHeight="false" outlineLevel="0" collapsed="false">
      <c r="A224" s="34" t="s">
        <v>5799</v>
      </c>
      <c r="B224" s="34" t="str">
        <f aca="false">'Uso e Consumo'!A224</f>
        <v>0335</v>
      </c>
      <c r="C224" s="34" t="str">
        <f aca="false">'Uso e Consumo'!B224</f>
        <v>UFV NORONHA VERDE - USO E CONSUMO</v>
      </c>
      <c r="D224" s="33" t="n">
        <f aca="false">'Uso e Consumo'!C224</f>
        <v>22701</v>
      </c>
      <c r="E224" s="34" t="str">
        <f aca="false">'Uso e Consumo'!D224</f>
        <v>26.14.0001</v>
      </c>
      <c r="F224" s="34" t="str">
        <f aca="false">'Uso e Consumo'!E224</f>
        <v>KIT DE MITIGAÇÃO BOMBONA 100 LITROS AZUL</v>
      </c>
      <c r="G224" s="34" t="str">
        <f aca="false">'Uso e Consumo'!J224</f>
        <v>UN</v>
      </c>
      <c r="H224" s="49" t="n">
        <f aca="false">'Uso e Consumo'!F224</f>
        <v>20</v>
      </c>
      <c r="I224" s="35" t="n">
        <f aca="false">'Uso e Consumo'!G224</f>
        <v>8400</v>
      </c>
      <c r="J224" s="34" t="str">
        <f aca="false">'Uso e Consumo'!M224</f>
        <v>4.1.7.012 - Proteção Ambiental</v>
      </c>
      <c r="K224" s="32" t="str">
        <f aca="false">INDEX('Curva ABC'!$K$8:$K$2847,MATCH(D224,'Curva ABC'!$B$8:$B$2847,0))</f>
        <v>B</v>
      </c>
    </row>
    <row r="225" customFormat="false" ht="15" hidden="false" customHeight="false" outlineLevel="0" collapsed="false">
      <c r="A225" s="34" t="s">
        <v>5799</v>
      </c>
      <c r="B225" s="34" t="str">
        <f aca="false">'Uso e Consumo'!A225</f>
        <v>0335</v>
      </c>
      <c r="C225" s="34" t="str">
        <f aca="false">'Uso e Consumo'!B225</f>
        <v>UFV NORONHA VERDE - USO E CONSUMO</v>
      </c>
      <c r="D225" s="33" t="n">
        <f aca="false">'Uso e Consumo'!C225</f>
        <v>12221</v>
      </c>
      <c r="E225" s="34" t="str">
        <f aca="false">'Uso e Consumo'!D225</f>
        <v>17.01.0308</v>
      </c>
      <c r="F225" s="34" t="str">
        <f aca="false">'Uso e Consumo'!E225</f>
        <v>CABO ELETRICO FLEXIVEL 0,6/1KV 4 X 16,00MM2 COBRE BWF PVC CLASSE 5 PRETO NBR 7288</v>
      </c>
      <c r="G225" s="34" t="str">
        <f aca="false">'Uso e Consumo'!J225</f>
        <v>M</v>
      </c>
      <c r="H225" s="49" t="n">
        <f aca="false">'Uso e Consumo'!F225</f>
        <v>100</v>
      </c>
      <c r="I225" s="35" t="n">
        <f aca="false">'Uso e Consumo'!G225</f>
        <v>8394.2</v>
      </c>
      <c r="J225" s="34" t="str">
        <f aca="false">'Uso e Consumo'!M225</f>
        <v>3.8.1.017 - Instalações elétricas/telefônicas/lógica</v>
      </c>
      <c r="K225" s="32" t="str">
        <f aca="false">INDEX('Curva ABC'!$K$8:$K$2847,MATCH(D225,'Curva ABC'!$B$8:$B$2847,0))</f>
        <v>B</v>
      </c>
    </row>
    <row r="226" customFormat="false" ht="15" hidden="false" customHeight="false" outlineLevel="0" collapsed="false">
      <c r="A226" s="34" t="s">
        <v>5799</v>
      </c>
      <c r="B226" s="34" t="str">
        <f aca="false">'Uso e Consumo'!A226</f>
        <v>0335</v>
      </c>
      <c r="C226" s="34" t="str">
        <f aca="false">'Uso e Consumo'!B226</f>
        <v>UFV NORONHA VERDE - USO E CONSUMO</v>
      </c>
      <c r="D226" s="33" t="n">
        <f aca="false">'Uso e Consumo'!C226</f>
        <v>959715</v>
      </c>
      <c r="E226" s="34" t="str">
        <f aca="false">'Uso e Consumo'!D226</f>
        <v>32.07.0185</v>
      </c>
      <c r="F226" s="34" t="str">
        <f aca="false">'Uso e Consumo'!E226</f>
        <v>CORRENTE MOTOSSERRA STIHL MS 361 -30 DENTES</v>
      </c>
      <c r="G226" s="34" t="str">
        <f aca="false">'Uso e Consumo'!J226</f>
        <v>MT</v>
      </c>
      <c r="H226" s="49" t="n">
        <f aca="false">'Uso e Consumo'!F226</f>
        <v>190</v>
      </c>
      <c r="I226" s="35" t="n">
        <f aca="false">'Uso e Consumo'!G226</f>
        <v>8349</v>
      </c>
      <c r="J226" s="34" t="str">
        <f aca="false">'Uso e Consumo'!M226</f>
        <v>6.1.2.001 - Equipamentos</v>
      </c>
      <c r="K226" s="32" t="str">
        <f aca="false">INDEX('Curva ABC'!$K$8:$K$2847,MATCH(D226,'Curva ABC'!$B$8:$B$2847,0))</f>
        <v>B</v>
      </c>
    </row>
    <row r="227" customFormat="false" ht="15" hidden="false" customHeight="false" outlineLevel="0" collapsed="false">
      <c r="A227" s="34" t="s">
        <v>5799</v>
      </c>
      <c r="B227" s="34" t="str">
        <f aca="false">'Uso e Consumo'!A227</f>
        <v>0335</v>
      </c>
      <c r="C227" s="34" t="str">
        <f aca="false">'Uso e Consumo'!B227</f>
        <v>UFV NORONHA VERDE - USO E CONSUMO</v>
      </c>
      <c r="D227" s="33" t="n">
        <f aca="false">'Uso e Consumo'!C227</f>
        <v>856750</v>
      </c>
      <c r="E227" s="34" t="str">
        <f aca="false">'Uso e Consumo'!D227</f>
        <v>31.02.0160</v>
      </c>
      <c r="F227" s="34" t="str">
        <f aca="false">'Uso e Consumo'!E227</f>
        <v>OLEO LUBRIFICANTE H68 GAL 20L</v>
      </c>
      <c r="G227" s="34" t="str">
        <f aca="false">'Uso e Consumo'!J227</f>
        <v>UN</v>
      </c>
      <c r="H227" s="49" t="n">
        <f aca="false">'Uso e Consumo'!F227</f>
        <v>10</v>
      </c>
      <c r="I227" s="35" t="n">
        <f aca="false">'Uso e Consumo'!G227</f>
        <v>8322</v>
      </c>
      <c r="J227" s="34" t="str">
        <f aca="false">'Uso e Consumo'!M227</f>
        <v>3.1.6.001 - Combustível e lubrificantes</v>
      </c>
      <c r="K227" s="32" t="str">
        <f aca="false">INDEX('Curva ABC'!$K$8:$K$2847,MATCH(D227,'Curva ABC'!$B$8:$B$2847,0))</f>
        <v>B</v>
      </c>
    </row>
    <row r="228" customFormat="false" ht="15" hidden="false" customHeight="false" outlineLevel="0" collapsed="false">
      <c r="A228" s="34" t="s">
        <v>5799</v>
      </c>
      <c r="B228" s="34" t="str">
        <f aca="false">'Uso e Consumo'!A228</f>
        <v>0335</v>
      </c>
      <c r="C228" s="34" t="str">
        <f aca="false">'Uso e Consumo'!B228</f>
        <v>UFV NORONHA VERDE - USO E CONSUMO</v>
      </c>
      <c r="D228" s="33" t="n">
        <f aca="false">'Uso e Consumo'!C228</f>
        <v>56394</v>
      </c>
      <c r="E228" s="34" t="str">
        <f aca="false">'Uso e Consumo'!D228</f>
        <v>31.02.0058</v>
      </c>
      <c r="F228" s="34" t="str">
        <f aca="false">'Uso e Consumo'!E228</f>
        <v>GRAXA GRAFITADA</v>
      </c>
      <c r="G228" s="34" t="str">
        <f aca="false">'Uso e Consumo'!J228</f>
        <v>KG</v>
      </c>
      <c r="H228" s="49" t="n">
        <f aca="false">'Uso e Consumo'!F228</f>
        <v>200</v>
      </c>
      <c r="I228" s="35" t="n">
        <f aca="false">'Uso e Consumo'!G228</f>
        <v>8300</v>
      </c>
      <c r="J228" s="34" t="str">
        <f aca="false">'Uso e Consumo'!M228</f>
        <v>3.1.6.001 - Combustível e lubrificantes</v>
      </c>
      <c r="K228" s="32" t="str">
        <f aca="false">INDEX('Curva ABC'!$K$8:$K$2847,MATCH(D228,'Curva ABC'!$B$8:$B$2847,0))</f>
        <v>B</v>
      </c>
    </row>
    <row r="229" customFormat="false" ht="15" hidden="false" customHeight="false" outlineLevel="0" collapsed="false">
      <c r="A229" s="34" t="s">
        <v>5799</v>
      </c>
      <c r="B229" s="34" t="str">
        <f aca="false">'Uso e Consumo'!A229</f>
        <v>0335</v>
      </c>
      <c r="C229" s="34" t="str">
        <f aca="false">'Uso e Consumo'!B229</f>
        <v>UFV NORONHA VERDE - USO E CONSUMO</v>
      </c>
      <c r="D229" s="33" t="n">
        <f aca="false">'Uso e Consumo'!C229</f>
        <v>1463587</v>
      </c>
      <c r="E229" s="34" t="str">
        <f aca="false">'Uso e Consumo'!D229</f>
        <v>17.01.1236</v>
      </c>
      <c r="F229" s="34" t="str">
        <f aca="false">'Uso e Consumo'!E229</f>
        <v>CABO ELETRICO FLEXIVEL 0,6/1KV 1 X 50,00MM2 COBRE PVC CLASSE 5 VERMELHO NBR 7290</v>
      </c>
      <c r="G229" s="34" t="str">
        <f aca="false">'Uso e Consumo'!J229</f>
        <v>M</v>
      </c>
      <c r="H229" s="49" t="n">
        <f aca="false">'Uso e Consumo'!F229</f>
        <v>133.17</v>
      </c>
      <c r="I229" s="35" t="n">
        <f aca="false">'Uso e Consumo'!G229</f>
        <v>8252.04</v>
      </c>
      <c r="J229" s="34" t="str">
        <f aca="false">'Uso e Consumo'!M229</f>
        <v>3.8.1.017 - Instalações elétricas/telefônicas/lógica</v>
      </c>
      <c r="K229" s="32" t="str">
        <f aca="false">INDEX('Curva ABC'!$K$8:$K$2847,MATCH(D229,'Curva ABC'!$B$8:$B$2847,0))</f>
        <v>B</v>
      </c>
    </row>
    <row r="230" customFormat="false" ht="15" hidden="false" customHeight="false" outlineLevel="0" collapsed="false">
      <c r="A230" s="34" t="s">
        <v>5799</v>
      </c>
      <c r="B230" s="34" t="str">
        <f aca="false">'Uso e Consumo'!A230</f>
        <v>0335</v>
      </c>
      <c r="C230" s="34" t="str">
        <f aca="false">'Uso e Consumo'!B230</f>
        <v>UFV NORONHA VERDE - USO E CONSUMO</v>
      </c>
      <c r="D230" s="33" t="n">
        <f aca="false">'Uso e Consumo'!C230</f>
        <v>18982</v>
      </c>
      <c r="E230" s="34" t="str">
        <f aca="false">'Uso e Consumo'!D230</f>
        <v>26.13.0004</v>
      </c>
      <c r="F230" s="34" t="str">
        <f aca="false">'Uso e Consumo'!E230</f>
        <v>BATA MANGA LONGA TAMANHO GG - FORRO NO OMBRO, GOLA COM VELCRO, 3 BOLSOS, LOGOMARCA NAS COSTAS, 02 AR</v>
      </c>
      <c r="G230" s="34" t="str">
        <f aca="false">'Uso e Consumo'!J230</f>
        <v>UN</v>
      </c>
      <c r="H230" s="49" t="n">
        <f aca="false">'Uso e Consumo'!F230</f>
        <v>150</v>
      </c>
      <c r="I230" s="35" t="n">
        <f aca="false">'Uso e Consumo'!G230</f>
        <v>8250</v>
      </c>
      <c r="J230" s="34" t="str">
        <f aca="false">'Uso e Consumo'!M230</f>
        <v>4.3.4.003 - Fardamentos</v>
      </c>
      <c r="K230" s="32" t="str">
        <f aca="false">INDEX('Curva ABC'!$K$8:$K$2847,MATCH(D230,'Curva ABC'!$B$8:$B$2847,0))</f>
        <v>B</v>
      </c>
    </row>
    <row r="231" customFormat="false" ht="15" hidden="false" customHeight="false" outlineLevel="0" collapsed="false">
      <c r="A231" s="34" t="s">
        <v>5799</v>
      </c>
      <c r="B231" s="34" t="str">
        <f aca="false">'Uso e Consumo'!A231</f>
        <v>0335</v>
      </c>
      <c r="C231" s="34" t="str">
        <f aca="false">'Uso e Consumo'!B231</f>
        <v>UFV NORONHA VERDE - USO E CONSUMO</v>
      </c>
      <c r="D231" s="33" t="n">
        <f aca="false">'Uso e Consumo'!C231</f>
        <v>18986</v>
      </c>
      <c r="E231" s="34" t="str">
        <f aca="false">'Uso e Consumo'!D231</f>
        <v>26.13.0008</v>
      </c>
      <c r="F231" s="34" t="str">
        <f aca="false">'Uso e Consumo'!E231</f>
        <v>CALÇA COM ELÁSTICO TAMANHO GG - 4 BOLSOS, FORRO NO JOELHO, 02 ARGOLAS REFLETIVAS ABAIXO DO JOELHO, C</v>
      </c>
      <c r="G231" s="34" t="str">
        <f aca="false">'Uso e Consumo'!J231</f>
        <v>UN</v>
      </c>
      <c r="H231" s="49" t="n">
        <f aca="false">'Uso e Consumo'!F231</f>
        <v>150</v>
      </c>
      <c r="I231" s="35" t="n">
        <f aca="false">'Uso e Consumo'!G231</f>
        <v>8250</v>
      </c>
      <c r="J231" s="34" t="str">
        <f aca="false">'Uso e Consumo'!M231</f>
        <v>4.3.4.003 - Fardamentos</v>
      </c>
      <c r="K231" s="32" t="str">
        <f aca="false">INDEX('Curva ABC'!$K$8:$K$2847,MATCH(D231,'Curva ABC'!$B$8:$B$2847,0))</f>
        <v>B</v>
      </c>
    </row>
    <row r="232" customFormat="false" ht="15" hidden="false" customHeight="false" outlineLevel="0" collapsed="false">
      <c r="A232" s="34" t="s">
        <v>5799</v>
      </c>
      <c r="B232" s="34" t="str">
        <f aca="false">'Uso e Consumo'!A232</f>
        <v>0335</v>
      </c>
      <c r="C232" s="34" t="str">
        <f aca="false">'Uso e Consumo'!B232</f>
        <v>UFV NORONHA VERDE - USO E CONSUMO</v>
      </c>
      <c r="D232" s="33" t="n">
        <f aca="false">'Uso e Consumo'!C232</f>
        <v>289512</v>
      </c>
      <c r="E232" s="34" t="str">
        <f aca="false">'Uso e Consumo'!D232</f>
        <v>06.02.0035</v>
      </c>
      <c r="F232" s="34" t="str">
        <f aca="false">'Uso e Consumo'!E232</f>
        <v>ADESIVO ACRÍLICO P/PISO VINILICO (GLOBALFIX)</v>
      </c>
      <c r="G232" s="34" t="str">
        <f aca="false">'Uso e Consumo'!J232</f>
        <v>KG</v>
      </c>
      <c r="H232" s="49" t="n">
        <f aca="false">'Uso e Consumo'!F232</f>
        <v>270</v>
      </c>
      <c r="I232" s="35" t="n">
        <f aca="false">'Uso e Consumo'!G232</f>
        <v>8248.5</v>
      </c>
      <c r="J232" s="34" t="str">
        <f aca="false">'Uso e Consumo'!M232</f>
        <v>3.8.1.006 - Aditivos e produtos químicos</v>
      </c>
      <c r="K232" s="32" t="str">
        <f aca="false">INDEX('Curva ABC'!$K$8:$K$2847,MATCH(D232,'Curva ABC'!$B$8:$B$2847,0))</f>
        <v>B</v>
      </c>
    </row>
    <row r="233" customFormat="false" ht="15" hidden="false" customHeight="false" outlineLevel="0" collapsed="false">
      <c r="A233" s="34" t="s">
        <v>5799</v>
      </c>
      <c r="B233" s="34" t="str">
        <f aca="false">'Uso e Consumo'!A233</f>
        <v>0335</v>
      </c>
      <c r="C233" s="34" t="str">
        <f aca="false">'Uso e Consumo'!B233</f>
        <v>UFV NORONHA VERDE - USO E CONSUMO</v>
      </c>
      <c r="D233" s="33" t="n">
        <f aca="false">'Uso e Consumo'!C233</f>
        <v>19244</v>
      </c>
      <c r="E233" s="34" t="str">
        <f aca="false">'Uso e Consumo'!D233</f>
        <v>29.02.0030</v>
      </c>
      <c r="F233" s="34" t="str">
        <f aca="false">'Uso e Consumo'!E233</f>
        <v>TRAVESSEIRO</v>
      </c>
      <c r="G233" s="34" t="str">
        <f aca="false">'Uso e Consumo'!J233</f>
        <v>UN</v>
      </c>
      <c r="H233" s="49" t="n">
        <f aca="false">'Uso e Consumo'!F233</f>
        <v>204</v>
      </c>
      <c r="I233" s="35" t="n">
        <f aca="false">'Uso e Consumo'!G233</f>
        <v>8247.6</v>
      </c>
      <c r="J233" s="34" t="str">
        <f aca="false">'Uso e Consumo'!M233</f>
        <v>4.1.1.008 - Mobiliário e acessórios</v>
      </c>
      <c r="K233" s="32" t="str">
        <f aca="false">INDEX('Curva ABC'!$K$8:$K$2847,MATCH(D233,'Curva ABC'!$B$8:$B$2847,0))</f>
        <v>B</v>
      </c>
    </row>
    <row r="234" customFormat="false" ht="15" hidden="false" customHeight="false" outlineLevel="0" collapsed="false">
      <c r="A234" s="34" t="s">
        <v>5799</v>
      </c>
      <c r="B234" s="34" t="str">
        <f aca="false">'Uso e Consumo'!A234</f>
        <v>0335</v>
      </c>
      <c r="C234" s="34" t="str">
        <f aca="false">'Uso e Consumo'!B234</f>
        <v>UFV NORONHA VERDE - USO E CONSUMO</v>
      </c>
      <c r="D234" s="33" t="n">
        <f aca="false">'Uso e Consumo'!C234</f>
        <v>1383007</v>
      </c>
      <c r="E234" s="34" t="str">
        <f aca="false">'Uso e Consumo'!D234</f>
        <v>17.20.0688</v>
      </c>
      <c r="F234" s="34" t="str">
        <f aca="false">'Uso e Consumo'!E234</f>
        <v>PARA RAIOS ZNO 15 KV</v>
      </c>
      <c r="G234" s="34" t="str">
        <f aca="false">'Uso e Consumo'!J234</f>
        <v>UN</v>
      </c>
      <c r="H234" s="49" t="n">
        <f aca="false">'Uso e Consumo'!F234</f>
        <v>19</v>
      </c>
      <c r="I234" s="35" t="n">
        <f aca="false">'Uso e Consumo'!G234</f>
        <v>8219.26</v>
      </c>
      <c r="J234" s="34" t="str">
        <f aca="false">'Uso e Consumo'!M234</f>
        <v>3.8.1.017 - Instalações elétricas/telefônicas/lógica</v>
      </c>
      <c r="K234" s="32" t="str">
        <f aca="false">INDEX('Curva ABC'!$K$8:$K$2847,MATCH(D234,'Curva ABC'!$B$8:$B$2847,0))</f>
        <v>B</v>
      </c>
    </row>
    <row r="235" customFormat="false" ht="15" hidden="false" customHeight="false" outlineLevel="0" collapsed="false">
      <c r="A235" s="34" t="s">
        <v>5799</v>
      </c>
      <c r="B235" s="34" t="str">
        <f aca="false">'Uso e Consumo'!A235</f>
        <v>0335</v>
      </c>
      <c r="C235" s="34" t="str">
        <f aca="false">'Uso e Consumo'!B235</f>
        <v>UFV NORONHA VERDE - USO E CONSUMO</v>
      </c>
      <c r="D235" s="33" t="n">
        <f aca="false">'Uso e Consumo'!C235</f>
        <v>32791</v>
      </c>
      <c r="E235" s="34" t="str">
        <f aca="false">'Uso e Consumo'!D235</f>
        <v>01.10.0059</v>
      </c>
      <c r="F235" s="34" t="str">
        <f aca="false">'Uso e Consumo'!E235</f>
        <v>BARRA ROSCADA AÇO CARBONO GALVANIZADO UNC 3/4" 10 FIOS C/ 1,00M</v>
      </c>
      <c r="G235" s="34" t="str">
        <f aca="false">'Uso e Consumo'!J235</f>
        <v>PÇ1M</v>
      </c>
      <c r="H235" s="49" t="n">
        <f aca="false">'Uso e Consumo'!F235</f>
        <v>240</v>
      </c>
      <c r="I235" s="35" t="n">
        <f aca="false">'Uso e Consumo'!G235</f>
        <v>8160</v>
      </c>
      <c r="J235" s="34" t="str">
        <f aca="false">'Uso e Consumo'!M235</f>
        <v>3.8.1.001 - Aços e trefilados</v>
      </c>
      <c r="K235" s="32" t="str">
        <f aca="false">INDEX('Curva ABC'!$K$8:$K$2847,MATCH(D235,'Curva ABC'!$B$8:$B$2847,0))</f>
        <v>B</v>
      </c>
    </row>
    <row r="236" customFormat="false" ht="15" hidden="false" customHeight="false" outlineLevel="0" collapsed="false">
      <c r="A236" s="34" t="s">
        <v>5799</v>
      </c>
      <c r="B236" s="34" t="str">
        <f aca="false">'Uso e Consumo'!A236</f>
        <v>0335</v>
      </c>
      <c r="C236" s="34" t="str">
        <f aca="false">'Uso e Consumo'!B236</f>
        <v>UFV NORONHA VERDE - USO E CONSUMO</v>
      </c>
      <c r="D236" s="33" t="n">
        <f aca="false">'Uso e Consumo'!C236</f>
        <v>884857</v>
      </c>
      <c r="E236" s="34" t="str">
        <f aca="false">'Uso e Consumo'!D236</f>
        <v>09.21.0329</v>
      </c>
      <c r="F236" s="34" t="str">
        <f aca="false">'Uso e Consumo'!E236</f>
        <v>POSTE TELESCOPICO AUTOS-SUPORTADO DE AÇO GALVANIZADO A FOGO 10M - SPDA</v>
      </c>
      <c r="G236" s="34" t="str">
        <f aca="false">'Uso e Consumo'!J236</f>
        <v>UND</v>
      </c>
      <c r="H236" s="49" t="n">
        <f aca="false">'Uso e Consumo'!F236</f>
        <v>11</v>
      </c>
      <c r="I236" s="35" t="n">
        <f aca="false">'Uso e Consumo'!G236</f>
        <v>8155.84</v>
      </c>
      <c r="J236" s="34" t="str">
        <f aca="false">'Uso e Consumo'!M236</f>
        <v>3.8.1.009 - Artefatos pré-moldados de concreto</v>
      </c>
      <c r="K236" s="32" t="str">
        <f aca="false">INDEX('Curva ABC'!$K$8:$K$2847,MATCH(D236,'Curva ABC'!$B$8:$B$2847,0))</f>
        <v>B</v>
      </c>
    </row>
    <row r="237" customFormat="false" ht="15" hidden="false" customHeight="false" outlineLevel="0" collapsed="false">
      <c r="A237" s="34" t="s">
        <v>5799</v>
      </c>
      <c r="B237" s="34" t="str">
        <f aca="false">'Uso e Consumo'!A237</f>
        <v>0335</v>
      </c>
      <c r="C237" s="34" t="str">
        <f aca="false">'Uso e Consumo'!B237</f>
        <v>UFV NORONHA VERDE - USO E CONSUMO</v>
      </c>
      <c r="D237" s="33" t="n">
        <f aca="false">'Uso e Consumo'!C237</f>
        <v>59125</v>
      </c>
      <c r="E237" s="34" t="str">
        <f aca="false">'Uso e Consumo'!D237</f>
        <v>29.01.0423</v>
      </c>
      <c r="F237" s="34" t="str">
        <f aca="false">'Uso e Consumo'!E237</f>
        <v>MONITOR LED 24" WIDESCREEN</v>
      </c>
      <c r="G237" s="34" t="str">
        <f aca="false">'Uso e Consumo'!J237</f>
        <v>UN</v>
      </c>
      <c r="H237" s="49" t="n">
        <f aca="false">'Uso e Consumo'!F237</f>
        <v>17</v>
      </c>
      <c r="I237" s="35" t="n">
        <f aca="false">'Uso e Consumo'!G237</f>
        <v>8120.05</v>
      </c>
      <c r="J237" s="34" t="str">
        <f aca="false">'Uso e Consumo'!M237</f>
        <v>4.1.1.007 - Equipamentos e acessórios para informática</v>
      </c>
      <c r="K237" s="32" t="str">
        <f aca="false">INDEX('Curva ABC'!$K$8:$K$2847,MATCH(D237,'Curva ABC'!$B$8:$B$2847,0))</f>
        <v>B</v>
      </c>
    </row>
    <row r="238" customFormat="false" ht="15" hidden="false" customHeight="false" outlineLevel="0" collapsed="false">
      <c r="A238" s="34" t="s">
        <v>5799</v>
      </c>
      <c r="B238" s="34" t="str">
        <f aca="false">'Uso e Consumo'!A238</f>
        <v>0335</v>
      </c>
      <c r="C238" s="34" t="str">
        <f aca="false">'Uso e Consumo'!B238</f>
        <v>UFV NORONHA VERDE - USO E CONSUMO</v>
      </c>
      <c r="D238" s="33" t="n">
        <f aca="false">'Uso e Consumo'!C238</f>
        <v>652029</v>
      </c>
      <c r="E238" s="34" t="str">
        <f aca="false">'Uso e Consumo'!D238</f>
        <v>17.21.0069</v>
      </c>
      <c r="F238" s="34" t="str">
        <f aca="false">'Uso e Consumo'!E238</f>
        <v>SUPORTE HORIZONTAL PARA ISOLADOR GALVANIZADO A FOGO</v>
      </c>
      <c r="G238" s="34" t="str">
        <f aca="false">'Uso e Consumo'!J238</f>
        <v>UN</v>
      </c>
      <c r="H238" s="49" t="n">
        <f aca="false">'Uso e Consumo'!F238</f>
        <v>115</v>
      </c>
      <c r="I238" s="35" t="n">
        <f aca="false">'Uso e Consumo'!G238</f>
        <v>8011.3</v>
      </c>
      <c r="J238" s="34" t="str">
        <f aca="false">'Uso e Consumo'!M238</f>
        <v>3.8.1.017 - Instalações elétricas/telefônicas/lógica</v>
      </c>
      <c r="K238" s="32" t="str">
        <f aca="false">INDEX('Curva ABC'!$K$8:$K$2847,MATCH(D238,'Curva ABC'!$B$8:$B$2847,0))</f>
        <v>B</v>
      </c>
    </row>
    <row r="239" customFormat="false" ht="15" hidden="false" customHeight="false" outlineLevel="0" collapsed="false">
      <c r="A239" s="34" t="s">
        <v>5799</v>
      </c>
      <c r="B239" s="34" t="str">
        <f aca="false">'Uso e Consumo'!A239</f>
        <v>0335</v>
      </c>
      <c r="C239" s="34" t="str">
        <f aca="false">'Uso e Consumo'!B239</f>
        <v>UFV NORONHA VERDE - USO E CONSUMO</v>
      </c>
      <c r="D239" s="33" t="n">
        <f aca="false">'Uso e Consumo'!C239</f>
        <v>1662287</v>
      </c>
      <c r="E239" s="34" t="str">
        <f aca="false">'Uso e Consumo'!D239</f>
        <v>17.21.0125</v>
      </c>
      <c r="F239" s="34" t="str">
        <f aca="false">'Uso e Consumo'!E239</f>
        <v>ISOLADOR POLIMERICO, TIPO BASTAO, GARFO-OLHAL, TENSAO 25 KV, NBI 150 KV</v>
      </c>
      <c r="G239" s="34" t="str">
        <f aca="false">'Uso e Consumo'!J239</f>
        <v>UN</v>
      </c>
      <c r="H239" s="49" t="n">
        <f aca="false">'Uso e Consumo'!F239</f>
        <v>114</v>
      </c>
      <c r="I239" s="35" t="n">
        <f aca="false">'Uso e Consumo'!G239</f>
        <v>7802.16</v>
      </c>
      <c r="J239" s="34" t="str">
        <f aca="false">'Uso e Consumo'!M239</f>
        <v>3.8.1.017 - Instalações elétricas/telefônicas/lógica</v>
      </c>
      <c r="K239" s="32" t="str">
        <f aca="false">INDEX('Curva ABC'!$K$8:$K$2847,MATCH(D239,'Curva ABC'!$B$8:$B$2847,0))</f>
        <v>B</v>
      </c>
    </row>
    <row r="240" customFormat="false" ht="32.8" hidden="false" customHeight="false" outlineLevel="0" collapsed="false">
      <c r="A240" s="34" t="s">
        <v>5799</v>
      </c>
      <c r="B240" s="34" t="str">
        <f aca="false">'Uso e Consumo'!A240</f>
        <v>0335</v>
      </c>
      <c r="C240" s="34" t="str">
        <f aca="false">'Uso e Consumo'!B240</f>
        <v>UFV NORONHA VERDE - USO E CONSUMO</v>
      </c>
      <c r="D240" s="33" t="n">
        <f aca="false">'Uso e Consumo'!C240</f>
        <v>1487330</v>
      </c>
      <c r="E240" s="34" t="str">
        <f aca="false">'Uso e Consumo'!D240</f>
        <v>17.20.0726</v>
      </c>
      <c r="F240" s="50" t="str">
        <f aca="false">'Uso e Consumo'!E240</f>
        <v>CHAVE DE TRANSFERÊNCIA AUTOMÁTICA 4 POLOS 400 A
</v>
      </c>
      <c r="G240" s="34" t="str">
        <f aca="false">'Uso e Consumo'!J240</f>
        <v>UN</v>
      </c>
      <c r="H240" s="49" t="n">
        <f aca="false">'Uso e Consumo'!F240</f>
        <v>1</v>
      </c>
      <c r="I240" s="35" t="n">
        <f aca="false">'Uso e Consumo'!G240</f>
        <v>7717.92</v>
      </c>
      <c r="J240" s="34" t="str">
        <f aca="false">'Uso e Consumo'!M240</f>
        <v>3.8.1.017 - Instalações elétricas/telefônicas/lógica</v>
      </c>
      <c r="K240" s="32" t="str">
        <f aca="false">INDEX('Curva ABC'!$K$8:$K$2847,MATCH(D240,'Curva ABC'!$B$8:$B$2847,0))</f>
        <v>B</v>
      </c>
    </row>
    <row r="241" customFormat="false" ht="15" hidden="false" customHeight="false" outlineLevel="0" collapsed="false">
      <c r="A241" s="34" t="s">
        <v>5799</v>
      </c>
      <c r="B241" s="34" t="str">
        <f aca="false">'Uso e Consumo'!A241</f>
        <v>0335</v>
      </c>
      <c r="C241" s="34" t="str">
        <f aca="false">'Uso e Consumo'!B241</f>
        <v>UFV NORONHA VERDE - USO E CONSUMO</v>
      </c>
      <c r="D241" s="33" t="n">
        <f aca="false">'Uso e Consumo'!C241</f>
        <v>34227</v>
      </c>
      <c r="E241" s="34" t="str">
        <f aca="false">'Uso e Consumo'!D241</f>
        <v>32.12.0017</v>
      </c>
      <c r="F241" s="34" t="str">
        <f aca="false">'Uso e Consumo'!E241</f>
        <v>DETECTOR DE TENSÃO PARA APROXIMAÇÃO - 1 A 100 / 100 A 800KV 50/60HZ – PARA LINHA ALTA TENSÃO 13.8KV</v>
      </c>
      <c r="G241" s="34" t="str">
        <f aca="false">'Uso e Consumo'!J241</f>
        <v>UN</v>
      </c>
      <c r="H241" s="49" t="n">
        <f aca="false">'Uso e Consumo'!F241</f>
        <v>2</v>
      </c>
      <c r="I241" s="35" t="n">
        <f aca="false">'Uso e Consumo'!G241</f>
        <v>7680</v>
      </c>
      <c r="J241" s="34" t="str">
        <f aca="false">'Uso e Consumo'!M241</f>
        <v>4.1.1.011 - Instrumentos para medição</v>
      </c>
      <c r="K241" s="32" t="str">
        <f aca="false">INDEX('Curva ABC'!$K$8:$K$2847,MATCH(D241,'Curva ABC'!$B$8:$B$2847,0))</f>
        <v>B</v>
      </c>
    </row>
    <row r="242" customFormat="false" ht="15" hidden="false" customHeight="false" outlineLevel="0" collapsed="false">
      <c r="A242" s="34" t="s">
        <v>5799</v>
      </c>
      <c r="B242" s="34" t="str">
        <f aca="false">'Uso e Consumo'!A242</f>
        <v>0335</v>
      </c>
      <c r="C242" s="34" t="str">
        <f aca="false">'Uso e Consumo'!B242</f>
        <v>UFV NORONHA VERDE - USO E CONSUMO</v>
      </c>
      <c r="D242" s="33" t="n">
        <f aca="false">'Uso e Consumo'!C242</f>
        <v>856720</v>
      </c>
      <c r="E242" s="34" t="str">
        <f aca="false">'Uso e Consumo'!D242</f>
        <v>30.03.0422</v>
      </c>
      <c r="F242" s="34" t="str">
        <f aca="false">'Uso e Consumo'!E242</f>
        <v>BACIA DE CONTENÇÃO MET 290L 120CM X 80CM X30CM</v>
      </c>
      <c r="G242" s="34" t="str">
        <f aca="false">'Uso e Consumo'!J242</f>
        <v>UN</v>
      </c>
      <c r="H242" s="49" t="n">
        <f aca="false">'Uso e Consumo'!F242</f>
        <v>6</v>
      </c>
      <c r="I242" s="35" t="n">
        <f aca="false">'Uso e Consumo'!G242</f>
        <v>7560</v>
      </c>
      <c r="J242" s="34" t="str">
        <f aca="false">'Uso e Consumo'!M242</f>
        <v>4.1.1.003 - Material limpeza</v>
      </c>
      <c r="K242" s="32" t="str">
        <f aca="false">INDEX('Curva ABC'!$K$8:$K$2847,MATCH(D242,'Curva ABC'!$B$8:$B$2847,0))</f>
        <v>B</v>
      </c>
    </row>
    <row r="243" customFormat="false" ht="15" hidden="false" customHeight="false" outlineLevel="0" collapsed="false">
      <c r="A243" s="34" t="s">
        <v>5799</v>
      </c>
      <c r="B243" s="34" t="str">
        <f aca="false">'Uso e Consumo'!A243</f>
        <v>0335</v>
      </c>
      <c r="C243" s="34" t="str">
        <f aca="false">'Uso e Consumo'!B243</f>
        <v>UFV NORONHA VERDE - USO E CONSUMO</v>
      </c>
      <c r="D243" s="33" t="n">
        <f aca="false">'Uso e Consumo'!C243</f>
        <v>19215</v>
      </c>
      <c r="E243" s="34" t="str">
        <f aca="false">'Uso e Consumo'!D243</f>
        <v>29.02.0001</v>
      </c>
      <c r="F243" s="34" t="str">
        <f aca="false">'Uso e Consumo'!E243</f>
        <v>CADEIRA ESCRITÓRIO SECRETÁRIA GIRATÓRIA C/BRAÇO</v>
      </c>
      <c r="G243" s="34" t="str">
        <f aca="false">'Uso e Consumo'!J243</f>
        <v>UN</v>
      </c>
      <c r="H243" s="49" t="n">
        <f aca="false">'Uso e Consumo'!F243</f>
        <v>21</v>
      </c>
      <c r="I243" s="35" t="n">
        <f aca="false">'Uso e Consumo'!G243</f>
        <v>7559.6</v>
      </c>
      <c r="J243" s="34" t="str">
        <f aca="false">'Uso e Consumo'!M243</f>
        <v>4.1.1.008 - Mobiliário e acessórios</v>
      </c>
      <c r="K243" s="32" t="str">
        <f aca="false">INDEX('Curva ABC'!$K$8:$K$2847,MATCH(D243,'Curva ABC'!$B$8:$B$2847,0))</f>
        <v>A</v>
      </c>
    </row>
    <row r="244" customFormat="false" ht="15" hidden="false" customHeight="false" outlineLevel="0" collapsed="false">
      <c r="A244" s="34" t="s">
        <v>5799</v>
      </c>
      <c r="B244" s="34" t="str">
        <f aca="false">'Uso e Consumo'!A244</f>
        <v>0335</v>
      </c>
      <c r="C244" s="34" t="str">
        <f aca="false">'Uso e Consumo'!B244</f>
        <v>UFV NORONHA VERDE - USO E CONSUMO</v>
      </c>
      <c r="D244" s="33" t="n">
        <f aca="false">'Uso e Consumo'!C244</f>
        <v>55478</v>
      </c>
      <c r="E244" s="34" t="str">
        <f aca="false">'Uso e Consumo'!D244</f>
        <v>26.05.0037</v>
      </c>
      <c r="F244" s="34" t="str">
        <f aca="false">'Uso e Consumo'!E244</f>
        <v>PROTETOR FACIAL CONTRA ARCO ELETRICO RISCO 2</v>
      </c>
      <c r="G244" s="34" t="str">
        <f aca="false">'Uso e Consumo'!J244</f>
        <v>UN</v>
      </c>
      <c r="H244" s="49" t="n">
        <f aca="false">'Uso e Consumo'!F244</f>
        <v>12</v>
      </c>
      <c r="I244" s="35" t="n">
        <f aca="false">'Uso e Consumo'!G244</f>
        <v>7548</v>
      </c>
      <c r="J244" s="34" t="str">
        <f aca="false">'Uso e Consumo'!M244</f>
        <v>4.3.4.001 - Equipamento de proteção individual</v>
      </c>
      <c r="K244" s="32" t="str">
        <f aca="false">INDEX('Curva ABC'!$K$8:$K$2847,MATCH(D244,'Curva ABC'!$B$8:$B$2847,0))</f>
        <v>B</v>
      </c>
    </row>
    <row r="245" customFormat="false" ht="15" hidden="false" customHeight="false" outlineLevel="0" collapsed="false">
      <c r="A245" s="34" t="s">
        <v>5799</v>
      </c>
      <c r="B245" s="34" t="str">
        <f aca="false">'Uso e Consumo'!A245</f>
        <v>0335</v>
      </c>
      <c r="C245" s="34" t="str">
        <f aca="false">'Uso e Consumo'!B245</f>
        <v>UFV NORONHA VERDE - USO E CONSUMO</v>
      </c>
      <c r="D245" s="33" t="n">
        <f aca="false">'Uso e Consumo'!C245</f>
        <v>1384409</v>
      </c>
      <c r="E245" s="34" t="str">
        <f aca="false">'Uso e Consumo'!D245</f>
        <v>17.02.0864</v>
      </c>
      <c r="F245" s="34" t="str">
        <f aca="false">'Uso e Consumo'!E245</f>
        <v>ELETRODUTO ALUMÍNIO 50 MM, COM ROSCA 2" BSP, TIPO PESADO, BARRA 3,00 M</v>
      </c>
      <c r="G245" s="34" t="str">
        <f aca="false">'Uso e Consumo'!J245</f>
        <v>UN</v>
      </c>
      <c r="H245" s="49" t="n">
        <f aca="false">'Uso e Consumo'!F245</f>
        <v>31</v>
      </c>
      <c r="I245" s="35" t="n">
        <f aca="false">'Uso e Consumo'!G245</f>
        <v>7408.23</v>
      </c>
      <c r="J245" s="34" t="str">
        <f aca="false">'Uso e Consumo'!M245</f>
        <v>3.8.1.017 - Instalações elétricas/telefônicas/lógica</v>
      </c>
      <c r="K245" s="32" t="str">
        <f aca="false">INDEX('Curva ABC'!$K$8:$K$2847,MATCH(D245,'Curva ABC'!$B$8:$B$2847,0))</f>
        <v>B</v>
      </c>
    </row>
    <row r="246" customFormat="false" ht="15" hidden="false" customHeight="false" outlineLevel="0" collapsed="false">
      <c r="A246" s="34" t="s">
        <v>5799</v>
      </c>
      <c r="B246" s="34" t="str">
        <f aca="false">'Uso e Consumo'!A246</f>
        <v>0335</v>
      </c>
      <c r="C246" s="34" t="str">
        <f aca="false">'Uso e Consumo'!B246</f>
        <v>UFV NORONHA VERDE - USO E CONSUMO</v>
      </c>
      <c r="D246" s="33" t="n">
        <f aca="false">'Uso e Consumo'!C246</f>
        <v>1260642</v>
      </c>
      <c r="E246" s="34" t="str">
        <f aca="false">'Uso e Consumo'!D246</f>
        <v>18.02.0732</v>
      </c>
      <c r="F246" s="34" t="str">
        <f aca="false">'Uso e Consumo'!E246</f>
        <v>TUBO DE AÇO CARBONO ASTM A-53 GRAU B DN. 1½"</v>
      </c>
      <c r="G246" s="34" t="str">
        <f aca="false">'Uso e Consumo'!J246</f>
        <v>M</v>
      </c>
      <c r="H246" s="49" t="n">
        <f aca="false">'Uso e Consumo'!F246</f>
        <v>10.5</v>
      </c>
      <c r="I246" s="35" t="n">
        <f aca="false">'Uso e Consumo'!G246</f>
        <v>7385</v>
      </c>
      <c r="J246" s="34" t="str">
        <f aca="false">'Uso e Consumo'!M246</f>
        <v>3.8.1.018 - Instalações hidráulicas/sanitárias/industriais</v>
      </c>
      <c r="K246" s="32" t="str">
        <f aca="false">INDEX('Curva ABC'!$K$8:$K$2847,MATCH(D246,'Curva ABC'!$B$8:$B$2847,0))</f>
        <v>B</v>
      </c>
    </row>
    <row r="247" customFormat="false" ht="15" hidden="false" customHeight="false" outlineLevel="0" collapsed="false">
      <c r="A247" s="34" t="s">
        <v>5799</v>
      </c>
      <c r="B247" s="34" t="str">
        <f aca="false">'Uso e Consumo'!A247</f>
        <v>0335</v>
      </c>
      <c r="C247" s="34" t="str">
        <f aca="false">'Uso e Consumo'!B247</f>
        <v>UFV NORONHA VERDE - USO E CONSUMO</v>
      </c>
      <c r="D247" s="33" t="n">
        <f aca="false">'Uso e Consumo'!C247</f>
        <v>1387324</v>
      </c>
      <c r="E247" s="34" t="str">
        <f aca="false">'Uso e Consumo'!D247</f>
        <v>23.10.0063</v>
      </c>
      <c r="F247" s="34" t="str">
        <f aca="false">'Uso e Consumo'!E247</f>
        <v>CHUMBADOR M20X150 HDG AÇO CARBONO 8.8 OU EQUIVALENTE</v>
      </c>
      <c r="G247" s="34" t="str">
        <f aca="false">'Uso e Consumo'!J247</f>
        <v>UN</v>
      </c>
      <c r="H247" s="49" t="n">
        <f aca="false">'Uso e Consumo'!F247</f>
        <v>62</v>
      </c>
      <c r="I247" s="35" t="n">
        <f aca="false">'Uso e Consumo'!G247</f>
        <v>7378</v>
      </c>
      <c r="J247" s="34" t="str">
        <f aca="false">'Uso e Consumo'!M247</f>
        <v>3.8.1.022 - Elementos de fixação</v>
      </c>
      <c r="K247" s="32" t="str">
        <f aca="false">INDEX('Curva ABC'!$K$8:$K$2847,MATCH(D247,'Curva ABC'!$B$8:$B$2847,0))</f>
        <v>B</v>
      </c>
    </row>
    <row r="248" customFormat="false" ht="15" hidden="false" customHeight="false" outlineLevel="0" collapsed="false">
      <c r="A248" s="34" t="s">
        <v>5799</v>
      </c>
      <c r="B248" s="34" t="str">
        <f aca="false">'Uso e Consumo'!A248</f>
        <v>0335</v>
      </c>
      <c r="C248" s="34" t="str">
        <f aca="false">'Uso e Consumo'!B248</f>
        <v>UFV NORONHA VERDE - USO E CONSUMO</v>
      </c>
      <c r="D248" s="33" t="n">
        <f aca="false">'Uso e Consumo'!C248</f>
        <v>274572</v>
      </c>
      <c r="E248" s="34" t="str">
        <f aca="false">'Uso e Consumo'!D248</f>
        <v>26.06.0083</v>
      </c>
      <c r="F248" s="34" t="str">
        <f aca="false">'Uso e Consumo'!E248</f>
        <v>LUVA MULTITATO COM BANHO DE PU – TAM G</v>
      </c>
      <c r="G248" s="34" t="str">
        <f aca="false">'Uso e Consumo'!J248</f>
        <v>PAR</v>
      </c>
      <c r="H248" s="49" t="n">
        <f aca="false">'Uso e Consumo'!F248</f>
        <v>3200</v>
      </c>
      <c r="I248" s="35" t="n">
        <f aca="false">'Uso e Consumo'!G248</f>
        <v>7306.8104</v>
      </c>
      <c r="J248" s="34" t="str">
        <f aca="false">'Uso e Consumo'!M248</f>
        <v>4.3.4.001 - Equipamento de proteção individual</v>
      </c>
      <c r="K248" s="32" t="str">
        <f aca="false">INDEX('Curva ABC'!$K$8:$K$2847,MATCH(D248,'Curva ABC'!$B$8:$B$2847,0))</f>
        <v>B</v>
      </c>
    </row>
    <row r="249" customFormat="false" ht="15" hidden="false" customHeight="false" outlineLevel="0" collapsed="false">
      <c r="A249" s="34" t="s">
        <v>5799</v>
      </c>
      <c r="B249" s="34" t="str">
        <f aca="false">'Uso e Consumo'!A249</f>
        <v>0335</v>
      </c>
      <c r="C249" s="34" t="str">
        <f aca="false">'Uso e Consumo'!B249</f>
        <v>UFV NORONHA VERDE - USO E CONSUMO</v>
      </c>
      <c r="D249" s="33" t="n">
        <f aca="false">'Uso e Consumo'!C249</f>
        <v>884503</v>
      </c>
      <c r="E249" s="34" t="str">
        <f aca="false">'Uso e Consumo'!D249</f>
        <v>29.01.1290</v>
      </c>
      <c r="F249" s="34" t="str">
        <f aca="false">'Uso e Consumo'!E249</f>
        <v>CABO LAN CAT5 UTP USO INTERNO</v>
      </c>
      <c r="G249" s="34" t="str">
        <f aca="false">'Uso e Consumo'!J249</f>
        <v>M</v>
      </c>
      <c r="H249" s="49" t="n">
        <f aca="false">'Uso e Consumo'!F249</f>
        <v>4880</v>
      </c>
      <c r="I249" s="35" t="n">
        <f aca="false">'Uso e Consumo'!G249</f>
        <v>7271.2</v>
      </c>
      <c r="J249" s="34" t="str">
        <f aca="false">'Uso e Consumo'!M249</f>
        <v>4.1.1.007 - Equipamentos e acessórios para informática</v>
      </c>
      <c r="K249" s="32" t="str">
        <f aca="false">INDEX('Curva ABC'!$K$8:$K$2847,MATCH(D249,'Curva ABC'!$B$8:$B$2847,0))</f>
        <v>B</v>
      </c>
    </row>
    <row r="250" customFormat="false" ht="15" hidden="false" customHeight="false" outlineLevel="0" collapsed="false">
      <c r="A250" s="34" t="s">
        <v>5799</v>
      </c>
      <c r="B250" s="34" t="str">
        <f aca="false">'Uso e Consumo'!A250</f>
        <v>0335</v>
      </c>
      <c r="C250" s="34" t="str">
        <f aca="false">'Uso e Consumo'!B250</f>
        <v>UFV NORONHA VERDE - USO E CONSUMO</v>
      </c>
      <c r="D250" s="33" t="n">
        <f aca="false">'Uso e Consumo'!C250</f>
        <v>276486</v>
      </c>
      <c r="E250" s="34" t="str">
        <f aca="false">'Uso e Consumo'!D250</f>
        <v>13.03.0036</v>
      </c>
      <c r="F250" s="34" t="str">
        <f aca="false">'Uso e Consumo'!E250</f>
        <v>BARRA ANTI-PANICO TRETA P/ PORTA CORTA FOGO DIR/ESQ 01/5</v>
      </c>
      <c r="G250" s="34" t="str">
        <f aca="false">'Uso e Consumo'!J250</f>
        <v>UN</v>
      </c>
      <c r="H250" s="49" t="n">
        <f aca="false">'Uso e Consumo'!F250</f>
        <v>6</v>
      </c>
      <c r="I250" s="35" t="n">
        <f aca="false">'Uso e Consumo'!G250</f>
        <v>7269.48</v>
      </c>
      <c r="J250" s="34" t="str">
        <f aca="false">'Uso e Consumo'!M250</f>
        <v>3.8.1.013 - Esquadrias e vidros</v>
      </c>
      <c r="K250" s="32" t="str">
        <f aca="false">INDEX('Curva ABC'!$K$8:$K$2847,MATCH(D250,'Curva ABC'!$B$8:$B$2847,0))</f>
        <v>B</v>
      </c>
    </row>
    <row r="251" customFormat="false" ht="15" hidden="false" customHeight="false" outlineLevel="0" collapsed="false">
      <c r="A251" s="34" t="s">
        <v>5799</v>
      </c>
      <c r="B251" s="34" t="str">
        <f aca="false">'Uso e Consumo'!A251</f>
        <v>0335</v>
      </c>
      <c r="C251" s="34" t="str">
        <f aca="false">'Uso e Consumo'!B251</f>
        <v>UFV NORONHA VERDE - USO E CONSUMO</v>
      </c>
      <c r="D251" s="33" t="n">
        <f aca="false">'Uso e Consumo'!C251</f>
        <v>1465408</v>
      </c>
      <c r="E251" s="34" t="str">
        <f aca="false">'Uso e Consumo'!D251</f>
        <v>01.11.0319</v>
      </c>
      <c r="F251" s="34" t="str">
        <f aca="false">'Uso e Consumo'!E251</f>
        <v>CALHA EM CHAPA DE AÇO GALVANIZADO C=11,15M</v>
      </c>
      <c r="G251" s="34" t="str">
        <f aca="false">'Uso e Consumo'!J251</f>
        <v>UN</v>
      </c>
      <c r="H251" s="49" t="n">
        <f aca="false">'Uso e Consumo'!F251</f>
        <v>4</v>
      </c>
      <c r="I251" s="35" t="n">
        <f aca="false">'Uso e Consumo'!G251</f>
        <v>7240.96</v>
      </c>
      <c r="J251" s="34" t="str">
        <f aca="false">'Uso e Consumo'!M251</f>
        <v>3.8.1.001 - Aços e trefilados</v>
      </c>
      <c r="K251" s="32" t="str">
        <f aca="false">INDEX('Curva ABC'!$K$8:$K$2847,MATCH(D251,'Curva ABC'!$B$8:$B$2847,0))</f>
        <v>B</v>
      </c>
    </row>
    <row r="252" customFormat="false" ht="15" hidden="false" customHeight="false" outlineLevel="0" collapsed="false">
      <c r="A252" s="34" t="s">
        <v>5799</v>
      </c>
      <c r="B252" s="34" t="str">
        <f aca="false">'Uso e Consumo'!A252</f>
        <v>0335</v>
      </c>
      <c r="C252" s="34" t="str">
        <f aca="false">'Uso e Consumo'!B252</f>
        <v>UFV NORONHA VERDE - USO E CONSUMO</v>
      </c>
      <c r="D252" s="33" t="n">
        <f aca="false">'Uso e Consumo'!C252</f>
        <v>222077</v>
      </c>
      <c r="E252" s="34" t="str">
        <f aca="false">'Uso e Consumo'!D252</f>
        <v>34.02.0967</v>
      </c>
      <c r="F252" s="34" t="str">
        <f aca="false">'Uso e Consumo'!E252</f>
        <v>CAMBÃO PARA REBOQUE DE EQUIPAMENTO</v>
      </c>
      <c r="G252" s="34" t="str">
        <f aca="false">'Uso e Consumo'!J252</f>
        <v>UN</v>
      </c>
      <c r="H252" s="49" t="n">
        <f aca="false">'Uso e Consumo'!F252</f>
        <v>1</v>
      </c>
      <c r="I252" s="35" t="n">
        <f aca="false">'Uso e Consumo'!G252</f>
        <v>7182</v>
      </c>
      <c r="J252" s="34" t="str">
        <f aca="false">'Uso e Consumo'!M252</f>
        <v>3.1.6.002 - Pneus e peças</v>
      </c>
      <c r="K252" s="32" t="str">
        <f aca="false">INDEX('Curva ABC'!$K$8:$K$2847,MATCH(D252,'Curva ABC'!$B$8:$B$2847,0))</f>
        <v>B</v>
      </c>
    </row>
    <row r="253" customFormat="false" ht="15" hidden="false" customHeight="false" outlineLevel="0" collapsed="false">
      <c r="A253" s="34" t="s">
        <v>5799</v>
      </c>
      <c r="B253" s="34" t="str">
        <f aca="false">'Uso e Consumo'!A253</f>
        <v>0335</v>
      </c>
      <c r="C253" s="34" t="str">
        <f aca="false">'Uso e Consumo'!B253</f>
        <v>UFV NORONHA VERDE - USO E CONSUMO</v>
      </c>
      <c r="D253" s="33" t="n">
        <f aca="false">'Uso e Consumo'!C253</f>
        <v>1383079</v>
      </c>
      <c r="E253" s="34" t="str">
        <f aca="false">'Uso e Consumo'!D253</f>
        <v>17.02.0853</v>
      </c>
      <c r="F253" s="34" t="str">
        <f aca="false">'Uso e Consumo'!E253</f>
        <v>CURVA 90° AÇO GALVANIZADO ROSCA BSP 6"</v>
      </c>
      <c r="G253" s="34" t="str">
        <f aca="false">'Uso e Consumo'!J253</f>
        <v>UN</v>
      </c>
      <c r="H253" s="49" t="n">
        <f aca="false">'Uso e Consumo'!F253</f>
        <v>3</v>
      </c>
      <c r="I253" s="35" t="n">
        <f aca="false">'Uso e Consumo'!G253</f>
        <v>7142.23</v>
      </c>
      <c r="J253" s="34" t="str">
        <f aca="false">'Uso e Consumo'!M253</f>
        <v>3.8.1.017 - Instalações elétricas/telefônicas/lógica</v>
      </c>
      <c r="K253" s="32" t="str">
        <f aca="false">INDEX('Curva ABC'!$K$8:$K$2847,MATCH(D253,'Curva ABC'!$B$8:$B$2847,0))</f>
        <v>B</v>
      </c>
    </row>
    <row r="254" customFormat="false" ht="15" hidden="false" customHeight="false" outlineLevel="0" collapsed="false">
      <c r="A254" s="34" t="s">
        <v>5799</v>
      </c>
      <c r="B254" s="34" t="str">
        <f aca="false">'Uso e Consumo'!A254</f>
        <v>0335</v>
      </c>
      <c r="C254" s="34" t="str">
        <f aca="false">'Uso e Consumo'!B254</f>
        <v>UFV NORONHA VERDE - USO E CONSUMO</v>
      </c>
      <c r="D254" s="33" t="n">
        <f aca="false">'Uso e Consumo'!C254</f>
        <v>1097375</v>
      </c>
      <c r="E254" s="34" t="str">
        <f aca="false">'Uso e Consumo'!D254</f>
        <v>06.04.0069</v>
      </c>
      <c r="F254" s="34" t="str">
        <f aca="false">'Uso e Consumo'!E254</f>
        <v>ESPUMA EXPANSIVA ANTICHAMA PRO 30 500ML</v>
      </c>
      <c r="G254" s="34" t="str">
        <f aca="false">'Uso e Consumo'!J254</f>
        <v>UN</v>
      </c>
      <c r="H254" s="49" t="n">
        <f aca="false">'Uso e Consumo'!F254</f>
        <v>50</v>
      </c>
      <c r="I254" s="35" t="n">
        <f aca="false">'Uso e Consumo'!G254</f>
        <v>7100.875</v>
      </c>
      <c r="J254" s="34" t="str">
        <f aca="false">'Uso e Consumo'!M254</f>
        <v>3.8.1.006 - Aditivos e produtos químicos</v>
      </c>
      <c r="K254" s="32" t="str">
        <f aca="false">INDEX('Curva ABC'!$K$8:$K$2847,MATCH(D254,'Curva ABC'!$B$8:$B$2847,0))</f>
        <v>B</v>
      </c>
    </row>
    <row r="255" customFormat="false" ht="15" hidden="false" customHeight="false" outlineLevel="0" collapsed="false">
      <c r="A255" s="34" t="s">
        <v>5799</v>
      </c>
      <c r="B255" s="34" t="str">
        <f aca="false">'Uso e Consumo'!A255</f>
        <v>0335</v>
      </c>
      <c r="C255" s="34" t="str">
        <f aca="false">'Uso e Consumo'!B255</f>
        <v>UFV NORONHA VERDE - USO E CONSUMO</v>
      </c>
      <c r="D255" s="33" t="n">
        <f aca="false">'Uso e Consumo'!C255</f>
        <v>938078</v>
      </c>
      <c r="E255" s="34" t="str">
        <f aca="false">'Uso e Consumo'!D255</f>
        <v>17.16.0531</v>
      </c>
      <c r="F255" s="34" t="str">
        <f aca="false">'Uso e Consumo'!E255</f>
        <v>TERMINAL OLHAL A COMPRESSÃO 185MM²</v>
      </c>
      <c r="G255" s="34" t="str">
        <f aca="false">'Uso e Consumo'!J255</f>
        <v>UN</v>
      </c>
      <c r="H255" s="49" t="n">
        <f aca="false">'Uso e Consumo'!F255</f>
        <v>344</v>
      </c>
      <c r="I255" s="35" t="n">
        <f aca="false">'Uso e Consumo'!G255</f>
        <v>7096.72</v>
      </c>
      <c r="J255" s="34" t="str">
        <f aca="false">'Uso e Consumo'!M255</f>
        <v>3.8.1.017 - Instalações elétricas/telefônicas/lógica</v>
      </c>
      <c r="K255" s="32" t="str">
        <f aca="false">INDEX('Curva ABC'!$K$8:$K$2847,MATCH(D255,'Curva ABC'!$B$8:$B$2847,0))</f>
        <v>B</v>
      </c>
    </row>
    <row r="256" customFormat="false" ht="15" hidden="false" customHeight="false" outlineLevel="0" collapsed="false">
      <c r="A256" s="34" t="s">
        <v>5799</v>
      </c>
      <c r="B256" s="34" t="str">
        <f aca="false">'Uso e Consumo'!A256</f>
        <v>0335</v>
      </c>
      <c r="C256" s="34" t="str">
        <f aca="false">'Uso e Consumo'!B256</f>
        <v>UFV NORONHA VERDE - USO E CONSUMO</v>
      </c>
      <c r="D256" s="33" t="n">
        <f aca="false">'Uso e Consumo'!C256</f>
        <v>33103</v>
      </c>
      <c r="E256" s="34" t="str">
        <f aca="false">'Uso e Consumo'!D256</f>
        <v>26.12.0030</v>
      </c>
      <c r="F256" s="34" t="str">
        <f aca="false">'Uso e Consumo'!E256</f>
        <v>CONE EM PVC FLEXÍVEL 75,00CM LARANJA COM FAIXA BRANCA</v>
      </c>
      <c r="G256" s="34" t="str">
        <f aca="false">'Uso e Consumo'!J256</f>
        <v>UN</v>
      </c>
      <c r="H256" s="49" t="n">
        <f aca="false">'Uso e Consumo'!F256</f>
        <v>100</v>
      </c>
      <c r="I256" s="35" t="n">
        <f aca="false">'Uso e Consumo'!G256</f>
        <v>7084</v>
      </c>
      <c r="J256" s="34" t="str">
        <f aca="false">'Uso e Consumo'!M256</f>
        <v>4.3.4.002 - Equipamento de proteção e sinalização coletiva</v>
      </c>
      <c r="K256" s="32" t="str">
        <f aca="false">INDEX('Curva ABC'!$K$8:$K$2847,MATCH(D256,'Curva ABC'!$B$8:$B$2847,0))</f>
        <v>B</v>
      </c>
    </row>
    <row r="257" customFormat="false" ht="15" hidden="false" customHeight="false" outlineLevel="0" collapsed="false">
      <c r="A257" s="34" t="s">
        <v>5799</v>
      </c>
      <c r="B257" s="34" t="str">
        <f aca="false">'Uso e Consumo'!A257</f>
        <v>0335</v>
      </c>
      <c r="C257" s="34" t="str">
        <f aca="false">'Uso e Consumo'!B257</f>
        <v>UFV NORONHA VERDE - USO E CONSUMO</v>
      </c>
      <c r="D257" s="33" t="n">
        <f aca="false">'Uso e Consumo'!C257</f>
        <v>552723</v>
      </c>
      <c r="E257" s="34" t="str">
        <f aca="false">'Uso e Consumo'!D257</f>
        <v>26.12.0106</v>
      </c>
      <c r="F257" s="34" t="str">
        <f aca="false">'Uso e Consumo'!E257</f>
        <v>BASTÃO DE SALVAMENTO NR 10</v>
      </c>
      <c r="G257" s="34" t="str">
        <f aca="false">'Uso e Consumo'!J257</f>
        <v>UN</v>
      </c>
      <c r="H257" s="49" t="n">
        <f aca="false">'Uso e Consumo'!F257</f>
        <v>4</v>
      </c>
      <c r="I257" s="35" t="n">
        <f aca="false">'Uso e Consumo'!G257</f>
        <v>7080</v>
      </c>
      <c r="J257" s="34" t="str">
        <f aca="false">'Uso e Consumo'!M257</f>
        <v>4.3.4.002 - Equipamento de proteção e sinalização coletiva</v>
      </c>
      <c r="K257" s="32" t="str">
        <f aca="false">INDEX('Curva ABC'!$K$8:$K$2847,MATCH(D257,'Curva ABC'!$B$8:$B$2847,0))</f>
        <v>B</v>
      </c>
    </row>
    <row r="258" customFormat="false" ht="15" hidden="false" customHeight="false" outlineLevel="0" collapsed="false">
      <c r="A258" s="34" t="s">
        <v>5799</v>
      </c>
      <c r="B258" s="34" t="str">
        <f aca="false">'Uso e Consumo'!A258</f>
        <v>0335</v>
      </c>
      <c r="C258" s="34" t="str">
        <f aca="false">'Uso e Consumo'!B258</f>
        <v>UFV NORONHA VERDE - USO E CONSUMO</v>
      </c>
      <c r="D258" s="33" t="n">
        <f aca="false">'Uso e Consumo'!C258</f>
        <v>385732</v>
      </c>
      <c r="E258" s="34" t="str">
        <f aca="false">'Uso e Consumo'!D258</f>
        <v>16.03.0365</v>
      </c>
      <c r="F258" s="34" t="str">
        <f aca="false">'Uso e Consumo'!E258</f>
        <v>TINTA ESMALTE SINTÉTICO VERDE  L18 NBR 11702</v>
      </c>
      <c r="G258" s="34" t="str">
        <f aca="false">'Uso e Consumo'!J258</f>
        <v>L18L</v>
      </c>
      <c r="H258" s="49" t="n">
        <f aca="false">'Uso e Consumo'!F258</f>
        <v>10</v>
      </c>
      <c r="I258" s="35" t="n">
        <f aca="false">'Uso e Consumo'!G258</f>
        <v>7074</v>
      </c>
      <c r="J258" s="34" t="str">
        <f aca="false">'Uso e Consumo'!M258</f>
        <v>3.8.1.016 - Pinturas</v>
      </c>
      <c r="K258" s="32" t="str">
        <f aca="false">INDEX('Curva ABC'!$K$8:$K$2847,MATCH(D258,'Curva ABC'!$B$8:$B$2847,0))</f>
        <v>B</v>
      </c>
    </row>
    <row r="259" customFormat="false" ht="15" hidden="false" customHeight="false" outlineLevel="0" collapsed="false">
      <c r="A259" s="34" t="s">
        <v>5799</v>
      </c>
      <c r="B259" s="34" t="str">
        <f aca="false">'Uso e Consumo'!A259</f>
        <v>0335</v>
      </c>
      <c r="C259" s="34" t="str">
        <f aca="false">'Uso e Consumo'!B259</f>
        <v>UFV NORONHA VERDE - USO E CONSUMO</v>
      </c>
      <c r="D259" s="33" t="n">
        <f aca="false">'Uso e Consumo'!C259</f>
        <v>58648</v>
      </c>
      <c r="E259" s="34" t="str">
        <f aca="false">'Uso e Consumo'!D259</f>
        <v>06.04.0032</v>
      </c>
      <c r="F259" s="34" t="str">
        <f aca="false">'Uso e Consumo'!E259</f>
        <v>MASSA PARA CALAFETAR 500G</v>
      </c>
      <c r="G259" s="34" t="str">
        <f aca="false">'Uso e Consumo'!J259</f>
        <v>UN</v>
      </c>
      <c r="H259" s="49" t="n">
        <f aca="false">'Uso e Consumo'!F259</f>
        <v>512</v>
      </c>
      <c r="I259" s="35" t="n">
        <f aca="false">'Uso e Consumo'!G259</f>
        <v>7057.08</v>
      </c>
      <c r="J259" s="34" t="str">
        <f aca="false">'Uso e Consumo'!M259</f>
        <v>3.8.1.006 - Aditivos e produtos químicos</v>
      </c>
      <c r="K259" s="32" t="str">
        <f aca="false">INDEX('Curva ABC'!$K$8:$K$2847,MATCH(D259,'Curva ABC'!$B$8:$B$2847,0))</f>
        <v>B</v>
      </c>
    </row>
    <row r="260" customFormat="false" ht="15" hidden="false" customHeight="false" outlineLevel="0" collapsed="false">
      <c r="A260" s="34" t="s">
        <v>5799</v>
      </c>
      <c r="B260" s="34" t="str">
        <f aca="false">'Uso e Consumo'!A260</f>
        <v>0335</v>
      </c>
      <c r="C260" s="34" t="str">
        <f aca="false">'Uso e Consumo'!B260</f>
        <v>UFV NORONHA VERDE - USO E CONSUMO</v>
      </c>
      <c r="D260" s="33" t="n">
        <f aca="false">'Uso e Consumo'!C260</f>
        <v>869838</v>
      </c>
      <c r="E260" s="34" t="str">
        <f aca="false">'Uso e Consumo'!D260</f>
        <v>29.01.1219</v>
      </c>
      <c r="F260" s="34" t="str">
        <f aca="false">'Uso e Consumo'!E260</f>
        <v>DJI025 - DRONE DJI MINI 3 FLY MORE COMBO PLUS (COM TELA) BR</v>
      </c>
      <c r="G260" s="34" t="str">
        <f aca="false">'Uso e Consumo'!J260</f>
        <v>UN</v>
      </c>
      <c r="H260" s="49" t="n">
        <f aca="false">'Uso e Consumo'!F260</f>
        <v>1</v>
      </c>
      <c r="I260" s="35" t="n">
        <f aca="false">'Uso e Consumo'!G260</f>
        <v>6990</v>
      </c>
      <c r="J260" s="34" t="str">
        <f aca="false">'Uso e Consumo'!M260</f>
        <v>4.1.1.007 - Equipamentos e acessórios para informática</v>
      </c>
      <c r="K260" s="32" t="str">
        <f aca="false">INDEX('Curva ABC'!$K$8:$K$2847,MATCH(D260,'Curva ABC'!$B$8:$B$2847,0))</f>
        <v>B</v>
      </c>
    </row>
    <row r="261" customFormat="false" ht="15" hidden="false" customHeight="false" outlineLevel="0" collapsed="false">
      <c r="A261" s="34" t="s">
        <v>5799</v>
      </c>
      <c r="B261" s="34" t="str">
        <f aca="false">'Uso e Consumo'!A261</f>
        <v>0335</v>
      </c>
      <c r="C261" s="34" t="str">
        <f aca="false">'Uso e Consumo'!B261</f>
        <v>UFV NORONHA VERDE - USO E CONSUMO</v>
      </c>
      <c r="D261" s="33" t="n">
        <f aca="false">'Uso e Consumo'!C261</f>
        <v>961502</v>
      </c>
      <c r="E261" s="34" t="str">
        <f aca="false">'Uso e Consumo'!D261</f>
        <v>29.01.1350</v>
      </c>
      <c r="F261" s="34" t="str">
        <f aca="false">'Uso e Consumo'!E261</f>
        <v>CAMERA IP BULLET 2MP - VIP 1230 B G4 - INTELBRAS</v>
      </c>
      <c r="G261" s="34" t="str">
        <f aca="false">'Uso e Consumo'!J261</f>
        <v>UN</v>
      </c>
      <c r="H261" s="49" t="n">
        <f aca="false">'Uso e Consumo'!F261</f>
        <v>34</v>
      </c>
      <c r="I261" s="35" t="n">
        <f aca="false">'Uso e Consumo'!G261</f>
        <v>6961.16</v>
      </c>
      <c r="J261" s="34" t="str">
        <f aca="false">'Uso e Consumo'!M261</f>
        <v>3.8.1.017 - Instalações elétricas/telefônicas/lógica</v>
      </c>
      <c r="K261" s="32" t="str">
        <f aca="false">INDEX('Curva ABC'!$K$8:$K$2847,MATCH(D261,'Curva ABC'!$B$8:$B$2847,0))</f>
        <v>B</v>
      </c>
    </row>
    <row r="262" customFormat="false" ht="15" hidden="false" customHeight="false" outlineLevel="0" collapsed="false">
      <c r="A262" s="34" t="s">
        <v>5799</v>
      </c>
      <c r="B262" s="34" t="str">
        <f aca="false">'Uso e Consumo'!A262</f>
        <v>0335</v>
      </c>
      <c r="C262" s="34" t="str">
        <f aca="false">'Uso e Consumo'!B262</f>
        <v>UFV NORONHA VERDE - USO E CONSUMO</v>
      </c>
      <c r="D262" s="33" t="n">
        <f aca="false">'Uso e Consumo'!C262</f>
        <v>32904</v>
      </c>
      <c r="E262" s="34" t="str">
        <f aca="false">'Uso e Consumo'!D262</f>
        <v>17.20.0111</v>
      </c>
      <c r="F262" s="34" t="str">
        <f aca="false">'Uso e Consumo'!E262</f>
        <v>SOLDA EXOTÉRMICA Nº 90 PLUS F20</v>
      </c>
      <c r="G262" s="34" t="str">
        <f aca="false">'Uso e Consumo'!J262</f>
        <v>UN</v>
      </c>
      <c r="H262" s="49" t="n">
        <f aca="false">'Uso e Consumo'!F262</f>
        <v>250</v>
      </c>
      <c r="I262" s="35" t="n">
        <f aca="false">'Uso e Consumo'!G262</f>
        <v>6950</v>
      </c>
      <c r="J262" s="34" t="str">
        <f aca="false">'Uso e Consumo'!M262</f>
        <v>3.8.1.017 - Instalações elétricas/telefônicas/lógica</v>
      </c>
      <c r="K262" s="32" t="str">
        <f aca="false">INDEX('Curva ABC'!$K$8:$K$2847,MATCH(D262,'Curva ABC'!$B$8:$B$2847,0))</f>
        <v>B</v>
      </c>
    </row>
    <row r="263" customFormat="false" ht="15" hidden="false" customHeight="false" outlineLevel="0" collapsed="false">
      <c r="A263" s="34" t="s">
        <v>5799</v>
      </c>
      <c r="B263" s="34" t="str">
        <f aca="false">'Uso e Consumo'!A263</f>
        <v>0335</v>
      </c>
      <c r="C263" s="34" t="str">
        <f aca="false">'Uso e Consumo'!B263</f>
        <v>UFV NORONHA VERDE - USO E CONSUMO</v>
      </c>
      <c r="D263" s="33" t="n">
        <f aca="false">'Uso e Consumo'!C263</f>
        <v>742102</v>
      </c>
      <c r="E263" s="34" t="str">
        <f aca="false">'Uso e Consumo'!D263</f>
        <v>24.06.0004</v>
      </c>
      <c r="F263" s="34" t="str">
        <f aca="false">'Uso e Consumo'!E263</f>
        <v>ALICATE HIDRAULICO MANUAL Y35-SG1</v>
      </c>
      <c r="G263" s="34" t="str">
        <f aca="false">'Uso e Consumo'!J263</f>
        <v>UN</v>
      </c>
      <c r="H263" s="49" t="n">
        <f aca="false">'Uso e Consumo'!F263</f>
        <v>1</v>
      </c>
      <c r="I263" s="35" t="n">
        <f aca="false">'Uso e Consumo'!G263</f>
        <v>6890</v>
      </c>
      <c r="J263" s="34" t="str">
        <f aca="false">'Uso e Consumo'!M263</f>
        <v>3.8.2.002 - Ferramentas manuais</v>
      </c>
      <c r="K263" s="32" t="str">
        <f aca="false">INDEX('Curva ABC'!$K$8:$K$2847,MATCH(D263,'Curva ABC'!$B$8:$B$2847,0))</f>
        <v>B</v>
      </c>
    </row>
    <row r="264" customFormat="false" ht="15" hidden="false" customHeight="false" outlineLevel="0" collapsed="false">
      <c r="A264" s="34" t="s">
        <v>5799</v>
      </c>
      <c r="B264" s="34" t="str">
        <f aca="false">'Uso e Consumo'!A264</f>
        <v>0335</v>
      </c>
      <c r="C264" s="34" t="str">
        <f aca="false">'Uso e Consumo'!B264</f>
        <v>UFV NORONHA VERDE - USO E CONSUMO</v>
      </c>
      <c r="D264" s="33" t="n">
        <f aca="false">'Uso e Consumo'!C264</f>
        <v>1609093</v>
      </c>
      <c r="E264" s="34" t="str">
        <f aca="false">'Uso e Consumo'!D264</f>
        <v>24.24.0126</v>
      </c>
      <c r="F264" s="34" t="str">
        <f aca="false">'Uso e Consumo'!E264</f>
        <v>BATERIA 5.0 AH 18V</v>
      </c>
      <c r="G264" s="34" t="str">
        <f aca="false">'Uso e Consumo'!J264</f>
        <v>UN</v>
      </c>
      <c r="H264" s="49" t="n">
        <f aca="false">'Uso e Consumo'!F264</f>
        <v>10</v>
      </c>
      <c r="I264" s="35" t="n">
        <f aca="false">'Uso e Consumo'!G264</f>
        <v>6882.6</v>
      </c>
      <c r="J264" s="34" t="str">
        <f aca="false">'Uso e Consumo'!M264</f>
        <v>3.8.2.003 - Ferramentas elétricas/pneumáticas</v>
      </c>
      <c r="K264" s="32" t="str">
        <f aca="false">INDEX('Curva ABC'!$K$8:$K$2847,MATCH(D264,'Curva ABC'!$B$8:$B$2847,0))</f>
        <v>B</v>
      </c>
    </row>
    <row r="265" customFormat="false" ht="15" hidden="false" customHeight="false" outlineLevel="0" collapsed="false">
      <c r="A265" s="34" t="s">
        <v>5799</v>
      </c>
      <c r="B265" s="34" t="str">
        <f aca="false">'Uso e Consumo'!A265</f>
        <v>0335</v>
      </c>
      <c r="C265" s="34" t="str">
        <f aca="false">'Uso e Consumo'!B265</f>
        <v>UFV NORONHA VERDE - USO E CONSUMO</v>
      </c>
      <c r="D265" s="33" t="n">
        <f aca="false">'Uso e Consumo'!C265</f>
        <v>58185</v>
      </c>
      <c r="E265" s="34" t="str">
        <f aca="false">'Uso e Consumo'!D265</f>
        <v>26.13.0070</v>
      </c>
      <c r="F265" s="34" t="str">
        <f aca="false">'Uso e Consumo'!E265</f>
        <v>CALÇA COM ELÁSTICO TAMANHO XG - 4 BOLSOS, FORRO NO JOELHO, 02 ARGOLAS REFLETIVAS ABAIXO DO JOELHO, C</v>
      </c>
      <c r="G265" s="34" t="str">
        <f aca="false">'Uso e Consumo'!J265</f>
        <v>UN</v>
      </c>
      <c r="H265" s="49" t="n">
        <f aca="false">'Uso e Consumo'!F265</f>
        <v>125</v>
      </c>
      <c r="I265" s="35" t="n">
        <f aca="false">'Uso e Consumo'!G265</f>
        <v>6875</v>
      </c>
      <c r="J265" s="34" t="str">
        <f aca="false">'Uso e Consumo'!M265</f>
        <v>4.3.4.003 - Fardamentos</v>
      </c>
      <c r="K265" s="32" t="str">
        <f aca="false">INDEX('Curva ABC'!$K$8:$K$2847,MATCH(D265,'Curva ABC'!$B$8:$B$2847,0))</f>
        <v>B</v>
      </c>
    </row>
    <row r="266" customFormat="false" ht="15" hidden="false" customHeight="false" outlineLevel="0" collapsed="false">
      <c r="A266" s="34" t="s">
        <v>5799</v>
      </c>
      <c r="B266" s="34" t="str">
        <f aca="false">'Uso e Consumo'!A266</f>
        <v>0335</v>
      </c>
      <c r="C266" s="34" t="str">
        <f aca="false">'Uso e Consumo'!B266</f>
        <v>UFV NORONHA VERDE - USO E CONSUMO</v>
      </c>
      <c r="D266" s="33" t="n">
        <f aca="false">'Uso e Consumo'!C266</f>
        <v>12258</v>
      </c>
      <c r="E266" s="34" t="str">
        <f aca="false">'Uso e Consumo'!D266</f>
        <v>17.01.0345</v>
      </c>
      <c r="F266" s="34" t="str">
        <f aca="false">'Uso e Consumo'!E266</f>
        <v>CABO ELETRICO FLEXIVEL 450V/750V 1 X 25,00MM2 COBRE PVC CLASSE 4 CINZA NBRNM 247-3</v>
      </c>
      <c r="G266" s="34" t="str">
        <f aca="false">'Uso e Consumo'!J266</f>
        <v>M</v>
      </c>
      <c r="H266" s="49" t="n">
        <f aca="false">'Uso e Consumo'!F266</f>
        <v>200</v>
      </c>
      <c r="I266" s="35" t="n">
        <f aca="false">'Uso e Consumo'!G266</f>
        <v>6874</v>
      </c>
      <c r="J266" s="34" t="str">
        <f aca="false">'Uso e Consumo'!M266</f>
        <v>3.8.1.017 - Instalações elétricas/telefônicas/lógica</v>
      </c>
      <c r="K266" s="32" t="str">
        <f aca="false">INDEX('Curva ABC'!$K$8:$K$2847,MATCH(D266,'Curva ABC'!$B$8:$B$2847,0))</f>
        <v>B</v>
      </c>
    </row>
    <row r="267" customFormat="false" ht="15" hidden="false" customHeight="false" outlineLevel="0" collapsed="false">
      <c r="A267" s="34" t="s">
        <v>5799</v>
      </c>
      <c r="B267" s="34" t="str">
        <f aca="false">'Uso e Consumo'!A267</f>
        <v>0335</v>
      </c>
      <c r="C267" s="34" t="str">
        <f aca="false">'Uso e Consumo'!B267</f>
        <v>UFV NORONHA VERDE - USO E CONSUMO</v>
      </c>
      <c r="D267" s="33" t="n">
        <f aca="false">'Uso e Consumo'!C267</f>
        <v>12259</v>
      </c>
      <c r="E267" s="34" t="str">
        <f aca="false">'Uso e Consumo'!D267</f>
        <v>17.01.0346</v>
      </c>
      <c r="F267" s="34" t="str">
        <f aca="false">'Uso e Consumo'!E267</f>
        <v>CABO ELETRICO FLEXIVEL 450V/750V 1 X 25,00MM2 COBRE PVC CLASSE 4 PRETO NBRNM 247-3</v>
      </c>
      <c r="G267" s="34" t="str">
        <f aca="false">'Uso e Consumo'!J267</f>
        <v>M</v>
      </c>
      <c r="H267" s="49" t="n">
        <f aca="false">'Uso e Consumo'!F267</f>
        <v>200</v>
      </c>
      <c r="I267" s="35" t="n">
        <f aca="false">'Uso e Consumo'!G267</f>
        <v>6874</v>
      </c>
      <c r="J267" s="34" t="str">
        <f aca="false">'Uso e Consumo'!M267</f>
        <v>3.8.1.017 - Instalações elétricas/telefônicas/lógica</v>
      </c>
      <c r="K267" s="32" t="str">
        <f aca="false">INDEX('Curva ABC'!$K$8:$K$2847,MATCH(D267,'Curva ABC'!$B$8:$B$2847,0))</f>
        <v>B</v>
      </c>
    </row>
    <row r="268" customFormat="false" ht="15" hidden="false" customHeight="false" outlineLevel="0" collapsed="false">
      <c r="A268" s="34" t="s">
        <v>5799</v>
      </c>
      <c r="B268" s="34" t="str">
        <f aca="false">'Uso e Consumo'!A268</f>
        <v>0335</v>
      </c>
      <c r="C268" s="34" t="str">
        <f aca="false">'Uso e Consumo'!B268</f>
        <v>UFV NORONHA VERDE - USO E CONSUMO</v>
      </c>
      <c r="D268" s="33" t="n">
        <f aca="false">'Uso e Consumo'!C268</f>
        <v>12256</v>
      </c>
      <c r="E268" s="34" t="str">
        <f aca="false">'Uso e Consumo'!D268</f>
        <v>17.01.0343</v>
      </c>
      <c r="F268" s="34" t="str">
        <f aca="false">'Uso e Consumo'!E268</f>
        <v>CABO ELETRICO FLEXIVEL 450V/750V 1 X 25,00MM2 COBRE PVC CLASSE 4 AZUL NBRNM 247-3</v>
      </c>
      <c r="G268" s="34" t="str">
        <f aca="false">'Uso e Consumo'!J268</f>
        <v>M</v>
      </c>
      <c r="H268" s="49" t="n">
        <f aca="false">'Uso e Consumo'!F268</f>
        <v>200</v>
      </c>
      <c r="I268" s="35" t="n">
        <f aca="false">'Uso e Consumo'!G268</f>
        <v>6873.1</v>
      </c>
      <c r="J268" s="34" t="str">
        <f aca="false">'Uso e Consumo'!M268</f>
        <v>3.8.1.017 - Instalações elétricas/telefônicas/lógica</v>
      </c>
      <c r="K268" s="32" t="str">
        <f aca="false">INDEX('Curva ABC'!$K$8:$K$2847,MATCH(D268,'Curva ABC'!$B$8:$B$2847,0))</f>
        <v>B</v>
      </c>
    </row>
    <row r="269" customFormat="false" ht="15" hidden="false" customHeight="false" outlineLevel="0" collapsed="false">
      <c r="A269" s="34" t="s">
        <v>5799</v>
      </c>
      <c r="B269" s="34" t="str">
        <f aca="false">'Uso e Consumo'!A269</f>
        <v>0335</v>
      </c>
      <c r="C269" s="34" t="str">
        <f aca="false">'Uso e Consumo'!B269</f>
        <v>UFV NORONHA VERDE - USO E CONSUMO</v>
      </c>
      <c r="D269" s="33" t="n">
        <f aca="false">'Uso e Consumo'!C269</f>
        <v>22827</v>
      </c>
      <c r="E269" s="34" t="str">
        <f aca="false">'Uso e Consumo'!D269</f>
        <v>23.07.0713</v>
      </c>
      <c r="F269" s="34" t="str">
        <f aca="false">'Uso e Consumo'!E269</f>
        <v>PARAFUSO CABEÇA QUADRADA GALV. M16 300MM</v>
      </c>
      <c r="G269" s="34" t="str">
        <f aca="false">'Uso e Consumo'!J269</f>
        <v>UN</v>
      </c>
      <c r="H269" s="49" t="n">
        <f aca="false">'Uso e Consumo'!F269</f>
        <v>300</v>
      </c>
      <c r="I269" s="35" t="n">
        <f aca="false">'Uso e Consumo'!G269</f>
        <v>6834</v>
      </c>
      <c r="J269" s="34" t="str">
        <f aca="false">'Uso e Consumo'!M269</f>
        <v>3.8.1.022 - Elementos de fixação</v>
      </c>
      <c r="K269" s="32" t="str">
        <f aca="false">INDEX('Curva ABC'!$K$8:$K$2847,MATCH(D269,'Curva ABC'!$B$8:$B$2847,0))</f>
        <v>B</v>
      </c>
    </row>
    <row r="270" customFormat="false" ht="15" hidden="false" customHeight="false" outlineLevel="0" collapsed="false">
      <c r="A270" s="34" t="s">
        <v>5799</v>
      </c>
      <c r="B270" s="34" t="str">
        <f aca="false">'Uso e Consumo'!A270</f>
        <v>0335</v>
      </c>
      <c r="C270" s="34" t="str">
        <f aca="false">'Uso e Consumo'!B270</f>
        <v>UFV NORONHA VERDE - USO E CONSUMO</v>
      </c>
      <c r="D270" s="33" t="n">
        <f aca="false">'Uso e Consumo'!C270</f>
        <v>59714</v>
      </c>
      <c r="E270" s="34" t="str">
        <f aca="false">'Uso e Consumo'!D270</f>
        <v>03.04.0012</v>
      </c>
      <c r="F270" s="34" t="str">
        <f aca="false">'Uso e Consumo'!E270</f>
        <v>BARROTE MADEIRA MISTA 6,00CM X 6,00CM</v>
      </c>
      <c r="G270" s="34" t="str">
        <f aca="false">'Uso e Consumo'!J270</f>
        <v>M3</v>
      </c>
      <c r="H270" s="49" t="n">
        <f aca="false">'Uso e Consumo'!F270</f>
        <v>2</v>
      </c>
      <c r="I270" s="35" t="n">
        <f aca="false">'Uso e Consumo'!G270</f>
        <v>6800</v>
      </c>
      <c r="J270" s="34" t="str">
        <f aca="false">'Uso e Consumo'!M270</f>
        <v>3.8.1.003 - Madeira</v>
      </c>
      <c r="K270" s="32" t="str">
        <f aca="false">INDEX('Curva ABC'!$K$8:$K$2847,MATCH(D270,'Curva ABC'!$B$8:$B$2847,0))</f>
        <v>B</v>
      </c>
    </row>
    <row r="271" customFormat="false" ht="15" hidden="false" customHeight="false" outlineLevel="0" collapsed="false">
      <c r="A271" s="34" t="s">
        <v>5799</v>
      </c>
      <c r="B271" s="34" t="str">
        <f aca="false">'Uso e Consumo'!A271</f>
        <v>0335</v>
      </c>
      <c r="C271" s="34" t="str">
        <f aca="false">'Uso e Consumo'!B271</f>
        <v>UFV NORONHA VERDE - USO E CONSUMO</v>
      </c>
      <c r="D271" s="33" t="n">
        <f aca="false">'Uso e Consumo'!C271</f>
        <v>280105</v>
      </c>
      <c r="E271" s="34" t="str">
        <f aca="false">'Uso e Consumo'!D271</f>
        <v>31.02.0090</v>
      </c>
      <c r="F271" s="34" t="str">
        <f aca="false">'Uso e Consumo'!E271</f>
        <v>GRAXA PARA LUBRIFICAÇÃO 200KG</v>
      </c>
      <c r="G271" s="34" t="str">
        <f aca="false">'Uso e Consumo'!J271</f>
        <v>UN</v>
      </c>
      <c r="H271" s="49" t="n">
        <f aca="false">'Uso e Consumo'!F271</f>
        <v>10</v>
      </c>
      <c r="I271" s="35" t="n">
        <f aca="false">'Uso e Consumo'!G271</f>
        <v>6800</v>
      </c>
      <c r="J271" s="34" t="str">
        <f aca="false">'Uso e Consumo'!M271</f>
        <v>3.1.6.001 - Combustível e lubrificantes</v>
      </c>
      <c r="K271" s="32" t="str">
        <f aca="false">INDEX('Curva ABC'!$K$8:$K$2847,MATCH(D271,'Curva ABC'!$B$8:$B$2847,0))</f>
        <v>B</v>
      </c>
    </row>
    <row r="272" customFormat="false" ht="15" hidden="false" customHeight="false" outlineLevel="0" collapsed="false">
      <c r="A272" s="34" t="s">
        <v>5799</v>
      </c>
      <c r="B272" s="34" t="str">
        <f aca="false">'Uso e Consumo'!A272</f>
        <v>0335</v>
      </c>
      <c r="C272" s="34" t="str">
        <f aca="false">'Uso e Consumo'!B272</f>
        <v>UFV NORONHA VERDE - USO E CONSUMO</v>
      </c>
      <c r="D272" s="33" t="n">
        <f aca="false">'Uso e Consumo'!C272</f>
        <v>19804</v>
      </c>
      <c r="E272" s="34" t="str">
        <f aca="false">'Uso e Consumo'!D272</f>
        <v>30.03.0077</v>
      </c>
      <c r="F272" s="34" t="str">
        <f aca="false">'Uso e Consumo'!E272</f>
        <v>PAPEL TOALHA INTERFOLHADO FOLHA SIMPLES 2 DOBRAS 100% CELULOSE VIRGEM 23,00CM X 20,00CM CAIXA 2400 F</v>
      </c>
      <c r="G272" s="34" t="str">
        <f aca="false">'Uso e Consumo'!J272</f>
        <v>UN</v>
      </c>
      <c r="H272" s="49" t="n">
        <f aca="false">'Uso e Consumo'!F272</f>
        <v>288</v>
      </c>
      <c r="I272" s="35" t="n">
        <f aca="false">'Uso e Consumo'!G272</f>
        <v>6782.4</v>
      </c>
      <c r="J272" s="34" t="str">
        <f aca="false">'Uso e Consumo'!M272</f>
        <v>4.1.1.003 - Material limpeza</v>
      </c>
      <c r="K272" s="32" t="str">
        <f aca="false">INDEX('Curva ABC'!$K$8:$K$2847,MATCH(D272,'Curva ABC'!$B$8:$B$2847,0))</f>
        <v>B</v>
      </c>
    </row>
    <row r="273" customFormat="false" ht="15" hidden="false" customHeight="false" outlineLevel="0" collapsed="false">
      <c r="A273" s="34" t="s">
        <v>5799</v>
      </c>
      <c r="B273" s="34" t="str">
        <f aca="false">'Uso e Consumo'!A273</f>
        <v>0335</v>
      </c>
      <c r="C273" s="34" t="str">
        <f aca="false">'Uso e Consumo'!B273</f>
        <v>UFV NORONHA VERDE - USO E CONSUMO</v>
      </c>
      <c r="D273" s="33" t="n">
        <f aca="false">'Uso e Consumo'!C273</f>
        <v>1319422</v>
      </c>
      <c r="E273" s="34" t="str">
        <f aca="false">'Uso e Consumo'!D273</f>
        <v>28.01.0712</v>
      </c>
      <c r="F273" s="34" t="str">
        <f aca="false">'Uso e Consumo'!E273</f>
        <v>PLACA DE SINALIZAÇÃO 50X50CM - CHAPA DE ZINCO - COM BARROTE</v>
      </c>
      <c r="G273" s="34" t="str">
        <f aca="false">'Uso e Consumo'!J273</f>
        <v>UN</v>
      </c>
      <c r="H273" s="49" t="n">
        <f aca="false">'Uso e Consumo'!F273</f>
        <v>63</v>
      </c>
      <c r="I273" s="35" t="n">
        <f aca="false">'Uso e Consumo'!G273</f>
        <v>6766.83</v>
      </c>
      <c r="J273" s="34" t="str">
        <f aca="false">'Uso e Consumo'!M273</f>
        <v>3.8.1.023 - Comunicação visual e sinalização</v>
      </c>
      <c r="K273" s="32" t="str">
        <f aca="false">INDEX('Curva ABC'!$K$8:$K$2847,MATCH(D273,'Curva ABC'!$B$8:$B$2847,0))</f>
        <v>B</v>
      </c>
    </row>
    <row r="274" customFormat="false" ht="15" hidden="false" customHeight="false" outlineLevel="0" collapsed="false">
      <c r="A274" s="34" t="s">
        <v>5799</v>
      </c>
      <c r="B274" s="34" t="str">
        <f aca="false">'Uso e Consumo'!A274</f>
        <v>0335</v>
      </c>
      <c r="C274" s="34" t="str">
        <f aca="false">'Uso e Consumo'!B274</f>
        <v>UFV NORONHA VERDE - USO E CONSUMO</v>
      </c>
      <c r="D274" s="33" t="n">
        <f aca="false">'Uso e Consumo'!C274</f>
        <v>33202</v>
      </c>
      <c r="E274" s="34" t="str">
        <f aca="false">'Uso e Consumo'!D274</f>
        <v>34.02.0642</v>
      </c>
      <c r="F274" s="34" t="str">
        <f aca="false">'Uso e Consumo'!E274</f>
        <v>SOPRADOR TÉRMICO</v>
      </c>
      <c r="G274" s="34" t="str">
        <f aca="false">'Uso e Consumo'!J274</f>
        <v>UN</v>
      </c>
      <c r="H274" s="49" t="n">
        <f aca="false">'Uso e Consumo'!F274</f>
        <v>3</v>
      </c>
      <c r="I274" s="35" t="n">
        <f aca="false">'Uso e Consumo'!G274</f>
        <v>6750</v>
      </c>
      <c r="J274" s="34" t="str">
        <f aca="false">'Uso e Consumo'!M274</f>
        <v>3.1.6.002 - Pneus e peças</v>
      </c>
      <c r="K274" s="32" t="str">
        <f aca="false">INDEX('Curva ABC'!$K$8:$K$2847,MATCH(D274,'Curva ABC'!$B$8:$B$2847,0))</f>
        <v>B</v>
      </c>
    </row>
    <row r="275" customFormat="false" ht="15" hidden="false" customHeight="false" outlineLevel="0" collapsed="false">
      <c r="A275" s="34" t="s">
        <v>5799</v>
      </c>
      <c r="B275" s="34" t="str">
        <f aca="false">'Uso e Consumo'!A275</f>
        <v>0335</v>
      </c>
      <c r="C275" s="34" t="str">
        <f aca="false">'Uso e Consumo'!B275</f>
        <v>UFV NORONHA VERDE - USO E CONSUMO</v>
      </c>
      <c r="D275" s="33" t="n">
        <f aca="false">'Uso e Consumo'!C275</f>
        <v>137261</v>
      </c>
      <c r="E275" s="34" t="str">
        <f aca="false">'Uso e Consumo'!D275</f>
        <v>32.07.0081</v>
      </c>
      <c r="F275" s="34" t="str">
        <f aca="false">'Uso e Consumo'!E275</f>
        <v>CORRENTE DE MOTOSSERRA 3/8” – STD – 30 DENTES</v>
      </c>
      <c r="G275" s="34" t="str">
        <f aca="false">'Uso e Consumo'!J275</f>
        <v>UN</v>
      </c>
      <c r="H275" s="49" t="n">
        <f aca="false">'Uso e Consumo'!F275</f>
        <v>60</v>
      </c>
      <c r="I275" s="35" t="n">
        <f aca="false">'Uso e Consumo'!G275</f>
        <v>6703.5</v>
      </c>
      <c r="J275" s="34" t="str">
        <f aca="false">'Uso e Consumo'!M275</f>
        <v>6.1.2.001 - Equipamentos</v>
      </c>
      <c r="K275" s="32" t="str">
        <f aca="false">INDEX('Curva ABC'!$K$8:$K$2847,MATCH(D275,'Curva ABC'!$B$8:$B$2847,0))</f>
        <v>B</v>
      </c>
    </row>
    <row r="276" customFormat="false" ht="15" hidden="false" customHeight="false" outlineLevel="0" collapsed="false">
      <c r="A276" s="34" t="s">
        <v>5799</v>
      </c>
      <c r="B276" s="34" t="str">
        <f aca="false">'Uso e Consumo'!A276</f>
        <v>0335</v>
      </c>
      <c r="C276" s="34" t="str">
        <f aca="false">'Uso e Consumo'!B276</f>
        <v>UFV NORONHA VERDE - USO E CONSUMO</v>
      </c>
      <c r="D276" s="33" t="n">
        <f aca="false">'Uso e Consumo'!C276</f>
        <v>1461829</v>
      </c>
      <c r="E276" s="34" t="str">
        <f aca="false">'Uso e Consumo'!D276</f>
        <v>03.04.0042</v>
      </c>
      <c r="F276" s="34" t="str">
        <f aca="false">'Uso e Consumo'!E276</f>
        <v>BARROTE DE MAÇARANDUBA 5,50 CM X 4,50 CM C/5,00M</v>
      </c>
      <c r="G276" s="34" t="str">
        <f aca="false">'Uso e Consumo'!J276</f>
        <v>UN</v>
      </c>
      <c r="H276" s="49" t="n">
        <f aca="false">'Uso e Consumo'!F276</f>
        <v>25</v>
      </c>
      <c r="I276" s="35" t="n">
        <f aca="false">'Uso e Consumo'!G276</f>
        <v>6700</v>
      </c>
      <c r="J276" s="34" t="str">
        <f aca="false">'Uso e Consumo'!M276</f>
        <v>3.8.1.003 - Madeira</v>
      </c>
      <c r="K276" s="32" t="str">
        <f aca="false">INDEX('Curva ABC'!$K$8:$K$2847,MATCH(D276,'Curva ABC'!$B$8:$B$2847,0))</f>
        <v>B</v>
      </c>
    </row>
    <row r="277" customFormat="false" ht="15" hidden="false" customHeight="false" outlineLevel="0" collapsed="false">
      <c r="A277" s="34" t="s">
        <v>5799</v>
      </c>
      <c r="B277" s="34" t="str">
        <f aca="false">'Uso e Consumo'!A277</f>
        <v>0335</v>
      </c>
      <c r="C277" s="34" t="str">
        <f aca="false">'Uso e Consumo'!B277</f>
        <v>UFV NORONHA VERDE - USO E CONSUMO</v>
      </c>
      <c r="D277" s="33" t="n">
        <f aca="false">'Uso e Consumo'!C277</f>
        <v>728577</v>
      </c>
      <c r="E277" s="34" t="str">
        <f aca="false">'Uso e Consumo'!D277</f>
        <v>17.01.0972</v>
      </c>
      <c r="F277" s="34" t="str">
        <f aca="false">'Uso e Consumo'!E277</f>
        <v>CABO PP 3 X 2,5</v>
      </c>
      <c r="G277" s="34" t="str">
        <f aca="false">'Uso e Consumo'!J277</f>
        <v>MT</v>
      </c>
      <c r="H277" s="49" t="n">
        <f aca="false">'Uso e Consumo'!F277</f>
        <v>101</v>
      </c>
      <c r="I277" s="35" t="n">
        <f aca="false">'Uso e Consumo'!G277</f>
        <v>6668</v>
      </c>
      <c r="J277" s="34" t="str">
        <f aca="false">'Uso e Consumo'!M277</f>
        <v>3.8.1.017 - Instalações elétricas/telefônicas/lógica</v>
      </c>
      <c r="K277" s="32" t="str">
        <f aca="false">INDEX('Curva ABC'!$K$8:$K$2847,MATCH(D277,'Curva ABC'!$B$8:$B$2847,0))</f>
        <v>B</v>
      </c>
    </row>
    <row r="278" customFormat="false" ht="15" hidden="false" customHeight="false" outlineLevel="0" collapsed="false">
      <c r="A278" s="34" t="s">
        <v>5799</v>
      </c>
      <c r="B278" s="34" t="str">
        <f aca="false">'Uso e Consumo'!A278</f>
        <v>0335</v>
      </c>
      <c r="C278" s="34" t="str">
        <f aca="false">'Uso e Consumo'!B278</f>
        <v>UFV NORONHA VERDE - USO E CONSUMO</v>
      </c>
      <c r="D278" s="33" t="n">
        <f aca="false">'Uso e Consumo'!C278</f>
        <v>59087</v>
      </c>
      <c r="E278" s="34" t="str">
        <f aca="false">'Uso e Consumo'!D278</f>
        <v>32.09.0086</v>
      </c>
      <c r="F278" s="34" t="str">
        <f aca="false">'Uso e Consumo'!E278</f>
        <v>MOTOBOMBA A GASOLINA 5.5HP 2’’ PARTIDA MANUAL</v>
      </c>
      <c r="G278" s="34" t="str">
        <f aca="false">'Uso e Consumo'!J278</f>
        <v>UN</v>
      </c>
      <c r="H278" s="49" t="n">
        <f aca="false">'Uso e Consumo'!F278</f>
        <v>4</v>
      </c>
      <c r="I278" s="35" t="n">
        <f aca="false">'Uso e Consumo'!G278</f>
        <v>6640</v>
      </c>
      <c r="J278" s="34" t="str">
        <f aca="false">'Uso e Consumo'!M278</f>
        <v>6.1.2.001 - Equipamentos</v>
      </c>
      <c r="K278" s="32" t="str">
        <f aca="false">INDEX('Curva ABC'!$K$8:$K$2847,MATCH(D278,'Curva ABC'!$B$8:$B$2847,0))</f>
        <v>B</v>
      </c>
    </row>
    <row r="279" customFormat="false" ht="15" hidden="false" customHeight="false" outlineLevel="0" collapsed="false">
      <c r="A279" s="34" t="s">
        <v>5799</v>
      </c>
      <c r="B279" s="34" t="str">
        <f aca="false">'Uso e Consumo'!A279</f>
        <v>0335</v>
      </c>
      <c r="C279" s="34" t="str">
        <f aca="false">'Uso e Consumo'!B279</f>
        <v>UFV NORONHA VERDE - USO E CONSUMO</v>
      </c>
      <c r="D279" s="33" t="n">
        <f aca="false">'Uso e Consumo'!C279</f>
        <v>139439</v>
      </c>
      <c r="E279" s="34" t="str">
        <f aca="false">'Uso e Consumo'!D279</f>
        <v>04.02.0020</v>
      </c>
      <c r="F279" s="34" t="str">
        <f aca="false">'Uso e Consumo'!E279</f>
        <v>BICA CORRIDA</v>
      </c>
      <c r="G279" s="34" t="str">
        <f aca="false">'Uso e Consumo'!J279</f>
        <v>M3</v>
      </c>
      <c r="H279" s="49" t="n">
        <f aca="false">'Uso e Consumo'!F279</f>
        <v>109.12</v>
      </c>
      <c r="I279" s="35" t="n">
        <f aca="false">'Uso e Consumo'!G279</f>
        <v>6547.2</v>
      </c>
      <c r="J279" s="34" t="str">
        <f aca="false">'Uso e Consumo'!M279</f>
        <v>3.8.1.004 - Agregados</v>
      </c>
      <c r="K279" s="32" t="str">
        <f aca="false">INDEX('Curva ABC'!$K$8:$K$2847,MATCH(D279,'Curva ABC'!$B$8:$B$2847,0))</f>
        <v>B</v>
      </c>
    </row>
    <row r="280" customFormat="false" ht="15" hidden="false" customHeight="false" outlineLevel="0" collapsed="false">
      <c r="A280" s="34" t="s">
        <v>5799</v>
      </c>
      <c r="B280" s="34" t="str">
        <f aca="false">'Uso e Consumo'!A280</f>
        <v>0335</v>
      </c>
      <c r="C280" s="34" t="str">
        <f aca="false">'Uso e Consumo'!B280</f>
        <v>UFV NORONHA VERDE - USO E CONSUMO</v>
      </c>
      <c r="D280" s="33" t="n">
        <f aca="false">'Uso e Consumo'!C280</f>
        <v>1178324</v>
      </c>
      <c r="E280" s="34" t="str">
        <f aca="false">'Uso e Consumo'!D280</f>
        <v>29.01.1539</v>
      </c>
      <c r="F280" s="34" t="str">
        <f aca="false">'Uso e Consumo'!E280</f>
        <v>NOTEBOOK 15,6" CORE I7 32 GB SSD 512 GB COM PLACA DE VIDEO DEDICADA 6GB</v>
      </c>
      <c r="G280" s="34" t="str">
        <f aca="false">'Uso e Consumo'!J280</f>
        <v>UN</v>
      </c>
      <c r="H280" s="49" t="n">
        <f aca="false">'Uso e Consumo'!F280</f>
        <v>1</v>
      </c>
      <c r="I280" s="35" t="n">
        <f aca="false">'Uso e Consumo'!G280</f>
        <v>6518</v>
      </c>
      <c r="J280" s="34" t="str">
        <f aca="false">'Uso e Consumo'!M280</f>
        <v>4.1.1.007 - Equipamentos e acessórios para informática</v>
      </c>
      <c r="K280" s="32" t="str">
        <f aca="false">INDEX('Curva ABC'!$K$8:$K$2847,MATCH(D280,'Curva ABC'!$B$8:$B$2847,0))</f>
        <v>B</v>
      </c>
    </row>
    <row r="281" customFormat="false" ht="15" hidden="false" customHeight="false" outlineLevel="0" collapsed="false">
      <c r="A281" s="34" t="s">
        <v>5799</v>
      </c>
      <c r="B281" s="34" t="str">
        <f aca="false">'Uso e Consumo'!A281</f>
        <v>0335</v>
      </c>
      <c r="C281" s="34" t="str">
        <f aca="false">'Uso e Consumo'!B281</f>
        <v>UFV NORONHA VERDE - USO E CONSUMO</v>
      </c>
      <c r="D281" s="33" t="n">
        <f aca="false">'Uso e Consumo'!C281</f>
        <v>34712</v>
      </c>
      <c r="E281" s="34" t="str">
        <f aca="false">'Uso e Consumo'!D281</f>
        <v>32.07.0050</v>
      </c>
      <c r="F281" s="34" t="str">
        <f aca="false">'Uso e Consumo'!E281</f>
        <v>CORRENTE DE MOTOSSERRA 3/8 STD</v>
      </c>
      <c r="G281" s="34" t="str">
        <f aca="false">'Uso e Consumo'!J281</f>
        <v>UN</v>
      </c>
      <c r="H281" s="49" t="n">
        <f aca="false">'Uso e Consumo'!F281</f>
        <v>220</v>
      </c>
      <c r="I281" s="35" t="n">
        <f aca="false">'Uso e Consumo'!G281</f>
        <v>6504</v>
      </c>
      <c r="J281" s="34" t="str">
        <f aca="false">'Uso e Consumo'!M281</f>
        <v>6.1.2.001 - Equipamentos</v>
      </c>
      <c r="K281" s="32" t="str">
        <f aca="false">INDEX('Curva ABC'!$K$8:$K$2847,MATCH(D281,'Curva ABC'!$B$8:$B$2847,0))</f>
        <v>B</v>
      </c>
    </row>
    <row r="282" customFormat="false" ht="15" hidden="false" customHeight="false" outlineLevel="0" collapsed="false">
      <c r="A282" s="34" t="s">
        <v>5799</v>
      </c>
      <c r="B282" s="34" t="str">
        <f aca="false">'Uso e Consumo'!A282</f>
        <v>0335</v>
      </c>
      <c r="C282" s="34" t="str">
        <f aca="false">'Uso e Consumo'!B282</f>
        <v>UFV NORONHA VERDE - USO E CONSUMO</v>
      </c>
      <c r="D282" s="33" t="n">
        <f aca="false">'Uso e Consumo'!C282</f>
        <v>1010580</v>
      </c>
      <c r="E282" s="34" t="str">
        <f aca="false">'Uso e Consumo'!D282</f>
        <v>06.07.0011</v>
      </c>
      <c r="F282" s="34" t="str">
        <f aca="false">'Uso e Consumo'!E282</f>
        <v>VEDACIT 18LTS</v>
      </c>
      <c r="G282" s="34" t="str">
        <f aca="false">'Uso e Consumo'!J282</f>
        <v>UN</v>
      </c>
      <c r="H282" s="49" t="n">
        <f aca="false">'Uso e Consumo'!F282</f>
        <v>10</v>
      </c>
      <c r="I282" s="35" t="n">
        <f aca="false">'Uso e Consumo'!G282</f>
        <v>6500</v>
      </c>
      <c r="J282" s="34" t="str">
        <f aca="false">'Uso e Consumo'!M282</f>
        <v>3.8.1.006 - Aditivos e produtos químicos</v>
      </c>
      <c r="K282" s="32" t="str">
        <f aca="false">INDEX('Curva ABC'!$K$8:$K$2847,MATCH(D282,'Curva ABC'!$B$8:$B$2847,0))</f>
        <v>B</v>
      </c>
    </row>
    <row r="283" customFormat="false" ht="15" hidden="false" customHeight="false" outlineLevel="0" collapsed="false">
      <c r="A283" s="34" t="s">
        <v>5799</v>
      </c>
      <c r="B283" s="34" t="str">
        <f aca="false">'Uso e Consumo'!A283</f>
        <v>0335</v>
      </c>
      <c r="C283" s="34" t="str">
        <f aca="false">'Uso e Consumo'!B283</f>
        <v>UFV NORONHA VERDE - USO E CONSUMO</v>
      </c>
      <c r="D283" s="33" t="n">
        <f aca="false">'Uso e Consumo'!C283</f>
        <v>1387995</v>
      </c>
      <c r="E283" s="34" t="str">
        <f aca="false">'Uso e Consumo'!D283</f>
        <v>17.02.0886</v>
      </c>
      <c r="F283" s="34" t="str">
        <f aca="false">'Uso e Consumo'!E283</f>
        <v>CONECTOR MACHO FIXO PARA ELETRODUTO METÁLICO FLEXÍVEL COM PORCA, Ø 2" BSP.</v>
      </c>
      <c r="G283" s="34" t="str">
        <f aca="false">'Uso e Consumo'!J283</f>
        <v>UN</v>
      </c>
      <c r="H283" s="49" t="n">
        <f aca="false">'Uso e Consumo'!F283</f>
        <v>175</v>
      </c>
      <c r="I283" s="35" t="n">
        <f aca="false">'Uso e Consumo'!G283</f>
        <v>6453.52</v>
      </c>
      <c r="J283" s="34" t="str">
        <f aca="false">'Uso e Consumo'!M283</f>
        <v>3.8.1.017 - Instalações elétricas/telefônicas/lógica</v>
      </c>
      <c r="K283" s="32" t="str">
        <f aca="false">INDEX('Curva ABC'!$K$8:$K$2847,MATCH(D283,'Curva ABC'!$B$8:$B$2847,0))</f>
        <v>B</v>
      </c>
    </row>
    <row r="284" customFormat="false" ht="15" hidden="false" customHeight="false" outlineLevel="0" collapsed="false">
      <c r="A284" s="34" t="s">
        <v>5799</v>
      </c>
      <c r="B284" s="34" t="str">
        <f aca="false">'Uso e Consumo'!A284</f>
        <v>0335</v>
      </c>
      <c r="C284" s="34" t="str">
        <f aca="false">'Uso e Consumo'!B284</f>
        <v>UFV NORONHA VERDE - USO E CONSUMO</v>
      </c>
      <c r="D284" s="33" t="n">
        <f aca="false">'Uso e Consumo'!C284</f>
        <v>22615</v>
      </c>
      <c r="E284" s="34" t="str">
        <f aca="false">'Uso e Consumo'!D284</f>
        <v>24.24.0005</v>
      </c>
      <c r="F284" s="34" t="str">
        <f aca="false">'Uso e Consumo'!E284</f>
        <v>PARAFUSADEIRA MANUAL, 2 BATERIAS 10,8 V 1,3 AH LI</v>
      </c>
      <c r="G284" s="34" t="str">
        <f aca="false">'Uso e Consumo'!J284</f>
        <v>UN</v>
      </c>
      <c r="H284" s="49" t="n">
        <f aca="false">'Uso e Consumo'!F284</f>
        <v>5</v>
      </c>
      <c r="I284" s="35" t="n">
        <f aca="false">'Uso e Consumo'!G284</f>
        <v>6400</v>
      </c>
      <c r="J284" s="34" t="str">
        <f aca="false">'Uso e Consumo'!M284</f>
        <v>3.8.2.003 - Ferramentas elétricas/pneumáticas</v>
      </c>
      <c r="K284" s="32" t="str">
        <f aca="false">INDEX('Curva ABC'!$K$8:$K$2847,MATCH(D284,'Curva ABC'!$B$8:$B$2847,0))</f>
        <v>B</v>
      </c>
    </row>
    <row r="285" customFormat="false" ht="15" hidden="false" customHeight="false" outlineLevel="0" collapsed="false">
      <c r="A285" s="34" t="s">
        <v>5799</v>
      </c>
      <c r="B285" s="34" t="str">
        <f aca="false">'Uso e Consumo'!A285</f>
        <v>0335</v>
      </c>
      <c r="C285" s="34" t="str">
        <f aca="false">'Uso e Consumo'!B285</f>
        <v>UFV NORONHA VERDE - USO E CONSUMO</v>
      </c>
      <c r="D285" s="33" t="n">
        <f aca="false">'Uso e Consumo'!C285</f>
        <v>273865</v>
      </c>
      <c r="E285" s="34" t="str">
        <f aca="false">'Uso e Consumo'!D285</f>
        <v>26.01.0037</v>
      </c>
      <c r="F285" s="34" t="str">
        <f aca="false">'Uso e Consumo'!E285</f>
        <v>COLETE REFLETIVO TIPO BLUSÃO – 4 BOLSOS – COR VERDE – TAM. G</v>
      </c>
      <c r="G285" s="34" t="str">
        <f aca="false">'Uso e Consumo'!J285</f>
        <v>UN</v>
      </c>
      <c r="H285" s="49" t="n">
        <f aca="false">'Uso e Consumo'!F285</f>
        <v>197</v>
      </c>
      <c r="I285" s="35" t="n">
        <f aca="false">'Uso e Consumo'!G285</f>
        <v>6382.5</v>
      </c>
      <c r="J285" s="34" t="str">
        <f aca="false">'Uso e Consumo'!M285</f>
        <v>4.3.4.001 - Equipamento de proteção individual</v>
      </c>
      <c r="K285" s="32" t="str">
        <f aca="false">INDEX('Curva ABC'!$K$8:$K$2847,MATCH(D285,'Curva ABC'!$B$8:$B$2847,0))</f>
        <v>B</v>
      </c>
    </row>
    <row r="286" customFormat="false" ht="15" hidden="false" customHeight="false" outlineLevel="0" collapsed="false">
      <c r="A286" s="34" t="s">
        <v>5799</v>
      </c>
      <c r="B286" s="34" t="str">
        <f aca="false">'Uso e Consumo'!A286</f>
        <v>0335</v>
      </c>
      <c r="C286" s="34" t="str">
        <f aca="false">'Uso e Consumo'!B286</f>
        <v>UFV NORONHA VERDE - USO E CONSUMO</v>
      </c>
      <c r="D286" s="33" t="n">
        <f aca="false">'Uso e Consumo'!C286</f>
        <v>831922</v>
      </c>
      <c r="E286" s="34" t="str">
        <f aca="false">'Uso e Consumo'!D286</f>
        <v>26.02.0188</v>
      </c>
      <c r="F286" s="34" t="str">
        <f aca="false">'Uso e Consumo'!E286</f>
        <v>BOTINA FUJIWARA HESS C/BICO DE AÇO COMPOSITE E PALMILHA ANTIPERFURANTE CA 42330 N° 40</v>
      </c>
      <c r="G286" s="34" t="str">
        <f aca="false">'Uso e Consumo'!J286</f>
        <v>UN</v>
      </c>
      <c r="H286" s="49" t="n">
        <f aca="false">'Uso e Consumo'!F286</f>
        <v>64</v>
      </c>
      <c r="I286" s="35" t="n">
        <f aca="false">'Uso e Consumo'!G286</f>
        <v>6335.76</v>
      </c>
      <c r="J286" s="34" t="str">
        <f aca="false">'Uso e Consumo'!M286</f>
        <v>4.3.4.001 - Equipamento de proteção individual</v>
      </c>
      <c r="K286" s="32" t="str">
        <f aca="false">INDEX('Curva ABC'!$K$8:$K$2847,MATCH(D286,'Curva ABC'!$B$8:$B$2847,0))</f>
        <v>B</v>
      </c>
    </row>
    <row r="287" customFormat="false" ht="15" hidden="false" customHeight="false" outlineLevel="0" collapsed="false">
      <c r="A287" s="34" t="s">
        <v>5799</v>
      </c>
      <c r="B287" s="34" t="str">
        <f aca="false">'Uso e Consumo'!A287</f>
        <v>0335</v>
      </c>
      <c r="C287" s="34" t="str">
        <f aca="false">'Uso e Consumo'!B287</f>
        <v>UFV NORONHA VERDE - USO E CONSUMO</v>
      </c>
      <c r="D287" s="33" t="n">
        <f aca="false">'Uso e Consumo'!C287</f>
        <v>1674628</v>
      </c>
      <c r="E287" s="34" t="str">
        <f aca="false">'Uso e Consumo'!D287</f>
        <v>11.01.0061</v>
      </c>
      <c r="F287" s="34" t="str">
        <f aca="false">'Uso e Consumo'!E287</f>
        <v>FORRO EM DRYWALL TABICADO COM ESTRUTURA DE FIXACAO</v>
      </c>
      <c r="G287" s="34" t="str">
        <f aca="false">'Uso e Consumo'!J287</f>
        <v>M2</v>
      </c>
      <c r="H287" s="49" t="n">
        <f aca="false">'Uso e Consumo'!F287</f>
        <v>103</v>
      </c>
      <c r="I287" s="35" t="n">
        <f aca="false">'Uso e Consumo'!G287</f>
        <v>6285.74</v>
      </c>
      <c r="J287" s="34" t="str">
        <f aca="false">'Uso e Consumo'!M287</f>
        <v>3.8.1.011 - Forros</v>
      </c>
      <c r="K287" s="32" t="str">
        <f aca="false">INDEX('Curva ABC'!$K$8:$K$2847,MATCH(D287,'Curva ABC'!$B$8:$B$2847,0))</f>
        <v>B</v>
      </c>
    </row>
    <row r="288" customFormat="false" ht="15" hidden="false" customHeight="false" outlineLevel="0" collapsed="false">
      <c r="A288" s="34" t="s">
        <v>5799</v>
      </c>
      <c r="B288" s="34" t="str">
        <f aca="false">'Uso e Consumo'!A288</f>
        <v>0335</v>
      </c>
      <c r="C288" s="34" t="str">
        <f aca="false">'Uso e Consumo'!B288</f>
        <v>UFV NORONHA VERDE - USO E CONSUMO</v>
      </c>
      <c r="D288" s="33" t="n">
        <f aca="false">'Uso e Consumo'!C288</f>
        <v>1258632</v>
      </c>
      <c r="E288" s="34" t="str">
        <f aca="false">'Uso e Consumo'!D288</f>
        <v>26.05.0071</v>
      </c>
      <c r="F288" s="34" t="str">
        <f aca="false">'Uso e Consumo'!E288</f>
        <v>PROTETOR FACIAL CONTRA ARCO ELÉTRICO NR 10 (VISEIRA NR-10)</v>
      </c>
      <c r="G288" s="34" t="str">
        <f aca="false">'Uso e Consumo'!J288</f>
        <v>UN</v>
      </c>
      <c r="H288" s="49" t="n">
        <f aca="false">'Uso e Consumo'!F288</f>
        <v>10</v>
      </c>
      <c r="I288" s="35" t="n">
        <f aca="false">'Uso e Consumo'!G288</f>
        <v>6281.48</v>
      </c>
      <c r="J288" s="34" t="str">
        <f aca="false">'Uso e Consumo'!M288</f>
        <v>4.3.4.001 - Equipamento de proteção individual</v>
      </c>
      <c r="K288" s="32" t="str">
        <f aca="false">INDEX('Curva ABC'!$K$8:$K$2847,MATCH(D288,'Curva ABC'!$B$8:$B$2847,0))</f>
        <v>B</v>
      </c>
    </row>
    <row r="289" customFormat="false" ht="15" hidden="false" customHeight="false" outlineLevel="0" collapsed="false">
      <c r="A289" s="34" t="s">
        <v>5799</v>
      </c>
      <c r="B289" s="34" t="str">
        <f aca="false">'Uso e Consumo'!A289</f>
        <v>0335</v>
      </c>
      <c r="C289" s="34" t="str">
        <f aca="false">'Uso e Consumo'!B289</f>
        <v>UFV NORONHA VERDE - USO E CONSUMO</v>
      </c>
      <c r="D289" s="33" t="n">
        <f aca="false">'Uso e Consumo'!C289</f>
        <v>1475274</v>
      </c>
      <c r="E289" s="34" t="str">
        <f aca="false">'Uso e Consumo'!D289</f>
        <v>17.05.0126</v>
      </c>
      <c r="F289" s="34" t="str">
        <f aca="false">'Uso e Consumo'!E289</f>
        <v>CONECTOR LIGA COBRE PARAFUSO FENDIDO DERIVAÇÃO 35-120MM²</v>
      </c>
      <c r="G289" s="34" t="str">
        <f aca="false">'Uso e Consumo'!J289</f>
        <v>UN</v>
      </c>
      <c r="H289" s="49" t="n">
        <f aca="false">'Uso e Consumo'!F289</f>
        <v>232</v>
      </c>
      <c r="I289" s="35" t="n">
        <f aca="false">'Uso e Consumo'!G289</f>
        <v>6270.76</v>
      </c>
      <c r="J289" s="34" t="str">
        <f aca="false">'Uso e Consumo'!M289</f>
        <v>3.8.1.017 - Instalações elétricas/telefônicas/lógica</v>
      </c>
      <c r="K289" s="32" t="str">
        <f aca="false">INDEX('Curva ABC'!$K$8:$K$2847,MATCH(D289,'Curva ABC'!$B$8:$B$2847,0))</f>
        <v>B</v>
      </c>
    </row>
    <row r="290" customFormat="false" ht="32.8" hidden="false" customHeight="false" outlineLevel="0" collapsed="false">
      <c r="A290" s="34" t="s">
        <v>5799</v>
      </c>
      <c r="B290" s="34" t="str">
        <f aca="false">'Uso e Consumo'!A290</f>
        <v>0335</v>
      </c>
      <c r="C290" s="34" t="str">
        <f aca="false">'Uso e Consumo'!B290</f>
        <v>UFV NORONHA VERDE - USO E CONSUMO</v>
      </c>
      <c r="D290" s="33" t="n">
        <f aca="false">'Uso e Consumo'!C290</f>
        <v>1485390</v>
      </c>
      <c r="E290" s="34" t="str">
        <f aca="false">'Uso e Consumo'!D290</f>
        <v>17.16.3843</v>
      </c>
      <c r="F290" s="50" t="str">
        <f aca="false">'Uso e Consumo'!E290</f>
        <v>ABRAÇADEIRA TIPO UNHA PARA CABO 70 A 120 MM² EM COBRE ELETROLÍTICO FURO Ø8 MM
</v>
      </c>
      <c r="G290" s="34" t="str">
        <f aca="false">'Uso e Consumo'!J290</f>
        <v>UN</v>
      </c>
      <c r="H290" s="49" t="n">
        <f aca="false">'Uso e Consumo'!F290</f>
        <v>230</v>
      </c>
      <c r="I290" s="35" t="n">
        <f aca="false">'Uso e Consumo'!G290</f>
        <v>6266.12</v>
      </c>
      <c r="J290" s="34" t="str">
        <f aca="false">'Uso e Consumo'!M290</f>
        <v>3.8.1.022 - Elementos de fixação</v>
      </c>
      <c r="K290" s="32" t="str">
        <f aca="false">INDEX('Curva ABC'!$K$8:$K$2847,MATCH(D290,'Curva ABC'!$B$8:$B$2847,0))</f>
        <v>B</v>
      </c>
    </row>
    <row r="291" customFormat="false" ht="15" hidden="false" customHeight="false" outlineLevel="0" collapsed="false">
      <c r="A291" s="34" t="s">
        <v>5799</v>
      </c>
      <c r="B291" s="34" t="str">
        <f aca="false">'Uso e Consumo'!A291</f>
        <v>0335</v>
      </c>
      <c r="C291" s="34" t="str">
        <f aca="false">'Uso e Consumo'!B291</f>
        <v>UFV NORONHA VERDE - USO E CONSUMO</v>
      </c>
      <c r="D291" s="33" t="n">
        <f aca="false">'Uso e Consumo'!C291</f>
        <v>1469148</v>
      </c>
      <c r="E291" s="34" t="str">
        <f aca="false">'Uso e Consumo'!D291</f>
        <v>02.01.0087</v>
      </c>
      <c r="F291" s="34" t="str">
        <f aca="false">'Uso e Consumo'!E291</f>
        <v>TELA ARAME GALVANIZADO FIO 16 - 1,65MM</v>
      </c>
      <c r="G291" s="34" t="str">
        <f aca="false">'Uso e Consumo'!J291</f>
        <v>KG</v>
      </c>
      <c r="H291" s="49" t="n">
        <f aca="false">'Uso e Consumo'!F291</f>
        <v>350</v>
      </c>
      <c r="I291" s="35" t="n">
        <f aca="false">'Uso e Consumo'!G291</f>
        <v>6237</v>
      </c>
      <c r="J291" s="34" t="str">
        <f aca="false">'Uso e Consumo'!M291</f>
        <v>3.8.1.002 - Telas e arames</v>
      </c>
      <c r="K291" s="32" t="str">
        <f aca="false">INDEX('Curva ABC'!$K$8:$K$2847,MATCH(D291,'Curva ABC'!$B$8:$B$2847,0))</f>
        <v>B</v>
      </c>
    </row>
    <row r="292" customFormat="false" ht="15" hidden="false" customHeight="false" outlineLevel="0" collapsed="false">
      <c r="A292" s="34" t="s">
        <v>5799</v>
      </c>
      <c r="B292" s="34" t="str">
        <f aca="false">'Uso e Consumo'!A292</f>
        <v>0335</v>
      </c>
      <c r="C292" s="34" t="str">
        <f aca="false">'Uso e Consumo'!B292</f>
        <v>UFV NORONHA VERDE - USO E CONSUMO</v>
      </c>
      <c r="D292" s="33" t="n">
        <f aca="false">'Uso e Consumo'!C292</f>
        <v>1384217</v>
      </c>
      <c r="E292" s="34" t="str">
        <f aca="false">'Uso e Consumo'!D292</f>
        <v>17.08.0222</v>
      </c>
      <c r="F292" s="34" t="str">
        <f aca="false">'Uso e Consumo'!E292</f>
        <v>QUADRO DE ALIMENTAÇÃO (QDAR) OM SISTEMA DE AUTOMAÇÃO PARA REVEZAMENTO DAS MÁQUINAS</v>
      </c>
      <c r="G292" s="34" t="str">
        <f aca="false">'Uso e Consumo'!J292</f>
        <v>UN</v>
      </c>
      <c r="H292" s="49" t="n">
        <f aca="false">'Uso e Consumo'!F292</f>
        <v>1</v>
      </c>
      <c r="I292" s="35" t="n">
        <f aca="false">'Uso e Consumo'!G292</f>
        <v>6200</v>
      </c>
      <c r="J292" s="34" t="str">
        <f aca="false">'Uso e Consumo'!M292</f>
        <v>3.8.1.017 - Instalações elétricas/telefônicas/lógica</v>
      </c>
      <c r="K292" s="32" t="str">
        <f aca="false">INDEX('Curva ABC'!$K$8:$K$2847,MATCH(D292,'Curva ABC'!$B$8:$B$2847,0))</f>
        <v>B</v>
      </c>
    </row>
    <row r="293" customFormat="false" ht="15" hidden="false" customHeight="false" outlineLevel="0" collapsed="false">
      <c r="A293" s="34" t="s">
        <v>5799</v>
      </c>
      <c r="B293" s="34" t="str">
        <f aca="false">'Uso e Consumo'!A293</f>
        <v>0335</v>
      </c>
      <c r="C293" s="34" t="str">
        <f aca="false">'Uso e Consumo'!B293</f>
        <v>UFV NORONHA VERDE - USO E CONSUMO</v>
      </c>
      <c r="D293" s="33" t="n">
        <f aca="false">'Uso e Consumo'!C293</f>
        <v>49601</v>
      </c>
      <c r="E293" s="34" t="str">
        <f aca="false">'Uso e Consumo'!D293</f>
        <v>30.03.0186</v>
      </c>
      <c r="F293" s="34" t="str">
        <f aca="false">'Uso e Consumo'!E293</f>
        <v>LIXEIRA PLÁSTICA COM PEDAL 20L</v>
      </c>
      <c r="G293" s="34" t="str">
        <f aca="false">'Uso e Consumo'!J293</f>
        <v>UN</v>
      </c>
      <c r="H293" s="49" t="n">
        <f aca="false">'Uso e Consumo'!F293</f>
        <v>62</v>
      </c>
      <c r="I293" s="35" t="n">
        <f aca="false">'Uso e Consumo'!G293</f>
        <v>6187.6</v>
      </c>
      <c r="J293" s="34" t="str">
        <f aca="false">'Uso e Consumo'!M293</f>
        <v>4.1.1.001 - Material de uso e consumo</v>
      </c>
      <c r="K293" s="32" t="str">
        <f aca="false">INDEX('Curva ABC'!$K$8:$K$2847,MATCH(D293,'Curva ABC'!$B$8:$B$2847,0))</f>
        <v>B</v>
      </c>
    </row>
    <row r="294" customFormat="false" ht="15" hidden="false" customHeight="false" outlineLevel="0" collapsed="false">
      <c r="A294" s="34" t="s">
        <v>5799</v>
      </c>
      <c r="B294" s="34" t="str">
        <f aca="false">'Uso e Consumo'!A294</f>
        <v>0335</v>
      </c>
      <c r="C294" s="34" t="str">
        <f aca="false">'Uso e Consumo'!B294</f>
        <v>UFV NORONHA VERDE - USO E CONSUMO</v>
      </c>
      <c r="D294" s="33" t="n">
        <f aca="false">'Uso e Consumo'!C294</f>
        <v>1101342</v>
      </c>
      <c r="E294" s="34" t="str">
        <f aca="false">'Uso e Consumo'!D294</f>
        <v>12.02.0002</v>
      </c>
      <c r="F294" s="34" t="str">
        <f aca="false">'Uso e Consumo'!E294</f>
        <v>MANTA DE FELTRO FLEXÍVEL DE LÃ DE ROCHA </v>
      </c>
      <c r="G294" s="34" t="str">
        <f aca="false">'Uso e Consumo'!J294</f>
        <v>M2</v>
      </c>
      <c r="H294" s="49" t="n">
        <f aca="false">'Uso e Consumo'!F294</f>
        <v>172.8</v>
      </c>
      <c r="I294" s="35" t="n">
        <f aca="false">'Uso e Consumo'!G294</f>
        <v>6181.2</v>
      </c>
      <c r="J294" s="34" t="str">
        <f aca="false">'Uso e Consumo'!M294</f>
        <v>3.8.1.012 - Isolamentos termo-acústicos</v>
      </c>
      <c r="K294" s="32" t="str">
        <f aca="false">INDEX('Curva ABC'!$K$8:$K$2847,MATCH(D294,'Curva ABC'!$B$8:$B$2847,0))</f>
        <v>B</v>
      </c>
    </row>
    <row r="295" customFormat="false" ht="15" hidden="false" customHeight="false" outlineLevel="0" collapsed="false">
      <c r="A295" s="34" t="s">
        <v>5799</v>
      </c>
      <c r="B295" s="34" t="str">
        <f aca="false">'Uso e Consumo'!A295</f>
        <v>0335</v>
      </c>
      <c r="C295" s="34" t="str">
        <f aca="false">'Uso e Consumo'!B295</f>
        <v>UFV NORONHA VERDE - USO E CONSUMO</v>
      </c>
      <c r="D295" s="33" t="n">
        <f aca="false">'Uso e Consumo'!C295</f>
        <v>1261245</v>
      </c>
      <c r="E295" s="34" t="str">
        <f aca="false">'Uso e Consumo'!D295</f>
        <v>18.09.0341</v>
      </c>
      <c r="F295" s="34" t="str">
        <f aca="false">'Uso e Consumo'!E295</f>
        <v>VÁLVULA ESFERA TRIPARTIDA DN. 1½"</v>
      </c>
      <c r="G295" s="34" t="str">
        <f aca="false">'Uso e Consumo'!J295</f>
        <v>UN</v>
      </c>
      <c r="H295" s="49" t="n">
        <f aca="false">'Uso e Consumo'!F295</f>
        <v>7</v>
      </c>
      <c r="I295" s="35" t="n">
        <f aca="false">'Uso e Consumo'!G295</f>
        <v>6094.55</v>
      </c>
      <c r="J295" s="34" t="str">
        <f aca="false">'Uso e Consumo'!M295</f>
        <v>3.8.1.018 - Instalações hidráulicas/sanitárias/industriais</v>
      </c>
      <c r="K295" s="32" t="str">
        <f aca="false">INDEX('Curva ABC'!$K$8:$K$2847,MATCH(D295,'Curva ABC'!$B$8:$B$2847,0))</f>
        <v>B</v>
      </c>
    </row>
    <row r="296" customFormat="false" ht="15" hidden="false" customHeight="false" outlineLevel="0" collapsed="false">
      <c r="A296" s="34" t="s">
        <v>5799</v>
      </c>
      <c r="B296" s="34" t="str">
        <f aca="false">'Uso e Consumo'!A296</f>
        <v>0335</v>
      </c>
      <c r="C296" s="34" t="str">
        <f aca="false">'Uso e Consumo'!B296</f>
        <v>UFV NORONHA VERDE - USO E CONSUMO</v>
      </c>
      <c r="D296" s="33" t="n">
        <f aca="false">'Uso e Consumo'!C296</f>
        <v>11034</v>
      </c>
      <c r="E296" s="34" t="str">
        <f aca="false">'Uso e Consumo'!D296</f>
        <v>03.08.0003</v>
      </c>
      <c r="F296" s="34" t="str">
        <f aca="false">'Uso e Consumo'!E296</f>
        <v>RIPA MADEIRA MISTA 5,00CM X 1,00CM</v>
      </c>
      <c r="G296" s="34" t="str">
        <f aca="false">'Uso e Consumo'!J296</f>
        <v>M</v>
      </c>
      <c r="H296" s="49" t="n">
        <f aca="false">'Uso e Consumo'!F296</f>
        <v>300</v>
      </c>
      <c r="I296" s="35" t="n">
        <f aca="false">'Uso e Consumo'!G296</f>
        <v>5994</v>
      </c>
      <c r="J296" s="34" t="str">
        <f aca="false">'Uso e Consumo'!M296</f>
        <v>3.8.1.003 - Madeira</v>
      </c>
      <c r="K296" s="32" t="str">
        <f aca="false">INDEX('Curva ABC'!$K$8:$K$2847,MATCH(D296,'Curva ABC'!$B$8:$B$2847,0))</f>
        <v>B</v>
      </c>
    </row>
    <row r="297" customFormat="false" ht="15" hidden="false" customHeight="false" outlineLevel="0" collapsed="false">
      <c r="A297" s="34" t="s">
        <v>5799</v>
      </c>
      <c r="B297" s="34" t="str">
        <f aca="false">'Uso e Consumo'!A297</f>
        <v>0335</v>
      </c>
      <c r="C297" s="34" t="str">
        <f aca="false">'Uso e Consumo'!B297</f>
        <v>UFV NORONHA VERDE - USO E CONSUMO</v>
      </c>
      <c r="D297" s="33" t="n">
        <f aca="false">'Uso e Consumo'!C297</f>
        <v>1614919</v>
      </c>
      <c r="E297" s="34" t="str">
        <f aca="false">'Uso e Consumo'!D297</f>
        <v>17.08.0253</v>
      </c>
      <c r="F297" s="34" t="str">
        <f aca="false">'Uso e Consumo'!E297</f>
        <v>QUADRO DISTRIBUICAO 48 DISJ SOBREPOR METALICO</v>
      </c>
      <c r="G297" s="34" t="str">
        <f aca="false">'Uso e Consumo'!J297</f>
        <v>UN</v>
      </c>
      <c r="H297" s="49" t="n">
        <f aca="false">'Uso e Consumo'!F297</f>
        <v>2</v>
      </c>
      <c r="I297" s="35" t="n">
        <f aca="false">'Uso e Consumo'!G297</f>
        <v>5978</v>
      </c>
      <c r="J297" s="34" t="str">
        <f aca="false">'Uso e Consumo'!M297</f>
        <v>3.8.1.017 - Instalações elétricas/telefônicas/lógica</v>
      </c>
      <c r="K297" s="32" t="str">
        <f aca="false">INDEX('Curva ABC'!$K$8:$K$2847,MATCH(D297,'Curva ABC'!$B$8:$B$2847,0))</f>
        <v>B</v>
      </c>
    </row>
    <row r="298" customFormat="false" ht="15" hidden="false" customHeight="false" outlineLevel="0" collapsed="false">
      <c r="A298" s="34" t="s">
        <v>5799</v>
      </c>
      <c r="B298" s="34" t="str">
        <f aca="false">'Uso e Consumo'!A298</f>
        <v>0335</v>
      </c>
      <c r="C298" s="34" t="str">
        <f aca="false">'Uso e Consumo'!B298</f>
        <v>UFV NORONHA VERDE - USO E CONSUMO</v>
      </c>
      <c r="D298" s="33" t="n">
        <f aca="false">'Uso e Consumo'!C298</f>
        <v>58870</v>
      </c>
      <c r="E298" s="34" t="str">
        <f aca="false">'Uso e Consumo'!D298</f>
        <v>24.09.0314</v>
      </c>
      <c r="F298" s="34" t="str">
        <f aca="false">'Uso e Consumo'!E298</f>
        <v>JOGO DE CHAVE " L " ISOLADA DE 5,00MM Á 22,00MM</v>
      </c>
      <c r="G298" s="34" t="str">
        <f aca="false">'Uso e Consumo'!J298</f>
        <v>UN</v>
      </c>
      <c r="H298" s="49" t="n">
        <f aca="false">'Uso e Consumo'!F298</f>
        <v>2</v>
      </c>
      <c r="I298" s="35" t="n">
        <f aca="false">'Uso e Consumo'!G298</f>
        <v>5960</v>
      </c>
      <c r="J298" s="34" t="str">
        <f aca="false">'Uso e Consumo'!M298</f>
        <v>3.8.2.002 - Ferramentas manuais</v>
      </c>
      <c r="K298" s="32" t="str">
        <f aca="false">INDEX('Curva ABC'!$K$8:$K$2847,MATCH(D298,'Curva ABC'!$B$8:$B$2847,0))</f>
        <v>B</v>
      </c>
    </row>
    <row r="299" customFormat="false" ht="15" hidden="false" customHeight="false" outlineLevel="0" collapsed="false">
      <c r="A299" s="34" t="s">
        <v>5799</v>
      </c>
      <c r="B299" s="34" t="str">
        <f aca="false">'Uso e Consumo'!A299</f>
        <v>0335</v>
      </c>
      <c r="C299" s="34" t="str">
        <f aca="false">'Uso e Consumo'!B299</f>
        <v>UFV NORONHA VERDE - USO E CONSUMO</v>
      </c>
      <c r="D299" s="33" t="n">
        <f aca="false">'Uso e Consumo'!C299</f>
        <v>12610</v>
      </c>
      <c r="E299" s="34" t="str">
        <f aca="false">'Uso e Consumo'!D299</f>
        <v>17.02.0110</v>
      </c>
      <c r="F299" s="34" t="str">
        <f aca="false">'Uso e Consumo'!E299</f>
        <v>CURVA 90GR ELETRODUTO ALUMÍNIO NPT 3" X 88,90MM</v>
      </c>
      <c r="G299" s="34" t="str">
        <f aca="false">'Uso e Consumo'!J299</f>
        <v>UN</v>
      </c>
      <c r="H299" s="49" t="n">
        <f aca="false">'Uso e Consumo'!F299</f>
        <v>21</v>
      </c>
      <c r="I299" s="35" t="n">
        <f aca="false">'Uso e Consumo'!G299</f>
        <v>5959.38</v>
      </c>
      <c r="J299" s="34" t="str">
        <f aca="false">'Uso e Consumo'!M299</f>
        <v>3.8.1.017 - Instalações elétricas/telefônicas/lógica</v>
      </c>
      <c r="K299" s="32" t="str">
        <f aca="false">INDEX('Curva ABC'!$K$8:$K$2847,MATCH(D299,'Curva ABC'!$B$8:$B$2847,0))</f>
        <v>B</v>
      </c>
    </row>
    <row r="300" customFormat="false" ht="15" hidden="false" customHeight="false" outlineLevel="0" collapsed="false">
      <c r="A300" s="34" t="s">
        <v>5799</v>
      </c>
      <c r="B300" s="34" t="str">
        <f aca="false">'Uso e Consumo'!A300</f>
        <v>0335</v>
      </c>
      <c r="C300" s="34" t="str">
        <f aca="false">'Uso e Consumo'!B300</f>
        <v>UFV NORONHA VERDE - USO E CONSUMO</v>
      </c>
      <c r="D300" s="33" t="n">
        <f aca="false">'Uso e Consumo'!C300</f>
        <v>1672548</v>
      </c>
      <c r="E300" s="34" t="str">
        <f aca="false">'Uso e Consumo'!D300</f>
        <v>09.08.0080</v>
      </c>
      <c r="F300" s="34" t="str">
        <f aca="false">'Uso e Consumo'!E300</f>
        <v>TAMPA DE CONCRETO ARMADO 1,04 X 0,26 X 0,06 M</v>
      </c>
      <c r="G300" s="34" t="str">
        <f aca="false">'Uso e Consumo'!J300</f>
        <v>UN</v>
      </c>
      <c r="H300" s="49" t="n">
        <f aca="false">'Uso e Consumo'!F300</f>
        <v>94</v>
      </c>
      <c r="I300" s="35" t="n">
        <f aca="false">'Uso e Consumo'!G300</f>
        <v>5947.38</v>
      </c>
      <c r="J300" s="34" t="str">
        <f aca="false">'Uso e Consumo'!M300</f>
        <v>3.8.1.009 - Artefatos pré-moldados de concreto</v>
      </c>
      <c r="K300" s="32" t="str">
        <f aca="false">INDEX('Curva ABC'!$K$8:$K$2847,MATCH(D300,'Curva ABC'!$B$8:$B$2847,0))</f>
        <v>B</v>
      </c>
    </row>
    <row r="301" customFormat="false" ht="15" hidden="false" customHeight="false" outlineLevel="0" collapsed="false">
      <c r="A301" s="34" t="s">
        <v>5799</v>
      </c>
      <c r="B301" s="34" t="str">
        <f aca="false">'Uso e Consumo'!A301</f>
        <v>0335</v>
      </c>
      <c r="C301" s="34" t="str">
        <f aca="false">'Uso e Consumo'!B301</f>
        <v>UFV NORONHA VERDE - USO E CONSUMO</v>
      </c>
      <c r="D301" s="33" t="n">
        <f aca="false">'Uso e Consumo'!C301</f>
        <v>843588</v>
      </c>
      <c r="E301" s="34" t="str">
        <f aca="false">'Uso e Consumo'!D301</f>
        <v>18.11.0113</v>
      </c>
      <c r="F301" s="34" t="str">
        <f aca="false">'Uso e Consumo'!E301</f>
        <v>EXTINTOR INCÊNDIO CARGA BASE PÓ QUIMICO SECO CLASSE ABC CAP 6KG C/ SUPORTE</v>
      </c>
      <c r="G301" s="34" t="str">
        <f aca="false">'Uso e Consumo'!J301</f>
        <v>UN</v>
      </c>
      <c r="H301" s="49" t="n">
        <f aca="false">'Uso e Consumo'!F301</f>
        <v>18</v>
      </c>
      <c r="I301" s="35" t="n">
        <f aca="false">'Uso e Consumo'!G301</f>
        <v>5940</v>
      </c>
      <c r="J301" s="34" t="str">
        <f aca="false">'Uso e Consumo'!M301</f>
        <v>4.3.4.005 - Combate incêndio</v>
      </c>
      <c r="K301" s="32" t="str">
        <f aca="false">INDEX('Curva ABC'!$K$8:$K$2847,MATCH(D301,'Curva ABC'!$B$8:$B$2847,0))</f>
        <v>B</v>
      </c>
    </row>
    <row r="302" customFormat="false" ht="15" hidden="false" customHeight="false" outlineLevel="0" collapsed="false">
      <c r="A302" s="34" t="s">
        <v>5799</v>
      </c>
      <c r="B302" s="34" t="str">
        <f aca="false">'Uso e Consumo'!A302</f>
        <v>0335</v>
      </c>
      <c r="C302" s="34" t="str">
        <f aca="false">'Uso e Consumo'!B302</f>
        <v>UFV NORONHA VERDE - USO E CONSUMO</v>
      </c>
      <c r="D302" s="33" t="n">
        <f aca="false">'Uso e Consumo'!C302</f>
        <v>1384385</v>
      </c>
      <c r="E302" s="34" t="str">
        <f aca="false">'Uso e Consumo'!D302</f>
        <v>17.02.0863</v>
      </c>
      <c r="F302" s="34" t="str">
        <f aca="false">'Uso e Consumo'!E302</f>
        <v>ELETRODUTO ALUMÍNIO 25 MM, COM ROSCA 1" BSP, TIPO PESADO, BARRA 3,00 M</v>
      </c>
      <c r="G302" s="34" t="str">
        <f aca="false">'Uso e Consumo'!J302</f>
        <v>UN</v>
      </c>
      <c r="H302" s="49" t="n">
        <f aca="false">'Uso e Consumo'!F302</f>
        <v>48</v>
      </c>
      <c r="I302" s="35" t="n">
        <f aca="false">'Uso e Consumo'!G302</f>
        <v>5900.0425</v>
      </c>
      <c r="J302" s="34" t="str">
        <f aca="false">'Uso e Consumo'!M302</f>
        <v>3.8.1.017 - Instalações elétricas/telefônicas/lógica</v>
      </c>
      <c r="K302" s="32" t="str">
        <f aca="false">INDEX('Curva ABC'!$K$8:$K$2847,MATCH(D302,'Curva ABC'!$B$8:$B$2847,0))</f>
        <v>B</v>
      </c>
    </row>
    <row r="303" customFormat="false" ht="15" hidden="false" customHeight="false" outlineLevel="0" collapsed="false">
      <c r="A303" s="34" t="s">
        <v>5799</v>
      </c>
      <c r="B303" s="34" t="str">
        <f aca="false">'Uso e Consumo'!A303</f>
        <v>0335</v>
      </c>
      <c r="C303" s="34" t="str">
        <f aca="false">'Uso e Consumo'!B303</f>
        <v>UFV NORONHA VERDE - USO E CONSUMO</v>
      </c>
      <c r="D303" s="33" t="n">
        <f aca="false">'Uso e Consumo'!C303</f>
        <v>18855</v>
      </c>
      <c r="E303" s="34" t="str">
        <f aca="false">'Uso e Consumo'!D303</f>
        <v>26.05.0001</v>
      </c>
      <c r="F303" s="34" t="str">
        <f aca="false">'Uso e Consumo'!E303</f>
        <v>ÓCULOS DE SEGURANÇA - LENTE CINZA (CA-18069/17038/18047/11268)</v>
      </c>
      <c r="G303" s="34" t="str">
        <f aca="false">'Uso e Consumo'!J303</f>
        <v>UN</v>
      </c>
      <c r="H303" s="49" t="n">
        <f aca="false">'Uso e Consumo'!F303</f>
        <v>1800</v>
      </c>
      <c r="I303" s="35" t="n">
        <f aca="false">'Uso e Consumo'!G303</f>
        <v>5900.0268</v>
      </c>
      <c r="J303" s="34" t="str">
        <f aca="false">'Uso e Consumo'!M303</f>
        <v>4.3.4.001 - Equipamento de proteção individual</v>
      </c>
      <c r="K303" s="32" t="str">
        <f aca="false">INDEX('Curva ABC'!$K$8:$K$2847,MATCH(D303,'Curva ABC'!$B$8:$B$2847,0))</f>
        <v>B</v>
      </c>
    </row>
    <row r="304" customFormat="false" ht="15" hidden="false" customHeight="false" outlineLevel="0" collapsed="false">
      <c r="A304" s="34" t="s">
        <v>5799</v>
      </c>
      <c r="B304" s="34" t="str">
        <f aca="false">'Uso e Consumo'!A304</f>
        <v>0335</v>
      </c>
      <c r="C304" s="34" t="str">
        <f aca="false">'Uso e Consumo'!B304</f>
        <v>UFV NORONHA VERDE - USO E CONSUMO</v>
      </c>
      <c r="D304" s="33" t="n">
        <f aca="false">'Uso e Consumo'!C304</f>
        <v>389626</v>
      </c>
      <c r="E304" s="34" t="str">
        <f aca="false">'Uso e Consumo'!D304</f>
        <v>32.02.0242</v>
      </c>
      <c r="F304" s="34" t="str">
        <f aca="false">'Uso e Consumo'!E304</f>
        <v>CINTA DE ELEVAÇÃO ER TUBULAR MODELO SEM FIM CAPA DUPLA CAP. 15 TON COM 4,0M</v>
      </c>
      <c r="G304" s="34" t="str">
        <f aca="false">'Uso e Consumo'!J304</f>
        <v>UN</v>
      </c>
      <c r="H304" s="49" t="n">
        <f aca="false">'Uso e Consumo'!F304</f>
        <v>6</v>
      </c>
      <c r="I304" s="35" t="n">
        <f aca="false">'Uso e Consumo'!G304</f>
        <v>5880</v>
      </c>
      <c r="J304" s="34" t="str">
        <f aca="false">'Uso e Consumo'!M304</f>
        <v>6.1.2.002 - Ferramentas e utensílios</v>
      </c>
      <c r="K304" s="32" t="str">
        <f aca="false">INDEX('Curva ABC'!$K$8:$K$2847,MATCH(D304,'Curva ABC'!$B$8:$B$2847,0))</f>
        <v>B</v>
      </c>
    </row>
    <row r="305" customFormat="false" ht="15" hidden="false" customHeight="false" outlineLevel="0" collapsed="false">
      <c r="A305" s="34" t="s">
        <v>5799</v>
      </c>
      <c r="B305" s="34" t="str">
        <f aca="false">'Uso e Consumo'!A305</f>
        <v>0335</v>
      </c>
      <c r="C305" s="34" t="str">
        <f aca="false">'Uso e Consumo'!B305</f>
        <v>UFV NORONHA VERDE - USO E CONSUMO</v>
      </c>
      <c r="D305" s="33" t="n">
        <f aca="false">'Uso e Consumo'!C305</f>
        <v>1604396</v>
      </c>
      <c r="E305" s="34" t="str">
        <f aca="false">'Uso e Consumo'!D305</f>
        <v>17.22.0148</v>
      </c>
      <c r="F305" s="34" t="str">
        <f aca="false">'Uso e Consumo'!E305</f>
        <v>LAÇO PRÉ-FORMADO DE LATERAL EM COBRE PARA CABO DE COBRE NÚ 120MM</v>
      </c>
      <c r="G305" s="34" t="str">
        <f aca="false">'Uso e Consumo'!J305</f>
        <v>UN</v>
      </c>
      <c r="H305" s="49" t="n">
        <f aca="false">'Uso e Consumo'!F305</f>
        <v>26</v>
      </c>
      <c r="I305" s="35" t="n">
        <f aca="false">'Uso e Consumo'!G305</f>
        <v>5865.76</v>
      </c>
      <c r="J305" s="34" t="str">
        <f aca="false">'Uso e Consumo'!M305</f>
        <v>3.8.1.017 - Instalações elétricas/telefônicas/lógica</v>
      </c>
      <c r="K305" s="32" t="str">
        <f aca="false">INDEX('Curva ABC'!$K$8:$K$2847,MATCH(D305,'Curva ABC'!$B$8:$B$2847,0))</f>
        <v>B</v>
      </c>
    </row>
    <row r="306" customFormat="false" ht="15" hidden="false" customHeight="false" outlineLevel="0" collapsed="false">
      <c r="A306" s="34" t="s">
        <v>5799</v>
      </c>
      <c r="B306" s="34" t="str">
        <f aca="false">'Uso e Consumo'!A306</f>
        <v>0335</v>
      </c>
      <c r="C306" s="34" t="str">
        <f aca="false">'Uso e Consumo'!B306</f>
        <v>UFV NORONHA VERDE - USO E CONSUMO</v>
      </c>
      <c r="D306" s="33" t="n">
        <f aca="false">'Uso e Consumo'!C306</f>
        <v>12601</v>
      </c>
      <c r="E306" s="34" t="str">
        <f aca="false">'Uso e Consumo'!D306</f>
        <v>17.02.0101</v>
      </c>
      <c r="F306" s="34" t="str">
        <f aca="false">'Uso e Consumo'!E306</f>
        <v>CURVA 90GR ELETRODUTO ALUMÍNIO BSP 3" X 88,90MM</v>
      </c>
      <c r="G306" s="34" t="str">
        <f aca="false">'Uso e Consumo'!J306</f>
        <v>UN</v>
      </c>
      <c r="H306" s="49" t="n">
        <f aca="false">'Uso e Consumo'!F306</f>
        <v>29</v>
      </c>
      <c r="I306" s="35" t="n">
        <f aca="false">'Uso e Consumo'!G306</f>
        <v>5837.95</v>
      </c>
      <c r="J306" s="34" t="str">
        <f aca="false">'Uso e Consumo'!M306</f>
        <v>3.8.1.017 - Instalações elétricas/telefônicas/lógica</v>
      </c>
      <c r="K306" s="32" t="str">
        <f aca="false">INDEX('Curva ABC'!$K$8:$K$2847,MATCH(D306,'Curva ABC'!$B$8:$B$2847,0))</f>
        <v>B</v>
      </c>
    </row>
    <row r="307" customFormat="false" ht="15" hidden="false" customHeight="false" outlineLevel="0" collapsed="false">
      <c r="A307" s="34" t="s">
        <v>5799</v>
      </c>
      <c r="B307" s="34" t="str">
        <f aca="false">'Uso e Consumo'!A307</f>
        <v>0335</v>
      </c>
      <c r="C307" s="34" t="str">
        <f aca="false">'Uso e Consumo'!B307</f>
        <v>UFV NORONHA VERDE - USO E CONSUMO</v>
      </c>
      <c r="D307" s="33" t="n">
        <f aca="false">'Uso e Consumo'!C307</f>
        <v>1310580</v>
      </c>
      <c r="E307" s="34" t="str">
        <f aca="false">'Uso e Consumo'!D307</f>
        <v>13.06.0399</v>
      </c>
      <c r="F307" s="34" t="str">
        <f aca="false">'Uso e Consumo'!E307</f>
        <v>PERFIL CONTRA MARCO METALICO PARA PORTA DE 30 MM DE ESPESSURA COMPRIMENTO 3 MT</v>
      </c>
      <c r="G307" s="34" t="str">
        <f aca="false">'Uso e Consumo'!J307</f>
        <v>UN</v>
      </c>
      <c r="H307" s="49" t="n">
        <f aca="false">'Uso e Consumo'!F307</f>
        <v>128</v>
      </c>
      <c r="I307" s="35" t="n">
        <f aca="false">'Uso e Consumo'!G307</f>
        <v>5832.72</v>
      </c>
      <c r="J307" s="34" t="str">
        <f aca="false">'Uso e Consumo'!M307</f>
        <v>3.8.1.013 - Esquadrias e vidros</v>
      </c>
      <c r="K307" s="32" t="str">
        <f aca="false">INDEX('Curva ABC'!$K$8:$K$2847,MATCH(D307,'Curva ABC'!$B$8:$B$2847,0))</f>
        <v>B</v>
      </c>
    </row>
    <row r="308" customFormat="false" ht="15" hidden="false" customHeight="false" outlineLevel="0" collapsed="false">
      <c r="A308" s="34" t="s">
        <v>5799</v>
      </c>
      <c r="B308" s="34" t="str">
        <f aca="false">'Uso e Consumo'!A308</f>
        <v>0335</v>
      </c>
      <c r="C308" s="34" t="str">
        <f aca="false">'Uso e Consumo'!B308</f>
        <v>UFV NORONHA VERDE - USO E CONSUMO</v>
      </c>
      <c r="D308" s="33" t="n">
        <f aca="false">'Uso e Consumo'!C308</f>
        <v>860923</v>
      </c>
      <c r="E308" s="34" t="str">
        <f aca="false">'Uso e Consumo'!D308</f>
        <v>25.09.0157</v>
      </c>
      <c r="F308" s="34" t="str">
        <f aca="false">'Uso e Consumo'!E308</f>
        <v>KIT ESTICADOR+SELADOR+SELO+CARRINHO+FITA PET 16MM</v>
      </c>
      <c r="G308" s="34" t="str">
        <f aca="false">'Uso e Consumo'!J308</f>
        <v>UN</v>
      </c>
      <c r="H308" s="49" t="n">
        <f aca="false">'Uso e Consumo'!F308</f>
        <v>2</v>
      </c>
      <c r="I308" s="35" t="n">
        <f aca="false">'Uso e Consumo'!G308</f>
        <v>5815.5</v>
      </c>
      <c r="J308" s="34" t="str">
        <f aca="false">'Uso e Consumo'!M308</f>
        <v>3.8.2.006 - Utensílios</v>
      </c>
      <c r="K308" s="32" t="str">
        <f aca="false">INDEX('Curva ABC'!$K$8:$K$2847,MATCH(D308,'Curva ABC'!$B$8:$B$2847,0))</f>
        <v>A</v>
      </c>
    </row>
    <row r="309" customFormat="false" ht="15" hidden="false" customHeight="false" outlineLevel="0" collapsed="false">
      <c r="A309" s="34" t="s">
        <v>5799</v>
      </c>
      <c r="B309" s="34" t="str">
        <f aca="false">'Uso e Consumo'!A309</f>
        <v>0335</v>
      </c>
      <c r="C309" s="34" t="str">
        <f aca="false">'Uso e Consumo'!B309</f>
        <v>UFV NORONHA VERDE - USO E CONSUMO</v>
      </c>
      <c r="D309" s="33" t="n">
        <f aca="false">'Uso e Consumo'!C309</f>
        <v>1662409</v>
      </c>
      <c r="E309" s="34" t="str">
        <f aca="false">'Uso e Consumo'!D309</f>
        <v>01.09.0414</v>
      </c>
      <c r="F309" s="34" t="str">
        <f aca="false">'Uso e Consumo'!E309</f>
        <v>PERFIL "L" 50,8 (2") X 50,8 (2") X 795 MM ACO GALV . A QUENTE ESP 6,35MM</v>
      </c>
      <c r="G309" s="34" t="str">
        <f aca="false">'Uso e Consumo'!J309</f>
        <v>UN</v>
      </c>
      <c r="H309" s="49" t="n">
        <f aca="false">'Uso e Consumo'!F309</f>
        <v>36</v>
      </c>
      <c r="I309" s="35" t="n">
        <f aca="false">'Uso e Consumo'!G309</f>
        <v>5814</v>
      </c>
      <c r="J309" s="34" t="str">
        <f aca="false">'Uso e Consumo'!M309</f>
        <v>3.8.1.001 - Aços e trefilados</v>
      </c>
      <c r="K309" s="32" t="str">
        <f aca="false">INDEX('Curva ABC'!$K$8:$K$2847,MATCH(D309,'Curva ABC'!$B$8:$B$2847,0))</f>
        <v>B</v>
      </c>
    </row>
    <row r="310" customFormat="false" ht="15" hidden="false" customHeight="false" outlineLevel="0" collapsed="false">
      <c r="A310" s="34" t="s">
        <v>5799</v>
      </c>
      <c r="B310" s="34" t="str">
        <f aca="false">'Uso e Consumo'!A310</f>
        <v>0335</v>
      </c>
      <c r="C310" s="34" t="str">
        <f aca="false">'Uso e Consumo'!B310</f>
        <v>UFV NORONHA VERDE - USO E CONSUMO</v>
      </c>
      <c r="D310" s="33" t="n">
        <f aca="false">'Uso e Consumo'!C310</f>
        <v>1384481</v>
      </c>
      <c r="E310" s="34" t="str">
        <f aca="false">'Uso e Consumo'!D310</f>
        <v>17.02.0865</v>
      </c>
      <c r="F310" s="34" t="str">
        <f aca="false">'Uso e Consumo'!E310</f>
        <v>CONECTOR TERMINAL RETO 1 CABO 120 MM², 2 FUROS, TENSÃO 13,8 KV</v>
      </c>
      <c r="G310" s="34" t="str">
        <f aca="false">'Uso e Consumo'!J310</f>
        <v>UN</v>
      </c>
      <c r="H310" s="49" t="n">
        <f aca="false">'Uso e Consumo'!F310</f>
        <v>6</v>
      </c>
      <c r="I310" s="35" t="n">
        <f aca="false">'Uso e Consumo'!G310</f>
        <v>5812.14</v>
      </c>
      <c r="J310" s="34" t="str">
        <f aca="false">'Uso e Consumo'!M310</f>
        <v>3.8.1.017 - Instalações elétricas/telefônicas/lógica</v>
      </c>
      <c r="K310" s="32" t="str">
        <f aca="false">INDEX('Curva ABC'!$K$8:$K$2847,MATCH(D310,'Curva ABC'!$B$8:$B$2847,0))</f>
        <v>B</v>
      </c>
    </row>
    <row r="311" customFormat="false" ht="15" hidden="false" customHeight="false" outlineLevel="0" collapsed="false">
      <c r="A311" s="34" t="s">
        <v>5799</v>
      </c>
      <c r="B311" s="34" t="str">
        <f aca="false">'Uso e Consumo'!A311</f>
        <v>0335</v>
      </c>
      <c r="C311" s="34" t="str">
        <f aca="false">'Uso e Consumo'!B311</f>
        <v>UFV NORONHA VERDE - USO E CONSUMO</v>
      </c>
      <c r="D311" s="33" t="n">
        <f aca="false">'Uso e Consumo'!C311</f>
        <v>862388</v>
      </c>
      <c r="E311" s="34" t="str">
        <f aca="false">'Uso e Consumo'!D311</f>
        <v>17.08.0185</v>
      </c>
      <c r="F311" s="34" t="str">
        <f aca="false">'Uso e Consumo'!E311</f>
        <v>QUADRO DE DISTRIBUIÇÃO METÁLICO TRIFÁSICO SOBREPOR PARA 12 DISJUNTORES DIN E CAPACIDADE DE 100A</v>
      </c>
      <c r="G311" s="34" t="str">
        <f aca="false">'Uso e Consumo'!J311</f>
        <v>UN</v>
      </c>
      <c r="H311" s="49" t="n">
        <f aca="false">'Uso e Consumo'!F311</f>
        <v>4</v>
      </c>
      <c r="I311" s="35" t="n">
        <f aca="false">'Uso e Consumo'!G311</f>
        <v>5792</v>
      </c>
      <c r="J311" s="34" t="str">
        <f aca="false">'Uso e Consumo'!M311</f>
        <v>3.8.1.017 - Instalações elétricas/telefônicas/lógica</v>
      </c>
      <c r="K311" s="32" t="str">
        <f aca="false">INDEX('Curva ABC'!$K$8:$K$2847,MATCH(D311,'Curva ABC'!$B$8:$B$2847,0))</f>
        <v>B</v>
      </c>
    </row>
    <row r="312" customFormat="false" ht="15" hidden="false" customHeight="false" outlineLevel="0" collapsed="false">
      <c r="A312" s="34" t="s">
        <v>5799</v>
      </c>
      <c r="B312" s="34" t="str">
        <f aca="false">'Uso e Consumo'!A312</f>
        <v>0335</v>
      </c>
      <c r="C312" s="34" t="str">
        <f aca="false">'Uso e Consumo'!B312</f>
        <v>UFV NORONHA VERDE - USO E CONSUMO</v>
      </c>
      <c r="D312" s="33" t="n">
        <f aca="false">'Uso e Consumo'!C312</f>
        <v>281187</v>
      </c>
      <c r="E312" s="34" t="str">
        <f aca="false">'Uso e Consumo'!D312</f>
        <v>24.24.0027</v>
      </c>
      <c r="F312" s="34" t="str">
        <f aca="false">'Uso e Consumo'!E312</f>
        <v>CHAVE DE IMPACTO PNEUMÁTICA 3/4</v>
      </c>
      <c r="G312" s="34" t="str">
        <f aca="false">'Uso e Consumo'!J312</f>
        <v>UN</v>
      </c>
      <c r="H312" s="49" t="n">
        <f aca="false">'Uso e Consumo'!F312</f>
        <v>1</v>
      </c>
      <c r="I312" s="35" t="n">
        <f aca="false">'Uso e Consumo'!G312</f>
        <v>5790</v>
      </c>
      <c r="J312" s="34" t="str">
        <f aca="false">'Uso e Consumo'!M312</f>
        <v>3.8.2.003 - Ferramentas elétricas/pneumáticas</v>
      </c>
      <c r="K312" s="32" t="str">
        <f aca="false">INDEX('Curva ABC'!$K$8:$K$2847,MATCH(D312,'Curva ABC'!$B$8:$B$2847,0))</f>
        <v>B</v>
      </c>
    </row>
    <row r="313" customFormat="false" ht="15" hidden="false" customHeight="false" outlineLevel="0" collapsed="false">
      <c r="A313" s="34" t="s">
        <v>5799</v>
      </c>
      <c r="B313" s="34" t="str">
        <f aca="false">'Uso e Consumo'!A313</f>
        <v>0335</v>
      </c>
      <c r="C313" s="34" t="str">
        <f aca="false">'Uso e Consumo'!B313</f>
        <v>UFV NORONHA VERDE - USO E CONSUMO</v>
      </c>
      <c r="D313" s="33" t="n">
        <f aca="false">'Uso e Consumo'!C313</f>
        <v>316328</v>
      </c>
      <c r="E313" s="34" t="str">
        <f aca="false">'Uso e Consumo'!D313</f>
        <v>29.03.0225</v>
      </c>
      <c r="F313" s="34" t="str">
        <f aca="false">'Uso e Consumo'!E313</f>
        <v>GELADEIRA MÉDIA</v>
      </c>
      <c r="G313" s="34" t="str">
        <f aca="false">'Uso e Consumo'!J313</f>
        <v>UN</v>
      </c>
      <c r="H313" s="49" t="n">
        <f aca="false">'Uso e Consumo'!F313</f>
        <v>3</v>
      </c>
      <c r="I313" s="35" t="n">
        <f aca="false">'Uso e Consumo'!G313</f>
        <v>5757</v>
      </c>
      <c r="J313" s="34" t="str">
        <f aca="false">'Uso e Consumo'!M313</f>
        <v>4.1.1.009 - Eletro eletrônico e acessórios</v>
      </c>
      <c r="K313" s="32" t="str">
        <f aca="false">INDEX('Curva ABC'!$K$8:$K$2847,MATCH(D313,'Curva ABC'!$B$8:$B$2847,0))</f>
        <v>A</v>
      </c>
    </row>
    <row r="314" customFormat="false" ht="15" hidden="false" customHeight="false" outlineLevel="0" collapsed="false">
      <c r="A314" s="34" t="s">
        <v>5799</v>
      </c>
      <c r="B314" s="34" t="str">
        <f aca="false">'Uso e Consumo'!A314</f>
        <v>0335</v>
      </c>
      <c r="C314" s="34" t="str">
        <f aca="false">'Uso e Consumo'!B314</f>
        <v>UFV NORONHA VERDE - USO E CONSUMO</v>
      </c>
      <c r="D314" s="33" t="n">
        <f aca="false">'Uso e Consumo'!C314</f>
        <v>840038</v>
      </c>
      <c r="E314" s="34" t="str">
        <f aca="false">'Uso e Consumo'!D314</f>
        <v>18.01.1276</v>
      </c>
      <c r="F314" s="34" t="str">
        <f aca="false">'Uso e Consumo'!E314</f>
        <v>TUBO SOLDÁVEL MARROM 50MM</v>
      </c>
      <c r="G314" s="34" t="str">
        <f aca="false">'Uso e Consumo'!J314</f>
        <v>M</v>
      </c>
      <c r="H314" s="49" t="n">
        <f aca="false">'Uso e Consumo'!F314</f>
        <v>65</v>
      </c>
      <c r="I314" s="35" t="n">
        <f aca="false">'Uso e Consumo'!G314</f>
        <v>5735.6</v>
      </c>
      <c r="J314" s="34" t="str">
        <f aca="false">'Uso e Consumo'!M314</f>
        <v>3.8.1.018 - Instalações hidráulicas/sanitárias/industriais</v>
      </c>
      <c r="K314" s="32" t="str">
        <f aca="false">INDEX('Curva ABC'!$K$8:$K$2847,MATCH(D314,'Curva ABC'!$B$8:$B$2847,0))</f>
        <v>B</v>
      </c>
    </row>
    <row r="315" customFormat="false" ht="15" hidden="false" customHeight="false" outlineLevel="0" collapsed="false">
      <c r="A315" s="34" t="s">
        <v>5799</v>
      </c>
      <c r="B315" s="34" t="str">
        <f aca="false">'Uso e Consumo'!A315</f>
        <v>0335</v>
      </c>
      <c r="C315" s="34" t="str">
        <f aca="false">'Uso e Consumo'!B315</f>
        <v>UFV NORONHA VERDE - USO E CONSUMO</v>
      </c>
      <c r="D315" s="33" t="n">
        <f aca="false">'Uso e Consumo'!C315</f>
        <v>1485486</v>
      </c>
      <c r="E315" s="34" t="str">
        <f aca="false">'Uso e Consumo'!D315</f>
        <v>17.08.0241</v>
      </c>
      <c r="F315" s="34" t="str">
        <f aca="false">'Uso e Consumo'!E315</f>
        <v>ISOLADOR BT TIPO BUJÃO EM POLIÉSTER 1,5 KV ROSCA 3/8"</v>
      </c>
      <c r="G315" s="34" t="str">
        <f aca="false">'Uso e Consumo'!J315</f>
        <v>UN</v>
      </c>
      <c r="H315" s="49" t="n">
        <f aca="false">'Uso e Consumo'!F315</f>
        <v>17</v>
      </c>
      <c r="I315" s="35" t="n">
        <f aca="false">'Uso e Consumo'!G315</f>
        <v>5725</v>
      </c>
      <c r="J315" s="34" t="str">
        <f aca="false">'Uso e Consumo'!M315</f>
        <v>3.8.1.017 - Instalações elétricas/telefônicas/lógica</v>
      </c>
      <c r="K315" s="32" t="str">
        <f aca="false">INDEX('Curva ABC'!$K$8:$K$2847,MATCH(D315,'Curva ABC'!$B$8:$B$2847,0))</f>
        <v>B</v>
      </c>
    </row>
    <row r="316" customFormat="false" ht="15" hidden="false" customHeight="false" outlineLevel="0" collapsed="false">
      <c r="A316" s="34" t="s">
        <v>5799</v>
      </c>
      <c r="B316" s="34" t="str">
        <f aca="false">'Uso e Consumo'!A316</f>
        <v>0335</v>
      </c>
      <c r="C316" s="34" t="str">
        <f aca="false">'Uso e Consumo'!B316</f>
        <v>UFV NORONHA VERDE - USO E CONSUMO</v>
      </c>
      <c r="D316" s="33" t="n">
        <f aca="false">'Uso e Consumo'!C316</f>
        <v>227054</v>
      </c>
      <c r="E316" s="34" t="str">
        <f aca="false">'Uso e Consumo'!D316</f>
        <v>24.02.0005</v>
      </c>
      <c r="F316" s="34" t="str">
        <f aca="false">'Uso e Consumo'!E316</f>
        <v>FITA DIAGRAMA TACÓGRAFO</v>
      </c>
      <c r="G316" s="34" t="str">
        <f aca="false">'Uso e Consumo'!J316</f>
        <v>UN</v>
      </c>
      <c r="H316" s="49" t="n">
        <f aca="false">'Uso e Consumo'!F316</f>
        <v>20</v>
      </c>
      <c r="I316" s="35" t="n">
        <f aca="false">'Uso e Consumo'!G316</f>
        <v>5700</v>
      </c>
      <c r="J316" s="34" t="str">
        <f aca="false">'Uso e Consumo'!M316</f>
        <v>3.8.2.001 - Ferramentas medição/aferição</v>
      </c>
      <c r="K316" s="32" t="str">
        <f aca="false">INDEX('Curva ABC'!$K$8:$K$2847,MATCH(D316,'Curva ABC'!$B$8:$B$2847,0))</f>
        <v>B</v>
      </c>
    </row>
    <row r="317" customFormat="false" ht="15" hidden="false" customHeight="false" outlineLevel="0" collapsed="false">
      <c r="A317" s="34" t="s">
        <v>5799</v>
      </c>
      <c r="B317" s="34" t="str">
        <f aca="false">'Uso e Consumo'!A317</f>
        <v>0335</v>
      </c>
      <c r="C317" s="34" t="str">
        <f aca="false">'Uso e Consumo'!B317</f>
        <v>UFV NORONHA VERDE - USO E CONSUMO</v>
      </c>
      <c r="D317" s="33" t="n">
        <f aca="false">'Uso e Consumo'!C317</f>
        <v>1475418</v>
      </c>
      <c r="E317" s="34" t="str">
        <f aca="false">'Uso e Consumo'!D317</f>
        <v>17.20.0718</v>
      </c>
      <c r="F317" s="34" t="str">
        <f aca="false">'Uso e Consumo'!E317</f>
        <v>HASTE SPDA PERFIL "L" 50,8 (2") X 50,8 ("2) X 1500MM</v>
      </c>
      <c r="G317" s="34" t="str">
        <f aca="false">'Uso e Consumo'!J317</f>
        <v>UN</v>
      </c>
      <c r="H317" s="49" t="n">
        <f aca="false">'Uso e Consumo'!F317</f>
        <v>27</v>
      </c>
      <c r="I317" s="35" t="n">
        <f aca="false">'Uso e Consumo'!G317</f>
        <v>5643</v>
      </c>
      <c r="J317" s="34" t="str">
        <f aca="false">'Uso e Consumo'!M317</f>
        <v>3.8.1.017 - Instalações elétricas/telefônicas/lógica</v>
      </c>
      <c r="K317" s="32" t="str">
        <f aca="false">INDEX('Curva ABC'!$K$8:$K$2847,MATCH(D317,'Curva ABC'!$B$8:$B$2847,0))</f>
        <v>B</v>
      </c>
    </row>
    <row r="318" customFormat="false" ht="15" hidden="false" customHeight="false" outlineLevel="0" collapsed="false">
      <c r="A318" s="34" t="s">
        <v>5799</v>
      </c>
      <c r="B318" s="34" t="str">
        <f aca="false">'Uso e Consumo'!A318</f>
        <v>0335</v>
      </c>
      <c r="C318" s="34" t="str">
        <f aca="false">'Uso e Consumo'!B318</f>
        <v>UFV NORONHA VERDE - USO E CONSUMO</v>
      </c>
      <c r="D318" s="33" t="n">
        <f aca="false">'Uso e Consumo'!C318</f>
        <v>21897</v>
      </c>
      <c r="E318" s="34" t="str">
        <f aca="false">'Uso e Consumo'!D318</f>
        <v>30.03.0118</v>
      </c>
      <c r="F318" s="34" t="str">
        <f aca="false">'Uso e Consumo'!E318</f>
        <v>BIG BAG EM POLIPROPILENO DE ALTA RESISTÊNCIA COM SAIA DE ENCHIM E FUNDO FECHADO CARGA MÁXIMA 1000KG</v>
      </c>
      <c r="G318" s="34" t="str">
        <f aca="false">'Uso e Consumo'!J318</f>
        <v>UN</v>
      </c>
      <c r="H318" s="49" t="n">
        <f aca="false">'Uso e Consumo'!F318</f>
        <v>175</v>
      </c>
      <c r="I318" s="35" t="n">
        <f aca="false">'Uso e Consumo'!G318</f>
        <v>5600</v>
      </c>
      <c r="J318" s="34" t="str">
        <f aca="false">'Uso e Consumo'!M318</f>
        <v>4.1.1.003 - Material limpeza</v>
      </c>
      <c r="K318" s="32" t="str">
        <f aca="false">INDEX('Curva ABC'!$K$8:$K$2847,MATCH(D318,'Curva ABC'!$B$8:$B$2847,0))</f>
        <v>B</v>
      </c>
    </row>
    <row r="319" customFormat="false" ht="15" hidden="false" customHeight="false" outlineLevel="0" collapsed="false">
      <c r="A319" s="34" t="s">
        <v>5799</v>
      </c>
      <c r="B319" s="34" t="str">
        <f aca="false">'Uso e Consumo'!A319</f>
        <v>0335</v>
      </c>
      <c r="C319" s="34" t="str">
        <f aca="false">'Uso e Consumo'!B319</f>
        <v>UFV NORONHA VERDE - USO E CONSUMO</v>
      </c>
      <c r="D319" s="33" t="n">
        <f aca="false">'Uso e Consumo'!C319</f>
        <v>831926</v>
      </c>
      <c r="E319" s="34" t="str">
        <f aca="false">'Uso e Consumo'!D319</f>
        <v>26.02.0192</v>
      </c>
      <c r="F319" s="34" t="str">
        <f aca="false">'Uso e Consumo'!E319</f>
        <v>BOTINA FUJIWARA HESS C/BICO DE AÇO COMPOSITE E PALMILHA ANTIPERFURANTE CA 42330 N° 44</v>
      </c>
      <c r="G319" s="34" t="str">
        <f aca="false">'Uso e Consumo'!J319</f>
        <v>UN</v>
      </c>
      <c r="H319" s="49" t="n">
        <f aca="false">'Uso e Consumo'!F319</f>
        <v>55</v>
      </c>
      <c r="I319" s="35" t="n">
        <f aca="false">'Uso e Consumo'!G319</f>
        <v>5573.8</v>
      </c>
      <c r="J319" s="34" t="str">
        <f aca="false">'Uso e Consumo'!M319</f>
        <v>4.3.4.001 - Equipamento de proteção individual</v>
      </c>
      <c r="K319" s="32" t="str">
        <f aca="false">INDEX('Curva ABC'!$K$8:$K$2847,MATCH(D319,'Curva ABC'!$B$8:$B$2847,0))</f>
        <v>B</v>
      </c>
    </row>
    <row r="320" customFormat="false" ht="15" hidden="false" customHeight="false" outlineLevel="0" collapsed="false">
      <c r="A320" s="34" t="s">
        <v>5799</v>
      </c>
      <c r="B320" s="34" t="str">
        <f aca="false">'Uso e Consumo'!A320</f>
        <v>0335</v>
      </c>
      <c r="C320" s="34" t="str">
        <f aca="false">'Uso e Consumo'!B320</f>
        <v>UFV NORONHA VERDE - USO E CONSUMO</v>
      </c>
      <c r="D320" s="33" t="n">
        <f aca="false">'Uso e Consumo'!C320</f>
        <v>1382622</v>
      </c>
      <c r="E320" s="34" t="str">
        <f aca="false">'Uso e Consumo'!D320</f>
        <v>17.21.0107</v>
      </c>
      <c r="F320" s="34" t="str">
        <f aca="false">'Uso e Consumo'!E320</f>
        <v>ISOLADOR POLIMÉRICO, TIPO BASTÃO 15 KV, DISTÂNCIA DE ESCOAMENTO MÍNIMA DE 31 MM/KV, 50 KN</v>
      </c>
      <c r="G320" s="34" t="str">
        <f aca="false">'Uso e Consumo'!J320</f>
        <v>UN</v>
      </c>
      <c r="H320" s="49" t="n">
        <f aca="false">'Uso e Consumo'!F320</f>
        <v>100</v>
      </c>
      <c r="I320" s="35" t="n">
        <f aca="false">'Uso e Consumo'!G320</f>
        <v>5571.8944</v>
      </c>
      <c r="J320" s="34" t="str">
        <f aca="false">'Uso e Consumo'!M320</f>
        <v>3.8.1.017 - Instalações elétricas/telefônicas/lógica</v>
      </c>
      <c r="K320" s="32" t="str">
        <f aca="false">INDEX('Curva ABC'!$K$8:$K$2847,MATCH(D320,'Curva ABC'!$B$8:$B$2847,0))</f>
        <v>B</v>
      </c>
    </row>
    <row r="321" customFormat="false" ht="15" hidden="false" customHeight="false" outlineLevel="0" collapsed="false">
      <c r="A321" s="34" t="s">
        <v>5799</v>
      </c>
      <c r="B321" s="34" t="str">
        <f aca="false">'Uso e Consumo'!A321</f>
        <v>0335</v>
      </c>
      <c r="C321" s="34" t="str">
        <f aca="false">'Uso e Consumo'!B321</f>
        <v>UFV NORONHA VERDE - USO E CONSUMO</v>
      </c>
      <c r="D321" s="33" t="n">
        <f aca="false">'Uso e Consumo'!C321</f>
        <v>1327800</v>
      </c>
      <c r="E321" s="34" t="str">
        <f aca="false">'Uso e Consumo'!D321</f>
        <v>18.03.0203</v>
      </c>
      <c r="F321" s="34" t="str">
        <f aca="false">'Uso e Consumo'!E321</f>
        <v>TUBO DE FERRO FUNDIDO Ø100MM</v>
      </c>
      <c r="G321" s="34" t="str">
        <f aca="false">'Uso e Consumo'!J321</f>
        <v>M</v>
      </c>
      <c r="H321" s="49" t="n">
        <f aca="false">'Uso e Consumo'!F321</f>
        <v>8</v>
      </c>
      <c r="I321" s="35" t="n">
        <f aca="false">'Uso e Consumo'!G321</f>
        <v>5556</v>
      </c>
      <c r="J321" s="34" t="str">
        <f aca="false">'Uso e Consumo'!M321</f>
        <v>3.8.1.018 - Instalações hidráulicas/sanitárias/industriais</v>
      </c>
      <c r="K321" s="32" t="str">
        <f aca="false">INDEX('Curva ABC'!$K$8:$K$2847,MATCH(D321,'Curva ABC'!$B$8:$B$2847,0))</f>
        <v>B</v>
      </c>
    </row>
    <row r="322" customFormat="false" ht="15" hidden="false" customHeight="false" outlineLevel="0" collapsed="false">
      <c r="A322" s="34" t="s">
        <v>5799</v>
      </c>
      <c r="B322" s="34" t="str">
        <f aca="false">'Uso e Consumo'!A322</f>
        <v>0335</v>
      </c>
      <c r="C322" s="34" t="str">
        <f aca="false">'Uso e Consumo'!B322</f>
        <v>UFV NORONHA VERDE - USO E CONSUMO</v>
      </c>
      <c r="D322" s="33" t="n">
        <f aca="false">'Uso e Consumo'!C322</f>
        <v>884827</v>
      </c>
      <c r="E322" s="34" t="str">
        <f aca="false">'Uso e Consumo'!D322</f>
        <v>34.02.1231</v>
      </c>
      <c r="F322" s="34" t="str">
        <f aca="false">'Uso e Consumo'!E322</f>
        <v>SUPORTE PARA CABO ISOLADO (95-630 MM²)</v>
      </c>
      <c r="G322" s="34" t="str">
        <f aca="false">'Uso e Consumo'!J322</f>
        <v>UND</v>
      </c>
      <c r="H322" s="49" t="n">
        <f aca="false">'Uso e Consumo'!F322</f>
        <v>20</v>
      </c>
      <c r="I322" s="35" t="n">
        <f aca="false">'Uso e Consumo'!G322</f>
        <v>5493.03</v>
      </c>
      <c r="J322" s="34" t="str">
        <f aca="false">'Uso e Consumo'!M322</f>
        <v>3.8.1.022 - Elementos de fixação</v>
      </c>
      <c r="K322" s="32" t="str">
        <f aca="false">INDEX('Curva ABC'!$K$8:$K$2847,MATCH(D322,'Curva ABC'!$B$8:$B$2847,0))</f>
        <v>B</v>
      </c>
    </row>
    <row r="323" customFormat="false" ht="15" hidden="false" customHeight="false" outlineLevel="0" collapsed="false">
      <c r="A323" s="34" t="s">
        <v>5799</v>
      </c>
      <c r="B323" s="34" t="str">
        <f aca="false">'Uso e Consumo'!A323</f>
        <v>0335</v>
      </c>
      <c r="C323" s="34" t="str">
        <f aca="false">'Uso e Consumo'!B323</f>
        <v>UFV NORONHA VERDE - USO E CONSUMO</v>
      </c>
      <c r="D323" s="33" t="n">
        <f aca="false">'Uso e Consumo'!C323</f>
        <v>1601817</v>
      </c>
      <c r="E323" s="34" t="str">
        <f aca="false">'Uso e Consumo'!D323</f>
        <v>01.09.0400</v>
      </c>
      <c r="F323" s="34" t="str">
        <f aca="false">'Uso e Consumo'!E323</f>
        <v>PERFILADO ENRIJECIDO ACO GALVANIZADO A FOGO CHAPA 16 USG 38X38MM</v>
      </c>
      <c r="G323" s="34" t="str">
        <f aca="false">'Uso e Consumo'!J323</f>
        <v>M</v>
      </c>
      <c r="H323" s="49" t="n">
        <f aca="false">'Uso e Consumo'!F323</f>
        <v>72</v>
      </c>
      <c r="I323" s="35" t="n">
        <f aca="false">'Uso e Consumo'!G323</f>
        <v>5484.24</v>
      </c>
      <c r="J323" s="34" t="str">
        <f aca="false">'Uso e Consumo'!M323</f>
        <v>3.8.1.001 - Aços e trefilados</v>
      </c>
      <c r="K323" s="32" t="str">
        <f aca="false">INDEX('Curva ABC'!$K$8:$K$2847,MATCH(D323,'Curva ABC'!$B$8:$B$2847,0))</f>
        <v>B</v>
      </c>
    </row>
    <row r="324" customFormat="false" ht="15" hidden="false" customHeight="false" outlineLevel="0" collapsed="false">
      <c r="A324" s="34" t="s">
        <v>5799</v>
      </c>
      <c r="B324" s="34" t="str">
        <f aca="false">'Uso e Consumo'!A324</f>
        <v>0335</v>
      </c>
      <c r="C324" s="34" t="str">
        <f aca="false">'Uso e Consumo'!B324</f>
        <v>UFV NORONHA VERDE - USO E CONSUMO</v>
      </c>
      <c r="D324" s="33" t="n">
        <f aca="false">'Uso e Consumo'!C324</f>
        <v>1092762</v>
      </c>
      <c r="E324" s="34" t="str">
        <f aca="false">'Uso e Consumo'!D324</f>
        <v>32.07.0213</v>
      </c>
      <c r="F324" s="34" t="str">
        <f aca="false">'Uso e Consumo'!E324</f>
        <v>LIXADEIRA ELÉTRICA A BATERIA 4'DWALT</v>
      </c>
      <c r="G324" s="34" t="str">
        <f aca="false">'Uso e Consumo'!J324</f>
        <v>UN</v>
      </c>
      <c r="H324" s="49" t="n">
        <f aca="false">'Uso e Consumo'!F324</f>
        <v>3</v>
      </c>
      <c r="I324" s="35" t="n">
        <f aca="false">'Uso e Consumo'!G324</f>
        <v>5480</v>
      </c>
      <c r="J324" s="34" t="str">
        <f aca="false">'Uso e Consumo'!M324</f>
        <v>6.1.2.002 - Ferramentas e utensílios</v>
      </c>
      <c r="K324" s="32" t="str">
        <f aca="false">INDEX('Curva ABC'!$K$8:$K$2847,MATCH(D324,'Curva ABC'!$B$8:$B$2847,0))</f>
        <v>B</v>
      </c>
    </row>
    <row r="325" customFormat="false" ht="15" hidden="false" customHeight="false" outlineLevel="0" collapsed="false">
      <c r="A325" s="34" t="s">
        <v>5799</v>
      </c>
      <c r="B325" s="34" t="str">
        <f aca="false">'Uso e Consumo'!A325</f>
        <v>0335</v>
      </c>
      <c r="C325" s="34" t="str">
        <f aca="false">'Uso e Consumo'!B325</f>
        <v>UFV NORONHA VERDE - USO E CONSUMO</v>
      </c>
      <c r="D325" s="33" t="n">
        <f aca="false">'Uso e Consumo'!C325</f>
        <v>1261222</v>
      </c>
      <c r="E325" s="34" t="str">
        <f aca="false">'Uso e Consumo'!D325</f>
        <v>17.03.0603</v>
      </c>
      <c r="F325" s="34" t="str">
        <f aca="false">'Uso e Consumo'!E325</f>
        <v>CRUZETA DE FIBRA DE VIDRO 2,00M X 400DAN</v>
      </c>
      <c r="G325" s="34" t="str">
        <f aca="false">'Uso e Consumo'!J325</f>
        <v>UN</v>
      </c>
      <c r="H325" s="49" t="n">
        <f aca="false">'Uso e Consumo'!F325</f>
        <v>4</v>
      </c>
      <c r="I325" s="35" t="n">
        <f aca="false">'Uso e Consumo'!G325</f>
        <v>5453.53</v>
      </c>
      <c r="J325" s="34" t="str">
        <f aca="false">'Uso e Consumo'!M325</f>
        <v>3.8.1.017 - Instalações elétricas/telefônicas/lógica</v>
      </c>
      <c r="K325" s="32" t="str">
        <f aca="false">INDEX('Curva ABC'!$K$8:$K$2847,MATCH(D325,'Curva ABC'!$B$8:$B$2847,0))</f>
        <v>B</v>
      </c>
    </row>
    <row r="326" customFormat="false" ht="15" hidden="false" customHeight="false" outlineLevel="0" collapsed="false">
      <c r="A326" s="34" t="s">
        <v>5799</v>
      </c>
      <c r="B326" s="34" t="str">
        <f aca="false">'Uso e Consumo'!A326</f>
        <v>0335</v>
      </c>
      <c r="C326" s="34" t="str">
        <f aca="false">'Uso e Consumo'!B326</f>
        <v>UFV NORONHA VERDE - USO E CONSUMO</v>
      </c>
      <c r="D326" s="33" t="n">
        <f aca="false">'Uso e Consumo'!C326</f>
        <v>58184</v>
      </c>
      <c r="E326" s="34" t="str">
        <f aca="false">'Uso e Consumo'!D326</f>
        <v>26.13.0069</v>
      </c>
      <c r="F326" s="34" t="str">
        <f aca="false">'Uso e Consumo'!E326</f>
        <v>BATA MANGA LONGA TAMANHO XG - FORRO NO OMBRO, GOLA COM VELCRO, 3 BOLSOS, LOGOMARCA NAS COSTAS, 02 AR</v>
      </c>
      <c r="G326" s="34" t="str">
        <f aca="false">'Uso e Consumo'!J326</f>
        <v>UN</v>
      </c>
      <c r="H326" s="49" t="n">
        <f aca="false">'Uso e Consumo'!F326</f>
        <v>99</v>
      </c>
      <c r="I326" s="35" t="n">
        <f aca="false">'Uso e Consumo'!G326</f>
        <v>5445</v>
      </c>
      <c r="J326" s="34" t="str">
        <f aca="false">'Uso e Consumo'!M326</f>
        <v>4.3.4.003 - Fardamentos</v>
      </c>
      <c r="K326" s="32" t="str">
        <f aca="false">INDEX('Curva ABC'!$K$8:$K$2847,MATCH(D326,'Curva ABC'!$B$8:$B$2847,0))</f>
        <v>B</v>
      </c>
    </row>
    <row r="327" customFormat="false" ht="15" hidden="false" customHeight="false" outlineLevel="0" collapsed="false">
      <c r="A327" s="34" t="s">
        <v>5799</v>
      </c>
      <c r="B327" s="34" t="str">
        <f aca="false">'Uso e Consumo'!A327</f>
        <v>0335</v>
      </c>
      <c r="C327" s="34" t="str">
        <f aca="false">'Uso e Consumo'!B327</f>
        <v>UFV NORONHA VERDE - USO E CONSUMO</v>
      </c>
      <c r="D327" s="33" t="n">
        <f aca="false">'Uso e Consumo'!C327</f>
        <v>1476311</v>
      </c>
      <c r="E327" s="34" t="str">
        <f aca="false">'Uso e Consumo'!D327</f>
        <v>24.41.0408</v>
      </c>
      <c r="F327" s="34" t="str">
        <f aca="false">'Uso e Consumo'!E327</f>
        <v>MATRIZ TERMINAL BIMETÁLICO 240MM²</v>
      </c>
      <c r="G327" s="34" t="str">
        <f aca="false">'Uso e Consumo'!J327</f>
        <v>UN</v>
      </c>
      <c r="H327" s="49" t="n">
        <f aca="false">'Uso e Consumo'!F327</f>
        <v>4</v>
      </c>
      <c r="I327" s="35" t="n">
        <f aca="false">'Uso e Consumo'!G327</f>
        <v>5440</v>
      </c>
      <c r="J327" s="34" t="str">
        <f aca="false">'Uso e Consumo'!M327</f>
        <v>3.8.1.001 - Aços e trefilados</v>
      </c>
      <c r="K327" s="32" t="str">
        <f aca="false">INDEX('Curva ABC'!$K$8:$K$2847,MATCH(D327,'Curva ABC'!$B$8:$B$2847,0))</f>
        <v>B</v>
      </c>
    </row>
    <row r="328" customFormat="false" ht="15" hidden="false" customHeight="false" outlineLevel="0" collapsed="false">
      <c r="A328" s="34" t="s">
        <v>5799</v>
      </c>
      <c r="B328" s="34" t="str">
        <f aca="false">'Uso e Consumo'!A328</f>
        <v>0335</v>
      </c>
      <c r="C328" s="34" t="str">
        <f aca="false">'Uso e Consumo'!B328</f>
        <v>UFV NORONHA VERDE - USO E CONSUMO</v>
      </c>
      <c r="D328" s="33" t="n">
        <f aca="false">'Uso e Consumo'!C328</f>
        <v>743151</v>
      </c>
      <c r="E328" s="34" t="str">
        <f aca="false">'Uso e Consumo'!D328</f>
        <v>17.01.0990</v>
      </c>
      <c r="F328" s="34" t="str">
        <f aca="false">'Uso e Consumo'!E328</f>
        <v>CONJUNTO TERMINAL DESCONECTAVEL TIPO PLUG-IN PARA CABOS DE ALUMÍNIO 185 MM² - 35KV - 630A</v>
      </c>
      <c r="G328" s="34" t="str">
        <f aca="false">'Uso e Consumo'!J328</f>
        <v>UN</v>
      </c>
      <c r="H328" s="49" t="n">
        <f aca="false">'Uso e Consumo'!F328</f>
        <v>4</v>
      </c>
      <c r="I328" s="35" t="n">
        <f aca="false">'Uso e Consumo'!G328</f>
        <v>5419.01</v>
      </c>
      <c r="J328" s="34" t="str">
        <f aca="false">'Uso e Consumo'!M328</f>
        <v>3.8.1.017 - Instalações elétricas/telefônicas/lógica</v>
      </c>
      <c r="K328" s="32" t="str">
        <f aca="false">INDEX('Curva ABC'!$K$8:$K$2847,MATCH(D328,'Curva ABC'!$B$8:$B$2847,0))</f>
        <v>B</v>
      </c>
    </row>
    <row r="329" customFormat="false" ht="15" hidden="false" customHeight="false" outlineLevel="0" collapsed="false">
      <c r="A329" s="34" t="s">
        <v>5799</v>
      </c>
      <c r="B329" s="34" t="str">
        <f aca="false">'Uso e Consumo'!A329</f>
        <v>0335</v>
      </c>
      <c r="C329" s="34" t="str">
        <f aca="false">'Uso e Consumo'!B329</f>
        <v>UFV NORONHA VERDE - USO E CONSUMO</v>
      </c>
      <c r="D329" s="33" t="n">
        <f aca="false">'Uso e Consumo'!C329</f>
        <v>1465407</v>
      </c>
      <c r="E329" s="34" t="str">
        <f aca="false">'Uso e Consumo'!D329</f>
        <v>01.10.0259</v>
      </c>
      <c r="F329" s="34" t="str">
        <f aca="false">'Uso e Consumo'!E329</f>
        <v>SUPORTE DE FIXAÇÃO DA CALHA - BARRA CHATA DOBRADA EM AÇO 3/16"</v>
      </c>
      <c r="G329" s="34" t="str">
        <f aca="false">'Uso e Consumo'!J329</f>
        <v>UN</v>
      </c>
      <c r="H329" s="49" t="n">
        <f aca="false">'Uso e Consumo'!F329</f>
        <v>44</v>
      </c>
      <c r="I329" s="35" t="n">
        <f aca="false">'Uso e Consumo'!G329</f>
        <v>5416</v>
      </c>
      <c r="J329" s="34" t="str">
        <f aca="false">'Uso e Consumo'!M329</f>
        <v>3.8.1.001 - Aços e trefilados</v>
      </c>
      <c r="K329" s="32" t="str">
        <f aca="false">INDEX('Curva ABC'!$K$8:$K$2847,MATCH(D329,'Curva ABC'!$B$8:$B$2847,0))</f>
        <v>B</v>
      </c>
    </row>
    <row r="330" customFormat="false" ht="15" hidden="false" customHeight="false" outlineLevel="0" collapsed="false">
      <c r="A330" s="34" t="s">
        <v>5799</v>
      </c>
      <c r="B330" s="34" t="str">
        <f aca="false">'Uso e Consumo'!A330</f>
        <v>0335</v>
      </c>
      <c r="C330" s="34" t="str">
        <f aca="false">'Uso e Consumo'!B330</f>
        <v>UFV NORONHA VERDE - USO E CONSUMO</v>
      </c>
      <c r="D330" s="33" t="n">
        <f aca="false">'Uso e Consumo'!C330</f>
        <v>1328053</v>
      </c>
      <c r="E330" s="34" t="str">
        <f aca="false">'Uso e Consumo'!D330</f>
        <v>08.02.0080</v>
      </c>
      <c r="F330" s="34" t="str">
        <f aca="false">'Uso e Consumo'!E330</f>
        <v>BLOCO 19 X 39 X 19 FCK &gt; OU IGUAL 8MPA</v>
      </c>
      <c r="G330" s="34" t="str">
        <f aca="false">'Uso e Consumo'!J330</f>
        <v>UN</v>
      </c>
      <c r="H330" s="49" t="n">
        <f aca="false">'Uso e Consumo'!F330</f>
        <v>756</v>
      </c>
      <c r="I330" s="35" t="n">
        <f aca="false">'Uso e Consumo'!G330</f>
        <v>5390.28</v>
      </c>
      <c r="J330" s="34" t="str">
        <f aca="false">'Uso e Consumo'!M330</f>
        <v>3.8.1.018 - Instalações hidráulicas/sanitárias/industriais</v>
      </c>
      <c r="K330" s="32" t="str">
        <f aca="false">INDEX('Curva ABC'!$K$8:$K$2847,MATCH(D330,'Curva ABC'!$B$8:$B$2847,0))</f>
        <v>B</v>
      </c>
    </row>
    <row r="331" customFormat="false" ht="15" hidden="false" customHeight="false" outlineLevel="0" collapsed="false">
      <c r="A331" s="34" t="s">
        <v>5799</v>
      </c>
      <c r="B331" s="34" t="str">
        <f aca="false">'Uso e Consumo'!A331</f>
        <v>0335</v>
      </c>
      <c r="C331" s="34" t="str">
        <f aca="false">'Uso e Consumo'!B331</f>
        <v>UFV NORONHA VERDE - USO E CONSUMO</v>
      </c>
      <c r="D331" s="33" t="n">
        <f aca="false">'Uso e Consumo'!C331</f>
        <v>1311276</v>
      </c>
      <c r="E331" s="34" t="str">
        <f aca="false">'Uso e Consumo'!D331</f>
        <v>24.23.0036</v>
      </c>
      <c r="F331" s="34" t="str">
        <f aca="false">'Uso e Consumo'!E331</f>
        <v>BOMBA PULVERIZADORA AGRÍCOLA MOTOR 6.5HP</v>
      </c>
      <c r="G331" s="34" t="str">
        <f aca="false">'Uso e Consumo'!J331</f>
        <v>UN</v>
      </c>
      <c r="H331" s="49" t="n">
        <f aca="false">'Uso e Consumo'!F331</f>
        <v>1</v>
      </c>
      <c r="I331" s="35" t="n">
        <f aca="false">'Uso e Consumo'!G331</f>
        <v>5335</v>
      </c>
      <c r="J331" s="34" t="str">
        <f aca="false">'Uso e Consumo'!M331</f>
        <v>3.8.2.002 - Ferramentas manuais</v>
      </c>
      <c r="K331" s="32" t="str">
        <f aca="false">INDEX('Curva ABC'!$K$8:$K$2847,MATCH(D331,'Curva ABC'!$B$8:$B$2847,0))</f>
        <v>B</v>
      </c>
    </row>
    <row r="332" customFormat="false" ht="15" hidden="false" customHeight="false" outlineLevel="0" collapsed="false">
      <c r="A332" s="34" t="s">
        <v>5799</v>
      </c>
      <c r="B332" s="34" t="str">
        <f aca="false">'Uso e Consumo'!A332</f>
        <v>0335</v>
      </c>
      <c r="C332" s="34" t="str">
        <f aca="false">'Uso e Consumo'!B332</f>
        <v>UFV NORONHA VERDE - USO E CONSUMO</v>
      </c>
      <c r="D332" s="33" t="n">
        <f aca="false">'Uso e Consumo'!C332</f>
        <v>55346</v>
      </c>
      <c r="E332" s="34" t="str">
        <f aca="false">'Uso e Consumo'!D332</f>
        <v>17.16.0120</v>
      </c>
      <c r="F332" s="34" t="str">
        <f aca="false">'Uso e Consumo'!E332</f>
        <v>TERMINAL COMPRESSÃO 10MM</v>
      </c>
      <c r="G332" s="34" t="str">
        <f aca="false">'Uso e Consumo'!J332</f>
        <v>UN</v>
      </c>
      <c r="H332" s="49" t="n">
        <f aca="false">'Uso e Consumo'!F332</f>
        <v>1045</v>
      </c>
      <c r="I332" s="35" t="n">
        <f aca="false">'Uso e Consumo'!G332</f>
        <v>5317.08</v>
      </c>
      <c r="J332" s="34" t="str">
        <f aca="false">'Uso e Consumo'!M332</f>
        <v>3.8.1.017 - Instalações elétricas/telefônicas/lógica</v>
      </c>
      <c r="K332" s="32" t="str">
        <f aca="false">INDEX('Curva ABC'!$K$8:$K$2847,MATCH(D332,'Curva ABC'!$B$8:$B$2847,0))</f>
        <v>B</v>
      </c>
    </row>
    <row r="333" customFormat="false" ht="15" hidden="false" customHeight="false" outlineLevel="0" collapsed="false">
      <c r="A333" s="34" t="s">
        <v>5799</v>
      </c>
      <c r="B333" s="34" t="str">
        <f aca="false">'Uso e Consumo'!A333</f>
        <v>0335</v>
      </c>
      <c r="C333" s="34" t="str">
        <f aca="false">'Uso e Consumo'!B333</f>
        <v>UFV NORONHA VERDE - USO E CONSUMO</v>
      </c>
      <c r="D333" s="33" t="n">
        <f aca="false">'Uso e Consumo'!C333</f>
        <v>1604881</v>
      </c>
      <c r="E333" s="34" t="str">
        <f aca="false">'Uso e Consumo'!D333</f>
        <v>24.42.0026</v>
      </c>
      <c r="F333" s="34" t="str">
        <f aca="false">'Uso e Consumo'!E333</f>
        <v>MARTELETE PERFURADOR A BATERIA </v>
      </c>
      <c r="G333" s="34" t="str">
        <f aca="false">'Uso e Consumo'!J333</f>
        <v>UN</v>
      </c>
      <c r="H333" s="49" t="n">
        <f aca="false">'Uso e Consumo'!F333</f>
        <v>2</v>
      </c>
      <c r="I333" s="35" t="n">
        <f aca="false">'Uso e Consumo'!G333</f>
        <v>5284.52</v>
      </c>
      <c r="J333" s="34" t="str">
        <f aca="false">'Uso e Consumo'!M333</f>
        <v>3.8.2.003 - Ferramentas elétricas/pneumáticas</v>
      </c>
      <c r="K333" s="32" t="str">
        <f aca="false">INDEX('Curva ABC'!$K$8:$K$2847,MATCH(D333,'Curva ABC'!$B$8:$B$2847,0))</f>
        <v>B</v>
      </c>
    </row>
    <row r="334" customFormat="false" ht="15" hidden="false" customHeight="false" outlineLevel="0" collapsed="false">
      <c r="A334" s="34" t="s">
        <v>5799</v>
      </c>
      <c r="B334" s="34" t="str">
        <f aca="false">'Uso e Consumo'!A334</f>
        <v>0335</v>
      </c>
      <c r="C334" s="34" t="str">
        <f aca="false">'Uso e Consumo'!B334</f>
        <v>UFV NORONHA VERDE - USO E CONSUMO</v>
      </c>
      <c r="D334" s="33" t="n">
        <f aca="false">'Uso e Consumo'!C334</f>
        <v>1476383</v>
      </c>
      <c r="E334" s="34" t="str">
        <f aca="false">'Uso e Consumo'!D334</f>
        <v>24.41.0409</v>
      </c>
      <c r="F334" s="34" t="str">
        <f aca="false">'Uso e Consumo'!E334</f>
        <v>MATRIZ TERMINAL BIMETÁLICO 400/500MM²</v>
      </c>
      <c r="G334" s="34" t="str">
        <f aca="false">'Uso e Consumo'!J334</f>
        <v>UN</v>
      </c>
      <c r="H334" s="49" t="n">
        <f aca="false">'Uso e Consumo'!F334</f>
        <v>2</v>
      </c>
      <c r="I334" s="35" t="n">
        <f aca="false">'Uso e Consumo'!G334</f>
        <v>5260</v>
      </c>
      <c r="J334" s="34" t="str">
        <f aca="false">'Uso e Consumo'!M334</f>
        <v>3.8.1.001 - Aços e trefilados</v>
      </c>
      <c r="K334" s="32" t="str">
        <f aca="false">INDEX('Curva ABC'!$K$8:$K$2847,MATCH(D334,'Curva ABC'!$B$8:$B$2847,0))</f>
        <v>B</v>
      </c>
    </row>
    <row r="335" customFormat="false" ht="15" hidden="false" customHeight="false" outlineLevel="0" collapsed="false">
      <c r="A335" s="34" t="s">
        <v>5799</v>
      </c>
      <c r="B335" s="34" t="str">
        <f aca="false">'Uso e Consumo'!A335</f>
        <v>0335</v>
      </c>
      <c r="C335" s="34" t="str">
        <f aca="false">'Uso e Consumo'!B335</f>
        <v>UFV NORONHA VERDE - USO E CONSUMO</v>
      </c>
      <c r="D335" s="33" t="n">
        <f aca="false">'Uso e Consumo'!C335</f>
        <v>11494</v>
      </c>
      <c r="E335" s="34" t="str">
        <f aca="false">'Uso e Consumo'!D335</f>
        <v>13.01.0008</v>
      </c>
      <c r="F335" s="34" t="str">
        <f aca="false">'Uso e Consumo'!E335</f>
        <v>PORTA LAMINADA MADEIRA 0,80M X 2,10M</v>
      </c>
      <c r="G335" s="34" t="str">
        <f aca="false">'Uso e Consumo'!J335</f>
        <v>UN</v>
      </c>
      <c r="H335" s="49" t="n">
        <f aca="false">'Uso e Consumo'!F335</f>
        <v>35</v>
      </c>
      <c r="I335" s="35" t="n">
        <f aca="false">'Uso e Consumo'!G335</f>
        <v>5250</v>
      </c>
      <c r="J335" s="34" t="str">
        <f aca="false">'Uso e Consumo'!M335</f>
        <v>3.8.1.013 - Esquadrias e vidros</v>
      </c>
      <c r="K335" s="32" t="str">
        <f aca="false">INDEX('Curva ABC'!$K$8:$K$2847,MATCH(D335,'Curva ABC'!$B$8:$B$2847,0))</f>
        <v>B</v>
      </c>
    </row>
    <row r="336" customFormat="false" ht="15" hidden="false" customHeight="false" outlineLevel="0" collapsed="false">
      <c r="A336" s="34" t="s">
        <v>5799</v>
      </c>
      <c r="B336" s="34" t="str">
        <f aca="false">'Uso e Consumo'!A336</f>
        <v>0335</v>
      </c>
      <c r="C336" s="34" t="str">
        <f aca="false">'Uso e Consumo'!B336</f>
        <v>UFV NORONHA VERDE - USO E CONSUMO</v>
      </c>
      <c r="D336" s="33" t="n">
        <f aca="false">'Uso e Consumo'!C336</f>
        <v>32796</v>
      </c>
      <c r="E336" s="34" t="str">
        <f aca="false">'Uso e Consumo'!D336</f>
        <v>01.10.0065</v>
      </c>
      <c r="F336" s="34" t="str">
        <f aca="false">'Uso e Consumo'!E336</f>
        <v>BARRA ROSCADA AÇO CARBONO GALVANIZADO UNC 3/8" 16 FIOS C/ 3,00M</v>
      </c>
      <c r="G336" s="34" t="str">
        <f aca="false">'Uso e Consumo'!J336</f>
        <v>PÇ3M</v>
      </c>
      <c r="H336" s="49" t="n">
        <f aca="false">'Uso e Consumo'!F336</f>
        <v>12</v>
      </c>
      <c r="I336" s="35" t="n">
        <f aca="false">'Uso e Consumo'!G336</f>
        <v>5232</v>
      </c>
      <c r="J336" s="34" t="str">
        <f aca="false">'Uso e Consumo'!M336</f>
        <v>3.8.1.001 - Aços e trefilados</v>
      </c>
      <c r="K336" s="32" t="str">
        <f aca="false">INDEX('Curva ABC'!$K$8:$K$2847,MATCH(D336,'Curva ABC'!$B$8:$B$2847,0))</f>
        <v>B</v>
      </c>
    </row>
    <row r="337" customFormat="false" ht="15" hidden="false" customHeight="false" outlineLevel="0" collapsed="false">
      <c r="A337" s="34" t="s">
        <v>5799</v>
      </c>
      <c r="B337" s="34" t="str">
        <f aca="false">'Uso e Consumo'!A337</f>
        <v>0335</v>
      </c>
      <c r="C337" s="34" t="str">
        <f aca="false">'Uso e Consumo'!B337</f>
        <v>UFV NORONHA VERDE - USO E CONSUMO</v>
      </c>
      <c r="D337" s="33" t="n">
        <f aca="false">'Uso e Consumo'!C337</f>
        <v>1606480</v>
      </c>
      <c r="E337" s="34" t="str">
        <f aca="false">'Uso e Consumo'!D337</f>
        <v>32.09.0162</v>
      </c>
      <c r="F337" s="34" t="str">
        <f aca="false">'Uso e Consumo'!E337</f>
        <v>BOMBA SUBMERSIVEL DE MANGOTE PARA MOTOVIBRADOR 2</v>
      </c>
      <c r="G337" s="34" t="str">
        <f aca="false">'Uso e Consumo'!J337</f>
        <v>UN</v>
      </c>
      <c r="H337" s="49" t="n">
        <f aca="false">'Uso e Consumo'!F337</f>
        <v>3</v>
      </c>
      <c r="I337" s="35" t="n">
        <f aca="false">'Uso e Consumo'!G337</f>
        <v>5220</v>
      </c>
      <c r="J337" s="34" t="str">
        <f aca="false">'Uso e Consumo'!M337</f>
        <v>6.1.2.001 - Equipamentos</v>
      </c>
      <c r="K337" s="32" t="str">
        <f aca="false">INDEX('Curva ABC'!$K$8:$K$2847,MATCH(D337,'Curva ABC'!$B$8:$B$2847,0))</f>
        <v>B</v>
      </c>
    </row>
    <row r="338" customFormat="false" ht="22.35" hidden="false" customHeight="false" outlineLevel="0" collapsed="false">
      <c r="A338" s="34" t="s">
        <v>5799</v>
      </c>
      <c r="B338" s="34" t="str">
        <f aca="false">'Uso e Consumo'!A338</f>
        <v>0335</v>
      </c>
      <c r="C338" s="34" t="str">
        <f aca="false">'Uso e Consumo'!B338</f>
        <v>UFV NORONHA VERDE - USO E CONSUMO</v>
      </c>
      <c r="D338" s="33" t="n">
        <f aca="false">'Uso e Consumo'!C338</f>
        <v>1475975</v>
      </c>
      <c r="E338" s="34" t="str">
        <f aca="false">'Uso e Consumo'!D338</f>
        <v>31.02.0188</v>
      </c>
      <c r="F338" s="50" t="str">
        <f aca="false">'Uso e Consumo'!E338</f>
        <v>ÓLEO DE MOTOR 2 TEMPOS (2T)
</v>
      </c>
      <c r="G338" s="34" t="str">
        <f aca="false">'Uso e Consumo'!J338</f>
        <v>UN</v>
      </c>
      <c r="H338" s="49" t="n">
        <f aca="false">'Uso e Consumo'!F338</f>
        <v>132</v>
      </c>
      <c r="I338" s="35" t="n">
        <f aca="false">'Uso e Consumo'!G338</f>
        <v>5213.6</v>
      </c>
      <c r="J338" s="34" t="str">
        <f aca="false">'Uso e Consumo'!M338</f>
        <v>3.1.6.001 - Combustível e lubrificantes</v>
      </c>
      <c r="K338" s="32" t="str">
        <f aca="false">INDEX('Curva ABC'!$K$8:$K$2847,MATCH(D338,'Curva ABC'!$B$8:$B$2847,0))</f>
        <v>B</v>
      </c>
    </row>
    <row r="339" customFormat="false" ht="15" hidden="false" customHeight="false" outlineLevel="0" collapsed="false">
      <c r="A339" s="34" t="s">
        <v>5799</v>
      </c>
      <c r="B339" s="34" t="str">
        <f aca="false">'Uso e Consumo'!A339</f>
        <v>0335</v>
      </c>
      <c r="C339" s="34" t="str">
        <f aca="false">'Uso e Consumo'!B339</f>
        <v>UFV NORONHA VERDE - USO E CONSUMO</v>
      </c>
      <c r="D339" s="33" t="n">
        <f aca="false">'Uso e Consumo'!C339</f>
        <v>1680418</v>
      </c>
      <c r="E339" s="34" t="str">
        <f aca="false">'Uso e Consumo'!D339</f>
        <v>02.04.0035</v>
      </c>
      <c r="F339" s="34" t="str">
        <f aca="false">'Uso e Consumo'!E339</f>
        <v>ARAME DE ACO GALVANIZADO LISO BWG 10</v>
      </c>
      <c r="G339" s="34" t="str">
        <f aca="false">'Uso e Consumo'!J339</f>
        <v>M</v>
      </c>
      <c r="H339" s="49" t="n">
        <f aca="false">'Uso e Consumo'!F339</f>
        <v>1200</v>
      </c>
      <c r="I339" s="35" t="n">
        <f aca="false">'Uso e Consumo'!G339</f>
        <v>5160</v>
      </c>
      <c r="J339" s="34" t="str">
        <f aca="false">'Uso e Consumo'!M339</f>
        <v>3.8.1.002 - Telas e arames</v>
      </c>
      <c r="K339" s="32" t="str">
        <f aca="false">INDEX('Curva ABC'!$K$8:$K$2847,MATCH(D339,'Curva ABC'!$B$8:$B$2847,0))</f>
        <v>B</v>
      </c>
    </row>
    <row r="340" customFormat="false" ht="15" hidden="false" customHeight="false" outlineLevel="0" collapsed="false">
      <c r="A340" s="34" t="s">
        <v>5799</v>
      </c>
      <c r="B340" s="34" t="str">
        <f aca="false">'Uso e Consumo'!A340</f>
        <v>0335</v>
      </c>
      <c r="C340" s="34" t="str">
        <f aca="false">'Uso e Consumo'!B340</f>
        <v>UFV NORONHA VERDE - USO E CONSUMO</v>
      </c>
      <c r="D340" s="33" t="n">
        <f aca="false">'Uso e Consumo'!C340</f>
        <v>293801</v>
      </c>
      <c r="E340" s="34" t="str">
        <f aca="false">'Uso e Consumo'!D340</f>
        <v>26.12.0099</v>
      </c>
      <c r="F340" s="34" t="str">
        <f aca="false">'Uso e Consumo'!E340</f>
        <v>TELA TAPUME POLIETILENO LARANJA 1,20M X 0,50M (MALHA 100 X 40MM)</v>
      </c>
      <c r="G340" s="34" t="str">
        <f aca="false">'Uso e Consumo'!J340</f>
        <v>UN</v>
      </c>
      <c r="H340" s="49" t="n">
        <f aca="false">'Uso e Consumo'!F340</f>
        <v>39</v>
      </c>
      <c r="I340" s="35" t="n">
        <f aca="false">'Uso e Consumo'!G340</f>
        <v>5142</v>
      </c>
      <c r="J340" s="34" t="str">
        <f aca="false">'Uso e Consumo'!M340</f>
        <v>4.3.4.002 - Equipamento de proteção e sinalização coletiva</v>
      </c>
      <c r="K340" s="32" t="str">
        <f aca="false">INDEX('Curva ABC'!$K$8:$K$2847,MATCH(D340,'Curva ABC'!$B$8:$B$2847,0))</f>
        <v>B</v>
      </c>
    </row>
    <row r="341" customFormat="false" ht="15" hidden="false" customHeight="false" outlineLevel="0" collapsed="false">
      <c r="A341" s="34" t="s">
        <v>5799</v>
      </c>
      <c r="B341" s="34" t="str">
        <f aca="false">'Uso e Consumo'!A341</f>
        <v>0335</v>
      </c>
      <c r="C341" s="34" t="str">
        <f aca="false">'Uso e Consumo'!B341</f>
        <v>UFV NORONHA VERDE - USO E CONSUMO</v>
      </c>
      <c r="D341" s="33" t="n">
        <f aca="false">'Uso e Consumo'!C341</f>
        <v>1677683</v>
      </c>
      <c r="E341" s="34" t="str">
        <f aca="false">'Uso e Consumo'!D341</f>
        <v>17.16.3907</v>
      </c>
      <c r="F341" s="34" t="str">
        <f aca="false">'Uso e Consumo'!E341</f>
        <v>TERMINACAO CONTRATIL A FRIO EXTERNA, 8,7/15 KV, PARA CABO 240 MM, COM ACESSORIOS, CONFORME NBR 9314</v>
      </c>
      <c r="G341" s="34" t="str">
        <f aca="false">'Uso e Consumo'!J341</f>
        <v>UN</v>
      </c>
      <c r="H341" s="49" t="n">
        <f aca="false">'Uso e Consumo'!F341</f>
        <v>12</v>
      </c>
      <c r="I341" s="35" t="n">
        <f aca="false">'Uso e Consumo'!G341</f>
        <v>5115.84</v>
      </c>
      <c r="J341" s="34" t="str">
        <f aca="false">'Uso e Consumo'!M341</f>
        <v>3.8.1.017 - Instalações elétricas/telefônicas/lógica</v>
      </c>
      <c r="K341" s="32" t="str">
        <f aca="false">INDEX('Curva ABC'!$K$8:$K$2847,MATCH(D341,'Curva ABC'!$B$8:$B$2847,0))</f>
        <v>B</v>
      </c>
    </row>
    <row r="342" customFormat="false" ht="15" hidden="false" customHeight="false" outlineLevel="0" collapsed="false">
      <c r="A342" s="34" t="s">
        <v>5799</v>
      </c>
      <c r="B342" s="34" t="str">
        <f aca="false">'Uso e Consumo'!A342</f>
        <v>0335</v>
      </c>
      <c r="C342" s="34" t="str">
        <f aca="false">'Uso e Consumo'!B342</f>
        <v>UFV NORONHA VERDE - USO E CONSUMO</v>
      </c>
      <c r="D342" s="33" t="n">
        <f aca="false">'Uso e Consumo'!C342</f>
        <v>1464163</v>
      </c>
      <c r="E342" s="34" t="str">
        <f aca="false">'Uso e Consumo'!D342</f>
        <v>32.12.0288</v>
      </c>
      <c r="F342" s="34" t="str">
        <f aca="false">'Uso e Consumo'!E342</f>
        <v>DINAMÔMETRO 3000 KGF</v>
      </c>
      <c r="G342" s="34" t="str">
        <f aca="false">'Uso e Consumo'!J342</f>
        <v>UN</v>
      </c>
      <c r="H342" s="49" t="n">
        <f aca="false">'Uso e Consumo'!F342</f>
        <v>1</v>
      </c>
      <c r="I342" s="35" t="n">
        <f aca="false">'Uso e Consumo'!G342</f>
        <v>5100</v>
      </c>
      <c r="J342" s="34" t="str">
        <f aca="false">'Uso e Consumo'!M342</f>
        <v>1.2.1.002 - Máquinas e equipamentos</v>
      </c>
      <c r="K342" s="32" t="str">
        <f aca="false">INDEX('Curva ABC'!$K$8:$K$2847,MATCH(D342,'Curva ABC'!$B$8:$B$2847,0))</f>
        <v>B</v>
      </c>
    </row>
    <row r="343" customFormat="false" ht="15" hidden="false" customHeight="false" outlineLevel="0" collapsed="false">
      <c r="A343" s="34" t="s">
        <v>5799</v>
      </c>
      <c r="B343" s="34" t="str">
        <f aca="false">'Uso e Consumo'!A343</f>
        <v>0335</v>
      </c>
      <c r="C343" s="34" t="str">
        <f aca="false">'Uso e Consumo'!B343</f>
        <v>UFV NORONHA VERDE - USO E CONSUMO</v>
      </c>
      <c r="D343" s="33" t="n">
        <f aca="false">'Uso e Consumo'!C343</f>
        <v>1467473</v>
      </c>
      <c r="E343" s="34" t="str">
        <f aca="false">'Uso e Consumo'!D343</f>
        <v>17.01.1288</v>
      </c>
      <c r="F343" s="34" t="str">
        <f aca="false">'Uso e Consumo'!E343</f>
        <v>CABO FLEXIVEL ATOX 35MM X 0,6/1 kV PRETO HEPR 90C - NBR 7286</v>
      </c>
      <c r="G343" s="34" t="str">
        <f aca="false">'Uso e Consumo'!J343</f>
        <v>M</v>
      </c>
      <c r="H343" s="49" t="n">
        <f aca="false">'Uso e Consumo'!F343</f>
        <v>120</v>
      </c>
      <c r="I343" s="35" t="n">
        <f aca="false">'Uso e Consumo'!G343</f>
        <v>5032.8</v>
      </c>
      <c r="J343" s="34" t="str">
        <f aca="false">'Uso e Consumo'!M343</f>
        <v>3.8.1.017 - Instalações elétricas/telefônicas/lógica</v>
      </c>
      <c r="K343" s="32" t="str">
        <f aca="false">INDEX('Curva ABC'!$K$8:$K$2847,MATCH(D343,'Curva ABC'!$B$8:$B$2847,0))</f>
        <v>B</v>
      </c>
    </row>
    <row r="344" customFormat="false" ht="15" hidden="false" customHeight="false" outlineLevel="0" collapsed="false">
      <c r="A344" s="34" t="s">
        <v>5799</v>
      </c>
      <c r="B344" s="34" t="str">
        <f aca="false">'Uso e Consumo'!A344</f>
        <v>0335</v>
      </c>
      <c r="C344" s="34" t="str">
        <f aca="false">'Uso e Consumo'!B344</f>
        <v>UFV NORONHA VERDE - USO E CONSUMO</v>
      </c>
      <c r="D344" s="33" t="n">
        <f aca="false">'Uso e Consumo'!C344</f>
        <v>1687476</v>
      </c>
      <c r="E344" s="34" t="str">
        <f aca="false">'Uso e Consumo'!D344</f>
        <v>32.02.0413</v>
      </c>
      <c r="F344" s="34" t="str">
        <f aca="false">'Uso e Consumo'!E344</f>
        <v>CINTA DE ELEVACAO CAPACIDADE  8,0T COM 8,0M</v>
      </c>
      <c r="G344" s="34" t="str">
        <f aca="false">'Uso e Consumo'!J344</f>
        <v>UN</v>
      </c>
      <c r="H344" s="49" t="n">
        <f aca="false">'Uso e Consumo'!F344</f>
        <v>4</v>
      </c>
      <c r="I344" s="35" t="n">
        <f aca="false">'Uso e Consumo'!G344</f>
        <v>5028.5</v>
      </c>
      <c r="J344" s="34" t="str">
        <f aca="false">'Uso e Consumo'!M344</f>
        <v>6.1.2.001 - Equipamentos</v>
      </c>
      <c r="K344" s="32" t="str">
        <f aca="false">INDEX('Curva ABC'!$K$8:$K$2847,MATCH(D344,'Curva ABC'!$B$8:$B$2847,0))</f>
        <v>B</v>
      </c>
    </row>
    <row r="345" customFormat="false" ht="15" hidden="false" customHeight="false" outlineLevel="0" collapsed="false">
      <c r="A345" s="34" t="s">
        <v>5799</v>
      </c>
      <c r="B345" s="34" t="str">
        <f aca="false">'Uso e Consumo'!A345</f>
        <v>0335</v>
      </c>
      <c r="C345" s="34" t="str">
        <f aca="false">'Uso e Consumo'!B345</f>
        <v>UFV NORONHA VERDE - USO E CONSUMO</v>
      </c>
      <c r="D345" s="33" t="n">
        <f aca="false">'Uso e Consumo'!C345</f>
        <v>1662431</v>
      </c>
      <c r="E345" s="34" t="str">
        <f aca="false">'Uso e Consumo'!D345</f>
        <v>01.09.0416</v>
      </c>
      <c r="F345" s="34" t="str">
        <f aca="false">'Uso e Consumo'!E345</f>
        <v>PERFIL "U" 101,6 (4") X 41,8 X 650 MM ACO GALV . A QUENTE ESP 6,35MM</v>
      </c>
      <c r="G345" s="34" t="str">
        <f aca="false">'Uso e Consumo'!J345</f>
        <v>UN</v>
      </c>
      <c r="H345" s="49" t="n">
        <f aca="false">'Uso e Consumo'!F345</f>
        <v>21</v>
      </c>
      <c r="I345" s="35" t="n">
        <f aca="false">'Uso e Consumo'!G345</f>
        <v>5027.4</v>
      </c>
      <c r="J345" s="34" t="str">
        <f aca="false">'Uso e Consumo'!M345</f>
        <v>3.8.1.001 - Aços e trefilados</v>
      </c>
      <c r="K345" s="32" t="str">
        <f aca="false">INDEX('Curva ABC'!$K$8:$K$2847,MATCH(D345,'Curva ABC'!$B$8:$B$2847,0))</f>
        <v>B</v>
      </c>
    </row>
    <row r="346" customFormat="false" ht="15" hidden="false" customHeight="false" outlineLevel="0" collapsed="false">
      <c r="A346" s="34" t="s">
        <v>5799</v>
      </c>
      <c r="B346" s="34" t="str">
        <f aca="false">'Uso e Consumo'!A346</f>
        <v>0335</v>
      </c>
      <c r="C346" s="34" t="str">
        <f aca="false">'Uso e Consumo'!B346</f>
        <v>UFV NORONHA VERDE - USO E CONSUMO</v>
      </c>
      <c r="D346" s="33" t="n">
        <f aca="false">'Uso e Consumo'!C346</f>
        <v>274524</v>
      </c>
      <c r="E346" s="34" t="str">
        <f aca="false">'Uso e Consumo'!D346</f>
        <v>25.13.0093</v>
      </c>
      <c r="F346" s="34" t="str">
        <f aca="false">'Uso e Consumo'!E346</f>
        <v>MANGOTE AZUL 2”</v>
      </c>
      <c r="G346" s="34" t="str">
        <f aca="false">'Uso e Consumo'!J346</f>
        <v>M</v>
      </c>
      <c r="H346" s="49" t="n">
        <f aca="false">'Uso e Consumo'!F346</f>
        <v>160</v>
      </c>
      <c r="I346" s="35" t="n">
        <f aca="false">'Uso e Consumo'!G346</f>
        <v>5024</v>
      </c>
      <c r="J346" s="34" t="str">
        <f aca="false">'Uso e Consumo'!M346</f>
        <v>3.8.1.018 - Instalações hidráulicas/sanitárias/industriais</v>
      </c>
      <c r="K346" s="32" t="str">
        <f aca="false">INDEX('Curva ABC'!$K$8:$K$2847,MATCH(D346,'Curva ABC'!$B$8:$B$2847,0))</f>
        <v>B</v>
      </c>
    </row>
    <row r="347" customFormat="false" ht="15" hidden="false" customHeight="false" outlineLevel="0" collapsed="false">
      <c r="A347" s="34" t="s">
        <v>5799</v>
      </c>
      <c r="B347" s="34" t="str">
        <f aca="false">'Uso e Consumo'!A347</f>
        <v>0335</v>
      </c>
      <c r="C347" s="34" t="str">
        <f aca="false">'Uso e Consumo'!B347</f>
        <v>UFV NORONHA VERDE - USO E CONSUMO</v>
      </c>
      <c r="D347" s="33" t="n">
        <f aca="false">'Uso e Consumo'!C347</f>
        <v>1465590</v>
      </c>
      <c r="E347" s="34" t="str">
        <f aca="false">'Uso e Consumo'!D347</f>
        <v>17.01.1250</v>
      </c>
      <c r="F347" s="34" t="str">
        <f aca="false">'Uso e Consumo'!E347</f>
        <v>CABO COBRE NU 25 MM², TÊMPERA MEIO DURA, ENCORDOAMENTO CLASSE 2A, FORM. 7 FIOS (Ø 2,06 MM), DN 6,18 MM, MASSA 0,211 KG/M</v>
      </c>
      <c r="G347" s="34" t="str">
        <f aca="false">'Uso e Consumo'!J347</f>
        <v>M</v>
      </c>
      <c r="H347" s="49" t="n">
        <f aca="false">'Uso e Consumo'!F347</f>
        <v>140</v>
      </c>
      <c r="I347" s="35" t="n">
        <f aca="false">'Uso e Consumo'!G347</f>
        <v>5014.2</v>
      </c>
      <c r="J347" s="34" t="str">
        <f aca="false">'Uso e Consumo'!M347</f>
        <v>3.8.1.017 - Instalações elétricas/telefônicas/lógica</v>
      </c>
      <c r="K347" s="32" t="str">
        <f aca="false">INDEX('Curva ABC'!$K$8:$K$2847,MATCH(D347,'Curva ABC'!$B$8:$B$2847,0))</f>
        <v>B</v>
      </c>
    </row>
    <row r="348" customFormat="false" ht="15" hidden="false" customHeight="false" outlineLevel="0" collapsed="false">
      <c r="A348" s="34" t="s">
        <v>5799</v>
      </c>
      <c r="B348" s="34" t="str">
        <f aca="false">'Uso e Consumo'!A348</f>
        <v>0335</v>
      </c>
      <c r="C348" s="34" t="str">
        <f aca="false">'Uso e Consumo'!B348</f>
        <v>UFV NORONHA VERDE - USO E CONSUMO</v>
      </c>
      <c r="D348" s="33" t="n">
        <f aca="false">'Uso e Consumo'!C348</f>
        <v>11238</v>
      </c>
      <c r="E348" s="34" t="str">
        <f aca="false">'Uso e Consumo'!D348</f>
        <v>09.07.0002</v>
      </c>
      <c r="F348" s="34" t="str">
        <f aca="false">'Uso e Consumo'!E348</f>
        <v>MEIO-FIO CONCRETO PRÉ-MOLDADO 0,10M X 0,30M X 1,00M NBR 9062</v>
      </c>
      <c r="G348" s="34" t="str">
        <f aca="false">'Uso e Consumo'!J348</f>
        <v>UN</v>
      </c>
      <c r="H348" s="49" t="n">
        <f aca="false">'Uso e Consumo'!F348</f>
        <v>210</v>
      </c>
      <c r="I348" s="35" t="n">
        <f aca="false">'Uso e Consumo'!G348</f>
        <v>4935</v>
      </c>
      <c r="J348" s="34" t="str">
        <f aca="false">'Uso e Consumo'!M348</f>
        <v>3.8.1.009 - Artefatos pré-moldados de concreto</v>
      </c>
      <c r="K348" s="32" t="str">
        <f aca="false">INDEX('Curva ABC'!$K$8:$K$2847,MATCH(D348,'Curva ABC'!$B$8:$B$2847,0))</f>
        <v>B</v>
      </c>
    </row>
    <row r="349" customFormat="false" ht="15" hidden="false" customHeight="false" outlineLevel="0" collapsed="false">
      <c r="A349" s="34" t="s">
        <v>5799</v>
      </c>
      <c r="B349" s="34" t="str">
        <f aca="false">'Uso e Consumo'!A349</f>
        <v>0335</v>
      </c>
      <c r="C349" s="34" t="str">
        <f aca="false">'Uso e Consumo'!B349</f>
        <v>UFV NORONHA VERDE - USO E CONSUMO</v>
      </c>
      <c r="D349" s="33" t="n">
        <f aca="false">'Uso e Consumo'!C349</f>
        <v>1672762</v>
      </c>
      <c r="E349" s="34" t="str">
        <f aca="false">'Uso e Consumo'!D349</f>
        <v>09.07.0016</v>
      </c>
      <c r="F349" s="34" t="str">
        <f aca="false">'Uso e Consumo'!E349</f>
        <v>MEIO FIO PRE MOLDADO DE CONCRETO COM SARJETA H 0,30 M LARGURA DA SARJETA 0,20 M</v>
      </c>
      <c r="G349" s="34" t="str">
        <f aca="false">'Uso e Consumo'!J349</f>
        <v>M</v>
      </c>
      <c r="H349" s="49" t="n">
        <f aca="false">'Uso e Consumo'!F349</f>
        <v>210</v>
      </c>
      <c r="I349" s="35" t="n">
        <f aca="false">'Uso e Consumo'!G349</f>
        <v>4935</v>
      </c>
      <c r="J349" s="34" t="str">
        <f aca="false">'Uso e Consumo'!M349</f>
        <v>3.8.1.009 - Artefatos pré-moldados de concreto</v>
      </c>
      <c r="K349" s="32" t="str">
        <f aca="false">INDEX('Curva ABC'!$K$8:$K$2847,MATCH(D349,'Curva ABC'!$B$8:$B$2847,0))</f>
        <v>B</v>
      </c>
    </row>
    <row r="350" customFormat="false" ht="15" hidden="false" customHeight="false" outlineLevel="0" collapsed="false">
      <c r="A350" s="34" t="s">
        <v>5799</v>
      </c>
      <c r="B350" s="34" t="str">
        <f aca="false">'Uso e Consumo'!A350</f>
        <v>0335</v>
      </c>
      <c r="C350" s="34" t="str">
        <f aca="false">'Uso e Consumo'!B350</f>
        <v>UFV NORONHA VERDE - USO E CONSUMO</v>
      </c>
      <c r="D350" s="33" t="n">
        <f aca="false">'Uso e Consumo'!C350</f>
        <v>1383031</v>
      </c>
      <c r="E350" s="34" t="str">
        <f aca="false">'Uso e Consumo'!D350</f>
        <v>19.14.0078</v>
      </c>
      <c r="F350" s="34" t="str">
        <f aca="false">'Uso e Consumo'!E350</f>
        <v>TERMINAL MUFLA CABO CU EPR 105° - 150 MM² - 8.7 - 15 KV</v>
      </c>
      <c r="G350" s="34" t="str">
        <f aca="false">'Uso e Consumo'!J350</f>
        <v>UN</v>
      </c>
      <c r="H350" s="49" t="n">
        <f aca="false">'Uso e Consumo'!F350</f>
        <v>10</v>
      </c>
      <c r="I350" s="35" t="n">
        <f aca="false">'Uso e Consumo'!G350</f>
        <v>4928.76</v>
      </c>
      <c r="J350" s="34" t="str">
        <f aca="false">'Uso e Consumo'!M350</f>
        <v>3.1.6.002 - Pneus e peças</v>
      </c>
      <c r="K350" s="32" t="str">
        <f aca="false">INDEX('Curva ABC'!$K$8:$K$2847,MATCH(D350,'Curva ABC'!$B$8:$B$2847,0))</f>
        <v>B</v>
      </c>
    </row>
    <row r="351" customFormat="false" ht="15" hidden="false" customHeight="false" outlineLevel="0" collapsed="false">
      <c r="A351" s="34" t="s">
        <v>5799</v>
      </c>
      <c r="B351" s="34" t="str">
        <f aca="false">'Uso e Consumo'!A351</f>
        <v>0335</v>
      </c>
      <c r="C351" s="34" t="str">
        <f aca="false">'Uso e Consumo'!B351</f>
        <v>UFV NORONHA VERDE - USO E CONSUMO</v>
      </c>
      <c r="D351" s="33" t="n">
        <f aca="false">'Uso e Consumo'!C351</f>
        <v>1464478</v>
      </c>
      <c r="E351" s="34" t="str">
        <f aca="false">'Uso e Consumo'!D351</f>
        <v>16.03.0501</v>
      </c>
      <c r="F351" s="34" t="str">
        <f aca="false">'Uso e Consumo'!E351</f>
        <v>TINTA ACRÍLICA ACETINADA BRANCA, LATA DE 18L </v>
      </c>
      <c r="G351" s="34" t="str">
        <f aca="false">'Uso e Consumo'!J351</f>
        <v>UN</v>
      </c>
      <c r="H351" s="49" t="n">
        <f aca="false">'Uso e Consumo'!F351</f>
        <v>8</v>
      </c>
      <c r="I351" s="35" t="n">
        <f aca="false">'Uso e Consumo'!G351</f>
        <v>4825.2</v>
      </c>
      <c r="J351" s="34" t="str">
        <f aca="false">'Uso e Consumo'!M351</f>
        <v>3.8.1.016 - Pinturas</v>
      </c>
      <c r="K351" s="32" t="str">
        <f aca="false">INDEX('Curva ABC'!$K$8:$K$2847,MATCH(D351,'Curva ABC'!$B$8:$B$2847,0))</f>
        <v>B</v>
      </c>
    </row>
    <row r="352" customFormat="false" ht="15" hidden="false" customHeight="false" outlineLevel="0" collapsed="false">
      <c r="A352" s="34" t="s">
        <v>5799</v>
      </c>
      <c r="B352" s="34" t="str">
        <f aca="false">'Uso e Consumo'!A352</f>
        <v>0335</v>
      </c>
      <c r="C352" s="34" t="str">
        <f aca="false">'Uso e Consumo'!B352</f>
        <v>UFV NORONHA VERDE - USO E CONSUMO</v>
      </c>
      <c r="D352" s="33" t="n">
        <f aca="false">'Uso e Consumo'!C352</f>
        <v>1319425</v>
      </c>
      <c r="E352" s="34" t="str">
        <f aca="false">'Uso e Consumo'!D352</f>
        <v>28.01.0715</v>
      </c>
      <c r="F352" s="34" t="str">
        <f aca="false">'Uso e Consumo'!E352</f>
        <v>PLACA DE SINALIZAÇÃO 70X100CM - CHAPA DE ZINCO - COM BARROTE</v>
      </c>
      <c r="G352" s="34" t="str">
        <f aca="false">'Uso e Consumo'!J352</f>
        <v>UN</v>
      </c>
      <c r="H352" s="49" t="n">
        <f aca="false">'Uso e Consumo'!F352</f>
        <v>16</v>
      </c>
      <c r="I352" s="35" t="n">
        <f aca="false">'Uso e Consumo'!G352</f>
        <v>4811.68</v>
      </c>
      <c r="J352" s="34" t="str">
        <f aca="false">'Uso e Consumo'!M352</f>
        <v>3.8.1.023 - Comunicação visual e sinalização</v>
      </c>
      <c r="K352" s="32" t="str">
        <f aca="false">INDEX('Curva ABC'!$K$8:$K$2847,MATCH(D352,'Curva ABC'!$B$8:$B$2847,0))</f>
        <v>B</v>
      </c>
    </row>
    <row r="353" customFormat="false" ht="15" hidden="false" customHeight="false" outlineLevel="0" collapsed="false">
      <c r="A353" s="34" t="s">
        <v>5799</v>
      </c>
      <c r="B353" s="34" t="str">
        <f aca="false">'Uso e Consumo'!A353</f>
        <v>0335</v>
      </c>
      <c r="C353" s="34" t="str">
        <f aca="false">'Uso e Consumo'!B353</f>
        <v>UFV NORONHA VERDE - USO E CONSUMO</v>
      </c>
      <c r="D353" s="33" t="n">
        <f aca="false">'Uso e Consumo'!C353</f>
        <v>1476239</v>
      </c>
      <c r="E353" s="34" t="str">
        <f aca="false">'Uso e Consumo'!D353</f>
        <v>24.41.0405</v>
      </c>
      <c r="F353" s="34" t="str">
        <f aca="false">'Uso e Consumo'!E353</f>
        <v>MATRIZ ALICATE HIDRÁULICO CCO-50-50</v>
      </c>
      <c r="G353" s="34" t="str">
        <f aca="false">'Uso e Consumo'!J353</f>
        <v>UN</v>
      </c>
      <c r="H353" s="49" t="n">
        <f aca="false">'Uso e Consumo'!F353</f>
        <v>4</v>
      </c>
      <c r="I353" s="35" t="n">
        <f aca="false">'Uso e Consumo'!G353</f>
        <v>4800</v>
      </c>
      <c r="J353" s="34" t="str">
        <f aca="false">'Uso e Consumo'!M353</f>
        <v>3.8.1.001 - Aços e trefilados</v>
      </c>
      <c r="K353" s="32" t="str">
        <f aca="false">INDEX('Curva ABC'!$K$8:$K$2847,MATCH(D353,'Curva ABC'!$B$8:$B$2847,0))</f>
        <v>B</v>
      </c>
    </row>
    <row r="354" customFormat="false" ht="15" hidden="false" customHeight="false" outlineLevel="0" collapsed="false">
      <c r="A354" s="34" t="s">
        <v>5799</v>
      </c>
      <c r="B354" s="34" t="str">
        <f aca="false">'Uso e Consumo'!A354</f>
        <v>0335</v>
      </c>
      <c r="C354" s="34" t="str">
        <f aca="false">'Uso e Consumo'!B354</f>
        <v>UFV NORONHA VERDE - USO E CONSUMO</v>
      </c>
      <c r="D354" s="33" t="n">
        <f aca="false">'Uso e Consumo'!C354</f>
        <v>22694</v>
      </c>
      <c r="E354" s="34" t="str">
        <f aca="false">'Uso e Consumo'!D354</f>
        <v>18.08.0157</v>
      </c>
      <c r="F354" s="34" t="str">
        <f aca="false">'Uso e Consumo'!E354</f>
        <v>SIFÃO COPO PVC PARA PIA AMERICANA 1.1/2” X 1.1/2”</v>
      </c>
      <c r="G354" s="34" t="str">
        <f aca="false">'Uso e Consumo'!J354</f>
        <v>UN</v>
      </c>
      <c r="H354" s="49" t="n">
        <f aca="false">'Uso e Consumo'!F354</f>
        <v>73</v>
      </c>
      <c r="I354" s="35" t="n">
        <f aca="false">'Uso e Consumo'!G354</f>
        <v>4745</v>
      </c>
      <c r="J354" s="34" t="str">
        <f aca="false">'Uso e Consumo'!M354</f>
        <v>3.8.1.018 - Instalações hidráulicas/sanitárias/industriais</v>
      </c>
      <c r="K354" s="32" t="str">
        <f aca="false">INDEX('Curva ABC'!$K$8:$K$2847,MATCH(D354,'Curva ABC'!$B$8:$B$2847,0))</f>
        <v>B</v>
      </c>
    </row>
    <row r="355" customFormat="false" ht="15" hidden="false" customHeight="false" outlineLevel="0" collapsed="false">
      <c r="A355" s="34" t="s">
        <v>5799</v>
      </c>
      <c r="B355" s="34" t="str">
        <f aca="false">'Uso e Consumo'!A355</f>
        <v>0335</v>
      </c>
      <c r="C355" s="34" t="str">
        <f aca="false">'Uso e Consumo'!B355</f>
        <v>UFV NORONHA VERDE - USO E CONSUMO</v>
      </c>
      <c r="D355" s="33" t="n">
        <f aca="false">'Uso e Consumo'!C355</f>
        <v>145318</v>
      </c>
      <c r="E355" s="34" t="str">
        <f aca="false">'Uso e Consumo'!D355</f>
        <v>09.08.0018</v>
      </c>
      <c r="F355" s="34" t="str">
        <f aca="false">'Uso e Consumo'!E355</f>
        <v>MALETA DE FERRAMENTAS MPU</v>
      </c>
      <c r="G355" s="34" t="str">
        <f aca="false">'Uso e Consumo'!J355</f>
        <v>pç</v>
      </c>
      <c r="H355" s="49" t="n">
        <f aca="false">'Uso e Consumo'!F355</f>
        <v>1</v>
      </c>
      <c r="I355" s="35" t="n">
        <f aca="false">'Uso e Consumo'!G355</f>
        <v>4730</v>
      </c>
      <c r="J355" s="34" t="str">
        <f aca="false">'Uso e Consumo'!M355</f>
        <v>3.8.1.009 - Artefatos pré-moldados de concreto</v>
      </c>
      <c r="K355" s="32" t="str">
        <f aca="false">INDEX('Curva ABC'!$K$8:$K$2847,MATCH(D355,'Curva ABC'!$B$8:$B$2847,0))</f>
        <v>B</v>
      </c>
    </row>
    <row r="356" customFormat="false" ht="15" hidden="false" customHeight="false" outlineLevel="0" collapsed="false">
      <c r="A356" s="34" t="s">
        <v>5799</v>
      </c>
      <c r="B356" s="34" t="str">
        <f aca="false">'Uso e Consumo'!A356</f>
        <v>0335</v>
      </c>
      <c r="C356" s="34" t="str">
        <f aca="false">'Uso e Consumo'!B356</f>
        <v>UFV NORONHA VERDE - USO E CONSUMO</v>
      </c>
      <c r="D356" s="33" t="n">
        <f aca="false">'Uso e Consumo'!C356</f>
        <v>1679656</v>
      </c>
      <c r="E356" s="34" t="str">
        <f aca="false">'Uso e Consumo'!D356</f>
        <v>13.02.0382</v>
      </c>
      <c r="F356" s="34" t="str">
        <f aca="false">'Uso e Consumo'!E356</f>
        <v>PORTA VENEZIANA DE ALUMINIO FOLHA SIMPLES 0,70 X 2,10 M</v>
      </c>
      <c r="G356" s="34" t="str">
        <f aca="false">'Uso e Consumo'!J356</f>
        <v>UN</v>
      </c>
      <c r="H356" s="49" t="n">
        <f aca="false">'Uso e Consumo'!F356</f>
        <v>4</v>
      </c>
      <c r="I356" s="35" t="n">
        <f aca="false">'Uso e Consumo'!G356</f>
        <v>4704</v>
      </c>
      <c r="J356" s="34" t="str">
        <f aca="false">'Uso e Consumo'!M356</f>
        <v>3.8.1.013 - Esquadrias e vidros</v>
      </c>
      <c r="K356" s="32" t="str">
        <f aca="false">INDEX('Curva ABC'!$K$8:$K$2847,MATCH(D356,'Curva ABC'!$B$8:$B$2847,0))</f>
        <v>B</v>
      </c>
    </row>
    <row r="357" customFormat="false" ht="15" hidden="false" customHeight="false" outlineLevel="0" collapsed="false">
      <c r="A357" s="34" t="s">
        <v>5799</v>
      </c>
      <c r="B357" s="34" t="str">
        <f aca="false">'Uso e Consumo'!A357</f>
        <v>0335</v>
      </c>
      <c r="C357" s="34" t="str">
        <f aca="false">'Uso e Consumo'!B357</f>
        <v>UFV NORONHA VERDE - USO E CONSUMO</v>
      </c>
      <c r="D357" s="33" t="n">
        <f aca="false">'Uso e Consumo'!C357</f>
        <v>1386845</v>
      </c>
      <c r="E357" s="34" t="str">
        <f aca="false">'Uso e Consumo'!D357</f>
        <v>17.22.0138</v>
      </c>
      <c r="F357" s="34" t="str">
        <f aca="false">'Uso e Consumo'!E357</f>
        <v>CINTA POSTE CIRCULAR Ø470 5000DAN</v>
      </c>
      <c r="G357" s="34" t="str">
        <f aca="false">'Uso e Consumo'!J357</f>
        <v>UN</v>
      </c>
      <c r="H357" s="49" t="n">
        <f aca="false">'Uso e Consumo'!F357</f>
        <v>28</v>
      </c>
      <c r="I357" s="35" t="n">
        <f aca="false">'Uso e Consumo'!G357</f>
        <v>4702.04</v>
      </c>
      <c r="J357" s="34" t="str">
        <f aca="false">'Uso e Consumo'!M357</f>
        <v>3.8.1.022 - Elementos de fixação</v>
      </c>
      <c r="K357" s="32" t="str">
        <f aca="false">INDEX('Curva ABC'!$K$8:$K$2847,MATCH(D357,'Curva ABC'!$B$8:$B$2847,0))</f>
        <v>B</v>
      </c>
    </row>
    <row r="358" customFormat="false" ht="15" hidden="false" customHeight="false" outlineLevel="0" collapsed="false">
      <c r="A358" s="34" t="s">
        <v>5799</v>
      </c>
      <c r="B358" s="34" t="str">
        <f aca="false">'Uso e Consumo'!A358</f>
        <v>0335</v>
      </c>
      <c r="C358" s="34" t="str">
        <f aca="false">'Uso e Consumo'!B358</f>
        <v>UFV NORONHA VERDE - USO E CONSUMO</v>
      </c>
      <c r="D358" s="33" t="n">
        <f aca="false">'Uso e Consumo'!C358</f>
        <v>259864</v>
      </c>
      <c r="E358" s="34" t="str">
        <f aca="false">'Uso e Consumo'!D358</f>
        <v>30.03.0293</v>
      </c>
      <c r="F358" s="34" t="str">
        <f aca="false">'Uso e Consumo'!E358</f>
        <v>SACO DE LIXO SEM IMPRESSÃO 400 LITROS – PACOTE C/ 100 UNID</v>
      </c>
      <c r="G358" s="34" t="str">
        <f aca="false">'Uso e Consumo'!J358</f>
        <v>UN</v>
      </c>
      <c r="H358" s="49" t="n">
        <f aca="false">'Uso e Consumo'!F358</f>
        <v>30</v>
      </c>
      <c r="I358" s="35" t="n">
        <f aca="false">'Uso e Consumo'!G358</f>
        <v>4665</v>
      </c>
      <c r="J358" s="34" t="str">
        <f aca="false">'Uso e Consumo'!M358</f>
        <v>4.1.1.003 - Material limpeza</v>
      </c>
      <c r="K358" s="32" t="str">
        <f aca="false">INDEX('Curva ABC'!$K$8:$K$2847,MATCH(D358,'Curva ABC'!$B$8:$B$2847,0))</f>
        <v>B</v>
      </c>
    </row>
    <row r="359" customFormat="false" ht="15" hidden="false" customHeight="false" outlineLevel="0" collapsed="false">
      <c r="A359" s="34" t="s">
        <v>5799</v>
      </c>
      <c r="B359" s="34" t="str">
        <f aca="false">'Uso e Consumo'!A359</f>
        <v>0335</v>
      </c>
      <c r="C359" s="34" t="str">
        <f aca="false">'Uso e Consumo'!B359</f>
        <v>UFV NORONHA VERDE - USO E CONSUMO</v>
      </c>
      <c r="D359" s="33" t="n">
        <f aca="false">'Uso e Consumo'!C359</f>
        <v>1674330</v>
      </c>
      <c r="E359" s="34" t="str">
        <f aca="false">'Uso e Consumo'!D359</f>
        <v>13.02.0375</v>
      </c>
      <c r="F359" s="34" t="str">
        <f aca="false">'Uso e Consumo'!E359</f>
        <v>PORTA DE GIRO DE DUAS FOLHAS EM ALUMINIO COM PINTURA ELETROSTATICA PRETA E VIDRO TEMPERADO INCOLOR 8 MM (2,10 X 2,00 M)</v>
      </c>
      <c r="G359" s="34" t="str">
        <f aca="false">'Uso e Consumo'!J359</f>
        <v>UN</v>
      </c>
      <c r="H359" s="49" t="n">
        <f aca="false">'Uso e Consumo'!F359</f>
        <v>1</v>
      </c>
      <c r="I359" s="35" t="n">
        <f aca="false">'Uso e Consumo'!G359</f>
        <v>4620</v>
      </c>
      <c r="J359" s="34" t="str">
        <f aca="false">'Uso e Consumo'!M359</f>
        <v>3.8.1.013 - Esquadrias e vidros</v>
      </c>
      <c r="K359" s="32" t="str">
        <f aca="false">INDEX('Curva ABC'!$K$8:$K$2847,MATCH(D359,'Curva ABC'!$B$8:$B$2847,0))</f>
        <v>B</v>
      </c>
    </row>
    <row r="360" customFormat="false" ht="15" hidden="false" customHeight="false" outlineLevel="0" collapsed="false">
      <c r="A360" s="34" t="s">
        <v>5799</v>
      </c>
      <c r="B360" s="34" t="str">
        <f aca="false">'Uso e Consumo'!A360</f>
        <v>0335</v>
      </c>
      <c r="C360" s="34" t="str">
        <f aca="false">'Uso e Consumo'!B360</f>
        <v>UFV NORONHA VERDE - USO E CONSUMO</v>
      </c>
      <c r="D360" s="33" t="n">
        <f aca="false">'Uso e Consumo'!C360</f>
        <v>1674331</v>
      </c>
      <c r="E360" s="34" t="str">
        <f aca="false">'Uso e Consumo'!D360</f>
        <v>13.02.0376</v>
      </c>
      <c r="F360" s="34" t="str">
        <f aca="false">'Uso e Consumo'!E360</f>
        <v>PORTA DE GIRO DE UMA FOLHA EM ALUMINIO COM PINTURA ELETROSTATICA PRETA E VIDRO TEMPERADO INCOLOR 8 MM (2,10 X 1,00 M)</v>
      </c>
      <c r="G360" s="34" t="str">
        <f aca="false">'Uso e Consumo'!J360</f>
        <v>UN</v>
      </c>
      <c r="H360" s="49" t="n">
        <f aca="false">'Uso e Consumo'!F360</f>
        <v>2</v>
      </c>
      <c r="I360" s="35" t="n">
        <f aca="false">'Uso e Consumo'!G360</f>
        <v>4620</v>
      </c>
      <c r="J360" s="34" t="str">
        <f aca="false">'Uso e Consumo'!M360</f>
        <v>3.8.1.013 - Esquadrias e vidros</v>
      </c>
      <c r="K360" s="32" t="str">
        <f aca="false">INDEX('Curva ABC'!$K$8:$K$2847,MATCH(D360,'Curva ABC'!$B$8:$B$2847,0))</f>
        <v>B</v>
      </c>
    </row>
    <row r="361" customFormat="false" ht="15" hidden="false" customHeight="false" outlineLevel="0" collapsed="false">
      <c r="A361" s="34" t="s">
        <v>5799</v>
      </c>
      <c r="B361" s="34" t="str">
        <f aca="false">'Uso e Consumo'!A361</f>
        <v>0335</v>
      </c>
      <c r="C361" s="34" t="str">
        <f aca="false">'Uso e Consumo'!B361</f>
        <v>UFV NORONHA VERDE - USO E CONSUMO</v>
      </c>
      <c r="D361" s="33" t="n">
        <f aca="false">'Uso e Consumo'!C361</f>
        <v>1478260</v>
      </c>
      <c r="E361" s="34" t="str">
        <f aca="false">'Uso e Consumo'!D361</f>
        <v>01.09.0394</v>
      </c>
      <c r="F361" s="34" t="str">
        <f aca="false">'Uso e Consumo'!E361</f>
        <v>PERFIL "U" EM EPS 19MM X 70MM X 19MM COMPRIMENTO 3 M</v>
      </c>
      <c r="G361" s="34" t="str">
        <f aca="false">'Uso e Consumo'!J361</f>
        <v>M2</v>
      </c>
      <c r="H361" s="49" t="n">
        <f aca="false">'Uso e Consumo'!F361</f>
        <v>39.796</v>
      </c>
      <c r="I361" s="35" t="n">
        <f aca="false">'Uso e Consumo'!G361</f>
        <v>4603.15</v>
      </c>
      <c r="J361" s="34" t="str">
        <f aca="false">'Uso e Consumo'!M361</f>
        <v>3.8.1.001 - Aços e trefilados</v>
      </c>
      <c r="K361" s="32" t="str">
        <f aca="false">INDEX('Curva ABC'!$K$8:$K$2847,MATCH(D361,'Curva ABC'!$B$8:$B$2847,0))</f>
        <v>B</v>
      </c>
    </row>
    <row r="362" customFormat="false" ht="15" hidden="false" customHeight="false" outlineLevel="0" collapsed="false">
      <c r="A362" s="34" t="s">
        <v>5799</v>
      </c>
      <c r="B362" s="34" t="str">
        <f aca="false">'Uso e Consumo'!A362</f>
        <v>0335</v>
      </c>
      <c r="C362" s="34" t="str">
        <f aca="false">'Uso e Consumo'!B362</f>
        <v>UFV NORONHA VERDE - USO E CONSUMO</v>
      </c>
      <c r="D362" s="33" t="n">
        <f aca="false">'Uso e Consumo'!C362</f>
        <v>1387038</v>
      </c>
      <c r="E362" s="34" t="str">
        <f aca="false">'Uso e Consumo'!D362</f>
        <v>09.21.0415</v>
      </c>
      <c r="F362" s="34" t="str">
        <f aca="false">'Uso e Consumo'!E362</f>
        <v>MÃO FRANCESA PLANA 3/16" - 619 MM</v>
      </c>
      <c r="G362" s="34" t="str">
        <f aca="false">'Uso e Consumo'!J362</f>
        <v>UN</v>
      </c>
      <c r="H362" s="49" t="n">
        <f aca="false">'Uso e Consumo'!F362</f>
        <v>344</v>
      </c>
      <c r="I362" s="35" t="n">
        <f aca="false">'Uso e Consumo'!G362</f>
        <v>4521.03</v>
      </c>
      <c r="J362" s="34" t="str">
        <f aca="false">'Uso e Consumo'!M362</f>
        <v>3.8.1.001 - Aços e trefilados</v>
      </c>
      <c r="K362" s="32" t="str">
        <f aca="false">INDEX('Curva ABC'!$K$8:$K$2847,MATCH(D362,'Curva ABC'!$B$8:$B$2847,0))</f>
        <v>B</v>
      </c>
    </row>
    <row r="363" customFormat="false" ht="15" hidden="false" customHeight="false" outlineLevel="0" collapsed="false">
      <c r="A363" s="34" t="s">
        <v>5799</v>
      </c>
      <c r="B363" s="34" t="str">
        <f aca="false">'Uso e Consumo'!A363</f>
        <v>0335</v>
      </c>
      <c r="C363" s="34" t="str">
        <f aca="false">'Uso e Consumo'!B363</f>
        <v>UFV NORONHA VERDE - USO E CONSUMO</v>
      </c>
      <c r="D363" s="33" t="n">
        <f aca="false">'Uso e Consumo'!C363</f>
        <v>1088162</v>
      </c>
      <c r="E363" s="34" t="str">
        <f aca="false">'Uso e Consumo'!D363</f>
        <v>33.03.0212</v>
      </c>
      <c r="F363" s="34" t="str">
        <f aca="false">'Uso e Consumo'!E363</f>
        <v>CÂMARA DE AR 19.5/24</v>
      </c>
      <c r="G363" s="34" t="str">
        <f aca="false">'Uso e Consumo'!J363</f>
        <v>UN</v>
      </c>
      <c r="H363" s="49" t="n">
        <f aca="false">'Uso e Consumo'!F363</f>
        <v>10</v>
      </c>
      <c r="I363" s="35" t="n">
        <f aca="false">'Uso e Consumo'!G363</f>
        <v>4500</v>
      </c>
      <c r="J363" s="34" t="str">
        <f aca="false">'Uso e Consumo'!M363</f>
        <v>3.1.6.002 - Pneus e peças</v>
      </c>
      <c r="K363" s="32" t="str">
        <f aca="false">INDEX('Curva ABC'!$K$8:$K$2847,MATCH(D363,'Curva ABC'!$B$8:$B$2847,0))</f>
        <v>B</v>
      </c>
    </row>
    <row r="364" customFormat="false" ht="15" hidden="false" customHeight="false" outlineLevel="0" collapsed="false">
      <c r="A364" s="34" t="s">
        <v>5799</v>
      </c>
      <c r="B364" s="34" t="str">
        <f aca="false">'Uso e Consumo'!A364</f>
        <v>0335</v>
      </c>
      <c r="C364" s="34" t="str">
        <f aca="false">'Uso e Consumo'!B364</f>
        <v>UFV NORONHA VERDE - USO E CONSUMO</v>
      </c>
      <c r="D364" s="33" t="n">
        <f aca="false">'Uso e Consumo'!C364</f>
        <v>1672549</v>
      </c>
      <c r="E364" s="34" t="str">
        <f aca="false">'Uso e Consumo'!D364</f>
        <v>09.08.0081</v>
      </c>
      <c r="F364" s="34" t="str">
        <f aca="false">'Uso e Consumo'!E364</f>
        <v>TAMPA DE CONCRETO ARMADO 40 X 96 X 6 CM</v>
      </c>
      <c r="G364" s="34" t="str">
        <f aca="false">'Uso e Consumo'!J364</f>
        <v>UN</v>
      </c>
      <c r="H364" s="49" t="n">
        <f aca="false">'Uso e Consumo'!F364</f>
        <v>50</v>
      </c>
      <c r="I364" s="35" t="n">
        <f aca="false">'Uso e Consumo'!G364</f>
        <v>4493</v>
      </c>
      <c r="J364" s="34" t="str">
        <f aca="false">'Uso e Consumo'!M364</f>
        <v>3.8.1.009 - Artefatos pré-moldados de concreto</v>
      </c>
      <c r="K364" s="32" t="str">
        <f aca="false">INDEX('Curva ABC'!$K$8:$K$2847,MATCH(D364,'Curva ABC'!$B$8:$B$2847,0))</f>
        <v>B</v>
      </c>
    </row>
    <row r="365" customFormat="false" ht="15" hidden="false" customHeight="false" outlineLevel="0" collapsed="false">
      <c r="A365" s="34" t="s">
        <v>5799</v>
      </c>
      <c r="B365" s="34" t="str">
        <f aca="false">'Uso e Consumo'!A365</f>
        <v>0335</v>
      </c>
      <c r="C365" s="34" t="str">
        <f aca="false">'Uso e Consumo'!B365</f>
        <v>UFV NORONHA VERDE - USO E CONSUMO</v>
      </c>
      <c r="D365" s="33" t="n">
        <f aca="false">'Uso e Consumo'!C365</f>
        <v>1672555</v>
      </c>
      <c r="E365" s="34" t="str">
        <f aca="false">'Uso e Consumo'!D365</f>
        <v>09.08.0086</v>
      </c>
      <c r="F365" s="34" t="str">
        <f aca="false">'Uso e Consumo'!E365</f>
        <v>TAMPA REFORCADA DE CONCRETO ARMADO 30 X 80 X 20 CM</v>
      </c>
      <c r="G365" s="34" t="str">
        <f aca="false">'Uso e Consumo'!J365</f>
        <v>UN</v>
      </c>
      <c r="H365" s="49" t="n">
        <f aca="false">'Uso e Consumo'!F365</f>
        <v>24</v>
      </c>
      <c r="I365" s="35" t="n">
        <f aca="false">'Uso e Consumo'!G365</f>
        <v>4492.8</v>
      </c>
      <c r="J365" s="34" t="str">
        <f aca="false">'Uso e Consumo'!M365</f>
        <v>3.8.1.009 - Artefatos pré-moldados de concreto</v>
      </c>
      <c r="K365" s="32" t="str">
        <f aca="false">INDEX('Curva ABC'!$K$8:$K$2847,MATCH(D365,'Curva ABC'!$B$8:$B$2847,0))</f>
        <v>B</v>
      </c>
    </row>
    <row r="366" customFormat="false" ht="15" hidden="false" customHeight="false" outlineLevel="0" collapsed="false">
      <c r="A366" s="34" t="s">
        <v>5799</v>
      </c>
      <c r="B366" s="34" t="str">
        <f aca="false">'Uso e Consumo'!A366</f>
        <v>0335</v>
      </c>
      <c r="C366" s="34" t="str">
        <f aca="false">'Uso e Consumo'!B366</f>
        <v>UFV NORONHA VERDE - USO E CONSUMO</v>
      </c>
      <c r="D366" s="33" t="n">
        <f aca="false">'Uso e Consumo'!C366</f>
        <v>1259179</v>
      </c>
      <c r="E366" s="34" t="str">
        <f aca="false">'Uso e Consumo'!D366</f>
        <v>01.09.0358</v>
      </c>
      <c r="F366" s="34" t="str">
        <f aca="false">'Uso e Consumo'!E366</f>
        <v>CANTONEIRA 50MM X 50MM NA CHAPA 0,5MM X COMPRIMENTO DE 3 METROS CHAPA PRÉ PINTADA INTERNA COR: BRANCO</v>
      </c>
      <c r="G366" s="34" t="str">
        <f aca="false">'Uso e Consumo'!J366</f>
        <v>UN</v>
      </c>
      <c r="H366" s="49" t="n">
        <f aca="false">'Uso e Consumo'!F366</f>
        <v>180</v>
      </c>
      <c r="I366" s="35" t="n">
        <f aca="false">'Uso e Consumo'!G366</f>
        <v>4482</v>
      </c>
      <c r="J366" s="34" t="str">
        <f aca="false">'Uso e Consumo'!M366</f>
        <v>3.8.1.001 - Aços e trefilados</v>
      </c>
      <c r="K366" s="32" t="str">
        <f aca="false">INDEX('Curva ABC'!$K$8:$K$2847,MATCH(D366,'Curva ABC'!$B$8:$B$2847,0))</f>
        <v>B</v>
      </c>
    </row>
    <row r="367" customFormat="false" ht="15" hidden="false" customHeight="false" outlineLevel="0" collapsed="false">
      <c r="A367" s="34" t="s">
        <v>5799</v>
      </c>
      <c r="B367" s="34" t="str">
        <f aca="false">'Uso e Consumo'!A367</f>
        <v>0335</v>
      </c>
      <c r="C367" s="34" t="str">
        <f aca="false">'Uso e Consumo'!B367</f>
        <v>UFV NORONHA VERDE - USO E CONSUMO</v>
      </c>
      <c r="D367" s="33" t="n">
        <f aca="false">'Uso e Consumo'!C367</f>
        <v>1387274</v>
      </c>
      <c r="E367" s="34" t="str">
        <f aca="false">'Uso e Consumo'!D367</f>
        <v>08.02.0082</v>
      </c>
      <c r="F367" s="34" t="str">
        <f aca="false">'Uso e Consumo'!E367</f>
        <v>BLOCO DE CONCRETO CANALETA U 19x19x39CM</v>
      </c>
      <c r="G367" s="34" t="str">
        <f aca="false">'Uso e Consumo'!J367</f>
        <v>UN</v>
      </c>
      <c r="H367" s="49" t="n">
        <f aca="false">'Uso e Consumo'!F367</f>
        <v>514</v>
      </c>
      <c r="I367" s="35" t="n">
        <f aca="false">'Uso e Consumo'!G367</f>
        <v>4456.38</v>
      </c>
      <c r="J367" s="34" t="str">
        <f aca="false">'Uso e Consumo'!M367</f>
        <v>3.8.1.008 - Blocos, painéis e divisórias</v>
      </c>
      <c r="K367" s="32" t="str">
        <f aca="false">INDEX('Curva ABC'!$K$8:$K$2847,MATCH(D367,'Curva ABC'!$B$8:$B$2847,0))</f>
        <v>B</v>
      </c>
    </row>
    <row r="368" customFormat="false" ht="15" hidden="false" customHeight="false" outlineLevel="0" collapsed="false">
      <c r="A368" s="34" t="s">
        <v>5799</v>
      </c>
      <c r="B368" s="34" t="str">
        <f aca="false">'Uso e Consumo'!A368</f>
        <v>0335</v>
      </c>
      <c r="C368" s="34" t="str">
        <f aca="false">'Uso e Consumo'!B368</f>
        <v>UFV NORONHA VERDE - USO E CONSUMO</v>
      </c>
      <c r="D368" s="33" t="n">
        <f aca="false">'Uso e Consumo'!C368</f>
        <v>1113619</v>
      </c>
      <c r="E368" s="34" t="str">
        <f aca="false">'Uso e Consumo'!D368</f>
        <v>23.09.0037</v>
      </c>
      <c r="F368" s="34" t="str">
        <f aca="false">'Uso e Consumo'!E368</f>
        <v>GANCHO OLHAL EM AÇO CARBONO GALVANIZADO 80MM TRAÇÃO DE RUPTURA 5000daN</v>
      </c>
      <c r="G368" s="34" t="str">
        <f aca="false">'Uso e Consumo'!J368</f>
        <v>UN</v>
      </c>
      <c r="H368" s="49" t="n">
        <f aca="false">'Uso e Consumo'!F368</f>
        <v>328</v>
      </c>
      <c r="I368" s="35" t="n">
        <f aca="false">'Uso e Consumo'!G368</f>
        <v>4418.16</v>
      </c>
      <c r="J368" s="34" t="str">
        <f aca="false">'Uso e Consumo'!M368</f>
        <v>3.8.1.022 - Elementos de fixação</v>
      </c>
      <c r="K368" s="32" t="str">
        <f aca="false">INDEX('Curva ABC'!$K$8:$K$2847,MATCH(D368,'Curva ABC'!$B$8:$B$2847,0))</f>
        <v>B</v>
      </c>
    </row>
    <row r="369" customFormat="false" ht="15" hidden="false" customHeight="false" outlineLevel="0" collapsed="false">
      <c r="A369" s="34" t="s">
        <v>5799</v>
      </c>
      <c r="B369" s="34" t="str">
        <f aca="false">'Uso e Consumo'!A369</f>
        <v>0335</v>
      </c>
      <c r="C369" s="34" t="str">
        <f aca="false">'Uso e Consumo'!B369</f>
        <v>UFV NORONHA VERDE - USO E CONSUMO</v>
      </c>
      <c r="D369" s="33" t="n">
        <f aca="false">'Uso e Consumo'!C369</f>
        <v>1311230</v>
      </c>
      <c r="E369" s="34" t="str">
        <f aca="false">'Uso e Consumo'!D369</f>
        <v>30.03.0545</v>
      </c>
      <c r="F369" s="34" t="str">
        <f aca="false">'Uso e Consumo'!E369</f>
        <v>LAVADOR DE VIDROS 45 CM LUVA C/ CABO </v>
      </c>
      <c r="G369" s="34" t="str">
        <f aca="false">'Uso e Consumo'!J369</f>
        <v>UN</v>
      </c>
      <c r="H369" s="49" t="n">
        <f aca="false">'Uso e Consumo'!F369</f>
        <v>10</v>
      </c>
      <c r="I369" s="35" t="n">
        <f aca="false">'Uso e Consumo'!G369</f>
        <v>4413.5</v>
      </c>
      <c r="J369" s="34" t="str">
        <f aca="false">'Uso e Consumo'!M369</f>
        <v>3.1.1.003 - Material limpeza</v>
      </c>
      <c r="K369" s="32" t="str">
        <f aca="false">INDEX('Curva ABC'!$K$8:$K$2847,MATCH(D369,'Curva ABC'!$B$8:$B$2847,0))</f>
        <v>B</v>
      </c>
    </row>
    <row r="370" customFormat="false" ht="15" hidden="false" customHeight="false" outlineLevel="0" collapsed="false">
      <c r="A370" s="34" t="s">
        <v>5799</v>
      </c>
      <c r="B370" s="34" t="str">
        <f aca="false">'Uso e Consumo'!A370</f>
        <v>0335</v>
      </c>
      <c r="C370" s="34" t="str">
        <f aca="false">'Uso e Consumo'!B370</f>
        <v>UFV NORONHA VERDE - USO E CONSUMO</v>
      </c>
      <c r="D370" s="33" t="n">
        <f aca="false">'Uso e Consumo'!C370</f>
        <v>1470933</v>
      </c>
      <c r="E370" s="34" t="str">
        <f aca="false">'Uso e Consumo'!D370</f>
        <v>18.01.1655</v>
      </c>
      <c r="F370" s="34" t="str">
        <f aca="false">'Uso e Consumo'!E370</f>
        <v>TUBO PEAD CORRUGADO NÃO PERFURADO P/ DRENAGEM 300 MM</v>
      </c>
      <c r="G370" s="34" t="str">
        <f aca="false">'Uso e Consumo'!J370</f>
        <v>M</v>
      </c>
      <c r="H370" s="49" t="n">
        <f aca="false">'Uso e Consumo'!F370</f>
        <v>30</v>
      </c>
      <c r="I370" s="35" t="n">
        <f aca="false">'Uso e Consumo'!G370</f>
        <v>4400</v>
      </c>
      <c r="J370" s="34" t="str">
        <f aca="false">'Uso e Consumo'!M370</f>
        <v>3.8.1.018 - Instalações hidráulicas/sanitárias/industriais</v>
      </c>
      <c r="K370" s="32" t="str">
        <f aca="false">INDEX('Curva ABC'!$K$8:$K$2847,MATCH(D370,'Curva ABC'!$B$8:$B$2847,0))</f>
        <v>B</v>
      </c>
    </row>
    <row r="371" customFormat="false" ht="15" hidden="false" customHeight="false" outlineLevel="0" collapsed="false">
      <c r="A371" s="34" t="s">
        <v>5799</v>
      </c>
      <c r="B371" s="34" t="str">
        <f aca="false">'Uso e Consumo'!A371</f>
        <v>0335</v>
      </c>
      <c r="C371" s="34" t="str">
        <f aca="false">'Uso e Consumo'!B371</f>
        <v>UFV NORONHA VERDE - USO E CONSUMO</v>
      </c>
      <c r="D371" s="33" t="n">
        <f aca="false">'Uso e Consumo'!C371</f>
        <v>1383151</v>
      </c>
      <c r="E371" s="34" t="str">
        <f aca="false">'Uso e Consumo'!D371</f>
        <v>18.02.0752</v>
      </c>
      <c r="F371" s="34" t="str">
        <f aca="false">'Uso e Consumo'!E371</f>
        <v>TUBO DE AÇO GALVANIZADO 6" RIR BSP (NBR-5598) - 3000 MM COM LUVA</v>
      </c>
      <c r="G371" s="34" t="str">
        <f aca="false">'Uso e Consumo'!J371</f>
        <v>UN</v>
      </c>
      <c r="H371" s="49" t="n">
        <f aca="false">'Uso e Consumo'!F371</f>
        <v>3</v>
      </c>
      <c r="I371" s="35" t="n">
        <f aca="false">'Uso e Consumo'!G371</f>
        <v>4394.87</v>
      </c>
      <c r="J371" s="34" t="str">
        <f aca="false">'Uso e Consumo'!M371</f>
        <v>3.8.1.018 - Instalações hidráulicas/sanitárias/industriais</v>
      </c>
      <c r="K371" s="32" t="str">
        <f aca="false">INDEX('Curva ABC'!$K$8:$K$2847,MATCH(D371,'Curva ABC'!$B$8:$B$2847,0))</f>
        <v>B</v>
      </c>
    </row>
    <row r="372" customFormat="false" ht="15" hidden="false" customHeight="false" outlineLevel="0" collapsed="false">
      <c r="A372" s="34" t="s">
        <v>5799</v>
      </c>
      <c r="B372" s="34" t="str">
        <f aca="false">'Uso e Consumo'!A372</f>
        <v>0335</v>
      </c>
      <c r="C372" s="34" t="str">
        <f aca="false">'Uso e Consumo'!B372</f>
        <v>UFV NORONHA VERDE - USO E CONSUMO</v>
      </c>
      <c r="D372" s="33" t="n">
        <f aca="false">'Uso e Consumo'!C372</f>
        <v>884972</v>
      </c>
      <c r="E372" s="34" t="str">
        <f aca="false">'Uso e Consumo'!D372</f>
        <v>24.08.0100</v>
      </c>
      <c r="F372" s="34" t="str">
        <f aca="false">'Uso e Consumo'!E372</f>
        <v>ALICATE CORTADOR DE CATRACA ATÉ 630MM2</v>
      </c>
      <c r="G372" s="34" t="str">
        <f aca="false">'Uso e Consumo'!J372</f>
        <v>UND</v>
      </c>
      <c r="H372" s="49" t="n">
        <f aca="false">'Uso e Consumo'!F372</f>
        <v>3</v>
      </c>
      <c r="I372" s="35" t="n">
        <f aca="false">'Uso e Consumo'!G372</f>
        <v>4350</v>
      </c>
      <c r="J372" s="34" t="str">
        <f aca="false">'Uso e Consumo'!M372</f>
        <v>3.8.2.002 - Ferramentas manuais</v>
      </c>
      <c r="K372" s="32" t="str">
        <f aca="false">INDEX('Curva ABC'!$K$8:$K$2847,MATCH(D372,'Curva ABC'!$B$8:$B$2847,0))</f>
        <v>B</v>
      </c>
    </row>
    <row r="373" customFormat="false" ht="15" hidden="false" customHeight="false" outlineLevel="0" collapsed="false">
      <c r="A373" s="34" t="s">
        <v>5799</v>
      </c>
      <c r="B373" s="34" t="str">
        <f aca="false">'Uso e Consumo'!A373</f>
        <v>0335</v>
      </c>
      <c r="C373" s="34" t="str">
        <f aca="false">'Uso e Consumo'!B373</f>
        <v>UFV NORONHA VERDE - USO E CONSUMO</v>
      </c>
      <c r="D373" s="33" t="n">
        <f aca="false">'Uso e Consumo'!C373</f>
        <v>1258630</v>
      </c>
      <c r="E373" s="34" t="str">
        <f aca="false">'Uso e Consumo'!D373</f>
        <v>26.06.0140</v>
      </c>
      <c r="F373" s="34" t="str">
        <f aca="false">'Uso e Consumo'!E373</f>
        <v>LUVA DE SEGURANÇA ISOLANTE DE BORRACHA TIPO II - CLASSE 0 COR VERMELHA - TENSÃO MÁXIMA DE USO: 1,5 KV - TAM 10"</v>
      </c>
      <c r="G373" s="34" t="str">
        <f aca="false">'Uso e Consumo'!J373</f>
        <v>PAR</v>
      </c>
      <c r="H373" s="49" t="n">
        <f aca="false">'Uso e Consumo'!F373</f>
        <v>5</v>
      </c>
      <c r="I373" s="35" t="n">
        <f aca="false">'Uso e Consumo'!G373</f>
        <v>4350</v>
      </c>
      <c r="J373" s="34" t="str">
        <f aca="false">'Uso e Consumo'!M373</f>
        <v>4.3.4.001 - Equipamento de proteção individual</v>
      </c>
      <c r="K373" s="32" t="str">
        <f aca="false">INDEX('Curva ABC'!$K$8:$K$2847,MATCH(D373,'Curva ABC'!$B$8:$B$2847,0))</f>
        <v>B</v>
      </c>
    </row>
    <row r="374" customFormat="false" ht="15" hidden="false" customHeight="false" outlineLevel="0" collapsed="false">
      <c r="A374" s="34" t="s">
        <v>5799</v>
      </c>
      <c r="B374" s="34" t="str">
        <f aca="false">'Uso e Consumo'!A374</f>
        <v>0335</v>
      </c>
      <c r="C374" s="34" t="str">
        <f aca="false">'Uso e Consumo'!B374</f>
        <v>UFV NORONHA VERDE - USO E CONSUMO</v>
      </c>
      <c r="D374" s="33" t="n">
        <f aca="false">'Uso e Consumo'!C374</f>
        <v>1385728</v>
      </c>
      <c r="E374" s="34" t="str">
        <f aca="false">'Uso e Consumo'!D374</f>
        <v>17.02.0877</v>
      </c>
      <c r="F374" s="34" t="str">
        <f aca="false">'Uso e Consumo'!E374</f>
        <v>UNIÃO ENTRE ELETRODUTO FLEXÍVEL PEAD COM ELETRODUTO RÍGIDO LISO, AMBOS DIÂMETRO 3"</v>
      </c>
      <c r="G374" s="34" t="str">
        <f aca="false">'Uso e Consumo'!J374</f>
        <v>UN</v>
      </c>
      <c r="H374" s="49" t="n">
        <f aca="false">'Uso e Consumo'!F374</f>
        <v>83</v>
      </c>
      <c r="I374" s="35" t="n">
        <f aca="false">'Uso e Consumo'!G374</f>
        <v>4347.24</v>
      </c>
      <c r="J374" s="34" t="str">
        <f aca="false">'Uso e Consumo'!M374</f>
        <v>3.8.1.017 - Instalações elétricas/telefônicas/lógica</v>
      </c>
      <c r="K374" s="32" t="str">
        <f aca="false">INDEX('Curva ABC'!$K$8:$K$2847,MATCH(D374,'Curva ABC'!$B$8:$B$2847,0))</f>
        <v>B</v>
      </c>
    </row>
    <row r="375" customFormat="false" ht="15" hidden="false" customHeight="false" outlineLevel="0" collapsed="false">
      <c r="A375" s="34" t="s">
        <v>5799</v>
      </c>
      <c r="B375" s="34" t="str">
        <f aca="false">'Uso e Consumo'!A375</f>
        <v>0335</v>
      </c>
      <c r="C375" s="34" t="str">
        <f aca="false">'Uso e Consumo'!B375</f>
        <v>UFV NORONHA VERDE - USO E CONSUMO</v>
      </c>
      <c r="D375" s="33" t="n">
        <f aca="false">'Uso e Consumo'!C375</f>
        <v>19239</v>
      </c>
      <c r="E375" s="34" t="str">
        <f aca="false">'Uso e Consumo'!D375</f>
        <v>29.02.0025</v>
      </c>
      <c r="F375" s="34" t="str">
        <f aca="false">'Uso e Consumo'!E375</f>
        <v>SOFÁ 3 LUGARES</v>
      </c>
      <c r="G375" s="34" t="str">
        <f aca="false">'Uso e Consumo'!J375</f>
        <v>UN</v>
      </c>
      <c r="H375" s="49" t="n">
        <f aca="false">'Uso e Consumo'!F375</f>
        <v>7</v>
      </c>
      <c r="I375" s="35" t="n">
        <f aca="false">'Uso e Consumo'!G375</f>
        <v>4344.27</v>
      </c>
      <c r="J375" s="34" t="str">
        <f aca="false">'Uso e Consumo'!M375</f>
        <v>4.1.1.008 - Mobiliário e acessórios</v>
      </c>
      <c r="K375" s="32" t="str">
        <f aca="false">INDEX('Curva ABC'!$K$8:$K$2847,MATCH(D375,'Curva ABC'!$B$8:$B$2847,0))</f>
        <v>B</v>
      </c>
    </row>
    <row r="376" customFormat="false" ht="15" hidden="false" customHeight="false" outlineLevel="0" collapsed="false">
      <c r="A376" s="34" t="s">
        <v>5799</v>
      </c>
      <c r="B376" s="34" t="str">
        <f aca="false">'Uso e Consumo'!A376</f>
        <v>0335</v>
      </c>
      <c r="C376" s="34" t="str">
        <f aca="false">'Uso e Consumo'!B376</f>
        <v>UFV NORONHA VERDE - USO E CONSUMO</v>
      </c>
      <c r="D376" s="33" t="n">
        <f aca="false">'Uso e Consumo'!C376</f>
        <v>138102</v>
      </c>
      <c r="E376" s="34" t="str">
        <f aca="false">'Uso e Consumo'!D376</f>
        <v>03.16.0002</v>
      </c>
      <c r="F376" s="34" t="str">
        <f aca="false">'Uso e Consumo'!E376</f>
        <v>CHAPA EUCATEX LISA 2,75 X 1,22 M X 2,5 MM</v>
      </c>
      <c r="G376" s="34" t="str">
        <f aca="false">'Uso e Consumo'!J376</f>
        <v>UN</v>
      </c>
      <c r="H376" s="49" t="n">
        <f aca="false">'Uso e Consumo'!F376</f>
        <v>40</v>
      </c>
      <c r="I376" s="35" t="n">
        <f aca="false">'Uso e Consumo'!G376</f>
        <v>4320</v>
      </c>
      <c r="J376" s="34" t="str">
        <f aca="false">'Uso e Consumo'!M376</f>
        <v>3.8.1.003 - Madeira</v>
      </c>
      <c r="K376" s="32" t="str">
        <f aca="false">INDEX('Curva ABC'!$K$8:$K$2847,MATCH(D376,'Curva ABC'!$B$8:$B$2847,0))</f>
        <v>B</v>
      </c>
    </row>
    <row r="377" customFormat="false" ht="15" hidden="false" customHeight="false" outlineLevel="0" collapsed="false">
      <c r="A377" s="34" t="s">
        <v>5799</v>
      </c>
      <c r="B377" s="34" t="str">
        <f aca="false">'Uso e Consumo'!A377</f>
        <v>0335</v>
      </c>
      <c r="C377" s="34" t="str">
        <f aca="false">'Uso e Consumo'!B377</f>
        <v>UFV NORONHA VERDE - USO E CONSUMO</v>
      </c>
      <c r="D377" s="33" t="n">
        <f aca="false">'Uso e Consumo'!C377</f>
        <v>12562</v>
      </c>
      <c r="E377" s="34" t="str">
        <f aca="false">'Uso e Consumo'!D377</f>
        <v>17.02.0062</v>
      </c>
      <c r="F377" s="34" t="str">
        <f aca="false">'Uso e Consumo'!E377</f>
        <v>BUCHA REDUCAO ELETRODUTO 1.1/2" X 1" ALUMÍNIO LISO BSP 11 FIOS</v>
      </c>
      <c r="G377" s="34" t="str">
        <f aca="false">'Uso e Consumo'!J377</f>
        <v>UN</v>
      </c>
      <c r="H377" s="49" t="n">
        <f aca="false">'Uso e Consumo'!F377</f>
        <v>54</v>
      </c>
      <c r="I377" s="35" t="n">
        <f aca="false">'Uso e Consumo'!G377</f>
        <v>4304.76</v>
      </c>
      <c r="J377" s="34" t="str">
        <f aca="false">'Uso e Consumo'!M377</f>
        <v>3.8.1.017 - Instalações elétricas/telefônicas/lógica</v>
      </c>
      <c r="K377" s="32" t="str">
        <f aca="false">INDEX('Curva ABC'!$K$8:$K$2847,MATCH(D377,'Curva ABC'!$B$8:$B$2847,0))</f>
        <v>B</v>
      </c>
    </row>
    <row r="378" customFormat="false" ht="15" hidden="false" customHeight="false" outlineLevel="0" collapsed="false">
      <c r="A378" s="34" t="s">
        <v>5799</v>
      </c>
      <c r="B378" s="34" t="str">
        <f aca="false">'Uso e Consumo'!A378</f>
        <v>0335</v>
      </c>
      <c r="C378" s="34" t="str">
        <f aca="false">'Uso e Consumo'!B378</f>
        <v>UFV NORONHA VERDE - USO E CONSUMO</v>
      </c>
      <c r="D378" s="33" t="n">
        <f aca="false">'Uso e Consumo'!C378</f>
        <v>22819</v>
      </c>
      <c r="E378" s="34" t="str">
        <f aca="false">'Uso e Consumo'!D378</f>
        <v>31.02.0039</v>
      </c>
      <c r="F378" s="34" t="str">
        <f aca="false">'Uso e Consumo'!E378</f>
        <v>ÓLEO LUBRIFICANTE 10W30</v>
      </c>
      <c r="G378" s="34" t="str">
        <f aca="false">'Uso e Consumo'!J378</f>
        <v>UN</v>
      </c>
      <c r="H378" s="49" t="n">
        <f aca="false">'Uso e Consumo'!F378</f>
        <v>6</v>
      </c>
      <c r="I378" s="35" t="n">
        <f aca="false">'Uso e Consumo'!G378</f>
        <v>4292</v>
      </c>
      <c r="J378" s="34" t="str">
        <f aca="false">'Uso e Consumo'!M378</f>
        <v>3.1.6.001 - Combustível e lubrificantes</v>
      </c>
      <c r="K378" s="32" t="str">
        <f aca="false">INDEX('Curva ABC'!$K$8:$K$2847,MATCH(D378,'Curva ABC'!$B$8:$B$2847,0))</f>
        <v>B</v>
      </c>
    </row>
    <row r="379" customFormat="false" ht="15" hidden="false" customHeight="false" outlineLevel="0" collapsed="false">
      <c r="A379" s="34" t="s">
        <v>5799</v>
      </c>
      <c r="B379" s="34" t="str">
        <f aca="false">'Uso e Consumo'!A379</f>
        <v>0335</v>
      </c>
      <c r="C379" s="34" t="str">
        <f aca="false">'Uso e Consumo'!B379</f>
        <v>UFV NORONHA VERDE - USO E CONSUMO</v>
      </c>
      <c r="D379" s="33" t="n">
        <f aca="false">'Uso e Consumo'!C379</f>
        <v>1662289</v>
      </c>
      <c r="E379" s="34" t="str">
        <f aca="false">'Uso e Consumo'!D379</f>
        <v>17.11.1154</v>
      </c>
      <c r="F379" s="34" t="str">
        <f aca="false">'Uso e Consumo'!E379</f>
        <v>LUMINARIA LED 32 W SOBREPOR EM PERFILADO, 3529 LM, 4000 K, VIDA UTIL 50.000 H</v>
      </c>
      <c r="G379" s="34" t="str">
        <f aca="false">'Uso e Consumo'!J379</f>
        <v>UN</v>
      </c>
      <c r="H379" s="49" t="n">
        <f aca="false">'Uso e Consumo'!F379</f>
        <v>13</v>
      </c>
      <c r="I379" s="35" t="n">
        <f aca="false">'Uso e Consumo'!G379</f>
        <v>4290</v>
      </c>
      <c r="J379" s="34" t="str">
        <f aca="false">'Uso e Consumo'!M379</f>
        <v>3.8.1.017 - Instalações elétricas/telefônicas/lógica</v>
      </c>
      <c r="K379" s="32" t="str">
        <f aca="false">INDEX('Curva ABC'!$K$8:$K$2847,MATCH(D379,'Curva ABC'!$B$8:$B$2847,0))</f>
        <v>B</v>
      </c>
    </row>
    <row r="380" customFormat="false" ht="15" hidden="false" customHeight="false" outlineLevel="0" collapsed="false">
      <c r="A380" s="34" t="s">
        <v>5799</v>
      </c>
      <c r="B380" s="34" t="str">
        <f aca="false">'Uso e Consumo'!A380</f>
        <v>0335</v>
      </c>
      <c r="C380" s="34" t="str">
        <f aca="false">'Uso e Consumo'!B380</f>
        <v>UFV NORONHA VERDE - USO E CONSUMO</v>
      </c>
      <c r="D380" s="33" t="n">
        <f aca="false">'Uso e Consumo'!C380</f>
        <v>1679926</v>
      </c>
      <c r="E380" s="34" t="str">
        <f aca="false">'Uso e Consumo'!D380</f>
        <v>16.03.0519</v>
      </c>
      <c r="F380" s="34" t="str">
        <f aca="false">'Uso e Consumo'!E380</f>
        <v>TINTA COR AMARELO RAL 1007 (IBERDROLA SUNSET)</v>
      </c>
      <c r="G380" s="34" t="str">
        <f aca="false">'Uso e Consumo'!J380</f>
        <v>UN</v>
      </c>
      <c r="H380" s="49" t="n">
        <f aca="false">'Uso e Consumo'!F380</f>
        <v>2</v>
      </c>
      <c r="I380" s="35" t="n">
        <f aca="false">'Uso e Consumo'!G380</f>
        <v>4233.74</v>
      </c>
      <c r="J380" s="34" t="str">
        <f aca="false">'Uso e Consumo'!M380</f>
        <v>3.8.1.016 - Pinturas</v>
      </c>
      <c r="K380" s="32" t="str">
        <f aca="false">INDEX('Curva ABC'!$K$8:$K$2847,MATCH(D380,'Curva ABC'!$B$8:$B$2847,0))</f>
        <v>B</v>
      </c>
    </row>
    <row r="381" customFormat="false" ht="22.35" hidden="false" customHeight="false" outlineLevel="0" collapsed="false">
      <c r="A381" s="34" t="s">
        <v>5799</v>
      </c>
      <c r="B381" s="34" t="str">
        <f aca="false">'Uso e Consumo'!A381</f>
        <v>0335</v>
      </c>
      <c r="C381" s="34" t="str">
        <f aca="false">'Uso e Consumo'!B381</f>
        <v>UFV NORONHA VERDE - USO E CONSUMO</v>
      </c>
      <c r="D381" s="33" t="n">
        <f aca="false">'Uso e Consumo'!C381</f>
        <v>1539002</v>
      </c>
      <c r="E381" s="34" t="str">
        <f aca="false">'Uso e Consumo'!D381</f>
        <v>17.06.0041</v>
      </c>
      <c r="F381" s="50" t="str">
        <f aca="false">'Uso e Consumo'!E381</f>
        <v>CABO PP FLEXÍVEL 3 VIAS 4 MM²
</v>
      </c>
      <c r="G381" s="34" t="str">
        <f aca="false">'Uso e Consumo'!J381</f>
        <v>M</v>
      </c>
      <c r="H381" s="49" t="n">
        <f aca="false">'Uso e Consumo'!F381</f>
        <v>300</v>
      </c>
      <c r="I381" s="35" t="n">
        <f aca="false">'Uso e Consumo'!G381</f>
        <v>4215</v>
      </c>
      <c r="J381" s="34" t="str">
        <f aca="false">'Uso e Consumo'!M381</f>
        <v>3.8.1.017 - Instalações elétricas/telefônicas/lógica</v>
      </c>
      <c r="K381" s="32" t="str">
        <f aca="false">INDEX('Curva ABC'!$K$8:$K$2847,MATCH(D381,'Curva ABC'!$B$8:$B$2847,0))</f>
        <v>B</v>
      </c>
    </row>
    <row r="382" customFormat="false" ht="15" hidden="false" customHeight="false" outlineLevel="0" collapsed="false">
      <c r="A382" s="34" t="s">
        <v>5799</v>
      </c>
      <c r="B382" s="34" t="str">
        <f aca="false">'Uso e Consumo'!A382</f>
        <v>0335</v>
      </c>
      <c r="C382" s="34" t="str">
        <f aca="false">'Uso e Consumo'!B382</f>
        <v>UFV NORONHA VERDE - USO E CONSUMO</v>
      </c>
      <c r="D382" s="33" t="n">
        <f aca="false">'Uso e Consumo'!C382</f>
        <v>1382598</v>
      </c>
      <c r="E382" s="34" t="str">
        <f aca="false">'Uso e Consumo'!D382</f>
        <v>17.21.0106</v>
      </c>
      <c r="F382" s="34" t="str">
        <f aca="false">'Uso e Consumo'!E382</f>
        <v>ISOLADOR PILAR POLIMÉRICO 15 KV, DISTÂNCIA DE ESCOAMENTO MÍNIMA DE 31 MM/KV, SCL 8 KN</v>
      </c>
      <c r="G382" s="34" t="str">
        <f aca="false">'Uso e Consumo'!J382</f>
        <v>UN</v>
      </c>
      <c r="H382" s="49" t="n">
        <f aca="false">'Uso e Consumo'!F382</f>
        <v>26</v>
      </c>
      <c r="I382" s="35" t="n">
        <f aca="false">'Uso e Consumo'!G382</f>
        <v>4211.49</v>
      </c>
      <c r="J382" s="34" t="str">
        <f aca="false">'Uso e Consumo'!M382</f>
        <v>3.8.1.017 - Instalações elétricas/telefônicas/lógica</v>
      </c>
      <c r="K382" s="32" t="str">
        <f aca="false">INDEX('Curva ABC'!$K$8:$K$2847,MATCH(D382,'Curva ABC'!$B$8:$B$2847,0))</f>
        <v>B</v>
      </c>
    </row>
    <row r="383" customFormat="false" ht="15" hidden="false" customHeight="false" outlineLevel="0" collapsed="false">
      <c r="A383" s="34" t="s">
        <v>5799</v>
      </c>
      <c r="B383" s="34" t="str">
        <f aca="false">'Uso e Consumo'!A383</f>
        <v>0335</v>
      </c>
      <c r="C383" s="34" t="str">
        <f aca="false">'Uso e Consumo'!B383</f>
        <v>UFV NORONHA VERDE - USO E CONSUMO</v>
      </c>
      <c r="D383" s="33" t="n">
        <f aca="false">'Uso e Consumo'!C383</f>
        <v>554779</v>
      </c>
      <c r="E383" s="34" t="str">
        <f aca="false">'Uso e Consumo'!D383</f>
        <v>24.08.0050</v>
      </c>
      <c r="F383" s="34" t="str">
        <f aca="false">'Uso e Consumo'!E383</f>
        <v>ALICATE COR.CABO ISOL. V8091-500 091863 ISOL.1000V  VDE 091863 8091-500 GEDORE</v>
      </c>
      <c r="G383" s="34" t="str">
        <f aca="false">'Uso e Consumo'!J383</f>
        <v>UN</v>
      </c>
      <c r="H383" s="49" t="n">
        <f aca="false">'Uso e Consumo'!F383</f>
        <v>2</v>
      </c>
      <c r="I383" s="35" t="n">
        <f aca="false">'Uso e Consumo'!G383</f>
        <v>4200</v>
      </c>
      <c r="J383" s="34" t="str">
        <f aca="false">'Uso e Consumo'!M383</f>
        <v>3.8.2.002 - Ferramentas manuais</v>
      </c>
      <c r="K383" s="32" t="str">
        <f aca="false">INDEX('Curva ABC'!$K$8:$K$2847,MATCH(D383,'Curva ABC'!$B$8:$B$2847,0))</f>
        <v>B</v>
      </c>
    </row>
    <row r="384" customFormat="false" ht="15" hidden="false" customHeight="false" outlineLevel="0" collapsed="false">
      <c r="A384" s="34" t="s">
        <v>5799</v>
      </c>
      <c r="B384" s="34" t="str">
        <f aca="false">'Uso e Consumo'!A384</f>
        <v>0335</v>
      </c>
      <c r="C384" s="34" t="str">
        <f aca="false">'Uso e Consumo'!B384</f>
        <v>UFV NORONHA VERDE - USO E CONSUMO</v>
      </c>
      <c r="D384" s="33" t="n">
        <f aca="false">'Uso e Consumo'!C384</f>
        <v>1310603</v>
      </c>
      <c r="E384" s="34" t="str">
        <f aca="false">'Uso e Consumo'!D384</f>
        <v>13.06.0400</v>
      </c>
      <c r="F384" s="34" t="str">
        <f aca="false">'Uso e Consumo'!E384</f>
        <v>PERFIL CONTRA MARCO METALICO PARA PORTA DE 38 MM DE ESPESSURA COMPRIMENTO 3 MT</v>
      </c>
      <c r="G384" s="34" t="str">
        <f aca="false">'Uso e Consumo'!J384</f>
        <v>UN</v>
      </c>
      <c r="H384" s="49" t="n">
        <f aca="false">'Uso e Consumo'!F384</f>
        <v>160</v>
      </c>
      <c r="I384" s="35" t="n">
        <f aca="false">'Uso e Consumo'!G384</f>
        <v>4166.4</v>
      </c>
      <c r="J384" s="34" t="str">
        <f aca="false">'Uso e Consumo'!M384</f>
        <v>3.8.1.013 - Esquadrias e vidros</v>
      </c>
      <c r="K384" s="32" t="str">
        <f aca="false">INDEX('Curva ABC'!$K$8:$K$2847,MATCH(D384,'Curva ABC'!$B$8:$B$2847,0))</f>
        <v>B</v>
      </c>
    </row>
    <row r="385" customFormat="false" ht="15" hidden="false" customHeight="false" outlineLevel="0" collapsed="false">
      <c r="A385" s="34" t="s">
        <v>5799</v>
      </c>
      <c r="B385" s="34" t="str">
        <f aca="false">'Uso e Consumo'!A385</f>
        <v>0335</v>
      </c>
      <c r="C385" s="34" t="str">
        <f aca="false">'Uso e Consumo'!B385</f>
        <v>UFV NORONHA VERDE - USO E CONSUMO</v>
      </c>
      <c r="D385" s="33" t="n">
        <f aca="false">'Uso e Consumo'!C385</f>
        <v>1106753</v>
      </c>
      <c r="E385" s="34" t="str">
        <f aca="false">'Uso e Consumo'!D385</f>
        <v>26.13.0196</v>
      </c>
      <c r="F385" s="34" t="str">
        <f aca="false">'Uso e Consumo'!E385</f>
        <v>CALÇA COM ELÁSTICO TAMANHO XXG - 4 BOLSOS, FORRO NO JOELHO, 02 ARGOLAS REFLETIVAS ABAIXO DO JOELHO, C</v>
      </c>
      <c r="G385" s="34" t="str">
        <f aca="false">'Uso e Consumo'!J385</f>
        <v>UN</v>
      </c>
      <c r="H385" s="49" t="n">
        <f aca="false">'Uso e Consumo'!F385</f>
        <v>75</v>
      </c>
      <c r="I385" s="35" t="n">
        <f aca="false">'Uso e Consumo'!G385</f>
        <v>4125</v>
      </c>
      <c r="J385" s="34" t="str">
        <f aca="false">'Uso e Consumo'!M385</f>
        <v>4.3.4.003 - Fardamentos</v>
      </c>
      <c r="K385" s="32" t="str">
        <f aca="false">INDEX('Curva ABC'!$K$8:$K$2847,MATCH(D385,'Curva ABC'!$B$8:$B$2847,0))</f>
        <v>B</v>
      </c>
    </row>
    <row r="386" customFormat="false" ht="15" hidden="false" customHeight="false" outlineLevel="0" collapsed="false">
      <c r="A386" s="34" t="s">
        <v>5799</v>
      </c>
      <c r="B386" s="34" t="str">
        <f aca="false">'Uso e Consumo'!A386</f>
        <v>0335</v>
      </c>
      <c r="C386" s="34" t="str">
        <f aca="false">'Uso e Consumo'!B386</f>
        <v>UFV NORONHA VERDE - USO E CONSUMO</v>
      </c>
      <c r="D386" s="33" t="n">
        <f aca="false">'Uso e Consumo'!C386</f>
        <v>1383080</v>
      </c>
      <c r="E386" s="34" t="str">
        <f aca="false">'Uso e Consumo'!D386</f>
        <v>17.02.0854</v>
      </c>
      <c r="F386" s="34" t="str">
        <f aca="false">'Uso e Consumo'!E386</f>
        <v>CURVA 90° AÇO GALVANIZADO ROSCA BSP 3"</v>
      </c>
      <c r="G386" s="34" t="str">
        <f aca="false">'Uso e Consumo'!J386</f>
        <v>UN</v>
      </c>
      <c r="H386" s="49" t="n">
        <f aca="false">'Uso e Consumo'!F386</f>
        <v>12</v>
      </c>
      <c r="I386" s="35" t="n">
        <f aca="false">'Uso e Consumo'!G386</f>
        <v>4095.39</v>
      </c>
      <c r="J386" s="34" t="str">
        <f aca="false">'Uso e Consumo'!M386</f>
        <v>3.8.1.017 - Instalações elétricas/telefônicas/lógica</v>
      </c>
      <c r="K386" s="32" t="str">
        <f aca="false">INDEX('Curva ABC'!$K$8:$K$2847,MATCH(D386,'Curva ABC'!$B$8:$B$2847,0))</f>
        <v>B</v>
      </c>
    </row>
    <row r="387" customFormat="false" ht="15" hidden="false" customHeight="false" outlineLevel="0" collapsed="false">
      <c r="A387" s="34" t="s">
        <v>5799</v>
      </c>
      <c r="B387" s="34" t="str">
        <f aca="false">'Uso e Consumo'!A387</f>
        <v>0335</v>
      </c>
      <c r="C387" s="34" t="str">
        <f aca="false">'Uso e Consumo'!B387</f>
        <v>UFV NORONHA VERDE - USO E CONSUMO</v>
      </c>
      <c r="D387" s="33" t="n">
        <f aca="false">'Uso e Consumo'!C387</f>
        <v>867723</v>
      </c>
      <c r="E387" s="34" t="str">
        <f aca="false">'Uso e Consumo'!D387</f>
        <v>26.04.0125</v>
      </c>
      <c r="F387" s="34" t="str">
        <f aca="false">'Uso e Consumo'!E387</f>
        <v>CINTO DE SEGURANÇA 5 PONTOS CARBOGRAFITE</v>
      </c>
      <c r="G387" s="34" t="str">
        <f aca="false">'Uso e Consumo'!J387</f>
        <v>UN</v>
      </c>
      <c r="H387" s="49" t="n">
        <f aca="false">'Uso e Consumo'!F387</f>
        <v>16</v>
      </c>
      <c r="I387" s="35" t="n">
        <f aca="false">'Uso e Consumo'!G387</f>
        <v>4092.8</v>
      </c>
      <c r="J387" s="34" t="str">
        <f aca="false">'Uso e Consumo'!M387</f>
        <v>4.3.4.001 - Equipamento de proteção individual</v>
      </c>
      <c r="K387" s="32" t="str">
        <f aca="false">INDEX('Curva ABC'!$K$8:$K$2847,MATCH(D387,'Curva ABC'!$B$8:$B$2847,0))</f>
        <v>B</v>
      </c>
    </row>
    <row r="388" customFormat="false" ht="15" hidden="false" customHeight="false" outlineLevel="0" collapsed="false">
      <c r="A388" s="34" t="s">
        <v>5799</v>
      </c>
      <c r="B388" s="34" t="str">
        <f aca="false">'Uso e Consumo'!A388</f>
        <v>0335</v>
      </c>
      <c r="C388" s="34" t="str">
        <f aca="false">'Uso e Consumo'!B388</f>
        <v>UFV NORONHA VERDE - USO E CONSUMO</v>
      </c>
      <c r="D388" s="33" t="n">
        <f aca="false">'Uso e Consumo'!C388</f>
        <v>35503</v>
      </c>
      <c r="E388" s="34" t="str">
        <f aca="false">'Uso e Consumo'!D388</f>
        <v>26.01.0011</v>
      </c>
      <c r="F388" s="34" t="str">
        <f aca="false">'Uso e Consumo'!E388</f>
        <v>BLUSÃO PARA OPERADOR DE MOTOSSERRA - TAM G</v>
      </c>
      <c r="G388" s="34" t="str">
        <f aca="false">'Uso e Consumo'!J388</f>
        <v>UN</v>
      </c>
      <c r="H388" s="49" t="n">
        <f aca="false">'Uso e Consumo'!F388</f>
        <v>16</v>
      </c>
      <c r="I388" s="35" t="n">
        <f aca="false">'Uso e Consumo'!G388</f>
        <v>4070.84</v>
      </c>
      <c r="J388" s="34" t="str">
        <f aca="false">'Uso e Consumo'!M388</f>
        <v>4.3.4.001 - Equipamento de proteção individual</v>
      </c>
      <c r="K388" s="32" t="str">
        <f aca="false">INDEX('Curva ABC'!$K$8:$K$2847,MATCH(D388,'Curva ABC'!$B$8:$B$2847,0))</f>
        <v>B</v>
      </c>
    </row>
    <row r="389" customFormat="false" ht="15" hidden="false" customHeight="false" outlineLevel="0" collapsed="false">
      <c r="A389" s="34" t="s">
        <v>5799</v>
      </c>
      <c r="B389" s="34" t="str">
        <f aca="false">'Uso e Consumo'!A389</f>
        <v>0335</v>
      </c>
      <c r="C389" s="34" t="str">
        <f aca="false">'Uso e Consumo'!B389</f>
        <v>UFV NORONHA VERDE - USO E CONSUMO</v>
      </c>
      <c r="D389" s="33" t="n">
        <f aca="false">'Uso e Consumo'!C389</f>
        <v>1679924</v>
      </c>
      <c r="E389" s="34" t="str">
        <f aca="false">'Uso e Consumo'!D389</f>
        <v>16.03.0517</v>
      </c>
      <c r="F389" s="34" t="str">
        <f aca="false">'Uso e Consumo'!E389</f>
        <v>TINTA COR VERDE RAL 6029 (IBERDROLA GREEN-3)</v>
      </c>
      <c r="G389" s="34" t="str">
        <f aca="false">'Uso e Consumo'!J389</f>
        <v>UN</v>
      </c>
      <c r="H389" s="49" t="n">
        <f aca="false">'Uso e Consumo'!F389</f>
        <v>2</v>
      </c>
      <c r="I389" s="35" t="n">
        <f aca="false">'Uso e Consumo'!G389</f>
        <v>4047.92</v>
      </c>
      <c r="J389" s="34" t="str">
        <f aca="false">'Uso e Consumo'!M389</f>
        <v>3.8.1.016 - Pinturas</v>
      </c>
      <c r="K389" s="32" t="str">
        <f aca="false">INDEX('Curva ABC'!$K$8:$K$2847,MATCH(D389,'Curva ABC'!$B$8:$B$2847,0))</f>
        <v>B</v>
      </c>
    </row>
    <row r="390" customFormat="false" ht="15" hidden="false" customHeight="false" outlineLevel="0" collapsed="false">
      <c r="A390" s="34" t="s">
        <v>5799</v>
      </c>
      <c r="B390" s="34" t="str">
        <f aca="false">'Uso e Consumo'!A390</f>
        <v>0335</v>
      </c>
      <c r="C390" s="34" t="str">
        <f aca="false">'Uso e Consumo'!B390</f>
        <v>UFV NORONHA VERDE - USO E CONSUMO</v>
      </c>
      <c r="D390" s="33" t="n">
        <f aca="false">'Uso e Consumo'!C390</f>
        <v>1388235</v>
      </c>
      <c r="E390" s="34" t="str">
        <f aca="false">'Uso e Consumo'!D390</f>
        <v>17.02.0892</v>
      </c>
      <c r="F390" s="34" t="str">
        <f aca="false">'Uso e Consumo'!E390</f>
        <v>ELETRODUTO METÁLICO FLEXÍVEL, Ø 3"</v>
      </c>
      <c r="G390" s="34" t="str">
        <f aca="false">'Uso e Consumo'!J390</f>
        <v>M</v>
      </c>
      <c r="H390" s="49" t="n">
        <f aca="false">'Uso e Consumo'!F390</f>
        <v>51</v>
      </c>
      <c r="I390" s="35" t="n">
        <f aca="false">'Uso e Consumo'!G390</f>
        <v>4035.8</v>
      </c>
      <c r="J390" s="34" t="str">
        <f aca="false">'Uso e Consumo'!M390</f>
        <v>3.8.1.017 - Instalações elétricas/telefônicas/lógica</v>
      </c>
      <c r="K390" s="32" t="str">
        <f aca="false">INDEX('Curva ABC'!$K$8:$K$2847,MATCH(D390,'Curva ABC'!$B$8:$B$2847,0))</f>
        <v>B</v>
      </c>
    </row>
    <row r="391" customFormat="false" ht="15" hidden="false" customHeight="false" outlineLevel="0" collapsed="false">
      <c r="A391" s="34" t="s">
        <v>5799</v>
      </c>
      <c r="B391" s="34" t="str">
        <f aca="false">'Uso e Consumo'!A391</f>
        <v>0335</v>
      </c>
      <c r="C391" s="34" t="str">
        <f aca="false">'Uso e Consumo'!B391</f>
        <v>UFV NORONHA VERDE - USO E CONSUMO</v>
      </c>
      <c r="D391" s="33" t="n">
        <f aca="false">'Uso e Consumo'!C391</f>
        <v>1469219</v>
      </c>
      <c r="E391" s="34" t="str">
        <f aca="false">'Uso e Consumo'!D391</f>
        <v>09.21.0418</v>
      </c>
      <c r="F391" s="34" t="str">
        <f aca="false">'Uso e Consumo'!E391</f>
        <v>POSTE ESCORA 1.1/2 CH 12 GALV 2,50 MTS - COM PARAFUSOS DE FIXAÇÃO</v>
      </c>
      <c r="G391" s="34" t="str">
        <f aca="false">'Uso e Consumo'!J391</f>
        <v>UN</v>
      </c>
      <c r="H391" s="49" t="n">
        <f aca="false">'Uso e Consumo'!F391</f>
        <v>56</v>
      </c>
      <c r="I391" s="35" t="n">
        <f aca="false">'Uso e Consumo'!G391</f>
        <v>4032</v>
      </c>
      <c r="J391" s="34" t="str">
        <f aca="false">'Uso e Consumo'!M391</f>
        <v>3.8.1.022 - Elementos de fixação</v>
      </c>
      <c r="K391" s="32" t="str">
        <f aca="false">INDEX('Curva ABC'!$K$8:$K$2847,MATCH(D391,'Curva ABC'!$B$8:$B$2847,0))</f>
        <v>B</v>
      </c>
    </row>
    <row r="392" customFormat="false" ht="15" hidden="false" customHeight="false" outlineLevel="0" collapsed="false">
      <c r="A392" s="34" t="s">
        <v>5799</v>
      </c>
      <c r="B392" s="34" t="str">
        <f aca="false">'Uso e Consumo'!A392</f>
        <v>0335</v>
      </c>
      <c r="C392" s="34" t="str">
        <f aca="false">'Uso e Consumo'!B392</f>
        <v>UFV NORONHA VERDE - USO E CONSUMO</v>
      </c>
      <c r="D392" s="33" t="n">
        <f aca="false">'Uso e Consumo'!C392</f>
        <v>1464603</v>
      </c>
      <c r="E392" s="34" t="str">
        <f aca="false">'Uso e Consumo'!D392</f>
        <v>01.11.0315</v>
      </c>
      <c r="F392" s="34" t="str">
        <f aca="false">'Uso e Consumo'!E392</f>
        <v>CHAPA METÁLICA 1/4" GALVANIZADA 25X25CM - 62,72KG/M²</v>
      </c>
      <c r="G392" s="34" t="str">
        <f aca="false">'Uso e Consumo'!J392</f>
        <v>UN</v>
      </c>
      <c r="H392" s="49" t="n">
        <f aca="false">'Uso e Consumo'!F392</f>
        <v>20</v>
      </c>
      <c r="I392" s="35" t="n">
        <f aca="false">'Uso e Consumo'!G392</f>
        <v>4012.5</v>
      </c>
      <c r="J392" s="34" t="str">
        <f aca="false">'Uso e Consumo'!M392</f>
        <v>3.8.1.001 - Aços e trefilados</v>
      </c>
      <c r="K392" s="32" t="str">
        <f aca="false">INDEX('Curva ABC'!$K$8:$K$2847,MATCH(D392,'Curva ABC'!$B$8:$B$2847,0))</f>
        <v>B</v>
      </c>
    </row>
    <row r="393" customFormat="false" ht="15" hidden="false" customHeight="false" outlineLevel="0" collapsed="false">
      <c r="A393" s="34" t="s">
        <v>5799</v>
      </c>
      <c r="B393" s="34" t="str">
        <f aca="false">'Uso e Consumo'!A393</f>
        <v>0335</v>
      </c>
      <c r="C393" s="34" t="str">
        <f aca="false">'Uso e Consumo'!B393</f>
        <v>UFV NORONHA VERDE - USO E CONSUMO</v>
      </c>
      <c r="D393" s="33" t="n">
        <f aca="false">'Uso e Consumo'!C393</f>
        <v>1383152</v>
      </c>
      <c r="E393" s="34" t="str">
        <f aca="false">'Uso e Consumo'!D393</f>
        <v>18.02.0753</v>
      </c>
      <c r="F393" s="34" t="str">
        <f aca="false">'Uso e Consumo'!E393</f>
        <v>TUBO DE AÇO GALVANIZADO 3" RIR BSP (NBR-5598) - 3000 MM COM LUVA</v>
      </c>
      <c r="G393" s="34" t="str">
        <f aca="false">'Uso e Consumo'!J393</f>
        <v>UN</v>
      </c>
      <c r="H393" s="49" t="n">
        <f aca="false">'Uso e Consumo'!F393</f>
        <v>12</v>
      </c>
      <c r="I393" s="35" t="n">
        <f aca="false">'Uso e Consumo'!G393</f>
        <v>4011.36</v>
      </c>
      <c r="J393" s="34" t="str">
        <f aca="false">'Uso e Consumo'!M393</f>
        <v>3.8.1.018 - Instalações hidráulicas/sanitárias/industriais</v>
      </c>
      <c r="K393" s="32" t="str">
        <f aca="false">INDEX('Curva ABC'!$K$8:$K$2847,MATCH(D393,'Curva ABC'!$B$8:$B$2847,0))</f>
        <v>B</v>
      </c>
    </row>
    <row r="394" customFormat="false" ht="15" hidden="false" customHeight="false" outlineLevel="0" collapsed="false">
      <c r="A394" s="34" t="s">
        <v>5799</v>
      </c>
      <c r="B394" s="34" t="str">
        <f aca="false">'Uso e Consumo'!A394</f>
        <v>0335</v>
      </c>
      <c r="C394" s="34" t="str">
        <f aca="false">'Uso e Consumo'!B394</f>
        <v>UFV NORONHA VERDE - USO E CONSUMO</v>
      </c>
      <c r="D394" s="33" t="n">
        <f aca="false">'Uso e Consumo'!C394</f>
        <v>54273</v>
      </c>
      <c r="E394" s="34" t="str">
        <f aca="false">'Uso e Consumo'!D394</f>
        <v>29.02.0185</v>
      </c>
      <c r="F394" s="34" t="str">
        <f aca="false">'Uso e Consumo'!E394</f>
        <v>MESA ESCRITÓRIO 1,20 X 0,80M 02 GAVETAS</v>
      </c>
      <c r="G394" s="34" t="str">
        <f aca="false">'Uso e Consumo'!J394</f>
        <v>UN</v>
      </c>
      <c r="H394" s="49" t="n">
        <f aca="false">'Uso e Consumo'!F394</f>
        <v>10</v>
      </c>
      <c r="I394" s="35" t="n">
        <f aca="false">'Uso e Consumo'!G394</f>
        <v>3988.43</v>
      </c>
      <c r="J394" s="34" t="str">
        <f aca="false">'Uso e Consumo'!M394</f>
        <v>4.1.1.008 - Mobiliário e acessórios</v>
      </c>
      <c r="K394" s="32" t="str">
        <f aca="false">INDEX('Curva ABC'!$K$8:$K$2847,MATCH(D394,'Curva ABC'!$B$8:$B$2847,0))</f>
        <v>B</v>
      </c>
    </row>
    <row r="395" customFormat="false" ht="15" hidden="false" customHeight="false" outlineLevel="0" collapsed="false">
      <c r="A395" s="34" t="s">
        <v>5799</v>
      </c>
      <c r="B395" s="34" t="str">
        <f aca="false">'Uso e Consumo'!A395</f>
        <v>0335</v>
      </c>
      <c r="C395" s="34" t="str">
        <f aca="false">'Uso e Consumo'!B395</f>
        <v>UFV NORONHA VERDE - USO E CONSUMO</v>
      </c>
      <c r="D395" s="33" t="n">
        <f aca="false">'Uso e Consumo'!C395</f>
        <v>822559</v>
      </c>
      <c r="E395" s="34" t="str">
        <f aca="false">'Uso e Consumo'!D395</f>
        <v>29.01.1059</v>
      </c>
      <c r="F395" s="34" t="str">
        <f aca="false">'Uso e Consumo'!E395</f>
        <v>AQUISIÇÃO DE RÁDIOS WALKTOLK</v>
      </c>
      <c r="G395" s="34" t="str">
        <f aca="false">'Uso e Consumo'!J395</f>
        <v>UN</v>
      </c>
      <c r="H395" s="49" t="n">
        <f aca="false">'Uso e Consumo'!F395</f>
        <v>12</v>
      </c>
      <c r="I395" s="35" t="n">
        <f aca="false">'Uso e Consumo'!G395</f>
        <v>3948</v>
      </c>
      <c r="J395" s="34" t="str">
        <f aca="false">'Uso e Consumo'!M395</f>
        <v>4.1.1.007 - Equipamentos e acessórios para informática</v>
      </c>
      <c r="K395" s="32" t="str">
        <f aca="false">INDEX('Curva ABC'!$K$8:$K$2847,MATCH(D395,'Curva ABC'!$B$8:$B$2847,0))</f>
        <v>B</v>
      </c>
    </row>
    <row r="396" customFormat="false" ht="15" hidden="false" customHeight="false" outlineLevel="0" collapsed="false">
      <c r="A396" s="34" t="s">
        <v>5799</v>
      </c>
      <c r="B396" s="34" t="str">
        <f aca="false">'Uso e Consumo'!A396</f>
        <v>0335</v>
      </c>
      <c r="C396" s="34" t="str">
        <f aca="false">'Uso e Consumo'!B396</f>
        <v>UFV NORONHA VERDE - USO E CONSUMO</v>
      </c>
      <c r="D396" s="33" t="n">
        <f aca="false">'Uso e Consumo'!C396</f>
        <v>1674332</v>
      </c>
      <c r="E396" s="34" t="str">
        <f aca="false">'Uso e Consumo'!D396</f>
        <v>13.02.0377</v>
      </c>
      <c r="F396" s="34" t="str">
        <f aca="false">'Uso e Consumo'!E396</f>
        <v>PORTA INTERNA DE GIRO EM MADEIRA MACICA, COM MARCO E ALIZARES (2,10 X 0,70 M)</v>
      </c>
      <c r="G396" s="34" t="str">
        <f aca="false">'Uso e Consumo'!J396</f>
        <v>UN</v>
      </c>
      <c r="H396" s="49" t="n">
        <f aca="false">'Uso e Consumo'!F396</f>
        <v>3</v>
      </c>
      <c r="I396" s="35" t="n">
        <f aca="false">'Uso e Consumo'!G396</f>
        <v>3938.1</v>
      </c>
      <c r="J396" s="34" t="str">
        <f aca="false">'Uso e Consumo'!M396</f>
        <v>3.8.1.013 - Esquadrias e vidros</v>
      </c>
      <c r="K396" s="32" t="str">
        <f aca="false">INDEX('Curva ABC'!$K$8:$K$2847,MATCH(D396,'Curva ABC'!$B$8:$B$2847,0))</f>
        <v>B</v>
      </c>
    </row>
    <row r="397" customFormat="false" ht="15" hidden="false" customHeight="false" outlineLevel="0" collapsed="false">
      <c r="A397" s="34" t="s">
        <v>5799</v>
      </c>
      <c r="B397" s="34" t="str">
        <f aca="false">'Uso e Consumo'!A397</f>
        <v>0335</v>
      </c>
      <c r="C397" s="34" t="str">
        <f aca="false">'Uso e Consumo'!B397</f>
        <v>UFV NORONHA VERDE - USO E CONSUMO</v>
      </c>
      <c r="D397" s="33" t="n">
        <f aca="false">'Uso e Consumo'!C397</f>
        <v>1469743</v>
      </c>
      <c r="E397" s="34" t="str">
        <f aca="false">'Uso e Consumo'!D397</f>
        <v>08.02.0091</v>
      </c>
      <c r="F397" s="34" t="str">
        <f aca="false">'Uso e Consumo'!E397</f>
        <v>CANALETA 14X19X39CM 6MPA</v>
      </c>
      <c r="G397" s="34" t="str">
        <f aca="false">'Uso e Consumo'!J397</f>
        <v>UN</v>
      </c>
      <c r="H397" s="49" t="n">
        <f aca="false">'Uso e Consumo'!F397</f>
        <v>740</v>
      </c>
      <c r="I397" s="35" t="n">
        <f aca="false">'Uso e Consumo'!G397</f>
        <v>3929.4</v>
      </c>
      <c r="J397" s="34" t="str">
        <f aca="false">'Uso e Consumo'!M397</f>
        <v>3.8.1.008 - Blocos, painéis e divisórias</v>
      </c>
      <c r="K397" s="32" t="str">
        <f aca="false">INDEX('Curva ABC'!$K$8:$K$2847,MATCH(D397,'Curva ABC'!$B$8:$B$2847,0))</f>
        <v>B</v>
      </c>
    </row>
    <row r="398" customFormat="false" ht="15" hidden="false" customHeight="false" outlineLevel="0" collapsed="false">
      <c r="A398" s="34" t="s">
        <v>5799</v>
      </c>
      <c r="B398" s="34" t="str">
        <f aca="false">'Uso e Consumo'!A398</f>
        <v>0335</v>
      </c>
      <c r="C398" s="34" t="str">
        <f aca="false">'Uso e Consumo'!B398</f>
        <v>UFV NORONHA VERDE - USO E CONSUMO</v>
      </c>
      <c r="D398" s="33" t="n">
        <f aca="false">'Uso e Consumo'!C398</f>
        <v>1385801</v>
      </c>
      <c r="E398" s="34" t="str">
        <f aca="false">'Uso e Consumo'!D398</f>
        <v>17.01.1226</v>
      </c>
      <c r="F398" s="34" t="str">
        <f aca="false">'Uso e Consumo'!E398</f>
        <v>CABO TETRAPOLAR POTÊNCIA 16 MM², FLEXÍVEL COBRE, EPR, 0,6/1KV, PVC PRETO, 4 VIAS</v>
      </c>
      <c r="G398" s="34" t="str">
        <f aca="false">'Uso e Consumo'!J398</f>
        <v>M</v>
      </c>
      <c r="H398" s="49" t="n">
        <f aca="false">'Uso e Consumo'!F398</f>
        <v>45</v>
      </c>
      <c r="I398" s="35" t="n">
        <f aca="false">'Uso e Consumo'!G398</f>
        <v>3922.4</v>
      </c>
      <c r="J398" s="34" t="str">
        <f aca="false">'Uso e Consumo'!M398</f>
        <v>3.8.1.017 - Instalações elétricas/telefônicas/lógica</v>
      </c>
      <c r="K398" s="32" t="str">
        <f aca="false">INDEX('Curva ABC'!$K$8:$K$2847,MATCH(D398,'Curva ABC'!$B$8:$B$2847,0))</f>
        <v>B</v>
      </c>
    </row>
    <row r="399" customFormat="false" ht="15" hidden="false" customHeight="false" outlineLevel="0" collapsed="false">
      <c r="A399" s="34" t="s">
        <v>5799</v>
      </c>
      <c r="B399" s="34" t="str">
        <f aca="false">'Uso e Consumo'!A399</f>
        <v>0335</v>
      </c>
      <c r="C399" s="34" t="str">
        <f aca="false">'Uso e Consumo'!B399</f>
        <v>UFV NORONHA VERDE - USO E CONSUMO</v>
      </c>
      <c r="D399" s="33" t="n">
        <f aca="false">'Uso e Consumo'!C399</f>
        <v>385218</v>
      </c>
      <c r="E399" s="34" t="str">
        <f aca="false">'Uso e Consumo'!D399</f>
        <v>33.02.1716</v>
      </c>
      <c r="F399" s="34" t="str">
        <f aca="false">'Uso e Consumo'!E399</f>
        <v>BATERIA MAX LI-ION 20V 5AH - DCB205-B3 - DEWALT </v>
      </c>
      <c r="G399" s="34" t="str">
        <f aca="false">'Uso e Consumo'!J399</f>
        <v>UN</v>
      </c>
      <c r="H399" s="49" t="n">
        <f aca="false">'Uso e Consumo'!F399</f>
        <v>4</v>
      </c>
      <c r="I399" s="35" t="n">
        <f aca="false">'Uso e Consumo'!G399</f>
        <v>3920</v>
      </c>
      <c r="J399" s="34" t="str">
        <f aca="false">'Uso e Consumo'!M399</f>
        <v>6.1.2.001 - Equipamentos</v>
      </c>
      <c r="K399" s="32" t="str">
        <f aca="false">INDEX('Curva ABC'!$K$8:$K$2847,MATCH(D399,'Curva ABC'!$B$8:$B$2847,0))</f>
        <v>B</v>
      </c>
    </row>
    <row r="400" customFormat="false" ht="15" hidden="false" customHeight="false" outlineLevel="0" collapsed="false">
      <c r="A400" s="34" t="s">
        <v>5799</v>
      </c>
      <c r="B400" s="34" t="str">
        <f aca="false">'Uso e Consumo'!A400</f>
        <v>0335</v>
      </c>
      <c r="C400" s="34" t="str">
        <f aca="false">'Uso e Consumo'!B400</f>
        <v>UFV NORONHA VERDE - USO E CONSUMO</v>
      </c>
      <c r="D400" s="33" t="n">
        <f aca="false">'Uso e Consumo'!C400</f>
        <v>1256115</v>
      </c>
      <c r="E400" s="34" t="str">
        <f aca="false">'Uso e Consumo'!D400</f>
        <v>23.07.1530</v>
      </c>
      <c r="F400" s="34" t="str">
        <f aca="false">'Uso e Consumo'!E400</f>
        <v>PARAFUSO INOX SEXT M10 X 50MM2 C/ PORCA E ARRUELA</v>
      </c>
      <c r="G400" s="34" t="str">
        <f aca="false">'Uso e Consumo'!J400</f>
        <v>UN</v>
      </c>
      <c r="H400" s="49" t="n">
        <f aca="false">'Uso e Consumo'!F400</f>
        <v>470</v>
      </c>
      <c r="I400" s="35" t="n">
        <f aca="false">'Uso e Consumo'!G400</f>
        <v>3915.1</v>
      </c>
      <c r="J400" s="34" t="str">
        <f aca="false">'Uso e Consumo'!M400</f>
        <v>3.1.6.002 - Pneus e peças</v>
      </c>
      <c r="K400" s="32" t="str">
        <f aca="false">INDEX('Curva ABC'!$K$8:$K$2847,MATCH(D400,'Curva ABC'!$B$8:$B$2847,0))</f>
        <v>B</v>
      </c>
    </row>
    <row r="401" customFormat="false" ht="15" hidden="false" customHeight="false" outlineLevel="0" collapsed="false">
      <c r="A401" s="34" t="s">
        <v>5799</v>
      </c>
      <c r="B401" s="34" t="str">
        <f aca="false">'Uso e Consumo'!A401</f>
        <v>0335</v>
      </c>
      <c r="C401" s="34" t="str">
        <f aca="false">'Uso e Consumo'!B401</f>
        <v>UFV NORONHA VERDE - USO E CONSUMO</v>
      </c>
      <c r="D401" s="33" t="n">
        <f aca="false">'Uso e Consumo'!C401</f>
        <v>22799</v>
      </c>
      <c r="E401" s="34" t="str">
        <f aca="false">'Uso e Consumo'!D401</f>
        <v>33.02.0210</v>
      </c>
      <c r="F401" s="34" t="str">
        <f aca="false">'Uso e Consumo'!E401</f>
        <v>TERMÔMETRO</v>
      </c>
      <c r="G401" s="34" t="str">
        <f aca="false">'Uso e Consumo'!J401</f>
        <v>UN</v>
      </c>
      <c r="H401" s="49" t="n">
        <f aca="false">'Uso e Consumo'!F401</f>
        <v>2</v>
      </c>
      <c r="I401" s="35" t="n">
        <f aca="false">'Uso e Consumo'!G401</f>
        <v>3900</v>
      </c>
      <c r="J401" s="34" t="str">
        <f aca="false">'Uso e Consumo'!M401</f>
        <v>3.1.6.002 - Pneus e peças</v>
      </c>
      <c r="K401" s="32" t="str">
        <f aca="false">INDEX('Curva ABC'!$K$8:$K$2847,MATCH(D401,'Curva ABC'!$B$8:$B$2847,0))</f>
        <v>B</v>
      </c>
    </row>
    <row r="402" customFormat="false" ht="15" hidden="false" customHeight="false" outlineLevel="0" collapsed="false">
      <c r="A402" s="34" t="s">
        <v>5799</v>
      </c>
      <c r="B402" s="34" t="str">
        <f aca="false">'Uso e Consumo'!A402</f>
        <v>0335</v>
      </c>
      <c r="C402" s="34" t="str">
        <f aca="false">'Uso e Consumo'!B402</f>
        <v>UFV NORONHA VERDE - USO E CONSUMO</v>
      </c>
      <c r="D402" s="33" t="n">
        <f aca="false">'Uso e Consumo'!C402</f>
        <v>137216</v>
      </c>
      <c r="E402" s="34" t="str">
        <f aca="false">'Uso e Consumo'!D402</f>
        <v>29.01.0520</v>
      </c>
      <c r="F402" s="34" t="str">
        <f aca="false">'Uso e Consumo'!E402</f>
        <v>ROTEADOR MIKROTIK HEX RB750GR3</v>
      </c>
      <c r="G402" s="34" t="str">
        <f aca="false">'Uso e Consumo'!J402</f>
        <v>UN</v>
      </c>
      <c r="H402" s="49" t="n">
        <f aca="false">'Uso e Consumo'!F402</f>
        <v>6</v>
      </c>
      <c r="I402" s="35" t="n">
        <f aca="false">'Uso e Consumo'!G402</f>
        <v>3818.2</v>
      </c>
      <c r="J402" s="34" t="str">
        <f aca="false">'Uso e Consumo'!M402</f>
        <v>4.1.1.007 - Equipamentos e acessórios para informática</v>
      </c>
      <c r="K402" s="32" t="str">
        <f aca="false">INDEX('Curva ABC'!$K$8:$K$2847,MATCH(D402,'Curva ABC'!$B$8:$B$2847,0))</f>
        <v>B</v>
      </c>
    </row>
    <row r="403" customFormat="false" ht="15" hidden="false" customHeight="false" outlineLevel="0" collapsed="false">
      <c r="A403" s="34" t="s">
        <v>5799</v>
      </c>
      <c r="B403" s="34" t="str">
        <f aca="false">'Uso e Consumo'!A403</f>
        <v>0335</v>
      </c>
      <c r="C403" s="34" t="str">
        <f aca="false">'Uso e Consumo'!B403</f>
        <v>UFV NORONHA VERDE - USO E CONSUMO</v>
      </c>
      <c r="D403" s="33" t="n">
        <f aca="false">'Uso e Consumo'!C403</f>
        <v>1388259</v>
      </c>
      <c r="E403" s="34" t="str">
        <f aca="false">'Uso e Consumo'!D403</f>
        <v>17.02.0893</v>
      </c>
      <c r="F403" s="34" t="str">
        <f aca="false">'Uso e Consumo'!E403</f>
        <v>LUVA DE ALUMÍNIO COM ROSCA, TIPO PESADO, Ø 3" BSP</v>
      </c>
      <c r="G403" s="34" t="str">
        <f aca="false">'Uso e Consumo'!J403</f>
        <v>UN</v>
      </c>
      <c r="H403" s="49" t="n">
        <f aca="false">'Uso e Consumo'!F403</f>
        <v>76</v>
      </c>
      <c r="I403" s="35" t="n">
        <f aca="false">'Uso e Consumo'!G403</f>
        <v>3796</v>
      </c>
      <c r="J403" s="34" t="str">
        <f aca="false">'Uso e Consumo'!M403</f>
        <v>3.8.1.017 - Instalações elétricas/telefônicas/lógica</v>
      </c>
      <c r="K403" s="32" t="str">
        <f aca="false">INDEX('Curva ABC'!$K$8:$K$2847,MATCH(D403,'Curva ABC'!$B$8:$B$2847,0))</f>
        <v>B</v>
      </c>
    </row>
    <row r="404" customFormat="false" ht="15" hidden="false" customHeight="false" outlineLevel="0" collapsed="false">
      <c r="A404" s="34" t="s">
        <v>5799</v>
      </c>
      <c r="B404" s="34" t="str">
        <f aca="false">'Uso e Consumo'!A404</f>
        <v>0335</v>
      </c>
      <c r="C404" s="34" t="str">
        <f aca="false">'Uso e Consumo'!B404</f>
        <v>UFV NORONHA VERDE - USO E CONSUMO</v>
      </c>
      <c r="D404" s="33" t="n">
        <f aca="false">'Uso e Consumo'!C404</f>
        <v>18821</v>
      </c>
      <c r="E404" s="34" t="str">
        <f aca="false">'Uso e Consumo'!D404</f>
        <v>26.02.0025</v>
      </c>
      <c r="F404" s="34" t="str">
        <f aca="false">'Uso e Consumo'!E404</f>
        <v>BOTA IMPERMEÁVEL DE PVC CANO LONGO - COR PRETA - Nº 42 (CA-26629/10199/28286)</v>
      </c>
      <c r="G404" s="34" t="str">
        <f aca="false">'Uso e Consumo'!J404</f>
        <v>PAR</v>
      </c>
      <c r="H404" s="49" t="n">
        <f aca="false">'Uso e Consumo'!F404</f>
        <v>102</v>
      </c>
      <c r="I404" s="35" t="n">
        <f aca="false">'Uso e Consumo'!G404</f>
        <v>3773.9</v>
      </c>
      <c r="J404" s="34" t="str">
        <f aca="false">'Uso e Consumo'!M404</f>
        <v>4.3.4.001 - Equipamento de proteção individual</v>
      </c>
      <c r="K404" s="32" t="str">
        <f aca="false">INDEX('Curva ABC'!$K$8:$K$2847,MATCH(D404,'Curva ABC'!$B$8:$B$2847,0))</f>
        <v>B</v>
      </c>
    </row>
    <row r="405" customFormat="false" ht="15" hidden="false" customHeight="false" outlineLevel="0" collapsed="false">
      <c r="A405" s="34" t="s">
        <v>5799</v>
      </c>
      <c r="B405" s="34" t="str">
        <f aca="false">'Uso e Consumo'!A405</f>
        <v>0335</v>
      </c>
      <c r="C405" s="34" t="str">
        <f aca="false">'Uso e Consumo'!B405</f>
        <v>UFV NORONHA VERDE - USO E CONSUMO</v>
      </c>
      <c r="D405" s="33" t="n">
        <f aca="false">'Uso e Consumo'!C405</f>
        <v>1326697</v>
      </c>
      <c r="E405" s="34" t="str">
        <f aca="false">'Uso e Consumo'!D405</f>
        <v>17.16.0670</v>
      </c>
      <c r="F405" s="34" t="str">
        <f aca="false">'Uso e Consumo'!E405</f>
        <v>CONECTOR LIGA DE COBRE ESTANHADO, PARA CABO DE COBRE 70 A 95 mm² A BARRA COM UM FURO Ø 14 mm</v>
      </c>
      <c r="G405" s="34" t="str">
        <f aca="false">'Uso e Consumo'!J405</f>
        <v>pç</v>
      </c>
      <c r="H405" s="49" t="n">
        <f aca="false">'Uso e Consumo'!F405</f>
        <v>35</v>
      </c>
      <c r="I405" s="35" t="n">
        <f aca="false">'Uso e Consumo'!G405</f>
        <v>3759.73</v>
      </c>
      <c r="J405" s="34" t="str">
        <f aca="false">'Uso e Consumo'!M405</f>
        <v>3.8.1.017 - Instalações elétricas/telefônicas/lógica</v>
      </c>
      <c r="K405" s="32" t="str">
        <f aca="false">INDEX('Curva ABC'!$K$8:$K$2847,MATCH(D405,'Curva ABC'!$B$8:$B$2847,0))</f>
        <v>B</v>
      </c>
    </row>
    <row r="406" customFormat="false" ht="15" hidden="false" customHeight="false" outlineLevel="0" collapsed="false">
      <c r="A406" s="34" t="s">
        <v>5799</v>
      </c>
      <c r="B406" s="34" t="str">
        <f aca="false">'Uso e Consumo'!A406</f>
        <v>0335</v>
      </c>
      <c r="C406" s="34" t="str">
        <f aca="false">'Uso e Consumo'!B406</f>
        <v>UFV NORONHA VERDE - USO E CONSUMO</v>
      </c>
      <c r="D406" s="33" t="n">
        <f aca="false">'Uso e Consumo'!C406</f>
        <v>1665281</v>
      </c>
      <c r="E406" s="34" t="str">
        <f aca="false">'Uso e Consumo'!D406</f>
        <v>17.08.0256</v>
      </c>
      <c r="F406" s="34" t="str">
        <f aca="false">'Uso e Consumo'!E406</f>
        <v>CAIXA DE MEDICAO 200A PARA MEDICAO INDIRETA TIPO F4</v>
      </c>
      <c r="G406" s="34" t="str">
        <f aca="false">'Uso e Consumo'!J406</f>
        <v>UN</v>
      </c>
      <c r="H406" s="49" t="n">
        <f aca="false">'Uso e Consumo'!F406</f>
        <v>1</v>
      </c>
      <c r="I406" s="35" t="n">
        <f aca="false">'Uso e Consumo'!G406</f>
        <v>3750</v>
      </c>
      <c r="J406" s="34" t="str">
        <f aca="false">'Uso e Consumo'!M406</f>
        <v>3.8.1.017 - Instalações elétricas/telefônicas/lógica</v>
      </c>
      <c r="K406" s="32" t="str">
        <f aca="false">INDEX('Curva ABC'!$K$8:$K$2847,MATCH(D406,'Curva ABC'!$B$8:$B$2847,0))</f>
        <v>B</v>
      </c>
    </row>
    <row r="407" customFormat="false" ht="15" hidden="false" customHeight="false" outlineLevel="0" collapsed="false">
      <c r="A407" s="34" t="s">
        <v>5799</v>
      </c>
      <c r="B407" s="34" t="str">
        <f aca="false">'Uso e Consumo'!A407</f>
        <v>0335</v>
      </c>
      <c r="C407" s="34" t="str">
        <f aca="false">'Uso e Consumo'!B407</f>
        <v>UFV NORONHA VERDE - USO E CONSUMO</v>
      </c>
      <c r="D407" s="33" t="n">
        <f aca="false">'Uso e Consumo'!C407</f>
        <v>1111642</v>
      </c>
      <c r="E407" s="34" t="str">
        <f aca="false">'Uso e Consumo'!D407</f>
        <v>32.12.0256</v>
      </c>
      <c r="F407" s="34" t="str">
        <f aca="false">'Uso e Consumo'!E407</f>
        <v>TERMOHIGRÔMETRO DIGITAL, COM SAÍDA MODBUS RS485 E CABO DE 3 METROS</v>
      </c>
      <c r="G407" s="34" t="str">
        <f aca="false">'Uso e Consumo'!J407</f>
        <v>UN</v>
      </c>
      <c r="H407" s="49" t="n">
        <f aca="false">'Uso e Consumo'!F407</f>
        <v>1</v>
      </c>
      <c r="I407" s="35" t="n">
        <f aca="false">'Uso e Consumo'!G407</f>
        <v>3748.67</v>
      </c>
      <c r="J407" s="34" t="str">
        <f aca="false">'Uso e Consumo'!M407</f>
        <v>4.1.1.011 - Instrumentos para medição</v>
      </c>
      <c r="K407" s="32" t="str">
        <f aca="false">INDEX('Curva ABC'!$K$8:$K$2847,MATCH(D407,'Curva ABC'!$B$8:$B$2847,0))</f>
        <v>B</v>
      </c>
    </row>
    <row r="408" customFormat="false" ht="15" hidden="false" customHeight="false" outlineLevel="0" collapsed="false">
      <c r="A408" s="34" t="s">
        <v>5799</v>
      </c>
      <c r="B408" s="34" t="str">
        <f aca="false">'Uso e Consumo'!A408</f>
        <v>0335</v>
      </c>
      <c r="C408" s="34" t="str">
        <f aca="false">'Uso e Consumo'!B408</f>
        <v>UFV NORONHA VERDE - USO E CONSUMO</v>
      </c>
      <c r="D408" s="33" t="n">
        <f aca="false">'Uso e Consumo'!C408</f>
        <v>390931</v>
      </c>
      <c r="E408" s="34" t="str">
        <f aca="false">'Uso e Consumo'!D408</f>
        <v>17.16.0326</v>
      </c>
      <c r="F408" s="34" t="str">
        <f aca="false">'Uso e Consumo'!E408</f>
        <v>CAIXA DE EMENDA ÓPTICA 96 FIBRAS (4BANDEJAS DE 24 FO COM PROTEÇÃO DE EMENDAS)</v>
      </c>
      <c r="G408" s="34" t="str">
        <f aca="false">'Uso e Consumo'!J408</f>
        <v>UN</v>
      </c>
      <c r="H408" s="49" t="n">
        <f aca="false">'Uso e Consumo'!F408</f>
        <v>11</v>
      </c>
      <c r="I408" s="35" t="n">
        <f aca="false">'Uso e Consumo'!G408</f>
        <v>3737.69</v>
      </c>
      <c r="J408" s="34" t="str">
        <f aca="false">'Uso e Consumo'!M408</f>
        <v>3.8.1.017 - Instalações elétricas/telefônicas/lógica</v>
      </c>
      <c r="K408" s="32" t="str">
        <f aca="false">INDEX('Curva ABC'!$K$8:$K$2847,MATCH(D408,'Curva ABC'!$B$8:$B$2847,0))</f>
        <v>B</v>
      </c>
    </row>
    <row r="409" customFormat="false" ht="15" hidden="false" customHeight="false" outlineLevel="0" collapsed="false">
      <c r="A409" s="34" t="s">
        <v>5799</v>
      </c>
      <c r="B409" s="34" t="str">
        <f aca="false">'Uso e Consumo'!A409</f>
        <v>0335</v>
      </c>
      <c r="C409" s="34" t="str">
        <f aca="false">'Uso e Consumo'!B409</f>
        <v>UFV NORONHA VERDE - USO E CONSUMO</v>
      </c>
      <c r="D409" s="33" t="n">
        <f aca="false">'Uso e Consumo'!C409</f>
        <v>1475298</v>
      </c>
      <c r="E409" s="34" t="str">
        <f aca="false">'Uso e Consumo'!D409</f>
        <v>17.21.0110</v>
      </c>
      <c r="F409" s="34" t="str">
        <f aca="false">'Uso e Consumo'!E409</f>
        <v>CONJUNTO DE FERRAGENS PARA FIXAÇÃO DE CAIXAS DE JUNÇÃO</v>
      </c>
      <c r="G409" s="34" t="str">
        <f aca="false">'Uso e Consumo'!J409</f>
        <v>UN</v>
      </c>
      <c r="H409" s="49" t="n">
        <f aca="false">'Uso e Consumo'!F409</f>
        <v>2</v>
      </c>
      <c r="I409" s="35" t="n">
        <f aca="false">'Uso e Consumo'!G409</f>
        <v>3706.5</v>
      </c>
      <c r="J409" s="34" t="str">
        <f aca="false">'Uso e Consumo'!M409</f>
        <v>3.8.1.022 - Elementos de fixação</v>
      </c>
      <c r="K409" s="32" t="str">
        <f aca="false">INDEX('Curva ABC'!$K$8:$K$2847,MATCH(D409,'Curva ABC'!$B$8:$B$2847,0))</f>
        <v>B</v>
      </c>
    </row>
    <row r="410" customFormat="false" ht="15" hidden="false" customHeight="false" outlineLevel="0" collapsed="false">
      <c r="A410" s="34" t="s">
        <v>5799</v>
      </c>
      <c r="B410" s="34" t="str">
        <f aca="false">'Uso e Consumo'!A410</f>
        <v>0335</v>
      </c>
      <c r="C410" s="34" t="str">
        <f aca="false">'Uso e Consumo'!B410</f>
        <v>UFV NORONHA VERDE - USO E CONSUMO</v>
      </c>
      <c r="D410" s="33" t="n">
        <f aca="false">'Uso e Consumo'!C410</f>
        <v>20007</v>
      </c>
      <c r="E410" s="34" t="str">
        <f aca="false">'Uso e Consumo'!D410</f>
        <v>32.09.0034</v>
      </c>
      <c r="F410" s="34" t="str">
        <f aca="false">'Uso e Consumo'!E410</f>
        <v>BOMBA SUBMERSIVEL MONOFÁSICO P/POÇO PROFUNDO 1/2CV</v>
      </c>
      <c r="G410" s="34" t="str">
        <f aca="false">'Uso e Consumo'!J410</f>
        <v>UN</v>
      </c>
      <c r="H410" s="49" t="n">
        <f aca="false">'Uso e Consumo'!F410</f>
        <v>1</v>
      </c>
      <c r="I410" s="35" t="n">
        <f aca="false">'Uso e Consumo'!G410</f>
        <v>3700</v>
      </c>
      <c r="J410" s="34" t="str">
        <f aca="false">'Uso e Consumo'!M410</f>
        <v>6.1.2.001 - Equipamentos</v>
      </c>
      <c r="K410" s="32" t="str">
        <f aca="false">INDEX('Curva ABC'!$K$8:$K$2847,MATCH(D410,'Curva ABC'!$B$8:$B$2847,0))</f>
        <v>B</v>
      </c>
    </row>
    <row r="411" customFormat="false" ht="15" hidden="false" customHeight="false" outlineLevel="0" collapsed="false">
      <c r="A411" s="34" t="s">
        <v>5799</v>
      </c>
      <c r="B411" s="34" t="str">
        <f aca="false">'Uso e Consumo'!A411</f>
        <v>0335</v>
      </c>
      <c r="C411" s="34" t="str">
        <f aca="false">'Uso e Consumo'!B411</f>
        <v>UFV NORONHA VERDE - USO E CONSUMO</v>
      </c>
      <c r="D411" s="33" t="n">
        <f aca="false">'Uso e Consumo'!C411</f>
        <v>35288</v>
      </c>
      <c r="E411" s="34" t="str">
        <f aca="false">'Uso e Consumo'!D411</f>
        <v>03.14.0002</v>
      </c>
      <c r="F411" s="34" t="str">
        <f aca="false">'Uso e Consumo'!E411</f>
        <v>PALETE DE MADEIRA 14,4 CM X 80 CM X 120 CM</v>
      </c>
      <c r="G411" s="34" t="str">
        <f aca="false">'Uso e Consumo'!J411</f>
        <v>UN</v>
      </c>
      <c r="H411" s="49" t="n">
        <f aca="false">'Uso e Consumo'!F411</f>
        <v>100</v>
      </c>
      <c r="I411" s="35" t="n">
        <f aca="false">'Uso e Consumo'!G411</f>
        <v>3700</v>
      </c>
      <c r="J411" s="34" t="str">
        <f aca="false">'Uso e Consumo'!M411</f>
        <v>3.8.1.003 - Madeira</v>
      </c>
      <c r="K411" s="32" t="str">
        <f aca="false">INDEX('Curva ABC'!$K$8:$K$2847,MATCH(D411,'Curva ABC'!$B$8:$B$2847,0))</f>
        <v>B</v>
      </c>
    </row>
    <row r="412" customFormat="false" ht="15" hidden="false" customHeight="false" outlineLevel="0" collapsed="false">
      <c r="A412" s="34" t="s">
        <v>5799</v>
      </c>
      <c r="B412" s="34" t="str">
        <f aca="false">'Uso e Consumo'!A412</f>
        <v>0335</v>
      </c>
      <c r="C412" s="34" t="str">
        <f aca="false">'Uso e Consumo'!B412</f>
        <v>UFV NORONHA VERDE - USO E CONSUMO</v>
      </c>
      <c r="D412" s="33" t="n">
        <f aca="false">'Uso e Consumo'!C412</f>
        <v>1674334</v>
      </c>
      <c r="E412" s="34" t="str">
        <f aca="false">'Uso e Consumo'!D412</f>
        <v>13.02.0379</v>
      </c>
      <c r="F412" s="34" t="str">
        <f aca="false">'Uso e Consumo'!E412</f>
        <v>JANELA DE CORRER DE DUAS FOLHAS EM ALUMINIO COM PINTURA ELETROSTATICA PRETA E VIDRO LISO INCOLOR 6 MM (1,20 X 1,00 M)</v>
      </c>
      <c r="G412" s="34" t="str">
        <f aca="false">'Uso e Consumo'!J412</f>
        <v>UN</v>
      </c>
      <c r="H412" s="49" t="n">
        <f aca="false">'Uso e Consumo'!F412</f>
        <v>4</v>
      </c>
      <c r="I412" s="35" t="n">
        <f aca="false">'Uso e Consumo'!G412</f>
        <v>3696</v>
      </c>
      <c r="J412" s="34" t="str">
        <f aca="false">'Uso e Consumo'!M412</f>
        <v>3.8.1.013 - Esquadrias e vidros</v>
      </c>
      <c r="K412" s="32" t="str">
        <f aca="false">INDEX('Curva ABC'!$K$8:$K$2847,MATCH(D412,'Curva ABC'!$B$8:$B$2847,0))</f>
        <v>B</v>
      </c>
    </row>
    <row r="413" customFormat="false" ht="15" hidden="false" customHeight="false" outlineLevel="0" collapsed="false">
      <c r="A413" s="34" t="s">
        <v>5799</v>
      </c>
      <c r="B413" s="34" t="str">
        <f aca="false">'Uso e Consumo'!A413</f>
        <v>0335</v>
      </c>
      <c r="C413" s="34" t="str">
        <f aca="false">'Uso e Consumo'!B413</f>
        <v>UFV NORONHA VERDE - USO E CONSUMO</v>
      </c>
      <c r="D413" s="33" t="n">
        <f aca="false">'Uso e Consumo'!C413</f>
        <v>19217</v>
      </c>
      <c r="E413" s="34" t="str">
        <f aca="false">'Uso e Consumo'!D413</f>
        <v>29.02.0003</v>
      </c>
      <c r="F413" s="34" t="str">
        <f aca="false">'Uso e Consumo'!E413</f>
        <v>CADEIRA ESCRITÓRIO SECRETÁRIA FIXA S/BRAÇO</v>
      </c>
      <c r="G413" s="34" t="str">
        <f aca="false">'Uso e Consumo'!J413</f>
        <v>UN</v>
      </c>
      <c r="H413" s="49" t="n">
        <f aca="false">'Uso e Consumo'!F413</f>
        <v>25</v>
      </c>
      <c r="I413" s="35" t="n">
        <f aca="false">'Uso e Consumo'!G413</f>
        <v>3694.94</v>
      </c>
      <c r="J413" s="34" t="str">
        <f aca="false">'Uso e Consumo'!M413</f>
        <v>4.1.1.008 - Mobiliário e acessórios</v>
      </c>
      <c r="K413" s="32" t="str">
        <f aca="false">INDEX('Curva ABC'!$K$8:$K$2847,MATCH(D413,'Curva ABC'!$B$8:$B$2847,0))</f>
        <v>B</v>
      </c>
    </row>
    <row r="414" customFormat="false" ht="15" hidden="false" customHeight="false" outlineLevel="0" collapsed="false">
      <c r="A414" s="34" t="s">
        <v>5799</v>
      </c>
      <c r="B414" s="34" t="str">
        <f aca="false">'Uso e Consumo'!A414</f>
        <v>0335</v>
      </c>
      <c r="C414" s="34" t="str">
        <f aca="false">'Uso e Consumo'!B414</f>
        <v>UFV NORONHA VERDE - USO E CONSUMO</v>
      </c>
      <c r="D414" s="33" t="n">
        <f aca="false">'Uso e Consumo'!C414</f>
        <v>1310971</v>
      </c>
      <c r="E414" s="34" t="str">
        <f aca="false">'Uso e Consumo'!D414</f>
        <v>01.09.0365</v>
      </c>
      <c r="F414" s="34" t="str">
        <f aca="false">'Uso e Consumo'!E414</f>
        <v>PERFIL "C" DOBRADO 28 MM X 38 MM X 28 MM NA CHAPA 0,5 MM COM COMPRIMENTO DE 3 METROS E PINTURA EXTERNA</v>
      </c>
      <c r="G414" s="34" t="str">
        <f aca="false">'Uso e Consumo'!J414</f>
        <v>UN</v>
      </c>
      <c r="H414" s="49" t="n">
        <f aca="false">'Uso e Consumo'!F414</f>
        <v>160</v>
      </c>
      <c r="I414" s="35" t="n">
        <f aca="false">'Uso e Consumo'!G414</f>
        <v>3680</v>
      </c>
      <c r="J414" s="34" t="str">
        <f aca="false">'Uso e Consumo'!M414</f>
        <v>3.8.1.001 - Aços e trefilados</v>
      </c>
      <c r="K414" s="32" t="str">
        <f aca="false">INDEX('Curva ABC'!$K$8:$K$2847,MATCH(D414,'Curva ABC'!$B$8:$B$2847,0))</f>
        <v>B</v>
      </c>
    </row>
    <row r="415" customFormat="false" ht="15" hidden="false" customHeight="false" outlineLevel="0" collapsed="false">
      <c r="A415" s="34" t="s">
        <v>5799</v>
      </c>
      <c r="B415" s="34" t="str">
        <f aca="false">'Uso e Consumo'!A415</f>
        <v>0335</v>
      </c>
      <c r="C415" s="34" t="str">
        <f aca="false">'Uso e Consumo'!B415</f>
        <v>UFV NORONHA VERDE - USO E CONSUMO</v>
      </c>
      <c r="D415" s="33" t="n">
        <f aca="false">'Uso e Consumo'!C415</f>
        <v>1469533</v>
      </c>
      <c r="E415" s="34" t="str">
        <f aca="false">'Uso e Consumo'!D415</f>
        <v>08.02.0085</v>
      </c>
      <c r="F415" s="34" t="str">
        <f aca="false">'Uso e Consumo'!E415</f>
        <v>BLOCO ESTRUTURAL 14X19X39 6MPA</v>
      </c>
      <c r="G415" s="34" t="str">
        <f aca="false">'Uso e Consumo'!J415</f>
        <v>UN</v>
      </c>
      <c r="H415" s="49" t="n">
        <f aca="false">'Uso e Consumo'!F415</f>
        <v>748</v>
      </c>
      <c r="I415" s="35" t="n">
        <f aca="false">'Uso e Consumo'!G415</f>
        <v>3624.8</v>
      </c>
      <c r="J415" s="34" t="str">
        <f aca="false">'Uso e Consumo'!M415</f>
        <v>3.8.1.008 - Blocos, painéis e divisórias</v>
      </c>
      <c r="K415" s="32" t="str">
        <f aca="false">INDEX('Curva ABC'!$K$8:$K$2847,MATCH(D415,'Curva ABC'!$B$8:$B$2847,0))</f>
        <v>B</v>
      </c>
    </row>
    <row r="416" customFormat="false" ht="15" hidden="false" customHeight="false" outlineLevel="0" collapsed="false">
      <c r="A416" s="34" t="s">
        <v>5799</v>
      </c>
      <c r="B416" s="34" t="str">
        <f aca="false">'Uso e Consumo'!A416</f>
        <v>0335</v>
      </c>
      <c r="C416" s="34" t="str">
        <f aca="false">'Uso e Consumo'!B416</f>
        <v>UFV NORONHA VERDE - USO E CONSUMO</v>
      </c>
      <c r="D416" s="33" t="n">
        <f aca="false">'Uso e Consumo'!C416</f>
        <v>930122</v>
      </c>
      <c r="E416" s="34" t="str">
        <f aca="false">'Uso e Consumo'!D416</f>
        <v>24.01.0019</v>
      </c>
      <c r="F416" s="34" t="str">
        <f aca="false">'Uso e Consumo'!E416</f>
        <v>ALICATE AMPERIMETRO HIOKI CM373-92 1500VCC</v>
      </c>
      <c r="G416" s="34" t="str">
        <f aca="false">'Uso e Consumo'!J416</f>
        <v>UN</v>
      </c>
      <c r="H416" s="49" t="n">
        <f aca="false">'Uso e Consumo'!F416</f>
        <v>1</v>
      </c>
      <c r="I416" s="35" t="n">
        <f aca="false">'Uso e Consumo'!G416</f>
        <v>3601.01</v>
      </c>
      <c r="J416" s="34" t="str">
        <f aca="false">'Uso e Consumo'!M416</f>
        <v>3.8.2.001 - Ferramentas medição/aferição</v>
      </c>
      <c r="K416" s="32" t="str">
        <f aca="false">INDEX('Curva ABC'!$K$8:$K$2847,MATCH(D416,'Curva ABC'!$B$8:$B$2847,0))</f>
        <v>B</v>
      </c>
    </row>
    <row r="417" customFormat="false" ht="15" hidden="false" customHeight="false" outlineLevel="0" collapsed="false">
      <c r="A417" s="34" t="s">
        <v>5799</v>
      </c>
      <c r="B417" s="34" t="str">
        <f aca="false">'Uso e Consumo'!A417</f>
        <v>0335</v>
      </c>
      <c r="C417" s="34" t="str">
        <f aca="false">'Uso e Consumo'!B417</f>
        <v>UFV NORONHA VERDE - USO E CONSUMO</v>
      </c>
      <c r="D417" s="33" t="n">
        <f aca="false">'Uso e Consumo'!C417</f>
        <v>32794</v>
      </c>
      <c r="E417" s="34" t="str">
        <f aca="false">'Uso e Consumo'!D417</f>
        <v>01.10.0062</v>
      </c>
      <c r="F417" s="34" t="str">
        <f aca="false">'Uso e Consumo'!E417</f>
        <v>BARRA ROSCADA AÇO CARBONO GALVANIZADO UNC 7/8" 9 FIOS C/ 1,00M</v>
      </c>
      <c r="G417" s="34" t="str">
        <f aca="false">'Uso e Consumo'!J417</f>
        <v>PÇ1M</v>
      </c>
      <c r="H417" s="49" t="n">
        <f aca="false">'Uso e Consumo'!F417</f>
        <v>80</v>
      </c>
      <c r="I417" s="35" t="n">
        <f aca="false">'Uso e Consumo'!G417</f>
        <v>3600</v>
      </c>
      <c r="J417" s="34" t="str">
        <f aca="false">'Uso e Consumo'!M417</f>
        <v>3.8.1.001 - Aços e trefilados</v>
      </c>
      <c r="K417" s="32" t="str">
        <f aca="false">INDEX('Curva ABC'!$K$8:$K$2847,MATCH(D417,'Curva ABC'!$B$8:$B$2847,0))</f>
        <v>B</v>
      </c>
    </row>
    <row r="418" customFormat="false" ht="22.35" hidden="false" customHeight="false" outlineLevel="0" collapsed="false">
      <c r="A418" s="34" t="s">
        <v>5799</v>
      </c>
      <c r="B418" s="34" t="str">
        <f aca="false">'Uso e Consumo'!A418</f>
        <v>0335</v>
      </c>
      <c r="C418" s="34" t="str">
        <f aca="false">'Uso e Consumo'!B418</f>
        <v>UFV NORONHA VERDE - USO E CONSUMO</v>
      </c>
      <c r="D418" s="33" t="n">
        <f aca="false">'Uso e Consumo'!C418</f>
        <v>1476263</v>
      </c>
      <c r="E418" s="34" t="str">
        <f aca="false">'Uso e Consumo'!D418</f>
        <v>24.41.0406</v>
      </c>
      <c r="F418" s="50" t="str">
        <f aca="false">'Uso e Consumo'!E418</f>
        <v>MATRIZ ALICATE HIDRÁULICO SACC-70-70
</v>
      </c>
      <c r="G418" s="34" t="str">
        <f aca="false">'Uso e Consumo'!J418</f>
        <v>UN</v>
      </c>
      <c r="H418" s="49" t="n">
        <f aca="false">'Uso e Consumo'!F418</f>
        <v>3</v>
      </c>
      <c r="I418" s="35" t="n">
        <f aca="false">'Uso e Consumo'!G418</f>
        <v>3600</v>
      </c>
      <c r="J418" s="34" t="str">
        <f aca="false">'Uso e Consumo'!M418</f>
        <v>3.8.1.001 - Aços e trefilados</v>
      </c>
      <c r="K418" s="32" t="str">
        <f aca="false">INDEX('Curva ABC'!$K$8:$K$2847,MATCH(D418,'Curva ABC'!$B$8:$B$2847,0))</f>
        <v>B</v>
      </c>
    </row>
    <row r="419" customFormat="false" ht="15" hidden="false" customHeight="false" outlineLevel="0" collapsed="false">
      <c r="A419" s="34" t="s">
        <v>5799</v>
      </c>
      <c r="B419" s="34" t="str">
        <f aca="false">'Uso e Consumo'!A419</f>
        <v>0335</v>
      </c>
      <c r="C419" s="34" t="str">
        <f aca="false">'Uso e Consumo'!B419</f>
        <v>UFV NORONHA VERDE - USO E CONSUMO</v>
      </c>
      <c r="D419" s="33" t="n">
        <f aca="false">'Uso e Consumo'!C419</f>
        <v>1476287</v>
      </c>
      <c r="E419" s="34" t="str">
        <f aca="false">'Uso e Consumo'!D419</f>
        <v>24.41.0407</v>
      </c>
      <c r="F419" s="34" t="str">
        <f aca="false">'Uso e Consumo'!E419</f>
        <v>MATRIZ ALICATE HIDRÁULICO SACG-5834-70</v>
      </c>
      <c r="G419" s="34" t="str">
        <f aca="false">'Uso e Consumo'!J419</f>
        <v>UN</v>
      </c>
      <c r="H419" s="49" t="n">
        <f aca="false">'Uso e Consumo'!F419</f>
        <v>3</v>
      </c>
      <c r="I419" s="35" t="n">
        <f aca="false">'Uso e Consumo'!G419</f>
        <v>3600</v>
      </c>
      <c r="J419" s="34" t="str">
        <f aca="false">'Uso e Consumo'!M419</f>
        <v>3.8.1.001 - Aços e trefilados</v>
      </c>
      <c r="K419" s="32" t="str">
        <f aca="false">INDEX('Curva ABC'!$K$8:$K$2847,MATCH(D419,'Curva ABC'!$B$8:$B$2847,0))</f>
        <v>B</v>
      </c>
    </row>
    <row r="420" customFormat="false" ht="15" hidden="false" customHeight="false" outlineLevel="0" collapsed="false">
      <c r="A420" s="34" t="s">
        <v>5799</v>
      </c>
      <c r="B420" s="34" t="str">
        <f aca="false">'Uso e Consumo'!A420</f>
        <v>0335</v>
      </c>
      <c r="C420" s="34" t="str">
        <f aca="false">'Uso e Consumo'!B420</f>
        <v>UFV NORONHA VERDE - USO E CONSUMO</v>
      </c>
      <c r="D420" s="33" t="n">
        <f aca="false">'Uso e Consumo'!C420</f>
        <v>1476359</v>
      </c>
      <c r="E420" s="34" t="str">
        <f aca="false">'Uso e Consumo'!D420</f>
        <v>24.30.0058</v>
      </c>
      <c r="F420" s="34" t="str">
        <f aca="false">'Uso e Consumo'!E420</f>
        <v>CARRO PLATAFORMA TIPO PRANCHA 800 KG</v>
      </c>
      <c r="G420" s="34" t="str">
        <f aca="false">'Uso e Consumo'!J420</f>
        <v>UN</v>
      </c>
      <c r="H420" s="49" t="n">
        <f aca="false">'Uso e Consumo'!F420</f>
        <v>2</v>
      </c>
      <c r="I420" s="35" t="n">
        <f aca="false">'Uso e Consumo'!G420</f>
        <v>3600</v>
      </c>
      <c r="J420" s="34" t="str">
        <f aca="false">'Uso e Consumo'!M420</f>
        <v>3.8.2.001 - Ferramentas medição/aferição</v>
      </c>
      <c r="K420" s="32" t="str">
        <f aca="false">INDEX('Curva ABC'!$K$8:$K$2847,MATCH(D420,'Curva ABC'!$B$8:$B$2847,0))</f>
        <v>B</v>
      </c>
    </row>
    <row r="421" customFormat="false" ht="15" hidden="false" customHeight="false" outlineLevel="0" collapsed="false">
      <c r="A421" s="34" t="s">
        <v>5799</v>
      </c>
      <c r="B421" s="34" t="str">
        <f aca="false">'Uso e Consumo'!A421</f>
        <v>0335</v>
      </c>
      <c r="C421" s="34" t="str">
        <f aca="false">'Uso e Consumo'!B421</f>
        <v>UFV NORONHA VERDE - USO E CONSUMO</v>
      </c>
      <c r="D421" s="33" t="n">
        <f aca="false">'Uso e Consumo'!C421</f>
        <v>23187</v>
      </c>
      <c r="E421" s="34" t="str">
        <f aca="false">'Uso e Consumo'!D421</f>
        <v>29.03.0064</v>
      </c>
      <c r="F421" s="34" t="str">
        <f aca="false">'Uso e Consumo'!E421</f>
        <v>MAQUINA DE LAVAR ROUPAS – 10KG</v>
      </c>
      <c r="G421" s="34" t="str">
        <f aca="false">'Uso e Consumo'!J421</f>
        <v>UN</v>
      </c>
      <c r="H421" s="49" t="n">
        <f aca="false">'Uso e Consumo'!F421</f>
        <v>2</v>
      </c>
      <c r="I421" s="35" t="n">
        <f aca="false">'Uso e Consumo'!G421</f>
        <v>3598</v>
      </c>
      <c r="J421" s="34" t="str">
        <f aca="false">'Uso e Consumo'!M421</f>
        <v>4.1.1.009 - Eletro eletrônico e acessórios</v>
      </c>
      <c r="K421" s="32" t="str">
        <f aca="false">INDEX('Curva ABC'!$K$8:$K$2847,MATCH(D421,'Curva ABC'!$B$8:$B$2847,0))</f>
        <v>B</v>
      </c>
    </row>
    <row r="422" customFormat="false" ht="15" hidden="false" customHeight="false" outlineLevel="0" collapsed="false">
      <c r="A422" s="34" t="s">
        <v>5799</v>
      </c>
      <c r="B422" s="34" t="str">
        <f aca="false">'Uso e Consumo'!A422</f>
        <v>0335</v>
      </c>
      <c r="C422" s="34" t="str">
        <f aca="false">'Uso e Consumo'!B422</f>
        <v>UFV NORONHA VERDE - USO E CONSUMO</v>
      </c>
      <c r="D422" s="33" t="n">
        <f aca="false">'Uso e Consumo'!C422</f>
        <v>388769</v>
      </c>
      <c r="E422" s="34" t="str">
        <f aca="false">'Uso e Consumo'!D422</f>
        <v>24.24.0039</v>
      </c>
      <c r="F422" s="34" t="str">
        <f aca="false">'Uso e Consumo'!E422</f>
        <v>PARAFUSADEIRA/FURADEIRA DE IMPACTO A BATERIA 18V CARREGADOR 2 BATERIAS MALETA E ACESSÓRIOS - BOSCH-06019F83E1-000</v>
      </c>
      <c r="G422" s="34" t="str">
        <f aca="false">'Uso e Consumo'!J422</f>
        <v>UN</v>
      </c>
      <c r="H422" s="49" t="n">
        <f aca="false">'Uso e Consumo'!F422</f>
        <v>4</v>
      </c>
      <c r="I422" s="35" t="n">
        <f aca="false">'Uso e Consumo'!G422</f>
        <v>3560</v>
      </c>
      <c r="J422" s="34" t="str">
        <f aca="false">'Uso e Consumo'!M422</f>
        <v>3.1.6.002 - Pneus e peças</v>
      </c>
      <c r="K422" s="32" t="str">
        <f aca="false">INDEX('Curva ABC'!$K$8:$K$2847,MATCH(D422,'Curva ABC'!$B$8:$B$2847,0))</f>
        <v>B</v>
      </c>
    </row>
    <row r="423" customFormat="false" ht="15" hidden="false" customHeight="false" outlineLevel="0" collapsed="false">
      <c r="A423" s="34" t="s">
        <v>5799</v>
      </c>
      <c r="B423" s="34" t="str">
        <f aca="false">'Uso e Consumo'!A423</f>
        <v>0335</v>
      </c>
      <c r="C423" s="34" t="str">
        <f aca="false">'Uso e Consumo'!B423</f>
        <v>UFV NORONHA VERDE - USO E CONSUMO</v>
      </c>
      <c r="D423" s="33" t="n">
        <f aca="false">'Uso e Consumo'!C423</f>
        <v>389171</v>
      </c>
      <c r="E423" s="34" t="str">
        <f aca="false">'Uso e Consumo'!D423</f>
        <v>26.01.0064</v>
      </c>
      <c r="F423" s="34" t="str">
        <f aca="false">'Uso e Consumo'!E423</f>
        <v>UNIFORME ELETRICISTA - VESTIMENTA DE SEGURANÇA NR10 (CALÇA E CAMISA) - ATPV 11,3 CAL/CM² TAMANHO XG</v>
      </c>
      <c r="G423" s="34" t="str">
        <f aca="false">'Uso e Consumo'!J423</f>
        <v>UN</v>
      </c>
      <c r="H423" s="49" t="n">
        <f aca="false">'Uso e Consumo'!F423</f>
        <v>12</v>
      </c>
      <c r="I423" s="35" t="n">
        <f aca="false">'Uso e Consumo'!G423</f>
        <v>3560</v>
      </c>
      <c r="J423" s="34" t="str">
        <f aca="false">'Uso e Consumo'!M423</f>
        <v>4.3.4.001 - Equipamento de proteção individual</v>
      </c>
      <c r="K423" s="32" t="str">
        <f aca="false">INDEX('Curva ABC'!$K$8:$K$2847,MATCH(D423,'Curva ABC'!$B$8:$B$2847,0))</f>
        <v>B</v>
      </c>
    </row>
    <row r="424" customFormat="false" ht="15" hidden="false" customHeight="false" outlineLevel="0" collapsed="false">
      <c r="A424" s="34" t="s">
        <v>5799</v>
      </c>
      <c r="B424" s="34" t="str">
        <f aca="false">'Uso e Consumo'!A424</f>
        <v>0335</v>
      </c>
      <c r="C424" s="34" t="str">
        <f aca="false">'Uso e Consumo'!B424</f>
        <v>UFV NORONHA VERDE - USO E CONSUMO</v>
      </c>
      <c r="D424" s="33" t="n">
        <f aca="false">'Uso e Consumo'!C424</f>
        <v>1679662</v>
      </c>
      <c r="E424" s="34" t="str">
        <f aca="false">'Uso e Consumo'!D424</f>
        <v>16.03.0515</v>
      </c>
      <c r="F424" s="34" t="str">
        <f aca="false">'Uso e Consumo'!E424</f>
        <v>TINTA COR VERDE RAL 6024 (IBERDROLA GREEN-1)</v>
      </c>
      <c r="G424" s="34" t="str">
        <f aca="false">'Uso e Consumo'!J424</f>
        <v>UN</v>
      </c>
      <c r="H424" s="49" t="n">
        <f aca="false">'Uso e Consumo'!F424</f>
        <v>2</v>
      </c>
      <c r="I424" s="35" t="n">
        <f aca="false">'Uso e Consumo'!G424</f>
        <v>3546.74</v>
      </c>
      <c r="J424" s="34" t="str">
        <f aca="false">'Uso e Consumo'!M424</f>
        <v>3.8.1.016 - Pinturas</v>
      </c>
      <c r="K424" s="32" t="str">
        <f aca="false">INDEX('Curva ABC'!$K$8:$K$2847,MATCH(D424,'Curva ABC'!$B$8:$B$2847,0))</f>
        <v>B</v>
      </c>
    </row>
    <row r="425" customFormat="false" ht="15" hidden="false" customHeight="false" outlineLevel="0" collapsed="false">
      <c r="A425" s="34" t="s">
        <v>5799</v>
      </c>
      <c r="B425" s="34" t="str">
        <f aca="false">'Uso e Consumo'!A425</f>
        <v>0335</v>
      </c>
      <c r="C425" s="34" t="str">
        <f aca="false">'Uso e Consumo'!B425</f>
        <v>UFV NORONHA VERDE - USO E CONSUMO</v>
      </c>
      <c r="D425" s="33" t="n">
        <f aca="false">'Uso e Consumo'!C425</f>
        <v>18889</v>
      </c>
      <c r="E425" s="34" t="str">
        <f aca="false">'Uso e Consumo'!D425</f>
        <v>26.06.0007</v>
      </c>
      <c r="F425" s="34" t="str">
        <f aca="false">'Uso e Consumo'!E425</f>
        <v>LUVA DE MALHA ALGODÃO PIGMENTADA - TAM G (CA-30521/10464/4699/12692)</v>
      </c>
      <c r="G425" s="34" t="str">
        <f aca="false">'Uso e Consumo'!J425</f>
        <v>PAR</v>
      </c>
      <c r="H425" s="49" t="n">
        <f aca="false">'Uso e Consumo'!F425</f>
        <v>2000</v>
      </c>
      <c r="I425" s="35" t="n">
        <f aca="false">'Uso e Consumo'!G425</f>
        <v>3538.8628</v>
      </c>
      <c r="J425" s="34" t="str">
        <f aca="false">'Uso e Consumo'!M425</f>
        <v>4.3.4.001 - Equipamento de proteção individual</v>
      </c>
      <c r="K425" s="32" t="str">
        <f aca="false">INDEX('Curva ABC'!$K$8:$K$2847,MATCH(D425,'Curva ABC'!$B$8:$B$2847,0))</f>
        <v>B</v>
      </c>
    </row>
    <row r="426" customFormat="false" ht="15" hidden="false" customHeight="false" outlineLevel="0" collapsed="false">
      <c r="A426" s="34" t="s">
        <v>5799</v>
      </c>
      <c r="B426" s="34" t="str">
        <f aca="false">'Uso e Consumo'!A426</f>
        <v>0335</v>
      </c>
      <c r="C426" s="34" t="str">
        <f aca="false">'Uso e Consumo'!B426</f>
        <v>UFV NORONHA VERDE - USO E CONSUMO</v>
      </c>
      <c r="D426" s="33" t="n">
        <f aca="false">'Uso e Consumo'!C426</f>
        <v>1386772</v>
      </c>
      <c r="E426" s="34" t="str">
        <f aca="false">'Uso e Consumo'!D426</f>
        <v>17.22.0134</v>
      </c>
      <c r="F426" s="34" t="str">
        <f aca="false">'Uso e Consumo'!E426</f>
        <v>CINTA POSTE CIRCULAR Ø210 5000DAN</v>
      </c>
      <c r="G426" s="34" t="str">
        <f aca="false">'Uso e Consumo'!J426</f>
        <v>UN</v>
      </c>
      <c r="H426" s="49" t="n">
        <f aca="false">'Uso e Consumo'!F426</f>
        <v>38</v>
      </c>
      <c r="I426" s="35" t="n">
        <f aca="false">'Uso e Consumo'!G426</f>
        <v>3530.65</v>
      </c>
      <c r="J426" s="34" t="str">
        <f aca="false">'Uso e Consumo'!M426</f>
        <v>3.8.1.022 - Elementos de fixação</v>
      </c>
      <c r="K426" s="32" t="str">
        <f aca="false">INDEX('Curva ABC'!$K$8:$K$2847,MATCH(D426,'Curva ABC'!$B$8:$B$2847,0))</f>
        <v>B</v>
      </c>
    </row>
    <row r="427" customFormat="false" ht="15" hidden="false" customHeight="false" outlineLevel="0" collapsed="false">
      <c r="A427" s="34" t="s">
        <v>5799</v>
      </c>
      <c r="B427" s="34" t="str">
        <f aca="false">'Uso e Consumo'!A427</f>
        <v>0335</v>
      </c>
      <c r="C427" s="34" t="str">
        <f aca="false">'Uso e Consumo'!B427</f>
        <v>UFV NORONHA VERDE - USO E CONSUMO</v>
      </c>
      <c r="D427" s="33" t="n">
        <f aca="false">'Uso e Consumo'!C427</f>
        <v>1387250</v>
      </c>
      <c r="E427" s="34" t="str">
        <f aca="false">'Uso e Consumo'!D427</f>
        <v>08.02.0081</v>
      </c>
      <c r="F427" s="34" t="str">
        <f aca="false">'Uso e Consumo'!E427</f>
        <v>BLOCO DE CONCRETO ESTRUTURAL INTEIRO 19x19x39CM</v>
      </c>
      <c r="G427" s="34" t="str">
        <f aca="false">'Uso e Consumo'!J427</f>
        <v>UN</v>
      </c>
      <c r="H427" s="49" t="n">
        <f aca="false">'Uso e Consumo'!F427</f>
        <v>665</v>
      </c>
      <c r="I427" s="35" t="n">
        <f aca="false">'Uso e Consumo'!G427</f>
        <v>3524.5</v>
      </c>
      <c r="J427" s="34" t="str">
        <f aca="false">'Uso e Consumo'!M427</f>
        <v>3.8.1.008 - Blocos, painéis e divisórias</v>
      </c>
      <c r="K427" s="32" t="str">
        <f aca="false">INDEX('Curva ABC'!$K$8:$K$2847,MATCH(D427,'Curva ABC'!$B$8:$B$2847,0))</f>
        <v>B</v>
      </c>
    </row>
    <row r="428" customFormat="false" ht="15" hidden="false" customHeight="false" outlineLevel="0" collapsed="false">
      <c r="A428" s="34" t="s">
        <v>5799</v>
      </c>
      <c r="B428" s="34" t="str">
        <f aca="false">'Uso e Consumo'!A428</f>
        <v>0335</v>
      </c>
      <c r="C428" s="34" t="str">
        <f aca="false">'Uso e Consumo'!B428</f>
        <v>UFV NORONHA VERDE - USO E CONSUMO</v>
      </c>
      <c r="D428" s="33" t="n">
        <f aca="false">'Uso e Consumo'!C428</f>
        <v>1613427</v>
      </c>
      <c r="E428" s="34" t="str">
        <f aca="false">'Uso e Consumo'!D428</f>
        <v>17.08.0252</v>
      </c>
      <c r="F428" s="34" t="str">
        <f aca="false">'Uso e Consumo'!E428</f>
        <v>QUADRO DE DISTRIBUICAO METALICO PARA ATE 25 DISJUNTORES COM BARRAMENTO TRIFASICO 150 A E BARRAMENTO DE NEUTRO E TERRA PA</v>
      </c>
      <c r="G428" s="34" t="str">
        <f aca="false">'Uso e Consumo'!J428</f>
        <v>UN</v>
      </c>
      <c r="H428" s="49" t="n">
        <f aca="false">'Uso e Consumo'!F428</f>
        <v>2</v>
      </c>
      <c r="I428" s="35" t="n">
        <f aca="false">'Uso e Consumo'!G428</f>
        <v>3509.94</v>
      </c>
      <c r="J428" s="34" t="str">
        <f aca="false">'Uso e Consumo'!M428</f>
        <v>3.8.1.017 - Instalações elétricas/telefônicas/lógica</v>
      </c>
      <c r="K428" s="32" t="str">
        <f aca="false">INDEX('Curva ABC'!$K$8:$K$2847,MATCH(D428,'Curva ABC'!$B$8:$B$2847,0))</f>
        <v>B</v>
      </c>
    </row>
    <row r="429" customFormat="false" ht="15" hidden="false" customHeight="false" outlineLevel="0" collapsed="false">
      <c r="A429" s="34" t="s">
        <v>5799</v>
      </c>
      <c r="B429" s="34" t="str">
        <f aca="false">'Uso e Consumo'!A429</f>
        <v>0335</v>
      </c>
      <c r="C429" s="34" t="str">
        <f aca="false">'Uso e Consumo'!B429</f>
        <v>UFV NORONHA VERDE - USO E CONSUMO</v>
      </c>
      <c r="D429" s="33" t="n">
        <f aca="false">'Uso e Consumo'!C429</f>
        <v>16255</v>
      </c>
      <c r="E429" s="34" t="str">
        <f aca="false">'Uso e Consumo'!D429</f>
        <v>18.11.0011</v>
      </c>
      <c r="F429" s="34" t="str">
        <f aca="false">'Uso e Consumo'!E429</f>
        <v>EXTINTOR INCÊNDIO CARGA BASE PO QUIMICO SECO CLASSE BC CAP 6KG NORMA CAP NBR 10721</v>
      </c>
      <c r="G429" s="34" t="str">
        <f aca="false">'Uso e Consumo'!J429</f>
        <v>UN</v>
      </c>
      <c r="H429" s="49" t="n">
        <f aca="false">'Uso e Consumo'!F429</f>
        <v>12</v>
      </c>
      <c r="I429" s="35" t="n">
        <f aca="false">'Uso e Consumo'!G429</f>
        <v>3480</v>
      </c>
      <c r="J429" s="34" t="str">
        <f aca="false">'Uso e Consumo'!M429</f>
        <v>4.3.4.005 - Combate incêndio</v>
      </c>
      <c r="K429" s="32" t="str">
        <f aca="false">INDEX('Curva ABC'!$K$8:$K$2847,MATCH(D429,'Curva ABC'!$B$8:$B$2847,0))</f>
        <v>B</v>
      </c>
    </row>
    <row r="430" customFormat="false" ht="15" hidden="false" customHeight="false" outlineLevel="0" collapsed="false">
      <c r="A430" s="34" t="s">
        <v>5799</v>
      </c>
      <c r="B430" s="34" t="str">
        <f aca="false">'Uso e Consumo'!A430</f>
        <v>0335</v>
      </c>
      <c r="C430" s="34" t="str">
        <f aca="false">'Uso e Consumo'!B430</f>
        <v>UFV NORONHA VERDE - USO E CONSUMO</v>
      </c>
      <c r="D430" s="33" t="n">
        <f aca="false">'Uso e Consumo'!C430</f>
        <v>1677142</v>
      </c>
      <c r="E430" s="34" t="str">
        <f aca="false">'Uso e Consumo'!D430</f>
        <v>17.03.0624</v>
      </c>
      <c r="F430" s="34" t="str">
        <f aca="false">'Uso e Consumo'!E430</f>
        <v>CURVA DE ALUMINIO 90 COM ROSCA TIPO PESADO 2"</v>
      </c>
      <c r="G430" s="34" t="str">
        <f aca="false">'Uso e Consumo'!J430</f>
        <v>UN</v>
      </c>
      <c r="H430" s="49" t="n">
        <f aca="false">'Uso e Consumo'!F430</f>
        <v>16</v>
      </c>
      <c r="I430" s="35" t="n">
        <f aca="false">'Uso e Consumo'!G430</f>
        <v>3476.88</v>
      </c>
      <c r="J430" s="34" t="str">
        <f aca="false">'Uso e Consumo'!M430</f>
        <v>3.8.1.017 - Instalações elétricas/telefônicas/lógica</v>
      </c>
      <c r="K430" s="32" t="str">
        <f aca="false">INDEX('Curva ABC'!$K$8:$K$2847,MATCH(D430,'Curva ABC'!$B$8:$B$2847,0))</f>
        <v>B</v>
      </c>
    </row>
    <row r="431" customFormat="false" ht="15" hidden="false" customHeight="false" outlineLevel="0" collapsed="false">
      <c r="A431" s="34" t="s">
        <v>5799</v>
      </c>
      <c r="B431" s="34" t="str">
        <f aca="false">'Uso e Consumo'!A431</f>
        <v>0335</v>
      </c>
      <c r="C431" s="34" t="str">
        <f aca="false">'Uso e Consumo'!B431</f>
        <v>UFV NORONHA VERDE - USO E CONSUMO</v>
      </c>
      <c r="D431" s="33" t="n">
        <f aca="false">'Uso e Consumo'!C431</f>
        <v>1679661</v>
      </c>
      <c r="E431" s="34" t="str">
        <f aca="false">'Uso e Consumo'!D431</f>
        <v>16.03.0514</v>
      </c>
      <c r="F431" s="34" t="str">
        <f aca="false">'Uso e Consumo'!E431</f>
        <v>TINTA COR VERDE RAL 6005 (IBERDROLA FOREST)</v>
      </c>
      <c r="G431" s="34" t="str">
        <f aca="false">'Uso e Consumo'!J431</f>
        <v>UN</v>
      </c>
      <c r="H431" s="49" t="n">
        <f aca="false">'Uso e Consumo'!F431</f>
        <v>2</v>
      </c>
      <c r="I431" s="35" t="n">
        <f aca="false">'Uso e Consumo'!G431</f>
        <v>3473.68</v>
      </c>
      <c r="J431" s="34" t="str">
        <f aca="false">'Uso e Consumo'!M431</f>
        <v>3.8.1.016 - Pinturas</v>
      </c>
      <c r="K431" s="32" t="str">
        <f aca="false">INDEX('Curva ABC'!$K$8:$K$2847,MATCH(D431,'Curva ABC'!$B$8:$B$2847,0))</f>
        <v>B</v>
      </c>
    </row>
    <row r="432" customFormat="false" ht="15" hidden="false" customHeight="false" outlineLevel="0" collapsed="false">
      <c r="A432" s="34" t="s">
        <v>5799</v>
      </c>
      <c r="B432" s="34" t="str">
        <f aca="false">'Uso e Consumo'!A432</f>
        <v>0335</v>
      </c>
      <c r="C432" s="34" t="str">
        <f aca="false">'Uso e Consumo'!B432</f>
        <v>UFV NORONHA VERDE - USO E CONSUMO</v>
      </c>
      <c r="D432" s="33" t="n">
        <f aca="false">'Uso e Consumo'!C432</f>
        <v>1385805</v>
      </c>
      <c r="E432" s="34" t="str">
        <f aca="false">'Uso e Consumo'!D432</f>
        <v>17.08.0223</v>
      </c>
      <c r="F432" s="34" t="str">
        <f aca="false">'Uso e Consumo'!E432</f>
        <v>QUADRO DISTRIBUIÇÃO ILUMINAÇÃO QIL-EXT, ABRIGADO, AÇO GALVANIZADO, IP54</v>
      </c>
      <c r="G432" s="34" t="str">
        <f aca="false">'Uso e Consumo'!J432</f>
        <v>UN</v>
      </c>
      <c r="H432" s="49" t="n">
        <f aca="false">'Uso e Consumo'!F432</f>
        <v>1</v>
      </c>
      <c r="I432" s="35" t="n">
        <f aca="false">'Uso e Consumo'!G432</f>
        <v>3472.55</v>
      </c>
      <c r="J432" s="34" t="str">
        <f aca="false">'Uso e Consumo'!M432</f>
        <v>3.8.1.017 - Instalações elétricas/telefônicas/lógica</v>
      </c>
      <c r="K432" s="32" t="str">
        <f aca="false">INDEX('Curva ABC'!$K$8:$K$2847,MATCH(D432,'Curva ABC'!$B$8:$B$2847,0))</f>
        <v>B</v>
      </c>
    </row>
    <row r="433" customFormat="false" ht="15" hidden="false" customHeight="false" outlineLevel="0" collapsed="false">
      <c r="A433" s="34" t="s">
        <v>5799</v>
      </c>
      <c r="B433" s="34" t="str">
        <f aca="false">'Uso e Consumo'!A433</f>
        <v>0335</v>
      </c>
      <c r="C433" s="34" t="str">
        <f aca="false">'Uso e Consumo'!B433</f>
        <v>UFV NORONHA VERDE - USO E CONSUMO</v>
      </c>
      <c r="D433" s="33" t="n">
        <f aca="false">'Uso e Consumo'!C433</f>
        <v>1329178</v>
      </c>
      <c r="E433" s="34" t="str">
        <f aca="false">'Uso e Consumo'!D433</f>
        <v>30.01.0828</v>
      </c>
      <c r="F433" s="34" t="str">
        <f aca="false">'Uso e Consumo'!E433</f>
        <v>CABIDE DE ALUMÍNIO PARA EXPOSITOR E MAPOTECA TRIDENT – MOD: 62,5 CM</v>
      </c>
      <c r="G433" s="34" t="str">
        <f aca="false">'Uso e Consumo'!J433</f>
        <v>UN</v>
      </c>
      <c r="H433" s="49" t="n">
        <f aca="false">'Uso e Consumo'!F433</f>
        <v>8</v>
      </c>
      <c r="I433" s="35" t="n">
        <f aca="false">'Uso e Consumo'!G433</f>
        <v>3440.64</v>
      </c>
      <c r="J433" s="34" t="str">
        <f aca="false">'Uso e Consumo'!M433</f>
        <v>4.1.1.002 - Material expediente</v>
      </c>
      <c r="K433" s="32" t="str">
        <f aca="false">INDEX('Curva ABC'!$K$8:$K$2847,MATCH(D433,'Curva ABC'!$B$8:$B$2847,0))</f>
        <v>B</v>
      </c>
    </row>
    <row r="434" customFormat="false" ht="15" hidden="false" customHeight="false" outlineLevel="0" collapsed="false">
      <c r="A434" s="34" t="s">
        <v>5799</v>
      </c>
      <c r="B434" s="34" t="str">
        <f aca="false">'Uso e Consumo'!A434</f>
        <v>0335</v>
      </c>
      <c r="C434" s="34" t="str">
        <f aca="false">'Uso e Consumo'!B434</f>
        <v>UFV NORONHA VERDE - USO E CONSUMO</v>
      </c>
      <c r="D434" s="33" t="n">
        <f aca="false">'Uso e Consumo'!C434</f>
        <v>18831</v>
      </c>
      <c r="E434" s="34" t="str">
        <f aca="false">'Uso e Consumo'!D434</f>
        <v>26.02.0035</v>
      </c>
      <c r="F434" s="34" t="str">
        <f aca="false">'Uso e Consumo'!E434</f>
        <v>BOTINA PARA ELETRICISTA - RESISTENCIA 14 KV - COR PRETA - Nº 39 (CA-17010/28988/14721/26511)</v>
      </c>
      <c r="G434" s="34" t="str">
        <f aca="false">'Uso e Consumo'!J434</f>
        <v>PAR</v>
      </c>
      <c r="H434" s="49" t="n">
        <f aca="false">'Uso e Consumo'!F434</f>
        <v>35</v>
      </c>
      <c r="I434" s="35" t="n">
        <f aca="false">'Uso e Consumo'!G434</f>
        <v>3430.25</v>
      </c>
      <c r="J434" s="34" t="str">
        <f aca="false">'Uso e Consumo'!M434</f>
        <v>4.3.4.001 - Equipamento de proteção individual</v>
      </c>
      <c r="K434" s="32" t="str">
        <f aca="false">INDEX('Curva ABC'!$K$8:$K$2847,MATCH(D434,'Curva ABC'!$B$8:$B$2847,0))</f>
        <v>B</v>
      </c>
    </row>
    <row r="435" customFormat="false" ht="15" hidden="false" customHeight="false" outlineLevel="0" collapsed="false">
      <c r="A435" s="34" t="s">
        <v>5799</v>
      </c>
      <c r="B435" s="34" t="str">
        <f aca="false">'Uso e Consumo'!A435</f>
        <v>0335</v>
      </c>
      <c r="C435" s="34" t="str">
        <f aca="false">'Uso e Consumo'!B435</f>
        <v>UFV NORONHA VERDE - USO E CONSUMO</v>
      </c>
      <c r="D435" s="33" t="n">
        <f aca="false">'Uso e Consumo'!C435</f>
        <v>18833</v>
      </c>
      <c r="E435" s="34" t="str">
        <f aca="false">'Uso e Consumo'!D435</f>
        <v>26.02.0037</v>
      </c>
      <c r="F435" s="34" t="str">
        <f aca="false">'Uso e Consumo'!E435</f>
        <v>BOTINA PARA ELETRICISTA - RESISTENCIA 14 KV - COR PRETA - Nº 41 (CA-17010/28988/14721/26511)</v>
      </c>
      <c r="G435" s="34" t="str">
        <f aca="false">'Uso e Consumo'!J435</f>
        <v>PAR</v>
      </c>
      <c r="H435" s="49" t="n">
        <f aca="false">'Uso e Consumo'!F435</f>
        <v>35</v>
      </c>
      <c r="I435" s="35" t="n">
        <f aca="false">'Uso e Consumo'!G435</f>
        <v>3410.25</v>
      </c>
      <c r="J435" s="34" t="str">
        <f aca="false">'Uso e Consumo'!M435</f>
        <v>4.3.4.001 - Equipamento de proteção individual</v>
      </c>
      <c r="K435" s="32" t="str">
        <f aca="false">INDEX('Curva ABC'!$K$8:$K$2847,MATCH(D435,'Curva ABC'!$B$8:$B$2847,0))</f>
        <v>B</v>
      </c>
    </row>
    <row r="436" customFormat="false" ht="15" hidden="false" customHeight="false" outlineLevel="0" collapsed="false">
      <c r="A436" s="34" t="s">
        <v>5799</v>
      </c>
      <c r="B436" s="34" t="str">
        <f aca="false">'Uso e Consumo'!A436</f>
        <v>0335</v>
      </c>
      <c r="C436" s="34" t="str">
        <f aca="false">'Uso e Consumo'!B436</f>
        <v>UFV NORONHA VERDE - USO E CONSUMO</v>
      </c>
      <c r="D436" s="33" t="n">
        <f aca="false">'Uso e Consumo'!C436</f>
        <v>19956</v>
      </c>
      <c r="E436" s="34" t="str">
        <f aca="false">'Uso e Consumo'!D436</f>
        <v>32.08.0002</v>
      </c>
      <c r="F436" s="34" t="str">
        <f aca="false">'Uso e Consumo'!E436</f>
        <v>COMPRESSOR AR 60,00L 6,00PCM 120PSI 1HP 4 POLOS 1730RPM 220V</v>
      </c>
      <c r="G436" s="34" t="str">
        <f aca="false">'Uso e Consumo'!J436</f>
        <v>UN</v>
      </c>
      <c r="H436" s="49" t="n">
        <f aca="false">'Uso e Consumo'!F436</f>
        <v>1</v>
      </c>
      <c r="I436" s="35" t="n">
        <f aca="false">'Uso e Consumo'!G436</f>
        <v>3400</v>
      </c>
      <c r="J436" s="34" t="str">
        <f aca="false">'Uso e Consumo'!M436</f>
        <v>6.1.2.001 - Equipamentos</v>
      </c>
      <c r="K436" s="32" t="str">
        <f aca="false">INDEX('Curva ABC'!$K$8:$K$2847,MATCH(D436,'Curva ABC'!$B$8:$B$2847,0))</f>
        <v>B</v>
      </c>
    </row>
    <row r="437" customFormat="false" ht="15" hidden="false" customHeight="false" outlineLevel="0" collapsed="false">
      <c r="A437" s="34" t="s">
        <v>5799</v>
      </c>
      <c r="B437" s="34" t="str">
        <f aca="false">'Uso e Consumo'!A437</f>
        <v>0335</v>
      </c>
      <c r="C437" s="34" t="str">
        <f aca="false">'Uso e Consumo'!B437</f>
        <v>UFV NORONHA VERDE - USO E CONSUMO</v>
      </c>
      <c r="D437" s="33" t="n">
        <f aca="false">'Uso e Consumo'!C437</f>
        <v>316110</v>
      </c>
      <c r="E437" s="34" t="str">
        <f aca="false">'Uso e Consumo'!D437</f>
        <v>26.01.0055</v>
      </c>
      <c r="F437" s="34" t="str">
        <f aca="false">'Uso e Consumo'!E437</f>
        <v>COLETE REFLETIVO TIPO BLUSÃO - COR VERMELHO - BRIGADA DE EMERGÊNCIA</v>
      </c>
      <c r="G437" s="34" t="str">
        <f aca="false">'Uso e Consumo'!J437</f>
        <v>UN</v>
      </c>
      <c r="H437" s="49" t="n">
        <f aca="false">'Uso e Consumo'!F437</f>
        <v>40</v>
      </c>
      <c r="I437" s="35" t="n">
        <f aca="false">'Uso e Consumo'!G437</f>
        <v>3400</v>
      </c>
      <c r="J437" s="34" t="str">
        <f aca="false">'Uso e Consumo'!M437</f>
        <v>4.3.4.001 - Equipamento de proteção individual</v>
      </c>
      <c r="K437" s="32" t="str">
        <f aca="false">INDEX('Curva ABC'!$K$8:$K$2847,MATCH(D437,'Curva ABC'!$B$8:$B$2847,0))</f>
        <v>B</v>
      </c>
    </row>
    <row r="438" customFormat="false" ht="15" hidden="false" customHeight="false" outlineLevel="0" collapsed="false">
      <c r="A438" s="34" t="s">
        <v>5799</v>
      </c>
      <c r="B438" s="34" t="str">
        <f aca="false">'Uso e Consumo'!A438</f>
        <v>0335</v>
      </c>
      <c r="C438" s="34" t="str">
        <f aca="false">'Uso e Consumo'!B438</f>
        <v>UFV NORONHA VERDE - USO E CONSUMO</v>
      </c>
      <c r="D438" s="33" t="n">
        <f aca="false">'Uso e Consumo'!C438</f>
        <v>942237</v>
      </c>
      <c r="E438" s="34" t="str">
        <f aca="false">'Uso e Consumo'!D438</f>
        <v>17.01.1102</v>
      </c>
      <c r="F438" s="34" t="str">
        <f aca="false">'Uso e Consumo'!E438</f>
        <v>CABO 2,5MM² 750V PVC AZUL UNIPOLAR</v>
      </c>
      <c r="G438" s="34" t="str">
        <f aca="false">'Uso e Consumo'!J438</f>
        <v>M</v>
      </c>
      <c r="H438" s="49" t="n">
        <f aca="false">'Uso e Consumo'!F438</f>
        <v>1302.68</v>
      </c>
      <c r="I438" s="35" t="n">
        <f aca="false">'Uso e Consumo'!G438</f>
        <v>3387.18</v>
      </c>
      <c r="J438" s="34" t="str">
        <f aca="false">'Uso e Consumo'!M438</f>
        <v>3.8.1.017 - Instalações elétricas/telefônicas/lógica</v>
      </c>
      <c r="K438" s="32" t="str">
        <f aca="false">INDEX('Curva ABC'!$K$8:$K$2847,MATCH(D438,'Curva ABC'!$B$8:$B$2847,0))</f>
        <v>B</v>
      </c>
    </row>
    <row r="439" customFormat="false" ht="15" hidden="false" customHeight="false" outlineLevel="0" collapsed="false">
      <c r="A439" s="34" t="s">
        <v>5799</v>
      </c>
      <c r="B439" s="34" t="str">
        <f aca="false">'Uso e Consumo'!A439</f>
        <v>0335</v>
      </c>
      <c r="C439" s="34" t="str">
        <f aca="false">'Uso e Consumo'!B439</f>
        <v>UFV NORONHA VERDE - USO E CONSUMO</v>
      </c>
      <c r="D439" s="33" t="n">
        <f aca="false">'Uso e Consumo'!C439</f>
        <v>65309</v>
      </c>
      <c r="E439" s="34" t="str">
        <f aca="false">'Uso e Consumo'!D439</f>
        <v>26.01.0018</v>
      </c>
      <c r="F439" s="34" t="str">
        <f aca="false">'Uso e Consumo'!E439</f>
        <v>CAPA DE CHUVA PVC LAMINADO SEM FORRO TAM. GG</v>
      </c>
      <c r="G439" s="34" t="str">
        <f aca="false">'Uso e Consumo'!J439</f>
        <v>UN</v>
      </c>
      <c r="H439" s="49" t="n">
        <f aca="false">'Uso e Consumo'!F439</f>
        <v>225</v>
      </c>
      <c r="I439" s="35" t="n">
        <f aca="false">'Uso e Consumo'!G439</f>
        <v>3375.95</v>
      </c>
      <c r="J439" s="34" t="str">
        <f aca="false">'Uso e Consumo'!M439</f>
        <v>4.3.4.001 - Equipamento de proteção individual</v>
      </c>
      <c r="K439" s="32" t="str">
        <f aca="false">INDEX('Curva ABC'!$K$8:$K$2847,MATCH(D439,'Curva ABC'!$B$8:$B$2847,0))</f>
        <v>B</v>
      </c>
    </row>
    <row r="440" customFormat="false" ht="15" hidden="false" customHeight="false" outlineLevel="0" collapsed="false">
      <c r="A440" s="34" t="s">
        <v>5799</v>
      </c>
      <c r="B440" s="34" t="str">
        <f aca="false">'Uso e Consumo'!A440</f>
        <v>0335</v>
      </c>
      <c r="C440" s="34" t="str">
        <f aca="false">'Uso e Consumo'!B440</f>
        <v>UFV NORONHA VERDE - USO E CONSUMO</v>
      </c>
      <c r="D440" s="33" t="n">
        <f aca="false">'Uso e Consumo'!C440</f>
        <v>1326868</v>
      </c>
      <c r="E440" s="34" t="str">
        <f aca="false">'Uso e Consumo'!D440</f>
        <v>17.20.0675</v>
      </c>
      <c r="F440" s="34" t="str">
        <f aca="false">'Uso e Consumo'!E440</f>
        <v>CARTUCHO COM METAL DE IGNIÇÃO PARA CONEXÃO DE CABO TERMINAL DE COBRE 70 mm², DIÂMETRO NOMINAL 19mm (3/4"), CONTEÚDO 90g</v>
      </c>
      <c r="G440" s="34" t="str">
        <f aca="false">'Uso e Consumo'!J440</f>
        <v>pç</v>
      </c>
      <c r="H440" s="49" t="n">
        <f aca="false">'Uso e Consumo'!F440</f>
        <v>182</v>
      </c>
      <c r="I440" s="35" t="n">
        <f aca="false">'Uso e Consumo'!G440</f>
        <v>3375.11</v>
      </c>
      <c r="J440" s="34" t="str">
        <f aca="false">'Uso e Consumo'!M440</f>
        <v>3.8.1.017 - Instalações elétricas/telefônicas/lógica</v>
      </c>
      <c r="K440" s="32" t="str">
        <f aca="false">INDEX('Curva ABC'!$K$8:$K$2847,MATCH(D440,'Curva ABC'!$B$8:$B$2847,0))</f>
        <v>B</v>
      </c>
    </row>
    <row r="441" customFormat="false" ht="15" hidden="false" customHeight="false" outlineLevel="0" collapsed="false">
      <c r="A441" s="34" t="s">
        <v>5799</v>
      </c>
      <c r="B441" s="34" t="str">
        <f aca="false">'Uso e Consumo'!A441</f>
        <v>0335</v>
      </c>
      <c r="C441" s="34" t="str">
        <f aca="false">'Uso e Consumo'!B441</f>
        <v>UFV NORONHA VERDE - USO E CONSUMO</v>
      </c>
      <c r="D441" s="33" t="n">
        <f aca="false">'Uso e Consumo'!C441</f>
        <v>18832</v>
      </c>
      <c r="E441" s="34" t="str">
        <f aca="false">'Uso e Consumo'!D441</f>
        <v>26.02.0036</v>
      </c>
      <c r="F441" s="34" t="str">
        <f aca="false">'Uso e Consumo'!E441</f>
        <v>BOTINA PARA ELETRICISTA - RESISTENCIA 14 KV - COR PRETA - Nº 40 (CA-17010/28988/14721/26511)</v>
      </c>
      <c r="G441" s="34" t="str">
        <f aca="false">'Uso e Consumo'!J441</f>
        <v>PAR</v>
      </c>
      <c r="H441" s="49" t="n">
        <f aca="false">'Uso e Consumo'!F441</f>
        <v>35</v>
      </c>
      <c r="I441" s="35" t="n">
        <f aca="false">'Uso e Consumo'!G441</f>
        <v>3370.25</v>
      </c>
      <c r="J441" s="34" t="str">
        <f aca="false">'Uso e Consumo'!M441</f>
        <v>4.3.4.001 - Equipamento de proteção individual</v>
      </c>
      <c r="K441" s="32" t="str">
        <f aca="false">INDEX('Curva ABC'!$K$8:$K$2847,MATCH(D441,'Curva ABC'!$B$8:$B$2847,0))</f>
        <v>B</v>
      </c>
    </row>
    <row r="442" customFormat="false" ht="15" hidden="false" customHeight="false" outlineLevel="0" collapsed="false">
      <c r="A442" s="34" t="s">
        <v>5799</v>
      </c>
      <c r="B442" s="34" t="str">
        <f aca="false">'Uso e Consumo'!A442</f>
        <v>0335</v>
      </c>
      <c r="C442" s="34" t="str">
        <f aca="false">'Uso e Consumo'!B442</f>
        <v>UFV NORONHA VERDE - USO E CONSUMO</v>
      </c>
      <c r="D442" s="33" t="n">
        <f aca="false">'Uso e Consumo'!C442</f>
        <v>1680622</v>
      </c>
      <c r="E442" s="34" t="str">
        <f aca="false">'Uso e Consumo'!D442</f>
        <v>16.03.0522</v>
      </c>
      <c r="F442" s="34" t="str">
        <f aca="false">'Uso e Consumo'!E442</f>
        <v>TINTA ACRILICA PREMIUM, COR AMARELO PASTEL, PARA PAREDES EXTERNAS - REF. PERA DOCE SUVINIL OU SIMILAR</v>
      </c>
      <c r="G442" s="34" t="str">
        <f aca="false">'Uso e Consumo'!J442</f>
        <v>L</v>
      </c>
      <c r="H442" s="49" t="n">
        <f aca="false">'Uso e Consumo'!F442</f>
        <v>3</v>
      </c>
      <c r="I442" s="35" t="n">
        <f aca="false">'Uso e Consumo'!G442</f>
        <v>3369.21</v>
      </c>
      <c r="J442" s="34" t="str">
        <f aca="false">'Uso e Consumo'!M442</f>
        <v>3.8.1.016 - Pinturas</v>
      </c>
      <c r="K442" s="32" t="str">
        <f aca="false">INDEX('Curva ABC'!$K$8:$K$2847,MATCH(D442,'Curva ABC'!$B$8:$B$2847,0))</f>
        <v>B</v>
      </c>
    </row>
    <row r="443" customFormat="false" ht="15" hidden="false" customHeight="false" outlineLevel="0" collapsed="false">
      <c r="A443" s="34" t="s">
        <v>5799</v>
      </c>
      <c r="B443" s="34" t="str">
        <f aca="false">'Uso e Consumo'!A443</f>
        <v>0335</v>
      </c>
      <c r="C443" s="34" t="str">
        <f aca="false">'Uso e Consumo'!B443</f>
        <v>UFV NORONHA VERDE - USO E CONSUMO</v>
      </c>
      <c r="D443" s="33" t="n">
        <f aca="false">'Uso e Consumo'!C443</f>
        <v>1330569</v>
      </c>
      <c r="E443" s="34" t="str">
        <f aca="false">'Uso e Consumo'!D443</f>
        <v>18.09.0345</v>
      </c>
      <c r="F443" s="34" t="str">
        <f aca="false">'Uso e Consumo'!E443</f>
        <v>REGISTRO DE PRESSÃO 25MM COM ACABAMENTO</v>
      </c>
      <c r="G443" s="34" t="str">
        <f aca="false">'Uso e Consumo'!J443</f>
        <v>UN</v>
      </c>
      <c r="H443" s="49" t="n">
        <f aca="false">'Uso e Consumo'!F443</f>
        <v>58</v>
      </c>
      <c r="I443" s="35" t="n">
        <f aca="false">'Uso e Consumo'!G443</f>
        <v>3366.9</v>
      </c>
      <c r="J443" s="34" t="str">
        <f aca="false">'Uso e Consumo'!M443</f>
        <v>3.8.1.018 - Instalações hidráulicas/sanitárias/industriais</v>
      </c>
      <c r="K443" s="32" t="str">
        <f aca="false">INDEX('Curva ABC'!$K$8:$K$2847,MATCH(D443,'Curva ABC'!$B$8:$B$2847,0))</f>
        <v>B</v>
      </c>
    </row>
    <row r="444" customFormat="false" ht="15" hidden="false" customHeight="false" outlineLevel="0" collapsed="false">
      <c r="A444" s="34" t="s">
        <v>5799</v>
      </c>
      <c r="B444" s="34" t="str">
        <f aca="false">'Uso e Consumo'!A444</f>
        <v>0335</v>
      </c>
      <c r="C444" s="34" t="str">
        <f aca="false">'Uso e Consumo'!B444</f>
        <v>UFV NORONHA VERDE - USO E CONSUMO</v>
      </c>
      <c r="D444" s="33" t="n">
        <f aca="false">'Uso e Consumo'!C444</f>
        <v>1607240</v>
      </c>
      <c r="E444" s="34" t="str">
        <f aca="false">'Uso e Consumo'!D444</f>
        <v>17.02.0915</v>
      </c>
      <c r="F444" s="34" t="str">
        <f aca="false">'Uso e Consumo'!E444</f>
        <v>CONECTOR TORQUIMETRO</v>
      </c>
      <c r="G444" s="34" t="str">
        <f aca="false">'Uso e Consumo'!J444</f>
        <v>UN</v>
      </c>
      <c r="H444" s="49" t="n">
        <f aca="false">'Uso e Consumo'!F444</f>
        <v>12</v>
      </c>
      <c r="I444" s="35" t="n">
        <f aca="false">'Uso e Consumo'!G444</f>
        <v>3363.84</v>
      </c>
      <c r="J444" s="34" t="str">
        <f aca="false">'Uso e Consumo'!M444</f>
        <v>3.8.1.017 - Instalações elétricas/telefônicas/lógica</v>
      </c>
      <c r="K444" s="32" t="str">
        <f aca="false">INDEX('Curva ABC'!$K$8:$K$2847,MATCH(D444,'Curva ABC'!$B$8:$B$2847,0))</f>
        <v>B</v>
      </c>
    </row>
    <row r="445" customFormat="false" ht="15" hidden="false" customHeight="false" outlineLevel="0" collapsed="false">
      <c r="A445" s="34" t="s">
        <v>5799</v>
      </c>
      <c r="B445" s="34" t="str">
        <f aca="false">'Uso e Consumo'!A445</f>
        <v>0335</v>
      </c>
      <c r="C445" s="34" t="str">
        <f aca="false">'Uso e Consumo'!B445</f>
        <v>UFV NORONHA VERDE - USO E CONSUMO</v>
      </c>
      <c r="D445" s="33" t="n">
        <f aca="false">'Uso e Consumo'!C445</f>
        <v>293147</v>
      </c>
      <c r="E445" s="34" t="str">
        <f aca="false">'Uso e Consumo'!D445</f>
        <v>29.02.0326</v>
      </c>
      <c r="F445" s="34" t="str">
        <f aca="false">'Uso e Consumo'!E445</f>
        <v>SOFÁ 2 LUGARES</v>
      </c>
      <c r="G445" s="34" t="str">
        <f aca="false">'Uso e Consumo'!J445</f>
        <v>UN</v>
      </c>
      <c r="H445" s="49" t="n">
        <f aca="false">'Uso e Consumo'!F445</f>
        <v>7</v>
      </c>
      <c r="I445" s="35" t="n">
        <f aca="false">'Uso e Consumo'!G445</f>
        <v>3362.57</v>
      </c>
      <c r="J445" s="34" t="str">
        <f aca="false">'Uso e Consumo'!M445</f>
        <v>4.1.1.008 - Mobiliário e acessórios</v>
      </c>
      <c r="K445" s="32" t="str">
        <f aca="false">INDEX('Curva ABC'!$K$8:$K$2847,MATCH(D445,'Curva ABC'!$B$8:$B$2847,0))</f>
        <v>B</v>
      </c>
    </row>
    <row r="446" customFormat="false" ht="15" hidden="false" customHeight="false" outlineLevel="0" collapsed="false">
      <c r="A446" s="34" t="s">
        <v>5799</v>
      </c>
      <c r="B446" s="34" t="str">
        <f aca="false">'Uso e Consumo'!A446</f>
        <v>0335</v>
      </c>
      <c r="C446" s="34" t="str">
        <f aca="false">'Uso e Consumo'!B446</f>
        <v>UFV NORONHA VERDE - USO E CONSUMO</v>
      </c>
      <c r="D446" s="33" t="n">
        <f aca="false">'Uso e Consumo'!C446</f>
        <v>1311113</v>
      </c>
      <c r="E446" s="34" t="str">
        <f aca="false">'Uso e Consumo'!D446</f>
        <v>01.09.0367</v>
      </c>
      <c r="F446" s="34" t="str">
        <f aca="false">'Uso e Consumo'!E446</f>
        <v>PERFIL "C" DOBRADO 28 MM X 54 MM X 28 MM NA CHAPA 0,5 MM COM COMPRIMENTO DE 3 METROS E PINTURA EXTERNA</v>
      </c>
      <c r="G446" s="34" t="str">
        <f aca="false">'Uso e Consumo'!J446</f>
        <v>UN</v>
      </c>
      <c r="H446" s="49" t="n">
        <f aca="false">'Uso e Consumo'!F446</f>
        <v>120</v>
      </c>
      <c r="I446" s="35" t="n">
        <f aca="false">'Uso e Consumo'!G446</f>
        <v>3344.4</v>
      </c>
      <c r="J446" s="34" t="str">
        <f aca="false">'Uso e Consumo'!M446</f>
        <v>3.8.1.001 - Aços e trefilados</v>
      </c>
      <c r="K446" s="32" t="str">
        <f aca="false">INDEX('Curva ABC'!$K$8:$K$2847,MATCH(D446,'Curva ABC'!$B$8:$B$2847,0))</f>
        <v>B</v>
      </c>
    </row>
    <row r="447" customFormat="false" ht="15" hidden="false" customHeight="false" outlineLevel="0" collapsed="false">
      <c r="A447" s="34" t="s">
        <v>5799</v>
      </c>
      <c r="B447" s="34" t="str">
        <f aca="false">'Uso e Consumo'!A447</f>
        <v>0335</v>
      </c>
      <c r="C447" s="34" t="str">
        <f aca="false">'Uso e Consumo'!B447</f>
        <v>UFV NORONHA VERDE - USO E CONSUMO</v>
      </c>
      <c r="D447" s="33" t="n">
        <f aca="false">'Uso e Consumo'!C447</f>
        <v>228954</v>
      </c>
      <c r="E447" s="34" t="str">
        <f aca="false">'Uso e Consumo'!D447</f>
        <v>24.22.0008</v>
      </c>
      <c r="F447" s="34" t="str">
        <f aca="false">'Uso e Consumo'!E447</f>
        <v>TESOURÃO P/ ATÉ CABOS 30MM DIÂMETRO - STARFER</v>
      </c>
      <c r="G447" s="34" t="str">
        <f aca="false">'Uso e Consumo'!J447</f>
        <v>UN</v>
      </c>
      <c r="H447" s="49" t="n">
        <f aca="false">'Uso e Consumo'!F447</f>
        <v>2</v>
      </c>
      <c r="I447" s="35" t="n">
        <f aca="false">'Uso e Consumo'!G447</f>
        <v>3340</v>
      </c>
      <c r="J447" s="34" t="str">
        <f aca="false">'Uso e Consumo'!M447</f>
        <v>3.8.2.002 - Ferramentas manuais</v>
      </c>
      <c r="K447" s="32" t="str">
        <f aca="false">INDEX('Curva ABC'!$K$8:$K$2847,MATCH(D447,'Curva ABC'!$B$8:$B$2847,0))</f>
        <v>B</v>
      </c>
    </row>
    <row r="448" customFormat="false" ht="15" hidden="false" customHeight="false" outlineLevel="0" collapsed="false">
      <c r="A448" s="34" t="s">
        <v>5799</v>
      </c>
      <c r="B448" s="34" t="str">
        <f aca="false">'Uso e Consumo'!A448</f>
        <v>0335</v>
      </c>
      <c r="C448" s="34" t="str">
        <f aca="false">'Uso e Consumo'!B448</f>
        <v>UFV NORONHA VERDE - USO E CONSUMO</v>
      </c>
      <c r="D448" s="33" t="n">
        <f aca="false">'Uso e Consumo'!C448</f>
        <v>1472290</v>
      </c>
      <c r="E448" s="34" t="str">
        <f aca="false">'Uso e Consumo'!D448</f>
        <v>03.01.0063</v>
      </c>
      <c r="F448" s="34" t="str">
        <f aca="false">'Uso e Consumo'!E448</f>
        <v>MADEIRITE PLASTIFICADO</v>
      </c>
      <c r="G448" s="34" t="str">
        <f aca="false">'Uso e Consumo'!J448</f>
        <v>UN</v>
      </c>
      <c r="H448" s="49" t="n">
        <f aca="false">'Uso e Consumo'!F448</f>
        <v>12</v>
      </c>
      <c r="I448" s="35" t="n">
        <f aca="false">'Uso e Consumo'!G448</f>
        <v>3336</v>
      </c>
      <c r="J448" s="34" t="str">
        <f aca="false">'Uso e Consumo'!M448</f>
        <v>3.8.1.003 - Madeira</v>
      </c>
      <c r="K448" s="32" t="str">
        <f aca="false">INDEX('Curva ABC'!$K$8:$K$2847,MATCH(D448,'Curva ABC'!$B$8:$B$2847,0))</f>
        <v>B</v>
      </c>
    </row>
    <row r="449" customFormat="false" ht="15" hidden="false" customHeight="false" outlineLevel="0" collapsed="false">
      <c r="A449" s="34" t="s">
        <v>5799</v>
      </c>
      <c r="B449" s="34" t="str">
        <f aca="false">'Uso e Consumo'!A449</f>
        <v>0335</v>
      </c>
      <c r="C449" s="34" t="str">
        <f aca="false">'Uso e Consumo'!B449</f>
        <v>UFV NORONHA VERDE - USO E CONSUMO</v>
      </c>
      <c r="D449" s="33" t="n">
        <f aca="false">'Uso e Consumo'!C449</f>
        <v>18834</v>
      </c>
      <c r="E449" s="34" t="str">
        <f aca="false">'Uso e Consumo'!D449</f>
        <v>26.02.0038</v>
      </c>
      <c r="F449" s="34" t="str">
        <f aca="false">'Uso e Consumo'!E449</f>
        <v>BOTINA PARA ELETRICISTA - RESISTENCIA 14 KV - COR PRETA - Nº 42 (CA-17010/28988/14721/26511)</v>
      </c>
      <c r="G449" s="34" t="str">
        <f aca="false">'Uso e Consumo'!J449</f>
        <v>PAR</v>
      </c>
      <c r="H449" s="49" t="n">
        <f aca="false">'Uso e Consumo'!F449</f>
        <v>35</v>
      </c>
      <c r="I449" s="35" t="n">
        <f aca="false">'Uso e Consumo'!G449</f>
        <v>3330.25</v>
      </c>
      <c r="J449" s="34" t="str">
        <f aca="false">'Uso e Consumo'!M449</f>
        <v>4.3.4.001 - Equipamento de proteção individual</v>
      </c>
      <c r="K449" s="32" t="str">
        <f aca="false">INDEX('Curva ABC'!$K$8:$K$2847,MATCH(D449,'Curva ABC'!$B$8:$B$2847,0))</f>
        <v>B</v>
      </c>
    </row>
    <row r="450" customFormat="false" ht="15" hidden="false" customHeight="false" outlineLevel="0" collapsed="false">
      <c r="A450" s="34" t="s">
        <v>5799</v>
      </c>
      <c r="B450" s="34" t="str">
        <f aca="false">'Uso e Consumo'!A450</f>
        <v>0335</v>
      </c>
      <c r="C450" s="34" t="str">
        <f aca="false">'Uso e Consumo'!B450</f>
        <v>UFV NORONHA VERDE - USO E CONSUMO</v>
      </c>
      <c r="D450" s="33" t="n">
        <f aca="false">'Uso e Consumo'!C450</f>
        <v>1386744</v>
      </c>
      <c r="E450" s="34" t="str">
        <f aca="false">'Uso e Consumo'!D450</f>
        <v>17.22.0132</v>
      </c>
      <c r="F450" s="34" t="str">
        <f aca="false">'Uso e Consumo'!E450</f>
        <v>PINO AUTOTRAVANTE ISOLADOR M20 C/ ARRUELAS E PORCA</v>
      </c>
      <c r="G450" s="34" t="str">
        <f aca="false">'Uso e Consumo'!J450</f>
        <v>UN</v>
      </c>
      <c r="H450" s="49" t="n">
        <f aca="false">'Uso e Consumo'!F450</f>
        <v>222</v>
      </c>
      <c r="I450" s="35" t="n">
        <f aca="false">'Uso e Consumo'!G450</f>
        <v>3330</v>
      </c>
      <c r="J450" s="34" t="str">
        <f aca="false">'Uso e Consumo'!M450</f>
        <v>3.8.1.022 - Elementos de fixação</v>
      </c>
      <c r="K450" s="32" t="str">
        <f aca="false">INDEX('Curva ABC'!$K$8:$K$2847,MATCH(D450,'Curva ABC'!$B$8:$B$2847,0))</f>
        <v>B</v>
      </c>
    </row>
    <row r="451" customFormat="false" ht="15" hidden="false" customHeight="false" outlineLevel="0" collapsed="false">
      <c r="A451" s="34" t="s">
        <v>5799</v>
      </c>
      <c r="B451" s="34" t="str">
        <f aca="false">'Uso e Consumo'!A451</f>
        <v>0335</v>
      </c>
      <c r="C451" s="34" t="str">
        <f aca="false">'Uso e Consumo'!B451</f>
        <v>UFV NORONHA VERDE - USO E CONSUMO</v>
      </c>
      <c r="D451" s="33" t="n">
        <f aca="false">'Uso e Consumo'!C451</f>
        <v>429123</v>
      </c>
      <c r="E451" s="34" t="str">
        <f aca="false">'Uso e Consumo'!D451</f>
        <v>16.02.0041</v>
      </c>
      <c r="F451" s="34" t="str">
        <f aca="false">'Uso e Consumo'!E451</f>
        <v>MASSA ACRÍLICA</v>
      </c>
      <c r="G451" s="34" t="str">
        <f aca="false">'Uso e Consumo'!J451</f>
        <v>UN</v>
      </c>
      <c r="H451" s="49" t="n">
        <f aca="false">'Uso e Consumo'!F451</f>
        <v>15</v>
      </c>
      <c r="I451" s="35" t="n">
        <f aca="false">'Uso e Consumo'!G451</f>
        <v>3298.5</v>
      </c>
      <c r="J451" s="34" t="str">
        <f aca="false">'Uso e Consumo'!M451</f>
        <v>3.8.1.016 - Pinturas</v>
      </c>
      <c r="K451" s="32" t="str">
        <f aca="false">INDEX('Curva ABC'!$K$8:$K$2847,MATCH(D451,'Curva ABC'!$B$8:$B$2847,0))</f>
        <v>B</v>
      </c>
    </row>
    <row r="452" customFormat="false" ht="15" hidden="false" customHeight="false" outlineLevel="0" collapsed="false">
      <c r="A452" s="34" t="s">
        <v>5799</v>
      </c>
      <c r="B452" s="34" t="str">
        <f aca="false">'Uso e Consumo'!A452</f>
        <v>0335</v>
      </c>
      <c r="C452" s="34" t="str">
        <f aca="false">'Uso e Consumo'!B452</f>
        <v>UFV NORONHA VERDE - USO E CONSUMO</v>
      </c>
      <c r="D452" s="33" t="n">
        <f aca="false">'Uso e Consumo'!C452</f>
        <v>55587</v>
      </c>
      <c r="E452" s="34" t="str">
        <f aca="false">'Uso e Consumo'!D452</f>
        <v>26.03.0024</v>
      </c>
      <c r="F452" s="34" t="str">
        <f aca="false">'Uso e Consumo'!E452</f>
        <v>CAPACETE COM ABA FRONTAL CLASSE B PROTETOR AUDITIVO E VISEIRA TELA DE NYLON TIPO MOTOSSERISTA (CA 7</v>
      </c>
      <c r="G452" s="34" t="str">
        <f aca="false">'Uso e Consumo'!J452</f>
        <v>UN</v>
      </c>
      <c r="H452" s="49" t="n">
        <f aca="false">'Uso e Consumo'!F452</f>
        <v>17</v>
      </c>
      <c r="I452" s="35" t="n">
        <f aca="false">'Uso e Consumo'!G452</f>
        <v>3285</v>
      </c>
      <c r="J452" s="34" t="str">
        <f aca="false">'Uso e Consumo'!M452</f>
        <v>4.3.4.001 - Equipamento de proteção individual</v>
      </c>
      <c r="K452" s="32" t="str">
        <f aca="false">INDEX('Curva ABC'!$K$8:$K$2847,MATCH(D452,'Curva ABC'!$B$8:$B$2847,0))</f>
        <v>B</v>
      </c>
    </row>
    <row r="453" customFormat="false" ht="15" hidden="false" customHeight="false" outlineLevel="0" collapsed="false">
      <c r="A453" s="34" t="s">
        <v>5799</v>
      </c>
      <c r="B453" s="34" t="str">
        <f aca="false">'Uso e Consumo'!A453</f>
        <v>0335</v>
      </c>
      <c r="C453" s="34" t="str">
        <f aca="false">'Uso e Consumo'!B453</f>
        <v>UFV NORONHA VERDE - USO E CONSUMO</v>
      </c>
      <c r="D453" s="33" t="n">
        <f aca="false">'Uso e Consumo'!C453</f>
        <v>1475178</v>
      </c>
      <c r="E453" s="34" t="str">
        <f aca="false">'Uso e Consumo'!D453</f>
        <v>18.01.1663</v>
      </c>
      <c r="F453" s="34" t="str">
        <f aca="false">'Uso e Consumo'!E453</f>
        <v>BUCHA REDUÇÃO (2"-1.1/2") S/ ROSCA ALUMÍNIO</v>
      </c>
      <c r="G453" s="34" t="str">
        <f aca="false">'Uso e Consumo'!J453</f>
        <v>UN</v>
      </c>
      <c r="H453" s="49" t="n">
        <f aca="false">'Uso e Consumo'!F453</f>
        <v>13</v>
      </c>
      <c r="I453" s="35" t="n">
        <f aca="false">'Uso e Consumo'!G453</f>
        <v>3267.52</v>
      </c>
      <c r="J453" s="34" t="str">
        <f aca="false">'Uso e Consumo'!M453</f>
        <v>3.8.1.018 - Instalações hidráulicas/sanitárias/industriais</v>
      </c>
      <c r="K453" s="32" t="str">
        <f aca="false">INDEX('Curva ABC'!$K$8:$K$2847,MATCH(D453,'Curva ABC'!$B$8:$B$2847,0))</f>
        <v>B</v>
      </c>
    </row>
    <row r="454" customFormat="false" ht="15" hidden="false" customHeight="false" outlineLevel="0" collapsed="false">
      <c r="A454" s="34" t="s">
        <v>5799</v>
      </c>
      <c r="B454" s="34" t="str">
        <f aca="false">'Uso e Consumo'!A454</f>
        <v>0335</v>
      </c>
      <c r="C454" s="34" t="str">
        <f aca="false">'Uso e Consumo'!B454</f>
        <v>UFV NORONHA VERDE - USO E CONSUMO</v>
      </c>
      <c r="D454" s="33" t="n">
        <f aca="false">'Uso e Consumo'!C454</f>
        <v>1064684</v>
      </c>
      <c r="E454" s="34" t="str">
        <f aca="false">'Uso e Consumo'!D454</f>
        <v>17.20.0632</v>
      </c>
      <c r="F454" s="34" t="str">
        <f aca="false">'Uso e Consumo'!E454</f>
        <v>PORCA SEXTAVADA GALVANIZADA 1"</v>
      </c>
      <c r="G454" s="34" t="str">
        <f aca="false">'Uso e Consumo'!J454</f>
        <v>KG</v>
      </c>
      <c r="H454" s="49" t="n">
        <f aca="false">'Uso e Consumo'!F454</f>
        <v>300</v>
      </c>
      <c r="I454" s="35" t="n">
        <f aca="false">'Uso e Consumo'!G454</f>
        <v>3259.2</v>
      </c>
      <c r="J454" s="34" t="str">
        <f aca="false">'Uso e Consumo'!M454</f>
        <v>3.8.1.022 - Elementos de fixação</v>
      </c>
      <c r="K454" s="32" t="str">
        <f aca="false">INDEX('Curva ABC'!$K$8:$K$2847,MATCH(D454,'Curva ABC'!$B$8:$B$2847,0))</f>
        <v>B</v>
      </c>
    </row>
    <row r="455" customFormat="false" ht="15" hidden="false" customHeight="false" outlineLevel="0" collapsed="false">
      <c r="A455" s="34" t="s">
        <v>5799</v>
      </c>
      <c r="B455" s="34" t="str">
        <f aca="false">'Uso e Consumo'!A455</f>
        <v>0335</v>
      </c>
      <c r="C455" s="34" t="str">
        <f aca="false">'Uso e Consumo'!B455</f>
        <v>UFV NORONHA VERDE - USO E CONSUMO</v>
      </c>
      <c r="D455" s="33" t="n">
        <f aca="false">'Uso e Consumo'!C455</f>
        <v>563618</v>
      </c>
      <c r="E455" s="34" t="str">
        <f aca="false">'Uso e Consumo'!D455</f>
        <v>32.07.0139</v>
      </c>
      <c r="F455" s="34" t="str">
        <f aca="false">'Uso e Consumo'!E455</f>
        <v>MOTOPOLADOR DE GALHOS A GASOLINA 3 METROS KMP330 KAWARAH</v>
      </c>
      <c r="G455" s="34" t="str">
        <f aca="false">'Uso e Consumo'!J455</f>
        <v>UN</v>
      </c>
      <c r="H455" s="49" t="n">
        <f aca="false">'Uso e Consumo'!F455</f>
        <v>1</v>
      </c>
      <c r="I455" s="35" t="n">
        <f aca="false">'Uso e Consumo'!G455</f>
        <v>3250</v>
      </c>
      <c r="J455" s="34" t="str">
        <f aca="false">'Uso e Consumo'!M455</f>
        <v>6.1.2.001 - Equipamentos</v>
      </c>
      <c r="K455" s="32" t="str">
        <f aca="false">INDEX('Curva ABC'!$K$8:$K$2847,MATCH(D455,'Curva ABC'!$B$8:$B$2847,0))</f>
        <v>B</v>
      </c>
    </row>
    <row r="456" customFormat="false" ht="15" hidden="false" customHeight="false" outlineLevel="0" collapsed="false">
      <c r="A456" s="34" t="s">
        <v>5799</v>
      </c>
      <c r="B456" s="34" t="str">
        <f aca="false">'Uso e Consumo'!A456</f>
        <v>0335</v>
      </c>
      <c r="C456" s="34" t="str">
        <f aca="false">'Uso e Consumo'!B456</f>
        <v>UFV NORONHA VERDE - USO E CONSUMO</v>
      </c>
      <c r="D456" s="33" t="n">
        <f aca="false">'Uso e Consumo'!C456</f>
        <v>831921</v>
      </c>
      <c r="E456" s="34" t="str">
        <f aca="false">'Uso e Consumo'!D456</f>
        <v>26.02.0187</v>
      </c>
      <c r="F456" s="34" t="str">
        <f aca="false">'Uso e Consumo'!E456</f>
        <v>BOTINA FUJIWARA HESS C/BICO DE AÇO COMPOSITE E PALMILHA ANTIPERFURANTE CA 42330 N° 39</v>
      </c>
      <c r="G456" s="34" t="str">
        <f aca="false">'Uso e Consumo'!J456</f>
        <v>UN</v>
      </c>
      <c r="H456" s="49" t="n">
        <f aca="false">'Uso e Consumo'!F456</f>
        <v>29</v>
      </c>
      <c r="I456" s="35" t="n">
        <f aca="false">'Uso e Consumo'!G456</f>
        <v>3237.56</v>
      </c>
      <c r="J456" s="34" t="str">
        <f aca="false">'Uso e Consumo'!M456</f>
        <v>4.3.4.001 - Equipamento de proteção individual</v>
      </c>
      <c r="K456" s="32" t="str">
        <f aca="false">INDEX('Curva ABC'!$K$8:$K$2847,MATCH(D456,'Curva ABC'!$B$8:$B$2847,0))</f>
        <v>B</v>
      </c>
    </row>
    <row r="457" customFormat="false" ht="15" hidden="false" customHeight="false" outlineLevel="0" collapsed="false">
      <c r="A457" s="34" t="s">
        <v>5799</v>
      </c>
      <c r="B457" s="34" t="str">
        <f aca="false">'Uso e Consumo'!A457</f>
        <v>0335</v>
      </c>
      <c r="C457" s="34" t="str">
        <f aca="false">'Uso e Consumo'!B457</f>
        <v>UFV NORONHA VERDE - USO E CONSUMO</v>
      </c>
      <c r="D457" s="33" t="n">
        <f aca="false">'Uso e Consumo'!C457</f>
        <v>864250</v>
      </c>
      <c r="E457" s="34" t="str">
        <f aca="false">'Uso e Consumo'!D457</f>
        <v>35.17.0032</v>
      </c>
      <c r="F457" s="34" t="str">
        <f aca="false">'Uso e Consumo'!E457</f>
        <v>PAR DE RÁDIO PONTO A PONTO BF-777S</v>
      </c>
      <c r="G457" s="34" t="str">
        <f aca="false">'Uso e Consumo'!J457</f>
        <v>UN</v>
      </c>
      <c r="H457" s="49" t="n">
        <f aca="false">'Uso e Consumo'!F457</f>
        <v>15</v>
      </c>
      <c r="I457" s="35" t="n">
        <f aca="false">'Uso e Consumo'!G457</f>
        <v>3220</v>
      </c>
      <c r="J457" s="34" t="str">
        <f aca="false">'Uso e Consumo'!M457</f>
        <v>3.1.1.009 - Eletro eletrônico e acessórios</v>
      </c>
      <c r="K457" s="32" t="str">
        <f aca="false">INDEX('Curva ABC'!$K$8:$K$2847,MATCH(D457,'Curva ABC'!$B$8:$B$2847,0))</f>
        <v>B</v>
      </c>
    </row>
    <row r="458" customFormat="false" ht="15" hidden="false" customHeight="false" outlineLevel="0" collapsed="false">
      <c r="A458" s="34" t="s">
        <v>5799</v>
      </c>
      <c r="B458" s="34" t="str">
        <f aca="false">'Uso e Consumo'!A458</f>
        <v>0335</v>
      </c>
      <c r="C458" s="34" t="str">
        <f aca="false">'Uso e Consumo'!B458</f>
        <v>UFV NORONHA VERDE - USO E CONSUMO</v>
      </c>
      <c r="D458" s="33" t="n">
        <f aca="false">'Uso e Consumo'!C458</f>
        <v>959716</v>
      </c>
      <c r="E458" s="34" t="str">
        <f aca="false">'Uso e Consumo'!D458</f>
        <v>32.07.0186</v>
      </c>
      <c r="F458" s="34" t="str">
        <f aca="false">'Uso e Consumo'!E458</f>
        <v>SABRE PARA MOTOSSERRA STIHL MS 361</v>
      </c>
      <c r="G458" s="34" t="str">
        <f aca="false">'Uso e Consumo'!J458</f>
        <v>UN</v>
      </c>
      <c r="H458" s="49" t="n">
        <f aca="false">'Uso e Consumo'!F458</f>
        <v>11</v>
      </c>
      <c r="I458" s="35" t="n">
        <f aca="false">'Uso e Consumo'!G458</f>
        <v>3216.785</v>
      </c>
      <c r="J458" s="34" t="str">
        <f aca="false">'Uso e Consumo'!M458</f>
        <v>6.1.2.001 - Equipamentos</v>
      </c>
      <c r="K458" s="32" t="str">
        <f aca="false">INDEX('Curva ABC'!$K$8:$K$2847,MATCH(D458,'Curva ABC'!$B$8:$B$2847,0))</f>
        <v>B</v>
      </c>
    </row>
    <row r="459" customFormat="false" ht="15" hidden="false" customHeight="false" outlineLevel="0" collapsed="false">
      <c r="A459" s="34" t="s">
        <v>5799</v>
      </c>
      <c r="B459" s="34" t="str">
        <f aca="false">'Uso e Consumo'!A459</f>
        <v>0335</v>
      </c>
      <c r="C459" s="34" t="str">
        <f aca="false">'Uso e Consumo'!B459</f>
        <v>UFV NORONHA VERDE - USO E CONSUMO</v>
      </c>
      <c r="D459" s="33" t="n">
        <f aca="false">'Uso e Consumo'!C459</f>
        <v>1679659</v>
      </c>
      <c r="E459" s="34" t="str">
        <f aca="false">'Uso e Consumo'!D459</f>
        <v>16.03.0512</v>
      </c>
      <c r="F459" s="34" t="str">
        <f aca="false">'Uso e Consumo'!E459</f>
        <v>TINTA ACRILICA BRANCA</v>
      </c>
      <c r="G459" s="34" t="str">
        <f aca="false">'Uso e Consumo'!J459</f>
        <v>UN</v>
      </c>
      <c r="H459" s="49" t="n">
        <f aca="false">'Uso e Consumo'!F459</f>
        <v>8</v>
      </c>
      <c r="I459" s="35" t="n">
        <f aca="false">'Uso e Consumo'!G459</f>
        <v>3207.36</v>
      </c>
      <c r="J459" s="34" t="str">
        <f aca="false">'Uso e Consumo'!M459</f>
        <v>3.8.1.016 - Pinturas</v>
      </c>
      <c r="K459" s="32" t="str">
        <f aca="false">INDEX('Curva ABC'!$K$8:$K$2847,MATCH(D459,'Curva ABC'!$B$8:$B$2847,0))</f>
        <v>B</v>
      </c>
    </row>
    <row r="460" customFormat="false" ht="15" hidden="false" customHeight="false" outlineLevel="0" collapsed="false">
      <c r="A460" s="34" t="s">
        <v>5799</v>
      </c>
      <c r="B460" s="34" t="str">
        <f aca="false">'Uso e Consumo'!A460</f>
        <v>0335</v>
      </c>
      <c r="C460" s="34" t="str">
        <f aca="false">'Uso e Consumo'!B460</f>
        <v>UFV NORONHA VERDE - USO E CONSUMO</v>
      </c>
      <c r="D460" s="33" t="n">
        <f aca="false">'Uso e Consumo'!C460</f>
        <v>259921</v>
      </c>
      <c r="E460" s="34" t="str">
        <f aca="false">'Uso e Consumo'!D460</f>
        <v>09.16.0012</v>
      </c>
      <c r="F460" s="34" t="str">
        <f aca="false">'Uso e Consumo'!E460</f>
        <v>MARCO DE CONCRETO</v>
      </c>
      <c r="G460" s="34" t="str">
        <f aca="false">'Uso e Consumo'!J460</f>
        <v>UN</v>
      </c>
      <c r="H460" s="49" t="n">
        <f aca="false">'Uso e Consumo'!F460</f>
        <v>20</v>
      </c>
      <c r="I460" s="35" t="n">
        <f aca="false">'Uso e Consumo'!G460</f>
        <v>3200</v>
      </c>
      <c r="J460" s="34" t="str">
        <f aca="false">'Uso e Consumo'!M460</f>
        <v>3.8.1.009 - Artefatos pré-moldados de concreto</v>
      </c>
      <c r="K460" s="32" t="str">
        <f aca="false">INDEX('Curva ABC'!$K$8:$K$2847,MATCH(D460,'Curva ABC'!$B$8:$B$2847,0))</f>
        <v>B</v>
      </c>
    </row>
    <row r="461" customFormat="false" ht="15" hidden="false" customHeight="false" outlineLevel="0" collapsed="false">
      <c r="A461" s="34" t="s">
        <v>5799</v>
      </c>
      <c r="B461" s="34" t="str">
        <f aca="false">'Uso e Consumo'!A461</f>
        <v>0335</v>
      </c>
      <c r="C461" s="34" t="str">
        <f aca="false">'Uso e Consumo'!B461</f>
        <v>UFV NORONHA VERDE - USO E CONSUMO</v>
      </c>
      <c r="D461" s="33" t="n">
        <f aca="false">'Uso e Consumo'!C461</f>
        <v>1465455</v>
      </c>
      <c r="E461" s="34" t="str">
        <f aca="false">'Uso e Consumo'!D461</f>
        <v>23.02.0484</v>
      </c>
      <c r="F461" s="34" t="str">
        <f aca="false">'Uso e Consumo'!E461</f>
        <v>SUPORTE PARA CABO ISOLADO C/ PARAFUSO M12</v>
      </c>
      <c r="G461" s="34" t="str">
        <f aca="false">'Uso e Consumo'!J461</f>
        <v>UN</v>
      </c>
      <c r="H461" s="49" t="n">
        <f aca="false">'Uso e Consumo'!F461</f>
        <v>16</v>
      </c>
      <c r="I461" s="35" t="n">
        <f aca="false">'Uso e Consumo'!G461</f>
        <v>3197</v>
      </c>
      <c r="J461" s="34" t="str">
        <f aca="false">'Uso e Consumo'!M461</f>
        <v>3.8.1.022 - Elementos de fixação</v>
      </c>
      <c r="K461" s="32" t="str">
        <f aca="false">INDEX('Curva ABC'!$K$8:$K$2847,MATCH(D461,'Curva ABC'!$B$8:$B$2847,0))</f>
        <v>B</v>
      </c>
    </row>
    <row r="462" customFormat="false" ht="15" hidden="false" customHeight="false" outlineLevel="0" collapsed="false">
      <c r="A462" s="34" t="s">
        <v>5799</v>
      </c>
      <c r="B462" s="34" t="str">
        <f aca="false">'Uso e Consumo'!A462</f>
        <v>0335</v>
      </c>
      <c r="C462" s="34" t="str">
        <f aca="false">'Uso e Consumo'!B462</f>
        <v>UFV NORONHA VERDE - USO E CONSUMO</v>
      </c>
      <c r="D462" s="33" t="n">
        <f aca="false">'Uso e Consumo'!C462</f>
        <v>1327938</v>
      </c>
      <c r="E462" s="34" t="str">
        <f aca="false">'Uso e Consumo'!D462</f>
        <v>08.02.0075</v>
      </c>
      <c r="F462" s="34" t="str">
        <f aca="false">'Uso e Consumo'!E462</f>
        <v>BLOCO L 34X14X19 FCK MAIOR OU IGUAL 6MPA</v>
      </c>
      <c r="G462" s="34" t="str">
        <f aca="false">'Uso e Consumo'!J462</f>
        <v>UN</v>
      </c>
      <c r="H462" s="49" t="n">
        <f aca="false">'Uso e Consumo'!F462</f>
        <v>370</v>
      </c>
      <c r="I462" s="35" t="n">
        <f aca="false">'Uso e Consumo'!G462</f>
        <v>3145</v>
      </c>
      <c r="J462" s="34" t="str">
        <f aca="false">'Uso e Consumo'!M462</f>
        <v>3.8.1.018 - Instalações hidráulicas/sanitárias/industriais</v>
      </c>
      <c r="K462" s="32" t="str">
        <f aca="false">INDEX('Curva ABC'!$K$8:$K$2847,MATCH(D462,'Curva ABC'!$B$8:$B$2847,0))</f>
        <v>B</v>
      </c>
    </row>
    <row r="463" customFormat="false" ht="15" hidden="false" customHeight="false" outlineLevel="0" collapsed="false">
      <c r="A463" s="34" t="s">
        <v>5799</v>
      </c>
      <c r="B463" s="34" t="str">
        <f aca="false">'Uso e Consumo'!A463</f>
        <v>0335</v>
      </c>
      <c r="C463" s="34" t="str">
        <f aca="false">'Uso e Consumo'!B463</f>
        <v>UFV NORONHA VERDE - USO E CONSUMO</v>
      </c>
      <c r="D463" s="33" t="n">
        <f aca="false">'Uso e Consumo'!C463</f>
        <v>1380098</v>
      </c>
      <c r="E463" s="34" t="str">
        <f aca="false">'Uso e Consumo'!D463</f>
        <v>17.16.3810</v>
      </c>
      <c r="F463" s="34" t="str">
        <f aca="false">'Uso e Consumo'!E463</f>
        <v>CONECTOR DE LIGA DE COBRE, PARA DERIVAÇÃO RETA E 90º DE 2 (DOIS) CABOS DE COBRE BITOLA 50 A 95 MM²</v>
      </c>
      <c r="G463" s="34" t="str">
        <f aca="false">'Uso e Consumo'!J463</f>
        <v>UN</v>
      </c>
      <c r="H463" s="49" t="n">
        <f aca="false">'Uso e Consumo'!F463</f>
        <v>15</v>
      </c>
      <c r="I463" s="35" t="n">
        <f aca="false">'Uso e Consumo'!G463</f>
        <v>3133.5</v>
      </c>
      <c r="J463" s="34" t="str">
        <f aca="false">'Uso e Consumo'!M463</f>
        <v>3.8.1.017 - Instalações elétricas/telefônicas/lógica</v>
      </c>
      <c r="K463" s="32" t="str">
        <f aca="false">INDEX('Curva ABC'!$K$8:$K$2847,MATCH(D463,'Curva ABC'!$B$8:$B$2847,0))</f>
        <v>B</v>
      </c>
    </row>
    <row r="464" customFormat="false" ht="15" hidden="false" customHeight="false" outlineLevel="0" collapsed="false">
      <c r="A464" s="34" t="s">
        <v>5799</v>
      </c>
      <c r="B464" s="34" t="str">
        <f aca="false">'Uso e Consumo'!A464</f>
        <v>0335</v>
      </c>
      <c r="C464" s="34" t="str">
        <f aca="false">'Uso e Consumo'!B464</f>
        <v>UFV NORONHA VERDE - USO E CONSUMO</v>
      </c>
      <c r="D464" s="33" t="n">
        <f aca="false">'Uso e Consumo'!C464</f>
        <v>145663</v>
      </c>
      <c r="E464" s="34" t="str">
        <f aca="false">'Uso e Consumo'!D464</f>
        <v>26.12.0066</v>
      </c>
      <c r="F464" s="34" t="str">
        <f aca="false">'Uso e Consumo'!E464</f>
        <v>CONE DE BORRACHA 75CM, LARANJA COM DUAS FAIXAS BRANCAS REFLETIVAS, COM BASE PRETA PARA CONTRAPESO</v>
      </c>
      <c r="G464" s="34" t="str">
        <f aca="false">'Uso e Consumo'!J464</f>
        <v>UN</v>
      </c>
      <c r="H464" s="49" t="n">
        <f aca="false">'Uso e Consumo'!F464</f>
        <v>50</v>
      </c>
      <c r="I464" s="35" t="n">
        <f aca="false">'Uso e Consumo'!G464</f>
        <v>3125</v>
      </c>
      <c r="J464" s="34" t="str">
        <f aca="false">'Uso e Consumo'!M464</f>
        <v>4.3.4.002 - Equipamento de proteção e sinalização coletiva</v>
      </c>
      <c r="K464" s="32" t="str">
        <f aca="false">INDEX('Curva ABC'!$K$8:$K$2847,MATCH(D464,'Curva ABC'!$B$8:$B$2847,0))</f>
        <v>B</v>
      </c>
    </row>
    <row r="465" customFormat="false" ht="15" hidden="false" customHeight="false" outlineLevel="0" collapsed="false">
      <c r="A465" s="34" t="s">
        <v>5799</v>
      </c>
      <c r="B465" s="34" t="str">
        <f aca="false">'Uso e Consumo'!A465</f>
        <v>0335</v>
      </c>
      <c r="C465" s="34" t="str">
        <f aca="false">'Uso e Consumo'!B465</f>
        <v>UFV NORONHA VERDE - USO E CONSUMO</v>
      </c>
      <c r="D465" s="33" t="n">
        <f aca="false">'Uso e Consumo'!C465</f>
        <v>16245</v>
      </c>
      <c r="E465" s="34" t="str">
        <f aca="false">'Uso e Consumo'!D465</f>
        <v>18.11.0001</v>
      </c>
      <c r="F465" s="34" t="str">
        <f aca="false">'Uso e Consumo'!E465</f>
        <v>EXTINTOR INCÊNDIO CARGA BASE ÁGUA PRESSURIZADA PRESSAO INJETADA CLASSE A CAP 10L NORMA MANOM NBR 944</v>
      </c>
      <c r="G465" s="34" t="str">
        <f aca="false">'Uso e Consumo'!J465</f>
        <v>UN</v>
      </c>
      <c r="H465" s="49" t="n">
        <f aca="false">'Uso e Consumo'!F465</f>
        <v>12</v>
      </c>
      <c r="I465" s="35" t="n">
        <f aca="false">'Uso e Consumo'!G465</f>
        <v>3120</v>
      </c>
      <c r="J465" s="34" t="str">
        <f aca="false">'Uso e Consumo'!M465</f>
        <v>4.3.4.005 - Combate incêndio</v>
      </c>
      <c r="K465" s="32" t="str">
        <f aca="false">INDEX('Curva ABC'!$K$8:$K$2847,MATCH(D465,'Curva ABC'!$B$8:$B$2847,0))</f>
        <v>B</v>
      </c>
    </row>
    <row r="466" customFormat="false" ht="15" hidden="false" customHeight="false" outlineLevel="0" collapsed="false">
      <c r="A466" s="34" t="s">
        <v>5799</v>
      </c>
      <c r="B466" s="34" t="str">
        <f aca="false">'Uso e Consumo'!A466</f>
        <v>0335</v>
      </c>
      <c r="C466" s="34" t="str">
        <f aca="false">'Uso e Consumo'!B466</f>
        <v>UFV NORONHA VERDE - USO E CONSUMO</v>
      </c>
      <c r="D466" s="33" t="n">
        <f aca="false">'Uso e Consumo'!C466</f>
        <v>55251</v>
      </c>
      <c r="E466" s="34" t="str">
        <f aca="false">'Uso e Consumo'!D466</f>
        <v>26.01.0012</v>
      </c>
      <c r="F466" s="34" t="str">
        <f aca="false">'Uso e Consumo'!E466</f>
        <v>BLUSÃO PARA OPERADOR DE MOTOSSERRA - TAM M</v>
      </c>
      <c r="G466" s="34" t="str">
        <f aca="false">'Uso e Consumo'!J466</f>
        <v>UN</v>
      </c>
      <c r="H466" s="49" t="n">
        <f aca="false">'Uso e Consumo'!F466</f>
        <v>12</v>
      </c>
      <c r="I466" s="35" t="n">
        <f aca="false">'Uso e Consumo'!G466</f>
        <v>3120</v>
      </c>
      <c r="J466" s="34" t="str">
        <f aca="false">'Uso e Consumo'!M466</f>
        <v>4.3.4.001 - Equipamento de proteção individual</v>
      </c>
      <c r="K466" s="32" t="str">
        <f aca="false">INDEX('Curva ABC'!$K$8:$K$2847,MATCH(D466,'Curva ABC'!$B$8:$B$2847,0))</f>
        <v>B</v>
      </c>
    </row>
    <row r="467" customFormat="false" ht="15" hidden="false" customHeight="false" outlineLevel="0" collapsed="false">
      <c r="A467" s="34" t="s">
        <v>5799</v>
      </c>
      <c r="B467" s="34" t="str">
        <f aca="false">'Uso e Consumo'!A467</f>
        <v>0335</v>
      </c>
      <c r="C467" s="34" t="str">
        <f aca="false">'Uso e Consumo'!B467</f>
        <v>UFV NORONHA VERDE - USO E CONSUMO</v>
      </c>
      <c r="D467" s="33" t="n">
        <f aca="false">'Uso e Consumo'!C467</f>
        <v>1255458</v>
      </c>
      <c r="E467" s="34" t="str">
        <f aca="false">'Uso e Consumo'!D467</f>
        <v>26.04.0157</v>
      </c>
      <c r="F467" s="34" t="str">
        <f aca="false">'Uso e Consumo'!E467</f>
        <v>DESTORCEDOR PARA CABOS CAPACIDADADE 5000 KGF</v>
      </c>
      <c r="G467" s="34" t="str">
        <f aca="false">'Uso e Consumo'!J467</f>
        <v>UN</v>
      </c>
      <c r="H467" s="49" t="n">
        <f aca="false">'Uso e Consumo'!F467</f>
        <v>4</v>
      </c>
      <c r="I467" s="35" t="n">
        <f aca="false">'Uso e Consumo'!G467</f>
        <v>3120</v>
      </c>
      <c r="J467" s="34" t="str">
        <f aca="false">'Uso e Consumo'!M467</f>
        <v>4.3.4.001 - Equipamento de proteção individual</v>
      </c>
      <c r="K467" s="32" t="str">
        <f aca="false">INDEX('Curva ABC'!$K$8:$K$2847,MATCH(D467,'Curva ABC'!$B$8:$B$2847,0))</f>
        <v>B</v>
      </c>
    </row>
    <row r="468" customFormat="false" ht="15" hidden="false" customHeight="false" outlineLevel="0" collapsed="false">
      <c r="A468" s="34" t="s">
        <v>5799</v>
      </c>
      <c r="B468" s="34" t="str">
        <f aca="false">'Uso e Consumo'!A468</f>
        <v>0335</v>
      </c>
      <c r="C468" s="34" t="str">
        <f aca="false">'Uso e Consumo'!B468</f>
        <v>UFV NORONHA VERDE - USO E CONSUMO</v>
      </c>
      <c r="D468" s="33" t="n">
        <f aca="false">'Uso e Consumo'!C468</f>
        <v>279761</v>
      </c>
      <c r="E468" s="34" t="str">
        <f aca="false">'Uso e Consumo'!D468</f>
        <v>25.13.0094</v>
      </c>
      <c r="F468" s="34" t="str">
        <f aca="false">'Uso e Consumo'!E468</f>
        <v>MANGOTE DE SUCÇÃO 3" AZUL</v>
      </c>
      <c r="G468" s="34" t="str">
        <f aca="false">'Uso e Consumo'!J468</f>
        <v>UN</v>
      </c>
      <c r="H468" s="49" t="n">
        <f aca="false">'Uso e Consumo'!F468</f>
        <v>50</v>
      </c>
      <c r="I468" s="35" t="n">
        <f aca="false">'Uso e Consumo'!G468</f>
        <v>3100</v>
      </c>
      <c r="J468" s="34" t="str">
        <f aca="false">'Uso e Consumo'!M468</f>
        <v>3.8.1.018 - Instalações hidráulicas/sanitárias/industriais</v>
      </c>
      <c r="K468" s="32" t="str">
        <f aca="false">INDEX('Curva ABC'!$K$8:$K$2847,MATCH(D468,'Curva ABC'!$B$8:$B$2847,0))</f>
        <v>B</v>
      </c>
    </row>
    <row r="469" customFormat="false" ht="15" hidden="false" customHeight="false" outlineLevel="0" collapsed="false">
      <c r="A469" s="34" t="s">
        <v>5799</v>
      </c>
      <c r="B469" s="34" t="str">
        <f aca="false">'Uso e Consumo'!A469</f>
        <v>0335</v>
      </c>
      <c r="C469" s="34" t="str">
        <f aca="false">'Uso e Consumo'!B469</f>
        <v>UFV NORONHA VERDE - USO E CONSUMO</v>
      </c>
      <c r="D469" s="33" t="n">
        <f aca="false">'Uso e Consumo'!C469</f>
        <v>863491</v>
      </c>
      <c r="E469" s="34" t="str">
        <f aca="false">'Uso e Consumo'!D469</f>
        <v>24.42.0020</v>
      </c>
      <c r="F469" s="34" t="str">
        <f aca="false">'Uso e Consumo'!E469</f>
        <v>MARTELETE ROMPEDOR SDSPLUS MAKITA ACESSÓRIOS 220V</v>
      </c>
      <c r="G469" s="34" t="str">
        <f aca="false">'Uso e Consumo'!J469</f>
        <v>UN</v>
      </c>
      <c r="H469" s="49" t="n">
        <f aca="false">'Uso e Consumo'!F469</f>
        <v>3</v>
      </c>
      <c r="I469" s="35" t="n">
        <f aca="false">'Uso e Consumo'!G469</f>
        <v>3090</v>
      </c>
      <c r="J469" s="34" t="str">
        <f aca="false">'Uso e Consumo'!M469</f>
        <v>3.8.2.003 - Ferramentas elétricas/pneumáticas</v>
      </c>
      <c r="K469" s="32" t="str">
        <f aca="false">INDEX('Curva ABC'!$K$8:$K$2847,MATCH(D469,'Curva ABC'!$B$8:$B$2847,0))</f>
        <v>B</v>
      </c>
    </row>
    <row r="470" customFormat="false" ht="15" hidden="false" customHeight="false" outlineLevel="0" collapsed="false">
      <c r="A470" s="34" t="s">
        <v>5799</v>
      </c>
      <c r="B470" s="34" t="str">
        <f aca="false">'Uso e Consumo'!A470</f>
        <v>0335</v>
      </c>
      <c r="C470" s="34" t="str">
        <f aca="false">'Uso e Consumo'!B470</f>
        <v>UFV NORONHA VERDE - USO E CONSUMO</v>
      </c>
      <c r="D470" s="33" t="n">
        <f aca="false">'Uso e Consumo'!C470</f>
        <v>137401</v>
      </c>
      <c r="E470" s="34" t="str">
        <f aca="false">'Uso e Consumo'!D470</f>
        <v>26.01.0026</v>
      </c>
      <c r="F470" s="34" t="str">
        <f aca="false">'Uso e Consumo'!E470</f>
        <v>COLETE REFLETIVO TIPO BLUSÃO - 4 BOLSOS - COR VERDE - TAM. M</v>
      </c>
      <c r="G470" s="34" t="str">
        <f aca="false">'Uso e Consumo'!J470</f>
        <v>UN</v>
      </c>
      <c r="H470" s="49" t="n">
        <f aca="false">'Uso e Consumo'!F470</f>
        <v>105</v>
      </c>
      <c r="I470" s="35" t="n">
        <f aca="false">'Uso e Consumo'!G470</f>
        <v>3075.6</v>
      </c>
      <c r="J470" s="34" t="str">
        <f aca="false">'Uso e Consumo'!M470</f>
        <v>4.3.4.001 - Equipamento de proteção individual</v>
      </c>
      <c r="K470" s="32" t="str">
        <f aca="false">INDEX('Curva ABC'!$K$8:$K$2847,MATCH(D470,'Curva ABC'!$B$8:$B$2847,0))</f>
        <v>B</v>
      </c>
    </row>
    <row r="471" customFormat="false" ht="15" hidden="false" customHeight="false" outlineLevel="0" collapsed="false">
      <c r="A471" s="34" t="s">
        <v>5799</v>
      </c>
      <c r="B471" s="34" t="str">
        <f aca="false">'Uso e Consumo'!A471</f>
        <v>0335</v>
      </c>
      <c r="C471" s="34" t="str">
        <f aca="false">'Uso e Consumo'!B471</f>
        <v>UFV NORONHA VERDE - USO E CONSUMO</v>
      </c>
      <c r="D471" s="33" t="n">
        <f aca="false">'Uso e Consumo'!C471</f>
        <v>1385804</v>
      </c>
      <c r="E471" s="34" t="str">
        <f aca="false">'Uso e Consumo'!D471</f>
        <v>17.12.0503</v>
      </c>
      <c r="F471" s="34" t="str">
        <f aca="false">'Uso e Consumo'!E471</f>
        <v>TOMADA TETRAPOLAR + PLUG 4 PINS (3F+T), 460V, 20A, AO TEMPO, IP54, LIGA ALUMÍNIO, CORPO REDONDO, 4 ENTRADAS DN 1" BSP</v>
      </c>
      <c r="G471" s="34" t="str">
        <f aca="false">'Uso e Consumo'!J471</f>
        <v>UN</v>
      </c>
      <c r="H471" s="49" t="n">
        <f aca="false">'Uso e Consumo'!F471</f>
        <v>3</v>
      </c>
      <c r="I471" s="35" t="n">
        <f aca="false">'Uso e Consumo'!G471</f>
        <v>3067.98</v>
      </c>
      <c r="J471" s="34" t="str">
        <f aca="false">'Uso e Consumo'!M471</f>
        <v>3.8.1.017 - Instalações elétricas/telefônicas/lógica</v>
      </c>
      <c r="K471" s="32" t="str">
        <f aca="false">INDEX('Curva ABC'!$K$8:$K$2847,MATCH(D471,'Curva ABC'!$B$8:$B$2847,0))</f>
        <v>B</v>
      </c>
    </row>
    <row r="472" customFormat="false" ht="15" hidden="false" customHeight="false" outlineLevel="0" collapsed="false">
      <c r="A472" s="34" t="s">
        <v>5799</v>
      </c>
      <c r="B472" s="34" t="str">
        <f aca="false">'Uso e Consumo'!A472</f>
        <v>0335</v>
      </c>
      <c r="C472" s="34" t="str">
        <f aca="false">'Uso e Consumo'!B472</f>
        <v>UFV NORONHA VERDE - USO E CONSUMO</v>
      </c>
      <c r="D472" s="33" t="n">
        <f aca="false">'Uso e Consumo'!C472</f>
        <v>14255</v>
      </c>
      <c r="E472" s="34" t="str">
        <f aca="false">'Uso e Consumo'!D472</f>
        <v>17.15.0017</v>
      </c>
      <c r="F472" s="34" t="str">
        <f aca="false">'Uso e Consumo'!E472</f>
        <v>CHAVE SECCIONADORA TRIPOLAR C/ BASE FUSIVEL 15KV 100A FACA</v>
      </c>
      <c r="G472" s="34" t="str">
        <f aca="false">'Uso e Consumo'!J472</f>
        <v>UN</v>
      </c>
      <c r="H472" s="49" t="n">
        <f aca="false">'Uso e Consumo'!F472</f>
        <v>2</v>
      </c>
      <c r="I472" s="35" t="n">
        <f aca="false">'Uso e Consumo'!G472</f>
        <v>3044.92</v>
      </c>
      <c r="J472" s="34" t="str">
        <f aca="false">'Uso e Consumo'!M472</f>
        <v>3.8.1.017 - Instalações elétricas/telefônicas/lógica</v>
      </c>
      <c r="K472" s="32" t="str">
        <f aca="false">INDEX('Curva ABC'!$K$8:$K$2847,MATCH(D472,'Curva ABC'!$B$8:$B$2847,0))</f>
        <v>B</v>
      </c>
    </row>
    <row r="473" customFormat="false" ht="15" hidden="false" customHeight="false" outlineLevel="0" collapsed="false">
      <c r="A473" s="34" t="s">
        <v>5799</v>
      </c>
      <c r="B473" s="34" t="str">
        <f aca="false">'Uso e Consumo'!A473</f>
        <v>0335</v>
      </c>
      <c r="C473" s="34" t="str">
        <f aca="false">'Uso e Consumo'!B473</f>
        <v>UFV NORONHA VERDE - USO E CONSUMO</v>
      </c>
      <c r="D473" s="33" t="n">
        <f aca="false">'Uso e Consumo'!C473</f>
        <v>10386</v>
      </c>
      <c r="E473" s="34" t="str">
        <f aca="false">'Uso e Consumo'!D473</f>
        <v>01.02.0013</v>
      </c>
      <c r="F473" s="34" t="str">
        <f aca="false">'Uso e Consumo'!E473</f>
        <v>AÇO CARBONO CA-50 VERGALHÃO NERVURADO 12,50MM X 12,00M NBR 7480 (0,963KG/M) - CORTADO E DOBRADO</v>
      </c>
      <c r="G473" s="34" t="str">
        <f aca="false">'Uso e Consumo'!J473</f>
        <v>KG</v>
      </c>
      <c r="H473" s="49" t="n">
        <f aca="false">'Uso e Consumo'!F473</f>
        <v>560.86</v>
      </c>
      <c r="I473" s="35" t="n">
        <f aca="false">'Uso e Consumo'!G473</f>
        <v>3028.59</v>
      </c>
      <c r="J473" s="34" t="str">
        <f aca="false">'Uso e Consumo'!M473</f>
        <v>3.8.1.001 - Aços e trefilados</v>
      </c>
      <c r="K473" s="32" t="str">
        <f aca="false">INDEX('Curva ABC'!$K$8:$K$2847,MATCH(D473,'Curva ABC'!$B$8:$B$2847,0))</f>
        <v>B</v>
      </c>
    </row>
    <row r="474" customFormat="false" ht="15" hidden="false" customHeight="false" outlineLevel="0" collapsed="false">
      <c r="A474" s="34" t="s">
        <v>5799</v>
      </c>
      <c r="B474" s="34" t="str">
        <f aca="false">'Uso e Consumo'!A474</f>
        <v>0335</v>
      </c>
      <c r="C474" s="34" t="str">
        <f aca="false">'Uso e Consumo'!B474</f>
        <v>UFV NORONHA VERDE - USO E CONSUMO</v>
      </c>
      <c r="D474" s="33" t="n">
        <f aca="false">'Uso e Consumo'!C474</f>
        <v>260102</v>
      </c>
      <c r="E474" s="34" t="str">
        <f aca="false">'Uso e Consumo'!D474</f>
        <v>26.10.0015</v>
      </c>
      <c r="F474" s="34" t="str">
        <f aca="false">'Uso e Consumo'!E474</f>
        <v>CALÇA PARA OPERADOR DE MOTOSERRA CA 40310 TAM 40</v>
      </c>
      <c r="G474" s="34" t="str">
        <f aca="false">'Uso e Consumo'!J474</f>
        <v>UN</v>
      </c>
      <c r="H474" s="49" t="n">
        <f aca="false">'Uso e Consumo'!F474</f>
        <v>12</v>
      </c>
      <c r="I474" s="35" t="n">
        <f aca="false">'Uso e Consumo'!G474</f>
        <v>3024</v>
      </c>
      <c r="J474" s="34" t="str">
        <f aca="false">'Uso e Consumo'!M474</f>
        <v>4.3.4.001 - Equipamento de proteção individual</v>
      </c>
      <c r="K474" s="32" t="str">
        <f aca="false">INDEX('Curva ABC'!$K$8:$K$2847,MATCH(D474,'Curva ABC'!$B$8:$B$2847,0))</f>
        <v>B</v>
      </c>
    </row>
    <row r="475" customFormat="false" ht="15" hidden="false" customHeight="false" outlineLevel="0" collapsed="false">
      <c r="A475" s="34" t="s">
        <v>5799</v>
      </c>
      <c r="B475" s="34" t="str">
        <f aca="false">'Uso e Consumo'!A475</f>
        <v>0335</v>
      </c>
      <c r="C475" s="34" t="str">
        <f aca="false">'Uso e Consumo'!B475</f>
        <v>UFV NORONHA VERDE - USO E CONSUMO</v>
      </c>
      <c r="D475" s="33" t="n">
        <f aca="false">'Uso e Consumo'!C475</f>
        <v>57003</v>
      </c>
      <c r="E475" s="34" t="str">
        <f aca="false">'Uso e Consumo'!D475</f>
        <v>31.02.0059</v>
      </c>
      <c r="F475" s="34" t="str">
        <f aca="false">'Uso e Consumo'!E475</f>
        <v>ÓLEO LUBRIFICANTE DE CORRENTES E SABRES DE MOTOSSERRAS 1L</v>
      </c>
      <c r="G475" s="34" t="str">
        <f aca="false">'Uso e Consumo'!J475</f>
        <v>UN</v>
      </c>
      <c r="H475" s="49" t="n">
        <f aca="false">'Uso e Consumo'!F475</f>
        <v>67</v>
      </c>
      <c r="I475" s="35" t="n">
        <f aca="false">'Uso e Consumo'!G475</f>
        <v>3011.86</v>
      </c>
      <c r="J475" s="34" t="str">
        <f aca="false">'Uso e Consumo'!M475</f>
        <v>3.1.6.001 - Combustível e lubrificantes</v>
      </c>
      <c r="K475" s="32" t="str">
        <f aca="false">INDEX('Curva ABC'!$K$8:$K$2847,MATCH(D475,'Curva ABC'!$B$8:$B$2847,0))</f>
        <v>B</v>
      </c>
    </row>
    <row r="476" customFormat="false" ht="15" hidden="false" customHeight="false" outlineLevel="0" collapsed="false">
      <c r="A476" s="34" t="s">
        <v>5799</v>
      </c>
      <c r="B476" s="34" t="str">
        <f aca="false">'Uso e Consumo'!A476</f>
        <v>0335</v>
      </c>
      <c r="C476" s="34" t="str">
        <f aca="false">'Uso e Consumo'!B476</f>
        <v>UFV NORONHA VERDE - USO E CONSUMO</v>
      </c>
      <c r="D476" s="33" t="n">
        <f aca="false">'Uso e Consumo'!C476</f>
        <v>1388187</v>
      </c>
      <c r="E476" s="34" t="str">
        <f aca="false">'Uso e Consumo'!D476</f>
        <v>17.02.0891</v>
      </c>
      <c r="F476" s="34" t="str">
        <f aca="false">'Uso e Consumo'!E476</f>
        <v>ELETRODUTO DE ALUMÍNIO COM ROSCA, Ø 3" BSP, VARA DE 3,00 M</v>
      </c>
      <c r="G476" s="34" t="str">
        <f aca="false">'Uso e Consumo'!J476</f>
        <v>UN</v>
      </c>
      <c r="H476" s="49" t="n">
        <f aca="false">'Uso e Consumo'!F476</f>
        <v>9</v>
      </c>
      <c r="I476" s="35" t="n">
        <f aca="false">'Uso e Consumo'!G476</f>
        <v>3008.52</v>
      </c>
      <c r="J476" s="34" t="str">
        <f aca="false">'Uso e Consumo'!M476</f>
        <v>3.8.1.017 - Instalações elétricas/telefônicas/lógica</v>
      </c>
      <c r="K476" s="32" t="str">
        <f aca="false">INDEX('Curva ABC'!$K$8:$K$2847,MATCH(D476,'Curva ABC'!$B$8:$B$2847,0))</f>
        <v>B</v>
      </c>
    </row>
    <row r="477" customFormat="false" ht="15" hidden="false" customHeight="false" outlineLevel="0" collapsed="false">
      <c r="A477" s="34" t="s">
        <v>5799</v>
      </c>
      <c r="B477" s="34" t="str">
        <f aca="false">'Uso e Consumo'!A477</f>
        <v>0335</v>
      </c>
      <c r="C477" s="34" t="str">
        <f aca="false">'Uso e Consumo'!B477</f>
        <v>UFV NORONHA VERDE - USO E CONSUMO</v>
      </c>
      <c r="D477" s="33" t="n">
        <f aca="false">'Uso e Consumo'!C477</f>
        <v>294260</v>
      </c>
      <c r="E477" s="34" t="str">
        <f aca="false">'Uso e Consumo'!D477</f>
        <v>32.07.0103</v>
      </c>
      <c r="F477" s="34" t="str">
        <f aca="false">'Uso e Consumo'!E477</f>
        <v>POLICORTE PORTÁTIL 14" - 2000W - M2403B - 220V</v>
      </c>
      <c r="G477" s="34" t="str">
        <f aca="false">'Uso e Consumo'!J477</f>
        <v>UN</v>
      </c>
      <c r="H477" s="49" t="n">
        <f aca="false">'Uso e Consumo'!F477</f>
        <v>2</v>
      </c>
      <c r="I477" s="35" t="n">
        <f aca="false">'Uso e Consumo'!G477</f>
        <v>3000</v>
      </c>
      <c r="J477" s="34" t="str">
        <f aca="false">'Uso e Consumo'!M477</f>
        <v>6.1.2.001 - Equipamentos</v>
      </c>
      <c r="K477" s="32" t="str">
        <f aca="false">INDEX('Curva ABC'!$K$8:$K$2847,MATCH(D477,'Curva ABC'!$B$8:$B$2847,0))</f>
        <v>B</v>
      </c>
    </row>
    <row r="478" customFormat="false" ht="15" hidden="false" customHeight="false" outlineLevel="0" collapsed="false">
      <c r="A478" s="34" t="s">
        <v>5799</v>
      </c>
      <c r="B478" s="34" t="str">
        <f aca="false">'Uso e Consumo'!A478</f>
        <v>0335</v>
      </c>
      <c r="C478" s="34" t="str">
        <f aca="false">'Uso e Consumo'!B478</f>
        <v>UFV NORONHA VERDE - USO E CONSUMO</v>
      </c>
      <c r="D478" s="33" t="n">
        <f aca="false">'Uso e Consumo'!C478</f>
        <v>293989</v>
      </c>
      <c r="E478" s="34" t="str">
        <f aca="false">'Uso e Consumo'!D478</f>
        <v>31.02.0114</v>
      </c>
      <c r="F478" s="34" t="str">
        <f aca="false">'Uso e Consumo'!E478</f>
        <v>ÓLEO ATF 20L</v>
      </c>
      <c r="G478" s="34" t="str">
        <f aca="false">'Uso e Consumo'!J478</f>
        <v>UN</v>
      </c>
      <c r="H478" s="49" t="n">
        <f aca="false">'Uso e Consumo'!F478</f>
        <v>2</v>
      </c>
      <c r="I478" s="35" t="n">
        <f aca="false">'Uso e Consumo'!G478</f>
        <v>2998</v>
      </c>
      <c r="J478" s="34" t="str">
        <f aca="false">'Uso e Consumo'!M478</f>
        <v>3.1.6.001 - Combustível e lubrificantes</v>
      </c>
      <c r="K478" s="32" t="str">
        <f aca="false">INDEX('Curva ABC'!$K$8:$K$2847,MATCH(D478,'Curva ABC'!$B$8:$B$2847,0))</f>
        <v>B</v>
      </c>
    </row>
    <row r="479" customFormat="false" ht="15" hidden="false" customHeight="false" outlineLevel="0" collapsed="false">
      <c r="A479" s="34" t="s">
        <v>5799</v>
      </c>
      <c r="B479" s="34" t="str">
        <f aca="false">'Uso e Consumo'!A479</f>
        <v>0335</v>
      </c>
      <c r="C479" s="34" t="str">
        <f aca="false">'Uso e Consumo'!B479</f>
        <v>UFV NORONHA VERDE - USO E CONSUMO</v>
      </c>
      <c r="D479" s="33" t="n">
        <f aca="false">'Uso e Consumo'!C479</f>
        <v>33844</v>
      </c>
      <c r="E479" s="34" t="str">
        <f aca="false">'Uso e Consumo'!D479</f>
        <v>29.03.0091</v>
      </c>
      <c r="F479" s="34" t="str">
        <f aca="false">'Uso e Consumo'!E479</f>
        <v>FORNO MICRO-ONDAS</v>
      </c>
      <c r="G479" s="34" t="str">
        <f aca="false">'Uso e Consumo'!J479</f>
        <v>UN</v>
      </c>
      <c r="H479" s="49" t="n">
        <f aca="false">'Uso e Consumo'!F479</f>
        <v>4</v>
      </c>
      <c r="I479" s="35" t="n">
        <f aca="false">'Uso e Consumo'!G479</f>
        <v>2990.5</v>
      </c>
      <c r="J479" s="34" t="str">
        <f aca="false">'Uso e Consumo'!M479</f>
        <v>4.1.1.009 - Eletro eletrônico e acessórios</v>
      </c>
      <c r="K479" s="32" t="str">
        <f aca="false">INDEX('Curva ABC'!$K$8:$K$2847,MATCH(D479,'Curva ABC'!$B$8:$B$2847,0))</f>
        <v>B</v>
      </c>
    </row>
    <row r="480" customFormat="false" ht="15" hidden="false" customHeight="false" outlineLevel="0" collapsed="false">
      <c r="A480" s="34" t="s">
        <v>5799</v>
      </c>
      <c r="B480" s="34" t="str">
        <f aca="false">'Uso e Consumo'!A480</f>
        <v>0335</v>
      </c>
      <c r="C480" s="34" t="str">
        <f aca="false">'Uso e Consumo'!B480</f>
        <v>UFV NORONHA VERDE - USO E CONSUMO</v>
      </c>
      <c r="D480" s="33" t="n">
        <f aca="false">'Uso e Consumo'!C480</f>
        <v>56644</v>
      </c>
      <c r="E480" s="34" t="str">
        <f aca="false">'Uso e Consumo'!D480</f>
        <v>01.09.0127</v>
      </c>
      <c r="F480" s="34" t="str">
        <f aca="false">'Uso e Consumo'!E480</f>
        <v>CANTONEIRA ZZ</v>
      </c>
      <c r="G480" s="34" t="str">
        <f aca="false">'Uso e Consumo'!J480</f>
        <v>UN</v>
      </c>
      <c r="H480" s="49" t="n">
        <f aca="false">'Uso e Consumo'!F480</f>
        <v>500</v>
      </c>
      <c r="I480" s="35" t="n">
        <f aca="false">'Uso e Consumo'!G480</f>
        <v>2990</v>
      </c>
      <c r="J480" s="34" t="str">
        <f aca="false">'Uso e Consumo'!M480</f>
        <v>3.8.1.001 - Aços e trefilados</v>
      </c>
      <c r="K480" s="32" t="str">
        <f aca="false">INDEX('Curva ABC'!$K$8:$K$2847,MATCH(D480,'Curva ABC'!$B$8:$B$2847,0))</f>
        <v>B</v>
      </c>
    </row>
    <row r="481" customFormat="false" ht="15" hidden="false" customHeight="false" outlineLevel="0" collapsed="false">
      <c r="A481" s="34" t="s">
        <v>5799</v>
      </c>
      <c r="B481" s="34" t="str">
        <f aca="false">'Uso e Consumo'!A481</f>
        <v>0335</v>
      </c>
      <c r="C481" s="34" t="str">
        <f aca="false">'Uso e Consumo'!B481</f>
        <v>UFV NORONHA VERDE - USO E CONSUMO</v>
      </c>
      <c r="D481" s="33" t="n">
        <f aca="false">'Uso e Consumo'!C481</f>
        <v>1463585</v>
      </c>
      <c r="E481" s="34" t="str">
        <f aca="false">'Uso e Consumo'!D481</f>
        <v>17.01.1234</v>
      </c>
      <c r="F481" s="34" t="str">
        <f aca="false">'Uso e Consumo'!E481</f>
        <v>CABO ELETRICO FLEXIVEL 0,6/1KV 1 X 50,00MM2 COBRE PVC CLASSE 5 AZUL NBR 7288</v>
      </c>
      <c r="G481" s="34" t="str">
        <f aca="false">'Uso e Consumo'!J481</f>
        <v>M</v>
      </c>
      <c r="H481" s="49" t="n">
        <f aca="false">'Uso e Consumo'!F481</f>
        <v>44.39</v>
      </c>
      <c r="I481" s="35" t="n">
        <f aca="false">'Uso e Consumo'!G481</f>
        <v>2989.62</v>
      </c>
      <c r="J481" s="34" t="str">
        <f aca="false">'Uso e Consumo'!M481</f>
        <v>3.8.1.017 - Instalações elétricas/telefônicas/lógica</v>
      </c>
      <c r="K481" s="32" t="str">
        <f aca="false">INDEX('Curva ABC'!$K$8:$K$2847,MATCH(D481,'Curva ABC'!$B$8:$B$2847,0))</f>
        <v>B</v>
      </c>
    </row>
    <row r="482" customFormat="false" ht="15" hidden="false" customHeight="false" outlineLevel="0" collapsed="false">
      <c r="A482" s="34" t="s">
        <v>5799</v>
      </c>
      <c r="B482" s="34" t="str">
        <f aca="false">'Uso e Consumo'!A482</f>
        <v>0335</v>
      </c>
      <c r="C482" s="34" t="str">
        <f aca="false">'Uso e Consumo'!B482</f>
        <v>UFV NORONHA VERDE - USO E CONSUMO</v>
      </c>
      <c r="D482" s="33" t="n">
        <f aca="false">'Uso e Consumo'!C482</f>
        <v>275755</v>
      </c>
      <c r="E482" s="34" t="str">
        <f aca="false">'Uso e Consumo'!D482</f>
        <v>29.03.0190</v>
      </c>
      <c r="F482" s="34" t="str">
        <f aca="false">'Uso e Consumo'!E482</f>
        <v>BATERIA MAKITA BL – 1830-18V-3,0</v>
      </c>
      <c r="G482" s="34" t="str">
        <f aca="false">'Uso e Consumo'!J482</f>
        <v>UN</v>
      </c>
      <c r="H482" s="49" t="n">
        <f aca="false">'Uso e Consumo'!F482</f>
        <v>6</v>
      </c>
      <c r="I482" s="35" t="n">
        <f aca="false">'Uso e Consumo'!G482</f>
        <v>2988</v>
      </c>
      <c r="J482" s="34" t="str">
        <f aca="false">'Uso e Consumo'!M482</f>
        <v>4.1.1.009 - Eletro eletrônico e acessórios</v>
      </c>
      <c r="K482" s="32" t="str">
        <f aca="false">INDEX('Curva ABC'!$K$8:$K$2847,MATCH(D482,'Curva ABC'!$B$8:$B$2847,0))</f>
        <v>B</v>
      </c>
    </row>
    <row r="483" customFormat="false" ht="15" hidden="false" customHeight="false" outlineLevel="0" collapsed="false">
      <c r="A483" s="34" t="s">
        <v>5799</v>
      </c>
      <c r="B483" s="34" t="str">
        <f aca="false">'Uso e Consumo'!A483</f>
        <v>0335</v>
      </c>
      <c r="C483" s="34" t="str">
        <f aca="false">'Uso e Consumo'!B483</f>
        <v>UFV NORONHA VERDE - USO E CONSUMO</v>
      </c>
      <c r="D483" s="33" t="n">
        <f aca="false">'Uso e Consumo'!C483</f>
        <v>348017</v>
      </c>
      <c r="E483" s="34" t="str">
        <f aca="false">'Uso e Consumo'!D483</f>
        <v>24.08.0044</v>
      </c>
      <c r="F483" s="34" t="str">
        <f aca="false">'Uso e Consumo'!E483</f>
        <v>ALICATE P/ CRIMPAR CONECTOR MC4</v>
      </c>
      <c r="G483" s="34" t="str">
        <f aca="false">'Uso e Consumo'!J483</f>
        <v>UN</v>
      </c>
      <c r="H483" s="49" t="n">
        <f aca="false">'Uso e Consumo'!F483</f>
        <v>10</v>
      </c>
      <c r="I483" s="35" t="n">
        <f aca="false">'Uso e Consumo'!G483</f>
        <v>2973.6</v>
      </c>
      <c r="J483" s="34" t="str">
        <f aca="false">'Uso e Consumo'!M483</f>
        <v>3.8.2.002 - Ferramentas manuais</v>
      </c>
      <c r="K483" s="32" t="str">
        <f aca="false">INDEX('Curva ABC'!$K$8:$K$2847,MATCH(D483,'Curva ABC'!$B$8:$B$2847,0))</f>
        <v>B</v>
      </c>
    </row>
    <row r="484" customFormat="false" ht="15" hidden="false" customHeight="false" outlineLevel="0" collapsed="false">
      <c r="A484" s="34" t="s">
        <v>5799</v>
      </c>
      <c r="B484" s="34" t="str">
        <f aca="false">'Uso e Consumo'!A484</f>
        <v>0335</v>
      </c>
      <c r="C484" s="34" t="str">
        <f aca="false">'Uso e Consumo'!B484</f>
        <v>UFV NORONHA VERDE - USO E CONSUMO</v>
      </c>
      <c r="D484" s="33" t="n">
        <f aca="false">'Uso e Consumo'!C484</f>
        <v>1657134</v>
      </c>
      <c r="E484" s="34" t="str">
        <f aca="false">'Uso e Consumo'!D484</f>
        <v>23.05.0310</v>
      </c>
      <c r="F484" s="34" t="str">
        <f aca="false">'Uso e Consumo'!E484</f>
        <v>ARRUELA QUADRADA DE ACO INOXIDAVEL, BITOLA M12</v>
      </c>
      <c r="G484" s="34" t="str">
        <f aca="false">'Uso e Consumo'!J484</f>
        <v>UN</v>
      </c>
      <c r="H484" s="49" t="n">
        <f aca="false">'Uso e Consumo'!F484</f>
        <v>180</v>
      </c>
      <c r="I484" s="35" t="n">
        <f aca="false">'Uso e Consumo'!G484</f>
        <v>2970</v>
      </c>
      <c r="J484" s="34" t="str">
        <f aca="false">'Uso e Consumo'!M484</f>
        <v>3.8.1.022 - Elementos de fixação</v>
      </c>
      <c r="K484" s="32" t="str">
        <f aca="false">INDEX('Curva ABC'!$K$8:$K$2847,MATCH(D484,'Curva ABC'!$B$8:$B$2847,0))</f>
        <v>B</v>
      </c>
    </row>
    <row r="485" customFormat="false" ht="15" hidden="false" customHeight="false" outlineLevel="0" collapsed="false">
      <c r="A485" s="34" t="s">
        <v>5799</v>
      </c>
      <c r="B485" s="34" t="str">
        <f aca="false">'Uso e Consumo'!A485</f>
        <v>0335</v>
      </c>
      <c r="C485" s="34" t="str">
        <f aca="false">'Uso e Consumo'!B485</f>
        <v>UFV NORONHA VERDE - USO E CONSUMO</v>
      </c>
      <c r="D485" s="33" t="n">
        <f aca="false">'Uso e Consumo'!C485</f>
        <v>427236</v>
      </c>
      <c r="E485" s="34" t="str">
        <f aca="false">'Uso e Consumo'!D485</f>
        <v>24.23.0028</v>
      </c>
      <c r="F485" s="34" t="str">
        <f aca="false">'Uso e Consumo'!E485</f>
        <v>ENGRAXADEIRA MANUAL</v>
      </c>
      <c r="G485" s="34" t="str">
        <f aca="false">'Uso e Consumo'!J485</f>
        <v>UN</v>
      </c>
      <c r="H485" s="49" t="n">
        <f aca="false">'Uso e Consumo'!F485</f>
        <v>11</v>
      </c>
      <c r="I485" s="35" t="n">
        <f aca="false">'Uso e Consumo'!G485</f>
        <v>2966</v>
      </c>
      <c r="J485" s="34" t="str">
        <f aca="false">'Uso e Consumo'!M485</f>
        <v>3.8.2.002 - Ferramentas manuais</v>
      </c>
      <c r="K485" s="32" t="str">
        <f aca="false">INDEX('Curva ABC'!$K$8:$K$2847,MATCH(D485,'Curva ABC'!$B$8:$B$2847,0))</f>
        <v>B</v>
      </c>
    </row>
    <row r="486" customFormat="false" ht="15" hidden="false" customHeight="false" outlineLevel="0" collapsed="false">
      <c r="A486" s="34" t="s">
        <v>5799</v>
      </c>
      <c r="B486" s="34" t="str">
        <f aca="false">'Uso e Consumo'!A486</f>
        <v>0335</v>
      </c>
      <c r="C486" s="34" t="str">
        <f aca="false">'Uso e Consumo'!B486</f>
        <v>UFV NORONHA VERDE - USO E CONSUMO</v>
      </c>
      <c r="D486" s="33" t="n">
        <f aca="false">'Uso e Consumo'!C486</f>
        <v>56010</v>
      </c>
      <c r="E486" s="34" t="str">
        <f aca="false">'Uso e Consumo'!D486</f>
        <v>32.03.0007</v>
      </c>
      <c r="F486" s="34" t="str">
        <f aca="false">'Uso e Consumo'!E486</f>
        <v>MISTURADOR DE ARGAMASSA - AUTONOMIA 100KG</v>
      </c>
      <c r="G486" s="34" t="str">
        <f aca="false">'Uso e Consumo'!J486</f>
        <v>UN</v>
      </c>
      <c r="H486" s="49" t="n">
        <f aca="false">'Uso e Consumo'!F486</f>
        <v>2</v>
      </c>
      <c r="I486" s="35" t="n">
        <f aca="false">'Uso e Consumo'!G486</f>
        <v>2957.82</v>
      </c>
      <c r="J486" s="34" t="str">
        <f aca="false">'Uso e Consumo'!M486</f>
        <v>6.1.2.001 - Equipamentos</v>
      </c>
      <c r="K486" s="32" t="str">
        <f aca="false">INDEX('Curva ABC'!$K$8:$K$2847,MATCH(D486,'Curva ABC'!$B$8:$B$2847,0))</f>
        <v>B</v>
      </c>
    </row>
    <row r="487" customFormat="false" ht="15" hidden="false" customHeight="false" outlineLevel="0" collapsed="false">
      <c r="A487" s="34" t="s">
        <v>5799</v>
      </c>
      <c r="B487" s="34" t="str">
        <f aca="false">'Uso e Consumo'!A487</f>
        <v>0335</v>
      </c>
      <c r="C487" s="34" t="str">
        <f aca="false">'Uso e Consumo'!B487</f>
        <v>UFV NORONHA VERDE - USO E CONSUMO</v>
      </c>
      <c r="D487" s="33" t="n">
        <f aca="false">'Uso e Consumo'!C487</f>
        <v>1469746</v>
      </c>
      <c r="E487" s="34" t="str">
        <f aca="false">'Uso e Consumo'!D487</f>
        <v>08.02.0093</v>
      </c>
      <c r="F487" s="34" t="str">
        <f aca="false">'Uso e Consumo'!E487</f>
        <v>CANALETA 19X19X39CM 6MPA</v>
      </c>
      <c r="G487" s="34" t="str">
        <f aca="false">'Uso e Consumo'!J487</f>
        <v>UN</v>
      </c>
      <c r="H487" s="49" t="n">
        <f aca="false">'Uso e Consumo'!F487</f>
        <v>340</v>
      </c>
      <c r="I487" s="35" t="n">
        <f aca="false">'Uso e Consumo'!G487</f>
        <v>2947.8</v>
      </c>
      <c r="J487" s="34" t="str">
        <f aca="false">'Uso e Consumo'!M487</f>
        <v>3.8.1.008 - Blocos, painéis e divisórias</v>
      </c>
      <c r="K487" s="32" t="str">
        <f aca="false">INDEX('Curva ABC'!$K$8:$K$2847,MATCH(D487,'Curva ABC'!$B$8:$B$2847,0))</f>
        <v>B</v>
      </c>
    </row>
    <row r="488" customFormat="false" ht="15" hidden="false" customHeight="false" outlineLevel="0" collapsed="false">
      <c r="A488" s="34" t="s">
        <v>5799</v>
      </c>
      <c r="B488" s="34" t="str">
        <f aca="false">'Uso e Consumo'!A488</f>
        <v>0335</v>
      </c>
      <c r="C488" s="34" t="str">
        <f aca="false">'Uso e Consumo'!B488</f>
        <v>UFV NORONHA VERDE - USO E CONSUMO</v>
      </c>
      <c r="D488" s="33" t="n">
        <f aca="false">'Uso e Consumo'!C488</f>
        <v>1615269</v>
      </c>
      <c r="E488" s="34" t="str">
        <f aca="false">'Uso e Consumo'!D488</f>
        <v>17.11.1147</v>
      </c>
      <c r="F488" s="34" t="str">
        <f aca="false">'Uso e Consumo'!E488</f>
        <v>LAMPADA LED 80W</v>
      </c>
      <c r="G488" s="34" t="str">
        <f aca="false">'Uso e Consumo'!J488</f>
        <v>UN</v>
      </c>
      <c r="H488" s="49" t="n">
        <f aca="false">'Uso e Consumo'!F488</f>
        <v>40</v>
      </c>
      <c r="I488" s="35" t="n">
        <f aca="false">'Uso e Consumo'!G488</f>
        <v>2943.6</v>
      </c>
      <c r="J488" s="34" t="str">
        <f aca="false">'Uso e Consumo'!M488</f>
        <v>3.8.1.017 - Instalações elétricas/telefônicas/lógica</v>
      </c>
      <c r="K488" s="32" t="str">
        <f aca="false">INDEX('Curva ABC'!$K$8:$K$2847,MATCH(D488,'Curva ABC'!$B$8:$B$2847,0))</f>
        <v>B</v>
      </c>
    </row>
    <row r="489" customFormat="false" ht="15" hidden="false" customHeight="false" outlineLevel="0" collapsed="false">
      <c r="A489" s="34" t="s">
        <v>5799</v>
      </c>
      <c r="B489" s="34" t="str">
        <f aca="false">'Uso e Consumo'!A489</f>
        <v>0335</v>
      </c>
      <c r="C489" s="34" t="str">
        <f aca="false">'Uso e Consumo'!B489</f>
        <v>UFV NORONHA VERDE - USO E CONSUMO</v>
      </c>
      <c r="D489" s="33" t="n">
        <f aca="false">'Uso e Consumo'!C489</f>
        <v>1088327</v>
      </c>
      <c r="E489" s="34" t="str">
        <f aca="false">'Uso e Consumo'!D489</f>
        <v>32.12.0244</v>
      </c>
      <c r="F489" s="34" t="str">
        <f aca="false">'Uso e Consumo'!E489</f>
        <v>MEDIDOR DE INCLINAÇÃO DIGITAL COM IMÃ 272.300 - NEW DIGMESS</v>
      </c>
      <c r="G489" s="34" t="str">
        <f aca="false">'Uso e Consumo'!J489</f>
        <v>UN</v>
      </c>
      <c r="H489" s="49" t="n">
        <f aca="false">'Uso e Consumo'!F489</f>
        <v>2</v>
      </c>
      <c r="I489" s="35" t="n">
        <f aca="false">'Uso e Consumo'!G489</f>
        <v>2940</v>
      </c>
      <c r="J489" s="34" t="str">
        <f aca="false">'Uso e Consumo'!M489</f>
        <v>4.1.1.011 - Instrumentos para medição</v>
      </c>
      <c r="K489" s="32" t="str">
        <f aca="false">INDEX('Curva ABC'!$K$8:$K$2847,MATCH(D489,'Curva ABC'!$B$8:$B$2847,0))</f>
        <v>B</v>
      </c>
    </row>
    <row r="490" customFormat="false" ht="15" hidden="false" customHeight="false" outlineLevel="0" collapsed="false">
      <c r="A490" s="34" t="s">
        <v>5799</v>
      </c>
      <c r="B490" s="34" t="str">
        <f aca="false">'Uso e Consumo'!A490</f>
        <v>0335</v>
      </c>
      <c r="C490" s="34" t="str">
        <f aca="false">'Uso e Consumo'!B490</f>
        <v>UFV NORONHA VERDE - USO E CONSUMO</v>
      </c>
      <c r="D490" s="33" t="n">
        <f aca="false">'Uso e Consumo'!C490</f>
        <v>1067208</v>
      </c>
      <c r="E490" s="34" t="str">
        <f aca="false">'Uso e Consumo'!D490</f>
        <v>06.03.0027</v>
      </c>
      <c r="F490" s="34" t="str">
        <f aca="false">'Uso e Consumo'!E490</f>
        <v>MANTA GEOTÊXTIL</v>
      </c>
      <c r="G490" s="34" t="str">
        <f aca="false">'Uso e Consumo'!J490</f>
        <v>M2</v>
      </c>
      <c r="H490" s="49" t="n">
        <f aca="false">'Uso e Consumo'!F490</f>
        <v>230</v>
      </c>
      <c r="I490" s="35" t="n">
        <f aca="false">'Uso e Consumo'!G490</f>
        <v>2932.5</v>
      </c>
      <c r="J490" s="34" t="str">
        <f aca="false">'Uso e Consumo'!M490</f>
        <v>3.8.1.006 - Aditivos e produtos químicos</v>
      </c>
      <c r="K490" s="32" t="str">
        <f aca="false">INDEX('Curva ABC'!$K$8:$K$2847,MATCH(D490,'Curva ABC'!$B$8:$B$2847,0))</f>
        <v>B</v>
      </c>
    </row>
    <row r="491" customFormat="false" ht="15" hidden="false" customHeight="false" outlineLevel="0" collapsed="false">
      <c r="A491" s="34" t="s">
        <v>5799</v>
      </c>
      <c r="B491" s="34" t="str">
        <f aca="false">'Uso e Consumo'!A491</f>
        <v>0335</v>
      </c>
      <c r="C491" s="34" t="str">
        <f aca="false">'Uso e Consumo'!B491</f>
        <v>UFV NORONHA VERDE - USO E CONSUMO</v>
      </c>
      <c r="D491" s="33" t="n">
        <f aca="false">'Uso e Consumo'!C491</f>
        <v>1329959</v>
      </c>
      <c r="E491" s="34" t="str">
        <f aca="false">'Uso e Consumo'!D491</f>
        <v>01.11.0309</v>
      </c>
      <c r="F491" s="34" t="str">
        <f aca="false">'Uso e Consumo'!E491</f>
        <v>CHAPA PRETA 2,60MM X 114,50 X 200,00MM INCLUSO DOBRAS</v>
      </c>
      <c r="G491" s="34" t="str">
        <f aca="false">'Uso e Consumo'!J491</f>
        <v>UN</v>
      </c>
      <c r="H491" s="49" t="n">
        <f aca="false">'Uso e Consumo'!F491</f>
        <v>66</v>
      </c>
      <c r="I491" s="35" t="n">
        <f aca="false">'Uso e Consumo'!G491</f>
        <v>2900</v>
      </c>
      <c r="J491" s="34" t="str">
        <f aca="false">'Uso e Consumo'!M491</f>
        <v>3.8.1.001 - Aços e trefilados</v>
      </c>
      <c r="K491" s="32" t="str">
        <f aca="false">INDEX('Curva ABC'!$K$8:$K$2847,MATCH(D491,'Curva ABC'!$B$8:$B$2847,0))</f>
        <v>B</v>
      </c>
    </row>
    <row r="492" customFormat="false" ht="15" hidden="false" customHeight="false" outlineLevel="0" collapsed="false">
      <c r="A492" s="34" t="s">
        <v>5799</v>
      </c>
      <c r="B492" s="34" t="str">
        <f aca="false">'Uso e Consumo'!A492</f>
        <v>0335</v>
      </c>
      <c r="C492" s="34" t="str">
        <f aca="false">'Uso e Consumo'!B492</f>
        <v>UFV NORONHA VERDE - USO E CONSUMO</v>
      </c>
      <c r="D492" s="33" t="n">
        <f aca="false">'Uso e Consumo'!C492</f>
        <v>65808</v>
      </c>
      <c r="E492" s="34" t="str">
        <f aca="false">'Uso e Consumo'!D492</f>
        <v>26.01.0019</v>
      </c>
      <c r="F492" s="34" t="str">
        <f aca="false">'Uso e Consumo'!E492</f>
        <v>AVENTAL RASPA COURO (TIPO BARBEIRO)</v>
      </c>
      <c r="G492" s="34" t="str">
        <f aca="false">'Uso e Consumo'!J492</f>
        <v>UN</v>
      </c>
      <c r="H492" s="49" t="n">
        <f aca="false">'Uso e Consumo'!F492</f>
        <v>36</v>
      </c>
      <c r="I492" s="35" t="n">
        <f aca="false">'Uso e Consumo'!G492</f>
        <v>2899.58</v>
      </c>
      <c r="J492" s="34" t="str">
        <f aca="false">'Uso e Consumo'!M492</f>
        <v>4.3.4.001 - Equipamento de proteção individual</v>
      </c>
      <c r="K492" s="32" t="str">
        <f aca="false">INDEX('Curva ABC'!$K$8:$K$2847,MATCH(D492,'Curva ABC'!$B$8:$B$2847,0))</f>
        <v>B</v>
      </c>
    </row>
    <row r="493" customFormat="false" ht="15" hidden="false" customHeight="false" outlineLevel="0" collapsed="false">
      <c r="A493" s="34" t="s">
        <v>5799</v>
      </c>
      <c r="B493" s="34" t="str">
        <f aca="false">'Uso e Consumo'!A493</f>
        <v>0335</v>
      </c>
      <c r="C493" s="34" t="str">
        <f aca="false">'Uso e Consumo'!B493</f>
        <v>UFV NORONHA VERDE - USO E CONSUMO</v>
      </c>
      <c r="D493" s="33" t="n">
        <f aca="false">'Uso e Consumo'!C493</f>
        <v>1386190</v>
      </c>
      <c r="E493" s="34" t="str">
        <f aca="false">'Uso e Consumo'!D493</f>
        <v>32.08.0089</v>
      </c>
      <c r="F493" s="34" t="str">
        <f aca="false">'Uso e Consumo'!E493</f>
        <v>GERADOR À GASOLINA 4T 196CC 3,1kVA BIVOLT MONO TG3100CXR </v>
      </c>
      <c r="G493" s="34" t="str">
        <f aca="false">'Uso e Consumo'!J493</f>
        <v>UN</v>
      </c>
      <c r="H493" s="49" t="n">
        <f aca="false">'Uso e Consumo'!F493</f>
        <v>1</v>
      </c>
      <c r="I493" s="35" t="n">
        <f aca="false">'Uso e Consumo'!G493</f>
        <v>2890.6</v>
      </c>
      <c r="J493" s="34" t="str">
        <f aca="false">'Uso e Consumo'!M493</f>
        <v>3.8.2.003 - Ferramentas elétricas/pneumáticas</v>
      </c>
      <c r="K493" s="32" t="str">
        <f aca="false">INDEX('Curva ABC'!$K$8:$K$2847,MATCH(D493,'Curva ABC'!$B$8:$B$2847,0))</f>
        <v>B</v>
      </c>
    </row>
    <row r="494" customFormat="false" ht="15" hidden="false" customHeight="false" outlineLevel="0" collapsed="false">
      <c r="A494" s="34" t="s">
        <v>5799</v>
      </c>
      <c r="B494" s="34" t="str">
        <f aca="false">'Uso e Consumo'!A494</f>
        <v>0335</v>
      </c>
      <c r="C494" s="34" t="str">
        <f aca="false">'Uso e Consumo'!B494</f>
        <v>UFV NORONHA VERDE - USO E CONSUMO</v>
      </c>
      <c r="D494" s="33" t="n">
        <f aca="false">'Uso e Consumo'!C494</f>
        <v>288043</v>
      </c>
      <c r="E494" s="34" t="str">
        <f aca="false">'Uso e Consumo'!D494</f>
        <v>26.08.0009</v>
      </c>
      <c r="F494" s="34" t="str">
        <f aca="false">'Uso e Consumo'!E494</f>
        <v>PROTETOR AUDITIVO/ABAFADOR DE RUÍDOS - TIPO CONCHA - ACOPLÁVEL</v>
      </c>
      <c r="G494" s="34" t="str">
        <f aca="false">'Uso e Consumo'!J494</f>
        <v>UN</v>
      </c>
      <c r="H494" s="49" t="n">
        <f aca="false">'Uso e Consumo'!F494</f>
        <v>80</v>
      </c>
      <c r="I494" s="35" t="n">
        <f aca="false">'Uso e Consumo'!G494</f>
        <v>2888.69</v>
      </c>
      <c r="J494" s="34" t="str">
        <f aca="false">'Uso e Consumo'!M494</f>
        <v>4.3.4.001 - Equipamento de proteção individual</v>
      </c>
      <c r="K494" s="32" t="str">
        <f aca="false">INDEX('Curva ABC'!$K$8:$K$2847,MATCH(D494,'Curva ABC'!$B$8:$B$2847,0))</f>
        <v>B</v>
      </c>
    </row>
    <row r="495" customFormat="false" ht="15" hidden="false" customHeight="false" outlineLevel="0" collapsed="false">
      <c r="A495" s="34" t="s">
        <v>5799</v>
      </c>
      <c r="B495" s="34" t="str">
        <f aca="false">'Uso e Consumo'!A495</f>
        <v>0335</v>
      </c>
      <c r="C495" s="34" t="str">
        <f aca="false">'Uso e Consumo'!B495</f>
        <v>UFV NORONHA VERDE - USO E CONSUMO</v>
      </c>
      <c r="D495" s="33" t="n">
        <f aca="false">'Uso e Consumo'!C495</f>
        <v>853158</v>
      </c>
      <c r="E495" s="34" t="str">
        <f aca="false">'Uso e Consumo'!D495</f>
        <v>17.20.0566</v>
      </c>
      <c r="F495" s="34" t="str">
        <f aca="false">'Uso e Consumo'!E495</f>
        <v>TERMINAL DE COMPRESSÃO 70MM²</v>
      </c>
      <c r="G495" s="34" t="str">
        <f aca="false">'Uso e Consumo'!J495</f>
        <v>UN</v>
      </c>
      <c r="H495" s="49" t="n">
        <f aca="false">'Uso e Consumo'!F495</f>
        <v>300</v>
      </c>
      <c r="I495" s="35" t="n">
        <f aca="false">'Uso e Consumo'!G495</f>
        <v>2880</v>
      </c>
      <c r="J495" s="34" t="str">
        <f aca="false">'Uso e Consumo'!M495</f>
        <v>3.8.1.017 - Instalações elétricas/telefônicas/lógica</v>
      </c>
      <c r="K495" s="32" t="str">
        <f aca="false">INDEX('Curva ABC'!$K$8:$K$2847,MATCH(D495,'Curva ABC'!$B$8:$B$2847,0))</f>
        <v>B</v>
      </c>
    </row>
    <row r="496" customFormat="false" ht="15" hidden="false" customHeight="false" outlineLevel="0" collapsed="false">
      <c r="A496" s="34" t="s">
        <v>5799</v>
      </c>
      <c r="B496" s="34" t="str">
        <f aca="false">'Uso e Consumo'!A496</f>
        <v>0335</v>
      </c>
      <c r="C496" s="34" t="str">
        <f aca="false">'Uso e Consumo'!B496</f>
        <v>UFV NORONHA VERDE - USO E CONSUMO</v>
      </c>
      <c r="D496" s="33" t="n">
        <f aca="false">'Uso e Consumo'!C496</f>
        <v>1079177</v>
      </c>
      <c r="E496" s="34" t="str">
        <f aca="false">'Uso e Consumo'!D496</f>
        <v>18.01.1388</v>
      </c>
      <c r="F496" s="34" t="str">
        <f aca="false">'Uso e Consumo'!E496</f>
        <v>TUBO SERIE NORMAL 40MM ESGOTO - 6000MM</v>
      </c>
      <c r="G496" s="34" t="str">
        <f aca="false">'Uso e Consumo'!J496</f>
        <v>UN</v>
      </c>
      <c r="H496" s="49" t="n">
        <f aca="false">'Uso e Consumo'!F496</f>
        <v>30</v>
      </c>
      <c r="I496" s="35" t="n">
        <f aca="false">'Uso e Consumo'!G496</f>
        <v>2880</v>
      </c>
      <c r="J496" s="34" t="str">
        <f aca="false">'Uso e Consumo'!M496</f>
        <v>3.8.1.018 - Instalações hidráulicas/sanitárias/industriais</v>
      </c>
      <c r="K496" s="32" t="str">
        <f aca="false">INDEX('Curva ABC'!$K$8:$K$2847,MATCH(D496,'Curva ABC'!$B$8:$B$2847,0))</f>
        <v>B</v>
      </c>
    </row>
    <row r="497" customFormat="false" ht="15" hidden="false" customHeight="false" outlineLevel="0" collapsed="false">
      <c r="A497" s="34" t="s">
        <v>5799</v>
      </c>
      <c r="B497" s="34" t="str">
        <f aca="false">'Uso e Consumo'!A497</f>
        <v>0335</v>
      </c>
      <c r="C497" s="34" t="str">
        <f aca="false">'Uso e Consumo'!B497</f>
        <v>UFV NORONHA VERDE - USO E CONSUMO</v>
      </c>
      <c r="D497" s="33" t="n">
        <f aca="false">'Uso e Consumo'!C497</f>
        <v>260108</v>
      </c>
      <c r="E497" s="34" t="str">
        <f aca="false">'Uso e Consumo'!D497</f>
        <v>26.10.0016</v>
      </c>
      <c r="F497" s="34" t="str">
        <f aca="false">'Uso e Consumo'!E497</f>
        <v>CALÇA PARA OPERADOR DE MOTOSERRA CA 40310 TAM 42</v>
      </c>
      <c r="G497" s="34" t="str">
        <f aca="false">'Uso e Consumo'!J497</f>
        <v>UN</v>
      </c>
      <c r="H497" s="49" t="n">
        <f aca="false">'Uso e Consumo'!F497</f>
        <v>12</v>
      </c>
      <c r="I497" s="35" t="n">
        <f aca="false">'Uso e Consumo'!G497</f>
        <v>2879.44</v>
      </c>
      <c r="J497" s="34" t="str">
        <f aca="false">'Uso e Consumo'!M497</f>
        <v>4.3.4.001 - Equipamento de proteção individual</v>
      </c>
      <c r="K497" s="32" t="str">
        <f aca="false">INDEX('Curva ABC'!$K$8:$K$2847,MATCH(D497,'Curva ABC'!$B$8:$B$2847,0))</f>
        <v>B</v>
      </c>
    </row>
    <row r="498" customFormat="false" ht="15" hidden="false" customHeight="false" outlineLevel="0" collapsed="false">
      <c r="A498" s="34" t="s">
        <v>5799</v>
      </c>
      <c r="B498" s="34" t="str">
        <f aca="false">'Uso e Consumo'!A498</f>
        <v>0335</v>
      </c>
      <c r="C498" s="34" t="str">
        <f aca="false">'Uso e Consumo'!B498</f>
        <v>UFV NORONHA VERDE - USO E CONSUMO</v>
      </c>
      <c r="D498" s="33" t="n">
        <f aca="false">'Uso e Consumo'!C498</f>
        <v>11426</v>
      </c>
      <c r="E498" s="34" t="str">
        <f aca="false">'Uso e Consumo'!D498</f>
        <v>10.08.0001</v>
      </c>
      <c r="F498" s="34" t="str">
        <f aca="false">'Uso e Consumo'!E498</f>
        <v>PISO VINILICO MANTA PVC 2,00M X 20,00M</v>
      </c>
      <c r="G498" s="34" t="str">
        <f aca="false">'Uso e Consumo'!J498</f>
        <v>M2</v>
      </c>
      <c r="H498" s="49" t="n">
        <f aca="false">'Uso e Consumo'!F498</f>
        <v>125</v>
      </c>
      <c r="I498" s="35" t="n">
        <f aca="false">'Uso e Consumo'!G498</f>
        <v>2875</v>
      </c>
      <c r="J498" s="34" t="str">
        <f aca="false">'Uso e Consumo'!M498</f>
        <v>3.8.1.010 - Revestimentos e pisos</v>
      </c>
      <c r="K498" s="32" t="str">
        <f aca="false">INDEX('Curva ABC'!$K$8:$K$2847,MATCH(D498,'Curva ABC'!$B$8:$B$2847,0))</f>
        <v>B</v>
      </c>
    </row>
    <row r="499" customFormat="false" ht="15" hidden="false" customHeight="false" outlineLevel="0" collapsed="false">
      <c r="A499" s="34" t="s">
        <v>5799</v>
      </c>
      <c r="B499" s="34" t="str">
        <f aca="false">'Uso e Consumo'!A499</f>
        <v>0335</v>
      </c>
      <c r="C499" s="34" t="str">
        <f aca="false">'Uso e Consumo'!B499</f>
        <v>UFV NORONHA VERDE - USO E CONSUMO</v>
      </c>
      <c r="D499" s="33" t="n">
        <f aca="false">'Uso e Consumo'!C499</f>
        <v>18885</v>
      </c>
      <c r="E499" s="34" t="str">
        <f aca="false">'Uso e Consumo'!D499</f>
        <v>26.06.0003</v>
      </c>
      <c r="F499" s="34" t="str">
        <f aca="false">'Uso e Consumo'!E499</f>
        <v>LUVA LATÉX - TAM. G (CA-15532/6659/27788/19435)</v>
      </c>
      <c r="G499" s="34" t="str">
        <f aca="false">'Uso e Consumo'!J499</f>
        <v>PAR</v>
      </c>
      <c r="H499" s="49" t="n">
        <f aca="false">'Uso e Consumo'!F499</f>
        <v>51</v>
      </c>
      <c r="I499" s="35" t="n">
        <f aca="false">'Uso e Consumo'!G499</f>
        <v>2873.96</v>
      </c>
      <c r="J499" s="34" t="str">
        <f aca="false">'Uso e Consumo'!M499</f>
        <v>4.3.4.001 - Equipamento de proteção individual</v>
      </c>
      <c r="K499" s="32" t="str">
        <f aca="false">INDEX('Curva ABC'!$K$8:$K$2847,MATCH(D499,'Curva ABC'!$B$8:$B$2847,0))</f>
        <v>B</v>
      </c>
    </row>
    <row r="500" customFormat="false" ht="15" hidden="false" customHeight="false" outlineLevel="0" collapsed="false">
      <c r="A500" s="34" t="s">
        <v>5799</v>
      </c>
      <c r="B500" s="34" t="str">
        <f aca="false">'Uso e Consumo'!A500</f>
        <v>0335</v>
      </c>
      <c r="C500" s="34" t="str">
        <f aca="false">'Uso e Consumo'!B500</f>
        <v>UFV NORONHA VERDE - USO E CONSUMO</v>
      </c>
      <c r="D500" s="33" t="n">
        <f aca="false">'Uso e Consumo'!C500</f>
        <v>17844</v>
      </c>
      <c r="E500" s="34" t="str">
        <f aca="false">'Uso e Consumo'!D500</f>
        <v>24.01.0001</v>
      </c>
      <c r="F500" s="34" t="str">
        <f aca="false">'Uso e Consumo'!E500</f>
        <v>ALICATE AMPERIMETRO DIGITAL 0 A 10A 750V</v>
      </c>
      <c r="G500" s="34" t="str">
        <f aca="false">'Uso e Consumo'!J500</f>
        <v>UN</v>
      </c>
      <c r="H500" s="49" t="n">
        <f aca="false">'Uso e Consumo'!F500</f>
        <v>12</v>
      </c>
      <c r="I500" s="35" t="n">
        <f aca="false">'Uso e Consumo'!G500</f>
        <v>2857.2</v>
      </c>
      <c r="J500" s="34" t="str">
        <f aca="false">'Uso e Consumo'!M500</f>
        <v>3.8.2.001 - Ferramentas medição/aferição</v>
      </c>
      <c r="K500" s="32" t="str">
        <f aca="false">INDEX('Curva ABC'!$K$8:$K$2847,MATCH(D500,'Curva ABC'!$B$8:$B$2847,0))</f>
        <v>B</v>
      </c>
    </row>
    <row r="501" customFormat="false" ht="15" hidden="false" customHeight="false" outlineLevel="0" collapsed="false">
      <c r="A501" s="34" t="s">
        <v>5799</v>
      </c>
      <c r="B501" s="34" t="str">
        <f aca="false">'Uso e Consumo'!A501</f>
        <v>0335</v>
      </c>
      <c r="C501" s="34" t="str">
        <f aca="false">'Uso e Consumo'!B501</f>
        <v>UFV NORONHA VERDE - USO E CONSUMO</v>
      </c>
      <c r="D501" s="33" t="n">
        <f aca="false">'Uso e Consumo'!C501</f>
        <v>847017</v>
      </c>
      <c r="E501" s="34" t="str">
        <f aca="false">'Uso e Consumo'!D501</f>
        <v>18.01.1288</v>
      </c>
      <c r="F501" s="34" t="str">
        <f aca="false">'Uso e Consumo'!E501</f>
        <v>JOGO DE TARRAXA MANUAL PARA CANO METÁLICO BSPT 1" A 2"</v>
      </c>
      <c r="G501" s="34" t="str">
        <f aca="false">'Uso e Consumo'!J501</f>
        <v>UN</v>
      </c>
      <c r="H501" s="49" t="n">
        <f aca="false">'Uso e Consumo'!F501</f>
        <v>2</v>
      </c>
      <c r="I501" s="35" t="n">
        <f aca="false">'Uso e Consumo'!G501</f>
        <v>2856.26</v>
      </c>
      <c r="J501" s="34" t="str">
        <f aca="false">'Uso e Consumo'!M501</f>
        <v>3.8.1.018 - Instalações hidráulicas/sanitárias/industriais</v>
      </c>
      <c r="K501" s="32" t="str">
        <f aca="false">INDEX('Curva ABC'!$K$8:$K$2847,MATCH(D501,'Curva ABC'!$B$8:$B$2847,0))</f>
        <v>B</v>
      </c>
    </row>
    <row r="502" customFormat="false" ht="15" hidden="false" customHeight="false" outlineLevel="0" collapsed="false">
      <c r="A502" s="34" t="s">
        <v>5799</v>
      </c>
      <c r="B502" s="34" t="str">
        <f aca="false">'Uso e Consumo'!A502</f>
        <v>0335</v>
      </c>
      <c r="C502" s="34" t="str">
        <f aca="false">'Uso e Consumo'!B502</f>
        <v>UFV NORONHA VERDE - USO E CONSUMO</v>
      </c>
      <c r="D502" s="33" t="n">
        <f aca="false">'Uso e Consumo'!C502</f>
        <v>23761</v>
      </c>
      <c r="E502" s="34" t="str">
        <f aca="false">'Uso e Consumo'!D502</f>
        <v>24.36.0002</v>
      </c>
      <c r="F502" s="34" t="str">
        <f aca="false">'Uso e Consumo'!E502</f>
        <v>FACA DESENCAPADORA DE CABOS VDE ISOLADA EN60900</v>
      </c>
      <c r="G502" s="34" t="str">
        <f aca="false">'Uso e Consumo'!J502</f>
        <v>UN</v>
      </c>
      <c r="H502" s="49" t="n">
        <f aca="false">'Uso e Consumo'!F502</f>
        <v>25</v>
      </c>
      <c r="I502" s="35" t="n">
        <f aca="false">'Uso e Consumo'!G502</f>
        <v>2850</v>
      </c>
      <c r="J502" s="34" t="str">
        <f aca="false">'Uso e Consumo'!M502</f>
        <v>3.8.2.002 - Ferramentas manuais</v>
      </c>
      <c r="K502" s="32" t="str">
        <f aca="false">INDEX('Curva ABC'!$K$8:$K$2847,MATCH(D502,'Curva ABC'!$B$8:$B$2847,0))</f>
        <v>B</v>
      </c>
    </row>
    <row r="503" customFormat="false" ht="15" hidden="false" customHeight="false" outlineLevel="0" collapsed="false">
      <c r="A503" s="34" t="s">
        <v>5799</v>
      </c>
      <c r="B503" s="34" t="str">
        <f aca="false">'Uso e Consumo'!A503</f>
        <v>0335</v>
      </c>
      <c r="C503" s="34" t="str">
        <f aca="false">'Uso e Consumo'!B503</f>
        <v>UFV NORONHA VERDE - USO E CONSUMO</v>
      </c>
      <c r="D503" s="33" t="n">
        <f aca="false">'Uso e Consumo'!C503</f>
        <v>23329</v>
      </c>
      <c r="E503" s="34" t="str">
        <f aca="false">'Uso e Consumo'!D503</f>
        <v>19.12.0035</v>
      </c>
      <c r="F503" s="34" t="str">
        <f aca="false">'Uso e Consumo'!E503</f>
        <v>SUPORTE DISPENSER PAPEL HIGIÊNICO ROLÃO 300M A 400 M</v>
      </c>
      <c r="G503" s="34" t="str">
        <f aca="false">'Uso e Consumo'!J503</f>
        <v>UN</v>
      </c>
      <c r="H503" s="49" t="n">
        <f aca="false">'Uso e Consumo'!F503</f>
        <v>39</v>
      </c>
      <c r="I503" s="35" t="n">
        <f aca="false">'Uso e Consumo'!G503</f>
        <v>2837.64</v>
      </c>
      <c r="J503" s="34" t="str">
        <f aca="false">'Uso e Consumo'!M503</f>
        <v>3.8.1.018 - Instalações hidráulicas/sanitárias/industriais</v>
      </c>
      <c r="K503" s="32" t="str">
        <f aca="false">INDEX('Curva ABC'!$K$8:$K$2847,MATCH(D503,'Curva ABC'!$B$8:$B$2847,0))</f>
        <v>B</v>
      </c>
    </row>
    <row r="504" customFormat="false" ht="15" hidden="false" customHeight="false" outlineLevel="0" collapsed="false">
      <c r="A504" s="34" t="s">
        <v>5799</v>
      </c>
      <c r="B504" s="34" t="str">
        <f aca="false">'Uso e Consumo'!A504</f>
        <v>0335</v>
      </c>
      <c r="C504" s="34" t="str">
        <f aca="false">'Uso e Consumo'!B504</f>
        <v>UFV NORONHA VERDE - USO E CONSUMO</v>
      </c>
      <c r="D504" s="33" t="n">
        <f aca="false">'Uso e Consumo'!C504</f>
        <v>1604395</v>
      </c>
      <c r="E504" s="34" t="str">
        <f aca="false">'Uso e Consumo'!D504</f>
        <v>17.22.0147</v>
      </c>
      <c r="F504" s="34" t="str">
        <f aca="false">'Uso e Consumo'!E504</f>
        <v>LAÇO PRÉ-FORMADO DE TOPO EM COBRE PARA CABO DE COBRE NÚ 120MM</v>
      </c>
      <c r="G504" s="34" t="str">
        <f aca="false">'Uso e Consumo'!J504</f>
        <v>UN</v>
      </c>
      <c r="H504" s="49" t="n">
        <f aca="false">'Uso e Consumo'!F504</f>
        <v>11</v>
      </c>
      <c r="I504" s="35" t="n">
        <f aca="false">'Uso e Consumo'!G504</f>
        <v>2831.77</v>
      </c>
      <c r="J504" s="34" t="str">
        <f aca="false">'Uso e Consumo'!M504</f>
        <v>3.8.1.017 - Instalações elétricas/telefônicas/lógica</v>
      </c>
      <c r="K504" s="32" t="str">
        <f aca="false">INDEX('Curva ABC'!$K$8:$K$2847,MATCH(D504,'Curva ABC'!$B$8:$B$2847,0))</f>
        <v>B</v>
      </c>
    </row>
    <row r="505" customFormat="false" ht="15" hidden="false" customHeight="false" outlineLevel="0" collapsed="false">
      <c r="A505" s="34" t="s">
        <v>5799</v>
      </c>
      <c r="B505" s="34" t="str">
        <f aca="false">'Uso e Consumo'!A505</f>
        <v>0335</v>
      </c>
      <c r="C505" s="34" t="str">
        <f aca="false">'Uso e Consumo'!B505</f>
        <v>UFV NORONHA VERDE - USO E CONSUMO</v>
      </c>
      <c r="D505" s="33" t="n">
        <f aca="false">'Uso e Consumo'!C505</f>
        <v>1066069</v>
      </c>
      <c r="E505" s="34" t="str">
        <f aca="false">'Uso e Consumo'!D505</f>
        <v>32.02.0349</v>
      </c>
      <c r="F505" s="34" t="str">
        <f aca="false">'Uso e Consumo'!E505</f>
        <v>CINTA PARA POSTE CIRCULAR (260)</v>
      </c>
      <c r="G505" s="34" t="str">
        <f aca="false">'Uso e Consumo'!J505</f>
        <v>UN</v>
      </c>
      <c r="H505" s="49" t="n">
        <f aca="false">'Uso e Consumo'!F505</f>
        <v>27</v>
      </c>
      <c r="I505" s="35" t="n">
        <f aca="false">'Uso e Consumo'!G505</f>
        <v>2828.92</v>
      </c>
      <c r="J505" s="34" t="str">
        <f aca="false">'Uso e Consumo'!M505</f>
        <v>6.1.2.001 - Equipamentos</v>
      </c>
      <c r="K505" s="32" t="str">
        <f aca="false">INDEX('Curva ABC'!$K$8:$K$2847,MATCH(D505,'Curva ABC'!$B$8:$B$2847,0))</f>
        <v>B</v>
      </c>
    </row>
    <row r="506" customFormat="false" ht="15" hidden="false" customHeight="false" outlineLevel="0" collapsed="false">
      <c r="A506" s="34" t="s">
        <v>5799</v>
      </c>
      <c r="B506" s="34" t="str">
        <f aca="false">'Uso e Consumo'!A506</f>
        <v>0335</v>
      </c>
      <c r="C506" s="34" t="str">
        <f aca="false">'Uso e Consumo'!B506</f>
        <v>UFV NORONHA VERDE - USO E CONSUMO</v>
      </c>
      <c r="D506" s="33" t="n">
        <f aca="false">'Uso e Consumo'!C506</f>
        <v>137403</v>
      </c>
      <c r="E506" s="34" t="str">
        <f aca="false">'Uso e Consumo'!D506</f>
        <v>26.01.0028</v>
      </c>
      <c r="F506" s="34" t="str">
        <f aca="false">'Uso e Consumo'!E506</f>
        <v>COLETE REFLETIVO TIPO BLUSÃO - 4 BOLSOS - COR VERDE - TAM. XGG</v>
      </c>
      <c r="G506" s="34" t="str">
        <f aca="false">'Uso e Consumo'!J506</f>
        <v>UN</v>
      </c>
      <c r="H506" s="49" t="n">
        <f aca="false">'Uso e Consumo'!F506</f>
        <v>100</v>
      </c>
      <c r="I506" s="35" t="n">
        <f aca="false">'Uso e Consumo'!G506</f>
        <v>2813.8801</v>
      </c>
      <c r="J506" s="34" t="str">
        <f aca="false">'Uso e Consumo'!M506</f>
        <v>4.3.4.001 - Equipamento de proteção individual</v>
      </c>
      <c r="K506" s="32" t="str">
        <f aca="false">INDEX('Curva ABC'!$K$8:$K$2847,MATCH(D506,'Curva ABC'!$B$8:$B$2847,0))</f>
        <v>B</v>
      </c>
    </row>
    <row r="507" customFormat="false" ht="15" hidden="false" customHeight="false" outlineLevel="0" collapsed="false">
      <c r="A507" s="34" t="s">
        <v>5799</v>
      </c>
      <c r="B507" s="34" t="str">
        <f aca="false">'Uso e Consumo'!A507</f>
        <v>0335</v>
      </c>
      <c r="C507" s="34" t="str">
        <f aca="false">'Uso e Consumo'!B507</f>
        <v>UFV NORONHA VERDE - USO E CONSUMO</v>
      </c>
      <c r="D507" s="33" t="n">
        <f aca="false">'Uso e Consumo'!C507</f>
        <v>287821</v>
      </c>
      <c r="E507" s="34" t="str">
        <f aca="false">'Uso e Consumo'!D507</f>
        <v>25.13.0096</v>
      </c>
      <c r="F507" s="34" t="str">
        <f aca="false">'Uso e Consumo'!E507</f>
        <v>MANGUEIRA FLEXÍVEL CHATA 2”</v>
      </c>
      <c r="G507" s="34" t="str">
        <f aca="false">'Uso e Consumo'!J507</f>
        <v>M</v>
      </c>
      <c r="H507" s="49" t="n">
        <f aca="false">'Uso e Consumo'!F507</f>
        <v>200</v>
      </c>
      <c r="I507" s="35" t="n">
        <f aca="false">'Uso e Consumo'!G507</f>
        <v>2800</v>
      </c>
      <c r="J507" s="34" t="str">
        <f aca="false">'Uso e Consumo'!M507</f>
        <v>3.8.1.018 - Instalações hidráulicas/sanitárias/industriais</v>
      </c>
      <c r="K507" s="32" t="str">
        <f aca="false">INDEX('Curva ABC'!$K$8:$K$2847,MATCH(D507,'Curva ABC'!$B$8:$B$2847,0))</f>
        <v>B</v>
      </c>
    </row>
    <row r="508" customFormat="false" ht="15" hidden="false" customHeight="false" outlineLevel="0" collapsed="false">
      <c r="A508" s="34" t="s">
        <v>5799</v>
      </c>
      <c r="B508" s="34" t="str">
        <f aca="false">'Uso e Consumo'!A508</f>
        <v>0335</v>
      </c>
      <c r="C508" s="34" t="str">
        <f aca="false">'Uso e Consumo'!B508</f>
        <v>UFV NORONHA VERDE - USO E CONSUMO</v>
      </c>
      <c r="D508" s="33" t="n">
        <f aca="false">'Uso e Consumo'!C508</f>
        <v>1068919</v>
      </c>
      <c r="E508" s="34" t="str">
        <f aca="false">'Uso e Consumo'!D508</f>
        <v>26.04.0150</v>
      </c>
      <c r="F508" s="34" t="str">
        <f aca="false">'Uso e Consumo'!E508</f>
        <v>DISPOSITIVO DE ANCORAGEM TIPO AGULHÃO</v>
      </c>
      <c r="G508" s="34" t="str">
        <f aca="false">'Uso e Consumo'!J508</f>
        <v>UN</v>
      </c>
      <c r="H508" s="49" t="n">
        <f aca="false">'Uso e Consumo'!F508</f>
        <v>10</v>
      </c>
      <c r="I508" s="35" t="n">
        <f aca="false">'Uso e Consumo'!G508</f>
        <v>2800</v>
      </c>
      <c r="J508" s="34" t="str">
        <f aca="false">'Uso e Consumo'!M508</f>
        <v>4.3.4.001 - Equipamento de proteção individual</v>
      </c>
      <c r="K508" s="32" t="str">
        <f aca="false">INDEX('Curva ABC'!$K$8:$K$2847,MATCH(D508,'Curva ABC'!$B$8:$B$2847,0))</f>
        <v>B</v>
      </c>
    </row>
    <row r="509" customFormat="false" ht="15" hidden="false" customHeight="false" outlineLevel="0" collapsed="false">
      <c r="A509" s="34" t="s">
        <v>5799</v>
      </c>
      <c r="B509" s="34" t="str">
        <f aca="false">'Uso e Consumo'!A509</f>
        <v>0335</v>
      </c>
      <c r="C509" s="34" t="str">
        <f aca="false">'Uso e Consumo'!B509</f>
        <v>UFV NORONHA VERDE - USO E CONSUMO</v>
      </c>
      <c r="D509" s="33" t="n">
        <f aca="false">'Uso e Consumo'!C509</f>
        <v>1679658</v>
      </c>
      <c r="E509" s="34" t="str">
        <f aca="false">'Uso e Consumo'!D509</f>
        <v>13.02.0384</v>
      </c>
      <c r="F509" s="34" t="str">
        <f aca="false">'Uso e Consumo'!E509</f>
        <v>JANELA FIXA DE ALUMINIO 0,40 X 0,50 M C/ PINTURA ELETROSTATICA BRANCA</v>
      </c>
      <c r="G509" s="34" t="str">
        <f aca="false">'Uso e Consumo'!J509</f>
        <v>UN</v>
      </c>
      <c r="H509" s="49" t="n">
        <f aca="false">'Uso e Consumo'!F509</f>
        <v>4</v>
      </c>
      <c r="I509" s="35" t="n">
        <f aca="false">'Uso e Consumo'!G509</f>
        <v>2800</v>
      </c>
      <c r="J509" s="34" t="str">
        <f aca="false">'Uso e Consumo'!M509</f>
        <v>3.8.1.013 - Esquadrias e vidros</v>
      </c>
      <c r="K509" s="32" t="str">
        <f aca="false">INDEX('Curva ABC'!$K$8:$K$2847,MATCH(D509,'Curva ABC'!$B$8:$B$2847,0))</f>
        <v>B</v>
      </c>
    </row>
    <row r="510" customFormat="false" ht="15" hidden="false" customHeight="false" outlineLevel="0" collapsed="false">
      <c r="A510" s="34" t="s">
        <v>5799</v>
      </c>
      <c r="B510" s="34" t="str">
        <f aca="false">'Uso e Consumo'!A510</f>
        <v>0335</v>
      </c>
      <c r="C510" s="34" t="str">
        <f aca="false">'Uso e Consumo'!B510</f>
        <v>UFV NORONHA VERDE - USO E CONSUMO</v>
      </c>
      <c r="D510" s="33" t="n">
        <f aca="false">'Uso e Consumo'!C510</f>
        <v>1385183</v>
      </c>
      <c r="E510" s="34" t="str">
        <f aca="false">'Uso e Consumo'!D510</f>
        <v>17.01.1221</v>
      </c>
      <c r="F510" s="34" t="str">
        <f aca="false">'Uso e Consumo'!E510</f>
        <v>CABO MONOPOLAR 2,5 MM², CONDUTOR EM COBRE ELETROLÍTICO NU, TÊMPERA MOLE, CLASSE 5, TENSÃO 750 V,  COR CINZA</v>
      </c>
      <c r="G510" s="34" t="str">
        <f aca="false">'Uso e Consumo'!J510</f>
        <v>M</v>
      </c>
      <c r="H510" s="49" t="n">
        <f aca="false">'Uso e Consumo'!F510</f>
        <v>817</v>
      </c>
      <c r="I510" s="35" t="n">
        <f aca="false">'Uso e Consumo'!G510</f>
        <v>2772.16</v>
      </c>
      <c r="J510" s="34" t="str">
        <f aca="false">'Uso e Consumo'!M510</f>
        <v>3.8.1.017 - Instalações elétricas/telefônicas/lógica</v>
      </c>
      <c r="K510" s="32" t="str">
        <f aca="false">INDEX('Curva ABC'!$K$8:$K$2847,MATCH(D510,'Curva ABC'!$B$8:$B$2847,0))</f>
        <v>B</v>
      </c>
    </row>
    <row r="511" customFormat="false" ht="15" hidden="false" customHeight="false" outlineLevel="0" collapsed="false">
      <c r="A511" s="34" t="s">
        <v>5799</v>
      </c>
      <c r="B511" s="34" t="str">
        <f aca="false">'Uso e Consumo'!A511</f>
        <v>0335</v>
      </c>
      <c r="C511" s="34" t="str">
        <f aca="false">'Uso e Consumo'!B511</f>
        <v>UFV NORONHA VERDE - USO E CONSUMO</v>
      </c>
      <c r="D511" s="33" t="n">
        <f aca="false">'Uso e Consumo'!C511</f>
        <v>32259</v>
      </c>
      <c r="E511" s="34" t="str">
        <f aca="false">'Uso e Consumo'!D511</f>
        <v>29.03.0083</v>
      </c>
      <c r="F511" s="34" t="str">
        <f aca="false">'Uso e Consumo'!E511</f>
        <v>VENTILADOR DE PAREDE 60CM 220 V</v>
      </c>
      <c r="G511" s="34" t="str">
        <f aca="false">'Uso e Consumo'!J511</f>
        <v>UN</v>
      </c>
      <c r="H511" s="49" t="n">
        <f aca="false">'Uso e Consumo'!F511</f>
        <v>8</v>
      </c>
      <c r="I511" s="35" t="n">
        <f aca="false">'Uso e Consumo'!G511</f>
        <v>2764.96</v>
      </c>
      <c r="J511" s="34" t="str">
        <f aca="false">'Uso e Consumo'!M511</f>
        <v>4.1.1.009 - Eletro eletrônico e acessórios</v>
      </c>
      <c r="K511" s="32" t="str">
        <f aca="false">INDEX('Curva ABC'!$K$8:$K$2847,MATCH(D511,'Curva ABC'!$B$8:$B$2847,0))</f>
        <v>B</v>
      </c>
    </row>
    <row r="512" customFormat="false" ht="15" hidden="false" customHeight="false" outlineLevel="0" collapsed="false">
      <c r="A512" s="34" t="s">
        <v>5799</v>
      </c>
      <c r="B512" s="34" t="str">
        <f aca="false">'Uso e Consumo'!A512</f>
        <v>0335</v>
      </c>
      <c r="C512" s="34" t="str">
        <f aca="false">'Uso e Consumo'!B512</f>
        <v>UFV NORONHA VERDE - USO E CONSUMO</v>
      </c>
      <c r="D512" s="33" t="n">
        <f aca="false">'Uso e Consumo'!C512</f>
        <v>1475808</v>
      </c>
      <c r="E512" s="34" t="str">
        <f aca="false">'Uso e Consumo'!D512</f>
        <v>24.41.0403</v>
      </c>
      <c r="F512" s="34" t="str">
        <f aca="false">'Uso e Consumo'!E512</f>
        <v>JOGO DE FERRAMENTAS MECÂNICAS COM 70 PEÇAS</v>
      </c>
      <c r="G512" s="34" t="str">
        <f aca="false">'Uso e Consumo'!J512</f>
        <v>UN</v>
      </c>
      <c r="H512" s="49" t="n">
        <f aca="false">'Uso e Consumo'!F512</f>
        <v>1</v>
      </c>
      <c r="I512" s="35" t="n">
        <f aca="false">'Uso e Consumo'!G512</f>
        <v>2760</v>
      </c>
      <c r="J512" s="34" t="str">
        <f aca="false">'Uso e Consumo'!M512</f>
        <v>6.1.2.002 - Ferramentas e utensílios</v>
      </c>
      <c r="K512" s="32" t="str">
        <f aca="false">INDEX('Curva ABC'!$K$8:$K$2847,MATCH(D512,'Curva ABC'!$B$8:$B$2847,0))</f>
        <v>B</v>
      </c>
    </row>
    <row r="513" customFormat="false" ht="15" hidden="false" customHeight="false" outlineLevel="0" collapsed="false">
      <c r="A513" s="34" t="s">
        <v>5799</v>
      </c>
      <c r="B513" s="34" t="str">
        <f aca="false">'Uso e Consumo'!A513</f>
        <v>0335</v>
      </c>
      <c r="C513" s="34" t="str">
        <f aca="false">'Uso e Consumo'!B513</f>
        <v>UFV NORONHA VERDE - USO E CONSUMO</v>
      </c>
      <c r="D513" s="33" t="n">
        <f aca="false">'Uso e Consumo'!C513</f>
        <v>18980</v>
      </c>
      <c r="E513" s="34" t="str">
        <f aca="false">'Uso e Consumo'!D513</f>
        <v>26.13.0002</v>
      </c>
      <c r="F513" s="34" t="str">
        <f aca="false">'Uso e Consumo'!E513</f>
        <v>BATA MANGA LONGA TAMANHO M - FORRO NO OMBRO, GOLA COM VELCRO, 3 BOLSOS, LOGOMARCA NAS COSTAS, 02 ARG</v>
      </c>
      <c r="G513" s="34" t="str">
        <f aca="false">'Uso e Consumo'!J513</f>
        <v>UN</v>
      </c>
      <c r="H513" s="49" t="n">
        <f aca="false">'Uso e Consumo'!F513</f>
        <v>50</v>
      </c>
      <c r="I513" s="35" t="n">
        <f aca="false">'Uso e Consumo'!G513</f>
        <v>2750</v>
      </c>
      <c r="J513" s="34" t="str">
        <f aca="false">'Uso e Consumo'!M513</f>
        <v>4.3.4.003 - Fardamentos</v>
      </c>
      <c r="K513" s="32" t="str">
        <f aca="false">INDEX('Curva ABC'!$K$8:$K$2847,MATCH(D513,'Curva ABC'!$B$8:$B$2847,0))</f>
        <v>B</v>
      </c>
    </row>
    <row r="514" customFormat="false" ht="15" hidden="false" customHeight="false" outlineLevel="0" collapsed="false">
      <c r="A514" s="34" t="s">
        <v>5799</v>
      </c>
      <c r="B514" s="34" t="str">
        <f aca="false">'Uso e Consumo'!A514</f>
        <v>0335</v>
      </c>
      <c r="C514" s="34" t="str">
        <f aca="false">'Uso e Consumo'!B514</f>
        <v>UFV NORONHA VERDE - USO E CONSUMO</v>
      </c>
      <c r="D514" s="33" t="n">
        <f aca="false">'Uso e Consumo'!C514</f>
        <v>228009</v>
      </c>
      <c r="E514" s="34" t="str">
        <f aca="false">'Uso e Consumo'!D514</f>
        <v>26.13.0114</v>
      </c>
      <c r="F514" s="34" t="str">
        <f aca="false">'Uso e Consumo'!E514</f>
        <v>BATA MANGA LONGA TAMANHO XXG - FORRO NO OMBRO, GOLA COM VELCRO, 3 BOLSOS, LOGOMARCA NAS COSTAS, 02 AR</v>
      </c>
      <c r="G514" s="34" t="str">
        <f aca="false">'Uso e Consumo'!J514</f>
        <v>UN</v>
      </c>
      <c r="H514" s="49" t="n">
        <f aca="false">'Uso e Consumo'!F514</f>
        <v>50</v>
      </c>
      <c r="I514" s="35" t="n">
        <f aca="false">'Uso e Consumo'!G514</f>
        <v>2750</v>
      </c>
      <c r="J514" s="34" t="str">
        <f aca="false">'Uso e Consumo'!M514</f>
        <v>4.3.4.003 - Fardamentos</v>
      </c>
      <c r="K514" s="32" t="str">
        <f aca="false">INDEX('Curva ABC'!$K$8:$K$2847,MATCH(D514,'Curva ABC'!$B$8:$B$2847,0))</f>
        <v>B</v>
      </c>
    </row>
    <row r="515" customFormat="false" ht="15" hidden="false" customHeight="false" outlineLevel="0" collapsed="false">
      <c r="A515" s="34" t="s">
        <v>5799</v>
      </c>
      <c r="B515" s="34" t="str">
        <f aca="false">'Uso e Consumo'!A515</f>
        <v>0335</v>
      </c>
      <c r="C515" s="34" t="str">
        <f aca="false">'Uso e Consumo'!B515</f>
        <v>UFV NORONHA VERDE - USO E CONSUMO</v>
      </c>
      <c r="D515" s="33" t="n">
        <f aca="false">'Uso e Consumo'!C515</f>
        <v>873968</v>
      </c>
      <c r="E515" s="34" t="str">
        <f aca="false">'Uso e Consumo'!D515</f>
        <v>29.01.1233</v>
      </c>
      <c r="F515" s="34" t="str">
        <f aca="false">'Uso e Consumo'!E515</f>
        <v>NOBREAK INTELBRAS MODELO ATTIV 600VA BI-VOLT</v>
      </c>
      <c r="G515" s="34" t="str">
        <f aca="false">'Uso e Consumo'!J515</f>
        <v>UN</v>
      </c>
      <c r="H515" s="49" t="n">
        <f aca="false">'Uso e Consumo'!F515</f>
        <v>6</v>
      </c>
      <c r="I515" s="35" t="n">
        <f aca="false">'Uso e Consumo'!G515</f>
        <v>2748.6</v>
      </c>
      <c r="J515" s="34" t="str">
        <f aca="false">'Uso e Consumo'!M515</f>
        <v>4.1.1.007 - Equipamentos e acessórios para informática</v>
      </c>
      <c r="K515" s="32" t="str">
        <f aca="false">INDEX('Curva ABC'!$K$8:$K$2847,MATCH(D515,'Curva ABC'!$B$8:$B$2847,0))</f>
        <v>B</v>
      </c>
    </row>
    <row r="516" customFormat="false" ht="15" hidden="false" customHeight="false" outlineLevel="0" collapsed="false">
      <c r="A516" s="34" t="s">
        <v>5799</v>
      </c>
      <c r="B516" s="34" t="str">
        <f aca="false">'Uso e Consumo'!A516</f>
        <v>0335</v>
      </c>
      <c r="C516" s="34" t="str">
        <f aca="false">'Uso e Consumo'!B516</f>
        <v>UFV NORONHA VERDE - USO E CONSUMO</v>
      </c>
      <c r="D516" s="33" t="n">
        <f aca="false">'Uso e Consumo'!C516</f>
        <v>33377</v>
      </c>
      <c r="E516" s="34" t="str">
        <f aca="false">'Uso e Consumo'!D516</f>
        <v>16.03.0100</v>
      </c>
      <c r="F516" s="34" t="str">
        <f aca="false">'Uso e Consumo'!E516</f>
        <v>TINTA ACRILICA PARA PISO VERDE 18,00L NBR 11702</v>
      </c>
      <c r="G516" s="34" t="str">
        <f aca="false">'Uso e Consumo'!J516</f>
        <v>L18L</v>
      </c>
      <c r="H516" s="49" t="n">
        <f aca="false">'Uso e Consumo'!F516</f>
        <v>5</v>
      </c>
      <c r="I516" s="35" t="n">
        <f aca="false">'Uso e Consumo'!G516</f>
        <v>2740</v>
      </c>
      <c r="J516" s="34" t="str">
        <f aca="false">'Uso e Consumo'!M516</f>
        <v>3.8.1.016 - Pinturas</v>
      </c>
      <c r="K516" s="32" t="str">
        <f aca="false">INDEX('Curva ABC'!$K$8:$K$2847,MATCH(D516,'Curva ABC'!$B$8:$B$2847,0))</f>
        <v>B</v>
      </c>
    </row>
    <row r="517" customFormat="false" ht="15" hidden="false" customHeight="false" outlineLevel="0" collapsed="false">
      <c r="A517" s="34" t="s">
        <v>5799</v>
      </c>
      <c r="B517" s="34" t="str">
        <f aca="false">'Uso e Consumo'!A517</f>
        <v>0335</v>
      </c>
      <c r="C517" s="34" t="str">
        <f aca="false">'Uso e Consumo'!B517</f>
        <v>UFV NORONHA VERDE - USO E CONSUMO</v>
      </c>
      <c r="D517" s="33" t="n">
        <f aca="false">'Uso e Consumo'!C517</f>
        <v>18822</v>
      </c>
      <c r="E517" s="34" t="str">
        <f aca="false">'Uso e Consumo'!D517</f>
        <v>26.02.0026</v>
      </c>
      <c r="F517" s="34" t="str">
        <f aca="false">'Uso e Consumo'!E517</f>
        <v>BOTA IMPERMEÁVEL DE PVC CANO LONGO - COR PRETA - Nº 43 (CA-26629/10199/28286)</v>
      </c>
      <c r="G517" s="34" t="str">
        <f aca="false">'Uso e Consumo'!J517</f>
        <v>PAR</v>
      </c>
      <c r="H517" s="49" t="n">
        <f aca="false">'Uso e Consumo'!F517</f>
        <v>90</v>
      </c>
      <c r="I517" s="35" t="n">
        <f aca="false">'Uso e Consumo'!G517</f>
        <v>2729.4</v>
      </c>
      <c r="J517" s="34" t="str">
        <f aca="false">'Uso e Consumo'!M517</f>
        <v>4.3.4.001 - Equipamento de proteção individual</v>
      </c>
      <c r="K517" s="32" t="str">
        <f aca="false">INDEX('Curva ABC'!$K$8:$K$2847,MATCH(D517,'Curva ABC'!$B$8:$B$2847,0))</f>
        <v>B</v>
      </c>
    </row>
    <row r="518" customFormat="false" ht="15" hidden="false" customHeight="false" outlineLevel="0" collapsed="false">
      <c r="A518" s="34" t="s">
        <v>5799</v>
      </c>
      <c r="B518" s="34" t="str">
        <f aca="false">'Uso e Consumo'!A518</f>
        <v>0335</v>
      </c>
      <c r="C518" s="34" t="str">
        <f aca="false">'Uso e Consumo'!B518</f>
        <v>UFV NORONHA VERDE - USO E CONSUMO</v>
      </c>
      <c r="D518" s="33" t="n">
        <f aca="false">'Uso e Consumo'!C518</f>
        <v>1386600</v>
      </c>
      <c r="E518" s="34" t="str">
        <f aca="false">'Uso e Consumo'!D518</f>
        <v>17.22.0131</v>
      </c>
      <c r="F518" s="34" t="str">
        <f aca="false">'Uso e Consumo'!E518</f>
        <v>SELA CRUZETA ABERTURA 90MM</v>
      </c>
      <c r="G518" s="34" t="str">
        <f aca="false">'Uso e Consumo'!J518</f>
        <v>UN</v>
      </c>
      <c r="H518" s="49" t="n">
        <f aca="false">'Uso e Consumo'!F518</f>
        <v>137</v>
      </c>
      <c r="I518" s="35" t="n">
        <f aca="false">'Uso e Consumo'!G518</f>
        <v>2727.67</v>
      </c>
      <c r="J518" s="34" t="str">
        <f aca="false">'Uso e Consumo'!M518</f>
        <v>3.8.1.017 - Instalações elétricas/telefônicas/lógica</v>
      </c>
      <c r="K518" s="32" t="str">
        <f aca="false">INDEX('Curva ABC'!$K$8:$K$2847,MATCH(D518,'Curva ABC'!$B$8:$B$2847,0))</f>
        <v>B</v>
      </c>
    </row>
    <row r="519" customFormat="false" ht="15" hidden="false" customHeight="false" outlineLevel="0" collapsed="false">
      <c r="A519" s="34" t="s">
        <v>5799</v>
      </c>
      <c r="B519" s="34" t="str">
        <f aca="false">'Uso e Consumo'!A519</f>
        <v>0335</v>
      </c>
      <c r="C519" s="34" t="str">
        <f aca="false">'Uso e Consumo'!B519</f>
        <v>UFV NORONHA VERDE - USO E CONSUMO</v>
      </c>
      <c r="D519" s="33" t="n">
        <f aca="false">'Uso e Consumo'!C519</f>
        <v>53715</v>
      </c>
      <c r="E519" s="34" t="str">
        <f aca="false">'Uso e Consumo'!D519</f>
        <v>16.03.0173</v>
      </c>
      <c r="F519" s="34" t="str">
        <f aca="false">'Uso e Consumo'!E519</f>
        <v>TINTA PARA PISO - COR: VERMELHO 18L NBR 11702</v>
      </c>
      <c r="G519" s="34" t="str">
        <f aca="false">'Uso e Consumo'!J519</f>
        <v>L18</v>
      </c>
      <c r="H519" s="49" t="n">
        <f aca="false">'Uso e Consumo'!F519</f>
        <v>4</v>
      </c>
      <c r="I519" s="35" t="n">
        <f aca="false">'Uso e Consumo'!G519</f>
        <v>2720</v>
      </c>
      <c r="J519" s="34" t="str">
        <f aca="false">'Uso e Consumo'!M519</f>
        <v>3.8.1.016 - Pinturas</v>
      </c>
      <c r="K519" s="32" t="str">
        <f aca="false">INDEX('Curva ABC'!$K$8:$K$2847,MATCH(D519,'Curva ABC'!$B$8:$B$2847,0))</f>
        <v>B</v>
      </c>
    </row>
    <row r="520" customFormat="false" ht="15" hidden="false" customHeight="false" outlineLevel="0" collapsed="false">
      <c r="A520" s="34" t="s">
        <v>5799</v>
      </c>
      <c r="B520" s="34" t="str">
        <f aca="false">'Uso e Consumo'!A520</f>
        <v>0335</v>
      </c>
      <c r="C520" s="34" t="str">
        <f aca="false">'Uso e Consumo'!B520</f>
        <v>UFV NORONHA VERDE - USO E CONSUMO</v>
      </c>
      <c r="D520" s="33" t="n">
        <f aca="false">'Uso e Consumo'!C520</f>
        <v>66418</v>
      </c>
      <c r="E520" s="34" t="str">
        <f aca="false">'Uso e Consumo'!D520</f>
        <v>19.03.0069</v>
      </c>
      <c r="F520" s="34" t="str">
        <f aca="false">'Uso e Consumo'!E520</f>
        <v>LAVATÓRIO DE PLÁSTICO PEQUENO BRANCO NBR 16728</v>
      </c>
      <c r="G520" s="34" t="str">
        <f aca="false">'Uso e Consumo'!J520</f>
        <v>UN</v>
      </c>
      <c r="H520" s="49" t="n">
        <f aca="false">'Uso e Consumo'!F520</f>
        <v>70</v>
      </c>
      <c r="I520" s="35" t="n">
        <f aca="false">'Uso e Consumo'!G520</f>
        <v>2715.95</v>
      </c>
      <c r="J520" s="34" t="str">
        <f aca="false">'Uso e Consumo'!M520</f>
        <v>3.8.1.018 - Instalações hidráulicas/sanitárias/industriais</v>
      </c>
      <c r="K520" s="32" t="str">
        <f aca="false">INDEX('Curva ABC'!$K$8:$K$2847,MATCH(D520,'Curva ABC'!$B$8:$B$2847,0))</f>
        <v>B</v>
      </c>
    </row>
    <row r="521" customFormat="false" ht="15" hidden="false" customHeight="false" outlineLevel="0" collapsed="false">
      <c r="A521" s="34" t="s">
        <v>5799</v>
      </c>
      <c r="B521" s="34" t="str">
        <f aca="false">'Uso e Consumo'!A521</f>
        <v>0335</v>
      </c>
      <c r="C521" s="34" t="str">
        <f aca="false">'Uso e Consumo'!B521</f>
        <v>UFV NORONHA VERDE - USO E CONSUMO</v>
      </c>
      <c r="D521" s="33" t="n">
        <f aca="false">'Uso e Consumo'!C521</f>
        <v>1387874</v>
      </c>
      <c r="E521" s="34" t="str">
        <f aca="false">'Uso e Consumo'!D521</f>
        <v>01.05.0054</v>
      </c>
      <c r="F521" s="34" t="str">
        <f aca="false">'Uso e Consumo'!E521</f>
        <v>TELA SOLDADA NERVURADA  Q 283 Ø6.0MM - 10 X 10CM</v>
      </c>
      <c r="G521" s="34" t="str">
        <f aca="false">'Uso e Consumo'!J521</f>
        <v>M2</v>
      </c>
      <c r="H521" s="49" t="n">
        <f aca="false">'Uso e Consumo'!F521</f>
        <v>74</v>
      </c>
      <c r="I521" s="35" t="n">
        <f aca="false">'Uso e Consumo'!G521</f>
        <v>2695.18</v>
      </c>
      <c r="J521" s="34" t="str">
        <f aca="false">'Uso e Consumo'!M521</f>
        <v>3.8.1.001 - Aços e trefilados</v>
      </c>
      <c r="K521" s="32" t="str">
        <f aca="false">INDEX('Curva ABC'!$K$8:$K$2847,MATCH(D521,'Curva ABC'!$B$8:$B$2847,0))</f>
        <v>B</v>
      </c>
    </row>
    <row r="522" customFormat="false" ht="15" hidden="false" customHeight="false" outlineLevel="0" collapsed="false">
      <c r="A522" s="34" t="s">
        <v>5799</v>
      </c>
      <c r="B522" s="34" t="str">
        <f aca="false">'Uso e Consumo'!A522</f>
        <v>0335</v>
      </c>
      <c r="C522" s="34" t="str">
        <f aca="false">'Uso e Consumo'!B522</f>
        <v>UFV NORONHA VERDE - USO E CONSUMO</v>
      </c>
      <c r="D522" s="33" t="n">
        <f aca="false">'Uso e Consumo'!C522</f>
        <v>33049</v>
      </c>
      <c r="E522" s="34" t="str">
        <f aca="false">'Uso e Consumo'!D522</f>
        <v>26.04.0006</v>
      </c>
      <c r="F522" s="34" t="str">
        <f aca="false">'Uso e Consumo'!E522</f>
        <v>ESPORA TIPO DT COM AÇO TEMPERADO, ESTRIBO PARA APOIO DO CALCANHAR E CORREIAS DE COURO COM FIVELAS</v>
      </c>
      <c r="G522" s="34" t="str">
        <f aca="false">'Uso e Consumo'!J522</f>
        <v>UN</v>
      </c>
      <c r="H522" s="49" t="n">
        <f aca="false">'Uso e Consumo'!F522</f>
        <v>10</v>
      </c>
      <c r="I522" s="35" t="n">
        <f aca="false">'Uso e Consumo'!G522</f>
        <v>2690</v>
      </c>
      <c r="J522" s="34" t="str">
        <f aca="false">'Uso e Consumo'!M522</f>
        <v>4.3.4.001 - Equipamento de proteção individual</v>
      </c>
      <c r="K522" s="32" t="str">
        <f aca="false">INDEX('Curva ABC'!$K$8:$K$2847,MATCH(D522,'Curva ABC'!$B$8:$B$2847,0))</f>
        <v>B</v>
      </c>
    </row>
    <row r="523" customFormat="false" ht="15" hidden="false" customHeight="false" outlineLevel="0" collapsed="false">
      <c r="A523" s="34" t="s">
        <v>5799</v>
      </c>
      <c r="B523" s="34" t="str">
        <f aca="false">'Uso e Consumo'!A523</f>
        <v>0335</v>
      </c>
      <c r="C523" s="34" t="str">
        <f aca="false">'Uso e Consumo'!B523</f>
        <v>UFV NORONHA VERDE - USO E CONSUMO</v>
      </c>
      <c r="D523" s="33" t="n">
        <f aca="false">'Uso e Consumo'!C523</f>
        <v>880089</v>
      </c>
      <c r="E523" s="34" t="str">
        <f aca="false">'Uso e Consumo'!D523</f>
        <v>17.16.0488</v>
      </c>
      <c r="F523" s="34" t="str">
        <f aca="false">'Uso e Consumo'!E523</f>
        <v>TERMINAL BIMETÁLICO 300MM² - M12</v>
      </c>
      <c r="G523" s="34" t="str">
        <f aca="false">'Uso e Consumo'!J523</f>
        <v>pç</v>
      </c>
      <c r="H523" s="49" t="n">
        <f aca="false">'Uso e Consumo'!F523</f>
        <v>30</v>
      </c>
      <c r="I523" s="35" t="n">
        <f aca="false">'Uso e Consumo'!G523</f>
        <v>2687.73</v>
      </c>
      <c r="J523" s="34" t="str">
        <f aca="false">'Uso e Consumo'!M523</f>
        <v>3.8.1.017 - Instalações elétricas/telefônicas/lógica</v>
      </c>
      <c r="K523" s="32" t="str">
        <f aca="false">INDEX('Curva ABC'!$K$8:$K$2847,MATCH(D523,'Curva ABC'!$B$8:$B$2847,0))</f>
        <v>B</v>
      </c>
    </row>
    <row r="524" customFormat="false" ht="15" hidden="false" customHeight="false" outlineLevel="0" collapsed="false">
      <c r="A524" s="34" t="s">
        <v>5799</v>
      </c>
      <c r="B524" s="34" t="str">
        <f aca="false">'Uso e Consumo'!A524</f>
        <v>0335</v>
      </c>
      <c r="C524" s="34" t="str">
        <f aca="false">'Uso e Consumo'!B524</f>
        <v>UFV NORONHA VERDE - USO E CONSUMO</v>
      </c>
      <c r="D524" s="33" t="n">
        <f aca="false">'Uso e Consumo'!C524</f>
        <v>1066068</v>
      </c>
      <c r="E524" s="34" t="str">
        <f aca="false">'Uso e Consumo'!D524</f>
        <v>32.02.0348</v>
      </c>
      <c r="F524" s="34" t="str">
        <f aca="false">'Uso e Consumo'!E524</f>
        <v>CINTA PARA POSTE CIRCULAR (240)</v>
      </c>
      <c r="G524" s="34" t="str">
        <f aca="false">'Uso e Consumo'!J524</f>
        <v>UN</v>
      </c>
      <c r="H524" s="49" t="n">
        <f aca="false">'Uso e Consumo'!F524</f>
        <v>36</v>
      </c>
      <c r="I524" s="35" t="n">
        <f aca="false">'Uso e Consumo'!G524</f>
        <v>2680.56</v>
      </c>
      <c r="J524" s="34" t="str">
        <f aca="false">'Uso e Consumo'!M524</f>
        <v>6.1.2.001 - Equipamentos</v>
      </c>
      <c r="K524" s="32" t="str">
        <f aca="false">INDEX('Curva ABC'!$K$8:$K$2847,MATCH(D524,'Curva ABC'!$B$8:$B$2847,0))</f>
        <v>B</v>
      </c>
    </row>
    <row r="525" customFormat="false" ht="15" hidden="false" customHeight="false" outlineLevel="0" collapsed="false">
      <c r="A525" s="34" t="s">
        <v>5799</v>
      </c>
      <c r="B525" s="34" t="str">
        <f aca="false">'Uso e Consumo'!A525</f>
        <v>0335</v>
      </c>
      <c r="C525" s="34" t="str">
        <f aca="false">'Uso e Consumo'!B525</f>
        <v>UFV NORONHA VERDE - USO E CONSUMO</v>
      </c>
      <c r="D525" s="33" t="n">
        <f aca="false">'Uso e Consumo'!C525</f>
        <v>14309</v>
      </c>
      <c r="E525" s="34" t="str">
        <f aca="false">'Uso e Consumo'!D525</f>
        <v>17.16.0013</v>
      </c>
      <c r="F525" s="34" t="str">
        <f aca="false">'Uso e Consumo'!E525</f>
        <v>CONECTOR SPLIT BOLT SIMPLES/SIMPLES COBRE ELETROLITICO ESTANHADO 50,00MM2</v>
      </c>
      <c r="G525" s="34" t="str">
        <f aca="false">'Uso e Consumo'!J525</f>
        <v>UN</v>
      </c>
      <c r="H525" s="49" t="n">
        <f aca="false">'Uso e Consumo'!F525</f>
        <v>188</v>
      </c>
      <c r="I525" s="35" t="n">
        <f aca="false">'Uso e Consumo'!G525</f>
        <v>2660.2</v>
      </c>
      <c r="J525" s="34" t="str">
        <f aca="false">'Uso e Consumo'!M525</f>
        <v>3.8.1.017 - Instalações elétricas/telefônicas/lógica</v>
      </c>
      <c r="K525" s="32" t="str">
        <f aca="false">INDEX('Curva ABC'!$K$8:$K$2847,MATCH(D525,'Curva ABC'!$B$8:$B$2847,0))</f>
        <v>B</v>
      </c>
    </row>
    <row r="526" customFormat="false" ht="15" hidden="false" customHeight="false" outlineLevel="0" collapsed="false">
      <c r="A526" s="34" t="s">
        <v>5799</v>
      </c>
      <c r="B526" s="34" t="str">
        <f aca="false">'Uso e Consumo'!A526</f>
        <v>0335</v>
      </c>
      <c r="C526" s="34" t="str">
        <f aca="false">'Uso e Consumo'!B526</f>
        <v>UFV NORONHA VERDE - USO E CONSUMO</v>
      </c>
      <c r="D526" s="33" t="n">
        <f aca="false">'Uso e Consumo'!C526</f>
        <v>276463</v>
      </c>
      <c r="E526" s="34" t="str">
        <f aca="false">'Uso e Consumo'!D526</f>
        <v>29.03.0196</v>
      </c>
      <c r="F526" s="34" t="str">
        <f aca="false">'Uso e Consumo'!E526</f>
        <v>CORTINA DE AR 150 CM</v>
      </c>
      <c r="G526" s="34" t="str">
        <f aca="false">'Uso e Consumo'!J526</f>
        <v>UN</v>
      </c>
      <c r="H526" s="49" t="n">
        <f aca="false">'Uso e Consumo'!F526</f>
        <v>4</v>
      </c>
      <c r="I526" s="35" t="n">
        <f aca="false">'Uso e Consumo'!G526</f>
        <v>2657.78</v>
      </c>
      <c r="J526" s="34" t="str">
        <f aca="false">'Uso e Consumo'!M526</f>
        <v>4.1.1.009 - Eletro eletrônico e acessórios</v>
      </c>
      <c r="K526" s="32" t="str">
        <f aca="false">INDEX('Curva ABC'!$K$8:$K$2847,MATCH(D526,'Curva ABC'!$B$8:$B$2847,0))</f>
        <v>B</v>
      </c>
    </row>
    <row r="527" customFormat="false" ht="15" hidden="false" customHeight="false" outlineLevel="0" collapsed="false">
      <c r="A527" s="34" t="s">
        <v>5799</v>
      </c>
      <c r="B527" s="34" t="str">
        <f aca="false">'Uso e Consumo'!A527</f>
        <v>0335</v>
      </c>
      <c r="C527" s="34" t="str">
        <f aca="false">'Uso e Consumo'!B527</f>
        <v>UFV NORONHA VERDE - USO E CONSUMO</v>
      </c>
      <c r="D527" s="33" t="n">
        <f aca="false">'Uso e Consumo'!C527</f>
        <v>879981</v>
      </c>
      <c r="E527" s="34" t="str">
        <f aca="false">'Uso e Consumo'!D527</f>
        <v>02.03.0012</v>
      </c>
      <c r="F527" s="34" t="str">
        <f aca="false">'Uso e Consumo'!E527</f>
        <v>ARAME LISO OVALADO DE AÇO FIO 12 ( 2,76MM ) ROLOS DE 500M </v>
      </c>
      <c r="G527" s="34" t="str">
        <f aca="false">'Uso e Consumo'!J527</f>
        <v>M</v>
      </c>
      <c r="H527" s="49" t="n">
        <f aca="false">'Uso e Consumo'!F527</f>
        <v>3874.31</v>
      </c>
      <c r="I527" s="35" t="n">
        <f aca="false">'Uso e Consumo'!G527</f>
        <v>2644.15</v>
      </c>
      <c r="J527" s="34" t="str">
        <f aca="false">'Uso e Consumo'!M527</f>
        <v>3.8.1.002 - Telas e arames</v>
      </c>
      <c r="K527" s="32" t="str">
        <f aca="false">INDEX('Curva ABC'!$K$8:$K$2847,MATCH(D527,'Curva ABC'!$B$8:$B$2847,0))</f>
        <v>B</v>
      </c>
    </row>
    <row r="528" customFormat="false" ht="15" hidden="false" customHeight="false" outlineLevel="0" collapsed="false">
      <c r="A528" s="34" t="s">
        <v>5799</v>
      </c>
      <c r="B528" s="34" t="str">
        <f aca="false">'Uso e Consumo'!A528</f>
        <v>0335</v>
      </c>
      <c r="C528" s="34" t="str">
        <f aca="false">'Uso e Consumo'!B528</f>
        <v>UFV NORONHA VERDE - USO E CONSUMO</v>
      </c>
      <c r="D528" s="33" t="n">
        <f aca="false">'Uso e Consumo'!C528</f>
        <v>23864</v>
      </c>
      <c r="E528" s="34" t="str">
        <f aca="false">'Uso e Consumo'!D528</f>
        <v>24.28.0007</v>
      </c>
      <c r="F528" s="34" t="str">
        <f aca="false">'Uso e Consumo'!E528</f>
        <v>MARCADOR INDUSTRIAL 60ML X 2MM VERMELHO</v>
      </c>
      <c r="G528" s="34" t="str">
        <f aca="false">'Uso e Consumo'!J528</f>
        <v>UN</v>
      </c>
      <c r="H528" s="49" t="n">
        <f aca="false">'Uso e Consumo'!F528</f>
        <v>200</v>
      </c>
      <c r="I528" s="35" t="n">
        <f aca="false">'Uso e Consumo'!G528</f>
        <v>2639.55</v>
      </c>
      <c r="J528" s="34" t="str">
        <f aca="false">'Uso e Consumo'!M528</f>
        <v>3.8.2.002 - Ferramentas manuais</v>
      </c>
      <c r="K528" s="32" t="str">
        <f aca="false">INDEX('Curva ABC'!$K$8:$K$2847,MATCH(D528,'Curva ABC'!$B$8:$B$2847,0))</f>
        <v>B</v>
      </c>
    </row>
    <row r="529" customFormat="false" ht="15" hidden="false" customHeight="false" outlineLevel="0" collapsed="false">
      <c r="A529" s="34" t="s">
        <v>5799</v>
      </c>
      <c r="B529" s="34" t="str">
        <f aca="false">'Uso e Consumo'!A529</f>
        <v>0335</v>
      </c>
      <c r="C529" s="34" t="str">
        <f aca="false">'Uso e Consumo'!B529</f>
        <v>UFV NORONHA VERDE - USO E CONSUMO</v>
      </c>
      <c r="D529" s="33" t="n">
        <f aca="false">'Uso e Consumo'!C529</f>
        <v>23467</v>
      </c>
      <c r="E529" s="34" t="str">
        <f aca="false">'Uso e Consumo'!D529</f>
        <v>32.02.0015</v>
      </c>
      <c r="F529" s="34" t="str">
        <f aca="false">'Uso e Consumo'!E529</f>
        <v>CINTA DE ELEVAÇÃO CAPACIDADE 3,0T COM 4,0M</v>
      </c>
      <c r="G529" s="34" t="str">
        <f aca="false">'Uso e Consumo'!J529</f>
        <v>UN</v>
      </c>
      <c r="H529" s="49" t="n">
        <f aca="false">'Uso e Consumo'!F529</f>
        <v>20</v>
      </c>
      <c r="I529" s="35" t="n">
        <f aca="false">'Uso e Consumo'!G529</f>
        <v>2639.04</v>
      </c>
      <c r="J529" s="34" t="str">
        <f aca="false">'Uso e Consumo'!M529</f>
        <v>6.1.2.002 - Ferramentas e utensílios</v>
      </c>
      <c r="K529" s="32" t="str">
        <f aca="false">INDEX('Curva ABC'!$K$8:$K$2847,MATCH(D529,'Curva ABC'!$B$8:$B$2847,0))</f>
        <v>B</v>
      </c>
    </row>
    <row r="530" customFormat="false" ht="15" hidden="false" customHeight="false" outlineLevel="0" collapsed="false">
      <c r="A530" s="34" t="s">
        <v>5799</v>
      </c>
      <c r="B530" s="34" t="str">
        <f aca="false">'Uso e Consumo'!A530</f>
        <v>0335</v>
      </c>
      <c r="C530" s="34" t="str">
        <f aca="false">'Uso e Consumo'!B530</f>
        <v>UFV NORONHA VERDE - USO E CONSUMO</v>
      </c>
      <c r="D530" s="33" t="n">
        <f aca="false">'Uso e Consumo'!C530</f>
        <v>275347</v>
      </c>
      <c r="E530" s="34" t="str">
        <f aca="false">'Uso e Consumo'!D530</f>
        <v>09.13.0003</v>
      </c>
      <c r="F530" s="34" t="str">
        <f aca="false">'Uso e Consumo'!E530</f>
        <v>RUFO 1,0M X 0,30M X 0,03M</v>
      </c>
      <c r="G530" s="34" t="str">
        <f aca="false">'Uso e Consumo'!J530</f>
        <v>M</v>
      </c>
      <c r="H530" s="49" t="n">
        <f aca="false">'Uso e Consumo'!F530</f>
        <v>85</v>
      </c>
      <c r="I530" s="35" t="n">
        <f aca="false">'Uso e Consumo'!G530</f>
        <v>2635</v>
      </c>
      <c r="J530" s="34" t="str">
        <f aca="false">'Uso e Consumo'!M530</f>
        <v>3.8.1.001 - Aços e trefilados</v>
      </c>
      <c r="K530" s="32" t="str">
        <f aca="false">INDEX('Curva ABC'!$K$8:$K$2847,MATCH(D530,'Curva ABC'!$B$8:$B$2847,0))</f>
        <v>B</v>
      </c>
    </row>
    <row r="531" customFormat="false" ht="15" hidden="false" customHeight="false" outlineLevel="0" collapsed="false">
      <c r="A531" s="34" t="s">
        <v>5799</v>
      </c>
      <c r="B531" s="34" t="str">
        <f aca="false">'Uso e Consumo'!A531</f>
        <v>0335</v>
      </c>
      <c r="C531" s="34" t="str">
        <f aca="false">'Uso e Consumo'!B531</f>
        <v>UFV NORONHA VERDE - USO E CONSUMO</v>
      </c>
      <c r="D531" s="33" t="n">
        <f aca="false">'Uso e Consumo'!C531</f>
        <v>22794</v>
      </c>
      <c r="E531" s="34" t="str">
        <f aca="false">'Uso e Consumo'!D531</f>
        <v>19.09.0005</v>
      </c>
      <c r="F531" s="34" t="str">
        <f aca="false">'Uso e Consumo'!E531</f>
        <v>CHUVEIRO ELÉTRICO 4400W 220V –  BRANCO – PAREDE - LORENZETTI</v>
      </c>
      <c r="G531" s="34" t="str">
        <f aca="false">'Uso e Consumo'!J531</f>
        <v>UN</v>
      </c>
      <c r="H531" s="49" t="n">
        <f aca="false">'Uso e Consumo'!F531</f>
        <v>22</v>
      </c>
      <c r="I531" s="35" t="n">
        <f aca="false">'Uso e Consumo'!G531</f>
        <v>2617.8</v>
      </c>
      <c r="J531" s="34" t="str">
        <f aca="false">'Uso e Consumo'!M531</f>
        <v>3.8.1.018 - Instalações hidráulicas/sanitárias/industriais</v>
      </c>
      <c r="K531" s="32" t="str">
        <f aca="false">INDEX('Curva ABC'!$K$8:$K$2847,MATCH(D531,'Curva ABC'!$B$8:$B$2847,0))</f>
        <v>B</v>
      </c>
    </row>
    <row r="532" customFormat="false" ht="15" hidden="false" customHeight="false" outlineLevel="0" collapsed="false">
      <c r="A532" s="34" t="s">
        <v>5799</v>
      </c>
      <c r="B532" s="34" t="str">
        <f aca="false">'Uso e Consumo'!A532</f>
        <v>0335</v>
      </c>
      <c r="C532" s="34" t="str">
        <f aca="false">'Uso e Consumo'!B532</f>
        <v>UFV NORONHA VERDE - USO E CONSUMO</v>
      </c>
      <c r="D532" s="33" t="n">
        <f aca="false">'Uso e Consumo'!C532</f>
        <v>23283</v>
      </c>
      <c r="E532" s="34" t="str">
        <f aca="false">'Uso e Consumo'!D532</f>
        <v>26.13.0026</v>
      </c>
      <c r="F532" s="34" t="str">
        <f aca="false">'Uso e Consumo'!E532</f>
        <v>CAMISA MALHA MOLETON - TAMANHO M - MODELO ESPORTE - GOLA CARECA MANGA LONGA COM PUNHO DE RIBANA - LO</v>
      </c>
      <c r="G532" s="34" t="str">
        <f aca="false">'Uso e Consumo'!J532</f>
        <v>UN</v>
      </c>
      <c r="H532" s="49" t="n">
        <f aca="false">'Uso e Consumo'!F532</f>
        <v>90</v>
      </c>
      <c r="I532" s="35" t="n">
        <f aca="false">'Uso e Consumo'!G532</f>
        <v>2610</v>
      </c>
      <c r="J532" s="34" t="str">
        <f aca="false">'Uso e Consumo'!M532</f>
        <v>4.3.4.003 - Fardamentos</v>
      </c>
      <c r="K532" s="32" t="str">
        <f aca="false">INDEX('Curva ABC'!$K$8:$K$2847,MATCH(D532,'Curva ABC'!$B$8:$B$2847,0))</f>
        <v>B</v>
      </c>
    </row>
    <row r="533" customFormat="false" ht="15" hidden="false" customHeight="false" outlineLevel="0" collapsed="false">
      <c r="A533" s="34" t="s">
        <v>5799</v>
      </c>
      <c r="B533" s="34" t="str">
        <f aca="false">'Uso e Consumo'!A533</f>
        <v>0335</v>
      </c>
      <c r="C533" s="34" t="str">
        <f aca="false">'Uso e Consumo'!B533</f>
        <v>UFV NORONHA VERDE - USO E CONSUMO</v>
      </c>
      <c r="D533" s="33" t="n">
        <f aca="false">'Uso e Consumo'!C533</f>
        <v>10377</v>
      </c>
      <c r="E533" s="34" t="str">
        <f aca="false">'Uso e Consumo'!D533</f>
        <v>01.02.0004</v>
      </c>
      <c r="F533" s="34" t="str">
        <f aca="false">'Uso e Consumo'!E533</f>
        <v>AÇO CARBONO CA-50 VERGALHÃO NERVURADO 12,50MM X 12,00M NBR 7480 (0,963KG/M)</v>
      </c>
      <c r="G533" s="34" t="str">
        <f aca="false">'Uso e Consumo'!J533</f>
        <v>KG</v>
      </c>
      <c r="H533" s="49" t="n">
        <f aca="false">'Uso e Consumo'!F533</f>
        <v>110</v>
      </c>
      <c r="I533" s="35" t="n">
        <f aca="false">'Uso e Consumo'!G533</f>
        <v>2608.87</v>
      </c>
      <c r="J533" s="34" t="str">
        <f aca="false">'Uso e Consumo'!M533</f>
        <v>3.8.1.001 - Aços e trefilados</v>
      </c>
      <c r="K533" s="32" t="str">
        <f aca="false">INDEX('Curva ABC'!$K$8:$K$2847,MATCH(D533,'Curva ABC'!$B$8:$B$2847,0))</f>
        <v>B</v>
      </c>
    </row>
    <row r="534" customFormat="false" ht="15" hidden="false" customHeight="false" outlineLevel="0" collapsed="false">
      <c r="A534" s="34" t="s">
        <v>5799</v>
      </c>
      <c r="B534" s="34" t="str">
        <f aca="false">'Uso e Consumo'!A534</f>
        <v>0335</v>
      </c>
      <c r="C534" s="34" t="str">
        <f aca="false">'Uso e Consumo'!B534</f>
        <v>UFV NORONHA VERDE - USO E CONSUMO</v>
      </c>
      <c r="D534" s="33" t="n">
        <f aca="false">'Uso e Consumo'!C534</f>
        <v>1487425</v>
      </c>
      <c r="E534" s="34" t="str">
        <f aca="false">'Uso e Consumo'!D534</f>
        <v>18.04.0084</v>
      </c>
      <c r="F534" s="34" t="str">
        <f aca="false">'Uso e Consumo'!E534</f>
        <v>TUBO PEAD LISO DIÂMETRO 63 MM</v>
      </c>
      <c r="G534" s="34" t="str">
        <f aca="false">'Uso e Consumo'!J534</f>
        <v>M</v>
      </c>
      <c r="H534" s="49" t="n">
        <f aca="false">'Uso e Consumo'!F534</f>
        <v>50</v>
      </c>
      <c r="I534" s="35" t="n">
        <f aca="false">'Uso e Consumo'!G534</f>
        <v>2608.5</v>
      </c>
      <c r="J534" s="34" t="str">
        <f aca="false">'Uso e Consumo'!M534</f>
        <v>3.8.1.018 - Instalações hidráulicas/sanitárias/industriais</v>
      </c>
      <c r="K534" s="32" t="str">
        <f aca="false">INDEX('Curva ABC'!$K$8:$K$2847,MATCH(D534,'Curva ABC'!$B$8:$B$2847,0))</f>
        <v>B</v>
      </c>
    </row>
    <row r="535" customFormat="false" ht="15" hidden="false" customHeight="false" outlineLevel="0" collapsed="false">
      <c r="A535" s="34" t="s">
        <v>5799</v>
      </c>
      <c r="B535" s="34" t="str">
        <f aca="false">'Uso e Consumo'!A535</f>
        <v>0335</v>
      </c>
      <c r="C535" s="34" t="str">
        <f aca="false">'Uso e Consumo'!B535</f>
        <v>UFV NORONHA VERDE - USO E CONSUMO</v>
      </c>
      <c r="D535" s="33" t="n">
        <f aca="false">'Uso e Consumo'!C535</f>
        <v>19784</v>
      </c>
      <c r="E535" s="34" t="str">
        <f aca="false">'Uso e Consumo'!D535</f>
        <v>30.03.0057</v>
      </c>
      <c r="F535" s="34" t="str">
        <f aca="false">'Uso e Consumo'!E535</f>
        <v>PAPEL HIGIENICO ROLO FOLHA DUPLA NEUTRO BRANCO 30,00M X 10,00CM FARDO 64ROLOS</v>
      </c>
      <c r="G535" s="34" t="str">
        <f aca="false">'Uso e Consumo'!J535</f>
        <v>UN</v>
      </c>
      <c r="H535" s="49" t="n">
        <f aca="false">'Uso e Consumo'!F535</f>
        <v>26</v>
      </c>
      <c r="I535" s="35" t="n">
        <f aca="false">'Uso e Consumo'!G535</f>
        <v>2600</v>
      </c>
      <c r="J535" s="34" t="str">
        <f aca="false">'Uso e Consumo'!M535</f>
        <v>4.1.1.003 - Material limpeza</v>
      </c>
      <c r="K535" s="32" t="str">
        <f aca="false">INDEX('Curva ABC'!$K$8:$K$2847,MATCH(D535,'Curva ABC'!$B$8:$B$2847,0))</f>
        <v>B</v>
      </c>
    </row>
    <row r="536" customFormat="false" ht="15" hidden="false" customHeight="false" outlineLevel="0" collapsed="false">
      <c r="A536" s="34" t="s">
        <v>5799</v>
      </c>
      <c r="B536" s="34" t="str">
        <f aca="false">'Uso e Consumo'!A536</f>
        <v>0335</v>
      </c>
      <c r="C536" s="34" t="str">
        <f aca="false">'Uso e Consumo'!B536</f>
        <v>UFV NORONHA VERDE - USO E CONSUMO</v>
      </c>
      <c r="D536" s="33" t="n">
        <f aca="false">'Uso e Consumo'!C536</f>
        <v>729662</v>
      </c>
      <c r="E536" s="34" t="str">
        <f aca="false">'Uso e Consumo'!D536</f>
        <v>06.02.0043</v>
      </c>
      <c r="F536" s="34" t="str">
        <f aca="false">'Uso e Consumo'!E536</f>
        <v>PRIMER ADERÊNCIA PARA SELANTE 275ML</v>
      </c>
      <c r="G536" s="34" t="str">
        <f aca="false">'Uso e Consumo'!J536</f>
        <v>ML</v>
      </c>
      <c r="H536" s="49" t="n">
        <f aca="false">'Uso e Consumo'!F536</f>
        <v>2000</v>
      </c>
      <c r="I536" s="35" t="n">
        <f aca="false">'Uso e Consumo'!G536</f>
        <v>2592</v>
      </c>
      <c r="J536" s="34" t="str">
        <f aca="false">'Uso e Consumo'!M536</f>
        <v>3.8.1.006 - Aditivos e produtos químicos</v>
      </c>
      <c r="K536" s="32" t="str">
        <f aca="false">INDEX('Curva ABC'!$K$8:$K$2847,MATCH(D536,'Curva ABC'!$B$8:$B$2847,0))</f>
        <v>B</v>
      </c>
    </row>
    <row r="537" customFormat="false" ht="15" hidden="false" customHeight="false" outlineLevel="0" collapsed="false">
      <c r="A537" s="34" t="s">
        <v>5799</v>
      </c>
      <c r="B537" s="34" t="str">
        <f aca="false">'Uso e Consumo'!A537</f>
        <v>0335</v>
      </c>
      <c r="C537" s="34" t="str">
        <f aca="false">'Uso e Consumo'!B537</f>
        <v>UFV NORONHA VERDE - USO E CONSUMO</v>
      </c>
      <c r="D537" s="33" t="n">
        <f aca="false">'Uso e Consumo'!C537</f>
        <v>23352</v>
      </c>
      <c r="E537" s="34" t="str">
        <f aca="false">'Uso e Consumo'!D537</f>
        <v>32.07.0030</v>
      </c>
      <c r="F537" s="34" t="str">
        <f aca="false">'Uso e Consumo'!E537</f>
        <v>LIXADEIRA ANGULAR 7" GWS 22U 2200W BOSCH</v>
      </c>
      <c r="G537" s="34" t="str">
        <f aca="false">'Uso e Consumo'!J537</f>
        <v>UN</v>
      </c>
      <c r="H537" s="49" t="n">
        <f aca="false">'Uso e Consumo'!F537</f>
        <v>2</v>
      </c>
      <c r="I537" s="35" t="n">
        <f aca="false">'Uso e Consumo'!G537</f>
        <v>2587.2</v>
      </c>
      <c r="J537" s="34" t="str">
        <f aca="false">'Uso e Consumo'!M537</f>
        <v>6.1.2.001 - Equipamentos</v>
      </c>
      <c r="K537" s="32" t="str">
        <f aca="false">INDEX('Curva ABC'!$K$8:$K$2847,MATCH(D537,'Curva ABC'!$B$8:$B$2847,0))</f>
        <v>B</v>
      </c>
    </row>
    <row r="538" customFormat="false" ht="15" hidden="false" customHeight="false" outlineLevel="0" collapsed="false">
      <c r="A538" s="34" t="s">
        <v>5799</v>
      </c>
      <c r="B538" s="34" t="str">
        <f aca="false">'Uso e Consumo'!A538</f>
        <v>0335</v>
      </c>
      <c r="C538" s="34" t="str">
        <f aca="false">'Uso e Consumo'!B538</f>
        <v>UFV NORONHA VERDE - USO E CONSUMO</v>
      </c>
      <c r="D538" s="33" t="n">
        <f aca="false">'Uso e Consumo'!C538</f>
        <v>727451</v>
      </c>
      <c r="E538" s="34" t="str">
        <f aca="false">'Uso e Consumo'!D538</f>
        <v>26.02.0166</v>
      </c>
      <c r="F538" s="34" t="str">
        <f aca="false">'Uso e Consumo'!E538</f>
        <v>BOTA - CALÇADO DE SEGURANÇA TIPO COTURNO MOTOSSERISTA - CA 37533 Nº 41</v>
      </c>
      <c r="G538" s="34" t="str">
        <f aca="false">'Uso e Consumo'!J538</f>
        <v>UN</v>
      </c>
      <c r="H538" s="49" t="n">
        <f aca="false">'Uso e Consumo'!F538</f>
        <v>8</v>
      </c>
      <c r="I538" s="35" t="n">
        <f aca="false">'Uso e Consumo'!G538</f>
        <v>2582.86</v>
      </c>
      <c r="J538" s="34" t="str">
        <f aca="false">'Uso e Consumo'!M538</f>
        <v>4.3.4.001 - Equipamento de proteção individual</v>
      </c>
      <c r="K538" s="32" t="str">
        <f aca="false">INDEX('Curva ABC'!$K$8:$K$2847,MATCH(D538,'Curva ABC'!$B$8:$B$2847,0))</f>
        <v>B</v>
      </c>
    </row>
    <row r="539" customFormat="false" ht="15" hidden="false" customHeight="false" outlineLevel="0" collapsed="false">
      <c r="A539" s="34" t="s">
        <v>5799</v>
      </c>
      <c r="B539" s="34" t="str">
        <f aca="false">'Uso e Consumo'!A539</f>
        <v>0335</v>
      </c>
      <c r="C539" s="34" t="str">
        <f aca="false">'Uso e Consumo'!B539</f>
        <v>UFV NORONHA VERDE - USO E CONSUMO</v>
      </c>
      <c r="D539" s="33" t="n">
        <f aca="false">'Uso e Consumo'!C539</f>
        <v>959986</v>
      </c>
      <c r="E539" s="34" t="str">
        <f aca="false">'Uso e Consumo'!D539</f>
        <v>33.02.2797</v>
      </c>
      <c r="F539" s="34" t="str">
        <f aca="false">'Uso e Consumo'!E539</f>
        <v>RESISTENCIA LORENZ P/ DUCHA ADV 220</v>
      </c>
      <c r="G539" s="34" t="str">
        <f aca="false">'Uso e Consumo'!J539</f>
        <v>pç</v>
      </c>
      <c r="H539" s="49" t="n">
        <f aca="false">'Uso e Consumo'!F539</f>
        <v>20</v>
      </c>
      <c r="I539" s="35" t="n">
        <f aca="false">'Uso e Consumo'!G539</f>
        <v>2580</v>
      </c>
      <c r="J539" s="34" t="str">
        <f aca="false">'Uso e Consumo'!M539</f>
        <v>3.1.6.002 - Pneus e peças</v>
      </c>
      <c r="K539" s="32" t="str">
        <f aca="false">INDEX('Curva ABC'!$K$8:$K$2847,MATCH(D539,'Curva ABC'!$B$8:$B$2847,0))</f>
        <v>B</v>
      </c>
    </row>
    <row r="540" customFormat="false" ht="15" hidden="false" customHeight="false" outlineLevel="0" collapsed="false">
      <c r="A540" s="34" t="s">
        <v>5799</v>
      </c>
      <c r="B540" s="34" t="str">
        <f aca="false">'Uso e Consumo'!A540</f>
        <v>0335</v>
      </c>
      <c r="C540" s="34" t="str">
        <f aca="false">'Uso e Consumo'!B540</f>
        <v>UFV NORONHA VERDE - USO E CONSUMO</v>
      </c>
      <c r="D540" s="33" t="n">
        <f aca="false">'Uso e Consumo'!C540</f>
        <v>1476047</v>
      </c>
      <c r="E540" s="34" t="str">
        <f aca="false">'Uso e Consumo'!D540</f>
        <v>16.03.0505</v>
      </c>
      <c r="F540" s="34" t="str">
        <f aca="false">'Uso e Consumo'!E540</f>
        <v>TINTA GALVANIZADA A FRIO EM SPRAY </v>
      </c>
      <c r="G540" s="34" t="str">
        <f aca="false">'Uso e Consumo'!J540</f>
        <v>UN</v>
      </c>
      <c r="H540" s="49" t="n">
        <f aca="false">'Uso e Consumo'!F540</f>
        <v>30</v>
      </c>
      <c r="I540" s="35" t="n">
        <f aca="false">'Uso e Consumo'!G540</f>
        <v>2580</v>
      </c>
      <c r="J540" s="34" t="str">
        <f aca="false">'Uso e Consumo'!M540</f>
        <v>3.8.1.016 - Pinturas</v>
      </c>
      <c r="K540" s="32" t="str">
        <f aca="false">INDEX('Curva ABC'!$K$8:$K$2847,MATCH(D540,'Curva ABC'!$B$8:$B$2847,0))</f>
        <v>B</v>
      </c>
    </row>
    <row r="541" customFormat="false" ht="15" hidden="false" customHeight="false" outlineLevel="0" collapsed="false">
      <c r="A541" s="34" t="s">
        <v>5799</v>
      </c>
      <c r="B541" s="34" t="str">
        <f aca="false">'Uso e Consumo'!A541</f>
        <v>0335</v>
      </c>
      <c r="C541" s="34" t="str">
        <f aca="false">'Uso e Consumo'!B541</f>
        <v>UFV NORONHA VERDE - USO E CONSUMO</v>
      </c>
      <c r="D541" s="33" t="n">
        <f aca="false">'Uso e Consumo'!C541</f>
        <v>12588</v>
      </c>
      <c r="E541" s="34" t="str">
        <f aca="false">'Uso e Consumo'!D541</f>
        <v>17.02.0088</v>
      </c>
      <c r="F541" s="34" t="str">
        <f aca="false">'Uso e Consumo'!E541</f>
        <v>CURVA 90GR ELETRODUTO AÇO CARBONO GALVANIZADO A FOGO LEVE BSP 11 FIOS 2.1/2" X 74,90MM</v>
      </c>
      <c r="G541" s="34" t="str">
        <f aca="false">'Uso e Consumo'!J541</f>
        <v>UN</v>
      </c>
      <c r="H541" s="49" t="n">
        <f aca="false">'Uso e Consumo'!F541</f>
        <v>38</v>
      </c>
      <c r="I541" s="35" t="n">
        <f aca="false">'Uso e Consumo'!G541</f>
        <v>2576.78</v>
      </c>
      <c r="J541" s="34" t="str">
        <f aca="false">'Uso e Consumo'!M541</f>
        <v>3.8.1.017 - Instalações elétricas/telefônicas/lógica</v>
      </c>
      <c r="K541" s="32" t="str">
        <f aca="false">INDEX('Curva ABC'!$K$8:$K$2847,MATCH(D541,'Curva ABC'!$B$8:$B$2847,0))</f>
        <v>B</v>
      </c>
    </row>
    <row r="542" customFormat="false" ht="15" hidden="false" customHeight="false" outlineLevel="0" collapsed="false">
      <c r="A542" s="34" t="s">
        <v>5799</v>
      </c>
      <c r="B542" s="34" t="str">
        <f aca="false">'Uso e Consumo'!A542</f>
        <v>0335</v>
      </c>
      <c r="C542" s="34" t="str">
        <f aca="false">'Uso e Consumo'!B542</f>
        <v>UFV NORONHA VERDE - USO E CONSUMO</v>
      </c>
      <c r="D542" s="33" t="n">
        <f aca="false">'Uso e Consumo'!C542</f>
        <v>295480</v>
      </c>
      <c r="E542" s="34" t="str">
        <f aca="false">'Uso e Consumo'!D542</f>
        <v>24.35.0009</v>
      </c>
      <c r="F542" s="34" t="str">
        <f aca="false">'Uso e Consumo'!E542</f>
        <v>ENXADA</v>
      </c>
      <c r="G542" s="34" t="str">
        <f aca="false">'Uso e Consumo'!J542</f>
        <v>UN</v>
      </c>
      <c r="H542" s="49" t="n">
        <f aca="false">'Uso e Consumo'!F542</f>
        <v>36</v>
      </c>
      <c r="I542" s="35" t="n">
        <f aca="false">'Uso e Consumo'!G542</f>
        <v>2576</v>
      </c>
      <c r="J542" s="34" t="str">
        <f aca="false">'Uso e Consumo'!M542</f>
        <v>3.8.2.002 - Ferramentas manuais</v>
      </c>
      <c r="K542" s="32" t="str">
        <f aca="false">INDEX('Curva ABC'!$K$8:$K$2847,MATCH(D542,'Curva ABC'!$B$8:$B$2847,0))</f>
        <v>B</v>
      </c>
    </row>
    <row r="543" customFormat="false" ht="15" hidden="false" customHeight="false" outlineLevel="0" collapsed="false">
      <c r="A543" s="34" t="s">
        <v>5799</v>
      </c>
      <c r="B543" s="34" t="str">
        <f aca="false">'Uso e Consumo'!A543</f>
        <v>0335</v>
      </c>
      <c r="C543" s="34" t="str">
        <f aca="false">'Uso e Consumo'!B543</f>
        <v>UFV NORONHA VERDE - USO E CONSUMO</v>
      </c>
      <c r="D543" s="33" t="n">
        <f aca="false">'Uso e Consumo'!C543</f>
        <v>1486608</v>
      </c>
      <c r="E543" s="34" t="str">
        <f aca="false">'Uso e Consumo'!D543</f>
        <v>24.01.0026</v>
      </c>
      <c r="F543" s="34" t="str">
        <f aca="false">'Uso e Consumo'!E543</f>
        <v>SERRA MÁRMORE 125 MM PARA CORTE EM ÂNGULO 1450 W 220 V</v>
      </c>
      <c r="G543" s="34" t="str">
        <f aca="false">'Uso e Consumo'!J543</f>
        <v>UN</v>
      </c>
      <c r="H543" s="49" t="n">
        <f aca="false">'Uso e Consumo'!F543</f>
        <v>4</v>
      </c>
      <c r="I543" s="35" t="n">
        <f aca="false">'Uso e Consumo'!G543</f>
        <v>2574</v>
      </c>
      <c r="J543" s="34" t="str">
        <f aca="false">'Uso e Consumo'!M543</f>
        <v>3.8.2.003 - Ferramentas elétricas/pneumáticas</v>
      </c>
      <c r="K543" s="32" t="str">
        <f aca="false">INDEX('Curva ABC'!$K$8:$K$2847,MATCH(D543,'Curva ABC'!$B$8:$B$2847,0))</f>
        <v>B</v>
      </c>
    </row>
    <row r="544" customFormat="false" ht="15" hidden="false" customHeight="false" outlineLevel="0" collapsed="false">
      <c r="A544" s="34" t="s">
        <v>5799</v>
      </c>
      <c r="B544" s="34" t="str">
        <f aca="false">'Uso e Consumo'!A544</f>
        <v>0335</v>
      </c>
      <c r="C544" s="34" t="str">
        <f aca="false">'Uso e Consumo'!B544</f>
        <v>UFV NORONHA VERDE - USO E CONSUMO</v>
      </c>
      <c r="D544" s="33" t="n">
        <f aca="false">'Uso e Consumo'!C544</f>
        <v>1386786</v>
      </c>
      <c r="E544" s="34" t="str">
        <f aca="false">'Uso e Consumo'!D544</f>
        <v>17.22.0135</v>
      </c>
      <c r="F544" s="34" t="str">
        <f aca="false">'Uso e Consumo'!E544</f>
        <v>CINTA POSTE CIRCULAR Ø420 5000DAN</v>
      </c>
      <c r="G544" s="34" t="str">
        <f aca="false">'Uso e Consumo'!J544</f>
        <v>UN</v>
      </c>
      <c r="H544" s="49" t="n">
        <f aca="false">'Uso e Consumo'!F544</f>
        <v>18</v>
      </c>
      <c r="I544" s="35" t="n">
        <f aca="false">'Uso e Consumo'!G544</f>
        <v>2561.4</v>
      </c>
      <c r="J544" s="34" t="str">
        <f aca="false">'Uso e Consumo'!M544</f>
        <v>3.8.1.022 - Elementos de fixação</v>
      </c>
      <c r="K544" s="32" t="str">
        <f aca="false">INDEX('Curva ABC'!$K$8:$K$2847,MATCH(D544,'Curva ABC'!$B$8:$B$2847,0))</f>
        <v>B</v>
      </c>
    </row>
    <row r="545" customFormat="false" ht="15" hidden="false" customHeight="false" outlineLevel="0" collapsed="false">
      <c r="A545" s="34" t="s">
        <v>5799</v>
      </c>
      <c r="B545" s="34" t="str">
        <f aca="false">'Uso e Consumo'!A545</f>
        <v>0335</v>
      </c>
      <c r="C545" s="34" t="str">
        <f aca="false">'Uso e Consumo'!B545</f>
        <v>UFV NORONHA VERDE - USO E CONSUMO</v>
      </c>
      <c r="D545" s="33" t="n">
        <f aca="false">'Uso e Consumo'!C545</f>
        <v>429121</v>
      </c>
      <c r="E545" s="34" t="str">
        <f aca="false">'Uso e Consumo'!D545</f>
        <v>01.02.0034</v>
      </c>
      <c r="F545" s="34" t="str">
        <f aca="false">'Uso e Consumo'!E545</f>
        <v>VERGALHAO 4,2MM ESTRIVO 1,31KG/BR</v>
      </c>
      <c r="G545" s="34" t="str">
        <f aca="false">'Uso e Consumo'!J545</f>
        <v>UN</v>
      </c>
      <c r="H545" s="49" t="n">
        <f aca="false">'Uso e Consumo'!F545</f>
        <v>20</v>
      </c>
      <c r="I545" s="35" t="n">
        <f aca="false">'Uso e Consumo'!G545</f>
        <v>2560</v>
      </c>
      <c r="J545" s="34" t="str">
        <f aca="false">'Uso e Consumo'!M545</f>
        <v>3.8.1.001 - Aços e trefilados</v>
      </c>
      <c r="K545" s="32" t="str">
        <f aca="false">INDEX('Curva ABC'!$K$8:$K$2847,MATCH(D545,'Curva ABC'!$B$8:$B$2847,0))</f>
        <v>B</v>
      </c>
    </row>
    <row r="546" customFormat="false" ht="15" hidden="false" customHeight="false" outlineLevel="0" collapsed="false">
      <c r="A546" s="34" t="s">
        <v>5799</v>
      </c>
      <c r="B546" s="34" t="str">
        <f aca="false">'Uso e Consumo'!A546</f>
        <v>0335</v>
      </c>
      <c r="C546" s="34" t="str">
        <f aca="false">'Uso e Consumo'!B546</f>
        <v>UFV NORONHA VERDE - USO E CONSUMO</v>
      </c>
      <c r="D546" s="33" t="n">
        <f aca="false">'Uso e Consumo'!C546</f>
        <v>1385803</v>
      </c>
      <c r="E546" s="34" t="str">
        <f aca="false">'Uso e Consumo'!D546</f>
        <v>17.12.0502</v>
      </c>
      <c r="F546" s="34" t="str">
        <f aca="false">'Uso e Consumo'!E546</f>
        <v>TOMADA BIPOLAR + PLUG 3 PINS (2F+T), 220V, 20A, AO TEMPO, IP54, LIGA ALUMÍNIO, CORPO REDONDO, 4 ENTRADAS DIÂMETRO 1" BSP</v>
      </c>
      <c r="G546" s="34" t="str">
        <f aca="false">'Uso e Consumo'!J546</f>
        <v>UN</v>
      </c>
      <c r="H546" s="49" t="n">
        <f aca="false">'Uso e Consumo'!F546</f>
        <v>3</v>
      </c>
      <c r="I546" s="35" t="n">
        <f aca="false">'Uso e Consumo'!G546</f>
        <v>2557.98</v>
      </c>
      <c r="J546" s="34" t="str">
        <f aca="false">'Uso e Consumo'!M546</f>
        <v>3.8.1.017 - Instalações elétricas/telefônicas/lógica</v>
      </c>
      <c r="K546" s="32" t="str">
        <f aca="false">INDEX('Curva ABC'!$K$8:$K$2847,MATCH(D546,'Curva ABC'!$B$8:$B$2847,0))</f>
        <v>B</v>
      </c>
    </row>
    <row r="547" customFormat="false" ht="15" hidden="false" customHeight="false" outlineLevel="0" collapsed="false">
      <c r="A547" s="34" t="s">
        <v>5799</v>
      </c>
      <c r="B547" s="34" t="str">
        <f aca="false">'Uso e Consumo'!A547</f>
        <v>0335</v>
      </c>
      <c r="C547" s="34" t="str">
        <f aca="false">'Uso e Consumo'!B547</f>
        <v>UFV NORONHA VERDE - USO E CONSUMO</v>
      </c>
      <c r="D547" s="33" t="n">
        <f aca="false">'Uso e Consumo'!C547</f>
        <v>1462123</v>
      </c>
      <c r="E547" s="34" t="str">
        <f aca="false">'Uso e Consumo'!D547</f>
        <v>18.09.0364</v>
      </c>
      <c r="F547" s="34" t="str">
        <f aca="false">'Uso e Consumo'!E547</f>
        <v>VÁLVULA DE ESCOAMENTO PARA LAVATÓRIO 7/8"</v>
      </c>
      <c r="G547" s="34" t="str">
        <f aca="false">'Uso e Consumo'!J547</f>
        <v>UN</v>
      </c>
      <c r="H547" s="49" t="n">
        <f aca="false">'Uso e Consumo'!F547</f>
        <v>71</v>
      </c>
      <c r="I547" s="35" t="n">
        <f aca="false">'Uso e Consumo'!G547</f>
        <v>2556</v>
      </c>
      <c r="J547" s="34" t="str">
        <f aca="false">'Uso e Consumo'!M547</f>
        <v>3.8.1.018 - Instalações hidráulicas/sanitárias/industriais</v>
      </c>
      <c r="K547" s="32" t="str">
        <f aca="false">INDEX('Curva ABC'!$K$8:$K$2847,MATCH(D547,'Curva ABC'!$B$8:$B$2847,0))</f>
        <v>B</v>
      </c>
    </row>
    <row r="548" customFormat="false" ht="15" hidden="false" customHeight="false" outlineLevel="0" collapsed="false">
      <c r="A548" s="34" t="s">
        <v>5799</v>
      </c>
      <c r="B548" s="34" t="str">
        <f aca="false">'Uso e Consumo'!A548</f>
        <v>0335</v>
      </c>
      <c r="C548" s="34" t="str">
        <f aca="false">'Uso e Consumo'!B548</f>
        <v>UFV NORONHA VERDE - USO E CONSUMO</v>
      </c>
      <c r="D548" s="33" t="n">
        <f aca="false">'Uso e Consumo'!C548</f>
        <v>137857</v>
      </c>
      <c r="E548" s="34" t="str">
        <f aca="false">'Uso e Consumo'!D548</f>
        <v>29.03.0158</v>
      </c>
      <c r="F548" s="34" t="str">
        <f aca="false">'Uso e Consumo'!E548</f>
        <v>DEFLETOR PARA AR CONDICIONADO</v>
      </c>
      <c r="G548" s="34" t="str">
        <f aca="false">'Uso e Consumo'!J548</f>
        <v>UN</v>
      </c>
      <c r="H548" s="49" t="n">
        <f aca="false">'Uso e Consumo'!F548</f>
        <v>12</v>
      </c>
      <c r="I548" s="35" t="n">
        <f aca="false">'Uso e Consumo'!G548</f>
        <v>2555.52</v>
      </c>
      <c r="J548" s="34" t="str">
        <f aca="false">'Uso e Consumo'!M548</f>
        <v>4.1.1.009 - Eletro eletrônico e acessórios</v>
      </c>
      <c r="K548" s="32" t="str">
        <f aca="false">INDEX('Curva ABC'!$K$8:$K$2847,MATCH(D548,'Curva ABC'!$B$8:$B$2847,0))</f>
        <v>B</v>
      </c>
    </row>
    <row r="549" customFormat="false" ht="15" hidden="false" customHeight="false" outlineLevel="0" collapsed="false">
      <c r="A549" s="34" t="s">
        <v>5799</v>
      </c>
      <c r="B549" s="34" t="str">
        <f aca="false">'Uso e Consumo'!A549</f>
        <v>0335</v>
      </c>
      <c r="C549" s="34" t="str">
        <f aca="false">'Uso e Consumo'!B549</f>
        <v>UFV NORONHA VERDE - USO E CONSUMO</v>
      </c>
      <c r="D549" s="33" t="n">
        <f aca="false">'Uso e Consumo'!C549</f>
        <v>1461492</v>
      </c>
      <c r="E549" s="34" t="str">
        <f aca="false">'Uso e Consumo'!D549</f>
        <v>18.01.1641</v>
      </c>
      <c r="F549" s="34" t="str">
        <f aca="false">'Uso e Consumo'!E549</f>
        <v>TUBO PEAD PERFURADO 100 MM </v>
      </c>
      <c r="G549" s="34" t="str">
        <f aca="false">'Uso e Consumo'!J549</f>
        <v>M</v>
      </c>
      <c r="H549" s="49" t="n">
        <f aca="false">'Uso e Consumo'!F549</f>
        <v>150</v>
      </c>
      <c r="I549" s="35" t="n">
        <f aca="false">'Uso e Consumo'!G549</f>
        <v>2550</v>
      </c>
      <c r="J549" s="34" t="str">
        <f aca="false">'Uso e Consumo'!M549</f>
        <v>3.8.1.018 - Instalações hidráulicas/sanitárias/industriais</v>
      </c>
      <c r="K549" s="32" t="str">
        <f aca="false">INDEX('Curva ABC'!$K$8:$K$2847,MATCH(D549,'Curva ABC'!$B$8:$B$2847,0))</f>
        <v>B</v>
      </c>
    </row>
    <row r="550" customFormat="false" ht="15" hidden="false" customHeight="false" outlineLevel="0" collapsed="false">
      <c r="A550" s="34" t="s">
        <v>5799</v>
      </c>
      <c r="B550" s="34" t="str">
        <f aca="false">'Uso e Consumo'!A550</f>
        <v>0335</v>
      </c>
      <c r="C550" s="34" t="str">
        <f aca="false">'Uso e Consumo'!B550</f>
        <v>UFV NORONHA VERDE - USO E CONSUMO</v>
      </c>
      <c r="D550" s="33" t="n">
        <f aca="false">'Uso e Consumo'!C550</f>
        <v>1615271</v>
      </c>
      <c r="E550" s="34" t="str">
        <f aca="false">'Uso e Consumo'!D550</f>
        <v>17.01.1396</v>
      </c>
      <c r="F550" s="34" t="str">
        <f aca="false">'Uso e Consumo'!E550</f>
        <v>CABO 2,5MM 750V PVC VERMELHO UNIPOLAR</v>
      </c>
      <c r="G550" s="34" t="str">
        <f aca="false">'Uso e Consumo'!J550</f>
        <v>M</v>
      </c>
      <c r="H550" s="49" t="n">
        <f aca="false">'Uso e Consumo'!F550</f>
        <v>980</v>
      </c>
      <c r="I550" s="35" t="n">
        <f aca="false">'Uso e Consumo'!G550</f>
        <v>2548</v>
      </c>
      <c r="J550" s="34" t="str">
        <f aca="false">'Uso e Consumo'!M550</f>
        <v>3.8.1.017 - Instalações elétricas/telefônicas/lógica</v>
      </c>
      <c r="K550" s="32" t="str">
        <f aca="false">INDEX('Curva ABC'!$K$8:$K$2847,MATCH(D550,'Curva ABC'!$B$8:$B$2847,0))</f>
        <v>B</v>
      </c>
    </row>
    <row r="551" customFormat="false" ht="15" hidden="false" customHeight="false" outlineLevel="0" collapsed="false">
      <c r="A551" s="34" t="s">
        <v>5799</v>
      </c>
      <c r="B551" s="34" t="str">
        <f aca="false">'Uso e Consumo'!A551</f>
        <v>0335</v>
      </c>
      <c r="C551" s="34" t="str">
        <f aca="false">'Uso e Consumo'!B551</f>
        <v>UFV NORONHA VERDE - USO E CONSUMO</v>
      </c>
      <c r="D551" s="33" t="n">
        <f aca="false">'Uso e Consumo'!C551</f>
        <v>13350</v>
      </c>
      <c r="E551" s="34" t="str">
        <f aca="false">'Uso e Consumo'!D551</f>
        <v>17.10.0028</v>
      </c>
      <c r="F551" s="34" t="str">
        <f aca="false">'Uso e Consumo'!E551</f>
        <v>DISJUNTOR TERMOMAGNETICO IEC TRIPOLAR 380V 70A NBR 60898</v>
      </c>
      <c r="G551" s="34" t="str">
        <f aca="false">'Uso e Consumo'!J551</f>
        <v>UN</v>
      </c>
      <c r="H551" s="49" t="n">
        <f aca="false">'Uso e Consumo'!F551</f>
        <v>3</v>
      </c>
      <c r="I551" s="35" t="n">
        <f aca="false">'Uso e Consumo'!G551</f>
        <v>2544</v>
      </c>
      <c r="J551" s="34" t="str">
        <f aca="false">'Uso e Consumo'!M551</f>
        <v>3.8.1.017 - Instalações elétricas/telefônicas/lógica</v>
      </c>
      <c r="K551" s="32" t="str">
        <f aca="false">INDEX('Curva ABC'!$K$8:$K$2847,MATCH(D551,'Curva ABC'!$B$8:$B$2847,0))</f>
        <v>B</v>
      </c>
    </row>
    <row r="552" customFormat="false" ht="15" hidden="false" customHeight="false" outlineLevel="0" collapsed="false">
      <c r="A552" s="34" t="s">
        <v>5799</v>
      </c>
      <c r="B552" s="34" t="str">
        <f aca="false">'Uso e Consumo'!A552</f>
        <v>0335</v>
      </c>
      <c r="C552" s="34" t="str">
        <f aca="false">'Uso e Consumo'!B552</f>
        <v>UFV NORONHA VERDE - USO E CONSUMO</v>
      </c>
      <c r="D552" s="33" t="n">
        <f aca="false">'Uso e Consumo'!C552</f>
        <v>1319147</v>
      </c>
      <c r="E552" s="34" t="str">
        <f aca="false">'Uso e Consumo'!D552</f>
        <v>24.29.0018</v>
      </c>
      <c r="F552" s="34" t="str">
        <f aca="false">'Uso e Consumo'!E552</f>
        <v>PULVERIZADOR COSTAL A BATERIA E MANUAL 12V 20 LITROS COM 5 BICOS - SS-20B (110V/220V) </v>
      </c>
      <c r="G552" s="34" t="str">
        <f aca="false">'Uso e Consumo'!J552</f>
        <v>UN</v>
      </c>
      <c r="H552" s="49" t="n">
        <f aca="false">'Uso e Consumo'!F552</f>
        <v>3</v>
      </c>
      <c r="I552" s="35" t="n">
        <f aca="false">'Uso e Consumo'!G552</f>
        <v>2536.5</v>
      </c>
      <c r="J552" s="34" t="str">
        <f aca="false">'Uso e Consumo'!M552</f>
        <v>3.8.2.003 - Ferramentas elétricas/pneumáticas</v>
      </c>
      <c r="K552" s="32" t="str">
        <f aca="false">INDEX('Curva ABC'!$K$8:$K$2847,MATCH(D552,'Curva ABC'!$B$8:$B$2847,0))</f>
        <v>B</v>
      </c>
    </row>
    <row r="553" customFormat="false" ht="15" hidden="false" customHeight="false" outlineLevel="0" collapsed="false">
      <c r="A553" s="34" t="s">
        <v>5799</v>
      </c>
      <c r="B553" s="34" t="str">
        <f aca="false">'Uso e Consumo'!A553</f>
        <v>0335</v>
      </c>
      <c r="C553" s="34" t="str">
        <f aca="false">'Uso e Consumo'!B553</f>
        <v>UFV NORONHA VERDE - USO E CONSUMO</v>
      </c>
      <c r="D553" s="33" t="n">
        <f aca="false">'Uso e Consumo'!C553</f>
        <v>879313</v>
      </c>
      <c r="E553" s="34" t="str">
        <f aca="false">'Uso e Consumo'!D553</f>
        <v>07.01.0016</v>
      </c>
      <c r="F553" s="34" t="str">
        <f aca="false">'Uso e Consumo'!E553</f>
        <v>ARGAMASSA AC III BRANCA</v>
      </c>
      <c r="G553" s="34" t="str">
        <f aca="false">'Uso e Consumo'!J553</f>
        <v>UN</v>
      </c>
      <c r="H553" s="49" t="n">
        <f aca="false">'Uso e Consumo'!F553</f>
        <v>150</v>
      </c>
      <c r="I553" s="35" t="n">
        <f aca="false">'Uso e Consumo'!G553</f>
        <v>2535</v>
      </c>
      <c r="J553" s="34" t="str">
        <f aca="false">'Uso e Consumo'!M553</f>
        <v>3.8.1.007 - Argamassas</v>
      </c>
      <c r="K553" s="32" t="str">
        <f aca="false">INDEX('Curva ABC'!$K$8:$K$2847,MATCH(D553,'Curva ABC'!$B$8:$B$2847,0))</f>
        <v>B</v>
      </c>
    </row>
    <row r="554" customFormat="false" ht="15" hidden="false" customHeight="false" outlineLevel="0" collapsed="false">
      <c r="A554" s="34" t="s">
        <v>5799</v>
      </c>
      <c r="B554" s="34" t="str">
        <f aca="false">'Uso e Consumo'!A554</f>
        <v>0335</v>
      </c>
      <c r="C554" s="34" t="str">
        <f aca="false">'Uso e Consumo'!B554</f>
        <v>UFV NORONHA VERDE - USO E CONSUMO</v>
      </c>
      <c r="D554" s="33" t="n">
        <f aca="false">'Uso e Consumo'!C554</f>
        <v>17940</v>
      </c>
      <c r="E554" s="34" t="str">
        <f aca="false">'Uso e Consumo'!D554</f>
        <v>24.09.0034</v>
      </c>
      <c r="F554" s="34" t="str">
        <f aca="false">'Uso e Consumo'!E554</f>
        <v>CHAVE COMBINADA 1.5/16" AÇO CARBONO CROMADO</v>
      </c>
      <c r="G554" s="34" t="str">
        <f aca="false">'Uso e Consumo'!J554</f>
        <v>UN</v>
      </c>
      <c r="H554" s="49" t="n">
        <f aca="false">'Uso e Consumo'!F554</f>
        <v>19</v>
      </c>
      <c r="I554" s="35" t="n">
        <f aca="false">'Uso e Consumo'!G554</f>
        <v>2529.88</v>
      </c>
      <c r="J554" s="34" t="str">
        <f aca="false">'Uso e Consumo'!M554</f>
        <v>3.8.2.002 - Ferramentas manuais</v>
      </c>
      <c r="K554" s="32" t="str">
        <f aca="false">INDEX('Curva ABC'!$K$8:$K$2847,MATCH(D554,'Curva ABC'!$B$8:$B$2847,0))</f>
        <v>B</v>
      </c>
    </row>
    <row r="555" customFormat="false" ht="15" hidden="false" customHeight="false" outlineLevel="0" collapsed="false">
      <c r="A555" s="34" t="s">
        <v>5799</v>
      </c>
      <c r="B555" s="34" t="str">
        <f aca="false">'Uso e Consumo'!A555</f>
        <v>0335</v>
      </c>
      <c r="C555" s="34" t="str">
        <f aca="false">'Uso e Consumo'!B555</f>
        <v>UFV NORONHA VERDE - USO E CONSUMO</v>
      </c>
      <c r="D555" s="33" t="n">
        <f aca="false">'Uso e Consumo'!C555</f>
        <v>942238</v>
      </c>
      <c r="E555" s="34" t="str">
        <f aca="false">'Uso e Consumo'!D555</f>
        <v>17.01.1103</v>
      </c>
      <c r="F555" s="34" t="str">
        <f aca="false">'Uso e Consumo'!E555</f>
        <v>CABO 2,5MM² 750V PVC VERDE UNIPOLAR</v>
      </c>
      <c r="G555" s="34" t="str">
        <f aca="false">'Uso e Consumo'!J555</f>
        <v>M</v>
      </c>
      <c r="H555" s="49" t="n">
        <f aca="false">'Uso e Consumo'!F555</f>
        <v>970</v>
      </c>
      <c r="I555" s="35" t="n">
        <f aca="false">'Uso e Consumo'!G555</f>
        <v>2522</v>
      </c>
      <c r="J555" s="34" t="str">
        <f aca="false">'Uso e Consumo'!M555</f>
        <v>3.8.1.017 - Instalações elétricas/telefônicas/lógica</v>
      </c>
      <c r="K555" s="32" t="str">
        <f aca="false">INDEX('Curva ABC'!$K$8:$K$2847,MATCH(D555,'Curva ABC'!$B$8:$B$2847,0))</f>
        <v>B</v>
      </c>
    </row>
    <row r="556" customFormat="false" ht="15" hidden="false" customHeight="false" outlineLevel="0" collapsed="false">
      <c r="A556" s="34" t="s">
        <v>5799</v>
      </c>
      <c r="B556" s="34" t="str">
        <f aca="false">'Uso e Consumo'!A556</f>
        <v>0335</v>
      </c>
      <c r="C556" s="34" t="str">
        <f aca="false">'Uso e Consumo'!B556</f>
        <v>UFV NORONHA VERDE - USO E CONSUMO</v>
      </c>
      <c r="D556" s="33" t="n">
        <f aca="false">'Uso e Consumo'!C556</f>
        <v>1385080</v>
      </c>
      <c r="E556" s="34" t="str">
        <f aca="false">'Uso e Consumo'!D556</f>
        <v>17.01.1216</v>
      </c>
      <c r="F556" s="34" t="str">
        <f aca="false">'Uso e Consumo'!E556</f>
        <v>CABO MONOPOLAR 4 MM², CONDUTOR EM COBRE ELETROLÍTICO NU, TÊMPERA MOLE, CLASSE 5, TENSÃO 0,6/1 KV, COR PRETO</v>
      </c>
      <c r="G556" s="34" t="str">
        <f aca="false">'Uso e Consumo'!J556</f>
        <v>M</v>
      </c>
      <c r="H556" s="49" t="n">
        <f aca="false">'Uso e Consumo'!F556</f>
        <v>495</v>
      </c>
      <c r="I556" s="35" t="n">
        <f aca="false">'Uso e Consumo'!G556</f>
        <v>2521.8</v>
      </c>
      <c r="J556" s="34" t="str">
        <f aca="false">'Uso e Consumo'!M556</f>
        <v>3.8.1.017 - Instalações elétricas/telefônicas/lógica</v>
      </c>
      <c r="K556" s="32" t="str">
        <f aca="false">INDEX('Curva ABC'!$K$8:$K$2847,MATCH(D556,'Curva ABC'!$B$8:$B$2847,0))</f>
        <v>B</v>
      </c>
    </row>
    <row r="557" customFormat="false" ht="15" hidden="false" customHeight="false" outlineLevel="0" collapsed="false">
      <c r="A557" s="34" t="s">
        <v>5799</v>
      </c>
      <c r="B557" s="34" t="str">
        <f aca="false">'Uso e Consumo'!A557</f>
        <v>0335</v>
      </c>
      <c r="C557" s="34" t="str">
        <f aca="false">'Uso e Consumo'!B557</f>
        <v>UFV NORONHA VERDE - USO E CONSUMO</v>
      </c>
      <c r="D557" s="33" t="n">
        <f aca="false">'Uso e Consumo'!C557</f>
        <v>1609095</v>
      </c>
      <c r="E557" s="34" t="str">
        <f aca="false">'Uso e Consumo'!D557</f>
        <v>32.07.0238</v>
      </c>
      <c r="F557" s="34" t="str">
        <f aca="false">'Uso e Consumo'!E557</f>
        <v>DOBRADOR DE TUBO HIDRAULICO 16 TON </v>
      </c>
      <c r="G557" s="34" t="str">
        <f aca="false">'Uso e Consumo'!J557</f>
        <v>UN</v>
      </c>
      <c r="H557" s="49" t="n">
        <f aca="false">'Uso e Consumo'!F557</f>
        <v>1</v>
      </c>
      <c r="I557" s="35" t="n">
        <f aca="false">'Uso e Consumo'!G557</f>
        <v>2519.1</v>
      </c>
      <c r="J557" s="34" t="str">
        <f aca="false">'Uso e Consumo'!M557</f>
        <v>6.1.2.001 - Equipamentos</v>
      </c>
      <c r="K557" s="32" t="str">
        <f aca="false">INDEX('Curva ABC'!$K$8:$K$2847,MATCH(D557,'Curva ABC'!$B$8:$B$2847,0))</f>
        <v>B</v>
      </c>
    </row>
    <row r="558" customFormat="false" ht="15" hidden="false" customHeight="false" outlineLevel="0" collapsed="false">
      <c r="A558" s="34" t="s">
        <v>5799</v>
      </c>
      <c r="B558" s="34" t="str">
        <f aca="false">'Uso e Consumo'!A558</f>
        <v>0335</v>
      </c>
      <c r="C558" s="34" t="str">
        <f aca="false">'Uso e Consumo'!B558</f>
        <v>UFV NORONHA VERDE - USO E CONSUMO</v>
      </c>
      <c r="D558" s="33" t="n">
        <f aca="false">'Uso e Consumo'!C558</f>
        <v>1679925</v>
      </c>
      <c r="E558" s="34" t="str">
        <f aca="false">'Uso e Consumo'!D558</f>
        <v>16.03.0518</v>
      </c>
      <c r="F558" s="34" t="str">
        <f aca="false">'Uso e Consumo'!E558</f>
        <v>TINTA COR AZUL RAL 5012 (IBERDROLA SKY)</v>
      </c>
      <c r="G558" s="34" t="str">
        <f aca="false">'Uso e Consumo'!J558</f>
        <v>UN</v>
      </c>
      <c r="H558" s="49" t="n">
        <f aca="false">'Uso e Consumo'!F558</f>
        <v>2</v>
      </c>
      <c r="I558" s="35" t="n">
        <f aca="false">'Uso e Consumo'!G558</f>
        <v>2507.62</v>
      </c>
      <c r="J558" s="34" t="str">
        <f aca="false">'Uso e Consumo'!M558</f>
        <v>3.8.1.016 - Pinturas</v>
      </c>
      <c r="K558" s="32" t="str">
        <f aca="false">INDEX('Curva ABC'!$K$8:$K$2847,MATCH(D558,'Curva ABC'!$B$8:$B$2847,0))</f>
        <v>B</v>
      </c>
    </row>
    <row r="559" customFormat="false" ht="15" hidden="false" customHeight="false" outlineLevel="0" collapsed="false">
      <c r="A559" s="34" t="s">
        <v>5799</v>
      </c>
      <c r="B559" s="34" t="str">
        <f aca="false">'Uso e Consumo'!A559</f>
        <v>0335</v>
      </c>
      <c r="C559" s="34" t="str">
        <f aca="false">'Uso e Consumo'!B559</f>
        <v>UFV NORONHA VERDE - USO E CONSUMO</v>
      </c>
      <c r="D559" s="33" t="n">
        <f aca="false">'Uso e Consumo'!C559</f>
        <v>1386624</v>
      </c>
      <c r="E559" s="34" t="str">
        <f aca="false">'Uso e Consumo'!D559</f>
        <v>23.07.1580</v>
      </c>
      <c r="F559" s="34" t="str">
        <f aca="false">'Uso e Consumo'!E559</f>
        <v>PARAFUSO FRANCÊS INOX M12X50 C/ PORCA E ARRUELA</v>
      </c>
      <c r="G559" s="34" t="str">
        <f aca="false">'Uso e Consumo'!J559</f>
        <v>UN</v>
      </c>
      <c r="H559" s="49" t="n">
        <f aca="false">'Uso e Consumo'!F559</f>
        <v>161</v>
      </c>
      <c r="I559" s="35" t="n">
        <f aca="false">'Uso e Consumo'!G559</f>
        <v>2501.94</v>
      </c>
      <c r="J559" s="34" t="str">
        <f aca="false">'Uso e Consumo'!M559</f>
        <v>3.8.1.022 - Elementos de fixação</v>
      </c>
      <c r="K559" s="32" t="str">
        <f aca="false">INDEX('Curva ABC'!$K$8:$K$2847,MATCH(D559,'Curva ABC'!$B$8:$B$2847,0))</f>
        <v>B</v>
      </c>
    </row>
    <row r="560" customFormat="false" ht="15" hidden="false" customHeight="false" outlineLevel="0" collapsed="false">
      <c r="A560" s="34" t="s">
        <v>5799</v>
      </c>
      <c r="B560" s="34" t="str">
        <f aca="false">'Uso e Consumo'!A560</f>
        <v>0335</v>
      </c>
      <c r="C560" s="34" t="str">
        <f aca="false">'Uso e Consumo'!B560</f>
        <v>UFV NORONHA VERDE - USO E CONSUMO</v>
      </c>
      <c r="D560" s="33" t="n">
        <f aca="false">'Uso e Consumo'!C560</f>
        <v>59926</v>
      </c>
      <c r="E560" s="34" t="str">
        <f aca="false">'Uso e Consumo'!D560</f>
        <v>09.21.0039</v>
      </c>
      <c r="F560" s="34" t="str">
        <f aca="false">'Uso e Consumo'!E560</f>
        <v>POSTE CONCRETO DUPLO T TIPO D 7,00M 75KGF</v>
      </c>
      <c r="G560" s="34" t="str">
        <f aca="false">'Uso e Consumo'!J560</f>
        <v>UN</v>
      </c>
      <c r="H560" s="49" t="n">
        <f aca="false">'Uso e Consumo'!F560</f>
        <v>1</v>
      </c>
      <c r="I560" s="35" t="n">
        <f aca="false">'Uso e Consumo'!G560</f>
        <v>2498</v>
      </c>
      <c r="J560" s="34" t="str">
        <f aca="false">'Uso e Consumo'!M560</f>
        <v>3.8.1.009 - Artefatos pré-moldados de concreto</v>
      </c>
      <c r="K560" s="32" t="str">
        <f aca="false">INDEX('Curva ABC'!$K$8:$K$2847,MATCH(D560,'Curva ABC'!$B$8:$B$2847,0))</f>
        <v>B</v>
      </c>
    </row>
    <row r="561" customFormat="false" ht="15" hidden="false" customHeight="false" outlineLevel="0" collapsed="false">
      <c r="A561" s="34" t="s">
        <v>5799</v>
      </c>
      <c r="B561" s="34" t="str">
        <f aca="false">'Uso e Consumo'!A561</f>
        <v>0335</v>
      </c>
      <c r="C561" s="34" t="str">
        <f aca="false">'Uso e Consumo'!B561</f>
        <v>UFV NORONHA VERDE - USO E CONSUMO</v>
      </c>
      <c r="D561" s="33" t="n">
        <f aca="false">'Uso e Consumo'!C561</f>
        <v>1311112</v>
      </c>
      <c r="E561" s="34" t="str">
        <f aca="false">'Uso e Consumo'!D561</f>
        <v>01.09.0366</v>
      </c>
      <c r="F561" s="34" t="str">
        <f aca="false">'Uso e Consumo'!E561</f>
        <v>PERFIL "C" DOBRADO 28 MM X 29 MM X 28 MM NA CHAPA 0,5 MM COM COMPRIMENTO DE 3 METROS E PINTURA EXTERNA</v>
      </c>
      <c r="G561" s="34" t="str">
        <f aca="false">'Uso e Consumo'!J561</f>
        <v>UN</v>
      </c>
      <c r="H561" s="49" t="n">
        <f aca="false">'Uso e Consumo'!F561</f>
        <v>120</v>
      </c>
      <c r="I561" s="35" t="n">
        <f aca="false">'Uso e Consumo'!G561</f>
        <v>2497.2</v>
      </c>
      <c r="J561" s="34" t="str">
        <f aca="false">'Uso e Consumo'!M561</f>
        <v>3.8.1.001 - Aços e trefilados</v>
      </c>
      <c r="K561" s="32" t="str">
        <f aca="false">INDEX('Curva ABC'!$K$8:$K$2847,MATCH(D561,'Curva ABC'!$B$8:$B$2847,0))</f>
        <v>B</v>
      </c>
    </row>
    <row r="562" customFormat="false" ht="15" hidden="false" customHeight="false" outlineLevel="0" collapsed="false">
      <c r="A562" s="34" t="s">
        <v>5799</v>
      </c>
      <c r="B562" s="34" t="str">
        <f aca="false">'Uso e Consumo'!A562</f>
        <v>0335</v>
      </c>
      <c r="C562" s="34" t="str">
        <f aca="false">'Uso e Consumo'!B562</f>
        <v>UFV NORONHA VERDE - USO E CONSUMO</v>
      </c>
      <c r="D562" s="33" t="n">
        <f aca="false">'Uso e Consumo'!C562</f>
        <v>1386846</v>
      </c>
      <c r="E562" s="34" t="str">
        <f aca="false">'Uso e Consumo'!D562</f>
        <v>17.22.0139</v>
      </c>
      <c r="F562" s="34" t="str">
        <f aca="false">'Uso e Consumo'!E562</f>
        <v>CINTA POSTE CIRCULAR Ø480 5000DAN</v>
      </c>
      <c r="G562" s="34" t="str">
        <f aca="false">'Uso e Consumo'!J562</f>
        <v>UN</v>
      </c>
      <c r="H562" s="49" t="n">
        <f aca="false">'Uso e Consumo'!F562</f>
        <v>11</v>
      </c>
      <c r="I562" s="35" t="n">
        <f aca="false">'Uso e Consumo'!G562</f>
        <v>2494.69</v>
      </c>
      <c r="J562" s="34" t="str">
        <f aca="false">'Uso e Consumo'!M562</f>
        <v>3.8.1.022 - Elementos de fixação</v>
      </c>
      <c r="K562" s="32" t="str">
        <f aca="false">INDEX('Curva ABC'!$K$8:$K$2847,MATCH(D562,'Curva ABC'!$B$8:$B$2847,0))</f>
        <v>B</v>
      </c>
    </row>
    <row r="563" customFormat="false" ht="15" hidden="false" customHeight="false" outlineLevel="0" collapsed="false">
      <c r="A563" s="34" t="s">
        <v>5799</v>
      </c>
      <c r="B563" s="34" t="str">
        <f aca="false">'Uso e Consumo'!A563</f>
        <v>0335</v>
      </c>
      <c r="C563" s="34" t="str">
        <f aca="false">'Uso e Consumo'!B563</f>
        <v>UFV NORONHA VERDE - USO E CONSUMO</v>
      </c>
      <c r="D563" s="33" t="n">
        <f aca="false">'Uso e Consumo'!C563</f>
        <v>1384746</v>
      </c>
      <c r="E563" s="34" t="str">
        <f aca="false">'Uso e Consumo'!D563</f>
        <v>19.14.0080</v>
      </c>
      <c r="F563" s="34" t="str">
        <f aca="false">'Uso e Consumo'!E563</f>
        <v>TERMINAÇÃO CONTRÁTIL A FRIO, INSTALAÇÃO INTERNA, TENSÃO NOMINAL 8,7/15 KV, PARA CABO DE BITOLA 70 MM²</v>
      </c>
      <c r="G563" s="34" t="str">
        <f aca="false">'Uso e Consumo'!J563</f>
        <v>UN</v>
      </c>
      <c r="H563" s="49" t="n">
        <f aca="false">'Uso e Consumo'!F563</f>
        <v>8</v>
      </c>
      <c r="I563" s="35" t="n">
        <f aca="false">'Uso e Consumo'!G563</f>
        <v>2491.92</v>
      </c>
      <c r="J563" s="34" t="str">
        <f aca="false">'Uso e Consumo'!M563</f>
        <v>3.8.1.017 - Instalações elétricas/telefônicas/lógica</v>
      </c>
      <c r="K563" s="32" t="str">
        <f aca="false">INDEX('Curva ABC'!$K$8:$K$2847,MATCH(D563,'Curva ABC'!$B$8:$B$2847,0))</f>
        <v>B</v>
      </c>
    </row>
    <row r="564" customFormat="false" ht="15" hidden="false" customHeight="false" outlineLevel="0" collapsed="false">
      <c r="A564" s="34" t="s">
        <v>5799</v>
      </c>
      <c r="B564" s="34" t="str">
        <f aca="false">'Uso e Consumo'!A564</f>
        <v>0335</v>
      </c>
      <c r="C564" s="34" t="str">
        <f aca="false">'Uso e Consumo'!B564</f>
        <v>UFV NORONHA VERDE - USO E CONSUMO</v>
      </c>
      <c r="D564" s="33" t="n">
        <f aca="false">'Uso e Consumo'!C564</f>
        <v>855301</v>
      </c>
      <c r="E564" s="34" t="str">
        <f aca="false">'Uso e Consumo'!D564</f>
        <v>24.20.0015</v>
      </c>
      <c r="F564" s="34" t="str">
        <f aca="false">'Uso e Consumo'!E564</f>
        <v>REGUA METALICA REFORÇADA 3M </v>
      </c>
      <c r="G564" s="34" t="str">
        <f aca="false">'Uso e Consumo'!J564</f>
        <v>UN</v>
      </c>
      <c r="H564" s="49" t="n">
        <f aca="false">'Uso e Consumo'!F564</f>
        <v>27</v>
      </c>
      <c r="I564" s="35" t="n">
        <f aca="false">'Uso e Consumo'!G564</f>
        <v>2490</v>
      </c>
      <c r="J564" s="34" t="str">
        <f aca="false">'Uso e Consumo'!M564</f>
        <v>3.8.2.002 - Ferramentas manuais</v>
      </c>
      <c r="K564" s="32" t="str">
        <f aca="false">INDEX('Curva ABC'!$K$8:$K$2847,MATCH(D564,'Curva ABC'!$B$8:$B$2847,0))</f>
        <v>B</v>
      </c>
    </row>
    <row r="565" customFormat="false" ht="15" hidden="false" customHeight="false" outlineLevel="0" collapsed="false">
      <c r="A565" s="34" t="s">
        <v>5799</v>
      </c>
      <c r="B565" s="34" t="str">
        <f aca="false">'Uso e Consumo'!A565</f>
        <v>0335</v>
      </c>
      <c r="C565" s="34" t="str">
        <f aca="false">'Uso e Consumo'!B565</f>
        <v>UFV NORONHA VERDE - USO E CONSUMO</v>
      </c>
      <c r="D565" s="33" t="n">
        <f aca="false">'Uso e Consumo'!C565</f>
        <v>1472194</v>
      </c>
      <c r="E565" s="34" t="str">
        <f aca="false">'Uso e Consumo'!D565</f>
        <v>03.10.0030</v>
      </c>
      <c r="F565" s="34" t="str">
        <f aca="false">'Uso e Consumo'!E565</f>
        <v>CAIBRO EUCALIPTO</v>
      </c>
      <c r="G565" s="34" t="str">
        <f aca="false">'Uso e Consumo'!J565</f>
        <v>UN</v>
      </c>
      <c r="H565" s="49" t="n">
        <f aca="false">'Uso e Consumo'!F565</f>
        <v>5</v>
      </c>
      <c r="I565" s="35" t="n">
        <f aca="false">'Uso e Consumo'!G565</f>
        <v>2490</v>
      </c>
      <c r="J565" s="34" t="str">
        <f aca="false">'Uso e Consumo'!M565</f>
        <v>3.8.1.003 - Madeira</v>
      </c>
      <c r="K565" s="32" t="str">
        <f aca="false">INDEX('Curva ABC'!$K$8:$K$2847,MATCH(D565,'Curva ABC'!$B$8:$B$2847,0))</f>
        <v>B</v>
      </c>
    </row>
    <row r="566" customFormat="false" ht="15" hidden="false" customHeight="false" outlineLevel="0" collapsed="false">
      <c r="A566" s="34" t="s">
        <v>5799</v>
      </c>
      <c r="B566" s="34" t="str">
        <f aca="false">'Uso e Consumo'!A566</f>
        <v>0335</v>
      </c>
      <c r="C566" s="34" t="str">
        <f aca="false">'Uso e Consumo'!B566</f>
        <v>UFV NORONHA VERDE - USO E CONSUMO</v>
      </c>
      <c r="D566" s="33" t="n">
        <f aca="false">'Uso e Consumo'!C566</f>
        <v>1326887</v>
      </c>
      <c r="E566" s="34" t="str">
        <f aca="false">'Uso e Consumo'!D566</f>
        <v>17.20.0676</v>
      </c>
      <c r="F566" s="34" t="str">
        <f aca="false">'Uso e Consumo'!E566</f>
        <v>CARTUCHO COM METAL DE IGNIÇÃO PARA CONEXÃO DE CABO PASSANTE DE COBRE 70mm², DIÂMETRO NOMINAL 19mm (3/4"), CONTEÚDO 115g</v>
      </c>
      <c r="G566" s="34" t="str">
        <f aca="false">'Uso e Consumo'!J566</f>
        <v>pç</v>
      </c>
      <c r="H566" s="49" t="n">
        <f aca="false">'Uso e Consumo'!F566</f>
        <v>121</v>
      </c>
      <c r="I566" s="35" t="n">
        <f aca="false">'Uso e Consumo'!G566</f>
        <v>2482.96</v>
      </c>
      <c r="J566" s="34" t="str">
        <f aca="false">'Uso e Consumo'!M566</f>
        <v>3.8.1.017 - Instalações elétricas/telefônicas/lógica</v>
      </c>
      <c r="K566" s="32" t="str">
        <f aca="false">INDEX('Curva ABC'!$K$8:$K$2847,MATCH(D566,'Curva ABC'!$B$8:$B$2847,0))</f>
        <v>B</v>
      </c>
    </row>
    <row r="567" customFormat="false" ht="15" hidden="false" customHeight="false" outlineLevel="0" collapsed="false">
      <c r="A567" s="34" t="s">
        <v>5799</v>
      </c>
      <c r="B567" s="34" t="str">
        <f aca="false">'Uso e Consumo'!A567</f>
        <v>0335</v>
      </c>
      <c r="C567" s="34" t="str">
        <f aca="false">'Uso e Consumo'!B567</f>
        <v>UFV NORONHA VERDE - USO E CONSUMO</v>
      </c>
      <c r="D567" s="33" t="n">
        <f aca="false">'Uso e Consumo'!C567</f>
        <v>946716</v>
      </c>
      <c r="E567" s="34" t="str">
        <f aca="false">'Uso e Consumo'!D567</f>
        <v>24.14.0037</v>
      </c>
      <c r="F567" s="34" t="str">
        <f aca="false">'Uso e Consumo'!E567</f>
        <v>MARRETA DE 2KG C/ CABO</v>
      </c>
      <c r="G567" s="34" t="str">
        <f aca="false">'Uso e Consumo'!J567</f>
        <v>UN</v>
      </c>
      <c r="H567" s="49" t="n">
        <f aca="false">'Uso e Consumo'!F567</f>
        <v>36</v>
      </c>
      <c r="I567" s="35" t="n">
        <f aca="false">'Uso e Consumo'!G567</f>
        <v>2475.2</v>
      </c>
      <c r="J567" s="34" t="str">
        <f aca="false">'Uso e Consumo'!M567</f>
        <v>3.8.2.002 - Ferramentas manuais</v>
      </c>
      <c r="K567" s="32" t="str">
        <f aca="false">INDEX('Curva ABC'!$K$8:$K$2847,MATCH(D567,'Curva ABC'!$B$8:$B$2847,0))</f>
        <v>B</v>
      </c>
    </row>
    <row r="568" customFormat="false" ht="15" hidden="false" customHeight="false" outlineLevel="0" collapsed="false">
      <c r="A568" s="34" t="s">
        <v>5799</v>
      </c>
      <c r="B568" s="34" t="str">
        <f aca="false">'Uso e Consumo'!A568</f>
        <v>0335</v>
      </c>
      <c r="C568" s="34" t="str">
        <f aca="false">'Uso e Consumo'!B568</f>
        <v>UFV NORONHA VERDE - USO E CONSUMO</v>
      </c>
      <c r="D568" s="33" t="n">
        <f aca="false">'Uso e Consumo'!C568</f>
        <v>1680621</v>
      </c>
      <c r="E568" s="34" t="str">
        <f aca="false">'Uso e Consumo'!D568</f>
        <v>16.03.0521</v>
      </c>
      <c r="F568" s="34" t="str">
        <f aca="false">'Uso e Consumo'!E568</f>
        <v>TINTA ACRILICA PREMIUM, COR BRANCO NEVE, PARA PAREDES INTERNAS - REF. CORAL OU SIMILAR</v>
      </c>
      <c r="G568" s="34" t="str">
        <f aca="false">'Uso e Consumo'!J568</f>
        <v>L</v>
      </c>
      <c r="H568" s="49" t="n">
        <f aca="false">'Uso e Consumo'!F568</f>
        <v>3</v>
      </c>
      <c r="I568" s="35" t="n">
        <f aca="false">'Uso e Consumo'!G568</f>
        <v>2464.86</v>
      </c>
      <c r="J568" s="34" t="str">
        <f aca="false">'Uso e Consumo'!M568</f>
        <v>3.8.1.016 - Pinturas</v>
      </c>
      <c r="K568" s="32" t="str">
        <f aca="false">INDEX('Curva ABC'!$K$8:$K$2847,MATCH(D568,'Curva ABC'!$B$8:$B$2847,0))</f>
        <v>B</v>
      </c>
    </row>
    <row r="569" customFormat="false" ht="15" hidden="false" customHeight="false" outlineLevel="0" collapsed="false">
      <c r="A569" s="34" t="s">
        <v>5799</v>
      </c>
      <c r="B569" s="34" t="str">
        <f aca="false">'Uso e Consumo'!A569</f>
        <v>0335</v>
      </c>
      <c r="C569" s="34" t="str">
        <f aca="false">'Uso e Consumo'!B569</f>
        <v>UFV NORONHA VERDE - USO E CONSUMO</v>
      </c>
      <c r="D569" s="33" t="n">
        <f aca="false">'Uso e Consumo'!C569</f>
        <v>1615272</v>
      </c>
      <c r="E569" s="34" t="str">
        <f aca="false">'Uso e Consumo'!D569</f>
        <v>17.01.1397</v>
      </c>
      <c r="F569" s="34" t="str">
        <f aca="false">'Uso e Consumo'!E569</f>
        <v>CABO MULTIPLEXADO ALUMINIO 0,6/1 KV 3X4 MM</v>
      </c>
      <c r="G569" s="34" t="str">
        <f aca="false">'Uso e Consumo'!J569</f>
        <v>M</v>
      </c>
      <c r="H569" s="49" t="n">
        <f aca="false">'Uso e Consumo'!F569</f>
        <v>120</v>
      </c>
      <c r="I569" s="35" t="n">
        <f aca="false">'Uso e Consumo'!G569</f>
        <v>2464.8</v>
      </c>
      <c r="J569" s="34" t="str">
        <f aca="false">'Uso e Consumo'!M569</f>
        <v>3.8.1.017 - Instalações elétricas/telefônicas/lógica</v>
      </c>
      <c r="K569" s="32" t="str">
        <f aca="false">INDEX('Curva ABC'!$K$8:$K$2847,MATCH(D569,'Curva ABC'!$B$8:$B$2847,0))</f>
        <v>B</v>
      </c>
    </row>
    <row r="570" customFormat="false" ht="15" hidden="false" customHeight="false" outlineLevel="0" collapsed="false">
      <c r="A570" s="34" t="s">
        <v>5799</v>
      </c>
      <c r="B570" s="34" t="str">
        <f aca="false">'Uso e Consumo'!A570</f>
        <v>0335</v>
      </c>
      <c r="C570" s="34" t="str">
        <f aca="false">'Uso e Consumo'!B570</f>
        <v>UFV NORONHA VERDE - USO E CONSUMO</v>
      </c>
      <c r="D570" s="33" t="n">
        <f aca="false">'Uso e Consumo'!C570</f>
        <v>19246</v>
      </c>
      <c r="E570" s="34" t="str">
        <f aca="false">'Uso e Consumo'!D570</f>
        <v>29.02.0032</v>
      </c>
      <c r="F570" s="34" t="str">
        <f aca="false">'Uso e Consumo'!E570</f>
        <v>FRONHA</v>
      </c>
      <c r="G570" s="34" t="str">
        <f aca="false">'Uso e Consumo'!J570</f>
        <v>UN</v>
      </c>
      <c r="H570" s="49" t="n">
        <f aca="false">'Uso e Consumo'!F570</f>
        <v>350</v>
      </c>
      <c r="I570" s="35" t="n">
        <f aca="false">'Uso e Consumo'!G570</f>
        <v>2450</v>
      </c>
      <c r="J570" s="34" t="str">
        <f aca="false">'Uso e Consumo'!M570</f>
        <v>4.1.1.008 - Mobiliário e acessórios</v>
      </c>
      <c r="K570" s="32" t="str">
        <f aca="false">INDEX('Curva ABC'!$K$8:$K$2847,MATCH(D570,'Curva ABC'!$B$8:$B$2847,0))</f>
        <v>B</v>
      </c>
    </row>
    <row r="571" customFormat="false" ht="15" hidden="false" customHeight="false" outlineLevel="0" collapsed="false">
      <c r="A571" s="34" t="s">
        <v>5799</v>
      </c>
      <c r="B571" s="34" t="str">
        <f aca="false">'Uso e Consumo'!A571</f>
        <v>0335</v>
      </c>
      <c r="C571" s="34" t="str">
        <f aca="false">'Uso e Consumo'!B571</f>
        <v>UFV NORONHA VERDE - USO E CONSUMO</v>
      </c>
      <c r="D571" s="33" t="n">
        <f aca="false">'Uso e Consumo'!C571</f>
        <v>945235</v>
      </c>
      <c r="E571" s="34" t="str">
        <f aca="false">'Uso e Consumo'!D571</f>
        <v>30.03.0468</v>
      </c>
      <c r="F571" s="34" t="str">
        <f aca="false">'Uso e Consumo'!E571</f>
        <v>DESINCRUSTANTE LÍQUIDO CONCENTRADO - RESOX</v>
      </c>
      <c r="G571" s="34" t="str">
        <f aca="false">'Uso e Consumo'!J571</f>
        <v>L</v>
      </c>
      <c r="H571" s="49" t="n">
        <f aca="false">'Uso e Consumo'!F571</f>
        <v>50</v>
      </c>
      <c r="I571" s="35" t="n">
        <f aca="false">'Uso e Consumo'!G571</f>
        <v>2450</v>
      </c>
      <c r="J571" s="34" t="str">
        <f aca="false">'Uso e Consumo'!M571</f>
        <v>4.1.1.003 - Material limpeza</v>
      </c>
      <c r="K571" s="32" t="str">
        <f aca="false">INDEX('Curva ABC'!$K$8:$K$2847,MATCH(D571,'Curva ABC'!$B$8:$B$2847,0))</f>
        <v>B</v>
      </c>
    </row>
    <row r="572" customFormat="false" ht="15" hidden="false" customHeight="false" outlineLevel="0" collapsed="false">
      <c r="A572" s="34" t="s">
        <v>5799</v>
      </c>
      <c r="B572" s="34" t="str">
        <f aca="false">'Uso e Consumo'!A572</f>
        <v>0335</v>
      </c>
      <c r="C572" s="34" t="str">
        <f aca="false">'Uso e Consumo'!B572</f>
        <v>UFV NORONHA VERDE - USO E CONSUMO</v>
      </c>
      <c r="D572" s="33" t="n">
        <f aca="false">'Uso e Consumo'!C572</f>
        <v>387475</v>
      </c>
      <c r="E572" s="34" t="str">
        <f aca="false">'Uso e Consumo'!D572</f>
        <v>17.07.0050</v>
      </c>
      <c r="F572" s="34" t="str">
        <f aca="false">'Uso e Consumo'!E572</f>
        <v>CAIXA DE PASSAGEM DE SERVIÇOS AUXILIARES, 0,5 X 0,5 X 0,375M COM TAMPA PP</v>
      </c>
      <c r="G572" s="34" t="str">
        <f aca="false">'Uso e Consumo'!J572</f>
        <v>UN</v>
      </c>
      <c r="H572" s="49" t="n">
        <f aca="false">'Uso e Consumo'!F572</f>
        <v>8</v>
      </c>
      <c r="I572" s="35" t="n">
        <f aca="false">'Uso e Consumo'!G572</f>
        <v>2447.09</v>
      </c>
      <c r="J572" s="34" t="str">
        <f aca="false">'Uso e Consumo'!M572</f>
        <v>3.8.1.017 - Instalações elétricas/telefônicas/lógica</v>
      </c>
      <c r="K572" s="32" t="str">
        <f aca="false">INDEX('Curva ABC'!$K$8:$K$2847,MATCH(D572,'Curva ABC'!$B$8:$B$2847,0))</f>
        <v>B</v>
      </c>
    </row>
    <row r="573" customFormat="false" ht="15" hidden="false" customHeight="false" outlineLevel="0" collapsed="false">
      <c r="A573" s="34" t="s">
        <v>5799</v>
      </c>
      <c r="B573" s="34" t="str">
        <f aca="false">'Uso e Consumo'!A573</f>
        <v>0335</v>
      </c>
      <c r="C573" s="34" t="str">
        <f aca="false">'Uso e Consumo'!B573</f>
        <v>UFV NORONHA VERDE - USO E CONSUMO</v>
      </c>
      <c r="D573" s="33" t="n">
        <f aca="false">'Uso e Consumo'!C573</f>
        <v>946250</v>
      </c>
      <c r="E573" s="34" t="str">
        <f aca="false">'Uso e Consumo'!D573</f>
        <v>24.14.0036</v>
      </c>
      <c r="F573" s="34" t="str">
        <f aca="false">'Uso e Consumo'!E573</f>
        <v>MARRETA DE 5KG</v>
      </c>
      <c r="G573" s="34" t="str">
        <f aca="false">'Uso e Consumo'!J573</f>
        <v>UN</v>
      </c>
      <c r="H573" s="49" t="n">
        <f aca="false">'Uso e Consumo'!F573</f>
        <v>14</v>
      </c>
      <c r="I573" s="35" t="n">
        <f aca="false">'Uso e Consumo'!G573</f>
        <v>2445</v>
      </c>
      <c r="J573" s="34" t="str">
        <f aca="false">'Uso e Consumo'!M573</f>
        <v>3.8.2.002 - Ferramentas manuais</v>
      </c>
      <c r="K573" s="32" t="str">
        <f aca="false">INDEX('Curva ABC'!$K$8:$K$2847,MATCH(D573,'Curva ABC'!$B$8:$B$2847,0))</f>
        <v>B</v>
      </c>
    </row>
    <row r="574" customFormat="false" ht="15" hidden="false" customHeight="false" outlineLevel="0" collapsed="false">
      <c r="A574" s="34" t="s">
        <v>5799</v>
      </c>
      <c r="B574" s="34" t="str">
        <f aca="false">'Uso e Consumo'!A574</f>
        <v>0335</v>
      </c>
      <c r="C574" s="34" t="str">
        <f aca="false">'Uso e Consumo'!B574</f>
        <v>UFV NORONHA VERDE - USO E CONSUMO</v>
      </c>
      <c r="D574" s="33" t="n">
        <f aca="false">'Uso e Consumo'!C574</f>
        <v>24192</v>
      </c>
      <c r="E574" s="34" t="str">
        <f aca="false">'Uso e Consumo'!D574</f>
        <v>24.49.0001</v>
      </c>
      <c r="F574" s="34" t="str">
        <f aca="false">'Uso e Consumo'!E574</f>
        <v>FOICE ROÇADEIRA COM CABO DE MADEIRA - 1165MM X 174MM X 36MM</v>
      </c>
      <c r="G574" s="34" t="str">
        <f aca="false">'Uso e Consumo'!J574</f>
        <v>UN</v>
      </c>
      <c r="H574" s="49" t="n">
        <f aca="false">'Uso e Consumo'!F574</f>
        <v>38</v>
      </c>
      <c r="I574" s="35" t="n">
        <f aca="false">'Uso e Consumo'!G574</f>
        <v>2443.96</v>
      </c>
      <c r="J574" s="34" t="str">
        <f aca="false">'Uso e Consumo'!M574</f>
        <v>3.8.2.002 - Ferramentas manuais</v>
      </c>
      <c r="K574" s="32" t="str">
        <f aca="false">INDEX('Curva ABC'!$K$8:$K$2847,MATCH(D574,'Curva ABC'!$B$8:$B$2847,0))</f>
        <v>B</v>
      </c>
    </row>
    <row r="575" customFormat="false" ht="15" hidden="false" customHeight="false" outlineLevel="0" collapsed="false">
      <c r="A575" s="34" t="s">
        <v>5799</v>
      </c>
      <c r="B575" s="34" t="str">
        <f aca="false">'Uso e Consumo'!A575</f>
        <v>0335</v>
      </c>
      <c r="C575" s="34" t="str">
        <f aca="false">'Uso e Consumo'!B575</f>
        <v>UFV NORONHA VERDE - USO E CONSUMO</v>
      </c>
      <c r="D575" s="33" t="n">
        <f aca="false">'Uso e Consumo'!C575</f>
        <v>23975</v>
      </c>
      <c r="E575" s="34" t="str">
        <f aca="false">'Uso e Consumo'!D575</f>
        <v>24.24.0006</v>
      </c>
      <c r="F575" s="34" t="str">
        <f aca="false">'Uso e Consumo'!E575</f>
        <v>FURADEIRA DE IMPACTO TIPO MARTELETE GBH 2-26 DRE 220V 60HZ 800W</v>
      </c>
      <c r="G575" s="34" t="str">
        <f aca="false">'Uso e Consumo'!J575</f>
        <v>UN</v>
      </c>
      <c r="H575" s="49" t="n">
        <f aca="false">'Uso e Consumo'!F575</f>
        <v>2</v>
      </c>
      <c r="I575" s="35" t="n">
        <f aca="false">'Uso e Consumo'!G575</f>
        <v>2442.34</v>
      </c>
      <c r="J575" s="34" t="str">
        <f aca="false">'Uso e Consumo'!M575</f>
        <v>3.8.2.003 - Ferramentas elétricas/pneumáticas</v>
      </c>
      <c r="K575" s="32" t="str">
        <f aca="false">INDEX('Curva ABC'!$K$8:$K$2847,MATCH(D575,'Curva ABC'!$B$8:$B$2847,0))</f>
        <v>B</v>
      </c>
    </row>
    <row r="576" customFormat="false" ht="15" hidden="false" customHeight="false" outlineLevel="0" collapsed="false">
      <c r="A576" s="34" t="s">
        <v>5799</v>
      </c>
      <c r="B576" s="34" t="str">
        <f aca="false">'Uso e Consumo'!A576</f>
        <v>0335</v>
      </c>
      <c r="C576" s="34" t="str">
        <f aca="false">'Uso e Consumo'!B576</f>
        <v>UFV NORONHA VERDE - USO E CONSUMO</v>
      </c>
      <c r="D576" s="33" t="n">
        <f aca="false">'Uso e Consumo'!C576</f>
        <v>57449</v>
      </c>
      <c r="E576" s="34" t="str">
        <f aca="false">'Uso e Consumo'!D576</f>
        <v>24.15.0026</v>
      </c>
      <c r="F576" s="34" t="str">
        <f aca="false">'Uso e Consumo'!E576</f>
        <v>MARTELO CARPINTEIRO CABO MADEIRA 35MM</v>
      </c>
      <c r="G576" s="34" t="str">
        <f aca="false">'Uso e Consumo'!J576</f>
        <v>UN</v>
      </c>
      <c r="H576" s="49" t="n">
        <f aca="false">'Uso e Consumo'!F576</f>
        <v>9</v>
      </c>
      <c r="I576" s="35" t="n">
        <f aca="false">'Uso e Consumo'!G576</f>
        <v>2432</v>
      </c>
      <c r="J576" s="34" t="str">
        <f aca="false">'Uso e Consumo'!M576</f>
        <v>3.8.2.002 - Ferramentas manuais</v>
      </c>
      <c r="K576" s="32" t="str">
        <f aca="false">INDEX('Curva ABC'!$K$8:$K$2847,MATCH(D576,'Curva ABC'!$B$8:$B$2847,0))</f>
        <v>B</v>
      </c>
    </row>
    <row r="577" customFormat="false" ht="15" hidden="false" customHeight="false" outlineLevel="0" collapsed="false">
      <c r="A577" s="34" t="s">
        <v>5799</v>
      </c>
      <c r="B577" s="34" t="str">
        <f aca="false">'Uso e Consumo'!A577</f>
        <v>0335</v>
      </c>
      <c r="C577" s="34" t="str">
        <f aca="false">'Uso e Consumo'!B577</f>
        <v>UFV NORONHA VERDE - USO E CONSUMO</v>
      </c>
      <c r="D577" s="33" t="n">
        <f aca="false">'Uso e Consumo'!C577</f>
        <v>429119</v>
      </c>
      <c r="E577" s="34" t="str">
        <f aca="false">'Uso e Consumo'!D577</f>
        <v>01.02.0032</v>
      </c>
      <c r="F577" s="34" t="str">
        <f aca="false">'Uso e Consumo'!E577</f>
        <v>VERGALHÃO FERRO 1/4</v>
      </c>
      <c r="G577" s="34" t="str">
        <f aca="false">'Uso e Consumo'!J577</f>
        <v>UN</v>
      </c>
      <c r="H577" s="49" t="n">
        <f aca="false">'Uso e Consumo'!F577</f>
        <v>19</v>
      </c>
      <c r="I577" s="35" t="n">
        <f aca="false">'Uso e Consumo'!G577</f>
        <v>2432</v>
      </c>
      <c r="J577" s="34" t="str">
        <f aca="false">'Uso e Consumo'!M577</f>
        <v>3.8.1.001 - Aços e trefilados</v>
      </c>
      <c r="K577" s="32" t="str">
        <f aca="false">INDEX('Curva ABC'!$K$8:$K$2847,MATCH(D577,'Curva ABC'!$B$8:$B$2847,0))</f>
        <v>B</v>
      </c>
    </row>
    <row r="578" customFormat="false" ht="15" hidden="false" customHeight="false" outlineLevel="0" collapsed="false">
      <c r="A578" s="34" t="s">
        <v>5799</v>
      </c>
      <c r="B578" s="34" t="str">
        <f aca="false">'Uso e Consumo'!A578</f>
        <v>0335</v>
      </c>
      <c r="C578" s="34" t="str">
        <f aca="false">'Uso e Consumo'!B578</f>
        <v>UFV NORONHA VERDE - USO E CONSUMO</v>
      </c>
      <c r="D578" s="33" t="n">
        <f aca="false">'Uso e Consumo'!C578</f>
        <v>884817</v>
      </c>
      <c r="E578" s="34" t="str">
        <f aca="false">'Uso e Consumo'!D578</f>
        <v>33.02.2695</v>
      </c>
      <c r="F578" s="34" t="str">
        <f aca="false">'Uso e Consumo'!E578</f>
        <v>TERMINAL RETO DE COMPRESSÃO 50MM2</v>
      </c>
      <c r="G578" s="34" t="str">
        <f aca="false">'Uso e Consumo'!J578</f>
        <v>UND</v>
      </c>
      <c r="H578" s="49" t="n">
        <f aca="false">'Uso e Consumo'!F578</f>
        <v>470</v>
      </c>
      <c r="I578" s="35" t="n">
        <f aca="false">'Uso e Consumo'!G578</f>
        <v>2425.2</v>
      </c>
      <c r="J578" s="34" t="str">
        <f aca="false">'Uso e Consumo'!M578</f>
        <v>3.1.6.002 - Pneus e peças</v>
      </c>
      <c r="K578" s="32" t="str">
        <f aca="false">INDEX('Curva ABC'!$K$8:$K$2847,MATCH(D578,'Curva ABC'!$B$8:$B$2847,0))</f>
        <v>B</v>
      </c>
    </row>
    <row r="579" customFormat="false" ht="15" hidden="false" customHeight="false" outlineLevel="0" collapsed="false">
      <c r="A579" s="34" t="s">
        <v>5799</v>
      </c>
      <c r="B579" s="34" t="str">
        <f aca="false">'Uso e Consumo'!A579</f>
        <v>0335</v>
      </c>
      <c r="C579" s="34" t="str">
        <f aca="false">'Uso e Consumo'!B579</f>
        <v>UFV NORONHA VERDE - USO E CONSUMO</v>
      </c>
      <c r="D579" s="33" t="n">
        <f aca="false">'Uso e Consumo'!C579</f>
        <v>19787</v>
      </c>
      <c r="E579" s="34" t="str">
        <f aca="false">'Uso e Consumo'!D579</f>
        <v>30.03.0060</v>
      </c>
      <c r="F579" s="34" t="str">
        <f aca="false">'Uso e Consumo'!E579</f>
        <v>PAPEL HIGIENICO ROLÃO BRANCO 300,00M FARDO 8ROLOS</v>
      </c>
      <c r="G579" s="34" t="str">
        <f aca="false">'Uso e Consumo'!J579</f>
        <v>UN</v>
      </c>
      <c r="H579" s="49" t="n">
        <f aca="false">'Uso e Consumo'!F579</f>
        <v>50</v>
      </c>
      <c r="I579" s="35" t="n">
        <f aca="false">'Uso e Consumo'!G579</f>
        <v>2420</v>
      </c>
      <c r="J579" s="34" t="str">
        <f aca="false">'Uso e Consumo'!M579</f>
        <v>4.1.1.003 - Material limpeza</v>
      </c>
      <c r="K579" s="32" t="str">
        <f aca="false">INDEX('Curva ABC'!$K$8:$K$2847,MATCH(D579,'Curva ABC'!$B$8:$B$2847,0))</f>
        <v>B</v>
      </c>
    </row>
    <row r="580" customFormat="false" ht="15" hidden="false" customHeight="false" outlineLevel="0" collapsed="false">
      <c r="A580" s="34" t="s">
        <v>5799</v>
      </c>
      <c r="B580" s="34" t="str">
        <f aca="false">'Uso e Consumo'!A580</f>
        <v>0335</v>
      </c>
      <c r="C580" s="34" t="str">
        <f aca="false">'Uso e Consumo'!B580</f>
        <v>UFV NORONHA VERDE - USO E CONSUMO</v>
      </c>
      <c r="D580" s="33" t="n">
        <f aca="false">'Uso e Consumo'!C580</f>
        <v>747839</v>
      </c>
      <c r="E580" s="34" t="str">
        <f aca="false">'Uso e Consumo'!D580</f>
        <v>24.07.0026</v>
      </c>
      <c r="F580" s="34" t="str">
        <f aca="false">'Uso e Consumo'!E580</f>
        <v>TRENA A LASER 50M</v>
      </c>
      <c r="G580" s="34" t="str">
        <f aca="false">'Uso e Consumo'!J580</f>
        <v>UN</v>
      </c>
      <c r="H580" s="49" t="n">
        <f aca="false">'Uso e Consumo'!F580</f>
        <v>5</v>
      </c>
      <c r="I580" s="35" t="n">
        <f aca="false">'Uso e Consumo'!G580</f>
        <v>2409.97</v>
      </c>
      <c r="J580" s="34" t="str">
        <f aca="false">'Uso e Consumo'!M580</f>
        <v>3.8.2.001 - Ferramentas medição/aferição</v>
      </c>
      <c r="K580" s="32" t="str">
        <f aca="false">INDEX('Curva ABC'!$K$8:$K$2847,MATCH(D580,'Curva ABC'!$B$8:$B$2847,0))</f>
        <v>B</v>
      </c>
    </row>
    <row r="581" customFormat="false" ht="15" hidden="false" customHeight="false" outlineLevel="0" collapsed="false">
      <c r="A581" s="34" t="s">
        <v>5799</v>
      </c>
      <c r="B581" s="34" t="str">
        <f aca="false">'Uso e Consumo'!A581</f>
        <v>0335</v>
      </c>
      <c r="C581" s="34" t="str">
        <f aca="false">'Uso e Consumo'!B581</f>
        <v>UFV NORONHA VERDE - USO E CONSUMO</v>
      </c>
      <c r="D581" s="33" t="n">
        <f aca="false">'Uso e Consumo'!C581</f>
        <v>888891</v>
      </c>
      <c r="E581" s="34" t="str">
        <f aca="false">'Uso e Consumo'!D581</f>
        <v>30.01.0729</v>
      </c>
      <c r="F581" s="34" t="str">
        <f aca="false">'Uso e Consumo'!E581</f>
        <v>BOBINA DE FIO DE NYLON QUADRADO 3,3MM X 228MM PARA ROÇADEIRA STIHL</v>
      </c>
      <c r="G581" s="34" t="str">
        <f aca="false">'Uso e Consumo'!J581</f>
        <v>BO</v>
      </c>
      <c r="H581" s="49" t="n">
        <f aca="false">'Uso e Consumo'!F581</f>
        <v>2</v>
      </c>
      <c r="I581" s="35" t="n">
        <f aca="false">'Uso e Consumo'!G581</f>
        <v>2402.4</v>
      </c>
      <c r="J581" s="34" t="str">
        <f aca="false">'Uso e Consumo'!M581</f>
        <v>4.1.1.001 - Material de uso e consumo</v>
      </c>
      <c r="K581" s="32" t="str">
        <f aca="false">INDEX('Curva ABC'!$K$8:$K$2847,MATCH(D581,'Curva ABC'!$B$8:$B$2847,0))</f>
        <v>B</v>
      </c>
    </row>
    <row r="582" customFormat="false" ht="15" hidden="false" customHeight="false" outlineLevel="0" collapsed="false">
      <c r="A582" s="34" t="s">
        <v>5799</v>
      </c>
      <c r="B582" s="34" t="str">
        <f aca="false">'Uso e Consumo'!A582</f>
        <v>0335</v>
      </c>
      <c r="C582" s="34" t="str">
        <f aca="false">'Uso e Consumo'!B582</f>
        <v>UFV NORONHA VERDE - USO E CONSUMO</v>
      </c>
      <c r="D582" s="33" t="n">
        <f aca="false">'Uso e Consumo'!C582</f>
        <v>1330449</v>
      </c>
      <c r="E582" s="34" t="str">
        <f aca="false">'Uso e Consumo'!D582</f>
        <v>18.01.1587</v>
      </c>
      <c r="F582" s="34" t="str">
        <f aca="false">'Uso e Consumo'!E582</f>
        <v>TÊ DE REDUÇÃO SOLDÁVEL 50 X 20 MM PVC </v>
      </c>
      <c r="G582" s="34" t="str">
        <f aca="false">'Uso e Consumo'!J582</f>
        <v>UN</v>
      </c>
      <c r="H582" s="49" t="n">
        <f aca="false">'Uso e Consumo'!F582</f>
        <v>130</v>
      </c>
      <c r="I582" s="35" t="n">
        <f aca="false">'Uso e Consumo'!G582</f>
        <v>2401.25</v>
      </c>
      <c r="J582" s="34" t="str">
        <f aca="false">'Uso e Consumo'!M582</f>
        <v>3.8.1.018 - Instalações hidráulicas/sanitárias/industriais</v>
      </c>
      <c r="K582" s="32" t="str">
        <f aca="false">INDEX('Curva ABC'!$K$8:$K$2847,MATCH(D582,'Curva ABC'!$B$8:$B$2847,0))</f>
        <v>B</v>
      </c>
    </row>
    <row r="583" customFormat="false" ht="15" hidden="false" customHeight="false" outlineLevel="0" collapsed="false">
      <c r="A583" s="34" t="s">
        <v>5799</v>
      </c>
      <c r="B583" s="34" t="str">
        <f aca="false">'Uso e Consumo'!A583</f>
        <v>0335</v>
      </c>
      <c r="C583" s="34" t="str">
        <f aca="false">'Uso e Consumo'!B583</f>
        <v>UFV NORONHA VERDE - USO E CONSUMO</v>
      </c>
      <c r="D583" s="33" t="n">
        <f aca="false">'Uso e Consumo'!C583</f>
        <v>18803</v>
      </c>
      <c r="E583" s="34" t="str">
        <f aca="false">'Uso e Consumo'!D583</f>
        <v>26.02.0007</v>
      </c>
      <c r="F583" s="34" t="str">
        <f aca="false">'Uso e Consumo'!E583</f>
        <v>BOTINA DE COURO CANO CURTO C/ ELÁSTICO - COR PRETA -  Nº 39 (CA-25259/28026/28509/29258)</v>
      </c>
      <c r="G583" s="34" t="str">
        <f aca="false">'Uso e Consumo'!J583</f>
        <v>PAR</v>
      </c>
      <c r="H583" s="49" t="n">
        <f aca="false">'Uso e Consumo'!F583</f>
        <v>30</v>
      </c>
      <c r="I583" s="35" t="n">
        <f aca="false">'Uso e Consumo'!G583</f>
        <v>2400</v>
      </c>
      <c r="J583" s="34" t="str">
        <f aca="false">'Uso e Consumo'!M583</f>
        <v>4.3.4.001 - Equipamento de proteção individual</v>
      </c>
      <c r="K583" s="32" t="str">
        <f aca="false">INDEX('Curva ABC'!$K$8:$K$2847,MATCH(D583,'Curva ABC'!$B$8:$B$2847,0))</f>
        <v>B</v>
      </c>
    </row>
    <row r="584" customFormat="false" ht="15" hidden="false" customHeight="false" outlineLevel="0" collapsed="false">
      <c r="A584" s="34" t="s">
        <v>5799</v>
      </c>
      <c r="B584" s="34" t="str">
        <f aca="false">'Uso e Consumo'!A584</f>
        <v>0335</v>
      </c>
      <c r="C584" s="34" t="str">
        <f aca="false">'Uso e Consumo'!B584</f>
        <v>UFV NORONHA VERDE - USO E CONSUMO</v>
      </c>
      <c r="D584" s="33" t="n">
        <f aca="false">'Uso e Consumo'!C584</f>
        <v>18804</v>
      </c>
      <c r="E584" s="34" t="str">
        <f aca="false">'Uso e Consumo'!D584</f>
        <v>26.02.0008</v>
      </c>
      <c r="F584" s="34" t="str">
        <f aca="false">'Uso e Consumo'!E584</f>
        <v>BOTINA DE COURO CANO CURTO C/ ELÁSTICO - COR PRETA -  Nº 40 (CA-25259/28026/28509/29258)</v>
      </c>
      <c r="G584" s="34" t="str">
        <f aca="false">'Uso e Consumo'!J584</f>
        <v>PAR</v>
      </c>
      <c r="H584" s="49" t="n">
        <f aca="false">'Uso e Consumo'!F584</f>
        <v>30</v>
      </c>
      <c r="I584" s="35" t="n">
        <f aca="false">'Uso e Consumo'!G584</f>
        <v>2400</v>
      </c>
      <c r="J584" s="34" t="str">
        <f aca="false">'Uso e Consumo'!M584</f>
        <v>4.3.4.001 - Equipamento de proteção individual</v>
      </c>
      <c r="K584" s="32" t="str">
        <f aca="false">INDEX('Curva ABC'!$K$8:$K$2847,MATCH(D584,'Curva ABC'!$B$8:$B$2847,0))</f>
        <v>B</v>
      </c>
    </row>
    <row r="585" customFormat="false" ht="15" hidden="false" customHeight="false" outlineLevel="0" collapsed="false">
      <c r="A585" s="34" t="s">
        <v>5799</v>
      </c>
      <c r="B585" s="34" t="str">
        <f aca="false">'Uso e Consumo'!A585</f>
        <v>0335</v>
      </c>
      <c r="C585" s="34" t="str">
        <f aca="false">'Uso e Consumo'!B585</f>
        <v>UFV NORONHA VERDE - USO E CONSUMO</v>
      </c>
      <c r="D585" s="33" t="n">
        <f aca="false">'Uso e Consumo'!C585</f>
        <v>56166</v>
      </c>
      <c r="E585" s="34" t="str">
        <f aca="false">'Uso e Consumo'!D585</f>
        <v>17.05.0049</v>
      </c>
      <c r="F585" s="34" t="str">
        <f aca="false">'Uso e Consumo'!E585</f>
        <v>CAIXA CONDULETE 6 ENTRADAS PVC - 3/4”,1/2” e 1” CINZA</v>
      </c>
      <c r="G585" s="34" t="str">
        <f aca="false">'Uso e Consumo'!J585</f>
        <v>UN</v>
      </c>
      <c r="H585" s="49" t="n">
        <f aca="false">'Uso e Consumo'!F585</f>
        <v>91</v>
      </c>
      <c r="I585" s="35" t="n">
        <f aca="false">'Uso e Consumo'!G585</f>
        <v>2372.6</v>
      </c>
      <c r="J585" s="34" t="str">
        <f aca="false">'Uso e Consumo'!M585</f>
        <v>3.8.1.017 - Instalações elétricas/telefônicas/lógica</v>
      </c>
      <c r="K585" s="32" t="str">
        <f aca="false">INDEX('Curva ABC'!$K$8:$K$2847,MATCH(D585,'Curva ABC'!$B$8:$B$2847,0))</f>
        <v>B</v>
      </c>
    </row>
    <row r="586" customFormat="false" ht="15" hidden="false" customHeight="false" outlineLevel="0" collapsed="false">
      <c r="A586" s="34" t="s">
        <v>5799</v>
      </c>
      <c r="B586" s="34" t="str">
        <f aca="false">'Uso e Consumo'!A586</f>
        <v>0335</v>
      </c>
      <c r="C586" s="34" t="str">
        <f aca="false">'Uso e Consumo'!B586</f>
        <v>UFV NORONHA VERDE - USO E CONSUMO</v>
      </c>
      <c r="D586" s="33" t="n">
        <f aca="false">'Uso e Consumo'!C586</f>
        <v>1470935</v>
      </c>
      <c r="E586" s="34" t="str">
        <f aca="false">'Uso e Consumo'!D586</f>
        <v>18.01.1657</v>
      </c>
      <c r="F586" s="34" t="str">
        <f aca="false">'Uso e Consumo'!E586</f>
        <v>TUBO PEAD CORRUGADO NÃO PERFURADO P/ DRENAGEM 150 MM</v>
      </c>
      <c r="G586" s="34" t="str">
        <f aca="false">'Uso e Consumo'!J586</f>
        <v>M</v>
      </c>
      <c r="H586" s="49" t="n">
        <f aca="false">'Uso e Consumo'!F586</f>
        <v>18</v>
      </c>
      <c r="I586" s="35" t="n">
        <f aca="false">'Uso e Consumo'!G586</f>
        <v>2370</v>
      </c>
      <c r="J586" s="34" t="str">
        <f aca="false">'Uso e Consumo'!M586</f>
        <v>3.8.1.018 - Instalações hidráulicas/sanitárias/industriais</v>
      </c>
      <c r="K586" s="32" t="str">
        <f aca="false">INDEX('Curva ABC'!$K$8:$K$2847,MATCH(D586,'Curva ABC'!$B$8:$B$2847,0))</f>
        <v>B</v>
      </c>
    </row>
    <row r="587" customFormat="false" ht="15" hidden="false" customHeight="false" outlineLevel="0" collapsed="false">
      <c r="A587" s="34" t="s">
        <v>5799</v>
      </c>
      <c r="B587" s="34" t="str">
        <f aca="false">'Uso e Consumo'!A587</f>
        <v>0335</v>
      </c>
      <c r="C587" s="34" t="str">
        <f aca="false">'Uso e Consumo'!B587</f>
        <v>UFV NORONHA VERDE - USO E CONSUMO</v>
      </c>
      <c r="D587" s="33" t="n">
        <f aca="false">'Uso e Consumo'!C587</f>
        <v>1475226</v>
      </c>
      <c r="E587" s="34" t="str">
        <f aca="false">'Uso e Consumo'!D587</f>
        <v>17.02.0907</v>
      </c>
      <c r="F587" s="34" t="str">
        <f aca="false">'Uso e Consumo'!E587</f>
        <v>CONECTOR MACHO FIXO ELETRODUTO FLEX. Ø1.1/2" BSP C/ PORCA</v>
      </c>
      <c r="G587" s="34" t="str">
        <f aca="false">'Uso e Consumo'!J587</f>
        <v>UN</v>
      </c>
      <c r="H587" s="49" t="n">
        <f aca="false">'Uso e Consumo'!F587</f>
        <v>84</v>
      </c>
      <c r="I587" s="35" t="n">
        <f aca="false">'Uso e Consumo'!G587</f>
        <v>2367.96</v>
      </c>
      <c r="J587" s="34" t="str">
        <f aca="false">'Uso e Consumo'!M587</f>
        <v>3.8.1.017 - Instalações elétricas/telefônicas/lógica</v>
      </c>
      <c r="K587" s="32" t="str">
        <f aca="false">INDEX('Curva ABC'!$K$8:$K$2847,MATCH(D587,'Curva ABC'!$B$8:$B$2847,0))</f>
        <v>B</v>
      </c>
    </row>
    <row r="588" customFormat="false" ht="15" hidden="false" customHeight="false" outlineLevel="0" collapsed="false">
      <c r="A588" s="34" t="s">
        <v>5799</v>
      </c>
      <c r="B588" s="34" t="str">
        <f aca="false">'Uso e Consumo'!A588</f>
        <v>0335</v>
      </c>
      <c r="C588" s="34" t="str">
        <f aca="false">'Uso e Consumo'!B588</f>
        <v>UFV NORONHA VERDE - USO E CONSUMO</v>
      </c>
      <c r="D588" s="33" t="n">
        <f aca="false">'Uso e Consumo'!C588</f>
        <v>18848</v>
      </c>
      <c r="E588" s="34" t="str">
        <f aca="false">'Uso e Consumo'!D588</f>
        <v>26.03.0008</v>
      </c>
      <c r="F588" s="34" t="str">
        <f aca="false">'Uso e Consumo'!E588</f>
        <v>CAPACETE COM ABA FRONTAL (TIPO II) C/ CARNEIRA - COR BRANCA (CA-498/8304)</v>
      </c>
      <c r="G588" s="34" t="str">
        <f aca="false">'Uso e Consumo'!J588</f>
        <v>UN</v>
      </c>
      <c r="H588" s="49" t="n">
        <f aca="false">'Uso e Consumo'!F588</f>
        <v>55</v>
      </c>
      <c r="I588" s="35" t="n">
        <f aca="false">'Uso e Consumo'!G588</f>
        <v>2365.62</v>
      </c>
      <c r="J588" s="34" t="str">
        <f aca="false">'Uso e Consumo'!M588</f>
        <v>4.3.4.001 - Equipamento de proteção individual</v>
      </c>
      <c r="K588" s="32" t="str">
        <f aca="false">INDEX('Curva ABC'!$K$8:$K$2847,MATCH(D588,'Curva ABC'!$B$8:$B$2847,0))</f>
        <v>B</v>
      </c>
    </row>
    <row r="589" customFormat="false" ht="15" hidden="false" customHeight="false" outlineLevel="0" collapsed="false">
      <c r="A589" s="34" t="s">
        <v>5799</v>
      </c>
      <c r="B589" s="34" t="str">
        <f aca="false">'Uso e Consumo'!A589</f>
        <v>0335</v>
      </c>
      <c r="C589" s="34" t="str">
        <f aca="false">'Uso e Consumo'!B589</f>
        <v>UFV NORONHA VERDE - USO E CONSUMO</v>
      </c>
      <c r="D589" s="33" t="n">
        <f aca="false">'Uso e Consumo'!C589</f>
        <v>1613373</v>
      </c>
      <c r="E589" s="34" t="str">
        <f aca="false">'Uso e Consumo'!D589</f>
        <v>17.08.0250</v>
      </c>
      <c r="F589" s="34" t="str">
        <f aca="false">'Uso e Consumo'!E589</f>
        <v>QUADRO METALICO 30 DISJUNTORES CM BARRAMENTOS DE NEUTRO E TERRA E BARRAMENTO TRIFASICO DE FASE CM CAPACIDADE DE 350A</v>
      </c>
      <c r="G589" s="34" t="str">
        <f aca="false">'Uso e Consumo'!J589</f>
        <v>UN</v>
      </c>
      <c r="H589" s="49" t="n">
        <f aca="false">'Uso e Consumo'!F589</f>
        <v>2</v>
      </c>
      <c r="I589" s="35" t="n">
        <f aca="false">'Uso e Consumo'!G589</f>
        <v>2363.1</v>
      </c>
      <c r="J589" s="34" t="str">
        <f aca="false">'Uso e Consumo'!M589</f>
        <v>3.8.1.017 - Instalações elétricas/telefônicas/lógica</v>
      </c>
      <c r="K589" s="32" t="str">
        <f aca="false">INDEX('Curva ABC'!$K$8:$K$2847,MATCH(D589,'Curva ABC'!$B$8:$B$2847,0))</f>
        <v>B</v>
      </c>
    </row>
    <row r="590" customFormat="false" ht="15" hidden="false" customHeight="false" outlineLevel="0" collapsed="false">
      <c r="A590" s="34" t="s">
        <v>5799</v>
      </c>
      <c r="B590" s="34" t="str">
        <f aca="false">'Uso e Consumo'!A590</f>
        <v>0335</v>
      </c>
      <c r="C590" s="34" t="str">
        <f aca="false">'Uso e Consumo'!B590</f>
        <v>UFV NORONHA VERDE - USO E CONSUMO</v>
      </c>
      <c r="D590" s="33" t="n">
        <f aca="false">'Uso e Consumo'!C590</f>
        <v>22855</v>
      </c>
      <c r="E590" s="34" t="str">
        <f aca="false">'Uso e Consumo'!D590</f>
        <v>17.21.0004</v>
      </c>
      <c r="F590" s="34" t="str">
        <f aca="false">'Uso e Consumo'!E590</f>
        <v>SECCIONADOR PREFORMADO PARA CERCA ISOLADO 35 KV</v>
      </c>
      <c r="G590" s="34" t="str">
        <f aca="false">'Uso e Consumo'!J590</f>
        <v>UN</v>
      </c>
      <c r="H590" s="49" t="n">
        <f aca="false">'Uso e Consumo'!F590</f>
        <v>87</v>
      </c>
      <c r="I590" s="35" t="n">
        <f aca="false">'Uso e Consumo'!G590</f>
        <v>2347.26</v>
      </c>
      <c r="J590" s="34" t="str">
        <f aca="false">'Uso e Consumo'!M590</f>
        <v>3.8.1.017 - Instalações elétricas/telefônicas/lógica</v>
      </c>
      <c r="K590" s="32" t="str">
        <f aca="false">INDEX('Curva ABC'!$K$8:$K$2847,MATCH(D590,'Curva ABC'!$B$8:$B$2847,0))</f>
        <v>B</v>
      </c>
    </row>
    <row r="591" customFormat="false" ht="15" hidden="false" customHeight="false" outlineLevel="0" collapsed="false">
      <c r="A591" s="34" t="s">
        <v>5799</v>
      </c>
      <c r="B591" s="34" t="str">
        <f aca="false">'Uso e Consumo'!A591</f>
        <v>0335</v>
      </c>
      <c r="C591" s="34" t="str">
        <f aca="false">'Uso e Consumo'!B591</f>
        <v>UFV NORONHA VERDE - USO E CONSUMO</v>
      </c>
      <c r="D591" s="33" t="n">
        <f aca="false">'Uso e Consumo'!C591</f>
        <v>957399</v>
      </c>
      <c r="E591" s="34" t="str">
        <f aca="false">'Uso e Consumo'!D591</f>
        <v>30.03.0479</v>
      </c>
      <c r="F591" s="34" t="str">
        <f aca="false">'Uso e Consumo'!E591</f>
        <v>TAPETE ISOLANTE DE BORRACHA CLASSE II TAMANHO 2M X 1M</v>
      </c>
      <c r="G591" s="34" t="str">
        <f aca="false">'Uso e Consumo'!J591</f>
        <v>UN</v>
      </c>
      <c r="H591" s="49" t="n">
        <f aca="false">'Uso e Consumo'!F591</f>
        <v>4</v>
      </c>
      <c r="I591" s="35" t="n">
        <f aca="false">'Uso e Consumo'!G591</f>
        <v>2336.4</v>
      </c>
      <c r="J591" s="34" t="str">
        <f aca="false">'Uso e Consumo'!M591</f>
        <v>4.1.1.001 - Material de uso e consumo</v>
      </c>
      <c r="K591" s="32" t="str">
        <f aca="false">INDEX('Curva ABC'!$K$8:$K$2847,MATCH(D591,'Curva ABC'!$B$8:$B$2847,0))</f>
        <v>B</v>
      </c>
    </row>
    <row r="592" customFormat="false" ht="15" hidden="false" customHeight="false" outlineLevel="0" collapsed="false">
      <c r="A592" s="34" t="s">
        <v>5799</v>
      </c>
      <c r="B592" s="34" t="str">
        <f aca="false">'Uso e Consumo'!A592</f>
        <v>0335</v>
      </c>
      <c r="C592" s="34" t="str">
        <f aca="false">'Uso e Consumo'!B592</f>
        <v>UFV NORONHA VERDE - USO E CONSUMO</v>
      </c>
      <c r="D592" s="33" t="n">
        <f aca="false">'Uso e Consumo'!C592</f>
        <v>831920</v>
      </c>
      <c r="E592" s="34" t="str">
        <f aca="false">'Uso e Consumo'!D592</f>
        <v>26.02.0186</v>
      </c>
      <c r="F592" s="34" t="str">
        <f aca="false">'Uso e Consumo'!E592</f>
        <v>BOTINA FUJIWARA HESS C/BICO DE AÇO COMPOSITE E PALMILHA ANTIPERFURANTE CA 42330 N° 38</v>
      </c>
      <c r="G592" s="34" t="str">
        <f aca="false">'Uso e Consumo'!J592</f>
        <v>UN</v>
      </c>
      <c r="H592" s="49" t="n">
        <f aca="false">'Uso e Consumo'!F592</f>
        <v>24</v>
      </c>
      <c r="I592" s="35" t="n">
        <f aca="false">'Uso e Consumo'!G592</f>
        <v>2332.96</v>
      </c>
      <c r="J592" s="34" t="str">
        <f aca="false">'Uso e Consumo'!M592</f>
        <v>4.3.4.001 - Equipamento de proteção individual</v>
      </c>
      <c r="K592" s="32" t="str">
        <f aca="false">INDEX('Curva ABC'!$K$8:$K$2847,MATCH(D592,'Curva ABC'!$B$8:$B$2847,0))</f>
        <v>B</v>
      </c>
    </row>
    <row r="593" customFormat="false" ht="15" hidden="false" customHeight="false" outlineLevel="0" collapsed="false">
      <c r="A593" s="34" t="s">
        <v>5799</v>
      </c>
      <c r="B593" s="34" t="str">
        <f aca="false">'Uso e Consumo'!A593</f>
        <v>0335</v>
      </c>
      <c r="C593" s="34" t="str">
        <f aca="false">'Uso e Consumo'!B593</f>
        <v>UFV NORONHA VERDE - USO E CONSUMO</v>
      </c>
      <c r="D593" s="33" t="n">
        <f aca="false">'Uso e Consumo'!C593</f>
        <v>428731</v>
      </c>
      <c r="E593" s="34" t="str">
        <f aca="false">'Uso e Consumo'!D593</f>
        <v>30.03.0335</v>
      </c>
      <c r="F593" s="34" t="str">
        <f aca="false">'Uso e Consumo'!E593</f>
        <v>COLETORES COM 03 DIVISÓRIAS (PAPEL, PLASTICO E NÃO RECICLÁVEL)</v>
      </c>
      <c r="G593" s="34" t="str">
        <f aca="false">'Uso e Consumo'!J593</f>
        <v>UN</v>
      </c>
      <c r="H593" s="49" t="n">
        <f aca="false">'Uso e Consumo'!F593</f>
        <v>17</v>
      </c>
      <c r="I593" s="35" t="n">
        <f aca="false">'Uso e Consumo'!G593</f>
        <v>2329</v>
      </c>
      <c r="J593" s="34" t="str">
        <f aca="false">'Uso e Consumo'!M593</f>
        <v>4.1.1.003 - Material limpeza</v>
      </c>
      <c r="K593" s="32" t="str">
        <f aca="false">INDEX('Curva ABC'!$K$8:$K$2847,MATCH(D593,'Curva ABC'!$B$8:$B$2847,0))</f>
        <v>B</v>
      </c>
    </row>
    <row r="594" customFormat="false" ht="15" hidden="false" customHeight="false" outlineLevel="0" collapsed="false">
      <c r="A594" s="34" t="s">
        <v>5799</v>
      </c>
      <c r="B594" s="34" t="str">
        <f aca="false">'Uso e Consumo'!A594</f>
        <v>0335</v>
      </c>
      <c r="C594" s="34" t="str">
        <f aca="false">'Uso e Consumo'!B594</f>
        <v>UFV NORONHA VERDE - USO E CONSUMO</v>
      </c>
      <c r="D594" s="33" t="n">
        <f aca="false">'Uso e Consumo'!C594</f>
        <v>33618</v>
      </c>
      <c r="E594" s="34" t="str">
        <f aca="false">'Uso e Consumo'!D594</f>
        <v>30.08.0016</v>
      </c>
      <c r="F594" s="34" t="str">
        <f aca="false">'Uso e Consumo'!E594</f>
        <v>SACOLA PERSONALIZADA</v>
      </c>
      <c r="G594" s="34" t="str">
        <f aca="false">'Uso e Consumo'!J594</f>
        <v>UN</v>
      </c>
      <c r="H594" s="49" t="n">
        <f aca="false">'Uso e Consumo'!F594</f>
        <v>160</v>
      </c>
      <c r="I594" s="35" t="n">
        <f aca="false">'Uso e Consumo'!G594</f>
        <v>2323.4</v>
      </c>
      <c r="J594" s="34" t="str">
        <f aca="false">'Uso e Consumo'!M594</f>
        <v>4.6.1.003 - Brindes</v>
      </c>
      <c r="K594" s="32" t="str">
        <f aca="false">INDEX('Curva ABC'!$K$8:$K$2847,MATCH(D594,'Curva ABC'!$B$8:$B$2847,0))</f>
        <v>B</v>
      </c>
    </row>
    <row r="595" customFormat="false" ht="15" hidden="false" customHeight="false" outlineLevel="0" collapsed="false">
      <c r="A595" s="34" t="s">
        <v>5799</v>
      </c>
      <c r="B595" s="34" t="str">
        <f aca="false">'Uso e Consumo'!A595</f>
        <v>0335</v>
      </c>
      <c r="C595" s="34" t="str">
        <f aca="false">'Uso e Consumo'!B595</f>
        <v>UFV NORONHA VERDE - USO E CONSUMO</v>
      </c>
      <c r="D595" s="33" t="n">
        <f aca="false">'Uso e Consumo'!C595</f>
        <v>428624</v>
      </c>
      <c r="E595" s="34" t="str">
        <f aca="false">'Uso e Consumo'!D595</f>
        <v>30.04.0201</v>
      </c>
      <c r="F595" s="34" t="str">
        <f aca="false">'Uso e Consumo'!E595</f>
        <v>GARRAFA TÉRMICA DE PLÁSTICO 12L - ALÇA LATERAL</v>
      </c>
      <c r="G595" s="34" t="str">
        <f aca="false">'Uso e Consumo'!J595</f>
        <v>UN</v>
      </c>
      <c r="H595" s="49" t="n">
        <f aca="false">'Uso e Consumo'!F595</f>
        <v>15</v>
      </c>
      <c r="I595" s="35" t="n">
        <f aca="false">'Uso e Consumo'!G595</f>
        <v>2310</v>
      </c>
      <c r="J595" s="34" t="str">
        <f aca="false">'Uso e Consumo'!M595</f>
        <v>4.1.1.001 - Material de uso e consumo</v>
      </c>
      <c r="K595" s="32" t="str">
        <f aca="false">INDEX('Curva ABC'!$K$8:$K$2847,MATCH(D595,'Curva ABC'!$B$8:$B$2847,0))</f>
        <v>B</v>
      </c>
    </row>
    <row r="596" customFormat="false" ht="15" hidden="false" customHeight="false" outlineLevel="0" collapsed="false">
      <c r="A596" s="34" t="s">
        <v>5799</v>
      </c>
      <c r="B596" s="34" t="str">
        <f aca="false">'Uso e Consumo'!A596</f>
        <v>0335</v>
      </c>
      <c r="C596" s="34" t="str">
        <f aca="false">'Uso e Consumo'!B596</f>
        <v>UFV NORONHA VERDE - USO E CONSUMO</v>
      </c>
      <c r="D596" s="33" t="n">
        <f aca="false">'Uso e Consumo'!C596</f>
        <v>1674336</v>
      </c>
      <c r="E596" s="34" t="str">
        <f aca="false">'Uso e Consumo'!D596</f>
        <v>13.02.0381</v>
      </c>
      <c r="F596" s="34" t="str">
        <f aca="false">'Uso e Consumo'!E596</f>
        <v>JANELA DE CORRER DE DUAS FOLHAS EM ALUMINIO COM PINTURA ELETROSTATICA PRETA E VIDRO LISO INCOLOR 6 MM (1,50 X 1,00 M)</v>
      </c>
      <c r="G596" s="34" t="str">
        <f aca="false">'Uso e Consumo'!J596</f>
        <v>UN</v>
      </c>
      <c r="H596" s="49" t="n">
        <f aca="false">'Uso e Consumo'!F596</f>
        <v>2</v>
      </c>
      <c r="I596" s="35" t="n">
        <f aca="false">'Uso e Consumo'!G596</f>
        <v>2310</v>
      </c>
      <c r="J596" s="34" t="str">
        <f aca="false">'Uso e Consumo'!M596</f>
        <v>3.8.1.013 - Esquadrias e vidros</v>
      </c>
      <c r="K596" s="32" t="str">
        <f aca="false">INDEX('Curva ABC'!$K$8:$K$2847,MATCH(D596,'Curva ABC'!$B$8:$B$2847,0))</f>
        <v>B</v>
      </c>
    </row>
    <row r="597" customFormat="false" ht="15" hidden="false" customHeight="false" outlineLevel="0" collapsed="false">
      <c r="A597" s="34" t="s">
        <v>5799</v>
      </c>
      <c r="B597" s="34" t="str">
        <f aca="false">'Uso e Consumo'!A597</f>
        <v>0335</v>
      </c>
      <c r="C597" s="34" t="str">
        <f aca="false">'Uso e Consumo'!B597</f>
        <v>UFV NORONHA VERDE - USO E CONSUMO</v>
      </c>
      <c r="D597" s="33" t="n">
        <f aca="false">'Uso e Consumo'!C597</f>
        <v>220606</v>
      </c>
      <c r="E597" s="34" t="str">
        <f aca="false">'Uso e Consumo'!D597</f>
        <v>17.01.0710</v>
      </c>
      <c r="F597" s="34" t="str">
        <f aca="false">'Uso e Consumo'!E597</f>
        <v>CABO PP 2 X 2,5MM 1 KVA</v>
      </c>
      <c r="G597" s="34" t="str">
        <f aca="false">'Uso e Consumo'!J597</f>
        <v>M</v>
      </c>
      <c r="H597" s="49" t="n">
        <f aca="false">'Uso e Consumo'!F597</f>
        <v>100</v>
      </c>
      <c r="I597" s="35" t="n">
        <f aca="false">'Uso e Consumo'!G597</f>
        <v>2298</v>
      </c>
      <c r="J597" s="34" t="str">
        <f aca="false">'Uso e Consumo'!M597</f>
        <v>3.8.1.017 - Instalações elétricas/telefônicas/lógica</v>
      </c>
      <c r="K597" s="32" t="str">
        <f aca="false">INDEX('Curva ABC'!$K$8:$K$2847,MATCH(D597,'Curva ABC'!$B$8:$B$2847,0))</f>
        <v>B</v>
      </c>
    </row>
    <row r="598" customFormat="false" ht="15" hidden="false" customHeight="false" outlineLevel="0" collapsed="false">
      <c r="A598" s="34" t="s">
        <v>5799</v>
      </c>
      <c r="B598" s="34" t="str">
        <f aca="false">'Uso e Consumo'!A598</f>
        <v>0335</v>
      </c>
      <c r="C598" s="34" t="str">
        <f aca="false">'Uso e Consumo'!B598</f>
        <v>UFV NORONHA VERDE - USO E CONSUMO</v>
      </c>
      <c r="D598" s="33" t="n">
        <f aca="false">'Uso e Consumo'!C598</f>
        <v>1602800</v>
      </c>
      <c r="E598" s="34" t="str">
        <f aca="false">'Uso e Consumo'!D598</f>
        <v>29.02.0538</v>
      </c>
      <c r="F598" s="34" t="str">
        <f aca="false">'Uso e Consumo'!E598</f>
        <v>EXPOSITOR DE CELULAR ANTIFURTO DE PAREDE COM CABO DE ACO</v>
      </c>
      <c r="G598" s="34" t="str">
        <f aca="false">'Uso e Consumo'!J598</f>
        <v>UN</v>
      </c>
      <c r="H598" s="49" t="n">
        <f aca="false">'Uso e Consumo'!F598</f>
        <v>10</v>
      </c>
      <c r="I598" s="35" t="n">
        <f aca="false">'Uso e Consumo'!G598</f>
        <v>2298</v>
      </c>
      <c r="J598" s="34" t="str">
        <f aca="false">'Uso e Consumo'!M598</f>
        <v>4.1.1.008 - Mobiliário e acessórios</v>
      </c>
      <c r="K598" s="32" t="str">
        <f aca="false">INDEX('Curva ABC'!$K$8:$K$2847,MATCH(D598,'Curva ABC'!$B$8:$B$2847,0))</f>
        <v>B</v>
      </c>
    </row>
    <row r="599" customFormat="false" ht="15" hidden="false" customHeight="false" outlineLevel="0" collapsed="false">
      <c r="A599" s="34" t="s">
        <v>5799</v>
      </c>
      <c r="B599" s="34" t="str">
        <f aca="false">'Uso e Consumo'!A599</f>
        <v>0335</v>
      </c>
      <c r="C599" s="34" t="str">
        <f aca="false">'Uso e Consumo'!B599</f>
        <v>UFV NORONHA VERDE - USO E CONSUMO</v>
      </c>
      <c r="D599" s="33" t="n">
        <f aca="false">'Uso e Consumo'!C599</f>
        <v>19542</v>
      </c>
      <c r="E599" s="34" t="str">
        <f aca="false">'Uso e Consumo'!D599</f>
        <v>30.01.0262</v>
      </c>
      <c r="F599" s="34" t="str">
        <f aca="false">'Uso e Consumo'!E599</f>
        <v>PAPEL A3 BRANCO 297,00MM X 420,00MM 75G/M2 PCT 500FLS</v>
      </c>
      <c r="G599" s="34" t="str">
        <f aca="false">'Uso e Consumo'!J599</f>
        <v>UN</v>
      </c>
      <c r="H599" s="49" t="n">
        <f aca="false">'Uso e Consumo'!F599</f>
        <v>40</v>
      </c>
      <c r="I599" s="35" t="n">
        <f aca="false">'Uso e Consumo'!G599</f>
        <v>2282.22</v>
      </c>
      <c r="J599" s="34" t="str">
        <f aca="false">'Uso e Consumo'!M599</f>
        <v>4.1.1.002 - Material expediente</v>
      </c>
      <c r="K599" s="32" t="str">
        <f aca="false">INDEX('Curva ABC'!$K$8:$K$2847,MATCH(D599,'Curva ABC'!$B$8:$B$2847,0))</f>
        <v>B</v>
      </c>
    </row>
    <row r="600" customFormat="false" ht="15" hidden="false" customHeight="false" outlineLevel="0" collapsed="false">
      <c r="A600" s="34" t="s">
        <v>5799</v>
      </c>
      <c r="B600" s="34" t="str">
        <f aca="false">'Uso e Consumo'!A600</f>
        <v>0335</v>
      </c>
      <c r="C600" s="34" t="str">
        <f aca="false">'Uso e Consumo'!B600</f>
        <v>UFV NORONHA VERDE - USO E CONSUMO</v>
      </c>
      <c r="D600" s="33" t="n">
        <f aca="false">'Uso e Consumo'!C600</f>
        <v>1385182</v>
      </c>
      <c r="E600" s="34" t="str">
        <f aca="false">'Uso e Consumo'!D600</f>
        <v>17.07.0102</v>
      </c>
      <c r="F600" s="34" t="str">
        <f aca="false">'Uso e Consumo'!E600</f>
        <v>CAIXA PASSAGEM/LIGAÇÃO ALUMÍNIO N, 3 ENTRADAS 50 MM (1"), X, EXTERNA</v>
      </c>
      <c r="G600" s="34" t="str">
        <f aca="false">'Uso e Consumo'!J600</f>
        <v>UN</v>
      </c>
      <c r="H600" s="49" t="n">
        <f aca="false">'Uso e Consumo'!F600</f>
        <v>11</v>
      </c>
      <c r="I600" s="35" t="n">
        <f aca="false">'Uso e Consumo'!G600</f>
        <v>2277.88</v>
      </c>
      <c r="J600" s="34" t="str">
        <f aca="false">'Uso e Consumo'!M600</f>
        <v>3.8.1.017 - Instalações elétricas/telefônicas/lógica</v>
      </c>
      <c r="K600" s="32" t="str">
        <f aca="false">INDEX('Curva ABC'!$K$8:$K$2847,MATCH(D600,'Curva ABC'!$B$8:$B$2847,0))</f>
        <v>B</v>
      </c>
    </row>
    <row r="601" customFormat="false" ht="15" hidden="false" customHeight="false" outlineLevel="0" collapsed="false">
      <c r="A601" s="34" t="s">
        <v>5799</v>
      </c>
      <c r="B601" s="34" t="str">
        <f aca="false">'Uso e Consumo'!A601</f>
        <v>0335</v>
      </c>
      <c r="C601" s="34" t="str">
        <f aca="false">'Uso e Consumo'!B601</f>
        <v>UFV NORONHA VERDE - USO E CONSUMO</v>
      </c>
      <c r="D601" s="33" t="n">
        <f aca="false">'Uso e Consumo'!C601</f>
        <v>884888</v>
      </c>
      <c r="E601" s="34" t="str">
        <f aca="false">'Uso e Consumo'!D601</f>
        <v>26.06.0124</v>
      </c>
      <c r="F601" s="34" t="str">
        <f aca="false">'Uso e Consumo'!E601</f>
        <v>LUVA ANTIVIBRAÇÃO</v>
      </c>
      <c r="G601" s="34" t="str">
        <f aca="false">'Uso e Consumo'!J601</f>
        <v>PAR</v>
      </c>
      <c r="H601" s="49" t="n">
        <f aca="false">'Uso e Consumo'!F601</f>
        <v>35</v>
      </c>
      <c r="I601" s="35" t="n">
        <f aca="false">'Uso e Consumo'!G601</f>
        <v>2271.35</v>
      </c>
      <c r="J601" s="34" t="str">
        <f aca="false">'Uso e Consumo'!M601</f>
        <v>4.3.4.001 - Equipamento de proteção individual</v>
      </c>
      <c r="K601" s="32" t="str">
        <f aca="false">INDEX('Curva ABC'!$K$8:$K$2847,MATCH(D601,'Curva ABC'!$B$8:$B$2847,0))</f>
        <v>B</v>
      </c>
    </row>
    <row r="602" customFormat="false" ht="15" hidden="false" customHeight="false" outlineLevel="0" collapsed="false">
      <c r="A602" s="34" t="s">
        <v>5799</v>
      </c>
      <c r="B602" s="34" t="str">
        <f aca="false">'Uso e Consumo'!A602</f>
        <v>0335</v>
      </c>
      <c r="C602" s="34" t="str">
        <f aca="false">'Uso e Consumo'!B602</f>
        <v>UFV NORONHA VERDE - USO E CONSUMO</v>
      </c>
      <c r="D602" s="33" t="n">
        <f aca="false">'Uso e Consumo'!C602</f>
        <v>1387011</v>
      </c>
      <c r="E602" s="34" t="str">
        <f aca="false">'Uso e Consumo'!D602</f>
        <v>01.09.0386</v>
      </c>
      <c r="F602" s="34" t="str">
        <f aca="false">'Uso e Consumo'!E602</f>
        <v>CANTONEIRA L 50X50X3 - 2000MM</v>
      </c>
      <c r="G602" s="34" t="str">
        <f aca="false">'Uso e Consumo'!J602</f>
        <v>UN</v>
      </c>
      <c r="H602" s="49" t="n">
        <f aca="false">'Uso e Consumo'!F602</f>
        <v>12</v>
      </c>
      <c r="I602" s="35" t="n">
        <f aca="false">'Uso e Consumo'!G602</f>
        <v>2267.04</v>
      </c>
      <c r="J602" s="34" t="str">
        <f aca="false">'Uso e Consumo'!M602</f>
        <v>3.8.1.001 - Aços e trefilados</v>
      </c>
      <c r="K602" s="32" t="str">
        <f aca="false">INDEX('Curva ABC'!$K$8:$K$2847,MATCH(D602,'Curva ABC'!$B$8:$B$2847,0))</f>
        <v>B</v>
      </c>
    </row>
    <row r="603" customFormat="false" ht="15" hidden="false" customHeight="false" outlineLevel="0" collapsed="false">
      <c r="A603" s="34" t="s">
        <v>5799</v>
      </c>
      <c r="B603" s="34" t="str">
        <f aca="false">'Uso e Consumo'!A603</f>
        <v>0335</v>
      </c>
      <c r="C603" s="34" t="str">
        <f aca="false">'Uso e Consumo'!B603</f>
        <v>UFV NORONHA VERDE - USO E CONSUMO</v>
      </c>
      <c r="D603" s="33" t="n">
        <f aca="false">'Uso e Consumo'!C603</f>
        <v>879645</v>
      </c>
      <c r="E603" s="34" t="str">
        <f aca="false">'Uso e Consumo'!D603</f>
        <v>29.01.1264</v>
      </c>
      <c r="F603" s="34" t="str">
        <f aca="false">'Uso e Consumo'!E603</f>
        <v>HD 4TB SEAGATE</v>
      </c>
      <c r="G603" s="34" t="str">
        <f aca="false">'Uso e Consumo'!J603</f>
        <v>UN</v>
      </c>
      <c r="H603" s="49" t="n">
        <f aca="false">'Uso e Consumo'!F603</f>
        <v>3</v>
      </c>
      <c r="I603" s="35" t="n">
        <f aca="false">'Uso e Consumo'!G603</f>
        <v>2260.58</v>
      </c>
      <c r="J603" s="34" t="str">
        <f aca="false">'Uso e Consumo'!M603</f>
        <v>4.1.1.007 - Equipamentos e acessórios para informática</v>
      </c>
      <c r="K603" s="32" t="str">
        <f aca="false">INDEX('Curva ABC'!$K$8:$K$2847,MATCH(D603,'Curva ABC'!$B$8:$B$2847,0))</f>
        <v>B</v>
      </c>
    </row>
    <row r="604" customFormat="false" ht="15" hidden="false" customHeight="false" outlineLevel="0" collapsed="false">
      <c r="A604" s="34" t="s">
        <v>5799</v>
      </c>
      <c r="B604" s="34" t="str">
        <f aca="false">'Uso e Consumo'!A604</f>
        <v>0335</v>
      </c>
      <c r="C604" s="34" t="str">
        <f aca="false">'Uso e Consumo'!B604</f>
        <v>UFV NORONHA VERDE - USO E CONSUMO</v>
      </c>
      <c r="D604" s="33" t="n">
        <f aca="false">'Uso e Consumo'!C604</f>
        <v>1679660</v>
      </c>
      <c r="E604" s="34" t="str">
        <f aca="false">'Uso e Consumo'!D604</f>
        <v>16.03.0513</v>
      </c>
      <c r="F604" s="34" t="str">
        <f aca="false">'Uso e Consumo'!E604</f>
        <v>TINTA COR VERDE RAL 6037 (IBERDROLA GREEN)</v>
      </c>
      <c r="G604" s="34" t="str">
        <f aca="false">'Uso e Consumo'!J604</f>
        <v>UN</v>
      </c>
      <c r="H604" s="49" t="n">
        <f aca="false">'Uso e Consumo'!F604</f>
        <v>2</v>
      </c>
      <c r="I604" s="35" t="n">
        <f aca="false">'Uso e Consumo'!G604</f>
        <v>2257.26</v>
      </c>
      <c r="J604" s="34" t="str">
        <f aca="false">'Uso e Consumo'!M604</f>
        <v>3.8.1.016 - Pinturas</v>
      </c>
      <c r="K604" s="32" t="str">
        <f aca="false">INDEX('Curva ABC'!$K$8:$K$2847,MATCH(D604,'Curva ABC'!$B$8:$B$2847,0))</f>
        <v>B</v>
      </c>
    </row>
    <row r="605" customFormat="false" ht="15" hidden="false" customHeight="false" outlineLevel="0" collapsed="false">
      <c r="A605" s="34" t="s">
        <v>5799</v>
      </c>
      <c r="B605" s="34" t="str">
        <f aca="false">'Uso e Consumo'!A605</f>
        <v>0335</v>
      </c>
      <c r="C605" s="34" t="str">
        <f aca="false">'Uso e Consumo'!B605</f>
        <v>UFV NORONHA VERDE - USO E CONSUMO</v>
      </c>
      <c r="D605" s="33" t="n">
        <f aca="false">'Uso e Consumo'!C605</f>
        <v>33345</v>
      </c>
      <c r="E605" s="34" t="str">
        <f aca="false">'Uso e Consumo'!D605</f>
        <v>24.16.0005</v>
      </c>
      <c r="F605" s="34" t="str">
        <f aca="false">'Uso e Consumo'!E605</f>
        <v>ALAVANCA LISA REDONDA 1,80 M</v>
      </c>
      <c r="G605" s="34" t="str">
        <f aca="false">'Uso e Consumo'!J605</f>
        <v>UN</v>
      </c>
      <c r="H605" s="49" t="n">
        <f aca="false">'Uso e Consumo'!F605</f>
        <v>16</v>
      </c>
      <c r="I605" s="35" t="n">
        <f aca="false">'Uso e Consumo'!G605</f>
        <v>2250</v>
      </c>
      <c r="J605" s="34" t="str">
        <f aca="false">'Uso e Consumo'!M605</f>
        <v>3.8.2.002 - Ferramentas manuais</v>
      </c>
      <c r="K605" s="32" t="str">
        <f aca="false">INDEX('Curva ABC'!$K$8:$K$2847,MATCH(D605,'Curva ABC'!$B$8:$B$2847,0))</f>
        <v>B</v>
      </c>
    </row>
    <row r="606" customFormat="false" ht="15" hidden="false" customHeight="false" outlineLevel="0" collapsed="false">
      <c r="A606" s="34" t="s">
        <v>5799</v>
      </c>
      <c r="B606" s="34" t="str">
        <f aca="false">'Uso e Consumo'!A606</f>
        <v>0335</v>
      </c>
      <c r="C606" s="34" t="str">
        <f aca="false">'Uso e Consumo'!B606</f>
        <v>UFV NORONHA VERDE - USO E CONSUMO</v>
      </c>
      <c r="D606" s="33" t="n">
        <f aca="false">'Uso e Consumo'!C606</f>
        <v>16691</v>
      </c>
      <c r="E606" s="34" t="str">
        <f aca="false">'Uso e Consumo'!D606</f>
        <v>23.03.0003</v>
      </c>
      <c r="F606" s="34" t="str">
        <f aca="false">'Uso e Consumo'!E606</f>
        <v>PREGO COMUM C/CABECA AÇO TEMPERADO 1.1/2" X 13 REF 15 X 18</v>
      </c>
      <c r="G606" s="34" t="str">
        <f aca="false">'Uso e Consumo'!J606</f>
        <v>KG</v>
      </c>
      <c r="H606" s="49" t="n">
        <f aca="false">'Uso e Consumo'!F606</f>
        <v>50</v>
      </c>
      <c r="I606" s="35" t="n">
        <f aca="false">'Uso e Consumo'!G606</f>
        <v>2243.92</v>
      </c>
      <c r="J606" s="34" t="str">
        <f aca="false">'Uso e Consumo'!M606</f>
        <v>3.8.1.022 - Elementos de fixação</v>
      </c>
      <c r="K606" s="32" t="str">
        <f aca="false">INDEX('Curva ABC'!$K$8:$K$2847,MATCH(D606,'Curva ABC'!$B$8:$B$2847,0))</f>
        <v>B</v>
      </c>
    </row>
    <row r="607" customFormat="false" ht="15" hidden="false" customHeight="false" outlineLevel="0" collapsed="false">
      <c r="A607" s="34" t="s">
        <v>5799</v>
      </c>
      <c r="B607" s="34" t="str">
        <f aca="false">'Uso e Consumo'!A607</f>
        <v>0335</v>
      </c>
      <c r="C607" s="34" t="str">
        <f aca="false">'Uso e Consumo'!B607</f>
        <v>UFV NORONHA VERDE - USO E CONSUMO</v>
      </c>
      <c r="D607" s="33" t="n">
        <f aca="false">'Uso e Consumo'!C607</f>
        <v>55476</v>
      </c>
      <c r="E607" s="34" t="str">
        <f aca="false">'Uso e Consumo'!D607</f>
        <v>26.12.0045</v>
      </c>
      <c r="F607" s="34" t="str">
        <f aca="false">'Uso e Consumo'!E607</f>
        <v>CADEADO DE BLOQUEIO COM CENTRO REVESTIDO PLASTICO</v>
      </c>
      <c r="G607" s="34" t="str">
        <f aca="false">'Uso e Consumo'!J607</f>
        <v>UN</v>
      </c>
      <c r="H607" s="49" t="n">
        <f aca="false">'Uso e Consumo'!F607</f>
        <v>20</v>
      </c>
      <c r="I607" s="35" t="n">
        <f aca="false">'Uso e Consumo'!G607</f>
        <v>2240</v>
      </c>
      <c r="J607" s="34" t="str">
        <f aca="false">'Uso e Consumo'!M607</f>
        <v>4.3.4.002 - Equipamento de proteção e sinalização coletiva</v>
      </c>
      <c r="K607" s="32" t="str">
        <f aca="false">INDEX('Curva ABC'!$K$8:$K$2847,MATCH(D607,'Curva ABC'!$B$8:$B$2847,0))</f>
        <v>B</v>
      </c>
    </row>
    <row r="608" customFormat="false" ht="15" hidden="false" customHeight="false" outlineLevel="0" collapsed="false">
      <c r="A608" s="34" t="s">
        <v>5799</v>
      </c>
      <c r="B608" s="34" t="str">
        <f aca="false">'Uso e Consumo'!A608</f>
        <v>0335</v>
      </c>
      <c r="C608" s="34" t="str">
        <f aca="false">'Uso e Consumo'!B608</f>
        <v>UFV NORONHA VERDE - USO E CONSUMO</v>
      </c>
      <c r="D608" s="33" t="n">
        <f aca="false">'Uso e Consumo'!C608</f>
        <v>727450</v>
      </c>
      <c r="E608" s="34" t="str">
        <f aca="false">'Uso e Consumo'!D608</f>
        <v>26.02.0165</v>
      </c>
      <c r="F608" s="34" t="str">
        <f aca="false">'Uso e Consumo'!E608</f>
        <v>BOTA - CALÇADO DE SEGURANÇA TIPO COTURNO MOTOSSERISTA - CA 37533 Nº 40</v>
      </c>
      <c r="G608" s="34" t="str">
        <f aca="false">'Uso e Consumo'!J608</f>
        <v>UN</v>
      </c>
      <c r="H608" s="49" t="n">
        <f aca="false">'Uso e Consumo'!F608</f>
        <v>7</v>
      </c>
      <c r="I608" s="35" t="n">
        <f aca="false">'Uso e Consumo'!G608</f>
        <v>2232.85</v>
      </c>
      <c r="J608" s="34" t="str">
        <f aca="false">'Uso e Consumo'!M608</f>
        <v>4.3.4.001 - Equipamento de proteção individual</v>
      </c>
      <c r="K608" s="32" t="str">
        <f aca="false">INDEX('Curva ABC'!$K$8:$K$2847,MATCH(D608,'Curva ABC'!$B$8:$B$2847,0))</f>
        <v>B</v>
      </c>
    </row>
    <row r="609" customFormat="false" ht="15" hidden="false" customHeight="false" outlineLevel="0" collapsed="false">
      <c r="A609" s="34" t="s">
        <v>5799</v>
      </c>
      <c r="B609" s="34" t="str">
        <f aca="false">'Uso e Consumo'!A609</f>
        <v>0335</v>
      </c>
      <c r="C609" s="34" t="str">
        <f aca="false">'Uso e Consumo'!B609</f>
        <v>UFV NORONHA VERDE - USO E CONSUMO</v>
      </c>
      <c r="D609" s="33" t="n">
        <f aca="false">'Uso e Consumo'!C609</f>
        <v>1475039</v>
      </c>
      <c r="E609" s="34" t="str">
        <f aca="false">'Uso e Consumo'!D609</f>
        <v>23.05.0295</v>
      </c>
      <c r="F609" s="34" t="str">
        <f aca="false">'Uso e Consumo'!E609</f>
        <v>ARRUELA QUADRADA TIPO CUNHA, DE AÇO GALVANIZADO A FOGO, BITOLA M12</v>
      </c>
      <c r="G609" s="34" t="str">
        <f aca="false">'Uso e Consumo'!J609</f>
        <v>UN</v>
      </c>
      <c r="H609" s="49" t="n">
        <f aca="false">'Uso e Consumo'!F609</f>
        <v>150</v>
      </c>
      <c r="I609" s="35" t="n">
        <f aca="false">'Uso e Consumo'!G609</f>
        <v>2225.0096</v>
      </c>
      <c r="J609" s="34" t="str">
        <f aca="false">'Uso e Consumo'!M609</f>
        <v>3.8.1.022 - Elementos de fixação</v>
      </c>
      <c r="K609" s="32" t="str">
        <f aca="false">INDEX('Curva ABC'!$K$8:$K$2847,MATCH(D609,'Curva ABC'!$B$8:$B$2847,0))</f>
        <v>B</v>
      </c>
    </row>
    <row r="610" customFormat="false" ht="15" hidden="false" customHeight="false" outlineLevel="0" collapsed="false">
      <c r="A610" s="34" t="s">
        <v>5799</v>
      </c>
      <c r="B610" s="34" t="str">
        <f aca="false">'Uso e Consumo'!A610</f>
        <v>0335</v>
      </c>
      <c r="C610" s="34" t="str">
        <f aca="false">'Uso e Consumo'!B610</f>
        <v>UFV NORONHA VERDE - USO E CONSUMO</v>
      </c>
      <c r="D610" s="33" t="n">
        <f aca="false">'Uso e Consumo'!C610</f>
        <v>1384698</v>
      </c>
      <c r="E610" s="34" t="str">
        <f aca="false">'Uso e Consumo'!D610</f>
        <v>17.02.0868</v>
      </c>
      <c r="F610" s="34" t="str">
        <f aca="false">'Uso e Consumo'!E610</f>
        <v>CONECTOR TERMINAL RETO A COMPRESSÃO - TENSÃO 13,8 KV</v>
      </c>
      <c r="G610" s="34" t="str">
        <f aca="false">'Uso e Consumo'!J610</f>
        <v>UN</v>
      </c>
      <c r="H610" s="49" t="n">
        <f aca="false">'Uso e Consumo'!F610</f>
        <v>24</v>
      </c>
      <c r="I610" s="35" t="n">
        <f aca="false">'Uso e Consumo'!G610</f>
        <v>2218.8</v>
      </c>
      <c r="J610" s="34" t="str">
        <f aca="false">'Uso e Consumo'!M610</f>
        <v>3.8.1.017 - Instalações elétricas/telefônicas/lógica</v>
      </c>
      <c r="K610" s="32" t="str">
        <f aca="false">INDEX('Curva ABC'!$K$8:$K$2847,MATCH(D610,'Curva ABC'!$B$8:$B$2847,0))</f>
        <v>B</v>
      </c>
    </row>
    <row r="611" customFormat="false" ht="15" hidden="false" customHeight="false" outlineLevel="0" collapsed="false">
      <c r="A611" s="34" t="s">
        <v>5799</v>
      </c>
      <c r="B611" s="34" t="str">
        <f aca="false">'Uso e Consumo'!A611</f>
        <v>0335</v>
      </c>
      <c r="C611" s="34" t="str">
        <f aca="false">'Uso e Consumo'!B611</f>
        <v>UFV NORONHA VERDE - USO E CONSUMO</v>
      </c>
      <c r="D611" s="33" t="n">
        <f aca="false">'Uso e Consumo'!C611</f>
        <v>1386696</v>
      </c>
      <c r="E611" s="34" t="str">
        <f aca="false">'Uso e Consumo'!D611</f>
        <v>23.07.1582</v>
      </c>
      <c r="F611" s="34" t="str">
        <f aca="false">'Uso e Consumo'!E611</f>
        <v>PARAFUSO CABEÇA QUADRADA M16X125 C/ PORCA</v>
      </c>
      <c r="G611" s="34" t="str">
        <f aca="false">'Uso e Consumo'!J611</f>
        <v>UN</v>
      </c>
      <c r="H611" s="49" t="n">
        <f aca="false">'Uso e Consumo'!F611</f>
        <v>348</v>
      </c>
      <c r="I611" s="35" t="n">
        <f aca="false">'Uso e Consumo'!G611</f>
        <v>2209.68</v>
      </c>
      <c r="J611" s="34" t="str">
        <f aca="false">'Uso e Consumo'!M611</f>
        <v>3.8.1.022 - Elementos de fixação</v>
      </c>
      <c r="K611" s="32" t="str">
        <f aca="false">INDEX('Curva ABC'!$K$8:$K$2847,MATCH(D611,'Curva ABC'!$B$8:$B$2847,0))</f>
        <v>B</v>
      </c>
    </row>
    <row r="612" customFormat="false" ht="15" hidden="false" customHeight="false" outlineLevel="0" collapsed="false">
      <c r="A612" s="34" t="s">
        <v>5799</v>
      </c>
      <c r="B612" s="34" t="str">
        <f aca="false">'Uso e Consumo'!A612</f>
        <v>0335</v>
      </c>
      <c r="C612" s="34" t="str">
        <f aca="false">'Uso e Consumo'!B612</f>
        <v>UFV NORONHA VERDE - USO E CONSUMO</v>
      </c>
      <c r="D612" s="33" t="n">
        <f aca="false">'Uso e Consumo'!C612</f>
        <v>1318568</v>
      </c>
      <c r="E612" s="34" t="str">
        <f aca="false">'Uso e Consumo'!D612</f>
        <v>18.08.0222</v>
      </c>
      <c r="F612" s="34" t="str">
        <f aca="false">'Uso e Consumo'!E612</f>
        <v>CAIXA DE PASSAGEM E INSPEÇÃO DE ESGOTO - DN 100 - 20 CM X 25.8 CM X 25.8 CM</v>
      </c>
      <c r="G612" s="34" t="str">
        <f aca="false">'Uso e Consumo'!J612</f>
        <v>UN</v>
      </c>
      <c r="H612" s="49" t="n">
        <f aca="false">'Uso e Consumo'!F612</f>
        <v>6</v>
      </c>
      <c r="I612" s="35" t="n">
        <f aca="false">'Uso e Consumo'!G612</f>
        <v>2208</v>
      </c>
      <c r="J612" s="34" t="str">
        <f aca="false">'Uso e Consumo'!M612</f>
        <v>3.8.1.018 - Instalações hidráulicas/sanitárias/industriais</v>
      </c>
      <c r="K612" s="32" t="str">
        <f aca="false">INDEX('Curva ABC'!$K$8:$K$2847,MATCH(D612,'Curva ABC'!$B$8:$B$2847,0))</f>
        <v>B</v>
      </c>
    </row>
    <row r="613" customFormat="false" ht="15" hidden="false" customHeight="false" outlineLevel="0" collapsed="false">
      <c r="A613" s="34" t="s">
        <v>5799</v>
      </c>
      <c r="B613" s="34" t="str">
        <f aca="false">'Uso e Consumo'!A613</f>
        <v>0335</v>
      </c>
      <c r="C613" s="34" t="str">
        <f aca="false">'Uso e Consumo'!B613</f>
        <v>UFV NORONHA VERDE - USO E CONSUMO</v>
      </c>
      <c r="D613" s="33" t="n">
        <f aca="false">'Uso e Consumo'!C613</f>
        <v>143814</v>
      </c>
      <c r="E613" s="34" t="str">
        <f aca="false">'Uso e Consumo'!D613</f>
        <v>29.01.0566</v>
      </c>
      <c r="F613" s="34" t="str">
        <f aca="false">'Uso e Consumo'!E613</f>
        <v>RADIO COMUNICADOR PORTÁTIL</v>
      </c>
      <c r="G613" s="34" t="str">
        <f aca="false">'Uso e Consumo'!J613</f>
        <v>UN</v>
      </c>
      <c r="H613" s="49" t="n">
        <f aca="false">'Uso e Consumo'!F613</f>
        <v>10</v>
      </c>
      <c r="I613" s="35" t="n">
        <f aca="false">'Uso e Consumo'!G613</f>
        <v>2200</v>
      </c>
      <c r="J613" s="34" t="str">
        <f aca="false">'Uso e Consumo'!M613</f>
        <v>4.1.1.007 - Equipamentos e acessórios para informática</v>
      </c>
      <c r="K613" s="32" t="str">
        <f aca="false">INDEX('Curva ABC'!$K$8:$K$2847,MATCH(D613,'Curva ABC'!$B$8:$B$2847,0))</f>
        <v>B</v>
      </c>
    </row>
    <row r="614" customFormat="false" ht="15" hidden="false" customHeight="false" outlineLevel="0" collapsed="false">
      <c r="A614" s="34" t="s">
        <v>5799</v>
      </c>
      <c r="B614" s="34" t="str">
        <f aca="false">'Uso e Consumo'!A614</f>
        <v>0335</v>
      </c>
      <c r="C614" s="34" t="str">
        <f aca="false">'Uso e Consumo'!B614</f>
        <v>UFV NORONHA VERDE - USO E CONSUMO</v>
      </c>
      <c r="D614" s="33" t="n">
        <f aca="false">'Uso e Consumo'!C614</f>
        <v>935178</v>
      </c>
      <c r="E614" s="34" t="str">
        <f aca="false">'Uso e Consumo'!D614</f>
        <v>33.03.0204</v>
      </c>
      <c r="F614" s="34" t="str">
        <f aca="false">'Uso e Consumo'!E614</f>
        <v>CAMARA DE AR 12.5/80-18 TR15 MGM-520.010700</v>
      </c>
      <c r="G614" s="34" t="str">
        <f aca="false">'Uso e Consumo'!J614</f>
        <v>UN</v>
      </c>
      <c r="H614" s="49" t="n">
        <f aca="false">'Uso e Consumo'!F614</f>
        <v>10</v>
      </c>
      <c r="I614" s="35" t="n">
        <f aca="false">'Uso e Consumo'!G614</f>
        <v>2200</v>
      </c>
      <c r="J614" s="34" t="str">
        <f aca="false">'Uso e Consumo'!M614</f>
        <v>3.1.6.002 - Pneus e peças</v>
      </c>
      <c r="K614" s="32" t="str">
        <f aca="false">INDEX('Curva ABC'!$K$8:$K$2847,MATCH(D614,'Curva ABC'!$B$8:$B$2847,0))</f>
        <v>B</v>
      </c>
    </row>
    <row r="615" customFormat="false" ht="15" hidden="false" customHeight="false" outlineLevel="0" collapsed="false">
      <c r="A615" s="34" t="s">
        <v>5799</v>
      </c>
      <c r="B615" s="34" t="str">
        <f aca="false">'Uso e Consumo'!A615</f>
        <v>0335</v>
      </c>
      <c r="C615" s="34" t="str">
        <f aca="false">'Uso e Consumo'!B615</f>
        <v>UFV NORONHA VERDE - USO E CONSUMO</v>
      </c>
      <c r="D615" s="33" t="n">
        <f aca="false">'Uso e Consumo'!C615</f>
        <v>89690</v>
      </c>
      <c r="E615" s="34" t="str">
        <f aca="false">'Uso e Consumo'!D615</f>
        <v>30.03.0230</v>
      </c>
      <c r="F615" s="34" t="str">
        <f aca="false">'Uso e Consumo'!E615</f>
        <v>SACO PLÁSTICO LIXO 200,00L PRETO S/IMPRESSÃO C/50 UND</v>
      </c>
      <c r="G615" s="34" t="str">
        <f aca="false">'Uso e Consumo'!J615</f>
        <v>UN</v>
      </c>
      <c r="H615" s="49" t="n">
        <f aca="false">'Uso e Consumo'!F615</f>
        <v>61</v>
      </c>
      <c r="I615" s="35" t="n">
        <f aca="false">'Uso e Consumo'!G615</f>
        <v>2198</v>
      </c>
      <c r="J615" s="34" t="str">
        <f aca="false">'Uso e Consumo'!M615</f>
        <v>4.1.1.003 - Material limpeza</v>
      </c>
      <c r="K615" s="32" t="str">
        <f aca="false">INDEX('Curva ABC'!$K$8:$K$2847,MATCH(D615,'Curva ABC'!$B$8:$B$2847,0))</f>
        <v>B</v>
      </c>
    </row>
    <row r="616" customFormat="false" ht="15" hidden="false" customHeight="false" outlineLevel="0" collapsed="false">
      <c r="A616" s="34" t="s">
        <v>5799</v>
      </c>
      <c r="B616" s="34" t="str">
        <f aca="false">'Uso e Consumo'!A616</f>
        <v>0335</v>
      </c>
      <c r="C616" s="34" t="str">
        <f aca="false">'Uso e Consumo'!B616</f>
        <v>UFV NORONHA VERDE - USO E CONSUMO</v>
      </c>
      <c r="D616" s="33" t="n">
        <f aca="false">'Uso e Consumo'!C616</f>
        <v>1662402</v>
      </c>
      <c r="E616" s="34" t="str">
        <f aca="false">'Uso e Consumo'!D616</f>
        <v>01.09.0413</v>
      </c>
      <c r="F616" s="34" t="str">
        <f aca="false">'Uso e Consumo'!E616</f>
        <v>PERFIL "L" 50,8 (2") X 50,8 (2") X 600 MM  ACO GALV . A QUENTE ESP 6,35MM</v>
      </c>
      <c r="G616" s="34" t="str">
        <f aca="false">'Uso e Consumo'!J616</f>
        <v>UN</v>
      </c>
      <c r="H616" s="49" t="n">
        <f aca="false">'Uso e Consumo'!F616</f>
        <v>18</v>
      </c>
      <c r="I616" s="35" t="n">
        <f aca="false">'Uso e Consumo'!G616</f>
        <v>2193.08</v>
      </c>
      <c r="J616" s="34" t="str">
        <f aca="false">'Uso e Consumo'!M616</f>
        <v>3.8.1.001 - Aços e trefilados</v>
      </c>
      <c r="K616" s="32" t="str">
        <f aca="false">INDEX('Curva ABC'!$K$8:$K$2847,MATCH(D616,'Curva ABC'!$B$8:$B$2847,0))</f>
        <v>B</v>
      </c>
    </row>
    <row r="617" customFormat="false" ht="15" hidden="false" customHeight="false" outlineLevel="0" collapsed="false">
      <c r="A617" s="34" t="s">
        <v>5799</v>
      </c>
      <c r="B617" s="34" t="str">
        <f aca="false">'Uso e Consumo'!A617</f>
        <v>0335</v>
      </c>
      <c r="C617" s="34" t="str">
        <f aca="false">'Uso e Consumo'!B617</f>
        <v>UFV NORONHA VERDE - USO E CONSUMO</v>
      </c>
      <c r="D617" s="33" t="n">
        <f aca="false">'Uso e Consumo'!C617</f>
        <v>55062</v>
      </c>
      <c r="E617" s="34" t="str">
        <f aca="false">'Uso e Consumo'!D617</f>
        <v>17.10.0193</v>
      </c>
      <c r="F617" s="34" t="str">
        <f aca="false">'Uso e Consumo'!E617</f>
        <v>DISJUNTOR TRIFÁSICO 80A – 240/480V – 600VCA – 250 VCC NBR 60898</v>
      </c>
      <c r="G617" s="34" t="str">
        <f aca="false">'Uso e Consumo'!J617</f>
        <v>UN</v>
      </c>
      <c r="H617" s="49" t="n">
        <f aca="false">'Uso e Consumo'!F617</f>
        <v>6</v>
      </c>
      <c r="I617" s="35" t="n">
        <f aca="false">'Uso e Consumo'!G617</f>
        <v>2191.99</v>
      </c>
      <c r="J617" s="34" t="str">
        <f aca="false">'Uso e Consumo'!M617</f>
        <v>3.8.1.017 - Instalações elétricas/telefônicas/lógica</v>
      </c>
      <c r="K617" s="32" t="str">
        <f aca="false">INDEX('Curva ABC'!$K$8:$K$2847,MATCH(D617,'Curva ABC'!$B$8:$B$2847,0))</f>
        <v>B</v>
      </c>
    </row>
    <row r="618" customFormat="false" ht="15" hidden="false" customHeight="false" outlineLevel="0" collapsed="false">
      <c r="A618" s="34" t="s">
        <v>5799</v>
      </c>
      <c r="B618" s="34" t="str">
        <f aca="false">'Uso e Consumo'!A618</f>
        <v>0335</v>
      </c>
      <c r="C618" s="34" t="str">
        <f aca="false">'Uso e Consumo'!B618</f>
        <v>UFV NORONHA VERDE - USO E CONSUMO</v>
      </c>
      <c r="D618" s="33" t="n">
        <f aca="false">'Uso e Consumo'!C618</f>
        <v>18856</v>
      </c>
      <c r="E618" s="34" t="str">
        <f aca="false">'Uso e Consumo'!D618</f>
        <v>26.05.0002</v>
      </c>
      <c r="F618" s="34" t="str">
        <f aca="false">'Uso e Consumo'!E618</f>
        <v>ÓCULOS DE SEGURANÇA - LENTE INCOLOR (CA-18069/17038/18047/11268)</v>
      </c>
      <c r="G618" s="34" t="str">
        <f aca="false">'Uso e Consumo'!J618</f>
        <v>UN</v>
      </c>
      <c r="H618" s="49" t="n">
        <f aca="false">'Uso e Consumo'!F618</f>
        <v>645</v>
      </c>
      <c r="I618" s="35" t="n">
        <f aca="false">'Uso e Consumo'!G618</f>
        <v>2190.04</v>
      </c>
      <c r="J618" s="34" t="str">
        <f aca="false">'Uso e Consumo'!M618</f>
        <v>4.3.4.001 - Equipamento de proteção individual</v>
      </c>
      <c r="K618" s="32" t="str">
        <f aca="false">INDEX('Curva ABC'!$K$8:$K$2847,MATCH(D618,'Curva ABC'!$B$8:$B$2847,0))</f>
        <v>B</v>
      </c>
    </row>
    <row r="619" customFormat="false" ht="15" hidden="false" customHeight="false" outlineLevel="0" collapsed="false">
      <c r="A619" s="34" t="s">
        <v>5799</v>
      </c>
      <c r="B619" s="34" t="str">
        <f aca="false">'Uso e Consumo'!A619</f>
        <v>0335</v>
      </c>
      <c r="C619" s="34" t="str">
        <f aca="false">'Uso e Consumo'!B619</f>
        <v>UFV NORONHA VERDE - USO E CONSUMO</v>
      </c>
      <c r="D619" s="33" t="n">
        <f aca="false">'Uso e Consumo'!C619</f>
        <v>140520</v>
      </c>
      <c r="E619" s="34" t="str">
        <f aca="false">'Uso e Consumo'!D619</f>
        <v>17.20.0228</v>
      </c>
      <c r="F619" s="34" t="str">
        <f aca="false">'Uso e Consumo'!E619</f>
        <v>MOLDE PARA SOLDA EXOTÉRMICA - CABO X CABO 70MM2 "T"</v>
      </c>
      <c r="G619" s="34" t="str">
        <f aca="false">'Uso e Consumo'!J619</f>
        <v>UN</v>
      </c>
      <c r="H619" s="49" t="n">
        <f aca="false">'Uso e Consumo'!F619</f>
        <v>11</v>
      </c>
      <c r="I619" s="35" t="n">
        <f aca="false">'Uso e Consumo'!G619</f>
        <v>2189.84</v>
      </c>
      <c r="J619" s="34" t="str">
        <f aca="false">'Uso e Consumo'!M619</f>
        <v>3.8.1.017 - Instalações elétricas/telefônicas/lógica</v>
      </c>
      <c r="K619" s="32" t="str">
        <f aca="false">INDEX('Curva ABC'!$K$8:$K$2847,MATCH(D619,'Curva ABC'!$B$8:$B$2847,0))</f>
        <v>B</v>
      </c>
    </row>
    <row r="620" customFormat="false" ht="15" hidden="false" customHeight="false" outlineLevel="0" collapsed="false">
      <c r="A620" s="34" t="s">
        <v>5799</v>
      </c>
      <c r="B620" s="34" t="str">
        <f aca="false">'Uso e Consumo'!A620</f>
        <v>0335</v>
      </c>
      <c r="C620" s="34" t="str">
        <f aca="false">'Uso e Consumo'!B620</f>
        <v>UFV NORONHA VERDE - USO E CONSUMO</v>
      </c>
      <c r="D620" s="33" t="n">
        <f aca="false">'Uso e Consumo'!C620</f>
        <v>22263</v>
      </c>
      <c r="E620" s="34" t="str">
        <f aca="false">'Uso e Consumo'!D620</f>
        <v>29.03.0055</v>
      </c>
      <c r="F620" s="34" t="str">
        <f aca="false">'Uso e Consumo'!E620</f>
        <v>CAFETEIRA INDUSTRIAL INOX 8L</v>
      </c>
      <c r="G620" s="34" t="str">
        <f aca="false">'Uso e Consumo'!J620</f>
        <v>UN</v>
      </c>
      <c r="H620" s="49" t="n">
        <f aca="false">'Uso e Consumo'!F620</f>
        <v>2</v>
      </c>
      <c r="I620" s="35" t="n">
        <f aca="false">'Uso e Consumo'!G620</f>
        <v>2179.8</v>
      </c>
      <c r="J620" s="34" t="str">
        <f aca="false">'Uso e Consumo'!M620</f>
        <v>4.1.1.009 - Eletro eletrônico e acessórios</v>
      </c>
      <c r="K620" s="32" t="str">
        <f aca="false">INDEX('Curva ABC'!$K$8:$K$2847,MATCH(D620,'Curva ABC'!$B$8:$B$2847,0))</f>
        <v>B</v>
      </c>
    </row>
    <row r="621" customFormat="false" ht="15" hidden="false" customHeight="false" outlineLevel="0" collapsed="false">
      <c r="A621" s="34" t="s">
        <v>5799</v>
      </c>
      <c r="B621" s="34" t="str">
        <f aca="false">'Uso e Consumo'!A621</f>
        <v>0335</v>
      </c>
      <c r="C621" s="34" t="str">
        <f aca="false">'Uso e Consumo'!B621</f>
        <v>UFV NORONHA VERDE - USO E CONSUMO</v>
      </c>
      <c r="D621" s="33" t="n">
        <f aca="false">'Uso e Consumo'!C621</f>
        <v>141178</v>
      </c>
      <c r="E621" s="34" t="str">
        <f aca="false">'Uso e Consumo'!D621</f>
        <v>29.01.0548</v>
      </c>
      <c r="F621" s="34" t="str">
        <f aca="false">'Uso e Consumo'!E621</f>
        <v>MONITOR 24" LED FULL HD WIDESCREEN</v>
      </c>
      <c r="G621" s="34" t="str">
        <f aca="false">'Uso e Consumo'!J621</f>
        <v>UN</v>
      </c>
      <c r="H621" s="49" t="n">
        <f aca="false">'Uso e Consumo'!F621</f>
        <v>4</v>
      </c>
      <c r="I621" s="35" t="n">
        <f aca="false">'Uso e Consumo'!G621</f>
        <v>2166</v>
      </c>
      <c r="J621" s="34" t="str">
        <f aca="false">'Uso e Consumo'!M621</f>
        <v>4.1.1.007 - Equipamentos e acessórios para informática</v>
      </c>
      <c r="K621" s="32" t="str">
        <f aca="false">INDEX('Curva ABC'!$K$8:$K$2847,MATCH(D621,'Curva ABC'!$B$8:$B$2847,0))</f>
        <v>B</v>
      </c>
    </row>
    <row r="622" customFormat="false" ht="15" hidden="false" customHeight="false" outlineLevel="0" collapsed="false">
      <c r="A622" s="34" t="s">
        <v>5799</v>
      </c>
      <c r="B622" s="34" t="str">
        <f aca="false">'Uso e Consumo'!A622</f>
        <v>0335</v>
      </c>
      <c r="C622" s="34" t="str">
        <f aca="false">'Uso e Consumo'!B622</f>
        <v>UFV NORONHA VERDE - USO E CONSUMO</v>
      </c>
      <c r="D622" s="33" t="n">
        <f aca="false">'Uso e Consumo'!C622</f>
        <v>1609094</v>
      </c>
      <c r="E622" s="34" t="str">
        <f aca="false">'Uso e Consumo'!D622</f>
        <v>24.24.0127</v>
      </c>
      <c r="F622" s="34" t="str">
        <f aca="false">'Uso e Consumo'!E622</f>
        <v>CARREGADOR 18V 5.5AH</v>
      </c>
      <c r="G622" s="34" t="str">
        <f aca="false">'Uso e Consumo'!J622</f>
        <v>UN</v>
      </c>
      <c r="H622" s="49" t="n">
        <f aca="false">'Uso e Consumo'!F622</f>
        <v>6</v>
      </c>
      <c r="I622" s="35" t="n">
        <f aca="false">'Uso e Consumo'!G622</f>
        <v>2155.56</v>
      </c>
      <c r="J622" s="34" t="str">
        <f aca="false">'Uso e Consumo'!M622</f>
        <v>3.8.2.003 - Ferramentas elétricas/pneumáticas</v>
      </c>
      <c r="K622" s="32" t="str">
        <f aca="false">INDEX('Curva ABC'!$K$8:$K$2847,MATCH(D622,'Curva ABC'!$B$8:$B$2847,0))</f>
        <v>B</v>
      </c>
    </row>
    <row r="623" customFormat="false" ht="15" hidden="false" customHeight="false" outlineLevel="0" collapsed="false">
      <c r="A623" s="34" t="s">
        <v>5799</v>
      </c>
      <c r="B623" s="34" t="str">
        <f aca="false">'Uso e Consumo'!A623</f>
        <v>0335</v>
      </c>
      <c r="C623" s="34" t="str">
        <f aca="false">'Uso e Consumo'!B623</f>
        <v>UFV NORONHA VERDE - USO E CONSUMO</v>
      </c>
      <c r="D623" s="33" t="n">
        <f aca="false">'Uso e Consumo'!C623</f>
        <v>32976</v>
      </c>
      <c r="E623" s="34" t="str">
        <f aca="false">'Uso e Consumo'!D623</f>
        <v>24.24.0010</v>
      </c>
      <c r="F623" s="34" t="str">
        <f aca="false">'Uso e Consumo'!E623</f>
        <v>KIT DE SOQUETES PONTA BITS ENCAIXE UNIVERSAL 1/4” C/ 10 PEÇAS P/ PARAFUSADEIRA</v>
      </c>
      <c r="G623" s="34" t="str">
        <f aca="false">'Uso e Consumo'!J623</f>
        <v>UN</v>
      </c>
      <c r="H623" s="49" t="n">
        <f aca="false">'Uso e Consumo'!F623</f>
        <v>40</v>
      </c>
      <c r="I623" s="35" t="n">
        <f aca="false">'Uso e Consumo'!G623</f>
        <v>2147.8</v>
      </c>
      <c r="J623" s="34" t="str">
        <f aca="false">'Uso e Consumo'!M623</f>
        <v>3.8.2.003 - Ferramentas elétricas/pneumáticas</v>
      </c>
      <c r="K623" s="32" t="str">
        <f aca="false">INDEX('Curva ABC'!$K$8:$K$2847,MATCH(D623,'Curva ABC'!$B$8:$B$2847,0))</f>
        <v>B</v>
      </c>
    </row>
    <row r="624" customFormat="false" ht="15" hidden="false" customHeight="false" outlineLevel="0" collapsed="false">
      <c r="A624" s="34" t="s">
        <v>5799</v>
      </c>
      <c r="B624" s="34" t="str">
        <f aca="false">'Uso e Consumo'!A624</f>
        <v>0335</v>
      </c>
      <c r="C624" s="34" t="str">
        <f aca="false">'Uso e Consumo'!B624</f>
        <v>UFV NORONHA VERDE - USO E CONSUMO</v>
      </c>
      <c r="D624" s="33" t="n">
        <f aca="false">'Uso e Consumo'!C624</f>
        <v>1317675</v>
      </c>
      <c r="E624" s="34" t="str">
        <f aca="false">'Uso e Consumo'!D624</f>
        <v>30.03.0549</v>
      </c>
      <c r="F624" s="34" t="str">
        <f aca="false">'Uso e Consumo'!E624</f>
        <v>COLETOR COM TAMPA E PEDAL 30 L - CINZA</v>
      </c>
      <c r="G624" s="34" t="str">
        <f aca="false">'Uso e Consumo'!J624</f>
        <v>UN</v>
      </c>
      <c r="H624" s="49" t="n">
        <f aca="false">'Uso e Consumo'!F624</f>
        <v>20</v>
      </c>
      <c r="I624" s="35" t="n">
        <f aca="false">'Uso e Consumo'!G624</f>
        <v>2140</v>
      </c>
      <c r="J624" s="34" t="str">
        <f aca="false">'Uso e Consumo'!M624</f>
        <v>4.1.1.003 - Material limpeza</v>
      </c>
      <c r="K624" s="32" t="str">
        <f aca="false">INDEX('Curva ABC'!$K$8:$K$2847,MATCH(D624,'Curva ABC'!$B$8:$B$2847,0))</f>
        <v>B</v>
      </c>
    </row>
    <row r="625" customFormat="false" ht="15" hidden="false" customHeight="false" outlineLevel="0" collapsed="false">
      <c r="A625" s="34" t="s">
        <v>5799</v>
      </c>
      <c r="B625" s="34" t="str">
        <f aca="false">'Uso e Consumo'!A625</f>
        <v>0335</v>
      </c>
      <c r="C625" s="34" t="str">
        <f aca="false">'Uso e Consumo'!B625</f>
        <v>UFV NORONHA VERDE - USO E CONSUMO</v>
      </c>
      <c r="D625" s="33" t="n">
        <f aca="false">'Uso e Consumo'!C625</f>
        <v>1382572</v>
      </c>
      <c r="E625" s="34" t="str">
        <f aca="false">'Uso e Consumo'!D625</f>
        <v>33.02.3175</v>
      </c>
      <c r="F625" s="34" t="str">
        <f aca="false">'Uso e Consumo'!E625</f>
        <v>PRESILHA PARA SELAR FITA 16MM </v>
      </c>
      <c r="G625" s="34" t="str">
        <f aca="false">'Uso e Consumo'!J625</f>
        <v>UN</v>
      </c>
      <c r="H625" s="49" t="n">
        <f aca="false">'Uso e Consumo'!F625</f>
        <v>2500</v>
      </c>
      <c r="I625" s="35" t="n">
        <f aca="false">'Uso e Consumo'!G625</f>
        <v>2125</v>
      </c>
      <c r="J625" s="34" t="str">
        <f aca="false">'Uso e Consumo'!M625</f>
        <v>3.1.6.002 - Pneus e peças</v>
      </c>
      <c r="K625" s="32" t="str">
        <f aca="false">INDEX('Curva ABC'!$K$8:$K$2847,MATCH(D625,'Curva ABC'!$B$8:$B$2847,0))</f>
        <v>B</v>
      </c>
    </row>
    <row r="626" customFormat="false" ht="15" hidden="false" customHeight="false" outlineLevel="0" collapsed="false">
      <c r="A626" s="34" t="s">
        <v>5799</v>
      </c>
      <c r="B626" s="34" t="str">
        <f aca="false">'Uso e Consumo'!A626</f>
        <v>0335</v>
      </c>
      <c r="C626" s="34" t="str">
        <f aca="false">'Uso e Consumo'!B626</f>
        <v>UFV NORONHA VERDE - USO E CONSUMO</v>
      </c>
      <c r="D626" s="33" t="n">
        <f aca="false">'Uso e Consumo'!C626</f>
        <v>555899</v>
      </c>
      <c r="E626" s="34" t="str">
        <f aca="false">'Uso e Consumo'!D626</f>
        <v>18.06.0100</v>
      </c>
      <c r="F626" s="34" t="str">
        <f aca="false">'Uso e Consumo'!E626</f>
        <v>ESQUADRO 12" ACO INOX CABO ALUM.  3550012000 VONDER</v>
      </c>
      <c r="G626" s="34" t="str">
        <f aca="false">'Uso e Consumo'!J626</f>
        <v>UN</v>
      </c>
      <c r="H626" s="49" t="n">
        <f aca="false">'Uso e Consumo'!F626</f>
        <v>24</v>
      </c>
      <c r="I626" s="35" t="n">
        <f aca="false">'Uso e Consumo'!G626</f>
        <v>2116.8</v>
      </c>
      <c r="J626" s="34" t="str">
        <f aca="false">'Uso e Consumo'!M626</f>
        <v>3.8.1.018 - Instalações hidráulicas/sanitárias/industriais</v>
      </c>
      <c r="K626" s="32" t="str">
        <f aca="false">INDEX('Curva ABC'!$K$8:$K$2847,MATCH(D626,'Curva ABC'!$B$8:$B$2847,0))</f>
        <v>B</v>
      </c>
    </row>
    <row r="627" customFormat="false" ht="15" hidden="false" customHeight="false" outlineLevel="0" collapsed="false">
      <c r="A627" s="34" t="s">
        <v>5799</v>
      </c>
      <c r="B627" s="34" t="str">
        <f aca="false">'Uso e Consumo'!A627</f>
        <v>0335</v>
      </c>
      <c r="C627" s="34" t="str">
        <f aca="false">'Uso e Consumo'!B627</f>
        <v>UFV NORONHA VERDE - USO E CONSUMO</v>
      </c>
      <c r="D627" s="33" t="n">
        <f aca="false">'Uso e Consumo'!C627</f>
        <v>1636016</v>
      </c>
      <c r="E627" s="34" t="str">
        <f aca="false">'Uso e Consumo'!D627</f>
        <v>18.11.0232</v>
      </c>
      <c r="F627" s="34" t="str">
        <f aca="false">'Uso e Consumo'!E627</f>
        <v>EXTINTOR DE INCENDIO PQS 12 KG  6A:80B:C  PORTATIL</v>
      </c>
      <c r="G627" s="34" t="str">
        <f aca="false">'Uso e Consumo'!J627</f>
        <v>UN</v>
      </c>
      <c r="H627" s="49" t="n">
        <f aca="false">'Uso e Consumo'!F627</f>
        <v>6</v>
      </c>
      <c r="I627" s="35" t="n">
        <f aca="false">'Uso e Consumo'!G627</f>
        <v>2106</v>
      </c>
      <c r="J627" s="34" t="str">
        <f aca="false">'Uso e Consumo'!M627</f>
        <v>4.3.4.005 - Combate incêndio</v>
      </c>
      <c r="K627" s="32" t="str">
        <f aca="false">INDEX('Curva ABC'!$K$8:$K$2847,MATCH(D627,'Curva ABC'!$B$8:$B$2847,0))</f>
        <v>B</v>
      </c>
    </row>
    <row r="628" customFormat="false" ht="15" hidden="false" customHeight="false" outlineLevel="0" collapsed="false">
      <c r="A628" s="34" t="s">
        <v>5799</v>
      </c>
      <c r="B628" s="34" t="str">
        <f aca="false">'Uso e Consumo'!A628</f>
        <v>0335</v>
      </c>
      <c r="C628" s="34" t="str">
        <f aca="false">'Uso e Consumo'!B628</f>
        <v>UFV NORONHA VERDE - USO E CONSUMO</v>
      </c>
      <c r="D628" s="33" t="n">
        <f aca="false">'Uso e Consumo'!C628</f>
        <v>53963</v>
      </c>
      <c r="E628" s="34" t="str">
        <f aca="false">'Uso e Consumo'!D628</f>
        <v>24.09.0285</v>
      </c>
      <c r="F628" s="34" t="str">
        <f aca="false">'Uso e Consumo'!E628</f>
        <v>JOGO DE CHAVE SOQUETE 1/2'' 12 - 32MM</v>
      </c>
      <c r="G628" s="34" t="str">
        <f aca="false">'Uso e Consumo'!J628</f>
        <v>UN</v>
      </c>
      <c r="H628" s="49" t="n">
        <f aca="false">'Uso e Consumo'!F628</f>
        <v>6</v>
      </c>
      <c r="I628" s="35" t="n">
        <f aca="false">'Uso e Consumo'!G628</f>
        <v>2100.96</v>
      </c>
      <c r="J628" s="34" t="str">
        <f aca="false">'Uso e Consumo'!M628</f>
        <v>3.8.2.002 - Ferramentas manuais</v>
      </c>
      <c r="K628" s="32" t="str">
        <f aca="false">INDEX('Curva ABC'!$K$8:$K$2847,MATCH(D628,'Curva ABC'!$B$8:$B$2847,0))</f>
        <v>B</v>
      </c>
    </row>
    <row r="629" customFormat="false" ht="15" hidden="false" customHeight="false" outlineLevel="0" collapsed="false">
      <c r="A629" s="34" t="s">
        <v>5799</v>
      </c>
      <c r="B629" s="34" t="str">
        <f aca="false">'Uso e Consumo'!A629</f>
        <v>0335</v>
      </c>
      <c r="C629" s="34" t="str">
        <f aca="false">'Uso e Consumo'!B629</f>
        <v>UFV NORONHA VERDE - USO E CONSUMO</v>
      </c>
      <c r="D629" s="33" t="n">
        <f aca="false">'Uso e Consumo'!C629</f>
        <v>1388115</v>
      </c>
      <c r="E629" s="34" t="str">
        <f aca="false">'Uso e Consumo'!D629</f>
        <v>23.06.0314</v>
      </c>
      <c r="F629" s="34" t="str">
        <f aca="false">'Uso e Consumo'!E629</f>
        <v>PORCA SEXTAVADA DE AÇO INOX, BITOLA M12</v>
      </c>
      <c r="G629" s="34" t="str">
        <f aca="false">'Uso e Consumo'!J629</f>
        <v>UN</v>
      </c>
      <c r="H629" s="49" t="n">
        <f aca="false">'Uso e Consumo'!F629</f>
        <v>1171</v>
      </c>
      <c r="I629" s="35" t="n">
        <f aca="false">'Uso e Consumo'!G629</f>
        <v>2080.22</v>
      </c>
      <c r="J629" s="34" t="str">
        <f aca="false">'Uso e Consumo'!M629</f>
        <v>3.8.1.022 - Elementos de fixação</v>
      </c>
      <c r="K629" s="32" t="str">
        <f aca="false">INDEX('Curva ABC'!$K$8:$K$2847,MATCH(D629,'Curva ABC'!$B$8:$B$2847,0))</f>
        <v>B</v>
      </c>
    </row>
    <row r="630" customFormat="false" ht="15" hidden="false" customHeight="false" outlineLevel="0" collapsed="false">
      <c r="A630" s="34" t="s">
        <v>5799</v>
      </c>
      <c r="B630" s="34" t="str">
        <f aca="false">'Uso e Consumo'!A630</f>
        <v>0335</v>
      </c>
      <c r="C630" s="34" t="str">
        <f aca="false">'Uso e Consumo'!B630</f>
        <v>UFV NORONHA VERDE - USO E CONSUMO</v>
      </c>
      <c r="D630" s="33" t="n">
        <f aca="false">'Uso e Consumo'!C630</f>
        <v>1383616</v>
      </c>
      <c r="E630" s="34" t="str">
        <f aca="false">'Uso e Consumo'!D630</f>
        <v>17.02.0856</v>
      </c>
      <c r="F630" s="34" t="str">
        <f aca="false">'Uso e Consumo'!E630</f>
        <v>ELETRODUTO DE AÇO CARBONO GALVANIZADO A FOGO, DN 20 MM (3/4" BSP), TIPO PESADO, COM ROSCA, BARRA DE 3,00 M</v>
      </c>
      <c r="G630" s="34" t="str">
        <f aca="false">'Uso e Consumo'!J630</f>
        <v>UN</v>
      </c>
      <c r="H630" s="49" t="n">
        <f aca="false">'Uso e Consumo'!F630</f>
        <v>28</v>
      </c>
      <c r="I630" s="35" t="n">
        <f aca="false">'Uso e Consumo'!G630</f>
        <v>2072.67</v>
      </c>
      <c r="J630" s="34" t="str">
        <f aca="false">'Uso e Consumo'!M630</f>
        <v>3.8.1.017 - Instalações elétricas/telefônicas/lógica</v>
      </c>
      <c r="K630" s="32" t="str">
        <f aca="false">INDEX('Curva ABC'!$K$8:$K$2847,MATCH(D630,'Curva ABC'!$B$8:$B$2847,0))</f>
        <v>B</v>
      </c>
    </row>
    <row r="631" customFormat="false" ht="15" hidden="false" customHeight="false" outlineLevel="0" collapsed="false">
      <c r="A631" s="34" t="s">
        <v>5799</v>
      </c>
      <c r="B631" s="34" t="str">
        <f aca="false">'Uso e Consumo'!A631</f>
        <v>0335</v>
      </c>
      <c r="C631" s="34" t="str">
        <f aca="false">'Uso e Consumo'!B631</f>
        <v>UFV NORONHA VERDE - USO E CONSUMO</v>
      </c>
      <c r="D631" s="33" t="n">
        <f aca="false">'Uso e Consumo'!C631</f>
        <v>33354</v>
      </c>
      <c r="E631" s="34" t="str">
        <f aca="false">'Uso e Consumo'!D631</f>
        <v>26.12.0032</v>
      </c>
      <c r="F631" s="34" t="str">
        <f aca="false">'Uso e Consumo'!E631</f>
        <v>TELA TAPUME POLIETILENO LARANJA 1,20M X 50 M</v>
      </c>
      <c r="G631" s="34" t="str">
        <f aca="false">'Uso e Consumo'!J631</f>
        <v>R50M</v>
      </c>
      <c r="H631" s="49" t="n">
        <f aca="false">'Uso e Consumo'!F631</f>
        <v>30</v>
      </c>
      <c r="I631" s="35" t="n">
        <f aca="false">'Uso e Consumo'!G631</f>
        <v>2070</v>
      </c>
      <c r="J631" s="34" t="str">
        <f aca="false">'Uso e Consumo'!M631</f>
        <v>4.3.4.002 - Equipamento de proteção e sinalização coletiva</v>
      </c>
      <c r="K631" s="32" t="str">
        <f aca="false">INDEX('Curva ABC'!$K$8:$K$2847,MATCH(D631,'Curva ABC'!$B$8:$B$2847,0))</f>
        <v>B</v>
      </c>
    </row>
    <row r="632" customFormat="false" ht="15" hidden="false" customHeight="false" outlineLevel="0" collapsed="false">
      <c r="A632" s="34" t="s">
        <v>5799</v>
      </c>
      <c r="B632" s="34" t="str">
        <f aca="false">'Uso e Consumo'!A632</f>
        <v>0335</v>
      </c>
      <c r="C632" s="34" t="str">
        <f aca="false">'Uso e Consumo'!B632</f>
        <v>UFV NORONHA VERDE - USO E CONSUMO</v>
      </c>
      <c r="D632" s="33" t="n">
        <f aca="false">'Uso e Consumo'!C632</f>
        <v>1017274</v>
      </c>
      <c r="E632" s="34" t="str">
        <f aca="false">'Uso e Consumo'!D632</f>
        <v>17.16.0563</v>
      </c>
      <c r="F632" s="34" t="str">
        <f aca="false">'Uso e Consumo'!E632</f>
        <v>GRAMPOS ATERRAMENTO PARA USO EM REDES DE MEDIA TENSÃO - ATR11627-1</v>
      </c>
      <c r="G632" s="34" t="str">
        <f aca="false">'Uso e Consumo'!J632</f>
        <v>UN</v>
      </c>
      <c r="H632" s="49" t="n">
        <f aca="false">'Uso e Consumo'!F632</f>
        <v>40</v>
      </c>
      <c r="I632" s="35" t="n">
        <f aca="false">'Uso e Consumo'!G632</f>
        <v>2064.23</v>
      </c>
      <c r="J632" s="34" t="str">
        <f aca="false">'Uso e Consumo'!M632</f>
        <v>3.8.1.017 - Instalações elétricas/telefônicas/lógica</v>
      </c>
      <c r="K632" s="32" t="str">
        <f aca="false">INDEX('Curva ABC'!$K$8:$K$2847,MATCH(D632,'Curva ABC'!$B$8:$B$2847,0))</f>
        <v>B</v>
      </c>
    </row>
    <row r="633" customFormat="false" ht="15" hidden="false" customHeight="false" outlineLevel="0" collapsed="false">
      <c r="A633" s="34" t="s">
        <v>5799</v>
      </c>
      <c r="B633" s="34" t="str">
        <f aca="false">'Uso e Consumo'!A633</f>
        <v>0335</v>
      </c>
      <c r="C633" s="34" t="str">
        <f aca="false">'Uso e Consumo'!B633</f>
        <v>UFV NORONHA VERDE - USO E CONSUMO</v>
      </c>
      <c r="D633" s="33" t="n">
        <f aca="false">'Uso e Consumo'!C633</f>
        <v>57481</v>
      </c>
      <c r="E633" s="34" t="str">
        <f aca="false">'Uso e Consumo'!D633</f>
        <v>17.05.0067</v>
      </c>
      <c r="F633" s="34" t="str">
        <f aca="false">'Uso e Consumo'!E633</f>
        <v>CAIXA DE LIGAÇÃO CONDULETE EM ALUMÍNIO TIPO “T” 1”</v>
      </c>
      <c r="G633" s="34" t="str">
        <f aca="false">'Uso e Consumo'!J633</f>
        <v>UN</v>
      </c>
      <c r="H633" s="49" t="n">
        <f aca="false">'Uso e Consumo'!F633</f>
        <v>9</v>
      </c>
      <c r="I633" s="35" t="n">
        <f aca="false">'Uso e Consumo'!G633</f>
        <v>2057.85</v>
      </c>
      <c r="J633" s="34" t="str">
        <f aca="false">'Uso e Consumo'!M633</f>
        <v>3.8.1.017 - Instalações elétricas/telefônicas/lógica</v>
      </c>
      <c r="K633" s="32" t="str">
        <f aca="false">INDEX('Curva ABC'!$K$8:$K$2847,MATCH(D633,'Curva ABC'!$B$8:$B$2847,0))</f>
        <v>B</v>
      </c>
    </row>
    <row r="634" customFormat="false" ht="15" hidden="false" customHeight="false" outlineLevel="0" collapsed="false">
      <c r="A634" s="34" t="s">
        <v>5799</v>
      </c>
      <c r="B634" s="34" t="str">
        <f aca="false">'Uso e Consumo'!A634</f>
        <v>0335</v>
      </c>
      <c r="C634" s="34" t="str">
        <f aca="false">'Uso e Consumo'!B634</f>
        <v>UFV NORONHA VERDE - USO E CONSUMO</v>
      </c>
      <c r="D634" s="33" t="n">
        <f aca="false">'Uso e Consumo'!C634</f>
        <v>57011</v>
      </c>
      <c r="E634" s="34" t="str">
        <f aca="false">'Uso e Consumo'!D634</f>
        <v>17.20.0175</v>
      </c>
      <c r="F634" s="34" t="str">
        <f aca="false">'Uso e Consumo'!E634</f>
        <v>MOLDE PARA CONEXÃO EM “T” C/ SEÇÃO DE 70MM²</v>
      </c>
      <c r="G634" s="34" t="str">
        <f aca="false">'Uso e Consumo'!J634</f>
        <v>UN</v>
      </c>
      <c r="H634" s="49" t="n">
        <f aca="false">'Uso e Consumo'!F634</f>
        <v>12</v>
      </c>
      <c r="I634" s="35" t="n">
        <f aca="false">'Uso e Consumo'!G634</f>
        <v>2054.83</v>
      </c>
      <c r="J634" s="34" t="str">
        <f aca="false">'Uso e Consumo'!M634</f>
        <v>3.8.1.017 - Instalações elétricas/telefônicas/lógica</v>
      </c>
      <c r="K634" s="32" t="str">
        <f aca="false">INDEX('Curva ABC'!$K$8:$K$2847,MATCH(D634,'Curva ABC'!$B$8:$B$2847,0))</f>
        <v>B</v>
      </c>
    </row>
    <row r="635" customFormat="false" ht="15" hidden="false" customHeight="false" outlineLevel="0" collapsed="false">
      <c r="A635" s="34" t="s">
        <v>5799</v>
      </c>
      <c r="B635" s="34" t="str">
        <f aca="false">'Uso e Consumo'!A635</f>
        <v>0335</v>
      </c>
      <c r="C635" s="34" t="str">
        <f aca="false">'Uso e Consumo'!B635</f>
        <v>UFV NORONHA VERDE - USO E CONSUMO</v>
      </c>
      <c r="D635" s="33" t="n">
        <f aca="false">'Uso e Consumo'!C635</f>
        <v>1662422</v>
      </c>
      <c r="E635" s="34" t="str">
        <f aca="false">'Uso e Consumo'!D635</f>
        <v>01.09.0415</v>
      </c>
      <c r="F635" s="34" t="str">
        <f aca="false">'Uso e Consumo'!E635</f>
        <v>PERFIL "U" 101,6 (4") X 41,8 X 2000 MM ACO GALV . A QUENTE ESP 6,35MM</v>
      </c>
      <c r="G635" s="34" t="str">
        <f aca="false">'Uso e Consumo'!J635</f>
        <v>UN</v>
      </c>
      <c r="H635" s="49" t="n">
        <f aca="false">'Uso e Consumo'!F635</f>
        <v>3</v>
      </c>
      <c r="I635" s="35" t="n">
        <f aca="false">'Uso e Consumo'!G635</f>
        <v>2052</v>
      </c>
      <c r="J635" s="34" t="str">
        <f aca="false">'Uso e Consumo'!M635</f>
        <v>3.8.1.001 - Aços e trefilados</v>
      </c>
      <c r="K635" s="32" t="str">
        <f aca="false">INDEX('Curva ABC'!$K$8:$K$2847,MATCH(D635,'Curva ABC'!$B$8:$B$2847,0))</f>
        <v>B</v>
      </c>
    </row>
    <row r="636" customFormat="false" ht="15" hidden="false" customHeight="false" outlineLevel="0" collapsed="false">
      <c r="A636" s="34" t="s">
        <v>5799</v>
      </c>
      <c r="B636" s="34" t="str">
        <f aca="false">'Uso e Consumo'!A636</f>
        <v>0335</v>
      </c>
      <c r="C636" s="34" t="str">
        <f aca="false">'Uso e Consumo'!B636</f>
        <v>UFV NORONHA VERDE - USO E CONSUMO</v>
      </c>
      <c r="D636" s="33" t="n">
        <f aca="false">'Uso e Consumo'!C636</f>
        <v>854463</v>
      </c>
      <c r="E636" s="34" t="str">
        <f aca="false">'Uso e Consumo'!D636</f>
        <v>24.05.0022</v>
      </c>
      <c r="F636" s="34" t="str">
        <f aca="false">'Uso e Consumo'!E636</f>
        <v>NIVEL IMÃ BOLHA 360º BASE MAGNÉTICA </v>
      </c>
      <c r="G636" s="34" t="str">
        <f aca="false">'Uso e Consumo'!J636</f>
        <v>UN</v>
      </c>
      <c r="H636" s="49" t="n">
        <f aca="false">'Uso e Consumo'!F636</f>
        <v>30</v>
      </c>
      <c r="I636" s="35" t="n">
        <f aca="false">'Uso e Consumo'!G636</f>
        <v>2050</v>
      </c>
      <c r="J636" s="34" t="str">
        <f aca="false">'Uso e Consumo'!M636</f>
        <v>3.8.2.001 - Ferramentas medição/aferição</v>
      </c>
      <c r="K636" s="32" t="str">
        <f aca="false">INDEX('Curva ABC'!$K$8:$K$2847,MATCH(D636,'Curva ABC'!$B$8:$B$2847,0))</f>
        <v>B</v>
      </c>
    </row>
    <row r="637" customFormat="false" ht="15" hidden="false" customHeight="false" outlineLevel="0" collapsed="false">
      <c r="A637" s="34" t="s">
        <v>5799</v>
      </c>
      <c r="B637" s="34" t="str">
        <f aca="false">'Uso e Consumo'!A637</f>
        <v>0335</v>
      </c>
      <c r="C637" s="34" t="str">
        <f aca="false">'Uso e Consumo'!B637</f>
        <v>UFV NORONHA VERDE - USO E CONSUMO</v>
      </c>
      <c r="D637" s="33" t="n">
        <f aca="false">'Uso e Consumo'!C637</f>
        <v>141768</v>
      </c>
      <c r="E637" s="34" t="str">
        <f aca="false">'Uso e Consumo'!D637</f>
        <v>32.01.0019</v>
      </c>
      <c r="F637" s="34" t="str">
        <f aca="false">'Uso e Consumo'!E637</f>
        <v>MANILHA CURVA GALVANIZADA DE 1” POLEGADA PINO ROSCADO</v>
      </c>
      <c r="G637" s="34" t="str">
        <f aca="false">'Uso e Consumo'!J637</f>
        <v>UN</v>
      </c>
      <c r="H637" s="49" t="n">
        <f aca="false">'Uso e Consumo'!F637</f>
        <v>16</v>
      </c>
      <c r="I637" s="35" t="n">
        <f aca="false">'Uso e Consumo'!G637</f>
        <v>2045.9</v>
      </c>
      <c r="J637" s="34" t="str">
        <f aca="false">'Uso e Consumo'!M637</f>
        <v>6.1.2.001 - Equipamentos</v>
      </c>
      <c r="K637" s="32" t="str">
        <f aca="false">INDEX('Curva ABC'!$K$8:$K$2847,MATCH(D637,'Curva ABC'!$B$8:$B$2847,0))</f>
        <v>B</v>
      </c>
    </row>
    <row r="638" customFormat="false" ht="15" hidden="false" customHeight="false" outlineLevel="0" collapsed="false">
      <c r="A638" s="34" t="s">
        <v>5799</v>
      </c>
      <c r="B638" s="34" t="str">
        <f aca="false">'Uso e Consumo'!A638</f>
        <v>0335</v>
      </c>
      <c r="C638" s="34" t="str">
        <f aca="false">'Uso e Consumo'!B638</f>
        <v>UFV NORONHA VERDE - USO E CONSUMO</v>
      </c>
      <c r="D638" s="33" t="n">
        <f aca="false">'Uso e Consumo'!C638</f>
        <v>1016972</v>
      </c>
      <c r="E638" s="34" t="str">
        <f aca="false">'Uso e Consumo'!D638</f>
        <v>34.02.1264</v>
      </c>
      <c r="F638" s="34" t="str">
        <f aca="false">'Uso e Consumo'!E638</f>
        <v>FAIXA REFLETIVA BRANCA PARA CONE DE SINALIZAÇÃO 14,5 CM X 28 CM X 37,5 CM</v>
      </c>
      <c r="G638" s="34" t="str">
        <f aca="false">'Uso e Consumo'!J638</f>
        <v>UN</v>
      </c>
      <c r="H638" s="49" t="n">
        <f aca="false">'Uso e Consumo'!F638</f>
        <v>150</v>
      </c>
      <c r="I638" s="35" t="n">
        <f aca="false">'Uso e Consumo'!G638</f>
        <v>2043.63</v>
      </c>
      <c r="J638" s="34" t="str">
        <f aca="false">'Uso e Consumo'!M638</f>
        <v>3.8.1.023 - Comunicação visual e sinalização</v>
      </c>
      <c r="K638" s="32" t="str">
        <f aca="false">INDEX('Curva ABC'!$K$8:$K$2847,MATCH(D638,'Curva ABC'!$B$8:$B$2847,0))</f>
        <v>B</v>
      </c>
    </row>
    <row r="639" customFormat="false" ht="15" hidden="false" customHeight="false" outlineLevel="0" collapsed="false">
      <c r="A639" s="34" t="s">
        <v>5799</v>
      </c>
      <c r="B639" s="34" t="str">
        <f aca="false">'Uso e Consumo'!A639</f>
        <v>0335</v>
      </c>
      <c r="C639" s="34" t="str">
        <f aca="false">'Uso e Consumo'!B639</f>
        <v>UFV NORONHA VERDE - USO E CONSUMO</v>
      </c>
      <c r="D639" s="33" t="n">
        <f aca="false">'Uso e Consumo'!C639</f>
        <v>143909</v>
      </c>
      <c r="E639" s="34" t="str">
        <f aca="false">'Uso e Consumo'!D639</f>
        <v>26.04.0055</v>
      </c>
      <c r="F639" s="34" t="str">
        <f aca="false">'Uso e Consumo'!E639</f>
        <v>TALABARTE Y, COM ABSORVEDOR DE ENERGIA, COM GANCHOS DE ABERTURA PARA 55MM</v>
      </c>
      <c r="G639" s="34" t="str">
        <f aca="false">'Uso e Consumo'!J639</f>
        <v>UN</v>
      </c>
      <c r="H639" s="49" t="n">
        <f aca="false">'Uso e Consumo'!F639</f>
        <v>14</v>
      </c>
      <c r="I639" s="35" t="n">
        <f aca="false">'Uso e Consumo'!G639</f>
        <v>2040</v>
      </c>
      <c r="J639" s="34" t="str">
        <f aca="false">'Uso e Consumo'!M639</f>
        <v>4.3.4.001 - Equipamento de proteção individual</v>
      </c>
      <c r="K639" s="32" t="str">
        <f aca="false">INDEX('Curva ABC'!$K$8:$K$2847,MATCH(D639,'Curva ABC'!$B$8:$B$2847,0))</f>
        <v>B</v>
      </c>
    </row>
    <row r="640" customFormat="false" ht="15" hidden="false" customHeight="false" outlineLevel="0" collapsed="false">
      <c r="A640" s="34" t="s">
        <v>5799</v>
      </c>
      <c r="B640" s="34" t="str">
        <f aca="false">'Uso e Consumo'!A640</f>
        <v>0335</v>
      </c>
      <c r="C640" s="34" t="str">
        <f aca="false">'Uso e Consumo'!B640</f>
        <v>UFV NORONHA VERDE - USO E CONSUMO</v>
      </c>
      <c r="D640" s="33" t="n">
        <f aca="false">'Uso e Consumo'!C640</f>
        <v>1614806</v>
      </c>
      <c r="E640" s="34" t="str">
        <f aca="false">'Uso e Consumo'!D640</f>
        <v>17.15.0143</v>
      </c>
      <c r="F640" s="34" t="str">
        <f aca="false">'Uso e Consumo'!E640</f>
        <v>CHAVE FUSIVEL TIPO CUT-OUT CLASSE 15 KV CORRENTE NOMINAL 300 A COM PORTA-FUSIVEL 100 A</v>
      </c>
      <c r="G640" s="34" t="str">
        <f aca="false">'Uso e Consumo'!J640</f>
        <v>UN</v>
      </c>
      <c r="H640" s="49" t="n">
        <f aca="false">'Uso e Consumo'!F640</f>
        <v>5</v>
      </c>
      <c r="I640" s="35" t="n">
        <f aca="false">'Uso e Consumo'!G640</f>
        <v>2035.7</v>
      </c>
      <c r="J640" s="34" t="str">
        <f aca="false">'Uso e Consumo'!M640</f>
        <v>3.8.1.017 - Instalações elétricas/telefônicas/lógica</v>
      </c>
      <c r="K640" s="32" t="str">
        <f aca="false">INDEX('Curva ABC'!$K$8:$K$2847,MATCH(D640,'Curva ABC'!$B$8:$B$2847,0))</f>
        <v>B</v>
      </c>
    </row>
    <row r="641" customFormat="false" ht="15" hidden="false" customHeight="false" outlineLevel="0" collapsed="false">
      <c r="A641" s="34" t="s">
        <v>5799</v>
      </c>
      <c r="B641" s="34" t="str">
        <f aca="false">'Uso e Consumo'!A641</f>
        <v>0335</v>
      </c>
      <c r="C641" s="34" t="str">
        <f aca="false">'Uso e Consumo'!B641</f>
        <v>UFV NORONHA VERDE - USO E CONSUMO</v>
      </c>
      <c r="D641" s="33" t="n">
        <f aca="false">'Uso e Consumo'!C641</f>
        <v>22375</v>
      </c>
      <c r="E641" s="34" t="str">
        <f aca="false">'Uso e Consumo'!D641</f>
        <v>25.20.0001</v>
      </c>
      <c r="F641" s="34" t="str">
        <f aca="false">'Uso e Consumo'!E641</f>
        <v>ARCO DE SERRA FIXO 12 POL REF.STARRET-140</v>
      </c>
      <c r="G641" s="34" t="str">
        <f aca="false">'Uso e Consumo'!J641</f>
        <v>UN</v>
      </c>
      <c r="H641" s="49" t="n">
        <f aca="false">'Uso e Consumo'!F641</f>
        <v>38</v>
      </c>
      <c r="I641" s="35" t="n">
        <f aca="false">'Uso e Consumo'!G641</f>
        <v>2031.7572</v>
      </c>
      <c r="J641" s="34" t="str">
        <f aca="false">'Uso e Consumo'!M641</f>
        <v>3.8.2.006 - Utensílios</v>
      </c>
      <c r="K641" s="32" t="str">
        <f aca="false">INDEX('Curva ABC'!$K$8:$K$2847,MATCH(D641,'Curva ABC'!$B$8:$B$2847,0))</f>
        <v>B</v>
      </c>
    </row>
    <row r="642" customFormat="false" ht="15" hidden="false" customHeight="false" outlineLevel="0" collapsed="false">
      <c r="A642" s="34" t="s">
        <v>5799</v>
      </c>
      <c r="B642" s="34" t="str">
        <f aca="false">'Uso e Consumo'!A642</f>
        <v>0335</v>
      </c>
      <c r="C642" s="34" t="str">
        <f aca="false">'Uso e Consumo'!B642</f>
        <v>UFV NORONHA VERDE - USO E CONSUMO</v>
      </c>
      <c r="D642" s="33" t="n">
        <f aca="false">'Uso e Consumo'!C642</f>
        <v>65986</v>
      </c>
      <c r="E642" s="34" t="str">
        <f aca="false">'Uso e Consumo'!D642</f>
        <v>33.02.1033</v>
      </c>
      <c r="F642" s="34" t="str">
        <f aca="false">'Uso e Consumo'!E642</f>
        <v>CLIP-SPRING</v>
      </c>
      <c r="G642" s="34" t="str">
        <f aca="false">'Uso e Consumo'!J642</f>
        <v>UN</v>
      </c>
      <c r="H642" s="49" t="n">
        <f aca="false">'Uso e Consumo'!F642</f>
        <v>36</v>
      </c>
      <c r="I642" s="35" t="n">
        <f aca="false">'Uso e Consumo'!G642</f>
        <v>2028</v>
      </c>
      <c r="J642" s="34" t="str">
        <f aca="false">'Uso e Consumo'!M642</f>
        <v>3.1.6.002 - Pneus e peças</v>
      </c>
      <c r="K642" s="32" t="str">
        <f aca="false">INDEX('Curva ABC'!$K$8:$K$2847,MATCH(D642,'Curva ABC'!$B$8:$B$2847,0))</f>
        <v>B</v>
      </c>
    </row>
    <row r="643" customFormat="false" ht="15" hidden="false" customHeight="false" outlineLevel="0" collapsed="false">
      <c r="A643" s="34" t="s">
        <v>5799</v>
      </c>
      <c r="B643" s="34" t="str">
        <f aca="false">'Uso e Consumo'!A643</f>
        <v>0335</v>
      </c>
      <c r="C643" s="34" t="str">
        <f aca="false">'Uso e Consumo'!B643</f>
        <v>UFV NORONHA VERDE - USO E CONSUMO</v>
      </c>
      <c r="D643" s="33" t="n">
        <f aca="false">'Uso e Consumo'!C643</f>
        <v>940569</v>
      </c>
      <c r="E643" s="34" t="str">
        <f aca="false">'Uso e Consumo'!D643</f>
        <v>28.01.0580</v>
      </c>
      <c r="F643" s="34" t="str">
        <f aca="false">'Uso e Consumo'!E643</f>
        <v>PLACA DE SINALIZAÇÃO CUIDADO RISCO CHOQUE ELÉTRICO - TRIANGULAR AMARELA C/ FAIXA TRIANGULAR E RAIO PRETOS - 200MM</v>
      </c>
      <c r="G643" s="34" t="str">
        <f aca="false">'Uso e Consumo'!J643</f>
        <v>UN</v>
      </c>
      <c r="H643" s="49" t="n">
        <f aca="false">'Uso e Consumo'!F643</f>
        <v>100</v>
      </c>
      <c r="I643" s="35" t="n">
        <f aca="false">'Uso e Consumo'!G643</f>
        <v>2025</v>
      </c>
      <c r="J643" s="34" t="str">
        <f aca="false">'Uso e Consumo'!M643</f>
        <v>3.8.1.023 - Comunicação visual e sinalização</v>
      </c>
      <c r="K643" s="32" t="str">
        <f aca="false">INDEX('Curva ABC'!$K$8:$K$2847,MATCH(D643,'Curva ABC'!$B$8:$B$2847,0))</f>
        <v>B</v>
      </c>
    </row>
    <row r="644" customFormat="false" ht="15" hidden="false" customHeight="false" outlineLevel="0" collapsed="false">
      <c r="A644" s="34" t="s">
        <v>5799</v>
      </c>
      <c r="B644" s="34" t="str">
        <f aca="false">'Uso e Consumo'!A644</f>
        <v>0335</v>
      </c>
      <c r="C644" s="34" t="str">
        <f aca="false">'Uso e Consumo'!B644</f>
        <v>UFV NORONHA VERDE - USO E CONSUMO</v>
      </c>
      <c r="D644" s="33" t="n">
        <f aca="false">'Uso e Consumo'!C644</f>
        <v>475403</v>
      </c>
      <c r="E644" s="34" t="str">
        <f aca="false">'Uso e Consumo'!D644</f>
        <v>26.04.0085</v>
      </c>
      <c r="F644" s="34" t="str">
        <f aca="false">'Uso e Consumo'!E644</f>
        <v>DESCENSOR AUTO BLOCANTE  COM SISTEMA ANTI-PANICO MODELO D4 P/ CORDA 12MM</v>
      </c>
      <c r="G644" s="34" t="str">
        <f aca="false">'Uso e Consumo'!J644</f>
        <v>UN</v>
      </c>
      <c r="H644" s="49" t="n">
        <f aca="false">'Uso e Consumo'!F644</f>
        <v>3</v>
      </c>
      <c r="I644" s="35" t="n">
        <f aca="false">'Uso e Consumo'!G644</f>
        <v>2022.3</v>
      </c>
      <c r="J644" s="34" t="str">
        <f aca="false">'Uso e Consumo'!M644</f>
        <v>4.3.4.001 - Equipamento de proteção individual</v>
      </c>
      <c r="K644" s="32" t="str">
        <f aca="false">INDEX('Curva ABC'!$K$8:$K$2847,MATCH(D644,'Curva ABC'!$B$8:$B$2847,0))</f>
        <v>B</v>
      </c>
    </row>
    <row r="645" customFormat="false" ht="15" hidden="false" customHeight="false" outlineLevel="0" collapsed="false">
      <c r="A645" s="34" t="s">
        <v>5799</v>
      </c>
      <c r="B645" s="34" t="str">
        <f aca="false">'Uso e Consumo'!A645</f>
        <v>0335</v>
      </c>
      <c r="C645" s="34" t="str">
        <f aca="false">'Uso e Consumo'!B645</f>
        <v>UFV NORONHA VERDE - USO E CONSUMO</v>
      </c>
      <c r="D645" s="33" t="n">
        <f aca="false">'Uso e Consumo'!C645</f>
        <v>1463582</v>
      </c>
      <c r="E645" s="34" t="str">
        <f aca="false">'Uso e Consumo'!D645</f>
        <v>17.01.1231</v>
      </c>
      <c r="F645" s="34" t="str">
        <f aca="false">'Uso e Consumo'!E645</f>
        <v>CABO MULTIPLEXADO EM ALUMÍNIO, CLASSE 2, ISOLAÇÃO EM XLPE 0,6/1KV, 90º, NI, SEÇÃO  3#25(25)MM² (AÉREO)--MM²</v>
      </c>
      <c r="G645" s="34" t="str">
        <f aca="false">'Uso e Consumo'!J645</f>
        <v>M</v>
      </c>
      <c r="H645" s="49" t="n">
        <f aca="false">'Uso e Consumo'!F645</f>
        <v>128.06</v>
      </c>
      <c r="I645" s="35" t="n">
        <f aca="false">'Uso e Consumo'!G645</f>
        <v>2018.97</v>
      </c>
      <c r="J645" s="34" t="str">
        <f aca="false">'Uso e Consumo'!M645</f>
        <v>3.8.1.017 - Instalações elétricas/telefônicas/lógica</v>
      </c>
      <c r="K645" s="32" t="str">
        <f aca="false">INDEX('Curva ABC'!$K$8:$K$2847,MATCH(D645,'Curva ABC'!$B$8:$B$2847,0))</f>
        <v>B</v>
      </c>
    </row>
    <row r="646" customFormat="false" ht="15" hidden="false" customHeight="false" outlineLevel="0" collapsed="false">
      <c r="A646" s="34" t="s">
        <v>5799</v>
      </c>
      <c r="B646" s="34" t="str">
        <f aca="false">'Uso e Consumo'!A646</f>
        <v>0335</v>
      </c>
      <c r="C646" s="34" t="str">
        <f aca="false">'Uso e Consumo'!B646</f>
        <v>UFV NORONHA VERDE - USO E CONSUMO</v>
      </c>
      <c r="D646" s="33" t="n">
        <f aca="false">'Uso e Consumo'!C646</f>
        <v>750176</v>
      </c>
      <c r="E646" s="34" t="str">
        <f aca="false">'Uso e Consumo'!D646</f>
        <v>17.01.1000</v>
      </c>
      <c r="F646" s="34" t="str">
        <f aca="false">'Uso e Consumo'!E646</f>
        <v>CABO PP 3X2 1/2"</v>
      </c>
      <c r="G646" s="34" t="str">
        <f aca="false">'Uso e Consumo'!J646</f>
        <v>UN</v>
      </c>
      <c r="H646" s="49" t="n">
        <f aca="false">'Uso e Consumo'!F646</f>
        <v>42</v>
      </c>
      <c r="I646" s="35" t="n">
        <f aca="false">'Uso e Consumo'!G646</f>
        <v>2016</v>
      </c>
      <c r="J646" s="34" t="str">
        <f aca="false">'Uso e Consumo'!M646</f>
        <v>3.8.1.017 - Instalações elétricas/telefônicas/lógica</v>
      </c>
      <c r="K646" s="32" t="str">
        <f aca="false">INDEX('Curva ABC'!$K$8:$K$2847,MATCH(D646,'Curva ABC'!$B$8:$B$2847,0))</f>
        <v>B</v>
      </c>
    </row>
    <row r="647" customFormat="false" ht="15" hidden="false" customHeight="false" outlineLevel="0" collapsed="false">
      <c r="A647" s="34" t="s">
        <v>5799</v>
      </c>
      <c r="B647" s="34" t="str">
        <f aca="false">'Uso e Consumo'!A647</f>
        <v>0335</v>
      </c>
      <c r="C647" s="34" t="str">
        <f aca="false">'Uso e Consumo'!B647</f>
        <v>UFV NORONHA VERDE - USO E CONSUMO</v>
      </c>
      <c r="D647" s="33" t="n">
        <f aca="false">'Uso e Consumo'!C647</f>
        <v>938707</v>
      </c>
      <c r="E647" s="34" t="str">
        <f aca="false">'Uso e Consumo'!D647</f>
        <v>23.07.1441</v>
      </c>
      <c r="F647" s="34" t="str">
        <f aca="false">'Uso e Consumo'!E647</f>
        <v>PARAFUSO SEXT INOX 8X20 </v>
      </c>
      <c r="G647" s="34" t="str">
        <f aca="false">'Uso e Consumo'!J647</f>
        <v>UN</v>
      </c>
      <c r="H647" s="49" t="n">
        <f aca="false">'Uso e Consumo'!F647</f>
        <v>77</v>
      </c>
      <c r="I647" s="35" t="n">
        <f aca="false">'Uso e Consumo'!G647</f>
        <v>2000.46</v>
      </c>
      <c r="J647" s="34" t="str">
        <f aca="false">'Uso e Consumo'!M647</f>
        <v>3.8.1.022 - Elementos de fixação</v>
      </c>
      <c r="K647" s="32" t="str">
        <f aca="false">INDEX('Curva ABC'!$K$8:$K$2847,MATCH(D647,'Curva ABC'!$B$8:$B$2847,0))</f>
        <v>B</v>
      </c>
    </row>
    <row r="648" customFormat="false" ht="15" hidden="false" customHeight="false" outlineLevel="0" collapsed="false">
      <c r="A648" s="34" t="s">
        <v>5799</v>
      </c>
      <c r="B648" s="34" t="str">
        <f aca="false">'Uso e Consumo'!A648</f>
        <v>0335</v>
      </c>
      <c r="C648" s="34" t="str">
        <f aca="false">'Uso e Consumo'!B648</f>
        <v>UFV NORONHA VERDE - USO E CONSUMO</v>
      </c>
      <c r="D648" s="33" t="n">
        <f aca="false">'Uso e Consumo'!C648</f>
        <v>888065</v>
      </c>
      <c r="E648" s="34" t="str">
        <f aca="false">'Uso e Consumo'!D648</f>
        <v>01.05.0045</v>
      </c>
      <c r="F648" s="34" t="str">
        <f aca="false">'Uso e Consumo'!E648</f>
        <v>TELA SOLDADA AÇO CA-60 NERVURADA Q138 10,00CM X 10,00CM FIO 4,2MM PAINEL 2,45M X 6,00M</v>
      </c>
      <c r="G648" s="34" t="str">
        <f aca="false">'Uso e Consumo'!J648</f>
        <v>UN</v>
      </c>
      <c r="H648" s="49" t="n">
        <f aca="false">'Uso e Consumo'!F648</f>
        <v>9</v>
      </c>
      <c r="I648" s="35" t="n">
        <f aca="false">'Uso e Consumo'!G648</f>
        <v>2000.29</v>
      </c>
      <c r="J648" s="34" t="str">
        <f aca="false">'Uso e Consumo'!M648</f>
        <v>3.8.1.001 - Aços e trefilados</v>
      </c>
      <c r="K648" s="32" t="str">
        <f aca="false">INDEX('Curva ABC'!$K$8:$K$2847,MATCH(D648,'Curva ABC'!$B$8:$B$2847,0))</f>
        <v>B</v>
      </c>
    </row>
    <row r="649" customFormat="false" ht="15" hidden="false" customHeight="false" outlineLevel="0" collapsed="false">
      <c r="A649" s="34" t="s">
        <v>5799</v>
      </c>
      <c r="B649" s="34" t="str">
        <f aca="false">'Uso e Consumo'!A649</f>
        <v>0335</v>
      </c>
      <c r="C649" s="34" t="str">
        <f aca="false">'Uso e Consumo'!B649</f>
        <v>UFV NORONHA VERDE - USO E CONSUMO</v>
      </c>
      <c r="D649" s="33" t="n">
        <f aca="false">'Uso e Consumo'!C649</f>
        <v>59502</v>
      </c>
      <c r="E649" s="34" t="str">
        <f aca="false">'Uso e Consumo'!D649</f>
        <v>25.15.0028</v>
      </c>
      <c r="F649" s="34" t="str">
        <f aca="false">'Uso e Consumo'!E649</f>
        <v>LONA PLASTICA POLIETILENO PRETO 200 MICRAS 6,00M X 100,00M</v>
      </c>
      <c r="G649" s="34" t="str">
        <f aca="false">'Uso e Consumo'!J649</f>
        <v>RL100</v>
      </c>
      <c r="H649" s="49" t="n">
        <f aca="false">'Uso e Consumo'!F649</f>
        <v>1</v>
      </c>
      <c r="I649" s="35" t="n">
        <f aca="false">'Uso e Consumo'!G649</f>
        <v>2000</v>
      </c>
      <c r="J649" s="34" t="str">
        <f aca="false">'Uso e Consumo'!M649</f>
        <v>3.8.2.006 - Utensílios</v>
      </c>
      <c r="K649" s="32" t="str">
        <f aca="false">INDEX('Curva ABC'!$K$8:$K$2847,MATCH(D649,'Curva ABC'!$B$8:$B$2847,0))</f>
        <v>B</v>
      </c>
    </row>
    <row r="650" customFormat="false" ht="15" hidden="false" customHeight="false" outlineLevel="0" collapsed="false">
      <c r="A650" s="34" t="s">
        <v>5799</v>
      </c>
      <c r="B650" s="34" t="str">
        <f aca="false">'Uso e Consumo'!A650</f>
        <v>0335</v>
      </c>
      <c r="C650" s="34" t="str">
        <f aca="false">'Uso e Consumo'!B650</f>
        <v>UFV NORONHA VERDE - USO E CONSUMO</v>
      </c>
      <c r="D650" s="33" t="n">
        <f aca="false">'Uso e Consumo'!C650</f>
        <v>140804</v>
      </c>
      <c r="E650" s="34" t="str">
        <f aca="false">'Uso e Consumo'!D650</f>
        <v>26.13.0103</v>
      </c>
      <c r="F650" s="34" t="str">
        <f aca="false">'Uso e Consumo'!E650</f>
        <v>TECIDO NAPA LISA</v>
      </c>
      <c r="G650" s="34" t="str">
        <f aca="false">'Uso e Consumo'!J650</f>
        <v>M2</v>
      </c>
      <c r="H650" s="49" t="n">
        <f aca="false">'Uso e Consumo'!F650</f>
        <v>80</v>
      </c>
      <c r="I650" s="35" t="n">
        <f aca="false">'Uso e Consumo'!G650</f>
        <v>2000</v>
      </c>
      <c r="J650" s="34" t="str">
        <f aca="false">'Uso e Consumo'!M650</f>
        <v>4.3.4.003 - Fardamentos</v>
      </c>
      <c r="K650" s="32" t="str">
        <f aca="false">INDEX('Curva ABC'!$K$8:$K$2847,MATCH(D650,'Curva ABC'!$B$8:$B$2847,0))</f>
        <v>B</v>
      </c>
    </row>
    <row r="651" customFormat="false" ht="15" hidden="false" customHeight="false" outlineLevel="0" collapsed="false">
      <c r="A651" s="34" t="s">
        <v>5799</v>
      </c>
      <c r="B651" s="34" t="str">
        <f aca="false">'Uso e Consumo'!A651</f>
        <v>0335</v>
      </c>
      <c r="C651" s="34" t="str">
        <f aca="false">'Uso e Consumo'!B651</f>
        <v>UFV NORONHA VERDE - USO E CONSUMO</v>
      </c>
      <c r="D651" s="33" t="n">
        <f aca="false">'Uso e Consumo'!C651</f>
        <v>1327915</v>
      </c>
      <c r="E651" s="34" t="str">
        <f aca="false">'Uso e Consumo'!D651</f>
        <v>08.02.0074</v>
      </c>
      <c r="F651" s="34" t="str">
        <f aca="false">'Uso e Consumo'!E651</f>
        <v>BLOCO L CANALETA 34X14X19 FCK MAIOR OU IGUAL 6MPA</v>
      </c>
      <c r="G651" s="34" t="str">
        <f aca="false">'Uso e Consumo'!J651</f>
        <v>UN</v>
      </c>
      <c r="H651" s="49" t="n">
        <f aca="false">'Uso e Consumo'!F651</f>
        <v>54</v>
      </c>
      <c r="I651" s="35" t="n">
        <f aca="false">'Uso e Consumo'!G651</f>
        <v>1998</v>
      </c>
      <c r="J651" s="34" t="str">
        <f aca="false">'Uso e Consumo'!M651</f>
        <v>3.8.1.018 - Instalações hidráulicas/sanitárias/industriais</v>
      </c>
      <c r="K651" s="32" t="str">
        <f aca="false">INDEX('Curva ABC'!$K$8:$K$2847,MATCH(D651,'Curva ABC'!$B$8:$B$2847,0))</f>
        <v>B</v>
      </c>
    </row>
    <row r="652" customFormat="false" ht="15" hidden="false" customHeight="false" outlineLevel="0" collapsed="false">
      <c r="A652" s="34" t="s">
        <v>5799</v>
      </c>
      <c r="B652" s="34" t="str">
        <f aca="false">'Uso e Consumo'!A652</f>
        <v>0335</v>
      </c>
      <c r="C652" s="34" t="str">
        <f aca="false">'Uso e Consumo'!B652</f>
        <v>UFV NORONHA VERDE - USO E CONSUMO</v>
      </c>
      <c r="D652" s="33" t="n">
        <f aca="false">'Uso e Consumo'!C652</f>
        <v>32168</v>
      </c>
      <c r="E652" s="34" t="str">
        <f aca="false">'Uso e Consumo'!D652</f>
        <v>29.02.0110</v>
      </c>
      <c r="F652" s="34" t="str">
        <f aca="false">'Uso e Consumo'!E652</f>
        <v>CADEIRA ESCRITÓRIO DIRETOR GIRATÓRIA C/ RELAX E C/BRAÇO</v>
      </c>
      <c r="G652" s="34" t="str">
        <f aca="false">'Uso e Consumo'!J652</f>
        <v>UN</v>
      </c>
      <c r="H652" s="49" t="n">
        <f aca="false">'Uso e Consumo'!F652</f>
        <v>5</v>
      </c>
      <c r="I652" s="35" t="n">
        <f aca="false">'Uso e Consumo'!G652</f>
        <v>1995</v>
      </c>
      <c r="J652" s="34" t="str">
        <f aca="false">'Uso e Consumo'!M652</f>
        <v>4.1.1.008 - Mobiliário e acessórios</v>
      </c>
      <c r="K652" s="32" t="str">
        <f aca="false">INDEX('Curva ABC'!$K$8:$K$2847,MATCH(D652,'Curva ABC'!$B$8:$B$2847,0))</f>
        <v>B</v>
      </c>
    </row>
    <row r="653" customFormat="false" ht="15" hidden="false" customHeight="false" outlineLevel="0" collapsed="false">
      <c r="A653" s="34" t="s">
        <v>5799</v>
      </c>
      <c r="B653" s="34" t="str">
        <f aca="false">'Uso e Consumo'!A653</f>
        <v>0335</v>
      </c>
      <c r="C653" s="34" t="str">
        <f aca="false">'Uso e Consumo'!B653</f>
        <v>UFV NORONHA VERDE - USO E CONSUMO</v>
      </c>
      <c r="D653" s="33" t="n">
        <f aca="false">'Uso e Consumo'!C653</f>
        <v>33640</v>
      </c>
      <c r="E653" s="34" t="str">
        <f aca="false">'Uso e Consumo'!D653</f>
        <v>16.03.0105</v>
      </c>
      <c r="F653" s="34" t="str">
        <f aca="false">'Uso e Consumo'!E653</f>
        <v>TINTA ACRILICA PARA PISO BRANCO 18,00 L NBR 11702</v>
      </c>
      <c r="G653" s="34" t="str">
        <f aca="false">'Uso e Consumo'!J653</f>
        <v>L18L</v>
      </c>
      <c r="H653" s="49" t="n">
        <f aca="false">'Uso e Consumo'!F653</f>
        <v>4</v>
      </c>
      <c r="I653" s="35" t="n">
        <f aca="false">'Uso e Consumo'!G653</f>
        <v>1992</v>
      </c>
      <c r="J653" s="34" t="str">
        <f aca="false">'Uso e Consumo'!M653</f>
        <v>3.8.1.016 - Pinturas</v>
      </c>
      <c r="K653" s="32" t="str">
        <f aca="false">INDEX('Curva ABC'!$K$8:$K$2847,MATCH(D653,'Curva ABC'!$B$8:$B$2847,0))</f>
        <v>B</v>
      </c>
    </row>
    <row r="654" customFormat="false" ht="15" hidden="false" customHeight="false" outlineLevel="0" collapsed="false">
      <c r="A654" s="34" t="s">
        <v>5799</v>
      </c>
      <c r="B654" s="34" t="str">
        <f aca="false">'Uso e Consumo'!A654</f>
        <v>0335</v>
      </c>
      <c r="C654" s="34" t="str">
        <f aca="false">'Uso e Consumo'!B654</f>
        <v>UFV NORONHA VERDE - USO E CONSUMO</v>
      </c>
      <c r="D654" s="33" t="n">
        <f aca="false">'Uso e Consumo'!C654</f>
        <v>143228</v>
      </c>
      <c r="E654" s="34" t="str">
        <f aca="false">'Uso e Consumo'!D654</f>
        <v>29.02.0248</v>
      </c>
      <c r="F654" s="34" t="str">
        <f aca="false">'Uso e Consumo'!E654</f>
        <v>MANTA CASAL MICROFIBRA </v>
      </c>
      <c r="G654" s="34" t="str">
        <f aca="false">'Uso e Consumo'!J654</f>
        <v>UN</v>
      </c>
      <c r="H654" s="49" t="n">
        <f aca="false">'Uso e Consumo'!F654</f>
        <v>60</v>
      </c>
      <c r="I654" s="35" t="n">
        <f aca="false">'Uso e Consumo'!G654</f>
        <v>1989.675</v>
      </c>
      <c r="J654" s="34" t="str">
        <f aca="false">'Uso e Consumo'!M654</f>
        <v>4.1.1.008 - Mobiliário e acessórios</v>
      </c>
      <c r="K654" s="32" t="str">
        <f aca="false">INDEX('Curva ABC'!$K$8:$K$2847,MATCH(D654,'Curva ABC'!$B$8:$B$2847,0))</f>
        <v>B</v>
      </c>
    </row>
    <row r="655" customFormat="false" ht="15" hidden="false" customHeight="false" outlineLevel="0" collapsed="false">
      <c r="A655" s="34" t="s">
        <v>5799</v>
      </c>
      <c r="B655" s="34" t="str">
        <f aca="false">'Uso e Consumo'!A655</f>
        <v>0335</v>
      </c>
      <c r="C655" s="34" t="str">
        <f aca="false">'Uso e Consumo'!B655</f>
        <v>UFV NORONHA VERDE - USO E CONSUMO</v>
      </c>
      <c r="D655" s="33" t="n">
        <f aca="false">'Uso e Consumo'!C655</f>
        <v>1327761</v>
      </c>
      <c r="E655" s="34" t="str">
        <f aca="false">'Uso e Consumo'!D655</f>
        <v>18.03.0201</v>
      </c>
      <c r="F655" s="34" t="str">
        <f aca="false">'Uso e Consumo'!E655</f>
        <v>TUBO FERRO FUNDIDO CLASSE K7 75MM</v>
      </c>
      <c r="G655" s="34" t="str">
        <f aca="false">'Uso e Consumo'!J655</f>
        <v>M</v>
      </c>
      <c r="H655" s="49" t="n">
        <f aca="false">'Uso e Consumo'!F655</f>
        <v>2.5</v>
      </c>
      <c r="I655" s="35" t="n">
        <f aca="false">'Uso e Consumo'!G655</f>
        <v>1987.35</v>
      </c>
      <c r="J655" s="34" t="str">
        <f aca="false">'Uso e Consumo'!M655</f>
        <v>3.8.1.018 - Instalações hidráulicas/sanitárias/industriais</v>
      </c>
      <c r="K655" s="32" t="str">
        <f aca="false">INDEX('Curva ABC'!$K$8:$K$2847,MATCH(D655,'Curva ABC'!$B$8:$B$2847,0))</f>
        <v>B</v>
      </c>
    </row>
    <row r="656" customFormat="false" ht="15" hidden="false" customHeight="false" outlineLevel="0" collapsed="false">
      <c r="A656" s="34" t="s">
        <v>5799</v>
      </c>
      <c r="B656" s="34" t="str">
        <f aca="false">'Uso e Consumo'!A656</f>
        <v>0335</v>
      </c>
      <c r="C656" s="34" t="str">
        <f aca="false">'Uso e Consumo'!B656</f>
        <v>UFV NORONHA VERDE - USO E CONSUMO</v>
      </c>
      <c r="D656" s="33" t="n">
        <f aca="false">'Uso e Consumo'!C656</f>
        <v>1614267</v>
      </c>
      <c r="E656" s="34" t="str">
        <f aca="false">'Uso e Consumo'!D656</f>
        <v>17.03.0614</v>
      </c>
      <c r="F656" s="34" t="str">
        <f aca="false">'Uso e Consumo'!E656</f>
        <v>TAMPA DE ENCAIXE PARA ELETROCALHA TIPO U PERFURADA 200X100MM COMPRIMENTO 3,0M</v>
      </c>
      <c r="G656" s="34" t="str">
        <f aca="false">'Uso e Consumo'!J656</f>
        <v>UN</v>
      </c>
      <c r="H656" s="49" t="n">
        <f aca="false">'Uso e Consumo'!F656</f>
        <v>10</v>
      </c>
      <c r="I656" s="35" t="n">
        <f aca="false">'Uso e Consumo'!G656</f>
        <v>1986.5</v>
      </c>
      <c r="J656" s="34" t="str">
        <f aca="false">'Uso e Consumo'!M656</f>
        <v>3.8.1.017 - Instalações elétricas/telefônicas/lógica</v>
      </c>
      <c r="K656" s="32" t="str">
        <f aca="false">INDEX('Curva ABC'!$K$8:$K$2847,MATCH(D656,'Curva ABC'!$B$8:$B$2847,0))</f>
        <v>B</v>
      </c>
    </row>
    <row r="657" customFormat="false" ht="15" hidden="false" customHeight="false" outlineLevel="0" collapsed="false">
      <c r="A657" s="34" t="s">
        <v>5799</v>
      </c>
      <c r="B657" s="34" t="str">
        <f aca="false">'Uso e Consumo'!A657</f>
        <v>0335</v>
      </c>
      <c r="C657" s="34" t="str">
        <f aca="false">'Uso e Consumo'!B657</f>
        <v>UFV NORONHA VERDE - USO E CONSUMO</v>
      </c>
      <c r="D657" s="33" t="n">
        <f aca="false">'Uso e Consumo'!C657</f>
        <v>1229052</v>
      </c>
      <c r="E657" s="34" t="str">
        <f aca="false">'Uso e Consumo'!D657</f>
        <v>17.02.0827</v>
      </c>
      <c r="F657" s="34" t="str">
        <f aca="false">'Uso e Consumo'!E657</f>
        <v>ELETRODUTO METÁLICO FLEXÍVEL TIPO SEALTUBO 3"</v>
      </c>
      <c r="G657" s="34" t="str">
        <f aca="false">'Uso e Consumo'!J657</f>
        <v>M</v>
      </c>
      <c r="H657" s="49" t="n">
        <f aca="false">'Uso e Consumo'!F657</f>
        <v>21</v>
      </c>
      <c r="I657" s="35" t="n">
        <f aca="false">'Uso e Consumo'!G657</f>
        <v>1985.64</v>
      </c>
      <c r="J657" s="34" t="str">
        <f aca="false">'Uso e Consumo'!M657</f>
        <v>3.8.1.017 - Instalações elétricas/telefônicas/lógica</v>
      </c>
      <c r="K657" s="32" t="str">
        <f aca="false">INDEX('Curva ABC'!$K$8:$K$2847,MATCH(D657,'Curva ABC'!$B$8:$B$2847,0))</f>
        <v>B</v>
      </c>
    </row>
    <row r="658" customFormat="false" ht="15" hidden="false" customHeight="false" outlineLevel="0" collapsed="false">
      <c r="A658" s="34" t="s">
        <v>5799</v>
      </c>
      <c r="B658" s="34" t="str">
        <f aca="false">'Uso e Consumo'!A658</f>
        <v>0335</v>
      </c>
      <c r="C658" s="34" t="str">
        <f aca="false">'Uso e Consumo'!B658</f>
        <v>UFV NORONHA VERDE - USO E CONSUMO</v>
      </c>
      <c r="D658" s="33" t="n">
        <f aca="false">'Uso e Consumo'!C658</f>
        <v>281750</v>
      </c>
      <c r="E658" s="34" t="str">
        <f aca="false">'Uso e Consumo'!D658</f>
        <v>17.19.0028</v>
      </c>
      <c r="F658" s="34" t="str">
        <f aca="false">'Uso e Consumo'!E658</f>
        <v>FITA ISOLANTE 23 BR AUTOFUSÃO 19MMX10M</v>
      </c>
      <c r="G658" s="34" t="str">
        <f aca="false">'Uso e Consumo'!J658</f>
        <v>rl</v>
      </c>
      <c r="H658" s="49" t="n">
        <f aca="false">'Uso e Consumo'!F658</f>
        <v>69</v>
      </c>
      <c r="I658" s="35" t="n">
        <f aca="false">'Uso e Consumo'!G658</f>
        <v>1985.0788</v>
      </c>
      <c r="J658" s="34" t="str">
        <f aca="false">'Uso e Consumo'!M658</f>
        <v>3.8.1.017 - Instalações elétricas/telefônicas/lógica</v>
      </c>
      <c r="K658" s="32" t="str">
        <f aca="false">INDEX('Curva ABC'!$K$8:$K$2847,MATCH(D658,'Curva ABC'!$B$8:$B$2847,0))</f>
        <v>B</v>
      </c>
    </row>
    <row r="659" customFormat="false" ht="15" hidden="false" customHeight="false" outlineLevel="0" collapsed="false">
      <c r="A659" s="34" t="s">
        <v>5799</v>
      </c>
      <c r="B659" s="34" t="str">
        <f aca="false">'Uso e Consumo'!A659</f>
        <v>0335</v>
      </c>
      <c r="C659" s="34" t="str">
        <f aca="false">'Uso e Consumo'!B659</f>
        <v>UFV NORONHA VERDE - USO E CONSUMO</v>
      </c>
      <c r="D659" s="33" t="n">
        <f aca="false">'Uso e Consumo'!C659</f>
        <v>1016525</v>
      </c>
      <c r="E659" s="34" t="str">
        <f aca="false">'Uso e Consumo'!D659</f>
        <v>33.02.2827</v>
      </c>
      <c r="F659" s="34" t="str">
        <f aca="false">'Uso e Consumo'!E659</f>
        <v>CANTO LATERAL LD JCB 400/F0345</v>
      </c>
      <c r="G659" s="34" t="str">
        <f aca="false">'Uso e Consumo'!J659</f>
        <v>UN</v>
      </c>
      <c r="H659" s="49" t="n">
        <f aca="false">'Uso e Consumo'!F659</f>
        <v>1</v>
      </c>
      <c r="I659" s="35" t="n">
        <f aca="false">'Uso e Consumo'!G659</f>
        <v>1985</v>
      </c>
      <c r="J659" s="34" t="str">
        <f aca="false">'Uso e Consumo'!M659</f>
        <v>3.1.6.002 - Pneus e peças</v>
      </c>
      <c r="K659" s="32" t="str">
        <f aca="false">INDEX('Curva ABC'!$K$8:$K$2847,MATCH(D659,'Curva ABC'!$B$8:$B$2847,0))</f>
        <v>B</v>
      </c>
    </row>
    <row r="660" customFormat="false" ht="15" hidden="false" customHeight="false" outlineLevel="0" collapsed="false">
      <c r="A660" s="34" t="s">
        <v>5799</v>
      </c>
      <c r="B660" s="34" t="str">
        <f aca="false">'Uso e Consumo'!A660</f>
        <v>0335</v>
      </c>
      <c r="C660" s="34" t="str">
        <f aca="false">'Uso e Consumo'!B660</f>
        <v>UFV NORONHA VERDE - USO E CONSUMO</v>
      </c>
      <c r="D660" s="33" t="n">
        <f aca="false">'Uso e Consumo'!C660</f>
        <v>1327846</v>
      </c>
      <c r="E660" s="34" t="str">
        <f aca="false">'Uso e Consumo'!D660</f>
        <v>18.03.0204</v>
      </c>
      <c r="F660" s="34" t="str">
        <f aca="false">'Uso e Consumo'!E660</f>
        <v>TÊ FERRO FUNDIDO Ø100MM BOLSAXBOLSAXBOLSA</v>
      </c>
      <c r="G660" s="34" t="str">
        <f aca="false">'Uso e Consumo'!J660</f>
        <v>UN</v>
      </c>
      <c r="H660" s="49" t="n">
        <f aca="false">'Uso e Consumo'!F660</f>
        <v>2</v>
      </c>
      <c r="I660" s="35" t="n">
        <f aca="false">'Uso e Consumo'!G660</f>
        <v>1985</v>
      </c>
      <c r="J660" s="34" t="str">
        <f aca="false">'Uso e Consumo'!M660</f>
        <v>3.8.1.018 - Instalações hidráulicas/sanitárias/industriais</v>
      </c>
      <c r="K660" s="32" t="str">
        <f aca="false">INDEX('Curva ABC'!$K$8:$K$2847,MATCH(D660,'Curva ABC'!$B$8:$B$2847,0))</f>
        <v>B</v>
      </c>
    </row>
    <row r="661" customFormat="false" ht="15" hidden="false" customHeight="false" outlineLevel="0" collapsed="false">
      <c r="A661" s="34" t="s">
        <v>5799</v>
      </c>
      <c r="B661" s="34" t="str">
        <f aca="false">'Uso e Consumo'!A661</f>
        <v>0335</v>
      </c>
      <c r="C661" s="34" t="str">
        <f aca="false">'Uso e Consumo'!B661</f>
        <v>UFV NORONHA VERDE - USO E CONSUMO</v>
      </c>
      <c r="D661" s="33" t="n">
        <f aca="false">'Uso e Consumo'!C661</f>
        <v>19756</v>
      </c>
      <c r="E661" s="34" t="str">
        <f aca="false">'Uso e Consumo'!D661</f>
        <v>30.03.0029</v>
      </c>
      <c r="F661" s="34" t="str">
        <f aca="false">'Uso e Consumo'!E661</f>
        <v>SACO PLÁSTICO LIXO REFORCADO 200,00L S/IMPRESSAO C/100</v>
      </c>
      <c r="G661" s="34" t="str">
        <f aca="false">'Uso e Consumo'!J661</f>
        <v>UN</v>
      </c>
      <c r="H661" s="49" t="n">
        <f aca="false">'Uso e Consumo'!F661</f>
        <v>30</v>
      </c>
      <c r="I661" s="35" t="n">
        <f aca="false">'Uso e Consumo'!G661</f>
        <v>1980</v>
      </c>
      <c r="J661" s="34" t="str">
        <f aca="false">'Uso e Consumo'!M661</f>
        <v>4.1.1.003 - Material limpeza</v>
      </c>
      <c r="K661" s="32" t="str">
        <f aca="false">INDEX('Curva ABC'!$K$8:$K$2847,MATCH(D661,'Curva ABC'!$B$8:$B$2847,0))</f>
        <v>B</v>
      </c>
    </row>
    <row r="662" customFormat="false" ht="15" hidden="false" customHeight="false" outlineLevel="0" collapsed="false">
      <c r="A662" s="34" t="s">
        <v>5799</v>
      </c>
      <c r="B662" s="34" t="str">
        <f aca="false">'Uso e Consumo'!A662</f>
        <v>0335</v>
      </c>
      <c r="C662" s="34" t="str">
        <f aca="false">'Uso e Consumo'!B662</f>
        <v>UFV NORONHA VERDE - USO E CONSUMO</v>
      </c>
      <c r="D662" s="33" t="n">
        <f aca="false">'Uso e Consumo'!C662</f>
        <v>942231</v>
      </c>
      <c r="E662" s="34" t="str">
        <f aca="false">'Uso e Consumo'!D662</f>
        <v>01.02.0052</v>
      </c>
      <c r="F662" s="34" t="str">
        <f aca="false">'Uso e Consumo'!E662</f>
        <v>VERGALHÃO GALV. ROSCA TOTAL 1/4" C/ 3 METROS</v>
      </c>
      <c r="G662" s="34" t="str">
        <f aca="false">'Uso e Consumo'!J662</f>
        <v>UN</v>
      </c>
      <c r="H662" s="49" t="n">
        <f aca="false">'Uso e Consumo'!F662</f>
        <v>10</v>
      </c>
      <c r="I662" s="35" t="n">
        <f aca="false">'Uso e Consumo'!G662</f>
        <v>1980</v>
      </c>
      <c r="J662" s="34" t="str">
        <f aca="false">'Uso e Consumo'!M662</f>
        <v>3.8.1.001 - Aços e trefilados</v>
      </c>
      <c r="K662" s="32" t="str">
        <f aca="false">INDEX('Curva ABC'!$K$8:$K$2847,MATCH(D662,'Curva ABC'!$B$8:$B$2847,0))</f>
        <v>B</v>
      </c>
    </row>
    <row r="663" customFormat="false" ht="15" hidden="false" customHeight="false" outlineLevel="0" collapsed="false">
      <c r="A663" s="34" t="s">
        <v>5799</v>
      </c>
      <c r="B663" s="34" t="str">
        <f aca="false">'Uso e Consumo'!A663</f>
        <v>0335</v>
      </c>
      <c r="C663" s="34" t="str">
        <f aca="false">'Uso e Consumo'!B663</f>
        <v>UFV NORONHA VERDE - USO E CONSUMO</v>
      </c>
      <c r="D663" s="33" t="n">
        <f aca="false">'Uso e Consumo'!C663</f>
        <v>1317606</v>
      </c>
      <c r="E663" s="34" t="str">
        <f aca="false">'Uso e Consumo'!D663</f>
        <v>25.13.0150</v>
      </c>
      <c r="F663" s="34" t="str">
        <f aca="false">'Uso e Consumo'!E663</f>
        <v>MANGOTE VIBRADOR 45MM</v>
      </c>
      <c r="G663" s="34" t="str">
        <f aca="false">'Uso e Consumo'!J663</f>
        <v>UN</v>
      </c>
      <c r="H663" s="49" t="n">
        <f aca="false">'Uso e Consumo'!F663</f>
        <v>2</v>
      </c>
      <c r="I663" s="35" t="n">
        <f aca="false">'Uso e Consumo'!G663</f>
        <v>1980</v>
      </c>
      <c r="J663" s="34" t="str">
        <f aca="false">'Uso e Consumo'!M663</f>
        <v>3.8.1.018 - Instalações hidráulicas/sanitárias/industriais</v>
      </c>
      <c r="K663" s="32" t="str">
        <f aca="false">INDEX('Curva ABC'!$K$8:$K$2847,MATCH(D663,'Curva ABC'!$B$8:$B$2847,0))</f>
        <v>B</v>
      </c>
    </row>
    <row r="664" customFormat="false" ht="15" hidden="false" customHeight="false" outlineLevel="0" collapsed="false">
      <c r="A664" s="34" t="s">
        <v>5799</v>
      </c>
      <c r="B664" s="34" t="str">
        <f aca="false">'Uso e Consumo'!A664</f>
        <v>0335</v>
      </c>
      <c r="C664" s="34" t="str">
        <f aca="false">'Uso e Consumo'!B664</f>
        <v>UFV NORONHA VERDE - USO E CONSUMO</v>
      </c>
      <c r="D664" s="33" t="n">
        <f aca="false">'Uso e Consumo'!C664</f>
        <v>1475784</v>
      </c>
      <c r="E664" s="34" t="str">
        <f aca="false">'Uso e Consumo'!D664</f>
        <v>24.32.0049</v>
      </c>
      <c r="F664" s="34" t="str">
        <f aca="false">'Uso e Consumo'!E664</f>
        <v>BOLSA DE LONA REFORÇADA PARA IÇAMENTO DE FERRAMENTAS</v>
      </c>
      <c r="G664" s="34" t="str">
        <f aca="false">'Uso e Consumo'!J664</f>
        <v>UN</v>
      </c>
      <c r="H664" s="49" t="n">
        <f aca="false">'Uso e Consumo'!F664</f>
        <v>10</v>
      </c>
      <c r="I664" s="35" t="n">
        <f aca="false">'Uso e Consumo'!G664</f>
        <v>1980</v>
      </c>
      <c r="J664" s="34" t="str">
        <f aca="false">'Uso e Consumo'!M664</f>
        <v>6.1.2.002 - Ferramentas e utensílios</v>
      </c>
      <c r="K664" s="32" t="str">
        <f aca="false">INDEX('Curva ABC'!$K$8:$K$2847,MATCH(D664,'Curva ABC'!$B$8:$B$2847,0))</f>
        <v>B</v>
      </c>
    </row>
    <row r="665" customFormat="false" ht="15" hidden="false" customHeight="false" outlineLevel="0" collapsed="false">
      <c r="A665" s="34" t="s">
        <v>5799</v>
      </c>
      <c r="B665" s="34" t="str">
        <f aca="false">'Uso e Consumo'!A665</f>
        <v>0335</v>
      </c>
      <c r="C665" s="34" t="str">
        <f aca="false">'Uso e Consumo'!B665</f>
        <v>UFV NORONHA VERDE - USO E CONSUMO</v>
      </c>
      <c r="D665" s="33" t="n">
        <f aca="false">'Uso e Consumo'!C665</f>
        <v>56122</v>
      </c>
      <c r="E665" s="34" t="str">
        <f aca="false">'Uso e Consumo'!D665</f>
        <v>23.10.0010</v>
      </c>
      <c r="F665" s="34" t="str">
        <f aca="false">'Uso e Consumo'!E665</f>
        <v>CHUMBADOR PARABOLT AÇO CARBONO  CBA  5/16" X 3.1/4"</v>
      </c>
      <c r="G665" s="34" t="str">
        <f aca="false">'Uso e Consumo'!J665</f>
        <v>UN</v>
      </c>
      <c r="H665" s="49" t="n">
        <f aca="false">'Uso e Consumo'!F665</f>
        <v>80</v>
      </c>
      <c r="I665" s="35" t="n">
        <f aca="false">'Uso e Consumo'!G665</f>
        <v>1979.99</v>
      </c>
      <c r="J665" s="34" t="str">
        <f aca="false">'Uso e Consumo'!M665</f>
        <v>3.8.1.022 - Elementos de fixação</v>
      </c>
      <c r="K665" s="32" t="str">
        <f aca="false">INDEX('Curva ABC'!$K$8:$K$2847,MATCH(D665,'Curva ABC'!$B$8:$B$2847,0))</f>
        <v>B</v>
      </c>
    </row>
    <row r="666" customFormat="false" ht="15" hidden="false" customHeight="false" outlineLevel="0" collapsed="false">
      <c r="A666" s="34" t="s">
        <v>5799</v>
      </c>
      <c r="B666" s="34" t="str">
        <f aca="false">'Uso e Consumo'!A666</f>
        <v>0335</v>
      </c>
      <c r="C666" s="34" t="str">
        <f aca="false">'Uso e Consumo'!B666</f>
        <v>UFV NORONHA VERDE - USO E CONSUMO</v>
      </c>
      <c r="D666" s="33" t="n">
        <f aca="false">'Uso e Consumo'!C666</f>
        <v>553351</v>
      </c>
      <c r="E666" s="34" t="str">
        <f aca="false">'Uso e Consumo'!D666</f>
        <v>18.07.0072</v>
      </c>
      <c r="F666" s="34" t="str">
        <f aca="false">'Uso e Consumo'!E666</f>
        <v>CAIXA SEPARADORA DE ÁGUA E ÓLEO</v>
      </c>
      <c r="G666" s="34" t="str">
        <f aca="false">'Uso e Consumo'!J666</f>
        <v>UN</v>
      </c>
      <c r="H666" s="49" t="n">
        <f aca="false">'Uso e Consumo'!F666</f>
        <v>1</v>
      </c>
      <c r="I666" s="35" t="n">
        <f aca="false">'Uso e Consumo'!G666</f>
        <v>1977.6</v>
      </c>
      <c r="J666" s="34" t="str">
        <f aca="false">'Uso e Consumo'!M666</f>
        <v>3.8.1.018 - Instalações hidráulicas/sanitárias/industriais</v>
      </c>
      <c r="K666" s="32" t="str">
        <f aca="false">INDEX('Curva ABC'!$K$8:$K$2847,MATCH(D666,'Curva ABC'!$B$8:$B$2847,0))</f>
        <v>B</v>
      </c>
    </row>
    <row r="667" customFormat="false" ht="15" hidden="false" customHeight="false" outlineLevel="0" collapsed="false">
      <c r="A667" s="34" t="s">
        <v>5799</v>
      </c>
      <c r="B667" s="34" t="str">
        <f aca="false">'Uso e Consumo'!A667</f>
        <v>0335</v>
      </c>
      <c r="C667" s="34" t="str">
        <f aca="false">'Uso e Consumo'!B667</f>
        <v>UFV NORONHA VERDE - USO E CONSUMO</v>
      </c>
      <c r="D667" s="33" t="n">
        <f aca="false">'Uso e Consumo'!C667</f>
        <v>18819</v>
      </c>
      <c r="E667" s="34" t="str">
        <f aca="false">'Uso e Consumo'!D667</f>
        <v>26.02.0023</v>
      </c>
      <c r="F667" s="34" t="str">
        <f aca="false">'Uso e Consumo'!E667</f>
        <v>BOTA IMPERMEÁVEL DE PVC CANO LONGO - COR PRETA - Nº 40 (CA-26629/10199/28286)</v>
      </c>
      <c r="G667" s="34" t="str">
        <f aca="false">'Uso e Consumo'!J667</f>
        <v>PAR</v>
      </c>
      <c r="H667" s="49" t="n">
        <f aca="false">'Uso e Consumo'!F667</f>
        <v>65</v>
      </c>
      <c r="I667" s="35" t="n">
        <f aca="false">'Uso e Consumo'!G667</f>
        <v>1974.6</v>
      </c>
      <c r="J667" s="34" t="str">
        <f aca="false">'Uso e Consumo'!M667</f>
        <v>4.3.4.001 - Equipamento de proteção individual</v>
      </c>
      <c r="K667" s="32" t="str">
        <f aca="false">INDEX('Curva ABC'!$K$8:$K$2847,MATCH(D667,'Curva ABC'!$B$8:$B$2847,0))</f>
        <v>B</v>
      </c>
    </row>
    <row r="668" customFormat="false" ht="15" hidden="false" customHeight="false" outlineLevel="0" collapsed="false">
      <c r="A668" s="34" t="s">
        <v>5799</v>
      </c>
      <c r="B668" s="34" t="str">
        <f aca="false">'Uso e Consumo'!A668</f>
        <v>0335</v>
      </c>
      <c r="C668" s="34" t="str">
        <f aca="false">'Uso e Consumo'!B668</f>
        <v>UFV NORONHA VERDE - USO E CONSUMO</v>
      </c>
      <c r="D668" s="33" t="n">
        <f aca="false">'Uso e Consumo'!C668</f>
        <v>137402</v>
      </c>
      <c r="E668" s="34" t="str">
        <f aca="false">'Uso e Consumo'!D668</f>
        <v>26.01.0027</v>
      </c>
      <c r="F668" s="34" t="str">
        <f aca="false">'Uso e Consumo'!E668</f>
        <v>COLETE REFLETIVO TIPO BLUSÃO - 4 BOLSOS - COR VERDE - TAM. GG</v>
      </c>
      <c r="G668" s="34" t="str">
        <f aca="false">'Uso e Consumo'!J668</f>
        <v>UN</v>
      </c>
      <c r="H668" s="49" t="n">
        <f aca="false">'Uso e Consumo'!F668</f>
        <v>65</v>
      </c>
      <c r="I668" s="35" t="n">
        <f aca="false">'Uso e Consumo'!G668</f>
        <v>1966.35</v>
      </c>
      <c r="J668" s="34" t="str">
        <f aca="false">'Uso e Consumo'!M668</f>
        <v>4.3.4.001 - Equipamento de proteção individual</v>
      </c>
      <c r="K668" s="32" t="str">
        <f aca="false">INDEX('Curva ABC'!$K$8:$K$2847,MATCH(D668,'Curva ABC'!$B$8:$B$2847,0))</f>
        <v>B</v>
      </c>
    </row>
    <row r="669" customFormat="false" ht="15" hidden="false" customHeight="false" outlineLevel="0" collapsed="false">
      <c r="A669" s="34" t="s">
        <v>5799</v>
      </c>
      <c r="B669" s="34" t="str">
        <f aca="false">'Uso e Consumo'!A669</f>
        <v>0335</v>
      </c>
      <c r="C669" s="34" t="str">
        <f aca="false">'Uso e Consumo'!B669</f>
        <v>UFV NORONHA VERDE - USO E CONSUMO</v>
      </c>
      <c r="D669" s="33" t="n">
        <f aca="false">'Uso e Consumo'!C669</f>
        <v>946742</v>
      </c>
      <c r="E669" s="34" t="str">
        <f aca="false">'Uso e Consumo'!D669</f>
        <v>24.07.0033</v>
      </c>
      <c r="F669" s="34" t="str">
        <f aca="false">'Uso e Consumo'!E669</f>
        <v>TRENA DE ACO 5M</v>
      </c>
      <c r="G669" s="34" t="str">
        <f aca="false">'Uso e Consumo'!J669</f>
        <v>UN</v>
      </c>
      <c r="H669" s="49" t="n">
        <f aca="false">'Uso e Consumo'!F669</f>
        <v>20</v>
      </c>
      <c r="I669" s="35" t="n">
        <f aca="false">'Uso e Consumo'!G669</f>
        <v>1954</v>
      </c>
      <c r="J669" s="34" t="str">
        <f aca="false">'Uso e Consumo'!M669</f>
        <v>3.8.2.001 - Ferramentas medição/aferição</v>
      </c>
      <c r="K669" s="32" t="str">
        <f aca="false">INDEX('Curva ABC'!$K$8:$K$2847,MATCH(D669,'Curva ABC'!$B$8:$B$2847,0))</f>
        <v>B</v>
      </c>
    </row>
    <row r="670" customFormat="false" ht="15" hidden="false" customHeight="false" outlineLevel="0" collapsed="false">
      <c r="A670" s="34" t="s">
        <v>5799</v>
      </c>
      <c r="B670" s="34" t="str">
        <f aca="false">'Uso e Consumo'!A670</f>
        <v>0335</v>
      </c>
      <c r="C670" s="34" t="str">
        <f aca="false">'Uso e Consumo'!B670</f>
        <v>UFV NORONHA VERDE - USO E CONSUMO</v>
      </c>
      <c r="D670" s="33" t="n">
        <f aca="false">'Uso e Consumo'!C670</f>
        <v>22728</v>
      </c>
      <c r="E670" s="34" t="str">
        <f aca="false">'Uso e Consumo'!D670</f>
        <v>24.08.0015</v>
      </c>
      <c r="F670" s="34" t="str">
        <f aca="false">'Uso e Consumo'!E670</f>
        <v>TORQUÊS ARMADOR 15" REFORÇADA</v>
      </c>
      <c r="G670" s="34" t="str">
        <f aca="false">'Uso e Consumo'!J670</f>
        <v>UN</v>
      </c>
      <c r="H670" s="49" t="n">
        <f aca="false">'Uso e Consumo'!F670</f>
        <v>10</v>
      </c>
      <c r="I670" s="35" t="n">
        <f aca="false">'Uso e Consumo'!G670</f>
        <v>1949</v>
      </c>
      <c r="J670" s="34" t="str">
        <f aca="false">'Uso e Consumo'!M670</f>
        <v>3.8.2.002 - Ferramentas manuais</v>
      </c>
      <c r="K670" s="32" t="str">
        <f aca="false">INDEX('Curva ABC'!$K$8:$K$2847,MATCH(D670,'Curva ABC'!$B$8:$B$2847,0))</f>
        <v>B</v>
      </c>
    </row>
    <row r="671" customFormat="false" ht="15" hidden="false" customHeight="false" outlineLevel="0" collapsed="false">
      <c r="A671" s="34" t="s">
        <v>5799</v>
      </c>
      <c r="B671" s="34" t="str">
        <f aca="false">'Uso e Consumo'!A671</f>
        <v>0335</v>
      </c>
      <c r="C671" s="34" t="str">
        <f aca="false">'Uso e Consumo'!B671</f>
        <v>UFV NORONHA VERDE - USO E CONSUMO</v>
      </c>
      <c r="D671" s="33" t="n">
        <f aca="false">'Uso e Consumo'!C671</f>
        <v>1388091</v>
      </c>
      <c r="E671" s="34" t="str">
        <f aca="false">'Uso e Consumo'!D671</f>
        <v>17.02.0890</v>
      </c>
      <c r="F671" s="34" t="str">
        <f aca="false">'Uso e Consumo'!E671</f>
        <v>PORCA PARA ELETRODUTO, DE LIGA DE ALUMÍNIO Ø 3"</v>
      </c>
      <c r="G671" s="34" t="str">
        <f aca="false">'Uso e Consumo'!J671</f>
        <v>UN</v>
      </c>
      <c r="H671" s="49" t="n">
        <f aca="false">'Uso e Consumo'!F671</f>
        <v>65</v>
      </c>
      <c r="I671" s="35" t="n">
        <f aca="false">'Uso e Consumo'!G671</f>
        <v>1947.59</v>
      </c>
      <c r="J671" s="34" t="str">
        <f aca="false">'Uso e Consumo'!M671</f>
        <v>3.8.1.017 - Instalações elétricas/telefônicas/lógica</v>
      </c>
      <c r="K671" s="32" t="str">
        <f aca="false">INDEX('Curva ABC'!$K$8:$K$2847,MATCH(D671,'Curva ABC'!$B$8:$B$2847,0))</f>
        <v>B</v>
      </c>
    </row>
    <row r="672" customFormat="false" ht="15" hidden="false" customHeight="false" outlineLevel="0" collapsed="false">
      <c r="A672" s="34" t="s">
        <v>5799</v>
      </c>
      <c r="B672" s="34" t="str">
        <f aca="false">'Uso e Consumo'!A672</f>
        <v>0335</v>
      </c>
      <c r="C672" s="34" t="str">
        <f aca="false">'Uso e Consumo'!B672</f>
        <v>UFV NORONHA VERDE - USO E CONSUMO</v>
      </c>
      <c r="D672" s="33" t="n">
        <f aca="false">'Uso e Consumo'!C672</f>
        <v>32885</v>
      </c>
      <c r="E672" s="34" t="str">
        <f aca="false">'Uso e Consumo'!D672</f>
        <v>29.01.0244</v>
      </c>
      <c r="F672" s="34" t="str">
        <f aca="false">'Uso e Consumo'!E672</f>
        <v>RACK 20U</v>
      </c>
      <c r="G672" s="34" t="str">
        <f aca="false">'Uso e Consumo'!J672</f>
        <v>UN</v>
      </c>
      <c r="H672" s="49" t="n">
        <f aca="false">'Uso e Consumo'!F672</f>
        <v>1</v>
      </c>
      <c r="I672" s="35" t="n">
        <f aca="false">'Uso e Consumo'!G672</f>
        <v>1946.44</v>
      </c>
      <c r="J672" s="34" t="str">
        <f aca="false">'Uso e Consumo'!M672</f>
        <v>4.1.1.007 - Equipamentos e acessórios para informática</v>
      </c>
      <c r="K672" s="32" t="str">
        <f aca="false">INDEX('Curva ABC'!$K$8:$K$2847,MATCH(D672,'Curva ABC'!$B$8:$B$2847,0))</f>
        <v>B</v>
      </c>
    </row>
    <row r="673" customFormat="false" ht="15" hidden="false" customHeight="false" outlineLevel="0" collapsed="false">
      <c r="A673" s="34" t="s">
        <v>5799</v>
      </c>
      <c r="B673" s="34" t="str">
        <f aca="false">'Uso e Consumo'!A673</f>
        <v>0335</v>
      </c>
      <c r="C673" s="34" t="str">
        <f aca="false">'Uso e Consumo'!B673</f>
        <v>UFV NORONHA VERDE - USO E CONSUMO</v>
      </c>
      <c r="D673" s="33" t="n">
        <f aca="false">'Uso e Consumo'!C673</f>
        <v>1326640</v>
      </c>
      <c r="E673" s="34" t="str">
        <f aca="false">'Uso e Consumo'!D673</f>
        <v>17.16.0667</v>
      </c>
      <c r="F673" s="34" t="str">
        <f aca="false">'Uso e Consumo'!E673</f>
        <v>CONECTOR DE COBRE, PARA FIXAÇÃO DE 1 CABO DE COBRE 70 A 120 mm² EM SUPERFÍCIE DE CONCRETO, COM PARAFUSO AUTOATARRAXANTE </v>
      </c>
      <c r="G673" s="34" t="str">
        <f aca="false">'Uso e Consumo'!J673</f>
        <v>pç</v>
      </c>
      <c r="H673" s="49" t="n">
        <f aca="false">'Uso e Consumo'!F673</f>
        <v>40</v>
      </c>
      <c r="I673" s="35" t="n">
        <f aca="false">'Uso e Consumo'!G673</f>
        <v>1940.8</v>
      </c>
      <c r="J673" s="34" t="str">
        <f aca="false">'Uso e Consumo'!M673</f>
        <v>3.8.1.017 - Instalações elétricas/telefônicas/lógica</v>
      </c>
      <c r="K673" s="32" t="str">
        <f aca="false">INDEX('Curva ABC'!$K$8:$K$2847,MATCH(D673,'Curva ABC'!$B$8:$B$2847,0))</f>
        <v>B</v>
      </c>
    </row>
    <row r="674" customFormat="false" ht="15" hidden="false" customHeight="false" outlineLevel="0" collapsed="false">
      <c r="A674" s="34" t="s">
        <v>5799</v>
      </c>
      <c r="B674" s="34" t="str">
        <f aca="false">'Uso e Consumo'!A674</f>
        <v>0335</v>
      </c>
      <c r="C674" s="34" t="str">
        <f aca="false">'Uso e Consumo'!B674</f>
        <v>UFV NORONHA VERDE - USO E CONSUMO</v>
      </c>
      <c r="D674" s="33" t="n">
        <f aca="false">'Uso e Consumo'!C674</f>
        <v>1014562</v>
      </c>
      <c r="E674" s="34" t="str">
        <f aca="false">'Uso e Consumo'!D674</f>
        <v>24.06.0006</v>
      </c>
      <c r="F674" s="34" t="str">
        <f aca="false">'Uso e Consumo'!E674</f>
        <v>ALICATE HIDRÁULICO PARA PRENSAR E CRIMPAR TERMINAIS 10-300MM </v>
      </c>
      <c r="G674" s="34" t="str">
        <f aca="false">'Uso e Consumo'!J674</f>
        <v>UN</v>
      </c>
      <c r="H674" s="49" t="n">
        <f aca="false">'Uso e Consumo'!F674</f>
        <v>2</v>
      </c>
      <c r="I674" s="35" t="n">
        <f aca="false">'Uso e Consumo'!G674</f>
        <v>1940</v>
      </c>
      <c r="J674" s="34" t="str">
        <f aca="false">'Uso e Consumo'!M674</f>
        <v>3.8.2.002 - Ferramentas manuais</v>
      </c>
      <c r="K674" s="32" t="str">
        <f aca="false">INDEX('Curva ABC'!$K$8:$K$2847,MATCH(D674,'Curva ABC'!$B$8:$B$2847,0))</f>
        <v>B</v>
      </c>
    </row>
    <row r="675" customFormat="false" ht="15" hidden="false" customHeight="false" outlineLevel="0" collapsed="false">
      <c r="A675" s="34" t="s">
        <v>5799</v>
      </c>
      <c r="B675" s="34" t="str">
        <f aca="false">'Uso e Consumo'!A675</f>
        <v>0335</v>
      </c>
      <c r="C675" s="34" t="str">
        <f aca="false">'Uso e Consumo'!B675</f>
        <v>UFV NORONHA VERDE - USO E CONSUMO</v>
      </c>
      <c r="D675" s="33" t="n">
        <f aca="false">'Uso e Consumo'!C675</f>
        <v>1383664</v>
      </c>
      <c r="E675" s="34" t="str">
        <f aca="false">'Uso e Consumo'!D675</f>
        <v>17.02.0858</v>
      </c>
      <c r="F675" s="34" t="str">
        <f aca="false">'Uso e Consumo'!E675</f>
        <v>ELETRODUTO DE AÇO CARBONO GALVANIZADO A FOGO, DN 50 MM (2" BSP), TIPO PESADO, COM ROSCA, BARRA DE 3,00 M</v>
      </c>
      <c r="G675" s="34" t="str">
        <f aca="false">'Uso e Consumo'!J675</f>
        <v>UN</v>
      </c>
      <c r="H675" s="49" t="n">
        <f aca="false">'Uso e Consumo'!F675</f>
        <v>10</v>
      </c>
      <c r="I675" s="35" t="n">
        <f aca="false">'Uso e Consumo'!G675</f>
        <v>1936.62</v>
      </c>
      <c r="J675" s="34" t="str">
        <f aca="false">'Uso e Consumo'!M675</f>
        <v>3.8.1.017 - Instalações elétricas/telefônicas/lógica</v>
      </c>
      <c r="K675" s="32" t="str">
        <f aca="false">INDEX('Curva ABC'!$K$8:$K$2847,MATCH(D675,'Curva ABC'!$B$8:$B$2847,0))</f>
        <v>B</v>
      </c>
    </row>
    <row r="676" customFormat="false" ht="15" hidden="false" customHeight="false" outlineLevel="0" collapsed="false">
      <c r="A676" s="34" t="s">
        <v>5799</v>
      </c>
      <c r="B676" s="34" t="str">
        <f aca="false">'Uso e Consumo'!A676</f>
        <v>0335</v>
      </c>
      <c r="C676" s="34" t="str">
        <f aca="false">'Uso e Consumo'!B676</f>
        <v>UFV NORONHA VERDE - USO E CONSUMO</v>
      </c>
      <c r="D676" s="33" t="n">
        <f aca="false">'Uso e Consumo'!C676</f>
        <v>18842</v>
      </c>
      <c r="E676" s="34" t="str">
        <f aca="false">'Uso e Consumo'!D676</f>
        <v>26.03.0002</v>
      </c>
      <c r="F676" s="34" t="str">
        <f aca="false">'Uso e Consumo'!E676</f>
        <v>CAPACETE COM ABA FRONTAL (TIPO II) C/ CARNEIRA - COR AMARELA (CA-8562/25856/29792)</v>
      </c>
      <c r="G676" s="34" t="str">
        <f aca="false">'Uso e Consumo'!J676</f>
        <v>UN</v>
      </c>
      <c r="H676" s="49" t="n">
        <f aca="false">'Uso e Consumo'!F676</f>
        <v>179</v>
      </c>
      <c r="I676" s="35" t="n">
        <f aca="false">'Uso e Consumo'!G676</f>
        <v>1924.14</v>
      </c>
      <c r="J676" s="34" t="str">
        <f aca="false">'Uso e Consumo'!M676</f>
        <v>4.3.4.001 - Equipamento de proteção individual</v>
      </c>
      <c r="K676" s="32" t="str">
        <f aca="false">INDEX('Curva ABC'!$K$8:$K$2847,MATCH(D676,'Curva ABC'!$B$8:$B$2847,0))</f>
        <v>B</v>
      </c>
    </row>
    <row r="677" customFormat="false" ht="15" hidden="false" customHeight="false" outlineLevel="0" collapsed="false">
      <c r="A677" s="34" t="s">
        <v>5799</v>
      </c>
      <c r="B677" s="34" t="str">
        <f aca="false">'Uso e Consumo'!A677</f>
        <v>0335</v>
      </c>
      <c r="C677" s="34" t="str">
        <f aca="false">'Uso e Consumo'!B677</f>
        <v>UFV NORONHA VERDE - USO E CONSUMO</v>
      </c>
      <c r="D677" s="33" t="n">
        <f aca="false">'Uso e Consumo'!C677</f>
        <v>232424</v>
      </c>
      <c r="E677" s="34" t="str">
        <f aca="false">'Uso e Consumo'!D677</f>
        <v>17.09.0052</v>
      </c>
      <c r="F677" s="34" t="str">
        <f aca="false">'Uso e Consumo'!E677</f>
        <v>BARRAMENTO PARA DISJUNTOR CAIXA MOLDADA DB 2 TAMANHO F</v>
      </c>
      <c r="G677" s="34" t="str">
        <f aca="false">'Uso e Consumo'!J677</f>
        <v>UN</v>
      </c>
      <c r="H677" s="49" t="n">
        <f aca="false">'Uso e Consumo'!F677</f>
        <v>5</v>
      </c>
      <c r="I677" s="35" t="n">
        <f aca="false">'Uso e Consumo'!G677</f>
        <v>1904.9</v>
      </c>
      <c r="J677" s="34" t="str">
        <f aca="false">'Uso e Consumo'!M677</f>
        <v>3.8.1.017 - Instalações elétricas/telefônicas/lógica</v>
      </c>
      <c r="K677" s="32" t="str">
        <f aca="false">INDEX('Curva ABC'!$K$8:$K$2847,MATCH(D677,'Curva ABC'!$B$8:$B$2847,0))</f>
        <v>B</v>
      </c>
    </row>
    <row r="678" customFormat="false" ht="15" hidden="false" customHeight="false" outlineLevel="0" collapsed="false">
      <c r="A678" s="34" t="s">
        <v>5799</v>
      </c>
      <c r="B678" s="34" t="str">
        <f aca="false">'Uso e Consumo'!A678</f>
        <v>0335</v>
      </c>
      <c r="C678" s="34" t="str">
        <f aca="false">'Uso e Consumo'!B678</f>
        <v>UFV NORONHA VERDE - USO E CONSUMO</v>
      </c>
      <c r="D678" s="33" t="n">
        <f aca="false">'Uso e Consumo'!C678</f>
        <v>554895</v>
      </c>
      <c r="E678" s="34" t="str">
        <f aca="false">'Uso e Consumo'!D678</f>
        <v>25.03.0285</v>
      </c>
      <c r="F678" s="34" t="str">
        <f aca="false">'Uso e Consumo'!E678</f>
        <v>BROCA AR.JG.  1,00-13,00MM 25PC HP.DIN338 TW100 TIN. AFIAC. CRUZ CAIXA PLASTICA TB149</v>
      </c>
      <c r="G678" s="34" t="str">
        <f aca="false">'Uso e Consumo'!J678</f>
        <v>UN</v>
      </c>
      <c r="H678" s="49" t="n">
        <f aca="false">'Uso e Consumo'!F678</f>
        <v>40</v>
      </c>
      <c r="I678" s="35" t="n">
        <f aca="false">'Uso e Consumo'!G678</f>
        <v>1903.44</v>
      </c>
      <c r="J678" s="34" t="str">
        <f aca="false">'Uso e Consumo'!M678</f>
        <v>3.8.2.004 - Consumíveis para corte, perfuração e desbaste</v>
      </c>
      <c r="K678" s="32" t="str">
        <f aca="false">INDEX('Curva ABC'!$K$8:$K$2847,MATCH(D678,'Curva ABC'!$B$8:$B$2847,0))</f>
        <v>B</v>
      </c>
    </row>
    <row r="679" customFormat="false" ht="15" hidden="false" customHeight="false" outlineLevel="0" collapsed="false">
      <c r="A679" s="34" t="s">
        <v>5799</v>
      </c>
      <c r="B679" s="34" t="str">
        <f aca="false">'Uso e Consumo'!A679</f>
        <v>0335</v>
      </c>
      <c r="C679" s="34" t="str">
        <f aca="false">'Uso e Consumo'!B679</f>
        <v>UFV NORONHA VERDE - USO E CONSUMO</v>
      </c>
      <c r="D679" s="33" t="n">
        <f aca="false">'Uso e Consumo'!C679</f>
        <v>1679923</v>
      </c>
      <c r="E679" s="34" t="str">
        <f aca="false">'Uso e Consumo'!D679</f>
        <v>16.03.0516</v>
      </c>
      <c r="F679" s="34" t="str">
        <f aca="false">'Uso e Consumo'!E679</f>
        <v>TINTA COR VERDE RAL 6019 (IBERDROLA GREEN-2)</v>
      </c>
      <c r="G679" s="34" t="str">
        <f aca="false">'Uso e Consumo'!J679</f>
        <v>UN</v>
      </c>
      <c r="H679" s="49" t="n">
        <f aca="false">'Uso e Consumo'!F679</f>
        <v>2</v>
      </c>
      <c r="I679" s="35" t="n">
        <f aca="false">'Uso e Consumo'!G679</f>
        <v>1903.2</v>
      </c>
      <c r="J679" s="34" t="str">
        <f aca="false">'Uso e Consumo'!M679</f>
        <v>3.8.1.016 - Pinturas</v>
      </c>
      <c r="K679" s="32" t="str">
        <f aca="false">INDEX('Curva ABC'!$K$8:$K$2847,MATCH(D679,'Curva ABC'!$B$8:$B$2847,0))</f>
        <v>B</v>
      </c>
    </row>
    <row r="680" customFormat="false" ht="15" hidden="false" customHeight="false" outlineLevel="0" collapsed="false">
      <c r="A680" s="34" t="s">
        <v>5799</v>
      </c>
      <c r="B680" s="34" t="str">
        <f aca="false">'Uso e Consumo'!A680</f>
        <v>0335</v>
      </c>
      <c r="C680" s="34" t="str">
        <f aca="false">'Uso e Consumo'!B680</f>
        <v>UFV NORONHA VERDE - USO E CONSUMO</v>
      </c>
      <c r="D680" s="33" t="n">
        <f aca="false">'Uso e Consumo'!C680</f>
        <v>1464771</v>
      </c>
      <c r="E680" s="34" t="str">
        <f aca="false">'Uso e Consumo'!D680</f>
        <v>09.13.0007</v>
      </c>
      <c r="F680" s="34" t="str">
        <f aca="false">'Uso e Consumo'!E680</f>
        <v>RUFO INFERIOR EM CHAPA METÁLICA </v>
      </c>
      <c r="G680" s="34" t="str">
        <f aca="false">'Uso e Consumo'!J680</f>
        <v>M</v>
      </c>
      <c r="H680" s="49" t="n">
        <f aca="false">'Uso e Consumo'!F680</f>
        <v>11.89</v>
      </c>
      <c r="I680" s="35" t="n">
        <f aca="false">'Uso e Consumo'!G680</f>
        <v>1902.99</v>
      </c>
      <c r="J680" s="34" t="str">
        <f aca="false">'Uso e Consumo'!M680</f>
        <v>3.8.1.001 - Aços e trefilados</v>
      </c>
      <c r="K680" s="32" t="str">
        <f aca="false">INDEX('Curva ABC'!$K$8:$K$2847,MATCH(D680,'Curva ABC'!$B$8:$B$2847,0))</f>
        <v>B</v>
      </c>
    </row>
    <row r="681" customFormat="false" ht="15" hidden="false" customHeight="false" outlineLevel="0" collapsed="false">
      <c r="A681" s="34" t="s">
        <v>5799</v>
      </c>
      <c r="B681" s="34" t="str">
        <f aca="false">'Uso e Consumo'!A681</f>
        <v>0335</v>
      </c>
      <c r="C681" s="34" t="str">
        <f aca="false">'Uso e Consumo'!B681</f>
        <v>UFV NORONHA VERDE - USO E CONSUMO</v>
      </c>
      <c r="D681" s="33" t="n">
        <f aca="false">'Uso e Consumo'!C681</f>
        <v>1386768</v>
      </c>
      <c r="E681" s="34" t="str">
        <f aca="false">'Uso e Consumo'!D681</f>
        <v>17.20.0695</v>
      </c>
      <c r="F681" s="34" t="str">
        <f aca="false">'Uso e Consumo'!E681</f>
        <v>BUCHA 6" C/TERMINAL DE ATERRAMENTO P/CABOS 16MM²</v>
      </c>
      <c r="G681" s="34" t="str">
        <f aca="false">'Uso e Consumo'!J681</f>
        <v>UN</v>
      </c>
      <c r="H681" s="49" t="n">
        <f aca="false">'Uso e Consumo'!F681</f>
        <v>6</v>
      </c>
      <c r="I681" s="35" t="n">
        <f aca="false">'Uso e Consumo'!G681</f>
        <v>1900.43</v>
      </c>
      <c r="J681" s="34" t="str">
        <f aca="false">'Uso e Consumo'!M681</f>
        <v>3.1.1.001 - Material de uso e consumo</v>
      </c>
      <c r="K681" s="32" t="str">
        <f aca="false">INDEX('Curva ABC'!$K$8:$K$2847,MATCH(D681,'Curva ABC'!$B$8:$B$2847,0))</f>
        <v>B</v>
      </c>
    </row>
    <row r="682" customFormat="false" ht="15" hidden="false" customHeight="false" outlineLevel="0" collapsed="false">
      <c r="A682" s="34" t="s">
        <v>5799</v>
      </c>
      <c r="B682" s="34" t="str">
        <f aca="false">'Uso e Consumo'!A682</f>
        <v>0335</v>
      </c>
      <c r="C682" s="34" t="str">
        <f aca="false">'Uso e Consumo'!B682</f>
        <v>UFV NORONHA VERDE - USO E CONSUMO</v>
      </c>
      <c r="D682" s="33" t="n">
        <f aca="false">'Uso e Consumo'!C682</f>
        <v>1018050</v>
      </c>
      <c r="E682" s="34" t="str">
        <f aca="false">'Uso e Consumo'!D682</f>
        <v>29.03.0331</v>
      </c>
      <c r="F682" s="34" t="str">
        <f aca="false">'Uso e Consumo'!E682</f>
        <v>LAVADORA EXTREME TRUBO 2800 220V WAP</v>
      </c>
      <c r="G682" s="34" t="str">
        <f aca="false">'Uso e Consumo'!J682</f>
        <v>UN</v>
      </c>
      <c r="H682" s="49" t="n">
        <f aca="false">'Uso e Consumo'!F682</f>
        <v>1</v>
      </c>
      <c r="I682" s="35" t="n">
        <f aca="false">'Uso e Consumo'!G682</f>
        <v>1900</v>
      </c>
      <c r="J682" s="34" t="str">
        <f aca="false">'Uso e Consumo'!M682</f>
        <v>4.1.1.009 - Eletro eletrônico e acessórios</v>
      </c>
      <c r="K682" s="32" t="str">
        <f aca="false">INDEX('Curva ABC'!$K$8:$K$2847,MATCH(D682,'Curva ABC'!$B$8:$B$2847,0))</f>
        <v>B</v>
      </c>
    </row>
    <row r="683" customFormat="false" ht="15" hidden="false" customHeight="false" outlineLevel="0" collapsed="false">
      <c r="A683" s="34" t="s">
        <v>5799</v>
      </c>
      <c r="B683" s="34" t="str">
        <f aca="false">'Uso e Consumo'!A683</f>
        <v>0335</v>
      </c>
      <c r="C683" s="34" t="str">
        <f aca="false">'Uso e Consumo'!B683</f>
        <v>UFV NORONHA VERDE - USO E CONSUMO</v>
      </c>
      <c r="D683" s="33" t="n">
        <f aca="false">'Uso e Consumo'!C683</f>
        <v>1665308</v>
      </c>
      <c r="E683" s="34" t="str">
        <f aca="false">'Uso e Consumo'!D683</f>
        <v>29.03.0469</v>
      </c>
      <c r="F683" s="34" t="str">
        <f aca="false">'Uso e Consumo'!E683</f>
        <v>MINI COMPUTADOR TIPO PC STICK</v>
      </c>
      <c r="G683" s="34" t="str">
        <f aca="false">'Uso e Consumo'!J683</f>
        <v>UN</v>
      </c>
      <c r="H683" s="49" t="n">
        <f aca="false">'Uso e Consumo'!F683</f>
        <v>1</v>
      </c>
      <c r="I683" s="35" t="n">
        <f aca="false">'Uso e Consumo'!G683</f>
        <v>1898</v>
      </c>
      <c r="J683" s="34" t="str">
        <f aca="false">'Uso e Consumo'!M683</f>
        <v>4.1.1.009 - Eletro eletrônico e acessórios</v>
      </c>
      <c r="K683" s="32" t="str">
        <f aca="false">INDEX('Curva ABC'!$K$8:$K$2847,MATCH(D683,'Curva ABC'!$B$8:$B$2847,0))</f>
        <v>B</v>
      </c>
    </row>
    <row r="684" customFormat="false" ht="15" hidden="false" customHeight="false" outlineLevel="0" collapsed="false">
      <c r="A684" s="34" t="s">
        <v>5799</v>
      </c>
      <c r="B684" s="34" t="str">
        <f aca="false">'Uso e Consumo'!A684</f>
        <v>0335</v>
      </c>
      <c r="C684" s="34" t="str">
        <f aca="false">'Uso e Consumo'!B684</f>
        <v>UFV NORONHA VERDE - USO E CONSUMO</v>
      </c>
      <c r="D684" s="33" t="n">
        <f aca="false">'Uso e Consumo'!C684</f>
        <v>831927</v>
      </c>
      <c r="E684" s="34" t="str">
        <f aca="false">'Uso e Consumo'!D684</f>
        <v>26.02.0193</v>
      </c>
      <c r="F684" s="34" t="str">
        <f aca="false">'Uso e Consumo'!E684</f>
        <v>BOTINA FUJIWARA HESS C/BICO DE AÇO COMPOSITE E PALMILHA ANTIPERFURANTE CA 42330 N° 45</v>
      </c>
      <c r="G684" s="34" t="str">
        <f aca="false">'Uso e Consumo'!J684</f>
        <v>UN</v>
      </c>
      <c r="H684" s="49" t="n">
        <f aca="false">'Uso e Consumo'!F684</f>
        <v>17</v>
      </c>
      <c r="I684" s="35" t="n">
        <f aca="false">'Uso e Consumo'!G684</f>
        <v>1897.88</v>
      </c>
      <c r="J684" s="34" t="str">
        <f aca="false">'Uso e Consumo'!M684</f>
        <v>4.3.4.001 - Equipamento de proteção individual</v>
      </c>
      <c r="K684" s="32" t="str">
        <f aca="false">INDEX('Curva ABC'!$K$8:$K$2847,MATCH(D684,'Curva ABC'!$B$8:$B$2847,0))</f>
        <v>B</v>
      </c>
    </row>
    <row r="685" customFormat="false" ht="15" hidden="false" customHeight="false" outlineLevel="0" collapsed="false">
      <c r="A685" s="34" t="s">
        <v>5799</v>
      </c>
      <c r="B685" s="34" t="str">
        <f aca="false">'Uso e Consumo'!A685</f>
        <v>0335</v>
      </c>
      <c r="C685" s="34" t="str">
        <f aca="false">'Uso e Consumo'!B685</f>
        <v>UFV NORONHA VERDE - USO E CONSUMO</v>
      </c>
      <c r="D685" s="33" t="n">
        <f aca="false">'Uso e Consumo'!C685</f>
        <v>65183</v>
      </c>
      <c r="E685" s="34" t="str">
        <f aca="false">'Uso e Consumo'!D685</f>
        <v>26.05.0041</v>
      </c>
      <c r="F685" s="34" t="str">
        <f aca="false">'Uso e Consumo'!E685</f>
        <v>PROTETOR FACIAL INCOLOR ACOPLADO COM MOLA PARA CAPACETE</v>
      </c>
      <c r="G685" s="34" t="str">
        <f aca="false">'Uso e Consumo'!J685</f>
        <v>UN</v>
      </c>
      <c r="H685" s="49" t="n">
        <f aca="false">'Uso e Consumo'!F685</f>
        <v>36</v>
      </c>
      <c r="I685" s="35" t="n">
        <f aca="false">'Uso e Consumo'!G685</f>
        <v>1896.79</v>
      </c>
      <c r="J685" s="34" t="str">
        <f aca="false">'Uso e Consumo'!M685</f>
        <v>4.3.4.001 - Equipamento de proteção individual</v>
      </c>
      <c r="K685" s="32" t="str">
        <f aca="false">INDEX('Curva ABC'!$K$8:$K$2847,MATCH(D685,'Curva ABC'!$B$8:$B$2847,0))</f>
        <v>B</v>
      </c>
    </row>
    <row r="686" customFormat="false" ht="15" hidden="false" customHeight="false" outlineLevel="0" collapsed="false">
      <c r="A686" s="34" t="s">
        <v>5799</v>
      </c>
      <c r="B686" s="34" t="str">
        <f aca="false">'Uso e Consumo'!A686</f>
        <v>0335</v>
      </c>
      <c r="C686" s="34" t="str">
        <f aca="false">'Uso e Consumo'!B686</f>
        <v>UFV NORONHA VERDE - USO E CONSUMO</v>
      </c>
      <c r="D686" s="33" t="n">
        <f aca="false">'Uso e Consumo'!C686</f>
        <v>1475927</v>
      </c>
      <c r="E686" s="34" t="str">
        <f aca="false">'Uso e Consumo'!D686</f>
        <v>32.07.0234</v>
      </c>
      <c r="F686" s="34" t="str">
        <f aca="false">'Uso e Consumo'!E686</f>
        <v>ESMERILHADEIRA ANGULAR A BATERIA 18V</v>
      </c>
      <c r="G686" s="34" t="str">
        <f aca="false">'Uso e Consumo'!J686</f>
        <v>UN</v>
      </c>
      <c r="H686" s="49" t="n">
        <f aca="false">'Uso e Consumo'!F686</f>
        <v>1</v>
      </c>
      <c r="I686" s="35" t="n">
        <f aca="false">'Uso e Consumo'!G686</f>
        <v>1890</v>
      </c>
      <c r="J686" s="34" t="str">
        <f aca="false">'Uso e Consumo'!M686</f>
        <v>6.1.2.001 - Equipamentos</v>
      </c>
      <c r="K686" s="32" t="str">
        <f aca="false">INDEX('Curva ABC'!$K$8:$K$2847,MATCH(D686,'Curva ABC'!$B$8:$B$2847,0))</f>
        <v>B</v>
      </c>
    </row>
    <row r="687" customFormat="false" ht="15" hidden="false" customHeight="false" outlineLevel="0" collapsed="false">
      <c r="A687" s="34" t="s">
        <v>5799</v>
      </c>
      <c r="B687" s="34" t="str">
        <f aca="false">'Uso e Consumo'!A687</f>
        <v>0335</v>
      </c>
      <c r="C687" s="34" t="str">
        <f aca="false">'Uso e Consumo'!B687</f>
        <v>UFV NORONHA VERDE - USO E CONSUMO</v>
      </c>
      <c r="D687" s="33" t="n">
        <f aca="false">'Uso e Consumo'!C687</f>
        <v>1654528</v>
      </c>
      <c r="E687" s="34" t="str">
        <f aca="false">'Uso e Consumo'!D687</f>
        <v>28.01.0744</v>
      </c>
      <c r="F687" s="34" t="str">
        <f aca="false">'Uso e Consumo'!E687</f>
        <v>PLACA TIPO M1 INDICATIVA DE SISTEMA DE SEGURANCA - 800X400 MM - ACO GALVANIZADO, PINTURA ELETROSTATICA</v>
      </c>
      <c r="G687" s="34" t="str">
        <f aca="false">'Uso e Consumo'!J687</f>
        <v>UN</v>
      </c>
      <c r="H687" s="49" t="n">
        <f aca="false">'Uso e Consumo'!F687</f>
        <v>10</v>
      </c>
      <c r="I687" s="35" t="n">
        <f aca="false">'Uso e Consumo'!G687</f>
        <v>1883.07</v>
      </c>
      <c r="J687" s="34" t="str">
        <f aca="false">'Uso e Consumo'!M687</f>
        <v>3.8.1.023 - Comunicação visual e sinalização</v>
      </c>
      <c r="K687" s="32" t="str">
        <f aca="false">INDEX('Curva ABC'!$K$8:$K$2847,MATCH(D687,'Curva ABC'!$B$8:$B$2847,0))</f>
        <v>B</v>
      </c>
    </row>
    <row r="688" customFormat="false" ht="15" hidden="false" customHeight="false" outlineLevel="0" collapsed="false">
      <c r="A688" s="34" t="s">
        <v>5799</v>
      </c>
      <c r="B688" s="34" t="str">
        <f aca="false">'Uso e Consumo'!A688</f>
        <v>0335</v>
      </c>
      <c r="C688" s="34" t="str">
        <f aca="false">'Uso e Consumo'!B688</f>
        <v>UFV NORONHA VERDE - USO E CONSUMO</v>
      </c>
      <c r="D688" s="33" t="n">
        <f aca="false">'Uso e Consumo'!C688</f>
        <v>1661828</v>
      </c>
      <c r="E688" s="34" t="str">
        <f aca="false">'Uso e Consumo'!D688</f>
        <v>17.02.0939</v>
      </c>
      <c r="F688" s="34" t="str">
        <f aca="false">'Uso e Consumo'!E688</f>
        <v>ELETRODUTO DE ALUMINIO COM ROSCA, TIPO PESADO,  1.1/2" BSP, VARA DE 3,00 M</v>
      </c>
      <c r="G688" s="34" t="str">
        <f aca="false">'Uso e Consumo'!J688</f>
        <v>UN</v>
      </c>
      <c r="H688" s="49" t="n">
        <f aca="false">'Uso e Consumo'!F688</f>
        <v>9</v>
      </c>
      <c r="I688" s="35" t="n">
        <f aca="false">'Uso e Consumo'!G688</f>
        <v>1858.5</v>
      </c>
      <c r="J688" s="34" t="str">
        <f aca="false">'Uso e Consumo'!M688</f>
        <v>3.8.1.017 - Instalações elétricas/telefônicas/lógica</v>
      </c>
      <c r="K688" s="32" t="str">
        <f aca="false">INDEX('Curva ABC'!$K$8:$K$2847,MATCH(D688,'Curva ABC'!$B$8:$B$2847,0))</f>
        <v>B</v>
      </c>
    </row>
    <row r="689" customFormat="false" ht="15" hidden="false" customHeight="false" outlineLevel="0" collapsed="false">
      <c r="A689" s="34" t="s">
        <v>5799</v>
      </c>
      <c r="B689" s="34" t="str">
        <f aca="false">'Uso e Consumo'!A689</f>
        <v>0335</v>
      </c>
      <c r="C689" s="34" t="str">
        <f aca="false">'Uso e Consumo'!B689</f>
        <v>UFV NORONHA VERDE - USO E CONSUMO</v>
      </c>
      <c r="D689" s="33" t="n">
        <f aca="false">'Uso e Consumo'!C689</f>
        <v>23282</v>
      </c>
      <c r="E689" s="34" t="str">
        <f aca="false">'Uso e Consumo'!D689</f>
        <v>26.13.0025</v>
      </c>
      <c r="F689" s="34" t="str">
        <f aca="false">'Uso e Consumo'!E689</f>
        <v>CAMISA MALHA MOLETON TAMANHO P - MODELO ESPORTE GOLA CARECA MANGA LONGA COM PUNHO DE RIBANA LOGOMARC</v>
      </c>
      <c r="G689" s="34" t="str">
        <f aca="false">'Uso e Consumo'!J689</f>
        <v>UN</v>
      </c>
      <c r="H689" s="49" t="n">
        <f aca="false">'Uso e Consumo'!F689</f>
        <v>64</v>
      </c>
      <c r="I689" s="35" t="n">
        <f aca="false">'Uso e Consumo'!G689</f>
        <v>1856</v>
      </c>
      <c r="J689" s="34" t="str">
        <f aca="false">'Uso e Consumo'!M689</f>
        <v>4.3.4.003 - Fardamentos</v>
      </c>
      <c r="K689" s="32" t="str">
        <f aca="false">INDEX('Curva ABC'!$K$8:$K$2847,MATCH(D689,'Curva ABC'!$B$8:$B$2847,0))</f>
        <v>B</v>
      </c>
    </row>
    <row r="690" customFormat="false" ht="15" hidden="false" customHeight="false" outlineLevel="0" collapsed="false">
      <c r="A690" s="34" t="s">
        <v>5799</v>
      </c>
      <c r="B690" s="34" t="str">
        <f aca="false">'Uso e Consumo'!A690</f>
        <v>0335</v>
      </c>
      <c r="C690" s="34" t="str">
        <f aca="false">'Uso e Consumo'!B690</f>
        <v>UFV NORONHA VERDE - USO E CONSUMO</v>
      </c>
      <c r="D690" s="33" t="n">
        <f aca="false">'Uso e Consumo'!C690</f>
        <v>747919</v>
      </c>
      <c r="E690" s="34" t="str">
        <f aca="false">'Uso e Consumo'!D690</f>
        <v>30.03.0395</v>
      </c>
      <c r="F690" s="34" t="str">
        <f aca="false">'Uso e Consumo'!E690</f>
        <v>COLETOR DE METAL DE 200L - VERMELHO</v>
      </c>
      <c r="G690" s="34" t="str">
        <f aca="false">'Uso e Consumo'!J690</f>
        <v>UN</v>
      </c>
      <c r="H690" s="49" t="n">
        <f aca="false">'Uso e Consumo'!F690</f>
        <v>7</v>
      </c>
      <c r="I690" s="35" t="n">
        <f aca="false">'Uso e Consumo'!G690</f>
        <v>1855</v>
      </c>
      <c r="J690" s="34" t="str">
        <f aca="false">'Uso e Consumo'!M690</f>
        <v>3.1.1.003 - Material limpeza</v>
      </c>
      <c r="K690" s="32" t="str">
        <f aca="false">INDEX('Curva ABC'!$K$8:$K$2847,MATCH(D690,'Curva ABC'!$B$8:$B$2847,0))</f>
        <v>B</v>
      </c>
    </row>
    <row r="691" customFormat="false" ht="15" hidden="false" customHeight="false" outlineLevel="0" collapsed="false">
      <c r="A691" s="34" t="s">
        <v>5799</v>
      </c>
      <c r="B691" s="34" t="str">
        <f aca="false">'Uso e Consumo'!A691</f>
        <v>0335</v>
      </c>
      <c r="C691" s="34" t="str">
        <f aca="false">'Uso e Consumo'!B691</f>
        <v>UFV NORONHA VERDE - USO E CONSUMO</v>
      </c>
      <c r="D691" s="33" t="n">
        <f aca="false">'Uso e Consumo'!C691</f>
        <v>747920</v>
      </c>
      <c r="E691" s="34" t="str">
        <f aca="false">'Uso e Consumo'!D691</f>
        <v>30.03.0396</v>
      </c>
      <c r="F691" s="34" t="str">
        <f aca="false">'Uso e Consumo'!E691</f>
        <v>COLETOR DE METAL DE 200L - CINZA</v>
      </c>
      <c r="G691" s="34" t="str">
        <f aca="false">'Uso e Consumo'!J691</f>
        <v>UN</v>
      </c>
      <c r="H691" s="49" t="n">
        <f aca="false">'Uso e Consumo'!F691</f>
        <v>7</v>
      </c>
      <c r="I691" s="35" t="n">
        <f aca="false">'Uso e Consumo'!G691</f>
        <v>1855</v>
      </c>
      <c r="J691" s="34" t="str">
        <f aca="false">'Uso e Consumo'!M691</f>
        <v>3.1.1.003 - Material limpeza</v>
      </c>
      <c r="K691" s="32" t="str">
        <f aca="false">INDEX('Curva ABC'!$K$8:$K$2847,MATCH(D691,'Curva ABC'!$B$8:$B$2847,0))</f>
        <v>B</v>
      </c>
    </row>
    <row r="692" customFormat="false" ht="15" hidden="false" customHeight="false" outlineLevel="0" collapsed="false">
      <c r="A692" s="34" t="s">
        <v>5799</v>
      </c>
      <c r="B692" s="34" t="str">
        <f aca="false">'Uso e Consumo'!A692</f>
        <v>0335</v>
      </c>
      <c r="C692" s="34" t="str">
        <f aca="false">'Uso e Consumo'!B692</f>
        <v>UFV NORONHA VERDE - USO E CONSUMO</v>
      </c>
      <c r="D692" s="33" t="n">
        <f aca="false">'Uso e Consumo'!C692</f>
        <v>747922</v>
      </c>
      <c r="E692" s="34" t="str">
        <f aca="false">'Uso e Consumo'!D692</f>
        <v>30.03.0398</v>
      </c>
      <c r="F692" s="34" t="str">
        <f aca="false">'Uso e Consumo'!E692</f>
        <v>COLETOR DE METAL DE 200L - LARANJA </v>
      </c>
      <c r="G692" s="34" t="str">
        <f aca="false">'Uso e Consumo'!J692</f>
        <v>UN</v>
      </c>
      <c r="H692" s="49" t="n">
        <f aca="false">'Uso e Consumo'!F692</f>
        <v>7</v>
      </c>
      <c r="I692" s="35" t="n">
        <f aca="false">'Uso e Consumo'!G692</f>
        <v>1855</v>
      </c>
      <c r="J692" s="34" t="str">
        <f aca="false">'Uso e Consumo'!M692</f>
        <v>3.1.1.003 - Material limpeza</v>
      </c>
      <c r="K692" s="32" t="str">
        <f aca="false">INDEX('Curva ABC'!$K$8:$K$2847,MATCH(D692,'Curva ABC'!$B$8:$B$2847,0))</f>
        <v>B</v>
      </c>
    </row>
    <row r="693" customFormat="false" ht="15" hidden="false" customHeight="false" outlineLevel="0" collapsed="false">
      <c r="A693" s="34" t="s">
        <v>5799</v>
      </c>
      <c r="B693" s="34" t="str">
        <f aca="false">'Uso e Consumo'!A693</f>
        <v>0335</v>
      </c>
      <c r="C693" s="34" t="str">
        <f aca="false">'Uso e Consumo'!B693</f>
        <v>UFV NORONHA VERDE - USO E CONSUMO</v>
      </c>
      <c r="D693" s="33" t="n">
        <f aca="false">'Uso e Consumo'!C693</f>
        <v>221391</v>
      </c>
      <c r="E693" s="34" t="str">
        <f aca="false">'Uso e Consumo'!D693</f>
        <v>24.41.0102</v>
      </c>
      <c r="F693" s="34" t="str">
        <f aca="false">'Uso e Consumo'!E693</f>
        <v>SOQUETE SEXTAVADO LONGO 19MM COM ENCAIXE DE 1/2"</v>
      </c>
      <c r="G693" s="34" t="str">
        <f aca="false">'Uso e Consumo'!J693</f>
        <v>UN</v>
      </c>
      <c r="H693" s="49" t="n">
        <f aca="false">'Uso e Consumo'!F693</f>
        <v>21</v>
      </c>
      <c r="I693" s="35" t="n">
        <f aca="false">'Uso e Consumo'!G693</f>
        <v>1848</v>
      </c>
      <c r="J693" s="34" t="str">
        <f aca="false">'Uso e Consumo'!M693</f>
        <v>3.8.2.002 - Ferramentas manuais</v>
      </c>
      <c r="K693" s="32" t="str">
        <f aca="false">INDEX('Curva ABC'!$K$8:$K$2847,MATCH(D693,'Curva ABC'!$B$8:$B$2847,0))</f>
        <v>B</v>
      </c>
    </row>
    <row r="694" customFormat="false" ht="15" hidden="false" customHeight="false" outlineLevel="0" collapsed="false">
      <c r="A694" s="34" t="s">
        <v>5799</v>
      </c>
      <c r="B694" s="34" t="str">
        <f aca="false">'Uso e Consumo'!A694</f>
        <v>0335</v>
      </c>
      <c r="C694" s="34" t="str">
        <f aca="false">'Uso e Consumo'!B694</f>
        <v>UFV NORONHA VERDE - USO E CONSUMO</v>
      </c>
      <c r="D694" s="33" t="n">
        <f aca="false">'Uso e Consumo'!C694</f>
        <v>12608</v>
      </c>
      <c r="E694" s="34" t="str">
        <f aca="false">'Uso e Consumo'!D694</f>
        <v>17.02.0108</v>
      </c>
      <c r="F694" s="34" t="str">
        <f aca="false">'Uso e Consumo'!E694</f>
        <v>CURVA 90GR ELETRODUTO ALUMÍNIO NPT 2" X 60,30MM</v>
      </c>
      <c r="G694" s="34" t="str">
        <f aca="false">'Uso e Consumo'!J694</f>
        <v>UN</v>
      </c>
      <c r="H694" s="49" t="n">
        <f aca="false">'Uso e Consumo'!F694</f>
        <v>17</v>
      </c>
      <c r="I694" s="35" t="n">
        <f aca="false">'Uso e Consumo'!G694</f>
        <v>1844.84</v>
      </c>
      <c r="J694" s="34" t="str">
        <f aca="false">'Uso e Consumo'!M694</f>
        <v>3.8.1.017 - Instalações elétricas/telefônicas/lógica</v>
      </c>
      <c r="K694" s="32" t="str">
        <f aca="false">INDEX('Curva ABC'!$K$8:$K$2847,MATCH(D694,'Curva ABC'!$B$8:$B$2847,0))</f>
        <v>B</v>
      </c>
    </row>
    <row r="695" customFormat="false" ht="15" hidden="false" customHeight="false" outlineLevel="0" collapsed="false">
      <c r="A695" s="34" t="s">
        <v>5799</v>
      </c>
      <c r="B695" s="34" t="str">
        <f aca="false">'Uso e Consumo'!A695</f>
        <v>0335</v>
      </c>
      <c r="C695" s="34" t="str">
        <f aca="false">'Uso e Consumo'!B695</f>
        <v>UFV NORONHA VERDE - USO E CONSUMO</v>
      </c>
      <c r="D695" s="33" t="n">
        <f aca="false">'Uso e Consumo'!C695</f>
        <v>1662290</v>
      </c>
      <c r="E695" s="34" t="str">
        <f aca="false">'Uso e Consumo'!D695</f>
        <v>17.11.1155</v>
      </c>
      <c r="F695" s="34" t="str">
        <f aca="false">'Uso e Consumo'!E695</f>
        <v>LUMINARIA ARANDELA P/ 1 LAMPADA LED ATE 15 W, SOQUETE E-27, 3 ENTRADAS 3/4" BSP, EPOXI CINZA</v>
      </c>
      <c r="G695" s="34" t="str">
        <f aca="false">'Uso e Consumo'!J695</f>
        <v>UN</v>
      </c>
      <c r="H695" s="49" t="n">
        <f aca="false">'Uso e Consumo'!F695</f>
        <v>11</v>
      </c>
      <c r="I695" s="35" t="n">
        <f aca="false">'Uso e Consumo'!G695</f>
        <v>1840.41</v>
      </c>
      <c r="J695" s="34" t="str">
        <f aca="false">'Uso e Consumo'!M695</f>
        <v>3.8.1.017 - Instalações elétricas/telefônicas/lógica</v>
      </c>
      <c r="K695" s="32" t="str">
        <f aca="false">INDEX('Curva ABC'!$K$8:$K$2847,MATCH(D695,'Curva ABC'!$B$8:$B$2847,0))</f>
        <v>B</v>
      </c>
    </row>
    <row r="696" customFormat="false" ht="15" hidden="false" customHeight="false" outlineLevel="0" collapsed="false">
      <c r="A696" s="34" t="s">
        <v>5799</v>
      </c>
      <c r="B696" s="34" t="str">
        <f aca="false">'Uso e Consumo'!A696</f>
        <v>0335</v>
      </c>
      <c r="C696" s="34" t="str">
        <f aca="false">'Uso e Consumo'!B696</f>
        <v>UFV NORONHA VERDE - USO E CONSUMO</v>
      </c>
      <c r="D696" s="33" t="n">
        <f aca="false">'Uso e Consumo'!C696</f>
        <v>1329841</v>
      </c>
      <c r="E696" s="34" t="str">
        <f aca="false">'Uso e Consumo'!D696</f>
        <v>06.03.0031</v>
      </c>
      <c r="F696" s="34" t="str">
        <f aca="false">'Uso e Consumo'!E696</f>
        <v>MANTA GEOTÊXTIL OP-20 (200 g/m²) PARA DISSIPADOR DE ENERGIA</v>
      </c>
      <c r="G696" s="34" t="str">
        <f aca="false">'Uso e Consumo'!J696</f>
        <v>M2</v>
      </c>
      <c r="H696" s="49" t="n">
        <f aca="false">'Uso e Consumo'!F696</f>
        <v>230</v>
      </c>
      <c r="I696" s="35" t="n">
        <f aca="false">'Uso e Consumo'!G696</f>
        <v>1840</v>
      </c>
      <c r="J696" s="34" t="str">
        <f aca="false">'Uso e Consumo'!M696</f>
        <v>3.8.1.006 - Aditivos e produtos químicos</v>
      </c>
      <c r="K696" s="32" t="str">
        <f aca="false">INDEX('Curva ABC'!$K$8:$K$2847,MATCH(D696,'Curva ABC'!$B$8:$B$2847,0))</f>
        <v>B</v>
      </c>
    </row>
    <row r="697" customFormat="false" ht="15" hidden="false" customHeight="false" outlineLevel="0" collapsed="false">
      <c r="A697" s="34" t="s">
        <v>5799</v>
      </c>
      <c r="B697" s="34" t="str">
        <f aca="false">'Uso e Consumo'!A697</f>
        <v>0335</v>
      </c>
      <c r="C697" s="34" t="str">
        <f aca="false">'Uso e Consumo'!B697</f>
        <v>UFV NORONHA VERDE - USO E CONSUMO</v>
      </c>
      <c r="D697" s="33" t="n">
        <f aca="false">'Uso e Consumo'!C697</f>
        <v>1616856</v>
      </c>
      <c r="E697" s="34" t="str">
        <f aca="false">'Uso e Consumo'!D697</f>
        <v>17.19.0080</v>
      </c>
      <c r="F697" s="34" t="str">
        <f aca="false">'Uso e Consumo'!E697</f>
        <v>TERMO RETRATIL BITOLA 400 (AZUL)</v>
      </c>
      <c r="G697" s="34" t="str">
        <f aca="false">'Uso e Consumo'!J697</f>
        <v>UN</v>
      </c>
      <c r="H697" s="49" t="n">
        <f aca="false">'Uso e Consumo'!F697</f>
        <v>82</v>
      </c>
      <c r="I697" s="35" t="n">
        <f aca="false">'Uso e Consumo'!G697</f>
        <v>1833</v>
      </c>
      <c r="J697" s="34" t="str">
        <f aca="false">'Uso e Consumo'!M697</f>
        <v>3.8.1.017 - Instalações elétricas/telefônicas/lógica</v>
      </c>
      <c r="K697" s="32" t="str">
        <f aca="false">INDEX('Curva ABC'!$K$8:$K$2847,MATCH(D697,'Curva ABC'!$B$8:$B$2847,0))</f>
        <v>B</v>
      </c>
    </row>
    <row r="698" customFormat="false" ht="15" hidden="false" customHeight="false" outlineLevel="0" collapsed="false">
      <c r="A698" s="34" t="s">
        <v>5799</v>
      </c>
      <c r="B698" s="34" t="str">
        <f aca="false">'Uso e Consumo'!A698</f>
        <v>0335</v>
      </c>
      <c r="C698" s="34" t="str">
        <f aca="false">'Uso e Consumo'!B698</f>
        <v>UFV NORONHA VERDE - USO E CONSUMO</v>
      </c>
      <c r="D698" s="33" t="n">
        <f aca="false">'Uso e Consumo'!C698</f>
        <v>1463588</v>
      </c>
      <c r="E698" s="34" t="str">
        <f aca="false">'Uso e Consumo'!D698</f>
        <v>17.01.1237</v>
      </c>
      <c r="F698" s="34" t="str">
        <f aca="false">'Uso e Consumo'!E698</f>
        <v>CABO ELETRICO FLEXIVEL 0,6/1KV 1 X 70,00MM2 COBRE PVC CLASSE 5 VERMELHO NBR 7288</v>
      </c>
      <c r="G698" s="34" t="str">
        <f aca="false">'Uso e Consumo'!J698</f>
        <v>M</v>
      </c>
      <c r="H698" s="49" t="n">
        <f aca="false">'Uso e Consumo'!F698</f>
        <v>20.7</v>
      </c>
      <c r="I698" s="35" t="n">
        <f aca="false">'Uso e Consumo'!G698</f>
        <v>1818.8</v>
      </c>
      <c r="J698" s="34" t="str">
        <f aca="false">'Uso e Consumo'!M698</f>
        <v>3.8.1.017 - Instalações elétricas/telefônicas/lógica</v>
      </c>
      <c r="K698" s="32" t="str">
        <f aca="false">INDEX('Curva ABC'!$K$8:$K$2847,MATCH(D698,'Curva ABC'!$B$8:$B$2847,0))</f>
        <v>B</v>
      </c>
    </row>
    <row r="699" customFormat="false" ht="32.8" hidden="false" customHeight="false" outlineLevel="0" collapsed="false">
      <c r="A699" s="34" t="s">
        <v>5799</v>
      </c>
      <c r="B699" s="34" t="str">
        <f aca="false">'Uso e Consumo'!A699</f>
        <v>0335</v>
      </c>
      <c r="C699" s="34" t="str">
        <f aca="false">'Uso e Consumo'!B699</f>
        <v>UFV NORONHA VERDE - USO E CONSUMO</v>
      </c>
      <c r="D699" s="33" t="n">
        <f aca="false">'Uso e Consumo'!C699</f>
        <v>1485726</v>
      </c>
      <c r="E699" s="34" t="str">
        <f aca="false">'Uso e Consumo'!D699</f>
        <v>17.21.0119</v>
      </c>
      <c r="F699" s="50" t="str">
        <f aca="false">'Uso e Consumo'!E699</f>
        <v>TAMPA PARA ELETROCALHA TIPO U 200 X 3000 MM, CHAPA 18, AÇO GALVANIZADO A QUENTE
</v>
      </c>
      <c r="G699" s="34" t="str">
        <f aca="false">'Uso e Consumo'!J699</f>
        <v>UN</v>
      </c>
      <c r="H699" s="49" t="n">
        <f aca="false">'Uso e Consumo'!F699</f>
        <v>8</v>
      </c>
      <c r="I699" s="35" t="n">
        <f aca="false">'Uso e Consumo'!G699</f>
        <v>1804.97</v>
      </c>
      <c r="J699" s="34" t="str">
        <f aca="false">'Uso e Consumo'!M699</f>
        <v>3.8.1.017 - Instalações elétricas/telefônicas/lógica</v>
      </c>
      <c r="K699" s="32" t="str">
        <f aca="false">INDEX('Curva ABC'!$K$8:$K$2847,MATCH(D699,'Curva ABC'!$B$8:$B$2847,0))</f>
        <v>B</v>
      </c>
    </row>
    <row r="700" customFormat="false" ht="15" hidden="false" customHeight="false" outlineLevel="0" collapsed="false">
      <c r="A700" s="34" t="s">
        <v>5799</v>
      </c>
      <c r="B700" s="34" t="str">
        <f aca="false">'Uso e Consumo'!A700</f>
        <v>0335</v>
      </c>
      <c r="C700" s="34" t="str">
        <f aca="false">'Uso e Consumo'!B700</f>
        <v>UFV NORONHA VERDE - USO E CONSUMO</v>
      </c>
      <c r="D700" s="33" t="n">
        <f aca="false">'Uso e Consumo'!C700</f>
        <v>1080406</v>
      </c>
      <c r="E700" s="34" t="str">
        <f aca="false">'Uso e Consumo'!D700</f>
        <v>25.01.0241</v>
      </c>
      <c r="F700" s="34" t="str">
        <f aca="false">'Uso e Consumo'!E700</f>
        <v>DISCO PARA SERRA DE CORTE MADEIRA, 40 DENTES, 12" X 30MM</v>
      </c>
      <c r="G700" s="34" t="str">
        <f aca="false">'Uso e Consumo'!J700</f>
        <v>UN</v>
      </c>
      <c r="H700" s="49" t="n">
        <f aca="false">'Uso e Consumo'!F700</f>
        <v>5</v>
      </c>
      <c r="I700" s="35" t="n">
        <f aca="false">'Uso e Consumo'!G700</f>
        <v>1800</v>
      </c>
      <c r="J700" s="34" t="str">
        <f aca="false">'Uso e Consumo'!M700</f>
        <v>3.8.2.004 - Consumíveis para corte, perfuração e desbaste</v>
      </c>
      <c r="K700" s="32" t="str">
        <f aca="false">INDEX('Curva ABC'!$K$8:$K$2847,MATCH(D700,'Curva ABC'!$B$8:$B$2847,0))</f>
        <v>B</v>
      </c>
    </row>
    <row r="701" customFormat="false" ht="15" hidden="false" customHeight="false" outlineLevel="0" collapsed="false">
      <c r="A701" s="34" t="s">
        <v>5799</v>
      </c>
      <c r="B701" s="34" t="str">
        <f aca="false">'Uso e Consumo'!A701</f>
        <v>0335</v>
      </c>
      <c r="C701" s="34" t="str">
        <f aca="false">'Uso e Consumo'!B701</f>
        <v>UFV NORONHA VERDE - USO E CONSUMO</v>
      </c>
      <c r="D701" s="33" t="n">
        <f aca="false">'Uso e Consumo'!C701</f>
        <v>1320460</v>
      </c>
      <c r="E701" s="34" t="str">
        <f aca="false">'Uso e Consumo'!D701</f>
        <v>30.03.0550</v>
      </c>
      <c r="F701" s="34" t="str">
        <f aca="false">'Uso e Consumo'!E701</f>
        <v>LAVA ROUPAS LÍQUIDO 5L</v>
      </c>
      <c r="G701" s="34" t="str">
        <f aca="false">'Uso e Consumo'!J701</f>
        <v>UN</v>
      </c>
      <c r="H701" s="49" t="n">
        <f aca="false">'Uso e Consumo'!F701</f>
        <v>100</v>
      </c>
      <c r="I701" s="35" t="n">
        <f aca="false">'Uso e Consumo'!G701</f>
        <v>1800</v>
      </c>
      <c r="J701" s="34" t="str">
        <f aca="false">'Uso e Consumo'!M701</f>
        <v>4.1.1.003 - Material limpeza</v>
      </c>
      <c r="K701" s="32" t="str">
        <f aca="false">INDEX('Curva ABC'!$K$8:$K$2847,MATCH(D701,'Curva ABC'!$B$8:$B$2847,0))</f>
        <v>B</v>
      </c>
    </row>
    <row r="702" customFormat="false" ht="15" hidden="false" customHeight="false" outlineLevel="0" collapsed="false">
      <c r="A702" s="34" t="s">
        <v>5799</v>
      </c>
      <c r="B702" s="34" t="str">
        <f aca="false">'Uso e Consumo'!A702</f>
        <v>0335</v>
      </c>
      <c r="C702" s="34" t="str">
        <f aca="false">'Uso e Consumo'!B702</f>
        <v>UFV NORONHA VERDE - USO E CONSUMO</v>
      </c>
      <c r="D702" s="33" t="n">
        <f aca="false">'Uso e Consumo'!C702</f>
        <v>1482757</v>
      </c>
      <c r="E702" s="34" t="str">
        <f aca="false">'Uso e Consumo'!D702</f>
        <v>23.06.0324</v>
      </c>
      <c r="F702" s="34" t="str">
        <f aca="false">'Uso e Consumo'!E702</f>
        <v>PORCA SEXTAVADA 3/4-10 </v>
      </c>
      <c r="G702" s="34" t="str">
        <f aca="false">'Uso e Consumo'!J702</f>
        <v>UN</v>
      </c>
      <c r="H702" s="49" t="n">
        <f aca="false">'Uso e Consumo'!F702</f>
        <v>1050</v>
      </c>
      <c r="I702" s="35" t="n">
        <f aca="false">'Uso e Consumo'!G702</f>
        <v>1785</v>
      </c>
      <c r="J702" s="34" t="str">
        <f aca="false">'Uso e Consumo'!M702</f>
        <v>3.8.1.022 - Elementos de fixação</v>
      </c>
      <c r="K702" s="32" t="str">
        <f aca="false">INDEX('Curva ABC'!$K$8:$K$2847,MATCH(D702,'Curva ABC'!$B$8:$B$2847,0))</f>
        <v>B</v>
      </c>
    </row>
    <row r="703" customFormat="false" ht="15" hidden="false" customHeight="false" outlineLevel="0" collapsed="false">
      <c r="A703" s="34" t="s">
        <v>5799</v>
      </c>
      <c r="B703" s="34" t="str">
        <f aca="false">'Uso e Consumo'!A703</f>
        <v>0335</v>
      </c>
      <c r="C703" s="34" t="str">
        <f aca="false">'Uso e Consumo'!B703</f>
        <v>UFV NORONHA VERDE - USO E CONSUMO</v>
      </c>
      <c r="D703" s="33" t="n">
        <f aca="false">'Uso e Consumo'!C703</f>
        <v>1318542</v>
      </c>
      <c r="E703" s="34" t="str">
        <f aca="false">'Uso e Consumo'!D703</f>
        <v>25.15.0069</v>
      </c>
      <c r="F703" s="34" t="str">
        <f aca="false">'Uso e Consumo'!E703</f>
        <v>LONA TELA 6X4 METROS PARA PROTEÇÃO CAMINHÃO BASCULANTE</v>
      </c>
      <c r="G703" s="34" t="str">
        <f aca="false">'Uso e Consumo'!J703</f>
        <v>UN</v>
      </c>
      <c r="H703" s="49" t="n">
        <f aca="false">'Uso e Consumo'!F703</f>
        <v>2</v>
      </c>
      <c r="I703" s="35" t="n">
        <f aca="false">'Uso e Consumo'!G703</f>
        <v>1780</v>
      </c>
      <c r="J703" s="34" t="str">
        <f aca="false">'Uso e Consumo'!M703</f>
        <v>3.8.2.006 - Utensílios</v>
      </c>
      <c r="K703" s="32" t="str">
        <f aca="false">INDEX('Curva ABC'!$K$8:$K$2847,MATCH(D703,'Curva ABC'!$B$8:$B$2847,0))</f>
        <v>B</v>
      </c>
    </row>
    <row r="704" customFormat="false" ht="15" hidden="false" customHeight="false" outlineLevel="0" collapsed="false">
      <c r="A704" s="34" t="s">
        <v>5799</v>
      </c>
      <c r="B704" s="34" t="str">
        <f aca="false">'Uso e Consumo'!A704</f>
        <v>0335</v>
      </c>
      <c r="C704" s="34" t="str">
        <f aca="false">'Uso e Consumo'!B704</f>
        <v>UFV NORONHA VERDE - USO E CONSUMO</v>
      </c>
      <c r="D704" s="33" t="n">
        <f aca="false">'Uso e Consumo'!C704</f>
        <v>347812</v>
      </c>
      <c r="E704" s="34" t="str">
        <f aca="false">'Uso e Consumo'!D704</f>
        <v>16.03.0334</v>
      </c>
      <c r="F704" s="34" t="str">
        <f aca="false">'Uso e Consumo'!E704</f>
        <v>TINTA LAVÁVEL BRANCA 18L</v>
      </c>
      <c r="G704" s="34" t="str">
        <f aca="false">'Uso e Consumo'!J704</f>
        <v>UN</v>
      </c>
      <c r="H704" s="49" t="n">
        <f aca="false">'Uso e Consumo'!F704</f>
        <v>10</v>
      </c>
      <c r="I704" s="35" t="n">
        <f aca="false">'Uso e Consumo'!G704</f>
        <v>1776.8</v>
      </c>
      <c r="J704" s="34" t="str">
        <f aca="false">'Uso e Consumo'!M704</f>
        <v>3.8.1.016 - Pinturas</v>
      </c>
      <c r="K704" s="32" t="str">
        <f aca="false">INDEX('Curva ABC'!$K$8:$K$2847,MATCH(D704,'Curva ABC'!$B$8:$B$2847,0))</f>
        <v>B</v>
      </c>
    </row>
    <row r="705" customFormat="false" ht="15" hidden="false" customHeight="false" outlineLevel="0" collapsed="false">
      <c r="A705" s="34" t="s">
        <v>5799</v>
      </c>
      <c r="B705" s="34" t="str">
        <f aca="false">'Uso e Consumo'!A705</f>
        <v>0335</v>
      </c>
      <c r="C705" s="34" t="str">
        <f aca="false">'Uso e Consumo'!B705</f>
        <v>UFV NORONHA VERDE - USO E CONSUMO</v>
      </c>
      <c r="D705" s="33" t="n">
        <f aca="false">'Uso e Consumo'!C705</f>
        <v>727338</v>
      </c>
      <c r="E705" s="34" t="str">
        <f aca="false">'Uso e Consumo'!D705</f>
        <v>30.04.0224</v>
      </c>
      <c r="F705" s="34" t="str">
        <f aca="false">'Uso e Consumo'!E705</f>
        <v>CAIXA TERMICA 26L</v>
      </c>
      <c r="G705" s="34" t="str">
        <f aca="false">'Uso e Consumo'!J705</f>
        <v>UN</v>
      </c>
      <c r="H705" s="49" t="n">
        <f aca="false">'Uso e Consumo'!F705</f>
        <v>18</v>
      </c>
      <c r="I705" s="35" t="n">
        <f aca="false">'Uso e Consumo'!G705</f>
        <v>1774.32</v>
      </c>
      <c r="J705" s="34" t="str">
        <f aca="false">'Uso e Consumo'!M705</f>
        <v>4.1.1.001 - Material de uso e consumo</v>
      </c>
      <c r="K705" s="32" t="str">
        <f aca="false">INDEX('Curva ABC'!$K$8:$K$2847,MATCH(D705,'Curva ABC'!$B$8:$B$2847,0))</f>
        <v>B</v>
      </c>
    </row>
    <row r="706" customFormat="false" ht="15" hidden="false" customHeight="false" outlineLevel="0" collapsed="false">
      <c r="A706" s="34" t="s">
        <v>5799</v>
      </c>
      <c r="B706" s="34" t="str">
        <f aca="false">'Uso e Consumo'!A706</f>
        <v>0335</v>
      </c>
      <c r="C706" s="34" t="str">
        <f aca="false">'Uso e Consumo'!B706</f>
        <v>UFV NORONHA VERDE - USO E CONSUMO</v>
      </c>
      <c r="D706" s="33" t="n">
        <f aca="false">'Uso e Consumo'!C706</f>
        <v>21578</v>
      </c>
      <c r="E706" s="34" t="str">
        <f aca="false">'Uso e Consumo'!D706</f>
        <v>17.20.0034</v>
      </c>
      <c r="F706" s="34" t="str">
        <f aca="false">'Uso e Consumo'!E706</f>
        <v>HASTE DE COBRE PARA ATERRAMENTO Ø 5/8” MM X 2,40M</v>
      </c>
      <c r="G706" s="34" t="str">
        <f aca="false">'Uso e Consumo'!J706</f>
        <v>UN</v>
      </c>
      <c r="H706" s="49" t="n">
        <f aca="false">'Uso e Consumo'!F706</f>
        <v>48</v>
      </c>
      <c r="I706" s="35" t="n">
        <f aca="false">'Uso e Consumo'!G706</f>
        <v>1765.44</v>
      </c>
      <c r="J706" s="34" t="str">
        <f aca="false">'Uso e Consumo'!M706</f>
        <v>3.8.1.017 - Instalações elétricas/telefônicas/lógica</v>
      </c>
      <c r="K706" s="32" t="str">
        <f aca="false">INDEX('Curva ABC'!$K$8:$K$2847,MATCH(D706,'Curva ABC'!$B$8:$B$2847,0))</f>
        <v>B</v>
      </c>
    </row>
    <row r="707" customFormat="false" ht="15" hidden="false" customHeight="false" outlineLevel="0" collapsed="false">
      <c r="A707" s="34" t="s">
        <v>5799</v>
      </c>
      <c r="B707" s="34" t="str">
        <f aca="false">'Uso e Consumo'!A707</f>
        <v>0335</v>
      </c>
      <c r="C707" s="34" t="str">
        <f aca="false">'Uso e Consumo'!B707</f>
        <v>UFV NORONHA VERDE - USO E CONSUMO</v>
      </c>
      <c r="D707" s="33" t="n">
        <f aca="false">'Uso e Consumo'!C707</f>
        <v>143914</v>
      </c>
      <c r="E707" s="34" t="str">
        <f aca="false">'Uso e Consumo'!D707</f>
        <v>26.04.0056</v>
      </c>
      <c r="F707" s="34" t="str">
        <f aca="false">'Uso e Consumo'!E707</f>
        <v>TALABARTE DE POSICIONAMENTO</v>
      </c>
      <c r="G707" s="34" t="str">
        <f aca="false">'Uso e Consumo'!J707</f>
        <v>UN</v>
      </c>
      <c r="H707" s="49" t="n">
        <f aca="false">'Uso e Consumo'!F707</f>
        <v>12</v>
      </c>
      <c r="I707" s="35" t="n">
        <f aca="false">'Uso e Consumo'!G707</f>
        <v>1751.38</v>
      </c>
      <c r="J707" s="34" t="str">
        <f aca="false">'Uso e Consumo'!M707</f>
        <v>4.3.4.001 - Equipamento de proteção individual</v>
      </c>
      <c r="K707" s="32" t="str">
        <f aca="false">INDEX('Curva ABC'!$K$8:$K$2847,MATCH(D707,'Curva ABC'!$B$8:$B$2847,0))</f>
        <v>B</v>
      </c>
    </row>
    <row r="708" customFormat="false" ht="15" hidden="false" customHeight="false" outlineLevel="0" collapsed="false">
      <c r="A708" s="34" t="s">
        <v>5799</v>
      </c>
      <c r="B708" s="34" t="str">
        <f aca="false">'Uso e Consumo'!A708</f>
        <v>0335</v>
      </c>
      <c r="C708" s="34" t="str">
        <f aca="false">'Uso e Consumo'!B708</f>
        <v>UFV NORONHA VERDE - USO E CONSUMO</v>
      </c>
      <c r="D708" s="33" t="n">
        <f aca="false">'Uso e Consumo'!C708</f>
        <v>879565</v>
      </c>
      <c r="E708" s="34" t="str">
        <f aca="false">'Uso e Consumo'!D708</f>
        <v>23.07.1399</v>
      </c>
      <c r="F708" s="34" t="str">
        <f aca="false">'Uso e Consumo'!E708</f>
        <v>PARAFUSOS AUTOBROCANTES TIPO PHILIPS</v>
      </c>
      <c r="G708" s="34" t="str">
        <f aca="false">'Uso e Consumo'!J708</f>
        <v>UN</v>
      </c>
      <c r="H708" s="49" t="n">
        <f aca="false">'Uso e Consumo'!F708</f>
        <v>5000</v>
      </c>
      <c r="I708" s="35" t="n">
        <f aca="false">'Uso e Consumo'!G708</f>
        <v>1750</v>
      </c>
      <c r="J708" s="34" t="str">
        <f aca="false">'Uso e Consumo'!M708</f>
        <v>3.8.1.022 - Elementos de fixação</v>
      </c>
      <c r="K708" s="32" t="str">
        <f aca="false">INDEX('Curva ABC'!$K$8:$K$2847,MATCH(D708,'Curva ABC'!$B$8:$B$2847,0))</f>
        <v>B</v>
      </c>
    </row>
    <row r="709" customFormat="false" ht="15" hidden="false" customHeight="false" outlineLevel="0" collapsed="false">
      <c r="A709" s="34" t="s">
        <v>5799</v>
      </c>
      <c r="B709" s="34" t="str">
        <f aca="false">'Uso e Consumo'!A709</f>
        <v>0335</v>
      </c>
      <c r="C709" s="34" t="str">
        <f aca="false">'Uso e Consumo'!B709</f>
        <v>UFV NORONHA VERDE - USO E CONSUMO</v>
      </c>
      <c r="D709" s="33" t="n">
        <f aca="false">'Uso e Consumo'!C709</f>
        <v>11743</v>
      </c>
      <c r="E709" s="34" t="str">
        <f aca="false">'Uso e Consumo'!D709</f>
        <v>14.03.0014</v>
      </c>
      <c r="F709" s="34" t="str">
        <f aca="false">'Uso e Consumo'!E709</f>
        <v>TELHA ALUMÍNIO TRAPEZOIDAL NATURAL 1,00M X 4,40M X 0,50MM CDA</v>
      </c>
      <c r="G709" s="34" t="str">
        <f aca="false">'Uso e Consumo'!J709</f>
        <v>UN</v>
      </c>
      <c r="H709" s="49" t="n">
        <f aca="false">'Uso e Consumo'!F709</f>
        <v>11</v>
      </c>
      <c r="I709" s="35" t="n">
        <f aca="false">'Uso e Consumo'!G709</f>
        <v>1738</v>
      </c>
      <c r="J709" s="34" t="str">
        <f aca="false">'Uso e Consumo'!M709</f>
        <v>3.8.1.014 - Cobertura</v>
      </c>
      <c r="K709" s="32" t="str">
        <f aca="false">INDEX('Curva ABC'!$K$8:$K$2847,MATCH(D709,'Curva ABC'!$B$8:$B$2847,0))</f>
        <v>B</v>
      </c>
    </row>
    <row r="710" customFormat="false" ht="15" hidden="false" customHeight="false" outlineLevel="0" collapsed="false">
      <c r="A710" s="34" t="s">
        <v>5799</v>
      </c>
      <c r="B710" s="34" t="str">
        <f aca="false">'Uso e Consumo'!A710</f>
        <v>0335</v>
      </c>
      <c r="C710" s="34" t="str">
        <f aca="false">'Uso e Consumo'!B710</f>
        <v>UFV NORONHA VERDE - USO E CONSUMO</v>
      </c>
      <c r="D710" s="33" t="n">
        <f aca="false">'Uso e Consumo'!C710</f>
        <v>1605801</v>
      </c>
      <c r="E710" s="34" t="str">
        <f aca="false">'Uso e Consumo'!D710</f>
        <v>17.01.1389</v>
      </c>
      <c r="F710" s="34" t="str">
        <f aca="false">'Uso e Consumo'!E710</f>
        <v>CABO MULTIPLEXADO DE ALUMÍNIO HEPR 0,6/1KV DE 16MM² COM 4 VIAS (3F+N)</v>
      </c>
      <c r="G710" s="34" t="str">
        <f aca="false">'Uso e Consumo'!J710</f>
        <v>M</v>
      </c>
      <c r="H710" s="49" t="n">
        <f aca="false">'Uso e Consumo'!F710</f>
        <v>150</v>
      </c>
      <c r="I710" s="35" t="n">
        <f aca="false">'Uso e Consumo'!G710</f>
        <v>1737</v>
      </c>
      <c r="J710" s="34" t="str">
        <f aca="false">'Uso e Consumo'!M710</f>
        <v>3.8.1.017 - Instalações elétricas/telefônicas/lógica</v>
      </c>
      <c r="K710" s="32" t="str">
        <f aca="false">INDEX('Curva ABC'!$K$8:$K$2847,MATCH(D710,'Curva ABC'!$B$8:$B$2847,0))</f>
        <v>B</v>
      </c>
    </row>
    <row r="711" customFormat="false" ht="15" hidden="false" customHeight="false" outlineLevel="0" collapsed="false">
      <c r="A711" s="34" t="s">
        <v>5799</v>
      </c>
      <c r="B711" s="34" t="str">
        <f aca="false">'Uso e Consumo'!A711</f>
        <v>0335</v>
      </c>
      <c r="C711" s="34" t="str">
        <f aca="false">'Uso e Consumo'!B711</f>
        <v>UFV NORONHA VERDE - USO E CONSUMO</v>
      </c>
      <c r="D711" s="33" t="n">
        <f aca="false">'Uso e Consumo'!C711</f>
        <v>66082</v>
      </c>
      <c r="E711" s="34" t="str">
        <f aca="false">'Uso e Consumo'!D711</f>
        <v>24.09.0336</v>
      </c>
      <c r="F711" s="34" t="str">
        <f aca="false">'Uso e Consumo'!E711</f>
        <v>JOGO CHAVE ALLEN ABAULADA 1,12 À 14MM</v>
      </c>
      <c r="G711" s="34" t="str">
        <f aca="false">'Uso e Consumo'!J711</f>
        <v>KIT</v>
      </c>
      <c r="H711" s="49" t="n">
        <f aca="false">'Uso e Consumo'!F711</f>
        <v>5</v>
      </c>
      <c r="I711" s="35" t="n">
        <f aca="false">'Uso e Consumo'!G711</f>
        <v>1725</v>
      </c>
      <c r="J711" s="34" t="str">
        <f aca="false">'Uso e Consumo'!M711</f>
        <v>3.8.2.002 - Ferramentas manuais</v>
      </c>
      <c r="K711" s="32" t="str">
        <f aca="false">INDEX('Curva ABC'!$K$8:$K$2847,MATCH(D711,'Curva ABC'!$B$8:$B$2847,0))</f>
        <v>B</v>
      </c>
    </row>
    <row r="712" customFormat="false" ht="15" hidden="false" customHeight="false" outlineLevel="0" collapsed="false">
      <c r="A712" s="34" t="s">
        <v>5799</v>
      </c>
      <c r="B712" s="34" t="str">
        <f aca="false">'Uso e Consumo'!A712</f>
        <v>0335</v>
      </c>
      <c r="C712" s="34" t="str">
        <f aca="false">'Uso e Consumo'!B712</f>
        <v>UFV NORONHA VERDE - USO E CONSUMO</v>
      </c>
      <c r="D712" s="33" t="n">
        <f aca="false">'Uso e Consumo'!C712</f>
        <v>1068884</v>
      </c>
      <c r="E712" s="34" t="str">
        <f aca="false">'Uso e Consumo'!D712</f>
        <v>26.04.0148</v>
      </c>
      <c r="F712" s="34" t="str">
        <f aca="false">'Uso e Consumo'!E712</f>
        <v>TALABARTE Y COM GRANCHOS MOSQUETÃO</v>
      </c>
      <c r="G712" s="34" t="str">
        <f aca="false">'Uso e Consumo'!J712</f>
        <v>UN</v>
      </c>
      <c r="H712" s="49" t="n">
        <f aca="false">'Uso e Consumo'!F712</f>
        <v>12</v>
      </c>
      <c r="I712" s="35" t="n">
        <f aca="false">'Uso e Consumo'!G712</f>
        <v>1714.18</v>
      </c>
      <c r="J712" s="34" t="str">
        <f aca="false">'Uso e Consumo'!M712</f>
        <v>4.3.4.001 - Equipamento de proteção individual</v>
      </c>
      <c r="K712" s="32" t="str">
        <f aca="false">INDEX('Curva ABC'!$K$8:$K$2847,MATCH(D712,'Curva ABC'!$B$8:$B$2847,0))</f>
        <v>B</v>
      </c>
    </row>
    <row r="713" customFormat="false" ht="15" hidden="false" customHeight="false" outlineLevel="0" collapsed="false">
      <c r="A713" s="34" t="s">
        <v>5799</v>
      </c>
      <c r="B713" s="34" t="str">
        <f aca="false">'Uso e Consumo'!A713</f>
        <v>0335</v>
      </c>
      <c r="C713" s="34" t="str">
        <f aca="false">'Uso e Consumo'!B713</f>
        <v>UFV NORONHA VERDE - USO E CONSUMO</v>
      </c>
      <c r="D713" s="33" t="n">
        <f aca="false">'Uso e Consumo'!C713</f>
        <v>278233</v>
      </c>
      <c r="E713" s="34" t="str">
        <f aca="false">'Uso e Consumo'!D713</f>
        <v>23.07.1110</v>
      </c>
      <c r="F713" s="34" t="str">
        <f aca="false">'Uso e Consumo'!E713</f>
        <v>PARAFUSO ROSCA DUPLA EM AÇO GALVANIZADO M16 X 750MM</v>
      </c>
      <c r="G713" s="34" t="str">
        <f aca="false">'Uso e Consumo'!J713</f>
        <v>UN</v>
      </c>
      <c r="H713" s="49" t="n">
        <f aca="false">'Uso e Consumo'!F713</f>
        <v>30</v>
      </c>
      <c r="I713" s="35" t="n">
        <f aca="false">'Uso e Consumo'!G713</f>
        <v>1705.2</v>
      </c>
      <c r="J713" s="34" t="str">
        <f aca="false">'Uso e Consumo'!M713</f>
        <v>3.8.1.022 - Elementos de fixação</v>
      </c>
      <c r="K713" s="32" t="str">
        <f aca="false">INDEX('Curva ABC'!$K$8:$K$2847,MATCH(D713,'Curva ABC'!$B$8:$B$2847,0))</f>
        <v>B</v>
      </c>
    </row>
    <row r="714" customFormat="false" ht="15" hidden="false" customHeight="false" outlineLevel="0" collapsed="false">
      <c r="A714" s="34" t="s">
        <v>5799</v>
      </c>
      <c r="B714" s="34" t="str">
        <f aca="false">'Uso e Consumo'!A714</f>
        <v>0335</v>
      </c>
      <c r="C714" s="34" t="str">
        <f aca="false">'Uso e Consumo'!B714</f>
        <v>UFV NORONHA VERDE - USO E CONSUMO</v>
      </c>
      <c r="D714" s="33" t="n">
        <f aca="false">'Uso e Consumo'!C714</f>
        <v>550981</v>
      </c>
      <c r="E714" s="34" t="str">
        <f aca="false">'Uso e Consumo'!D714</f>
        <v>35.11.0117</v>
      </c>
      <c r="F714" s="34" t="str">
        <f aca="false">'Uso e Consumo'!E714</f>
        <v>COMPRESSOR DE AR</v>
      </c>
      <c r="G714" s="34" t="str">
        <f aca="false">'Uso e Consumo'!J714</f>
        <v>UN</v>
      </c>
      <c r="H714" s="49" t="n">
        <f aca="false">'Uso e Consumo'!F714</f>
        <v>1</v>
      </c>
      <c r="I714" s="35" t="n">
        <f aca="false">'Uso e Consumo'!G714</f>
        <v>1701</v>
      </c>
      <c r="J714" s="34" t="str">
        <f aca="false">'Uso e Consumo'!M714</f>
        <v>4.1.6.002 - Locação externa de equipamentos</v>
      </c>
      <c r="K714" s="32" t="str">
        <f aca="false">INDEX('Curva ABC'!$K$8:$K$2847,MATCH(D714,'Curva ABC'!$B$8:$B$2847,0))</f>
        <v>B</v>
      </c>
    </row>
    <row r="715" customFormat="false" ht="15" hidden="false" customHeight="false" outlineLevel="0" collapsed="false">
      <c r="A715" s="34" t="s">
        <v>5799</v>
      </c>
      <c r="B715" s="34" t="str">
        <f aca="false">'Uso e Consumo'!A715</f>
        <v>0335</v>
      </c>
      <c r="C715" s="34" t="str">
        <f aca="false">'Uso e Consumo'!B715</f>
        <v>UFV NORONHA VERDE - USO E CONSUMO</v>
      </c>
      <c r="D715" s="33" t="n">
        <f aca="false">'Uso e Consumo'!C715</f>
        <v>16138</v>
      </c>
      <c r="E715" s="34" t="str">
        <f aca="false">'Uso e Consumo'!D715</f>
        <v>18.09.0123</v>
      </c>
      <c r="F715" s="34" t="str">
        <f aca="false">'Uso e Consumo'!E715</f>
        <v>VALVULA RETENCAO DE PE C/CRIVO DN 2" CORPO BRONZE NBR 10283</v>
      </c>
      <c r="G715" s="34" t="str">
        <f aca="false">'Uso e Consumo'!J715</f>
        <v>UN</v>
      </c>
      <c r="H715" s="49" t="n">
        <f aca="false">'Uso e Consumo'!F715</f>
        <v>5</v>
      </c>
      <c r="I715" s="35" t="n">
        <f aca="false">'Uso e Consumo'!G715</f>
        <v>1700</v>
      </c>
      <c r="J715" s="34" t="str">
        <f aca="false">'Uso e Consumo'!M715</f>
        <v>3.8.1.018 - Instalações hidráulicas/sanitárias/industriais</v>
      </c>
      <c r="K715" s="32" t="str">
        <f aca="false">INDEX('Curva ABC'!$K$8:$K$2847,MATCH(D715,'Curva ABC'!$B$8:$B$2847,0))</f>
        <v>B</v>
      </c>
    </row>
    <row r="716" customFormat="false" ht="15" hidden="false" customHeight="false" outlineLevel="0" collapsed="false">
      <c r="A716" s="34" t="s">
        <v>5799</v>
      </c>
      <c r="B716" s="34" t="str">
        <f aca="false">'Uso e Consumo'!A716</f>
        <v>0335</v>
      </c>
      <c r="C716" s="34" t="str">
        <f aca="false">'Uso e Consumo'!B716</f>
        <v>UFV NORONHA VERDE - USO E CONSUMO</v>
      </c>
      <c r="D716" s="33" t="n">
        <f aca="false">'Uso e Consumo'!C716</f>
        <v>17849</v>
      </c>
      <c r="E716" s="34" t="str">
        <f aca="false">'Uso e Consumo'!D716</f>
        <v>24.02.0001</v>
      </c>
      <c r="F716" s="34" t="str">
        <f aca="false">'Uso e Consumo'!E716</f>
        <v>DISCO DIAGRAMA TACOGRAFO DIARIO VELOCIDADE 10X10 CAIXA C/100UN</v>
      </c>
      <c r="G716" s="34" t="str">
        <f aca="false">'Uso e Consumo'!J716</f>
        <v>UN</v>
      </c>
      <c r="H716" s="49" t="n">
        <f aca="false">'Uso e Consumo'!F716</f>
        <v>25</v>
      </c>
      <c r="I716" s="35" t="n">
        <f aca="false">'Uso e Consumo'!G716</f>
        <v>1700</v>
      </c>
      <c r="J716" s="34" t="str">
        <f aca="false">'Uso e Consumo'!M716</f>
        <v>3.8.2.001 - Ferramentas medição/aferição</v>
      </c>
      <c r="K716" s="32" t="str">
        <f aca="false">INDEX('Curva ABC'!$K$8:$K$2847,MATCH(D716,'Curva ABC'!$B$8:$B$2847,0))</f>
        <v>B</v>
      </c>
    </row>
    <row r="717" customFormat="false" ht="15" hidden="false" customHeight="false" outlineLevel="0" collapsed="false">
      <c r="A717" s="34" t="s">
        <v>5799</v>
      </c>
      <c r="B717" s="34" t="str">
        <f aca="false">'Uso e Consumo'!A717</f>
        <v>0335</v>
      </c>
      <c r="C717" s="34" t="str">
        <f aca="false">'Uso e Consumo'!B717</f>
        <v>UFV NORONHA VERDE - USO E CONSUMO</v>
      </c>
      <c r="D717" s="33" t="n">
        <f aca="false">'Uso e Consumo'!C717</f>
        <v>1317605</v>
      </c>
      <c r="E717" s="34" t="str">
        <f aca="false">'Uso e Consumo'!D717</f>
        <v>25.13.0149</v>
      </c>
      <c r="F717" s="34" t="str">
        <f aca="false">'Uso e Consumo'!E717</f>
        <v>MANGOTE VIBRADOR 35MM</v>
      </c>
      <c r="G717" s="34" t="str">
        <f aca="false">'Uso e Consumo'!J717</f>
        <v>UN</v>
      </c>
      <c r="H717" s="49" t="n">
        <f aca="false">'Uso e Consumo'!F717</f>
        <v>2</v>
      </c>
      <c r="I717" s="35" t="n">
        <f aca="false">'Uso e Consumo'!G717</f>
        <v>1700</v>
      </c>
      <c r="J717" s="34" t="str">
        <f aca="false">'Uso e Consumo'!M717</f>
        <v>3.8.1.018 - Instalações hidráulicas/sanitárias/industriais</v>
      </c>
      <c r="K717" s="32" t="str">
        <f aca="false">INDEX('Curva ABC'!$K$8:$K$2847,MATCH(D717,'Curva ABC'!$B$8:$B$2847,0))</f>
        <v>B</v>
      </c>
    </row>
    <row r="718" customFormat="false" ht="15" hidden="false" customHeight="false" outlineLevel="0" collapsed="false">
      <c r="A718" s="34" t="s">
        <v>5799</v>
      </c>
      <c r="B718" s="34" t="str">
        <f aca="false">'Uso e Consumo'!A718</f>
        <v>0335</v>
      </c>
      <c r="C718" s="34" t="str">
        <f aca="false">'Uso e Consumo'!B718</f>
        <v>UFV NORONHA VERDE - USO E CONSUMO</v>
      </c>
      <c r="D718" s="33" t="n">
        <f aca="false">'Uso e Consumo'!C718</f>
        <v>1688074</v>
      </c>
      <c r="E718" s="34" t="str">
        <f aca="false">'Uso e Consumo'!D718</f>
        <v>03.08.0010</v>
      </c>
      <c r="F718" s="34" t="str">
        <f aca="false">'Uso e Consumo'!E718</f>
        <v>RIPA DE MADEIRA 2CM X 5CM X 6 M</v>
      </c>
      <c r="G718" s="34" t="str">
        <f aca="false">'Uso e Consumo'!J718</f>
        <v>UN</v>
      </c>
      <c r="H718" s="49" t="n">
        <f aca="false">'Uso e Consumo'!F718</f>
        <v>34</v>
      </c>
      <c r="I718" s="35" t="n">
        <f aca="false">'Uso e Consumo'!G718</f>
        <v>1700</v>
      </c>
      <c r="J718" s="34" t="str">
        <f aca="false">'Uso e Consumo'!M718</f>
        <v>3.8.1.003 - Madeira</v>
      </c>
      <c r="K718" s="32" t="str">
        <f aca="false">INDEX('Curva ABC'!$K$8:$K$2847,MATCH(D718,'Curva ABC'!$B$8:$B$2847,0))</f>
        <v>B</v>
      </c>
    </row>
    <row r="719" customFormat="false" ht="15" hidden="false" customHeight="false" outlineLevel="0" collapsed="false">
      <c r="A719" s="34" t="s">
        <v>5799</v>
      </c>
      <c r="B719" s="34" t="str">
        <f aca="false">'Uso e Consumo'!A719</f>
        <v>0335</v>
      </c>
      <c r="C719" s="34" t="str">
        <f aca="false">'Uso e Consumo'!B719</f>
        <v>UFV NORONHA VERDE - USO E CONSUMO</v>
      </c>
      <c r="D719" s="33" t="n">
        <f aca="false">'Uso e Consumo'!C719</f>
        <v>140495</v>
      </c>
      <c r="E719" s="34" t="str">
        <f aca="false">'Uso e Consumo'!D719</f>
        <v>30.01.0552</v>
      </c>
      <c r="F719" s="34" t="str">
        <f aca="false">'Uso e Consumo'!E719</f>
        <v>PAINEL DE SATISFAÇÃO (BOM/RUIM/REGULAR)</v>
      </c>
      <c r="G719" s="34" t="str">
        <f aca="false">'Uso e Consumo'!J719</f>
        <v>UN</v>
      </c>
      <c r="H719" s="49" t="n">
        <f aca="false">'Uso e Consumo'!F719</f>
        <v>1</v>
      </c>
      <c r="I719" s="35" t="n">
        <f aca="false">'Uso e Consumo'!G719</f>
        <v>1698</v>
      </c>
      <c r="J719" s="34" t="str">
        <f aca="false">'Uso e Consumo'!M719</f>
        <v>4.1.1.002 - Material expediente</v>
      </c>
      <c r="K719" s="32" t="str">
        <f aca="false">INDEX('Curva ABC'!$K$8:$K$2847,MATCH(D719,'Curva ABC'!$B$8:$B$2847,0))</f>
        <v>B</v>
      </c>
    </row>
    <row r="720" customFormat="false" ht="15" hidden="false" customHeight="false" outlineLevel="0" collapsed="false">
      <c r="A720" s="34" t="s">
        <v>5799</v>
      </c>
      <c r="B720" s="34" t="str">
        <f aca="false">'Uso e Consumo'!A720</f>
        <v>0335</v>
      </c>
      <c r="C720" s="34" t="str">
        <f aca="false">'Uso e Consumo'!B720</f>
        <v>UFV NORONHA VERDE - USO E CONSUMO</v>
      </c>
      <c r="D720" s="33" t="n">
        <f aca="false">'Uso e Consumo'!C720</f>
        <v>870796</v>
      </c>
      <c r="E720" s="34" t="str">
        <f aca="false">'Uso e Consumo'!D720</f>
        <v>19.12.0066</v>
      </c>
      <c r="F720" s="34" t="str">
        <f aca="false">'Uso e Consumo'!E720</f>
        <v>PORTA TOALHA METÁLICO EM FORMATO DE GANCHO</v>
      </c>
      <c r="G720" s="34" t="str">
        <f aca="false">'Uso e Consumo'!J720</f>
        <v>UN</v>
      </c>
      <c r="H720" s="49" t="n">
        <f aca="false">'Uso e Consumo'!F720</f>
        <v>20</v>
      </c>
      <c r="I720" s="35" t="n">
        <f aca="false">'Uso e Consumo'!G720</f>
        <v>1698</v>
      </c>
      <c r="J720" s="34" t="str">
        <f aca="false">'Uso e Consumo'!M720</f>
        <v>3.8.1.018 - Instalações hidráulicas/sanitárias/industriais</v>
      </c>
      <c r="K720" s="32" t="str">
        <f aca="false">INDEX('Curva ABC'!$K$8:$K$2847,MATCH(D720,'Curva ABC'!$B$8:$B$2847,0))</f>
        <v>B</v>
      </c>
    </row>
    <row r="721" customFormat="false" ht="15" hidden="false" customHeight="false" outlineLevel="0" collapsed="false">
      <c r="A721" s="34" t="s">
        <v>5799</v>
      </c>
      <c r="B721" s="34" t="str">
        <f aca="false">'Uso e Consumo'!A721</f>
        <v>0335</v>
      </c>
      <c r="C721" s="34" t="str">
        <f aca="false">'Uso e Consumo'!B721</f>
        <v>UFV NORONHA VERDE - USO E CONSUMO</v>
      </c>
      <c r="D721" s="33" t="n">
        <f aca="false">'Uso e Consumo'!C721</f>
        <v>21798</v>
      </c>
      <c r="E721" s="34" t="str">
        <f aca="false">'Uso e Consumo'!D721</f>
        <v>24.37.0002</v>
      </c>
      <c r="F721" s="34" t="str">
        <f aca="false">'Uso e Consumo'!E721</f>
        <v>PÁ QUADRADA COM CABO</v>
      </c>
      <c r="G721" s="34" t="str">
        <f aca="false">'Uso e Consumo'!J721</f>
        <v>UN</v>
      </c>
      <c r="H721" s="49" t="n">
        <f aca="false">'Uso e Consumo'!F721</f>
        <v>36</v>
      </c>
      <c r="I721" s="35" t="n">
        <f aca="false">'Uso e Consumo'!G721</f>
        <v>1688.2</v>
      </c>
      <c r="J721" s="34" t="str">
        <f aca="false">'Uso e Consumo'!M721</f>
        <v>3.8.2.002 - Ferramentas manuais</v>
      </c>
      <c r="K721" s="32" t="str">
        <f aca="false">INDEX('Curva ABC'!$K$8:$K$2847,MATCH(D721,'Curva ABC'!$B$8:$B$2847,0))</f>
        <v>B</v>
      </c>
    </row>
    <row r="722" customFormat="false" ht="15" hidden="false" customHeight="false" outlineLevel="0" collapsed="false">
      <c r="A722" s="34" t="s">
        <v>5799</v>
      </c>
      <c r="B722" s="34" t="str">
        <f aca="false">'Uso e Consumo'!A722</f>
        <v>0335</v>
      </c>
      <c r="C722" s="34" t="str">
        <f aca="false">'Uso e Consumo'!B722</f>
        <v>UFV NORONHA VERDE - USO E CONSUMO</v>
      </c>
      <c r="D722" s="33" t="n">
        <f aca="false">'Uso e Consumo'!C722</f>
        <v>1382646</v>
      </c>
      <c r="E722" s="34" t="str">
        <f aca="false">'Uso e Consumo'!D722</f>
        <v>32.02.0407</v>
      </c>
      <c r="F722" s="34" t="str">
        <f aca="false">'Uso e Consumo'!E722</f>
        <v>CINTA BAP - 1800 MM</v>
      </c>
      <c r="G722" s="34" t="str">
        <f aca="false">'Uso e Consumo'!J722</f>
        <v>UN</v>
      </c>
      <c r="H722" s="49" t="n">
        <f aca="false">'Uso e Consumo'!F722</f>
        <v>61</v>
      </c>
      <c r="I722" s="35" t="n">
        <f aca="false">'Uso e Consumo'!G722</f>
        <v>1682.38</v>
      </c>
      <c r="J722" s="34" t="str">
        <f aca="false">'Uso e Consumo'!M722</f>
        <v>6.1.2.001 - Equipamentos</v>
      </c>
      <c r="K722" s="32" t="str">
        <f aca="false">INDEX('Curva ABC'!$K$8:$K$2847,MATCH(D722,'Curva ABC'!$B$8:$B$2847,0))</f>
        <v>B</v>
      </c>
    </row>
    <row r="723" customFormat="false" ht="15" hidden="false" customHeight="false" outlineLevel="0" collapsed="false">
      <c r="A723" s="34" t="s">
        <v>5799</v>
      </c>
      <c r="B723" s="34" t="str">
        <f aca="false">'Uso e Consumo'!A723</f>
        <v>0335</v>
      </c>
      <c r="C723" s="34" t="str">
        <f aca="false">'Uso e Consumo'!B723</f>
        <v>UFV NORONHA VERDE - USO E CONSUMO</v>
      </c>
      <c r="D723" s="33" t="n">
        <f aca="false">'Uso e Consumo'!C723</f>
        <v>19782</v>
      </c>
      <c r="E723" s="34" t="str">
        <f aca="false">'Uso e Consumo'!D723</f>
        <v>30.03.0055</v>
      </c>
      <c r="F723" s="34" t="str">
        <f aca="false">'Uso e Consumo'!E723</f>
        <v>PAPEL HIGIENICO ROLO FOLHA DUPLA NEUTRO BRANCO 300,00M X 10,00CM PACOTE 4UN</v>
      </c>
      <c r="G723" s="34" t="str">
        <f aca="false">'Uso e Consumo'!J723</f>
        <v>UN</v>
      </c>
      <c r="H723" s="49" t="n">
        <f aca="false">'Uso e Consumo'!F723</f>
        <v>10</v>
      </c>
      <c r="I723" s="35" t="n">
        <f aca="false">'Uso e Consumo'!G723</f>
        <v>1680</v>
      </c>
      <c r="J723" s="34" t="str">
        <f aca="false">'Uso e Consumo'!M723</f>
        <v>4.1.1.003 - Material limpeza</v>
      </c>
      <c r="K723" s="32" t="str">
        <f aca="false">INDEX('Curva ABC'!$K$8:$K$2847,MATCH(D723,'Curva ABC'!$B$8:$B$2847,0))</f>
        <v>B</v>
      </c>
    </row>
    <row r="724" customFormat="false" ht="15" hidden="false" customHeight="false" outlineLevel="0" collapsed="false">
      <c r="A724" s="34" t="s">
        <v>5799</v>
      </c>
      <c r="B724" s="34" t="str">
        <f aca="false">'Uso e Consumo'!A724</f>
        <v>0335</v>
      </c>
      <c r="C724" s="34" t="str">
        <f aca="false">'Uso e Consumo'!B724</f>
        <v>UFV NORONHA VERDE - USO E CONSUMO</v>
      </c>
      <c r="D724" s="33" t="n">
        <f aca="false">'Uso e Consumo'!C724</f>
        <v>35534</v>
      </c>
      <c r="E724" s="34" t="str">
        <f aca="false">'Uso e Consumo'!D724</f>
        <v>24.41.0047</v>
      </c>
      <c r="F724" s="34" t="str">
        <f aca="false">'Uso e Consumo'!E724</f>
        <v>SOQUETE SEXTAVADO LONGA DE IMPACTO 24MM ENCAIXE DE 1/2"</v>
      </c>
      <c r="G724" s="34" t="str">
        <f aca="false">'Uso e Consumo'!J724</f>
        <v>UN</v>
      </c>
      <c r="H724" s="49" t="n">
        <f aca="false">'Uso e Consumo'!F724</f>
        <v>15</v>
      </c>
      <c r="I724" s="35" t="n">
        <f aca="false">'Uso e Consumo'!G724</f>
        <v>1680</v>
      </c>
      <c r="J724" s="34" t="str">
        <f aca="false">'Uso e Consumo'!M724</f>
        <v>3.8.2.002 - Ferramentas manuais</v>
      </c>
      <c r="K724" s="32" t="str">
        <f aca="false">INDEX('Curva ABC'!$K$8:$K$2847,MATCH(D724,'Curva ABC'!$B$8:$B$2847,0))</f>
        <v>B</v>
      </c>
    </row>
    <row r="725" customFormat="false" ht="15" hidden="false" customHeight="false" outlineLevel="0" collapsed="false">
      <c r="A725" s="34" t="s">
        <v>5799</v>
      </c>
      <c r="B725" s="34" t="str">
        <f aca="false">'Uso e Consumo'!A725</f>
        <v>0335</v>
      </c>
      <c r="C725" s="34" t="str">
        <f aca="false">'Uso e Consumo'!B725</f>
        <v>UFV NORONHA VERDE - USO E CONSUMO</v>
      </c>
      <c r="D725" s="33" t="n">
        <f aca="false">'Uso e Consumo'!C725</f>
        <v>738781</v>
      </c>
      <c r="E725" s="34" t="str">
        <f aca="false">'Uso e Consumo'!D725</f>
        <v>29.02.0395</v>
      </c>
      <c r="F725" s="34" t="str">
        <f aca="false">'Uso e Consumo'!E725</f>
        <v>ARMÁRIO DE AÇO COM 3 PRATILEIRAS CINZAS EM PORTA COM TRANCA</v>
      </c>
      <c r="G725" s="34" t="str">
        <f aca="false">'Uso e Consumo'!J725</f>
        <v>UN</v>
      </c>
      <c r="H725" s="49" t="n">
        <f aca="false">'Uso e Consumo'!F725</f>
        <v>1</v>
      </c>
      <c r="I725" s="35" t="n">
        <f aca="false">'Uso e Consumo'!G725</f>
        <v>1678.1</v>
      </c>
      <c r="J725" s="34" t="str">
        <f aca="false">'Uso e Consumo'!M725</f>
        <v>4.1.1.008 - Mobiliário e acessórios</v>
      </c>
      <c r="K725" s="32" t="str">
        <f aca="false">INDEX('Curva ABC'!$K$8:$K$2847,MATCH(D725,'Curva ABC'!$B$8:$B$2847,0))</f>
        <v>B</v>
      </c>
    </row>
    <row r="726" customFormat="false" ht="15" hidden="false" customHeight="false" outlineLevel="0" collapsed="false">
      <c r="A726" s="34" t="s">
        <v>5799</v>
      </c>
      <c r="B726" s="34" t="str">
        <f aca="false">'Uso e Consumo'!A726</f>
        <v>0335</v>
      </c>
      <c r="C726" s="34" t="str">
        <f aca="false">'Uso e Consumo'!B726</f>
        <v>UFV NORONHA VERDE - USO E CONSUMO</v>
      </c>
      <c r="D726" s="33" t="n">
        <f aca="false">'Uso e Consumo'!C726</f>
        <v>557857</v>
      </c>
      <c r="E726" s="34" t="str">
        <f aca="false">'Uso e Consumo'!D726</f>
        <v>25.01.0167</v>
      </c>
      <c r="F726" s="34" t="str">
        <f aca="false">'Uso e Consumo'!E726</f>
        <v>DISCO DESBASTE DIAMANTADO PARA CONCRETO 7” COM ROSCA</v>
      </c>
      <c r="G726" s="34" t="str">
        <f aca="false">'Uso e Consumo'!J726</f>
        <v>UN</v>
      </c>
      <c r="H726" s="49" t="n">
        <f aca="false">'Uso e Consumo'!F726</f>
        <v>10</v>
      </c>
      <c r="I726" s="35" t="n">
        <f aca="false">'Uso e Consumo'!G726</f>
        <v>1676.9</v>
      </c>
      <c r="J726" s="34" t="str">
        <f aca="false">'Uso e Consumo'!M726</f>
        <v>3.8.2.004 - Consumíveis para corte, perfuração e desbaste</v>
      </c>
      <c r="K726" s="32" t="str">
        <f aca="false">INDEX('Curva ABC'!$K$8:$K$2847,MATCH(D726,'Curva ABC'!$B$8:$B$2847,0))</f>
        <v>B</v>
      </c>
    </row>
    <row r="727" customFormat="false" ht="15" hidden="false" customHeight="false" outlineLevel="0" collapsed="false">
      <c r="A727" s="34" t="s">
        <v>5799</v>
      </c>
      <c r="B727" s="34" t="str">
        <f aca="false">'Uso e Consumo'!A727</f>
        <v>0335</v>
      </c>
      <c r="C727" s="34" t="str">
        <f aca="false">'Uso e Consumo'!B727</f>
        <v>UFV NORONHA VERDE - USO E CONSUMO</v>
      </c>
      <c r="D727" s="33" t="n">
        <f aca="false">'Uso e Consumo'!C727</f>
        <v>18820</v>
      </c>
      <c r="E727" s="34" t="str">
        <f aca="false">'Uso e Consumo'!D727</f>
        <v>26.02.0024</v>
      </c>
      <c r="F727" s="34" t="str">
        <f aca="false">'Uso e Consumo'!E727</f>
        <v>BOTA IMPERMEÁVEL DE PVC CANO LONGO - COR PRETA - Nº 41 (CA-26629/10199/28286)</v>
      </c>
      <c r="G727" s="34" t="str">
        <f aca="false">'Uso e Consumo'!J727</f>
        <v>PAR</v>
      </c>
      <c r="H727" s="49" t="n">
        <f aca="false">'Uso e Consumo'!F727</f>
        <v>55</v>
      </c>
      <c r="I727" s="35" t="n">
        <f aca="false">'Uso e Consumo'!G727</f>
        <v>1674.7</v>
      </c>
      <c r="J727" s="34" t="str">
        <f aca="false">'Uso e Consumo'!M727</f>
        <v>4.3.4.001 - Equipamento de proteção individual</v>
      </c>
      <c r="K727" s="32" t="str">
        <f aca="false">INDEX('Curva ABC'!$K$8:$K$2847,MATCH(D727,'Curva ABC'!$B$8:$B$2847,0))</f>
        <v>B</v>
      </c>
    </row>
    <row r="728" customFormat="false" ht="15" hidden="false" customHeight="false" outlineLevel="0" collapsed="false">
      <c r="A728" s="34" t="s">
        <v>5799</v>
      </c>
      <c r="B728" s="34" t="str">
        <f aca="false">'Uso e Consumo'!A728</f>
        <v>0335</v>
      </c>
      <c r="C728" s="34" t="str">
        <f aca="false">'Uso e Consumo'!B728</f>
        <v>UFV NORONHA VERDE - USO E CONSUMO</v>
      </c>
      <c r="D728" s="33" t="n">
        <f aca="false">'Uso e Consumo'!C728</f>
        <v>22809</v>
      </c>
      <c r="E728" s="34" t="str">
        <f aca="false">'Uso e Consumo'!D728</f>
        <v>23.07.0708</v>
      </c>
      <c r="F728" s="34" t="str">
        <f aca="false">'Uso e Consumo'!E728</f>
        <v>PARAFUSO FRANCÊS C/ PORCA SEXTAVADA UNC PS AC 5/16 X4 ZINCADO BRANCO</v>
      </c>
      <c r="G728" s="34" t="str">
        <f aca="false">'Uso e Consumo'!J728</f>
        <v>UN</v>
      </c>
      <c r="H728" s="49" t="n">
        <f aca="false">'Uso e Consumo'!F728</f>
        <v>900</v>
      </c>
      <c r="I728" s="35" t="n">
        <f aca="false">'Uso e Consumo'!G728</f>
        <v>1674</v>
      </c>
      <c r="J728" s="34" t="str">
        <f aca="false">'Uso e Consumo'!M728</f>
        <v>3.8.1.022 - Elementos de fixação</v>
      </c>
      <c r="K728" s="32" t="str">
        <f aca="false">INDEX('Curva ABC'!$K$8:$K$2847,MATCH(D728,'Curva ABC'!$B$8:$B$2847,0))</f>
        <v>B</v>
      </c>
    </row>
    <row r="729" customFormat="false" ht="15" hidden="false" customHeight="false" outlineLevel="0" collapsed="false">
      <c r="A729" s="34" t="s">
        <v>5799</v>
      </c>
      <c r="B729" s="34" t="str">
        <f aca="false">'Uso e Consumo'!A729</f>
        <v>0335</v>
      </c>
      <c r="C729" s="34" t="str">
        <f aca="false">'Uso e Consumo'!B729</f>
        <v>UFV NORONHA VERDE - USO E CONSUMO</v>
      </c>
      <c r="D729" s="33" t="n">
        <f aca="false">'Uso e Consumo'!C729</f>
        <v>1469718</v>
      </c>
      <c r="E729" s="34" t="str">
        <f aca="false">'Uso e Consumo'!D729</f>
        <v>33.02.3190</v>
      </c>
      <c r="F729" s="34" t="str">
        <f aca="false">'Uso e Consumo'!E729</f>
        <v>CALÇO DE RODA PARA CAMINHÃO/CAMINHONETE</v>
      </c>
      <c r="G729" s="34" t="str">
        <f aca="false">'Uso e Consumo'!J729</f>
        <v>UN</v>
      </c>
      <c r="H729" s="49" t="n">
        <f aca="false">'Uso e Consumo'!F729</f>
        <v>22</v>
      </c>
      <c r="I729" s="35" t="n">
        <f aca="false">'Uso e Consumo'!G729</f>
        <v>1672</v>
      </c>
      <c r="J729" s="34" t="str">
        <f aca="false">'Uso e Consumo'!M729</f>
        <v>3.1.6.002 - Pneus e peças</v>
      </c>
      <c r="K729" s="32" t="str">
        <f aca="false">INDEX('Curva ABC'!$K$8:$K$2847,MATCH(D729,'Curva ABC'!$B$8:$B$2847,0))</f>
        <v>B</v>
      </c>
    </row>
    <row r="730" customFormat="false" ht="15" hidden="false" customHeight="false" outlineLevel="0" collapsed="false">
      <c r="A730" s="34" t="s">
        <v>5799</v>
      </c>
      <c r="B730" s="34" t="str">
        <f aca="false">'Uso e Consumo'!A730</f>
        <v>0335</v>
      </c>
      <c r="C730" s="34" t="str">
        <f aca="false">'Uso e Consumo'!B730</f>
        <v>UFV NORONHA VERDE - USO E CONSUMO</v>
      </c>
      <c r="D730" s="33" t="n">
        <f aca="false">'Uso e Consumo'!C730</f>
        <v>18830</v>
      </c>
      <c r="E730" s="34" t="str">
        <f aca="false">'Uso e Consumo'!D730</f>
        <v>26.02.0034</v>
      </c>
      <c r="F730" s="34" t="str">
        <f aca="false">'Uso e Consumo'!E730</f>
        <v>BOTINA PARA ELETRICISTA - RESISTENCIA 14 KV - COR PRETA - Nº 38 (CA-17010/28988/14721/26511)</v>
      </c>
      <c r="G730" s="34" t="str">
        <f aca="false">'Uso e Consumo'!J730</f>
        <v>PAR</v>
      </c>
      <c r="H730" s="49" t="n">
        <f aca="false">'Uso e Consumo'!F730</f>
        <v>17</v>
      </c>
      <c r="I730" s="35" t="n">
        <f aca="false">'Uso e Consumo'!G730</f>
        <v>1670.87</v>
      </c>
      <c r="J730" s="34" t="str">
        <f aca="false">'Uso e Consumo'!M730</f>
        <v>4.3.4.001 - Equipamento de proteção individual</v>
      </c>
      <c r="K730" s="32" t="str">
        <f aca="false">INDEX('Curva ABC'!$K$8:$K$2847,MATCH(D730,'Curva ABC'!$B$8:$B$2847,0))</f>
        <v>B</v>
      </c>
    </row>
    <row r="731" customFormat="false" ht="15" hidden="false" customHeight="false" outlineLevel="0" collapsed="false">
      <c r="A731" s="34" t="s">
        <v>5799</v>
      </c>
      <c r="B731" s="34" t="str">
        <f aca="false">'Uso e Consumo'!A731</f>
        <v>0335</v>
      </c>
      <c r="C731" s="34" t="str">
        <f aca="false">'Uso e Consumo'!B731</f>
        <v>UFV NORONHA VERDE - USO E CONSUMO</v>
      </c>
      <c r="D731" s="33" t="n">
        <f aca="false">'Uso e Consumo'!C731</f>
        <v>60476</v>
      </c>
      <c r="E731" s="34" t="str">
        <f aca="false">'Uso e Consumo'!D731</f>
        <v>32.02.0083</v>
      </c>
      <c r="F731" s="34" t="str">
        <f aca="false">'Uso e Consumo'!E731</f>
        <v>CINTA DE AMARRAÇÃO 50,00MM X 10,00M CAPACIDADE 5,0 T C/CATRACA</v>
      </c>
      <c r="G731" s="34" t="str">
        <f aca="false">'Uso e Consumo'!J731</f>
        <v>UN</v>
      </c>
      <c r="H731" s="49" t="n">
        <f aca="false">'Uso e Consumo'!F731</f>
        <v>10</v>
      </c>
      <c r="I731" s="35" t="n">
        <f aca="false">'Uso e Consumo'!G731</f>
        <v>1668</v>
      </c>
      <c r="J731" s="34" t="str">
        <f aca="false">'Uso e Consumo'!M731</f>
        <v>6.1.2.001 - Equipamentos</v>
      </c>
      <c r="K731" s="32" t="str">
        <f aca="false">INDEX('Curva ABC'!$K$8:$K$2847,MATCH(D731,'Curva ABC'!$B$8:$B$2847,0))</f>
        <v>B</v>
      </c>
    </row>
    <row r="732" customFormat="false" ht="15" hidden="false" customHeight="false" outlineLevel="0" collapsed="false">
      <c r="A732" s="34" t="s">
        <v>5799</v>
      </c>
      <c r="B732" s="34" t="str">
        <f aca="false">'Uso e Consumo'!A732</f>
        <v>0335</v>
      </c>
      <c r="C732" s="34" t="str">
        <f aca="false">'Uso e Consumo'!B732</f>
        <v>UFV NORONHA VERDE - USO E CONSUMO</v>
      </c>
      <c r="D732" s="33" t="n">
        <f aca="false">'Uso e Consumo'!C732</f>
        <v>478936</v>
      </c>
      <c r="E732" s="34" t="str">
        <f aca="false">'Uso e Consumo'!D732</f>
        <v>17.19.0039</v>
      </c>
      <c r="F732" s="34" t="str">
        <f aca="false">'Uso e Consumo'!E732</f>
        <v>FITA ISOLANTE 750V 18,00MM X 10,00M PRETO</v>
      </c>
      <c r="G732" s="34" t="str">
        <f aca="false">'Uso e Consumo'!J732</f>
        <v>UN</v>
      </c>
      <c r="H732" s="49" t="n">
        <f aca="false">'Uso e Consumo'!F732</f>
        <v>366</v>
      </c>
      <c r="I732" s="35" t="n">
        <f aca="false">'Uso e Consumo'!G732</f>
        <v>1666.4514</v>
      </c>
      <c r="J732" s="34" t="str">
        <f aca="false">'Uso e Consumo'!M732</f>
        <v>3.8.1.017 - Instalações elétricas/telefônicas/lógica</v>
      </c>
      <c r="K732" s="32" t="str">
        <f aca="false">INDEX('Curva ABC'!$K$8:$K$2847,MATCH(D732,'Curva ABC'!$B$8:$B$2847,0))</f>
        <v>B</v>
      </c>
    </row>
    <row r="733" customFormat="false" ht="15" hidden="false" customHeight="false" outlineLevel="0" collapsed="false">
      <c r="A733" s="34" t="s">
        <v>5799</v>
      </c>
      <c r="B733" s="34" t="str">
        <f aca="false">'Uso e Consumo'!A733</f>
        <v>0335</v>
      </c>
      <c r="C733" s="34" t="str">
        <f aca="false">'Uso e Consumo'!B733</f>
        <v>UFV NORONHA VERDE - USO E CONSUMO</v>
      </c>
      <c r="D733" s="33" t="n">
        <f aca="false">'Uso e Consumo'!C733</f>
        <v>1465208</v>
      </c>
      <c r="E733" s="34" t="str">
        <f aca="false">'Uso e Consumo'!D733</f>
        <v>01.11.0316</v>
      </c>
      <c r="F733" s="34" t="str">
        <f aca="false">'Uso e Consumo'!E733</f>
        <v>CHAPA 3/8" x 3" x 550 MM DOBRADA E GALVANIZADO A FOGO</v>
      </c>
      <c r="G733" s="34" t="str">
        <f aca="false">'Uso e Consumo'!J733</f>
        <v>UN</v>
      </c>
      <c r="H733" s="49" t="n">
        <f aca="false">'Uso e Consumo'!F733</f>
        <v>8</v>
      </c>
      <c r="I733" s="35" t="n">
        <f aca="false">'Uso e Consumo'!G733</f>
        <v>1664.82</v>
      </c>
      <c r="J733" s="34" t="str">
        <f aca="false">'Uso e Consumo'!M733</f>
        <v>3.8.1.001 - Aços e trefilados</v>
      </c>
      <c r="K733" s="32" t="str">
        <f aca="false">INDEX('Curva ABC'!$K$8:$K$2847,MATCH(D733,'Curva ABC'!$B$8:$B$2847,0))</f>
        <v>B</v>
      </c>
    </row>
    <row r="734" customFormat="false" ht="15" hidden="false" customHeight="false" outlineLevel="0" collapsed="false">
      <c r="A734" s="34" t="s">
        <v>5799</v>
      </c>
      <c r="B734" s="34" t="str">
        <f aca="false">'Uso e Consumo'!A734</f>
        <v>0335</v>
      </c>
      <c r="C734" s="34" t="str">
        <f aca="false">'Uso e Consumo'!B734</f>
        <v>UFV NORONHA VERDE - USO E CONSUMO</v>
      </c>
      <c r="D734" s="33" t="n">
        <f aca="false">'Uso e Consumo'!C734</f>
        <v>1319429</v>
      </c>
      <c r="E734" s="34" t="str">
        <f aca="false">'Uso e Consumo'!D734</f>
        <v>28.01.0719</v>
      </c>
      <c r="F734" s="34" t="str">
        <f aca="false">'Uso e Consumo'!E734</f>
        <v>PLACA DE SINALIZAÇÃO 80X120CM - CHAPA DE ZINCO - COM BARROTE</v>
      </c>
      <c r="G734" s="34" t="str">
        <f aca="false">'Uso e Consumo'!J734</f>
        <v>UN</v>
      </c>
      <c r="H734" s="49" t="n">
        <f aca="false">'Uso e Consumo'!F734</f>
        <v>4</v>
      </c>
      <c r="I734" s="35" t="n">
        <f aca="false">'Uso e Consumo'!G734</f>
        <v>1657.76</v>
      </c>
      <c r="J734" s="34" t="str">
        <f aca="false">'Uso e Consumo'!M734</f>
        <v>3.8.1.023 - Comunicação visual e sinalização</v>
      </c>
      <c r="K734" s="32" t="str">
        <f aca="false">INDEX('Curva ABC'!$K$8:$K$2847,MATCH(D734,'Curva ABC'!$B$8:$B$2847,0))</f>
        <v>B</v>
      </c>
    </row>
    <row r="735" customFormat="false" ht="15" hidden="false" customHeight="false" outlineLevel="0" collapsed="false">
      <c r="A735" s="34" t="s">
        <v>5799</v>
      </c>
      <c r="B735" s="34" t="str">
        <f aca="false">'Uso e Consumo'!A735</f>
        <v>0335</v>
      </c>
      <c r="C735" s="34" t="str">
        <f aca="false">'Uso e Consumo'!B735</f>
        <v>UFV NORONHA VERDE - USO E CONSUMO</v>
      </c>
      <c r="D735" s="33" t="n">
        <f aca="false">'Uso e Consumo'!C735</f>
        <v>34043</v>
      </c>
      <c r="E735" s="34" t="str">
        <f aca="false">'Uso e Consumo'!D735</f>
        <v>32.02.0021</v>
      </c>
      <c r="F735" s="34" t="str">
        <f aca="false">'Uso e Consumo'!E735</f>
        <v>CINTA DE ELEVAÇÃO CAPACIDADE 5,0T COM 5,0M</v>
      </c>
      <c r="G735" s="34" t="str">
        <f aca="false">'Uso e Consumo'!J735</f>
        <v>UN</v>
      </c>
      <c r="H735" s="49" t="n">
        <f aca="false">'Uso e Consumo'!F735</f>
        <v>6</v>
      </c>
      <c r="I735" s="35" t="n">
        <f aca="false">'Uso e Consumo'!G735</f>
        <v>1656</v>
      </c>
      <c r="J735" s="34" t="str">
        <f aca="false">'Uso e Consumo'!M735</f>
        <v>6.1.2.001 - Equipamentos</v>
      </c>
      <c r="K735" s="32" t="str">
        <f aca="false">INDEX('Curva ABC'!$K$8:$K$2847,MATCH(D735,'Curva ABC'!$B$8:$B$2847,0))</f>
        <v>B</v>
      </c>
    </row>
    <row r="736" customFormat="false" ht="15" hidden="false" customHeight="false" outlineLevel="0" collapsed="false">
      <c r="A736" s="34" t="s">
        <v>5799</v>
      </c>
      <c r="B736" s="34" t="str">
        <f aca="false">'Uso e Consumo'!A736</f>
        <v>0335</v>
      </c>
      <c r="C736" s="34" t="str">
        <f aca="false">'Uso e Consumo'!B736</f>
        <v>UFV NORONHA VERDE - USO E CONSUMO</v>
      </c>
      <c r="D736" s="33" t="n">
        <f aca="false">'Uso e Consumo'!C736</f>
        <v>937230</v>
      </c>
      <c r="E736" s="34" t="str">
        <f aca="false">'Uso e Consumo'!D736</f>
        <v>30.01.0737</v>
      </c>
      <c r="F736" s="34" t="str">
        <f aca="false">'Uso e Consumo'!E736</f>
        <v>ESTILETE 19MM RETRÁTIL S011 - STARRET</v>
      </c>
      <c r="G736" s="34" t="str">
        <f aca="false">'Uso e Consumo'!J736</f>
        <v>UN</v>
      </c>
      <c r="H736" s="49" t="n">
        <f aca="false">'Uso e Consumo'!F736</f>
        <v>10</v>
      </c>
      <c r="I736" s="35" t="n">
        <f aca="false">'Uso e Consumo'!G736</f>
        <v>1650</v>
      </c>
      <c r="J736" s="34" t="str">
        <f aca="false">'Uso e Consumo'!M736</f>
        <v>4.1.1.002 - Material expediente</v>
      </c>
      <c r="K736" s="32" t="str">
        <f aca="false">INDEX('Curva ABC'!$K$8:$K$2847,MATCH(D736,'Curva ABC'!$B$8:$B$2847,0))</f>
        <v>B</v>
      </c>
    </row>
    <row r="737" customFormat="false" ht="15" hidden="false" customHeight="false" outlineLevel="0" collapsed="false">
      <c r="A737" s="34" t="s">
        <v>5799</v>
      </c>
      <c r="B737" s="34" t="str">
        <f aca="false">'Uso e Consumo'!A737</f>
        <v>0335</v>
      </c>
      <c r="C737" s="34" t="str">
        <f aca="false">'Uso e Consumo'!B737</f>
        <v>UFV NORONHA VERDE - USO E CONSUMO</v>
      </c>
      <c r="D737" s="33" t="n">
        <f aca="false">'Uso e Consumo'!C737</f>
        <v>1319428</v>
      </c>
      <c r="E737" s="34" t="str">
        <f aca="false">'Uso e Consumo'!D737</f>
        <v>28.01.0718</v>
      </c>
      <c r="F737" s="34" t="str">
        <f aca="false">'Uso e Consumo'!E737</f>
        <v>PLACA DE SINALIZAÇÃO 80X120CM - CHAPA DE ZINCO - COM CAVALETE</v>
      </c>
      <c r="G737" s="34" t="str">
        <f aca="false">'Uso e Consumo'!J737</f>
        <v>UN</v>
      </c>
      <c r="H737" s="49" t="n">
        <f aca="false">'Uso e Consumo'!F737</f>
        <v>4</v>
      </c>
      <c r="I737" s="35" t="n">
        <f aca="false">'Uso e Consumo'!G737</f>
        <v>1649.76</v>
      </c>
      <c r="J737" s="34" t="str">
        <f aca="false">'Uso e Consumo'!M737</f>
        <v>3.8.1.023 - Comunicação visual e sinalização</v>
      </c>
      <c r="K737" s="32" t="str">
        <f aca="false">INDEX('Curva ABC'!$K$8:$K$2847,MATCH(D737,'Curva ABC'!$B$8:$B$2847,0))</f>
        <v>B</v>
      </c>
    </row>
    <row r="738" customFormat="false" ht="15" hidden="false" customHeight="false" outlineLevel="0" collapsed="false">
      <c r="A738" s="34" t="s">
        <v>5799</v>
      </c>
      <c r="B738" s="34" t="str">
        <f aca="false">'Uso e Consumo'!A738</f>
        <v>0335</v>
      </c>
      <c r="C738" s="34" t="str">
        <f aca="false">'Uso e Consumo'!B738</f>
        <v>UFV NORONHA VERDE - USO E CONSUMO</v>
      </c>
      <c r="D738" s="33" t="n">
        <f aca="false">'Uso e Consumo'!C738</f>
        <v>1464723</v>
      </c>
      <c r="E738" s="34" t="str">
        <f aca="false">'Uso e Consumo'!D738</f>
        <v>23.10.0064</v>
      </c>
      <c r="F738" s="34" t="str">
        <f aca="false">'Uso e Consumo'!E738</f>
        <v>FIXADOR DE ABAS PARABOLT (PORCA SEXTAVADA, ARRUELA METÁLICA E ELÁSTICA, PARAFUSO Ø1/4"</v>
      </c>
      <c r="G738" s="34" t="str">
        <f aca="false">'Uso e Consumo'!J738</f>
        <v>UN</v>
      </c>
      <c r="H738" s="49" t="n">
        <f aca="false">'Uso e Consumo'!F738</f>
        <v>184</v>
      </c>
      <c r="I738" s="35" t="n">
        <f aca="false">'Uso e Consumo'!G738</f>
        <v>1646.92</v>
      </c>
      <c r="J738" s="34" t="str">
        <f aca="false">'Uso e Consumo'!M738</f>
        <v>3.8.1.022 - Elementos de fixação</v>
      </c>
      <c r="K738" s="32" t="str">
        <f aca="false">INDEX('Curva ABC'!$K$8:$K$2847,MATCH(D738,'Curva ABC'!$B$8:$B$2847,0))</f>
        <v>B</v>
      </c>
    </row>
    <row r="739" customFormat="false" ht="15" hidden="false" customHeight="false" outlineLevel="0" collapsed="false">
      <c r="A739" s="34" t="s">
        <v>5799</v>
      </c>
      <c r="B739" s="34" t="str">
        <f aca="false">'Uso e Consumo'!A739</f>
        <v>0335</v>
      </c>
      <c r="C739" s="34" t="str">
        <f aca="false">'Uso e Consumo'!B739</f>
        <v>UFV NORONHA VERDE - USO E CONSUMO</v>
      </c>
      <c r="D739" s="33" t="n">
        <f aca="false">'Uso e Consumo'!C739</f>
        <v>934334</v>
      </c>
      <c r="E739" s="34" t="str">
        <f aca="false">'Uso e Consumo'!D739</f>
        <v>16.03.0427</v>
      </c>
      <c r="F739" s="34" t="str">
        <f aca="false">'Uso e Consumo'!E739</f>
        <v>TINTA PISO NOVACOR SHERWIN WILLIANS COR AZUL CONCRETO 18L</v>
      </c>
      <c r="G739" s="34" t="str">
        <f aca="false">'Uso e Consumo'!J739</f>
        <v>UN</v>
      </c>
      <c r="H739" s="49" t="n">
        <f aca="false">'Uso e Consumo'!F739</f>
        <v>3</v>
      </c>
      <c r="I739" s="35" t="n">
        <f aca="false">'Uso e Consumo'!G739</f>
        <v>1644</v>
      </c>
      <c r="J739" s="34" t="str">
        <f aca="false">'Uso e Consumo'!M739</f>
        <v>3.8.1.016 - Pinturas</v>
      </c>
      <c r="K739" s="32" t="str">
        <f aca="false">INDEX('Curva ABC'!$K$8:$K$2847,MATCH(D739,'Curva ABC'!$B$8:$B$2847,0))</f>
        <v>B</v>
      </c>
    </row>
    <row r="740" customFormat="false" ht="15" hidden="false" customHeight="false" outlineLevel="0" collapsed="false">
      <c r="A740" s="34" t="s">
        <v>5799</v>
      </c>
      <c r="B740" s="34" t="str">
        <f aca="false">'Uso e Consumo'!A740</f>
        <v>0335</v>
      </c>
      <c r="C740" s="34" t="str">
        <f aca="false">'Uso e Consumo'!B740</f>
        <v>UFV NORONHA VERDE - USO E CONSUMO</v>
      </c>
      <c r="D740" s="33" t="n">
        <f aca="false">'Uso e Consumo'!C740</f>
        <v>727452</v>
      </c>
      <c r="E740" s="34" t="str">
        <f aca="false">'Uso e Consumo'!D740</f>
        <v>26.02.0167</v>
      </c>
      <c r="F740" s="34" t="str">
        <f aca="false">'Uso e Consumo'!E740</f>
        <v>BOTA - CALÇADO DE SEGURANÇA TIPO COTURNO MOTOSSERISTA - CA 37533 Nº 42</v>
      </c>
      <c r="G740" s="34" t="str">
        <f aca="false">'Uso e Consumo'!J740</f>
        <v>UN</v>
      </c>
      <c r="H740" s="49" t="n">
        <f aca="false">'Uso e Consumo'!F740</f>
        <v>5</v>
      </c>
      <c r="I740" s="35" t="n">
        <f aca="false">'Uso e Consumo'!G740</f>
        <v>1641.43</v>
      </c>
      <c r="J740" s="34" t="str">
        <f aca="false">'Uso e Consumo'!M740</f>
        <v>4.3.4.001 - Equipamento de proteção individual</v>
      </c>
      <c r="K740" s="32" t="str">
        <f aca="false">INDEX('Curva ABC'!$K$8:$K$2847,MATCH(D740,'Curva ABC'!$B$8:$B$2847,0))</f>
        <v>B</v>
      </c>
    </row>
    <row r="741" customFormat="false" ht="15" hidden="false" customHeight="false" outlineLevel="0" collapsed="false">
      <c r="A741" s="34" t="s">
        <v>5799</v>
      </c>
      <c r="B741" s="34" t="str">
        <f aca="false">'Uso e Consumo'!A741</f>
        <v>0335</v>
      </c>
      <c r="C741" s="34" t="str">
        <f aca="false">'Uso e Consumo'!B741</f>
        <v>UFV NORONHA VERDE - USO E CONSUMO</v>
      </c>
      <c r="D741" s="33" t="n">
        <f aca="false">'Uso e Consumo'!C741</f>
        <v>727453</v>
      </c>
      <c r="E741" s="34" t="str">
        <f aca="false">'Uso e Consumo'!D741</f>
        <v>26.02.0168</v>
      </c>
      <c r="F741" s="34" t="str">
        <f aca="false">'Uso e Consumo'!E741</f>
        <v>BOTA - CALÇADO DE SEGURANÇA TIPO COTURNO MOTOSSERISTA - CA 37533 Nº 43</v>
      </c>
      <c r="G741" s="34" t="str">
        <f aca="false">'Uso e Consumo'!J741</f>
        <v>UN</v>
      </c>
      <c r="H741" s="49" t="n">
        <f aca="false">'Uso e Consumo'!F741</f>
        <v>5</v>
      </c>
      <c r="I741" s="35" t="n">
        <f aca="false">'Uso e Consumo'!G741</f>
        <v>1641.43</v>
      </c>
      <c r="J741" s="34" t="str">
        <f aca="false">'Uso e Consumo'!M741</f>
        <v>4.3.4.001 - Equipamento de proteção individual</v>
      </c>
      <c r="K741" s="32" t="str">
        <f aca="false">INDEX('Curva ABC'!$K$8:$K$2847,MATCH(D741,'Curva ABC'!$B$8:$B$2847,0))</f>
        <v>B</v>
      </c>
    </row>
    <row r="742" customFormat="false" ht="15" hidden="false" customHeight="false" outlineLevel="0" collapsed="false">
      <c r="A742" s="34" t="s">
        <v>5799</v>
      </c>
      <c r="B742" s="34" t="str">
        <f aca="false">'Uso e Consumo'!A742</f>
        <v>0335</v>
      </c>
      <c r="C742" s="34" t="str">
        <f aca="false">'Uso e Consumo'!B742</f>
        <v>UFV NORONHA VERDE - USO E CONSUMO</v>
      </c>
      <c r="D742" s="33" t="n">
        <f aca="false">'Uso e Consumo'!C742</f>
        <v>1465432</v>
      </c>
      <c r="E742" s="34" t="str">
        <f aca="false">'Uso e Consumo'!D742</f>
        <v>01.09.0390</v>
      </c>
      <c r="F742" s="34" t="str">
        <f aca="false">'Uso e Consumo'!E742</f>
        <v>CANTONEIRA "L" EM AÇO GALVANIZADO 90 x 90 x 3 - 2000 mm</v>
      </c>
      <c r="G742" s="34" t="str">
        <f aca="false">'Uso e Consumo'!J742</f>
        <v>UN</v>
      </c>
      <c r="H742" s="49" t="n">
        <f aca="false">'Uso e Consumo'!F742</f>
        <v>2</v>
      </c>
      <c r="I742" s="35" t="n">
        <f aca="false">'Uso e Consumo'!G742</f>
        <v>1640</v>
      </c>
      <c r="J742" s="34" t="str">
        <f aca="false">'Uso e Consumo'!M742</f>
        <v>3.8.1.001 - Aços e trefilados</v>
      </c>
      <c r="K742" s="32" t="str">
        <f aca="false">INDEX('Curva ABC'!$K$8:$K$2847,MATCH(D742,'Curva ABC'!$B$8:$B$2847,0))</f>
        <v>B</v>
      </c>
    </row>
    <row r="743" customFormat="false" ht="15" hidden="false" customHeight="false" outlineLevel="0" collapsed="false">
      <c r="A743" s="34" t="s">
        <v>5799</v>
      </c>
      <c r="B743" s="34" t="str">
        <f aca="false">'Uso e Consumo'!A743</f>
        <v>0335</v>
      </c>
      <c r="C743" s="34" t="str">
        <f aca="false">'Uso e Consumo'!B743</f>
        <v>UFV NORONHA VERDE - USO E CONSUMO</v>
      </c>
      <c r="D743" s="33" t="n">
        <f aca="false">'Uso e Consumo'!C743</f>
        <v>1613481</v>
      </c>
      <c r="E743" s="34" t="str">
        <f aca="false">'Uso e Consumo'!D743</f>
        <v>17.10.0434</v>
      </c>
      <c r="F743" s="34" t="str">
        <f aca="false">'Uso e Consumo'!E743</f>
        <v>INTERRUPTOR DIFERENCIAL RESIDUAL TETRAPOLAR, CORRENTE NOMINAL DE 150A, CORRENTE DIFERENCIAL RESIDUAL DE 30MA</v>
      </c>
      <c r="G743" s="34" t="str">
        <f aca="false">'Uso e Consumo'!J743</f>
        <v>UN</v>
      </c>
      <c r="H743" s="49" t="n">
        <f aca="false">'Uso e Consumo'!F743</f>
        <v>1</v>
      </c>
      <c r="I743" s="35" t="n">
        <f aca="false">'Uso e Consumo'!G743</f>
        <v>1639.3</v>
      </c>
      <c r="J743" s="34" t="str">
        <f aca="false">'Uso e Consumo'!M743</f>
        <v>3.8.1.017 - Instalações elétricas/telefônicas/lógica</v>
      </c>
      <c r="K743" s="32" t="str">
        <f aca="false">INDEX('Curva ABC'!$K$8:$K$2847,MATCH(D743,'Curva ABC'!$B$8:$B$2847,0))</f>
        <v>B</v>
      </c>
    </row>
    <row r="744" customFormat="false" ht="15" hidden="false" customHeight="false" outlineLevel="0" collapsed="false">
      <c r="A744" s="34" t="s">
        <v>5799</v>
      </c>
      <c r="B744" s="34" t="str">
        <f aca="false">'Uso e Consumo'!A744</f>
        <v>0335</v>
      </c>
      <c r="C744" s="34" t="str">
        <f aca="false">'Uso e Consumo'!B744</f>
        <v>UFV NORONHA VERDE - USO E CONSUMO</v>
      </c>
      <c r="D744" s="33" t="n">
        <f aca="false">'Uso e Consumo'!C744</f>
        <v>1069521</v>
      </c>
      <c r="E744" s="34" t="str">
        <f aca="false">'Uso e Consumo'!D744</f>
        <v>29.01.1389</v>
      </c>
      <c r="F744" s="34" t="str">
        <f aca="false">'Uso e Consumo'!E744</f>
        <v>SWITCH 10/1000 24 PORTAS</v>
      </c>
      <c r="G744" s="34" t="str">
        <f aca="false">'Uso e Consumo'!J744</f>
        <v>UN</v>
      </c>
      <c r="H744" s="49" t="n">
        <f aca="false">'Uso e Consumo'!F744</f>
        <v>2</v>
      </c>
      <c r="I744" s="35" t="n">
        <f aca="false">'Uso e Consumo'!G744</f>
        <v>1638</v>
      </c>
      <c r="J744" s="34" t="str">
        <f aca="false">'Uso e Consumo'!M744</f>
        <v>4.1.1.007 - Equipamentos e acessórios para informática</v>
      </c>
      <c r="K744" s="32" t="str">
        <f aca="false">INDEX('Curva ABC'!$K$8:$K$2847,MATCH(D744,'Curva ABC'!$B$8:$B$2847,0))</f>
        <v>B</v>
      </c>
    </row>
    <row r="745" customFormat="false" ht="15" hidden="false" customHeight="false" outlineLevel="0" collapsed="false">
      <c r="A745" s="34" t="s">
        <v>5799</v>
      </c>
      <c r="B745" s="34" t="str">
        <f aca="false">'Uso e Consumo'!A745</f>
        <v>0335</v>
      </c>
      <c r="C745" s="34" t="str">
        <f aca="false">'Uso e Consumo'!B745</f>
        <v>UFV NORONHA VERDE - USO E CONSUMO</v>
      </c>
      <c r="D745" s="33" t="n">
        <f aca="false">'Uso e Consumo'!C745</f>
        <v>1539051</v>
      </c>
      <c r="E745" s="34" t="str">
        <f aca="false">'Uso e Consumo'!D745</f>
        <v>24.01.0027</v>
      </c>
      <c r="F745" s="34" t="str">
        <f aca="false">'Uso e Consumo'!E745</f>
        <v>SERRA CIRCULAR ELÉTRICA 7 1/4" 184 MM - 1800 W</v>
      </c>
      <c r="G745" s="34" t="str">
        <f aca="false">'Uso e Consumo'!J745</f>
        <v>UN</v>
      </c>
      <c r="H745" s="49" t="n">
        <f aca="false">'Uso e Consumo'!F745</f>
        <v>2</v>
      </c>
      <c r="I745" s="35" t="n">
        <f aca="false">'Uso e Consumo'!G745</f>
        <v>1630</v>
      </c>
      <c r="J745" s="34" t="str">
        <f aca="false">'Uso e Consumo'!M745</f>
        <v>3.8.2.003 - Ferramentas elétricas/pneumáticas</v>
      </c>
      <c r="K745" s="32" t="str">
        <f aca="false">INDEX('Curva ABC'!$K$8:$K$2847,MATCH(D745,'Curva ABC'!$B$8:$B$2847,0))</f>
        <v>B</v>
      </c>
    </row>
    <row r="746" customFormat="false" ht="15" hidden="false" customHeight="false" outlineLevel="0" collapsed="false">
      <c r="A746" s="34" t="s">
        <v>5799</v>
      </c>
      <c r="B746" s="34" t="str">
        <f aca="false">'Uso e Consumo'!A746</f>
        <v>0335</v>
      </c>
      <c r="C746" s="34" t="str">
        <f aca="false">'Uso e Consumo'!B746</f>
        <v>UFV NORONHA VERDE - USO E CONSUMO</v>
      </c>
      <c r="D746" s="33" t="n">
        <f aca="false">'Uso e Consumo'!C746</f>
        <v>609624</v>
      </c>
      <c r="E746" s="34" t="str">
        <f aca="false">'Uso e Consumo'!D746</f>
        <v>25.26.0010</v>
      </c>
      <c r="F746" s="34" t="str">
        <f aca="false">'Uso e Consumo'!E746</f>
        <v>TAG DE METAL - ABRAÇADEIRA</v>
      </c>
      <c r="G746" s="34" t="str">
        <f aca="false">'Uso e Consumo'!J746</f>
        <v>UN</v>
      </c>
      <c r="H746" s="49" t="n">
        <f aca="false">'Uso e Consumo'!F746</f>
        <v>250</v>
      </c>
      <c r="I746" s="35" t="n">
        <f aca="false">'Uso e Consumo'!G746</f>
        <v>1625</v>
      </c>
      <c r="J746" s="34" t="str">
        <f aca="false">'Uso e Consumo'!M746</f>
        <v>3.8.1.023 - Comunicação visual e sinalização</v>
      </c>
      <c r="K746" s="32" t="str">
        <f aca="false">INDEX('Curva ABC'!$K$8:$K$2847,MATCH(D746,'Curva ABC'!$B$8:$B$2847,0))</f>
        <v>B</v>
      </c>
    </row>
    <row r="747" customFormat="false" ht="15" hidden="false" customHeight="false" outlineLevel="0" collapsed="false">
      <c r="A747" s="34" t="s">
        <v>5799</v>
      </c>
      <c r="B747" s="34" t="str">
        <f aca="false">'Uso e Consumo'!A747</f>
        <v>0335</v>
      </c>
      <c r="C747" s="34" t="str">
        <f aca="false">'Uso e Consumo'!B747</f>
        <v>UFV NORONHA VERDE - USO E CONSUMO</v>
      </c>
      <c r="D747" s="33" t="n">
        <f aca="false">'Uso e Consumo'!C747</f>
        <v>601528</v>
      </c>
      <c r="E747" s="34" t="str">
        <f aca="false">'Uso e Consumo'!D747</f>
        <v>26.09.0024</v>
      </c>
      <c r="F747" s="34" t="str">
        <f aca="false">'Uso e Consumo'!E747</f>
        <v>PROTETOR SOLAR FPS 30 - 1L</v>
      </c>
      <c r="G747" s="34" t="str">
        <f aca="false">'Uso e Consumo'!J747</f>
        <v>UN</v>
      </c>
      <c r="H747" s="49" t="n">
        <f aca="false">'Uso e Consumo'!F747</f>
        <v>21</v>
      </c>
      <c r="I747" s="35" t="n">
        <f aca="false">'Uso e Consumo'!G747</f>
        <v>1623.55</v>
      </c>
      <c r="J747" s="34" t="str">
        <f aca="false">'Uso e Consumo'!M747</f>
        <v>4.3.4.001 - Equipamento de proteção individual</v>
      </c>
      <c r="K747" s="32" t="str">
        <f aca="false">INDEX('Curva ABC'!$K$8:$K$2847,MATCH(D747,'Curva ABC'!$B$8:$B$2847,0))</f>
        <v>B</v>
      </c>
    </row>
    <row r="748" customFormat="false" ht="15" hidden="false" customHeight="false" outlineLevel="0" collapsed="false">
      <c r="A748" s="34" t="s">
        <v>5799</v>
      </c>
      <c r="B748" s="34" t="str">
        <f aca="false">'Uso e Consumo'!A748</f>
        <v>0335</v>
      </c>
      <c r="C748" s="34" t="str">
        <f aca="false">'Uso e Consumo'!B748</f>
        <v>UFV NORONHA VERDE - USO E CONSUMO</v>
      </c>
      <c r="D748" s="33" t="n">
        <f aca="false">'Uso e Consumo'!C748</f>
        <v>66440</v>
      </c>
      <c r="E748" s="34" t="str">
        <f aca="false">'Uso e Consumo'!D748</f>
        <v>32.02.0162</v>
      </c>
      <c r="F748" s="34" t="str">
        <f aca="false">'Uso e Consumo'!E748</f>
        <v>CINTA DE AMARRAÇÃO 50,00MM X 9,00M CAPACIDADE 3,0 T C/CATRACA</v>
      </c>
      <c r="G748" s="34" t="str">
        <f aca="false">'Uso e Consumo'!J748</f>
        <v>UN</v>
      </c>
      <c r="H748" s="49" t="n">
        <f aca="false">'Uso e Consumo'!F748</f>
        <v>18</v>
      </c>
      <c r="I748" s="35" t="n">
        <f aca="false">'Uso e Consumo'!G748</f>
        <v>1620</v>
      </c>
      <c r="J748" s="34" t="str">
        <f aca="false">'Uso e Consumo'!M748</f>
        <v>6.1.2.001 - Equipamentos</v>
      </c>
      <c r="K748" s="32" t="str">
        <f aca="false">INDEX('Curva ABC'!$K$8:$K$2847,MATCH(D748,'Curva ABC'!$B$8:$B$2847,0))</f>
        <v>B</v>
      </c>
    </row>
    <row r="749" customFormat="false" ht="15" hidden="false" customHeight="false" outlineLevel="0" collapsed="false">
      <c r="A749" s="34" t="s">
        <v>5799</v>
      </c>
      <c r="B749" s="34" t="str">
        <f aca="false">'Uso e Consumo'!A749</f>
        <v>0335</v>
      </c>
      <c r="C749" s="34" t="str">
        <f aca="false">'Uso e Consumo'!B749</f>
        <v>UFV NORONHA VERDE - USO E CONSUMO</v>
      </c>
      <c r="D749" s="33" t="n">
        <f aca="false">'Uso e Consumo'!C749</f>
        <v>34916</v>
      </c>
      <c r="E749" s="34" t="str">
        <f aca="false">'Uso e Consumo'!D749</f>
        <v>34.02.0733</v>
      </c>
      <c r="F749" s="34" t="str">
        <f aca="false">'Uso e Consumo'!E749</f>
        <v>VOLANTE DIREÇÃO</v>
      </c>
      <c r="G749" s="34" t="str">
        <f aca="false">'Uso e Consumo'!J749</f>
        <v>UN</v>
      </c>
      <c r="H749" s="49" t="n">
        <f aca="false">'Uso e Consumo'!F749</f>
        <v>1</v>
      </c>
      <c r="I749" s="35" t="n">
        <f aca="false">'Uso e Consumo'!G749</f>
        <v>1618.84</v>
      </c>
      <c r="J749" s="34" t="str">
        <f aca="false">'Uso e Consumo'!M749</f>
        <v>3.1.6.002 - Pneus e peças</v>
      </c>
      <c r="K749" s="32" t="str">
        <f aca="false">INDEX('Curva ABC'!$K$8:$K$2847,MATCH(D749,'Curva ABC'!$B$8:$B$2847,0))</f>
        <v>B</v>
      </c>
    </row>
    <row r="750" customFormat="false" ht="15" hidden="false" customHeight="false" outlineLevel="0" collapsed="false">
      <c r="A750" s="34" t="s">
        <v>5799</v>
      </c>
      <c r="B750" s="34" t="str">
        <f aca="false">'Uso e Consumo'!A750</f>
        <v>0335</v>
      </c>
      <c r="C750" s="34" t="str">
        <f aca="false">'Uso e Consumo'!B750</f>
        <v>UFV NORONHA VERDE - USO E CONSUMO</v>
      </c>
      <c r="D750" s="33" t="n">
        <f aca="false">'Uso e Consumo'!C750</f>
        <v>880271</v>
      </c>
      <c r="E750" s="34" t="str">
        <f aca="false">'Uso e Consumo'!D750</f>
        <v>16.04.0050</v>
      </c>
      <c r="F750" s="34" t="str">
        <f aca="false">'Uso e Consumo'!E750</f>
        <v>GALVANIZADOR CRZ A FRIO 900ML</v>
      </c>
      <c r="G750" s="34" t="str">
        <f aca="false">'Uso e Consumo'!J750</f>
        <v>UN</v>
      </c>
      <c r="H750" s="49" t="n">
        <f aca="false">'Uso e Consumo'!F750</f>
        <v>5</v>
      </c>
      <c r="I750" s="35" t="n">
        <f aca="false">'Uso e Consumo'!G750</f>
        <v>1610</v>
      </c>
      <c r="J750" s="34" t="str">
        <f aca="false">'Uso e Consumo'!M750</f>
        <v>3.8.1.016 - Pinturas</v>
      </c>
      <c r="K750" s="32" t="str">
        <f aca="false">INDEX('Curva ABC'!$K$8:$K$2847,MATCH(D750,'Curva ABC'!$B$8:$B$2847,0))</f>
        <v>B</v>
      </c>
    </row>
    <row r="751" customFormat="false" ht="15" hidden="false" customHeight="false" outlineLevel="0" collapsed="false">
      <c r="A751" s="34" t="s">
        <v>5799</v>
      </c>
      <c r="B751" s="34" t="str">
        <f aca="false">'Uso e Consumo'!A751</f>
        <v>0335</v>
      </c>
      <c r="C751" s="34" t="str">
        <f aca="false">'Uso e Consumo'!B751</f>
        <v>UFV NORONHA VERDE - USO E CONSUMO</v>
      </c>
      <c r="D751" s="33" t="n">
        <f aca="false">'Uso e Consumo'!C751</f>
        <v>1607597</v>
      </c>
      <c r="E751" s="34" t="str">
        <f aca="false">'Uso e Consumo'!D751</f>
        <v>17.22.0156</v>
      </c>
      <c r="F751" s="34" t="str">
        <f aca="false">'Uso e Consumo'!E751</f>
        <v>ALCA PREFORMADA DE ALUMINIO PARA ANCORAGEM PARA CABOS DE 150MM</v>
      </c>
      <c r="G751" s="34" t="str">
        <f aca="false">'Uso e Consumo'!J751</f>
        <v>UN</v>
      </c>
      <c r="H751" s="49" t="n">
        <f aca="false">'Uso e Consumo'!F751</f>
        <v>14</v>
      </c>
      <c r="I751" s="35" t="n">
        <f aca="false">'Uso e Consumo'!G751</f>
        <v>1610</v>
      </c>
      <c r="J751" s="34" t="str">
        <f aca="false">'Uso e Consumo'!M751</f>
        <v>3.8.1.017 - Instalações elétricas/telefônicas/lógica</v>
      </c>
      <c r="K751" s="32" t="str">
        <f aca="false">INDEX('Curva ABC'!$K$8:$K$2847,MATCH(D751,'Curva ABC'!$B$8:$B$2847,0))</f>
        <v>B</v>
      </c>
    </row>
    <row r="752" customFormat="false" ht="15" hidden="false" customHeight="false" outlineLevel="0" collapsed="false">
      <c r="A752" s="34" t="s">
        <v>5799</v>
      </c>
      <c r="B752" s="34" t="str">
        <f aca="false">'Uso e Consumo'!A752</f>
        <v>0335</v>
      </c>
      <c r="C752" s="34" t="str">
        <f aca="false">'Uso e Consumo'!B752</f>
        <v>UFV NORONHA VERDE - USO E CONSUMO</v>
      </c>
      <c r="D752" s="33" t="n">
        <f aca="false">'Uso e Consumo'!C752</f>
        <v>89691</v>
      </c>
      <c r="E752" s="34" t="str">
        <f aca="false">'Uso e Consumo'!D752</f>
        <v>30.03.0231</v>
      </c>
      <c r="F752" s="34" t="str">
        <f aca="false">'Uso e Consumo'!E752</f>
        <v>SACO PLÁSTICO LIXO REFORÇADO 400,00L S/IMPRESSÃO COM 25/UND</v>
      </c>
      <c r="G752" s="34" t="str">
        <f aca="false">'Uso e Consumo'!J752</f>
        <v>UN</v>
      </c>
      <c r="H752" s="49" t="n">
        <f aca="false">'Uso e Consumo'!F752</f>
        <v>40</v>
      </c>
      <c r="I752" s="35" t="n">
        <f aca="false">'Uso e Consumo'!G752</f>
        <v>1608</v>
      </c>
      <c r="J752" s="34" t="str">
        <f aca="false">'Uso e Consumo'!M752</f>
        <v>4.1.1.003 - Material limpeza</v>
      </c>
      <c r="K752" s="32" t="str">
        <f aca="false">INDEX('Curva ABC'!$K$8:$K$2847,MATCH(D752,'Curva ABC'!$B$8:$B$2847,0))</f>
        <v>B</v>
      </c>
    </row>
    <row r="753" customFormat="false" ht="15" hidden="false" customHeight="false" outlineLevel="0" collapsed="false">
      <c r="A753" s="34" t="s">
        <v>5799</v>
      </c>
      <c r="B753" s="34" t="str">
        <f aca="false">'Uso e Consumo'!A753</f>
        <v>0335</v>
      </c>
      <c r="C753" s="34" t="str">
        <f aca="false">'Uso e Consumo'!B753</f>
        <v>UFV NORONHA VERDE - USO E CONSUMO</v>
      </c>
      <c r="D753" s="33" t="n">
        <f aca="false">'Uso e Consumo'!C753</f>
        <v>390952</v>
      </c>
      <c r="E753" s="34" t="str">
        <f aca="false">'Uso e Consumo'!D753</f>
        <v>17.20.0401</v>
      </c>
      <c r="F753" s="34" t="str">
        <f aca="false">'Uso e Consumo'!E753</f>
        <v>MOLDE PARA SOLDA EXOTÉRMICA - CABO 50MM² X HASTE 5/8" (TIPO: CABO X HASTE PASSANTE)</v>
      </c>
      <c r="G753" s="34" t="str">
        <f aca="false">'Uso e Consumo'!J753</f>
        <v>UN</v>
      </c>
      <c r="H753" s="49" t="n">
        <f aca="false">'Uso e Consumo'!F753</f>
        <v>10</v>
      </c>
      <c r="I753" s="35" t="n">
        <f aca="false">'Uso e Consumo'!G753</f>
        <v>1606.3</v>
      </c>
      <c r="J753" s="34" t="str">
        <f aca="false">'Uso e Consumo'!M753</f>
        <v>3.8.1.017 - Instalações elétricas/telefônicas/lógica</v>
      </c>
      <c r="K753" s="32" t="str">
        <f aca="false">INDEX('Curva ABC'!$K$8:$K$2847,MATCH(D753,'Curva ABC'!$B$8:$B$2847,0))</f>
        <v>B</v>
      </c>
    </row>
    <row r="754" customFormat="false" ht="15" hidden="false" customHeight="false" outlineLevel="0" collapsed="false">
      <c r="A754" s="34" t="s">
        <v>5799</v>
      </c>
      <c r="B754" s="34" t="str">
        <f aca="false">'Uso e Consumo'!A754</f>
        <v>0335</v>
      </c>
      <c r="C754" s="34" t="str">
        <f aca="false">'Uso e Consumo'!B754</f>
        <v>UFV NORONHA VERDE - USO E CONSUMO</v>
      </c>
      <c r="D754" s="33" t="n">
        <f aca="false">'Uso e Consumo'!C754</f>
        <v>1685478</v>
      </c>
      <c r="E754" s="34" t="str">
        <f aca="false">'Uso e Consumo'!D754</f>
        <v>19.04.0060</v>
      </c>
      <c r="F754" s="34" t="str">
        <f aca="false">'Uso e Consumo'!E754</f>
        <v>PIA INOX C/ DUAS CUBAS - 1,60M X 0,60M</v>
      </c>
      <c r="G754" s="34" t="str">
        <f aca="false">'Uso e Consumo'!J754</f>
        <v>UN</v>
      </c>
      <c r="H754" s="49" t="n">
        <f aca="false">'Uso e Consumo'!F754</f>
        <v>1</v>
      </c>
      <c r="I754" s="35" t="n">
        <f aca="false">'Uso e Consumo'!G754</f>
        <v>1600</v>
      </c>
      <c r="J754" s="34" t="str">
        <f aca="false">'Uso e Consumo'!M754</f>
        <v>3.8.1.018 - Instalações hidráulicas/sanitárias/industriais</v>
      </c>
      <c r="K754" s="32" t="str">
        <f aca="false">INDEX('Curva ABC'!$K$8:$K$2847,MATCH(D754,'Curva ABC'!$B$8:$B$2847,0))</f>
        <v>B</v>
      </c>
    </row>
    <row r="755" customFormat="false" ht="15" hidden="false" customHeight="false" outlineLevel="0" collapsed="false">
      <c r="A755" s="34" t="s">
        <v>5799</v>
      </c>
      <c r="B755" s="34" t="str">
        <f aca="false">'Uso e Consumo'!A755</f>
        <v>0335</v>
      </c>
      <c r="C755" s="34" t="str">
        <f aca="false">'Uso e Consumo'!B755</f>
        <v>UFV NORONHA VERDE - USO E CONSUMO</v>
      </c>
      <c r="D755" s="33" t="n">
        <f aca="false">'Uso e Consumo'!C755</f>
        <v>835400</v>
      </c>
      <c r="E755" s="34" t="str">
        <f aca="false">'Uso e Consumo'!D755</f>
        <v>34.02.1181</v>
      </c>
      <c r="F755" s="34" t="str">
        <f aca="false">'Uso e Consumo'!E755</f>
        <v>INTERRUPTOR TRIPOLAR DR 100A (2 FASES + NEUTRO - IN 30mA) - DIN</v>
      </c>
      <c r="G755" s="34" t="str">
        <f aca="false">'Uso e Consumo'!J755</f>
        <v>UN</v>
      </c>
      <c r="H755" s="49" t="n">
        <f aca="false">'Uso e Consumo'!F755</f>
        <v>6</v>
      </c>
      <c r="I755" s="35" t="n">
        <f aca="false">'Uso e Consumo'!G755</f>
        <v>1598.34</v>
      </c>
      <c r="J755" s="34" t="str">
        <f aca="false">'Uso e Consumo'!M755</f>
        <v>3.8.1.017 - Instalações elétricas/telefônicas/lógica</v>
      </c>
      <c r="K755" s="32" t="str">
        <f aca="false">INDEX('Curva ABC'!$K$8:$K$2847,MATCH(D755,'Curva ABC'!$B$8:$B$2847,0))</f>
        <v>B</v>
      </c>
    </row>
    <row r="756" customFormat="false" ht="15" hidden="false" customHeight="false" outlineLevel="0" collapsed="false">
      <c r="A756" s="34" t="s">
        <v>5799</v>
      </c>
      <c r="B756" s="34" t="str">
        <f aca="false">'Uso e Consumo'!A756</f>
        <v>0335</v>
      </c>
      <c r="C756" s="34" t="str">
        <f aca="false">'Uso e Consumo'!B756</f>
        <v>UFV NORONHA VERDE - USO E CONSUMO</v>
      </c>
      <c r="D756" s="33" t="n">
        <f aca="false">'Uso e Consumo'!C756</f>
        <v>1258633</v>
      </c>
      <c r="E756" s="34" t="str">
        <f aca="false">'Uso e Consumo'!D756</f>
        <v>26.03.0101</v>
      </c>
      <c r="F756" s="34" t="str">
        <f aca="false">'Uso e Consumo'!E756</f>
        <v>CAPUZ BALACLAVA CONTRA ARCO ELÉTRICO RISCO II E ANTICHAMAS </v>
      </c>
      <c r="G756" s="34" t="str">
        <f aca="false">'Uso e Consumo'!J756</f>
        <v>UN</v>
      </c>
      <c r="H756" s="49" t="n">
        <f aca="false">'Uso e Consumo'!F756</f>
        <v>15</v>
      </c>
      <c r="I756" s="35" t="n">
        <f aca="false">'Uso e Consumo'!G756</f>
        <v>1585.95</v>
      </c>
      <c r="J756" s="34" t="str">
        <f aca="false">'Uso e Consumo'!M756</f>
        <v>4.3.4.001 - Equipamento de proteção individual</v>
      </c>
      <c r="K756" s="32" t="str">
        <f aca="false">INDEX('Curva ABC'!$K$8:$K$2847,MATCH(D756,'Curva ABC'!$B$8:$B$2847,0))</f>
        <v>B</v>
      </c>
    </row>
    <row r="757" customFormat="false" ht="15" hidden="false" customHeight="false" outlineLevel="0" collapsed="false">
      <c r="A757" s="34" t="s">
        <v>5799</v>
      </c>
      <c r="B757" s="34" t="str">
        <f aca="false">'Uso e Consumo'!A757</f>
        <v>0335</v>
      </c>
      <c r="C757" s="34" t="str">
        <f aca="false">'Uso e Consumo'!B757</f>
        <v>UFV NORONHA VERDE - USO E CONSUMO</v>
      </c>
      <c r="D757" s="33" t="n">
        <f aca="false">'Uso e Consumo'!C757</f>
        <v>59884</v>
      </c>
      <c r="E757" s="34" t="str">
        <f aca="false">'Uso e Consumo'!D757</f>
        <v>23.02.0281</v>
      </c>
      <c r="F757" s="34" t="str">
        <f aca="false">'Uso e Consumo'!E757</f>
        <v>ABRAÇADEIRA GALVANIZADA TIPO ‘’D’’ 1’’ C/PARAFUSO</v>
      </c>
      <c r="G757" s="34" t="str">
        <f aca="false">'Uso e Consumo'!J757</f>
        <v>UN</v>
      </c>
      <c r="H757" s="49" t="n">
        <f aca="false">'Uso e Consumo'!F757</f>
        <v>5</v>
      </c>
      <c r="I757" s="35" t="n">
        <f aca="false">'Uso e Consumo'!G757</f>
        <v>1584.35</v>
      </c>
      <c r="J757" s="34" t="str">
        <f aca="false">'Uso e Consumo'!M757</f>
        <v>3.8.1.022 - Elementos de fixação</v>
      </c>
      <c r="K757" s="32" t="str">
        <f aca="false">INDEX('Curva ABC'!$K$8:$K$2847,MATCH(D757,'Curva ABC'!$B$8:$B$2847,0))</f>
        <v>B</v>
      </c>
    </row>
    <row r="758" customFormat="false" ht="15" hidden="false" customHeight="false" outlineLevel="0" collapsed="false">
      <c r="A758" s="34" t="s">
        <v>5799</v>
      </c>
      <c r="B758" s="34" t="str">
        <f aca="false">'Uso e Consumo'!A758</f>
        <v>0335</v>
      </c>
      <c r="C758" s="34" t="str">
        <f aca="false">'Uso e Consumo'!B758</f>
        <v>UFV NORONHA VERDE - USO E CONSUMO</v>
      </c>
      <c r="D758" s="33" t="n">
        <f aca="false">'Uso e Consumo'!C758</f>
        <v>429120</v>
      </c>
      <c r="E758" s="34" t="str">
        <f aca="false">'Uso e Consumo'!D758</f>
        <v>01.02.0033</v>
      </c>
      <c r="F758" s="34" t="str">
        <f aca="false">'Uso e Consumo'!E758</f>
        <v>VERGALHAO 3/8 10MM 7,4KG/BR</v>
      </c>
      <c r="G758" s="34" t="str">
        <f aca="false">'Uso e Consumo'!J758</f>
        <v>UN</v>
      </c>
      <c r="H758" s="49" t="n">
        <f aca="false">'Uso e Consumo'!F758</f>
        <v>8</v>
      </c>
      <c r="I758" s="35" t="n">
        <f aca="false">'Uso e Consumo'!G758</f>
        <v>1584</v>
      </c>
      <c r="J758" s="34" t="str">
        <f aca="false">'Uso e Consumo'!M758</f>
        <v>3.8.1.001 - Aços e trefilados</v>
      </c>
      <c r="K758" s="32" t="str">
        <f aca="false">INDEX('Curva ABC'!$K$8:$K$2847,MATCH(D758,'Curva ABC'!$B$8:$B$2847,0))</f>
        <v>B</v>
      </c>
    </row>
    <row r="759" customFormat="false" ht="15" hidden="false" customHeight="false" outlineLevel="0" collapsed="false">
      <c r="A759" s="34" t="s">
        <v>5799</v>
      </c>
      <c r="B759" s="34" t="str">
        <f aca="false">'Uso e Consumo'!A759</f>
        <v>0335</v>
      </c>
      <c r="C759" s="34" t="str">
        <f aca="false">'Uso e Consumo'!B759</f>
        <v>UFV NORONHA VERDE - USO E CONSUMO</v>
      </c>
      <c r="D759" s="33" t="n">
        <f aca="false">'Uso e Consumo'!C759</f>
        <v>1387467</v>
      </c>
      <c r="E759" s="34" t="str">
        <f aca="false">'Uso e Consumo'!D759</f>
        <v>23.04.0041</v>
      </c>
      <c r="F759" s="34" t="str">
        <f aca="false">'Uso e Consumo'!E759</f>
        <v>GRAMPO AÇO CARBONO TIPO "C" 3/8" COMPLETO (BALANCIN, PARAFUSO E PORCA) </v>
      </c>
      <c r="G759" s="34" t="str">
        <f aca="false">'Uso e Consumo'!J759</f>
        <v>UN</v>
      </c>
      <c r="H759" s="49" t="n">
        <f aca="false">'Uso e Consumo'!F759</f>
        <v>12</v>
      </c>
      <c r="I759" s="35" t="n">
        <f aca="false">'Uso e Consumo'!G759</f>
        <v>1578.48</v>
      </c>
      <c r="J759" s="34" t="str">
        <f aca="false">'Uso e Consumo'!M759</f>
        <v>3.8.1.022 - Elementos de fixação</v>
      </c>
      <c r="K759" s="32" t="str">
        <f aca="false">INDEX('Curva ABC'!$K$8:$K$2847,MATCH(D759,'Curva ABC'!$B$8:$B$2847,0))</f>
        <v>B</v>
      </c>
    </row>
    <row r="760" customFormat="false" ht="15" hidden="false" customHeight="false" outlineLevel="0" collapsed="false">
      <c r="A760" s="34" t="s">
        <v>5799</v>
      </c>
      <c r="B760" s="34" t="str">
        <f aca="false">'Uso e Consumo'!A760</f>
        <v>0335</v>
      </c>
      <c r="C760" s="34" t="str">
        <f aca="false">'Uso e Consumo'!B760</f>
        <v>UFV NORONHA VERDE - USO E CONSUMO</v>
      </c>
      <c r="D760" s="33" t="n">
        <f aca="false">'Uso e Consumo'!C760</f>
        <v>1607239</v>
      </c>
      <c r="E760" s="34" t="str">
        <f aca="false">'Uso e Consumo'!D760</f>
        <v>24.23.0038</v>
      </c>
      <c r="F760" s="34" t="str">
        <f aca="false">'Uso e Consumo'!E760</f>
        <v>BOMBA SUBMERSIVEL</v>
      </c>
      <c r="G760" s="34" t="str">
        <f aca="false">'Uso e Consumo'!J760</f>
        <v>UN</v>
      </c>
      <c r="H760" s="49" t="n">
        <f aca="false">'Uso e Consumo'!F760</f>
        <v>1</v>
      </c>
      <c r="I760" s="35" t="n">
        <f aca="false">'Uso e Consumo'!G760</f>
        <v>1573.79</v>
      </c>
      <c r="J760" s="34" t="str">
        <f aca="false">'Uso e Consumo'!M760</f>
        <v>3.8.2.002 - Ferramentas manuais</v>
      </c>
      <c r="K760" s="32" t="str">
        <f aca="false">INDEX('Curva ABC'!$K$8:$K$2847,MATCH(D760,'Curva ABC'!$B$8:$B$2847,0))</f>
        <v>B</v>
      </c>
    </row>
    <row r="761" customFormat="false" ht="15" hidden="false" customHeight="false" outlineLevel="0" collapsed="false">
      <c r="A761" s="34" t="s">
        <v>5799</v>
      </c>
      <c r="B761" s="34" t="str">
        <f aca="false">'Uso e Consumo'!A761</f>
        <v>0335</v>
      </c>
      <c r="C761" s="34" t="str">
        <f aca="false">'Uso e Consumo'!B761</f>
        <v>UFV NORONHA VERDE - USO E CONSUMO</v>
      </c>
      <c r="D761" s="33" t="n">
        <f aca="false">'Uso e Consumo'!C761</f>
        <v>1465406</v>
      </c>
      <c r="E761" s="34" t="str">
        <f aca="false">'Uso e Consumo'!D761</f>
        <v>23.07.1595</v>
      </c>
      <c r="F761" s="34" t="str">
        <f aca="false">'Uso e Consumo'!E761</f>
        <v>PARAFUSO SEXTAVADO ROSCA INTEIRA M10X100MM-INOX-304-CISER OU EQUIVALENTE PORCA 3/8" COM 2 PORCAS E 2 ANÉIS DE BORRACHA </v>
      </c>
      <c r="G761" s="34" t="str">
        <f aca="false">'Uso e Consumo'!J761</f>
        <v>UN</v>
      </c>
      <c r="H761" s="49" t="n">
        <f aca="false">'Uso e Consumo'!F761</f>
        <v>56</v>
      </c>
      <c r="I761" s="35" t="n">
        <f aca="false">'Uso e Consumo'!G761</f>
        <v>1568</v>
      </c>
      <c r="J761" s="34" t="str">
        <f aca="false">'Uso e Consumo'!M761</f>
        <v>3.6.1.004 - Telefone móvel/fixo</v>
      </c>
      <c r="K761" s="32" t="str">
        <f aca="false">INDEX('Curva ABC'!$K$8:$K$2847,MATCH(D761,'Curva ABC'!$B$8:$B$2847,0))</f>
        <v>B</v>
      </c>
    </row>
    <row r="762" customFormat="false" ht="15" hidden="false" customHeight="false" outlineLevel="0" collapsed="false">
      <c r="A762" s="34" t="s">
        <v>5799</v>
      </c>
      <c r="B762" s="34" t="str">
        <f aca="false">'Uso e Consumo'!A762</f>
        <v>0335</v>
      </c>
      <c r="C762" s="34" t="str">
        <f aca="false">'Uso e Consumo'!B762</f>
        <v>UFV NORONHA VERDE - USO E CONSUMO</v>
      </c>
      <c r="D762" s="33" t="n">
        <f aca="false">'Uso e Consumo'!C762</f>
        <v>831928</v>
      </c>
      <c r="E762" s="34" t="str">
        <f aca="false">'Uso e Consumo'!D762</f>
        <v>26.02.0194</v>
      </c>
      <c r="F762" s="34" t="str">
        <f aca="false">'Uso e Consumo'!E762</f>
        <v>BOTINA FUJIWARA HESS C/BICO DE AÇO COMPOSITE E PALMILHA ANTIPERFURANTE CA 42330 N° 46</v>
      </c>
      <c r="G762" s="34" t="str">
        <f aca="false">'Uso e Consumo'!J762</f>
        <v>UN</v>
      </c>
      <c r="H762" s="49" t="n">
        <f aca="false">'Uso e Consumo'!F762</f>
        <v>14</v>
      </c>
      <c r="I762" s="35" t="n">
        <f aca="false">'Uso e Consumo'!G762</f>
        <v>1562.96</v>
      </c>
      <c r="J762" s="34" t="str">
        <f aca="false">'Uso e Consumo'!M762</f>
        <v>4.3.4.001 - Equipamento de proteção individual</v>
      </c>
      <c r="K762" s="32" t="str">
        <f aca="false">INDEX('Curva ABC'!$K$8:$K$2847,MATCH(D762,'Curva ABC'!$B$8:$B$2847,0))</f>
        <v>B</v>
      </c>
    </row>
    <row r="763" customFormat="false" ht="15" hidden="false" customHeight="false" outlineLevel="0" collapsed="false">
      <c r="A763" s="34" t="s">
        <v>5799</v>
      </c>
      <c r="B763" s="34" t="str">
        <f aca="false">'Uso e Consumo'!A763</f>
        <v>0335</v>
      </c>
      <c r="C763" s="34" t="str">
        <f aca="false">'Uso e Consumo'!B763</f>
        <v>UFV NORONHA VERDE - USO E CONSUMO</v>
      </c>
      <c r="D763" s="33" t="n">
        <f aca="false">'Uso e Consumo'!C763</f>
        <v>1383856</v>
      </c>
      <c r="E763" s="34" t="str">
        <f aca="false">'Uso e Consumo'!D763</f>
        <v>23.08.0087</v>
      </c>
      <c r="F763" s="34" t="str">
        <f aca="false">'Uso e Consumo'!E763</f>
        <v>BUCHA EM LIGA DE ALUMÍNIO COM TERMINAL DE ATERRAMENTO (FIO Ø 5 MM), PARA ELETRODUTO 1</v>
      </c>
      <c r="G763" s="34" t="str">
        <f aca="false">'Uso e Consumo'!J763</f>
        <v>UN</v>
      </c>
      <c r="H763" s="49" t="n">
        <f aca="false">'Uso e Consumo'!F763</f>
        <v>2</v>
      </c>
      <c r="I763" s="35" t="n">
        <f aca="false">'Uso e Consumo'!G763</f>
        <v>1562.94</v>
      </c>
      <c r="J763" s="34" t="str">
        <f aca="false">'Uso e Consumo'!M763</f>
        <v>3.8.1.022 - Elementos de fixação</v>
      </c>
      <c r="K763" s="32" t="str">
        <f aca="false">INDEX('Curva ABC'!$K$8:$K$2847,MATCH(D763,'Curva ABC'!$B$8:$B$2847,0))</f>
        <v>B</v>
      </c>
    </row>
    <row r="764" customFormat="false" ht="15" hidden="false" customHeight="false" outlineLevel="0" collapsed="false">
      <c r="A764" s="34" t="s">
        <v>5799</v>
      </c>
      <c r="B764" s="34" t="str">
        <f aca="false">'Uso e Consumo'!A764</f>
        <v>0335</v>
      </c>
      <c r="C764" s="34" t="str">
        <f aca="false">'Uso e Consumo'!B764</f>
        <v>UFV NORONHA VERDE - USO E CONSUMO</v>
      </c>
      <c r="D764" s="33" t="n">
        <f aca="false">'Uso e Consumo'!C764</f>
        <v>10375</v>
      </c>
      <c r="E764" s="34" t="str">
        <f aca="false">'Uso e Consumo'!D764</f>
        <v>01.02.0002</v>
      </c>
      <c r="F764" s="34" t="str">
        <f aca="false">'Uso e Consumo'!E764</f>
        <v>AÇO CARBONO CA-50 VERGALHÃO NERVURADO 8,00MM X 12,00M NBR 7480 (0,395KG/M)</v>
      </c>
      <c r="G764" s="34" t="str">
        <f aca="false">'Uso e Consumo'!J764</f>
        <v>KG</v>
      </c>
      <c r="H764" s="49" t="n">
        <f aca="false">'Uso e Consumo'!F764</f>
        <v>267.09</v>
      </c>
      <c r="I764" s="35" t="n">
        <f aca="false">'Uso e Consumo'!G764</f>
        <v>1562.12</v>
      </c>
      <c r="J764" s="34" t="str">
        <f aca="false">'Uso e Consumo'!M764</f>
        <v>3.8.1.001 - Aços e trefilados</v>
      </c>
      <c r="K764" s="32" t="str">
        <f aca="false">INDEX('Curva ABC'!$K$8:$K$2847,MATCH(D764,'Curva ABC'!$B$8:$B$2847,0))</f>
        <v>B</v>
      </c>
    </row>
    <row r="765" customFormat="false" ht="15" hidden="false" customHeight="false" outlineLevel="0" collapsed="false">
      <c r="A765" s="34" t="s">
        <v>5799</v>
      </c>
      <c r="B765" s="34" t="str">
        <f aca="false">'Uso e Consumo'!A765</f>
        <v>0335</v>
      </c>
      <c r="C765" s="34" t="str">
        <f aca="false">'Uso e Consumo'!B765</f>
        <v>UFV NORONHA VERDE - USO E CONSUMO</v>
      </c>
      <c r="D765" s="33" t="n">
        <f aca="false">'Uso e Consumo'!C765</f>
        <v>22355</v>
      </c>
      <c r="E765" s="34" t="str">
        <f aca="false">'Uso e Consumo'!D765</f>
        <v>24.44.0001</v>
      </c>
      <c r="F765" s="34" t="str">
        <f aca="false">'Uso e Consumo'!E765</f>
        <v>CAVADEIRA ARTICULADA GRANDE COM CABO DE 180CM</v>
      </c>
      <c r="G765" s="34" t="str">
        <f aca="false">'Uso e Consumo'!J765</f>
        <v>UN</v>
      </c>
      <c r="H765" s="49" t="n">
        <f aca="false">'Uso e Consumo'!F765</f>
        <v>10</v>
      </c>
      <c r="I765" s="35" t="n">
        <f aca="false">'Uso e Consumo'!G765</f>
        <v>1560</v>
      </c>
      <c r="J765" s="34" t="str">
        <f aca="false">'Uso e Consumo'!M765</f>
        <v>3.8.2.002 - Ferramentas manuais</v>
      </c>
      <c r="K765" s="32" t="str">
        <f aca="false">INDEX('Curva ABC'!$K$8:$K$2847,MATCH(D765,'Curva ABC'!$B$8:$B$2847,0))</f>
        <v>B</v>
      </c>
    </row>
    <row r="766" customFormat="false" ht="15" hidden="false" customHeight="false" outlineLevel="0" collapsed="false">
      <c r="A766" s="34" t="s">
        <v>5799</v>
      </c>
      <c r="B766" s="34" t="str">
        <f aca="false">'Uso e Consumo'!A766</f>
        <v>0335</v>
      </c>
      <c r="C766" s="34" t="str">
        <f aca="false">'Uso e Consumo'!B766</f>
        <v>UFV NORONHA VERDE - USO E CONSUMO</v>
      </c>
      <c r="D766" s="33" t="n">
        <f aca="false">'Uso e Consumo'!C766</f>
        <v>32282</v>
      </c>
      <c r="E766" s="34" t="str">
        <f aca="false">'Uso e Consumo'!D766</f>
        <v>24.23.0009</v>
      </c>
      <c r="F766" s="34" t="str">
        <f aca="false">'Uso e Consumo'!E766</f>
        <v>BOMBA ELÉTRICA PARA TRANSFERÊNCIA DE ÓLEO DIESEL</v>
      </c>
      <c r="G766" s="34" t="str">
        <f aca="false">'Uso e Consumo'!J766</f>
        <v>UN</v>
      </c>
      <c r="H766" s="49" t="n">
        <f aca="false">'Uso e Consumo'!F766</f>
        <v>2</v>
      </c>
      <c r="I766" s="35" t="n">
        <f aca="false">'Uso e Consumo'!G766</f>
        <v>1560</v>
      </c>
      <c r="J766" s="34" t="str">
        <f aca="false">'Uso e Consumo'!M766</f>
        <v>3.8.2.002 - Ferramentas manuais</v>
      </c>
      <c r="K766" s="32" t="str">
        <f aca="false">INDEX('Curva ABC'!$K$8:$K$2847,MATCH(D766,'Curva ABC'!$B$8:$B$2847,0))</f>
        <v>B</v>
      </c>
    </row>
    <row r="767" customFormat="false" ht="15" hidden="false" customHeight="false" outlineLevel="0" collapsed="false">
      <c r="A767" s="34" t="s">
        <v>5799</v>
      </c>
      <c r="B767" s="34" t="str">
        <f aca="false">'Uso e Consumo'!A767</f>
        <v>0335</v>
      </c>
      <c r="C767" s="34" t="str">
        <f aca="false">'Uso e Consumo'!B767</f>
        <v>UFV NORONHA VERDE - USO E CONSUMO</v>
      </c>
      <c r="D767" s="33" t="n">
        <f aca="false">'Uso e Consumo'!C767</f>
        <v>1317604</v>
      </c>
      <c r="E767" s="34" t="str">
        <f aca="false">'Uso e Consumo'!D767</f>
        <v>25.13.0148</v>
      </c>
      <c r="F767" s="34" t="str">
        <f aca="false">'Uso e Consumo'!E767</f>
        <v>MANGOTE VIBRADOR 25MM</v>
      </c>
      <c r="G767" s="34" t="str">
        <f aca="false">'Uso e Consumo'!J767</f>
        <v>UN</v>
      </c>
      <c r="H767" s="49" t="n">
        <f aca="false">'Uso e Consumo'!F767</f>
        <v>2</v>
      </c>
      <c r="I767" s="35" t="n">
        <f aca="false">'Uso e Consumo'!G767</f>
        <v>1560</v>
      </c>
      <c r="J767" s="34" t="str">
        <f aca="false">'Uso e Consumo'!M767</f>
        <v>3.8.1.018 - Instalações hidráulicas/sanitárias/industriais</v>
      </c>
      <c r="K767" s="32" t="str">
        <f aca="false">INDEX('Curva ABC'!$K$8:$K$2847,MATCH(D767,'Curva ABC'!$B$8:$B$2847,0))</f>
        <v>B</v>
      </c>
    </row>
    <row r="768" customFormat="false" ht="15" hidden="false" customHeight="false" outlineLevel="0" collapsed="false">
      <c r="A768" s="34" t="s">
        <v>5799</v>
      </c>
      <c r="B768" s="34" t="str">
        <f aca="false">'Uso e Consumo'!A768</f>
        <v>0335</v>
      </c>
      <c r="C768" s="34" t="str">
        <f aca="false">'Uso e Consumo'!B768</f>
        <v>UFV NORONHA VERDE - USO E CONSUMO</v>
      </c>
      <c r="D768" s="33" t="n">
        <f aca="false">'Uso e Consumo'!C768</f>
        <v>1326659</v>
      </c>
      <c r="E768" s="34" t="str">
        <f aca="false">'Uso e Consumo'!D768</f>
        <v>17.16.0668</v>
      </c>
      <c r="F768" s="34" t="str">
        <f aca="false">'Uso e Consumo'!E768</f>
        <v>CONECTOR DE COBRE ESTANHADO, COM BERÇO, PARA FIXAÇÃO DE 1 CABO DE COBRE 70 A 120 mm² EM CHAPA DE AÇO</v>
      </c>
      <c r="G768" s="34" t="str">
        <f aca="false">'Uso e Consumo'!J768</f>
        <v>pç</v>
      </c>
      <c r="H768" s="49" t="n">
        <f aca="false">'Uso e Consumo'!F768</f>
        <v>23</v>
      </c>
      <c r="I768" s="35" t="n">
        <f aca="false">'Uso e Consumo'!G768</f>
        <v>1557.21</v>
      </c>
      <c r="J768" s="34" t="str">
        <f aca="false">'Uso e Consumo'!M768</f>
        <v>3.8.1.017 - Instalações elétricas/telefônicas/lógica</v>
      </c>
      <c r="K768" s="32" t="str">
        <f aca="false">INDEX('Curva ABC'!$K$8:$K$2847,MATCH(D768,'Curva ABC'!$B$8:$B$2847,0))</f>
        <v>B</v>
      </c>
    </row>
    <row r="769" customFormat="false" ht="15" hidden="false" customHeight="false" outlineLevel="0" collapsed="false">
      <c r="A769" s="34" t="s">
        <v>5799</v>
      </c>
      <c r="B769" s="34" t="str">
        <f aca="false">'Uso e Consumo'!A769</f>
        <v>0335</v>
      </c>
      <c r="C769" s="34" t="str">
        <f aca="false">'Uso e Consumo'!B769</f>
        <v>UFV NORONHA VERDE - USO E CONSUMO</v>
      </c>
      <c r="D769" s="33" t="n">
        <f aca="false">'Uso e Consumo'!C769</f>
        <v>1605940</v>
      </c>
      <c r="E769" s="34" t="str">
        <f aca="false">'Uso e Consumo'!D769</f>
        <v>17.22.0150</v>
      </c>
      <c r="F769" s="34" t="str">
        <f aca="false">'Uso e Consumo'!E769</f>
        <v>CINTA POSTE CIRCULAR 270</v>
      </c>
      <c r="G769" s="34" t="str">
        <f aca="false">'Uso e Consumo'!J769</f>
        <v>UN</v>
      </c>
      <c r="H769" s="49" t="n">
        <f aca="false">'Uso e Consumo'!F769</f>
        <v>18</v>
      </c>
      <c r="I769" s="35" t="n">
        <f aca="false">'Uso e Consumo'!G769</f>
        <v>1557.18</v>
      </c>
      <c r="J769" s="34" t="str">
        <f aca="false">'Uso e Consumo'!M769</f>
        <v>3.8.1.017 - Instalações elétricas/telefônicas/lógica</v>
      </c>
      <c r="K769" s="32" t="str">
        <f aca="false">INDEX('Curva ABC'!$K$8:$K$2847,MATCH(D769,'Curva ABC'!$B$8:$B$2847,0))</f>
        <v>B</v>
      </c>
    </row>
    <row r="770" customFormat="false" ht="15" hidden="false" customHeight="false" outlineLevel="0" collapsed="false">
      <c r="A770" s="34" t="s">
        <v>5799</v>
      </c>
      <c r="B770" s="34" t="str">
        <f aca="false">'Uso e Consumo'!A770</f>
        <v>0335</v>
      </c>
      <c r="C770" s="34" t="str">
        <f aca="false">'Uso e Consumo'!B770</f>
        <v>UFV NORONHA VERDE - USO E CONSUMO</v>
      </c>
      <c r="D770" s="33" t="n">
        <f aca="false">'Uso e Consumo'!C770</f>
        <v>1113543</v>
      </c>
      <c r="E770" s="34" t="str">
        <f aca="false">'Uso e Consumo'!D770</f>
        <v>10.03.0057</v>
      </c>
      <c r="F770" s="34" t="str">
        <f aca="false">'Uso e Consumo'!E770</f>
        <v>LADRILHO HIDRÁULICO MARMORIZADO</v>
      </c>
      <c r="G770" s="34" t="str">
        <f aca="false">'Uso e Consumo'!J770</f>
        <v>M2</v>
      </c>
      <c r="H770" s="49" t="n">
        <f aca="false">'Uso e Consumo'!F770</f>
        <v>20.2</v>
      </c>
      <c r="I770" s="35" t="n">
        <f aca="false">'Uso e Consumo'!G770</f>
        <v>1553.38</v>
      </c>
      <c r="J770" s="34" t="str">
        <f aca="false">'Uso e Consumo'!M770</f>
        <v>3.8.1.010 - Revestimentos e pisos</v>
      </c>
      <c r="K770" s="32" t="str">
        <f aca="false">INDEX('Curva ABC'!$K$8:$K$2847,MATCH(D770,'Curva ABC'!$B$8:$B$2847,0))</f>
        <v>B</v>
      </c>
    </row>
    <row r="771" customFormat="false" ht="15" hidden="false" customHeight="false" outlineLevel="0" collapsed="false">
      <c r="A771" s="34" t="s">
        <v>5799</v>
      </c>
      <c r="B771" s="34" t="str">
        <f aca="false">'Uso e Consumo'!A771</f>
        <v>0335</v>
      </c>
      <c r="C771" s="34" t="str">
        <f aca="false">'Uso e Consumo'!B771</f>
        <v>UFV NORONHA VERDE - USO E CONSUMO</v>
      </c>
      <c r="D771" s="33" t="n">
        <f aca="false">'Uso e Consumo'!C771</f>
        <v>1674335</v>
      </c>
      <c r="E771" s="34" t="str">
        <f aca="false">'Uso e Consumo'!D771</f>
        <v>13.02.0380</v>
      </c>
      <c r="F771" s="34" t="str">
        <f aca="false">'Uso e Consumo'!E771</f>
        <v>JANELA BASCULANTE EM ALUMINIO COM PINTURA ELETROSTATICA PRETA E VIDRO LISO INCOLOR 6 MM (0,60 X 0,40 M)</v>
      </c>
      <c r="G771" s="34" t="str">
        <f aca="false">'Uso e Consumo'!J771</f>
        <v>UN</v>
      </c>
      <c r="H771" s="49" t="n">
        <f aca="false">'Uso e Consumo'!F771</f>
        <v>2</v>
      </c>
      <c r="I771" s="35" t="n">
        <f aca="false">'Uso e Consumo'!G771</f>
        <v>1540</v>
      </c>
      <c r="J771" s="34" t="str">
        <f aca="false">'Uso e Consumo'!M771</f>
        <v>3.8.1.013 - Esquadrias e vidros</v>
      </c>
      <c r="K771" s="32" t="str">
        <f aca="false">INDEX('Curva ABC'!$K$8:$K$2847,MATCH(D771,'Curva ABC'!$B$8:$B$2847,0))</f>
        <v>B</v>
      </c>
    </row>
    <row r="772" customFormat="false" ht="15" hidden="false" customHeight="false" outlineLevel="0" collapsed="false">
      <c r="A772" s="34" t="s">
        <v>5799</v>
      </c>
      <c r="B772" s="34" t="str">
        <f aca="false">'Uso e Consumo'!A772</f>
        <v>0335</v>
      </c>
      <c r="C772" s="34" t="str">
        <f aca="false">'Uso e Consumo'!B772</f>
        <v>UFV NORONHA VERDE - USO E CONSUMO</v>
      </c>
      <c r="D772" s="33" t="n">
        <f aca="false">'Uso e Consumo'!C772</f>
        <v>23813</v>
      </c>
      <c r="E772" s="34" t="str">
        <f aca="false">'Uso e Consumo'!D772</f>
        <v>26.10.0006</v>
      </c>
      <c r="F772" s="34" t="str">
        <f aca="false">'Uso e Consumo'!E772</f>
        <v>CALÇA IMPERMEAVEL CONTRA LIQUIDOS E RESPINGOS EM TREVIRA–KP 400–COM BOTAS DE PVC ACOPLADAS–TAM G</v>
      </c>
      <c r="G772" s="34" t="str">
        <f aca="false">'Uso e Consumo'!J772</f>
        <v>UN</v>
      </c>
      <c r="H772" s="49" t="n">
        <f aca="false">'Uso e Consumo'!F772</f>
        <v>5</v>
      </c>
      <c r="I772" s="35" t="n">
        <f aca="false">'Uso e Consumo'!G772</f>
        <v>1535</v>
      </c>
      <c r="J772" s="34" t="str">
        <f aca="false">'Uso e Consumo'!M772</f>
        <v>4.3.4.001 - Equipamento de proteção individual</v>
      </c>
      <c r="K772" s="32" t="str">
        <f aca="false">INDEX('Curva ABC'!$K$8:$K$2847,MATCH(D772,'Curva ABC'!$B$8:$B$2847,0))</f>
        <v>C</v>
      </c>
    </row>
    <row r="773" customFormat="false" ht="15" hidden="false" customHeight="false" outlineLevel="0" collapsed="false">
      <c r="A773" s="34" t="s">
        <v>5799</v>
      </c>
      <c r="B773" s="34" t="str">
        <f aca="false">'Uso e Consumo'!A773</f>
        <v>0335</v>
      </c>
      <c r="C773" s="34" t="str">
        <f aca="false">'Uso e Consumo'!B773</f>
        <v>UFV NORONHA VERDE - USO E CONSUMO</v>
      </c>
      <c r="D773" s="33" t="n">
        <f aca="false">'Uso e Consumo'!C773</f>
        <v>1384964</v>
      </c>
      <c r="E773" s="34" t="str">
        <f aca="false">'Uso e Consumo'!D773</f>
        <v>17.01.1215</v>
      </c>
      <c r="F773" s="34" t="str">
        <f aca="false">'Uso e Consumo'!E773</f>
        <v>CABO MONOPOLAR 16 MM², CONDUTOR EM COBRE ELETROLÍTICO NU, TÊMPERA MOLE, CLASSE 5, TENSÃO 0,6/1 KV, COR VERDE</v>
      </c>
      <c r="G773" s="34" t="str">
        <f aca="false">'Uso e Consumo'!J773</f>
        <v>M</v>
      </c>
      <c r="H773" s="49" t="n">
        <f aca="false">'Uso e Consumo'!F773</f>
        <v>70</v>
      </c>
      <c r="I773" s="35" t="n">
        <f aca="false">'Uso e Consumo'!G773</f>
        <v>1532.4</v>
      </c>
      <c r="J773" s="34" t="str">
        <f aca="false">'Uso e Consumo'!M773</f>
        <v>3.8.1.017 - Instalações elétricas/telefônicas/lógica</v>
      </c>
      <c r="K773" s="32" t="str">
        <f aca="false">INDEX('Curva ABC'!$K$8:$K$2847,MATCH(D773,'Curva ABC'!$B$8:$B$2847,0))</f>
        <v>C</v>
      </c>
    </row>
    <row r="774" customFormat="false" ht="15" hidden="false" customHeight="false" outlineLevel="0" collapsed="false">
      <c r="A774" s="34" t="s">
        <v>5799</v>
      </c>
      <c r="B774" s="34" t="str">
        <f aca="false">'Uso e Consumo'!A774</f>
        <v>0335</v>
      </c>
      <c r="C774" s="34" t="str">
        <f aca="false">'Uso e Consumo'!B774</f>
        <v>UFV NORONHA VERDE - USO E CONSUMO</v>
      </c>
      <c r="D774" s="33" t="n">
        <f aca="false">'Uso e Consumo'!C774</f>
        <v>648168</v>
      </c>
      <c r="E774" s="34" t="str">
        <f aca="false">'Uso e Consumo'!D774</f>
        <v>32.12.0166</v>
      </c>
      <c r="F774" s="34" t="str">
        <f aca="false">'Uso e Consumo'!E774</f>
        <v>TESTE DE TENSÃO PORTATIL - TIPO CANETA</v>
      </c>
      <c r="G774" s="34" t="str">
        <f aca="false">'Uso e Consumo'!J774</f>
        <v>UN</v>
      </c>
      <c r="H774" s="49" t="n">
        <f aca="false">'Uso e Consumo'!F774</f>
        <v>5</v>
      </c>
      <c r="I774" s="35" t="n">
        <f aca="false">'Uso e Consumo'!G774</f>
        <v>1528.8</v>
      </c>
      <c r="J774" s="34" t="str">
        <f aca="false">'Uso e Consumo'!M774</f>
        <v>4.1.1.011 - Instrumentos para medição</v>
      </c>
      <c r="K774" s="32" t="str">
        <f aca="false">INDEX('Curva ABC'!$K$8:$K$2847,MATCH(D774,'Curva ABC'!$B$8:$B$2847,0))</f>
        <v>C</v>
      </c>
    </row>
    <row r="775" customFormat="false" ht="15" hidden="false" customHeight="false" outlineLevel="0" collapsed="false">
      <c r="A775" s="34" t="s">
        <v>5799</v>
      </c>
      <c r="B775" s="34" t="str">
        <f aca="false">'Uso e Consumo'!A775</f>
        <v>0335</v>
      </c>
      <c r="C775" s="34" t="str">
        <f aca="false">'Uso e Consumo'!B775</f>
        <v>UFV NORONHA VERDE - USO E CONSUMO</v>
      </c>
      <c r="D775" s="33" t="n">
        <f aca="false">'Uso e Consumo'!C775</f>
        <v>957747</v>
      </c>
      <c r="E775" s="34" t="str">
        <f aca="false">'Uso e Consumo'!D775</f>
        <v>26.04.0141</v>
      </c>
      <c r="F775" s="34" t="str">
        <f aca="false">'Uso e Consumo'!E775</f>
        <v>FITA DE ANCORAGEM 1,20MT MULT-4138</v>
      </c>
      <c r="G775" s="34" t="str">
        <f aca="false">'Uso e Consumo'!J775</f>
        <v>UN</v>
      </c>
      <c r="H775" s="49" t="n">
        <f aca="false">'Uso e Consumo'!F775</f>
        <v>10</v>
      </c>
      <c r="I775" s="35" t="n">
        <f aca="false">'Uso e Consumo'!G775</f>
        <v>1521</v>
      </c>
      <c r="J775" s="34" t="str">
        <f aca="false">'Uso e Consumo'!M775</f>
        <v>4.3.4.001 - Equipamento de proteção individual</v>
      </c>
      <c r="K775" s="32" t="str">
        <f aca="false">INDEX('Curva ABC'!$K$8:$K$2847,MATCH(D775,'Curva ABC'!$B$8:$B$2847,0))</f>
        <v>C</v>
      </c>
    </row>
    <row r="776" customFormat="false" ht="15" hidden="false" customHeight="false" outlineLevel="0" collapsed="false">
      <c r="A776" s="34" t="s">
        <v>5799</v>
      </c>
      <c r="B776" s="34" t="str">
        <f aca="false">'Uso e Consumo'!A776</f>
        <v>0335</v>
      </c>
      <c r="C776" s="34" t="str">
        <f aca="false">'Uso e Consumo'!B776</f>
        <v>UFV NORONHA VERDE - USO E CONSUMO</v>
      </c>
      <c r="D776" s="33" t="n">
        <f aca="false">'Uso e Consumo'!C776</f>
        <v>59678</v>
      </c>
      <c r="E776" s="34" t="str">
        <f aca="false">'Uso e Consumo'!D776</f>
        <v>32.12.0049</v>
      </c>
      <c r="F776" s="34" t="str">
        <f aca="false">'Uso e Consumo'!E776</f>
        <v>TERMO-ANEMÔMETRO DIGITAL PORTÁTIL</v>
      </c>
      <c r="G776" s="34" t="str">
        <f aca="false">'Uso e Consumo'!J776</f>
        <v>UN</v>
      </c>
      <c r="H776" s="49" t="n">
        <f aca="false">'Uso e Consumo'!F776</f>
        <v>2</v>
      </c>
      <c r="I776" s="35" t="n">
        <f aca="false">'Uso e Consumo'!G776</f>
        <v>1520.48</v>
      </c>
      <c r="J776" s="34" t="str">
        <f aca="false">'Uso e Consumo'!M776</f>
        <v>4.1.1.011 - Instrumentos para medição</v>
      </c>
      <c r="K776" s="32" t="str">
        <f aca="false">INDEX('Curva ABC'!$K$8:$K$2847,MATCH(D776,'Curva ABC'!$B$8:$B$2847,0))</f>
        <v>C</v>
      </c>
    </row>
    <row r="777" customFormat="false" ht="15" hidden="false" customHeight="false" outlineLevel="0" collapsed="false">
      <c r="A777" s="34" t="s">
        <v>5799</v>
      </c>
      <c r="B777" s="34" t="str">
        <f aca="false">'Uso e Consumo'!A777</f>
        <v>0335</v>
      </c>
      <c r="C777" s="34" t="str">
        <f aca="false">'Uso e Consumo'!B777</f>
        <v>UFV NORONHA VERDE - USO E CONSUMO</v>
      </c>
      <c r="D777" s="33" t="n">
        <f aca="false">'Uso e Consumo'!C777</f>
        <v>18823</v>
      </c>
      <c r="E777" s="34" t="str">
        <f aca="false">'Uso e Consumo'!D777</f>
        <v>26.02.0027</v>
      </c>
      <c r="F777" s="34" t="str">
        <f aca="false">'Uso e Consumo'!E777</f>
        <v>BOTA IMPERMEÁVEL DE PVC CANO LONGO - COR PRETA - Nº 44 (CA-26629/10199/28286)</v>
      </c>
      <c r="G777" s="34" t="str">
        <f aca="false">'Uso e Consumo'!J777</f>
        <v>PAR</v>
      </c>
      <c r="H777" s="49" t="n">
        <f aca="false">'Uso e Consumo'!F777</f>
        <v>50</v>
      </c>
      <c r="I777" s="35" t="n">
        <f aca="false">'Uso e Consumo'!G777</f>
        <v>1519.7</v>
      </c>
      <c r="J777" s="34" t="str">
        <f aca="false">'Uso e Consumo'!M777</f>
        <v>4.3.4.001 - Equipamento de proteção individual</v>
      </c>
      <c r="K777" s="32" t="str">
        <f aca="false">INDEX('Curva ABC'!$K$8:$K$2847,MATCH(D777,'Curva ABC'!$B$8:$B$2847,0))</f>
        <v>C</v>
      </c>
    </row>
    <row r="778" customFormat="false" ht="15" hidden="false" customHeight="false" outlineLevel="0" collapsed="false">
      <c r="A778" s="34" t="s">
        <v>5799</v>
      </c>
      <c r="B778" s="34" t="str">
        <f aca="false">'Uso e Consumo'!A778</f>
        <v>0335</v>
      </c>
      <c r="C778" s="34" t="str">
        <f aca="false">'Uso e Consumo'!B778</f>
        <v>UFV NORONHA VERDE - USO E CONSUMO</v>
      </c>
      <c r="D778" s="33" t="n">
        <f aca="false">'Uso e Consumo'!C778</f>
        <v>287820</v>
      </c>
      <c r="E778" s="34" t="str">
        <f aca="false">'Uso e Consumo'!D778</f>
        <v>23.02.0336</v>
      </c>
      <c r="F778" s="34" t="str">
        <f aca="false">'Uso e Consumo'!E778</f>
        <v>ABRAÇADEIRA TIPO MANGOTE EM AÇO CARBONO ZINCADA P/ MANGUEIRA 2"</v>
      </c>
      <c r="G778" s="34" t="str">
        <f aca="false">'Uso e Consumo'!J778</f>
        <v>UN</v>
      </c>
      <c r="H778" s="49" t="n">
        <f aca="false">'Uso e Consumo'!F778</f>
        <v>50</v>
      </c>
      <c r="I778" s="35" t="n">
        <f aca="false">'Uso e Consumo'!G778</f>
        <v>1518.2</v>
      </c>
      <c r="J778" s="34" t="str">
        <f aca="false">'Uso e Consumo'!M778</f>
        <v>3.8.1.022 - Elementos de fixação</v>
      </c>
      <c r="K778" s="32" t="str">
        <f aca="false">INDEX('Curva ABC'!$K$8:$K$2847,MATCH(D778,'Curva ABC'!$B$8:$B$2847,0))</f>
        <v>C</v>
      </c>
    </row>
    <row r="779" customFormat="false" ht="15" hidden="false" customHeight="false" outlineLevel="0" collapsed="false">
      <c r="A779" s="34" t="s">
        <v>5799</v>
      </c>
      <c r="B779" s="34" t="str">
        <f aca="false">'Uso e Consumo'!A779</f>
        <v>0335</v>
      </c>
      <c r="C779" s="34" t="str">
        <f aca="false">'Uso e Consumo'!B779</f>
        <v>UFV NORONHA VERDE - USO E CONSUMO</v>
      </c>
      <c r="D779" s="33" t="n">
        <f aca="false">'Uso e Consumo'!C779</f>
        <v>1474895</v>
      </c>
      <c r="E779" s="34" t="str">
        <f aca="false">'Uso e Consumo'!D779</f>
        <v>17.20.0711</v>
      </c>
      <c r="F779" s="34" t="str">
        <f aca="false">'Uso e Consumo'!E779</f>
        <v>CONECTOR LIGA COBRE P/ FITA ATERRAMENTO EM TUBO AÇO DN 1.1/2"</v>
      </c>
      <c r="G779" s="34" t="str">
        <f aca="false">'Uso e Consumo'!J779</f>
        <v>UN</v>
      </c>
      <c r="H779" s="49" t="n">
        <f aca="false">'Uso e Consumo'!F779</f>
        <v>12</v>
      </c>
      <c r="I779" s="35" t="n">
        <f aca="false">'Uso e Consumo'!G779</f>
        <v>1508.16</v>
      </c>
      <c r="J779" s="34" t="str">
        <f aca="false">'Uso e Consumo'!M779</f>
        <v>3.8.1.017 - Instalações elétricas/telefônicas/lógica</v>
      </c>
      <c r="K779" s="32" t="str">
        <f aca="false">INDEX('Curva ABC'!$K$8:$K$2847,MATCH(D779,'Curva ABC'!$B$8:$B$2847,0))</f>
        <v>C</v>
      </c>
    </row>
    <row r="780" customFormat="false" ht="15" hidden="false" customHeight="false" outlineLevel="0" collapsed="false">
      <c r="A780" s="34" t="s">
        <v>5799</v>
      </c>
      <c r="B780" s="34" t="str">
        <f aca="false">'Uso e Consumo'!A780</f>
        <v>0335</v>
      </c>
      <c r="C780" s="34" t="str">
        <f aca="false">'Uso e Consumo'!B780</f>
        <v>UFV NORONHA VERDE - USO E CONSUMO</v>
      </c>
      <c r="D780" s="33" t="n">
        <f aca="false">'Uso e Consumo'!C780</f>
        <v>220929</v>
      </c>
      <c r="E780" s="34" t="str">
        <f aca="false">'Uso e Consumo'!D780</f>
        <v>17.11.0836</v>
      </c>
      <c r="F780" s="34" t="str">
        <f aca="false">'Uso e Consumo'!E780</f>
        <v>REFLETOR LED 400W - 220V</v>
      </c>
      <c r="G780" s="34" t="str">
        <f aca="false">'Uso e Consumo'!J780</f>
        <v>UN</v>
      </c>
      <c r="H780" s="49" t="n">
        <f aca="false">'Uso e Consumo'!F780</f>
        <v>7</v>
      </c>
      <c r="I780" s="35" t="n">
        <f aca="false">'Uso e Consumo'!G780</f>
        <v>1506</v>
      </c>
      <c r="J780" s="34" t="str">
        <f aca="false">'Uso e Consumo'!M780</f>
        <v>3.8.1.017 - Instalações elétricas/telefônicas/lógica</v>
      </c>
      <c r="K780" s="32" t="str">
        <f aca="false">INDEX('Curva ABC'!$K$8:$K$2847,MATCH(D780,'Curva ABC'!$B$8:$B$2847,0))</f>
        <v>C</v>
      </c>
    </row>
    <row r="781" customFormat="false" ht="15" hidden="false" customHeight="false" outlineLevel="0" collapsed="false">
      <c r="A781" s="34" t="s">
        <v>5799</v>
      </c>
      <c r="B781" s="34" t="str">
        <f aca="false">'Uso e Consumo'!A781</f>
        <v>0335</v>
      </c>
      <c r="C781" s="34" t="str">
        <f aca="false">'Uso e Consumo'!B781</f>
        <v>UFV NORONHA VERDE - USO E CONSUMO</v>
      </c>
      <c r="D781" s="33" t="n">
        <f aca="false">'Uso e Consumo'!C781</f>
        <v>1603990</v>
      </c>
      <c r="E781" s="34" t="str">
        <f aca="false">'Uso e Consumo'!D781</f>
        <v>17.02.0913</v>
      </c>
      <c r="F781" s="34" t="str">
        <f aca="false">'Uso e Consumo'!E781</f>
        <v>ALÇA PRE FORMADA PARA CABO ÓPTICO ADSS 9.3MM</v>
      </c>
      <c r="G781" s="34" t="str">
        <f aca="false">'Uso e Consumo'!J781</f>
        <v>UN</v>
      </c>
      <c r="H781" s="49" t="n">
        <f aca="false">'Uso e Consumo'!F781</f>
        <v>114</v>
      </c>
      <c r="I781" s="35" t="n">
        <f aca="false">'Uso e Consumo'!G781</f>
        <v>1501.38</v>
      </c>
      <c r="J781" s="34" t="str">
        <f aca="false">'Uso e Consumo'!M781</f>
        <v>3.8.1.017 - Instalações elétricas/telefônicas/lógica</v>
      </c>
      <c r="K781" s="32" t="str">
        <f aca="false">INDEX('Curva ABC'!$K$8:$K$2847,MATCH(D781,'Curva ABC'!$B$8:$B$2847,0))</f>
        <v>C</v>
      </c>
    </row>
    <row r="782" customFormat="false" ht="15" hidden="false" customHeight="false" outlineLevel="0" collapsed="false">
      <c r="A782" s="34" t="s">
        <v>5799</v>
      </c>
      <c r="B782" s="34" t="str">
        <f aca="false">'Uso e Consumo'!A782</f>
        <v>0335</v>
      </c>
      <c r="C782" s="34" t="str">
        <f aca="false">'Uso e Consumo'!B782</f>
        <v>UFV NORONHA VERDE - USO E CONSUMO</v>
      </c>
      <c r="D782" s="33" t="n">
        <f aca="false">'Uso e Consumo'!C782</f>
        <v>647810</v>
      </c>
      <c r="E782" s="34" t="str">
        <f aca="false">'Uso e Consumo'!D782</f>
        <v>24.13.0025</v>
      </c>
      <c r="F782" s="34" t="str">
        <f aca="false">'Uso e Consumo'!E782</f>
        <v>LIMA ROTATIVA HASTE 12MM</v>
      </c>
      <c r="G782" s="34" t="str">
        <f aca="false">'Uso e Consumo'!J782</f>
        <v>UN</v>
      </c>
      <c r="H782" s="49" t="n">
        <f aca="false">'Uso e Consumo'!F782</f>
        <v>10</v>
      </c>
      <c r="I782" s="35" t="n">
        <f aca="false">'Uso e Consumo'!G782</f>
        <v>1500</v>
      </c>
      <c r="J782" s="34" t="str">
        <f aca="false">'Uso e Consumo'!M782</f>
        <v>3.8.2.006 - Utensílios</v>
      </c>
      <c r="K782" s="32" t="str">
        <f aca="false">INDEX('Curva ABC'!$K$8:$K$2847,MATCH(D782,'Curva ABC'!$B$8:$B$2847,0))</f>
        <v>C</v>
      </c>
    </row>
    <row r="783" customFormat="false" ht="15" hidden="false" customHeight="false" outlineLevel="0" collapsed="false">
      <c r="A783" s="34" t="s">
        <v>5799</v>
      </c>
      <c r="B783" s="34" t="str">
        <f aca="false">'Uso e Consumo'!A783</f>
        <v>0335</v>
      </c>
      <c r="C783" s="34" t="str">
        <f aca="false">'Uso e Consumo'!B783</f>
        <v>UFV NORONHA VERDE - USO E CONSUMO</v>
      </c>
      <c r="D783" s="33" t="n">
        <f aca="false">'Uso e Consumo'!C783</f>
        <v>875108</v>
      </c>
      <c r="E783" s="34" t="str">
        <f aca="false">'Uso e Consumo'!D783</f>
        <v>26.04.0128</v>
      </c>
      <c r="F783" s="34" t="str">
        <f aca="false">'Uso e Consumo'!E783</f>
        <v>DESCENSOR TIPO STOP PARA CORDAS DE 9 A 12MM</v>
      </c>
      <c r="G783" s="34" t="str">
        <f aca="false">'Uso e Consumo'!J783</f>
        <v>UN</v>
      </c>
      <c r="H783" s="49" t="n">
        <f aca="false">'Uso e Consumo'!F783</f>
        <v>2</v>
      </c>
      <c r="I783" s="35" t="n">
        <f aca="false">'Uso e Consumo'!G783</f>
        <v>1495.53</v>
      </c>
      <c r="J783" s="34" t="str">
        <f aca="false">'Uso e Consumo'!M783</f>
        <v>4.3.4.001 - Equipamento de proteção individual</v>
      </c>
      <c r="K783" s="32" t="str">
        <f aca="false">INDEX('Curva ABC'!$K$8:$K$2847,MATCH(D783,'Curva ABC'!$B$8:$B$2847,0))</f>
        <v>B</v>
      </c>
    </row>
    <row r="784" customFormat="false" ht="15" hidden="false" customHeight="false" outlineLevel="0" collapsed="false">
      <c r="A784" s="34" t="s">
        <v>5799</v>
      </c>
      <c r="B784" s="34" t="str">
        <f aca="false">'Uso e Consumo'!A784</f>
        <v>0335</v>
      </c>
      <c r="C784" s="34" t="str">
        <f aca="false">'Uso e Consumo'!B784</f>
        <v>UFV NORONHA VERDE - USO E CONSUMO</v>
      </c>
      <c r="D784" s="33" t="n">
        <f aca="false">'Uso e Consumo'!C784</f>
        <v>22769</v>
      </c>
      <c r="E784" s="34" t="str">
        <f aca="false">'Uso e Consumo'!D784</f>
        <v>26.03.0012</v>
      </c>
      <c r="F784" s="34" t="str">
        <f aca="false">'Uso e Consumo'!E784</f>
        <v>CARNEIRA P/ CAPACETE DE SEGURANÇA C/ JUGULAR</v>
      </c>
      <c r="G784" s="34" t="str">
        <f aca="false">'Uso e Consumo'!J784</f>
        <v>UN</v>
      </c>
      <c r="H784" s="49" t="n">
        <f aca="false">'Uso e Consumo'!F784</f>
        <v>180</v>
      </c>
      <c r="I784" s="35" t="n">
        <f aca="false">'Uso e Consumo'!G784</f>
        <v>1491</v>
      </c>
      <c r="J784" s="34" t="str">
        <f aca="false">'Uso e Consumo'!M784</f>
        <v>4.3.4.001 - Equipamento de proteção individual</v>
      </c>
      <c r="K784" s="32" t="str">
        <f aca="false">INDEX('Curva ABC'!$K$8:$K$2847,MATCH(D784,'Curva ABC'!$B$8:$B$2847,0))</f>
        <v>C</v>
      </c>
    </row>
    <row r="785" customFormat="false" ht="15" hidden="false" customHeight="false" outlineLevel="0" collapsed="false">
      <c r="A785" s="34" t="s">
        <v>5799</v>
      </c>
      <c r="B785" s="34" t="str">
        <f aca="false">'Uso e Consumo'!A785</f>
        <v>0335</v>
      </c>
      <c r="C785" s="34" t="str">
        <f aca="false">'Uso e Consumo'!B785</f>
        <v>UFV NORONHA VERDE - USO E CONSUMO</v>
      </c>
      <c r="D785" s="33" t="n">
        <f aca="false">'Uso e Consumo'!C785</f>
        <v>12539</v>
      </c>
      <c r="E785" s="34" t="str">
        <f aca="false">'Uso e Consumo'!D785</f>
        <v>17.02.0039</v>
      </c>
      <c r="F785" s="34" t="str">
        <f aca="false">'Uso e Consumo'!E785</f>
        <v>ELETRODUTO METÁLICO FLEXÍVEL TIPO SEALTUBO 2"</v>
      </c>
      <c r="G785" s="34" t="str">
        <f aca="false">'Uso e Consumo'!J785</f>
        <v>M</v>
      </c>
      <c r="H785" s="49" t="n">
        <f aca="false">'Uso e Consumo'!F785</f>
        <v>39</v>
      </c>
      <c r="I785" s="35" t="n">
        <f aca="false">'Uso e Consumo'!G785</f>
        <v>1479</v>
      </c>
      <c r="J785" s="34" t="str">
        <f aca="false">'Uso e Consumo'!M785</f>
        <v>3.8.1.017 - Instalações elétricas/telefônicas/lógica</v>
      </c>
      <c r="K785" s="32" t="str">
        <f aca="false">INDEX('Curva ABC'!$K$8:$K$2847,MATCH(D785,'Curva ABC'!$B$8:$B$2847,0))</f>
        <v>C</v>
      </c>
    </row>
    <row r="786" customFormat="false" ht="15" hidden="false" customHeight="false" outlineLevel="0" collapsed="false">
      <c r="A786" s="34" t="s">
        <v>5799</v>
      </c>
      <c r="B786" s="34" t="str">
        <f aca="false">'Uso e Consumo'!A786</f>
        <v>0335</v>
      </c>
      <c r="C786" s="34" t="str">
        <f aca="false">'Uso e Consumo'!B786</f>
        <v>UFV NORONHA VERDE - USO E CONSUMO</v>
      </c>
      <c r="D786" s="33" t="n">
        <f aca="false">'Uso e Consumo'!C786</f>
        <v>1465280</v>
      </c>
      <c r="E786" s="34" t="str">
        <f aca="false">'Uso e Consumo'!D786</f>
        <v>23.06.0318</v>
      </c>
      <c r="F786" s="34" t="str">
        <f aca="false">'Uso e Consumo'!E786</f>
        <v>PORCA SEXTAVADA DE AÇO INOX M16</v>
      </c>
      <c r="G786" s="34" t="str">
        <f aca="false">'Uso e Consumo'!J786</f>
        <v>UN</v>
      </c>
      <c r="H786" s="49" t="n">
        <f aca="false">'Uso e Consumo'!F786</f>
        <v>461</v>
      </c>
      <c r="I786" s="35" t="n">
        <f aca="false">'Uso e Consumo'!G786</f>
        <v>1475.2</v>
      </c>
      <c r="J786" s="34" t="str">
        <f aca="false">'Uso e Consumo'!M786</f>
        <v>3.8.1.022 - Elementos de fixação</v>
      </c>
      <c r="K786" s="32" t="str">
        <f aca="false">INDEX('Curva ABC'!$K$8:$K$2847,MATCH(D786,'Curva ABC'!$B$8:$B$2847,0))</f>
        <v>C</v>
      </c>
    </row>
    <row r="787" customFormat="false" ht="15" hidden="false" customHeight="false" outlineLevel="0" collapsed="false">
      <c r="A787" s="34" t="s">
        <v>5799</v>
      </c>
      <c r="B787" s="34" t="str">
        <f aca="false">'Uso e Consumo'!A787</f>
        <v>0335</v>
      </c>
      <c r="C787" s="34" t="str">
        <f aca="false">'Uso e Consumo'!B787</f>
        <v>UFV NORONHA VERDE - USO E CONSUMO</v>
      </c>
      <c r="D787" s="33" t="n">
        <f aca="false">'Uso e Consumo'!C787</f>
        <v>11277</v>
      </c>
      <c r="E787" s="34" t="str">
        <f aca="false">'Uso e Consumo'!D787</f>
        <v>09.12.0001</v>
      </c>
      <c r="F787" s="34" t="str">
        <f aca="false">'Uso e Consumo'!E787</f>
        <v>CHAPIM CONCRETO PRÉ-MOLDADO LARGURA 20CM NBR 9062</v>
      </c>
      <c r="G787" s="34" t="str">
        <f aca="false">'Uso e Consumo'!J787</f>
        <v>M</v>
      </c>
      <c r="H787" s="49" t="n">
        <f aca="false">'Uso e Consumo'!F787</f>
        <v>70</v>
      </c>
      <c r="I787" s="35" t="n">
        <f aca="false">'Uso e Consumo'!G787</f>
        <v>1470</v>
      </c>
      <c r="J787" s="34" t="str">
        <f aca="false">'Uso e Consumo'!M787</f>
        <v>3.8.1.009 - Artefatos pré-moldados de concreto</v>
      </c>
      <c r="K787" s="32" t="str">
        <f aca="false">INDEX('Curva ABC'!$K$8:$K$2847,MATCH(D787,'Curva ABC'!$B$8:$B$2847,0))</f>
        <v>C</v>
      </c>
    </row>
    <row r="788" customFormat="false" ht="15" hidden="false" customHeight="false" outlineLevel="0" collapsed="false">
      <c r="A788" s="34" t="s">
        <v>5799</v>
      </c>
      <c r="B788" s="34" t="str">
        <f aca="false">'Uso e Consumo'!A788</f>
        <v>0335</v>
      </c>
      <c r="C788" s="34" t="str">
        <f aca="false">'Uso e Consumo'!B788</f>
        <v>UFV NORONHA VERDE - USO E CONSUMO</v>
      </c>
      <c r="D788" s="33" t="n">
        <f aca="false">'Uso e Consumo'!C788</f>
        <v>57880</v>
      </c>
      <c r="E788" s="34" t="str">
        <f aca="false">'Uso e Consumo'!D788</f>
        <v>24.08.0031</v>
      </c>
      <c r="F788" s="34" t="str">
        <f aca="false">'Uso e Consumo'!E788</f>
        <v>ALICATE PRENSA TERMINAIS 5 EM 1 AP-510</v>
      </c>
      <c r="G788" s="34" t="str">
        <f aca="false">'Uso e Consumo'!J788</f>
        <v>UN</v>
      </c>
      <c r="H788" s="49" t="n">
        <f aca="false">'Uso e Consumo'!F788</f>
        <v>2</v>
      </c>
      <c r="I788" s="35" t="n">
        <f aca="false">'Uso e Consumo'!G788</f>
        <v>1469.76</v>
      </c>
      <c r="J788" s="34" t="str">
        <f aca="false">'Uso e Consumo'!M788</f>
        <v>3.8.2.002 - Ferramentas manuais</v>
      </c>
      <c r="K788" s="32" t="str">
        <f aca="false">INDEX('Curva ABC'!$K$8:$K$2847,MATCH(D788,'Curva ABC'!$B$8:$B$2847,0))</f>
        <v>C</v>
      </c>
    </row>
    <row r="789" customFormat="false" ht="15" hidden="false" customHeight="false" outlineLevel="0" collapsed="false">
      <c r="A789" s="34" t="s">
        <v>5799</v>
      </c>
      <c r="B789" s="34" t="str">
        <f aca="false">'Uso e Consumo'!A789</f>
        <v>0335</v>
      </c>
      <c r="C789" s="34" t="str">
        <f aca="false">'Uso e Consumo'!B789</f>
        <v>UFV NORONHA VERDE - USO E CONSUMO</v>
      </c>
      <c r="D789" s="33" t="n">
        <f aca="false">'Uso e Consumo'!C789</f>
        <v>291686</v>
      </c>
      <c r="E789" s="34" t="str">
        <f aca="false">'Uso e Consumo'!D789</f>
        <v>17.20.0357</v>
      </c>
      <c r="F789" s="34" t="str">
        <f aca="false">'Uso e Consumo'!E789</f>
        <v>MOLDE PARA SOLDA EXOTÉRMICA - CABO X CABO 50MM2 "EMENDA"</v>
      </c>
      <c r="G789" s="34" t="str">
        <f aca="false">'Uso e Consumo'!J789</f>
        <v>UN</v>
      </c>
      <c r="H789" s="49" t="n">
        <f aca="false">'Uso e Consumo'!F789</f>
        <v>10</v>
      </c>
      <c r="I789" s="35" t="n">
        <f aca="false">'Uso e Consumo'!G789</f>
        <v>1464.5</v>
      </c>
      <c r="J789" s="34" t="str">
        <f aca="false">'Uso e Consumo'!M789</f>
        <v>3.8.1.017 - Instalações elétricas/telefônicas/lógica</v>
      </c>
      <c r="K789" s="32" t="str">
        <f aca="false">INDEX('Curva ABC'!$K$8:$K$2847,MATCH(D789,'Curva ABC'!$B$8:$B$2847,0))</f>
        <v>C</v>
      </c>
    </row>
    <row r="790" customFormat="false" ht="15" hidden="false" customHeight="false" outlineLevel="0" collapsed="false">
      <c r="A790" s="34" t="s">
        <v>5799</v>
      </c>
      <c r="B790" s="34" t="str">
        <f aca="false">'Uso e Consumo'!A790</f>
        <v>0335</v>
      </c>
      <c r="C790" s="34" t="str">
        <f aca="false">'Uso e Consumo'!B790</f>
        <v>UFV NORONHA VERDE - USO E CONSUMO</v>
      </c>
      <c r="D790" s="33" t="n">
        <f aca="false">'Uso e Consumo'!C790</f>
        <v>1099788</v>
      </c>
      <c r="E790" s="34" t="str">
        <f aca="false">'Uso e Consumo'!D790</f>
        <v>24.13.0035</v>
      </c>
      <c r="F790" s="34" t="str">
        <f aca="false">'Uso e Consumo'!E790</f>
        <v>LIMA CHATA BASTARDA 8"</v>
      </c>
      <c r="G790" s="34" t="str">
        <f aca="false">'Uso e Consumo'!J790</f>
        <v>UN</v>
      </c>
      <c r="H790" s="49" t="n">
        <f aca="false">'Uso e Consumo'!F790</f>
        <v>32</v>
      </c>
      <c r="I790" s="35" t="n">
        <f aca="false">'Uso e Consumo'!G790</f>
        <v>1463.56</v>
      </c>
      <c r="J790" s="34" t="str">
        <f aca="false">'Uso e Consumo'!M790</f>
        <v>3.8.2.002 - Ferramentas manuais</v>
      </c>
      <c r="K790" s="32" t="str">
        <f aca="false">INDEX('Curva ABC'!$K$8:$K$2847,MATCH(D790,'Curva ABC'!$B$8:$B$2847,0))</f>
        <v>C</v>
      </c>
    </row>
    <row r="791" customFormat="false" ht="15" hidden="false" customHeight="false" outlineLevel="0" collapsed="false">
      <c r="A791" s="34" t="s">
        <v>5799</v>
      </c>
      <c r="B791" s="34" t="str">
        <f aca="false">'Uso e Consumo'!A791</f>
        <v>0335</v>
      </c>
      <c r="C791" s="34" t="str">
        <f aca="false">'Uso e Consumo'!B791</f>
        <v>UFV NORONHA VERDE - USO E CONSUMO</v>
      </c>
      <c r="D791" s="33" t="n">
        <f aca="false">'Uso e Consumo'!C791</f>
        <v>609683</v>
      </c>
      <c r="E791" s="34" t="str">
        <f aca="false">'Uso e Consumo'!D791</f>
        <v>24.08.0066</v>
      </c>
      <c r="F791" s="34" t="str">
        <f aca="false">'Uso e Consumo'!E791</f>
        <v>ALICATE UNIVERSAL</v>
      </c>
      <c r="G791" s="34" t="str">
        <f aca="false">'Uso e Consumo'!J791</f>
        <v>UN</v>
      </c>
      <c r="H791" s="49" t="n">
        <f aca="false">'Uso e Consumo'!F791</f>
        <v>33</v>
      </c>
      <c r="I791" s="35" t="n">
        <f aca="false">'Uso e Consumo'!G791</f>
        <v>1463.45</v>
      </c>
      <c r="J791" s="34" t="str">
        <f aca="false">'Uso e Consumo'!M791</f>
        <v>3.8.2.002 - Ferramentas manuais</v>
      </c>
      <c r="K791" s="32" t="str">
        <f aca="false">INDEX('Curva ABC'!$K$8:$K$2847,MATCH(D791,'Curva ABC'!$B$8:$B$2847,0))</f>
        <v>C</v>
      </c>
    </row>
    <row r="792" customFormat="false" ht="15" hidden="false" customHeight="false" outlineLevel="0" collapsed="false">
      <c r="A792" s="34" t="s">
        <v>5799</v>
      </c>
      <c r="B792" s="34" t="str">
        <f aca="false">'Uso e Consumo'!A792</f>
        <v>0335</v>
      </c>
      <c r="C792" s="34" t="str">
        <f aca="false">'Uso e Consumo'!B792</f>
        <v>UFV NORONHA VERDE - USO E CONSUMO</v>
      </c>
      <c r="D792" s="33" t="n">
        <f aca="false">'Uso e Consumo'!C792</f>
        <v>18835</v>
      </c>
      <c r="E792" s="34" t="str">
        <f aca="false">'Uso e Consumo'!D792</f>
        <v>26.02.0039</v>
      </c>
      <c r="F792" s="34" t="str">
        <f aca="false">'Uso e Consumo'!E792</f>
        <v>BOTINA PARA ELETRICISTA - RESISTENCIA 14 KV - COR PRETA - Nº 43 (CA-17010/28988/14721/26511)</v>
      </c>
      <c r="G792" s="34" t="str">
        <f aca="false">'Uso e Consumo'!J792</f>
        <v>PAR</v>
      </c>
      <c r="H792" s="49" t="n">
        <f aca="false">'Uso e Consumo'!F792</f>
        <v>15</v>
      </c>
      <c r="I792" s="35" t="n">
        <f aca="false">'Uso e Consumo'!G792</f>
        <v>1462.05</v>
      </c>
      <c r="J792" s="34" t="str">
        <f aca="false">'Uso e Consumo'!M792</f>
        <v>4.3.4.001 - Equipamento de proteção individual</v>
      </c>
      <c r="K792" s="32" t="str">
        <f aca="false">INDEX('Curva ABC'!$K$8:$K$2847,MATCH(D792,'Curva ABC'!$B$8:$B$2847,0))</f>
        <v>C</v>
      </c>
    </row>
    <row r="793" customFormat="false" ht="15" hidden="false" customHeight="false" outlineLevel="0" collapsed="false">
      <c r="A793" s="34" t="s">
        <v>5799</v>
      </c>
      <c r="B793" s="34" t="str">
        <f aca="false">'Uso e Consumo'!A793</f>
        <v>0335</v>
      </c>
      <c r="C793" s="34" t="str">
        <f aca="false">'Uso e Consumo'!B793</f>
        <v>UFV NORONHA VERDE - USO E CONSUMO</v>
      </c>
      <c r="D793" s="33" t="n">
        <f aca="false">'Uso e Consumo'!C793</f>
        <v>23284</v>
      </c>
      <c r="E793" s="34" t="str">
        <f aca="false">'Uso e Consumo'!D793</f>
        <v>26.13.0027</v>
      </c>
      <c r="F793" s="34" t="str">
        <f aca="false">'Uso e Consumo'!E793</f>
        <v>CAMISA MALHA MOLETON - TAMANHO G - MODELO ESPORTE - GOLA CARECA MANGA LONGA COM PUNHO DE RIBANA - LO</v>
      </c>
      <c r="G793" s="34" t="str">
        <f aca="false">'Uso e Consumo'!J793</f>
        <v>UN</v>
      </c>
      <c r="H793" s="49" t="n">
        <f aca="false">'Uso e Consumo'!F793</f>
        <v>50</v>
      </c>
      <c r="I793" s="35" t="n">
        <f aca="false">'Uso e Consumo'!G793</f>
        <v>1450</v>
      </c>
      <c r="J793" s="34" t="str">
        <f aca="false">'Uso e Consumo'!M793</f>
        <v>4.3.4.003 - Fardamentos</v>
      </c>
      <c r="K793" s="32" t="str">
        <f aca="false">INDEX('Curva ABC'!$K$8:$K$2847,MATCH(D793,'Curva ABC'!$B$8:$B$2847,0))</f>
        <v>C</v>
      </c>
    </row>
    <row r="794" customFormat="false" ht="15" hidden="false" customHeight="false" outlineLevel="0" collapsed="false">
      <c r="A794" s="34" t="s">
        <v>5799</v>
      </c>
      <c r="B794" s="34" t="str">
        <f aca="false">'Uso e Consumo'!A794</f>
        <v>0335</v>
      </c>
      <c r="C794" s="34" t="str">
        <f aca="false">'Uso e Consumo'!B794</f>
        <v>UFV NORONHA VERDE - USO E CONSUMO</v>
      </c>
      <c r="D794" s="33" t="n">
        <f aca="false">'Uso e Consumo'!C794</f>
        <v>23285</v>
      </c>
      <c r="E794" s="34" t="str">
        <f aca="false">'Uso e Consumo'!D794</f>
        <v>26.13.0028</v>
      </c>
      <c r="F794" s="34" t="str">
        <f aca="false">'Uso e Consumo'!E794</f>
        <v>CAMISA MALHA MOLETON - TAMANHO GG -  MODELO ESPORTE - GOLA CARECA MANGA LONGA COM PUNHO DE RIBANA -</v>
      </c>
      <c r="G794" s="34" t="str">
        <f aca="false">'Uso e Consumo'!J794</f>
        <v>UN</v>
      </c>
      <c r="H794" s="49" t="n">
        <f aca="false">'Uso e Consumo'!F794</f>
        <v>50</v>
      </c>
      <c r="I794" s="35" t="n">
        <f aca="false">'Uso e Consumo'!G794</f>
        <v>1450</v>
      </c>
      <c r="J794" s="34" t="str">
        <f aca="false">'Uso e Consumo'!M794</f>
        <v>4.3.4.003 - Fardamentos</v>
      </c>
      <c r="K794" s="32" t="str">
        <f aca="false">INDEX('Curva ABC'!$K$8:$K$2847,MATCH(D794,'Curva ABC'!$B$8:$B$2847,0))</f>
        <v>C</v>
      </c>
    </row>
    <row r="795" customFormat="false" ht="15" hidden="false" customHeight="false" outlineLevel="0" collapsed="false">
      <c r="A795" s="34" t="s">
        <v>5799</v>
      </c>
      <c r="B795" s="34" t="str">
        <f aca="false">'Uso e Consumo'!A795</f>
        <v>0335</v>
      </c>
      <c r="C795" s="34" t="str">
        <f aca="false">'Uso e Consumo'!B795</f>
        <v>UFV NORONHA VERDE - USO E CONSUMO</v>
      </c>
      <c r="D795" s="33" t="n">
        <f aca="false">'Uso e Consumo'!C795</f>
        <v>53719</v>
      </c>
      <c r="E795" s="34" t="str">
        <f aca="false">'Uso e Consumo'!D795</f>
        <v>32.08.0023</v>
      </c>
      <c r="F795" s="34" t="str">
        <f aca="false">'Uso e Consumo'!E795</f>
        <v>SOPRADOR DE AR A GASOLINA BR 420 STIHL</v>
      </c>
      <c r="G795" s="34" t="str">
        <f aca="false">'Uso e Consumo'!J795</f>
        <v>UN</v>
      </c>
      <c r="H795" s="49" t="n">
        <f aca="false">'Uso e Consumo'!F795</f>
        <v>1</v>
      </c>
      <c r="I795" s="35" t="n">
        <f aca="false">'Uso e Consumo'!G795</f>
        <v>1450</v>
      </c>
      <c r="J795" s="34" t="str">
        <f aca="false">'Uso e Consumo'!M795</f>
        <v>6.1.2.001 - Equipamentos</v>
      </c>
      <c r="K795" s="32" t="str">
        <f aca="false">INDEX('Curva ABC'!$K$8:$K$2847,MATCH(D795,'Curva ABC'!$B$8:$B$2847,0))</f>
        <v>C</v>
      </c>
    </row>
    <row r="796" customFormat="false" ht="15" hidden="false" customHeight="false" outlineLevel="0" collapsed="false">
      <c r="A796" s="34" t="s">
        <v>5799</v>
      </c>
      <c r="B796" s="34" t="str">
        <f aca="false">'Uso e Consumo'!A796</f>
        <v>0335</v>
      </c>
      <c r="C796" s="34" t="str">
        <f aca="false">'Uso e Consumo'!B796</f>
        <v>UFV NORONHA VERDE - USO E CONSUMO</v>
      </c>
      <c r="D796" s="33" t="n">
        <f aca="false">'Uso e Consumo'!C796</f>
        <v>1461780</v>
      </c>
      <c r="E796" s="34" t="str">
        <f aca="false">'Uso e Consumo'!D796</f>
        <v>17.01.1229</v>
      </c>
      <c r="F796" s="34" t="str">
        <f aca="false">'Uso e Consumo'!E796</f>
        <v>CABO DE AÇO REVESTIDO 3/16" 6X7</v>
      </c>
      <c r="G796" s="34" t="str">
        <f aca="false">'Uso e Consumo'!J796</f>
        <v>M</v>
      </c>
      <c r="H796" s="49" t="n">
        <f aca="false">'Uso e Consumo'!F796</f>
        <v>12</v>
      </c>
      <c r="I796" s="35" t="n">
        <f aca="false">'Uso e Consumo'!G796</f>
        <v>1449.19</v>
      </c>
      <c r="J796" s="34" t="str">
        <f aca="false">'Uso e Consumo'!M796</f>
        <v>3.1.1.009 - Eletro eletrônico e acessórios</v>
      </c>
      <c r="K796" s="32" t="str">
        <f aca="false">INDEX('Curva ABC'!$K$8:$K$2847,MATCH(D796,'Curva ABC'!$B$8:$B$2847,0))</f>
        <v>C</v>
      </c>
    </row>
    <row r="797" customFormat="false" ht="15" hidden="false" customHeight="false" outlineLevel="0" collapsed="false">
      <c r="A797" s="34" t="s">
        <v>5799</v>
      </c>
      <c r="B797" s="34" t="str">
        <f aca="false">'Uso e Consumo'!A797</f>
        <v>0335</v>
      </c>
      <c r="C797" s="34" t="str">
        <f aca="false">'Uso e Consumo'!B797</f>
        <v>UFV NORONHA VERDE - USO E CONSUMO</v>
      </c>
      <c r="D797" s="33" t="n">
        <f aca="false">'Uso e Consumo'!C797</f>
        <v>875292</v>
      </c>
      <c r="E797" s="34" t="str">
        <f aca="false">'Uso e Consumo'!D797</f>
        <v>25.01.0208</v>
      </c>
      <c r="F797" s="34" t="str">
        <f aca="false">'Uso e Consumo'!E797</f>
        <v>DISCO DE CORTE 4" PARA METAL</v>
      </c>
      <c r="G797" s="34" t="str">
        <f aca="false">'Uso e Consumo'!J797</f>
        <v>UN</v>
      </c>
      <c r="H797" s="49" t="n">
        <f aca="false">'Uso e Consumo'!F797</f>
        <v>650</v>
      </c>
      <c r="I797" s="35" t="n">
        <f aca="false">'Uso e Consumo'!G797</f>
        <v>1447</v>
      </c>
      <c r="J797" s="34" t="str">
        <f aca="false">'Uso e Consumo'!M797</f>
        <v>3.8.2.004 - Consumíveis para corte, perfuração e desbaste</v>
      </c>
      <c r="K797" s="32" t="str">
        <f aca="false">INDEX('Curva ABC'!$K$8:$K$2847,MATCH(D797,'Curva ABC'!$B$8:$B$2847,0))</f>
        <v>C</v>
      </c>
    </row>
    <row r="798" customFormat="false" ht="15" hidden="false" customHeight="false" outlineLevel="0" collapsed="false">
      <c r="A798" s="34" t="s">
        <v>5799</v>
      </c>
      <c r="B798" s="34" t="str">
        <f aca="false">'Uso e Consumo'!A798</f>
        <v>0335</v>
      </c>
      <c r="C798" s="34" t="str">
        <f aca="false">'Uso e Consumo'!B798</f>
        <v>UFV NORONHA VERDE - USO E CONSUMO</v>
      </c>
      <c r="D798" s="33" t="n">
        <f aca="false">'Uso e Consumo'!C798</f>
        <v>59900</v>
      </c>
      <c r="E798" s="34" t="str">
        <f aca="false">'Uso e Consumo'!D798</f>
        <v>32.07.0072</v>
      </c>
      <c r="F798" s="34" t="str">
        <f aca="false">'Uso e Consumo'!E798</f>
        <v>SERRA TICO-TICO</v>
      </c>
      <c r="G798" s="34" t="str">
        <f aca="false">'Uso e Consumo'!J798</f>
        <v>UN</v>
      </c>
      <c r="H798" s="49" t="n">
        <f aca="false">'Uso e Consumo'!F798</f>
        <v>17</v>
      </c>
      <c r="I798" s="35" t="n">
        <f aca="false">'Uso e Consumo'!G798</f>
        <v>1445</v>
      </c>
      <c r="J798" s="34" t="str">
        <f aca="false">'Uso e Consumo'!M798</f>
        <v>6.1.2.001 - Equipamentos</v>
      </c>
      <c r="K798" s="32" t="str">
        <f aca="false">INDEX('Curva ABC'!$K$8:$K$2847,MATCH(D798,'Curva ABC'!$B$8:$B$2847,0))</f>
        <v>C</v>
      </c>
    </row>
    <row r="799" customFormat="false" ht="15" hidden="false" customHeight="false" outlineLevel="0" collapsed="false">
      <c r="A799" s="34" t="s">
        <v>5799</v>
      </c>
      <c r="B799" s="34" t="str">
        <f aca="false">'Uso e Consumo'!A799</f>
        <v>0335</v>
      </c>
      <c r="C799" s="34" t="str">
        <f aca="false">'Uso e Consumo'!B799</f>
        <v>UFV NORONHA VERDE - USO E CONSUMO</v>
      </c>
      <c r="D799" s="33" t="n">
        <f aca="false">'Uso e Consumo'!C799</f>
        <v>1475106</v>
      </c>
      <c r="E799" s="34" t="str">
        <f aca="false">'Uso e Consumo'!D799</f>
        <v>17.20.0717</v>
      </c>
      <c r="F799" s="34" t="str">
        <f aca="false">'Uso e Consumo'!E799</f>
        <v>BARRA CHATA DE COBRE ESTANHADO 12,7 (1/2") x 50,8 (2") x 140MM</v>
      </c>
      <c r="G799" s="34" t="str">
        <f aca="false">'Uso e Consumo'!J799</f>
        <v>UN</v>
      </c>
      <c r="H799" s="49" t="n">
        <f aca="false">'Uso e Consumo'!F799</f>
        <v>3</v>
      </c>
      <c r="I799" s="35" t="n">
        <f aca="false">'Uso e Consumo'!G799</f>
        <v>1443.57</v>
      </c>
      <c r="J799" s="34" t="str">
        <f aca="false">'Uso e Consumo'!M799</f>
        <v>3.8.1.017 - Instalações elétricas/telefônicas/lógica</v>
      </c>
      <c r="K799" s="32" t="str">
        <f aca="false">INDEX('Curva ABC'!$K$8:$K$2847,MATCH(D799,'Curva ABC'!$B$8:$B$2847,0))</f>
        <v>C</v>
      </c>
    </row>
    <row r="800" customFormat="false" ht="15" hidden="false" customHeight="false" outlineLevel="0" collapsed="false">
      <c r="A800" s="34" t="s">
        <v>5799</v>
      </c>
      <c r="B800" s="34" t="str">
        <f aca="false">'Uso e Consumo'!A800</f>
        <v>0335</v>
      </c>
      <c r="C800" s="34" t="str">
        <f aca="false">'Uso e Consumo'!B800</f>
        <v>UFV NORONHA VERDE - USO E CONSUMO</v>
      </c>
      <c r="D800" s="33" t="n">
        <f aca="false">'Uso e Consumo'!C800</f>
        <v>18836</v>
      </c>
      <c r="E800" s="34" t="str">
        <f aca="false">'Uso e Consumo'!D800</f>
        <v>26.02.0040</v>
      </c>
      <c r="F800" s="34" t="str">
        <f aca="false">'Uso e Consumo'!E800</f>
        <v>BOTINA PARA ELETRICISTA - RESISTENCIA 14 KV - COR PRETA - Nº 44 (CA-17010/28988/14721/26511)</v>
      </c>
      <c r="G800" s="34" t="str">
        <f aca="false">'Uso e Consumo'!J800</f>
        <v>PAR</v>
      </c>
      <c r="H800" s="49" t="n">
        <f aca="false">'Uso e Consumo'!F800</f>
        <v>15</v>
      </c>
      <c r="I800" s="35" t="n">
        <f aca="false">'Uso e Consumo'!G800</f>
        <v>1442.05</v>
      </c>
      <c r="J800" s="34" t="str">
        <f aca="false">'Uso e Consumo'!M800</f>
        <v>4.3.4.001 - Equipamento de proteção individual</v>
      </c>
      <c r="K800" s="32" t="str">
        <f aca="false">INDEX('Curva ABC'!$K$8:$K$2847,MATCH(D800,'Curva ABC'!$B$8:$B$2847,0))</f>
        <v>C</v>
      </c>
    </row>
    <row r="801" customFormat="false" ht="15" hidden="false" customHeight="false" outlineLevel="0" collapsed="false">
      <c r="A801" s="34" t="s">
        <v>5799</v>
      </c>
      <c r="B801" s="34" t="str">
        <f aca="false">'Uso e Consumo'!A801</f>
        <v>0335</v>
      </c>
      <c r="C801" s="34" t="str">
        <f aca="false">'Uso e Consumo'!B801</f>
        <v>UFV NORONHA VERDE - USO E CONSUMO</v>
      </c>
      <c r="D801" s="33" t="n">
        <f aca="false">'Uso e Consumo'!C801</f>
        <v>1385905</v>
      </c>
      <c r="E801" s="34" t="str">
        <f aca="false">'Uso e Consumo'!D801</f>
        <v>23.07.1578</v>
      </c>
      <c r="F801" s="34" t="str">
        <f aca="false">'Uso e Consumo'!E801</f>
        <v>PARAFUSO SEXTAVADO AÇO INOX, ROSCA MÉTRICA TOTAL DIN 13, M10 X 50 MM</v>
      </c>
      <c r="G801" s="34" t="str">
        <f aca="false">'Uso e Consumo'!J801</f>
        <v>UN</v>
      </c>
      <c r="H801" s="49" t="n">
        <f aca="false">'Uso e Consumo'!F801</f>
        <v>312</v>
      </c>
      <c r="I801" s="35" t="n">
        <f aca="false">'Uso e Consumo'!G801</f>
        <v>1441.66</v>
      </c>
      <c r="J801" s="34" t="str">
        <f aca="false">'Uso e Consumo'!M801</f>
        <v>3.1.1.001 - Material de uso e consumo</v>
      </c>
      <c r="K801" s="32" t="str">
        <f aca="false">INDEX('Curva ABC'!$K$8:$K$2847,MATCH(D801,'Curva ABC'!$B$8:$B$2847,0))</f>
        <v>C</v>
      </c>
    </row>
    <row r="802" customFormat="false" ht="15" hidden="false" customHeight="false" outlineLevel="0" collapsed="false">
      <c r="A802" s="34" t="s">
        <v>5799</v>
      </c>
      <c r="B802" s="34" t="str">
        <f aca="false">'Uso e Consumo'!A802</f>
        <v>0335</v>
      </c>
      <c r="C802" s="34" t="str">
        <f aca="false">'Uso e Consumo'!B802</f>
        <v>UFV NORONHA VERDE - USO E CONSUMO</v>
      </c>
      <c r="D802" s="33" t="n">
        <f aca="false">'Uso e Consumo'!C802</f>
        <v>19627</v>
      </c>
      <c r="E802" s="34" t="str">
        <f aca="false">'Uso e Consumo'!D802</f>
        <v>30.01.0347</v>
      </c>
      <c r="F802" s="34" t="str">
        <f aca="false">'Uso e Consumo'!E802</f>
        <v>PILHA RECARREGÁVEL AA C/ 4,00UN</v>
      </c>
      <c r="G802" s="34" t="str">
        <f aca="false">'Uso e Consumo'!J802</f>
        <v>UN</v>
      </c>
      <c r="H802" s="49" t="n">
        <f aca="false">'Uso e Consumo'!F802</f>
        <v>10</v>
      </c>
      <c r="I802" s="35" t="n">
        <f aca="false">'Uso e Consumo'!G802</f>
        <v>1440</v>
      </c>
      <c r="J802" s="34" t="str">
        <f aca="false">'Uso e Consumo'!M802</f>
        <v>4.1.1.002 - Material expediente</v>
      </c>
      <c r="K802" s="32" t="str">
        <f aca="false">INDEX('Curva ABC'!$K$8:$K$2847,MATCH(D802,'Curva ABC'!$B$8:$B$2847,0))</f>
        <v>C</v>
      </c>
    </row>
    <row r="803" customFormat="false" ht="15" hidden="false" customHeight="false" outlineLevel="0" collapsed="false">
      <c r="A803" s="34" t="s">
        <v>5799</v>
      </c>
      <c r="B803" s="34" t="str">
        <f aca="false">'Uso e Consumo'!A803</f>
        <v>0335</v>
      </c>
      <c r="C803" s="34" t="str">
        <f aca="false">'Uso e Consumo'!B803</f>
        <v>UFV NORONHA VERDE - USO E CONSUMO</v>
      </c>
      <c r="D803" s="33" t="n">
        <f aca="false">'Uso e Consumo'!C803</f>
        <v>19629</v>
      </c>
      <c r="E803" s="34" t="str">
        <f aca="false">'Uso e Consumo'!D803</f>
        <v>30.01.0349</v>
      </c>
      <c r="F803" s="34" t="str">
        <f aca="false">'Uso e Consumo'!E803</f>
        <v>PILHA RECARREGÁVEL AAA C/ 4,00UN</v>
      </c>
      <c r="G803" s="34" t="str">
        <f aca="false">'Uso e Consumo'!J803</f>
        <v>UN</v>
      </c>
      <c r="H803" s="49" t="n">
        <f aca="false">'Uso e Consumo'!F803</f>
        <v>10</v>
      </c>
      <c r="I803" s="35" t="n">
        <f aca="false">'Uso e Consumo'!G803</f>
        <v>1440</v>
      </c>
      <c r="J803" s="34" t="str">
        <f aca="false">'Uso e Consumo'!M803</f>
        <v>4.1.1.002 - Material expediente</v>
      </c>
      <c r="K803" s="32" t="str">
        <f aca="false">INDEX('Curva ABC'!$K$8:$K$2847,MATCH(D803,'Curva ABC'!$B$8:$B$2847,0))</f>
        <v>C</v>
      </c>
    </row>
    <row r="804" customFormat="false" ht="15" hidden="false" customHeight="false" outlineLevel="0" collapsed="false">
      <c r="A804" s="34" t="s">
        <v>5799</v>
      </c>
      <c r="B804" s="34" t="str">
        <f aca="false">'Uso e Consumo'!A804</f>
        <v>0335</v>
      </c>
      <c r="C804" s="34" t="str">
        <f aca="false">'Uso e Consumo'!B804</f>
        <v>UFV NORONHA VERDE - USO E CONSUMO</v>
      </c>
      <c r="D804" s="33" t="n">
        <f aca="false">'Uso e Consumo'!C804</f>
        <v>1654879</v>
      </c>
      <c r="E804" s="34" t="str">
        <f aca="false">'Uso e Consumo'!D804</f>
        <v>16.03.0508</v>
      </c>
      <c r="F804" s="34" t="str">
        <f aca="false">'Uso e Consumo'!E804</f>
        <v>TINTA PARA DEMARCACAO DE PISO, COR AMARELA, DE ALTA RESISTENCIA E SECAGEM RAPIDA.</v>
      </c>
      <c r="G804" s="34" t="str">
        <f aca="false">'Uso e Consumo'!J804</f>
        <v>UN</v>
      </c>
      <c r="H804" s="49" t="n">
        <f aca="false">'Uso e Consumo'!F804</f>
        <v>4</v>
      </c>
      <c r="I804" s="35" t="n">
        <f aca="false">'Uso e Consumo'!G804</f>
        <v>1440</v>
      </c>
      <c r="J804" s="34" t="str">
        <f aca="false">'Uso e Consumo'!M804</f>
        <v>3.8.1.016 - Pinturas</v>
      </c>
      <c r="K804" s="32" t="str">
        <f aca="false">INDEX('Curva ABC'!$K$8:$K$2847,MATCH(D804,'Curva ABC'!$B$8:$B$2847,0))</f>
        <v>C</v>
      </c>
    </row>
    <row r="805" customFormat="false" ht="15" hidden="false" customHeight="false" outlineLevel="0" collapsed="false">
      <c r="A805" s="34" t="s">
        <v>5799</v>
      </c>
      <c r="B805" s="34" t="str">
        <f aca="false">'Uso e Consumo'!A805</f>
        <v>0335</v>
      </c>
      <c r="C805" s="34" t="str">
        <f aca="false">'Uso e Consumo'!B805</f>
        <v>UFV NORONHA VERDE - USO E CONSUMO</v>
      </c>
      <c r="D805" s="33" t="n">
        <f aca="false">'Uso e Consumo'!C805</f>
        <v>228821</v>
      </c>
      <c r="E805" s="34" t="str">
        <f aca="false">'Uso e Consumo'!D805</f>
        <v>23.07.1077</v>
      </c>
      <c r="F805" s="34" t="str">
        <f aca="false">'Uso e Consumo'!E805</f>
        <v>PARAFUSO TTPF 45 – CX 1000</v>
      </c>
      <c r="G805" s="34" t="str">
        <f aca="false">'Uso e Consumo'!J805</f>
        <v>cx100</v>
      </c>
      <c r="H805" s="49" t="n">
        <f aca="false">'Uso e Consumo'!F805</f>
        <v>8</v>
      </c>
      <c r="I805" s="35" t="n">
        <f aca="false">'Uso e Consumo'!G805</f>
        <v>1424</v>
      </c>
      <c r="J805" s="34" t="str">
        <f aca="false">'Uso e Consumo'!M805</f>
        <v>3.8.1.022 - Elementos de fixação</v>
      </c>
      <c r="K805" s="32" t="str">
        <f aca="false">INDEX('Curva ABC'!$K$8:$K$2847,MATCH(D805,'Curva ABC'!$B$8:$B$2847,0))</f>
        <v>C</v>
      </c>
    </row>
    <row r="806" customFormat="false" ht="15" hidden="false" customHeight="false" outlineLevel="0" collapsed="false">
      <c r="A806" s="34" t="s">
        <v>5799</v>
      </c>
      <c r="B806" s="34" t="str">
        <f aca="false">'Uso e Consumo'!A806</f>
        <v>0335</v>
      </c>
      <c r="C806" s="34" t="str">
        <f aca="false">'Uso e Consumo'!B806</f>
        <v>UFV NORONHA VERDE - USO E CONSUMO</v>
      </c>
      <c r="D806" s="33" t="n">
        <f aca="false">'Uso e Consumo'!C806</f>
        <v>878336</v>
      </c>
      <c r="E806" s="34" t="str">
        <f aca="false">'Uso e Consumo'!D806</f>
        <v>29.01.1246</v>
      </c>
      <c r="F806" s="34" t="str">
        <f aca="false">'Uso e Consumo'!E806</f>
        <v>LEITOR BIOMÉTRICO HAMSTER DX - NITGEN</v>
      </c>
      <c r="G806" s="34" t="str">
        <f aca="false">'Uso e Consumo'!J806</f>
        <v>UN</v>
      </c>
      <c r="H806" s="49" t="n">
        <f aca="false">'Uso e Consumo'!F806</f>
        <v>1</v>
      </c>
      <c r="I806" s="35" t="n">
        <f aca="false">'Uso e Consumo'!G806</f>
        <v>1420</v>
      </c>
      <c r="J806" s="34" t="str">
        <f aca="false">'Uso e Consumo'!M806</f>
        <v>4.1.1.007 - Equipamentos e acessórios para informática</v>
      </c>
      <c r="K806" s="32" t="str">
        <f aca="false">INDEX('Curva ABC'!$K$8:$K$2847,MATCH(D806,'Curva ABC'!$B$8:$B$2847,0))</f>
        <v>C</v>
      </c>
    </row>
    <row r="807" customFormat="false" ht="15" hidden="false" customHeight="false" outlineLevel="0" collapsed="false">
      <c r="A807" s="34" t="s">
        <v>5799</v>
      </c>
      <c r="B807" s="34" t="str">
        <f aca="false">'Uso e Consumo'!A807</f>
        <v>0335</v>
      </c>
      <c r="C807" s="34" t="str">
        <f aca="false">'Uso e Consumo'!B807</f>
        <v>UFV NORONHA VERDE - USO E CONSUMO</v>
      </c>
      <c r="D807" s="33" t="n">
        <f aca="false">'Uso e Consumo'!C807</f>
        <v>30889</v>
      </c>
      <c r="E807" s="34" t="str">
        <f aca="false">'Uso e Consumo'!D807</f>
        <v>17.02.0025</v>
      </c>
      <c r="F807" s="34" t="str">
        <f aca="false">'Uso e Consumo'!E807</f>
        <v>ELETRODUTO PEAD 75,00MM (3") X 50,00M  NBR 15715</v>
      </c>
      <c r="G807" s="34" t="str">
        <f aca="false">'Uso e Consumo'!J807</f>
        <v>R50M</v>
      </c>
      <c r="H807" s="49" t="n">
        <f aca="false">'Uso e Consumo'!F807</f>
        <v>3</v>
      </c>
      <c r="I807" s="35" t="n">
        <f aca="false">'Uso e Consumo'!G807</f>
        <v>1414.5</v>
      </c>
      <c r="J807" s="34" t="str">
        <f aca="false">'Uso e Consumo'!M807</f>
        <v>3.8.1.017 - Instalações elétricas/telefônicas/lógica</v>
      </c>
      <c r="K807" s="32" t="str">
        <f aca="false">INDEX('Curva ABC'!$K$8:$K$2847,MATCH(D807,'Curva ABC'!$B$8:$B$2847,0))</f>
        <v>C</v>
      </c>
    </row>
    <row r="808" customFormat="false" ht="15" hidden="false" customHeight="false" outlineLevel="0" collapsed="false">
      <c r="A808" s="34" t="s">
        <v>5799</v>
      </c>
      <c r="B808" s="34" t="str">
        <f aca="false">'Uso e Consumo'!A808</f>
        <v>0335</v>
      </c>
      <c r="C808" s="34" t="str">
        <f aca="false">'Uso e Consumo'!B808</f>
        <v>UFV NORONHA VERDE - USO E CONSUMO</v>
      </c>
      <c r="D808" s="33" t="n">
        <f aca="false">'Uso e Consumo'!C808</f>
        <v>352400</v>
      </c>
      <c r="E808" s="34" t="str">
        <f aca="false">'Uso e Consumo'!D808</f>
        <v>24.41.0130</v>
      </c>
      <c r="F808" s="34" t="str">
        <f aca="false">'Uso e Consumo'!E808</f>
        <v>SOQUETE SEXTAVADO IMPACTO LONGO 1/2" 18MM</v>
      </c>
      <c r="G808" s="34" t="str">
        <f aca="false">'Uso e Consumo'!J808</f>
        <v>UN</v>
      </c>
      <c r="H808" s="49" t="n">
        <f aca="false">'Uso e Consumo'!F808</f>
        <v>15</v>
      </c>
      <c r="I808" s="35" t="n">
        <f aca="false">'Uso e Consumo'!G808</f>
        <v>1410</v>
      </c>
      <c r="J808" s="34" t="str">
        <f aca="false">'Uso e Consumo'!M808</f>
        <v>3.8.2.002 - Ferramentas manuais</v>
      </c>
      <c r="K808" s="32" t="str">
        <f aca="false">INDEX('Curva ABC'!$K$8:$K$2847,MATCH(D808,'Curva ABC'!$B$8:$B$2847,0))</f>
        <v>C</v>
      </c>
    </row>
    <row r="809" customFormat="false" ht="15" hidden="false" customHeight="false" outlineLevel="0" collapsed="false">
      <c r="A809" s="34" t="s">
        <v>5799</v>
      </c>
      <c r="B809" s="34" t="str">
        <f aca="false">'Uso e Consumo'!A809</f>
        <v>0335</v>
      </c>
      <c r="C809" s="34" t="str">
        <f aca="false">'Uso e Consumo'!B809</f>
        <v>UFV NORONHA VERDE - USO E CONSUMO</v>
      </c>
      <c r="D809" s="33" t="n">
        <f aca="false">'Uso e Consumo'!C809</f>
        <v>1464675</v>
      </c>
      <c r="E809" s="34" t="str">
        <f aca="false">'Uso e Consumo'!D809</f>
        <v>23.09.0042</v>
      </c>
      <c r="F809" s="34" t="str">
        <f aca="false">'Uso e Consumo'!E809</f>
        <v>GANCHO "J" Ø8MM PARA FIXAÇÃO DAS TELHAS C/ ARRUELAS METÁLICAS</v>
      </c>
      <c r="G809" s="34" t="str">
        <f aca="false">'Uso e Consumo'!J809</f>
        <v>UN</v>
      </c>
      <c r="H809" s="49" t="n">
        <f aca="false">'Uso e Consumo'!F809</f>
        <v>192</v>
      </c>
      <c r="I809" s="35" t="n">
        <f aca="false">'Uso e Consumo'!G809</f>
        <v>1408.58</v>
      </c>
      <c r="J809" s="34" t="str">
        <f aca="false">'Uso e Consumo'!M809</f>
        <v>3.8.1.022 - Elementos de fixação</v>
      </c>
      <c r="K809" s="32" t="str">
        <f aca="false">INDEX('Curva ABC'!$K$8:$K$2847,MATCH(D809,'Curva ABC'!$B$8:$B$2847,0))</f>
        <v>C</v>
      </c>
    </row>
    <row r="810" customFormat="false" ht="15" hidden="false" customHeight="false" outlineLevel="0" collapsed="false">
      <c r="A810" s="34" t="s">
        <v>5799</v>
      </c>
      <c r="B810" s="34" t="str">
        <f aca="false">'Uso e Consumo'!A810</f>
        <v>0335</v>
      </c>
      <c r="C810" s="34" t="str">
        <f aca="false">'Uso e Consumo'!B810</f>
        <v>UFV NORONHA VERDE - USO E CONSUMO</v>
      </c>
      <c r="D810" s="33" t="n">
        <f aca="false">'Uso e Consumo'!C810</f>
        <v>1312592</v>
      </c>
      <c r="E810" s="34" t="str">
        <f aca="false">'Uso e Consumo'!D810</f>
        <v>33.02.3120</v>
      </c>
      <c r="F810" s="34" t="str">
        <f aca="false">'Uso e Consumo'!E810</f>
        <v>VALVULA DE DESCOMPRESSÃO 1135-020-9400</v>
      </c>
      <c r="G810" s="34" t="str">
        <f aca="false">'Uso e Consumo'!J810</f>
        <v>UN</v>
      </c>
      <c r="H810" s="49" t="n">
        <f aca="false">'Uso e Consumo'!F810</f>
        <v>8</v>
      </c>
      <c r="I810" s="35" t="n">
        <f aca="false">'Uso e Consumo'!G810</f>
        <v>1402</v>
      </c>
      <c r="J810" s="34" t="str">
        <f aca="false">'Uso e Consumo'!M810</f>
        <v>3.1.6.002 - Pneus e peças</v>
      </c>
      <c r="K810" s="32" t="str">
        <f aca="false">INDEX('Curva ABC'!$K$8:$K$2847,MATCH(D810,'Curva ABC'!$B$8:$B$2847,0))</f>
        <v>C</v>
      </c>
    </row>
    <row r="811" customFormat="false" ht="15" hidden="false" customHeight="false" outlineLevel="0" collapsed="false">
      <c r="A811" s="34" t="s">
        <v>5799</v>
      </c>
      <c r="B811" s="34" t="str">
        <f aca="false">'Uso e Consumo'!A811</f>
        <v>0335</v>
      </c>
      <c r="C811" s="34" t="str">
        <f aca="false">'Uso e Consumo'!B811</f>
        <v>UFV NORONHA VERDE - USO E CONSUMO</v>
      </c>
      <c r="D811" s="33" t="n">
        <f aca="false">'Uso e Consumo'!C811</f>
        <v>840009</v>
      </c>
      <c r="E811" s="34" t="str">
        <f aca="false">'Uso e Consumo'!D811</f>
        <v>18.03.0185</v>
      </c>
      <c r="F811" s="34" t="str">
        <f aca="false">'Uso e Consumo'!E811</f>
        <v>TÊ DE REDUÇÃO SOLDÁVEL 50X25MM, PVC MARROM, ÁGUA FRIA - TIGRE</v>
      </c>
      <c r="G811" s="34" t="str">
        <f aca="false">'Uso e Consumo'!J811</f>
        <v>UN</v>
      </c>
      <c r="H811" s="49" t="n">
        <f aca="false">'Uso e Consumo'!F811</f>
        <v>111</v>
      </c>
      <c r="I811" s="35" t="n">
        <f aca="false">'Uso e Consumo'!G811</f>
        <v>1400.7</v>
      </c>
      <c r="J811" s="34" t="str">
        <f aca="false">'Uso e Consumo'!M811</f>
        <v>3.8.1.018 - Instalações hidráulicas/sanitárias/industriais</v>
      </c>
      <c r="K811" s="32" t="str">
        <f aca="false">INDEX('Curva ABC'!$K$8:$K$2847,MATCH(D811,'Curva ABC'!$B$8:$B$2847,0))</f>
        <v>C</v>
      </c>
    </row>
    <row r="812" customFormat="false" ht="15" hidden="false" customHeight="false" outlineLevel="0" collapsed="false">
      <c r="A812" s="34" t="s">
        <v>5799</v>
      </c>
      <c r="B812" s="34" t="str">
        <f aca="false">'Uso e Consumo'!A812</f>
        <v>0335</v>
      </c>
      <c r="C812" s="34" t="str">
        <f aca="false">'Uso e Consumo'!B812</f>
        <v>UFV NORONHA VERDE - USO E CONSUMO</v>
      </c>
      <c r="D812" s="33" t="n">
        <f aca="false">'Uso e Consumo'!C812</f>
        <v>17891</v>
      </c>
      <c r="E812" s="34" t="str">
        <f aca="false">'Uso e Consumo'!D812</f>
        <v>24.07.0008</v>
      </c>
      <c r="F812" s="34" t="str">
        <f aca="false">'Uso e Consumo'!E812</f>
        <v>TRENA LONGA 50,00M CAIXA FECHADA PLASTICA FITA AÇO TEMPERADO</v>
      </c>
      <c r="G812" s="34" t="str">
        <f aca="false">'Uso e Consumo'!J812</f>
        <v>UN</v>
      </c>
      <c r="H812" s="49" t="n">
        <f aca="false">'Uso e Consumo'!F812</f>
        <v>5</v>
      </c>
      <c r="I812" s="35" t="n">
        <f aca="false">'Uso e Consumo'!G812</f>
        <v>1400</v>
      </c>
      <c r="J812" s="34" t="str">
        <f aca="false">'Uso e Consumo'!M812</f>
        <v>3.8.2.001 - Ferramentas medição/aferição</v>
      </c>
      <c r="K812" s="32" t="str">
        <f aca="false">INDEX('Curva ABC'!$K$8:$K$2847,MATCH(D812,'Curva ABC'!$B$8:$B$2847,0))</f>
        <v>C</v>
      </c>
    </row>
    <row r="813" customFormat="false" ht="15" hidden="false" customHeight="false" outlineLevel="0" collapsed="false">
      <c r="A813" s="34" t="s">
        <v>5799</v>
      </c>
      <c r="B813" s="34" t="str">
        <f aca="false">'Uso e Consumo'!A813</f>
        <v>0335</v>
      </c>
      <c r="C813" s="34" t="str">
        <f aca="false">'Uso e Consumo'!B813</f>
        <v>UFV NORONHA VERDE - USO E CONSUMO</v>
      </c>
      <c r="D813" s="33" t="n">
        <f aca="false">'Uso e Consumo'!C813</f>
        <v>21270</v>
      </c>
      <c r="E813" s="34" t="str">
        <f aca="false">'Uso e Consumo'!D813</f>
        <v>17.08.0063</v>
      </c>
      <c r="F813" s="34" t="str">
        <f aca="false">'Uso e Consumo'!E813</f>
        <v>QUADRO EMBUTIDO COM BARRAMENTO 28 MODULOS</v>
      </c>
      <c r="G813" s="34" t="str">
        <f aca="false">'Uso e Consumo'!J813</f>
        <v>UN</v>
      </c>
      <c r="H813" s="49" t="n">
        <f aca="false">'Uso e Consumo'!F813</f>
        <v>1</v>
      </c>
      <c r="I813" s="35" t="n">
        <f aca="false">'Uso e Consumo'!G813</f>
        <v>1398</v>
      </c>
      <c r="J813" s="34" t="str">
        <f aca="false">'Uso e Consumo'!M813</f>
        <v>3.8.1.017 - Instalações elétricas/telefônicas/lógica</v>
      </c>
      <c r="K813" s="32" t="str">
        <f aca="false">INDEX('Curva ABC'!$K$8:$K$2847,MATCH(D813,'Curva ABC'!$B$8:$B$2847,0))</f>
        <v>C</v>
      </c>
    </row>
    <row r="814" customFormat="false" ht="15" hidden="false" customHeight="false" outlineLevel="0" collapsed="false">
      <c r="A814" s="34" t="s">
        <v>5799</v>
      </c>
      <c r="B814" s="34" t="str">
        <f aca="false">'Uso e Consumo'!A814</f>
        <v>0335</v>
      </c>
      <c r="C814" s="34" t="str">
        <f aca="false">'Uso e Consumo'!B814</f>
        <v>UFV NORONHA VERDE - USO E CONSUMO</v>
      </c>
      <c r="D814" s="33" t="n">
        <f aca="false">'Uso e Consumo'!C814</f>
        <v>31915</v>
      </c>
      <c r="E814" s="34" t="str">
        <f aca="false">'Uso e Consumo'!D814</f>
        <v>33.02.0342</v>
      </c>
      <c r="F814" s="34" t="str">
        <f aca="false">'Uso e Consumo'!E814</f>
        <v>LONA</v>
      </c>
      <c r="G814" s="34" t="str">
        <f aca="false">'Uso e Consumo'!J814</f>
        <v>UN</v>
      </c>
      <c r="H814" s="49" t="n">
        <f aca="false">'Uso e Consumo'!F814</f>
        <v>1</v>
      </c>
      <c r="I814" s="35" t="n">
        <f aca="false">'Uso e Consumo'!G814</f>
        <v>1398</v>
      </c>
      <c r="J814" s="34" t="str">
        <f aca="false">'Uso e Consumo'!M814</f>
        <v>3.1.6.002 - Pneus e peças</v>
      </c>
      <c r="K814" s="32" t="str">
        <f aca="false">INDEX('Curva ABC'!$K$8:$K$2847,MATCH(D814,'Curva ABC'!$B$8:$B$2847,0))</f>
        <v>C</v>
      </c>
    </row>
    <row r="815" customFormat="false" ht="15" hidden="false" customHeight="false" outlineLevel="0" collapsed="false">
      <c r="A815" s="34" t="s">
        <v>5799</v>
      </c>
      <c r="B815" s="34" t="str">
        <f aca="false">'Uso e Consumo'!A815</f>
        <v>0335</v>
      </c>
      <c r="C815" s="34" t="str">
        <f aca="false">'Uso e Consumo'!B815</f>
        <v>UFV NORONHA VERDE - USO E CONSUMO</v>
      </c>
      <c r="D815" s="33" t="n">
        <f aca="false">'Uso e Consumo'!C815</f>
        <v>860924</v>
      </c>
      <c r="E815" s="34" t="str">
        <f aca="false">'Uso e Consumo'!D815</f>
        <v>17.02.0714</v>
      </c>
      <c r="F815" s="34" t="str">
        <f aca="false">'Uso e Consumo'!E815</f>
        <v>FITA DE ARQUEAR PET 16MM</v>
      </c>
      <c r="G815" s="34" t="str">
        <f aca="false">'Uso e Consumo'!J815</f>
        <v>UN</v>
      </c>
      <c r="H815" s="49" t="n">
        <f aca="false">'Uso e Consumo'!F815</f>
        <v>4</v>
      </c>
      <c r="I815" s="35" t="n">
        <f aca="false">'Uso e Consumo'!G815</f>
        <v>1396</v>
      </c>
      <c r="J815" s="34" t="str">
        <f aca="false">'Uso e Consumo'!M815</f>
        <v>3.8.1.017 - Instalações elétricas/telefônicas/lógica</v>
      </c>
      <c r="K815" s="32" t="str">
        <f aca="false">INDEX('Curva ABC'!$K$8:$K$2847,MATCH(D815,'Curva ABC'!$B$8:$B$2847,0))</f>
        <v>C</v>
      </c>
    </row>
    <row r="816" customFormat="false" ht="15" hidden="false" customHeight="false" outlineLevel="0" collapsed="false">
      <c r="A816" s="34" t="s">
        <v>5799</v>
      </c>
      <c r="B816" s="34" t="str">
        <f aca="false">'Uso e Consumo'!A816</f>
        <v>0335</v>
      </c>
      <c r="C816" s="34" t="str">
        <f aca="false">'Uso e Consumo'!B816</f>
        <v>UFV NORONHA VERDE - USO E CONSUMO</v>
      </c>
      <c r="D816" s="33" t="n">
        <f aca="false">'Uso e Consumo'!C816</f>
        <v>1069242</v>
      </c>
      <c r="E816" s="34" t="str">
        <f aca="false">'Uso e Consumo'!D816</f>
        <v>24.15.0047</v>
      </c>
      <c r="F816" s="34" t="str">
        <f aca="false">'Uso e Consumo'!E816</f>
        <v>MARTELO UNHA 27MM</v>
      </c>
      <c r="G816" s="34" t="str">
        <f aca="false">'Uso e Consumo'!J816</f>
        <v>UN</v>
      </c>
      <c r="H816" s="49" t="n">
        <f aca="false">'Uso e Consumo'!F816</f>
        <v>30</v>
      </c>
      <c r="I816" s="35" t="n">
        <f aca="false">'Uso e Consumo'!G816</f>
        <v>1396</v>
      </c>
      <c r="J816" s="34" t="str">
        <f aca="false">'Uso e Consumo'!M816</f>
        <v>3.8.2.002 - Ferramentas manuais</v>
      </c>
      <c r="K816" s="32" t="str">
        <f aca="false">INDEX('Curva ABC'!$K$8:$K$2847,MATCH(D816,'Curva ABC'!$B$8:$B$2847,0))</f>
        <v>C</v>
      </c>
    </row>
    <row r="817" customFormat="false" ht="15" hidden="false" customHeight="false" outlineLevel="0" collapsed="false">
      <c r="A817" s="34" t="s">
        <v>5799</v>
      </c>
      <c r="B817" s="34" t="str">
        <f aca="false">'Uso e Consumo'!A817</f>
        <v>0335</v>
      </c>
      <c r="C817" s="34" t="str">
        <f aca="false">'Uso e Consumo'!B817</f>
        <v>UFV NORONHA VERDE - USO E CONSUMO</v>
      </c>
      <c r="D817" s="33" t="n">
        <f aca="false">'Uso e Consumo'!C817</f>
        <v>957740</v>
      </c>
      <c r="E817" s="34" t="str">
        <f aca="false">'Uso e Consumo'!D817</f>
        <v>26.04.0138</v>
      </c>
      <c r="F817" s="34" t="str">
        <f aca="false">'Uso e Consumo'!E817</f>
        <v>POLIA DE ALUMÍNIO DUPLA 10 A 16MM DUPLA MG - 2028A</v>
      </c>
      <c r="G817" s="34" t="str">
        <f aca="false">'Uso e Consumo'!J817</f>
        <v>UN</v>
      </c>
      <c r="H817" s="49" t="n">
        <f aca="false">'Uso e Consumo'!F817</f>
        <v>4</v>
      </c>
      <c r="I817" s="35" t="n">
        <f aca="false">'Uso e Consumo'!G817</f>
        <v>1394.03</v>
      </c>
      <c r="J817" s="34" t="str">
        <f aca="false">'Uso e Consumo'!M817</f>
        <v>4.3.4.001 - Equipamento de proteção individual</v>
      </c>
      <c r="K817" s="32" t="str">
        <f aca="false">INDEX('Curva ABC'!$K$8:$K$2847,MATCH(D817,'Curva ABC'!$B$8:$B$2847,0))</f>
        <v>B</v>
      </c>
    </row>
    <row r="818" customFormat="false" ht="15" hidden="false" customHeight="false" outlineLevel="0" collapsed="false">
      <c r="A818" s="34" t="s">
        <v>5799</v>
      </c>
      <c r="B818" s="34" t="str">
        <f aca="false">'Uso e Consumo'!A818</f>
        <v>0335</v>
      </c>
      <c r="C818" s="34" t="str">
        <f aca="false">'Uso e Consumo'!B818</f>
        <v>UFV NORONHA VERDE - USO E CONSUMO</v>
      </c>
      <c r="D818" s="33" t="n">
        <f aca="false">'Uso e Consumo'!C818</f>
        <v>12538</v>
      </c>
      <c r="E818" s="34" t="str">
        <f aca="false">'Uso e Consumo'!D818</f>
        <v>17.02.0038</v>
      </c>
      <c r="F818" s="34" t="str">
        <f aca="false">'Uso e Consumo'!E818</f>
        <v>ELETRODUTO METÁLICO FLEXÍVEL TIPO SEALTUBO 1.1/2"</v>
      </c>
      <c r="G818" s="34" t="str">
        <f aca="false">'Uso e Consumo'!J818</f>
        <v>M</v>
      </c>
      <c r="H818" s="49" t="n">
        <f aca="false">'Uso e Consumo'!F818</f>
        <v>62</v>
      </c>
      <c r="I818" s="35" t="n">
        <f aca="false">'Uso e Consumo'!G818</f>
        <v>1393.1582</v>
      </c>
      <c r="J818" s="34" t="str">
        <f aca="false">'Uso e Consumo'!M818</f>
        <v>3.8.1.017 - Instalações elétricas/telefônicas/lógica</v>
      </c>
      <c r="K818" s="32" t="str">
        <f aca="false">INDEX('Curva ABC'!$K$8:$K$2847,MATCH(D818,'Curva ABC'!$B$8:$B$2847,0))</f>
        <v>C</v>
      </c>
    </row>
    <row r="819" customFormat="false" ht="15" hidden="false" customHeight="false" outlineLevel="0" collapsed="false">
      <c r="A819" s="34" t="s">
        <v>5799</v>
      </c>
      <c r="B819" s="34" t="str">
        <f aca="false">'Uso e Consumo'!A819</f>
        <v>0335</v>
      </c>
      <c r="C819" s="34" t="str">
        <f aca="false">'Uso e Consumo'!B819</f>
        <v>UFV NORONHA VERDE - USO E CONSUMO</v>
      </c>
      <c r="D819" s="33" t="n">
        <f aca="false">'Uso e Consumo'!C819</f>
        <v>1605941</v>
      </c>
      <c r="E819" s="34" t="str">
        <f aca="false">'Uso e Consumo'!D819</f>
        <v>17.22.0151</v>
      </c>
      <c r="F819" s="34" t="str">
        <f aca="false">'Uso e Consumo'!E819</f>
        <v>CINTA POSTE CIRCULAR 280</v>
      </c>
      <c r="G819" s="34" t="str">
        <f aca="false">'Uso e Consumo'!J819</f>
        <v>UN</v>
      </c>
      <c r="H819" s="49" t="n">
        <f aca="false">'Uso e Consumo'!F819</f>
        <v>16</v>
      </c>
      <c r="I819" s="35" t="n">
        <f aca="false">'Uso e Consumo'!G819</f>
        <v>1392.48</v>
      </c>
      <c r="J819" s="34" t="str">
        <f aca="false">'Uso e Consumo'!M819</f>
        <v>3.8.1.017 - Instalações elétricas/telefônicas/lógica</v>
      </c>
      <c r="K819" s="32" t="str">
        <f aca="false">INDEX('Curva ABC'!$K$8:$K$2847,MATCH(D819,'Curva ABC'!$B$8:$B$2847,0))</f>
        <v>C</v>
      </c>
    </row>
    <row r="820" customFormat="false" ht="15" hidden="false" customHeight="false" outlineLevel="0" collapsed="false">
      <c r="A820" s="34" t="s">
        <v>5799</v>
      </c>
      <c r="B820" s="34" t="str">
        <f aca="false">'Uso e Consumo'!A820</f>
        <v>0335</v>
      </c>
      <c r="C820" s="34" t="str">
        <f aca="false">'Uso e Consumo'!B820</f>
        <v>UFV NORONHA VERDE - USO E CONSUMO</v>
      </c>
      <c r="D820" s="33" t="n">
        <f aca="false">'Uso e Consumo'!C820</f>
        <v>1474967</v>
      </c>
      <c r="E820" s="34" t="str">
        <f aca="false">'Uso e Consumo'!D820</f>
        <v>17.20.0714</v>
      </c>
      <c r="F820" s="34" t="str">
        <f aca="false">'Uso e Consumo'!E820</f>
        <v>MOLDE SOLDA EXOTÉRMICA TIPO CDH 50MM² DERIVAÇÃO T 90°</v>
      </c>
      <c r="G820" s="34" t="str">
        <f aca="false">'Uso e Consumo'!J820</f>
        <v>UN</v>
      </c>
      <c r="H820" s="49" t="n">
        <f aca="false">'Uso e Consumo'!F820</f>
        <v>9</v>
      </c>
      <c r="I820" s="35" t="n">
        <f aca="false">'Uso e Consumo'!G820</f>
        <v>1391.76</v>
      </c>
      <c r="J820" s="34" t="str">
        <f aca="false">'Uso e Consumo'!M820</f>
        <v>3.8.1.017 - Instalações elétricas/telefônicas/lógica</v>
      </c>
      <c r="K820" s="32" t="str">
        <f aca="false">INDEX('Curva ABC'!$K$8:$K$2847,MATCH(D820,'Curva ABC'!$B$8:$B$2847,0))</f>
        <v>C</v>
      </c>
    </row>
    <row r="821" customFormat="false" ht="15" hidden="false" customHeight="false" outlineLevel="0" collapsed="false">
      <c r="A821" s="34" t="s">
        <v>5799</v>
      </c>
      <c r="B821" s="34" t="str">
        <f aca="false">'Uso e Consumo'!A821</f>
        <v>0335</v>
      </c>
      <c r="C821" s="34" t="str">
        <f aca="false">'Uso e Consumo'!B821</f>
        <v>UFV NORONHA VERDE - USO E CONSUMO</v>
      </c>
      <c r="D821" s="33" t="n">
        <f aca="false">'Uso e Consumo'!C821</f>
        <v>22929</v>
      </c>
      <c r="E821" s="34" t="str">
        <f aca="false">'Uso e Consumo'!D821</f>
        <v>23.07.0722</v>
      </c>
      <c r="F821" s="34" t="str">
        <f aca="false">'Uso e Consumo'!E821</f>
        <v>PARAFUSO SEXTAVADO M10 X 30</v>
      </c>
      <c r="G821" s="34" t="str">
        <f aca="false">'Uso e Consumo'!J821</f>
        <v>UN</v>
      </c>
      <c r="H821" s="49" t="n">
        <f aca="false">'Uso e Consumo'!F821</f>
        <v>1046</v>
      </c>
      <c r="I821" s="35" t="n">
        <f aca="false">'Uso e Consumo'!G821</f>
        <v>1382.88</v>
      </c>
      <c r="J821" s="34" t="str">
        <f aca="false">'Uso e Consumo'!M821</f>
        <v>3.8.1.022 - Elementos de fixação</v>
      </c>
      <c r="K821" s="32" t="str">
        <f aca="false">INDEX('Curva ABC'!$K$8:$K$2847,MATCH(D821,'Curva ABC'!$B$8:$B$2847,0))</f>
        <v>C</v>
      </c>
    </row>
    <row r="822" customFormat="false" ht="15" hidden="false" customHeight="false" outlineLevel="0" collapsed="false">
      <c r="A822" s="34" t="s">
        <v>5799</v>
      </c>
      <c r="B822" s="34" t="str">
        <f aca="false">'Uso e Consumo'!A822</f>
        <v>0335</v>
      </c>
      <c r="C822" s="34" t="str">
        <f aca="false">'Uso e Consumo'!B822</f>
        <v>UFV NORONHA VERDE - USO E CONSUMO</v>
      </c>
      <c r="D822" s="33" t="n">
        <f aca="false">'Uso e Consumo'!C822</f>
        <v>727563</v>
      </c>
      <c r="E822" s="34" t="str">
        <f aca="false">'Uso e Consumo'!D822</f>
        <v>26.06.0107</v>
      </c>
      <c r="F822" s="34" t="str">
        <f aca="false">'Uso e Consumo'!E822</f>
        <v>LUVA ANTI CORTE - G</v>
      </c>
      <c r="G822" s="34" t="str">
        <f aca="false">'Uso e Consumo'!J822</f>
        <v>UN</v>
      </c>
      <c r="H822" s="49" t="n">
        <f aca="false">'Uso e Consumo'!F822</f>
        <v>110</v>
      </c>
      <c r="I822" s="35" t="n">
        <f aca="false">'Uso e Consumo'!G822</f>
        <v>1378.4</v>
      </c>
      <c r="J822" s="34" t="str">
        <f aca="false">'Uso e Consumo'!M822</f>
        <v>4.3.4.001 - Equipamento de proteção individual</v>
      </c>
      <c r="K822" s="32" t="str">
        <f aca="false">INDEX('Curva ABC'!$K$8:$K$2847,MATCH(D822,'Curva ABC'!$B$8:$B$2847,0))</f>
        <v>C</v>
      </c>
    </row>
    <row r="823" customFormat="false" ht="15" hidden="false" customHeight="false" outlineLevel="0" collapsed="false">
      <c r="A823" s="34" t="s">
        <v>5799</v>
      </c>
      <c r="B823" s="34" t="str">
        <f aca="false">'Uso e Consumo'!A823</f>
        <v>0335</v>
      </c>
      <c r="C823" s="34" t="str">
        <f aca="false">'Uso e Consumo'!B823</f>
        <v>UFV NORONHA VERDE - USO E CONSUMO</v>
      </c>
      <c r="D823" s="33" t="n">
        <f aca="false">'Uso e Consumo'!C823</f>
        <v>12695</v>
      </c>
      <c r="E823" s="34" t="str">
        <f aca="false">'Uso e Consumo'!D823</f>
        <v>17.02.0195</v>
      </c>
      <c r="F823" s="34" t="str">
        <f aca="false">'Uso e Consumo'!E823</f>
        <v>TAMPÃO/TERMINAL P/ELETRODUTO PEAD 125,00MM (5") NBR 15715</v>
      </c>
      <c r="G823" s="34" t="str">
        <f aca="false">'Uso e Consumo'!J823</f>
        <v>UN</v>
      </c>
      <c r="H823" s="49" t="n">
        <f aca="false">'Uso e Consumo'!F823</f>
        <v>50</v>
      </c>
      <c r="I823" s="35" t="n">
        <f aca="false">'Uso e Consumo'!G823</f>
        <v>1371</v>
      </c>
      <c r="J823" s="34" t="str">
        <f aca="false">'Uso e Consumo'!M823</f>
        <v>3.8.1.017 - Instalações elétricas/telefônicas/lógica</v>
      </c>
      <c r="K823" s="32" t="str">
        <f aca="false">INDEX('Curva ABC'!$K$8:$K$2847,MATCH(D823,'Curva ABC'!$B$8:$B$2847,0))</f>
        <v>C</v>
      </c>
    </row>
    <row r="824" customFormat="false" ht="15" hidden="false" customHeight="false" outlineLevel="0" collapsed="false">
      <c r="A824" s="34" t="s">
        <v>5799</v>
      </c>
      <c r="B824" s="34" t="str">
        <f aca="false">'Uso e Consumo'!A824</f>
        <v>0335</v>
      </c>
      <c r="C824" s="34" t="str">
        <f aca="false">'Uso e Consumo'!B824</f>
        <v>UFV NORONHA VERDE - USO E CONSUMO</v>
      </c>
      <c r="D824" s="33" t="n">
        <f aca="false">'Uso e Consumo'!C824</f>
        <v>1102200</v>
      </c>
      <c r="E824" s="34" t="str">
        <f aca="false">'Uso e Consumo'!D824</f>
        <v>17.01.1150</v>
      </c>
      <c r="F824" s="34" t="str">
        <f aca="false">'Uso e Consumo'!E824</f>
        <v>CABO ELETRICO FLEXIVEL 0,6/1KV 1 X 10,00MM2 COBRE PVC CLASSE 5 AZUL NBR 7288</v>
      </c>
      <c r="G824" s="34" t="str">
        <f aca="false">'Uso e Consumo'!J824</f>
        <v>M</v>
      </c>
      <c r="H824" s="49" t="n">
        <f aca="false">'Uso e Consumo'!F824</f>
        <v>100</v>
      </c>
      <c r="I824" s="35" t="n">
        <f aca="false">'Uso e Consumo'!G824</f>
        <v>1368</v>
      </c>
      <c r="J824" s="34" t="str">
        <f aca="false">'Uso e Consumo'!M824</f>
        <v>3.8.1.017 - Instalações elétricas/telefônicas/lógica</v>
      </c>
      <c r="K824" s="32" t="str">
        <f aca="false">INDEX('Curva ABC'!$K$8:$K$2847,MATCH(D824,'Curva ABC'!$B$8:$B$2847,0))</f>
        <v>C</v>
      </c>
    </row>
    <row r="825" customFormat="false" ht="15" hidden="false" customHeight="false" outlineLevel="0" collapsed="false">
      <c r="A825" s="34" t="s">
        <v>5799</v>
      </c>
      <c r="B825" s="34" t="str">
        <f aca="false">'Uso e Consumo'!A825</f>
        <v>0335</v>
      </c>
      <c r="C825" s="34" t="str">
        <f aca="false">'Uso e Consumo'!B825</f>
        <v>UFV NORONHA VERDE - USO E CONSUMO</v>
      </c>
      <c r="D825" s="33" t="n">
        <f aca="false">'Uso e Consumo'!C825</f>
        <v>1613484</v>
      </c>
      <c r="E825" s="34" t="str">
        <f aca="false">'Uso e Consumo'!D825</f>
        <v>17.10.0437</v>
      </c>
      <c r="F825" s="34" t="str">
        <f aca="false">'Uso e Consumo'!E825</f>
        <v>INTERRUPTOR DIFERENCIAL RESIDUAL BIPOLAR, CORRENTE NOMINAL DE 63A, CORRENTE DIFERENCIAL RESIDUAL DE 30MA</v>
      </c>
      <c r="G825" s="34" t="str">
        <f aca="false">'Uso e Consumo'!J825</f>
        <v>UN</v>
      </c>
      <c r="H825" s="49" t="n">
        <f aca="false">'Uso e Consumo'!F825</f>
        <v>9</v>
      </c>
      <c r="I825" s="35" t="n">
        <f aca="false">'Uso e Consumo'!G825</f>
        <v>1366.2</v>
      </c>
      <c r="J825" s="34" t="str">
        <f aca="false">'Uso e Consumo'!M825</f>
        <v>3.8.1.017 - Instalações elétricas/telefônicas/lógica</v>
      </c>
      <c r="K825" s="32" t="str">
        <f aca="false">INDEX('Curva ABC'!$K$8:$K$2847,MATCH(D825,'Curva ABC'!$B$8:$B$2847,0))</f>
        <v>C</v>
      </c>
    </row>
    <row r="826" customFormat="false" ht="15" hidden="false" customHeight="false" outlineLevel="0" collapsed="false">
      <c r="A826" s="34" t="s">
        <v>5799</v>
      </c>
      <c r="B826" s="34" t="str">
        <f aca="false">'Uso e Consumo'!A826</f>
        <v>0335</v>
      </c>
      <c r="C826" s="34" t="str">
        <f aca="false">'Uso e Consumo'!B826</f>
        <v>UFV NORONHA VERDE - USO E CONSUMO</v>
      </c>
      <c r="D826" s="33" t="n">
        <f aca="false">'Uso e Consumo'!C826</f>
        <v>1386771</v>
      </c>
      <c r="E826" s="34" t="str">
        <f aca="false">'Uso e Consumo'!D826</f>
        <v>17.22.0133</v>
      </c>
      <c r="F826" s="34" t="str">
        <f aca="false">'Uso e Consumo'!E826</f>
        <v>CINTA POSTE CIRCULAR Ø200 5000DAN</v>
      </c>
      <c r="G826" s="34" t="str">
        <f aca="false">'Uso e Consumo'!J826</f>
        <v>UN</v>
      </c>
      <c r="H826" s="49" t="n">
        <f aca="false">'Uso e Consumo'!F826</f>
        <v>20</v>
      </c>
      <c r="I826" s="35" t="n">
        <f aca="false">'Uso e Consumo'!G826</f>
        <v>1363.8</v>
      </c>
      <c r="J826" s="34" t="str">
        <f aca="false">'Uso e Consumo'!M826</f>
        <v>3.8.1.022 - Elementos de fixação</v>
      </c>
      <c r="K826" s="32" t="str">
        <f aca="false">INDEX('Curva ABC'!$K$8:$K$2847,MATCH(D826,'Curva ABC'!$B$8:$B$2847,0))</f>
        <v>C</v>
      </c>
    </row>
    <row r="827" customFormat="false" ht="15" hidden="false" customHeight="false" outlineLevel="0" collapsed="false">
      <c r="A827" s="34" t="s">
        <v>5799</v>
      </c>
      <c r="B827" s="34" t="str">
        <f aca="false">'Uso e Consumo'!A827</f>
        <v>0335</v>
      </c>
      <c r="C827" s="34" t="str">
        <f aca="false">'Uso e Consumo'!B827</f>
        <v>UFV NORONHA VERDE - USO E CONSUMO</v>
      </c>
      <c r="D827" s="33" t="n">
        <f aca="false">'Uso e Consumo'!C827</f>
        <v>1259168</v>
      </c>
      <c r="E827" s="34" t="str">
        <f aca="false">'Uso e Consumo'!D827</f>
        <v>33.02.3099</v>
      </c>
      <c r="F827" s="34" t="str">
        <f aca="false">'Uso e Consumo'!E827</f>
        <v>CINTO DE PORTA FERRAMENTAS</v>
      </c>
      <c r="G827" s="34" t="str">
        <f aca="false">'Uso e Consumo'!J827</f>
        <v>UN</v>
      </c>
      <c r="H827" s="49" t="n">
        <f aca="false">'Uso e Consumo'!F827</f>
        <v>6</v>
      </c>
      <c r="I827" s="35" t="n">
        <f aca="false">'Uso e Consumo'!G827</f>
        <v>1361.4</v>
      </c>
      <c r="J827" s="34" t="str">
        <f aca="false">'Uso e Consumo'!M827</f>
        <v>3.8.2.002 - Ferramentas manuais</v>
      </c>
      <c r="K827" s="32" t="str">
        <f aca="false">INDEX('Curva ABC'!$K$8:$K$2847,MATCH(D827,'Curva ABC'!$B$8:$B$2847,0))</f>
        <v>C</v>
      </c>
    </row>
    <row r="828" customFormat="false" ht="15" hidden="false" customHeight="false" outlineLevel="0" collapsed="false">
      <c r="A828" s="34" t="s">
        <v>5799</v>
      </c>
      <c r="B828" s="34" t="str">
        <f aca="false">'Uso e Consumo'!A828</f>
        <v>0335</v>
      </c>
      <c r="C828" s="34" t="str">
        <f aca="false">'Uso e Consumo'!B828</f>
        <v>UFV NORONHA VERDE - USO E CONSUMO</v>
      </c>
      <c r="D828" s="33" t="n">
        <f aca="false">'Uso e Consumo'!C828</f>
        <v>962166</v>
      </c>
      <c r="E828" s="34" t="str">
        <f aca="false">'Uso e Consumo'!D828</f>
        <v>24.35.0015</v>
      </c>
      <c r="F828" s="34" t="str">
        <f aca="false">'Uso e Consumo'!E828</f>
        <v>ENXADA 1.0 EM AÇO CABO DE MADEIRA OLHO OVAL C/ CABO</v>
      </c>
      <c r="G828" s="34" t="str">
        <f aca="false">'Uso e Consumo'!J828</f>
        <v>UN</v>
      </c>
      <c r="H828" s="49" t="n">
        <f aca="false">'Uso e Consumo'!F828</f>
        <v>20</v>
      </c>
      <c r="I828" s="35" t="n">
        <f aca="false">'Uso e Consumo'!G828</f>
        <v>1360</v>
      </c>
      <c r="J828" s="34" t="str">
        <f aca="false">'Uso e Consumo'!M828</f>
        <v>3.8.2.002 - Ferramentas manuais</v>
      </c>
      <c r="K828" s="32" t="str">
        <f aca="false">INDEX('Curva ABC'!$K$8:$K$2847,MATCH(D828,'Curva ABC'!$B$8:$B$2847,0))</f>
        <v>C</v>
      </c>
    </row>
    <row r="829" customFormat="false" ht="15" hidden="false" customHeight="false" outlineLevel="0" collapsed="false">
      <c r="A829" s="34" t="s">
        <v>5799</v>
      </c>
      <c r="B829" s="34" t="str">
        <f aca="false">'Uso e Consumo'!A829</f>
        <v>0335</v>
      </c>
      <c r="C829" s="34" t="str">
        <f aca="false">'Uso e Consumo'!B829</f>
        <v>UFV NORONHA VERDE - USO E CONSUMO</v>
      </c>
      <c r="D829" s="33" t="n">
        <f aca="false">'Uso e Consumo'!C829</f>
        <v>964895</v>
      </c>
      <c r="E829" s="34" t="str">
        <f aca="false">'Uso e Consumo'!D829</f>
        <v>24.02.0011</v>
      </c>
      <c r="F829" s="34" t="str">
        <f aca="false">'Uso e Consumo'!E829</f>
        <v>DISCO TACÓGRAFO VDO 7 DIAS X 125 KM/H SEMANA</v>
      </c>
      <c r="G829" s="34" t="str">
        <f aca="false">'Uso e Consumo'!J829</f>
        <v>UN</v>
      </c>
      <c r="H829" s="49" t="n">
        <f aca="false">'Uso e Consumo'!F829</f>
        <v>20</v>
      </c>
      <c r="I829" s="35" t="n">
        <f aca="false">'Uso e Consumo'!G829</f>
        <v>1360</v>
      </c>
      <c r="J829" s="34" t="str">
        <f aca="false">'Uso e Consumo'!M829</f>
        <v>3.8.2.001 - Ferramentas medição/aferição</v>
      </c>
      <c r="K829" s="32" t="str">
        <f aca="false">INDEX('Curva ABC'!$K$8:$K$2847,MATCH(D829,'Curva ABC'!$B$8:$B$2847,0))</f>
        <v>C</v>
      </c>
    </row>
    <row r="830" customFormat="false" ht="15" hidden="false" customHeight="false" outlineLevel="0" collapsed="false">
      <c r="A830" s="34" t="s">
        <v>5799</v>
      </c>
      <c r="B830" s="34" t="str">
        <f aca="false">'Uso e Consumo'!A830</f>
        <v>0335</v>
      </c>
      <c r="C830" s="34" t="str">
        <f aca="false">'Uso e Consumo'!B830</f>
        <v>UFV NORONHA VERDE - USO E CONSUMO</v>
      </c>
      <c r="D830" s="33" t="n">
        <f aca="false">'Uso e Consumo'!C830</f>
        <v>19221</v>
      </c>
      <c r="E830" s="34" t="str">
        <f aca="false">'Uso e Consumo'!D830</f>
        <v>29.02.0007</v>
      </c>
      <c r="F830" s="34" t="str">
        <f aca="false">'Uso e Consumo'!E830</f>
        <v>CADEIRA PLÁSTICA S/BRAÇO</v>
      </c>
      <c r="G830" s="34" t="str">
        <f aca="false">'Uso e Consumo'!J830</f>
        <v>UN</v>
      </c>
      <c r="H830" s="49" t="n">
        <f aca="false">'Uso e Consumo'!F830</f>
        <v>35</v>
      </c>
      <c r="I830" s="35" t="n">
        <f aca="false">'Uso e Consumo'!G830</f>
        <v>1356.98</v>
      </c>
      <c r="J830" s="34" t="str">
        <f aca="false">'Uso e Consumo'!M830</f>
        <v>4.1.1.008 - Mobiliário e acessórios</v>
      </c>
      <c r="K830" s="32" t="str">
        <f aca="false">INDEX('Curva ABC'!$K$8:$K$2847,MATCH(D830,'Curva ABC'!$B$8:$B$2847,0))</f>
        <v>C</v>
      </c>
    </row>
    <row r="831" customFormat="false" ht="15" hidden="false" customHeight="false" outlineLevel="0" collapsed="false">
      <c r="A831" s="34" t="s">
        <v>5799</v>
      </c>
      <c r="B831" s="34" t="str">
        <f aca="false">'Uso e Consumo'!A831</f>
        <v>0335</v>
      </c>
      <c r="C831" s="34" t="str">
        <f aca="false">'Uso e Consumo'!B831</f>
        <v>UFV NORONHA VERDE - USO E CONSUMO</v>
      </c>
      <c r="D831" s="33" t="n">
        <f aca="false">'Uso e Consumo'!C831</f>
        <v>856177</v>
      </c>
      <c r="E831" s="34" t="str">
        <f aca="false">'Uso e Consumo'!D831</f>
        <v>24.09.0595</v>
      </c>
      <c r="F831" s="34" t="str">
        <f aca="false">'Uso e Consumo'!E831</f>
        <v>CHAVE INGLESA AJUSTÁVEL 15"x380mm</v>
      </c>
      <c r="G831" s="34" t="str">
        <f aca="false">'Uso e Consumo'!J831</f>
        <v>UN</v>
      </c>
      <c r="H831" s="49" t="n">
        <f aca="false">'Uso e Consumo'!F831</f>
        <v>6</v>
      </c>
      <c r="I831" s="35" t="n">
        <f aca="false">'Uso e Consumo'!G831</f>
        <v>1356</v>
      </c>
      <c r="J831" s="34" t="str">
        <f aca="false">'Uso e Consumo'!M831</f>
        <v>3.8.2.002 - Ferramentas manuais</v>
      </c>
      <c r="K831" s="32" t="str">
        <f aca="false">INDEX('Curva ABC'!$K$8:$K$2847,MATCH(D831,'Curva ABC'!$B$8:$B$2847,0))</f>
        <v>C</v>
      </c>
    </row>
    <row r="832" customFormat="false" ht="15" hidden="false" customHeight="false" outlineLevel="0" collapsed="false">
      <c r="A832" s="34" t="s">
        <v>5799</v>
      </c>
      <c r="B832" s="34" t="str">
        <f aca="false">'Uso e Consumo'!A832</f>
        <v>0335</v>
      </c>
      <c r="C832" s="34" t="str">
        <f aca="false">'Uso e Consumo'!B832</f>
        <v>UFV NORONHA VERDE - USO E CONSUMO</v>
      </c>
      <c r="D832" s="33" t="n">
        <f aca="false">'Uso e Consumo'!C832</f>
        <v>224913</v>
      </c>
      <c r="E832" s="34" t="str">
        <f aca="false">'Uso e Consumo'!D832</f>
        <v>26.06.0076</v>
      </c>
      <c r="F832" s="34" t="str">
        <f aca="false">'Uso e Consumo'!E832</f>
        <v>LUVA DE VAQUETA TECMATER PARA MOTOSSERRISTA – TAMANHO 9</v>
      </c>
      <c r="G832" s="34" t="str">
        <f aca="false">'Uso e Consumo'!J832</f>
        <v>PAR</v>
      </c>
      <c r="H832" s="49" t="n">
        <f aca="false">'Uso e Consumo'!F832</f>
        <v>26</v>
      </c>
      <c r="I832" s="35" t="n">
        <f aca="false">'Uso e Consumo'!G832</f>
        <v>1350.92</v>
      </c>
      <c r="J832" s="34" t="str">
        <f aca="false">'Uso e Consumo'!M832</f>
        <v>4.3.4.001 - Equipamento de proteção individual</v>
      </c>
      <c r="K832" s="32" t="str">
        <f aca="false">INDEX('Curva ABC'!$K$8:$K$2847,MATCH(D832,'Curva ABC'!$B$8:$B$2847,0))</f>
        <v>C</v>
      </c>
    </row>
    <row r="833" customFormat="false" ht="15" hidden="false" customHeight="false" outlineLevel="0" collapsed="false">
      <c r="A833" s="34" t="s">
        <v>5799</v>
      </c>
      <c r="B833" s="34" t="str">
        <f aca="false">'Uso e Consumo'!A833</f>
        <v>0335</v>
      </c>
      <c r="C833" s="34" t="str">
        <f aca="false">'Uso e Consumo'!B833</f>
        <v>UFV NORONHA VERDE - USO E CONSUMO</v>
      </c>
      <c r="D833" s="33" t="n">
        <f aca="false">'Uso e Consumo'!C833</f>
        <v>32636</v>
      </c>
      <c r="E833" s="34" t="str">
        <f aca="false">'Uso e Consumo'!D833</f>
        <v>18.01.0104</v>
      </c>
      <c r="F833" s="34" t="str">
        <f aca="false">'Uso e Consumo'!E833</f>
        <v>TUBO PEAD CORRUGADO PERFURADO P/ DRENAGEM 150,00MM (6") X 50,00M NBR 15073</v>
      </c>
      <c r="G833" s="34" t="str">
        <f aca="false">'Uso e Consumo'!J833</f>
        <v>PÇ50</v>
      </c>
      <c r="H833" s="49" t="n">
        <f aca="false">'Uso e Consumo'!F833</f>
        <v>0.9</v>
      </c>
      <c r="I833" s="35" t="n">
        <f aca="false">'Uso e Consumo'!G833</f>
        <v>1350</v>
      </c>
      <c r="J833" s="34" t="str">
        <f aca="false">'Uso e Consumo'!M833</f>
        <v>3.8.1.018 - Instalações hidráulicas/sanitárias/industriais</v>
      </c>
      <c r="K833" s="32" t="str">
        <f aca="false">INDEX('Curva ABC'!$K$8:$K$2847,MATCH(D833,'Curva ABC'!$B$8:$B$2847,0))</f>
        <v>C</v>
      </c>
    </row>
    <row r="834" customFormat="false" ht="15" hidden="false" customHeight="false" outlineLevel="0" collapsed="false">
      <c r="A834" s="34" t="s">
        <v>5799</v>
      </c>
      <c r="B834" s="34" t="str">
        <f aca="false">'Uso e Consumo'!A834</f>
        <v>0335</v>
      </c>
      <c r="C834" s="34" t="str">
        <f aca="false">'Uso e Consumo'!B834</f>
        <v>UFV NORONHA VERDE - USO E CONSUMO</v>
      </c>
      <c r="D834" s="33" t="n">
        <f aca="false">'Uso e Consumo'!C834</f>
        <v>1607243</v>
      </c>
      <c r="E834" s="34" t="str">
        <f aca="false">'Uso e Consumo'!D834</f>
        <v>17.20.0730</v>
      </c>
      <c r="F834" s="34" t="str">
        <f aca="false">'Uso e Consumo'!E834</f>
        <v>TERMO RETRATIL BITOLA 400 </v>
      </c>
      <c r="G834" s="34" t="str">
        <f aca="false">'Uso e Consumo'!J834</f>
        <v>UN</v>
      </c>
      <c r="H834" s="49" t="n">
        <f aca="false">'Uso e Consumo'!F834</f>
        <v>50</v>
      </c>
      <c r="I834" s="35" t="n">
        <f aca="false">'Uso e Consumo'!G834</f>
        <v>1350</v>
      </c>
      <c r="J834" s="34" t="str">
        <f aca="false">'Uso e Consumo'!M834</f>
        <v>3.8.1.017 - Instalações elétricas/telefônicas/lógica</v>
      </c>
      <c r="K834" s="32" t="str">
        <f aca="false">INDEX('Curva ABC'!$K$8:$K$2847,MATCH(D834,'Curva ABC'!$B$8:$B$2847,0))</f>
        <v>C</v>
      </c>
    </row>
    <row r="835" customFormat="false" ht="15" hidden="false" customHeight="false" outlineLevel="0" collapsed="false">
      <c r="A835" s="34" t="s">
        <v>5799</v>
      </c>
      <c r="B835" s="34" t="str">
        <f aca="false">'Uso e Consumo'!A835</f>
        <v>0335</v>
      </c>
      <c r="C835" s="34" t="str">
        <f aca="false">'Uso e Consumo'!B835</f>
        <v>UFV NORONHA VERDE - USO E CONSUMO</v>
      </c>
      <c r="D835" s="33" t="n">
        <f aca="false">'Uso e Consumo'!C835</f>
        <v>877346</v>
      </c>
      <c r="E835" s="34" t="str">
        <f aca="false">'Uso e Consumo'!D835</f>
        <v>33.03.0199</v>
      </c>
      <c r="F835" s="34" t="str">
        <f aca="false">'Uso e Consumo'!E835</f>
        <v>PNEU 195/65 R15</v>
      </c>
      <c r="G835" s="34" t="str">
        <f aca="false">'Uso e Consumo'!J835</f>
        <v>UN</v>
      </c>
      <c r="H835" s="49" t="n">
        <f aca="false">'Uso e Consumo'!F835</f>
        <v>4</v>
      </c>
      <c r="I835" s="35" t="n">
        <f aca="false">'Uso e Consumo'!G835</f>
        <v>1348</v>
      </c>
      <c r="J835" s="34" t="str">
        <f aca="false">'Uso e Consumo'!M835</f>
        <v>3.1.6.002 - Pneus e peças</v>
      </c>
      <c r="K835" s="32" t="str">
        <f aca="false">INDEX('Curva ABC'!$K$8:$K$2847,MATCH(D835,'Curva ABC'!$B$8:$B$2847,0))</f>
        <v>C</v>
      </c>
    </row>
    <row r="836" customFormat="false" ht="15" hidden="false" customHeight="false" outlineLevel="0" collapsed="false">
      <c r="A836" s="34" t="s">
        <v>5799</v>
      </c>
      <c r="B836" s="34" t="str">
        <f aca="false">'Uso e Consumo'!A836</f>
        <v>0335</v>
      </c>
      <c r="C836" s="34" t="str">
        <f aca="false">'Uso e Consumo'!B836</f>
        <v>UFV NORONHA VERDE - USO E CONSUMO</v>
      </c>
      <c r="D836" s="33" t="n">
        <f aca="false">'Uso e Consumo'!C836</f>
        <v>1385307</v>
      </c>
      <c r="E836" s="34" t="str">
        <f aca="false">'Uso e Consumo'!D836</f>
        <v>17.20.0693</v>
      </c>
      <c r="F836" s="34" t="str">
        <f aca="false">'Uso e Consumo'!E836</f>
        <v>TERMINAÇÃO PARA ACABAMENTO DE ELETRODUTO FLEXÍVEL PEAD, DIÂMETRO NOMINAL 4"</v>
      </c>
      <c r="G836" s="34" t="str">
        <f aca="false">'Uso e Consumo'!J836</f>
        <v>UN</v>
      </c>
      <c r="H836" s="49" t="n">
        <f aca="false">'Uso e Consumo'!F836</f>
        <v>114</v>
      </c>
      <c r="I836" s="35" t="n">
        <f aca="false">'Uso e Consumo'!G836</f>
        <v>1345.17</v>
      </c>
      <c r="J836" s="34" t="str">
        <f aca="false">'Uso e Consumo'!M836</f>
        <v>3.8.1.017 - Instalações elétricas/telefônicas/lógica</v>
      </c>
      <c r="K836" s="32" t="str">
        <f aca="false">INDEX('Curva ABC'!$K$8:$K$2847,MATCH(D836,'Curva ABC'!$B$8:$B$2847,0))</f>
        <v>C</v>
      </c>
    </row>
    <row r="837" customFormat="false" ht="15" hidden="false" customHeight="false" outlineLevel="0" collapsed="false">
      <c r="A837" s="34" t="s">
        <v>5799</v>
      </c>
      <c r="B837" s="34" t="str">
        <f aca="false">'Uso e Consumo'!A837</f>
        <v>0335</v>
      </c>
      <c r="C837" s="34" t="str">
        <f aca="false">'Uso e Consumo'!B837</f>
        <v>UFV NORONHA VERDE - USO E CONSUMO</v>
      </c>
      <c r="D837" s="33" t="n">
        <f aca="false">'Uso e Consumo'!C837</f>
        <v>277524</v>
      </c>
      <c r="E837" s="34" t="str">
        <f aca="false">'Uso e Consumo'!D837</f>
        <v>27.02.0118</v>
      </c>
      <c r="F837" s="34" t="str">
        <f aca="false">'Uso e Consumo'!E837</f>
        <v>BOLSA PARA FERAMENTA ELÉTRICA</v>
      </c>
      <c r="G837" s="34" t="str">
        <f aca="false">'Uso e Consumo'!J837</f>
        <v>UN</v>
      </c>
      <c r="H837" s="49" t="n">
        <f aca="false">'Uso e Consumo'!F837</f>
        <v>20</v>
      </c>
      <c r="I837" s="35" t="n">
        <f aca="false">'Uso e Consumo'!G837</f>
        <v>1345</v>
      </c>
      <c r="J837" s="34" t="str">
        <f aca="false">'Uso e Consumo'!M837</f>
        <v>4.3.4.007 - Mobiliário médico/equipamentos/acessórios</v>
      </c>
      <c r="K837" s="32" t="str">
        <f aca="false">INDEX('Curva ABC'!$K$8:$K$2847,MATCH(D837,'Curva ABC'!$B$8:$B$2847,0))</f>
        <v>C</v>
      </c>
    </row>
    <row r="838" customFormat="false" ht="15" hidden="false" customHeight="false" outlineLevel="0" collapsed="false">
      <c r="A838" s="34" t="s">
        <v>5799</v>
      </c>
      <c r="B838" s="34" t="str">
        <f aca="false">'Uso e Consumo'!A838</f>
        <v>0335</v>
      </c>
      <c r="C838" s="34" t="str">
        <f aca="false">'Uso e Consumo'!B838</f>
        <v>UFV NORONHA VERDE - USO E CONSUMO</v>
      </c>
      <c r="D838" s="33" t="n">
        <f aca="false">'Uso e Consumo'!C838</f>
        <v>1476095</v>
      </c>
      <c r="E838" s="34" t="str">
        <f aca="false">'Uso e Consumo'!D838</f>
        <v>24.32.0050</v>
      </c>
      <c r="F838" s="34" t="str">
        <f aca="false">'Uso e Consumo'!E838</f>
        <v>BOLSA PARA FERRAMENTAS EM LONA C/ ALÇA REGULÁVEL CG 425 CARBOGRAFITE</v>
      </c>
      <c r="G838" s="34" t="str">
        <f aca="false">'Uso e Consumo'!J838</f>
        <v>UN</v>
      </c>
      <c r="H838" s="49" t="n">
        <f aca="false">'Uso e Consumo'!F838</f>
        <v>20</v>
      </c>
      <c r="I838" s="35" t="n">
        <f aca="false">'Uso e Consumo'!G838</f>
        <v>1345</v>
      </c>
      <c r="J838" s="34" t="str">
        <f aca="false">'Uso e Consumo'!M838</f>
        <v>6.1.2.002 - Ferramentas e utensílios</v>
      </c>
      <c r="K838" s="32" t="str">
        <f aca="false">INDEX('Curva ABC'!$K$8:$K$2847,MATCH(D838,'Curva ABC'!$B$8:$B$2847,0))</f>
        <v>C</v>
      </c>
    </row>
    <row r="839" customFormat="false" ht="15" hidden="false" customHeight="false" outlineLevel="0" collapsed="false">
      <c r="A839" s="34" t="s">
        <v>5799</v>
      </c>
      <c r="B839" s="34" t="str">
        <f aca="false">'Uso e Consumo'!A839</f>
        <v>0335</v>
      </c>
      <c r="C839" s="34" t="str">
        <f aca="false">'Uso e Consumo'!B839</f>
        <v>UFV NORONHA VERDE - USO E CONSUMO</v>
      </c>
      <c r="D839" s="33" t="n">
        <f aca="false">'Uso e Consumo'!C839</f>
        <v>1386769</v>
      </c>
      <c r="E839" s="34" t="str">
        <f aca="false">'Uso e Consumo'!D839</f>
        <v>17.20.0696</v>
      </c>
      <c r="F839" s="34" t="str">
        <f aca="false">'Uso e Consumo'!E839</f>
        <v>BUCHA 3" C/TERMINAL DE ATERRAMENTO P/CABOS 16MM²</v>
      </c>
      <c r="G839" s="34" t="str">
        <f aca="false">'Uso e Consumo'!J839</f>
        <v>UN</v>
      </c>
      <c r="H839" s="49" t="n">
        <f aca="false">'Uso e Consumo'!F839</f>
        <v>24</v>
      </c>
      <c r="I839" s="35" t="n">
        <f aca="false">'Uso e Consumo'!G839</f>
        <v>1344.84</v>
      </c>
      <c r="J839" s="34" t="str">
        <f aca="false">'Uso e Consumo'!M839</f>
        <v>3.1.1.001 - Material de uso e consumo</v>
      </c>
      <c r="K839" s="32" t="str">
        <f aca="false">INDEX('Curva ABC'!$K$8:$K$2847,MATCH(D839,'Curva ABC'!$B$8:$B$2847,0))</f>
        <v>C</v>
      </c>
    </row>
    <row r="840" customFormat="false" ht="15" hidden="false" customHeight="false" outlineLevel="0" collapsed="false">
      <c r="A840" s="34" t="s">
        <v>5799</v>
      </c>
      <c r="B840" s="34" t="str">
        <f aca="false">'Uso e Consumo'!A840</f>
        <v>0335</v>
      </c>
      <c r="C840" s="34" t="str">
        <f aca="false">'Uso e Consumo'!B840</f>
        <v>UFV NORONHA VERDE - USO E CONSUMO</v>
      </c>
      <c r="D840" s="33" t="n">
        <f aca="false">'Uso e Consumo'!C840</f>
        <v>1329155</v>
      </c>
      <c r="E840" s="34" t="str">
        <f aca="false">'Uso e Consumo'!D840</f>
        <v>30.01.0827</v>
      </c>
      <c r="F840" s="34" t="str">
        <f aca="false">'Uso e Consumo'!E840</f>
        <v>EXPOSITOR MAPOTECA TRIDENT PARA PROJETOS EXP-10</v>
      </c>
      <c r="G840" s="34" t="str">
        <f aca="false">'Uso e Consumo'!J840</f>
        <v>UN</v>
      </c>
      <c r="H840" s="49" t="n">
        <f aca="false">'Uso e Consumo'!F840</f>
        <v>1</v>
      </c>
      <c r="I840" s="35" t="n">
        <f aca="false">'Uso e Consumo'!G840</f>
        <v>1342.08</v>
      </c>
      <c r="J840" s="34" t="str">
        <f aca="false">'Uso e Consumo'!M840</f>
        <v>4.1.1.002 - Material expediente</v>
      </c>
      <c r="K840" s="32" t="str">
        <f aca="false">INDEX('Curva ABC'!$K$8:$K$2847,MATCH(D840,'Curva ABC'!$B$8:$B$2847,0))</f>
        <v>C</v>
      </c>
    </row>
    <row r="841" customFormat="false" ht="15" hidden="false" customHeight="false" outlineLevel="0" collapsed="false">
      <c r="A841" s="34" t="s">
        <v>5799</v>
      </c>
      <c r="B841" s="34" t="str">
        <f aca="false">'Uso e Consumo'!A841</f>
        <v>0335</v>
      </c>
      <c r="C841" s="34" t="str">
        <f aca="false">'Uso e Consumo'!B841</f>
        <v>UFV NORONHA VERDE - USO E CONSUMO</v>
      </c>
      <c r="D841" s="33" t="n">
        <f aca="false">'Uso e Consumo'!C841</f>
        <v>18064</v>
      </c>
      <c r="E841" s="34" t="str">
        <f aca="false">'Uso e Consumo'!D841</f>
        <v>24.09.0158</v>
      </c>
      <c r="F841" s="34" t="str">
        <f aca="false">'Uso e Consumo'!E841</f>
        <v>CHAVE/JOGO COMBINADA 8,00MM A 25,00MM AÇO CARBONO CROMADO</v>
      </c>
      <c r="G841" s="34" t="str">
        <f aca="false">'Uso e Consumo'!J841</f>
        <v>UN</v>
      </c>
      <c r="H841" s="49" t="n">
        <f aca="false">'Uso e Consumo'!F841</f>
        <v>5</v>
      </c>
      <c r="I841" s="35" t="n">
        <f aca="false">'Uso e Consumo'!G841</f>
        <v>1340</v>
      </c>
      <c r="J841" s="34" t="str">
        <f aca="false">'Uso e Consumo'!M841</f>
        <v>3.8.2.002 - Ferramentas manuais</v>
      </c>
      <c r="K841" s="32" t="str">
        <f aca="false">INDEX('Curva ABC'!$K$8:$K$2847,MATCH(D841,'Curva ABC'!$B$8:$B$2847,0))</f>
        <v>C</v>
      </c>
    </row>
    <row r="842" customFormat="false" ht="15" hidden="false" customHeight="false" outlineLevel="0" collapsed="false">
      <c r="A842" s="34" t="s">
        <v>5799</v>
      </c>
      <c r="B842" s="34" t="str">
        <f aca="false">'Uso e Consumo'!A842</f>
        <v>0335</v>
      </c>
      <c r="C842" s="34" t="str">
        <f aca="false">'Uso e Consumo'!B842</f>
        <v>UFV NORONHA VERDE - USO E CONSUMO</v>
      </c>
      <c r="D842" s="33" t="n">
        <f aca="false">'Uso e Consumo'!C842</f>
        <v>864248</v>
      </c>
      <c r="E842" s="34" t="str">
        <f aca="false">'Uso e Consumo'!D842</f>
        <v>24.41.0308</v>
      </c>
      <c r="F842" s="34" t="str">
        <f aca="false">'Uso e Consumo'!E842</f>
        <v>SOQUETE SEXTAVADO IMPACTO LONGO 13MM ENCAIXE 1/2"</v>
      </c>
      <c r="G842" s="34" t="str">
        <f aca="false">'Uso e Consumo'!J842</f>
        <v>UN</v>
      </c>
      <c r="H842" s="49" t="n">
        <f aca="false">'Uso e Consumo'!F842</f>
        <v>15</v>
      </c>
      <c r="I842" s="35" t="n">
        <f aca="false">'Uso e Consumo'!G842</f>
        <v>1335</v>
      </c>
      <c r="J842" s="34" t="str">
        <f aca="false">'Uso e Consumo'!M842</f>
        <v>3.8.2.002 - Ferramentas manuais</v>
      </c>
      <c r="K842" s="32" t="str">
        <f aca="false">INDEX('Curva ABC'!$K$8:$K$2847,MATCH(D842,'Curva ABC'!$B$8:$B$2847,0))</f>
        <v>C</v>
      </c>
    </row>
    <row r="843" customFormat="false" ht="15" hidden="false" customHeight="false" outlineLevel="0" collapsed="false">
      <c r="A843" s="34" t="s">
        <v>5799</v>
      </c>
      <c r="B843" s="34" t="str">
        <f aca="false">'Uso e Consumo'!A843</f>
        <v>0335</v>
      </c>
      <c r="C843" s="34" t="str">
        <f aca="false">'Uso e Consumo'!B843</f>
        <v>UFV NORONHA VERDE - USO E CONSUMO</v>
      </c>
      <c r="D843" s="33" t="n">
        <f aca="false">'Uso e Consumo'!C843</f>
        <v>855305</v>
      </c>
      <c r="E843" s="34" t="str">
        <f aca="false">'Uso e Consumo'!D843</f>
        <v>13.06.0302</v>
      </c>
      <c r="F843" s="34" t="str">
        <f aca="false">'Uso e Consumo'!E843</f>
        <v>MOLA AÉREA PARA PORTA, POTENCIA 2 </v>
      </c>
      <c r="G843" s="34" t="str">
        <f aca="false">'Uso e Consumo'!J843</f>
        <v>UN</v>
      </c>
      <c r="H843" s="49" t="n">
        <f aca="false">'Uso e Consumo'!F843</f>
        <v>13</v>
      </c>
      <c r="I843" s="35" t="n">
        <f aca="false">'Uso e Consumo'!G843</f>
        <v>1331.04</v>
      </c>
      <c r="J843" s="34" t="str">
        <f aca="false">'Uso e Consumo'!M843</f>
        <v>3.8.1.001 - Aços e trefilados</v>
      </c>
      <c r="K843" s="32" t="str">
        <f aca="false">INDEX('Curva ABC'!$K$8:$K$2847,MATCH(D843,'Curva ABC'!$B$8:$B$2847,0))</f>
        <v>C</v>
      </c>
    </row>
    <row r="844" customFormat="false" ht="15" hidden="false" customHeight="false" outlineLevel="0" collapsed="false">
      <c r="A844" s="34" t="s">
        <v>5799</v>
      </c>
      <c r="B844" s="34" t="str">
        <f aca="false">'Uso e Consumo'!A844</f>
        <v>0335</v>
      </c>
      <c r="C844" s="34" t="str">
        <f aca="false">'Uso e Consumo'!B844</f>
        <v>UFV NORONHA VERDE - USO E CONSUMO</v>
      </c>
      <c r="D844" s="33" t="n">
        <f aca="false">'Uso e Consumo'!C844</f>
        <v>1321374</v>
      </c>
      <c r="E844" s="34" t="str">
        <f aca="false">'Uso e Consumo'!D844</f>
        <v>24.01.0022</v>
      </c>
      <c r="F844" s="34" t="str">
        <f aca="false">'Uso e Consumo'!E844</f>
        <v>ALICATE AMPERÍMETRO DIGITAL MINIPA ET-3367C 1000A</v>
      </c>
      <c r="G844" s="34" t="str">
        <f aca="false">'Uso e Consumo'!J844</f>
        <v>UN</v>
      </c>
      <c r="H844" s="49" t="n">
        <f aca="false">'Uso e Consumo'!F844</f>
        <v>1</v>
      </c>
      <c r="I844" s="35" t="n">
        <f aca="false">'Uso e Consumo'!G844</f>
        <v>1330</v>
      </c>
      <c r="J844" s="34" t="str">
        <f aca="false">'Uso e Consumo'!M844</f>
        <v>3.8.2.001 - Ferramentas medição/aferição</v>
      </c>
      <c r="K844" s="32" t="str">
        <f aca="false">INDEX('Curva ABC'!$K$8:$K$2847,MATCH(D844,'Curva ABC'!$B$8:$B$2847,0))</f>
        <v>C</v>
      </c>
    </row>
    <row r="845" customFormat="false" ht="15" hidden="false" customHeight="false" outlineLevel="0" collapsed="false">
      <c r="A845" s="34" t="s">
        <v>5799</v>
      </c>
      <c r="B845" s="34" t="str">
        <f aca="false">'Uso e Consumo'!A845</f>
        <v>0335</v>
      </c>
      <c r="C845" s="34" t="str">
        <f aca="false">'Uso e Consumo'!B845</f>
        <v>UFV NORONHA VERDE - USO E CONSUMO</v>
      </c>
      <c r="D845" s="33" t="n">
        <f aca="false">'Uso e Consumo'!C845</f>
        <v>1383224</v>
      </c>
      <c r="E845" s="34" t="str">
        <f aca="false">'Uso e Consumo'!D845</f>
        <v>17.16.3813</v>
      </c>
      <c r="F845" s="34" t="str">
        <f aca="false">'Uso e Consumo'!E845</f>
        <v>CONECTOR TORQUIMÉTRICO PARA CABO CU 150 MM² REDONDO COMPACTO</v>
      </c>
      <c r="G845" s="34" t="str">
        <f aca="false">'Uso e Consumo'!J845</f>
        <v>UN</v>
      </c>
      <c r="H845" s="49" t="n">
        <f aca="false">'Uso e Consumo'!F845</f>
        <v>7</v>
      </c>
      <c r="I845" s="35" t="n">
        <f aca="false">'Uso e Consumo'!G845</f>
        <v>1329.5</v>
      </c>
      <c r="J845" s="34" t="str">
        <f aca="false">'Uso e Consumo'!M845</f>
        <v>3.8.1.017 - Instalações elétricas/telefônicas/lógica</v>
      </c>
      <c r="K845" s="32" t="str">
        <f aca="false">INDEX('Curva ABC'!$K$8:$K$2847,MATCH(D845,'Curva ABC'!$B$8:$B$2847,0))</f>
        <v>C</v>
      </c>
    </row>
    <row r="846" customFormat="false" ht="15" hidden="false" customHeight="false" outlineLevel="0" collapsed="false">
      <c r="A846" s="34" t="s">
        <v>5799</v>
      </c>
      <c r="B846" s="34" t="str">
        <f aca="false">'Uso e Consumo'!A846</f>
        <v>0335</v>
      </c>
      <c r="C846" s="34" t="str">
        <f aca="false">'Uso e Consumo'!B846</f>
        <v>UFV NORONHA VERDE - USO E CONSUMO</v>
      </c>
      <c r="D846" s="33" t="n">
        <f aca="false">'Uso e Consumo'!C846</f>
        <v>56168</v>
      </c>
      <c r="E846" s="34" t="str">
        <f aca="false">'Uso e Consumo'!D846</f>
        <v>17.05.0050</v>
      </c>
      <c r="F846" s="34" t="str">
        <f aca="false">'Uso e Consumo'!E846</f>
        <v>CAIXA CONDULETE 3/4” PVC - 3/4”,1/2” e 1” CINZA</v>
      </c>
      <c r="G846" s="34" t="str">
        <f aca="false">'Uso e Consumo'!J846</f>
        <v>UN</v>
      </c>
      <c r="H846" s="49" t="n">
        <f aca="false">'Uso e Consumo'!F846</f>
        <v>100</v>
      </c>
      <c r="I846" s="35" t="n">
        <f aca="false">'Uso e Consumo'!G846</f>
        <v>1321.627</v>
      </c>
      <c r="J846" s="34" t="str">
        <f aca="false">'Uso e Consumo'!M846</f>
        <v>3.8.1.017 - Instalações elétricas/telefônicas/lógica</v>
      </c>
      <c r="K846" s="32" t="str">
        <f aca="false">INDEX('Curva ABC'!$K$8:$K$2847,MATCH(D846,'Curva ABC'!$B$8:$B$2847,0))</f>
        <v>C</v>
      </c>
    </row>
    <row r="847" customFormat="false" ht="15" hidden="false" customHeight="false" outlineLevel="0" collapsed="false">
      <c r="A847" s="34" t="s">
        <v>5799</v>
      </c>
      <c r="B847" s="34" t="str">
        <f aca="false">'Uso e Consumo'!A847</f>
        <v>0335</v>
      </c>
      <c r="C847" s="34" t="str">
        <f aca="false">'Uso e Consumo'!B847</f>
        <v>UFV NORONHA VERDE - USO E CONSUMO</v>
      </c>
      <c r="D847" s="33" t="n">
        <f aca="false">'Uso e Consumo'!C847</f>
        <v>349860</v>
      </c>
      <c r="E847" s="34" t="str">
        <f aca="false">'Uso e Consumo'!D847</f>
        <v>23.03.0151</v>
      </c>
      <c r="F847" s="34" t="str">
        <f aca="false">'Uso e Consumo'!E847</f>
        <v>PREGO COMUM C/CABECA AÇO TEMPERADO 3" X 7 REF 20 X 33</v>
      </c>
      <c r="G847" s="34" t="str">
        <f aca="false">'Uso e Consumo'!J847</f>
        <v>KG</v>
      </c>
      <c r="H847" s="49" t="n">
        <f aca="false">'Uso e Consumo'!F847</f>
        <v>30</v>
      </c>
      <c r="I847" s="35" t="n">
        <f aca="false">'Uso e Consumo'!G847</f>
        <v>1320</v>
      </c>
      <c r="J847" s="34" t="str">
        <f aca="false">'Uso e Consumo'!M847</f>
        <v>3.8.1.022 - Elementos de fixação</v>
      </c>
      <c r="K847" s="32" t="str">
        <f aca="false">INDEX('Curva ABC'!$K$8:$K$2847,MATCH(D847,'Curva ABC'!$B$8:$B$2847,0))</f>
        <v>C</v>
      </c>
    </row>
    <row r="848" customFormat="false" ht="15" hidden="false" customHeight="false" outlineLevel="0" collapsed="false">
      <c r="A848" s="34" t="s">
        <v>5799</v>
      </c>
      <c r="B848" s="34" t="str">
        <f aca="false">'Uso e Consumo'!A848</f>
        <v>0335</v>
      </c>
      <c r="C848" s="34" t="str">
        <f aca="false">'Uso e Consumo'!B848</f>
        <v>UFV NORONHA VERDE - USO E CONSUMO</v>
      </c>
      <c r="D848" s="33" t="n">
        <f aca="false">'Uso e Consumo'!C848</f>
        <v>1471982</v>
      </c>
      <c r="E848" s="34" t="str">
        <f aca="false">'Uso e Consumo'!D848</f>
        <v>23.10.0070</v>
      </c>
      <c r="F848" s="34" t="str">
        <f aca="false">'Uso e Consumo'!E848</f>
        <v>CHUMBADORES UR-38-W3/8"x1"</v>
      </c>
      <c r="G848" s="34" t="str">
        <f aca="false">'Uso e Consumo'!J848</f>
        <v>UN</v>
      </c>
      <c r="H848" s="49" t="n">
        <f aca="false">'Uso e Consumo'!F848</f>
        <v>228</v>
      </c>
      <c r="I848" s="35" t="n">
        <f aca="false">'Uso e Consumo'!G848</f>
        <v>1320</v>
      </c>
      <c r="J848" s="34" t="str">
        <f aca="false">'Uso e Consumo'!M848</f>
        <v>3.8.1.022 - Elementos de fixação</v>
      </c>
      <c r="K848" s="32" t="str">
        <f aca="false">INDEX('Curva ABC'!$K$8:$K$2847,MATCH(D848,'Curva ABC'!$B$8:$B$2847,0))</f>
        <v>C</v>
      </c>
    </row>
    <row r="849" customFormat="false" ht="15" hidden="false" customHeight="false" outlineLevel="0" collapsed="false">
      <c r="A849" s="34" t="s">
        <v>5799</v>
      </c>
      <c r="B849" s="34" t="str">
        <f aca="false">'Uso e Consumo'!A849</f>
        <v>0335</v>
      </c>
      <c r="C849" s="34" t="str">
        <f aca="false">'Uso e Consumo'!B849</f>
        <v>UFV NORONHA VERDE - USO E CONSUMO</v>
      </c>
      <c r="D849" s="33" t="n">
        <f aca="false">'Uso e Consumo'!C849</f>
        <v>23865</v>
      </c>
      <c r="E849" s="34" t="str">
        <f aca="false">'Uso e Consumo'!D849</f>
        <v>17.08.0068</v>
      </c>
      <c r="F849" s="34" t="str">
        <f aca="false">'Uso e Consumo'!E849</f>
        <v>QUADRO DISTRIBUIÇÃO DE EMBUTIR TRIFÁSICO COM BARRAMENTO, REF.: QDETN-U II – 16 DIN 100A</v>
      </c>
      <c r="G849" s="34" t="str">
        <f aca="false">'Uso e Consumo'!J849</f>
        <v>UN</v>
      </c>
      <c r="H849" s="49" t="n">
        <f aca="false">'Uso e Consumo'!F849</f>
        <v>2</v>
      </c>
      <c r="I849" s="35" t="n">
        <f aca="false">'Uso e Consumo'!G849</f>
        <v>1316</v>
      </c>
      <c r="J849" s="34" t="str">
        <f aca="false">'Uso e Consumo'!M849</f>
        <v>3.8.1.017 - Instalações elétricas/telefônicas/lógica</v>
      </c>
      <c r="K849" s="32" t="str">
        <f aca="false">INDEX('Curva ABC'!$K$8:$K$2847,MATCH(D849,'Curva ABC'!$B$8:$B$2847,0))</f>
        <v>C</v>
      </c>
    </row>
    <row r="850" customFormat="false" ht="15" hidden="false" customHeight="false" outlineLevel="0" collapsed="false">
      <c r="A850" s="34" t="s">
        <v>5799</v>
      </c>
      <c r="B850" s="34" t="str">
        <f aca="false">'Uso e Consumo'!A850</f>
        <v>0335</v>
      </c>
      <c r="C850" s="34" t="str">
        <f aca="false">'Uso e Consumo'!B850</f>
        <v>UFV NORONHA VERDE - USO E CONSUMO</v>
      </c>
      <c r="D850" s="33" t="n">
        <f aca="false">'Uso e Consumo'!C850</f>
        <v>140515</v>
      </c>
      <c r="E850" s="34" t="str">
        <f aca="false">'Uso e Consumo'!D850</f>
        <v>17.20.0227</v>
      </c>
      <c r="F850" s="34" t="str">
        <f aca="false">'Uso e Consumo'!E850</f>
        <v>MOLDE PARA SOLDA EXOTÉRMICA - CABO X CABO 70MM2 "EMENDA"</v>
      </c>
      <c r="G850" s="34" t="str">
        <f aca="false">'Uso e Consumo'!J850</f>
        <v>UN</v>
      </c>
      <c r="H850" s="49" t="n">
        <f aca="false">'Uso e Consumo'!F850</f>
        <v>10</v>
      </c>
      <c r="I850" s="35" t="n">
        <f aca="false">'Uso e Consumo'!G850</f>
        <v>1312.3</v>
      </c>
      <c r="J850" s="34" t="str">
        <f aca="false">'Uso e Consumo'!M850</f>
        <v>3.8.1.017 - Instalações elétricas/telefônicas/lógica</v>
      </c>
      <c r="K850" s="32" t="str">
        <f aca="false">INDEX('Curva ABC'!$K$8:$K$2847,MATCH(D850,'Curva ABC'!$B$8:$B$2847,0))</f>
        <v>C</v>
      </c>
    </row>
    <row r="851" customFormat="false" ht="15" hidden="false" customHeight="false" outlineLevel="0" collapsed="false">
      <c r="A851" s="34" t="s">
        <v>5799</v>
      </c>
      <c r="B851" s="34" t="str">
        <f aca="false">'Uso e Consumo'!A851</f>
        <v>0335</v>
      </c>
      <c r="C851" s="34" t="str">
        <f aca="false">'Uso e Consumo'!B851</f>
        <v>UFV NORONHA VERDE - USO E CONSUMO</v>
      </c>
      <c r="D851" s="33" t="n">
        <f aca="false">'Uso e Consumo'!C851</f>
        <v>21811</v>
      </c>
      <c r="E851" s="34" t="str">
        <f aca="false">'Uso e Consumo'!D851</f>
        <v>27.02.0009</v>
      </c>
      <c r="F851" s="34" t="str">
        <f aca="false">'Uso e Consumo'!E851</f>
        <v>ARMÁRIO VITRINE COM 04 DIVISÓRIAS PARA MEDICAMENTOS 0,45M X 0,35M X 1,40M</v>
      </c>
      <c r="G851" s="34" t="str">
        <f aca="false">'Uso e Consumo'!J851</f>
        <v>UN</v>
      </c>
      <c r="H851" s="49" t="n">
        <f aca="false">'Uso e Consumo'!F851</f>
        <v>1</v>
      </c>
      <c r="I851" s="35" t="n">
        <f aca="false">'Uso e Consumo'!G851</f>
        <v>1305.22</v>
      </c>
      <c r="J851" s="34" t="str">
        <f aca="false">'Uso e Consumo'!M851</f>
        <v>4.3.4.007 - Mobiliário médico/equipamentos/acessórios</v>
      </c>
      <c r="K851" s="32" t="str">
        <f aca="false">INDEX('Curva ABC'!$K$8:$K$2847,MATCH(D851,'Curva ABC'!$B$8:$B$2847,0))</f>
        <v>C</v>
      </c>
    </row>
    <row r="852" customFormat="false" ht="15" hidden="false" customHeight="false" outlineLevel="0" collapsed="false">
      <c r="A852" s="34" t="s">
        <v>5799</v>
      </c>
      <c r="B852" s="34" t="str">
        <f aca="false">'Uso e Consumo'!A852</f>
        <v>0335</v>
      </c>
      <c r="C852" s="34" t="str">
        <f aca="false">'Uso e Consumo'!B852</f>
        <v>UFV NORONHA VERDE - USO E CONSUMO</v>
      </c>
      <c r="D852" s="33" t="n">
        <f aca="false">'Uso e Consumo'!C852</f>
        <v>864247</v>
      </c>
      <c r="E852" s="34" t="str">
        <f aca="false">'Uso e Consumo'!D852</f>
        <v>24.41.0307</v>
      </c>
      <c r="F852" s="34" t="str">
        <f aca="false">'Uso e Consumo'!E852</f>
        <v>SOQUETE SEXTAVADO IMPACTO LONGO 10MM ENCAIXE 1/2"</v>
      </c>
      <c r="G852" s="34" t="str">
        <f aca="false">'Uso e Consumo'!J852</f>
        <v>UN</v>
      </c>
      <c r="H852" s="49" t="n">
        <f aca="false">'Uso e Consumo'!F852</f>
        <v>15</v>
      </c>
      <c r="I852" s="35" t="n">
        <f aca="false">'Uso e Consumo'!G852</f>
        <v>1305</v>
      </c>
      <c r="J852" s="34" t="str">
        <f aca="false">'Uso e Consumo'!M852</f>
        <v>3.8.2.002 - Ferramentas manuais</v>
      </c>
      <c r="K852" s="32" t="str">
        <f aca="false">INDEX('Curva ABC'!$K$8:$K$2847,MATCH(D852,'Curva ABC'!$B$8:$B$2847,0))</f>
        <v>C</v>
      </c>
    </row>
    <row r="853" customFormat="false" ht="15" hidden="false" customHeight="false" outlineLevel="0" collapsed="false">
      <c r="A853" s="34" t="s">
        <v>5799</v>
      </c>
      <c r="B853" s="34" t="str">
        <f aca="false">'Uso e Consumo'!A853</f>
        <v>0335</v>
      </c>
      <c r="C853" s="34" t="str">
        <f aca="false">'Uso e Consumo'!B853</f>
        <v>UFV NORONHA VERDE - USO E CONSUMO</v>
      </c>
      <c r="D853" s="33" t="n">
        <f aca="false">'Uso e Consumo'!C853</f>
        <v>21345</v>
      </c>
      <c r="E853" s="34" t="str">
        <f aca="false">'Uso e Consumo'!D853</f>
        <v>30.05.0023</v>
      </c>
      <c r="F853" s="34" t="str">
        <f aca="false">'Uso e Consumo'!E853</f>
        <v>CAFÉ PCT 250G</v>
      </c>
      <c r="G853" s="34" t="str">
        <f aca="false">'Uso e Consumo'!J853</f>
        <v>UN</v>
      </c>
      <c r="H853" s="49" t="n">
        <f aca="false">'Uso e Consumo'!F853</f>
        <v>70</v>
      </c>
      <c r="I853" s="35" t="n">
        <f aca="false">'Uso e Consumo'!G853</f>
        <v>1304.723</v>
      </c>
      <c r="J853" s="34" t="str">
        <f aca="false">'Uso e Consumo'!M853</f>
        <v>4.1.1.001 - Material de uso e consumo</v>
      </c>
      <c r="K853" s="32" t="str">
        <f aca="false">INDEX('Curva ABC'!$K$8:$K$2847,MATCH(D853,'Curva ABC'!$B$8:$B$2847,0))</f>
        <v>C</v>
      </c>
    </row>
    <row r="854" customFormat="false" ht="15" hidden="false" customHeight="false" outlineLevel="0" collapsed="false">
      <c r="A854" s="34" t="s">
        <v>5799</v>
      </c>
      <c r="B854" s="34" t="str">
        <f aca="false">'Uso e Consumo'!A854</f>
        <v>0335</v>
      </c>
      <c r="C854" s="34" t="str">
        <f aca="false">'Uso e Consumo'!B854</f>
        <v>UFV NORONHA VERDE - USO E CONSUMO</v>
      </c>
      <c r="D854" s="33" t="n">
        <f aca="false">'Uso e Consumo'!C854</f>
        <v>1674333</v>
      </c>
      <c r="E854" s="34" t="str">
        <f aca="false">'Uso e Consumo'!D854</f>
        <v>13.02.0378</v>
      </c>
      <c r="F854" s="34" t="str">
        <f aca="false">'Uso e Consumo'!E854</f>
        <v>PORTA INTERNA DE GIRO EM MADEIRA MACICA, COM MARCO E ALIZARES (2,10 X 0,60 M)</v>
      </c>
      <c r="G854" s="34" t="str">
        <f aca="false">'Uso e Consumo'!J854</f>
        <v>UN</v>
      </c>
      <c r="H854" s="49" t="n">
        <f aca="false">'Uso e Consumo'!F854</f>
        <v>1</v>
      </c>
      <c r="I854" s="35" t="n">
        <f aca="false">'Uso e Consumo'!G854</f>
        <v>1301.98</v>
      </c>
      <c r="J854" s="34" t="str">
        <f aca="false">'Uso e Consumo'!M854</f>
        <v>3.8.1.013 - Esquadrias e vidros</v>
      </c>
      <c r="K854" s="32" t="str">
        <f aca="false">INDEX('Curva ABC'!$K$8:$K$2847,MATCH(D854,'Curva ABC'!$B$8:$B$2847,0))</f>
        <v>C</v>
      </c>
    </row>
    <row r="855" customFormat="false" ht="15" hidden="false" customHeight="false" outlineLevel="0" collapsed="false">
      <c r="A855" s="34" t="s">
        <v>5799</v>
      </c>
      <c r="B855" s="34" t="str">
        <f aca="false">'Uso e Consumo'!A855</f>
        <v>0335</v>
      </c>
      <c r="C855" s="34" t="str">
        <f aca="false">'Uso e Consumo'!B855</f>
        <v>UFV NORONHA VERDE - USO E CONSUMO</v>
      </c>
      <c r="D855" s="33" t="n">
        <f aca="false">'Uso e Consumo'!C855</f>
        <v>34229</v>
      </c>
      <c r="E855" s="34" t="str">
        <f aca="false">'Uso e Consumo'!D855</f>
        <v>16.03.0120</v>
      </c>
      <c r="F855" s="34" t="str">
        <f aca="false">'Uso e Consumo'!E855</f>
        <v>VERNIZ MARÍTIMO FOSCO GALÃO 3,60L NBR 11702</v>
      </c>
      <c r="G855" s="34" t="str">
        <f aca="false">'Uso e Consumo'!J855</f>
        <v>G3,6L</v>
      </c>
      <c r="H855" s="49" t="n">
        <f aca="false">'Uso e Consumo'!F855</f>
        <v>10</v>
      </c>
      <c r="I855" s="35" t="n">
        <f aca="false">'Uso e Consumo'!G855</f>
        <v>1300</v>
      </c>
      <c r="J855" s="34" t="str">
        <f aca="false">'Uso e Consumo'!M855</f>
        <v>3.8.1.016 - Pinturas</v>
      </c>
      <c r="K855" s="32" t="str">
        <f aca="false">INDEX('Curva ABC'!$K$8:$K$2847,MATCH(D855,'Curva ABC'!$B$8:$B$2847,0))</f>
        <v>C</v>
      </c>
    </row>
    <row r="856" customFormat="false" ht="15" hidden="false" customHeight="false" outlineLevel="0" collapsed="false">
      <c r="A856" s="34" t="s">
        <v>5799</v>
      </c>
      <c r="B856" s="34" t="str">
        <f aca="false">'Uso e Consumo'!A856</f>
        <v>0335</v>
      </c>
      <c r="C856" s="34" t="str">
        <f aca="false">'Uso e Consumo'!B856</f>
        <v>UFV NORONHA VERDE - USO E CONSUMO</v>
      </c>
      <c r="D856" s="33" t="n">
        <f aca="false">'Uso e Consumo'!C856</f>
        <v>857550</v>
      </c>
      <c r="E856" s="34" t="str">
        <f aca="false">'Uso e Consumo'!D856</f>
        <v>33.02.2617</v>
      </c>
      <c r="F856" s="34" t="str">
        <f aca="false">'Uso e Consumo'!E856</f>
        <v>CINTA REBOCADORA; TIPO JIBOIA 100T</v>
      </c>
      <c r="G856" s="34" t="str">
        <f aca="false">'Uso e Consumo'!J856</f>
        <v>UN</v>
      </c>
      <c r="H856" s="49" t="n">
        <f aca="false">'Uso e Consumo'!F856</f>
        <v>1</v>
      </c>
      <c r="I856" s="35" t="n">
        <f aca="false">'Uso e Consumo'!G856</f>
        <v>1300</v>
      </c>
      <c r="J856" s="34" t="str">
        <f aca="false">'Uso e Consumo'!M856</f>
        <v>3.1.6.002 - Pneus e peças</v>
      </c>
      <c r="K856" s="32" t="str">
        <f aca="false">INDEX('Curva ABC'!$K$8:$K$2847,MATCH(D856,'Curva ABC'!$B$8:$B$2847,0))</f>
        <v>C</v>
      </c>
    </row>
    <row r="857" customFormat="false" ht="15" hidden="false" customHeight="false" outlineLevel="0" collapsed="false">
      <c r="A857" s="34" t="s">
        <v>5799</v>
      </c>
      <c r="B857" s="34" t="str">
        <f aca="false">'Uso e Consumo'!A857</f>
        <v>0335</v>
      </c>
      <c r="C857" s="34" t="str">
        <f aca="false">'Uso e Consumo'!B857</f>
        <v>UFV NORONHA VERDE - USO E CONSUMO</v>
      </c>
      <c r="D857" s="33" t="n">
        <f aca="false">'Uso e Consumo'!C857</f>
        <v>959144</v>
      </c>
      <c r="E857" s="34" t="str">
        <f aca="false">'Uso e Consumo'!D857</f>
        <v>26.04.0143</v>
      </c>
      <c r="F857" s="34" t="str">
        <f aca="false">'Uso e Consumo'!E857</f>
        <v>BASTÃO DE RESGATE PARA ALTA TENSÃO</v>
      </c>
      <c r="G857" s="34" t="str">
        <f aca="false">'Uso e Consumo'!J857</f>
        <v>UN</v>
      </c>
      <c r="H857" s="49" t="n">
        <f aca="false">'Uso e Consumo'!F857</f>
        <v>1</v>
      </c>
      <c r="I857" s="35" t="n">
        <f aca="false">'Uso e Consumo'!G857</f>
        <v>1298</v>
      </c>
      <c r="J857" s="34" t="str">
        <f aca="false">'Uso e Consumo'!M857</f>
        <v>4.3.4.001 - Equipamento de proteção individual</v>
      </c>
      <c r="K857" s="32" t="str">
        <f aca="false">INDEX('Curva ABC'!$K$8:$K$2847,MATCH(D857,'Curva ABC'!$B$8:$B$2847,0))</f>
        <v>C</v>
      </c>
    </row>
    <row r="858" customFormat="false" ht="15" hidden="false" customHeight="false" outlineLevel="0" collapsed="false">
      <c r="A858" s="34" t="s">
        <v>5799</v>
      </c>
      <c r="B858" s="34" t="str">
        <f aca="false">'Uso e Consumo'!A858</f>
        <v>0335</v>
      </c>
      <c r="C858" s="34" t="str">
        <f aca="false">'Uso e Consumo'!B858</f>
        <v>UFV NORONHA VERDE - USO E CONSUMO</v>
      </c>
      <c r="D858" s="33" t="n">
        <f aca="false">'Uso e Consumo'!C858</f>
        <v>30819</v>
      </c>
      <c r="E858" s="34" t="str">
        <f aca="false">'Uso e Consumo'!D858</f>
        <v>16.03.0014</v>
      </c>
      <c r="F858" s="34" t="str">
        <f aca="false">'Uso e Consumo'!E858</f>
        <v>TINTA LATEX PVA BRANCO NEVE LATA 18,00L NBR 11702</v>
      </c>
      <c r="G858" s="34" t="str">
        <f aca="false">'Uso e Consumo'!J858</f>
        <v>L18L</v>
      </c>
      <c r="H858" s="49" t="n">
        <f aca="false">'Uso e Consumo'!F858</f>
        <v>2</v>
      </c>
      <c r="I858" s="35" t="n">
        <f aca="false">'Uso e Consumo'!G858</f>
        <v>1296</v>
      </c>
      <c r="J858" s="34" t="str">
        <f aca="false">'Uso e Consumo'!M858</f>
        <v>3.8.1.016 - Pinturas</v>
      </c>
      <c r="K858" s="32" t="str">
        <f aca="false">INDEX('Curva ABC'!$K$8:$K$2847,MATCH(D858,'Curva ABC'!$B$8:$B$2847,0))</f>
        <v>C</v>
      </c>
    </row>
    <row r="859" customFormat="false" ht="15" hidden="false" customHeight="false" outlineLevel="0" collapsed="false">
      <c r="A859" s="34" t="s">
        <v>5799</v>
      </c>
      <c r="B859" s="34" t="str">
        <f aca="false">'Uso e Consumo'!A859</f>
        <v>0335</v>
      </c>
      <c r="C859" s="34" t="str">
        <f aca="false">'Uso e Consumo'!B859</f>
        <v>UFV NORONHA VERDE - USO E CONSUMO</v>
      </c>
      <c r="D859" s="33" t="n">
        <f aca="false">'Uso e Consumo'!C859</f>
        <v>1656993</v>
      </c>
      <c r="E859" s="34" t="str">
        <f aca="false">'Uso e Consumo'!D859</f>
        <v>18.11.0239</v>
      </c>
      <c r="F859" s="34" t="str">
        <f aca="false">'Uso e Consumo'!E859</f>
        <v>EXTINTOR DE PO QUIMICO SECO (PQS) ABC, PORTATIL, 4 KG, CLASSE/EXTINCAO 2A:20B:C</v>
      </c>
      <c r="G859" s="34" t="str">
        <f aca="false">'Uso e Consumo'!J859</f>
        <v>UN</v>
      </c>
      <c r="H859" s="49" t="n">
        <f aca="false">'Uso e Consumo'!F859</f>
        <v>6</v>
      </c>
      <c r="I859" s="35" t="n">
        <f aca="false">'Uso e Consumo'!G859</f>
        <v>1296</v>
      </c>
      <c r="J859" s="34" t="str">
        <f aca="false">'Uso e Consumo'!M859</f>
        <v>4.3.4.005 - Combate incêndio</v>
      </c>
      <c r="K859" s="32" t="str">
        <f aca="false">INDEX('Curva ABC'!$K$8:$K$2847,MATCH(D859,'Curva ABC'!$B$8:$B$2847,0))</f>
        <v>C</v>
      </c>
    </row>
    <row r="860" customFormat="false" ht="15" hidden="false" customHeight="false" outlineLevel="0" collapsed="false">
      <c r="A860" s="34" t="s">
        <v>5799</v>
      </c>
      <c r="B860" s="34" t="str">
        <f aca="false">'Uso e Consumo'!A860</f>
        <v>0335</v>
      </c>
      <c r="C860" s="34" t="str">
        <f aca="false">'Uso e Consumo'!B860</f>
        <v>UFV NORONHA VERDE - USO E CONSUMO</v>
      </c>
      <c r="D860" s="33" t="n">
        <f aca="false">'Uso e Consumo'!C860</f>
        <v>1383880</v>
      </c>
      <c r="E860" s="34" t="str">
        <f aca="false">'Uso e Consumo'!D860</f>
        <v>23.08.0088</v>
      </c>
      <c r="F860" s="34" t="str">
        <f aca="false">'Uso e Consumo'!E860</f>
        <v>BUCHA EM LIGA DE ALUMÍNIO COM TERMINAL DE ATERRAMENTO (FIO Ø 5 MM), PARA ELETRODUTO 2"</v>
      </c>
      <c r="G860" s="34" t="str">
        <f aca="false">'Uso e Consumo'!J860</f>
        <v>UN</v>
      </c>
      <c r="H860" s="49" t="n">
        <f aca="false">'Uso e Consumo'!F860</f>
        <v>39</v>
      </c>
      <c r="I860" s="35" t="n">
        <f aca="false">'Uso e Consumo'!G860</f>
        <v>1294.68</v>
      </c>
      <c r="J860" s="34" t="str">
        <f aca="false">'Uso e Consumo'!M860</f>
        <v>3.8.1.022 - Elementos de fixação</v>
      </c>
      <c r="K860" s="32" t="str">
        <f aca="false">INDEX('Curva ABC'!$K$8:$K$2847,MATCH(D860,'Curva ABC'!$B$8:$B$2847,0))</f>
        <v>C</v>
      </c>
    </row>
    <row r="861" customFormat="false" ht="15" hidden="false" customHeight="false" outlineLevel="0" collapsed="false">
      <c r="A861" s="34" t="s">
        <v>5799</v>
      </c>
      <c r="B861" s="34" t="str">
        <f aca="false">'Uso e Consumo'!A861</f>
        <v>0335</v>
      </c>
      <c r="C861" s="34" t="str">
        <f aca="false">'Uso e Consumo'!B861</f>
        <v>UFV NORONHA VERDE - USO E CONSUMO</v>
      </c>
      <c r="D861" s="33" t="n">
        <f aca="false">'Uso e Consumo'!C861</f>
        <v>34254</v>
      </c>
      <c r="E861" s="34" t="str">
        <f aca="false">'Uso e Consumo'!D861</f>
        <v>33.02.0700</v>
      </c>
      <c r="F861" s="34" t="str">
        <f aca="false">'Uso e Consumo'!E861</f>
        <v>SERRA 18 BIMETAL STARRETT</v>
      </c>
      <c r="G861" s="34" t="str">
        <f aca="false">'Uso e Consumo'!J861</f>
        <v>UN</v>
      </c>
      <c r="H861" s="49" t="n">
        <f aca="false">'Uso e Consumo'!F861</f>
        <v>100</v>
      </c>
      <c r="I861" s="35" t="n">
        <f aca="false">'Uso e Consumo'!G861</f>
        <v>1290</v>
      </c>
      <c r="J861" s="34" t="str">
        <f aca="false">'Uso e Consumo'!M861</f>
        <v>3.1.6.002 - Pneus e peças</v>
      </c>
      <c r="K861" s="32" t="str">
        <f aca="false">INDEX('Curva ABC'!$K$8:$K$2847,MATCH(D861,'Curva ABC'!$B$8:$B$2847,0))</f>
        <v>C</v>
      </c>
    </row>
    <row r="862" customFormat="false" ht="15" hidden="false" customHeight="false" outlineLevel="0" collapsed="false">
      <c r="A862" s="34" t="s">
        <v>5799</v>
      </c>
      <c r="B862" s="34" t="str">
        <f aca="false">'Uso e Consumo'!A862</f>
        <v>0335</v>
      </c>
      <c r="C862" s="34" t="str">
        <f aca="false">'Uso e Consumo'!B862</f>
        <v>UFV NORONHA VERDE - USO E CONSUMO</v>
      </c>
      <c r="D862" s="33" t="n">
        <f aca="false">'Uso e Consumo'!C862</f>
        <v>33296</v>
      </c>
      <c r="E862" s="34" t="str">
        <f aca="false">'Uso e Consumo'!D862</f>
        <v>28.01.0195</v>
      </c>
      <c r="F862" s="34" t="str">
        <f aca="false">'Uso e Consumo'!E862</f>
        <v>PLACA DE SINALIZAÇÃO RETANGULAR 1,00 X 0,70 M (ROTA DE FUGA)</v>
      </c>
      <c r="G862" s="34" t="str">
        <f aca="false">'Uso e Consumo'!J862</f>
        <v>UN</v>
      </c>
      <c r="H862" s="49" t="n">
        <f aca="false">'Uso e Consumo'!F862</f>
        <v>50</v>
      </c>
      <c r="I862" s="35" t="n">
        <f aca="false">'Uso e Consumo'!G862</f>
        <v>1275</v>
      </c>
      <c r="J862" s="34" t="str">
        <f aca="false">'Uso e Consumo'!M862</f>
        <v>3.8.1.023 - Comunicação visual e sinalização</v>
      </c>
      <c r="K862" s="32" t="str">
        <f aca="false">INDEX('Curva ABC'!$K$8:$K$2847,MATCH(D862,'Curva ABC'!$B$8:$B$2847,0))</f>
        <v>C</v>
      </c>
    </row>
    <row r="863" customFormat="false" ht="15" hidden="false" customHeight="false" outlineLevel="0" collapsed="false">
      <c r="A863" s="34" t="s">
        <v>5799</v>
      </c>
      <c r="B863" s="34" t="str">
        <f aca="false">'Uso e Consumo'!A863</f>
        <v>0335</v>
      </c>
      <c r="C863" s="34" t="str">
        <f aca="false">'Uso e Consumo'!B863</f>
        <v>UFV NORONHA VERDE - USO E CONSUMO</v>
      </c>
      <c r="D863" s="33" t="n">
        <f aca="false">'Uso e Consumo'!C863</f>
        <v>869285</v>
      </c>
      <c r="E863" s="34" t="str">
        <f aca="false">'Uso e Consumo'!D863</f>
        <v>29.01.1218</v>
      </c>
      <c r="F863" s="34" t="str">
        <f aca="false">'Uso e Consumo'!E863</f>
        <v>FILTRO DE LINHA INTELBRAS BIVOLT EPE 205 10A COM CABO DE 3 MTS</v>
      </c>
      <c r="G863" s="34" t="str">
        <f aca="false">'Uso e Consumo'!J863</f>
        <v>UN</v>
      </c>
      <c r="H863" s="49" t="n">
        <f aca="false">'Uso e Consumo'!F863</f>
        <v>20</v>
      </c>
      <c r="I863" s="35" t="n">
        <f aca="false">'Uso e Consumo'!G863</f>
        <v>1274.1</v>
      </c>
      <c r="J863" s="34" t="str">
        <f aca="false">'Uso e Consumo'!M863</f>
        <v>4.1.1.007 - Equipamentos e acessórios para informática</v>
      </c>
      <c r="K863" s="32" t="str">
        <f aca="false">INDEX('Curva ABC'!$K$8:$K$2847,MATCH(D863,'Curva ABC'!$B$8:$B$2847,0))</f>
        <v>C</v>
      </c>
    </row>
    <row r="864" customFormat="false" ht="15" hidden="false" customHeight="false" outlineLevel="0" collapsed="false">
      <c r="A864" s="34" t="s">
        <v>5799</v>
      </c>
      <c r="B864" s="34" t="str">
        <f aca="false">'Uso e Consumo'!A864</f>
        <v>0335</v>
      </c>
      <c r="C864" s="34" t="str">
        <f aca="false">'Uso e Consumo'!B864</f>
        <v>UFV NORONHA VERDE - USO E CONSUMO</v>
      </c>
      <c r="D864" s="33" t="n">
        <f aca="false">'Uso e Consumo'!C864</f>
        <v>293168</v>
      </c>
      <c r="E864" s="34" t="str">
        <f aca="false">'Uso e Consumo'!D864</f>
        <v>29.03.0220</v>
      </c>
      <c r="F864" s="34" t="str">
        <f aca="false">'Uso e Consumo'!E864</f>
        <v>FOGÃO PISO 4 BOCAS A GÁS - BRANCO</v>
      </c>
      <c r="G864" s="34" t="str">
        <f aca="false">'Uso e Consumo'!J864</f>
        <v>UN</v>
      </c>
      <c r="H864" s="49" t="n">
        <f aca="false">'Uso e Consumo'!F864</f>
        <v>2</v>
      </c>
      <c r="I864" s="35" t="n">
        <f aca="false">'Uso e Consumo'!G864</f>
        <v>1273.81</v>
      </c>
      <c r="J864" s="34" t="str">
        <f aca="false">'Uso e Consumo'!M864</f>
        <v>4.1.1.009 - Eletro eletrônico e acessórios</v>
      </c>
      <c r="K864" s="32" t="str">
        <f aca="false">INDEX('Curva ABC'!$K$8:$K$2847,MATCH(D864,'Curva ABC'!$B$8:$B$2847,0))</f>
        <v>C</v>
      </c>
    </row>
    <row r="865" customFormat="false" ht="15" hidden="false" customHeight="false" outlineLevel="0" collapsed="false">
      <c r="A865" s="34" t="s">
        <v>5799</v>
      </c>
      <c r="B865" s="34" t="str">
        <f aca="false">'Uso e Consumo'!A865</f>
        <v>0335</v>
      </c>
      <c r="C865" s="34" t="str">
        <f aca="false">'Uso e Consumo'!B865</f>
        <v>UFV NORONHA VERDE - USO E CONSUMO</v>
      </c>
      <c r="D865" s="33" t="n">
        <f aca="false">'Uso e Consumo'!C865</f>
        <v>23794</v>
      </c>
      <c r="E865" s="34" t="str">
        <f aca="false">'Uso e Consumo'!D865</f>
        <v>24.36.0003</v>
      </c>
      <c r="F865" s="34" t="str">
        <f aca="false">'Uso e Consumo'!E865</f>
        <v>FACÃO RABO DE GALO 14´´</v>
      </c>
      <c r="G865" s="34" t="str">
        <f aca="false">'Uso e Consumo'!J865</f>
        <v>UN</v>
      </c>
      <c r="H865" s="49" t="n">
        <f aca="false">'Uso e Consumo'!F865</f>
        <v>24</v>
      </c>
      <c r="I865" s="35" t="n">
        <f aca="false">'Uso e Consumo'!G865</f>
        <v>1272</v>
      </c>
      <c r="J865" s="34" t="str">
        <f aca="false">'Uso e Consumo'!M865</f>
        <v>3.8.2.002 - Ferramentas manuais</v>
      </c>
      <c r="K865" s="32" t="str">
        <f aca="false">INDEX('Curva ABC'!$K$8:$K$2847,MATCH(D865,'Curva ABC'!$B$8:$B$2847,0))</f>
        <v>C</v>
      </c>
    </row>
    <row r="866" customFormat="false" ht="15" hidden="false" customHeight="false" outlineLevel="0" collapsed="false">
      <c r="A866" s="34" t="s">
        <v>5799</v>
      </c>
      <c r="B866" s="34" t="str">
        <f aca="false">'Uso e Consumo'!A866</f>
        <v>0335</v>
      </c>
      <c r="C866" s="34" t="str">
        <f aca="false">'Uso e Consumo'!B866</f>
        <v>UFV NORONHA VERDE - USO E CONSUMO</v>
      </c>
      <c r="D866" s="33" t="n">
        <f aca="false">'Uso e Consumo'!C866</f>
        <v>295485</v>
      </c>
      <c r="E866" s="34" t="str">
        <f aca="false">'Uso e Consumo'!D866</f>
        <v>24.17.0015</v>
      </c>
      <c r="F866" s="34" t="str">
        <f aca="false">'Uso e Consumo'!E866</f>
        <v>PICARETA CHIBANCA C/ CABO</v>
      </c>
      <c r="G866" s="34" t="str">
        <f aca="false">'Uso e Consumo'!J866</f>
        <v>UN</v>
      </c>
      <c r="H866" s="49" t="n">
        <f aca="false">'Uso e Consumo'!F866</f>
        <v>16</v>
      </c>
      <c r="I866" s="35" t="n">
        <f aca="false">'Uso e Consumo'!G866</f>
        <v>1268</v>
      </c>
      <c r="J866" s="34" t="str">
        <f aca="false">'Uso e Consumo'!M866</f>
        <v>3.8.2.002 - Ferramentas manuais</v>
      </c>
      <c r="K866" s="32" t="str">
        <f aca="false">INDEX('Curva ABC'!$K$8:$K$2847,MATCH(D866,'Curva ABC'!$B$8:$B$2847,0))</f>
        <v>C</v>
      </c>
    </row>
    <row r="867" customFormat="false" ht="15" hidden="false" customHeight="false" outlineLevel="0" collapsed="false">
      <c r="A867" s="34" t="s">
        <v>5799</v>
      </c>
      <c r="B867" s="34" t="str">
        <f aca="false">'Uso e Consumo'!A867</f>
        <v>0335</v>
      </c>
      <c r="C867" s="34" t="str">
        <f aca="false">'Uso e Consumo'!B867</f>
        <v>UFV NORONHA VERDE - USO E CONSUMO</v>
      </c>
      <c r="D867" s="33" t="n">
        <f aca="false">'Uso e Consumo'!C867</f>
        <v>1666789</v>
      </c>
      <c r="E867" s="34" t="str">
        <f aca="false">'Uso e Consumo'!D867</f>
        <v>25.09.0195</v>
      </c>
      <c r="F867" s="34" t="str">
        <f aca="false">'Uso e Consumo'!E867</f>
        <v>CINTA PARA POSTE CIRCULAR DIAMETRO 190 MM</v>
      </c>
      <c r="G867" s="34" t="str">
        <f aca="false">'Uso e Consumo'!J867</f>
        <v>UN</v>
      </c>
      <c r="H867" s="49" t="n">
        <f aca="false">'Uso e Consumo'!F867</f>
        <v>20</v>
      </c>
      <c r="I867" s="35" t="n">
        <f aca="false">'Uso e Consumo'!G867</f>
        <v>1266.2</v>
      </c>
      <c r="J867" s="34" t="str">
        <f aca="false">'Uso e Consumo'!M867</f>
        <v>3.8.2.006 - Utensílios</v>
      </c>
      <c r="K867" s="32" t="str">
        <f aca="false">INDEX('Curva ABC'!$K$8:$K$2847,MATCH(D867,'Curva ABC'!$B$8:$B$2847,0))</f>
        <v>C</v>
      </c>
    </row>
    <row r="868" customFormat="false" ht="15" hidden="false" customHeight="false" outlineLevel="0" collapsed="false">
      <c r="A868" s="34" t="s">
        <v>5799</v>
      </c>
      <c r="B868" s="34" t="str">
        <f aca="false">'Uso e Consumo'!A868</f>
        <v>0335</v>
      </c>
      <c r="C868" s="34" t="str">
        <f aca="false">'Uso e Consumo'!B868</f>
        <v>UFV NORONHA VERDE - USO E CONSUMO</v>
      </c>
      <c r="D868" s="33" t="n">
        <f aca="false">'Uso e Consumo'!C868</f>
        <v>1614268</v>
      </c>
      <c r="E868" s="34" t="str">
        <f aca="false">'Uso e Consumo'!D868</f>
        <v>17.03.0615</v>
      </c>
      <c r="F868" s="34" t="str">
        <f aca="false">'Uso e Consumo'!E868</f>
        <v>CURVA HORIZONTAL 90 GRAUS PARA ELETROCALHA 200X100</v>
      </c>
      <c r="G868" s="34" t="str">
        <f aca="false">'Uso e Consumo'!J868</f>
        <v>UN</v>
      </c>
      <c r="H868" s="49" t="n">
        <f aca="false">'Uso e Consumo'!F868</f>
        <v>6</v>
      </c>
      <c r="I868" s="35" t="n">
        <f aca="false">'Uso e Consumo'!G868</f>
        <v>1258.64</v>
      </c>
      <c r="J868" s="34" t="str">
        <f aca="false">'Uso e Consumo'!M868</f>
        <v>3.8.1.017 - Instalações elétricas/telefônicas/lógica</v>
      </c>
      <c r="K868" s="32" t="str">
        <f aca="false">INDEX('Curva ABC'!$K$8:$K$2847,MATCH(D868,'Curva ABC'!$B$8:$B$2847,0))</f>
        <v>C</v>
      </c>
    </row>
    <row r="869" customFormat="false" ht="15" hidden="false" customHeight="false" outlineLevel="0" collapsed="false">
      <c r="A869" s="34" t="s">
        <v>5799</v>
      </c>
      <c r="B869" s="34" t="str">
        <f aca="false">'Uso e Consumo'!A869</f>
        <v>0335</v>
      </c>
      <c r="C869" s="34" t="str">
        <f aca="false">'Uso e Consumo'!B869</f>
        <v>UFV NORONHA VERDE - USO E CONSUMO</v>
      </c>
      <c r="D869" s="33" t="n">
        <f aca="false">'Uso e Consumo'!C869</f>
        <v>732768</v>
      </c>
      <c r="E869" s="34" t="str">
        <f aca="false">'Uso e Consumo'!D869</f>
        <v>17.02.0646</v>
      </c>
      <c r="F869" s="34" t="str">
        <f aca="false">'Uso e Consumo'!E869</f>
        <v>TAMPÃO/TERMINAL 5" P/ DUTO FLEXÍVEL PEAD</v>
      </c>
      <c r="G869" s="34" t="str">
        <f aca="false">'Uso e Consumo'!J869</f>
        <v>UN</v>
      </c>
      <c r="H869" s="49" t="n">
        <f aca="false">'Uso e Consumo'!F869</f>
        <v>50</v>
      </c>
      <c r="I869" s="35" t="n">
        <f aca="false">'Uso e Consumo'!G869</f>
        <v>1253</v>
      </c>
      <c r="J869" s="34" t="str">
        <f aca="false">'Uso e Consumo'!M869</f>
        <v>3.8.1.017 - Instalações elétricas/telefônicas/lógica</v>
      </c>
      <c r="K869" s="32" t="str">
        <f aca="false">INDEX('Curva ABC'!$K$8:$K$2847,MATCH(D869,'Curva ABC'!$B$8:$B$2847,0))</f>
        <v>C</v>
      </c>
    </row>
    <row r="870" customFormat="false" ht="15" hidden="false" customHeight="false" outlineLevel="0" collapsed="false">
      <c r="A870" s="34" t="s">
        <v>5799</v>
      </c>
      <c r="B870" s="34" t="str">
        <f aca="false">'Uso e Consumo'!A870</f>
        <v>0335</v>
      </c>
      <c r="C870" s="34" t="str">
        <f aca="false">'Uso e Consumo'!B870</f>
        <v>UFV NORONHA VERDE - USO E CONSUMO</v>
      </c>
      <c r="D870" s="33" t="n">
        <f aca="false">'Uso e Consumo'!C870</f>
        <v>1385184</v>
      </c>
      <c r="E870" s="34" t="str">
        <f aca="false">'Uso e Consumo'!D870</f>
        <v>17.01.1222</v>
      </c>
      <c r="F870" s="34" t="str">
        <f aca="false">'Uso e Consumo'!E870</f>
        <v>CABO MONOPOLAR 2,5 MM², CONDUTOR EM COBRE ELETROLÍTICO NU, TÊMPERA MOLE, CLASSE 5, TENSÃO 750 V, COR AZUL CLARO</v>
      </c>
      <c r="G870" s="34" t="str">
        <f aca="false">'Uso e Consumo'!J870</f>
        <v>M</v>
      </c>
      <c r="H870" s="49" t="n">
        <f aca="false">'Uso e Consumo'!F870</f>
        <v>415</v>
      </c>
      <c r="I870" s="35" t="n">
        <f aca="false">'Uso e Consumo'!G870</f>
        <v>1252.2</v>
      </c>
      <c r="J870" s="34" t="str">
        <f aca="false">'Uso e Consumo'!M870</f>
        <v>3.8.1.017 - Instalações elétricas/telefônicas/lógica</v>
      </c>
      <c r="K870" s="32" t="str">
        <f aca="false">INDEX('Curva ABC'!$K$8:$K$2847,MATCH(D870,'Curva ABC'!$B$8:$B$2847,0))</f>
        <v>C</v>
      </c>
    </row>
    <row r="871" customFormat="false" ht="15" hidden="false" customHeight="false" outlineLevel="0" collapsed="false">
      <c r="A871" s="34" t="s">
        <v>5799</v>
      </c>
      <c r="B871" s="34" t="str">
        <f aca="false">'Uso e Consumo'!A871</f>
        <v>0335</v>
      </c>
      <c r="C871" s="34" t="str">
        <f aca="false">'Uso e Consumo'!B871</f>
        <v>UFV NORONHA VERDE - USO E CONSUMO</v>
      </c>
      <c r="D871" s="33" t="n">
        <f aca="false">'Uso e Consumo'!C871</f>
        <v>961616</v>
      </c>
      <c r="E871" s="34" t="str">
        <f aca="false">'Uso e Consumo'!D871</f>
        <v>29.01.1353</v>
      </c>
      <c r="F871" s="34" t="str">
        <f aca="false">'Uso e Consumo'!E871</f>
        <v>CONECTOR MACHO RJ45 CAT5E - INTELBRAS</v>
      </c>
      <c r="G871" s="34" t="str">
        <f aca="false">'Uso e Consumo'!J871</f>
        <v>UN</v>
      </c>
      <c r="H871" s="49" t="n">
        <f aca="false">'Uso e Consumo'!F871</f>
        <v>600</v>
      </c>
      <c r="I871" s="35" t="n">
        <f aca="false">'Uso e Consumo'!G871</f>
        <v>1250</v>
      </c>
      <c r="J871" s="34" t="str">
        <f aca="false">'Uso e Consumo'!M871</f>
        <v>4.1.1.007 - Equipamentos e acessórios para informática</v>
      </c>
      <c r="K871" s="32" t="str">
        <f aca="false">INDEX('Curva ABC'!$K$8:$K$2847,MATCH(D871,'Curva ABC'!$B$8:$B$2847,0))</f>
        <v>C</v>
      </c>
    </row>
    <row r="872" customFormat="false" ht="15" hidden="false" customHeight="false" outlineLevel="0" collapsed="false">
      <c r="A872" s="34" t="s">
        <v>5799</v>
      </c>
      <c r="B872" s="34" t="str">
        <f aca="false">'Uso e Consumo'!A872</f>
        <v>0335</v>
      </c>
      <c r="C872" s="34" t="str">
        <f aca="false">'Uso e Consumo'!B872</f>
        <v>UFV NORONHA VERDE - USO E CONSUMO</v>
      </c>
      <c r="D872" s="33" t="n">
        <f aca="false">'Uso e Consumo'!C872</f>
        <v>1387008</v>
      </c>
      <c r="E872" s="34" t="str">
        <f aca="false">'Uso e Consumo'!D872</f>
        <v>17.02.0879</v>
      </c>
      <c r="F872" s="34" t="str">
        <f aca="false">'Uso e Consumo'!E872</f>
        <v>LUVA ADAPTADORA P/ ELETRODUTOS DE AÇO ZINCADO/CORRUG. FLEXÍVEL, DIÂMETRO 150 MM</v>
      </c>
      <c r="G872" s="34" t="str">
        <f aca="false">'Uso e Consumo'!J872</f>
        <v>UN</v>
      </c>
      <c r="H872" s="49" t="n">
        <f aca="false">'Uso e Consumo'!F872</f>
        <v>3</v>
      </c>
      <c r="I872" s="35" t="n">
        <f aca="false">'Uso e Consumo'!G872</f>
        <v>1245.87</v>
      </c>
      <c r="J872" s="34" t="str">
        <f aca="false">'Uso e Consumo'!M872</f>
        <v>3.8.1.017 - Instalações elétricas/telefônicas/lógica</v>
      </c>
      <c r="K872" s="32" t="str">
        <f aca="false">INDEX('Curva ABC'!$K$8:$K$2847,MATCH(D872,'Curva ABC'!$B$8:$B$2847,0))</f>
        <v>C</v>
      </c>
    </row>
    <row r="873" customFormat="false" ht="15" hidden="false" customHeight="false" outlineLevel="0" collapsed="false">
      <c r="A873" s="34" t="s">
        <v>5799</v>
      </c>
      <c r="B873" s="34" t="str">
        <f aca="false">'Uso e Consumo'!A873</f>
        <v>0335</v>
      </c>
      <c r="C873" s="34" t="str">
        <f aca="false">'Uso e Consumo'!B873</f>
        <v>UFV NORONHA VERDE - USO E CONSUMO</v>
      </c>
      <c r="D873" s="33" t="n">
        <f aca="false">'Uso e Consumo'!C873</f>
        <v>30869</v>
      </c>
      <c r="E873" s="34" t="str">
        <f aca="false">'Uso e Consumo'!D873</f>
        <v>17.02.0003</v>
      </c>
      <c r="F873" s="34" t="str">
        <f aca="false">'Uso e Consumo'!E873</f>
        <v>ELETRODUTO PVC ANTICHAMA FLEXIVEL CORRUGADO 32,00MM NBR 15465</v>
      </c>
      <c r="G873" s="34" t="str">
        <f aca="false">'Uso e Consumo'!J873</f>
        <v>R50M</v>
      </c>
      <c r="H873" s="49" t="n">
        <f aca="false">'Uso e Consumo'!F873</f>
        <v>7</v>
      </c>
      <c r="I873" s="35" t="n">
        <f aca="false">'Uso e Consumo'!G873</f>
        <v>1243.2</v>
      </c>
      <c r="J873" s="34" t="str">
        <f aca="false">'Uso e Consumo'!M873</f>
        <v>3.8.1.017 - Instalações elétricas/telefônicas/lógica</v>
      </c>
      <c r="K873" s="32" t="str">
        <f aca="false">INDEX('Curva ABC'!$K$8:$K$2847,MATCH(D873,'Curva ABC'!$B$8:$B$2847,0))</f>
        <v>C</v>
      </c>
    </row>
    <row r="874" customFormat="false" ht="15" hidden="false" customHeight="false" outlineLevel="0" collapsed="false">
      <c r="A874" s="34" t="s">
        <v>5799</v>
      </c>
      <c r="B874" s="34" t="str">
        <f aca="false">'Uso e Consumo'!A874</f>
        <v>0335</v>
      </c>
      <c r="C874" s="34" t="str">
        <f aca="false">'Uso e Consumo'!B874</f>
        <v>UFV NORONHA VERDE - USO E CONSUMO</v>
      </c>
      <c r="D874" s="33" t="n">
        <f aca="false">'Uso e Consumo'!C874</f>
        <v>1614239</v>
      </c>
      <c r="E874" s="34" t="str">
        <f aca="false">'Uso e Consumo'!D874</f>
        <v>18.07.0097</v>
      </c>
      <c r="F874" s="34" t="str">
        <f aca="false">'Uso e Consumo'!E874</f>
        <v>TANQUE RESERVATORIO IBC EM PEAD COM GAIOLA METALICA GALVANIZADA CAPACIDADE 1.000 LITROS</v>
      </c>
      <c r="G874" s="34" t="str">
        <f aca="false">'Uso e Consumo'!J874</f>
        <v>UN</v>
      </c>
      <c r="H874" s="49" t="n">
        <f aca="false">'Uso e Consumo'!F874</f>
        <v>1</v>
      </c>
      <c r="I874" s="35" t="n">
        <f aca="false">'Uso e Consumo'!G874</f>
        <v>1241.6</v>
      </c>
      <c r="J874" s="34" t="str">
        <f aca="false">'Uso e Consumo'!M874</f>
        <v>3.8.1.018 - Instalações hidráulicas/sanitárias/industriais</v>
      </c>
      <c r="K874" s="32" t="str">
        <f aca="false">INDEX('Curva ABC'!$K$8:$K$2847,MATCH(D874,'Curva ABC'!$B$8:$B$2847,0))</f>
        <v>C</v>
      </c>
    </row>
    <row r="875" customFormat="false" ht="15" hidden="false" customHeight="false" outlineLevel="0" collapsed="false">
      <c r="A875" s="34" t="s">
        <v>5799</v>
      </c>
      <c r="B875" s="34" t="str">
        <f aca="false">'Uso e Consumo'!A875</f>
        <v>0335</v>
      </c>
      <c r="C875" s="34" t="str">
        <f aca="false">'Uso e Consumo'!B875</f>
        <v>UFV NORONHA VERDE - USO E CONSUMO</v>
      </c>
      <c r="D875" s="33" t="n">
        <f aca="false">'Uso e Consumo'!C875</f>
        <v>1081193</v>
      </c>
      <c r="E875" s="34" t="str">
        <f aca="false">'Uso e Consumo'!D875</f>
        <v>23.08.0078</v>
      </c>
      <c r="F875" s="34" t="str">
        <f aca="false">'Uso e Consumo'!E875</f>
        <v>BUCHA TERMINAL PARA ELETRODUTO Ø2", ROSCA BSP</v>
      </c>
      <c r="G875" s="34" t="str">
        <f aca="false">'Uso e Consumo'!J875</f>
        <v>pç</v>
      </c>
      <c r="H875" s="49" t="n">
        <f aca="false">'Uso e Consumo'!F875</f>
        <v>96</v>
      </c>
      <c r="I875" s="35" t="n">
        <f aca="false">'Uso e Consumo'!G875</f>
        <v>1238.4</v>
      </c>
      <c r="J875" s="34" t="str">
        <f aca="false">'Uso e Consumo'!M875</f>
        <v>3.8.1.022 - Elementos de fixação</v>
      </c>
      <c r="K875" s="32" t="str">
        <f aca="false">INDEX('Curva ABC'!$K$8:$K$2847,MATCH(D875,'Curva ABC'!$B$8:$B$2847,0))</f>
        <v>C</v>
      </c>
    </row>
    <row r="876" customFormat="false" ht="15" hidden="false" customHeight="false" outlineLevel="0" collapsed="false">
      <c r="A876" s="34" t="s">
        <v>5799</v>
      </c>
      <c r="B876" s="34" t="str">
        <f aca="false">'Uso e Consumo'!A876</f>
        <v>0335</v>
      </c>
      <c r="C876" s="34" t="str">
        <f aca="false">'Uso e Consumo'!B876</f>
        <v>UFV NORONHA VERDE - USO E CONSUMO</v>
      </c>
      <c r="D876" s="33" t="n">
        <f aca="false">'Uso e Consumo'!C876</f>
        <v>348076</v>
      </c>
      <c r="E876" s="34" t="str">
        <f aca="false">'Uso e Consumo'!D876</f>
        <v>23.07.1178</v>
      </c>
      <c r="F876" s="34" t="str">
        <f aca="false">'Uso e Consumo'!E876</f>
        <v>PARAFUSO FLANG PH P/ BROCA 4.2 X 19MM </v>
      </c>
      <c r="G876" s="34" t="str">
        <f aca="false">'Uso e Consumo'!J876</f>
        <v>UN</v>
      </c>
      <c r="H876" s="49" t="n">
        <f aca="false">'Uso e Consumo'!F876</f>
        <v>10300</v>
      </c>
      <c r="I876" s="35" t="n">
        <f aca="false">'Uso e Consumo'!G876</f>
        <v>1236</v>
      </c>
      <c r="J876" s="34" t="str">
        <f aca="false">'Uso e Consumo'!M876</f>
        <v>3.8.1.022 - Elementos de fixação</v>
      </c>
      <c r="K876" s="32" t="str">
        <f aca="false">INDEX('Curva ABC'!$K$8:$K$2847,MATCH(D876,'Curva ABC'!$B$8:$B$2847,0))</f>
        <v>C</v>
      </c>
    </row>
    <row r="877" customFormat="false" ht="15" hidden="false" customHeight="false" outlineLevel="0" collapsed="false">
      <c r="A877" s="34" t="s">
        <v>5799</v>
      </c>
      <c r="B877" s="34" t="str">
        <f aca="false">'Uso e Consumo'!A877</f>
        <v>0335</v>
      </c>
      <c r="C877" s="34" t="str">
        <f aca="false">'Uso e Consumo'!B877</f>
        <v>UFV NORONHA VERDE - USO E CONSUMO</v>
      </c>
      <c r="D877" s="33" t="n">
        <f aca="false">'Uso e Consumo'!C877</f>
        <v>1383153</v>
      </c>
      <c r="E877" s="34" t="str">
        <f aca="false">'Uso e Consumo'!D877</f>
        <v>18.02.0754</v>
      </c>
      <c r="F877" s="34" t="str">
        <f aca="false">'Uso e Consumo'!E877</f>
        <v>TUBO DE AÇO GALVANIZADO 2" RIR BSP (NBR-5598) - 3000 MM COM LUVA</v>
      </c>
      <c r="G877" s="34" t="str">
        <f aca="false">'Uso e Consumo'!J877</f>
        <v>UN</v>
      </c>
      <c r="H877" s="49" t="n">
        <f aca="false">'Uso e Consumo'!F877</f>
        <v>6</v>
      </c>
      <c r="I877" s="35" t="n">
        <f aca="false">'Uso e Consumo'!G877</f>
        <v>1235.82</v>
      </c>
      <c r="J877" s="34" t="str">
        <f aca="false">'Uso e Consumo'!M877</f>
        <v>3.8.1.018 - Instalações hidráulicas/sanitárias/industriais</v>
      </c>
      <c r="K877" s="32" t="str">
        <f aca="false">INDEX('Curva ABC'!$K$8:$K$2847,MATCH(D877,'Curva ABC'!$B$8:$B$2847,0))</f>
        <v>C</v>
      </c>
    </row>
    <row r="878" customFormat="false" ht="15" hidden="false" customHeight="false" outlineLevel="0" collapsed="false">
      <c r="A878" s="34" t="s">
        <v>5799</v>
      </c>
      <c r="B878" s="34" t="str">
        <f aca="false">'Uso e Consumo'!A878</f>
        <v>0335</v>
      </c>
      <c r="C878" s="34" t="str">
        <f aca="false">'Uso e Consumo'!B878</f>
        <v>UFV NORONHA VERDE - USO E CONSUMO</v>
      </c>
      <c r="D878" s="33" t="n">
        <f aca="false">'Uso e Consumo'!C878</f>
        <v>18853</v>
      </c>
      <c r="E878" s="34" t="str">
        <f aca="false">'Uso e Consumo'!D878</f>
        <v>26.04.0002</v>
      </c>
      <c r="F878" s="34" t="str">
        <f aca="false">'Uso e Consumo'!E878</f>
        <v>CORDA PARA LINHA DE VIDA (TIPO BOMBEIRO/RAPEL) DE POLIAMIDA - TRAÇADO TRIPLO E ALMA CENTRAL C/ ALERT</v>
      </c>
      <c r="G878" s="34" t="str">
        <f aca="false">'Uso e Consumo'!J878</f>
        <v>M</v>
      </c>
      <c r="H878" s="49" t="n">
        <f aca="false">'Uso e Consumo'!F878</f>
        <v>300</v>
      </c>
      <c r="I878" s="35" t="n">
        <f aca="false">'Uso e Consumo'!G878</f>
        <v>1223.675</v>
      </c>
      <c r="J878" s="34" t="str">
        <f aca="false">'Uso e Consumo'!M878</f>
        <v>4.3.4.001 - Equipamento de proteção individual</v>
      </c>
      <c r="K878" s="32" t="str">
        <f aca="false">INDEX('Curva ABC'!$K$8:$K$2847,MATCH(D878,'Curva ABC'!$B$8:$B$2847,0))</f>
        <v>B</v>
      </c>
    </row>
    <row r="879" customFormat="false" ht="15" hidden="false" customHeight="false" outlineLevel="0" collapsed="false">
      <c r="A879" s="34" t="s">
        <v>5799</v>
      </c>
      <c r="B879" s="34" t="str">
        <f aca="false">'Uso e Consumo'!A879</f>
        <v>0335</v>
      </c>
      <c r="C879" s="34" t="str">
        <f aca="false">'Uso e Consumo'!B879</f>
        <v>UFV NORONHA VERDE - USO E CONSUMO</v>
      </c>
      <c r="D879" s="33" t="n">
        <f aca="false">'Uso e Consumo'!C879</f>
        <v>293126</v>
      </c>
      <c r="E879" s="34" t="str">
        <f aca="false">'Uso e Consumo'!D879</f>
        <v>25.12.0025</v>
      </c>
      <c r="F879" s="34" t="str">
        <f aca="false">'Uso e Consumo'!E879</f>
        <v>ESCADA DE ALUMINIO 7 DEGRAUS</v>
      </c>
      <c r="G879" s="34" t="str">
        <f aca="false">'Uso e Consumo'!J879</f>
        <v>UN</v>
      </c>
      <c r="H879" s="49" t="n">
        <f aca="false">'Uso e Consumo'!F879</f>
        <v>3</v>
      </c>
      <c r="I879" s="35" t="n">
        <f aca="false">'Uso e Consumo'!G879</f>
        <v>1222</v>
      </c>
      <c r="J879" s="34" t="str">
        <f aca="false">'Uso e Consumo'!M879</f>
        <v>3.8.2.006 - Utensílios</v>
      </c>
      <c r="K879" s="32" t="str">
        <f aca="false">INDEX('Curva ABC'!$K$8:$K$2847,MATCH(D879,'Curva ABC'!$B$8:$B$2847,0))</f>
        <v>C</v>
      </c>
    </row>
    <row r="880" customFormat="false" ht="15" hidden="false" customHeight="false" outlineLevel="0" collapsed="false">
      <c r="A880" s="34" t="s">
        <v>5799</v>
      </c>
      <c r="B880" s="34" t="str">
        <f aca="false">'Uso e Consumo'!A880</f>
        <v>0335</v>
      </c>
      <c r="C880" s="34" t="str">
        <f aca="false">'Uso e Consumo'!B880</f>
        <v>UFV NORONHA VERDE - USO E CONSUMO</v>
      </c>
      <c r="D880" s="33" t="n">
        <f aca="false">'Uso e Consumo'!C880</f>
        <v>1330636</v>
      </c>
      <c r="E880" s="34" t="str">
        <f aca="false">'Uso e Consumo'!D880</f>
        <v>23.07.1570</v>
      </c>
      <c r="F880" s="34" t="str">
        <f aca="false">'Uso e Consumo'!E880</f>
        <v>KIT PARAFUSO P/ BACIA SANITÁRIA </v>
      </c>
      <c r="G880" s="34" t="str">
        <f aca="false">'Uso e Consumo'!J880</f>
        <v>UN</v>
      </c>
      <c r="H880" s="49" t="n">
        <f aca="false">'Uso e Consumo'!F880</f>
        <v>70</v>
      </c>
      <c r="I880" s="35" t="n">
        <f aca="false">'Uso e Consumo'!G880</f>
        <v>1219.08</v>
      </c>
      <c r="J880" s="34" t="str">
        <f aca="false">'Uso e Consumo'!M880</f>
        <v>3.8.1.022 - Elementos de fixação</v>
      </c>
      <c r="K880" s="32" t="str">
        <f aca="false">INDEX('Curva ABC'!$K$8:$K$2847,MATCH(D880,'Curva ABC'!$B$8:$B$2847,0))</f>
        <v>C</v>
      </c>
    </row>
    <row r="881" customFormat="false" ht="15" hidden="false" customHeight="false" outlineLevel="0" collapsed="false">
      <c r="A881" s="34" t="s">
        <v>5799</v>
      </c>
      <c r="B881" s="34" t="str">
        <f aca="false">'Uso e Consumo'!A881</f>
        <v>0335</v>
      </c>
      <c r="C881" s="34" t="str">
        <f aca="false">'Uso e Consumo'!B881</f>
        <v>UFV NORONHA VERDE - USO E CONSUMO</v>
      </c>
      <c r="D881" s="33" t="n">
        <f aca="false">'Uso e Consumo'!C881</f>
        <v>21323</v>
      </c>
      <c r="E881" s="34" t="str">
        <f aca="false">'Uso e Consumo'!D881</f>
        <v>32.02.0009</v>
      </c>
      <c r="F881" s="34" t="str">
        <f aca="false">'Uso e Consumo'!E881</f>
        <v>CINTA DE ELEVAÇÃO CAPACIDADE 3,0T COM 5,0M</v>
      </c>
      <c r="G881" s="34" t="str">
        <f aca="false">'Uso e Consumo'!J881</f>
        <v>UN</v>
      </c>
      <c r="H881" s="49" t="n">
        <f aca="false">'Uso e Consumo'!F881</f>
        <v>8</v>
      </c>
      <c r="I881" s="35" t="n">
        <f aca="false">'Uso e Consumo'!G881</f>
        <v>1218</v>
      </c>
      <c r="J881" s="34" t="str">
        <f aca="false">'Uso e Consumo'!M881</f>
        <v>6.1.2.002 - Ferramentas e utensílios</v>
      </c>
      <c r="K881" s="32" t="str">
        <f aca="false">INDEX('Curva ABC'!$K$8:$K$2847,MATCH(D881,'Curva ABC'!$B$8:$B$2847,0))</f>
        <v>C</v>
      </c>
    </row>
    <row r="882" customFormat="false" ht="15" hidden="false" customHeight="false" outlineLevel="0" collapsed="false">
      <c r="A882" s="34" t="s">
        <v>5799</v>
      </c>
      <c r="B882" s="34" t="str">
        <f aca="false">'Uso e Consumo'!A882</f>
        <v>0335</v>
      </c>
      <c r="C882" s="34" t="str">
        <f aca="false">'Uso e Consumo'!B882</f>
        <v>UFV NORONHA VERDE - USO E CONSUMO</v>
      </c>
      <c r="D882" s="33" t="n">
        <f aca="false">'Uso e Consumo'!C882</f>
        <v>1469243</v>
      </c>
      <c r="E882" s="34" t="str">
        <f aca="false">'Uso e Consumo'!D882</f>
        <v>09.21.0419</v>
      </c>
      <c r="F882" s="34" t="str">
        <f aca="false">'Uso e Consumo'!E882</f>
        <v>TAMPA METALICA GALV 2 CH 18</v>
      </c>
      <c r="G882" s="34" t="str">
        <f aca="false">'Uso e Consumo'!J882</f>
        <v>UN</v>
      </c>
      <c r="H882" s="49" t="n">
        <f aca="false">'Uso e Consumo'!F882</f>
        <v>224</v>
      </c>
      <c r="I882" s="35" t="n">
        <f aca="false">'Uso e Consumo'!G882</f>
        <v>1209.6</v>
      </c>
      <c r="J882" s="34" t="str">
        <f aca="false">'Uso e Consumo'!M882</f>
        <v>3.8.1.022 - Elementos de fixação</v>
      </c>
      <c r="K882" s="32" t="str">
        <f aca="false">INDEX('Curva ABC'!$K$8:$K$2847,MATCH(D882,'Curva ABC'!$B$8:$B$2847,0))</f>
        <v>C</v>
      </c>
    </row>
    <row r="883" customFormat="false" ht="15" hidden="false" customHeight="false" outlineLevel="0" collapsed="false">
      <c r="A883" s="34" t="s">
        <v>5799</v>
      </c>
      <c r="B883" s="34" t="str">
        <f aca="false">'Uso e Consumo'!A883</f>
        <v>0335</v>
      </c>
      <c r="C883" s="34" t="str">
        <f aca="false">'Uso e Consumo'!B883</f>
        <v>UFV NORONHA VERDE - USO E CONSUMO</v>
      </c>
      <c r="D883" s="33" t="n">
        <f aca="false">'Uso e Consumo'!C883</f>
        <v>222161</v>
      </c>
      <c r="E883" s="34" t="str">
        <f aca="false">'Uso e Consumo'!D883</f>
        <v>28.01.0367</v>
      </c>
      <c r="F883" s="34" t="str">
        <f aca="false">'Uso e Consumo'!E883</f>
        <v>PLACA DE SINALIZAÇÃO</v>
      </c>
      <c r="G883" s="34" t="str">
        <f aca="false">'Uso e Consumo'!J883</f>
        <v>UN</v>
      </c>
      <c r="H883" s="49" t="n">
        <f aca="false">'Uso e Consumo'!F883</f>
        <v>74</v>
      </c>
      <c r="I883" s="35" t="n">
        <f aca="false">'Uso e Consumo'!G883</f>
        <v>1209</v>
      </c>
      <c r="J883" s="34" t="str">
        <f aca="false">'Uso e Consumo'!M883</f>
        <v>3.8.1.023 - Comunicação visual e sinalização</v>
      </c>
      <c r="K883" s="32" t="str">
        <f aca="false">INDEX('Curva ABC'!$K$8:$K$2847,MATCH(D883,'Curva ABC'!$B$8:$B$2847,0))</f>
        <v>C</v>
      </c>
    </row>
    <row r="884" customFormat="false" ht="15" hidden="false" customHeight="false" outlineLevel="0" collapsed="false">
      <c r="A884" s="34" t="s">
        <v>5799</v>
      </c>
      <c r="B884" s="34" t="str">
        <f aca="false">'Uso e Consumo'!A884</f>
        <v>0335</v>
      </c>
      <c r="C884" s="34" t="str">
        <f aca="false">'Uso e Consumo'!B884</f>
        <v>UFV NORONHA VERDE - USO E CONSUMO</v>
      </c>
      <c r="D884" s="33" t="n">
        <f aca="false">'Uso e Consumo'!C884</f>
        <v>295500</v>
      </c>
      <c r="E884" s="34" t="str">
        <f aca="false">'Uso e Consumo'!D884</f>
        <v>24.20.0010</v>
      </c>
      <c r="F884" s="34" t="str">
        <f aca="false">'Uso e Consumo'!E884</f>
        <v>RÉGUA DE ALUMÍNIO DE 3M</v>
      </c>
      <c r="G884" s="34" t="str">
        <f aca="false">'Uso e Consumo'!J884</f>
        <v>UN</v>
      </c>
      <c r="H884" s="49" t="n">
        <f aca="false">'Uso e Consumo'!F884</f>
        <v>6</v>
      </c>
      <c r="I884" s="35" t="n">
        <f aca="false">'Uso e Consumo'!G884</f>
        <v>1206.48</v>
      </c>
      <c r="J884" s="34" t="str">
        <f aca="false">'Uso e Consumo'!M884</f>
        <v>3.8.2.002 - Ferramentas manuais</v>
      </c>
      <c r="K884" s="32" t="str">
        <f aca="false">INDEX('Curva ABC'!$K$8:$K$2847,MATCH(D884,'Curva ABC'!$B$8:$B$2847,0))</f>
        <v>C</v>
      </c>
    </row>
    <row r="885" customFormat="false" ht="15" hidden="false" customHeight="false" outlineLevel="0" collapsed="false">
      <c r="A885" s="34" t="s">
        <v>5799</v>
      </c>
      <c r="B885" s="34" t="str">
        <f aca="false">'Uso e Consumo'!A885</f>
        <v>0335</v>
      </c>
      <c r="C885" s="34" t="str">
        <f aca="false">'Uso e Consumo'!B885</f>
        <v>UFV NORONHA VERDE - USO E CONSUMO</v>
      </c>
      <c r="D885" s="33" t="n">
        <f aca="false">'Uso e Consumo'!C885</f>
        <v>35382</v>
      </c>
      <c r="E885" s="34" t="str">
        <f aca="false">'Uso e Consumo'!D885</f>
        <v>26.04.0014</v>
      </c>
      <c r="F885" s="34" t="str">
        <f aca="false">'Uso e Consumo'!E885</f>
        <v>MOSQUETÃO HMS DE AÇO (PERÂ)</v>
      </c>
      <c r="G885" s="34" t="str">
        <f aca="false">'Uso e Consumo'!J885</f>
        <v>UN</v>
      </c>
      <c r="H885" s="49" t="n">
        <f aca="false">'Uso e Consumo'!F885</f>
        <v>10</v>
      </c>
      <c r="I885" s="35" t="n">
        <f aca="false">'Uso e Consumo'!G885</f>
        <v>1205</v>
      </c>
      <c r="J885" s="34" t="str">
        <f aca="false">'Uso e Consumo'!M885</f>
        <v>4.3.4.001 - Equipamento de proteção individual</v>
      </c>
      <c r="K885" s="32" t="str">
        <f aca="false">INDEX('Curva ABC'!$K$8:$K$2847,MATCH(D885,'Curva ABC'!$B$8:$B$2847,0))</f>
        <v>C</v>
      </c>
    </row>
    <row r="886" customFormat="false" ht="15" hidden="false" customHeight="false" outlineLevel="0" collapsed="false">
      <c r="A886" s="34" t="s">
        <v>5799</v>
      </c>
      <c r="B886" s="34" t="str">
        <f aca="false">'Uso e Consumo'!A886</f>
        <v>0335</v>
      </c>
      <c r="C886" s="34" t="str">
        <f aca="false">'Uso e Consumo'!B886</f>
        <v>UFV NORONHA VERDE - USO E CONSUMO</v>
      </c>
      <c r="D886" s="33" t="n">
        <f aca="false">'Uso e Consumo'!C886</f>
        <v>387506</v>
      </c>
      <c r="E886" s="34" t="str">
        <f aca="false">'Uso e Consumo'!D886</f>
        <v>17.20.0376</v>
      </c>
      <c r="F886" s="34" t="str">
        <f aca="false">'Uso e Consumo'!E886</f>
        <v>FITA DE SINALIZAÇÃO COM ESCRITA "CUIDADO, REDE ELÉTRICA ABAIXO"</v>
      </c>
      <c r="G886" s="34" t="str">
        <f aca="false">'Uso e Consumo'!J886</f>
        <v>M</v>
      </c>
      <c r="H886" s="49" t="n">
        <f aca="false">'Uso e Consumo'!F886</f>
        <v>1700</v>
      </c>
      <c r="I886" s="35" t="n">
        <f aca="false">'Uso e Consumo'!G886</f>
        <v>1203.43</v>
      </c>
      <c r="J886" s="34" t="str">
        <f aca="false">'Uso e Consumo'!M886</f>
        <v>3.8.1.017 - Instalações elétricas/telefônicas/lógica</v>
      </c>
      <c r="K886" s="32" t="str">
        <f aca="false">INDEX('Curva ABC'!$K$8:$K$2847,MATCH(D886,'Curva ABC'!$B$8:$B$2847,0))</f>
        <v>C</v>
      </c>
    </row>
    <row r="887" customFormat="false" ht="15" hidden="false" customHeight="false" outlineLevel="0" collapsed="false">
      <c r="A887" s="34" t="s">
        <v>5799</v>
      </c>
      <c r="B887" s="34" t="str">
        <f aca="false">'Uso e Consumo'!A887</f>
        <v>0335</v>
      </c>
      <c r="C887" s="34" t="str">
        <f aca="false">'Uso e Consumo'!B887</f>
        <v>UFV NORONHA VERDE - USO E CONSUMO</v>
      </c>
      <c r="D887" s="33" t="n">
        <f aca="false">'Uso e Consumo'!C887</f>
        <v>227434</v>
      </c>
      <c r="E887" s="34" t="str">
        <f aca="false">'Uso e Consumo'!D887</f>
        <v>27.01.0229</v>
      </c>
      <c r="F887" s="34" t="str">
        <f aca="false">'Uso e Consumo'!E887</f>
        <v>OMEPRAZOL 40MG CX 20FA+20AMP</v>
      </c>
      <c r="G887" s="34" t="str">
        <f aca="false">'Uso e Consumo'!J887</f>
        <v>UN</v>
      </c>
      <c r="H887" s="49" t="n">
        <f aca="false">'Uso e Consumo'!F887</f>
        <v>3</v>
      </c>
      <c r="I887" s="35" t="n">
        <f aca="false">'Uso e Consumo'!G887</f>
        <v>1200</v>
      </c>
      <c r="J887" s="34" t="str">
        <f aca="false">'Uso e Consumo'!M887</f>
        <v>4.3.4.006 - Medicamentos e primeiro socorros</v>
      </c>
      <c r="K887" s="32" t="str">
        <f aca="false">INDEX('Curva ABC'!$K$8:$K$2847,MATCH(D887,'Curva ABC'!$B$8:$B$2847,0))</f>
        <v>C</v>
      </c>
    </row>
    <row r="888" customFormat="false" ht="15" hidden="false" customHeight="false" outlineLevel="0" collapsed="false">
      <c r="A888" s="34" t="s">
        <v>5799</v>
      </c>
      <c r="B888" s="34" t="str">
        <f aca="false">'Uso e Consumo'!A888</f>
        <v>0335</v>
      </c>
      <c r="C888" s="34" t="str">
        <f aca="false">'Uso e Consumo'!B888</f>
        <v>UFV NORONHA VERDE - USO E CONSUMO</v>
      </c>
      <c r="D888" s="33" t="n">
        <f aca="false">'Uso e Consumo'!C888</f>
        <v>1092798</v>
      </c>
      <c r="E888" s="34" t="str">
        <f aca="false">'Uso e Consumo'!D888</f>
        <v>13.06.0355</v>
      </c>
      <c r="F888" s="34" t="str">
        <f aca="false">'Uso e Consumo'!E888</f>
        <v>DOBRADIÇAS REFORÇADAS</v>
      </c>
      <c r="G888" s="34" t="str">
        <f aca="false">'Uso e Consumo'!J888</f>
        <v>UN</v>
      </c>
      <c r="H888" s="49" t="n">
        <f aca="false">'Uso e Consumo'!F888</f>
        <v>100</v>
      </c>
      <c r="I888" s="35" t="n">
        <f aca="false">'Uso e Consumo'!G888</f>
        <v>1200</v>
      </c>
      <c r="J888" s="34" t="str">
        <f aca="false">'Uso e Consumo'!M888</f>
        <v>3.8.1.013 - Esquadrias e vidros</v>
      </c>
      <c r="K888" s="32" t="str">
        <f aca="false">INDEX('Curva ABC'!$K$8:$K$2847,MATCH(D888,'Curva ABC'!$B$8:$B$2847,0))</f>
        <v>C</v>
      </c>
    </row>
    <row r="889" customFormat="false" ht="15" hidden="false" customHeight="false" outlineLevel="0" collapsed="false">
      <c r="A889" s="34" t="s">
        <v>5799</v>
      </c>
      <c r="B889" s="34" t="str">
        <f aca="false">'Uso e Consumo'!A889</f>
        <v>0335</v>
      </c>
      <c r="C889" s="34" t="str">
        <f aca="false">'Uso e Consumo'!B889</f>
        <v>UFV NORONHA VERDE - USO E CONSUMO</v>
      </c>
      <c r="D889" s="33" t="n">
        <f aca="false">'Uso e Consumo'!C889</f>
        <v>730865</v>
      </c>
      <c r="E889" s="34" t="str">
        <f aca="false">'Uso e Consumo'!D889</f>
        <v>30.03.0389</v>
      </c>
      <c r="F889" s="34" t="str">
        <f aca="false">'Uso e Consumo'!E889</f>
        <v>DESINFETANTE</v>
      </c>
      <c r="G889" s="34" t="str">
        <f aca="false">'Uso e Consumo'!J889</f>
        <v>UN</v>
      </c>
      <c r="H889" s="49" t="n">
        <f aca="false">'Uso e Consumo'!F889</f>
        <v>20</v>
      </c>
      <c r="I889" s="35" t="n">
        <f aca="false">'Uso e Consumo'!G889</f>
        <v>1199.6</v>
      </c>
      <c r="J889" s="34" t="str">
        <f aca="false">'Uso e Consumo'!M889</f>
        <v>4.1.1.003 - Material limpeza</v>
      </c>
      <c r="K889" s="32" t="str">
        <f aca="false">INDEX('Curva ABC'!$K$8:$K$2847,MATCH(D889,'Curva ABC'!$B$8:$B$2847,0))</f>
        <v>C</v>
      </c>
    </row>
    <row r="890" customFormat="false" ht="15" hidden="false" customHeight="false" outlineLevel="0" collapsed="false">
      <c r="A890" s="34" t="s">
        <v>5799</v>
      </c>
      <c r="B890" s="34" t="str">
        <f aca="false">'Uso e Consumo'!A890</f>
        <v>0335</v>
      </c>
      <c r="C890" s="34" t="str">
        <f aca="false">'Uso e Consumo'!B890</f>
        <v>UFV NORONHA VERDE - USO E CONSUMO</v>
      </c>
      <c r="D890" s="33" t="n">
        <f aca="false">'Uso e Consumo'!C890</f>
        <v>1174574</v>
      </c>
      <c r="E890" s="34" t="str">
        <f aca="false">'Uso e Consumo'!D890</f>
        <v>25.01.0245</v>
      </c>
      <c r="F890" s="34" t="str">
        <f aca="false">'Uso e Consumo'!E890</f>
        <v>DISCO DE SERRA CIRCULAR 10" 40D</v>
      </c>
      <c r="G890" s="34" t="str">
        <f aca="false">'Uso e Consumo'!J890</f>
        <v>UN</v>
      </c>
      <c r="H890" s="49" t="n">
        <f aca="false">'Uso e Consumo'!F890</f>
        <v>1</v>
      </c>
      <c r="I890" s="35" t="n">
        <f aca="false">'Uso e Consumo'!G890</f>
        <v>1198</v>
      </c>
      <c r="J890" s="34" t="str">
        <f aca="false">'Uso e Consumo'!M890</f>
        <v>3.8.2.004 - Consumíveis para corte, perfuração e desbaste</v>
      </c>
      <c r="K890" s="32" t="str">
        <f aca="false">INDEX('Curva ABC'!$K$8:$K$2847,MATCH(D890,'Curva ABC'!$B$8:$B$2847,0))</f>
        <v>C</v>
      </c>
    </row>
    <row r="891" customFormat="false" ht="15" hidden="false" customHeight="false" outlineLevel="0" collapsed="false">
      <c r="A891" s="34" t="s">
        <v>5799</v>
      </c>
      <c r="B891" s="34" t="str">
        <f aca="false">'Uso e Consumo'!A891</f>
        <v>0335</v>
      </c>
      <c r="C891" s="34" t="str">
        <f aca="false">'Uso e Consumo'!B891</f>
        <v>UFV NORONHA VERDE - USO E CONSUMO</v>
      </c>
      <c r="D891" s="33" t="n">
        <f aca="false">'Uso e Consumo'!C891</f>
        <v>18691</v>
      </c>
      <c r="E891" s="34" t="str">
        <f aca="false">'Uso e Consumo'!D891</f>
        <v>25.12.0003</v>
      </c>
      <c r="F891" s="34" t="str">
        <f aca="false">'Uso e Consumo'!E891</f>
        <v>ESCADA AÇO INOX 316 RETA 4 DEGRAUS</v>
      </c>
      <c r="G891" s="34" t="str">
        <f aca="false">'Uso e Consumo'!J891</f>
        <v>UN</v>
      </c>
      <c r="H891" s="49" t="n">
        <f aca="false">'Uso e Consumo'!F891</f>
        <v>2</v>
      </c>
      <c r="I891" s="35" t="n">
        <f aca="false">'Uso e Consumo'!G891</f>
        <v>1196</v>
      </c>
      <c r="J891" s="34" t="str">
        <f aca="false">'Uso e Consumo'!M891</f>
        <v>3.8.2.006 - Utensílios</v>
      </c>
      <c r="K891" s="32" t="str">
        <f aca="false">INDEX('Curva ABC'!$K$8:$K$2847,MATCH(D891,'Curva ABC'!$B$8:$B$2847,0))</f>
        <v>C</v>
      </c>
    </row>
    <row r="892" customFormat="false" ht="15" hidden="false" customHeight="false" outlineLevel="0" collapsed="false">
      <c r="A892" s="34" t="s">
        <v>5799</v>
      </c>
      <c r="B892" s="34" t="str">
        <f aca="false">'Uso e Consumo'!A892</f>
        <v>0335</v>
      </c>
      <c r="C892" s="34" t="str">
        <f aca="false">'Uso e Consumo'!B892</f>
        <v>UFV NORONHA VERDE - USO E CONSUMO</v>
      </c>
      <c r="D892" s="33" t="n">
        <f aca="false">'Uso e Consumo'!C892</f>
        <v>1181486</v>
      </c>
      <c r="E892" s="34" t="str">
        <f aca="false">'Uso e Consumo'!D892</f>
        <v>30.03.0537</v>
      </c>
      <c r="F892" s="34" t="str">
        <f aca="false">'Uso e Consumo'!E892</f>
        <v>RODO ALUMÍNIO 80CM C/CABO</v>
      </c>
      <c r="G892" s="34" t="str">
        <f aca="false">'Uso e Consumo'!J892</f>
        <v>UN</v>
      </c>
      <c r="H892" s="49" t="n">
        <f aca="false">'Uso e Consumo'!F892</f>
        <v>10</v>
      </c>
      <c r="I892" s="35" t="n">
        <f aca="false">'Uso e Consumo'!G892</f>
        <v>1193.1</v>
      </c>
      <c r="J892" s="34" t="str">
        <f aca="false">'Uso e Consumo'!M892</f>
        <v>4.1.1.003 - Material limpeza</v>
      </c>
      <c r="K892" s="32" t="str">
        <f aca="false">INDEX('Curva ABC'!$K$8:$K$2847,MATCH(D892,'Curva ABC'!$B$8:$B$2847,0))</f>
        <v>C</v>
      </c>
    </row>
    <row r="893" customFormat="false" ht="15" hidden="false" customHeight="false" outlineLevel="0" collapsed="false">
      <c r="A893" s="34" t="s">
        <v>5799</v>
      </c>
      <c r="B893" s="34" t="str">
        <f aca="false">'Uso e Consumo'!A893</f>
        <v>0335</v>
      </c>
      <c r="C893" s="34" t="str">
        <f aca="false">'Uso e Consumo'!B893</f>
        <v>UFV NORONHA VERDE - USO E CONSUMO</v>
      </c>
      <c r="D893" s="33" t="n">
        <f aca="false">'Uso e Consumo'!C893</f>
        <v>1016523</v>
      </c>
      <c r="E893" s="34" t="str">
        <f aca="false">'Uso e Consumo'!D893</f>
        <v>33.02.2825</v>
      </c>
      <c r="F893" s="34" t="str">
        <f aca="false">'Uso e Consumo'!E893</f>
        <v>DENTE LCB 400/F0341</v>
      </c>
      <c r="G893" s="34" t="str">
        <f aca="false">'Uso e Consumo'!J893</f>
        <v>UN</v>
      </c>
      <c r="H893" s="49" t="n">
        <f aca="false">'Uso e Consumo'!F893</f>
        <v>3</v>
      </c>
      <c r="I893" s="35" t="n">
        <f aca="false">'Uso e Consumo'!G893</f>
        <v>1189.06</v>
      </c>
      <c r="J893" s="34" t="str">
        <f aca="false">'Uso e Consumo'!M893</f>
        <v>3.1.6.002 - Pneus e peças</v>
      </c>
      <c r="K893" s="32" t="str">
        <f aca="false">INDEX('Curva ABC'!$K$8:$K$2847,MATCH(D893,'Curva ABC'!$B$8:$B$2847,0))</f>
        <v>C</v>
      </c>
    </row>
    <row r="894" customFormat="false" ht="15" hidden="false" customHeight="false" outlineLevel="0" collapsed="false">
      <c r="A894" s="34" t="s">
        <v>5799</v>
      </c>
      <c r="B894" s="34" t="str">
        <f aca="false">'Uso e Consumo'!A894</f>
        <v>0335</v>
      </c>
      <c r="C894" s="34" t="str">
        <f aca="false">'Uso e Consumo'!B894</f>
        <v>UFV NORONHA VERDE - USO E CONSUMO</v>
      </c>
      <c r="D894" s="33" t="n">
        <f aca="false">'Uso e Consumo'!C894</f>
        <v>1465404</v>
      </c>
      <c r="E894" s="34" t="str">
        <f aca="false">'Uso e Consumo'!D894</f>
        <v>17.01.1246</v>
      </c>
      <c r="F894" s="34" t="str">
        <f aca="false">'Uso e Consumo'!E894</f>
        <v>CABO MONOPOLAR 2,5 MM², EM COBRE NU, TÊMPERA MOLE, CLASSE 5, TENSÃO 750 V, EM PVC, 70 °C, COR PRETO </v>
      </c>
      <c r="G894" s="34" t="str">
        <f aca="false">'Uso e Consumo'!J894</f>
        <v>M</v>
      </c>
      <c r="H894" s="49" t="n">
        <f aca="false">'Uso e Consumo'!F894</f>
        <v>170</v>
      </c>
      <c r="I894" s="35" t="n">
        <f aca="false">'Uso e Consumo'!G894</f>
        <v>1188.4</v>
      </c>
      <c r="J894" s="34" t="str">
        <f aca="false">'Uso e Consumo'!M894</f>
        <v>3.7.1.018 - Serviço de instalações elétricas/telefônica/lógica</v>
      </c>
      <c r="K894" s="32" t="str">
        <f aca="false">INDEX('Curva ABC'!$K$8:$K$2847,MATCH(D894,'Curva ABC'!$B$8:$B$2847,0))</f>
        <v>C</v>
      </c>
    </row>
    <row r="895" customFormat="false" ht="15" hidden="false" customHeight="false" outlineLevel="0" collapsed="false">
      <c r="A895" s="34" t="s">
        <v>5799</v>
      </c>
      <c r="B895" s="34" t="str">
        <f aca="false">'Uso e Consumo'!A895</f>
        <v>0335</v>
      </c>
      <c r="C895" s="34" t="str">
        <f aca="false">'Uso e Consumo'!B895</f>
        <v>UFV NORONHA VERDE - USO E CONSUMO</v>
      </c>
      <c r="D895" s="33" t="n">
        <f aca="false">'Uso e Consumo'!C895</f>
        <v>16713</v>
      </c>
      <c r="E895" s="34" t="str">
        <f aca="false">'Uso e Consumo'!D895</f>
        <v>23.03.0025</v>
      </c>
      <c r="F895" s="34" t="str">
        <f aca="false">'Uso e Consumo'!E895</f>
        <v>PREGO COMUM C/CABECA AÇO TEMPERADO 2.1/2" X 10 REF 18 X 27</v>
      </c>
      <c r="G895" s="34" t="str">
        <f aca="false">'Uso e Consumo'!J895</f>
        <v>KG</v>
      </c>
      <c r="H895" s="49" t="n">
        <f aca="false">'Uso e Consumo'!F895</f>
        <v>60</v>
      </c>
      <c r="I895" s="35" t="n">
        <f aca="false">'Uso e Consumo'!G895</f>
        <v>1188</v>
      </c>
      <c r="J895" s="34" t="str">
        <f aca="false">'Uso e Consumo'!M895</f>
        <v>3.8.1.022 - Elementos de fixação</v>
      </c>
      <c r="K895" s="32" t="str">
        <f aca="false">INDEX('Curva ABC'!$K$8:$K$2847,MATCH(D895,'Curva ABC'!$B$8:$B$2847,0))</f>
        <v>C</v>
      </c>
    </row>
    <row r="896" customFormat="false" ht="15" hidden="false" customHeight="false" outlineLevel="0" collapsed="false">
      <c r="A896" s="34" t="s">
        <v>5799</v>
      </c>
      <c r="B896" s="34" t="str">
        <f aca="false">'Uso e Consumo'!A896</f>
        <v>0335</v>
      </c>
      <c r="C896" s="34" t="str">
        <f aca="false">'Uso e Consumo'!B896</f>
        <v>UFV NORONHA VERDE - USO E CONSUMO</v>
      </c>
      <c r="D896" s="33" t="n">
        <f aca="false">'Uso e Consumo'!C896</f>
        <v>55058</v>
      </c>
      <c r="E896" s="34" t="str">
        <f aca="false">'Uso e Consumo'!D896</f>
        <v>17.10.0189</v>
      </c>
      <c r="F896" s="34" t="str">
        <f aca="false">'Uso e Consumo'!E896</f>
        <v>DISJUNTOR TRIFÁSICO 100A – 127/220/380V NBR 60898</v>
      </c>
      <c r="G896" s="34" t="str">
        <f aca="false">'Uso e Consumo'!J896</f>
        <v>UN</v>
      </c>
      <c r="H896" s="49" t="n">
        <f aca="false">'Uso e Consumo'!F896</f>
        <v>3</v>
      </c>
      <c r="I896" s="35" t="n">
        <f aca="false">'Uso e Consumo'!G896</f>
        <v>1174</v>
      </c>
      <c r="J896" s="34" t="str">
        <f aca="false">'Uso e Consumo'!M896</f>
        <v>3.8.1.017 - Instalações elétricas/telefônicas/lógica</v>
      </c>
      <c r="K896" s="32" t="str">
        <f aca="false">INDEX('Curva ABC'!$K$8:$K$2847,MATCH(D896,'Curva ABC'!$B$8:$B$2847,0))</f>
        <v>C</v>
      </c>
    </row>
    <row r="897" customFormat="false" ht="15" hidden="false" customHeight="false" outlineLevel="0" collapsed="false">
      <c r="A897" s="34" t="s">
        <v>5799</v>
      </c>
      <c r="B897" s="34" t="str">
        <f aca="false">'Uso e Consumo'!A897</f>
        <v>0335</v>
      </c>
      <c r="C897" s="34" t="str">
        <f aca="false">'Uso e Consumo'!B897</f>
        <v>UFV NORONHA VERDE - USO E CONSUMO</v>
      </c>
      <c r="D897" s="33" t="n">
        <f aca="false">'Uso e Consumo'!C897</f>
        <v>1615275</v>
      </c>
      <c r="E897" s="34" t="str">
        <f aca="false">'Uso e Consumo'!D897</f>
        <v>17.12.0515</v>
      </c>
      <c r="F897" s="34" t="str">
        <f aca="false">'Uso e Consumo'!E897</f>
        <v>CONDULETE PVC MULT 1" 5E C/INT SIMP</v>
      </c>
      <c r="G897" s="34" t="str">
        <f aca="false">'Uso e Consumo'!J897</f>
        <v>UN</v>
      </c>
      <c r="H897" s="49" t="n">
        <f aca="false">'Uso e Consumo'!F897</f>
        <v>64</v>
      </c>
      <c r="I897" s="35" t="n">
        <f aca="false">'Uso e Consumo'!G897</f>
        <v>1171.84</v>
      </c>
      <c r="J897" s="34" t="str">
        <f aca="false">'Uso e Consumo'!M897</f>
        <v>3.8.1.017 - Instalações elétricas/telefônicas/lógica</v>
      </c>
      <c r="K897" s="32" t="str">
        <f aca="false">INDEX('Curva ABC'!$K$8:$K$2847,MATCH(D897,'Curva ABC'!$B$8:$B$2847,0))</f>
        <v>C</v>
      </c>
    </row>
    <row r="898" customFormat="false" ht="15" hidden="false" customHeight="false" outlineLevel="0" collapsed="false">
      <c r="A898" s="34" t="s">
        <v>5799</v>
      </c>
      <c r="B898" s="34" t="str">
        <f aca="false">'Uso e Consumo'!A898</f>
        <v>0335</v>
      </c>
      <c r="C898" s="34" t="str">
        <f aca="false">'Uso e Consumo'!B898</f>
        <v>UFV NORONHA VERDE - USO E CONSUMO</v>
      </c>
      <c r="D898" s="33" t="n">
        <f aca="false">'Uso e Consumo'!C898</f>
        <v>1476023</v>
      </c>
      <c r="E898" s="34" t="str">
        <f aca="false">'Uso e Consumo'!D898</f>
        <v>24.08.0153</v>
      </c>
      <c r="F898" s="34" t="str">
        <f aca="false">'Uso e Consumo'!E898</f>
        <v>ALICATE TESOURÃO ATÉ 23,5 MM² CABO SIMPLES</v>
      </c>
      <c r="G898" s="34" t="str">
        <f aca="false">'Uso e Consumo'!J898</f>
        <v>UN</v>
      </c>
      <c r="H898" s="49" t="n">
        <f aca="false">'Uso e Consumo'!F898</f>
        <v>3</v>
      </c>
      <c r="I898" s="35" t="n">
        <f aca="false">'Uso e Consumo'!G898</f>
        <v>1170</v>
      </c>
      <c r="J898" s="34" t="str">
        <f aca="false">'Uso e Consumo'!M898</f>
        <v>3.8.2.002 - Ferramentas manuais</v>
      </c>
      <c r="K898" s="32" t="str">
        <f aca="false">INDEX('Curva ABC'!$K$8:$K$2847,MATCH(D898,'Curva ABC'!$B$8:$B$2847,0))</f>
        <v>C</v>
      </c>
    </row>
    <row r="899" customFormat="false" ht="15" hidden="false" customHeight="false" outlineLevel="0" collapsed="false">
      <c r="A899" s="34" t="s">
        <v>5799</v>
      </c>
      <c r="B899" s="34" t="str">
        <f aca="false">'Uso e Consumo'!A899</f>
        <v>0335</v>
      </c>
      <c r="C899" s="34" t="str">
        <f aca="false">'Uso e Consumo'!B899</f>
        <v>UFV NORONHA VERDE - USO E CONSUMO</v>
      </c>
      <c r="D899" s="33" t="n">
        <f aca="false">'Uso e Consumo'!C899</f>
        <v>1387009</v>
      </c>
      <c r="E899" s="34" t="str">
        <f aca="false">'Uso e Consumo'!D899</f>
        <v>17.02.0880</v>
      </c>
      <c r="F899" s="34" t="str">
        <f aca="false">'Uso e Consumo'!E899</f>
        <v>LUVA ADAPTADORA P/ ELETRODUTOS DE AÇO ZINCADO/CORRUG. FLEXÍVEL, DIÂMETRO 75 MM</v>
      </c>
      <c r="G899" s="34" t="str">
        <f aca="false">'Uso e Consumo'!J899</f>
        <v>UN</v>
      </c>
      <c r="H899" s="49" t="n">
        <f aca="false">'Uso e Consumo'!F899</f>
        <v>13</v>
      </c>
      <c r="I899" s="35" t="n">
        <f aca="false">'Uso e Consumo'!G899</f>
        <v>1169.74</v>
      </c>
      <c r="J899" s="34" t="str">
        <f aca="false">'Uso e Consumo'!M899</f>
        <v>3.8.1.017 - Instalações elétricas/telefônicas/lógica</v>
      </c>
      <c r="K899" s="32" t="str">
        <f aca="false">INDEX('Curva ABC'!$K$8:$K$2847,MATCH(D899,'Curva ABC'!$B$8:$B$2847,0))</f>
        <v>C</v>
      </c>
    </row>
    <row r="900" customFormat="false" ht="15" hidden="false" customHeight="false" outlineLevel="0" collapsed="false">
      <c r="A900" s="34" t="s">
        <v>5799</v>
      </c>
      <c r="B900" s="34" t="str">
        <f aca="false">'Uso e Consumo'!A900</f>
        <v>0335</v>
      </c>
      <c r="C900" s="34" t="str">
        <f aca="false">'Uso e Consumo'!B900</f>
        <v>UFV NORONHA VERDE - USO E CONSUMO</v>
      </c>
      <c r="D900" s="33" t="n">
        <f aca="false">'Uso e Consumo'!C900</f>
        <v>1068925</v>
      </c>
      <c r="E900" s="34" t="str">
        <f aca="false">'Uso e Consumo'!D900</f>
        <v>26.04.0151</v>
      </c>
      <c r="F900" s="34" t="str">
        <f aca="false">'Uso e Consumo'!E900</f>
        <v>TRAVA QUEDAS PARA CORDA 12MM</v>
      </c>
      <c r="G900" s="34" t="str">
        <f aca="false">'Uso e Consumo'!J900</f>
        <v>UN</v>
      </c>
      <c r="H900" s="49" t="n">
        <f aca="false">'Uso e Consumo'!F900</f>
        <v>10</v>
      </c>
      <c r="I900" s="35" t="n">
        <f aca="false">'Uso e Consumo'!G900</f>
        <v>1169.1</v>
      </c>
      <c r="J900" s="34" t="str">
        <f aca="false">'Uso e Consumo'!M900</f>
        <v>4.3.4.001 - Equipamento de proteção individual</v>
      </c>
      <c r="K900" s="32" t="str">
        <f aca="false">INDEX('Curva ABC'!$K$8:$K$2847,MATCH(D900,'Curva ABC'!$B$8:$B$2847,0))</f>
        <v>C</v>
      </c>
    </row>
    <row r="901" customFormat="false" ht="15" hidden="false" customHeight="false" outlineLevel="0" collapsed="false">
      <c r="A901" s="34" t="s">
        <v>5799</v>
      </c>
      <c r="B901" s="34" t="str">
        <f aca="false">'Uso e Consumo'!A901</f>
        <v>0335</v>
      </c>
      <c r="C901" s="34" t="str">
        <f aca="false">'Uso e Consumo'!B901</f>
        <v>UFV NORONHA VERDE - USO E CONSUMO</v>
      </c>
      <c r="D901" s="33" t="n">
        <f aca="false">'Uso e Consumo'!C901</f>
        <v>280491</v>
      </c>
      <c r="E901" s="34" t="str">
        <f aca="false">'Uso e Consumo'!D901</f>
        <v>17.20.0310</v>
      </c>
      <c r="F901" s="34" t="str">
        <f aca="false">'Uso e Consumo'!E901</f>
        <v>SUPORTE PARA BAP EM AÇO GALVANIZADO, FURO 14MM PARA PARAFUSOS M12</v>
      </c>
      <c r="G901" s="34" t="str">
        <f aca="false">'Uso e Consumo'!J901</f>
        <v>UN</v>
      </c>
      <c r="H901" s="49" t="n">
        <f aca="false">'Uso e Consumo'!F901</f>
        <v>95</v>
      </c>
      <c r="I901" s="35" t="n">
        <f aca="false">'Uso e Consumo'!G901</f>
        <v>1165.65</v>
      </c>
      <c r="J901" s="34" t="str">
        <f aca="false">'Uso e Consumo'!M901</f>
        <v>3.8.1.017 - Instalações elétricas/telefônicas/lógica</v>
      </c>
      <c r="K901" s="32" t="str">
        <f aca="false">INDEX('Curva ABC'!$K$8:$K$2847,MATCH(D901,'Curva ABC'!$B$8:$B$2847,0))</f>
        <v>C</v>
      </c>
    </row>
    <row r="902" customFormat="false" ht="15" hidden="false" customHeight="false" outlineLevel="0" collapsed="false">
      <c r="A902" s="34" t="s">
        <v>5799</v>
      </c>
      <c r="B902" s="34" t="str">
        <f aca="false">'Uso e Consumo'!A902</f>
        <v>0335</v>
      </c>
      <c r="C902" s="34" t="str">
        <f aca="false">'Uso e Consumo'!B902</f>
        <v>UFV NORONHA VERDE - USO E CONSUMO</v>
      </c>
      <c r="D902" s="33" t="n">
        <f aca="false">'Uso e Consumo'!C902</f>
        <v>18884</v>
      </c>
      <c r="E902" s="34" t="str">
        <f aca="false">'Uso e Consumo'!D902</f>
        <v>26.06.0002</v>
      </c>
      <c r="F902" s="34" t="str">
        <f aca="false">'Uso e Consumo'!E902</f>
        <v>LUVA LATÉX - TAM. M (CA-15532/6659/27788/19435)</v>
      </c>
      <c r="G902" s="34" t="str">
        <f aca="false">'Uso e Consumo'!J902</f>
        <v>PAR</v>
      </c>
      <c r="H902" s="49" t="n">
        <f aca="false">'Uso e Consumo'!F902</f>
        <v>20</v>
      </c>
      <c r="I902" s="35" t="n">
        <f aca="false">'Uso e Consumo'!G902</f>
        <v>1160</v>
      </c>
      <c r="J902" s="34" t="str">
        <f aca="false">'Uso e Consumo'!M902</f>
        <v>4.3.4.001 - Equipamento de proteção individual</v>
      </c>
      <c r="K902" s="32" t="str">
        <f aca="false">INDEX('Curva ABC'!$K$8:$K$2847,MATCH(D902,'Curva ABC'!$B$8:$B$2847,0))</f>
        <v>C</v>
      </c>
    </row>
    <row r="903" customFormat="false" ht="15" hidden="false" customHeight="false" outlineLevel="0" collapsed="false">
      <c r="A903" s="34" t="s">
        <v>5799</v>
      </c>
      <c r="B903" s="34" t="str">
        <f aca="false">'Uso e Consumo'!A903</f>
        <v>0335</v>
      </c>
      <c r="C903" s="34" t="str">
        <f aca="false">'Uso e Consumo'!B903</f>
        <v>UFV NORONHA VERDE - USO E CONSUMO</v>
      </c>
      <c r="D903" s="33" t="n">
        <f aca="false">'Uso e Consumo'!C903</f>
        <v>144446</v>
      </c>
      <c r="E903" s="34" t="str">
        <f aca="false">'Uso e Consumo'!D903</f>
        <v>26.04.0059</v>
      </c>
      <c r="F903" s="34" t="str">
        <f aca="false">'Uso e Consumo'!E903</f>
        <v>DISPOSITIVO DE ANCORAGEM FIXO TIPO A1</v>
      </c>
      <c r="G903" s="34" t="str">
        <f aca="false">'Uso e Consumo'!J903</f>
        <v>UN</v>
      </c>
      <c r="H903" s="49" t="n">
        <f aca="false">'Uso e Consumo'!F903</f>
        <v>4</v>
      </c>
      <c r="I903" s="35" t="n">
        <f aca="false">'Uso e Consumo'!G903</f>
        <v>1160</v>
      </c>
      <c r="J903" s="34" t="str">
        <f aca="false">'Uso e Consumo'!M903</f>
        <v>4.3.4.001 - Equipamento de proteção individual</v>
      </c>
      <c r="K903" s="32" t="str">
        <f aca="false">INDEX('Curva ABC'!$K$8:$K$2847,MATCH(D903,'Curva ABC'!$B$8:$B$2847,0))</f>
        <v>C</v>
      </c>
    </row>
    <row r="904" customFormat="false" ht="15" hidden="false" customHeight="false" outlineLevel="0" collapsed="false">
      <c r="A904" s="34" t="s">
        <v>5799</v>
      </c>
      <c r="B904" s="34" t="str">
        <f aca="false">'Uso e Consumo'!A904</f>
        <v>0335</v>
      </c>
      <c r="C904" s="34" t="str">
        <f aca="false">'Uso e Consumo'!B904</f>
        <v>UFV NORONHA VERDE - USO E CONSUMO</v>
      </c>
      <c r="D904" s="33" t="n">
        <f aca="false">'Uso e Consumo'!C904</f>
        <v>858570</v>
      </c>
      <c r="E904" s="34" t="str">
        <f aca="false">'Uso e Consumo'!D904</f>
        <v>17.02.0708</v>
      </c>
      <c r="F904" s="34" t="str">
        <f aca="false">'Uso e Consumo'!E904</f>
        <v>ELETRODUTO CORRUGADO FLEXÍVEL 3"</v>
      </c>
      <c r="G904" s="34" t="str">
        <f aca="false">'Uso e Consumo'!J904</f>
        <v>M</v>
      </c>
      <c r="H904" s="49" t="n">
        <f aca="false">'Uso e Consumo'!F904</f>
        <v>67</v>
      </c>
      <c r="I904" s="35" t="n">
        <f aca="false">'Uso e Consumo'!G904</f>
        <v>1159.44</v>
      </c>
      <c r="J904" s="34" t="str">
        <f aca="false">'Uso e Consumo'!M904</f>
        <v>3.8.1.017 - Instalações elétricas/telefônicas/lógica</v>
      </c>
      <c r="K904" s="32" t="str">
        <f aca="false">INDEX('Curva ABC'!$K$8:$K$2847,MATCH(D904,'Curva ABC'!$B$8:$B$2847,0))</f>
        <v>C</v>
      </c>
    </row>
    <row r="905" customFormat="false" ht="15" hidden="false" customHeight="false" outlineLevel="0" collapsed="false">
      <c r="A905" s="34" t="s">
        <v>5799</v>
      </c>
      <c r="B905" s="34" t="str">
        <f aca="false">'Uso e Consumo'!A905</f>
        <v>0335</v>
      </c>
      <c r="C905" s="34" t="str">
        <f aca="false">'Uso e Consumo'!B905</f>
        <v>UFV NORONHA VERDE - USO E CONSUMO</v>
      </c>
      <c r="D905" s="33" t="n">
        <f aca="false">'Uso e Consumo'!C905</f>
        <v>1228556</v>
      </c>
      <c r="E905" s="34" t="str">
        <f aca="false">'Uso e Consumo'!D905</f>
        <v>17.07.0091</v>
      </c>
      <c r="F905" s="34" t="str">
        <f aca="false">'Uso e Consumo'!E905</f>
        <v>CAIXA DE PASSAGEM METALICA 150X150X100MM SOBREPOR</v>
      </c>
      <c r="G905" s="34" t="str">
        <f aca="false">'Uso e Consumo'!J905</f>
        <v>UN</v>
      </c>
      <c r="H905" s="49" t="n">
        <f aca="false">'Uso e Consumo'!F905</f>
        <v>12</v>
      </c>
      <c r="I905" s="35" t="n">
        <f aca="false">'Uso e Consumo'!G905</f>
        <v>1158.96</v>
      </c>
      <c r="J905" s="34" t="str">
        <f aca="false">'Uso e Consumo'!M905</f>
        <v>3.8.1.017 - Instalações elétricas/telefônicas/lógica</v>
      </c>
      <c r="K905" s="32" t="str">
        <f aca="false">INDEX('Curva ABC'!$K$8:$K$2847,MATCH(D905,'Curva ABC'!$B$8:$B$2847,0))</f>
        <v>C</v>
      </c>
    </row>
    <row r="906" customFormat="false" ht="15" hidden="false" customHeight="false" outlineLevel="0" collapsed="false">
      <c r="A906" s="34" t="s">
        <v>5799</v>
      </c>
      <c r="B906" s="34" t="str">
        <f aca="false">'Uso e Consumo'!A906</f>
        <v>0335</v>
      </c>
      <c r="C906" s="34" t="str">
        <f aca="false">'Uso e Consumo'!B906</f>
        <v>UFV NORONHA VERDE - USO E CONSUMO</v>
      </c>
      <c r="D906" s="33" t="n">
        <f aca="false">'Uso e Consumo'!C906</f>
        <v>1479338</v>
      </c>
      <c r="E906" s="34" t="str">
        <f aca="false">'Uso e Consumo'!D906</f>
        <v>17.02.0910</v>
      </c>
      <c r="F906" s="34" t="str">
        <f aca="false">'Uso e Consumo'!E906</f>
        <v>BUCHA DE ACABAMENTO EM PVC PARA ELETRODUTO DN 2" – ROSCA BSP</v>
      </c>
      <c r="G906" s="34" t="str">
        <f aca="false">'Uso e Consumo'!J906</f>
        <v>UN</v>
      </c>
      <c r="H906" s="49" t="n">
        <f aca="false">'Uso e Consumo'!F906</f>
        <v>30</v>
      </c>
      <c r="I906" s="35" t="n">
        <f aca="false">'Uso e Consumo'!G906</f>
        <v>1158.09</v>
      </c>
      <c r="J906" s="34" t="str">
        <f aca="false">'Uso e Consumo'!M906</f>
        <v>3.7.1.018 - Serviço de instalações elétricas/telefônica/lógica</v>
      </c>
      <c r="K906" s="32" t="str">
        <f aca="false">INDEX('Curva ABC'!$K$8:$K$2847,MATCH(D906,'Curva ABC'!$B$8:$B$2847,0))</f>
        <v>C</v>
      </c>
    </row>
    <row r="907" customFormat="false" ht="15" hidden="false" customHeight="false" outlineLevel="0" collapsed="false">
      <c r="A907" s="34" t="s">
        <v>5799</v>
      </c>
      <c r="B907" s="34" t="str">
        <f aca="false">'Uso e Consumo'!A907</f>
        <v>0335</v>
      </c>
      <c r="C907" s="34" t="str">
        <f aca="false">'Uso e Consumo'!B907</f>
        <v>UFV NORONHA VERDE - USO E CONSUMO</v>
      </c>
      <c r="D907" s="33" t="n">
        <f aca="false">'Uso e Consumo'!C907</f>
        <v>1484156</v>
      </c>
      <c r="E907" s="34" t="str">
        <f aca="false">'Uso e Consumo'!D907</f>
        <v>23.07.1610</v>
      </c>
      <c r="F907" s="34" t="str">
        <f aca="false">'Uso e Consumo'!E907</f>
        <v>PARAFUSO ROSCA SOBERBA AÇO GALVANIZADO A FOGO CABEÇA SEXTAVADA 1/4" X 40 MM</v>
      </c>
      <c r="G907" s="34" t="str">
        <f aca="false">'Uso e Consumo'!J907</f>
        <v>UN</v>
      </c>
      <c r="H907" s="49" t="n">
        <f aca="false">'Uso e Consumo'!F907</f>
        <v>558</v>
      </c>
      <c r="I907" s="35" t="n">
        <f aca="false">'Uso e Consumo'!G907</f>
        <v>1157.82</v>
      </c>
      <c r="J907" s="34" t="str">
        <f aca="false">'Uso e Consumo'!M907</f>
        <v>3.8.1.022 - Elementos de fixação</v>
      </c>
      <c r="K907" s="32" t="str">
        <f aca="false">INDEX('Curva ABC'!$K$8:$K$2847,MATCH(D907,'Curva ABC'!$B$8:$B$2847,0))</f>
        <v>C</v>
      </c>
    </row>
    <row r="908" customFormat="false" ht="15" hidden="false" customHeight="false" outlineLevel="0" collapsed="false">
      <c r="A908" s="34" t="s">
        <v>5799</v>
      </c>
      <c r="B908" s="34" t="str">
        <f aca="false">'Uso e Consumo'!A908</f>
        <v>0335</v>
      </c>
      <c r="C908" s="34" t="str">
        <f aca="false">'Uso e Consumo'!B908</f>
        <v>UFV NORONHA VERDE - USO E CONSUMO</v>
      </c>
      <c r="D908" s="33" t="n">
        <f aca="false">'Uso e Consumo'!C908</f>
        <v>18824</v>
      </c>
      <c r="E908" s="34" t="str">
        <f aca="false">'Uso e Consumo'!D908</f>
        <v>26.02.0028</v>
      </c>
      <c r="F908" s="34" t="str">
        <f aca="false">'Uso e Consumo'!E908</f>
        <v>BOTA IMPERMEÁVEL DE PVC CANO LONGO - COR PRETA - Nº 45 (CA-26629/10199/28286)</v>
      </c>
      <c r="G908" s="34" t="str">
        <f aca="false">'Uso e Consumo'!J908</f>
        <v>PAR</v>
      </c>
      <c r="H908" s="49" t="n">
        <f aca="false">'Uso e Consumo'!F908</f>
        <v>38</v>
      </c>
      <c r="I908" s="35" t="n">
        <f aca="false">'Uso e Consumo'!G908</f>
        <v>1147.7</v>
      </c>
      <c r="J908" s="34" t="str">
        <f aca="false">'Uso e Consumo'!M908</f>
        <v>4.3.4.001 - Equipamento de proteção individual</v>
      </c>
      <c r="K908" s="32" t="str">
        <f aca="false">INDEX('Curva ABC'!$K$8:$K$2847,MATCH(D908,'Curva ABC'!$B$8:$B$2847,0))</f>
        <v>C</v>
      </c>
    </row>
    <row r="909" customFormat="false" ht="15" hidden="false" customHeight="false" outlineLevel="0" collapsed="false">
      <c r="A909" s="34" t="s">
        <v>5799</v>
      </c>
      <c r="B909" s="34" t="str">
        <f aca="false">'Uso e Consumo'!A909</f>
        <v>0335</v>
      </c>
      <c r="C909" s="34" t="str">
        <f aca="false">'Uso e Consumo'!B909</f>
        <v>UFV NORONHA VERDE - USO E CONSUMO</v>
      </c>
      <c r="D909" s="33" t="n">
        <f aca="false">'Uso e Consumo'!C909</f>
        <v>22126</v>
      </c>
      <c r="E909" s="34" t="str">
        <f aca="false">'Uso e Consumo'!D909</f>
        <v>30.03.0120</v>
      </c>
      <c r="F909" s="34" t="str">
        <f aca="false">'Uso e Consumo'!E909</f>
        <v>TRAPO PARA LIMPEZA</v>
      </c>
      <c r="G909" s="34" t="str">
        <f aca="false">'Uso e Consumo'!J909</f>
        <v>KG</v>
      </c>
      <c r="H909" s="49" t="n">
        <f aca="false">'Uso e Consumo'!F909</f>
        <v>70</v>
      </c>
      <c r="I909" s="35" t="n">
        <f aca="false">'Uso e Consumo'!G909</f>
        <v>1142.6</v>
      </c>
      <c r="J909" s="34" t="str">
        <f aca="false">'Uso e Consumo'!M909</f>
        <v>4.1.1.003 - Material limpeza</v>
      </c>
      <c r="K909" s="32" t="str">
        <f aca="false">INDEX('Curva ABC'!$K$8:$K$2847,MATCH(D909,'Curva ABC'!$B$8:$B$2847,0))</f>
        <v>C</v>
      </c>
    </row>
    <row r="910" customFormat="false" ht="15" hidden="false" customHeight="false" outlineLevel="0" collapsed="false">
      <c r="A910" s="34" t="s">
        <v>5799</v>
      </c>
      <c r="B910" s="34" t="str">
        <f aca="false">'Uso e Consumo'!A910</f>
        <v>0335</v>
      </c>
      <c r="C910" s="34" t="str">
        <f aca="false">'Uso e Consumo'!B910</f>
        <v>UFV NORONHA VERDE - USO E CONSUMO</v>
      </c>
      <c r="D910" s="33" t="n">
        <f aca="false">'Uso e Consumo'!C910</f>
        <v>1387300</v>
      </c>
      <c r="E910" s="34" t="str">
        <f aca="false">'Uso e Consumo'!D910</f>
        <v>01.09.0387</v>
      </c>
      <c r="F910" s="34" t="str">
        <f aca="false">'Uso e Consumo'!E910</f>
        <v>CANTONEIRA L 140x140x9 - 250 MM</v>
      </c>
      <c r="G910" s="34" t="str">
        <f aca="false">'Uso e Consumo'!J910</f>
        <v>UN</v>
      </c>
      <c r="H910" s="49" t="n">
        <f aca="false">'Uso e Consumo'!F910</f>
        <v>3</v>
      </c>
      <c r="I910" s="35" t="n">
        <f aca="false">'Uso e Consumo'!G910</f>
        <v>1140</v>
      </c>
      <c r="J910" s="34" t="str">
        <f aca="false">'Uso e Consumo'!M910</f>
        <v>3.8.1.001 - Aços e trefilados</v>
      </c>
      <c r="K910" s="32" t="str">
        <f aca="false">INDEX('Curva ABC'!$K$8:$K$2847,MATCH(D910,'Curva ABC'!$B$8:$B$2847,0))</f>
        <v>C</v>
      </c>
    </row>
    <row r="911" customFormat="false" ht="15" hidden="false" customHeight="false" outlineLevel="0" collapsed="false">
      <c r="A911" s="34" t="s">
        <v>5799</v>
      </c>
      <c r="B911" s="34" t="str">
        <f aca="false">'Uso e Consumo'!A911</f>
        <v>0335</v>
      </c>
      <c r="C911" s="34" t="str">
        <f aca="false">'Uso e Consumo'!B911</f>
        <v>UFV NORONHA VERDE - USO E CONSUMO</v>
      </c>
      <c r="D911" s="33" t="n">
        <f aca="false">'Uso e Consumo'!C911</f>
        <v>734072</v>
      </c>
      <c r="E911" s="34" t="str">
        <f aca="false">'Uso e Consumo'!D911</f>
        <v>30.03.0392</v>
      </c>
      <c r="F911" s="34" t="str">
        <f aca="false">'Uso e Consumo'!E911</f>
        <v>CARRINHO DE MÃO</v>
      </c>
      <c r="G911" s="34" t="str">
        <f aca="false">'Uso e Consumo'!J911</f>
        <v>UN</v>
      </c>
      <c r="H911" s="49" t="n">
        <f aca="false">'Uso e Consumo'!F911</f>
        <v>4</v>
      </c>
      <c r="I911" s="35" t="n">
        <f aca="false">'Uso e Consumo'!G911</f>
        <v>1138.18</v>
      </c>
      <c r="J911" s="34" t="str">
        <f aca="false">'Uso e Consumo'!M911</f>
        <v>3.8.2.002 - Ferramentas manuais</v>
      </c>
      <c r="K911" s="32" t="str">
        <f aca="false">INDEX('Curva ABC'!$K$8:$K$2847,MATCH(D911,'Curva ABC'!$B$8:$B$2847,0))</f>
        <v>C</v>
      </c>
    </row>
    <row r="912" customFormat="false" ht="15" hidden="false" customHeight="false" outlineLevel="0" collapsed="false">
      <c r="A912" s="34" t="s">
        <v>5799</v>
      </c>
      <c r="B912" s="34" t="str">
        <f aca="false">'Uso e Consumo'!A912</f>
        <v>0335</v>
      </c>
      <c r="C912" s="34" t="str">
        <f aca="false">'Uso e Consumo'!B912</f>
        <v>UFV NORONHA VERDE - USO E CONSUMO</v>
      </c>
      <c r="D912" s="33" t="n">
        <f aca="false">'Uso e Consumo'!C912</f>
        <v>604835</v>
      </c>
      <c r="E912" s="34" t="str">
        <f aca="false">'Uso e Consumo'!D912</f>
        <v>32.08.0057</v>
      </c>
      <c r="F912" s="34" t="str">
        <f aca="false">'Uso e Consumo'!E912</f>
        <v>MOTOCOMPRESSOR DE AR ISENTO DE ÓLEO</v>
      </c>
      <c r="G912" s="34" t="str">
        <f aca="false">'Uso e Consumo'!J912</f>
        <v>UN</v>
      </c>
      <c r="H912" s="49" t="n">
        <f aca="false">'Uso e Consumo'!F912</f>
        <v>1</v>
      </c>
      <c r="I912" s="35" t="n">
        <f aca="false">'Uso e Consumo'!G912</f>
        <v>1137.42</v>
      </c>
      <c r="J912" s="34" t="str">
        <f aca="false">'Uso e Consumo'!M912</f>
        <v>6.1.2.001 - Equipamentos</v>
      </c>
      <c r="K912" s="32" t="str">
        <f aca="false">INDEX('Curva ABC'!$K$8:$K$2847,MATCH(D912,'Curva ABC'!$B$8:$B$2847,0))</f>
        <v>C</v>
      </c>
    </row>
    <row r="913" customFormat="false" ht="15" hidden="false" customHeight="false" outlineLevel="0" collapsed="false">
      <c r="A913" s="34" t="s">
        <v>5799</v>
      </c>
      <c r="B913" s="34" t="str">
        <f aca="false">'Uso e Consumo'!A913</f>
        <v>0335</v>
      </c>
      <c r="C913" s="34" t="str">
        <f aca="false">'Uso e Consumo'!B913</f>
        <v>UFV NORONHA VERDE - USO E CONSUMO</v>
      </c>
      <c r="D913" s="33" t="n">
        <f aca="false">'Uso e Consumo'!C913</f>
        <v>1014256</v>
      </c>
      <c r="E913" s="34" t="str">
        <f aca="false">'Uso e Consumo'!D913</f>
        <v>26.01.0112</v>
      </c>
      <c r="F913" s="34" t="str">
        <f aca="false">'Uso e Consumo'!E913</f>
        <v>ARREATA DE COURO P/ CARPINTEIRO</v>
      </c>
      <c r="G913" s="34" t="str">
        <f aca="false">'Uso e Consumo'!J913</f>
        <v>UN</v>
      </c>
      <c r="H913" s="49" t="n">
        <f aca="false">'Uso e Consumo'!F913</f>
        <v>6</v>
      </c>
      <c r="I913" s="35" t="n">
        <f aca="false">'Uso e Consumo'!G913</f>
        <v>1134</v>
      </c>
      <c r="J913" s="34" t="str">
        <f aca="false">'Uso e Consumo'!M913</f>
        <v>4.3.4.001 - Equipamento de proteção individual</v>
      </c>
      <c r="K913" s="32" t="str">
        <f aca="false">INDEX('Curva ABC'!$K$8:$K$2847,MATCH(D913,'Curva ABC'!$B$8:$B$2847,0))</f>
        <v>C</v>
      </c>
    </row>
    <row r="914" customFormat="false" ht="15" hidden="false" customHeight="false" outlineLevel="0" collapsed="false">
      <c r="A914" s="34" t="s">
        <v>5799</v>
      </c>
      <c r="B914" s="34" t="str">
        <f aca="false">'Uso e Consumo'!A914</f>
        <v>0335</v>
      </c>
      <c r="C914" s="34" t="str">
        <f aca="false">'Uso e Consumo'!B914</f>
        <v>UFV NORONHA VERDE - USO E CONSUMO</v>
      </c>
      <c r="D914" s="33" t="n">
        <f aca="false">'Uso e Consumo'!C914</f>
        <v>22230</v>
      </c>
      <c r="E914" s="34" t="str">
        <f aca="false">'Uso e Consumo'!D914</f>
        <v>31.02.0034</v>
      </c>
      <c r="F914" s="34" t="str">
        <f aca="false">'Uso e Consumo'!E914</f>
        <v>ADITIVO PARA RADIADOR 1L</v>
      </c>
      <c r="G914" s="34" t="str">
        <f aca="false">'Uso e Consumo'!J914</f>
        <v>UN</v>
      </c>
      <c r="H914" s="49" t="n">
        <f aca="false">'Uso e Consumo'!F914</f>
        <v>44</v>
      </c>
      <c r="I914" s="35" t="n">
        <f aca="false">'Uso e Consumo'!G914</f>
        <v>1130.4</v>
      </c>
      <c r="J914" s="34" t="str">
        <f aca="false">'Uso e Consumo'!M914</f>
        <v>3.1.6.001 - Combustível e lubrificantes</v>
      </c>
      <c r="K914" s="32" t="str">
        <f aca="false">INDEX('Curva ABC'!$K$8:$K$2847,MATCH(D914,'Curva ABC'!$B$8:$B$2847,0))</f>
        <v>C</v>
      </c>
    </row>
    <row r="915" customFormat="false" ht="15" hidden="false" customHeight="false" outlineLevel="0" collapsed="false">
      <c r="A915" s="34" t="s">
        <v>5799</v>
      </c>
      <c r="B915" s="34" t="str">
        <f aca="false">'Uso e Consumo'!A915</f>
        <v>0335</v>
      </c>
      <c r="C915" s="34" t="str">
        <f aca="false">'Uso e Consumo'!B915</f>
        <v>UFV NORONHA VERDE - USO E CONSUMO</v>
      </c>
      <c r="D915" s="33" t="n">
        <f aca="false">'Uso e Consumo'!C915</f>
        <v>839811</v>
      </c>
      <c r="E915" s="34" t="str">
        <f aca="false">'Uso e Consumo'!D915</f>
        <v>25.10.0062</v>
      </c>
      <c r="F915" s="34" t="str">
        <f aca="false">'Uso e Consumo'!E915</f>
        <v>NYLON PARA CORTAR GRAMA 3MM</v>
      </c>
      <c r="G915" s="34" t="str">
        <f aca="false">'Uso e Consumo'!J915</f>
        <v>UN</v>
      </c>
      <c r="H915" s="49" t="n">
        <f aca="false">'Uso e Consumo'!F915</f>
        <v>226</v>
      </c>
      <c r="I915" s="35" t="n">
        <f aca="false">'Uso e Consumo'!G915</f>
        <v>1125.48</v>
      </c>
      <c r="J915" s="34" t="str">
        <f aca="false">'Uso e Consumo'!M915</f>
        <v>3.8.2.006 - Utensílios</v>
      </c>
      <c r="K915" s="32" t="str">
        <f aca="false">INDEX('Curva ABC'!$K$8:$K$2847,MATCH(D915,'Curva ABC'!$B$8:$B$2847,0))</f>
        <v>C</v>
      </c>
    </row>
    <row r="916" customFormat="false" ht="15" hidden="false" customHeight="false" outlineLevel="0" collapsed="false">
      <c r="A916" s="34" t="s">
        <v>5799</v>
      </c>
      <c r="B916" s="34" t="str">
        <f aca="false">'Uso e Consumo'!A916</f>
        <v>0335</v>
      </c>
      <c r="C916" s="34" t="str">
        <f aca="false">'Uso e Consumo'!B916</f>
        <v>UFV NORONHA VERDE - USO E CONSUMO</v>
      </c>
      <c r="D916" s="33" t="n">
        <f aca="false">'Uso e Consumo'!C916</f>
        <v>23241</v>
      </c>
      <c r="E916" s="34" t="str">
        <f aca="false">'Uso e Consumo'!D916</f>
        <v>30.01.0443</v>
      </c>
      <c r="F916" s="34" t="str">
        <f aca="false">'Uso e Consumo'!E916</f>
        <v>FITA SILVER TAPE 50,00 MM X 50,00 M</v>
      </c>
      <c r="G916" s="34" t="str">
        <f aca="false">'Uso e Consumo'!J916</f>
        <v>UN</v>
      </c>
      <c r="H916" s="49" t="n">
        <f aca="false">'Uso e Consumo'!F916</f>
        <v>19</v>
      </c>
      <c r="I916" s="35" t="n">
        <f aca="false">'Uso e Consumo'!G916</f>
        <v>1121</v>
      </c>
      <c r="J916" s="34" t="str">
        <f aca="false">'Uso e Consumo'!M916</f>
        <v>4.1.1.002 - Material expediente</v>
      </c>
      <c r="K916" s="32" t="str">
        <f aca="false">INDEX('Curva ABC'!$K$8:$K$2847,MATCH(D916,'Curva ABC'!$B$8:$B$2847,0))</f>
        <v>C</v>
      </c>
    </row>
    <row r="917" customFormat="false" ht="15" hidden="false" customHeight="false" outlineLevel="0" collapsed="false">
      <c r="A917" s="34" t="s">
        <v>5799</v>
      </c>
      <c r="B917" s="34" t="str">
        <f aca="false">'Uso e Consumo'!A917</f>
        <v>0335</v>
      </c>
      <c r="C917" s="34" t="str">
        <f aca="false">'Uso e Consumo'!B917</f>
        <v>UFV NORONHA VERDE - USO E CONSUMO</v>
      </c>
      <c r="D917" s="33" t="n">
        <f aca="false">'Uso e Consumo'!C917</f>
        <v>1379978</v>
      </c>
      <c r="E917" s="34" t="str">
        <f aca="false">'Uso e Consumo'!D917</f>
        <v>23.05.0284</v>
      </c>
      <c r="F917" s="34" t="str">
        <f aca="false">'Uso e Consumo'!E917</f>
        <v>ARRUELA DE VEDAÇÃO DE NEOPRENE Ø1/4”</v>
      </c>
      <c r="G917" s="34" t="str">
        <f aca="false">'Uso e Consumo'!J917</f>
        <v>UN</v>
      </c>
      <c r="H917" s="49" t="n">
        <f aca="false">'Uso e Consumo'!F917</f>
        <v>118</v>
      </c>
      <c r="I917" s="35" t="n">
        <f aca="false">'Uso e Consumo'!G917</f>
        <v>1118.08</v>
      </c>
      <c r="J917" s="34" t="str">
        <f aca="false">'Uso e Consumo'!M917</f>
        <v>3.8.1.022 - Elementos de fixação</v>
      </c>
      <c r="K917" s="32" t="str">
        <f aca="false">INDEX('Curva ABC'!$K$8:$K$2847,MATCH(D917,'Curva ABC'!$B$8:$B$2847,0))</f>
        <v>C</v>
      </c>
    </row>
    <row r="918" customFormat="false" ht="15" hidden="false" customHeight="false" outlineLevel="0" collapsed="false">
      <c r="A918" s="34" t="s">
        <v>5799</v>
      </c>
      <c r="B918" s="34" t="str">
        <f aca="false">'Uso e Consumo'!A918</f>
        <v>0335</v>
      </c>
      <c r="C918" s="34" t="str">
        <f aca="false">'Uso e Consumo'!B918</f>
        <v>UFV NORONHA VERDE - USO E CONSUMO</v>
      </c>
      <c r="D918" s="33" t="n">
        <f aca="false">'Uso e Consumo'!C918</f>
        <v>1385337</v>
      </c>
      <c r="E918" s="34" t="str">
        <f aca="false">'Uso e Consumo'!D918</f>
        <v>29.03.0404</v>
      </c>
      <c r="F918" s="34" t="str">
        <f aca="false">'Uso e Consumo'!E918</f>
        <v>VENTILADOR/EXAUSTOR,  VAZÃO 96 M³/H, 220 V-60 HZ, 55 W</v>
      </c>
      <c r="G918" s="34" t="str">
        <f aca="false">'Uso e Consumo'!J918</f>
        <v>UN</v>
      </c>
      <c r="H918" s="49" t="n">
        <f aca="false">'Uso e Consumo'!F918</f>
        <v>4</v>
      </c>
      <c r="I918" s="35" t="n">
        <f aca="false">'Uso e Consumo'!G918</f>
        <v>1115.68</v>
      </c>
      <c r="J918" s="34" t="str">
        <f aca="false">'Uso e Consumo'!M918</f>
        <v>4.1.1.009 - Eletro eletrônico e acessórios</v>
      </c>
      <c r="K918" s="32" t="str">
        <f aca="false">INDEX('Curva ABC'!$K$8:$K$2847,MATCH(D918,'Curva ABC'!$B$8:$B$2847,0))</f>
        <v>C</v>
      </c>
    </row>
    <row r="919" customFormat="false" ht="15" hidden="false" customHeight="false" outlineLevel="0" collapsed="false">
      <c r="A919" s="34" t="s">
        <v>5799</v>
      </c>
      <c r="B919" s="34" t="str">
        <f aca="false">'Uso e Consumo'!A919</f>
        <v>0335</v>
      </c>
      <c r="C919" s="34" t="str">
        <f aca="false">'Uso e Consumo'!B919</f>
        <v>UFV NORONHA VERDE - USO E CONSUMO</v>
      </c>
      <c r="D919" s="33" t="n">
        <f aca="false">'Uso e Consumo'!C919</f>
        <v>90009</v>
      </c>
      <c r="E919" s="34" t="str">
        <f aca="false">'Uso e Consumo'!D919</f>
        <v>34.02.0888</v>
      </c>
      <c r="F919" s="34" t="str">
        <f aca="false">'Uso e Consumo'!E919</f>
        <v>SERVO DE EMBREAGEM</v>
      </c>
      <c r="G919" s="34" t="str">
        <f aca="false">'Uso e Consumo'!J919</f>
        <v>UN</v>
      </c>
      <c r="H919" s="49" t="n">
        <f aca="false">'Uso e Consumo'!F919</f>
        <v>1</v>
      </c>
      <c r="I919" s="35" t="n">
        <f aca="false">'Uso e Consumo'!G919</f>
        <v>1113.11</v>
      </c>
      <c r="J919" s="34" t="str">
        <f aca="false">'Uso e Consumo'!M919</f>
        <v>3.1.6.002 - Pneus e peças</v>
      </c>
      <c r="K919" s="32" t="str">
        <f aca="false">INDEX('Curva ABC'!$K$8:$K$2847,MATCH(D919,'Curva ABC'!$B$8:$B$2847,0))</f>
        <v>C</v>
      </c>
    </row>
    <row r="920" customFormat="false" ht="15" hidden="false" customHeight="false" outlineLevel="0" collapsed="false">
      <c r="A920" s="34" t="s">
        <v>5799</v>
      </c>
      <c r="B920" s="34" t="str">
        <f aca="false">'Uso e Consumo'!A920</f>
        <v>0335</v>
      </c>
      <c r="C920" s="34" t="str">
        <f aca="false">'Uso e Consumo'!B920</f>
        <v>UFV NORONHA VERDE - USO E CONSUMO</v>
      </c>
      <c r="D920" s="33" t="n">
        <f aca="false">'Uso e Consumo'!C920</f>
        <v>602573</v>
      </c>
      <c r="E920" s="34" t="str">
        <f aca="false">'Uso e Consumo'!D920</f>
        <v>23.07.1312</v>
      </c>
      <c r="F920" s="34" t="str">
        <f aca="false">'Uso e Consumo'!E920</f>
        <v>PARAFUSO ROSCA DUPLA EM AÇO GALVANIZADO, M16 X 450MM</v>
      </c>
      <c r="G920" s="34" t="str">
        <f aca="false">'Uso e Consumo'!J920</f>
        <v>pç</v>
      </c>
      <c r="H920" s="49" t="n">
        <f aca="false">'Uso e Consumo'!F920</f>
        <v>53</v>
      </c>
      <c r="I920" s="35" t="n">
        <f aca="false">'Uso e Consumo'!G920</f>
        <v>1112.03</v>
      </c>
      <c r="J920" s="34" t="str">
        <f aca="false">'Uso e Consumo'!M920</f>
        <v>3.8.1.022 - Elementos de fixação</v>
      </c>
      <c r="K920" s="32" t="str">
        <f aca="false">INDEX('Curva ABC'!$K$8:$K$2847,MATCH(D920,'Curva ABC'!$B$8:$B$2847,0))</f>
        <v>C</v>
      </c>
    </row>
    <row r="921" customFormat="false" ht="15" hidden="false" customHeight="false" outlineLevel="0" collapsed="false">
      <c r="A921" s="34" t="s">
        <v>5799</v>
      </c>
      <c r="B921" s="34" t="str">
        <f aca="false">'Uso e Consumo'!A921</f>
        <v>0335</v>
      </c>
      <c r="C921" s="34" t="str">
        <f aca="false">'Uso e Consumo'!B921</f>
        <v>UFV NORONHA VERDE - USO E CONSUMO</v>
      </c>
      <c r="D921" s="33" t="n">
        <f aca="false">'Uso e Consumo'!C921</f>
        <v>852733</v>
      </c>
      <c r="E921" s="34" t="str">
        <f aca="false">'Uso e Consumo'!D921</f>
        <v>23.03.0160</v>
      </c>
      <c r="F921" s="34" t="str">
        <f aca="false">'Uso e Consumo'!E921</f>
        <v>PREGO COMUM 17X27</v>
      </c>
      <c r="G921" s="34" t="str">
        <f aca="false">'Uso e Consumo'!J921</f>
        <v>UN</v>
      </c>
      <c r="H921" s="49" t="n">
        <f aca="false">'Uso e Consumo'!F921</f>
        <v>80</v>
      </c>
      <c r="I921" s="35" t="n">
        <f aca="false">'Uso e Consumo'!G921</f>
        <v>1112</v>
      </c>
      <c r="J921" s="34" t="str">
        <f aca="false">'Uso e Consumo'!M921</f>
        <v>3.8.1.022 - Elementos de fixação</v>
      </c>
      <c r="K921" s="32" t="str">
        <f aca="false">INDEX('Curva ABC'!$K$8:$K$2847,MATCH(D921,'Curva ABC'!$B$8:$B$2847,0))</f>
        <v>C</v>
      </c>
    </row>
    <row r="922" customFormat="false" ht="15" hidden="false" customHeight="false" outlineLevel="0" collapsed="false">
      <c r="A922" s="34" t="s">
        <v>5799</v>
      </c>
      <c r="B922" s="34" t="str">
        <f aca="false">'Uso e Consumo'!A922</f>
        <v>0335</v>
      </c>
      <c r="C922" s="34" t="str">
        <f aca="false">'Uso e Consumo'!B922</f>
        <v>UFV NORONHA VERDE - USO E CONSUMO</v>
      </c>
      <c r="D922" s="33" t="n">
        <f aca="false">'Uso e Consumo'!C922</f>
        <v>14259</v>
      </c>
      <c r="E922" s="34" t="str">
        <f aca="false">'Uso e Consumo'!D922</f>
        <v>17.15.0021</v>
      </c>
      <c r="F922" s="34" t="str">
        <f aca="false">'Uso e Consumo'!E922</f>
        <v>CHAVE SECCIONADORA TRIPOLAR C/ BASE FUSIVEL 15KV 400A FACA</v>
      </c>
      <c r="G922" s="34" t="str">
        <f aca="false">'Uso e Consumo'!J922</f>
        <v>UN</v>
      </c>
      <c r="H922" s="49" t="n">
        <f aca="false">'Uso e Consumo'!F922</f>
        <v>1</v>
      </c>
      <c r="I922" s="35" t="n">
        <f aca="false">'Uso e Consumo'!G922</f>
        <v>1111.8</v>
      </c>
      <c r="J922" s="34" t="str">
        <f aca="false">'Uso e Consumo'!M922</f>
        <v>3.8.1.017 - Instalações elétricas/telefônicas/lógica</v>
      </c>
      <c r="K922" s="32" t="str">
        <f aca="false">INDEX('Curva ABC'!$K$8:$K$2847,MATCH(D922,'Curva ABC'!$B$8:$B$2847,0))</f>
        <v>C</v>
      </c>
    </row>
    <row r="923" customFormat="false" ht="15" hidden="false" customHeight="false" outlineLevel="0" collapsed="false">
      <c r="A923" s="34" t="s">
        <v>5799</v>
      </c>
      <c r="B923" s="34" t="str">
        <f aca="false">'Uso e Consumo'!A923</f>
        <v>0335</v>
      </c>
      <c r="C923" s="34" t="str">
        <f aca="false">'Uso e Consumo'!B923</f>
        <v>UFV NORONHA VERDE - USO E CONSUMO</v>
      </c>
      <c r="D923" s="33" t="n">
        <f aca="false">'Uso e Consumo'!C923</f>
        <v>1636015</v>
      </c>
      <c r="E923" s="34" t="str">
        <f aca="false">'Uso e Consumo'!D923</f>
        <v>18.11.0231</v>
      </c>
      <c r="F923" s="34" t="str">
        <f aca="false">'Uso e Consumo'!E923</f>
        <v>EXTINTOR DE INCENDIO DE PO QUIMICO SECO (PQS)  6 KG, CLASSE 4A:40B:C, PORTATIL</v>
      </c>
      <c r="G923" s="34" t="str">
        <f aca="false">'Uso e Consumo'!J923</f>
        <v>UN</v>
      </c>
      <c r="H923" s="49" t="n">
        <f aca="false">'Uso e Consumo'!F923</f>
        <v>4</v>
      </c>
      <c r="I923" s="35" t="n">
        <f aca="false">'Uso e Consumo'!G923</f>
        <v>1107</v>
      </c>
      <c r="J923" s="34" t="str">
        <f aca="false">'Uso e Consumo'!M923</f>
        <v>4.3.4.005 - Combate incêndio</v>
      </c>
      <c r="K923" s="32" t="str">
        <f aca="false">INDEX('Curva ABC'!$K$8:$K$2847,MATCH(D923,'Curva ABC'!$B$8:$B$2847,0))</f>
        <v>C</v>
      </c>
    </row>
    <row r="924" customFormat="false" ht="15" hidden="false" customHeight="false" outlineLevel="0" collapsed="false">
      <c r="A924" s="34" t="s">
        <v>5799</v>
      </c>
      <c r="B924" s="34" t="str">
        <f aca="false">'Uso e Consumo'!A924</f>
        <v>0335</v>
      </c>
      <c r="C924" s="34" t="str">
        <f aca="false">'Uso e Consumo'!B924</f>
        <v>UFV NORONHA VERDE - USO E CONSUMO</v>
      </c>
      <c r="D924" s="33" t="n">
        <f aca="false">'Uso e Consumo'!C924</f>
        <v>14865</v>
      </c>
      <c r="E924" s="34" t="str">
        <f aca="false">'Uso e Consumo'!D924</f>
        <v>18.01.0440</v>
      </c>
      <c r="F924" s="34" t="str">
        <f aca="false">'Uso e Consumo'!E924</f>
        <v>LUVA PVC ROSCAVEL 1.1/2"</v>
      </c>
      <c r="G924" s="34" t="str">
        <f aca="false">'Uso e Consumo'!J924</f>
        <v>UN</v>
      </c>
      <c r="H924" s="49" t="n">
        <f aca="false">'Uso e Consumo'!F924</f>
        <v>19</v>
      </c>
      <c r="I924" s="35" t="n">
        <f aca="false">'Uso e Consumo'!G924</f>
        <v>1102</v>
      </c>
      <c r="J924" s="34" t="str">
        <f aca="false">'Uso e Consumo'!M924</f>
        <v>3.8.1.018 - Instalações hidráulicas/sanitárias/industriais</v>
      </c>
      <c r="K924" s="32" t="str">
        <f aca="false">INDEX('Curva ABC'!$K$8:$K$2847,MATCH(D924,'Curva ABC'!$B$8:$B$2847,0))</f>
        <v>C</v>
      </c>
    </row>
    <row r="925" customFormat="false" ht="15" hidden="false" customHeight="false" outlineLevel="0" collapsed="false">
      <c r="A925" s="34" t="s">
        <v>5799</v>
      </c>
      <c r="B925" s="34" t="str">
        <f aca="false">'Uso e Consumo'!A925</f>
        <v>0335</v>
      </c>
      <c r="C925" s="34" t="str">
        <f aca="false">'Uso e Consumo'!B925</f>
        <v>UFV NORONHA VERDE - USO E CONSUMO</v>
      </c>
      <c r="D925" s="33" t="n">
        <f aca="false">'Uso e Consumo'!C925</f>
        <v>1112941</v>
      </c>
      <c r="E925" s="34" t="str">
        <f aca="false">'Uso e Consumo'!D925</f>
        <v>26.05.0070</v>
      </c>
      <c r="F925" s="34" t="str">
        <f aca="false">'Uso e Consumo'!E925</f>
        <v>PROTETOR FACIAL INCOLOR ACOPLADO A CAPACETE </v>
      </c>
      <c r="G925" s="34" t="str">
        <f aca="false">'Uso e Consumo'!J925</f>
        <v>UN</v>
      </c>
      <c r="H925" s="49" t="n">
        <f aca="false">'Uso e Consumo'!F925</f>
        <v>20</v>
      </c>
      <c r="I925" s="35" t="n">
        <f aca="false">'Uso e Consumo'!G925</f>
        <v>1100</v>
      </c>
      <c r="J925" s="34" t="str">
        <f aca="false">'Uso e Consumo'!M925</f>
        <v>4.3.4.001 - Equipamento de proteção individual</v>
      </c>
      <c r="K925" s="32" t="str">
        <f aca="false">INDEX('Curva ABC'!$K$8:$K$2847,MATCH(D925,'Curva ABC'!$B$8:$B$2847,0))</f>
        <v>C</v>
      </c>
    </row>
    <row r="926" customFormat="false" ht="15" hidden="false" customHeight="false" outlineLevel="0" collapsed="false">
      <c r="A926" s="34" t="s">
        <v>5799</v>
      </c>
      <c r="B926" s="34" t="str">
        <f aca="false">'Uso e Consumo'!A926</f>
        <v>0335</v>
      </c>
      <c r="C926" s="34" t="str">
        <f aca="false">'Uso e Consumo'!B926</f>
        <v>UFV NORONHA VERDE - USO E CONSUMO</v>
      </c>
      <c r="D926" s="33" t="n">
        <f aca="false">'Uso e Consumo'!C926</f>
        <v>855299</v>
      </c>
      <c r="E926" s="34" t="str">
        <f aca="false">'Uso e Consumo'!D926</f>
        <v>32.07.0158</v>
      </c>
      <c r="F926" s="34" t="str">
        <f aca="false">'Uso e Consumo'!E926</f>
        <v>LIXADEIRA TIPO ESMERILADEIRA 7"</v>
      </c>
      <c r="G926" s="34" t="str">
        <f aca="false">'Uso e Consumo'!J926</f>
        <v>UN</v>
      </c>
      <c r="H926" s="49" t="n">
        <f aca="false">'Uso e Consumo'!F926</f>
        <v>1</v>
      </c>
      <c r="I926" s="35" t="n">
        <f aca="false">'Uso e Consumo'!G926</f>
        <v>1098.75</v>
      </c>
      <c r="J926" s="34" t="str">
        <f aca="false">'Uso e Consumo'!M926</f>
        <v>6.1.2.001 - Equipamentos</v>
      </c>
      <c r="K926" s="32" t="str">
        <f aca="false">INDEX('Curva ABC'!$K$8:$K$2847,MATCH(D926,'Curva ABC'!$B$8:$B$2847,0))</f>
        <v>C</v>
      </c>
    </row>
    <row r="927" customFormat="false" ht="15" hidden="false" customHeight="false" outlineLevel="0" collapsed="false">
      <c r="A927" s="34" t="s">
        <v>5799</v>
      </c>
      <c r="B927" s="34" t="str">
        <f aca="false">'Uso e Consumo'!A927</f>
        <v>0335</v>
      </c>
      <c r="C927" s="34" t="str">
        <f aca="false">'Uso e Consumo'!B927</f>
        <v>UFV NORONHA VERDE - USO E CONSUMO</v>
      </c>
      <c r="D927" s="33" t="n">
        <f aca="false">'Uso e Consumo'!C927</f>
        <v>60990</v>
      </c>
      <c r="E927" s="34" t="str">
        <f aca="false">'Uso e Consumo'!D927</f>
        <v>16.03.0216</v>
      </c>
      <c r="F927" s="34" t="str">
        <f aca="false">'Uso e Consumo'!E927</f>
        <v>TINTA ACRÍLICA PARA PISO AZUL 18L NBR 11702</v>
      </c>
      <c r="G927" s="34" t="str">
        <f aca="false">'Uso e Consumo'!J927</f>
        <v>L18L</v>
      </c>
      <c r="H927" s="49" t="n">
        <f aca="false">'Uso e Consumo'!F927</f>
        <v>2</v>
      </c>
      <c r="I927" s="35" t="n">
        <f aca="false">'Uso e Consumo'!G927</f>
        <v>1096</v>
      </c>
      <c r="J927" s="34" t="str">
        <f aca="false">'Uso e Consumo'!M927</f>
        <v>3.8.1.016 - Pinturas</v>
      </c>
      <c r="K927" s="32" t="str">
        <f aca="false">INDEX('Curva ABC'!$K$8:$K$2847,MATCH(D927,'Curva ABC'!$B$8:$B$2847,0))</f>
        <v>C</v>
      </c>
    </row>
    <row r="928" customFormat="false" ht="15" hidden="false" customHeight="false" outlineLevel="0" collapsed="false">
      <c r="A928" s="34" t="s">
        <v>5799</v>
      </c>
      <c r="B928" s="34" t="str">
        <f aca="false">'Uso e Consumo'!A928</f>
        <v>0335</v>
      </c>
      <c r="C928" s="34" t="str">
        <f aca="false">'Uso e Consumo'!B928</f>
        <v>UFV NORONHA VERDE - USO E CONSUMO</v>
      </c>
      <c r="D928" s="33" t="n">
        <f aca="false">'Uso e Consumo'!C928</f>
        <v>1330868</v>
      </c>
      <c r="E928" s="34" t="str">
        <f aca="false">'Uso e Consumo'!D928</f>
        <v>23.02.0475</v>
      </c>
      <c r="F928" s="34" t="str">
        <f aca="false">'Uso e Consumo'!E928</f>
        <v>ABRAÇADEIRA TIPO "D" C/ PARFUSO P/ ELÉTRODUTO DE DIAN. 1" EM AÇO GALVANIZADO A QUENTE</v>
      </c>
      <c r="G928" s="34" t="str">
        <f aca="false">'Uso e Consumo'!J928</f>
        <v>UN</v>
      </c>
      <c r="H928" s="49" t="n">
        <f aca="false">'Uso e Consumo'!F928</f>
        <v>196</v>
      </c>
      <c r="I928" s="35" t="n">
        <f aca="false">'Uso e Consumo'!G928</f>
        <v>1088.75</v>
      </c>
      <c r="J928" s="34" t="str">
        <f aca="false">'Uso e Consumo'!M928</f>
        <v>3.8.1.022 - Elementos de fixação</v>
      </c>
      <c r="K928" s="32" t="str">
        <f aca="false">INDEX('Curva ABC'!$K$8:$K$2847,MATCH(D928,'Curva ABC'!$B$8:$B$2847,0))</f>
        <v>C</v>
      </c>
    </row>
    <row r="929" customFormat="false" ht="15" hidden="false" customHeight="false" outlineLevel="0" collapsed="false">
      <c r="A929" s="34" t="s">
        <v>5799</v>
      </c>
      <c r="B929" s="34" t="str">
        <f aca="false">'Uso e Consumo'!A929</f>
        <v>0335</v>
      </c>
      <c r="C929" s="34" t="str">
        <f aca="false">'Uso e Consumo'!B929</f>
        <v>UFV NORONHA VERDE - USO E CONSUMO</v>
      </c>
      <c r="D929" s="33" t="n">
        <f aca="false">'Uso e Consumo'!C929</f>
        <v>1610263</v>
      </c>
      <c r="E929" s="34" t="str">
        <f aca="false">'Uso e Consumo'!D929</f>
        <v>17.11.1144</v>
      </c>
      <c r="F929" s="34" t="str">
        <f aca="false">'Uso e Consumo'!E929</f>
        <v>SOQUETE 1.5/16</v>
      </c>
      <c r="G929" s="34" t="str">
        <f aca="false">'Uso e Consumo'!J929</f>
        <v>UN</v>
      </c>
      <c r="H929" s="49" t="n">
        <f aca="false">'Uso e Consumo'!F929</f>
        <v>6</v>
      </c>
      <c r="I929" s="35" t="n">
        <f aca="false">'Uso e Consumo'!G929</f>
        <v>1088.34</v>
      </c>
      <c r="J929" s="34" t="str">
        <f aca="false">'Uso e Consumo'!M929</f>
        <v>3.8.1.017 - Instalações elétricas/telefônicas/lógica</v>
      </c>
      <c r="K929" s="32" t="str">
        <f aca="false">INDEX('Curva ABC'!$K$8:$K$2847,MATCH(D929,'Curva ABC'!$B$8:$B$2847,0))</f>
        <v>C</v>
      </c>
    </row>
    <row r="930" customFormat="false" ht="15" hidden="false" customHeight="false" outlineLevel="0" collapsed="false">
      <c r="A930" s="34" t="s">
        <v>5799</v>
      </c>
      <c r="B930" s="34" t="str">
        <f aca="false">'Uso e Consumo'!A930</f>
        <v>0335</v>
      </c>
      <c r="C930" s="34" t="str">
        <f aca="false">'Uso e Consumo'!B930</f>
        <v>UFV NORONHA VERDE - USO E CONSUMO</v>
      </c>
      <c r="D930" s="33" t="n">
        <f aca="false">'Uso e Consumo'!C930</f>
        <v>1384960</v>
      </c>
      <c r="E930" s="34" t="str">
        <f aca="false">'Uso e Consumo'!D930</f>
        <v>17.01.1211</v>
      </c>
      <c r="F930" s="34" t="str">
        <f aca="false">'Uso e Consumo'!E930</f>
        <v>CABO MONOPOLAR 16 MM², CONDUTOR EM COBRE ELETROLÍTICO NU, TÊMPERA MOLE, CLASSE 5, TENSÃO 0,6/1 KV, COR PRETO</v>
      </c>
      <c r="G930" s="34" t="str">
        <f aca="false">'Uso e Consumo'!J930</f>
        <v>M</v>
      </c>
      <c r="H930" s="49" t="n">
        <f aca="false">'Uso e Consumo'!F930</f>
        <v>50</v>
      </c>
      <c r="I930" s="35" t="n">
        <f aca="false">'Uso e Consumo'!G930</f>
        <v>1086.9</v>
      </c>
      <c r="J930" s="34" t="str">
        <f aca="false">'Uso e Consumo'!M930</f>
        <v>3.8.1.017 - Instalações elétricas/telefônicas/lógica</v>
      </c>
      <c r="K930" s="32" t="str">
        <f aca="false">INDEX('Curva ABC'!$K$8:$K$2847,MATCH(D930,'Curva ABC'!$B$8:$B$2847,0))</f>
        <v>C</v>
      </c>
    </row>
    <row r="931" customFormat="false" ht="15" hidden="false" customHeight="false" outlineLevel="0" collapsed="false">
      <c r="A931" s="34" t="s">
        <v>5799</v>
      </c>
      <c r="B931" s="34" t="str">
        <f aca="false">'Uso e Consumo'!A931</f>
        <v>0335</v>
      </c>
      <c r="C931" s="34" t="str">
        <f aca="false">'Uso e Consumo'!B931</f>
        <v>UFV NORONHA VERDE - USO E CONSUMO</v>
      </c>
      <c r="D931" s="33" t="n">
        <f aca="false">'Uso e Consumo'!C931</f>
        <v>16012</v>
      </c>
      <c r="E931" s="34" t="str">
        <f aca="false">'Uso e Consumo'!D931</f>
        <v>18.07.0046</v>
      </c>
      <c r="F931" s="34" t="str">
        <f aca="false">'Uso e Consumo'!E931</f>
        <v>CAIXA D'ÁGUA POLIETILENO 1000,00L C/TAMPA</v>
      </c>
      <c r="G931" s="34" t="str">
        <f aca="false">'Uso e Consumo'!J931</f>
        <v>UN</v>
      </c>
      <c r="H931" s="49" t="n">
        <f aca="false">'Uso e Consumo'!F931</f>
        <v>3</v>
      </c>
      <c r="I931" s="35" t="n">
        <f aca="false">'Uso e Consumo'!G931</f>
        <v>1084.8</v>
      </c>
      <c r="J931" s="34" t="str">
        <f aca="false">'Uso e Consumo'!M931</f>
        <v>3.8.1.018 - Instalações hidráulicas/sanitárias/industriais</v>
      </c>
      <c r="K931" s="32" t="str">
        <f aca="false">INDEX('Curva ABC'!$K$8:$K$2847,MATCH(D931,'Curva ABC'!$B$8:$B$2847,0))</f>
        <v>C</v>
      </c>
    </row>
    <row r="932" customFormat="false" ht="15" hidden="false" customHeight="false" outlineLevel="0" collapsed="false">
      <c r="A932" s="34" t="s">
        <v>5799</v>
      </c>
      <c r="B932" s="34" t="str">
        <f aca="false">'Uso e Consumo'!A932</f>
        <v>0335</v>
      </c>
      <c r="C932" s="34" t="str">
        <f aca="false">'Uso e Consumo'!B932</f>
        <v>UFV NORONHA VERDE - USO E CONSUMO</v>
      </c>
      <c r="D932" s="33" t="n">
        <f aca="false">'Uso e Consumo'!C932</f>
        <v>860234</v>
      </c>
      <c r="E932" s="34" t="str">
        <f aca="false">'Uso e Consumo'!D932</f>
        <v>24.37.0010</v>
      </c>
      <c r="F932" s="34" t="str">
        <f aca="false">'Uso e Consumo'!E932</f>
        <v>PÁ DE BICO COM CABO DE MADEIRA 71CM NATURAL REFORÇADA</v>
      </c>
      <c r="G932" s="34" t="str">
        <f aca="false">'Uso e Consumo'!J932</f>
        <v>UN</v>
      </c>
      <c r="H932" s="49" t="n">
        <f aca="false">'Uso e Consumo'!F932</f>
        <v>22</v>
      </c>
      <c r="I932" s="35" t="n">
        <f aca="false">'Uso e Consumo'!G932</f>
        <v>1084.4</v>
      </c>
      <c r="J932" s="34" t="str">
        <f aca="false">'Uso e Consumo'!M932</f>
        <v>3.8.2.002 - Ferramentas manuais</v>
      </c>
      <c r="K932" s="32" t="str">
        <f aca="false">INDEX('Curva ABC'!$K$8:$K$2847,MATCH(D932,'Curva ABC'!$B$8:$B$2847,0))</f>
        <v>C</v>
      </c>
    </row>
    <row r="933" customFormat="false" ht="15" hidden="false" customHeight="false" outlineLevel="0" collapsed="false">
      <c r="A933" s="34" t="s">
        <v>5799</v>
      </c>
      <c r="B933" s="34" t="str">
        <f aca="false">'Uso e Consumo'!A933</f>
        <v>0335</v>
      </c>
      <c r="C933" s="34" t="str">
        <f aca="false">'Uso e Consumo'!B933</f>
        <v>UFV NORONHA VERDE - USO E CONSUMO</v>
      </c>
      <c r="D933" s="33" t="n">
        <f aca="false">'Uso e Consumo'!C933</f>
        <v>32018</v>
      </c>
      <c r="E933" s="34" t="str">
        <f aca="false">'Uso e Consumo'!D933</f>
        <v>32.12.0008</v>
      </c>
      <c r="F933" s="34" t="str">
        <f aca="false">'Uso e Consumo'!E933</f>
        <v>MULTÍMETRO DIGITAL</v>
      </c>
      <c r="G933" s="34" t="str">
        <f aca="false">'Uso e Consumo'!J933</f>
        <v>UN</v>
      </c>
      <c r="H933" s="49" t="n">
        <f aca="false">'Uso e Consumo'!F933</f>
        <v>10</v>
      </c>
      <c r="I933" s="35" t="n">
        <f aca="false">'Uso e Consumo'!G933</f>
        <v>1080.3</v>
      </c>
      <c r="J933" s="34" t="str">
        <f aca="false">'Uso e Consumo'!M933</f>
        <v>4.1.1.011 - Instrumentos para medição</v>
      </c>
      <c r="K933" s="32" t="str">
        <f aca="false">INDEX('Curva ABC'!$K$8:$K$2847,MATCH(D933,'Curva ABC'!$B$8:$B$2847,0))</f>
        <v>C</v>
      </c>
    </row>
    <row r="934" customFormat="false" ht="15" hidden="false" customHeight="false" outlineLevel="0" collapsed="false">
      <c r="A934" s="34" t="s">
        <v>5799</v>
      </c>
      <c r="B934" s="34" t="str">
        <f aca="false">'Uso e Consumo'!A934</f>
        <v>0335</v>
      </c>
      <c r="C934" s="34" t="str">
        <f aca="false">'Uso e Consumo'!B934</f>
        <v>UFV NORONHA VERDE - USO E CONSUMO</v>
      </c>
      <c r="D934" s="33" t="n">
        <f aca="false">'Uso e Consumo'!C934</f>
        <v>12561</v>
      </c>
      <c r="E934" s="34" t="str">
        <f aca="false">'Uso e Consumo'!D934</f>
        <v>17.02.0061</v>
      </c>
      <c r="F934" s="34" t="str">
        <f aca="false">'Uso e Consumo'!E934</f>
        <v>ELETRODUTO AÇO CARBONO ROSCÁVEL BSP 2" NBR5597</v>
      </c>
      <c r="G934" s="34" t="str">
        <f aca="false">'Uso e Consumo'!J934</f>
        <v>M</v>
      </c>
      <c r="H934" s="49" t="n">
        <f aca="false">'Uso e Consumo'!F934</f>
        <v>5</v>
      </c>
      <c r="I934" s="35" t="n">
        <f aca="false">'Uso e Consumo'!G934</f>
        <v>1080</v>
      </c>
      <c r="J934" s="34" t="str">
        <f aca="false">'Uso e Consumo'!M934</f>
        <v>3.8.1.017 - Instalações elétricas/telefônicas/lógica</v>
      </c>
      <c r="K934" s="32" t="str">
        <f aca="false">INDEX('Curva ABC'!$K$8:$K$2847,MATCH(D934,'Curva ABC'!$B$8:$B$2847,0))</f>
        <v>C</v>
      </c>
    </row>
    <row r="935" customFormat="false" ht="15" hidden="false" customHeight="false" outlineLevel="0" collapsed="false">
      <c r="A935" s="34" t="s">
        <v>5799</v>
      </c>
      <c r="B935" s="34" t="str">
        <f aca="false">'Uso e Consumo'!A935</f>
        <v>0335</v>
      </c>
      <c r="C935" s="34" t="str">
        <f aca="false">'Uso e Consumo'!B935</f>
        <v>UFV NORONHA VERDE - USO E CONSUMO</v>
      </c>
      <c r="D935" s="33" t="n">
        <f aca="false">'Uso e Consumo'!C935</f>
        <v>392676</v>
      </c>
      <c r="E935" s="34" t="str">
        <f aca="false">'Uso e Consumo'!D935</f>
        <v>35.09.0039</v>
      </c>
      <c r="F935" s="34" t="str">
        <f aca="false">'Uso e Consumo'!E935</f>
        <v>MACACO HIDRÁULICO CJ12TON MERCEDES</v>
      </c>
      <c r="G935" s="34" t="str">
        <f aca="false">'Uso e Consumo'!J935</f>
        <v>UN</v>
      </c>
      <c r="H935" s="49" t="n">
        <f aca="false">'Uso e Consumo'!F935</f>
        <v>2</v>
      </c>
      <c r="I935" s="35" t="n">
        <f aca="false">'Uso e Consumo'!G935</f>
        <v>1080</v>
      </c>
      <c r="J935" s="34" t="str">
        <f aca="false">'Uso e Consumo'!M935</f>
        <v>3.1.6.002 - Pneus e peças</v>
      </c>
      <c r="K935" s="32" t="str">
        <f aca="false">INDEX('Curva ABC'!$K$8:$K$2847,MATCH(D935,'Curva ABC'!$B$8:$B$2847,0))</f>
        <v>C</v>
      </c>
    </row>
    <row r="936" customFormat="false" ht="15" hidden="false" customHeight="false" outlineLevel="0" collapsed="false">
      <c r="A936" s="34" t="s">
        <v>5799</v>
      </c>
      <c r="B936" s="34" t="str">
        <f aca="false">'Uso e Consumo'!A936</f>
        <v>0335</v>
      </c>
      <c r="C936" s="34" t="str">
        <f aca="false">'Uso e Consumo'!B936</f>
        <v>UFV NORONHA VERDE - USO E CONSUMO</v>
      </c>
      <c r="D936" s="33" t="n">
        <f aca="false">'Uso e Consumo'!C936</f>
        <v>856717</v>
      </c>
      <c r="E936" s="34" t="str">
        <f aca="false">'Uso e Consumo'!D936</f>
        <v>24.41.0286</v>
      </c>
      <c r="F936" s="34" t="str">
        <f aca="false">'Uso e Consumo'!E936</f>
        <v>DESFORCÍMETRO 795KGF COM SOQUETE 32-33 MM</v>
      </c>
      <c r="G936" s="34" t="str">
        <f aca="false">'Uso e Consumo'!J936</f>
        <v>UN</v>
      </c>
      <c r="H936" s="49" t="n">
        <f aca="false">'Uso e Consumo'!F936</f>
        <v>1</v>
      </c>
      <c r="I936" s="35" t="n">
        <f aca="false">'Uso e Consumo'!G936</f>
        <v>1080</v>
      </c>
      <c r="J936" s="34" t="str">
        <f aca="false">'Uso e Consumo'!M936</f>
        <v>3.8.2.002 - Ferramentas manuais</v>
      </c>
      <c r="K936" s="32" t="str">
        <f aca="false">INDEX('Curva ABC'!$K$8:$K$2847,MATCH(D936,'Curva ABC'!$B$8:$B$2847,0))</f>
        <v>C</v>
      </c>
    </row>
    <row r="937" customFormat="false" ht="15" hidden="false" customHeight="false" outlineLevel="0" collapsed="false">
      <c r="A937" s="34" t="s">
        <v>5799</v>
      </c>
      <c r="B937" s="34" t="str">
        <f aca="false">'Uso e Consumo'!A937</f>
        <v>0335</v>
      </c>
      <c r="C937" s="34" t="str">
        <f aca="false">'Uso e Consumo'!B937</f>
        <v>UFV NORONHA VERDE - USO E CONSUMO</v>
      </c>
      <c r="D937" s="33" t="n">
        <f aca="false">'Uso e Consumo'!C937</f>
        <v>1109412</v>
      </c>
      <c r="E937" s="34" t="str">
        <f aca="false">'Uso e Consumo'!D937</f>
        <v>03.07.0018</v>
      </c>
      <c r="F937" s="34" t="str">
        <f aca="false">'Uso e Consumo'!E937</f>
        <v>CAIBRO MADEIRA MISTA 5,00CM X 5,00CM X 6,00M</v>
      </c>
      <c r="G937" s="34" t="str">
        <f aca="false">'Uso e Consumo'!J937</f>
        <v>UN</v>
      </c>
      <c r="H937" s="49" t="n">
        <f aca="false">'Uso e Consumo'!F937</f>
        <v>18</v>
      </c>
      <c r="I937" s="35" t="n">
        <f aca="false">'Uso e Consumo'!G937</f>
        <v>1080</v>
      </c>
      <c r="J937" s="34" t="str">
        <f aca="false">'Uso e Consumo'!M937</f>
        <v>3.8.1.003 - Madeira</v>
      </c>
      <c r="K937" s="32" t="str">
        <f aca="false">INDEX('Curva ABC'!$K$8:$K$2847,MATCH(D937,'Curva ABC'!$B$8:$B$2847,0))</f>
        <v>C</v>
      </c>
    </row>
    <row r="938" customFormat="false" ht="15" hidden="false" customHeight="false" outlineLevel="0" collapsed="false">
      <c r="A938" s="34" t="s">
        <v>5799</v>
      </c>
      <c r="B938" s="34" t="str">
        <f aca="false">'Uso e Consumo'!A938</f>
        <v>0335</v>
      </c>
      <c r="C938" s="34" t="str">
        <f aca="false">'Uso e Consumo'!B938</f>
        <v>UFV NORONHA VERDE - USO E CONSUMO</v>
      </c>
      <c r="D938" s="33" t="n">
        <f aca="false">'Uso e Consumo'!C938</f>
        <v>1614269</v>
      </c>
      <c r="E938" s="34" t="str">
        <f aca="false">'Uso e Consumo'!D938</f>
        <v>17.03.0616</v>
      </c>
      <c r="F938" s="34" t="str">
        <f aca="false">'Uso e Consumo'!E938</f>
        <v>TE HORIZONTAL PARA ELETROCALHA 200X100</v>
      </c>
      <c r="G938" s="34" t="str">
        <f aca="false">'Uso e Consumo'!J938</f>
        <v>UN</v>
      </c>
      <c r="H938" s="49" t="n">
        <f aca="false">'Uso e Consumo'!F938</f>
        <v>4</v>
      </c>
      <c r="I938" s="35" t="n">
        <f aca="false">'Uso e Consumo'!G938</f>
        <v>1079.08</v>
      </c>
      <c r="J938" s="34" t="str">
        <f aca="false">'Uso e Consumo'!M938</f>
        <v>3.8.1.017 - Instalações elétricas/telefônicas/lógica</v>
      </c>
      <c r="K938" s="32" t="str">
        <f aca="false">INDEX('Curva ABC'!$K$8:$K$2847,MATCH(D938,'Curva ABC'!$B$8:$B$2847,0))</f>
        <v>C</v>
      </c>
    </row>
    <row r="939" customFormat="false" ht="15" hidden="false" customHeight="false" outlineLevel="0" collapsed="false">
      <c r="A939" s="34" t="s">
        <v>5799</v>
      </c>
      <c r="B939" s="34" t="str">
        <f aca="false">'Uso e Consumo'!A939</f>
        <v>0335</v>
      </c>
      <c r="C939" s="34" t="str">
        <f aca="false">'Uso e Consumo'!B939</f>
        <v>UFV NORONHA VERDE - USO E CONSUMO</v>
      </c>
      <c r="D939" s="33" t="n">
        <f aca="false">'Uso e Consumo'!C939</f>
        <v>559297</v>
      </c>
      <c r="E939" s="34" t="str">
        <f aca="false">'Uso e Consumo'!D939</f>
        <v>30.03.0359</v>
      </c>
      <c r="F939" s="34" t="str">
        <f aca="false">'Uso e Consumo'!E939</f>
        <v>COLETOR COM TAMPA E PEDAL - 120 L - CINZA</v>
      </c>
      <c r="G939" s="34" t="str">
        <f aca="false">'Uso e Consumo'!J939</f>
        <v>UN</v>
      </c>
      <c r="H939" s="49" t="n">
        <f aca="false">'Uso e Consumo'!F939</f>
        <v>2</v>
      </c>
      <c r="I939" s="35" t="n">
        <f aca="false">'Uso e Consumo'!G939</f>
        <v>1078</v>
      </c>
      <c r="J939" s="34" t="str">
        <f aca="false">'Uso e Consumo'!M939</f>
        <v>4.1.1.003 - Material limpeza</v>
      </c>
      <c r="K939" s="32" t="str">
        <f aca="false">INDEX('Curva ABC'!$K$8:$K$2847,MATCH(D939,'Curva ABC'!$B$8:$B$2847,0))</f>
        <v>C</v>
      </c>
    </row>
    <row r="940" customFormat="false" ht="15" hidden="false" customHeight="false" outlineLevel="0" collapsed="false">
      <c r="A940" s="34" t="s">
        <v>5799</v>
      </c>
      <c r="B940" s="34" t="str">
        <f aca="false">'Uso e Consumo'!A940</f>
        <v>0335</v>
      </c>
      <c r="C940" s="34" t="str">
        <f aca="false">'Uso e Consumo'!B940</f>
        <v>UFV NORONHA VERDE - USO E CONSUMO</v>
      </c>
      <c r="D940" s="33" t="n">
        <f aca="false">'Uso e Consumo'!C940</f>
        <v>16280</v>
      </c>
      <c r="E940" s="34" t="str">
        <f aca="false">'Uso e Consumo'!D940</f>
        <v>19.01.0007</v>
      </c>
      <c r="F940" s="34" t="str">
        <f aca="false">'Uso e Consumo'!E940</f>
        <v>BACIA SANITARIA CAIXA ACOPLADA SAIDA VERTICAL LOUCA BOTAO DUPLO ACIONAMENTO 6,00L BRANCO ASSENTO PP</v>
      </c>
      <c r="G940" s="34" t="str">
        <f aca="false">'Uso e Consumo'!J940</f>
        <v>UN</v>
      </c>
      <c r="H940" s="49" t="n">
        <f aca="false">'Uso e Consumo'!F940</f>
        <v>2</v>
      </c>
      <c r="I940" s="35" t="n">
        <f aca="false">'Uso e Consumo'!G940</f>
        <v>1077.6</v>
      </c>
      <c r="J940" s="34" t="str">
        <f aca="false">'Uso e Consumo'!M940</f>
        <v>3.8.1.018 - Instalações hidráulicas/sanitárias/industriais</v>
      </c>
      <c r="K940" s="32" t="str">
        <f aca="false">INDEX('Curva ABC'!$K$8:$K$2847,MATCH(D940,'Curva ABC'!$B$8:$B$2847,0))</f>
        <v>C</v>
      </c>
    </row>
    <row r="941" customFormat="false" ht="15" hidden="false" customHeight="false" outlineLevel="0" collapsed="false">
      <c r="A941" s="34" t="s">
        <v>5799</v>
      </c>
      <c r="B941" s="34" t="str">
        <f aca="false">'Uso e Consumo'!A941</f>
        <v>0335</v>
      </c>
      <c r="C941" s="34" t="str">
        <f aca="false">'Uso e Consumo'!B941</f>
        <v>UFV NORONHA VERDE - USO E CONSUMO</v>
      </c>
      <c r="D941" s="33" t="n">
        <f aca="false">'Uso e Consumo'!C941</f>
        <v>1330915</v>
      </c>
      <c r="E941" s="34" t="str">
        <f aca="false">'Uso e Consumo'!D941</f>
        <v>23.02.0478</v>
      </c>
      <c r="F941" s="34" t="str">
        <f aca="false">'Uso e Consumo'!E941</f>
        <v>ABRAÇADEIRA TIPO "D" C/ PARFUSO P/ ELÉTRODUTO DE DIAN. 2" EM AÇO GALVANIZADO A QUENTE</v>
      </c>
      <c r="G941" s="34" t="str">
        <f aca="false">'Uso e Consumo'!J941</f>
        <v>UN</v>
      </c>
      <c r="H941" s="49" t="n">
        <f aca="false">'Uso e Consumo'!F941</f>
        <v>208</v>
      </c>
      <c r="I941" s="35" t="n">
        <f aca="false">'Uso e Consumo'!G941</f>
        <v>1075.22</v>
      </c>
      <c r="J941" s="34" t="str">
        <f aca="false">'Uso e Consumo'!M941</f>
        <v>3.8.1.022 - Elementos de fixação</v>
      </c>
      <c r="K941" s="32" t="str">
        <f aca="false">INDEX('Curva ABC'!$K$8:$K$2847,MATCH(D941,'Curva ABC'!$B$8:$B$2847,0))</f>
        <v>C</v>
      </c>
    </row>
    <row r="942" customFormat="false" ht="15" hidden="false" customHeight="false" outlineLevel="0" collapsed="false">
      <c r="A942" s="34" t="s">
        <v>5799</v>
      </c>
      <c r="B942" s="34" t="str">
        <f aca="false">'Uso e Consumo'!A942</f>
        <v>0335</v>
      </c>
      <c r="C942" s="34" t="str">
        <f aca="false">'Uso e Consumo'!B942</f>
        <v>UFV NORONHA VERDE - USO E CONSUMO</v>
      </c>
      <c r="D942" s="33" t="n">
        <f aca="false">'Uso e Consumo'!C942</f>
        <v>1330497</v>
      </c>
      <c r="E942" s="34" t="str">
        <f aca="false">'Uso e Consumo'!D942</f>
        <v>19.08.0099</v>
      </c>
      <c r="F942" s="34" t="str">
        <f aca="false">'Uso e Consumo'!E942</f>
        <v>TORNEIRA DE COZINHA FLEXÍVEL 1/2 (BANCADA)</v>
      </c>
      <c r="G942" s="34" t="str">
        <f aca="false">'Uso e Consumo'!J942</f>
        <v>UN</v>
      </c>
      <c r="H942" s="49" t="n">
        <f aca="false">'Uso e Consumo'!F942</f>
        <v>9</v>
      </c>
      <c r="I942" s="35" t="n">
        <f aca="false">'Uso e Consumo'!G942</f>
        <v>1074.42</v>
      </c>
      <c r="J942" s="34" t="str">
        <f aca="false">'Uso e Consumo'!M942</f>
        <v>3.8.1.018 - Instalações hidráulicas/sanitárias/industriais</v>
      </c>
      <c r="K942" s="32" t="str">
        <f aca="false">INDEX('Curva ABC'!$K$8:$K$2847,MATCH(D942,'Curva ABC'!$B$8:$B$2847,0))</f>
        <v>C</v>
      </c>
    </row>
    <row r="943" customFormat="false" ht="15" hidden="false" customHeight="false" outlineLevel="0" collapsed="false">
      <c r="A943" s="34" t="s">
        <v>5799</v>
      </c>
      <c r="B943" s="34" t="str">
        <f aca="false">'Uso e Consumo'!A943</f>
        <v>0335</v>
      </c>
      <c r="C943" s="34" t="str">
        <f aca="false">'Uso e Consumo'!B943</f>
        <v>UFV NORONHA VERDE - USO E CONSUMO</v>
      </c>
      <c r="D943" s="33" t="n">
        <f aca="false">'Uso e Consumo'!C943</f>
        <v>21546</v>
      </c>
      <c r="E943" s="34" t="str">
        <f aca="false">'Uso e Consumo'!D943</f>
        <v>30.03.0113</v>
      </c>
      <c r="F943" s="34" t="str">
        <f aca="false">'Uso e Consumo'!E943</f>
        <v>DETERGENTE LÍQUIDO 5,00 L</v>
      </c>
      <c r="G943" s="34" t="str">
        <f aca="false">'Uso e Consumo'!J943</f>
        <v>BB</v>
      </c>
      <c r="H943" s="49" t="n">
        <f aca="false">'Uso e Consumo'!F943</f>
        <v>75</v>
      </c>
      <c r="I943" s="35" t="n">
        <f aca="false">'Uso e Consumo'!G943</f>
        <v>1071.353</v>
      </c>
      <c r="J943" s="34" t="str">
        <f aca="false">'Uso e Consumo'!M943</f>
        <v>4.1.1.003 - Material limpeza</v>
      </c>
      <c r="K943" s="32" t="str">
        <f aca="false">INDEX('Curva ABC'!$K$8:$K$2847,MATCH(D943,'Curva ABC'!$B$8:$B$2847,0))</f>
        <v>C</v>
      </c>
    </row>
    <row r="944" customFormat="false" ht="15" hidden="false" customHeight="false" outlineLevel="0" collapsed="false">
      <c r="A944" s="34" t="s">
        <v>5799</v>
      </c>
      <c r="B944" s="34" t="str">
        <f aca="false">'Uso e Consumo'!A944</f>
        <v>0335</v>
      </c>
      <c r="C944" s="34" t="str">
        <f aca="false">'Uso e Consumo'!B944</f>
        <v>UFV NORONHA VERDE - USO E CONSUMO</v>
      </c>
      <c r="D944" s="33" t="n">
        <f aca="false">'Uso e Consumo'!C944</f>
        <v>19119</v>
      </c>
      <c r="E944" s="34" t="str">
        <f aca="false">'Uso e Consumo'!D944</f>
        <v>29.01.0042</v>
      </c>
      <c r="F944" s="34" t="str">
        <f aca="false">'Uso e Consumo'!E944</f>
        <v>FONE DE OUVIDO COM MICROFONE P2</v>
      </c>
      <c r="G944" s="34" t="str">
        <f aca="false">'Uso e Consumo'!J944</f>
        <v>UN</v>
      </c>
      <c r="H944" s="49" t="n">
        <f aca="false">'Uso e Consumo'!F944</f>
        <v>10</v>
      </c>
      <c r="I944" s="35" t="n">
        <f aca="false">'Uso e Consumo'!G944</f>
        <v>1071</v>
      </c>
      <c r="J944" s="34" t="str">
        <f aca="false">'Uso e Consumo'!M944</f>
        <v>4.1.1.007 - Equipamentos e acessórios para informática</v>
      </c>
      <c r="K944" s="32" t="str">
        <f aca="false">INDEX('Curva ABC'!$K$8:$K$2847,MATCH(D944,'Curva ABC'!$B$8:$B$2847,0))</f>
        <v>C</v>
      </c>
    </row>
    <row r="945" customFormat="false" ht="15" hidden="false" customHeight="false" outlineLevel="0" collapsed="false">
      <c r="A945" s="34" t="s">
        <v>5799</v>
      </c>
      <c r="B945" s="34" t="str">
        <f aca="false">'Uso e Consumo'!A945</f>
        <v>0335</v>
      </c>
      <c r="C945" s="34" t="str">
        <f aca="false">'Uso e Consumo'!B945</f>
        <v>UFV NORONHA VERDE - USO E CONSUMO</v>
      </c>
      <c r="D945" s="33" t="n">
        <f aca="false">'Uso e Consumo'!C945</f>
        <v>1066406</v>
      </c>
      <c r="E945" s="34" t="str">
        <f aca="false">'Uso e Consumo'!D945</f>
        <v>29.01.1386</v>
      </c>
      <c r="F945" s="34" t="str">
        <f aca="false">'Uso e Consumo'!E945</f>
        <v>CAIXA DE SOM MINI</v>
      </c>
      <c r="G945" s="34" t="str">
        <f aca="false">'Uso e Consumo'!J945</f>
        <v>UN</v>
      </c>
      <c r="H945" s="49" t="n">
        <f aca="false">'Uso e Consumo'!F945</f>
        <v>10</v>
      </c>
      <c r="I945" s="35" t="n">
        <f aca="false">'Uso e Consumo'!G945</f>
        <v>1071</v>
      </c>
      <c r="J945" s="34" t="str">
        <f aca="false">'Uso e Consumo'!M945</f>
        <v>3.1.1.009 - Eletro eletrônico e acessórios</v>
      </c>
      <c r="K945" s="32" t="str">
        <f aca="false">INDEX('Curva ABC'!$K$8:$K$2847,MATCH(D945,'Curva ABC'!$B$8:$B$2847,0))</f>
        <v>C</v>
      </c>
    </row>
    <row r="946" customFormat="false" ht="15" hidden="false" customHeight="false" outlineLevel="0" collapsed="false">
      <c r="A946" s="34" t="s">
        <v>5799</v>
      </c>
      <c r="B946" s="34" t="str">
        <f aca="false">'Uso e Consumo'!A946</f>
        <v>0335</v>
      </c>
      <c r="C946" s="34" t="str">
        <f aca="false">'Uso e Consumo'!B946</f>
        <v>UFV NORONHA VERDE - USO E CONSUMO</v>
      </c>
      <c r="D946" s="33" t="n">
        <f aca="false">'Uso e Consumo'!C946</f>
        <v>1317673</v>
      </c>
      <c r="E946" s="34" t="str">
        <f aca="false">'Uso e Consumo'!D946</f>
        <v>30.03.0547</v>
      </c>
      <c r="F946" s="34" t="str">
        <f aca="false">'Uso e Consumo'!E946</f>
        <v>COLETOR COM TAMPA E PEDAL 30 L - VERMELHO</v>
      </c>
      <c r="G946" s="34" t="str">
        <f aca="false">'Uso e Consumo'!J946</f>
        <v>UN</v>
      </c>
      <c r="H946" s="49" t="n">
        <f aca="false">'Uso e Consumo'!F946</f>
        <v>10</v>
      </c>
      <c r="I946" s="35" t="n">
        <f aca="false">'Uso e Consumo'!G946</f>
        <v>1070</v>
      </c>
      <c r="J946" s="34" t="str">
        <f aca="false">'Uso e Consumo'!M946</f>
        <v>4.1.1.003 - Material limpeza</v>
      </c>
      <c r="K946" s="32" t="str">
        <f aca="false">INDEX('Curva ABC'!$K$8:$K$2847,MATCH(D946,'Curva ABC'!$B$8:$B$2847,0))</f>
        <v>C</v>
      </c>
    </row>
    <row r="947" customFormat="false" ht="15" hidden="false" customHeight="false" outlineLevel="0" collapsed="false">
      <c r="A947" s="34" t="s">
        <v>5799</v>
      </c>
      <c r="B947" s="34" t="str">
        <f aca="false">'Uso e Consumo'!A947</f>
        <v>0335</v>
      </c>
      <c r="C947" s="34" t="str">
        <f aca="false">'Uso e Consumo'!B947</f>
        <v>UFV NORONHA VERDE - USO E CONSUMO</v>
      </c>
      <c r="D947" s="33" t="n">
        <f aca="false">'Uso e Consumo'!C947</f>
        <v>839618</v>
      </c>
      <c r="E947" s="34" t="str">
        <f aca="false">'Uso e Consumo'!D947</f>
        <v>26.06.0112</v>
      </c>
      <c r="F947" s="34" t="str">
        <f aca="false">'Uso e Consumo'!E947</f>
        <v>LUVA ISOLANTE 5KV</v>
      </c>
      <c r="G947" s="34" t="str">
        <f aca="false">'Uso e Consumo'!J947</f>
        <v>UN</v>
      </c>
      <c r="H947" s="49" t="n">
        <f aca="false">'Uso e Consumo'!F947</f>
        <v>3</v>
      </c>
      <c r="I947" s="35" t="n">
        <f aca="false">'Uso e Consumo'!G947</f>
        <v>1068.51</v>
      </c>
      <c r="J947" s="34" t="str">
        <f aca="false">'Uso e Consumo'!M947</f>
        <v>4.3.4.001 - Equipamento de proteção individual</v>
      </c>
      <c r="K947" s="32" t="str">
        <f aca="false">INDEX('Curva ABC'!$K$8:$K$2847,MATCH(D947,'Curva ABC'!$B$8:$B$2847,0))</f>
        <v>C</v>
      </c>
    </row>
    <row r="948" customFormat="false" ht="15" hidden="false" customHeight="false" outlineLevel="0" collapsed="false">
      <c r="A948" s="34" t="s">
        <v>5799</v>
      </c>
      <c r="B948" s="34" t="str">
        <f aca="false">'Uso e Consumo'!A948</f>
        <v>0335</v>
      </c>
      <c r="C948" s="34" t="str">
        <f aca="false">'Uso e Consumo'!B948</f>
        <v>UFV NORONHA VERDE - USO E CONSUMO</v>
      </c>
      <c r="D948" s="33" t="n">
        <f aca="false">'Uso e Consumo'!C948</f>
        <v>23428</v>
      </c>
      <c r="E948" s="34" t="str">
        <f aca="false">'Uso e Consumo'!D948</f>
        <v>30.01.0449</v>
      </c>
      <c r="F948" s="34" t="str">
        <f aca="false">'Uso e Consumo'!E948</f>
        <v>CARREGADOR DE PILHAS AA/AAA BIV. COM 2 PILHAS AA E 2 PILHAS AAA</v>
      </c>
      <c r="G948" s="34" t="str">
        <f aca="false">'Uso e Consumo'!J948</f>
        <v>UN</v>
      </c>
      <c r="H948" s="49" t="n">
        <f aca="false">'Uso e Consumo'!F948</f>
        <v>4</v>
      </c>
      <c r="I948" s="35" t="n">
        <f aca="false">'Uso e Consumo'!G948</f>
        <v>1060</v>
      </c>
      <c r="J948" s="34" t="str">
        <f aca="false">'Uso e Consumo'!M948</f>
        <v>4.1.1.002 - Material expediente</v>
      </c>
      <c r="K948" s="32" t="str">
        <f aca="false">INDEX('Curva ABC'!$K$8:$K$2847,MATCH(D948,'Curva ABC'!$B$8:$B$2847,0))</f>
        <v>C</v>
      </c>
    </row>
    <row r="949" customFormat="false" ht="15" hidden="false" customHeight="false" outlineLevel="0" collapsed="false">
      <c r="A949" s="34" t="s">
        <v>5799</v>
      </c>
      <c r="B949" s="34" t="str">
        <f aca="false">'Uso e Consumo'!A949</f>
        <v>0335</v>
      </c>
      <c r="C949" s="34" t="str">
        <f aca="false">'Uso e Consumo'!B949</f>
        <v>UFV NORONHA VERDE - USO E CONSUMO</v>
      </c>
      <c r="D949" s="33" t="n">
        <f aca="false">'Uso e Consumo'!C949</f>
        <v>278462</v>
      </c>
      <c r="E949" s="34" t="str">
        <f aca="false">'Uso e Consumo'!D949</f>
        <v>17.10.0318</v>
      </c>
      <c r="F949" s="34" t="str">
        <f aca="false">'Uso e Consumo'!E949</f>
        <v>DISPOSITIVO DE PROTEÇÃO CONTRA SURTOS – DPS 40KVA 275V CLASSE II</v>
      </c>
      <c r="G949" s="34" t="str">
        <f aca="false">'Uso e Consumo'!J949</f>
        <v>UN</v>
      </c>
      <c r="H949" s="49" t="n">
        <f aca="false">'Uso e Consumo'!F949</f>
        <v>21</v>
      </c>
      <c r="I949" s="35" t="n">
        <f aca="false">'Uso e Consumo'!G949</f>
        <v>1050.0672</v>
      </c>
      <c r="J949" s="34" t="str">
        <f aca="false">'Uso e Consumo'!M949</f>
        <v>3.8.1.017 - Instalações elétricas/telefônicas/lógica</v>
      </c>
      <c r="K949" s="32" t="str">
        <f aca="false">INDEX('Curva ABC'!$K$8:$K$2847,MATCH(D949,'Curva ABC'!$B$8:$B$2847,0))</f>
        <v>C</v>
      </c>
    </row>
    <row r="950" customFormat="false" ht="15" hidden="false" customHeight="false" outlineLevel="0" collapsed="false">
      <c r="A950" s="34" t="s">
        <v>5799</v>
      </c>
      <c r="B950" s="34" t="str">
        <f aca="false">'Uso e Consumo'!A950</f>
        <v>0335</v>
      </c>
      <c r="C950" s="34" t="str">
        <f aca="false">'Uso e Consumo'!B950</f>
        <v>UFV NORONHA VERDE - USO E CONSUMO</v>
      </c>
      <c r="D950" s="33" t="n">
        <f aca="false">'Uso e Consumo'!C950</f>
        <v>54270</v>
      </c>
      <c r="E950" s="34" t="str">
        <f aca="false">'Uso e Consumo'!D950</f>
        <v>23.06.0132</v>
      </c>
      <c r="F950" s="34" t="str">
        <f aca="false">'Uso e Consumo'!E950</f>
        <v>PORCA SEXTAVADA 7/8 ZB</v>
      </c>
      <c r="G950" s="34" t="str">
        <f aca="false">'Uso e Consumo'!J950</f>
        <v>UN</v>
      </c>
      <c r="H950" s="49" t="n">
        <f aca="false">'Uso e Consumo'!F950</f>
        <v>350</v>
      </c>
      <c r="I950" s="35" t="n">
        <f aca="false">'Uso e Consumo'!G950</f>
        <v>1050</v>
      </c>
      <c r="J950" s="34" t="str">
        <f aca="false">'Uso e Consumo'!M950</f>
        <v>3.8.1.022 - Elementos de fixação</v>
      </c>
      <c r="K950" s="32" t="str">
        <f aca="false">INDEX('Curva ABC'!$K$8:$K$2847,MATCH(D950,'Curva ABC'!$B$8:$B$2847,0))</f>
        <v>C</v>
      </c>
    </row>
    <row r="951" customFormat="false" ht="15" hidden="false" customHeight="false" outlineLevel="0" collapsed="false">
      <c r="A951" s="34" t="s">
        <v>5799</v>
      </c>
      <c r="B951" s="34" t="str">
        <f aca="false">'Uso e Consumo'!A951</f>
        <v>0335</v>
      </c>
      <c r="C951" s="34" t="str">
        <f aca="false">'Uso e Consumo'!B951</f>
        <v>UFV NORONHA VERDE - USO E CONSUMO</v>
      </c>
      <c r="D951" s="33" t="n">
        <f aca="false">'Uso e Consumo'!C951</f>
        <v>1484204</v>
      </c>
      <c r="E951" s="34" t="str">
        <f aca="false">'Uso e Consumo'!D951</f>
        <v>23.07.1612</v>
      </c>
      <c r="F951" s="34" t="str">
        <f aca="false">'Uso e Consumo'!E951</f>
        <v>PORCA LOSANGULAR COM PINO PARA PERFILADO GALVANIZADO A FOGO 3/8"</v>
      </c>
      <c r="G951" s="34" t="str">
        <f aca="false">'Uso e Consumo'!J951</f>
        <v>UN</v>
      </c>
      <c r="H951" s="49" t="n">
        <f aca="false">'Uso e Consumo'!F951</f>
        <v>82</v>
      </c>
      <c r="I951" s="35" t="n">
        <f aca="false">'Uso e Consumo'!G951</f>
        <v>1047.8</v>
      </c>
      <c r="J951" s="34" t="str">
        <f aca="false">'Uso e Consumo'!M951</f>
        <v>3.8.1.022 - Elementos de fixação</v>
      </c>
      <c r="K951" s="32" t="str">
        <f aca="false">INDEX('Curva ABC'!$K$8:$K$2847,MATCH(D951,'Curva ABC'!$B$8:$B$2847,0))</f>
        <v>C</v>
      </c>
    </row>
    <row r="952" customFormat="false" ht="15" hidden="false" customHeight="false" outlineLevel="0" collapsed="false">
      <c r="A952" s="34" t="s">
        <v>5799</v>
      </c>
      <c r="B952" s="34" t="str">
        <f aca="false">'Uso e Consumo'!A952</f>
        <v>0335</v>
      </c>
      <c r="C952" s="34" t="str">
        <f aca="false">'Uso e Consumo'!B952</f>
        <v>UFV NORONHA VERDE - USO E CONSUMO</v>
      </c>
      <c r="D952" s="33" t="n">
        <f aca="false">'Uso e Consumo'!C952</f>
        <v>57393</v>
      </c>
      <c r="E952" s="34" t="str">
        <f aca="false">'Uso e Consumo'!D952</f>
        <v>01.10.0076</v>
      </c>
      <c r="F952" s="34" t="str">
        <f aca="false">'Uso e Consumo'!E952</f>
        <v>BARRA ROSCADA AÇO CARBONO GALVANIZADO M20 C/ 1,00M</v>
      </c>
      <c r="G952" s="34" t="str">
        <f aca="false">'Uso e Consumo'!J952</f>
        <v>M</v>
      </c>
      <c r="H952" s="49" t="n">
        <f aca="false">'Uso e Consumo'!F952</f>
        <v>4.8</v>
      </c>
      <c r="I952" s="35" t="n">
        <f aca="false">'Uso e Consumo'!G952</f>
        <v>1044.11</v>
      </c>
      <c r="J952" s="34" t="str">
        <f aca="false">'Uso e Consumo'!M952</f>
        <v>3.8.1.001 - Aços e trefilados</v>
      </c>
      <c r="K952" s="32" t="str">
        <f aca="false">INDEX('Curva ABC'!$K$8:$K$2847,MATCH(D952,'Curva ABC'!$B$8:$B$2847,0))</f>
        <v>C</v>
      </c>
    </row>
    <row r="953" customFormat="false" ht="15" hidden="false" customHeight="false" outlineLevel="0" collapsed="false">
      <c r="A953" s="34" t="s">
        <v>5799</v>
      </c>
      <c r="B953" s="34" t="str">
        <f aca="false">'Uso e Consumo'!A953</f>
        <v>0335</v>
      </c>
      <c r="C953" s="34" t="str">
        <f aca="false">'Uso e Consumo'!B953</f>
        <v>UFV NORONHA VERDE - USO E CONSUMO</v>
      </c>
      <c r="D953" s="33" t="n">
        <f aca="false">'Uso e Consumo'!C953</f>
        <v>22990</v>
      </c>
      <c r="E953" s="34" t="str">
        <f aca="false">'Uso e Consumo'!D953</f>
        <v>17.16.0084</v>
      </c>
      <c r="F953" s="34" t="str">
        <f aca="false">'Uso e Consumo'!E953</f>
        <v>GRAMPO DUPLO GALVANIZADO TIPO “U”– MOD.: GAE-3526 – 16-70MM2 – PARA HASTE DE ATERRAMENTO 5/8” Á 1”</v>
      </c>
      <c r="G953" s="34" t="str">
        <f aca="false">'Uso e Consumo'!J953</f>
        <v>UN</v>
      </c>
      <c r="H953" s="49" t="n">
        <f aca="false">'Uso e Consumo'!F953</f>
        <v>35</v>
      </c>
      <c r="I953" s="35" t="n">
        <f aca="false">'Uso e Consumo'!G953</f>
        <v>1043.76</v>
      </c>
      <c r="J953" s="34" t="str">
        <f aca="false">'Uso e Consumo'!M953</f>
        <v>3.8.1.017 - Instalações elétricas/telefônicas/lógica</v>
      </c>
      <c r="K953" s="32" t="str">
        <f aca="false">INDEX('Curva ABC'!$K$8:$K$2847,MATCH(D953,'Curva ABC'!$B$8:$B$2847,0))</f>
        <v>C</v>
      </c>
    </row>
    <row r="954" customFormat="false" ht="15" hidden="false" customHeight="false" outlineLevel="0" collapsed="false">
      <c r="A954" s="34" t="s">
        <v>5799</v>
      </c>
      <c r="B954" s="34" t="str">
        <f aca="false">'Uso e Consumo'!A954</f>
        <v>0335</v>
      </c>
      <c r="C954" s="34" t="str">
        <f aca="false">'Uso e Consumo'!B954</f>
        <v>UFV NORONHA VERDE - USO E CONSUMO</v>
      </c>
      <c r="D954" s="33" t="n">
        <f aca="false">'Uso e Consumo'!C954</f>
        <v>224633</v>
      </c>
      <c r="E954" s="34" t="str">
        <f aca="false">'Uso e Consumo'!D954</f>
        <v>17.02.0347</v>
      </c>
      <c r="F954" s="34" t="str">
        <f aca="false">'Uso e Consumo'!E954</f>
        <v>PARAFUSO ROSCA DUPLA EM AÇO GALVANIZADO, M16 x 700 MM</v>
      </c>
      <c r="G954" s="34" t="str">
        <f aca="false">'Uso e Consumo'!J954</f>
        <v>UN</v>
      </c>
      <c r="H954" s="49" t="n">
        <f aca="false">'Uso e Consumo'!F954</f>
        <v>24</v>
      </c>
      <c r="I954" s="35" t="n">
        <f aca="false">'Uso e Consumo'!G954</f>
        <v>1042.08</v>
      </c>
      <c r="J954" s="34" t="str">
        <f aca="false">'Uso e Consumo'!M954</f>
        <v>3.8.1.017 - Instalações elétricas/telefônicas/lógica</v>
      </c>
      <c r="K954" s="32" t="str">
        <f aca="false">INDEX('Curva ABC'!$K$8:$K$2847,MATCH(D954,'Curva ABC'!$B$8:$B$2847,0))</f>
        <v>C</v>
      </c>
    </row>
    <row r="955" customFormat="false" ht="15" hidden="false" customHeight="false" outlineLevel="0" collapsed="false">
      <c r="A955" s="34" t="s">
        <v>5799</v>
      </c>
      <c r="B955" s="34" t="str">
        <f aca="false">'Uso e Consumo'!A955</f>
        <v>0335</v>
      </c>
      <c r="C955" s="34" t="str">
        <f aca="false">'Uso e Consumo'!B955</f>
        <v>UFV NORONHA VERDE - USO E CONSUMO</v>
      </c>
      <c r="D955" s="33" t="n">
        <f aca="false">'Uso e Consumo'!C955</f>
        <v>1315748</v>
      </c>
      <c r="E955" s="34" t="str">
        <f aca="false">'Uso e Consumo'!D955</f>
        <v>18.13.0029</v>
      </c>
      <c r="F955" s="34" t="str">
        <f aca="false">'Uso e Consumo'!E955</f>
        <v>MANGUEIRA DE SUCÇÃO AZUL 2"</v>
      </c>
      <c r="G955" s="34" t="str">
        <f aca="false">'Uso e Consumo'!J955</f>
        <v>M</v>
      </c>
      <c r="H955" s="49" t="n">
        <f aca="false">'Uso e Consumo'!F955</f>
        <v>29</v>
      </c>
      <c r="I955" s="35" t="n">
        <f aca="false">'Uso e Consumo'!G955</f>
        <v>1036</v>
      </c>
      <c r="J955" s="34" t="str">
        <f aca="false">'Uso e Consumo'!M955</f>
        <v>3.8.1.018 - Instalações hidráulicas/sanitárias/industriais</v>
      </c>
      <c r="K955" s="32" t="str">
        <f aca="false">INDEX('Curva ABC'!$K$8:$K$2847,MATCH(D955,'Curva ABC'!$B$8:$B$2847,0))</f>
        <v>C</v>
      </c>
    </row>
    <row r="956" customFormat="false" ht="15" hidden="false" customHeight="false" outlineLevel="0" collapsed="false">
      <c r="A956" s="34" t="s">
        <v>5799</v>
      </c>
      <c r="B956" s="34" t="str">
        <f aca="false">'Uso e Consumo'!A956</f>
        <v>0335</v>
      </c>
      <c r="C956" s="34" t="str">
        <f aca="false">'Uso e Consumo'!B956</f>
        <v>UFV NORONHA VERDE - USO E CONSUMO</v>
      </c>
      <c r="D956" s="33" t="n">
        <f aca="false">'Uso e Consumo'!C956</f>
        <v>279027</v>
      </c>
      <c r="E956" s="34" t="str">
        <f aca="false">'Uso e Consumo'!D956</f>
        <v>24.17.0014</v>
      </c>
      <c r="F956" s="34" t="str">
        <f aca="false">'Uso e Consumo'!E956</f>
        <v>PICARETA C/CABO</v>
      </c>
      <c r="G956" s="34" t="str">
        <f aca="false">'Uso e Consumo'!J956</f>
        <v>UN</v>
      </c>
      <c r="H956" s="49" t="n">
        <f aca="false">'Uso e Consumo'!F956</f>
        <v>12</v>
      </c>
      <c r="I956" s="35" t="n">
        <f aca="false">'Uso e Consumo'!G956</f>
        <v>1032</v>
      </c>
      <c r="J956" s="34" t="str">
        <f aca="false">'Uso e Consumo'!M956</f>
        <v>3.8.2.006 - Utensílios</v>
      </c>
      <c r="K956" s="32" t="str">
        <f aca="false">INDEX('Curva ABC'!$K$8:$K$2847,MATCH(D956,'Curva ABC'!$B$8:$B$2847,0))</f>
        <v>C</v>
      </c>
    </row>
    <row r="957" customFormat="false" ht="15" hidden="false" customHeight="false" outlineLevel="0" collapsed="false">
      <c r="A957" s="34" t="s">
        <v>5799</v>
      </c>
      <c r="B957" s="34" t="str">
        <f aca="false">'Uso e Consumo'!A957</f>
        <v>0335</v>
      </c>
      <c r="C957" s="34" t="str">
        <f aca="false">'Uso e Consumo'!B957</f>
        <v>UFV NORONHA VERDE - USO E CONSUMO</v>
      </c>
      <c r="D957" s="33" t="n">
        <f aca="false">'Uso e Consumo'!C957</f>
        <v>1484209</v>
      </c>
      <c r="E957" s="34" t="str">
        <f aca="false">'Uso e Consumo'!D957</f>
        <v>23.06.0325</v>
      </c>
      <c r="F957" s="34" t="str">
        <f aca="false">'Uso e Consumo'!E957</f>
        <v>PORCA LOSANGULAR COM PINO PARA PERFILADO GALVANIZADO A FOGO 1/4"</v>
      </c>
      <c r="G957" s="34" t="str">
        <f aca="false">'Uso e Consumo'!J957</f>
        <v>UN</v>
      </c>
      <c r="H957" s="49" t="n">
        <f aca="false">'Uso e Consumo'!F957</f>
        <v>86</v>
      </c>
      <c r="I957" s="35" t="n">
        <f aca="false">'Uso e Consumo'!G957</f>
        <v>1032</v>
      </c>
      <c r="J957" s="34" t="str">
        <f aca="false">'Uso e Consumo'!M957</f>
        <v>3.8.1.022 - Elementos de fixação</v>
      </c>
      <c r="K957" s="32" t="str">
        <f aca="false">INDEX('Curva ABC'!$K$8:$K$2847,MATCH(D957,'Curva ABC'!$B$8:$B$2847,0))</f>
        <v>C</v>
      </c>
    </row>
    <row r="958" customFormat="false" ht="15" hidden="false" customHeight="false" outlineLevel="0" collapsed="false">
      <c r="A958" s="34" t="s">
        <v>5799</v>
      </c>
      <c r="B958" s="34" t="str">
        <f aca="false">'Uso e Consumo'!A958</f>
        <v>0335</v>
      </c>
      <c r="C958" s="34" t="str">
        <f aca="false">'Uso e Consumo'!B958</f>
        <v>UFV NORONHA VERDE - USO E CONSUMO</v>
      </c>
      <c r="D958" s="33" t="n">
        <f aca="false">'Uso e Consumo'!C958</f>
        <v>1319423</v>
      </c>
      <c r="E958" s="34" t="str">
        <f aca="false">'Uso e Consumo'!D958</f>
        <v>28.01.0713</v>
      </c>
      <c r="F958" s="34" t="str">
        <f aca="false">'Uso e Consumo'!E958</f>
        <v>PLACA DE SINALIZAÇÃO 60X40CM - CHAPA DE ZINCO - COM CAVALETE</v>
      </c>
      <c r="G958" s="34" t="str">
        <f aca="false">'Uso e Consumo'!J958</f>
        <v>UN</v>
      </c>
      <c r="H958" s="49" t="n">
        <f aca="false">'Uso e Consumo'!F958</f>
        <v>10</v>
      </c>
      <c r="I958" s="35" t="n">
        <f aca="false">'Uso e Consumo'!G958</f>
        <v>1031.1</v>
      </c>
      <c r="J958" s="34" t="str">
        <f aca="false">'Uso e Consumo'!M958</f>
        <v>3.8.1.023 - Comunicação visual e sinalização</v>
      </c>
      <c r="K958" s="32" t="str">
        <f aca="false">INDEX('Curva ABC'!$K$8:$K$2847,MATCH(D958,'Curva ABC'!$B$8:$B$2847,0))</f>
        <v>C</v>
      </c>
    </row>
    <row r="959" customFormat="false" ht="15" hidden="false" customHeight="false" outlineLevel="0" collapsed="false">
      <c r="A959" s="34" t="s">
        <v>5799</v>
      </c>
      <c r="B959" s="34" t="str">
        <f aca="false">'Uso e Consumo'!A959</f>
        <v>0335</v>
      </c>
      <c r="C959" s="34" t="str">
        <f aca="false">'Uso e Consumo'!B959</f>
        <v>UFV NORONHA VERDE - USO E CONSUMO</v>
      </c>
      <c r="D959" s="33" t="n">
        <f aca="false">'Uso e Consumo'!C959</f>
        <v>1654877</v>
      </c>
      <c r="E959" s="34" t="str">
        <f aca="false">'Uso e Consumo'!D959</f>
        <v>28.01.0745</v>
      </c>
      <c r="F959" s="34" t="str">
        <f aca="false">'Uso e Consumo'!E959</f>
        <v>PLACA DE ORIENTACAO PARA SAIDA DE EMERGENCIA (SEM SETA), DIMENSOES 316 X 158 MM (L X A), FABRICADA EM CHAPA DE ACO GALVA</v>
      </c>
      <c r="G959" s="34" t="str">
        <f aca="false">'Uso e Consumo'!J959</f>
        <v>UN</v>
      </c>
      <c r="H959" s="49" t="n">
        <f aca="false">'Uso e Consumo'!F959</f>
        <v>25</v>
      </c>
      <c r="I959" s="35" t="n">
        <f aca="false">'Uso e Consumo'!G959</f>
        <v>1030.5</v>
      </c>
      <c r="J959" s="34" t="str">
        <f aca="false">'Uso e Consumo'!M959</f>
        <v>3.8.1.023 - Comunicação visual e sinalização</v>
      </c>
      <c r="K959" s="32" t="str">
        <f aca="false">INDEX('Curva ABC'!$K$8:$K$2847,MATCH(D959,'Curva ABC'!$B$8:$B$2847,0))</f>
        <v>C</v>
      </c>
    </row>
    <row r="960" customFormat="false" ht="15" hidden="false" customHeight="false" outlineLevel="0" collapsed="false">
      <c r="A960" s="34" t="s">
        <v>5799</v>
      </c>
      <c r="B960" s="34" t="str">
        <f aca="false">'Uso e Consumo'!A960</f>
        <v>0335</v>
      </c>
      <c r="C960" s="34" t="str">
        <f aca="false">'Uso e Consumo'!B960</f>
        <v>UFV NORONHA VERDE - USO E CONSUMO</v>
      </c>
      <c r="D960" s="33" t="n">
        <f aca="false">'Uso e Consumo'!C960</f>
        <v>12541</v>
      </c>
      <c r="E960" s="34" t="str">
        <f aca="false">'Uso e Consumo'!D960</f>
        <v>17.02.0041</v>
      </c>
      <c r="F960" s="34" t="str">
        <f aca="false">'Uso e Consumo'!E960</f>
        <v>TUBO ELETRODUTO POLIETILENO FLEXIVEL 32,00MM PRETO NBR 15465</v>
      </c>
      <c r="G960" s="34" t="str">
        <f aca="false">'Uso e Consumo'!J960</f>
        <v>M</v>
      </c>
      <c r="H960" s="49" t="n">
        <f aca="false">'Uso e Consumo'!F960</f>
        <v>500</v>
      </c>
      <c r="I960" s="35" t="n">
        <f aca="false">'Uso e Consumo'!G960</f>
        <v>1030</v>
      </c>
      <c r="J960" s="34" t="str">
        <f aca="false">'Uso e Consumo'!M960</f>
        <v>3.8.1.017 - Instalações elétricas/telefônicas/lógica</v>
      </c>
      <c r="K960" s="32" t="str">
        <f aca="false">INDEX('Curva ABC'!$K$8:$K$2847,MATCH(D960,'Curva ABC'!$B$8:$B$2847,0))</f>
        <v>C</v>
      </c>
    </row>
    <row r="961" customFormat="false" ht="15" hidden="false" customHeight="false" outlineLevel="0" collapsed="false">
      <c r="A961" s="34" t="s">
        <v>5799</v>
      </c>
      <c r="B961" s="34" t="str">
        <f aca="false">'Uso e Consumo'!A961</f>
        <v>0335</v>
      </c>
      <c r="C961" s="34" t="str">
        <f aca="false">'Uso e Consumo'!B961</f>
        <v>UFV NORONHA VERDE - USO E CONSUMO</v>
      </c>
      <c r="D961" s="33" t="n">
        <f aca="false">'Uso e Consumo'!C961</f>
        <v>32287</v>
      </c>
      <c r="E961" s="34" t="str">
        <f aca="false">'Uso e Consumo'!D961</f>
        <v>30.01.0215</v>
      </c>
      <c r="F961" s="34" t="str">
        <f aca="false">'Uso e Consumo'!E961</f>
        <v>FITILHO PLÁSTICO ROLO C/ 250,00M</v>
      </c>
      <c r="G961" s="34" t="str">
        <f aca="false">'Uso e Consumo'!J961</f>
        <v>UN</v>
      </c>
      <c r="H961" s="49" t="n">
        <f aca="false">'Uso e Consumo'!F961</f>
        <v>28</v>
      </c>
      <c r="I961" s="35" t="n">
        <f aca="false">'Uso e Consumo'!G961</f>
        <v>1024</v>
      </c>
      <c r="J961" s="34" t="str">
        <f aca="false">'Uso e Consumo'!M961</f>
        <v>4.1.1.002 - Material expediente</v>
      </c>
      <c r="K961" s="32" t="str">
        <f aca="false">INDEX('Curva ABC'!$K$8:$K$2847,MATCH(D961,'Curva ABC'!$B$8:$B$2847,0))</f>
        <v>C</v>
      </c>
    </row>
    <row r="962" customFormat="false" ht="15" hidden="false" customHeight="false" outlineLevel="0" collapsed="false">
      <c r="A962" s="34" t="s">
        <v>5799</v>
      </c>
      <c r="B962" s="34" t="str">
        <f aca="false">'Uso e Consumo'!A962</f>
        <v>0335</v>
      </c>
      <c r="C962" s="34" t="str">
        <f aca="false">'Uso e Consumo'!B962</f>
        <v>UFV NORONHA VERDE - USO E CONSUMO</v>
      </c>
      <c r="D962" s="33" t="n">
        <f aca="false">'Uso e Consumo'!C962</f>
        <v>1461931</v>
      </c>
      <c r="E962" s="34" t="str">
        <f aca="false">'Uso e Consumo'!D962</f>
        <v>03.10.0029</v>
      </c>
      <c r="F962" s="34" t="str">
        <f aca="false">'Uso e Consumo'!E962</f>
        <v>TORA DE EUCALIPTO TRATADO DE 0,15M A 0,20M DE DIÂMETRO COM 2,5M DE COMPRIMENTO</v>
      </c>
      <c r="G962" s="34" t="str">
        <f aca="false">'Uso e Consumo'!J962</f>
        <v>UN</v>
      </c>
      <c r="H962" s="49" t="n">
        <f aca="false">'Uso e Consumo'!F962</f>
        <v>8</v>
      </c>
      <c r="I962" s="35" t="n">
        <f aca="false">'Uso e Consumo'!G962</f>
        <v>1024</v>
      </c>
      <c r="J962" s="34" t="str">
        <f aca="false">'Uso e Consumo'!M962</f>
        <v>3.8.1.003 - Madeira</v>
      </c>
      <c r="K962" s="32" t="str">
        <f aca="false">INDEX('Curva ABC'!$K$8:$K$2847,MATCH(D962,'Curva ABC'!$B$8:$B$2847,0))</f>
        <v>C</v>
      </c>
    </row>
    <row r="963" customFormat="false" ht="15" hidden="false" customHeight="false" outlineLevel="0" collapsed="false">
      <c r="A963" s="34" t="s">
        <v>5799</v>
      </c>
      <c r="B963" s="34" t="str">
        <f aca="false">'Uso e Consumo'!A963</f>
        <v>0335</v>
      </c>
      <c r="C963" s="34" t="str">
        <f aca="false">'Uso e Consumo'!B963</f>
        <v>UFV NORONHA VERDE - USO E CONSUMO</v>
      </c>
      <c r="D963" s="33" t="n">
        <f aca="false">'Uso e Consumo'!C963</f>
        <v>137867</v>
      </c>
      <c r="E963" s="34" t="str">
        <f aca="false">'Uso e Consumo'!D963</f>
        <v>23.07.1019</v>
      </c>
      <c r="F963" s="34" t="str">
        <f aca="false">'Uso e Consumo'!E963</f>
        <v>PARAFUSO PARA DRYWALL 4,2X13</v>
      </c>
      <c r="G963" s="34" t="str">
        <f aca="false">'Uso e Consumo'!J963</f>
        <v>UN</v>
      </c>
      <c r="H963" s="49" t="n">
        <f aca="false">'Uso e Consumo'!F963</f>
        <v>3886</v>
      </c>
      <c r="I963" s="35" t="n">
        <f aca="false">'Uso e Consumo'!G963</f>
        <v>1020.08</v>
      </c>
      <c r="J963" s="34" t="str">
        <f aca="false">'Uso e Consumo'!M963</f>
        <v>3.8.1.022 - Elementos de fixação</v>
      </c>
      <c r="K963" s="32" t="str">
        <f aca="false">INDEX('Curva ABC'!$K$8:$K$2847,MATCH(D963,'Curva ABC'!$B$8:$B$2847,0))</f>
        <v>C</v>
      </c>
    </row>
    <row r="964" customFormat="false" ht="15" hidden="false" customHeight="false" outlineLevel="0" collapsed="false">
      <c r="A964" s="34" t="s">
        <v>5799</v>
      </c>
      <c r="B964" s="34" t="str">
        <f aca="false">'Uso e Consumo'!A964</f>
        <v>0335</v>
      </c>
      <c r="C964" s="34" t="str">
        <f aca="false">'Uso e Consumo'!B964</f>
        <v>UFV NORONHA VERDE - USO E CONSUMO</v>
      </c>
      <c r="D964" s="33" t="n">
        <f aca="false">'Uso e Consumo'!C964</f>
        <v>19741</v>
      </c>
      <c r="E964" s="34" t="str">
        <f aca="false">'Uso e Consumo'!D964</f>
        <v>30.03.0014</v>
      </c>
      <c r="F964" s="34" t="str">
        <f aca="false">'Uso e Consumo'!E964</f>
        <v>SACO PLÁSTICO LIXO 100,00L PRETO S/IMPRESSAO C/100</v>
      </c>
      <c r="G964" s="34" t="str">
        <f aca="false">'Uso e Consumo'!J964</f>
        <v>UN</v>
      </c>
      <c r="H964" s="49" t="n">
        <f aca="false">'Uso e Consumo'!F964</f>
        <v>40</v>
      </c>
      <c r="I964" s="35" t="n">
        <f aca="false">'Uso e Consumo'!G964</f>
        <v>1020</v>
      </c>
      <c r="J964" s="34" t="str">
        <f aca="false">'Uso e Consumo'!M964</f>
        <v>4.1.1.003 - Material limpeza</v>
      </c>
      <c r="K964" s="32" t="str">
        <f aca="false">INDEX('Curva ABC'!$K$8:$K$2847,MATCH(D964,'Curva ABC'!$B$8:$B$2847,0))</f>
        <v>C</v>
      </c>
    </row>
    <row r="965" customFormat="false" ht="15" hidden="false" customHeight="false" outlineLevel="0" collapsed="false">
      <c r="A965" s="34" t="s">
        <v>5799</v>
      </c>
      <c r="B965" s="34" t="str">
        <f aca="false">'Uso e Consumo'!A965</f>
        <v>0335</v>
      </c>
      <c r="C965" s="34" t="str">
        <f aca="false">'Uso e Consumo'!B965</f>
        <v>UFV NORONHA VERDE - USO E CONSUMO</v>
      </c>
      <c r="D965" s="33" t="n">
        <f aca="false">'Uso e Consumo'!C965</f>
        <v>551301</v>
      </c>
      <c r="E965" s="34" t="str">
        <f aca="false">'Uso e Consumo'!D965</f>
        <v>17.10.0358</v>
      </c>
      <c r="F965" s="34" t="str">
        <f aca="false">'Uso e Consumo'!E965</f>
        <v>DISJUNTOR DIFERENCIAL RESIDUAL 50A</v>
      </c>
      <c r="G965" s="34" t="str">
        <f aca="false">'Uso e Consumo'!J965</f>
        <v>UN</v>
      </c>
      <c r="H965" s="49" t="n">
        <f aca="false">'Uso e Consumo'!F965</f>
        <v>2</v>
      </c>
      <c r="I965" s="35" t="n">
        <f aca="false">'Uso e Consumo'!G965</f>
        <v>1020</v>
      </c>
      <c r="J965" s="34" t="str">
        <f aca="false">'Uso e Consumo'!M965</f>
        <v>3.8.1.017 - Instalações elétricas/telefônicas/lógica</v>
      </c>
      <c r="K965" s="32" t="str">
        <f aca="false">INDEX('Curva ABC'!$K$8:$K$2847,MATCH(D965,'Curva ABC'!$B$8:$B$2847,0))</f>
        <v>C</v>
      </c>
    </row>
    <row r="966" customFormat="false" ht="15" hidden="false" customHeight="false" outlineLevel="0" collapsed="false">
      <c r="A966" s="34" t="s">
        <v>5799</v>
      </c>
      <c r="B966" s="34" t="str">
        <f aca="false">'Uso e Consumo'!A966</f>
        <v>0335</v>
      </c>
      <c r="C966" s="34" t="str">
        <f aca="false">'Uso e Consumo'!B966</f>
        <v>UFV NORONHA VERDE - USO E CONSUMO</v>
      </c>
      <c r="D966" s="33" t="n">
        <f aca="false">'Uso e Consumo'!C966</f>
        <v>873216</v>
      </c>
      <c r="E966" s="34" t="str">
        <f aca="false">'Uso e Consumo'!D966</f>
        <v>26.01.0093</v>
      </c>
      <c r="F966" s="34" t="str">
        <f aca="false">'Uso e Consumo'!E966</f>
        <v>COLETE REFLETIVO QSMS G - LARANJA</v>
      </c>
      <c r="G966" s="34" t="str">
        <f aca="false">'Uso e Consumo'!J966</f>
        <v>UN</v>
      </c>
      <c r="H966" s="49" t="n">
        <f aca="false">'Uso e Consumo'!F966</f>
        <v>12</v>
      </c>
      <c r="I966" s="35" t="n">
        <f aca="false">'Uso e Consumo'!G966</f>
        <v>1020</v>
      </c>
      <c r="J966" s="34" t="str">
        <f aca="false">'Uso e Consumo'!M966</f>
        <v>4.3.4.001 - Equipamento de proteção individual</v>
      </c>
      <c r="K966" s="32" t="str">
        <f aca="false">INDEX('Curva ABC'!$K$8:$K$2847,MATCH(D966,'Curva ABC'!$B$8:$B$2847,0))</f>
        <v>C</v>
      </c>
    </row>
    <row r="967" customFormat="false" ht="15" hidden="false" customHeight="false" outlineLevel="0" collapsed="false">
      <c r="A967" s="34" t="s">
        <v>5799</v>
      </c>
      <c r="B967" s="34" t="str">
        <f aca="false">'Uso e Consumo'!A967</f>
        <v>0335</v>
      </c>
      <c r="C967" s="34" t="str">
        <f aca="false">'Uso e Consumo'!B967</f>
        <v>UFV NORONHA VERDE - USO E CONSUMO</v>
      </c>
      <c r="D967" s="33" t="n">
        <f aca="false">'Uso e Consumo'!C967</f>
        <v>1474991</v>
      </c>
      <c r="E967" s="34" t="str">
        <f aca="false">'Uso e Consumo'!D967</f>
        <v>17.20.0715</v>
      </c>
      <c r="F967" s="34" t="str">
        <f aca="false">'Uso e Consumo'!E967</f>
        <v>MOLDE SOLDA EXOTÉRMICA TIPO HCJ 50MM² CABO/HASTE JOELHO</v>
      </c>
      <c r="G967" s="34" t="str">
        <f aca="false">'Uso e Consumo'!J967</f>
        <v>UN</v>
      </c>
      <c r="H967" s="49" t="n">
        <f aca="false">'Uso e Consumo'!F967</f>
        <v>6</v>
      </c>
      <c r="I967" s="35" t="n">
        <f aca="false">'Uso e Consumo'!G967</f>
        <v>1015.92</v>
      </c>
      <c r="J967" s="34" t="str">
        <f aca="false">'Uso e Consumo'!M967</f>
        <v>3.8.1.017 - Instalações elétricas/telefônicas/lógica</v>
      </c>
      <c r="K967" s="32" t="str">
        <f aca="false">INDEX('Curva ABC'!$K$8:$K$2847,MATCH(D967,'Curva ABC'!$B$8:$B$2847,0))</f>
        <v>C</v>
      </c>
    </row>
    <row r="968" customFormat="false" ht="15" hidden="false" customHeight="false" outlineLevel="0" collapsed="false">
      <c r="A968" s="34" t="s">
        <v>5799</v>
      </c>
      <c r="B968" s="34" t="str">
        <f aca="false">'Uso e Consumo'!A968</f>
        <v>0335</v>
      </c>
      <c r="C968" s="34" t="str">
        <f aca="false">'Uso e Consumo'!B968</f>
        <v>UFV NORONHA VERDE - USO E CONSUMO</v>
      </c>
      <c r="D968" s="33" t="n">
        <f aca="false">'Uso e Consumo'!C968</f>
        <v>139822</v>
      </c>
      <c r="E968" s="34" t="str">
        <f aca="false">'Uso e Consumo'!D968</f>
        <v>32.07.0083</v>
      </c>
      <c r="F968" s="34" t="str">
        <f aca="false">'Uso e Consumo'!E968</f>
        <v>LAMINA 3 FACAS 300 MM</v>
      </c>
      <c r="G968" s="34" t="str">
        <f aca="false">'Uso e Consumo'!J968</f>
        <v>UN</v>
      </c>
      <c r="H968" s="49" t="n">
        <f aca="false">'Uso e Consumo'!F968</f>
        <v>6</v>
      </c>
      <c r="I968" s="35" t="n">
        <f aca="false">'Uso e Consumo'!G968</f>
        <v>1015.5</v>
      </c>
      <c r="J968" s="34" t="str">
        <f aca="false">'Uso e Consumo'!M968</f>
        <v>6.1.2.001 - Equipamentos</v>
      </c>
      <c r="K968" s="32" t="str">
        <f aca="false">INDEX('Curva ABC'!$K$8:$K$2847,MATCH(D968,'Curva ABC'!$B$8:$B$2847,0))</f>
        <v>C</v>
      </c>
    </row>
    <row r="969" customFormat="false" ht="15" hidden="false" customHeight="false" outlineLevel="0" collapsed="false">
      <c r="A969" s="34" t="s">
        <v>5799</v>
      </c>
      <c r="B969" s="34" t="str">
        <f aca="false">'Uso e Consumo'!A969</f>
        <v>0335</v>
      </c>
      <c r="C969" s="34" t="str">
        <f aca="false">'Uso e Consumo'!B969</f>
        <v>UFV NORONHA VERDE - USO E CONSUMO</v>
      </c>
      <c r="D969" s="33" t="n">
        <f aca="false">'Uso e Consumo'!C969</f>
        <v>49592</v>
      </c>
      <c r="E969" s="34" t="str">
        <f aca="false">'Uso e Consumo'!D969</f>
        <v>23.05.0120</v>
      </c>
      <c r="F969" s="34" t="str">
        <f aca="false">'Uso e Consumo'!E969</f>
        <v>ARRUELA LI 7/8 ZB</v>
      </c>
      <c r="G969" s="34" t="str">
        <f aca="false">'Uso e Consumo'!J969</f>
        <v>UN</v>
      </c>
      <c r="H969" s="49" t="n">
        <f aca="false">'Uso e Consumo'!F969</f>
        <v>350</v>
      </c>
      <c r="I969" s="35" t="n">
        <f aca="false">'Uso e Consumo'!G969</f>
        <v>1015</v>
      </c>
      <c r="J969" s="34" t="str">
        <f aca="false">'Uso e Consumo'!M969</f>
        <v>3.8.1.022 - Elementos de fixação</v>
      </c>
      <c r="K969" s="32" t="str">
        <f aca="false">INDEX('Curva ABC'!$K$8:$K$2847,MATCH(D969,'Curva ABC'!$B$8:$B$2847,0))</f>
        <v>C</v>
      </c>
    </row>
    <row r="970" customFormat="false" ht="15" hidden="false" customHeight="false" outlineLevel="0" collapsed="false">
      <c r="A970" s="34" t="s">
        <v>5799</v>
      </c>
      <c r="B970" s="34" t="str">
        <f aca="false">'Uso e Consumo'!A970</f>
        <v>0335</v>
      </c>
      <c r="C970" s="34" t="str">
        <f aca="false">'Uso e Consumo'!B970</f>
        <v>UFV NORONHA VERDE - USO E CONSUMO</v>
      </c>
      <c r="D970" s="33" t="n">
        <f aca="false">'Uso e Consumo'!C970</f>
        <v>1385278</v>
      </c>
      <c r="E970" s="34" t="str">
        <f aca="false">'Uso e Consumo'!D970</f>
        <v>17.07.0103</v>
      </c>
      <c r="F970" s="34" t="str">
        <f aca="false">'Uso e Consumo'!E970</f>
        <v>CAIXA PASSAGEM/LIGAÇÃO ALUMÍNIO N, 3 ENTRADAS 25 MM (1"), T, EXTERNA</v>
      </c>
      <c r="G970" s="34" t="str">
        <f aca="false">'Uso e Consumo'!J970</f>
        <v>UN</v>
      </c>
      <c r="H970" s="49" t="n">
        <f aca="false">'Uso e Consumo'!F970</f>
        <v>10</v>
      </c>
      <c r="I970" s="35" t="n">
        <f aca="false">'Uso e Consumo'!G970</f>
        <v>1014.9</v>
      </c>
      <c r="J970" s="34" t="str">
        <f aca="false">'Uso e Consumo'!M970</f>
        <v>3.8.1.017 - Instalações elétricas/telefônicas/lógica</v>
      </c>
      <c r="K970" s="32" t="str">
        <f aca="false">INDEX('Curva ABC'!$K$8:$K$2847,MATCH(D970,'Curva ABC'!$B$8:$B$2847,0))</f>
        <v>C</v>
      </c>
    </row>
    <row r="971" customFormat="false" ht="15" hidden="false" customHeight="false" outlineLevel="0" collapsed="false">
      <c r="A971" s="34" t="s">
        <v>5799</v>
      </c>
      <c r="B971" s="34" t="str">
        <f aca="false">'Uso e Consumo'!A971</f>
        <v>0335</v>
      </c>
      <c r="C971" s="34" t="str">
        <f aca="false">'Uso e Consumo'!B971</f>
        <v>UFV NORONHA VERDE - USO E CONSUMO</v>
      </c>
      <c r="D971" s="33" t="n">
        <f aca="false">'Uso e Consumo'!C971</f>
        <v>55525</v>
      </c>
      <c r="E971" s="34" t="str">
        <f aca="false">'Uso e Consumo'!D971</f>
        <v>24.24.0014</v>
      </c>
      <c r="F971" s="34" t="str">
        <f aca="false">'Uso e Consumo'!E971</f>
        <v>CHAVE DE IMPACTO 710W ENCAIXE DE 1/2" ELETRICA</v>
      </c>
      <c r="G971" s="34" t="str">
        <f aca="false">'Uso e Consumo'!J971</f>
        <v>UN</v>
      </c>
      <c r="H971" s="49" t="n">
        <f aca="false">'Uso e Consumo'!F971</f>
        <v>1</v>
      </c>
      <c r="I971" s="35" t="n">
        <f aca="false">'Uso e Consumo'!G971</f>
        <v>1011.54</v>
      </c>
      <c r="J971" s="34" t="str">
        <f aca="false">'Uso e Consumo'!M971</f>
        <v>3.8.2.003 - Ferramentas elétricas/pneumáticas</v>
      </c>
      <c r="K971" s="32" t="str">
        <f aca="false">INDEX('Curva ABC'!$K$8:$K$2847,MATCH(D971,'Curva ABC'!$B$8:$B$2847,0))</f>
        <v>C</v>
      </c>
    </row>
    <row r="972" customFormat="false" ht="15" hidden="false" customHeight="false" outlineLevel="0" collapsed="false">
      <c r="A972" s="34" t="s">
        <v>5799</v>
      </c>
      <c r="B972" s="34" t="str">
        <f aca="false">'Uso e Consumo'!A972</f>
        <v>0335</v>
      </c>
      <c r="C972" s="34" t="str">
        <f aca="false">'Uso e Consumo'!B972</f>
        <v>UFV NORONHA VERDE - USO E CONSUMO</v>
      </c>
      <c r="D972" s="33" t="n">
        <f aca="false">'Uso e Consumo'!C972</f>
        <v>1388211</v>
      </c>
      <c r="E972" s="34" t="str">
        <f aca="false">'Uso e Consumo'!D972</f>
        <v>01.04.0009</v>
      </c>
      <c r="F972" s="34" t="str">
        <f aca="false">'Uso e Consumo'!E972</f>
        <v>ARAME DE AÇO GALVANIZADO N° 4 BWG</v>
      </c>
      <c r="G972" s="34" t="str">
        <f aca="false">'Uso e Consumo'!J972</f>
        <v>KG</v>
      </c>
      <c r="H972" s="49" t="n">
        <f aca="false">'Uso e Consumo'!F972</f>
        <v>35</v>
      </c>
      <c r="I972" s="35" t="n">
        <f aca="false">'Uso e Consumo'!G972</f>
        <v>1010.8</v>
      </c>
      <c r="J972" s="34" t="str">
        <f aca="false">'Uso e Consumo'!M972</f>
        <v>3.8.1.001 - Aços e trefilados</v>
      </c>
      <c r="K972" s="32" t="str">
        <f aca="false">INDEX('Curva ABC'!$K$8:$K$2847,MATCH(D972,'Curva ABC'!$B$8:$B$2847,0))</f>
        <v>C</v>
      </c>
    </row>
    <row r="973" customFormat="false" ht="15" hidden="false" customHeight="false" outlineLevel="0" collapsed="false">
      <c r="A973" s="34" t="s">
        <v>5799</v>
      </c>
      <c r="B973" s="34" t="str">
        <f aca="false">'Uso e Consumo'!A973</f>
        <v>0335</v>
      </c>
      <c r="C973" s="34" t="str">
        <f aca="false">'Uso e Consumo'!B973</f>
        <v>UFV NORONHA VERDE - USO E CONSUMO</v>
      </c>
      <c r="D973" s="33" t="n">
        <f aca="false">'Uso e Consumo'!C973</f>
        <v>17885</v>
      </c>
      <c r="E973" s="34" t="str">
        <f aca="false">'Uso e Consumo'!D973</f>
        <v>24.07.0002</v>
      </c>
      <c r="F973" s="34" t="str">
        <f aca="false">'Uso e Consumo'!E973</f>
        <v>TRENA CURTA 8,00M CAIXA FECHADA PLASTICA FITA AÇO TEMPERADO</v>
      </c>
      <c r="G973" s="34" t="str">
        <f aca="false">'Uso e Consumo'!J973</f>
        <v>UN</v>
      </c>
      <c r="H973" s="49" t="n">
        <f aca="false">'Uso e Consumo'!F973</f>
        <v>20</v>
      </c>
      <c r="I973" s="35" t="n">
        <f aca="false">'Uso e Consumo'!G973</f>
        <v>1010</v>
      </c>
      <c r="J973" s="34" t="str">
        <f aca="false">'Uso e Consumo'!M973</f>
        <v>3.8.2.001 - Ferramentas medição/aferição</v>
      </c>
      <c r="K973" s="32" t="str">
        <f aca="false">INDEX('Curva ABC'!$K$8:$K$2847,MATCH(D973,'Curva ABC'!$B$8:$B$2847,0))</f>
        <v>B</v>
      </c>
    </row>
    <row r="974" customFormat="false" ht="15" hidden="false" customHeight="false" outlineLevel="0" collapsed="false">
      <c r="A974" s="34" t="s">
        <v>5799</v>
      </c>
      <c r="B974" s="34" t="str">
        <f aca="false">'Uso e Consumo'!A974</f>
        <v>0335</v>
      </c>
      <c r="C974" s="34" t="str">
        <f aca="false">'Uso e Consumo'!B974</f>
        <v>UFV NORONHA VERDE - USO E CONSUMO</v>
      </c>
      <c r="D974" s="33" t="n">
        <f aca="false">'Uso e Consumo'!C974</f>
        <v>1469747</v>
      </c>
      <c r="E974" s="34" t="str">
        <f aca="false">'Uso e Consumo'!D974</f>
        <v>08.02.0094</v>
      </c>
      <c r="F974" s="34" t="str">
        <f aca="false">'Uso e Consumo'!E974</f>
        <v>CANALETA 19X19X39CM 8MPA</v>
      </c>
      <c r="G974" s="34" t="str">
        <f aca="false">'Uso e Consumo'!J974</f>
        <v>UN</v>
      </c>
      <c r="H974" s="49" t="n">
        <f aca="false">'Uso e Consumo'!F974</f>
        <v>96</v>
      </c>
      <c r="I974" s="35" t="n">
        <f aca="false">'Uso e Consumo'!G974</f>
        <v>1008</v>
      </c>
      <c r="J974" s="34" t="str">
        <f aca="false">'Uso e Consumo'!M974</f>
        <v>3.8.1.008 - Blocos, painéis e divisórias</v>
      </c>
      <c r="K974" s="32" t="str">
        <f aca="false">INDEX('Curva ABC'!$K$8:$K$2847,MATCH(D974,'Curva ABC'!$B$8:$B$2847,0))</f>
        <v>C</v>
      </c>
    </row>
    <row r="975" customFormat="false" ht="15" hidden="false" customHeight="false" outlineLevel="0" collapsed="false">
      <c r="A975" s="34" t="s">
        <v>5799</v>
      </c>
      <c r="B975" s="34" t="str">
        <f aca="false">'Uso e Consumo'!A975</f>
        <v>0335</v>
      </c>
      <c r="C975" s="34" t="str">
        <f aca="false">'Uso e Consumo'!B975</f>
        <v>UFV NORONHA VERDE - USO E CONSUMO</v>
      </c>
      <c r="D975" s="33" t="n">
        <f aca="false">'Uso e Consumo'!C975</f>
        <v>478915</v>
      </c>
      <c r="E975" s="34" t="str">
        <f aca="false">'Uso e Consumo'!D975</f>
        <v>01.09.0256</v>
      </c>
      <c r="F975" s="34" t="str">
        <f aca="false">'Uso e Consumo'!E975</f>
        <v>CANTONEIRA "L"  GALVANIZADA  76 x 76 x 4,75 x 1200MM</v>
      </c>
      <c r="G975" s="34" t="str">
        <f aca="false">'Uso e Consumo'!J975</f>
        <v>UN</v>
      </c>
      <c r="H975" s="49" t="n">
        <f aca="false">'Uso e Consumo'!F975</f>
        <v>84</v>
      </c>
      <c r="I975" s="35" t="n">
        <f aca="false">'Uso e Consumo'!G975</f>
        <v>1006.32</v>
      </c>
      <c r="J975" s="34" t="str">
        <f aca="false">'Uso e Consumo'!M975</f>
        <v>3.8.1.001 - Aços e trefilados</v>
      </c>
      <c r="K975" s="32" t="str">
        <f aca="false">INDEX('Curva ABC'!$K$8:$K$2847,MATCH(D975,'Curva ABC'!$B$8:$B$2847,0))</f>
        <v>C</v>
      </c>
    </row>
    <row r="976" customFormat="false" ht="15" hidden="false" customHeight="false" outlineLevel="0" collapsed="false">
      <c r="A976" s="34" t="s">
        <v>5799</v>
      </c>
      <c r="B976" s="34" t="str">
        <f aca="false">'Uso e Consumo'!A976</f>
        <v>0335</v>
      </c>
      <c r="C976" s="34" t="str">
        <f aca="false">'Uso e Consumo'!B976</f>
        <v>UFV NORONHA VERDE - USO E CONSUMO</v>
      </c>
      <c r="D976" s="33" t="n">
        <f aca="false">'Uso e Consumo'!C976</f>
        <v>1385727</v>
      </c>
      <c r="E976" s="34" t="str">
        <f aca="false">'Uso e Consumo'!D976</f>
        <v>17.02.0876</v>
      </c>
      <c r="F976" s="34" t="str">
        <f aca="false">'Uso e Consumo'!E976</f>
        <v>UNIÃO ENTRE ELETRODUTO FLEXÍVEL PEAD COM ELETRODUTO RÍGIDO LISO, AMBOS DIÂMETRO 2"</v>
      </c>
      <c r="G976" s="34" t="str">
        <f aca="false">'Uso e Consumo'!J976</f>
        <v>UN</v>
      </c>
      <c r="H976" s="49" t="n">
        <f aca="false">'Uso e Consumo'!F976</f>
        <v>23</v>
      </c>
      <c r="I976" s="35" t="n">
        <f aca="false">'Uso e Consumo'!G976</f>
        <v>1006</v>
      </c>
      <c r="J976" s="34" t="str">
        <f aca="false">'Uso e Consumo'!M976</f>
        <v>3.8.1.017 - Instalações elétricas/telefônicas/lógica</v>
      </c>
      <c r="K976" s="32" t="str">
        <f aca="false">INDEX('Curva ABC'!$K$8:$K$2847,MATCH(D976,'Curva ABC'!$B$8:$B$2847,0))</f>
        <v>C</v>
      </c>
    </row>
    <row r="977" customFormat="false" ht="15" hidden="false" customHeight="false" outlineLevel="0" collapsed="false">
      <c r="A977" s="34" t="s">
        <v>5799</v>
      </c>
      <c r="B977" s="34" t="str">
        <f aca="false">'Uso e Consumo'!A977</f>
        <v>0335</v>
      </c>
      <c r="C977" s="34" t="str">
        <f aca="false">'Uso e Consumo'!B977</f>
        <v>UFV NORONHA VERDE - USO E CONSUMO</v>
      </c>
      <c r="D977" s="33" t="n">
        <f aca="false">'Uso e Consumo'!C977</f>
        <v>559888</v>
      </c>
      <c r="E977" s="34" t="str">
        <f aca="false">'Uso e Consumo'!D977</f>
        <v>30.03.0361</v>
      </c>
      <c r="F977" s="34" t="str">
        <f aca="false">'Uso e Consumo'!E977</f>
        <v>DESENGRAXANTE</v>
      </c>
      <c r="G977" s="34" t="str">
        <f aca="false">'Uso e Consumo'!J977</f>
        <v>UN</v>
      </c>
      <c r="H977" s="49" t="n">
        <f aca="false">'Uso e Consumo'!F977</f>
        <v>14</v>
      </c>
      <c r="I977" s="35" t="n">
        <f aca="false">'Uso e Consumo'!G977</f>
        <v>1002.7</v>
      </c>
      <c r="J977" s="34" t="str">
        <f aca="false">'Uso e Consumo'!M977</f>
        <v>4.1.1.003 - Material limpeza</v>
      </c>
      <c r="K977" s="32" t="str">
        <f aca="false">INDEX('Curva ABC'!$K$8:$K$2847,MATCH(D977,'Curva ABC'!$B$8:$B$2847,0))</f>
        <v>C</v>
      </c>
    </row>
    <row r="978" customFormat="false" ht="15" hidden="false" customHeight="false" outlineLevel="0" collapsed="false">
      <c r="A978" s="34" t="s">
        <v>5799</v>
      </c>
      <c r="B978" s="34" t="str">
        <f aca="false">'Uso e Consumo'!A978</f>
        <v>0335</v>
      </c>
      <c r="C978" s="34" t="str">
        <f aca="false">'Uso e Consumo'!B978</f>
        <v>UFV NORONHA VERDE - USO E CONSUMO</v>
      </c>
      <c r="D978" s="33" t="n">
        <f aca="false">'Uso e Consumo'!C978</f>
        <v>938668</v>
      </c>
      <c r="E978" s="34" t="str">
        <f aca="false">'Uso e Consumo'!D978</f>
        <v>23.06.0277</v>
      </c>
      <c r="F978" s="34" t="str">
        <f aca="false">'Uso e Consumo'!E978</f>
        <v>PORCA INOX MA 8MM </v>
      </c>
      <c r="G978" s="34" t="str">
        <f aca="false">'Uso e Consumo'!J978</f>
        <v>UN</v>
      </c>
      <c r="H978" s="49" t="n">
        <f aca="false">'Uso e Consumo'!F978</f>
        <v>102</v>
      </c>
      <c r="I978" s="35" t="n">
        <f aca="false">'Uso e Consumo'!G978</f>
        <v>1001.36</v>
      </c>
      <c r="J978" s="34" t="str">
        <f aca="false">'Uso e Consumo'!M978</f>
        <v>3.8.1.022 - Elementos de fixação</v>
      </c>
      <c r="K978" s="32" t="str">
        <f aca="false">INDEX('Curva ABC'!$K$8:$K$2847,MATCH(D978,'Curva ABC'!$B$8:$B$2847,0))</f>
        <v>C</v>
      </c>
    </row>
    <row r="979" customFormat="false" ht="15" hidden="false" customHeight="false" outlineLevel="0" collapsed="false">
      <c r="A979" s="34" t="s">
        <v>5799</v>
      </c>
      <c r="B979" s="34" t="str">
        <f aca="false">'Uso e Consumo'!A979</f>
        <v>0335</v>
      </c>
      <c r="C979" s="34" t="str">
        <f aca="false">'Uso e Consumo'!B979</f>
        <v>UFV NORONHA VERDE - USO E CONSUMO</v>
      </c>
      <c r="D979" s="33" t="n">
        <f aca="false">'Uso e Consumo'!C979</f>
        <v>856793</v>
      </c>
      <c r="E979" s="34" t="str">
        <f aca="false">'Uso e Consumo'!D979</f>
        <v>23.01.0076</v>
      </c>
      <c r="F979" s="34" t="str">
        <f aca="false">'Uso e Consumo'!E979</f>
        <v>VULCANIZADORA PARA CÂMARAS DE AUTOMÓVEIS/CAMINHÕES ;220V </v>
      </c>
      <c r="G979" s="34" t="str">
        <f aca="false">'Uso e Consumo'!J979</f>
        <v>UN</v>
      </c>
      <c r="H979" s="49" t="n">
        <f aca="false">'Uso e Consumo'!F979</f>
        <v>1</v>
      </c>
      <c r="I979" s="35" t="n">
        <f aca="false">'Uso e Consumo'!G979</f>
        <v>1000</v>
      </c>
      <c r="J979" s="34" t="str">
        <f aca="false">'Uso e Consumo'!M979</f>
        <v>3.8.1.022 - Elementos de fixação</v>
      </c>
      <c r="K979" s="32" t="str">
        <f aca="false">INDEX('Curva ABC'!$K$8:$K$2847,MATCH(D979,'Curva ABC'!$B$8:$B$2847,0))</f>
        <v>C</v>
      </c>
    </row>
    <row r="980" customFormat="false" ht="15" hidden="false" customHeight="false" outlineLevel="0" collapsed="false">
      <c r="A980" s="34" t="s">
        <v>5799</v>
      </c>
      <c r="B980" s="34" t="str">
        <f aca="false">'Uso e Consumo'!A980</f>
        <v>0335</v>
      </c>
      <c r="C980" s="34" t="str">
        <f aca="false">'Uso e Consumo'!B980</f>
        <v>UFV NORONHA VERDE - USO E CONSUMO</v>
      </c>
      <c r="D980" s="33" t="n">
        <f aca="false">'Uso e Consumo'!C980</f>
        <v>293366</v>
      </c>
      <c r="E980" s="34" t="str">
        <f aca="false">'Uso e Consumo'!D980</f>
        <v>30.03.0322</v>
      </c>
      <c r="F980" s="34" t="str">
        <f aca="false">'Uso e Consumo'!E980</f>
        <v>SABÃO EM PÓ 500G</v>
      </c>
      <c r="G980" s="34" t="str">
        <f aca="false">'Uso e Consumo'!J980</f>
        <v>UN</v>
      </c>
      <c r="H980" s="49" t="n">
        <f aca="false">'Uso e Consumo'!F980</f>
        <v>330</v>
      </c>
      <c r="I980" s="35" t="n">
        <f aca="false">'Uso e Consumo'!G980</f>
        <v>999.9</v>
      </c>
      <c r="J980" s="34" t="str">
        <f aca="false">'Uso e Consumo'!M980</f>
        <v>4.1.1.003 - Material limpeza</v>
      </c>
      <c r="K980" s="32" t="str">
        <f aca="false">INDEX('Curva ABC'!$K$8:$K$2847,MATCH(D980,'Curva ABC'!$B$8:$B$2847,0))</f>
        <v>C</v>
      </c>
    </row>
    <row r="981" customFormat="false" ht="15" hidden="false" customHeight="false" outlineLevel="0" collapsed="false">
      <c r="A981" s="34" t="s">
        <v>5799</v>
      </c>
      <c r="B981" s="34" t="str">
        <f aca="false">'Uso e Consumo'!A981</f>
        <v>0335</v>
      </c>
      <c r="C981" s="34" t="str">
        <f aca="false">'Uso e Consumo'!B981</f>
        <v>UFV NORONHA VERDE - USO E CONSUMO</v>
      </c>
      <c r="D981" s="33" t="n">
        <f aca="false">'Uso e Consumo'!C981</f>
        <v>1466602</v>
      </c>
      <c r="E981" s="34" t="str">
        <f aca="false">'Uso e Consumo'!D981</f>
        <v>17.03.0611</v>
      </c>
      <c r="F981" s="34" t="str">
        <f aca="false">'Uso e Consumo'!E981</f>
        <v>CRUZETA PARA RESERVA DE CABO ADSS</v>
      </c>
      <c r="G981" s="34" t="str">
        <f aca="false">'Uso e Consumo'!J981</f>
        <v>UN</v>
      </c>
      <c r="H981" s="49" t="n">
        <f aca="false">'Uso e Consumo'!F981</f>
        <v>11</v>
      </c>
      <c r="I981" s="35" t="n">
        <f aca="false">'Uso e Consumo'!G981</f>
        <v>999.02</v>
      </c>
      <c r="J981" s="34" t="str">
        <f aca="false">'Uso e Consumo'!M981</f>
        <v>3.8.1.017 - Instalações elétricas/telefônicas/lógica</v>
      </c>
      <c r="K981" s="32" t="str">
        <f aca="false">INDEX('Curva ABC'!$K$8:$K$2847,MATCH(D981,'Curva ABC'!$B$8:$B$2847,0))</f>
        <v>C</v>
      </c>
    </row>
    <row r="982" customFormat="false" ht="15" hidden="false" customHeight="false" outlineLevel="0" collapsed="false">
      <c r="A982" s="34" t="s">
        <v>5799</v>
      </c>
      <c r="B982" s="34" t="str">
        <f aca="false">'Uso e Consumo'!A982</f>
        <v>0335</v>
      </c>
      <c r="C982" s="34" t="str">
        <f aca="false">'Uso e Consumo'!B982</f>
        <v>UFV NORONHA VERDE - USO E CONSUMO</v>
      </c>
      <c r="D982" s="33" t="n">
        <f aca="false">'Uso e Consumo'!C982</f>
        <v>15968</v>
      </c>
      <c r="E982" s="34" t="str">
        <f aca="false">'Uso e Consumo'!D982</f>
        <v>18.07.0002</v>
      </c>
      <c r="F982" s="34" t="str">
        <f aca="false">'Uso e Consumo'!E982</f>
        <v>CAIXA D'ÁGUA FIBRA VIDRO 1000,00L C/TAMPA NBR 14799 e NBR 14800</v>
      </c>
      <c r="G982" s="34" t="str">
        <f aca="false">'Uso e Consumo'!J982</f>
        <v>UN</v>
      </c>
      <c r="H982" s="49" t="n">
        <f aca="false">'Uso e Consumo'!F982</f>
        <v>1</v>
      </c>
      <c r="I982" s="35" t="n">
        <f aca="false">'Uso e Consumo'!G982</f>
        <v>998</v>
      </c>
      <c r="J982" s="34" t="str">
        <f aca="false">'Uso e Consumo'!M982</f>
        <v>3.8.1.018 - Instalações hidráulicas/sanitárias/industriais</v>
      </c>
      <c r="K982" s="32" t="str">
        <f aca="false">INDEX('Curva ABC'!$K$8:$K$2847,MATCH(D982,'Curva ABC'!$B$8:$B$2847,0))</f>
        <v>C</v>
      </c>
    </row>
    <row r="983" customFormat="false" ht="15" hidden="false" customHeight="false" outlineLevel="0" collapsed="false">
      <c r="A983" s="34" t="s">
        <v>5799</v>
      </c>
      <c r="B983" s="34" t="str">
        <f aca="false">'Uso e Consumo'!A983</f>
        <v>0335</v>
      </c>
      <c r="C983" s="34" t="str">
        <f aca="false">'Uso e Consumo'!B983</f>
        <v>UFV NORONHA VERDE - USO E CONSUMO</v>
      </c>
      <c r="D983" s="33" t="n">
        <f aca="false">'Uso e Consumo'!C983</f>
        <v>59710</v>
      </c>
      <c r="E983" s="34" t="str">
        <f aca="false">'Uso e Consumo'!D983</f>
        <v>29.03.0125</v>
      </c>
      <c r="F983" s="34" t="str">
        <f aca="false">'Uso e Consumo'!E983</f>
        <v>TANQUINHO DE LAVAR ROUPA 10KG NBR 16728</v>
      </c>
      <c r="G983" s="34" t="str">
        <f aca="false">'Uso e Consumo'!J983</f>
        <v>UN</v>
      </c>
      <c r="H983" s="49" t="n">
        <f aca="false">'Uso e Consumo'!F983</f>
        <v>2</v>
      </c>
      <c r="I983" s="35" t="n">
        <f aca="false">'Uso e Consumo'!G983</f>
        <v>998</v>
      </c>
      <c r="J983" s="34" t="str">
        <f aca="false">'Uso e Consumo'!M983</f>
        <v>4.1.1.009 - Eletro eletrônico e acessórios</v>
      </c>
      <c r="K983" s="32" t="str">
        <f aca="false">INDEX('Curva ABC'!$K$8:$K$2847,MATCH(D983,'Curva ABC'!$B$8:$B$2847,0))</f>
        <v>C</v>
      </c>
    </row>
    <row r="984" customFormat="false" ht="15" hidden="false" customHeight="false" outlineLevel="0" collapsed="false">
      <c r="A984" s="34" t="s">
        <v>5799</v>
      </c>
      <c r="B984" s="34" t="str">
        <f aca="false">'Uso e Consumo'!A984</f>
        <v>0335</v>
      </c>
      <c r="C984" s="34" t="str">
        <f aca="false">'Uso e Consumo'!B984</f>
        <v>UFV NORONHA VERDE - USO E CONSUMO</v>
      </c>
      <c r="D984" s="33" t="n">
        <f aca="false">'Uso e Consumo'!C984</f>
        <v>21251</v>
      </c>
      <c r="E984" s="34" t="str">
        <f aca="false">'Uso e Consumo'!D984</f>
        <v>34.02.0087</v>
      </c>
      <c r="F984" s="34" t="str">
        <f aca="false">'Uso e Consumo'!E984</f>
        <v>CILINDRO MESTRE DE EMBREAGEM</v>
      </c>
      <c r="G984" s="34" t="str">
        <f aca="false">'Uso e Consumo'!J984</f>
        <v>UN</v>
      </c>
      <c r="H984" s="49" t="n">
        <f aca="false">'Uso e Consumo'!F984</f>
        <v>1</v>
      </c>
      <c r="I984" s="35" t="n">
        <f aca="false">'Uso e Consumo'!G984</f>
        <v>997.65</v>
      </c>
      <c r="J984" s="34" t="str">
        <f aca="false">'Uso e Consumo'!M984</f>
        <v>3.1.6.002 - Pneus e peças</v>
      </c>
      <c r="K984" s="32" t="str">
        <f aca="false">INDEX('Curva ABC'!$K$8:$K$2847,MATCH(D984,'Curva ABC'!$B$8:$B$2847,0))</f>
        <v>C</v>
      </c>
    </row>
    <row r="985" customFormat="false" ht="15" hidden="false" customHeight="false" outlineLevel="0" collapsed="false">
      <c r="A985" s="34" t="s">
        <v>5799</v>
      </c>
      <c r="B985" s="34" t="str">
        <f aca="false">'Uso e Consumo'!A985</f>
        <v>0335</v>
      </c>
      <c r="C985" s="34" t="str">
        <f aca="false">'Uso e Consumo'!B985</f>
        <v>UFV NORONHA VERDE - USO E CONSUMO</v>
      </c>
      <c r="D985" s="33" t="n">
        <f aca="false">'Uso e Consumo'!C985</f>
        <v>21301</v>
      </c>
      <c r="E985" s="34" t="str">
        <f aca="false">'Uso e Consumo'!D985</f>
        <v>24.30.0001</v>
      </c>
      <c r="F985" s="34" t="str">
        <f aca="false">'Uso e Consumo'!E985</f>
        <v>CARRO DE MÃO CAÇAMBA METÁLICA FUNDA</v>
      </c>
      <c r="G985" s="34" t="str">
        <f aca="false">'Uso e Consumo'!J985</f>
        <v>UN</v>
      </c>
      <c r="H985" s="49" t="n">
        <f aca="false">'Uso e Consumo'!F985</f>
        <v>2</v>
      </c>
      <c r="I985" s="35" t="n">
        <f aca="false">'Uso e Consumo'!G985</f>
        <v>996</v>
      </c>
      <c r="J985" s="34" t="str">
        <f aca="false">'Uso e Consumo'!M985</f>
        <v>3.8.2.002 - Ferramentas manuais</v>
      </c>
      <c r="K985" s="32" t="str">
        <f aca="false">INDEX('Curva ABC'!$K$8:$K$2847,MATCH(D985,'Curva ABC'!$B$8:$B$2847,0))</f>
        <v>C</v>
      </c>
    </row>
    <row r="986" customFormat="false" ht="15" hidden="false" customHeight="false" outlineLevel="0" collapsed="false">
      <c r="A986" s="34" t="s">
        <v>5799</v>
      </c>
      <c r="B986" s="34" t="str">
        <f aca="false">'Uso e Consumo'!A986</f>
        <v>0335</v>
      </c>
      <c r="C986" s="34" t="str">
        <f aca="false">'Uso e Consumo'!B986</f>
        <v>UFV NORONHA VERDE - USO E CONSUMO</v>
      </c>
      <c r="D986" s="33" t="n">
        <f aca="false">'Uso e Consumo'!C986</f>
        <v>60991</v>
      </c>
      <c r="E986" s="34" t="str">
        <f aca="false">'Uso e Consumo'!D986</f>
        <v>16.03.0217</v>
      </c>
      <c r="F986" s="34" t="str">
        <f aca="false">'Uso e Consumo'!E986</f>
        <v>TINTA ACRÍLICA PARA PISO AMARELO 18L NBR 11702</v>
      </c>
      <c r="G986" s="34" t="str">
        <f aca="false">'Uso e Consumo'!J986</f>
        <v>L18L</v>
      </c>
      <c r="H986" s="49" t="n">
        <f aca="false">'Uso e Consumo'!F986</f>
        <v>2</v>
      </c>
      <c r="I986" s="35" t="n">
        <f aca="false">'Uso e Consumo'!G986</f>
        <v>996</v>
      </c>
      <c r="J986" s="34" t="str">
        <f aca="false">'Uso e Consumo'!M986</f>
        <v>3.8.1.016 - Pinturas</v>
      </c>
      <c r="K986" s="32" t="str">
        <f aca="false">INDEX('Curva ABC'!$K$8:$K$2847,MATCH(D986,'Curva ABC'!$B$8:$B$2847,0))</f>
        <v>C</v>
      </c>
    </row>
    <row r="987" customFormat="false" ht="15" hidden="false" customHeight="false" outlineLevel="0" collapsed="false">
      <c r="A987" s="34" t="s">
        <v>5799</v>
      </c>
      <c r="B987" s="34" t="str">
        <f aca="false">'Uso e Consumo'!A987</f>
        <v>0335</v>
      </c>
      <c r="C987" s="34" t="str">
        <f aca="false">'Uso e Consumo'!B987</f>
        <v>UFV NORONHA VERDE - USO E CONSUMO</v>
      </c>
      <c r="D987" s="33" t="n">
        <f aca="false">'Uso e Consumo'!C987</f>
        <v>294551</v>
      </c>
      <c r="E987" s="34" t="str">
        <f aca="false">'Uso e Consumo'!D987</f>
        <v>17.02.0436</v>
      </c>
      <c r="F987" s="34" t="str">
        <f aca="false">'Uso e Consumo'!E987</f>
        <v>ELETRODUTO PEAD 50,00MM (2") X 50,00M  NBR 15715</v>
      </c>
      <c r="G987" s="34" t="str">
        <f aca="false">'Uso e Consumo'!J987</f>
        <v>M</v>
      </c>
      <c r="H987" s="49" t="n">
        <f aca="false">'Uso e Consumo'!F987</f>
        <v>120</v>
      </c>
      <c r="I987" s="35" t="n">
        <f aca="false">'Uso e Consumo'!G987</f>
        <v>993.6</v>
      </c>
      <c r="J987" s="34" t="str">
        <f aca="false">'Uso e Consumo'!M987</f>
        <v>3.8.1.017 - Instalações elétricas/telefônicas/lógica</v>
      </c>
      <c r="K987" s="32" t="str">
        <f aca="false">INDEX('Curva ABC'!$K$8:$K$2847,MATCH(D987,'Curva ABC'!$B$8:$B$2847,0))</f>
        <v>C</v>
      </c>
    </row>
    <row r="988" customFormat="false" ht="15" hidden="false" customHeight="false" outlineLevel="0" collapsed="false">
      <c r="A988" s="34" t="s">
        <v>5799</v>
      </c>
      <c r="B988" s="34" t="str">
        <f aca="false">'Uso e Consumo'!A988</f>
        <v>0335</v>
      </c>
      <c r="C988" s="34" t="str">
        <f aca="false">'Uso e Consumo'!B988</f>
        <v>UFV NORONHA VERDE - USO E CONSUMO</v>
      </c>
      <c r="D988" s="33" t="n">
        <f aca="false">'Uso e Consumo'!C988</f>
        <v>1680702</v>
      </c>
      <c r="E988" s="34" t="str">
        <f aca="false">'Uso e Consumo'!D988</f>
        <v>09.18.0061</v>
      </c>
      <c r="F988" s="34" t="str">
        <f aca="false">'Uso e Consumo'!E988</f>
        <v>TAMPA PRE-MOLDADA EM CONCRETO ARMADO FCK 25 MPA, 98X24,5X6 CM, TELA Q138</v>
      </c>
      <c r="G988" s="34" t="str">
        <f aca="false">'Uso e Consumo'!J988</f>
        <v>UN</v>
      </c>
      <c r="H988" s="49" t="n">
        <f aca="false">'Uso e Consumo'!F988</f>
        <v>18</v>
      </c>
      <c r="I988" s="35" t="n">
        <f aca="false">'Uso e Consumo'!G988</f>
        <v>990.54</v>
      </c>
      <c r="J988" s="34" t="str">
        <f aca="false">'Uso e Consumo'!M988</f>
        <v>3.8.1.009 - Artefatos pré-moldados de concreto</v>
      </c>
      <c r="K988" s="32" t="str">
        <f aca="false">INDEX('Curva ABC'!$K$8:$K$2847,MATCH(D988,'Curva ABC'!$B$8:$B$2847,0))</f>
        <v>C</v>
      </c>
    </row>
    <row r="989" customFormat="false" ht="15" hidden="false" customHeight="false" outlineLevel="0" collapsed="false">
      <c r="A989" s="34" t="s">
        <v>5799</v>
      </c>
      <c r="B989" s="34" t="str">
        <f aca="false">'Uso e Consumo'!A989</f>
        <v>0335</v>
      </c>
      <c r="C989" s="34" t="str">
        <f aca="false">'Uso e Consumo'!B989</f>
        <v>UFV NORONHA VERDE - USO E CONSUMO</v>
      </c>
      <c r="D989" s="33" t="n">
        <f aca="false">'Uso e Consumo'!C989</f>
        <v>18913</v>
      </c>
      <c r="E989" s="34" t="str">
        <f aca="false">'Uso e Consumo'!D989</f>
        <v>26.06.0031</v>
      </c>
      <c r="F989" s="34" t="str">
        <f aca="false">'Uso e Consumo'!E989</f>
        <v>LUVA DE COBERTURA PARA ELETRICISTA - TAM ÚNICO (CA-10240/16153)</v>
      </c>
      <c r="G989" s="34" t="str">
        <f aca="false">'Uso e Consumo'!J989</f>
        <v>PAR</v>
      </c>
      <c r="H989" s="49" t="n">
        <f aca="false">'Uso e Consumo'!F989</f>
        <v>30</v>
      </c>
      <c r="I989" s="35" t="n">
        <f aca="false">'Uso e Consumo'!G989</f>
        <v>990</v>
      </c>
      <c r="J989" s="34" t="str">
        <f aca="false">'Uso e Consumo'!M989</f>
        <v>4.3.4.001 - Equipamento de proteção individual</v>
      </c>
      <c r="K989" s="32" t="str">
        <f aca="false">INDEX('Curva ABC'!$K$8:$K$2847,MATCH(D989,'Curva ABC'!$B$8:$B$2847,0))</f>
        <v>C</v>
      </c>
    </row>
    <row r="990" customFormat="false" ht="15" hidden="false" customHeight="false" outlineLevel="0" collapsed="false">
      <c r="A990" s="34" t="s">
        <v>5799</v>
      </c>
      <c r="B990" s="34" t="str">
        <f aca="false">'Uso e Consumo'!A990</f>
        <v>0335</v>
      </c>
      <c r="C990" s="34" t="str">
        <f aca="false">'Uso e Consumo'!B990</f>
        <v>UFV NORONHA VERDE - USO E CONSUMO</v>
      </c>
      <c r="D990" s="33" t="n">
        <f aca="false">'Uso e Consumo'!C990</f>
        <v>1330659</v>
      </c>
      <c r="E990" s="34" t="str">
        <f aca="false">'Uso e Consumo'!D990</f>
        <v>23.07.1571</v>
      </c>
      <c r="F990" s="34" t="str">
        <f aca="false">'Uso e Consumo'!E990</f>
        <v>KIT PARAFUSO PARA MICTORIO</v>
      </c>
      <c r="G990" s="34" t="str">
        <f aca="false">'Uso e Consumo'!J990</f>
        <v>UN</v>
      </c>
      <c r="H990" s="49" t="n">
        <f aca="false">'Uso e Consumo'!F990</f>
        <v>56</v>
      </c>
      <c r="I990" s="35" t="n">
        <f aca="false">'Uso e Consumo'!G990</f>
        <v>988.96</v>
      </c>
      <c r="J990" s="34" t="str">
        <f aca="false">'Uso e Consumo'!M990</f>
        <v>3.8.1.022 - Elementos de fixação</v>
      </c>
      <c r="K990" s="32" t="str">
        <f aca="false">INDEX('Curva ABC'!$K$8:$K$2847,MATCH(D990,'Curva ABC'!$B$8:$B$2847,0))</f>
        <v>C</v>
      </c>
    </row>
    <row r="991" customFormat="false" ht="15" hidden="false" customHeight="false" outlineLevel="0" collapsed="false">
      <c r="A991" s="34" t="s">
        <v>5799</v>
      </c>
      <c r="B991" s="34" t="str">
        <f aca="false">'Uso e Consumo'!A991</f>
        <v>0335</v>
      </c>
      <c r="C991" s="34" t="str">
        <f aca="false">'Uso e Consumo'!B991</f>
        <v>UFV NORONHA VERDE - USO E CONSUMO</v>
      </c>
      <c r="D991" s="33" t="n">
        <f aca="false">'Uso e Consumo'!C991</f>
        <v>21282</v>
      </c>
      <c r="E991" s="34" t="str">
        <f aca="false">'Uso e Consumo'!D991</f>
        <v>32.02.0008</v>
      </c>
      <c r="F991" s="34" t="str">
        <f aca="false">'Uso e Consumo'!E991</f>
        <v>CINTA DE ELEVAÇÃO CAPACIDADE 4,0T COM 4,0M</v>
      </c>
      <c r="G991" s="34" t="str">
        <f aca="false">'Uso e Consumo'!J991</f>
        <v>UN</v>
      </c>
      <c r="H991" s="49" t="n">
        <f aca="false">'Uso e Consumo'!F991</f>
        <v>6</v>
      </c>
      <c r="I991" s="35" t="n">
        <f aca="false">'Uso e Consumo'!G991</f>
        <v>985.68</v>
      </c>
      <c r="J991" s="34" t="str">
        <f aca="false">'Uso e Consumo'!M991</f>
        <v>6.1.2.002 - Ferramentas e utensílios</v>
      </c>
      <c r="K991" s="32" t="str">
        <f aca="false">INDEX('Curva ABC'!$K$8:$K$2847,MATCH(D991,'Curva ABC'!$B$8:$B$2847,0))</f>
        <v>C</v>
      </c>
    </row>
    <row r="992" customFormat="false" ht="15" hidden="false" customHeight="false" outlineLevel="0" collapsed="false">
      <c r="A992" s="34" t="s">
        <v>5799</v>
      </c>
      <c r="B992" s="34" t="str">
        <f aca="false">'Uso e Consumo'!A992</f>
        <v>0335</v>
      </c>
      <c r="C992" s="34" t="str">
        <f aca="false">'Uso e Consumo'!B992</f>
        <v>UFV NORONHA VERDE - USO E CONSUMO</v>
      </c>
      <c r="D992" s="33" t="n">
        <f aca="false">'Uso e Consumo'!C992</f>
        <v>273606</v>
      </c>
      <c r="E992" s="34" t="str">
        <f aca="false">'Uso e Consumo'!D992</f>
        <v>30.01.0581</v>
      </c>
      <c r="F992" s="34" t="str">
        <f aca="false">'Uso e Consumo'!E992</f>
        <v>PAPEL PARA PLOTTER SULFITE 75G ROLO 914MM X 50M</v>
      </c>
      <c r="G992" s="34" t="str">
        <f aca="false">'Uso e Consumo'!J992</f>
        <v>UN</v>
      </c>
      <c r="H992" s="49" t="n">
        <f aca="false">'Uso e Consumo'!F992</f>
        <v>5</v>
      </c>
      <c r="I992" s="35" t="n">
        <f aca="false">'Uso e Consumo'!G992</f>
        <v>983</v>
      </c>
      <c r="J992" s="34" t="str">
        <f aca="false">'Uso e Consumo'!M992</f>
        <v>4.1.1.002 - Material expediente</v>
      </c>
      <c r="K992" s="32" t="str">
        <f aca="false">INDEX('Curva ABC'!$K$8:$K$2847,MATCH(D992,'Curva ABC'!$B$8:$B$2847,0))</f>
        <v>C</v>
      </c>
    </row>
    <row r="993" customFormat="false" ht="15" hidden="false" customHeight="false" outlineLevel="0" collapsed="false">
      <c r="A993" s="34" t="s">
        <v>5799</v>
      </c>
      <c r="B993" s="34" t="str">
        <f aca="false">'Uso e Consumo'!A993</f>
        <v>0335</v>
      </c>
      <c r="C993" s="34" t="str">
        <f aca="false">'Uso e Consumo'!B993</f>
        <v>UFV NORONHA VERDE - USO E CONSUMO</v>
      </c>
      <c r="D993" s="33" t="n">
        <f aca="false">'Uso e Consumo'!C993</f>
        <v>59501</v>
      </c>
      <c r="E993" s="34" t="str">
        <f aca="false">'Uso e Consumo'!D993</f>
        <v>25.01.0112</v>
      </c>
      <c r="F993" s="34" t="str">
        <f aca="false">'Uso e Consumo'!E993</f>
        <v>DISCO DE CORTE 10MM</v>
      </c>
      <c r="G993" s="34" t="str">
        <f aca="false">'Uso e Consumo'!J993</f>
        <v>UN</v>
      </c>
      <c r="H993" s="49" t="n">
        <f aca="false">'Uso e Consumo'!F993</f>
        <v>10</v>
      </c>
      <c r="I993" s="35" t="n">
        <f aca="false">'Uso e Consumo'!G993</f>
        <v>980</v>
      </c>
      <c r="J993" s="34" t="str">
        <f aca="false">'Uso e Consumo'!M993</f>
        <v>3.8.2.004 - Consumíveis para corte, perfuração e desbaste</v>
      </c>
      <c r="K993" s="32" t="str">
        <f aca="false">INDEX('Curva ABC'!$K$8:$K$2847,MATCH(D993,'Curva ABC'!$B$8:$B$2847,0))</f>
        <v>C</v>
      </c>
    </row>
    <row r="994" customFormat="false" ht="15" hidden="false" customHeight="false" outlineLevel="0" collapsed="false">
      <c r="A994" s="34" t="s">
        <v>5799</v>
      </c>
      <c r="B994" s="34" t="str">
        <f aca="false">'Uso e Consumo'!A994</f>
        <v>0335</v>
      </c>
      <c r="C994" s="34" t="str">
        <f aca="false">'Uso e Consumo'!B994</f>
        <v>UFV NORONHA VERDE - USO E CONSUMO</v>
      </c>
      <c r="D994" s="33" t="n">
        <f aca="false">'Uso e Consumo'!C994</f>
        <v>1088345</v>
      </c>
      <c r="E994" s="34" t="str">
        <f aca="false">'Uso e Consumo'!D994</f>
        <v>24.28.0011</v>
      </c>
      <c r="F994" s="34" t="str">
        <f aca="false">'Uso e Consumo'!E994</f>
        <v>MARCADOR INDUSTRIAL PERMANENTE EDDING 750</v>
      </c>
      <c r="G994" s="34" t="str">
        <f aca="false">'Uso e Consumo'!J994</f>
        <v>UN</v>
      </c>
      <c r="H994" s="49" t="n">
        <f aca="false">'Uso e Consumo'!F994</f>
        <v>100</v>
      </c>
      <c r="I994" s="35" t="n">
        <f aca="false">'Uso e Consumo'!G994</f>
        <v>980</v>
      </c>
      <c r="J994" s="34" t="str">
        <f aca="false">'Uso e Consumo'!M994</f>
        <v>3.8.2.002 - Ferramentas manuais</v>
      </c>
      <c r="K994" s="32" t="str">
        <f aca="false">INDEX('Curva ABC'!$K$8:$K$2847,MATCH(D994,'Curva ABC'!$B$8:$B$2847,0))</f>
        <v>C</v>
      </c>
    </row>
    <row r="995" customFormat="false" ht="15" hidden="false" customHeight="false" outlineLevel="0" collapsed="false">
      <c r="A995" s="34" t="s">
        <v>5799</v>
      </c>
      <c r="B995" s="34" t="str">
        <f aca="false">'Uso e Consumo'!A995</f>
        <v>0335</v>
      </c>
      <c r="C995" s="34" t="str">
        <f aca="false">'Uso e Consumo'!B995</f>
        <v>UFV NORONHA VERDE - USO E CONSUMO</v>
      </c>
      <c r="D995" s="33" t="n">
        <f aca="false">'Uso e Consumo'!C995</f>
        <v>1659860</v>
      </c>
      <c r="E995" s="34" t="str">
        <f aca="false">'Uso e Consumo'!D995</f>
        <v>17.20.0758</v>
      </c>
      <c r="F995" s="34" t="str">
        <f aca="false">'Uso e Consumo'!E995</f>
        <v>MOLDE PARA SOLDA EXOTERMICA PARA DERIVACAO T DE CABO DE COBRE 70 MM X 25 MM</v>
      </c>
      <c r="G995" s="34" t="str">
        <f aca="false">'Uso e Consumo'!J995</f>
        <v>UN</v>
      </c>
      <c r="H995" s="49" t="n">
        <f aca="false">'Uso e Consumo'!F995</f>
        <v>2</v>
      </c>
      <c r="I995" s="35" t="n">
        <f aca="false">'Uso e Consumo'!G995</f>
        <v>980</v>
      </c>
      <c r="J995" s="34" t="str">
        <f aca="false">'Uso e Consumo'!M995</f>
        <v>3.8.1.017 - Instalações elétricas/telefônicas/lógica</v>
      </c>
      <c r="K995" s="32" t="str">
        <f aca="false">INDEX('Curva ABC'!$K$8:$K$2847,MATCH(D995,'Curva ABC'!$B$8:$B$2847,0))</f>
        <v>C</v>
      </c>
    </row>
    <row r="996" customFormat="false" ht="15" hidden="false" customHeight="false" outlineLevel="0" collapsed="false">
      <c r="A996" s="34" t="s">
        <v>5799</v>
      </c>
      <c r="B996" s="34" t="str">
        <f aca="false">'Uso e Consumo'!A996</f>
        <v>0335</v>
      </c>
      <c r="C996" s="34" t="str">
        <f aca="false">'Uso e Consumo'!B996</f>
        <v>UFV NORONHA VERDE - USO E CONSUMO</v>
      </c>
      <c r="D996" s="33" t="n">
        <f aca="false">'Uso e Consumo'!C996</f>
        <v>857559</v>
      </c>
      <c r="E996" s="34" t="str">
        <f aca="false">'Uso e Consumo'!D996</f>
        <v>24.41.0304</v>
      </c>
      <c r="F996" s="34" t="str">
        <f aca="false">'Uso e Consumo'!E996</f>
        <v>JOGO DE CHAVE SOQUETE 20 PECAS CROMO-VANADIO 19- 50MM ENCAIXE DE 3/4POL</v>
      </c>
      <c r="G996" s="34" t="str">
        <f aca="false">'Uso e Consumo'!J996</f>
        <v>UN</v>
      </c>
      <c r="H996" s="49" t="n">
        <f aca="false">'Uso e Consumo'!F996</f>
        <v>1</v>
      </c>
      <c r="I996" s="35" t="n">
        <f aca="false">'Uso e Consumo'!G996</f>
        <v>979.98</v>
      </c>
      <c r="J996" s="34" t="str">
        <f aca="false">'Uso e Consumo'!M996</f>
        <v>3.8.2.002 - Ferramentas manuais</v>
      </c>
      <c r="K996" s="32" t="str">
        <f aca="false">INDEX('Curva ABC'!$K$8:$K$2847,MATCH(D996,'Curva ABC'!$B$8:$B$2847,0))</f>
        <v>C</v>
      </c>
    </row>
    <row r="997" customFormat="false" ht="15" hidden="false" customHeight="false" outlineLevel="0" collapsed="false">
      <c r="A997" s="34" t="s">
        <v>5799</v>
      </c>
      <c r="B997" s="34" t="str">
        <f aca="false">'Uso e Consumo'!A997</f>
        <v>0335</v>
      </c>
      <c r="C997" s="34" t="str">
        <f aca="false">'Uso e Consumo'!B997</f>
        <v>UFV NORONHA VERDE - USO E CONSUMO</v>
      </c>
      <c r="D997" s="33" t="n">
        <f aca="false">'Uso e Consumo'!C997</f>
        <v>49543</v>
      </c>
      <c r="E997" s="34" t="str">
        <f aca="false">'Uso e Consumo'!D997</f>
        <v>26.03.0020</v>
      </c>
      <c r="F997" s="34" t="str">
        <f aca="false">'Uso e Consumo'!E997</f>
        <v>CARNEIRA PARA CAPACETE MSA S/JUGULAR</v>
      </c>
      <c r="G997" s="34" t="str">
        <f aca="false">'Uso e Consumo'!J997</f>
        <v>UN</v>
      </c>
      <c r="H997" s="49" t="n">
        <f aca="false">'Uso e Consumo'!F997</f>
        <v>30</v>
      </c>
      <c r="I997" s="35" t="n">
        <f aca="false">'Uso e Consumo'!G997</f>
        <v>976</v>
      </c>
      <c r="J997" s="34" t="str">
        <f aca="false">'Uso e Consumo'!M997</f>
        <v>4.3.4.001 - Equipamento de proteção individual</v>
      </c>
      <c r="K997" s="32" t="str">
        <f aca="false">INDEX('Curva ABC'!$K$8:$K$2847,MATCH(D997,'Curva ABC'!$B$8:$B$2847,0))</f>
        <v>C</v>
      </c>
    </row>
    <row r="998" customFormat="false" ht="15" hidden="false" customHeight="false" outlineLevel="0" collapsed="false">
      <c r="A998" s="34" t="s">
        <v>5799</v>
      </c>
      <c r="B998" s="34" t="str">
        <f aca="false">'Uso e Consumo'!A998</f>
        <v>0335</v>
      </c>
      <c r="C998" s="34" t="str">
        <f aca="false">'Uso e Consumo'!B998</f>
        <v>UFV NORONHA VERDE - USO E CONSUMO</v>
      </c>
      <c r="D998" s="33" t="n">
        <f aca="false">'Uso e Consumo'!C998</f>
        <v>33949</v>
      </c>
      <c r="E998" s="34" t="str">
        <f aca="false">'Uso e Consumo'!D998</f>
        <v>24.35.0003</v>
      </c>
      <c r="F998" s="34" t="str">
        <f aca="false">'Uso e Consumo'!E998</f>
        <v>SACHO 1 PONTA C/ CABO</v>
      </c>
      <c r="G998" s="34" t="str">
        <f aca="false">'Uso e Consumo'!J998</f>
        <v>UN</v>
      </c>
      <c r="H998" s="49" t="n">
        <f aca="false">'Uso e Consumo'!F998</f>
        <v>15</v>
      </c>
      <c r="I998" s="35" t="n">
        <f aca="false">'Uso e Consumo'!G998</f>
        <v>975</v>
      </c>
      <c r="J998" s="34" t="str">
        <f aca="false">'Uso e Consumo'!M998</f>
        <v>3.8.2.002 - Ferramentas manuais</v>
      </c>
      <c r="K998" s="32" t="str">
        <f aca="false">INDEX('Curva ABC'!$K$8:$K$2847,MATCH(D998,'Curva ABC'!$B$8:$B$2847,0))</f>
        <v>C</v>
      </c>
    </row>
    <row r="999" customFormat="false" ht="15" hidden="false" customHeight="false" outlineLevel="0" collapsed="false">
      <c r="A999" s="34" t="s">
        <v>5799</v>
      </c>
      <c r="B999" s="34" t="str">
        <f aca="false">'Uso e Consumo'!A999</f>
        <v>0335</v>
      </c>
      <c r="C999" s="34" t="str">
        <f aca="false">'Uso e Consumo'!B999</f>
        <v>UFV NORONHA VERDE - USO E CONSUMO</v>
      </c>
      <c r="D999" s="33" t="n">
        <f aca="false">'Uso e Consumo'!C999</f>
        <v>1616857</v>
      </c>
      <c r="E999" s="34" t="str">
        <f aca="false">'Uso e Consumo'!D999</f>
        <v>17.19.0081</v>
      </c>
      <c r="F999" s="34" t="str">
        <f aca="false">'Uso e Consumo'!E999</f>
        <v>TERMO RETRATIL BITOLA 400 (BRANCO)</v>
      </c>
      <c r="G999" s="34" t="str">
        <f aca="false">'Uso e Consumo'!J999</f>
        <v>UN</v>
      </c>
      <c r="H999" s="49" t="n">
        <f aca="false">'Uso e Consumo'!F999</f>
        <v>50</v>
      </c>
      <c r="I999" s="35" t="n">
        <f aca="false">'Uso e Consumo'!G999</f>
        <v>969</v>
      </c>
      <c r="J999" s="34" t="str">
        <f aca="false">'Uso e Consumo'!M999</f>
        <v>3.8.1.017 - Instalações elétricas/telefônicas/lógica</v>
      </c>
      <c r="K999" s="32" t="str">
        <f aca="false">INDEX('Curva ABC'!$K$8:$K$2847,MATCH(D999,'Curva ABC'!$B$8:$B$2847,0))</f>
        <v>C</v>
      </c>
    </row>
    <row r="1000" customFormat="false" ht="15" hidden="false" customHeight="false" outlineLevel="0" collapsed="false">
      <c r="A1000" s="34" t="s">
        <v>5799</v>
      </c>
      <c r="B1000" s="34" t="str">
        <f aca="false">'Uso e Consumo'!A1000</f>
        <v>0335</v>
      </c>
      <c r="C1000" s="34" t="str">
        <f aca="false">'Uso e Consumo'!B1000</f>
        <v>UFV NORONHA VERDE - USO E CONSUMO</v>
      </c>
      <c r="D1000" s="33" t="n">
        <f aca="false">'Uso e Consumo'!C1000</f>
        <v>1616858</v>
      </c>
      <c r="E1000" s="34" t="str">
        <f aca="false">'Uso e Consumo'!D1000</f>
        <v>17.19.0082</v>
      </c>
      <c r="F1000" s="34" t="str">
        <f aca="false">'Uso e Consumo'!E1000</f>
        <v>TERMO RETRATIL BITOLA 400 (VERMELHO)</v>
      </c>
      <c r="G1000" s="34" t="str">
        <f aca="false">'Uso e Consumo'!J1000</f>
        <v>UN</v>
      </c>
      <c r="H1000" s="49" t="n">
        <f aca="false">'Uso e Consumo'!F1000</f>
        <v>50</v>
      </c>
      <c r="I1000" s="35" t="n">
        <f aca="false">'Uso e Consumo'!G1000</f>
        <v>969</v>
      </c>
      <c r="J1000" s="34" t="str">
        <f aca="false">'Uso e Consumo'!M1000</f>
        <v>3.8.1.017 - Instalações elétricas/telefônicas/lógica</v>
      </c>
      <c r="K1000" s="32" t="str">
        <f aca="false">INDEX('Curva ABC'!$K$8:$K$2847,MATCH(D1000,'Curva ABC'!$B$8:$B$2847,0))</f>
        <v>C</v>
      </c>
    </row>
    <row r="1001" customFormat="false" ht="15" hidden="false" customHeight="false" outlineLevel="0" collapsed="false">
      <c r="A1001" s="34" t="s">
        <v>5799</v>
      </c>
      <c r="B1001" s="34" t="str">
        <f aca="false">'Uso e Consumo'!A1001</f>
        <v>0335</v>
      </c>
      <c r="C1001" s="34" t="str">
        <f aca="false">'Uso e Consumo'!B1001</f>
        <v>UFV NORONHA VERDE - USO E CONSUMO</v>
      </c>
      <c r="D1001" s="33" t="n">
        <f aca="false">'Uso e Consumo'!C1001</f>
        <v>1610151</v>
      </c>
      <c r="E1001" s="34" t="str">
        <f aca="false">'Uso e Consumo'!D1001</f>
        <v>23.07.1624</v>
      </c>
      <c r="F1001" s="34" t="str">
        <f aca="false">'Uso e Consumo'!E1001</f>
        <v>PARAFUSO FIXADOR ABA/TELHA</v>
      </c>
      <c r="G1001" s="34" t="str">
        <f aca="false">'Uso e Consumo'!J1001</f>
        <v>UN</v>
      </c>
      <c r="H1001" s="49" t="n">
        <f aca="false">'Uso e Consumo'!F1001</f>
        <v>92</v>
      </c>
      <c r="I1001" s="35" t="n">
        <f aca="false">'Uso e Consumo'!G1001</f>
        <v>966.92</v>
      </c>
      <c r="J1001" s="34" t="str">
        <f aca="false">'Uso e Consumo'!M1001</f>
        <v>3.8.1.022 - Elementos de fixação</v>
      </c>
      <c r="K1001" s="32" t="str">
        <f aca="false">INDEX('Curva ABC'!$K$8:$K$2847,MATCH(D1001,'Curva ABC'!$B$8:$B$2847,0))</f>
        <v>C</v>
      </c>
    </row>
    <row r="1002" customFormat="false" ht="15" hidden="false" customHeight="false" outlineLevel="0" collapsed="false">
      <c r="A1002" s="34" t="s">
        <v>5799</v>
      </c>
      <c r="B1002" s="34" t="str">
        <f aca="false">'Uso e Consumo'!A1002</f>
        <v>0335</v>
      </c>
      <c r="C1002" s="34" t="str">
        <f aca="false">'Uso e Consumo'!B1002</f>
        <v>UFV NORONHA VERDE - USO E CONSUMO</v>
      </c>
      <c r="D1002" s="33" t="n">
        <f aca="false">'Uso e Consumo'!C1002</f>
        <v>830952</v>
      </c>
      <c r="E1002" s="34" t="str">
        <f aca="false">'Uso e Consumo'!D1002</f>
        <v>17.05.0099</v>
      </c>
      <c r="F1002" s="34" t="str">
        <f aca="false">'Uso e Consumo'!E1002</f>
        <v>TAMPA PARA CAIXA DE INSPEÇÃO DE ATERRAMENTO EM MATERIAL GALVANIZADO 300MM</v>
      </c>
      <c r="G1002" s="34" t="str">
        <f aca="false">'Uso e Consumo'!J1002</f>
        <v>UN</v>
      </c>
      <c r="H1002" s="49" t="n">
        <f aca="false">'Uso e Consumo'!F1002</f>
        <v>12</v>
      </c>
      <c r="I1002" s="35" t="n">
        <f aca="false">'Uso e Consumo'!G1002</f>
        <v>964.44</v>
      </c>
      <c r="J1002" s="34" t="str">
        <f aca="false">'Uso e Consumo'!M1002</f>
        <v>3.8.1.017 - Instalações elétricas/telefônicas/lógica</v>
      </c>
      <c r="K1002" s="32" t="str">
        <f aca="false">INDEX('Curva ABC'!$K$8:$K$2847,MATCH(D1002,'Curva ABC'!$B$8:$B$2847,0))</f>
        <v>C</v>
      </c>
    </row>
    <row r="1003" customFormat="false" ht="15" hidden="false" customHeight="false" outlineLevel="0" collapsed="false">
      <c r="A1003" s="34" t="s">
        <v>5799</v>
      </c>
      <c r="B1003" s="34" t="str">
        <f aca="false">'Uso e Consumo'!A1003</f>
        <v>0335</v>
      </c>
      <c r="C1003" s="34" t="str">
        <f aca="false">'Uso e Consumo'!B1003</f>
        <v>UFV NORONHA VERDE - USO E CONSUMO</v>
      </c>
      <c r="D1003" s="33" t="n">
        <f aca="false">'Uso e Consumo'!C1003</f>
        <v>66312</v>
      </c>
      <c r="E1003" s="34" t="str">
        <f aca="false">'Uso e Consumo'!D1003</f>
        <v>29.01.0466</v>
      </c>
      <c r="F1003" s="34" t="str">
        <f aca="false">'Uso e Consumo'!E1003</f>
        <v>MONITOR LED 27" FULL HD</v>
      </c>
      <c r="G1003" s="34" t="str">
        <f aca="false">'Uso e Consumo'!J1003</f>
        <v>UN</v>
      </c>
      <c r="H1003" s="49" t="n">
        <f aca="false">'Uso e Consumo'!F1003</f>
        <v>1</v>
      </c>
      <c r="I1003" s="35" t="n">
        <f aca="false">'Uso e Consumo'!G1003</f>
        <v>963.02</v>
      </c>
      <c r="J1003" s="34" t="str">
        <f aca="false">'Uso e Consumo'!M1003</f>
        <v>4.1.1.007 - Equipamentos e acessórios para informática</v>
      </c>
      <c r="K1003" s="32" t="str">
        <f aca="false">INDEX('Curva ABC'!$K$8:$K$2847,MATCH(D1003,'Curva ABC'!$B$8:$B$2847,0))</f>
        <v>C</v>
      </c>
    </row>
    <row r="1004" customFormat="false" ht="15" hidden="false" customHeight="false" outlineLevel="0" collapsed="false">
      <c r="A1004" s="34" t="s">
        <v>5799</v>
      </c>
      <c r="B1004" s="34" t="str">
        <f aca="false">'Uso e Consumo'!A1004</f>
        <v>0335</v>
      </c>
      <c r="C1004" s="34" t="str">
        <f aca="false">'Uso e Consumo'!B1004</f>
        <v>UFV NORONHA VERDE - USO E CONSUMO</v>
      </c>
      <c r="D1004" s="33" t="n">
        <f aca="false">'Uso e Consumo'!C1004</f>
        <v>391511</v>
      </c>
      <c r="E1004" s="34" t="str">
        <f aca="false">'Uso e Consumo'!D1004</f>
        <v>01.02.0023</v>
      </c>
      <c r="F1004" s="34" t="str">
        <f aca="false">'Uso e Consumo'!E1004</f>
        <v>AÇO CARBONO CA-50 VERGALHÃO NERVURADO 6,30MM X 12,00M NBR 7480 (0,245KG/M) - CORTADO E DOBRADO</v>
      </c>
      <c r="G1004" s="34" t="str">
        <f aca="false">'Uso e Consumo'!J1004</f>
        <v>KG</v>
      </c>
      <c r="H1004" s="49" t="n">
        <f aca="false">'Uso e Consumo'!F1004</f>
        <v>165</v>
      </c>
      <c r="I1004" s="35" t="n">
        <f aca="false">'Uso e Consumo'!G1004</f>
        <v>962.26</v>
      </c>
      <c r="J1004" s="34" t="str">
        <f aca="false">'Uso e Consumo'!M1004</f>
        <v>3.8.1.001 - Aços e trefilados</v>
      </c>
      <c r="K1004" s="32" t="str">
        <f aca="false">INDEX('Curva ABC'!$K$8:$K$2847,MATCH(D1004,'Curva ABC'!$B$8:$B$2847,0))</f>
        <v>C</v>
      </c>
    </row>
    <row r="1005" customFormat="false" ht="15" hidden="false" customHeight="false" outlineLevel="0" collapsed="false">
      <c r="A1005" s="34" t="s">
        <v>5799</v>
      </c>
      <c r="B1005" s="34" t="str">
        <f aca="false">'Uso e Consumo'!A1005</f>
        <v>0335</v>
      </c>
      <c r="C1005" s="34" t="str">
        <f aca="false">'Uso e Consumo'!B1005</f>
        <v>UFV NORONHA VERDE - USO E CONSUMO</v>
      </c>
      <c r="D1005" s="33" t="n">
        <f aca="false">'Uso e Consumo'!C1005</f>
        <v>136864</v>
      </c>
      <c r="E1005" s="34" t="str">
        <f aca="false">'Uso e Consumo'!D1005</f>
        <v>23.02.0293</v>
      </c>
      <c r="F1005" s="34" t="str">
        <f aca="false">'Uso e Consumo'!E1005</f>
        <v>ABRAÇADEIRA NYLON 400,00CM X 4,80MM</v>
      </c>
      <c r="G1005" s="34" t="str">
        <f aca="false">'Uso e Consumo'!J1005</f>
        <v>UN</v>
      </c>
      <c r="H1005" s="49" t="n">
        <f aca="false">'Uso e Consumo'!F1005</f>
        <v>20</v>
      </c>
      <c r="I1005" s="35" t="n">
        <f aca="false">'Uso e Consumo'!G1005</f>
        <v>960</v>
      </c>
      <c r="J1005" s="34" t="str">
        <f aca="false">'Uso e Consumo'!M1005</f>
        <v>3.8.1.022 - Elementos de fixação</v>
      </c>
      <c r="K1005" s="32" t="str">
        <f aca="false">INDEX('Curva ABC'!$K$8:$K$2847,MATCH(D1005,'Curva ABC'!$B$8:$B$2847,0))</f>
        <v>C</v>
      </c>
    </row>
    <row r="1006" customFormat="false" ht="15" hidden="false" customHeight="false" outlineLevel="0" collapsed="false">
      <c r="A1006" s="34" t="s">
        <v>5799</v>
      </c>
      <c r="B1006" s="34" t="str">
        <f aca="false">'Uso e Consumo'!A1006</f>
        <v>0335</v>
      </c>
      <c r="C1006" s="34" t="str">
        <f aca="false">'Uso e Consumo'!B1006</f>
        <v>UFV NORONHA VERDE - USO E CONSUMO</v>
      </c>
      <c r="D1006" s="33" t="n">
        <f aca="false">'Uso e Consumo'!C1006</f>
        <v>1605181</v>
      </c>
      <c r="E1006" s="34" t="str">
        <f aca="false">'Uso e Consumo'!D1006</f>
        <v>17.08.0242</v>
      </c>
      <c r="F1006" s="34" t="str">
        <f aca="false">'Uso e Consumo'!E1006</f>
        <v>QUADRO DE SOBREPOR COM BARRAMENTO TERRA E NEUTRO COM CAPACIDADE PARA 20 DISJUNTORES TIPO DIN </v>
      </c>
      <c r="G1006" s="34" t="str">
        <f aca="false">'Uso e Consumo'!J1006</f>
        <v>UN</v>
      </c>
      <c r="H1006" s="49" t="n">
        <f aca="false">'Uso e Consumo'!F1006</f>
        <v>1</v>
      </c>
      <c r="I1006" s="35" t="n">
        <f aca="false">'Uso e Consumo'!G1006</f>
        <v>960</v>
      </c>
      <c r="J1006" s="34" t="str">
        <f aca="false">'Uso e Consumo'!M1006</f>
        <v>3.8.1.017 - Instalações elétricas/telefônicas/lógica</v>
      </c>
      <c r="K1006" s="32" t="str">
        <f aca="false">INDEX('Curva ABC'!$K$8:$K$2847,MATCH(D1006,'Curva ABC'!$B$8:$B$2847,0))</f>
        <v>C</v>
      </c>
    </row>
    <row r="1007" customFormat="false" ht="15" hidden="false" customHeight="false" outlineLevel="0" collapsed="false">
      <c r="A1007" s="34" t="s">
        <v>5799</v>
      </c>
      <c r="B1007" s="34" t="str">
        <f aca="false">'Uso e Consumo'!A1007</f>
        <v>0335</v>
      </c>
      <c r="C1007" s="34" t="str">
        <f aca="false">'Uso e Consumo'!B1007</f>
        <v>UFV NORONHA VERDE - USO E CONSUMO</v>
      </c>
      <c r="D1007" s="33" t="n">
        <f aca="false">'Uso e Consumo'!C1007</f>
        <v>1605186</v>
      </c>
      <c r="E1007" s="34" t="str">
        <f aca="false">'Uso e Consumo'!D1007</f>
        <v>17.02.0914</v>
      </c>
      <c r="F1007" s="34" t="str">
        <f aca="false">'Uso e Consumo'!E1007</f>
        <v>CONJUNTO ISOLADOR TIPO ROLDANA DE PORCELANA VERTICAL COM PARAFUSO DE FIXAÇÃO</v>
      </c>
      <c r="G1007" s="34" t="str">
        <f aca="false">'Uso e Consumo'!J1007</f>
        <v>UN</v>
      </c>
      <c r="H1007" s="49" t="n">
        <f aca="false">'Uso e Consumo'!F1007</f>
        <v>18</v>
      </c>
      <c r="I1007" s="35" t="n">
        <f aca="false">'Uso e Consumo'!G1007</f>
        <v>954.94</v>
      </c>
      <c r="J1007" s="34" t="str">
        <f aca="false">'Uso e Consumo'!M1007</f>
        <v>3.8.1.017 - Instalações elétricas/telefônicas/lógica</v>
      </c>
      <c r="K1007" s="32" t="str">
        <f aca="false">INDEX('Curva ABC'!$K$8:$K$2847,MATCH(D1007,'Curva ABC'!$B$8:$B$2847,0))</f>
        <v>C</v>
      </c>
    </row>
    <row r="1008" customFormat="false" ht="15" hidden="false" customHeight="false" outlineLevel="0" collapsed="false">
      <c r="A1008" s="34" t="s">
        <v>5799</v>
      </c>
      <c r="B1008" s="34" t="str">
        <f aca="false">'Uso e Consumo'!A1008</f>
        <v>0335</v>
      </c>
      <c r="C1008" s="34" t="str">
        <f aca="false">'Uso e Consumo'!B1008</f>
        <v>UFV NORONHA VERDE - USO E CONSUMO</v>
      </c>
      <c r="D1008" s="33" t="n">
        <f aca="false">'Uso e Consumo'!C1008</f>
        <v>23684</v>
      </c>
      <c r="E1008" s="34" t="str">
        <f aca="false">'Uso e Consumo'!D1008</f>
        <v>25.01.0073</v>
      </c>
      <c r="F1008" s="34" t="str">
        <f aca="false">'Uso e Consumo'!E1008</f>
        <v>DISCO DE CORTE DIAMANTADO PARA CONCRETO 180MM X 25.4MM X 7MM</v>
      </c>
      <c r="G1008" s="34" t="str">
        <f aca="false">'Uso e Consumo'!J1008</f>
        <v>UN</v>
      </c>
      <c r="H1008" s="49" t="n">
        <f aca="false">'Uso e Consumo'!F1008</f>
        <v>13</v>
      </c>
      <c r="I1008" s="35" t="n">
        <f aca="false">'Uso e Consumo'!G1008</f>
        <v>954</v>
      </c>
      <c r="J1008" s="34" t="str">
        <f aca="false">'Uso e Consumo'!M1008</f>
        <v>3.8.2.004 - Consumíveis para corte, perfuração e desbaste</v>
      </c>
      <c r="K1008" s="32" t="str">
        <f aca="false">INDEX('Curva ABC'!$K$8:$K$2847,MATCH(D1008,'Curva ABC'!$B$8:$B$2847,0))</f>
        <v>C</v>
      </c>
    </row>
    <row r="1009" customFormat="false" ht="15" hidden="false" customHeight="false" outlineLevel="0" collapsed="false">
      <c r="A1009" s="34" t="s">
        <v>5799</v>
      </c>
      <c r="B1009" s="34" t="str">
        <f aca="false">'Uso e Consumo'!A1009</f>
        <v>0335</v>
      </c>
      <c r="C1009" s="34" t="str">
        <f aca="false">'Uso e Consumo'!B1009</f>
        <v>UFV NORONHA VERDE - USO E CONSUMO</v>
      </c>
      <c r="D1009" s="33" t="n">
        <f aca="false">'Uso e Consumo'!C1009</f>
        <v>55300</v>
      </c>
      <c r="E1009" s="34" t="str">
        <f aca="false">'Uso e Consumo'!D1009</f>
        <v>17.10.0224</v>
      </c>
      <c r="F1009" s="34" t="str">
        <f aca="false">'Uso e Consumo'!E1009</f>
        <v>DISJUNTOR DIFERENCIAL RESIDUAL TETRAPOLAR SDR 63A – 400V NBR 60898</v>
      </c>
      <c r="G1009" s="34" t="str">
        <f aca="false">'Uso e Consumo'!J1009</f>
        <v>UN</v>
      </c>
      <c r="H1009" s="49" t="n">
        <f aca="false">'Uso e Consumo'!F1009</f>
        <v>6</v>
      </c>
      <c r="I1009" s="35" t="n">
        <f aca="false">'Uso e Consumo'!G1009</f>
        <v>951.3</v>
      </c>
      <c r="J1009" s="34" t="str">
        <f aca="false">'Uso e Consumo'!M1009</f>
        <v>3.8.1.017 - Instalações elétricas/telefônicas/lógica</v>
      </c>
      <c r="K1009" s="32" t="str">
        <f aca="false">INDEX('Curva ABC'!$K$8:$K$2847,MATCH(D1009,'Curva ABC'!$B$8:$B$2847,0))</f>
        <v>C</v>
      </c>
    </row>
    <row r="1010" customFormat="false" ht="15" hidden="false" customHeight="false" outlineLevel="0" collapsed="false">
      <c r="A1010" s="34" t="s">
        <v>5799</v>
      </c>
      <c r="B1010" s="34" t="str">
        <f aca="false">'Uso e Consumo'!A1010</f>
        <v>0335</v>
      </c>
      <c r="C1010" s="34" t="str">
        <f aca="false">'Uso e Consumo'!B1010</f>
        <v>UFV NORONHA VERDE - USO E CONSUMO</v>
      </c>
      <c r="D1010" s="33" t="n">
        <f aca="false">'Uso e Consumo'!C1010</f>
        <v>1067227</v>
      </c>
      <c r="E1010" s="34" t="str">
        <f aca="false">'Uso e Consumo'!D1010</f>
        <v>26.01.0114</v>
      </c>
      <c r="F1010" s="34" t="str">
        <f aca="false">'Uso e Consumo'!E1010</f>
        <v>BLUSÃO PARA OPERADOR DE MOTOSERRA</v>
      </c>
      <c r="G1010" s="34" t="str">
        <f aca="false">'Uso e Consumo'!J1010</f>
        <v>UN</v>
      </c>
      <c r="H1010" s="49" t="n">
        <f aca="false">'Uso e Consumo'!F1010</f>
        <v>4</v>
      </c>
      <c r="I1010" s="35" t="n">
        <f aca="false">'Uso e Consumo'!G1010</f>
        <v>950.8</v>
      </c>
      <c r="J1010" s="34" t="str">
        <f aca="false">'Uso e Consumo'!M1010</f>
        <v>4.3.4.001 - Equipamento de proteção individual</v>
      </c>
      <c r="K1010" s="32" t="str">
        <f aca="false">INDEX('Curva ABC'!$K$8:$K$2847,MATCH(D1010,'Curva ABC'!$B$8:$B$2847,0))</f>
        <v>C</v>
      </c>
    </row>
    <row r="1011" customFormat="false" ht="15" hidden="false" customHeight="false" outlineLevel="0" collapsed="false">
      <c r="A1011" s="34" t="s">
        <v>5799</v>
      </c>
      <c r="B1011" s="34" t="str">
        <f aca="false">'Uso e Consumo'!A1011</f>
        <v>0335</v>
      </c>
      <c r="C1011" s="34" t="str">
        <f aca="false">'Uso e Consumo'!B1011</f>
        <v>UFV NORONHA VERDE - USO E CONSUMO</v>
      </c>
      <c r="D1011" s="33" t="n">
        <f aca="false">'Uso e Consumo'!C1011</f>
        <v>137812</v>
      </c>
      <c r="E1011" s="34" t="str">
        <f aca="false">'Uso e Consumo'!D1011</f>
        <v>26.04.0035</v>
      </c>
      <c r="F1011" s="34" t="str">
        <f aca="false">'Uso e Consumo'!E1011</f>
        <v>CINTO PARAQUEDISTA 2 PONTOS DE ANCORAGEM (PEITO E COSTAS)</v>
      </c>
      <c r="G1011" s="34" t="str">
        <f aca="false">'Uso e Consumo'!J1011</f>
        <v>UN</v>
      </c>
      <c r="H1011" s="49" t="n">
        <f aca="false">'Uso e Consumo'!F1011</f>
        <v>10</v>
      </c>
      <c r="I1011" s="35" t="n">
        <f aca="false">'Uso e Consumo'!G1011</f>
        <v>950</v>
      </c>
      <c r="J1011" s="34" t="str">
        <f aca="false">'Uso e Consumo'!M1011</f>
        <v>4.3.4.001 - Equipamento de proteção individual</v>
      </c>
      <c r="K1011" s="32" t="str">
        <f aca="false">INDEX('Curva ABC'!$K$8:$K$2847,MATCH(D1011,'Curva ABC'!$B$8:$B$2847,0))</f>
        <v>C</v>
      </c>
    </row>
    <row r="1012" customFormat="false" ht="15" hidden="false" customHeight="false" outlineLevel="0" collapsed="false">
      <c r="A1012" s="34" t="s">
        <v>5799</v>
      </c>
      <c r="B1012" s="34" t="str">
        <f aca="false">'Uso e Consumo'!A1012</f>
        <v>0335</v>
      </c>
      <c r="C1012" s="34" t="str">
        <f aca="false">'Uso e Consumo'!B1012</f>
        <v>UFV NORONHA VERDE - USO E CONSUMO</v>
      </c>
      <c r="D1012" s="33" t="n">
        <f aca="false">'Uso e Consumo'!C1012</f>
        <v>18841</v>
      </c>
      <c r="E1012" s="34" t="str">
        <f aca="false">'Uso e Consumo'!D1012</f>
        <v>26.03.0001</v>
      </c>
      <c r="F1012" s="34" t="str">
        <f aca="false">'Uso e Consumo'!E1012</f>
        <v>CAPACETE COM ABA TOTAL (TIPO I) C/ CARNEIRA - COR VERMELHA (CA-365)</v>
      </c>
      <c r="G1012" s="34" t="str">
        <f aca="false">'Uso e Consumo'!J1012</f>
        <v>UN</v>
      </c>
      <c r="H1012" s="49" t="n">
        <f aca="false">'Uso e Consumo'!F1012</f>
        <v>18</v>
      </c>
      <c r="I1012" s="35" t="n">
        <f aca="false">'Uso e Consumo'!G1012</f>
        <v>949.01</v>
      </c>
      <c r="J1012" s="34" t="str">
        <f aca="false">'Uso e Consumo'!M1012</f>
        <v>4.3.4.001 - Equipamento de proteção individual</v>
      </c>
      <c r="K1012" s="32" t="str">
        <f aca="false">INDEX('Curva ABC'!$K$8:$K$2847,MATCH(D1012,'Curva ABC'!$B$8:$B$2847,0))</f>
        <v>C</v>
      </c>
    </row>
    <row r="1013" customFormat="false" ht="15" hidden="false" customHeight="false" outlineLevel="0" collapsed="false">
      <c r="A1013" s="34" t="s">
        <v>5799</v>
      </c>
      <c r="B1013" s="34" t="str">
        <f aca="false">'Uso e Consumo'!A1013</f>
        <v>0335</v>
      </c>
      <c r="C1013" s="34" t="str">
        <f aca="false">'Uso e Consumo'!B1013</f>
        <v>UFV NORONHA VERDE - USO E CONSUMO</v>
      </c>
      <c r="D1013" s="33" t="n">
        <f aca="false">'Uso e Consumo'!C1013</f>
        <v>749915</v>
      </c>
      <c r="E1013" s="34" t="str">
        <f aca="false">'Uso e Consumo'!D1013</f>
        <v>24.13.0027</v>
      </c>
      <c r="F1013" s="34" t="str">
        <f aca="false">'Uso e Consumo'!E1013</f>
        <v>LIMA CHATA 150X16X2,7 MM - STHIL</v>
      </c>
      <c r="G1013" s="34" t="str">
        <f aca="false">'Uso e Consumo'!J1013</f>
        <v>UN</v>
      </c>
      <c r="H1013" s="49" t="n">
        <f aca="false">'Uso e Consumo'!F1013</f>
        <v>42</v>
      </c>
      <c r="I1013" s="35" t="n">
        <f aca="false">'Uso e Consumo'!G1013</f>
        <v>945.99</v>
      </c>
      <c r="J1013" s="34" t="str">
        <f aca="false">'Uso e Consumo'!M1013</f>
        <v>3.8.2.002 - Ferramentas manuais</v>
      </c>
      <c r="K1013" s="32" t="str">
        <f aca="false">INDEX('Curva ABC'!$K$8:$K$2847,MATCH(D1013,'Curva ABC'!$B$8:$B$2847,0))</f>
        <v>C</v>
      </c>
    </row>
    <row r="1014" customFormat="false" ht="15" hidden="false" customHeight="false" outlineLevel="0" collapsed="false">
      <c r="A1014" s="34" t="s">
        <v>5799</v>
      </c>
      <c r="B1014" s="34" t="str">
        <f aca="false">'Uso e Consumo'!A1014</f>
        <v>0335</v>
      </c>
      <c r="C1014" s="34" t="str">
        <f aca="false">'Uso e Consumo'!B1014</f>
        <v>UFV NORONHA VERDE - USO E CONSUMO</v>
      </c>
      <c r="D1014" s="33" t="n">
        <f aca="false">'Uso e Consumo'!C1014</f>
        <v>225277</v>
      </c>
      <c r="E1014" s="34" t="str">
        <f aca="false">'Uso e Consumo'!D1014</f>
        <v>17.20.0278</v>
      </c>
      <c r="F1014" s="34" t="str">
        <f aca="false">'Uso e Consumo'!E1014</f>
        <v>MOLDE PARA SOLDA EXOTÉRMICA - CABO 70MM2 X HASTE 3/4" "X"</v>
      </c>
      <c r="G1014" s="34" t="str">
        <f aca="false">'Uso e Consumo'!J1014</f>
        <v>UN</v>
      </c>
      <c r="H1014" s="49" t="n">
        <f aca="false">'Uso e Consumo'!F1014</f>
        <v>3</v>
      </c>
      <c r="I1014" s="35" t="n">
        <f aca="false">'Uso e Consumo'!G1014</f>
        <v>945.66</v>
      </c>
      <c r="J1014" s="34" t="str">
        <f aca="false">'Uso e Consumo'!M1014</f>
        <v>3.8.1.017 - Instalações elétricas/telefônicas/lógica</v>
      </c>
      <c r="K1014" s="32" t="str">
        <f aca="false">INDEX('Curva ABC'!$K$8:$K$2847,MATCH(D1014,'Curva ABC'!$B$8:$B$2847,0))</f>
        <v>C</v>
      </c>
    </row>
    <row r="1015" customFormat="false" ht="15" hidden="false" customHeight="false" outlineLevel="0" collapsed="false">
      <c r="A1015" s="34" t="s">
        <v>5799</v>
      </c>
      <c r="B1015" s="34" t="str">
        <f aca="false">'Uso e Consumo'!A1015</f>
        <v>0335</v>
      </c>
      <c r="C1015" s="34" t="str">
        <f aca="false">'Uso e Consumo'!B1015</f>
        <v>UFV NORONHA VERDE - USO E CONSUMO</v>
      </c>
      <c r="D1015" s="33" t="n">
        <f aca="false">'Uso e Consumo'!C1015</f>
        <v>1385185</v>
      </c>
      <c r="E1015" s="34" t="str">
        <f aca="false">'Uso e Consumo'!D1015</f>
        <v>17.01.1223</v>
      </c>
      <c r="F1015" s="34" t="str">
        <f aca="false">'Uso e Consumo'!E1015</f>
        <v>CABO MONOPOLAR 2,5 MM², CONDUTOR EM COBRE ELETROLÍTICO NU, TÊMPERA MOLE, CLASSE 5, TENSÃO 750 V,  COR VERDE</v>
      </c>
      <c r="G1015" s="34" t="str">
        <f aca="false">'Uso e Consumo'!J1015</f>
        <v>M</v>
      </c>
      <c r="H1015" s="49" t="n">
        <f aca="false">'Uso e Consumo'!F1015</f>
        <v>297</v>
      </c>
      <c r="I1015" s="35" t="n">
        <f aca="false">'Uso e Consumo'!G1015</f>
        <v>941.96</v>
      </c>
      <c r="J1015" s="34" t="str">
        <f aca="false">'Uso e Consumo'!M1015</f>
        <v>3.8.1.017 - Instalações elétricas/telefônicas/lógica</v>
      </c>
      <c r="K1015" s="32" t="str">
        <f aca="false">INDEX('Curva ABC'!$K$8:$K$2847,MATCH(D1015,'Curva ABC'!$B$8:$B$2847,0))</f>
        <v>C</v>
      </c>
    </row>
    <row r="1016" customFormat="false" ht="15" hidden="false" customHeight="false" outlineLevel="0" collapsed="false">
      <c r="A1016" s="34" t="s">
        <v>5799</v>
      </c>
      <c r="B1016" s="34" t="str">
        <f aca="false">'Uso e Consumo'!A1016</f>
        <v>0335</v>
      </c>
      <c r="C1016" s="34" t="str">
        <f aca="false">'Uso e Consumo'!B1016</f>
        <v>UFV NORONHA VERDE - USO E CONSUMO</v>
      </c>
      <c r="D1016" s="33" t="n">
        <f aca="false">'Uso e Consumo'!C1016</f>
        <v>1013784</v>
      </c>
      <c r="E1016" s="34" t="str">
        <f aca="false">'Uso e Consumo'!D1016</f>
        <v>17.12.0476</v>
      </c>
      <c r="F1016" s="34" t="str">
        <f aca="false">'Uso e Consumo'!E1016</f>
        <v>TOMADA DUPLA PARA CONDULETE 1"</v>
      </c>
      <c r="G1016" s="34" t="str">
        <f aca="false">'Uso e Consumo'!J1016</f>
        <v>UN</v>
      </c>
      <c r="H1016" s="49" t="n">
        <f aca="false">'Uso e Consumo'!F1016</f>
        <v>66</v>
      </c>
      <c r="I1016" s="35" t="n">
        <f aca="false">'Uso e Consumo'!G1016</f>
        <v>939.84</v>
      </c>
      <c r="J1016" s="34" t="str">
        <f aca="false">'Uso e Consumo'!M1016</f>
        <v>3.8.1.017 - Instalações elétricas/telefônicas/lógica</v>
      </c>
      <c r="K1016" s="32" t="str">
        <f aca="false">INDEX('Curva ABC'!$K$8:$K$2847,MATCH(D1016,'Curva ABC'!$B$8:$B$2847,0))</f>
        <v>C</v>
      </c>
    </row>
    <row r="1017" customFormat="false" ht="15" hidden="false" customHeight="false" outlineLevel="0" collapsed="false">
      <c r="A1017" s="34" t="s">
        <v>5799</v>
      </c>
      <c r="B1017" s="34" t="str">
        <f aca="false">'Uso e Consumo'!A1017</f>
        <v>0335</v>
      </c>
      <c r="C1017" s="34" t="str">
        <f aca="false">'Uso e Consumo'!B1017</f>
        <v>UFV NORONHA VERDE - USO E CONSUMO</v>
      </c>
      <c r="D1017" s="33" t="n">
        <f aca="false">'Uso e Consumo'!C1017</f>
        <v>24101</v>
      </c>
      <c r="E1017" s="34" t="str">
        <f aca="false">'Uso e Consumo'!D1017</f>
        <v>30.03.0149</v>
      </c>
      <c r="F1017" s="34" t="str">
        <f aca="false">'Uso e Consumo'!E1017</f>
        <v>AMACIANTE PARA ROUPAS 1L</v>
      </c>
      <c r="G1017" s="34" t="str">
        <f aca="false">'Uso e Consumo'!J1017</f>
        <v>UN</v>
      </c>
      <c r="H1017" s="49" t="n">
        <f aca="false">'Uso e Consumo'!F1017</f>
        <v>50</v>
      </c>
      <c r="I1017" s="35" t="n">
        <f aca="false">'Uso e Consumo'!G1017</f>
        <v>938.863</v>
      </c>
      <c r="J1017" s="34" t="str">
        <f aca="false">'Uso e Consumo'!M1017</f>
        <v>4.1.1.001 - Material de uso e consumo</v>
      </c>
      <c r="K1017" s="32" t="str">
        <f aca="false">INDEX('Curva ABC'!$K$8:$K$2847,MATCH(D1017,'Curva ABC'!$B$8:$B$2847,0))</f>
        <v>C</v>
      </c>
    </row>
    <row r="1018" customFormat="false" ht="15" hidden="false" customHeight="false" outlineLevel="0" collapsed="false">
      <c r="A1018" s="34" t="s">
        <v>5799</v>
      </c>
      <c r="B1018" s="34" t="str">
        <f aca="false">'Uso e Consumo'!A1018</f>
        <v>0335</v>
      </c>
      <c r="C1018" s="34" t="str">
        <f aca="false">'Uso e Consumo'!B1018</f>
        <v>UFV NORONHA VERDE - USO E CONSUMO</v>
      </c>
      <c r="D1018" s="33" t="n">
        <f aca="false">'Uso e Consumo'!C1018</f>
        <v>884887</v>
      </c>
      <c r="E1018" s="34" t="str">
        <f aca="false">'Uso e Consumo'!D1018</f>
        <v>26.06.0123</v>
      </c>
      <c r="F1018" s="34" t="str">
        <f aca="false">'Uso e Consumo'!E1018</f>
        <v>LUVA DE VAQUETA CANO LONGO</v>
      </c>
      <c r="G1018" s="34" t="str">
        <f aca="false">'Uso e Consumo'!J1018</f>
        <v>PAR</v>
      </c>
      <c r="H1018" s="49" t="n">
        <f aca="false">'Uso e Consumo'!F1018</f>
        <v>40</v>
      </c>
      <c r="I1018" s="35" t="n">
        <f aca="false">'Uso e Consumo'!G1018</f>
        <v>937.7</v>
      </c>
      <c r="J1018" s="34" t="str">
        <f aca="false">'Uso e Consumo'!M1018</f>
        <v>4.3.4.001 - Equipamento de proteção individual</v>
      </c>
      <c r="K1018" s="32" t="str">
        <f aca="false">INDEX('Curva ABC'!$K$8:$K$2847,MATCH(D1018,'Curva ABC'!$B$8:$B$2847,0))</f>
        <v>C</v>
      </c>
    </row>
    <row r="1019" customFormat="false" ht="15" hidden="false" customHeight="false" outlineLevel="0" collapsed="false">
      <c r="A1019" s="34" t="s">
        <v>5799</v>
      </c>
      <c r="B1019" s="34" t="str">
        <f aca="false">'Uso e Consumo'!A1019</f>
        <v>0335</v>
      </c>
      <c r="C1019" s="34" t="str">
        <f aca="false">'Uso e Consumo'!B1019</f>
        <v>UFV NORONHA VERDE - USO E CONSUMO</v>
      </c>
      <c r="D1019" s="33" t="n">
        <f aca="false">'Uso e Consumo'!C1019</f>
        <v>56536</v>
      </c>
      <c r="E1019" s="34" t="str">
        <f aca="false">'Uso e Consumo'!D1019</f>
        <v>16.03.0184</v>
      </c>
      <c r="F1019" s="34" t="str">
        <f aca="false">'Uso e Consumo'!E1019</f>
        <v>TINTA SPRAY VERMELHO 400ML NBR 11702</v>
      </c>
      <c r="G1019" s="34" t="str">
        <f aca="false">'Uso e Consumo'!J1019</f>
        <v>UN</v>
      </c>
      <c r="H1019" s="49" t="n">
        <f aca="false">'Uso e Consumo'!F1019</f>
        <v>32</v>
      </c>
      <c r="I1019" s="35" t="n">
        <f aca="false">'Uso e Consumo'!G1019</f>
        <v>936</v>
      </c>
      <c r="J1019" s="34" t="str">
        <f aca="false">'Uso e Consumo'!M1019</f>
        <v>3.8.1.016 - Pinturas</v>
      </c>
      <c r="K1019" s="32" t="str">
        <f aca="false">INDEX('Curva ABC'!$K$8:$K$2847,MATCH(D1019,'Curva ABC'!$B$8:$B$2847,0))</f>
        <v>C</v>
      </c>
    </row>
    <row r="1020" customFormat="false" ht="15" hidden="false" customHeight="false" outlineLevel="0" collapsed="false">
      <c r="A1020" s="34" t="s">
        <v>5799</v>
      </c>
      <c r="B1020" s="34" t="str">
        <f aca="false">'Uso e Consumo'!A1020</f>
        <v>0335</v>
      </c>
      <c r="C1020" s="34" t="str">
        <f aca="false">'Uso e Consumo'!B1020</f>
        <v>UFV NORONHA VERDE - USO E CONSUMO</v>
      </c>
      <c r="D1020" s="33" t="n">
        <f aca="false">'Uso e Consumo'!C1020</f>
        <v>65207</v>
      </c>
      <c r="E1020" s="34" t="str">
        <f aca="false">'Uso e Consumo'!D1020</f>
        <v>26.01.0017</v>
      </c>
      <c r="F1020" s="34" t="str">
        <f aca="false">'Uso e Consumo'!E1020</f>
        <v>MACACÃO TIPO JARDINEIRA TAM. GG C/ BOTA IMPERMEABILIZANTE Nº43</v>
      </c>
      <c r="G1020" s="34" t="str">
        <f aca="false">'Uso e Consumo'!J1020</f>
        <v>UN</v>
      </c>
      <c r="H1020" s="49" t="n">
        <f aca="false">'Uso e Consumo'!F1020</f>
        <v>6</v>
      </c>
      <c r="I1020" s="35" t="n">
        <f aca="false">'Uso e Consumo'!G1020</f>
        <v>936</v>
      </c>
      <c r="J1020" s="34" t="str">
        <f aca="false">'Uso e Consumo'!M1020</f>
        <v>4.3.4.001 - Equipamento de proteção individual</v>
      </c>
      <c r="K1020" s="32" t="str">
        <f aca="false">INDEX('Curva ABC'!$K$8:$K$2847,MATCH(D1020,'Curva ABC'!$B$8:$B$2847,0))</f>
        <v>C</v>
      </c>
    </row>
    <row r="1021" customFormat="false" ht="15" hidden="false" customHeight="false" outlineLevel="0" collapsed="false">
      <c r="A1021" s="34" t="s">
        <v>5799</v>
      </c>
      <c r="B1021" s="34" t="str">
        <f aca="false">'Uso e Consumo'!A1021</f>
        <v>0335</v>
      </c>
      <c r="C1021" s="34" t="str">
        <f aca="false">'Uso e Consumo'!B1021</f>
        <v>UFV NORONHA VERDE - USO E CONSUMO</v>
      </c>
      <c r="D1021" s="33" t="n">
        <f aca="false">'Uso e Consumo'!C1021</f>
        <v>136667</v>
      </c>
      <c r="E1021" s="34" t="str">
        <f aca="false">'Uso e Consumo'!D1021</f>
        <v>26.01.0021</v>
      </c>
      <c r="F1021" s="34" t="str">
        <f aca="false">'Uso e Consumo'!E1021</f>
        <v>MACACÃO TIPO JARDINEIRA TAM. GG C/ BOTA IMPERMEABILIZANTE Nº44</v>
      </c>
      <c r="G1021" s="34" t="str">
        <f aca="false">'Uso e Consumo'!J1021</f>
        <v>UN</v>
      </c>
      <c r="H1021" s="49" t="n">
        <f aca="false">'Uso e Consumo'!F1021</f>
        <v>6</v>
      </c>
      <c r="I1021" s="35" t="n">
        <f aca="false">'Uso e Consumo'!G1021</f>
        <v>936</v>
      </c>
      <c r="J1021" s="34" t="str">
        <f aca="false">'Uso e Consumo'!M1021</f>
        <v>4.3.4.001 - Equipamento de proteção individual</v>
      </c>
      <c r="K1021" s="32" t="str">
        <f aca="false">INDEX('Curva ABC'!$K$8:$K$2847,MATCH(D1021,'Curva ABC'!$B$8:$B$2847,0))</f>
        <v>C</v>
      </c>
    </row>
    <row r="1022" customFormat="false" ht="15" hidden="false" customHeight="false" outlineLevel="0" collapsed="false">
      <c r="A1022" s="34" t="s">
        <v>5799</v>
      </c>
      <c r="B1022" s="34" t="str">
        <f aca="false">'Uso e Consumo'!A1022</f>
        <v>0335</v>
      </c>
      <c r="C1022" s="34" t="str">
        <f aca="false">'Uso e Consumo'!B1022</f>
        <v>UFV NORONHA VERDE - USO E CONSUMO</v>
      </c>
      <c r="D1022" s="33" t="n">
        <f aca="false">'Uso e Consumo'!C1022</f>
        <v>839824</v>
      </c>
      <c r="E1022" s="34" t="str">
        <f aca="false">'Uso e Consumo'!D1022</f>
        <v>17.02.0689</v>
      </c>
      <c r="F1022" s="34" t="str">
        <f aca="false">'Uso e Consumo'!E1022</f>
        <v>ELETRODUTO PEAD 4" (DN110)</v>
      </c>
      <c r="G1022" s="34" t="str">
        <f aca="false">'Uso e Consumo'!J1022</f>
        <v>M</v>
      </c>
      <c r="H1022" s="49" t="n">
        <f aca="false">'Uso e Consumo'!F1022</f>
        <v>50</v>
      </c>
      <c r="I1022" s="35" t="n">
        <f aca="false">'Uso e Consumo'!G1022</f>
        <v>929.5</v>
      </c>
      <c r="J1022" s="34" t="str">
        <f aca="false">'Uso e Consumo'!M1022</f>
        <v>3.8.1.017 - Instalações elétricas/telefônicas/lógica</v>
      </c>
      <c r="K1022" s="32" t="str">
        <f aca="false">INDEX('Curva ABC'!$K$8:$K$2847,MATCH(D1022,'Curva ABC'!$B$8:$B$2847,0))</f>
        <v>C</v>
      </c>
    </row>
    <row r="1023" customFormat="false" ht="15" hidden="false" customHeight="false" outlineLevel="0" collapsed="false">
      <c r="A1023" s="34" t="s">
        <v>5799</v>
      </c>
      <c r="B1023" s="34" t="str">
        <f aca="false">'Uso e Consumo'!A1023</f>
        <v>0335</v>
      </c>
      <c r="C1023" s="34" t="str">
        <f aca="false">'Uso e Consumo'!B1023</f>
        <v>UFV NORONHA VERDE - USO E CONSUMO</v>
      </c>
      <c r="D1023" s="33" t="n">
        <f aca="false">'Uso e Consumo'!C1023</f>
        <v>18134</v>
      </c>
      <c r="E1023" s="34" t="str">
        <f aca="false">'Uso e Consumo'!D1023</f>
        <v>24.15.0019</v>
      </c>
      <c r="F1023" s="34" t="str">
        <f aca="false">'Uso e Consumo'!E1023</f>
        <v>MARTELO UNHA AÇO CARBONO JATEADO / ENVERNIZADO 29,00MM CABO MADEIRA ENVERNIZADO</v>
      </c>
      <c r="G1023" s="34" t="str">
        <f aca="false">'Uso e Consumo'!J1023</f>
        <v>UN</v>
      </c>
      <c r="H1023" s="49" t="n">
        <f aca="false">'Uso e Consumo'!F1023</f>
        <v>14</v>
      </c>
      <c r="I1023" s="35" t="n">
        <f aca="false">'Uso e Consumo'!G1023</f>
        <v>924</v>
      </c>
      <c r="J1023" s="34" t="str">
        <f aca="false">'Uso e Consumo'!M1023</f>
        <v>3.8.2.002 - Ferramentas manuais</v>
      </c>
      <c r="K1023" s="32" t="str">
        <f aca="false">INDEX('Curva ABC'!$K$8:$K$2847,MATCH(D1023,'Curva ABC'!$B$8:$B$2847,0))</f>
        <v>C</v>
      </c>
    </row>
    <row r="1024" customFormat="false" ht="15" hidden="false" customHeight="false" outlineLevel="0" collapsed="false">
      <c r="A1024" s="34" t="s">
        <v>5799</v>
      </c>
      <c r="B1024" s="34" t="str">
        <f aca="false">'Uso e Consumo'!A1024</f>
        <v>0335</v>
      </c>
      <c r="C1024" s="34" t="str">
        <f aca="false">'Uso e Consumo'!B1024</f>
        <v>UFV NORONHA VERDE - USO E CONSUMO</v>
      </c>
      <c r="D1024" s="33" t="n">
        <f aca="false">'Uso e Consumo'!C1024</f>
        <v>1327961</v>
      </c>
      <c r="E1024" s="34" t="str">
        <f aca="false">'Uso e Consumo'!D1024</f>
        <v>08.02.0076</v>
      </c>
      <c r="F1024" s="34" t="str">
        <f aca="false">'Uso e Consumo'!E1024</f>
        <v>BLOCO T 54X14X19 FCK MAIOR OU IGUAL 6MPA</v>
      </c>
      <c r="G1024" s="34" t="str">
        <f aca="false">'Uso e Consumo'!J1024</f>
        <v>UN</v>
      </c>
      <c r="H1024" s="49" t="n">
        <f aca="false">'Uso e Consumo'!F1024</f>
        <v>58</v>
      </c>
      <c r="I1024" s="35" t="n">
        <f aca="false">'Uso e Consumo'!G1024</f>
        <v>922.24</v>
      </c>
      <c r="J1024" s="34" t="str">
        <f aca="false">'Uso e Consumo'!M1024</f>
        <v>3.8.1.018 - Instalações hidráulicas/sanitárias/industriais</v>
      </c>
      <c r="K1024" s="32" t="str">
        <f aca="false">INDEX('Curva ABC'!$K$8:$K$2847,MATCH(D1024,'Curva ABC'!$B$8:$B$2847,0))</f>
        <v>C</v>
      </c>
    </row>
    <row r="1025" customFormat="false" ht="15" hidden="false" customHeight="false" outlineLevel="0" collapsed="false">
      <c r="A1025" s="34" t="s">
        <v>5799</v>
      </c>
      <c r="B1025" s="34" t="str">
        <f aca="false">'Uso e Consumo'!A1025</f>
        <v>0335</v>
      </c>
      <c r="C1025" s="34" t="str">
        <f aca="false">'Uso e Consumo'!B1025</f>
        <v>UFV NORONHA VERDE - USO E CONSUMO</v>
      </c>
      <c r="D1025" s="33" t="n">
        <f aca="false">'Uso e Consumo'!C1025</f>
        <v>1385179</v>
      </c>
      <c r="E1025" s="34" t="str">
        <f aca="false">'Uso e Consumo'!D1025</f>
        <v>17.01.1220</v>
      </c>
      <c r="F1025" s="34" t="str">
        <f aca="false">'Uso e Consumo'!E1025</f>
        <v>CABO MONOPOLAR 2,5 MM², CONDUTOR EM COBRE ELETROLÍTICO NU, TÊMPERA MOLE, CLASSE 5, TENSÃO 750 V, COR VERMELHO</v>
      </c>
      <c r="G1025" s="34" t="str">
        <f aca="false">'Uso e Consumo'!J1025</f>
        <v>M</v>
      </c>
      <c r="H1025" s="49" t="n">
        <f aca="false">'Uso e Consumo'!F1025</f>
        <v>245</v>
      </c>
      <c r="I1025" s="35" t="n">
        <f aca="false">'Uso e Consumo'!G1025</f>
        <v>911.8</v>
      </c>
      <c r="J1025" s="34" t="str">
        <f aca="false">'Uso e Consumo'!M1025</f>
        <v>3.8.1.017 - Instalações elétricas/telefônicas/lógica</v>
      </c>
      <c r="K1025" s="32" t="str">
        <f aca="false">INDEX('Curva ABC'!$K$8:$K$2847,MATCH(D1025,'Curva ABC'!$B$8:$B$2847,0))</f>
        <v>C</v>
      </c>
    </row>
    <row r="1026" customFormat="false" ht="15" hidden="false" customHeight="false" outlineLevel="0" collapsed="false">
      <c r="A1026" s="34" t="s">
        <v>5799</v>
      </c>
      <c r="B1026" s="34" t="str">
        <f aca="false">'Uso e Consumo'!A1026</f>
        <v>0335</v>
      </c>
      <c r="C1026" s="34" t="str">
        <f aca="false">'Uso e Consumo'!B1026</f>
        <v>UFV NORONHA VERDE - USO E CONSUMO</v>
      </c>
      <c r="D1026" s="33" t="n">
        <f aca="false">'Uso e Consumo'!C1026</f>
        <v>1380122</v>
      </c>
      <c r="E1026" s="34" t="str">
        <f aca="false">'Uso e Consumo'!D1026</f>
        <v>17.20.0680</v>
      </c>
      <c r="F1026" s="34" t="str">
        <f aca="false">'Uso e Consumo'!E1026</f>
        <v>MOLDE EM GRAFITE PARA SOLDA EXOTÉRMICA, PARA CONEX. DE CABO DE COBRE 50 MM² HASTE DE ATERRAMENTO EM AÇO COBREADO Ø 3/4"</v>
      </c>
      <c r="G1026" s="34" t="str">
        <f aca="false">'Uso e Consumo'!J1026</f>
        <v>UN</v>
      </c>
      <c r="H1026" s="49" t="n">
        <f aca="false">'Uso e Consumo'!F1026</f>
        <v>3</v>
      </c>
      <c r="I1026" s="35" t="n">
        <f aca="false">'Uso e Consumo'!G1026</f>
        <v>908.44</v>
      </c>
      <c r="J1026" s="34" t="str">
        <f aca="false">'Uso e Consumo'!M1026</f>
        <v>3.8.1.017 - Instalações elétricas/telefônicas/lógica</v>
      </c>
      <c r="K1026" s="32" t="str">
        <f aca="false">INDEX('Curva ABC'!$K$8:$K$2847,MATCH(D1026,'Curva ABC'!$B$8:$B$2847,0))</f>
        <v>C</v>
      </c>
    </row>
    <row r="1027" customFormat="false" ht="15" hidden="false" customHeight="false" outlineLevel="0" collapsed="false">
      <c r="A1027" s="34" t="s">
        <v>5799</v>
      </c>
      <c r="B1027" s="34" t="str">
        <f aca="false">'Uso e Consumo'!A1027</f>
        <v>0335</v>
      </c>
      <c r="C1027" s="34" t="str">
        <f aca="false">'Uso e Consumo'!B1027</f>
        <v>UFV NORONHA VERDE - USO E CONSUMO</v>
      </c>
      <c r="D1027" s="33" t="n">
        <f aca="false">'Uso e Consumo'!C1027</f>
        <v>1319427</v>
      </c>
      <c r="E1027" s="34" t="str">
        <f aca="false">'Uso e Consumo'!D1027</f>
        <v>28.01.0717</v>
      </c>
      <c r="F1027" s="34" t="str">
        <f aca="false">'Uso e Consumo'!E1027</f>
        <v>PLACA DE SINALIZAÇÃO 80X66CM - CHAPA DE ZINCO - COM BARROTE</v>
      </c>
      <c r="G1027" s="34" t="str">
        <f aca="false">'Uso e Consumo'!J1027</f>
        <v>UN</v>
      </c>
      <c r="H1027" s="49" t="n">
        <f aca="false">'Uso e Consumo'!F1027</f>
        <v>4</v>
      </c>
      <c r="I1027" s="35" t="n">
        <f aca="false">'Uso e Consumo'!G1027</f>
        <v>907.36</v>
      </c>
      <c r="J1027" s="34" t="str">
        <f aca="false">'Uso e Consumo'!M1027</f>
        <v>3.8.1.023 - Comunicação visual e sinalização</v>
      </c>
      <c r="K1027" s="32" t="str">
        <f aca="false">INDEX('Curva ABC'!$K$8:$K$2847,MATCH(D1027,'Curva ABC'!$B$8:$B$2847,0))</f>
        <v>C</v>
      </c>
    </row>
    <row r="1028" customFormat="false" ht="15" hidden="false" customHeight="false" outlineLevel="0" collapsed="false">
      <c r="A1028" s="34" t="s">
        <v>5799</v>
      </c>
      <c r="B1028" s="34" t="str">
        <f aca="false">'Uso e Consumo'!A1028</f>
        <v>0335</v>
      </c>
      <c r="C1028" s="34" t="str">
        <f aca="false">'Uso e Consumo'!B1028</f>
        <v>UFV NORONHA VERDE - USO E CONSUMO</v>
      </c>
      <c r="D1028" s="33" t="n">
        <f aca="false">'Uso e Consumo'!C1028</f>
        <v>18845</v>
      </c>
      <c r="E1028" s="34" t="str">
        <f aca="false">'Uso e Consumo'!D1028</f>
        <v>26.03.0005</v>
      </c>
      <c r="F1028" s="34" t="str">
        <f aca="false">'Uso e Consumo'!E1028</f>
        <v>CAPACETE COM ABA FRONTAL (TIPO II) C/ CARNEIRA - COR AZUL (CA-8562/25856/29792)</v>
      </c>
      <c r="G1028" s="34" t="str">
        <f aca="false">'Uso e Consumo'!J1028</f>
        <v>UN</v>
      </c>
      <c r="H1028" s="49" t="n">
        <f aca="false">'Uso e Consumo'!F1028</f>
        <v>94</v>
      </c>
      <c r="I1028" s="35" t="n">
        <f aca="false">'Uso e Consumo'!G1028</f>
        <v>906.49</v>
      </c>
      <c r="J1028" s="34" t="str">
        <f aca="false">'Uso e Consumo'!M1028</f>
        <v>4.3.4.001 - Equipamento de proteção individual</v>
      </c>
      <c r="K1028" s="32" t="str">
        <f aca="false">INDEX('Curva ABC'!$K$8:$K$2847,MATCH(D1028,'Curva ABC'!$B$8:$B$2847,0))</f>
        <v>C</v>
      </c>
    </row>
    <row r="1029" customFormat="false" ht="15" hidden="false" customHeight="false" outlineLevel="0" collapsed="false">
      <c r="A1029" s="34" t="s">
        <v>5799</v>
      </c>
      <c r="B1029" s="34" t="str">
        <f aca="false">'Uso e Consumo'!A1029</f>
        <v>0335</v>
      </c>
      <c r="C1029" s="34" t="str">
        <f aca="false">'Uso e Consumo'!B1029</f>
        <v>UFV NORONHA VERDE - USO E CONSUMO</v>
      </c>
      <c r="D1029" s="33" t="n">
        <f aca="false">'Uso e Consumo'!C1029</f>
        <v>559856</v>
      </c>
      <c r="E1029" s="34" t="str">
        <f aca="false">'Uso e Consumo'!D1029</f>
        <v>17.20.0451</v>
      </c>
      <c r="F1029" s="34" t="str">
        <f aca="false">'Uso e Consumo'!E1029</f>
        <v>MOLDE PARA SOLDA EXOTÉRMICA TIPO "T" NA HORIZONTAL ENTRE CABOS 70MM² FASTWELD T1C-7070</v>
      </c>
      <c r="G1029" s="34" t="str">
        <f aca="false">'Uso e Consumo'!J1029</f>
        <v>UN</v>
      </c>
      <c r="H1029" s="49" t="n">
        <f aca="false">'Uso e Consumo'!F1029</f>
        <v>5</v>
      </c>
      <c r="I1029" s="35" t="n">
        <f aca="false">'Uso e Consumo'!G1029</f>
        <v>902.12</v>
      </c>
      <c r="J1029" s="34" t="str">
        <f aca="false">'Uso e Consumo'!M1029</f>
        <v>3.8.1.001 - Aços e trefilados</v>
      </c>
      <c r="K1029" s="32" t="str">
        <f aca="false">INDEX('Curva ABC'!$K$8:$K$2847,MATCH(D1029,'Curva ABC'!$B$8:$B$2847,0))</f>
        <v>C</v>
      </c>
    </row>
    <row r="1030" customFormat="false" ht="15" hidden="false" customHeight="false" outlineLevel="0" collapsed="false">
      <c r="A1030" s="34" t="s">
        <v>5799</v>
      </c>
      <c r="B1030" s="34" t="str">
        <f aca="false">'Uso e Consumo'!A1030</f>
        <v>0335</v>
      </c>
      <c r="C1030" s="34" t="str">
        <f aca="false">'Uso e Consumo'!B1030</f>
        <v>UFV NORONHA VERDE - USO E CONSUMO</v>
      </c>
      <c r="D1030" s="33" t="n">
        <f aca="false">'Uso e Consumo'!C1030</f>
        <v>219548</v>
      </c>
      <c r="E1030" s="34" t="str">
        <f aca="false">'Uso e Consumo'!D1030</f>
        <v>17.01.0702</v>
      </c>
      <c r="F1030" s="34" t="str">
        <f aca="false">'Uso e Consumo'!E1030</f>
        <v>CABO DE COBRE NU 35MM2 7 FIOS</v>
      </c>
      <c r="G1030" s="34" t="str">
        <f aca="false">'Uso e Consumo'!J1030</f>
        <v>M</v>
      </c>
      <c r="H1030" s="49" t="n">
        <f aca="false">'Uso e Consumo'!F1030</f>
        <v>20</v>
      </c>
      <c r="I1030" s="35" t="n">
        <f aca="false">'Uso e Consumo'!G1030</f>
        <v>900</v>
      </c>
      <c r="J1030" s="34" t="str">
        <f aca="false">'Uso e Consumo'!M1030</f>
        <v>3.8.1.017 - Instalações elétricas/telefônicas/lógica</v>
      </c>
      <c r="K1030" s="32" t="str">
        <f aca="false">INDEX('Curva ABC'!$K$8:$K$2847,MATCH(D1030,'Curva ABC'!$B$8:$B$2847,0))</f>
        <v>A</v>
      </c>
    </row>
    <row r="1031" customFormat="false" ht="15" hidden="false" customHeight="false" outlineLevel="0" collapsed="false">
      <c r="A1031" s="34" t="s">
        <v>5799</v>
      </c>
      <c r="B1031" s="34" t="str">
        <f aca="false">'Uso e Consumo'!A1031</f>
        <v>0335</v>
      </c>
      <c r="C1031" s="34" t="str">
        <f aca="false">'Uso e Consumo'!B1031</f>
        <v>UFV NORONHA VERDE - USO E CONSUMO</v>
      </c>
      <c r="D1031" s="33" t="n">
        <f aca="false">'Uso e Consumo'!C1031</f>
        <v>1094512</v>
      </c>
      <c r="E1031" s="34" t="str">
        <f aca="false">'Uso e Consumo'!D1031</f>
        <v>32.02.0363</v>
      </c>
      <c r="F1031" s="34" t="str">
        <f aca="false">'Uso e Consumo'!E1031</f>
        <v>BOBINA FIO NYLON REDONDO 3MM 2KG PARA ROÇADEIRA </v>
      </c>
      <c r="G1031" s="34" t="str">
        <f aca="false">'Uso e Consumo'!J1031</f>
        <v>M</v>
      </c>
      <c r="H1031" s="49" t="n">
        <f aca="false">'Uso e Consumo'!F1031</f>
        <v>600</v>
      </c>
      <c r="I1031" s="35" t="n">
        <f aca="false">'Uso e Consumo'!G1031</f>
        <v>900</v>
      </c>
      <c r="J1031" s="34" t="str">
        <f aca="false">'Uso e Consumo'!M1031</f>
        <v>6.1.2.002 - Ferramentas e utensílios</v>
      </c>
      <c r="K1031" s="32" t="str">
        <f aca="false">INDEX('Curva ABC'!$K$8:$K$2847,MATCH(D1031,'Curva ABC'!$B$8:$B$2847,0))</f>
        <v>C</v>
      </c>
    </row>
    <row r="1032" customFormat="false" ht="15" hidden="false" customHeight="false" outlineLevel="0" collapsed="false">
      <c r="A1032" s="34" t="s">
        <v>5799</v>
      </c>
      <c r="B1032" s="34" t="str">
        <f aca="false">'Uso e Consumo'!A1032</f>
        <v>0335</v>
      </c>
      <c r="C1032" s="34" t="str">
        <f aca="false">'Uso e Consumo'!B1032</f>
        <v>UFV NORONHA VERDE - USO E CONSUMO</v>
      </c>
      <c r="D1032" s="33" t="n">
        <f aca="false">'Uso e Consumo'!C1032</f>
        <v>34016</v>
      </c>
      <c r="E1032" s="34" t="str">
        <f aca="false">'Uso e Consumo'!D1032</f>
        <v>16.03.0112</v>
      </c>
      <c r="F1032" s="34" t="str">
        <f aca="false">'Uso e Consumo'!E1032</f>
        <v>TINTA CORALAR ACRILICO, COR: BRANCO NEVE 18 L NBR 11702</v>
      </c>
      <c r="G1032" s="34" t="str">
        <f aca="false">'Uso e Consumo'!J1032</f>
        <v>L18L</v>
      </c>
      <c r="H1032" s="49" t="n">
        <f aca="false">'Uso e Consumo'!F1032</f>
        <v>1</v>
      </c>
      <c r="I1032" s="35" t="n">
        <f aca="false">'Uso e Consumo'!G1032</f>
        <v>898</v>
      </c>
      <c r="J1032" s="34" t="str">
        <f aca="false">'Uso e Consumo'!M1032</f>
        <v>3.8.1.016 - Pinturas</v>
      </c>
      <c r="K1032" s="32" t="str">
        <f aca="false">INDEX('Curva ABC'!$K$8:$K$2847,MATCH(D1032,'Curva ABC'!$B$8:$B$2847,0))</f>
        <v>C</v>
      </c>
    </row>
    <row r="1033" customFormat="false" ht="15" hidden="false" customHeight="false" outlineLevel="0" collapsed="false">
      <c r="A1033" s="34" t="s">
        <v>5799</v>
      </c>
      <c r="B1033" s="34" t="str">
        <f aca="false">'Uso e Consumo'!A1033</f>
        <v>0335</v>
      </c>
      <c r="C1033" s="34" t="str">
        <f aca="false">'Uso e Consumo'!B1033</f>
        <v>UFV NORONHA VERDE - USO E CONSUMO</v>
      </c>
      <c r="D1033" s="33" t="n">
        <f aca="false">'Uso e Consumo'!C1033</f>
        <v>1387994</v>
      </c>
      <c r="E1033" s="34" t="str">
        <f aca="false">'Uso e Consumo'!D1033</f>
        <v>17.02.0885</v>
      </c>
      <c r="F1033" s="34" t="str">
        <f aca="false">'Uso e Consumo'!E1033</f>
        <v>LUVA DE ALUMÍNIO COM ROSCA, TIPO PESADO, GALVANIZADO A FOGO, Ø 3" BSP</v>
      </c>
      <c r="G1033" s="34" t="str">
        <f aca="false">'Uso e Consumo'!J1033</f>
        <v>UN</v>
      </c>
      <c r="H1033" s="49" t="n">
        <f aca="false">'Uso e Consumo'!F1033</f>
        <v>18</v>
      </c>
      <c r="I1033" s="35" t="n">
        <f aca="false">'Uso e Consumo'!G1033</f>
        <v>896.28</v>
      </c>
      <c r="J1033" s="34" t="str">
        <f aca="false">'Uso e Consumo'!M1033</f>
        <v>3.8.1.017 - Instalações elétricas/telefônicas/lógica</v>
      </c>
      <c r="K1033" s="32" t="str">
        <f aca="false">INDEX('Curva ABC'!$K$8:$K$2847,MATCH(D1033,'Curva ABC'!$B$8:$B$2847,0))</f>
        <v>C</v>
      </c>
    </row>
    <row r="1034" customFormat="false" ht="15" hidden="false" customHeight="false" outlineLevel="0" collapsed="false">
      <c r="A1034" s="34" t="s">
        <v>5799</v>
      </c>
      <c r="B1034" s="34" t="str">
        <f aca="false">'Uso e Consumo'!A1034</f>
        <v>0335</v>
      </c>
      <c r="C1034" s="34" t="str">
        <f aca="false">'Uso e Consumo'!B1034</f>
        <v>UFV NORONHA VERDE - USO E CONSUMO</v>
      </c>
      <c r="D1034" s="33" t="n">
        <f aca="false">'Uso e Consumo'!C1034</f>
        <v>225235</v>
      </c>
      <c r="E1034" s="34" t="str">
        <f aca="false">'Uso e Consumo'!D1034</f>
        <v>17.10.0301</v>
      </c>
      <c r="F1034" s="34" t="str">
        <f aca="false">'Uso e Consumo'!E1034</f>
        <v>DISJUNTOR CAIXA MOLDADA DE 150A TRIPOLAR NBR 60898</v>
      </c>
      <c r="G1034" s="34" t="str">
        <f aca="false">'Uso e Consumo'!J1034</f>
        <v>UN</v>
      </c>
      <c r="H1034" s="49" t="n">
        <f aca="false">'Uso e Consumo'!F1034</f>
        <v>2</v>
      </c>
      <c r="I1034" s="35" t="n">
        <f aca="false">'Uso e Consumo'!G1034</f>
        <v>895.16</v>
      </c>
      <c r="J1034" s="34" t="str">
        <f aca="false">'Uso e Consumo'!M1034</f>
        <v>3.8.1.017 - Instalações elétricas/telefônicas/lógica</v>
      </c>
      <c r="K1034" s="32" t="str">
        <f aca="false">INDEX('Curva ABC'!$K$8:$K$2847,MATCH(D1034,'Curva ABC'!$B$8:$B$2847,0))</f>
        <v>C</v>
      </c>
    </row>
    <row r="1035" customFormat="false" ht="15" hidden="false" customHeight="false" outlineLevel="0" collapsed="false">
      <c r="A1035" s="34" t="s">
        <v>5799</v>
      </c>
      <c r="B1035" s="34" t="str">
        <f aca="false">'Uso e Consumo'!A1035</f>
        <v>0335</v>
      </c>
      <c r="C1035" s="34" t="str">
        <f aca="false">'Uso e Consumo'!B1035</f>
        <v>UFV NORONHA VERDE - USO E CONSUMO</v>
      </c>
      <c r="D1035" s="33" t="n">
        <f aca="false">'Uso e Consumo'!C1035</f>
        <v>278511</v>
      </c>
      <c r="E1035" s="34" t="str">
        <f aca="false">'Uso e Consumo'!D1035</f>
        <v>17.10.0321</v>
      </c>
      <c r="F1035" s="34" t="str">
        <f aca="false">'Uso e Consumo'!E1035</f>
        <v>DISJUNTOR CAIXA MOLDADA 125 A NBR 60898</v>
      </c>
      <c r="G1035" s="34" t="str">
        <f aca="false">'Uso e Consumo'!J1035</f>
        <v>UN</v>
      </c>
      <c r="H1035" s="49" t="n">
        <f aca="false">'Uso e Consumo'!F1035</f>
        <v>2</v>
      </c>
      <c r="I1035" s="35" t="n">
        <f aca="false">'Uso e Consumo'!G1035</f>
        <v>895.16</v>
      </c>
      <c r="J1035" s="34" t="str">
        <f aca="false">'Uso e Consumo'!M1035</f>
        <v>3.8.1.017 - Instalações elétricas/telefônicas/lógica</v>
      </c>
      <c r="K1035" s="32" t="str">
        <f aca="false">INDEX('Curva ABC'!$K$8:$K$2847,MATCH(D1035,'Curva ABC'!$B$8:$B$2847,0))</f>
        <v>C</v>
      </c>
    </row>
    <row r="1036" customFormat="false" ht="15" hidden="false" customHeight="false" outlineLevel="0" collapsed="false">
      <c r="A1036" s="34" t="s">
        <v>5799</v>
      </c>
      <c r="B1036" s="34" t="str">
        <f aca="false">'Uso e Consumo'!A1036</f>
        <v>0335</v>
      </c>
      <c r="C1036" s="34" t="str">
        <f aca="false">'Uso e Consumo'!B1036</f>
        <v>UFV NORONHA VERDE - USO E CONSUMO</v>
      </c>
      <c r="D1036" s="33" t="n">
        <f aca="false">'Uso e Consumo'!C1036</f>
        <v>1385085</v>
      </c>
      <c r="E1036" s="34" t="str">
        <f aca="false">'Uso e Consumo'!D1036</f>
        <v>17.01.1219</v>
      </c>
      <c r="F1036" s="34" t="str">
        <f aca="false">'Uso e Consumo'!E1036</f>
        <v>CABO MONOPOLAR 4 MM², CONDUTOR EM COBRE ELETROLÍTICO NU, TÊMPERA MOLE, CLASSE 5, TENSÃO 0,6/1 KV, COR VERDE</v>
      </c>
      <c r="G1036" s="34" t="str">
        <f aca="false">'Uso e Consumo'!J1036</f>
        <v>M</v>
      </c>
      <c r="H1036" s="49" t="n">
        <f aca="false">'Uso e Consumo'!F1036</f>
        <v>150</v>
      </c>
      <c r="I1036" s="35" t="n">
        <f aca="false">'Uso e Consumo'!G1036</f>
        <v>894</v>
      </c>
      <c r="J1036" s="34" t="str">
        <f aca="false">'Uso e Consumo'!M1036</f>
        <v>3.8.1.017 - Instalações elétricas/telefônicas/lógica</v>
      </c>
      <c r="K1036" s="32" t="str">
        <f aca="false">INDEX('Curva ABC'!$K$8:$K$2847,MATCH(D1036,'Curva ABC'!$B$8:$B$2847,0))</f>
        <v>C</v>
      </c>
    </row>
    <row r="1037" customFormat="false" ht="15" hidden="false" customHeight="false" outlineLevel="0" collapsed="false">
      <c r="A1037" s="34" t="s">
        <v>5799</v>
      </c>
      <c r="B1037" s="34" t="str">
        <f aca="false">'Uso e Consumo'!A1037</f>
        <v>0335</v>
      </c>
      <c r="C1037" s="34" t="str">
        <f aca="false">'Uso e Consumo'!B1037</f>
        <v>UFV NORONHA VERDE - USO E CONSUMO</v>
      </c>
      <c r="D1037" s="33" t="n">
        <f aca="false">'Uso e Consumo'!C1037</f>
        <v>1607587</v>
      </c>
      <c r="E1037" s="34" t="str">
        <f aca="false">'Uso e Consumo'!D1037</f>
        <v>17.08.0243</v>
      </c>
      <c r="F1037" s="34" t="str">
        <f aca="false">'Uso e Consumo'!E1037</f>
        <v>CAIXA DE MEDICAO 200A PARA MEDICAO INDIRETA TIPO F3</v>
      </c>
      <c r="G1037" s="34" t="str">
        <f aca="false">'Uso e Consumo'!J1037</f>
        <v>UN</v>
      </c>
      <c r="H1037" s="49" t="n">
        <f aca="false">'Uso e Consumo'!F1037</f>
        <v>1</v>
      </c>
      <c r="I1037" s="35" t="n">
        <f aca="false">'Uso e Consumo'!G1037</f>
        <v>890</v>
      </c>
      <c r="J1037" s="34" t="str">
        <f aca="false">'Uso e Consumo'!M1037</f>
        <v>3.8.1.017 - Instalações elétricas/telefônicas/lógica</v>
      </c>
      <c r="K1037" s="32" t="str">
        <f aca="false">INDEX('Curva ABC'!$K$8:$K$2847,MATCH(D1037,'Curva ABC'!$B$8:$B$2847,0))</f>
        <v>C</v>
      </c>
    </row>
    <row r="1038" customFormat="false" ht="15" hidden="false" customHeight="false" outlineLevel="0" collapsed="false">
      <c r="A1038" s="34" t="s">
        <v>5799</v>
      </c>
      <c r="B1038" s="34" t="str">
        <f aca="false">'Uso e Consumo'!A1038</f>
        <v>0335</v>
      </c>
      <c r="C1038" s="34" t="str">
        <f aca="false">'Uso e Consumo'!B1038</f>
        <v>UFV NORONHA VERDE - USO E CONSUMO</v>
      </c>
      <c r="D1038" s="33" t="n">
        <f aca="false">'Uso e Consumo'!C1038</f>
        <v>1602266</v>
      </c>
      <c r="E1038" s="34" t="str">
        <f aca="false">'Uso e Consumo'!D1038</f>
        <v>17.20.0729</v>
      </c>
      <c r="F1038" s="34" t="str">
        <f aca="false">'Uso e Consumo'!E1038</f>
        <v>TAMPA FERRO FUNDIDO P/CAIXA INSPEÇÃO 300,00MM</v>
      </c>
      <c r="G1038" s="34" t="str">
        <f aca="false">'Uso e Consumo'!J1038</f>
        <v>UN</v>
      </c>
      <c r="H1038" s="49" t="n">
        <f aca="false">'Uso e Consumo'!F1038</f>
        <v>11</v>
      </c>
      <c r="I1038" s="35" t="n">
        <f aca="false">'Uso e Consumo'!G1038</f>
        <v>884.07</v>
      </c>
      <c r="J1038" s="34" t="str">
        <f aca="false">'Uso e Consumo'!M1038</f>
        <v>3.8.1.017 - Instalações elétricas/telefônicas/lógica</v>
      </c>
      <c r="K1038" s="32" t="str">
        <f aca="false">INDEX('Curva ABC'!$K$8:$K$2847,MATCH(D1038,'Curva ABC'!$B$8:$B$2847,0))</f>
        <v>C</v>
      </c>
    </row>
    <row r="1039" customFormat="false" ht="15" hidden="false" customHeight="false" outlineLevel="0" collapsed="false">
      <c r="A1039" s="34" t="s">
        <v>5799</v>
      </c>
      <c r="B1039" s="34" t="str">
        <f aca="false">'Uso e Consumo'!A1039</f>
        <v>0335</v>
      </c>
      <c r="C1039" s="34" t="str">
        <f aca="false">'Uso e Consumo'!B1039</f>
        <v>UFV NORONHA VERDE - USO E CONSUMO</v>
      </c>
      <c r="D1039" s="33" t="n">
        <f aca="false">'Uso e Consumo'!C1039</f>
        <v>19361</v>
      </c>
      <c r="E1039" s="34" t="str">
        <f aca="false">'Uso e Consumo'!D1039</f>
        <v>30.01.0081</v>
      </c>
      <c r="F1039" s="34" t="str">
        <f aca="false">'Uso e Consumo'!E1039</f>
        <v>CANETA MARCADOR PERMANENTE VERMELHO</v>
      </c>
      <c r="G1039" s="34" t="str">
        <f aca="false">'Uso e Consumo'!J1039</f>
        <v>UN</v>
      </c>
      <c r="H1039" s="49" t="n">
        <f aca="false">'Uso e Consumo'!F1039</f>
        <v>90</v>
      </c>
      <c r="I1039" s="35" t="n">
        <f aca="false">'Uso e Consumo'!G1039</f>
        <v>882</v>
      </c>
      <c r="J1039" s="34" t="str">
        <f aca="false">'Uso e Consumo'!M1039</f>
        <v>4.1.1.002 - Material expediente</v>
      </c>
      <c r="K1039" s="32" t="str">
        <f aca="false">INDEX('Curva ABC'!$K$8:$K$2847,MATCH(D1039,'Curva ABC'!$B$8:$B$2847,0))</f>
        <v>C</v>
      </c>
    </row>
    <row r="1040" customFormat="false" ht="15" hidden="false" customHeight="false" outlineLevel="0" collapsed="false">
      <c r="A1040" s="34" t="s">
        <v>5799</v>
      </c>
      <c r="B1040" s="34" t="str">
        <f aca="false">'Uso e Consumo'!A1040</f>
        <v>0335</v>
      </c>
      <c r="C1040" s="34" t="str">
        <f aca="false">'Uso e Consumo'!B1040</f>
        <v>UFV NORONHA VERDE - USO E CONSUMO</v>
      </c>
      <c r="D1040" s="33" t="n">
        <f aca="false">'Uso e Consumo'!C1040</f>
        <v>881614</v>
      </c>
      <c r="E1040" s="34" t="str">
        <f aca="false">'Uso e Consumo'!D1040</f>
        <v>33.03.0200</v>
      </c>
      <c r="F1040" s="34" t="str">
        <f aca="false">'Uso e Consumo'!E1040</f>
        <v>PNEU 215/55 R17</v>
      </c>
      <c r="G1040" s="34" t="str">
        <f aca="false">'Uso e Consumo'!J1040</f>
        <v>UN</v>
      </c>
      <c r="H1040" s="49" t="n">
        <f aca="false">'Uso e Consumo'!F1040</f>
        <v>2</v>
      </c>
      <c r="I1040" s="35" t="n">
        <f aca="false">'Uso e Consumo'!G1040</f>
        <v>880</v>
      </c>
      <c r="J1040" s="34" t="str">
        <f aca="false">'Uso e Consumo'!M1040</f>
        <v>3.1.6.002 - Pneus e peças</v>
      </c>
      <c r="K1040" s="32" t="str">
        <f aca="false">INDEX('Curva ABC'!$K$8:$K$2847,MATCH(D1040,'Curva ABC'!$B$8:$B$2847,0))</f>
        <v>C</v>
      </c>
    </row>
    <row r="1041" customFormat="false" ht="15" hidden="false" customHeight="false" outlineLevel="0" collapsed="false">
      <c r="A1041" s="34" t="s">
        <v>5799</v>
      </c>
      <c r="B1041" s="34" t="str">
        <f aca="false">'Uso e Consumo'!A1041</f>
        <v>0335</v>
      </c>
      <c r="C1041" s="34" t="str">
        <f aca="false">'Uso e Consumo'!B1041</f>
        <v>UFV NORONHA VERDE - USO E CONSUMO</v>
      </c>
      <c r="D1041" s="33" t="n">
        <f aca="false">'Uso e Consumo'!C1041</f>
        <v>475467</v>
      </c>
      <c r="E1041" s="34" t="str">
        <f aca="false">'Uso e Consumo'!D1041</f>
        <v>26.04.0089</v>
      </c>
      <c r="F1041" s="34" t="str">
        <f aca="false">'Uso e Consumo'!E1041</f>
        <v>POLIA  SIMPLES RIGIDA DE AÇO PARA CORDA DE 12,5/13MM - RESISTENCIA MINIMA DE 30 KN</v>
      </c>
      <c r="G1041" s="34" t="str">
        <f aca="false">'Uso e Consumo'!J1041</f>
        <v>UN</v>
      </c>
      <c r="H1041" s="49" t="n">
        <f aca="false">'Uso e Consumo'!F1041</f>
        <v>4</v>
      </c>
      <c r="I1041" s="35" t="n">
        <f aca="false">'Uso e Consumo'!G1041</f>
        <v>878</v>
      </c>
      <c r="J1041" s="34" t="str">
        <f aca="false">'Uso e Consumo'!M1041</f>
        <v>4.3.4.001 - Equipamento de proteção individual</v>
      </c>
      <c r="K1041" s="32" t="str">
        <f aca="false">INDEX('Curva ABC'!$K$8:$K$2847,MATCH(D1041,'Curva ABC'!$B$8:$B$2847,0))</f>
        <v>C</v>
      </c>
    </row>
    <row r="1042" customFormat="false" ht="15" hidden="false" customHeight="false" outlineLevel="0" collapsed="false">
      <c r="A1042" s="34" t="s">
        <v>5799</v>
      </c>
      <c r="B1042" s="34" t="str">
        <f aca="false">'Uso e Consumo'!A1042</f>
        <v>0335</v>
      </c>
      <c r="C1042" s="34" t="str">
        <f aca="false">'Uso e Consumo'!B1042</f>
        <v>UFV NORONHA VERDE - USO E CONSUMO</v>
      </c>
      <c r="D1042" s="33" t="n">
        <f aca="false">'Uso e Consumo'!C1042</f>
        <v>955971</v>
      </c>
      <c r="E1042" s="34" t="str">
        <f aca="false">'Uso e Consumo'!D1042</f>
        <v>24.05.0029</v>
      </c>
      <c r="F1042" s="34" t="str">
        <f aca="false">'Uso e Consumo'!E1042</f>
        <v>NIVEL DE MÃO TRAPEIZOIDAL MAGNETICO COM 305MM</v>
      </c>
      <c r="G1042" s="34" t="str">
        <f aca="false">'Uso e Consumo'!J1042</f>
        <v>UN</v>
      </c>
      <c r="H1042" s="49" t="n">
        <f aca="false">'Uso e Consumo'!F1042</f>
        <v>5</v>
      </c>
      <c r="I1042" s="35" t="n">
        <f aca="false">'Uso e Consumo'!G1042</f>
        <v>874.5</v>
      </c>
      <c r="J1042" s="34" t="str">
        <f aca="false">'Uso e Consumo'!M1042</f>
        <v>3.8.2.001 - Ferramentas medição/aferição</v>
      </c>
      <c r="K1042" s="32" t="str">
        <f aca="false">INDEX('Curva ABC'!$K$8:$K$2847,MATCH(D1042,'Curva ABC'!$B$8:$B$2847,0))</f>
        <v>C</v>
      </c>
    </row>
    <row r="1043" customFormat="false" ht="22.35" hidden="false" customHeight="false" outlineLevel="0" collapsed="false">
      <c r="A1043" s="34" t="s">
        <v>5799</v>
      </c>
      <c r="B1043" s="34" t="str">
        <f aca="false">'Uso e Consumo'!A1043</f>
        <v>0335</v>
      </c>
      <c r="C1043" s="34" t="str">
        <f aca="false">'Uso e Consumo'!B1043</f>
        <v>UFV NORONHA VERDE - USO E CONSUMO</v>
      </c>
      <c r="D1043" s="33" t="n">
        <f aca="false">'Uso e Consumo'!C1043</f>
        <v>1486850</v>
      </c>
      <c r="E1043" s="34" t="str">
        <f aca="false">'Uso e Consumo'!D1043</f>
        <v>17.19.0079</v>
      </c>
      <c r="F1043" s="50" t="str">
        <f aca="false">'Uso e Consumo'!E1043</f>
        <v>MINICAPTOR EM LATÃO REDONDO COM CONECTOR E FIXAÇÃO HORIZONTAL ALTURA 250 MM DN 10 MM
</v>
      </c>
      <c r="G1043" s="34" t="str">
        <f aca="false">'Uso e Consumo'!J1043</f>
        <v>UN</v>
      </c>
      <c r="H1043" s="49" t="n">
        <f aca="false">'Uso e Consumo'!F1043</f>
        <v>9</v>
      </c>
      <c r="I1043" s="35" t="n">
        <f aca="false">'Uso e Consumo'!G1043</f>
        <v>871.32</v>
      </c>
      <c r="J1043" s="34" t="str">
        <f aca="false">'Uso e Consumo'!M1043</f>
        <v>3.8.1.017 - Instalações elétricas/telefônicas/lógica</v>
      </c>
      <c r="K1043" s="32" t="str">
        <f aca="false">INDEX('Curva ABC'!$K$8:$K$2847,MATCH(D1043,'Curva ABC'!$B$8:$B$2847,0))</f>
        <v>C</v>
      </c>
    </row>
    <row r="1044" customFormat="false" ht="15" hidden="false" customHeight="false" outlineLevel="0" collapsed="false">
      <c r="A1044" s="34" t="s">
        <v>5799</v>
      </c>
      <c r="B1044" s="34" t="str">
        <f aca="false">'Uso e Consumo'!A1044</f>
        <v>0335</v>
      </c>
      <c r="C1044" s="34" t="str">
        <f aca="false">'Uso e Consumo'!B1044</f>
        <v>UFV NORONHA VERDE - USO E CONSUMO</v>
      </c>
      <c r="D1044" s="33" t="n">
        <f aca="false">'Uso e Consumo'!C1044</f>
        <v>18137</v>
      </c>
      <c r="E1044" s="34" t="str">
        <f aca="false">'Uso e Consumo'!D1044</f>
        <v>24.16.0001</v>
      </c>
      <c r="F1044" s="34" t="str">
        <f aca="false">'Uso e Consumo'!E1044</f>
        <v>PÉ DE CABRA 3/4" X 600,00MM AÇO FORJADO SEXTAVADO</v>
      </c>
      <c r="G1044" s="34" t="str">
        <f aca="false">'Uso e Consumo'!J1044</f>
        <v>UN</v>
      </c>
      <c r="H1044" s="49" t="n">
        <f aca="false">'Uso e Consumo'!F1044</f>
        <v>12</v>
      </c>
      <c r="I1044" s="35" t="n">
        <f aca="false">'Uso e Consumo'!G1044</f>
        <v>867.03</v>
      </c>
      <c r="J1044" s="34" t="str">
        <f aca="false">'Uso e Consumo'!M1044</f>
        <v>3.8.2.002 - Ferramentas manuais</v>
      </c>
      <c r="K1044" s="32" t="str">
        <f aca="false">INDEX('Curva ABC'!$K$8:$K$2847,MATCH(D1044,'Curva ABC'!$B$8:$B$2847,0))</f>
        <v>C</v>
      </c>
    </row>
    <row r="1045" customFormat="false" ht="15" hidden="false" customHeight="false" outlineLevel="0" collapsed="false">
      <c r="A1045" s="34" t="s">
        <v>5799</v>
      </c>
      <c r="B1045" s="34" t="str">
        <f aca="false">'Uso e Consumo'!A1045</f>
        <v>0335</v>
      </c>
      <c r="C1045" s="34" t="str">
        <f aca="false">'Uso e Consumo'!B1045</f>
        <v>UFV NORONHA VERDE - USO E CONSUMO</v>
      </c>
      <c r="D1045" s="33" t="n">
        <f aca="false">'Uso e Consumo'!C1045</f>
        <v>1327438</v>
      </c>
      <c r="E1045" s="34" t="str">
        <f aca="false">'Uso e Consumo'!D1045</f>
        <v>17.16.0674</v>
      </c>
      <c r="F1045" s="34" t="str">
        <f aca="false">'Uso e Consumo'!E1045</f>
        <v>CONECTOR TERMINAL RETO A COMPRESSÃO EM LIGA DE COBRE ESTANHADO PARA CABO DE COBRE BITOLA 70 mm² COM 2 FUROS NEMA</v>
      </c>
      <c r="G1045" s="34" t="str">
        <f aca="false">'Uso e Consumo'!J1045</f>
        <v>pç</v>
      </c>
      <c r="H1045" s="49" t="n">
        <f aca="false">'Uso e Consumo'!F1045</f>
        <v>4</v>
      </c>
      <c r="I1045" s="35" t="n">
        <f aca="false">'Uso e Consumo'!G1045</f>
        <v>864.37</v>
      </c>
      <c r="J1045" s="34" t="str">
        <f aca="false">'Uso e Consumo'!M1045</f>
        <v>3.8.1.017 - Instalações elétricas/telefônicas/lógica</v>
      </c>
      <c r="K1045" s="32" t="str">
        <f aca="false">INDEX('Curva ABC'!$K$8:$K$2847,MATCH(D1045,'Curva ABC'!$B$8:$B$2847,0))</f>
        <v>C</v>
      </c>
    </row>
    <row r="1046" customFormat="false" ht="15" hidden="false" customHeight="false" outlineLevel="0" collapsed="false">
      <c r="A1046" s="34" t="s">
        <v>5799</v>
      </c>
      <c r="B1046" s="34" t="str">
        <f aca="false">'Uso e Consumo'!A1046</f>
        <v>0335</v>
      </c>
      <c r="C1046" s="34" t="str">
        <f aca="false">'Uso e Consumo'!B1046</f>
        <v>UFV NORONHA VERDE - USO E CONSUMO</v>
      </c>
      <c r="D1046" s="33" t="n">
        <f aca="false">'Uso e Consumo'!C1046</f>
        <v>1656586</v>
      </c>
      <c r="E1046" s="34" t="str">
        <f aca="false">'Uso e Consumo'!D1046</f>
        <v>28.01.0751</v>
      </c>
      <c r="F1046" s="34" t="str">
        <f aca="false">'Uso e Consumo'!E1046</f>
        <v>PLACA DE SINALIZACAO PROIBICAO UTILIZAR AGUA PARA APAGAR FOGO EM ACO GALVANIZADO 252MM</v>
      </c>
      <c r="G1046" s="34" t="str">
        <f aca="false">'Uso e Consumo'!J1046</f>
        <v>UN</v>
      </c>
      <c r="H1046" s="49" t="n">
        <f aca="false">'Uso e Consumo'!F1046</f>
        <v>15</v>
      </c>
      <c r="I1046" s="35" t="n">
        <f aca="false">'Uso e Consumo'!G1046</f>
        <v>864.27</v>
      </c>
      <c r="J1046" s="34" t="str">
        <f aca="false">'Uso e Consumo'!M1046</f>
        <v>3.8.1.023 - Comunicação visual e sinalização</v>
      </c>
      <c r="K1046" s="32" t="str">
        <f aca="false">INDEX('Curva ABC'!$K$8:$K$2847,MATCH(D1046,'Curva ABC'!$B$8:$B$2847,0))</f>
        <v>C</v>
      </c>
    </row>
    <row r="1047" customFormat="false" ht="15" hidden="false" customHeight="false" outlineLevel="0" collapsed="false">
      <c r="A1047" s="34" t="s">
        <v>5799</v>
      </c>
      <c r="B1047" s="34" t="str">
        <f aca="false">'Uso e Consumo'!A1047</f>
        <v>0335</v>
      </c>
      <c r="C1047" s="34" t="str">
        <f aca="false">'Uso e Consumo'!B1047</f>
        <v>UFV NORONHA VERDE - USO E CONSUMO</v>
      </c>
      <c r="D1047" s="33" t="n">
        <f aca="false">'Uso e Consumo'!C1047</f>
        <v>1614270</v>
      </c>
      <c r="E1047" s="34" t="str">
        <f aca="false">'Uso e Consumo'!D1047</f>
        <v>17.03.0617</v>
      </c>
      <c r="F1047" s="34" t="str">
        <f aca="false">'Uso e Consumo'!E1047</f>
        <v>CURVA VERTICAL INTERNA 90 GRAUS ELETROCALHA 200X100</v>
      </c>
      <c r="G1047" s="34" t="str">
        <f aca="false">'Uso e Consumo'!J1047</f>
        <v>UN</v>
      </c>
      <c r="H1047" s="49" t="n">
        <f aca="false">'Uso e Consumo'!F1047</f>
        <v>4</v>
      </c>
      <c r="I1047" s="35" t="n">
        <f aca="false">'Uso e Consumo'!G1047</f>
        <v>862.77</v>
      </c>
      <c r="J1047" s="34" t="str">
        <f aca="false">'Uso e Consumo'!M1047</f>
        <v>3.8.1.017 - Instalações elétricas/telefônicas/lógica</v>
      </c>
      <c r="K1047" s="32" t="str">
        <f aca="false">INDEX('Curva ABC'!$K$8:$K$2847,MATCH(D1047,'Curva ABC'!$B$8:$B$2847,0))</f>
        <v>C</v>
      </c>
    </row>
    <row r="1048" customFormat="false" ht="15" hidden="false" customHeight="false" outlineLevel="0" collapsed="false">
      <c r="A1048" s="34" t="s">
        <v>5799</v>
      </c>
      <c r="B1048" s="34" t="str">
        <f aca="false">'Uso e Consumo'!A1048</f>
        <v>0335</v>
      </c>
      <c r="C1048" s="34" t="str">
        <f aca="false">'Uso e Consumo'!B1048</f>
        <v>UFV NORONHA VERDE - USO E CONSUMO</v>
      </c>
      <c r="D1048" s="33" t="n">
        <f aca="false">'Uso e Consumo'!C1048</f>
        <v>352386</v>
      </c>
      <c r="E1048" s="34" t="str">
        <f aca="false">'Uso e Consumo'!D1048</f>
        <v>24.28.0009</v>
      </c>
      <c r="F1048" s="34" t="str">
        <f aca="false">'Uso e Consumo'!E1048</f>
        <v>MARCADOR INDUSTRIAL 60ML X 3MM VERMELHO</v>
      </c>
      <c r="G1048" s="34" t="str">
        <f aca="false">'Uso e Consumo'!J1048</f>
        <v>UN</v>
      </c>
      <c r="H1048" s="49" t="n">
        <f aca="false">'Uso e Consumo'!F1048</f>
        <v>88</v>
      </c>
      <c r="I1048" s="35" t="n">
        <f aca="false">'Uso e Consumo'!G1048</f>
        <v>862.4</v>
      </c>
      <c r="J1048" s="34" t="str">
        <f aca="false">'Uso e Consumo'!M1048</f>
        <v>3.8.2.002 - Ferramentas manuais</v>
      </c>
      <c r="K1048" s="32" t="str">
        <f aca="false">INDEX('Curva ABC'!$K$8:$K$2847,MATCH(D1048,'Curva ABC'!$B$8:$B$2847,0))</f>
        <v>C</v>
      </c>
    </row>
    <row r="1049" customFormat="false" ht="15" hidden="false" customHeight="false" outlineLevel="0" collapsed="false">
      <c r="A1049" s="34" t="s">
        <v>5799</v>
      </c>
      <c r="B1049" s="34" t="str">
        <f aca="false">'Uso e Consumo'!A1049</f>
        <v>0335</v>
      </c>
      <c r="C1049" s="34" t="str">
        <f aca="false">'Uso e Consumo'!B1049</f>
        <v>UFV NORONHA VERDE - USO E CONSUMO</v>
      </c>
      <c r="D1049" s="33" t="n">
        <f aca="false">'Uso e Consumo'!C1049</f>
        <v>18140</v>
      </c>
      <c r="E1049" s="34" t="str">
        <f aca="false">'Uso e Consumo'!D1049</f>
        <v>24.17.0001</v>
      </c>
      <c r="F1049" s="34" t="str">
        <f aca="false">'Uso e Consumo'!E1049</f>
        <v>PICARETA ALVIAO C/MACHADO LARGO AÇO CARBONO TEMPERADO 6LB C/CABO MADEIRA</v>
      </c>
      <c r="G1049" s="34" t="str">
        <f aca="false">'Uso e Consumo'!J1049</f>
        <v>UN</v>
      </c>
      <c r="H1049" s="49" t="n">
        <f aca="false">'Uso e Consumo'!F1049</f>
        <v>10</v>
      </c>
      <c r="I1049" s="35" t="n">
        <f aca="false">'Uso e Consumo'!G1049</f>
        <v>860</v>
      </c>
      <c r="J1049" s="34" t="str">
        <f aca="false">'Uso e Consumo'!M1049</f>
        <v>3.8.2.002 - Ferramentas manuais</v>
      </c>
      <c r="K1049" s="32" t="str">
        <f aca="false">INDEX('Curva ABC'!$K$8:$K$2847,MATCH(D1049,'Curva ABC'!$B$8:$B$2847,0))</f>
        <v>C</v>
      </c>
    </row>
    <row r="1050" customFormat="false" ht="15" hidden="false" customHeight="false" outlineLevel="0" collapsed="false">
      <c r="A1050" s="34" t="s">
        <v>5799</v>
      </c>
      <c r="B1050" s="34" t="str">
        <f aca="false">'Uso e Consumo'!A1050</f>
        <v>0335</v>
      </c>
      <c r="C1050" s="34" t="str">
        <f aca="false">'Uso e Consumo'!B1050</f>
        <v>UFV NORONHA VERDE - USO E CONSUMO</v>
      </c>
      <c r="D1050" s="33" t="n">
        <f aca="false">'Uso e Consumo'!C1050</f>
        <v>1087553</v>
      </c>
      <c r="E1050" s="34" t="str">
        <f aca="false">'Uso e Consumo'!D1050</f>
        <v>30.02.0133</v>
      </c>
      <c r="F1050" s="34" t="str">
        <f aca="false">'Uso e Consumo'!E1050</f>
        <v>KIT DE TINTA PARA IMPRESSORA EPSON L3250 ECOTANK</v>
      </c>
      <c r="G1050" s="34" t="str">
        <f aca="false">'Uso e Consumo'!J1050</f>
        <v>UN</v>
      </c>
      <c r="H1050" s="49" t="n">
        <f aca="false">'Uso e Consumo'!F1050</f>
        <v>4</v>
      </c>
      <c r="I1050" s="35" t="n">
        <f aca="false">'Uso e Consumo'!G1050</f>
        <v>858.42</v>
      </c>
      <c r="J1050" s="34" t="str">
        <f aca="false">'Uso e Consumo'!M1050</f>
        <v>4.1.1.002 - Material expediente</v>
      </c>
      <c r="K1050" s="32" t="str">
        <f aca="false">INDEX('Curva ABC'!$K$8:$K$2847,MATCH(D1050,'Curva ABC'!$B$8:$B$2847,0))</f>
        <v>C</v>
      </c>
    </row>
    <row r="1051" customFormat="false" ht="15" hidden="false" customHeight="false" outlineLevel="0" collapsed="false">
      <c r="A1051" s="34" t="s">
        <v>5799</v>
      </c>
      <c r="B1051" s="34" t="str">
        <f aca="false">'Uso e Consumo'!A1051</f>
        <v>0335</v>
      </c>
      <c r="C1051" s="34" t="str">
        <f aca="false">'Uso e Consumo'!B1051</f>
        <v>UFV NORONHA VERDE - USO E CONSUMO</v>
      </c>
      <c r="D1051" s="33" t="n">
        <f aca="false">'Uso e Consumo'!C1051</f>
        <v>1385084</v>
      </c>
      <c r="E1051" s="34" t="str">
        <f aca="false">'Uso e Consumo'!D1051</f>
        <v>17.01.1218</v>
      </c>
      <c r="F1051" s="34" t="str">
        <f aca="false">'Uso e Consumo'!E1051</f>
        <v>CABO MONOPOLAR 4 MM², CONDUTOR EM COBRE ELETROLÍTICO NU, TÊMPERA MOLE, CLASSE 5, TENSÃO 0,6/1 KV, COR AZUL CLARO</v>
      </c>
      <c r="G1051" s="34" t="str">
        <f aca="false">'Uso e Consumo'!J1051</f>
        <v>M</v>
      </c>
      <c r="H1051" s="49" t="n">
        <f aca="false">'Uso e Consumo'!F1051</f>
        <v>150</v>
      </c>
      <c r="I1051" s="35" t="n">
        <f aca="false">'Uso e Consumo'!G1051</f>
        <v>853.4</v>
      </c>
      <c r="J1051" s="34" t="str">
        <f aca="false">'Uso e Consumo'!M1051</f>
        <v>3.8.1.017 - Instalações elétricas/telefônicas/lógica</v>
      </c>
      <c r="K1051" s="32" t="str">
        <f aca="false">INDEX('Curva ABC'!$K$8:$K$2847,MATCH(D1051,'Curva ABC'!$B$8:$B$2847,0))</f>
        <v>C</v>
      </c>
    </row>
    <row r="1052" customFormat="false" ht="15" hidden="false" customHeight="false" outlineLevel="0" collapsed="false">
      <c r="A1052" s="34" t="s">
        <v>5799</v>
      </c>
      <c r="B1052" s="34" t="str">
        <f aca="false">'Uso e Consumo'!A1052</f>
        <v>0335</v>
      </c>
      <c r="C1052" s="34" t="str">
        <f aca="false">'Uso e Consumo'!B1052</f>
        <v>UFV NORONHA VERDE - USO E CONSUMO</v>
      </c>
      <c r="D1052" s="33" t="n">
        <f aca="false">'Uso e Consumo'!C1052</f>
        <v>292795</v>
      </c>
      <c r="E1052" s="34" t="str">
        <f aca="false">'Uso e Consumo'!D1052</f>
        <v>26.03.0051</v>
      </c>
      <c r="F1052" s="34" t="str">
        <f aca="false">'Uso e Consumo'!E1052</f>
        <v>CAPACETE COM ABA FRONTAL (TIPO II) (MSA) (CA-8562/25856/29792)</v>
      </c>
      <c r="G1052" s="34" t="str">
        <f aca="false">'Uso e Consumo'!J1052</f>
        <v>UN</v>
      </c>
      <c r="H1052" s="49" t="n">
        <f aca="false">'Uso e Consumo'!F1052</f>
        <v>31</v>
      </c>
      <c r="I1052" s="35" t="n">
        <f aca="false">'Uso e Consumo'!G1052</f>
        <v>849.38</v>
      </c>
      <c r="J1052" s="34" t="str">
        <f aca="false">'Uso e Consumo'!M1052</f>
        <v>4.3.4.001 - Equipamento de proteção individual</v>
      </c>
      <c r="K1052" s="32" t="str">
        <f aca="false">INDEX('Curva ABC'!$K$8:$K$2847,MATCH(D1052,'Curva ABC'!$B$8:$B$2847,0))</f>
        <v>C</v>
      </c>
    </row>
    <row r="1053" customFormat="false" ht="15" hidden="false" customHeight="false" outlineLevel="0" collapsed="false">
      <c r="A1053" s="34" t="s">
        <v>5799</v>
      </c>
      <c r="B1053" s="34" t="str">
        <f aca="false">'Uso e Consumo'!A1053</f>
        <v>0335</v>
      </c>
      <c r="C1053" s="34" t="str">
        <f aca="false">'Uso e Consumo'!B1053</f>
        <v>UFV NORONHA VERDE - USO E CONSUMO</v>
      </c>
      <c r="D1053" s="33" t="n">
        <f aca="false">'Uso e Consumo'!C1053</f>
        <v>1466627</v>
      </c>
      <c r="E1053" s="34" t="str">
        <f aca="false">'Uso e Consumo'!D1053</f>
        <v>17.16.3831</v>
      </c>
      <c r="F1053" s="34" t="str">
        <f aca="false">'Uso e Consumo'!E1053</f>
        <v>CONECTOR DE LIGA DE COBRE, TIPO PARAFUSO FENDIDO, PARA DERIVAÇÃO DE 2 (DOIS) CABOS DE COBRE BITOLA 16 A 70 MM²</v>
      </c>
      <c r="G1053" s="34" t="str">
        <f aca="false">'Uso e Consumo'!J1053</f>
        <v>UN</v>
      </c>
      <c r="H1053" s="49" t="n">
        <f aca="false">'Uso e Consumo'!F1053</f>
        <v>40</v>
      </c>
      <c r="I1053" s="35" t="n">
        <f aca="false">'Uso e Consumo'!G1053</f>
        <v>846.4</v>
      </c>
      <c r="J1053" s="34" t="str">
        <f aca="false">'Uso e Consumo'!M1053</f>
        <v>3.8.1.017 - Instalações elétricas/telefônicas/lógica</v>
      </c>
      <c r="K1053" s="32" t="str">
        <f aca="false">INDEX('Curva ABC'!$K$8:$K$2847,MATCH(D1053,'Curva ABC'!$B$8:$B$2847,0))</f>
        <v>C</v>
      </c>
    </row>
    <row r="1054" customFormat="false" ht="15" hidden="false" customHeight="false" outlineLevel="0" collapsed="false">
      <c r="A1054" s="34" t="s">
        <v>5799</v>
      </c>
      <c r="B1054" s="34" t="str">
        <f aca="false">'Uso e Consumo'!A1054</f>
        <v>0335</v>
      </c>
      <c r="C1054" s="34" t="str">
        <f aca="false">'Uso e Consumo'!B1054</f>
        <v>UFV NORONHA VERDE - USO E CONSUMO</v>
      </c>
      <c r="D1054" s="33" t="n">
        <f aca="false">'Uso e Consumo'!C1054</f>
        <v>21136</v>
      </c>
      <c r="E1054" s="34" t="str">
        <f aca="false">'Uso e Consumo'!D1054</f>
        <v>30.03.0105</v>
      </c>
      <c r="F1054" s="34" t="str">
        <f aca="false">'Uso e Consumo'!E1054</f>
        <v>DESODORIZADOR DE AR AEROSOL 360 ML</v>
      </c>
      <c r="G1054" s="34" t="str">
        <f aca="false">'Uso e Consumo'!J1054</f>
        <v>UN</v>
      </c>
      <c r="H1054" s="49" t="n">
        <f aca="false">'Uso e Consumo'!F1054</f>
        <v>96</v>
      </c>
      <c r="I1054" s="35" t="n">
        <f aca="false">'Uso e Consumo'!G1054</f>
        <v>843.84</v>
      </c>
      <c r="J1054" s="34" t="str">
        <f aca="false">'Uso e Consumo'!M1054</f>
        <v>4.1.1.003 - Material limpeza</v>
      </c>
      <c r="K1054" s="32" t="str">
        <f aca="false">INDEX('Curva ABC'!$K$8:$K$2847,MATCH(D1054,'Curva ABC'!$B$8:$B$2847,0))</f>
        <v>C</v>
      </c>
    </row>
    <row r="1055" customFormat="false" ht="15" hidden="false" customHeight="false" outlineLevel="0" collapsed="false">
      <c r="A1055" s="34" t="s">
        <v>5799</v>
      </c>
      <c r="B1055" s="34" t="str">
        <f aca="false">'Uso e Consumo'!A1055</f>
        <v>0335</v>
      </c>
      <c r="C1055" s="34" t="str">
        <f aca="false">'Uso e Consumo'!B1055</f>
        <v>UFV NORONHA VERDE - USO E CONSUMO</v>
      </c>
      <c r="D1055" s="33" t="n">
        <f aca="false">'Uso e Consumo'!C1055</f>
        <v>385221</v>
      </c>
      <c r="E1055" s="34" t="str">
        <f aca="false">'Uso e Consumo'!D1055</f>
        <v>29.01.0836</v>
      </c>
      <c r="F1055" s="34" t="str">
        <f aca="false">'Uso e Consumo'!E1055</f>
        <v>CARREGADOR RÁPIDO 20V-60V - DCB118-B2 - DEWALT</v>
      </c>
      <c r="G1055" s="34" t="str">
        <f aca="false">'Uso e Consumo'!J1055</f>
        <v>UN</v>
      </c>
      <c r="H1055" s="49" t="n">
        <f aca="false">'Uso e Consumo'!F1055</f>
        <v>1</v>
      </c>
      <c r="I1055" s="35" t="n">
        <f aca="false">'Uso e Consumo'!G1055</f>
        <v>843</v>
      </c>
      <c r="J1055" s="34" t="str">
        <f aca="false">'Uso e Consumo'!M1055</f>
        <v>6.1.2.001 - Equipamentos</v>
      </c>
      <c r="K1055" s="32" t="str">
        <f aca="false">INDEX('Curva ABC'!$K$8:$K$2847,MATCH(D1055,'Curva ABC'!$B$8:$B$2847,0))</f>
        <v>C</v>
      </c>
    </row>
    <row r="1056" customFormat="false" ht="15" hidden="false" customHeight="false" outlineLevel="0" collapsed="false">
      <c r="A1056" s="34" t="s">
        <v>5799</v>
      </c>
      <c r="B1056" s="34" t="str">
        <f aca="false">'Uso e Consumo'!A1056</f>
        <v>0335</v>
      </c>
      <c r="C1056" s="34" t="str">
        <f aca="false">'Uso e Consumo'!B1056</f>
        <v>UFV NORONHA VERDE - USO E CONSUMO</v>
      </c>
      <c r="D1056" s="33" t="n">
        <f aca="false">'Uso e Consumo'!C1056</f>
        <v>1614512</v>
      </c>
      <c r="E1056" s="34" t="str">
        <f aca="false">'Uso e Consumo'!D1056</f>
        <v>17.03.0622</v>
      </c>
      <c r="F1056" s="34" t="str">
        <f aca="false">'Uso e Consumo'!E1056</f>
        <v>BUCHA TERMINAL EM LIGA DE ALUMINIO, ALTA RESISTENCIA MECANICA E A CORROSAO, PARA ELETRODUTO 2", ROSCA BSP</v>
      </c>
      <c r="G1056" s="34" t="str">
        <f aca="false">'Uso e Consumo'!J1056</f>
        <v>UN</v>
      </c>
      <c r="H1056" s="49" t="n">
        <f aca="false">'Uso e Consumo'!F1056</f>
        <v>103</v>
      </c>
      <c r="I1056" s="35" t="n">
        <f aca="false">'Uso e Consumo'!G1056</f>
        <v>842.42</v>
      </c>
      <c r="J1056" s="34" t="str">
        <f aca="false">'Uso e Consumo'!M1056</f>
        <v>3.8.1.017 - Instalações elétricas/telefônicas/lógica</v>
      </c>
      <c r="K1056" s="32" t="str">
        <f aca="false">INDEX('Curva ABC'!$K$8:$K$2847,MATCH(D1056,'Curva ABC'!$B$8:$B$2847,0))</f>
        <v>C</v>
      </c>
    </row>
    <row r="1057" customFormat="false" ht="15" hidden="false" customHeight="false" outlineLevel="0" collapsed="false">
      <c r="A1057" s="34" t="s">
        <v>5799</v>
      </c>
      <c r="B1057" s="34" t="str">
        <f aca="false">'Uso e Consumo'!A1057</f>
        <v>0335</v>
      </c>
      <c r="C1057" s="34" t="str">
        <f aca="false">'Uso e Consumo'!B1057</f>
        <v>UFV NORONHA VERDE - USO E CONSUMO</v>
      </c>
      <c r="D1057" s="33" t="n">
        <f aca="false">'Uso e Consumo'!C1057</f>
        <v>22294</v>
      </c>
      <c r="E1057" s="34" t="str">
        <f aca="false">'Uso e Consumo'!D1057</f>
        <v>18.08.0154</v>
      </c>
      <c r="F1057" s="34" t="str">
        <f aca="false">'Uso e Consumo'!E1057</f>
        <v>RALO QUADRADO MONTADO BRANCO C/GRELHA 100MM X 53MM X 40MM</v>
      </c>
      <c r="G1057" s="34" t="str">
        <f aca="false">'Uso e Consumo'!J1057</f>
        <v>UN</v>
      </c>
      <c r="H1057" s="49" t="n">
        <f aca="false">'Uso e Consumo'!F1057</f>
        <v>26</v>
      </c>
      <c r="I1057" s="35" t="n">
        <f aca="false">'Uso e Consumo'!G1057</f>
        <v>842.4</v>
      </c>
      <c r="J1057" s="34" t="str">
        <f aca="false">'Uso e Consumo'!M1057</f>
        <v>3.8.1.018 - Instalações hidráulicas/sanitárias/industriais</v>
      </c>
      <c r="K1057" s="32" t="str">
        <f aca="false">INDEX('Curva ABC'!$K$8:$K$2847,MATCH(D1057,'Curva ABC'!$B$8:$B$2847,0))</f>
        <v>C</v>
      </c>
    </row>
    <row r="1058" customFormat="false" ht="15" hidden="false" customHeight="false" outlineLevel="0" collapsed="false">
      <c r="A1058" s="34" t="s">
        <v>5799</v>
      </c>
      <c r="B1058" s="34" t="str">
        <f aca="false">'Uso e Consumo'!A1058</f>
        <v>0335</v>
      </c>
      <c r="C1058" s="34" t="str">
        <f aca="false">'Uso e Consumo'!B1058</f>
        <v>UFV NORONHA VERDE - USO E CONSUMO</v>
      </c>
      <c r="D1058" s="33" t="n">
        <f aca="false">'Uso e Consumo'!C1058</f>
        <v>22636</v>
      </c>
      <c r="E1058" s="34" t="str">
        <f aca="false">'Uso e Consumo'!D1058</f>
        <v>23.05.0096</v>
      </c>
      <c r="F1058" s="34" t="str">
        <f aca="false">'Uso e Consumo'!E1058</f>
        <v>ARRUELA LI 3/4 ZB</v>
      </c>
      <c r="G1058" s="34" t="str">
        <f aca="false">'Uso e Consumo'!J1058</f>
        <v>UN</v>
      </c>
      <c r="H1058" s="49" t="n">
        <f aca="false">'Uso e Consumo'!F1058</f>
        <v>1050</v>
      </c>
      <c r="I1058" s="35" t="n">
        <f aca="false">'Uso e Consumo'!G1058</f>
        <v>840</v>
      </c>
      <c r="J1058" s="34" t="str">
        <f aca="false">'Uso e Consumo'!M1058</f>
        <v>3.8.1.022 - Elementos de fixação</v>
      </c>
      <c r="K1058" s="32" t="str">
        <f aca="false">INDEX('Curva ABC'!$K$8:$K$2847,MATCH(D1058,'Curva ABC'!$B$8:$B$2847,0))</f>
        <v>C</v>
      </c>
    </row>
    <row r="1059" customFormat="false" ht="15" hidden="false" customHeight="false" outlineLevel="0" collapsed="false">
      <c r="A1059" s="34" t="s">
        <v>5799</v>
      </c>
      <c r="B1059" s="34" t="str">
        <f aca="false">'Uso e Consumo'!A1059</f>
        <v>0335</v>
      </c>
      <c r="C1059" s="34" t="str">
        <f aca="false">'Uso e Consumo'!B1059</f>
        <v>UFV NORONHA VERDE - USO E CONSUMO</v>
      </c>
      <c r="D1059" s="33" t="n">
        <f aca="false">'Uso e Consumo'!C1059</f>
        <v>34538</v>
      </c>
      <c r="E1059" s="34" t="str">
        <f aca="false">'Uso e Consumo'!D1059</f>
        <v>24.09.0264</v>
      </c>
      <c r="F1059" s="34" t="str">
        <f aca="false">'Uso e Consumo'!E1059</f>
        <v>CHAPA PARA DOBRAR FERRO DE 1/2 (12,50MM) DE BITOLA</v>
      </c>
      <c r="G1059" s="34" t="str">
        <f aca="false">'Uso e Consumo'!J1059</f>
        <v>UN</v>
      </c>
      <c r="H1059" s="49" t="n">
        <f aca="false">'Uso e Consumo'!F1059</f>
        <v>3</v>
      </c>
      <c r="I1059" s="35" t="n">
        <f aca="false">'Uso e Consumo'!G1059</f>
        <v>840</v>
      </c>
      <c r="J1059" s="34" t="str">
        <f aca="false">'Uso e Consumo'!M1059</f>
        <v>3.8.2.002 - Ferramentas manuais</v>
      </c>
      <c r="K1059" s="32" t="str">
        <f aca="false">INDEX('Curva ABC'!$K$8:$K$2847,MATCH(D1059,'Curva ABC'!$B$8:$B$2847,0))</f>
        <v>C</v>
      </c>
    </row>
    <row r="1060" customFormat="false" ht="15" hidden="false" customHeight="false" outlineLevel="0" collapsed="false">
      <c r="A1060" s="34" t="s">
        <v>5799</v>
      </c>
      <c r="B1060" s="34" t="str">
        <f aca="false">'Uso e Consumo'!A1060</f>
        <v>0335</v>
      </c>
      <c r="C1060" s="34" t="str">
        <f aca="false">'Uso e Consumo'!B1060</f>
        <v>UFV NORONHA VERDE - USO E CONSUMO</v>
      </c>
      <c r="D1060" s="33" t="n">
        <f aca="false">'Uso e Consumo'!C1060</f>
        <v>426452</v>
      </c>
      <c r="E1060" s="34" t="str">
        <f aca="false">'Uso e Consumo'!D1060</f>
        <v>01.04.0003</v>
      </c>
      <c r="F1060" s="34" t="str">
        <f aca="false">'Uso e Consumo'!E1060</f>
        <v>ARAME RECOZIDO Nº 18 - 1,25MM (0,010KG/M)</v>
      </c>
      <c r="G1060" s="34" t="str">
        <f aca="false">'Uso e Consumo'!J1060</f>
        <v>KG</v>
      </c>
      <c r="H1060" s="49" t="n">
        <f aca="false">'Uso e Consumo'!F1060</f>
        <v>73</v>
      </c>
      <c r="I1060" s="35" t="n">
        <f aca="false">'Uso e Consumo'!G1060</f>
        <v>834.39</v>
      </c>
      <c r="J1060" s="34" t="str">
        <f aca="false">'Uso e Consumo'!M1060</f>
        <v>3.8.1.001 - Aços e trefilados</v>
      </c>
      <c r="K1060" s="32" t="str">
        <f aca="false">INDEX('Curva ABC'!$K$8:$K$2847,MATCH(D1060,'Curva ABC'!$B$8:$B$2847,0))</f>
        <v>C</v>
      </c>
    </row>
    <row r="1061" customFormat="false" ht="15" hidden="false" customHeight="false" outlineLevel="0" collapsed="false">
      <c r="A1061" s="34" t="s">
        <v>5799</v>
      </c>
      <c r="B1061" s="34" t="str">
        <f aca="false">'Uso e Consumo'!A1061</f>
        <v>0335</v>
      </c>
      <c r="C1061" s="34" t="str">
        <f aca="false">'Uso e Consumo'!B1061</f>
        <v>UFV NORONHA VERDE - USO E CONSUMO</v>
      </c>
      <c r="D1061" s="33" t="n">
        <f aca="false">'Uso e Consumo'!C1061</f>
        <v>1602006</v>
      </c>
      <c r="E1061" s="34" t="str">
        <f aca="false">'Uso e Consumo'!D1061</f>
        <v>06.06.0023</v>
      </c>
      <c r="F1061" s="34" t="str">
        <f aca="false">'Uso e Consumo'!E1061</f>
        <v>SOLUCAO BIOLOGICA PARA TRATAMENTO DE ESGOTO E LIMPEZA DE TUBULACOES - REF. BIOROOTER SANEAR OU SIMILAR</v>
      </c>
      <c r="G1061" s="34" t="str">
        <f aca="false">'Uso e Consumo'!J1061</f>
        <v>KG</v>
      </c>
      <c r="H1061" s="49" t="n">
        <f aca="false">'Uso e Consumo'!F1061</f>
        <v>4</v>
      </c>
      <c r="I1061" s="35" t="n">
        <f aca="false">'Uso e Consumo'!G1061</f>
        <v>834</v>
      </c>
      <c r="J1061" s="34" t="str">
        <f aca="false">'Uso e Consumo'!M1061</f>
        <v>3.8.1.006 - Aditivos e produtos químicos</v>
      </c>
      <c r="K1061" s="32" t="str">
        <f aca="false">INDEX('Curva ABC'!$K$8:$K$2847,MATCH(D1061,'Curva ABC'!$B$8:$B$2847,0))</f>
        <v>C</v>
      </c>
    </row>
    <row r="1062" customFormat="false" ht="15" hidden="false" customHeight="false" outlineLevel="0" collapsed="false">
      <c r="A1062" s="34" t="s">
        <v>5799</v>
      </c>
      <c r="B1062" s="34" t="str">
        <f aca="false">'Uso e Consumo'!A1062</f>
        <v>0335</v>
      </c>
      <c r="C1062" s="34" t="str">
        <f aca="false">'Uso e Consumo'!B1062</f>
        <v>UFV NORONHA VERDE - USO E CONSUMO</v>
      </c>
      <c r="D1062" s="33" t="n">
        <f aca="false">'Uso e Consumo'!C1062</f>
        <v>1090959</v>
      </c>
      <c r="E1062" s="34" t="str">
        <f aca="false">'Uso e Consumo'!D1062</f>
        <v>17.20.0646</v>
      </c>
      <c r="F1062" s="34" t="str">
        <f aca="false">'Uso e Consumo'!E1062</f>
        <v>CAIXA DE INSPEÇÃO EM TERMOPLASTICO ANTI-UV 160 X120 X 100MM , Ø 1", PARA ATERRAMENTO </v>
      </c>
      <c r="G1062" s="34" t="str">
        <f aca="false">'Uso e Consumo'!J1062</f>
        <v>UN</v>
      </c>
      <c r="H1062" s="49" t="n">
        <f aca="false">'Uso e Consumo'!F1062</f>
        <v>9</v>
      </c>
      <c r="I1062" s="35" t="n">
        <f aca="false">'Uso e Consumo'!G1062</f>
        <v>831.6</v>
      </c>
      <c r="J1062" s="34" t="str">
        <f aca="false">'Uso e Consumo'!M1062</f>
        <v>3.8.1.017 - Instalações elétricas/telefônicas/lógica</v>
      </c>
      <c r="K1062" s="32" t="str">
        <f aca="false">INDEX('Curva ABC'!$K$8:$K$2847,MATCH(D1062,'Curva ABC'!$B$8:$B$2847,0))</f>
        <v>C</v>
      </c>
    </row>
    <row r="1063" customFormat="false" ht="15" hidden="false" customHeight="false" outlineLevel="0" collapsed="false">
      <c r="A1063" s="34" t="s">
        <v>5799</v>
      </c>
      <c r="B1063" s="34" t="str">
        <f aca="false">'Uso e Consumo'!A1063</f>
        <v>0335</v>
      </c>
      <c r="C1063" s="34" t="str">
        <f aca="false">'Uso e Consumo'!B1063</f>
        <v>UFV NORONHA VERDE - USO E CONSUMO</v>
      </c>
      <c r="D1063" s="33" t="n">
        <f aca="false">'Uso e Consumo'!C1063</f>
        <v>232841</v>
      </c>
      <c r="E1063" s="34" t="str">
        <f aca="false">'Uso e Consumo'!D1063</f>
        <v>26.02.0114</v>
      </c>
      <c r="F1063" s="34" t="str">
        <f aca="false">'Uso e Consumo'!E1063</f>
        <v>BOTA DE SEGURANÇA  COM SOLADO ANTIPERFURANTE E BIQUEIRA DE COMPOSITE, TAMANNHO 36</v>
      </c>
      <c r="G1063" s="34" t="str">
        <f aca="false">'Uso e Consumo'!J1063</f>
        <v>PAR</v>
      </c>
      <c r="H1063" s="49" t="n">
        <f aca="false">'Uso e Consumo'!F1063</f>
        <v>9</v>
      </c>
      <c r="I1063" s="35" t="n">
        <f aca="false">'Uso e Consumo'!G1063</f>
        <v>831.56</v>
      </c>
      <c r="J1063" s="34" t="str">
        <f aca="false">'Uso e Consumo'!M1063</f>
        <v>4.3.4.001 - Equipamento de proteção individual</v>
      </c>
      <c r="K1063" s="32" t="str">
        <f aca="false">INDEX('Curva ABC'!$K$8:$K$2847,MATCH(D1063,'Curva ABC'!$B$8:$B$2847,0))</f>
        <v>C</v>
      </c>
    </row>
    <row r="1064" customFormat="false" ht="15" hidden="false" customHeight="false" outlineLevel="0" collapsed="false">
      <c r="A1064" s="34" t="s">
        <v>5799</v>
      </c>
      <c r="B1064" s="34" t="str">
        <f aca="false">'Uso e Consumo'!A1064</f>
        <v>0335</v>
      </c>
      <c r="C1064" s="34" t="str">
        <f aca="false">'Uso e Consumo'!B1064</f>
        <v>UFV NORONHA VERDE - USO E CONSUMO</v>
      </c>
      <c r="D1064" s="33" t="n">
        <f aca="false">'Uso e Consumo'!C1064</f>
        <v>831919</v>
      </c>
      <c r="E1064" s="34" t="str">
        <f aca="false">'Uso e Consumo'!D1064</f>
        <v>26.02.0185</v>
      </c>
      <c r="F1064" s="34" t="str">
        <f aca="false">'Uso e Consumo'!E1064</f>
        <v>BOTINA FUJIWARA HESS C/BICO DE AÇO COMPOSITE E PALMILHA ANTIPERFURANTE CA 42330 N° 37</v>
      </c>
      <c r="G1064" s="34" t="str">
        <f aca="false">'Uso e Consumo'!J1064</f>
        <v>UN</v>
      </c>
      <c r="H1064" s="49" t="n">
        <f aca="false">'Uso e Consumo'!F1064</f>
        <v>9</v>
      </c>
      <c r="I1064" s="35" t="n">
        <f aca="false">'Uso e Consumo'!G1064</f>
        <v>831.56</v>
      </c>
      <c r="J1064" s="34" t="str">
        <f aca="false">'Uso e Consumo'!M1064</f>
        <v>4.3.4.001 - Equipamento de proteção individual</v>
      </c>
      <c r="K1064" s="32" t="str">
        <f aca="false">INDEX('Curva ABC'!$K$8:$K$2847,MATCH(D1064,'Curva ABC'!$B$8:$B$2847,0))</f>
        <v>C</v>
      </c>
    </row>
    <row r="1065" customFormat="false" ht="15" hidden="false" customHeight="false" outlineLevel="0" collapsed="false">
      <c r="A1065" s="34" t="s">
        <v>5799</v>
      </c>
      <c r="B1065" s="34" t="str">
        <f aca="false">'Uso e Consumo'!A1065</f>
        <v>0335</v>
      </c>
      <c r="C1065" s="34" t="str">
        <f aca="false">'Uso e Consumo'!B1065</f>
        <v>UFV NORONHA VERDE - USO E CONSUMO</v>
      </c>
      <c r="D1065" s="33" t="n">
        <f aca="false">'Uso e Consumo'!C1065</f>
        <v>136019</v>
      </c>
      <c r="E1065" s="34" t="str">
        <f aca="false">'Uso e Consumo'!D1065</f>
        <v>06.03.0012</v>
      </c>
      <c r="F1065" s="34" t="str">
        <f aca="false">'Uso e Consumo'!E1065</f>
        <v>MANTA GEOTEXTIL POLIÉSTER RESISTÊNCIA A TRAÇÃO DE 14KN/M (RT 14)</v>
      </c>
      <c r="G1065" s="34" t="str">
        <f aca="false">'Uso e Consumo'!J1065</f>
        <v>M2</v>
      </c>
      <c r="H1065" s="49" t="n">
        <f aca="false">'Uso e Consumo'!F1065</f>
        <v>70</v>
      </c>
      <c r="I1065" s="35" t="n">
        <f aca="false">'Uso e Consumo'!G1065</f>
        <v>830.9</v>
      </c>
      <c r="J1065" s="34" t="str">
        <f aca="false">'Uso e Consumo'!M1065</f>
        <v>3.8.1.006 - Aditivos e produtos químicos</v>
      </c>
      <c r="K1065" s="32" t="str">
        <f aca="false">INDEX('Curva ABC'!$K$8:$K$2847,MATCH(D1065,'Curva ABC'!$B$8:$B$2847,0))</f>
        <v>C</v>
      </c>
    </row>
    <row r="1066" customFormat="false" ht="15" hidden="false" customHeight="false" outlineLevel="0" collapsed="false">
      <c r="A1066" s="34" t="s">
        <v>5799</v>
      </c>
      <c r="B1066" s="34" t="str">
        <f aca="false">'Uso e Consumo'!A1066</f>
        <v>0335</v>
      </c>
      <c r="C1066" s="34" t="str">
        <f aca="false">'Uso e Consumo'!B1066</f>
        <v>UFV NORONHA VERDE - USO E CONSUMO</v>
      </c>
      <c r="D1066" s="33" t="n">
        <f aca="false">'Uso e Consumo'!C1066</f>
        <v>290639</v>
      </c>
      <c r="E1066" s="34" t="str">
        <f aca="false">'Uso e Consumo'!D1066</f>
        <v>19.12.0060</v>
      </c>
      <c r="F1066" s="34" t="str">
        <f aca="false">'Uso e Consumo'!E1066</f>
        <v>DISPENSER PARA ÁLCOOL GEL OU SABÃO T-2384 TL BRANCO (TRILHA)</v>
      </c>
      <c r="G1066" s="34" t="str">
        <f aca="false">'Uso e Consumo'!J1066</f>
        <v>UN</v>
      </c>
      <c r="H1066" s="49" t="n">
        <f aca="false">'Uso e Consumo'!F1066</f>
        <v>20</v>
      </c>
      <c r="I1066" s="35" t="n">
        <f aca="false">'Uso e Consumo'!G1066</f>
        <v>830.8</v>
      </c>
      <c r="J1066" s="34" t="str">
        <f aca="false">'Uso e Consumo'!M1066</f>
        <v>3.8.1.018 - Instalações hidráulicas/sanitárias/industriais</v>
      </c>
      <c r="K1066" s="32" t="str">
        <f aca="false">INDEX('Curva ABC'!$K$8:$K$2847,MATCH(D1066,'Curva ABC'!$B$8:$B$2847,0))</f>
        <v>C</v>
      </c>
    </row>
    <row r="1067" customFormat="false" ht="15" hidden="false" customHeight="false" outlineLevel="0" collapsed="false">
      <c r="A1067" s="34" t="s">
        <v>5799</v>
      </c>
      <c r="B1067" s="34" t="str">
        <f aca="false">'Uso e Consumo'!A1067</f>
        <v>0335</v>
      </c>
      <c r="C1067" s="34" t="str">
        <f aca="false">'Uso e Consumo'!B1067</f>
        <v>UFV NORONHA VERDE - USO E CONSUMO</v>
      </c>
      <c r="D1067" s="33" t="n">
        <f aca="false">'Uso e Consumo'!C1067</f>
        <v>294962</v>
      </c>
      <c r="E1067" s="34" t="str">
        <f aca="false">'Uso e Consumo'!D1067</f>
        <v>31.02.0115</v>
      </c>
      <c r="F1067" s="34" t="str">
        <f aca="false">'Uso e Consumo'!E1067</f>
        <v>GRAXA EVORA EVOLI LITH EP NLGI2 20KG</v>
      </c>
      <c r="G1067" s="34" t="str">
        <f aca="false">'Uso e Consumo'!J1067</f>
        <v>UN</v>
      </c>
      <c r="H1067" s="49" t="n">
        <f aca="false">'Uso e Consumo'!F1067</f>
        <v>1</v>
      </c>
      <c r="I1067" s="35" t="n">
        <f aca="false">'Uso e Consumo'!G1067</f>
        <v>830</v>
      </c>
      <c r="J1067" s="34" t="str">
        <f aca="false">'Uso e Consumo'!M1067</f>
        <v>3.1.6.001 - Combustível e lubrificantes</v>
      </c>
      <c r="K1067" s="32" t="str">
        <f aca="false">INDEX('Curva ABC'!$K$8:$K$2847,MATCH(D1067,'Curva ABC'!$B$8:$B$2847,0))</f>
        <v>C</v>
      </c>
    </row>
    <row r="1068" customFormat="false" ht="15" hidden="false" customHeight="false" outlineLevel="0" collapsed="false">
      <c r="A1068" s="34" t="s">
        <v>5799</v>
      </c>
      <c r="B1068" s="34" t="str">
        <f aca="false">'Uso e Consumo'!A1068</f>
        <v>0335</v>
      </c>
      <c r="C1068" s="34" t="str">
        <f aca="false">'Uso e Consumo'!B1068</f>
        <v>UFV NORONHA VERDE - USO E CONSUMO</v>
      </c>
      <c r="D1068" s="33" t="n">
        <f aca="false">'Uso e Consumo'!C1068</f>
        <v>352263</v>
      </c>
      <c r="E1068" s="34" t="str">
        <f aca="false">'Uso e Consumo'!D1068</f>
        <v>31.02.0119</v>
      </c>
      <c r="F1068" s="34" t="str">
        <f aca="false">'Uso e Consumo'!E1068</f>
        <v>SOLUÇÃO ARLA 20L</v>
      </c>
      <c r="G1068" s="34" t="str">
        <f aca="false">'Uso e Consumo'!J1068</f>
        <v>UN</v>
      </c>
      <c r="H1068" s="49" t="n">
        <f aca="false">'Uso e Consumo'!F1068</f>
        <v>10</v>
      </c>
      <c r="I1068" s="35" t="n">
        <f aca="false">'Uso e Consumo'!G1068</f>
        <v>830</v>
      </c>
      <c r="J1068" s="34" t="str">
        <f aca="false">'Uso e Consumo'!M1068</f>
        <v>3.1.6.001 - Combustível e lubrificantes</v>
      </c>
      <c r="K1068" s="32" t="str">
        <f aca="false">INDEX('Curva ABC'!$K$8:$K$2847,MATCH(D1068,'Curva ABC'!$B$8:$B$2847,0))</f>
        <v>C</v>
      </c>
    </row>
    <row r="1069" customFormat="false" ht="15" hidden="false" customHeight="false" outlineLevel="0" collapsed="false">
      <c r="A1069" s="34" t="s">
        <v>5799</v>
      </c>
      <c r="B1069" s="34" t="str">
        <f aca="false">'Uso e Consumo'!A1069</f>
        <v>0335</v>
      </c>
      <c r="C1069" s="34" t="str">
        <f aca="false">'Uso e Consumo'!B1069</f>
        <v>UFV NORONHA VERDE - USO E CONSUMO</v>
      </c>
      <c r="D1069" s="33" t="n">
        <f aca="false">'Uso e Consumo'!C1069</f>
        <v>89785</v>
      </c>
      <c r="E1069" s="34" t="str">
        <f aca="false">'Uso e Consumo'!D1069</f>
        <v>19.08.0053</v>
      </c>
      <c r="F1069" s="34" t="str">
        <f aca="false">'Uso e Consumo'!E1069</f>
        <v>TORNEIRA PVC P/ LAVATÓRIO DE MESA 1/2" NBR 10283</v>
      </c>
      <c r="G1069" s="34" t="str">
        <f aca="false">'Uso e Consumo'!J1069</f>
        <v>UN</v>
      </c>
      <c r="H1069" s="49" t="n">
        <f aca="false">'Uso e Consumo'!F1069</f>
        <v>75</v>
      </c>
      <c r="I1069" s="35" t="n">
        <f aca="false">'Uso e Consumo'!G1069</f>
        <v>828.75</v>
      </c>
      <c r="J1069" s="34" t="str">
        <f aca="false">'Uso e Consumo'!M1069</f>
        <v>3.8.1.018 - Instalações hidráulicas/sanitárias/industriais</v>
      </c>
      <c r="K1069" s="32" t="str">
        <f aca="false">INDEX('Curva ABC'!$K$8:$K$2847,MATCH(D1069,'Curva ABC'!$B$8:$B$2847,0))</f>
        <v>C</v>
      </c>
    </row>
    <row r="1070" customFormat="false" ht="15" hidden="false" customHeight="false" outlineLevel="0" collapsed="false">
      <c r="A1070" s="34" t="s">
        <v>5799</v>
      </c>
      <c r="B1070" s="34" t="str">
        <f aca="false">'Uso e Consumo'!A1070</f>
        <v>0335</v>
      </c>
      <c r="C1070" s="34" t="str">
        <f aca="false">'Uso e Consumo'!B1070</f>
        <v>UFV NORONHA VERDE - USO E CONSUMO</v>
      </c>
      <c r="D1070" s="33" t="n">
        <f aca="false">'Uso e Consumo'!C1070</f>
        <v>887569</v>
      </c>
      <c r="E1070" s="34" t="str">
        <f aca="false">'Uso e Consumo'!D1070</f>
        <v>18.09.0316</v>
      </c>
      <c r="F1070" s="34" t="str">
        <f aca="false">'Uso e Consumo'!E1070</f>
        <v>REGISTRO PVC DE ESFERA SOLDÁVEL MARROM 50MM</v>
      </c>
      <c r="G1070" s="34" t="str">
        <f aca="false">'Uso e Consumo'!J1070</f>
        <v>UN</v>
      </c>
      <c r="H1070" s="49" t="n">
        <f aca="false">'Uso e Consumo'!F1070</f>
        <v>28</v>
      </c>
      <c r="I1070" s="35" t="n">
        <f aca="false">'Uso e Consumo'!G1070</f>
        <v>826</v>
      </c>
      <c r="J1070" s="34" t="str">
        <f aca="false">'Uso e Consumo'!M1070</f>
        <v>3.8.1.018 - Instalações hidráulicas/sanitárias/industriais</v>
      </c>
      <c r="K1070" s="32" t="str">
        <f aca="false">INDEX('Curva ABC'!$K$8:$K$2847,MATCH(D1070,'Curva ABC'!$B$8:$B$2847,0))</f>
        <v>C</v>
      </c>
    </row>
    <row r="1071" customFormat="false" ht="15" hidden="false" customHeight="false" outlineLevel="0" collapsed="false">
      <c r="A1071" s="34" t="s">
        <v>5799</v>
      </c>
      <c r="B1071" s="34" t="str">
        <f aca="false">'Uso e Consumo'!A1071</f>
        <v>0335</v>
      </c>
      <c r="C1071" s="34" t="str">
        <f aca="false">'Uso e Consumo'!B1071</f>
        <v>UFV NORONHA VERDE - USO E CONSUMO</v>
      </c>
      <c r="D1071" s="33" t="n">
        <f aca="false">'Uso e Consumo'!C1071</f>
        <v>1014187</v>
      </c>
      <c r="E1071" s="34" t="str">
        <f aca="false">'Uso e Consumo'!D1071</f>
        <v>24.16.0020</v>
      </c>
      <c r="F1071" s="34" t="str">
        <f aca="false">'Uso e Consumo'!E1071</f>
        <v>ALAVANCA 2 M / 5"</v>
      </c>
      <c r="G1071" s="34" t="str">
        <f aca="false">'Uso e Consumo'!J1071</f>
        <v>UN</v>
      </c>
      <c r="H1071" s="49" t="n">
        <f aca="false">'Uso e Consumo'!F1071</f>
        <v>5</v>
      </c>
      <c r="I1071" s="35" t="n">
        <f aca="false">'Uso e Consumo'!G1071</f>
        <v>825</v>
      </c>
      <c r="J1071" s="34" t="str">
        <f aca="false">'Uso e Consumo'!M1071</f>
        <v>3.8.2.002 - Ferramentas manuais</v>
      </c>
      <c r="K1071" s="32" t="str">
        <f aca="false">INDEX('Curva ABC'!$K$8:$K$2847,MATCH(D1071,'Curva ABC'!$B$8:$B$2847,0))</f>
        <v>C</v>
      </c>
    </row>
    <row r="1072" customFormat="false" ht="15" hidden="false" customHeight="false" outlineLevel="0" collapsed="false">
      <c r="A1072" s="34" t="s">
        <v>5799</v>
      </c>
      <c r="B1072" s="34" t="str">
        <f aca="false">'Uso e Consumo'!A1072</f>
        <v>0335</v>
      </c>
      <c r="C1072" s="34" t="str">
        <f aca="false">'Uso e Consumo'!B1072</f>
        <v>UFV NORONHA VERDE - USO E CONSUMO</v>
      </c>
      <c r="D1072" s="33" t="n">
        <f aca="false">'Uso e Consumo'!C1072</f>
        <v>1607244</v>
      </c>
      <c r="E1072" s="34" t="str">
        <f aca="false">'Uso e Consumo'!D1072</f>
        <v>17.20.0731</v>
      </c>
      <c r="F1072" s="34" t="str">
        <f aca="false">'Uso e Consumo'!E1072</f>
        <v>TERMO RETRATIL BITOLA 300</v>
      </c>
      <c r="G1072" s="34" t="str">
        <f aca="false">'Uso e Consumo'!J1072</f>
        <v>UN</v>
      </c>
      <c r="H1072" s="49" t="n">
        <f aca="false">'Uso e Consumo'!F1072</f>
        <v>50</v>
      </c>
      <c r="I1072" s="35" t="n">
        <f aca="false">'Uso e Consumo'!G1072</f>
        <v>824.5</v>
      </c>
      <c r="J1072" s="34" t="str">
        <f aca="false">'Uso e Consumo'!M1072</f>
        <v>3.8.1.017 - Instalações elétricas/telefônicas/lógica</v>
      </c>
      <c r="K1072" s="32" t="str">
        <f aca="false">INDEX('Curva ABC'!$K$8:$K$2847,MATCH(D1072,'Curva ABC'!$B$8:$B$2847,0))</f>
        <v>C</v>
      </c>
    </row>
    <row r="1073" customFormat="false" ht="15" hidden="false" customHeight="false" outlineLevel="0" collapsed="false">
      <c r="A1073" s="34" t="s">
        <v>5799</v>
      </c>
      <c r="B1073" s="34" t="str">
        <f aca="false">'Uso e Consumo'!A1073</f>
        <v>0335</v>
      </c>
      <c r="C1073" s="34" t="str">
        <f aca="false">'Uso e Consumo'!B1073</f>
        <v>UFV NORONHA VERDE - USO E CONSUMO</v>
      </c>
      <c r="D1073" s="33" t="n">
        <f aca="false">'Uso e Consumo'!C1073</f>
        <v>1462147</v>
      </c>
      <c r="E1073" s="34" t="str">
        <f aca="false">'Uso e Consumo'!D1073</f>
        <v>09.08.0079</v>
      </c>
      <c r="F1073" s="34" t="str">
        <f aca="false">'Uso e Consumo'!E1073</f>
        <v>CAIXA DE GORDURA</v>
      </c>
      <c r="G1073" s="34" t="str">
        <f aca="false">'Uso e Consumo'!J1073</f>
        <v>UN</v>
      </c>
      <c r="H1073" s="49" t="n">
        <f aca="false">'Uso e Consumo'!F1073</f>
        <v>2</v>
      </c>
      <c r="I1073" s="35" t="n">
        <f aca="false">'Uso e Consumo'!G1073</f>
        <v>824</v>
      </c>
      <c r="J1073" s="34" t="str">
        <f aca="false">'Uso e Consumo'!M1073</f>
        <v>3.8.1.009 - Artefatos pré-moldados de concreto</v>
      </c>
      <c r="K1073" s="32" t="str">
        <f aca="false">INDEX('Curva ABC'!$K$8:$K$2847,MATCH(D1073,'Curva ABC'!$B$8:$B$2847,0))</f>
        <v>C</v>
      </c>
    </row>
    <row r="1074" customFormat="false" ht="15" hidden="false" customHeight="false" outlineLevel="0" collapsed="false">
      <c r="A1074" s="34" t="s">
        <v>5799</v>
      </c>
      <c r="B1074" s="34" t="str">
        <f aca="false">'Uso e Consumo'!A1074</f>
        <v>0335</v>
      </c>
      <c r="C1074" s="34" t="str">
        <f aca="false">'Uso e Consumo'!B1074</f>
        <v>UFV NORONHA VERDE - USO E CONSUMO</v>
      </c>
      <c r="D1074" s="33" t="n">
        <f aca="false">'Uso e Consumo'!C1074</f>
        <v>1607588</v>
      </c>
      <c r="E1074" s="34" t="str">
        <f aca="false">'Uso e Consumo'!D1074</f>
        <v>17.10.0433</v>
      </c>
      <c r="F1074" s="34" t="str">
        <f aca="false">'Uso e Consumo'!E1074</f>
        <v>DISJUNTOR TERMOMAGNETICO TRIPOLAR DE 125A CURVA C</v>
      </c>
      <c r="G1074" s="34" t="str">
        <f aca="false">'Uso e Consumo'!J1074</f>
        <v>UN</v>
      </c>
      <c r="H1074" s="49" t="n">
        <f aca="false">'Uso e Consumo'!F1074</f>
        <v>2</v>
      </c>
      <c r="I1074" s="35" t="n">
        <f aca="false">'Uso e Consumo'!G1074</f>
        <v>824</v>
      </c>
      <c r="J1074" s="34" t="str">
        <f aca="false">'Uso e Consumo'!M1074</f>
        <v>3.8.1.017 - Instalações elétricas/telefônicas/lógica</v>
      </c>
      <c r="K1074" s="32" t="str">
        <f aca="false">INDEX('Curva ABC'!$K$8:$K$2847,MATCH(D1074,'Curva ABC'!$B$8:$B$2847,0))</f>
        <v>C</v>
      </c>
    </row>
    <row r="1075" customFormat="false" ht="15" hidden="false" customHeight="false" outlineLevel="0" collapsed="false">
      <c r="A1075" s="34" t="s">
        <v>5799</v>
      </c>
      <c r="B1075" s="34" t="str">
        <f aca="false">'Uso e Consumo'!A1075</f>
        <v>0335</v>
      </c>
      <c r="C1075" s="34" t="str">
        <f aca="false">'Uso e Consumo'!B1075</f>
        <v>UFV NORONHA VERDE - USO E CONSUMO</v>
      </c>
      <c r="D1075" s="33" t="n">
        <f aca="false">'Uso e Consumo'!C1075</f>
        <v>727092</v>
      </c>
      <c r="E1075" s="34" t="str">
        <f aca="false">'Uso e Consumo'!D1075</f>
        <v>30.03.0388</v>
      </c>
      <c r="F1075" s="34" t="str">
        <f aca="false">'Uso e Consumo'!E1075</f>
        <v>BACIA PLÁSTICA 20L</v>
      </c>
      <c r="G1075" s="34" t="str">
        <f aca="false">'Uso e Consumo'!J1075</f>
        <v>UN</v>
      </c>
      <c r="H1075" s="49" t="n">
        <f aca="false">'Uso e Consumo'!F1075</f>
        <v>48</v>
      </c>
      <c r="I1075" s="35" t="n">
        <f aca="false">'Uso e Consumo'!G1075</f>
        <v>823.16</v>
      </c>
      <c r="J1075" s="34" t="str">
        <f aca="false">'Uso e Consumo'!M1075</f>
        <v>4.1.1.001 - Material de uso e consumo</v>
      </c>
      <c r="K1075" s="32" t="str">
        <f aca="false">INDEX('Curva ABC'!$K$8:$K$2847,MATCH(D1075,'Curva ABC'!$B$8:$B$2847,0))</f>
        <v>C</v>
      </c>
    </row>
    <row r="1076" customFormat="false" ht="15" hidden="false" customHeight="false" outlineLevel="0" collapsed="false">
      <c r="A1076" s="34" t="s">
        <v>5799</v>
      </c>
      <c r="B1076" s="34" t="str">
        <f aca="false">'Uso e Consumo'!A1076</f>
        <v>0335</v>
      </c>
      <c r="C1076" s="34" t="str">
        <f aca="false">'Uso e Consumo'!B1076</f>
        <v>UFV NORONHA VERDE - USO E CONSUMO</v>
      </c>
      <c r="D1076" s="33" t="n">
        <f aca="false">'Uso e Consumo'!C1076</f>
        <v>19754</v>
      </c>
      <c r="E1076" s="34" t="str">
        <f aca="false">'Uso e Consumo'!D1076</f>
        <v>30.03.0027</v>
      </c>
      <c r="F1076" s="34" t="str">
        <f aca="false">'Uso e Consumo'!E1076</f>
        <v>SACO PLÁSTICO LIXO 60,00L PRETO S/IMPRESSAO C/100</v>
      </c>
      <c r="G1076" s="34" t="str">
        <f aca="false">'Uso e Consumo'!J1076</f>
        <v>UN</v>
      </c>
      <c r="H1076" s="49" t="n">
        <f aca="false">'Uso e Consumo'!F1076</f>
        <v>50</v>
      </c>
      <c r="I1076" s="35" t="n">
        <f aca="false">'Uso e Consumo'!G1076</f>
        <v>816.25</v>
      </c>
      <c r="J1076" s="34" t="str">
        <f aca="false">'Uso e Consumo'!M1076</f>
        <v>4.1.1.003 - Material limpeza</v>
      </c>
      <c r="K1076" s="32" t="str">
        <f aca="false">INDEX('Curva ABC'!$K$8:$K$2847,MATCH(D1076,'Curva ABC'!$B$8:$B$2847,0))</f>
        <v>C</v>
      </c>
    </row>
    <row r="1077" customFormat="false" ht="15" hidden="false" customHeight="false" outlineLevel="0" collapsed="false">
      <c r="A1077" s="34" t="s">
        <v>5799</v>
      </c>
      <c r="B1077" s="34" t="str">
        <f aca="false">'Uso e Consumo'!A1077</f>
        <v>0335</v>
      </c>
      <c r="C1077" s="34" t="str">
        <f aca="false">'Uso e Consumo'!B1077</f>
        <v>UFV NORONHA VERDE - USO E CONSUMO</v>
      </c>
      <c r="D1077" s="33" t="n">
        <f aca="false">'Uso e Consumo'!C1077</f>
        <v>1661535</v>
      </c>
      <c r="E1077" s="34" t="str">
        <f aca="false">'Uso e Consumo'!D1077</f>
        <v>17.12.0521</v>
      </c>
      <c r="F1077" s="34" t="str">
        <f aca="false">'Uso e Consumo'!E1077</f>
        <v>CONJUNTO 2 INTERRUPTORES PARALELOS COM TAMPA TIPO X PARA ELETRODUTO 3/4"</v>
      </c>
      <c r="G1077" s="34" t="str">
        <f aca="false">'Uso e Consumo'!J1077</f>
        <v>UN</v>
      </c>
      <c r="H1077" s="49" t="n">
        <f aca="false">'Uso e Consumo'!F1077</f>
        <v>17</v>
      </c>
      <c r="I1077" s="35" t="n">
        <f aca="false">'Uso e Consumo'!G1077</f>
        <v>816</v>
      </c>
      <c r="J1077" s="34" t="str">
        <f aca="false">'Uso e Consumo'!M1077</f>
        <v>3.8.1.017 - Instalações elétricas/telefônicas/lógica</v>
      </c>
      <c r="K1077" s="32" t="str">
        <f aca="false">INDEX('Curva ABC'!$K$8:$K$2847,MATCH(D1077,'Curva ABC'!$B$8:$B$2847,0))</f>
        <v>C</v>
      </c>
    </row>
    <row r="1078" customFormat="false" ht="15" hidden="false" customHeight="false" outlineLevel="0" collapsed="false">
      <c r="A1078" s="34" t="s">
        <v>5799</v>
      </c>
      <c r="B1078" s="34" t="str">
        <f aca="false">'Uso e Consumo'!A1078</f>
        <v>0335</v>
      </c>
      <c r="C1078" s="34" t="str">
        <f aca="false">'Uso e Consumo'!B1078</f>
        <v>UFV NORONHA VERDE - USO E CONSUMO</v>
      </c>
      <c r="D1078" s="33" t="n">
        <f aca="false">'Uso e Consumo'!C1078</f>
        <v>17855</v>
      </c>
      <c r="E1078" s="34" t="str">
        <f aca="false">'Uso e Consumo'!D1078</f>
        <v>24.03.0002</v>
      </c>
      <c r="F1078" s="34" t="str">
        <f aca="false">'Uso e Consumo'!E1078</f>
        <v>PAQUIMETRO UNIVERSAL DIGITAL AÇO INOX CAP 150,00MM/6" RESOLUCAO 0,01MM</v>
      </c>
      <c r="G1078" s="34" t="str">
        <f aca="false">'Uso e Consumo'!J1078</f>
        <v>UN</v>
      </c>
      <c r="H1078" s="49" t="n">
        <f aca="false">'Uso e Consumo'!F1078</f>
        <v>2</v>
      </c>
      <c r="I1078" s="35" t="n">
        <f aca="false">'Uso e Consumo'!G1078</f>
        <v>810</v>
      </c>
      <c r="J1078" s="34" t="str">
        <f aca="false">'Uso e Consumo'!M1078</f>
        <v>3.8.2.001 - Ferramentas medição/aferição</v>
      </c>
      <c r="K1078" s="32" t="str">
        <f aca="false">INDEX('Curva ABC'!$K$8:$K$2847,MATCH(D1078,'Curva ABC'!$B$8:$B$2847,0))</f>
        <v>C</v>
      </c>
    </row>
    <row r="1079" customFormat="false" ht="15" hidden="false" customHeight="false" outlineLevel="0" collapsed="false">
      <c r="A1079" s="34" t="s">
        <v>5799</v>
      </c>
      <c r="B1079" s="34" t="str">
        <f aca="false">'Uso e Consumo'!A1079</f>
        <v>0335</v>
      </c>
      <c r="C1079" s="34" t="str">
        <f aca="false">'Uso e Consumo'!B1079</f>
        <v>UFV NORONHA VERDE - USO E CONSUMO</v>
      </c>
      <c r="D1079" s="33" t="n">
        <f aca="false">'Uso e Consumo'!C1079</f>
        <v>17959</v>
      </c>
      <c r="E1079" s="34" t="str">
        <f aca="false">'Uso e Consumo'!D1079</f>
        <v>24.09.0053</v>
      </c>
      <c r="F1079" s="34" t="str">
        <f aca="false">'Uso e Consumo'!E1079</f>
        <v>CHAVE COMBINADA 7/8" AÇO CARBONO CROMADO</v>
      </c>
      <c r="G1079" s="34" t="str">
        <f aca="false">'Uso e Consumo'!J1079</f>
        <v>UN</v>
      </c>
      <c r="H1079" s="49" t="n">
        <f aca="false">'Uso e Consumo'!F1079</f>
        <v>8</v>
      </c>
      <c r="I1079" s="35" t="n">
        <f aca="false">'Uso e Consumo'!G1079</f>
        <v>804.3</v>
      </c>
      <c r="J1079" s="34" t="str">
        <f aca="false">'Uso e Consumo'!M1079</f>
        <v>3.8.2.002 - Ferramentas manuais</v>
      </c>
      <c r="K1079" s="32" t="str">
        <f aca="false">INDEX('Curva ABC'!$K$8:$K$2847,MATCH(D1079,'Curva ABC'!$B$8:$B$2847,0))</f>
        <v>C</v>
      </c>
    </row>
    <row r="1080" customFormat="false" ht="15" hidden="false" customHeight="false" outlineLevel="0" collapsed="false">
      <c r="A1080" s="34" t="s">
        <v>5799</v>
      </c>
      <c r="B1080" s="34" t="str">
        <f aca="false">'Uso e Consumo'!A1080</f>
        <v>0335</v>
      </c>
      <c r="C1080" s="34" t="str">
        <f aca="false">'Uso e Consumo'!B1080</f>
        <v>UFV NORONHA VERDE - USO E CONSUMO</v>
      </c>
      <c r="D1080" s="33" t="n">
        <f aca="false">'Uso e Consumo'!C1080</f>
        <v>1677685</v>
      </c>
      <c r="E1080" s="34" t="str">
        <f aca="false">'Uso e Consumo'!D1080</f>
        <v>17.20.0766</v>
      </c>
      <c r="F1080" s="34" t="str">
        <f aca="false">'Uso e Consumo'!E1080</f>
        <v>CONECTOR TERMINAL RETO A COMPRESSAO, COBRE ESTANHADO, 1 CABO 240 MM, 2 FUROS NEMA, PARAFUSOS M12, PORCAS E ARRUELAS</v>
      </c>
      <c r="G1080" s="34" t="str">
        <f aca="false">'Uso e Consumo'!J1080</f>
        <v>UN</v>
      </c>
      <c r="H1080" s="49" t="n">
        <f aca="false">'Uso e Consumo'!F1080</f>
        <v>12</v>
      </c>
      <c r="I1080" s="35" t="n">
        <f aca="false">'Uso e Consumo'!G1080</f>
        <v>801.36</v>
      </c>
      <c r="J1080" s="34" t="str">
        <f aca="false">'Uso e Consumo'!M1080</f>
        <v>3.8.1.017 - Instalações elétricas/telefônicas/lógica</v>
      </c>
      <c r="K1080" s="32" t="str">
        <f aca="false">INDEX('Curva ABC'!$K$8:$K$2847,MATCH(D1080,'Curva ABC'!$B$8:$B$2847,0))</f>
        <v>C</v>
      </c>
    </row>
    <row r="1081" customFormat="false" ht="15" hidden="false" customHeight="false" outlineLevel="0" collapsed="false">
      <c r="A1081" s="34" t="s">
        <v>5799</v>
      </c>
      <c r="B1081" s="34" t="str">
        <f aca="false">'Uso e Consumo'!A1081</f>
        <v>0335</v>
      </c>
      <c r="C1081" s="34" t="str">
        <f aca="false">'Uso e Consumo'!B1081</f>
        <v>UFV NORONHA VERDE - USO E CONSUMO</v>
      </c>
      <c r="D1081" s="33" t="n">
        <f aca="false">'Uso e Consumo'!C1081</f>
        <v>22705</v>
      </c>
      <c r="E1081" s="34" t="str">
        <f aca="false">'Uso e Consumo'!D1081</f>
        <v>24.31.0005</v>
      </c>
      <c r="F1081" s="34" t="str">
        <f aca="false">'Uso e Consumo'!E1081</f>
        <v>ESCOVA MANUAL EM AÇO COM CABO DE MADEIRA</v>
      </c>
      <c r="G1081" s="34" t="str">
        <f aca="false">'Uso e Consumo'!J1081</f>
        <v>UN</v>
      </c>
      <c r="H1081" s="49" t="n">
        <f aca="false">'Uso e Consumo'!F1081</f>
        <v>100</v>
      </c>
      <c r="I1081" s="35" t="n">
        <f aca="false">'Uso e Consumo'!G1081</f>
        <v>800</v>
      </c>
      <c r="J1081" s="34" t="str">
        <f aca="false">'Uso e Consumo'!M1081</f>
        <v>6.1.2.002 - Ferramentas e utensílios</v>
      </c>
      <c r="K1081" s="32" t="str">
        <f aca="false">INDEX('Curva ABC'!$K$8:$K$2847,MATCH(D1081,'Curva ABC'!$B$8:$B$2847,0))</f>
        <v>C</v>
      </c>
    </row>
    <row r="1082" customFormat="false" ht="15" hidden="false" customHeight="false" outlineLevel="0" collapsed="false">
      <c r="A1082" s="34" t="s">
        <v>5799</v>
      </c>
      <c r="B1082" s="34" t="str">
        <f aca="false">'Uso e Consumo'!A1082</f>
        <v>0335</v>
      </c>
      <c r="C1082" s="34" t="str">
        <f aca="false">'Uso e Consumo'!B1082</f>
        <v>UFV NORONHA VERDE - USO E CONSUMO</v>
      </c>
      <c r="D1082" s="33" t="n">
        <f aca="false">'Uso e Consumo'!C1082</f>
        <v>878948</v>
      </c>
      <c r="E1082" s="34" t="str">
        <f aca="false">'Uso e Consumo'!D1082</f>
        <v>27.01.0427</v>
      </c>
      <c r="F1082" s="34" t="str">
        <f aca="false">'Uso e Consumo'!E1082</f>
        <v>HIDROCORTISONA INJETAVEL</v>
      </c>
      <c r="G1082" s="34" t="str">
        <f aca="false">'Uso e Consumo'!J1082</f>
        <v>UN</v>
      </c>
      <c r="H1082" s="49" t="n">
        <f aca="false">'Uso e Consumo'!F1082</f>
        <v>2</v>
      </c>
      <c r="I1082" s="35" t="n">
        <f aca="false">'Uso e Consumo'!G1082</f>
        <v>800</v>
      </c>
      <c r="J1082" s="34" t="str">
        <f aca="false">'Uso e Consumo'!M1082</f>
        <v>4.3.4.006 - Medicamentos e primeiro socorros</v>
      </c>
      <c r="K1082" s="32" t="str">
        <f aca="false">INDEX('Curva ABC'!$K$8:$K$2847,MATCH(D1082,'Curva ABC'!$B$8:$B$2847,0))</f>
        <v>C</v>
      </c>
    </row>
    <row r="1083" customFormat="false" ht="15" hidden="false" customHeight="false" outlineLevel="0" collapsed="false">
      <c r="A1083" s="34" t="s">
        <v>5799</v>
      </c>
      <c r="B1083" s="34" t="str">
        <f aca="false">'Uso e Consumo'!A1083</f>
        <v>0335</v>
      </c>
      <c r="C1083" s="34" t="str">
        <f aca="false">'Uso e Consumo'!B1083</f>
        <v>UFV NORONHA VERDE - USO E CONSUMO</v>
      </c>
      <c r="D1083" s="33" t="n">
        <f aca="false">'Uso e Consumo'!C1083</f>
        <v>19139</v>
      </c>
      <c r="E1083" s="34" t="str">
        <f aca="false">'Uso e Consumo'!D1083</f>
        <v>29.01.0063</v>
      </c>
      <c r="F1083" s="34" t="str">
        <f aca="false">'Uso e Consumo'!E1083</f>
        <v>LEITOR DE CÓDIGO DE BARRAS</v>
      </c>
      <c r="G1083" s="34" t="str">
        <f aca="false">'Uso e Consumo'!J1083</f>
        <v>UN</v>
      </c>
      <c r="H1083" s="49" t="n">
        <f aca="false">'Uso e Consumo'!F1083</f>
        <v>2</v>
      </c>
      <c r="I1083" s="35" t="n">
        <f aca="false">'Uso e Consumo'!G1083</f>
        <v>797.98</v>
      </c>
      <c r="J1083" s="34" t="str">
        <f aca="false">'Uso e Consumo'!M1083</f>
        <v>4.1.1.007 - Equipamentos e acessórios para informática</v>
      </c>
      <c r="K1083" s="32" t="str">
        <f aca="false">INDEX('Curva ABC'!$K$8:$K$2847,MATCH(D1083,'Curva ABC'!$B$8:$B$2847,0))</f>
        <v>C</v>
      </c>
    </row>
    <row r="1084" customFormat="false" ht="15" hidden="false" customHeight="false" outlineLevel="0" collapsed="false">
      <c r="A1084" s="34" t="s">
        <v>5799</v>
      </c>
      <c r="B1084" s="34" t="str">
        <f aca="false">'Uso e Consumo'!A1084</f>
        <v>0335</v>
      </c>
      <c r="C1084" s="34" t="str">
        <f aca="false">'Uso e Consumo'!B1084</f>
        <v>UFV NORONHA VERDE - USO E CONSUMO</v>
      </c>
      <c r="D1084" s="33" t="n">
        <f aca="false">'Uso e Consumo'!C1084</f>
        <v>845685</v>
      </c>
      <c r="E1084" s="34" t="str">
        <f aca="false">'Uso e Consumo'!D1084</f>
        <v>25.19.0021</v>
      </c>
      <c r="F1084" s="34" t="str">
        <f aca="false">'Uso e Consumo'!E1084</f>
        <v>GALÃO DE COMBUSTÍVEL AMARELO C/BICO - 20 LITROS</v>
      </c>
      <c r="G1084" s="34" t="str">
        <f aca="false">'Uso e Consumo'!J1084</f>
        <v>UN</v>
      </c>
      <c r="H1084" s="49" t="n">
        <f aca="false">'Uso e Consumo'!F1084</f>
        <v>2</v>
      </c>
      <c r="I1084" s="35" t="n">
        <f aca="false">'Uso e Consumo'!G1084</f>
        <v>796</v>
      </c>
      <c r="J1084" s="34" t="str">
        <f aca="false">'Uso e Consumo'!M1084</f>
        <v>3.8.2.006 - Utensílios</v>
      </c>
      <c r="K1084" s="32" t="str">
        <f aca="false">INDEX('Curva ABC'!$K$8:$K$2847,MATCH(D1084,'Curva ABC'!$B$8:$B$2847,0))</f>
        <v>C</v>
      </c>
    </row>
    <row r="1085" customFormat="false" ht="15" hidden="false" customHeight="false" outlineLevel="0" collapsed="false">
      <c r="A1085" s="34" t="s">
        <v>5799</v>
      </c>
      <c r="B1085" s="34" t="str">
        <f aca="false">'Uso e Consumo'!A1085</f>
        <v>0335</v>
      </c>
      <c r="C1085" s="34" t="str">
        <f aca="false">'Uso e Consumo'!B1085</f>
        <v>UFV NORONHA VERDE - USO E CONSUMO</v>
      </c>
      <c r="D1085" s="33" t="n">
        <f aca="false">'Uso e Consumo'!C1085</f>
        <v>31835</v>
      </c>
      <c r="E1085" s="34" t="str">
        <f aca="false">'Uso e Consumo'!D1085</f>
        <v>06.05.0001</v>
      </c>
      <c r="F1085" s="34" t="str">
        <f aca="false">'Uso e Consumo'!E1085</f>
        <v>DESMOLDANTE LÍQUIDO PARA FORMA BALDE 18,00L</v>
      </c>
      <c r="G1085" s="34" t="str">
        <f aca="false">'Uso e Consumo'!J1085</f>
        <v>BD18L</v>
      </c>
      <c r="H1085" s="49" t="n">
        <f aca="false">'Uso e Consumo'!F1085</f>
        <v>2</v>
      </c>
      <c r="I1085" s="35" t="n">
        <f aca="false">'Uso e Consumo'!G1085</f>
        <v>792.6667</v>
      </c>
      <c r="J1085" s="34" t="str">
        <f aca="false">'Uso e Consumo'!M1085</f>
        <v>3.8.1.006 - Aditivos e produtos químicos</v>
      </c>
      <c r="K1085" s="32" t="str">
        <f aca="false">INDEX('Curva ABC'!$K$8:$K$2847,MATCH(D1085,'Curva ABC'!$B$8:$B$2847,0))</f>
        <v>C</v>
      </c>
    </row>
    <row r="1086" customFormat="false" ht="15" hidden="false" customHeight="false" outlineLevel="0" collapsed="false">
      <c r="A1086" s="34" t="s">
        <v>5799</v>
      </c>
      <c r="B1086" s="34" t="str">
        <f aca="false">'Uso e Consumo'!A1086</f>
        <v>0335</v>
      </c>
      <c r="C1086" s="34" t="str">
        <f aca="false">'Uso e Consumo'!B1086</f>
        <v>UFV NORONHA VERDE - USO E CONSUMO</v>
      </c>
      <c r="D1086" s="33" t="n">
        <f aca="false">'Uso e Consumo'!C1086</f>
        <v>65216</v>
      </c>
      <c r="E1086" s="34" t="str">
        <f aca="false">'Uso e Consumo'!D1086</f>
        <v>27.01.0152</v>
      </c>
      <c r="F1086" s="34" t="str">
        <f aca="false">'Uso e Consumo'!E1086</f>
        <v>LUVA CIRÚRGICA COM PÓ - TAM. 7,5 (P)</v>
      </c>
      <c r="G1086" s="34" t="str">
        <f aca="false">'Uso e Consumo'!J1086</f>
        <v>PAR</v>
      </c>
      <c r="H1086" s="49" t="n">
        <f aca="false">'Uso e Consumo'!F1086</f>
        <v>400</v>
      </c>
      <c r="I1086" s="35" t="n">
        <f aca="false">'Uso e Consumo'!G1086</f>
        <v>792</v>
      </c>
      <c r="J1086" s="34" t="str">
        <f aca="false">'Uso e Consumo'!M1086</f>
        <v>4.3.4.006 - Medicamentos e primeiro socorros</v>
      </c>
      <c r="K1086" s="32" t="str">
        <f aca="false">INDEX('Curva ABC'!$K$8:$K$2847,MATCH(D1086,'Curva ABC'!$B$8:$B$2847,0))</f>
        <v>C</v>
      </c>
    </row>
    <row r="1087" customFormat="false" ht="15" hidden="false" customHeight="false" outlineLevel="0" collapsed="false">
      <c r="A1087" s="34" t="s">
        <v>5799</v>
      </c>
      <c r="B1087" s="34" t="str">
        <f aca="false">'Uso e Consumo'!A1087</f>
        <v>0335</v>
      </c>
      <c r="C1087" s="34" t="str">
        <f aca="false">'Uso e Consumo'!B1087</f>
        <v>UFV NORONHA VERDE - USO E CONSUMO</v>
      </c>
      <c r="D1087" s="33" t="n">
        <f aca="false">'Uso e Consumo'!C1087</f>
        <v>1610266</v>
      </c>
      <c r="E1087" s="34" t="str">
        <f aca="false">'Uso e Consumo'!D1087</f>
        <v>17.01.1393</v>
      </c>
      <c r="F1087" s="34" t="str">
        <f aca="false">'Uso e Consumo'!E1087</f>
        <v>ADAPTADOR DE 1/2 P/ 1.5/16</v>
      </c>
      <c r="G1087" s="34" t="str">
        <f aca="false">'Uso e Consumo'!J1087</f>
        <v>UN</v>
      </c>
      <c r="H1087" s="49" t="n">
        <f aca="false">'Uso e Consumo'!F1087</f>
        <v>6</v>
      </c>
      <c r="I1087" s="35" t="n">
        <f aca="false">'Uso e Consumo'!G1087</f>
        <v>791.52</v>
      </c>
      <c r="J1087" s="34" t="str">
        <f aca="false">'Uso e Consumo'!M1087</f>
        <v>3.8.1.017 - Instalações elétricas/telefônicas/lógica</v>
      </c>
      <c r="K1087" s="32" t="str">
        <f aca="false">INDEX('Curva ABC'!$K$8:$K$2847,MATCH(D1087,'Curva ABC'!$B$8:$B$2847,0))</f>
        <v>C</v>
      </c>
    </row>
    <row r="1088" customFormat="false" ht="15" hidden="false" customHeight="false" outlineLevel="0" collapsed="false">
      <c r="A1088" s="34" t="s">
        <v>5799</v>
      </c>
      <c r="B1088" s="34" t="str">
        <f aca="false">'Uso e Consumo'!A1088</f>
        <v>0335</v>
      </c>
      <c r="C1088" s="34" t="str">
        <f aca="false">'Uso e Consumo'!B1088</f>
        <v>UFV NORONHA VERDE - USO E CONSUMO</v>
      </c>
      <c r="D1088" s="33" t="n">
        <f aca="false">'Uso e Consumo'!C1088</f>
        <v>1610267</v>
      </c>
      <c r="E1088" s="34" t="str">
        <f aca="false">'Uso e Consumo'!D1088</f>
        <v>17.01.1394</v>
      </c>
      <c r="F1088" s="34" t="str">
        <f aca="false">'Uso e Consumo'!E1088</f>
        <v>ADAPTADOR DE 1/2 P 3/4</v>
      </c>
      <c r="G1088" s="34" t="str">
        <f aca="false">'Uso e Consumo'!J1088</f>
        <v>UN</v>
      </c>
      <c r="H1088" s="49" t="n">
        <f aca="false">'Uso e Consumo'!F1088</f>
        <v>6</v>
      </c>
      <c r="I1088" s="35" t="n">
        <f aca="false">'Uso e Consumo'!G1088</f>
        <v>791.52</v>
      </c>
      <c r="J1088" s="34" t="str">
        <f aca="false">'Uso e Consumo'!M1088</f>
        <v>3.8.1.017 - Instalações elétricas/telefônicas/lógica</v>
      </c>
      <c r="K1088" s="32" t="str">
        <f aca="false">INDEX('Curva ABC'!$K$8:$K$2847,MATCH(D1088,'Curva ABC'!$B$8:$B$2847,0))</f>
        <v>C</v>
      </c>
    </row>
    <row r="1089" customFormat="false" ht="15" hidden="false" customHeight="false" outlineLevel="0" collapsed="false">
      <c r="A1089" s="34" t="s">
        <v>5799</v>
      </c>
      <c r="B1089" s="34" t="str">
        <f aca="false">'Uso e Consumo'!A1089</f>
        <v>0335</v>
      </c>
      <c r="C1089" s="34" t="str">
        <f aca="false">'Uso e Consumo'!B1089</f>
        <v>UFV NORONHA VERDE - USO E CONSUMO</v>
      </c>
      <c r="D1089" s="33" t="n">
        <f aca="false">'Uso e Consumo'!C1089</f>
        <v>282461</v>
      </c>
      <c r="E1089" s="34" t="str">
        <f aca="false">'Uso e Consumo'!D1089</f>
        <v>29.03.0207</v>
      </c>
      <c r="F1089" s="34" t="str">
        <f aca="false">'Uso e Consumo'!E1089</f>
        <v>CAIXA DE SOM AMPLIFICADA 600W</v>
      </c>
      <c r="G1089" s="34" t="str">
        <f aca="false">'Uso e Consumo'!J1089</f>
        <v>UN</v>
      </c>
      <c r="H1089" s="49" t="n">
        <f aca="false">'Uso e Consumo'!F1089</f>
        <v>1</v>
      </c>
      <c r="I1089" s="35" t="n">
        <f aca="false">'Uso e Consumo'!G1089</f>
        <v>790</v>
      </c>
      <c r="J1089" s="34" t="str">
        <f aca="false">'Uso e Consumo'!M1089</f>
        <v>4.1.1.009 - Eletro eletrônico e acessórios</v>
      </c>
      <c r="K1089" s="32" t="str">
        <f aca="false">INDEX('Curva ABC'!$K$8:$K$2847,MATCH(D1089,'Curva ABC'!$B$8:$B$2847,0))</f>
        <v>C</v>
      </c>
    </row>
    <row r="1090" customFormat="false" ht="15" hidden="false" customHeight="false" outlineLevel="0" collapsed="false">
      <c r="A1090" s="34" t="s">
        <v>5799</v>
      </c>
      <c r="B1090" s="34" t="str">
        <f aca="false">'Uso e Consumo'!A1090</f>
        <v>0335</v>
      </c>
      <c r="C1090" s="34" t="str">
        <f aca="false">'Uso e Consumo'!B1090</f>
        <v>UFV NORONHA VERDE - USO E CONSUMO</v>
      </c>
      <c r="D1090" s="33" t="n">
        <f aca="false">'Uso e Consumo'!C1090</f>
        <v>55060</v>
      </c>
      <c r="E1090" s="34" t="str">
        <f aca="false">'Uso e Consumo'!D1090</f>
        <v>17.10.0191</v>
      </c>
      <c r="F1090" s="34" t="str">
        <f aca="false">'Uso e Consumo'!E1090</f>
        <v>DISJUNTOR TRIFÁSICO 100A – 240/415V NBR 60898</v>
      </c>
      <c r="G1090" s="34" t="str">
        <f aca="false">'Uso e Consumo'!J1090</f>
        <v>UN</v>
      </c>
      <c r="H1090" s="49" t="n">
        <f aca="false">'Uso e Consumo'!F1090</f>
        <v>2</v>
      </c>
      <c r="I1090" s="35" t="n">
        <f aca="false">'Uso e Consumo'!G1090</f>
        <v>786</v>
      </c>
      <c r="J1090" s="34" t="str">
        <f aca="false">'Uso e Consumo'!M1090</f>
        <v>3.8.1.017 - Instalações elétricas/telefônicas/lógica</v>
      </c>
      <c r="K1090" s="32" t="str">
        <f aca="false">INDEX('Curva ABC'!$K$8:$K$2847,MATCH(D1090,'Curva ABC'!$B$8:$B$2847,0))</f>
        <v>C</v>
      </c>
    </row>
    <row r="1091" customFormat="false" ht="15" hidden="false" customHeight="false" outlineLevel="0" collapsed="false">
      <c r="A1091" s="34" t="s">
        <v>5799</v>
      </c>
      <c r="B1091" s="34" t="str">
        <f aca="false">'Uso e Consumo'!A1091</f>
        <v>0335</v>
      </c>
      <c r="C1091" s="34" t="str">
        <f aca="false">'Uso e Consumo'!B1091</f>
        <v>UFV NORONHA VERDE - USO E CONSUMO</v>
      </c>
      <c r="D1091" s="33" t="n">
        <f aca="false">'Uso e Consumo'!C1091</f>
        <v>22437</v>
      </c>
      <c r="E1091" s="34" t="str">
        <f aca="false">'Uso e Consumo'!D1091</f>
        <v>30.03.0125</v>
      </c>
      <c r="F1091" s="34" t="str">
        <f aca="false">'Uso e Consumo'!E1091</f>
        <v>SABONETE LÍQUIDO 5L</v>
      </c>
      <c r="G1091" s="34" t="str">
        <f aca="false">'Uso e Consumo'!J1091</f>
        <v>UN</v>
      </c>
      <c r="H1091" s="49" t="n">
        <f aca="false">'Uso e Consumo'!F1091</f>
        <v>40</v>
      </c>
      <c r="I1091" s="35" t="n">
        <f aca="false">'Uso e Consumo'!G1091</f>
        <v>785.9361</v>
      </c>
      <c r="J1091" s="34" t="str">
        <f aca="false">'Uso e Consumo'!M1091</f>
        <v>4.1.1.003 - Material limpeza</v>
      </c>
      <c r="K1091" s="32" t="str">
        <f aca="false">INDEX('Curva ABC'!$K$8:$K$2847,MATCH(D1091,'Curva ABC'!$B$8:$B$2847,0))</f>
        <v>C</v>
      </c>
    </row>
    <row r="1092" customFormat="false" ht="15" hidden="false" customHeight="false" outlineLevel="0" collapsed="false">
      <c r="A1092" s="34" t="s">
        <v>5799</v>
      </c>
      <c r="B1092" s="34" t="str">
        <f aca="false">'Uso e Consumo'!A1092</f>
        <v>0335</v>
      </c>
      <c r="C1092" s="34" t="str">
        <f aca="false">'Uso e Consumo'!B1092</f>
        <v>UFV NORONHA VERDE - USO E CONSUMO</v>
      </c>
      <c r="D1092" s="33" t="n">
        <f aca="false">'Uso e Consumo'!C1092</f>
        <v>281853</v>
      </c>
      <c r="E1092" s="34" t="str">
        <f aca="false">'Uso e Consumo'!D1092</f>
        <v>32.02.0200</v>
      </c>
      <c r="F1092" s="34" t="str">
        <f aca="false">'Uso e Consumo'!E1092</f>
        <v>CINTA DE AMARRAÇÃO 50,00MM X 9,00M CAPACIDADE 1,5 T C/CATRACA</v>
      </c>
      <c r="G1092" s="34" t="str">
        <f aca="false">'Uso e Consumo'!J1092</f>
        <v>UN</v>
      </c>
      <c r="H1092" s="49" t="n">
        <f aca="false">'Uso e Consumo'!F1092</f>
        <v>10</v>
      </c>
      <c r="I1092" s="35" t="n">
        <f aca="false">'Uso e Consumo'!G1092</f>
        <v>785</v>
      </c>
      <c r="J1092" s="34" t="str">
        <f aca="false">'Uso e Consumo'!M1092</f>
        <v>6.1.2.001 - Equipamentos</v>
      </c>
      <c r="K1092" s="32" t="str">
        <f aca="false">INDEX('Curva ABC'!$K$8:$K$2847,MATCH(D1092,'Curva ABC'!$B$8:$B$2847,0))</f>
        <v>C</v>
      </c>
    </row>
    <row r="1093" customFormat="false" ht="15" hidden="false" customHeight="false" outlineLevel="0" collapsed="false">
      <c r="A1093" s="34" t="s">
        <v>5799</v>
      </c>
      <c r="B1093" s="34" t="str">
        <f aca="false">'Uso e Consumo'!A1093</f>
        <v>0335</v>
      </c>
      <c r="C1093" s="34" t="str">
        <f aca="false">'Uso e Consumo'!B1093</f>
        <v>UFV NORONHA VERDE - USO E CONSUMO</v>
      </c>
      <c r="D1093" s="33" t="n">
        <f aca="false">'Uso e Consumo'!C1093</f>
        <v>23344</v>
      </c>
      <c r="E1093" s="34" t="str">
        <f aca="false">'Uso e Consumo'!D1093</f>
        <v>34.02.0394</v>
      </c>
      <c r="F1093" s="34" t="str">
        <f aca="false">'Uso e Consumo'!E1093</f>
        <v>PROLONGADOR</v>
      </c>
      <c r="G1093" s="34" t="str">
        <f aca="false">'Uso e Consumo'!J1093</f>
        <v>UN</v>
      </c>
      <c r="H1093" s="49" t="n">
        <f aca="false">'Uso e Consumo'!F1093</f>
        <v>9</v>
      </c>
      <c r="I1093" s="35" t="n">
        <f aca="false">'Uso e Consumo'!G1093</f>
        <v>780.98</v>
      </c>
      <c r="J1093" s="34" t="str">
        <f aca="false">'Uso e Consumo'!M1093</f>
        <v>3.1.6.002 - Pneus e peças</v>
      </c>
      <c r="K1093" s="32" t="str">
        <f aca="false">INDEX('Curva ABC'!$K$8:$K$2847,MATCH(D1093,'Curva ABC'!$B$8:$B$2847,0))</f>
        <v>C</v>
      </c>
    </row>
    <row r="1094" customFormat="false" ht="15" hidden="false" customHeight="false" outlineLevel="0" collapsed="false">
      <c r="A1094" s="34" t="s">
        <v>5799</v>
      </c>
      <c r="B1094" s="34" t="str">
        <f aca="false">'Uso e Consumo'!A1094</f>
        <v>0335</v>
      </c>
      <c r="C1094" s="34" t="str">
        <f aca="false">'Uso e Consumo'!B1094</f>
        <v>UFV NORONHA VERDE - USO E CONSUMO</v>
      </c>
      <c r="D1094" s="33" t="n">
        <f aca="false">'Uso e Consumo'!C1094</f>
        <v>1384913</v>
      </c>
      <c r="E1094" s="34" t="str">
        <f aca="false">'Uso e Consumo'!D1094</f>
        <v>17.02.0870</v>
      </c>
      <c r="F1094" s="34" t="str">
        <f aca="false">'Uso e Consumo'!E1094</f>
        <v>CURVA 90°, ALUMÍNIO GALVANIZADO A QUENTE, 50 MM (2") ROSCA BSP, TIPO PESADO</v>
      </c>
      <c r="G1094" s="34" t="str">
        <f aca="false">'Uso e Consumo'!J1094</f>
        <v>UN</v>
      </c>
      <c r="H1094" s="49" t="n">
        <f aca="false">'Uso e Consumo'!F1094</f>
        <v>11</v>
      </c>
      <c r="I1094" s="35" t="n">
        <f aca="false">'Uso e Consumo'!G1094</f>
        <v>780.35</v>
      </c>
      <c r="J1094" s="34" t="str">
        <f aca="false">'Uso e Consumo'!M1094</f>
        <v>3.8.1.017 - Instalações elétricas/telefônicas/lógica</v>
      </c>
      <c r="K1094" s="32" t="str">
        <f aca="false">INDEX('Curva ABC'!$K$8:$K$2847,MATCH(D1094,'Curva ABC'!$B$8:$B$2847,0))</f>
        <v>C</v>
      </c>
    </row>
    <row r="1095" customFormat="false" ht="15" hidden="false" customHeight="false" outlineLevel="0" collapsed="false">
      <c r="A1095" s="34" t="s">
        <v>5799</v>
      </c>
      <c r="B1095" s="34" t="str">
        <f aca="false">'Uso e Consumo'!A1095</f>
        <v>0335</v>
      </c>
      <c r="C1095" s="34" t="str">
        <f aca="false">'Uso e Consumo'!B1095</f>
        <v>UFV NORONHA VERDE - USO E CONSUMO</v>
      </c>
      <c r="D1095" s="33" t="n">
        <f aca="false">'Uso e Consumo'!C1095</f>
        <v>291546</v>
      </c>
      <c r="E1095" s="34" t="str">
        <f aca="false">'Uso e Consumo'!D1095</f>
        <v>27.01.0307</v>
      </c>
      <c r="F1095" s="34" t="str">
        <f aca="false">'Uso e Consumo'!E1095</f>
        <v>ÁLCOOL ISOPROPÍLICO 1L</v>
      </c>
      <c r="G1095" s="34" t="str">
        <f aca="false">'Uso e Consumo'!J1095</f>
        <v>UN</v>
      </c>
      <c r="H1095" s="49" t="n">
        <f aca="false">'Uso e Consumo'!F1095</f>
        <v>12</v>
      </c>
      <c r="I1095" s="35" t="n">
        <f aca="false">'Uso e Consumo'!G1095</f>
        <v>780</v>
      </c>
      <c r="J1095" s="34" t="str">
        <f aca="false">'Uso e Consumo'!M1095</f>
        <v>4.3.4.006 - Medicamentos e primeiro socorros</v>
      </c>
      <c r="K1095" s="32" t="str">
        <f aca="false">INDEX('Curva ABC'!$K$8:$K$2847,MATCH(D1095,'Curva ABC'!$B$8:$B$2847,0))</f>
        <v>C</v>
      </c>
    </row>
    <row r="1096" customFormat="false" ht="15" hidden="false" customHeight="false" outlineLevel="0" collapsed="false">
      <c r="A1096" s="34" t="s">
        <v>5799</v>
      </c>
      <c r="B1096" s="34" t="str">
        <f aca="false">'Uso e Consumo'!A1096</f>
        <v>0335</v>
      </c>
      <c r="C1096" s="34" t="str">
        <f aca="false">'Uso e Consumo'!B1096</f>
        <v>UFV NORONHA VERDE - USO E CONSUMO</v>
      </c>
      <c r="D1096" s="33" t="n">
        <f aca="false">'Uso e Consumo'!C1096</f>
        <v>1661834</v>
      </c>
      <c r="E1096" s="34" t="str">
        <f aca="false">'Uso e Consumo'!D1096</f>
        <v>01.10.0269</v>
      </c>
      <c r="F1096" s="34" t="str">
        <f aca="false">'Uso e Consumo'!E1096</f>
        <v>GRELHA 25 CM X 25 CM FERRO FUNDIDO</v>
      </c>
      <c r="G1096" s="34" t="str">
        <f aca="false">'Uso e Consumo'!J1096</f>
        <v>UN</v>
      </c>
      <c r="H1096" s="49" t="n">
        <f aca="false">'Uso e Consumo'!F1096</f>
        <v>2</v>
      </c>
      <c r="I1096" s="35" t="n">
        <f aca="false">'Uso e Consumo'!G1096</f>
        <v>780</v>
      </c>
      <c r="J1096" s="34" t="str">
        <f aca="false">'Uso e Consumo'!M1096</f>
        <v>3.8.1.001 - Aços e trefilados</v>
      </c>
      <c r="K1096" s="32" t="str">
        <f aca="false">INDEX('Curva ABC'!$K$8:$K$2847,MATCH(D1096,'Curva ABC'!$B$8:$B$2847,0))</f>
        <v>C</v>
      </c>
    </row>
    <row r="1097" customFormat="false" ht="15" hidden="false" customHeight="false" outlineLevel="0" collapsed="false">
      <c r="A1097" s="34" t="s">
        <v>5799</v>
      </c>
      <c r="B1097" s="34" t="str">
        <f aca="false">'Uso e Consumo'!A1097</f>
        <v>0335</v>
      </c>
      <c r="C1097" s="34" t="str">
        <f aca="false">'Uso e Consumo'!B1097</f>
        <v>UFV NORONHA VERDE - USO E CONSUMO</v>
      </c>
      <c r="D1097" s="33" t="n">
        <f aca="false">'Uso e Consumo'!C1097</f>
        <v>1388043</v>
      </c>
      <c r="E1097" s="34" t="str">
        <f aca="false">'Uso e Consumo'!D1097</f>
        <v>17.02.0888</v>
      </c>
      <c r="F1097" s="34" t="str">
        <f aca="false">'Uso e Consumo'!E1097</f>
        <v>BUCHA PARA ELETRODUTO, DE LIGA DE ALUMÍNIO, Ø 3"</v>
      </c>
      <c r="G1097" s="34" t="str">
        <f aca="false">'Uso e Consumo'!J1097</f>
        <v>UN</v>
      </c>
      <c r="H1097" s="49" t="n">
        <f aca="false">'Uso e Consumo'!F1097</f>
        <v>44</v>
      </c>
      <c r="I1097" s="35" t="n">
        <f aca="false">'Uso e Consumo'!G1097</f>
        <v>777.83</v>
      </c>
      <c r="J1097" s="34" t="str">
        <f aca="false">'Uso e Consumo'!M1097</f>
        <v>3.8.1.017 - Instalações elétricas/telefônicas/lógica</v>
      </c>
      <c r="K1097" s="32" t="str">
        <f aca="false">INDEX('Curva ABC'!$K$8:$K$2847,MATCH(D1097,'Curva ABC'!$B$8:$B$2847,0))</f>
        <v>C</v>
      </c>
    </row>
    <row r="1098" customFormat="false" ht="15" hidden="false" customHeight="false" outlineLevel="0" collapsed="false">
      <c r="A1098" s="34" t="s">
        <v>5799</v>
      </c>
      <c r="B1098" s="34" t="str">
        <f aca="false">'Uso e Consumo'!A1098</f>
        <v>0335</v>
      </c>
      <c r="C1098" s="34" t="str">
        <f aca="false">'Uso e Consumo'!B1098</f>
        <v>UFV NORONHA VERDE - USO E CONSUMO</v>
      </c>
      <c r="D1098" s="33" t="n">
        <f aca="false">'Uso e Consumo'!C1098</f>
        <v>287526</v>
      </c>
      <c r="E1098" s="34" t="str">
        <f aca="false">'Uso e Consumo'!D1098</f>
        <v>30.03.0316</v>
      </c>
      <c r="F1098" s="34" t="str">
        <f aca="false">'Uso e Consumo'!E1098</f>
        <v>VASELINA PASTA 18KG</v>
      </c>
      <c r="G1098" s="34" t="str">
        <f aca="false">'Uso e Consumo'!J1098</f>
        <v>UN</v>
      </c>
      <c r="H1098" s="49" t="n">
        <f aca="false">'Uso e Consumo'!F1098</f>
        <v>1</v>
      </c>
      <c r="I1098" s="35" t="n">
        <f aca="false">'Uso e Consumo'!G1098</f>
        <v>774</v>
      </c>
      <c r="J1098" s="34" t="str">
        <f aca="false">'Uso e Consumo'!M1098</f>
        <v>4.1.1.003 - Material limpeza</v>
      </c>
      <c r="K1098" s="32" t="str">
        <f aca="false">INDEX('Curva ABC'!$K$8:$K$2847,MATCH(D1098,'Curva ABC'!$B$8:$B$2847,0))</f>
        <v>C</v>
      </c>
    </row>
    <row r="1099" customFormat="false" ht="15" hidden="false" customHeight="false" outlineLevel="0" collapsed="false">
      <c r="A1099" s="34" t="s">
        <v>5799</v>
      </c>
      <c r="B1099" s="34" t="str">
        <f aca="false">'Uso e Consumo'!A1099</f>
        <v>0335</v>
      </c>
      <c r="C1099" s="34" t="str">
        <f aca="false">'Uso e Consumo'!B1099</f>
        <v>UFV NORONHA VERDE - USO E CONSUMO</v>
      </c>
      <c r="D1099" s="33" t="n">
        <f aca="false">'Uso e Consumo'!C1099</f>
        <v>23466</v>
      </c>
      <c r="E1099" s="34" t="str">
        <f aca="false">'Uso e Consumo'!D1099</f>
        <v>32.02.0014</v>
      </c>
      <c r="F1099" s="34" t="str">
        <f aca="false">'Uso e Consumo'!E1099</f>
        <v>CINTA DE ELEVAÇÃO CAPACIDADE 2,0T COM 3,0M</v>
      </c>
      <c r="G1099" s="34" t="str">
        <f aca="false">'Uso e Consumo'!J1099</f>
        <v>UN</v>
      </c>
      <c r="H1099" s="49" t="n">
        <f aca="false">'Uso e Consumo'!F1099</f>
        <v>12</v>
      </c>
      <c r="I1099" s="35" t="n">
        <f aca="false">'Uso e Consumo'!G1099</f>
        <v>772.8</v>
      </c>
      <c r="J1099" s="34" t="str">
        <f aca="false">'Uso e Consumo'!M1099</f>
        <v>6.1.2.002 - Ferramentas e utensílios</v>
      </c>
      <c r="K1099" s="32" t="str">
        <f aca="false">INDEX('Curva ABC'!$K$8:$K$2847,MATCH(D1099,'Curva ABC'!$B$8:$B$2847,0))</f>
        <v>C</v>
      </c>
    </row>
    <row r="1100" customFormat="false" ht="15" hidden="false" customHeight="false" outlineLevel="0" collapsed="false">
      <c r="A1100" s="34" t="s">
        <v>5799</v>
      </c>
      <c r="B1100" s="34" t="str">
        <f aca="false">'Uso e Consumo'!A1100</f>
        <v>0335</v>
      </c>
      <c r="C1100" s="34" t="str">
        <f aca="false">'Uso e Consumo'!B1100</f>
        <v>UFV NORONHA VERDE - USO E CONSUMO</v>
      </c>
      <c r="D1100" s="33" t="n">
        <f aca="false">'Uso e Consumo'!C1100</f>
        <v>559853</v>
      </c>
      <c r="E1100" s="34" t="str">
        <f aca="false">'Uso e Consumo'!D1100</f>
        <v>17.20.0448</v>
      </c>
      <c r="F1100" s="34" t="str">
        <f aca="false">'Uso e Consumo'!E1100</f>
        <v>CARTUCHO P/ SOLDA EXORTÉRMICA FASTWELD, HERMETI. FECH.,PÓS DE SOLDA,IGNIÇÃO E DISCO DE RET. REF#115</v>
      </c>
      <c r="G1100" s="34" t="str">
        <f aca="false">'Uso e Consumo'!J1100</f>
        <v>UN</v>
      </c>
      <c r="H1100" s="49" t="n">
        <f aca="false">'Uso e Consumo'!F1100</f>
        <v>29</v>
      </c>
      <c r="I1100" s="35" t="n">
        <f aca="false">'Uso e Consumo'!G1100</f>
        <v>770.59</v>
      </c>
      <c r="J1100" s="34" t="str">
        <f aca="false">'Uso e Consumo'!M1100</f>
        <v>3.8.1.017 - Instalações elétricas/telefônicas/lógica</v>
      </c>
      <c r="K1100" s="32" t="str">
        <f aca="false">INDEX('Curva ABC'!$K$8:$K$2847,MATCH(D1100,'Curva ABC'!$B$8:$B$2847,0))</f>
        <v>C</v>
      </c>
    </row>
    <row r="1101" customFormat="false" ht="15" hidden="false" customHeight="false" outlineLevel="0" collapsed="false">
      <c r="A1101" s="34" t="s">
        <v>5799</v>
      </c>
      <c r="B1101" s="34" t="str">
        <f aca="false">'Uso e Consumo'!A1101</f>
        <v>0335</v>
      </c>
      <c r="C1101" s="34" t="str">
        <f aca="false">'Uso e Consumo'!B1101</f>
        <v>UFV NORONHA VERDE - USO E CONSUMO</v>
      </c>
      <c r="D1101" s="33" t="n">
        <f aca="false">'Uso e Consumo'!C1101</f>
        <v>839802</v>
      </c>
      <c r="E1101" s="34" t="str">
        <f aca="false">'Uso e Consumo'!D1101</f>
        <v>17.20.0546</v>
      </c>
      <c r="F1101" s="34" t="str">
        <f aca="false">'Uso e Consumo'!E1101</f>
        <v>CONECTOR PARA ATERRAMENTO À COMPRESSÃO CABO-CABO - SACG-70-70</v>
      </c>
      <c r="G1101" s="34" t="str">
        <f aca="false">'Uso e Consumo'!J1101</f>
        <v>UN</v>
      </c>
      <c r="H1101" s="49" t="n">
        <f aca="false">'Uso e Consumo'!F1101</f>
        <v>35</v>
      </c>
      <c r="I1101" s="35" t="n">
        <f aca="false">'Uso e Consumo'!G1101</f>
        <v>770</v>
      </c>
      <c r="J1101" s="34" t="str">
        <f aca="false">'Uso e Consumo'!M1101</f>
        <v>3.8.1.017 - Instalações elétricas/telefônicas/lógica</v>
      </c>
      <c r="K1101" s="32" t="str">
        <f aca="false">INDEX('Curva ABC'!$K$8:$K$2847,MATCH(D1101,'Curva ABC'!$B$8:$B$2847,0))</f>
        <v>C</v>
      </c>
    </row>
    <row r="1102" customFormat="false" ht="15" hidden="false" customHeight="false" outlineLevel="0" collapsed="false">
      <c r="A1102" s="34" t="s">
        <v>5799</v>
      </c>
      <c r="B1102" s="34" t="str">
        <f aca="false">'Uso e Consumo'!A1102</f>
        <v>0335</v>
      </c>
      <c r="C1102" s="34" t="str">
        <f aca="false">'Uso e Consumo'!B1102</f>
        <v>UFV NORONHA VERDE - USO E CONSUMO</v>
      </c>
      <c r="D1102" s="33" t="n">
        <f aca="false">'Uso e Consumo'!C1102</f>
        <v>735026</v>
      </c>
      <c r="E1102" s="34" t="str">
        <f aca="false">'Uso e Consumo'!D1102</f>
        <v>18.01.1239</v>
      </c>
      <c r="F1102" s="34" t="str">
        <f aca="false">'Uso e Consumo'!E1102</f>
        <v>TUBO PVC ESGOTO 100MM SÉRIE NORMAL</v>
      </c>
      <c r="G1102" s="34" t="str">
        <f aca="false">'Uso e Consumo'!J1102</f>
        <v>PÇ6M</v>
      </c>
      <c r="H1102" s="49" t="n">
        <f aca="false">'Uso e Consumo'!F1102</f>
        <v>4</v>
      </c>
      <c r="I1102" s="35" t="n">
        <f aca="false">'Uso e Consumo'!G1102</f>
        <v>768.341</v>
      </c>
      <c r="J1102" s="34" t="str">
        <f aca="false">'Uso e Consumo'!M1102</f>
        <v>3.8.1.018 - Instalações hidráulicas/sanitárias/industriais</v>
      </c>
      <c r="K1102" s="32" t="str">
        <f aca="false">INDEX('Curva ABC'!$K$8:$K$2847,MATCH(D1102,'Curva ABC'!$B$8:$B$2847,0))</f>
        <v>C</v>
      </c>
    </row>
    <row r="1103" customFormat="false" ht="15" hidden="false" customHeight="false" outlineLevel="0" collapsed="false">
      <c r="A1103" s="34" t="s">
        <v>5799</v>
      </c>
      <c r="B1103" s="34" t="str">
        <f aca="false">'Uso e Consumo'!A1103</f>
        <v>0335</v>
      </c>
      <c r="C1103" s="34" t="str">
        <f aca="false">'Uso e Consumo'!B1103</f>
        <v>UFV NORONHA VERDE - USO E CONSUMO</v>
      </c>
      <c r="D1103" s="33" t="n">
        <f aca="false">'Uso e Consumo'!C1103</f>
        <v>17947</v>
      </c>
      <c r="E1103" s="34" t="str">
        <f aca="false">'Uso e Consumo'!D1103</f>
        <v>24.09.0041</v>
      </c>
      <c r="F1103" s="34" t="str">
        <f aca="false">'Uso e Consumo'!E1103</f>
        <v>CHAVE COMBINADA 24,00MM AÇO CARBONO CROMADO</v>
      </c>
      <c r="G1103" s="34" t="str">
        <f aca="false">'Uso e Consumo'!J1103</f>
        <v>UN</v>
      </c>
      <c r="H1103" s="49" t="n">
        <f aca="false">'Uso e Consumo'!F1103</f>
        <v>6</v>
      </c>
      <c r="I1103" s="35" t="n">
        <f aca="false">'Uso e Consumo'!G1103</f>
        <v>765.6</v>
      </c>
      <c r="J1103" s="34" t="str">
        <f aca="false">'Uso e Consumo'!M1103</f>
        <v>3.8.2.002 - Ferramentas manuais</v>
      </c>
      <c r="K1103" s="32" t="str">
        <f aca="false">INDEX('Curva ABC'!$K$8:$K$2847,MATCH(D1103,'Curva ABC'!$B$8:$B$2847,0))</f>
        <v>C</v>
      </c>
    </row>
    <row r="1104" customFormat="false" ht="15" hidden="false" customHeight="false" outlineLevel="0" collapsed="false">
      <c r="A1104" s="34" t="s">
        <v>5799</v>
      </c>
      <c r="B1104" s="34" t="str">
        <f aca="false">'Uso e Consumo'!A1104</f>
        <v>0335</v>
      </c>
      <c r="C1104" s="34" t="str">
        <f aca="false">'Uso e Consumo'!B1104</f>
        <v>UFV NORONHA VERDE - USO E CONSUMO</v>
      </c>
      <c r="D1104" s="33" t="n">
        <f aca="false">'Uso e Consumo'!C1104</f>
        <v>881433</v>
      </c>
      <c r="E1104" s="34" t="str">
        <f aca="false">'Uso e Consumo'!D1104</f>
        <v>17.20.0592</v>
      </c>
      <c r="F1104" s="34" t="str">
        <f aca="false">'Uso e Consumo'!E1104</f>
        <v>PARA-RAIO POLIMÉRICO 12KV 10KA COM FERRAGENS</v>
      </c>
      <c r="G1104" s="34" t="str">
        <f aca="false">'Uso e Consumo'!J1104</f>
        <v>UN</v>
      </c>
      <c r="H1104" s="49" t="n">
        <f aca="false">'Uso e Consumo'!F1104</f>
        <v>5</v>
      </c>
      <c r="I1104" s="35" t="n">
        <f aca="false">'Uso e Consumo'!G1104</f>
        <v>765.2</v>
      </c>
      <c r="J1104" s="34" t="str">
        <f aca="false">'Uso e Consumo'!M1104</f>
        <v>3.8.1.017 - Instalações elétricas/telefônicas/lógica</v>
      </c>
      <c r="K1104" s="32" t="str">
        <f aca="false">INDEX('Curva ABC'!$K$8:$K$2847,MATCH(D1104,'Curva ABC'!$B$8:$B$2847,0))</f>
        <v>C</v>
      </c>
    </row>
    <row r="1105" customFormat="false" ht="15" hidden="false" customHeight="false" outlineLevel="0" collapsed="false">
      <c r="A1105" s="34" t="s">
        <v>5799</v>
      </c>
      <c r="B1105" s="34" t="str">
        <f aca="false">'Uso e Consumo'!A1105</f>
        <v>0335</v>
      </c>
      <c r="C1105" s="34" t="str">
        <f aca="false">'Uso e Consumo'!B1105</f>
        <v>UFV NORONHA VERDE - USO E CONSUMO</v>
      </c>
      <c r="D1105" s="33" t="n">
        <f aca="false">'Uso e Consumo'!C1105</f>
        <v>21324</v>
      </c>
      <c r="E1105" s="34" t="str">
        <f aca="false">'Uso e Consumo'!D1105</f>
        <v>32.02.0010</v>
      </c>
      <c r="F1105" s="34" t="str">
        <f aca="false">'Uso e Consumo'!E1105</f>
        <v>CINTA DE ELEVAÇÃO CAPACIDADE 3,0T COM 3,0M</v>
      </c>
      <c r="G1105" s="34" t="str">
        <f aca="false">'Uso e Consumo'!J1105</f>
        <v>UN</v>
      </c>
      <c r="H1105" s="49" t="n">
        <f aca="false">'Uso e Consumo'!F1105</f>
        <v>8</v>
      </c>
      <c r="I1105" s="35" t="n">
        <f aca="false">'Uso e Consumo'!G1105</f>
        <v>764</v>
      </c>
      <c r="J1105" s="34" t="str">
        <f aca="false">'Uso e Consumo'!M1105</f>
        <v>6.1.2.002 - Ferramentas e utensílios</v>
      </c>
      <c r="K1105" s="32" t="str">
        <f aca="false">INDEX('Curva ABC'!$K$8:$K$2847,MATCH(D1105,'Curva ABC'!$B$8:$B$2847,0))</f>
        <v>C</v>
      </c>
    </row>
    <row r="1106" customFormat="false" ht="15" hidden="false" customHeight="false" outlineLevel="0" collapsed="false">
      <c r="A1106" s="34" t="s">
        <v>5799</v>
      </c>
      <c r="B1106" s="34" t="str">
        <f aca="false">'Uso e Consumo'!A1106</f>
        <v>0335</v>
      </c>
      <c r="C1106" s="34" t="str">
        <f aca="false">'Uso e Consumo'!B1106</f>
        <v>UFV NORONHA VERDE - USO E CONSUMO</v>
      </c>
      <c r="D1106" s="33" t="n">
        <f aca="false">'Uso e Consumo'!C1106</f>
        <v>1470135</v>
      </c>
      <c r="E1106" s="34" t="str">
        <f aca="false">'Uso e Consumo'!D1106</f>
        <v>06.06.0022</v>
      </c>
      <c r="F1106" s="34" t="str">
        <f aca="false">'Uso e Consumo'!E1106</f>
        <v>REMOVEDOR DE RESÍDUOS DE CONCRETO BIODEGRADÁVEL 5L</v>
      </c>
      <c r="G1106" s="34" t="str">
        <f aca="false">'Uso e Consumo'!J1106</f>
        <v>UN</v>
      </c>
      <c r="H1106" s="49" t="n">
        <f aca="false">'Uso e Consumo'!F1106</f>
        <v>4</v>
      </c>
      <c r="I1106" s="35" t="n">
        <f aca="false">'Uso e Consumo'!G1106</f>
        <v>764</v>
      </c>
      <c r="J1106" s="34" t="str">
        <f aca="false">'Uso e Consumo'!M1106</f>
        <v>3.8.1.006 - Aditivos e produtos químicos</v>
      </c>
      <c r="K1106" s="32" t="str">
        <f aca="false">INDEX('Curva ABC'!$K$8:$K$2847,MATCH(D1106,'Curva ABC'!$B$8:$B$2847,0))</f>
        <v>C</v>
      </c>
    </row>
    <row r="1107" customFormat="false" ht="15" hidden="false" customHeight="false" outlineLevel="0" collapsed="false">
      <c r="A1107" s="34" t="s">
        <v>5799</v>
      </c>
      <c r="B1107" s="34" t="str">
        <f aca="false">'Uso e Consumo'!A1107</f>
        <v>0335</v>
      </c>
      <c r="C1107" s="34" t="str">
        <f aca="false">'Uso e Consumo'!B1107</f>
        <v>UFV NORONHA VERDE - USO E CONSUMO</v>
      </c>
      <c r="D1107" s="33" t="n">
        <f aca="false">'Uso e Consumo'!C1107</f>
        <v>19664</v>
      </c>
      <c r="E1107" s="34" t="str">
        <f aca="false">'Uso e Consumo'!D1107</f>
        <v>30.01.0384</v>
      </c>
      <c r="F1107" s="34" t="str">
        <f aca="false">'Uso e Consumo'!E1107</f>
        <v>SACO PLÁSTICO A4 ESPESSURA 0,12MM 4 FUROS C/ 100UN</v>
      </c>
      <c r="G1107" s="34" t="str">
        <f aca="false">'Uso e Consumo'!J1107</f>
        <v>UN</v>
      </c>
      <c r="H1107" s="49" t="n">
        <f aca="false">'Uso e Consumo'!F1107</f>
        <v>25</v>
      </c>
      <c r="I1107" s="35" t="n">
        <f aca="false">'Uso e Consumo'!G1107</f>
        <v>760.2415</v>
      </c>
      <c r="J1107" s="34" t="str">
        <f aca="false">'Uso e Consumo'!M1107</f>
        <v>4.1.1.002 - Material expediente</v>
      </c>
      <c r="K1107" s="32" t="str">
        <f aca="false">INDEX('Curva ABC'!$K$8:$K$2847,MATCH(D1107,'Curva ABC'!$B$8:$B$2847,0))</f>
        <v>C</v>
      </c>
    </row>
    <row r="1108" customFormat="false" ht="15" hidden="false" customHeight="false" outlineLevel="0" collapsed="false">
      <c r="A1108" s="34" t="s">
        <v>5799</v>
      </c>
      <c r="B1108" s="34" t="str">
        <f aca="false">'Uso e Consumo'!A1108</f>
        <v>0335</v>
      </c>
      <c r="C1108" s="34" t="str">
        <f aca="false">'Uso e Consumo'!B1108</f>
        <v>UFV NORONHA VERDE - USO E CONSUMO</v>
      </c>
      <c r="D1108" s="33" t="n">
        <f aca="false">'Uso e Consumo'!C1108</f>
        <v>1605943</v>
      </c>
      <c r="E1108" s="34" t="str">
        <f aca="false">'Uso e Consumo'!D1108</f>
        <v>17.22.0153</v>
      </c>
      <c r="F1108" s="34" t="str">
        <f aca="false">'Uso e Consumo'!E1108</f>
        <v>CINTA POSTE CIRCULAR 320</v>
      </c>
      <c r="G1108" s="34" t="str">
        <f aca="false">'Uso e Consumo'!J1108</f>
        <v>UN</v>
      </c>
      <c r="H1108" s="49" t="n">
        <f aca="false">'Uso e Consumo'!F1108</f>
        <v>8</v>
      </c>
      <c r="I1108" s="35" t="n">
        <f aca="false">'Uso e Consumo'!G1108</f>
        <v>760.24</v>
      </c>
      <c r="J1108" s="34" t="str">
        <f aca="false">'Uso e Consumo'!M1108</f>
        <v>3.8.1.017 - Instalações elétricas/telefônicas/lógica</v>
      </c>
      <c r="K1108" s="32" t="str">
        <f aca="false">INDEX('Curva ABC'!$K$8:$K$2847,MATCH(D1108,'Curva ABC'!$B$8:$B$2847,0))</f>
        <v>C</v>
      </c>
    </row>
    <row r="1109" customFormat="false" ht="15" hidden="false" customHeight="false" outlineLevel="0" collapsed="false">
      <c r="A1109" s="34" t="s">
        <v>5799</v>
      </c>
      <c r="B1109" s="34" t="str">
        <f aca="false">'Uso e Consumo'!A1109</f>
        <v>0335</v>
      </c>
      <c r="C1109" s="34" t="str">
        <f aca="false">'Uso e Consumo'!B1109</f>
        <v>UFV NORONHA VERDE - USO E CONSUMO</v>
      </c>
      <c r="D1109" s="33" t="n">
        <f aca="false">'Uso e Consumo'!C1109</f>
        <v>875415</v>
      </c>
      <c r="E1109" s="34" t="str">
        <f aca="false">'Uso e Consumo'!D1109</f>
        <v>26.01.0110</v>
      </c>
      <c r="F1109" s="34" t="str">
        <f aca="false">'Uso e Consumo'!E1109</f>
        <v>MACACÃO OPERACIONAL MECÂNICO </v>
      </c>
      <c r="G1109" s="34" t="str">
        <f aca="false">'Uso e Consumo'!J1109</f>
        <v>UN</v>
      </c>
      <c r="H1109" s="49" t="n">
        <f aca="false">'Uso e Consumo'!F1109</f>
        <v>4</v>
      </c>
      <c r="I1109" s="35" t="n">
        <f aca="false">'Uso e Consumo'!G1109</f>
        <v>760</v>
      </c>
      <c r="J1109" s="34" t="str">
        <f aca="false">'Uso e Consumo'!M1109</f>
        <v>4.3.4.001 - Equipamento de proteção individual</v>
      </c>
      <c r="K1109" s="32" t="str">
        <f aca="false">INDEX('Curva ABC'!$K$8:$K$2847,MATCH(D1109,'Curva ABC'!$B$8:$B$2847,0))</f>
        <v>C</v>
      </c>
    </row>
    <row r="1110" customFormat="false" ht="32.8" hidden="false" customHeight="false" outlineLevel="0" collapsed="false">
      <c r="A1110" s="34" t="s">
        <v>5799</v>
      </c>
      <c r="B1110" s="34" t="str">
        <f aca="false">'Uso e Consumo'!A1110</f>
        <v>0335</v>
      </c>
      <c r="C1110" s="34" t="str">
        <f aca="false">'Uso e Consumo'!B1110</f>
        <v>UFV NORONHA VERDE - USO E CONSUMO</v>
      </c>
      <c r="D1110" s="33" t="n">
        <f aca="false">'Uso e Consumo'!C1110</f>
        <v>1540527</v>
      </c>
      <c r="E1110" s="34" t="str">
        <f aca="false">'Uso e Consumo'!D1110</f>
        <v>17.15.0139</v>
      </c>
      <c r="F1110" s="50" t="str">
        <f aca="false">'Uso e Consumo'!E1110</f>
        <v>DISJUNTOR TRIPOLAR TERMOMAGNÉTICO DIN CURVA C 50 A 10 KA
</v>
      </c>
      <c r="G1110" s="34" t="str">
        <f aca="false">'Uso e Consumo'!J1110</f>
        <v>UN</v>
      </c>
      <c r="H1110" s="49" t="n">
        <f aca="false">'Uso e Consumo'!F1110</f>
        <v>2</v>
      </c>
      <c r="I1110" s="35" t="n">
        <f aca="false">'Uso e Consumo'!G1110</f>
        <v>760</v>
      </c>
      <c r="J1110" s="34" t="str">
        <f aca="false">'Uso e Consumo'!M1110</f>
        <v>3.8.1.017 - Instalações elétricas/telefônicas/lógica</v>
      </c>
      <c r="K1110" s="32" t="str">
        <f aca="false">INDEX('Curva ABC'!$K$8:$K$2847,MATCH(D1110,'Curva ABC'!$B$8:$B$2847,0))</f>
        <v>C</v>
      </c>
    </row>
    <row r="1111" customFormat="false" ht="15" hidden="false" customHeight="false" outlineLevel="0" collapsed="false">
      <c r="A1111" s="34" t="s">
        <v>5799</v>
      </c>
      <c r="B1111" s="34" t="str">
        <f aca="false">'Uso e Consumo'!A1111</f>
        <v>0335</v>
      </c>
      <c r="C1111" s="34" t="str">
        <f aca="false">'Uso e Consumo'!B1111</f>
        <v>UFV NORONHA VERDE - USO E CONSUMO</v>
      </c>
      <c r="D1111" s="33" t="n">
        <f aca="false">'Uso e Consumo'!C1111</f>
        <v>934657</v>
      </c>
      <c r="E1111" s="34" t="str">
        <f aca="false">'Uso e Consumo'!D1111</f>
        <v>17.16.0517</v>
      </c>
      <c r="F1111" s="34" t="str">
        <f aca="false">'Uso e Consumo'!E1111</f>
        <v>TERMINAL À COMPRESSÃO 50MM</v>
      </c>
      <c r="G1111" s="34" t="str">
        <f aca="false">'Uso e Consumo'!J1111</f>
        <v>UN</v>
      </c>
      <c r="H1111" s="49" t="n">
        <f aca="false">'Uso e Consumo'!F1111</f>
        <v>160</v>
      </c>
      <c r="I1111" s="35" t="n">
        <f aca="false">'Uso e Consumo'!G1111</f>
        <v>759.6</v>
      </c>
      <c r="J1111" s="34" t="str">
        <f aca="false">'Uso e Consumo'!M1111</f>
        <v>3.8.1.017 - Instalações elétricas/telefônicas/lógica</v>
      </c>
      <c r="K1111" s="32" t="str">
        <f aca="false">INDEX('Curva ABC'!$K$8:$K$2847,MATCH(D1111,'Curva ABC'!$B$8:$B$2847,0))</f>
        <v>C</v>
      </c>
    </row>
    <row r="1112" customFormat="false" ht="15" hidden="false" customHeight="false" outlineLevel="0" collapsed="false">
      <c r="A1112" s="34" t="s">
        <v>5799</v>
      </c>
      <c r="B1112" s="34" t="str">
        <f aca="false">'Uso e Consumo'!A1112</f>
        <v>0335</v>
      </c>
      <c r="C1112" s="34" t="str">
        <f aca="false">'Uso e Consumo'!B1112</f>
        <v>UFV NORONHA VERDE - USO E CONSUMO</v>
      </c>
      <c r="D1112" s="33" t="n">
        <f aca="false">'Uso e Consumo'!C1112</f>
        <v>865892</v>
      </c>
      <c r="E1112" s="34" t="str">
        <f aca="false">'Uso e Consumo'!D1112</f>
        <v>24.13.0030</v>
      </c>
      <c r="F1112" s="34" t="str">
        <f aca="false">'Uso e Consumo'!E1112</f>
        <v>LIMA REDONDA 200X5 2MM ACO CARBONO SEM CABO PARA MOTOSSERRA</v>
      </c>
      <c r="G1112" s="34" t="str">
        <f aca="false">'Uso e Consumo'!J1112</f>
        <v>UN</v>
      </c>
      <c r="H1112" s="49" t="n">
        <f aca="false">'Uso e Consumo'!F1112</f>
        <v>46</v>
      </c>
      <c r="I1112" s="35" t="n">
        <f aca="false">'Uso e Consumo'!G1112</f>
        <v>757.6</v>
      </c>
      <c r="J1112" s="34" t="str">
        <f aca="false">'Uso e Consumo'!M1112</f>
        <v>3.8.2.006 - Utensílios</v>
      </c>
      <c r="K1112" s="32" t="str">
        <f aca="false">INDEX('Curva ABC'!$K$8:$K$2847,MATCH(D1112,'Curva ABC'!$B$8:$B$2847,0))</f>
        <v>C</v>
      </c>
    </row>
    <row r="1113" customFormat="false" ht="15" hidden="false" customHeight="false" outlineLevel="0" collapsed="false">
      <c r="A1113" s="34" t="s">
        <v>5799</v>
      </c>
      <c r="B1113" s="34" t="str">
        <f aca="false">'Uso e Consumo'!A1113</f>
        <v>0335</v>
      </c>
      <c r="C1113" s="34" t="str">
        <f aca="false">'Uso e Consumo'!B1113</f>
        <v>UFV NORONHA VERDE - USO E CONSUMO</v>
      </c>
      <c r="D1113" s="33" t="n">
        <f aca="false">'Uso e Consumo'!C1113</f>
        <v>141773</v>
      </c>
      <c r="E1113" s="34" t="str">
        <f aca="false">'Uso e Consumo'!D1113</f>
        <v>32.01.0020</v>
      </c>
      <c r="F1113" s="34" t="str">
        <f aca="false">'Uso e Consumo'!E1113</f>
        <v>MANILHA CURVA GALVANIZADA DE 3/4” POLEGADA PINO ROSCADO</v>
      </c>
      <c r="G1113" s="34" t="str">
        <f aca="false">'Uso e Consumo'!J1113</f>
        <v>UN</v>
      </c>
      <c r="H1113" s="49" t="n">
        <f aca="false">'Uso e Consumo'!F1113</f>
        <v>12</v>
      </c>
      <c r="I1113" s="35" t="n">
        <f aca="false">'Uso e Consumo'!G1113</f>
        <v>756</v>
      </c>
      <c r="J1113" s="34" t="str">
        <f aca="false">'Uso e Consumo'!M1113</f>
        <v>6.1.2.001 - Equipamentos</v>
      </c>
      <c r="K1113" s="32" t="str">
        <f aca="false">INDEX('Curva ABC'!$K$8:$K$2847,MATCH(D1113,'Curva ABC'!$B$8:$B$2847,0))</f>
        <v>C</v>
      </c>
    </row>
    <row r="1114" customFormat="false" ht="15" hidden="false" customHeight="false" outlineLevel="0" collapsed="false">
      <c r="A1114" s="34" t="s">
        <v>5799</v>
      </c>
      <c r="B1114" s="34" t="str">
        <f aca="false">'Uso e Consumo'!A1114</f>
        <v>0335</v>
      </c>
      <c r="C1114" s="34" t="str">
        <f aca="false">'Uso e Consumo'!B1114</f>
        <v>UFV NORONHA VERDE - USO E CONSUMO</v>
      </c>
      <c r="D1114" s="33" t="n">
        <f aca="false">'Uso e Consumo'!C1114</f>
        <v>1654527</v>
      </c>
      <c r="E1114" s="34" t="str">
        <f aca="false">'Uso e Consumo'!D1114</f>
        <v>28.01.0743</v>
      </c>
      <c r="F1114" s="34" t="str">
        <f aca="false">'Uso e Consumo'!E1114</f>
        <v>PLACA TIPO M1 INDICACAO DE SISTEMAS DE PROTECAO - 800X400 MM - ACO GALVANIZADO, PINTURA ELETROSTATICA</v>
      </c>
      <c r="G1114" s="34" t="str">
        <f aca="false">'Uso e Consumo'!J1114</f>
        <v>UN</v>
      </c>
      <c r="H1114" s="49" t="n">
        <f aca="false">'Uso e Consumo'!F1114</f>
        <v>4</v>
      </c>
      <c r="I1114" s="35" t="n">
        <f aca="false">'Uso e Consumo'!G1114</f>
        <v>753.23</v>
      </c>
      <c r="J1114" s="34" t="str">
        <f aca="false">'Uso e Consumo'!M1114</f>
        <v>3.8.1.023 - Comunicação visual e sinalização</v>
      </c>
      <c r="K1114" s="32" t="str">
        <f aca="false">INDEX('Curva ABC'!$K$8:$K$2847,MATCH(D1114,'Curva ABC'!$B$8:$B$2847,0))</f>
        <v>C</v>
      </c>
    </row>
    <row r="1115" customFormat="false" ht="15" hidden="false" customHeight="false" outlineLevel="0" collapsed="false">
      <c r="A1115" s="34" t="s">
        <v>5799</v>
      </c>
      <c r="B1115" s="34" t="str">
        <f aca="false">'Uso e Consumo'!A1115</f>
        <v>0335</v>
      </c>
      <c r="C1115" s="34" t="str">
        <f aca="false">'Uso e Consumo'!B1115</f>
        <v>UFV NORONHA VERDE - USO E CONSUMO</v>
      </c>
      <c r="D1115" s="33" t="n">
        <f aca="false">'Uso e Consumo'!C1115</f>
        <v>1171415</v>
      </c>
      <c r="E1115" s="34" t="str">
        <f aca="false">'Uso e Consumo'!D1115</f>
        <v>18.01.1448</v>
      </c>
      <c r="F1115" s="34" t="str">
        <f aca="false">'Uso e Consumo'!E1115</f>
        <v>CAP ESG DN100 - LINHA REDUÇÃO DE RUÍDO</v>
      </c>
      <c r="G1115" s="34" t="str">
        <f aca="false">'Uso e Consumo'!J1115</f>
        <v>UN</v>
      </c>
      <c r="H1115" s="49" t="n">
        <f aca="false">'Uso e Consumo'!F1115</f>
        <v>57</v>
      </c>
      <c r="I1115" s="35" t="n">
        <f aca="false">'Uso e Consumo'!G1115</f>
        <v>752.93</v>
      </c>
      <c r="J1115" s="34" t="str">
        <f aca="false">'Uso e Consumo'!M1115</f>
        <v>3.8.1.018 - Instalações hidráulicas/sanitárias/industriais</v>
      </c>
      <c r="K1115" s="32" t="str">
        <f aca="false">INDEX('Curva ABC'!$K$8:$K$2847,MATCH(D1115,'Curva ABC'!$B$8:$B$2847,0))</f>
        <v>C</v>
      </c>
    </row>
    <row r="1116" customFormat="false" ht="15" hidden="false" customHeight="false" outlineLevel="0" collapsed="false">
      <c r="A1116" s="34" t="s">
        <v>5799</v>
      </c>
      <c r="B1116" s="34" t="str">
        <f aca="false">'Uso e Consumo'!A1116</f>
        <v>0335</v>
      </c>
      <c r="C1116" s="34" t="str">
        <f aca="false">'Uso e Consumo'!B1116</f>
        <v>UFV NORONHA VERDE - USO E CONSUMO</v>
      </c>
      <c r="D1116" s="33" t="n">
        <f aca="false">'Uso e Consumo'!C1116</f>
        <v>1677688</v>
      </c>
      <c r="E1116" s="34" t="str">
        <f aca="false">'Uso e Consumo'!D1116</f>
        <v>26.12.0176</v>
      </c>
      <c r="F1116" s="34" t="str">
        <f aca="false">'Uso e Consumo'!E1116</f>
        <v>FITA DE SINALIZACAO SUBTERRANEA, PEAD, VERMELHA, "PERIGO  ALTA TENSAO", 7,6 CM X 300 M, PARA VALAS DE REDE ELETRICA</v>
      </c>
      <c r="G1116" s="34" t="str">
        <f aca="false">'Uso e Consumo'!J1116</f>
        <v>M</v>
      </c>
      <c r="H1116" s="49" t="n">
        <f aca="false">'Uso e Consumo'!F1116</f>
        <v>900</v>
      </c>
      <c r="I1116" s="35" t="n">
        <f aca="false">'Uso e Consumo'!G1116</f>
        <v>751.68</v>
      </c>
      <c r="J1116" s="34" t="str">
        <f aca="false">'Uso e Consumo'!M1116</f>
        <v>4.3.4.002 - Equipamento de proteção e sinalização coletiva</v>
      </c>
      <c r="K1116" s="32" t="str">
        <f aca="false">INDEX('Curva ABC'!$K$8:$K$2847,MATCH(D1116,'Curva ABC'!$B$8:$B$2847,0))</f>
        <v>C</v>
      </c>
    </row>
    <row r="1117" customFormat="false" ht="15" hidden="false" customHeight="false" outlineLevel="0" collapsed="false">
      <c r="A1117" s="34" t="s">
        <v>5799</v>
      </c>
      <c r="B1117" s="34" t="str">
        <f aca="false">'Uso e Consumo'!A1117</f>
        <v>0335</v>
      </c>
      <c r="C1117" s="34" t="str">
        <f aca="false">'Uso e Consumo'!B1117</f>
        <v>UFV NORONHA VERDE - USO E CONSUMO</v>
      </c>
      <c r="D1117" s="33" t="n">
        <f aca="false">'Uso e Consumo'!C1117</f>
        <v>600761</v>
      </c>
      <c r="E1117" s="34" t="str">
        <f aca="false">'Uso e Consumo'!D1117</f>
        <v>26.02.0162</v>
      </c>
      <c r="F1117" s="34" t="str">
        <f aca="false">'Uso e Consumo'!E1117</f>
        <v>BOTINA NOBUCK C/ CADARÇO ANTIPERFURANTE E BIQUEIRA COMPOSITE - COR MARROM -  Nº 41 (CA-41829)</v>
      </c>
      <c r="G1117" s="34" t="str">
        <f aca="false">'Uso e Consumo'!J1117</f>
        <v>PAR</v>
      </c>
      <c r="H1117" s="49" t="n">
        <f aca="false">'Uso e Consumo'!F1117</f>
        <v>6</v>
      </c>
      <c r="I1117" s="35" t="n">
        <f aca="false">'Uso e Consumo'!G1117</f>
        <v>751.5</v>
      </c>
      <c r="J1117" s="34" t="str">
        <f aca="false">'Uso e Consumo'!M1117</f>
        <v>4.3.4.001 - Equipamento de proteção individual</v>
      </c>
      <c r="K1117" s="32" t="str">
        <f aca="false">INDEX('Curva ABC'!$K$8:$K$2847,MATCH(D1117,'Curva ABC'!$B$8:$B$2847,0))</f>
        <v>C</v>
      </c>
    </row>
    <row r="1118" customFormat="false" ht="15" hidden="false" customHeight="false" outlineLevel="0" collapsed="false">
      <c r="A1118" s="34" t="s">
        <v>5799</v>
      </c>
      <c r="B1118" s="34" t="str">
        <f aca="false">'Uso e Consumo'!A1118</f>
        <v>0335</v>
      </c>
      <c r="C1118" s="34" t="str">
        <f aca="false">'Uso e Consumo'!B1118</f>
        <v>UFV NORONHA VERDE - USO E CONSUMO</v>
      </c>
      <c r="D1118" s="33" t="n">
        <f aca="false">'Uso e Consumo'!C1118</f>
        <v>1615081</v>
      </c>
      <c r="E1118" s="34" t="str">
        <f aca="false">'Uso e Consumo'!D1118</f>
        <v>17.02.0923</v>
      </c>
      <c r="F1118" s="34" t="str">
        <f aca="false">'Uso e Consumo'!E1118</f>
        <v>ELETRODUTO DE ACO CARBONO, GALV. A FOGO, DN 25 MM, COM ROSCA, REFERENCIA DE BITOLA 1" BSP, TIPO PESADO, 3.00 M</v>
      </c>
      <c r="G1118" s="34" t="str">
        <f aca="false">'Uso e Consumo'!J1118</f>
        <v>UN</v>
      </c>
      <c r="H1118" s="49" t="n">
        <f aca="false">'Uso e Consumo'!F1118</f>
        <v>7</v>
      </c>
      <c r="I1118" s="35" t="n">
        <f aca="false">'Uso e Consumo'!G1118</f>
        <v>749.9</v>
      </c>
      <c r="J1118" s="34" t="str">
        <f aca="false">'Uso e Consumo'!M1118</f>
        <v>3.8.1.017 - Instalações elétricas/telefônicas/lógica</v>
      </c>
      <c r="K1118" s="32" t="str">
        <f aca="false">INDEX('Curva ABC'!$K$8:$K$2847,MATCH(D1118,'Curva ABC'!$B$8:$B$2847,0))</f>
        <v>C</v>
      </c>
    </row>
    <row r="1119" customFormat="false" ht="15" hidden="false" customHeight="false" outlineLevel="0" collapsed="false">
      <c r="A1119" s="34" t="s">
        <v>5799</v>
      </c>
      <c r="B1119" s="34" t="str">
        <f aca="false">'Uso e Consumo'!A1119</f>
        <v>0335</v>
      </c>
      <c r="C1119" s="34" t="str">
        <f aca="false">'Uso e Consumo'!B1119</f>
        <v>UFV NORONHA VERDE - USO E CONSUMO</v>
      </c>
      <c r="D1119" s="33" t="n">
        <f aca="false">'Uso e Consumo'!C1119</f>
        <v>1112290</v>
      </c>
      <c r="E1119" s="34" t="str">
        <f aca="false">'Uso e Consumo'!D1119</f>
        <v>30.04.0338</v>
      </c>
      <c r="F1119" s="34" t="str">
        <f aca="false">'Uso e Consumo'!E1119</f>
        <v>COPO SANFONADO RETRÁTIL 270ML</v>
      </c>
      <c r="G1119" s="34" t="str">
        <f aca="false">'Uso e Consumo'!J1119</f>
        <v>UN</v>
      </c>
      <c r="H1119" s="49" t="n">
        <f aca="false">'Uso e Consumo'!F1119</f>
        <v>54</v>
      </c>
      <c r="I1119" s="35" t="n">
        <f aca="false">'Uso e Consumo'!G1119</f>
        <v>749.25</v>
      </c>
      <c r="J1119" s="34" t="str">
        <f aca="false">'Uso e Consumo'!M1119</f>
        <v>4.1.1.001 - Material de uso e consumo</v>
      </c>
      <c r="K1119" s="32" t="str">
        <f aca="false">INDEX('Curva ABC'!$K$8:$K$2847,MATCH(D1119,'Curva ABC'!$B$8:$B$2847,0))</f>
        <v>C</v>
      </c>
    </row>
    <row r="1120" customFormat="false" ht="15" hidden="false" customHeight="false" outlineLevel="0" collapsed="false">
      <c r="A1120" s="34" t="s">
        <v>5799</v>
      </c>
      <c r="B1120" s="34" t="str">
        <f aca="false">'Uso e Consumo'!A1120</f>
        <v>0335</v>
      </c>
      <c r="C1120" s="34" t="str">
        <f aca="false">'Uso e Consumo'!B1120</f>
        <v>UFV NORONHA VERDE - USO E CONSUMO</v>
      </c>
      <c r="D1120" s="33" t="n">
        <f aca="false">'Uso e Consumo'!C1120</f>
        <v>1327984</v>
      </c>
      <c r="E1120" s="34" t="str">
        <f aca="false">'Uso e Consumo'!D1120</f>
        <v>08.02.0077</v>
      </c>
      <c r="F1120" s="34" t="str">
        <f aca="false">'Uso e Consumo'!E1120</f>
        <v>MEIO BLOCO 19X19X19 FCK MAIOR OU IGUAL 6MPA</v>
      </c>
      <c r="G1120" s="34" t="str">
        <f aca="false">'Uso e Consumo'!J1120</f>
        <v>UN</v>
      </c>
      <c r="H1120" s="49" t="n">
        <f aca="false">'Uso e Consumo'!F1120</f>
        <v>110</v>
      </c>
      <c r="I1120" s="35" t="n">
        <f aca="false">'Uso e Consumo'!G1120</f>
        <v>748</v>
      </c>
      <c r="J1120" s="34" t="str">
        <f aca="false">'Uso e Consumo'!M1120</f>
        <v>3.8.1.018 - Instalações hidráulicas/sanitárias/industriais</v>
      </c>
      <c r="K1120" s="32" t="str">
        <f aca="false">INDEX('Curva ABC'!$K$8:$K$2847,MATCH(D1120,'Curva ABC'!$B$8:$B$2847,0))</f>
        <v>C</v>
      </c>
    </row>
    <row r="1121" customFormat="false" ht="15" hidden="false" customHeight="false" outlineLevel="0" collapsed="false">
      <c r="A1121" s="34" t="s">
        <v>5799</v>
      </c>
      <c r="B1121" s="34" t="str">
        <f aca="false">'Uso e Consumo'!A1121</f>
        <v>0335</v>
      </c>
      <c r="C1121" s="34" t="str">
        <f aca="false">'Uso e Consumo'!B1121</f>
        <v>UFV NORONHA VERDE - USO E CONSUMO</v>
      </c>
      <c r="D1121" s="33" t="n">
        <f aca="false">'Uso e Consumo'!C1121</f>
        <v>1387921</v>
      </c>
      <c r="E1121" s="34" t="str">
        <f aca="false">'Uso e Consumo'!D1121</f>
        <v>23.02.0479</v>
      </c>
      <c r="F1121" s="34" t="str">
        <f aca="false">'Uso e Consumo'!E1121</f>
        <v>ABRAÇADEIRA EM AÇO INOX TIPO "D" Ø2"</v>
      </c>
      <c r="G1121" s="34" t="str">
        <f aca="false">'Uso e Consumo'!J1121</f>
        <v>UN</v>
      </c>
      <c r="H1121" s="49" t="n">
        <f aca="false">'Uso e Consumo'!F1121</f>
        <v>40</v>
      </c>
      <c r="I1121" s="35" t="n">
        <f aca="false">'Uso e Consumo'!G1121</f>
        <v>746.69</v>
      </c>
      <c r="J1121" s="34" t="str">
        <f aca="false">'Uso e Consumo'!M1121</f>
        <v>3.8.1.022 - Elementos de fixação</v>
      </c>
      <c r="K1121" s="32" t="str">
        <f aca="false">INDEX('Curva ABC'!$K$8:$K$2847,MATCH(D1121,'Curva ABC'!$B$8:$B$2847,0))</f>
        <v>C</v>
      </c>
    </row>
    <row r="1122" customFormat="false" ht="15" hidden="false" customHeight="false" outlineLevel="0" collapsed="false">
      <c r="A1122" s="34" t="s">
        <v>5799</v>
      </c>
      <c r="B1122" s="34" t="str">
        <f aca="false">'Uso e Consumo'!A1122</f>
        <v>0335</v>
      </c>
      <c r="C1122" s="34" t="str">
        <f aca="false">'Uso e Consumo'!B1122</f>
        <v>UFV NORONHA VERDE - USO E CONSUMO</v>
      </c>
      <c r="D1122" s="33" t="n">
        <f aca="false">'Uso e Consumo'!C1122</f>
        <v>32468</v>
      </c>
      <c r="E1122" s="34" t="str">
        <f aca="false">'Uso e Consumo'!D1122</f>
        <v>17.02.0019</v>
      </c>
      <c r="F1122" s="34" t="str">
        <f aca="false">'Uso e Consumo'!E1122</f>
        <v>ELETRODUTO PVC ANTICHAMA RIGIDO SOLDAVEL PRETO 75,00MM X 3,00M NBR 15465</v>
      </c>
      <c r="G1122" s="34" t="str">
        <f aca="false">'Uso e Consumo'!J1122</f>
        <v>PÇ3M</v>
      </c>
      <c r="H1122" s="49" t="n">
        <f aca="false">'Uso e Consumo'!F1122</f>
        <v>37</v>
      </c>
      <c r="I1122" s="35" t="n">
        <f aca="false">'Uso e Consumo'!G1122</f>
        <v>745.07</v>
      </c>
      <c r="J1122" s="34" t="str">
        <f aca="false">'Uso e Consumo'!M1122</f>
        <v>3.8.1.017 - Instalações elétricas/telefônicas/lógica</v>
      </c>
      <c r="K1122" s="32" t="str">
        <f aca="false">INDEX('Curva ABC'!$K$8:$K$2847,MATCH(D1122,'Curva ABC'!$B$8:$B$2847,0))</f>
        <v>C</v>
      </c>
    </row>
    <row r="1123" customFormat="false" ht="15" hidden="false" customHeight="false" outlineLevel="0" collapsed="false">
      <c r="A1123" s="34" t="s">
        <v>5799</v>
      </c>
      <c r="B1123" s="34" t="str">
        <f aca="false">'Uso e Consumo'!A1123</f>
        <v>0335</v>
      </c>
      <c r="C1123" s="34" t="str">
        <f aca="false">'Uso e Consumo'!B1123</f>
        <v>UFV NORONHA VERDE - USO E CONSUMO</v>
      </c>
      <c r="D1123" s="33" t="n">
        <f aca="false">'Uso e Consumo'!C1123</f>
        <v>888374</v>
      </c>
      <c r="E1123" s="34" t="str">
        <f aca="false">'Uso e Consumo'!D1123</f>
        <v>17.20.0603</v>
      </c>
      <c r="F1123" s="34" t="str">
        <f aca="false">'Uso e Consumo'!E1123</f>
        <v>PARA-RAIOS POLIMÉRICO 12KV</v>
      </c>
      <c r="G1123" s="34" t="str">
        <f aca="false">'Uso e Consumo'!J1123</f>
        <v>UN</v>
      </c>
      <c r="H1123" s="49" t="n">
        <f aca="false">'Uso e Consumo'!F1123</f>
        <v>2</v>
      </c>
      <c r="I1123" s="35" t="n">
        <f aca="false">'Uso e Consumo'!G1123</f>
        <v>738.74</v>
      </c>
      <c r="J1123" s="34" t="str">
        <f aca="false">'Uso e Consumo'!M1123</f>
        <v>3.8.1.017 - Instalações elétricas/telefônicas/lógica</v>
      </c>
      <c r="K1123" s="32" t="str">
        <f aca="false">INDEX('Curva ABC'!$K$8:$K$2847,MATCH(D1123,'Curva ABC'!$B$8:$B$2847,0))</f>
        <v>C</v>
      </c>
    </row>
    <row r="1124" customFormat="false" ht="15" hidden="false" customHeight="false" outlineLevel="0" collapsed="false">
      <c r="A1124" s="34" t="s">
        <v>5799</v>
      </c>
      <c r="B1124" s="34" t="str">
        <f aca="false">'Uso e Consumo'!A1124</f>
        <v>0335</v>
      </c>
      <c r="C1124" s="34" t="str">
        <f aca="false">'Uso e Consumo'!B1124</f>
        <v>UFV NORONHA VERDE - USO E CONSUMO</v>
      </c>
      <c r="D1124" s="33" t="n">
        <f aca="false">'Uso e Consumo'!C1124</f>
        <v>1464211</v>
      </c>
      <c r="E1124" s="34" t="str">
        <f aca="false">'Uso e Consumo'!D1124</f>
        <v>10.11.0023</v>
      </c>
      <c r="F1124" s="34" t="str">
        <f aca="false">'Uso e Consumo'!E1124</f>
        <v>RODAPÉ EM PERFIL EXTRUDADO DE PVC 7,5 CM  DE ALTURA TIPO "STANDARD" </v>
      </c>
      <c r="G1124" s="34" t="str">
        <f aca="false">'Uso e Consumo'!J1124</f>
        <v>M</v>
      </c>
      <c r="H1124" s="49" t="n">
        <f aca="false">'Uso e Consumo'!F1124</f>
        <v>48.185</v>
      </c>
      <c r="I1124" s="35" t="n">
        <f aca="false">'Uso e Consumo'!G1124</f>
        <v>738.36</v>
      </c>
      <c r="J1124" s="34" t="str">
        <f aca="false">'Uso e Consumo'!M1124</f>
        <v>3.8.1.010 - Revestimentos e pisos</v>
      </c>
      <c r="K1124" s="32" t="str">
        <f aca="false">INDEX('Curva ABC'!$K$8:$K$2847,MATCH(D1124,'Curva ABC'!$B$8:$B$2847,0))</f>
        <v>C</v>
      </c>
    </row>
    <row r="1125" customFormat="false" ht="15" hidden="false" customHeight="false" outlineLevel="0" collapsed="false">
      <c r="A1125" s="34" t="s">
        <v>5799</v>
      </c>
      <c r="B1125" s="34" t="str">
        <f aca="false">'Uso e Consumo'!A1125</f>
        <v>0335</v>
      </c>
      <c r="C1125" s="34" t="str">
        <f aca="false">'Uso e Consumo'!B1125</f>
        <v>UFV NORONHA VERDE - USO E CONSUMO</v>
      </c>
      <c r="D1125" s="33" t="n">
        <f aca="false">'Uso e Consumo'!C1125</f>
        <v>952908</v>
      </c>
      <c r="E1125" s="34" t="str">
        <f aca="false">'Uso e Consumo'!D1125</f>
        <v>25.01.0230</v>
      </c>
      <c r="F1125" s="34" t="str">
        <f aca="false">'Uso e Consumo'!E1125</f>
        <v>DISCO FLAP 4"</v>
      </c>
      <c r="G1125" s="34" t="str">
        <f aca="false">'Uso e Consumo'!J1125</f>
        <v>UN</v>
      </c>
      <c r="H1125" s="49" t="n">
        <f aca="false">'Uso e Consumo'!F1125</f>
        <v>150</v>
      </c>
      <c r="I1125" s="35" t="n">
        <f aca="false">'Uso e Consumo'!G1125</f>
        <v>737.5</v>
      </c>
      <c r="J1125" s="34" t="str">
        <f aca="false">'Uso e Consumo'!M1125</f>
        <v>3.8.2.004 - Consumíveis para corte, perfuração e desbaste</v>
      </c>
      <c r="K1125" s="32" t="str">
        <f aca="false">INDEX('Curva ABC'!$K$8:$K$2847,MATCH(D1125,'Curva ABC'!$B$8:$B$2847,0))</f>
        <v>C</v>
      </c>
    </row>
    <row r="1126" customFormat="false" ht="15" hidden="false" customHeight="false" outlineLevel="0" collapsed="false">
      <c r="A1126" s="34" t="s">
        <v>5799</v>
      </c>
      <c r="B1126" s="34" t="str">
        <f aca="false">'Uso e Consumo'!A1126</f>
        <v>0335</v>
      </c>
      <c r="C1126" s="34" t="str">
        <f aca="false">'Uso e Consumo'!B1126</f>
        <v>UFV NORONHA VERDE - USO E CONSUMO</v>
      </c>
      <c r="D1126" s="33" t="n">
        <f aca="false">'Uso e Consumo'!C1126</f>
        <v>734720</v>
      </c>
      <c r="E1126" s="34" t="str">
        <f aca="false">'Uso e Consumo'!D1126</f>
        <v>18.01.1234</v>
      </c>
      <c r="F1126" s="34" t="str">
        <f aca="false">'Uso e Consumo'!E1126</f>
        <v>TUBO PVC ESGOTO 150MM SÉRIE NORMAL</v>
      </c>
      <c r="G1126" s="34" t="str">
        <f aca="false">'Uso e Consumo'!J1126</f>
        <v>M</v>
      </c>
      <c r="H1126" s="49" t="n">
        <f aca="false">'Uso e Consumo'!F1126</f>
        <v>2</v>
      </c>
      <c r="I1126" s="35" t="n">
        <f aca="false">'Uso e Consumo'!G1126</f>
        <v>736</v>
      </c>
      <c r="J1126" s="34" t="str">
        <f aca="false">'Uso e Consumo'!M1126</f>
        <v>3.8.1.018 - Instalações hidráulicas/sanitárias/industriais</v>
      </c>
      <c r="K1126" s="32" t="str">
        <f aca="false">INDEX('Curva ABC'!$K$8:$K$2847,MATCH(D1126,'Curva ABC'!$B$8:$B$2847,0))</f>
        <v>C</v>
      </c>
    </row>
    <row r="1127" customFormat="false" ht="15" hidden="false" customHeight="false" outlineLevel="0" collapsed="false">
      <c r="A1127" s="34" t="s">
        <v>5799</v>
      </c>
      <c r="B1127" s="34" t="str">
        <f aca="false">'Uso e Consumo'!A1127</f>
        <v>0335</v>
      </c>
      <c r="C1127" s="34" t="str">
        <f aca="false">'Uso e Consumo'!B1127</f>
        <v>UFV NORONHA VERDE - USO E CONSUMO</v>
      </c>
      <c r="D1127" s="33" t="n">
        <f aca="false">'Uso e Consumo'!C1127</f>
        <v>17864</v>
      </c>
      <c r="E1127" s="34" t="str">
        <f aca="false">'Uso e Consumo'!D1127</f>
        <v>24.04.0007</v>
      </c>
      <c r="F1127" s="34" t="str">
        <f aca="false">'Uso e Consumo'!E1127</f>
        <v>PRUMO PAREDE AÇO SAE 1020 CORDAO NYLON TAÇO MADEIRA 400,00G</v>
      </c>
      <c r="G1127" s="34" t="str">
        <f aca="false">'Uso e Consumo'!J1127</f>
        <v>UN</v>
      </c>
      <c r="H1127" s="49" t="n">
        <f aca="false">'Uso e Consumo'!F1127</f>
        <v>20</v>
      </c>
      <c r="I1127" s="35" t="n">
        <f aca="false">'Uso e Consumo'!G1127</f>
        <v>734.9</v>
      </c>
      <c r="J1127" s="34" t="str">
        <f aca="false">'Uso e Consumo'!M1127</f>
        <v>3.8.2.001 - Ferramentas medição/aferição</v>
      </c>
      <c r="K1127" s="32" t="str">
        <f aca="false">INDEX('Curva ABC'!$K$8:$K$2847,MATCH(D1127,'Curva ABC'!$B$8:$B$2847,0))</f>
        <v>C</v>
      </c>
    </row>
    <row r="1128" customFormat="false" ht="15" hidden="false" customHeight="false" outlineLevel="0" collapsed="false">
      <c r="A1128" s="34" t="s">
        <v>5799</v>
      </c>
      <c r="B1128" s="34" t="str">
        <f aca="false">'Uso e Consumo'!A1128</f>
        <v>0335</v>
      </c>
      <c r="C1128" s="34" t="str">
        <f aca="false">'Uso e Consumo'!B1128</f>
        <v>UFV NORONHA VERDE - USO E CONSUMO</v>
      </c>
      <c r="D1128" s="33" t="n">
        <f aca="false">'Uso e Consumo'!C1128</f>
        <v>1383081</v>
      </c>
      <c r="E1128" s="34" t="str">
        <f aca="false">'Uso e Consumo'!D1128</f>
        <v>17.02.0855</v>
      </c>
      <c r="F1128" s="34" t="str">
        <f aca="false">'Uso e Consumo'!E1128</f>
        <v>CURVA 90° AÇO GALVANIZADO ROSCA BSP 2"</v>
      </c>
      <c r="G1128" s="34" t="str">
        <f aca="false">'Uso e Consumo'!J1128</f>
        <v>UN</v>
      </c>
      <c r="H1128" s="49" t="n">
        <f aca="false">'Uso e Consumo'!F1128</f>
        <v>6</v>
      </c>
      <c r="I1128" s="35" t="n">
        <f aca="false">'Uso e Consumo'!G1128</f>
        <v>731.13</v>
      </c>
      <c r="J1128" s="34" t="str">
        <f aca="false">'Uso e Consumo'!M1128</f>
        <v>3.8.1.017 - Instalações elétricas/telefônicas/lógica</v>
      </c>
      <c r="K1128" s="32" t="str">
        <f aca="false">INDEX('Curva ABC'!$K$8:$K$2847,MATCH(D1128,'Curva ABC'!$B$8:$B$2847,0))</f>
        <v>C</v>
      </c>
    </row>
    <row r="1129" customFormat="false" ht="15" hidden="false" customHeight="false" outlineLevel="0" collapsed="false">
      <c r="A1129" s="34" t="s">
        <v>5799</v>
      </c>
      <c r="B1129" s="34" t="str">
        <f aca="false">'Uso e Consumo'!A1129</f>
        <v>0335</v>
      </c>
      <c r="C1129" s="34" t="str">
        <f aca="false">'Uso e Consumo'!B1129</f>
        <v>UFV NORONHA VERDE - USO E CONSUMO</v>
      </c>
      <c r="D1129" s="33" t="n">
        <f aca="false">'Uso e Consumo'!C1129</f>
        <v>867162</v>
      </c>
      <c r="E1129" s="34" t="str">
        <f aca="false">'Uso e Consumo'!D1129</f>
        <v>29.02.0465</v>
      </c>
      <c r="F1129" s="34" t="str">
        <f aca="false">'Uso e Consumo'!E1129</f>
        <v>MESA DE REUNIÃO RETANGULAR 6 LUGARES 2,00 X 1,000 TAMPO DE 25MM</v>
      </c>
      <c r="G1129" s="34" t="str">
        <f aca="false">'Uso e Consumo'!J1129</f>
        <v>UN</v>
      </c>
      <c r="H1129" s="49" t="n">
        <f aca="false">'Uso e Consumo'!F1129</f>
        <v>2</v>
      </c>
      <c r="I1129" s="35" t="n">
        <f aca="false">'Uso e Consumo'!G1129</f>
        <v>730</v>
      </c>
      <c r="J1129" s="34" t="str">
        <f aca="false">'Uso e Consumo'!M1129</f>
        <v>4.1.1.008 - Mobiliário e acessórios</v>
      </c>
      <c r="K1129" s="32" t="str">
        <f aca="false">INDEX('Curva ABC'!$K$8:$K$2847,MATCH(D1129,'Curva ABC'!$B$8:$B$2847,0))</f>
        <v>C</v>
      </c>
    </row>
    <row r="1130" customFormat="false" ht="15" hidden="false" customHeight="false" outlineLevel="0" collapsed="false">
      <c r="A1130" s="34" t="s">
        <v>5799</v>
      </c>
      <c r="B1130" s="34" t="str">
        <f aca="false">'Uso e Consumo'!A1130</f>
        <v>0335</v>
      </c>
      <c r="C1130" s="34" t="str">
        <f aca="false">'Uso e Consumo'!B1130</f>
        <v>UFV NORONHA VERDE - USO E CONSUMO</v>
      </c>
      <c r="D1130" s="33" t="n">
        <f aca="false">'Uso e Consumo'!C1130</f>
        <v>19757</v>
      </c>
      <c r="E1130" s="34" t="str">
        <f aca="false">'Uso e Consumo'!D1130</f>
        <v>30.03.0030</v>
      </c>
      <c r="F1130" s="34" t="str">
        <f aca="false">'Uso e Consumo'!E1130</f>
        <v>ÁGUA SANITARIA HIPOCLORITO SÓDIO 2,0 - 2,5P/P 1,038 A 1,048G/CM3 PH 11,5 A 12,0 BOMBONA 5,00L</v>
      </c>
      <c r="G1130" s="34" t="str">
        <f aca="false">'Uso e Consumo'!J1130</f>
        <v>UN</v>
      </c>
      <c r="H1130" s="49" t="n">
        <f aca="false">'Uso e Consumo'!F1130</f>
        <v>60</v>
      </c>
      <c r="I1130" s="35" t="n">
        <f aca="false">'Uso e Consumo'!G1130</f>
        <v>729</v>
      </c>
      <c r="J1130" s="34" t="str">
        <f aca="false">'Uso e Consumo'!M1130</f>
        <v>4.1.1.003 - Material limpeza</v>
      </c>
      <c r="K1130" s="32" t="str">
        <f aca="false">INDEX('Curva ABC'!$K$8:$K$2847,MATCH(D1130,'Curva ABC'!$B$8:$B$2847,0))</f>
        <v>C</v>
      </c>
    </row>
    <row r="1131" customFormat="false" ht="15" hidden="false" customHeight="false" outlineLevel="0" collapsed="false">
      <c r="A1131" s="34" t="s">
        <v>5799</v>
      </c>
      <c r="B1131" s="34" t="str">
        <f aca="false">'Uso e Consumo'!A1131</f>
        <v>0335</v>
      </c>
      <c r="C1131" s="34" t="str">
        <f aca="false">'Uso e Consumo'!B1131</f>
        <v>UFV NORONHA VERDE - USO E CONSUMO</v>
      </c>
      <c r="D1131" s="33" t="n">
        <f aca="false">'Uso e Consumo'!C1131</f>
        <v>1677140</v>
      </c>
      <c r="E1131" s="34" t="str">
        <f aca="false">'Uso e Consumo'!D1131</f>
        <v>17.02.0946</v>
      </c>
      <c r="F1131" s="34" t="str">
        <f aca="false">'Uso e Consumo'!E1131</f>
        <v>BUCHA DE REDUCAO 2" X 1" SEM ROSCA LIGA DE ALUMINIO</v>
      </c>
      <c r="G1131" s="34" t="str">
        <f aca="false">'Uso e Consumo'!J1131</f>
        <v>UN</v>
      </c>
      <c r="H1131" s="49" t="n">
        <f aca="false">'Uso e Consumo'!F1131</f>
        <v>8</v>
      </c>
      <c r="I1131" s="35" t="n">
        <f aca="false">'Uso e Consumo'!G1131</f>
        <v>728</v>
      </c>
      <c r="J1131" s="34" t="str">
        <f aca="false">'Uso e Consumo'!M1131</f>
        <v>3.8.1.017 - Instalações elétricas/telefônicas/lógica</v>
      </c>
      <c r="K1131" s="32" t="str">
        <f aca="false">INDEX('Curva ABC'!$K$8:$K$2847,MATCH(D1131,'Curva ABC'!$B$8:$B$2847,0))</f>
        <v>C</v>
      </c>
    </row>
    <row r="1132" customFormat="false" ht="15" hidden="false" customHeight="false" outlineLevel="0" collapsed="false">
      <c r="A1132" s="34" t="s">
        <v>5799</v>
      </c>
      <c r="B1132" s="34" t="str">
        <f aca="false">'Uso e Consumo'!A1132</f>
        <v>0335</v>
      </c>
      <c r="C1132" s="34" t="str">
        <f aca="false">'Uso e Consumo'!B1132</f>
        <v>UFV NORONHA VERDE - USO E CONSUMO</v>
      </c>
      <c r="D1132" s="33" t="n">
        <f aca="false">'Uso e Consumo'!C1132</f>
        <v>650867</v>
      </c>
      <c r="E1132" s="34" t="str">
        <f aca="false">'Uso e Consumo'!D1132</f>
        <v>23.05.0217</v>
      </c>
      <c r="F1132" s="34" t="str">
        <f aca="false">'Uso e Consumo'!E1132</f>
        <v>ARRUELA DE PRESSÃO M8 ZC - COOPER - Cod. 140145</v>
      </c>
      <c r="G1132" s="34" t="str">
        <f aca="false">'Uso e Consumo'!J1132</f>
        <v>UN</v>
      </c>
      <c r="H1132" s="49" t="n">
        <f aca="false">'Uso e Consumo'!F1132</f>
        <v>110</v>
      </c>
      <c r="I1132" s="35" t="n">
        <f aca="false">'Uso e Consumo'!G1132</f>
        <v>726</v>
      </c>
      <c r="J1132" s="34" t="str">
        <f aca="false">'Uso e Consumo'!M1132</f>
        <v>3.8.1.022 - Elementos de fixação</v>
      </c>
      <c r="K1132" s="32" t="str">
        <f aca="false">INDEX('Curva ABC'!$K$8:$K$2847,MATCH(D1132,'Curva ABC'!$B$8:$B$2847,0))</f>
        <v>C</v>
      </c>
    </row>
    <row r="1133" customFormat="false" ht="15" hidden="false" customHeight="false" outlineLevel="0" collapsed="false">
      <c r="A1133" s="34" t="s">
        <v>5799</v>
      </c>
      <c r="B1133" s="34" t="str">
        <f aca="false">'Uso e Consumo'!A1133</f>
        <v>0335</v>
      </c>
      <c r="C1133" s="34" t="str">
        <f aca="false">'Uso e Consumo'!B1133</f>
        <v>UFV NORONHA VERDE - USO E CONSUMO</v>
      </c>
      <c r="D1133" s="33" t="n">
        <f aca="false">'Uso e Consumo'!C1133</f>
        <v>1608987</v>
      </c>
      <c r="E1133" s="34" t="str">
        <f aca="false">'Uso e Consumo'!D1133</f>
        <v>24.25.0035</v>
      </c>
      <c r="F1133" s="34" t="str">
        <f aca="false">'Uso e Consumo'!E1133</f>
        <v>SERRA COPO BIMETAL 102MM 4"</v>
      </c>
      <c r="G1133" s="34" t="str">
        <f aca="false">'Uso e Consumo'!J1133</f>
        <v>UN</v>
      </c>
      <c r="H1133" s="49" t="n">
        <f aca="false">'Uso e Consumo'!F1133</f>
        <v>5</v>
      </c>
      <c r="I1133" s="35" t="n">
        <f aca="false">'Uso e Consumo'!G1133</f>
        <v>725</v>
      </c>
      <c r="J1133" s="34" t="str">
        <f aca="false">'Uso e Consumo'!M1133</f>
        <v>3.8.2.003 - Ferramentas elétricas/pneumáticas</v>
      </c>
      <c r="K1133" s="32" t="str">
        <f aca="false">INDEX('Curva ABC'!$K$8:$K$2847,MATCH(D1133,'Curva ABC'!$B$8:$B$2847,0))</f>
        <v>C</v>
      </c>
    </row>
    <row r="1134" customFormat="false" ht="15" hidden="false" customHeight="false" outlineLevel="0" collapsed="false">
      <c r="A1134" s="34" t="s">
        <v>5799</v>
      </c>
      <c r="B1134" s="34" t="str">
        <f aca="false">'Uso e Consumo'!A1134</f>
        <v>0335</v>
      </c>
      <c r="C1134" s="34" t="str">
        <f aca="false">'Uso e Consumo'!B1134</f>
        <v>UFV NORONHA VERDE - USO E CONSUMO</v>
      </c>
      <c r="D1134" s="33" t="n">
        <f aca="false">'Uso e Consumo'!C1134</f>
        <v>1463944</v>
      </c>
      <c r="E1134" s="34" t="str">
        <f aca="false">'Uso e Consumo'!D1134</f>
        <v>17.01.1241</v>
      </c>
      <c r="F1134" s="34" t="str">
        <f aca="false">'Uso e Consumo'!E1134</f>
        <v>CABO ELETRICO FLEXIVEL 0,6/1KV 1 X 25,00MM2 COBRE PVC CLASSE 5 VERMELHO NBR 7288</v>
      </c>
      <c r="G1134" s="34" t="str">
        <f aca="false">'Uso e Consumo'!J1134</f>
        <v>M</v>
      </c>
      <c r="H1134" s="49" t="n">
        <f aca="false">'Uso e Consumo'!F1134</f>
        <v>20.7</v>
      </c>
      <c r="I1134" s="35" t="n">
        <f aca="false">'Uso e Consumo'!G1134</f>
        <v>721.68</v>
      </c>
      <c r="J1134" s="34" t="str">
        <f aca="false">'Uso e Consumo'!M1134</f>
        <v>3.8.1.017 - Instalações elétricas/telefônicas/lógica</v>
      </c>
      <c r="K1134" s="32" t="str">
        <f aca="false">INDEX('Curva ABC'!$K$8:$K$2847,MATCH(D1134,'Curva ABC'!$B$8:$B$2847,0))</f>
        <v>C</v>
      </c>
    </row>
    <row r="1135" customFormat="false" ht="15" hidden="false" customHeight="false" outlineLevel="0" collapsed="false">
      <c r="A1135" s="34" t="s">
        <v>5799</v>
      </c>
      <c r="B1135" s="34" t="str">
        <f aca="false">'Uso e Consumo'!A1135</f>
        <v>0335</v>
      </c>
      <c r="C1135" s="34" t="str">
        <f aca="false">'Uso e Consumo'!B1135</f>
        <v>UFV NORONHA VERDE - USO E CONSUMO</v>
      </c>
      <c r="D1135" s="33" t="n">
        <f aca="false">'Uso e Consumo'!C1135</f>
        <v>1330074</v>
      </c>
      <c r="E1135" s="34" t="str">
        <f aca="false">'Uso e Consumo'!D1135</f>
        <v>24.34.0007</v>
      </c>
      <c r="F1135" s="34" t="str">
        <f aca="false">'Uso e Consumo'!E1135</f>
        <v>COLHER DE PEDREIRO DE 7"</v>
      </c>
      <c r="G1135" s="34" t="str">
        <f aca="false">'Uso e Consumo'!J1135</f>
        <v>UN</v>
      </c>
      <c r="H1135" s="49" t="n">
        <f aca="false">'Uso e Consumo'!F1135</f>
        <v>60</v>
      </c>
      <c r="I1135" s="35" t="n">
        <f aca="false">'Uso e Consumo'!G1135</f>
        <v>720</v>
      </c>
      <c r="J1135" s="34" t="str">
        <f aca="false">'Uso e Consumo'!M1135</f>
        <v>3.8.2.002 - Ferramentas manuais</v>
      </c>
      <c r="K1135" s="32" t="str">
        <f aca="false">INDEX('Curva ABC'!$K$8:$K$2847,MATCH(D1135,'Curva ABC'!$B$8:$B$2847,0))</f>
        <v>C</v>
      </c>
    </row>
    <row r="1136" customFormat="false" ht="15" hidden="false" customHeight="false" outlineLevel="0" collapsed="false">
      <c r="A1136" s="34" t="s">
        <v>5799</v>
      </c>
      <c r="B1136" s="34" t="str">
        <f aca="false">'Uso e Consumo'!A1136</f>
        <v>0335</v>
      </c>
      <c r="C1136" s="34" t="str">
        <f aca="false">'Uso e Consumo'!B1136</f>
        <v>UFV NORONHA VERDE - USO E CONSUMO</v>
      </c>
      <c r="D1136" s="33" t="n">
        <f aca="false">'Uso e Consumo'!C1136</f>
        <v>1679657</v>
      </c>
      <c r="E1136" s="34" t="str">
        <f aca="false">'Uso e Consumo'!D1136</f>
        <v>13.02.0383</v>
      </c>
      <c r="F1136" s="34" t="str">
        <f aca="false">'Uso e Consumo'!E1136</f>
        <v>PERFIL PARA ESQUADRIA DE ALUMINIO 35 MM C/ PINTURA ELETROSTATICA BRANCA</v>
      </c>
      <c r="G1136" s="34" t="str">
        <f aca="false">'Uso e Consumo'!J1136</f>
        <v>UN</v>
      </c>
      <c r="H1136" s="49" t="n">
        <f aca="false">'Uso e Consumo'!F1136</f>
        <v>4</v>
      </c>
      <c r="I1136" s="35" t="n">
        <f aca="false">'Uso e Consumo'!G1136</f>
        <v>720</v>
      </c>
      <c r="J1136" s="34" t="str">
        <f aca="false">'Uso e Consumo'!M1136</f>
        <v>3.8.1.013 - Esquadrias e vidros</v>
      </c>
      <c r="K1136" s="32" t="str">
        <f aca="false">INDEX('Curva ABC'!$K$8:$K$2847,MATCH(D1136,'Curva ABC'!$B$8:$B$2847,0))</f>
        <v>C</v>
      </c>
    </row>
    <row r="1137" customFormat="false" ht="15" hidden="false" customHeight="false" outlineLevel="0" collapsed="false">
      <c r="A1137" s="34" t="s">
        <v>5799</v>
      </c>
      <c r="B1137" s="34" t="str">
        <f aca="false">'Uso e Consumo'!A1137</f>
        <v>0335</v>
      </c>
      <c r="C1137" s="34" t="str">
        <f aca="false">'Uso e Consumo'!B1137</f>
        <v>UFV NORONHA VERDE - USO E CONSUMO</v>
      </c>
      <c r="D1137" s="33" t="n">
        <f aca="false">'Uso e Consumo'!C1137</f>
        <v>852441</v>
      </c>
      <c r="E1137" s="34" t="str">
        <f aca="false">'Uso e Consumo'!D1137</f>
        <v>25.04.0032</v>
      </c>
      <c r="F1137" s="34" t="str">
        <f aca="false">'Uso e Consumo'!E1137</f>
        <v>LAMINA DE SERRA MANUAL BI-METAL UNIQUE STARRET.</v>
      </c>
      <c r="G1137" s="34" t="str">
        <f aca="false">'Uso e Consumo'!J1137</f>
        <v>UN</v>
      </c>
      <c r="H1137" s="49" t="n">
        <f aca="false">'Uso e Consumo'!F1137</f>
        <v>51</v>
      </c>
      <c r="I1137" s="35" t="n">
        <f aca="false">'Uso e Consumo'!G1137</f>
        <v>719.116</v>
      </c>
      <c r="J1137" s="34" t="str">
        <f aca="false">'Uso e Consumo'!M1137</f>
        <v>3.8.2.004 - Consumíveis para corte, perfuração e desbaste</v>
      </c>
      <c r="K1137" s="32" t="str">
        <f aca="false">INDEX('Curva ABC'!$K$8:$K$2847,MATCH(D1137,'Curva ABC'!$B$8:$B$2847,0))</f>
        <v>C</v>
      </c>
    </row>
    <row r="1138" customFormat="false" ht="15" hidden="false" customHeight="false" outlineLevel="0" collapsed="false">
      <c r="A1138" s="34" t="s">
        <v>5799</v>
      </c>
      <c r="B1138" s="34" t="str">
        <f aca="false">'Uso e Consumo'!A1138</f>
        <v>0335</v>
      </c>
      <c r="C1138" s="34" t="str">
        <f aca="false">'Uso e Consumo'!B1138</f>
        <v>UFV NORONHA VERDE - USO E CONSUMO</v>
      </c>
      <c r="D1138" s="33" t="n">
        <f aca="false">'Uso e Consumo'!C1138</f>
        <v>840027</v>
      </c>
      <c r="E1138" s="34" t="str">
        <f aca="false">'Uso e Consumo'!D1138</f>
        <v>18.01.1268</v>
      </c>
      <c r="F1138" s="34" t="str">
        <f aca="false">'Uso e Consumo'!E1138</f>
        <v>LUVA SIMPLES 100MM, ESGOTO SÉRIE NORMAL - TIGRE</v>
      </c>
      <c r="G1138" s="34" t="str">
        <f aca="false">'Uso e Consumo'!J1138</f>
        <v>UN</v>
      </c>
      <c r="H1138" s="49" t="n">
        <f aca="false">'Uso e Consumo'!F1138</f>
        <v>142</v>
      </c>
      <c r="I1138" s="35" t="n">
        <f aca="false">'Uso e Consumo'!G1138</f>
        <v>714.8</v>
      </c>
      <c r="J1138" s="34" t="str">
        <f aca="false">'Uso e Consumo'!M1138</f>
        <v>3.8.1.018 - Instalações hidráulicas/sanitárias/industriais</v>
      </c>
      <c r="K1138" s="32" t="str">
        <f aca="false">INDEX('Curva ABC'!$K$8:$K$2847,MATCH(D1138,'Curva ABC'!$B$8:$B$2847,0))</f>
        <v>C</v>
      </c>
    </row>
    <row r="1139" customFormat="false" ht="15" hidden="false" customHeight="false" outlineLevel="0" collapsed="false">
      <c r="A1139" s="34" t="s">
        <v>5799</v>
      </c>
      <c r="B1139" s="34" t="str">
        <f aca="false">'Uso e Consumo'!A1139</f>
        <v>0335</v>
      </c>
      <c r="C1139" s="34" t="str">
        <f aca="false">'Uso e Consumo'!B1139</f>
        <v>UFV NORONHA VERDE - USO E CONSUMO</v>
      </c>
      <c r="D1139" s="33" t="n">
        <f aca="false">'Uso e Consumo'!C1139</f>
        <v>840049</v>
      </c>
      <c r="E1139" s="34" t="str">
        <f aca="false">'Uso e Consumo'!D1139</f>
        <v>17.11.1050</v>
      </c>
      <c r="F1139" s="34" t="str">
        <f aca="false">'Uso e Consumo'!E1139</f>
        <v>LUMINÁRIA DE EMERGÊNCIA 70/100 LUMENS AUTONOMIA: 3/6 HORAS BIVOLT AUTOMÁTICO</v>
      </c>
      <c r="G1139" s="34" t="str">
        <f aca="false">'Uso e Consumo'!J1139</f>
        <v>UN</v>
      </c>
      <c r="H1139" s="49" t="n">
        <f aca="false">'Uso e Consumo'!F1139</f>
        <v>31</v>
      </c>
      <c r="I1139" s="35" t="n">
        <f aca="false">'Uso e Consumo'!G1139</f>
        <v>713</v>
      </c>
      <c r="J1139" s="34" t="str">
        <f aca="false">'Uso e Consumo'!M1139</f>
        <v>3.8.1.017 - Instalações elétricas/telefônicas/lógica</v>
      </c>
      <c r="K1139" s="32" t="str">
        <f aca="false">INDEX('Curva ABC'!$K$8:$K$2847,MATCH(D1139,'Curva ABC'!$B$8:$B$2847,0))</f>
        <v>C</v>
      </c>
    </row>
    <row r="1140" customFormat="false" ht="15" hidden="false" customHeight="false" outlineLevel="0" collapsed="false">
      <c r="A1140" s="34" t="s">
        <v>5799</v>
      </c>
      <c r="B1140" s="34" t="str">
        <f aca="false">'Uso e Consumo'!A1140</f>
        <v>0335</v>
      </c>
      <c r="C1140" s="34" t="str">
        <f aca="false">'Uso e Consumo'!B1140</f>
        <v>UFV NORONHA VERDE - USO E CONSUMO</v>
      </c>
      <c r="D1140" s="33" t="n">
        <f aca="false">'Uso e Consumo'!C1140</f>
        <v>1486656</v>
      </c>
      <c r="E1140" s="34" t="str">
        <f aca="false">'Uso e Consumo'!D1140</f>
        <v>23.09.0047</v>
      </c>
      <c r="F1140" s="34" t="str">
        <f aca="false">'Uso e Consumo'!E1140</f>
        <v>ABRAÇADEIRA PARA MANGOTE 3" EM AÇO INOXIDÁVEL 92 A 100 MM</v>
      </c>
      <c r="G1140" s="34" t="str">
        <f aca="false">'Uso e Consumo'!J1140</f>
        <v>UN</v>
      </c>
      <c r="H1140" s="49" t="n">
        <f aca="false">'Uso e Consumo'!F1140</f>
        <v>20</v>
      </c>
      <c r="I1140" s="35" t="n">
        <f aca="false">'Uso e Consumo'!G1140</f>
        <v>712.8</v>
      </c>
      <c r="J1140" s="34" t="str">
        <f aca="false">'Uso e Consumo'!M1140</f>
        <v>3.8.1.017 - Instalações elétricas/telefônicas/lógica</v>
      </c>
      <c r="K1140" s="32" t="str">
        <f aca="false">INDEX('Curva ABC'!$K$8:$K$2847,MATCH(D1140,'Curva ABC'!$B$8:$B$2847,0))</f>
        <v>C</v>
      </c>
    </row>
    <row r="1141" customFormat="false" ht="15" hidden="false" customHeight="false" outlineLevel="0" collapsed="false">
      <c r="A1141" s="34" t="s">
        <v>5799</v>
      </c>
      <c r="B1141" s="34" t="str">
        <f aca="false">'Uso e Consumo'!A1141</f>
        <v>0335</v>
      </c>
      <c r="C1141" s="34" t="str">
        <f aca="false">'Uso e Consumo'!B1141</f>
        <v>UFV NORONHA VERDE - USO E CONSUMO</v>
      </c>
      <c r="D1141" s="33" t="n">
        <f aca="false">'Uso e Consumo'!C1141</f>
        <v>277925</v>
      </c>
      <c r="E1141" s="34" t="str">
        <f aca="false">'Uso e Consumo'!D1141</f>
        <v>23.05.0176</v>
      </c>
      <c r="F1141" s="34" t="str">
        <f aca="false">'Uso e Consumo'!E1141</f>
        <v>ARRUELA LISA F-436 1" G.FOGO</v>
      </c>
      <c r="G1141" s="34" t="str">
        <f aca="false">'Uso e Consumo'!J1141</f>
        <v>UN</v>
      </c>
      <c r="H1141" s="49" t="n">
        <f aca="false">'Uso e Consumo'!F1141</f>
        <v>120</v>
      </c>
      <c r="I1141" s="35" t="n">
        <f aca="false">'Uso e Consumo'!G1141</f>
        <v>712.37</v>
      </c>
      <c r="J1141" s="34" t="str">
        <f aca="false">'Uso e Consumo'!M1141</f>
        <v>3.8.1.022 - Elementos de fixação</v>
      </c>
      <c r="K1141" s="32" t="str">
        <f aca="false">INDEX('Curva ABC'!$K$8:$K$2847,MATCH(D1141,'Curva ABC'!$B$8:$B$2847,0))</f>
        <v>C</v>
      </c>
    </row>
    <row r="1142" customFormat="false" ht="15" hidden="false" customHeight="false" outlineLevel="0" collapsed="false">
      <c r="A1142" s="34" t="s">
        <v>5799</v>
      </c>
      <c r="B1142" s="34" t="str">
        <f aca="false">'Uso e Consumo'!A1142</f>
        <v>0335</v>
      </c>
      <c r="C1142" s="34" t="str">
        <f aca="false">'Uso e Consumo'!B1142</f>
        <v>UFV NORONHA VERDE - USO E CONSUMO</v>
      </c>
      <c r="D1142" s="33" t="n">
        <f aca="false">'Uso e Consumo'!C1142</f>
        <v>741345</v>
      </c>
      <c r="E1142" s="34" t="str">
        <f aca="false">'Uso e Consumo'!D1142</f>
        <v>24.45.0015</v>
      </c>
      <c r="F1142" s="34" t="str">
        <f aca="false">'Uso e Consumo'!E1142</f>
        <v>MASSEIRA PLÁSTICA</v>
      </c>
      <c r="G1142" s="34" t="str">
        <f aca="false">'Uso e Consumo'!J1142</f>
        <v>UN</v>
      </c>
      <c r="H1142" s="49" t="n">
        <f aca="false">'Uso e Consumo'!F1142</f>
        <v>30</v>
      </c>
      <c r="I1142" s="35" t="n">
        <f aca="false">'Uso e Consumo'!G1142</f>
        <v>712.2</v>
      </c>
      <c r="J1142" s="34" t="str">
        <f aca="false">'Uso e Consumo'!M1142</f>
        <v>3.8.2.002 - Ferramentas manuais</v>
      </c>
      <c r="K1142" s="32" t="str">
        <f aca="false">INDEX('Curva ABC'!$K$8:$K$2847,MATCH(D1142,'Curva ABC'!$B$8:$B$2847,0))</f>
        <v>C</v>
      </c>
    </row>
    <row r="1143" customFormat="false" ht="15" hidden="false" customHeight="false" outlineLevel="0" collapsed="false">
      <c r="A1143" s="34" t="s">
        <v>5799</v>
      </c>
      <c r="B1143" s="34" t="str">
        <f aca="false">'Uso e Consumo'!A1143</f>
        <v>0335</v>
      </c>
      <c r="C1143" s="34" t="str">
        <f aca="false">'Uso e Consumo'!B1143</f>
        <v>UFV NORONHA VERDE - USO E CONSUMO</v>
      </c>
      <c r="D1143" s="33" t="n">
        <f aca="false">'Uso e Consumo'!C1143</f>
        <v>1387922</v>
      </c>
      <c r="E1143" s="34" t="str">
        <f aca="false">'Uso e Consumo'!D1143</f>
        <v>23.02.0480</v>
      </c>
      <c r="F1143" s="34" t="str">
        <f aca="false">'Uso e Consumo'!E1143</f>
        <v>ABRAÇADEIRA EM AÇO INOX TIPO "D" Ø3"</v>
      </c>
      <c r="G1143" s="34" t="str">
        <f aca="false">'Uso e Consumo'!J1143</f>
        <v>UN</v>
      </c>
      <c r="H1143" s="49" t="n">
        <f aca="false">'Uso e Consumo'!F1143</f>
        <v>15</v>
      </c>
      <c r="I1143" s="35" t="n">
        <f aca="false">'Uso e Consumo'!G1143</f>
        <v>709.46</v>
      </c>
      <c r="J1143" s="34" t="str">
        <f aca="false">'Uso e Consumo'!M1143</f>
        <v>3.8.1.022 - Elementos de fixação</v>
      </c>
      <c r="K1143" s="32" t="str">
        <f aca="false">INDEX('Curva ABC'!$K$8:$K$2847,MATCH(D1143,'Curva ABC'!$B$8:$B$2847,0))</f>
        <v>C</v>
      </c>
    </row>
    <row r="1144" customFormat="false" ht="15" hidden="false" customHeight="false" outlineLevel="0" collapsed="false">
      <c r="A1144" s="34" t="s">
        <v>5799</v>
      </c>
      <c r="B1144" s="34" t="str">
        <f aca="false">'Uso e Consumo'!A1144</f>
        <v>0335</v>
      </c>
      <c r="C1144" s="34" t="str">
        <f aca="false">'Uso e Consumo'!B1144</f>
        <v>UFV NORONHA VERDE - USO E CONSUMO</v>
      </c>
      <c r="D1144" s="33" t="n">
        <f aca="false">'Uso e Consumo'!C1144</f>
        <v>10374</v>
      </c>
      <c r="E1144" s="34" t="str">
        <f aca="false">'Uso e Consumo'!D1144</f>
        <v>01.02.0001</v>
      </c>
      <c r="F1144" s="34" t="str">
        <f aca="false">'Uso e Consumo'!E1144</f>
        <v>AÇO CARBONO CA-50 VERGALHÃO NERVURADO 6,30MM X 12,00M NBR 7480 (0,245KG/M)</v>
      </c>
      <c r="G1144" s="34" t="str">
        <f aca="false">'Uso e Consumo'!J1144</f>
        <v>KG</v>
      </c>
      <c r="H1144" s="49" t="n">
        <f aca="false">'Uso e Consumo'!F1144</f>
        <v>122.09</v>
      </c>
      <c r="I1144" s="35" t="n">
        <f aca="false">'Uso e Consumo'!G1144</f>
        <v>709.34</v>
      </c>
      <c r="J1144" s="34" t="str">
        <f aca="false">'Uso e Consumo'!M1144</f>
        <v>3.8.1.001 - Aços e trefilados</v>
      </c>
      <c r="K1144" s="32" t="str">
        <f aca="false">INDEX('Curva ABC'!$K$8:$K$2847,MATCH(D1144,'Curva ABC'!$B$8:$B$2847,0))</f>
        <v>C</v>
      </c>
    </row>
    <row r="1145" customFormat="false" ht="15" hidden="false" customHeight="false" outlineLevel="0" collapsed="false">
      <c r="A1145" s="34" t="s">
        <v>5799</v>
      </c>
      <c r="B1145" s="34" t="str">
        <f aca="false">'Uso e Consumo'!A1145</f>
        <v>0335</v>
      </c>
      <c r="C1145" s="34" t="str">
        <f aca="false">'Uso e Consumo'!B1145</f>
        <v>UFV NORONHA VERDE - USO E CONSUMO</v>
      </c>
      <c r="D1145" s="33" t="n">
        <f aca="false">'Uso e Consumo'!C1145</f>
        <v>1471882</v>
      </c>
      <c r="E1145" s="34" t="str">
        <f aca="false">'Uso e Consumo'!D1145</f>
        <v>29.01.1611</v>
      </c>
      <c r="F1145" s="34" t="str">
        <f aca="false">'Uso e Consumo'!E1145</f>
        <v>FONE DE OUVIDO HEADSET HP H220 COM MICROFONE</v>
      </c>
      <c r="G1145" s="34" t="str">
        <f aca="false">'Uso e Consumo'!J1145</f>
        <v>UN</v>
      </c>
      <c r="H1145" s="49" t="n">
        <f aca="false">'Uso e Consumo'!F1145</f>
        <v>5</v>
      </c>
      <c r="I1145" s="35" t="n">
        <f aca="false">'Uso e Consumo'!G1145</f>
        <v>704.1</v>
      </c>
      <c r="J1145" s="34" t="str">
        <f aca="false">'Uso e Consumo'!M1145</f>
        <v>3.1.1.009 - Eletro eletrônico e acessórios</v>
      </c>
      <c r="K1145" s="32" t="str">
        <f aca="false">INDEX('Curva ABC'!$K$8:$K$2847,MATCH(D1145,'Curva ABC'!$B$8:$B$2847,0))</f>
        <v>C</v>
      </c>
    </row>
    <row r="1146" customFormat="false" ht="15" hidden="false" customHeight="false" outlineLevel="0" collapsed="false">
      <c r="A1146" s="34" t="s">
        <v>5799</v>
      </c>
      <c r="B1146" s="34" t="str">
        <f aca="false">'Uso e Consumo'!A1146</f>
        <v>0335</v>
      </c>
      <c r="C1146" s="34" t="str">
        <f aca="false">'Uso e Consumo'!B1146</f>
        <v>UFV NORONHA VERDE - USO E CONSUMO</v>
      </c>
      <c r="D1146" s="33" t="n">
        <f aca="false">'Uso e Consumo'!C1146</f>
        <v>837693</v>
      </c>
      <c r="E1146" s="34" t="str">
        <f aca="false">'Uso e Consumo'!D1146</f>
        <v>17.16.0439</v>
      </c>
      <c r="F1146" s="34" t="str">
        <f aca="false">'Uso e Consumo'!E1146</f>
        <v>TERMINAL DE COMPRESSÃO TM-150MM</v>
      </c>
      <c r="G1146" s="34" t="str">
        <f aca="false">'Uso e Consumo'!J1146</f>
        <v>UN</v>
      </c>
      <c r="H1146" s="49" t="n">
        <f aca="false">'Uso e Consumo'!F1146</f>
        <v>33</v>
      </c>
      <c r="I1146" s="35" t="n">
        <f aca="false">'Uso e Consumo'!G1146</f>
        <v>701.91</v>
      </c>
      <c r="J1146" s="34" t="str">
        <f aca="false">'Uso e Consumo'!M1146</f>
        <v>3.8.1.017 - Instalações elétricas/telefônicas/lógica</v>
      </c>
      <c r="K1146" s="32" t="str">
        <f aca="false">INDEX('Curva ABC'!$K$8:$K$2847,MATCH(D1146,'Curva ABC'!$B$8:$B$2847,0))</f>
        <v>C</v>
      </c>
    </row>
    <row r="1147" customFormat="false" ht="15" hidden="false" customHeight="false" outlineLevel="0" collapsed="false">
      <c r="A1147" s="34" t="s">
        <v>5799</v>
      </c>
      <c r="B1147" s="34" t="str">
        <f aca="false">'Uso e Consumo'!A1147</f>
        <v>0335</v>
      </c>
      <c r="C1147" s="34" t="str">
        <f aca="false">'Uso e Consumo'!B1147</f>
        <v>UFV NORONHA VERDE - USO E CONSUMO</v>
      </c>
      <c r="D1147" s="33" t="n">
        <f aca="false">'Uso e Consumo'!C1147</f>
        <v>279068</v>
      </c>
      <c r="E1147" s="34" t="str">
        <f aca="false">'Uso e Consumo'!D1147</f>
        <v>25.01.0143</v>
      </c>
      <c r="F1147" s="34" t="str">
        <f aca="false">'Uso e Consumo'!E1147</f>
        <v>DISCO DE CORTE 7"</v>
      </c>
      <c r="G1147" s="34" t="str">
        <f aca="false">'Uso e Consumo'!J1147</f>
        <v>UN</v>
      </c>
      <c r="H1147" s="49" t="n">
        <f aca="false">'Uso e Consumo'!F1147</f>
        <v>110</v>
      </c>
      <c r="I1147" s="35" t="n">
        <f aca="false">'Uso e Consumo'!G1147</f>
        <v>701.9</v>
      </c>
      <c r="J1147" s="34" t="str">
        <f aca="false">'Uso e Consumo'!M1147</f>
        <v>3.8.2.004 - Consumíveis para corte, perfuração e desbaste</v>
      </c>
      <c r="K1147" s="32" t="str">
        <f aca="false">INDEX('Curva ABC'!$K$8:$K$2847,MATCH(D1147,'Curva ABC'!$B$8:$B$2847,0))</f>
        <v>C</v>
      </c>
    </row>
    <row r="1148" customFormat="false" ht="15" hidden="false" customHeight="false" outlineLevel="0" collapsed="false">
      <c r="A1148" s="34" t="s">
        <v>5799</v>
      </c>
      <c r="B1148" s="34" t="str">
        <f aca="false">'Uso e Consumo'!A1148</f>
        <v>0335</v>
      </c>
      <c r="C1148" s="34" t="str">
        <f aca="false">'Uso e Consumo'!B1148</f>
        <v>UFV NORONHA VERDE - USO E CONSUMO</v>
      </c>
      <c r="D1148" s="33" t="n">
        <f aca="false">'Uso e Consumo'!C1148</f>
        <v>1474943</v>
      </c>
      <c r="E1148" s="34" t="str">
        <f aca="false">'Uso e Consumo'!D1148</f>
        <v>17.20.0713</v>
      </c>
      <c r="F1148" s="34" t="str">
        <f aca="false">'Uso e Consumo'!E1148</f>
        <v>MOLDE SOLDA EXOTÉRMICA TIPO HCL 50MM² PASSANTE LATERAL</v>
      </c>
      <c r="G1148" s="34" t="str">
        <f aca="false">'Uso e Consumo'!J1148</f>
        <v>UN</v>
      </c>
      <c r="H1148" s="49" t="n">
        <f aca="false">'Uso e Consumo'!F1148</f>
        <v>2</v>
      </c>
      <c r="I1148" s="35" t="n">
        <f aca="false">'Uso e Consumo'!G1148</f>
        <v>701.42</v>
      </c>
      <c r="J1148" s="34" t="str">
        <f aca="false">'Uso e Consumo'!M1148</f>
        <v>3.8.1.017 - Instalações elétricas/telefônicas/lógica</v>
      </c>
      <c r="K1148" s="32" t="str">
        <f aca="false">INDEX('Curva ABC'!$K$8:$K$2847,MATCH(D1148,'Curva ABC'!$B$8:$B$2847,0))</f>
        <v>C</v>
      </c>
    </row>
    <row r="1149" customFormat="false" ht="15" hidden="false" customHeight="false" outlineLevel="0" collapsed="false">
      <c r="A1149" s="34" t="s">
        <v>5799</v>
      </c>
      <c r="B1149" s="34" t="str">
        <f aca="false">'Uso e Consumo'!A1149</f>
        <v>0335</v>
      </c>
      <c r="C1149" s="34" t="str">
        <f aca="false">'Uso e Consumo'!B1149</f>
        <v>UFV NORONHA VERDE - USO E CONSUMO</v>
      </c>
      <c r="D1149" s="33" t="n">
        <f aca="false">'Uso e Consumo'!C1149</f>
        <v>17907</v>
      </c>
      <c r="E1149" s="34" t="str">
        <f aca="false">'Uso e Consumo'!D1149</f>
        <v>24.09.0001</v>
      </c>
      <c r="F1149" s="34" t="str">
        <f aca="false">'Uso e Consumo'!E1149</f>
        <v>CHAVE AJUSTAVEL 12" AÇO CARBONO CROMADO C/ISOLAMENTO</v>
      </c>
      <c r="G1149" s="34" t="str">
        <f aca="false">'Uso e Consumo'!J1149</f>
        <v>UN</v>
      </c>
      <c r="H1149" s="49" t="n">
        <f aca="false">'Uso e Consumo'!F1149</f>
        <v>2</v>
      </c>
      <c r="I1149" s="35" t="n">
        <f aca="false">'Uso e Consumo'!G1149</f>
        <v>698</v>
      </c>
      <c r="J1149" s="34" t="str">
        <f aca="false">'Uso e Consumo'!M1149</f>
        <v>3.8.2.002 - Ferramentas manuais</v>
      </c>
      <c r="K1149" s="32" t="str">
        <f aca="false">INDEX('Curva ABC'!$K$8:$K$2847,MATCH(D1149,'Curva ABC'!$B$8:$B$2847,0))</f>
        <v>C</v>
      </c>
    </row>
    <row r="1150" customFormat="false" ht="15" hidden="false" customHeight="false" outlineLevel="0" collapsed="false">
      <c r="A1150" s="34" t="s">
        <v>5799</v>
      </c>
      <c r="B1150" s="34" t="str">
        <f aca="false">'Uso e Consumo'!A1150</f>
        <v>0335</v>
      </c>
      <c r="C1150" s="34" t="str">
        <f aca="false">'Uso e Consumo'!B1150</f>
        <v>UFV NORONHA VERDE - USO E CONSUMO</v>
      </c>
      <c r="D1150" s="33" t="n">
        <f aca="false">'Uso e Consumo'!C1150</f>
        <v>859797</v>
      </c>
      <c r="E1150" s="34" t="str">
        <f aca="false">'Uso e Consumo'!D1150</f>
        <v>17.20.0578</v>
      </c>
      <c r="F1150" s="34" t="str">
        <f aca="false">'Uso e Consumo'!E1150</f>
        <v>CAIXA DE INSPEÇÃO SEM TAMPA 300X400</v>
      </c>
      <c r="G1150" s="34" t="str">
        <f aca="false">'Uso e Consumo'!J1150</f>
        <v>UN</v>
      </c>
      <c r="H1150" s="49" t="n">
        <f aca="false">'Uso e Consumo'!F1150</f>
        <v>11</v>
      </c>
      <c r="I1150" s="35" t="n">
        <f aca="false">'Uso e Consumo'!G1150</f>
        <v>697.07</v>
      </c>
      <c r="J1150" s="34" t="str">
        <f aca="false">'Uso e Consumo'!M1150</f>
        <v>3.8.1.017 - Instalações elétricas/telefônicas/lógica</v>
      </c>
      <c r="K1150" s="32" t="str">
        <f aca="false">INDEX('Curva ABC'!$K$8:$K$2847,MATCH(D1150,'Curva ABC'!$B$8:$B$2847,0))</f>
        <v>C</v>
      </c>
    </row>
    <row r="1151" customFormat="false" ht="15" hidden="false" customHeight="false" outlineLevel="0" collapsed="false">
      <c r="A1151" s="34" t="s">
        <v>5799</v>
      </c>
      <c r="B1151" s="34" t="str">
        <f aca="false">'Uso e Consumo'!A1151</f>
        <v>0335</v>
      </c>
      <c r="C1151" s="34" t="str">
        <f aca="false">'Uso e Consumo'!B1151</f>
        <v>UFV NORONHA VERDE - USO E CONSUMO</v>
      </c>
      <c r="D1151" s="33" t="n">
        <f aca="false">'Uso e Consumo'!C1151</f>
        <v>1382670</v>
      </c>
      <c r="E1151" s="34" t="str">
        <f aca="false">'Uso e Consumo'!D1151</f>
        <v>17.15.0124</v>
      </c>
      <c r="F1151" s="34" t="str">
        <f aca="false">'Uso e Consumo'!E1151</f>
        <v>SUPORTE DIELÉTRICO FIBERLIGN C/ CINTA BAP 03</v>
      </c>
      <c r="G1151" s="34" t="str">
        <f aca="false">'Uso e Consumo'!J1151</f>
        <v>UN</v>
      </c>
      <c r="H1151" s="49" t="n">
        <f aca="false">'Uso e Consumo'!F1151</f>
        <v>33</v>
      </c>
      <c r="I1151" s="35" t="n">
        <f aca="false">'Uso e Consumo'!G1151</f>
        <v>696.52</v>
      </c>
      <c r="J1151" s="34" t="str">
        <f aca="false">'Uso e Consumo'!M1151</f>
        <v>3.8.1.022 - Elementos de fixação</v>
      </c>
      <c r="K1151" s="32" t="str">
        <f aca="false">INDEX('Curva ABC'!$K$8:$K$2847,MATCH(D1151,'Curva ABC'!$B$8:$B$2847,0))</f>
        <v>C</v>
      </c>
    </row>
    <row r="1152" customFormat="false" ht="15" hidden="false" customHeight="false" outlineLevel="0" collapsed="false">
      <c r="A1152" s="34" t="s">
        <v>5799</v>
      </c>
      <c r="B1152" s="34" t="str">
        <f aca="false">'Uso e Consumo'!A1152</f>
        <v>0335</v>
      </c>
      <c r="C1152" s="34" t="str">
        <f aca="false">'Uso e Consumo'!B1152</f>
        <v>UFV NORONHA VERDE - USO E CONSUMO</v>
      </c>
      <c r="D1152" s="33" t="n">
        <f aca="false">'Uso e Consumo'!C1152</f>
        <v>1668926</v>
      </c>
      <c r="E1152" s="34" t="str">
        <f aca="false">'Uso e Consumo'!D1152</f>
        <v>30.03.0574</v>
      </c>
      <c r="F1152" s="34" t="str">
        <f aca="false">'Uso e Consumo'!E1152</f>
        <v>SABAO LIQUIDO 5L</v>
      </c>
      <c r="G1152" s="34" t="str">
        <f aca="false">'Uso e Consumo'!J1152</f>
        <v>UN</v>
      </c>
      <c r="H1152" s="49" t="n">
        <f aca="false">'Uso e Consumo'!F1152</f>
        <v>8</v>
      </c>
      <c r="I1152" s="35" t="n">
        <f aca="false">'Uso e Consumo'!G1152</f>
        <v>696</v>
      </c>
      <c r="J1152" s="34" t="str">
        <f aca="false">'Uso e Consumo'!M1152</f>
        <v>4.1.1.003 - Material limpeza</v>
      </c>
      <c r="K1152" s="32" t="str">
        <f aca="false">INDEX('Curva ABC'!$K$8:$K$2847,MATCH(D1152,'Curva ABC'!$B$8:$B$2847,0))</f>
        <v>C</v>
      </c>
    </row>
    <row r="1153" customFormat="false" ht="15" hidden="false" customHeight="false" outlineLevel="0" collapsed="false">
      <c r="A1153" s="34" t="s">
        <v>5799</v>
      </c>
      <c r="B1153" s="34" t="str">
        <f aca="false">'Uso e Consumo'!A1153</f>
        <v>0335</v>
      </c>
      <c r="C1153" s="34" t="str">
        <f aca="false">'Uso e Consumo'!B1153</f>
        <v>UFV NORONHA VERDE - USO E CONSUMO</v>
      </c>
      <c r="D1153" s="33" t="n">
        <f aca="false">'Uso e Consumo'!C1153</f>
        <v>936333</v>
      </c>
      <c r="E1153" s="34" t="str">
        <f aca="false">'Uso e Consumo'!D1153</f>
        <v>17.08.0197</v>
      </c>
      <c r="F1153" s="34" t="str">
        <f aca="false">'Uso e Consumo'!E1153</f>
        <v>QUADRO DISTRIBUIÇÃO 16D/11N EMBUTIR SEM BARRAMENTO</v>
      </c>
      <c r="G1153" s="34" t="str">
        <f aca="false">'Uso e Consumo'!J1153</f>
        <v>UN</v>
      </c>
      <c r="H1153" s="49" t="n">
        <f aca="false">'Uso e Consumo'!F1153</f>
        <v>3</v>
      </c>
      <c r="I1153" s="35" t="n">
        <f aca="false">'Uso e Consumo'!G1153</f>
        <v>694</v>
      </c>
      <c r="J1153" s="34" t="str">
        <f aca="false">'Uso e Consumo'!M1153</f>
        <v>3.8.1.017 - Instalações elétricas/telefônicas/lógica</v>
      </c>
      <c r="K1153" s="32" t="str">
        <f aca="false">INDEX('Curva ABC'!$K$8:$K$2847,MATCH(D1153,'Curva ABC'!$B$8:$B$2847,0))</f>
        <v>C</v>
      </c>
    </row>
    <row r="1154" customFormat="false" ht="15" hidden="false" customHeight="false" outlineLevel="0" collapsed="false">
      <c r="A1154" s="34" t="s">
        <v>5799</v>
      </c>
      <c r="B1154" s="34" t="str">
        <f aca="false">'Uso e Consumo'!A1154</f>
        <v>0335</v>
      </c>
      <c r="C1154" s="34" t="str">
        <f aca="false">'Uso e Consumo'!B1154</f>
        <v>UFV NORONHA VERDE - USO E CONSUMO</v>
      </c>
      <c r="D1154" s="33" t="n">
        <f aca="false">'Uso e Consumo'!C1154</f>
        <v>89393</v>
      </c>
      <c r="E1154" s="34" t="str">
        <f aca="false">'Uso e Consumo'!D1154</f>
        <v>23.07.1009</v>
      </c>
      <c r="F1154" s="34" t="str">
        <f aca="false">'Uso e Consumo'!E1154</f>
        <v>PARAFUSO SEXTAVADO 5/8 X 1.1/2</v>
      </c>
      <c r="G1154" s="34" t="str">
        <f aca="false">'Uso e Consumo'!J1154</f>
        <v>UN</v>
      </c>
      <c r="H1154" s="49" t="n">
        <f aca="false">'Uso e Consumo'!F1154</f>
        <v>18</v>
      </c>
      <c r="I1154" s="35" t="n">
        <f aca="false">'Uso e Consumo'!G1154</f>
        <v>693.64</v>
      </c>
      <c r="J1154" s="34" t="str">
        <f aca="false">'Uso e Consumo'!M1154</f>
        <v>3.8.1.022 - Elementos de fixação</v>
      </c>
      <c r="K1154" s="32" t="str">
        <f aca="false">INDEX('Curva ABC'!$K$8:$K$2847,MATCH(D1154,'Curva ABC'!$B$8:$B$2847,0))</f>
        <v>C</v>
      </c>
    </row>
    <row r="1155" customFormat="false" ht="15" hidden="false" customHeight="false" outlineLevel="0" collapsed="false">
      <c r="A1155" s="34" t="s">
        <v>5799</v>
      </c>
      <c r="B1155" s="34" t="str">
        <f aca="false">'Uso e Consumo'!A1155</f>
        <v>0335</v>
      </c>
      <c r="C1155" s="34" t="str">
        <f aca="false">'Uso e Consumo'!B1155</f>
        <v>UFV NORONHA VERDE - USO E CONSUMO</v>
      </c>
      <c r="D1155" s="33" t="n">
        <f aca="false">'Uso e Consumo'!C1155</f>
        <v>21733</v>
      </c>
      <c r="E1155" s="34" t="str">
        <f aca="false">'Uso e Consumo'!D1155</f>
        <v>24.37.0001</v>
      </c>
      <c r="F1155" s="34" t="str">
        <f aca="false">'Uso e Consumo'!E1155</f>
        <v>PÁ DE BICO COM CABO</v>
      </c>
      <c r="G1155" s="34" t="str">
        <f aca="false">'Uso e Consumo'!J1155</f>
        <v>UN</v>
      </c>
      <c r="H1155" s="49" t="n">
        <f aca="false">'Uso e Consumo'!F1155</f>
        <v>14</v>
      </c>
      <c r="I1155" s="35" t="n">
        <f aca="false">'Uso e Consumo'!G1155</f>
        <v>693</v>
      </c>
      <c r="J1155" s="34" t="str">
        <f aca="false">'Uso e Consumo'!M1155</f>
        <v>3.8.2.002 - Ferramentas manuais</v>
      </c>
      <c r="K1155" s="32" t="str">
        <f aca="false">INDEX('Curva ABC'!$K$8:$K$2847,MATCH(D1155,'Curva ABC'!$B$8:$B$2847,0))</f>
        <v>C</v>
      </c>
    </row>
    <row r="1156" customFormat="false" ht="15" hidden="false" customHeight="false" outlineLevel="0" collapsed="false">
      <c r="A1156" s="34" t="s">
        <v>5799</v>
      </c>
      <c r="B1156" s="34" t="str">
        <f aca="false">'Uso e Consumo'!A1156</f>
        <v>0335</v>
      </c>
      <c r="C1156" s="34" t="str">
        <f aca="false">'Uso e Consumo'!B1156</f>
        <v>UFV NORONHA VERDE - USO E CONSUMO</v>
      </c>
      <c r="D1156" s="33" t="n">
        <f aca="false">'Uso e Consumo'!C1156</f>
        <v>387978</v>
      </c>
      <c r="E1156" s="34" t="str">
        <f aca="false">'Uso e Consumo'!D1156</f>
        <v>33.02.1776</v>
      </c>
      <c r="F1156" s="34" t="str">
        <f aca="false">'Uso e Consumo'!E1156</f>
        <v>ROLAMENTO 6010 ZZ (50X80X16)</v>
      </c>
      <c r="G1156" s="34" t="str">
        <f aca="false">'Uso e Consumo'!J1156</f>
        <v>UN</v>
      </c>
      <c r="H1156" s="49" t="n">
        <f aca="false">'Uso e Consumo'!F1156</f>
        <v>10</v>
      </c>
      <c r="I1156" s="35" t="n">
        <f aca="false">'Uso e Consumo'!G1156</f>
        <v>690</v>
      </c>
      <c r="J1156" s="34" t="str">
        <f aca="false">'Uso e Consumo'!M1156</f>
        <v>3.1.6.002 - Pneus e peças</v>
      </c>
      <c r="K1156" s="32" t="str">
        <f aca="false">INDEX('Curva ABC'!$K$8:$K$2847,MATCH(D1156,'Curva ABC'!$B$8:$B$2847,0))</f>
        <v>C</v>
      </c>
    </row>
    <row r="1157" customFormat="false" ht="15" hidden="false" customHeight="false" outlineLevel="0" collapsed="false">
      <c r="A1157" s="34" t="s">
        <v>5799</v>
      </c>
      <c r="B1157" s="34" t="str">
        <f aca="false">'Uso e Consumo'!A1157</f>
        <v>0335</v>
      </c>
      <c r="C1157" s="34" t="str">
        <f aca="false">'Uso e Consumo'!B1157</f>
        <v>UFV NORONHA VERDE - USO E CONSUMO</v>
      </c>
      <c r="D1157" s="33" t="n">
        <f aca="false">'Uso e Consumo'!C1157</f>
        <v>959277</v>
      </c>
      <c r="E1157" s="34" t="str">
        <f aca="false">'Uso e Consumo'!D1157</f>
        <v>18.03.0191</v>
      </c>
      <c r="F1157" s="34" t="str">
        <f aca="false">'Uso e Consumo'!E1157</f>
        <v>ARRUELA GALVANIZADA 12MM</v>
      </c>
      <c r="G1157" s="34" t="str">
        <f aca="false">'Uso e Consumo'!J1157</f>
        <v>UN</v>
      </c>
      <c r="H1157" s="49" t="n">
        <f aca="false">'Uso e Consumo'!F1157</f>
        <v>1000</v>
      </c>
      <c r="I1157" s="35" t="n">
        <f aca="false">'Uso e Consumo'!G1157</f>
        <v>690</v>
      </c>
      <c r="J1157" s="34" t="str">
        <f aca="false">'Uso e Consumo'!M1157</f>
        <v>3.8.1.018 - Instalações hidráulicas/sanitárias/industriais</v>
      </c>
      <c r="K1157" s="32" t="str">
        <f aca="false">INDEX('Curva ABC'!$K$8:$K$2847,MATCH(D1157,'Curva ABC'!$B$8:$B$2847,0))</f>
        <v>C</v>
      </c>
    </row>
    <row r="1158" customFormat="false" ht="15" hidden="false" customHeight="false" outlineLevel="0" collapsed="false">
      <c r="A1158" s="34" t="s">
        <v>5799</v>
      </c>
      <c r="B1158" s="34" t="str">
        <f aca="false">'Uso e Consumo'!A1158</f>
        <v>0335</v>
      </c>
      <c r="C1158" s="34" t="str">
        <f aca="false">'Uso e Consumo'!B1158</f>
        <v>UFV NORONHA VERDE - USO E CONSUMO</v>
      </c>
      <c r="D1158" s="33" t="n">
        <f aca="false">'Uso e Consumo'!C1158</f>
        <v>1539027</v>
      </c>
      <c r="E1158" s="34" t="str">
        <f aca="false">'Uso e Consumo'!D1158</f>
        <v>17.11.1132</v>
      </c>
      <c r="F1158" s="34" t="str">
        <f aca="false">'Uso e Consumo'!E1158</f>
        <v>REFLETOR SOLAR LED HOLOFOTE 1000 W COM PLACA</v>
      </c>
      <c r="G1158" s="34" t="str">
        <f aca="false">'Uso e Consumo'!J1158</f>
        <v>UN</v>
      </c>
      <c r="H1158" s="49" t="n">
        <f aca="false">'Uso e Consumo'!F1158</f>
        <v>1</v>
      </c>
      <c r="I1158" s="35" t="n">
        <f aca="false">'Uso e Consumo'!G1158</f>
        <v>690</v>
      </c>
      <c r="J1158" s="34" t="str">
        <f aca="false">'Uso e Consumo'!M1158</f>
        <v>3.8.1.017 - Instalações elétricas/telefônicas/lógica</v>
      </c>
      <c r="K1158" s="32" t="str">
        <f aca="false">INDEX('Curva ABC'!$K$8:$K$2847,MATCH(D1158,'Curva ABC'!$B$8:$B$2847,0))</f>
        <v>C</v>
      </c>
    </row>
    <row r="1159" customFormat="false" ht="15" hidden="false" customHeight="false" outlineLevel="0" collapsed="false">
      <c r="A1159" s="34" t="s">
        <v>5799</v>
      </c>
      <c r="B1159" s="34" t="str">
        <f aca="false">'Uso e Consumo'!A1159</f>
        <v>0335</v>
      </c>
      <c r="C1159" s="34" t="str">
        <f aca="false">'Uso e Consumo'!B1159</f>
        <v>UFV NORONHA VERDE - USO E CONSUMO</v>
      </c>
      <c r="D1159" s="33" t="n">
        <f aca="false">'Uso e Consumo'!C1159</f>
        <v>22114</v>
      </c>
      <c r="E1159" s="34" t="str">
        <f aca="false">'Uso e Consumo'!D1159</f>
        <v>33.02.0160</v>
      </c>
      <c r="F1159" s="34" t="str">
        <f aca="false">'Uso e Consumo'!E1159</f>
        <v>ALAVANCA BALANCIM</v>
      </c>
      <c r="G1159" s="34" t="str">
        <f aca="false">'Uso e Consumo'!J1159</f>
        <v>UN</v>
      </c>
      <c r="H1159" s="49" t="n">
        <f aca="false">'Uso e Consumo'!F1159</f>
        <v>3</v>
      </c>
      <c r="I1159" s="35" t="n">
        <f aca="false">'Uso e Consumo'!G1159</f>
        <v>684</v>
      </c>
      <c r="J1159" s="34" t="str">
        <f aca="false">'Uso e Consumo'!M1159</f>
        <v>3.1.6.002 - Pneus e peças</v>
      </c>
      <c r="K1159" s="32" t="str">
        <f aca="false">INDEX('Curva ABC'!$K$8:$K$2847,MATCH(D1159,'Curva ABC'!$B$8:$B$2847,0))</f>
        <v>C</v>
      </c>
    </row>
    <row r="1160" customFormat="false" ht="15" hidden="false" customHeight="false" outlineLevel="0" collapsed="false">
      <c r="A1160" s="34" t="s">
        <v>5799</v>
      </c>
      <c r="B1160" s="34" t="str">
        <f aca="false">'Uso e Consumo'!A1160</f>
        <v>0335</v>
      </c>
      <c r="C1160" s="34" t="str">
        <f aca="false">'Uso e Consumo'!B1160</f>
        <v>UFV NORONHA VERDE - USO E CONSUMO</v>
      </c>
      <c r="D1160" s="33" t="n">
        <f aca="false">'Uso e Consumo'!C1160</f>
        <v>60056</v>
      </c>
      <c r="E1160" s="34" t="str">
        <f aca="false">'Uso e Consumo'!D1160</f>
        <v>17.16.0166</v>
      </c>
      <c r="F1160" s="34" t="str">
        <f aca="false">'Uso e Consumo'!E1160</f>
        <v>TERMINAL COMPRESSÃO 35MM</v>
      </c>
      <c r="G1160" s="34" t="str">
        <f aca="false">'Uso e Consumo'!J1160</f>
        <v>UN</v>
      </c>
      <c r="H1160" s="49" t="n">
        <f aca="false">'Uso e Consumo'!F1160</f>
        <v>31</v>
      </c>
      <c r="I1160" s="35" t="n">
        <f aca="false">'Uso e Consumo'!G1160</f>
        <v>681.38</v>
      </c>
      <c r="J1160" s="34" t="str">
        <f aca="false">'Uso e Consumo'!M1160</f>
        <v>3.8.1.017 - Instalações elétricas/telefônicas/lógica</v>
      </c>
      <c r="K1160" s="32" t="str">
        <f aca="false">INDEX('Curva ABC'!$K$8:$K$2847,MATCH(D1160,'Curva ABC'!$B$8:$B$2847,0))</f>
        <v>C</v>
      </c>
    </row>
    <row r="1161" customFormat="false" ht="15" hidden="false" customHeight="false" outlineLevel="0" collapsed="false">
      <c r="A1161" s="34" t="s">
        <v>5799</v>
      </c>
      <c r="B1161" s="34" t="str">
        <f aca="false">'Uso e Consumo'!A1161</f>
        <v>0335</v>
      </c>
      <c r="C1161" s="34" t="str">
        <f aca="false">'Uso e Consumo'!B1161</f>
        <v>UFV NORONHA VERDE - USO E CONSUMO</v>
      </c>
      <c r="D1161" s="33" t="n">
        <f aca="false">'Uso e Consumo'!C1161</f>
        <v>18164</v>
      </c>
      <c r="E1161" s="34" t="str">
        <f aca="false">'Uso e Consumo'!D1161</f>
        <v>24.21.0001</v>
      </c>
      <c r="F1161" s="34" t="str">
        <f aca="false">'Uso e Consumo'!E1161</f>
        <v>SERROTE PROFISSIONAL 18" CORPO AÇO CARBONO CABO MADEIRA 9 DENTES P/POLEGADA</v>
      </c>
      <c r="G1161" s="34" t="str">
        <f aca="false">'Uso e Consumo'!J1161</f>
        <v>UN</v>
      </c>
      <c r="H1161" s="49" t="n">
        <f aca="false">'Uso e Consumo'!F1161</f>
        <v>20</v>
      </c>
      <c r="I1161" s="35" t="n">
        <f aca="false">'Uso e Consumo'!G1161</f>
        <v>680</v>
      </c>
      <c r="J1161" s="34" t="str">
        <f aca="false">'Uso e Consumo'!M1161</f>
        <v>3.8.2.002 - Ferramentas manuais</v>
      </c>
      <c r="K1161" s="32" t="str">
        <f aca="false">INDEX('Curva ABC'!$K$8:$K$2847,MATCH(D1161,'Curva ABC'!$B$8:$B$2847,0))</f>
        <v>C</v>
      </c>
    </row>
    <row r="1162" customFormat="false" ht="15" hidden="false" customHeight="false" outlineLevel="0" collapsed="false">
      <c r="A1162" s="34" t="s">
        <v>5799</v>
      </c>
      <c r="B1162" s="34" t="str">
        <f aca="false">'Uso e Consumo'!A1162</f>
        <v>0335</v>
      </c>
      <c r="C1162" s="34" t="str">
        <f aca="false">'Uso e Consumo'!B1162</f>
        <v>UFV NORONHA VERDE - USO E CONSUMO</v>
      </c>
      <c r="D1162" s="33" t="n">
        <f aca="false">'Uso e Consumo'!C1162</f>
        <v>32020</v>
      </c>
      <c r="E1162" s="34" t="str">
        <f aca="false">'Uso e Consumo'!D1162</f>
        <v>17.01.0612</v>
      </c>
      <c r="F1162" s="34" t="str">
        <f aca="false">'Uso e Consumo'!E1162</f>
        <v>CABO MULTIPLO PP 2 X 2,5MM²</v>
      </c>
      <c r="G1162" s="34" t="str">
        <f aca="false">'Uso e Consumo'!J1162</f>
        <v>M</v>
      </c>
      <c r="H1162" s="49" t="n">
        <f aca="false">'Uso e Consumo'!F1162</f>
        <v>100</v>
      </c>
      <c r="I1162" s="35" t="n">
        <f aca="false">'Uso e Consumo'!G1162</f>
        <v>680</v>
      </c>
      <c r="J1162" s="34" t="str">
        <f aca="false">'Uso e Consumo'!M1162</f>
        <v>3.8.1.017 - Instalações elétricas/telefônicas/lógica</v>
      </c>
      <c r="K1162" s="32" t="str">
        <f aca="false">INDEX('Curva ABC'!$K$8:$K$2847,MATCH(D1162,'Curva ABC'!$B$8:$B$2847,0))</f>
        <v>C</v>
      </c>
    </row>
    <row r="1163" customFormat="false" ht="15" hidden="false" customHeight="false" outlineLevel="0" collapsed="false">
      <c r="A1163" s="34" t="s">
        <v>5799</v>
      </c>
      <c r="B1163" s="34" t="str">
        <f aca="false">'Uso e Consumo'!A1163</f>
        <v>0335</v>
      </c>
      <c r="C1163" s="34" t="str">
        <f aca="false">'Uso e Consumo'!B1163</f>
        <v>UFV NORONHA VERDE - USO E CONSUMO</v>
      </c>
      <c r="D1163" s="33" t="n">
        <f aca="false">'Uso e Consumo'!C1163</f>
        <v>279529</v>
      </c>
      <c r="E1163" s="34" t="str">
        <f aca="false">'Uso e Consumo'!D1163</f>
        <v>26.07.0031</v>
      </c>
      <c r="F1163" s="34" t="str">
        <f aca="false">'Uso e Consumo'!E1163</f>
        <v>RESPIRADOR SEMIFACIAL CARBOGRAFITE CG 304</v>
      </c>
      <c r="G1163" s="34" t="str">
        <f aca="false">'Uso e Consumo'!J1163</f>
        <v>UN</v>
      </c>
      <c r="H1163" s="49" t="n">
        <f aca="false">'Uso e Consumo'!F1163</f>
        <v>20</v>
      </c>
      <c r="I1163" s="35" t="n">
        <f aca="false">'Uso e Consumo'!G1163</f>
        <v>680</v>
      </c>
      <c r="J1163" s="34" t="str">
        <f aca="false">'Uso e Consumo'!M1163</f>
        <v>4.3.4.001 - Equipamento de proteção individual</v>
      </c>
      <c r="K1163" s="32" t="str">
        <f aca="false">INDEX('Curva ABC'!$K$8:$K$2847,MATCH(D1163,'Curva ABC'!$B$8:$B$2847,0))</f>
        <v>C</v>
      </c>
    </row>
    <row r="1164" customFormat="false" ht="15" hidden="false" customHeight="false" outlineLevel="0" collapsed="false">
      <c r="A1164" s="34" t="s">
        <v>5799</v>
      </c>
      <c r="B1164" s="34" t="str">
        <f aca="false">'Uso e Consumo'!A1164</f>
        <v>0335</v>
      </c>
      <c r="C1164" s="34" t="str">
        <f aca="false">'Uso e Consumo'!B1164</f>
        <v>UFV NORONHA VERDE - USO E CONSUMO</v>
      </c>
      <c r="D1164" s="33" t="n">
        <f aca="false">'Uso e Consumo'!C1164</f>
        <v>554395</v>
      </c>
      <c r="E1164" s="34" t="str">
        <f aca="false">'Uso e Consumo'!D1164</f>
        <v>32.07.0135</v>
      </c>
      <c r="F1164" s="34" t="str">
        <f aca="false">'Uso e Consumo'!E1164</f>
        <v>RETIFICA RETA GGS28-CE 220V 650W 30000RPM 06012201E0 BOSCH</v>
      </c>
      <c r="G1164" s="34" t="str">
        <f aca="false">'Uso e Consumo'!J1164</f>
        <v>UN</v>
      </c>
      <c r="H1164" s="49" t="n">
        <f aca="false">'Uso e Consumo'!F1164</f>
        <v>1</v>
      </c>
      <c r="I1164" s="35" t="n">
        <f aca="false">'Uso e Consumo'!G1164</f>
        <v>680</v>
      </c>
      <c r="J1164" s="34" t="str">
        <f aca="false">'Uso e Consumo'!M1164</f>
        <v>6.1.2.001 - Equipamentos</v>
      </c>
      <c r="K1164" s="32" t="str">
        <f aca="false">INDEX('Curva ABC'!$K$8:$K$2847,MATCH(D1164,'Curva ABC'!$B$8:$B$2847,0))</f>
        <v>C</v>
      </c>
    </row>
    <row r="1165" customFormat="false" ht="15" hidden="false" customHeight="false" outlineLevel="0" collapsed="false">
      <c r="A1165" s="34" t="s">
        <v>5799</v>
      </c>
      <c r="B1165" s="34" t="str">
        <f aca="false">'Uso e Consumo'!A1165</f>
        <v>0335</v>
      </c>
      <c r="C1165" s="34" t="str">
        <f aca="false">'Uso e Consumo'!B1165</f>
        <v>UFV NORONHA VERDE - USO E CONSUMO</v>
      </c>
      <c r="D1165" s="33" t="n">
        <f aca="false">'Uso e Consumo'!C1165</f>
        <v>1096687</v>
      </c>
      <c r="E1165" s="34" t="str">
        <f aca="false">'Uso e Consumo'!D1165</f>
        <v>17.16.0598</v>
      </c>
      <c r="F1165" s="34" t="str">
        <f aca="false">'Uso e Consumo'!E1165</f>
        <v>TERMINAL A COMPRESSÃO CONECTOR TIPO PINO 240MM²</v>
      </c>
      <c r="G1165" s="34" t="str">
        <f aca="false">'Uso e Consumo'!J1165</f>
        <v>UN</v>
      </c>
      <c r="H1165" s="49" t="n">
        <f aca="false">'Uso e Consumo'!F1165</f>
        <v>6</v>
      </c>
      <c r="I1165" s="35" t="n">
        <f aca="false">'Uso e Consumo'!G1165</f>
        <v>677.7</v>
      </c>
      <c r="J1165" s="34" t="str">
        <f aca="false">'Uso e Consumo'!M1165</f>
        <v>3.8.1.017 - Instalações elétricas/telefônicas/lógica</v>
      </c>
      <c r="K1165" s="32" t="str">
        <f aca="false">INDEX('Curva ABC'!$K$8:$K$2847,MATCH(D1165,'Curva ABC'!$B$8:$B$2847,0))</f>
        <v>C</v>
      </c>
    </row>
    <row r="1166" customFormat="false" ht="15" hidden="false" customHeight="false" outlineLevel="0" collapsed="false">
      <c r="A1166" s="34" t="s">
        <v>5799</v>
      </c>
      <c r="B1166" s="34" t="str">
        <f aca="false">'Uso e Consumo'!A1166</f>
        <v>0335</v>
      </c>
      <c r="C1166" s="34" t="str">
        <f aca="false">'Uso e Consumo'!B1166</f>
        <v>UFV NORONHA VERDE - USO E CONSUMO</v>
      </c>
      <c r="D1166" s="33" t="n">
        <f aca="false">'Uso e Consumo'!C1166</f>
        <v>144009</v>
      </c>
      <c r="E1166" s="34" t="str">
        <f aca="false">'Uso e Consumo'!D1166</f>
        <v>30.04.0155</v>
      </c>
      <c r="F1166" s="34" t="str">
        <f aca="false">'Uso e Consumo'!E1166</f>
        <v>BOMBA P/ GARRAFÃO GALÃO 10/20 LITROS DE ÁGUA</v>
      </c>
      <c r="G1166" s="34" t="str">
        <f aca="false">'Uso e Consumo'!J1166</f>
        <v>UN</v>
      </c>
      <c r="H1166" s="49" t="n">
        <f aca="false">'Uso e Consumo'!F1166</f>
        <v>15</v>
      </c>
      <c r="I1166" s="35" t="n">
        <f aca="false">'Uso e Consumo'!G1166</f>
        <v>675</v>
      </c>
      <c r="J1166" s="34" t="str">
        <f aca="false">'Uso e Consumo'!M1166</f>
        <v>4.1.1.001 - Material de uso e consumo</v>
      </c>
      <c r="K1166" s="32" t="str">
        <f aca="false">INDEX('Curva ABC'!$K$8:$K$2847,MATCH(D1166,'Curva ABC'!$B$8:$B$2847,0))</f>
        <v>C</v>
      </c>
    </row>
    <row r="1167" customFormat="false" ht="15" hidden="false" customHeight="false" outlineLevel="0" collapsed="false">
      <c r="A1167" s="34" t="s">
        <v>5799</v>
      </c>
      <c r="B1167" s="34" t="str">
        <f aca="false">'Uso e Consumo'!A1167</f>
        <v>0335</v>
      </c>
      <c r="C1167" s="34" t="str">
        <f aca="false">'Uso e Consumo'!B1167</f>
        <v>UFV NORONHA VERDE - USO E CONSUMO</v>
      </c>
      <c r="D1167" s="33" t="n">
        <f aca="false">'Uso e Consumo'!C1167</f>
        <v>1327692</v>
      </c>
      <c r="E1167" s="34" t="str">
        <f aca="false">'Uso e Consumo'!D1167</f>
        <v>30.03.0552</v>
      </c>
      <c r="F1167" s="34" t="str">
        <f aca="false">'Uso e Consumo'!E1167</f>
        <v>ETIQUETA LAVÁVEL PARA CONTROLE DE ROUPAS - 2.000 TAGS</v>
      </c>
      <c r="G1167" s="34" t="str">
        <f aca="false">'Uso e Consumo'!J1167</f>
        <v>UN</v>
      </c>
      <c r="H1167" s="49" t="n">
        <f aca="false">'Uso e Consumo'!F1167</f>
        <v>5</v>
      </c>
      <c r="I1167" s="35" t="n">
        <f aca="false">'Uso e Consumo'!G1167</f>
        <v>674.9</v>
      </c>
      <c r="J1167" s="34" t="str">
        <f aca="false">'Uso e Consumo'!M1167</f>
        <v>4.1.1.001 - Material de uso e consumo</v>
      </c>
      <c r="K1167" s="32" t="str">
        <f aca="false">INDEX('Curva ABC'!$K$8:$K$2847,MATCH(D1167,'Curva ABC'!$B$8:$B$2847,0))</f>
        <v>C</v>
      </c>
    </row>
    <row r="1168" customFormat="false" ht="15" hidden="false" customHeight="false" outlineLevel="0" collapsed="false">
      <c r="A1168" s="34" t="s">
        <v>5799</v>
      </c>
      <c r="B1168" s="34" t="str">
        <f aca="false">'Uso e Consumo'!A1168</f>
        <v>0335</v>
      </c>
      <c r="C1168" s="34" t="str">
        <f aca="false">'Uso e Consumo'!B1168</f>
        <v>UFV NORONHA VERDE - USO E CONSUMO</v>
      </c>
      <c r="D1168" s="33" t="n">
        <f aca="false">'Uso e Consumo'!C1168</f>
        <v>1475832</v>
      </c>
      <c r="E1168" s="34" t="str">
        <f aca="false">'Uso e Consumo'!D1168</f>
        <v>24.09.0712</v>
      </c>
      <c r="F1168" s="34" t="str">
        <f aca="false">'Uso e Consumo'!E1168</f>
        <v>CHAVE TIPO VIRA FERRO 3/4"</v>
      </c>
      <c r="G1168" s="34" t="str">
        <f aca="false">'Uso e Consumo'!J1168</f>
        <v>UN</v>
      </c>
      <c r="H1168" s="49" t="n">
        <f aca="false">'Uso e Consumo'!F1168</f>
        <v>5</v>
      </c>
      <c r="I1168" s="35" t="n">
        <f aca="false">'Uso e Consumo'!G1168</f>
        <v>674.25</v>
      </c>
      <c r="J1168" s="34" t="str">
        <f aca="false">'Uso e Consumo'!M1168</f>
        <v>3.8.2.002 - Ferramentas manuais</v>
      </c>
      <c r="K1168" s="32" t="str">
        <f aca="false">INDEX('Curva ABC'!$K$8:$K$2847,MATCH(D1168,'Curva ABC'!$B$8:$B$2847,0))</f>
        <v>C</v>
      </c>
    </row>
    <row r="1169" customFormat="false" ht="22.35" hidden="false" customHeight="false" outlineLevel="0" collapsed="false">
      <c r="A1169" s="34" t="s">
        <v>5799</v>
      </c>
      <c r="B1169" s="34" t="str">
        <f aca="false">'Uso e Consumo'!A1169</f>
        <v>0335</v>
      </c>
      <c r="C1169" s="34" t="str">
        <f aca="false">'Uso e Consumo'!B1169</f>
        <v>UFV NORONHA VERDE - USO E CONSUMO</v>
      </c>
      <c r="D1169" s="33" t="n">
        <f aca="false">'Uso e Consumo'!C1169</f>
        <v>1540011</v>
      </c>
      <c r="E1169" s="34" t="str">
        <f aca="false">'Uso e Consumo'!D1169</f>
        <v>24.31.0043</v>
      </c>
      <c r="F1169" s="50" t="str">
        <f aca="false">'Uso e Consumo'!E1169</f>
        <v>LAVADORA PORTÁTIL À BATERIA
</v>
      </c>
      <c r="G1169" s="34" t="str">
        <f aca="false">'Uso e Consumo'!J1169</f>
        <v>UN</v>
      </c>
      <c r="H1169" s="49" t="n">
        <f aca="false">'Uso e Consumo'!F1169</f>
        <v>1</v>
      </c>
      <c r="I1169" s="35" t="n">
        <f aca="false">'Uso e Consumo'!G1169</f>
        <v>674</v>
      </c>
      <c r="J1169" s="34" t="str">
        <f aca="false">'Uso e Consumo'!M1169</f>
        <v>6.1.2.002 - Ferramentas e utensílios</v>
      </c>
      <c r="K1169" s="32" t="str">
        <f aca="false">INDEX('Curva ABC'!$K$8:$K$2847,MATCH(D1169,'Curva ABC'!$B$8:$B$2847,0))</f>
        <v>C</v>
      </c>
    </row>
    <row r="1170" customFormat="false" ht="15" hidden="false" customHeight="false" outlineLevel="0" collapsed="false">
      <c r="A1170" s="34" t="s">
        <v>5799</v>
      </c>
      <c r="B1170" s="34" t="str">
        <f aca="false">'Uso e Consumo'!A1170</f>
        <v>0335</v>
      </c>
      <c r="C1170" s="34" t="str">
        <f aca="false">'Uso e Consumo'!B1170</f>
        <v>UFV NORONHA VERDE - USO E CONSUMO</v>
      </c>
      <c r="D1170" s="33" t="n">
        <f aca="false">'Uso e Consumo'!C1170</f>
        <v>57427</v>
      </c>
      <c r="E1170" s="34" t="str">
        <f aca="false">'Uso e Consumo'!D1170</f>
        <v>23.06.0150</v>
      </c>
      <c r="F1170" s="34" t="str">
        <f aca="false">'Uso e Consumo'!E1170</f>
        <v>PORCA PARA OLHAL DE IÇAMENTO</v>
      </c>
      <c r="G1170" s="34" t="str">
        <f aca="false">'Uso e Consumo'!J1170</f>
        <v>UN</v>
      </c>
      <c r="H1170" s="49" t="n">
        <f aca="false">'Uso e Consumo'!F1170</f>
        <v>4</v>
      </c>
      <c r="I1170" s="35" t="n">
        <f aca="false">'Uso e Consumo'!G1170</f>
        <v>672</v>
      </c>
      <c r="J1170" s="34" t="str">
        <f aca="false">'Uso e Consumo'!M1170</f>
        <v>3.8.1.022 - Elementos de fixação</v>
      </c>
      <c r="K1170" s="32" t="str">
        <f aca="false">INDEX('Curva ABC'!$K$8:$K$2847,MATCH(D1170,'Curva ABC'!$B$8:$B$2847,0))</f>
        <v>C</v>
      </c>
    </row>
    <row r="1171" customFormat="false" ht="15" hidden="false" customHeight="false" outlineLevel="0" collapsed="false">
      <c r="A1171" s="34" t="s">
        <v>5799</v>
      </c>
      <c r="B1171" s="34" t="str">
        <f aca="false">'Uso e Consumo'!A1171</f>
        <v>0335</v>
      </c>
      <c r="C1171" s="34" t="str">
        <f aca="false">'Uso e Consumo'!B1171</f>
        <v>UFV NORONHA VERDE - USO E CONSUMO</v>
      </c>
      <c r="D1171" s="33" t="n">
        <f aca="false">'Uso e Consumo'!C1171</f>
        <v>1330378</v>
      </c>
      <c r="E1171" s="34" t="str">
        <f aca="false">'Uso e Consumo'!D1171</f>
        <v>18.01.1584</v>
      </c>
      <c r="F1171" s="34" t="str">
        <f aca="false">'Uso e Consumo'!E1171</f>
        <v>JOELHO PVC SOLDÁVEL  90 X 25 X 1/2</v>
      </c>
      <c r="G1171" s="34" t="str">
        <f aca="false">'Uso e Consumo'!J1171</f>
        <v>UN</v>
      </c>
      <c r="H1171" s="49" t="n">
        <f aca="false">'Uso e Consumo'!F1171</f>
        <v>92</v>
      </c>
      <c r="I1171" s="35" t="n">
        <f aca="false">'Uso e Consumo'!G1171</f>
        <v>668.84</v>
      </c>
      <c r="J1171" s="34" t="str">
        <f aca="false">'Uso e Consumo'!M1171</f>
        <v>3.8.1.018 - Instalações hidráulicas/sanitárias/industriais</v>
      </c>
      <c r="K1171" s="32" t="str">
        <f aca="false">INDEX('Curva ABC'!$K$8:$K$2847,MATCH(D1171,'Curva ABC'!$B$8:$B$2847,0))</f>
        <v>C</v>
      </c>
    </row>
    <row r="1172" customFormat="false" ht="15" hidden="false" customHeight="false" outlineLevel="0" collapsed="false">
      <c r="A1172" s="34" t="s">
        <v>5799</v>
      </c>
      <c r="B1172" s="34" t="str">
        <f aca="false">'Uso e Consumo'!A1172</f>
        <v>0335</v>
      </c>
      <c r="C1172" s="34" t="str">
        <f aca="false">'Uso e Consumo'!B1172</f>
        <v>UFV NORONHA VERDE - USO E CONSUMO</v>
      </c>
      <c r="D1172" s="33" t="n">
        <f aca="false">'Uso e Consumo'!C1172</f>
        <v>23276</v>
      </c>
      <c r="E1172" s="34" t="str">
        <f aca="false">'Uso e Consumo'!D1172</f>
        <v>24.08.0017</v>
      </c>
      <c r="F1172" s="34" t="str">
        <f aca="false">'Uso e Consumo'!E1172</f>
        <v>TORQUÊS ARMADOR 13"</v>
      </c>
      <c r="G1172" s="34" t="str">
        <f aca="false">'Uso e Consumo'!J1172</f>
        <v>UN</v>
      </c>
      <c r="H1172" s="49" t="n">
        <f aca="false">'Uso e Consumo'!F1172</f>
        <v>10</v>
      </c>
      <c r="I1172" s="35" t="n">
        <f aca="false">'Uso e Consumo'!G1172</f>
        <v>667.64</v>
      </c>
      <c r="J1172" s="34" t="str">
        <f aca="false">'Uso e Consumo'!M1172</f>
        <v>3.8.2.002 - Ferramentas manuais</v>
      </c>
      <c r="K1172" s="32" t="str">
        <f aca="false">INDEX('Curva ABC'!$K$8:$K$2847,MATCH(D1172,'Curva ABC'!$B$8:$B$2847,0))</f>
        <v>C</v>
      </c>
    </row>
    <row r="1173" customFormat="false" ht="15" hidden="false" customHeight="false" outlineLevel="0" collapsed="false">
      <c r="A1173" s="34" t="s">
        <v>5799</v>
      </c>
      <c r="B1173" s="34" t="str">
        <f aca="false">'Uso e Consumo'!A1173</f>
        <v>0335</v>
      </c>
      <c r="C1173" s="34" t="str">
        <f aca="false">'Uso e Consumo'!B1173</f>
        <v>UFV NORONHA VERDE - USO E CONSUMO</v>
      </c>
      <c r="D1173" s="33" t="n">
        <f aca="false">'Uso e Consumo'!C1173</f>
        <v>23989</v>
      </c>
      <c r="E1173" s="34" t="str">
        <f aca="false">'Uso e Consumo'!D1173</f>
        <v>33.02.0283</v>
      </c>
      <c r="F1173" s="34" t="str">
        <f aca="false">'Uso e Consumo'!E1173</f>
        <v>CHAVE</v>
      </c>
      <c r="G1173" s="34" t="str">
        <f aca="false">'Uso e Consumo'!J1173</f>
        <v>UN</v>
      </c>
      <c r="H1173" s="49" t="n">
        <f aca="false">'Uso e Consumo'!F1173</f>
        <v>10</v>
      </c>
      <c r="I1173" s="35" t="n">
        <f aca="false">'Uso e Consumo'!G1173</f>
        <v>666.6</v>
      </c>
      <c r="J1173" s="34" t="str">
        <f aca="false">'Uso e Consumo'!M1173</f>
        <v>3.1.6.002 - Pneus e peças</v>
      </c>
      <c r="K1173" s="32" t="str">
        <f aca="false">INDEX('Curva ABC'!$K$8:$K$2847,MATCH(D1173,'Curva ABC'!$B$8:$B$2847,0))</f>
        <v>C</v>
      </c>
    </row>
    <row r="1174" customFormat="false" ht="15" hidden="false" customHeight="false" outlineLevel="0" collapsed="false">
      <c r="A1174" s="34" t="s">
        <v>5799</v>
      </c>
      <c r="B1174" s="34" t="str">
        <f aca="false">'Uso e Consumo'!A1174</f>
        <v>0335</v>
      </c>
      <c r="C1174" s="34" t="str">
        <f aca="false">'Uso e Consumo'!B1174</f>
        <v>UFV NORONHA VERDE - USO E CONSUMO</v>
      </c>
      <c r="D1174" s="33" t="n">
        <f aca="false">'Uso e Consumo'!C1174</f>
        <v>143919</v>
      </c>
      <c r="E1174" s="34" t="str">
        <f aca="false">'Uso e Consumo'!D1174</f>
        <v>26.04.0057</v>
      </c>
      <c r="F1174" s="34" t="str">
        <f aca="false">'Uso e Consumo'!E1174</f>
        <v>ASCENSOR DE PUNHO DIREITO</v>
      </c>
      <c r="G1174" s="34" t="str">
        <f aca="false">'Uso e Consumo'!J1174</f>
        <v>UN</v>
      </c>
      <c r="H1174" s="49" t="n">
        <f aca="false">'Uso e Consumo'!F1174</f>
        <v>2</v>
      </c>
      <c r="I1174" s="35" t="n">
        <f aca="false">'Uso e Consumo'!G1174</f>
        <v>665</v>
      </c>
      <c r="J1174" s="34" t="str">
        <f aca="false">'Uso e Consumo'!M1174</f>
        <v>4.3.4.001 - Equipamento de proteção individual</v>
      </c>
      <c r="K1174" s="32" t="str">
        <f aca="false">INDEX('Curva ABC'!$K$8:$K$2847,MATCH(D1174,'Curva ABC'!$B$8:$B$2847,0))</f>
        <v>C</v>
      </c>
    </row>
    <row r="1175" customFormat="false" ht="15" hidden="false" customHeight="false" outlineLevel="0" collapsed="false">
      <c r="A1175" s="34" t="s">
        <v>5799</v>
      </c>
      <c r="B1175" s="34" t="str">
        <f aca="false">'Uso e Consumo'!A1175</f>
        <v>0335</v>
      </c>
      <c r="C1175" s="34" t="str">
        <f aca="false">'Uso e Consumo'!B1175</f>
        <v>UFV NORONHA VERDE - USO E CONSUMO</v>
      </c>
      <c r="D1175" s="33" t="n">
        <f aca="false">'Uso e Consumo'!C1175</f>
        <v>561284</v>
      </c>
      <c r="E1175" s="34" t="str">
        <f aca="false">'Uso e Consumo'!D1175</f>
        <v>17.02.0566</v>
      </c>
      <c r="F1175" s="34" t="str">
        <f aca="false">'Uso e Consumo'!E1175</f>
        <v>CONECTOR PARA ELETRODUTO FLEXÍVEL REVESTIDO (SEALTUBO) - MACHO FIXO - CMRF</v>
      </c>
      <c r="G1175" s="34" t="str">
        <f aca="false">'Uso e Consumo'!J1175</f>
        <v>UN</v>
      </c>
      <c r="H1175" s="49" t="n">
        <f aca="false">'Uso e Consumo'!F1175</f>
        <v>32</v>
      </c>
      <c r="I1175" s="35" t="n">
        <f aca="false">'Uso e Consumo'!G1175</f>
        <v>663.77</v>
      </c>
      <c r="J1175" s="34" t="str">
        <f aca="false">'Uso e Consumo'!M1175</f>
        <v>3.8.1.017 - Instalações elétricas/telefônicas/lógica</v>
      </c>
      <c r="K1175" s="32" t="str">
        <f aca="false">INDEX('Curva ABC'!$K$8:$K$2847,MATCH(D1175,'Curva ABC'!$B$8:$B$2847,0))</f>
        <v>C</v>
      </c>
    </row>
    <row r="1176" customFormat="false" ht="15" hidden="false" customHeight="false" outlineLevel="0" collapsed="false">
      <c r="A1176" s="34" t="s">
        <v>5799</v>
      </c>
      <c r="B1176" s="34" t="str">
        <f aca="false">'Uso e Consumo'!A1176</f>
        <v>0335</v>
      </c>
      <c r="C1176" s="34" t="str">
        <f aca="false">'Uso e Consumo'!B1176</f>
        <v>UFV NORONHA VERDE - USO E CONSUMO</v>
      </c>
      <c r="D1176" s="33" t="n">
        <f aca="false">'Uso e Consumo'!C1176</f>
        <v>1610259</v>
      </c>
      <c r="E1176" s="34" t="str">
        <f aca="false">'Uso e Consumo'!D1176</f>
        <v>24.41.0434</v>
      </c>
      <c r="F1176" s="34" t="str">
        <f aca="false">'Uso e Consumo'!E1176</f>
        <v>TARRAXA MANUAL CANO TUBO DE 1/2", 3/4", 1" POL. BSPT </v>
      </c>
      <c r="G1176" s="34" t="str">
        <f aca="false">'Uso e Consumo'!J1176</f>
        <v>UN</v>
      </c>
      <c r="H1176" s="49" t="n">
        <f aca="false">'Uso e Consumo'!F1176</f>
        <v>1</v>
      </c>
      <c r="I1176" s="35" t="n">
        <f aca="false">'Uso e Consumo'!G1176</f>
        <v>662.52</v>
      </c>
      <c r="J1176" s="34" t="str">
        <f aca="false">'Uso e Consumo'!M1176</f>
        <v>3.8.2.002 - Ferramentas manuais</v>
      </c>
      <c r="K1176" s="32" t="str">
        <f aca="false">INDEX('Curva ABC'!$K$8:$K$2847,MATCH(D1176,'Curva ABC'!$B$8:$B$2847,0))</f>
        <v>C</v>
      </c>
    </row>
    <row r="1177" customFormat="false" ht="15" hidden="false" customHeight="false" outlineLevel="0" collapsed="false">
      <c r="A1177" s="34" t="s">
        <v>5799</v>
      </c>
      <c r="B1177" s="34" t="str">
        <f aca="false">'Uso e Consumo'!A1177</f>
        <v>0335</v>
      </c>
      <c r="C1177" s="34" t="str">
        <f aca="false">'Uso e Consumo'!B1177</f>
        <v>UFV NORONHA VERDE - USO E CONSUMO</v>
      </c>
      <c r="D1177" s="33" t="n">
        <f aca="false">'Uso e Consumo'!C1177</f>
        <v>53968</v>
      </c>
      <c r="E1177" s="34" t="str">
        <f aca="false">'Uso e Consumo'!D1177</f>
        <v>23.02.0254</v>
      </c>
      <c r="F1177" s="34" t="str">
        <f aca="false">'Uso e Consumo'!E1177</f>
        <v>ABRAÇADEIRA GALVANIZADA TIPO “D” 3/4" C/PARAFUSO PARA ELETRODUTO</v>
      </c>
      <c r="G1177" s="34" t="str">
        <f aca="false">'Uso e Consumo'!J1177</f>
        <v>UN</v>
      </c>
      <c r="H1177" s="49" t="n">
        <f aca="false">'Uso e Consumo'!F1177</f>
        <v>112</v>
      </c>
      <c r="I1177" s="35" t="n">
        <f aca="false">'Uso e Consumo'!G1177</f>
        <v>660.8</v>
      </c>
      <c r="J1177" s="34" t="str">
        <f aca="false">'Uso e Consumo'!M1177</f>
        <v>3.8.1.022 - Elementos de fixação</v>
      </c>
      <c r="K1177" s="32" t="str">
        <f aca="false">INDEX('Curva ABC'!$K$8:$K$2847,MATCH(D1177,'Curva ABC'!$B$8:$B$2847,0))</f>
        <v>C</v>
      </c>
    </row>
    <row r="1178" customFormat="false" ht="15" hidden="false" customHeight="false" outlineLevel="0" collapsed="false">
      <c r="A1178" s="34" t="s">
        <v>5799</v>
      </c>
      <c r="B1178" s="34" t="str">
        <f aca="false">'Uso e Consumo'!A1178</f>
        <v>0335</v>
      </c>
      <c r="C1178" s="34" t="str">
        <f aca="false">'Uso e Consumo'!B1178</f>
        <v>UFV NORONHA VERDE - USO E CONSUMO</v>
      </c>
      <c r="D1178" s="33" t="n">
        <f aca="false">'Uso e Consumo'!C1178</f>
        <v>55282</v>
      </c>
      <c r="E1178" s="34" t="str">
        <f aca="false">'Uso e Consumo'!D1178</f>
        <v>17.05.0048</v>
      </c>
      <c r="F1178" s="34" t="str">
        <f aca="false">'Uso e Consumo'!E1178</f>
        <v>CONDULETE PVC RETANGULAR T 1" C/TAMPA S/VEDAÇÃO CINZA</v>
      </c>
      <c r="G1178" s="34" t="str">
        <f aca="false">'Uso e Consumo'!J1178</f>
        <v>UN</v>
      </c>
      <c r="H1178" s="49" t="n">
        <f aca="false">'Uso e Consumo'!F1178</f>
        <v>60</v>
      </c>
      <c r="I1178" s="35" t="n">
        <f aca="false">'Uso e Consumo'!G1178</f>
        <v>660</v>
      </c>
      <c r="J1178" s="34" t="str">
        <f aca="false">'Uso e Consumo'!M1178</f>
        <v>3.8.1.017 - Instalações elétricas/telefônicas/lógica</v>
      </c>
      <c r="K1178" s="32" t="str">
        <f aca="false">INDEX('Curva ABC'!$K$8:$K$2847,MATCH(D1178,'Curva ABC'!$B$8:$B$2847,0))</f>
        <v>C</v>
      </c>
    </row>
    <row r="1179" customFormat="false" ht="15" hidden="false" customHeight="false" outlineLevel="0" collapsed="false">
      <c r="A1179" s="34" t="s">
        <v>5799</v>
      </c>
      <c r="B1179" s="34" t="str">
        <f aca="false">'Uso e Consumo'!A1179</f>
        <v>0335</v>
      </c>
      <c r="C1179" s="34" t="str">
        <f aca="false">'Uso e Consumo'!B1179</f>
        <v>UFV NORONHA VERDE - USO E CONSUMO</v>
      </c>
      <c r="D1179" s="33" t="n">
        <f aca="false">'Uso e Consumo'!C1179</f>
        <v>1091608</v>
      </c>
      <c r="E1179" s="34" t="str">
        <f aca="false">'Uso e Consumo'!D1179</f>
        <v>24.09.0691</v>
      </c>
      <c r="F1179" s="34" t="str">
        <f aca="false">'Uso e Consumo'!E1179</f>
        <v>CHAPA PARA DOBRAR FERRO DE 3/8" (10,00MM) DE BITOLA</v>
      </c>
      <c r="G1179" s="34" t="str">
        <f aca="false">'Uso e Consumo'!J1179</f>
        <v>UN</v>
      </c>
      <c r="H1179" s="49" t="n">
        <f aca="false">'Uso e Consumo'!F1179</f>
        <v>3</v>
      </c>
      <c r="I1179" s="35" t="n">
        <f aca="false">'Uso e Consumo'!G1179</f>
        <v>660</v>
      </c>
      <c r="J1179" s="34" t="str">
        <f aca="false">'Uso e Consumo'!M1179</f>
        <v>3.8.2.002 - Ferramentas manuais</v>
      </c>
      <c r="K1179" s="32" t="str">
        <f aca="false">INDEX('Curva ABC'!$K$8:$K$2847,MATCH(D1179,'Curva ABC'!$B$8:$B$2847,0))</f>
        <v>C</v>
      </c>
    </row>
    <row r="1180" customFormat="false" ht="15" hidden="false" customHeight="false" outlineLevel="0" collapsed="false">
      <c r="A1180" s="34" t="s">
        <v>5799</v>
      </c>
      <c r="B1180" s="34" t="str">
        <f aca="false">'Uso e Consumo'!A1180</f>
        <v>0335</v>
      </c>
      <c r="C1180" s="34" t="str">
        <f aca="false">'Uso e Consumo'!B1180</f>
        <v>UFV NORONHA VERDE - USO E CONSUMO</v>
      </c>
      <c r="D1180" s="33" t="n">
        <f aca="false">'Uso e Consumo'!C1180</f>
        <v>21111</v>
      </c>
      <c r="E1180" s="34" t="str">
        <f aca="false">'Uso e Consumo'!D1180</f>
        <v>30.02.0043</v>
      </c>
      <c r="F1180" s="34" t="str">
        <f aca="false">'Uso e Consumo'!E1180</f>
        <v>LIMPA CONTATO ELÉTRICO/ELETÔNICO 300ML</v>
      </c>
      <c r="G1180" s="34" t="str">
        <f aca="false">'Uso e Consumo'!J1180</f>
        <v>UN</v>
      </c>
      <c r="H1180" s="49" t="n">
        <f aca="false">'Uso e Consumo'!F1180</f>
        <v>36</v>
      </c>
      <c r="I1180" s="35" t="n">
        <f aca="false">'Uso e Consumo'!G1180</f>
        <v>658.1196</v>
      </c>
      <c r="J1180" s="34" t="str">
        <f aca="false">'Uso e Consumo'!M1180</f>
        <v>4.1.1.002 - Material expediente</v>
      </c>
      <c r="K1180" s="32" t="str">
        <f aca="false">INDEX('Curva ABC'!$K$8:$K$2847,MATCH(D1180,'Curva ABC'!$B$8:$B$2847,0))</f>
        <v>C</v>
      </c>
    </row>
    <row r="1181" customFormat="false" ht="15" hidden="false" customHeight="false" outlineLevel="0" collapsed="false">
      <c r="A1181" s="34" t="s">
        <v>5799</v>
      </c>
      <c r="B1181" s="34" t="str">
        <f aca="false">'Uso e Consumo'!A1181</f>
        <v>0335</v>
      </c>
      <c r="C1181" s="34" t="str">
        <f aca="false">'Uso e Consumo'!B1181</f>
        <v>UFV NORONHA VERDE - USO E CONSUMO</v>
      </c>
      <c r="D1181" s="33" t="n">
        <f aca="false">'Uso e Consumo'!C1181</f>
        <v>1384361</v>
      </c>
      <c r="E1181" s="34" t="str">
        <f aca="false">'Uso e Consumo'!D1181</f>
        <v>17.02.0862</v>
      </c>
      <c r="F1181" s="34" t="str">
        <f aca="false">'Uso e Consumo'!E1181</f>
        <v>ELETRODUTO PVC RÍGIDO 85 MM, COM ROSCA 3" BSP,  COR PRETO, BARRA 3,00 M</v>
      </c>
      <c r="G1181" s="34" t="str">
        <f aca="false">'Uso e Consumo'!J1181</f>
        <v>UN</v>
      </c>
      <c r="H1181" s="49" t="n">
        <f aca="false">'Uso e Consumo'!F1181</f>
        <v>8</v>
      </c>
      <c r="I1181" s="35" t="n">
        <f aca="false">'Uso e Consumo'!G1181</f>
        <v>657.2</v>
      </c>
      <c r="J1181" s="34" t="str">
        <f aca="false">'Uso e Consumo'!M1181</f>
        <v>3.8.1.017 - Instalações elétricas/telefônicas/lógica</v>
      </c>
      <c r="K1181" s="32" t="str">
        <f aca="false">INDEX('Curva ABC'!$K$8:$K$2847,MATCH(D1181,'Curva ABC'!$B$8:$B$2847,0))</f>
        <v>C</v>
      </c>
    </row>
    <row r="1182" customFormat="false" ht="15" hidden="false" customHeight="false" outlineLevel="0" collapsed="false">
      <c r="A1182" s="34" t="s">
        <v>5799</v>
      </c>
      <c r="B1182" s="34" t="str">
        <f aca="false">'Uso e Consumo'!A1182</f>
        <v>0335</v>
      </c>
      <c r="C1182" s="34" t="str">
        <f aca="false">'Uso e Consumo'!B1182</f>
        <v>UFV NORONHA VERDE - USO E CONSUMO</v>
      </c>
      <c r="D1182" s="33" t="n">
        <f aca="false">'Uso e Consumo'!C1182</f>
        <v>23812</v>
      </c>
      <c r="E1182" s="34" t="str">
        <f aca="false">'Uso e Consumo'!D1182</f>
        <v>26.10.0005</v>
      </c>
      <c r="F1182" s="34" t="str">
        <f aca="false">'Uso e Consumo'!E1182</f>
        <v>CALÇA IMPERMEAVEL CONTRA LÍQUIDOS E RESPINGOS EM TREVIRA–KP 400–COM BOTAS DE PVC ACOPLADAS–TAM M</v>
      </c>
      <c r="G1182" s="34" t="str">
        <f aca="false">'Uso e Consumo'!J1182</f>
        <v>UN</v>
      </c>
      <c r="H1182" s="49" t="n">
        <f aca="false">'Uso e Consumo'!F1182</f>
        <v>5</v>
      </c>
      <c r="I1182" s="35" t="n">
        <f aca="false">'Uso e Consumo'!G1182</f>
        <v>655</v>
      </c>
      <c r="J1182" s="34" t="str">
        <f aca="false">'Uso e Consumo'!M1182</f>
        <v>4.3.4.001 - Equipamento de proteção individual</v>
      </c>
      <c r="K1182" s="32" t="str">
        <f aca="false">INDEX('Curva ABC'!$K$8:$K$2847,MATCH(D1182,'Curva ABC'!$B$8:$B$2847,0))</f>
        <v>C</v>
      </c>
    </row>
    <row r="1183" customFormat="false" ht="15" hidden="false" customHeight="false" outlineLevel="0" collapsed="false">
      <c r="A1183" s="34" t="s">
        <v>5799</v>
      </c>
      <c r="B1183" s="34" t="str">
        <f aca="false">'Uso e Consumo'!A1183</f>
        <v>0335</v>
      </c>
      <c r="C1183" s="34" t="str">
        <f aca="false">'Uso e Consumo'!B1183</f>
        <v>UFV NORONHA VERDE - USO E CONSUMO</v>
      </c>
      <c r="D1183" s="33" t="n">
        <f aca="false">'Uso e Consumo'!C1183</f>
        <v>560973</v>
      </c>
      <c r="E1183" s="34" t="str">
        <f aca="false">'Uso e Consumo'!D1183</f>
        <v>17.11.1012</v>
      </c>
      <c r="F1183" s="34" t="str">
        <f aca="false">'Uso e Consumo'!E1183</f>
        <v>REFLETOR LED 100W</v>
      </c>
      <c r="G1183" s="34" t="str">
        <f aca="false">'Uso e Consumo'!J1183</f>
        <v>UN</v>
      </c>
      <c r="H1183" s="49" t="n">
        <f aca="false">'Uso e Consumo'!F1183</f>
        <v>4</v>
      </c>
      <c r="I1183" s="35" t="n">
        <f aca="false">'Uso e Consumo'!G1183</f>
        <v>652</v>
      </c>
      <c r="J1183" s="34" t="str">
        <f aca="false">'Uso e Consumo'!M1183</f>
        <v>3.8.1.017 - Instalações elétricas/telefônicas/lógica</v>
      </c>
      <c r="K1183" s="32" t="str">
        <f aca="false">INDEX('Curva ABC'!$K$8:$K$2847,MATCH(D1183,'Curva ABC'!$B$8:$B$2847,0))</f>
        <v>C</v>
      </c>
    </row>
    <row r="1184" customFormat="false" ht="15" hidden="false" customHeight="false" outlineLevel="0" collapsed="false">
      <c r="A1184" s="34" t="s">
        <v>5799</v>
      </c>
      <c r="B1184" s="34" t="str">
        <f aca="false">'Uso e Consumo'!A1184</f>
        <v>0335</v>
      </c>
      <c r="C1184" s="34" t="str">
        <f aca="false">'Uso e Consumo'!B1184</f>
        <v>UFV NORONHA VERDE - USO E CONSUMO</v>
      </c>
      <c r="D1184" s="33" t="n">
        <f aca="false">'Uso e Consumo'!C1184</f>
        <v>1329132</v>
      </c>
      <c r="E1184" s="34" t="str">
        <f aca="false">'Uso e Consumo'!D1184</f>
        <v>30.01.0826</v>
      </c>
      <c r="F1184" s="34" t="str">
        <f aca="false">'Uso e Consumo'!E1184</f>
        <v>CABIDE DE ALUMÍNIO PARA EXPOSITOR E MAPOTECA TRIDENT – MOD: 33 CM</v>
      </c>
      <c r="G1184" s="34" t="str">
        <f aca="false">'Uso e Consumo'!J1184</f>
        <v>UN</v>
      </c>
      <c r="H1184" s="49" t="n">
        <f aca="false">'Uso e Consumo'!F1184</f>
        <v>2</v>
      </c>
      <c r="I1184" s="35" t="n">
        <f aca="false">'Uso e Consumo'!G1184</f>
        <v>651.84</v>
      </c>
      <c r="J1184" s="34" t="str">
        <f aca="false">'Uso e Consumo'!M1184</f>
        <v>4.1.1.002 - Material expediente</v>
      </c>
      <c r="K1184" s="32" t="str">
        <f aca="false">INDEX('Curva ABC'!$K$8:$K$2847,MATCH(D1184,'Curva ABC'!$B$8:$B$2847,0))</f>
        <v>C</v>
      </c>
    </row>
    <row r="1185" customFormat="false" ht="15" hidden="false" customHeight="false" outlineLevel="0" collapsed="false">
      <c r="A1185" s="34" t="s">
        <v>5799</v>
      </c>
      <c r="B1185" s="34" t="str">
        <f aca="false">'Uso e Consumo'!A1185</f>
        <v>0335</v>
      </c>
      <c r="C1185" s="34" t="str">
        <f aca="false">'Uso e Consumo'!B1185</f>
        <v>UFV NORONHA VERDE - USO E CONSUMO</v>
      </c>
      <c r="D1185" s="33" t="n">
        <f aca="false">'Uso e Consumo'!C1185</f>
        <v>1096420</v>
      </c>
      <c r="E1185" s="34" t="str">
        <f aca="false">'Uso e Consumo'!D1185</f>
        <v>32.02.0370</v>
      </c>
      <c r="F1185" s="34" t="str">
        <f aca="false">'Uso e Consumo'!E1185</f>
        <v>CINTA DE ELEVAÇÃO CAPACIDADE 6,0T COM 2,0M</v>
      </c>
      <c r="G1185" s="34" t="str">
        <f aca="false">'Uso e Consumo'!J1185</f>
        <v>UN</v>
      </c>
      <c r="H1185" s="49" t="n">
        <f aca="false">'Uso e Consumo'!F1185</f>
        <v>3</v>
      </c>
      <c r="I1185" s="35" t="n">
        <f aca="false">'Uso e Consumo'!G1185</f>
        <v>648.96</v>
      </c>
      <c r="J1185" s="34" t="str">
        <f aca="false">'Uso e Consumo'!M1185</f>
        <v>6.1.2.001 - Equipamentos</v>
      </c>
      <c r="K1185" s="32" t="str">
        <f aca="false">INDEX('Curva ABC'!$K$8:$K$2847,MATCH(D1185,'Curva ABC'!$B$8:$B$2847,0))</f>
        <v>C</v>
      </c>
    </row>
    <row r="1186" customFormat="false" ht="15" hidden="false" customHeight="false" outlineLevel="0" collapsed="false">
      <c r="A1186" s="34" t="s">
        <v>5799</v>
      </c>
      <c r="B1186" s="34" t="str">
        <f aca="false">'Uso e Consumo'!A1186</f>
        <v>0335</v>
      </c>
      <c r="C1186" s="34" t="str">
        <f aca="false">'Uso e Consumo'!B1186</f>
        <v>UFV NORONHA VERDE - USO E CONSUMO</v>
      </c>
      <c r="D1186" s="33" t="n">
        <f aca="false">'Uso e Consumo'!C1186</f>
        <v>1326773</v>
      </c>
      <c r="E1186" s="34" t="str">
        <f aca="false">'Uso e Consumo'!D1186</f>
        <v>17.20.0670</v>
      </c>
      <c r="F1186" s="34" t="str">
        <f aca="false">'Uso e Consumo'!E1186</f>
        <v>MOLDE DE CONEXÃO EM CRUZAMENTO ORTOGONAL TIPO "X", POR SOLDA EXOTÉRMICA, DE CABOS DE COBRE PASSANTES 70 mm² </v>
      </c>
      <c r="G1186" s="34" t="str">
        <f aca="false">'Uso e Consumo'!J1186</f>
        <v>pç</v>
      </c>
      <c r="H1186" s="49" t="n">
        <f aca="false">'Uso e Consumo'!F1186</f>
        <v>5</v>
      </c>
      <c r="I1186" s="35" t="n">
        <f aca="false">'Uso e Consumo'!G1186</f>
        <v>645.35</v>
      </c>
      <c r="J1186" s="34" t="str">
        <f aca="false">'Uso e Consumo'!M1186</f>
        <v>3.8.1.017 - Instalações elétricas/telefônicas/lógica</v>
      </c>
      <c r="K1186" s="32" t="str">
        <f aca="false">INDEX('Curva ABC'!$K$8:$K$2847,MATCH(D1186,'Curva ABC'!$B$8:$B$2847,0))</f>
        <v>C</v>
      </c>
    </row>
    <row r="1187" customFormat="false" ht="15" hidden="false" customHeight="false" outlineLevel="0" collapsed="false">
      <c r="A1187" s="34" t="s">
        <v>5799</v>
      </c>
      <c r="B1187" s="34" t="str">
        <f aca="false">'Uso e Consumo'!A1187</f>
        <v>0335</v>
      </c>
      <c r="C1187" s="34" t="str">
        <f aca="false">'Uso e Consumo'!B1187</f>
        <v>UFV NORONHA VERDE - USO E CONSUMO</v>
      </c>
      <c r="D1187" s="33" t="n">
        <f aca="false">'Uso e Consumo'!C1187</f>
        <v>21821</v>
      </c>
      <c r="E1187" s="34" t="str">
        <f aca="false">'Uso e Consumo'!D1187</f>
        <v>24.11.0012</v>
      </c>
      <c r="F1187" s="34" t="str">
        <f aca="false">'Uso e Consumo'!E1187</f>
        <v>DESEMPENADEIRA DE MADEIRA 14,00CM X 24,00CM</v>
      </c>
      <c r="G1187" s="34" t="str">
        <f aca="false">'Uso e Consumo'!J1187</f>
        <v>UN</v>
      </c>
      <c r="H1187" s="49" t="n">
        <f aca="false">'Uso e Consumo'!F1187</f>
        <v>23</v>
      </c>
      <c r="I1187" s="35" t="n">
        <f aca="false">'Uso e Consumo'!G1187</f>
        <v>644</v>
      </c>
      <c r="J1187" s="34" t="str">
        <f aca="false">'Uso e Consumo'!M1187</f>
        <v>3.8.2.002 - Ferramentas manuais</v>
      </c>
      <c r="K1187" s="32" t="str">
        <f aca="false">INDEX('Curva ABC'!$K$8:$K$2847,MATCH(D1187,'Curva ABC'!$B$8:$B$2847,0))</f>
        <v>C</v>
      </c>
    </row>
    <row r="1188" customFormat="false" ht="15" hidden="false" customHeight="false" outlineLevel="0" collapsed="false">
      <c r="A1188" s="34" t="s">
        <v>5799</v>
      </c>
      <c r="B1188" s="34" t="str">
        <f aca="false">'Uso e Consumo'!A1188</f>
        <v>0335</v>
      </c>
      <c r="C1188" s="34" t="str">
        <f aca="false">'Uso e Consumo'!B1188</f>
        <v>UFV NORONHA VERDE - USO E CONSUMO</v>
      </c>
      <c r="D1188" s="33" t="n">
        <f aca="false">'Uso e Consumo'!C1188</f>
        <v>1386843</v>
      </c>
      <c r="E1188" s="34" t="str">
        <f aca="false">'Uso e Consumo'!D1188</f>
        <v>17.22.0136</v>
      </c>
      <c r="F1188" s="34" t="str">
        <f aca="false">'Uso e Consumo'!E1188</f>
        <v>CINTA POSTE CIRCULAR Ø430 5000DAN</v>
      </c>
      <c r="G1188" s="34" t="str">
        <f aca="false">'Uso e Consumo'!J1188</f>
        <v>UN</v>
      </c>
      <c r="H1188" s="49" t="n">
        <f aca="false">'Uso e Consumo'!F1188</f>
        <v>4</v>
      </c>
      <c r="I1188" s="35" t="n">
        <f aca="false">'Uso e Consumo'!G1188</f>
        <v>643.88</v>
      </c>
      <c r="J1188" s="34" t="str">
        <f aca="false">'Uso e Consumo'!M1188</f>
        <v>3.8.1.022 - Elementos de fixação</v>
      </c>
      <c r="K1188" s="32" t="str">
        <f aca="false">INDEX('Curva ABC'!$K$8:$K$2847,MATCH(D1188,'Curva ABC'!$B$8:$B$2847,0))</f>
        <v>C</v>
      </c>
    </row>
    <row r="1189" customFormat="false" ht="15" hidden="false" customHeight="false" outlineLevel="0" collapsed="false">
      <c r="A1189" s="34" t="s">
        <v>5799</v>
      </c>
      <c r="B1189" s="34" t="str">
        <f aca="false">'Uso e Consumo'!A1189</f>
        <v>0335</v>
      </c>
      <c r="C1189" s="34" t="str">
        <f aca="false">'Uso e Consumo'!B1189</f>
        <v>UFV NORONHA VERDE - USO E CONSUMO</v>
      </c>
      <c r="D1189" s="33" t="n">
        <f aca="false">'Uso e Consumo'!C1189</f>
        <v>1383640</v>
      </c>
      <c r="E1189" s="34" t="str">
        <f aca="false">'Uso e Consumo'!D1189</f>
        <v>17.02.0857</v>
      </c>
      <c r="F1189" s="34" t="str">
        <f aca="false">'Uso e Consumo'!E1189</f>
        <v>ELETRODUTO DE AÇO CARBONO GALVANIZADO A FOGO, DN 25 MM (1" BSP), TIPO PESADO, COM ROSCA, BARRA DE 3,00 M</v>
      </c>
      <c r="G1189" s="34" t="str">
        <f aca="false">'Uso e Consumo'!J1189</f>
        <v>UN</v>
      </c>
      <c r="H1189" s="49" t="n">
        <f aca="false">'Uso e Consumo'!F1189</f>
        <v>5</v>
      </c>
      <c r="I1189" s="35" t="n">
        <f aca="false">'Uso e Consumo'!G1189</f>
        <v>643.5</v>
      </c>
      <c r="J1189" s="34" t="str">
        <f aca="false">'Uso e Consumo'!M1189</f>
        <v>3.8.1.017 - Instalações elétricas/telefônicas/lógica</v>
      </c>
      <c r="K1189" s="32" t="str">
        <f aca="false">INDEX('Curva ABC'!$K$8:$K$2847,MATCH(D1189,'Curva ABC'!$B$8:$B$2847,0))</f>
        <v>C</v>
      </c>
    </row>
    <row r="1190" customFormat="false" ht="15" hidden="false" customHeight="false" outlineLevel="0" collapsed="false">
      <c r="A1190" s="34" t="s">
        <v>5799</v>
      </c>
      <c r="B1190" s="34" t="str">
        <f aca="false">'Uso e Consumo'!A1190</f>
        <v>0335</v>
      </c>
      <c r="C1190" s="34" t="str">
        <f aca="false">'Uso e Consumo'!B1190</f>
        <v>UFV NORONHA VERDE - USO E CONSUMO</v>
      </c>
      <c r="D1190" s="33" t="n">
        <f aca="false">'Uso e Consumo'!C1190</f>
        <v>1464212</v>
      </c>
      <c r="E1190" s="34" t="str">
        <f aca="false">'Uso e Consumo'!D1190</f>
        <v>10.01.0101</v>
      </c>
      <c r="F1190" s="34" t="str">
        <f aca="false">'Uso e Consumo'!E1190</f>
        <v>PISO CERÂMICO CINZA 0,60MX0,60M PEI5</v>
      </c>
      <c r="G1190" s="34" t="str">
        <f aca="false">'Uso e Consumo'!J1190</f>
        <v>M2</v>
      </c>
      <c r="H1190" s="49" t="n">
        <f aca="false">'Uso e Consumo'!F1190</f>
        <v>7.843</v>
      </c>
      <c r="I1190" s="35" t="n">
        <f aca="false">'Uso e Consumo'!G1190</f>
        <v>642.84</v>
      </c>
      <c r="J1190" s="34" t="str">
        <f aca="false">'Uso e Consumo'!M1190</f>
        <v>3.8.1.010 - Revestimentos e pisos</v>
      </c>
      <c r="K1190" s="32" t="str">
        <f aca="false">INDEX('Curva ABC'!$K$8:$K$2847,MATCH(D1190,'Curva ABC'!$B$8:$B$2847,0))</f>
        <v>C</v>
      </c>
    </row>
    <row r="1191" customFormat="false" ht="15" hidden="false" customHeight="false" outlineLevel="0" collapsed="false">
      <c r="A1191" s="34" t="s">
        <v>5799</v>
      </c>
      <c r="B1191" s="34" t="str">
        <f aca="false">'Uso e Consumo'!A1191</f>
        <v>0335</v>
      </c>
      <c r="C1191" s="34" t="str">
        <f aca="false">'Uso e Consumo'!B1191</f>
        <v>UFV NORONHA VERDE - USO E CONSUMO</v>
      </c>
      <c r="D1191" s="33" t="n">
        <f aca="false">'Uso e Consumo'!C1191</f>
        <v>1656587</v>
      </c>
      <c r="E1191" s="34" t="str">
        <f aca="false">'Uso e Consumo'!D1191</f>
        <v>28.01.0752</v>
      </c>
      <c r="F1191" s="34" t="str">
        <f aca="false">'Uso e Consumo'!E1191</f>
        <v>PLACA INDICATIVA ROTA DE SAIDA DIREITA EM ACO GALVANIZADO FOTOLUMINESCENTE 358X358MM</v>
      </c>
      <c r="G1191" s="34" t="str">
        <f aca="false">'Uso e Consumo'!J1191</f>
        <v>UN</v>
      </c>
      <c r="H1191" s="49" t="n">
        <f aca="false">'Uso e Consumo'!F1191</f>
        <v>6</v>
      </c>
      <c r="I1191" s="35" t="n">
        <f aca="false">'Uso e Consumo'!G1191</f>
        <v>642.06</v>
      </c>
      <c r="J1191" s="34" t="str">
        <f aca="false">'Uso e Consumo'!M1191</f>
        <v>3.8.1.023 - Comunicação visual e sinalização</v>
      </c>
      <c r="K1191" s="32" t="str">
        <f aca="false">INDEX('Curva ABC'!$K$8:$K$2847,MATCH(D1191,'Curva ABC'!$B$8:$B$2847,0))</f>
        <v>C</v>
      </c>
    </row>
    <row r="1192" customFormat="false" ht="15" hidden="false" customHeight="false" outlineLevel="0" collapsed="false">
      <c r="A1192" s="34" t="s">
        <v>5799</v>
      </c>
      <c r="B1192" s="34" t="str">
        <f aca="false">'Uso e Consumo'!A1192</f>
        <v>0335</v>
      </c>
      <c r="C1192" s="34" t="str">
        <f aca="false">'Uso e Consumo'!B1192</f>
        <v>UFV NORONHA VERDE - USO E CONSUMO</v>
      </c>
      <c r="D1192" s="33" t="n">
        <f aca="false">'Uso e Consumo'!C1192</f>
        <v>1096007</v>
      </c>
      <c r="E1192" s="34" t="str">
        <f aca="false">'Uso e Consumo'!D1192</f>
        <v>01.04.0007</v>
      </c>
      <c r="F1192" s="34" t="str">
        <f aca="false">'Uso e Consumo'!E1192</f>
        <v>ARAME RECOZIDO TORCIDO BWG N°18</v>
      </c>
      <c r="G1192" s="34" t="str">
        <f aca="false">'Uso e Consumo'!J1192</f>
        <v>KG</v>
      </c>
      <c r="H1192" s="49" t="n">
        <f aca="false">'Uso e Consumo'!F1192</f>
        <v>30</v>
      </c>
      <c r="I1192" s="35" t="n">
        <f aca="false">'Uso e Consumo'!G1192</f>
        <v>637.2</v>
      </c>
      <c r="J1192" s="34" t="str">
        <f aca="false">'Uso e Consumo'!M1192</f>
        <v>3.8.1.001 - Aços e trefilados</v>
      </c>
      <c r="K1192" s="32" t="str">
        <f aca="false">INDEX('Curva ABC'!$K$8:$K$2847,MATCH(D1192,'Curva ABC'!$B$8:$B$2847,0))</f>
        <v>C</v>
      </c>
    </row>
    <row r="1193" customFormat="false" ht="15" hidden="false" customHeight="false" outlineLevel="0" collapsed="false">
      <c r="A1193" s="34" t="s">
        <v>5799</v>
      </c>
      <c r="B1193" s="34" t="str">
        <f aca="false">'Uso e Consumo'!A1193</f>
        <v>0335</v>
      </c>
      <c r="C1193" s="34" t="str">
        <f aca="false">'Uso e Consumo'!B1193</f>
        <v>UFV NORONHA VERDE - USO E CONSUMO</v>
      </c>
      <c r="D1193" s="33" t="n">
        <f aca="false">'Uso e Consumo'!C1193</f>
        <v>1462975</v>
      </c>
      <c r="E1193" s="34" t="str">
        <f aca="false">'Uso e Consumo'!D1193</f>
        <v>19.08.0100</v>
      </c>
      <c r="F1193" s="34" t="str">
        <f aca="false">'Uso e Consumo'!E1193</f>
        <v>TORNEIRA BÓIA PARA CAIXA D'ÁGUA DN 1" - PVC BALÃO E HASTE LATÃO NBR 10283</v>
      </c>
      <c r="G1193" s="34" t="str">
        <f aca="false">'Uso e Consumo'!J1193</f>
        <v>UN</v>
      </c>
      <c r="H1193" s="49" t="n">
        <f aca="false">'Uso e Consumo'!F1193</f>
        <v>3</v>
      </c>
      <c r="I1193" s="35" t="n">
        <f aca="false">'Uso e Consumo'!G1193</f>
        <v>636</v>
      </c>
      <c r="J1193" s="34" t="str">
        <f aca="false">'Uso e Consumo'!M1193</f>
        <v>3.8.1.018 - Instalações hidráulicas/sanitárias/industriais</v>
      </c>
      <c r="K1193" s="32" t="str">
        <f aca="false">INDEX('Curva ABC'!$K$8:$K$2847,MATCH(D1193,'Curva ABC'!$B$8:$B$2847,0))</f>
        <v>C</v>
      </c>
    </row>
    <row r="1194" customFormat="false" ht="15" hidden="false" customHeight="false" outlineLevel="0" collapsed="false">
      <c r="A1194" s="34" t="s">
        <v>5799</v>
      </c>
      <c r="B1194" s="34" t="str">
        <f aca="false">'Uso e Consumo'!A1194</f>
        <v>0335</v>
      </c>
      <c r="C1194" s="34" t="str">
        <f aca="false">'Uso e Consumo'!B1194</f>
        <v>UFV NORONHA VERDE - USO E CONSUMO</v>
      </c>
      <c r="D1194" s="33" t="n">
        <f aca="false">'Uso e Consumo'!C1194</f>
        <v>1465210</v>
      </c>
      <c r="E1194" s="34" t="str">
        <f aca="false">'Uso e Consumo'!D1194</f>
        <v>01.11.0318</v>
      </c>
      <c r="F1194" s="34" t="str">
        <f aca="false">'Uso e Consumo'!E1194</f>
        <v>CHAPA 3/8" x 3" x 360 MM GALVANIZADO A FOGO</v>
      </c>
      <c r="G1194" s="34" t="str">
        <f aca="false">'Uso e Consumo'!J1194</f>
        <v>UN</v>
      </c>
      <c r="H1194" s="49" t="n">
        <f aca="false">'Uso e Consumo'!F1194</f>
        <v>4</v>
      </c>
      <c r="I1194" s="35" t="n">
        <f aca="false">'Uso e Consumo'!G1194</f>
        <v>634.94</v>
      </c>
      <c r="J1194" s="34" t="str">
        <f aca="false">'Uso e Consumo'!M1194</f>
        <v>3.8.1.001 - Aços e trefilados</v>
      </c>
      <c r="K1194" s="32" t="str">
        <f aca="false">INDEX('Curva ABC'!$K$8:$K$2847,MATCH(D1194,'Curva ABC'!$B$8:$B$2847,0))</f>
        <v>C</v>
      </c>
    </row>
    <row r="1195" customFormat="false" ht="15" hidden="false" customHeight="false" outlineLevel="0" collapsed="false">
      <c r="A1195" s="34" t="s">
        <v>5799</v>
      </c>
      <c r="B1195" s="34" t="str">
        <f aca="false">'Uso e Consumo'!A1195</f>
        <v>0335</v>
      </c>
      <c r="C1195" s="34" t="str">
        <f aca="false">'Uso e Consumo'!B1195</f>
        <v>UFV NORONHA VERDE - USO E CONSUMO</v>
      </c>
      <c r="D1195" s="33" t="n">
        <f aca="false">'Uso e Consumo'!C1195</f>
        <v>1387757</v>
      </c>
      <c r="E1195" s="34" t="str">
        <f aca="false">'Uso e Consumo'!D1195</f>
        <v>17.16.3825</v>
      </c>
      <c r="F1195" s="34" t="str">
        <f aca="false">'Uso e Consumo'!E1195</f>
        <v>EMENDA TOTAL A COMPRESSÃO PARA CABO DE COBRE NU - 120 MM²</v>
      </c>
      <c r="G1195" s="34" t="str">
        <f aca="false">'Uso e Consumo'!J1195</f>
        <v>UN</v>
      </c>
      <c r="H1195" s="49" t="n">
        <f aca="false">'Uso e Consumo'!F1195</f>
        <v>10</v>
      </c>
      <c r="I1195" s="35" t="n">
        <f aca="false">'Uso e Consumo'!G1195</f>
        <v>634.5</v>
      </c>
      <c r="J1195" s="34" t="str">
        <f aca="false">'Uso e Consumo'!M1195</f>
        <v>3.8.1.017 - Instalações elétricas/telefônicas/lógica</v>
      </c>
      <c r="K1195" s="32" t="str">
        <f aca="false">INDEX('Curva ABC'!$K$8:$K$2847,MATCH(D1195,'Curva ABC'!$B$8:$B$2847,0))</f>
        <v>C</v>
      </c>
    </row>
    <row r="1196" customFormat="false" ht="15" hidden="false" customHeight="false" outlineLevel="0" collapsed="false">
      <c r="A1196" s="34" t="s">
        <v>5799</v>
      </c>
      <c r="B1196" s="34" t="str">
        <f aca="false">'Uso e Consumo'!A1196</f>
        <v>0335</v>
      </c>
      <c r="C1196" s="34" t="str">
        <f aca="false">'Uso e Consumo'!B1196</f>
        <v>UFV NORONHA VERDE - USO E CONSUMO</v>
      </c>
      <c r="D1196" s="33" t="n">
        <f aca="false">'Uso e Consumo'!C1196</f>
        <v>1385086</v>
      </c>
      <c r="E1196" s="34" t="str">
        <f aca="false">'Uso e Consumo'!D1196</f>
        <v>17.02.0873</v>
      </c>
      <c r="F1196" s="34" t="str">
        <f aca="false">'Uso e Consumo'!E1196</f>
        <v>PRENSA-CABO LIGA ALUMÍNIO, ALTA RESISTÊNCIA MECÂNICA E CORROSÃO, 1" BSP, FURO 13-14 MM</v>
      </c>
      <c r="G1196" s="34" t="str">
        <f aca="false">'Uso e Consumo'!J1196</f>
        <v>UN</v>
      </c>
      <c r="H1196" s="49" t="n">
        <f aca="false">'Uso e Consumo'!F1196</f>
        <v>16</v>
      </c>
      <c r="I1196" s="35" t="n">
        <f aca="false">'Uso e Consumo'!G1196</f>
        <v>634.4</v>
      </c>
      <c r="J1196" s="34" t="str">
        <f aca="false">'Uso e Consumo'!M1196</f>
        <v>3.8.1.017 - Instalações elétricas/telefônicas/lógica</v>
      </c>
      <c r="K1196" s="32" t="str">
        <f aca="false">INDEX('Curva ABC'!$K$8:$K$2847,MATCH(D1196,'Curva ABC'!$B$8:$B$2847,0))</f>
        <v>C</v>
      </c>
    </row>
    <row r="1197" customFormat="false" ht="15" hidden="false" customHeight="false" outlineLevel="0" collapsed="false">
      <c r="A1197" s="34" t="s">
        <v>5799</v>
      </c>
      <c r="B1197" s="34" t="str">
        <f aca="false">'Uso e Consumo'!A1197</f>
        <v>0335</v>
      </c>
      <c r="C1197" s="34" t="str">
        <f aca="false">'Uso e Consumo'!B1197</f>
        <v>UFV NORONHA VERDE - USO E CONSUMO</v>
      </c>
      <c r="D1197" s="33" t="n">
        <f aca="false">'Uso e Consumo'!C1197</f>
        <v>937214</v>
      </c>
      <c r="E1197" s="34" t="str">
        <f aca="false">'Uso e Consumo'!D1197</f>
        <v>17.16.0524</v>
      </c>
      <c r="F1197" s="34" t="str">
        <f aca="false">'Uso e Consumo'!E1197</f>
        <v>TERMINAL OLHAL A COMPRESSÃO 120MM²</v>
      </c>
      <c r="G1197" s="34" t="str">
        <f aca="false">'Uso e Consumo'!J1197</f>
        <v>UN</v>
      </c>
      <c r="H1197" s="49" t="n">
        <f aca="false">'Uso e Consumo'!F1197</f>
        <v>50</v>
      </c>
      <c r="I1197" s="35" t="n">
        <f aca="false">'Uso e Consumo'!G1197</f>
        <v>632.5</v>
      </c>
      <c r="J1197" s="34" t="str">
        <f aca="false">'Uso e Consumo'!M1197</f>
        <v>3.8.1.017 - Instalações elétricas/telefônicas/lógica</v>
      </c>
      <c r="K1197" s="32" t="str">
        <f aca="false">INDEX('Curva ABC'!$K$8:$K$2847,MATCH(D1197,'Curva ABC'!$B$8:$B$2847,0))</f>
        <v>C</v>
      </c>
    </row>
    <row r="1198" customFormat="false" ht="15" hidden="false" customHeight="false" outlineLevel="0" collapsed="false">
      <c r="A1198" s="34" t="s">
        <v>5799</v>
      </c>
      <c r="B1198" s="34" t="str">
        <f aca="false">'Uso e Consumo'!A1198</f>
        <v>0335</v>
      </c>
      <c r="C1198" s="34" t="str">
        <f aca="false">'Uso e Consumo'!B1198</f>
        <v>UFV NORONHA VERDE - USO E CONSUMO</v>
      </c>
      <c r="D1198" s="33" t="n">
        <f aca="false">'Uso e Consumo'!C1198</f>
        <v>1380123</v>
      </c>
      <c r="E1198" s="34" t="str">
        <f aca="false">'Uso e Consumo'!D1198</f>
        <v>17.20.0681</v>
      </c>
      <c r="F1198" s="34" t="str">
        <f aca="false">'Uso e Consumo'!E1198</f>
        <v>MINI CAPTOR EM LATÃO REDONDO COM CONECTOR E FIXAÇÃO HORIZONTAL (H = 250MM) DN: 10MM</v>
      </c>
      <c r="G1198" s="34" t="str">
        <f aca="false">'Uso e Consumo'!J1198</f>
        <v>UN</v>
      </c>
      <c r="H1198" s="49" t="n">
        <f aca="false">'Uso e Consumo'!F1198</f>
        <v>4</v>
      </c>
      <c r="I1198" s="35" t="n">
        <f aca="false">'Uso e Consumo'!G1198</f>
        <v>632</v>
      </c>
      <c r="J1198" s="34" t="str">
        <f aca="false">'Uso e Consumo'!M1198</f>
        <v>3.8.1.017 - Instalações elétricas/telefônicas/lógica</v>
      </c>
      <c r="K1198" s="32" t="str">
        <f aca="false">INDEX('Curva ABC'!$K$8:$K$2847,MATCH(D1198,'Curva ABC'!$B$8:$B$2847,0))</f>
        <v>C</v>
      </c>
    </row>
    <row r="1199" customFormat="false" ht="15" hidden="false" customHeight="false" outlineLevel="0" collapsed="false">
      <c r="A1199" s="34" t="s">
        <v>5799</v>
      </c>
      <c r="B1199" s="34" t="str">
        <f aca="false">'Uso e Consumo'!A1199</f>
        <v>0335</v>
      </c>
      <c r="C1199" s="34" t="str">
        <f aca="false">'Uso e Consumo'!B1199</f>
        <v>UFV NORONHA VERDE - USO E CONSUMO</v>
      </c>
      <c r="D1199" s="33" t="n">
        <f aca="false">'Uso e Consumo'!C1199</f>
        <v>835066</v>
      </c>
      <c r="E1199" s="34" t="str">
        <f aca="false">'Uso e Consumo'!D1199</f>
        <v>16.02.0045</v>
      </c>
      <c r="F1199" s="34" t="str">
        <f aca="false">'Uso e Consumo'!E1199</f>
        <v>MASSA CORRIDA 25KG</v>
      </c>
      <c r="G1199" s="34" t="str">
        <f aca="false">'Uso e Consumo'!J1199</f>
        <v>UN</v>
      </c>
      <c r="H1199" s="49" t="n">
        <f aca="false">'Uso e Consumo'!F1199</f>
        <v>9</v>
      </c>
      <c r="I1199" s="35" t="n">
        <f aca="false">'Uso e Consumo'!G1199</f>
        <v>629.1</v>
      </c>
      <c r="J1199" s="34" t="str">
        <f aca="false">'Uso e Consumo'!M1199</f>
        <v>3.8.1.016 - Pinturas</v>
      </c>
      <c r="K1199" s="32" t="str">
        <f aca="false">INDEX('Curva ABC'!$K$8:$K$2847,MATCH(D1199,'Curva ABC'!$B$8:$B$2847,0))</f>
        <v>C</v>
      </c>
    </row>
    <row r="1200" customFormat="false" ht="15" hidden="false" customHeight="false" outlineLevel="0" collapsed="false">
      <c r="A1200" s="34" t="s">
        <v>5799</v>
      </c>
      <c r="B1200" s="34" t="str">
        <f aca="false">'Uso e Consumo'!A1200</f>
        <v>0335</v>
      </c>
      <c r="C1200" s="34" t="str">
        <f aca="false">'Uso e Consumo'!B1200</f>
        <v>UFV NORONHA VERDE - USO E CONSUMO</v>
      </c>
      <c r="D1200" s="33" t="n">
        <f aca="false">'Uso e Consumo'!C1200</f>
        <v>142355</v>
      </c>
      <c r="E1200" s="34" t="str">
        <f aca="false">'Uso e Consumo'!D1200</f>
        <v>01.09.0175</v>
      </c>
      <c r="F1200" s="34" t="str">
        <f aca="false">'Uso e Consumo'!E1200</f>
        <v>CANTONEIRA "L" ABAS IGUAIS AÇO CARBONO ASTM A-36 1.1/2" X 1/4" - 38,10MM X 6,35MM (2,68 KG/M) C/ 6,00M</v>
      </c>
      <c r="G1200" s="34" t="str">
        <f aca="false">'Uso e Consumo'!J1200</f>
        <v>PÇ6M</v>
      </c>
      <c r="H1200" s="49" t="n">
        <f aca="false">'Uso e Consumo'!F1200</f>
        <v>90</v>
      </c>
      <c r="I1200" s="35" t="n">
        <f aca="false">'Uso e Consumo'!G1200</f>
        <v>628.2</v>
      </c>
      <c r="J1200" s="34" t="str">
        <f aca="false">'Uso e Consumo'!M1200</f>
        <v>3.8.1.001 - Aços e trefilados</v>
      </c>
      <c r="K1200" s="32" t="str">
        <f aca="false">INDEX('Curva ABC'!$K$8:$K$2847,MATCH(D1200,'Curva ABC'!$B$8:$B$2847,0))</f>
        <v>C</v>
      </c>
    </row>
    <row r="1201" customFormat="false" ht="15" hidden="false" customHeight="false" outlineLevel="0" collapsed="false">
      <c r="A1201" s="34" t="s">
        <v>5799</v>
      </c>
      <c r="B1201" s="34" t="str">
        <f aca="false">'Uso e Consumo'!A1201</f>
        <v>0335</v>
      </c>
      <c r="C1201" s="34" t="str">
        <f aca="false">'Uso e Consumo'!B1201</f>
        <v>UFV NORONHA VERDE - USO E CONSUMO</v>
      </c>
      <c r="D1201" s="33" t="n">
        <f aca="false">'Uso e Consumo'!C1201</f>
        <v>18850</v>
      </c>
      <c r="E1201" s="34" t="str">
        <f aca="false">'Uso e Consumo'!D1201</f>
        <v>26.03.0010</v>
      </c>
      <c r="F1201" s="34" t="str">
        <f aca="false">'Uso e Consumo'!E1201</f>
        <v>JUGULAR PVC PARA CAPACETE </v>
      </c>
      <c r="G1201" s="34" t="str">
        <f aca="false">'Uso e Consumo'!J1201</f>
        <v>UN</v>
      </c>
      <c r="H1201" s="49" t="n">
        <f aca="false">'Uso e Consumo'!F1201</f>
        <v>300</v>
      </c>
      <c r="I1201" s="35" t="n">
        <f aca="false">'Uso e Consumo'!G1201</f>
        <v>627.4</v>
      </c>
      <c r="J1201" s="34" t="str">
        <f aca="false">'Uso e Consumo'!M1201</f>
        <v>4.3.4.001 - Equipamento de proteção individual</v>
      </c>
      <c r="K1201" s="32" t="str">
        <f aca="false">INDEX('Curva ABC'!$K$8:$K$2847,MATCH(D1201,'Curva ABC'!$B$8:$B$2847,0))</f>
        <v>C</v>
      </c>
    </row>
    <row r="1202" customFormat="false" ht="15" hidden="false" customHeight="false" outlineLevel="0" collapsed="false">
      <c r="A1202" s="34" t="s">
        <v>5799</v>
      </c>
      <c r="B1202" s="34" t="str">
        <f aca="false">'Uso e Consumo'!A1202</f>
        <v>0335</v>
      </c>
      <c r="C1202" s="34" t="str">
        <f aca="false">'Uso e Consumo'!B1202</f>
        <v>UFV NORONHA VERDE - USO E CONSUMO</v>
      </c>
      <c r="D1202" s="33" t="n">
        <f aca="false">'Uso e Consumo'!C1202</f>
        <v>141723</v>
      </c>
      <c r="E1202" s="34" t="str">
        <f aca="false">'Uso e Consumo'!D1202</f>
        <v>30.01.0557</v>
      </c>
      <c r="F1202" s="34" t="str">
        <f aca="false">'Uso e Consumo'!E1202</f>
        <v>POLASEAL A3 COM 100 UND</v>
      </c>
      <c r="G1202" s="34" t="str">
        <f aca="false">'Uso e Consumo'!J1202</f>
        <v>PCT</v>
      </c>
      <c r="H1202" s="49" t="n">
        <f aca="false">'Uso e Consumo'!F1202</f>
        <v>4</v>
      </c>
      <c r="I1202" s="35" t="n">
        <f aca="false">'Uso e Consumo'!G1202</f>
        <v>627</v>
      </c>
      <c r="J1202" s="34" t="str">
        <f aca="false">'Uso e Consumo'!M1202</f>
        <v>4.1.1.002 - Material expediente</v>
      </c>
      <c r="K1202" s="32" t="str">
        <f aca="false">INDEX('Curva ABC'!$K$8:$K$2847,MATCH(D1202,'Curva ABC'!$B$8:$B$2847,0))</f>
        <v>C</v>
      </c>
    </row>
    <row r="1203" customFormat="false" ht="15" hidden="false" customHeight="false" outlineLevel="0" collapsed="false">
      <c r="A1203" s="34" t="s">
        <v>5799</v>
      </c>
      <c r="B1203" s="34" t="str">
        <f aca="false">'Uso e Consumo'!A1203</f>
        <v>0335</v>
      </c>
      <c r="C1203" s="34" t="str">
        <f aca="false">'Uso e Consumo'!B1203</f>
        <v>UFV NORONHA VERDE - USO E CONSUMO</v>
      </c>
      <c r="D1203" s="33" t="n">
        <f aca="false">'Uso e Consumo'!C1203</f>
        <v>1654526</v>
      </c>
      <c r="E1203" s="34" t="str">
        <f aca="false">'Uso e Consumo'!D1203</f>
        <v>28.01.0742</v>
      </c>
      <c r="F1203" s="34" t="str">
        <f aca="false">'Uso e Consumo'!E1203</f>
        <v>PLACA TIPO A2 ALERTA CUIDADO RISCO DE INCENDIO - 272 MM - ACO GALVANIZADO, PINTURA ELETROSTATICA</v>
      </c>
      <c r="G1203" s="34" t="str">
        <f aca="false">'Uso e Consumo'!J1203</f>
        <v>UN</v>
      </c>
      <c r="H1203" s="49" t="n">
        <f aca="false">'Uso e Consumo'!F1203</f>
        <v>10</v>
      </c>
      <c r="I1203" s="35" t="n">
        <f aca="false">'Uso e Consumo'!G1203</f>
        <v>626.85</v>
      </c>
      <c r="J1203" s="34" t="str">
        <f aca="false">'Uso e Consumo'!M1203</f>
        <v>3.8.1.023 - Comunicação visual e sinalização</v>
      </c>
      <c r="K1203" s="32" t="str">
        <f aca="false">INDEX('Curva ABC'!$K$8:$K$2847,MATCH(D1203,'Curva ABC'!$B$8:$B$2847,0))</f>
        <v>C</v>
      </c>
    </row>
    <row r="1204" customFormat="false" ht="15" hidden="false" customHeight="false" outlineLevel="0" collapsed="false">
      <c r="A1204" s="34" t="s">
        <v>5799</v>
      </c>
      <c r="B1204" s="34" t="str">
        <f aca="false">'Uso e Consumo'!A1204</f>
        <v>0335</v>
      </c>
      <c r="C1204" s="34" t="str">
        <f aca="false">'Uso e Consumo'!B1204</f>
        <v>UFV NORONHA VERDE - USO E CONSUMO</v>
      </c>
      <c r="D1204" s="33" t="n">
        <f aca="false">'Uso e Consumo'!C1204</f>
        <v>1608986</v>
      </c>
      <c r="E1204" s="34" t="str">
        <f aca="false">'Uso e Consumo'!D1204</f>
        <v>24.25.0034</v>
      </c>
      <c r="F1204" s="34" t="str">
        <f aca="false">'Uso e Consumo'!E1204</f>
        <v>SERRA COPO BIMETAL 83MM  3.1/4"</v>
      </c>
      <c r="G1204" s="34" t="str">
        <f aca="false">'Uso e Consumo'!J1204</f>
        <v>UN</v>
      </c>
      <c r="H1204" s="49" t="n">
        <f aca="false">'Uso e Consumo'!F1204</f>
        <v>5</v>
      </c>
      <c r="I1204" s="35" t="n">
        <f aca="false">'Uso e Consumo'!G1204</f>
        <v>625</v>
      </c>
      <c r="J1204" s="34" t="str">
        <f aca="false">'Uso e Consumo'!M1204</f>
        <v>3.8.2.003 - Ferramentas elétricas/pneumáticas</v>
      </c>
      <c r="K1204" s="32" t="str">
        <f aca="false">INDEX('Curva ABC'!$K$8:$K$2847,MATCH(D1204,'Curva ABC'!$B$8:$B$2847,0))</f>
        <v>C</v>
      </c>
    </row>
    <row r="1205" customFormat="false" ht="15" hidden="false" customHeight="false" outlineLevel="0" collapsed="false">
      <c r="A1205" s="34" t="s">
        <v>5799</v>
      </c>
      <c r="B1205" s="34" t="str">
        <f aca="false">'Uso e Consumo'!A1205</f>
        <v>0335</v>
      </c>
      <c r="C1205" s="34" t="str">
        <f aca="false">'Uso e Consumo'!B1205</f>
        <v>UFV NORONHA VERDE - USO E CONSUMO</v>
      </c>
      <c r="D1205" s="33" t="n">
        <f aca="false">'Uso e Consumo'!C1205</f>
        <v>12569</v>
      </c>
      <c r="E1205" s="34" t="str">
        <f aca="false">'Uso e Consumo'!D1205</f>
        <v>17.02.0069</v>
      </c>
      <c r="F1205" s="34" t="str">
        <f aca="false">'Uso e Consumo'!E1205</f>
        <v>BUCHA REDUCAO ELETRODUTO 2" X 1" ALUMÍNIO LISO BSP 11 FIOS</v>
      </c>
      <c r="G1205" s="34" t="str">
        <f aca="false">'Uso e Consumo'!J1205</f>
        <v>UN</v>
      </c>
      <c r="H1205" s="49" t="n">
        <f aca="false">'Uso e Consumo'!F1205</f>
        <v>3</v>
      </c>
      <c r="I1205" s="35" t="n">
        <f aca="false">'Uso e Consumo'!G1205</f>
        <v>624</v>
      </c>
      <c r="J1205" s="34" t="str">
        <f aca="false">'Uso e Consumo'!M1205</f>
        <v>3.8.1.017 - Instalações elétricas/telefônicas/lógica</v>
      </c>
      <c r="K1205" s="32" t="str">
        <f aca="false">INDEX('Curva ABC'!$K$8:$K$2847,MATCH(D1205,'Curva ABC'!$B$8:$B$2847,0))</f>
        <v>C</v>
      </c>
    </row>
    <row r="1206" customFormat="false" ht="15" hidden="false" customHeight="false" outlineLevel="0" collapsed="false">
      <c r="A1206" s="34" t="s">
        <v>5799</v>
      </c>
      <c r="B1206" s="34" t="str">
        <f aca="false">'Uso e Consumo'!A1206</f>
        <v>0335</v>
      </c>
      <c r="C1206" s="34" t="str">
        <f aca="false">'Uso e Consumo'!B1206</f>
        <v>UFV NORONHA VERDE - USO E CONSUMO</v>
      </c>
      <c r="D1206" s="33" t="n">
        <f aca="false">'Uso e Consumo'!C1206</f>
        <v>34287</v>
      </c>
      <c r="E1206" s="34" t="str">
        <f aca="false">'Uso e Consumo'!D1206</f>
        <v>26.01.0009</v>
      </c>
      <c r="F1206" s="34" t="str">
        <f aca="false">'Uso e Consumo'!E1206</f>
        <v>MACACÃO TIPO JARDINEIRA TAM. GG C/ BOTA IMPERMEABILIZANTE Nº42</v>
      </c>
      <c r="G1206" s="34" t="str">
        <f aca="false">'Uso e Consumo'!J1206</f>
        <v>UN</v>
      </c>
      <c r="H1206" s="49" t="n">
        <f aca="false">'Uso e Consumo'!F1206</f>
        <v>4</v>
      </c>
      <c r="I1206" s="35" t="n">
        <f aca="false">'Uso e Consumo'!G1206</f>
        <v>624</v>
      </c>
      <c r="J1206" s="34" t="str">
        <f aca="false">'Uso e Consumo'!M1206</f>
        <v>4.3.4.001 - Equipamento de proteção individual</v>
      </c>
      <c r="K1206" s="32" t="str">
        <f aca="false">INDEX('Curva ABC'!$K$8:$K$2847,MATCH(D1206,'Curva ABC'!$B$8:$B$2847,0))</f>
        <v>C</v>
      </c>
    </row>
    <row r="1207" customFormat="false" ht="15" hidden="false" customHeight="false" outlineLevel="0" collapsed="false">
      <c r="A1207" s="34" t="s">
        <v>5799</v>
      </c>
      <c r="B1207" s="34" t="str">
        <f aca="false">'Uso e Consumo'!A1207</f>
        <v>0335</v>
      </c>
      <c r="C1207" s="34" t="str">
        <f aca="false">'Uso e Consumo'!B1207</f>
        <v>UFV NORONHA VERDE - USO E CONSUMO</v>
      </c>
      <c r="D1207" s="33" t="n">
        <f aca="false">'Uso e Consumo'!C1207</f>
        <v>942236</v>
      </c>
      <c r="E1207" s="34" t="str">
        <f aca="false">'Uso e Consumo'!D1207</f>
        <v>17.01.1101</v>
      </c>
      <c r="F1207" s="34" t="str">
        <f aca="false">'Uso e Consumo'!E1207</f>
        <v>CABO 2,5MM² 750V PVC PRETO UNIPOLAR</v>
      </c>
      <c r="G1207" s="34" t="str">
        <f aca="false">'Uso e Consumo'!J1207</f>
        <v>M</v>
      </c>
      <c r="H1207" s="49" t="n">
        <f aca="false">'Uso e Consumo'!F1207</f>
        <v>240</v>
      </c>
      <c r="I1207" s="35" t="n">
        <f aca="false">'Uso e Consumo'!G1207</f>
        <v>624</v>
      </c>
      <c r="J1207" s="34" t="str">
        <f aca="false">'Uso e Consumo'!M1207</f>
        <v>3.8.1.017 - Instalações elétricas/telefônicas/lógica</v>
      </c>
      <c r="K1207" s="32" t="str">
        <f aca="false">INDEX('Curva ABC'!$K$8:$K$2847,MATCH(D1207,'Curva ABC'!$B$8:$B$2847,0))</f>
        <v>C</v>
      </c>
    </row>
    <row r="1208" customFormat="false" ht="15" hidden="false" customHeight="false" outlineLevel="0" collapsed="false">
      <c r="A1208" s="34" t="s">
        <v>5799</v>
      </c>
      <c r="B1208" s="34" t="str">
        <f aca="false">'Uso e Consumo'!A1208</f>
        <v>0335</v>
      </c>
      <c r="C1208" s="34" t="str">
        <f aca="false">'Uso e Consumo'!B1208</f>
        <v>UFV NORONHA VERDE - USO E CONSUMO</v>
      </c>
      <c r="D1208" s="33" t="n">
        <f aca="false">'Uso e Consumo'!C1208</f>
        <v>1384961</v>
      </c>
      <c r="E1208" s="34" t="str">
        <f aca="false">'Uso e Consumo'!D1208</f>
        <v>17.01.1212</v>
      </c>
      <c r="F1208" s="34" t="str">
        <f aca="false">'Uso e Consumo'!E1208</f>
        <v>CABO MONOPOLAR 16 MM², CONDUTOR EM COBRE ELETROLÍTICO NU, TÊMPERA MOLE, CLASSE 5, TENSÃO 0,6/1 KV, COR BRANCO</v>
      </c>
      <c r="G1208" s="34" t="str">
        <f aca="false">'Uso e Consumo'!J1208</f>
        <v>M</v>
      </c>
      <c r="H1208" s="49" t="n">
        <f aca="false">'Uso e Consumo'!F1208</f>
        <v>20</v>
      </c>
      <c r="I1208" s="35" t="n">
        <f aca="false">'Uso e Consumo'!G1208</f>
        <v>623.4</v>
      </c>
      <c r="J1208" s="34" t="str">
        <f aca="false">'Uso e Consumo'!M1208</f>
        <v>3.8.1.017 - Instalações elétricas/telefônicas/lógica</v>
      </c>
      <c r="K1208" s="32" t="str">
        <f aca="false">INDEX('Curva ABC'!$K$8:$K$2847,MATCH(D1208,'Curva ABC'!$B$8:$B$2847,0))</f>
        <v>C</v>
      </c>
    </row>
    <row r="1209" customFormat="false" ht="15" hidden="false" customHeight="false" outlineLevel="0" collapsed="false">
      <c r="A1209" s="34" t="s">
        <v>5799</v>
      </c>
      <c r="B1209" s="34" t="str">
        <f aca="false">'Uso e Consumo'!A1209</f>
        <v>0335</v>
      </c>
      <c r="C1209" s="34" t="str">
        <f aca="false">'Uso e Consumo'!B1209</f>
        <v>UFV NORONHA VERDE - USO E CONSUMO</v>
      </c>
      <c r="D1209" s="33" t="n">
        <f aca="false">'Uso e Consumo'!C1209</f>
        <v>1384962</v>
      </c>
      <c r="E1209" s="34" t="str">
        <f aca="false">'Uso e Consumo'!D1209</f>
        <v>17.01.1213</v>
      </c>
      <c r="F1209" s="34" t="str">
        <f aca="false">'Uso e Consumo'!E1209</f>
        <v>CABO MONOPOLAR 16 MM², CONDUTOR EM COBRE ELETROLÍTICO NU, TÊMPERA MOLE, CLASSE 5, TENSÃO 0,6/1 KV, COR VERMELHO</v>
      </c>
      <c r="G1209" s="34" t="str">
        <f aca="false">'Uso e Consumo'!J1209</f>
        <v>M</v>
      </c>
      <c r="H1209" s="49" t="n">
        <f aca="false">'Uso e Consumo'!F1209</f>
        <v>20</v>
      </c>
      <c r="I1209" s="35" t="n">
        <f aca="false">'Uso e Consumo'!G1209</f>
        <v>623.4</v>
      </c>
      <c r="J1209" s="34" t="str">
        <f aca="false">'Uso e Consumo'!M1209</f>
        <v>3.8.1.017 - Instalações elétricas/telefônicas/lógica</v>
      </c>
      <c r="K1209" s="32" t="str">
        <f aca="false">INDEX('Curva ABC'!$K$8:$K$2847,MATCH(D1209,'Curva ABC'!$B$8:$B$2847,0))</f>
        <v>C</v>
      </c>
    </row>
    <row r="1210" customFormat="false" ht="15" hidden="false" customHeight="false" outlineLevel="0" collapsed="false">
      <c r="A1210" s="34" t="s">
        <v>5799</v>
      </c>
      <c r="B1210" s="34" t="str">
        <f aca="false">'Uso e Consumo'!A1210</f>
        <v>0335</v>
      </c>
      <c r="C1210" s="34" t="str">
        <f aca="false">'Uso e Consumo'!B1210</f>
        <v>UFV NORONHA VERDE - USO E CONSUMO</v>
      </c>
      <c r="D1210" s="33" t="n">
        <f aca="false">'Uso e Consumo'!C1210</f>
        <v>22936</v>
      </c>
      <c r="E1210" s="34" t="str">
        <f aca="false">'Uso e Consumo'!D1210</f>
        <v>23.06.0081</v>
      </c>
      <c r="F1210" s="34" t="str">
        <f aca="false">'Uso e Consumo'!E1210</f>
        <v>PORCA SEXTAVADA SIMPLES M10</v>
      </c>
      <c r="G1210" s="34" t="str">
        <f aca="false">'Uso e Consumo'!J1210</f>
        <v>UN</v>
      </c>
      <c r="H1210" s="49" t="n">
        <f aca="false">'Uso e Consumo'!F1210</f>
        <v>1057</v>
      </c>
      <c r="I1210" s="35" t="n">
        <f aca="false">'Uso e Consumo'!G1210</f>
        <v>620.96</v>
      </c>
      <c r="J1210" s="34" t="str">
        <f aca="false">'Uso e Consumo'!M1210</f>
        <v>3.8.1.022 - Elementos de fixação</v>
      </c>
      <c r="K1210" s="32" t="str">
        <f aca="false">INDEX('Curva ABC'!$K$8:$K$2847,MATCH(D1210,'Curva ABC'!$B$8:$B$2847,0))</f>
        <v>C</v>
      </c>
    </row>
    <row r="1211" customFormat="false" ht="15" hidden="false" customHeight="false" outlineLevel="0" collapsed="false">
      <c r="A1211" s="34" t="s">
        <v>5799</v>
      </c>
      <c r="B1211" s="34" t="str">
        <f aca="false">'Uso e Consumo'!A1211</f>
        <v>0335</v>
      </c>
      <c r="C1211" s="34" t="str">
        <f aca="false">'Uso e Consumo'!B1211</f>
        <v>UFV NORONHA VERDE - USO E CONSUMO</v>
      </c>
      <c r="D1211" s="33" t="n">
        <f aca="false">'Uso e Consumo'!C1211</f>
        <v>1661835</v>
      </c>
      <c r="E1211" s="34" t="str">
        <f aca="false">'Uso e Consumo'!D1211</f>
        <v>01.10.0270</v>
      </c>
      <c r="F1211" s="34" t="str">
        <f aca="false">'Uso e Consumo'!E1211</f>
        <v>GRELHA METALICA PARA BOCA DE LOBO</v>
      </c>
      <c r="G1211" s="34" t="str">
        <f aca="false">'Uso e Consumo'!J1211</f>
        <v>UN</v>
      </c>
      <c r="H1211" s="49" t="n">
        <f aca="false">'Uso e Consumo'!F1211</f>
        <v>1</v>
      </c>
      <c r="I1211" s="35" t="n">
        <f aca="false">'Uso e Consumo'!G1211</f>
        <v>620</v>
      </c>
      <c r="J1211" s="34" t="str">
        <f aca="false">'Uso e Consumo'!M1211</f>
        <v>3.8.1.001 - Aços e trefilados</v>
      </c>
      <c r="K1211" s="32" t="str">
        <f aca="false">INDEX('Curva ABC'!$K$8:$K$2847,MATCH(D1211,'Curva ABC'!$B$8:$B$2847,0))</f>
        <v>C</v>
      </c>
    </row>
    <row r="1212" customFormat="false" ht="15" hidden="false" customHeight="false" outlineLevel="0" collapsed="false">
      <c r="A1212" s="34" t="s">
        <v>5799</v>
      </c>
      <c r="B1212" s="34" t="str">
        <f aca="false">'Uso e Consumo'!A1212</f>
        <v>0335</v>
      </c>
      <c r="C1212" s="34" t="str">
        <f aca="false">'Uso e Consumo'!B1212</f>
        <v>UFV NORONHA VERDE - USO E CONSUMO</v>
      </c>
      <c r="D1212" s="33" t="n">
        <f aca="false">'Uso e Consumo'!C1212</f>
        <v>1320996</v>
      </c>
      <c r="E1212" s="34" t="str">
        <f aca="false">'Uso e Consumo'!D1212</f>
        <v>17.12.0500</v>
      </c>
      <c r="F1212" s="34" t="str">
        <f aca="false">'Uso e Consumo'!E1212</f>
        <v>TOMADA SIMPLES EXTERNA 20A PARA CONDULETE PVC 1/2''</v>
      </c>
      <c r="G1212" s="34" t="str">
        <f aca="false">'Uso e Consumo'!J1212</f>
        <v>UN</v>
      </c>
      <c r="H1212" s="49" t="n">
        <f aca="false">'Uso e Consumo'!F1212</f>
        <v>85</v>
      </c>
      <c r="I1212" s="35" t="n">
        <f aca="false">'Uso e Consumo'!G1212</f>
        <v>616.25</v>
      </c>
      <c r="J1212" s="34" t="str">
        <f aca="false">'Uso e Consumo'!M1212</f>
        <v>3.8.1.017 - Instalações elétricas/telefônicas/lógica</v>
      </c>
      <c r="K1212" s="32" t="str">
        <f aca="false">INDEX('Curva ABC'!$K$8:$K$2847,MATCH(D1212,'Curva ABC'!$B$8:$B$2847,0))</f>
        <v>C</v>
      </c>
    </row>
    <row r="1213" customFormat="false" ht="15" hidden="false" customHeight="false" outlineLevel="0" collapsed="false">
      <c r="A1213" s="34" t="s">
        <v>5799</v>
      </c>
      <c r="B1213" s="34" t="str">
        <f aca="false">'Uso e Consumo'!A1213</f>
        <v>0335</v>
      </c>
      <c r="C1213" s="34" t="str">
        <f aca="false">'Uso e Consumo'!B1213</f>
        <v>UFV NORONHA VERDE - USO E CONSUMO</v>
      </c>
      <c r="D1213" s="33" t="n">
        <f aca="false">'Uso e Consumo'!C1213</f>
        <v>1329818</v>
      </c>
      <c r="E1213" s="34" t="str">
        <f aca="false">'Uso e Consumo'!D1213</f>
        <v>21.02.0013</v>
      </c>
      <c r="F1213" s="34" t="str">
        <f aca="false">'Uso e Consumo'!E1213</f>
        <v>BIORRETENTOR COM MALHA DE JUTA E FIBRA DE COCO COM DIÂMETRO DE 40cm</v>
      </c>
      <c r="G1213" s="34" t="str">
        <f aca="false">'Uso e Consumo'!J1213</f>
        <v>M</v>
      </c>
      <c r="H1213" s="49" t="n">
        <f aca="false">'Uso e Consumo'!F1213</f>
        <v>55.2</v>
      </c>
      <c r="I1213" s="35" t="n">
        <f aca="false">'Uso e Consumo'!G1213</f>
        <v>615</v>
      </c>
      <c r="J1213" s="34" t="str">
        <f aca="false">'Uso e Consumo'!M1213</f>
        <v>3.8.1.006 - Aditivos e produtos químicos</v>
      </c>
      <c r="K1213" s="32" t="str">
        <f aca="false">INDEX('Curva ABC'!$K$8:$K$2847,MATCH(D1213,'Curva ABC'!$B$8:$B$2847,0))</f>
        <v>C</v>
      </c>
    </row>
    <row r="1214" customFormat="false" ht="15" hidden="false" customHeight="false" outlineLevel="0" collapsed="false">
      <c r="A1214" s="34" t="s">
        <v>5799</v>
      </c>
      <c r="B1214" s="34" t="str">
        <f aca="false">'Uso e Consumo'!A1214</f>
        <v>0335</v>
      </c>
      <c r="C1214" s="34" t="str">
        <f aca="false">'Uso e Consumo'!B1214</f>
        <v>UFV NORONHA VERDE - USO E CONSUMO</v>
      </c>
      <c r="D1214" s="33" t="n">
        <f aca="false">'Uso e Consumo'!C1214</f>
        <v>280098</v>
      </c>
      <c r="E1214" s="34" t="str">
        <f aca="false">'Uso e Consumo'!D1214</f>
        <v>17.20.0307</v>
      </c>
      <c r="F1214" s="34" t="str">
        <f aca="false">'Uso e Consumo'!E1214</f>
        <v>PALITO IGNITOR PARA SOLDA EXOTÉRMICA</v>
      </c>
      <c r="G1214" s="34" t="str">
        <f aca="false">'Uso e Consumo'!J1214</f>
        <v>CX</v>
      </c>
      <c r="H1214" s="49" t="n">
        <f aca="false">'Uso e Consumo'!F1214</f>
        <v>10</v>
      </c>
      <c r="I1214" s="35" t="n">
        <f aca="false">'Uso e Consumo'!G1214</f>
        <v>614</v>
      </c>
      <c r="J1214" s="34" t="str">
        <f aca="false">'Uso e Consumo'!M1214</f>
        <v>3.8.1.017 - Instalações elétricas/telefônicas/lógica</v>
      </c>
      <c r="K1214" s="32" t="str">
        <f aca="false">INDEX('Curva ABC'!$K$8:$K$2847,MATCH(D1214,'Curva ABC'!$B$8:$B$2847,0))</f>
        <v>C</v>
      </c>
    </row>
    <row r="1215" customFormat="false" ht="15" hidden="false" customHeight="false" outlineLevel="0" collapsed="false">
      <c r="A1215" s="34" t="s">
        <v>5799</v>
      </c>
      <c r="B1215" s="34" t="str">
        <f aca="false">'Uso e Consumo'!A1215</f>
        <v>0335</v>
      </c>
      <c r="C1215" s="34" t="str">
        <f aca="false">'Uso e Consumo'!B1215</f>
        <v>UFV NORONHA VERDE - USO E CONSUMO</v>
      </c>
      <c r="D1215" s="33" t="n">
        <f aca="false">'Uso e Consumo'!C1215</f>
        <v>277922</v>
      </c>
      <c r="E1215" s="34" t="str">
        <f aca="false">'Uso e Consumo'!D1215</f>
        <v>01.09.0229</v>
      </c>
      <c r="F1215" s="34" t="str">
        <f aca="false">'Uso e Consumo'!E1215</f>
        <v>CANTONEIRA AÇO CARBONO ASTM A36 1/8" X 1.1/2"</v>
      </c>
      <c r="G1215" s="34" t="str">
        <f aca="false">'Uso e Consumo'!J1215</f>
        <v>KG</v>
      </c>
      <c r="H1215" s="49" t="n">
        <f aca="false">'Uso e Consumo'!F1215</f>
        <v>40</v>
      </c>
      <c r="I1215" s="35" t="n">
        <f aca="false">'Uso e Consumo'!G1215</f>
        <v>613.49</v>
      </c>
      <c r="J1215" s="34" t="str">
        <f aca="false">'Uso e Consumo'!M1215</f>
        <v>3.8.1.001 - Aços e trefilados</v>
      </c>
      <c r="K1215" s="32" t="str">
        <f aca="false">INDEX('Curva ABC'!$K$8:$K$2847,MATCH(D1215,'Curva ABC'!$B$8:$B$2847,0))</f>
        <v>C</v>
      </c>
    </row>
    <row r="1216" customFormat="false" ht="15" hidden="false" customHeight="false" outlineLevel="0" collapsed="false">
      <c r="A1216" s="34" t="s">
        <v>5799</v>
      </c>
      <c r="B1216" s="34" t="str">
        <f aca="false">'Uso e Consumo'!A1216</f>
        <v>0335</v>
      </c>
      <c r="C1216" s="34" t="str">
        <f aca="false">'Uso e Consumo'!B1216</f>
        <v>UFV NORONHA VERDE - USO E CONSUMO</v>
      </c>
      <c r="D1216" s="33" t="n">
        <f aca="false">'Uso e Consumo'!C1216</f>
        <v>1613482</v>
      </c>
      <c r="E1216" s="34" t="str">
        <f aca="false">'Uso e Consumo'!D1216</f>
        <v>17.10.0435</v>
      </c>
      <c r="F1216" s="34" t="str">
        <f aca="false">'Uso e Consumo'!E1216</f>
        <v>INTERRUPTOR DIFERENCIAL RESIDUAL TETRAPOLAR, CORRENTE NOMINAL DE 125A, CORRENTE DIFERENCIAL RESIDUAL DE 30MA</v>
      </c>
      <c r="G1216" s="34" t="str">
        <f aca="false">'Uso e Consumo'!J1216</f>
        <v>UN</v>
      </c>
      <c r="H1216" s="49" t="n">
        <f aca="false">'Uso e Consumo'!F1216</f>
        <v>1</v>
      </c>
      <c r="I1216" s="35" t="n">
        <f aca="false">'Uso e Consumo'!G1216</f>
        <v>612.66</v>
      </c>
      <c r="J1216" s="34" t="str">
        <f aca="false">'Uso e Consumo'!M1216</f>
        <v>3.8.1.017 - Instalações elétricas/telefônicas/lógica</v>
      </c>
      <c r="K1216" s="32" t="str">
        <f aca="false">INDEX('Curva ABC'!$K$8:$K$2847,MATCH(D1216,'Curva ABC'!$B$8:$B$2847,0))</f>
        <v>C</v>
      </c>
    </row>
    <row r="1217" customFormat="false" ht="15" hidden="false" customHeight="false" outlineLevel="0" collapsed="false">
      <c r="A1217" s="34" t="s">
        <v>5799</v>
      </c>
      <c r="B1217" s="34" t="str">
        <f aca="false">'Uso e Consumo'!A1217</f>
        <v>0335</v>
      </c>
      <c r="C1217" s="34" t="str">
        <f aca="false">'Uso e Consumo'!B1217</f>
        <v>UFV NORONHA VERDE - USO E CONSUMO</v>
      </c>
      <c r="D1217" s="33" t="n">
        <f aca="false">'Uso e Consumo'!C1217</f>
        <v>1384337</v>
      </c>
      <c r="E1217" s="34" t="str">
        <f aca="false">'Uso e Consumo'!D1217</f>
        <v>17.02.0861</v>
      </c>
      <c r="F1217" s="34" t="str">
        <f aca="false">'Uso e Consumo'!E1217</f>
        <v>ELETRODUTO PVC RÍGIDO 32 MM, COM ROSCA 1" BSP, COR PRETO, BARRA 3,00 M</v>
      </c>
      <c r="G1217" s="34" t="str">
        <f aca="false">'Uso e Consumo'!J1217</f>
        <v>UN</v>
      </c>
      <c r="H1217" s="49" t="n">
        <f aca="false">'Uso e Consumo'!F1217</f>
        <v>33</v>
      </c>
      <c r="I1217" s="35" t="n">
        <f aca="false">'Uso e Consumo'!G1217</f>
        <v>612.44</v>
      </c>
      <c r="J1217" s="34" t="str">
        <f aca="false">'Uso e Consumo'!M1217</f>
        <v>3.8.1.017 - Instalações elétricas/telefônicas/lógica</v>
      </c>
      <c r="K1217" s="32" t="str">
        <f aca="false">INDEX('Curva ABC'!$K$8:$K$2847,MATCH(D1217,'Curva ABC'!$B$8:$B$2847,0))</f>
        <v>C</v>
      </c>
    </row>
    <row r="1218" customFormat="false" ht="15" hidden="false" customHeight="false" outlineLevel="0" collapsed="false">
      <c r="A1218" s="34" t="s">
        <v>5799</v>
      </c>
      <c r="B1218" s="34" t="str">
        <f aca="false">'Uso e Consumo'!A1218</f>
        <v>0335</v>
      </c>
      <c r="C1218" s="34" t="str">
        <f aca="false">'Uso e Consumo'!B1218</f>
        <v>UFV NORONHA VERDE - USO E CONSUMO</v>
      </c>
      <c r="D1218" s="33" t="n">
        <f aca="false">'Uso e Consumo'!C1218</f>
        <v>21217</v>
      </c>
      <c r="E1218" s="34" t="str">
        <f aca="false">'Uso e Consumo'!D1218</f>
        <v>33.02.0013</v>
      </c>
      <c r="F1218" s="34" t="str">
        <f aca="false">'Uso e Consumo'!E1218</f>
        <v>UNHA</v>
      </c>
      <c r="G1218" s="34" t="str">
        <f aca="false">'Uso e Consumo'!J1218</f>
        <v>UN</v>
      </c>
      <c r="H1218" s="49" t="n">
        <f aca="false">'Uso e Consumo'!F1218</f>
        <v>6</v>
      </c>
      <c r="I1218" s="35" t="n">
        <f aca="false">'Uso e Consumo'!G1218</f>
        <v>612</v>
      </c>
      <c r="J1218" s="34" t="str">
        <f aca="false">'Uso e Consumo'!M1218</f>
        <v>3.1.6.002 - Pneus e peças</v>
      </c>
      <c r="K1218" s="32" t="str">
        <f aca="false">INDEX('Curva ABC'!$K$8:$K$2847,MATCH(D1218,'Curva ABC'!$B$8:$B$2847,0))</f>
        <v>C</v>
      </c>
    </row>
    <row r="1219" customFormat="false" ht="15" hidden="false" customHeight="false" outlineLevel="0" collapsed="false">
      <c r="A1219" s="34" t="s">
        <v>5799</v>
      </c>
      <c r="B1219" s="34" t="str">
        <f aca="false">'Uso e Consumo'!A1219</f>
        <v>0335</v>
      </c>
      <c r="C1219" s="34" t="str">
        <f aca="false">'Uso e Consumo'!B1219</f>
        <v>UFV NORONHA VERDE - USO E CONSUMO</v>
      </c>
      <c r="D1219" s="33" t="n">
        <f aca="false">'Uso e Consumo'!C1219</f>
        <v>1313782</v>
      </c>
      <c r="E1219" s="34" t="str">
        <f aca="false">'Uso e Consumo'!D1219</f>
        <v>24.13.0038</v>
      </c>
      <c r="F1219" s="34" t="str">
        <f aca="false">'Uso e Consumo'!E1219</f>
        <v>LIMA 5,2 STIHL - 13/64 5605-771-5206</v>
      </c>
      <c r="G1219" s="34" t="str">
        <f aca="false">'Uso e Consumo'!J1219</f>
        <v>UN</v>
      </c>
      <c r="H1219" s="49" t="n">
        <f aca="false">'Uso e Consumo'!F1219</f>
        <v>38</v>
      </c>
      <c r="I1219" s="35" t="n">
        <f aca="false">'Uso e Consumo'!G1219</f>
        <v>611.82</v>
      </c>
      <c r="J1219" s="34" t="str">
        <f aca="false">'Uso e Consumo'!M1219</f>
        <v>3.8.2.002 - Ferramentas manuais</v>
      </c>
      <c r="K1219" s="32" t="str">
        <f aca="false">INDEX('Curva ABC'!$K$8:$K$2847,MATCH(D1219,'Curva ABC'!$B$8:$B$2847,0))</f>
        <v>C</v>
      </c>
    </row>
    <row r="1220" customFormat="false" ht="15" hidden="false" customHeight="false" outlineLevel="0" collapsed="false">
      <c r="A1220" s="34" t="s">
        <v>5799</v>
      </c>
      <c r="B1220" s="34" t="str">
        <f aca="false">'Uso e Consumo'!A1220</f>
        <v>0335</v>
      </c>
      <c r="C1220" s="34" t="str">
        <f aca="false">'Uso e Consumo'!B1220</f>
        <v>UFV NORONHA VERDE - USO E CONSUMO</v>
      </c>
      <c r="D1220" s="33" t="n">
        <f aca="false">'Uso e Consumo'!C1220</f>
        <v>1114383</v>
      </c>
      <c r="E1220" s="34" t="str">
        <f aca="false">'Uso e Consumo'!D1220</f>
        <v>33.02.2982</v>
      </c>
      <c r="F1220" s="34" t="str">
        <f aca="false">'Uso e Consumo'!E1220</f>
        <v>CABEÇOTE DE CORTE C 42-2</v>
      </c>
      <c r="G1220" s="34" t="str">
        <f aca="false">'Uso e Consumo'!J1220</f>
        <v>UN</v>
      </c>
      <c r="H1220" s="49" t="n">
        <f aca="false">'Uso e Consumo'!F1220</f>
        <v>4</v>
      </c>
      <c r="I1220" s="35" t="n">
        <f aca="false">'Uso e Consumo'!G1220</f>
        <v>610.5</v>
      </c>
      <c r="J1220" s="34" t="str">
        <f aca="false">'Uso e Consumo'!M1220</f>
        <v>3.8.1.017 - Instalações elétricas/telefônicas/lógica</v>
      </c>
      <c r="K1220" s="32" t="str">
        <f aca="false">INDEX('Curva ABC'!$K$8:$K$2847,MATCH(D1220,'Curva ABC'!$B$8:$B$2847,0))</f>
        <v>C</v>
      </c>
    </row>
    <row r="1221" customFormat="false" ht="15" hidden="false" customHeight="false" outlineLevel="0" collapsed="false">
      <c r="A1221" s="34" t="s">
        <v>5799</v>
      </c>
      <c r="B1221" s="34" t="str">
        <f aca="false">'Uso e Consumo'!A1221</f>
        <v>0335</v>
      </c>
      <c r="C1221" s="34" t="str">
        <f aca="false">'Uso e Consumo'!B1221</f>
        <v>UFV NORONHA VERDE - USO E CONSUMO</v>
      </c>
      <c r="D1221" s="33" t="n">
        <f aca="false">'Uso e Consumo'!C1221</f>
        <v>23859</v>
      </c>
      <c r="E1221" s="34" t="str">
        <f aca="false">'Uso e Consumo'!D1221</f>
        <v>24.28.0002</v>
      </c>
      <c r="F1221" s="34" t="str">
        <f aca="false">'Uso e Consumo'!E1221</f>
        <v>MARCADOR INDUSTRIAL 60ML X 2MM AMARELO</v>
      </c>
      <c r="G1221" s="34" t="str">
        <f aca="false">'Uso e Consumo'!J1221</f>
        <v>UN</v>
      </c>
      <c r="H1221" s="49" t="n">
        <f aca="false">'Uso e Consumo'!F1221</f>
        <v>50</v>
      </c>
      <c r="I1221" s="35" t="n">
        <f aca="false">'Uso e Consumo'!G1221</f>
        <v>608</v>
      </c>
      <c r="J1221" s="34" t="str">
        <f aca="false">'Uso e Consumo'!M1221</f>
        <v>3.8.2.002 - Ferramentas manuais</v>
      </c>
      <c r="K1221" s="32" t="str">
        <f aca="false">INDEX('Curva ABC'!$K$8:$K$2847,MATCH(D1221,'Curva ABC'!$B$8:$B$2847,0))</f>
        <v>C</v>
      </c>
    </row>
    <row r="1222" customFormat="false" ht="15" hidden="false" customHeight="false" outlineLevel="0" collapsed="false">
      <c r="A1222" s="34" t="s">
        <v>5799</v>
      </c>
      <c r="B1222" s="34" t="str">
        <f aca="false">'Uso e Consumo'!A1222</f>
        <v>0335</v>
      </c>
      <c r="C1222" s="34" t="str">
        <f aca="false">'Uso e Consumo'!B1222</f>
        <v>UFV NORONHA VERDE - USO E CONSUMO</v>
      </c>
      <c r="D1222" s="33" t="n">
        <f aca="false">'Uso e Consumo'!C1222</f>
        <v>861448</v>
      </c>
      <c r="E1222" s="34" t="str">
        <f aca="false">'Uso e Consumo'!D1222</f>
        <v>17.19.0049</v>
      </c>
      <c r="F1222" s="34" t="str">
        <f aca="false">'Uso e Consumo'!E1222</f>
        <v>FITA ISOLANTE 18MMX10MT AZUL</v>
      </c>
      <c r="G1222" s="34" t="str">
        <f aca="false">'Uso e Consumo'!J1222</f>
        <v>UN</v>
      </c>
      <c r="H1222" s="49" t="n">
        <f aca="false">'Uso e Consumo'!F1222</f>
        <v>202</v>
      </c>
      <c r="I1222" s="35" t="n">
        <f aca="false">'Uso e Consumo'!G1222</f>
        <v>607.96</v>
      </c>
      <c r="J1222" s="34" t="str">
        <f aca="false">'Uso e Consumo'!M1222</f>
        <v>3.8.1.017 - Instalações elétricas/telefônicas/lógica</v>
      </c>
      <c r="K1222" s="32" t="str">
        <f aca="false">INDEX('Curva ABC'!$K$8:$K$2847,MATCH(D1222,'Curva ABC'!$B$8:$B$2847,0))</f>
        <v>C</v>
      </c>
    </row>
    <row r="1223" customFormat="false" ht="15" hidden="false" customHeight="false" outlineLevel="0" collapsed="false">
      <c r="A1223" s="34" t="s">
        <v>5799</v>
      </c>
      <c r="B1223" s="34" t="str">
        <f aca="false">'Uso e Consumo'!A1223</f>
        <v>0335</v>
      </c>
      <c r="C1223" s="34" t="str">
        <f aca="false">'Uso e Consumo'!B1223</f>
        <v>UFV NORONHA VERDE - USO E CONSUMO</v>
      </c>
      <c r="D1223" s="33" t="n">
        <f aca="false">'Uso e Consumo'!C1223</f>
        <v>1656804</v>
      </c>
      <c r="E1223" s="34" t="str">
        <f aca="false">'Uso e Consumo'!D1223</f>
        <v>28.01.0754</v>
      </c>
      <c r="F1223" s="34" t="str">
        <f aca="false">'Uso e Consumo'!E1223</f>
        <v>PLACA DE SINALIZACAO PARA EXTINTOR DE INCENDIO  E5 - PICTOGRAMA FOTOLUMINESCENTE EM CHAPA METALICA, DIMENSOES 25X25CM</v>
      </c>
      <c r="G1223" s="34" t="str">
        <f aca="false">'Uso e Consumo'!J1223</f>
        <v>UN</v>
      </c>
      <c r="H1223" s="49" t="n">
        <f aca="false">'Uso e Consumo'!F1223</f>
        <v>30</v>
      </c>
      <c r="I1223" s="35" t="n">
        <f aca="false">'Uso e Consumo'!G1223</f>
        <v>607.5</v>
      </c>
      <c r="J1223" s="34" t="str">
        <f aca="false">'Uso e Consumo'!M1223</f>
        <v>3.8.1.023 - Comunicação visual e sinalização</v>
      </c>
      <c r="K1223" s="32" t="str">
        <f aca="false">INDEX('Curva ABC'!$K$8:$K$2847,MATCH(D1223,'Curva ABC'!$B$8:$B$2847,0))</f>
        <v>C</v>
      </c>
    </row>
    <row r="1224" customFormat="false" ht="15" hidden="false" customHeight="false" outlineLevel="0" collapsed="false">
      <c r="A1224" s="34" t="s">
        <v>5799</v>
      </c>
      <c r="B1224" s="34" t="str">
        <f aca="false">'Uso e Consumo'!A1224</f>
        <v>0335</v>
      </c>
      <c r="C1224" s="34" t="str">
        <f aca="false">'Uso e Consumo'!B1224</f>
        <v>UFV NORONHA VERDE - USO E CONSUMO</v>
      </c>
      <c r="D1224" s="33" t="n">
        <f aca="false">'Uso e Consumo'!C1224</f>
        <v>19349</v>
      </c>
      <c r="E1224" s="34" t="str">
        <f aca="false">'Uso e Consumo'!D1224</f>
        <v>30.01.0069</v>
      </c>
      <c r="F1224" s="34" t="str">
        <f aca="false">'Uso e Consumo'!E1224</f>
        <v>CANETA MARCADOR P/ CD E DVD AZUL</v>
      </c>
      <c r="G1224" s="34" t="str">
        <f aca="false">'Uso e Consumo'!J1224</f>
        <v>UN</v>
      </c>
      <c r="H1224" s="49" t="n">
        <f aca="false">'Uso e Consumo'!F1224</f>
        <v>130</v>
      </c>
      <c r="I1224" s="35" t="n">
        <f aca="false">'Uso e Consumo'!G1224</f>
        <v>607.0905</v>
      </c>
      <c r="J1224" s="34" t="str">
        <f aca="false">'Uso e Consumo'!M1224</f>
        <v>4.1.1.002 - Material expediente</v>
      </c>
      <c r="K1224" s="32" t="str">
        <f aca="false">INDEX('Curva ABC'!$K$8:$K$2847,MATCH(D1224,'Curva ABC'!$B$8:$B$2847,0))</f>
        <v>C</v>
      </c>
    </row>
    <row r="1225" customFormat="false" ht="15" hidden="false" customHeight="false" outlineLevel="0" collapsed="false">
      <c r="A1225" s="34" t="s">
        <v>5799</v>
      </c>
      <c r="B1225" s="34" t="str">
        <f aca="false">'Uso e Consumo'!A1225</f>
        <v>0335</v>
      </c>
      <c r="C1225" s="34" t="str">
        <f aca="false">'Uso e Consumo'!B1225</f>
        <v>UFV NORONHA VERDE - USO E CONSUMO</v>
      </c>
      <c r="D1225" s="33" t="n">
        <f aca="false">'Uso e Consumo'!C1225</f>
        <v>557115</v>
      </c>
      <c r="E1225" s="34" t="str">
        <f aca="false">'Uso e Consumo'!D1225</f>
        <v>24.16.0016</v>
      </c>
      <c r="F1225" s="34" t="str">
        <f aca="false">'Uso e Consumo'!E1225</f>
        <v>PE DE CABRA COMP. 600MM 42600/060 TRAMONTINA</v>
      </c>
      <c r="G1225" s="34" t="str">
        <f aca="false">'Uso e Consumo'!J1225</f>
        <v>UN</v>
      </c>
      <c r="H1225" s="49" t="n">
        <f aca="false">'Uso e Consumo'!F1225</f>
        <v>5</v>
      </c>
      <c r="I1225" s="35" t="n">
        <f aca="false">'Uso e Consumo'!G1225</f>
        <v>606.7</v>
      </c>
      <c r="J1225" s="34" t="str">
        <f aca="false">'Uso e Consumo'!M1225</f>
        <v>3.8.2.002 - Ferramentas manuais</v>
      </c>
      <c r="K1225" s="32" t="str">
        <f aca="false">INDEX('Curva ABC'!$K$8:$K$2847,MATCH(D1225,'Curva ABC'!$B$8:$B$2847,0))</f>
        <v>C</v>
      </c>
    </row>
    <row r="1226" customFormat="false" ht="15" hidden="false" customHeight="false" outlineLevel="0" collapsed="false">
      <c r="A1226" s="34" t="s">
        <v>5799</v>
      </c>
      <c r="B1226" s="34" t="str">
        <f aca="false">'Uso e Consumo'!A1226</f>
        <v>0335</v>
      </c>
      <c r="C1226" s="34" t="str">
        <f aca="false">'Uso e Consumo'!B1226</f>
        <v>UFV NORONHA VERDE - USO E CONSUMO</v>
      </c>
      <c r="D1226" s="33" t="n">
        <f aca="false">'Uso e Consumo'!C1226</f>
        <v>283891</v>
      </c>
      <c r="E1226" s="34" t="str">
        <f aca="false">'Uso e Consumo'!D1226</f>
        <v>17.02.0406</v>
      </c>
      <c r="F1226" s="34" t="str">
        <f aca="false">'Uso e Consumo'!E1226</f>
        <v>ELETRODUTO DE PEAD-POLIETILENO DE ALTA DENSIDADE CORRUGADO, Ø3"</v>
      </c>
      <c r="G1226" s="34" t="str">
        <f aca="false">'Uso e Consumo'!J1226</f>
        <v>M</v>
      </c>
      <c r="H1226" s="49" t="n">
        <f aca="false">'Uso e Consumo'!F1226</f>
        <v>35</v>
      </c>
      <c r="I1226" s="35" t="n">
        <f aca="false">'Uso e Consumo'!G1226</f>
        <v>606.2</v>
      </c>
      <c r="J1226" s="34" t="str">
        <f aca="false">'Uso e Consumo'!M1226</f>
        <v>3.8.1.017 - Instalações elétricas/telefônicas/lógica</v>
      </c>
      <c r="K1226" s="32" t="str">
        <f aca="false">INDEX('Curva ABC'!$K$8:$K$2847,MATCH(D1226,'Curva ABC'!$B$8:$B$2847,0))</f>
        <v>C</v>
      </c>
    </row>
    <row r="1227" customFormat="false" ht="15" hidden="false" customHeight="false" outlineLevel="0" collapsed="false">
      <c r="A1227" s="34" t="s">
        <v>5799</v>
      </c>
      <c r="B1227" s="34" t="str">
        <f aca="false">'Uso e Consumo'!A1227</f>
        <v>0335</v>
      </c>
      <c r="C1227" s="34" t="str">
        <f aca="false">'Uso e Consumo'!B1227</f>
        <v>UFV NORONHA VERDE - USO E CONSUMO</v>
      </c>
      <c r="D1227" s="33" t="n">
        <f aca="false">'Uso e Consumo'!C1227</f>
        <v>21339</v>
      </c>
      <c r="E1227" s="34" t="str">
        <f aca="false">'Uso e Consumo'!D1227</f>
        <v>24.08.0014</v>
      </c>
      <c r="F1227" s="34" t="str">
        <f aca="false">'Uso e Consumo'!E1227</f>
        <v>ALICATE UNIVERSAL GERDORE 8"</v>
      </c>
      <c r="G1227" s="34" t="str">
        <f aca="false">'Uso e Consumo'!J1227</f>
        <v>UN</v>
      </c>
      <c r="H1227" s="49" t="n">
        <f aca="false">'Uso e Consumo'!F1227</f>
        <v>10</v>
      </c>
      <c r="I1227" s="35" t="n">
        <f aca="false">'Uso e Consumo'!G1227</f>
        <v>604.56</v>
      </c>
      <c r="J1227" s="34" t="str">
        <f aca="false">'Uso e Consumo'!M1227</f>
        <v>3.8.2.002 - Ferramentas manuais</v>
      </c>
      <c r="K1227" s="32" t="str">
        <f aca="false">INDEX('Curva ABC'!$K$8:$K$2847,MATCH(D1227,'Curva ABC'!$B$8:$B$2847,0))</f>
        <v>C</v>
      </c>
    </row>
    <row r="1228" customFormat="false" ht="15" hidden="false" customHeight="false" outlineLevel="0" collapsed="false">
      <c r="A1228" s="34" t="s">
        <v>5799</v>
      </c>
      <c r="B1228" s="34" t="str">
        <f aca="false">'Uso e Consumo'!A1228</f>
        <v>0335</v>
      </c>
      <c r="C1228" s="34" t="str">
        <f aca="false">'Uso e Consumo'!B1228</f>
        <v>UFV NORONHA VERDE - USO E CONSUMO</v>
      </c>
      <c r="D1228" s="33" t="n">
        <f aca="false">'Uso e Consumo'!C1228</f>
        <v>1326792</v>
      </c>
      <c r="E1228" s="34" t="str">
        <f aca="false">'Uso e Consumo'!D1228</f>
        <v>17.20.0671</v>
      </c>
      <c r="F1228" s="34" t="str">
        <f aca="false">'Uso e Consumo'!E1228</f>
        <v>MOLDE DE CONEXÃO, POR SOLDA EXOTÉRMICA, DE CABO TERMINAL DE COBRE 70 mm² , DIÂMETRO NOMINAL 19mm (3/4")</v>
      </c>
      <c r="G1228" s="34" t="str">
        <f aca="false">'Uso e Consumo'!J1228</f>
        <v>pç</v>
      </c>
      <c r="H1228" s="49" t="n">
        <f aca="false">'Uso e Consumo'!F1228</f>
        <v>5</v>
      </c>
      <c r="I1228" s="35" t="n">
        <f aca="false">'Uso e Consumo'!G1228</f>
        <v>604.41</v>
      </c>
      <c r="J1228" s="34" t="str">
        <f aca="false">'Uso e Consumo'!M1228</f>
        <v>3.8.1.017 - Instalações elétricas/telefônicas/lógica</v>
      </c>
      <c r="K1228" s="32" t="str">
        <f aca="false">INDEX('Curva ABC'!$K$8:$K$2847,MATCH(D1228,'Curva ABC'!$B$8:$B$2847,0))</f>
        <v>C</v>
      </c>
    </row>
    <row r="1229" customFormat="false" ht="15" hidden="false" customHeight="false" outlineLevel="0" collapsed="false">
      <c r="A1229" s="34" t="s">
        <v>5799</v>
      </c>
      <c r="B1229" s="34" t="str">
        <f aca="false">'Uso e Consumo'!A1229</f>
        <v>0335</v>
      </c>
      <c r="C1229" s="34" t="str">
        <f aca="false">'Uso e Consumo'!B1229</f>
        <v>UFV NORONHA VERDE - USO E CONSUMO</v>
      </c>
      <c r="D1229" s="33" t="n">
        <f aca="false">'Uso e Consumo'!C1229</f>
        <v>959562</v>
      </c>
      <c r="E1229" s="34" t="str">
        <f aca="false">'Uso e Consumo'!D1229</f>
        <v>34.03.0690</v>
      </c>
      <c r="F1229" s="34" t="str">
        <f aca="false">'Uso e Consumo'!E1229</f>
        <v>PNEU 185/65 R15</v>
      </c>
      <c r="G1229" s="34" t="str">
        <f aca="false">'Uso e Consumo'!J1229</f>
        <v>UN</v>
      </c>
      <c r="H1229" s="49" t="n">
        <f aca="false">'Uso e Consumo'!F1229</f>
        <v>2</v>
      </c>
      <c r="I1229" s="35" t="n">
        <f aca="false">'Uso e Consumo'!G1229</f>
        <v>604</v>
      </c>
      <c r="J1229" s="34" t="str">
        <f aca="false">'Uso e Consumo'!M1229</f>
        <v>3.1.6.002 - Pneus e peças</v>
      </c>
      <c r="K1229" s="32" t="str">
        <f aca="false">INDEX('Curva ABC'!$K$8:$K$2847,MATCH(D1229,'Curva ABC'!$B$8:$B$2847,0))</f>
        <v>C</v>
      </c>
    </row>
    <row r="1230" customFormat="false" ht="15" hidden="false" customHeight="false" outlineLevel="0" collapsed="false">
      <c r="A1230" s="34" t="s">
        <v>5799</v>
      </c>
      <c r="B1230" s="34" t="str">
        <f aca="false">'Uso e Consumo'!A1230</f>
        <v>0335</v>
      </c>
      <c r="C1230" s="34" t="str">
        <f aca="false">'Uso e Consumo'!B1230</f>
        <v>UFV NORONHA VERDE - USO E CONSUMO</v>
      </c>
      <c r="D1230" s="33" t="n">
        <f aca="false">'Uso e Consumo'!C1230</f>
        <v>1319124</v>
      </c>
      <c r="E1230" s="34" t="str">
        <f aca="false">'Uso e Consumo'!D1230</f>
        <v>30.02.0140</v>
      </c>
      <c r="F1230" s="34" t="str">
        <f aca="false">'Uso e Consumo'!E1230</f>
        <v>BOBINA PARA IMPRESSORA – MC0057 - LARGURA: 37MM - DIÂMETRO:33MM -COMPRIMENTO: 11 METROS - TUBETE: 12MM</v>
      </c>
      <c r="G1230" s="34" t="str">
        <f aca="false">'Uso e Consumo'!J1230</f>
        <v>UN</v>
      </c>
      <c r="H1230" s="49" t="n">
        <f aca="false">'Uso e Consumo'!F1230</f>
        <v>60</v>
      </c>
      <c r="I1230" s="35" t="n">
        <f aca="false">'Uso e Consumo'!G1230</f>
        <v>603</v>
      </c>
      <c r="J1230" s="34" t="str">
        <f aca="false">'Uso e Consumo'!M1230</f>
        <v>4.1.1.002 - Material expediente</v>
      </c>
      <c r="K1230" s="32" t="str">
        <f aca="false">INDEX('Curva ABC'!$K$8:$K$2847,MATCH(D1230,'Curva ABC'!$B$8:$B$2847,0))</f>
        <v>C</v>
      </c>
    </row>
    <row r="1231" customFormat="false" ht="15" hidden="false" customHeight="false" outlineLevel="0" collapsed="false">
      <c r="A1231" s="34" t="s">
        <v>5799</v>
      </c>
      <c r="B1231" s="34" t="str">
        <f aca="false">'Uso e Consumo'!A1231</f>
        <v>0335</v>
      </c>
      <c r="C1231" s="34" t="str">
        <f aca="false">'Uso e Consumo'!B1231</f>
        <v>UFV NORONHA VERDE - USO E CONSUMO</v>
      </c>
      <c r="D1231" s="33" t="n">
        <f aca="false">'Uso e Consumo'!C1231</f>
        <v>1388902</v>
      </c>
      <c r="E1231" s="34" t="str">
        <f aca="false">'Uso e Consumo'!D1231</f>
        <v>17.19.0068</v>
      </c>
      <c r="F1231" s="34" t="str">
        <f aca="false">'Uso e Consumo'!E1231</f>
        <v>FITA ISOLANTE AMARELA 19MM X 10M</v>
      </c>
      <c r="G1231" s="34" t="str">
        <f aca="false">'Uso e Consumo'!J1231</f>
        <v>UN</v>
      </c>
      <c r="H1231" s="49" t="n">
        <f aca="false">'Uso e Consumo'!F1231</f>
        <v>200</v>
      </c>
      <c r="I1231" s="35" t="n">
        <f aca="false">'Uso e Consumo'!G1231</f>
        <v>602</v>
      </c>
      <c r="J1231" s="34" t="str">
        <f aca="false">'Uso e Consumo'!M1231</f>
        <v>3.8.1.017 - Instalações elétricas/telefônicas/lógica</v>
      </c>
      <c r="K1231" s="32" t="str">
        <f aca="false">INDEX('Curva ABC'!$K$8:$K$2847,MATCH(D1231,'Curva ABC'!$B$8:$B$2847,0))</f>
        <v>C</v>
      </c>
    </row>
    <row r="1232" customFormat="false" ht="15" hidden="false" customHeight="false" outlineLevel="0" collapsed="false">
      <c r="A1232" s="34" t="s">
        <v>5799</v>
      </c>
      <c r="B1232" s="34" t="str">
        <f aca="false">'Uso e Consumo'!A1232</f>
        <v>0335</v>
      </c>
      <c r="C1232" s="34" t="str">
        <f aca="false">'Uso e Consumo'!B1232</f>
        <v>UFV NORONHA VERDE - USO E CONSUMO</v>
      </c>
      <c r="D1232" s="33" t="n">
        <f aca="false">'Uso e Consumo'!C1232</f>
        <v>1662292</v>
      </c>
      <c r="E1232" s="34" t="str">
        <f aca="false">'Uso e Consumo'!D1232</f>
        <v>17.02.0941</v>
      </c>
      <c r="F1232" s="34" t="str">
        <f aca="false">'Uso e Consumo'!E1232</f>
        <v>LUVA DE ALUMINIO COM ROSCA, TIPO PESADO, GALVANIZADO A FOGO,  1.1/2" BSP</v>
      </c>
      <c r="G1232" s="34" t="str">
        <f aca="false">'Uso e Consumo'!J1232</f>
        <v>UN</v>
      </c>
      <c r="H1232" s="49" t="n">
        <f aca="false">'Uso e Consumo'!F1232</f>
        <v>36</v>
      </c>
      <c r="I1232" s="35" t="n">
        <f aca="false">'Uso e Consumo'!G1232</f>
        <v>601.2</v>
      </c>
      <c r="J1232" s="34" t="str">
        <f aca="false">'Uso e Consumo'!M1232</f>
        <v>3.8.1.017 - Instalações elétricas/telefônicas/lógica</v>
      </c>
      <c r="K1232" s="32" t="str">
        <f aca="false">INDEX('Curva ABC'!$K$8:$K$2847,MATCH(D1232,'Curva ABC'!$B$8:$B$2847,0))</f>
        <v>C</v>
      </c>
    </row>
    <row r="1233" customFormat="false" ht="15" hidden="false" customHeight="false" outlineLevel="0" collapsed="false">
      <c r="A1233" s="34" t="s">
        <v>5799</v>
      </c>
      <c r="B1233" s="34" t="str">
        <f aca="false">'Uso e Consumo'!A1233</f>
        <v>0335</v>
      </c>
      <c r="C1233" s="34" t="str">
        <f aca="false">'Uso e Consumo'!B1233</f>
        <v>UFV NORONHA VERDE - USO E CONSUMO</v>
      </c>
      <c r="D1233" s="33" t="n">
        <f aca="false">'Uso e Consumo'!C1233</f>
        <v>19117</v>
      </c>
      <c r="E1233" s="34" t="str">
        <f aca="false">'Uso e Consumo'!D1233</f>
        <v>29.01.0040</v>
      </c>
      <c r="F1233" s="34" t="str">
        <f aca="false">'Uso e Consumo'!E1233</f>
        <v>FILTRO DE LINHA REDE ELÉT. 6 TOMADAS</v>
      </c>
      <c r="G1233" s="34" t="str">
        <f aca="false">'Uso e Consumo'!J1233</f>
        <v>UN</v>
      </c>
      <c r="H1233" s="49" t="n">
        <f aca="false">'Uso e Consumo'!F1233</f>
        <v>12</v>
      </c>
      <c r="I1233" s="35" t="n">
        <f aca="false">'Uso e Consumo'!G1233</f>
        <v>600</v>
      </c>
      <c r="J1233" s="34" t="str">
        <f aca="false">'Uso e Consumo'!M1233</f>
        <v>4.1.1.007 - Equipamentos e acessórios para informática</v>
      </c>
      <c r="K1233" s="32" t="str">
        <f aca="false">INDEX('Curva ABC'!$K$8:$K$2847,MATCH(D1233,'Curva ABC'!$B$8:$B$2847,0))</f>
        <v>C</v>
      </c>
    </row>
    <row r="1234" customFormat="false" ht="15" hidden="false" customHeight="false" outlineLevel="0" collapsed="false">
      <c r="A1234" s="34" t="s">
        <v>5799</v>
      </c>
      <c r="B1234" s="34" t="str">
        <f aca="false">'Uso e Consumo'!A1234</f>
        <v>0335</v>
      </c>
      <c r="C1234" s="34" t="str">
        <f aca="false">'Uso e Consumo'!B1234</f>
        <v>UFV NORONHA VERDE - USO E CONSUMO</v>
      </c>
      <c r="D1234" s="33" t="n">
        <f aca="false">'Uso e Consumo'!C1234</f>
        <v>274532</v>
      </c>
      <c r="E1234" s="34" t="str">
        <f aca="false">'Uso e Consumo'!D1234</f>
        <v>27.02.0117</v>
      </c>
      <c r="F1234" s="34" t="str">
        <f aca="false">'Uso e Consumo'!E1234</f>
        <v>BISNAGA PLASTICA 30ML</v>
      </c>
      <c r="G1234" s="34" t="str">
        <f aca="false">'Uso e Consumo'!J1234</f>
        <v>UN</v>
      </c>
      <c r="H1234" s="49" t="n">
        <f aca="false">'Uso e Consumo'!F1234</f>
        <v>200</v>
      </c>
      <c r="I1234" s="35" t="n">
        <f aca="false">'Uso e Consumo'!G1234</f>
        <v>600</v>
      </c>
      <c r="J1234" s="34" t="str">
        <f aca="false">'Uso e Consumo'!M1234</f>
        <v>4.3.4.007 - Mobiliário médico/equipamentos/acessórios</v>
      </c>
      <c r="K1234" s="32" t="str">
        <f aca="false">INDEX('Curva ABC'!$K$8:$K$2847,MATCH(D1234,'Curva ABC'!$B$8:$B$2847,0))</f>
        <v>C</v>
      </c>
    </row>
    <row r="1235" customFormat="false" ht="15" hidden="false" customHeight="false" outlineLevel="0" collapsed="false">
      <c r="A1235" s="34" t="s">
        <v>5799</v>
      </c>
      <c r="B1235" s="34" t="str">
        <f aca="false">'Uso e Consumo'!A1235</f>
        <v>0335</v>
      </c>
      <c r="C1235" s="34" t="str">
        <f aca="false">'Uso e Consumo'!B1235</f>
        <v>UFV NORONHA VERDE - USO E CONSUMO</v>
      </c>
      <c r="D1235" s="33" t="n">
        <f aca="false">'Uso e Consumo'!C1235</f>
        <v>284063</v>
      </c>
      <c r="E1235" s="34" t="str">
        <f aca="false">'Uso e Consumo'!D1235</f>
        <v>24.40.0052</v>
      </c>
      <c r="F1235" s="34" t="str">
        <f aca="false">'Uso e Consumo'!E1235</f>
        <v>TALHADEIRA PARA MARTELETE DE 11KG</v>
      </c>
      <c r="G1235" s="34" t="str">
        <f aca="false">'Uso e Consumo'!J1235</f>
        <v>UN</v>
      </c>
      <c r="H1235" s="49" t="n">
        <f aca="false">'Uso e Consumo'!F1235</f>
        <v>10</v>
      </c>
      <c r="I1235" s="35" t="n">
        <f aca="false">'Uso e Consumo'!G1235</f>
        <v>600</v>
      </c>
      <c r="J1235" s="34" t="str">
        <f aca="false">'Uso e Consumo'!M1235</f>
        <v>3.8.2.002 - Ferramentas manuais</v>
      </c>
      <c r="K1235" s="32" t="str">
        <f aca="false">INDEX('Curva ABC'!$K$8:$K$2847,MATCH(D1235,'Curva ABC'!$B$8:$B$2847,0))</f>
        <v>C</v>
      </c>
    </row>
    <row r="1236" customFormat="false" ht="15" hidden="false" customHeight="false" outlineLevel="0" collapsed="false">
      <c r="A1236" s="34" t="s">
        <v>5799</v>
      </c>
      <c r="B1236" s="34" t="str">
        <f aca="false">'Uso e Consumo'!A1236</f>
        <v>0335</v>
      </c>
      <c r="C1236" s="34" t="str">
        <f aca="false">'Uso e Consumo'!B1236</f>
        <v>UFV NORONHA VERDE - USO E CONSUMO</v>
      </c>
      <c r="D1236" s="33" t="n">
        <f aca="false">'Uso e Consumo'!C1236</f>
        <v>294153</v>
      </c>
      <c r="E1236" s="34" t="str">
        <f aca="false">'Uso e Consumo'!D1236</f>
        <v>29.02.0332</v>
      </c>
      <c r="F1236" s="34" t="str">
        <f aca="false">'Uso e Consumo'!E1236</f>
        <v>MESA REDONDA 1,20MX15MM MDP CINZA </v>
      </c>
      <c r="G1236" s="34" t="str">
        <f aca="false">'Uso e Consumo'!J1236</f>
        <v>UN</v>
      </c>
      <c r="H1236" s="49" t="n">
        <f aca="false">'Uso e Consumo'!F1236</f>
        <v>2</v>
      </c>
      <c r="I1236" s="35" t="n">
        <f aca="false">'Uso e Consumo'!G1236</f>
        <v>600</v>
      </c>
      <c r="J1236" s="34" t="str">
        <f aca="false">'Uso e Consumo'!M1236</f>
        <v>4.1.1.008 - Mobiliário e acessórios</v>
      </c>
      <c r="K1236" s="32" t="str">
        <f aca="false">INDEX('Curva ABC'!$K$8:$K$2847,MATCH(D1236,'Curva ABC'!$B$8:$B$2847,0))</f>
        <v>C</v>
      </c>
    </row>
    <row r="1237" customFormat="false" ht="15" hidden="false" customHeight="false" outlineLevel="0" collapsed="false">
      <c r="A1237" s="34" t="s">
        <v>5799</v>
      </c>
      <c r="B1237" s="34" t="str">
        <f aca="false">'Uso e Consumo'!A1237</f>
        <v>0335</v>
      </c>
      <c r="C1237" s="34" t="str">
        <f aca="false">'Uso e Consumo'!B1237</f>
        <v>UFV NORONHA VERDE - USO E CONSUMO</v>
      </c>
      <c r="D1237" s="33" t="n">
        <f aca="false">'Uso e Consumo'!C1237</f>
        <v>347714</v>
      </c>
      <c r="E1237" s="34" t="str">
        <f aca="false">'Uso e Consumo'!D1237</f>
        <v>32.02.0219</v>
      </c>
      <c r="F1237" s="34" t="str">
        <f aca="false">'Uso e Consumo'!E1237</f>
        <v>CINTA DE ELEVAÇÃO CAPACIDADE 4,0T COM 6,0M</v>
      </c>
      <c r="G1237" s="34" t="str">
        <f aca="false">'Uso e Consumo'!J1237</f>
        <v>UN</v>
      </c>
      <c r="H1237" s="49" t="n">
        <f aca="false">'Uso e Consumo'!F1237</f>
        <v>2</v>
      </c>
      <c r="I1237" s="35" t="n">
        <f aca="false">'Uso e Consumo'!G1237</f>
        <v>599.76</v>
      </c>
      <c r="J1237" s="34" t="str">
        <f aca="false">'Uso e Consumo'!M1237</f>
        <v>6.1.2.002 - Ferramentas e utensílios</v>
      </c>
      <c r="K1237" s="32" t="str">
        <f aca="false">INDEX('Curva ABC'!$K$8:$K$2847,MATCH(D1237,'Curva ABC'!$B$8:$B$2847,0))</f>
        <v>C</v>
      </c>
    </row>
    <row r="1238" customFormat="false" ht="15" hidden="false" customHeight="false" outlineLevel="0" collapsed="false">
      <c r="A1238" s="34" t="s">
        <v>5799</v>
      </c>
      <c r="B1238" s="34" t="str">
        <f aca="false">'Uso e Consumo'!A1238</f>
        <v>0335</v>
      </c>
      <c r="C1238" s="34" t="str">
        <f aca="false">'Uso e Consumo'!B1238</f>
        <v>UFV NORONHA VERDE - USO E CONSUMO</v>
      </c>
      <c r="D1238" s="33" t="n">
        <f aca="false">'Uso e Consumo'!C1238</f>
        <v>1062490</v>
      </c>
      <c r="E1238" s="34" t="str">
        <f aca="false">'Uso e Consumo'!D1238</f>
        <v>18.07.0092</v>
      </c>
      <c r="F1238" s="34" t="str">
        <f aca="false">'Uso e Consumo'!E1238</f>
        <v>CAIXA D AGUA DE POLIETILENO 500 LITROS</v>
      </c>
      <c r="G1238" s="34" t="str">
        <f aca="false">'Uso e Consumo'!J1238</f>
        <v>UN</v>
      </c>
      <c r="H1238" s="49" t="n">
        <f aca="false">'Uso e Consumo'!F1238</f>
        <v>1</v>
      </c>
      <c r="I1238" s="35" t="n">
        <f aca="false">'Uso e Consumo'!G1238</f>
        <v>598</v>
      </c>
      <c r="J1238" s="34" t="str">
        <f aca="false">'Uso e Consumo'!M1238</f>
        <v>3.8.1.018 - Instalações hidráulicas/sanitárias/industriais</v>
      </c>
      <c r="K1238" s="32" t="str">
        <f aca="false">INDEX('Curva ABC'!$K$8:$K$2847,MATCH(D1238,'Curva ABC'!$B$8:$B$2847,0))</f>
        <v>C</v>
      </c>
    </row>
    <row r="1239" customFormat="false" ht="15" hidden="false" customHeight="false" outlineLevel="0" collapsed="false">
      <c r="A1239" s="34" t="s">
        <v>5799</v>
      </c>
      <c r="B1239" s="34" t="str">
        <f aca="false">'Uso e Consumo'!A1239</f>
        <v>0335</v>
      </c>
      <c r="C1239" s="34" t="str">
        <f aca="false">'Uso e Consumo'!B1239</f>
        <v>UFV NORONHA VERDE - USO E CONSUMO</v>
      </c>
      <c r="D1239" s="33" t="n">
        <f aca="false">'Uso e Consumo'!C1239</f>
        <v>945205</v>
      </c>
      <c r="E1239" s="34" t="str">
        <f aca="false">'Uso e Consumo'!D1239</f>
        <v>26.02.0204</v>
      </c>
      <c r="F1239" s="34" t="str">
        <f aca="false">'Uso e Consumo'!E1239</f>
        <v>BOTA DE COURO SOLADO VULCANIZADO C/PNEU C/PALMILHA DE ACO</v>
      </c>
      <c r="G1239" s="34" t="str">
        <f aca="false">'Uso e Consumo'!J1239</f>
        <v>PAR</v>
      </c>
      <c r="H1239" s="49" t="n">
        <f aca="false">'Uso e Consumo'!F1239</f>
        <v>2</v>
      </c>
      <c r="I1239" s="35" t="n">
        <f aca="false">'Uso e Consumo'!G1239</f>
        <v>596</v>
      </c>
      <c r="J1239" s="34" t="str">
        <f aca="false">'Uso e Consumo'!M1239</f>
        <v>4.3.4.001 - Equipamento de proteção individual</v>
      </c>
      <c r="K1239" s="32" t="str">
        <f aca="false">INDEX('Curva ABC'!$K$8:$K$2847,MATCH(D1239,'Curva ABC'!$B$8:$B$2847,0))</f>
        <v>C</v>
      </c>
    </row>
    <row r="1240" customFormat="false" ht="15" hidden="false" customHeight="false" outlineLevel="0" collapsed="false">
      <c r="A1240" s="34" t="s">
        <v>5799</v>
      </c>
      <c r="B1240" s="34" t="str">
        <f aca="false">'Uso e Consumo'!A1240</f>
        <v>0335</v>
      </c>
      <c r="C1240" s="34" t="str">
        <f aca="false">'Uso e Consumo'!B1240</f>
        <v>UFV NORONHA VERDE - USO E CONSUMO</v>
      </c>
      <c r="D1240" s="33" t="n">
        <f aca="false">'Uso e Consumo'!C1240</f>
        <v>1613483</v>
      </c>
      <c r="E1240" s="34" t="str">
        <f aca="false">'Uso e Consumo'!D1240</f>
        <v>17.10.0436</v>
      </c>
      <c r="F1240" s="34" t="str">
        <f aca="false">'Uso e Consumo'!E1240</f>
        <v>INTERRUPTOR DIFERENCIAL RESIDUAL BIPOLAR, CORRENTE NOMINAL DE 80A, CORRENTE DIFERENCIAL RESIDUAL DE 30MA</v>
      </c>
      <c r="G1240" s="34" t="str">
        <f aca="false">'Uso e Consumo'!J1240</f>
        <v>UN</v>
      </c>
      <c r="H1240" s="49" t="n">
        <f aca="false">'Uso e Consumo'!F1240</f>
        <v>3</v>
      </c>
      <c r="I1240" s="35" t="n">
        <f aca="false">'Uso e Consumo'!G1240</f>
        <v>595.57</v>
      </c>
      <c r="J1240" s="34" t="str">
        <f aca="false">'Uso e Consumo'!M1240</f>
        <v>3.8.1.017 - Instalações elétricas/telefônicas/lógica</v>
      </c>
      <c r="K1240" s="32" t="str">
        <f aca="false">INDEX('Curva ABC'!$K$8:$K$2847,MATCH(D1240,'Curva ABC'!$B$8:$B$2847,0))</f>
        <v>C</v>
      </c>
    </row>
    <row r="1241" customFormat="false" ht="15" hidden="false" customHeight="false" outlineLevel="0" collapsed="false">
      <c r="A1241" s="34" t="s">
        <v>5799</v>
      </c>
      <c r="B1241" s="34" t="str">
        <f aca="false">'Uso e Consumo'!A1241</f>
        <v>0335</v>
      </c>
      <c r="C1241" s="34" t="str">
        <f aca="false">'Uso e Consumo'!B1241</f>
        <v>UFV NORONHA VERDE - USO E CONSUMO</v>
      </c>
      <c r="D1241" s="33" t="n">
        <f aca="false">'Uso e Consumo'!C1241</f>
        <v>959719</v>
      </c>
      <c r="E1241" s="34" t="str">
        <f aca="false">'Uso e Consumo'!D1241</f>
        <v>32.07.0187</v>
      </c>
      <c r="F1241" s="34" t="str">
        <f aca="false">'Uso e Consumo'!E1241</f>
        <v>CHAPA LATERAL SABRE MOTOSSERRA STHIL 361</v>
      </c>
      <c r="G1241" s="34" t="str">
        <f aca="false">'Uso e Consumo'!J1241</f>
        <v>UN</v>
      </c>
      <c r="H1241" s="49" t="n">
        <f aca="false">'Uso e Consumo'!F1241</f>
        <v>18</v>
      </c>
      <c r="I1241" s="35" t="n">
        <f aca="false">'Uso e Consumo'!G1241</f>
        <v>594.22</v>
      </c>
      <c r="J1241" s="34" t="str">
        <f aca="false">'Uso e Consumo'!M1241</f>
        <v>6.1.2.001 - Equipamentos</v>
      </c>
      <c r="K1241" s="32" t="str">
        <f aca="false">INDEX('Curva ABC'!$K$8:$K$2847,MATCH(D1241,'Curva ABC'!$B$8:$B$2847,0))</f>
        <v>C</v>
      </c>
    </row>
    <row r="1242" customFormat="false" ht="15" hidden="false" customHeight="false" outlineLevel="0" collapsed="false">
      <c r="A1242" s="34" t="s">
        <v>5799</v>
      </c>
      <c r="B1242" s="34" t="str">
        <f aca="false">'Uso e Consumo'!A1242</f>
        <v>0335</v>
      </c>
      <c r="C1242" s="34" t="str">
        <f aca="false">'Uso e Consumo'!B1242</f>
        <v>UFV NORONHA VERDE - USO E CONSUMO</v>
      </c>
      <c r="D1242" s="33" t="n">
        <f aca="false">'Uso e Consumo'!C1242</f>
        <v>1475856</v>
      </c>
      <c r="E1242" s="34" t="str">
        <f aca="false">'Uso e Consumo'!D1242</f>
        <v>24.08.0152</v>
      </c>
      <c r="F1242" s="34" t="str">
        <f aca="false">'Uso e Consumo'!E1242</f>
        <v>ALICATE DESENCAPADOR DE CABOS ELÉTRICOS</v>
      </c>
      <c r="G1242" s="34" t="str">
        <f aca="false">'Uso e Consumo'!J1242</f>
        <v>UN</v>
      </c>
      <c r="H1242" s="49" t="n">
        <f aca="false">'Uso e Consumo'!F1242</f>
        <v>5</v>
      </c>
      <c r="I1242" s="35" t="n">
        <f aca="false">'Uso e Consumo'!G1242</f>
        <v>594.01</v>
      </c>
      <c r="J1242" s="34" t="str">
        <f aca="false">'Uso e Consumo'!M1242</f>
        <v>3.8.2.002 - Ferramentas manuais</v>
      </c>
      <c r="K1242" s="32" t="str">
        <f aca="false">INDEX('Curva ABC'!$K$8:$K$2847,MATCH(D1242,'Curva ABC'!$B$8:$B$2847,0))</f>
        <v>C</v>
      </c>
    </row>
    <row r="1243" customFormat="false" ht="15" hidden="false" customHeight="false" outlineLevel="0" collapsed="false">
      <c r="A1243" s="34" t="s">
        <v>5799</v>
      </c>
      <c r="B1243" s="34" t="str">
        <f aca="false">'Uso e Consumo'!A1243</f>
        <v>0335</v>
      </c>
      <c r="C1243" s="34" t="str">
        <f aca="false">'Uso e Consumo'!B1243</f>
        <v>UFV NORONHA VERDE - USO E CONSUMO</v>
      </c>
      <c r="D1243" s="33" t="n">
        <f aca="false">'Uso e Consumo'!C1243</f>
        <v>1014204</v>
      </c>
      <c r="E1243" s="34" t="str">
        <f aca="false">'Uso e Consumo'!D1243</f>
        <v>30.03.0497</v>
      </c>
      <c r="F1243" s="34" t="str">
        <f aca="false">'Uso e Consumo'!E1243</f>
        <v>BALDE METALICO 15 L</v>
      </c>
      <c r="G1243" s="34" t="str">
        <f aca="false">'Uso e Consumo'!J1243</f>
        <v>UN</v>
      </c>
      <c r="H1243" s="49" t="n">
        <f aca="false">'Uso e Consumo'!F1243</f>
        <v>18</v>
      </c>
      <c r="I1243" s="35" t="n">
        <f aca="false">'Uso e Consumo'!G1243</f>
        <v>594</v>
      </c>
      <c r="J1243" s="34" t="str">
        <f aca="false">'Uso e Consumo'!M1243</f>
        <v>4.1.1.003 - Material limpeza</v>
      </c>
      <c r="K1243" s="32" t="str">
        <f aca="false">INDEX('Curva ABC'!$K$8:$K$2847,MATCH(D1243,'Curva ABC'!$B$8:$B$2847,0))</f>
        <v>C</v>
      </c>
    </row>
    <row r="1244" customFormat="false" ht="15" hidden="false" customHeight="false" outlineLevel="0" collapsed="false">
      <c r="A1244" s="34" t="s">
        <v>5799</v>
      </c>
      <c r="B1244" s="34" t="str">
        <f aca="false">'Uso e Consumo'!A1244</f>
        <v>0335</v>
      </c>
      <c r="C1244" s="34" t="str">
        <f aca="false">'Uso e Consumo'!B1244</f>
        <v>UFV NORONHA VERDE - USO E CONSUMO</v>
      </c>
      <c r="D1244" s="33" t="n">
        <f aca="false">'Uso e Consumo'!C1244</f>
        <v>17953</v>
      </c>
      <c r="E1244" s="34" t="str">
        <f aca="false">'Uso e Consumo'!D1244</f>
        <v>24.09.0047</v>
      </c>
      <c r="F1244" s="34" t="str">
        <f aca="false">'Uso e Consumo'!E1244</f>
        <v>CHAVE COMBINADA 3/4" AÇO CARBONO CROMADO</v>
      </c>
      <c r="G1244" s="34" t="str">
        <f aca="false">'Uso e Consumo'!J1244</f>
        <v>UN</v>
      </c>
      <c r="H1244" s="49" t="n">
        <f aca="false">'Uso e Consumo'!F1244</f>
        <v>15</v>
      </c>
      <c r="I1244" s="35" t="n">
        <f aca="false">'Uso e Consumo'!G1244</f>
        <v>592.6</v>
      </c>
      <c r="J1244" s="34" t="str">
        <f aca="false">'Uso e Consumo'!M1244</f>
        <v>3.8.2.002 - Ferramentas manuais</v>
      </c>
      <c r="K1244" s="32" t="str">
        <f aca="false">INDEX('Curva ABC'!$K$8:$K$2847,MATCH(D1244,'Curva ABC'!$B$8:$B$2847,0))</f>
        <v>C</v>
      </c>
    </row>
    <row r="1245" customFormat="false" ht="15" hidden="false" customHeight="false" outlineLevel="0" collapsed="false">
      <c r="A1245" s="34" t="s">
        <v>5799</v>
      </c>
      <c r="B1245" s="34" t="str">
        <f aca="false">'Uso e Consumo'!A1245</f>
        <v>0335</v>
      </c>
      <c r="C1245" s="34" t="str">
        <f aca="false">'Uso e Consumo'!B1245</f>
        <v>UFV NORONHA VERDE - USO E CONSUMO</v>
      </c>
      <c r="D1245" s="33" t="n">
        <f aca="false">'Uso e Consumo'!C1245</f>
        <v>390718</v>
      </c>
      <c r="E1245" s="34" t="str">
        <f aca="false">'Uso e Consumo'!D1245</f>
        <v>34.03.0657</v>
      </c>
      <c r="F1245" s="34" t="str">
        <f aca="false">'Uso e Consumo'!E1245</f>
        <v>PNEU RADIAL 185/60 R 15</v>
      </c>
      <c r="G1245" s="34" t="str">
        <f aca="false">'Uso e Consumo'!J1245</f>
        <v>UN</v>
      </c>
      <c r="H1245" s="49" t="n">
        <f aca="false">'Uso e Consumo'!F1245</f>
        <v>2</v>
      </c>
      <c r="I1245" s="35" t="n">
        <f aca="false">'Uso e Consumo'!G1245</f>
        <v>592</v>
      </c>
      <c r="J1245" s="34" t="str">
        <f aca="false">'Uso e Consumo'!M1245</f>
        <v>3.1.6.002 - Pneus e peças</v>
      </c>
      <c r="K1245" s="32" t="str">
        <f aca="false">INDEX('Curva ABC'!$K$8:$K$2847,MATCH(D1245,'Curva ABC'!$B$8:$B$2847,0))</f>
        <v>C</v>
      </c>
    </row>
    <row r="1246" customFormat="false" ht="15" hidden="false" customHeight="false" outlineLevel="0" collapsed="false">
      <c r="A1246" s="34" t="s">
        <v>5799</v>
      </c>
      <c r="B1246" s="34" t="str">
        <f aca="false">'Uso e Consumo'!A1246</f>
        <v>0335</v>
      </c>
      <c r="C1246" s="34" t="str">
        <f aca="false">'Uso e Consumo'!B1246</f>
        <v>UFV NORONHA VERDE - USO E CONSUMO</v>
      </c>
      <c r="D1246" s="33" t="n">
        <f aca="false">'Uso e Consumo'!C1246</f>
        <v>1475202</v>
      </c>
      <c r="E1246" s="34" t="str">
        <f aca="false">'Uso e Consumo'!D1246</f>
        <v>17.05.0124</v>
      </c>
      <c r="F1246" s="34" t="str">
        <f aca="false">'Uso e Consumo'!E1246</f>
        <v>CAIXA LIGAÇÃO ALUMÍNIO TIPO T EXTERNA Ø2" BSP</v>
      </c>
      <c r="G1246" s="34" t="str">
        <f aca="false">'Uso e Consumo'!J1246</f>
        <v>UN</v>
      </c>
      <c r="H1246" s="49" t="n">
        <f aca="false">'Uso e Consumo'!F1246</f>
        <v>8</v>
      </c>
      <c r="I1246" s="35" t="n">
        <f aca="false">'Uso e Consumo'!G1246</f>
        <v>591.06</v>
      </c>
      <c r="J1246" s="34" t="str">
        <f aca="false">'Uso e Consumo'!M1246</f>
        <v>3.8.1.017 - Instalações elétricas/telefônicas/lógica</v>
      </c>
      <c r="K1246" s="32" t="str">
        <f aca="false">INDEX('Curva ABC'!$K$8:$K$2847,MATCH(D1246,'Curva ABC'!$B$8:$B$2847,0))</f>
        <v>C</v>
      </c>
    </row>
    <row r="1247" customFormat="false" ht="15" hidden="false" customHeight="false" outlineLevel="0" collapsed="false">
      <c r="A1247" s="34" t="s">
        <v>5799</v>
      </c>
      <c r="B1247" s="34" t="str">
        <f aca="false">'Uso e Consumo'!A1247</f>
        <v>0335</v>
      </c>
      <c r="C1247" s="34" t="str">
        <f aca="false">'Uso e Consumo'!B1247</f>
        <v>UFV NORONHA VERDE - USO E CONSUMO</v>
      </c>
      <c r="D1247" s="33" t="n">
        <f aca="false">'Uso e Consumo'!C1247</f>
        <v>34262</v>
      </c>
      <c r="E1247" s="34" t="str">
        <f aca="false">'Uso e Consumo'!D1247</f>
        <v>30.09.0006</v>
      </c>
      <c r="F1247" s="34" t="str">
        <f aca="false">'Uso e Consumo'!E1247</f>
        <v>CLORO EM TABLETE 200GR</v>
      </c>
      <c r="G1247" s="34" t="str">
        <f aca="false">'Uso e Consumo'!J1247</f>
        <v>UN</v>
      </c>
      <c r="H1247" s="49" t="n">
        <f aca="false">'Uso e Consumo'!F1247</f>
        <v>100</v>
      </c>
      <c r="I1247" s="35" t="n">
        <f aca="false">'Uso e Consumo'!G1247</f>
        <v>591</v>
      </c>
      <c r="J1247" s="34" t="str">
        <f aca="false">'Uso e Consumo'!M1247</f>
        <v>4.1.1.003 - Material limpeza</v>
      </c>
      <c r="K1247" s="32" t="str">
        <f aca="false">INDEX('Curva ABC'!$K$8:$K$2847,MATCH(D1247,'Curva ABC'!$B$8:$B$2847,0))</f>
        <v>C</v>
      </c>
    </row>
    <row r="1248" customFormat="false" ht="15" hidden="false" customHeight="false" outlineLevel="0" collapsed="false">
      <c r="A1248" s="34" t="s">
        <v>5799</v>
      </c>
      <c r="B1248" s="34" t="str">
        <f aca="false">'Uso e Consumo'!A1248</f>
        <v>0335</v>
      </c>
      <c r="C1248" s="34" t="str">
        <f aca="false">'Uso e Consumo'!B1248</f>
        <v>UFV NORONHA VERDE - USO E CONSUMO</v>
      </c>
      <c r="D1248" s="33" t="n">
        <f aca="false">'Uso e Consumo'!C1248</f>
        <v>1067231</v>
      </c>
      <c r="E1248" s="34" t="str">
        <f aca="false">'Uso e Consumo'!D1248</f>
        <v>26.06.0135</v>
      </c>
      <c r="F1248" s="34" t="str">
        <f aca="false">'Uso e Consumo'!E1248</f>
        <v>LUVA PARA OPERADOR DE MOTOSERRA</v>
      </c>
      <c r="G1248" s="34" t="str">
        <f aca="false">'Uso e Consumo'!J1248</f>
        <v>PAR</v>
      </c>
      <c r="H1248" s="49" t="n">
        <f aca="false">'Uso e Consumo'!F1248</f>
        <v>13</v>
      </c>
      <c r="I1248" s="35" t="n">
        <f aca="false">'Uso e Consumo'!G1248</f>
        <v>588.8</v>
      </c>
      <c r="J1248" s="34" t="str">
        <f aca="false">'Uso e Consumo'!M1248</f>
        <v>4.3.4.001 - Equipamento de proteção individual</v>
      </c>
      <c r="K1248" s="32" t="str">
        <f aca="false">INDEX('Curva ABC'!$K$8:$K$2847,MATCH(D1248,'Curva ABC'!$B$8:$B$2847,0))</f>
        <v>C</v>
      </c>
    </row>
    <row r="1249" customFormat="false" ht="15" hidden="false" customHeight="false" outlineLevel="0" collapsed="false">
      <c r="A1249" s="34" t="s">
        <v>5799</v>
      </c>
      <c r="B1249" s="34" t="str">
        <f aca="false">'Uso e Consumo'!A1249</f>
        <v>0335</v>
      </c>
      <c r="C1249" s="34" t="str">
        <f aca="false">'Uso e Consumo'!B1249</f>
        <v>UFV NORONHA VERDE - USO E CONSUMO</v>
      </c>
      <c r="D1249" s="33" t="n">
        <f aca="false">'Uso e Consumo'!C1249</f>
        <v>946746</v>
      </c>
      <c r="E1249" s="34" t="str">
        <f aca="false">'Uso e Consumo'!D1249</f>
        <v>24.35.0014</v>
      </c>
      <c r="F1249" s="34" t="str">
        <f aca="false">'Uso e Consumo'!E1249</f>
        <v>ENXADA C/ CABO 2.1/2"</v>
      </c>
      <c r="G1249" s="34" t="str">
        <f aca="false">'Uso e Consumo'!J1249</f>
        <v>UN</v>
      </c>
      <c r="H1249" s="49" t="n">
        <f aca="false">'Uso e Consumo'!F1249</f>
        <v>12</v>
      </c>
      <c r="I1249" s="35" t="n">
        <f aca="false">'Uso e Consumo'!G1249</f>
        <v>588</v>
      </c>
      <c r="J1249" s="34" t="str">
        <f aca="false">'Uso e Consumo'!M1249</f>
        <v>3.8.2.002 - Ferramentas manuais</v>
      </c>
      <c r="K1249" s="32" t="str">
        <f aca="false">INDEX('Curva ABC'!$K$8:$K$2847,MATCH(D1249,'Curva ABC'!$B$8:$B$2847,0))</f>
        <v>C</v>
      </c>
    </row>
    <row r="1250" customFormat="false" ht="15" hidden="false" customHeight="false" outlineLevel="0" collapsed="false">
      <c r="A1250" s="34" t="s">
        <v>5799</v>
      </c>
      <c r="B1250" s="34" t="str">
        <f aca="false">'Uso e Consumo'!A1250</f>
        <v>0335</v>
      </c>
      <c r="C1250" s="34" t="str">
        <f aca="false">'Uso e Consumo'!B1250</f>
        <v>UFV NORONHA VERDE - USO E CONSUMO</v>
      </c>
      <c r="D1250" s="33" t="n">
        <f aca="false">'Uso e Consumo'!C1250</f>
        <v>1312601</v>
      </c>
      <c r="E1250" s="34" t="str">
        <f aca="false">'Uso e Consumo'!D1250</f>
        <v>33.02.3128</v>
      </c>
      <c r="F1250" s="34" t="str">
        <f aca="false">'Uso e Consumo'!E1250</f>
        <v>TAMPA DO PINHÃO DA CORRENTE 1135-640-1703</v>
      </c>
      <c r="G1250" s="34" t="str">
        <f aca="false">'Uso e Consumo'!J1250</f>
        <v>UN</v>
      </c>
      <c r="H1250" s="49" t="n">
        <f aca="false">'Uso e Consumo'!F1250</f>
        <v>3</v>
      </c>
      <c r="I1250" s="35" t="n">
        <f aca="false">'Uso e Consumo'!G1250</f>
        <v>585.75</v>
      </c>
      <c r="J1250" s="34" t="str">
        <f aca="false">'Uso e Consumo'!M1250</f>
        <v>3.1.6.002 - Pneus e peças</v>
      </c>
      <c r="K1250" s="32" t="str">
        <f aca="false">INDEX('Curva ABC'!$K$8:$K$2847,MATCH(D1250,'Curva ABC'!$B$8:$B$2847,0))</f>
        <v>C</v>
      </c>
    </row>
    <row r="1251" customFormat="false" ht="15" hidden="false" customHeight="false" outlineLevel="0" collapsed="false">
      <c r="A1251" s="34" t="s">
        <v>5799</v>
      </c>
      <c r="B1251" s="34" t="str">
        <f aca="false">'Uso e Consumo'!A1251</f>
        <v>0335</v>
      </c>
      <c r="C1251" s="34" t="str">
        <f aca="false">'Uso e Consumo'!B1251</f>
        <v>UFV NORONHA VERDE - USO E CONSUMO</v>
      </c>
      <c r="D1251" s="33" t="n">
        <f aca="false">'Uso e Consumo'!C1251</f>
        <v>477027</v>
      </c>
      <c r="E1251" s="34" t="str">
        <f aca="false">'Uso e Consumo'!D1251</f>
        <v>17.10.0354</v>
      </c>
      <c r="F1251" s="34" t="str">
        <f aca="false">'Uso e Consumo'!E1251</f>
        <v>DISJUNTOR MONOFÁSICO 16A - 3kA</v>
      </c>
      <c r="G1251" s="34" t="str">
        <f aca="false">'Uso e Consumo'!J1251</f>
        <v>UN</v>
      </c>
      <c r="H1251" s="49" t="n">
        <f aca="false">'Uso e Consumo'!F1251</f>
        <v>15</v>
      </c>
      <c r="I1251" s="35" t="n">
        <f aca="false">'Uso e Consumo'!G1251</f>
        <v>585.74</v>
      </c>
      <c r="J1251" s="34" t="str">
        <f aca="false">'Uso e Consumo'!M1251</f>
        <v>3.8.1.017 - Instalações elétricas/telefônicas/lógica</v>
      </c>
      <c r="K1251" s="32" t="str">
        <f aca="false">INDEX('Curva ABC'!$K$8:$K$2847,MATCH(D1251,'Curva ABC'!$B$8:$B$2847,0))</f>
        <v>C</v>
      </c>
    </row>
    <row r="1252" customFormat="false" ht="15" hidden="false" customHeight="false" outlineLevel="0" collapsed="false">
      <c r="A1252" s="34" t="s">
        <v>5799</v>
      </c>
      <c r="B1252" s="34" t="str">
        <f aca="false">'Uso e Consumo'!A1252</f>
        <v>0335</v>
      </c>
      <c r="C1252" s="34" t="str">
        <f aca="false">'Uso e Consumo'!B1252</f>
        <v>UFV NORONHA VERDE - USO E CONSUMO</v>
      </c>
      <c r="D1252" s="33" t="n">
        <f aca="false">'Uso e Consumo'!C1252</f>
        <v>1463613</v>
      </c>
      <c r="E1252" s="34" t="str">
        <f aca="false">'Uso e Consumo'!D1252</f>
        <v>17.01.1238</v>
      </c>
      <c r="F1252" s="34" t="str">
        <f aca="false">'Uso e Consumo'!E1252</f>
        <v>CABO ELETRICO FLEXIVEL 450V/750V 1 X 4,00MM2 COBRE PVC CLASSE 5 AZUL NBRNM 247-3</v>
      </c>
      <c r="G1252" s="34" t="str">
        <f aca="false">'Uso e Consumo'!J1252</f>
        <v>M</v>
      </c>
      <c r="H1252" s="49" t="n">
        <f aca="false">'Uso e Consumo'!F1252</f>
        <v>139.5755</v>
      </c>
      <c r="I1252" s="35" t="n">
        <f aca="false">'Uso e Consumo'!G1252</f>
        <v>583.97</v>
      </c>
      <c r="J1252" s="34" t="str">
        <f aca="false">'Uso e Consumo'!M1252</f>
        <v>3.8.1.017 - Instalações elétricas/telefônicas/lógica</v>
      </c>
      <c r="K1252" s="32" t="str">
        <f aca="false">INDEX('Curva ABC'!$K$8:$K$2847,MATCH(D1252,'Curva ABC'!$B$8:$B$2847,0))</f>
        <v>C</v>
      </c>
    </row>
    <row r="1253" customFormat="false" ht="15" hidden="false" customHeight="false" outlineLevel="0" collapsed="false">
      <c r="A1253" s="34" t="s">
        <v>5799</v>
      </c>
      <c r="B1253" s="34" t="str">
        <f aca="false">'Uso e Consumo'!A1253</f>
        <v>0335</v>
      </c>
      <c r="C1253" s="34" t="str">
        <f aca="false">'Uso e Consumo'!B1253</f>
        <v>UFV NORONHA VERDE - USO E CONSUMO</v>
      </c>
      <c r="D1253" s="33" t="n">
        <f aca="false">'Uso e Consumo'!C1253</f>
        <v>1463686</v>
      </c>
      <c r="E1253" s="34" t="str">
        <f aca="false">'Uso e Consumo'!D1253</f>
        <v>17.01.1239</v>
      </c>
      <c r="F1253" s="34" t="str">
        <f aca="false">'Uso e Consumo'!E1253</f>
        <v>CABO ELETRICO FLEXIVEL 450V/750V 1 X 4,00MM2 COBRE PVC CLASSE 5 VERDE NBRNM 247-3</v>
      </c>
      <c r="G1253" s="34" t="str">
        <f aca="false">'Uso e Consumo'!J1253</f>
        <v>M</v>
      </c>
      <c r="H1253" s="49" t="n">
        <f aca="false">'Uso e Consumo'!F1253</f>
        <v>139.5755</v>
      </c>
      <c r="I1253" s="35" t="n">
        <f aca="false">'Uso e Consumo'!G1253</f>
        <v>583.97</v>
      </c>
      <c r="J1253" s="34" t="str">
        <f aca="false">'Uso e Consumo'!M1253</f>
        <v>3.8.1.017 - Instalações elétricas/telefônicas/lógica</v>
      </c>
      <c r="K1253" s="32" t="str">
        <f aca="false">INDEX('Curva ABC'!$K$8:$K$2847,MATCH(D1253,'Curva ABC'!$B$8:$B$2847,0))</f>
        <v>C</v>
      </c>
    </row>
    <row r="1254" customFormat="false" ht="15" hidden="false" customHeight="false" outlineLevel="0" collapsed="false">
      <c r="A1254" s="34" t="s">
        <v>5799</v>
      </c>
      <c r="B1254" s="34" t="str">
        <f aca="false">'Uso e Consumo'!A1254</f>
        <v>0335</v>
      </c>
      <c r="C1254" s="34" t="str">
        <f aca="false">'Uso e Consumo'!B1254</f>
        <v>UFV NORONHA VERDE - USO E CONSUMO</v>
      </c>
      <c r="D1254" s="33" t="n">
        <f aca="false">'Uso e Consumo'!C1254</f>
        <v>1463898</v>
      </c>
      <c r="E1254" s="34" t="str">
        <f aca="false">'Uso e Consumo'!D1254</f>
        <v>17.01.1240</v>
      </c>
      <c r="F1254" s="34" t="str">
        <f aca="false">'Uso e Consumo'!E1254</f>
        <v>CABO ELETRICO FLEXIVEL 450V/750V 1 X 4,00MM2 COBRE PVC CLASSE 5 VERMELHO NBRNM 247-3</v>
      </c>
      <c r="G1254" s="34" t="str">
        <f aca="false">'Uso e Consumo'!J1254</f>
        <v>M</v>
      </c>
      <c r="H1254" s="49" t="n">
        <f aca="false">'Uso e Consumo'!F1254</f>
        <v>139.5755</v>
      </c>
      <c r="I1254" s="35" t="n">
        <f aca="false">'Uso e Consumo'!G1254</f>
        <v>583.97</v>
      </c>
      <c r="J1254" s="34" t="str">
        <f aca="false">'Uso e Consumo'!M1254</f>
        <v>3.8.1.017 - Instalações elétricas/telefônicas/lógica</v>
      </c>
      <c r="K1254" s="32" t="str">
        <f aca="false">INDEX('Curva ABC'!$K$8:$K$2847,MATCH(D1254,'Curva ABC'!$B$8:$B$2847,0))</f>
        <v>C</v>
      </c>
    </row>
    <row r="1255" customFormat="false" ht="15" hidden="false" customHeight="false" outlineLevel="0" collapsed="false">
      <c r="A1255" s="34" t="s">
        <v>5799</v>
      </c>
      <c r="B1255" s="34" t="str">
        <f aca="false">'Uso e Consumo'!A1255</f>
        <v>0335</v>
      </c>
      <c r="C1255" s="34" t="str">
        <f aca="false">'Uso e Consumo'!B1255</f>
        <v>UFV NORONHA VERDE - USO E CONSUMO</v>
      </c>
      <c r="D1255" s="33" t="n">
        <f aca="false">'Uso e Consumo'!C1255</f>
        <v>22451</v>
      </c>
      <c r="E1255" s="34" t="str">
        <f aca="false">'Uso e Consumo'!D1255</f>
        <v>24.40.0022</v>
      </c>
      <c r="F1255" s="34" t="str">
        <f aca="false">'Uso e Consumo'!E1255</f>
        <v>PONTEIRO EM AÇO, SDS MAX – REF.: D-34431 – 18MM X 400MM – P/MARTELO ROMPEDOR ATÉ 11KG</v>
      </c>
      <c r="G1255" s="34" t="str">
        <f aca="false">'Uso e Consumo'!J1255</f>
        <v>UN</v>
      </c>
      <c r="H1255" s="49" t="n">
        <f aca="false">'Uso e Consumo'!F1255</f>
        <v>6</v>
      </c>
      <c r="I1255" s="35" t="n">
        <f aca="false">'Uso e Consumo'!G1255</f>
        <v>583.86</v>
      </c>
      <c r="J1255" s="34" t="str">
        <f aca="false">'Uso e Consumo'!M1255</f>
        <v>3.8.2.002 - Ferramentas manuais</v>
      </c>
      <c r="K1255" s="32" t="str">
        <f aca="false">INDEX('Curva ABC'!$K$8:$K$2847,MATCH(D1255,'Curva ABC'!$B$8:$B$2847,0))</f>
        <v>C</v>
      </c>
    </row>
    <row r="1256" customFormat="false" ht="15" hidden="false" customHeight="false" outlineLevel="0" collapsed="false">
      <c r="A1256" s="34" t="s">
        <v>5799</v>
      </c>
      <c r="B1256" s="34" t="str">
        <f aca="false">'Uso e Consumo'!A1256</f>
        <v>0335</v>
      </c>
      <c r="C1256" s="34" t="str">
        <f aca="false">'Uso e Consumo'!B1256</f>
        <v>UFV NORONHA VERDE - USO E CONSUMO</v>
      </c>
      <c r="D1256" s="33" t="n">
        <f aca="false">'Uso e Consumo'!C1256</f>
        <v>15698</v>
      </c>
      <c r="E1256" s="34" t="str">
        <f aca="false">'Uso e Consumo'!D1256</f>
        <v>18.03.0021</v>
      </c>
      <c r="F1256" s="34" t="str">
        <f aca="false">'Uso e Consumo'!E1256</f>
        <v>JOELHO 45GR FERRO FUNDIDO GALVANIZADO NPT 75,00MM</v>
      </c>
      <c r="G1256" s="34" t="str">
        <f aca="false">'Uso e Consumo'!J1256</f>
        <v>UN</v>
      </c>
      <c r="H1256" s="49" t="n">
        <f aca="false">'Uso e Consumo'!F1256</f>
        <v>4</v>
      </c>
      <c r="I1256" s="35" t="n">
        <f aca="false">'Uso e Consumo'!G1256</f>
        <v>580</v>
      </c>
      <c r="J1256" s="34" t="str">
        <f aca="false">'Uso e Consumo'!M1256</f>
        <v>3.8.1.018 - Instalações hidráulicas/sanitárias/industriais</v>
      </c>
      <c r="K1256" s="32" t="str">
        <f aca="false">INDEX('Curva ABC'!$K$8:$K$2847,MATCH(D1256,'Curva ABC'!$B$8:$B$2847,0))</f>
        <v>C</v>
      </c>
    </row>
    <row r="1257" customFormat="false" ht="15" hidden="false" customHeight="false" outlineLevel="0" collapsed="false">
      <c r="A1257" s="34" t="s">
        <v>5799</v>
      </c>
      <c r="B1257" s="34" t="str">
        <f aca="false">'Uso e Consumo'!A1257</f>
        <v>0335</v>
      </c>
      <c r="C1257" s="34" t="str">
        <f aca="false">'Uso e Consumo'!B1257</f>
        <v>UFV NORONHA VERDE - USO E CONSUMO</v>
      </c>
      <c r="D1257" s="33" t="n">
        <f aca="false">'Uso e Consumo'!C1257</f>
        <v>554093</v>
      </c>
      <c r="E1257" s="34" t="str">
        <f aca="false">'Uso e Consumo'!D1257</f>
        <v>26.02.0149</v>
      </c>
      <c r="F1257" s="34" t="str">
        <f aca="false">'Uso e Consumo'!E1257</f>
        <v>BOTINA TIPO B - CA 32807 - N 40</v>
      </c>
      <c r="G1257" s="34" t="str">
        <f aca="false">'Uso e Consumo'!J1257</f>
        <v>PAR</v>
      </c>
      <c r="H1257" s="49" t="n">
        <f aca="false">'Uso e Consumo'!F1257</f>
        <v>10</v>
      </c>
      <c r="I1257" s="35" t="n">
        <f aca="false">'Uso e Consumo'!G1257</f>
        <v>580</v>
      </c>
      <c r="J1257" s="34" t="str">
        <f aca="false">'Uso e Consumo'!M1257</f>
        <v>4.3.4.001 - Equipamento de proteção individual</v>
      </c>
      <c r="K1257" s="32" t="str">
        <f aca="false">INDEX('Curva ABC'!$K$8:$K$2847,MATCH(D1257,'Curva ABC'!$B$8:$B$2847,0))</f>
        <v>C</v>
      </c>
    </row>
    <row r="1258" customFormat="false" ht="15" hidden="false" customHeight="false" outlineLevel="0" collapsed="false">
      <c r="A1258" s="34" t="s">
        <v>5799</v>
      </c>
      <c r="B1258" s="34" t="str">
        <f aca="false">'Uso e Consumo'!A1258</f>
        <v>0335</v>
      </c>
      <c r="C1258" s="34" t="str">
        <f aca="false">'Uso e Consumo'!B1258</f>
        <v>UFV NORONHA VERDE - USO E CONSUMO</v>
      </c>
      <c r="D1258" s="33" t="n">
        <f aca="false">'Uso e Consumo'!C1258</f>
        <v>554095</v>
      </c>
      <c r="E1258" s="34" t="str">
        <f aca="false">'Uso e Consumo'!D1258</f>
        <v>26.02.0151</v>
      </c>
      <c r="F1258" s="34" t="str">
        <f aca="false">'Uso e Consumo'!E1258</f>
        <v>BOTINA TIPO B - CA 32807 - N 42</v>
      </c>
      <c r="G1258" s="34" t="str">
        <f aca="false">'Uso e Consumo'!J1258</f>
        <v>PAR</v>
      </c>
      <c r="H1258" s="49" t="n">
        <f aca="false">'Uso e Consumo'!F1258</f>
        <v>10</v>
      </c>
      <c r="I1258" s="35" t="n">
        <f aca="false">'Uso e Consumo'!G1258</f>
        <v>580</v>
      </c>
      <c r="J1258" s="34" t="str">
        <f aca="false">'Uso e Consumo'!M1258</f>
        <v>4.3.4.001 - Equipamento de proteção individual</v>
      </c>
      <c r="K1258" s="32" t="str">
        <f aca="false">INDEX('Curva ABC'!$K$8:$K$2847,MATCH(D1258,'Curva ABC'!$B$8:$B$2847,0))</f>
        <v>C</v>
      </c>
    </row>
    <row r="1259" customFormat="false" ht="15" hidden="false" customHeight="false" outlineLevel="0" collapsed="false">
      <c r="A1259" s="34" t="s">
        <v>5799</v>
      </c>
      <c r="B1259" s="34" t="str">
        <f aca="false">'Uso e Consumo'!A1259</f>
        <v>0335</v>
      </c>
      <c r="C1259" s="34" t="str">
        <f aca="false">'Uso e Consumo'!B1259</f>
        <v>UFV NORONHA VERDE - USO E CONSUMO</v>
      </c>
      <c r="D1259" s="33" t="n">
        <f aca="false">'Uso e Consumo'!C1259</f>
        <v>16834</v>
      </c>
      <c r="E1259" s="34" t="str">
        <f aca="false">'Uso e Consumo'!D1259</f>
        <v>23.05.0008</v>
      </c>
      <c r="F1259" s="34" t="str">
        <f aca="false">'Uso e Consumo'!E1259</f>
        <v>ARRUELA EM ALUMÍNIO PARA ELETRODUTO 2" ROSCA BSP</v>
      </c>
      <c r="G1259" s="34" t="str">
        <f aca="false">'Uso e Consumo'!J1259</f>
        <v>UN</v>
      </c>
      <c r="H1259" s="49" t="n">
        <f aca="false">'Uso e Consumo'!F1259</f>
        <v>149</v>
      </c>
      <c r="I1259" s="35" t="n">
        <f aca="false">'Uso e Consumo'!G1259</f>
        <v>576.14</v>
      </c>
      <c r="J1259" s="34" t="str">
        <f aca="false">'Uso e Consumo'!M1259</f>
        <v>3.8.1.022 - Elementos de fixação</v>
      </c>
      <c r="K1259" s="32" t="str">
        <f aca="false">INDEX('Curva ABC'!$K$8:$K$2847,MATCH(D1259,'Curva ABC'!$B$8:$B$2847,0))</f>
        <v>C</v>
      </c>
    </row>
    <row r="1260" customFormat="false" ht="15" hidden="false" customHeight="false" outlineLevel="0" collapsed="false">
      <c r="A1260" s="34" t="s">
        <v>5799</v>
      </c>
      <c r="B1260" s="34" t="str">
        <f aca="false">'Uso e Consumo'!A1260</f>
        <v>0335</v>
      </c>
      <c r="C1260" s="34" t="str">
        <f aca="false">'Uso e Consumo'!B1260</f>
        <v>UFV NORONHA VERDE - USO E CONSUMO</v>
      </c>
      <c r="D1260" s="33" t="n">
        <f aca="false">'Uso e Consumo'!C1260</f>
        <v>229818</v>
      </c>
      <c r="E1260" s="34" t="str">
        <f aca="false">'Uso e Consumo'!D1260</f>
        <v>23.07.1097</v>
      </c>
      <c r="F1260" s="34" t="str">
        <f aca="false">'Uso e Consumo'!E1260</f>
        <v>PARAFUSO PARA PERFIS METALICOS CX C/1000</v>
      </c>
      <c r="G1260" s="34" t="str">
        <f aca="false">'Uso e Consumo'!J1260</f>
        <v>CX</v>
      </c>
      <c r="H1260" s="49" t="n">
        <f aca="false">'Uso e Consumo'!F1260</f>
        <v>2</v>
      </c>
      <c r="I1260" s="35" t="n">
        <f aca="false">'Uso e Consumo'!G1260</f>
        <v>576</v>
      </c>
      <c r="J1260" s="34" t="str">
        <f aca="false">'Uso e Consumo'!M1260</f>
        <v>3.8.1.022 - Elementos de fixação</v>
      </c>
      <c r="K1260" s="32" t="str">
        <f aca="false">INDEX('Curva ABC'!$K$8:$K$2847,MATCH(D1260,'Curva ABC'!$B$8:$B$2847,0))</f>
        <v>C</v>
      </c>
    </row>
    <row r="1261" customFormat="false" ht="15" hidden="false" customHeight="false" outlineLevel="0" collapsed="false">
      <c r="A1261" s="34" t="s">
        <v>5799</v>
      </c>
      <c r="B1261" s="34" t="str">
        <f aca="false">'Uso e Consumo'!A1261</f>
        <v>0335</v>
      </c>
      <c r="C1261" s="34" t="str">
        <f aca="false">'Uso e Consumo'!B1261</f>
        <v>UFV NORONHA VERDE - USO E CONSUMO</v>
      </c>
      <c r="D1261" s="33" t="n">
        <f aca="false">'Uso e Consumo'!C1261</f>
        <v>883568</v>
      </c>
      <c r="E1261" s="34" t="str">
        <f aca="false">'Uso e Consumo'!D1261</f>
        <v>23.07.1406</v>
      </c>
      <c r="F1261" s="34" t="str">
        <f aca="false">'Uso e Consumo'!E1261</f>
        <v>CONJUNTO DE PARAFUSO M36</v>
      </c>
      <c r="G1261" s="34" t="str">
        <f aca="false">'Uso e Consumo'!J1261</f>
        <v>UN</v>
      </c>
      <c r="H1261" s="49" t="n">
        <f aca="false">'Uso e Consumo'!F1261</f>
        <v>2</v>
      </c>
      <c r="I1261" s="35" t="n">
        <f aca="false">'Uso e Consumo'!G1261</f>
        <v>576</v>
      </c>
      <c r="J1261" s="34" t="str">
        <f aca="false">'Uso e Consumo'!M1261</f>
        <v>3.8.1.022 - Elementos de fixação</v>
      </c>
      <c r="K1261" s="32" t="str">
        <f aca="false">INDEX('Curva ABC'!$K$8:$K$2847,MATCH(D1261,'Curva ABC'!$B$8:$B$2847,0))</f>
        <v>C</v>
      </c>
    </row>
    <row r="1262" customFormat="false" ht="15" hidden="false" customHeight="false" outlineLevel="0" collapsed="false">
      <c r="A1262" s="34" t="s">
        <v>5799</v>
      </c>
      <c r="B1262" s="34" t="str">
        <f aca="false">'Uso e Consumo'!A1262</f>
        <v>0335</v>
      </c>
      <c r="C1262" s="34" t="str">
        <f aca="false">'Uso e Consumo'!B1262</f>
        <v>UFV NORONHA VERDE - USO E CONSUMO</v>
      </c>
      <c r="D1262" s="33" t="n">
        <f aca="false">'Uso e Consumo'!C1262</f>
        <v>1256373</v>
      </c>
      <c r="E1262" s="34" t="str">
        <f aca="false">'Uso e Consumo'!D1262</f>
        <v>24.41.0368</v>
      </c>
      <c r="F1262" s="34" t="str">
        <f aca="false">'Uso e Consumo'!E1262</f>
        <v>ADAPTADOR PARA SOQUETE IMPACTO DE 3/8 PARA 1/2</v>
      </c>
      <c r="G1262" s="34" t="str">
        <f aca="false">'Uso e Consumo'!J1262</f>
        <v>UN</v>
      </c>
      <c r="H1262" s="49" t="n">
        <f aca="false">'Uso e Consumo'!F1262</f>
        <v>6</v>
      </c>
      <c r="I1262" s="35" t="n">
        <f aca="false">'Uso e Consumo'!G1262</f>
        <v>576</v>
      </c>
      <c r="J1262" s="34" t="str">
        <f aca="false">'Uso e Consumo'!M1262</f>
        <v>3.8.2.002 - Ferramentas manuais</v>
      </c>
      <c r="K1262" s="32" t="str">
        <f aca="false">INDEX('Curva ABC'!$K$8:$K$2847,MATCH(D1262,'Curva ABC'!$B$8:$B$2847,0))</f>
        <v>C</v>
      </c>
    </row>
    <row r="1263" customFormat="false" ht="15" hidden="false" customHeight="false" outlineLevel="0" collapsed="false">
      <c r="A1263" s="34" t="s">
        <v>5799</v>
      </c>
      <c r="B1263" s="34" t="str">
        <f aca="false">'Uso e Consumo'!A1263</f>
        <v>0335</v>
      </c>
      <c r="C1263" s="34" t="str">
        <f aca="false">'Uso e Consumo'!B1263</f>
        <v>UFV NORONHA VERDE - USO E CONSUMO</v>
      </c>
      <c r="D1263" s="33" t="n">
        <f aca="false">'Uso e Consumo'!C1263</f>
        <v>89334</v>
      </c>
      <c r="E1263" s="34" t="str">
        <f aca="false">'Uso e Consumo'!D1263</f>
        <v>24.24.0019</v>
      </c>
      <c r="F1263" s="34" t="str">
        <f aca="false">'Uso e Consumo'!E1263</f>
        <v>FURADEIRA DE IMPACTO 1/2" 220V 60HZ 750W</v>
      </c>
      <c r="G1263" s="34" t="str">
        <f aca="false">'Uso e Consumo'!J1263</f>
        <v>UN</v>
      </c>
      <c r="H1263" s="49" t="n">
        <f aca="false">'Uso e Consumo'!F1263</f>
        <v>1</v>
      </c>
      <c r="I1263" s="35" t="n">
        <f aca="false">'Uso e Consumo'!G1263</f>
        <v>575</v>
      </c>
      <c r="J1263" s="34" t="str">
        <f aca="false">'Uso e Consumo'!M1263</f>
        <v>3.8.2.003 - Ferramentas elétricas/pneumáticas</v>
      </c>
      <c r="K1263" s="32" t="str">
        <f aca="false">INDEX('Curva ABC'!$K$8:$K$2847,MATCH(D1263,'Curva ABC'!$B$8:$B$2847,0))</f>
        <v>C</v>
      </c>
    </row>
    <row r="1264" customFormat="false" ht="15" hidden="false" customHeight="false" outlineLevel="0" collapsed="false">
      <c r="A1264" s="34" t="s">
        <v>5799</v>
      </c>
      <c r="B1264" s="34" t="str">
        <f aca="false">'Uso e Consumo'!A1264</f>
        <v>0335</v>
      </c>
      <c r="C1264" s="34" t="str">
        <f aca="false">'Uso e Consumo'!B1264</f>
        <v>UFV NORONHA VERDE - USO E CONSUMO</v>
      </c>
      <c r="D1264" s="33" t="n">
        <f aca="false">'Uso e Consumo'!C1264</f>
        <v>221447</v>
      </c>
      <c r="E1264" s="34" t="str">
        <f aca="false">'Uso e Consumo'!D1264</f>
        <v>24.08.0038</v>
      </c>
      <c r="F1264" s="34" t="str">
        <f aca="false">'Uso e Consumo'!E1264</f>
        <v>ALICATE DE CORTE</v>
      </c>
      <c r="G1264" s="34" t="str">
        <f aca="false">'Uso e Consumo'!J1264</f>
        <v>UN</v>
      </c>
      <c r="H1264" s="49" t="n">
        <f aca="false">'Uso e Consumo'!F1264</f>
        <v>15</v>
      </c>
      <c r="I1264" s="35" t="n">
        <f aca="false">'Uso e Consumo'!G1264</f>
        <v>574.65</v>
      </c>
      <c r="J1264" s="34" t="str">
        <f aca="false">'Uso e Consumo'!M1264</f>
        <v>3.8.2.002 - Ferramentas manuais</v>
      </c>
      <c r="K1264" s="32" t="str">
        <f aca="false">INDEX('Curva ABC'!$K$8:$K$2847,MATCH(D1264,'Curva ABC'!$B$8:$B$2847,0))</f>
        <v>C</v>
      </c>
    </row>
    <row r="1265" customFormat="false" ht="15" hidden="false" customHeight="false" outlineLevel="0" collapsed="false">
      <c r="A1265" s="34" t="s">
        <v>5799</v>
      </c>
      <c r="B1265" s="34" t="str">
        <f aca="false">'Uso e Consumo'!A1265</f>
        <v>0335</v>
      </c>
      <c r="C1265" s="34" t="str">
        <f aca="false">'Uso e Consumo'!B1265</f>
        <v>UFV NORONHA VERDE - USO E CONSUMO</v>
      </c>
      <c r="D1265" s="33" t="n">
        <f aca="false">'Uso e Consumo'!C1265</f>
        <v>225263</v>
      </c>
      <c r="E1265" s="34" t="str">
        <f aca="false">'Uso e Consumo'!D1265</f>
        <v>17.12.0353</v>
      </c>
      <c r="F1265" s="34" t="str">
        <f aca="false">'Uso e Consumo'!E1265</f>
        <v>ACOPLAMENTO 2P+T 16A 220/240V N3056 STECK</v>
      </c>
      <c r="G1265" s="34" t="str">
        <f aca="false">'Uso e Consumo'!J1265</f>
        <v>UN</v>
      </c>
      <c r="H1265" s="49" t="n">
        <f aca="false">'Uso e Consumo'!F1265</f>
        <v>10</v>
      </c>
      <c r="I1265" s="35" t="n">
        <f aca="false">'Uso e Consumo'!G1265</f>
        <v>572.1</v>
      </c>
      <c r="J1265" s="34" t="str">
        <f aca="false">'Uso e Consumo'!M1265</f>
        <v>3.8.1.017 - Instalações elétricas/telefônicas/lógica</v>
      </c>
      <c r="K1265" s="32" t="str">
        <f aca="false">INDEX('Curva ABC'!$K$8:$K$2847,MATCH(D1265,'Curva ABC'!$B$8:$B$2847,0))</f>
        <v>C</v>
      </c>
    </row>
    <row r="1266" customFormat="false" ht="15" hidden="false" customHeight="false" outlineLevel="0" collapsed="false">
      <c r="A1266" s="34" t="s">
        <v>5799</v>
      </c>
      <c r="B1266" s="34" t="str">
        <f aca="false">'Uso e Consumo'!A1266</f>
        <v>0335</v>
      </c>
      <c r="C1266" s="34" t="str">
        <f aca="false">'Uso e Consumo'!B1266</f>
        <v>UFV NORONHA VERDE - USO E CONSUMO</v>
      </c>
      <c r="D1266" s="33" t="n">
        <f aca="false">'Uso e Consumo'!C1266</f>
        <v>18191</v>
      </c>
      <c r="E1266" s="34" t="str">
        <f aca="false">'Uso e Consumo'!D1266</f>
        <v>24.26.0003</v>
      </c>
      <c r="F1266" s="34" t="str">
        <f aca="false">'Uso e Consumo'!E1266</f>
        <v>SERRA MÁRMORE 125,00MM 1450W 12000RPM CORTE 90GR 40,00MM 220/230V REF GDC 14-40 BOSCH</v>
      </c>
      <c r="G1266" s="34" t="str">
        <f aca="false">'Uso e Consumo'!J1266</f>
        <v>UN</v>
      </c>
      <c r="H1266" s="49" t="n">
        <f aca="false">'Uso e Consumo'!F1266</f>
        <v>1</v>
      </c>
      <c r="I1266" s="35" t="n">
        <f aca="false">'Uso e Consumo'!G1266</f>
        <v>571.13</v>
      </c>
      <c r="J1266" s="34" t="str">
        <f aca="false">'Uso e Consumo'!M1266</f>
        <v>3.8.2.003 - Ferramentas elétricas/pneumáticas</v>
      </c>
      <c r="K1266" s="32" t="str">
        <f aca="false">INDEX('Curva ABC'!$K$8:$K$2847,MATCH(D1266,'Curva ABC'!$B$8:$B$2847,0))</f>
        <v>C</v>
      </c>
    </row>
    <row r="1267" customFormat="false" ht="15" hidden="false" customHeight="false" outlineLevel="0" collapsed="false">
      <c r="A1267" s="34" t="s">
        <v>5799</v>
      </c>
      <c r="B1267" s="34" t="str">
        <f aca="false">'Uso e Consumo'!A1267</f>
        <v>0335</v>
      </c>
      <c r="C1267" s="34" t="str">
        <f aca="false">'Uso e Consumo'!B1267</f>
        <v>UFV NORONHA VERDE - USO E CONSUMO</v>
      </c>
      <c r="D1267" s="33" t="n">
        <f aca="false">'Uso e Consumo'!C1267</f>
        <v>839899</v>
      </c>
      <c r="E1267" s="34" t="str">
        <f aca="false">'Uso e Consumo'!D1267</f>
        <v>23.15.0032</v>
      </c>
      <c r="F1267" s="34" t="str">
        <f aca="false">'Uso e Consumo'!E1267</f>
        <v>FITA DE AÇO INOX DE 2,5M COM FECHO PARA FIXAÇÃO DE EQUIPAMENTOS LEVES EM POSTE</v>
      </c>
      <c r="G1267" s="34" t="str">
        <f aca="false">'Uso e Consumo'!J1267</f>
        <v>UN</v>
      </c>
      <c r="H1267" s="49" t="n">
        <f aca="false">'Uso e Consumo'!F1267</f>
        <v>3</v>
      </c>
      <c r="I1267" s="35" t="n">
        <f aca="false">'Uso e Consumo'!G1267</f>
        <v>570</v>
      </c>
      <c r="J1267" s="34" t="str">
        <f aca="false">'Uso e Consumo'!M1267</f>
        <v>3.8.1.022 - Elementos de fixação</v>
      </c>
      <c r="K1267" s="32" t="str">
        <f aca="false">INDEX('Curva ABC'!$K$8:$K$2847,MATCH(D1267,'Curva ABC'!$B$8:$B$2847,0))</f>
        <v>C</v>
      </c>
    </row>
    <row r="1268" customFormat="false" ht="15" hidden="false" customHeight="false" outlineLevel="0" collapsed="false">
      <c r="A1268" s="34" t="s">
        <v>5799</v>
      </c>
      <c r="B1268" s="34" t="str">
        <f aca="false">'Uso e Consumo'!A1268</f>
        <v>0335</v>
      </c>
      <c r="C1268" s="34" t="str">
        <f aca="false">'Uso e Consumo'!B1268</f>
        <v>UFV NORONHA VERDE - USO E CONSUMO</v>
      </c>
      <c r="D1268" s="33" t="n">
        <f aca="false">'Uso e Consumo'!C1268</f>
        <v>60980</v>
      </c>
      <c r="E1268" s="34" t="str">
        <f aca="false">'Uso e Consumo'!D1268</f>
        <v>30.02.0107</v>
      </c>
      <c r="F1268" s="34" t="str">
        <f aca="false">'Uso e Consumo'!E1268</f>
        <v>FITA ROTULADOR 12MM P/P-TOUCH M231 PRETO/BRANCO - BROTHER</v>
      </c>
      <c r="G1268" s="34" t="str">
        <f aca="false">'Uso e Consumo'!J1268</f>
        <v>UN</v>
      </c>
      <c r="H1268" s="49" t="n">
        <f aca="false">'Uso e Consumo'!F1268</f>
        <v>7</v>
      </c>
      <c r="I1268" s="35" t="n">
        <f aca="false">'Uso e Consumo'!G1268</f>
        <v>569.48</v>
      </c>
      <c r="J1268" s="34" t="str">
        <f aca="false">'Uso e Consumo'!M1268</f>
        <v>4.1.1.002 - Material expediente</v>
      </c>
      <c r="K1268" s="32" t="str">
        <f aca="false">INDEX('Curva ABC'!$K$8:$K$2847,MATCH(D1268,'Curva ABC'!$B$8:$B$2847,0))</f>
        <v>C</v>
      </c>
    </row>
    <row r="1269" customFormat="false" ht="15" hidden="false" customHeight="false" outlineLevel="0" collapsed="false">
      <c r="A1269" s="34" t="s">
        <v>5799</v>
      </c>
      <c r="B1269" s="34" t="str">
        <f aca="false">'Uso e Consumo'!A1269</f>
        <v>0335</v>
      </c>
      <c r="C1269" s="34" t="str">
        <f aca="false">'Uso e Consumo'!B1269</f>
        <v>UFV NORONHA VERDE - USO E CONSUMO</v>
      </c>
      <c r="D1269" s="33" t="n">
        <f aca="false">'Uso e Consumo'!C1269</f>
        <v>294077</v>
      </c>
      <c r="E1269" s="34" t="str">
        <f aca="false">'Uso e Consumo'!D1269</f>
        <v>30.03.0329</v>
      </c>
      <c r="F1269" s="34" t="str">
        <f aca="false">'Uso e Consumo'!E1269</f>
        <v>LAVA ROUPAS LÍQUIDO 3L </v>
      </c>
      <c r="G1269" s="34" t="str">
        <f aca="false">'Uso e Consumo'!J1269</f>
        <v>UN</v>
      </c>
      <c r="H1269" s="49" t="n">
        <f aca="false">'Uso e Consumo'!F1269</f>
        <v>30</v>
      </c>
      <c r="I1269" s="35" t="n">
        <f aca="false">'Uso e Consumo'!G1269</f>
        <v>568.8516</v>
      </c>
      <c r="J1269" s="34" t="str">
        <f aca="false">'Uso e Consumo'!M1269</f>
        <v>4.1.1.009 - Eletro eletrônico e acessórios</v>
      </c>
      <c r="K1269" s="32" t="str">
        <f aca="false">INDEX('Curva ABC'!$K$8:$K$2847,MATCH(D1269,'Curva ABC'!$B$8:$B$2847,0))</f>
        <v>C</v>
      </c>
    </row>
    <row r="1270" customFormat="false" ht="15" hidden="false" customHeight="false" outlineLevel="0" collapsed="false">
      <c r="A1270" s="34" t="s">
        <v>5799</v>
      </c>
      <c r="B1270" s="34" t="str">
        <f aca="false">'Uso e Consumo'!A1270</f>
        <v>0335</v>
      </c>
      <c r="C1270" s="34" t="str">
        <f aca="false">'Uso e Consumo'!B1270</f>
        <v>UFV NORONHA VERDE - USO E CONSUMO</v>
      </c>
      <c r="D1270" s="33" t="n">
        <f aca="false">'Uso e Consumo'!C1270</f>
        <v>1320997</v>
      </c>
      <c r="E1270" s="34" t="str">
        <f aca="false">'Uso e Consumo'!D1270</f>
        <v>17.05.0118</v>
      </c>
      <c r="F1270" s="34" t="str">
        <f aca="false">'Uso e Consumo'!E1270</f>
        <v>TAMPA 2 TOMADAS HEXAGONAL HORIZONTAL PARA CONDULETE PVC DE 1/2'' CINZA</v>
      </c>
      <c r="G1270" s="34" t="str">
        <f aca="false">'Uso e Consumo'!J1270</f>
        <v>UN</v>
      </c>
      <c r="H1270" s="49" t="n">
        <f aca="false">'Uso e Consumo'!F1270</f>
        <v>325</v>
      </c>
      <c r="I1270" s="35" t="n">
        <f aca="false">'Uso e Consumo'!G1270</f>
        <v>568.75</v>
      </c>
      <c r="J1270" s="34" t="str">
        <f aca="false">'Uso e Consumo'!M1270</f>
        <v>3.8.1.017 - Instalações elétricas/telefônicas/lógica</v>
      </c>
      <c r="K1270" s="32" t="str">
        <f aca="false">INDEX('Curva ABC'!$K$8:$K$2847,MATCH(D1270,'Curva ABC'!$B$8:$B$2847,0))</f>
        <v>C</v>
      </c>
    </row>
    <row r="1271" customFormat="false" ht="15" hidden="false" customHeight="false" outlineLevel="0" collapsed="false">
      <c r="A1271" s="34" t="s">
        <v>5799</v>
      </c>
      <c r="B1271" s="34" t="str">
        <f aca="false">'Uso e Consumo'!A1271</f>
        <v>0335</v>
      </c>
      <c r="C1271" s="34" t="str">
        <f aca="false">'Uso e Consumo'!B1271</f>
        <v>UFV NORONHA VERDE - USO E CONSUMO</v>
      </c>
      <c r="D1271" s="33" t="n">
        <f aca="false">'Uso e Consumo'!C1271</f>
        <v>220333</v>
      </c>
      <c r="E1271" s="34" t="str">
        <f aca="false">'Uso e Consumo'!D1271</f>
        <v>17.01.0705</v>
      </c>
      <c r="F1271" s="34" t="str">
        <f aca="false">'Uso e Consumo'!E1271</f>
        <v>CABO FLEX BRASILEIRINHO 2,5MM</v>
      </c>
      <c r="G1271" s="34" t="str">
        <f aca="false">'Uso e Consumo'!J1271</f>
        <v>PC</v>
      </c>
      <c r="H1271" s="49" t="n">
        <f aca="false">'Uso e Consumo'!F1271</f>
        <v>1</v>
      </c>
      <c r="I1271" s="35" t="n">
        <f aca="false">'Uso e Consumo'!G1271</f>
        <v>568</v>
      </c>
      <c r="J1271" s="34" t="str">
        <f aca="false">'Uso e Consumo'!M1271</f>
        <v>3.8.1.017 - Instalações elétricas/telefônicas/lógica</v>
      </c>
      <c r="K1271" s="32" t="str">
        <f aca="false">INDEX('Curva ABC'!$K$8:$K$2847,MATCH(D1271,'Curva ABC'!$B$8:$B$2847,0))</f>
        <v>C</v>
      </c>
    </row>
    <row r="1272" customFormat="false" ht="15" hidden="false" customHeight="false" outlineLevel="0" collapsed="false">
      <c r="A1272" s="34" t="s">
        <v>5799</v>
      </c>
      <c r="B1272" s="34" t="str">
        <f aca="false">'Uso e Consumo'!A1272</f>
        <v>0335</v>
      </c>
      <c r="C1272" s="34" t="str">
        <f aca="false">'Uso e Consumo'!B1272</f>
        <v>UFV NORONHA VERDE - USO E CONSUMO</v>
      </c>
      <c r="D1272" s="33" t="n">
        <f aca="false">'Uso e Consumo'!C1272</f>
        <v>283279</v>
      </c>
      <c r="E1272" s="34" t="str">
        <f aca="false">'Uso e Consumo'!D1272</f>
        <v>17.20.0330</v>
      </c>
      <c r="F1272" s="34" t="str">
        <f aca="false">'Uso e Consumo'!E1272</f>
        <v>MOLDE PARA SOLDA EXOTÉRMICA - CABO 70MM² X HASTE 3/4" "TOPO DA HASTE"</v>
      </c>
      <c r="G1272" s="34" t="str">
        <f aca="false">'Uso e Consumo'!J1272</f>
        <v>UN</v>
      </c>
      <c r="H1272" s="49" t="n">
        <f aca="false">'Uso e Consumo'!F1272</f>
        <v>3</v>
      </c>
      <c r="I1272" s="35" t="n">
        <f aca="false">'Uso e Consumo'!G1272</f>
        <v>566.1</v>
      </c>
      <c r="J1272" s="34" t="str">
        <f aca="false">'Uso e Consumo'!M1272</f>
        <v>3.8.1.017 - Instalações elétricas/telefônicas/lógica</v>
      </c>
      <c r="K1272" s="32" t="str">
        <f aca="false">INDEX('Curva ABC'!$K$8:$K$2847,MATCH(D1272,'Curva ABC'!$B$8:$B$2847,0))</f>
        <v>C</v>
      </c>
    </row>
    <row r="1273" customFormat="false" ht="15" hidden="false" customHeight="false" outlineLevel="0" collapsed="false">
      <c r="A1273" s="34" t="s">
        <v>5799</v>
      </c>
      <c r="B1273" s="34" t="str">
        <f aca="false">'Uso e Consumo'!A1273</f>
        <v>0335</v>
      </c>
      <c r="C1273" s="34" t="str">
        <f aca="false">'Uso e Consumo'!B1273</f>
        <v>UFV NORONHA VERDE - USO E CONSUMO</v>
      </c>
      <c r="D1273" s="33" t="n">
        <f aca="false">'Uso e Consumo'!C1273</f>
        <v>22729</v>
      </c>
      <c r="E1273" s="34" t="str">
        <f aca="false">'Uso e Consumo'!D1273</f>
        <v>24.35.0002</v>
      </c>
      <c r="F1273" s="34" t="str">
        <f aca="false">'Uso e Consumo'!E1273</f>
        <v>CABO DE MADEIRA PARA ENXADA 130,00CM</v>
      </c>
      <c r="G1273" s="34" t="str">
        <f aca="false">'Uso e Consumo'!J1273</f>
        <v>UN</v>
      </c>
      <c r="H1273" s="49" t="n">
        <f aca="false">'Uso e Consumo'!F1273</f>
        <v>40</v>
      </c>
      <c r="I1273" s="35" t="n">
        <f aca="false">'Uso e Consumo'!G1273</f>
        <v>566</v>
      </c>
      <c r="J1273" s="34" t="str">
        <f aca="false">'Uso e Consumo'!M1273</f>
        <v>3.8.2.002 - Ferramentas manuais</v>
      </c>
      <c r="K1273" s="32" t="str">
        <f aca="false">INDEX('Curva ABC'!$K$8:$K$2847,MATCH(D1273,'Curva ABC'!$B$8:$B$2847,0))</f>
        <v>C</v>
      </c>
    </row>
    <row r="1274" customFormat="false" ht="15" hidden="false" customHeight="false" outlineLevel="0" collapsed="false">
      <c r="A1274" s="34" t="s">
        <v>5799</v>
      </c>
      <c r="B1274" s="34" t="str">
        <f aca="false">'Uso e Consumo'!A1274</f>
        <v>0335</v>
      </c>
      <c r="C1274" s="34" t="str">
        <f aca="false">'Uso e Consumo'!B1274</f>
        <v>UFV NORONHA VERDE - USO E CONSUMO</v>
      </c>
      <c r="D1274" s="33" t="n">
        <f aca="false">'Uso e Consumo'!C1274</f>
        <v>479062</v>
      </c>
      <c r="E1274" s="34" t="str">
        <f aca="false">'Uso e Consumo'!D1274</f>
        <v>17.11.1004</v>
      </c>
      <c r="F1274" s="34" t="str">
        <f aca="false">'Uso e Consumo'!E1274</f>
        <v>LÂMPADA LED 50W - 220V</v>
      </c>
      <c r="G1274" s="34" t="str">
        <f aca="false">'Uso e Consumo'!J1274</f>
        <v>UN</v>
      </c>
      <c r="H1274" s="49" t="n">
        <f aca="false">'Uso e Consumo'!F1274</f>
        <v>20</v>
      </c>
      <c r="I1274" s="35" t="n">
        <f aca="false">'Uso e Consumo'!G1274</f>
        <v>566</v>
      </c>
      <c r="J1274" s="34" t="str">
        <f aca="false">'Uso e Consumo'!M1274</f>
        <v>3.8.1.017 - Instalações elétricas/telefônicas/lógica</v>
      </c>
      <c r="K1274" s="32" t="str">
        <f aca="false">INDEX('Curva ABC'!$K$8:$K$2847,MATCH(D1274,'Curva ABC'!$B$8:$B$2847,0))</f>
        <v>C</v>
      </c>
    </row>
    <row r="1275" customFormat="false" ht="15" hidden="false" customHeight="false" outlineLevel="0" collapsed="false">
      <c r="A1275" s="34" t="s">
        <v>5799</v>
      </c>
      <c r="B1275" s="34" t="str">
        <f aca="false">'Uso e Consumo'!A1275</f>
        <v>0335</v>
      </c>
      <c r="C1275" s="34" t="str">
        <f aca="false">'Uso e Consumo'!B1275</f>
        <v>UFV NORONHA VERDE - USO E CONSUMO</v>
      </c>
      <c r="D1275" s="33" t="n">
        <f aca="false">'Uso e Consumo'!C1275</f>
        <v>1475466</v>
      </c>
      <c r="E1275" s="34" t="str">
        <f aca="false">'Uso e Consumo'!D1275</f>
        <v>17.05.0128</v>
      </c>
      <c r="F1275" s="34" t="str">
        <f aca="false">'Uso e Consumo'!E1275</f>
        <v>PORCA SEXTAVADA AÇO INOX M18</v>
      </c>
      <c r="G1275" s="34" t="str">
        <f aca="false">'Uso e Consumo'!J1275</f>
        <v>UN</v>
      </c>
      <c r="H1275" s="49" t="n">
        <f aca="false">'Uso e Consumo'!F1275</f>
        <v>111</v>
      </c>
      <c r="I1275" s="35" t="n">
        <f aca="false">'Uso e Consumo'!G1275</f>
        <v>562.56</v>
      </c>
      <c r="J1275" s="34" t="str">
        <f aca="false">'Uso e Consumo'!M1275</f>
        <v>3.8.1.017 - Instalações elétricas/telefônicas/lógica</v>
      </c>
      <c r="K1275" s="32" t="str">
        <f aca="false">INDEX('Curva ABC'!$K$8:$K$2847,MATCH(D1275,'Curva ABC'!$B$8:$B$2847,0))</f>
        <v>C</v>
      </c>
    </row>
    <row r="1276" customFormat="false" ht="15" hidden="false" customHeight="false" outlineLevel="0" collapsed="false">
      <c r="A1276" s="34" t="s">
        <v>5799</v>
      </c>
      <c r="B1276" s="34" t="str">
        <f aca="false">'Uso e Consumo'!A1276</f>
        <v>0335</v>
      </c>
      <c r="C1276" s="34" t="str">
        <f aca="false">'Uso e Consumo'!B1276</f>
        <v>UFV NORONHA VERDE - USO E CONSUMO</v>
      </c>
      <c r="D1276" s="33" t="n">
        <f aca="false">'Uso e Consumo'!C1276</f>
        <v>1330914</v>
      </c>
      <c r="E1276" s="34" t="str">
        <f aca="false">'Uso e Consumo'!D1276</f>
        <v>23.02.0477</v>
      </c>
      <c r="F1276" s="34" t="str">
        <f aca="false">'Uso e Consumo'!E1276</f>
        <v>ABRAÇADEIRA TIPO "D" C/ PARFUSO P/ ELÉTRODUTO DE DIAN. 3/4" EM AÇO GALVANIZADO A QUENTE</v>
      </c>
      <c r="G1276" s="34" t="str">
        <f aca="false">'Uso e Consumo'!J1276</f>
        <v>UN</v>
      </c>
      <c r="H1276" s="49" t="n">
        <f aca="false">'Uso e Consumo'!F1276</f>
        <v>112</v>
      </c>
      <c r="I1276" s="35" t="n">
        <f aca="false">'Uso e Consumo'!G1276</f>
        <v>560.86</v>
      </c>
      <c r="J1276" s="34" t="str">
        <f aca="false">'Uso e Consumo'!M1276</f>
        <v>3.8.1.022 - Elementos de fixação</v>
      </c>
      <c r="K1276" s="32" t="str">
        <f aca="false">INDEX('Curva ABC'!$K$8:$K$2847,MATCH(D1276,'Curva ABC'!$B$8:$B$2847,0))</f>
        <v>C</v>
      </c>
    </row>
    <row r="1277" customFormat="false" ht="15" hidden="false" customHeight="false" outlineLevel="0" collapsed="false">
      <c r="A1277" s="34" t="s">
        <v>5799</v>
      </c>
      <c r="B1277" s="34" t="str">
        <f aca="false">'Uso e Consumo'!A1277</f>
        <v>0335</v>
      </c>
      <c r="C1277" s="34" t="str">
        <f aca="false">'Uso e Consumo'!B1277</f>
        <v>UFV NORONHA VERDE - USO E CONSUMO</v>
      </c>
      <c r="D1277" s="33" t="n">
        <f aca="false">'Uso e Consumo'!C1277</f>
        <v>18205</v>
      </c>
      <c r="E1277" s="34" t="str">
        <f aca="false">'Uso e Consumo'!D1277</f>
        <v>25.01.0005</v>
      </c>
      <c r="F1277" s="34" t="str">
        <f aca="false">'Uso e Consumo'!E1277</f>
        <v>DISCO CORTE DIAMANTADO MAQUITA 4 TELAS 125,00MM X 1,50MM X 20,00MM 7200RPM</v>
      </c>
      <c r="G1277" s="34" t="str">
        <f aca="false">'Uso e Consumo'!J1277</f>
        <v>UN</v>
      </c>
      <c r="H1277" s="49" t="n">
        <f aca="false">'Uso e Consumo'!F1277</f>
        <v>10</v>
      </c>
      <c r="I1277" s="35" t="n">
        <f aca="false">'Uso e Consumo'!G1277</f>
        <v>560</v>
      </c>
      <c r="J1277" s="34" t="str">
        <f aca="false">'Uso e Consumo'!M1277</f>
        <v>3.8.2.004 - Consumíveis para corte, perfuração e desbaste</v>
      </c>
      <c r="K1277" s="32" t="str">
        <f aca="false">INDEX('Curva ABC'!$K$8:$K$2847,MATCH(D1277,'Curva ABC'!$B$8:$B$2847,0))</f>
        <v>C</v>
      </c>
    </row>
    <row r="1278" customFormat="false" ht="15" hidden="false" customHeight="false" outlineLevel="0" collapsed="false">
      <c r="A1278" s="34" t="s">
        <v>5799</v>
      </c>
      <c r="B1278" s="34" t="str">
        <f aca="false">'Uso e Consumo'!A1278</f>
        <v>0335</v>
      </c>
      <c r="C1278" s="34" t="str">
        <f aca="false">'Uso e Consumo'!B1278</f>
        <v>UFV NORONHA VERDE - USO E CONSUMO</v>
      </c>
      <c r="D1278" s="33" t="n">
        <f aca="false">'Uso e Consumo'!C1278</f>
        <v>19093</v>
      </c>
      <c r="E1278" s="34" t="str">
        <f aca="false">'Uso e Consumo'!D1278</f>
        <v>29.01.0016</v>
      </c>
      <c r="F1278" s="34" t="str">
        <f aca="false">'Uso e Consumo'!E1278</f>
        <v>CABO USB 2.0 1,8M PARA IMPRESSORA</v>
      </c>
      <c r="G1278" s="34" t="str">
        <f aca="false">'Uso e Consumo'!J1278</f>
        <v>UN</v>
      </c>
      <c r="H1278" s="49" t="n">
        <f aca="false">'Uso e Consumo'!F1278</f>
        <v>20</v>
      </c>
      <c r="I1278" s="35" t="n">
        <f aca="false">'Uso e Consumo'!G1278</f>
        <v>560</v>
      </c>
      <c r="J1278" s="34" t="str">
        <f aca="false">'Uso e Consumo'!M1278</f>
        <v>4.1.1.007 - Equipamentos e acessórios para informática</v>
      </c>
      <c r="K1278" s="32" t="str">
        <f aca="false">INDEX('Curva ABC'!$K$8:$K$2847,MATCH(D1278,'Curva ABC'!$B$8:$B$2847,0))</f>
        <v>C</v>
      </c>
    </row>
    <row r="1279" customFormat="false" ht="15" hidden="false" customHeight="false" outlineLevel="0" collapsed="false">
      <c r="A1279" s="34" t="s">
        <v>5799</v>
      </c>
      <c r="B1279" s="34" t="str">
        <f aca="false">'Uso e Consumo'!A1279</f>
        <v>0335</v>
      </c>
      <c r="C1279" s="34" t="str">
        <f aca="false">'Uso e Consumo'!B1279</f>
        <v>UFV NORONHA VERDE - USO E CONSUMO</v>
      </c>
      <c r="D1279" s="33" t="n">
        <f aca="false">'Uso e Consumo'!C1279</f>
        <v>287609</v>
      </c>
      <c r="E1279" s="34" t="str">
        <f aca="false">'Uso e Consumo'!D1279</f>
        <v>17.01.0791</v>
      </c>
      <c r="F1279" s="34" t="str">
        <f aca="false">'Uso e Consumo'!E1279</f>
        <v>CABO PP FLEXÍVEL  5 x 2.5MM.- RL100M</v>
      </c>
      <c r="G1279" s="34" t="str">
        <f aca="false">'Uso e Consumo'!J1279</f>
        <v>UN</v>
      </c>
      <c r="H1279" s="49" t="n">
        <f aca="false">'Uso e Consumo'!F1279</f>
        <v>20</v>
      </c>
      <c r="I1279" s="35" t="n">
        <f aca="false">'Uso e Consumo'!G1279</f>
        <v>560</v>
      </c>
      <c r="J1279" s="34" t="str">
        <f aca="false">'Uso e Consumo'!M1279</f>
        <v>3.8.1.017 - Instalações elétricas/telefônicas/lógica</v>
      </c>
      <c r="K1279" s="32" t="str">
        <f aca="false">INDEX('Curva ABC'!$K$8:$K$2847,MATCH(D1279,'Curva ABC'!$B$8:$B$2847,0))</f>
        <v>C</v>
      </c>
    </row>
    <row r="1280" customFormat="false" ht="15" hidden="false" customHeight="false" outlineLevel="0" collapsed="false">
      <c r="A1280" s="34" t="s">
        <v>5799</v>
      </c>
      <c r="B1280" s="34" t="str">
        <f aca="false">'Uso e Consumo'!A1280</f>
        <v>0335</v>
      </c>
      <c r="C1280" s="34" t="str">
        <f aca="false">'Uso e Consumo'!B1280</f>
        <v>UFV NORONHA VERDE - USO E CONSUMO</v>
      </c>
      <c r="D1280" s="33" t="n">
        <f aca="false">'Uso e Consumo'!C1280</f>
        <v>825946</v>
      </c>
      <c r="E1280" s="34" t="str">
        <f aca="false">'Uso e Consumo'!D1280</f>
        <v>32.19.0017</v>
      </c>
      <c r="F1280" s="34" t="str">
        <f aca="false">'Uso e Consumo'!E1280</f>
        <v>MATRIZ</v>
      </c>
      <c r="G1280" s="34" t="str">
        <f aca="false">'Uso e Consumo'!J1280</f>
        <v>UN</v>
      </c>
      <c r="H1280" s="49" t="n">
        <f aca="false">'Uso e Consumo'!F1280</f>
        <v>1</v>
      </c>
      <c r="I1280" s="35" t="n">
        <f aca="false">'Uso e Consumo'!G1280</f>
        <v>560</v>
      </c>
      <c r="J1280" s="34" t="str">
        <f aca="false">'Uso e Consumo'!M1280</f>
        <v>3.1.6.002 - Pneus e peças</v>
      </c>
      <c r="K1280" s="32" t="str">
        <f aca="false">INDEX('Curva ABC'!$K$8:$K$2847,MATCH(D1280,'Curva ABC'!$B$8:$B$2847,0))</f>
        <v>C</v>
      </c>
    </row>
    <row r="1281" customFormat="false" ht="15" hidden="false" customHeight="false" outlineLevel="0" collapsed="false">
      <c r="A1281" s="34" t="s">
        <v>5799</v>
      </c>
      <c r="B1281" s="34" t="str">
        <f aca="false">'Uso e Consumo'!A1281</f>
        <v>0335</v>
      </c>
      <c r="C1281" s="34" t="str">
        <f aca="false">'Uso e Consumo'!B1281</f>
        <v>UFV NORONHA VERDE - USO E CONSUMO</v>
      </c>
      <c r="D1281" s="33" t="n">
        <f aca="false">'Uso e Consumo'!C1281</f>
        <v>605206</v>
      </c>
      <c r="E1281" s="34" t="str">
        <f aca="false">'Uso e Consumo'!D1281</f>
        <v>17.21.0067</v>
      </c>
      <c r="F1281" s="34" t="str">
        <f aca="false">'Uso e Consumo'!E1281</f>
        <v>CAIXA DE INSPEÇÃO CILINDRICA 300x300 mm</v>
      </c>
      <c r="G1281" s="34" t="str">
        <f aca="false">'Uso e Consumo'!J1281</f>
        <v>UN</v>
      </c>
      <c r="H1281" s="49" t="n">
        <f aca="false">'Uso e Consumo'!F1281</f>
        <v>13</v>
      </c>
      <c r="I1281" s="35" t="n">
        <f aca="false">'Uso e Consumo'!G1281</f>
        <v>559</v>
      </c>
      <c r="J1281" s="34" t="str">
        <f aca="false">'Uso e Consumo'!M1281</f>
        <v>3.8.1.017 - Instalações elétricas/telefônicas/lógica</v>
      </c>
      <c r="K1281" s="32" t="str">
        <f aca="false">INDEX('Curva ABC'!$K$8:$K$2847,MATCH(D1281,'Curva ABC'!$B$8:$B$2847,0))</f>
        <v>C</v>
      </c>
    </row>
    <row r="1282" customFormat="false" ht="15" hidden="false" customHeight="false" outlineLevel="0" collapsed="false">
      <c r="A1282" s="34" t="s">
        <v>5799</v>
      </c>
      <c r="B1282" s="34" t="str">
        <f aca="false">'Uso e Consumo'!A1282</f>
        <v>0335</v>
      </c>
      <c r="C1282" s="34" t="str">
        <f aca="false">'Uso e Consumo'!B1282</f>
        <v>UFV NORONHA VERDE - USO E CONSUMO</v>
      </c>
      <c r="D1282" s="33" t="n">
        <f aca="false">'Uso e Consumo'!C1282</f>
        <v>18846</v>
      </c>
      <c r="E1282" s="34" t="str">
        <f aca="false">'Uso e Consumo'!D1282</f>
        <v>26.03.0006</v>
      </c>
      <c r="F1282" s="34" t="str">
        <f aca="false">'Uso e Consumo'!E1282</f>
        <v>CAPACETE COM ABA FRONTAL (TIPO II) C/ CARNEIRA - COR LARANJA (CA-8562/25856/29792)</v>
      </c>
      <c r="G1282" s="34" t="str">
        <f aca="false">'Uso e Consumo'!J1282</f>
        <v>UN</v>
      </c>
      <c r="H1282" s="49" t="n">
        <f aca="false">'Uso e Consumo'!F1282</f>
        <v>53</v>
      </c>
      <c r="I1282" s="35" t="n">
        <f aca="false">'Uso e Consumo'!G1282</f>
        <v>558.3</v>
      </c>
      <c r="J1282" s="34" t="str">
        <f aca="false">'Uso e Consumo'!M1282</f>
        <v>4.3.4.001 - Equipamento de proteção individual</v>
      </c>
      <c r="K1282" s="32" t="str">
        <f aca="false">INDEX('Curva ABC'!$K$8:$K$2847,MATCH(D1282,'Curva ABC'!$B$8:$B$2847,0))</f>
        <v>C</v>
      </c>
    </row>
    <row r="1283" customFormat="false" ht="15" hidden="false" customHeight="false" outlineLevel="0" collapsed="false">
      <c r="A1283" s="34" t="s">
        <v>5799</v>
      </c>
      <c r="B1283" s="34" t="str">
        <f aca="false">'Uso e Consumo'!A1283</f>
        <v>0335</v>
      </c>
      <c r="C1283" s="34" t="str">
        <f aca="false">'Uso e Consumo'!B1283</f>
        <v>UFV NORONHA VERDE - USO E CONSUMO</v>
      </c>
      <c r="D1283" s="33" t="n">
        <f aca="false">'Uso e Consumo'!C1283</f>
        <v>1387010</v>
      </c>
      <c r="E1283" s="34" t="str">
        <f aca="false">'Uso e Consumo'!D1283</f>
        <v>17.02.0881</v>
      </c>
      <c r="F1283" s="34" t="str">
        <f aca="false">'Uso e Consumo'!E1283</f>
        <v>LUVA ADAPTADORA P/ ELETRODUTOS DE AÇO ZINCADO/CORRUG. FLEXÍVEL, DIÂMETRO 50 MM</v>
      </c>
      <c r="G1283" s="34" t="str">
        <f aca="false">'Uso e Consumo'!J1283</f>
        <v>UN</v>
      </c>
      <c r="H1283" s="49" t="n">
        <f aca="false">'Uso e Consumo'!F1283</f>
        <v>7</v>
      </c>
      <c r="I1283" s="35" t="n">
        <f aca="false">'Uso e Consumo'!G1283</f>
        <v>556.22</v>
      </c>
      <c r="J1283" s="34" t="str">
        <f aca="false">'Uso e Consumo'!M1283</f>
        <v>3.8.1.017 - Instalações elétricas/telefônicas/lógica</v>
      </c>
      <c r="K1283" s="32" t="str">
        <f aca="false">INDEX('Curva ABC'!$K$8:$K$2847,MATCH(D1283,'Curva ABC'!$B$8:$B$2847,0))</f>
        <v>C</v>
      </c>
    </row>
    <row r="1284" customFormat="false" ht="15" hidden="false" customHeight="false" outlineLevel="0" collapsed="false">
      <c r="A1284" s="34" t="s">
        <v>5799</v>
      </c>
      <c r="B1284" s="34" t="str">
        <f aca="false">'Uso e Consumo'!A1284</f>
        <v>0335</v>
      </c>
      <c r="C1284" s="34" t="str">
        <f aca="false">'Uso e Consumo'!B1284</f>
        <v>UFV NORONHA VERDE - USO E CONSUMO</v>
      </c>
      <c r="D1284" s="33" t="n">
        <f aca="false">'Uso e Consumo'!C1284</f>
        <v>1063862</v>
      </c>
      <c r="E1284" s="34" t="str">
        <f aca="false">'Uso e Consumo'!D1284</f>
        <v>26.02.0215</v>
      </c>
      <c r="F1284" s="34" t="str">
        <f aca="false">'Uso e Consumo'!E1284</f>
        <v>BOTA BOTINA NOBUCK MARLUVAS 50B26 PALM ANTIPERFURO COMPOSITE TAM 43</v>
      </c>
      <c r="G1284" s="34" t="str">
        <f aca="false">'Uso e Consumo'!J1284</f>
        <v>UN</v>
      </c>
      <c r="H1284" s="49" t="n">
        <f aca="false">'Uso e Consumo'!F1284</f>
        <v>4</v>
      </c>
      <c r="I1284" s="35" t="n">
        <f aca="false">'Uso e Consumo'!G1284</f>
        <v>555.5</v>
      </c>
      <c r="J1284" s="34" t="str">
        <f aca="false">'Uso e Consumo'!M1284</f>
        <v>4.3.4.001 - Equipamento de proteção individual</v>
      </c>
      <c r="K1284" s="32" t="str">
        <f aca="false">INDEX('Curva ABC'!$K$8:$K$2847,MATCH(D1284,'Curva ABC'!$B$8:$B$2847,0))</f>
        <v>C</v>
      </c>
    </row>
    <row r="1285" customFormat="false" ht="15" hidden="false" customHeight="false" outlineLevel="0" collapsed="false">
      <c r="A1285" s="34" t="s">
        <v>5799</v>
      </c>
      <c r="B1285" s="34" t="str">
        <f aca="false">'Uso e Consumo'!A1285</f>
        <v>0335</v>
      </c>
      <c r="C1285" s="34" t="str">
        <f aca="false">'Uso e Consumo'!B1285</f>
        <v>UFV NORONHA VERDE - USO E CONSUMO</v>
      </c>
      <c r="D1285" s="33" t="n">
        <f aca="false">'Uso e Consumo'!C1285</f>
        <v>1110723</v>
      </c>
      <c r="E1285" s="34" t="str">
        <f aca="false">'Uso e Consumo'!D1285</f>
        <v>17.16.0603</v>
      </c>
      <c r="F1285" s="34" t="str">
        <f aca="false">'Uso e Consumo'!E1285</f>
        <v>CONECTOR DERIVAÇÃO PERFURANTE PARA CABO 25MM</v>
      </c>
      <c r="G1285" s="34" t="str">
        <f aca="false">'Uso e Consumo'!J1285</f>
        <v>UN</v>
      </c>
      <c r="H1285" s="49" t="n">
        <f aca="false">'Uso e Consumo'!F1285</f>
        <v>40</v>
      </c>
      <c r="I1285" s="35" t="n">
        <f aca="false">'Uso e Consumo'!G1285</f>
        <v>552.8</v>
      </c>
      <c r="J1285" s="34" t="str">
        <f aca="false">'Uso e Consumo'!M1285</f>
        <v>3.8.1.017 - Instalações elétricas/telefônicas/lógica</v>
      </c>
      <c r="K1285" s="32" t="str">
        <f aca="false">INDEX('Curva ABC'!$K$8:$K$2847,MATCH(D1285,'Curva ABC'!$B$8:$B$2847,0))</f>
        <v>C</v>
      </c>
    </row>
    <row r="1286" customFormat="false" ht="15" hidden="false" customHeight="false" outlineLevel="0" collapsed="false">
      <c r="A1286" s="34" t="s">
        <v>5799</v>
      </c>
      <c r="B1286" s="34" t="str">
        <f aca="false">'Uso e Consumo'!A1286</f>
        <v>0335</v>
      </c>
      <c r="C1286" s="34" t="str">
        <f aca="false">'Uso e Consumo'!B1286</f>
        <v>UFV NORONHA VERDE - USO E CONSUMO</v>
      </c>
      <c r="D1286" s="33" t="n">
        <f aca="false">'Uso e Consumo'!C1286</f>
        <v>1464795</v>
      </c>
      <c r="E1286" s="34" t="str">
        <f aca="false">'Uso e Consumo'!D1286</f>
        <v>23.07.1594</v>
      </c>
      <c r="F1286" s="34" t="str">
        <f aca="false">'Uso e Consumo'!E1286</f>
        <v>CONJUNTO PARAFUSO DE ROSCA SOBERBA Ø8MMX70MM C/ ARRUELAS METÁLICAS E ELÁSTICAS</v>
      </c>
      <c r="G1286" s="34" t="str">
        <f aca="false">'Uso e Consumo'!J1286</f>
        <v>UN</v>
      </c>
      <c r="H1286" s="49" t="n">
        <f aca="false">'Uso e Consumo'!F1286</f>
        <v>92</v>
      </c>
      <c r="I1286" s="35" t="n">
        <f aca="false">'Uso e Consumo'!G1286</f>
        <v>552</v>
      </c>
      <c r="J1286" s="34" t="str">
        <f aca="false">'Uso e Consumo'!M1286</f>
        <v>3.8.1.022 - Elementos de fixação</v>
      </c>
      <c r="K1286" s="32" t="str">
        <f aca="false">INDEX('Curva ABC'!$K$8:$K$2847,MATCH(D1286,'Curva ABC'!$B$8:$B$2847,0))</f>
        <v>C</v>
      </c>
    </row>
    <row r="1287" customFormat="false" ht="15" hidden="false" customHeight="false" outlineLevel="0" collapsed="false">
      <c r="A1287" s="34" t="s">
        <v>5799</v>
      </c>
      <c r="B1287" s="34" t="str">
        <f aca="false">'Uso e Consumo'!A1287</f>
        <v>0335</v>
      </c>
      <c r="C1287" s="34" t="str">
        <f aca="false">'Uso e Consumo'!B1287</f>
        <v>UFV NORONHA VERDE - USO E CONSUMO</v>
      </c>
      <c r="D1287" s="33" t="n">
        <f aca="false">'Uso e Consumo'!C1287</f>
        <v>1611642</v>
      </c>
      <c r="E1287" s="34" t="str">
        <f aca="false">'Uso e Consumo'!D1287</f>
        <v>24.08.0179</v>
      </c>
      <c r="F1287" s="34" t="str">
        <f aca="false">'Uso e Consumo'!E1287</f>
        <v>ALICATE CRIMPADOR PRENSA TERMINAL PINO TUBULAR  AP2565</v>
      </c>
      <c r="G1287" s="34" t="str">
        <f aca="false">'Uso e Consumo'!J1287</f>
        <v>UN</v>
      </c>
      <c r="H1287" s="49" t="n">
        <f aca="false">'Uso e Consumo'!F1287</f>
        <v>2</v>
      </c>
      <c r="I1287" s="35" t="n">
        <f aca="false">'Uso e Consumo'!G1287</f>
        <v>552</v>
      </c>
      <c r="J1287" s="34" t="str">
        <f aca="false">'Uso e Consumo'!M1287</f>
        <v>3.8.2.002 - Ferramentas manuais</v>
      </c>
      <c r="K1287" s="32" t="str">
        <f aca="false">INDEX('Curva ABC'!$K$8:$K$2847,MATCH(D1287,'Curva ABC'!$B$8:$B$2847,0))</f>
        <v>C</v>
      </c>
    </row>
    <row r="1288" customFormat="false" ht="15" hidden="false" customHeight="false" outlineLevel="0" collapsed="false">
      <c r="A1288" s="34" t="s">
        <v>5799</v>
      </c>
      <c r="B1288" s="34" t="str">
        <f aca="false">'Uso e Consumo'!A1288</f>
        <v>0335</v>
      </c>
      <c r="C1288" s="34" t="str">
        <f aca="false">'Uso e Consumo'!B1288</f>
        <v>UFV NORONHA VERDE - USO E CONSUMO</v>
      </c>
      <c r="D1288" s="33" t="n">
        <f aca="false">'Uso e Consumo'!C1288</f>
        <v>141713</v>
      </c>
      <c r="E1288" s="34" t="str">
        <f aca="false">'Uso e Consumo'!D1288</f>
        <v>30.01.0555</v>
      </c>
      <c r="F1288" s="34" t="str">
        <f aca="false">'Uso e Consumo'!E1288</f>
        <v>PLASTIFICADORA DE POLISELADORA A4 E A3</v>
      </c>
      <c r="G1288" s="34" t="str">
        <f aca="false">'Uso e Consumo'!J1288</f>
        <v>UN</v>
      </c>
      <c r="H1288" s="49" t="n">
        <f aca="false">'Uso e Consumo'!F1288</f>
        <v>1</v>
      </c>
      <c r="I1288" s="35" t="n">
        <f aca="false">'Uso e Consumo'!G1288</f>
        <v>551.48</v>
      </c>
      <c r="J1288" s="34" t="str">
        <f aca="false">'Uso e Consumo'!M1288</f>
        <v>4.1.1.002 - Material expediente</v>
      </c>
      <c r="K1288" s="32" t="str">
        <f aca="false">INDEX('Curva ABC'!$K$8:$K$2847,MATCH(D1288,'Curva ABC'!$B$8:$B$2847,0))</f>
        <v>C</v>
      </c>
    </row>
    <row r="1289" customFormat="false" ht="15" hidden="false" customHeight="false" outlineLevel="0" collapsed="false">
      <c r="A1289" s="34" t="s">
        <v>5799</v>
      </c>
      <c r="B1289" s="34" t="str">
        <f aca="false">'Uso e Consumo'!A1289</f>
        <v>0335</v>
      </c>
      <c r="C1289" s="34" t="str">
        <f aca="false">'Uso e Consumo'!B1289</f>
        <v>UFV NORONHA VERDE - USO E CONSUMO</v>
      </c>
      <c r="D1289" s="33" t="n">
        <f aca="false">'Uso e Consumo'!C1289</f>
        <v>225662</v>
      </c>
      <c r="E1289" s="34" t="str">
        <f aca="false">'Uso e Consumo'!D1289</f>
        <v>26.13.0110</v>
      </c>
      <c r="F1289" s="34" t="str">
        <f aca="false">'Uso e Consumo'!E1289</f>
        <v>CAMISA MALHA MOLETON TAMANHO XXXG 3G – MODELO ESPORTE – GOLA CARECA – MANGA LONGA COM PUNHO DE RIBANA - L </v>
      </c>
      <c r="G1289" s="34" t="str">
        <f aca="false">'Uso e Consumo'!J1289</f>
        <v>UN</v>
      </c>
      <c r="H1289" s="49" t="n">
        <f aca="false">'Uso e Consumo'!F1289</f>
        <v>10</v>
      </c>
      <c r="I1289" s="35" t="n">
        <f aca="false">'Uso e Consumo'!G1289</f>
        <v>550</v>
      </c>
      <c r="J1289" s="34" t="str">
        <f aca="false">'Uso e Consumo'!M1289</f>
        <v>4.3.4.003 - Fardamentos</v>
      </c>
      <c r="K1289" s="32" t="str">
        <f aca="false">INDEX('Curva ABC'!$K$8:$K$2847,MATCH(D1289,'Curva ABC'!$B$8:$B$2847,0))</f>
        <v>C</v>
      </c>
    </row>
    <row r="1290" customFormat="false" ht="15" hidden="false" customHeight="false" outlineLevel="0" collapsed="false">
      <c r="A1290" s="34" t="s">
        <v>5799</v>
      </c>
      <c r="B1290" s="34" t="str">
        <f aca="false">'Uso e Consumo'!A1290</f>
        <v>0335</v>
      </c>
      <c r="C1290" s="34" t="str">
        <f aca="false">'Uso e Consumo'!B1290</f>
        <v>UFV NORONHA VERDE - USO E CONSUMO</v>
      </c>
      <c r="D1290" s="33" t="n">
        <f aca="false">'Uso e Consumo'!C1290</f>
        <v>284062</v>
      </c>
      <c r="E1290" s="34" t="str">
        <f aca="false">'Uso e Consumo'!D1290</f>
        <v>24.40.0051</v>
      </c>
      <c r="F1290" s="34" t="str">
        <f aca="false">'Uso e Consumo'!E1290</f>
        <v>TALHADEIRA PARA MARTELETE DE 6KG</v>
      </c>
      <c r="G1290" s="34" t="str">
        <f aca="false">'Uso e Consumo'!J1290</f>
        <v>UN</v>
      </c>
      <c r="H1290" s="49" t="n">
        <f aca="false">'Uso e Consumo'!F1290</f>
        <v>10</v>
      </c>
      <c r="I1290" s="35" t="n">
        <f aca="false">'Uso e Consumo'!G1290</f>
        <v>550</v>
      </c>
      <c r="J1290" s="34" t="str">
        <f aca="false">'Uso e Consumo'!M1290</f>
        <v>3.8.2.002 - Ferramentas manuais</v>
      </c>
      <c r="K1290" s="32" t="str">
        <f aca="false">INDEX('Curva ABC'!$K$8:$K$2847,MATCH(D1290,'Curva ABC'!$B$8:$B$2847,0))</f>
        <v>C</v>
      </c>
    </row>
    <row r="1291" customFormat="false" ht="15" hidden="false" customHeight="false" outlineLevel="0" collapsed="false">
      <c r="A1291" s="34" t="s">
        <v>5799</v>
      </c>
      <c r="B1291" s="34" t="str">
        <f aca="false">'Uso e Consumo'!A1291</f>
        <v>0335</v>
      </c>
      <c r="C1291" s="34" t="str">
        <f aca="false">'Uso e Consumo'!B1291</f>
        <v>UFV NORONHA VERDE - USO E CONSUMO</v>
      </c>
      <c r="D1291" s="33" t="n">
        <f aca="false">'Uso e Consumo'!C1291</f>
        <v>731639</v>
      </c>
      <c r="E1291" s="34" t="str">
        <f aca="false">'Uso e Consumo'!D1291</f>
        <v>18.01.1229</v>
      </c>
      <c r="F1291" s="34" t="str">
        <f aca="false">'Uso e Consumo'!E1291</f>
        <v>TUBO CORRUGADO NÃO PERFURADO PEAD P/DRENO D= 100MM</v>
      </c>
      <c r="G1291" s="34" t="str">
        <f aca="false">'Uso e Consumo'!J1291</f>
        <v>M</v>
      </c>
      <c r="H1291" s="49" t="n">
        <f aca="false">'Uso e Consumo'!F1291</f>
        <v>6</v>
      </c>
      <c r="I1291" s="35" t="n">
        <f aca="false">'Uso e Consumo'!G1291</f>
        <v>550</v>
      </c>
      <c r="J1291" s="34" t="str">
        <f aca="false">'Uso e Consumo'!M1291</f>
        <v>3.8.1.018 - Instalações hidráulicas/sanitárias/industriais</v>
      </c>
      <c r="K1291" s="32" t="str">
        <f aca="false">INDEX('Curva ABC'!$K$8:$K$2847,MATCH(D1291,'Curva ABC'!$B$8:$B$2847,0))</f>
        <v>C</v>
      </c>
    </row>
    <row r="1292" customFormat="false" ht="15" hidden="false" customHeight="false" outlineLevel="0" collapsed="false">
      <c r="A1292" s="34" t="s">
        <v>5799</v>
      </c>
      <c r="B1292" s="34" t="str">
        <f aca="false">'Uso e Consumo'!A1292</f>
        <v>0335</v>
      </c>
      <c r="C1292" s="34" t="str">
        <f aca="false">'Uso e Consumo'!B1292</f>
        <v>UFV NORONHA VERDE - USO E CONSUMO</v>
      </c>
      <c r="D1292" s="33" t="n">
        <f aca="false">'Uso e Consumo'!C1292</f>
        <v>1080496</v>
      </c>
      <c r="E1292" s="34" t="str">
        <f aca="false">'Uso e Consumo'!D1292</f>
        <v>24.40.0072</v>
      </c>
      <c r="F1292" s="34" t="str">
        <f aca="false">'Uso e Consumo'!E1292</f>
        <v>PONTEIRA P/ MARTELO ROMPEDOR DE 6KG</v>
      </c>
      <c r="G1292" s="34" t="str">
        <f aca="false">'Uso e Consumo'!J1292</f>
        <v>UN</v>
      </c>
      <c r="H1292" s="49" t="n">
        <f aca="false">'Uso e Consumo'!F1292</f>
        <v>10</v>
      </c>
      <c r="I1292" s="35" t="n">
        <f aca="false">'Uso e Consumo'!G1292</f>
        <v>550</v>
      </c>
      <c r="J1292" s="34" t="str">
        <f aca="false">'Uso e Consumo'!M1292</f>
        <v>3.8.2.002 - Ferramentas manuais</v>
      </c>
      <c r="K1292" s="32" t="str">
        <f aca="false">INDEX('Curva ABC'!$K$8:$K$2847,MATCH(D1292,'Curva ABC'!$B$8:$B$2847,0))</f>
        <v>C</v>
      </c>
    </row>
    <row r="1293" customFormat="false" ht="15" hidden="false" customHeight="false" outlineLevel="0" collapsed="false">
      <c r="A1293" s="34" t="s">
        <v>5799</v>
      </c>
      <c r="B1293" s="34" t="str">
        <f aca="false">'Uso e Consumo'!A1293</f>
        <v>0335</v>
      </c>
      <c r="C1293" s="34" t="str">
        <f aca="false">'Uso e Consumo'!B1293</f>
        <v>UFV NORONHA VERDE - USO E CONSUMO</v>
      </c>
      <c r="D1293" s="33" t="n">
        <f aca="false">'Uso e Consumo'!C1293</f>
        <v>34850</v>
      </c>
      <c r="E1293" s="34" t="str">
        <f aca="false">'Uso e Consumo'!D1293</f>
        <v>24.09.0267</v>
      </c>
      <c r="F1293" s="34" t="str">
        <f aca="false">'Uso e Consumo'!E1293</f>
        <v>CHAVE COMBINADA 22,00MM AÇO CARBONO CROMADO</v>
      </c>
      <c r="G1293" s="34" t="str">
        <f aca="false">'Uso e Consumo'!J1293</f>
        <v>UN</v>
      </c>
      <c r="H1293" s="49" t="n">
        <f aca="false">'Uso e Consumo'!F1293</f>
        <v>5</v>
      </c>
      <c r="I1293" s="35" t="n">
        <f aca="false">'Uso e Consumo'!G1293</f>
        <v>547.88</v>
      </c>
      <c r="J1293" s="34" t="str">
        <f aca="false">'Uso e Consumo'!M1293</f>
        <v>3.8.2.002 - Ferramentas manuais</v>
      </c>
      <c r="K1293" s="32" t="str">
        <f aca="false">INDEX('Curva ABC'!$K$8:$K$2847,MATCH(D1293,'Curva ABC'!$B$8:$B$2847,0))</f>
        <v>C</v>
      </c>
    </row>
    <row r="1294" customFormat="false" ht="15" hidden="false" customHeight="false" outlineLevel="0" collapsed="false">
      <c r="A1294" s="34" t="s">
        <v>5799</v>
      </c>
      <c r="B1294" s="34" t="str">
        <f aca="false">'Uso e Consumo'!A1294</f>
        <v>0335</v>
      </c>
      <c r="C1294" s="34" t="str">
        <f aca="false">'Uso e Consumo'!B1294</f>
        <v>UFV NORONHA VERDE - USO E CONSUMO</v>
      </c>
      <c r="D1294" s="33" t="n">
        <f aca="false">'Uso e Consumo'!C1294</f>
        <v>1330237</v>
      </c>
      <c r="E1294" s="34" t="str">
        <f aca="false">'Uso e Consumo'!D1294</f>
        <v>33.02.3164</v>
      </c>
      <c r="F1294" s="34" t="str">
        <f aca="false">'Uso e Consumo'!E1294</f>
        <v>BORNE DE BATERIA COBRE C/ PARAFUSO INOX </v>
      </c>
      <c r="G1294" s="34" t="str">
        <f aca="false">'Uso e Consumo'!J1294</f>
        <v>UN</v>
      </c>
      <c r="H1294" s="49" t="n">
        <f aca="false">'Uso e Consumo'!F1294</f>
        <v>7</v>
      </c>
      <c r="I1294" s="35" t="n">
        <f aca="false">'Uso e Consumo'!G1294</f>
        <v>546</v>
      </c>
      <c r="J1294" s="34" t="str">
        <f aca="false">'Uso e Consumo'!M1294</f>
        <v>3.1.6.002 - Pneus e peças</v>
      </c>
      <c r="K1294" s="32" t="str">
        <f aca="false">INDEX('Curva ABC'!$K$8:$K$2847,MATCH(D1294,'Curva ABC'!$B$8:$B$2847,0))</f>
        <v>C</v>
      </c>
    </row>
    <row r="1295" customFormat="false" ht="15" hidden="false" customHeight="false" outlineLevel="0" collapsed="false">
      <c r="A1295" s="34" t="s">
        <v>5799</v>
      </c>
      <c r="B1295" s="34" t="str">
        <f aca="false">'Uso e Consumo'!A1295</f>
        <v>0335</v>
      </c>
      <c r="C1295" s="34" t="str">
        <f aca="false">'Uso e Consumo'!B1295</f>
        <v>UFV NORONHA VERDE - USO E CONSUMO</v>
      </c>
      <c r="D1295" s="33" t="n">
        <f aca="false">'Uso e Consumo'!C1295</f>
        <v>1092221</v>
      </c>
      <c r="E1295" s="34" t="str">
        <f aca="false">'Uso e Consumo'!D1295</f>
        <v>25.04.0039</v>
      </c>
      <c r="F1295" s="34" t="str">
        <f aca="false">'Uso e Consumo'!E1295</f>
        <v>LÂMINA DE ESTILETE TRAPEZOIDAL STARRET</v>
      </c>
      <c r="G1295" s="34" t="str">
        <f aca="false">'Uso e Consumo'!J1295</f>
        <v>UN</v>
      </c>
      <c r="H1295" s="49" t="n">
        <f aca="false">'Uso e Consumo'!F1295</f>
        <v>10</v>
      </c>
      <c r="I1295" s="35" t="n">
        <f aca="false">'Uso e Consumo'!G1295</f>
        <v>545.3786</v>
      </c>
      <c r="J1295" s="34" t="str">
        <f aca="false">'Uso e Consumo'!M1295</f>
        <v>3.8.2.004 - Consumíveis para corte, perfuração e desbaste</v>
      </c>
      <c r="K1295" s="32" t="str">
        <f aca="false">INDEX('Curva ABC'!$K$8:$K$2847,MATCH(D1295,'Curva ABC'!$B$8:$B$2847,0))</f>
        <v>C</v>
      </c>
    </row>
    <row r="1296" customFormat="false" ht="15" hidden="false" customHeight="false" outlineLevel="0" collapsed="false">
      <c r="A1296" s="34" t="s">
        <v>5799</v>
      </c>
      <c r="B1296" s="34" t="str">
        <f aca="false">'Uso e Consumo'!A1296</f>
        <v>0335</v>
      </c>
      <c r="C1296" s="34" t="str">
        <f aca="false">'Uso e Consumo'!B1296</f>
        <v>UFV NORONHA VERDE - USO E CONSUMO</v>
      </c>
      <c r="D1296" s="33" t="n">
        <f aca="false">'Uso e Consumo'!C1296</f>
        <v>1327777</v>
      </c>
      <c r="E1296" s="34" t="str">
        <f aca="false">'Uso e Consumo'!D1296</f>
        <v>18.02.0743</v>
      </c>
      <c r="F1296" s="34" t="str">
        <f aca="false">'Uso e Consumo'!E1296</f>
        <v>CAP FERRO FUNDIDO Ø100MM</v>
      </c>
      <c r="G1296" s="34" t="str">
        <f aca="false">'Uso e Consumo'!J1296</f>
        <v>UN</v>
      </c>
      <c r="H1296" s="49" t="n">
        <f aca="false">'Uso e Consumo'!F1296</f>
        <v>2</v>
      </c>
      <c r="I1296" s="35" t="n">
        <f aca="false">'Uso e Consumo'!G1296</f>
        <v>545</v>
      </c>
      <c r="J1296" s="34" t="str">
        <f aca="false">'Uso e Consumo'!M1296</f>
        <v>3.8.1.018 - Instalações hidráulicas/sanitárias/industriais</v>
      </c>
      <c r="K1296" s="32" t="str">
        <f aca="false">INDEX('Curva ABC'!$K$8:$K$2847,MATCH(D1296,'Curva ABC'!$B$8:$B$2847,0))</f>
        <v>C</v>
      </c>
    </row>
    <row r="1297" customFormat="false" ht="15" hidden="false" customHeight="false" outlineLevel="0" collapsed="false">
      <c r="A1297" s="34" t="s">
        <v>5799</v>
      </c>
      <c r="B1297" s="34" t="str">
        <f aca="false">'Uso e Consumo'!A1297</f>
        <v>0335</v>
      </c>
      <c r="C1297" s="34" t="str">
        <f aca="false">'Uso e Consumo'!B1297</f>
        <v>UFV NORONHA VERDE - USO E CONSUMO</v>
      </c>
      <c r="D1297" s="33" t="n">
        <f aca="false">'Uso e Consumo'!C1297</f>
        <v>24085</v>
      </c>
      <c r="E1297" s="34" t="str">
        <f aca="false">'Uso e Consumo'!D1297</f>
        <v>23.07.0760</v>
      </c>
      <c r="F1297" s="34" t="str">
        <f aca="false">'Uso e Consumo'!E1297</f>
        <v>PARAFUSO 4,2"X25</v>
      </c>
      <c r="G1297" s="34" t="str">
        <f aca="false">'Uso e Consumo'!J1297</f>
        <v>UN</v>
      </c>
      <c r="H1297" s="49" t="n">
        <f aca="false">'Uso e Consumo'!F1297</f>
        <v>3</v>
      </c>
      <c r="I1297" s="35" t="n">
        <f aca="false">'Uso e Consumo'!G1297</f>
        <v>544</v>
      </c>
      <c r="J1297" s="34" t="str">
        <f aca="false">'Uso e Consumo'!M1297</f>
        <v>3.8.1.022 - Elementos de fixação</v>
      </c>
      <c r="K1297" s="32" t="str">
        <f aca="false">INDEX('Curva ABC'!$K$8:$K$2847,MATCH(D1297,'Curva ABC'!$B$8:$B$2847,0))</f>
        <v>C</v>
      </c>
    </row>
    <row r="1298" customFormat="false" ht="15" hidden="false" customHeight="false" outlineLevel="0" collapsed="false">
      <c r="A1298" s="34" t="s">
        <v>5799</v>
      </c>
      <c r="B1298" s="34" t="str">
        <f aca="false">'Uso e Consumo'!A1298</f>
        <v>0335</v>
      </c>
      <c r="C1298" s="34" t="str">
        <f aca="false">'Uso e Consumo'!B1298</f>
        <v>UFV NORONHA VERDE - USO E CONSUMO</v>
      </c>
      <c r="D1298" s="33" t="n">
        <f aca="false">'Uso e Consumo'!C1298</f>
        <v>141327</v>
      </c>
      <c r="E1298" s="34" t="str">
        <f aca="false">'Uso e Consumo'!D1298</f>
        <v>26.06.0075</v>
      </c>
      <c r="F1298" s="34" t="str">
        <f aca="false">'Uso e Consumo'!E1298</f>
        <v>LUVA REVESTIDA EM POLICLORETO DE VINILA (PVC) ÁSPERO TIPO (SANDY) - CA:18.664</v>
      </c>
      <c r="G1298" s="34" t="str">
        <f aca="false">'Uso e Consumo'!J1298</f>
        <v>PAR</v>
      </c>
      <c r="H1298" s="49" t="n">
        <f aca="false">'Uso e Consumo'!F1298</f>
        <v>8</v>
      </c>
      <c r="I1298" s="35" t="n">
        <f aca="false">'Uso e Consumo'!G1298</f>
        <v>544</v>
      </c>
      <c r="J1298" s="34" t="str">
        <f aca="false">'Uso e Consumo'!M1298</f>
        <v>4.3.4.001 - Equipamento de proteção individual</v>
      </c>
      <c r="K1298" s="32" t="str">
        <f aca="false">INDEX('Curva ABC'!$K$8:$K$2847,MATCH(D1298,'Curva ABC'!$B$8:$B$2847,0))</f>
        <v>C</v>
      </c>
    </row>
    <row r="1299" customFormat="false" ht="15" hidden="false" customHeight="false" outlineLevel="0" collapsed="false">
      <c r="A1299" s="34" t="s">
        <v>5799</v>
      </c>
      <c r="B1299" s="34" t="str">
        <f aca="false">'Uso e Consumo'!A1299</f>
        <v>0335</v>
      </c>
      <c r="C1299" s="34" t="str">
        <f aca="false">'Uso e Consumo'!B1299</f>
        <v>UFV NORONHA VERDE - USO E CONSUMO</v>
      </c>
      <c r="D1299" s="33" t="n">
        <f aca="false">'Uso e Consumo'!C1299</f>
        <v>847684</v>
      </c>
      <c r="E1299" s="34" t="str">
        <f aca="false">'Uso e Consumo'!D1299</f>
        <v>32.07.0154</v>
      </c>
      <c r="F1299" s="34" t="str">
        <f aca="false">'Uso e Consumo'!E1299</f>
        <v>ESMERILHADEIRA ANGULAR 5" 220V BOSCH</v>
      </c>
      <c r="G1299" s="34" t="str">
        <f aca="false">'Uso e Consumo'!J1299</f>
        <v>UN</v>
      </c>
      <c r="H1299" s="49" t="n">
        <f aca="false">'Uso e Consumo'!F1299</f>
        <v>1</v>
      </c>
      <c r="I1299" s="35" t="n">
        <f aca="false">'Uso e Consumo'!G1299</f>
        <v>540</v>
      </c>
      <c r="J1299" s="34" t="str">
        <f aca="false">'Uso e Consumo'!M1299</f>
        <v>6.1.2.001 - Equipamentos</v>
      </c>
      <c r="K1299" s="32" t="str">
        <f aca="false">INDEX('Curva ABC'!$K$8:$K$2847,MATCH(D1299,'Curva ABC'!$B$8:$B$2847,0))</f>
        <v>C</v>
      </c>
    </row>
    <row r="1300" customFormat="false" ht="15" hidden="false" customHeight="false" outlineLevel="0" collapsed="false">
      <c r="A1300" s="34" t="s">
        <v>5799</v>
      </c>
      <c r="B1300" s="34" t="str">
        <f aca="false">'Uso e Consumo'!A1300</f>
        <v>0335</v>
      </c>
      <c r="C1300" s="34" t="str">
        <f aca="false">'Uso e Consumo'!B1300</f>
        <v>UFV NORONHA VERDE - USO E CONSUMO</v>
      </c>
      <c r="D1300" s="33" t="n">
        <f aca="false">'Uso e Consumo'!C1300</f>
        <v>1325175</v>
      </c>
      <c r="E1300" s="34" t="str">
        <f aca="false">'Uso e Consumo'!D1300</f>
        <v>03.08.0007</v>
      </c>
      <c r="F1300" s="34" t="str">
        <f aca="false">'Uso e Consumo'!E1300</f>
        <v>ESTACA/ PIQUETE DE RIPA DE MAÇARANDUBA 30cm X 5cm X 1cm</v>
      </c>
      <c r="G1300" s="34" t="str">
        <f aca="false">'Uso e Consumo'!J1300</f>
        <v>M</v>
      </c>
      <c r="H1300" s="49" t="n">
        <f aca="false">'Uso e Consumo'!F1300</f>
        <v>120</v>
      </c>
      <c r="I1300" s="35" t="n">
        <f aca="false">'Uso e Consumo'!G1300</f>
        <v>540</v>
      </c>
      <c r="J1300" s="34" t="str">
        <f aca="false">'Uso e Consumo'!M1300</f>
        <v>3.8.1.003 - Madeira</v>
      </c>
      <c r="K1300" s="32" t="str">
        <f aca="false">INDEX('Curva ABC'!$K$8:$K$2847,MATCH(D1300,'Curva ABC'!$B$8:$B$2847,0))</f>
        <v>C</v>
      </c>
    </row>
    <row r="1301" customFormat="false" ht="15" hidden="false" customHeight="false" outlineLevel="0" collapsed="false">
      <c r="A1301" s="34" t="s">
        <v>5799</v>
      </c>
      <c r="B1301" s="34" t="str">
        <f aca="false">'Uso e Consumo'!A1301</f>
        <v>0335</v>
      </c>
      <c r="C1301" s="34" t="str">
        <f aca="false">'Uso e Consumo'!B1301</f>
        <v>UFV NORONHA VERDE - USO E CONSUMO</v>
      </c>
      <c r="D1301" s="33" t="n">
        <f aca="false">'Uso e Consumo'!C1301</f>
        <v>931587</v>
      </c>
      <c r="E1301" s="34" t="str">
        <f aca="false">'Uso e Consumo'!D1301</f>
        <v>30.03.0458</v>
      </c>
      <c r="F1301" s="34" t="str">
        <f aca="false">'Uso e Consumo'!E1301</f>
        <v>COLETOR COM TAMPA E PEDAL 120 L -MARROM</v>
      </c>
      <c r="G1301" s="34" t="str">
        <f aca="false">'Uso e Consumo'!J1301</f>
        <v>UN</v>
      </c>
      <c r="H1301" s="49" t="n">
        <f aca="false">'Uso e Consumo'!F1301</f>
        <v>1</v>
      </c>
      <c r="I1301" s="35" t="n">
        <f aca="false">'Uso e Consumo'!G1301</f>
        <v>539</v>
      </c>
      <c r="J1301" s="34" t="str">
        <f aca="false">'Uso e Consumo'!M1301</f>
        <v>4.1.1.003 - Material limpeza</v>
      </c>
      <c r="K1301" s="32" t="str">
        <f aca="false">INDEX('Curva ABC'!$K$8:$K$2847,MATCH(D1301,'Curva ABC'!$B$8:$B$2847,0))</f>
        <v>C</v>
      </c>
    </row>
    <row r="1302" customFormat="false" ht="15" hidden="false" customHeight="false" outlineLevel="0" collapsed="false">
      <c r="A1302" s="34" t="s">
        <v>5799</v>
      </c>
      <c r="B1302" s="34" t="str">
        <f aca="false">'Uso e Consumo'!A1302</f>
        <v>0335</v>
      </c>
      <c r="C1302" s="34" t="str">
        <f aca="false">'Uso e Consumo'!B1302</f>
        <v>UFV NORONHA VERDE - USO E CONSUMO</v>
      </c>
      <c r="D1302" s="33" t="n">
        <f aca="false">'Uso e Consumo'!C1302</f>
        <v>1380170</v>
      </c>
      <c r="E1302" s="34" t="str">
        <f aca="false">'Uso e Consumo'!D1302</f>
        <v>17.20.0682</v>
      </c>
      <c r="F1302" s="34" t="str">
        <f aca="false">'Uso e Consumo'!E1302</f>
        <v>CONECTOR DE MEDIÇÃO DE BRONZE COM 4 PARAFUSOS, PARA LIGAÇÃO DE CABOS DE COBRE SEÇÃO NOMINAL 35 MM² A 70 MM²</v>
      </c>
      <c r="G1302" s="34" t="str">
        <f aca="false">'Uso e Consumo'!J1302</f>
        <v>UN</v>
      </c>
      <c r="H1302" s="49" t="n">
        <f aca="false">'Uso e Consumo'!F1302</f>
        <v>9</v>
      </c>
      <c r="I1302" s="35" t="n">
        <f aca="false">'Uso e Consumo'!G1302</f>
        <v>538.98</v>
      </c>
      <c r="J1302" s="34" t="str">
        <f aca="false">'Uso e Consumo'!M1302</f>
        <v>3.8.1.017 - Instalações elétricas/telefônicas/lógica</v>
      </c>
      <c r="K1302" s="32" t="str">
        <f aca="false">INDEX('Curva ABC'!$K$8:$K$2847,MATCH(D1302,'Curva ABC'!$B$8:$B$2847,0))</f>
        <v>C</v>
      </c>
    </row>
    <row r="1303" customFormat="false" ht="15" hidden="false" customHeight="false" outlineLevel="0" collapsed="false">
      <c r="A1303" s="34" t="s">
        <v>5799</v>
      </c>
      <c r="B1303" s="34" t="str">
        <f aca="false">'Uso e Consumo'!A1303</f>
        <v>0335</v>
      </c>
      <c r="C1303" s="34" t="str">
        <f aca="false">'Uso e Consumo'!B1303</f>
        <v>UFV NORONHA VERDE - USO E CONSUMO</v>
      </c>
      <c r="D1303" s="33" t="n">
        <f aca="false">'Uso e Consumo'!C1303</f>
        <v>1384865</v>
      </c>
      <c r="E1303" s="34" t="str">
        <f aca="false">'Uso e Consumo'!D1303</f>
        <v>23.07.1576</v>
      </c>
      <c r="F1303" s="34" t="str">
        <f aca="false">'Uso e Consumo'!E1303</f>
        <v>PARAFUSO CABEÇA PANELA FENDADO INOX AUTO ATARRAXANTE 6,3 X 45 MM</v>
      </c>
      <c r="G1303" s="34" t="str">
        <f aca="false">'Uso e Consumo'!J1303</f>
        <v>UN</v>
      </c>
      <c r="H1303" s="49" t="n">
        <f aca="false">'Uso e Consumo'!F1303</f>
        <v>356</v>
      </c>
      <c r="I1303" s="35" t="n">
        <f aca="false">'Uso e Consumo'!G1303</f>
        <v>538.3</v>
      </c>
      <c r="J1303" s="34" t="str">
        <f aca="false">'Uso e Consumo'!M1303</f>
        <v>3.8.1.022 - Elementos de fixação</v>
      </c>
      <c r="K1303" s="32" t="str">
        <f aca="false">INDEX('Curva ABC'!$K$8:$K$2847,MATCH(D1303,'Curva ABC'!$B$8:$B$2847,0))</f>
        <v>C</v>
      </c>
    </row>
    <row r="1304" customFormat="false" ht="15" hidden="false" customHeight="false" outlineLevel="0" collapsed="false">
      <c r="A1304" s="34" t="s">
        <v>5799</v>
      </c>
      <c r="B1304" s="34" t="str">
        <f aca="false">'Uso e Consumo'!A1304</f>
        <v>0335</v>
      </c>
      <c r="C1304" s="34" t="str">
        <f aca="false">'Uso e Consumo'!B1304</f>
        <v>UFV NORONHA VERDE - USO E CONSUMO</v>
      </c>
      <c r="D1304" s="33" t="n">
        <f aca="false">'Uso e Consumo'!C1304</f>
        <v>33578</v>
      </c>
      <c r="E1304" s="34" t="str">
        <f aca="false">'Uso e Consumo'!D1304</f>
        <v>03.04.0008</v>
      </c>
      <c r="F1304" s="34" t="str">
        <f aca="false">'Uso e Consumo'!E1304</f>
        <v>BARROTE MAÇARANDUBA 5,00CM X 5,00CM C/2,50M</v>
      </c>
      <c r="G1304" s="34" t="str">
        <f aca="false">'Uso e Consumo'!J1304</f>
        <v>M</v>
      </c>
      <c r="H1304" s="49" t="n">
        <f aca="false">'Uso e Consumo'!F1304</f>
        <v>2</v>
      </c>
      <c r="I1304" s="35" t="n">
        <f aca="false">'Uso e Consumo'!G1304</f>
        <v>536</v>
      </c>
      <c r="J1304" s="34" t="str">
        <f aca="false">'Uso e Consumo'!M1304</f>
        <v>3.8.1.003 - Madeira</v>
      </c>
      <c r="K1304" s="32" t="str">
        <f aca="false">INDEX('Curva ABC'!$K$8:$K$2847,MATCH(D1304,'Curva ABC'!$B$8:$B$2847,0))</f>
        <v>C</v>
      </c>
    </row>
    <row r="1305" customFormat="false" ht="15" hidden="false" customHeight="false" outlineLevel="0" collapsed="false">
      <c r="A1305" s="34" t="s">
        <v>5799</v>
      </c>
      <c r="B1305" s="34" t="str">
        <f aca="false">'Uso e Consumo'!A1305</f>
        <v>0335</v>
      </c>
      <c r="C1305" s="34" t="str">
        <f aca="false">'Uso e Consumo'!B1305</f>
        <v>UFV NORONHA VERDE - USO E CONSUMO</v>
      </c>
      <c r="D1305" s="33" t="n">
        <f aca="false">'Uso e Consumo'!C1305</f>
        <v>219198</v>
      </c>
      <c r="E1305" s="34" t="str">
        <f aca="false">'Uso e Consumo'!D1305</f>
        <v>15.02.0025</v>
      </c>
      <c r="F1305" s="34" t="str">
        <f aca="false">'Uso e Consumo'!E1305</f>
        <v>MANTA LÍQUIDA DE BASE ASFALTO ELASTOMÉRICO</v>
      </c>
      <c r="G1305" s="34" t="str">
        <f aca="false">'Uso e Consumo'!J1305</f>
        <v>UN</v>
      </c>
      <c r="H1305" s="49" t="n">
        <f aca="false">'Uso e Consumo'!F1305</f>
        <v>2</v>
      </c>
      <c r="I1305" s="35" t="n">
        <f aca="false">'Uso e Consumo'!G1305</f>
        <v>536</v>
      </c>
      <c r="J1305" s="34" t="str">
        <f aca="false">'Uso e Consumo'!M1305</f>
        <v>3.8.1.015 - Impermeabilizantes</v>
      </c>
      <c r="K1305" s="32" t="str">
        <f aca="false">INDEX('Curva ABC'!$K$8:$K$2847,MATCH(D1305,'Curva ABC'!$B$8:$B$2847,0))</f>
        <v>C</v>
      </c>
    </row>
    <row r="1306" customFormat="false" ht="15" hidden="false" customHeight="false" outlineLevel="0" collapsed="false">
      <c r="A1306" s="34" t="s">
        <v>5799</v>
      </c>
      <c r="B1306" s="34" t="str">
        <f aca="false">'Uso e Consumo'!A1306</f>
        <v>0335</v>
      </c>
      <c r="C1306" s="34" t="str">
        <f aca="false">'Uso e Consumo'!B1306</f>
        <v>UFV NORONHA VERDE - USO E CONSUMO</v>
      </c>
      <c r="D1306" s="33" t="n">
        <f aca="false">'Uso e Consumo'!C1306</f>
        <v>1659863</v>
      </c>
      <c r="E1306" s="34" t="str">
        <f aca="false">'Uso e Consumo'!D1306</f>
        <v>23.06.0331</v>
      </c>
      <c r="F1306" s="34" t="str">
        <f aca="false">'Uso e Consumo'!E1306</f>
        <v>PORCA SEXTAVADA EM ACO GALVANIZADO A FOGO ROSCA METRICA M12</v>
      </c>
      <c r="G1306" s="34" t="str">
        <f aca="false">'Uso e Consumo'!J1306</f>
        <v>UN</v>
      </c>
      <c r="H1306" s="49" t="n">
        <f aca="false">'Uso e Consumo'!F1306</f>
        <v>35</v>
      </c>
      <c r="I1306" s="35" t="n">
        <f aca="false">'Uso e Consumo'!G1306</f>
        <v>535.5</v>
      </c>
      <c r="J1306" s="34" t="str">
        <f aca="false">'Uso e Consumo'!M1306</f>
        <v>3.8.1.022 - Elementos de fixação</v>
      </c>
      <c r="K1306" s="32" t="str">
        <f aca="false">INDEX('Curva ABC'!$K$8:$K$2847,MATCH(D1306,'Curva ABC'!$B$8:$B$2847,0))</f>
        <v>C</v>
      </c>
    </row>
    <row r="1307" customFormat="false" ht="15" hidden="false" customHeight="false" outlineLevel="0" collapsed="false">
      <c r="A1307" s="34" t="s">
        <v>5799</v>
      </c>
      <c r="B1307" s="34" t="str">
        <f aca="false">'Uso e Consumo'!A1307</f>
        <v>0335</v>
      </c>
      <c r="C1307" s="34" t="str">
        <f aca="false">'Uso e Consumo'!B1307</f>
        <v>UFV NORONHA VERDE - USO E CONSUMO</v>
      </c>
      <c r="D1307" s="33" t="n">
        <f aca="false">'Uso e Consumo'!C1307</f>
        <v>1383592</v>
      </c>
      <c r="E1307" s="34" t="str">
        <f aca="false">'Uso e Consumo'!D1307</f>
        <v>23.07.1575</v>
      </c>
      <c r="F1307" s="34" t="str">
        <f aca="false">'Uso e Consumo'!E1307</f>
        <v>PARAFUSO ROSCA SOBERBA DE AÇO INOXIDÁVEL, CABEÇA SEXTAVADA, BITOLA 1/4" x 45 mm </v>
      </c>
      <c r="G1307" s="34" t="str">
        <f aca="false">'Uso e Consumo'!J1307</f>
        <v>UN</v>
      </c>
      <c r="H1307" s="49" t="n">
        <f aca="false">'Uso e Consumo'!F1307</f>
        <v>116</v>
      </c>
      <c r="I1307" s="35" t="n">
        <f aca="false">'Uso e Consumo'!G1307</f>
        <v>535.36</v>
      </c>
      <c r="J1307" s="34" t="str">
        <f aca="false">'Uso e Consumo'!M1307</f>
        <v>3.8.1.022 - Elementos de fixação</v>
      </c>
      <c r="K1307" s="32" t="str">
        <f aca="false">INDEX('Curva ABC'!$K$8:$K$2847,MATCH(D1307,'Curva ABC'!$B$8:$B$2847,0))</f>
        <v>C</v>
      </c>
    </row>
    <row r="1308" customFormat="false" ht="15" hidden="false" customHeight="false" outlineLevel="0" collapsed="false">
      <c r="A1308" s="34" t="s">
        <v>5799</v>
      </c>
      <c r="B1308" s="34" t="str">
        <f aca="false">'Uso e Consumo'!A1308</f>
        <v>0335</v>
      </c>
      <c r="C1308" s="34" t="str">
        <f aca="false">'Uso e Consumo'!B1308</f>
        <v>UFV NORONHA VERDE - USO E CONSUMO</v>
      </c>
      <c r="D1308" s="33" t="n">
        <f aca="false">'Uso e Consumo'!C1308</f>
        <v>960689</v>
      </c>
      <c r="E1308" s="34" t="str">
        <f aca="false">'Uso e Consumo'!D1308</f>
        <v>33.02.2798</v>
      </c>
      <c r="F1308" s="34" t="str">
        <f aca="false">'Uso e Consumo'!E1308</f>
        <v>ANEL DE VEDAÇÃO P/ VASO SANITÁRIO COM GUIA BLUKIT</v>
      </c>
      <c r="G1308" s="34" t="str">
        <f aca="false">'Uso e Consumo'!J1308</f>
        <v>UN</v>
      </c>
      <c r="H1308" s="49" t="n">
        <f aca="false">'Uso e Consumo'!F1308</f>
        <v>68</v>
      </c>
      <c r="I1308" s="35" t="n">
        <f aca="false">'Uso e Consumo'!G1308</f>
        <v>535.16</v>
      </c>
      <c r="J1308" s="34" t="str">
        <f aca="false">'Uso e Consumo'!M1308</f>
        <v>3.1.6.002 - Pneus e peças</v>
      </c>
      <c r="K1308" s="32" t="str">
        <f aca="false">INDEX('Curva ABC'!$K$8:$K$2847,MATCH(D1308,'Curva ABC'!$B$8:$B$2847,0))</f>
        <v>C</v>
      </c>
    </row>
    <row r="1309" customFormat="false" ht="15" hidden="false" customHeight="false" outlineLevel="0" collapsed="false">
      <c r="A1309" s="34" t="s">
        <v>5799</v>
      </c>
      <c r="B1309" s="34" t="str">
        <f aca="false">'Uso e Consumo'!A1309</f>
        <v>0335</v>
      </c>
      <c r="C1309" s="34" t="str">
        <f aca="false">'Uso e Consumo'!B1309</f>
        <v>UFV NORONHA VERDE - USO E CONSUMO</v>
      </c>
      <c r="D1309" s="33" t="n">
        <f aca="false">'Uso e Consumo'!C1309</f>
        <v>1096241</v>
      </c>
      <c r="E1309" s="34" t="str">
        <f aca="false">'Uso e Consumo'!D1309</f>
        <v>30.03.0523</v>
      </c>
      <c r="F1309" s="34" t="str">
        <f aca="false">'Uso e Consumo'!E1309</f>
        <v>SACO DE LIXO 15 LITROS ROLO COM 100 UNIDADES</v>
      </c>
      <c r="G1309" s="34" t="str">
        <f aca="false">'Uso e Consumo'!J1309</f>
        <v>UN</v>
      </c>
      <c r="H1309" s="49" t="n">
        <f aca="false">'Uso e Consumo'!F1309</f>
        <v>47</v>
      </c>
      <c r="I1309" s="35" t="n">
        <f aca="false">'Uso e Consumo'!G1309</f>
        <v>533.91</v>
      </c>
      <c r="J1309" s="34" t="str">
        <f aca="false">'Uso e Consumo'!M1309</f>
        <v>4.1.1.003 - Material limpeza</v>
      </c>
      <c r="K1309" s="32" t="str">
        <f aca="false">INDEX('Curva ABC'!$K$8:$K$2847,MATCH(D1309,'Curva ABC'!$B$8:$B$2847,0))</f>
        <v>C</v>
      </c>
    </row>
    <row r="1310" customFormat="false" ht="15" hidden="false" customHeight="false" outlineLevel="0" collapsed="false">
      <c r="A1310" s="34" t="s">
        <v>5799</v>
      </c>
      <c r="B1310" s="34" t="str">
        <f aca="false">'Uso e Consumo'!A1310</f>
        <v>0335</v>
      </c>
      <c r="C1310" s="34" t="str">
        <f aca="false">'Uso e Consumo'!B1310</f>
        <v>UFV NORONHA VERDE - USO E CONSUMO</v>
      </c>
      <c r="D1310" s="33" t="n">
        <f aca="false">'Uso e Consumo'!C1310</f>
        <v>826476</v>
      </c>
      <c r="E1310" s="34" t="str">
        <f aca="false">'Uso e Consumo'!D1310</f>
        <v>17.20.0517</v>
      </c>
      <c r="F1310" s="34" t="str">
        <f aca="false">'Uso e Consumo'!E1310</f>
        <v>CONECTOR A COMPRESSÃO CABO 70MM2 /HASTE 5/8"</v>
      </c>
      <c r="G1310" s="34" t="str">
        <f aca="false">'Uso e Consumo'!J1310</f>
        <v>UN</v>
      </c>
      <c r="H1310" s="49" t="n">
        <f aca="false">'Uso e Consumo'!F1310</f>
        <v>11</v>
      </c>
      <c r="I1310" s="35" t="n">
        <f aca="false">'Uso e Consumo'!G1310</f>
        <v>531.63</v>
      </c>
      <c r="J1310" s="34" t="str">
        <f aca="false">'Uso e Consumo'!M1310</f>
        <v>3.8.1.017 - Instalações elétricas/telefônicas/lógica</v>
      </c>
      <c r="K1310" s="32" t="str">
        <f aca="false">INDEX('Curva ABC'!$K$8:$K$2847,MATCH(D1310,'Curva ABC'!$B$8:$B$2847,0))</f>
        <v>C</v>
      </c>
    </row>
    <row r="1311" customFormat="false" ht="15" hidden="false" customHeight="false" outlineLevel="0" collapsed="false">
      <c r="A1311" s="34" t="s">
        <v>5799</v>
      </c>
      <c r="B1311" s="34" t="str">
        <f aca="false">'Uso e Consumo'!A1311</f>
        <v>0335</v>
      </c>
      <c r="C1311" s="34" t="str">
        <f aca="false">'Uso e Consumo'!B1311</f>
        <v>UFV NORONHA VERDE - USO E CONSUMO</v>
      </c>
      <c r="D1311" s="33" t="n">
        <f aca="false">'Uso e Consumo'!C1311</f>
        <v>18790</v>
      </c>
      <c r="E1311" s="34" t="str">
        <f aca="false">'Uso e Consumo'!D1311</f>
        <v>26.01.0001</v>
      </c>
      <c r="F1311" s="34" t="str">
        <f aca="false">'Uso e Consumo'!E1311</f>
        <v>AVENTAL RASPA COURO S/FORRO S/EMENDA 1,00M X 0,60M (CA-20041/19515/16810)</v>
      </c>
      <c r="G1311" s="34" t="str">
        <f aca="false">'Uso e Consumo'!J1311</f>
        <v>UN</v>
      </c>
      <c r="H1311" s="49" t="n">
        <f aca="false">'Uso e Consumo'!F1311</f>
        <v>16</v>
      </c>
      <c r="I1311" s="35" t="n">
        <f aca="false">'Uso e Consumo'!G1311</f>
        <v>530.5</v>
      </c>
      <c r="J1311" s="34" t="str">
        <f aca="false">'Uso e Consumo'!M1311</f>
        <v>4.3.4.001 - Equipamento de proteção individual</v>
      </c>
      <c r="K1311" s="32" t="str">
        <f aca="false">INDEX('Curva ABC'!$K$8:$K$2847,MATCH(D1311,'Curva ABC'!$B$8:$B$2847,0))</f>
        <v>C</v>
      </c>
    </row>
    <row r="1312" customFormat="false" ht="15" hidden="false" customHeight="false" outlineLevel="0" collapsed="false">
      <c r="A1312" s="34" t="s">
        <v>5799</v>
      </c>
      <c r="B1312" s="34" t="str">
        <f aca="false">'Uso e Consumo'!A1312</f>
        <v>0335</v>
      </c>
      <c r="C1312" s="34" t="str">
        <f aca="false">'Uso e Consumo'!B1312</f>
        <v>UFV NORONHA VERDE - USO E CONSUMO</v>
      </c>
      <c r="D1312" s="33" t="n">
        <f aca="false">'Uso e Consumo'!C1312</f>
        <v>1387993</v>
      </c>
      <c r="E1312" s="34" t="str">
        <f aca="false">'Uso e Consumo'!D1312</f>
        <v>17.02.0884</v>
      </c>
      <c r="F1312" s="34" t="str">
        <f aca="false">'Uso e Consumo'!E1312</f>
        <v>LUVA DE ALUMÍNIO COM ROSCA, TIPO PESADO, GALVANIZADO A FOGO, Ø 2" BSP</v>
      </c>
      <c r="G1312" s="34" t="str">
        <f aca="false">'Uso e Consumo'!J1312</f>
        <v>UN</v>
      </c>
      <c r="H1312" s="49" t="n">
        <f aca="false">'Uso e Consumo'!F1312</f>
        <v>25</v>
      </c>
      <c r="I1312" s="35" t="n">
        <f aca="false">'Uso e Consumo'!G1312</f>
        <v>525.75</v>
      </c>
      <c r="J1312" s="34" t="str">
        <f aca="false">'Uso e Consumo'!M1312</f>
        <v>3.8.1.017 - Instalações elétricas/telefônicas/lógica</v>
      </c>
      <c r="K1312" s="32" t="str">
        <f aca="false">INDEX('Curva ABC'!$K$8:$K$2847,MATCH(D1312,'Curva ABC'!$B$8:$B$2847,0))</f>
        <v>C</v>
      </c>
    </row>
    <row r="1313" customFormat="false" ht="15" hidden="false" customHeight="false" outlineLevel="0" collapsed="false">
      <c r="A1313" s="34" t="s">
        <v>5799</v>
      </c>
      <c r="B1313" s="34" t="str">
        <f aca="false">'Uso e Consumo'!A1313</f>
        <v>0335</v>
      </c>
      <c r="C1313" s="34" t="str">
        <f aca="false">'Uso e Consumo'!B1313</f>
        <v>UFV NORONHA VERDE - USO E CONSUMO</v>
      </c>
      <c r="D1313" s="33" t="n">
        <f aca="false">'Uso e Consumo'!C1313</f>
        <v>275542</v>
      </c>
      <c r="E1313" s="34" t="str">
        <f aca="false">'Uso e Consumo'!D1313</f>
        <v>18.01.1077</v>
      </c>
      <c r="F1313" s="34" t="str">
        <f aca="false">'Uso e Consumo'!E1313</f>
        <v>ELETRODUTO DE PEAD-POLIETILENO DE ALTA DENSIDADE CORRUGADO, Ø2"</v>
      </c>
      <c r="G1313" s="34" t="str">
        <f aca="false">'Uso e Consumo'!J1313</f>
        <v>M</v>
      </c>
      <c r="H1313" s="49" t="n">
        <f aca="false">'Uso e Consumo'!F1313</f>
        <v>67</v>
      </c>
      <c r="I1313" s="35" t="n">
        <f aca="false">'Uso e Consumo'!G1313</f>
        <v>525.72</v>
      </c>
      <c r="J1313" s="34" t="str">
        <f aca="false">'Uso e Consumo'!M1313</f>
        <v>3.8.1.017 - Instalações elétricas/telefônicas/lógica</v>
      </c>
      <c r="K1313" s="32" t="str">
        <f aca="false">INDEX('Curva ABC'!$K$8:$K$2847,MATCH(D1313,'Curva ABC'!$B$8:$B$2847,0))</f>
        <v>C</v>
      </c>
    </row>
    <row r="1314" customFormat="false" ht="15" hidden="false" customHeight="false" outlineLevel="0" collapsed="false">
      <c r="A1314" s="34" t="s">
        <v>5799</v>
      </c>
      <c r="B1314" s="34" t="str">
        <f aca="false">'Uso e Consumo'!A1314</f>
        <v>0335</v>
      </c>
      <c r="C1314" s="34" t="str">
        <f aca="false">'Uso e Consumo'!B1314</f>
        <v>UFV NORONHA VERDE - USO E CONSUMO</v>
      </c>
      <c r="D1314" s="33" t="n">
        <f aca="false">'Uso e Consumo'!C1314</f>
        <v>24359</v>
      </c>
      <c r="E1314" s="34" t="str">
        <f aca="false">'Uso e Consumo'!D1314</f>
        <v>33.02.0333</v>
      </c>
      <c r="F1314" s="34" t="str">
        <f aca="false">'Uso e Consumo'!E1314</f>
        <v>ANEL DE BORRACHA</v>
      </c>
      <c r="G1314" s="34" t="str">
        <f aca="false">'Uso e Consumo'!J1314</f>
        <v>UN</v>
      </c>
      <c r="H1314" s="49" t="n">
        <f aca="false">'Uso e Consumo'!F1314</f>
        <v>150</v>
      </c>
      <c r="I1314" s="35" t="n">
        <f aca="false">'Uso e Consumo'!G1314</f>
        <v>525</v>
      </c>
      <c r="J1314" s="34" t="str">
        <f aca="false">'Uso e Consumo'!M1314</f>
        <v>3.1.6.002 - Pneus e peças</v>
      </c>
      <c r="K1314" s="32" t="str">
        <f aca="false">INDEX('Curva ABC'!$K$8:$K$2847,MATCH(D1314,'Curva ABC'!$B$8:$B$2847,0))</f>
        <v>C</v>
      </c>
    </row>
    <row r="1315" customFormat="false" ht="15" hidden="false" customHeight="false" outlineLevel="0" collapsed="false">
      <c r="A1315" s="34" t="s">
        <v>5799</v>
      </c>
      <c r="B1315" s="34" t="str">
        <f aca="false">'Uso e Consumo'!A1315</f>
        <v>0335</v>
      </c>
      <c r="C1315" s="34" t="str">
        <f aca="false">'Uso e Consumo'!B1315</f>
        <v>UFV NORONHA VERDE - USO E CONSUMO</v>
      </c>
      <c r="D1315" s="33" t="n">
        <f aca="false">'Uso e Consumo'!C1315</f>
        <v>33853</v>
      </c>
      <c r="E1315" s="34" t="str">
        <f aca="false">'Uso e Consumo'!D1315</f>
        <v>24.19.0002</v>
      </c>
      <c r="F1315" s="34" t="str">
        <f aca="false">'Uso e Consumo'!E1315</f>
        <v>REBITADOR MANUAL TIPO ALAVANCA REBITES ATE 6,4MM</v>
      </c>
      <c r="G1315" s="34" t="str">
        <f aca="false">'Uso e Consumo'!J1315</f>
        <v>UN</v>
      </c>
      <c r="H1315" s="49" t="n">
        <f aca="false">'Uso e Consumo'!F1315</f>
        <v>7</v>
      </c>
      <c r="I1315" s="35" t="n">
        <f aca="false">'Uso e Consumo'!G1315</f>
        <v>525</v>
      </c>
      <c r="J1315" s="34" t="str">
        <f aca="false">'Uso e Consumo'!M1315</f>
        <v>3.8.2.002 - Ferramentas manuais</v>
      </c>
      <c r="K1315" s="32" t="str">
        <f aca="false">INDEX('Curva ABC'!$K$8:$K$2847,MATCH(D1315,'Curva ABC'!$B$8:$B$2847,0))</f>
        <v>C</v>
      </c>
    </row>
    <row r="1316" customFormat="false" ht="15" hidden="false" customHeight="false" outlineLevel="0" collapsed="false">
      <c r="A1316" s="34" t="s">
        <v>5799</v>
      </c>
      <c r="B1316" s="34" t="str">
        <f aca="false">'Uso e Consumo'!A1316</f>
        <v>0335</v>
      </c>
      <c r="C1316" s="34" t="str">
        <f aca="false">'Uso e Consumo'!B1316</f>
        <v>UFV NORONHA VERDE - USO E CONSUMO</v>
      </c>
      <c r="D1316" s="33" t="n">
        <f aca="false">'Uso e Consumo'!C1316</f>
        <v>227369</v>
      </c>
      <c r="E1316" s="34" t="str">
        <f aca="false">'Uso e Consumo'!D1316</f>
        <v>33.02.1315</v>
      </c>
      <c r="F1316" s="34" t="str">
        <f aca="false">'Uso e Consumo'!E1316</f>
        <v>PARAFUSO HEXAGONAL (M20 X1.5 X 80, DIN 960 10.9) 10466</v>
      </c>
      <c r="G1316" s="34" t="str">
        <f aca="false">'Uso e Consumo'!J1316</f>
        <v>UN</v>
      </c>
      <c r="H1316" s="49" t="n">
        <f aca="false">'Uso e Consumo'!F1316</f>
        <v>50</v>
      </c>
      <c r="I1316" s="35" t="n">
        <f aca="false">'Uso e Consumo'!G1316</f>
        <v>525</v>
      </c>
      <c r="J1316" s="34" t="str">
        <f aca="false">'Uso e Consumo'!M1316</f>
        <v>3.1.6.002 - Pneus e peças</v>
      </c>
      <c r="K1316" s="32" t="str">
        <f aca="false">INDEX('Curva ABC'!$K$8:$K$2847,MATCH(D1316,'Curva ABC'!$B$8:$B$2847,0))</f>
        <v>C</v>
      </c>
    </row>
    <row r="1317" customFormat="false" ht="15" hidden="false" customHeight="false" outlineLevel="0" collapsed="false">
      <c r="A1317" s="34" t="s">
        <v>5799</v>
      </c>
      <c r="B1317" s="34" t="str">
        <f aca="false">'Uso e Consumo'!A1317</f>
        <v>0335</v>
      </c>
      <c r="C1317" s="34" t="str">
        <f aca="false">'Uso e Consumo'!B1317</f>
        <v>UFV NORONHA VERDE - USO E CONSUMO</v>
      </c>
      <c r="D1317" s="33" t="n">
        <f aca="false">'Uso e Consumo'!C1317</f>
        <v>22004</v>
      </c>
      <c r="E1317" s="34" t="str">
        <f aca="false">'Uso e Consumo'!D1317</f>
        <v>33.02.0145</v>
      </c>
      <c r="F1317" s="34" t="str">
        <f aca="false">'Uso e Consumo'!E1317</f>
        <v>ABRAÇADEIRA</v>
      </c>
      <c r="G1317" s="34" t="str">
        <f aca="false">'Uso e Consumo'!J1317</f>
        <v>UN</v>
      </c>
      <c r="H1317" s="49" t="n">
        <f aca="false">'Uso e Consumo'!F1317</f>
        <v>617</v>
      </c>
      <c r="I1317" s="35" t="n">
        <f aca="false">'Uso e Consumo'!G1317</f>
        <v>523.77</v>
      </c>
      <c r="J1317" s="34" t="str">
        <f aca="false">'Uso e Consumo'!M1317</f>
        <v>3.1.6.002 - Pneus e peças</v>
      </c>
      <c r="K1317" s="32" t="str">
        <f aca="false">INDEX('Curva ABC'!$K$8:$K$2847,MATCH(D1317,'Curva ABC'!$B$8:$B$2847,0))</f>
        <v>C</v>
      </c>
    </row>
    <row r="1318" customFormat="false" ht="15" hidden="false" customHeight="false" outlineLevel="0" collapsed="false">
      <c r="A1318" s="34" t="s">
        <v>5799</v>
      </c>
      <c r="B1318" s="34" t="str">
        <f aca="false">'Uso e Consumo'!A1318</f>
        <v>0335</v>
      </c>
      <c r="C1318" s="34" t="str">
        <f aca="false">'Uso e Consumo'!B1318</f>
        <v>UFV NORONHA VERDE - USO E CONSUMO</v>
      </c>
      <c r="D1318" s="33" t="n">
        <f aca="false">'Uso e Consumo'!C1318</f>
        <v>23712</v>
      </c>
      <c r="E1318" s="34" t="str">
        <f aca="false">'Uso e Consumo'!D1318</f>
        <v>25.03.0169</v>
      </c>
      <c r="F1318" s="34" t="str">
        <f aca="false">'Uso e Consumo'!E1318</f>
        <v>BROCA AÇO RÁPIDO 1/2</v>
      </c>
      <c r="G1318" s="34" t="str">
        <f aca="false">'Uso e Consumo'!J1318</f>
        <v>UN</v>
      </c>
      <c r="H1318" s="49" t="n">
        <f aca="false">'Uso e Consumo'!F1318</f>
        <v>15</v>
      </c>
      <c r="I1318" s="35" t="n">
        <f aca="false">'Uso e Consumo'!G1318</f>
        <v>523.5</v>
      </c>
      <c r="J1318" s="34" t="str">
        <f aca="false">'Uso e Consumo'!M1318</f>
        <v>3.8.2.004 - Consumíveis para corte, perfuração e desbaste</v>
      </c>
      <c r="K1318" s="32" t="str">
        <f aca="false">INDEX('Curva ABC'!$K$8:$K$2847,MATCH(D1318,'Curva ABC'!$B$8:$B$2847,0))</f>
        <v>C</v>
      </c>
    </row>
    <row r="1319" customFormat="false" ht="15" hidden="false" customHeight="false" outlineLevel="0" collapsed="false">
      <c r="A1319" s="34" t="s">
        <v>5799</v>
      </c>
      <c r="B1319" s="34" t="str">
        <f aca="false">'Uso e Consumo'!A1319</f>
        <v>0335</v>
      </c>
      <c r="C1319" s="34" t="str">
        <f aca="false">'Uso e Consumo'!B1319</f>
        <v>UFV NORONHA VERDE - USO E CONSUMO</v>
      </c>
      <c r="D1319" s="33" t="n">
        <f aca="false">'Uso e Consumo'!C1319</f>
        <v>1465401</v>
      </c>
      <c r="E1319" s="34" t="str">
        <f aca="false">'Uso e Consumo'!D1319</f>
        <v>17.01.1243</v>
      </c>
      <c r="F1319" s="34" t="str">
        <f aca="false">'Uso e Consumo'!E1319</f>
        <v>CABO MONOPOLAR 10 MM², EM COBRE NU, TÊMPERA MOLE, CLASSE 5, TENSÃO 0,6/1 KV, EM ISOL EPR, 90 °C, EM PVC, BRANCO </v>
      </c>
      <c r="G1319" s="34" t="str">
        <f aca="false">'Uso e Consumo'!J1319</f>
        <v>M</v>
      </c>
      <c r="H1319" s="49" t="n">
        <f aca="false">'Uso e Consumo'!F1319</f>
        <v>40</v>
      </c>
      <c r="I1319" s="35" t="n">
        <f aca="false">'Uso e Consumo'!G1319</f>
        <v>523.05</v>
      </c>
      <c r="J1319" s="34" t="str">
        <f aca="false">'Uso e Consumo'!M1319</f>
        <v>3.7.1.018 - Serviço de instalações elétricas/telefônica/lógica</v>
      </c>
      <c r="K1319" s="32" t="str">
        <f aca="false">INDEX('Curva ABC'!$K$8:$K$2847,MATCH(D1319,'Curva ABC'!$B$8:$B$2847,0))</f>
        <v>C</v>
      </c>
    </row>
    <row r="1320" customFormat="false" ht="15" hidden="false" customHeight="false" outlineLevel="0" collapsed="false">
      <c r="A1320" s="34" t="s">
        <v>5799</v>
      </c>
      <c r="B1320" s="34" t="str">
        <f aca="false">'Uso e Consumo'!A1320</f>
        <v>0335</v>
      </c>
      <c r="C1320" s="34" t="str">
        <f aca="false">'Uso e Consumo'!B1320</f>
        <v>UFV NORONHA VERDE - USO E CONSUMO</v>
      </c>
      <c r="D1320" s="33" t="n">
        <f aca="false">'Uso e Consumo'!C1320</f>
        <v>1462015</v>
      </c>
      <c r="E1320" s="34" t="str">
        <f aca="false">'Uso e Consumo'!D1320</f>
        <v>17.02.0897</v>
      </c>
      <c r="F1320" s="34" t="str">
        <f aca="false">'Uso e Consumo'!E1320</f>
        <v>CONEXÃO  (KN) DN 170 PTAC00566</v>
      </c>
      <c r="G1320" s="34" t="str">
        <f aca="false">'Uso e Consumo'!J1320</f>
        <v>UN</v>
      </c>
      <c r="H1320" s="49" t="n">
        <f aca="false">'Uso e Consumo'!F1320</f>
        <v>30</v>
      </c>
      <c r="I1320" s="35" t="n">
        <f aca="false">'Uso e Consumo'!G1320</f>
        <v>522.6</v>
      </c>
      <c r="J1320" s="34" t="str">
        <f aca="false">'Uso e Consumo'!M1320</f>
        <v>3.8.1.017 - Instalações elétricas/telefônicas/lógica</v>
      </c>
      <c r="K1320" s="32" t="str">
        <f aca="false">INDEX('Curva ABC'!$K$8:$K$2847,MATCH(D1320,'Curva ABC'!$B$8:$B$2847,0))</f>
        <v>C</v>
      </c>
    </row>
    <row r="1321" customFormat="false" ht="15" hidden="false" customHeight="false" outlineLevel="0" collapsed="false">
      <c r="A1321" s="34" t="s">
        <v>5799</v>
      </c>
      <c r="B1321" s="34" t="str">
        <f aca="false">'Uso e Consumo'!A1321</f>
        <v>0335</v>
      </c>
      <c r="C1321" s="34" t="str">
        <f aca="false">'Uso e Consumo'!B1321</f>
        <v>UFV NORONHA VERDE - USO E CONSUMO</v>
      </c>
      <c r="D1321" s="33" t="n">
        <f aca="false">'Uso e Consumo'!C1321</f>
        <v>1465209</v>
      </c>
      <c r="E1321" s="34" t="str">
        <f aca="false">'Uso e Consumo'!D1321</f>
        <v>01.11.0317</v>
      </c>
      <c r="F1321" s="34" t="str">
        <f aca="false">'Uso e Consumo'!E1321</f>
        <v>CHAPA 3/8" x 3" x 60 MM GALVANIZADO A FOGO</v>
      </c>
      <c r="G1321" s="34" t="str">
        <f aca="false">'Uso e Consumo'!J1321</f>
        <v>UN</v>
      </c>
      <c r="H1321" s="49" t="n">
        <f aca="false">'Uso e Consumo'!F1321</f>
        <v>8</v>
      </c>
      <c r="I1321" s="35" t="n">
        <f aca="false">'Uso e Consumo'!G1321</f>
        <v>520</v>
      </c>
      <c r="J1321" s="34" t="str">
        <f aca="false">'Uso e Consumo'!M1321</f>
        <v>3.8.1.001 - Aços e trefilados</v>
      </c>
      <c r="K1321" s="32" t="str">
        <f aca="false">INDEX('Curva ABC'!$K$8:$K$2847,MATCH(D1321,'Curva ABC'!$B$8:$B$2847,0))</f>
        <v>C</v>
      </c>
    </row>
    <row r="1322" customFormat="false" ht="15" hidden="false" customHeight="false" outlineLevel="0" collapsed="false">
      <c r="A1322" s="34" t="s">
        <v>5799</v>
      </c>
      <c r="B1322" s="34" t="str">
        <f aca="false">'Uso e Consumo'!A1322</f>
        <v>0335</v>
      </c>
      <c r="C1322" s="34" t="str">
        <f aca="false">'Uso e Consumo'!B1322</f>
        <v>UFV NORONHA VERDE - USO E CONSUMO</v>
      </c>
      <c r="D1322" s="33" t="n">
        <f aca="false">'Uso e Consumo'!C1322</f>
        <v>22434</v>
      </c>
      <c r="E1322" s="34" t="str">
        <f aca="false">'Uso e Consumo'!D1322</f>
        <v>17.10.0158</v>
      </c>
      <c r="F1322" s="34" t="str">
        <f aca="false">'Uso e Consumo'!E1322</f>
        <v>DISJUNTOR MONOPOLAR 32A NBR 60898</v>
      </c>
      <c r="G1322" s="34" t="str">
        <f aca="false">'Uso e Consumo'!J1322</f>
        <v>UN</v>
      </c>
      <c r="H1322" s="49" t="n">
        <f aca="false">'Uso e Consumo'!F1322</f>
        <v>14</v>
      </c>
      <c r="I1322" s="35" t="n">
        <f aca="false">'Uso e Consumo'!G1322</f>
        <v>517.72</v>
      </c>
      <c r="J1322" s="34" t="str">
        <f aca="false">'Uso e Consumo'!M1322</f>
        <v>3.8.1.017 - Instalações elétricas/telefônicas/lógica</v>
      </c>
      <c r="K1322" s="32" t="str">
        <f aca="false">INDEX('Curva ABC'!$K$8:$K$2847,MATCH(D1322,'Curva ABC'!$B$8:$B$2847,0))</f>
        <v>C</v>
      </c>
    </row>
    <row r="1323" customFormat="false" ht="15" hidden="false" customHeight="false" outlineLevel="0" collapsed="false">
      <c r="A1323" s="34" t="s">
        <v>5799</v>
      </c>
      <c r="B1323" s="34" t="str">
        <f aca="false">'Uso e Consumo'!A1323</f>
        <v>0335</v>
      </c>
      <c r="C1323" s="34" t="str">
        <f aca="false">'Uso e Consumo'!B1323</f>
        <v>UFV NORONHA VERDE - USO E CONSUMO</v>
      </c>
      <c r="D1323" s="33" t="n">
        <f aca="false">'Uso e Consumo'!C1323</f>
        <v>18793</v>
      </c>
      <c r="E1323" s="34" t="str">
        <f aca="false">'Uso e Consumo'!D1323</f>
        <v>26.01.0004</v>
      </c>
      <c r="F1323" s="34" t="str">
        <f aca="false">'Uso e Consumo'!E1323</f>
        <v>COLETE REFLETIVO TIPO BLUSÃO - 4 BOLSOS - COR LARANJA - TAM. G</v>
      </c>
      <c r="G1323" s="34" t="str">
        <f aca="false">'Uso e Consumo'!J1323</f>
        <v>UN</v>
      </c>
      <c r="H1323" s="49" t="n">
        <f aca="false">'Uso e Consumo'!F1323</f>
        <v>20</v>
      </c>
      <c r="I1323" s="35" t="n">
        <f aca="false">'Uso e Consumo'!G1323</f>
        <v>516</v>
      </c>
      <c r="J1323" s="34" t="str">
        <f aca="false">'Uso e Consumo'!M1323</f>
        <v>4.3.4.001 - Equipamento de proteção individual</v>
      </c>
      <c r="K1323" s="32" t="str">
        <f aca="false">INDEX('Curva ABC'!$K$8:$K$2847,MATCH(D1323,'Curva ABC'!$B$8:$B$2847,0))</f>
        <v>C</v>
      </c>
    </row>
    <row r="1324" customFormat="false" ht="15" hidden="false" customHeight="false" outlineLevel="0" collapsed="false">
      <c r="A1324" s="34" t="s">
        <v>5799</v>
      </c>
      <c r="B1324" s="34" t="str">
        <f aca="false">'Uso e Consumo'!A1324</f>
        <v>0335</v>
      </c>
      <c r="C1324" s="34" t="str">
        <f aca="false">'Uso e Consumo'!B1324</f>
        <v>UFV NORONHA VERDE - USO E CONSUMO</v>
      </c>
      <c r="D1324" s="33" t="n">
        <f aca="false">'Uso e Consumo'!C1324</f>
        <v>884561</v>
      </c>
      <c r="E1324" s="34" t="str">
        <f aca="false">'Uso e Consumo'!D1324</f>
        <v>30.02.0129</v>
      </c>
      <c r="F1324" s="34" t="str">
        <f aca="false">'Uso e Consumo'!E1324</f>
        <v>REFIL GÁS MAPP 400G PARA MAÇARICO</v>
      </c>
      <c r="G1324" s="34" t="str">
        <f aca="false">'Uso e Consumo'!J1324</f>
        <v>UN</v>
      </c>
      <c r="H1324" s="49" t="n">
        <f aca="false">'Uso e Consumo'!F1324</f>
        <v>8</v>
      </c>
      <c r="I1324" s="35" t="n">
        <f aca="false">'Uso e Consumo'!G1324</f>
        <v>516</v>
      </c>
      <c r="J1324" s="34" t="str">
        <f aca="false">'Uso e Consumo'!M1324</f>
        <v>4.1.1.002 - Material expediente</v>
      </c>
      <c r="K1324" s="32" t="str">
        <f aca="false">INDEX('Curva ABC'!$K$8:$K$2847,MATCH(D1324,'Curva ABC'!$B$8:$B$2847,0))</f>
        <v>C</v>
      </c>
    </row>
    <row r="1325" customFormat="false" ht="15" hidden="false" customHeight="false" outlineLevel="0" collapsed="false">
      <c r="A1325" s="34" t="s">
        <v>5799</v>
      </c>
      <c r="B1325" s="34" t="str">
        <f aca="false">'Uso e Consumo'!A1325</f>
        <v>0335</v>
      </c>
      <c r="C1325" s="34" t="str">
        <f aca="false">'Uso e Consumo'!B1325</f>
        <v>UFV NORONHA VERDE - USO E CONSUMO</v>
      </c>
      <c r="D1325" s="33" t="n">
        <f aca="false">'Uso e Consumo'!C1325</f>
        <v>283711</v>
      </c>
      <c r="E1325" s="34" t="str">
        <f aca="false">'Uso e Consumo'!D1325</f>
        <v>17.08.0133</v>
      </c>
      <c r="F1325" s="34" t="str">
        <f aca="false">'Uso e Consumo'!E1325</f>
        <v>CAIXA DE MEDIÇÃO PARA MEDIDOR POLIFÁSICO (PADRÃO CONCESSIONÁRIA)</v>
      </c>
      <c r="G1325" s="34" t="str">
        <f aca="false">'Uso e Consumo'!J1325</f>
        <v>UN</v>
      </c>
      <c r="H1325" s="49" t="n">
        <f aca="false">'Uso e Consumo'!F1325</f>
        <v>2</v>
      </c>
      <c r="I1325" s="35" t="n">
        <f aca="false">'Uso e Consumo'!G1325</f>
        <v>514.7</v>
      </c>
      <c r="J1325" s="34" t="str">
        <f aca="false">'Uso e Consumo'!M1325</f>
        <v>3.8.1.017 - Instalações elétricas/telefônicas/lógica</v>
      </c>
      <c r="K1325" s="32" t="str">
        <f aca="false">INDEX('Curva ABC'!$K$8:$K$2847,MATCH(D1325,'Curva ABC'!$B$8:$B$2847,0))</f>
        <v>C</v>
      </c>
    </row>
    <row r="1326" customFormat="false" ht="15" hidden="false" customHeight="false" outlineLevel="0" collapsed="false">
      <c r="A1326" s="34" t="s">
        <v>5799</v>
      </c>
      <c r="B1326" s="34" t="str">
        <f aca="false">'Uso e Consumo'!A1326</f>
        <v>0335</v>
      </c>
      <c r="C1326" s="34" t="str">
        <f aca="false">'Uso e Consumo'!B1326</f>
        <v>UFV NORONHA VERDE - USO E CONSUMO</v>
      </c>
      <c r="D1326" s="33" t="n">
        <f aca="false">'Uso e Consumo'!C1326</f>
        <v>888370</v>
      </c>
      <c r="E1326" s="34" t="str">
        <f aca="false">'Uso e Consumo'!D1326</f>
        <v>23.07.1413</v>
      </c>
      <c r="F1326" s="34" t="str">
        <f aca="false">'Uso e Consumo'!E1326</f>
        <v>PARAFUSO CABEÇA ABAULADA AÇO 16X45 MM</v>
      </c>
      <c r="G1326" s="34" t="str">
        <f aca="false">'Uso e Consumo'!J1326</f>
        <v>UN</v>
      </c>
      <c r="H1326" s="49" t="n">
        <f aca="false">'Uso e Consumo'!F1326</f>
        <v>131</v>
      </c>
      <c r="I1326" s="35" t="n">
        <f aca="false">'Uso e Consumo'!G1326</f>
        <v>514.6</v>
      </c>
      <c r="J1326" s="34" t="str">
        <f aca="false">'Uso e Consumo'!M1326</f>
        <v>3.8.1.022 - Elementos de fixação</v>
      </c>
      <c r="K1326" s="32" t="str">
        <f aca="false">INDEX('Curva ABC'!$K$8:$K$2847,MATCH(D1326,'Curva ABC'!$B$8:$B$2847,0))</f>
        <v>C</v>
      </c>
    </row>
    <row r="1327" customFormat="false" ht="15" hidden="false" customHeight="false" outlineLevel="0" collapsed="false">
      <c r="A1327" s="34" t="s">
        <v>5799</v>
      </c>
      <c r="B1327" s="34" t="str">
        <f aca="false">'Uso e Consumo'!A1327</f>
        <v>0335</v>
      </c>
      <c r="C1327" s="34" t="str">
        <f aca="false">'Uso e Consumo'!B1327</f>
        <v>UFV NORONHA VERDE - USO E CONSUMO</v>
      </c>
      <c r="D1327" s="33" t="n">
        <f aca="false">'Uso e Consumo'!C1327</f>
        <v>1084323</v>
      </c>
      <c r="E1327" s="34" t="str">
        <f aca="false">'Uso e Consumo'!D1327</f>
        <v>25.01.0242</v>
      </c>
      <c r="F1327" s="34" t="str">
        <f aca="false">'Uso e Consumo'!E1327</f>
        <v>DISCO DE SERRA PARA MADEIRA 7.1/4 185MM 40 DENTES, DIÂMETRO CENTRAL 20MM, ESPESSURA 2MM</v>
      </c>
      <c r="G1327" s="34" t="str">
        <f aca="false">'Uso e Consumo'!J1327</f>
        <v>UN</v>
      </c>
      <c r="H1327" s="49" t="n">
        <f aca="false">'Uso e Consumo'!F1327</f>
        <v>8</v>
      </c>
      <c r="I1327" s="35" t="n">
        <f aca="false">'Uso e Consumo'!G1327</f>
        <v>514.4</v>
      </c>
      <c r="J1327" s="34" t="str">
        <f aca="false">'Uso e Consumo'!M1327</f>
        <v>3.8.2.004 - Consumíveis para corte, perfuração e desbaste</v>
      </c>
      <c r="K1327" s="32" t="str">
        <f aca="false">INDEX('Curva ABC'!$K$8:$K$2847,MATCH(D1327,'Curva ABC'!$B$8:$B$2847,0))</f>
        <v>C</v>
      </c>
    </row>
    <row r="1328" customFormat="false" ht="15" hidden="false" customHeight="false" outlineLevel="0" collapsed="false">
      <c r="A1328" s="34" t="s">
        <v>5799</v>
      </c>
      <c r="B1328" s="34" t="str">
        <f aca="false">'Uso e Consumo'!A1328</f>
        <v>0335</v>
      </c>
      <c r="C1328" s="34" t="str">
        <f aca="false">'Uso e Consumo'!B1328</f>
        <v>UFV NORONHA VERDE - USO E CONSUMO</v>
      </c>
      <c r="D1328" s="33" t="n">
        <f aca="false">'Uso e Consumo'!C1328</f>
        <v>1471978</v>
      </c>
      <c r="E1328" s="34" t="str">
        <f aca="false">'Uso e Consumo'!D1328</f>
        <v>23.10.0066</v>
      </c>
      <c r="F1328" s="34" t="str">
        <f aca="false">'Uso e Consumo'!E1328</f>
        <v>CHUMBADOR MECÂNICO TIPO PARAFUSO, COM ROSCA INTERNA PARA ANCORAGEM DE TIRANTE. DIM 3/8"X45MM</v>
      </c>
      <c r="G1328" s="34" t="str">
        <f aca="false">'Uso e Consumo'!J1328</f>
        <v>UN</v>
      </c>
      <c r="H1328" s="49" t="n">
        <f aca="false">'Uso e Consumo'!F1328</f>
        <v>46</v>
      </c>
      <c r="I1328" s="35" t="n">
        <f aca="false">'Uso e Consumo'!G1328</f>
        <v>512.9</v>
      </c>
      <c r="J1328" s="34" t="str">
        <f aca="false">'Uso e Consumo'!M1328</f>
        <v>3.8.1.022 - Elementos de fixação</v>
      </c>
      <c r="K1328" s="32" t="str">
        <f aca="false">INDEX('Curva ABC'!$K$8:$K$2847,MATCH(D1328,'Curva ABC'!$B$8:$B$2847,0))</f>
        <v>C</v>
      </c>
    </row>
    <row r="1329" customFormat="false" ht="15" hidden="false" customHeight="false" outlineLevel="0" collapsed="false">
      <c r="A1329" s="34" t="s">
        <v>5799</v>
      </c>
      <c r="B1329" s="34" t="str">
        <f aca="false">'Uso e Consumo'!A1329</f>
        <v>0335</v>
      </c>
      <c r="C1329" s="34" t="str">
        <f aca="false">'Uso e Consumo'!B1329</f>
        <v>UFV NORONHA VERDE - USO E CONSUMO</v>
      </c>
      <c r="D1329" s="33" t="n">
        <f aca="false">'Uso e Consumo'!C1329</f>
        <v>55083</v>
      </c>
      <c r="E1329" s="34" t="str">
        <f aca="false">'Uso e Consumo'!D1329</f>
        <v>17.10.0214</v>
      </c>
      <c r="F1329" s="34" t="str">
        <f aca="false">'Uso e Consumo'!E1329</f>
        <v>DISJUNTOR MONOFÁSICO 16A – 230/400V NBR 60898</v>
      </c>
      <c r="G1329" s="34" t="str">
        <f aca="false">'Uso e Consumo'!J1329</f>
        <v>UN</v>
      </c>
      <c r="H1329" s="49" t="n">
        <f aca="false">'Uso e Consumo'!F1329</f>
        <v>4</v>
      </c>
      <c r="I1329" s="35" t="n">
        <f aca="false">'Uso e Consumo'!G1329</f>
        <v>512</v>
      </c>
      <c r="J1329" s="34" t="str">
        <f aca="false">'Uso e Consumo'!M1329</f>
        <v>3.8.1.017 - Instalações elétricas/telefônicas/lógica</v>
      </c>
      <c r="K1329" s="32" t="str">
        <f aca="false">INDEX('Curva ABC'!$K$8:$K$2847,MATCH(D1329,'Curva ABC'!$B$8:$B$2847,0))</f>
        <v>C</v>
      </c>
    </row>
    <row r="1330" customFormat="false" ht="15" hidden="false" customHeight="false" outlineLevel="0" collapsed="false">
      <c r="A1330" s="34" t="s">
        <v>5799</v>
      </c>
      <c r="B1330" s="34" t="str">
        <f aca="false">'Uso e Consumo'!A1330</f>
        <v>0335</v>
      </c>
      <c r="C1330" s="34" t="str">
        <f aca="false">'Uso e Consumo'!B1330</f>
        <v>UFV NORONHA VERDE - USO E CONSUMO</v>
      </c>
      <c r="D1330" s="33" t="n">
        <f aca="false">'Uso e Consumo'!C1330</f>
        <v>58447</v>
      </c>
      <c r="E1330" s="34" t="str">
        <f aca="false">'Uso e Consumo'!D1330</f>
        <v>24.08.0032</v>
      </c>
      <c r="F1330" s="34" t="str">
        <f aca="false">'Uso e Consumo'!E1330</f>
        <v>TORQUÊS ARMADOR 12"</v>
      </c>
      <c r="G1330" s="34" t="str">
        <f aca="false">'Uso e Consumo'!J1330</f>
        <v>UN</v>
      </c>
      <c r="H1330" s="49" t="n">
        <f aca="false">'Uso e Consumo'!F1330</f>
        <v>4</v>
      </c>
      <c r="I1330" s="35" t="n">
        <f aca="false">'Uso e Consumo'!G1330</f>
        <v>512</v>
      </c>
      <c r="J1330" s="34" t="str">
        <f aca="false">'Uso e Consumo'!M1330</f>
        <v>3.8.2.002 - Ferramentas manuais</v>
      </c>
      <c r="K1330" s="32" t="str">
        <f aca="false">INDEX('Curva ABC'!$K$8:$K$2847,MATCH(D1330,'Curva ABC'!$B$8:$B$2847,0))</f>
        <v>C</v>
      </c>
    </row>
    <row r="1331" customFormat="false" ht="15" hidden="false" customHeight="false" outlineLevel="0" collapsed="false">
      <c r="A1331" s="34" t="s">
        <v>5799</v>
      </c>
      <c r="B1331" s="34" t="str">
        <f aca="false">'Uso e Consumo'!A1331</f>
        <v>0335</v>
      </c>
      <c r="C1331" s="34" t="str">
        <f aca="false">'Uso e Consumo'!B1331</f>
        <v>UFV NORONHA VERDE - USO E CONSUMO</v>
      </c>
      <c r="D1331" s="33" t="n">
        <f aca="false">'Uso e Consumo'!C1331</f>
        <v>385325</v>
      </c>
      <c r="E1331" s="34" t="str">
        <f aca="false">'Uso e Consumo'!D1331</f>
        <v>17.11.0985</v>
      </c>
      <c r="F1331" s="34" t="str">
        <f aca="false">'Uso e Consumo'!E1331</f>
        <v>REFLETOR LED 30W/6500K</v>
      </c>
      <c r="G1331" s="34" t="str">
        <f aca="false">'Uso e Consumo'!J1331</f>
        <v>UN</v>
      </c>
      <c r="H1331" s="49" t="n">
        <f aca="false">'Uso e Consumo'!F1331</f>
        <v>4</v>
      </c>
      <c r="I1331" s="35" t="n">
        <f aca="false">'Uso e Consumo'!G1331</f>
        <v>512</v>
      </c>
      <c r="J1331" s="34" t="str">
        <f aca="false">'Uso e Consumo'!M1331</f>
        <v>3.8.1.017 - Instalações elétricas/telefônicas/lógica</v>
      </c>
      <c r="K1331" s="32" t="str">
        <f aca="false">INDEX('Curva ABC'!$K$8:$K$2847,MATCH(D1331,'Curva ABC'!$B$8:$B$2847,0))</f>
        <v>C</v>
      </c>
    </row>
    <row r="1332" customFormat="false" ht="15" hidden="false" customHeight="false" outlineLevel="0" collapsed="false">
      <c r="A1332" s="34" t="s">
        <v>5799</v>
      </c>
      <c r="B1332" s="34" t="str">
        <f aca="false">'Uso e Consumo'!A1332</f>
        <v>0335</v>
      </c>
      <c r="C1332" s="34" t="str">
        <f aca="false">'Uso e Consumo'!B1332</f>
        <v>UFV NORONHA VERDE - USO E CONSUMO</v>
      </c>
      <c r="D1332" s="33" t="n">
        <f aca="false">'Uso e Consumo'!C1332</f>
        <v>1661830</v>
      </c>
      <c r="E1332" s="34" t="str">
        <f aca="false">'Uso e Consumo'!D1332</f>
        <v>01.09.0411</v>
      </c>
      <c r="F1332" s="34" t="str">
        <f aca="false">'Uso e Consumo'!E1332</f>
        <v>GANCHO CURTO 96 MM PARA FIXACAO DE LUMINARIA. DIM. 96 X 38 MM, EM ACO CARBONO GALVANIZADO A QUENTE</v>
      </c>
      <c r="G1332" s="34" t="str">
        <f aca="false">'Uso e Consumo'!J1332</f>
        <v>UN</v>
      </c>
      <c r="H1332" s="49" t="n">
        <f aca="false">'Uso e Consumo'!F1332</f>
        <v>98</v>
      </c>
      <c r="I1332" s="35" t="n">
        <f aca="false">'Uso e Consumo'!G1332</f>
        <v>511.56</v>
      </c>
      <c r="J1332" s="34" t="str">
        <f aca="false">'Uso e Consumo'!M1332</f>
        <v>3.8.1.001 - Aços e trefilados</v>
      </c>
      <c r="K1332" s="32" t="str">
        <f aca="false">INDEX('Curva ABC'!$K$8:$K$2847,MATCH(D1332,'Curva ABC'!$B$8:$B$2847,0))</f>
        <v>C</v>
      </c>
    </row>
    <row r="1333" customFormat="false" ht="15" hidden="false" customHeight="false" outlineLevel="0" collapsed="false">
      <c r="A1333" s="34" t="s">
        <v>5799</v>
      </c>
      <c r="B1333" s="34" t="str">
        <f aca="false">'Uso e Consumo'!A1333</f>
        <v>0335</v>
      </c>
      <c r="C1333" s="34" t="str">
        <f aca="false">'Uso e Consumo'!B1333</f>
        <v>UFV NORONHA VERDE - USO E CONSUMO</v>
      </c>
      <c r="D1333" s="33" t="n">
        <f aca="false">'Uso e Consumo'!C1333</f>
        <v>930255</v>
      </c>
      <c r="E1333" s="34" t="str">
        <f aca="false">'Uso e Consumo'!D1333</f>
        <v>29.03.0312</v>
      </c>
      <c r="F1333" s="34" t="str">
        <f aca="false">'Uso e Consumo'!E1333</f>
        <v>FOGÃO ELETRICO 2 BOCAS</v>
      </c>
      <c r="G1333" s="34" t="str">
        <f aca="false">'Uso e Consumo'!J1333</f>
        <v>UN</v>
      </c>
      <c r="H1333" s="49" t="n">
        <f aca="false">'Uso e Consumo'!F1333</f>
        <v>3</v>
      </c>
      <c r="I1333" s="35" t="n">
        <f aca="false">'Uso e Consumo'!G1333</f>
        <v>511.34</v>
      </c>
      <c r="J1333" s="34" t="str">
        <f aca="false">'Uso e Consumo'!M1333</f>
        <v>4.1.1.009 - Eletro eletrônico e acessórios</v>
      </c>
      <c r="K1333" s="32" t="str">
        <f aca="false">INDEX('Curva ABC'!$K$8:$K$2847,MATCH(D1333,'Curva ABC'!$B$8:$B$2847,0))</f>
        <v>C</v>
      </c>
    </row>
    <row r="1334" customFormat="false" ht="15" hidden="false" customHeight="false" outlineLevel="0" collapsed="false">
      <c r="A1334" s="34" t="s">
        <v>5799</v>
      </c>
      <c r="B1334" s="34" t="str">
        <f aca="false">'Uso e Consumo'!A1334</f>
        <v>0335</v>
      </c>
      <c r="C1334" s="34" t="str">
        <f aca="false">'Uso e Consumo'!B1334</f>
        <v>UFV NORONHA VERDE - USO E CONSUMO</v>
      </c>
      <c r="D1334" s="33" t="n">
        <f aca="false">'Uso e Consumo'!C1334</f>
        <v>1680623</v>
      </c>
      <c r="E1334" s="34" t="str">
        <f aca="false">'Uso e Consumo'!D1334</f>
        <v>16.01.0007</v>
      </c>
      <c r="F1334" s="34" t="str">
        <f aca="false">'Uso e Consumo'!E1334</f>
        <v>SELANTE ACRILICO</v>
      </c>
      <c r="G1334" s="34" t="str">
        <f aca="false">'Uso e Consumo'!J1334</f>
        <v>L</v>
      </c>
      <c r="H1334" s="49" t="n">
        <f aca="false">'Uso e Consumo'!F1334</f>
        <v>3</v>
      </c>
      <c r="I1334" s="35" t="n">
        <f aca="false">'Uso e Consumo'!G1334</f>
        <v>509.94</v>
      </c>
      <c r="J1334" s="34" t="str">
        <f aca="false">'Uso e Consumo'!M1334</f>
        <v>3.8.1.015 - Impermeabilizantes</v>
      </c>
      <c r="K1334" s="32" t="str">
        <f aca="false">INDEX('Curva ABC'!$K$8:$K$2847,MATCH(D1334,'Curva ABC'!$B$8:$B$2847,0))</f>
        <v>C</v>
      </c>
    </row>
    <row r="1335" customFormat="false" ht="15" hidden="false" customHeight="false" outlineLevel="0" collapsed="false">
      <c r="A1335" s="34" t="s">
        <v>5799</v>
      </c>
      <c r="B1335" s="34" t="str">
        <f aca="false">'Uso e Consumo'!A1335</f>
        <v>0335</v>
      </c>
      <c r="C1335" s="34" t="str">
        <f aca="false">'Uso e Consumo'!B1335</f>
        <v>UFV NORONHA VERDE - USO E CONSUMO</v>
      </c>
      <c r="D1335" s="33" t="n">
        <f aca="false">'Uso e Consumo'!C1335</f>
        <v>139812</v>
      </c>
      <c r="E1335" s="34" t="str">
        <f aca="false">'Uso e Consumo'!D1335</f>
        <v>17.10.0287</v>
      </c>
      <c r="F1335" s="34" t="str">
        <f aca="false">'Uso e Consumo'!E1335</f>
        <v>DISJUNTOR UNIPOLAR 16A NBR 60898</v>
      </c>
      <c r="G1335" s="34" t="str">
        <f aca="false">'Uso e Consumo'!J1335</f>
        <v>UN</v>
      </c>
      <c r="H1335" s="49" t="n">
        <f aca="false">'Uso e Consumo'!F1335</f>
        <v>8</v>
      </c>
      <c r="I1335" s="35" t="n">
        <f aca="false">'Uso e Consumo'!G1335</f>
        <v>508.68</v>
      </c>
      <c r="J1335" s="34" t="str">
        <f aca="false">'Uso e Consumo'!M1335</f>
        <v>3.8.1.017 - Instalações elétricas/telefônicas/lógica</v>
      </c>
      <c r="K1335" s="32" t="str">
        <f aca="false">INDEX('Curva ABC'!$K$8:$K$2847,MATCH(D1335,'Curva ABC'!$B$8:$B$2847,0))</f>
        <v>C</v>
      </c>
    </row>
    <row r="1336" customFormat="false" ht="15" hidden="false" customHeight="false" outlineLevel="0" collapsed="false">
      <c r="A1336" s="34" t="s">
        <v>5799</v>
      </c>
      <c r="B1336" s="34" t="str">
        <f aca="false">'Uso e Consumo'!A1336</f>
        <v>0335</v>
      </c>
      <c r="C1336" s="34" t="str">
        <f aca="false">'Uso e Consumo'!B1336</f>
        <v>UFV NORONHA VERDE - USO E CONSUMO</v>
      </c>
      <c r="D1336" s="33" t="n">
        <f aca="false">'Uso e Consumo'!C1336</f>
        <v>18857</v>
      </c>
      <c r="E1336" s="34" t="str">
        <f aca="false">'Uso e Consumo'!D1336</f>
        <v>26.05.0003</v>
      </c>
      <c r="F1336" s="34" t="str">
        <f aca="false">'Uso e Consumo'!E1336</f>
        <v>ÓCULOS DE SEGURANÇA PARA SOBREPOR ÓCULOS DE GRAU - LENTE CINZA (CA-6942/15618/18080)</v>
      </c>
      <c r="G1336" s="34" t="str">
        <f aca="false">'Uso e Consumo'!J1336</f>
        <v>UN</v>
      </c>
      <c r="H1336" s="49" t="n">
        <f aca="false">'Uso e Consumo'!F1336</f>
        <v>90</v>
      </c>
      <c r="I1336" s="35" t="n">
        <f aca="false">'Uso e Consumo'!G1336</f>
        <v>507.6</v>
      </c>
      <c r="J1336" s="34" t="str">
        <f aca="false">'Uso e Consumo'!M1336</f>
        <v>4.3.4.001 - Equipamento de proteção individual</v>
      </c>
      <c r="K1336" s="32" t="str">
        <f aca="false">INDEX('Curva ABC'!$K$8:$K$2847,MATCH(D1336,'Curva ABC'!$B$8:$B$2847,0))</f>
        <v>C</v>
      </c>
    </row>
    <row r="1337" customFormat="false" ht="15" hidden="false" customHeight="false" outlineLevel="0" collapsed="false">
      <c r="A1337" s="34" t="s">
        <v>5799</v>
      </c>
      <c r="B1337" s="34" t="str">
        <f aca="false">'Uso e Consumo'!A1337</f>
        <v>0335</v>
      </c>
      <c r="C1337" s="34" t="str">
        <f aca="false">'Uso e Consumo'!B1337</f>
        <v>UFV NORONHA VERDE - USO E CONSUMO</v>
      </c>
      <c r="D1337" s="33" t="n">
        <f aca="false">'Uso e Consumo'!C1337</f>
        <v>33981</v>
      </c>
      <c r="E1337" s="34" t="str">
        <f aca="false">'Uso e Consumo'!D1337</f>
        <v>17.16.0106</v>
      </c>
      <c r="F1337" s="34" t="str">
        <f aca="false">'Uso e Consumo'!E1337</f>
        <v>CONECTOR DE ALUMINIO BOX RETO COM PARAFUSO 1"</v>
      </c>
      <c r="G1337" s="34" t="str">
        <f aca="false">'Uso e Consumo'!J1337</f>
        <v>UN</v>
      </c>
      <c r="H1337" s="49" t="n">
        <f aca="false">'Uso e Consumo'!F1337</f>
        <v>52</v>
      </c>
      <c r="I1337" s="35" t="n">
        <f aca="false">'Uso e Consumo'!G1337</f>
        <v>507.52</v>
      </c>
      <c r="J1337" s="34" t="str">
        <f aca="false">'Uso e Consumo'!M1337</f>
        <v>3.8.1.017 - Instalações elétricas/telefônicas/lógica</v>
      </c>
      <c r="K1337" s="32" t="str">
        <f aca="false">INDEX('Curva ABC'!$K$8:$K$2847,MATCH(D1337,'Curva ABC'!$B$8:$B$2847,0))</f>
        <v>C</v>
      </c>
    </row>
    <row r="1338" customFormat="false" ht="15" hidden="false" customHeight="false" outlineLevel="0" collapsed="false">
      <c r="A1338" s="34" t="s">
        <v>5799</v>
      </c>
      <c r="B1338" s="34" t="str">
        <f aca="false">'Uso e Consumo'!A1338</f>
        <v>0335</v>
      </c>
      <c r="C1338" s="34" t="str">
        <f aca="false">'Uso e Consumo'!B1338</f>
        <v>UFV NORONHA VERDE - USO E CONSUMO</v>
      </c>
      <c r="D1338" s="33" t="n">
        <f aca="false">'Uso e Consumo'!C1338</f>
        <v>430366</v>
      </c>
      <c r="E1338" s="34" t="str">
        <f aca="false">'Uso e Consumo'!D1338</f>
        <v>24.24.0040</v>
      </c>
      <c r="F1338" s="34" t="str">
        <f aca="false">'Uso e Consumo'!E1338</f>
        <v>MANDRIL SDS PLUS </v>
      </c>
      <c r="G1338" s="34" t="str">
        <f aca="false">'Uso e Consumo'!J1338</f>
        <v>UN</v>
      </c>
      <c r="H1338" s="49" t="n">
        <f aca="false">'Uso e Consumo'!F1338</f>
        <v>3</v>
      </c>
      <c r="I1338" s="35" t="n">
        <f aca="false">'Uso e Consumo'!G1338</f>
        <v>507</v>
      </c>
      <c r="J1338" s="34" t="str">
        <f aca="false">'Uso e Consumo'!M1338</f>
        <v>3.1.6.002 - Pneus e peças</v>
      </c>
      <c r="K1338" s="32" t="str">
        <f aca="false">INDEX('Curva ABC'!$K$8:$K$2847,MATCH(D1338,'Curva ABC'!$B$8:$B$2847,0))</f>
        <v>C</v>
      </c>
    </row>
    <row r="1339" customFormat="false" ht="15" hidden="false" customHeight="false" outlineLevel="0" collapsed="false">
      <c r="A1339" s="34" t="s">
        <v>5799</v>
      </c>
      <c r="B1339" s="34" t="str">
        <f aca="false">'Uso e Consumo'!A1339</f>
        <v>0335</v>
      </c>
      <c r="C1339" s="34" t="str">
        <f aca="false">'Uso e Consumo'!B1339</f>
        <v>UFV NORONHA VERDE - USO E CONSUMO</v>
      </c>
      <c r="D1339" s="33" t="n">
        <f aca="false">'Uso e Consumo'!C1339</f>
        <v>12599</v>
      </c>
      <c r="E1339" s="34" t="str">
        <f aca="false">'Uso e Consumo'!D1339</f>
        <v>17.02.0099</v>
      </c>
      <c r="F1339" s="34" t="str">
        <f aca="false">'Uso e Consumo'!E1339</f>
        <v>CURVA 90GR ELETRODUTO ALUMÍNIO BSP 2" X 60,30MM</v>
      </c>
      <c r="G1339" s="34" t="str">
        <f aca="false">'Uso e Consumo'!J1339</f>
        <v>UN</v>
      </c>
      <c r="H1339" s="49" t="n">
        <f aca="false">'Uso e Consumo'!F1339</f>
        <v>4</v>
      </c>
      <c r="I1339" s="35" t="n">
        <f aca="false">'Uso e Consumo'!G1339</f>
        <v>505.34</v>
      </c>
      <c r="J1339" s="34" t="str">
        <f aca="false">'Uso e Consumo'!M1339</f>
        <v>3.8.1.017 - Instalações elétricas/telefônicas/lógica</v>
      </c>
      <c r="K1339" s="32" t="str">
        <f aca="false">INDEX('Curva ABC'!$K$8:$K$2847,MATCH(D1339,'Curva ABC'!$B$8:$B$2847,0))</f>
        <v>C</v>
      </c>
    </row>
    <row r="1340" customFormat="false" ht="15" hidden="false" customHeight="false" outlineLevel="0" collapsed="false">
      <c r="A1340" s="34" t="s">
        <v>5799</v>
      </c>
      <c r="B1340" s="34" t="str">
        <f aca="false">'Uso e Consumo'!A1340</f>
        <v>0335</v>
      </c>
      <c r="C1340" s="34" t="str">
        <f aca="false">'Uso e Consumo'!B1340</f>
        <v>UFV NORONHA VERDE - USO E CONSUMO</v>
      </c>
      <c r="D1340" s="33" t="n">
        <f aca="false">'Uso e Consumo'!C1340</f>
        <v>1097671</v>
      </c>
      <c r="E1340" s="34" t="str">
        <f aca="false">'Uso e Consumo'!D1340</f>
        <v>06.04.0070</v>
      </c>
      <c r="F1340" s="34" t="str">
        <f aca="false">'Uso e Consumo'!E1340</f>
        <v>SILICONE ACÉTICO MULTIUSO </v>
      </c>
      <c r="G1340" s="34" t="str">
        <f aca="false">'Uso e Consumo'!J1340</f>
        <v>UN</v>
      </c>
      <c r="H1340" s="49" t="n">
        <f aca="false">'Uso e Consumo'!F1340</f>
        <v>4</v>
      </c>
      <c r="I1340" s="35" t="n">
        <f aca="false">'Uso e Consumo'!G1340</f>
        <v>504</v>
      </c>
      <c r="J1340" s="34" t="str">
        <f aca="false">'Uso e Consumo'!M1340</f>
        <v>3.8.1.006 - Aditivos e produtos químicos</v>
      </c>
      <c r="K1340" s="32" t="str">
        <f aca="false">INDEX('Curva ABC'!$K$8:$K$2847,MATCH(D1340,'Curva ABC'!$B$8:$B$2847,0))</f>
        <v>C</v>
      </c>
    </row>
    <row r="1341" customFormat="false" ht="15" hidden="false" customHeight="false" outlineLevel="0" collapsed="false">
      <c r="A1341" s="34" t="s">
        <v>5799</v>
      </c>
      <c r="B1341" s="34" t="str">
        <f aca="false">'Uso e Consumo'!A1341</f>
        <v>0335</v>
      </c>
      <c r="C1341" s="34" t="str">
        <f aca="false">'Uso e Consumo'!B1341</f>
        <v>UFV NORONHA VERDE - USO E CONSUMO</v>
      </c>
      <c r="D1341" s="33" t="n">
        <f aca="false">'Uso e Consumo'!C1341</f>
        <v>1384963</v>
      </c>
      <c r="E1341" s="34" t="str">
        <f aca="false">'Uso e Consumo'!D1341</f>
        <v>17.01.1214</v>
      </c>
      <c r="F1341" s="34" t="str">
        <f aca="false">'Uso e Consumo'!E1341</f>
        <v>CABO MONOPOLAR 16 MM², CONDUTOR EM COBRE ELETROLÍTICO NU, TÊMPERA MOLE, CLASSE 5, TENSÃO 0,6/1 KV, COR AZUL CLARO</v>
      </c>
      <c r="G1341" s="34" t="str">
        <f aca="false">'Uso e Consumo'!J1341</f>
        <v>M</v>
      </c>
      <c r="H1341" s="49" t="n">
        <f aca="false">'Uso e Consumo'!F1341</f>
        <v>20</v>
      </c>
      <c r="I1341" s="35" t="n">
        <f aca="false">'Uso e Consumo'!G1341</f>
        <v>503.4</v>
      </c>
      <c r="J1341" s="34" t="str">
        <f aca="false">'Uso e Consumo'!M1341</f>
        <v>3.8.1.017 - Instalações elétricas/telefônicas/lógica</v>
      </c>
      <c r="K1341" s="32" t="str">
        <f aca="false">INDEX('Curva ABC'!$K$8:$K$2847,MATCH(D1341,'Curva ABC'!$B$8:$B$2847,0))</f>
        <v>C</v>
      </c>
    </row>
    <row r="1342" customFormat="false" ht="15" hidden="false" customHeight="false" outlineLevel="0" collapsed="false">
      <c r="A1342" s="34" t="s">
        <v>5799</v>
      </c>
      <c r="B1342" s="34" t="str">
        <f aca="false">'Uso e Consumo'!A1342</f>
        <v>0335</v>
      </c>
      <c r="C1342" s="34" t="str">
        <f aca="false">'Uso e Consumo'!B1342</f>
        <v>UFV NORONHA VERDE - USO E CONSUMO</v>
      </c>
      <c r="D1342" s="33" t="n">
        <f aca="false">'Uso e Consumo'!C1342</f>
        <v>845312</v>
      </c>
      <c r="E1342" s="34" t="str">
        <f aca="false">'Uso e Consumo'!D1342</f>
        <v>29.01.1150</v>
      </c>
      <c r="F1342" s="34" t="str">
        <f aca="false">'Uso e Consumo'!E1342</f>
        <v>MOUSE LOGITECH SEM FIO M170</v>
      </c>
      <c r="G1342" s="34" t="str">
        <f aca="false">'Uso e Consumo'!J1342</f>
        <v>UN</v>
      </c>
      <c r="H1342" s="49" t="n">
        <f aca="false">'Uso e Consumo'!F1342</f>
        <v>8</v>
      </c>
      <c r="I1342" s="35" t="n">
        <f aca="false">'Uso e Consumo'!G1342</f>
        <v>503.28</v>
      </c>
      <c r="J1342" s="34" t="str">
        <f aca="false">'Uso e Consumo'!M1342</f>
        <v>4.1.1.007 - Equipamentos e acessórios para informática</v>
      </c>
      <c r="K1342" s="32" t="str">
        <f aca="false">INDEX('Curva ABC'!$K$8:$K$2847,MATCH(D1342,'Curva ABC'!$B$8:$B$2847,0))</f>
        <v>C</v>
      </c>
    </row>
    <row r="1343" customFormat="false" ht="15" hidden="false" customHeight="false" outlineLevel="0" collapsed="false">
      <c r="A1343" s="34" t="s">
        <v>5799</v>
      </c>
      <c r="B1343" s="34" t="str">
        <f aca="false">'Uso e Consumo'!A1343</f>
        <v>0335</v>
      </c>
      <c r="C1343" s="34" t="str">
        <f aca="false">'Uso e Consumo'!B1343</f>
        <v>UFV NORONHA VERDE - USO E CONSUMO</v>
      </c>
      <c r="D1343" s="33" t="n">
        <f aca="false">'Uso e Consumo'!C1343</f>
        <v>557140</v>
      </c>
      <c r="E1343" s="34" t="str">
        <f aca="false">'Uso e Consumo'!D1343</f>
        <v>24.41.0188</v>
      </c>
      <c r="F1343" s="34" t="str">
        <f aca="false">'Uso e Consumo'!E1343</f>
        <v>SOQUETE  1/2X 10MM  SEXT. 015005  015005 19-10 GEDORE</v>
      </c>
      <c r="G1343" s="34" t="str">
        <f aca="false">'Uso e Consumo'!J1343</f>
        <v>UN</v>
      </c>
      <c r="H1343" s="49" t="n">
        <f aca="false">'Uso e Consumo'!F1343</f>
        <v>20</v>
      </c>
      <c r="I1343" s="35" t="n">
        <f aca="false">'Uso e Consumo'!G1343</f>
        <v>502.8</v>
      </c>
      <c r="J1343" s="34" t="str">
        <f aca="false">'Uso e Consumo'!M1343</f>
        <v>3.8.2.002 - Ferramentas manuais</v>
      </c>
      <c r="K1343" s="32" t="str">
        <f aca="false">INDEX('Curva ABC'!$K$8:$K$2847,MATCH(D1343,'Curva ABC'!$B$8:$B$2847,0))</f>
        <v>C</v>
      </c>
    </row>
    <row r="1344" customFormat="false" ht="15" hidden="false" customHeight="false" outlineLevel="0" collapsed="false">
      <c r="A1344" s="34" t="s">
        <v>5799</v>
      </c>
      <c r="B1344" s="34" t="str">
        <f aca="false">'Uso e Consumo'!A1344</f>
        <v>0335</v>
      </c>
      <c r="C1344" s="34" t="str">
        <f aca="false">'Uso e Consumo'!B1344</f>
        <v>UFV NORONHA VERDE - USO E CONSUMO</v>
      </c>
      <c r="D1344" s="33" t="n">
        <f aca="false">'Uso e Consumo'!C1344</f>
        <v>282631</v>
      </c>
      <c r="E1344" s="34" t="str">
        <f aca="false">'Uso e Consumo'!D1344</f>
        <v>23.07.1141</v>
      </c>
      <c r="F1344" s="34" t="str">
        <f aca="false">'Uso e Consumo'!E1344</f>
        <v>PARAFUSO SEXTAVADO M12 X 50MM</v>
      </c>
      <c r="G1344" s="34" t="str">
        <f aca="false">'Uso e Consumo'!J1344</f>
        <v>UN</v>
      </c>
      <c r="H1344" s="49" t="n">
        <f aca="false">'Uso e Consumo'!F1344</f>
        <v>165</v>
      </c>
      <c r="I1344" s="35" t="n">
        <f aca="false">'Uso e Consumo'!G1344</f>
        <v>502.78</v>
      </c>
      <c r="J1344" s="34" t="str">
        <f aca="false">'Uso e Consumo'!M1344</f>
        <v>3.8.1.022 - Elementos de fixação</v>
      </c>
      <c r="K1344" s="32" t="str">
        <f aca="false">INDEX('Curva ABC'!$K$8:$K$2847,MATCH(D1344,'Curva ABC'!$B$8:$B$2847,0))</f>
        <v>C</v>
      </c>
    </row>
    <row r="1345" customFormat="false" ht="15" hidden="false" customHeight="false" outlineLevel="0" collapsed="false">
      <c r="A1345" s="34" t="s">
        <v>5799</v>
      </c>
      <c r="B1345" s="34" t="str">
        <f aca="false">'Uso e Consumo'!A1345</f>
        <v>0335</v>
      </c>
      <c r="C1345" s="34" t="str">
        <f aca="false">'Uso e Consumo'!B1345</f>
        <v>UFV NORONHA VERDE - USO E CONSUMO</v>
      </c>
      <c r="D1345" s="33" t="n">
        <f aca="false">'Uso e Consumo'!C1345</f>
        <v>1661833</v>
      </c>
      <c r="E1345" s="34" t="str">
        <f aca="false">'Uso e Consumo'!D1345</f>
        <v>23.04.0046</v>
      </c>
      <c r="F1345" s="34" t="str">
        <f aca="false">'Uso e Consumo'!E1345</f>
        <v>GRAMPO DE ATERRAMENTO DE COBRE, PARA LIGACAO DE FITA/CORDOALHA DE ATERRAMENTO A TUBO DE ACO  1.1/2"</v>
      </c>
      <c r="G1345" s="34" t="str">
        <f aca="false">'Uso e Consumo'!J1345</f>
        <v>UN</v>
      </c>
      <c r="H1345" s="49" t="n">
        <f aca="false">'Uso e Consumo'!F1345</f>
        <v>4</v>
      </c>
      <c r="I1345" s="35" t="n">
        <f aca="false">'Uso e Consumo'!G1345</f>
        <v>502.72</v>
      </c>
      <c r="J1345" s="34" t="str">
        <f aca="false">'Uso e Consumo'!M1345</f>
        <v>3.8.1.022 - Elementos de fixação</v>
      </c>
      <c r="K1345" s="32" t="str">
        <f aca="false">INDEX('Curva ABC'!$K$8:$K$2847,MATCH(D1345,'Curva ABC'!$B$8:$B$2847,0))</f>
        <v>C</v>
      </c>
    </row>
    <row r="1346" customFormat="false" ht="15" hidden="false" customHeight="false" outlineLevel="0" collapsed="false">
      <c r="A1346" s="34" t="s">
        <v>5799</v>
      </c>
      <c r="B1346" s="34" t="str">
        <f aca="false">'Uso e Consumo'!A1346</f>
        <v>0335</v>
      </c>
      <c r="C1346" s="34" t="str">
        <f aca="false">'Uso e Consumo'!B1346</f>
        <v>UFV NORONHA VERDE - USO E CONSUMO</v>
      </c>
      <c r="D1346" s="33" t="n">
        <f aca="false">'Uso e Consumo'!C1346</f>
        <v>840021</v>
      </c>
      <c r="E1346" s="34" t="str">
        <f aca="false">'Uso e Consumo'!D1346</f>
        <v>18.01.1264</v>
      </c>
      <c r="F1346" s="34" t="str">
        <f aca="false">'Uso e Consumo'!E1346</f>
        <v>JUNÇÃO SIMPLES 100 X 50MM, ESGOTO SÉRIE NORMAL - TIGRE</v>
      </c>
      <c r="G1346" s="34" t="str">
        <f aca="false">'Uso e Consumo'!J1346</f>
        <v>UN</v>
      </c>
      <c r="H1346" s="49" t="n">
        <f aca="false">'Uso e Consumo'!F1346</f>
        <v>26</v>
      </c>
      <c r="I1346" s="35" t="n">
        <f aca="false">'Uso e Consumo'!G1346</f>
        <v>502.13</v>
      </c>
      <c r="J1346" s="34" t="str">
        <f aca="false">'Uso e Consumo'!M1346</f>
        <v>3.8.1.018 - Instalações hidráulicas/sanitárias/industriais</v>
      </c>
      <c r="K1346" s="32" t="str">
        <f aca="false">INDEX('Curva ABC'!$K$8:$K$2847,MATCH(D1346,'Curva ABC'!$B$8:$B$2847,0))</f>
        <v>C</v>
      </c>
    </row>
    <row r="1347" customFormat="false" ht="32.8" hidden="false" customHeight="false" outlineLevel="0" collapsed="false">
      <c r="A1347" s="34" t="s">
        <v>5799</v>
      </c>
      <c r="B1347" s="34" t="str">
        <f aca="false">'Uso e Consumo'!A1347</f>
        <v>0335</v>
      </c>
      <c r="C1347" s="34" t="str">
        <f aca="false">'Uso e Consumo'!B1347</f>
        <v>UFV NORONHA VERDE - USO E CONSUMO</v>
      </c>
      <c r="D1347" s="33" t="n">
        <f aca="false">'Uso e Consumo'!C1347</f>
        <v>1485702</v>
      </c>
      <c r="E1347" s="34" t="str">
        <f aca="false">'Uso e Consumo'!D1347</f>
        <v>17.21.0118</v>
      </c>
      <c r="F1347" s="50" t="str">
        <f aca="false">'Uso e Consumo'!E1347</f>
        <v>SUPORTE ANGULAR PARA ELETROCALHA 200 X 100 MM AÇO GALVANIZADO A QUENTE
</v>
      </c>
      <c r="G1347" s="34" t="str">
        <f aca="false">'Uso e Consumo'!J1347</f>
        <v>UN</v>
      </c>
      <c r="H1347" s="49" t="n">
        <f aca="false">'Uso e Consumo'!F1347</f>
        <v>36</v>
      </c>
      <c r="I1347" s="35" t="n">
        <f aca="false">'Uso e Consumo'!G1347</f>
        <v>501.45</v>
      </c>
      <c r="J1347" s="34" t="str">
        <f aca="false">'Uso e Consumo'!M1347</f>
        <v>3.8.1.017 - Instalações elétricas/telefônicas/lógica</v>
      </c>
      <c r="K1347" s="32" t="str">
        <f aca="false">INDEX('Curva ABC'!$K$8:$K$2847,MATCH(D1347,'Curva ABC'!$B$8:$B$2847,0))</f>
        <v>C</v>
      </c>
    </row>
    <row r="1348" customFormat="false" ht="15" hidden="false" customHeight="false" outlineLevel="0" collapsed="false">
      <c r="A1348" s="34" t="s">
        <v>5799</v>
      </c>
      <c r="B1348" s="34" t="str">
        <f aca="false">'Uso e Consumo'!A1348</f>
        <v>0335</v>
      </c>
      <c r="C1348" s="34" t="str">
        <f aca="false">'Uso e Consumo'!B1348</f>
        <v>UFV NORONHA VERDE - USO E CONSUMO</v>
      </c>
      <c r="D1348" s="33" t="n">
        <f aca="false">'Uso e Consumo'!C1348</f>
        <v>871702</v>
      </c>
      <c r="E1348" s="34" t="str">
        <f aca="false">'Uso e Consumo'!D1348</f>
        <v>29.01.1230</v>
      </c>
      <c r="F1348" s="34" t="str">
        <f aca="false">'Uso e Consumo'!E1348</f>
        <v>PATCH PANEL CAT.5E 24 PORTAS T568A/B FURUKAWA SOHO</v>
      </c>
      <c r="G1348" s="34" t="str">
        <f aca="false">'Uso e Consumo'!J1348</f>
        <v>UN</v>
      </c>
      <c r="H1348" s="49" t="n">
        <f aca="false">'Uso e Consumo'!F1348</f>
        <v>2</v>
      </c>
      <c r="I1348" s="35" t="n">
        <f aca="false">'Uso e Consumo'!G1348</f>
        <v>501.1</v>
      </c>
      <c r="J1348" s="34" t="str">
        <f aca="false">'Uso e Consumo'!M1348</f>
        <v>4.1.1.007 - Equipamentos e acessórios para informática</v>
      </c>
      <c r="K1348" s="32" t="str">
        <f aca="false">INDEX('Curva ABC'!$K$8:$K$2847,MATCH(D1348,'Curva ABC'!$B$8:$B$2847,0))</f>
        <v>C</v>
      </c>
    </row>
    <row r="1349" customFormat="false" ht="15" hidden="false" customHeight="false" outlineLevel="0" collapsed="false">
      <c r="A1349" s="34" t="s">
        <v>5799</v>
      </c>
      <c r="B1349" s="34" t="str">
        <f aca="false">'Uso e Consumo'!A1349</f>
        <v>0335</v>
      </c>
      <c r="C1349" s="34" t="str">
        <f aca="false">'Uso e Consumo'!B1349</f>
        <v>UFV NORONHA VERDE - USO E CONSUMO</v>
      </c>
      <c r="D1349" s="33" t="n">
        <f aca="false">'Uso e Consumo'!C1349</f>
        <v>144236</v>
      </c>
      <c r="E1349" s="34" t="str">
        <f aca="false">'Uso e Consumo'!D1349</f>
        <v>01.09.0177</v>
      </c>
      <c r="F1349" s="34" t="str">
        <f aca="false">'Uso e Consumo'!E1349</f>
        <v>CANTONEIRA L 1 1/2" X 3/16" C/ 6,00M</v>
      </c>
      <c r="G1349" s="34" t="str">
        <f aca="false">'Uso e Consumo'!J1349</f>
        <v>UN</v>
      </c>
      <c r="H1349" s="49" t="n">
        <f aca="false">'Uso e Consumo'!F1349</f>
        <v>50</v>
      </c>
      <c r="I1349" s="35" t="n">
        <f aca="false">'Uso e Consumo'!G1349</f>
        <v>499</v>
      </c>
      <c r="J1349" s="34" t="str">
        <f aca="false">'Uso e Consumo'!M1349</f>
        <v>3.8.1.001 - Aços e trefilados</v>
      </c>
      <c r="K1349" s="32" t="str">
        <f aca="false">INDEX('Curva ABC'!$K$8:$K$2847,MATCH(D1349,'Curva ABC'!$B$8:$B$2847,0))</f>
        <v>C</v>
      </c>
    </row>
    <row r="1350" customFormat="false" ht="15" hidden="false" customHeight="false" outlineLevel="0" collapsed="false">
      <c r="A1350" s="34" t="s">
        <v>5799</v>
      </c>
      <c r="B1350" s="34" t="str">
        <f aca="false">'Uso e Consumo'!A1350</f>
        <v>0335</v>
      </c>
      <c r="C1350" s="34" t="str">
        <f aca="false">'Uso e Consumo'!B1350</f>
        <v>UFV NORONHA VERDE - USO E CONSUMO</v>
      </c>
      <c r="D1350" s="33" t="n">
        <f aca="false">'Uso e Consumo'!C1350</f>
        <v>1463690</v>
      </c>
      <c r="E1350" s="34" t="str">
        <f aca="false">'Uso e Consumo'!D1350</f>
        <v>17.02.0900</v>
      </c>
      <c r="F1350" s="34" t="str">
        <f aca="false">'Uso e Consumo'!E1350</f>
        <v>ELETRODUTO PVC ANTICHAMA RIGIDO SOLDAVEL PRETO 63,00MM X 3,00M NBR 15465 </v>
      </c>
      <c r="G1350" s="34" t="str">
        <f aca="false">'Uso e Consumo'!J1350</f>
        <v>UN</v>
      </c>
      <c r="H1350" s="49" t="n">
        <f aca="false">'Uso e Consumo'!F1350</f>
        <v>22</v>
      </c>
      <c r="I1350" s="35" t="n">
        <f aca="false">'Uso e Consumo'!G1350</f>
        <v>498.96</v>
      </c>
      <c r="J1350" s="34" t="str">
        <f aca="false">'Uso e Consumo'!M1350</f>
        <v>3.8.1.017 - Instalações elétricas/telefônicas/lógica</v>
      </c>
      <c r="K1350" s="32" t="str">
        <f aca="false">INDEX('Curva ABC'!$K$8:$K$2847,MATCH(D1350,'Curva ABC'!$B$8:$B$2847,0))</f>
        <v>C</v>
      </c>
    </row>
    <row r="1351" customFormat="false" ht="15" hidden="false" customHeight="false" outlineLevel="0" collapsed="false">
      <c r="A1351" s="34" t="s">
        <v>5799</v>
      </c>
      <c r="B1351" s="34" t="str">
        <f aca="false">'Uso e Consumo'!A1351</f>
        <v>0335</v>
      </c>
      <c r="C1351" s="34" t="str">
        <f aca="false">'Uso e Consumo'!B1351</f>
        <v>UFV NORONHA VERDE - USO E CONSUMO</v>
      </c>
      <c r="D1351" s="33" t="n">
        <f aca="false">'Uso e Consumo'!C1351</f>
        <v>143904</v>
      </c>
      <c r="E1351" s="34" t="str">
        <f aca="false">'Uso e Consumo'!D1351</f>
        <v>26.04.0054</v>
      </c>
      <c r="F1351" s="34" t="str">
        <f aca="false">'Uso e Consumo'!E1351</f>
        <v>BOLSA DE 20 LITROS PARA ARMAZENAMENTO DE CORDAS</v>
      </c>
      <c r="G1351" s="34" t="str">
        <f aca="false">'Uso e Consumo'!J1351</f>
        <v>UN</v>
      </c>
      <c r="H1351" s="49" t="n">
        <f aca="false">'Uso e Consumo'!F1351</f>
        <v>2</v>
      </c>
      <c r="I1351" s="35" t="n">
        <f aca="false">'Uso e Consumo'!G1351</f>
        <v>498.29</v>
      </c>
      <c r="J1351" s="34" t="str">
        <f aca="false">'Uso e Consumo'!M1351</f>
        <v>4.3.4.001 - Equipamento de proteção individual</v>
      </c>
      <c r="K1351" s="32" t="str">
        <f aca="false">INDEX('Curva ABC'!$K$8:$K$2847,MATCH(D1351,'Curva ABC'!$B$8:$B$2847,0))</f>
        <v>C</v>
      </c>
    </row>
    <row r="1352" customFormat="false" ht="15" hidden="false" customHeight="false" outlineLevel="0" collapsed="false">
      <c r="A1352" s="34" t="s">
        <v>5799</v>
      </c>
      <c r="B1352" s="34" t="str">
        <f aca="false">'Uso e Consumo'!A1352</f>
        <v>0335</v>
      </c>
      <c r="C1352" s="34" t="str">
        <f aca="false">'Uso e Consumo'!B1352</f>
        <v>UFV NORONHA VERDE - USO E CONSUMO</v>
      </c>
      <c r="D1352" s="33" t="n">
        <f aca="false">'Uso e Consumo'!C1352</f>
        <v>17946</v>
      </c>
      <c r="E1352" s="34" t="str">
        <f aca="false">'Uso e Consumo'!D1352</f>
        <v>24.09.0040</v>
      </c>
      <c r="F1352" s="34" t="str">
        <f aca="false">'Uso e Consumo'!E1352</f>
        <v>CHAVE COMBINADA 23,00MM AÇO CARBONO CROMADO</v>
      </c>
      <c r="G1352" s="34" t="str">
        <f aca="false">'Uso e Consumo'!J1352</f>
        <v>UN</v>
      </c>
      <c r="H1352" s="49" t="n">
        <f aca="false">'Uso e Consumo'!F1352</f>
        <v>8</v>
      </c>
      <c r="I1352" s="35" t="n">
        <f aca="false">'Uso e Consumo'!G1352</f>
        <v>498.28</v>
      </c>
      <c r="J1352" s="34" t="str">
        <f aca="false">'Uso e Consumo'!M1352</f>
        <v>3.8.2.002 - Ferramentas manuais</v>
      </c>
      <c r="K1352" s="32" t="str">
        <f aca="false">INDEX('Curva ABC'!$K$8:$K$2847,MATCH(D1352,'Curva ABC'!$B$8:$B$2847,0))</f>
        <v>C</v>
      </c>
    </row>
    <row r="1353" customFormat="false" ht="15" hidden="false" customHeight="false" outlineLevel="0" collapsed="false">
      <c r="A1353" s="34" t="s">
        <v>5799</v>
      </c>
      <c r="B1353" s="34" t="str">
        <f aca="false">'Uso e Consumo'!A1353</f>
        <v>0335</v>
      </c>
      <c r="C1353" s="34" t="str">
        <f aca="false">'Uso e Consumo'!B1353</f>
        <v>UFV NORONHA VERDE - USO E CONSUMO</v>
      </c>
      <c r="D1353" s="33" t="n">
        <f aca="false">'Uso e Consumo'!C1353</f>
        <v>19653</v>
      </c>
      <c r="E1353" s="34" t="str">
        <f aca="false">'Uso e Consumo'!D1353</f>
        <v>30.01.0373</v>
      </c>
      <c r="F1353" s="34" t="str">
        <f aca="false">'Uso e Consumo'!E1353</f>
        <v>QUADRO BRANCO C/ MOLDURA ALUMÍNIO 150,00CM X120,00CM</v>
      </c>
      <c r="G1353" s="34" t="str">
        <f aca="false">'Uso e Consumo'!J1353</f>
        <v>UN</v>
      </c>
      <c r="H1353" s="49" t="n">
        <f aca="false">'Uso e Consumo'!F1353</f>
        <v>3</v>
      </c>
      <c r="I1353" s="35" t="n">
        <f aca="false">'Uso e Consumo'!G1353</f>
        <v>497.85</v>
      </c>
      <c r="J1353" s="34" t="str">
        <f aca="false">'Uso e Consumo'!M1353</f>
        <v>4.1.1.002 - Material expediente</v>
      </c>
      <c r="K1353" s="32" t="str">
        <f aca="false">INDEX('Curva ABC'!$K$8:$K$2847,MATCH(D1353,'Curva ABC'!$B$8:$B$2847,0))</f>
        <v>C</v>
      </c>
    </row>
    <row r="1354" customFormat="false" ht="15" hidden="false" customHeight="false" outlineLevel="0" collapsed="false">
      <c r="A1354" s="34" t="s">
        <v>5799</v>
      </c>
      <c r="B1354" s="34" t="str">
        <f aca="false">'Uso e Consumo'!A1354</f>
        <v>0335</v>
      </c>
      <c r="C1354" s="34" t="str">
        <f aca="false">'Uso e Consumo'!B1354</f>
        <v>UFV NORONHA VERDE - USO E CONSUMO</v>
      </c>
      <c r="D1354" s="33" t="n">
        <f aca="false">'Uso e Consumo'!C1354</f>
        <v>1063861</v>
      </c>
      <c r="E1354" s="34" t="str">
        <f aca="false">'Uso e Consumo'!D1354</f>
        <v>26.02.0214</v>
      </c>
      <c r="F1354" s="34" t="str">
        <f aca="false">'Uso e Consumo'!E1354</f>
        <v>BOTA BOTINA NOBUCK MARLUVAS 50B26 PALM ANTIPERFURO COMPOSITE TAM 42</v>
      </c>
      <c r="G1354" s="34" t="str">
        <f aca="false">'Uso e Consumo'!J1354</f>
        <v>UN</v>
      </c>
      <c r="H1354" s="49" t="n">
        <f aca="false">'Uso e Consumo'!F1354</f>
        <v>3</v>
      </c>
      <c r="I1354" s="35" t="n">
        <f aca="false">'Uso e Consumo'!G1354</f>
        <v>497</v>
      </c>
      <c r="J1354" s="34" t="str">
        <f aca="false">'Uso e Consumo'!M1354</f>
        <v>4.3.4.001 - Equipamento de proteção individual</v>
      </c>
      <c r="K1354" s="32" t="str">
        <f aca="false">INDEX('Curva ABC'!$K$8:$K$2847,MATCH(D1354,'Curva ABC'!$B$8:$B$2847,0))</f>
        <v>C</v>
      </c>
    </row>
    <row r="1355" customFormat="false" ht="15" hidden="false" customHeight="false" outlineLevel="0" collapsed="false">
      <c r="A1355" s="34" t="s">
        <v>5799</v>
      </c>
      <c r="B1355" s="34" t="str">
        <f aca="false">'Uso e Consumo'!A1355</f>
        <v>0335</v>
      </c>
      <c r="C1355" s="34" t="str">
        <f aca="false">'Uso e Consumo'!B1355</f>
        <v>UFV NORONHA VERDE - USO E CONSUMO</v>
      </c>
      <c r="D1355" s="33" t="n">
        <f aca="false">'Uso e Consumo'!C1355</f>
        <v>1259178</v>
      </c>
      <c r="E1355" s="34" t="str">
        <f aca="false">'Uso e Consumo'!D1355</f>
        <v>01.09.0357</v>
      </c>
      <c r="F1355" s="34" t="str">
        <f aca="false">'Uso e Consumo'!E1355</f>
        <v>PERFIL “L” 50MM X 70MM NA CHAPA 0,5MM X COMPRIMENTO DE 3 METROS CHAPA PRÉ PINTADA EXTERNA COR: BRANCO</v>
      </c>
      <c r="G1355" s="34" t="str">
        <f aca="false">'Uso e Consumo'!J1355</f>
        <v>UN</v>
      </c>
      <c r="H1355" s="49" t="n">
        <f aca="false">'Uso e Consumo'!F1355</f>
        <v>15</v>
      </c>
      <c r="I1355" s="35" t="n">
        <f aca="false">'Uso e Consumo'!G1355</f>
        <v>496.35</v>
      </c>
      <c r="J1355" s="34" t="str">
        <f aca="false">'Uso e Consumo'!M1355</f>
        <v>3.8.1.001 - Aços e trefilados</v>
      </c>
      <c r="K1355" s="32" t="str">
        <f aca="false">INDEX('Curva ABC'!$K$8:$K$2847,MATCH(D1355,'Curva ABC'!$B$8:$B$2847,0))</f>
        <v>C</v>
      </c>
    </row>
    <row r="1356" customFormat="false" ht="15" hidden="false" customHeight="false" outlineLevel="0" collapsed="false">
      <c r="A1356" s="34" t="s">
        <v>5799</v>
      </c>
      <c r="B1356" s="34" t="str">
        <f aca="false">'Uso e Consumo'!A1356</f>
        <v>0335</v>
      </c>
      <c r="C1356" s="34" t="str">
        <f aca="false">'Uso e Consumo'!B1356</f>
        <v>UFV NORONHA VERDE - USO E CONSUMO</v>
      </c>
      <c r="D1356" s="33" t="n">
        <f aca="false">'Uso e Consumo'!C1356</f>
        <v>1093796</v>
      </c>
      <c r="E1356" s="34" t="str">
        <f aca="false">'Uso e Consumo'!D1356</f>
        <v>24.08.0137</v>
      </c>
      <c r="F1356" s="34" t="str">
        <f aca="false">'Uso e Consumo'!E1356</f>
        <v>ALICATE BICO CHATO LONGO ISOLADO 1000V 6.1/2" GEDORE</v>
      </c>
      <c r="G1356" s="34" t="str">
        <f aca="false">'Uso e Consumo'!J1356</f>
        <v>UN</v>
      </c>
      <c r="H1356" s="49" t="n">
        <f aca="false">'Uso e Consumo'!F1356</f>
        <v>3</v>
      </c>
      <c r="I1356" s="35" t="n">
        <f aca="false">'Uso e Consumo'!G1356</f>
        <v>495</v>
      </c>
      <c r="J1356" s="34" t="str">
        <f aca="false">'Uso e Consumo'!M1356</f>
        <v>3.8.2.002 - Ferramentas manuais</v>
      </c>
      <c r="K1356" s="32" t="str">
        <f aca="false">INDEX('Curva ABC'!$K$8:$K$2847,MATCH(D1356,'Curva ABC'!$B$8:$B$2847,0))</f>
        <v>C</v>
      </c>
    </row>
    <row r="1357" customFormat="false" ht="15" hidden="false" customHeight="false" outlineLevel="0" collapsed="false">
      <c r="A1357" s="34" t="s">
        <v>5799</v>
      </c>
      <c r="B1357" s="34" t="str">
        <f aca="false">'Uso e Consumo'!A1357</f>
        <v>0335</v>
      </c>
      <c r="C1357" s="34" t="str">
        <f aca="false">'Uso e Consumo'!B1357</f>
        <v>UFV NORONHA VERDE - USO E CONSUMO</v>
      </c>
      <c r="D1357" s="33" t="n">
        <f aca="false">'Uso e Consumo'!C1357</f>
        <v>1330567</v>
      </c>
      <c r="E1357" s="34" t="str">
        <f aca="false">'Uso e Consumo'!D1357</f>
        <v>19.04.0057</v>
      </c>
      <c r="F1357" s="34" t="str">
        <f aca="false">'Uso e Consumo'!E1357</f>
        <v>PIA DE COZINHA INOX 1,,20 X 0,53</v>
      </c>
      <c r="G1357" s="34" t="str">
        <f aca="false">'Uso e Consumo'!J1357</f>
        <v>UN</v>
      </c>
      <c r="H1357" s="49" t="n">
        <f aca="false">'Uso e Consumo'!F1357</f>
        <v>2</v>
      </c>
      <c r="I1357" s="35" t="n">
        <f aca="false">'Uso e Consumo'!G1357</f>
        <v>493.9</v>
      </c>
      <c r="J1357" s="34" t="str">
        <f aca="false">'Uso e Consumo'!M1357</f>
        <v>3.8.1.018 - Instalações hidráulicas/sanitárias/industriais</v>
      </c>
      <c r="K1357" s="32" t="str">
        <f aca="false">INDEX('Curva ABC'!$K$8:$K$2847,MATCH(D1357,'Curva ABC'!$B$8:$B$2847,0))</f>
        <v>C</v>
      </c>
    </row>
    <row r="1358" customFormat="false" ht="15" hidden="false" customHeight="false" outlineLevel="0" collapsed="false">
      <c r="A1358" s="34" t="s">
        <v>5799</v>
      </c>
      <c r="B1358" s="34" t="str">
        <f aca="false">'Uso e Consumo'!A1358</f>
        <v>0335</v>
      </c>
      <c r="C1358" s="34" t="str">
        <f aca="false">'Uso e Consumo'!B1358</f>
        <v>UFV NORONHA VERDE - USO E CONSUMO</v>
      </c>
      <c r="D1358" s="33" t="n">
        <f aca="false">'Uso e Consumo'!C1358</f>
        <v>17944</v>
      </c>
      <c r="E1358" s="34" t="str">
        <f aca="false">'Uso e Consumo'!D1358</f>
        <v>24.09.0038</v>
      </c>
      <c r="F1358" s="34" t="str">
        <f aca="false">'Uso e Consumo'!E1358</f>
        <v>CHAVE COMBINADA 20,00MM AÇO CARBONO CROMADO</v>
      </c>
      <c r="G1358" s="34" t="str">
        <f aca="false">'Uso e Consumo'!J1358</f>
        <v>UN</v>
      </c>
      <c r="H1358" s="49" t="n">
        <f aca="false">'Uso e Consumo'!F1358</f>
        <v>4</v>
      </c>
      <c r="I1358" s="35" t="n">
        <f aca="false">'Uso e Consumo'!G1358</f>
        <v>493.56</v>
      </c>
      <c r="J1358" s="34" t="str">
        <f aca="false">'Uso e Consumo'!M1358</f>
        <v>3.8.2.002 - Ferramentas manuais</v>
      </c>
      <c r="K1358" s="32" t="str">
        <f aca="false">INDEX('Curva ABC'!$K$8:$K$2847,MATCH(D1358,'Curva ABC'!$B$8:$B$2847,0))</f>
        <v>C</v>
      </c>
    </row>
    <row r="1359" customFormat="false" ht="15" hidden="false" customHeight="false" outlineLevel="0" collapsed="false">
      <c r="A1359" s="34" t="s">
        <v>5799</v>
      </c>
      <c r="B1359" s="34" t="str">
        <f aca="false">'Uso e Consumo'!A1359</f>
        <v>0335</v>
      </c>
      <c r="C1359" s="34" t="str">
        <f aca="false">'Uso e Consumo'!B1359</f>
        <v>UFV NORONHA VERDE - USO E CONSUMO</v>
      </c>
      <c r="D1359" s="33" t="n">
        <f aca="false">'Uso e Consumo'!C1359</f>
        <v>16840</v>
      </c>
      <c r="E1359" s="34" t="str">
        <f aca="false">'Uso e Consumo'!D1359</f>
        <v>23.05.0014</v>
      </c>
      <c r="F1359" s="34" t="str">
        <f aca="false">'Uso e Consumo'!E1359</f>
        <v>ARRUELA LISA AÇO CARBONO 1/4" GALVANIZADO</v>
      </c>
      <c r="G1359" s="34" t="str">
        <f aca="false">'Uso e Consumo'!J1359</f>
        <v>UN</v>
      </c>
      <c r="H1359" s="49" t="n">
        <f aca="false">'Uso e Consumo'!F1359</f>
        <v>1119</v>
      </c>
      <c r="I1359" s="35" t="n">
        <f aca="false">'Uso e Consumo'!G1359</f>
        <v>493.36</v>
      </c>
      <c r="J1359" s="34" t="str">
        <f aca="false">'Uso e Consumo'!M1359</f>
        <v>3.8.1.022 - Elementos de fixação</v>
      </c>
      <c r="K1359" s="32" t="str">
        <f aca="false">INDEX('Curva ABC'!$K$8:$K$2847,MATCH(D1359,'Curva ABC'!$B$8:$B$2847,0))</f>
        <v>C</v>
      </c>
    </row>
    <row r="1360" customFormat="false" ht="15" hidden="false" customHeight="false" outlineLevel="0" collapsed="false">
      <c r="A1360" s="34" t="s">
        <v>5799</v>
      </c>
      <c r="B1360" s="34" t="str">
        <f aca="false">'Uso e Consumo'!A1360</f>
        <v>0335</v>
      </c>
      <c r="C1360" s="34" t="str">
        <f aca="false">'Uso e Consumo'!B1360</f>
        <v>UFV NORONHA VERDE - USO E CONSUMO</v>
      </c>
      <c r="D1360" s="33" t="n">
        <f aca="false">'Uso e Consumo'!C1360</f>
        <v>227988</v>
      </c>
      <c r="E1360" s="34" t="str">
        <f aca="false">'Uso e Consumo'!D1360</f>
        <v>26.13.0111</v>
      </c>
      <c r="F1360" s="34" t="str">
        <f aca="false">'Uso e Consumo'!E1360</f>
        <v>CAMISA MALHA MOLETON - TAMANHO XG - MODELO ESPORTE - GOLA CARECA MANGA LONGA COM PUNHO DE RIBANA</v>
      </c>
      <c r="G1360" s="34" t="str">
        <f aca="false">'Uso e Consumo'!J1360</f>
        <v>UN</v>
      </c>
      <c r="H1360" s="49" t="n">
        <f aca="false">'Uso e Consumo'!F1360</f>
        <v>17</v>
      </c>
      <c r="I1360" s="35" t="n">
        <f aca="false">'Uso e Consumo'!G1360</f>
        <v>493</v>
      </c>
      <c r="J1360" s="34" t="str">
        <f aca="false">'Uso e Consumo'!M1360</f>
        <v>4.3.4.003 - Fardamentos</v>
      </c>
      <c r="K1360" s="32" t="str">
        <f aca="false">INDEX('Curva ABC'!$K$8:$K$2847,MATCH(D1360,'Curva ABC'!$B$8:$B$2847,0))</f>
        <v>C</v>
      </c>
    </row>
    <row r="1361" customFormat="false" ht="15" hidden="false" customHeight="false" outlineLevel="0" collapsed="false">
      <c r="A1361" s="34" t="s">
        <v>5799</v>
      </c>
      <c r="B1361" s="34" t="str">
        <f aca="false">'Uso e Consumo'!A1361</f>
        <v>0335</v>
      </c>
      <c r="C1361" s="34" t="str">
        <f aca="false">'Uso e Consumo'!B1361</f>
        <v>UFV NORONHA VERDE - USO E CONSUMO</v>
      </c>
      <c r="D1361" s="33" t="n">
        <f aca="false">'Uso e Consumo'!C1361</f>
        <v>1465400</v>
      </c>
      <c r="E1361" s="34" t="str">
        <f aca="false">'Uso e Consumo'!D1361</f>
        <v>17.01.1242</v>
      </c>
      <c r="F1361" s="34" t="str">
        <f aca="false">'Uso e Consumo'!E1361</f>
        <v>CABO MONOPOLAR 10 MM², CONDUTOR EM COBRE NU, TÊMPERA MOLE, CLASSE 5, TENSÃO 0,6/1 KV, ISOLAÇÃO EM EPR, 90 °C, PRETO</v>
      </c>
      <c r="G1361" s="34" t="str">
        <f aca="false">'Uso e Consumo'!J1361</f>
        <v>M</v>
      </c>
      <c r="H1361" s="49" t="n">
        <f aca="false">'Uso e Consumo'!F1361</f>
        <v>40</v>
      </c>
      <c r="I1361" s="35" t="n">
        <f aca="false">'Uso e Consumo'!G1361</f>
        <v>492.15</v>
      </c>
      <c r="J1361" s="34" t="str">
        <f aca="false">'Uso e Consumo'!M1361</f>
        <v>3.8.1.017 - Instalações elétricas/telefônicas/lógica</v>
      </c>
      <c r="K1361" s="32" t="str">
        <f aca="false">INDEX('Curva ABC'!$K$8:$K$2847,MATCH(D1361,'Curva ABC'!$B$8:$B$2847,0))</f>
        <v>C</v>
      </c>
    </row>
    <row r="1362" customFormat="false" ht="15" hidden="false" customHeight="false" outlineLevel="0" collapsed="false">
      <c r="A1362" s="34" t="s">
        <v>5799</v>
      </c>
      <c r="B1362" s="34" t="str">
        <f aca="false">'Uso e Consumo'!A1362</f>
        <v>0335</v>
      </c>
      <c r="C1362" s="34" t="str">
        <f aca="false">'Uso e Consumo'!B1362</f>
        <v>UFV NORONHA VERDE - USO E CONSUMO</v>
      </c>
      <c r="D1362" s="33" t="n">
        <f aca="false">'Uso e Consumo'!C1362</f>
        <v>1465402</v>
      </c>
      <c r="E1362" s="34" t="str">
        <f aca="false">'Uso e Consumo'!D1362</f>
        <v>17.01.1244</v>
      </c>
      <c r="F1362" s="34" t="str">
        <f aca="false">'Uso e Consumo'!E1362</f>
        <v>CABO MONOPOLAR 10 MM², EM COBRE NU, TÊMPERA MOLE, CLASSE 5, TENSÃO 0,6/1 KV, EM EPR, 90 °C, EM PVC, VERMELHO</v>
      </c>
      <c r="G1362" s="34" t="str">
        <f aca="false">'Uso e Consumo'!J1362</f>
        <v>M</v>
      </c>
      <c r="H1362" s="49" t="n">
        <f aca="false">'Uso e Consumo'!F1362</f>
        <v>40</v>
      </c>
      <c r="I1362" s="35" t="n">
        <f aca="false">'Uso e Consumo'!G1362</f>
        <v>492.15</v>
      </c>
      <c r="J1362" s="34" t="str">
        <f aca="false">'Uso e Consumo'!M1362</f>
        <v>3.7.1.018 - Serviço de instalações elétricas/telefônica/lógica</v>
      </c>
      <c r="K1362" s="32" t="str">
        <f aca="false">INDEX('Curva ABC'!$K$8:$K$2847,MATCH(D1362,'Curva ABC'!$B$8:$B$2847,0))</f>
        <v>C</v>
      </c>
    </row>
    <row r="1363" customFormat="false" ht="15" hidden="false" customHeight="false" outlineLevel="0" collapsed="false">
      <c r="A1363" s="34" t="s">
        <v>5799</v>
      </c>
      <c r="B1363" s="34" t="str">
        <f aca="false">'Uso e Consumo'!A1363</f>
        <v>0335</v>
      </c>
      <c r="C1363" s="34" t="str">
        <f aca="false">'Uso e Consumo'!B1363</f>
        <v>UFV NORONHA VERDE - USO E CONSUMO</v>
      </c>
      <c r="D1363" s="33" t="n">
        <f aca="false">'Uso e Consumo'!C1363</f>
        <v>1465403</v>
      </c>
      <c r="E1363" s="34" t="str">
        <f aca="false">'Uso e Consumo'!D1363</f>
        <v>17.01.1245</v>
      </c>
      <c r="F1363" s="34" t="str">
        <f aca="false">'Uso e Consumo'!E1363</f>
        <v>CABO MONOPOLAR 10 MM², EM COBRE NU, TÊMPERA MOLE, CLASSE 5, TENSÃO 0,6/1 KV, EM EPR, 90 °C, EM PVC, AZUL CLARO</v>
      </c>
      <c r="G1363" s="34" t="str">
        <f aca="false">'Uso e Consumo'!J1363</f>
        <v>M</v>
      </c>
      <c r="H1363" s="49" t="n">
        <f aca="false">'Uso e Consumo'!F1363</f>
        <v>40</v>
      </c>
      <c r="I1363" s="35" t="n">
        <f aca="false">'Uso e Consumo'!G1363</f>
        <v>492.15</v>
      </c>
      <c r="J1363" s="34" t="str">
        <f aca="false">'Uso e Consumo'!M1363</f>
        <v>3.8.1.017 - Instalações elétricas/telefônicas/lógica</v>
      </c>
      <c r="K1363" s="32" t="str">
        <f aca="false">INDEX('Curva ABC'!$K$8:$K$2847,MATCH(D1363,'Curva ABC'!$B$8:$B$2847,0))</f>
        <v>C</v>
      </c>
    </row>
    <row r="1364" customFormat="false" ht="15" hidden="false" customHeight="false" outlineLevel="0" collapsed="false">
      <c r="A1364" s="34" t="s">
        <v>5799</v>
      </c>
      <c r="B1364" s="34" t="str">
        <f aca="false">'Uso e Consumo'!A1364</f>
        <v>0335</v>
      </c>
      <c r="C1364" s="34" t="str">
        <f aca="false">'Uso e Consumo'!B1364</f>
        <v>UFV NORONHA VERDE - USO E CONSUMO</v>
      </c>
      <c r="D1364" s="33" t="n">
        <f aca="false">'Uso e Consumo'!C1364</f>
        <v>1382865</v>
      </c>
      <c r="E1364" s="34" t="str">
        <f aca="false">'Uso e Consumo'!D1364</f>
        <v>17.20.0686</v>
      </c>
      <c r="F1364" s="34" t="str">
        <f aca="false">'Uso e Consumo'!E1364</f>
        <v>SOLDA EXOTÉRMICA CABO 70 MM² - HASTE 5/8" TERMINAL - MOLDE</v>
      </c>
      <c r="G1364" s="34" t="str">
        <f aca="false">'Uso e Consumo'!J1364</f>
        <v>PC</v>
      </c>
      <c r="H1364" s="49" t="n">
        <f aca="false">'Uso e Consumo'!F1364</f>
        <v>2</v>
      </c>
      <c r="I1364" s="35" t="n">
        <f aca="false">'Uso e Consumo'!G1364</f>
        <v>491.95</v>
      </c>
      <c r="J1364" s="34" t="str">
        <f aca="false">'Uso e Consumo'!M1364</f>
        <v>3.8.1.017 - Instalações elétricas/telefônicas/lógica</v>
      </c>
      <c r="K1364" s="32" t="str">
        <f aca="false">INDEX('Curva ABC'!$K$8:$K$2847,MATCH(D1364,'Curva ABC'!$B$8:$B$2847,0))</f>
        <v>C</v>
      </c>
    </row>
    <row r="1365" customFormat="false" ht="15" hidden="false" customHeight="false" outlineLevel="0" collapsed="false">
      <c r="A1365" s="34" t="s">
        <v>5799</v>
      </c>
      <c r="B1365" s="34" t="str">
        <f aca="false">'Uso e Consumo'!A1365</f>
        <v>0335</v>
      </c>
      <c r="C1365" s="34" t="str">
        <f aca="false">'Uso e Consumo'!B1365</f>
        <v>UFV NORONHA VERDE - USO E CONSUMO</v>
      </c>
      <c r="D1365" s="33" t="n">
        <f aca="false">'Uso e Consumo'!C1365</f>
        <v>556797</v>
      </c>
      <c r="E1365" s="34" t="str">
        <f aca="false">'Uso e Consumo'!D1365</f>
        <v>24.09.0502</v>
      </c>
      <c r="F1365" s="34" t="str">
        <f aca="false">'Uso e Consumo'!E1365</f>
        <v>CHAVE COMBINADA 13 MM</v>
      </c>
      <c r="G1365" s="34" t="str">
        <f aca="false">'Uso e Consumo'!J1365</f>
        <v>UN</v>
      </c>
      <c r="H1365" s="49" t="n">
        <f aca="false">'Uso e Consumo'!F1365</f>
        <v>24</v>
      </c>
      <c r="I1365" s="35" t="n">
        <f aca="false">'Uso e Consumo'!G1365</f>
        <v>491.6</v>
      </c>
      <c r="J1365" s="34" t="str">
        <f aca="false">'Uso e Consumo'!M1365</f>
        <v>3.8.2.002 - Ferramentas manuais</v>
      </c>
      <c r="K1365" s="32" t="str">
        <f aca="false">INDEX('Curva ABC'!$K$8:$K$2847,MATCH(D1365,'Curva ABC'!$B$8:$B$2847,0))</f>
        <v>C</v>
      </c>
    </row>
    <row r="1366" customFormat="false" ht="15" hidden="false" customHeight="false" outlineLevel="0" collapsed="false">
      <c r="A1366" s="34" t="s">
        <v>5799</v>
      </c>
      <c r="B1366" s="34" t="str">
        <f aca="false">'Uso e Consumo'!A1366</f>
        <v>0335</v>
      </c>
      <c r="C1366" s="34" t="str">
        <f aca="false">'Uso e Consumo'!B1366</f>
        <v>UFV NORONHA VERDE - USO E CONSUMO</v>
      </c>
      <c r="D1366" s="33" t="n">
        <f aca="false">'Uso e Consumo'!C1366</f>
        <v>1380290</v>
      </c>
      <c r="E1366" s="34" t="str">
        <f aca="false">'Uso e Consumo'!D1366</f>
        <v>17.02.0845</v>
      </c>
      <c r="F1366" s="34" t="str">
        <f aca="false">'Uso e Consumo'!E1366</f>
        <v>CURVA 90 PEAD PE100 DE180MM </v>
      </c>
      <c r="G1366" s="34" t="str">
        <f aca="false">'Uso e Consumo'!J1366</f>
        <v>UN</v>
      </c>
      <c r="H1366" s="49" t="n">
        <f aca="false">'Uso e Consumo'!F1366</f>
        <v>5</v>
      </c>
      <c r="I1366" s="35" t="n">
        <f aca="false">'Uso e Consumo'!G1366</f>
        <v>490</v>
      </c>
      <c r="J1366" s="34" t="str">
        <f aca="false">'Uso e Consumo'!M1366</f>
        <v>3.8.1.018 - Instalações hidráulicas/sanitárias/industriais</v>
      </c>
      <c r="K1366" s="32" t="str">
        <f aca="false">INDEX('Curva ABC'!$K$8:$K$2847,MATCH(D1366,'Curva ABC'!$B$8:$B$2847,0))</f>
        <v>C</v>
      </c>
    </row>
    <row r="1367" customFormat="false" ht="15" hidden="false" customHeight="false" outlineLevel="0" collapsed="false">
      <c r="A1367" s="34" t="s">
        <v>5799</v>
      </c>
      <c r="B1367" s="34" t="str">
        <f aca="false">'Uso e Consumo'!A1367</f>
        <v>0335</v>
      </c>
      <c r="C1367" s="34" t="str">
        <f aca="false">'Uso e Consumo'!B1367</f>
        <v>UFV NORONHA VERDE - USO E CONSUMO</v>
      </c>
      <c r="D1367" s="33" t="n">
        <f aca="false">'Uso e Consumo'!C1367</f>
        <v>839232</v>
      </c>
      <c r="E1367" s="34" t="str">
        <f aca="false">'Uso e Consumo'!D1367</f>
        <v>02.03.0011</v>
      </c>
      <c r="F1367" s="34" t="str">
        <f aca="false">'Uso e Consumo'!E1367</f>
        <v>ARAME LISO GALVANIZADO 14</v>
      </c>
      <c r="G1367" s="34" t="str">
        <f aca="false">'Uso e Consumo'!J1367</f>
        <v>KG</v>
      </c>
      <c r="H1367" s="49" t="n">
        <f aca="false">'Uso e Consumo'!F1367</f>
        <v>30</v>
      </c>
      <c r="I1367" s="35" t="n">
        <f aca="false">'Uso e Consumo'!G1367</f>
        <v>489.41</v>
      </c>
      <c r="J1367" s="34" t="str">
        <f aca="false">'Uso e Consumo'!M1367</f>
        <v>3.8.1.002 - Telas e arames</v>
      </c>
      <c r="K1367" s="32" t="str">
        <f aca="false">INDEX('Curva ABC'!$K$8:$K$2847,MATCH(D1367,'Curva ABC'!$B$8:$B$2847,0))</f>
        <v>C</v>
      </c>
    </row>
    <row r="1368" customFormat="false" ht="15" hidden="false" customHeight="false" outlineLevel="0" collapsed="false">
      <c r="A1368" s="34" t="s">
        <v>5799</v>
      </c>
      <c r="B1368" s="34" t="str">
        <f aca="false">'Uso e Consumo'!A1368</f>
        <v>0335</v>
      </c>
      <c r="C1368" s="34" t="str">
        <f aca="false">'Uso e Consumo'!B1368</f>
        <v>UFV NORONHA VERDE - USO E CONSUMO</v>
      </c>
      <c r="D1368" s="33" t="n">
        <f aca="false">'Uso e Consumo'!C1368</f>
        <v>749215</v>
      </c>
      <c r="E1368" s="34" t="str">
        <f aca="false">'Uso e Consumo'!D1368</f>
        <v>29.01.1046</v>
      </c>
      <c r="F1368" s="34" t="str">
        <f aca="false">'Uso e Consumo'!E1368</f>
        <v>SUPORTE VEICULAR PARA CELULAR</v>
      </c>
      <c r="G1368" s="34" t="str">
        <f aca="false">'Uso e Consumo'!J1368</f>
        <v>UN</v>
      </c>
      <c r="H1368" s="49" t="n">
        <f aca="false">'Uso e Consumo'!F1368</f>
        <v>10</v>
      </c>
      <c r="I1368" s="35" t="n">
        <f aca="false">'Uso e Consumo'!G1368</f>
        <v>488</v>
      </c>
      <c r="J1368" s="34" t="str">
        <f aca="false">'Uso e Consumo'!M1368</f>
        <v>4.1.1.007 - Equipamentos e acessórios para informática</v>
      </c>
      <c r="K1368" s="32" t="str">
        <f aca="false">INDEX('Curva ABC'!$K$8:$K$2847,MATCH(D1368,'Curva ABC'!$B$8:$B$2847,0))</f>
        <v>C</v>
      </c>
    </row>
    <row r="1369" customFormat="false" ht="15" hidden="false" customHeight="false" outlineLevel="0" collapsed="false">
      <c r="A1369" s="34" t="s">
        <v>5799</v>
      </c>
      <c r="B1369" s="34" t="str">
        <f aca="false">'Uso e Consumo'!A1369</f>
        <v>0335</v>
      </c>
      <c r="C1369" s="34" t="str">
        <f aca="false">'Uso e Consumo'!B1369</f>
        <v>UFV NORONHA VERDE - USO E CONSUMO</v>
      </c>
      <c r="D1369" s="33" t="n">
        <f aca="false">'Uso e Consumo'!C1369</f>
        <v>18956</v>
      </c>
      <c r="E1369" s="34" t="str">
        <f aca="false">'Uso e Consumo'!D1369</f>
        <v>26.09.0010</v>
      </c>
      <c r="F1369" s="34" t="str">
        <f aca="false">'Uso e Consumo'!E1369</f>
        <v>CREME PROTETOR DE SEGURANÇA - GRUPO 2 - ÓLEO-RESISTENTE (CA-4114/11280/4234)</v>
      </c>
      <c r="G1369" s="34" t="str">
        <f aca="false">'Uso e Consumo'!J1369</f>
        <v>UN</v>
      </c>
      <c r="H1369" s="49" t="n">
        <f aca="false">'Uso e Consumo'!F1369</f>
        <v>17</v>
      </c>
      <c r="I1369" s="35" t="n">
        <f aca="false">'Uso e Consumo'!G1369</f>
        <v>487.23</v>
      </c>
      <c r="J1369" s="34" t="str">
        <f aca="false">'Uso e Consumo'!M1369</f>
        <v>4.3.4.001 - Equipamento de proteção individual</v>
      </c>
      <c r="K1369" s="32" t="str">
        <f aca="false">INDEX('Curva ABC'!$K$8:$K$2847,MATCH(D1369,'Curva ABC'!$B$8:$B$2847,0))</f>
        <v>C</v>
      </c>
    </row>
    <row r="1370" customFormat="false" ht="15" hidden="false" customHeight="false" outlineLevel="0" collapsed="false">
      <c r="A1370" s="34" t="s">
        <v>5799</v>
      </c>
      <c r="B1370" s="34" t="str">
        <f aca="false">'Uso e Consumo'!A1370</f>
        <v>0335</v>
      </c>
      <c r="C1370" s="34" t="str">
        <f aca="false">'Uso e Consumo'!B1370</f>
        <v>UFV NORONHA VERDE - USO E CONSUMO</v>
      </c>
      <c r="D1370" s="33" t="n">
        <f aca="false">'Uso e Consumo'!C1370</f>
        <v>563273</v>
      </c>
      <c r="E1370" s="34" t="str">
        <f aca="false">'Uso e Consumo'!D1370</f>
        <v>32.08.0056</v>
      </c>
      <c r="F1370" s="34" t="str">
        <f aca="false">'Uso e Consumo'!E1370</f>
        <v>SOPRADOR TÉRMICO 220V 2000W</v>
      </c>
      <c r="G1370" s="34" t="str">
        <f aca="false">'Uso e Consumo'!J1370</f>
        <v>UN</v>
      </c>
      <c r="H1370" s="49" t="n">
        <f aca="false">'Uso e Consumo'!F1370</f>
        <v>3</v>
      </c>
      <c r="I1370" s="35" t="n">
        <f aca="false">'Uso e Consumo'!G1370</f>
        <v>487.05</v>
      </c>
      <c r="J1370" s="34" t="str">
        <f aca="false">'Uso e Consumo'!M1370</f>
        <v>6.1.2.001 - Equipamentos</v>
      </c>
      <c r="K1370" s="32" t="str">
        <f aca="false">INDEX('Curva ABC'!$K$8:$K$2847,MATCH(D1370,'Curva ABC'!$B$8:$B$2847,0))</f>
        <v>C</v>
      </c>
    </row>
    <row r="1371" customFormat="false" ht="15" hidden="false" customHeight="false" outlineLevel="0" collapsed="false">
      <c r="A1371" s="34" t="s">
        <v>5799</v>
      </c>
      <c r="B1371" s="34" t="str">
        <f aca="false">'Uso e Consumo'!A1371</f>
        <v>0335</v>
      </c>
      <c r="C1371" s="34" t="str">
        <f aca="false">'Uso e Consumo'!B1371</f>
        <v>UFV NORONHA VERDE - USO E CONSUMO</v>
      </c>
      <c r="D1371" s="33" t="n">
        <f aca="false">'Uso e Consumo'!C1371</f>
        <v>1323137</v>
      </c>
      <c r="E1371" s="34" t="str">
        <f aca="false">'Uso e Consumo'!D1371</f>
        <v>17.16.0665</v>
      </c>
      <c r="F1371" s="34" t="str">
        <f aca="false">'Uso e Consumo'!E1371</f>
        <v>CONECTOR CABO-CABO SACC 16-70</v>
      </c>
      <c r="G1371" s="34" t="str">
        <f aca="false">'Uso e Consumo'!J1371</f>
        <v>UN</v>
      </c>
      <c r="H1371" s="49" t="n">
        <f aca="false">'Uso e Consumo'!F1371</f>
        <v>22</v>
      </c>
      <c r="I1371" s="35" t="n">
        <f aca="false">'Uso e Consumo'!G1371</f>
        <v>484</v>
      </c>
      <c r="J1371" s="34" t="str">
        <f aca="false">'Uso e Consumo'!M1371</f>
        <v>3.8.1.017 - Instalações elétricas/telefônicas/lógica</v>
      </c>
      <c r="K1371" s="32" t="str">
        <f aca="false">INDEX('Curva ABC'!$K$8:$K$2847,MATCH(D1371,'Curva ABC'!$B$8:$B$2847,0))</f>
        <v>C</v>
      </c>
    </row>
    <row r="1372" customFormat="false" ht="15" hidden="false" customHeight="false" outlineLevel="0" collapsed="false">
      <c r="A1372" s="34" t="s">
        <v>5799</v>
      </c>
      <c r="B1372" s="34" t="str">
        <f aca="false">'Uso e Consumo'!A1372</f>
        <v>0335</v>
      </c>
      <c r="C1372" s="34" t="str">
        <f aca="false">'Uso e Consumo'!B1372</f>
        <v>UFV NORONHA VERDE - USO E CONSUMO</v>
      </c>
      <c r="D1372" s="33" t="n">
        <f aca="false">'Uso e Consumo'!C1372</f>
        <v>12297</v>
      </c>
      <c r="E1372" s="34" t="str">
        <f aca="false">'Uso e Consumo'!D1372</f>
        <v>17.01.0384</v>
      </c>
      <c r="F1372" s="34" t="str">
        <f aca="false">'Uso e Consumo'!E1372</f>
        <v>CABO ELETRICO FLEXIVEL 450V/750V  1 X 2,50MM2 COBRE PVC CLASSE 4 AZUL NBRNM 247-3</v>
      </c>
      <c r="G1372" s="34" t="str">
        <f aca="false">'Uso e Consumo'!J1372</f>
        <v>M</v>
      </c>
      <c r="H1372" s="49" t="n">
        <f aca="false">'Uso e Consumo'!F1372</f>
        <v>200</v>
      </c>
      <c r="I1372" s="35" t="n">
        <f aca="false">'Uso e Consumo'!G1372</f>
        <v>480</v>
      </c>
      <c r="J1372" s="34" t="str">
        <f aca="false">'Uso e Consumo'!M1372</f>
        <v>3.8.1.017 - Instalações elétricas/telefônicas/lógica</v>
      </c>
      <c r="K1372" s="32" t="str">
        <f aca="false">INDEX('Curva ABC'!$K$8:$K$2847,MATCH(D1372,'Curva ABC'!$B$8:$B$2847,0))</f>
        <v>C</v>
      </c>
    </row>
    <row r="1373" customFormat="false" ht="15" hidden="false" customHeight="false" outlineLevel="0" collapsed="false">
      <c r="A1373" s="34" t="s">
        <v>5799</v>
      </c>
      <c r="B1373" s="34" t="str">
        <f aca="false">'Uso e Consumo'!A1373</f>
        <v>0335</v>
      </c>
      <c r="C1373" s="34" t="str">
        <f aca="false">'Uso e Consumo'!B1373</f>
        <v>UFV NORONHA VERDE - USO E CONSUMO</v>
      </c>
      <c r="D1373" s="33" t="n">
        <f aca="false">'Uso e Consumo'!C1373</f>
        <v>12301</v>
      </c>
      <c r="E1373" s="34" t="str">
        <f aca="false">'Uso e Consumo'!D1373</f>
        <v>17.01.0388</v>
      </c>
      <c r="F1373" s="34" t="str">
        <f aca="false">'Uso e Consumo'!E1373</f>
        <v>CABO ELETRICO FLEXIVEL 450V/750V  1 X 2,50MM2 COBRE PVC CLASSE 4 VERDE NBRNM 247-3</v>
      </c>
      <c r="G1373" s="34" t="str">
        <f aca="false">'Uso e Consumo'!J1373</f>
        <v>M</v>
      </c>
      <c r="H1373" s="49" t="n">
        <f aca="false">'Uso e Consumo'!F1373</f>
        <v>200</v>
      </c>
      <c r="I1373" s="35" t="n">
        <f aca="false">'Uso e Consumo'!G1373</f>
        <v>480</v>
      </c>
      <c r="J1373" s="34" t="str">
        <f aca="false">'Uso e Consumo'!M1373</f>
        <v>3.8.1.017 - Instalações elétricas/telefônicas/lógica</v>
      </c>
      <c r="K1373" s="32" t="str">
        <f aca="false">INDEX('Curva ABC'!$K$8:$K$2847,MATCH(D1373,'Curva ABC'!$B$8:$B$2847,0))</f>
        <v>C</v>
      </c>
    </row>
    <row r="1374" customFormat="false" ht="15" hidden="false" customHeight="false" outlineLevel="0" collapsed="false">
      <c r="A1374" s="34" t="s">
        <v>5799</v>
      </c>
      <c r="B1374" s="34" t="str">
        <f aca="false">'Uso e Consumo'!A1374</f>
        <v>0335</v>
      </c>
      <c r="C1374" s="34" t="str">
        <f aca="false">'Uso e Consumo'!B1374</f>
        <v>UFV NORONHA VERDE - USO E CONSUMO</v>
      </c>
      <c r="D1374" s="33" t="n">
        <f aca="false">'Uso e Consumo'!C1374</f>
        <v>12302</v>
      </c>
      <c r="E1374" s="34" t="str">
        <f aca="false">'Uso e Consumo'!D1374</f>
        <v>17.01.0389</v>
      </c>
      <c r="F1374" s="34" t="str">
        <f aca="false">'Uso e Consumo'!E1374</f>
        <v>CABO ELETRICO FLEXIVEL 450V/750V  1 X 2,50MM2 COBRE PVC CLASSE 4 VERMELHO NBRNM 247-3</v>
      </c>
      <c r="G1374" s="34" t="str">
        <f aca="false">'Uso e Consumo'!J1374</f>
        <v>M</v>
      </c>
      <c r="H1374" s="49" t="n">
        <f aca="false">'Uso e Consumo'!F1374</f>
        <v>200</v>
      </c>
      <c r="I1374" s="35" t="n">
        <f aca="false">'Uso e Consumo'!G1374</f>
        <v>480</v>
      </c>
      <c r="J1374" s="34" t="str">
        <f aca="false">'Uso e Consumo'!M1374</f>
        <v>3.8.1.017 - Instalações elétricas/telefônicas/lógica</v>
      </c>
      <c r="K1374" s="32" t="str">
        <f aca="false">INDEX('Curva ABC'!$K$8:$K$2847,MATCH(D1374,'Curva ABC'!$B$8:$B$2847,0))</f>
        <v>C</v>
      </c>
    </row>
    <row r="1375" customFormat="false" ht="15" hidden="false" customHeight="false" outlineLevel="0" collapsed="false">
      <c r="A1375" s="34" t="s">
        <v>5799</v>
      </c>
      <c r="B1375" s="34" t="str">
        <f aca="false">'Uso e Consumo'!A1375</f>
        <v>0335</v>
      </c>
      <c r="C1375" s="34" t="str">
        <f aca="false">'Uso e Consumo'!B1375</f>
        <v>UFV NORONHA VERDE - USO E CONSUMO</v>
      </c>
      <c r="D1375" s="33" t="n">
        <f aca="false">'Uso e Consumo'!C1375</f>
        <v>59749</v>
      </c>
      <c r="E1375" s="34" t="str">
        <f aca="false">'Uso e Consumo'!D1375</f>
        <v>18.01.0918</v>
      </c>
      <c r="F1375" s="34" t="str">
        <f aca="false">'Uso e Consumo'!E1375</f>
        <v>LUVA 90 SOLD 160MM</v>
      </c>
      <c r="G1375" s="34" t="str">
        <f aca="false">'Uso e Consumo'!J1375</f>
        <v>UN</v>
      </c>
      <c r="H1375" s="49" t="n">
        <f aca="false">'Uso e Consumo'!F1375</f>
        <v>10</v>
      </c>
      <c r="I1375" s="35" t="n">
        <f aca="false">'Uso e Consumo'!G1375</f>
        <v>480</v>
      </c>
      <c r="J1375" s="34" t="str">
        <f aca="false">'Uso e Consumo'!M1375</f>
        <v>3.8.1.018 - Instalações hidráulicas/sanitárias/industriais</v>
      </c>
      <c r="K1375" s="32" t="str">
        <f aca="false">INDEX('Curva ABC'!$K$8:$K$2847,MATCH(D1375,'Curva ABC'!$B$8:$B$2847,0))</f>
        <v>C</v>
      </c>
    </row>
    <row r="1376" customFormat="false" ht="15" hidden="false" customHeight="false" outlineLevel="0" collapsed="false">
      <c r="A1376" s="34" t="s">
        <v>5799</v>
      </c>
      <c r="B1376" s="34" t="str">
        <f aca="false">'Uso e Consumo'!A1376</f>
        <v>0335</v>
      </c>
      <c r="C1376" s="34" t="str">
        <f aca="false">'Uso e Consumo'!B1376</f>
        <v>UFV NORONHA VERDE - USO E CONSUMO</v>
      </c>
      <c r="D1376" s="33" t="n">
        <f aca="false">'Uso e Consumo'!C1376</f>
        <v>275081</v>
      </c>
      <c r="E1376" s="34" t="str">
        <f aca="false">'Uso e Consumo'!D1376</f>
        <v>03.04.0017</v>
      </c>
      <c r="F1376" s="34" t="str">
        <f aca="false">'Uso e Consumo'!E1376</f>
        <v>BARROTE MADEIRA MISTA 5,00CM X 5,00CM</v>
      </c>
      <c r="G1376" s="34" t="str">
        <f aca="false">'Uso e Consumo'!J1376</f>
        <v>M3</v>
      </c>
      <c r="H1376" s="49" t="n">
        <f aca="false">'Uso e Consumo'!F1376</f>
        <v>0.15</v>
      </c>
      <c r="I1376" s="35" t="n">
        <f aca="false">'Uso e Consumo'!G1376</f>
        <v>480</v>
      </c>
      <c r="J1376" s="34" t="str">
        <f aca="false">'Uso e Consumo'!M1376</f>
        <v>3.8.1.003 - Madeira</v>
      </c>
      <c r="K1376" s="32" t="str">
        <f aca="false">INDEX('Curva ABC'!$K$8:$K$2847,MATCH(D1376,'Curva ABC'!$B$8:$B$2847,0))</f>
        <v>C</v>
      </c>
    </row>
    <row r="1377" customFormat="false" ht="15" hidden="false" customHeight="false" outlineLevel="0" collapsed="false">
      <c r="A1377" s="34" t="s">
        <v>5799</v>
      </c>
      <c r="B1377" s="34" t="str">
        <f aca="false">'Uso e Consumo'!A1377</f>
        <v>0335</v>
      </c>
      <c r="C1377" s="34" t="str">
        <f aca="false">'Uso e Consumo'!B1377</f>
        <v>UFV NORONHA VERDE - USO E CONSUMO</v>
      </c>
      <c r="D1377" s="33" t="n">
        <f aca="false">'Uso e Consumo'!C1377</f>
        <v>930638</v>
      </c>
      <c r="E1377" s="34" t="str">
        <f aca="false">'Uso e Consumo'!D1377</f>
        <v>32.02.0321</v>
      </c>
      <c r="F1377" s="34" t="str">
        <f aca="false">'Uso e Consumo'!E1377</f>
        <v>CARRETEL FIO NYLON ROÇADEIRA P/ STIHL FS COM FIO INCLUSO, PRETO, MANUAL</v>
      </c>
      <c r="G1377" s="34" t="str">
        <f aca="false">'Uso e Consumo'!J1377</f>
        <v>UN</v>
      </c>
      <c r="H1377" s="49" t="n">
        <f aca="false">'Uso e Consumo'!F1377</f>
        <v>1</v>
      </c>
      <c r="I1377" s="35" t="n">
        <f aca="false">'Uso e Consumo'!G1377</f>
        <v>480</v>
      </c>
      <c r="J1377" s="34" t="str">
        <f aca="false">'Uso e Consumo'!M1377</f>
        <v>6.1.2.001 - Equipamentos</v>
      </c>
      <c r="K1377" s="32" t="str">
        <f aca="false">INDEX('Curva ABC'!$K$8:$K$2847,MATCH(D1377,'Curva ABC'!$B$8:$B$2847,0))</f>
        <v>C</v>
      </c>
    </row>
    <row r="1378" customFormat="false" ht="15" hidden="false" customHeight="false" outlineLevel="0" collapsed="false">
      <c r="A1378" s="34" t="s">
        <v>5799</v>
      </c>
      <c r="B1378" s="34" t="str">
        <f aca="false">'Uso e Consumo'!A1378</f>
        <v>0335</v>
      </c>
      <c r="C1378" s="34" t="str">
        <f aca="false">'Uso e Consumo'!B1378</f>
        <v>UFV NORONHA VERDE - USO E CONSUMO</v>
      </c>
      <c r="D1378" s="33" t="n">
        <f aca="false">'Uso e Consumo'!C1378</f>
        <v>1261317</v>
      </c>
      <c r="E1378" s="34" t="str">
        <f aca="false">'Uso e Consumo'!D1378</f>
        <v>30.04.0341</v>
      </c>
      <c r="F1378" s="34" t="str">
        <f aca="false">'Uso e Consumo'!E1378</f>
        <v>FILME STRETCH</v>
      </c>
      <c r="G1378" s="34" t="str">
        <f aca="false">'Uso e Consumo'!J1378</f>
        <v>UN</v>
      </c>
      <c r="H1378" s="49" t="n">
        <f aca="false">'Uso e Consumo'!F1378</f>
        <v>3</v>
      </c>
      <c r="I1378" s="35" t="n">
        <f aca="false">'Uso e Consumo'!G1378</f>
        <v>480</v>
      </c>
      <c r="J1378" s="34" t="str">
        <f aca="false">'Uso e Consumo'!M1378</f>
        <v>4.1.1.001 - Material de uso e consumo</v>
      </c>
      <c r="K1378" s="32" t="str">
        <f aca="false">INDEX('Curva ABC'!$K$8:$K$2847,MATCH(D1378,'Curva ABC'!$B$8:$B$2847,0))</f>
        <v>C</v>
      </c>
    </row>
    <row r="1379" customFormat="false" ht="15" hidden="false" customHeight="false" outlineLevel="0" collapsed="false">
      <c r="A1379" s="34" t="s">
        <v>5799</v>
      </c>
      <c r="B1379" s="34" t="str">
        <f aca="false">'Uso e Consumo'!A1379</f>
        <v>0335</v>
      </c>
      <c r="C1379" s="34" t="str">
        <f aca="false">'Uso e Consumo'!B1379</f>
        <v>UFV NORONHA VERDE - USO E CONSUMO</v>
      </c>
      <c r="D1379" s="33" t="n">
        <f aca="false">'Uso e Consumo'!C1379</f>
        <v>862311</v>
      </c>
      <c r="E1379" s="34" t="str">
        <f aca="false">'Uso e Consumo'!D1379</f>
        <v>30.04.0247</v>
      </c>
      <c r="F1379" s="34" t="str">
        <f aca="false">'Uso e Consumo'!E1379</f>
        <v>FILME STRECH 4/1</v>
      </c>
      <c r="G1379" s="34" t="str">
        <f aca="false">'Uso e Consumo'!J1379</f>
        <v>KG</v>
      </c>
      <c r="H1379" s="49" t="n">
        <f aca="false">'Uso e Consumo'!F1379</f>
        <v>11</v>
      </c>
      <c r="I1379" s="35" t="n">
        <f aca="false">'Uso e Consumo'!G1379</f>
        <v>478.3714</v>
      </c>
      <c r="J1379" s="34" t="str">
        <f aca="false">'Uso e Consumo'!M1379</f>
        <v>4.1.1.001 - Material de uso e consumo</v>
      </c>
      <c r="K1379" s="32" t="str">
        <f aca="false">INDEX('Curva ABC'!$K$8:$K$2847,MATCH(D1379,'Curva ABC'!$B$8:$B$2847,0))</f>
        <v>C</v>
      </c>
    </row>
    <row r="1380" customFormat="false" ht="15" hidden="false" customHeight="false" outlineLevel="0" collapsed="false">
      <c r="A1380" s="34" t="s">
        <v>5799</v>
      </c>
      <c r="B1380" s="34" t="str">
        <f aca="false">'Uso e Consumo'!A1380</f>
        <v>0335</v>
      </c>
      <c r="C1380" s="34" t="str">
        <f aca="false">'Uso e Consumo'!B1380</f>
        <v>UFV NORONHA VERDE - USO E CONSUMO</v>
      </c>
      <c r="D1380" s="33" t="n">
        <f aca="false">'Uso e Consumo'!C1380</f>
        <v>18792</v>
      </c>
      <c r="E1380" s="34" t="str">
        <f aca="false">'Uso e Consumo'!D1380</f>
        <v>26.01.0003</v>
      </c>
      <c r="F1380" s="34" t="str">
        <f aca="false">'Uso e Consumo'!E1380</f>
        <v>CAPA DE CHUVA PVC LAMINADO SEM FORRO TAM. G</v>
      </c>
      <c r="G1380" s="34" t="str">
        <f aca="false">'Uso e Consumo'!J1380</f>
        <v>UN</v>
      </c>
      <c r="H1380" s="49" t="n">
        <f aca="false">'Uso e Consumo'!F1380</f>
        <v>30</v>
      </c>
      <c r="I1380" s="35" t="n">
        <f aca="false">'Uso e Consumo'!G1380</f>
        <v>477.274</v>
      </c>
      <c r="J1380" s="34" t="str">
        <f aca="false">'Uso e Consumo'!M1380</f>
        <v>4.3.4.001 - Equipamento de proteção individual</v>
      </c>
      <c r="K1380" s="32" t="str">
        <f aca="false">INDEX('Curva ABC'!$K$8:$K$2847,MATCH(D1380,'Curva ABC'!$B$8:$B$2847,0))</f>
        <v>C</v>
      </c>
    </row>
    <row r="1381" customFormat="false" ht="15" hidden="false" customHeight="false" outlineLevel="0" collapsed="false">
      <c r="A1381" s="34" t="s">
        <v>5799</v>
      </c>
      <c r="B1381" s="34" t="str">
        <f aca="false">'Uso e Consumo'!A1381</f>
        <v>0335</v>
      </c>
      <c r="C1381" s="34" t="str">
        <f aca="false">'Uso e Consumo'!B1381</f>
        <v>UFV NORONHA VERDE - USO E CONSUMO</v>
      </c>
      <c r="D1381" s="33" t="n">
        <f aca="false">'Uso e Consumo'!C1381</f>
        <v>871346</v>
      </c>
      <c r="E1381" s="34" t="str">
        <f aca="false">'Uso e Consumo'!D1381</f>
        <v>09.08.0057</v>
      </c>
      <c r="F1381" s="34" t="str">
        <f aca="false">'Uso e Consumo'!E1381</f>
        <v>CAIXA GORDURA 52.5X29X49.5CM</v>
      </c>
      <c r="G1381" s="34" t="str">
        <f aca="false">'Uso e Consumo'!J1381</f>
        <v>UN</v>
      </c>
      <c r="H1381" s="49" t="n">
        <f aca="false">'Uso e Consumo'!F1381</f>
        <v>3</v>
      </c>
      <c r="I1381" s="35" t="n">
        <f aca="false">'Uso e Consumo'!G1381</f>
        <v>477.06</v>
      </c>
      <c r="J1381" s="34" t="str">
        <f aca="false">'Uso e Consumo'!M1381</f>
        <v>3.8.1.009 - Artefatos pré-moldados de concreto</v>
      </c>
      <c r="K1381" s="32" t="str">
        <f aca="false">INDEX('Curva ABC'!$K$8:$K$2847,MATCH(D1381,'Curva ABC'!$B$8:$B$2847,0))</f>
        <v>C</v>
      </c>
    </row>
    <row r="1382" customFormat="false" ht="15" hidden="false" customHeight="false" outlineLevel="0" collapsed="false">
      <c r="A1382" s="34" t="s">
        <v>5799</v>
      </c>
      <c r="B1382" s="34" t="str">
        <f aca="false">'Uso e Consumo'!A1382</f>
        <v>0335</v>
      </c>
      <c r="C1382" s="34" t="str">
        <f aca="false">'Uso e Consumo'!B1382</f>
        <v>UFV NORONHA VERDE - USO E CONSUMO</v>
      </c>
      <c r="D1382" s="33" t="n">
        <f aca="false">'Uso e Consumo'!C1382</f>
        <v>24376</v>
      </c>
      <c r="E1382" s="34" t="str">
        <f aca="false">'Uso e Consumo'!D1382</f>
        <v>16.03.0092</v>
      </c>
      <c r="F1382" s="34" t="str">
        <f aca="false">'Uso e Consumo'!E1382</f>
        <v>TINTA ESMALTE FOSCO BRANCO NEVE 900ML NBR 11702</v>
      </c>
      <c r="G1382" s="34" t="str">
        <f aca="false">'Uso e Consumo'!J1382</f>
        <v>UN</v>
      </c>
      <c r="H1382" s="49" t="n">
        <f aca="false">'Uso e Consumo'!F1382</f>
        <v>2</v>
      </c>
      <c r="I1382" s="35" t="n">
        <f aca="false">'Uso e Consumo'!G1382</f>
        <v>476</v>
      </c>
      <c r="J1382" s="34" t="str">
        <f aca="false">'Uso e Consumo'!M1382</f>
        <v>3.8.1.016 - Pinturas</v>
      </c>
      <c r="K1382" s="32" t="str">
        <f aca="false">INDEX('Curva ABC'!$K$8:$K$2847,MATCH(D1382,'Curva ABC'!$B$8:$B$2847,0))</f>
        <v>C</v>
      </c>
    </row>
    <row r="1383" customFormat="false" ht="15" hidden="false" customHeight="false" outlineLevel="0" collapsed="false">
      <c r="A1383" s="34" t="s">
        <v>5799</v>
      </c>
      <c r="B1383" s="34" t="str">
        <f aca="false">'Uso e Consumo'!A1383</f>
        <v>0335</v>
      </c>
      <c r="C1383" s="34" t="str">
        <f aca="false">'Uso e Consumo'!B1383</f>
        <v>UFV NORONHA VERDE - USO E CONSUMO</v>
      </c>
      <c r="D1383" s="33" t="n">
        <f aca="false">'Uso e Consumo'!C1383</f>
        <v>35328</v>
      </c>
      <c r="E1383" s="34" t="str">
        <f aca="false">'Uso e Consumo'!D1383</f>
        <v>21.03.0009</v>
      </c>
      <c r="F1383" s="34" t="str">
        <f aca="false">'Uso e Consumo'!E1383</f>
        <v>CAIXA PLÁSTICA 55,5CM X 36,00CM X 31,00CM</v>
      </c>
      <c r="G1383" s="34" t="str">
        <f aca="false">'Uso e Consumo'!J1383</f>
        <v>UN</v>
      </c>
      <c r="H1383" s="49" t="n">
        <f aca="false">'Uso e Consumo'!F1383</f>
        <v>7</v>
      </c>
      <c r="I1383" s="35" t="n">
        <f aca="false">'Uso e Consumo'!G1383</f>
        <v>476</v>
      </c>
      <c r="J1383" s="34" t="str">
        <f aca="false">'Uso e Consumo'!M1383</f>
        <v>3.8.1.020 - Paisagismo</v>
      </c>
      <c r="K1383" s="32" t="str">
        <f aca="false">INDEX('Curva ABC'!$K$8:$K$2847,MATCH(D1383,'Curva ABC'!$B$8:$B$2847,0))</f>
        <v>C</v>
      </c>
    </row>
    <row r="1384" customFormat="false" ht="15" hidden="false" customHeight="false" outlineLevel="0" collapsed="false">
      <c r="A1384" s="34" t="s">
        <v>5799</v>
      </c>
      <c r="B1384" s="34" t="str">
        <f aca="false">'Uso e Consumo'!A1384</f>
        <v>0335</v>
      </c>
      <c r="C1384" s="34" t="str">
        <f aca="false">'Uso e Consumo'!B1384</f>
        <v>UFV NORONHA VERDE - USO E CONSUMO</v>
      </c>
      <c r="D1384" s="33" t="n">
        <f aca="false">'Uso e Consumo'!C1384</f>
        <v>863988</v>
      </c>
      <c r="E1384" s="34" t="str">
        <f aca="false">'Uso e Consumo'!D1384</f>
        <v>24.05.0023</v>
      </c>
      <c r="F1384" s="34" t="str">
        <f aca="false">'Uso e Consumo'!E1384</f>
        <v>NÍVEL BOLHA 30CM</v>
      </c>
      <c r="G1384" s="34" t="str">
        <f aca="false">'Uso e Consumo'!J1384</f>
        <v>UN</v>
      </c>
      <c r="H1384" s="49" t="n">
        <f aca="false">'Uso e Consumo'!F1384</f>
        <v>7</v>
      </c>
      <c r="I1384" s="35" t="n">
        <f aca="false">'Uso e Consumo'!G1384</f>
        <v>476</v>
      </c>
      <c r="J1384" s="34" t="str">
        <f aca="false">'Uso e Consumo'!M1384</f>
        <v>3.8.2.001 - Ferramentas medição/aferição</v>
      </c>
      <c r="K1384" s="32" t="str">
        <f aca="false">INDEX('Curva ABC'!$K$8:$K$2847,MATCH(D1384,'Curva ABC'!$B$8:$B$2847,0))</f>
        <v>C</v>
      </c>
    </row>
    <row r="1385" customFormat="false" ht="15" hidden="false" customHeight="false" outlineLevel="0" collapsed="false">
      <c r="A1385" s="34" t="s">
        <v>5799</v>
      </c>
      <c r="B1385" s="34" t="str">
        <f aca="false">'Uso e Consumo'!A1385</f>
        <v>0335</v>
      </c>
      <c r="C1385" s="34" t="str">
        <f aca="false">'Uso e Consumo'!B1385</f>
        <v>UFV NORONHA VERDE - USO E CONSUMO</v>
      </c>
      <c r="D1385" s="33" t="n">
        <f aca="false">'Uso e Consumo'!C1385</f>
        <v>1469483</v>
      </c>
      <c r="E1385" s="34" t="str">
        <f aca="false">'Uso e Consumo'!D1385</f>
        <v>06.01.0110</v>
      </c>
      <c r="F1385" s="34" t="str">
        <f aca="false">'Uso e Consumo'!E1385</f>
        <v>ADITIVO FLUIDO PARA RADIADOR ROSA CONCENTRADO POWER BRIL</v>
      </c>
      <c r="G1385" s="34" t="str">
        <f aca="false">'Uso e Consumo'!J1385</f>
        <v>LT</v>
      </c>
      <c r="H1385" s="49" t="n">
        <f aca="false">'Uso e Consumo'!F1385</f>
        <v>24</v>
      </c>
      <c r="I1385" s="35" t="n">
        <f aca="false">'Uso e Consumo'!G1385</f>
        <v>475.2</v>
      </c>
      <c r="J1385" s="34" t="str">
        <f aca="false">'Uso e Consumo'!M1385</f>
        <v>3.1.6.001 - Combustível e lubrificantes</v>
      </c>
      <c r="K1385" s="32" t="str">
        <f aca="false">INDEX('Curva ABC'!$K$8:$K$2847,MATCH(D1385,'Curva ABC'!$B$8:$B$2847,0))</f>
        <v>C</v>
      </c>
    </row>
    <row r="1386" customFormat="false" ht="15" hidden="false" customHeight="false" outlineLevel="0" collapsed="false">
      <c r="A1386" s="34" t="s">
        <v>5799</v>
      </c>
      <c r="B1386" s="34" t="str">
        <f aca="false">'Uso e Consumo'!A1386</f>
        <v>0335</v>
      </c>
      <c r="C1386" s="34" t="str">
        <f aca="false">'Uso e Consumo'!B1386</f>
        <v>UFV NORONHA VERDE - USO E CONSUMO</v>
      </c>
      <c r="D1386" s="33" t="n">
        <f aca="false">'Uso e Consumo'!C1386</f>
        <v>883098</v>
      </c>
      <c r="E1386" s="34" t="str">
        <f aca="false">'Uso e Consumo'!D1386</f>
        <v>24.46.0008</v>
      </c>
      <c r="F1386" s="34" t="str">
        <f aca="false">'Uso e Consumo'!E1386</f>
        <v>CORTADOR RISCADEIRA PISO PORCELANATO 75 COM ACESSÓRIOS</v>
      </c>
      <c r="G1386" s="34" t="str">
        <f aca="false">'Uso e Consumo'!J1386</f>
        <v>UN</v>
      </c>
      <c r="H1386" s="49" t="n">
        <f aca="false">'Uso e Consumo'!F1386</f>
        <v>1</v>
      </c>
      <c r="I1386" s="35" t="n">
        <f aca="false">'Uso e Consumo'!G1386</f>
        <v>471</v>
      </c>
      <c r="J1386" s="34" t="str">
        <f aca="false">'Uso e Consumo'!M1386</f>
        <v>3.8.2.002 - Ferramentas manuais</v>
      </c>
      <c r="K1386" s="32" t="str">
        <f aca="false">INDEX('Curva ABC'!$K$8:$K$2847,MATCH(D1386,'Curva ABC'!$B$8:$B$2847,0))</f>
        <v>C</v>
      </c>
    </row>
    <row r="1387" customFormat="false" ht="15" hidden="false" customHeight="false" outlineLevel="0" collapsed="false">
      <c r="A1387" s="34" t="s">
        <v>5799</v>
      </c>
      <c r="B1387" s="34" t="str">
        <f aca="false">'Uso e Consumo'!A1387</f>
        <v>0335</v>
      </c>
      <c r="C1387" s="34" t="str">
        <f aca="false">'Uso e Consumo'!B1387</f>
        <v>UFV NORONHA VERDE - USO E CONSUMO</v>
      </c>
      <c r="D1387" s="33" t="n">
        <f aca="false">'Uso e Consumo'!C1387</f>
        <v>1092833</v>
      </c>
      <c r="E1387" s="34" t="str">
        <f aca="false">'Uso e Consumo'!D1387</f>
        <v>24.05.0033</v>
      </c>
      <c r="F1387" s="34" t="str">
        <f aca="false">'Uso e Consumo'!E1387</f>
        <v>NÍVEL ALUMÍNIO MAGNÉTICO 12'' </v>
      </c>
      <c r="G1387" s="34" t="str">
        <f aca="false">'Uso e Consumo'!J1387</f>
        <v>UN</v>
      </c>
      <c r="H1387" s="49" t="n">
        <f aca="false">'Uso e Consumo'!F1387</f>
        <v>16</v>
      </c>
      <c r="I1387" s="35" t="n">
        <f aca="false">'Uso e Consumo'!G1387</f>
        <v>469.76</v>
      </c>
      <c r="J1387" s="34" t="str">
        <f aca="false">'Uso e Consumo'!M1387</f>
        <v>3.8.2.001 - Ferramentas medição/aferição</v>
      </c>
      <c r="K1387" s="32" t="str">
        <f aca="false">INDEX('Curva ABC'!$K$8:$K$2847,MATCH(D1387,'Curva ABC'!$B$8:$B$2847,0))</f>
        <v>C</v>
      </c>
    </row>
    <row r="1388" customFormat="false" ht="15" hidden="false" customHeight="false" outlineLevel="0" collapsed="false">
      <c r="A1388" s="34" t="s">
        <v>5799</v>
      </c>
      <c r="B1388" s="34" t="str">
        <f aca="false">'Uso e Consumo'!A1388</f>
        <v>0335</v>
      </c>
      <c r="C1388" s="34" t="str">
        <f aca="false">'Uso e Consumo'!B1388</f>
        <v>UFV NORONHA VERDE - USO E CONSUMO</v>
      </c>
      <c r="D1388" s="33" t="n">
        <f aca="false">'Uso e Consumo'!C1388</f>
        <v>750177</v>
      </c>
      <c r="E1388" s="34" t="str">
        <f aca="false">'Uso e Consumo'!D1388</f>
        <v>17.12.0429</v>
      </c>
      <c r="F1388" s="34" t="str">
        <f aca="false">'Uso e Consumo'!E1388</f>
        <v>PLUG FEMEA 2P+T 20A</v>
      </c>
      <c r="G1388" s="34" t="str">
        <f aca="false">'Uso e Consumo'!J1388</f>
        <v>UN</v>
      </c>
      <c r="H1388" s="49" t="n">
        <f aca="false">'Uso e Consumo'!F1388</f>
        <v>34</v>
      </c>
      <c r="I1388" s="35" t="n">
        <f aca="false">'Uso e Consumo'!G1388</f>
        <v>469.52</v>
      </c>
      <c r="J1388" s="34" t="str">
        <f aca="false">'Uso e Consumo'!M1388</f>
        <v>3.8.1.017 - Instalações elétricas/telefônicas/lógica</v>
      </c>
      <c r="K1388" s="32" t="str">
        <f aca="false">INDEX('Curva ABC'!$K$8:$K$2847,MATCH(D1388,'Curva ABC'!$B$8:$B$2847,0))</f>
        <v>C</v>
      </c>
    </row>
    <row r="1389" customFormat="false" ht="15" hidden="false" customHeight="false" outlineLevel="0" collapsed="false">
      <c r="A1389" s="34" t="s">
        <v>5799</v>
      </c>
      <c r="B1389" s="34" t="str">
        <f aca="false">'Uso e Consumo'!A1389</f>
        <v>0335</v>
      </c>
      <c r="C1389" s="34" t="str">
        <f aca="false">'Uso e Consumo'!B1389</f>
        <v>UFV NORONHA VERDE - USO E CONSUMO</v>
      </c>
      <c r="D1389" s="33" t="n">
        <f aca="false">'Uso e Consumo'!C1389</f>
        <v>287889</v>
      </c>
      <c r="E1389" s="34" t="str">
        <f aca="false">'Uso e Consumo'!D1389</f>
        <v>17.12.0372</v>
      </c>
      <c r="F1389" s="34" t="str">
        <f aca="false">'Uso e Consumo'!E1389</f>
        <v>INTERRUPTOR 01 TECLA SIMPLES</v>
      </c>
      <c r="G1389" s="34" t="str">
        <f aca="false">'Uso e Consumo'!J1389</f>
        <v>UN</v>
      </c>
      <c r="H1389" s="49" t="n">
        <f aca="false">'Uso e Consumo'!F1389</f>
        <v>85</v>
      </c>
      <c r="I1389" s="35" t="n">
        <f aca="false">'Uso e Consumo'!G1389</f>
        <v>468.35</v>
      </c>
      <c r="J1389" s="34" t="str">
        <f aca="false">'Uso e Consumo'!M1389</f>
        <v>3.8.1.017 - Instalações elétricas/telefônicas/lógica</v>
      </c>
      <c r="K1389" s="32" t="str">
        <f aca="false">INDEX('Curva ABC'!$K$8:$K$2847,MATCH(D1389,'Curva ABC'!$B$8:$B$2847,0))</f>
        <v>C</v>
      </c>
    </row>
    <row r="1390" customFormat="false" ht="15" hidden="false" customHeight="false" outlineLevel="0" collapsed="false">
      <c r="A1390" s="34" t="s">
        <v>5799</v>
      </c>
      <c r="B1390" s="34" t="str">
        <f aca="false">'Uso e Consumo'!A1390</f>
        <v>0335</v>
      </c>
      <c r="C1390" s="34" t="str">
        <f aca="false">'Uso e Consumo'!B1390</f>
        <v>UFV NORONHA VERDE - USO E CONSUMO</v>
      </c>
      <c r="D1390" s="33" t="n">
        <f aca="false">'Uso e Consumo'!C1390</f>
        <v>1385282</v>
      </c>
      <c r="E1390" s="34" t="str">
        <f aca="false">'Uso e Consumo'!D1390</f>
        <v>17.17.0087</v>
      </c>
      <c r="F1390" s="34" t="str">
        <f aca="false">'Uso e Consumo'!E1390</f>
        <v>RELÉ INTERRUPTOR DE HORÁRIO PARA COMANDO DE EQUIPAMENTOS</v>
      </c>
      <c r="G1390" s="34" t="str">
        <f aca="false">'Uso e Consumo'!J1390</f>
        <v>UN</v>
      </c>
      <c r="H1390" s="49" t="n">
        <f aca="false">'Uso e Consumo'!F1390</f>
        <v>2</v>
      </c>
      <c r="I1390" s="35" t="n">
        <f aca="false">'Uso e Consumo'!G1390</f>
        <v>466.69</v>
      </c>
      <c r="J1390" s="34" t="str">
        <f aca="false">'Uso e Consumo'!M1390</f>
        <v>3.8.1.017 - Instalações elétricas/telefônicas/lógica</v>
      </c>
      <c r="K1390" s="32" t="str">
        <f aca="false">INDEX('Curva ABC'!$K$8:$K$2847,MATCH(D1390,'Curva ABC'!$B$8:$B$2847,0))</f>
        <v>C</v>
      </c>
    </row>
    <row r="1391" customFormat="false" ht="15" hidden="false" customHeight="false" outlineLevel="0" collapsed="false">
      <c r="A1391" s="34" t="s">
        <v>5799</v>
      </c>
      <c r="B1391" s="34" t="str">
        <f aca="false">'Uso e Consumo'!A1391</f>
        <v>0335</v>
      </c>
      <c r="C1391" s="34" t="str">
        <f aca="false">'Uso e Consumo'!B1391</f>
        <v>UFV NORONHA VERDE - USO E CONSUMO</v>
      </c>
      <c r="D1391" s="33" t="n">
        <f aca="false">'Uso e Consumo'!C1391</f>
        <v>1326811</v>
      </c>
      <c r="E1391" s="34" t="str">
        <f aca="false">'Uso e Consumo'!D1391</f>
        <v>17.20.0672</v>
      </c>
      <c r="F1391" s="34" t="str">
        <f aca="false">'Uso e Consumo'!E1391</f>
        <v>MOLDE DE CONEXÃO, POR SOLDA EXOTÉRMICA, DE CABO PASSANTE DE COBRE 70 mm² , DIÂMETRO NOMINAL 19mm (3/4")</v>
      </c>
      <c r="G1391" s="34" t="str">
        <f aca="false">'Uso e Consumo'!J1391</f>
        <v>pç</v>
      </c>
      <c r="H1391" s="49" t="n">
        <f aca="false">'Uso e Consumo'!F1391</f>
        <v>3</v>
      </c>
      <c r="I1391" s="35" t="n">
        <f aca="false">'Uso e Consumo'!G1391</f>
        <v>465.18</v>
      </c>
      <c r="J1391" s="34" t="str">
        <f aca="false">'Uso e Consumo'!M1391</f>
        <v>3.8.1.017 - Instalações elétricas/telefônicas/lógica</v>
      </c>
      <c r="K1391" s="32" t="str">
        <f aca="false">INDEX('Curva ABC'!$K$8:$K$2847,MATCH(D1391,'Curva ABC'!$B$8:$B$2847,0))</f>
        <v>C</v>
      </c>
    </row>
    <row r="1392" customFormat="false" ht="15" hidden="false" customHeight="false" outlineLevel="0" collapsed="false">
      <c r="A1392" s="34" t="s">
        <v>5799</v>
      </c>
      <c r="B1392" s="34" t="str">
        <f aca="false">'Uso e Consumo'!A1392</f>
        <v>0335</v>
      </c>
      <c r="C1392" s="34" t="str">
        <f aca="false">'Uso e Consumo'!B1392</f>
        <v>UFV NORONHA VERDE - USO E CONSUMO</v>
      </c>
      <c r="D1392" s="33" t="n">
        <f aca="false">'Uso e Consumo'!C1392</f>
        <v>1463586</v>
      </c>
      <c r="E1392" s="34" t="str">
        <f aca="false">'Uso e Consumo'!D1392</f>
        <v>17.01.1235</v>
      </c>
      <c r="F1392" s="34" t="str">
        <f aca="false">'Uso e Consumo'!E1392</f>
        <v>CABO ELETRICO FLEXIVEL 0,6/1KV 1 X 50,00MM2 COBRE PVC CLASSE 5 VERDE NBR 7289</v>
      </c>
      <c r="G1392" s="34" t="str">
        <f aca="false">'Uso e Consumo'!J1392</f>
        <v>M</v>
      </c>
      <c r="H1392" s="49" t="n">
        <f aca="false">'Uso e Consumo'!F1392</f>
        <v>6.9</v>
      </c>
      <c r="I1392" s="35" t="n">
        <f aca="false">'Uso e Consumo'!G1392</f>
        <v>465.05</v>
      </c>
      <c r="J1392" s="34" t="str">
        <f aca="false">'Uso e Consumo'!M1392</f>
        <v>3.8.1.017 - Instalações elétricas/telefônicas/lógica</v>
      </c>
      <c r="K1392" s="32" t="str">
        <f aca="false">INDEX('Curva ABC'!$K$8:$K$2847,MATCH(D1392,'Curva ABC'!$B$8:$B$2847,0))</f>
        <v>C</v>
      </c>
    </row>
    <row r="1393" customFormat="false" ht="15" hidden="false" customHeight="false" outlineLevel="0" collapsed="false">
      <c r="A1393" s="34" t="s">
        <v>5799</v>
      </c>
      <c r="B1393" s="34" t="str">
        <f aca="false">'Uso e Consumo'!A1393</f>
        <v>0335</v>
      </c>
      <c r="C1393" s="34" t="str">
        <f aca="false">'Uso e Consumo'!B1393</f>
        <v>UFV NORONHA VERDE - USO E CONSUMO</v>
      </c>
      <c r="D1393" s="33" t="n">
        <f aca="false">'Uso e Consumo'!C1393</f>
        <v>554091</v>
      </c>
      <c r="E1393" s="34" t="str">
        <f aca="false">'Uso e Consumo'!D1393</f>
        <v>26.02.0147</v>
      </c>
      <c r="F1393" s="34" t="str">
        <f aca="false">'Uso e Consumo'!E1393</f>
        <v>BOTINA TIPO B - CA 32807 - N 38</v>
      </c>
      <c r="G1393" s="34" t="str">
        <f aca="false">'Uso e Consumo'!J1393</f>
        <v>PAR</v>
      </c>
      <c r="H1393" s="49" t="n">
        <f aca="false">'Uso e Consumo'!F1393</f>
        <v>8</v>
      </c>
      <c r="I1393" s="35" t="n">
        <f aca="false">'Uso e Consumo'!G1393</f>
        <v>464</v>
      </c>
      <c r="J1393" s="34" t="str">
        <f aca="false">'Uso e Consumo'!M1393</f>
        <v>4.3.4.001 - Equipamento de proteção individual</v>
      </c>
      <c r="K1393" s="32" t="str">
        <f aca="false">INDEX('Curva ABC'!$K$8:$K$2847,MATCH(D1393,'Curva ABC'!$B$8:$B$2847,0))</f>
        <v>C</v>
      </c>
    </row>
    <row r="1394" customFormat="false" ht="15" hidden="false" customHeight="false" outlineLevel="0" collapsed="false">
      <c r="A1394" s="34" t="s">
        <v>5799</v>
      </c>
      <c r="B1394" s="34" t="str">
        <f aca="false">'Uso e Consumo'!A1394</f>
        <v>0335</v>
      </c>
      <c r="C1394" s="34" t="str">
        <f aca="false">'Uso e Consumo'!B1394</f>
        <v>UFV NORONHA VERDE - USO E CONSUMO</v>
      </c>
      <c r="D1394" s="33" t="n">
        <f aca="false">'Uso e Consumo'!C1394</f>
        <v>552229</v>
      </c>
      <c r="E1394" s="34" t="str">
        <f aca="false">'Uso e Consumo'!D1394</f>
        <v>26.03.0054</v>
      </c>
      <c r="F1394" s="34" t="str">
        <f aca="false">'Uso e Consumo'!E1394</f>
        <v>CAPUZ DE SEGURANÇA TIPO TOUCA NINJA - AZUL TAM. G</v>
      </c>
      <c r="G1394" s="34" t="str">
        <f aca="false">'Uso e Consumo'!J1394</f>
        <v>UN</v>
      </c>
      <c r="H1394" s="49" t="n">
        <f aca="false">'Uso e Consumo'!F1394</f>
        <v>70</v>
      </c>
      <c r="I1394" s="35" t="n">
        <f aca="false">'Uso e Consumo'!G1394</f>
        <v>463.738</v>
      </c>
      <c r="J1394" s="34" t="str">
        <f aca="false">'Uso e Consumo'!M1394</f>
        <v>4.3.4.001 - Equipamento de proteção individual</v>
      </c>
      <c r="K1394" s="32" t="str">
        <f aca="false">INDEX('Curva ABC'!$K$8:$K$2847,MATCH(D1394,'Curva ABC'!$B$8:$B$2847,0))</f>
        <v>C</v>
      </c>
    </row>
    <row r="1395" customFormat="false" ht="15" hidden="false" customHeight="false" outlineLevel="0" collapsed="false">
      <c r="A1395" s="34" t="s">
        <v>5799</v>
      </c>
      <c r="B1395" s="34" t="str">
        <f aca="false">'Uso e Consumo'!A1395</f>
        <v>0335</v>
      </c>
      <c r="C1395" s="34" t="str">
        <f aca="false">'Uso e Consumo'!B1395</f>
        <v>UFV NORONHA VERDE - USO E CONSUMO</v>
      </c>
      <c r="D1395" s="33" t="n">
        <f aca="false">'Uso e Consumo'!C1395</f>
        <v>1384049</v>
      </c>
      <c r="E1395" s="34" t="str">
        <f aca="false">'Uso e Consumo'!D1395</f>
        <v>17.05.0122</v>
      </c>
      <c r="F1395" s="34" t="str">
        <f aca="false">'Uso e Consumo'!E1395</f>
        <v>CAIXA DE LIGAÇÃO EM LIGA DE ALUMÍNIO TIPO “X” DN 20 MM (3/4" BSP)</v>
      </c>
      <c r="G1395" s="34" t="str">
        <f aca="false">'Uso e Consumo'!J1395</f>
        <v>UN</v>
      </c>
      <c r="H1395" s="49" t="n">
        <f aca="false">'Uso e Consumo'!F1395</f>
        <v>53</v>
      </c>
      <c r="I1395" s="35" t="n">
        <f aca="false">'Uso e Consumo'!G1395</f>
        <v>463.37</v>
      </c>
      <c r="J1395" s="34" t="str">
        <f aca="false">'Uso e Consumo'!M1395</f>
        <v>3.8.1.017 - Instalações elétricas/telefônicas/lógica</v>
      </c>
      <c r="K1395" s="32" t="str">
        <f aca="false">INDEX('Curva ABC'!$K$8:$K$2847,MATCH(D1395,'Curva ABC'!$B$8:$B$2847,0))</f>
        <v>C</v>
      </c>
    </row>
    <row r="1396" customFormat="false" ht="15" hidden="false" customHeight="false" outlineLevel="0" collapsed="false">
      <c r="A1396" s="34" t="s">
        <v>5799</v>
      </c>
      <c r="B1396" s="34" t="str">
        <f aca="false">'Uso e Consumo'!A1396</f>
        <v>0335</v>
      </c>
      <c r="C1396" s="34" t="str">
        <f aca="false">'Uso e Consumo'!B1396</f>
        <v>UFV NORONHA VERDE - USO E CONSUMO</v>
      </c>
      <c r="D1396" s="33" t="n">
        <f aca="false">'Uso e Consumo'!C1396</f>
        <v>861450</v>
      </c>
      <c r="E1396" s="34" t="str">
        <f aca="false">'Uso e Consumo'!D1396</f>
        <v>17.19.0051</v>
      </c>
      <c r="F1396" s="34" t="str">
        <f aca="false">'Uso e Consumo'!E1396</f>
        <v>FITA ISOLANTE 18MMX10MT VERMELHA</v>
      </c>
      <c r="G1396" s="34" t="str">
        <f aca="false">'Uso e Consumo'!J1396</f>
        <v>UN</v>
      </c>
      <c r="H1396" s="49" t="n">
        <f aca="false">'Uso e Consumo'!F1396</f>
        <v>156</v>
      </c>
      <c r="I1396" s="35" t="n">
        <f aca="false">'Uso e Consumo'!G1396</f>
        <v>462.6092</v>
      </c>
      <c r="J1396" s="34" t="str">
        <f aca="false">'Uso e Consumo'!M1396</f>
        <v>3.8.1.017 - Instalações elétricas/telefônicas/lógica</v>
      </c>
      <c r="K1396" s="32" t="str">
        <f aca="false">INDEX('Curva ABC'!$K$8:$K$2847,MATCH(D1396,'Curva ABC'!$B$8:$B$2847,0))</f>
        <v>C</v>
      </c>
    </row>
    <row r="1397" customFormat="false" ht="15" hidden="false" customHeight="false" outlineLevel="0" collapsed="false">
      <c r="A1397" s="34" t="s">
        <v>5799</v>
      </c>
      <c r="B1397" s="34" t="str">
        <f aca="false">'Uso e Consumo'!A1397</f>
        <v>0335</v>
      </c>
      <c r="C1397" s="34" t="str">
        <f aca="false">'Uso e Consumo'!B1397</f>
        <v>UFV NORONHA VERDE - USO E CONSUMO</v>
      </c>
      <c r="D1397" s="33" t="n">
        <f aca="false">'Uso e Consumo'!C1397</f>
        <v>551135</v>
      </c>
      <c r="E1397" s="34" t="str">
        <f aca="false">'Uso e Consumo'!D1397</f>
        <v>26.01.0072</v>
      </c>
      <c r="F1397" s="34" t="str">
        <f aca="false">'Uso e Consumo'!E1397</f>
        <v>COLETE REFLETIVO PARA SINALEIRO TAM M</v>
      </c>
      <c r="G1397" s="34" t="str">
        <f aca="false">'Uso e Consumo'!J1397</f>
        <v>UN</v>
      </c>
      <c r="H1397" s="49" t="n">
        <f aca="false">'Uso e Consumo'!F1397</f>
        <v>28</v>
      </c>
      <c r="I1397" s="35" t="n">
        <f aca="false">'Uso e Consumo'!G1397</f>
        <v>461.28</v>
      </c>
      <c r="J1397" s="34" t="str">
        <f aca="false">'Uso e Consumo'!M1397</f>
        <v>4.3.4.001 - Equipamento de proteção individual</v>
      </c>
      <c r="K1397" s="32" t="str">
        <f aca="false">INDEX('Curva ABC'!$K$8:$K$2847,MATCH(D1397,'Curva ABC'!$B$8:$B$2847,0))</f>
        <v>C</v>
      </c>
    </row>
    <row r="1398" customFormat="false" ht="15" hidden="false" customHeight="false" outlineLevel="0" collapsed="false">
      <c r="A1398" s="34" t="s">
        <v>5799</v>
      </c>
      <c r="B1398" s="34" t="str">
        <f aca="false">'Uso e Consumo'!A1398</f>
        <v>0335</v>
      </c>
      <c r="C1398" s="34" t="str">
        <f aca="false">'Uso e Consumo'!B1398</f>
        <v>UFV NORONHA VERDE - USO E CONSUMO</v>
      </c>
      <c r="D1398" s="33" t="n">
        <f aca="false">'Uso e Consumo'!C1398</f>
        <v>1462016</v>
      </c>
      <c r="E1398" s="34" t="str">
        <f aca="false">'Uso e Consumo'!D1398</f>
        <v>17.02.0898</v>
      </c>
      <c r="F1398" s="34" t="str">
        <f aca="false">'Uso e Consumo'!E1398</f>
        <v>CONEXÃO (KN/KNT-S) DN 230 PTAC00570</v>
      </c>
      <c r="G1398" s="34" t="str">
        <f aca="false">'Uso e Consumo'!J1398</f>
        <v>UN</v>
      </c>
      <c r="H1398" s="49" t="n">
        <f aca="false">'Uso e Consumo'!F1398</f>
        <v>17</v>
      </c>
      <c r="I1398" s="35" t="n">
        <f aca="false">'Uso e Consumo'!G1398</f>
        <v>459.34</v>
      </c>
      <c r="J1398" s="34" t="str">
        <f aca="false">'Uso e Consumo'!M1398</f>
        <v>3.8.1.018 - Instalações hidráulicas/sanitárias/industriais</v>
      </c>
      <c r="K1398" s="32" t="str">
        <f aca="false">INDEX('Curva ABC'!$K$8:$K$2847,MATCH(D1398,'Curva ABC'!$B$8:$B$2847,0))</f>
        <v>C</v>
      </c>
    </row>
    <row r="1399" customFormat="false" ht="15" hidden="false" customHeight="false" outlineLevel="0" collapsed="false">
      <c r="A1399" s="34" t="s">
        <v>5799</v>
      </c>
      <c r="B1399" s="34" t="str">
        <f aca="false">'Uso e Consumo'!A1399</f>
        <v>0335</v>
      </c>
      <c r="C1399" s="34" t="str">
        <f aca="false">'Uso e Consumo'!B1399</f>
        <v>UFV NORONHA VERDE - USO E CONSUMO</v>
      </c>
      <c r="D1399" s="33" t="n">
        <f aca="false">'Uso e Consumo'!C1399</f>
        <v>57886</v>
      </c>
      <c r="E1399" s="34" t="str">
        <f aca="false">'Uso e Consumo'!D1399</f>
        <v>24.41.0065</v>
      </c>
      <c r="F1399" s="34" t="str">
        <f aca="false">'Uso e Consumo'!E1399</f>
        <v>TORNO ENCANADOR FIXO Nº 4</v>
      </c>
      <c r="G1399" s="34" t="str">
        <f aca="false">'Uso e Consumo'!J1399</f>
        <v>UN</v>
      </c>
      <c r="H1399" s="49" t="n">
        <f aca="false">'Uso e Consumo'!F1399</f>
        <v>1</v>
      </c>
      <c r="I1399" s="35" t="n">
        <f aca="false">'Uso e Consumo'!G1399</f>
        <v>457.15</v>
      </c>
      <c r="J1399" s="34" t="str">
        <f aca="false">'Uso e Consumo'!M1399</f>
        <v>3.8.2.002 - Ferramentas manuais</v>
      </c>
      <c r="K1399" s="32" t="str">
        <f aca="false">INDEX('Curva ABC'!$K$8:$K$2847,MATCH(D1399,'Curva ABC'!$B$8:$B$2847,0))</f>
        <v>C</v>
      </c>
    </row>
    <row r="1400" customFormat="false" ht="15" hidden="false" customHeight="false" outlineLevel="0" collapsed="false">
      <c r="A1400" s="34" t="s">
        <v>5799</v>
      </c>
      <c r="B1400" s="34" t="str">
        <f aca="false">'Uso e Consumo'!A1400</f>
        <v>0335</v>
      </c>
      <c r="C1400" s="34" t="str">
        <f aca="false">'Uso e Consumo'!B1400</f>
        <v>UFV NORONHA VERDE - USO E CONSUMO</v>
      </c>
      <c r="D1400" s="33" t="n">
        <f aca="false">'Uso e Consumo'!C1400</f>
        <v>14219</v>
      </c>
      <c r="E1400" s="34" t="str">
        <f aca="false">'Uso e Consumo'!D1400</f>
        <v>17.12.0162</v>
      </c>
      <c r="F1400" s="34" t="str">
        <f aca="false">'Uso e Consumo'!E1400</f>
        <v>PLUGUE INDUSTRIAL 2P+T 16A 220/240V AZUL NBR IEC 60309-1/IEC 60309-2</v>
      </c>
      <c r="G1400" s="34" t="str">
        <f aca="false">'Uso e Consumo'!J1400</f>
        <v>UN</v>
      </c>
      <c r="H1400" s="49" t="n">
        <f aca="false">'Uso e Consumo'!F1400</f>
        <v>10</v>
      </c>
      <c r="I1400" s="35" t="n">
        <f aca="false">'Uso e Consumo'!G1400</f>
        <v>456.6</v>
      </c>
      <c r="J1400" s="34" t="str">
        <f aca="false">'Uso e Consumo'!M1400</f>
        <v>3.8.1.017 - Instalações elétricas/telefônicas/lógica</v>
      </c>
      <c r="K1400" s="32" t="str">
        <f aca="false">INDEX('Curva ABC'!$K$8:$K$2847,MATCH(D1400,'Curva ABC'!$B$8:$B$2847,0))</f>
        <v>C</v>
      </c>
    </row>
    <row r="1401" customFormat="false" ht="15" hidden="false" customHeight="false" outlineLevel="0" collapsed="false">
      <c r="A1401" s="34" t="s">
        <v>5799</v>
      </c>
      <c r="B1401" s="34" t="str">
        <f aca="false">'Uso e Consumo'!A1401</f>
        <v>0335</v>
      </c>
      <c r="C1401" s="34" t="str">
        <f aca="false">'Uso e Consumo'!B1401</f>
        <v>UFV NORONHA VERDE - USO E CONSUMO</v>
      </c>
      <c r="D1401" s="33" t="n">
        <f aca="false">'Uso e Consumo'!C1401</f>
        <v>21163</v>
      </c>
      <c r="E1401" s="34" t="str">
        <f aca="false">'Uso e Consumo'!D1401</f>
        <v>34.02.0066</v>
      </c>
      <c r="F1401" s="34" t="str">
        <f aca="false">'Uso e Consumo'!E1401</f>
        <v>FILTRO LUBRIFICANTE</v>
      </c>
      <c r="G1401" s="34" t="str">
        <f aca="false">'Uso e Consumo'!J1401</f>
        <v>UN</v>
      </c>
      <c r="H1401" s="49" t="n">
        <f aca="false">'Uso e Consumo'!F1401</f>
        <v>2</v>
      </c>
      <c r="I1401" s="35" t="n">
        <f aca="false">'Uso e Consumo'!G1401</f>
        <v>456</v>
      </c>
      <c r="J1401" s="34" t="str">
        <f aca="false">'Uso e Consumo'!M1401</f>
        <v>3.1.6.002 - Pneus e peças</v>
      </c>
      <c r="K1401" s="32" t="str">
        <f aca="false">INDEX('Curva ABC'!$K$8:$K$2847,MATCH(D1401,'Curva ABC'!$B$8:$B$2847,0))</f>
        <v>C</v>
      </c>
    </row>
    <row r="1402" customFormat="false" ht="15" hidden="false" customHeight="false" outlineLevel="0" collapsed="false">
      <c r="A1402" s="34" t="s">
        <v>5799</v>
      </c>
      <c r="B1402" s="34" t="str">
        <f aca="false">'Uso e Consumo'!A1402</f>
        <v>0335</v>
      </c>
      <c r="C1402" s="34" t="str">
        <f aca="false">'Uso e Consumo'!B1402</f>
        <v>UFV NORONHA VERDE - USO E CONSUMO</v>
      </c>
      <c r="D1402" s="33" t="n">
        <f aca="false">'Uso e Consumo'!C1402</f>
        <v>33271</v>
      </c>
      <c r="E1402" s="34" t="str">
        <f aca="false">'Uso e Consumo'!D1402</f>
        <v>23.05.0112</v>
      </c>
      <c r="F1402" s="34" t="str">
        <f aca="false">'Uso e Consumo'!E1402</f>
        <v>ARRUELA EM ALUMÍNIO PARA ELETRODUTO 10,00 MM X 16,00MM</v>
      </c>
      <c r="G1402" s="34" t="str">
        <f aca="false">'Uso e Consumo'!J1402</f>
        <v>UN</v>
      </c>
      <c r="H1402" s="49" t="n">
        <f aca="false">'Uso e Consumo'!F1402</f>
        <v>2</v>
      </c>
      <c r="I1402" s="35" t="n">
        <f aca="false">'Uso e Consumo'!G1402</f>
        <v>456</v>
      </c>
      <c r="J1402" s="34" t="str">
        <f aca="false">'Uso e Consumo'!M1402</f>
        <v>3.8.1.022 - Elementos de fixação</v>
      </c>
      <c r="K1402" s="32" t="str">
        <f aca="false">INDEX('Curva ABC'!$K$8:$K$2847,MATCH(D1402,'Curva ABC'!$B$8:$B$2847,0))</f>
        <v>C</v>
      </c>
    </row>
    <row r="1403" customFormat="false" ht="15" hidden="false" customHeight="false" outlineLevel="0" collapsed="false">
      <c r="A1403" s="34" t="s">
        <v>5799</v>
      </c>
      <c r="B1403" s="34" t="str">
        <f aca="false">'Uso e Consumo'!A1403</f>
        <v>0335</v>
      </c>
      <c r="C1403" s="34" t="str">
        <f aca="false">'Uso e Consumo'!B1403</f>
        <v>UFV NORONHA VERDE - USO E CONSUMO</v>
      </c>
      <c r="D1403" s="33" t="n">
        <f aca="false">'Uso e Consumo'!C1403</f>
        <v>839825</v>
      </c>
      <c r="E1403" s="34" t="str">
        <f aca="false">'Uso e Consumo'!D1403</f>
        <v>06.04.0057</v>
      </c>
      <c r="F1403" s="34" t="str">
        <f aca="false">'Uso e Consumo'!E1403</f>
        <v>ESPUMA EXPANSIVA</v>
      </c>
      <c r="G1403" s="34" t="str">
        <f aca="false">'Uso e Consumo'!J1403</f>
        <v>UN</v>
      </c>
      <c r="H1403" s="49" t="n">
        <f aca="false">'Uso e Consumo'!F1403</f>
        <v>12</v>
      </c>
      <c r="I1403" s="35" t="n">
        <f aca="false">'Uso e Consumo'!G1403</f>
        <v>456</v>
      </c>
      <c r="J1403" s="34" t="str">
        <f aca="false">'Uso e Consumo'!M1403</f>
        <v>3.8.1.006 - Aditivos e produtos químicos</v>
      </c>
      <c r="K1403" s="32" t="str">
        <f aca="false">INDEX('Curva ABC'!$K$8:$K$2847,MATCH(D1403,'Curva ABC'!$B$8:$B$2847,0))</f>
        <v>C</v>
      </c>
    </row>
    <row r="1404" customFormat="false" ht="15" hidden="false" customHeight="false" outlineLevel="0" collapsed="false">
      <c r="A1404" s="34" t="s">
        <v>5799</v>
      </c>
      <c r="B1404" s="34" t="str">
        <f aca="false">'Uso e Consumo'!A1404</f>
        <v>0335</v>
      </c>
      <c r="C1404" s="34" t="str">
        <f aca="false">'Uso e Consumo'!B1404</f>
        <v>UFV NORONHA VERDE - USO E CONSUMO</v>
      </c>
      <c r="D1404" s="33" t="n">
        <f aca="false">'Uso e Consumo'!C1404</f>
        <v>53865</v>
      </c>
      <c r="E1404" s="34" t="str">
        <f aca="false">'Uso e Consumo'!D1404</f>
        <v>32.02.0023</v>
      </c>
      <c r="F1404" s="34" t="str">
        <f aca="false">'Uso e Consumo'!E1404</f>
        <v>CINTA DE ELEVAÇÃO CAPACIDADE 2,0T COM 2,0M</v>
      </c>
      <c r="G1404" s="34" t="str">
        <f aca="false">'Uso e Consumo'!J1404</f>
        <v>UN</v>
      </c>
      <c r="H1404" s="49" t="n">
        <f aca="false">'Uso e Consumo'!F1404</f>
        <v>8</v>
      </c>
      <c r="I1404" s="35" t="n">
        <f aca="false">'Uso e Consumo'!G1404</f>
        <v>455.2</v>
      </c>
      <c r="J1404" s="34" t="str">
        <f aca="false">'Uso e Consumo'!M1404</f>
        <v>6.1.2.001 - Equipamentos</v>
      </c>
      <c r="K1404" s="32" t="str">
        <f aca="false">INDEX('Curva ABC'!$K$8:$K$2847,MATCH(D1404,'Curva ABC'!$B$8:$B$2847,0))</f>
        <v>C</v>
      </c>
    </row>
    <row r="1405" customFormat="false" ht="15" hidden="false" customHeight="false" outlineLevel="0" collapsed="false">
      <c r="A1405" s="34" t="s">
        <v>5799</v>
      </c>
      <c r="B1405" s="34" t="str">
        <f aca="false">'Uso e Consumo'!A1405</f>
        <v>0335</v>
      </c>
      <c r="C1405" s="34" t="str">
        <f aca="false">'Uso e Consumo'!B1405</f>
        <v>UFV NORONHA VERDE - USO E CONSUMO</v>
      </c>
      <c r="D1405" s="33" t="n">
        <f aca="false">'Uso e Consumo'!C1405</f>
        <v>551136</v>
      </c>
      <c r="E1405" s="34" t="str">
        <f aca="false">'Uso e Consumo'!D1405</f>
        <v>26.01.0073</v>
      </c>
      <c r="F1405" s="34" t="str">
        <f aca="false">'Uso e Consumo'!E1405</f>
        <v>COLETE REFLETIVO PARA SINALEIRO TAM G</v>
      </c>
      <c r="G1405" s="34" t="str">
        <f aca="false">'Uso e Consumo'!J1405</f>
        <v>UN</v>
      </c>
      <c r="H1405" s="49" t="n">
        <f aca="false">'Uso e Consumo'!F1405</f>
        <v>28</v>
      </c>
      <c r="I1405" s="35" t="n">
        <f aca="false">'Uso e Consumo'!G1405</f>
        <v>454</v>
      </c>
      <c r="J1405" s="34" t="str">
        <f aca="false">'Uso e Consumo'!M1405</f>
        <v>4.3.4.001 - Equipamento de proteção individual</v>
      </c>
      <c r="K1405" s="32" t="str">
        <f aca="false">INDEX('Curva ABC'!$K$8:$K$2847,MATCH(D1405,'Curva ABC'!$B$8:$B$2847,0))</f>
        <v>C</v>
      </c>
    </row>
    <row r="1406" customFormat="false" ht="15" hidden="false" customHeight="false" outlineLevel="0" collapsed="false">
      <c r="A1406" s="34" t="s">
        <v>5799</v>
      </c>
      <c r="B1406" s="34" t="str">
        <f aca="false">'Uso e Consumo'!A1406</f>
        <v>0335</v>
      </c>
      <c r="C1406" s="34" t="str">
        <f aca="false">'Uso e Consumo'!B1406</f>
        <v>UFV NORONHA VERDE - USO E CONSUMO</v>
      </c>
      <c r="D1406" s="33" t="n">
        <f aca="false">'Uso e Consumo'!C1406</f>
        <v>21778</v>
      </c>
      <c r="E1406" s="34" t="str">
        <f aca="false">'Uso e Consumo'!D1406</f>
        <v>30.03.0115</v>
      </c>
      <c r="F1406" s="34" t="str">
        <f aca="false">'Uso e Consumo'!E1406</f>
        <v>DESINFETANTE LIQUIDO 5,00L</v>
      </c>
      <c r="G1406" s="34" t="str">
        <f aca="false">'Uso e Consumo'!J1406</f>
        <v>UN</v>
      </c>
      <c r="H1406" s="49" t="n">
        <f aca="false">'Uso e Consumo'!F1406</f>
        <v>48</v>
      </c>
      <c r="I1406" s="35" t="n">
        <f aca="false">'Uso e Consumo'!G1406</f>
        <v>452.3487</v>
      </c>
      <c r="J1406" s="34" t="str">
        <f aca="false">'Uso e Consumo'!M1406</f>
        <v>4.1.1.003 - Material limpeza</v>
      </c>
      <c r="K1406" s="32" t="str">
        <f aca="false">INDEX('Curva ABC'!$K$8:$K$2847,MATCH(D1406,'Curva ABC'!$B$8:$B$2847,0))</f>
        <v>C</v>
      </c>
    </row>
    <row r="1407" customFormat="false" ht="15" hidden="false" customHeight="false" outlineLevel="0" collapsed="false">
      <c r="A1407" s="34" t="s">
        <v>5799</v>
      </c>
      <c r="B1407" s="34" t="str">
        <f aca="false">'Uso e Consumo'!A1407</f>
        <v>0335</v>
      </c>
      <c r="C1407" s="34" t="str">
        <f aca="false">'Uso e Consumo'!B1407</f>
        <v>UFV NORONHA VERDE - USO E CONSUMO</v>
      </c>
      <c r="D1407" s="33" t="n">
        <f aca="false">'Uso e Consumo'!C1407</f>
        <v>19822</v>
      </c>
      <c r="E1407" s="34" t="str">
        <f aca="false">'Uso e Consumo'!D1407</f>
        <v>30.03.0095</v>
      </c>
      <c r="F1407" s="34" t="str">
        <f aca="false">'Uso e Consumo'!E1407</f>
        <v>VASSOURA NYLON BASE PLASTICA</v>
      </c>
      <c r="G1407" s="34" t="str">
        <f aca="false">'Uso e Consumo'!J1407</f>
        <v>UN</v>
      </c>
      <c r="H1407" s="49" t="n">
        <f aca="false">'Uso e Consumo'!F1407</f>
        <v>45</v>
      </c>
      <c r="I1407" s="35" t="n">
        <f aca="false">'Uso e Consumo'!G1407</f>
        <v>450</v>
      </c>
      <c r="J1407" s="34" t="str">
        <f aca="false">'Uso e Consumo'!M1407</f>
        <v>4.1.1.003 - Material limpeza</v>
      </c>
      <c r="K1407" s="32" t="str">
        <f aca="false">INDEX('Curva ABC'!$K$8:$K$2847,MATCH(D1407,'Curva ABC'!$B$8:$B$2847,0))</f>
        <v>C</v>
      </c>
    </row>
    <row r="1408" customFormat="false" ht="15" hidden="false" customHeight="false" outlineLevel="0" collapsed="false">
      <c r="A1408" s="34" t="s">
        <v>5799</v>
      </c>
      <c r="B1408" s="34" t="str">
        <f aca="false">'Uso e Consumo'!A1408</f>
        <v>0335</v>
      </c>
      <c r="C1408" s="34" t="str">
        <f aca="false">'Uso e Consumo'!B1408</f>
        <v>UFV NORONHA VERDE - USO E CONSUMO</v>
      </c>
      <c r="D1408" s="33" t="n">
        <f aca="false">'Uso e Consumo'!C1408</f>
        <v>23891</v>
      </c>
      <c r="E1408" s="34" t="str">
        <f aca="false">'Uso e Consumo'!D1408</f>
        <v>24.08.0021</v>
      </c>
      <c r="F1408" s="34" t="str">
        <f aca="false">'Uso e Consumo'!E1408</f>
        <v>ALICATE DE CRIMPAGEM RÁPIDA PREMIUM FURUKAWA</v>
      </c>
      <c r="G1408" s="34" t="str">
        <f aca="false">'Uso e Consumo'!J1408</f>
        <v>UN</v>
      </c>
      <c r="H1408" s="49" t="n">
        <f aca="false">'Uso e Consumo'!F1408</f>
        <v>1</v>
      </c>
      <c r="I1408" s="35" t="n">
        <f aca="false">'Uso e Consumo'!G1408</f>
        <v>449</v>
      </c>
      <c r="J1408" s="34" t="str">
        <f aca="false">'Uso e Consumo'!M1408</f>
        <v>3.8.2.002 - Ferramentas manuais</v>
      </c>
      <c r="K1408" s="32" t="str">
        <f aca="false">INDEX('Curva ABC'!$K$8:$K$2847,MATCH(D1408,'Curva ABC'!$B$8:$B$2847,0))</f>
        <v>C</v>
      </c>
    </row>
    <row r="1409" customFormat="false" ht="15" hidden="false" customHeight="false" outlineLevel="0" collapsed="false">
      <c r="A1409" s="34" t="s">
        <v>5799</v>
      </c>
      <c r="B1409" s="34" t="str">
        <f aca="false">'Uso e Consumo'!A1409</f>
        <v>0335</v>
      </c>
      <c r="C1409" s="34" t="str">
        <f aca="false">'Uso e Consumo'!B1409</f>
        <v>UFV NORONHA VERDE - USO E CONSUMO</v>
      </c>
      <c r="D1409" s="33" t="n">
        <f aca="false">'Uso e Consumo'!C1409</f>
        <v>19862</v>
      </c>
      <c r="E1409" s="34" t="str">
        <f aca="false">'Uso e Consumo'!D1409</f>
        <v>30.04.0031</v>
      </c>
      <c r="F1409" s="34" t="str">
        <f aca="false">'Uso e Consumo'!E1409</f>
        <v>GARRAFA TERMICA PLÁSTICO 5,00L ALCA LATERAL</v>
      </c>
      <c r="G1409" s="34" t="str">
        <f aca="false">'Uso e Consumo'!J1409</f>
        <v>UN</v>
      </c>
      <c r="H1409" s="49" t="n">
        <f aca="false">'Uso e Consumo'!F1409</f>
        <v>8</v>
      </c>
      <c r="I1409" s="35" t="n">
        <f aca="false">'Uso e Consumo'!G1409</f>
        <v>448.2292</v>
      </c>
      <c r="J1409" s="34" t="str">
        <f aca="false">'Uso e Consumo'!M1409</f>
        <v>4.1.1.001 - Material de uso e consumo</v>
      </c>
      <c r="K1409" s="32" t="str">
        <f aca="false">INDEX('Curva ABC'!$K$8:$K$2847,MATCH(D1409,'Curva ABC'!$B$8:$B$2847,0))</f>
        <v>C</v>
      </c>
    </row>
    <row r="1410" customFormat="false" ht="15" hidden="false" customHeight="false" outlineLevel="0" collapsed="false">
      <c r="A1410" s="34" t="s">
        <v>5799</v>
      </c>
      <c r="B1410" s="34" t="str">
        <f aca="false">'Uso e Consumo'!A1410</f>
        <v>0335</v>
      </c>
      <c r="C1410" s="34" t="str">
        <f aca="false">'Uso e Consumo'!B1410</f>
        <v>UFV NORONHA VERDE - USO E CONSUMO</v>
      </c>
      <c r="D1410" s="33" t="n">
        <f aca="false">'Uso e Consumo'!C1410</f>
        <v>1330544</v>
      </c>
      <c r="E1410" s="34" t="str">
        <f aca="false">'Uso e Consumo'!D1410</f>
        <v>24.23.0037</v>
      </c>
      <c r="F1410" s="34" t="str">
        <f aca="false">'Uso e Consumo'!E1410</f>
        <v>BOMBA PRESSURIZADORA DE ÁGUA 2CV 380V COM PRESSOTATO</v>
      </c>
      <c r="G1410" s="34" t="str">
        <f aca="false">'Uso e Consumo'!J1410</f>
        <v>UN</v>
      </c>
      <c r="H1410" s="49" t="n">
        <f aca="false">'Uso e Consumo'!F1410</f>
        <v>1</v>
      </c>
      <c r="I1410" s="35" t="n">
        <f aca="false">'Uso e Consumo'!G1410</f>
        <v>448</v>
      </c>
      <c r="J1410" s="34" t="str">
        <f aca="false">'Uso e Consumo'!M1410</f>
        <v>3.8.2.002 - Ferramentas manuais</v>
      </c>
      <c r="K1410" s="32" t="str">
        <f aca="false">INDEX('Curva ABC'!$K$8:$K$2847,MATCH(D1410,'Curva ABC'!$B$8:$B$2847,0))</f>
        <v>C</v>
      </c>
    </row>
    <row r="1411" customFormat="false" ht="15" hidden="false" customHeight="false" outlineLevel="0" collapsed="false">
      <c r="A1411" s="34" t="s">
        <v>5799</v>
      </c>
      <c r="B1411" s="34" t="str">
        <f aca="false">'Uso e Consumo'!A1411</f>
        <v>0335</v>
      </c>
      <c r="C1411" s="34" t="str">
        <f aca="false">'Uso e Consumo'!B1411</f>
        <v>UFV NORONHA VERDE - USO E CONSUMO</v>
      </c>
      <c r="D1411" s="33" t="n">
        <f aca="false">'Uso e Consumo'!C1411</f>
        <v>1385082</v>
      </c>
      <c r="E1411" s="34" t="str">
        <f aca="false">'Uso e Consumo'!D1411</f>
        <v>17.01.1217</v>
      </c>
      <c r="F1411" s="34" t="str">
        <f aca="false">'Uso e Consumo'!E1411</f>
        <v>CABO MONOPOLAR 4 MM², CONDUTOR EM COBRE ELETROLÍTICO NU, TÊMPERA MOLE, CLASSE 5, TENSÃO 0,6/1 KV, COR BRANCO</v>
      </c>
      <c r="G1411" s="34" t="str">
        <f aca="false">'Uso e Consumo'!J1411</f>
        <v>M</v>
      </c>
      <c r="H1411" s="49" t="n">
        <f aca="false">'Uso e Consumo'!F1411</f>
        <v>75</v>
      </c>
      <c r="I1411" s="35" t="n">
        <f aca="false">'Uso e Consumo'!G1411</f>
        <v>447</v>
      </c>
      <c r="J1411" s="34" t="str">
        <f aca="false">'Uso e Consumo'!M1411</f>
        <v>3.8.1.017 - Instalações elétricas/telefônicas/lógica</v>
      </c>
      <c r="K1411" s="32" t="str">
        <f aca="false">INDEX('Curva ABC'!$K$8:$K$2847,MATCH(D1411,'Curva ABC'!$B$8:$B$2847,0))</f>
        <v>C</v>
      </c>
    </row>
    <row r="1412" customFormat="false" ht="15" hidden="false" customHeight="false" outlineLevel="0" collapsed="false">
      <c r="A1412" s="34" t="s">
        <v>5799</v>
      </c>
      <c r="B1412" s="34" t="str">
        <f aca="false">'Uso e Consumo'!A1412</f>
        <v>0335</v>
      </c>
      <c r="C1412" s="34" t="str">
        <f aca="false">'Uso e Consumo'!B1412</f>
        <v>UFV NORONHA VERDE - USO E CONSUMO</v>
      </c>
      <c r="D1412" s="33" t="n">
        <f aca="false">'Uso e Consumo'!C1412</f>
        <v>18451</v>
      </c>
      <c r="E1412" s="34" t="str">
        <f aca="false">'Uso e Consumo'!D1412</f>
        <v>25.04.0001</v>
      </c>
      <c r="F1412" s="34" t="str">
        <f aca="false">'Uso e Consumo'!E1412</f>
        <v>LÂMINA SERRA MANUAL AÇO BI METAL 300,00MM X 13,00MM X 0,60MM 18 DENTES</v>
      </c>
      <c r="G1412" s="34" t="str">
        <f aca="false">'Uso e Consumo'!J1412</f>
        <v>UN</v>
      </c>
      <c r="H1412" s="49" t="n">
        <f aca="false">'Uso e Consumo'!F1412</f>
        <v>30</v>
      </c>
      <c r="I1412" s="35" t="n">
        <f aca="false">'Uso e Consumo'!G1412</f>
        <v>445.68</v>
      </c>
      <c r="J1412" s="34" t="str">
        <f aca="false">'Uso e Consumo'!M1412</f>
        <v>3.8.2.004 - Consumíveis para corte, perfuração e desbaste</v>
      </c>
      <c r="K1412" s="32" t="str">
        <f aca="false">INDEX('Curva ABC'!$K$8:$K$2847,MATCH(D1412,'Curva ABC'!$B$8:$B$2847,0))</f>
        <v>C</v>
      </c>
    </row>
    <row r="1413" customFormat="false" ht="15" hidden="false" customHeight="false" outlineLevel="0" collapsed="false">
      <c r="A1413" s="34" t="s">
        <v>5799</v>
      </c>
      <c r="B1413" s="34" t="str">
        <f aca="false">'Uso e Consumo'!A1413</f>
        <v>0335</v>
      </c>
      <c r="C1413" s="34" t="str">
        <f aca="false">'Uso e Consumo'!B1413</f>
        <v>UFV NORONHA VERDE - USO E CONSUMO</v>
      </c>
      <c r="D1413" s="33" t="n">
        <f aca="false">'Uso e Consumo'!C1413</f>
        <v>1382718</v>
      </c>
      <c r="E1413" s="34" t="str">
        <f aca="false">'Uso e Consumo'!D1413</f>
        <v>23.15.0039</v>
      </c>
      <c r="F1413" s="34" t="str">
        <f aca="false">'Uso e Consumo'!E1413</f>
        <v>SUPORTE PARA FITA DE AÇO 1/2" COM PARAFUSO 1/2"</v>
      </c>
      <c r="G1413" s="34" t="str">
        <f aca="false">'Uso e Consumo'!J1413</f>
        <v>UN</v>
      </c>
      <c r="H1413" s="49" t="n">
        <f aca="false">'Uso e Consumo'!F1413</f>
        <v>42</v>
      </c>
      <c r="I1413" s="35" t="n">
        <f aca="false">'Uso e Consumo'!G1413</f>
        <v>444.72</v>
      </c>
      <c r="J1413" s="34" t="str">
        <f aca="false">'Uso e Consumo'!M1413</f>
        <v>3.8.1.022 - Elementos de fixação</v>
      </c>
      <c r="K1413" s="32" t="str">
        <f aca="false">INDEX('Curva ABC'!$K$8:$K$2847,MATCH(D1413,'Curva ABC'!$B$8:$B$2847,0))</f>
        <v>C</v>
      </c>
    </row>
    <row r="1414" customFormat="false" ht="15" hidden="false" customHeight="false" outlineLevel="0" collapsed="false">
      <c r="A1414" s="34" t="s">
        <v>5799</v>
      </c>
      <c r="B1414" s="34" t="str">
        <f aca="false">'Uso e Consumo'!A1414</f>
        <v>0335</v>
      </c>
      <c r="C1414" s="34" t="str">
        <f aca="false">'Uso e Consumo'!B1414</f>
        <v>UFV NORONHA VERDE - USO E CONSUMO</v>
      </c>
      <c r="D1414" s="33" t="n">
        <f aca="false">'Uso e Consumo'!C1414</f>
        <v>21481</v>
      </c>
      <c r="E1414" s="34" t="str">
        <f aca="false">'Uso e Consumo'!D1414</f>
        <v>33.02.0038</v>
      </c>
      <c r="F1414" s="34" t="str">
        <f aca="false">'Uso e Consumo'!E1414</f>
        <v>PARAFUSO 4F-7827</v>
      </c>
      <c r="G1414" s="34" t="str">
        <f aca="false">'Uso e Consumo'!J1414</f>
        <v>UN</v>
      </c>
      <c r="H1414" s="49" t="n">
        <f aca="false">'Uso e Consumo'!F1414</f>
        <v>3</v>
      </c>
      <c r="I1414" s="35" t="n">
        <f aca="false">'Uso e Consumo'!G1414</f>
        <v>444</v>
      </c>
      <c r="J1414" s="34" t="str">
        <f aca="false">'Uso e Consumo'!M1414</f>
        <v>3.1.6.002 - Pneus e peças</v>
      </c>
      <c r="K1414" s="32" t="str">
        <f aca="false">INDEX('Curva ABC'!$K$8:$K$2847,MATCH(D1414,'Curva ABC'!$B$8:$B$2847,0))</f>
        <v>C</v>
      </c>
    </row>
    <row r="1415" customFormat="false" ht="15" hidden="false" customHeight="false" outlineLevel="0" collapsed="false">
      <c r="A1415" s="34" t="s">
        <v>5799</v>
      </c>
      <c r="B1415" s="34" t="str">
        <f aca="false">'Uso e Consumo'!A1415</f>
        <v>0335</v>
      </c>
      <c r="C1415" s="34" t="str">
        <f aca="false">'Uso e Consumo'!B1415</f>
        <v>UFV NORONHA VERDE - USO E CONSUMO</v>
      </c>
      <c r="D1415" s="33" t="n">
        <f aca="false">'Uso e Consumo'!C1415</f>
        <v>53853</v>
      </c>
      <c r="E1415" s="34" t="str">
        <f aca="false">'Uso e Consumo'!D1415</f>
        <v>07.03.0005</v>
      </c>
      <c r="F1415" s="34" t="str">
        <f aca="false">'Uso e Consumo'!E1415</f>
        <v>ARGAMASSA HÍBRIDA ALTO DESEMPENHO P/ANCORAGEM PESADA E CONEXÕES DE VERGALHÕES 500G</v>
      </c>
      <c r="G1415" s="34" t="str">
        <f aca="false">'Uso e Consumo'!J1415</f>
        <v>UN</v>
      </c>
      <c r="H1415" s="49" t="n">
        <f aca="false">'Uso e Consumo'!F1415</f>
        <v>3</v>
      </c>
      <c r="I1415" s="35" t="n">
        <f aca="false">'Uso e Consumo'!G1415</f>
        <v>444</v>
      </c>
      <c r="J1415" s="34" t="str">
        <f aca="false">'Uso e Consumo'!M1415</f>
        <v>3.8.1.007 - Argamassas</v>
      </c>
      <c r="K1415" s="32" t="str">
        <f aca="false">INDEX('Curva ABC'!$K$8:$K$2847,MATCH(D1415,'Curva ABC'!$B$8:$B$2847,0))</f>
        <v>C</v>
      </c>
    </row>
    <row r="1416" customFormat="false" ht="15" hidden="false" customHeight="false" outlineLevel="0" collapsed="false">
      <c r="A1416" s="34" t="s">
        <v>5799</v>
      </c>
      <c r="B1416" s="34" t="str">
        <f aca="false">'Uso e Consumo'!A1416</f>
        <v>0335</v>
      </c>
      <c r="C1416" s="34" t="str">
        <f aca="false">'Uso e Consumo'!B1416</f>
        <v>UFV NORONHA VERDE - USO E CONSUMO</v>
      </c>
      <c r="D1416" s="33" t="n">
        <f aca="false">'Uso e Consumo'!C1416</f>
        <v>939450</v>
      </c>
      <c r="E1416" s="34" t="str">
        <f aca="false">'Uso e Consumo'!D1416</f>
        <v>26.13.0165</v>
      </c>
      <c r="F1416" s="34" t="str">
        <f aca="false">'Uso e Consumo'!E1416</f>
        <v>CAMISA SOCIAL MANGA LONGA - G4</v>
      </c>
      <c r="G1416" s="34" t="str">
        <f aca="false">'Uso e Consumo'!J1416</f>
        <v>UN</v>
      </c>
      <c r="H1416" s="49" t="n">
        <f aca="false">'Uso e Consumo'!F1416</f>
        <v>2</v>
      </c>
      <c r="I1416" s="35" t="n">
        <f aca="false">'Uso e Consumo'!G1416</f>
        <v>444</v>
      </c>
      <c r="J1416" s="34" t="str">
        <f aca="false">'Uso e Consumo'!M1416</f>
        <v>4.3.4.003 - Fardamentos</v>
      </c>
      <c r="K1416" s="32" t="str">
        <f aca="false">INDEX('Curva ABC'!$K$8:$K$2847,MATCH(D1416,'Curva ABC'!$B$8:$B$2847,0))</f>
        <v>C</v>
      </c>
    </row>
    <row r="1417" customFormat="false" ht="15" hidden="false" customHeight="false" outlineLevel="0" collapsed="false">
      <c r="A1417" s="34" t="s">
        <v>5799</v>
      </c>
      <c r="B1417" s="34" t="str">
        <f aca="false">'Uso e Consumo'!A1417</f>
        <v>0335</v>
      </c>
      <c r="C1417" s="34" t="str">
        <f aca="false">'Uso e Consumo'!B1417</f>
        <v>UFV NORONHA VERDE - USO E CONSUMO</v>
      </c>
      <c r="D1417" s="33" t="n">
        <f aca="false">'Uso e Consumo'!C1417</f>
        <v>889036</v>
      </c>
      <c r="E1417" s="34" t="str">
        <f aca="false">'Uso e Consumo'!D1417</f>
        <v>17.16.0509</v>
      </c>
      <c r="F1417" s="34" t="str">
        <f aca="false">'Uso e Consumo'!E1417</f>
        <v>CONECTOR SPLITBOLT 50 MM² COM RABICHO PFR-50</v>
      </c>
      <c r="G1417" s="34" t="str">
        <f aca="false">'Uso e Consumo'!J1417</f>
        <v>UN</v>
      </c>
      <c r="H1417" s="49" t="n">
        <f aca="false">'Uso e Consumo'!F1417</f>
        <v>21</v>
      </c>
      <c r="I1417" s="35" t="n">
        <f aca="false">'Uso e Consumo'!G1417</f>
        <v>441</v>
      </c>
      <c r="J1417" s="34" t="str">
        <f aca="false">'Uso e Consumo'!M1417</f>
        <v>3.8.1.017 - Instalações elétricas/telefônicas/lógica</v>
      </c>
      <c r="K1417" s="32" t="str">
        <f aca="false">INDEX('Curva ABC'!$K$8:$K$2847,MATCH(D1417,'Curva ABC'!$B$8:$B$2847,0))</f>
        <v>C</v>
      </c>
    </row>
    <row r="1418" customFormat="false" ht="15" hidden="false" customHeight="false" outlineLevel="0" collapsed="false">
      <c r="A1418" s="34" t="s">
        <v>5799</v>
      </c>
      <c r="B1418" s="34" t="str">
        <f aca="false">'Uso e Consumo'!A1418</f>
        <v>0335</v>
      </c>
      <c r="C1418" s="34" t="str">
        <f aca="false">'Uso e Consumo'!B1418</f>
        <v>UFV NORONHA VERDE - USO E CONSUMO</v>
      </c>
      <c r="D1418" s="33" t="n">
        <f aca="false">'Uso e Consumo'!C1418</f>
        <v>35098</v>
      </c>
      <c r="E1418" s="34" t="str">
        <f aca="false">'Uso e Consumo'!D1418</f>
        <v>30.01.0494</v>
      </c>
      <c r="F1418" s="34" t="str">
        <f aca="false">'Uso e Consumo'!E1418</f>
        <v>PORTA CRACHÁ DE SILICONE VERTICAL</v>
      </c>
      <c r="G1418" s="34" t="str">
        <f aca="false">'Uso e Consumo'!J1418</f>
        <v>UN</v>
      </c>
      <c r="H1418" s="49" t="n">
        <f aca="false">'Uso e Consumo'!F1418</f>
        <v>50</v>
      </c>
      <c r="I1418" s="35" t="n">
        <f aca="false">'Uso e Consumo'!G1418</f>
        <v>440</v>
      </c>
      <c r="J1418" s="34" t="str">
        <f aca="false">'Uso e Consumo'!M1418</f>
        <v>4.1.1.001 - Material de uso e consumo</v>
      </c>
      <c r="K1418" s="32" t="str">
        <f aca="false">INDEX('Curva ABC'!$K$8:$K$2847,MATCH(D1418,'Curva ABC'!$B$8:$B$2847,0))</f>
        <v>C</v>
      </c>
    </row>
    <row r="1419" customFormat="false" ht="15" hidden="false" customHeight="false" outlineLevel="0" collapsed="false">
      <c r="A1419" s="34" t="s">
        <v>5799</v>
      </c>
      <c r="B1419" s="34" t="str">
        <f aca="false">'Uso e Consumo'!A1419</f>
        <v>0335</v>
      </c>
      <c r="C1419" s="34" t="str">
        <f aca="false">'Uso e Consumo'!B1419</f>
        <v>UFV NORONHA VERDE - USO E CONSUMO</v>
      </c>
      <c r="D1419" s="33" t="n">
        <f aca="false">'Uso e Consumo'!C1419</f>
        <v>66333</v>
      </c>
      <c r="E1419" s="34" t="str">
        <f aca="false">'Uso e Consumo'!D1419</f>
        <v>25.05.0107</v>
      </c>
      <c r="F1419" s="34" t="str">
        <f aca="false">'Uso e Consumo'!E1419</f>
        <v>SERRA COPO BIMETAL 76mm = 3"</v>
      </c>
      <c r="G1419" s="34" t="str">
        <f aca="false">'Uso e Consumo'!J1419</f>
        <v>UN</v>
      </c>
      <c r="H1419" s="49" t="n">
        <f aca="false">'Uso e Consumo'!F1419</f>
        <v>5</v>
      </c>
      <c r="I1419" s="35" t="n">
        <f aca="false">'Uso e Consumo'!G1419</f>
        <v>440</v>
      </c>
      <c r="J1419" s="34" t="str">
        <f aca="false">'Uso e Consumo'!M1419</f>
        <v>3.8.2.004 - Consumíveis para corte, perfuração e desbaste</v>
      </c>
      <c r="K1419" s="32" t="str">
        <f aca="false">INDEX('Curva ABC'!$K$8:$K$2847,MATCH(D1419,'Curva ABC'!$B$8:$B$2847,0))</f>
        <v>C</v>
      </c>
    </row>
    <row r="1420" customFormat="false" ht="15" hidden="false" customHeight="false" outlineLevel="0" collapsed="false">
      <c r="A1420" s="34" t="s">
        <v>5799</v>
      </c>
      <c r="B1420" s="34" t="str">
        <f aca="false">'Uso e Consumo'!A1420</f>
        <v>0335</v>
      </c>
      <c r="C1420" s="34" t="str">
        <f aca="false">'Uso e Consumo'!B1420</f>
        <v>UFV NORONHA VERDE - USO E CONSUMO</v>
      </c>
      <c r="D1420" s="33" t="n">
        <f aca="false">'Uso e Consumo'!C1420</f>
        <v>426794</v>
      </c>
      <c r="E1420" s="34" t="str">
        <f aca="false">'Uso e Consumo'!D1420</f>
        <v>17.02.0493</v>
      </c>
      <c r="F1420" s="34" t="str">
        <f aca="false">'Uso e Consumo'!E1420</f>
        <v>CONECTOR PARAFUSO FENDIDO (SPLIT BOLT) PARA CABO DE COBRE NU 70MM²</v>
      </c>
      <c r="G1420" s="34" t="str">
        <f aca="false">'Uso e Consumo'!J1420</f>
        <v>UN</v>
      </c>
      <c r="H1420" s="49" t="n">
        <f aca="false">'Uso e Consumo'!F1420</f>
        <v>20</v>
      </c>
      <c r="I1420" s="35" t="n">
        <f aca="false">'Uso e Consumo'!G1420</f>
        <v>440</v>
      </c>
      <c r="J1420" s="34" t="str">
        <f aca="false">'Uso e Consumo'!M1420</f>
        <v>3.8.1.017 - Instalações elétricas/telefônicas/lógica</v>
      </c>
      <c r="K1420" s="32" t="str">
        <f aca="false">INDEX('Curva ABC'!$K$8:$K$2847,MATCH(D1420,'Curva ABC'!$B$8:$B$2847,0))</f>
        <v>C</v>
      </c>
    </row>
    <row r="1421" customFormat="false" ht="15" hidden="false" customHeight="false" outlineLevel="0" collapsed="false">
      <c r="A1421" s="34" t="s">
        <v>5799</v>
      </c>
      <c r="B1421" s="34" t="str">
        <f aca="false">'Uso e Consumo'!A1421</f>
        <v>0335</v>
      </c>
      <c r="C1421" s="34" t="str">
        <f aca="false">'Uso e Consumo'!B1421</f>
        <v>UFV NORONHA VERDE - USO E CONSUMO</v>
      </c>
      <c r="D1421" s="33" t="n">
        <f aca="false">'Uso e Consumo'!C1421</f>
        <v>858712</v>
      </c>
      <c r="E1421" s="34" t="str">
        <f aca="false">'Uso e Consumo'!D1421</f>
        <v>23.07.1388</v>
      </c>
      <c r="F1421" s="34" t="str">
        <f aca="false">'Uso e Consumo'!E1421</f>
        <v>PARAFUSO SEXTAVADO AUTOBROCANTE 1"</v>
      </c>
      <c r="G1421" s="34" t="str">
        <f aca="false">'Uso e Consumo'!J1421</f>
        <v>UN</v>
      </c>
      <c r="H1421" s="49" t="n">
        <f aca="false">'Uso e Consumo'!F1421</f>
        <v>2000</v>
      </c>
      <c r="I1421" s="35" t="n">
        <f aca="false">'Uso e Consumo'!G1421</f>
        <v>440</v>
      </c>
      <c r="J1421" s="34" t="str">
        <f aca="false">'Uso e Consumo'!M1421</f>
        <v>3.8.1.022 - Elementos de fixação</v>
      </c>
      <c r="K1421" s="32" t="str">
        <f aca="false">INDEX('Curva ABC'!$K$8:$K$2847,MATCH(D1421,'Curva ABC'!$B$8:$B$2847,0))</f>
        <v>C</v>
      </c>
    </row>
    <row r="1422" customFormat="false" ht="15" hidden="false" customHeight="false" outlineLevel="0" collapsed="false">
      <c r="A1422" s="34" t="s">
        <v>5799</v>
      </c>
      <c r="B1422" s="34" t="str">
        <f aca="false">'Uso e Consumo'!A1422</f>
        <v>0335</v>
      </c>
      <c r="C1422" s="34" t="str">
        <f aca="false">'Uso e Consumo'!B1422</f>
        <v>UFV NORONHA VERDE - USO E CONSUMO</v>
      </c>
      <c r="D1422" s="33" t="n">
        <f aca="false">'Uso e Consumo'!C1422</f>
        <v>1105400</v>
      </c>
      <c r="E1422" s="34" t="str">
        <f aca="false">'Uso e Consumo'!D1422</f>
        <v>27.01.0501</v>
      </c>
      <c r="F1422" s="34" t="str">
        <f aca="false">'Uso e Consumo'!E1422</f>
        <v>SOLUÇÃO DE GLICOSE 50% 10ML</v>
      </c>
      <c r="G1422" s="34" t="str">
        <f aca="false">'Uso e Consumo'!J1422</f>
        <v>UN</v>
      </c>
      <c r="H1422" s="49" t="n">
        <f aca="false">'Uso e Consumo'!F1422</f>
        <v>2</v>
      </c>
      <c r="I1422" s="35" t="n">
        <f aca="false">'Uso e Consumo'!G1422</f>
        <v>440</v>
      </c>
      <c r="J1422" s="34" t="str">
        <f aca="false">'Uso e Consumo'!M1422</f>
        <v>4.3.4.006 - Medicamentos e primeiro socorros</v>
      </c>
      <c r="K1422" s="32" t="str">
        <f aca="false">INDEX('Curva ABC'!$K$8:$K$2847,MATCH(D1422,'Curva ABC'!$B$8:$B$2847,0))</f>
        <v>C</v>
      </c>
    </row>
    <row r="1423" customFormat="false" ht="15" hidden="false" customHeight="false" outlineLevel="0" collapsed="false">
      <c r="A1423" s="34" t="s">
        <v>5799</v>
      </c>
      <c r="B1423" s="34" t="str">
        <f aca="false">'Uso e Consumo'!A1423</f>
        <v>0335</v>
      </c>
      <c r="C1423" s="34" t="str">
        <f aca="false">'Uso e Consumo'!B1423</f>
        <v>UFV NORONHA VERDE - USO E CONSUMO</v>
      </c>
      <c r="D1423" s="33" t="n">
        <f aca="false">'Uso e Consumo'!C1423</f>
        <v>1685480</v>
      </c>
      <c r="E1423" s="34" t="str">
        <f aca="false">'Uso e Consumo'!D1423</f>
        <v>19.08.0101</v>
      </c>
      <c r="F1423" s="34" t="str">
        <f aca="false">'Uso e Consumo'!E1423</f>
        <v>TORNEIRA INOX DE BANCADA BAIXA PARA BWC</v>
      </c>
      <c r="G1423" s="34" t="str">
        <f aca="false">'Uso e Consumo'!J1423</f>
        <v>UN</v>
      </c>
      <c r="H1423" s="49" t="n">
        <f aca="false">'Uso e Consumo'!F1423</f>
        <v>2</v>
      </c>
      <c r="I1423" s="35" t="n">
        <f aca="false">'Uso e Consumo'!G1423</f>
        <v>439.8</v>
      </c>
      <c r="J1423" s="34" t="str">
        <f aca="false">'Uso e Consumo'!M1423</f>
        <v>3.8.1.018 - Instalações hidráulicas/sanitárias/industriais</v>
      </c>
      <c r="K1423" s="32" t="str">
        <f aca="false">INDEX('Curva ABC'!$K$8:$K$2847,MATCH(D1423,'Curva ABC'!$B$8:$B$2847,0))</f>
        <v>C</v>
      </c>
    </row>
    <row r="1424" customFormat="false" ht="15" hidden="false" customHeight="false" outlineLevel="0" collapsed="false">
      <c r="A1424" s="34" t="s">
        <v>5799</v>
      </c>
      <c r="B1424" s="34" t="str">
        <f aca="false">'Uso e Consumo'!A1424</f>
        <v>0335</v>
      </c>
      <c r="C1424" s="34" t="str">
        <f aca="false">'Uso e Consumo'!B1424</f>
        <v>UFV NORONHA VERDE - USO E CONSUMO</v>
      </c>
      <c r="D1424" s="33" t="n">
        <f aca="false">'Uso e Consumo'!C1424</f>
        <v>222861</v>
      </c>
      <c r="E1424" s="34" t="str">
        <f aca="false">'Uso e Consumo'!D1424</f>
        <v>17.11.0844</v>
      </c>
      <c r="F1424" s="34" t="str">
        <f aca="false">'Uso e Consumo'!E1424</f>
        <v>LUMINARIA EMERGENCIA 60LEDS BR SLIM NBR IEC 60598-1</v>
      </c>
      <c r="G1424" s="34" t="str">
        <f aca="false">'Uso e Consumo'!J1424</f>
        <v>UN</v>
      </c>
      <c r="H1424" s="49" t="n">
        <f aca="false">'Uso e Consumo'!F1424</f>
        <v>10</v>
      </c>
      <c r="I1424" s="35" t="n">
        <f aca="false">'Uso e Consumo'!G1424</f>
        <v>439.44</v>
      </c>
      <c r="J1424" s="34" t="str">
        <f aca="false">'Uso e Consumo'!M1424</f>
        <v>3.8.1.017 - Instalações elétricas/telefônicas/lógica</v>
      </c>
      <c r="K1424" s="32" t="str">
        <f aca="false">INDEX('Curva ABC'!$K$8:$K$2847,MATCH(D1424,'Curva ABC'!$B$8:$B$2847,0))</f>
        <v>C</v>
      </c>
    </row>
    <row r="1425" customFormat="false" ht="15" hidden="false" customHeight="false" outlineLevel="0" collapsed="false">
      <c r="A1425" s="34" t="s">
        <v>5799</v>
      </c>
      <c r="B1425" s="34" t="str">
        <f aca="false">'Uso e Consumo'!A1425</f>
        <v>0335</v>
      </c>
      <c r="C1425" s="34" t="str">
        <f aca="false">'Uso e Consumo'!B1425</f>
        <v>UFV NORONHA VERDE - USO E CONSUMO</v>
      </c>
      <c r="D1425" s="33" t="n">
        <f aca="false">'Uso e Consumo'!C1425</f>
        <v>19359</v>
      </c>
      <c r="E1425" s="34" t="str">
        <f aca="false">'Uso e Consumo'!D1425</f>
        <v>30.01.0079</v>
      </c>
      <c r="F1425" s="34" t="str">
        <f aca="false">'Uso e Consumo'!E1425</f>
        <v>CANETA MARCADOR PERMANENTE AZUL</v>
      </c>
      <c r="G1425" s="34" t="str">
        <f aca="false">'Uso e Consumo'!J1425</f>
        <v>UN</v>
      </c>
      <c r="H1425" s="49" t="n">
        <f aca="false">'Uso e Consumo'!F1425</f>
        <v>50</v>
      </c>
      <c r="I1425" s="35" t="n">
        <f aca="false">'Uso e Consumo'!G1425</f>
        <v>438.6151</v>
      </c>
      <c r="J1425" s="34" t="str">
        <f aca="false">'Uso e Consumo'!M1425</f>
        <v>4.1.1.002 - Material expediente</v>
      </c>
      <c r="K1425" s="32" t="str">
        <f aca="false">INDEX('Curva ABC'!$K$8:$K$2847,MATCH(D1425,'Curva ABC'!$B$8:$B$2847,0))</f>
        <v>C</v>
      </c>
    </row>
    <row r="1426" customFormat="false" ht="15" hidden="false" customHeight="false" outlineLevel="0" collapsed="false">
      <c r="A1426" s="34" t="s">
        <v>5799</v>
      </c>
      <c r="B1426" s="34" t="str">
        <f aca="false">'Uso e Consumo'!A1426</f>
        <v>0335</v>
      </c>
      <c r="C1426" s="34" t="str">
        <f aca="false">'Uso e Consumo'!B1426</f>
        <v>UFV NORONHA VERDE - USO E CONSUMO</v>
      </c>
      <c r="D1426" s="33" t="n">
        <f aca="false">'Uso e Consumo'!C1426</f>
        <v>231002</v>
      </c>
      <c r="E1426" s="34" t="str">
        <f aca="false">'Uso e Consumo'!D1426</f>
        <v>26.11.0004</v>
      </c>
      <c r="F1426" s="34" t="str">
        <f aca="false">'Uso e Consumo'!E1426</f>
        <v>MANGOTE DE RASPA DE COURO</v>
      </c>
      <c r="G1426" s="34" t="str">
        <f aca="false">'Uso e Consumo'!J1426</f>
        <v>UN</v>
      </c>
      <c r="H1426" s="49" t="n">
        <f aca="false">'Uso e Consumo'!F1426</f>
        <v>20</v>
      </c>
      <c r="I1426" s="35" t="n">
        <f aca="false">'Uso e Consumo'!G1426</f>
        <v>438.35</v>
      </c>
      <c r="J1426" s="34" t="str">
        <f aca="false">'Uso e Consumo'!M1426</f>
        <v>4.3.4.001 - Equipamento de proteção individual</v>
      </c>
      <c r="K1426" s="32" t="str">
        <f aca="false">INDEX('Curva ABC'!$K$8:$K$2847,MATCH(D1426,'Curva ABC'!$B$8:$B$2847,0))</f>
        <v>C</v>
      </c>
    </row>
    <row r="1427" customFormat="false" ht="15" hidden="false" customHeight="false" outlineLevel="0" collapsed="false">
      <c r="A1427" s="34" t="s">
        <v>5799</v>
      </c>
      <c r="B1427" s="34" t="str">
        <f aca="false">'Uso e Consumo'!A1427</f>
        <v>0335</v>
      </c>
      <c r="C1427" s="34" t="str">
        <f aca="false">'Uso e Consumo'!B1427</f>
        <v>UFV NORONHA VERDE - USO E CONSUMO</v>
      </c>
      <c r="D1427" s="33" t="n">
        <f aca="false">'Uso e Consumo'!C1427</f>
        <v>32113</v>
      </c>
      <c r="E1427" s="34" t="str">
        <f aca="false">'Uso e Consumo'!D1427</f>
        <v>01.05.0016</v>
      </c>
      <c r="F1427" s="34" t="str">
        <f aca="false">'Uso e Consumo'!E1427</f>
        <v>TELA SOLDADA AÇO CA-60 NERVURADO Q 283 10,00CM X 10,00CM FIO 6,0MM PAINEL 2,45 X 6,00M (4,48KG/M2) NBR 7481</v>
      </c>
      <c r="G1427" s="34" t="str">
        <f aca="false">'Uso e Consumo'!J1427</f>
        <v>P14,7</v>
      </c>
      <c r="H1427" s="49" t="n">
        <f aca="false">'Uso e Consumo'!F1427</f>
        <v>1</v>
      </c>
      <c r="I1427" s="35" t="n">
        <f aca="false">'Uso e Consumo'!G1427</f>
        <v>436.87</v>
      </c>
      <c r="J1427" s="34" t="str">
        <f aca="false">'Uso e Consumo'!M1427</f>
        <v>3.8.1.001 - Aços e trefilados</v>
      </c>
      <c r="K1427" s="32" t="str">
        <f aca="false">INDEX('Curva ABC'!$K$8:$K$2847,MATCH(D1427,'Curva ABC'!$B$8:$B$2847,0))</f>
        <v>C</v>
      </c>
    </row>
    <row r="1428" customFormat="false" ht="15" hidden="false" customHeight="false" outlineLevel="0" collapsed="false">
      <c r="A1428" s="34" t="s">
        <v>5799</v>
      </c>
      <c r="B1428" s="34" t="str">
        <f aca="false">'Uso e Consumo'!A1428</f>
        <v>0335</v>
      </c>
      <c r="C1428" s="34" t="str">
        <f aca="false">'Uso e Consumo'!B1428</f>
        <v>UFV NORONHA VERDE - USO E CONSUMO</v>
      </c>
      <c r="D1428" s="33" t="n">
        <f aca="false">'Uso e Consumo'!C1428</f>
        <v>478197</v>
      </c>
      <c r="E1428" s="34" t="str">
        <f aca="false">'Uso e Consumo'!D1428</f>
        <v>17.02.0519</v>
      </c>
      <c r="F1428" s="34" t="str">
        <f aca="false">'Uso e Consumo'!E1428</f>
        <v>MANILHA SAPATILHA EM AÇO GALVANIZADO,CARGA RUPTURA 50KN</v>
      </c>
      <c r="G1428" s="34" t="str">
        <f aca="false">'Uso e Consumo'!J1428</f>
        <v>UN</v>
      </c>
      <c r="H1428" s="49" t="n">
        <f aca="false">'Uso e Consumo'!F1428</f>
        <v>16</v>
      </c>
      <c r="I1428" s="35" t="n">
        <f aca="false">'Uso e Consumo'!G1428</f>
        <v>436.46</v>
      </c>
      <c r="J1428" s="34" t="str">
        <f aca="false">'Uso e Consumo'!M1428</f>
        <v>3.8.1.017 - Instalações elétricas/telefônicas/lógica</v>
      </c>
      <c r="K1428" s="32" t="str">
        <f aca="false">INDEX('Curva ABC'!$K$8:$K$2847,MATCH(D1428,'Curva ABC'!$B$8:$B$2847,0))</f>
        <v>C</v>
      </c>
    </row>
    <row r="1429" customFormat="false" ht="15" hidden="false" customHeight="false" outlineLevel="0" collapsed="false">
      <c r="A1429" s="34" t="s">
        <v>5799</v>
      </c>
      <c r="B1429" s="34" t="str">
        <f aca="false">'Uso e Consumo'!A1429</f>
        <v>0335</v>
      </c>
      <c r="C1429" s="34" t="str">
        <f aca="false">'Uso e Consumo'!B1429</f>
        <v>UFV NORONHA VERDE - USO E CONSUMO</v>
      </c>
      <c r="D1429" s="33" t="n">
        <f aca="false">'Uso e Consumo'!C1429</f>
        <v>227995</v>
      </c>
      <c r="E1429" s="34" t="str">
        <f aca="false">'Uso e Consumo'!D1429</f>
        <v>26.13.0112</v>
      </c>
      <c r="F1429" s="34" t="str">
        <f aca="false">'Uso e Consumo'!E1429</f>
        <v>CAMISA MALHA MOLETON - TAMANHO XXG - MODELO ESPORTE - GOLA CARECA MANGA LONGA COM PUNHO DE RIBANA</v>
      </c>
      <c r="G1429" s="34" t="str">
        <f aca="false">'Uso e Consumo'!J1429</f>
        <v>UN</v>
      </c>
      <c r="H1429" s="49" t="n">
        <f aca="false">'Uso e Consumo'!F1429</f>
        <v>15</v>
      </c>
      <c r="I1429" s="35" t="n">
        <f aca="false">'Uso e Consumo'!G1429</f>
        <v>435</v>
      </c>
      <c r="J1429" s="34" t="str">
        <f aca="false">'Uso e Consumo'!M1429</f>
        <v>4.3.4.003 - Fardamentos</v>
      </c>
      <c r="K1429" s="32" t="str">
        <f aca="false">INDEX('Curva ABC'!$K$8:$K$2847,MATCH(D1429,'Curva ABC'!$B$8:$B$2847,0))</f>
        <v>C</v>
      </c>
    </row>
    <row r="1430" customFormat="false" ht="15" hidden="false" customHeight="false" outlineLevel="0" collapsed="false">
      <c r="A1430" s="34" t="s">
        <v>5799</v>
      </c>
      <c r="B1430" s="34" t="str">
        <f aca="false">'Uso e Consumo'!A1430</f>
        <v>0335</v>
      </c>
      <c r="C1430" s="34" t="str">
        <f aca="false">'Uso e Consumo'!B1430</f>
        <v>UFV NORONHA VERDE - USO E CONSUMO</v>
      </c>
      <c r="D1430" s="33" t="n">
        <f aca="false">'Uso e Consumo'!C1430</f>
        <v>1312867</v>
      </c>
      <c r="E1430" s="34" t="str">
        <f aca="false">'Uso e Consumo'!D1430</f>
        <v>24.32.0047</v>
      </c>
      <c r="F1430" s="34" t="str">
        <f aca="false">'Uso e Consumo'!E1430</f>
        <v>COLETE PARA FERRAMENTA 510X600MM</v>
      </c>
      <c r="G1430" s="34" t="str">
        <f aca="false">'Uso e Consumo'!J1430</f>
        <v>UN</v>
      </c>
      <c r="H1430" s="49" t="n">
        <f aca="false">'Uso e Consumo'!F1430</f>
        <v>3</v>
      </c>
      <c r="I1430" s="35" t="n">
        <f aca="false">'Uso e Consumo'!G1430</f>
        <v>435</v>
      </c>
      <c r="J1430" s="34" t="str">
        <f aca="false">'Uso e Consumo'!M1430</f>
        <v>3.8.2.002 - Ferramentas manuais</v>
      </c>
      <c r="K1430" s="32" t="str">
        <f aca="false">INDEX('Curva ABC'!$K$8:$K$2847,MATCH(D1430,'Curva ABC'!$B$8:$B$2847,0))</f>
        <v>C</v>
      </c>
    </row>
    <row r="1431" customFormat="false" ht="15" hidden="false" customHeight="false" outlineLevel="0" collapsed="false">
      <c r="A1431" s="34" t="s">
        <v>5799</v>
      </c>
      <c r="B1431" s="34" t="str">
        <f aca="false">'Uso e Consumo'!A1431</f>
        <v>0335</v>
      </c>
      <c r="C1431" s="34" t="str">
        <f aca="false">'Uso e Consumo'!B1431</f>
        <v>UFV NORONHA VERDE - USO E CONSUMO</v>
      </c>
      <c r="D1431" s="33" t="n">
        <f aca="false">'Uso e Consumo'!C1431</f>
        <v>138658</v>
      </c>
      <c r="E1431" s="34" t="str">
        <f aca="false">'Uso e Consumo'!D1431</f>
        <v>23.02.0309</v>
      </c>
      <c r="F1431" s="34" t="str">
        <f aca="false">'Uso e Consumo'!E1431</f>
        <v>ABRAÇADEIRA TIPO U ½ </v>
      </c>
      <c r="G1431" s="34" t="str">
        <f aca="false">'Uso e Consumo'!J1431</f>
        <v>UN</v>
      </c>
      <c r="H1431" s="49" t="n">
        <f aca="false">'Uso e Consumo'!F1431</f>
        <v>675</v>
      </c>
      <c r="I1431" s="35" t="n">
        <f aca="false">'Uso e Consumo'!G1431</f>
        <v>433.8</v>
      </c>
      <c r="J1431" s="34" t="str">
        <f aca="false">'Uso e Consumo'!M1431</f>
        <v>3.8.1.022 - Elementos de fixação</v>
      </c>
      <c r="K1431" s="32" t="str">
        <f aca="false">INDEX('Curva ABC'!$K$8:$K$2847,MATCH(D1431,'Curva ABC'!$B$8:$B$2847,0))</f>
        <v>C</v>
      </c>
    </row>
    <row r="1432" customFormat="false" ht="15" hidden="false" customHeight="false" outlineLevel="0" collapsed="false">
      <c r="A1432" s="34" t="s">
        <v>5799</v>
      </c>
      <c r="B1432" s="34" t="str">
        <f aca="false">'Uso e Consumo'!A1432</f>
        <v>0335</v>
      </c>
      <c r="C1432" s="34" t="str">
        <f aca="false">'Uso e Consumo'!B1432</f>
        <v>UFV NORONHA VERDE - USO E CONSUMO</v>
      </c>
      <c r="D1432" s="33" t="n">
        <f aca="false">'Uso e Consumo'!C1432</f>
        <v>12543</v>
      </c>
      <c r="E1432" s="34" t="str">
        <f aca="false">'Uso e Consumo'!D1432</f>
        <v>17.02.0043</v>
      </c>
      <c r="F1432" s="34" t="str">
        <f aca="false">'Uso e Consumo'!E1432</f>
        <v>TUBO ELETRODUTO POLIETILENO FLEXIVEL 50,00MM PRETO NBR 15465</v>
      </c>
      <c r="G1432" s="34" t="str">
        <f aca="false">'Uso e Consumo'!J1432</f>
        <v>M</v>
      </c>
      <c r="H1432" s="49" t="n">
        <f aca="false">'Uso e Consumo'!F1432</f>
        <v>100</v>
      </c>
      <c r="I1432" s="35" t="n">
        <f aca="false">'Uso e Consumo'!G1432</f>
        <v>433</v>
      </c>
      <c r="J1432" s="34" t="str">
        <f aca="false">'Uso e Consumo'!M1432</f>
        <v>3.8.1.017 - Instalações elétricas/telefônicas/lógica</v>
      </c>
      <c r="K1432" s="32" t="str">
        <f aca="false">INDEX('Curva ABC'!$K$8:$K$2847,MATCH(D1432,'Curva ABC'!$B$8:$B$2847,0))</f>
        <v>C</v>
      </c>
    </row>
    <row r="1433" customFormat="false" ht="15" hidden="false" customHeight="false" outlineLevel="0" collapsed="false">
      <c r="A1433" s="34" t="s">
        <v>5799</v>
      </c>
      <c r="B1433" s="34" t="str">
        <f aca="false">'Uso e Consumo'!A1433</f>
        <v>0335</v>
      </c>
      <c r="C1433" s="34" t="str">
        <f aca="false">'Uso e Consumo'!B1433</f>
        <v>UFV NORONHA VERDE - USO E CONSUMO</v>
      </c>
      <c r="D1433" s="33" t="n">
        <f aca="false">'Uso e Consumo'!C1433</f>
        <v>562056</v>
      </c>
      <c r="E1433" s="34" t="str">
        <f aca="false">'Uso e Consumo'!D1433</f>
        <v>31.02.0143</v>
      </c>
      <c r="F1433" s="34" t="str">
        <f aca="false">'Uso e Consumo'!E1433</f>
        <v>DESINGRIPANTE 300 ML</v>
      </c>
      <c r="G1433" s="34" t="str">
        <f aca="false">'Uso e Consumo'!J1433</f>
        <v>UN</v>
      </c>
      <c r="H1433" s="49" t="n">
        <f aca="false">'Uso e Consumo'!F1433</f>
        <v>36</v>
      </c>
      <c r="I1433" s="35" t="n">
        <f aca="false">'Uso e Consumo'!G1433</f>
        <v>432</v>
      </c>
      <c r="J1433" s="34" t="str">
        <f aca="false">'Uso e Consumo'!M1433</f>
        <v>3.1.6.001 - Combustível e lubrificantes</v>
      </c>
      <c r="K1433" s="32" t="str">
        <f aca="false">INDEX('Curva ABC'!$K$8:$K$2847,MATCH(D1433,'Curva ABC'!$B$8:$B$2847,0))</f>
        <v>C</v>
      </c>
    </row>
    <row r="1434" customFormat="false" ht="15" hidden="false" customHeight="false" outlineLevel="0" collapsed="false">
      <c r="A1434" s="34" t="s">
        <v>5799</v>
      </c>
      <c r="B1434" s="34" t="str">
        <f aca="false">'Uso e Consumo'!A1434</f>
        <v>0335</v>
      </c>
      <c r="C1434" s="34" t="str">
        <f aca="false">'Uso e Consumo'!B1434</f>
        <v>UFV NORONHA VERDE - USO E CONSUMO</v>
      </c>
      <c r="D1434" s="33" t="n">
        <f aca="false">'Uso e Consumo'!C1434</f>
        <v>929934</v>
      </c>
      <c r="E1434" s="34" t="str">
        <f aca="false">'Uso e Consumo'!D1434</f>
        <v>28.01.0558</v>
      </c>
      <c r="F1434" s="34" t="str">
        <f aca="false">'Uso e Consumo'!E1434</f>
        <v>PLACAS DE SINALIZAÇÃO DE EQUIPAMENTOS (EXTINTOR DE INCÊNDIO)</v>
      </c>
      <c r="G1434" s="34" t="str">
        <f aca="false">'Uso e Consumo'!J1434</f>
        <v>UN</v>
      </c>
      <c r="H1434" s="49" t="n">
        <f aca="false">'Uso e Consumo'!F1434</f>
        <v>27</v>
      </c>
      <c r="I1434" s="35" t="n">
        <f aca="false">'Uso e Consumo'!G1434</f>
        <v>432</v>
      </c>
      <c r="J1434" s="34" t="str">
        <f aca="false">'Uso e Consumo'!M1434</f>
        <v>3.8.1.023 - Comunicação visual e sinalização</v>
      </c>
      <c r="K1434" s="32" t="str">
        <f aca="false">INDEX('Curva ABC'!$K$8:$K$2847,MATCH(D1434,'Curva ABC'!$B$8:$B$2847,0))</f>
        <v>C</v>
      </c>
    </row>
    <row r="1435" customFormat="false" ht="15" hidden="false" customHeight="false" outlineLevel="0" collapsed="false">
      <c r="A1435" s="34" t="s">
        <v>5799</v>
      </c>
      <c r="B1435" s="34" t="str">
        <f aca="false">'Uso e Consumo'!A1435</f>
        <v>0335</v>
      </c>
      <c r="C1435" s="34" t="str">
        <f aca="false">'Uso e Consumo'!B1435</f>
        <v>UFV NORONHA VERDE - USO E CONSUMO</v>
      </c>
      <c r="D1435" s="33" t="n">
        <f aca="false">'Uso e Consumo'!C1435</f>
        <v>55065</v>
      </c>
      <c r="E1435" s="34" t="str">
        <f aca="false">'Uso e Consumo'!D1435</f>
        <v>17.10.0196</v>
      </c>
      <c r="F1435" s="34" t="str">
        <f aca="false">'Uso e Consumo'!E1435</f>
        <v>DISJUNTOR TRIFÁSICO 50A – 127/220V – 3000A NBR 60898</v>
      </c>
      <c r="G1435" s="34" t="str">
        <f aca="false">'Uso e Consumo'!J1435</f>
        <v>UN</v>
      </c>
      <c r="H1435" s="49" t="n">
        <f aca="false">'Uso e Consumo'!F1435</f>
        <v>5</v>
      </c>
      <c r="I1435" s="35" t="n">
        <f aca="false">'Uso e Consumo'!G1435</f>
        <v>429.32</v>
      </c>
      <c r="J1435" s="34" t="str">
        <f aca="false">'Uso e Consumo'!M1435</f>
        <v>3.8.1.017 - Instalações elétricas/telefônicas/lógica</v>
      </c>
      <c r="K1435" s="32" t="str">
        <f aca="false">INDEX('Curva ABC'!$K$8:$K$2847,MATCH(D1435,'Curva ABC'!$B$8:$B$2847,0))</f>
        <v>C</v>
      </c>
    </row>
    <row r="1436" customFormat="false" ht="15" hidden="false" customHeight="false" outlineLevel="0" collapsed="false">
      <c r="A1436" s="34" t="s">
        <v>5799</v>
      </c>
      <c r="B1436" s="34" t="str">
        <f aca="false">'Uso e Consumo'!A1436</f>
        <v>0335</v>
      </c>
      <c r="C1436" s="34" t="str">
        <f aca="false">'Uso e Consumo'!B1436</f>
        <v>UFV NORONHA VERDE - USO E CONSUMO</v>
      </c>
      <c r="D1436" s="33" t="n">
        <f aca="false">'Uso e Consumo'!C1436</f>
        <v>18843</v>
      </c>
      <c r="E1436" s="34" t="str">
        <f aca="false">'Uso e Consumo'!D1436</f>
        <v>26.03.0003</v>
      </c>
      <c r="F1436" s="34" t="str">
        <f aca="false">'Uso e Consumo'!E1436</f>
        <v>CAPACETE COM ABA FRONTAL (TIPO II) C/ CARNEIRA - COR CINZA (CA-8562/25856/29792)</v>
      </c>
      <c r="G1436" s="34" t="str">
        <f aca="false">'Uso e Consumo'!J1436</f>
        <v>UN</v>
      </c>
      <c r="H1436" s="49" t="n">
        <f aca="false">'Uso e Consumo'!F1436</f>
        <v>44</v>
      </c>
      <c r="I1436" s="35" t="n">
        <f aca="false">'Uso e Consumo'!G1436</f>
        <v>429.31</v>
      </c>
      <c r="J1436" s="34" t="str">
        <f aca="false">'Uso e Consumo'!M1436</f>
        <v>4.3.4.001 - Equipamento de proteção individual</v>
      </c>
      <c r="K1436" s="32" t="str">
        <f aca="false">INDEX('Curva ABC'!$K$8:$K$2847,MATCH(D1436,'Curva ABC'!$B$8:$B$2847,0))</f>
        <v>C</v>
      </c>
    </row>
    <row r="1437" customFormat="false" ht="15" hidden="false" customHeight="false" outlineLevel="0" collapsed="false">
      <c r="A1437" s="34" t="s">
        <v>5799</v>
      </c>
      <c r="B1437" s="34" t="str">
        <f aca="false">'Uso e Consumo'!A1437</f>
        <v>0335</v>
      </c>
      <c r="C1437" s="34" t="str">
        <f aca="false">'Uso e Consumo'!B1437</f>
        <v>UFV NORONHA VERDE - USO E CONSUMO</v>
      </c>
      <c r="D1437" s="33" t="n">
        <f aca="false">'Uso e Consumo'!C1437</f>
        <v>1656588</v>
      </c>
      <c r="E1437" s="34" t="str">
        <f aca="false">'Uso e Consumo'!D1437</f>
        <v>28.01.0753</v>
      </c>
      <c r="F1437" s="34" t="str">
        <f aca="false">'Uso e Consumo'!E1437</f>
        <v>PLACA INDICATIVA ROTA DE SAIDA ESQUERDA EM ACO GALVANIZADO FOTOLUMINESCENTE 358X358MM</v>
      </c>
      <c r="G1437" s="34" t="str">
        <f aca="false">'Uso e Consumo'!J1437</f>
        <v>UN</v>
      </c>
      <c r="H1437" s="49" t="n">
        <f aca="false">'Uso e Consumo'!F1437</f>
        <v>4</v>
      </c>
      <c r="I1437" s="35" t="n">
        <f aca="false">'Uso e Consumo'!G1437</f>
        <v>428.04</v>
      </c>
      <c r="J1437" s="34" t="str">
        <f aca="false">'Uso e Consumo'!M1437</f>
        <v>3.8.1.023 - Comunicação visual e sinalização</v>
      </c>
      <c r="K1437" s="32" t="str">
        <f aca="false">INDEX('Curva ABC'!$K$8:$K$2847,MATCH(D1437,'Curva ABC'!$B$8:$B$2847,0))</f>
        <v>C</v>
      </c>
    </row>
    <row r="1438" customFormat="false" ht="15" hidden="false" customHeight="false" outlineLevel="0" collapsed="false">
      <c r="A1438" s="34" t="s">
        <v>5799</v>
      </c>
      <c r="B1438" s="34" t="str">
        <f aca="false">'Uso e Consumo'!A1438</f>
        <v>0335</v>
      </c>
      <c r="C1438" s="34" t="str">
        <f aca="false">'Uso e Consumo'!B1438</f>
        <v>UFV NORONHA VERDE - USO E CONSUMO</v>
      </c>
      <c r="D1438" s="33" t="n">
        <f aca="false">'Uso e Consumo'!C1438</f>
        <v>18945</v>
      </c>
      <c r="E1438" s="34" t="str">
        <f aca="false">'Uso e Consumo'!D1438</f>
        <v>26.08.0007</v>
      </c>
      <c r="F1438" s="34" t="str">
        <f aca="false">'Uso e Consumo'!E1438</f>
        <v>PROTETOR AUDITIVO TIPO PLUG/PRÉ-MOLDADO DE SILICONE - ATENUAÇÃO 17 Db (CA-5745/16197/11512)</v>
      </c>
      <c r="G1438" s="34" t="str">
        <f aca="false">'Uso e Consumo'!J1438</f>
        <v>UN</v>
      </c>
      <c r="H1438" s="49" t="n">
        <f aca="false">'Uso e Consumo'!F1438</f>
        <v>345</v>
      </c>
      <c r="I1438" s="35" t="n">
        <f aca="false">'Uso e Consumo'!G1438</f>
        <v>427.75</v>
      </c>
      <c r="J1438" s="34" t="str">
        <f aca="false">'Uso e Consumo'!M1438</f>
        <v>4.3.4.001 - Equipamento de proteção individual</v>
      </c>
      <c r="K1438" s="32" t="str">
        <f aca="false">INDEX('Curva ABC'!$K$8:$K$2847,MATCH(D1438,'Curva ABC'!$B$8:$B$2847,0))</f>
        <v>C</v>
      </c>
    </row>
    <row r="1439" customFormat="false" ht="15" hidden="false" customHeight="false" outlineLevel="0" collapsed="false">
      <c r="A1439" s="34" t="s">
        <v>5799</v>
      </c>
      <c r="B1439" s="34" t="str">
        <f aca="false">'Uso e Consumo'!A1439</f>
        <v>0335</v>
      </c>
      <c r="C1439" s="34" t="str">
        <f aca="false">'Uso e Consumo'!B1439</f>
        <v>UFV NORONHA VERDE - USO E CONSUMO</v>
      </c>
      <c r="D1439" s="33" t="n">
        <f aca="false">'Uso e Consumo'!C1439</f>
        <v>21344</v>
      </c>
      <c r="E1439" s="34" t="str">
        <f aca="false">'Uso e Consumo'!D1439</f>
        <v>30.05.0022</v>
      </c>
      <c r="F1439" s="34" t="str">
        <f aca="false">'Uso e Consumo'!E1439</f>
        <v>AÇUCAR 1KG</v>
      </c>
      <c r="G1439" s="34" t="str">
        <f aca="false">'Uso e Consumo'!J1439</f>
        <v>UN</v>
      </c>
      <c r="H1439" s="49" t="n">
        <f aca="false">'Uso e Consumo'!F1439</f>
        <v>80</v>
      </c>
      <c r="I1439" s="35" t="n">
        <f aca="false">'Uso e Consumo'!G1439</f>
        <v>427.0688</v>
      </c>
      <c r="J1439" s="34" t="str">
        <f aca="false">'Uso e Consumo'!M1439</f>
        <v>4.1.1.001 - Material de uso e consumo</v>
      </c>
      <c r="K1439" s="32" t="str">
        <f aca="false">INDEX('Curva ABC'!$K$8:$K$2847,MATCH(D1439,'Curva ABC'!$B$8:$B$2847,0))</f>
        <v>C</v>
      </c>
    </row>
    <row r="1440" customFormat="false" ht="15" hidden="false" customHeight="false" outlineLevel="0" collapsed="false">
      <c r="A1440" s="34" t="s">
        <v>5799</v>
      </c>
      <c r="B1440" s="34" t="str">
        <f aca="false">'Uso e Consumo'!A1440</f>
        <v>0335</v>
      </c>
      <c r="C1440" s="34" t="str">
        <f aca="false">'Uso e Consumo'!B1440</f>
        <v>UFV NORONHA VERDE - USO E CONSUMO</v>
      </c>
      <c r="D1440" s="33" t="n">
        <f aca="false">'Uso e Consumo'!C1440</f>
        <v>59882</v>
      </c>
      <c r="E1440" s="34" t="str">
        <f aca="false">'Uso e Consumo'!D1440</f>
        <v>23.02.0279</v>
      </c>
      <c r="F1440" s="34" t="str">
        <f aca="false">'Uso e Consumo'!E1440</f>
        <v>ABRAÇADEIRA GALVANIZADA TIPO ‘’D’’ 1.1/2’’ C/PARAFUSO</v>
      </c>
      <c r="G1440" s="34" t="str">
        <f aca="false">'Uso e Consumo'!J1440</f>
        <v>UN</v>
      </c>
      <c r="H1440" s="49" t="n">
        <f aca="false">'Uso e Consumo'!F1440</f>
        <v>24</v>
      </c>
      <c r="I1440" s="35" t="n">
        <f aca="false">'Uso e Consumo'!G1440</f>
        <v>426.57</v>
      </c>
      <c r="J1440" s="34" t="str">
        <f aca="false">'Uso e Consumo'!M1440</f>
        <v>3.8.1.022 - Elementos de fixação</v>
      </c>
      <c r="K1440" s="32" t="str">
        <f aca="false">INDEX('Curva ABC'!$K$8:$K$2847,MATCH(D1440,'Curva ABC'!$B$8:$B$2847,0))</f>
        <v>C</v>
      </c>
    </row>
    <row r="1441" customFormat="false" ht="15" hidden="false" customHeight="false" outlineLevel="0" collapsed="false">
      <c r="A1441" s="34" t="s">
        <v>5799</v>
      </c>
      <c r="B1441" s="34" t="str">
        <f aca="false">'Uso e Consumo'!A1441</f>
        <v>0335</v>
      </c>
      <c r="C1441" s="34" t="str">
        <f aca="false">'Uso e Consumo'!B1441</f>
        <v>UFV NORONHA VERDE - USO E CONSUMO</v>
      </c>
      <c r="D1441" s="33" t="n">
        <f aca="false">'Uso e Consumo'!C1441</f>
        <v>548397</v>
      </c>
      <c r="E1441" s="34" t="str">
        <f aca="false">'Uso e Consumo'!D1441</f>
        <v>24.13.0022</v>
      </c>
      <c r="F1441" s="34" t="str">
        <f aca="false">'Uso e Consumo'!E1441</f>
        <v>LIMA REDONDA 7/32 8" 200X5,5MM P/CORRENTE MOTOSSERRA</v>
      </c>
      <c r="G1441" s="34" t="str">
        <f aca="false">'Uso e Consumo'!J1441</f>
        <v>UN</v>
      </c>
      <c r="H1441" s="49" t="n">
        <f aca="false">'Uso e Consumo'!F1441</f>
        <v>30</v>
      </c>
      <c r="I1441" s="35" t="n">
        <f aca="false">'Uso e Consumo'!G1441</f>
        <v>425.66</v>
      </c>
      <c r="J1441" s="34" t="str">
        <f aca="false">'Uso e Consumo'!M1441</f>
        <v>3.8.2.006 - Utensílios</v>
      </c>
      <c r="K1441" s="32" t="str">
        <f aca="false">INDEX('Curva ABC'!$K$8:$K$2847,MATCH(D1441,'Curva ABC'!$B$8:$B$2847,0))</f>
        <v>C</v>
      </c>
    </row>
    <row r="1442" customFormat="false" ht="15" hidden="false" customHeight="false" outlineLevel="0" collapsed="false">
      <c r="A1442" s="34" t="s">
        <v>5799</v>
      </c>
      <c r="B1442" s="34" t="str">
        <f aca="false">'Uso e Consumo'!A1442</f>
        <v>0335</v>
      </c>
      <c r="C1442" s="34" t="str">
        <f aca="false">'Uso e Consumo'!B1442</f>
        <v>UFV NORONHA VERDE - USO E CONSUMO</v>
      </c>
      <c r="D1442" s="33" t="n">
        <f aca="false">'Uso e Consumo'!C1442</f>
        <v>21331</v>
      </c>
      <c r="E1442" s="34" t="str">
        <f aca="false">'Uso e Consumo'!D1442</f>
        <v>30.03.0109</v>
      </c>
      <c r="F1442" s="34" t="str">
        <f aca="false">'Uso e Consumo'!E1442</f>
        <v>PANO DE CHÃO</v>
      </c>
      <c r="G1442" s="34" t="str">
        <f aca="false">'Uso e Consumo'!J1442</f>
        <v>UN</v>
      </c>
      <c r="H1442" s="49" t="n">
        <f aca="false">'Uso e Consumo'!F1442</f>
        <v>90</v>
      </c>
      <c r="I1442" s="35" t="n">
        <f aca="false">'Uso e Consumo'!G1442</f>
        <v>424.6</v>
      </c>
      <c r="J1442" s="34" t="str">
        <f aca="false">'Uso e Consumo'!M1442</f>
        <v>4.1.1.003 - Material limpeza</v>
      </c>
      <c r="K1442" s="32" t="str">
        <f aca="false">INDEX('Curva ABC'!$K$8:$K$2847,MATCH(D1442,'Curva ABC'!$B$8:$B$2847,0))</f>
        <v>C</v>
      </c>
    </row>
    <row r="1443" customFormat="false" ht="15" hidden="false" customHeight="false" outlineLevel="0" collapsed="false">
      <c r="A1443" s="34" t="s">
        <v>5799</v>
      </c>
      <c r="B1443" s="34" t="str">
        <f aca="false">'Uso e Consumo'!A1443</f>
        <v>0335</v>
      </c>
      <c r="C1443" s="34" t="str">
        <f aca="false">'Uso e Consumo'!B1443</f>
        <v>UFV NORONHA VERDE - USO E CONSUMO</v>
      </c>
      <c r="D1443" s="33" t="n">
        <f aca="false">'Uso e Consumo'!C1443</f>
        <v>228912</v>
      </c>
      <c r="E1443" s="34" t="str">
        <f aca="false">'Uso e Consumo'!D1443</f>
        <v>24.41.0107</v>
      </c>
      <c r="F1443" s="34" t="str">
        <f aca="false">'Uso e Consumo'!E1443</f>
        <v>TORNO DE BANCADA NR 08</v>
      </c>
      <c r="G1443" s="34" t="str">
        <f aca="false">'Uso e Consumo'!J1443</f>
        <v>UN</v>
      </c>
      <c r="H1443" s="49" t="n">
        <f aca="false">'Uso e Consumo'!F1443</f>
        <v>1</v>
      </c>
      <c r="I1443" s="35" t="n">
        <f aca="false">'Uso e Consumo'!G1443</f>
        <v>423.32</v>
      </c>
      <c r="J1443" s="34" t="str">
        <f aca="false">'Uso e Consumo'!M1443</f>
        <v>3.8.2.002 - Ferramentas manuais</v>
      </c>
      <c r="K1443" s="32" t="str">
        <f aca="false">INDEX('Curva ABC'!$K$8:$K$2847,MATCH(D1443,'Curva ABC'!$B$8:$B$2847,0))</f>
        <v>C</v>
      </c>
    </row>
    <row r="1444" customFormat="false" ht="15" hidden="false" customHeight="false" outlineLevel="0" collapsed="false">
      <c r="A1444" s="34" t="s">
        <v>5799</v>
      </c>
      <c r="B1444" s="34" t="str">
        <f aca="false">'Uso e Consumo'!A1444</f>
        <v>0335</v>
      </c>
      <c r="C1444" s="34" t="str">
        <f aca="false">'Uso e Consumo'!B1444</f>
        <v>UFV NORONHA VERDE - USO E CONSUMO</v>
      </c>
      <c r="D1444" s="33" t="n">
        <f aca="false">'Uso e Consumo'!C1444</f>
        <v>876535</v>
      </c>
      <c r="E1444" s="34" t="str">
        <f aca="false">'Uso e Consumo'!D1444</f>
        <v>01.15.0168</v>
      </c>
      <c r="F1444" s="34" t="str">
        <f aca="false">'Uso e Consumo'!E1444</f>
        <v>LUVA DE EMENDA DE 100MM</v>
      </c>
      <c r="G1444" s="34" t="str">
        <f aca="false">'Uso e Consumo'!J1444</f>
        <v>UN</v>
      </c>
      <c r="H1444" s="49" t="n">
        <f aca="false">'Uso e Consumo'!F1444</f>
        <v>3</v>
      </c>
      <c r="I1444" s="35" t="n">
        <f aca="false">'Uso e Consumo'!G1444</f>
        <v>423</v>
      </c>
      <c r="J1444" s="34" t="str">
        <f aca="false">'Uso e Consumo'!M1444</f>
        <v>3.8.1.001 - Aços e trefilados</v>
      </c>
      <c r="K1444" s="32" t="str">
        <f aca="false">INDEX('Curva ABC'!$K$8:$K$2847,MATCH(D1444,'Curva ABC'!$B$8:$B$2847,0))</f>
        <v>C</v>
      </c>
    </row>
    <row r="1445" customFormat="false" ht="15" hidden="false" customHeight="false" outlineLevel="0" collapsed="false">
      <c r="A1445" s="34" t="s">
        <v>5799</v>
      </c>
      <c r="B1445" s="34" t="str">
        <f aca="false">'Uso e Consumo'!A1445</f>
        <v>0335</v>
      </c>
      <c r="C1445" s="34" t="str">
        <f aca="false">'Uso e Consumo'!B1445</f>
        <v>UFV NORONHA VERDE - USO E CONSUMO</v>
      </c>
      <c r="D1445" s="33" t="n">
        <f aca="false">'Uso e Consumo'!C1445</f>
        <v>1327892</v>
      </c>
      <c r="E1445" s="34" t="str">
        <f aca="false">'Uso e Consumo'!D1445</f>
        <v>08.02.0073</v>
      </c>
      <c r="F1445" s="34" t="str">
        <f aca="false">'Uso e Consumo'!E1445</f>
        <v>MEIO BLOCO CANALETA 19X19X19 FCK MAIOR OU IGUAL 6MPA</v>
      </c>
      <c r="G1445" s="34" t="str">
        <f aca="false">'Uso e Consumo'!J1445</f>
        <v>UN</v>
      </c>
      <c r="H1445" s="49" t="n">
        <f aca="false">'Uso e Consumo'!F1445</f>
        <v>30</v>
      </c>
      <c r="I1445" s="35" t="n">
        <f aca="false">'Uso e Consumo'!G1445</f>
        <v>423</v>
      </c>
      <c r="J1445" s="34" t="str">
        <f aca="false">'Uso e Consumo'!M1445</f>
        <v>3.8.1.018 - Instalações hidráulicas/sanitárias/industriais</v>
      </c>
      <c r="K1445" s="32" t="str">
        <f aca="false">INDEX('Curva ABC'!$K$8:$K$2847,MATCH(D1445,'Curva ABC'!$B$8:$B$2847,0))</f>
        <v>C</v>
      </c>
    </row>
    <row r="1446" customFormat="false" ht="15" hidden="false" customHeight="false" outlineLevel="0" collapsed="false">
      <c r="A1446" s="34" t="s">
        <v>5799</v>
      </c>
      <c r="B1446" s="34" t="str">
        <f aca="false">'Uso e Consumo'!A1446</f>
        <v>0335</v>
      </c>
      <c r="C1446" s="34" t="str">
        <f aca="false">'Uso e Consumo'!B1446</f>
        <v>UFV NORONHA VERDE - USO E CONSUMO</v>
      </c>
      <c r="D1446" s="33" t="n">
        <f aca="false">'Uso e Consumo'!C1446</f>
        <v>1484132</v>
      </c>
      <c r="E1446" s="34" t="str">
        <f aca="false">'Uso e Consumo'!D1446</f>
        <v>23.07.1609</v>
      </c>
      <c r="F1446" s="34" t="str">
        <f aca="false">'Uso e Consumo'!E1446</f>
        <v>PARAFUSO ROSCA SOBERBA AÇO INOX CABEÇA SEXTAVADA 3/8" X 5/8"</v>
      </c>
      <c r="G1446" s="34" t="str">
        <f aca="false">'Uso e Consumo'!J1446</f>
        <v>UN</v>
      </c>
      <c r="H1446" s="49" t="n">
        <f aca="false">'Uso e Consumo'!F1446</f>
        <v>54</v>
      </c>
      <c r="I1446" s="35" t="n">
        <f aca="false">'Uso e Consumo'!G1446</f>
        <v>422.4</v>
      </c>
      <c r="J1446" s="34" t="str">
        <f aca="false">'Uso e Consumo'!M1446</f>
        <v>3.8.1.022 - Elementos de fixação</v>
      </c>
      <c r="K1446" s="32" t="str">
        <f aca="false">INDEX('Curva ABC'!$K$8:$K$2847,MATCH(D1446,'Curva ABC'!$B$8:$B$2847,0))</f>
        <v>C</v>
      </c>
    </row>
    <row r="1447" customFormat="false" ht="15" hidden="false" customHeight="false" outlineLevel="0" collapsed="false">
      <c r="A1447" s="34" t="s">
        <v>5799</v>
      </c>
      <c r="B1447" s="34" t="str">
        <f aca="false">'Uso e Consumo'!A1447</f>
        <v>0335</v>
      </c>
      <c r="C1447" s="34" t="str">
        <f aca="false">'Uso e Consumo'!B1447</f>
        <v>UFV NORONHA VERDE - USO E CONSUMO</v>
      </c>
      <c r="D1447" s="33" t="n">
        <f aca="false">'Uso e Consumo'!C1447</f>
        <v>937213</v>
      </c>
      <c r="E1447" s="34" t="str">
        <f aca="false">'Uso e Consumo'!D1447</f>
        <v>17.16.0523</v>
      </c>
      <c r="F1447" s="34" t="str">
        <f aca="false">'Uso e Consumo'!E1447</f>
        <v>TERMINAL OLHAL A COMPRESSÃO 150MM²</v>
      </c>
      <c r="G1447" s="34" t="str">
        <f aca="false">'Uso e Consumo'!J1447</f>
        <v>UN</v>
      </c>
      <c r="H1447" s="49" t="n">
        <f aca="false">'Uso e Consumo'!F1447</f>
        <v>20</v>
      </c>
      <c r="I1447" s="35" t="n">
        <f aca="false">'Uso e Consumo'!G1447</f>
        <v>421.8</v>
      </c>
      <c r="J1447" s="34" t="str">
        <f aca="false">'Uso e Consumo'!M1447</f>
        <v>3.8.1.017 - Instalações elétricas/telefônicas/lógica</v>
      </c>
      <c r="K1447" s="32" t="str">
        <f aca="false">INDEX('Curva ABC'!$K$8:$K$2847,MATCH(D1447,'Curva ABC'!$B$8:$B$2847,0))</f>
        <v>C</v>
      </c>
    </row>
    <row r="1448" customFormat="false" ht="15" hidden="false" customHeight="false" outlineLevel="0" collapsed="false">
      <c r="A1448" s="34" t="s">
        <v>5799</v>
      </c>
      <c r="B1448" s="34" t="str">
        <f aca="false">'Uso e Consumo'!A1448</f>
        <v>0335</v>
      </c>
      <c r="C1448" s="34" t="str">
        <f aca="false">'Uso e Consumo'!B1448</f>
        <v>UFV NORONHA VERDE - USO E CONSUMO</v>
      </c>
      <c r="D1448" s="33" t="n">
        <f aca="false">'Uso e Consumo'!C1448</f>
        <v>32850</v>
      </c>
      <c r="E1448" s="34" t="str">
        <f aca="false">'Uso e Consumo'!D1448</f>
        <v>30.01.0482</v>
      </c>
      <c r="F1448" s="34" t="str">
        <f aca="false">'Uso e Consumo'!E1448</f>
        <v>PRESILHA JACARÉ PARA CRACHÁ</v>
      </c>
      <c r="G1448" s="34" t="str">
        <f aca="false">'Uso e Consumo'!J1448</f>
        <v>UN</v>
      </c>
      <c r="H1448" s="49" t="n">
        <f aca="false">'Uso e Consumo'!F1448</f>
        <v>5</v>
      </c>
      <c r="I1448" s="35" t="n">
        <f aca="false">'Uso e Consumo'!G1448</f>
        <v>420</v>
      </c>
      <c r="J1448" s="34" t="str">
        <f aca="false">'Uso e Consumo'!M1448</f>
        <v>4.1.1.002 - Material expediente</v>
      </c>
      <c r="K1448" s="32" t="str">
        <f aca="false">INDEX('Curva ABC'!$K$8:$K$2847,MATCH(D1448,'Curva ABC'!$B$8:$B$2847,0))</f>
        <v>C</v>
      </c>
    </row>
    <row r="1449" customFormat="false" ht="15" hidden="false" customHeight="false" outlineLevel="0" collapsed="false">
      <c r="A1449" s="34" t="s">
        <v>5799</v>
      </c>
      <c r="B1449" s="34" t="str">
        <f aca="false">'Uso e Consumo'!A1449</f>
        <v>0335</v>
      </c>
      <c r="C1449" s="34" t="str">
        <f aca="false">'Uso e Consumo'!B1449</f>
        <v>UFV NORONHA VERDE - USO E CONSUMO</v>
      </c>
      <c r="D1449" s="33" t="n">
        <f aca="false">'Uso e Consumo'!C1449</f>
        <v>1467132</v>
      </c>
      <c r="E1449" s="34" t="str">
        <f aca="false">'Uso e Consumo'!D1449</f>
        <v>17.01.1282</v>
      </c>
      <c r="F1449" s="34" t="str">
        <f aca="false">'Uso e Consumo'!E1449</f>
        <v>CABO ISOLADO 3 X 1,5 MM², ISOLAÇÃO 750 V, COR PRETA, TEMPERATURA CONTÍNUA DE 70 °C</v>
      </c>
      <c r="G1449" s="34" t="str">
        <f aca="false">'Uso e Consumo'!J1449</f>
        <v>M</v>
      </c>
      <c r="H1449" s="49" t="n">
        <f aca="false">'Uso e Consumo'!F1449</f>
        <v>60</v>
      </c>
      <c r="I1449" s="35" t="n">
        <f aca="false">'Uso e Consumo'!G1449</f>
        <v>420</v>
      </c>
      <c r="J1449" s="34" t="str">
        <f aca="false">'Uso e Consumo'!M1449</f>
        <v>3.8.1.017 - Instalações elétricas/telefônicas/lógica</v>
      </c>
      <c r="K1449" s="32" t="str">
        <f aca="false">INDEX('Curva ABC'!$K$8:$K$2847,MATCH(D1449,'Curva ABC'!$B$8:$B$2847,0))</f>
        <v>C</v>
      </c>
    </row>
    <row r="1450" customFormat="false" ht="15" hidden="false" customHeight="false" outlineLevel="0" collapsed="false">
      <c r="A1450" s="34" t="s">
        <v>5799</v>
      </c>
      <c r="B1450" s="34" t="str">
        <f aca="false">'Uso e Consumo'!A1450</f>
        <v>0335</v>
      </c>
      <c r="C1450" s="34" t="str">
        <f aca="false">'Uso e Consumo'!B1450</f>
        <v>UFV NORONHA VERDE - USO E CONSUMO</v>
      </c>
      <c r="D1450" s="33" t="n">
        <f aca="false">'Uso e Consumo'!C1450</f>
        <v>141718</v>
      </c>
      <c r="E1450" s="34" t="str">
        <f aca="false">'Uso e Consumo'!D1450</f>
        <v>30.01.0556</v>
      </c>
      <c r="F1450" s="34" t="str">
        <f aca="false">'Uso e Consumo'!E1450</f>
        <v>POLASEAL A4 COM 100 UND</v>
      </c>
      <c r="G1450" s="34" t="str">
        <f aca="false">'Uso e Consumo'!J1450</f>
        <v>PCT</v>
      </c>
      <c r="H1450" s="49" t="n">
        <f aca="false">'Uso e Consumo'!F1450</f>
        <v>5</v>
      </c>
      <c r="I1450" s="35" t="n">
        <f aca="false">'Uso e Consumo'!G1450</f>
        <v>418.55</v>
      </c>
      <c r="J1450" s="34" t="str">
        <f aca="false">'Uso e Consumo'!M1450</f>
        <v>4.1.1.002 - Material expediente</v>
      </c>
      <c r="K1450" s="32" t="str">
        <f aca="false">INDEX('Curva ABC'!$K$8:$K$2847,MATCH(D1450,'Curva ABC'!$B$8:$B$2847,0))</f>
        <v>C</v>
      </c>
    </row>
    <row r="1451" customFormat="false" ht="15" hidden="false" customHeight="false" outlineLevel="0" collapsed="false">
      <c r="A1451" s="34" t="s">
        <v>5799</v>
      </c>
      <c r="B1451" s="34" t="str">
        <f aca="false">'Uso e Consumo'!A1451</f>
        <v>0335</v>
      </c>
      <c r="C1451" s="34" t="str">
        <f aca="false">'Uso e Consumo'!B1451</f>
        <v>UFV NORONHA VERDE - USO E CONSUMO</v>
      </c>
      <c r="D1451" s="33" t="n">
        <f aca="false">'Uso e Consumo'!C1451</f>
        <v>140525</v>
      </c>
      <c r="E1451" s="34" t="str">
        <f aca="false">'Uso e Consumo'!D1451</f>
        <v>17.20.0229</v>
      </c>
      <c r="F1451" s="34" t="str">
        <f aca="false">'Uso e Consumo'!E1451</f>
        <v>MOLDE PARA SOLDA EXOTÉRMICA - CABO 70MM2 X HASTE 3/4" "PASSANTE"</v>
      </c>
      <c r="G1451" s="34" t="str">
        <f aca="false">'Uso e Consumo'!J1451</f>
        <v>UN</v>
      </c>
      <c r="H1451" s="49" t="n">
        <f aca="false">'Uso e Consumo'!F1451</f>
        <v>2</v>
      </c>
      <c r="I1451" s="35" t="n">
        <f aca="false">'Uso e Consumo'!G1451</f>
        <v>418.4</v>
      </c>
      <c r="J1451" s="34" t="str">
        <f aca="false">'Uso e Consumo'!M1451</f>
        <v>3.8.1.017 - Instalações elétricas/telefônicas/lógica</v>
      </c>
      <c r="K1451" s="32" t="str">
        <f aca="false">INDEX('Curva ABC'!$K$8:$K$2847,MATCH(D1451,'Curva ABC'!$B$8:$B$2847,0))</f>
        <v>C</v>
      </c>
    </row>
    <row r="1452" customFormat="false" ht="15" hidden="false" customHeight="false" outlineLevel="0" collapsed="false">
      <c r="A1452" s="34" t="s">
        <v>5799</v>
      </c>
      <c r="B1452" s="34" t="str">
        <f aca="false">'Uso e Consumo'!A1452</f>
        <v>0335</v>
      </c>
      <c r="C1452" s="34" t="str">
        <f aca="false">'Uso e Consumo'!B1452</f>
        <v>UFV NORONHA VERDE - USO E CONSUMO</v>
      </c>
      <c r="D1452" s="33" t="n">
        <f aca="false">'Uso e Consumo'!C1452</f>
        <v>1386770</v>
      </c>
      <c r="E1452" s="34" t="str">
        <f aca="false">'Uso e Consumo'!D1452</f>
        <v>17.20.0697</v>
      </c>
      <c r="F1452" s="34" t="str">
        <f aca="false">'Uso e Consumo'!E1452</f>
        <v>BUCHA 2" C/TERMINAL DE ATERRAMENTO P/CABOS 16MM²</v>
      </c>
      <c r="G1452" s="34" t="str">
        <f aca="false">'Uso e Consumo'!J1452</f>
        <v>UN</v>
      </c>
      <c r="H1452" s="49" t="n">
        <f aca="false">'Uso e Consumo'!F1452</f>
        <v>12</v>
      </c>
      <c r="I1452" s="35" t="n">
        <f aca="false">'Uso e Consumo'!G1452</f>
        <v>418.2</v>
      </c>
      <c r="J1452" s="34" t="str">
        <f aca="false">'Uso e Consumo'!M1452</f>
        <v>3.1.1.001 - Material de uso e consumo</v>
      </c>
      <c r="K1452" s="32" t="str">
        <f aca="false">INDEX('Curva ABC'!$K$8:$K$2847,MATCH(D1452,'Curva ABC'!$B$8:$B$2847,0))</f>
        <v>C</v>
      </c>
    </row>
    <row r="1453" customFormat="false" ht="15" hidden="false" customHeight="false" outlineLevel="0" collapsed="false">
      <c r="A1453" s="34" t="s">
        <v>5799</v>
      </c>
      <c r="B1453" s="34" t="str">
        <f aca="false">'Uso e Consumo'!A1453</f>
        <v>0335</v>
      </c>
      <c r="C1453" s="34" t="str">
        <f aca="false">'Uso e Consumo'!B1453</f>
        <v>UFV NORONHA VERDE - USO E CONSUMO</v>
      </c>
      <c r="D1453" s="33" t="n">
        <f aca="false">'Uso e Consumo'!C1453</f>
        <v>1467852</v>
      </c>
      <c r="E1453" s="34" t="str">
        <f aca="false">'Uso e Consumo'!D1453</f>
        <v>27.02.0218</v>
      </c>
      <c r="F1453" s="34" t="str">
        <f aca="false">'Uso e Consumo'!E1453</f>
        <v>MASCARA LARÍNGEA TAMANHO 03</v>
      </c>
      <c r="G1453" s="34" t="str">
        <f aca="false">'Uso e Consumo'!J1453</f>
        <v>CX</v>
      </c>
      <c r="H1453" s="49" t="n">
        <f aca="false">'Uso e Consumo'!F1453</f>
        <v>1</v>
      </c>
      <c r="I1453" s="35" t="n">
        <f aca="false">'Uso e Consumo'!G1453</f>
        <v>418</v>
      </c>
      <c r="J1453" s="34" t="str">
        <f aca="false">'Uso e Consumo'!M1453</f>
        <v>4.3.4.007 - Mobiliário médico/equipamentos/acessórios</v>
      </c>
      <c r="K1453" s="32" t="str">
        <f aca="false">INDEX('Curva ABC'!$K$8:$K$2847,MATCH(D1453,'Curva ABC'!$B$8:$B$2847,0))</f>
        <v>C</v>
      </c>
    </row>
    <row r="1454" customFormat="false" ht="15" hidden="false" customHeight="false" outlineLevel="0" collapsed="false">
      <c r="A1454" s="34" t="s">
        <v>5799</v>
      </c>
      <c r="B1454" s="34" t="str">
        <f aca="false">'Uso e Consumo'!A1454</f>
        <v>0335</v>
      </c>
      <c r="C1454" s="34" t="str">
        <f aca="false">'Uso e Consumo'!B1454</f>
        <v>UFV NORONHA VERDE - USO E CONSUMO</v>
      </c>
      <c r="D1454" s="33" t="n">
        <f aca="false">'Uso e Consumo'!C1454</f>
        <v>1389118</v>
      </c>
      <c r="E1454" s="34" t="str">
        <f aca="false">'Uso e Consumo'!D1454</f>
        <v>17.02.0895</v>
      </c>
      <c r="F1454" s="34" t="str">
        <f aca="false">'Uso e Consumo'!E1454</f>
        <v>CABO FLEX 16MM </v>
      </c>
      <c r="G1454" s="34" t="str">
        <f aca="false">'Uso e Consumo'!J1454</f>
        <v>UN</v>
      </c>
      <c r="H1454" s="49" t="n">
        <f aca="false">'Uso e Consumo'!F1454</f>
        <v>11.5</v>
      </c>
      <c r="I1454" s="35" t="n">
        <f aca="false">'Uso e Consumo'!G1454</f>
        <v>417.27</v>
      </c>
      <c r="J1454" s="34" t="str">
        <f aca="false">'Uso e Consumo'!M1454</f>
        <v>3.8.1.017 - Instalações elétricas/telefônicas/lógica</v>
      </c>
      <c r="K1454" s="32" t="str">
        <f aca="false">INDEX('Curva ABC'!$K$8:$K$2847,MATCH(D1454,'Curva ABC'!$B$8:$B$2847,0))</f>
        <v>C</v>
      </c>
    </row>
    <row r="1455" customFormat="false" ht="15" hidden="false" customHeight="false" outlineLevel="0" collapsed="false">
      <c r="A1455" s="34" t="s">
        <v>5799</v>
      </c>
      <c r="B1455" s="34" t="str">
        <f aca="false">'Uso e Consumo'!A1455</f>
        <v>0335</v>
      </c>
      <c r="C1455" s="34" t="str">
        <f aca="false">'Uso e Consumo'!B1455</f>
        <v>UFV NORONHA VERDE - USO E CONSUMO</v>
      </c>
      <c r="D1455" s="33" t="n">
        <f aca="false">'Uso e Consumo'!C1455</f>
        <v>21399</v>
      </c>
      <c r="E1455" s="34" t="str">
        <f aca="false">'Uso e Consumo'!D1455</f>
        <v>24.05.0011</v>
      </c>
      <c r="F1455" s="34" t="str">
        <f aca="false">'Uso e Consumo'!E1455</f>
        <v>NÍVEL DE MÃO DE ALUMÍNIO 30 CM</v>
      </c>
      <c r="G1455" s="34" t="str">
        <f aca="false">'Uso e Consumo'!J1455</f>
        <v>UN</v>
      </c>
      <c r="H1455" s="49" t="n">
        <f aca="false">'Uso e Consumo'!F1455</f>
        <v>12</v>
      </c>
      <c r="I1455" s="35" t="n">
        <f aca="false">'Uso e Consumo'!G1455</f>
        <v>416.64</v>
      </c>
      <c r="J1455" s="34" t="str">
        <f aca="false">'Uso e Consumo'!M1455</f>
        <v>3.8.2.001 - Ferramentas medição/aferição</v>
      </c>
      <c r="K1455" s="32" t="str">
        <f aca="false">INDEX('Curva ABC'!$K$8:$K$2847,MATCH(D1455,'Curva ABC'!$B$8:$B$2847,0))</f>
        <v>C</v>
      </c>
    </row>
    <row r="1456" customFormat="false" ht="15" hidden="false" customHeight="false" outlineLevel="0" collapsed="false">
      <c r="A1456" s="34" t="s">
        <v>5799</v>
      </c>
      <c r="B1456" s="34" t="str">
        <f aca="false">'Uso e Consumo'!A1456</f>
        <v>0335</v>
      </c>
      <c r="C1456" s="34" t="str">
        <f aca="false">'Uso e Consumo'!B1456</f>
        <v>UFV NORONHA VERDE - USO E CONSUMO</v>
      </c>
      <c r="D1456" s="33" t="n">
        <f aca="false">'Uso e Consumo'!C1456</f>
        <v>826194</v>
      </c>
      <c r="E1456" s="34" t="str">
        <f aca="false">'Uso e Consumo'!D1456</f>
        <v>17.20.0514</v>
      </c>
      <c r="F1456" s="34" t="str">
        <f aca="false">'Uso e Consumo'!E1456</f>
        <v>CAIXA INSPEÇÃO DE ATERRAMENTO PVC, D300X300</v>
      </c>
      <c r="G1456" s="34" t="str">
        <f aca="false">'Uso e Consumo'!J1456</f>
        <v>UN</v>
      </c>
      <c r="H1456" s="49" t="n">
        <f aca="false">'Uso e Consumo'!F1456</f>
        <v>12</v>
      </c>
      <c r="I1456" s="35" t="n">
        <f aca="false">'Uso e Consumo'!G1456</f>
        <v>414.48</v>
      </c>
      <c r="J1456" s="34" t="str">
        <f aca="false">'Uso e Consumo'!M1456</f>
        <v>3.8.1.022 - Elementos de fixação</v>
      </c>
      <c r="K1456" s="32" t="str">
        <f aca="false">INDEX('Curva ABC'!$K$8:$K$2847,MATCH(D1456,'Curva ABC'!$B$8:$B$2847,0))</f>
        <v>C</v>
      </c>
    </row>
    <row r="1457" customFormat="false" ht="15" hidden="false" customHeight="false" outlineLevel="0" collapsed="false">
      <c r="A1457" s="34" t="s">
        <v>5799</v>
      </c>
      <c r="B1457" s="34" t="str">
        <f aca="false">'Uso e Consumo'!A1457</f>
        <v>0335</v>
      </c>
      <c r="C1457" s="34" t="str">
        <f aca="false">'Uso e Consumo'!B1457</f>
        <v>UFV NORONHA VERDE - USO E CONSUMO</v>
      </c>
      <c r="D1457" s="33" t="n">
        <f aca="false">'Uso e Consumo'!C1457</f>
        <v>1319424</v>
      </c>
      <c r="E1457" s="34" t="str">
        <f aca="false">'Uso e Consumo'!D1457</f>
        <v>28.01.0714</v>
      </c>
      <c r="F1457" s="34" t="str">
        <f aca="false">'Uso e Consumo'!E1457</f>
        <v>PLACA DE SINALIZAÇÃO 60X40CM - CHAPA DE ZINCO - COM BARROTE</v>
      </c>
      <c r="G1457" s="34" t="str">
        <f aca="false">'Uso e Consumo'!J1457</f>
        <v>UN</v>
      </c>
      <c r="H1457" s="49" t="n">
        <f aca="false">'Uso e Consumo'!F1457</f>
        <v>4</v>
      </c>
      <c r="I1457" s="35" t="n">
        <f aca="false">'Uso e Consumo'!G1457</f>
        <v>412.44</v>
      </c>
      <c r="J1457" s="34" t="str">
        <f aca="false">'Uso e Consumo'!M1457</f>
        <v>3.8.1.023 - Comunicação visual e sinalização</v>
      </c>
      <c r="K1457" s="32" t="str">
        <f aca="false">INDEX('Curva ABC'!$K$8:$K$2847,MATCH(D1457,'Curva ABC'!$B$8:$B$2847,0))</f>
        <v>C</v>
      </c>
    </row>
    <row r="1458" customFormat="false" ht="15" hidden="false" customHeight="false" outlineLevel="0" collapsed="false">
      <c r="A1458" s="34" t="s">
        <v>5799</v>
      </c>
      <c r="B1458" s="34" t="str">
        <f aca="false">'Uso e Consumo'!A1458</f>
        <v>0335</v>
      </c>
      <c r="C1458" s="34" t="str">
        <f aca="false">'Uso e Consumo'!B1458</f>
        <v>UFV NORONHA VERDE - USO E CONSUMO</v>
      </c>
      <c r="D1458" s="33" t="n">
        <f aca="false">'Uso e Consumo'!C1458</f>
        <v>1656805</v>
      </c>
      <c r="E1458" s="34" t="str">
        <f aca="false">'Uso e Consumo'!D1458</f>
        <v>28.01.0755</v>
      </c>
      <c r="F1458" s="34" t="str">
        <f aca="false">'Uso e Consumo'!E1458</f>
        <v>PLACA DE SINALIZACAO PARA EXTINTOR DE INCENDIO TIPO CARRETA  E11 - PICTOGRAMA FOTOLUMINESCENTE EM CHAPA METALICA 25X25CM</v>
      </c>
      <c r="G1458" s="34" t="str">
        <f aca="false">'Uso e Consumo'!J1458</f>
        <v>UN</v>
      </c>
      <c r="H1458" s="49" t="n">
        <f aca="false">'Uso e Consumo'!F1458</f>
        <v>10</v>
      </c>
      <c r="I1458" s="35" t="n">
        <f aca="false">'Uso e Consumo'!G1458</f>
        <v>412.2</v>
      </c>
      <c r="J1458" s="34" t="str">
        <f aca="false">'Uso e Consumo'!M1458</f>
        <v>3.8.1.023 - Comunicação visual e sinalização</v>
      </c>
      <c r="K1458" s="32" t="str">
        <f aca="false">INDEX('Curva ABC'!$K$8:$K$2847,MATCH(D1458,'Curva ABC'!$B$8:$B$2847,0))</f>
        <v>C</v>
      </c>
    </row>
    <row r="1459" customFormat="false" ht="15" hidden="false" customHeight="false" outlineLevel="0" collapsed="false">
      <c r="A1459" s="34" t="s">
        <v>5799</v>
      </c>
      <c r="B1459" s="34" t="str">
        <f aca="false">'Uso e Consumo'!A1459</f>
        <v>0335</v>
      </c>
      <c r="C1459" s="34" t="str">
        <f aca="false">'Uso e Consumo'!B1459</f>
        <v>UFV NORONHA VERDE - USO E CONSUMO</v>
      </c>
      <c r="D1459" s="33" t="n">
        <f aca="false">'Uso e Consumo'!C1459</f>
        <v>884961</v>
      </c>
      <c r="E1459" s="34" t="str">
        <f aca="false">'Uso e Consumo'!D1459</f>
        <v>23.05.0253</v>
      </c>
      <c r="F1459" s="34" t="str">
        <f aca="false">'Uso e Consumo'!E1459</f>
        <v>ARRUELA DE PRESSÃO M12</v>
      </c>
      <c r="G1459" s="34" t="str">
        <f aca="false">'Uso e Consumo'!J1459</f>
        <v>UND</v>
      </c>
      <c r="H1459" s="49" t="n">
        <f aca="false">'Uso e Consumo'!F1459</f>
        <v>431</v>
      </c>
      <c r="I1459" s="35" t="n">
        <f aca="false">'Uso e Consumo'!G1459</f>
        <v>409.9</v>
      </c>
      <c r="J1459" s="34" t="str">
        <f aca="false">'Uso e Consumo'!M1459</f>
        <v>3.8.1.022 - Elementos de fixação</v>
      </c>
      <c r="K1459" s="32" t="str">
        <f aca="false">INDEX('Curva ABC'!$K$8:$K$2847,MATCH(D1459,'Curva ABC'!$B$8:$B$2847,0))</f>
        <v>C</v>
      </c>
    </row>
    <row r="1460" customFormat="false" ht="15" hidden="false" customHeight="false" outlineLevel="0" collapsed="false">
      <c r="A1460" s="34" t="s">
        <v>5799</v>
      </c>
      <c r="B1460" s="34" t="str">
        <f aca="false">'Uso e Consumo'!A1460</f>
        <v>0335</v>
      </c>
      <c r="C1460" s="34" t="str">
        <f aca="false">'Uso e Consumo'!B1460</f>
        <v>UFV NORONHA VERDE - USO E CONSUMO</v>
      </c>
      <c r="D1460" s="33" t="n">
        <f aca="false">'Uso e Consumo'!C1460</f>
        <v>22726</v>
      </c>
      <c r="E1460" s="34" t="str">
        <f aca="false">'Uso e Consumo'!D1460</f>
        <v>32.12.0005</v>
      </c>
      <c r="F1460" s="34" t="str">
        <f aca="false">'Uso e Consumo'!E1460</f>
        <v>TERMÔMETRO DIGITAL PORTÁTIL INFRAVERMELHO – MT 350 – COM LCD, MEDIDAS DE TEMPERATURA NA FAIXA DE -30</v>
      </c>
      <c r="G1460" s="34" t="str">
        <f aca="false">'Uso e Consumo'!J1460</f>
        <v>UN</v>
      </c>
      <c r="H1460" s="49" t="n">
        <f aca="false">'Uso e Consumo'!F1460</f>
        <v>1</v>
      </c>
      <c r="I1460" s="35" t="n">
        <f aca="false">'Uso e Consumo'!G1460</f>
        <v>409.47</v>
      </c>
      <c r="J1460" s="34" t="str">
        <f aca="false">'Uso e Consumo'!M1460</f>
        <v>4.1.1.011 - Instrumentos para medição</v>
      </c>
      <c r="K1460" s="32" t="str">
        <f aca="false">INDEX('Curva ABC'!$K$8:$K$2847,MATCH(D1460,'Curva ABC'!$B$8:$B$2847,0))</f>
        <v>C</v>
      </c>
    </row>
    <row r="1461" customFormat="false" ht="15" hidden="false" customHeight="false" outlineLevel="0" collapsed="false">
      <c r="A1461" s="34" t="s">
        <v>5799</v>
      </c>
      <c r="B1461" s="34" t="str">
        <f aca="false">'Uso e Consumo'!A1461</f>
        <v>0335</v>
      </c>
      <c r="C1461" s="34" t="str">
        <f aca="false">'Uso e Consumo'!B1461</f>
        <v>UFV NORONHA VERDE - USO E CONSUMO</v>
      </c>
      <c r="D1461" s="33" t="n">
        <f aca="false">'Uso e Consumo'!C1461</f>
        <v>224073</v>
      </c>
      <c r="E1461" s="34" t="str">
        <f aca="false">'Uso e Consumo'!D1461</f>
        <v>33.02.1266</v>
      </c>
      <c r="F1461" s="34" t="str">
        <f aca="false">'Uso e Consumo'!E1461</f>
        <v>PARAFUSO 3/4"</v>
      </c>
      <c r="G1461" s="34" t="str">
        <f aca="false">'Uso e Consumo'!J1461</f>
        <v>UN</v>
      </c>
      <c r="H1461" s="49" t="n">
        <f aca="false">'Uso e Consumo'!F1461</f>
        <v>11</v>
      </c>
      <c r="I1461" s="35" t="n">
        <f aca="false">'Uso e Consumo'!G1461</f>
        <v>409</v>
      </c>
      <c r="J1461" s="34" t="str">
        <f aca="false">'Uso e Consumo'!M1461</f>
        <v>3.1.6.002 - Pneus e peças</v>
      </c>
      <c r="K1461" s="32" t="str">
        <f aca="false">INDEX('Curva ABC'!$K$8:$K$2847,MATCH(D1461,'Curva ABC'!$B$8:$B$2847,0))</f>
        <v>C</v>
      </c>
    </row>
    <row r="1462" customFormat="false" ht="15" hidden="false" customHeight="false" outlineLevel="0" collapsed="false">
      <c r="A1462" s="34" t="s">
        <v>5799</v>
      </c>
      <c r="B1462" s="34" t="str">
        <f aca="false">'Uso e Consumo'!A1462</f>
        <v>0335</v>
      </c>
      <c r="C1462" s="34" t="str">
        <f aca="false">'Uso e Consumo'!B1462</f>
        <v>UFV NORONHA VERDE - USO E CONSUMO</v>
      </c>
      <c r="D1462" s="33" t="n">
        <f aca="false">'Uso e Consumo'!C1462</f>
        <v>352398</v>
      </c>
      <c r="E1462" s="34" t="str">
        <f aca="false">'Uso e Consumo'!D1462</f>
        <v>24.41.0128</v>
      </c>
      <c r="F1462" s="34" t="str">
        <f aca="false">'Uso e Consumo'!E1462</f>
        <v>SOQUETE SEXTAVADO IMPACTO LONGO 1/2" 13MM</v>
      </c>
      <c r="G1462" s="34" t="str">
        <f aca="false">'Uso e Consumo'!J1462</f>
        <v>UN</v>
      </c>
      <c r="H1462" s="49" t="n">
        <f aca="false">'Uso e Consumo'!F1462</f>
        <v>6</v>
      </c>
      <c r="I1462" s="35" t="n">
        <f aca="false">'Uso e Consumo'!G1462</f>
        <v>408</v>
      </c>
      <c r="J1462" s="34" t="str">
        <f aca="false">'Uso e Consumo'!M1462</f>
        <v>3.8.2.002 - Ferramentas manuais</v>
      </c>
      <c r="K1462" s="32" t="str">
        <f aca="false">INDEX('Curva ABC'!$K$8:$K$2847,MATCH(D1462,'Curva ABC'!$B$8:$B$2847,0))</f>
        <v>C</v>
      </c>
    </row>
    <row r="1463" customFormat="false" ht="15" hidden="false" customHeight="false" outlineLevel="0" collapsed="false">
      <c r="A1463" s="34" t="s">
        <v>5799</v>
      </c>
      <c r="B1463" s="34" t="str">
        <f aca="false">'Uso e Consumo'!A1463</f>
        <v>0335</v>
      </c>
      <c r="C1463" s="34" t="str">
        <f aca="false">'Uso e Consumo'!B1463</f>
        <v>UFV NORONHA VERDE - USO E CONSUMO</v>
      </c>
      <c r="D1463" s="33" t="n">
        <f aca="false">'Uso e Consumo'!C1463</f>
        <v>557721</v>
      </c>
      <c r="E1463" s="34" t="str">
        <f aca="false">'Uso e Consumo'!D1463</f>
        <v>26.04.0099</v>
      </c>
      <c r="F1463" s="34" t="str">
        <f aca="false">'Uso e Consumo'!E1463</f>
        <v>FITA DE ANCORAGEM SLING 22KN, 2M, AMARELO</v>
      </c>
      <c r="G1463" s="34" t="str">
        <f aca="false">'Uso e Consumo'!J1463</f>
        <v>UN</v>
      </c>
      <c r="H1463" s="49" t="n">
        <f aca="false">'Uso e Consumo'!F1463</f>
        <v>4</v>
      </c>
      <c r="I1463" s="35" t="n">
        <f aca="false">'Uso e Consumo'!G1463</f>
        <v>408</v>
      </c>
      <c r="J1463" s="34" t="str">
        <f aca="false">'Uso e Consumo'!M1463</f>
        <v>4.3.4.001 - Equipamento de proteção individual</v>
      </c>
      <c r="K1463" s="32" t="str">
        <f aca="false">INDEX('Curva ABC'!$K$8:$K$2847,MATCH(D1463,'Curva ABC'!$B$8:$B$2847,0))</f>
        <v>C</v>
      </c>
    </row>
    <row r="1464" customFormat="false" ht="15" hidden="false" customHeight="false" outlineLevel="0" collapsed="false">
      <c r="A1464" s="34" t="s">
        <v>5799</v>
      </c>
      <c r="B1464" s="34" t="str">
        <f aca="false">'Uso e Consumo'!A1464</f>
        <v>0335</v>
      </c>
      <c r="C1464" s="34" t="str">
        <f aca="false">'Uso e Consumo'!B1464</f>
        <v>UFV NORONHA VERDE - USO E CONSUMO</v>
      </c>
      <c r="D1464" s="33" t="n">
        <f aca="false">'Uso e Consumo'!C1464</f>
        <v>731058</v>
      </c>
      <c r="E1464" s="34" t="str">
        <f aca="false">'Uso e Consumo'!D1464</f>
        <v>06.01.0086</v>
      </c>
      <c r="F1464" s="34" t="str">
        <f aca="false">'Uso e Consumo'!E1464</f>
        <v>ADITIVO P/ RADIADOR</v>
      </c>
      <c r="G1464" s="34" t="str">
        <f aca="false">'Uso e Consumo'!J1464</f>
        <v>LT</v>
      </c>
      <c r="H1464" s="49" t="n">
        <f aca="false">'Uso e Consumo'!F1464</f>
        <v>6</v>
      </c>
      <c r="I1464" s="35" t="n">
        <f aca="false">'Uso e Consumo'!G1464</f>
        <v>408</v>
      </c>
      <c r="J1464" s="34" t="str">
        <f aca="false">'Uso e Consumo'!M1464</f>
        <v>3.8.1.006 - Aditivos e produtos químicos</v>
      </c>
      <c r="K1464" s="32" t="str">
        <f aca="false">INDEX('Curva ABC'!$K$8:$K$2847,MATCH(D1464,'Curva ABC'!$B$8:$B$2847,0))</f>
        <v>C</v>
      </c>
    </row>
    <row r="1465" customFormat="false" ht="15" hidden="false" customHeight="false" outlineLevel="0" collapsed="false">
      <c r="A1465" s="34" t="s">
        <v>5799</v>
      </c>
      <c r="B1465" s="34" t="str">
        <f aca="false">'Uso e Consumo'!A1465</f>
        <v>0335</v>
      </c>
      <c r="C1465" s="34" t="str">
        <f aca="false">'Uso e Consumo'!B1465</f>
        <v>UFV NORONHA VERDE - USO E CONSUMO</v>
      </c>
      <c r="D1465" s="33" t="n">
        <f aca="false">'Uso e Consumo'!C1465</f>
        <v>136459</v>
      </c>
      <c r="E1465" s="34" t="str">
        <f aca="false">'Uso e Consumo'!D1465</f>
        <v>01.03.0013</v>
      </c>
      <c r="F1465" s="34" t="str">
        <f aca="false">'Uso e Consumo'!E1465</f>
        <v>AÇO CARBONO CA-60 VERGALHÃO NERVURADO 5,0MM X 12 M NBR 7480 (0,154 KG/M) – CORTADO E DOBRADO</v>
      </c>
      <c r="G1465" s="34" t="str">
        <f aca="false">'Uso e Consumo'!J1465</f>
        <v>KG</v>
      </c>
      <c r="H1465" s="49" t="n">
        <f aca="false">'Uso e Consumo'!F1465</f>
        <v>66.2808</v>
      </c>
      <c r="I1465" s="35" t="n">
        <f aca="false">'Uso e Consumo'!G1465</f>
        <v>407.9508</v>
      </c>
      <c r="J1465" s="34" t="str">
        <f aca="false">'Uso e Consumo'!M1465</f>
        <v>3.8.1.001 - Aços e trefilados</v>
      </c>
      <c r="K1465" s="32" t="str">
        <f aca="false">INDEX('Curva ABC'!$K$8:$K$2847,MATCH(D1465,'Curva ABC'!$B$8:$B$2847,0))</f>
        <v>C</v>
      </c>
    </row>
    <row r="1466" customFormat="false" ht="15" hidden="false" customHeight="false" outlineLevel="0" collapsed="false">
      <c r="A1466" s="34" t="s">
        <v>5799</v>
      </c>
      <c r="B1466" s="34" t="str">
        <f aca="false">'Uso e Consumo'!A1466</f>
        <v>0335</v>
      </c>
      <c r="C1466" s="34" t="str">
        <f aca="false">'Uso e Consumo'!B1466</f>
        <v>UFV NORONHA VERDE - USO E CONSUMO</v>
      </c>
      <c r="D1466" s="33" t="n">
        <f aca="false">'Uso e Consumo'!C1466</f>
        <v>55089</v>
      </c>
      <c r="E1466" s="34" t="str">
        <f aca="false">'Uso e Consumo'!D1466</f>
        <v>17.10.0220</v>
      </c>
      <c r="F1466" s="34" t="str">
        <f aca="false">'Uso e Consumo'!E1466</f>
        <v>DISJUNTOR MONOFÁSICO 10A – 110/220V NBR 60898</v>
      </c>
      <c r="G1466" s="34" t="str">
        <f aca="false">'Uso e Consumo'!J1466</f>
        <v>UN</v>
      </c>
      <c r="H1466" s="49" t="n">
        <f aca="false">'Uso e Consumo'!F1466</f>
        <v>26</v>
      </c>
      <c r="I1466" s="35" t="n">
        <f aca="false">'Uso e Consumo'!G1466</f>
        <v>407.95</v>
      </c>
      <c r="J1466" s="34" t="str">
        <f aca="false">'Uso e Consumo'!M1466</f>
        <v>3.8.1.017 - Instalações elétricas/telefônicas/lógica</v>
      </c>
      <c r="K1466" s="32" t="str">
        <f aca="false">INDEX('Curva ABC'!$K$8:$K$2847,MATCH(D1466,'Curva ABC'!$B$8:$B$2847,0))</f>
        <v>C</v>
      </c>
    </row>
    <row r="1467" customFormat="false" ht="15" hidden="false" customHeight="false" outlineLevel="0" collapsed="false">
      <c r="A1467" s="34" t="s">
        <v>5799</v>
      </c>
      <c r="B1467" s="34" t="str">
        <f aca="false">'Uso e Consumo'!A1467</f>
        <v>0335</v>
      </c>
      <c r="C1467" s="34" t="str">
        <f aca="false">'Uso e Consumo'!B1467</f>
        <v>UFV NORONHA VERDE - USO E CONSUMO</v>
      </c>
      <c r="D1467" s="33" t="n">
        <f aca="false">'Uso e Consumo'!C1467</f>
        <v>18108</v>
      </c>
      <c r="E1467" s="34" t="str">
        <f aca="false">'Uso e Consumo'!D1467</f>
        <v>24.14.0002</v>
      </c>
      <c r="F1467" s="34" t="str">
        <f aca="false">'Uso e Consumo'!E1467</f>
        <v>MARRETA OITAVADA AÇO CARBONO 1,500KG</v>
      </c>
      <c r="G1467" s="34" t="str">
        <f aca="false">'Uso e Consumo'!J1467</f>
        <v>UN</v>
      </c>
      <c r="H1467" s="49" t="n">
        <f aca="false">'Uso e Consumo'!F1467</f>
        <v>7</v>
      </c>
      <c r="I1467" s="35" t="n">
        <f aca="false">'Uso e Consumo'!G1467</f>
        <v>406</v>
      </c>
      <c r="J1467" s="34" t="str">
        <f aca="false">'Uso e Consumo'!M1467</f>
        <v>3.8.2.002 - Ferramentas manuais</v>
      </c>
      <c r="K1467" s="32" t="str">
        <f aca="false">INDEX('Curva ABC'!$K$8:$K$2847,MATCH(D1467,'Curva ABC'!$B$8:$B$2847,0))</f>
        <v>C</v>
      </c>
    </row>
    <row r="1468" customFormat="false" ht="15" hidden="false" customHeight="false" outlineLevel="0" collapsed="false">
      <c r="A1468" s="34" t="s">
        <v>5799</v>
      </c>
      <c r="B1468" s="34" t="str">
        <f aca="false">'Uso e Consumo'!A1468</f>
        <v>0335</v>
      </c>
      <c r="C1468" s="34" t="str">
        <f aca="false">'Uso e Consumo'!B1468</f>
        <v>UFV NORONHA VERDE - USO E CONSUMO</v>
      </c>
      <c r="D1468" s="33" t="n">
        <f aca="false">'Uso e Consumo'!C1468</f>
        <v>293946</v>
      </c>
      <c r="E1468" s="34" t="str">
        <f aca="false">'Uso e Consumo'!D1468</f>
        <v>17.09.0062</v>
      </c>
      <c r="F1468" s="34" t="str">
        <f aca="false">'Uso e Consumo'!E1468</f>
        <v>BARRAMENTO TERRA 12 FUROS</v>
      </c>
      <c r="G1468" s="34" t="str">
        <f aca="false">'Uso e Consumo'!J1468</f>
        <v>UN</v>
      </c>
      <c r="H1468" s="49" t="n">
        <f aca="false">'Uso e Consumo'!F1468</f>
        <v>7</v>
      </c>
      <c r="I1468" s="35" t="n">
        <f aca="false">'Uso e Consumo'!G1468</f>
        <v>406</v>
      </c>
      <c r="J1468" s="34" t="str">
        <f aca="false">'Uso e Consumo'!M1468</f>
        <v>3.8.1.017 - Instalações elétricas/telefônicas/lógica</v>
      </c>
      <c r="K1468" s="32" t="str">
        <f aca="false">INDEX('Curva ABC'!$K$8:$K$2847,MATCH(D1468,'Curva ABC'!$B$8:$B$2847,0))</f>
        <v>C</v>
      </c>
    </row>
    <row r="1469" customFormat="false" ht="15" hidden="false" customHeight="false" outlineLevel="0" collapsed="false">
      <c r="A1469" s="34" t="s">
        <v>5799</v>
      </c>
      <c r="B1469" s="34" t="str">
        <f aca="false">'Uso e Consumo'!A1469</f>
        <v>0335</v>
      </c>
      <c r="C1469" s="34" t="str">
        <f aca="false">'Uso e Consumo'!B1469</f>
        <v>UFV NORONHA VERDE - USO E CONSUMO</v>
      </c>
      <c r="D1469" s="33" t="n">
        <f aca="false">'Uso e Consumo'!C1469</f>
        <v>604210</v>
      </c>
      <c r="E1469" s="34" t="str">
        <f aca="false">'Uso e Consumo'!D1469</f>
        <v>17.02.0585</v>
      </c>
      <c r="F1469" s="34" t="str">
        <f aca="false">'Uso e Consumo'!E1469</f>
        <v>TUBO ELET SOLD CL.A 20MM C/3MT TIGRE</v>
      </c>
      <c r="G1469" s="34" t="str">
        <f aca="false">'Uso e Consumo'!J1469</f>
        <v>UN</v>
      </c>
      <c r="H1469" s="49" t="n">
        <f aca="false">'Uso e Consumo'!F1469</f>
        <v>7</v>
      </c>
      <c r="I1469" s="35" t="n">
        <f aca="false">'Uso e Consumo'!G1469</f>
        <v>406</v>
      </c>
      <c r="J1469" s="34" t="str">
        <f aca="false">'Uso e Consumo'!M1469</f>
        <v>3.8.1.017 - Instalações elétricas/telefônicas/lógica</v>
      </c>
      <c r="K1469" s="32" t="str">
        <f aca="false">INDEX('Curva ABC'!$K$8:$K$2847,MATCH(D1469,'Curva ABC'!$B$8:$B$2847,0))</f>
        <v>C</v>
      </c>
    </row>
    <row r="1470" customFormat="false" ht="15" hidden="false" customHeight="false" outlineLevel="0" collapsed="false">
      <c r="A1470" s="34" t="s">
        <v>5799</v>
      </c>
      <c r="B1470" s="34" t="str">
        <f aca="false">'Uso e Consumo'!A1470</f>
        <v>0335</v>
      </c>
      <c r="C1470" s="34" t="str">
        <f aca="false">'Uso e Consumo'!B1470</f>
        <v>UFV NORONHA VERDE - USO E CONSUMO</v>
      </c>
      <c r="D1470" s="33" t="n">
        <f aca="false">'Uso e Consumo'!C1470</f>
        <v>23538</v>
      </c>
      <c r="E1470" s="34" t="str">
        <f aca="false">'Uso e Consumo'!D1470</f>
        <v>25.03.0168</v>
      </c>
      <c r="F1470" s="34" t="str">
        <f aca="false">'Uso e Consumo'!E1470</f>
        <v>BROCA AÇO RAPIDO 3/8</v>
      </c>
      <c r="G1470" s="34" t="str">
        <f aca="false">'Uso e Consumo'!J1470</f>
        <v>UN</v>
      </c>
      <c r="H1470" s="49" t="n">
        <f aca="false">'Uso e Consumo'!F1470</f>
        <v>18</v>
      </c>
      <c r="I1470" s="35" t="n">
        <f aca="false">'Uso e Consumo'!G1470</f>
        <v>405.72</v>
      </c>
      <c r="J1470" s="34" t="str">
        <f aca="false">'Uso e Consumo'!M1470</f>
        <v>3.8.2.004 - Consumíveis para corte, perfuração e desbaste</v>
      </c>
      <c r="K1470" s="32" t="str">
        <f aca="false">INDEX('Curva ABC'!$K$8:$K$2847,MATCH(D1470,'Curva ABC'!$B$8:$B$2847,0))</f>
        <v>C</v>
      </c>
    </row>
    <row r="1471" customFormat="false" ht="15" hidden="false" customHeight="false" outlineLevel="0" collapsed="false">
      <c r="A1471" s="34" t="s">
        <v>5799</v>
      </c>
      <c r="B1471" s="34" t="str">
        <f aca="false">'Uso e Consumo'!A1471</f>
        <v>0335</v>
      </c>
      <c r="C1471" s="34" t="str">
        <f aca="false">'Uso e Consumo'!B1471</f>
        <v>UFV NORONHA VERDE - USO E CONSUMO</v>
      </c>
      <c r="D1471" s="33" t="n">
        <f aca="false">'Uso e Consumo'!C1471</f>
        <v>65918</v>
      </c>
      <c r="E1471" s="34" t="str">
        <f aca="false">'Uso e Consumo'!D1471</f>
        <v>25.03.0242</v>
      </c>
      <c r="F1471" s="34" t="str">
        <f aca="false">'Uso e Consumo'!E1471</f>
        <v>BROCA P/MADEIRA 12MM</v>
      </c>
      <c r="G1471" s="34" t="str">
        <f aca="false">'Uso e Consumo'!J1471</f>
        <v>UN</v>
      </c>
      <c r="H1471" s="49" t="n">
        <f aca="false">'Uso e Consumo'!F1471</f>
        <v>10</v>
      </c>
      <c r="I1471" s="35" t="n">
        <f aca="false">'Uso e Consumo'!G1471</f>
        <v>405.4</v>
      </c>
      <c r="J1471" s="34" t="str">
        <f aca="false">'Uso e Consumo'!M1471</f>
        <v>3.8.2.004 - Consumíveis para corte, perfuração e desbaste</v>
      </c>
      <c r="K1471" s="32" t="str">
        <f aca="false">INDEX('Curva ABC'!$K$8:$K$2847,MATCH(D1471,'Curva ABC'!$B$8:$B$2847,0))</f>
        <v>C</v>
      </c>
    </row>
    <row r="1472" customFormat="false" ht="15" hidden="false" customHeight="false" outlineLevel="0" collapsed="false">
      <c r="A1472" s="34" t="s">
        <v>5799</v>
      </c>
      <c r="B1472" s="34" t="str">
        <f aca="false">'Uso e Consumo'!A1472</f>
        <v>0335</v>
      </c>
      <c r="C1472" s="34" t="str">
        <f aca="false">'Uso e Consumo'!B1472</f>
        <v>UFV NORONHA VERDE - USO E CONSUMO</v>
      </c>
      <c r="D1472" s="33" t="n">
        <f aca="false">'Uso e Consumo'!C1472</f>
        <v>557602</v>
      </c>
      <c r="E1472" s="34" t="str">
        <f aca="false">'Uso e Consumo'!D1472</f>
        <v>24.41.0202</v>
      </c>
      <c r="F1472" s="34" t="str">
        <f aca="false">'Uso e Consumo'!E1472</f>
        <v>SOQUETE  1/2X 08MM  SEXT. 015005  015005 19-10 GEDORE</v>
      </c>
      <c r="G1472" s="34" t="str">
        <f aca="false">'Uso e Consumo'!J1472</f>
        <v>UN</v>
      </c>
      <c r="H1472" s="49" t="n">
        <f aca="false">'Uso e Consumo'!F1472</f>
        <v>15</v>
      </c>
      <c r="I1472" s="35" t="n">
        <f aca="false">'Uso e Consumo'!G1472</f>
        <v>405</v>
      </c>
      <c r="J1472" s="34" t="str">
        <f aca="false">'Uso e Consumo'!M1472</f>
        <v>3.8.2.002 - Ferramentas manuais</v>
      </c>
      <c r="K1472" s="32" t="str">
        <f aca="false">INDEX('Curva ABC'!$K$8:$K$2847,MATCH(D1472,'Curva ABC'!$B$8:$B$2847,0))</f>
        <v>C</v>
      </c>
    </row>
    <row r="1473" customFormat="false" ht="15" hidden="false" customHeight="false" outlineLevel="0" collapsed="false">
      <c r="A1473" s="34" t="s">
        <v>5799</v>
      </c>
      <c r="B1473" s="34" t="str">
        <f aca="false">'Uso e Consumo'!A1473</f>
        <v>0335</v>
      </c>
      <c r="C1473" s="34" t="str">
        <f aca="false">'Uso e Consumo'!B1473</f>
        <v>UFV NORONHA VERDE - USO E CONSUMO</v>
      </c>
      <c r="D1473" s="33" t="n">
        <f aca="false">'Uso e Consumo'!C1473</f>
        <v>60870</v>
      </c>
      <c r="E1473" s="34" t="str">
        <f aca="false">'Uso e Consumo'!D1473</f>
        <v>24.09.0330</v>
      </c>
      <c r="F1473" s="34" t="str">
        <f aca="false">'Uso e Consumo'!E1473</f>
        <v>CHAVE SOQUETE TIPO MULTIDENTADA M13 COM GUIA E ENCAIXE DE 1/2</v>
      </c>
      <c r="G1473" s="34" t="str">
        <f aca="false">'Uso e Consumo'!J1473</f>
        <v>UN</v>
      </c>
      <c r="H1473" s="49" t="n">
        <f aca="false">'Uso e Consumo'!F1473</f>
        <v>6</v>
      </c>
      <c r="I1473" s="35" t="n">
        <f aca="false">'Uso e Consumo'!G1473</f>
        <v>402</v>
      </c>
      <c r="J1473" s="34" t="str">
        <f aca="false">'Uso e Consumo'!M1473</f>
        <v>3.8.2.002 - Ferramentas manuais</v>
      </c>
      <c r="K1473" s="32" t="str">
        <f aca="false">INDEX('Curva ABC'!$K$8:$K$2847,MATCH(D1473,'Curva ABC'!$B$8:$B$2847,0))</f>
        <v>C</v>
      </c>
    </row>
    <row r="1474" customFormat="false" ht="15" hidden="false" customHeight="false" outlineLevel="0" collapsed="false">
      <c r="A1474" s="34" t="s">
        <v>5799</v>
      </c>
      <c r="B1474" s="34" t="str">
        <f aca="false">'Uso e Consumo'!A1474</f>
        <v>0335</v>
      </c>
      <c r="C1474" s="34" t="str">
        <f aca="false">'Uso e Consumo'!B1474</f>
        <v>UFV NORONHA VERDE - USO E CONSUMO</v>
      </c>
      <c r="D1474" s="33" t="n">
        <f aca="false">'Uso e Consumo'!C1474</f>
        <v>1321002</v>
      </c>
      <c r="E1474" s="34" t="str">
        <f aca="false">'Uso e Consumo'!D1474</f>
        <v>17.07.0097</v>
      </c>
      <c r="F1474" s="34" t="str">
        <f aca="false">'Uso e Consumo'!E1474</f>
        <v>CAIXA DE PASSAGEM DE SOBREPOR 15,00 CM X 15,00 CM X 8,00 CM EM PVC </v>
      </c>
      <c r="G1474" s="34" t="str">
        <f aca="false">'Uso e Consumo'!J1474</f>
        <v>UN</v>
      </c>
      <c r="H1474" s="49" t="n">
        <f aca="false">'Uso e Consumo'!F1474</f>
        <v>11</v>
      </c>
      <c r="I1474" s="35" t="n">
        <f aca="false">'Uso e Consumo'!G1474</f>
        <v>401.5</v>
      </c>
      <c r="J1474" s="34" t="str">
        <f aca="false">'Uso e Consumo'!M1474</f>
        <v>3.8.1.017 - Instalações elétricas/telefônicas/lógica</v>
      </c>
      <c r="K1474" s="32" t="str">
        <f aca="false">INDEX('Curva ABC'!$K$8:$K$2847,MATCH(D1474,'Curva ABC'!$B$8:$B$2847,0))</f>
        <v>C</v>
      </c>
    </row>
    <row r="1475" customFormat="false" ht="15" hidden="false" customHeight="false" outlineLevel="0" collapsed="false">
      <c r="A1475" s="34" t="s">
        <v>5799</v>
      </c>
      <c r="B1475" s="34" t="str">
        <f aca="false">'Uso e Consumo'!A1475</f>
        <v>0335</v>
      </c>
      <c r="C1475" s="34" t="str">
        <f aca="false">'Uso e Consumo'!B1475</f>
        <v>UFV NORONHA VERDE - USO E CONSUMO</v>
      </c>
      <c r="D1475" s="33" t="n">
        <f aca="false">'Uso e Consumo'!C1475</f>
        <v>476066</v>
      </c>
      <c r="E1475" s="34" t="str">
        <f aca="false">'Uso e Consumo'!D1475</f>
        <v>32.12.0136</v>
      </c>
      <c r="F1475" s="34" t="str">
        <f aca="false">'Uso e Consumo'!E1475</f>
        <v>TERMÔMETRO C/ ESCALA DE --10 + 50°C E SUBD. DE 0,5°C COM CERTIFICADO IPEM</v>
      </c>
      <c r="G1475" s="34" t="str">
        <f aca="false">'Uso e Consumo'!J1475</f>
        <v>UN</v>
      </c>
      <c r="H1475" s="49" t="n">
        <f aca="false">'Uso e Consumo'!F1475</f>
        <v>1</v>
      </c>
      <c r="I1475" s="35" t="n">
        <f aca="false">'Uso e Consumo'!G1475</f>
        <v>401</v>
      </c>
      <c r="J1475" s="34" t="str">
        <f aca="false">'Uso e Consumo'!M1475</f>
        <v>4.1.1.011 - Instrumentos para medição</v>
      </c>
      <c r="K1475" s="32" t="str">
        <f aca="false">INDEX('Curva ABC'!$K$8:$K$2847,MATCH(D1475,'Curva ABC'!$B$8:$B$2847,0))</f>
        <v>C</v>
      </c>
    </row>
    <row r="1476" customFormat="false" ht="15" hidden="false" customHeight="false" outlineLevel="0" collapsed="false">
      <c r="A1476" s="34" t="s">
        <v>5799</v>
      </c>
      <c r="B1476" s="34" t="str">
        <f aca="false">'Uso e Consumo'!A1476</f>
        <v>0335</v>
      </c>
      <c r="C1476" s="34" t="str">
        <f aca="false">'Uso e Consumo'!B1476</f>
        <v>UFV NORONHA VERDE - USO E CONSUMO</v>
      </c>
      <c r="D1476" s="33" t="n">
        <f aca="false">'Uso e Consumo'!C1476</f>
        <v>18923</v>
      </c>
      <c r="E1476" s="34" t="str">
        <f aca="false">'Uso e Consumo'!D1476</f>
        <v>26.07.0001</v>
      </c>
      <c r="F1476" s="34" t="str">
        <f aca="false">'Uso e Consumo'!E1476</f>
        <v>RESPIRADOR SEMI-FACIAL DESCARTÁVEL - PFF1 / P1 (POEIRA E/OU NÉVOAS) - TAM ÚNICO  (CA-19491/11035/305</v>
      </c>
      <c r="G1476" s="34" t="str">
        <f aca="false">'Uso e Consumo'!J1476</f>
        <v>UN</v>
      </c>
      <c r="H1476" s="49" t="n">
        <f aca="false">'Uso e Consumo'!F1476</f>
        <v>450</v>
      </c>
      <c r="I1476" s="35" t="n">
        <f aca="false">'Uso e Consumo'!G1476</f>
        <v>400.5</v>
      </c>
      <c r="J1476" s="34" t="str">
        <f aca="false">'Uso e Consumo'!M1476</f>
        <v>4.3.4.001 - Equipamento de proteção individual</v>
      </c>
      <c r="K1476" s="32" t="str">
        <f aca="false">INDEX('Curva ABC'!$K$8:$K$2847,MATCH(D1476,'Curva ABC'!$B$8:$B$2847,0))</f>
        <v>C</v>
      </c>
    </row>
    <row r="1477" customFormat="false" ht="15" hidden="false" customHeight="false" outlineLevel="0" collapsed="false">
      <c r="A1477" s="34" t="s">
        <v>5799</v>
      </c>
      <c r="B1477" s="34" t="str">
        <f aca="false">'Uso e Consumo'!A1477</f>
        <v>0335</v>
      </c>
      <c r="C1477" s="34" t="str">
        <f aca="false">'Uso e Consumo'!B1477</f>
        <v>UFV NORONHA VERDE - USO E CONSUMO</v>
      </c>
      <c r="D1477" s="33" t="n">
        <f aca="false">'Uso e Consumo'!C1477</f>
        <v>1608985</v>
      </c>
      <c r="E1477" s="34" t="str">
        <f aca="false">'Uso e Consumo'!D1477</f>
        <v>24.25.0033</v>
      </c>
      <c r="F1477" s="34" t="str">
        <f aca="false">'Uso e Consumo'!E1477</f>
        <v>SERRA COPO BIMETAL 64MM  2.1/2"</v>
      </c>
      <c r="G1477" s="34" t="str">
        <f aca="false">'Uso e Consumo'!J1477</f>
        <v>UN</v>
      </c>
      <c r="H1477" s="49" t="n">
        <f aca="false">'Uso e Consumo'!F1477</f>
        <v>5</v>
      </c>
      <c r="I1477" s="35" t="n">
        <f aca="false">'Uso e Consumo'!G1477</f>
        <v>400</v>
      </c>
      <c r="J1477" s="34" t="str">
        <f aca="false">'Uso e Consumo'!M1477</f>
        <v>3.8.2.003 - Ferramentas elétricas/pneumáticas</v>
      </c>
      <c r="K1477" s="32" t="str">
        <f aca="false">INDEX('Curva ABC'!$K$8:$K$2847,MATCH(D1477,'Curva ABC'!$B$8:$B$2847,0))</f>
        <v>C</v>
      </c>
    </row>
    <row r="1478" customFormat="false" ht="15" hidden="false" customHeight="false" outlineLevel="0" collapsed="false">
      <c r="A1478" s="34" t="s">
        <v>5799</v>
      </c>
      <c r="B1478" s="34" t="str">
        <f aca="false">'Uso e Consumo'!A1478</f>
        <v>0335</v>
      </c>
      <c r="C1478" s="34" t="str">
        <f aca="false">'Uso e Consumo'!B1478</f>
        <v>UFV NORONHA VERDE - USO E CONSUMO</v>
      </c>
      <c r="D1478" s="33" t="n">
        <f aca="false">'Uso e Consumo'!C1478</f>
        <v>58427</v>
      </c>
      <c r="E1478" s="34" t="str">
        <f aca="false">'Uso e Consumo'!D1478</f>
        <v>33.02.0959</v>
      </c>
      <c r="F1478" s="34" t="str">
        <f aca="false">'Uso e Consumo'!E1478</f>
        <v>CAPA PROTETORA 1617000163</v>
      </c>
      <c r="G1478" s="34" t="str">
        <f aca="false">'Uso e Consumo'!J1478</f>
        <v>UN</v>
      </c>
      <c r="H1478" s="49" t="n">
        <f aca="false">'Uso e Consumo'!F1478</f>
        <v>10</v>
      </c>
      <c r="I1478" s="35" t="n">
        <f aca="false">'Uso e Consumo'!G1478</f>
        <v>399.9</v>
      </c>
      <c r="J1478" s="34" t="str">
        <f aca="false">'Uso e Consumo'!M1478</f>
        <v>3.1.6.002 - Pneus e peças</v>
      </c>
      <c r="K1478" s="32" t="str">
        <f aca="false">INDEX('Curva ABC'!$K$8:$K$2847,MATCH(D1478,'Curva ABC'!$B$8:$B$2847,0))</f>
        <v>C</v>
      </c>
    </row>
    <row r="1479" customFormat="false" ht="15" hidden="false" customHeight="false" outlineLevel="0" collapsed="false">
      <c r="A1479" s="34" t="s">
        <v>5799</v>
      </c>
      <c r="B1479" s="34" t="str">
        <f aca="false">'Uso e Consumo'!A1479</f>
        <v>0335</v>
      </c>
      <c r="C1479" s="34" t="str">
        <f aca="false">'Uso e Consumo'!B1479</f>
        <v>UFV NORONHA VERDE - USO E CONSUMO</v>
      </c>
      <c r="D1479" s="33" t="n">
        <f aca="false">'Uso e Consumo'!C1479</f>
        <v>846434</v>
      </c>
      <c r="E1479" s="34" t="str">
        <f aca="false">'Uso e Consumo'!D1479</f>
        <v>24.41.0282</v>
      </c>
      <c r="F1479" s="34" t="str">
        <f aca="false">'Uso e Consumo'!E1479</f>
        <v>MORSA PARA BANCADA 8"</v>
      </c>
      <c r="G1479" s="34" t="str">
        <f aca="false">'Uso e Consumo'!J1479</f>
        <v>UN</v>
      </c>
      <c r="H1479" s="49" t="n">
        <f aca="false">'Uso e Consumo'!F1479</f>
        <v>1</v>
      </c>
      <c r="I1479" s="35" t="n">
        <f aca="false">'Uso e Consumo'!G1479</f>
        <v>399.81</v>
      </c>
      <c r="J1479" s="34" t="str">
        <f aca="false">'Uso e Consumo'!M1479</f>
        <v>3.8.2.002 - Ferramentas manuais</v>
      </c>
      <c r="K1479" s="32" t="str">
        <f aca="false">INDEX('Curva ABC'!$K$8:$K$2847,MATCH(D1479,'Curva ABC'!$B$8:$B$2847,0))</f>
        <v>C</v>
      </c>
    </row>
    <row r="1480" customFormat="false" ht="15" hidden="false" customHeight="false" outlineLevel="0" collapsed="false">
      <c r="A1480" s="34" t="s">
        <v>5799</v>
      </c>
      <c r="B1480" s="34" t="str">
        <f aca="false">'Uso e Consumo'!A1480</f>
        <v>0335</v>
      </c>
      <c r="C1480" s="34" t="str">
        <f aca="false">'Uso e Consumo'!B1480</f>
        <v>UFV NORONHA VERDE - USO E CONSUMO</v>
      </c>
      <c r="D1480" s="33" t="n">
        <f aca="false">'Uso e Consumo'!C1480</f>
        <v>549249</v>
      </c>
      <c r="E1480" s="34" t="str">
        <f aca="false">'Uso e Consumo'!D1480</f>
        <v>17.10.0357</v>
      </c>
      <c r="F1480" s="34" t="str">
        <f aca="false">'Uso e Consumo'!E1480</f>
        <v>DISJUNTOR TRIFÁSICO 32A</v>
      </c>
      <c r="G1480" s="34" t="str">
        <f aca="false">'Uso e Consumo'!J1480</f>
        <v>UN</v>
      </c>
      <c r="H1480" s="49" t="n">
        <f aca="false">'Uso e Consumo'!F1480</f>
        <v>1</v>
      </c>
      <c r="I1480" s="35" t="n">
        <f aca="false">'Uso e Consumo'!G1480</f>
        <v>398</v>
      </c>
      <c r="J1480" s="34" t="str">
        <f aca="false">'Uso e Consumo'!M1480</f>
        <v>3.8.1.017 - Instalações elétricas/telefônicas/lógica</v>
      </c>
      <c r="K1480" s="32" t="str">
        <f aca="false">INDEX('Curva ABC'!$K$8:$K$2847,MATCH(D1480,'Curva ABC'!$B$8:$B$2847,0))</f>
        <v>C</v>
      </c>
    </row>
    <row r="1481" customFormat="false" ht="15" hidden="false" customHeight="false" outlineLevel="0" collapsed="false">
      <c r="A1481" s="34" t="s">
        <v>5799</v>
      </c>
      <c r="B1481" s="34" t="str">
        <f aca="false">'Uso e Consumo'!A1481</f>
        <v>0335</v>
      </c>
      <c r="C1481" s="34" t="str">
        <f aca="false">'Uso e Consumo'!B1481</f>
        <v>UFV NORONHA VERDE - USO E CONSUMO</v>
      </c>
      <c r="D1481" s="33" t="n">
        <f aca="false">'Uso e Consumo'!C1481</f>
        <v>1662737</v>
      </c>
      <c r="E1481" s="34" t="str">
        <f aca="false">'Uso e Consumo'!D1481</f>
        <v>17.11.1156</v>
      </c>
      <c r="F1481" s="34" t="str">
        <f aca="false">'Uso e Consumo'!E1481</f>
        <v>PLACA SAIDA DE EMERGENCIA AUTONOMA 24X18 CM, 5 LEDS, 30 LM, 220 V, BATERIA LITIO, AUTONOMIA 3 H</v>
      </c>
      <c r="G1481" s="34" t="str">
        <f aca="false">'Uso e Consumo'!J1481</f>
        <v>UN</v>
      </c>
      <c r="H1481" s="49" t="n">
        <f aca="false">'Uso e Consumo'!F1481</f>
        <v>6</v>
      </c>
      <c r="I1481" s="35" t="n">
        <f aca="false">'Uso e Consumo'!G1481</f>
        <v>397</v>
      </c>
      <c r="J1481" s="34" t="str">
        <f aca="false">'Uso e Consumo'!M1481</f>
        <v>3.8.1.017 - Instalações elétricas/telefônicas/lógica</v>
      </c>
      <c r="K1481" s="32" t="str">
        <f aca="false">INDEX('Curva ABC'!$K$8:$K$2847,MATCH(D1481,'Curva ABC'!$B$8:$B$2847,0))</f>
        <v>C</v>
      </c>
    </row>
    <row r="1482" customFormat="false" ht="15" hidden="false" customHeight="false" outlineLevel="0" collapsed="false">
      <c r="A1482" s="34" t="s">
        <v>5799</v>
      </c>
      <c r="B1482" s="34" t="str">
        <f aca="false">'Uso e Consumo'!A1482</f>
        <v>0335</v>
      </c>
      <c r="C1482" s="34" t="str">
        <f aca="false">'Uso e Consumo'!B1482</f>
        <v>UFV NORONHA VERDE - USO E CONSUMO</v>
      </c>
      <c r="D1482" s="33" t="n">
        <f aca="false">'Uso e Consumo'!C1482</f>
        <v>1313781</v>
      </c>
      <c r="E1482" s="34" t="str">
        <f aca="false">'Uso e Consumo'!D1482</f>
        <v>33.02.3132</v>
      </c>
      <c r="F1482" s="34" t="str">
        <f aca="false">'Uso e Consumo'!E1482</f>
        <v>FILTRO DE AR 1135-120-1601</v>
      </c>
      <c r="G1482" s="34" t="str">
        <f aca="false">'Uso e Consumo'!J1482</f>
        <v>UN</v>
      </c>
      <c r="H1482" s="49" t="n">
        <f aca="false">'Uso e Consumo'!F1482</f>
        <v>5</v>
      </c>
      <c r="I1482" s="35" t="n">
        <f aca="false">'Uso e Consumo'!G1482</f>
        <v>396.25</v>
      </c>
      <c r="J1482" s="34" t="str">
        <f aca="false">'Uso e Consumo'!M1482</f>
        <v>3.1.6.002 - Pneus e peças</v>
      </c>
      <c r="K1482" s="32" t="str">
        <f aca="false">INDEX('Curva ABC'!$K$8:$K$2847,MATCH(D1482,'Curva ABC'!$B$8:$B$2847,0))</f>
        <v>C</v>
      </c>
    </row>
    <row r="1483" customFormat="false" ht="15" hidden="false" customHeight="false" outlineLevel="0" collapsed="false">
      <c r="A1483" s="34" t="s">
        <v>5799</v>
      </c>
      <c r="B1483" s="34" t="str">
        <f aca="false">'Uso e Consumo'!A1483</f>
        <v>0335</v>
      </c>
      <c r="C1483" s="34" t="str">
        <f aca="false">'Uso e Consumo'!B1483</f>
        <v>UFV NORONHA VERDE - USO E CONSUMO</v>
      </c>
      <c r="D1483" s="33" t="n">
        <f aca="false">'Uso e Consumo'!C1483</f>
        <v>294251</v>
      </c>
      <c r="E1483" s="34" t="str">
        <f aca="false">'Uso e Consumo'!D1483</f>
        <v>23.07.1175</v>
      </c>
      <c r="F1483" s="34" t="str">
        <f aca="false">'Uso e Consumo'!E1483</f>
        <v>PARAFUSO SEXTAVADO ALTO BROCANTE 1/4"X1"</v>
      </c>
      <c r="G1483" s="34" t="str">
        <f aca="false">'Uso e Consumo'!J1483</f>
        <v>UN</v>
      </c>
      <c r="H1483" s="49" t="n">
        <f aca="false">'Uso e Consumo'!F1483</f>
        <v>200</v>
      </c>
      <c r="I1483" s="35" t="n">
        <f aca="false">'Uso e Consumo'!G1483</f>
        <v>396</v>
      </c>
      <c r="J1483" s="34" t="str">
        <f aca="false">'Uso e Consumo'!M1483</f>
        <v>3.8.1.022 - Elementos de fixação</v>
      </c>
      <c r="K1483" s="32" t="str">
        <f aca="false">INDEX('Curva ABC'!$K$8:$K$2847,MATCH(D1483,'Curva ABC'!$B$8:$B$2847,0))</f>
        <v>C</v>
      </c>
    </row>
    <row r="1484" customFormat="false" ht="15" hidden="false" customHeight="false" outlineLevel="0" collapsed="false">
      <c r="A1484" s="34" t="s">
        <v>5799</v>
      </c>
      <c r="B1484" s="34" t="str">
        <f aca="false">'Uso e Consumo'!A1484</f>
        <v>0335</v>
      </c>
      <c r="C1484" s="34" t="str">
        <f aca="false">'Uso e Consumo'!B1484</f>
        <v>UFV NORONHA VERDE - USO E CONSUMO</v>
      </c>
      <c r="D1484" s="33" t="n">
        <f aca="false">'Uso e Consumo'!C1484</f>
        <v>1465501</v>
      </c>
      <c r="E1484" s="34" t="str">
        <f aca="false">'Uso e Consumo'!D1484</f>
        <v>17.01.1249</v>
      </c>
      <c r="F1484" s="34" t="str">
        <f aca="false">'Uso e Consumo'!E1484</f>
        <v>CABO MONOPOLAR 10 MM², EM COBRE NU, TÊMPERA MOLE, CLASSE 5, TENSÃO 0,6/1 KV, EM EPR, 90 °C, EM PVC, VERDE</v>
      </c>
      <c r="G1484" s="34" t="str">
        <f aca="false">'Uso e Consumo'!J1484</f>
        <v>M</v>
      </c>
      <c r="H1484" s="49" t="n">
        <f aca="false">'Uso e Consumo'!F1484</f>
        <v>30</v>
      </c>
      <c r="I1484" s="35" t="n">
        <f aca="false">'Uso e Consumo'!G1484</f>
        <v>395.1</v>
      </c>
      <c r="J1484" s="34" t="str">
        <f aca="false">'Uso e Consumo'!M1484</f>
        <v>3.8.1.017 - Instalações elétricas/telefônicas/lógica</v>
      </c>
      <c r="K1484" s="32" t="str">
        <f aca="false">INDEX('Curva ABC'!$K$8:$K$2847,MATCH(D1484,'Curva ABC'!$B$8:$B$2847,0))</f>
        <v>C</v>
      </c>
    </row>
    <row r="1485" customFormat="false" ht="15" hidden="false" customHeight="false" outlineLevel="0" collapsed="false">
      <c r="A1485" s="34" t="s">
        <v>5799</v>
      </c>
      <c r="B1485" s="34" t="str">
        <f aca="false">'Uso e Consumo'!A1485</f>
        <v>0335</v>
      </c>
      <c r="C1485" s="34" t="str">
        <f aca="false">'Uso e Consumo'!B1485</f>
        <v>UFV NORONHA VERDE - USO E CONSUMO</v>
      </c>
      <c r="D1485" s="33" t="n">
        <f aca="false">'Uso e Consumo'!C1485</f>
        <v>427429</v>
      </c>
      <c r="E1485" s="34" t="str">
        <f aca="false">'Uso e Consumo'!D1485</f>
        <v>17.16.0351</v>
      </c>
      <c r="F1485" s="34" t="str">
        <f aca="false">'Uso e Consumo'!E1485</f>
        <v>CONECTOR ATERRAMENTO CU CABOS 25-70MM</v>
      </c>
      <c r="G1485" s="34" t="str">
        <f aca="false">'Uso e Consumo'!J1485</f>
        <v>UN</v>
      </c>
      <c r="H1485" s="49" t="n">
        <f aca="false">'Uso e Consumo'!F1485</f>
        <v>12</v>
      </c>
      <c r="I1485" s="35" t="n">
        <f aca="false">'Uso e Consumo'!G1485</f>
        <v>394.68</v>
      </c>
      <c r="J1485" s="34" t="str">
        <f aca="false">'Uso e Consumo'!M1485</f>
        <v>3.8.1.017 - Instalações elétricas/telefônicas/lógica</v>
      </c>
      <c r="K1485" s="32" t="str">
        <f aca="false">INDEX('Curva ABC'!$K$8:$K$2847,MATCH(D1485,'Curva ABC'!$B$8:$B$2847,0))</f>
        <v>C</v>
      </c>
    </row>
    <row r="1486" customFormat="false" ht="15" hidden="false" customHeight="false" outlineLevel="0" collapsed="false">
      <c r="A1486" s="34" t="s">
        <v>5799</v>
      </c>
      <c r="B1486" s="34" t="str">
        <f aca="false">'Uso e Consumo'!A1486</f>
        <v>0335</v>
      </c>
      <c r="C1486" s="34" t="str">
        <f aca="false">'Uso e Consumo'!B1486</f>
        <v>UFV NORONHA VERDE - USO E CONSUMO</v>
      </c>
      <c r="D1486" s="33" t="n">
        <f aca="false">'Uso e Consumo'!C1486</f>
        <v>1685479</v>
      </c>
      <c r="E1486" s="34" t="str">
        <f aca="false">'Uso e Consumo'!D1486</f>
        <v>19.05.0030</v>
      </c>
      <c r="F1486" s="34" t="str">
        <f aca="false">'Uso e Consumo'!E1486</f>
        <v>TANQUE DUPLO DE FIBRA 1200MM</v>
      </c>
      <c r="G1486" s="34" t="str">
        <f aca="false">'Uso e Consumo'!J1486</f>
        <v>UN</v>
      </c>
      <c r="H1486" s="49" t="n">
        <f aca="false">'Uso e Consumo'!F1486</f>
        <v>1</v>
      </c>
      <c r="I1486" s="35" t="n">
        <f aca="false">'Uso e Consumo'!G1486</f>
        <v>393.88</v>
      </c>
      <c r="J1486" s="34" t="str">
        <f aca="false">'Uso e Consumo'!M1486</f>
        <v>3.8.1.018 - Instalações hidráulicas/sanitárias/industriais</v>
      </c>
      <c r="K1486" s="32" t="str">
        <f aca="false">INDEX('Curva ABC'!$K$8:$K$2847,MATCH(D1486,'Curva ABC'!$B$8:$B$2847,0))</f>
        <v>C</v>
      </c>
    </row>
    <row r="1487" customFormat="false" ht="15" hidden="false" customHeight="false" outlineLevel="0" collapsed="false">
      <c r="A1487" s="34" t="s">
        <v>5799</v>
      </c>
      <c r="B1487" s="34" t="str">
        <f aca="false">'Uso e Consumo'!A1487</f>
        <v>0335</v>
      </c>
      <c r="C1487" s="34" t="str">
        <f aca="false">'Uso e Consumo'!B1487</f>
        <v>UFV NORONHA VERDE - USO E CONSUMO</v>
      </c>
      <c r="D1487" s="33" t="n">
        <f aca="false">'Uso e Consumo'!C1487</f>
        <v>23814</v>
      </c>
      <c r="E1487" s="34" t="str">
        <f aca="false">'Uso e Consumo'!D1487</f>
        <v>26.10.0007</v>
      </c>
      <c r="F1487" s="34" t="str">
        <f aca="false">'Uso e Consumo'!E1487</f>
        <v>CALÇA IMPERMEAVEL CONTRA LIQUIDOS E RESPINGOS EM TREVIRA–KP 400–COM BOTAS DE PVC ACOPLADAS–TAM XG</v>
      </c>
      <c r="G1487" s="34" t="str">
        <f aca="false">'Uso e Consumo'!J1487</f>
        <v>UN</v>
      </c>
      <c r="H1487" s="49" t="n">
        <f aca="false">'Uso e Consumo'!F1487</f>
        <v>3</v>
      </c>
      <c r="I1487" s="35" t="n">
        <f aca="false">'Uso e Consumo'!G1487</f>
        <v>393</v>
      </c>
      <c r="J1487" s="34" t="str">
        <f aca="false">'Uso e Consumo'!M1487</f>
        <v>4.3.4.001 - Equipamento de proteção individual</v>
      </c>
      <c r="K1487" s="32" t="str">
        <f aca="false">INDEX('Curva ABC'!$K$8:$K$2847,MATCH(D1487,'Curva ABC'!$B$8:$B$2847,0))</f>
        <v>C</v>
      </c>
    </row>
    <row r="1488" customFormat="false" ht="15" hidden="false" customHeight="false" outlineLevel="0" collapsed="false">
      <c r="A1488" s="34" t="s">
        <v>5799</v>
      </c>
      <c r="B1488" s="34" t="str">
        <f aca="false">'Uso e Consumo'!A1488</f>
        <v>0335</v>
      </c>
      <c r="C1488" s="34" t="str">
        <f aca="false">'Uso e Consumo'!B1488</f>
        <v>UFV NORONHA VERDE - USO E CONSUMO</v>
      </c>
      <c r="D1488" s="33" t="n">
        <f aca="false">'Uso e Consumo'!C1488</f>
        <v>60674</v>
      </c>
      <c r="E1488" s="34" t="str">
        <f aca="false">'Uso e Consumo'!D1488</f>
        <v>26.02.0091</v>
      </c>
      <c r="F1488" s="34" t="str">
        <f aca="false">'Uso e Consumo'!E1488</f>
        <v>BOTA IMPERMEÁVEL DE PVC CANO CURTO - COR PRETA - Nº 40 (CA-26629/10199/28286)</v>
      </c>
      <c r="G1488" s="34" t="str">
        <f aca="false">'Uso e Consumo'!J1488</f>
        <v>PAR</v>
      </c>
      <c r="H1488" s="49" t="n">
        <f aca="false">'Uso e Consumo'!F1488</f>
        <v>4</v>
      </c>
      <c r="I1488" s="35" t="n">
        <f aca="false">'Uso e Consumo'!G1488</f>
        <v>392</v>
      </c>
      <c r="J1488" s="34" t="str">
        <f aca="false">'Uso e Consumo'!M1488</f>
        <v>4.3.4.001 - Equipamento de proteção individual</v>
      </c>
      <c r="K1488" s="32" t="str">
        <f aca="false">INDEX('Curva ABC'!$K$8:$K$2847,MATCH(D1488,'Curva ABC'!$B$8:$B$2847,0))</f>
        <v>C</v>
      </c>
    </row>
    <row r="1489" customFormat="false" ht="15" hidden="false" customHeight="false" outlineLevel="0" collapsed="false">
      <c r="A1489" s="34" t="s">
        <v>5799</v>
      </c>
      <c r="B1489" s="34" t="str">
        <f aca="false">'Uso e Consumo'!A1489</f>
        <v>0335</v>
      </c>
      <c r="C1489" s="34" t="str">
        <f aca="false">'Uso e Consumo'!B1489</f>
        <v>UFV NORONHA VERDE - USO E CONSUMO</v>
      </c>
      <c r="D1489" s="33" t="n">
        <f aca="false">'Uso e Consumo'!C1489</f>
        <v>1330285</v>
      </c>
      <c r="E1489" s="34" t="str">
        <f aca="false">'Uso e Consumo'!D1489</f>
        <v>25.11.0075</v>
      </c>
      <c r="F1489" s="34" t="str">
        <f aca="false">'Uso e Consumo'!E1489</f>
        <v>CORRENTE GALVANIZADA 8"</v>
      </c>
      <c r="G1489" s="34" t="str">
        <f aca="false">'Uso e Consumo'!J1489</f>
        <v>kg </v>
      </c>
      <c r="H1489" s="49" t="n">
        <f aca="false">'Uso e Consumo'!F1489</f>
        <v>3.056</v>
      </c>
      <c r="I1489" s="35" t="n">
        <f aca="false">'Uso e Consumo'!G1489</f>
        <v>391.17</v>
      </c>
      <c r="J1489" s="34" t="str">
        <f aca="false">'Uso e Consumo'!M1489</f>
        <v>3.8.2.006 - Utensílios</v>
      </c>
      <c r="K1489" s="32" t="str">
        <f aca="false">INDEX('Curva ABC'!$K$8:$K$2847,MATCH(D1489,'Curva ABC'!$B$8:$B$2847,0))</f>
        <v>C</v>
      </c>
    </row>
    <row r="1490" customFormat="false" ht="15" hidden="false" customHeight="false" outlineLevel="0" collapsed="false">
      <c r="A1490" s="34" t="s">
        <v>5799</v>
      </c>
      <c r="B1490" s="34" t="str">
        <f aca="false">'Uso e Consumo'!A1490</f>
        <v>0335</v>
      </c>
      <c r="C1490" s="34" t="str">
        <f aca="false">'Uso e Consumo'!B1490</f>
        <v>UFV NORONHA VERDE - USO E CONSUMO</v>
      </c>
      <c r="D1490" s="33" t="n">
        <f aca="false">'Uso e Consumo'!C1490</f>
        <v>12140</v>
      </c>
      <c r="E1490" s="34" t="str">
        <f aca="false">'Uso e Consumo'!D1490</f>
        <v>17.01.0227</v>
      </c>
      <c r="F1490" s="34" t="str">
        <f aca="false">'Uso e Consumo'!E1490</f>
        <v>CABO ELETRICO FLEXIVEL 0,6/1KV 1 X 2,50MM2 COBRE PVC CLASSE 4 AMARELO NBR 7288</v>
      </c>
      <c r="G1490" s="34" t="str">
        <f aca="false">'Uso e Consumo'!J1490</f>
        <v>M</v>
      </c>
      <c r="H1490" s="49" t="n">
        <f aca="false">'Uso e Consumo'!F1490</f>
        <v>10000</v>
      </c>
      <c r="I1490" s="35" t="n">
        <f aca="false">'Uso e Consumo'!G1490</f>
        <v>390</v>
      </c>
      <c r="J1490" s="34" t="str">
        <f aca="false">'Uso e Consumo'!M1490</f>
        <v>3.8.1.017 - Instalações elétricas/telefônicas/lógica</v>
      </c>
      <c r="K1490" s="32" t="str">
        <f aca="false">INDEX('Curva ABC'!$K$8:$K$2847,MATCH(D1490,'Curva ABC'!$B$8:$B$2847,0))</f>
        <v>C</v>
      </c>
    </row>
    <row r="1491" customFormat="false" ht="15" hidden="false" customHeight="false" outlineLevel="0" collapsed="false">
      <c r="A1491" s="34" t="s">
        <v>5799</v>
      </c>
      <c r="B1491" s="34" t="str">
        <f aca="false">'Uso e Consumo'!A1491</f>
        <v>0335</v>
      </c>
      <c r="C1491" s="34" t="str">
        <f aca="false">'Uso e Consumo'!B1491</f>
        <v>UFV NORONHA VERDE - USO E CONSUMO</v>
      </c>
      <c r="D1491" s="33" t="n">
        <f aca="false">'Uso e Consumo'!C1491</f>
        <v>12141</v>
      </c>
      <c r="E1491" s="34" t="str">
        <f aca="false">'Uso e Consumo'!D1491</f>
        <v>17.01.0228</v>
      </c>
      <c r="F1491" s="34" t="str">
        <f aca="false">'Uso e Consumo'!E1491</f>
        <v>CABO ELETRICO FLEXIVEL 0,6/1KV 1 X 2,50MM2 COBRE PVC CLASSE 4 AZUL NBR 7288</v>
      </c>
      <c r="G1491" s="34" t="str">
        <f aca="false">'Uso e Consumo'!J1491</f>
        <v>M</v>
      </c>
      <c r="H1491" s="49" t="n">
        <f aca="false">'Uso e Consumo'!F1491</f>
        <v>100</v>
      </c>
      <c r="I1491" s="35" t="n">
        <f aca="false">'Uso e Consumo'!G1491</f>
        <v>390</v>
      </c>
      <c r="J1491" s="34" t="str">
        <f aca="false">'Uso e Consumo'!M1491</f>
        <v>3.8.1.017 - Instalações elétricas/telefônicas/lógica</v>
      </c>
      <c r="K1491" s="32" t="str">
        <f aca="false">INDEX('Curva ABC'!$K$8:$K$2847,MATCH(D1491,'Curva ABC'!$B$8:$B$2847,0))</f>
        <v>C</v>
      </c>
    </row>
    <row r="1492" customFormat="false" ht="15" hidden="false" customHeight="false" outlineLevel="0" collapsed="false">
      <c r="A1492" s="34" t="s">
        <v>5799</v>
      </c>
      <c r="B1492" s="34" t="str">
        <f aca="false">'Uso e Consumo'!A1492</f>
        <v>0335</v>
      </c>
      <c r="C1492" s="34" t="str">
        <f aca="false">'Uso e Consumo'!B1492</f>
        <v>UFV NORONHA VERDE - USO E CONSUMO</v>
      </c>
      <c r="D1492" s="33" t="n">
        <f aca="false">'Uso e Consumo'!C1492</f>
        <v>12145</v>
      </c>
      <c r="E1492" s="34" t="str">
        <f aca="false">'Uso e Consumo'!D1492</f>
        <v>17.01.0232</v>
      </c>
      <c r="F1492" s="34" t="str">
        <f aca="false">'Uso e Consumo'!E1492</f>
        <v>CABO ELETRICO FLEXIVEL 0,6/1KV 1 X 2,50MM2 COBRE PVC CLASSE 4 VERDE NBR 7288</v>
      </c>
      <c r="G1492" s="34" t="str">
        <f aca="false">'Uso e Consumo'!J1492</f>
        <v>M</v>
      </c>
      <c r="H1492" s="49" t="n">
        <f aca="false">'Uso e Consumo'!F1492</f>
        <v>100</v>
      </c>
      <c r="I1492" s="35" t="n">
        <f aca="false">'Uso e Consumo'!G1492</f>
        <v>390</v>
      </c>
      <c r="J1492" s="34" t="str">
        <f aca="false">'Uso e Consumo'!M1492</f>
        <v>3.8.1.017 - Instalações elétricas/telefônicas/lógica</v>
      </c>
      <c r="K1492" s="32" t="str">
        <f aca="false">INDEX('Curva ABC'!$K$8:$K$2847,MATCH(D1492,'Curva ABC'!$B$8:$B$2847,0))</f>
        <v>C</v>
      </c>
    </row>
    <row r="1493" customFormat="false" ht="15" hidden="false" customHeight="false" outlineLevel="0" collapsed="false">
      <c r="A1493" s="34" t="s">
        <v>5799</v>
      </c>
      <c r="B1493" s="34" t="str">
        <f aca="false">'Uso e Consumo'!A1493</f>
        <v>0335</v>
      </c>
      <c r="C1493" s="34" t="str">
        <f aca="false">'Uso e Consumo'!B1493</f>
        <v>UFV NORONHA VERDE - USO E CONSUMO</v>
      </c>
      <c r="D1493" s="33" t="n">
        <f aca="false">'Uso e Consumo'!C1493</f>
        <v>12146</v>
      </c>
      <c r="E1493" s="34" t="str">
        <f aca="false">'Uso e Consumo'!D1493</f>
        <v>17.01.0233</v>
      </c>
      <c r="F1493" s="34" t="str">
        <f aca="false">'Uso e Consumo'!E1493</f>
        <v>CABO ELETRICO FLEXIVEL 0,6/1KV 1 X 2,50MM2 COBRE PVC CLASSE 4 VERMELHO NBR 7288</v>
      </c>
      <c r="G1493" s="34" t="str">
        <f aca="false">'Uso e Consumo'!J1493</f>
        <v>M</v>
      </c>
      <c r="H1493" s="49" t="n">
        <f aca="false">'Uso e Consumo'!F1493</f>
        <v>100</v>
      </c>
      <c r="I1493" s="35" t="n">
        <f aca="false">'Uso e Consumo'!G1493</f>
        <v>390</v>
      </c>
      <c r="J1493" s="34" t="str">
        <f aca="false">'Uso e Consumo'!M1493</f>
        <v>3.8.1.017 - Instalações elétricas/telefônicas/lógica</v>
      </c>
      <c r="K1493" s="32" t="str">
        <f aca="false">INDEX('Curva ABC'!$K$8:$K$2847,MATCH(D1493,'Curva ABC'!$B$8:$B$2847,0))</f>
        <v>C</v>
      </c>
    </row>
    <row r="1494" customFormat="false" ht="15" hidden="false" customHeight="false" outlineLevel="0" collapsed="false">
      <c r="A1494" s="34" t="s">
        <v>5799</v>
      </c>
      <c r="B1494" s="34" t="str">
        <f aca="false">'Uso e Consumo'!A1494</f>
        <v>0335</v>
      </c>
      <c r="C1494" s="34" t="str">
        <f aca="false">'Uso e Consumo'!B1494</f>
        <v>UFV NORONHA VERDE - USO E CONSUMO</v>
      </c>
      <c r="D1494" s="33" t="n">
        <f aca="false">'Uso e Consumo'!C1494</f>
        <v>22372</v>
      </c>
      <c r="E1494" s="34" t="str">
        <f aca="false">'Uso e Consumo'!D1494</f>
        <v>24.09.0214</v>
      </c>
      <c r="F1494" s="34" t="str">
        <f aca="false">'Uso e Consumo'!E1494</f>
        <v>JOGO DE CHAVE SOQUETE 1/2 A 120MM</v>
      </c>
      <c r="G1494" s="34" t="str">
        <f aca="false">'Uso e Consumo'!J1494</f>
        <v>UN</v>
      </c>
      <c r="H1494" s="49" t="n">
        <f aca="false">'Uso e Consumo'!F1494</f>
        <v>1</v>
      </c>
      <c r="I1494" s="35" t="n">
        <f aca="false">'Uso e Consumo'!G1494</f>
        <v>390</v>
      </c>
      <c r="J1494" s="34" t="str">
        <f aca="false">'Uso e Consumo'!M1494</f>
        <v>3.8.2.002 - Ferramentas manuais</v>
      </c>
      <c r="K1494" s="32" t="str">
        <f aca="false">INDEX('Curva ABC'!$K$8:$K$2847,MATCH(D1494,'Curva ABC'!$B$8:$B$2847,0))</f>
        <v>C</v>
      </c>
    </row>
    <row r="1495" customFormat="false" ht="15" hidden="false" customHeight="false" outlineLevel="0" collapsed="false">
      <c r="A1495" s="34" t="s">
        <v>5799</v>
      </c>
      <c r="B1495" s="34" t="str">
        <f aca="false">'Uso e Consumo'!A1495</f>
        <v>0335</v>
      </c>
      <c r="C1495" s="34" t="str">
        <f aca="false">'Uso e Consumo'!B1495</f>
        <v>UFV NORONHA VERDE - USO E CONSUMO</v>
      </c>
      <c r="D1495" s="33" t="n">
        <f aca="false">'Uso e Consumo'!C1495</f>
        <v>273478</v>
      </c>
      <c r="E1495" s="34" t="str">
        <f aca="false">'Uso e Consumo'!D1495</f>
        <v>29.03.0183</v>
      </c>
      <c r="F1495" s="34" t="str">
        <f aca="false">'Uso e Consumo'!E1495</f>
        <v>ASPIRADOR DE PÓ</v>
      </c>
      <c r="G1495" s="34" t="str">
        <f aca="false">'Uso e Consumo'!J1495</f>
        <v>UN</v>
      </c>
      <c r="H1495" s="49" t="n">
        <f aca="false">'Uso e Consumo'!F1495</f>
        <v>1</v>
      </c>
      <c r="I1495" s="35" t="n">
        <f aca="false">'Uso e Consumo'!G1495</f>
        <v>389</v>
      </c>
      <c r="J1495" s="34" t="str">
        <f aca="false">'Uso e Consumo'!M1495</f>
        <v>4.1.1.009 - Eletro eletrônico e acessórios</v>
      </c>
      <c r="K1495" s="32" t="str">
        <f aca="false">INDEX('Curva ABC'!$K$8:$K$2847,MATCH(D1495,'Curva ABC'!$B$8:$B$2847,0))</f>
        <v>C</v>
      </c>
    </row>
    <row r="1496" customFormat="false" ht="15" hidden="false" customHeight="false" outlineLevel="0" collapsed="false">
      <c r="A1496" s="34" t="s">
        <v>5799</v>
      </c>
      <c r="B1496" s="34" t="str">
        <f aca="false">'Uso e Consumo'!A1496</f>
        <v>0335</v>
      </c>
      <c r="C1496" s="34" t="str">
        <f aca="false">'Uso e Consumo'!B1496</f>
        <v>UFV NORONHA VERDE - USO E CONSUMO</v>
      </c>
      <c r="D1496" s="33" t="n">
        <f aca="false">'Uso e Consumo'!C1496</f>
        <v>839622</v>
      </c>
      <c r="E1496" s="34" t="str">
        <f aca="false">'Uso e Consumo'!D1496</f>
        <v>17.19.0045</v>
      </c>
      <c r="F1496" s="34" t="str">
        <f aca="false">'Uso e Consumo'!E1496</f>
        <v>FITA ISOLANTE 19MMX5M BRANCA</v>
      </c>
      <c r="G1496" s="34" t="str">
        <f aca="false">'Uso e Consumo'!J1496</f>
        <v>UN</v>
      </c>
      <c r="H1496" s="49" t="n">
        <f aca="false">'Uso e Consumo'!F1496</f>
        <v>152</v>
      </c>
      <c r="I1496" s="35" t="n">
        <f aca="false">'Uso e Consumo'!G1496</f>
        <v>388.96</v>
      </c>
      <c r="J1496" s="34" t="str">
        <f aca="false">'Uso e Consumo'!M1496</f>
        <v>3.8.1.017 - Instalações elétricas/telefônicas/lógica</v>
      </c>
      <c r="K1496" s="32" t="str">
        <f aca="false">INDEX('Curva ABC'!$K$8:$K$2847,MATCH(D1496,'Curva ABC'!$B$8:$B$2847,0))</f>
        <v>C</v>
      </c>
    </row>
    <row r="1497" customFormat="false" ht="15" hidden="false" customHeight="false" outlineLevel="0" collapsed="false">
      <c r="A1497" s="34" t="s">
        <v>5799</v>
      </c>
      <c r="B1497" s="34" t="str">
        <f aca="false">'Uso e Consumo'!A1497</f>
        <v>0335</v>
      </c>
      <c r="C1497" s="34" t="str">
        <f aca="false">'Uso e Consumo'!B1497</f>
        <v>UFV NORONHA VERDE - USO E CONSUMO</v>
      </c>
      <c r="D1497" s="33" t="n">
        <f aca="false">'Uso e Consumo'!C1497</f>
        <v>19595</v>
      </c>
      <c r="E1497" s="34" t="str">
        <f aca="false">'Uso e Consumo'!D1497</f>
        <v>30.01.0315</v>
      </c>
      <c r="F1497" s="34" t="str">
        <f aca="false">'Uso e Consumo'!E1497</f>
        <v>PASTA SANFONADA POLIPROPILENO CRISTAL A4 C/ 12 DIVISÓRIAS</v>
      </c>
      <c r="G1497" s="34" t="str">
        <f aca="false">'Uso e Consumo'!J1497</f>
        <v>UN</v>
      </c>
      <c r="H1497" s="49" t="n">
        <f aca="false">'Uso e Consumo'!F1497</f>
        <v>17</v>
      </c>
      <c r="I1497" s="35" t="n">
        <f aca="false">'Uso e Consumo'!G1497</f>
        <v>388.44</v>
      </c>
      <c r="J1497" s="34" t="str">
        <f aca="false">'Uso e Consumo'!M1497</f>
        <v>4.1.1.002 - Material expediente</v>
      </c>
      <c r="K1497" s="32" t="str">
        <f aca="false">INDEX('Curva ABC'!$K$8:$K$2847,MATCH(D1497,'Curva ABC'!$B$8:$B$2847,0))</f>
        <v>C</v>
      </c>
    </row>
    <row r="1498" customFormat="false" ht="15" hidden="false" customHeight="false" outlineLevel="0" collapsed="false">
      <c r="A1498" s="34" t="s">
        <v>5799</v>
      </c>
      <c r="B1498" s="34" t="str">
        <f aca="false">'Uso e Consumo'!A1498</f>
        <v>0335</v>
      </c>
      <c r="C1498" s="34" t="str">
        <f aca="false">'Uso e Consumo'!B1498</f>
        <v>UFV NORONHA VERDE - USO E CONSUMO</v>
      </c>
      <c r="D1498" s="33" t="n">
        <f aca="false">'Uso e Consumo'!C1498</f>
        <v>143063</v>
      </c>
      <c r="E1498" s="34" t="str">
        <f aca="false">'Uso e Consumo'!D1498</f>
        <v>24.41.0099</v>
      </c>
      <c r="F1498" s="34" t="str">
        <f aca="false">'Uso e Consumo'!E1498</f>
        <v>FERRO DE SOLDAR PROFISSIONAL PLUS 40</v>
      </c>
      <c r="G1498" s="34" t="str">
        <f aca="false">'Uso e Consumo'!J1498</f>
        <v>UN</v>
      </c>
      <c r="H1498" s="49" t="n">
        <f aca="false">'Uso e Consumo'!F1498</f>
        <v>1</v>
      </c>
      <c r="I1498" s="35" t="n">
        <f aca="false">'Uso e Consumo'!G1498</f>
        <v>388</v>
      </c>
      <c r="J1498" s="34" t="str">
        <f aca="false">'Uso e Consumo'!M1498</f>
        <v>3.8.2.002 - Ferramentas manuais</v>
      </c>
      <c r="K1498" s="32" t="str">
        <f aca="false">INDEX('Curva ABC'!$K$8:$K$2847,MATCH(D1498,'Curva ABC'!$B$8:$B$2847,0))</f>
        <v>C</v>
      </c>
    </row>
    <row r="1499" customFormat="false" ht="15" hidden="false" customHeight="false" outlineLevel="0" collapsed="false">
      <c r="A1499" s="34" t="s">
        <v>5799</v>
      </c>
      <c r="B1499" s="34" t="str">
        <f aca="false">'Uso e Consumo'!A1499</f>
        <v>0335</v>
      </c>
      <c r="C1499" s="34" t="str">
        <f aca="false">'Uso e Consumo'!B1499</f>
        <v>UFV NORONHA VERDE - USO E CONSUMO</v>
      </c>
      <c r="D1499" s="33" t="n">
        <f aca="false">'Uso e Consumo'!C1499</f>
        <v>19547</v>
      </c>
      <c r="E1499" s="34" t="str">
        <f aca="false">'Uso e Consumo'!D1499</f>
        <v>30.01.0267</v>
      </c>
      <c r="F1499" s="34" t="str">
        <f aca="false">'Uso e Consumo'!E1499</f>
        <v>PAPEL A4 BRANCO 210,00MM X 297,00MM 75G/M2 PCT 500FLS</v>
      </c>
      <c r="G1499" s="34" t="str">
        <f aca="false">'Uso e Consumo'!J1499</f>
        <v>UN</v>
      </c>
      <c r="H1499" s="49" t="n">
        <f aca="false">'Uso e Consumo'!F1499</f>
        <v>15</v>
      </c>
      <c r="I1499" s="35" t="n">
        <f aca="false">'Uso e Consumo'!G1499</f>
        <v>387.1235</v>
      </c>
      <c r="J1499" s="34" t="str">
        <f aca="false">'Uso e Consumo'!M1499</f>
        <v>4.1.1.002 - Material expediente</v>
      </c>
      <c r="K1499" s="32" t="str">
        <f aca="false">INDEX('Curva ABC'!$K$8:$K$2847,MATCH(D1499,'Curva ABC'!$B$8:$B$2847,0))</f>
        <v>C</v>
      </c>
    </row>
    <row r="1500" customFormat="false" ht="15" hidden="false" customHeight="false" outlineLevel="0" collapsed="false">
      <c r="A1500" s="34" t="s">
        <v>5799</v>
      </c>
      <c r="B1500" s="34" t="str">
        <f aca="false">'Uso e Consumo'!A1500</f>
        <v>0335</v>
      </c>
      <c r="C1500" s="34" t="str">
        <f aca="false">'Uso e Consumo'!B1500</f>
        <v>UFV NORONHA VERDE - USO E CONSUMO</v>
      </c>
      <c r="D1500" s="33" t="n">
        <f aca="false">'Uso e Consumo'!C1500</f>
        <v>221489</v>
      </c>
      <c r="E1500" s="34" t="str">
        <f aca="false">'Uso e Consumo'!D1500</f>
        <v>24.08.0039</v>
      </c>
      <c r="F1500" s="34" t="str">
        <f aca="false">'Uso e Consumo'!E1500</f>
        <v>ALICATE DE PRENSA  CRIMPAR TERMINAIS</v>
      </c>
      <c r="G1500" s="34" t="str">
        <f aca="false">'Uso e Consumo'!J1500</f>
        <v>UN</v>
      </c>
      <c r="H1500" s="49" t="n">
        <f aca="false">'Uso e Consumo'!F1500</f>
        <v>2</v>
      </c>
      <c r="I1500" s="35" t="n">
        <f aca="false">'Uso e Consumo'!G1500</f>
        <v>386.24</v>
      </c>
      <c r="J1500" s="34" t="str">
        <f aca="false">'Uso e Consumo'!M1500</f>
        <v>3.8.2.002 - Ferramentas manuais</v>
      </c>
      <c r="K1500" s="32" t="str">
        <f aca="false">INDEX('Curva ABC'!$K$8:$K$2847,MATCH(D1500,'Curva ABC'!$B$8:$B$2847,0))</f>
        <v>C</v>
      </c>
    </row>
    <row r="1501" customFormat="false" ht="15" hidden="false" customHeight="false" outlineLevel="0" collapsed="false">
      <c r="A1501" s="34" t="s">
        <v>5799</v>
      </c>
      <c r="B1501" s="34" t="str">
        <f aca="false">'Uso e Consumo'!A1501</f>
        <v>0335</v>
      </c>
      <c r="C1501" s="34" t="str">
        <f aca="false">'Uso e Consumo'!B1501</f>
        <v>UFV NORONHA VERDE - USO E CONSUMO</v>
      </c>
      <c r="D1501" s="33" t="n">
        <f aca="false">'Uso e Consumo'!C1501</f>
        <v>1539891</v>
      </c>
      <c r="E1501" s="34" t="str">
        <f aca="false">'Uso e Consumo'!D1501</f>
        <v>24.09.0715</v>
      </c>
      <c r="F1501" s="34" t="str">
        <f aca="false">'Uso e Consumo'!E1501</f>
        <v>CHAVE COMBINADA INCLINADA ACO CARBONO 19/32"</v>
      </c>
      <c r="G1501" s="34" t="str">
        <f aca="false">'Uso e Consumo'!J1501</f>
        <v>UN</v>
      </c>
      <c r="H1501" s="49" t="n">
        <f aca="false">'Uso e Consumo'!F1501</f>
        <v>1</v>
      </c>
      <c r="I1501" s="35" t="n">
        <f aca="false">'Uso e Consumo'!G1501</f>
        <v>386</v>
      </c>
      <c r="J1501" s="34" t="str">
        <f aca="false">'Uso e Consumo'!M1501</f>
        <v>3.8.2.002 - Ferramentas manuais</v>
      </c>
      <c r="K1501" s="32" t="str">
        <f aca="false">INDEX('Curva ABC'!$K$8:$K$2847,MATCH(D1501,'Curva ABC'!$B$8:$B$2847,0))</f>
        <v>C</v>
      </c>
    </row>
    <row r="1502" customFormat="false" ht="15" hidden="false" customHeight="false" outlineLevel="0" collapsed="false">
      <c r="A1502" s="34" t="s">
        <v>5799</v>
      </c>
      <c r="B1502" s="34" t="str">
        <f aca="false">'Uso e Consumo'!A1502</f>
        <v>0335</v>
      </c>
      <c r="C1502" s="34" t="str">
        <f aca="false">'Uso e Consumo'!B1502</f>
        <v>UFV NORONHA VERDE - USO E CONSUMO</v>
      </c>
      <c r="D1502" s="33" t="n">
        <f aca="false">'Uso e Consumo'!C1502</f>
        <v>1330098</v>
      </c>
      <c r="E1502" s="34" t="str">
        <f aca="false">'Uso e Consumo'!D1502</f>
        <v>24.36.0009</v>
      </c>
      <c r="F1502" s="34" t="str">
        <f aca="false">'Uso e Consumo'!E1502</f>
        <v>FACÃO CANA 14"</v>
      </c>
      <c r="G1502" s="34" t="str">
        <f aca="false">'Uso e Consumo'!J1502</f>
        <v>UN</v>
      </c>
      <c r="H1502" s="49" t="n">
        <f aca="false">'Uso e Consumo'!F1502</f>
        <v>3</v>
      </c>
      <c r="I1502" s="35" t="n">
        <f aca="false">'Uso e Consumo'!G1502</f>
        <v>384</v>
      </c>
      <c r="J1502" s="34" t="str">
        <f aca="false">'Uso e Consumo'!M1502</f>
        <v>6.1.2.001 - Equipamentos</v>
      </c>
      <c r="K1502" s="32" t="str">
        <f aca="false">INDEX('Curva ABC'!$K$8:$K$2847,MATCH(D1502,'Curva ABC'!$B$8:$B$2847,0))</f>
        <v>C</v>
      </c>
    </row>
    <row r="1503" customFormat="false" ht="15" hidden="false" customHeight="false" outlineLevel="0" collapsed="false">
      <c r="A1503" s="34" t="s">
        <v>5799</v>
      </c>
      <c r="B1503" s="34" t="str">
        <f aca="false">'Uso e Consumo'!A1503</f>
        <v>0335</v>
      </c>
      <c r="C1503" s="34" t="str">
        <f aca="false">'Uso e Consumo'!B1503</f>
        <v>UFV NORONHA VERDE - USO E CONSUMO</v>
      </c>
      <c r="D1503" s="33" t="n">
        <f aca="false">'Uso e Consumo'!C1503</f>
        <v>1681000</v>
      </c>
      <c r="E1503" s="34" t="str">
        <f aca="false">'Uso e Consumo'!D1503</f>
        <v>01.09.0417</v>
      </c>
      <c r="F1503" s="34" t="str">
        <f aca="false">'Uso e Consumo'!E1503</f>
        <v>CANTONEIRA BICROMATIZADA 40X20MM</v>
      </c>
      <c r="G1503" s="34" t="str">
        <f aca="false">'Uso e Consumo'!J1503</f>
        <v>UN</v>
      </c>
      <c r="H1503" s="49" t="n">
        <f aca="false">'Uso e Consumo'!F1503</f>
        <v>355</v>
      </c>
      <c r="I1503" s="35" t="n">
        <f aca="false">'Uso e Consumo'!G1503</f>
        <v>383.4</v>
      </c>
      <c r="J1503" s="34" t="str">
        <f aca="false">'Uso e Consumo'!M1503</f>
        <v>3.8.1.001 - Aços e trefilados</v>
      </c>
      <c r="K1503" s="32" t="str">
        <f aca="false">INDEX('Curva ABC'!$K$8:$K$2847,MATCH(D1503,'Curva ABC'!$B$8:$B$2847,0))</f>
        <v>C</v>
      </c>
    </row>
    <row r="1504" customFormat="false" ht="15" hidden="false" customHeight="false" outlineLevel="0" collapsed="false">
      <c r="A1504" s="34" t="s">
        <v>5799</v>
      </c>
      <c r="B1504" s="34" t="str">
        <f aca="false">'Uso e Consumo'!A1504</f>
        <v>0335</v>
      </c>
      <c r="C1504" s="34" t="str">
        <f aca="false">'Uso e Consumo'!B1504</f>
        <v>UFV NORONHA VERDE - USO E CONSUMO</v>
      </c>
      <c r="D1504" s="33" t="n">
        <f aca="false">'Uso e Consumo'!C1504</f>
        <v>1465889</v>
      </c>
      <c r="E1504" s="34" t="str">
        <f aca="false">'Uso e Consumo'!D1504</f>
        <v>23.10.0065</v>
      </c>
      <c r="F1504" s="34" t="str">
        <f aca="false">'Uso e Consumo'!E1504</f>
        <v>CHUMBADOR MECÂNICO COM PARAFUSO, DE AÇO COM GALVANIZAÇÃO ELETROLÍTICA, BITOLA 3/8" X 2.1/2" DE COMP</v>
      </c>
      <c r="G1504" s="34" t="str">
        <f aca="false">'Uso e Consumo'!J1504</f>
        <v>UN</v>
      </c>
      <c r="H1504" s="49" t="n">
        <f aca="false">'Uso e Consumo'!F1504</f>
        <v>119</v>
      </c>
      <c r="I1504" s="35" t="n">
        <f aca="false">'Uso e Consumo'!G1504</f>
        <v>381.56</v>
      </c>
      <c r="J1504" s="34" t="str">
        <f aca="false">'Uso e Consumo'!M1504</f>
        <v>3.8.1.022 - Elementos de fixação</v>
      </c>
      <c r="K1504" s="32" t="str">
        <f aca="false">INDEX('Curva ABC'!$K$8:$K$2847,MATCH(D1504,'Curva ABC'!$B$8:$B$2847,0))</f>
        <v>C</v>
      </c>
    </row>
    <row r="1505" customFormat="false" ht="15" hidden="false" customHeight="false" outlineLevel="0" collapsed="false">
      <c r="A1505" s="34" t="s">
        <v>5799</v>
      </c>
      <c r="B1505" s="34" t="str">
        <f aca="false">'Uso e Consumo'!A1505</f>
        <v>0335</v>
      </c>
      <c r="C1505" s="34" t="str">
        <f aca="false">'Uso e Consumo'!B1505</f>
        <v>UFV NORONHA VERDE - USO E CONSUMO</v>
      </c>
      <c r="D1505" s="33" t="n">
        <f aca="false">'Uso e Consumo'!C1505</f>
        <v>24041</v>
      </c>
      <c r="E1505" s="34" t="str">
        <f aca="false">'Uso e Consumo'!D1505</f>
        <v>26.02.0049</v>
      </c>
      <c r="F1505" s="34" t="str">
        <f aca="false">'Uso e Consumo'!E1505</f>
        <v>BOTINA NOBUCK C/ CADARÇO E BIQUEIRA - COR MARROM -  Nº 40 (CA-28108/13808/26706/26710)</v>
      </c>
      <c r="G1505" s="34" t="str">
        <f aca="false">'Uso e Consumo'!J1505</f>
        <v>PAR</v>
      </c>
      <c r="H1505" s="49" t="n">
        <f aca="false">'Uso e Consumo'!F1505</f>
        <v>3</v>
      </c>
      <c r="I1505" s="35" t="n">
        <f aca="false">'Uso e Consumo'!G1505</f>
        <v>381.5</v>
      </c>
      <c r="J1505" s="34" t="str">
        <f aca="false">'Uso e Consumo'!M1505</f>
        <v>4.3.4.001 - Equipamento de proteção individual</v>
      </c>
      <c r="K1505" s="32" t="str">
        <f aca="false">INDEX('Curva ABC'!$K$8:$K$2847,MATCH(D1505,'Curva ABC'!$B$8:$B$2847,0))</f>
        <v>C</v>
      </c>
    </row>
    <row r="1506" customFormat="false" ht="15" hidden="false" customHeight="false" outlineLevel="0" collapsed="false">
      <c r="A1506" s="34" t="s">
        <v>5799</v>
      </c>
      <c r="B1506" s="34" t="str">
        <f aca="false">'Uso e Consumo'!A1506</f>
        <v>0335</v>
      </c>
      <c r="C1506" s="34" t="str">
        <f aca="false">'Uso e Consumo'!B1506</f>
        <v>UFV NORONHA VERDE - USO E CONSUMO</v>
      </c>
      <c r="D1506" s="33" t="n">
        <f aca="false">'Uso e Consumo'!C1506</f>
        <v>290267</v>
      </c>
      <c r="E1506" s="34" t="str">
        <f aca="false">'Uso e Consumo'!D1506</f>
        <v>29.01.0731</v>
      </c>
      <c r="F1506" s="34" t="str">
        <f aca="false">'Uso e Consumo'!E1506</f>
        <v>SWITCH HIKVISION DS-3E0318P E/M 16 M POE PORT 0067390</v>
      </c>
      <c r="G1506" s="34" t="str">
        <f aca="false">'Uso e Consumo'!J1506</f>
        <v>UN</v>
      </c>
      <c r="H1506" s="49" t="n">
        <f aca="false">'Uso e Consumo'!F1506</f>
        <v>1</v>
      </c>
      <c r="I1506" s="35" t="n">
        <f aca="false">'Uso e Consumo'!G1506</f>
        <v>381.48</v>
      </c>
      <c r="J1506" s="34" t="str">
        <f aca="false">'Uso e Consumo'!M1506</f>
        <v>4.1.1.007 - Equipamentos e acessórios para informática</v>
      </c>
      <c r="K1506" s="32" t="str">
        <f aca="false">INDEX('Curva ABC'!$K$8:$K$2847,MATCH(D1506,'Curva ABC'!$B$8:$B$2847,0))</f>
        <v>C</v>
      </c>
    </row>
    <row r="1507" customFormat="false" ht="15" hidden="false" customHeight="false" outlineLevel="0" collapsed="false">
      <c r="A1507" s="34" t="s">
        <v>5799</v>
      </c>
      <c r="B1507" s="34" t="str">
        <f aca="false">'Uso e Consumo'!A1507</f>
        <v>0335</v>
      </c>
      <c r="C1507" s="34" t="str">
        <f aca="false">'Uso e Consumo'!B1507</f>
        <v>UFV NORONHA VERDE - USO E CONSUMO</v>
      </c>
      <c r="D1507" s="33" t="n">
        <f aca="false">'Uso e Consumo'!C1507</f>
        <v>17884</v>
      </c>
      <c r="E1507" s="34" t="str">
        <f aca="false">'Uso e Consumo'!D1507</f>
        <v>24.07.0001</v>
      </c>
      <c r="F1507" s="34" t="str">
        <f aca="false">'Uso e Consumo'!E1507</f>
        <v>TRENA CURTA 5,00M CAIXA FECHADA PLASTICA FITA AÇO TEMPERADO</v>
      </c>
      <c r="G1507" s="34" t="str">
        <f aca="false">'Uso e Consumo'!J1507</f>
        <v>UN</v>
      </c>
      <c r="H1507" s="49" t="n">
        <f aca="false">'Uso e Consumo'!F1507</f>
        <v>20</v>
      </c>
      <c r="I1507" s="35" t="n">
        <f aca="false">'Uso e Consumo'!G1507</f>
        <v>380</v>
      </c>
      <c r="J1507" s="34" t="str">
        <f aca="false">'Uso e Consumo'!M1507</f>
        <v>3.8.2.001 - Ferramentas medição/aferição</v>
      </c>
      <c r="K1507" s="32" t="str">
        <f aca="false">INDEX('Curva ABC'!$K$8:$K$2847,MATCH(D1507,'Curva ABC'!$B$8:$B$2847,0))</f>
        <v>C</v>
      </c>
    </row>
    <row r="1508" customFormat="false" ht="15" hidden="false" customHeight="false" outlineLevel="0" collapsed="false">
      <c r="A1508" s="34" t="s">
        <v>5799</v>
      </c>
      <c r="B1508" s="34" t="str">
        <f aca="false">'Uso e Consumo'!A1508</f>
        <v>0335</v>
      </c>
      <c r="C1508" s="34" t="str">
        <f aca="false">'Uso e Consumo'!B1508</f>
        <v>UFV NORONHA VERDE - USO E CONSUMO</v>
      </c>
      <c r="D1508" s="33" t="n">
        <f aca="false">'Uso e Consumo'!C1508</f>
        <v>18581</v>
      </c>
      <c r="E1508" s="34" t="str">
        <f aca="false">'Uso e Consumo'!D1508</f>
        <v>25.09.0012</v>
      </c>
      <c r="F1508" s="34" t="str">
        <f aca="false">'Uso e Consumo'!E1508</f>
        <v>CLIPS CABO AÇO LEVE AÇO INOX AISI 304 1/2" POLIDO</v>
      </c>
      <c r="G1508" s="34" t="str">
        <f aca="false">'Uso e Consumo'!J1508</f>
        <v>UN</v>
      </c>
      <c r="H1508" s="49" t="n">
        <f aca="false">'Uso e Consumo'!F1508</f>
        <v>10</v>
      </c>
      <c r="I1508" s="35" t="n">
        <f aca="false">'Uso e Consumo'!G1508</f>
        <v>380</v>
      </c>
      <c r="J1508" s="34" t="str">
        <f aca="false">'Uso e Consumo'!M1508</f>
        <v>3.8.2.006 - Utensílios</v>
      </c>
      <c r="K1508" s="32" t="str">
        <f aca="false">INDEX('Curva ABC'!$K$8:$K$2847,MATCH(D1508,'Curva ABC'!$B$8:$B$2847,0))</f>
        <v>C</v>
      </c>
    </row>
    <row r="1509" customFormat="false" ht="15" hidden="false" customHeight="false" outlineLevel="0" collapsed="false">
      <c r="A1509" s="34" t="s">
        <v>5799</v>
      </c>
      <c r="B1509" s="34" t="str">
        <f aca="false">'Uso e Consumo'!A1509</f>
        <v>0335</v>
      </c>
      <c r="C1509" s="34" t="str">
        <f aca="false">'Uso e Consumo'!B1509</f>
        <v>UFV NORONHA VERDE - USO E CONSUMO</v>
      </c>
      <c r="D1509" s="33" t="n">
        <f aca="false">'Uso e Consumo'!C1509</f>
        <v>349305</v>
      </c>
      <c r="E1509" s="34" t="str">
        <f aca="false">'Uso e Consumo'!D1509</f>
        <v>33.02.1675</v>
      </c>
      <c r="F1509" s="34" t="str">
        <f aca="false">'Uso e Consumo'!E1509</f>
        <v>TAMPA DO TANQUE (0000-350-0533) STIHL</v>
      </c>
      <c r="G1509" s="34" t="str">
        <f aca="false">'Uso e Consumo'!J1509</f>
        <v>UN</v>
      </c>
      <c r="H1509" s="49" t="n">
        <f aca="false">'Uso e Consumo'!F1509</f>
        <v>5</v>
      </c>
      <c r="I1509" s="35" t="n">
        <f aca="false">'Uso e Consumo'!G1509</f>
        <v>376.25</v>
      </c>
      <c r="J1509" s="34" t="str">
        <f aca="false">'Uso e Consumo'!M1509</f>
        <v>3.1.6.002 - Pneus e peças</v>
      </c>
      <c r="K1509" s="32" t="str">
        <f aca="false">INDEX('Curva ABC'!$K$8:$K$2847,MATCH(D1509,'Curva ABC'!$B$8:$B$2847,0))</f>
        <v>C</v>
      </c>
    </row>
    <row r="1510" customFormat="false" ht="15" hidden="false" customHeight="false" outlineLevel="0" collapsed="false">
      <c r="A1510" s="34" t="s">
        <v>5799</v>
      </c>
      <c r="B1510" s="34" t="str">
        <f aca="false">'Uso e Consumo'!A1510</f>
        <v>0335</v>
      </c>
      <c r="C1510" s="34" t="str">
        <f aca="false">'Uso e Consumo'!B1510</f>
        <v>UFV NORONHA VERDE - USO E CONSUMO</v>
      </c>
      <c r="D1510" s="33" t="n">
        <f aca="false">'Uso e Consumo'!C1510</f>
        <v>388730</v>
      </c>
      <c r="E1510" s="34" t="str">
        <f aca="false">'Uso e Consumo'!D1510</f>
        <v>23.02.0346</v>
      </c>
      <c r="F1510" s="34" t="str">
        <f aca="false">'Uso e Consumo'!E1510</f>
        <v>ABRAÇADEIRA TIPO U 1"</v>
      </c>
      <c r="G1510" s="34" t="str">
        <f aca="false">'Uso e Consumo'!J1510</f>
        <v>UN</v>
      </c>
      <c r="H1510" s="49" t="n">
        <f aca="false">'Uso e Consumo'!F1510</f>
        <v>670</v>
      </c>
      <c r="I1510" s="35" t="n">
        <f aca="false">'Uso e Consumo'!G1510</f>
        <v>376.06</v>
      </c>
      <c r="J1510" s="34" t="str">
        <f aca="false">'Uso e Consumo'!M1510</f>
        <v>3.8.1.022 - Elementos de fixação</v>
      </c>
      <c r="K1510" s="32" t="str">
        <f aca="false">INDEX('Curva ABC'!$K$8:$K$2847,MATCH(D1510,'Curva ABC'!$B$8:$B$2847,0))</f>
        <v>C</v>
      </c>
    </row>
    <row r="1511" customFormat="false" ht="15" hidden="false" customHeight="false" outlineLevel="0" collapsed="false">
      <c r="A1511" s="34" t="s">
        <v>5799</v>
      </c>
      <c r="B1511" s="34" t="str">
        <f aca="false">'Uso e Consumo'!A1511</f>
        <v>0335</v>
      </c>
      <c r="C1511" s="34" t="str">
        <f aca="false">'Uso e Consumo'!B1511</f>
        <v>UFV NORONHA VERDE - USO E CONSUMO</v>
      </c>
      <c r="D1511" s="33" t="n">
        <f aca="false">'Uso e Consumo'!C1511</f>
        <v>1063856</v>
      </c>
      <c r="E1511" s="34" t="str">
        <f aca="false">'Uso e Consumo'!D1511</f>
        <v>26.02.0209</v>
      </c>
      <c r="F1511" s="34" t="str">
        <f aca="false">'Uso e Consumo'!E1511</f>
        <v>BOTA BOTINA NOBUCK MARLUVAS 50B26 PALM ANTIPERFURO COMPOSITE TAM 37</v>
      </c>
      <c r="G1511" s="34" t="str">
        <f aca="false">'Uso e Consumo'!J1511</f>
        <v>UN</v>
      </c>
      <c r="H1511" s="49" t="n">
        <f aca="false">'Uso e Consumo'!F1511</f>
        <v>3</v>
      </c>
      <c r="I1511" s="35" t="n">
        <f aca="false">'Uso e Consumo'!G1511</f>
        <v>375</v>
      </c>
      <c r="J1511" s="34" t="str">
        <f aca="false">'Uso e Consumo'!M1511</f>
        <v>4.3.4.001 - Equipamento de proteção individual</v>
      </c>
      <c r="K1511" s="32" t="str">
        <f aca="false">INDEX('Curva ABC'!$K$8:$K$2847,MATCH(D1511,'Curva ABC'!$B$8:$B$2847,0))</f>
        <v>C</v>
      </c>
    </row>
    <row r="1512" customFormat="false" ht="15" hidden="false" customHeight="false" outlineLevel="0" collapsed="false">
      <c r="A1512" s="34" t="s">
        <v>5799</v>
      </c>
      <c r="B1512" s="34" t="str">
        <f aca="false">'Uso e Consumo'!A1512</f>
        <v>0335</v>
      </c>
      <c r="C1512" s="34" t="str">
        <f aca="false">'Uso e Consumo'!B1512</f>
        <v>UFV NORONHA VERDE - USO E CONSUMO</v>
      </c>
      <c r="D1512" s="33" t="n">
        <f aca="false">'Uso e Consumo'!C1512</f>
        <v>556890</v>
      </c>
      <c r="E1512" s="34" t="str">
        <f aca="false">'Uso e Consumo'!D1512</f>
        <v>24.09.0505</v>
      </c>
      <c r="F1512" s="34" t="str">
        <f aca="false">'Uso e Consumo'!E1512</f>
        <v>JOGO DE CHAVE PHILIPS DE 1/8” A ¼” COM ISOLAMENTO DE 1000V</v>
      </c>
      <c r="G1512" s="34" t="str">
        <f aca="false">'Uso e Consumo'!J1512</f>
        <v>UN</v>
      </c>
      <c r="H1512" s="49" t="n">
        <f aca="false">'Uso e Consumo'!F1512</f>
        <v>2</v>
      </c>
      <c r="I1512" s="35" t="n">
        <f aca="false">'Uso e Consumo'!G1512</f>
        <v>374.93</v>
      </c>
      <c r="J1512" s="34" t="str">
        <f aca="false">'Uso e Consumo'!M1512</f>
        <v>3.8.2.002 - Ferramentas manuais</v>
      </c>
      <c r="K1512" s="32" t="str">
        <f aca="false">INDEX('Curva ABC'!$K$8:$K$2847,MATCH(D1512,'Curva ABC'!$B$8:$B$2847,0))</f>
        <v>C</v>
      </c>
    </row>
    <row r="1513" customFormat="false" ht="15" hidden="false" customHeight="false" outlineLevel="0" collapsed="false">
      <c r="A1513" s="34" t="s">
        <v>5799</v>
      </c>
      <c r="B1513" s="34" t="str">
        <f aca="false">'Uso e Consumo'!A1513</f>
        <v>0335</v>
      </c>
      <c r="C1513" s="34" t="str">
        <f aca="false">'Uso e Consumo'!B1513</f>
        <v>UFV NORONHA VERDE - USO E CONSUMO</v>
      </c>
      <c r="D1513" s="33" t="n">
        <f aca="false">'Uso e Consumo'!C1513</f>
        <v>1483891</v>
      </c>
      <c r="E1513" s="34" t="str">
        <f aca="false">'Uso e Consumo'!D1513</f>
        <v>18.08.0234</v>
      </c>
      <c r="F1513" s="34" t="str">
        <f aca="false">'Uso e Consumo'!E1513</f>
        <v>REGISTRO DE ESFERA PPR DN 90</v>
      </c>
      <c r="G1513" s="34" t="str">
        <f aca="false">'Uso e Consumo'!J1513</f>
        <v>UN</v>
      </c>
      <c r="H1513" s="49" t="n">
        <f aca="false">'Uso e Consumo'!F1513</f>
        <v>25</v>
      </c>
      <c r="I1513" s="35" t="n">
        <f aca="false">'Uso e Consumo'!G1513</f>
        <v>374.5</v>
      </c>
      <c r="J1513" s="34" t="str">
        <f aca="false">'Uso e Consumo'!M1513</f>
        <v>3.8.1.018 - Instalações hidráulicas/sanitárias/industriais</v>
      </c>
      <c r="K1513" s="32" t="str">
        <f aca="false">INDEX('Curva ABC'!$K$8:$K$2847,MATCH(D1513,'Curva ABC'!$B$8:$B$2847,0))</f>
        <v>C</v>
      </c>
    </row>
    <row r="1514" customFormat="false" ht="15" hidden="false" customHeight="false" outlineLevel="0" collapsed="false">
      <c r="A1514" s="34" t="s">
        <v>5799</v>
      </c>
      <c r="B1514" s="34" t="str">
        <f aca="false">'Uso e Consumo'!A1514</f>
        <v>0335</v>
      </c>
      <c r="C1514" s="34" t="str">
        <f aca="false">'Uso e Consumo'!B1514</f>
        <v>UFV NORONHA VERDE - USO E CONSUMO</v>
      </c>
      <c r="D1514" s="33" t="n">
        <f aca="false">'Uso e Consumo'!C1514</f>
        <v>929609</v>
      </c>
      <c r="E1514" s="34" t="str">
        <f aca="false">'Uso e Consumo'!D1514</f>
        <v>17.16.0513</v>
      </c>
      <c r="F1514" s="34" t="str">
        <f aca="false">'Uso e Consumo'!E1514</f>
        <v>TERMINAL OLHAL 150mm²</v>
      </c>
      <c r="G1514" s="34" t="str">
        <f aca="false">'Uso e Consumo'!J1514</f>
        <v>UN</v>
      </c>
      <c r="H1514" s="49" t="n">
        <f aca="false">'Uso e Consumo'!F1514</f>
        <v>20</v>
      </c>
      <c r="I1514" s="35" t="n">
        <f aca="false">'Uso e Consumo'!G1514</f>
        <v>373</v>
      </c>
      <c r="J1514" s="34" t="str">
        <f aca="false">'Uso e Consumo'!M1514</f>
        <v>3.8.1.017 - Instalações elétricas/telefônicas/lógica</v>
      </c>
      <c r="K1514" s="32" t="str">
        <f aca="false">INDEX('Curva ABC'!$K$8:$K$2847,MATCH(D1514,'Curva ABC'!$B$8:$B$2847,0))</f>
        <v>C</v>
      </c>
    </row>
    <row r="1515" customFormat="false" ht="32.8" hidden="false" customHeight="false" outlineLevel="0" collapsed="false">
      <c r="A1515" s="34" t="s">
        <v>5799</v>
      </c>
      <c r="B1515" s="34" t="str">
        <f aca="false">'Uso e Consumo'!A1515</f>
        <v>0335</v>
      </c>
      <c r="C1515" s="34" t="str">
        <f aca="false">'Uso e Consumo'!B1515</f>
        <v>UFV NORONHA VERDE - USO E CONSUMO</v>
      </c>
      <c r="D1515" s="33" t="n">
        <f aca="false">'Uso e Consumo'!C1515</f>
        <v>1485534</v>
      </c>
      <c r="E1515" s="34" t="str">
        <f aca="false">'Uso e Consumo'!D1515</f>
        <v>17.14.0034</v>
      </c>
      <c r="F1515" s="50" t="str">
        <f aca="false">'Uso e Consumo'!E1515</f>
        <v>CAIXA DE TOMADA PARA PERFILADO 38 X 38 MM COM TOMADA 2P+T 10 A 250 V
</v>
      </c>
      <c r="G1515" s="34" t="str">
        <f aca="false">'Uso e Consumo'!J1515</f>
        <v>UN</v>
      </c>
      <c r="H1515" s="49" t="n">
        <f aca="false">'Uso e Consumo'!F1515</f>
        <v>26</v>
      </c>
      <c r="I1515" s="35" t="n">
        <f aca="false">'Uso e Consumo'!G1515</f>
        <v>371.8</v>
      </c>
      <c r="J1515" s="34" t="str">
        <f aca="false">'Uso e Consumo'!M1515</f>
        <v>3.8.1.017 - Instalações elétricas/telefônicas/lógica</v>
      </c>
      <c r="K1515" s="32" t="str">
        <f aca="false">INDEX('Curva ABC'!$K$8:$K$2847,MATCH(D1515,'Curva ABC'!$B$8:$B$2847,0))</f>
        <v>C</v>
      </c>
    </row>
    <row r="1516" customFormat="false" ht="15" hidden="false" customHeight="false" outlineLevel="0" collapsed="false">
      <c r="A1516" s="34" t="s">
        <v>5799</v>
      </c>
      <c r="B1516" s="34" t="str">
        <f aca="false">'Uso e Consumo'!A1516</f>
        <v>0335</v>
      </c>
      <c r="C1516" s="34" t="str">
        <f aca="false">'Uso e Consumo'!B1516</f>
        <v>UFV NORONHA VERDE - USO E CONSUMO</v>
      </c>
      <c r="D1516" s="33" t="n">
        <f aca="false">'Uso e Consumo'!C1516</f>
        <v>34851</v>
      </c>
      <c r="E1516" s="34" t="str">
        <f aca="false">'Uso e Consumo'!D1516</f>
        <v>24.09.0268</v>
      </c>
      <c r="F1516" s="34" t="str">
        <f aca="false">'Uso e Consumo'!E1516</f>
        <v>CHAVE COMBINADA 19,00MM AÇO CARBONO CROMADO</v>
      </c>
      <c r="G1516" s="34" t="str">
        <f aca="false">'Uso e Consumo'!J1516</f>
        <v>UN</v>
      </c>
      <c r="H1516" s="49" t="n">
        <f aca="false">'Uso e Consumo'!F1516</f>
        <v>5</v>
      </c>
      <c r="I1516" s="35" t="n">
        <f aca="false">'Uso e Consumo'!G1516</f>
        <v>370.92</v>
      </c>
      <c r="J1516" s="34" t="str">
        <f aca="false">'Uso e Consumo'!M1516</f>
        <v>3.8.2.002 - Ferramentas manuais</v>
      </c>
      <c r="K1516" s="32" t="str">
        <f aca="false">INDEX('Curva ABC'!$K$8:$K$2847,MATCH(D1516,'Curva ABC'!$B$8:$B$2847,0))</f>
        <v>C</v>
      </c>
    </row>
    <row r="1517" customFormat="false" ht="15" hidden="false" customHeight="false" outlineLevel="0" collapsed="false">
      <c r="A1517" s="34" t="s">
        <v>5799</v>
      </c>
      <c r="B1517" s="34" t="str">
        <f aca="false">'Uso e Consumo'!A1517</f>
        <v>0335</v>
      </c>
      <c r="C1517" s="34" t="str">
        <f aca="false">'Uso e Consumo'!B1517</f>
        <v>UFV NORONHA VERDE - USO E CONSUMO</v>
      </c>
      <c r="D1517" s="33" t="n">
        <f aca="false">'Uso e Consumo'!C1517</f>
        <v>1014563</v>
      </c>
      <c r="E1517" s="34" t="str">
        <f aca="false">'Uso e Consumo'!D1517</f>
        <v>24.06.0007</v>
      </c>
      <c r="F1517" s="34" t="str">
        <f aca="false">'Uso e Consumo'!E1517</f>
        <v>ALICATE PRENSA TERMINAL MANUAL 6MM </v>
      </c>
      <c r="G1517" s="34" t="str">
        <f aca="false">'Uso e Consumo'!J1517</f>
        <v>UN</v>
      </c>
      <c r="H1517" s="49" t="n">
        <f aca="false">'Uso e Consumo'!F1517</f>
        <v>2</v>
      </c>
      <c r="I1517" s="35" t="n">
        <f aca="false">'Uso e Consumo'!G1517</f>
        <v>370.78</v>
      </c>
      <c r="J1517" s="34" t="str">
        <f aca="false">'Uso e Consumo'!M1517</f>
        <v>3.8.2.002 - Ferramentas manuais</v>
      </c>
      <c r="K1517" s="32" t="str">
        <f aca="false">INDEX('Curva ABC'!$K$8:$K$2847,MATCH(D1517,'Curva ABC'!$B$8:$B$2847,0))</f>
        <v>C</v>
      </c>
    </row>
    <row r="1518" customFormat="false" ht="15" hidden="false" customHeight="false" outlineLevel="0" collapsed="false">
      <c r="A1518" s="34" t="s">
        <v>5799</v>
      </c>
      <c r="B1518" s="34" t="str">
        <f aca="false">'Uso e Consumo'!A1518</f>
        <v>0335</v>
      </c>
      <c r="C1518" s="34" t="str">
        <f aca="false">'Uso e Consumo'!B1518</f>
        <v>UFV NORONHA VERDE - USO E CONSUMO</v>
      </c>
      <c r="D1518" s="33" t="n">
        <f aca="false">'Uso e Consumo'!C1518</f>
        <v>835621</v>
      </c>
      <c r="E1518" s="34" t="str">
        <f aca="false">'Uso e Consumo'!D1518</f>
        <v>17.16.0423</v>
      </c>
      <c r="F1518" s="34" t="str">
        <f aca="false">'Uso e Consumo'!E1518</f>
        <v>CONECTOR GDTU HASTE CABO 5/8"X70mm2</v>
      </c>
      <c r="G1518" s="34" t="str">
        <f aca="false">'Uso e Consumo'!J1518</f>
        <v>UN</v>
      </c>
      <c r="H1518" s="49" t="n">
        <f aca="false">'Uso e Consumo'!F1518</f>
        <v>11</v>
      </c>
      <c r="I1518" s="35" t="n">
        <f aca="false">'Uso e Consumo'!G1518</f>
        <v>370.04</v>
      </c>
      <c r="J1518" s="34" t="str">
        <f aca="false">'Uso e Consumo'!M1518</f>
        <v>3.8.1.017 - Instalações elétricas/telefônicas/lógica</v>
      </c>
      <c r="K1518" s="32" t="str">
        <f aca="false">INDEX('Curva ABC'!$K$8:$K$2847,MATCH(D1518,'Curva ABC'!$B$8:$B$2847,0))</f>
        <v>C</v>
      </c>
    </row>
    <row r="1519" customFormat="false" ht="15" hidden="false" customHeight="false" outlineLevel="0" collapsed="false">
      <c r="A1519" s="34" t="s">
        <v>5799</v>
      </c>
      <c r="B1519" s="34" t="str">
        <f aca="false">'Uso e Consumo'!A1519</f>
        <v>0335</v>
      </c>
      <c r="C1519" s="34" t="str">
        <f aca="false">'Uso e Consumo'!B1519</f>
        <v>UFV NORONHA VERDE - USO E CONSUMO</v>
      </c>
      <c r="D1519" s="33" t="n">
        <f aca="false">'Uso e Consumo'!C1519</f>
        <v>1111896</v>
      </c>
      <c r="E1519" s="34" t="str">
        <f aca="false">'Uso e Consumo'!D1519</f>
        <v>23.02.0432</v>
      </c>
      <c r="F1519" s="34" t="str">
        <f aca="false">'Uso e Consumo'!E1519</f>
        <v>ABRAÇADEIRA NYLON 4,8 X 370MM - COM PROTEÇÃO UV</v>
      </c>
      <c r="G1519" s="34" t="str">
        <f aca="false">'Uso e Consumo'!J1519</f>
        <v>UN</v>
      </c>
      <c r="H1519" s="49" t="n">
        <f aca="false">'Uso e Consumo'!F1519</f>
        <v>1000</v>
      </c>
      <c r="I1519" s="35" t="n">
        <f aca="false">'Uso e Consumo'!G1519</f>
        <v>370</v>
      </c>
      <c r="J1519" s="34" t="str">
        <f aca="false">'Uso e Consumo'!M1519</f>
        <v>3.8.1.022 - Elementos de fixação</v>
      </c>
      <c r="K1519" s="32" t="str">
        <f aca="false">INDEX('Curva ABC'!$K$8:$K$2847,MATCH(D1519,'Curva ABC'!$B$8:$B$2847,0))</f>
        <v>C</v>
      </c>
    </row>
    <row r="1520" customFormat="false" ht="15" hidden="false" customHeight="false" outlineLevel="0" collapsed="false">
      <c r="A1520" s="34" t="s">
        <v>5799</v>
      </c>
      <c r="B1520" s="34" t="str">
        <f aca="false">'Uso e Consumo'!A1520</f>
        <v>0335</v>
      </c>
      <c r="C1520" s="34" t="str">
        <f aca="false">'Uso e Consumo'!B1520</f>
        <v>UFV NORONHA VERDE - USO E CONSUMO</v>
      </c>
      <c r="D1520" s="33" t="n">
        <f aca="false">'Uso e Consumo'!C1520</f>
        <v>1605182</v>
      </c>
      <c r="E1520" s="34" t="str">
        <f aca="false">'Uso e Consumo'!D1520</f>
        <v>17.09.0080</v>
      </c>
      <c r="F1520" s="34" t="str">
        <f aca="false">'Uso e Consumo'!E1520</f>
        <v>BARRAMENTO PENTE TRIPOLAR 70A 20 DISJUNTORES</v>
      </c>
      <c r="G1520" s="34" t="str">
        <f aca="false">'Uso e Consumo'!J1520</f>
        <v>UN</v>
      </c>
      <c r="H1520" s="49" t="n">
        <f aca="false">'Uso e Consumo'!F1520</f>
        <v>1</v>
      </c>
      <c r="I1520" s="35" t="n">
        <f aca="false">'Uso e Consumo'!G1520</f>
        <v>370</v>
      </c>
      <c r="J1520" s="34" t="str">
        <f aca="false">'Uso e Consumo'!M1520</f>
        <v>3.8.1.017 - Instalações elétricas/telefônicas/lógica</v>
      </c>
      <c r="K1520" s="32" t="str">
        <f aca="false">INDEX('Curva ABC'!$K$8:$K$2847,MATCH(D1520,'Curva ABC'!$B$8:$B$2847,0))</f>
        <v>C</v>
      </c>
    </row>
    <row r="1521" customFormat="false" ht="15" hidden="false" customHeight="false" outlineLevel="0" collapsed="false">
      <c r="A1521" s="34" t="s">
        <v>5799</v>
      </c>
      <c r="B1521" s="34" t="str">
        <f aca="false">'Uso e Consumo'!A1521</f>
        <v>0335</v>
      </c>
      <c r="C1521" s="34" t="str">
        <f aca="false">'Uso e Consumo'!B1521</f>
        <v>UFV NORONHA VERDE - USO E CONSUMO</v>
      </c>
      <c r="D1521" s="33" t="n">
        <f aca="false">'Uso e Consumo'!C1521</f>
        <v>280182</v>
      </c>
      <c r="E1521" s="34" t="str">
        <f aca="false">'Uso e Consumo'!D1521</f>
        <v>17.11.0908</v>
      </c>
      <c r="F1521" s="34" t="str">
        <f aca="false">'Uso e Consumo'!E1521</f>
        <v>LUMINÁRIA PLAFON DE SOBREPOR BRANCO ILUMI NBR IEC 60598-1</v>
      </c>
      <c r="G1521" s="34" t="str">
        <f aca="false">'Uso e Consumo'!J1521</f>
        <v>UN</v>
      </c>
      <c r="H1521" s="49" t="n">
        <f aca="false">'Uso e Consumo'!F1521</f>
        <v>68</v>
      </c>
      <c r="I1521" s="35" t="n">
        <f aca="false">'Uso e Consumo'!G1521</f>
        <v>369.2</v>
      </c>
      <c r="J1521" s="34" t="str">
        <f aca="false">'Uso e Consumo'!M1521</f>
        <v>3.8.1.017 - Instalações elétricas/telefônicas/lógica</v>
      </c>
      <c r="K1521" s="32" t="str">
        <f aca="false">INDEX('Curva ABC'!$K$8:$K$2847,MATCH(D1521,'Curva ABC'!$B$8:$B$2847,0))</f>
        <v>C</v>
      </c>
    </row>
    <row r="1522" customFormat="false" ht="15" hidden="false" customHeight="false" outlineLevel="0" collapsed="false">
      <c r="A1522" s="34" t="s">
        <v>5799</v>
      </c>
      <c r="B1522" s="34" t="str">
        <f aca="false">'Uso e Consumo'!A1522</f>
        <v>0335</v>
      </c>
      <c r="C1522" s="34" t="str">
        <f aca="false">'Uso e Consumo'!B1522</f>
        <v>UFV NORONHA VERDE - USO E CONSUMO</v>
      </c>
      <c r="D1522" s="33" t="n">
        <f aca="false">'Uso e Consumo'!C1522</f>
        <v>1485438</v>
      </c>
      <c r="E1522" s="34" t="str">
        <f aca="false">'Uso e Consumo'!D1522</f>
        <v>17.21.0115</v>
      </c>
      <c r="F1522" s="34" t="str">
        <f aca="false">'Uso e Consumo'!E1522</f>
        <v>EMENDA INTERNA PERFURADA PARA ELETROCALHA 200 X 100 MM AÇO GALVANIZADO A QUENTE</v>
      </c>
      <c r="G1522" s="34" t="str">
        <f aca="false">'Uso e Consumo'!J1522</f>
        <v>UN</v>
      </c>
      <c r="H1522" s="49" t="n">
        <f aca="false">'Uso e Consumo'!F1522</f>
        <v>19</v>
      </c>
      <c r="I1522" s="35" t="n">
        <f aca="false">'Uso e Consumo'!G1522</f>
        <v>368.15</v>
      </c>
      <c r="J1522" s="34" t="str">
        <f aca="false">'Uso e Consumo'!M1522</f>
        <v>3.8.1.017 - Instalações elétricas/telefônicas/lógica</v>
      </c>
      <c r="K1522" s="32" t="str">
        <f aca="false">INDEX('Curva ABC'!$K$8:$K$2847,MATCH(D1522,'Curva ABC'!$B$8:$B$2847,0))</f>
        <v>C</v>
      </c>
    </row>
    <row r="1523" customFormat="false" ht="15" hidden="false" customHeight="false" outlineLevel="0" collapsed="false">
      <c r="A1523" s="34" t="s">
        <v>5799</v>
      </c>
      <c r="B1523" s="34" t="str">
        <f aca="false">'Uso e Consumo'!A1523</f>
        <v>0335</v>
      </c>
      <c r="C1523" s="34" t="str">
        <f aca="false">'Uso e Consumo'!B1523</f>
        <v>UFV NORONHA VERDE - USO E CONSUMO</v>
      </c>
      <c r="D1523" s="33" t="n">
        <f aca="false">'Uso e Consumo'!C1523</f>
        <v>1096419</v>
      </c>
      <c r="E1523" s="34" t="str">
        <f aca="false">'Uso e Consumo'!D1523</f>
        <v>32.02.0369</v>
      </c>
      <c r="F1523" s="34" t="str">
        <f aca="false">'Uso e Consumo'!E1523</f>
        <v>CINTA DE ELEVAÇÃO CAPACIDADE 6,0T COM 3,0M</v>
      </c>
      <c r="G1523" s="34" t="str">
        <f aca="false">'Uso e Consumo'!J1523</f>
        <v>UN</v>
      </c>
      <c r="H1523" s="49" t="n">
        <f aca="false">'Uso e Consumo'!F1523</f>
        <v>2</v>
      </c>
      <c r="I1523" s="35" t="n">
        <f aca="false">'Uso e Consumo'!G1523</f>
        <v>367.74</v>
      </c>
      <c r="J1523" s="34" t="str">
        <f aca="false">'Uso e Consumo'!M1523</f>
        <v>6.1.2.002 - Ferramentas e utensílios</v>
      </c>
      <c r="K1523" s="32" t="str">
        <f aca="false">INDEX('Curva ABC'!$K$8:$K$2847,MATCH(D1523,'Curva ABC'!$B$8:$B$2847,0))</f>
        <v>C</v>
      </c>
    </row>
    <row r="1524" customFormat="false" ht="15" hidden="false" customHeight="false" outlineLevel="0" collapsed="false">
      <c r="A1524" s="34" t="s">
        <v>5799</v>
      </c>
      <c r="B1524" s="34" t="str">
        <f aca="false">'Uso e Consumo'!A1524</f>
        <v>0335</v>
      </c>
      <c r="C1524" s="34" t="str">
        <f aca="false">'Uso e Consumo'!B1524</f>
        <v>UFV NORONHA VERDE - USO E CONSUMO</v>
      </c>
      <c r="D1524" s="33" t="n">
        <f aca="false">'Uso e Consumo'!C1524</f>
        <v>884892</v>
      </c>
      <c r="E1524" s="34" t="str">
        <f aca="false">'Uso e Consumo'!D1524</f>
        <v>32.07.0173</v>
      </c>
      <c r="F1524" s="34" t="str">
        <f aca="false">'Uso e Consumo'!E1524</f>
        <v>KIT MAÇARICO PORTATIL E GÁS MAP/PROPANO</v>
      </c>
      <c r="G1524" s="34" t="str">
        <f aca="false">'Uso e Consumo'!J1524</f>
        <v>UND</v>
      </c>
      <c r="H1524" s="49" t="n">
        <f aca="false">'Uso e Consumo'!F1524</f>
        <v>1</v>
      </c>
      <c r="I1524" s="35" t="n">
        <f aca="false">'Uso e Consumo'!G1524</f>
        <v>366.718</v>
      </c>
      <c r="J1524" s="34" t="str">
        <f aca="false">'Uso e Consumo'!M1524</f>
        <v>6.1.2.001 - Equipamentos</v>
      </c>
      <c r="K1524" s="32" t="str">
        <f aca="false">INDEX('Curva ABC'!$K$8:$K$2847,MATCH(D1524,'Curva ABC'!$B$8:$B$2847,0))</f>
        <v>C</v>
      </c>
    </row>
    <row r="1525" customFormat="false" ht="15" hidden="false" customHeight="false" outlineLevel="0" collapsed="false">
      <c r="A1525" s="34" t="s">
        <v>5799</v>
      </c>
      <c r="B1525" s="34" t="str">
        <f aca="false">'Uso e Consumo'!A1525</f>
        <v>0335</v>
      </c>
      <c r="C1525" s="34" t="str">
        <f aca="false">'Uso e Consumo'!B1525</f>
        <v>UFV NORONHA VERDE - USO E CONSUMO</v>
      </c>
      <c r="D1525" s="33" t="n">
        <f aca="false">'Uso e Consumo'!C1525</f>
        <v>840026</v>
      </c>
      <c r="E1525" s="34" t="str">
        <f aca="false">'Uso e Consumo'!D1525</f>
        <v>18.01.1267</v>
      </c>
      <c r="F1525" s="34" t="str">
        <f aca="false">'Uso e Consumo'!E1525</f>
        <v>LUVA SIMPLES 50MM, ESGOTO SÉRIE NORMAL - TIGRE</v>
      </c>
      <c r="G1525" s="34" t="str">
        <f aca="false">'Uso e Consumo'!J1525</f>
        <v>UN</v>
      </c>
      <c r="H1525" s="49" t="n">
        <f aca="false">'Uso e Consumo'!F1525</f>
        <v>127</v>
      </c>
      <c r="I1525" s="35" t="n">
        <f aca="false">'Uso e Consumo'!G1525</f>
        <v>364.83</v>
      </c>
      <c r="J1525" s="34" t="str">
        <f aca="false">'Uso e Consumo'!M1525</f>
        <v>3.8.1.018 - Instalações hidráulicas/sanitárias/industriais</v>
      </c>
      <c r="K1525" s="32" t="str">
        <f aca="false">INDEX('Curva ABC'!$K$8:$K$2847,MATCH(D1525,'Curva ABC'!$B$8:$B$2847,0))</f>
        <v>C</v>
      </c>
    </row>
    <row r="1526" customFormat="false" ht="15" hidden="false" customHeight="false" outlineLevel="0" collapsed="false">
      <c r="A1526" s="34" t="s">
        <v>5799</v>
      </c>
      <c r="B1526" s="34" t="str">
        <f aca="false">'Uso e Consumo'!A1526</f>
        <v>0335</v>
      </c>
      <c r="C1526" s="34" t="str">
        <f aca="false">'Uso e Consumo'!B1526</f>
        <v>UFV NORONHA VERDE - USO E CONSUMO</v>
      </c>
      <c r="D1526" s="33" t="n">
        <f aca="false">'Uso e Consumo'!C1526</f>
        <v>21804</v>
      </c>
      <c r="E1526" s="34" t="str">
        <f aca="false">'Uso e Consumo'!D1526</f>
        <v>24.30.0005</v>
      </c>
      <c r="F1526" s="34" t="str">
        <f aca="false">'Uso e Consumo'!E1526</f>
        <v>PNEU PARA CARRO DE MÃO 3,00/3,25 X 8"</v>
      </c>
      <c r="G1526" s="34" t="str">
        <f aca="false">'Uso e Consumo'!J1526</f>
        <v>UN</v>
      </c>
      <c r="H1526" s="49" t="n">
        <f aca="false">'Uso e Consumo'!F1526</f>
        <v>9</v>
      </c>
      <c r="I1526" s="35" t="n">
        <f aca="false">'Uso e Consumo'!G1526</f>
        <v>360</v>
      </c>
      <c r="J1526" s="34" t="str">
        <f aca="false">'Uso e Consumo'!M1526</f>
        <v>3.1.6.002 - Pneus e peças</v>
      </c>
      <c r="K1526" s="32" t="str">
        <f aca="false">INDEX('Curva ABC'!$K$8:$K$2847,MATCH(D1526,'Curva ABC'!$B$8:$B$2847,0))</f>
        <v>C</v>
      </c>
    </row>
    <row r="1527" customFormat="false" ht="15" hidden="false" customHeight="false" outlineLevel="0" collapsed="false">
      <c r="A1527" s="34" t="s">
        <v>5799</v>
      </c>
      <c r="B1527" s="34" t="str">
        <f aca="false">'Uso e Consumo'!A1527</f>
        <v>0335</v>
      </c>
      <c r="C1527" s="34" t="str">
        <f aca="false">'Uso e Consumo'!B1527</f>
        <v>UFV NORONHA VERDE - USO E CONSUMO</v>
      </c>
      <c r="D1527" s="33" t="n">
        <f aca="false">'Uso e Consumo'!C1527</f>
        <v>137817</v>
      </c>
      <c r="E1527" s="34" t="str">
        <f aca="false">'Uso e Consumo'!D1527</f>
        <v>26.03.0034</v>
      </c>
      <c r="F1527" s="34" t="str">
        <f aca="false">'Uso e Consumo'!E1527</f>
        <v>JUGULAR PARA CAPACETE C/ GRAMPOS</v>
      </c>
      <c r="G1527" s="34" t="str">
        <f aca="false">'Uso e Consumo'!J1527</f>
        <v>UN</v>
      </c>
      <c r="H1527" s="49" t="n">
        <f aca="false">'Uso e Consumo'!F1527</f>
        <v>200</v>
      </c>
      <c r="I1527" s="35" t="n">
        <f aca="false">'Uso e Consumo'!G1527</f>
        <v>360</v>
      </c>
      <c r="J1527" s="34" t="str">
        <f aca="false">'Uso e Consumo'!M1527</f>
        <v>4.3.4.001 - Equipamento de proteção individual</v>
      </c>
      <c r="K1527" s="32" t="str">
        <f aca="false">INDEX('Curva ABC'!$K$8:$K$2847,MATCH(D1527,'Curva ABC'!$B$8:$B$2847,0))</f>
        <v>C</v>
      </c>
    </row>
    <row r="1528" customFormat="false" ht="15" hidden="false" customHeight="false" outlineLevel="0" collapsed="false">
      <c r="A1528" s="34" t="s">
        <v>5799</v>
      </c>
      <c r="B1528" s="34" t="str">
        <f aca="false">'Uso e Consumo'!A1528</f>
        <v>0335</v>
      </c>
      <c r="C1528" s="34" t="str">
        <f aca="false">'Uso e Consumo'!B1528</f>
        <v>UFV NORONHA VERDE - USO E CONSUMO</v>
      </c>
      <c r="D1528" s="33" t="n">
        <f aca="false">'Uso e Consumo'!C1528</f>
        <v>1384073</v>
      </c>
      <c r="E1528" s="34" t="str">
        <f aca="false">'Uso e Consumo'!D1528</f>
        <v>17.05.0123</v>
      </c>
      <c r="F1528" s="34" t="str">
        <f aca="false">'Uso e Consumo'!E1528</f>
        <v>CAIXA DE LIGAÇÃO EM LIGA DE ALUMÍNIO TIPO “X”, COM 5 ENTRADAS ORTOGONAIS ROSQUEADAS, DN 25 MM (1" BSP)</v>
      </c>
      <c r="G1528" s="34" t="str">
        <f aca="false">'Uso e Consumo'!J1528</f>
        <v>UN</v>
      </c>
      <c r="H1528" s="49" t="n">
        <f aca="false">'Uso e Consumo'!F1528</f>
        <v>20</v>
      </c>
      <c r="I1528" s="35" t="n">
        <f aca="false">'Uso e Consumo'!G1528</f>
        <v>359.88</v>
      </c>
      <c r="J1528" s="34" t="str">
        <f aca="false">'Uso e Consumo'!M1528</f>
        <v>3.8.1.017 - Instalações elétricas/telefônicas/lógica</v>
      </c>
      <c r="K1528" s="32" t="str">
        <f aca="false">INDEX('Curva ABC'!$K$8:$K$2847,MATCH(D1528,'Curva ABC'!$B$8:$B$2847,0))</f>
        <v>C</v>
      </c>
    </row>
    <row r="1529" customFormat="false" ht="15" hidden="false" customHeight="false" outlineLevel="0" collapsed="false">
      <c r="A1529" s="34" t="s">
        <v>5799</v>
      </c>
      <c r="B1529" s="34" t="str">
        <f aca="false">'Uso e Consumo'!A1529</f>
        <v>0335</v>
      </c>
      <c r="C1529" s="34" t="str">
        <f aca="false">'Uso e Consumo'!B1529</f>
        <v>UFV NORONHA VERDE - USO E CONSUMO</v>
      </c>
      <c r="D1529" s="33" t="n">
        <f aca="false">'Uso e Consumo'!C1529</f>
        <v>1605942</v>
      </c>
      <c r="E1529" s="34" t="str">
        <f aca="false">'Uso e Consumo'!D1529</f>
        <v>17.22.0152</v>
      </c>
      <c r="F1529" s="34" t="str">
        <f aca="false">'Uso e Consumo'!E1529</f>
        <v>CINTA POSTE CIRCULAR 290</v>
      </c>
      <c r="G1529" s="34" t="str">
        <f aca="false">'Uso e Consumo'!J1529</f>
        <v>UN</v>
      </c>
      <c r="H1529" s="49" t="n">
        <f aca="false">'Uso e Consumo'!F1529</f>
        <v>4</v>
      </c>
      <c r="I1529" s="35" t="n">
        <f aca="false">'Uso e Consumo'!G1529</f>
        <v>359.24</v>
      </c>
      <c r="J1529" s="34" t="str">
        <f aca="false">'Uso e Consumo'!M1529</f>
        <v>3.8.1.017 - Instalações elétricas/telefônicas/lógica</v>
      </c>
      <c r="K1529" s="32" t="str">
        <f aca="false">INDEX('Curva ABC'!$K$8:$K$2847,MATCH(D1529,'Curva ABC'!$B$8:$B$2847,0))</f>
        <v>C</v>
      </c>
    </row>
    <row r="1530" customFormat="false" ht="15" hidden="false" customHeight="false" outlineLevel="0" collapsed="false">
      <c r="A1530" s="34" t="s">
        <v>5799</v>
      </c>
      <c r="B1530" s="34" t="str">
        <f aca="false">'Uso e Consumo'!A1530</f>
        <v>0335</v>
      </c>
      <c r="C1530" s="34" t="str">
        <f aca="false">'Uso e Consumo'!B1530</f>
        <v>UFV NORONHA VERDE - USO E CONSUMO</v>
      </c>
      <c r="D1530" s="33" t="n">
        <f aca="false">'Uso e Consumo'!C1530</f>
        <v>230631</v>
      </c>
      <c r="E1530" s="34" t="str">
        <f aca="false">'Uso e Consumo'!D1530</f>
        <v>29.01.0632</v>
      </c>
      <c r="F1530" s="34" t="str">
        <f aca="false">'Uso e Consumo'!E1530</f>
        <v>MICROFONE SEM FIO </v>
      </c>
      <c r="G1530" s="34" t="str">
        <f aca="false">'Uso e Consumo'!J1530</f>
        <v>UN</v>
      </c>
      <c r="H1530" s="49" t="n">
        <f aca="false">'Uso e Consumo'!F1530</f>
        <v>1</v>
      </c>
      <c r="I1530" s="35" t="n">
        <f aca="false">'Uso e Consumo'!G1530</f>
        <v>359.1</v>
      </c>
      <c r="J1530" s="34" t="str">
        <f aca="false">'Uso e Consumo'!M1530</f>
        <v>4.1.1.007 - Equipamentos e acessórios para informática</v>
      </c>
      <c r="K1530" s="32" t="str">
        <f aca="false">INDEX('Curva ABC'!$K$8:$K$2847,MATCH(D1530,'Curva ABC'!$B$8:$B$2847,0))</f>
        <v>C</v>
      </c>
    </row>
    <row r="1531" customFormat="false" ht="15" hidden="false" customHeight="false" outlineLevel="0" collapsed="false">
      <c r="A1531" s="34" t="s">
        <v>5799</v>
      </c>
      <c r="B1531" s="34" t="str">
        <f aca="false">'Uso e Consumo'!A1531</f>
        <v>0335</v>
      </c>
      <c r="C1531" s="34" t="str">
        <f aca="false">'Uso e Consumo'!B1531</f>
        <v>UFV NORONHA VERDE - USO E CONSUMO</v>
      </c>
      <c r="D1531" s="33" t="n">
        <f aca="false">'Uso e Consumo'!C1531</f>
        <v>1326735</v>
      </c>
      <c r="E1531" s="34" t="str">
        <f aca="false">'Uso e Consumo'!D1531</f>
        <v>17.16.0672</v>
      </c>
      <c r="F1531" s="34" t="str">
        <f aca="false">'Uso e Consumo'!E1531</f>
        <v>CONECTOR DE LIGA DE COBRE, TIPO PARAFUSO FENDIDO, PARA DERIVAÇÃO DE 2 CABOS DE COBRE BITOLA 35 A 95mm²</v>
      </c>
      <c r="G1531" s="34" t="str">
        <f aca="false">'Uso e Consumo'!J1531</f>
        <v>pç</v>
      </c>
      <c r="H1531" s="49" t="n">
        <f aca="false">'Uso e Consumo'!F1531</f>
        <v>12</v>
      </c>
      <c r="I1531" s="35" t="n">
        <f aca="false">'Uso e Consumo'!G1531</f>
        <v>358.72</v>
      </c>
      <c r="J1531" s="34" t="str">
        <f aca="false">'Uso e Consumo'!M1531</f>
        <v>3.8.1.017 - Instalações elétricas/telefônicas/lógica</v>
      </c>
      <c r="K1531" s="32" t="str">
        <f aca="false">INDEX('Curva ABC'!$K$8:$K$2847,MATCH(D1531,'Curva ABC'!$B$8:$B$2847,0))</f>
        <v>C</v>
      </c>
    </row>
    <row r="1532" customFormat="false" ht="15" hidden="false" customHeight="false" outlineLevel="0" collapsed="false">
      <c r="A1532" s="34" t="s">
        <v>5799</v>
      </c>
      <c r="B1532" s="34" t="str">
        <f aca="false">'Uso e Consumo'!A1532</f>
        <v>0335</v>
      </c>
      <c r="C1532" s="34" t="str">
        <f aca="false">'Uso e Consumo'!B1532</f>
        <v>UFV NORONHA VERDE - USO E CONSUMO</v>
      </c>
      <c r="D1532" s="33" t="n">
        <f aca="false">'Uso e Consumo'!C1532</f>
        <v>32033</v>
      </c>
      <c r="E1532" s="34" t="str">
        <f aca="false">'Uso e Consumo'!D1532</f>
        <v>30.01.0478</v>
      </c>
      <c r="F1532" s="34" t="str">
        <f aca="false">'Uso e Consumo'!E1532</f>
        <v>BOBINA TERMICA P/ RELÓGIO DE PONTO 57,00MM X 300,00M</v>
      </c>
      <c r="G1532" s="34" t="str">
        <f aca="false">'Uso e Consumo'!J1532</f>
        <v>UN</v>
      </c>
      <c r="H1532" s="49" t="n">
        <f aca="false">'Uso e Consumo'!F1532</f>
        <v>8</v>
      </c>
      <c r="I1532" s="35" t="n">
        <f aca="false">'Uso e Consumo'!G1532</f>
        <v>358.4</v>
      </c>
      <c r="J1532" s="34" t="str">
        <f aca="false">'Uso e Consumo'!M1532</f>
        <v>4.1.1.002 - Material expediente</v>
      </c>
      <c r="K1532" s="32" t="str">
        <f aca="false">INDEX('Curva ABC'!$K$8:$K$2847,MATCH(D1532,'Curva ABC'!$B$8:$B$2847,0))</f>
        <v>C</v>
      </c>
    </row>
    <row r="1533" customFormat="false" ht="15" hidden="false" customHeight="false" outlineLevel="0" collapsed="false">
      <c r="A1533" s="34" t="s">
        <v>5799</v>
      </c>
      <c r="B1533" s="34" t="str">
        <f aca="false">'Uso e Consumo'!A1533</f>
        <v>0335</v>
      </c>
      <c r="C1533" s="34" t="str">
        <f aca="false">'Uso e Consumo'!B1533</f>
        <v>UFV NORONHA VERDE - USO E CONSUMO</v>
      </c>
      <c r="D1533" s="33" t="n">
        <f aca="false">'Uso e Consumo'!C1533</f>
        <v>275258</v>
      </c>
      <c r="E1533" s="34" t="str">
        <f aca="false">'Uso e Consumo'!D1533</f>
        <v>30.04.0167</v>
      </c>
      <c r="F1533" s="34" t="str">
        <f aca="false">'Uso e Consumo'!E1533</f>
        <v>FRITADEIRA ELÉTRICA </v>
      </c>
      <c r="G1533" s="34" t="str">
        <f aca="false">'Uso e Consumo'!J1533</f>
        <v>UN</v>
      </c>
      <c r="H1533" s="49" t="n">
        <f aca="false">'Uso e Consumo'!F1533</f>
        <v>2</v>
      </c>
      <c r="I1533" s="35" t="n">
        <f aca="false">'Uso e Consumo'!G1533</f>
        <v>358</v>
      </c>
      <c r="J1533" s="34" t="str">
        <f aca="false">'Uso e Consumo'!M1533</f>
        <v>4.1.1.001 - Material de uso e consumo</v>
      </c>
      <c r="K1533" s="32" t="str">
        <f aca="false">INDEX('Curva ABC'!$K$8:$K$2847,MATCH(D1533,'Curva ABC'!$B$8:$B$2847,0))</f>
        <v>C</v>
      </c>
    </row>
    <row r="1534" customFormat="false" ht="15" hidden="false" customHeight="false" outlineLevel="0" collapsed="false">
      <c r="A1534" s="34" t="s">
        <v>5799</v>
      </c>
      <c r="B1534" s="34" t="str">
        <f aca="false">'Uso e Consumo'!A1534</f>
        <v>0335</v>
      </c>
      <c r="C1534" s="34" t="str">
        <f aca="false">'Uso e Consumo'!B1534</f>
        <v>UFV NORONHA VERDE - USO E CONSUMO</v>
      </c>
      <c r="D1534" s="33" t="n">
        <f aca="false">'Uso e Consumo'!C1534</f>
        <v>1018878</v>
      </c>
      <c r="E1534" s="34" t="str">
        <f aca="false">'Uso e Consumo'!D1534</f>
        <v>17.02.0784</v>
      </c>
      <c r="F1534" s="34" t="str">
        <f aca="false">'Uso e Consumo'!E1534</f>
        <v>LUVA GALVANIZADA PESADA 6" APOLO</v>
      </c>
      <c r="G1534" s="34" t="str">
        <f aca="false">'Uso e Consumo'!J1534</f>
        <v>UN</v>
      </c>
      <c r="H1534" s="49" t="n">
        <f aca="false">'Uso e Consumo'!F1534</f>
        <v>2</v>
      </c>
      <c r="I1534" s="35" t="n">
        <f aca="false">'Uso e Consumo'!G1534</f>
        <v>357.94</v>
      </c>
      <c r="J1534" s="34" t="str">
        <f aca="false">'Uso e Consumo'!M1534</f>
        <v>3.8.1.017 - Instalações elétricas/telefônicas/lógica</v>
      </c>
      <c r="K1534" s="32" t="str">
        <f aca="false">INDEX('Curva ABC'!$K$8:$K$2847,MATCH(D1534,'Curva ABC'!$B$8:$B$2847,0))</f>
        <v>C</v>
      </c>
    </row>
    <row r="1535" customFormat="false" ht="15" hidden="false" customHeight="false" outlineLevel="0" collapsed="false">
      <c r="A1535" s="34" t="s">
        <v>5799</v>
      </c>
      <c r="B1535" s="34" t="str">
        <f aca="false">'Uso e Consumo'!A1535</f>
        <v>0335</v>
      </c>
      <c r="C1535" s="34" t="str">
        <f aca="false">'Uso e Consumo'!B1535</f>
        <v>UFV NORONHA VERDE - USO E CONSUMO</v>
      </c>
      <c r="D1535" s="33" t="n">
        <f aca="false">'Uso e Consumo'!C1535</f>
        <v>929722</v>
      </c>
      <c r="E1535" s="34" t="str">
        <f aca="false">'Uso e Consumo'!D1535</f>
        <v>13.06.0314</v>
      </c>
      <c r="F1535" s="34" t="str">
        <f aca="false">'Uso e Consumo'!E1535</f>
        <v>DOBRADIÇA ZINCADA 3"</v>
      </c>
      <c r="G1535" s="34" t="str">
        <f aca="false">'Uso e Consumo'!J1535</f>
        <v>UN</v>
      </c>
      <c r="H1535" s="49" t="n">
        <f aca="false">'Uso e Consumo'!F1535</f>
        <v>36</v>
      </c>
      <c r="I1535" s="35" t="n">
        <f aca="false">'Uso e Consumo'!G1535</f>
        <v>357.28</v>
      </c>
      <c r="J1535" s="34" t="str">
        <f aca="false">'Uso e Consumo'!M1535</f>
        <v>3.8.1.013 - Esquadrias e vidros</v>
      </c>
      <c r="K1535" s="32" t="str">
        <f aca="false">INDEX('Curva ABC'!$K$8:$K$2847,MATCH(D1535,'Curva ABC'!$B$8:$B$2847,0))</f>
        <v>C</v>
      </c>
    </row>
    <row r="1536" customFormat="false" ht="15" hidden="false" customHeight="false" outlineLevel="0" collapsed="false">
      <c r="A1536" s="34" t="s">
        <v>5799</v>
      </c>
      <c r="B1536" s="34" t="str">
        <f aca="false">'Uso e Consumo'!A1536</f>
        <v>0335</v>
      </c>
      <c r="C1536" s="34" t="str">
        <f aca="false">'Uso e Consumo'!B1536</f>
        <v>UFV NORONHA VERDE - USO E CONSUMO</v>
      </c>
      <c r="D1536" s="33" t="n">
        <f aca="false">'Uso e Consumo'!C1536</f>
        <v>1320999</v>
      </c>
      <c r="E1536" s="34" t="str">
        <f aca="false">'Uso e Consumo'!D1536</f>
        <v>17.05.0120</v>
      </c>
      <c r="F1536" s="34" t="str">
        <f aca="false">'Uso e Consumo'!E1536</f>
        <v>TAMPA 1 TECLA PARA CONDULETE PVC DE 1/2'' CINZA</v>
      </c>
      <c r="G1536" s="34" t="str">
        <f aca="false">'Uso e Consumo'!J1536</f>
        <v>UN</v>
      </c>
      <c r="H1536" s="49" t="n">
        <f aca="false">'Uso e Consumo'!F1536</f>
        <v>204</v>
      </c>
      <c r="I1536" s="35" t="n">
        <f aca="false">'Uso e Consumo'!G1536</f>
        <v>357</v>
      </c>
      <c r="J1536" s="34" t="str">
        <f aca="false">'Uso e Consumo'!M1536</f>
        <v>3.8.1.017 - Instalações elétricas/telefônicas/lógica</v>
      </c>
      <c r="K1536" s="32" t="str">
        <f aca="false">INDEX('Curva ABC'!$K$8:$K$2847,MATCH(D1536,'Curva ABC'!$B$8:$B$2847,0))</f>
        <v>C</v>
      </c>
    </row>
    <row r="1537" customFormat="false" ht="15" hidden="false" customHeight="false" outlineLevel="0" collapsed="false">
      <c r="A1537" s="34" t="s">
        <v>5799</v>
      </c>
      <c r="B1537" s="34" t="str">
        <f aca="false">'Uso e Consumo'!A1537</f>
        <v>0335</v>
      </c>
      <c r="C1537" s="34" t="str">
        <f aca="false">'Uso e Consumo'!B1537</f>
        <v>UFV NORONHA VERDE - USO E CONSUMO</v>
      </c>
      <c r="D1537" s="33" t="n">
        <f aca="false">'Uso e Consumo'!C1537</f>
        <v>941848</v>
      </c>
      <c r="E1537" s="34" t="str">
        <f aca="false">'Uso e Consumo'!D1537</f>
        <v>16.04.0054</v>
      </c>
      <c r="F1537" s="34" t="str">
        <f aca="false">'Uso e Consumo'!E1537</f>
        <v>THINNER SOLVENTE PARA TINTA  0,9L</v>
      </c>
      <c r="G1537" s="34" t="str">
        <f aca="false">'Uso e Consumo'!J1537</f>
        <v>UN</v>
      </c>
      <c r="H1537" s="49" t="n">
        <f aca="false">'Uso e Consumo'!F1537</f>
        <v>12</v>
      </c>
      <c r="I1537" s="35" t="n">
        <f aca="false">'Uso e Consumo'!G1537</f>
        <v>356.52</v>
      </c>
      <c r="J1537" s="34" t="str">
        <f aca="false">'Uso e Consumo'!M1537</f>
        <v>3.8.1.016 - Pinturas</v>
      </c>
      <c r="K1537" s="32" t="str">
        <f aca="false">INDEX('Curva ABC'!$K$8:$K$2847,MATCH(D1537,'Curva ABC'!$B$8:$B$2847,0))</f>
        <v>C</v>
      </c>
    </row>
    <row r="1538" customFormat="false" ht="15" hidden="false" customHeight="false" outlineLevel="0" collapsed="false">
      <c r="A1538" s="34" t="s">
        <v>5799</v>
      </c>
      <c r="B1538" s="34" t="str">
        <f aca="false">'Uso e Consumo'!A1538</f>
        <v>0335</v>
      </c>
      <c r="C1538" s="34" t="str">
        <f aca="false">'Uso e Consumo'!B1538</f>
        <v>UFV NORONHA VERDE - USO E CONSUMO</v>
      </c>
      <c r="D1538" s="33" t="n">
        <f aca="false">'Uso e Consumo'!C1538</f>
        <v>21171</v>
      </c>
      <c r="E1538" s="34" t="str">
        <f aca="false">'Uso e Consumo'!D1538</f>
        <v>31.02.0019</v>
      </c>
      <c r="F1538" s="34" t="str">
        <f aca="false">'Uso e Consumo'!E1538</f>
        <v>ÓLEO LUBRIFICANTE SAE 90</v>
      </c>
      <c r="G1538" s="34" t="str">
        <f aca="false">'Uso e Consumo'!J1538</f>
        <v>L</v>
      </c>
      <c r="H1538" s="49" t="n">
        <f aca="false">'Uso e Consumo'!F1538</f>
        <v>20</v>
      </c>
      <c r="I1538" s="35" t="n">
        <f aca="false">'Uso e Consumo'!G1538</f>
        <v>356.48</v>
      </c>
      <c r="J1538" s="34" t="str">
        <f aca="false">'Uso e Consumo'!M1538</f>
        <v>3.1.6.001 - Combustível e lubrificantes</v>
      </c>
      <c r="K1538" s="32" t="str">
        <f aca="false">INDEX('Curva ABC'!$K$8:$K$2847,MATCH(D1538,'Curva ABC'!$B$8:$B$2847,0))</f>
        <v>C</v>
      </c>
    </row>
    <row r="1539" customFormat="false" ht="15" hidden="false" customHeight="false" outlineLevel="0" collapsed="false">
      <c r="A1539" s="34" t="s">
        <v>5799</v>
      </c>
      <c r="B1539" s="34" t="str">
        <f aca="false">'Uso e Consumo'!A1539</f>
        <v>0335</v>
      </c>
      <c r="C1539" s="34" t="str">
        <f aca="false">'Uso e Consumo'!B1539</f>
        <v>UFV NORONHA VERDE - USO E CONSUMO</v>
      </c>
      <c r="D1539" s="33" t="n">
        <f aca="false">'Uso e Consumo'!C1539</f>
        <v>32426</v>
      </c>
      <c r="E1539" s="34" t="str">
        <f aca="false">'Uso e Consumo'!D1539</f>
        <v>16.03.0015</v>
      </c>
      <c r="F1539" s="34" t="str">
        <f aca="false">'Uso e Consumo'!E1539</f>
        <v>TINTA LATEX VINIL ACRÍLICO FOSCO CONCRETO GALÃO 3,60L NBR 11702</v>
      </c>
      <c r="G1539" s="34" t="str">
        <f aca="false">'Uso e Consumo'!J1539</f>
        <v>G3,6L</v>
      </c>
      <c r="H1539" s="49" t="n">
        <f aca="false">'Uso e Consumo'!F1539</f>
        <v>2</v>
      </c>
      <c r="I1539" s="35" t="n">
        <f aca="false">'Uso e Consumo'!G1539</f>
        <v>356</v>
      </c>
      <c r="J1539" s="34" t="str">
        <f aca="false">'Uso e Consumo'!M1539</f>
        <v>3.8.1.016 - Pinturas</v>
      </c>
      <c r="K1539" s="32" t="str">
        <f aca="false">INDEX('Curva ABC'!$K$8:$K$2847,MATCH(D1539,'Curva ABC'!$B$8:$B$2847,0))</f>
        <v>C</v>
      </c>
    </row>
    <row r="1540" customFormat="false" ht="15" hidden="false" customHeight="false" outlineLevel="0" collapsed="false">
      <c r="A1540" s="34" t="s">
        <v>5799</v>
      </c>
      <c r="B1540" s="34" t="str">
        <f aca="false">'Uso e Consumo'!A1540</f>
        <v>0335</v>
      </c>
      <c r="C1540" s="34" t="str">
        <f aca="false">'Uso e Consumo'!B1540</f>
        <v>UFV NORONHA VERDE - USO E CONSUMO</v>
      </c>
      <c r="D1540" s="33" t="n">
        <f aca="false">'Uso e Consumo'!C1540</f>
        <v>1479362</v>
      </c>
      <c r="E1540" s="34" t="str">
        <f aca="false">'Uso e Consumo'!D1540</f>
        <v>17.02.0911</v>
      </c>
      <c r="F1540" s="34" t="str">
        <f aca="false">'Uso e Consumo'!E1540</f>
        <v>BUCHA DE ACABAMENTO EM PVC PARA ELETRODUTO DN 3" – ROSCA BSP</v>
      </c>
      <c r="G1540" s="34" t="str">
        <f aca="false">'Uso e Consumo'!J1540</f>
        <v>UN</v>
      </c>
      <c r="H1540" s="49" t="n">
        <f aca="false">'Uso e Consumo'!F1540</f>
        <v>35</v>
      </c>
      <c r="I1540" s="35" t="n">
        <f aca="false">'Uso e Consumo'!G1540</f>
        <v>355.93</v>
      </c>
      <c r="J1540" s="34" t="str">
        <f aca="false">'Uso e Consumo'!M1540</f>
        <v>3.7.1.018 - Serviço de instalações elétricas/telefônica/lógica</v>
      </c>
      <c r="K1540" s="32" t="str">
        <f aca="false">INDEX('Curva ABC'!$K$8:$K$2847,MATCH(D1540,'Curva ABC'!$B$8:$B$2847,0))</f>
        <v>C</v>
      </c>
    </row>
    <row r="1541" customFormat="false" ht="15" hidden="false" customHeight="false" outlineLevel="0" collapsed="false">
      <c r="A1541" s="34" t="s">
        <v>5799</v>
      </c>
      <c r="B1541" s="34" t="str">
        <f aca="false">'Uso e Consumo'!A1541</f>
        <v>0335</v>
      </c>
      <c r="C1541" s="34" t="str">
        <f aca="false">'Uso e Consumo'!B1541</f>
        <v>UFV NORONHA VERDE - USO E CONSUMO</v>
      </c>
      <c r="D1541" s="33" t="n">
        <f aca="false">'Uso e Consumo'!C1541</f>
        <v>1475951</v>
      </c>
      <c r="E1541" s="34" t="str">
        <f aca="false">'Uso e Consumo'!D1541</f>
        <v>24.41.0404</v>
      </c>
      <c r="F1541" s="34" t="str">
        <f aca="false">'Uso e Consumo'!E1541</f>
        <v>ESQUADRO COM CABO DE ALUMÍNIO 12"</v>
      </c>
      <c r="G1541" s="34" t="str">
        <f aca="false">'Uso e Consumo'!J1541</f>
        <v>UN</v>
      </c>
      <c r="H1541" s="49" t="n">
        <f aca="false">'Uso e Consumo'!F1541</f>
        <v>8</v>
      </c>
      <c r="I1541" s="35" t="n">
        <f aca="false">'Uso e Consumo'!G1541</f>
        <v>355.9</v>
      </c>
      <c r="J1541" s="34" t="str">
        <f aca="false">'Uso e Consumo'!M1541</f>
        <v>4.1.1.002 - Material expediente</v>
      </c>
      <c r="K1541" s="32" t="str">
        <f aca="false">INDEX('Curva ABC'!$K$8:$K$2847,MATCH(D1541,'Curva ABC'!$B$8:$B$2847,0))</f>
        <v>C</v>
      </c>
    </row>
    <row r="1542" customFormat="false" ht="15" hidden="false" customHeight="false" outlineLevel="0" collapsed="false">
      <c r="A1542" s="34" t="s">
        <v>5799</v>
      </c>
      <c r="B1542" s="34" t="str">
        <f aca="false">'Uso e Consumo'!A1542</f>
        <v>0335</v>
      </c>
      <c r="C1542" s="34" t="str">
        <f aca="false">'Uso e Consumo'!B1542</f>
        <v>UFV NORONHA VERDE - USO E CONSUMO</v>
      </c>
      <c r="D1542" s="33" t="n">
        <f aca="false">'Uso e Consumo'!C1542</f>
        <v>17934</v>
      </c>
      <c r="E1542" s="34" t="str">
        <f aca="false">'Uso e Consumo'!D1542</f>
        <v>24.09.0028</v>
      </c>
      <c r="F1542" s="34" t="str">
        <f aca="false">'Uso e Consumo'!E1542</f>
        <v>CHAVE COMBINADA 1.1/8" AÇO CARBONO CROMADO</v>
      </c>
      <c r="G1542" s="34" t="str">
        <f aca="false">'Uso e Consumo'!J1542</f>
        <v>UN</v>
      </c>
      <c r="H1542" s="49" t="n">
        <f aca="false">'Uso e Consumo'!F1542</f>
        <v>3</v>
      </c>
      <c r="I1542" s="35" t="n">
        <f aca="false">'Uso e Consumo'!G1542</f>
        <v>355.12</v>
      </c>
      <c r="J1542" s="34" t="str">
        <f aca="false">'Uso e Consumo'!M1542</f>
        <v>3.8.2.002 - Ferramentas manuais</v>
      </c>
      <c r="K1542" s="32" t="str">
        <f aca="false">INDEX('Curva ABC'!$K$8:$K$2847,MATCH(D1542,'Curva ABC'!$B$8:$B$2847,0))</f>
        <v>C</v>
      </c>
    </row>
    <row r="1543" customFormat="false" ht="15" hidden="false" customHeight="false" outlineLevel="0" collapsed="false">
      <c r="A1543" s="34" t="s">
        <v>5799</v>
      </c>
      <c r="B1543" s="34" t="str">
        <f aca="false">'Uso e Consumo'!A1543</f>
        <v>0335</v>
      </c>
      <c r="C1543" s="34" t="str">
        <f aca="false">'Uso e Consumo'!B1543</f>
        <v>UFV NORONHA VERDE - USO E CONSUMO</v>
      </c>
      <c r="D1543" s="33" t="n">
        <f aca="false">'Uso e Consumo'!C1543</f>
        <v>950842</v>
      </c>
      <c r="E1543" s="34" t="str">
        <f aca="false">'Uso e Consumo'!D1543</f>
        <v>24.50.0005</v>
      </c>
      <c r="F1543" s="34" t="str">
        <f aca="false">'Uso e Consumo'!E1543</f>
        <v>PENEIRA P/AREIA FINA E GROSSA</v>
      </c>
      <c r="G1543" s="34" t="str">
        <f aca="false">'Uso e Consumo'!J1543</f>
        <v>UN</v>
      </c>
      <c r="H1543" s="49" t="n">
        <f aca="false">'Uso e Consumo'!F1543</f>
        <v>3</v>
      </c>
      <c r="I1543" s="35" t="n">
        <f aca="false">'Uso e Consumo'!G1543</f>
        <v>354</v>
      </c>
      <c r="J1543" s="34" t="str">
        <f aca="false">'Uso e Consumo'!M1543</f>
        <v>3.8.2.002 - Ferramentas manuais</v>
      </c>
      <c r="K1543" s="32" t="str">
        <f aca="false">INDEX('Curva ABC'!$K$8:$K$2847,MATCH(D1543,'Curva ABC'!$B$8:$B$2847,0))</f>
        <v>C</v>
      </c>
    </row>
    <row r="1544" customFormat="false" ht="15" hidden="false" customHeight="false" outlineLevel="0" collapsed="false">
      <c r="A1544" s="34" t="s">
        <v>5799</v>
      </c>
      <c r="B1544" s="34" t="str">
        <f aca="false">'Uso e Consumo'!A1544</f>
        <v>0335</v>
      </c>
      <c r="C1544" s="34" t="str">
        <f aca="false">'Uso e Consumo'!B1544</f>
        <v>UFV NORONHA VERDE - USO E CONSUMO</v>
      </c>
      <c r="D1544" s="33" t="n">
        <f aca="false">'Uso e Consumo'!C1544</f>
        <v>1672554</v>
      </c>
      <c r="E1544" s="34" t="str">
        <f aca="false">'Uso e Consumo'!D1544</f>
        <v>09.18.0060</v>
      </c>
      <c r="F1544" s="34" t="str">
        <f aca="false">'Uso e Consumo'!E1544</f>
        <v>TAMPA DE CONCRETO ARMADO 35 X 108 X 6 CM</v>
      </c>
      <c r="G1544" s="34" t="str">
        <f aca="false">'Uso e Consumo'!J1544</f>
        <v>UN</v>
      </c>
      <c r="H1544" s="49" t="n">
        <f aca="false">'Uso e Consumo'!F1544</f>
        <v>4</v>
      </c>
      <c r="I1544" s="35" t="n">
        <f aca="false">'Uso e Consumo'!G1544</f>
        <v>353.8</v>
      </c>
      <c r="J1544" s="34" t="str">
        <f aca="false">'Uso e Consumo'!M1544</f>
        <v>3.8.1.009 - Artefatos pré-moldados de concreto</v>
      </c>
      <c r="K1544" s="32" t="str">
        <f aca="false">INDEX('Curva ABC'!$K$8:$K$2847,MATCH(D1544,'Curva ABC'!$B$8:$B$2847,0))</f>
        <v>C</v>
      </c>
    </row>
    <row r="1545" customFormat="false" ht="15" hidden="false" customHeight="false" outlineLevel="0" collapsed="false">
      <c r="A1545" s="34" t="s">
        <v>5799</v>
      </c>
      <c r="B1545" s="34" t="str">
        <f aca="false">'Uso e Consumo'!A1545</f>
        <v>0335</v>
      </c>
      <c r="C1545" s="34" t="str">
        <f aca="false">'Uso e Consumo'!B1545</f>
        <v>UFV NORONHA VERDE - USO E CONSUMO</v>
      </c>
      <c r="D1545" s="33" t="n">
        <f aca="false">'Uso e Consumo'!C1545</f>
        <v>1461858</v>
      </c>
      <c r="E1545" s="34" t="str">
        <f aca="false">'Uso e Consumo'!D1545</f>
        <v>17.20.0703</v>
      </c>
      <c r="F1545" s="34" t="str">
        <f aca="false">'Uso e Consumo'!E1545</f>
        <v>HASTE ATERRAMENTO 5/8"  C/ 1,50 M</v>
      </c>
      <c r="G1545" s="34" t="str">
        <f aca="false">'Uso e Consumo'!J1545</f>
        <v>UN</v>
      </c>
      <c r="H1545" s="49" t="n">
        <f aca="false">'Uso e Consumo'!F1545</f>
        <v>4</v>
      </c>
      <c r="I1545" s="35" t="n">
        <f aca="false">'Uso e Consumo'!G1545</f>
        <v>352</v>
      </c>
      <c r="J1545" s="34" t="str">
        <f aca="false">'Uso e Consumo'!M1545</f>
        <v>3.8.1.017 - Instalações elétricas/telefônicas/lógica</v>
      </c>
      <c r="K1545" s="32" t="str">
        <f aca="false">INDEX('Curva ABC'!$K$8:$K$2847,MATCH(D1545,'Curva ABC'!$B$8:$B$2847,0))</f>
        <v>C</v>
      </c>
    </row>
    <row r="1546" customFormat="false" ht="15" hidden="false" customHeight="false" outlineLevel="0" collapsed="false">
      <c r="A1546" s="34" t="s">
        <v>5799</v>
      </c>
      <c r="B1546" s="34" t="str">
        <f aca="false">'Uso e Consumo'!A1546</f>
        <v>0335</v>
      </c>
      <c r="C1546" s="34" t="str">
        <f aca="false">'Uso e Consumo'!B1546</f>
        <v>UFV NORONHA VERDE - USO E CONSUMO</v>
      </c>
      <c r="D1546" s="33" t="n">
        <f aca="false">'Uso e Consumo'!C1546</f>
        <v>226458</v>
      </c>
      <c r="E1546" s="34" t="str">
        <f aca="false">'Uso e Consumo'!D1546</f>
        <v>26.01.0034</v>
      </c>
      <c r="F1546" s="34" t="str">
        <f aca="false">'Uso e Consumo'!E1546</f>
        <v>OMBREIRA DE RASPA</v>
      </c>
      <c r="G1546" s="34" t="str">
        <f aca="false">'Uso e Consumo'!J1546</f>
        <v>UN</v>
      </c>
      <c r="H1546" s="49" t="n">
        <f aca="false">'Uso e Consumo'!F1546</f>
        <v>12</v>
      </c>
      <c r="I1546" s="35" t="n">
        <f aca="false">'Uso e Consumo'!G1546</f>
        <v>350.4</v>
      </c>
      <c r="J1546" s="34" t="str">
        <f aca="false">'Uso e Consumo'!M1546</f>
        <v>4.3.4.001 - Equipamento de proteção individual</v>
      </c>
      <c r="K1546" s="32" t="str">
        <f aca="false">INDEX('Curva ABC'!$K$8:$K$2847,MATCH(D1546,'Curva ABC'!$B$8:$B$2847,0))</f>
        <v>C</v>
      </c>
    </row>
    <row r="1547" customFormat="false" ht="15" hidden="false" customHeight="false" outlineLevel="0" collapsed="false">
      <c r="A1547" s="34" t="s">
        <v>5799</v>
      </c>
      <c r="B1547" s="34" t="str">
        <f aca="false">'Uso e Consumo'!A1547</f>
        <v>0335</v>
      </c>
      <c r="C1547" s="34" t="str">
        <f aca="false">'Uso e Consumo'!B1547</f>
        <v>UFV NORONHA VERDE - USO E CONSUMO</v>
      </c>
      <c r="D1547" s="33" t="n">
        <f aca="false">'Uso e Consumo'!C1547</f>
        <v>1257734</v>
      </c>
      <c r="E1547" s="34" t="str">
        <f aca="false">'Uso e Consumo'!D1547</f>
        <v>17.01.1166</v>
      </c>
      <c r="F1547" s="34" t="str">
        <f aca="false">'Uso e Consumo'!E1547</f>
        <v>CABO DE REDE UTP CAT 5E F/UTP</v>
      </c>
      <c r="G1547" s="34" t="str">
        <f aca="false">'Uso e Consumo'!J1547</f>
        <v>M</v>
      </c>
      <c r="H1547" s="49" t="n">
        <f aca="false">'Uso e Consumo'!F1547</f>
        <v>25</v>
      </c>
      <c r="I1547" s="35" t="n">
        <f aca="false">'Uso e Consumo'!G1547</f>
        <v>349.5</v>
      </c>
      <c r="J1547" s="34" t="str">
        <f aca="false">'Uso e Consumo'!M1547</f>
        <v>3.8.1.017 - Instalações elétricas/telefônicas/lógica</v>
      </c>
      <c r="K1547" s="32" t="str">
        <f aca="false">INDEX('Curva ABC'!$K$8:$K$2847,MATCH(D1547,'Curva ABC'!$B$8:$B$2847,0))</f>
        <v>C</v>
      </c>
    </row>
    <row r="1548" customFormat="false" ht="15" hidden="false" customHeight="false" outlineLevel="0" collapsed="false">
      <c r="A1548" s="34" t="s">
        <v>5799</v>
      </c>
      <c r="B1548" s="34" t="str">
        <f aca="false">'Uso e Consumo'!A1548</f>
        <v>0335</v>
      </c>
      <c r="C1548" s="34" t="str">
        <f aca="false">'Uso e Consumo'!B1548</f>
        <v>UFV NORONHA VERDE - USO E CONSUMO</v>
      </c>
      <c r="D1548" s="33" t="n">
        <f aca="false">'Uso e Consumo'!C1548</f>
        <v>1610262</v>
      </c>
      <c r="E1548" s="34" t="str">
        <f aca="false">'Uso e Consumo'!D1548</f>
        <v>17.11.1143</v>
      </c>
      <c r="F1548" s="34" t="str">
        <f aca="false">'Uso e Consumo'!E1548</f>
        <v>SOQUETE 7/8 SEXTAVADO</v>
      </c>
      <c r="G1548" s="34" t="str">
        <f aca="false">'Uso e Consumo'!J1548</f>
        <v>UN</v>
      </c>
      <c r="H1548" s="49" t="n">
        <f aca="false">'Uso e Consumo'!F1548</f>
        <v>6</v>
      </c>
      <c r="I1548" s="35" t="n">
        <f aca="false">'Uso e Consumo'!G1548</f>
        <v>349.2</v>
      </c>
      <c r="J1548" s="34" t="str">
        <f aca="false">'Uso e Consumo'!M1548</f>
        <v>3.8.1.017 - Instalações elétricas/telefônicas/lógica</v>
      </c>
      <c r="K1548" s="32" t="str">
        <f aca="false">INDEX('Curva ABC'!$K$8:$K$2847,MATCH(D1548,'Curva ABC'!$B$8:$B$2847,0))</f>
        <v>C</v>
      </c>
    </row>
    <row r="1549" customFormat="false" ht="15" hidden="false" customHeight="false" outlineLevel="0" collapsed="false">
      <c r="A1549" s="34" t="s">
        <v>5799</v>
      </c>
      <c r="B1549" s="34" t="str">
        <f aca="false">'Uso e Consumo'!A1549</f>
        <v>0335</v>
      </c>
      <c r="C1549" s="34" t="str">
        <f aca="false">'Uso e Consumo'!B1549</f>
        <v>UFV NORONHA VERDE - USO E CONSUMO</v>
      </c>
      <c r="D1549" s="33" t="n">
        <f aca="false">'Uso e Consumo'!C1549</f>
        <v>1610264</v>
      </c>
      <c r="E1549" s="34" t="str">
        <f aca="false">'Uso e Consumo'!D1549</f>
        <v>17.11.1145</v>
      </c>
      <c r="F1549" s="34" t="str">
        <f aca="false">'Uso e Consumo'!E1549</f>
        <v>SOQUETE 3/4</v>
      </c>
      <c r="G1549" s="34" t="str">
        <f aca="false">'Uso e Consumo'!J1549</f>
        <v>UN</v>
      </c>
      <c r="H1549" s="49" t="n">
        <f aca="false">'Uso e Consumo'!F1549</f>
        <v>6</v>
      </c>
      <c r="I1549" s="35" t="n">
        <f aca="false">'Uso e Consumo'!G1549</f>
        <v>349.2</v>
      </c>
      <c r="J1549" s="34" t="str">
        <f aca="false">'Uso e Consumo'!M1549</f>
        <v>3.8.1.017 - Instalações elétricas/telefônicas/lógica</v>
      </c>
      <c r="K1549" s="32" t="str">
        <f aca="false">INDEX('Curva ABC'!$K$8:$K$2847,MATCH(D1549,'Curva ABC'!$B$8:$B$2847,0))</f>
        <v>C</v>
      </c>
    </row>
    <row r="1550" customFormat="false" ht="15" hidden="false" customHeight="false" outlineLevel="0" collapsed="false">
      <c r="A1550" s="34" t="s">
        <v>5799</v>
      </c>
      <c r="B1550" s="34" t="str">
        <f aca="false">'Uso e Consumo'!A1550</f>
        <v>0335</v>
      </c>
      <c r="C1550" s="34" t="str">
        <f aca="false">'Uso e Consumo'!B1550</f>
        <v>UFV NORONHA VERDE - USO E CONSUMO</v>
      </c>
      <c r="D1550" s="33" t="n">
        <f aca="false">'Uso e Consumo'!C1550</f>
        <v>1328335</v>
      </c>
      <c r="E1550" s="34" t="str">
        <f aca="false">'Uso e Consumo'!D1550</f>
        <v>30.03.0554</v>
      </c>
      <c r="F1550" s="34" t="str">
        <f aca="false">'Uso e Consumo'!E1550</f>
        <v>AMACIANTE PARA ROUPAS 5L</v>
      </c>
      <c r="G1550" s="34" t="str">
        <f aca="false">'Uso e Consumo'!J1550</f>
        <v>UN</v>
      </c>
      <c r="H1550" s="49" t="n">
        <f aca="false">'Uso e Consumo'!F1550</f>
        <v>4</v>
      </c>
      <c r="I1550" s="35" t="n">
        <f aca="false">'Uso e Consumo'!G1550</f>
        <v>348</v>
      </c>
      <c r="J1550" s="34" t="str">
        <f aca="false">'Uso e Consumo'!M1550</f>
        <v>4.1.1.001 - Material de uso e consumo</v>
      </c>
      <c r="K1550" s="32" t="str">
        <f aca="false">INDEX('Curva ABC'!$K$8:$K$2847,MATCH(D1550,'Curva ABC'!$B$8:$B$2847,0))</f>
        <v>C</v>
      </c>
    </row>
    <row r="1551" customFormat="false" ht="15" hidden="false" customHeight="false" outlineLevel="0" collapsed="false">
      <c r="A1551" s="34" t="s">
        <v>5799</v>
      </c>
      <c r="B1551" s="34" t="str">
        <f aca="false">'Uso e Consumo'!A1551</f>
        <v>0335</v>
      </c>
      <c r="C1551" s="34" t="str">
        <f aca="false">'Uso e Consumo'!B1551</f>
        <v>UFV NORONHA VERDE - USO E CONSUMO</v>
      </c>
      <c r="D1551" s="33" t="n">
        <f aca="false">'Uso e Consumo'!C1551</f>
        <v>1330051</v>
      </c>
      <c r="E1551" s="34" t="str">
        <f aca="false">'Uso e Consumo'!D1551</f>
        <v>29.01.1603</v>
      </c>
      <c r="F1551" s="34" t="str">
        <f aca="false">'Uso e Consumo'!E1551</f>
        <v>ROTEADOR WIFI 6 DUAL BAND AX 1600 INTELBRAS </v>
      </c>
      <c r="G1551" s="34" t="str">
        <f aca="false">'Uso e Consumo'!J1551</f>
        <v>UN</v>
      </c>
      <c r="H1551" s="49" t="n">
        <f aca="false">'Uso e Consumo'!F1551</f>
        <v>1</v>
      </c>
      <c r="I1551" s="35" t="n">
        <f aca="false">'Uso e Consumo'!G1551</f>
        <v>348</v>
      </c>
      <c r="J1551" s="34" t="str">
        <f aca="false">'Uso e Consumo'!M1551</f>
        <v>4.1.1.007 - Equipamentos e acessórios para informática</v>
      </c>
      <c r="K1551" s="32" t="str">
        <f aca="false">INDEX('Curva ABC'!$K$8:$K$2847,MATCH(D1551,'Curva ABC'!$B$8:$B$2847,0))</f>
        <v>C</v>
      </c>
    </row>
    <row r="1552" customFormat="false" ht="15" hidden="false" customHeight="false" outlineLevel="0" collapsed="false">
      <c r="A1552" s="34" t="s">
        <v>5799</v>
      </c>
      <c r="B1552" s="34" t="str">
        <f aca="false">'Uso e Consumo'!A1552</f>
        <v>0335</v>
      </c>
      <c r="C1552" s="34" t="str">
        <f aca="false">'Uso e Consumo'!B1552</f>
        <v>UFV NORONHA VERDE - USO E CONSUMO</v>
      </c>
      <c r="D1552" s="33" t="n">
        <f aca="false">'Uso e Consumo'!C1552</f>
        <v>840014</v>
      </c>
      <c r="E1552" s="34" t="str">
        <f aca="false">'Uso e Consumo'!D1552</f>
        <v>18.01.1262</v>
      </c>
      <c r="F1552" s="34" t="str">
        <f aca="false">'Uso e Consumo'!E1552</f>
        <v>TÊ SOLDÁVEL 50MM, PVC MARROM, ÁGUA FRIA - TIGRE</v>
      </c>
      <c r="G1552" s="34" t="str">
        <f aca="false">'Uso e Consumo'!J1552</f>
        <v>UN</v>
      </c>
      <c r="H1552" s="49" t="n">
        <f aca="false">'Uso e Consumo'!F1552</f>
        <v>28</v>
      </c>
      <c r="I1552" s="35" t="n">
        <f aca="false">'Uso e Consumo'!G1552</f>
        <v>346</v>
      </c>
      <c r="J1552" s="34" t="str">
        <f aca="false">'Uso e Consumo'!M1552</f>
        <v>3.8.1.018 - Instalações hidráulicas/sanitárias/industriais</v>
      </c>
      <c r="K1552" s="32" t="str">
        <f aca="false">INDEX('Curva ABC'!$K$8:$K$2847,MATCH(D1552,'Curva ABC'!$B$8:$B$2847,0))</f>
        <v>C</v>
      </c>
    </row>
    <row r="1553" customFormat="false" ht="15" hidden="false" customHeight="false" outlineLevel="0" collapsed="false">
      <c r="A1553" s="34" t="s">
        <v>5799</v>
      </c>
      <c r="B1553" s="34" t="str">
        <f aca="false">'Uso e Consumo'!A1553</f>
        <v>0335</v>
      </c>
      <c r="C1553" s="34" t="str">
        <f aca="false">'Uso e Consumo'!B1553</f>
        <v>UFV NORONHA VERDE - USO E CONSUMO</v>
      </c>
      <c r="D1553" s="33" t="n">
        <f aca="false">'Uso e Consumo'!C1553</f>
        <v>19501</v>
      </c>
      <c r="E1553" s="34" t="str">
        <f aca="false">'Uso e Consumo'!D1553</f>
        <v>30.01.0221</v>
      </c>
      <c r="F1553" s="34" t="str">
        <f aca="false">'Uso e Consumo'!E1553</f>
        <v>GRAMPEADOR DE PAPEL P/ 40FOLHAS</v>
      </c>
      <c r="G1553" s="34" t="str">
        <f aca="false">'Uso e Consumo'!J1553</f>
        <v>UN</v>
      </c>
      <c r="H1553" s="49" t="n">
        <f aca="false">'Uso e Consumo'!F1553</f>
        <v>13</v>
      </c>
      <c r="I1553" s="35" t="n">
        <f aca="false">'Uso e Consumo'!G1553</f>
        <v>345.0728</v>
      </c>
      <c r="J1553" s="34" t="str">
        <f aca="false">'Uso e Consumo'!M1553</f>
        <v>4.1.1.002 - Material expediente</v>
      </c>
      <c r="K1553" s="32" t="str">
        <f aca="false">INDEX('Curva ABC'!$K$8:$K$2847,MATCH(D1553,'Curva ABC'!$B$8:$B$2847,0))</f>
        <v>C</v>
      </c>
    </row>
    <row r="1554" customFormat="false" ht="15" hidden="false" customHeight="false" outlineLevel="0" collapsed="false">
      <c r="A1554" s="34" t="s">
        <v>5799</v>
      </c>
      <c r="B1554" s="34" t="str">
        <f aca="false">'Uso e Consumo'!A1554</f>
        <v>0335</v>
      </c>
      <c r="C1554" s="34" t="str">
        <f aca="false">'Uso e Consumo'!B1554</f>
        <v>UFV NORONHA VERDE - USO E CONSUMO</v>
      </c>
      <c r="D1554" s="33" t="n">
        <f aca="false">'Uso e Consumo'!C1554</f>
        <v>292363</v>
      </c>
      <c r="E1554" s="34" t="str">
        <f aca="false">'Uso e Consumo'!D1554</f>
        <v>33.02.1582</v>
      </c>
      <c r="F1554" s="34" t="str">
        <f aca="false">'Uso e Consumo'!E1554</f>
        <v>CABECOTE DE ASPIRAÇÃO (0000-350-3518) STIHL</v>
      </c>
      <c r="G1554" s="34" t="str">
        <f aca="false">'Uso e Consumo'!J1554</f>
        <v>UN</v>
      </c>
      <c r="H1554" s="49" t="n">
        <f aca="false">'Uso e Consumo'!F1554</f>
        <v>7</v>
      </c>
      <c r="I1554" s="35" t="n">
        <f aca="false">'Uso e Consumo'!G1554</f>
        <v>344.75</v>
      </c>
      <c r="J1554" s="34" t="str">
        <f aca="false">'Uso e Consumo'!M1554</f>
        <v>3.1.6.002 - Pneus e peças</v>
      </c>
      <c r="K1554" s="32" t="str">
        <f aca="false">INDEX('Curva ABC'!$K$8:$K$2847,MATCH(D1554,'Curva ABC'!$B$8:$B$2847,0))</f>
        <v>C</v>
      </c>
    </row>
    <row r="1555" customFormat="false" ht="15" hidden="false" customHeight="false" outlineLevel="0" collapsed="false">
      <c r="A1555" s="34" t="s">
        <v>5799</v>
      </c>
      <c r="B1555" s="34" t="str">
        <f aca="false">'Uso e Consumo'!A1555</f>
        <v>0335</v>
      </c>
      <c r="C1555" s="34" t="str">
        <f aca="false">'Uso e Consumo'!B1555</f>
        <v>UFV NORONHA VERDE - USO E CONSUMO</v>
      </c>
      <c r="D1555" s="33" t="n">
        <f aca="false">'Uso e Consumo'!C1555</f>
        <v>548396</v>
      </c>
      <c r="E1555" s="34" t="str">
        <f aca="false">'Uso e Consumo'!D1555</f>
        <v>24.13.0021</v>
      </c>
      <c r="F1555" s="34" t="str">
        <f aca="false">'Uso e Consumo'!E1555</f>
        <v>LIMA P/ENXADA 8"</v>
      </c>
      <c r="G1555" s="34" t="str">
        <f aca="false">'Uso e Consumo'!J1555</f>
        <v>UN</v>
      </c>
      <c r="H1555" s="49" t="n">
        <f aca="false">'Uso e Consumo'!F1555</f>
        <v>10</v>
      </c>
      <c r="I1555" s="35" t="n">
        <f aca="false">'Uso e Consumo'!G1555</f>
        <v>344.36</v>
      </c>
      <c r="J1555" s="34" t="str">
        <f aca="false">'Uso e Consumo'!M1555</f>
        <v>3.8.2.006 - Utensílios</v>
      </c>
      <c r="K1555" s="32" t="str">
        <f aca="false">INDEX('Curva ABC'!$K$8:$K$2847,MATCH(D1555,'Curva ABC'!$B$8:$B$2847,0))</f>
        <v>C</v>
      </c>
    </row>
    <row r="1556" customFormat="false" ht="15" hidden="false" customHeight="false" outlineLevel="0" collapsed="false">
      <c r="A1556" s="34" t="s">
        <v>5799</v>
      </c>
      <c r="B1556" s="34" t="str">
        <f aca="false">'Uso e Consumo'!A1556</f>
        <v>0335</v>
      </c>
      <c r="C1556" s="34" t="str">
        <f aca="false">'Uso e Consumo'!B1556</f>
        <v>UFV NORONHA VERDE - USO E CONSUMO</v>
      </c>
      <c r="D1556" s="33" t="n">
        <f aca="false">'Uso e Consumo'!C1556</f>
        <v>962146</v>
      </c>
      <c r="E1556" s="34" t="str">
        <f aca="false">'Uso e Consumo'!D1556</f>
        <v>24.16.0019</v>
      </c>
      <c r="F1556" s="34" t="str">
        <f aca="false">'Uso e Consumo'!E1556</f>
        <v>ALAVANCA EM AÇO LISO 7/8 X 1,50 METROS</v>
      </c>
      <c r="G1556" s="34" t="str">
        <f aca="false">'Uso e Consumo'!J1556</f>
        <v>UN</v>
      </c>
      <c r="H1556" s="49" t="n">
        <f aca="false">'Uso e Consumo'!F1556</f>
        <v>4</v>
      </c>
      <c r="I1556" s="35" t="n">
        <f aca="false">'Uso e Consumo'!G1556</f>
        <v>344</v>
      </c>
      <c r="J1556" s="34" t="str">
        <f aca="false">'Uso e Consumo'!M1556</f>
        <v>3.8.2.002 - Ferramentas manuais</v>
      </c>
      <c r="K1556" s="32" t="str">
        <f aca="false">INDEX('Curva ABC'!$K$8:$K$2847,MATCH(D1556,'Curva ABC'!$B$8:$B$2847,0))</f>
        <v>C</v>
      </c>
    </row>
    <row r="1557" customFormat="false" ht="15" hidden="false" customHeight="false" outlineLevel="0" collapsed="false">
      <c r="A1557" s="34" t="s">
        <v>5799</v>
      </c>
      <c r="B1557" s="34" t="str">
        <f aca="false">'Uso e Consumo'!A1557</f>
        <v>0335</v>
      </c>
      <c r="C1557" s="34" t="str">
        <f aca="false">'Uso e Consumo'!B1557</f>
        <v>UFV NORONHA VERDE - USO E CONSUMO</v>
      </c>
      <c r="D1557" s="33" t="n">
        <f aca="false">'Uso e Consumo'!C1557</f>
        <v>141412</v>
      </c>
      <c r="E1557" s="34" t="str">
        <f aca="false">'Uso e Consumo'!D1557</f>
        <v>32.02.0178</v>
      </c>
      <c r="F1557" s="34" t="str">
        <f aca="false">'Uso e Consumo'!E1557</f>
        <v>MANILHA CURVA GALVANIZADA 7/8”</v>
      </c>
      <c r="G1557" s="34" t="str">
        <f aca="false">'Uso e Consumo'!J1557</f>
        <v>UN</v>
      </c>
      <c r="H1557" s="49" t="n">
        <f aca="false">'Uso e Consumo'!F1557</f>
        <v>3</v>
      </c>
      <c r="I1557" s="35" t="n">
        <f aca="false">'Uso e Consumo'!G1557</f>
        <v>342.21</v>
      </c>
      <c r="J1557" s="34" t="str">
        <f aca="false">'Uso e Consumo'!M1557</f>
        <v>6.1.2.001 - Equipamentos</v>
      </c>
      <c r="K1557" s="32" t="str">
        <f aca="false">INDEX('Curva ABC'!$K$8:$K$2847,MATCH(D1557,'Curva ABC'!$B$8:$B$2847,0))</f>
        <v>C</v>
      </c>
    </row>
    <row r="1558" customFormat="false" ht="15" hidden="false" customHeight="false" outlineLevel="0" collapsed="false">
      <c r="A1558" s="34" t="s">
        <v>5799</v>
      </c>
      <c r="B1558" s="34" t="str">
        <f aca="false">'Uso e Consumo'!A1558</f>
        <v>0335</v>
      </c>
      <c r="C1558" s="34" t="str">
        <f aca="false">'Uso e Consumo'!B1558</f>
        <v>UFV NORONHA VERDE - USO E CONSUMO</v>
      </c>
      <c r="D1558" s="33" t="n">
        <f aca="false">'Uso e Consumo'!C1558</f>
        <v>562813</v>
      </c>
      <c r="E1558" s="34" t="str">
        <f aca="false">'Uso e Consumo'!D1558</f>
        <v>24.40.0062</v>
      </c>
      <c r="F1558" s="34" t="str">
        <f aca="false">'Uso e Consumo'!E1558</f>
        <v>TALHADEIRA MANUAL 19X250MM C/ EMPUNHADEIRA</v>
      </c>
      <c r="G1558" s="34" t="str">
        <f aca="false">'Uso e Consumo'!J1558</f>
        <v>UN</v>
      </c>
      <c r="H1558" s="49" t="n">
        <f aca="false">'Uso e Consumo'!F1558</f>
        <v>4</v>
      </c>
      <c r="I1558" s="35" t="n">
        <f aca="false">'Uso e Consumo'!G1558</f>
        <v>340.2</v>
      </c>
      <c r="J1558" s="34" t="str">
        <f aca="false">'Uso e Consumo'!M1558</f>
        <v>3.8.2.002 - Ferramentas manuais</v>
      </c>
      <c r="K1558" s="32" t="str">
        <f aca="false">INDEX('Curva ABC'!$K$8:$K$2847,MATCH(D1558,'Curva ABC'!$B$8:$B$2847,0))</f>
        <v>C</v>
      </c>
    </row>
    <row r="1559" customFormat="false" ht="15" hidden="false" customHeight="false" outlineLevel="0" collapsed="false">
      <c r="A1559" s="34" t="s">
        <v>5799</v>
      </c>
      <c r="B1559" s="34" t="str">
        <f aca="false">'Uso e Consumo'!A1559</f>
        <v>0335</v>
      </c>
      <c r="C1559" s="34" t="str">
        <f aca="false">'Uso e Consumo'!B1559</f>
        <v>UFV NORONHA VERDE - USO E CONSUMO</v>
      </c>
      <c r="D1559" s="33" t="n">
        <f aca="false">'Uso e Consumo'!C1559</f>
        <v>1089381</v>
      </c>
      <c r="E1559" s="34" t="str">
        <f aca="false">'Uso e Consumo'!D1559</f>
        <v>26.01.0115</v>
      </c>
      <c r="F1559" s="34" t="str">
        <f aca="false">'Uso e Consumo'!E1559</f>
        <v>COLETE REFLETIVO QSMS XG - LARANJA</v>
      </c>
      <c r="G1559" s="34" t="str">
        <f aca="false">'Uso e Consumo'!J1559</f>
        <v>UN</v>
      </c>
      <c r="H1559" s="49" t="n">
        <f aca="false">'Uso e Consumo'!F1559</f>
        <v>4</v>
      </c>
      <c r="I1559" s="35" t="n">
        <f aca="false">'Uso e Consumo'!G1559</f>
        <v>340</v>
      </c>
      <c r="J1559" s="34" t="str">
        <f aca="false">'Uso e Consumo'!M1559</f>
        <v>4.3.4.001 - Equipamento de proteção individual</v>
      </c>
      <c r="K1559" s="32" t="str">
        <f aca="false">INDEX('Curva ABC'!$K$8:$K$2847,MATCH(D1559,'Curva ABC'!$B$8:$B$2847,0))</f>
        <v>C</v>
      </c>
    </row>
    <row r="1560" customFormat="false" ht="15" hidden="false" customHeight="false" outlineLevel="0" collapsed="false">
      <c r="A1560" s="34" t="s">
        <v>5799</v>
      </c>
      <c r="B1560" s="34" t="str">
        <f aca="false">'Uso e Consumo'!A1560</f>
        <v>0335</v>
      </c>
      <c r="C1560" s="34" t="str">
        <f aca="false">'Uso e Consumo'!B1560</f>
        <v>UFV NORONHA VERDE - USO E CONSUMO</v>
      </c>
      <c r="D1560" s="33" t="n">
        <f aca="false">'Uso e Consumo'!C1560</f>
        <v>16277</v>
      </c>
      <c r="E1560" s="34" t="str">
        <f aca="false">'Uso e Consumo'!D1560</f>
        <v>19.01.0004</v>
      </c>
      <c r="F1560" s="34" t="str">
        <f aca="false">'Uso e Consumo'!E1560</f>
        <v>ASSENTO SANITARIO CONVENCIONAL SIMPLES POLIESTER BRANCO ALTO BRILHO TAMPA POLIPROPILENO FIX FERRAGEM</v>
      </c>
      <c r="G1560" s="34" t="str">
        <f aca="false">'Uso e Consumo'!J1560</f>
        <v>UN</v>
      </c>
      <c r="H1560" s="49" t="n">
        <f aca="false">'Uso e Consumo'!F1560</f>
        <v>20</v>
      </c>
      <c r="I1560" s="35" t="n">
        <f aca="false">'Uso e Consumo'!G1560</f>
        <v>338</v>
      </c>
      <c r="J1560" s="34" t="str">
        <f aca="false">'Uso e Consumo'!M1560</f>
        <v>3.8.1.018 - Instalações hidráulicas/sanitárias/industriais</v>
      </c>
      <c r="K1560" s="32" t="str">
        <f aca="false">INDEX('Curva ABC'!$K$8:$K$2847,MATCH(D1560,'Curva ABC'!$B$8:$B$2847,0))</f>
        <v>C</v>
      </c>
    </row>
    <row r="1561" customFormat="false" ht="15" hidden="false" customHeight="false" outlineLevel="0" collapsed="false">
      <c r="A1561" s="34" t="s">
        <v>5799</v>
      </c>
      <c r="B1561" s="34" t="str">
        <f aca="false">'Uso e Consumo'!A1561</f>
        <v>0335</v>
      </c>
      <c r="C1561" s="34" t="str">
        <f aca="false">'Uso e Consumo'!B1561</f>
        <v>UFV NORONHA VERDE - USO E CONSUMO</v>
      </c>
      <c r="D1561" s="33" t="n">
        <f aca="false">'Uso e Consumo'!C1561</f>
        <v>23266</v>
      </c>
      <c r="E1561" s="34" t="str">
        <f aca="false">'Uso e Consumo'!D1561</f>
        <v>34.02.0374</v>
      </c>
      <c r="F1561" s="34" t="str">
        <f aca="false">'Uso e Consumo'!E1561</f>
        <v>DOBRADIÇA DE PORTA NBR 7178</v>
      </c>
      <c r="G1561" s="34" t="str">
        <f aca="false">'Uso e Consumo'!J1561</f>
        <v>UN</v>
      </c>
      <c r="H1561" s="49" t="n">
        <f aca="false">'Uso e Consumo'!F1561</f>
        <v>17</v>
      </c>
      <c r="I1561" s="35" t="n">
        <f aca="false">'Uso e Consumo'!G1561</f>
        <v>337.68</v>
      </c>
      <c r="J1561" s="34" t="str">
        <f aca="false">'Uso e Consumo'!M1561</f>
        <v>3.1.6.002 - Pneus e peças</v>
      </c>
      <c r="K1561" s="32" t="str">
        <f aca="false">INDEX('Curva ABC'!$K$8:$K$2847,MATCH(D1561,'Curva ABC'!$B$8:$B$2847,0))</f>
        <v>C</v>
      </c>
    </row>
    <row r="1562" customFormat="false" ht="15" hidden="false" customHeight="false" outlineLevel="0" collapsed="false">
      <c r="A1562" s="34" t="s">
        <v>5799</v>
      </c>
      <c r="B1562" s="34" t="str">
        <f aca="false">'Uso e Consumo'!A1562</f>
        <v>0335</v>
      </c>
      <c r="C1562" s="34" t="str">
        <f aca="false">'Uso e Consumo'!B1562</f>
        <v>UFV NORONHA VERDE - USO E CONSUMO</v>
      </c>
      <c r="D1562" s="33" t="n">
        <f aca="false">'Uso e Consumo'!C1562</f>
        <v>884965</v>
      </c>
      <c r="E1562" s="34" t="str">
        <f aca="false">'Uso e Consumo'!D1562</f>
        <v>24.08.0093</v>
      </c>
      <c r="F1562" s="34" t="str">
        <f aca="false">'Uso e Consumo'!E1562</f>
        <v>ALICATE PARA MOLDE DE SOLDA EXOTERMICA</v>
      </c>
      <c r="G1562" s="34" t="str">
        <f aca="false">'Uso e Consumo'!J1562</f>
        <v>UND</v>
      </c>
      <c r="H1562" s="49" t="n">
        <f aca="false">'Uso e Consumo'!F1562</f>
        <v>3</v>
      </c>
      <c r="I1562" s="35" t="n">
        <f aca="false">'Uso e Consumo'!G1562</f>
        <v>337.2</v>
      </c>
      <c r="J1562" s="34" t="str">
        <f aca="false">'Uso e Consumo'!M1562</f>
        <v>3.8.2.002 - Ferramentas manuais</v>
      </c>
      <c r="K1562" s="32" t="str">
        <f aca="false">INDEX('Curva ABC'!$K$8:$K$2847,MATCH(D1562,'Curva ABC'!$B$8:$B$2847,0))</f>
        <v>C</v>
      </c>
    </row>
    <row r="1563" customFormat="false" ht="15" hidden="false" customHeight="false" outlineLevel="0" collapsed="false">
      <c r="A1563" s="34" t="s">
        <v>5799</v>
      </c>
      <c r="B1563" s="34" t="str">
        <f aca="false">'Uso e Consumo'!A1563</f>
        <v>0335</v>
      </c>
      <c r="C1563" s="34" t="str">
        <f aca="false">'Uso e Consumo'!B1563</f>
        <v>UFV NORONHA VERDE - USO E CONSUMO</v>
      </c>
      <c r="D1563" s="33" t="n">
        <f aca="false">'Uso e Consumo'!C1563</f>
        <v>1461540</v>
      </c>
      <c r="E1563" s="34" t="str">
        <f aca="false">'Uso e Consumo'!D1563</f>
        <v>18.08.0233</v>
      </c>
      <c r="F1563" s="34" t="str">
        <f aca="false">'Uso e Consumo'!E1563</f>
        <v>CAIXA SIFONADA GIRAFÁCIL COM GRELHA 150 X 170 X 75 MM</v>
      </c>
      <c r="G1563" s="34" t="str">
        <f aca="false">'Uso e Consumo'!J1563</f>
        <v>UN</v>
      </c>
      <c r="H1563" s="49" t="n">
        <f aca="false">'Uso e Consumo'!F1563</f>
        <v>6</v>
      </c>
      <c r="I1563" s="35" t="n">
        <f aca="false">'Uso e Consumo'!G1563</f>
        <v>336.6</v>
      </c>
      <c r="J1563" s="34" t="str">
        <f aca="false">'Uso e Consumo'!M1563</f>
        <v>3.8.1.018 - Instalações hidráulicas/sanitárias/industriais</v>
      </c>
      <c r="K1563" s="32" t="str">
        <f aca="false">INDEX('Curva ABC'!$K$8:$K$2847,MATCH(D1563,'Curva ABC'!$B$8:$B$2847,0))</f>
        <v>C</v>
      </c>
    </row>
    <row r="1564" customFormat="false" ht="15" hidden="false" customHeight="false" outlineLevel="0" collapsed="false">
      <c r="A1564" s="34" t="s">
        <v>5799</v>
      </c>
      <c r="B1564" s="34" t="str">
        <f aca="false">'Uso e Consumo'!A1564</f>
        <v>0335</v>
      </c>
      <c r="C1564" s="34" t="str">
        <f aca="false">'Uso e Consumo'!B1564</f>
        <v>UFV NORONHA VERDE - USO E CONSUMO</v>
      </c>
      <c r="D1564" s="33" t="n">
        <f aca="false">'Uso e Consumo'!C1564</f>
        <v>1067619</v>
      </c>
      <c r="E1564" s="34" t="str">
        <f aca="false">'Uso e Consumo'!D1564</f>
        <v>26.12.0140</v>
      </c>
      <c r="F1564" s="34" t="str">
        <f aca="false">'Uso e Consumo'!E1564</f>
        <v>TELA TAPUME POLIETILENO - ROLO DE 1,20MX 50,00M</v>
      </c>
      <c r="G1564" s="34" t="str">
        <f aca="false">'Uso e Consumo'!J1564</f>
        <v>UN</v>
      </c>
      <c r="H1564" s="49" t="n">
        <f aca="false">'Uso e Consumo'!F1564</f>
        <v>2</v>
      </c>
      <c r="I1564" s="35" t="n">
        <f aca="false">'Uso e Consumo'!G1564</f>
        <v>336</v>
      </c>
      <c r="J1564" s="34" t="str">
        <f aca="false">'Uso e Consumo'!M1564</f>
        <v>4.3.4.002 - Equipamento de proteção e sinalização coletiva</v>
      </c>
      <c r="K1564" s="32" t="str">
        <f aca="false">INDEX('Curva ABC'!$K$8:$K$2847,MATCH(D1564,'Curva ABC'!$B$8:$B$2847,0))</f>
        <v>C</v>
      </c>
    </row>
    <row r="1565" customFormat="false" ht="15" hidden="false" customHeight="false" outlineLevel="0" collapsed="false">
      <c r="A1565" s="34" t="s">
        <v>5799</v>
      </c>
      <c r="B1565" s="34" t="str">
        <f aca="false">'Uso e Consumo'!A1565</f>
        <v>0335</v>
      </c>
      <c r="C1565" s="34" t="str">
        <f aca="false">'Uso e Consumo'!B1565</f>
        <v>UFV NORONHA VERDE - USO E CONSUMO</v>
      </c>
      <c r="D1565" s="33" t="n">
        <f aca="false">'Uso e Consumo'!C1565</f>
        <v>1170459</v>
      </c>
      <c r="E1565" s="34" t="str">
        <f aca="false">'Uso e Consumo'!D1565</f>
        <v>23.03.0178</v>
      </c>
      <c r="F1565" s="34" t="str">
        <f aca="false">'Uso e Consumo'!E1565</f>
        <v>PREGO 1 1/2 X 13</v>
      </c>
      <c r="G1565" s="34" t="str">
        <f aca="false">'Uso e Consumo'!J1565</f>
        <v>KG</v>
      </c>
      <c r="H1565" s="49" t="n">
        <f aca="false">'Uso e Consumo'!F1565</f>
        <v>7</v>
      </c>
      <c r="I1565" s="35" t="n">
        <f aca="false">'Uso e Consumo'!G1565</f>
        <v>336</v>
      </c>
      <c r="J1565" s="34" t="str">
        <f aca="false">'Uso e Consumo'!M1565</f>
        <v>3.8.1.022 - Elementos de fixação</v>
      </c>
      <c r="K1565" s="32" t="str">
        <f aca="false">INDEX('Curva ABC'!$K$8:$K$2847,MATCH(D1565,'Curva ABC'!$B$8:$B$2847,0))</f>
        <v>C</v>
      </c>
    </row>
    <row r="1566" customFormat="false" ht="15" hidden="false" customHeight="false" outlineLevel="0" collapsed="false">
      <c r="A1566" s="34" t="s">
        <v>5799</v>
      </c>
      <c r="B1566" s="34" t="str">
        <f aca="false">'Uso e Consumo'!A1566</f>
        <v>0335</v>
      </c>
      <c r="C1566" s="34" t="str">
        <f aca="false">'Uso e Consumo'!B1566</f>
        <v>UFV NORONHA VERDE - USO E CONSUMO</v>
      </c>
      <c r="D1566" s="33" t="n">
        <f aca="false">'Uso e Consumo'!C1566</f>
        <v>18858</v>
      </c>
      <c r="E1566" s="34" t="str">
        <f aca="false">'Uso e Consumo'!D1566</f>
        <v>26.05.0004</v>
      </c>
      <c r="F1566" s="34" t="str">
        <f aca="false">'Uso e Consumo'!E1566</f>
        <v>ÓCULOS DE SEGURANÇA PARA SOBREPOR ÓCULOS DE GRAU - LENTE INCOLOR (CA-6942/15618/18080)</v>
      </c>
      <c r="G1566" s="34" t="str">
        <f aca="false">'Uso e Consumo'!J1566</f>
        <v>UN</v>
      </c>
      <c r="H1566" s="49" t="n">
        <f aca="false">'Uso e Consumo'!F1566</f>
        <v>60</v>
      </c>
      <c r="I1566" s="35" t="n">
        <f aca="false">'Uso e Consumo'!G1566</f>
        <v>332.7</v>
      </c>
      <c r="J1566" s="34" t="str">
        <f aca="false">'Uso e Consumo'!M1566</f>
        <v>4.3.4.001 - Equipamento de proteção individual</v>
      </c>
      <c r="K1566" s="32" t="str">
        <f aca="false">INDEX('Curva ABC'!$K$8:$K$2847,MATCH(D1566,'Curva ABC'!$B$8:$B$2847,0))</f>
        <v>C</v>
      </c>
    </row>
    <row r="1567" customFormat="false" ht="15" hidden="false" customHeight="false" outlineLevel="0" collapsed="false">
      <c r="A1567" s="34" t="s">
        <v>5799</v>
      </c>
      <c r="B1567" s="34" t="str">
        <f aca="false">'Uso e Consumo'!A1567</f>
        <v>0335</v>
      </c>
      <c r="C1567" s="34" t="str">
        <f aca="false">'Uso e Consumo'!B1567</f>
        <v>UFV NORONHA VERDE - USO E CONSUMO</v>
      </c>
      <c r="D1567" s="33" t="n">
        <f aca="false">'Uso e Consumo'!C1567</f>
        <v>34275</v>
      </c>
      <c r="E1567" s="34" t="str">
        <f aca="false">'Uso e Consumo'!D1567</f>
        <v>17.10.0177</v>
      </c>
      <c r="F1567" s="34" t="str">
        <f aca="false">'Uso e Consumo'!E1567</f>
        <v>DISJUNTOR TRIPOLAR 63A NBR 60898</v>
      </c>
      <c r="G1567" s="34" t="str">
        <f aca="false">'Uso e Consumo'!J1567</f>
        <v>UN</v>
      </c>
      <c r="H1567" s="49" t="n">
        <f aca="false">'Uso e Consumo'!F1567</f>
        <v>3</v>
      </c>
      <c r="I1567" s="35" t="n">
        <f aca="false">'Uso e Consumo'!G1567</f>
        <v>331.99</v>
      </c>
      <c r="J1567" s="34" t="str">
        <f aca="false">'Uso e Consumo'!M1567</f>
        <v>3.8.1.017 - Instalações elétricas/telefônicas/lógica</v>
      </c>
      <c r="K1567" s="32" t="str">
        <f aca="false">INDEX('Curva ABC'!$K$8:$K$2847,MATCH(D1567,'Curva ABC'!$B$8:$B$2847,0))</f>
        <v>C</v>
      </c>
    </row>
    <row r="1568" customFormat="false" ht="15" hidden="false" customHeight="false" outlineLevel="0" collapsed="false">
      <c r="A1568" s="34" t="s">
        <v>5799</v>
      </c>
      <c r="B1568" s="34" t="str">
        <f aca="false">'Uso e Consumo'!A1568</f>
        <v>0335</v>
      </c>
      <c r="C1568" s="34" t="str">
        <f aca="false">'Uso e Consumo'!B1568</f>
        <v>UFV NORONHA VERDE - USO E CONSUMO</v>
      </c>
      <c r="D1568" s="33" t="n">
        <f aca="false">'Uso e Consumo'!C1568</f>
        <v>278456</v>
      </c>
      <c r="E1568" s="34" t="str">
        <f aca="false">'Uso e Consumo'!D1568</f>
        <v>17.12.0358</v>
      </c>
      <c r="F1568" s="34" t="str">
        <f aca="false">'Uso e Consumo'!E1568</f>
        <v>INTERRUPTOR DIFERENCIAL 4P 63A</v>
      </c>
      <c r="G1568" s="34" t="str">
        <f aca="false">'Uso e Consumo'!J1568</f>
        <v>UN</v>
      </c>
      <c r="H1568" s="49" t="n">
        <f aca="false">'Uso e Consumo'!F1568</f>
        <v>3</v>
      </c>
      <c r="I1568" s="35" t="n">
        <f aca="false">'Uso e Consumo'!G1568</f>
        <v>331.77</v>
      </c>
      <c r="J1568" s="34" t="str">
        <f aca="false">'Uso e Consumo'!M1568</f>
        <v>3.8.1.017 - Instalações elétricas/telefônicas/lógica</v>
      </c>
      <c r="K1568" s="32" t="str">
        <f aca="false">INDEX('Curva ABC'!$K$8:$K$2847,MATCH(D1568,'Curva ABC'!$B$8:$B$2847,0))</f>
        <v>C</v>
      </c>
    </row>
    <row r="1569" customFormat="false" ht="15" hidden="false" customHeight="false" outlineLevel="0" collapsed="false">
      <c r="A1569" s="34" t="s">
        <v>5799</v>
      </c>
      <c r="B1569" s="34" t="str">
        <f aca="false">'Uso e Consumo'!A1569</f>
        <v>0335</v>
      </c>
      <c r="C1569" s="34" t="str">
        <f aca="false">'Uso e Consumo'!B1569</f>
        <v>UFV NORONHA VERDE - USO E CONSUMO</v>
      </c>
      <c r="D1569" s="33" t="n">
        <f aca="false">'Uso e Consumo'!C1569</f>
        <v>840004</v>
      </c>
      <c r="E1569" s="34" t="str">
        <f aca="false">'Uso e Consumo'!D1569</f>
        <v>18.01.1256</v>
      </c>
      <c r="F1569" s="34" t="str">
        <f aca="false">'Uso e Consumo'!E1569</f>
        <v>JOELHO 90° SOLDÁVEL 50MM, PVC MARROM ÁGUA FRIA - TIGRE</v>
      </c>
      <c r="G1569" s="34" t="str">
        <f aca="false">'Uso e Consumo'!J1569</f>
        <v>UN</v>
      </c>
      <c r="H1569" s="49" t="n">
        <f aca="false">'Uso e Consumo'!F1569</f>
        <v>55</v>
      </c>
      <c r="I1569" s="35" t="n">
        <f aca="false">'Uso e Consumo'!G1569</f>
        <v>331.43</v>
      </c>
      <c r="J1569" s="34" t="str">
        <f aca="false">'Uso e Consumo'!M1569</f>
        <v>3.8.1.018 - Instalações hidráulicas/sanitárias/industriais</v>
      </c>
      <c r="K1569" s="32" t="str">
        <f aca="false">INDEX('Curva ABC'!$K$8:$K$2847,MATCH(D1569,'Curva ABC'!$B$8:$B$2847,0))</f>
        <v>C</v>
      </c>
    </row>
    <row r="1570" customFormat="false" ht="15" hidden="false" customHeight="false" outlineLevel="0" collapsed="false">
      <c r="A1570" s="34" t="s">
        <v>5799</v>
      </c>
      <c r="B1570" s="34" t="str">
        <f aca="false">'Uso e Consumo'!A1570</f>
        <v>0335</v>
      </c>
      <c r="C1570" s="34" t="str">
        <f aca="false">'Uso e Consumo'!B1570</f>
        <v>UFV NORONHA VERDE - USO E CONSUMO</v>
      </c>
      <c r="D1570" s="33" t="n">
        <f aca="false">'Uso e Consumo'!C1570</f>
        <v>137049</v>
      </c>
      <c r="E1570" s="34" t="str">
        <f aca="false">'Uso e Consumo'!D1570</f>
        <v>17.07.0034</v>
      </c>
      <c r="F1570" s="34" t="str">
        <f aca="false">'Uso e Consumo'!E1570</f>
        <v>CAIXA APARENTE DE SOBREPOR 2 RJ45</v>
      </c>
      <c r="G1570" s="34" t="str">
        <f aca="false">'Uso e Consumo'!J1570</f>
        <v>UN</v>
      </c>
      <c r="H1570" s="49" t="n">
        <f aca="false">'Uso e Consumo'!F1570</f>
        <v>10</v>
      </c>
      <c r="I1570" s="35" t="n">
        <f aca="false">'Uso e Consumo'!G1570</f>
        <v>330</v>
      </c>
      <c r="J1570" s="34" t="str">
        <f aca="false">'Uso e Consumo'!M1570</f>
        <v>3.8.1.017 - Instalações elétricas/telefônicas/lógica</v>
      </c>
      <c r="K1570" s="32" t="str">
        <f aca="false">INDEX('Curva ABC'!$K$8:$K$2847,MATCH(D1570,'Curva ABC'!$B$8:$B$2847,0))</f>
        <v>C</v>
      </c>
    </row>
    <row r="1571" customFormat="false" ht="15" hidden="false" customHeight="false" outlineLevel="0" collapsed="false">
      <c r="A1571" s="34" t="s">
        <v>5799</v>
      </c>
      <c r="B1571" s="34" t="str">
        <f aca="false">'Uso e Consumo'!A1571</f>
        <v>0335</v>
      </c>
      <c r="C1571" s="34" t="str">
        <f aca="false">'Uso e Consumo'!B1571</f>
        <v>UFV NORONHA VERDE - USO E CONSUMO</v>
      </c>
      <c r="D1571" s="33" t="n">
        <f aca="false">'Uso e Consumo'!C1571</f>
        <v>561345</v>
      </c>
      <c r="E1571" s="34" t="str">
        <f aca="false">'Uso e Consumo'!D1571</f>
        <v>24.09.0511</v>
      </c>
      <c r="F1571" s="34" t="str">
        <f aca="false">'Uso e Consumo'!E1571</f>
        <v>CHAVE COMBINADA 46,00MM AÇO CARBONO</v>
      </c>
      <c r="G1571" s="34" t="str">
        <f aca="false">'Uso e Consumo'!J1571</f>
        <v>UN</v>
      </c>
      <c r="H1571" s="49" t="n">
        <f aca="false">'Uso e Consumo'!F1571</f>
        <v>1</v>
      </c>
      <c r="I1571" s="35" t="n">
        <f aca="false">'Uso e Consumo'!G1571</f>
        <v>330</v>
      </c>
      <c r="J1571" s="34" t="str">
        <f aca="false">'Uso e Consumo'!M1571</f>
        <v>3.8.2.002 - Ferramentas manuais</v>
      </c>
      <c r="K1571" s="32" t="str">
        <f aca="false">INDEX('Curva ABC'!$K$8:$K$2847,MATCH(D1571,'Curva ABC'!$B$8:$B$2847,0))</f>
        <v>C</v>
      </c>
    </row>
    <row r="1572" customFormat="false" ht="15" hidden="false" customHeight="false" outlineLevel="0" collapsed="false">
      <c r="A1572" s="34" t="s">
        <v>5799</v>
      </c>
      <c r="B1572" s="34" t="str">
        <f aca="false">'Uso e Consumo'!A1572</f>
        <v>0335</v>
      </c>
      <c r="C1572" s="34" t="str">
        <f aca="false">'Uso e Consumo'!B1572</f>
        <v>UFV NORONHA VERDE - USO E CONSUMO</v>
      </c>
      <c r="D1572" s="33" t="n">
        <f aca="false">'Uso e Consumo'!C1572</f>
        <v>1465935</v>
      </c>
      <c r="E1572" s="34" t="str">
        <f aca="false">'Uso e Consumo'!D1572</f>
        <v>23.07.1596</v>
      </c>
      <c r="F1572" s="34" t="str">
        <f aca="false">'Uso e Consumo'!E1572</f>
        <v>PARAFUSO AUTOATARRAXANTE AÇO CABEÇA PANELA GALV. QUENTE M10X50MM</v>
      </c>
      <c r="G1572" s="34" t="str">
        <f aca="false">'Uso e Consumo'!J1572</f>
        <v>UN</v>
      </c>
      <c r="H1572" s="49" t="n">
        <f aca="false">'Uso e Consumo'!F1572</f>
        <v>36</v>
      </c>
      <c r="I1572" s="35" t="n">
        <f aca="false">'Uso e Consumo'!G1572</f>
        <v>330</v>
      </c>
      <c r="J1572" s="34" t="str">
        <f aca="false">'Uso e Consumo'!M1572</f>
        <v>3.1.1.001 - Material de uso e consumo</v>
      </c>
      <c r="K1572" s="32" t="str">
        <f aca="false">INDEX('Curva ABC'!$K$8:$K$2847,MATCH(D1572,'Curva ABC'!$B$8:$B$2847,0))</f>
        <v>C</v>
      </c>
    </row>
    <row r="1573" customFormat="false" ht="15" hidden="false" customHeight="false" outlineLevel="0" collapsed="false">
      <c r="A1573" s="34" t="s">
        <v>5799</v>
      </c>
      <c r="B1573" s="34" t="str">
        <f aca="false">'Uso e Consumo'!A1573</f>
        <v>0335</v>
      </c>
      <c r="C1573" s="34" t="str">
        <f aca="false">'Uso e Consumo'!B1573</f>
        <v>UFV NORONHA VERDE - USO E CONSUMO</v>
      </c>
      <c r="D1573" s="33" t="n">
        <f aca="false">'Uso e Consumo'!C1573</f>
        <v>21289</v>
      </c>
      <c r="E1573" s="34" t="str">
        <f aca="false">'Uso e Consumo'!D1573</f>
        <v>16.05.0071</v>
      </c>
      <c r="F1573" s="34" t="str">
        <f aca="false">'Uso e Consumo'!E1573</f>
        <v>BROXA RETANGULAR PVC 18 X 8 CM</v>
      </c>
      <c r="G1573" s="34" t="str">
        <f aca="false">'Uso e Consumo'!J1573</f>
        <v>UN</v>
      </c>
      <c r="H1573" s="49" t="n">
        <f aca="false">'Uso e Consumo'!F1573</f>
        <v>32</v>
      </c>
      <c r="I1573" s="35" t="n">
        <f aca="false">'Uso e Consumo'!G1573</f>
        <v>329.96</v>
      </c>
      <c r="J1573" s="34" t="str">
        <f aca="false">'Uso e Consumo'!M1573</f>
        <v>3.8.1.016 - Pinturas</v>
      </c>
      <c r="K1573" s="32" t="str">
        <f aca="false">INDEX('Curva ABC'!$K$8:$K$2847,MATCH(D1573,'Curva ABC'!$B$8:$B$2847,0))</f>
        <v>C</v>
      </c>
    </row>
    <row r="1574" customFormat="false" ht="15" hidden="false" customHeight="false" outlineLevel="0" collapsed="false">
      <c r="A1574" s="34" t="s">
        <v>5799</v>
      </c>
      <c r="B1574" s="34" t="str">
        <f aca="false">'Uso e Consumo'!A1574</f>
        <v>0335</v>
      </c>
      <c r="C1574" s="34" t="str">
        <f aca="false">'Uso e Consumo'!B1574</f>
        <v>UFV NORONHA VERDE - USO E CONSUMO</v>
      </c>
      <c r="D1574" s="33" t="n">
        <f aca="false">'Uso e Consumo'!C1574</f>
        <v>292640</v>
      </c>
      <c r="E1574" s="34" t="str">
        <f aca="false">'Uso e Consumo'!D1574</f>
        <v>33.02.1586</v>
      </c>
      <c r="F1574" s="34" t="str">
        <f aca="false">'Uso e Consumo'!E1574</f>
        <v>LUBRIF 500 ML 8017 H (0781-389-3004) STIHL</v>
      </c>
      <c r="G1574" s="34" t="str">
        <f aca="false">'Uso e Consumo'!J1574</f>
        <v>UN</v>
      </c>
      <c r="H1574" s="49" t="n">
        <f aca="false">'Uso e Consumo'!F1574</f>
        <v>6</v>
      </c>
      <c r="I1574" s="35" t="n">
        <f aca="false">'Uso e Consumo'!G1574</f>
        <v>329.94</v>
      </c>
      <c r="J1574" s="34" t="str">
        <f aca="false">'Uso e Consumo'!M1574</f>
        <v>3.1.6.002 - Pneus e peças</v>
      </c>
      <c r="K1574" s="32" t="str">
        <f aca="false">INDEX('Curva ABC'!$K$8:$K$2847,MATCH(D1574,'Curva ABC'!$B$8:$B$2847,0))</f>
        <v>C</v>
      </c>
    </row>
    <row r="1575" customFormat="false" ht="15" hidden="false" customHeight="false" outlineLevel="0" collapsed="false">
      <c r="A1575" s="34" t="s">
        <v>5799</v>
      </c>
      <c r="B1575" s="34" t="str">
        <f aca="false">'Uso e Consumo'!A1575</f>
        <v>0335</v>
      </c>
      <c r="C1575" s="34" t="str">
        <f aca="false">'Uso e Consumo'!B1575</f>
        <v>UFV NORONHA VERDE - USO E CONSUMO</v>
      </c>
      <c r="D1575" s="33" t="n">
        <f aca="false">'Uso e Consumo'!C1575</f>
        <v>743781</v>
      </c>
      <c r="E1575" s="34" t="str">
        <f aca="false">'Uso e Consumo'!D1575</f>
        <v>17.20.0499</v>
      </c>
      <c r="F1575" s="34" t="str">
        <f aca="false">'Uso e Consumo'!E1575</f>
        <v>ABRAÇADEIRA 3,6X148MM, RESISTENTE À EXPOSIÇÃO SOLAR</v>
      </c>
      <c r="G1575" s="34" t="str">
        <f aca="false">'Uso e Consumo'!J1575</f>
        <v>UN</v>
      </c>
      <c r="H1575" s="49" t="n">
        <f aca="false">'Uso e Consumo'!F1575</f>
        <v>10</v>
      </c>
      <c r="I1575" s="35" t="n">
        <f aca="false">'Uso e Consumo'!G1575</f>
        <v>329.8</v>
      </c>
      <c r="J1575" s="34" t="str">
        <f aca="false">'Uso e Consumo'!M1575</f>
        <v>3.8.1.017 - Instalações elétricas/telefônicas/lógica</v>
      </c>
      <c r="K1575" s="32" t="str">
        <f aca="false">INDEX('Curva ABC'!$K$8:$K$2847,MATCH(D1575,'Curva ABC'!$B$8:$B$2847,0))</f>
        <v>C</v>
      </c>
    </row>
    <row r="1576" customFormat="false" ht="15" hidden="false" customHeight="false" outlineLevel="0" collapsed="false">
      <c r="A1576" s="34" t="s">
        <v>5799</v>
      </c>
      <c r="B1576" s="34" t="str">
        <f aca="false">'Uso e Consumo'!A1576</f>
        <v>0335</v>
      </c>
      <c r="C1576" s="34" t="str">
        <f aca="false">'Uso e Consumo'!B1576</f>
        <v>UFV NORONHA VERDE - USO E CONSUMO</v>
      </c>
      <c r="D1576" s="33" t="n">
        <f aca="false">'Uso e Consumo'!C1576</f>
        <v>33548</v>
      </c>
      <c r="E1576" s="34" t="str">
        <f aca="false">'Uso e Consumo'!D1576</f>
        <v>19.01.0020</v>
      </c>
      <c r="F1576" s="34" t="str">
        <f aca="false">'Uso e Consumo'!E1576</f>
        <v>ESPUDE P/ VASO SANITARIO</v>
      </c>
      <c r="G1576" s="34" t="str">
        <f aca="false">'Uso e Consumo'!J1576</f>
        <v>UN</v>
      </c>
      <c r="H1576" s="49" t="n">
        <f aca="false">'Uso e Consumo'!F1576</f>
        <v>22</v>
      </c>
      <c r="I1576" s="35" t="n">
        <f aca="false">'Uso e Consumo'!G1576</f>
        <v>329.56</v>
      </c>
      <c r="J1576" s="34" t="str">
        <f aca="false">'Uso e Consumo'!M1576</f>
        <v>3.8.1.018 - Instalações hidráulicas/sanitárias/industriais</v>
      </c>
      <c r="K1576" s="32" t="str">
        <f aca="false">INDEX('Curva ABC'!$K$8:$K$2847,MATCH(D1576,'Curva ABC'!$B$8:$B$2847,0))</f>
        <v>C</v>
      </c>
    </row>
    <row r="1577" customFormat="false" ht="15" hidden="false" customHeight="false" outlineLevel="0" collapsed="false">
      <c r="A1577" s="34" t="s">
        <v>5799</v>
      </c>
      <c r="B1577" s="34" t="str">
        <f aca="false">'Uso e Consumo'!A1577</f>
        <v>0335</v>
      </c>
      <c r="C1577" s="34" t="str">
        <f aca="false">'Uso e Consumo'!B1577</f>
        <v>UFV NORONHA VERDE - USO E CONSUMO</v>
      </c>
      <c r="D1577" s="33" t="n">
        <f aca="false">'Uso e Consumo'!C1577</f>
        <v>58305</v>
      </c>
      <c r="E1577" s="34" t="str">
        <f aca="false">'Uso e Consumo'!D1577</f>
        <v>25.09.0101</v>
      </c>
      <c r="F1577" s="34" t="str">
        <f aca="false">'Uso e Consumo'!E1577</f>
        <v>CABO DE AÇO 16,00 MM</v>
      </c>
      <c r="G1577" s="34" t="str">
        <f aca="false">'Uso e Consumo'!J1577</f>
        <v>UN</v>
      </c>
      <c r="H1577" s="49" t="n">
        <f aca="false">'Uso e Consumo'!F1577</f>
        <v>22</v>
      </c>
      <c r="I1577" s="35" t="n">
        <f aca="false">'Uso e Consumo'!G1577</f>
        <v>329.56</v>
      </c>
      <c r="J1577" s="34" t="str">
        <f aca="false">'Uso e Consumo'!M1577</f>
        <v>3.8.2.006 - Utensílios</v>
      </c>
      <c r="K1577" s="32" t="str">
        <f aca="false">INDEX('Curva ABC'!$K$8:$K$2847,MATCH(D1577,'Curva ABC'!$B$8:$B$2847,0))</f>
        <v>C</v>
      </c>
    </row>
    <row r="1578" customFormat="false" ht="15" hidden="false" customHeight="false" outlineLevel="0" collapsed="false">
      <c r="A1578" s="34" t="s">
        <v>5799</v>
      </c>
      <c r="B1578" s="34" t="str">
        <f aca="false">'Uso e Consumo'!A1578</f>
        <v>0335</v>
      </c>
      <c r="C1578" s="34" t="str">
        <f aca="false">'Uso e Consumo'!B1578</f>
        <v>UFV NORONHA VERDE - USO E CONSUMO</v>
      </c>
      <c r="D1578" s="33" t="n">
        <f aca="false">'Uso e Consumo'!C1578</f>
        <v>16961</v>
      </c>
      <c r="E1578" s="34" t="str">
        <f aca="false">'Uso e Consumo'!D1578</f>
        <v>23.06.0042</v>
      </c>
      <c r="F1578" s="34" t="str">
        <f aca="false">'Uso e Consumo'!E1578</f>
        <v>PORCA SEXTAVADA AÇO INOX 18.8 UNC 5/16" 18 FIOS ANSI/ASME B18.2.2 PASSIVADO</v>
      </c>
      <c r="G1578" s="34" t="str">
        <f aca="false">'Uso e Consumo'!J1578</f>
        <v>UN</v>
      </c>
      <c r="H1578" s="49" t="n">
        <f aca="false">'Uso e Consumo'!F1578</f>
        <v>33</v>
      </c>
      <c r="I1578" s="35" t="n">
        <f aca="false">'Uso e Consumo'!G1578</f>
        <v>329.34</v>
      </c>
      <c r="J1578" s="34" t="str">
        <f aca="false">'Uso e Consumo'!M1578</f>
        <v>3.8.1.022 - Elementos de fixação</v>
      </c>
      <c r="K1578" s="32" t="str">
        <f aca="false">INDEX('Curva ABC'!$K$8:$K$2847,MATCH(D1578,'Curva ABC'!$B$8:$B$2847,0))</f>
        <v>C</v>
      </c>
    </row>
    <row r="1579" customFormat="false" ht="15" hidden="false" customHeight="false" outlineLevel="0" collapsed="false">
      <c r="A1579" s="34" t="s">
        <v>5799</v>
      </c>
      <c r="B1579" s="34" t="str">
        <f aca="false">'Uso e Consumo'!A1579</f>
        <v>0335</v>
      </c>
      <c r="C1579" s="34" t="str">
        <f aca="false">'Uso e Consumo'!B1579</f>
        <v>UFV NORONHA VERDE - USO E CONSUMO</v>
      </c>
      <c r="D1579" s="33" t="n">
        <f aca="false">'Uso e Consumo'!C1579</f>
        <v>1383568</v>
      </c>
      <c r="E1579" s="34" t="str">
        <f aca="false">'Uso e Consumo'!D1579</f>
        <v>17.20.0690</v>
      </c>
      <c r="F1579" s="34" t="str">
        <f aca="false">'Uso e Consumo'!E1579</f>
        <v>PRESILHA EM LATÃO ESTRANHADO PARA FIXAÇÃO DE CABOS 35mm²-50mm  FURO Ø8mm</v>
      </c>
      <c r="G1579" s="34" t="str">
        <f aca="false">'Uso e Consumo'!J1579</f>
        <v>UN</v>
      </c>
      <c r="H1579" s="49" t="n">
        <f aca="false">'Uso e Consumo'!F1579</f>
        <v>215</v>
      </c>
      <c r="I1579" s="35" t="n">
        <f aca="false">'Uso e Consumo'!G1579</f>
        <v>328.25</v>
      </c>
      <c r="J1579" s="34" t="str">
        <f aca="false">'Uso e Consumo'!M1579</f>
        <v>3.8.1.017 - Instalações elétricas/telefônicas/lógica</v>
      </c>
      <c r="K1579" s="32" t="str">
        <f aca="false">INDEX('Curva ABC'!$K$8:$K$2847,MATCH(D1579,'Curva ABC'!$B$8:$B$2847,0))</f>
        <v>C</v>
      </c>
    </row>
    <row r="1580" customFormat="false" ht="15" hidden="false" customHeight="false" outlineLevel="0" collapsed="false">
      <c r="A1580" s="34" t="s">
        <v>5799</v>
      </c>
      <c r="B1580" s="34" t="str">
        <f aca="false">'Uso e Consumo'!A1580</f>
        <v>0335</v>
      </c>
      <c r="C1580" s="34" t="str">
        <f aca="false">'Uso e Consumo'!B1580</f>
        <v>UFV NORONHA VERDE - USO E CONSUMO</v>
      </c>
      <c r="D1580" s="33" t="n">
        <f aca="false">'Uso e Consumo'!C1580</f>
        <v>748231</v>
      </c>
      <c r="E1580" s="34" t="str">
        <f aca="false">'Uso e Consumo'!D1580</f>
        <v>29.02.0415</v>
      </c>
      <c r="F1580" s="34" t="str">
        <f aca="false">'Uso e Consumo'!E1580</f>
        <v>MESA QUADRADA PLÁSTICA 70CM BRANCA</v>
      </c>
      <c r="G1580" s="34" t="str">
        <f aca="false">'Uso e Consumo'!J1580</f>
        <v>UN</v>
      </c>
      <c r="H1580" s="49" t="n">
        <f aca="false">'Uso e Consumo'!F1580</f>
        <v>5</v>
      </c>
      <c r="I1580" s="35" t="n">
        <f aca="false">'Uso e Consumo'!G1580</f>
        <v>327.19</v>
      </c>
      <c r="J1580" s="34" t="str">
        <f aca="false">'Uso e Consumo'!M1580</f>
        <v>4.1.1.008 - Mobiliário e acessórios</v>
      </c>
      <c r="K1580" s="32" t="str">
        <f aca="false">INDEX('Curva ABC'!$K$8:$K$2847,MATCH(D1580,'Curva ABC'!$B$8:$B$2847,0))</f>
        <v>C</v>
      </c>
    </row>
    <row r="1581" customFormat="false" ht="15" hidden="false" customHeight="false" outlineLevel="0" collapsed="false">
      <c r="A1581" s="34" t="s">
        <v>5799</v>
      </c>
      <c r="B1581" s="34" t="str">
        <f aca="false">'Uso e Consumo'!A1581</f>
        <v>0335</v>
      </c>
      <c r="C1581" s="34" t="str">
        <f aca="false">'Uso e Consumo'!B1581</f>
        <v>UFV NORONHA VERDE - USO E CONSUMO</v>
      </c>
      <c r="D1581" s="33" t="n">
        <f aca="false">'Uso e Consumo'!C1581</f>
        <v>19810</v>
      </c>
      <c r="E1581" s="34" t="str">
        <f aca="false">'Uso e Consumo'!D1581</f>
        <v>30.03.0083</v>
      </c>
      <c r="F1581" s="34" t="str">
        <f aca="false">'Uso e Consumo'!E1581</f>
        <v>PASTILHA SANITARIA 35G EUCALIPTO</v>
      </c>
      <c r="G1581" s="34" t="str">
        <f aca="false">'Uso e Consumo'!J1581</f>
        <v>UN</v>
      </c>
      <c r="H1581" s="49" t="n">
        <f aca="false">'Uso e Consumo'!F1581</f>
        <v>170</v>
      </c>
      <c r="I1581" s="35" t="n">
        <f aca="false">'Uso e Consumo'!G1581</f>
        <v>327.05</v>
      </c>
      <c r="J1581" s="34" t="str">
        <f aca="false">'Uso e Consumo'!M1581</f>
        <v>4.1.1.003 - Material limpeza</v>
      </c>
      <c r="K1581" s="32" t="str">
        <f aca="false">INDEX('Curva ABC'!$K$8:$K$2847,MATCH(D1581,'Curva ABC'!$B$8:$B$2847,0))</f>
        <v>C</v>
      </c>
    </row>
    <row r="1582" customFormat="false" ht="15" hidden="false" customHeight="false" outlineLevel="0" collapsed="false">
      <c r="A1582" s="34" t="s">
        <v>5799</v>
      </c>
      <c r="B1582" s="34" t="str">
        <f aca="false">'Uso e Consumo'!A1582</f>
        <v>0335</v>
      </c>
      <c r="C1582" s="34" t="str">
        <f aca="false">'Uso e Consumo'!B1582</f>
        <v>UFV NORONHA VERDE - USO E CONSUMO</v>
      </c>
      <c r="D1582" s="33" t="n">
        <f aca="false">'Uso e Consumo'!C1582</f>
        <v>19616</v>
      </c>
      <c r="E1582" s="34" t="str">
        <f aca="false">'Uso e Consumo'!D1582</f>
        <v>30.01.0336</v>
      </c>
      <c r="F1582" s="34" t="str">
        <f aca="false">'Uso e Consumo'!E1582</f>
        <v>PERFURADOR DE PAPEL 2 FUROS P/ 20FOLHAS</v>
      </c>
      <c r="G1582" s="34" t="str">
        <f aca="false">'Uso e Consumo'!J1582</f>
        <v>UN</v>
      </c>
      <c r="H1582" s="49" t="n">
        <f aca="false">'Uso e Consumo'!F1582</f>
        <v>9</v>
      </c>
      <c r="I1582" s="35" t="n">
        <f aca="false">'Uso e Consumo'!G1582</f>
        <v>325.92</v>
      </c>
      <c r="J1582" s="34" t="str">
        <f aca="false">'Uso e Consumo'!M1582</f>
        <v>4.1.1.002 - Material expediente</v>
      </c>
      <c r="K1582" s="32" t="str">
        <f aca="false">INDEX('Curva ABC'!$K$8:$K$2847,MATCH(D1582,'Curva ABC'!$B$8:$B$2847,0))</f>
        <v>C</v>
      </c>
    </row>
    <row r="1583" customFormat="false" ht="15" hidden="false" customHeight="false" outlineLevel="0" collapsed="false">
      <c r="A1583" s="34" t="s">
        <v>5799</v>
      </c>
      <c r="B1583" s="34" t="str">
        <f aca="false">'Uso e Consumo'!A1583</f>
        <v>0335</v>
      </c>
      <c r="C1583" s="34" t="str">
        <f aca="false">'Uso e Consumo'!B1583</f>
        <v>UFV NORONHA VERDE - USO E CONSUMO</v>
      </c>
      <c r="D1583" s="33" t="n">
        <f aca="false">'Uso e Consumo'!C1583</f>
        <v>32241</v>
      </c>
      <c r="E1583" s="34" t="str">
        <f aca="false">'Uso e Consumo'!D1583</f>
        <v>30.03.0157</v>
      </c>
      <c r="F1583" s="34" t="str">
        <f aca="false">'Uso e Consumo'!E1583</f>
        <v>ALCOOL LIQUIDO DE LIMPEZA 500 ML</v>
      </c>
      <c r="G1583" s="34" t="str">
        <f aca="false">'Uso e Consumo'!J1583</f>
        <v>UN</v>
      </c>
      <c r="H1583" s="49" t="n">
        <f aca="false">'Uso e Consumo'!F1583</f>
        <v>57</v>
      </c>
      <c r="I1583" s="35" t="n">
        <f aca="false">'Uso e Consumo'!G1583</f>
        <v>325.6088</v>
      </c>
      <c r="J1583" s="34" t="str">
        <f aca="false">'Uso e Consumo'!M1583</f>
        <v>4.1.1.001 - Material de uso e consumo</v>
      </c>
      <c r="K1583" s="32" t="str">
        <f aca="false">INDEX('Curva ABC'!$K$8:$K$2847,MATCH(D1583,'Curva ABC'!$B$8:$B$2847,0))</f>
        <v>C</v>
      </c>
    </row>
    <row r="1584" customFormat="false" ht="15" hidden="false" customHeight="false" outlineLevel="0" collapsed="false">
      <c r="A1584" s="34" t="s">
        <v>5799</v>
      </c>
      <c r="B1584" s="34" t="str">
        <f aca="false">'Uso e Consumo'!A1584</f>
        <v>0335</v>
      </c>
      <c r="C1584" s="34" t="str">
        <f aca="false">'Uso e Consumo'!B1584</f>
        <v>UFV NORONHA VERDE - USO E CONSUMO</v>
      </c>
      <c r="D1584" s="33" t="n">
        <f aca="false">'Uso e Consumo'!C1584</f>
        <v>1607242</v>
      </c>
      <c r="E1584" s="34" t="str">
        <f aca="false">'Uso e Consumo'!D1584</f>
        <v>25.13.0156</v>
      </c>
      <c r="F1584" s="34" t="str">
        <f aca="false">'Uso e Consumo'!E1584</f>
        <v>MANGOTE RADIADOR</v>
      </c>
      <c r="G1584" s="34" t="str">
        <f aca="false">'Uso e Consumo'!J1584</f>
        <v>UN</v>
      </c>
      <c r="H1584" s="49" t="n">
        <f aca="false">'Uso e Consumo'!F1584</f>
        <v>2</v>
      </c>
      <c r="I1584" s="35" t="n">
        <f aca="false">'Uso e Consumo'!G1584</f>
        <v>324.9</v>
      </c>
      <c r="J1584" s="34" t="str">
        <f aca="false">'Uso e Consumo'!M1584</f>
        <v>3.8.1.018 - Instalações hidráulicas/sanitárias/industriais</v>
      </c>
      <c r="K1584" s="32" t="str">
        <f aca="false">INDEX('Curva ABC'!$K$8:$K$2847,MATCH(D1584,'Curva ABC'!$B$8:$B$2847,0))</f>
        <v>C</v>
      </c>
    </row>
    <row r="1585" customFormat="false" ht="15" hidden="false" customHeight="false" outlineLevel="0" collapsed="false">
      <c r="A1585" s="34" t="s">
        <v>5799</v>
      </c>
      <c r="B1585" s="34" t="str">
        <f aca="false">'Uso e Consumo'!A1585</f>
        <v>0335</v>
      </c>
      <c r="C1585" s="34" t="str">
        <f aca="false">'Uso e Consumo'!B1585</f>
        <v>UFV NORONHA VERDE - USO E CONSUMO</v>
      </c>
      <c r="D1585" s="33" t="n">
        <f aca="false">'Uso e Consumo'!C1585</f>
        <v>35386</v>
      </c>
      <c r="E1585" s="34" t="str">
        <f aca="false">'Uso e Consumo'!D1585</f>
        <v>24.32.0012</v>
      </c>
      <c r="F1585" s="34" t="str">
        <f aca="false">'Uso e Consumo'!E1585</f>
        <v>BOLSA TIPO SACO, PARA TRANSPORTE DE CORDA</v>
      </c>
      <c r="G1585" s="34" t="str">
        <f aca="false">'Uso e Consumo'!J1585</f>
        <v>UN</v>
      </c>
      <c r="H1585" s="49" t="n">
        <f aca="false">'Uso e Consumo'!F1585</f>
        <v>3</v>
      </c>
      <c r="I1585" s="35" t="n">
        <f aca="false">'Uso e Consumo'!G1585</f>
        <v>323.4</v>
      </c>
      <c r="J1585" s="34" t="str">
        <f aca="false">'Uso e Consumo'!M1585</f>
        <v>6.1.2.002 - Ferramentas e utensílios</v>
      </c>
      <c r="K1585" s="32" t="str">
        <f aca="false">INDEX('Curva ABC'!$K$8:$K$2847,MATCH(D1585,'Curva ABC'!$B$8:$B$2847,0))</f>
        <v>C</v>
      </c>
    </row>
    <row r="1586" customFormat="false" ht="15" hidden="false" customHeight="false" outlineLevel="0" collapsed="false">
      <c r="A1586" s="34" t="s">
        <v>5799</v>
      </c>
      <c r="B1586" s="34" t="str">
        <f aca="false">'Uso e Consumo'!A1586</f>
        <v>0335</v>
      </c>
      <c r="C1586" s="34" t="str">
        <f aca="false">'Uso e Consumo'!B1586</f>
        <v>UFV NORONHA VERDE - USO E CONSUMO</v>
      </c>
      <c r="D1586" s="33" t="n">
        <f aca="false">'Uso e Consumo'!C1586</f>
        <v>23699</v>
      </c>
      <c r="E1586" s="34" t="str">
        <f aca="false">'Uso e Consumo'!D1586</f>
        <v>33.02.0275</v>
      </c>
      <c r="F1586" s="34" t="str">
        <f aca="false">'Uso e Consumo'!E1586</f>
        <v>TRINCO DE AÇO DA JANELA</v>
      </c>
      <c r="G1586" s="34" t="str">
        <f aca="false">'Uso e Consumo'!J1586</f>
        <v>UN</v>
      </c>
      <c r="H1586" s="49" t="n">
        <f aca="false">'Uso e Consumo'!F1586</f>
        <v>20</v>
      </c>
      <c r="I1586" s="35" t="n">
        <f aca="false">'Uso e Consumo'!G1586</f>
        <v>322.2</v>
      </c>
      <c r="J1586" s="34" t="str">
        <f aca="false">'Uso e Consumo'!M1586</f>
        <v>3.1.6.002 - Pneus e peças</v>
      </c>
      <c r="K1586" s="32" t="str">
        <f aca="false">INDEX('Curva ABC'!$K$8:$K$2847,MATCH(D1586,'Curva ABC'!$B$8:$B$2847,0))</f>
        <v>C</v>
      </c>
    </row>
    <row r="1587" customFormat="false" ht="15" hidden="false" customHeight="false" outlineLevel="0" collapsed="false">
      <c r="A1587" s="34" t="s">
        <v>5799</v>
      </c>
      <c r="B1587" s="34" t="str">
        <f aca="false">'Uso e Consumo'!A1587</f>
        <v>0335</v>
      </c>
      <c r="C1587" s="34" t="str">
        <f aca="false">'Uso e Consumo'!B1587</f>
        <v>UFV NORONHA VERDE - USO E CONSUMO</v>
      </c>
      <c r="D1587" s="33" t="n">
        <f aca="false">'Uso e Consumo'!C1587</f>
        <v>750355</v>
      </c>
      <c r="E1587" s="34" t="str">
        <f aca="false">'Uso e Consumo'!D1587</f>
        <v>24.26.0007</v>
      </c>
      <c r="F1587" s="34" t="str">
        <f aca="false">'Uso e Consumo'!E1587</f>
        <v>DISCO P/ SERRA CIRCULAR 7"</v>
      </c>
      <c r="G1587" s="34" t="str">
        <f aca="false">'Uso e Consumo'!J1587</f>
        <v>UN</v>
      </c>
      <c r="H1587" s="49" t="n">
        <f aca="false">'Uso e Consumo'!F1587</f>
        <v>10</v>
      </c>
      <c r="I1587" s="35" t="n">
        <f aca="false">'Uso e Consumo'!G1587</f>
        <v>321.7</v>
      </c>
      <c r="J1587" s="34" t="str">
        <f aca="false">'Uso e Consumo'!M1587</f>
        <v>3.8.2.004 - Consumíveis para corte, perfuração e desbaste</v>
      </c>
      <c r="K1587" s="32" t="str">
        <f aca="false">INDEX('Curva ABC'!$K$8:$K$2847,MATCH(D1587,'Curva ABC'!$B$8:$B$2847,0))</f>
        <v>C</v>
      </c>
    </row>
    <row r="1588" customFormat="false" ht="15" hidden="false" customHeight="false" outlineLevel="0" collapsed="false">
      <c r="A1588" s="34" t="s">
        <v>5799</v>
      </c>
      <c r="B1588" s="34" t="str">
        <f aca="false">'Uso e Consumo'!A1588</f>
        <v>0335</v>
      </c>
      <c r="C1588" s="34" t="str">
        <f aca="false">'Uso e Consumo'!B1588</f>
        <v>UFV NORONHA VERDE - USO E CONSUMO</v>
      </c>
      <c r="D1588" s="33" t="n">
        <f aca="false">'Uso e Consumo'!C1588</f>
        <v>23124</v>
      </c>
      <c r="E1588" s="34" t="str">
        <f aca="false">'Uso e Consumo'!D1588</f>
        <v>30.03.0137</v>
      </c>
      <c r="F1588" s="34" t="str">
        <f aca="false">'Uso e Consumo'!E1588</f>
        <v>NAFTALINA ANTE-ODOR BOLAS 10 UNIDADES</v>
      </c>
      <c r="G1588" s="34" t="str">
        <f aca="false">'Uso e Consumo'!J1588</f>
        <v>UN</v>
      </c>
      <c r="H1588" s="49" t="n">
        <f aca="false">'Uso e Consumo'!F1588</f>
        <v>145</v>
      </c>
      <c r="I1588" s="35" t="n">
        <f aca="false">'Uso e Consumo'!G1588</f>
        <v>321.4165</v>
      </c>
      <c r="J1588" s="34" t="str">
        <f aca="false">'Uso e Consumo'!M1588</f>
        <v>4.1.1.001 - Material de uso e consumo</v>
      </c>
      <c r="K1588" s="32" t="str">
        <f aca="false">INDEX('Curva ABC'!$K$8:$K$2847,MATCH(D1588,'Curva ABC'!$B$8:$B$2847,0))</f>
        <v>C</v>
      </c>
    </row>
    <row r="1589" customFormat="false" ht="15" hidden="false" customHeight="false" outlineLevel="0" collapsed="false">
      <c r="A1589" s="34" t="s">
        <v>5799</v>
      </c>
      <c r="B1589" s="34" t="str">
        <f aca="false">'Uso e Consumo'!A1589</f>
        <v>0335</v>
      </c>
      <c r="C1589" s="34" t="str">
        <f aca="false">'Uso e Consumo'!B1589</f>
        <v>UFV NORONHA VERDE - USO E CONSUMO</v>
      </c>
      <c r="D1589" s="33" t="n">
        <f aca="false">'Uso e Consumo'!C1589</f>
        <v>852408</v>
      </c>
      <c r="E1589" s="34" t="str">
        <f aca="false">'Uso e Consumo'!D1589</f>
        <v>31.02.0158</v>
      </c>
      <c r="F1589" s="34" t="str">
        <f aca="false">'Uso e Consumo'!E1589</f>
        <v>OLEO HIDRAULICO ATF III-H</v>
      </c>
      <c r="G1589" s="34" t="str">
        <f aca="false">'Uso e Consumo'!J1589</f>
        <v>UN</v>
      </c>
      <c r="H1589" s="49" t="n">
        <f aca="false">'Uso e Consumo'!F1589</f>
        <v>1</v>
      </c>
      <c r="I1589" s="35" t="n">
        <f aca="false">'Uso e Consumo'!G1589</f>
        <v>321.21</v>
      </c>
      <c r="J1589" s="34" t="str">
        <f aca="false">'Uso e Consumo'!M1589</f>
        <v>3.1.6.001 - Combustível e lubrificantes</v>
      </c>
      <c r="K1589" s="32" t="str">
        <f aca="false">INDEX('Curva ABC'!$K$8:$K$2847,MATCH(D1589,'Curva ABC'!$B$8:$B$2847,0))</f>
        <v>C</v>
      </c>
    </row>
    <row r="1590" customFormat="false" ht="15" hidden="false" customHeight="false" outlineLevel="0" collapsed="false">
      <c r="A1590" s="34" t="s">
        <v>5799</v>
      </c>
      <c r="B1590" s="34" t="str">
        <f aca="false">'Uso e Consumo'!A1590</f>
        <v>0335</v>
      </c>
      <c r="C1590" s="34" t="str">
        <f aca="false">'Uso e Consumo'!B1590</f>
        <v>UFV NORONHA VERDE - USO E CONSUMO</v>
      </c>
      <c r="D1590" s="33" t="n">
        <f aca="false">'Uso e Consumo'!C1590</f>
        <v>58874</v>
      </c>
      <c r="E1590" s="34" t="str">
        <f aca="false">'Uso e Consumo'!D1590</f>
        <v>24.09.0318</v>
      </c>
      <c r="F1590" s="34" t="str">
        <f aca="false">'Uso e Consumo'!E1590</f>
        <v>JOGO DE CHAVE DE FENDA PHILLIPS ISOLADA DE 1/8" Á 7/16"</v>
      </c>
      <c r="G1590" s="34" t="str">
        <f aca="false">'Uso e Consumo'!J1590</f>
        <v>UN</v>
      </c>
      <c r="H1590" s="49" t="n">
        <f aca="false">'Uso e Consumo'!F1590</f>
        <v>2</v>
      </c>
      <c r="I1590" s="35" t="n">
        <f aca="false">'Uso e Consumo'!G1590</f>
        <v>320.36</v>
      </c>
      <c r="J1590" s="34" t="str">
        <f aca="false">'Uso e Consumo'!M1590</f>
        <v>3.8.2.002 - Ferramentas manuais</v>
      </c>
      <c r="K1590" s="32" t="str">
        <f aca="false">INDEX('Curva ABC'!$K$8:$K$2847,MATCH(D1590,'Curva ABC'!$B$8:$B$2847,0))</f>
        <v>C</v>
      </c>
    </row>
    <row r="1591" customFormat="false" ht="15" hidden="false" customHeight="false" outlineLevel="0" collapsed="false">
      <c r="A1591" s="34" t="s">
        <v>5799</v>
      </c>
      <c r="B1591" s="34" t="str">
        <f aca="false">'Uso e Consumo'!A1591</f>
        <v>0335</v>
      </c>
      <c r="C1591" s="34" t="str">
        <f aca="false">'Uso e Consumo'!B1591</f>
        <v>UFV NORONHA VERDE - USO E CONSUMO</v>
      </c>
      <c r="D1591" s="33" t="n">
        <f aca="false">'Uso e Consumo'!C1591</f>
        <v>1685481</v>
      </c>
      <c r="E1591" s="34" t="str">
        <f aca="false">'Uso e Consumo'!D1591</f>
        <v>19.08.0102</v>
      </c>
      <c r="F1591" s="34" t="str">
        <f aca="false">'Uso e Consumo'!E1591</f>
        <v>TORNEIRA INOX DE BANCADA PARA COZINHA</v>
      </c>
      <c r="G1591" s="34" t="str">
        <f aca="false">'Uso e Consumo'!J1591</f>
        <v>UN</v>
      </c>
      <c r="H1591" s="49" t="n">
        <f aca="false">'Uso e Consumo'!F1591</f>
        <v>1</v>
      </c>
      <c r="I1591" s="35" t="n">
        <f aca="false">'Uso e Consumo'!G1591</f>
        <v>319.96</v>
      </c>
      <c r="J1591" s="34" t="str">
        <f aca="false">'Uso e Consumo'!M1591</f>
        <v>3.8.1.018 - Instalações hidráulicas/sanitárias/industriais</v>
      </c>
      <c r="K1591" s="32" t="str">
        <f aca="false">INDEX('Curva ABC'!$K$8:$K$2847,MATCH(D1591,'Curva ABC'!$B$8:$B$2847,0))</f>
        <v>C</v>
      </c>
    </row>
    <row r="1592" customFormat="false" ht="15" hidden="false" customHeight="false" outlineLevel="0" collapsed="false">
      <c r="A1592" s="34" t="s">
        <v>5799</v>
      </c>
      <c r="B1592" s="34" t="str">
        <f aca="false">'Uso e Consumo'!A1592</f>
        <v>0335</v>
      </c>
      <c r="C1592" s="34" t="str">
        <f aca="false">'Uso e Consumo'!B1592</f>
        <v>UFV NORONHA VERDE - USO E CONSUMO</v>
      </c>
      <c r="D1592" s="33" t="n">
        <f aca="false">'Uso e Consumo'!C1592</f>
        <v>734571</v>
      </c>
      <c r="E1592" s="34" t="str">
        <f aca="false">'Uso e Consumo'!D1592</f>
        <v>24.09.0571</v>
      </c>
      <c r="F1592" s="34" t="str">
        <f aca="false">'Uso e Consumo'!E1592</f>
        <v>CHAVE INGLESA 12"</v>
      </c>
      <c r="G1592" s="34" t="str">
        <f aca="false">'Uso e Consumo'!J1592</f>
        <v>UN</v>
      </c>
      <c r="H1592" s="49" t="n">
        <f aca="false">'Uso e Consumo'!F1592</f>
        <v>5</v>
      </c>
      <c r="I1592" s="35" t="n">
        <f aca="false">'Uso e Consumo'!G1592</f>
        <v>319.5</v>
      </c>
      <c r="J1592" s="34" t="str">
        <f aca="false">'Uso e Consumo'!M1592</f>
        <v>3.8.2.002 - Ferramentas manuais</v>
      </c>
      <c r="K1592" s="32" t="str">
        <f aca="false">INDEX('Curva ABC'!$K$8:$K$2847,MATCH(D1592,'Curva ABC'!$B$8:$B$2847,0))</f>
        <v>C</v>
      </c>
    </row>
    <row r="1593" customFormat="false" ht="15" hidden="false" customHeight="false" outlineLevel="0" collapsed="false">
      <c r="A1593" s="34" t="s">
        <v>5799</v>
      </c>
      <c r="B1593" s="34" t="str">
        <f aca="false">'Uso e Consumo'!A1593</f>
        <v>0335</v>
      </c>
      <c r="C1593" s="34" t="str">
        <f aca="false">'Uso e Consumo'!B1593</f>
        <v>UFV NORONHA VERDE - USO E CONSUMO</v>
      </c>
      <c r="D1593" s="33" t="n">
        <f aca="false">'Uso e Consumo'!C1593</f>
        <v>962258</v>
      </c>
      <c r="E1593" s="34" t="str">
        <f aca="false">'Uso e Consumo'!D1593</f>
        <v>16.04.0056</v>
      </c>
      <c r="F1593" s="34" t="str">
        <f aca="false">'Uso e Consumo'!E1593</f>
        <v>SOLVENTE 101 THINNER SOLVELUSA</v>
      </c>
      <c r="G1593" s="34" t="str">
        <f aca="false">'Uso e Consumo'!J1593</f>
        <v>UN</v>
      </c>
      <c r="H1593" s="49" t="n">
        <f aca="false">'Uso e Consumo'!F1593</f>
        <v>1</v>
      </c>
      <c r="I1593" s="35" t="n">
        <f aca="false">'Uso e Consumo'!G1593</f>
        <v>318</v>
      </c>
      <c r="J1593" s="34" t="str">
        <f aca="false">'Uso e Consumo'!M1593</f>
        <v>3.8.1.016 - Pinturas</v>
      </c>
      <c r="K1593" s="32" t="str">
        <f aca="false">INDEX('Curva ABC'!$K$8:$K$2847,MATCH(D1593,'Curva ABC'!$B$8:$B$2847,0))</f>
        <v>C</v>
      </c>
    </row>
    <row r="1594" customFormat="false" ht="15" hidden="false" customHeight="false" outlineLevel="0" collapsed="false">
      <c r="A1594" s="34" t="s">
        <v>5799</v>
      </c>
      <c r="B1594" s="34" t="str">
        <f aca="false">'Uso e Consumo'!A1594</f>
        <v>0335</v>
      </c>
      <c r="C1594" s="34" t="str">
        <f aca="false">'Uso e Consumo'!B1594</f>
        <v>UFV NORONHA VERDE - USO E CONSUMO</v>
      </c>
      <c r="D1594" s="33" t="n">
        <f aca="false">'Uso e Consumo'!C1594</f>
        <v>965629</v>
      </c>
      <c r="E1594" s="34" t="str">
        <f aca="false">'Uso e Consumo'!D1594</f>
        <v>17.07.0083</v>
      </c>
      <c r="F1594" s="34" t="str">
        <f aca="false">'Uso e Consumo'!E1594</f>
        <v>CAIXA DE LUZ MONOFASICA FIBRA</v>
      </c>
      <c r="G1594" s="34" t="str">
        <f aca="false">'Uso e Consumo'!J1594</f>
        <v>UN</v>
      </c>
      <c r="H1594" s="49" t="n">
        <f aca="false">'Uso e Consumo'!F1594</f>
        <v>1</v>
      </c>
      <c r="I1594" s="35" t="n">
        <f aca="false">'Uso e Consumo'!G1594</f>
        <v>318</v>
      </c>
      <c r="J1594" s="34" t="str">
        <f aca="false">'Uso e Consumo'!M1594</f>
        <v>3.8.1.017 - Instalações elétricas/telefônicas/lógica</v>
      </c>
      <c r="K1594" s="32" t="str">
        <f aca="false">INDEX('Curva ABC'!$K$8:$K$2847,MATCH(D1594,'Curva ABC'!$B$8:$B$2847,0))</f>
        <v>C</v>
      </c>
    </row>
    <row r="1595" customFormat="false" ht="15" hidden="false" customHeight="false" outlineLevel="0" collapsed="false">
      <c r="A1595" s="34" t="s">
        <v>5799</v>
      </c>
      <c r="B1595" s="34" t="str">
        <f aca="false">'Uso e Consumo'!A1595</f>
        <v>0335</v>
      </c>
      <c r="C1595" s="34" t="str">
        <f aca="false">'Uso e Consumo'!B1595</f>
        <v>UFV NORONHA VERDE - USO E CONSUMO</v>
      </c>
      <c r="D1595" s="33" t="n">
        <f aca="false">'Uso e Consumo'!C1595</f>
        <v>1461942</v>
      </c>
      <c r="E1595" s="34" t="str">
        <f aca="false">'Uso e Consumo'!D1595</f>
        <v>17.08.0224</v>
      </c>
      <c r="F1595" s="34" t="str">
        <f aca="false">'Uso e Consumo'!E1595</f>
        <v>CAIXAS DE MEDIÇÃO LUZ TRIFÁSICO - PADRÃO NEOENERGIA</v>
      </c>
      <c r="G1595" s="34" t="str">
        <f aca="false">'Uso e Consumo'!J1595</f>
        <v>UN</v>
      </c>
      <c r="H1595" s="49" t="n">
        <f aca="false">'Uso e Consumo'!F1595</f>
        <v>1</v>
      </c>
      <c r="I1595" s="35" t="n">
        <f aca="false">'Uso e Consumo'!G1595</f>
        <v>318</v>
      </c>
      <c r="J1595" s="34" t="str">
        <f aca="false">'Uso e Consumo'!M1595</f>
        <v>3.8.1.017 - Instalações elétricas/telefônicas/lógica</v>
      </c>
      <c r="K1595" s="32" t="str">
        <f aca="false">INDEX('Curva ABC'!$K$8:$K$2847,MATCH(D1595,'Curva ABC'!$B$8:$B$2847,0))</f>
        <v>C</v>
      </c>
    </row>
    <row r="1596" customFormat="false" ht="15" hidden="false" customHeight="false" outlineLevel="0" collapsed="false">
      <c r="A1596" s="34" t="s">
        <v>5799</v>
      </c>
      <c r="B1596" s="34" t="str">
        <f aca="false">'Uso e Consumo'!A1596</f>
        <v>0335</v>
      </c>
      <c r="C1596" s="34" t="str">
        <f aca="false">'Uso e Consumo'!B1596</f>
        <v>UFV NORONHA VERDE - USO E CONSUMO</v>
      </c>
      <c r="D1596" s="33" t="n">
        <f aca="false">'Uso e Consumo'!C1596</f>
        <v>16730</v>
      </c>
      <c r="E1596" s="34" t="str">
        <f aca="false">'Uso e Consumo'!D1596</f>
        <v>23.03.0042</v>
      </c>
      <c r="F1596" s="34" t="str">
        <f aca="false">'Uso e Consumo'!E1596</f>
        <v>PREGO COMUM C/CABECA AÇO TEMPERADO 2" X 12 REF 16 X 21</v>
      </c>
      <c r="G1596" s="34" t="str">
        <f aca="false">'Uso e Consumo'!J1596</f>
        <v>KG</v>
      </c>
      <c r="H1596" s="49" t="n">
        <f aca="false">'Uso e Consumo'!F1596</f>
        <v>15</v>
      </c>
      <c r="I1596" s="35" t="n">
        <f aca="false">'Uso e Consumo'!G1596</f>
        <v>317.1426</v>
      </c>
      <c r="J1596" s="34" t="str">
        <f aca="false">'Uso e Consumo'!M1596</f>
        <v>3.8.1.022 - Elementos de fixação</v>
      </c>
      <c r="K1596" s="32" t="str">
        <f aca="false">INDEX('Curva ABC'!$K$8:$K$2847,MATCH(D1596,'Curva ABC'!$B$8:$B$2847,0))</f>
        <v>C</v>
      </c>
    </row>
    <row r="1597" customFormat="false" ht="15" hidden="false" customHeight="false" outlineLevel="0" collapsed="false">
      <c r="A1597" s="34" t="s">
        <v>5799</v>
      </c>
      <c r="B1597" s="34" t="str">
        <f aca="false">'Uso e Consumo'!A1597</f>
        <v>0335</v>
      </c>
      <c r="C1597" s="34" t="str">
        <f aca="false">'Uso e Consumo'!B1597</f>
        <v>UFV NORONHA VERDE - USO E CONSUMO</v>
      </c>
      <c r="D1597" s="33" t="n">
        <f aca="false">'Uso e Consumo'!C1597</f>
        <v>1104586</v>
      </c>
      <c r="E1597" s="34" t="str">
        <f aca="false">'Uso e Consumo'!D1597</f>
        <v>24.07.0039</v>
      </c>
      <c r="F1597" s="34" t="str">
        <f aca="false">'Uso e Consumo'!E1597</f>
        <v>TRENA 05MX18MM C/TRAVA</v>
      </c>
      <c r="G1597" s="34" t="str">
        <f aca="false">'Uso e Consumo'!J1597</f>
        <v>UN</v>
      </c>
      <c r="H1597" s="49" t="n">
        <f aca="false">'Uso e Consumo'!F1597</f>
        <v>16</v>
      </c>
      <c r="I1597" s="35" t="n">
        <f aca="false">'Uso e Consumo'!G1597</f>
        <v>316.8</v>
      </c>
      <c r="J1597" s="34" t="str">
        <f aca="false">'Uso e Consumo'!M1597</f>
        <v>3.8.2.001 - Ferramentas medição/aferição</v>
      </c>
      <c r="K1597" s="32" t="str">
        <f aca="false">INDEX('Curva ABC'!$K$8:$K$2847,MATCH(D1597,'Curva ABC'!$B$8:$B$2847,0))</f>
        <v>C</v>
      </c>
    </row>
    <row r="1598" customFormat="false" ht="15" hidden="false" customHeight="false" outlineLevel="0" collapsed="false">
      <c r="A1598" s="34" t="s">
        <v>5799</v>
      </c>
      <c r="B1598" s="34" t="str">
        <f aca="false">'Uso e Consumo'!A1598</f>
        <v>0335</v>
      </c>
      <c r="C1598" s="34" t="str">
        <f aca="false">'Uso e Consumo'!B1598</f>
        <v>UFV NORONHA VERDE - USO E CONSUMO</v>
      </c>
      <c r="D1598" s="33" t="n">
        <f aca="false">'Uso e Consumo'!C1598</f>
        <v>548421</v>
      </c>
      <c r="E1598" s="34" t="str">
        <f aca="false">'Uso e Consumo'!D1598</f>
        <v>25.05.0122</v>
      </c>
      <c r="F1598" s="34" t="str">
        <f aca="false">'Uso e Consumo'!E1598</f>
        <v>SERRA COPO AÇO CARBONO 22MM</v>
      </c>
      <c r="G1598" s="34" t="str">
        <f aca="false">'Uso e Consumo'!J1598</f>
        <v>UN</v>
      </c>
      <c r="H1598" s="49" t="n">
        <f aca="false">'Uso e Consumo'!F1598</f>
        <v>2</v>
      </c>
      <c r="I1598" s="35" t="n">
        <f aca="false">'Uso e Consumo'!G1598</f>
        <v>316</v>
      </c>
      <c r="J1598" s="34" t="str">
        <f aca="false">'Uso e Consumo'!M1598</f>
        <v>3.8.2.004 - Consumíveis para corte, perfuração e desbaste</v>
      </c>
      <c r="K1598" s="32" t="str">
        <f aca="false">INDEX('Curva ABC'!$K$8:$K$2847,MATCH(D1598,'Curva ABC'!$B$8:$B$2847,0))</f>
        <v>C</v>
      </c>
    </row>
    <row r="1599" customFormat="false" ht="15" hidden="false" customHeight="false" outlineLevel="0" collapsed="false">
      <c r="A1599" s="34" t="s">
        <v>5799</v>
      </c>
      <c r="B1599" s="34" t="str">
        <f aca="false">'Uso e Consumo'!A1599</f>
        <v>0335</v>
      </c>
      <c r="C1599" s="34" t="str">
        <f aca="false">'Uso e Consumo'!B1599</f>
        <v>UFV NORONHA VERDE - USO E CONSUMO</v>
      </c>
      <c r="D1599" s="33" t="n">
        <f aca="false">'Uso e Consumo'!C1599</f>
        <v>22006</v>
      </c>
      <c r="E1599" s="34" t="str">
        <f aca="false">'Uso e Consumo'!D1599</f>
        <v>30.03.0119</v>
      </c>
      <c r="F1599" s="34" t="str">
        <f aca="false">'Uso e Consumo'!E1599</f>
        <v>RODO PLÁSTICO BORRACHA SIMPLES 40CM</v>
      </c>
      <c r="G1599" s="34" t="str">
        <f aca="false">'Uso e Consumo'!J1599</f>
        <v>UN</v>
      </c>
      <c r="H1599" s="49" t="n">
        <f aca="false">'Uso e Consumo'!F1599</f>
        <v>42</v>
      </c>
      <c r="I1599" s="35" t="n">
        <f aca="false">'Uso e Consumo'!G1599</f>
        <v>315</v>
      </c>
      <c r="J1599" s="34" t="str">
        <f aca="false">'Uso e Consumo'!M1599</f>
        <v>4.1.1.003 - Material limpeza</v>
      </c>
      <c r="K1599" s="32" t="str">
        <f aca="false">INDEX('Curva ABC'!$K$8:$K$2847,MATCH(D1599,'Curva ABC'!$B$8:$B$2847,0))</f>
        <v>C</v>
      </c>
    </row>
    <row r="1600" customFormat="false" ht="15" hidden="false" customHeight="false" outlineLevel="0" collapsed="false">
      <c r="A1600" s="34" t="s">
        <v>5799</v>
      </c>
      <c r="B1600" s="34" t="str">
        <f aca="false">'Uso e Consumo'!A1600</f>
        <v>0335</v>
      </c>
      <c r="C1600" s="34" t="str">
        <f aca="false">'Uso e Consumo'!B1600</f>
        <v>UFV NORONHA VERDE - USO E CONSUMO</v>
      </c>
      <c r="D1600" s="33" t="n">
        <f aca="false">'Uso e Consumo'!C1600</f>
        <v>1261244</v>
      </c>
      <c r="E1600" s="34" t="str">
        <f aca="false">'Uso e Consumo'!D1600</f>
        <v>18.03.0197</v>
      </c>
      <c r="F1600" s="34" t="str">
        <f aca="false">'Uso e Consumo'!E1600</f>
        <v>NIPLE DUPLO, CLASSE 10, DE FERRO FUNDIDO MALEÁVEL DN. 1½".</v>
      </c>
      <c r="G1600" s="34" t="str">
        <f aca="false">'Uso e Consumo'!J1600</f>
        <v>UN</v>
      </c>
      <c r="H1600" s="49" t="n">
        <f aca="false">'Uso e Consumo'!F1600</f>
        <v>7</v>
      </c>
      <c r="I1600" s="35" t="n">
        <f aca="false">'Uso e Consumo'!G1600</f>
        <v>314.44</v>
      </c>
      <c r="J1600" s="34" t="str">
        <f aca="false">'Uso e Consumo'!M1600</f>
        <v>3.8.1.018 - Instalações hidráulicas/sanitárias/industriais</v>
      </c>
      <c r="K1600" s="32" t="str">
        <f aca="false">INDEX('Curva ABC'!$K$8:$K$2847,MATCH(D1600,'Curva ABC'!$B$8:$B$2847,0))</f>
        <v>C</v>
      </c>
    </row>
    <row r="1601" customFormat="false" ht="15" hidden="false" customHeight="false" outlineLevel="0" collapsed="false">
      <c r="A1601" s="34" t="s">
        <v>5799</v>
      </c>
      <c r="B1601" s="34" t="str">
        <f aca="false">'Uso e Consumo'!A1601</f>
        <v>0335</v>
      </c>
      <c r="C1601" s="34" t="str">
        <f aca="false">'Uso e Consumo'!B1601</f>
        <v>UFV NORONHA VERDE - USO E CONSUMO</v>
      </c>
      <c r="D1601" s="33" t="n">
        <f aca="false">'Uso e Consumo'!C1601</f>
        <v>959727</v>
      </c>
      <c r="E1601" s="34" t="str">
        <f aca="false">'Uso e Consumo'!D1601</f>
        <v>33.02.2795</v>
      </c>
      <c r="F1601" s="34" t="str">
        <f aca="false">'Uso e Consumo'!E1601</f>
        <v>JUNTA DO CILINDRO 0,5 mm - 1135-029-2300</v>
      </c>
      <c r="G1601" s="34" t="str">
        <f aca="false">'Uso e Consumo'!J1601</f>
        <v>UN</v>
      </c>
      <c r="H1601" s="49" t="n">
        <f aca="false">'Uso e Consumo'!F1601</f>
        <v>8</v>
      </c>
      <c r="I1601" s="35" t="n">
        <f aca="false">'Uso e Consumo'!G1601</f>
        <v>314</v>
      </c>
      <c r="J1601" s="34" t="str">
        <f aca="false">'Uso e Consumo'!M1601</f>
        <v>3.1.6.002 - Pneus e peças</v>
      </c>
      <c r="K1601" s="32" t="str">
        <f aca="false">INDEX('Curva ABC'!$K$8:$K$2847,MATCH(D1601,'Curva ABC'!$B$8:$B$2847,0))</f>
        <v>C</v>
      </c>
    </row>
    <row r="1602" customFormat="false" ht="15" hidden="false" customHeight="false" outlineLevel="0" collapsed="false">
      <c r="A1602" s="34" t="s">
        <v>5799</v>
      </c>
      <c r="B1602" s="34" t="str">
        <f aca="false">'Uso e Consumo'!A1602</f>
        <v>0335</v>
      </c>
      <c r="C1602" s="34" t="str">
        <f aca="false">'Uso e Consumo'!B1602</f>
        <v>UFV NORONHA VERDE - USO E CONSUMO</v>
      </c>
      <c r="D1602" s="33" t="n">
        <f aca="false">'Uso e Consumo'!C1602</f>
        <v>136668</v>
      </c>
      <c r="E1602" s="34" t="str">
        <f aca="false">'Uso e Consumo'!D1602</f>
        <v>26.01.0022</v>
      </c>
      <c r="F1602" s="34" t="str">
        <f aca="false">'Uso e Consumo'!E1602</f>
        <v>MACACÃO TIPO JARDINEIRA TAM. GG C/ BOTA IMPERMEABILIZANTE Nº45</v>
      </c>
      <c r="G1602" s="34" t="str">
        <f aca="false">'Uso e Consumo'!J1602</f>
        <v>UN</v>
      </c>
      <c r="H1602" s="49" t="n">
        <f aca="false">'Uso e Consumo'!F1602</f>
        <v>2</v>
      </c>
      <c r="I1602" s="35" t="n">
        <f aca="false">'Uso e Consumo'!G1602</f>
        <v>312</v>
      </c>
      <c r="J1602" s="34" t="str">
        <f aca="false">'Uso e Consumo'!M1602</f>
        <v>4.3.4.001 - Equipamento de proteção individual</v>
      </c>
      <c r="K1602" s="32" t="str">
        <f aca="false">INDEX('Curva ABC'!$K$8:$K$2847,MATCH(D1602,'Curva ABC'!$B$8:$B$2847,0))</f>
        <v>C</v>
      </c>
    </row>
    <row r="1603" customFormat="false" ht="15" hidden="false" customHeight="false" outlineLevel="0" collapsed="false">
      <c r="A1603" s="34" t="s">
        <v>5799</v>
      </c>
      <c r="B1603" s="34" t="str">
        <f aca="false">'Uso e Consumo'!A1603</f>
        <v>0335</v>
      </c>
      <c r="C1603" s="34" t="str">
        <f aca="false">'Uso e Consumo'!B1603</f>
        <v>UFV NORONHA VERDE - USO E CONSUMO</v>
      </c>
      <c r="D1603" s="33" t="n">
        <f aca="false">'Uso e Consumo'!C1603</f>
        <v>1614920</v>
      </c>
      <c r="E1603" s="34" t="str">
        <f aca="false">'Uso e Consumo'!D1603</f>
        <v>17.08.0254</v>
      </c>
      <c r="F1603" s="34" t="str">
        <f aca="false">'Uso e Consumo'!E1603</f>
        <v>BARRAMENTO PENTE 63A 12 POLOS TRIFASICO DIN</v>
      </c>
      <c r="G1603" s="34" t="str">
        <f aca="false">'Uso e Consumo'!J1603</f>
        <v>UN</v>
      </c>
      <c r="H1603" s="49" t="n">
        <f aca="false">'Uso e Consumo'!F1603</f>
        <v>7</v>
      </c>
      <c r="I1603" s="35" t="n">
        <f aca="false">'Uso e Consumo'!G1603</f>
        <v>311.87</v>
      </c>
      <c r="J1603" s="34" t="str">
        <f aca="false">'Uso e Consumo'!M1603</f>
        <v>3.8.1.017 - Instalações elétricas/telefônicas/lógica</v>
      </c>
      <c r="K1603" s="32" t="str">
        <f aca="false">INDEX('Curva ABC'!$K$8:$K$2847,MATCH(D1603,'Curva ABC'!$B$8:$B$2847,0))</f>
        <v>C</v>
      </c>
    </row>
    <row r="1604" customFormat="false" ht="15" hidden="false" customHeight="false" outlineLevel="0" collapsed="false">
      <c r="A1604" s="34" t="s">
        <v>5799</v>
      </c>
      <c r="B1604" s="34" t="str">
        <f aca="false">'Uso e Consumo'!A1604</f>
        <v>0335</v>
      </c>
      <c r="C1604" s="34" t="str">
        <f aca="false">'Uso e Consumo'!B1604</f>
        <v>UFV NORONHA VERDE - USO E CONSUMO</v>
      </c>
      <c r="D1604" s="33" t="n">
        <f aca="false">'Uso e Consumo'!C1604</f>
        <v>1063858</v>
      </c>
      <c r="E1604" s="34" t="str">
        <f aca="false">'Uso e Consumo'!D1604</f>
        <v>26.02.0211</v>
      </c>
      <c r="F1604" s="34" t="str">
        <f aca="false">'Uso e Consumo'!E1604</f>
        <v>BOTA BOTINA NOBUCK MARLUVAS 50B26 PALM ANTIPERFURO COMPOSITE TAM 39</v>
      </c>
      <c r="G1604" s="34" t="str">
        <f aca="false">'Uso e Consumo'!J1604</f>
        <v>UN</v>
      </c>
      <c r="H1604" s="49" t="n">
        <f aca="false">'Uso e Consumo'!F1604</f>
        <v>2</v>
      </c>
      <c r="I1604" s="35" t="n">
        <f aca="false">'Uso e Consumo'!G1604</f>
        <v>311</v>
      </c>
      <c r="J1604" s="34" t="str">
        <f aca="false">'Uso e Consumo'!M1604</f>
        <v>4.3.4.001 - Equipamento de proteção individual</v>
      </c>
      <c r="K1604" s="32" t="str">
        <f aca="false">INDEX('Curva ABC'!$K$8:$K$2847,MATCH(D1604,'Curva ABC'!$B$8:$B$2847,0))</f>
        <v>C</v>
      </c>
    </row>
    <row r="1605" customFormat="false" ht="15" hidden="false" customHeight="false" outlineLevel="0" collapsed="false">
      <c r="A1605" s="34" t="s">
        <v>5799</v>
      </c>
      <c r="B1605" s="34" t="str">
        <f aca="false">'Uso e Consumo'!A1605</f>
        <v>0335</v>
      </c>
      <c r="C1605" s="34" t="str">
        <f aca="false">'Uso e Consumo'!B1605</f>
        <v>UFV NORONHA VERDE - USO E CONSUMO</v>
      </c>
      <c r="D1605" s="33" t="n">
        <f aca="false">'Uso e Consumo'!C1605</f>
        <v>19328</v>
      </c>
      <c r="E1605" s="34" t="str">
        <f aca="false">'Uso e Consumo'!D1605</f>
        <v>30.01.0048</v>
      </c>
      <c r="F1605" s="34" t="str">
        <f aca="false">'Uso e Consumo'!E1605</f>
        <v>CANETA ESFEROGRÁFICA PONTA FINA AZUL</v>
      </c>
      <c r="G1605" s="34" t="str">
        <f aca="false">'Uso e Consumo'!J1605</f>
        <v>UN</v>
      </c>
      <c r="H1605" s="49" t="n">
        <f aca="false">'Uso e Consumo'!F1605</f>
        <v>153</v>
      </c>
      <c r="I1605" s="35" t="n">
        <f aca="false">'Uso e Consumo'!G1605</f>
        <v>310.4328</v>
      </c>
      <c r="J1605" s="34" t="str">
        <f aca="false">'Uso e Consumo'!M1605</f>
        <v>4.1.1.002 - Material expediente</v>
      </c>
      <c r="K1605" s="32" t="str">
        <f aca="false">INDEX('Curva ABC'!$K$8:$K$2847,MATCH(D1605,'Curva ABC'!$B$8:$B$2847,0))</f>
        <v>C</v>
      </c>
    </row>
    <row r="1606" customFormat="false" ht="15" hidden="false" customHeight="false" outlineLevel="0" collapsed="false">
      <c r="A1606" s="34" t="s">
        <v>5799</v>
      </c>
      <c r="B1606" s="34" t="str">
        <f aca="false">'Uso e Consumo'!A1606</f>
        <v>0335</v>
      </c>
      <c r="C1606" s="34" t="str">
        <f aca="false">'Uso e Consumo'!B1606</f>
        <v>UFV NORONHA VERDE - USO E CONSUMO</v>
      </c>
      <c r="D1606" s="33" t="n">
        <f aca="false">'Uso e Consumo'!C1606</f>
        <v>56968</v>
      </c>
      <c r="E1606" s="34" t="str">
        <f aca="false">'Uso e Consumo'!D1606</f>
        <v>25.05.0096</v>
      </c>
      <c r="F1606" s="34" t="str">
        <f aca="false">'Uso e Consumo'!E1606</f>
        <v>SERRA COPO BIMETAL 51mm = 2"</v>
      </c>
      <c r="G1606" s="34" t="str">
        <f aca="false">'Uso e Consumo'!J1606</f>
        <v>UN</v>
      </c>
      <c r="H1606" s="49" t="n">
        <f aca="false">'Uso e Consumo'!F1606</f>
        <v>5</v>
      </c>
      <c r="I1606" s="35" t="n">
        <f aca="false">'Uso e Consumo'!G1606</f>
        <v>310</v>
      </c>
      <c r="J1606" s="34" t="str">
        <f aca="false">'Uso e Consumo'!M1606</f>
        <v>3.8.2.004 - Consumíveis para corte, perfuração e desbaste</v>
      </c>
      <c r="K1606" s="32" t="str">
        <f aca="false">INDEX('Curva ABC'!$K$8:$K$2847,MATCH(D1606,'Curva ABC'!$B$8:$B$2847,0))</f>
        <v>C</v>
      </c>
    </row>
    <row r="1607" customFormat="false" ht="15" hidden="false" customHeight="false" outlineLevel="0" collapsed="false">
      <c r="A1607" s="34" t="s">
        <v>5799</v>
      </c>
      <c r="B1607" s="34" t="str">
        <f aca="false">'Uso e Consumo'!A1607</f>
        <v>0335</v>
      </c>
      <c r="C1607" s="34" t="str">
        <f aca="false">'Uso e Consumo'!B1607</f>
        <v>UFV NORONHA VERDE - USO E CONSUMO</v>
      </c>
      <c r="D1607" s="33" t="n">
        <f aca="false">'Uso e Consumo'!C1607</f>
        <v>1258240</v>
      </c>
      <c r="E1607" s="34" t="str">
        <f aca="false">'Uso e Consumo'!D1607</f>
        <v>17.16.0628</v>
      </c>
      <c r="F1607" s="34" t="str">
        <f aca="false">'Uso e Consumo'!E1607</f>
        <v>TERMINAL COMPRESSÃO MACIÇO CURTO TCM 70,0MM</v>
      </c>
      <c r="G1607" s="34" t="str">
        <f aca="false">'Uso e Consumo'!J1607</f>
        <v>UN</v>
      </c>
      <c r="H1607" s="49" t="n">
        <f aca="false">'Uso e Consumo'!F1607</f>
        <v>15</v>
      </c>
      <c r="I1607" s="35" t="n">
        <f aca="false">'Uso e Consumo'!G1607</f>
        <v>309.75</v>
      </c>
      <c r="J1607" s="34" t="str">
        <f aca="false">'Uso e Consumo'!M1607</f>
        <v>3.8.1.017 - Instalações elétricas/telefônicas/lógica</v>
      </c>
      <c r="K1607" s="32" t="str">
        <f aca="false">INDEX('Curva ABC'!$K$8:$K$2847,MATCH(D1607,'Curva ABC'!$B$8:$B$2847,0))</f>
        <v>C</v>
      </c>
    </row>
    <row r="1608" customFormat="false" ht="15" hidden="false" customHeight="false" outlineLevel="0" collapsed="false">
      <c r="A1608" s="34" t="s">
        <v>5799</v>
      </c>
      <c r="B1608" s="34" t="str">
        <f aca="false">'Uso e Consumo'!A1608</f>
        <v>0335</v>
      </c>
      <c r="C1608" s="34" t="str">
        <f aca="false">'Uso e Consumo'!B1608</f>
        <v>UFV NORONHA VERDE - USO E CONSUMO</v>
      </c>
      <c r="D1608" s="33" t="n">
        <f aca="false">'Uso e Consumo'!C1608</f>
        <v>869641</v>
      </c>
      <c r="E1608" s="34" t="str">
        <f aca="false">'Uso e Consumo'!D1608</f>
        <v>26.12.0125</v>
      </c>
      <c r="F1608" s="34" t="str">
        <f aca="false">'Uso e Consumo'!E1608</f>
        <v>CADEADO LOTO BLOQUEIO 38MM HASTE CROMADA (VERMELHO)</v>
      </c>
      <c r="G1608" s="34" t="str">
        <f aca="false">'Uso e Consumo'!J1608</f>
        <v>UN</v>
      </c>
      <c r="H1608" s="49" t="n">
        <f aca="false">'Uso e Consumo'!F1608</f>
        <v>7</v>
      </c>
      <c r="I1608" s="35" t="n">
        <f aca="false">'Uso e Consumo'!G1608</f>
        <v>308.07</v>
      </c>
      <c r="J1608" s="34" t="str">
        <f aca="false">'Uso e Consumo'!M1608</f>
        <v>4.3.4.002 - Equipamento de proteção e sinalização coletiva</v>
      </c>
      <c r="K1608" s="32" t="str">
        <f aca="false">INDEX('Curva ABC'!$K$8:$K$2847,MATCH(D1608,'Curva ABC'!$B$8:$B$2847,0))</f>
        <v>C</v>
      </c>
    </row>
    <row r="1609" customFormat="false" ht="15" hidden="false" customHeight="false" outlineLevel="0" collapsed="false">
      <c r="A1609" s="34" t="s">
        <v>5799</v>
      </c>
      <c r="B1609" s="34" t="str">
        <f aca="false">'Uso e Consumo'!A1609</f>
        <v>0335</v>
      </c>
      <c r="C1609" s="34" t="str">
        <f aca="false">'Uso e Consumo'!B1609</f>
        <v>UFV NORONHA VERDE - USO E CONSUMO</v>
      </c>
      <c r="D1609" s="33" t="n">
        <f aca="false">'Uso e Consumo'!C1609</f>
        <v>876698</v>
      </c>
      <c r="E1609" s="34" t="str">
        <f aca="false">'Uso e Consumo'!D1609</f>
        <v>30.04.0249</v>
      </c>
      <c r="F1609" s="34" t="str">
        <f aca="false">'Uso e Consumo'!E1609</f>
        <v>GARRAFA DE CAFÉ</v>
      </c>
      <c r="G1609" s="34" t="str">
        <f aca="false">'Uso e Consumo'!J1609</f>
        <v>UN</v>
      </c>
      <c r="H1609" s="49" t="n">
        <f aca="false">'Uso e Consumo'!F1609</f>
        <v>4</v>
      </c>
      <c r="I1609" s="35" t="n">
        <f aca="false">'Uso e Consumo'!G1609</f>
        <v>306.4</v>
      </c>
      <c r="J1609" s="34" t="str">
        <f aca="false">'Uso e Consumo'!M1609</f>
        <v>4.1.1.001 - Material de uso e consumo</v>
      </c>
      <c r="K1609" s="32" t="str">
        <f aca="false">INDEX('Curva ABC'!$K$8:$K$2847,MATCH(D1609,'Curva ABC'!$B$8:$B$2847,0))</f>
        <v>C</v>
      </c>
    </row>
    <row r="1610" customFormat="false" ht="15" hidden="false" customHeight="false" outlineLevel="0" collapsed="false">
      <c r="A1610" s="34" t="s">
        <v>5799</v>
      </c>
      <c r="B1610" s="34" t="str">
        <f aca="false">'Uso e Consumo'!A1610</f>
        <v>0335</v>
      </c>
      <c r="C1610" s="34" t="str">
        <f aca="false">'Uso e Consumo'!B1610</f>
        <v>UFV NORONHA VERDE - USO E CONSUMO</v>
      </c>
      <c r="D1610" s="33" t="n">
        <f aca="false">'Uso e Consumo'!C1610</f>
        <v>23183</v>
      </c>
      <c r="E1610" s="34" t="str">
        <f aca="false">'Uso e Consumo'!D1610</f>
        <v>29.02.0060</v>
      </c>
      <c r="F1610" s="34" t="str">
        <f aca="false">'Uso e Consumo'!E1610</f>
        <v>GUARDA ROUPAS SOLTEIRO 3 PORTAS 2 GAVETAS</v>
      </c>
      <c r="G1610" s="34" t="str">
        <f aca="false">'Uso e Consumo'!J1610</f>
        <v>UN</v>
      </c>
      <c r="H1610" s="49" t="n">
        <f aca="false">'Uso e Consumo'!F1610</f>
        <v>1</v>
      </c>
      <c r="I1610" s="35" t="n">
        <f aca="false">'Uso e Consumo'!G1610</f>
        <v>306.06</v>
      </c>
      <c r="J1610" s="34" t="str">
        <f aca="false">'Uso e Consumo'!M1610</f>
        <v>4.1.1.008 - Mobiliário e acessórios</v>
      </c>
      <c r="K1610" s="32" t="str">
        <f aca="false">INDEX('Curva ABC'!$K$8:$K$2847,MATCH(D1610,'Curva ABC'!$B$8:$B$2847,0))</f>
        <v>C</v>
      </c>
    </row>
    <row r="1611" customFormat="false" ht="15" hidden="false" customHeight="false" outlineLevel="0" collapsed="false">
      <c r="A1611" s="34" t="s">
        <v>5799</v>
      </c>
      <c r="B1611" s="34" t="str">
        <f aca="false">'Uso e Consumo'!A1611</f>
        <v>0335</v>
      </c>
      <c r="C1611" s="34" t="str">
        <f aca="false">'Uso e Consumo'!B1611</f>
        <v>UFV NORONHA VERDE - USO E CONSUMO</v>
      </c>
      <c r="D1611" s="33" t="n">
        <f aca="false">'Uso e Consumo'!C1611</f>
        <v>946720</v>
      </c>
      <c r="E1611" s="34" t="str">
        <f aca="false">'Uso e Consumo'!D1611</f>
        <v>24.08.0120</v>
      </c>
      <c r="F1611" s="34" t="str">
        <f aca="false">'Uso e Consumo'!E1611</f>
        <v>TORQUESA PEQUENA</v>
      </c>
      <c r="G1611" s="34" t="str">
        <f aca="false">'Uso e Consumo'!J1611</f>
        <v>UN</v>
      </c>
      <c r="H1611" s="49" t="n">
        <f aca="false">'Uso e Consumo'!F1611</f>
        <v>10</v>
      </c>
      <c r="I1611" s="35" t="n">
        <f aca="false">'Uso e Consumo'!G1611</f>
        <v>305.6</v>
      </c>
      <c r="J1611" s="34" t="str">
        <f aca="false">'Uso e Consumo'!M1611</f>
        <v>3.8.2.002 - Ferramentas manuais</v>
      </c>
      <c r="K1611" s="32" t="str">
        <f aca="false">INDEX('Curva ABC'!$K$8:$K$2847,MATCH(D1611,'Curva ABC'!$B$8:$B$2847,0))</f>
        <v>C</v>
      </c>
    </row>
    <row r="1612" customFormat="false" ht="15" hidden="false" customHeight="false" outlineLevel="0" collapsed="false">
      <c r="A1612" s="34" t="s">
        <v>5799</v>
      </c>
      <c r="B1612" s="34" t="str">
        <f aca="false">'Uso e Consumo'!A1612</f>
        <v>0335</v>
      </c>
      <c r="C1612" s="34" t="str">
        <f aca="false">'Uso e Consumo'!B1612</f>
        <v>UFV NORONHA VERDE - USO E CONSUMO</v>
      </c>
      <c r="D1612" s="33" t="n">
        <f aca="false">'Uso e Consumo'!C1612</f>
        <v>945740</v>
      </c>
      <c r="E1612" s="34" t="str">
        <f aca="false">'Uso e Consumo'!D1612</f>
        <v>16.05.0188</v>
      </c>
      <c r="F1612" s="34" t="str">
        <f aca="false">'Uso e Consumo'!E1612</f>
        <v>GARFO P/ ROLO DE LÃ DE 23CM</v>
      </c>
      <c r="G1612" s="34" t="str">
        <f aca="false">'Uso e Consumo'!J1612</f>
        <v>UN</v>
      </c>
      <c r="H1612" s="49" t="n">
        <f aca="false">'Uso e Consumo'!F1612</f>
        <v>25</v>
      </c>
      <c r="I1612" s="35" t="n">
        <f aca="false">'Uso e Consumo'!G1612</f>
        <v>304.286</v>
      </c>
      <c r="J1612" s="34" t="str">
        <f aca="false">'Uso e Consumo'!M1612</f>
        <v>3.8.1.016 - Pinturas</v>
      </c>
      <c r="K1612" s="32" t="str">
        <f aca="false">INDEX('Curva ABC'!$K$8:$K$2847,MATCH(D1612,'Curva ABC'!$B$8:$B$2847,0))</f>
        <v>C</v>
      </c>
    </row>
    <row r="1613" customFormat="false" ht="15" hidden="false" customHeight="false" outlineLevel="0" collapsed="false">
      <c r="A1613" s="34" t="s">
        <v>5799</v>
      </c>
      <c r="B1613" s="34" t="str">
        <f aca="false">'Uso e Consumo'!A1613</f>
        <v>0335</v>
      </c>
      <c r="C1613" s="34" t="str">
        <f aca="false">'Uso e Consumo'!B1613</f>
        <v>UFV NORONHA VERDE - USO E CONSUMO</v>
      </c>
      <c r="D1613" s="33" t="n">
        <f aca="false">'Uso e Consumo'!C1613</f>
        <v>1656095</v>
      </c>
      <c r="E1613" s="34" t="str">
        <f aca="false">'Uso e Consumo'!D1613</f>
        <v>28.01.0746</v>
      </c>
      <c r="F1613" s="34" t="str">
        <f aca="false">'Uso e Consumo'!E1613</f>
        <v>PLACA SINALIZACAO SAIDA DE EMERGENCIA S1 EM PVC FOTOLUMINESCENTE 300 X 150 MM</v>
      </c>
      <c r="G1613" s="34" t="str">
        <f aca="false">'Uso e Consumo'!J1613</f>
        <v>UN</v>
      </c>
      <c r="H1613" s="49" t="n">
        <f aca="false">'Uso e Consumo'!F1613</f>
        <v>15</v>
      </c>
      <c r="I1613" s="35" t="n">
        <f aca="false">'Uso e Consumo'!G1613</f>
        <v>303.75</v>
      </c>
      <c r="J1613" s="34" t="str">
        <f aca="false">'Uso e Consumo'!M1613</f>
        <v>3.8.1.023 - Comunicação visual e sinalização</v>
      </c>
      <c r="K1613" s="32" t="str">
        <f aca="false">INDEX('Curva ABC'!$K$8:$K$2847,MATCH(D1613,'Curva ABC'!$B$8:$B$2847,0))</f>
        <v>C</v>
      </c>
    </row>
    <row r="1614" customFormat="false" ht="15" hidden="false" customHeight="false" outlineLevel="0" collapsed="false">
      <c r="A1614" s="34" t="s">
        <v>5799</v>
      </c>
      <c r="B1614" s="34" t="str">
        <f aca="false">'Uso e Consumo'!A1614</f>
        <v>0335</v>
      </c>
      <c r="C1614" s="34" t="str">
        <f aca="false">'Uso e Consumo'!B1614</f>
        <v>UFV NORONHA VERDE - USO E CONSUMO</v>
      </c>
      <c r="D1614" s="33" t="n">
        <f aca="false">'Uso e Consumo'!C1614</f>
        <v>1656096</v>
      </c>
      <c r="E1614" s="34" t="str">
        <f aca="false">'Uso e Consumo'!D1614</f>
        <v>28.01.0747</v>
      </c>
      <c r="F1614" s="34" t="str">
        <f aca="false">'Uso e Consumo'!E1614</f>
        <v>PLACA SINALIZACAO SAIDA DE EMERGENCIA S2 EM PVC FOTOLUMINESCENTE 300 X 150 MM</v>
      </c>
      <c r="G1614" s="34" t="str">
        <f aca="false">'Uso e Consumo'!J1614</f>
        <v>UN</v>
      </c>
      <c r="H1614" s="49" t="n">
        <f aca="false">'Uso e Consumo'!F1614</f>
        <v>15</v>
      </c>
      <c r="I1614" s="35" t="n">
        <f aca="false">'Uso e Consumo'!G1614</f>
        <v>303.75</v>
      </c>
      <c r="J1614" s="34" t="str">
        <f aca="false">'Uso e Consumo'!M1614</f>
        <v>3.8.1.023 - Comunicação visual e sinalização</v>
      </c>
      <c r="K1614" s="32" t="str">
        <f aca="false">INDEX('Curva ABC'!$K$8:$K$2847,MATCH(D1614,'Curva ABC'!$B$8:$B$2847,0))</f>
        <v>C</v>
      </c>
    </row>
    <row r="1615" customFormat="false" ht="15" hidden="false" customHeight="false" outlineLevel="0" collapsed="false">
      <c r="A1615" s="34" t="s">
        <v>5799</v>
      </c>
      <c r="B1615" s="34" t="str">
        <f aca="false">'Uso e Consumo'!A1615</f>
        <v>0335</v>
      </c>
      <c r="C1615" s="34" t="str">
        <f aca="false">'Uso e Consumo'!B1615</f>
        <v>UFV NORONHA VERDE - USO E CONSUMO</v>
      </c>
      <c r="D1615" s="33" t="n">
        <f aca="false">'Uso e Consumo'!C1615</f>
        <v>1656585</v>
      </c>
      <c r="E1615" s="34" t="str">
        <f aca="false">'Uso e Consumo'!D1615</f>
        <v>28.01.0750</v>
      </c>
      <c r="F1615" s="34" t="str">
        <f aca="false">'Uso e Consumo'!E1615</f>
        <v>PLACA DE ADVERTENCIA RISCO DE CHOQUE ELETRICO EM PVC FOTOLUMINESCENTE A5 200X150MM</v>
      </c>
      <c r="G1615" s="34" t="str">
        <f aca="false">'Uso e Consumo'!J1615</f>
        <v>UN</v>
      </c>
      <c r="H1615" s="49" t="n">
        <f aca="false">'Uso e Consumo'!F1615</f>
        <v>15</v>
      </c>
      <c r="I1615" s="35" t="n">
        <f aca="false">'Uso e Consumo'!G1615</f>
        <v>303.75</v>
      </c>
      <c r="J1615" s="34" t="str">
        <f aca="false">'Uso e Consumo'!M1615</f>
        <v>3.8.1.023 - Comunicação visual e sinalização</v>
      </c>
      <c r="K1615" s="32" t="str">
        <f aca="false">INDEX('Curva ABC'!$K$8:$K$2847,MATCH(D1615,'Curva ABC'!$B$8:$B$2847,0))</f>
        <v>C</v>
      </c>
    </row>
    <row r="1616" customFormat="false" ht="15" hidden="false" customHeight="false" outlineLevel="0" collapsed="false">
      <c r="A1616" s="34" t="s">
        <v>5799</v>
      </c>
      <c r="B1616" s="34" t="str">
        <f aca="false">'Uso e Consumo'!A1616</f>
        <v>0335</v>
      </c>
      <c r="C1616" s="34" t="str">
        <f aca="false">'Uso e Consumo'!B1616</f>
        <v>UFV NORONHA VERDE - USO E CONSUMO</v>
      </c>
      <c r="D1616" s="33" t="n">
        <f aca="false">'Uso e Consumo'!C1616</f>
        <v>884954</v>
      </c>
      <c r="E1616" s="34" t="str">
        <f aca="false">'Uso e Consumo'!D1616</f>
        <v>17.20.0599</v>
      </c>
      <c r="F1616" s="34" t="str">
        <f aca="false">'Uso e Consumo'!E1616</f>
        <v>CAIXA DE INSPEÇÃO EM PVC - 200X200MM</v>
      </c>
      <c r="G1616" s="34" t="str">
        <f aca="false">'Uso e Consumo'!J1616</f>
        <v>UND</v>
      </c>
      <c r="H1616" s="49" t="n">
        <f aca="false">'Uso e Consumo'!F1616</f>
        <v>21</v>
      </c>
      <c r="I1616" s="35" t="n">
        <f aca="false">'Uso e Consumo'!G1616</f>
        <v>302.98</v>
      </c>
      <c r="J1616" s="34" t="str">
        <f aca="false">'Uso e Consumo'!M1616</f>
        <v>3.8.1.017 - Instalações elétricas/telefônicas/lógica</v>
      </c>
      <c r="K1616" s="32" t="str">
        <f aca="false">INDEX('Curva ABC'!$K$8:$K$2847,MATCH(D1616,'Curva ABC'!$B$8:$B$2847,0))</f>
        <v>C</v>
      </c>
    </row>
    <row r="1617" customFormat="false" ht="15" hidden="false" customHeight="false" outlineLevel="0" collapsed="false">
      <c r="A1617" s="34" t="s">
        <v>5799</v>
      </c>
      <c r="B1617" s="34" t="str">
        <f aca="false">'Uso e Consumo'!A1617</f>
        <v>0335</v>
      </c>
      <c r="C1617" s="34" t="str">
        <f aca="false">'Uso e Consumo'!B1617</f>
        <v>UFV NORONHA VERDE - USO E CONSUMO</v>
      </c>
      <c r="D1617" s="33" t="n">
        <f aca="false">'Uso e Consumo'!C1617</f>
        <v>349007</v>
      </c>
      <c r="E1617" s="34" t="str">
        <f aca="false">'Uso e Consumo'!D1617</f>
        <v>24.09.0388</v>
      </c>
      <c r="F1617" s="34" t="str">
        <f aca="false">'Uso e Consumo'!E1617</f>
        <v>CHAVE COMBINADA DE 1”</v>
      </c>
      <c r="G1617" s="34" t="str">
        <f aca="false">'Uso e Consumo'!J1617</f>
        <v>UN</v>
      </c>
      <c r="H1617" s="49" t="n">
        <f aca="false">'Uso e Consumo'!F1617</f>
        <v>4</v>
      </c>
      <c r="I1617" s="35" t="n">
        <f aca="false">'Uso e Consumo'!G1617</f>
        <v>302.64</v>
      </c>
      <c r="J1617" s="34" t="str">
        <f aca="false">'Uso e Consumo'!M1617</f>
        <v>3.8.2.002 - Ferramentas manuais</v>
      </c>
      <c r="K1617" s="32" t="str">
        <f aca="false">INDEX('Curva ABC'!$K$8:$K$2847,MATCH(D1617,'Curva ABC'!$B$8:$B$2847,0))</f>
        <v>C</v>
      </c>
    </row>
    <row r="1618" customFormat="false" ht="15" hidden="false" customHeight="false" outlineLevel="0" collapsed="false">
      <c r="A1618" s="34" t="s">
        <v>5799</v>
      </c>
      <c r="B1618" s="34" t="str">
        <f aca="false">'Uso e Consumo'!A1618</f>
        <v>0335</v>
      </c>
      <c r="C1618" s="34" t="str">
        <f aca="false">'Uso e Consumo'!B1618</f>
        <v>UFV NORONHA VERDE - USO E CONSUMO</v>
      </c>
      <c r="D1618" s="33" t="n">
        <f aca="false">'Uso e Consumo'!C1618</f>
        <v>14208</v>
      </c>
      <c r="E1618" s="34" t="str">
        <f aca="false">'Uso e Consumo'!D1618</f>
        <v>17.12.0151</v>
      </c>
      <c r="F1618" s="34" t="str">
        <f aca="false">'Uso e Consumo'!E1618</f>
        <v>PLUGUE 2P + T PADRAO BRASILEIRO 10A 250V C/PRENSA CABO NBR 14136</v>
      </c>
      <c r="G1618" s="34" t="str">
        <f aca="false">'Uso e Consumo'!J1618</f>
        <v>UN</v>
      </c>
      <c r="H1618" s="49" t="n">
        <f aca="false">'Uso e Consumo'!F1618</f>
        <v>27</v>
      </c>
      <c r="I1618" s="35" t="n">
        <f aca="false">'Uso e Consumo'!G1618</f>
        <v>302.52</v>
      </c>
      <c r="J1618" s="34" t="str">
        <f aca="false">'Uso e Consumo'!M1618</f>
        <v>3.8.1.017 - Instalações elétricas/telefônicas/lógica</v>
      </c>
      <c r="K1618" s="32" t="str">
        <f aca="false">INDEX('Curva ABC'!$K$8:$K$2847,MATCH(D1618,'Curva ABC'!$B$8:$B$2847,0))</f>
        <v>C</v>
      </c>
    </row>
    <row r="1619" customFormat="false" ht="15" hidden="false" customHeight="false" outlineLevel="0" collapsed="false">
      <c r="A1619" s="34" t="s">
        <v>5799</v>
      </c>
      <c r="B1619" s="34" t="str">
        <f aca="false">'Uso e Consumo'!A1619</f>
        <v>0335</v>
      </c>
      <c r="C1619" s="34" t="str">
        <f aca="false">'Uso e Consumo'!B1619</f>
        <v>UFV NORONHA VERDE - USO E CONSUMO</v>
      </c>
      <c r="D1619" s="33" t="n">
        <f aca="false">'Uso e Consumo'!C1619</f>
        <v>833727</v>
      </c>
      <c r="E1619" s="34" t="str">
        <f aca="false">'Uso e Consumo'!D1619</f>
        <v>27.01.0398</v>
      </c>
      <c r="F1619" s="34" t="str">
        <f aca="false">'Uso e Consumo'!E1619</f>
        <v>SABONETE ANTISSEPTICO COM PHMB</v>
      </c>
      <c r="G1619" s="34" t="str">
        <f aca="false">'Uso e Consumo'!J1619</f>
        <v>UN</v>
      </c>
      <c r="H1619" s="49" t="n">
        <f aca="false">'Uso e Consumo'!F1619</f>
        <v>4</v>
      </c>
      <c r="I1619" s="35" t="n">
        <f aca="false">'Uso e Consumo'!G1619</f>
        <v>302.4</v>
      </c>
      <c r="J1619" s="34" t="str">
        <f aca="false">'Uso e Consumo'!M1619</f>
        <v>4.3.4.006 - Medicamentos e primeiro socorros</v>
      </c>
      <c r="K1619" s="32" t="str">
        <f aca="false">INDEX('Curva ABC'!$K$8:$K$2847,MATCH(D1619,'Curva ABC'!$B$8:$B$2847,0))</f>
        <v>C</v>
      </c>
    </row>
    <row r="1620" customFormat="false" ht="15" hidden="false" customHeight="false" outlineLevel="0" collapsed="false">
      <c r="A1620" s="34" t="s">
        <v>5799</v>
      </c>
      <c r="B1620" s="34" t="str">
        <f aca="false">'Uso e Consumo'!A1620</f>
        <v>0335</v>
      </c>
      <c r="C1620" s="34" t="str">
        <f aca="false">'Uso e Consumo'!B1620</f>
        <v>UFV NORONHA VERDE - USO E CONSUMO</v>
      </c>
      <c r="D1620" s="33" t="n">
        <f aca="false">'Uso e Consumo'!C1620</f>
        <v>57873</v>
      </c>
      <c r="E1620" s="34" t="str">
        <f aca="false">'Uso e Consumo'!D1620</f>
        <v>27.01.0123</v>
      </c>
      <c r="F1620" s="34" t="str">
        <f aca="false">'Uso e Consumo'!E1620</f>
        <v>ÁLCOOL ETÍLICO HIDRATADO 70º INPM 1000ML</v>
      </c>
      <c r="G1620" s="34" t="str">
        <f aca="false">'Uso e Consumo'!J1620</f>
        <v>UN</v>
      </c>
      <c r="H1620" s="49" t="n">
        <f aca="false">'Uso e Consumo'!F1620</f>
        <v>32</v>
      </c>
      <c r="I1620" s="35" t="n">
        <f aca="false">'Uso e Consumo'!G1620</f>
        <v>302</v>
      </c>
      <c r="J1620" s="34" t="str">
        <f aca="false">'Uso e Consumo'!M1620</f>
        <v>4.3.4.006 - Medicamentos e primeiro socorros</v>
      </c>
      <c r="K1620" s="32" t="str">
        <f aca="false">INDEX('Curva ABC'!$K$8:$K$2847,MATCH(D1620,'Curva ABC'!$B$8:$B$2847,0))</f>
        <v>C</v>
      </c>
    </row>
    <row r="1621" customFormat="false" ht="15" hidden="false" customHeight="false" outlineLevel="0" collapsed="false">
      <c r="A1621" s="34" t="s">
        <v>5799</v>
      </c>
      <c r="B1621" s="34" t="str">
        <f aca="false">'Uso e Consumo'!A1621</f>
        <v>0335</v>
      </c>
      <c r="C1621" s="34" t="str">
        <f aca="false">'Uso e Consumo'!B1621</f>
        <v>UFV NORONHA VERDE - USO E CONSUMO</v>
      </c>
      <c r="D1621" s="33" t="n">
        <f aca="false">'Uso e Consumo'!C1621</f>
        <v>144566</v>
      </c>
      <c r="E1621" s="34" t="str">
        <f aca="false">'Uso e Consumo'!D1621</f>
        <v>30.03.0262</v>
      </c>
      <c r="F1621" s="34" t="str">
        <f aca="false">'Uso e Consumo'!E1621</f>
        <v>PASTA PINHO 1, 0 LITRO </v>
      </c>
      <c r="G1621" s="34" t="str">
        <f aca="false">'Uso e Consumo'!J1621</f>
        <v>UN</v>
      </c>
      <c r="H1621" s="49" t="n">
        <f aca="false">'Uso e Consumo'!F1621</f>
        <v>30</v>
      </c>
      <c r="I1621" s="35" t="n">
        <f aca="false">'Uso e Consumo'!G1621</f>
        <v>300</v>
      </c>
      <c r="J1621" s="34" t="str">
        <f aca="false">'Uso e Consumo'!M1621</f>
        <v>4.1.1.003 - Material limpeza</v>
      </c>
      <c r="K1621" s="32" t="str">
        <f aca="false">INDEX('Curva ABC'!$K$8:$K$2847,MATCH(D1621,'Curva ABC'!$B$8:$B$2847,0))</f>
        <v>C</v>
      </c>
    </row>
    <row r="1622" customFormat="false" ht="15" hidden="false" customHeight="false" outlineLevel="0" collapsed="false">
      <c r="A1622" s="34" t="s">
        <v>5799</v>
      </c>
      <c r="B1622" s="34" t="str">
        <f aca="false">'Uso e Consumo'!A1622</f>
        <v>0335</v>
      </c>
      <c r="C1622" s="34" t="str">
        <f aca="false">'Uso e Consumo'!B1622</f>
        <v>UFV NORONHA VERDE - USO E CONSUMO</v>
      </c>
      <c r="D1622" s="33" t="n">
        <f aca="false">'Uso e Consumo'!C1622</f>
        <v>390194</v>
      </c>
      <c r="E1622" s="34" t="str">
        <f aca="false">'Uso e Consumo'!D1622</f>
        <v>33.03.0124</v>
      </c>
      <c r="F1622" s="34" t="str">
        <f aca="false">'Uso e Consumo'!E1622</f>
        <v>REFIL CONSERTO DE PNEUS SEM CÂMARA</v>
      </c>
      <c r="G1622" s="34" t="str">
        <f aca="false">'Uso e Consumo'!J1622</f>
        <v>UN</v>
      </c>
      <c r="H1622" s="49" t="n">
        <f aca="false">'Uso e Consumo'!F1622</f>
        <v>2</v>
      </c>
      <c r="I1622" s="35" t="n">
        <f aca="false">'Uso e Consumo'!G1622</f>
        <v>300</v>
      </c>
      <c r="J1622" s="34" t="str">
        <f aca="false">'Uso e Consumo'!M1622</f>
        <v>3.1.6.002 - Pneus e peças</v>
      </c>
      <c r="K1622" s="32" t="str">
        <f aca="false">INDEX('Curva ABC'!$K$8:$K$2847,MATCH(D1622,'Curva ABC'!$B$8:$B$2847,0))</f>
        <v>C</v>
      </c>
    </row>
    <row r="1623" customFormat="false" ht="15" hidden="false" customHeight="false" outlineLevel="0" collapsed="false">
      <c r="A1623" s="34" t="s">
        <v>5799</v>
      </c>
      <c r="B1623" s="34" t="str">
        <f aca="false">'Uso e Consumo'!A1623</f>
        <v>0335</v>
      </c>
      <c r="C1623" s="34" t="str">
        <f aca="false">'Uso e Consumo'!B1623</f>
        <v>UFV NORONHA VERDE - USO E CONSUMO</v>
      </c>
      <c r="D1623" s="33" t="n">
        <f aca="false">'Uso e Consumo'!C1623</f>
        <v>734024</v>
      </c>
      <c r="E1623" s="34" t="str">
        <f aca="false">'Uso e Consumo'!D1623</f>
        <v>24.20.0014</v>
      </c>
      <c r="F1623" s="34" t="str">
        <f aca="false">'Uso e Consumo'!E1623</f>
        <v>RÉGUA DE ALUMÍNIO - 2M</v>
      </c>
      <c r="G1623" s="34" t="str">
        <f aca="false">'Uso e Consumo'!J1623</f>
        <v>UN</v>
      </c>
      <c r="H1623" s="49" t="n">
        <f aca="false">'Uso e Consumo'!F1623</f>
        <v>4</v>
      </c>
      <c r="I1623" s="35" t="n">
        <f aca="false">'Uso e Consumo'!G1623</f>
        <v>300</v>
      </c>
      <c r="J1623" s="34" t="str">
        <f aca="false">'Uso e Consumo'!M1623</f>
        <v>3.8.2.002 - Ferramentas manuais</v>
      </c>
      <c r="K1623" s="32" t="str">
        <f aca="false">INDEX('Curva ABC'!$K$8:$K$2847,MATCH(D1623,'Curva ABC'!$B$8:$B$2847,0))</f>
        <v>C</v>
      </c>
    </row>
    <row r="1624" customFormat="false" ht="15" hidden="false" customHeight="false" outlineLevel="0" collapsed="false">
      <c r="A1624" s="34" t="s">
        <v>5799</v>
      </c>
      <c r="B1624" s="34" t="str">
        <f aca="false">'Uso e Consumo'!A1624</f>
        <v>0335</v>
      </c>
      <c r="C1624" s="34" t="str">
        <f aca="false">'Uso e Consumo'!B1624</f>
        <v>UFV NORONHA VERDE - USO E CONSUMO</v>
      </c>
      <c r="D1624" s="33" t="n">
        <f aca="false">'Uso e Consumo'!C1624</f>
        <v>1009352</v>
      </c>
      <c r="E1624" s="34" t="str">
        <f aca="false">'Uso e Consumo'!D1624</f>
        <v>31.02.0173</v>
      </c>
      <c r="F1624" s="34" t="str">
        <f aca="false">'Uso e Consumo'!E1624</f>
        <v>FLUIDO FREIO DOT4 LV BAIXO VISCO 500ML</v>
      </c>
      <c r="G1624" s="34" t="str">
        <f aca="false">'Uso e Consumo'!J1624</f>
        <v>UN</v>
      </c>
      <c r="H1624" s="49" t="n">
        <f aca="false">'Uso e Consumo'!F1624</f>
        <v>6</v>
      </c>
      <c r="I1624" s="35" t="n">
        <f aca="false">'Uso e Consumo'!G1624</f>
        <v>299.85</v>
      </c>
      <c r="J1624" s="34" t="str">
        <f aca="false">'Uso e Consumo'!M1624</f>
        <v>3.1.6.001 - Combustível e lubrificantes</v>
      </c>
      <c r="K1624" s="32" t="str">
        <f aca="false">INDEX('Curva ABC'!$K$8:$K$2847,MATCH(D1624,'Curva ABC'!$B$8:$B$2847,0))</f>
        <v>C</v>
      </c>
    </row>
    <row r="1625" customFormat="false" ht="15" hidden="false" customHeight="false" outlineLevel="0" collapsed="false">
      <c r="A1625" s="34" t="s">
        <v>5799</v>
      </c>
      <c r="B1625" s="34" t="str">
        <f aca="false">'Uso e Consumo'!A1625</f>
        <v>0335</v>
      </c>
      <c r="C1625" s="34" t="str">
        <f aca="false">'Uso e Consumo'!B1625</f>
        <v>UFV NORONHA VERDE - USO E CONSUMO</v>
      </c>
      <c r="D1625" s="33" t="n">
        <f aca="false">'Uso e Consumo'!C1625</f>
        <v>60803</v>
      </c>
      <c r="E1625" s="34" t="str">
        <f aca="false">'Uso e Consumo'!D1625</f>
        <v>19.01.0024</v>
      </c>
      <c r="F1625" s="34" t="str">
        <f aca="false">'Uso e Consumo'!E1625</f>
        <v>CABO DE AÇO DUAL FLUX </v>
      </c>
      <c r="G1625" s="34" t="str">
        <f aca="false">'Uso e Consumo'!J1625</f>
        <v>UN</v>
      </c>
      <c r="H1625" s="49" t="n">
        <f aca="false">'Uso e Consumo'!F1625</f>
        <v>20</v>
      </c>
      <c r="I1625" s="35" t="n">
        <f aca="false">'Uso e Consumo'!G1625</f>
        <v>299.6</v>
      </c>
      <c r="J1625" s="34" t="str">
        <f aca="false">'Uso e Consumo'!M1625</f>
        <v>3.8.1.018 - Instalações hidráulicas/sanitárias/industriais</v>
      </c>
      <c r="K1625" s="32" t="str">
        <f aca="false">INDEX('Curva ABC'!$K$8:$K$2847,MATCH(D1625,'Curva ABC'!$B$8:$B$2847,0))</f>
        <v>C</v>
      </c>
    </row>
    <row r="1626" customFormat="false" ht="15" hidden="false" customHeight="false" outlineLevel="0" collapsed="false">
      <c r="A1626" s="34" t="s">
        <v>5799</v>
      </c>
      <c r="B1626" s="34" t="str">
        <f aca="false">'Uso e Consumo'!A1626</f>
        <v>0335</v>
      </c>
      <c r="C1626" s="34" t="str">
        <f aca="false">'Uso e Consumo'!B1626</f>
        <v>UFV NORONHA VERDE - USO E CONSUMO</v>
      </c>
      <c r="D1626" s="33" t="n">
        <f aca="false">'Uso e Consumo'!C1626</f>
        <v>24256</v>
      </c>
      <c r="E1626" s="34" t="str">
        <f aca="false">'Uso e Consumo'!D1626</f>
        <v>29.03.0074</v>
      </c>
      <c r="F1626" s="34" t="str">
        <f aca="false">'Uso e Consumo'!E1626</f>
        <v>SANDUICHEIRA 220V</v>
      </c>
      <c r="G1626" s="34" t="str">
        <f aca="false">'Uso e Consumo'!J1626</f>
        <v>UN</v>
      </c>
      <c r="H1626" s="49" t="n">
        <f aca="false">'Uso e Consumo'!F1626</f>
        <v>4</v>
      </c>
      <c r="I1626" s="35" t="n">
        <f aca="false">'Uso e Consumo'!G1626</f>
        <v>299.13</v>
      </c>
      <c r="J1626" s="34" t="str">
        <f aca="false">'Uso e Consumo'!M1626</f>
        <v>4.1.1.009 - Eletro eletrônico e acessórios</v>
      </c>
      <c r="K1626" s="32" t="str">
        <f aca="false">INDEX('Curva ABC'!$K$8:$K$2847,MATCH(D1626,'Curva ABC'!$B$8:$B$2847,0))</f>
        <v>C</v>
      </c>
    </row>
    <row r="1627" customFormat="false" ht="15" hidden="false" customHeight="false" outlineLevel="0" collapsed="false">
      <c r="A1627" s="34" t="s">
        <v>5799</v>
      </c>
      <c r="B1627" s="34" t="str">
        <f aca="false">'Uso e Consumo'!A1627</f>
        <v>0335</v>
      </c>
      <c r="C1627" s="34" t="str">
        <f aca="false">'Uso e Consumo'!B1627</f>
        <v>UFV NORONHA VERDE - USO E CONSUMO</v>
      </c>
      <c r="D1627" s="33" t="n">
        <f aca="false">'Uso e Consumo'!C1627</f>
        <v>57515</v>
      </c>
      <c r="E1627" s="34" t="str">
        <f aca="false">'Uso e Consumo'!D1627</f>
        <v>23.06.0152</v>
      </c>
      <c r="F1627" s="34" t="str">
        <f aca="false">'Uso e Consumo'!E1627</f>
        <v>PORCA LOSANGULAR C/ PINO 1/4"</v>
      </c>
      <c r="G1627" s="34" t="str">
        <f aca="false">'Uso e Consumo'!J1627</f>
        <v>UN</v>
      </c>
      <c r="H1627" s="49" t="n">
        <f aca="false">'Uso e Consumo'!F1627</f>
        <v>78</v>
      </c>
      <c r="I1627" s="35" t="n">
        <f aca="false">'Uso e Consumo'!G1627</f>
        <v>298.66</v>
      </c>
      <c r="J1627" s="34" t="str">
        <f aca="false">'Uso e Consumo'!M1627</f>
        <v>3.8.1.022 - Elementos de fixação</v>
      </c>
      <c r="K1627" s="32" t="str">
        <f aca="false">INDEX('Curva ABC'!$K$8:$K$2847,MATCH(D1627,'Curva ABC'!$B$8:$B$2847,0))</f>
        <v>C</v>
      </c>
    </row>
    <row r="1628" customFormat="false" ht="15" hidden="false" customHeight="false" outlineLevel="0" collapsed="false">
      <c r="A1628" s="34" t="s">
        <v>5799</v>
      </c>
      <c r="B1628" s="34" t="str">
        <f aca="false">'Uso e Consumo'!A1628</f>
        <v>0335</v>
      </c>
      <c r="C1628" s="34" t="str">
        <f aca="false">'Uso e Consumo'!B1628</f>
        <v>UFV NORONHA VERDE - USO E CONSUMO</v>
      </c>
      <c r="D1628" s="33" t="n">
        <f aca="false">'Uso e Consumo'!C1628</f>
        <v>21341</v>
      </c>
      <c r="E1628" s="34" t="str">
        <f aca="false">'Uso e Consumo'!D1628</f>
        <v>24.23.0004</v>
      </c>
      <c r="F1628" s="34" t="str">
        <f aca="false">'Uso e Consumo'!E1628</f>
        <v>BOMBA MANUAL DE AR PARA ENCHER PNEUS 45 CM</v>
      </c>
      <c r="G1628" s="34" t="str">
        <f aca="false">'Uso e Consumo'!J1628</f>
        <v>UN</v>
      </c>
      <c r="H1628" s="49" t="n">
        <f aca="false">'Uso e Consumo'!F1628</f>
        <v>1</v>
      </c>
      <c r="I1628" s="35" t="n">
        <f aca="false">'Uso e Consumo'!G1628</f>
        <v>298</v>
      </c>
      <c r="J1628" s="34" t="str">
        <f aca="false">'Uso e Consumo'!M1628</f>
        <v>3.8.2.002 - Ferramentas manuais</v>
      </c>
      <c r="K1628" s="32" t="str">
        <f aca="false">INDEX('Curva ABC'!$K$8:$K$2847,MATCH(D1628,'Curva ABC'!$B$8:$B$2847,0))</f>
        <v>C</v>
      </c>
    </row>
    <row r="1629" customFormat="false" ht="15" hidden="false" customHeight="false" outlineLevel="0" collapsed="false">
      <c r="A1629" s="34" t="s">
        <v>5799</v>
      </c>
      <c r="B1629" s="34" t="str">
        <f aca="false">'Uso e Consumo'!A1629</f>
        <v>0335</v>
      </c>
      <c r="C1629" s="34" t="str">
        <f aca="false">'Uso e Consumo'!B1629</f>
        <v>UFV NORONHA VERDE - USO E CONSUMO</v>
      </c>
      <c r="D1629" s="33" t="n">
        <f aca="false">'Uso e Consumo'!C1629</f>
        <v>32840</v>
      </c>
      <c r="E1629" s="34" t="str">
        <f aca="false">'Uso e Consumo'!D1629</f>
        <v>32.07.0035</v>
      </c>
      <c r="F1629" s="34" t="str">
        <f aca="false">'Uso e Consumo'!E1629</f>
        <v>MAÇARICO DE CORTE 470MM</v>
      </c>
      <c r="G1629" s="34" t="str">
        <f aca="false">'Uso e Consumo'!J1629</f>
        <v>UN</v>
      </c>
      <c r="H1629" s="49" t="n">
        <f aca="false">'Uso e Consumo'!F1629</f>
        <v>1</v>
      </c>
      <c r="I1629" s="35" t="n">
        <f aca="false">'Uso e Consumo'!G1629</f>
        <v>298</v>
      </c>
      <c r="J1629" s="34" t="str">
        <f aca="false">'Uso e Consumo'!M1629</f>
        <v>6.1.2.001 - Equipamentos</v>
      </c>
      <c r="K1629" s="32" t="str">
        <f aca="false">INDEX('Curva ABC'!$K$8:$K$2847,MATCH(D1629,'Curva ABC'!$B$8:$B$2847,0))</f>
        <v>C</v>
      </c>
    </row>
    <row r="1630" customFormat="false" ht="15" hidden="false" customHeight="false" outlineLevel="0" collapsed="false">
      <c r="A1630" s="34" t="s">
        <v>5799</v>
      </c>
      <c r="B1630" s="34" t="str">
        <f aca="false">'Uso e Consumo'!A1630</f>
        <v>0335</v>
      </c>
      <c r="C1630" s="34" t="str">
        <f aca="false">'Uso e Consumo'!B1630</f>
        <v>UFV NORONHA VERDE - USO E CONSUMO</v>
      </c>
      <c r="D1630" s="33" t="n">
        <f aca="false">'Uso e Consumo'!C1630</f>
        <v>1062573</v>
      </c>
      <c r="E1630" s="34" t="str">
        <f aca="false">'Uso e Consumo'!D1630</f>
        <v>13.04.0012</v>
      </c>
      <c r="F1630" s="34" t="str">
        <f aca="false">'Uso e Consumo'!E1630</f>
        <v>PORTA SANFONADA BRANCO NEVE 70CM POLIFORT</v>
      </c>
      <c r="G1630" s="34" t="str">
        <f aca="false">'Uso e Consumo'!J1630</f>
        <v>UN</v>
      </c>
      <c r="H1630" s="49" t="n">
        <f aca="false">'Uso e Consumo'!F1630</f>
        <v>1</v>
      </c>
      <c r="I1630" s="35" t="n">
        <f aca="false">'Uso e Consumo'!G1630</f>
        <v>298</v>
      </c>
      <c r="J1630" s="34" t="str">
        <f aca="false">'Uso e Consumo'!M1630</f>
        <v>3.8.1.013 - Esquadrias e vidros</v>
      </c>
      <c r="K1630" s="32" t="str">
        <f aca="false">INDEX('Curva ABC'!$K$8:$K$2847,MATCH(D1630,'Curva ABC'!$B$8:$B$2847,0))</f>
        <v>C</v>
      </c>
    </row>
    <row r="1631" customFormat="false" ht="15" hidden="false" customHeight="false" outlineLevel="0" collapsed="false">
      <c r="A1631" s="34" t="s">
        <v>5799</v>
      </c>
      <c r="B1631" s="34" t="str">
        <f aca="false">'Uso e Consumo'!A1631</f>
        <v>0335</v>
      </c>
      <c r="C1631" s="34" t="str">
        <f aca="false">'Uso e Consumo'!B1631</f>
        <v>UFV NORONHA VERDE - USO E CONSUMO</v>
      </c>
      <c r="D1631" s="33" t="n">
        <f aca="false">'Uso e Consumo'!C1631</f>
        <v>1599872</v>
      </c>
      <c r="E1631" s="34" t="str">
        <f aca="false">'Uso e Consumo'!D1631</f>
        <v>26.02.0237</v>
      </c>
      <c r="F1631" s="34" t="str">
        <f aca="false">'Uso e Consumo'!E1631</f>
        <v>BOTA IMPERMEÁVEL DE PVC CANO CURTO - COR PRETA - Nº 35 (CA-37456)</v>
      </c>
      <c r="G1631" s="34" t="str">
        <f aca="false">'Uso e Consumo'!J1631</f>
        <v>UN</v>
      </c>
      <c r="H1631" s="49" t="n">
        <f aca="false">'Uso e Consumo'!F1631</f>
        <v>1</v>
      </c>
      <c r="I1631" s="35" t="n">
        <f aca="false">'Uso e Consumo'!G1631</f>
        <v>298</v>
      </c>
      <c r="J1631" s="34" t="str">
        <f aca="false">'Uso e Consumo'!M1631</f>
        <v>4.3.4.001 - Equipamento de proteção individual</v>
      </c>
      <c r="K1631" s="32" t="str">
        <f aca="false">INDEX('Curva ABC'!$K$8:$K$2847,MATCH(D1631,'Curva ABC'!$B$8:$B$2847,0))</f>
        <v>C</v>
      </c>
    </row>
    <row r="1632" customFormat="false" ht="15" hidden="false" customHeight="false" outlineLevel="0" collapsed="false">
      <c r="A1632" s="34" t="s">
        <v>5799</v>
      </c>
      <c r="B1632" s="34" t="str">
        <f aca="false">'Uso e Consumo'!A1632</f>
        <v>0335</v>
      </c>
      <c r="C1632" s="34" t="str">
        <f aca="false">'Uso e Consumo'!B1632</f>
        <v>UFV NORONHA VERDE - USO E CONSUMO</v>
      </c>
      <c r="D1632" s="33" t="n">
        <f aca="false">'Uso e Consumo'!C1632</f>
        <v>1659747</v>
      </c>
      <c r="E1632" s="34" t="str">
        <f aca="false">'Uso e Consumo'!D1632</f>
        <v>23.05.0312</v>
      </c>
      <c r="F1632" s="34" t="str">
        <f aca="false">'Uso e Consumo'!E1632</f>
        <v>ARRUELA LISA EM ACO GALVANIZADO A FOGO M12</v>
      </c>
      <c r="G1632" s="34" t="str">
        <f aca="false">'Uso e Consumo'!J1632</f>
        <v>UN</v>
      </c>
      <c r="H1632" s="49" t="n">
        <f aca="false">'Uso e Consumo'!F1632</f>
        <v>59</v>
      </c>
      <c r="I1632" s="35" t="n">
        <f aca="false">'Uso e Consumo'!G1632</f>
        <v>298</v>
      </c>
      <c r="J1632" s="34" t="str">
        <f aca="false">'Uso e Consumo'!M1632</f>
        <v>3.8.1.022 - Elementos de fixação</v>
      </c>
      <c r="K1632" s="32" t="str">
        <f aca="false">INDEX('Curva ABC'!$K$8:$K$2847,MATCH(D1632,'Curva ABC'!$B$8:$B$2847,0))</f>
        <v>C</v>
      </c>
    </row>
    <row r="1633" customFormat="false" ht="15" hidden="false" customHeight="false" outlineLevel="0" collapsed="false">
      <c r="A1633" s="34" t="s">
        <v>5799</v>
      </c>
      <c r="B1633" s="34" t="str">
        <f aca="false">'Uso e Consumo'!A1633</f>
        <v>0335</v>
      </c>
      <c r="C1633" s="34" t="str">
        <f aca="false">'Uso e Consumo'!B1633</f>
        <v>UFV NORONHA VERDE - USO E CONSUMO</v>
      </c>
      <c r="D1633" s="33" t="n">
        <f aca="false">'Uso e Consumo'!C1633</f>
        <v>17931</v>
      </c>
      <c r="E1633" s="34" t="str">
        <f aca="false">'Uso e Consumo'!D1633</f>
        <v>24.09.0025</v>
      </c>
      <c r="F1633" s="34" t="str">
        <f aca="false">'Uso e Consumo'!E1633</f>
        <v>CHAVE COMBINADA 11,00MM AÇO CARBONO CROMADO</v>
      </c>
      <c r="G1633" s="34" t="str">
        <f aca="false">'Uso e Consumo'!J1633</f>
        <v>UN</v>
      </c>
      <c r="H1633" s="49" t="n">
        <f aca="false">'Uso e Consumo'!F1633</f>
        <v>6</v>
      </c>
      <c r="I1633" s="35" t="n">
        <f aca="false">'Uso e Consumo'!G1633</f>
        <v>297.66</v>
      </c>
      <c r="J1633" s="34" t="str">
        <f aca="false">'Uso e Consumo'!M1633</f>
        <v>3.8.2.002 - Ferramentas manuais</v>
      </c>
      <c r="K1633" s="32" t="str">
        <f aca="false">INDEX('Curva ABC'!$K$8:$K$2847,MATCH(D1633,'Curva ABC'!$B$8:$B$2847,0))</f>
        <v>C</v>
      </c>
    </row>
    <row r="1634" customFormat="false" ht="15" hidden="false" customHeight="false" outlineLevel="0" collapsed="false">
      <c r="A1634" s="34" t="s">
        <v>5799</v>
      </c>
      <c r="B1634" s="34" t="str">
        <f aca="false">'Uso e Consumo'!A1634</f>
        <v>0335</v>
      </c>
      <c r="C1634" s="34" t="str">
        <f aca="false">'Uso e Consumo'!B1634</f>
        <v>UFV NORONHA VERDE - USO E CONSUMO</v>
      </c>
      <c r="D1634" s="33" t="n">
        <f aca="false">'Uso e Consumo'!C1634</f>
        <v>1616859</v>
      </c>
      <c r="E1634" s="34" t="str">
        <f aca="false">'Uso e Consumo'!D1634</f>
        <v>17.19.0083</v>
      </c>
      <c r="F1634" s="34" t="str">
        <f aca="false">'Uso e Consumo'!E1634</f>
        <v>TERMO RETRATIL BITOLA 300 (AZUL)</v>
      </c>
      <c r="G1634" s="34" t="str">
        <f aca="false">'Uso e Consumo'!J1634</f>
        <v>UN</v>
      </c>
      <c r="H1634" s="49" t="n">
        <f aca="false">'Uso e Consumo'!F1634</f>
        <v>18</v>
      </c>
      <c r="I1634" s="35" t="n">
        <f aca="false">'Uso e Consumo'!G1634</f>
        <v>296.82</v>
      </c>
      <c r="J1634" s="34" t="str">
        <f aca="false">'Uso e Consumo'!M1634</f>
        <v>3.8.1.017 - Instalações elétricas/telefônicas/lógica</v>
      </c>
      <c r="K1634" s="32" t="str">
        <f aca="false">INDEX('Curva ABC'!$K$8:$K$2847,MATCH(D1634,'Curva ABC'!$B$8:$B$2847,0))</f>
        <v>C</v>
      </c>
    </row>
    <row r="1635" customFormat="false" ht="15" hidden="false" customHeight="false" outlineLevel="0" collapsed="false">
      <c r="A1635" s="34" t="s">
        <v>5799</v>
      </c>
      <c r="B1635" s="34" t="str">
        <f aca="false">'Uso e Consumo'!A1635</f>
        <v>0335</v>
      </c>
      <c r="C1635" s="34" t="str">
        <f aca="false">'Uso e Consumo'!B1635</f>
        <v>UFV NORONHA VERDE - USO E CONSUMO</v>
      </c>
      <c r="D1635" s="33" t="n">
        <f aca="false">'Uso e Consumo'!C1635</f>
        <v>1016039</v>
      </c>
      <c r="E1635" s="34" t="str">
        <f aca="false">'Uso e Consumo'!D1635</f>
        <v>17.20.0628</v>
      </c>
      <c r="F1635" s="34" t="str">
        <f aca="false">'Uso e Consumo'!E1635</f>
        <v>SOLDA EM FIO</v>
      </c>
      <c r="G1635" s="34" t="str">
        <f aca="false">'Uso e Consumo'!J1635</f>
        <v>UN</v>
      </c>
      <c r="H1635" s="49" t="n">
        <f aca="false">'Uso e Consumo'!F1635</f>
        <v>37</v>
      </c>
      <c r="I1635" s="35" t="n">
        <f aca="false">'Uso e Consumo'!G1635</f>
        <v>296</v>
      </c>
      <c r="J1635" s="34" t="str">
        <f aca="false">'Uso e Consumo'!M1635</f>
        <v>3.8.1.017 - Instalações elétricas/telefônicas/lógica</v>
      </c>
      <c r="K1635" s="32" t="str">
        <f aca="false">INDEX('Curva ABC'!$K$8:$K$2847,MATCH(D1635,'Curva ABC'!$B$8:$B$2847,0))</f>
        <v>C</v>
      </c>
    </row>
    <row r="1636" customFormat="false" ht="15" hidden="false" customHeight="false" outlineLevel="0" collapsed="false">
      <c r="A1636" s="34" t="s">
        <v>5799</v>
      </c>
      <c r="B1636" s="34" t="str">
        <f aca="false">'Uso e Consumo'!A1636</f>
        <v>0335</v>
      </c>
      <c r="C1636" s="34" t="str">
        <f aca="false">'Uso e Consumo'!B1636</f>
        <v>UFV NORONHA VERDE - USO E CONSUMO</v>
      </c>
      <c r="D1636" s="33" t="n">
        <f aca="false">'Uso e Consumo'!C1636</f>
        <v>559567</v>
      </c>
      <c r="E1636" s="34" t="str">
        <f aca="false">'Uso e Consumo'!D1636</f>
        <v>24.41.0220</v>
      </c>
      <c r="F1636" s="34" t="str">
        <f aca="false">'Uso e Consumo'!E1636</f>
        <v>SOQUETE SEXTAVADO 1/2'' X 22 MM</v>
      </c>
      <c r="G1636" s="34" t="str">
        <f aca="false">'Uso e Consumo'!J1636</f>
        <v>UN</v>
      </c>
      <c r="H1636" s="49" t="n">
        <f aca="false">'Uso e Consumo'!F1636</f>
        <v>16</v>
      </c>
      <c r="I1636" s="35" t="n">
        <f aca="false">'Uso e Consumo'!G1636</f>
        <v>295.2</v>
      </c>
      <c r="J1636" s="34" t="str">
        <f aca="false">'Uso e Consumo'!M1636</f>
        <v>3.8.2.002 - Ferramentas manuais</v>
      </c>
      <c r="K1636" s="32" t="str">
        <f aca="false">INDEX('Curva ABC'!$K$8:$K$2847,MATCH(D1636,'Curva ABC'!$B$8:$B$2847,0))</f>
        <v>C</v>
      </c>
    </row>
    <row r="1637" customFormat="false" ht="15" hidden="false" customHeight="false" outlineLevel="0" collapsed="false">
      <c r="A1637" s="34" t="s">
        <v>5799</v>
      </c>
      <c r="B1637" s="34" t="str">
        <f aca="false">'Uso e Consumo'!A1637</f>
        <v>0335</v>
      </c>
      <c r="C1637" s="34" t="str">
        <f aca="false">'Uso e Consumo'!B1637</f>
        <v>UFV NORONHA VERDE - USO E CONSUMO</v>
      </c>
      <c r="D1637" s="33" t="n">
        <f aca="false">'Uso e Consumo'!C1637</f>
        <v>1250054</v>
      </c>
      <c r="E1637" s="34" t="str">
        <f aca="false">'Uso e Consumo'!D1637</f>
        <v>25.01.0247</v>
      </c>
      <c r="F1637" s="34" t="str">
        <f aca="false">'Uso e Consumo'!E1637</f>
        <v>DISCO DE DESBATE 4''</v>
      </c>
      <c r="G1637" s="34" t="str">
        <f aca="false">'Uso e Consumo'!J1637</f>
        <v>UN</v>
      </c>
      <c r="H1637" s="49" t="n">
        <f aca="false">'Uso e Consumo'!F1637</f>
        <v>50</v>
      </c>
      <c r="I1637" s="35" t="n">
        <f aca="false">'Uso e Consumo'!G1637</f>
        <v>295</v>
      </c>
      <c r="J1637" s="34" t="str">
        <f aca="false">'Uso e Consumo'!M1637</f>
        <v>3.8.2.004 - Consumíveis para corte, perfuração e desbaste</v>
      </c>
      <c r="K1637" s="32" t="str">
        <f aca="false">INDEX('Curva ABC'!$K$8:$K$2847,MATCH(D1637,'Curva ABC'!$B$8:$B$2847,0))</f>
        <v>C</v>
      </c>
    </row>
    <row r="1638" customFormat="false" ht="15" hidden="false" customHeight="false" outlineLevel="0" collapsed="false">
      <c r="A1638" s="34" t="s">
        <v>5799</v>
      </c>
      <c r="B1638" s="34" t="str">
        <f aca="false">'Uso e Consumo'!A1638</f>
        <v>0335</v>
      </c>
      <c r="C1638" s="34" t="str">
        <f aca="false">'Uso e Consumo'!B1638</f>
        <v>UFV NORONHA VERDE - USO E CONSUMO</v>
      </c>
      <c r="D1638" s="33" t="n">
        <f aca="false">'Uso e Consumo'!C1638</f>
        <v>35465</v>
      </c>
      <c r="E1638" s="34" t="str">
        <f aca="false">'Uso e Consumo'!D1638</f>
        <v>24.09.0274</v>
      </c>
      <c r="F1638" s="34" t="str">
        <f aca="false">'Uso e Consumo'!E1638</f>
        <v>CHAVE CATRACA ENCAIXE 1/2</v>
      </c>
      <c r="G1638" s="34" t="str">
        <f aca="false">'Uso e Consumo'!J1638</f>
        <v>UN</v>
      </c>
      <c r="H1638" s="49" t="n">
        <f aca="false">'Uso e Consumo'!F1638</f>
        <v>5</v>
      </c>
      <c r="I1638" s="35" t="n">
        <f aca="false">'Uso e Consumo'!G1638</f>
        <v>294.7</v>
      </c>
      <c r="J1638" s="34" t="str">
        <f aca="false">'Uso e Consumo'!M1638</f>
        <v>3.8.2.002 - Ferramentas manuais</v>
      </c>
      <c r="K1638" s="32" t="str">
        <f aca="false">INDEX('Curva ABC'!$K$8:$K$2847,MATCH(D1638,'Curva ABC'!$B$8:$B$2847,0))</f>
        <v>C</v>
      </c>
    </row>
    <row r="1639" customFormat="false" ht="15" hidden="false" customHeight="false" outlineLevel="0" collapsed="false">
      <c r="A1639" s="34" t="s">
        <v>5799</v>
      </c>
      <c r="B1639" s="34" t="str">
        <f aca="false">'Uso e Consumo'!A1639</f>
        <v>0335</v>
      </c>
      <c r="C1639" s="34" t="str">
        <f aca="false">'Uso e Consumo'!B1639</f>
        <v>UFV NORONHA VERDE - USO E CONSUMO</v>
      </c>
      <c r="D1639" s="33" t="n">
        <f aca="false">'Uso e Consumo'!C1639</f>
        <v>17943</v>
      </c>
      <c r="E1639" s="34" t="str">
        <f aca="false">'Uso e Consumo'!D1639</f>
        <v>24.09.0037</v>
      </c>
      <c r="F1639" s="34" t="str">
        <f aca="false">'Uso e Consumo'!E1639</f>
        <v>CHAVE COMBINADA 18,00MM AÇO CARBONO CROMADO</v>
      </c>
      <c r="G1639" s="34" t="str">
        <f aca="false">'Uso e Consumo'!J1639</f>
        <v>UN</v>
      </c>
      <c r="H1639" s="49" t="n">
        <f aca="false">'Uso e Consumo'!F1639</f>
        <v>5</v>
      </c>
      <c r="I1639" s="35" t="n">
        <f aca="false">'Uso e Consumo'!G1639</f>
        <v>294.16</v>
      </c>
      <c r="J1639" s="34" t="str">
        <f aca="false">'Uso e Consumo'!M1639</f>
        <v>3.8.2.002 - Ferramentas manuais</v>
      </c>
      <c r="K1639" s="32" t="str">
        <f aca="false">INDEX('Curva ABC'!$K$8:$K$2847,MATCH(D1639,'Curva ABC'!$B$8:$B$2847,0))</f>
        <v>C</v>
      </c>
    </row>
    <row r="1640" customFormat="false" ht="15" hidden="false" customHeight="false" outlineLevel="0" collapsed="false">
      <c r="A1640" s="34" t="s">
        <v>5799</v>
      </c>
      <c r="B1640" s="34" t="str">
        <f aca="false">'Uso e Consumo'!A1640</f>
        <v>0335</v>
      </c>
      <c r="C1640" s="34" t="str">
        <f aca="false">'Uso e Consumo'!B1640</f>
        <v>UFV NORONHA VERDE - USO E CONSUMO</v>
      </c>
      <c r="D1640" s="33" t="n">
        <f aca="false">'Uso e Consumo'!C1640</f>
        <v>1488428</v>
      </c>
      <c r="E1640" s="34" t="str">
        <f aca="false">'Uso e Consumo'!D1640</f>
        <v>26.02.0236</v>
      </c>
      <c r="F1640" s="34" t="str">
        <f aca="false">'Uso e Consumo'!E1640</f>
        <v>BOTA CANO CURTO NUMERO 38</v>
      </c>
      <c r="G1640" s="34" t="str">
        <f aca="false">'Uso e Consumo'!J1640</f>
        <v>UN</v>
      </c>
      <c r="H1640" s="49" t="n">
        <f aca="false">'Uso e Consumo'!F1640</f>
        <v>3</v>
      </c>
      <c r="I1640" s="35" t="n">
        <f aca="false">'Uso e Consumo'!G1640</f>
        <v>294</v>
      </c>
      <c r="J1640" s="34" t="str">
        <f aca="false">'Uso e Consumo'!M1640</f>
        <v>4.3.4.001 - Equipamento de proteção individual</v>
      </c>
      <c r="K1640" s="32" t="str">
        <f aca="false">INDEX('Curva ABC'!$K$8:$K$2847,MATCH(D1640,'Curva ABC'!$B$8:$B$2847,0))</f>
        <v>C</v>
      </c>
    </row>
    <row r="1641" customFormat="false" ht="15" hidden="false" customHeight="false" outlineLevel="0" collapsed="false">
      <c r="A1641" s="34" t="s">
        <v>5799</v>
      </c>
      <c r="B1641" s="34" t="str">
        <f aca="false">'Uso e Consumo'!A1641</f>
        <v>0335</v>
      </c>
      <c r="C1641" s="34" t="str">
        <f aca="false">'Uso e Consumo'!B1641</f>
        <v>UFV NORONHA VERDE - USO E CONSUMO</v>
      </c>
      <c r="D1641" s="33" t="n">
        <f aca="false">'Uso e Consumo'!C1641</f>
        <v>17894</v>
      </c>
      <c r="E1641" s="34" t="str">
        <f aca="false">'Uso e Consumo'!D1641</f>
        <v>24.08.0002</v>
      </c>
      <c r="F1641" s="34" t="str">
        <f aca="false">'Uso e Consumo'!E1641</f>
        <v>ALICATE BICO  LONGO 6" AÇO CROMO-VANADIO S/ISOLAMENTO</v>
      </c>
      <c r="G1641" s="34" t="str">
        <f aca="false">'Uso e Consumo'!J1641</f>
        <v>UN</v>
      </c>
      <c r="H1641" s="49" t="n">
        <f aca="false">'Uso e Consumo'!F1641</f>
        <v>6</v>
      </c>
      <c r="I1641" s="35" t="n">
        <f aca="false">'Uso e Consumo'!G1641</f>
        <v>293.58</v>
      </c>
      <c r="J1641" s="34" t="str">
        <f aca="false">'Uso e Consumo'!M1641</f>
        <v>3.8.2.002 - Ferramentas manuais</v>
      </c>
      <c r="K1641" s="32" t="str">
        <f aca="false">INDEX('Curva ABC'!$K$8:$K$2847,MATCH(D1641,'Curva ABC'!$B$8:$B$2847,0))</f>
        <v>C</v>
      </c>
    </row>
    <row r="1642" customFormat="false" ht="15" hidden="false" customHeight="false" outlineLevel="0" collapsed="false">
      <c r="A1642" s="34" t="s">
        <v>5799</v>
      </c>
      <c r="B1642" s="34" t="str">
        <f aca="false">'Uso e Consumo'!A1642</f>
        <v>0335</v>
      </c>
      <c r="C1642" s="34" t="str">
        <f aca="false">'Uso e Consumo'!B1642</f>
        <v>UFV NORONHA VERDE - USO E CONSUMO</v>
      </c>
      <c r="D1642" s="33" t="n">
        <f aca="false">'Uso e Consumo'!C1642</f>
        <v>230407</v>
      </c>
      <c r="E1642" s="34" t="str">
        <f aca="false">'Uso e Consumo'!D1642</f>
        <v>27.01.0268</v>
      </c>
      <c r="F1642" s="34" t="str">
        <f aca="false">'Uso e Consumo'!E1642</f>
        <v>FLORATIL CÁPSULAS</v>
      </c>
      <c r="G1642" s="34" t="str">
        <f aca="false">'Uso e Consumo'!J1642</f>
        <v>UN</v>
      </c>
      <c r="H1642" s="49" t="n">
        <f aca="false">'Uso e Consumo'!F1642</f>
        <v>5</v>
      </c>
      <c r="I1642" s="35" t="n">
        <f aca="false">'Uso e Consumo'!G1642</f>
        <v>293.5</v>
      </c>
      <c r="J1642" s="34" t="str">
        <f aca="false">'Uso e Consumo'!M1642</f>
        <v>4.3.4.006 - Medicamentos e primeiro socorros</v>
      </c>
      <c r="K1642" s="32" t="str">
        <f aca="false">INDEX('Curva ABC'!$K$8:$K$2847,MATCH(D1642,'Curva ABC'!$B$8:$B$2847,0))</f>
        <v>C</v>
      </c>
    </row>
    <row r="1643" customFormat="false" ht="15" hidden="false" customHeight="false" outlineLevel="0" collapsed="false">
      <c r="A1643" s="34" t="s">
        <v>5799</v>
      </c>
      <c r="B1643" s="34" t="str">
        <f aca="false">'Uso e Consumo'!A1643</f>
        <v>0335</v>
      </c>
      <c r="C1643" s="34" t="str">
        <f aca="false">'Uso e Consumo'!B1643</f>
        <v>UFV NORONHA VERDE - USO E CONSUMO</v>
      </c>
      <c r="D1643" s="33" t="n">
        <f aca="false">'Uso e Consumo'!C1643</f>
        <v>1677141</v>
      </c>
      <c r="E1643" s="34" t="str">
        <f aca="false">'Uso e Consumo'!D1643</f>
        <v>17.02.0947</v>
      </c>
      <c r="F1643" s="34" t="str">
        <f aca="false">'Uso e Consumo'!E1643</f>
        <v>LUVA DE ALUMINIO COM ROSCA TIPO PESADO 1" BSP</v>
      </c>
      <c r="G1643" s="34" t="str">
        <f aca="false">'Uso e Consumo'!J1643</f>
        <v>UN</v>
      </c>
      <c r="H1643" s="49" t="n">
        <f aca="false">'Uso e Consumo'!F1643</f>
        <v>38</v>
      </c>
      <c r="I1643" s="35" t="n">
        <f aca="false">'Uso e Consumo'!G1643</f>
        <v>291.84</v>
      </c>
      <c r="J1643" s="34" t="str">
        <f aca="false">'Uso e Consumo'!M1643</f>
        <v>3.8.1.017 - Instalações elétricas/telefônicas/lógica</v>
      </c>
      <c r="K1643" s="32" t="str">
        <f aca="false">INDEX('Curva ABC'!$K$8:$K$2847,MATCH(D1643,'Curva ABC'!$B$8:$B$2847,0))</f>
        <v>C</v>
      </c>
    </row>
    <row r="1644" customFormat="false" ht="15" hidden="false" customHeight="false" outlineLevel="0" collapsed="false">
      <c r="A1644" s="34" t="s">
        <v>5799</v>
      </c>
      <c r="B1644" s="34" t="str">
        <f aca="false">'Uso e Consumo'!A1644</f>
        <v>0335</v>
      </c>
      <c r="C1644" s="34" t="str">
        <f aca="false">'Uso e Consumo'!B1644</f>
        <v>UFV NORONHA VERDE - USO E CONSUMO</v>
      </c>
      <c r="D1644" s="33" t="n">
        <f aca="false">'Uso e Consumo'!C1644</f>
        <v>1330144</v>
      </c>
      <c r="E1644" s="34" t="str">
        <f aca="false">'Uso e Consumo'!D1644</f>
        <v>17.20.0679</v>
      </c>
      <c r="F1644" s="34" t="str">
        <f aca="false">'Uso e Consumo'!E1644</f>
        <v>HASTE DE ATERRAMENTO 5/8" 1 METRO </v>
      </c>
      <c r="G1644" s="34" t="str">
        <f aca="false">'Uso e Consumo'!J1644</f>
        <v>UN</v>
      </c>
      <c r="H1644" s="49" t="n">
        <f aca="false">'Uso e Consumo'!F1644</f>
        <v>5</v>
      </c>
      <c r="I1644" s="35" t="n">
        <f aca="false">'Uso e Consumo'!G1644</f>
        <v>290</v>
      </c>
      <c r="J1644" s="34" t="str">
        <f aca="false">'Uso e Consumo'!M1644</f>
        <v>3.8.1.017 - Instalações elétricas/telefônicas/lógica</v>
      </c>
      <c r="K1644" s="32" t="str">
        <f aca="false">INDEX('Curva ABC'!$K$8:$K$2847,MATCH(D1644,'Curva ABC'!$B$8:$B$2847,0))</f>
        <v>C</v>
      </c>
    </row>
    <row r="1645" customFormat="false" ht="15" hidden="false" customHeight="false" outlineLevel="0" collapsed="false">
      <c r="A1645" s="34" t="s">
        <v>5799</v>
      </c>
      <c r="B1645" s="34" t="str">
        <f aca="false">'Uso e Consumo'!A1645</f>
        <v>0335</v>
      </c>
      <c r="C1645" s="34" t="str">
        <f aca="false">'Uso e Consumo'!B1645</f>
        <v>UFV NORONHA VERDE - USO E CONSUMO</v>
      </c>
      <c r="D1645" s="33" t="n">
        <f aca="false">'Uso e Consumo'!C1645</f>
        <v>938325</v>
      </c>
      <c r="E1645" s="34" t="str">
        <f aca="false">'Uso e Consumo'!D1645</f>
        <v>29.01.1316</v>
      </c>
      <c r="F1645" s="34" t="str">
        <f aca="false">'Uso e Consumo'!E1645</f>
        <v>TESTADOR DE CABO RJ45/RJ11 COM POE + VOLTIMETRO 2FLEX</v>
      </c>
      <c r="G1645" s="34" t="str">
        <f aca="false">'Uso e Consumo'!J1645</f>
        <v>UN</v>
      </c>
      <c r="H1645" s="49" t="n">
        <f aca="false">'Uso e Consumo'!F1645</f>
        <v>1</v>
      </c>
      <c r="I1645" s="35" t="n">
        <f aca="false">'Uso e Consumo'!G1645</f>
        <v>289.9</v>
      </c>
      <c r="J1645" s="34" t="str">
        <f aca="false">'Uso e Consumo'!M1645</f>
        <v>4.1.1.007 - Equipamentos e acessórios para informática</v>
      </c>
      <c r="K1645" s="32" t="str">
        <f aca="false">INDEX('Curva ABC'!$K$8:$K$2847,MATCH(D1645,'Curva ABC'!$B$8:$B$2847,0))</f>
        <v>C</v>
      </c>
    </row>
    <row r="1646" customFormat="false" ht="15" hidden="false" customHeight="false" outlineLevel="0" collapsed="false">
      <c r="A1646" s="34" t="s">
        <v>5799</v>
      </c>
      <c r="B1646" s="34" t="str">
        <f aca="false">'Uso e Consumo'!A1646</f>
        <v>0335</v>
      </c>
      <c r="C1646" s="34" t="str">
        <f aca="false">'Uso e Consumo'!B1646</f>
        <v>UFV NORONHA VERDE - USO E CONSUMO</v>
      </c>
      <c r="D1646" s="33" t="n">
        <f aca="false">'Uso e Consumo'!C1646</f>
        <v>1312594</v>
      </c>
      <c r="E1646" s="34" t="str">
        <f aca="false">'Uso e Consumo'!D1646</f>
        <v>33.02.3121</v>
      </c>
      <c r="F1646" s="34" t="str">
        <f aca="false">'Uso e Consumo'!E1646</f>
        <v>JOGO DE ROLETE ANULAR 3/8 7D 1128-007-1000</v>
      </c>
      <c r="G1646" s="34" t="str">
        <f aca="false">'Uso e Consumo'!J1646</f>
        <v>UN</v>
      </c>
      <c r="H1646" s="49" t="n">
        <f aca="false">'Uso e Consumo'!F1646</f>
        <v>1</v>
      </c>
      <c r="I1646" s="35" t="n">
        <f aca="false">'Uso e Consumo'!G1646</f>
        <v>289.25</v>
      </c>
      <c r="J1646" s="34" t="str">
        <f aca="false">'Uso e Consumo'!M1646</f>
        <v>3.1.6.002 - Pneus e peças</v>
      </c>
      <c r="K1646" s="32" t="str">
        <f aca="false">INDEX('Curva ABC'!$K$8:$K$2847,MATCH(D1646,'Curva ABC'!$B$8:$B$2847,0))</f>
        <v>C</v>
      </c>
    </row>
    <row r="1647" customFormat="false" ht="15" hidden="false" customHeight="false" outlineLevel="0" collapsed="false">
      <c r="A1647" s="34" t="s">
        <v>5799</v>
      </c>
      <c r="B1647" s="34" t="str">
        <f aca="false">'Uso e Consumo'!A1647</f>
        <v>0335</v>
      </c>
      <c r="C1647" s="34" t="str">
        <f aca="false">'Uso e Consumo'!B1647</f>
        <v>UFV NORONHA VERDE - USO E CONSUMO</v>
      </c>
      <c r="D1647" s="33" t="n">
        <f aca="false">'Uso e Consumo'!C1647</f>
        <v>844080</v>
      </c>
      <c r="E1647" s="34" t="str">
        <f aca="false">'Uso e Consumo'!D1647</f>
        <v>17.12.0436</v>
      </c>
      <c r="F1647" s="34" t="str">
        <f aca="false">'Uso e Consumo'!E1647</f>
        <v>TOMADA SIMPLES PARA CONDULETE 3/4" 2P+T 10A</v>
      </c>
      <c r="G1647" s="34" t="str">
        <f aca="false">'Uso e Consumo'!J1647</f>
        <v>UN</v>
      </c>
      <c r="H1647" s="49" t="n">
        <f aca="false">'Uso e Consumo'!F1647</f>
        <v>48</v>
      </c>
      <c r="I1647" s="35" t="n">
        <f aca="false">'Uso e Consumo'!G1647</f>
        <v>288.96</v>
      </c>
      <c r="J1647" s="34" t="str">
        <f aca="false">'Uso e Consumo'!M1647</f>
        <v>3.8.1.017 - Instalações elétricas/telefônicas/lógica</v>
      </c>
      <c r="K1647" s="32" t="str">
        <f aca="false">INDEX('Curva ABC'!$K$8:$K$2847,MATCH(D1647,'Curva ABC'!$B$8:$B$2847,0))</f>
        <v>C</v>
      </c>
    </row>
    <row r="1648" customFormat="false" ht="32.8" hidden="false" customHeight="false" outlineLevel="0" collapsed="false">
      <c r="A1648" s="34" t="s">
        <v>5799</v>
      </c>
      <c r="B1648" s="34" t="str">
        <f aca="false">'Uso e Consumo'!A1648</f>
        <v>0335</v>
      </c>
      <c r="C1648" s="34" t="str">
        <f aca="false">'Uso e Consumo'!B1648</f>
        <v>UFV NORONHA VERDE - USO E CONSUMO</v>
      </c>
      <c r="D1648" s="33" t="n">
        <f aca="false">'Uso e Consumo'!C1648</f>
        <v>1485197</v>
      </c>
      <c r="E1648" s="34" t="str">
        <f aca="false">'Uso e Consumo'!D1648</f>
        <v>19.01.0061</v>
      </c>
      <c r="F1648" s="50" t="str">
        <f aca="false">'Uso e Consumo'!E1648</f>
        <v>PERFIL CANTONEIRA EM AÇO TIPO L 1 1/2" X 1/8" COMPRIMENTO 875 MM
</v>
      </c>
      <c r="G1648" s="34" t="str">
        <f aca="false">'Uso e Consumo'!J1648</f>
        <v>UN</v>
      </c>
      <c r="H1648" s="49" t="n">
        <f aca="false">'Uso e Consumo'!F1648</f>
        <v>3</v>
      </c>
      <c r="I1648" s="35" t="n">
        <f aca="false">'Uso e Consumo'!G1648</f>
        <v>288.9</v>
      </c>
      <c r="J1648" s="34" t="str">
        <f aca="false">'Uso e Consumo'!M1648</f>
        <v>3.8.1.001 - Aços e trefilados</v>
      </c>
      <c r="K1648" s="32" t="str">
        <f aca="false">INDEX('Curva ABC'!$K$8:$K$2847,MATCH(D1648,'Curva ABC'!$B$8:$B$2847,0))</f>
        <v>C</v>
      </c>
    </row>
    <row r="1649" customFormat="false" ht="15" hidden="false" customHeight="false" outlineLevel="0" collapsed="false">
      <c r="A1649" s="34" t="s">
        <v>5799</v>
      </c>
      <c r="B1649" s="34" t="str">
        <f aca="false">'Uso e Consumo'!A1649</f>
        <v>0335</v>
      </c>
      <c r="C1649" s="34" t="str">
        <f aca="false">'Uso e Consumo'!B1649</f>
        <v>UFV NORONHA VERDE - USO E CONSUMO</v>
      </c>
      <c r="D1649" s="33" t="n">
        <f aca="false">'Uso e Consumo'!C1649</f>
        <v>279641</v>
      </c>
      <c r="E1649" s="34" t="str">
        <f aca="false">'Uso e Consumo'!D1649</f>
        <v>17.12.0359</v>
      </c>
      <c r="F1649" s="34" t="str">
        <f aca="false">'Uso e Consumo'!E1649</f>
        <v>INTERRUPTOR DIFERENCIAL 4P 40A </v>
      </c>
      <c r="G1649" s="34" t="str">
        <f aca="false">'Uso e Consumo'!J1649</f>
        <v>UN</v>
      </c>
      <c r="H1649" s="49" t="n">
        <f aca="false">'Uso e Consumo'!F1649</f>
        <v>2</v>
      </c>
      <c r="I1649" s="35" t="n">
        <f aca="false">'Uso e Consumo'!G1649</f>
        <v>288.28</v>
      </c>
      <c r="J1649" s="34" t="str">
        <f aca="false">'Uso e Consumo'!M1649</f>
        <v>3.8.1.017 - Instalações elétricas/telefônicas/lógica</v>
      </c>
      <c r="K1649" s="32" t="str">
        <f aca="false">INDEX('Curva ABC'!$K$8:$K$2847,MATCH(D1649,'Curva ABC'!$B$8:$B$2847,0))</f>
        <v>C</v>
      </c>
    </row>
    <row r="1650" customFormat="false" ht="15" hidden="false" customHeight="false" outlineLevel="0" collapsed="false">
      <c r="A1650" s="34" t="s">
        <v>5799</v>
      </c>
      <c r="B1650" s="34" t="str">
        <f aca="false">'Uso e Consumo'!A1650</f>
        <v>0335</v>
      </c>
      <c r="C1650" s="34" t="str">
        <f aca="false">'Uso e Consumo'!B1650</f>
        <v>UFV NORONHA VERDE - USO E CONSUMO</v>
      </c>
      <c r="D1650" s="33" t="n">
        <f aca="false">'Uso e Consumo'!C1650</f>
        <v>33097</v>
      </c>
      <c r="E1650" s="34" t="str">
        <f aca="false">'Uso e Consumo'!D1650</f>
        <v>17.12.0239</v>
      </c>
      <c r="F1650" s="34" t="str">
        <f aca="false">'Uso e Consumo'!E1650</f>
        <v>TOMADA 2P +T DUPLA SISTEMA X</v>
      </c>
      <c r="G1650" s="34" t="str">
        <f aca="false">'Uso e Consumo'!J1650</f>
        <v>UN</v>
      </c>
      <c r="H1650" s="49" t="n">
        <f aca="false">'Uso e Consumo'!F1650</f>
        <v>6</v>
      </c>
      <c r="I1650" s="35" t="n">
        <f aca="false">'Uso e Consumo'!G1650</f>
        <v>288</v>
      </c>
      <c r="J1650" s="34" t="str">
        <f aca="false">'Uso e Consumo'!M1650</f>
        <v>3.8.1.017 - Instalações elétricas/telefônicas/lógica</v>
      </c>
      <c r="K1650" s="32" t="str">
        <f aca="false">INDEX('Curva ABC'!$K$8:$K$2847,MATCH(D1650,'Curva ABC'!$B$8:$B$2847,0))</f>
        <v>C</v>
      </c>
    </row>
    <row r="1651" customFormat="false" ht="15" hidden="false" customHeight="false" outlineLevel="0" collapsed="false">
      <c r="A1651" s="34" t="s">
        <v>5799</v>
      </c>
      <c r="B1651" s="34" t="str">
        <f aca="false">'Uso e Consumo'!A1651</f>
        <v>0335</v>
      </c>
      <c r="C1651" s="34" t="str">
        <f aca="false">'Uso e Consumo'!B1651</f>
        <v>UFV NORONHA VERDE - USO E CONSUMO</v>
      </c>
      <c r="D1651" s="33" t="n">
        <f aca="false">'Uso e Consumo'!C1651</f>
        <v>608439</v>
      </c>
      <c r="E1651" s="34" t="str">
        <f aca="false">'Uso e Consumo'!D1651</f>
        <v>30.03.0365</v>
      </c>
      <c r="F1651" s="34" t="str">
        <f aca="false">'Uso e Consumo'!E1651</f>
        <v>BALDE PLÁSTICO 20 L</v>
      </c>
      <c r="G1651" s="34" t="str">
        <f aca="false">'Uso e Consumo'!J1651</f>
        <v>UN</v>
      </c>
      <c r="H1651" s="49" t="n">
        <f aca="false">'Uso e Consumo'!F1651</f>
        <v>6</v>
      </c>
      <c r="I1651" s="35" t="n">
        <f aca="false">'Uso e Consumo'!G1651</f>
        <v>288</v>
      </c>
      <c r="J1651" s="34" t="str">
        <f aca="false">'Uso e Consumo'!M1651</f>
        <v>4.1.1.003 - Material limpeza</v>
      </c>
      <c r="K1651" s="32" t="str">
        <f aca="false">INDEX('Curva ABC'!$K$8:$K$2847,MATCH(D1651,'Curva ABC'!$B$8:$B$2847,0))</f>
        <v>C</v>
      </c>
    </row>
    <row r="1652" customFormat="false" ht="15" hidden="false" customHeight="false" outlineLevel="0" collapsed="false">
      <c r="A1652" s="34" t="s">
        <v>5799</v>
      </c>
      <c r="B1652" s="34" t="str">
        <f aca="false">'Uso e Consumo'!A1652</f>
        <v>0335</v>
      </c>
      <c r="C1652" s="34" t="str">
        <f aca="false">'Uso e Consumo'!B1652</f>
        <v>UFV NORONHA VERDE - USO E CONSUMO</v>
      </c>
      <c r="D1652" s="33" t="n">
        <f aca="false">'Uso e Consumo'!C1652</f>
        <v>880315</v>
      </c>
      <c r="E1652" s="34" t="str">
        <f aca="false">'Uso e Consumo'!D1652</f>
        <v>24.35.0013</v>
      </c>
      <c r="F1652" s="34" t="str">
        <f aca="false">'Uso e Consumo'!E1652</f>
        <v>CABO DE ENXADA 1,80M C/ CORTE</v>
      </c>
      <c r="G1652" s="34" t="str">
        <f aca="false">'Uso e Consumo'!J1652</f>
        <v>UN</v>
      </c>
      <c r="H1652" s="49" t="n">
        <f aca="false">'Uso e Consumo'!F1652</f>
        <v>6</v>
      </c>
      <c r="I1652" s="35" t="n">
        <f aca="false">'Uso e Consumo'!G1652</f>
        <v>288</v>
      </c>
      <c r="J1652" s="34" t="str">
        <f aca="false">'Uso e Consumo'!M1652</f>
        <v>3.8.2.002 - Ferramentas manuais</v>
      </c>
      <c r="K1652" s="32" t="str">
        <f aca="false">INDEX('Curva ABC'!$K$8:$K$2847,MATCH(D1652,'Curva ABC'!$B$8:$B$2847,0))</f>
        <v>C</v>
      </c>
    </row>
    <row r="1653" customFormat="false" ht="15" hidden="false" customHeight="false" outlineLevel="0" collapsed="false">
      <c r="A1653" s="34" t="s">
        <v>5799</v>
      </c>
      <c r="B1653" s="34" t="str">
        <f aca="false">'Uso e Consumo'!A1653</f>
        <v>0335</v>
      </c>
      <c r="C1653" s="34" t="str">
        <f aca="false">'Uso e Consumo'!B1653</f>
        <v>UFV NORONHA VERDE - USO E CONSUMO</v>
      </c>
      <c r="D1653" s="33" t="n">
        <f aca="false">'Uso e Consumo'!C1653</f>
        <v>1107852</v>
      </c>
      <c r="E1653" s="34" t="str">
        <f aca="false">'Uso e Consumo'!D1653</f>
        <v>13.06.0363</v>
      </c>
      <c r="F1653" s="34" t="str">
        <f aca="false">'Uso e Consumo'!E1653</f>
        <v>FERROLHO CHATO 7" (175MM)</v>
      </c>
      <c r="G1653" s="34" t="str">
        <f aca="false">'Uso e Consumo'!J1653</f>
        <v>UN</v>
      </c>
      <c r="H1653" s="49" t="n">
        <f aca="false">'Uso e Consumo'!F1653</f>
        <v>16</v>
      </c>
      <c r="I1653" s="35" t="n">
        <f aca="false">'Uso e Consumo'!G1653</f>
        <v>288</v>
      </c>
      <c r="J1653" s="34" t="str">
        <f aca="false">'Uso e Consumo'!M1653</f>
        <v>3.8.1.013 - Esquadrias e vidros</v>
      </c>
      <c r="K1653" s="32" t="str">
        <f aca="false">INDEX('Curva ABC'!$K$8:$K$2847,MATCH(D1653,'Curva ABC'!$B$8:$B$2847,0))</f>
        <v>C</v>
      </c>
    </row>
    <row r="1654" customFormat="false" ht="15" hidden="false" customHeight="false" outlineLevel="0" collapsed="false">
      <c r="A1654" s="34" t="s">
        <v>5799</v>
      </c>
      <c r="B1654" s="34" t="str">
        <f aca="false">'Uso e Consumo'!A1654</f>
        <v>0335</v>
      </c>
      <c r="C1654" s="34" t="str">
        <f aca="false">'Uso e Consumo'!B1654</f>
        <v>UFV NORONHA VERDE - USO E CONSUMO</v>
      </c>
      <c r="D1654" s="33" t="n">
        <f aca="false">'Uso e Consumo'!C1654</f>
        <v>1615084</v>
      </c>
      <c r="E1654" s="34" t="str">
        <f aca="false">'Uso e Consumo'!D1654</f>
        <v>17.02.0926</v>
      </c>
      <c r="F1654" s="34" t="str">
        <f aca="false">'Uso e Consumo'!E1654</f>
        <v>LUVA DE PVC RIGIDO, DIAMETRO NOMINAL 85 MM, COM ROSCA, REFERENCIA DE BITOLA 3" BSP, TIPO PESADO, COR PRETA</v>
      </c>
      <c r="G1654" s="34" t="str">
        <f aca="false">'Uso e Consumo'!J1654</f>
        <v>UN</v>
      </c>
      <c r="H1654" s="49" t="n">
        <f aca="false">'Uso e Consumo'!F1654</f>
        <v>18</v>
      </c>
      <c r="I1654" s="35" t="n">
        <f aca="false">'Uso e Consumo'!G1654</f>
        <v>285.22</v>
      </c>
      <c r="J1654" s="34" t="str">
        <f aca="false">'Uso e Consumo'!M1654</f>
        <v>3.8.1.017 - Instalações elétricas/telefônicas/lógica</v>
      </c>
      <c r="K1654" s="32" t="str">
        <f aca="false">INDEX('Curva ABC'!$K$8:$K$2847,MATCH(D1654,'Curva ABC'!$B$8:$B$2847,0))</f>
        <v>C</v>
      </c>
    </row>
    <row r="1655" customFormat="false" ht="15" hidden="false" customHeight="false" outlineLevel="0" collapsed="false">
      <c r="A1655" s="34" t="s">
        <v>5799</v>
      </c>
      <c r="B1655" s="34" t="str">
        <f aca="false">'Uso e Consumo'!A1655</f>
        <v>0335</v>
      </c>
      <c r="C1655" s="34" t="str">
        <f aca="false">'Uso e Consumo'!B1655</f>
        <v>UFV NORONHA VERDE - USO E CONSUMO</v>
      </c>
      <c r="D1655" s="33" t="n">
        <f aca="false">'Uso e Consumo'!C1655</f>
        <v>18847</v>
      </c>
      <c r="E1655" s="34" t="str">
        <f aca="false">'Uso e Consumo'!D1655</f>
        <v>26.03.0007</v>
      </c>
      <c r="F1655" s="34" t="str">
        <f aca="false">'Uso e Consumo'!E1655</f>
        <v>CAPACETE COM ABA FRONTAL (TIPO II) C/ CARNEIRA - COR MARROM (CA-8562/25856/29792)</v>
      </c>
      <c r="G1655" s="34" t="str">
        <f aca="false">'Uso e Consumo'!J1655</f>
        <v>UN</v>
      </c>
      <c r="H1655" s="49" t="n">
        <f aca="false">'Uso e Consumo'!F1655</f>
        <v>29</v>
      </c>
      <c r="I1655" s="35" t="n">
        <f aca="false">'Uso e Consumo'!G1655</f>
        <v>284.02</v>
      </c>
      <c r="J1655" s="34" t="str">
        <f aca="false">'Uso e Consumo'!M1655</f>
        <v>4.3.4.001 - Equipamento de proteção individual</v>
      </c>
      <c r="K1655" s="32" t="str">
        <f aca="false">INDEX('Curva ABC'!$K$8:$K$2847,MATCH(D1655,'Curva ABC'!$B$8:$B$2847,0))</f>
        <v>C</v>
      </c>
    </row>
    <row r="1656" customFormat="false" ht="15" hidden="false" customHeight="false" outlineLevel="0" collapsed="false">
      <c r="A1656" s="34" t="s">
        <v>5799</v>
      </c>
      <c r="B1656" s="34" t="str">
        <f aca="false">'Uso e Consumo'!A1656</f>
        <v>0335</v>
      </c>
      <c r="C1656" s="34" t="str">
        <f aca="false">'Uso e Consumo'!B1656</f>
        <v>UFV NORONHA VERDE - USO E CONSUMO</v>
      </c>
      <c r="D1656" s="33" t="n">
        <f aca="false">'Uso e Consumo'!C1656</f>
        <v>21656</v>
      </c>
      <c r="E1656" s="34" t="str">
        <f aca="false">'Uso e Consumo'!D1656</f>
        <v>33.02.0082</v>
      </c>
      <c r="F1656" s="34" t="str">
        <f aca="false">'Uso e Consumo'!E1656</f>
        <v>KIT VEDAÇÃO</v>
      </c>
      <c r="G1656" s="34" t="str">
        <f aca="false">'Uso e Consumo'!J1656</f>
        <v>UN</v>
      </c>
      <c r="H1656" s="49" t="n">
        <f aca="false">'Uso e Consumo'!F1656</f>
        <v>18</v>
      </c>
      <c r="I1656" s="35" t="n">
        <f aca="false">'Uso e Consumo'!G1656</f>
        <v>283.5</v>
      </c>
      <c r="J1656" s="34" t="str">
        <f aca="false">'Uso e Consumo'!M1656</f>
        <v>3.1.6.002 - Pneus e peças</v>
      </c>
      <c r="K1656" s="32" t="str">
        <f aca="false">INDEX('Curva ABC'!$K$8:$K$2847,MATCH(D1656,'Curva ABC'!$B$8:$B$2847,0))</f>
        <v>C</v>
      </c>
    </row>
    <row r="1657" customFormat="false" ht="15" hidden="false" customHeight="false" outlineLevel="0" collapsed="false">
      <c r="A1657" s="34" t="s">
        <v>5799</v>
      </c>
      <c r="B1657" s="34" t="str">
        <f aca="false">'Uso e Consumo'!A1657</f>
        <v>0335</v>
      </c>
      <c r="C1657" s="34" t="str">
        <f aca="false">'Uso e Consumo'!B1657</f>
        <v>UFV NORONHA VERDE - USO E CONSUMO</v>
      </c>
      <c r="D1657" s="33" t="n">
        <f aca="false">'Uso e Consumo'!C1657</f>
        <v>19577</v>
      </c>
      <c r="E1657" s="34" t="str">
        <f aca="false">'Uso e Consumo'!D1657</f>
        <v>30.01.0297</v>
      </c>
      <c r="F1657" s="34" t="str">
        <f aca="false">'Uso e Consumo'!E1657</f>
        <v>PASTA A-Z REVESTIDO EM POLIPROPILENO AZUL A4 28,50CM X 34,50CM X 7,30CM</v>
      </c>
      <c r="G1657" s="34" t="str">
        <f aca="false">'Uso e Consumo'!J1657</f>
        <v>UN</v>
      </c>
      <c r="H1657" s="49" t="n">
        <f aca="false">'Uso e Consumo'!F1657</f>
        <v>20</v>
      </c>
      <c r="I1657" s="35" t="n">
        <f aca="false">'Uso e Consumo'!G1657</f>
        <v>283.2</v>
      </c>
      <c r="J1657" s="34" t="str">
        <f aca="false">'Uso e Consumo'!M1657</f>
        <v>4.1.1.002 - Material expediente</v>
      </c>
      <c r="K1657" s="32" t="str">
        <f aca="false">INDEX('Curva ABC'!$K$8:$K$2847,MATCH(D1657,'Curva ABC'!$B$8:$B$2847,0))</f>
        <v>C</v>
      </c>
    </row>
    <row r="1658" customFormat="false" ht="15" hidden="false" customHeight="false" outlineLevel="0" collapsed="false">
      <c r="A1658" s="34" t="s">
        <v>5799</v>
      </c>
      <c r="B1658" s="34" t="str">
        <f aca="false">'Uso e Consumo'!A1658</f>
        <v>0335</v>
      </c>
      <c r="C1658" s="34" t="str">
        <f aca="false">'Uso e Consumo'!B1658</f>
        <v>UFV NORONHA VERDE - USO E CONSUMO</v>
      </c>
      <c r="D1658" s="33" t="n">
        <f aca="false">'Uso e Consumo'!C1658</f>
        <v>1669303</v>
      </c>
      <c r="E1658" s="34" t="str">
        <f aca="false">'Uso e Consumo'!D1658</f>
        <v>34.02.1355</v>
      </c>
      <c r="F1658" s="34" t="str">
        <f aca="false">'Uso e Consumo'!E1658</f>
        <v>RETENTOR VIRABREQUIM TRASEIRO VITON ALTA TEMPERATURA P/ MOTOR VOLVO D7E  REF. SPAAL OU SIMILAR</v>
      </c>
      <c r="G1658" s="34" t="str">
        <f aca="false">'Uso e Consumo'!J1658</f>
        <v>UN</v>
      </c>
      <c r="H1658" s="49" t="n">
        <f aca="false">'Uso e Consumo'!F1658</f>
        <v>1</v>
      </c>
      <c r="I1658" s="35" t="n">
        <f aca="false">'Uso e Consumo'!G1658</f>
        <v>283.1</v>
      </c>
      <c r="J1658" s="34" t="str">
        <f aca="false">'Uso e Consumo'!M1658</f>
        <v>3.1.6.002 - Pneus e peças</v>
      </c>
      <c r="K1658" s="32" t="str">
        <f aca="false">INDEX('Curva ABC'!$K$8:$K$2847,MATCH(D1658,'Curva ABC'!$B$8:$B$2847,0))</f>
        <v>C</v>
      </c>
    </row>
    <row r="1659" customFormat="false" ht="15" hidden="false" customHeight="false" outlineLevel="0" collapsed="false">
      <c r="A1659" s="34" t="s">
        <v>5799</v>
      </c>
      <c r="B1659" s="34" t="str">
        <f aca="false">'Uso e Consumo'!A1659</f>
        <v>0335</v>
      </c>
      <c r="C1659" s="34" t="str">
        <f aca="false">'Uso e Consumo'!B1659</f>
        <v>UFV NORONHA VERDE - USO E CONSUMO</v>
      </c>
      <c r="D1659" s="33" t="n">
        <f aca="false">'Uso e Consumo'!C1659</f>
        <v>840034</v>
      </c>
      <c r="E1659" s="34" t="str">
        <f aca="false">'Uso e Consumo'!D1659</f>
        <v>18.01.1273</v>
      </c>
      <c r="F1659" s="34" t="str">
        <f aca="false">'Uso e Consumo'!E1659</f>
        <v>TUBO SOLDÁVEL MARROM 25MM</v>
      </c>
      <c r="G1659" s="34" t="str">
        <f aca="false">'Uso e Consumo'!J1659</f>
        <v>M</v>
      </c>
      <c r="H1659" s="49" t="n">
        <f aca="false">'Uso e Consumo'!F1659</f>
        <v>11</v>
      </c>
      <c r="I1659" s="35" t="n">
        <f aca="false">'Uso e Consumo'!G1659</f>
        <v>282.7</v>
      </c>
      <c r="J1659" s="34" t="str">
        <f aca="false">'Uso e Consumo'!M1659</f>
        <v>3.8.1.018 - Instalações hidráulicas/sanitárias/industriais</v>
      </c>
      <c r="K1659" s="32" t="str">
        <f aca="false">INDEX('Curva ABC'!$K$8:$K$2847,MATCH(D1659,'Curva ABC'!$B$8:$B$2847,0))</f>
        <v>C</v>
      </c>
    </row>
    <row r="1660" customFormat="false" ht="15" hidden="false" customHeight="false" outlineLevel="0" collapsed="false">
      <c r="A1660" s="34" t="s">
        <v>5799</v>
      </c>
      <c r="B1660" s="34" t="str">
        <f aca="false">'Uso e Consumo'!A1660</f>
        <v>0335</v>
      </c>
      <c r="C1660" s="34" t="str">
        <f aca="false">'Uso e Consumo'!B1660</f>
        <v>UFV NORONHA VERDE - USO E CONSUMO</v>
      </c>
      <c r="D1660" s="33" t="n">
        <f aca="false">'Uso e Consumo'!C1660</f>
        <v>18190</v>
      </c>
      <c r="E1660" s="34" t="str">
        <f aca="false">'Uso e Consumo'!D1660</f>
        <v>24.26.0002</v>
      </c>
      <c r="F1660" s="34" t="str">
        <f aca="false">'Uso e Consumo'!E1660</f>
        <v>SERRA MÁRMORE 110,00MM 1400W 12000RPM 200V REF 4100NS MAKITA</v>
      </c>
      <c r="G1660" s="34" t="str">
        <f aca="false">'Uso e Consumo'!J1660</f>
        <v>UN</v>
      </c>
      <c r="H1660" s="49" t="n">
        <f aca="false">'Uso e Consumo'!F1660</f>
        <v>10</v>
      </c>
      <c r="I1660" s="35" t="n">
        <f aca="false">'Uso e Consumo'!G1660</f>
        <v>280</v>
      </c>
      <c r="J1660" s="34" t="str">
        <f aca="false">'Uso e Consumo'!M1660</f>
        <v>4.1.6.002 - Locação externa de equipamentos</v>
      </c>
      <c r="K1660" s="32" t="str">
        <f aca="false">INDEX('Curva ABC'!$K$8:$K$2847,MATCH(D1660,'Curva ABC'!$B$8:$B$2847,0))</f>
        <v>C</v>
      </c>
    </row>
    <row r="1661" customFormat="false" ht="15" hidden="false" customHeight="false" outlineLevel="0" collapsed="false">
      <c r="A1661" s="34" t="s">
        <v>5799</v>
      </c>
      <c r="B1661" s="34" t="str">
        <f aca="false">'Uso e Consumo'!A1661</f>
        <v>0335</v>
      </c>
      <c r="C1661" s="34" t="str">
        <f aca="false">'Uso e Consumo'!B1661</f>
        <v>UFV NORONHA VERDE - USO E CONSUMO</v>
      </c>
      <c r="D1661" s="33" t="n">
        <f aca="false">'Uso e Consumo'!C1661</f>
        <v>942092</v>
      </c>
      <c r="E1661" s="34" t="str">
        <f aca="false">'Uso e Consumo'!D1661</f>
        <v>24.12.0008</v>
      </c>
      <c r="F1661" s="34" t="str">
        <f aca="false">'Uso e Consumo'!E1661</f>
        <v>ESTILETE DE SEGURANÇA RETRÁTIL 165MM</v>
      </c>
      <c r="G1661" s="34" t="str">
        <f aca="false">'Uso e Consumo'!J1661</f>
        <v>UN</v>
      </c>
      <c r="H1661" s="49" t="n">
        <f aca="false">'Uso e Consumo'!F1661</f>
        <v>10</v>
      </c>
      <c r="I1661" s="35" t="n">
        <f aca="false">'Uso e Consumo'!G1661</f>
        <v>280</v>
      </c>
      <c r="J1661" s="34" t="str">
        <f aca="false">'Uso e Consumo'!M1661</f>
        <v>4.1.1.002 - Material expediente</v>
      </c>
      <c r="K1661" s="32" t="str">
        <f aca="false">INDEX('Curva ABC'!$K$8:$K$2847,MATCH(D1661,'Curva ABC'!$B$8:$B$2847,0))</f>
        <v>C</v>
      </c>
    </row>
    <row r="1662" customFormat="false" ht="15" hidden="false" customHeight="false" outlineLevel="0" collapsed="false">
      <c r="A1662" s="34" t="s">
        <v>5799</v>
      </c>
      <c r="B1662" s="34" t="str">
        <f aca="false">'Uso e Consumo'!A1662</f>
        <v>0335</v>
      </c>
      <c r="C1662" s="34" t="str">
        <f aca="false">'Uso e Consumo'!B1662</f>
        <v>UFV NORONHA VERDE - USO E CONSUMO</v>
      </c>
      <c r="D1662" s="33" t="n">
        <f aca="false">'Uso e Consumo'!C1662</f>
        <v>21317</v>
      </c>
      <c r="E1662" s="34" t="str">
        <f aca="false">'Uso e Consumo'!D1662</f>
        <v>17.09.0026</v>
      </c>
      <c r="F1662" s="34" t="str">
        <f aca="false">'Uso e Consumo'!E1662</f>
        <v>BARRAMENTO PENTE MONOFÁSICO 80A 210MM</v>
      </c>
      <c r="G1662" s="34" t="str">
        <f aca="false">'Uso e Consumo'!J1662</f>
        <v>UN</v>
      </c>
      <c r="H1662" s="49" t="n">
        <f aca="false">'Uso e Consumo'!F1662</f>
        <v>22</v>
      </c>
      <c r="I1662" s="35" t="n">
        <f aca="false">'Uso e Consumo'!G1662</f>
        <v>279.84</v>
      </c>
      <c r="J1662" s="34" t="str">
        <f aca="false">'Uso e Consumo'!M1662</f>
        <v>3.8.1.017 - Instalações elétricas/telefônicas/lógica</v>
      </c>
      <c r="K1662" s="32" t="str">
        <f aca="false">INDEX('Curva ABC'!$K$8:$K$2847,MATCH(D1662,'Curva ABC'!$B$8:$B$2847,0))</f>
        <v>C</v>
      </c>
    </row>
    <row r="1663" customFormat="false" ht="15" hidden="false" customHeight="false" outlineLevel="0" collapsed="false">
      <c r="A1663" s="34" t="s">
        <v>5799</v>
      </c>
      <c r="B1663" s="34" t="str">
        <f aca="false">'Uso e Consumo'!A1663</f>
        <v>0335</v>
      </c>
      <c r="C1663" s="34" t="str">
        <f aca="false">'Uso e Consumo'!B1663</f>
        <v>UFV NORONHA VERDE - USO E CONSUMO</v>
      </c>
      <c r="D1663" s="33" t="n">
        <f aca="false">'Uso e Consumo'!C1663</f>
        <v>1466626</v>
      </c>
      <c r="E1663" s="34" t="str">
        <f aca="false">'Uso e Consumo'!D1663</f>
        <v>17.16.3830</v>
      </c>
      <c r="F1663" s="34" t="str">
        <f aca="false">'Uso e Consumo'!E1663</f>
        <v>CONECTOR DE LIGA DE COBRE ESTANHADO, PARA TERMINAÇÃO RETA CABO COBRE 25 MM² A BARRA PLANA COM UM FURO DE DIÂMET 10 MM</v>
      </c>
      <c r="G1663" s="34" t="str">
        <f aca="false">'Uso e Consumo'!J1663</f>
        <v>UN</v>
      </c>
      <c r="H1663" s="49" t="n">
        <f aca="false">'Uso e Consumo'!F1663</f>
        <v>20</v>
      </c>
      <c r="I1663" s="35" t="n">
        <f aca="false">'Uso e Consumo'!G1663</f>
        <v>279.52</v>
      </c>
      <c r="J1663" s="34" t="str">
        <f aca="false">'Uso e Consumo'!M1663</f>
        <v>3.8.1.017 - Instalações elétricas/telefônicas/lógica</v>
      </c>
      <c r="K1663" s="32" t="str">
        <f aca="false">INDEX('Curva ABC'!$K$8:$K$2847,MATCH(D1663,'Curva ABC'!$B$8:$B$2847,0))</f>
        <v>C</v>
      </c>
    </row>
    <row r="1664" customFormat="false" ht="15" hidden="false" customHeight="false" outlineLevel="0" collapsed="false">
      <c r="A1664" s="34" t="s">
        <v>5799</v>
      </c>
      <c r="B1664" s="34" t="str">
        <f aca="false">'Uso e Consumo'!A1664</f>
        <v>0335</v>
      </c>
      <c r="C1664" s="34" t="str">
        <f aca="false">'Uso e Consumo'!B1664</f>
        <v>UFV NORONHA VERDE - USO E CONSUMO</v>
      </c>
      <c r="D1664" s="33" t="n">
        <f aca="false">'Uso e Consumo'!C1664</f>
        <v>1382866</v>
      </c>
      <c r="E1664" s="34" t="str">
        <f aca="false">'Uso e Consumo'!D1664</f>
        <v>17.20.0687</v>
      </c>
      <c r="F1664" s="34" t="str">
        <f aca="false">'Uso e Consumo'!E1664</f>
        <v>SOLDA EXOTÉRMICA CABO 70 MM² - HASTE 5/8" TERMINAL - CARTUCHO</v>
      </c>
      <c r="G1664" s="34" t="str">
        <f aca="false">'Uso e Consumo'!J1664</f>
        <v>PC</v>
      </c>
      <c r="H1664" s="49" t="n">
        <f aca="false">'Uso e Consumo'!F1664</f>
        <v>2</v>
      </c>
      <c r="I1664" s="35" t="n">
        <f aca="false">'Uso e Consumo'!G1664</f>
        <v>277.65</v>
      </c>
      <c r="J1664" s="34" t="str">
        <f aca="false">'Uso e Consumo'!M1664</f>
        <v>3.8.1.017 - Instalações elétricas/telefônicas/lógica</v>
      </c>
      <c r="K1664" s="32" t="str">
        <f aca="false">INDEX('Curva ABC'!$K$8:$K$2847,MATCH(D1664,'Curva ABC'!$B$8:$B$2847,0))</f>
        <v>C</v>
      </c>
    </row>
    <row r="1665" customFormat="false" ht="15" hidden="false" customHeight="false" outlineLevel="0" collapsed="false">
      <c r="A1665" s="34" t="s">
        <v>5799</v>
      </c>
      <c r="B1665" s="34" t="str">
        <f aca="false">'Uso e Consumo'!A1665</f>
        <v>0335</v>
      </c>
      <c r="C1665" s="34" t="str">
        <f aca="false">'Uso e Consumo'!B1665</f>
        <v>UFV NORONHA VERDE - USO E CONSUMO</v>
      </c>
      <c r="D1665" s="33" t="n">
        <f aca="false">'Uso e Consumo'!C1665</f>
        <v>1068028</v>
      </c>
      <c r="E1665" s="34" t="str">
        <f aca="false">'Uso e Consumo'!D1665</f>
        <v>32.12.0238</v>
      </c>
      <c r="F1665" s="34" t="str">
        <f aca="false">'Uso e Consumo'!E1665</f>
        <v>PLUVIÔMETRO</v>
      </c>
      <c r="G1665" s="34" t="str">
        <f aca="false">'Uso e Consumo'!J1665</f>
        <v>UN</v>
      </c>
      <c r="H1665" s="49" t="n">
        <f aca="false">'Uso e Consumo'!F1665</f>
        <v>10</v>
      </c>
      <c r="I1665" s="35" t="n">
        <f aca="false">'Uso e Consumo'!G1665</f>
        <v>277</v>
      </c>
      <c r="J1665" s="34" t="str">
        <f aca="false">'Uso e Consumo'!M1665</f>
        <v>4.1.1.011 - Instrumentos para medição</v>
      </c>
      <c r="K1665" s="32" t="str">
        <f aca="false">INDEX('Curva ABC'!$K$8:$K$2847,MATCH(D1665,'Curva ABC'!$B$8:$B$2847,0))</f>
        <v>C</v>
      </c>
    </row>
    <row r="1666" customFormat="false" ht="15" hidden="false" customHeight="false" outlineLevel="0" collapsed="false">
      <c r="A1666" s="34" t="s">
        <v>5799</v>
      </c>
      <c r="B1666" s="34" t="str">
        <f aca="false">'Uso e Consumo'!A1666</f>
        <v>0335</v>
      </c>
      <c r="C1666" s="34" t="str">
        <f aca="false">'Uso e Consumo'!B1666</f>
        <v>UFV NORONHA VERDE - USO E CONSUMO</v>
      </c>
      <c r="D1666" s="33" t="n">
        <f aca="false">'Uso e Consumo'!C1666</f>
        <v>58867</v>
      </c>
      <c r="E1666" s="34" t="str">
        <f aca="false">'Uso e Consumo'!D1666</f>
        <v>29.03.0124</v>
      </c>
      <c r="F1666" s="34" t="str">
        <f aca="false">'Uso e Consumo'!E1666</f>
        <v>LANTERNA RECARREGÁVEL</v>
      </c>
      <c r="G1666" s="34" t="str">
        <f aca="false">'Uso e Consumo'!J1666</f>
        <v>UN</v>
      </c>
      <c r="H1666" s="49" t="n">
        <f aca="false">'Uso e Consumo'!F1666</f>
        <v>2</v>
      </c>
      <c r="I1666" s="35" t="n">
        <f aca="false">'Uso e Consumo'!G1666</f>
        <v>276</v>
      </c>
      <c r="J1666" s="34" t="str">
        <f aca="false">'Uso e Consumo'!M1666</f>
        <v>4.1.1.009 - Eletro eletrônico e acessórios</v>
      </c>
      <c r="K1666" s="32" t="str">
        <f aca="false">INDEX('Curva ABC'!$K$8:$K$2847,MATCH(D1666,'Curva ABC'!$B$8:$B$2847,0))</f>
        <v>C</v>
      </c>
    </row>
    <row r="1667" customFormat="false" ht="15" hidden="false" customHeight="false" outlineLevel="0" collapsed="false">
      <c r="A1667" s="34" t="s">
        <v>5799</v>
      </c>
      <c r="B1667" s="34" t="str">
        <f aca="false">'Uso e Consumo'!A1667</f>
        <v>0335</v>
      </c>
      <c r="C1667" s="34" t="str">
        <f aca="false">'Uso e Consumo'!B1667</f>
        <v>UFV NORONHA VERDE - USO E CONSUMO</v>
      </c>
      <c r="D1667" s="33" t="n">
        <f aca="false">'Uso e Consumo'!C1667</f>
        <v>1083624</v>
      </c>
      <c r="E1667" s="34" t="str">
        <f aca="false">'Uso e Consumo'!D1667</f>
        <v>33.02.2874</v>
      </c>
      <c r="F1667" s="34" t="str">
        <f aca="false">'Uso e Consumo'!E1667</f>
        <v>COLA SILICONE 50G ALTA TEMPERATURA</v>
      </c>
      <c r="G1667" s="34" t="str">
        <f aca="false">'Uso e Consumo'!J1667</f>
        <v>UN</v>
      </c>
      <c r="H1667" s="49" t="n">
        <f aca="false">'Uso e Consumo'!F1667</f>
        <v>5</v>
      </c>
      <c r="I1667" s="35" t="n">
        <f aca="false">'Uso e Consumo'!G1667</f>
        <v>275</v>
      </c>
      <c r="J1667" s="34" t="str">
        <f aca="false">'Uso e Consumo'!M1667</f>
        <v>3.1.6.002 - Pneus e peças</v>
      </c>
      <c r="K1667" s="32" t="str">
        <f aca="false">INDEX('Curva ABC'!$K$8:$K$2847,MATCH(D1667,'Curva ABC'!$B$8:$B$2847,0))</f>
        <v>C</v>
      </c>
    </row>
    <row r="1668" customFormat="false" ht="15" hidden="false" customHeight="false" outlineLevel="0" collapsed="false">
      <c r="A1668" s="34" t="s">
        <v>5799</v>
      </c>
      <c r="B1668" s="34" t="str">
        <f aca="false">'Uso e Consumo'!A1668</f>
        <v>0335</v>
      </c>
      <c r="C1668" s="34" t="str">
        <f aca="false">'Uso e Consumo'!B1668</f>
        <v>UFV NORONHA VERDE - USO E CONSUMO</v>
      </c>
      <c r="D1668" s="33" t="n">
        <f aca="false">'Uso e Consumo'!C1668</f>
        <v>1614511</v>
      </c>
      <c r="E1668" s="34" t="str">
        <f aca="false">'Uso e Consumo'!D1668</f>
        <v>17.02.0921</v>
      </c>
      <c r="F1668" s="34" t="str">
        <f aca="false">'Uso e Consumo'!E1668</f>
        <v>CURVA 90GR DE PVC RIGIDO COM ROSCA DN 85MM 3" BSP TIPO PESADO COR PRETA NBR 15465</v>
      </c>
      <c r="G1668" s="34" t="str">
        <f aca="false">'Uso e Consumo'!J1668</f>
        <v>UN</v>
      </c>
      <c r="H1668" s="49" t="n">
        <f aca="false">'Uso e Consumo'!F1668</f>
        <v>8</v>
      </c>
      <c r="I1668" s="35" t="n">
        <f aca="false">'Uso e Consumo'!G1668</f>
        <v>272.36</v>
      </c>
      <c r="J1668" s="34" t="str">
        <f aca="false">'Uso e Consumo'!M1668</f>
        <v>3.8.1.017 - Instalações elétricas/telefônicas/lógica</v>
      </c>
      <c r="K1668" s="32" t="str">
        <f aca="false">INDEX('Curva ABC'!$K$8:$K$2847,MATCH(D1668,'Curva ABC'!$B$8:$B$2847,0))</f>
        <v>C</v>
      </c>
    </row>
    <row r="1669" customFormat="false" ht="15" hidden="false" customHeight="false" outlineLevel="0" collapsed="false">
      <c r="A1669" s="34" t="s">
        <v>5799</v>
      </c>
      <c r="B1669" s="34" t="str">
        <f aca="false">'Uso e Consumo'!A1669</f>
        <v>0335</v>
      </c>
      <c r="C1669" s="34" t="str">
        <f aca="false">'Uso e Consumo'!B1669</f>
        <v>UFV NORONHA VERDE - USO E CONSUMO</v>
      </c>
      <c r="D1669" s="33" t="n">
        <f aca="false">'Uso e Consumo'!C1669</f>
        <v>352404</v>
      </c>
      <c r="E1669" s="34" t="str">
        <f aca="false">'Uso e Consumo'!D1669</f>
        <v>24.41.0134</v>
      </c>
      <c r="F1669" s="34" t="str">
        <f aca="false">'Uso e Consumo'!E1669</f>
        <v>SOQUETE ADAPTADOR IMPACTO CR-V 3/4" X 1/2"</v>
      </c>
      <c r="G1669" s="34" t="str">
        <f aca="false">'Uso e Consumo'!J1669</f>
        <v>UN</v>
      </c>
      <c r="H1669" s="49" t="n">
        <f aca="false">'Uso e Consumo'!F1669</f>
        <v>2</v>
      </c>
      <c r="I1669" s="35" t="n">
        <f aca="false">'Uso e Consumo'!G1669</f>
        <v>272.3</v>
      </c>
      <c r="J1669" s="34" t="str">
        <f aca="false">'Uso e Consumo'!M1669</f>
        <v>3.8.2.002 - Ferramentas manuais</v>
      </c>
      <c r="K1669" s="32" t="str">
        <f aca="false">INDEX('Curva ABC'!$K$8:$K$2847,MATCH(D1669,'Curva ABC'!$B$8:$B$2847,0))</f>
        <v>C</v>
      </c>
    </row>
    <row r="1670" customFormat="false" ht="15" hidden="false" customHeight="false" outlineLevel="0" collapsed="false">
      <c r="A1670" s="34" t="s">
        <v>5799</v>
      </c>
      <c r="B1670" s="34" t="str">
        <f aca="false">'Uso e Consumo'!A1670</f>
        <v>0335</v>
      </c>
      <c r="C1670" s="34" t="str">
        <f aca="false">'Uso e Consumo'!B1670</f>
        <v>UFV NORONHA VERDE - USO E CONSUMO</v>
      </c>
      <c r="D1670" s="33" t="n">
        <f aca="false">'Uso e Consumo'!C1670</f>
        <v>429143</v>
      </c>
      <c r="E1670" s="34" t="str">
        <f aca="false">'Uso e Consumo'!D1670</f>
        <v>16.05.0155</v>
      </c>
      <c r="F1670" s="34" t="str">
        <f aca="false">'Uso e Consumo'!E1670</f>
        <v>ROLO ANTIRESPINGO 23CM</v>
      </c>
      <c r="G1670" s="34" t="str">
        <f aca="false">'Uso e Consumo'!J1670</f>
        <v>UN</v>
      </c>
      <c r="H1670" s="49" t="n">
        <f aca="false">'Uso e Consumo'!F1670</f>
        <v>4</v>
      </c>
      <c r="I1670" s="35" t="n">
        <f aca="false">'Uso e Consumo'!G1670</f>
        <v>272</v>
      </c>
      <c r="J1670" s="34" t="str">
        <f aca="false">'Uso e Consumo'!M1670</f>
        <v>3.8.1.016 - Pinturas</v>
      </c>
      <c r="K1670" s="32" t="str">
        <f aca="false">INDEX('Curva ABC'!$K$8:$K$2847,MATCH(D1670,'Curva ABC'!$B$8:$B$2847,0))</f>
        <v>C</v>
      </c>
    </row>
    <row r="1671" customFormat="false" ht="15" hidden="false" customHeight="false" outlineLevel="0" collapsed="false">
      <c r="A1671" s="34" t="s">
        <v>5799</v>
      </c>
      <c r="B1671" s="34" t="str">
        <f aca="false">'Uso e Consumo'!A1671</f>
        <v>0335</v>
      </c>
      <c r="C1671" s="34" t="str">
        <f aca="false">'Uso e Consumo'!B1671</f>
        <v>UFV NORONHA VERDE - USO E CONSUMO</v>
      </c>
      <c r="D1671" s="33" t="n">
        <f aca="false">'Uso e Consumo'!C1671</f>
        <v>840030</v>
      </c>
      <c r="E1671" s="34" t="str">
        <f aca="false">'Uso e Consumo'!D1671</f>
        <v>18.01.1270</v>
      </c>
      <c r="F1671" s="34" t="str">
        <f aca="false">'Uso e Consumo'!E1671</f>
        <v>TÊ 40 X 40MM, ESGOTO SÉRIE NORMAL - TIGRE</v>
      </c>
      <c r="G1671" s="34" t="str">
        <f aca="false">'Uso e Consumo'!J1671</f>
        <v>UN</v>
      </c>
      <c r="H1671" s="49" t="n">
        <f aca="false">'Uso e Consumo'!F1671</f>
        <v>85</v>
      </c>
      <c r="I1671" s="35" t="n">
        <f aca="false">'Uso e Consumo'!G1671</f>
        <v>272</v>
      </c>
      <c r="J1671" s="34" t="str">
        <f aca="false">'Uso e Consumo'!M1671</f>
        <v>3.8.1.018 - Instalações hidráulicas/sanitárias/industriais</v>
      </c>
      <c r="K1671" s="32" t="str">
        <f aca="false">INDEX('Curva ABC'!$K$8:$K$2847,MATCH(D1671,'Curva ABC'!$B$8:$B$2847,0))</f>
        <v>C</v>
      </c>
    </row>
    <row r="1672" customFormat="false" ht="15" hidden="false" customHeight="false" outlineLevel="0" collapsed="false">
      <c r="A1672" s="34" t="s">
        <v>5799</v>
      </c>
      <c r="B1672" s="34" t="str">
        <f aca="false">'Uso e Consumo'!A1672</f>
        <v>0335</v>
      </c>
      <c r="C1672" s="34" t="str">
        <f aca="false">'Uso e Consumo'!B1672</f>
        <v>UFV NORONHA VERDE - USO E CONSUMO</v>
      </c>
      <c r="D1672" s="33" t="n">
        <f aca="false">'Uso e Consumo'!C1672</f>
        <v>605443</v>
      </c>
      <c r="E1672" s="34" t="str">
        <f aca="false">'Uso e Consumo'!D1672</f>
        <v>23.05.0213</v>
      </c>
      <c r="F1672" s="34" t="str">
        <f aca="false">'Uso e Consumo'!E1672</f>
        <v>ARRUELA LISA M12</v>
      </c>
      <c r="G1672" s="34" t="str">
        <f aca="false">'Uso e Consumo'!J1672</f>
        <v>UN</v>
      </c>
      <c r="H1672" s="49" t="n">
        <f aca="false">'Uso e Consumo'!F1672</f>
        <v>436</v>
      </c>
      <c r="I1672" s="35" t="n">
        <f aca="false">'Uso e Consumo'!G1672</f>
        <v>270.5</v>
      </c>
      <c r="J1672" s="34" t="str">
        <f aca="false">'Uso e Consumo'!M1672</f>
        <v>3.8.1.022 - Elementos de fixação</v>
      </c>
      <c r="K1672" s="32" t="str">
        <f aca="false">INDEX('Curva ABC'!$K$8:$K$2847,MATCH(D1672,'Curva ABC'!$B$8:$B$2847,0))</f>
        <v>C</v>
      </c>
    </row>
    <row r="1673" customFormat="false" ht="15" hidden="false" customHeight="false" outlineLevel="0" collapsed="false">
      <c r="A1673" s="34" t="s">
        <v>5799</v>
      </c>
      <c r="B1673" s="34" t="str">
        <f aca="false">'Uso e Consumo'!A1673</f>
        <v>0335</v>
      </c>
      <c r="C1673" s="34" t="str">
        <f aca="false">'Uso e Consumo'!B1673</f>
        <v>UFV NORONHA VERDE - USO E CONSUMO</v>
      </c>
      <c r="D1673" s="33" t="n">
        <f aca="false">'Uso e Consumo'!C1673</f>
        <v>1330891</v>
      </c>
      <c r="E1673" s="34" t="str">
        <f aca="false">'Uso e Consumo'!D1673</f>
        <v>23.02.0476</v>
      </c>
      <c r="F1673" s="34" t="str">
        <f aca="false">'Uso e Consumo'!E1673</f>
        <v>ABRAÇADEIRA TIPO "D" C/ CUNHA P/ ELÉTRODUTO DE DIAN. 1" EM AÇO INOXIDÁVEL</v>
      </c>
      <c r="G1673" s="34" t="str">
        <f aca="false">'Uso e Consumo'!J1673</f>
        <v>UN</v>
      </c>
      <c r="H1673" s="49" t="n">
        <f aca="false">'Uso e Consumo'!F1673</f>
        <v>46</v>
      </c>
      <c r="I1673" s="35" t="n">
        <f aca="false">'Uso e Consumo'!G1673</f>
        <v>270.1</v>
      </c>
      <c r="J1673" s="34" t="str">
        <f aca="false">'Uso e Consumo'!M1673</f>
        <v>3.8.1.022 - Elementos de fixação</v>
      </c>
      <c r="K1673" s="32" t="str">
        <f aca="false">INDEX('Curva ABC'!$K$8:$K$2847,MATCH(D1673,'Curva ABC'!$B$8:$B$2847,0))</f>
        <v>C</v>
      </c>
    </row>
    <row r="1674" customFormat="false" ht="15" hidden="false" customHeight="false" outlineLevel="0" collapsed="false">
      <c r="A1674" s="34" t="s">
        <v>5799</v>
      </c>
      <c r="B1674" s="34" t="str">
        <f aca="false">'Uso e Consumo'!A1674</f>
        <v>0335</v>
      </c>
      <c r="C1674" s="34" t="str">
        <f aca="false">'Uso e Consumo'!B1674</f>
        <v>UFV NORONHA VERDE - USO E CONSUMO</v>
      </c>
      <c r="D1674" s="33" t="n">
        <f aca="false">'Uso e Consumo'!C1674</f>
        <v>33034</v>
      </c>
      <c r="E1674" s="34" t="str">
        <f aca="false">'Uso e Consumo'!D1674</f>
        <v>24.09.0248</v>
      </c>
      <c r="F1674" s="34" t="str">
        <f aca="false">'Uso e Consumo'!E1674</f>
        <v>JOGO DE SOQUETES E CHAVES SOQUETE COM PERFIL TORX -  20 PEÇAS</v>
      </c>
      <c r="G1674" s="34" t="str">
        <f aca="false">'Uso e Consumo'!J1674</f>
        <v>UN</v>
      </c>
      <c r="H1674" s="49" t="n">
        <f aca="false">'Uso e Consumo'!F1674</f>
        <v>5</v>
      </c>
      <c r="I1674" s="35" t="n">
        <f aca="false">'Uso e Consumo'!G1674</f>
        <v>270.07</v>
      </c>
      <c r="J1674" s="34" t="str">
        <f aca="false">'Uso e Consumo'!M1674</f>
        <v>3.8.2.002 - Ferramentas manuais</v>
      </c>
      <c r="K1674" s="32" t="str">
        <f aca="false">INDEX('Curva ABC'!$K$8:$K$2847,MATCH(D1674,'Curva ABC'!$B$8:$B$2847,0))</f>
        <v>C</v>
      </c>
    </row>
    <row r="1675" customFormat="false" ht="15" hidden="false" customHeight="false" outlineLevel="0" collapsed="false">
      <c r="A1675" s="34" t="s">
        <v>5799</v>
      </c>
      <c r="B1675" s="34" t="str">
        <f aca="false">'Uso e Consumo'!A1675</f>
        <v>0335</v>
      </c>
      <c r="C1675" s="34" t="str">
        <f aca="false">'Uso e Consumo'!B1675</f>
        <v>UFV NORONHA VERDE - USO E CONSUMO</v>
      </c>
      <c r="D1675" s="33" t="n">
        <f aca="false">'Uso e Consumo'!C1675</f>
        <v>21398</v>
      </c>
      <c r="E1675" s="34" t="str">
        <f aca="false">'Uso e Consumo'!D1675</f>
        <v>24.14.0011</v>
      </c>
      <c r="F1675" s="34" t="str">
        <f aca="false">'Uso e Consumo'!E1675</f>
        <v>MARRETA DE PEDREIRO COM CABO 5 KG</v>
      </c>
      <c r="G1675" s="34" t="str">
        <f aca="false">'Uso e Consumo'!J1675</f>
        <v>UN</v>
      </c>
      <c r="H1675" s="49" t="n">
        <f aca="false">'Uso e Consumo'!F1675</f>
        <v>2</v>
      </c>
      <c r="I1675" s="35" t="n">
        <f aca="false">'Uso e Consumo'!G1675</f>
        <v>270</v>
      </c>
      <c r="J1675" s="34" t="str">
        <f aca="false">'Uso e Consumo'!M1675</f>
        <v>3.8.2.002 - Ferramentas manuais</v>
      </c>
      <c r="K1675" s="32" t="str">
        <f aca="false">INDEX('Curva ABC'!$K$8:$K$2847,MATCH(D1675,'Curva ABC'!$B$8:$B$2847,0))</f>
        <v>C</v>
      </c>
    </row>
    <row r="1676" customFormat="false" ht="15" hidden="false" customHeight="false" outlineLevel="0" collapsed="false">
      <c r="A1676" s="34" t="s">
        <v>5799</v>
      </c>
      <c r="B1676" s="34" t="str">
        <f aca="false">'Uso e Consumo'!A1676</f>
        <v>0335</v>
      </c>
      <c r="C1676" s="34" t="str">
        <f aca="false">'Uso e Consumo'!B1676</f>
        <v>UFV NORONHA VERDE - USO E CONSUMO</v>
      </c>
      <c r="D1676" s="33" t="n">
        <f aca="false">'Uso e Consumo'!C1676</f>
        <v>1467854</v>
      </c>
      <c r="E1676" s="34" t="str">
        <f aca="false">'Uso e Consumo'!D1676</f>
        <v>27.02.0220</v>
      </c>
      <c r="F1676" s="34" t="str">
        <f aca="false">'Uso e Consumo'!E1676</f>
        <v>MASCARA LARÍNGEA TAMANHO 05</v>
      </c>
      <c r="G1676" s="34" t="str">
        <f aca="false">'Uso e Consumo'!J1676</f>
        <v>CX</v>
      </c>
      <c r="H1676" s="49" t="n">
        <f aca="false">'Uso e Consumo'!F1676</f>
        <v>1</v>
      </c>
      <c r="I1676" s="35" t="n">
        <f aca="false">'Uso e Consumo'!G1676</f>
        <v>270</v>
      </c>
      <c r="J1676" s="34" t="str">
        <f aca="false">'Uso e Consumo'!M1676</f>
        <v>4.3.4.007 - Mobiliário médico/equipamentos/acessórios</v>
      </c>
      <c r="K1676" s="32" t="str">
        <f aca="false">INDEX('Curva ABC'!$K$8:$K$2847,MATCH(D1676,'Curva ABC'!$B$8:$B$2847,0))</f>
        <v>C</v>
      </c>
    </row>
    <row r="1677" customFormat="false" ht="15" hidden="false" customHeight="false" outlineLevel="0" collapsed="false">
      <c r="A1677" s="34" t="s">
        <v>5799</v>
      </c>
      <c r="B1677" s="34" t="str">
        <f aca="false">'Uso e Consumo'!A1677</f>
        <v>0335</v>
      </c>
      <c r="C1677" s="34" t="str">
        <f aca="false">'Uso e Consumo'!B1677</f>
        <v>UFV NORONHA VERDE - USO E CONSUMO</v>
      </c>
      <c r="D1677" s="33" t="n">
        <f aca="false">'Uso e Consumo'!C1677</f>
        <v>24071</v>
      </c>
      <c r="E1677" s="34" t="str">
        <f aca="false">'Uso e Consumo'!D1677</f>
        <v>26.03.0016</v>
      </c>
      <c r="F1677" s="34" t="str">
        <f aca="false">'Uso e Consumo'!E1677</f>
        <v>CAPACETE COM ABA FRONTAL (TIPO II) C/ CARNEIRA - COR VERMELHA (CA-8562/25856/29792)</v>
      </c>
      <c r="G1677" s="34" t="str">
        <f aca="false">'Uso e Consumo'!J1677</f>
        <v>UN</v>
      </c>
      <c r="H1677" s="49" t="n">
        <f aca="false">'Uso e Consumo'!F1677</f>
        <v>28</v>
      </c>
      <c r="I1677" s="35" t="n">
        <f aca="false">'Uso e Consumo'!G1677</f>
        <v>269.98</v>
      </c>
      <c r="J1677" s="34" t="str">
        <f aca="false">'Uso e Consumo'!M1677</f>
        <v>4.3.4.001 - Equipamento de proteção individual</v>
      </c>
      <c r="K1677" s="32" t="str">
        <f aca="false">INDEX('Curva ABC'!$K$8:$K$2847,MATCH(D1677,'Curva ABC'!$B$8:$B$2847,0))</f>
        <v>C</v>
      </c>
    </row>
    <row r="1678" customFormat="false" ht="15" hidden="false" customHeight="false" outlineLevel="0" collapsed="false">
      <c r="A1678" s="34" t="s">
        <v>5799</v>
      </c>
      <c r="B1678" s="34" t="str">
        <f aca="false">'Uso e Consumo'!A1678</f>
        <v>0335</v>
      </c>
      <c r="C1678" s="34" t="str">
        <f aca="false">'Uso e Consumo'!B1678</f>
        <v>UFV NORONHA VERDE - USO E CONSUMO</v>
      </c>
      <c r="D1678" s="33" t="n">
        <f aca="false">'Uso e Consumo'!C1678</f>
        <v>21356</v>
      </c>
      <c r="E1678" s="34" t="str">
        <f aca="false">'Uso e Consumo'!D1678</f>
        <v>24.09.0184</v>
      </c>
      <c r="F1678" s="34" t="str">
        <f aca="false">'Uso e Consumo'!E1678</f>
        <v>CHAVE PARA VIRAR FERRO 1/2 - 12.5</v>
      </c>
      <c r="G1678" s="34" t="str">
        <f aca="false">'Uso e Consumo'!J1678</f>
        <v>UN</v>
      </c>
      <c r="H1678" s="49" t="n">
        <f aca="false">'Uso e Consumo'!F1678</f>
        <v>4</v>
      </c>
      <c r="I1678" s="35" t="n">
        <f aca="false">'Uso e Consumo'!G1678</f>
        <v>269.96</v>
      </c>
      <c r="J1678" s="34" t="str">
        <f aca="false">'Uso e Consumo'!M1678</f>
        <v>3.8.2.002 - Ferramentas manuais</v>
      </c>
      <c r="K1678" s="32" t="str">
        <f aca="false">INDEX('Curva ABC'!$K$8:$K$2847,MATCH(D1678,'Curva ABC'!$B$8:$B$2847,0))</f>
        <v>C</v>
      </c>
    </row>
    <row r="1679" customFormat="false" ht="15" hidden="false" customHeight="false" outlineLevel="0" collapsed="false">
      <c r="A1679" s="34" t="s">
        <v>5799</v>
      </c>
      <c r="B1679" s="34" t="str">
        <f aca="false">'Uso e Consumo'!A1679</f>
        <v>0335</v>
      </c>
      <c r="C1679" s="34" t="str">
        <f aca="false">'Uso e Consumo'!B1679</f>
        <v>UFV NORONHA VERDE - USO E CONSUMO</v>
      </c>
      <c r="D1679" s="33" t="n">
        <f aca="false">'Uso e Consumo'!C1679</f>
        <v>19445</v>
      </c>
      <c r="E1679" s="34" t="str">
        <f aca="false">'Uso e Consumo'!D1679</f>
        <v>30.01.0165</v>
      </c>
      <c r="F1679" s="34" t="str">
        <f aca="false">'Uso e Consumo'!E1679</f>
        <v>ESCALA RINGELMANN EM PAPEL CARTÃO 21X11CM</v>
      </c>
      <c r="G1679" s="34" t="str">
        <f aca="false">'Uso e Consumo'!J1679</f>
        <v>UN</v>
      </c>
      <c r="H1679" s="49" t="n">
        <f aca="false">'Uso e Consumo'!F1679</f>
        <v>5</v>
      </c>
      <c r="I1679" s="35" t="n">
        <f aca="false">'Uso e Consumo'!G1679</f>
        <v>269.91</v>
      </c>
      <c r="J1679" s="34" t="str">
        <f aca="false">'Uso e Consumo'!M1679</f>
        <v>4.1.1.002 - Material expediente</v>
      </c>
      <c r="K1679" s="32" t="str">
        <f aca="false">INDEX('Curva ABC'!$K$8:$K$2847,MATCH(D1679,'Curva ABC'!$B$8:$B$2847,0))</f>
        <v>C</v>
      </c>
    </row>
    <row r="1680" customFormat="false" ht="15" hidden="false" customHeight="false" outlineLevel="0" collapsed="false">
      <c r="A1680" s="34" t="s">
        <v>5799</v>
      </c>
      <c r="B1680" s="34" t="str">
        <f aca="false">'Uso e Consumo'!A1680</f>
        <v>0335</v>
      </c>
      <c r="C1680" s="34" t="str">
        <f aca="false">'Uso e Consumo'!B1680</f>
        <v>UFV NORONHA VERDE - USO E CONSUMO</v>
      </c>
      <c r="D1680" s="33" t="n">
        <f aca="false">'Uso e Consumo'!C1680</f>
        <v>279605</v>
      </c>
      <c r="E1680" s="34" t="str">
        <f aca="false">'Uso e Consumo'!D1680</f>
        <v>30.04.0172</v>
      </c>
      <c r="F1680" s="34" t="str">
        <f aca="false">'Uso e Consumo'!E1680</f>
        <v>ALÇA PEGADOR DE GARRAFÃO DE 20L DE ÁGUA</v>
      </c>
      <c r="G1680" s="34" t="str">
        <f aca="false">'Uso e Consumo'!J1680</f>
        <v>UN</v>
      </c>
      <c r="H1680" s="49" t="n">
        <f aca="false">'Uso e Consumo'!F1680</f>
        <v>6</v>
      </c>
      <c r="I1680" s="35" t="n">
        <f aca="false">'Uso e Consumo'!G1680</f>
        <v>269.88</v>
      </c>
      <c r="J1680" s="34" t="str">
        <f aca="false">'Uso e Consumo'!M1680</f>
        <v>4.1.1.001 - Material de uso e consumo</v>
      </c>
      <c r="K1680" s="32" t="str">
        <f aca="false">INDEX('Curva ABC'!$K$8:$K$2847,MATCH(D1680,'Curva ABC'!$B$8:$B$2847,0))</f>
        <v>C</v>
      </c>
    </row>
    <row r="1681" customFormat="false" ht="15" hidden="false" customHeight="false" outlineLevel="0" collapsed="false">
      <c r="A1681" s="34" t="s">
        <v>5799</v>
      </c>
      <c r="B1681" s="34" t="str">
        <f aca="false">'Uso e Consumo'!A1681</f>
        <v>0335</v>
      </c>
      <c r="C1681" s="34" t="str">
        <f aca="false">'Uso e Consumo'!B1681</f>
        <v>UFV NORONHA VERDE - USO E CONSUMO</v>
      </c>
      <c r="D1681" s="33" t="n">
        <f aca="false">'Uso e Consumo'!C1681</f>
        <v>12653</v>
      </c>
      <c r="E1681" s="34" t="str">
        <f aca="false">'Uso e Consumo'!D1681</f>
        <v>17.02.0153</v>
      </c>
      <c r="F1681" s="34" t="str">
        <f aca="false">'Uso e Consumo'!E1681</f>
        <v>LUVA P/ELETRODUTO PVC C/ROSCA PRETO 1.1/2"</v>
      </c>
      <c r="G1681" s="34" t="str">
        <f aca="false">'Uso e Consumo'!J1681</f>
        <v>UN</v>
      </c>
      <c r="H1681" s="49" t="n">
        <f aca="false">'Uso e Consumo'!F1681</f>
        <v>18</v>
      </c>
      <c r="I1681" s="35" t="n">
        <f aca="false">'Uso e Consumo'!G1681</f>
        <v>269.64</v>
      </c>
      <c r="J1681" s="34" t="str">
        <f aca="false">'Uso e Consumo'!M1681</f>
        <v>3.8.1.017 - Instalações elétricas/telefônicas/lógica</v>
      </c>
      <c r="K1681" s="32" t="str">
        <f aca="false">INDEX('Curva ABC'!$K$8:$K$2847,MATCH(D1681,'Curva ABC'!$B$8:$B$2847,0))</f>
        <v>C</v>
      </c>
    </row>
    <row r="1682" customFormat="false" ht="15" hidden="false" customHeight="false" outlineLevel="0" collapsed="false">
      <c r="A1682" s="34" t="s">
        <v>5799</v>
      </c>
      <c r="B1682" s="34" t="str">
        <f aca="false">'Uso e Consumo'!A1682</f>
        <v>0335</v>
      </c>
      <c r="C1682" s="34" t="str">
        <f aca="false">'Uso e Consumo'!B1682</f>
        <v>UFV NORONHA VERDE - USO E CONSUMO</v>
      </c>
      <c r="D1682" s="33" t="n">
        <f aca="false">'Uso e Consumo'!C1682</f>
        <v>1672550</v>
      </c>
      <c r="E1682" s="34" t="str">
        <f aca="false">'Uso e Consumo'!D1682</f>
        <v>09.08.0082</v>
      </c>
      <c r="F1682" s="34" t="str">
        <f aca="false">'Uso e Consumo'!E1682</f>
        <v>TAMPA DE CONCRETO ARMADO 30 X 96 X 6 CM</v>
      </c>
      <c r="G1682" s="34" t="str">
        <f aca="false">'Uso e Consumo'!J1682</f>
        <v>UN</v>
      </c>
      <c r="H1682" s="49" t="n">
        <f aca="false">'Uso e Consumo'!F1682</f>
        <v>4</v>
      </c>
      <c r="I1682" s="35" t="n">
        <f aca="false">'Uso e Consumo'!G1682</f>
        <v>269.56</v>
      </c>
      <c r="J1682" s="34" t="str">
        <f aca="false">'Uso e Consumo'!M1682</f>
        <v>3.8.1.009 - Artefatos pré-moldados de concreto</v>
      </c>
      <c r="K1682" s="32" t="str">
        <f aca="false">INDEX('Curva ABC'!$K$8:$K$2847,MATCH(D1682,'Curva ABC'!$B$8:$B$2847,0))</f>
        <v>C</v>
      </c>
    </row>
    <row r="1683" customFormat="false" ht="15" hidden="false" customHeight="false" outlineLevel="0" collapsed="false">
      <c r="A1683" s="34" t="s">
        <v>5799</v>
      </c>
      <c r="B1683" s="34" t="str">
        <f aca="false">'Uso e Consumo'!A1683</f>
        <v>0335</v>
      </c>
      <c r="C1683" s="34" t="str">
        <f aca="false">'Uso e Consumo'!B1683</f>
        <v>UFV NORONHA VERDE - USO E CONSUMO</v>
      </c>
      <c r="D1683" s="33" t="n">
        <f aca="false">'Uso e Consumo'!C1683</f>
        <v>22808</v>
      </c>
      <c r="E1683" s="34" t="str">
        <f aca="false">'Uso e Consumo'!D1683</f>
        <v>33.02.0217</v>
      </c>
      <c r="F1683" s="34" t="str">
        <f aca="false">'Uso e Consumo'!E1683</f>
        <v>ANEL DE VEDAÇÃO</v>
      </c>
      <c r="G1683" s="34" t="str">
        <f aca="false">'Uso e Consumo'!J1683</f>
        <v>UN</v>
      </c>
      <c r="H1683" s="49" t="n">
        <f aca="false">'Uso e Consumo'!F1683</f>
        <v>27</v>
      </c>
      <c r="I1683" s="35" t="n">
        <f aca="false">'Uso e Consumo'!G1683</f>
        <v>269.46</v>
      </c>
      <c r="J1683" s="34" t="str">
        <f aca="false">'Uso e Consumo'!M1683</f>
        <v>3.1.6.002 - Pneus e peças</v>
      </c>
      <c r="K1683" s="32" t="str">
        <f aca="false">INDEX('Curva ABC'!$K$8:$K$2847,MATCH(D1683,'Curva ABC'!$B$8:$B$2847,0))</f>
        <v>C</v>
      </c>
    </row>
    <row r="1684" customFormat="false" ht="15" hidden="false" customHeight="false" outlineLevel="0" collapsed="false">
      <c r="A1684" s="34" t="s">
        <v>5799</v>
      </c>
      <c r="B1684" s="34" t="str">
        <f aca="false">'Uso e Consumo'!A1684</f>
        <v>0335</v>
      </c>
      <c r="C1684" s="34" t="str">
        <f aca="false">'Uso e Consumo'!B1684</f>
        <v>UFV NORONHA VERDE - USO E CONSUMO</v>
      </c>
      <c r="D1684" s="33" t="n">
        <f aca="false">'Uso e Consumo'!C1684</f>
        <v>1077314</v>
      </c>
      <c r="E1684" s="34" t="str">
        <f aca="false">'Uso e Consumo'!D1684</f>
        <v>16.05.0209</v>
      </c>
      <c r="F1684" s="34" t="str">
        <f aca="false">'Uso e Consumo'!E1684</f>
        <v>BANDEJA P/ PINTURA 23 CM</v>
      </c>
      <c r="G1684" s="34" t="str">
        <f aca="false">'Uso e Consumo'!J1684</f>
        <v>pç</v>
      </c>
      <c r="H1684" s="49" t="n">
        <f aca="false">'Uso e Consumo'!F1684</f>
        <v>20</v>
      </c>
      <c r="I1684" s="35" t="n">
        <f aca="false">'Uso e Consumo'!G1684</f>
        <v>269.4</v>
      </c>
      <c r="J1684" s="34" t="str">
        <f aca="false">'Uso e Consumo'!M1684</f>
        <v>3.8.1.016 - Pinturas</v>
      </c>
      <c r="K1684" s="32" t="str">
        <f aca="false">INDEX('Curva ABC'!$K$8:$K$2847,MATCH(D1684,'Curva ABC'!$B$8:$B$2847,0))</f>
        <v>C</v>
      </c>
    </row>
    <row r="1685" customFormat="false" ht="15" hidden="false" customHeight="false" outlineLevel="0" collapsed="false">
      <c r="A1685" s="34" t="s">
        <v>5799</v>
      </c>
      <c r="B1685" s="34" t="str">
        <f aca="false">'Uso e Consumo'!A1685</f>
        <v>0335</v>
      </c>
      <c r="C1685" s="34" t="str">
        <f aca="false">'Uso e Consumo'!B1685</f>
        <v>UFV NORONHA VERDE - USO E CONSUMO</v>
      </c>
      <c r="D1685" s="33" t="n">
        <f aca="false">'Uso e Consumo'!C1685</f>
        <v>950843</v>
      </c>
      <c r="E1685" s="34" t="str">
        <f aca="false">'Uso e Consumo'!D1685</f>
        <v>16.03.0435</v>
      </c>
      <c r="F1685" s="34" t="str">
        <f aca="false">'Uso e Consumo'!E1685</f>
        <v>TINTA ESMALTE 3,6LT</v>
      </c>
      <c r="G1685" s="34" t="str">
        <f aca="false">'Uso e Consumo'!J1685</f>
        <v>UN</v>
      </c>
      <c r="H1685" s="49" t="n">
        <f aca="false">'Uso e Consumo'!F1685</f>
        <v>1</v>
      </c>
      <c r="I1685" s="35" t="n">
        <f aca="false">'Uso e Consumo'!G1685</f>
        <v>268</v>
      </c>
      <c r="J1685" s="34" t="str">
        <f aca="false">'Uso e Consumo'!M1685</f>
        <v>3.8.1.016 - Pinturas</v>
      </c>
      <c r="K1685" s="32" t="str">
        <f aca="false">INDEX('Curva ABC'!$K$8:$K$2847,MATCH(D1685,'Curva ABC'!$B$8:$B$2847,0))</f>
        <v>C</v>
      </c>
    </row>
    <row r="1686" customFormat="false" ht="15" hidden="false" customHeight="false" outlineLevel="0" collapsed="false">
      <c r="A1686" s="34" t="s">
        <v>5799</v>
      </c>
      <c r="B1686" s="34" t="str">
        <f aca="false">'Uso e Consumo'!A1686</f>
        <v>0335</v>
      </c>
      <c r="C1686" s="34" t="str">
        <f aca="false">'Uso e Consumo'!B1686</f>
        <v>UFV NORONHA VERDE - USO E CONSUMO</v>
      </c>
      <c r="D1686" s="33" t="n">
        <f aca="false">'Uso e Consumo'!C1686</f>
        <v>869642</v>
      </c>
      <c r="E1686" s="34" t="str">
        <f aca="false">'Uso e Consumo'!D1686</f>
        <v>26.12.0126</v>
      </c>
      <c r="F1686" s="34" t="str">
        <f aca="false">'Uso e Consumo'!E1686</f>
        <v>CADEADO LOTO BLOQUEIO 38MM HASTE CROMADA (AMARELO)</v>
      </c>
      <c r="G1686" s="34" t="str">
        <f aca="false">'Uso e Consumo'!J1686</f>
        <v>UN</v>
      </c>
      <c r="H1686" s="49" t="n">
        <f aca="false">'Uso e Consumo'!F1686</f>
        <v>3</v>
      </c>
      <c r="I1686" s="35" t="n">
        <f aca="false">'Uso e Consumo'!G1686</f>
        <v>267</v>
      </c>
      <c r="J1686" s="34" t="str">
        <f aca="false">'Uso e Consumo'!M1686</f>
        <v>4.3.4.002 - Equipamento de proteção e sinalização coletiva</v>
      </c>
      <c r="K1686" s="32" t="str">
        <f aca="false">INDEX('Curva ABC'!$K$8:$K$2847,MATCH(D1686,'Curva ABC'!$B$8:$B$2847,0))</f>
        <v>C</v>
      </c>
    </row>
    <row r="1687" customFormat="false" ht="15" hidden="false" customHeight="false" outlineLevel="0" collapsed="false">
      <c r="A1687" s="34" t="s">
        <v>5799</v>
      </c>
      <c r="B1687" s="34" t="str">
        <f aca="false">'Uso e Consumo'!A1687</f>
        <v>0335</v>
      </c>
      <c r="C1687" s="34" t="str">
        <f aca="false">'Uso e Consumo'!B1687</f>
        <v>UFV NORONHA VERDE - USO E CONSUMO</v>
      </c>
      <c r="D1687" s="33" t="n">
        <f aca="false">'Uso e Consumo'!C1687</f>
        <v>30867</v>
      </c>
      <c r="E1687" s="34" t="str">
        <f aca="false">'Uso e Consumo'!D1687</f>
        <v>17.02.0001</v>
      </c>
      <c r="F1687" s="34" t="str">
        <f aca="false">'Uso e Consumo'!E1687</f>
        <v>ELETRODUTO PVC ANTICHAMA FLEXIVEL CORRUGADO 20,00MM NBR 15465</v>
      </c>
      <c r="G1687" s="34" t="str">
        <f aca="false">'Uso e Consumo'!J1687</f>
        <v>R50M</v>
      </c>
      <c r="H1687" s="49" t="n">
        <f aca="false">'Uso e Consumo'!F1687</f>
        <v>6</v>
      </c>
      <c r="I1687" s="35" t="n">
        <f aca="false">'Uso e Consumo'!G1687</f>
        <v>264</v>
      </c>
      <c r="J1687" s="34" t="str">
        <f aca="false">'Uso e Consumo'!M1687</f>
        <v>3.8.1.017 - Instalações elétricas/telefônicas/lógica</v>
      </c>
      <c r="K1687" s="32" t="str">
        <f aca="false">INDEX('Curva ABC'!$K$8:$K$2847,MATCH(D1687,'Curva ABC'!$B$8:$B$2847,0))</f>
        <v>C</v>
      </c>
    </row>
    <row r="1688" customFormat="false" ht="15" hidden="false" customHeight="false" outlineLevel="0" collapsed="false">
      <c r="A1688" s="34" t="s">
        <v>5799</v>
      </c>
      <c r="B1688" s="34" t="str">
        <f aca="false">'Uso e Consumo'!A1688</f>
        <v>0335</v>
      </c>
      <c r="C1688" s="34" t="str">
        <f aca="false">'Uso e Consumo'!B1688</f>
        <v>UFV NORONHA VERDE - USO E CONSUMO</v>
      </c>
      <c r="D1688" s="33" t="n">
        <f aca="false">'Uso e Consumo'!C1688</f>
        <v>945177</v>
      </c>
      <c r="E1688" s="34" t="str">
        <f aca="false">'Uso e Consumo'!D1688</f>
        <v>24.20.0022</v>
      </c>
      <c r="F1688" s="34" t="str">
        <f aca="false">'Uso e Consumo'!E1688</f>
        <v>ESCANTILHAO TELESCOPICO C/ REGUA CALIBRADA A CADA 19CM EQUIPAOBRA</v>
      </c>
      <c r="G1688" s="34" t="str">
        <f aca="false">'Uso e Consumo'!J1688</f>
        <v>UN</v>
      </c>
      <c r="H1688" s="49" t="n">
        <f aca="false">'Uso e Consumo'!F1688</f>
        <v>3</v>
      </c>
      <c r="I1688" s="35" t="n">
        <f aca="false">'Uso e Consumo'!G1688</f>
        <v>264</v>
      </c>
      <c r="J1688" s="34" t="str">
        <f aca="false">'Uso e Consumo'!M1688</f>
        <v>3.8.2.002 - Ferramentas manuais</v>
      </c>
      <c r="K1688" s="32" t="str">
        <f aca="false">INDEX('Curva ABC'!$K$8:$K$2847,MATCH(D1688,'Curva ABC'!$B$8:$B$2847,0))</f>
        <v>C</v>
      </c>
    </row>
    <row r="1689" customFormat="false" ht="15" hidden="false" customHeight="false" outlineLevel="0" collapsed="false">
      <c r="A1689" s="34" t="s">
        <v>5799</v>
      </c>
      <c r="B1689" s="34" t="str">
        <f aca="false">'Uso e Consumo'!A1689</f>
        <v>0335</v>
      </c>
      <c r="C1689" s="34" t="str">
        <f aca="false">'Uso e Consumo'!B1689</f>
        <v>UFV NORONHA VERDE - USO E CONSUMO</v>
      </c>
      <c r="D1689" s="33" t="n">
        <f aca="false">'Uso e Consumo'!C1689</f>
        <v>1607590</v>
      </c>
      <c r="E1689" s="34" t="str">
        <f aca="false">'Uso e Consumo'!D1689</f>
        <v>17.02.0916</v>
      </c>
      <c r="F1689" s="34" t="str">
        <f aca="false">'Uso e Consumo'!E1689</f>
        <v>ELETRODUTO RIGIDO PVC PRETO SOLDAVEL DE 3" - VARA COM 3M</v>
      </c>
      <c r="G1689" s="34" t="str">
        <f aca="false">'Uso e Consumo'!J1689</f>
        <v>UN</v>
      </c>
      <c r="H1689" s="49" t="n">
        <f aca="false">'Uso e Consumo'!F1689</f>
        <v>6</v>
      </c>
      <c r="I1689" s="35" t="n">
        <f aca="false">'Uso e Consumo'!G1689</f>
        <v>264</v>
      </c>
      <c r="J1689" s="34" t="str">
        <f aca="false">'Uso e Consumo'!M1689</f>
        <v>3.8.1.017 - Instalações elétricas/telefônicas/lógica</v>
      </c>
      <c r="K1689" s="32" t="str">
        <f aca="false">INDEX('Curva ABC'!$K$8:$K$2847,MATCH(D1689,'Curva ABC'!$B$8:$B$2847,0))</f>
        <v>C</v>
      </c>
    </row>
    <row r="1690" customFormat="false" ht="15" hidden="false" customHeight="false" outlineLevel="0" collapsed="false">
      <c r="A1690" s="34" t="s">
        <v>5799</v>
      </c>
      <c r="B1690" s="34" t="str">
        <f aca="false">'Uso e Consumo'!A1690</f>
        <v>0335</v>
      </c>
      <c r="C1690" s="34" t="str">
        <f aca="false">'Uso e Consumo'!B1690</f>
        <v>UFV NORONHA VERDE - USO E CONSUMO</v>
      </c>
      <c r="D1690" s="33" t="n">
        <f aca="false">'Uso e Consumo'!C1690</f>
        <v>1657135</v>
      </c>
      <c r="E1690" s="34" t="str">
        <f aca="false">'Uso e Consumo'!D1690</f>
        <v>23.05.0311</v>
      </c>
      <c r="F1690" s="34" t="str">
        <f aca="false">'Uso e Consumo'!E1690</f>
        <v>ARRUELA QUADRADA DE ACO INOXIDAVEL, BITOLA M18</v>
      </c>
      <c r="G1690" s="34" t="str">
        <f aca="false">'Uso e Consumo'!J1690</f>
        <v>UN</v>
      </c>
      <c r="H1690" s="49" t="n">
        <f aca="false">'Uso e Consumo'!F1690</f>
        <v>16</v>
      </c>
      <c r="I1690" s="35" t="n">
        <f aca="false">'Uso e Consumo'!G1690</f>
        <v>264</v>
      </c>
      <c r="J1690" s="34" t="str">
        <f aca="false">'Uso e Consumo'!M1690</f>
        <v>3.8.1.022 - Elementos de fixação</v>
      </c>
      <c r="K1690" s="32" t="str">
        <f aca="false">INDEX('Curva ABC'!$K$8:$K$2847,MATCH(D1690,'Curva ABC'!$B$8:$B$2847,0))</f>
        <v>C</v>
      </c>
    </row>
    <row r="1691" customFormat="false" ht="15" hidden="false" customHeight="false" outlineLevel="0" collapsed="false">
      <c r="A1691" s="34" t="s">
        <v>5799</v>
      </c>
      <c r="B1691" s="34" t="str">
        <f aca="false">'Uso e Consumo'!A1691</f>
        <v>0335</v>
      </c>
      <c r="C1691" s="34" t="str">
        <f aca="false">'Uso e Consumo'!B1691</f>
        <v>UFV NORONHA VERDE - USO E CONSUMO</v>
      </c>
      <c r="D1691" s="33" t="n">
        <f aca="false">'Uso e Consumo'!C1691</f>
        <v>555703</v>
      </c>
      <c r="E1691" s="34" t="str">
        <f aca="false">'Uso e Consumo'!D1691</f>
        <v>25.01.0166</v>
      </c>
      <c r="F1691" s="34" t="str">
        <f aca="false">'Uso e Consumo'!E1691</f>
        <v>DISCO LIXA LIXADEIRA ORBITAL 8 FUROS 5 Pol 125MM 100UND</v>
      </c>
      <c r="G1691" s="34" t="str">
        <f aca="false">'Uso e Consumo'!J1691</f>
        <v>UN</v>
      </c>
      <c r="H1691" s="49" t="n">
        <f aca="false">'Uso e Consumo'!F1691</f>
        <v>100</v>
      </c>
      <c r="I1691" s="35" t="n">
        <f aca="false">'Uso e Consumo'!G1691</f>
        <v>263</v>
      </c>
      <c r="J1691" s="34" t="str">
        <f aca="false">'Uso e Consumo'!M1691</f>
        <v>3.8.2.004 - Consumíveis para corte, perfuração e desbaste</v>
      </c>
      <c r="K1691" s="32" t="str">
        <f aca="false">INDEX('Curva ABC'!$K$8:$K$2847,MATCH(D1691,'Curva ABC'!$B$8:$B$2847,0))</f>
        <v>C</v>
      </c>
    </row>
    <row r="1692" customFormat="false" ht="15" hidden="false" customHeight="false" outlineLevel="0" collapsed="false">
      <c r="A1692" s="34" t="s">
        <v>5799</v>
      </c>
      <c r="B1692" s="34" t="str">
        <f aca="false">'Uso e Consumo'!A1692</f>
        <v>0335</v>
      </c>
      <c r="C1692" s="34" t="str">
        <f aca="false">'Uso e Consumo'!B1692</f>
        <v>UFV NORONHA VERDE - USO E CONSUMO</v>
      </c>
      <c r="D1692" s="33" t="n">
        <f aca="false">'Uso e Consumo'!C1692</f>
        <v>49594</v>
      </c>
      <c r="E1692" s="34" t="str">
        <f aca="false">'Uso e Consumo'!D1692</f>
        <v>16.03.0171</v>
      </c>
      <c r="F1692" s="34" t="str">
        <f aca="false">'Uso e Consumo'!E1692</f>
        <v>TINTA SPRAY AMARELO 360ML NBR 11702</v>
      </c>
      <c r="G1692" s="34" t="str">
        <f aca="false">'Uso e Consumo'!J1692</f>
        <v>UN</v>
      </c>
      <c r="H1692" s="49" t="n">
        <f aca="false">'Uso e Consumo'!F1692</f>
        <v>12</v>
      </c>
      <c r="I1692" s="35" t="n">
        <f aca="false">'Uso e Consumo'!G1692</f>
        <v>262.98</v>
      </c>
      <c r="J1692" s="34" t="str">
        <f aca="false">'Uso e Consumo'!M1692</f>
        <v>3.8.1.016 - Pinturas</v>
      </c>
      <c r="K1692" s="32" t="str">
        <f aca="false">INDEX('Curva ABC'!$K$8:$K$2847,MATCH(D1692,'Curva ABC'!$B$8:$B$2847,0))</f>
        <v>C</v>
      </c>
    </row>
    <row r="1693" customFormat="false" ht="15" hidden="false" customHeight="false" outlineLevel="0" collapsed="false">
      <c r="A1693" s="34" t="s">
        <v>5799</v>
      </c>
      <c r="B1693" s="34" t="str">
        <f aca="false">'Uso e Consumo'!A1693</f>
        <v>0335</v>
      </c>
      <c r="C1693" s="34" t="str">
        <f aca="false">'Uso e Consumo'!B1693</f>
        <v>UFV NORONHA VERDE - USO E CONSUMO</v>
      </c>
      <c r="D1693" s="33" t="n">
        <f aca="false">'Uso e Consumo'!C1693</f>
        <v>862968</v>
      </c>
      <c r="E1693" s="34" t="str">
        <f aca="false">'Uso e Consumo'!D1693</f>
        <v>30.03.0434</v>
      </c>
      <c r="F1693" s="34" t="str">
        <f aca="false">'Uso e Consumo'!E1693</f>
        <v>SACO DE LIXO PRETO REFORÇADO 15L</v>
      </c>
      <c r="G1693" s="34" t="str">
        <f aca="false">'Uso e Consumo'!J1693</f>
        <v>UN</v>
      </c>
      <c r="H1693" s="49" t="n">
        <f aca="false">'Uso e Consumo'!F1693</f>
        <v>30</v>
      </c>
      <c r="I1693" s="35" t="n">
        <f aca="false">'Uso e Consumo'!G1693</f>
        <v>262.7</v>
      </c>
      <c r="J1693" s="34" t="str">
        <f aca="false">'Uso e Consumo'!M1693</f>
        <v>4.1.1.003 - Material limpeza</v>
      </c>
      <c r="K1693" s="32" t="str">
        <f aca="false">INDEX('Curva ABC'!$K$8:$K$2847,MATCH(D1693,'Curva ABC'!$B$8:$B$2847,0))</f>
        <v>C</v>
      </c>
    </row>
    <row r="1694" customFormat="false" ht="15" hidden="false" customHeight="false" outlineLevel="0" collapsed="false">
      <c r="A1694" s="34" t="s">
        <v>5799</v>
      </c>
      <c r="B1694" s="34" t="str">
        <f aca="false">'Uso e Consumo'!A1694</f>
        <v>0335</v>
      </c>
      <c r="C1694" s="34" t="str">
        <f aca="false">'Uso e Consumo'!B1694</f>
        <v>UFV NORONHA VERDE - USO E CONSUMO</v>
      </c>
      <c r="D1694" s="33" t="n">
        <f aca="false">'Uso e Consumo'!C1694</f>
        <v>1388139</v>
      </c>
      <c r="E1694" s="34" t="str">
        <f aca="false">'Uso e Consumo'!D1694</f>
        <v>23.07.1584</v>
      </c>
      <c r="F1694" s="34" t="str">
        <f aca="false">'Uso e Consumo'!E1694</f>
        <v>PARAFUSO AUTO ATARRAXANTE INOX, CABEÇA PANELA, 6,3 X 40MM</v>
      </c>
      <c r="G1694" s="34" t="str">
        <f aca="false">'Uso e Consumo'!J1694</f>
        <v>UN</v>
      </c>
      <c r="H1694" s="49" t="n">
        <f aca="false">'Uso e Consumo'!F1694</f>
        <v>108</v>
      </c>
      <c r="I1694" s="35" t="n">
        <f aca="false">'Uso e Consumo'!G1694</f>
        <v>262.52</v>
      </c>
      <c r="J1694" s="34" t="str">
        <f aca="false">'Uso e Consumo'!M1694</f>
        <v>3.8.1.022 - Elementos de fixação</v>
      </c>
      <c r="K1694" s="32" t="str">
        <f aca="false">INDEX('Curva ABC'!$K$8:$K$2847,MATCH(D1694,'Curva ABC'!$B$8:$B$2847,0))</f>
        <v>C</v>
      </c>
    </row>
    <row r="1695" customFormat="false" ht="15" hidden="false" customHeight="false" outlineLevel="0" collapsed="false">
      <c r="A1695" s="34" t="s">
        <v>5799</v>
      </c>
      <c r="B1695" s="34" t="str">
        <f aca="false">'Uso e Consumo'!A1695</f>
        <v>0335</v>
      </c>
      <c r="C1695" s="34" t="str">
        <f aca="false">'Uso e Consumo'!B1695</f>
        <v>UFV NORONHA VERDE - USO E CONSUMO</v>
      </c>
      <c r="D1695" s="33" t="n">
        <f aca="false">'Uso e Consumo'!C1695</f>
        <v>290925</v>
      </c>
      <c r="E1695" s="34" t="str">
        <f aca="false">'Uso e Consumo'!D1695</f>
        <v>24.09.0381</v>
      </c>
      <c r="F1695" s="34" t="str">
        <f aca="false">'Uso e Consumo'!E1695</f>
        <v>CHAVE INGLESA 10"</v>
      </c>
      <c r="G1695" s="34" t="str">
        <f aca="false">'Uso e Consumo'!J1695</f>
        <v>UN</v>
      </c>
      <c r="H1695" s="49" t="n">
        <f aca="false">'Uso e Consumo'!F1695</f>
        <v>5</v>
      </c>
      <c r="I1695" s="35" t="n">
        <f aca="false">'Uso e Consumo'!G1695</f>
        <v>262.5</v>
      </c>
      <c r="J1695" s="34" t="str">
        <f aca="false">'Uso e Consumo'!M1695</f>
        <v>3.8.2.002 - Ferramentas manuais</v>
      </c>
      <c r="K1695" s="32" t="str">
        <f aca="false">INDEX('Curva ABC'!$K$8:$K$2847,MATCH(D1695,'Curva ABC'!$B$8:$B$2847,0))</f>
        <v>C</v>
      </c>
    </row>
    <row r="1696" customFormat="false" ht="15" hidden="false" customHeight="false" outlineLevel="0" collapsed="false">
      <c r="A1696" s="34" t="s">
        <v>5799</v>
      </c>
      <c r="B1696" s="34" t="str">
        <f aca="false">'Uso e Consumo'!A1696</f>
        <v>0335</v>
      </c>
      <c r="C1696" s="34" t="str">
        <f aca="false">'Uso e Consumo'!B1696</f>
        <v>UFV NORONHA VERDE - USO E CONSUMO</v>
      </c>
      <c r="D1696" s="33" t="n">
        <f aca="false">'Uso e Consumo'!C1696</f>
        <v>23262</v>
      </c>
      <c r="E1696" s="34" t="str">
        <f aca="false">'Uso e Consumo'!D1696</f>
        <v>26.02.0047</v>
      </c>
      <c r="F1696" s="34" t="str">
        <f aca="false">'Uso e Consumo'!E1696</f>
        <v>BOTINA NOBUCK C/ CADARÇO E BIQUEIRA - COR MARROM -  Nº 42 - 90HXPN400 (CA-28108/13808/26706/26710)</v>
      </c>
      <c r="G1696" s="34" t="str">
        <f aca="false">'Uso e Consumo'!J1696</f>
        <v>PAR</v>
      </c>
      <c r="H1696" s="49" t="n">
        <f aca="false">'Uso e Consumo'!F1696</f>
        <v>2</v>
      </c>
      <c r="I1696" s="35" t="n">
        <f aca="false">'Uso e Consumo'!G1696</f>
        <v>262</v>
      </c>
      <c r="J1696" s="34" t="str">
        <f aca="false">'Uso e Consumo'!M1696</f>
        <v>4.3.4.001 - Equipamento de proteção individual</v>
      </c>
      <c r="K1696" s="32" t="str">
        <f aca="false">INDEX('Curva ABC'!$K$8:$K$2847,MATCH(D1696,'Curva ABC'!$B$8:$B$2847,0))</f>
        <v>C</v>
      </c>
    </row>
    <row r="1697" customFormat="false" ht="15" hidden="false" customHeight="false" outlineLevel="0" collapsed="false">
      <c r="A1697" s="34" t="s">
        <v>5799</v>
      </c>
      <c r="B1697" s="34" t="str">
        <f aca="false">'Uso e Consumo'!A1697</f>
        <v>0335</v>
      </c>
      <c r="C1697" s="34" t="str">
        <f aca="false">'Uso e Consumo'!B1697</f>
        <v>UFV NORONHA VERDE - USO E CONSUMO</v>
      </c>
      <c r="D1697" s="33" t="n">
        <f aca="false">'Uso e Consumo'!C1697</f>
        <v>228765</v>
      </c>
      <c r="E1697" s="34" t="str">
        <f aca="false">'Uso e Consumo'!D1697</f>
        <v>30.03.0278</v>
      </c>
      <c r="F1697" s="34" t="str">
        <f aca="false">'Uso e Consumo'!E1697</f>
        <v>ALCOOL GEL  5 L</v>
      </c>
      <c r="G1697" s="34" t="str">
        <f aca="false">'Uso e Consumo'!J1697</f>
        <v>GL5</v>
      </c>
      <c r="H1697" s="49" t="n">
        <f aca="false">'Uso e Consumo'!F1697</f>
        <v>5</v>
      </c>
      <c r="I1697" s="35" t="n">
        <f aca="false">'Uso e Consumo'!G1697</f>
        <v>261</v>
      </c>
      <c r="J1697" s="34" t="str">
        <f aca="false">'Uso e Consumo'!M1697</f>
        <v>4.1.1.003 - Material limpeza</v>
      </c>
      <c r="K1697" s="32" t="str">
        <f aca="false">INDEX('Curva ABC'!$K$8:$K$2847,MATCH(D1697,'Curva ABC'!$B$8:$B$2847,0))</f>
        <v>C</v>
      </c>
    </row>
    <row r="1698" customFormat="false" ht="15" hidden="false" customHeight="false" outlineLevel="0" collapsed="false">
      <c r="A1698" s="34" t="s">
        <v>5799</v>
      </c>
      <c r="B1698" s="34" t="str">
        <f aca="false">'Uso e Consumo'!A1698</f>
        <v>0335</v>
      </c>
      <c r="C1698" s="34" t="str">
        <f aca="false">'Uso e Consumo'!B1698</f>
        <v>UFV NORONHA VERDE - USO E CONSUMO</v>
      </c>
      <c r="D1698" s="33" t="n">
        <f aca="false">'Uso e Consumo'!C1698</f>
        <v>315526</v>
      </c>
      <c r="E1698" s="34" t="str">
        <f aca="false">'Uso e Consumo'!D1698</f>
        <v>24.40.0054</v>
      </c>
      <c r="F1698" s="34" t="str">
        <f aca="false">'Uso e Consumo'!E1698</f>
        <v>TALHADEIRA</v>
      </c>
      <c r="G1698" s="34" t="str">
        <f aca="false">'Uso e Consumo'!J1698</f>
        <v>UN</v>
      </c>
      <c r="H1698" s="49" t="n">
        <f aca="false">'Uso e Consumo'!F1698</f>
        <v>6</v>
      </c>
      <c r="I1698" s="35" t="n">
        <f aca="false">'Uso e Consumo'!G1698</f>
        <v>261</v>
      </c>
      <c r="J1698" s="34" t="str">
        <f aca="false">'Uso e Consumo'!M1698</f>
        <v>3.8.2.002 - Ferramentas manuais</v>
      </c>
      <c r="K1698" s="32" t="str">
        <f aca="false">INDEX('Curva ABC'!$K$8:$K$2847,MATCH(D1698,'Curva ABC'!$B$8:$B$2847,0))</f>
        <v>C</v>
      </c>
    </row>
    <row r="1699" customFormat="false" ht="15" hidden="false" customHeight="false" outlineLevel="0" collapsed="false">
      <c r="A1699" s="34" t="s">
        <v>5799</v>
      </c>
      <c r="B1699" s="34" t="str">
        <f aca="false">'Uso e Consumo'!A1699</f>
        <v>0335</v>
      </c>
      <c r="C1699" s="34" t="str">
        <f aca="false">'Uso e Consumo'!B1699</f>
        <v>UFV NORONHA VERDE - USO E CONSUMO</v>
      </c>
      <c r="D1699" s="33" t="n">
        <f aca="false">'Uso e Consumo'!C1699</f>
        <v>1471981</v>
      </c>
      <c r="E1699" s="34" t="str">
        <f aca="false">'Uso e Consumo'!D1699</f>
        <v>23.10.0069</v>
      </c>
      <c r="F1699" s="34" t="str">
        <f aca="false">'Uso e Consumo'!E1699</f>
        <v>CHUMBADOR DE EXPANSÃO M12x60</v>
      </c>
      <c r="G1699" s="34" t="str">
        <f aca="false">'Uso e Consumo'!J1699</f>
        <v>UN</v>
      </c>
      <c r="H1699" s="49" t="n">
        <f aca="false">'Uso e Consumo'!F1699</f>
        <v>90</v>
      </c>
      <c r="I1699" s="35" t="n">
        <f aca="false">'Uso e Consumo'!G1699</f>
        <v>261</v>
      </c>
      <c r="J1699" s="34" t="str">
        <f aca="false">'Uso e Consumo'!M1699</f>
        <v>3.8.1.022 - Elementos de fixação</v>
      </c>
      <c r="K1699" s="32" t="str">
        <f aca="false">INDEX('Curva ABC'!$K$8:$K$2847,MATCH(D1699,'Curva ABC'!$B$8:$B$2847,0))</f>
        <v>C</v>
      </c>
    </row>
    <row r="1700" customFormat="false" ht="15" hidden="false" customHeight="false" outlineLevel="0" collapsed="false">
      <c r="A1700" s="34" t="s">
        <v>5799</v>
      </c>
      <c r="B1700" s="34" t="str">
        <f aca="false">'Uso e Consumo'!A1700</f>
        <v>0335</v>
      </c>
      <c r="C1700" s="34" t="str">
        <f aca="false">'Uso e Consumo'!B1700</f>
        <v>UFV NORONHA VERDE - USO E CONSUMO</v>
      </c>
      <c r="D1700" s="33" t="n">
        <f aca="false">'Uso e Consumo'!C1700</f>
        <v>136079</v>
      </c>
      <c r="E1700" s="34" t="str">
        <f aca="false">'Uso e Consumo'!D1700</f>
        <v>17.10.0283</v>
      </c>
      <c r="F1700" s="34" t="str">
        <f aca="false">'Uso e Consumo'!E1700</f>
        <v>DISJUNTOR MONOFÁSICO 63A NBR 60898</v>
      </c>
      <c r="G1700" s="34" t="str">
        <f aca="false">'Uso e Consumo'!J1700</f>
        <v>UN</v>
      </c>
      <c r="H1700" s="49" t="n">
        <f aca="false">'Uso e Consumo'!F1700</f>
        <v>10</v>
      </c>
      <c r="I1700" s="35" t="n">
        <f aca="false">'Uso e Consumo'!G1700</f>
        <v>260.86</v>
      </c>
      <c r="J1700" s="34" t="str">
        <f aca="false">'Uso e Consumo'!M1700</f>
        <v>3.8.1.017 - Instalações elétricas/telefônicas/lógica</v>
      </c>
      <c r="K1700" s="32" t="str">
        <f aca="false">INDEX('Curva ABC'!$K$8:$K$2847,MATCH(D1700,'Curva ABC'!$B$8:$B$2847,0))</f>
        <v>C</v>
      </c>
    </row>
    <row r="1701" customFormat="false" ht="15" hidden="false" customHeight="false" outlineLevel="0" collapsed="false">
      <c r="A1701" s="34" t="s">
        <v>5799</v>
      </c>
      <c r="B1701" s="34" t="str">
        <f aca="false">'Uso e Consumo'!A1701</f>
        <v>0335</v>
      </c>
      <c r="C1701" s="34" t="str">
        <f aca="false">'Uso e Consumo'!B1701</f>
        <v>UFV NORONHA VERDE - USO E CONSUMO</v>
      </c>
      <c r="D1701" s="33" t="n">
        <f aca="false">'Uso e Consumo'!C1701</f>
        <v>18110</v>
      </c>
      <c r="E1701" s="34" t="str">
        <f aca="false">'Uso e Consumo'!D1701</f>
        <v>24.14.0004</v>
      </c>
      <c r="F1701" s="34" t="str">
        <f aca="false">'Uso e Consumo'!E1701</f>
        <v>MARRETA OITAVADA AÇO CARBONO 2KG</v>
      </c>
      <c r="G1701" s="34" t="str">
        <f aca="false">'Uso e Consumo'!J1701</f>
        <v>UN</v>
      </c>
      <c r="H1701" s="49" t="n">
        <f aca="false">'Uso e Consumo'!F1701</f>
        <v>4</v>
      </c>
      <c r="I1701" s="35" t="n">
        <f aca="false">'Uso e Consumo'!G1701</f>
        <v>260</v>
      </c>
      <c r="J1701" s="34" t="str">
        <f aca="false">'Uso e Consumo'!M1701</f>
        <v>3.8.2.002 - Ferramentas manuais</v>
      </c>
      <c r="K1701" s="32" t="str">
        <f aca="false">INDEX('Curva ABC'!$K$8:$K$2847,MATCH(D1701,'Curva ABC'!$B$8:$B$2847,0))</f>
        <v>C</v>
      </c>
    </row>
    <row r="1702" customFormat="false" ht="15" hidden="false" customHeight="false" outlineLevel="0" collapsed="false">
      <c r="A1702" s="34" t="s">
        <v>5799</v>
      </c>
      <c r="B1702" s="34" t="str">
        <f aca="false">'Uso e Consumo'!A1702</f>
        <v>0335</v>
      </c>
      <c r="C1702" s="34" t="str">
        <f aca="false">'Uso e Consumo'!B1702</f>
        <v>UFV NORONHA VERDE - USO E CONSUMO</v>
      </c>
      <c r="D1702" s="33" t="n">
        <f aca="false">'Uso e Consumo'!C1702</f>
        <v>137398</v>
      </c>
      <c r="E1702" s="34" t="str">
        <f aca="false">'Uso e Consumo'!D1702</f>
        <v>26.01.0023</v>
      </c>
      <c r="F1702" s="34" t="str">
        <f aca="false">'Uso e Consumo'!E1702</f>
        <v>COLETE REFLETIVO TIPO BLUSÃO - 4 BOLSOS - COR LARANJA - TAM. M</v>
      </c>
      <c r="G1702" s="34" t="str">
        <f aca="false">'Uso e Consumo'!J1702</f>
        <v>UN</v>
      </c>
      <c r="H1702" s="49" t="n">
        <f aca="false">'Uso e Consumo'!F1702</f>
        <v>10</v>
      </c>
      <c r="I1702" s="35" t="n">
        <f aca="false">'Uso e Consumo'!G1702</f>
        <v>260</v>
      </c>
      <c r="J1702" s="34" t="str">
        <f aca="false">'Uso e Consumo'!M1702</f>
        <v>4.3.4.001 - Equipamento de proteção individual</v>
      </c>
      <c r="K1702" s="32" t="str">
        <f aca="false">INDEX('Curva ABC'!$K$8:$K$2847,MATCH(D1702,'Curva ABC'!$B$8:$B$2847,0))</f>
        <v>C</v>
      </c>
    </row>
    <row r="1703" customFormat="false" ht="15" hidden="false" customHeight="false" outlineLevel="0" collapsed="false">
      <c r="A1703" s="34" t="s">
        <v>5799</v>
      </c>
      <c r="B1703" s="34" t="str">
        <f aca="false">'Uso e Consumo'!A1703</f>
        <v>0335</v>
      </c>
      <c r="C1703" s="34" t="str">
        <f aca="false">'Uso e Consumo'!B1703</f>
        <v>UFV NORONHA VERDE - USO E CONSUMO</v>
      </c>
      <c r="D1703" s="33" t="n">
        <f aca="false">'Uso e Consumo'!C1703</f>
        <v>931416</v>
      </c>
      <c r="E1703" s="34" t="str">
        <f aca="false">'Uso e Consumo'!D1703</f>
        <v>17.02.0737</v>
      </c>
      <c r="F1703" s="34" t="str">
        <f aca="false">'Uso e Consumo'!E1703</f>
        <v>ELETRODUTO RIGIDO PVC SOLDÁVEL 40MM C3/M</v>
      </c>
      <c r="G1703" s="34" t="str">
        <f aca="false">'Uso e Consumo'!J1703</f>
        <v>UND</v>
      </c>
      <c r="H1703" s="49" t="n">
        <f aca="false">'Uso e Consumo'!F1703</f>
        <v>4</v>
      </c>
      <c r="I1703" s="35" t="n">
        <f aca="false">'Uso e Consumo'!G1703</f>
        <v>260</v>
      </c>
      <c r="J1703" s="34" t="str">
        <f aca="false">'Uso e Consumo'!M1703</f>
        <v>3.8.1.017 - Instalações elétricas/telefônicas/lógica</v>
      </c>
      <c r="K1703" s="32" t="str">
        <f aca="false">INDEX('Curva ABC'!$K$8:$K$2847,MATCH(D1703,'Curva ABC'!$B$8:$B$2847,0))</f>
        <v>C</v>
      </c>
    </row>
    <row r="1704" customFormat="false" ht="15" hidden="false" customHeight="false" outlineLevel="0" collapsed="false">
      <c r="A1704" s="34" t="s">
        <v>5799</v>
      </c>
      <c r="B1704" s="34" t="str">
        <f aca="false">'Uso e Consumo'!A1704</f>
        <v>0335</v>
      </c>
      <c r="C1704" s="34" t="str">
        <f aca="false">'Uso e Consumo'!B1704</f>
        <v>UFV NORONHA VERDE - USO E CONSUMO</v>
      </c>
      <c r="D1704" s="33" t="n">
        <f aca="false">'Uso e Consumo'!C1704</f>
        <v>1660724</v>
      </c>
      <c r="E1704" s="34" t="str">
        <f aca="false">'Uso e Consumo'!D1704</f>
        <v>17.07.0107</v>
      </c>
      <c r="F1704" s="34" t="str">
        <f aca="false">'Uso e Consumo'!E1704</f>
        <v>CAIXA DE PASSAGEM METALICA DIM. 180 X180 X 100 MM PARA PISO ELEVADO, FABRICADA EM ALUMINIO ESTRUTURADO</v>
      </c>
      <c r="G1704" s="34" t="str">
        <f aca="false">'Uso e Consumo'!J1704</f>
        <v>UN</v>
      </c>
      <c r="H1704" s="49" t="n">
        <f aca="false">'Uso e Consumo'!F1704</f>
        <v>2</v>
      </c>
      <c r="I1704" s="35" t="n">
        <f aca="false">'Uso e Consumo'!G1704</f>
        <v>260</v>
      </c>
      <c r="J1704" s="34" t="str">
        <f aca="false">'Uso e Consumo'!M1704</f>
        <v>3.8.1.017 - Instalações elétricas/telefônicas/lógica</v>
      </c>
      <c r="K1704" s="32" t="str">
        <f aca="false">INDEX('Curva ABC'!$K$8:$K$2847,MATCH(D1704,'Curva ABC'!$B$8:$B$2847,0))</f>
        <v>C</v>
      </c>
    </row>
    <row r="1705" customFormat="false" ht="15" hidden="false" customHeight="false" outlineLevel="0" collapsed="false">
      <c r="A1705" s="34" t="s">
        <v>5799</v>
      </c>
      <c r="B1705" s="34" t="str">
        <f aca="false">'Uso e Consumo'!A1705</f>
        <v>0335</v>
      </c>
      <c r="C1705" s="34" t="str">
        <f aca="false">'Uso e Consumo'!B1705</f>
        <v>UFV NORONHA VERDE - USO E CONSUMO</v>
      </c>
      <c r="D1705" s="33" t="n">
        <f aca="false">'Uso e Consumo'!C1705</f>
        <v>1672553</v>
      </c>
      <c r="E1705" s="34" t="str">
        <f aca="false">'Uso e Consumo'!D1705</f>
        <v>09.08.0085</v>
      </c>
      <c r="F1705" s="34" t="str">
        <f aca="false">'Uso e Consumo'!E1705</f>
        <v>TAMPA DE CONCRETO ARMADO 107,4 X 103 X 6 CM</v>
      </c>
      <c r="G1705" s="34" t="str">
        <f aca="false">'Uso e Consumo'!J1705</f>
        <v>UN</v>
      </c>
      <c r="H1705" s="49" t="n">
        <f aca="false">'Uso e Consumo'!F1705</f>
        <v>1</v>
      </c>
      <c r="I1705" s="35" t="n">
        <f aca="false">'Uso e Consumo'!G1705</f>
        <v>258.89</v>
      </c>
      <c r="J1705" s="34" t="str">
        <f aca="false">'Uso e Consumo'!M1705</f>
        <v>3.8.1.009 - Artefatos pré-moldados de concreto</v>
      </c>
      <c r="K1705" s="32" t="str">
        <f aca="false">INDEX('Curva ABC'!$K$8:$K$2847,MATCH(D1705,'Curva ABC'!$B$8:$B$2847,0))</f>
        <v>C</v>
      </c>
    </row>
    <row r="1706" customFormat="false" ht="15" hidden="false" customHeight="false" outlineLevel="0" collapsed="false">
      <c r="A1706" s="34" t="s">
        <v>5799</v>
      </c>
      <c r="B1706" s="34" t="str">
        <f aca="false">'Uso e Consumo'!A1706</f>
        <v>0335</v>
      </c>
      <c r="C1706" s="34" t="str">
        <f aca="false">'Uso e Consumo'!B1706</f>
        <v>UFV NORONHA VERDE - USO E CONSUMO</v>
      </c>
      <c r="D1706" s="33" t="n">
        <f aca="false">'Uso e Consumo'!C1706</f>
        <v>22869</v>
      </c>
      <c r="E1706" s="34" t="str">
        <f aca="false">'Uso e Consumo'!D1706</f>
        <v>25.03.0161</v>
      </c>
      <c r="F1706" s="34" t="str">
        <f aca="false">'Uso e Consumo'!E1706</f>
        <v>BROCA AÇO RAPIDO 5/16</v>
      </c>
      <c r="G1706" s="34" t="str">
        <f aca="false">'Uso e Consumo'!J1706</f>
        <v>UN</v>
      </c>
      <c r="H1706" s="49" t="n">
        <f aca="false">'Uso e Consumo'!F1706</f>
        <v>25</v>
      </c>
      <c r="I1706" s="35" t="n">
        <f aca="false">'Uso e Consumo'!G1706</f>
        <v>258.85</v>
      </c>
      <c r="J1706" s="34" t="str">
        <f aca="false">'Uso e Consumo'!M1706</f>
        <v>3.8.2.004 - Consumíveis para corte, perfuração e desbaste</v>
      </c>
      <c r="K1706" s="32" t="str">
        <f aca="false">INDEX('Curva ABC'!$K$8:$K$2847,MATCH(D1706,'Curva ABC'!$B$8:$B$2847,0))</f>
        <v>C</v>
      </c>
    </row>
    <row r="1707" customFormat="false" ht="15" hidden="false" customHeight="false" outlineLevel="0" collapsed="false">
      <c r="A1707" s="34" t="s">
        <v>5799</v>
      </c>
      <c r="B1707" s="34" t="str">
        <f aca="false">'Uso e Consumo'!A1707</f>
        <v>0335</v>
      </c>
      <c r="C1707" s="34" t="str">
        <f aca="false">'Uso e Consumo'!B1707</f>
        <v>UFV NORONHA VERDE - USO E CONSUMO</v>
      </c>
      <c r="D1707" s="33" t="n">
        <f aca="false">'Uso e Consumo'!C1707</f>
        <v>1385083</v>
      </c>
      <c r="E1707" s="34" t="str">
        <f aca="false">'Uso e Consumo'!D1707</f>
        <v>17.02.0872</v>
      </c>
      <c r="F1707" s="34" t="str">
        <f aca="false">'Uso e Consumo'!E1707</f>
        <v>LUVA ALUMÍNIO GALVANIZADO A QUENTE, 50 MM (2") ROSCA BSP, TIPO PESADO</v>
      </c>
      <c r="G1707" s="34" t="str">
        <f aca="false">'Uso e Consumo'!J1707</f>
        <v>UN</v>
      </c>
      <c r="H1707" s="49" t="n">
        <f aca="false">'Uso e Consumo'!F1707</f>
        <v>11</v>
      </c>
      <c r="I1707" s="35" t="n">
        <f aca="false">'Uso e Consumo'!G1707</f>
        <v>258.62</v>
      </c>
      <c r="J1707" s="34" t="str">
        <f aca="false">'Uso e Consumo'!M1707</f>
        <v>3.8.1.017 - Instalações elétricas/telefônicas/lógica</v>
      </c>
      <c r="K1707" s="32" t="str">
        <f aca="false">INDEX('Curva ABC'!$K$8:$K$2847,MATCH(D1707,'Curva ABC'!$B$8:$B$2847,0))</f>
        <v>C</v>
      </c>
    </row>
    <row r="1708" customFormat="false" ht="15" hidden="false" customHeight="false" outlineLevel="0" collapsed="false">
      <c r="A1708" s="34" t="s">
        <v>5799</v>
      </c>
      <c r="B1708" s="34" t="str">
        <f aca="false">'Uso e Consumo'!A1708</f>
        <v>0335</v>
      </c>
      <c r="C1708" s="34" t="str">
        <f aca="false">'Uso e Consumo'!B1708</f>
        <v>UFV NORONHA VERDE - USO E CONSUMO</v>
      </c>
      <c r="D1708" s="33" t="n">
        <f aca="false">'Uso e Consumo'!C1708</f>
        <v>34269</v>
      </c>
      <c r="E1708" s="34" t="str">
        <f aca="false">'Uso e Consumo'!D1708</f>
        <v>16.04.0007</v>
      </c>
      <c r="F1708" s="34" t="str">
        <f aca="false">'Uso e Consumo'!E1708</f>
        <v>SOLVENTE  LATA 5 LITROS</v>
      </c>
      <c r="G1708" s="34" t="str">
        <f aca="false">'Uso e Consumo'!J1708</f>
        <v>UN</v>
      </c>
      <c r="H1708" s="49" t="n">
        <f aca="false">'Uso e Consumo'!F1708</f>
        <v>1</v>
      </c>
      <c r="I1708" s="35" t="n">
        <f aca="false">'Uso e Consumo'!G1708</f>
        <v>258</v>
      </c>
      <c r="J1708" s="34" t="str">
        <f aca="false">'Uso e Consumo'!M1708</f>
        <v>3.8.1.016 - Pinturas</v>
      </c>
      <c r="K1708" s="32" t="str">
        <f aca="false">INDEX('Curva ABC'!$K$8:$K$2847,MATCH(D1708,'Curva ABC'!$B$8:$B$2847,0))</f>
        <v>C</v>
      </c>
    </row>
    <row r="1709" customFormat="false" ht="15" hidden="false" customHeight="false" outlineLevel="0" collapsed="false">
      <c r="A1709" s="34" t="s">
        <v>5799</v>
      </c>
      <c r="B1709" s="34" t="str">
        <f aca="false">'Uso e Consumo'!A1709</f>
        <v>0335</v>
      </c>
      <c r="C1709" s="34" t="str">
        <f aca="false">'Uso e Consumo'!B1709</f>
        <v>UFV NORONHA VERDE - USO E CONSUMO</v>
      </c>
      <c r="D1709" s="33" t="n">
        <f aca="false">'Uso e Consumo'!C1709</f>
        <v>65509</v>
      </c>
      <c r="E1709" s="34" t="str">
        <f aca="false">'Uso e Consumo'!D1709</f>
        <v>16.03.0226</v>
      </c>
      <c r="F1709" s="34" t="str">
        <f aca="false">'Uso e Consumo'!E1709</f>
        <v>ESMALTE SINTÉTICO A BASE DE ÁGUA BRANCO</v>
      </c>
      <c r="G1709" s="34" t="str">
        <f aca="false">'Uso e Consumo'!J1709</f>
        <v>G3,6L</v>
      </c>
      <c r="H1709" s="49" t="n">
        <f aca="false">'Uso e Consumo'!F1709</f>
        <v>1</v>
      </c>
      <c r="I1709" s="35" t="n">
        <f aca="false">'Uso e Consumo'!G1709</f>
        <v>258</v>
      </c>
      <c r="J1709" s="34" t="str">
        <f aca="false">'Uso e Consumo'!M1709</f>
        <v>3.8.1.016 - Pinturas</v>
      </c>
      <c r="K1709" s="32" t="str">
        <f aca="false">INDEX('Curva ABC'!$K$8:$K$2847,MATCH(D1709,'Curva ABC'!$B$8:$B$2847,0))</f>
        <v>C</v>
      </c>
    </row>
    <row r="1710" customFormat="false" ht="15" hidden="false" customHeight="false" outlineLevel="0" collapsed="false">
      <c r="A1710" s="34" t="s">
        <v>5799</v>
      </c>
      <c r="B1710" s="34" t="str">
        <f aca="false">'Uso e Consumo'!A1710</f>
        <v>0335</v>
      </c>
      <c r="C1710" s="34" t="str">
        <f aca="false">'Uso e Consumo'!B1710</f>
        <v>UFV NORONHA VERDE - USO E CONSUMO</v>
      </c>
      <c r="D1710" s="33" t="n">
        <f aca="false">'Uso e Consumo'!C1710</f>
        <v>1385081</v>
      </c>
      <c r="E1710" s="34" t="str">
        <f aca="false">'Uso e Consumo'!D1710</f>
        <v>17.02.0871</v>
      </c>
      <c r="F1710" s="34" t="str">
        <f aca="false">'Uso e Consumo'!E1710</f>
        <v>LUVA ALUMÍNIO GALVANIZADO A QUENTE, 32 MM (1") ROSCA BSP, TIPO PESADO</v>
      </c>
      <c r="G1710" s="34" t="str">
        <f aca="false">'Uso e Consumo'!J1710</f>
        <v>UN</v>
      </c>
      <c r="H1710" s="49" t="n">
        <f aca="false">'Uso e Consumo'!F1710</f>
        <v>27</v>
      </c>
      <c r="I1710" s="35" t="n">
        <f aca="false">'Uso e Consumo'!G1710</f>
        <v>257.76</v>
      </c>
      <c r="J1710" s="34" t="str">
        <f aca="false">'Uso e Consumo'!M1710</f>
        <v>3.8.1.017 - Instalações elétricas/telefônicas/lógica</v>
      </c>
      <c r="K1710" s="32" t="str">
        <f aca="false">INDEX('Curva ABC'!$K$8:$K$2847,MATCH(D1710,'Curva ABC'!$B$8:$B$2847,0))</f>
        <v>C</v>
      </c>
    </row>
    <row r="1711" customFormat="false" ht="15" hidden="false" customHeight="false" outlineLevel="0" collapsed="false">
      <c r="A1711" s="34" t="s">
        <v>5799</v>
      </c>
      <c r="B1711" s="34" t="str">
        <f aca="false">'Uso e Consumo'!A1711</f>
        <v>0335</v>
      </c>
      <c r="C1711" s="34" t="str">
        <f aca="false">'Uso e Consumo'!B1711</f>
        <v>UFV NORONHA VERDE - USO E CONSUMO</v>
      </c>
      <c r="D1711" s="33" t="n">
        <f aca="false">'Uso e Consumo'!C1711</f>
        <v>937215</v>
      </c>
      <c r="E1711" s="34" t="str">
        <f aca="false">'Uso e Consumo'!D1711</f>
        <v>17.16.0525</v>
      </c>
      <c r="F1711" s="34" t="str">
        <f aca="false">'Uso e Consumo'!E1711</f>
        <v>TERMINAL TIPO PINO PRE-ISOLADO 4MM²</v>
      </c>
      <c r="G1711" s="34" t="str">
        <f aca="false">'Uso e Consumo'!J1711</f>
        <v>UN</v>
      </c>
      <c r="H1711" s="49" t="n">
        <f aca="false">'Uso e Consumo'!F1711</f>
        <v>300</v>
      </c>
      <c r="I1711" s="35" t="n">
        <f aca="false">'Uso e Consumo'!G1711</f>
        <v>257.5</v>
      </c>
      <c r="J1711" s="34" t="str">
        <f aca="false">'Uso e Consumo'!M1711</f>
        <v>3.8.1.017 - Instalações elétricas/telefônicas/lógica</v>
      </c>
      <c r="K1711" s="32" t="str">
        <f aca="false">INDEX('Curva ABC'!$K$8:$K$2847,MATCH(D1711,'Curva ABC'!$B$8:$B$2847,0))</f>
        <v>C</v>
      </c>
    </row>
    <row r="1712" customFormat="false" ht="15" hidden="false" customHeight="false" outlineLevel="0" collapsed="false">
      <c r="A1712" s="34" t="s">
        <v>5799</v>
      </c>
      <c r="B1712" s="34" t="str">
        <f aca="false">'Uso e Consumo'!A1712</f>
        <v>0335</v>
      </c>
      <c r="C1712" s="34" t="str">
        <f aca="false">'Uso e Consumo'!B1712</f>
        <v>UFV NORONHA VERDE - USO E CONSUMO</v>
      </c>
      <c r="D1712" s="33" t="n">
        <f aca="false">'Uso e Consumo'!C1712</f>
        <v>1659748</v>
      </c>
      <c r="E1712" s="34" t="str">
        <f aca="false">'Uso e Consumo'!D1712</f>
        <v>23.05.0313</v>
      </c>
      <c r="F1712" s="34" t="str">
        <f aca="false">'Uso e Consumo'!E1712</f>
        <v>ARRUELA LISA EM ACO GALVANIZADO A FOGO 3/8 POLEGADAS</v>
      </c>
      <c r="G1712" s="34" t="str">
        <f aca="false">'Uso e Consumo'!J1712</f>
        <v>UN</v>
      </c>
      <c r="H1712" s="49" t="n">
        <f aca="false">'Uso e Consumo'!F1712</f>
        <v>99</v>
      </c>
      <c r="I1712" s="35" t="n">
        <f aca="false">'Uso e Consumo'!G1712</f>
        <v>257.1</v>
      </c>
      <c r="J1712" s="34" t="str">
        <f aca="false">'Uso e Consumo'!M1712</f>
        <v>3.8.1.022 - Elementos de fixação</v>
      </c>
      <c r="K1712" s="32" t="str">
        <f aca="false">INDEX('Curva ABC'!$K$8:$K$2847,MATCH(D1712,'Curva ABC'!$B$8:$B$2847,0))</f>
        <v>C</v>
      </c>
    </row>
    <row r="1713" customFormat="false" ht="15" hidden="false" customHeight="false" outlineLevel="0" collapsed="false">
      <c r="A1713" s="34" t="s">
        <v>5799</v>
      </c>
      <c r="B1713" s="34" t="str">
        <f aca="false">'Uso e Consumo'!A1713</f>
        <v>0335</v>
      </c>
      <c r="C1713" s="34" t="str">
        <f aca="false">'Uso e Consumo'!B1713</f>
        <v>UFV NORONHA VERDE - USO E CONSUMO</v>
      </c>
      <c r="D1713" s="33" t="n">
        <f aca="false">'Uso e Consumo'!C1713</f>
        <v>1330401</v>
      </c>
      <c r="E1713" s="34" t="str">
        <f aca="false">'Uso e Consumo'!D1713</f>
        <v>18.01.1585</v>
      </c>
      <c r="F1713" s="34" t="str">
        <f aca="false">'Uso e Consumo'!E1713</f>
        <v>LUVA DE PVC SOLDÁVEL LR 20  X 1/2</v>
      </c>
      <c r="G1713" s="34" t="str">
        <f aca="false">'Uso e Consumo'!J1713</f>
        <v>UN</v>
      </c>
      <c r="H1713" s="49" t="n">
        <f aca="false">'Uso e Consumo'!F1713</f>
        <v>125</v>
      </c>
      <c r="I1713" s="35" t="n">
        <f aca="false">'Uso e Consumo'!G1713</f>
        <v>256.25</v>
      </c>
      <c r="J1713" s="34" t="str">
        <f aca="false">'Uso e Consumo'!M1713</f>
        <v>3.8.1.018 - Instalações hidráulicas/sanitárias/industriais</v>
      </c>
      <c r="K1713" s="32" t="str">
        <f aca="false">INDEX('Curva ABC'!$K$8:$K$2847,MATCH(D1713,'Curva ABC'!$B$8:$B$2847,0))</f>
        <v>C</v>
      </c>
    </row>
    <row r="1714" customFormat="false" ht="15" hidden="false" customHeight="false" outlineLevel="0" collapsed="false">
      <c r="A1714" s="34" t="s">
        <v>5799</v>
      </c>
      <c r="B1714" s="34" t="str">
        <f aca="false">'Uso e Consumo'!A1714</f>
        <v>0335</v>
      </c>
      <c r="C1714" s="34" t="str">
        <f aca="false">'Uso e Consumo'!B1714</f>
        <v>UFV NORONHA VERDE - USO E CONSUMO</v>
      </c>
      <c r="D1714" s="33" t="n">
        <f aca="false">'Uso e Consumo'!C1714</f>
        <v>283518</v>
      </c>
      <c r="E1714" s="34" t="str">
        <f aca="false">'Uso e Consumo'!D1714</f>
        <v>18.10.0113</v>
      </c>
      <c r="F1714" s="34" t="str">
        <f aca="false">'Uso e Consumo'!E1714</f>
        <v>PASTA LUBRIFICANTE - 5,0 KG</v>
      </c>
      <c r="G1714" s="34" t="str">
        <f aca="false">'Uso e Consumo'!J1714</f>
        <v>UN</v>
      </c>
      <c r="H1714" s="49" t="n">
        <f aca="false">'Uso e Consumo'!F1714</f>
        <v>2</v>
      </c>
      <c r="I1714" s="35" t="n">
        <f aca="false">'Uso e Consumo'!G1714</f>
        <v>256</v>
      </c>
      <c r="J1714" s="34" t="str">
        <f aca="false">'Uso e Consumo'!M1714</f>
        <v>3.8.1.018 - Instalações hidráulicas/sanitárias/industriais</v>
      </c>
      <c r="K1714" s="32" t="str">
        <f aca="false">INDEX('Curva ABC'!$K$8:$K$2847,MATCH(D1714,'Curva ABC'!$B$8:$B$2847,0))</f>
        <v>C</v>
      </c>
    </row>
    <row r="1715" customFormat="false" ht="15" hidden="false" customHeight="false" outlineLevel="0" collapsed="false">
      <c r="A1715" s="34" t="s">
        <v>5799</v>
      </c>
      <c r="B1715" s="34" t="str">
        <f aca="false">'Uso e Consumo'!A1715</f>
        <v>0335</v>
      </c>
      <c r="C1715" s="34" t="str">
        <f aca="false">'Uso e Consumo'!B1715</f>
        <v>UFV NORONHA VERDE - USO E CONSUMO</v>
      </c>
      <c r="D1715" s="33" t="n">
        <f aca="false">'Uso e Consumo'!C1715</f>
        <v>1614271</v>
      </c>
      <c r="E1715" s="34" t="str">
        <f aca="false">'Uso e Consumo'!D1715</f>
        <v>17.03.0618</v>
      </c>
      <c r="F1715" s="34" t="str">
        <f aca="false">'Uso e Consumo'!E1715</f>
        <v>EMENDA INTERNA PERFURADA PARA ELETROCALHA 200X100</v>
      </c>
      <c r="G1715" s="34" t="str">
        <f aca="false">'Uso e Consumo'!J1715</f>
        <v>UN</v>
      </c>
      <c r="H1715" s="49" t="n">
        <f aca="false">'Uso e Consumo'!F1715</f>
        <v>15</v>
      </c>
      <c r="I1715" s="35" t="n">
        <f aca="false">'Uso e Consumo'!G1715</f>
        <v>255.9</v>
      </c>
      <c r="J1715" s="34" t="str">
        <f aca="false">'Uso e Consumo'!M1715</f>
        <v>3.8.1.017 - Instalações elétricas/telefônicas/lógica</v>
      </c>
      <c r="K1715" s="32" t="str">
        <f aca="false">INDEX('Curva ABC'!$K$8:$K$2847,MATCH(D1715,'Curva ABC'!$B$8:$B$2847,0))</f>
        <v>C</v>
      </c>
    </row>
    <row r="1716" customFormat="false" ht="15" hidden="false" customHeight="false" outlineLevel="0" collapsed="false">
      <c r="A1716" s="34" t="s">
        <v>5799</v>
      </c>
      <c r="B1716" s="34" t="str">
        <f aca="false">'Uso e Consumo'!A1716</f>
        <v>0335</v>
      </c>
      <c r="C1716" s="34" t="str">
        <f aca="false">'Uso e Consumo'!B1716</f>
        <v>UFV NORONHA VERDE - USO E CONSUMO</v>
      </c>
      <c r="D1716" s="33" t="n">
        <f aca="false">'Uso e Consumo'!C1716</f>
        <v>1103129</v>
      </c>
      <c r="E1716" s="34" t="str">
        <f aca="false">'Uso e Consumo'!D1716</f>
        <v>29.01.1492</v>
      </c>
      <c r="F1716" s="34" t="str">
        <f aca="false">'Uso e Consumo'!E1716</f>
        <v>ROTULADOR BROTHER PT80</v>
      </c>
      <c r="G1716" s="34" t="str">
        <f aca="false">'Uso e Consumo'!J1716</f>
        <v>UN</v>
      </c>
      <c r="H1716" s="49" t="n">
        <f aca="false">'Uso e Consumo'!F1716</f>
        <v>1</v>
      </c>
      <c r="I1716" s="35" t="n">
        <f aca="false">'Uso e Consumo'!G1716</f>
        <v>255.55</v>
      </c>
      <c r="J1716" s="34" t="str">
        <f aca="false">'Uso e Consumo'!M1716</f>
        <v>4.1.1.007 - Equipamentos e acessórios para informática</v>
      </c>
      <c r="K1716" s="32" t="str">
        <f aca="false">INDEX('Curva ABC'!$K$8:$K$2847,MATCH(D1716,'Curva ABC'!$B$8:$B$2847,0))</f>
        <v>C</v>
      </c>
    </row>
    <row r="1717" customFormat="false" ht="15" hidden="false" customHeight="false" outlineLevel="0" collapsed="false">
      <c r="A1717" s="34" t="s">
        <v>5799</v>
      </c>
      <c r="B1717" s="34" t="str">
        <f aca="false">'Uso e Consumo'!A1717</f>
        <v>0335</v>
      </c>
      <c r="C1717" s="34" t="str">
        <f aca="false">'Uso e Consumo'!B1717</f>
        <v>UFV NORONHA VERDE - USO E CONSUMO</v>
      </c>
      <c r="D1717" s="33" t="n">
        <f aca="false">'Uso e Consumo'!C1717</f>
        <v>1388044</v>
      </c>
      <c r="E1717" s="34" t="str">
        <f aca="false">'Uso e Consumo'!D1717</f>
        <v>17.02.0889</v>
      </c>
      <c r="F1717" s="34" t="str">
        <f aca="false">'Uso e Consumo'!E1717</f>
        <v>PORCA PARA ELETRODUTO, DE LIGA DE ALUMÍNIO, Ø 2"</v>
      </c>
      <c r="G1717" s="34" t="str">
        <f aca="false">'Uso e Consumo'!J1717</f>
        <v>UN</v>
      </c>
      <c r="H1717" s="49" t="n">
        <f aca="false">'Uso e Consumo'!F1717</f>
        <v>45</v>
      </c>
      <c r="I1717" s="35" t="n">
        <f aca="false">'Uso e Consumo'!G1717</f>
        <v>254.67</v>
      </c>
      <c r="J1717" s="34" t="str">
        <f aca="false">'Uso e Consumo'!M1717</f>
        <v>3.8.1.017 - Instalações elétricas/telefônicas/lógica</v>
      </c>
      <c r="K1717" s="32" t="str">
        <f aca="false">INDEX('Curva ABC'!$K$8:$K$2847,MATCH(D1717,'Curva ABC'!$B$8:$B$2847,0))</f>
        <v>C</v>
      </c>
    </row>
    <row r="1718" customFormat="false" ht="15" hidden="false" customHeight="false" outlineLevel="0" collapsed="false">
      <c r="A1718" s="34" t="s">
        <v>5799</v>
      </c>
      <c r="B1718" s="34" t="str">
        <f aca="false">'Uso e Consumo'!A1718</f>
        <v>0335</v>
      </c>
      <c r="C1718" s="34" t="str">
        <f aca="false">'Uso e Consumo'!B1718</f>
        <v>UFV NORONHA VERDE - USO E CONSUMO</v>
      </c>
      <c r="D1718" s="33" t="n">
        <f aca="false">'Uso e Consumo'!C1718</f>
        <v>12558</v>
      </c>
      <c r="E1718" s="34" t="str">
        <f aca="false">'Uso e Consumo'!D1718</f>
        <v>17.02.0058</v>
      </c>
      <c r="F1718" s="34" t="str">
        <f aca="false">'Uso e Consumo'!E1718</f>
        <v>ELETRODUTO AÇO CARBONO ROSCÁVEL  BSP 1" NBR5597</v>
      </c>
      <c r="G1718" s="34" t="str">
        <f aca="false">'Uso e Consumo'!J1718</f>
        <v>M</v>
      </c>
      <c r="H1718" s="49" t="n">
        <f aca="false">'Uso e Consumo'!F1718</f>
        <v>2</v>
      </c>
      <c r="I1718" s="35" t="n">
        <f aca="false">'Uso e Consumo'!G1718</f>
        <v>254</v>
      </c>
      <c r="J1718" s="34" t="str">
        <f aca="false">'Uso e Consumo'!M1718</f>
        <v>3.8.1.017 - Instalações elétricas/telefônicas/lógica</v>
      </c>
      <c r="K1718" s="32" t="str">
        <f aca="false">INDEX('Curva ABC'!$K$8:$K$2847,MATCH(D1718,'Curva ABC'!$B$8:$B$2847,0))</f>
        <v>C</v>
      </c>
    </row>
    <row r="1719" customFormat="false" ht="15" hidden="false" customHeight="false" outlineLevel="0" collapsed="false">
      <c r="A1719" s="34" t="s">
        <v>5799</v>
      </c>
      <c r="B1719" s="34" t="str">
        <f aca="false">'Uso e Consumo'!A1719</f>
        <v>0335</v>
      </c>
      <c r="C1719" s="34" t="str">
        <f aca="false">'Uso e Consumo'!B1719</f>
        <v>UFV NORONHA VERDE - USO E CONSUMO</v>
      </c>
      <c r="D1719" s="33" t="n">
        <f aca="false">'Uso e Consumo'!C1719</f>
        <v>876002</v>
      </c>
      <c r="E1719" s="34" t="str">
        <f aca="false">'Uso e Consumo'!D1719</f>
        <v>17.10.0396</v>
      </c>
      <c r="F1719" s="34" t="str">
        <f aca="false">'Uso e Consumo'!E1719</f>
        <v>DISJUNTOR DPS PROTEÇÃO CONTRA SURTO CA 275V 20/40KA</v>
      </c>
      <c r="G1719" s="34" t="str">
        <f aca="false">'Uso e Consumo'!J1719</f>
        <v>UN</v>
      </c>
      <c r="H1719" s="49" t="n">
        <f aca="false">'Uso e Consumo'!F1719</f>
        <v>5</v>
      </c>
      <c r="I1719" s="35" t="n">
        <f aca="false">'Uso e Consumo'!G1719</f>
        <v>253.7</v>
      </c>
      <c r="J1719" s="34" t="str">
        <f aca="false">'Uso e Consumo'!M1719</f>
        <v>3.8.1.017 - Instalações elétricas/telefônicas/lógica</v>
      </c>
      <c r="K1719" s="32" t="str">
        <f aca="false">INDEX('Curva ABC'!$K$8:$K$2847,MATCH(D1719,'Curva ABC'!$B$8:$B$2847,0))</f>
        <v>C</v>
      </c>
    </row>
    <row r="1720" customFormat="false" ht="15" hidden="false" customHeight="false" outlineLevel="0" collapsed="false">
      <c r="A1720" s="34" t="s">
        <v>5799</v>
      </c>
      <c r="B1720" s="34" t="str">
        <f aca="false">'Uso e Consumo'!A1720</f>
        <v>0335</v>
      </c>
      <c r="C1720" s="34" t="str">
        <f aca="false">'Uso e Consumo'!B1720</f>
        <v>UFV NORONHA VERDE - USO E CONSUMO</v>
      </c>
      <c r="D1720" s="33" t="n">
        <f aca="false">'Uso e Consumo'!C1720</f>
        <v>934087</v>
      </c>
      <c r="E1720" s="34" t="str">
        <f aca="false">'Uso e Consumo'!D1720</f>
        <v>30.03.0459</v>
      </c>
      <c r="F1720" s="34" t="str">
        <f aca="false">'Uso e Consumo'!E1720</f>
        <v>CESTO DE ROUPA</v>
      </c>
      <c r="G1720" s="34" t="str">
        <f aca="false">'Uso e Consumo'!J1720</f>
        <v>UN</v>
      </c>
      <c r="H1720" s="49" t="n">
        <f aca="false">'Uso e Consumo'!F1720</f>
        <v>10</v>
      </c>
      <c r="I1720" s="35" t="n">
        <f aca="false">'Uso e Consumo'!G1720</f>
        <v>252.8</v>
      </c>
      <c r="J1720" s="34" t="str">
        <f aca="false">'Uso e Consumo'!M1720</f>
        <v>4.1.1.003 - Material limpeza</v>
      </c>
      <c r="K1720" s="32" t="str">
        <f aca="false">INDEX('Curva ABC'!$K$8:$K$2847,MATCH(D1720,'Curva ABC'!$B$8:$B$2847,0))</f>
        <v>C</v>
      </c>
    </row>
    <row r="1721" customFormat="false" ht="15" hidden="false" customHeight="false" outlineLevel="0" collapsed="false">
      <c r="A1721" s="34" t="s">
        <v>5799</v>
      </c>
      <c r="B1721" s="34" t="str">
        <f aca="false">'Uso e Consumo'!A1721</f>
        <v>0335</v>
      </c>
      <c r="C1721" s="34" t="str">
        <f aca="false">'Uso e Consumo'!B1721</f>
        <v>UFV NORONHA VERDE - USO E CONSUMO</v>
      </c>
      <c r="D1721" s="33" t="n">
        <f aca="false">'Uso e Consumo'!C1721</f>
        <v>19497</v>
      </c>
      <c r="E1721" s="34" t="str">
        <f aca="false">'Uso e Consumo'!D1721</f>
        <v>30.01.0217</v>
      </c>
      <c r="F1721" s="34" t="str">
        <f aca="false">'Uso e Consumo'!E1721</f>
        <v>GRAMPEADOR DE PAPEL P/ 160FOLHAS</v>
      </c>
      <c r="G1721" s="34" t="str">
        <f aca="false">'Uso e Consumo'!J1721</f>
        <v>UN</v>
      </c>
      <c r="H1721" s="49" t="n">
        <f aca="false">'Uso e Consumo'!F1721</f>
        <v>2</v>
      </c>
      <c r="I1721" s="35" t="n">
        <f aca="false">'Uso e Consumo'!G1721</f>
        <v>252</v>
      </c>
      <c r="J1721" s="34" t="str">
        <f aca="false">'Uso e Consumo'!M1721</f>
        <v>4.1.1.002 - Material expediente</v>
      </c>
      <c r="K1721" s="32" t="str">
        <f aca="false">INDEX('Curva ABC'!$K$8:$K$2847,MATCH(D1721,'Curva ABC'!$B$8:$B$2847,0))</f>
        <v>C</v>
      </c>
    </row>
    <row r="1722" customFormat="false" ht="15" hidden="false" customHeight="false" outlineLevel="0" collapsed="false">
      <c r="A1722" s="34" t="s">
        <v>5799</v>
      </c>
      <c r="B1722" s="34" t="str">
        <f aca="false">'Uso e Consumo'!A1722</f>
        <v>0335</v>
      </c>
      <c r="C1722" s="34" t="str">
        <f aca="false">'Uso e Consumo'!B1722</f>
        <v>UFV NORONHA VERDE - USO E CONSUMO</v>
      </c>
      <c r="D1722" s="33" t="n">
        <f aca="false">'Uso e Consumo'!C1722</f>
        <v>1482109</v>
      </c>
      <c r="E1722" s="34" t="str">
        <f aca="false">'Uso e Consumo'!D1722</f>
        <v>17.10.0429</v>
      </c>
      <c r="F1722" s="34" t="str">
        <f aca="false">'Uso e Consumo'!E1722</f>
        <v>INTERRUPTOR DIFERENCIAL RESIDUAL BIPOLAR FASE/NEUTRO 25A 30MA DIN</v>
      </c>
      <c r="G1722" s="34" t="str">
        <f aca="false">'Uso e Consumo'!J1722</f>
        <v>UN</v>
      </c>
      <c r="H1722" s="49" t="n">
        <f aca="false">'Uso e Consumo'!F1722</f>
        <v>2</v>
      </c>
      <c r="I1722" s="35" t="n">
        <f aca="false">'Uso e Consumo'!G1722</f>
        <v>250.96</v>
      </c>
      <c r="J1722" s="34" t="str">
        <f aca="false">'Uso e Consumo'!M1722</f>
        <v>3.8.1.017 - Instalações elétricas/telefônicas/lógica</v>
      </c>
      <c r="K1722" s="32" t="str">
        <f aca="false">INDEX('Curva ABC'!$K$8:$K$2847,MATCH(D1722,'Curva ABC'!$B$8:$B$2847,0))</f>
        <v>C</v>
      </c>
    </row>
    <row r="1723" customFormat="false" ht="15" hidden="false" customHeight="false" outlineLevel="0" collapsed="false">
      <c r="A1723" s="34" t="s">
        <v>5799</v>
      </c>
      <c r="B1723" s="34" t="str">
        <f aca="false">'Uso e Consumo'!A1723</f>
        <v>0335</v>
      </c>
      <c r="C1723" s="34" t="str">
        <f aca="false">'Uso e Consumo'!B1723</f>
        <v>UFV NORONHA VERDE - USO E CONSUMO</v>
      </c>
      <c r="D1723" s="33" t="n">
        <f aca="false">'Uso e Consumo'!C1723</f>
        <v>145062</v>
      </c>
      <c r="E1723" s="34" t="str">
        <f aca="false">'Uso e Consumo'!D1723</f>
        <v>30.04.0157</v>
      </c>
      <c r="F1723" s="34" t="str">
        <f aca="false">'Uso e Consumo'!E1723</f>
        <v>CONJUNTO DE PANELAS C/04 PEÇAS</v>
      </c>
      <c r="G1723" s="34" t="str">
        <f aca="false">'Uso e Consumo'!J1723</f>
        <v>UN</v>
      </c>
      <c r="H1723" s="49" t="n">
        <f aca="false">'Uso e Consumo'!F1723</f>
        <v>2</v>
      </c>
      <c r="I1723" s="35" t="n">
        <f aca="false">'Uso e Consumo'!G1723</f>
        <v>250.36</v>
      </c>
      <c r="J1723" s="34" t="str">
        <f aca="false">'Uso e Consumo'!M1723</f>
        <v>4.1.1.001 - Material de uso e consumo</v>
      </c>
      <c r="K1723" s="32" t="str">
        <f aca="false">INDEX('Curva ABC'!$K$8:$K$2847,MATCH(D1723,'Curva ABC'!$B$8:$B$2847,0))</f>
        <v>C</v>
      </c>
    </row>
    <row r="1724" customFormat="false" ht="15" hidden="false" customHeight="false" outlineLevel="0" collapsed="false">
      <c r="A1724" s="34" t="s">
        <v>5799</v>
      </c>
      <c r="B1724" s="34" t="str">
        <f aca="false">'Uso e Consumo'!A1724</f>
        <v>0335</v>
      </c>
      <c r="C1724" s="34" t="str">
        <f aca="false">'Uso e Consumo'!B1724</f>
        <v>UFV NORONHA VERDE - USO E CONSUMO</v>
      </c>
      <c r="D1724" s="33" t="n">
        <f aca="false">'Uso e Consumo'!C1724</f>
        <v>876699</v>
      </c>
      <c r="E1724" s="34" t="str">
        <f aca="false">'Uso e Consumo'!D1724</f>
        <v>29.03.0308</v>
      </c>
      <c r="F1724" s="34" t="str">
        <f aca="false">'Uso e Consumo'!E1724</f>
        <v>VENTILADOR COLUNA </v>
      </c>
      <c r="G1724" s="34" t="str">
        <f aca="false">'Uso e Consumo'!J1724</f>
        <v>UN</v>
      </c>
      <c r="H1724" s="49" t="n">
        <f aca="false">'Uso e Consumo'!F1724</f>
        <v>1</v>
      </c>
      <c r="I1724" s="35" t="n">
        <f aca="false">'Uso e Consumo'!G1724</f>
        <v>250</v>
      </c>
      <c r="J1724" s="34" t="str">
        <f aca="false">'Uso e Consumo'!M1724</f>
        <v>4.1.1.009 - Eletro eletrônico e acessórios</v>
      </c>
      <c r="K1724" s="32" t="str">
        <f aca="false">INDEX('Curva ABC'!$K$8:$K$2847,MATCH(D1724,'Curva ABC'!$B$8:$B$2847,0))</f>
        <v>C</v>
      </c>
    </row>
    <row r="1725" customFormat="false" ht="15" hidden="false" customHeight="false" outlineLevel="0" collapsed="false">
      <c r="A1725" s="34" t="s">
        <v>5799</v>
      </c>
      <c r="B1725" s="34" t="str">
        <f aca="false">'Uso e Consumo'!A1725</f>
        <v>0335</v>
      </c>
      <c r="C1725" s="34" t="str">
        <f aca="false">'Uso e Consumo'!B1725</f>
        <v>UFV NORONHA VERDE - USO E CONSUMO</v>
      </c>
      <c r="D1725" s="33" t="n">
        <f aca="false">'Uso e Consumo'!C1725</f>
        <v>1255459</v>
      </c>
      <c r="E1725" s="34" t="str">
        <f aca="false">'Uso e Consumo'!D1725</f>
        <v>32.02.0391</v>
      </c>
      <c r="F1725" s="34" t="str">
        <f aca="false">'Uso e Consumo'!E1725</f>
        <v>MOITÃO 80MM COM 3 ROLDANAS VONDER</v>
      </c>
      <c r="G1725" s="34" t="str">
        <f aca="false">'Uso e Consumo'!J1725</f>
        <v>UN</v>
      </c>
      <c r="H1725" s="49" t="n">
        <f aca="false">'Uso e Consumo'!F1725</f>
        <v>1</v>
      </c>
      <c r="I1725" s="35" t="n">
        <f aca="false">'Uso e Consumo'!G1725</f>
        <v>250</v>
      </c>
      <c r="J1725" s="34" t="str">
        <f aca="false">'Uso e Consumo'!M1725</f>
        <v>6.1.2.002 - Ferramentas e utensílios</v>
      </c>
      <c r="K1725" s="32" t="str">
        <f aca="false">INDEX('Curva ABC'!$K$8:$K$2847,MATCH(D1725,'Curva ABC'!$B$8:$B$2847,0))</f>
        <v>C</v>
      </c>
    </row>
    <row r="1726" customFormat="false" ht="15" hidden="false" customHeight="false" outlineLevel="0" collapsed="false">
      <c r="A1726" s="34" t="s">
        <v>5799</v>
      </c>
      <c r="B1726" s="34" t="str">
        <f aca="false">'Uso e Consumo'!A1726</f>
        <v>0335</v>
      </c>
      <c r="C1726" s="34" t="str">
        <f aca="false">'Uso e Consumo'!B1726</f>
        <v>UFV NORONHA VERDE - USO E CONSUMO</v>
      </c>
      <c r="D1726" s="33" t="n">
        <f aca="false">'Uso e Consumo'!C1726</f>
        <v>1169953</v>
      </c>
      <c r="E1726" s="34" t="str">
        <f aca="false">'Uso e Consumo'!D1726</f>
        <v>18.01.1430</v>
      </c>
      <c r="F1726" s="34" t="str">
        <f aca="false">'Uso e Consumo'!E1726</f>
        <v>JOELHO 45 FF PPR DN 75MM</v>
      </c>
      <c r="G1726" s="34" t="str">
        <f aca="false">'Uso e Consumo'!J1726</f>
        <v>UN</v>
      </c>
      <c r="H1726" s="49" t="n">
        <f aca="false">'Uso e Consumo'!F1726</f>
        <v>2</v>
      </c>
      <c r="I1726" s="35" t="n">
        <f aca="false">'Uso e Consumo'!G1726</f>
        <v>249.9</v>
      </c>
      <c r="J1726" s="34" t="str">
        <f aca="false">'Uso e Consumo'!M1726</f>
        <v>3.8.1.018 - Instalações hidráulicas/sanitárias/industriais</v>
      </c>
      <c r="K1726" s="32" t="str">
        <f aca="false">INDEX('Curva ABC'!$K$8:$K$2847,MATCH(D1726,'Curva ABC'!$B$8:$B$2847,0))</f>
        <v>C</v>
      </c>
    </row>
    <row r="1727" customFormat="false" ht="15" hidden="false" customHeight="false" outlineLevel="0" collapsed="false">
      <c r="A1727" s="34" t="s">
        <v>5799</v>
      </c>
      <c r="B1727" s="34" t="str">
        <f aca="false">'Uso e Consumo'!A1727</f>
        <v>0335</v>
      </c>
      <c r="C1727" s="34" t="str">
        <f aca="false">'Uso e Consumo'!B1727</f>
        <v>UFV NORONHA VERDE - USO E CONSUMO</v>
      </c>
      <c r="D1727" s="33" t="n">
        <f aca="false">'Uso e Consumo'!C1727</f>
        <v>950847</v>
      </c>
      <c r="E1727" s="34" t="str">
        <f aca="false">'Uso e Consumo'!D1727</f>
        <v>23.02.0413</v>
      </c>
      <c r="F1727" s="34" t="str">
        <f aca="false">'Uso e Consumo'!E1727</f>
        <v>ABRACADEIRA SEM FIM 8X12X9</v>
      </c>
      <c r="G1727" s="34" t="str">
        <f aca="false">'Uso e Consumo'!J1727</f>
        <v>UN</v>
      </c>
      <c r="H1727" s="49" t="n">
        <f aca="false">'Uso e Consumo'!F1727</f>
        <v>10</v>
      </c>
      <c r="I1727" s="35" t="n">
        <f aca="false">'Uso e Consumo'!G1727</f>
        <v>249.8</v>
      </c>
      <c r="J1727" s="34" t="str">
        <f aca="false">'Uso e Consumo'!M1727</f>
        <v>3.8.1.022 - Elementos de fixação</v>
      </c>
      <c r="K1727" s="32" t="str">
        <f aca="false">INDEX('Curva ABC'!$K$8:$K$2847,MATCH(D1727,'Curva ABC'!$B$8:$B$2847,0))</f>
        <v>C</v>
      </c>
    </row>
    <row r="1728" customFormat="false" ht="15" hidden="false" customHeight="false" outlineLevel="0" collapsed="false">
      <c r="A1728" s="34" t="s">
        <v>5799</v>
      </c>
      <c r="B1728" s="34" t="str">
        <f aca="false">'Uso e Consumo'!A1728</f>
        <v>0335</v>
      </c>
      <c r="C1728" s="34" t="str">
        <f aca="false">'Uso e Consumo'!B1728</f>
        <v>UFV NORONHA VERDE - USO E CONSUMO</v>
      </c>
      <c r="D1728" s="33" t="n">
        <f aca="false">'Uso e Consumo'!C1728</f>
        <v>66428</v>
      </c>
      <c r="E1728" s="34" t="str">
        <f aca="false">'Uso e Consumo'!D1728</f>
        <v>22.02.0008</v>
      </c>
      <c r="F1728" s="34" t="str">
        <f aca="false">'Uso e Consumo'!E1728</f>
        <v>BOLA DE FUTEBOL DE CAMPO</v>
      </c>
      <c r="G1728" s="34" t="str">
        <f aca="false">'Uso e Consumo'!J1728</f>
        <v>UN</v>
      </c>
      <c r="H1728" s="49" t="n">
        <f aca="false">'Uso e Consumo'!F1728</f>
        <v>4</v>
      </c>
      <c r="I1728" s="35" t="n">
        <f aca="false">'Uso e Consumo'!G1728</f>
        <v>249.12</v>
      </c>
      <c r="J1728" s="34" t="str">
        <f aca="false">'Uso e Consumo'!M1728</f>
        <v>3.8.1.021 - Equipamentos recreativos e esportivos</v>
      </c>
      <c r="K1728" s="32" t="str">
        <f aca="false">INDEX('Curva ABC'!$K$8:$K$2847,MATCH(D1728,'Curva ABC'!$B$8:$B$2847,0))</f>
        <v>C</v>
      </c>
    </row>
    <row r="1729" customFormat="false" ht="15" hidden="false" customHeight="false" outlineLevel="0" collapsed="false">
      <c r="A1729" s="34" t="s">
        <v>5799</v>
      </c>
      <c r="B1729" s="34" t="str">
        <f aca="false">'Uso e Consumo'!A1729</f>
        <v>0335</v>
      </c>
      <c r="C1729" s="34" t="str">
        <f aca="false">'Uso e Consumo'!B1729</f>
        <v>UFV NORONHA VERDE - USO E CONSUMO</v>
      </c>
      <c r="D1729" s="33" t="n">
        <f aca="false">'Uso e Consumo'!C1729</f>
        <v>18861</v>
      </c>
      <c r="E1729" s="34" t="str">
        <f aca="false">'Uso e Consumo'!D1729</f>
        <v>26.05.0007</v>
      </c>
      <c r="F1729" s="34" t="str">
        <f aca="false">'Uso e Consumo'!E1729</f>
        <v>MÁSCARA DE SOLDA COM VISOR ARTICULADO - LENTE TON. 10 (CA-6135/9155/15083)</v>
      </c>
      <c r="G1729" s="34" t="str">
        <f aca="false">'Uso e Consumo'!J1729</f>
        <v>UN</v>
      </c>
      <c r="H1729" s="49" t="n">
        <f aca="false">'Uso e Consumo'!F1729</f>
        <v>1</v>
      </c>
      <c r="I1729" s="35" t="n">
        <f aca="false">'Uso e Consumo'!G1729</f>
        <v>248</v>
      </c>
      <c r="J1729" s="34" t="str">
        <f aca="false">'Uso e Consumo'!M1729</f>
        <v>4.3.4.001 - Equipamento de proteção individual</v>
      </c>
      <c r="K1729" s="32" t="str">
        <f aca="false">INDEX('Curva ABC'!$K$8:$K$2847,MATCH(D1729,'Curva ABC'!$B$8:$B$2847,0))</f>
        <v>C</v>
      </c>
    </row>
    <row r="1730" customFormat="false" ht="15" hidden="false" customHeight="false" outlineLevel="0" collapsed="false">
      <c r="A1730" s="34" t="s">
        <v>5799</v>
      </c>
      <c r="B1730" s="34" t="str">
        <f aca="false">'Uso e Consumo'!A1730</f>
        <v>0335</v>
      </c>
      <c r="C1730" s="34" t="str">
        <f aca="false">'Uso e Consumo'!B1730</f>
        <v>UFV NORONHA VERDE - USO E CONSUMO</v>
      </c>
      <c r="D1730" s="33" t="n">
        <f aca="false">'Uso e Consumo'!C1730</f>
        <v>32466</v>
      </c>
      <c r="E1730" s="34" t="str">
        <f aca="false">'Uso e Consumo'!D1730</f>
        <v>17.02.0017</v>
      </c>
      <c r="F1730" s="34" t="str">
        <f aca="false">'Uso e Consumo'!E1730</f>
        <v>ELETRODUTO PVC ANTICHAMA RIGIDO SOLDAVEL PRETO 50,00MM X 3,00M NBR 15465</v>
      </c>
      <c r="G1730" s="34" t="str">
        <f aca="false">'Uso e Consumo'!J1730</f>
        <v>PÇ3M</v>
      </c>
      <c r="H1730" s="49" t="n">
        <f aca="false">'Uso e Consumo'!F1730</f>
        <v>20</v>
      </c>
      <c r="I1730" s="35" t="n">
        <f aca="false">'Uso e Consumo'!G1730</f>
        <v>247</v>
      </c>
      <c r="J1730" s="34" t="str">
        <f aca="false">'Uso e Consumo'!M1730</f>
        <v>3.8.1.017 - Instalações elétricas/telefônicas/lógica</v>
      </c>
      <c r="K1730" s="32" t="str">
        <f aca="false">INDEX('Curva ABC'!$K$8:$K$2847,MATCH(D1730,'Curva ABC'!$B$8:$B$2847,0))</f>
        <v>C</v>
      </c>
    </row>
    <row r="1731" customFormat="false" ht="15" hidden="false" customHeight="false" outlineLevel="0" collapsed="false">
      <c r="A1731" s="34" t="s">
        <v>5799</v>
      </c>
      <c r="B1731" s="34" t="str">
        <f aca="false">'Uso e Consumo'!A1731</f>
        <v>0335</v>
      </c>
      <c r="C1731" s="34" t="str">
        <f aca="false">'Uso e Consumo'!B1731</f>
        <v>UFV NORONHA VERDE - USO E CONSUMO</v>
      </c>
      <c r="D1731" s="33" t="n">
        <f aca="false">'Uso e Consumo'!C1731</f>
        <v>556842</v>
      </c>
      <c r="E1731" s="34" t="str">
        <f aca="false">'Uso e Consumo'!D1731</f>
        <v>24.08.0059</v>
      </c>
      <c r="F1731" s="34" t="str">
        <f aca="false">'Uso e Consumo'!E1731</f>
        <v>ALICATE DE PRESSÃO 10” GEDORE</v>
      </c>
      <c r="G1731" s="34" t="str">
        <f aca="false">'Uso e Consumo'!J1731</f>
        <v>UN</v>
      </c>
      <c r="H1731" s="49" t="n">
        <f aca="false">'Uso e Consumo'!F1731</f>
        <v>2</v>
      </c>
      <c r="I1731" s="35" t="n">
        <f aca="false">'Uso e Consumo'!G1731</f>
        <v>246</v>
      </c>
      <c r="J1731" s="34" t="str">
        <f aca="false">'Uso e Consumo'!M1731</f>
        <v>3.8.2.002 - Ferramentas manuais</v>
      </c>
      <c r="K1731" s="32" t="str">
        <f aca="false">INDEX('Curva ABC'!$K$8:$K$2847,MATCH(D1731,'Curva ABC'!$B$8:$B$2847,0))</f>
        <v>C</v>
      </c>
    </row>
    <row r="1732" customFormat="false" ht="15" hidden="false" customHeight="false" outlineLevel="0" collapsed="false">
      <c r="A1732" s="34" t="s">
        <v>5799</v>
      </c>
      <c r="B1732" s="34" t="str">
        <f aca="false">'Uso e Consumo'!A1732</f>
        <v>0335</v>
      </c>
      <c r="C1732" s="34" t="str">
        <f aca="false">'Uso e Consumo'!B1732</f>
        <v>UFV NORONHA VERDE - USO E CONSUMO</v>
      </c>
      <c r="D1732" s="33" t="n">
        <f aca="false">'Uso e Consumo'!C1732</f>
        <v>555239</v>
      </c>
      <c r="E1732" s="34" t="str">
        <f aca="false">'Uso e Consumo'!D1732</f>
        <v>24.09.0480</v>
      </c>
      <c r="F1732" s="34" t="str">
        <f aca="false">'Uso e Consumo'!E1732</f>
        <v>CHAVE COMB. 19MM CV. 1B 19MM 002514 GEDORE</v>
      </c>
      <c r="G1732" s="34" t="str">
        <f aca="false">'Uso e Consumo'!J1732</f>
        <v>UN</v>
      </c>
      <c r="H1732" s="49" t="n">
        <f aca="false">'Uso e Consumo'!F1732</f>
        <v>6</v>
      </c>
      <c r="I1732" s="35" t="n">
        <f aca="false">'Uso e Consumo'!G1732</f>
        <v>245.7</v>
      </c>
      <c r="J1732" s="34" t="str">
        <f aca="false">'Uso e Consumo'!M1732</f>
        <v>3.8.2.002 - Ferramentas manuais</v>
      </c>
      <c r="K1732" s="32" t="str">
        <f aca="false">INDEX('Curva ABC'!$K$8:$K$2847,MATCH(D1732,'Curva ABC'!$B$8:$B$2847,0))</f>
        <v>C</v>
      </c>
    </row>
    <row r="1733" customFormat="false" ht="15" hidden="false" customHeight="false" outlineLevel="0" collapsed="false">
      <c r="A1733" s="34" t="s">
        <v>5799</v>
      </c>
      <c r="B1733" s="34" t="str">
        <f aca="false">'Uso e Consumo'!A1733</f>
        <v>0335</v>
      </c>
      <c r="C1733" s="34" t="str">
        <f aca="false">'Uso e Consumo'!B1733</f>
        <v>UFV NORONHA VERDE - USO E CONSUMO</v>
      </c>
      <c r="D1733" s="33" t="n">
        <f aca="false">'Uso e Consumo'!C1733</f>
        <v>275528</v>
      </c>
      <c r="E1733" s="34" t="str">
        <f aca="false">'Uso e Consumo'!D1733</f>
        <v>18.01.1075</v>
      </c>
      <c r="F1733" s="34" t="str">
        <f aca="false">'Uso e Consumo'!E1733</f>
        <v>ELETRODUTO DE PEAD-POLIETILENO DE ALTA DENSIDADE CORRUGADO, Ø6"</v>
      </c>
      <c r="G1733" s="34" t="str">
        <f aca="false">'Uso e Consumo'!J1733</f>
        <v>M</v>
      </c>
      <c r="H1733" s="49" t="n">
        <f aca="false">'Uso e Consumo'!F1733</f>
        <v>7</v>
      </c>
      <c r="I1733" s="35" t="n">
        <f aca="false">'Uso e Consumo'!G1733</f>
        <v>245.63</v>
      </c>
      <c r="J1733" s="34" t="str">
        <f aca="false">'Uso e Consumo'!M1733</f>
        <v>3.8.1.017 - Instalações elétricas/telefônicas/lógica</v>
      </c>
      <c r="K1733" s="32" t="str">
        <f aca="false">INDEX('Curva ABC'!$K$8:$K$2847,MATCH(D1733,'Curva ABC'!$B$8:$B$2847,0))</f>
        <v>C</v>
      </c>
    </row>
    <row r="1734" customFormat="false" ht="15" hidden="false" customHeight="false" outlineLevel="0" collapsed="false">
      <c r="A1734" s="34" t="s">
        <v>5799</v>
      </c>
      <c r="B1734" s="34" t="str">
        <f aca="false">'Uso e Consumo'!A1734</f>
        <v>0335</v>
      </c>
      <c r="C1734" s="34" t="str">
        <f aca="false">'Uso e Consumo'!B1734</f>
        <v>UFV NORONHA VERDE - USO E CONSUMO</v>
      </c>
      <c r="D1734" s="33" t="n">
        <f aca="false">'Uso e Consumo'!C1734</f>
        <v>17939</v>
      </c>
      <c r="E1734" s="34" t="str">
        <f aca="false">'Uso e Consumo'!D1734</f>
        <v>24.09.0033</v>
      </c>
      <c r="F1734" s="34" t="str">
        <f aca="false">'Uso e Consumo'!E1734</f>
        <v>CHAVE COMBINADA 15,00MM AÇO CARBONO CROMADO</v>
      </c>
      <c r="G1734" s="34" t="str">
        <f aca="false">'Uso e Consumo'!J1734</f>
        <v>UN</v>
      </c>
      <c r="H1734" s="49" t="n">
        <f aca="false">'Uso e Consumo'!F1734</f>
        <v>5</v>
      </c>
      <c r="I1734" s="35" t="n">
        <f aca="false">'Uso e Consumo'!G1734</f>
        <v>245.32</v>
      </c>
      <c r="J1734" s="34" t="str">
        <f aca="false">'Uso e Consumo'!M1734</f>
        <v>3.8.2.002 - Ferramentas manuais</v>
      </c>
      <c r="K1734" s="32" t="str">
        <f aca="false">INDEX('Curva ABC'!$K$8:$K$2847,MATCH(D1734,'Curva ABC'!$B$8:$B$2847,0))</f>
        <v>C</v>
      </c>
    </row>
    <row r="1735" customFormat="false" ht="15" hidden="false" customHeight="false" outlineLevel="0" collapsed="false">
      <c r="A1735" s="34" t="s">
        <v>5799</v>
      </c>
      <c r="B1735" s="34" t="str">
        <f aca="false">'Uso e Consumo'!A1735</f>
        <v>0335</v>
      </c>
      <c r="C1735" s="34" t="str">
        <f aca="false">'Uso e Consumo'!B1735</f>
        <v>UFV NORONHA VERDE - USO E CONSUMO</v>
      </c>
      <c r="D1735" s="33" t="n">
        <f aca="false">'Uso e Consumo'!C1735</f>
        <v>1465306</v>
      </c>
      <c r="E1735" s="34" t="str">
        <f aca="false">'Uso e Consumo'!D1735</f>
        <v>23.05.0293</v>
      </c>
      <c r="F1735" s="34" t="str">
        <f aca="false">'Uso e Consumo'!E1735</f>
        <v>ARRUELA DE PRESSÃO DE AÇO INOX  M16</v>
      </c>
      <c r="G1735" s="34" t="str">
        <f aca="false">'Uso e Consumo'!J1735</f>
        <v>UN</v>
      </c>
      <c r="H1735" s="49" t="n">
        <f aca="false">'Uso e Consumo'!F1735</f>
        <v>192</v>
      </c>
      <c r="I1735" s="35" t="n">
        <f aca="false">'Uso e Consumo'!G1735</f>
        <v>245.16</v>
      </c>
      <c r="J1735" s="34" t="str">
        <f aca="false">'Uso e Consumo'!M1735</f>
        <v>3.8.1.022 - Elementos de fixação</v>
      </c>
      <c r="K1735" s="32" t="str">
        <f aca="false">INDEX('Curva ABC'!$K$8:$K$2847,MATCH(D1735,'Curva ABC'!$B$8:$B$2847,0))</f>
        <v>C</v>
      </c>
    </row>
    <row r="1736" customFormat="false" ht="15" hidden="false" customHeight="false" outlineLevel="0" collapsed="false">
      <c r="A1736" s="34" t="s">
        <v>5799</v>
      </c>
      <c r="B1736" s="34" t="str">
        <f aca="false">'Uso e Consumo'!A1736</f>
        <v>0335</v>
      </c>
      <c r="C1736" s="34" t="str">
        <f aca="false">'Uso e Consumo'!B1736</f>
        <v>UFV NORONHA VERDE - USO E CONSUMO</v>
      </c>
      <c r="D1736" s="33" t="n">
        <f aca="false">'Uso e Consumo'!C1736</f>
        <v>1385308</v>
      </c>
      <c r="E1736" s="34" t="str">
        <f aca="false">'Uso e Consumo'!D1736</f>
        <v>17.20.0694</v>
      </c>
      <c r="F1736" s="34" t="str">
        <f aca="false">'Uso e Consumo'!E1736</f>
        <v>TERMINAÇÃO PARA ACABAMENTO DE ELETRODUTO FLEXÍVEL PEAD, DIÂMETRO NOMINAL 3"</v>
      </c>
      <c r="G1736" s="34" t="str">
        <f aca="false">'Uso e Consumo'!J1736</f>
        <v>UN</v>
      </c>
      <c r="H1736" s="49" t="n">
        <f aca="false">'Uso e Consumo'!F1736</f>
        <v>23</v>
      </c>
      <c r="I1736" s="35" t="n">
        <f aca="false">'Uso e Consumo'!G1736</f>
        <v>244.95</v>
      </c>
      <c r="J1736" s="34" t="str">
        <f aca="false">'Uso e Consumo'!M1736</f>
        <v>3.8.1.017 - Instalações elétricas/telefônicas/lógica</v>
      </c>
      <c r="K1736" s="32" t="str">
        <f aca="false">INDEX('Curva ABC'!$K$8:$K$2847,MATCH(D1736,'Curva ABC'!$B$8:$B$2847,0))</f>
        <v>C</v>
      </c>
    </row>
    <row r="1737" customFormat="false" ht="15" hidden="false" customHeight="false" outlineLevel="0" collapsed="false">
      <c r="A1737" s="34" t="s">
        <v>5799</v>
      </c>
      <c r="B1737" s="34" t="str">
        <f aca="false">'Uso e Consumo'!A1737</f>
        <v>0335</v>
      </c>
      <c r="C1737" s="34" t="str">
        <f aca="false">'Uso e Consumo'!B1737</f>
        <v>UFV NORONHA VERDE - USO E CONSUMO</v>
      </c>
      <c r="D1737" s="33" t="n">
        <f aca="false">'Uso e Consumo'!C1737</f>
        <v>18014</v>
      </c>
      <c r="E1737" s="34" t="str">
        <f aca="false">'Uso e Consumo'!D1737</f>
        <v>24.09.0108</v>
      </c>
      <c r="F1737" s="34" t="str">
        <f aca="false">'Uso e Consumo'!E1737</f>
        <v>CHAVE FENDA SIMPLES 3/8" X 12" AÇO CROMO-VANADIO CROMADO/NIQUELADO CABO PVC RIGIDO</v>
      </c>
      <c r="G1737" s="34" t="str">
        <f aca="false">'Uso e Consumo'!J1737</f>
        <v>UN</v>
      </c>
      <c r="H1737" s="49" t="n">
        <f aca="false">'Uso e Consumo'!F1737</f>
        <v>5</v>
      </c>
      <c r="I1737" s="35" t="n">
        <f aca="false">'Uso e Consumo'!G1737</f>
        <v>243.5</v>
      </c>
      <c r="J1737" s="34" t="str">
        <f aca="false">'Uso e Consumo'!M1737</f>
        <v>3.8.2.002 - Ferramentas manuais</v>
      </c>
      <c r="K1737" s="32" t="str">
        <f aca="false">INDEX('Curva ABC'!$K$8:$K$2847,MATCH(D1737,'Curva ABC'!$B$8:$B$2847,0))</f>
        <v>C</v>
      </c>
    </row>
    <row r="1738" customFormat="false" ht="15" hidden="false" customHeight="false" outlineLevel="0" collapsed="false">
      <c r="A1738" s="34" t="s">
        <v>5799</v>
      </c>
      <c r="B1738" s="34" t="str">
        <f aca="false">'Uso e Consumo'!A1738</f>
        <v>0335</v>
      </c>
      <c r="C1738" s="34" t="str">
        <f aca="false">'Uso e Consumo'!B1738</f>
        <v>UFV NORONHA VERDE - USO E CONSUMO</v>
      </c>
      <c r="D1738" s="33" t="n">
        <f aca="false">'Uso e Consumo'!C1738</f>
        <v>1672552</v>
      </c>
      <c r="E1738" s="34" t="str">
        <f aca="false">'Uso e Consumo'!D1738</f>
        <v>09.08.0084</v>
      </c>
      <c r="F1738" s="34" t="str">
        <f aca="false">'Uso e Consumo'!E1738</f>
        <v>TAMPA DE CONCRETO ARMADO 107,4 X 96 X 6 CM</v>
      </c>
      <c r="G1738" s="34" t="str">
        <f aca="false">'Uso e Consumo'!J1738</f>
        <v>UN</v>
      </c>
      <c r="H1738" s="49" t="n">
        <f aca="false">'Uso e Consumo'!F1738</f>
        <v>1</v>
      </c>
      <c r="I1738" s="35" t="n">
        <f aca="false">'Uso e Consumo'!G1738</f>
        <v>241.27</v>
      </c>
      <c r="J1738" s="34" t="str">
        <f aca="false">'Uso e Consumo'!M1738</f>
        <v>3.8.1.009 - Artefatos pré-moldados de concreto</v>
      </c>
      <c r="K1738" s="32" t="str">
        <f aca="false">INDEX('Curva ABC'!$K$8:$K$2847,MATCH(D1738,'Curva ABC'!$B$8:$B$2847,0))</f>
        <v>C</v>
      </c>
    </row>
    <row r="1739" customFormat="false" ht="15" hidden="false" customHeight="false" outlineLevel="0" collapsed="false">
      <c r="A1739" s="34" t="s">
        <v>5799</v>
      </c>
      <c r="B1739" s="34" t="str">
        <f aca="false">'Uso e Consumo'!A1739</f>
        <v>0335</v>
      </c>
      <c r="C1739" s="34" t="str">
        <f aca="false">'Uso e Consumo'!B1739</f>
        <v>UFV NORONHA VERDE - USO E CONSUMO</v>
      </c>
      <c r="D1739" s="33" t="n">
        <f aca="false">'Uso e Consumo'!C1739</f>
        <v>390195</v>
      </c>
      <c r="E1739" s="34" t="str">
        <f aca="false">'Uso e Consumo'!D1739</f>
        <v>33.03.0125</v>
      </c>
      <c r="F1739" s="34" t="str">
        <f aca="false">'Uso e Consumo'!E1739</f>
        <v>REPARO RT-03 PARA PNEUS SEM CÂMARA</v>
      </c>
      <c r="G1739" s="34" t="str">
        <f aca="false">'Uso e Consumo'!J1739</f>
        <v>UN</v>
      </c>
      <c r="H1739" s="49" t="n">
        <f aca="false">'Uso e Consumo'!F1739</f>
        <v>2</v>
      </c>
      <c r="I1739" s="35" t="n">
        <f aca="false">'Uso e Consumo'!G1739</f>
        <v>240</v>
      </c>
      <c r="J1739" s="34" t="str">
        <f aca="false">'Uso e Consumo'!M1739</f>
        <v>3.1.6.002 - Pneus e peças</v>
      </c>
      <c r="K1739" s="32" t="str">
        <f aca="false">INDEX('Curva ABC'!$K$8:$K$2847,MATCH(D1739,'Curva ABC'!$B$8:$B$2847,0))</f>
        <v>C</v>
      </c>
    </row>
    <row r="1740" customFormat="false" ht="15" hidden="false" customHeight="false" outlineLevel="0" collapsed="false">
      <c r="A1740" s="34" t="s">
        <v>5799</v>
      </c>
      <c r="B1740" s="34" t="str">
        <f aca="false">'Uso e Consumo'!A1740</f>
        <v>0335</v>
      </c>
      <c r="C1740" s="34" t="str">
        <f aca="false">'Uso e Consumo'!B1740</f>
        <v>UFV NORONHA VERDE - USO E CONSUMO</v>
      </c>
      <c r="D1740" s="33" t="n">
        <f aca="false">'Uso e Consumo'!C1740</f>
        <v>852412</v>
      </c>
      <c r="E1740" s="34" t="str">
        <f aca="false">'Uso e Consumo'!D1740</f>
        <v>23.01.0071</v>
      </c>
      <c r="F1740" s="34" t="str">
        <f aca="false">'Uso e Consumo'!E1740</f>
        <v>COLA CIMENTO VULCANIZANTE A FRIO VC-02 LATA 725G</v>
      </c>
      <c r="G1740" s="34" t="str">
        <f aca="false">'Uso e Consumo'!J1740</f>
        <v>UN</v>
      </c>
      <c r="H1740" s="49" t="n">
        <f aca="false">'Uso e Consumo'!F1740</f>
        <v>2</v>
      </c>
      <c r="I1740" s="35" t="n">
        <f aca="false">'Uso e Consumo'!G1740</f>
        <v>240</v>
      </c>
      <c r="J1740" s="34" t="str">
        <f aca="false">'Uso e Consumo'!M1740</f>
        <v>3.8.1.022 - Elementos de fixação</v>
      </c>
      <c r="K1740" s="32" t="str">
        <f aca="false">INDEX('Curva ABC'!$K$8:$K$2847,MATCH(D1740,'Curva ABC'!$B$8:$B$2847,0))</f>
        <v>C</v>
      </c>
    </row>
    <row r="1741" customFormat="false" ht="15" hidden="false" customHeight="false" outlineLevel="0" collapsed="false">
      <c r="A1741" s="34" t="s">
        <v>5799</v>
      </c>
      <c r="B1741" s="34" t="str">
        <f aca="false">'Uso e Consumo'!A1741</f>
        <v>0335</v>
      </c>
      <c r="C1741" s="34" t="str">
        <f aca="false">'Uso e Consumo'!B1741</f>
        <v>UFV NORONHA VERDE - USO E CONSUMO</v>
      </c>
      <c r="D1741" s="33" t="n">
        <f aca="false">'Uso e Consumo'!C1741</f>
        <v>856730</v>
      </c>
      <c r="E1741" s="34" t="str">
        <f aca="false">'Uso e Consumo'!D1741</f>
        <v>16.05.0169</v>
      </c>
      <c r="F1741" s="34" t="str">
        <f aca="false">'Uso e Consumo'!E1741</f>
        <v>ESPATULA PARA BORRACHEIRO ACO CROMO VANADIO TENSAO ALIMENTACAO: 220 V REDONDO 1 PONTA RETA/1 PONTA CURVA 580MM</v>
      </c>
      <c r="G1741" s="34" t="str">
        <f aca="false">'Uso e Consumo'!J1741</f>
        <v>UN</v>
      </c>
      <c r="H1741" s="49" t="n">
        <f aca="false">'Uso e Consumo'!F1741</f>
        <v>4</v>
      </c>
      <c r="I1741" s="35" t="n">
        <f aca="false">'Uso e Consumo'!G1741</f>
        <v>240</v>
      </c>
      <c r="J1741" s="34" t="str">
        <f aca="false">'Uso e Consumo'!M1741</f>
        <v>3.8.2.002 - Ferramentas manuais</v>
      </c>
      <c r="K1741" s="32" t="str">
        <f aca="false">INDEX('Curva ABC'!$K$8:$K$2847,MATCH(D1741,'Curva ABC'!$B$8:$B$2847,0))</f>
        <v>C</v>
      </c>
    </row>
    <row r="1742" customFormat="false" ht="15" hidden="false" customHeight="false" outlineLevel="0" collapsed="false">
      <c r="A1742" s="34" t="s">
        <v>5799</v>
      </c>
      <c r="B1742" s="34" t="str">
        <f aca="false">'Uso e Consumo'!A1742</f>
        <v>0335</v>
      </c>
      <c r="C1742" s="34" t="str">
        <f aca="false">'Uso e Consumo'!B1742</f>
        <v>UFV NORONHA VERDE - USO E CONSUMO</v>
      </c>
      <c r="D1742" s="33" t="n">
        <f aca="false">'Uso e Consumo'!C1742</f>
        <v>1605802</v>
      </c>
      <c r="E1742" s="34" t="str">
        <f aca="false">'Uso e Consumo'!D1742</f>
        <v>17.01.1390</v>
      </c>
      <c r="F1742" s="34" t="str">
        <f aca="false">'Uso e Consumo'!E1742</f>
        <v>CABO UNIPOLAR DE COBRE HEPR 0,6/1KV DE 2,5MM² COM 2 VIAS (F+N)</v>
      </c>
      <c r="G1742" s="34" t="str">
        <f aca="false">'Uso e Consumo'!J1742</f>
        <v>M</v>
      </c>
      <c r="H1742" s="49" t="n">
        <f aca="false">'Uso e Consumo'!F1742</f>
        <v>20</v>
      </c>
      <c r="I1742" s="35" t="n">
        <f aca="false">'Uso e Consumo'!G1742</f>
        <v>239.8</v>
      </c>
      <c r="J1742" s="34" t="str">
        <f aca="false">'Uso e Consumo'!M1742</f>
        <v>3.8.1.017 - Instalações elétricas/telefônicas/lógica</v>
      </c>
      <c r="K1742" s="32" t="str">
        <f aca="false">INDEX('Curva ABC'!$K$8:$K$2847,MATCH(D1742,'Curva ABC'!$B$8:$B$2847,0))</f>
        <v>C</v>
      </c>
    </row>
    <row r="1743" customFormat="false" ht="15" hidden="false" customHeight="false" outlineLevel="0" collapsed="false">
      <c r="A1743" s="34" t="s">
        <v>5799</v>
      </c>
      <c r="B1743" s="34" t="str">
        <f aca="false">'Uso e Consumo'!A1743</f>
        <v>0335</v>
      </c>
      <c r="C1743" s="34" t="str">
        <f aca="false">'Uso e Consumo'!B1743</f>
        <v>UFV NORONHA VERDE - USO E CONSUMO</v>
      </c>
      <c r="D1743" s="33" t="n">
        <f aca="false">'Uso e Consumo'!C1743</f>
        <v>1171454</v>
      </c>
      <c r="E1743" s="34" t="str">
        <f aca="false">'Uso e Consumo'!D1743</f>
        <v>18.01.1457</v>
      </c>
      <c r="F1743" s="34" t="str">
        <f aca="false">'Uso e Consumo'!E1743</f>
        <v>LUVA SIMP ESG DN40 - LINHA REDUÇÃO DE RUÍDO</v>
      </c>
      <c r="G1743" s="34" t="str">
        <f aca="false">'Uso e Consumo'!J1743</f>
        <v>UN</v>
      </c>
      <c r="H1743" s="49" t="n">
        <f aca="false">'Uso e Consumo'!F1743</f>
        <v>40</v>
      </c>
      <c r="I1743" s="35" t="n">
        <f aca="false">'Uso e Consumo'!G1743</f>
        <v>239.2</v>
      </c>
      <c r="J1743" s="34" t="str">
        <f aca="false">'Uso e Consumo'!M1743</f>
        <v>3.8.1.018 - Instalações hidráulicas/sanitárias/industriais</v>
      </c>
      <c r="K1743" s="32" t="str">
        <f aca="false">INDEX('Curva ABC'!$K$8:$K$2847,MATCH(D1743,'Curva ABC'!$B$8:$B$2847,0))</f>
        <v>C</v>
      </c>
    </row>
    <row r="1744" customFormat="false" ht="15" hidden="false" customHeight="false" outlineLevel="0" collapsed="false">
      <c r="A1744" s="34" t="s">
        <v>5799</v>
      </c>
      <c r="B1744" s="34" t="str">
        <f aca="false">'Uso e Consumo'!A1744</f>
        <v>0335</v>
      </c>
      <c r="C1744" s="34" t="str">
        <f aca="false">'Uso e Consumo'!B1744</f>
        <v>UFV NORONHA VERDE - USO E CONSUMO</v>
      </c>
      <c r="D1744" s="33" t="n">
        <f aca="false">'Uso e Consumo'!C1744</f>
        <v>23499</v>
      </c>
      <c r="E1744" s="34" t="str">
        <f aca="false">'Uso e Consumo'!D1744</f>
        <v>26.02.0048</v>
      </c>
      <c r="F1744" s="34" t="str">
        <f aca="false">'Uso e Consumo'!E1744</f>
        <v>BOTINA NOBUCK C/ CADARÇO E BIQUEIRA - COR MARROM -  Nº 38 - 90HXPN400 (CA-28108/13808/26706/26710)</v>
      </c>
      <c r="G1744" s="34" t="str">
        <f aca="false">'Uso e Consumo'!J1744</f>
        <v>PAR</v>
      </c>
      <c r="H1744" s="49" t="n">
        <f aca="false">'Uso e Consumo'!F1744</f>
        <v>2</v>
      </c>
      <c r="I1744" s="35" t="n">
        <f aca="false">'Uso e Consumo'!G1744</f>
        <v>239</v>
      </c>
      <c r="J1744" s="34" t="str">
        <f aca="false">'Uso e Consumo'!M1744</f>
        <v>4.3.4.001 - Equipamento de proteção individual</v>
      </c>
      <c r="K1744" s="32" t="str">
        <f aca="false">INDEX('Curva ABC'!$K$8:$K$2847,MATCH(D1744,'Curva ABC'!$B$8:$B$2847,0))</f>
        <v>C</v>
      </c>
    </row>
    <row r="1745" customFormat="false" ht="15" hidden="false" customHeight="false" outlineLevel="0" collapsed="false">
      <c r="A1745" s="34" t="s">
        <v>5799</v>
      </c>
      <c r="B1745" s="34" t="str">
        <f aca="false">'Uso e Consumo'!A1745</f>
        <v>0335</v>
      </c>
      <c r="C1745" s="34" t="str">
        <f aca="false">'Uso e Consumo'!B1745</f>
        <v>UFV NORONHA VERDE - USO E CONSUMO</v>
      </c>
      <c r="D1745" s="33" t="n">
        <f aca="false">'Uso e Consumo'!C1745</f>
        <v>218904</v>
      </c>
      <c r="E1745" s="34" t="str">
        <f aca="false">'Uso e Consumo'!D1745</f>
        <v>29.01.0575</v>
      </c>
      <c r="F1745" s="34" t="str">
        <f aca="false">'Uso e Consumo'!E1745</f>
        <v>MICROFONE COM FIO </v>
      </c>
      <c r="G1745" s="34" t="str">
        <f aca="false">'Uso e Consumo'!J1745</f>
        <v>UN</v>
      </c>
      <c r="H1745" s="49" t="n">
        <f aca="false">'Uso e Consumo'!F1745</f>
        <v>1</v>
      </c>
      <c r="I1745" s="35" t="n">
        <f aca="false">'Uso e Consumo'!G1745</f>
        <v>239</v>
      </c>
      <c r="J1745" s="34" t="str">
        <f aca="false">'Uso e Consumo'!M1745</f>
        <v>4.1.1.007 - Equipamentos e acessórios para informática</v>
      </c>
      <c r="K1745" s="32" t="str">
        <f aca="false">INDEX('Curva ABC'!$K$8:$K$2847,MATCH(D1745,'Curva ABC'!$B$8:$B$2847,0))</f>
        <v>C</v>
      </c>
    </row>
    <row r="1746" customFormat="false" ht="15" hidden="false" customHeight="false" outlineLevel="0" collapsed="false">
      <c r="A1746" s="34" t="s">
        <v>5799</v>
      </c>
      <c r="B1746" s="34" t="str">
        <f aca="false">'Uso e Consumo'!A1746</f>
        <v>0335</v>
      </c>
      <c r="C1746" s="34" t="str">
        <f aca="false">'Uso e Consumo'!B1746</f>
        <v>UFV NORONHA VERDE - USO E CONSUMO</v>
      </c>
      <c r="D1746" s="33" t="n">
        <f aca="false">'Uso e Consumo'!C1746</f>
        <v>230659</v>
      </c>
      <c r="E1746" s="34" t="str">
        <f aca="false">'Uso e Consumo'!D1746</f>
        <v>26.06.0079</v>
      </c>
      <c r="F1746" s="34" t="str">
        <f aca="false">'Uso e Consumo'!E1746</f>
        <v>LUVA LÁTEX - CX C/100 UND</v>
      </c>
      <c r="G1746" s="34" t="str">
        <f aca="false">'Uso e Consumo'!J1746</f>
        <v>cx100</v>
      </c>
      <c r="H1746" s="49" t="n">
        <f aca="false">'Uso e Consumo'!F1746</f>
        <v>7</v>
      </c>
      <c r="I1746" s="35" t="n">
        <f aca="false">'Uso e Consumo'!G1746</f>
        <v>238</v>
      </c>
      <c r="J1746" s="34" t="str">
        <f aca="false">'Uso e Consumo'!M1746</f>
        <v>4.3.4.001 - Equipamento de proteção individual</v>
      </c>
      <c r="K1746" s="32" t="str">
        <f aca="false">INDEX('Curva ABC'!$K$8:$K$2847,MATCH(D1746,'Curva ABC'!$B$8:$B$2847,0))</f>
        <v>C</v>
      </c>
    </row>
    <row r="1747" customFormat="false" ht="15" hidden="false" customHeight="false" outlineLevel="0" collapsed="false">
      <c r="A1747" s="34" t="s">
        <v>5799</v>
      </c>
      <c r="B1747" s="34" t="str">
        <f aca="false">'Uso e Consumo'!A1747</f>
        <v>0335</v>
      </c>
      <c r="C1747" s="34" t="str">
        <f aca="false">'Uso e Consumo'!B1747</f>
        <v>UFV NORONHA VERDE - USO E CONSUMO</v>
      </c>
      <c r="D1747" s="33" t="n">
        <f aca="false">'Uso e Consumo'!C1747</f>
        <v>555186</v>
      </c>
      <c r="E1747" s="34" t="str">
        <f aca="false">'Uso e Consumo'!D1747</f>
        <v>24.09.0462</v>
      </c>
      <c r="F1747" s="34" t="str">
        <f aca="false">'Uso e Consumo'!E1747</f>
        <v>CHAVE CANO 12" AMERICANA ABER.CN. 2.1/8" R27160011 3301205 GEDORE RED</v>
      </c>
      <c r="G1747" s="34" t="str">
        <f aca="false">'Uso e Consumo'!J1747</f>
        <v>UN</v>
      </c>
      <c r="H1747" s="49" t="n">
        <f aca="false">'Uso e Consumo'!F1747</f>
        <v>1</v>
      </c>
      <c r="I1747" s="35" t="n">
        <f aca="false">'Uso e Consumo'!G1747</f>
        <v>238</v>
      </c>
      <c r="J1747" s="34" t="str">
        <f aca="false">'Uso e Consumo'!M1747</f>
        <v>3.8.2.002 - Ferramentas manuais</v>
      </c>
      <c r="K1747" s="32" t="str">
        <f aca="false">INDEX('Curva ABC'!$K$8:$K$2847,MATCH(D1747,'Curva ABC'!$B$8:$B$2847,0))</f>
        <v>C</v>
      </c>
    </row>
    <row r="1748" customFormat="false" ht="15" hidden="false" customHeight="false" outlineLevel="0" collapsed="false">
      <c r="A1748" s="34" t="s">
        <v>5799</v>
      </c>
      <c r="B1748" s="34" t="str">
        <f aca="false">'Uso e Consumo'!A1748</f>
        <v>0335</v>
      </c>
      <c r="C1748" s="34" t="str">
        <f aca="false">'Uso e Consumo'!B1748</f>
        <v>UFV NORONHA VERDE - USO E CONSUMO</v>
      </c>
      <c r="D1748" s="33" t="n">
        <f aca="false">'Uso e Consumo'!C1748</f>
        <v>741194</v>
      </c>
      <c r="E1748" s="34" t="str">
        <f aca="false">'Uso e Consumo'!D1748</f>
        <v>24.17.0016</v>
      </c>
      <c r="F1748" s="34" t="str">
        <f aca="false">'Uso e Consumo'!E1748</f>
        <v>CHIBANCA</v>
      </c>
      <c r="G1748" s="34" t="str">
        <f aca="false">'Uso e Consumo'!J1748</f>
        <v>UN</v>
      </c>
      <c r="H1748" s="49" t="n">
        <f aca="false">'Uso e Consumo'!F1748</f>
        <v>1</v>
      </c>
      <c r="I1748" s="35" t="n">
        <f aca="false">'Uso e Consumo'!G1748</f>
        <v>238</v>
      </c>
      <c r="J1748" s="34" t="str">
        <f aca="false">'Uso e Consumo'!M1748</f>
        <v>3.8.2.002 - Ferramentas manuais</v>
      </c>
      <c r="K1748" s="32" t="str">
        <f aca="false">INDEX('Curva ABC'!$K$8:$K$2847,MATCH(D1748,'Curva ABC'!$B$8:$B$2847,0))</f>
        <v>C</v>
      </c>
    </row>
    <row r="1749" customFormat="false" ht="15" hidden="false" customHeight="false" outlineLevel="0" collapsed="false">
      <c r="A1749" s="34" t="s">
        <v>5799</v>
      </c>
      <c r="B1749" s="34" t="str">
        <f aca="false">'Uso e Consumo'!A1749</f>
        <v>0335</v>
      </c>
      <c r="C1749" s="34" t="str">
        <f aca="false">'Uso e Consumo'!B1749</f>
        <v>UFV NORONHA VERDE - USO E CONSUMO</v>
      </c>
      <c r="D1749" s="33" t="n">
        <f aca="false">'Uso e Consumo'!C1749</f>
        <v>1312945</v>
      </c>
      <c r="E1749" s="34" t="str">
        <f aca="false">'Uso e Consumo'!D1749</f>
        <v>23.07.1545</v>
      </c>
      <c r="F1749" s="34" t="str">
        <f aca="false">'Uso e Consumo'!E1749</f>
        <v>KIT PARAFUSO CABEÇA SEXTAVA C/ ROSCA TOTAL M12 + ARRUELA LISA + ARRUELA DE PRESSÃO (CJ)</v>
      </c>
      <c r="G1749" s="34" t="str">
        <f aca="false">'Uso e Consumo'!J1749</f>
        <v>UN</v>
      </c>
      <c r="H1749" s="49" t="n">
        <f aca="false">'Uso e Consumo'!F1749</f>
        <v>24</v>
      </c>
      <c r="I1749" s="35" t="n">
        <f aca="false">'Uso e Consumo'!G1749</f>
        <v>237.6</v>
      </c>
      <c r="J1749" s="34" t="str">
        <f aca="false">'Uso e Consumo'!M1749</f>
        <v>3.8.1.022 - Elementos de fixação</v>
      </c>
      <c r="K1749" s="32" t="str">
        <f aca="false">INDEX('Curva ABC'!$K$8:$K$2847,MATCH(D1749,'Curva ABC'!$B$8:$B$2847,0))</f>
        <v>C</v>
      </c>
    </row>
    <row r="1750" customFormat="false" ht="15" hidden="false" customHeight="false" outlineLevel="0" collapsed="false">
      <c r="A1750" s="34" t="s">
        <v>5799</v>
      </c>
      <c r="B1750" s="34" t="str">
        <f aca="false">'Uso e Consumo'!A1750</f>
        <v>0335</v>
      </c>
      <c r="C1750" s="34" t="str">
        <f aca="false">'Uso e Consumo'!B1750</f>
        <v>UFV NORONHA VERDE - USO E CONSUMO</v>
      </c>
      <c r="D1750" s="33" t="n">
        <f aca="false">'Uso e Consumo'!C1750</f>
        <v>425790</v>
      </c>
      <c r="E1750" s="34" t="str">
        <f aca="false">'Uso e Consumo'!D1750</f>
        <v>30.04.0200</v>
      </c>
      <c r="F1750" s="34" t="str">
        <f aca="false">'Uso e Consumo'!E1750</f>
        <v>PORTA PAPEL HIGIÊNICO SIMPLES</v>
      </c>
      <c r="G1750" s="34" t="str">
        <f aca="false">'Uso e Consumo'!J1750</f>
        <v>UN</v>
      </c>
      <c r="H1750" s="49" t="n">
        <f aca="false">'Uso e Consumo'!F1750</f>
        <v>20</v>
      </c>
      <c r="I1750" s="35" t="n">
        <f aca="false">'Uso e Consumo'!G1750</f>
        <v>237.4</v>
      </c>
      <c r="J1750" s="34" t="str">
        <f aca="false">'Uso e Consumo'!M1750</f>
        <v>4.1.1.001 - Material de uso e consumo</v>
      </c>
      <c r="K1750" s="32" t="str">
        <f aca="false">INDEX('Curva ABC'!$K$8:$K$2847,MATCH(D1750,'Curva ABC'!$B$8:$B$2847,0))</f>
        <v>C</v>
      </c>
    </row>
    <row r="1751" customFormat="false" ht="15" hidden="false" customHeight="false" outlineLevel="0" collapsed="false">
      <c r="A1751" s="34" t="s">
        <v>5799</v>
      </c>
      <c r="B1751" s="34" t="str">
        <f aca="false">'Uso e Consumo'!A1751</f>
        <v>0335</v>
      </c>
      <c r="C1751" s="34" t="str">
        <f aca="false">'Uso e Consumo'!B1751</f>
        <v>UFV NORONHA VERDE - USO E CONSUMO</v>
      </c>
      <c r="D1751" s="33" t="n">
        <f aca="false">'Uso e Consumo'!C1751</f>
        <v>138354</v>
      </c>
      <c r="E1751" s="34" t="str">
        <f aca="false">'Uso e Consumo'!D1751</f>
        <v>29.01.0530</v>
      </c>
      <c r="F1751" s="34" t="str">
        <f aca="false">'Uso e Consumo'!E1751</f>
        <v>CARTÃO DE MEMÓRIA MICRO SD 64GB</v>
      </c>
      <c r="G1751" s="34" t="str">
        <f aca="false">'Uso e Consumo'!J1751</f>
        <v>UN</v>
      </c>
      <c r="H1751" s="49" t="n">
        <f aca="false">'Uso e Consumo'!F1751</f>
        <v>1</v>
      </c>
      <c r="I1751" s="35" t="n">
        <f aca="false">'Uso e Consumo'!G1751</f>
        <v>236.55</v>
      </c>
      <c r="J1751" s="34" t="str">
        <f aca="false">'Uso e Consumo'!M1751</f>
        <v>4.1.1.007 - Equipamentos e acessórios para informática</v>
      </c>
      <c r="K1751" s="32" t="str">
        <f aca="false">INDEX('Curva ABC'!$K$8:$K$2847,MATCH(D1751,'Curva ABC'!$B$8:$B$2847,0))</f>
        <v>C</v>
      </c>
    </row>
    <row r="1752" customFormat="false" ht="15" hidden="false" customHeight="false" outlineLevel="0" collapsed="false">
      <c r="A1752" s="34" t="s">
        <v>5799</v>
      </c>
      <c r="B1752" s="34" t="str">
        <f aca="false">'Uso e Consumo'!A1752</f>
        <v>0335</v>
      </c>
      <c r="C1752" s="34" t="str">
        <f aca="false">'Uso e Consumo'!B1752</f>
        <v>UFV NORONHA VERDE - USO E CONSUMO</v>
      </c>
      <c r="D1752" s="33" t="n">
        <f aca="false">'Uso e Consumo'!C1752</f>
        <v>1659749</v>
      </c>
      <c r="E1752" s="34" t="str">
        <f aca="false">'Uso e Consumo'!D1752</f>
        <v>23.07.1635</v>
      </c>
      <c r="F1752" s="34" t="str">
        <f aca="false">'Uso e Consumo'!E1752</f>
        <v>PARAFUSO AUTOATARRAXANTE EM ACO GALVANIZADO CABECA PANELA 6,3 X 45 MM</v>
      </c>
      <c r="G1752" s="34" t="str">
        <f aca="false">'Uso e Consumo'!J1752</f>
        <v>UN</v>
      </c>
      <c r="H1752" s="49" t="n">
        <f aca="false">'Uso e Consumo'!F1752</f>
        <v>330</v>
      </c>
      <c r="I1752" s="35" t="n">
        <f aca="false">'Uso e Consumo'!G1752</f>
        <v>236.5</v>
      </c>
      <c r="J1752" s="34" t="str">
        <f aca="false">'Uso e Consumo'!M1752</f>
        <v>3.8.1.022 - Elementos de fixação</v>
      </c>
      <c r="K1752" s="32" t="str">
        <f aca="false">INDEX('Curva ABC'!$K$8:$K$2847,MATCH(D1752,'Curva ABC'!$B$8:$B$2847,0))</f>
        <v>C</v>
      </c>
    </row>
    <row r="1753" customFormat="false" ht="15" hidden="false" customHeight="false" outlineLevel="0" collapsed="false">
      <c r="A1753" s="34" t="s">
        <v>5799</v>
      </c>
      <c r="B1753" s="34" t="str">
        <f aca="false">'Uso e Consumo'!A1753</f>
        <v>0335</v>
      </c>
      <c r="C1753" s="34" t="str">
        <f aca="false">'Uso e Consumo'!B1753</f>
        <v>UFV NORONHA VERDE - USO E CONSUMO</v>
      </c>
      <c r="D1753" s="33" t="n">
        <f aca="false">'Uso e Consumo'!C1753</f>
        <v>1681001</v>
      </c>
      <c r="E1753" s="34" t="str">
        <f aca="false">'Uso e Consumo'!D1753</f>
        <v>01.09.0418</v>
      </c>
      <c r="F1753" s="34" t="str">
        <f aca="false">'Uso e Consumo'!E1753</f>
        <v>CANTONEIRA BICROMATIZADA 50X20MM</v>
      </c>
      <c r="G1753" s="34" t="str">
        <f aca="false">'Uso e Consumo'!J1753</f>
        <v>UN</v>
      </c>
      <c r="H1753" s="49" t="n">
        <f aca="false">'Uso e Consumo'!F1753</f>
        <v>145</v>
      </c>
      <c r="I1753" s="35" t="n">
        <f aca="false">'Uso e Consumo'!G1753</f>
        <v>236.35</v>
      </c>
      <c r="J1753" s="34" t="str">
        <f aca="false">'Uso e Consumo'!M1753</f>
        <v>3.8.1.001 - Aços e trefilados</v>
      </c>
      <c r="K1753" s="32" t="str">
        <f aca="false">INDEX('Curva ABC'!$K$8:$K$2847,MATCH(D1753,'Curva ABC'!$B$8:$B$2847,0))</f>
        <v>C</v>
      </c>
    </row>
    <row r="1754" customFormat="false" ht="15" hidden="false" customHeight="false" outlineLevel="0" collapsed="false">
      <c r="A1754" s="34" t="s">
        <v>5799</v>
      </c>
      <c r="B1754" s="34" t="str">
        <f aca="false">'Uso e Consumo'!A1754</f>
        <v>0335</v>
      </c>
      <c r="C1754" s="34" t="str">
        <f aca="false">'Uso e Consumo'!B1754</f>
        <v>UFV NORONHA VERDE - USO E CONSUMO</v>
      </c>
      <c r="D1754" s="33" t="n">
        <f aca="false">'Uso e Consumo'!C1754</f>
        <v>18158</v>
      </c>
      <c r="E1754" s="34" t="str">
        <f aca="false">'Uso e Consumo'!D1754</f>
        <v>24.20.0004</v>
      </c>
      <c r="F1754" s="34" t="str">
        <f aca="false">'Uso e Consumo'!E1754</f>
        <v>RÉGUA ALUMÍNIO LISA 2" X 1" X 2,00M</v>
      </c>
      <c r="G1754" s="34" t="str">
        <f aca="false">'Uso e Consumo'!J1754</f>
        <v>UN</v>
      </c>
      <c r="H1754" s="49" t="n">
        <f aca="false">'Uso e Consumo'!F1754</f>
        <v>2</v>
      </c>
      <c r="I1754" s="35" t="n">
        <f aca="false">'Uso e Consumo'!G1754</f>
        <v>236</v>
      </c>
      <c r="J1754" s="34" t="str">
        <f aca="false">'Uso e Consumo'!M1754</f>
        <v>3.8.2.002 - Ferramentas manuais</v>
      </c>
      <c r="K1754" s="32" t="str">
        <f aca="false">INDEX('Curva ABC'!$K$8:$K$2847,MATCH(D1754,'Curva ABC'!$B$8:$B$2847,0))</f>
        <v>C</v>
      </c>
    </row>
    <row r="1755" customFormat="false" ht="15" hidden="false" customHeight="false" outlineLevel="0" collapsed="false">
      <c r="A1755" s="34" t="s">
        <v>5799</v>
      </c>
      <c r="B1755" s="34" t="str">
        <f aca="false">'Uso e Consumo'!A1755</f>
        <v>0335</v>
      </c>
      <c r="C1755" s="34" t="str">
        <f aca="false">'Uso e Consumo'!B1755</f>
        <v>UFV NORONHA VERDE - USO E CONSUMO</v>
      </c>
      <c r="D1755" s="33" t="n">
        <f aca="false">'Uso e Consumo'!C1755</f>
        <v>32464</v>
      </c>
      <c r="E1755" s="34" t="str">
        <f aca="false">'Uso e Consumo'!D1755</f>
        <v>17.02.0015</v>
      </c>
      <c r="F1755" s="34" t="str">
        <f aca="false">'Uso e Consumo'!E1755</f>
        <v>ELETRODUTO PVC ANTICHAMA RIGIDO SOLDAVEL PRETO 32,00MM X 3,00M NBR 15465</v>
      </c>
      <c r="G1755" s="34" t="str">
        <f aca="false">'Uso e Consumo'!J1755</f>
        <v>PÇ3M</v>
      </c>
      <c r="H1755" s="49" t="n">
        <f aca="false">'Uso e Consumo'!F1755</f>
        <v>27</v>
      </c>
      <c r="I1755" s="35" t="n">
        <f aca="false">'Uso e Consumo'!G1755</f>
        <v>235.44</v>
      </c>
      <c r="J1755" s="34" t="str">
        <f aca="false">'Uso e Consumo'!M1755</f>
        <v>3.8.1.017 - Instalações elétricas/telefônicas/lógica</v>
      </c>
      <c r="K1755" s="32" t="str">
        <f aca="false">INDEX('Curva ABC'!$K$8:$K$2847,MATCH(D1755,'Curva ABC'!$B$8:$B$2847,0))</f>
        <v>C</v>
      </c>
    </row>
    <row r="1756" customFormat="false" ht="15" hidden="false" customHeight="false" outlineLevel="0" collapsed="false">
      <c r="A1756" s="34" t="s">
        <v>5799</v>
      </c>
      <c r="B1756" s="34" t="str">
        <f aca="false">'Uso e Consumo'!A1756</f>
        <v>0335</v>
      </c>
      <c r="C1756" s="34" t="str">
        <f aca="false">'Uso e Consumo'!B1756</f>
        <v>UFV NORONHA VERDE - USO E CONSUMO</v>
      </c>
      <c r="D1756" s="33" t="n">
        <f aca="false">'Uso e Consumo'!C1756</f>
        <v>853266</v>
      </c>
      <c r="E1756" s="34" t="str">
        <f aca="false">'Uso e Consumo'!D1756</f>
        <v>13.06.0299</v>
      </c>
      <c r="F1756" s="34" t="str">
        <f aca="false">'Uso e Consumo'!E1756</f>
        <v>ESCOVA PARA LIMPEZA</v>
      </c>
      <c r="G1756" s="34" t="str">
        <f aca="false">'Uso e Consumo'!J1756</f>
        <v>UN</v>
      </c>
      <c r="H1756" s="49" t="n">
        <f aca="false">'Uso e Consumo'!F1756</f>
        <v>30</v>
      </c>
      <c r="I1756" s="35" t="n">
        <f aca="false">'Uso e Consumo'!G1756</f>
        <v>235.4</v>
      </c>
      <c r="J1756" s="34" t="str">
        <f aca="false">'Uso e Consumo'!M1756</f>
        <v>3.8.1.013 - Esquadrias e vidros</v>
      </c>
      <c r="K1756" s="32" t="str">
        <f aca="false">INDEX('Curva ABC'!$K$8:$K$2847,MATCH(D1756,'Curva ABC'!$B$8:$B$2847,0))</f>
        <v>C</v>
      </c>
    </row>
    <row r="1757" customFormat="false" ht="15" hidden="false" customHeight="false" outlineLevel="0" collapsed="false">
      <c r="A1757" s="34" t="s">
        <v>5799</v>
      </c>
      <c r="B1757" s="34" t="str">
        <f aca="false">'Uso e Consumo'!A1757</f>
        <v>0335</v>
      </c>
      <c r="C1757" s="34" t="str">
        <f aca="false">'Uso e Consumo'!B1757</f>
        <v>UFV NORONHA VERDE - USO E CONSUMO</v>
      </c>
      <c r="D1757" s="33" t="n">
        <f aca="false">'Uso e Consumo'!C1757</f>
        <v>21488</v>
      </c>
      <c r="E1757" s="34" t="str">
        <f aca="false">'Uso e Consumo'!D1757</f>
        <v>16.05.0076</v>
      </c>
      <c r="F1757" s="34" t="str">
        <f aca="false">'Uso e Consumo'!E1757</f>
        <v>TRINCHA 4" N500 CABO DE PVC</v>
      </c>
      <c r="G1757" s="34" t="str">
        <f aca="false">'Uso e Consumo'!J1757</f>
        <v>UN</v>
      </c>
      <c r="H1757" s="49" t="n">
        <f aca="false">'Uso e Consumo'!F1757</f>
        <v>20</v>
      </c>
      <c r="I1757" s="35" t="n">
        <f aca="false">'Uso e Consumo'!G1757</f>
        <v>235.218</v>
      </c>
      <c r="J1757" s="34" t="str">
        <f aca="false">'Uso e Consumo'!M1757</f>
        <v>3.8.1.016 - Pinturas</v>
      </c>
      <c r="K1757" s="32" t="str">
        <f aca="false">INDEX('Curva ABC'!$K$8:$K$2847,MATCH(D1757,'Curva ABC'!$B$8:$B$2847,0))</f>
        <v>C</v>
      </c>
    </row>
    <row r="1758" customFormat="false" ht="15" hidden="false" customHeight="false" outlineLevel="0" collapsed="false">
      <c r="A1758" s="34" t="s">
        <v>5799</v>
      </c>
      <c r="B1758" s="34" t="str">
        <f aca="false">'Uso e Consumo'!A1758</f>
        <v>0335</v>
      </c>
      <c r="C1758" s="34" t="str">
        <f aca="false">'Uso e Consumo'!B1758</f>
        <v>UFV NORONHA VERDE - USO E CONSUMO</v>
      </c>
      <c r="D1758" s="33" t="n">
        <f aca="false">'Uso e Consumo'!C1758</f>
        <v>1384241</v>
      </c>
      <c r="E1758" s="34" t="str">
        <f aca="false">'Uso e Consumo'!D1758</f>
        <v>29.03.0400</v>
      </c>
      <c r="F1758" s="34" t="str">
        <f aca="false">'Uso e Consumo'!E1758</f>
        <v>CONJUNTO DE ESTRUTURA PARA FIXAÇÃO DE UNIDADE EVAPORADORA DE 30.000 BTU/H</v>
      </c>
      <c r="G1758" s="34" t="str">
        <f aca="false">'Uso e Consumo'!J1758</f>
        <v>UN</v>
      </c>
      <c r="H1758" s="49" t="n">
        <f aca="false">'Uso e Consumo'!F1758</f>
        <v>4</v>
      </c>
      <c r="I1758" s="35" t="n">
        <f aca="false">'Uso e Consumo'!G1758</f>
        <v>233.97</v>
      </c>
      <c r="J1758" s="34" t="str">
        <f aca="false">'Uso e Consumo'!M1758</f>
        <v>4.1.1.009 - Eletro eletrônico e acessórios</v>
      </c>
      <c r="K1758" s="32" t="str">
        <f aca="false">INDEX('Curva ABC'!$K$8:$K$2847,MATCH(D1758,'Curva ABC'!$B$8:$B$2847,0))</f>
        <v>C</v>
      </c>
    </row>
    <row r="1759" customFormat="false" ht="15" hidden="false" customHeight="false" outlineLevel="0" collapsed="false">
      <c r="A1759" s="34" t="s">
        <v>5799</v>
      </c>
      <c r="B1759" s="34" t="str">
        <f aca="false">'Uso e Consumo'!A1759</f>
        <v>0335</v>
      </c>
      <c r="C1759" s="34" t="str">
        <f aca="false">'Uso e Consumo'!B1759</f>
        <v>UFV NORONHA VERDE - USO E CONSUMO</v>
      </c>
      <c r="D1759" s="33" t="n">
        <f aca="false">'Uso e Consumo'!C1759</f>
        <v>1320953</v>
      </c>
      <c r="E1759" s="34" t="str">
        <f aca="false">'Uso e Consumo'!D1759</f>
        <v>01.09.0374</v>
      </c>
      <c r="F1759" s="34" t="str">
        <f aca="false">'Uso e Consumo'!E1759</f>
        <v>CANTONEIRA "L" 40X40MM AÇO</v>
      </c>
      <c r="G1759" s="34" t="str">
        <f aca="false">'Uso e Consumo'!J1759</f>
        <v>UN</v>
      </c>
      <c r="H1759" s="49" t="n">
        <f aca="false">'Uso e Consumo'!F1759</f>
        <v>2</v>
      </c>
      <c r="I1759" s="35" t="n">
        <f aca="false">'Uso e Consumo'!G1759</f>
        <v>233.82</v>
      </c>
      <c r="J1759" s="34" t="str">
        <f aca="false">'Uso e Consumo'!M1759</f>
        <v>3.8.1.001 - Aços e trefilados</v>
      </c>
      <c r="K1759" s="32" t="str">
        <f aca="false">INDEX('Curva ABC'!$K$8:$K$2847,MATCH(D1759,'Curva ABC'!$B$8:$B$2847,0))</f>
        <v>C</v>
      </c>
    </row>
    <row r="1760" customFormat="false" ht="15" hidden="false" customHeight="false" outlineLevel="0" collapsed="false">
      <c r="A1760" s="34" t="s">
        <v>5799</v>
      </c>
      <c r="B1760" s="34" t="str">
        <f aca="false">'Uso e Consumo'!A1760</f>
        <v>0335</v>
      </c>
      <c r="C1760" s="34" t="str">
        <f aca="false">'Uso e Consumo'!B1760</f>
        <v>UFV NORONHA VERDE - USO E CONSUMO</v>
      </c>
      <c r="D1760" s="33" t="n">
        <f aca="false">'Uso e Consumo'!C1760</f>
        <v>839995</v>
      </c>
      <c r="E1760" s="34" t="str">
        <f aca="false">'Uso e Consumo'!D1760</f>
        <v>18.01.1251</v>
      </c>
      <c r="F1760" s="34" t="str">
        <f aca="false">'Uso e Consumo'!E1760</f>
        <v>BUCHA DE REDUÇÃO SOLDÁVEL CURTA 50X25MM, PVC MARROM, AGUA FRIA - TIGRE</v>
      </c>
      <c r="G1760" s="34" t="str">
        <f aca="false">'Uso e Consumo'!J1760</f>
        <v>UN</v>
      </c>
      <c r="H1760" s="49" t="n">
        <f aca="false">'Uso e Consumo'!F1760</f>
        <v>31</v>
      </c>
      <c r="I1760" s="35" t="n">
        <f aca="false">'Uso e Consumo'!G1760</f>
        <v>233.52</v>
      </c>
      <c r="J1760" s="34" t="str">
        <f aca="false">'Uso e Consumo'!M1760</f>
        <v>3.8.1.018 - Instalações hidráulicas/sanitárias/industriais</v>
      </c>
      <c r="K1760" s="32" t="str">
        <f aca="false">INDEX('Curva ABC'!$K$8:$K$2847,MATCH(D1760,'Curva ABC'!$B$8:$B$2847,0))</f>
        <v>C</v>
      </c>
    </row>
    <row r="1761" customFormat="false" ht="15" hidden="false" customHeight="false" outlineLevel="0" collapsed="false">
      <c r="A1761" s="34" t="s">
        <v>5799</v>
      </c>
      <c r="B1761" s="34" t="str">
        <f aca="false">'Uso e Consumo'!A1761</f>
        <v>0335</v>
      </c>
      <c r="C1761" s="34" t="str">
        <f aca="false">'Uso e Consumo'!B1761</f>
        <v>UFV NORONHA VERDE - USO E CONSUMO</v>
      </c>
      <c r="D1761" s="33" t="n">
        <f aca="false">'Uso e Consumo'!C1761</f>
        <v>143794</v>
      </c>
      <c r="E1761" s="34" t="str">
        <f aca="false">'Uso e Consumo'!D1761</f>
        <v>24.09.0352</v>
      </c>
      <c r="F1761" s="34" t="str">
        <f aca="false">'Uso e Consumo'!E1761</f>
        <v>CHAVE INGLESA </v>
      </c>
      <c r="G1761" s="34" t="str">
        <f aca="false">'Uso e Consumo'!J1761</f>
        <v>UN</v>
      </c>
      <c r="H1761" s="49" t="n">
        <f aca="false">'Uso e Consumo'!F1761</f>
        <v>6</v>
      </c>
      <c r="I1761" s="35" t="n">
        <f aca="false">'Uso e Consumo'!G1761</f>
        <v>232.2</v>
      </c>
      <c r="J1761" s="34" t="str">
        <f aca="false">'Uso e Consumo'!M1761</f>
        <v>3.8.2.002 - Ferramentas manuais</v>
      </c>
      <c r="K1761" s="32" t="str">
        <f aca="false">INDEX('Curva ABC'!$K$8:$K$2847,MATCH(D1761,'Curva ABC'!$B$8:$B$2847,0))</f>
        <v>C</v>
      </c>
    </row>
    <row r="1762" customFormat="false" ht="15" hidden="false" customHeight="false" outlineLevel="0" collapsed="false">
      <c r="A1762" s="34" t="s">
        <v>5799</v>
      </c>
      <c r="B1762" s="34" t="str">
        <f aca="false">'Uso e Consumo'!A1762</f>
        <v>0335</v>
      </c>
      <c r="C1762" s="34" t="str">
        <f aca="false">'Uso e Consumo'!B1762</f>
        <v>UFV NORONHA VERDE - USO E CONSUMO</v>
      </c>
      <c r="D1762" s="33" t="n">
        <f aca="false">'Uso e Consumo'!C1762</f>
        <v>231997</v>
      </c>
      <c r="E1762" s="34" t="str">
        <f aca="false">'Uso e Consumo'!D1762</f>
        <v>13.06.0217</v>
      </c>
      <c r="F1762" s="34" t="str">
        <f aca="false">'Uso e Consumo'!E1762</f>
        <v>FECHO CORRE CROMO</v>
      </c>
      <c r="G1762" s="34" t="str">
        <f aca="false">'Uso e Consumo'!J1762</f>
        <v>UN</v>
      </c>
      <c r="H1762" s="49" t="n">
        <f aca="false">'Uso e Consumo'!F1762</f>
        <v>4</v>
      </c>
      <c r="I1762" s="35" t="n">
        <f aca="false">'Uso e Consumo'!G1762</f>
        <v>232</v>
      </c>
      <c r="J1762" s="34" t="str">
        <f aca="false">'Uso e Consumo'!M1762</f>
        <v>3.8.1.013 - Esquadrias e vidros</v>
      </c>
      <c r="K1762" s="32" t="str">
        <f aca="false">INDEX('Curva ABC'!$K$8:$K$2847,MATCH(D1762,'Curva ABC'!$B$8:$B$2847,0))</f>
        <v>C</v>
      </c>
    </row>
    <row r="1763" customFormat="false" ht="15" hidden="false" customHeight="false" outlineLevel="0" collapsed="false">
      <c r="A1763" s="34" t="s">
        <v>5799</v>
      </c>
      <c r="B1763" s="34" t="str">
        <f aca="false">'Uso e Consumo'!A1763</f>
        <v>0335</v>
      </c>
      <c r="C1763" s="34" t="str">
        <f aca="false">'Uso e Consumo'!B1763</f>
        <v>UFV NORONHA VERDE - USO E CONSUMO</v>
      </c>
      <c r="D1763" s="33" t="n">
        <f aca="false">'Uso e Consumo'!C1763</f>
        <v>946734</v>
      </c>
      <c r="E1763" s="34" t="str">
        <f aca="false">'Uso e Consumo'!D1763</f>
        <v>24.07.0032</v>
      </c>
      <c r="F1763" s="34" t="str">
        <f aca="false">'Uso e Consumo'!E1763</f>
        <v>TRENA DE ACO 8M</v>
      </c>
      <c r="G1763" s="34" t="str">
        <f aca="false">'Uso e Consumo'!J1763</f>
        <v>UN</v>
      </c>
      <c r="H1763" s="49" t="n">
        <f aca="false">'Uso e Consumo'!F1763</f>
        <v>4</v>
      </c>
      <c r="I1763" s="35" t="n">
        <f aca="false">'Uso e Consumo'!G1763</f>
        <v>232</v>
      </c>
      <c r="J1763" s="34" t="str">
        <f aca="false">'Uso e Consumo'!M1763</f>
        <v>3.8.2.001 - Ferramentas medição/aferição</v>
      </c>
      <c r="K1763" s="32" t="str">
        <f aca="false">INDEX('Curva ABC'!$K$8:$K$2847,MATCH(D1763,'Curva ABC'!$B$8:$B$2847,0))</f>
        <v>C</v>
      </c>
    </row>
    <row r="1764" customFormat="false" ht="15" hidden="false" customHeight="false" outlineLevel="0" collapsed="false">
      <c r="A1764" s="34" t="s">
        <v>5799</v>
      </c>
      <c r="B1764" s="34" t="str">
        <f aca="false">'Uso e Consumo'!A1764</f>
        <v>0335</v>
      </c>
      <c r="C1764" s="34" t="str">
        <f aca="false">'Uso e Consumo'!B1764</f>
        <v>UFV NORONHA VERDE - USO E CONSUMO</v>
      </c>
      <c r="D1764" s="33" t="n">
        <f aca="false">'Uso e Consumo'!C1764</f>
        <v>1319430</v>
      </c>
      <c r="E1764" s="34" t="str">
        <f aca="false">'Uso e Consumo'!D1764</f>
        <v>28.01.0720</v>
      </c>
      <c r="F1764" s="34" t="str">
        <f aca="false">'Uso e Consumo'!E1764</f>
        <v>PLACA DE SINALIZAÇÃO 90X60CM - CHAPA DE ZINCO - COM BARROTE</v>
      </c>
      <c r="G1764" s="34" t="str">
        <f aca="false">'Uso e Consumo'!J1764</f>
        <v>UN</v>
      </c>
      <c r="H1764" s="49" t="n">
        <f aca="false">'Uso e Consumo'!F1764</f>
        <v>1</v>
      </c>
      <c r="I1764" s="35" t="n">
        <f aca="false">'Uso e Consumo'!G1764</f>
        <v>232</v>
      </c>
      <c r="J1764" s="34" t="str">
        <f aca="false">'Uso e Consumo'!M1764</f>
        <v>3.8.1.023 - Comunicação visual e sinalização</v>
      </c>
      <c r="K1764" s="32" t="str">
        <f aca="false">INDEX('Curva ABC'!$K$8:$K$2847,MATCH(D1764,'Curva ABC'!$B$8:$B$2847,0))</f>
        <v>C</v>
      </c>
    </row>
    <row r="1765" customFormat="false" ht="15" hidden="false" customHeight="false" outlineLevel="0" collapsed="false">
      <c r="A1765" s="34" t="s">
        <v>5799</v>
      </c>
      <c r="B1765" s="34" t="str">
        <f aca="false">'Uso e Consumo'!A1765</f>
        <v>0335</v>
      </c>
      <c r="C1765" s="34" t="str">
        <f aca="false">'Uso e Consumo'!B1765</f>
        <v>UFV NORONHA VERDE - USO E CONSUMO</v>
      </c>
      <c r="D1765" s="33" t="n">
        <f aca="false">'Uso e Consumo'!C1765</f>
        <v>225305</v>
      </c>
      <c r="E1765" s="34" t="str">
        <f aca="false">'Uso e Consumo'!D1765</f>
        <v>29.01.0616</v>
      </c>
      <c r="F1765" s="34" t="str">
        <f aca="false">'Uso e Consumo'!E1765</f>
        <v>GRAVADOR ELETRICO CONTROLE FORÇA 220V PONTA CARBURETO DREMEL</v>
      </c>
      <c r="G1765" s="34" t="str">
        <f aca="false">'Uso e Consumo'!J1765</f>
        <v>UN</v>
      </c>
      <c r="H1765" s="49" t="n">
        <f aca="false">'Uso e Consumo'!F1765</f>
        <v>1</v>
      </c>
      <c r="I1765" s="35" t="n">
        <f aca="false">'Uso e Consumo'!G1765</f>
        <v>230</v>
      </c>
      <c r="J1765" s="34" t="str">
        <f aca="false">'Uso e Consumo'!M1765</f>
        <v>4.1.1.007 - Equipamentos e acessórios para informática</v>
      </c>
      <c r="K1765" s="32" t="str">
        <f aca="false">INDEX('Curva ABC'!$K$8:$K$2847,MATCH(D1765,'Curva ABC'!$B$8:$B$2847,0))</f>
        <v>C</v>
      </c>
    </row>
    <row r="1766" customFormat="false" ht="15" hidden="false" customHeight="false" outlineLevel="0" collapsed="false">
      <c r="A1766" s="34" t="s">
        <v>5799</v>
      </c>
      <c r="B1766" s="34" t="str">
        <f aca="false">'Uso e Consumo'!A1766</f>
        <v>0335</v>
      </c>
      <c r="C1766" s="34" t="str">
        <f aca="false">'Uso e Consumo'!B1766</f>
        <v>UFV NORONHA VERDE - USO E CONSUMO</v>
      </c>
      <c r="D1766" s="33" t="n">
        <f aca="false">'Uso e Consumo'!C1766</f>
        <v>602367</v>
      </c>
      <c r="E1766" s="34" t="str">
        <f aca="false">'Uso e Consumo'!D1766</f>
        <v>25.15.0048</v>
      </c>
      <c r="F1766" s="34" t="str">
        <f aca="false">'Uso e Consumo'!E1766</f>
        <v>LONA PLÁSTICA PRETA 100 MICRAS 4,00M X 100,00M</v>
      </c>
      <c r="G1766" s="34" t="str">
        <f aca="false">'Uso e Consumo'!J1766</f>
        <v>RL100</v>
      </c>
      <c r="H1766" s="49" t="n">
        <f aca="false">'Uso e Consumo'!F1766</f>
        <v>1</v>
      </c>
      <c r="I1766" s="35" t="n">
        <f aca="false">'Uso e Consumo'!G1766</f>
        <v>230</v>
      </c>
      <c r="J1766" s="34" t="str">
        <f aca="false">'Uso e Consumo'!M1766</f>
        <v>3.8.2.006 - Utensílios</v>
      </c>
      <c r="K1766" s="32" t="str">
        <f aca="false">INDEX('Curva ABC'!$K$8:$K$2847,MATCH(D1766,'Curva ABC'!$B$8:$B$2847,0))</f>
        <v>C</v>
      </c>
    </row>
    <row r="1767" customFormat="false" ht="15" hidden="false" customHeight="false" outlineLevel="0" collapsed="false">
      <c r="A1767" s="34" t="s">
        <v>5799</v>
      </c>
      <c r="B1767" s="34" t="str">
        <f aca="false">'Uso e Consumo'!A1767</f>
        <v>0335</v>
      </c>
      <c r="C1767" s="34" t="str">
        <f aca="false">'Uso e Consumo'!B1767</f>
        <v>UFV NORONHA VERDE - USO E CONSUMO</v>
      </c>
      <c r="D1767" s="33" t="n">
        <f aca="false">'Uso e Consumo'!C1767</f>
        <v>1181846</v>
      </c>
      <c r="E1767" s="34" t="str">
        <f aca="false">'Uso e Consumo'!D1767</f>
        <v>17.12.0494</v>
      </c>
      <c r="F1767" s="34" t="str">
        <f aca="false">'Uso e Consumo'!E1767</f>
        <v>TOMADA DUPLA 10A PARA CONDULETE 3/4"</v>
      </c>
      <c r="G1767" s="34" t="str">
        <f aca="false">'Uso e Consumo'!J1767</f>
        <v>UN</v>
      </c>
      <c r="H1767" s="49" t="n">
        <f aca="false">'Uso e Consumo'!F1767</f>
        <v>9</v>
      </c>
      <c r="I1767" s="35" t="n">
        <f aca="false">'Uso e Consumo'!G1767</f>
        <v>228.96</v>
      </c>
      <c r="J1767" s="34" t="str">
        <f aca="false">'Uso e Consumo'!M1767</f>
        <v>3.8.1.017 - Instalações elétricas/telefônicas/lógica</v>
      </c>
      <c r="K1767" s="32" t="str">
        <f aca="false">INDEX('Curva ABC'!$K$8:$K$2847,MATCH(D1767,'Curva ABC'!$B$8:$B$2847,0))</f>
        <v>C</v>
      </c>
    </row>
    <row r="1768" customFormat="false" ht="15" hidden="false" customHeight="false" outlineLevel="0" collapsed="false">
      <c r="A1768" s="34" t="s">
        <v>5799</v>
      </c>
      <c r="B1768" s="34" t="str">
        <f aca="false">'Uso e Consumo'!A1768</f>
        <v>0335</v>
      </c>
      <c r="C1768" s="34" t="str">
        <f aca="false">'Uso e Consumo'!B1768</f>
        <v>UFV NORONHA VERDE - USO E CONSUMO</v>
      </c>
      <c r="D1768" s="33" t="n">
        <f aca="false">'Uso e Consumo'!C1768</f>
        <v>260317</v>
      </c>
      <c r="E1768" s="34" t="str">
        <f aca="false">'Uso e Consumo'!D1768</f>
        <v>24.35.0006</v>
      </c>
      <c r="F1768" s="34" t="str">
        <f aca="false">'Uso e Consumo'!E1768</f>
        <v>ENXADA PLASTICA ANT FAISCANTE</v>
      </c>
      <c r="G1768" s="34" t="str">
        <f aca="false">'Uso e Consumo'!J1768</f>
        <v>UN</v>
      </c>
      <c r="H1768" s="49" t="n">
        <f aca="false">'Uso e Consumo'!F1768</f>
        <v>10</v>
      </c>
      <c r="I1768" s="35" t="n">
        <f aca="false">'Uso e Consumo'!G1768</f>
        <v>228.8</v>
      </c>
      <c r="J1768" s="34" t="str">
        <f aca="false">'Uso e Consumo'!M1768</f>
        <v>3.8.2.002 - Ferramentas manuais</v>
      </c>
      <c r="K1768" s="32" t="str">
        <f aca="false">INDEX('Curva ABC'!$K$8:$K$2847,MATCH(D1768,'Curva ABC'!$B$8:$B$2847,0))</f>
        <v>C</v>
      </c>
    </row>
    <row r="1769" customFormat="false" ht="15" hidden="false" customHeight="false" outlineLevel="0" collapsed="false">
      <c r="A1769" s="34" t="s">
        <v>5799</v>
      </c>
      <c r="B1769" s="34" t="str">
        <f aca="false">'Uso e Consumo'!A1769</f>
        <v>0335</v>
      </c>
      <c r="C1769" s="34" t="str">
        <f aca="false">'Uso e Consumo'!B1769</f>
        <v>UFV NORONHA VERDE - USO E CONSUMO</v>
      </c>
      <c r="D1769" s="33" t="n">
        <f aca="false">'Uso e Consumo'!C1769</f>
        <v>1077331</v>
      </c>
      <c r="E1769" s="34" t="str">
        <f aca="false">'Uso e Consumo'!D1769</f>
        <v>17.10.0418</v>
      </c>
      <c r="F1769" s="34" t="str">
        <f aca="false">'Uso e Consumo'!E1769</f>
        <v>DISJUNTOR UNIPOLAR 20 AP</v>
      </c>
      <c r="G1769" s="34" t="str">
        <f aca="false">'Uso e Consumo'!J1769</f>
        <v>pç</v>
      </c>
      <c r="H1769" s="49" t="n">
        <f aca="false">'Uso e Consumo'!F1769</f>
        <v>26</v>
      </c>
      <c r="I1769" s="35" t="n">
        <f aca="false">'Uso e Consumo'!G1769</f>
        <v>228.28</v>
      </c>
      <c r="J1769" s="34" t="str">
        <f aca="false">'Uso e Consumo'!M1769</f>
        <v>3.8.1.017 - Instalações elétricas/telefônicas/lógica</v>
      </c>
      <c r="K1769" s="32" t="str">
        <f aca="false">INDEX('Curva ABC'!$K$8:$K$2847,MATCH(D1769,'Curva ABC'!$B$8:$B$2847,0))</f>
        <v>C</v>
      </c>
    </row>
    <row r="1770" customFormat="false" ht="15" hidden="false" customHeight="false" outlineLevel="0" collapsed="false">
      <c r="A1770" s="34" t="s">
        <v>5799</v>
      </c>
      <c r="B1770" s="34" t="str">
        <f aca="false">'Uso e Consumo'!A1770</f>
        <v>0335</v>
      </c>
      <c r="C1770" s="34" t="str">
        <f aca="false">'Uso e Consumo'!B1770</f>
        <v>UFV NORONHA VERDE - USO E CONSUMO</v>
      </c>
      <c r="D1770" s="33" t="n">
        <f aca="false">'Uso e Consumo'!C1770</f>
        <v>839231</v>
      </c>
      <c r="E1770" s="34" t="str">
        <f aca="false">'Uso e Consumo'!D1770</f>
        <v>02.03.0010</v>
      </c>
      <c r="F1770" s="34" t="str">
        <f aca="false">'Uso e Consumo'!E1770</f>
        <v>ARAME LISO GALVANIZADO 12</v>
      </c>
      <c r="G1770" s="34" t="str">
        <f aca="false">'Uso e Consumo'!J1770</f>
        <v>KG</v>
      </c>
      <c r="H1770" s="49" t="n">
        <f aca="false">'Uso e Consumo'!F1770</f>
        <v>6</v>
      </c>
      <c r="I1770" s="35" t="n">
        <f aca="false">'Uso e Consumo'!G1770</f>
        <v>228.24</v>
      </c>
      <c r="J1770" s="34" t="str">
        <f aca="false">'Uso e Consumo'!M1770</f>
        <v>3.8.1.002 - Telas e arames</v>
      </c>
      <c r="K1770" s="32" t="str">
        <f aca="false">INDEX('Curva ABC'!$K$8:$K$2847,MATCH(D1770,'Curva ABC'!$B$8:$B$2847,0))</f>
        <v>C</v>
      </c>
    </row>
    <row r="1771" customFormat="false" ht="15" hidden="false" customHeight="false" outlineLevel="0" collapsed="false">
      <c r="A1771" s="34" t="s">
        <v>5799</v>
      </c>
      <c r="B1771" s="34" t="str">
        <f aca="false">'Uso e Consumo'!A1771</f>
        <v>0335</v>
      </c>
      <c r="C1771" s="34" t="str">
        <f aca="false">'Uso e Consumo'!B1771</f>
        <v>UFV NORONHA VERDE - USO E CONSUMO</v>
      </c>
      <c r="D1771" s="33" t="n">
        <f aca="false">'Uso e Consumo'!C1771</f>
        <v>35170</v>
      </c>
      <c r="E1771" s="34" t="str">
        <f aca="false">'Uso e Consumo'!D1771</f>
        <v>24.18.0006</v>
      </c>
      <c r="F1771" s="34" t="str">
        <f aca="false">'Uso e Consumo'!E1771</f>
        <v>PISTOLA PARA APLICAÇÃO DE SILICONE</v>
      </c>
      <c r="G1771" s="34" t="str">
        <f aca="false">'Uso e Consumo'!J1771</f>
        <v>UN</v>
      </c>
      <c r="H1771" s="49" t="n">
        <f aca="false">'Uso e Consumo'!F1771</f>
        <v>6</v>
      </c>
      <c r="I1771" s="35" t="n">
        <f aca="false">'Uso e Consumo'!G1771</f>
        <v>228</v>
      </c>
      <c r="J1771" s="34" t="str">
        <f aca="false">'Uso e Consumo'!M1771</f>
        <v>3.8.2.002 - Ferramentas manuais</v>
      </c>
      <c r="K1771" s="32" t="str">
        <f aca="false">INDEX('Curva ABC'!$K$8:$K$2847,MATCH(D1771,'Curva ABC'!$B$8:$B$2847,0))</f>
        <v>C</v>
      </c>
    </row>
    <row r="1772" customFormat="false" ht="15" hidden="false" customHeight="false" outlineLevel="0" collapsed="false">
      <c r="A1772" s="34" t="s">
        <v>5799</v>
      </c>
      <c r="B1772" s="34" t="str">
        <f aca="false">'Uso e Consumo'!A1772</f>
        <v>0335</v>
      </c>
      <c r="C1772" s="34" t="str">
        <f aca="false">'Uso e Consumo'!B1772</f>
        <v>UFV NORONHA VERDE - USO E CONSUMO</v>
      </c>
      <c r="D1772" s="33" t="n">
        <f aca="false">'Uso e Consumo'!C1772</f>
        <v>278461</v>
      </c>
      <c r="E1772" s="34" t="str">
        <f aca="false">'Uso e Consumo'!D1772</f>
        <v>17.10.0317</v>
      </c>
      <c r="F1772" s="34" t="str">
        <f aca="false">'Uso e Consumo'!E1772</f>
        <v>DISJUNTOR 3P 100A NBR 60898</v>
      </c>
      <c r="G1772" s="34" t="str">
        <f aca="false">'Uso e Consumo'!J1772</f>
        <v>UN</v>
      </c>
      <c r="H1772" s="49" t="n">
        <f aca="false">'Uso e Consumo'!F1772</f>
        <v>1</v>
      </c>
      <c r="I1772" s="35" t="n">
        <f aca="false">'Uso e Consumo'!G1772</f>
        <v>228</v>
      </c>
      <c r="J1772" s="34" t="str">
        <f aca="false">'Uso e Consumo'!M1772</f>
        <v>3.8.1.017 - Instalações elétricas/telefônicas/lógica</v>
      </c>
      <c r="K1772" s="32" t="str">
        <f aca="false">INDEX('Curva ABC'!$K$8:$K$2847,MATCH(D1772,'Curva ABC'!$B$8:$B$2847,0))</f>
        <v>C</v>
      </c>
    </row>
    <row r="1773" customFormat="false" ht="15" hidden="false" customHeight="false" outlineLevel="0" collapsed="false">
      <c r="A1773" s="34" t="s">
        <v>5799</v>
      </c>
      <c r="B1773" s="34" t="str">
        <f aca="false">'Uso e Consumo'!A1773</f>
        <v>0335</v>
      </c>
      <c r="C1773" s="34" t="str">
        <f aca="false">'Uso e Consumo'!B1773</f>
        <v>UFV NORONHA VERDE - USO E CONSUMO</v>
      </c>
      <c r="D1773" s="33" t="n">
        <f aca="false">'Uso e Consumo'!C1773</f>
        <v>884966</v>
      </c>
      <c r="E1773" s="34" t="str">
        <f aca="false">'Uso e Consumo'!D1773</f>
        <v>24.08.0094</v>
      </c>
      <c r="F1773" s="34" t="str">
        <f aca="false">'Uso e Consumo'!E1773</f>
        <v>ALICATE PARA DESENCAPAR ATÉ 630MM2</v>
      </c>
      <c r="G1773" s="34" t="str">
        <f aca="false">'Uso e Consumo'!J1773</f>
        <v>UND</v>
      </c>
      <c r="H1773" s="49" t="n">
        <f aca="false">'Uso e Consumo'!F1773</f>
        <v>1</v>
      </c>
      <c r="I1773" s="35" t="n">
        <f aca="false">'Uso e Consumo'!G1773</f>
        <v>228</v>
      </c>
      <c r="J1773" s="34" t="str">
        <f aca="false">'Uso e Consumo'!M1773</f>
        <v>3.8.2.002 - Ferramentas manuais</v>
      </c>
      <c r="K1773" s="32" t="str">
        <f aca="false">INDEX('Curva ABC'!$K$8:$K$2847,MATCH(D1773,'Curva ABC'!$B$8:$B$2847,0))</f>
        <v>C</v>
      </c>
    </row>
    <row r="1774" customFormat="false" ht="15" hidden="false" customHeight="false" outlineLevel="0" collapsed="false">
      <c r="A1774" s="34" t="s">
        <v>5799</v>
      </c>
      <c r="B1774" s="34" t="str">
        <f aca="false">'Uso e Consumo'!A1774</f>
        <v>0335</v>
      </c>
      <c r="C1774" s="34" t="str">
        <f aca="false">'Uso e Consumo'!B1774</f>
        <v>UFV NORONHA VERDE - USO E CONSUMO</v>
      </c>
      <c r="D1774" s="33" t="n">
        <f aca="false">'Uso e Consumo'!C1774</f>
        <v>946737</v>
      </c>
      <c r="E1774" s="34" t="str">
        <f aca="false">'Uso e Consumo'!D1774</f>
        <v>25.05.0155</v>
      </c>
      <c r="F1774" s="34" t="str">
        <f aca="false">'Uso e Consumo'!E1774</f>
        <v>SERRA COPO DIAMANTADA 20MM</v>
      </c>
      <c r="G1774" s="34" t="str">
        <f aca="false">'Uso e Consumo'!J1774</f>
        <v>UN</v>
      </c>
      <c r="H1774" s="49" t="n">
        <f aca="false">'Uso e Consumo'!F1774</f>
        <v>1</v>
      </c>
      <c r="I1774" s="35" t="n">
        <f aca="false">'Uso e Consumo'!G1774</f>
        <v>228</v>
      </c>
      <c r="J1774" s="34" t="str">
        <f aca="false">'Uso e Consumo'!M1774</f>
        <v>3.8.2.004 - Consumíveis para corte, perfuração e desbaste</v>
      </c>
      <c r="K1774" s="32" t="str">
        <f aca="false">INDEX('Curva ABC'!$K$8:$K$2847,MATCH(D1774,'Curva ABC'!$B$8:$B$2847,0))</f>
        <v>C</v>
      </c>
    </row>
    <row r="1775" customFormat="false" ht="15" hidden="false" customHeight="false" outlineLevel="0" collapsed="false">
      <c r="A1775" s="34" t="s">
        <v>5799</v>
      </c>
      <c r="B1775" s="34" t="str">
        <f aca="false">'Uso e Consumo'!A1775</f>
        <v>0335</v>
      </c>
      <c r="C1775" s="34" t="str">
        <f aca="false">'Uso e Consumo'!B1775</f>
        <v>UFV NORONHA VERDE - USO E CONSUMO</v>
      </c>
      <c r="D1775" s="33" t="n">
        <f aca="false">'Uso e Consumo'!C1775</f>
        <v>1330682</v>
      </c>
      <c r="E1775" s="34" t="str">
        <f aca="false">'Uso e Consumo'!D1775</f>
        <v>23.07.1572</v>
      </c>
      <c r="F1775" s="34" t="str">
        <f aca="false">'Uso e Consumo'!E1775</f>
        <v>PARAFUSO BROCANTE CABEÇA PANELA 4,3 X 13</v>
      </c>
      <c r="G1775" s="34" t="str">
        <f aca="false">'Uso e Consumo'!J1775</f>
        <v>UN</v>
      </c>
      <c r="H1775" s="49" t="n">
        <f aca="false">'Uso e Consumo'!F1775</f>
        <v>100</v>
      </c>
      <c r="I1775" s="35" t="n">
        <f aca="false">'Uso e Consumo'!G1775</f>
        <v>228</v>
      </c>
      <c r="J1775" s="34" t="str">
        <f aca="false">'Uso e Consumo'!M1775</f>
        <v>3.8.1.022 - Elementos de fixação</v>
      </c>
      <c r="K1775" s="32" t="str">
        <f aca="false">INDEX('Curva ABC'!$K$8:$K$2847,MATCH(D1775,'Curva ABC'!$B$8:$B$2847,0))</f>
        <v>C</v>
      </c>
    </row>
    <row r="1776" customFormat="false" ht="15" hidden="false" customHeight="false" outlineLevel="0" collapsed="false">
      <c r="A1776" s="34" t="s">
        <v>5799</v>
      </c>
      <c r="B1776" s="34" t="str">
        <f aca="false">'Uso e Consumo'!A1776</f>
        <v>0335</v>
      </c>
      <c r="C1776" s="34" t="str">
        <f aca="false">'Uso e Consumo'!B1776</f>
        <v>UFV NORONHA VERDE - USO E CONSUMO</v>
      </c>
      <c r="D1776" s="33" t="n">
        <f aca="false">'Uso e Consumo'!C1776</f>
        <v>476132</v>
      </c>
      <c r="E1776" s="34" t="str">
        <f aca="false">'Uso e Consumo'!D1776</f>
        <v>24.08.0046</v>
      </c>
      <c r="F1776" s="34" t="str">
        <f aca="false">'Uso e Consumo'!E1776</f>
        <v>ALICATE PARA MOLDE EXOTÉRMICO M84</v>
      </c>
      <c r="G1776" s="34" t="str">
        <f aca="false">'Uso e Consumo'!J1776</f>
        <v>UN</v>
      </c>
      <c r="H1776" s="49" t="n">
        <f aca="false">'Uso e Consumo'!F1776</f>
        <v>2</v>
      </c>
      <c r="I1776" s="35" t="n">
        <f aca="false">'Uso e Consumo'!G1776</f>
        <v>226.18</v>
      </c>
      <c r="J1776" s="34" t="str">
        <f aca="false">'Uso e Consumo'!M1776</f>
        <v>3.8.2.002 - Ferramentas manuais</v>
      </c>
      <c r="K1776" s="32" t="str">
        <f aca="false">INDEX('Curva ABC'!$K$8:$K$2847,MATCH(D1776,'Curva ABC'!$B$8:$B$2847,0))</f>
        <v>C</v>
      </c>
    </row>
    <row r="1777" customFormat="false" ht="15" hidden="false" customHeight="false" outlineLevel="0" collapsed="false">
      <c r="A1777" s="34" t="s">
        <v>5799</v>
      </c>
      <c r="B1777" s="34" t="str">
        <f aca="false">'Uso e Consumo'!A1777</f>
        <v>0335</v>
      </c>
      <c r="C1777" s="34" t="str">
        <f aca="false">'Uso e Consumo'!B1777</f>
        <v>UFV NORONHA VERDE - USO E CONSUMO</v>
      </c>
      <c r="D1777" s="33" t="n">
        <f aca="false">'Uso e Consumo'!C1777</f>
        <v>23310</v>
      </c>
      <c r="E1777" s="34" t="str">
        <f aca="false">'Uso e Consumo'!D1777</f>
        <v>99.00.3401</v>
      </c>
      <c r="F1777" s="34" t="str">
        <f aca="false">'Uso e Consumo'!E1777</f>
        <v>ADESIVO PLÁSTICO BRANCO 1KG</v>
      </c>
      <c r="G1777" s="34" t="str">
        <f aca="false">'Uso e Consumo'!J1777</f>
        <v>UN</v>
      </c>
      <c r="H1777" s="49" t="n">
        <f aca="false">'Uso e Consumo'!F1777</f>
        <v>3</v>
      </c>
      <c r="I1777" s="35" t="n">
        <f aca="false">'Uso e Consumo'!G1777</f>
        <v>225.98</v>
      </c>
      <c r="J1777" s="34" t="str">
        <f aca="false">'Uso e Consumo'!M1777</f>
        <v>3.8.1.016 - Pinturas</v>
      </c>
      <c r="K1777" s="32" t="str">
        <f aca="false">INDEX('Curva ABC'!$K$8:$K$2847,MATCH(D1777,'Curva ABC'!$B$8:$B$2847,0))</f>
        <v>C</v>
      </c>
    </row>
    <row r="1778" customFormat="false" ht="15" hidden="false" customHeight="false" outlineLevel="0" collapsed="false">
      <c r="A1778" s="34" t="s">
        <v>5799</v>
      </c>
      <c r="B1778" s="34" t="str">
        <f aca="false">'Uso e Consumo'!A1778</f>
        <v>0335</v>
      </c>
      <c r="C1778" s="34" t="str">
        <f aca="false">'Uso e Consumo'!B1778</f>
        <v>UFV NORONHA VERDE - USO E CONSUMO</v>
      </c>
      <c r="D1778" s="33" t="n">
        <f aca="false">'Uso e Consumo'!C1778</f>
        <v>18959</v>
      </c>
      <c r="E1778" s="34" t="str">
        <f aca="false">'Uso e Consumo'!D1778</f>
        <v>26.10.0001</v>
      </c>
      <c r="F1778" s="34" t="str">
        <f aca="false">'Uso e Consumo'!E1778</f>
        <v>PERNEIRA DE RASPA C/ VELCRO (CA-8078/21438/28437)</v>
      </c>
      <c r="G1778" s="34" t="str">
        <f aca="false">'Uso e Consumo'!J1778</f>
        <v>UN</v>
      </c>
      <c r="H1778" s="49" t="n">
        <f aca="false">'Uso e Consumo'!F1778</f>
        <v>8</v>
      </c>
      <c r="I1778" s="35" t="n">
        <f aca="false">'Uso e Consumo'!G1778</f>
        <v>224</v>
      </c>
      <c r="J1778" s="34" t="str">
        <f aca="false">'Uso e Consumo'!M1778</f>
        <v>4.3.4.001 - Equipamento de proteção individual</v>
      </c>
      <c r="K1778" s="32" t="str">
        <f aca="false">INDEX('Curva ABC'!$K$8:$K$2847,MATCH(D1778,'Curva ABC'!$B$8:$B$2847,0))</f>
        <v>C</v>
      </c>
    </row>
    <row r="1779" customFormat="false" ht="15" hidden="false" customHeight="false" outlineLevel="0" collapsed="false">
      <c r="A1779" s="34" t="s">
        <v>5799</v>
      </c>
      <c r="B1779" s="34" t="str">
        <f aca="false">'Uso e Consumo'!A1779</f>
        <v>0335</v>
      </c>
      <c r="C1779" s="34" t="str">
        <f aca="false">'Uso e Consumo'!B1779</f>
        <v>UFV NORONHA VERDE - USO E CONSUMO</v>
      </c>
      <c r="D1779" s="33" t="n">
        <f aca="false">'Uso e Consumo'!C1779</f>
        <v>220417</v>
      </c>
      <c r="E1779" s="34" t="str">
        <f aca="false">'Uso e Consumo'!D1779</f>
        <v>01.10.0122</v>
      </c>
      <c r="F1779" s="34" t="str">
        <f aca="false">'Uso e Consumo'!E1779</f>
        <v>BROCA CHATA ¾” 10 CM </v>
      </c>
      <c r="G1779" s="34" t="str">
        <f aca="false">'Uso e Consumo'!J1779</f>
        <v>UN</v>
      </c>
      <c r="H1779" s="49" t="n">
        <f aca="false">'Uso e Consumo'!F1779</f>
        <v>8</v>
      </c>
      <c r="I1779" s="35" t="n">
        <f aca="false">'Uso e Consumo'!G1779</f>
        <v>224</v>
      </c>
      <c r="J1779" s="34" t="str">
        <f aca="false">'Uso e Consumo'!M1779</f>
        <v>3.8.1.001 - Aços e trefilados</v>
      </c>
      <c r="K1779" s="32" t="str">
        <f aca="false">INDEX('Curva ABC'!$K$8:$K$2847,MATCH(D1779,'Curva ABC'!$B$8:$B$2847,0))</f>
        <v>C</v>
      </c>
    </row>
    <row r="1780" customFormat="false" ht="15" hidden="false" customHeight="false" outlineLevel="0" collapsed="false">
      <c r="A1780" s="34" t="s">
        <v>5799</v>
      </c>
      <c r="B1780" s="34" t="str">
        <f aca="false">'Uso e Consumo'!A1780</f>
        <v>0335</v>
      </c>
      <c r="C1780" s="34" t="str">
        <f aca="false">'Uso e Consumo'!B1780</f>
        <v>UFV NORONHA VERDE - USO E CONSUMO</v>
      </c>
      <c r="D1780" s="33" t="n">
        <f aca="false">'Uso e Consumo'!C1780</f>
        <v>1384265</v>
      </c>
      <c r="E1780" s="34" t="str">
        <f aca="false">'Uso e Consumo'!D1780</f>
        <v>29.03.0401</v>
      </c>
      <c r="F1780" s="34" t="str">
        <f aca="false">'Uso e Consumo'!E1780</f>
        <v>CONJUNTO DE ESTRUTURA PARA FIXAÇÃO DE UNIDADE CONDENSADORA DE 30.000 BTU/H</v>
      </c>
      <c r="G1780" s="34" t="str">
        <f aca="false">'Uso e Consumo'!J1780</f>
        <v>UN</v>
      </c>
      <c r="H1780" s="49" t="n">
        <f aca="false">'Uso e Consumo'!F1780</f>
        <v>4</v>
      </c>
      <c r="I1780" s="35" t="n">
        <f aca="false">'Uso e Consumo'!G1780</f>
        <v>222.52</v>
      </c>
      <c r="J1780" s="34" t="str">
        <f aca="false">'Uso e Consumo'!M1780</f>
        <v>4.1.1.009 - Eletro eletrônico e acessórios</v>
      </c>
      <c r="K1780" s="32" t="str">
        <f aca="false">INDEX('Curva ABC'!$K$8:$K$2847,MATCH(D1780,'Curva ABC'!$B$8:$B$2847,0))</f>
        <v>C</v>
      </c>
    </row>
    <row r="1781" customFormat="false" ht="15" hidden="false" customHeight="false" outlineLevel="0" collapsed="false">
      <c r="A1781" s="34" t="s">
        <v>5799</v>
      </c>
      <c r="B1781" s="34" t="str">
        <f aca="false">'Uso e Consumo'!A1781</f>
        <v>0335</v>
      </c>
      <c r="C1781" s="34" t="str">
        <f aca="false">'Uso e Consumo'!B1781</f>
        <v>UFV NORONHA VERDE - USO E CONSUMO</v>
      </c>
      <c r="D1781" s="33" t="n">
        <f aca="false">'Uso e Consumo'!C1781</f>
        <v>19350</v>
      </c>
      <c r="E1781" s="34" t="str">
        <f aca="false">'Uso e Consumo'!D1781</f>
        <v>30.01.0070</v>
      </c>
      <c r="F1781" s="34" t="str">
        <f aca="false">'Uso e Consumo'!E1781</f>
        <v>CANETA MARCADOR P/ CD E DVD PRETO</v>
      </c>
      <c r="G1781" s="34" t="str">
        <f aca="false">'Uso e Consumo'!J1781</f>
        <v>UN</v>
      </c>
      <c r="H1781" s="49" t="n">
        <f aca="false">'Uso e Consumo'!F1781</f>
        <v>46</v>
      </c>
      <c r="I1781" s="35" t="n">
        <f aca="false">'Uso e Consumo'!G1781</f>
        <v>221.6</v>
      </c>
      <c r="J1781" s="34" t="str">
        <f aca="false">'Uso e Consumo'!M1781</f>
        <v>4.1.1.002 - Material expediente</v>
      </c>
      <c r="K1781" s="32" t="str">
        <f aca="false">INDEX('Curva ABC'!$K$8:$K$2847,MATCH(D1781,'Curva ABC'!$B$8:$B$2847,0))</f>
        <v>C</v>
      </c>
    </row>
    <row r="1782" customFormat="false" ht="15" hidden="false" customHeight="false" outlineLevel="0" collapsed="false">
      <c r="A1782" s="34" t="s">
        <v>5799</v>
      </c>
      <c r="B1782" s="34" t="str">
        <f aca="false">'Uso e Consumo'!A1782</f>
        <v>0335</v>
      </c>
      <c r="C1782" s="34" t="str">
        <f aca="false">'Uso e Consumo'!B1782</f>
        <v>UFV NORONHA VERDE - USO E CONSUMO</v>
      </c>
      <c r="D1782" s="33" t="n">
        <f aca="false">'Uso e Consumo'!C1782</f>
        <v>1679444</v>
      </c>
      <c r="E1782" s="34" t="str">
        <f aca="false">'Uso e Consumo'!D1782</f>
        <v>18.02.0802</v>
      </c>
      <c r="F1782" s="34" t="str">
        <f aca="false">'Uso e Consumo'!E1782</f>
        <v>TUBO DE ACO AGRAFADO SEALTUBO 1"</v>
      </c>
      <c r="G1782" s="34" t="str">
        <f aca="false">'Uso e Consumo'!J1782</f>
        <v>M</v>
      </c>
      <c r="H1782" s="49" t="n">
        <f aca="false">'Uso e Consumo'!F1782</f>
        <v>15</v>
      </c>
      <c r="I1782" s="35" t="n">
        <f aca="false">'Uso e Consumo'!G1782</f>
        <v>221.55</v>
      </c>
      <c r="J1782" s="34" t="str">
        <f aca="false">'Uso e Consumo'!M1782</f>
        <v>3.8.1.018 - Instalações hidráulicas/sanitárias/industriais</v>
      </c>
      <c r="K1782" s="32" t="str">
        <f aca="false">INDEX('Curva ABC'!$K$8:$K$2847,MATCH(D1782,'Curva ABC'!$B$8:$B$2847,0))</f>
        <v>C</v>
      </c>
    </row>
    <row r="1783" customFormat="false" ht="15" hidden="false" customHeight="false" outlineLevel="0" collapsed="false">
      <c r="A1783" s="34" t="s">
        <v>5799</v>
      </c>
      <c r="B1783" s="34" t="str">
        <f aca="false">'Uso e Consumo'!A1783</f>
        <v>0335</v>
      </c>
      <c r="C1783" s="34" t="str">
        <f aca="false">'Uso e Consumo'!B1783</f>
        <v>UFV NORONHA VERDE - USO E CONSUMO</v>
      </c>
      <c r="D1783" s="33" t="n">
        <f aca="false">'Uso e Consumo'!C1783</f>
        <v>290518</v>
      </c>
      <c r="E1783" s="34" t="str">
        <f aca="false">'Uso e Consumo'!D1783</f>
        <v>33.02.1470</v>
      </c>
      <c r="F1783" s="34" t="str">
        <f aca="false">'Uso e Consumo'!E1783</f>
        <v>ARRUELA</v>
      </c>
      <c r="G1783" s="34" t="str">
        <f aca="false">'Uso e Consumo'!J1783</f>
        <v>UN</v>
      </c>
      <c r="H1783" s="49" t="n">
        <f aca="false">'Uso e Consumo'!F1783</f>
        <v>1005</v>
      </c>
      <c r="I1783" s="35" t="n">
        <f aca="false">'Uso e Consumo'!G1783</f>
        <v>221.1</v>
      </c>
      <c r="J1783" s="34" t="str">
        <f aca="false">'Uso e Consumo'!M1783</f>
        <v>3.1.6.002 - Pneus e peças</v>
      </c>
      <c r="K1783" s="32" t="str">
        <f aca="false">INDEX('Curva ABC'!$K$8:$K$2847,MATCH(D1783,'Curva ABC'!$B$8:$B$2847,0))</f>
        <v>C</v>
      </c>
    </row>
    <row r="1784" customFormat="false" ht="15" hidden="false" customHeight="false" outlineLevel="0" collapsed="false">
      <c r="A1784" s="34" t="s">
        <v>5799</v>
      </c>
      <c r="B1784" s="34" t="str">
        <f aca="false">'Uso e Consumo'!A1784</f>
        <v>0335</v>
      </c>
      <c r="C1784" s="34" t="str">
        <f aca="false">'Uso e Consumo'!B1784</f>
        <v>UFV NORONHA VERDE - USO E CONSUMO</v>
      </c>
      <c r="D1784" s="33" t="n">
        <f aca="false">'Uso e Consumo'!C1784</f>
        <v>55332</v>
      </c>
      <c r="E1784" s="34" t="str">
        <f aca="false">'Uso e Consumo'!D1784</f>
        <v>25.05.0089</v>
      </c>
      <c r="F1784" s="34" t="str">
        <f aca="false">'Uso e Consumo'!E1784</f>
        <v>SERRA COPO BIMETAL 32mm = 1.1/4”</v>
      </c>
      <c r="G1784" s="34" t="str">
        <f aca="false">'Uso e Consumo'!J1784</f>
        <v>UN</v>
      </c>
      <c r="H1784" s="49" t="n">
        <f aca="false">'Uso e Consumo'!F1784</f>
        <v>5</v>
      </c>
      <c r="I1784" s="35" t="n">
        <f aca="false">'Uso e Consumo'!G1784</f>
        <v>220</v>
      </c>
      <c r="J1784" s="34" t="str">
        <f aca="false">'Uso e Consumo'!M1784</f>
        <v>3.8.2.004 - Consumíveis para corte, perfuração e desbaste</v>
      </c>
      <c r="K1784" s="32" t="str">
        <f aca="false">INDEX('Curva ABC'!$K$8:$K$2847,MATCH(D1784,'Curva ABC'!$B$8:$B$2847,0))</f>
        <v>C</v>
      </c>
    </row>
    <row r="1785" customFormat="false" ht="15" hidden="false" customHeight="false" outlineLevel="0" collapsed="false">
      <c r="A1785" s="34" t="s">
        <v>5799</v>
      </c>
      <c r="B1785" s="34" t="str">
        <f aca="false">'Uso e Consumo'!A1785</f>
        <v>0335</v>
      </c>
      <c r="C1785" s="34" t="str">
        <f aca="false">'Uso e Consumo'!B1785</f>
        <v>UFV NORONHA VERDE - USO E CONSUMO</v>
      </c>
      <c r="D1785" s="33" t="n">
        <f aca="false">'Uso e Consumo'!C1785</f>
        <v>560207</v>
      </c>
      <c r="E1785" s="34" t="str">
        <f aca="false">'Uso e Consumo'!D1785</f>
        <v>31.02.0142</v>
      </c>
      <c r="F1785" s="34" t="str">
        <f aca="false">'Uso e Consumo'!E1785</f>
        <v>ARLA À GRANEL</v>
      </c>
      <c r="G1785" s="34" t="str">
        <f aca="false">'Uso e Consumo'!J1785</f>
        <v>L</v>
      </c>
      <c r="H1785" s="49" t="n">
        <f aca="false">'Uso e Consumo'!F1785</f>
        <v>2</v>
      </c>
      <c r="I1785" s="35" t="n">
        <f aca="false">'Uso e Consumo'!G1785</f>
        <v>220</v>
      </c>
      <c r="J1785" s="34" t="str">
        <f aca="false">'Uso e Consumo'!M1785</f>
        <v>3.1.6.001 - Combustível e lubrificantes</v>
      </c>
      <c r="K1785" s="32" t="str">
        <f aca="false">INDEX('Curva ABC'!$K$8:$K$2847,MATCH(D1785,'Curva ABC'!$B$8:$B$2847,0))</f>
        <v>C</v>
      </c>
    </row>
    <row r="1786" customFormat="false" ht="15" hidden="false" customHeight="false" outlineLevel="0" collapsed="false">
      <c r="A1786" s="34" t="s">
        <v>5799</v>
      </c>
      <c r="B1786" s="34" t="str">
        <f aca="false">'Uso e Consumo'!A1786</f>
        <v>0335</v>
      </c>
      <c r="C1786" s="34" t="str">
        <f aca="false">'Uso e Consumo'!B1786</f>
        <v>UFV NORONHA VERDE - USO E CONSUMO</v>
      </c>
      <c r="D1786" s="33" t="n">
        <f aca="false">'Uso e Consumo'!C1786</f>
        <v>728574</v>
      </c>
      <c r="E1786" s="34" t="str">
        <f aca="false">'Uso e Consumo'!D1786</f>
        <v>18.01.1224</v>
      </c>
      <c r="F1786" s="34" t="str">
        <f aca="false">'Uso e Consumo'!E1786</f>
        <v>LUVA SOLDÁVEL 32MM</v>
      </c>
      <c r="G1786" s="34" t="str">
        <f aca="false">'Uso e Consumo'!J1786</f>
        <v>UND</v>
      </c>
      <c r="H1786" s="49" t="n">
        <f aca="false">'Uso e Consumo'!F1786</f>
        <v>11</v>
      </c>
      <c r="I1786" s="35" t="n">
        <f aca="false">'Uso e Consumo'!G1786</f>
        <v>219.78</v>
      </c>
      <c r="J1786" s="34" t="str">
        <f aca="false">'Uso e Consumo'!M1786</f>
        <v>3.8.1.018 - Instalações hidráulicas/sanitárias/industriais</v>
      </c>
      <c r="K1786" s="32" t="str">
        <f aca="false">INDEX('Curva ABC'!$K$8:$K$2847,MATCH(D1786,'Curva ABC'!$B$8:$B$2847,0))</f>
        <v>C</v>
      </c>
    </row>
    <row r="1787" customFormat="false" ht="15" hidden="false" customHeight="false" outlineLevel="0" collapsed="false">
      <c r="A1787" s="34" t="s">
        <v>5799</v>
      </c>
      <c r="B1787" s="34" t="str">
        <f aca="false">'Uso e Consumo'!A1787</f>
        <v>0335</v>
      </c>
      <c r="C1787" s="34" t="str">
        <f aca="false">'Uso e Consumo'!B1787</f>
        <v>UFV NORONHA VERDE - USO E CONSUMO</v>
      </c>
      <c r="D1787" s="33" t="n">
        <f aca="false">'Uso e Consumo'!C1787</f>
        <v>228898</v>
      </c>
      <c r="E1787" s="34" t="str">
        <f aca="false">'Uso e Consumo'!D1787</f>
        <v>17.01.0748</v>
      </c>
      <c r="F1787" s="34" t="str">
        <f aca="false">'Uso e Consumo'!E1787</f>
        <v>SONDA PASSA FIO C/ ALMA AÇO</v>
      </c>
      <c r="G1787" s="34" t="str">
        <f aca="false">'Uso e Consumo'!J1787</f>
        <v>UN</v>
      </c>
      <c r="H1787" s="49" t="n">
        <f aca="false">'Uso e Consumo'!F1787</f>
        <v>2</v>
      </c>
      <c r="I1787" s="35" t="n">
        <f aca="false">'Uso e Consumo'!G1787</f>
        <v>219.5</v>
      </c>
      <c r="J1787" s="34" t="str">
        <f aca="false">'Uso e Consumo'!M1787</f>
        <v>3.8.1.017 - Instalações elétricas/telefônicas/lógica</v>
      </c>
      <c r="K1787" s="32" t="str">
        <f aca="false">INDEX('Curva ABC'!$K$8:$K$2847,MATCH(D1787,'Curva ABC'!$B$8:$B$2847,0))</f>
        <v>C</v>
      </c>
    </row>
    <row r="1788" customFormat="false" ht="15" hidden="false" customHeight="false" outlineLevel="0" collapsed="false">
      <c r="A1788" s="34" t="s">
        <v>5799</v>
      </c>
      <c r="B1788" s="34" t="str">
        <f aca="false">'Uso e Consumo'!A1788</f>
        <v>0335</v>
      </c>
      <c r="C1788" s="34" t="str">
        <f aca="false">'Uso e Consumo'!B1788</f>
        <v>UFV NORONHA VERDE - USO E CONSUMO</v>
      </c>
      <c r="D1788" s="33" t="n">
        <f aca="false">'Uso e Consumo'!C1788</f>
        <v>1379882</v>
      </c>
      <c r="E1788" s="34" t="str">
        <f aca="false">'Uso e Consumo'!D1788</f>
        <v>18.02.0744</v>
      </c>
      <c r="F1788" s="34" t="str">
        <f aca="false">'Uso e Consumo'!E1788</f>
        <v>ADAPTADOR MÚLTIPLO DE LIGA DE ALUMÍNIO INSTALAÇÃO INTERNA, DIÂMETRO NOMINAL 20 MM (Ø3/4")</v>
      </c>
      <c r="G1788" s="34" t="str">
        <f aca="false">'Uso e Consumo'!J1788</f>
        <v>UN</v>
      </c>
      <c r="H1788" s="49" t="n">
        <f aca="false">'Uso e Consumo'!F1788</f>
        <v>78</v>
      </c>
      <c r="I1788" s="35" t="n">
        <f aca="false">'Uso e Consumo'!G1788</f>
        <v>218.4</v>
      </c>
      <c r="J1788" s="34" t="str">
        <f aca="false">'Uso e Consumo'!M1788</f>
        <v>3.8.1.017 - Instalações elétricas/telefônicas/lógica</v>
      </c>
      <c r="K1788" s="32" t="str">
        <f aca="false">INDEX('Curva ABC'!$K$8:$K$2847,MATCH(D1788,'Curva ABC'!$B$8:$B$2847,0))</f>
        <v>C</v>
      </c>
    </row>
    <row r="1789" customFormat="false" ht="15" hidden="false" customHeight="false" outlineLevel="0" collapsed="false">
      <c r="A1789" s="34" t="s">
        <v>5799</v>
      </c>
      <c r="B1789" s="34" t="str">
        <f aca="false">'Uso e Consumo'!A1789</f>
        <v>0335</v>
      </c>
      <c r="C1789" s="34" t="str">
        <f aca="false">'Uso e Consumo'!B1789</f>
        <v>UFV NORONHA VERDE - USO E CONSUMO</v>
      </c>
      <c r="D1789" s="33" t="n">
        <f aca="false">'Uso e Consumo'!C1789</f>
        <v>21355</v>
      </c>
      <c r="E1789" s="34" t="str">
        <f aca="false">'Uso e Consumo'!D1789</f>
        <v>24.09.0183</v>
      </c>
      <c r="F1789" s="34" t="str">
        <f aca="false">'Uso e Consumo'!E1789</f>
        <v>CHAVE PARA VIRAR FERRO 3/8 - 10.0</v>
      </c>
      <c r="G1789" s="34" t="str">
        <f aca="false">'Uso e Consumo'!J1789</f>
        <v>UN</v>
      </c>
      <c r="H1789" s="49" t="n">
        <f aca="false">'Uso e Consumo'!F1789</f>
        <v>4</v>
      </c>
      <c r="I1789" s="35" t="n">
        <f aca="false">'Uso e Consumo'!G1789</f>
        <v>216.16</v>
      </c>
      <c r="J1789" s="34" t="str">
        <f aca="false">'Uso e Consumo'!M1789</f>
        <v>3.8.2.002 - Ferramentas manuais</v>
      </c>
      <c r="K1789" s="32" t="str">
        <f aca="false">INDEX('Curva ABC'!$K$8:$K$2847,MATCH(D1789,'Curva ABC'!$B$8:$B$2847,0))</f>
        <v>C</v>
      </c>
    </row>
    <row r="1790" customFormat="false" ht="15" hidden="false" customHeight="false" outlineLevel="0" collapsed="false">
      <c r="A1790" s="34" t="s">
        <v>5799</v>
      </c>
      <c r="B1790" s="34" t="str">
        <f aca="false">'Uso e Consumo'!A1790</f>
        <v>0335</v>
      </c>
      <c r="C1790" s="34" t="str">
        <f aca="false">'Uso e Consumo'!B1790</f>
        <v>UFV NORONHA VERDE - USO E CONSUMO</v>
      </c>
      <c r="D1790" s="33" t="n">
        <f aca="false">'Uso e Consumo'!C1790</f>
        <v>1175245</v>
      </c>
      <c r="E1790" s="34" t="str">
        <f aca="false">'Uso e Consumo'!D1790</f>
        <v>18.01.1493</v>
      </c>
      <c r="F1790" s="34" t="str">
        <f aca="false">'Uso e Consumo'!E1790</f>
        <v>TERMINAL DE VENTILAÇAO ESG DN75 CB</v>
      </c>
      <c r="G1790" s="34" t="str">
        <f aca="false">'Uso e Consumo'!J1790</f>
        <v>UN</v>
      </c>
      <c r="H1790" s="49" t="n">
        <f aca="false">'Uso e Consumo'!F1790</f>
        <v>6</v>
      </c>
      <c r="I1790" s="35" t="n">
        <f aca="false">'Uso e Consumo'!G1790</f>
        <v>216</v>
      </c>
      <c r="J1790" s="34" t="str">
        <f aca="false">'Uso e Consumo'!M1790</f>
        <v>3.8.1.018 - Instalações hidráulicas/sanitárias/industriais</v>
      </c>
      <c r="K1790" s="32" t="str">
        <f aca="false">INDEX('Curva ABC'!$K$8:$K$2847,MATCH(D1790,'Curva ABC'!$B$8:$B$2847,0))</f>
        <v>C</v>
      </c>
    </row>
    <row r="1791" customFormat="false" ht="15" hidden="false" customHeight="false" outlineLevel="0" collapsed="false">
      <c r="A1791" s="34" t="s">
        <v>5799</v>
      </c>
      <c r="B1791" s="34" t="str">
        <f aca="false">'Uso e Consumo'!A1791</f>
        <v>0335</v>
      </c>
      <c r="C1791" s="34" t="str">
        <f aca="false">'Uso e Consumo'!B1791</f>
        <v>UFV NORONHA VERDE - USO E CONSUMO</v>
      </c>
      <c r="D1791" s="33" t="n">
        <f aca="false">'Uso e Consumo'!C1791</f>
        <v>65315</v>
      </c>
      <c r="E1791" s="34" t="str">
        <f aca="false">'Uso e Consumo'!D1791</f>
        <v>26.03.0030</v>
      </c>
      <c r="F1791" s="34" t="str">
        <f aca="false">'Uso e Consumo'!E1791</f>
        <v>CAPACETE COM ABA TOTAL (TIPO I) C/ CARNEIRA - COR BRANCO</v>
      </c>
      <c r="G1791" s="34" t="str">
        <f aca="false">'Uso e Consumo'!J1791</f>
        <v>UN</v>
      </c>
      <c r="H1791" s="49" t="n">
        <f aca="false">'Uso e Consumo'!F1791</f>
        <v>3</v>
      </c>
      <c r="I1791" s="35" t="n">
        <f aca="false">'Uso e Consumo'!G1791</f>
        <v>215.7</v>
      </c>
      <c r="J1791" s="34" t="str">
        <f aca="false">'Uso e Consumo'!M1791</f>
        <v>4.3.4.001 - Equipamento de proteção individual</v>
      </c>
      <c r="K1791" s="32" t="str">
        <f aca="false">INDEX('Curva ABC'!$K$8:$K$2847,MATCH(D1791,'Curva ABC'!$B$8:$B$2847,0))</f>
        <v>C</v>
      </c>
    </row>
    <row r="1792" customFormat="false" ht="15" hidden="false" customHeight="false" outlineLevel="0" collapsed="false">
      <c r="A1792" s="34" t="s">
        <v>5799</v>
      </c>
      <c r="B1792" s="34" t="str">
        <f aca="false">'Uso e Consumo'!A1792</f>
        <v>0335</v>
      </c>
      <c r="C1792" s="34" t="str">
        <f aca="false">'Uso e Consumo'!B1792</f>
        <v>UFV NORONHA VERDE - USO E CONSUMO</v>
      </c>
      <c r="D1792" s="33" t="n">
        <f aca="false">'Uso e Consumo'!C1792</f>
        <v>1317674</v>
      </c>
      <c r="E1792" s="34" t="str">
        <f aca="false">'Uso e Consumo'!D1792</f>
        <v>30.03.0548</v>
      </c>
      <c r="F1792" s="34" t="str">
        <f aca="false">'Uso e Consumo'!E1792</f>
        <v>COLETOR COM TAMPA E PEDAL 30 L - MARROM</v>
      </c>
      <c r="G1792" s="34" t="str">
        <f aca="false">'Uso e Consumo'!J1792</f>
        <v>UN</v>
      </c>
      <c r="H1792" s="49" t="n">
        <f aca="false">'Uso e Consumo'!F1792</f>
        <v>2</v>
      </c>
      <c r="I1792" s="35" t="n">
        <f aca="false">'Uso e Consumo'!G1792</f>
        <v>214</v>
      </c>
      <c r="J1792" s="34" t="str">
        <f aca="false">'Uso e Consumo'!M1792</f>
        <v>4.1.1.003 - Material limpeza</v>
      </c>
      <c r="K1792" s="32" t="str">
        <f aca="false">INDEX('Curva ABC'!$K$8:$K$2847,MATCH(D1792,'Curva ABC'!$B$8:$B$2847,0))</f>
        <v>C</v>
      </c>
    </row>
    <row r="1793" customFormat="false" ht="15" hidden="false" customHeight="false" outlineLevel="0" collapsed="false">
      <c r="A1793" s="34" t="s">
        <v>5799</v>
      </c>
      <c r="B1793" s="34" t="str">
        <f aca="false">'Uso e Consumo'!A1793</f>
        <v>0335</v>
      </c>
      <c r="C1793" s="34" t="str">
        <f aca="false">'Uso e Consumo'!B1793</f>
        <v>UFV NORONHA VERDE - USO E CONSUMO</v>
      </c>
      <c r="D1793" s="33" t="n">
        <f aca="false">'Uso e Consumo'!C1793</f>
        <v>17680</v>
      </c>
      <c r="E1793" s="34" t="str">
        <f aca="false">'Uso e Consumo'!D1793</f>
        <v>23.08.0011</v>
      </c>
      <c r="F1793" s="34" t="str">
        <f aca="false">'Uso e Consumo'!E1793</f>
        <v>BUCHA FIXACAO ELETRODUTO 2" ALUMÍNIO LISO BSP 11 FIOS</v>
      </c>
      <c r="G1793" s="34" t="str">
        <f aca="false">'Uso e Consumo'!J1793</f>
        <v>UN</v>
      </c>
      <c r="H1793" s="49" t="n">
        <f aca="false">'Uso e Consumo'!F1793</f>
        <v>19</v>
      </c>
      <c r="I1793" s="35" t="n">
        <f aca="false">'Uso e Consumo'!G1793</f>
        <v>213.86</v>
      </c>
      <c r="J1793" s="34" t="str">
        <f aca="false">'Uso e Consumo'!M1793</f>
        <v>3.8.1.022 - Elementos de fixação</v>
      </c>
      <c r="K1793" s="32" t="str">
        <f aca="false">INDEX('Curva ABC'!$K$8:$K$2847,MATCH(D1793,'Curva ABC'!$B$8:$B$2847,0))</f>
        <v>C</v>
      </c>
    </row>
    <row r="1794" customFormat="false" ht="15" hidden="false" customHeight="false" outlineLevel="0" collapsed="false">
      <c r="A1794" s="34" t="s">
        <v>5799</v>
      </c>
      <c r="B1794" s="34" t="str">
        <f aca="false">'Uso e Consumo'!A1794</f>
        <v>0335</v>
      </c>
      <c r="C1794" s="34" t="str">
        <f aca="false">'Uso e Consumo'!B1794</f>
        <v>UFV NORONHA VERDE - USO E CONSUMO</v>
      </c>
      <c r="D1794" s="33" t="n">
        <f aca="false">'Uso e Consumo'!C1794</f>
        <v>348462</v>
      </c>
      <c r="E1794" s="34" t="str">
        <f aca="false">'Uso e Consumo'!D1794</f>
        <v>17.11.0971</v>
      </c>
      <c r="F1794" s="34" t="str">
        <f aca="false">'Uso e Consumo'!E1794</f>
        <v>BENGALA P/ ELETRODUTO ELÉTRICA</v>
      </c>
      <c r="G1794" s="34" t="str">
        <f aca="false">'Uso e Consumo'!J1794</f>
        <v>UN</v>
      </c>
      <c r="H1794" s="49" t="n">
        <f aca="false">'Uso e Consumo'!F1794</f>
        <v>3</v>
      </c>
      <c r="I1794" s="35" t="n">
        <f aca="false">'Uso e Consumo'!G1794</f>
        <v>211.77</v>
      </c>
      <c r="J1794" s="34" t="str">
        <f aca="false">'Uso e Consumo'!M1794</f>
        <v>3.8.1.017 - Instalações elétricas/telefônicas/lógica</v>
      </c>
      <c r="K1794" s="32" t="str">
        <f aca="false">INDEX('Curva ABC'!$K$8:$K$2847,MATCH(D1794,'Curva ABC'!$B$8:$B$2847,0))</f>
        <v>C</v>
      </c>
    </row>
    <row r="1795" customFormat="false" ht="15" hidden="false" customHeight="false" outlineLevel="0" collapsed="false">
      <c r="A1795" s="34" t="s">
        <v>5799</v>
      </c>
      <c r="B1795" s="34" t="str">
        <f aca="false">'Uso e Consumo'!A1795</f>
        <v>0335</v>
      </c>
      <c r="C1795" s="34" t="str">
        <f aca="false">'Uso e Consumo'!B1795</f>
        <v>UFV NORONHA VERDE - USO E CONSUMO</v>
      </c>
      <c r="D1795" s="33" t="n">
        <f aca="false">'Uso e Consumo'!C1795</f>
        <v>1484180</v>
      </c>
      <c r="E1795" s="34" t="str">
        <f aca="false">'Uso e Consumo'!D1795</f>
        <v>23.07.1611</v>
      </c>
      <c r="F1795" s="34" t="str">
        <f aca="false">'Uso e Consumo'!E1795</f>
        <v>PARAFUSO ROSCA SOBERBA AÇO GALVANIZADO A FOGO CABEÇA SEXTAVADA 3/8" X 60 MM</v>
      </c>
      <c r="G1795" s="34" t="str">
        <f aca="false">'Uso e Consumo'!J1795</f>
        <v>UN</v>
      </c>
      <c r="H1795" s="49" t="n">
        <f aca="false">'Uso e Consumo'!F1795</f>
        <v>24</v>
      </c>
      <c r="I1795" s="35" t="n">
        <f aca="false">'Uso e Consumo'!G1795</f>
        <v>211.2</v>
      </c>
      <c r="J1795" s="34" t="str">
        <f aca="false">'Uso e Consumo'!M1795</f>
        <v>3.8.1.022 - Elementos de fixação</v>
      </c>
      <c r="K1795" s="32" t="str">
        <f aca="false">INDEX('Curva ABC'!$K$8:$K$2847,MATCH(D1795,'Curva ABC'!$B$8:$B$2847,0))</f>
        <v>C</v>
      </c>
    </row>
    <row r="1796" customFormat="false" ht="15" hidden="false" customHeight="false" outlineLevel="0" collapsed="false">
      <c r="A1796" s="34" t="s">
        <v>5799</v>
      </c>
      <c r="B1796" s="34" t="str">
        <f aca="false">'Uso e Consumo'!A1796</f>
        <v>0335</v>
      </c>
      <c r="C1796" s="34" t="str">
        <f aca="false">'Uso e Consumo'!B1796</f>
        <v>UFV NORONHA VERDE - USO E CONSUMO</v>
      </c>
      <c r="D1796" s="33" t="n">
        <f aca="false">'Uso e Consumo'!C1796</f>
        <v>19166</v>
      </c>
      <c r="E1796" s="34" t="str">
        <f aca="false">'Uso e Consumo'!D1796</f>
        <v>29.01.0090</v>
      </c>
      <c r="F1796" s="34" t="str">
        <f aca="false">'Uso e Consumo'!E1796</f>
        <v>MOUSE PAD COM APOIO PARA PULSO</v>
      </c>
      <c r="G1796" s="34" t="str">
        <f aca="false">'Uso e Consumo'!J1796</f>
        <v>UN</v>
      </c>
      <c r="H1796" s="49" t="n">
        <f aca="false">'Uso e Consumo'!F1796</f>
        <v>8</v>
      </c>
      <c r="I1796" s="35" t="n">
        <f aca="false">'Uso e Consumo'!G1796</f>
        <v>210.6284</v>
      </c>
      <c r="J1796" s="34" t="str">
        <f aca="false">'Uso e Consumo'!M1796</f>
        <v>4.1.1.007 - Equipamentos e acessórios para informática</v>
      </c>
      <c r="K1796" s="32" t="str">
        <f aca="false">INDEX('Curva ABC'!$K$8:$K$2847,MATCH(D1796,'Curva ABC'!$B$8:$B$2847,0))</f>
        <v>C</v>
      </c>
    </row>
    <row r="1797" customFormat="false" ht="15" hidden="false" customHeight="false" outlineLevel="0" collapsed="false">
      <c r="A1797" s="34" t="s">
        <v>5799</v>
      </c>
      <c r="B1797" s="34" t="str">
        <f aca="false">'Uso e Consumo'!A1797</f>
        <v>0335</v>
      </c>
      <c r="C1797" s="34" t="str">
        <f aca="false">'Uso e Consumo'!B1797</f>
        <v>UFV NORONHA VERDE - USO E CONSUMO</v>
      </c>
      <c r="D1797" s="33" t="n">
        <f aca="false">'Uso e Consumo'!C1797</f>
        <v>1662401</v>
      </c>
      <c r="E1797" s="34" t="str">
        <f aca="false">'Uso e Consumo'!D1797</f>
        <v>23.07.1640</v>
      </c>
      <c r="F1797" s="34" t="str">
        <f aca="false">'Uso e Consumo'!E1797</f>
        <v>PARAFUSO SEXTAVADO DE ACO INOXIDAVEL, ROSCA TOTAL, BITOLA M12 X 40 MM</v>
      </c>
      <c r="G1797" s="34" t="str">
        <f aca="false">'Uso e Consumo'!J1797</f>
        <v>UN</v>
      </c>
      <c r="H1797" s="49" t="n">
        <f aca="false">'Uso e Consumo'!F1797</f>
        <v>72</v>
      </c>
      <c r="I1797" s="35" t="n">
        <f aca="false">'Uso e Consumo'!G1797</f>
        <v>210.24</v>
      </c>
      <c r="J1797" s="34" t="str">
        <f aca="false">'Uso e Consumo'!M1797</f>
        <v>3.8.1.022 - Elementos de fixação</v>
      </c>
      <c r="K1797" s="32" t="str">
        <f aca="false">INDEX('Curva ABC'!$K$8:$K$2847,MATCH(D1797,'Curva ABC'!$B$8:$B$2847,0))</f>
        <v>C</v>
      </c>
    </row>
    <row r="1798" customFormat="false" ht="15" hidden="false" customHeight="false" outlineLevel="0" collapsed="false">
      <c r="A1798" s="34" t="s">
        <v>5799</v>
      </c>
      <c r="B1798" s="34" t="str">
        <f aca="false">'Uso e Consumo'!A1798</f>
        <v>0335</v>
      </c>
      <c r="C1798" s="34" t="str">
        <f aca="false">'Uso e Consumo'!B1798</f>
        <v>UFV NORONHA VERDE - USO E CONSUMO</v>
      </c>
      <c r="D1798" s="33" t="n">
        <f aca="false">'Uso e Consumo'!C1798</f>
        <v>1011493</v>
      </c>
      <c r="E1798" s="34" t="str">
        <f aca="false">'Uso e Consumo'!D1798</f>
        <v>24.39.0007</v>
      </c>
      <c r="F1798" s="34" t="str">
        <f aca="false">'Uso e Consumo'!E1798</f>
        <v>FORMÃO CABO DE MADEIRA 1 SIGMA</v>
      </c>
      <c r="G1798" s="34" t="str">
        <f aca="false">'Uso e Consumo'!J1798</f>
        <v>UN</v>
      </c>
      <c r="H1798" s="49" t="n">
        <f aca="false">'Uso e Consumo'!F1798</f>
        <v>6</v>
      </c>
      <c r="I1798" s="35" t="n">
        <f aca="false">'Uso e Consumo'!G1798</f>
        <v>210</v>
      </c>
      <c r="J1798" s="34" t="str">
        <f aca="false">'Uso e Consumo'!M1798</f>
        <v>3.8.2.002 - Ferramentas manuais</v>
      </c>
      <c r="K1798" s="32" t="str">
        <f aca="false">INDEX('Curva ABC'!$K$8:$K$2847,MATCH(D1798,'Curva ABC'!$B$8:$B$2847,0))</f>
        <v>C</v>
      </c>
    </row>
    <row r="1799" customFormat="false" ht="15" hidden="false" customHeight="false" outlineLevel="0" collapsed="false">
      <c r="A1799" s="34" t="s">
        <v>5799</v>
      </c>
      <c r="B1799" s="34" t="str">
        <f aca="false">'Uso e Consumo'!A1799</f>
        <v>0335</v>
      </c>
      <c r="C1799" s="34" t="str">
        <f aca="false">'Uso e Consumo'!B1799</f>
        <v>UFV NORONHA VERDE - USO E CONSUMO</v>
      </c>
      <c r="D1799" s="33" t="n">
        <f aca="false">'Uso e Consumo'!C1799</f>
        <v>1329535</v>
      </c>
      <c r="E1799" s="34" t="str">
        <f aca="false">'Uso e Consumo'!D1799</f>
        <v>01.09.0380</v>
      </c>
      <c r="F1799" s="34" t="str">
        <f aca="false">'Uso e Consumo'!E1799</f>
        <v>CANTONEIRA 45 GRAUS ADAPTADA PARA 3 ESTAIS (A=0.50m, B=0.36m), COMPRIMENTO= 70CM (SUPORTABILIDADE ACIMA DE 2000KGF)</v>
      </c>
      <c r="G1799" s="34" t="str">
        <f aca="false">'Uso e Consumo'!J1799</f>
        <v>UN</v>
      </c>
      <c r="H1799" s="49" t="n">
        <f aca="false">'Uso e Consumo'!F1799</f>
        <v>21</v>
      </c>
      <c r="I1799" s="35" t="n">
        <f aca="false">'Uso e Consumo'!G1799</f>
        <v>209.58</v>
      </c>
      <c r="J1799" s="34" t="str">
        <f aca="false">'Uso e Consumo'!M1799</f>
        <v>3.8.1.001 - Aços e trefilados</v>
      </c>
      <c r="K1799" s="32" t="str">
        <f aca="false">INDEX('Curva ABC'!$K$8:$K$2847,MATCH(D1799,'Curva ABC'!$B$8:$B$2847,0))</f>
        <v>C</v>
      </c>
    </row>
    <row r="1800" customFormat="false" ht="15" hidden="false" customHeight="false" outlineLevel="0" collapsed="false">
      <c r="A1800" s="34" t="s">
        <v>5799</v>
      </c>
      <c r="B1800" s="34" t="str">
        <f aca="false">'Uso e Consumo'!A1800</f>
        <v>0335</v>
      </c>
      <c r="C1800" s="34" t="str">
        <f aca="false">'Uso e Consumo'!B1800</f>
        <v>UFV NORONHA VERDE - USO E CONSUMO</v>
      </c>
      <c r="D1800" s="33" t="n">
        <f aca="false">'Uso e Consumo'!C1800</f>
        <v>22792</v>
      </c>
      <c r="E1800" s="34" t="str">
        <f aca="false">'Uso e Consumo'!D1800</f>
        <v>19.09.0003</v>
      </c>
      <c r="F1800" s="34" t="str">
        <f aca="false">'Uso e Consumo'!E1800</f>
        <v>CHUVEIRO PLÁSTICO DN 1/2"</v>
      </c>
      <c r="G1800" s="34" t="str">
        <f aca="false">'Uso e Consumo'!J1800</f>
        <v>UN</v>
      </c>
      <c r="H1800" s="49" t="n">
        <f aca="false">'Uso e Consumo'!F1800</f>
        <v>15</v>
      </c>
      <c r="I1800" s="35" t="n">
        <f aca="false">'Uso e Consumo'!G1800</f>
        <v>208.5</v>
      </c>
      <c r="J1800" s="34" t="str">
        <f aca="false">'Uso e Consumo'!M1800</f>
        <v>3.8.1.018 - Instalações hidráulicas/sanitárias/industriais</v>
      </c>
      <c r="K1800" s="32" t="str">
        <f aca="false">INDEX('Curva ABC'!$K$8:$K$2847,MATCH(D1800,'Curva ABC'!$B$8:$B$2847,0))</f>
        <v>C</v>
      </c>
    </row>
    <row r="1801" customFormat="false" ht="15" hidden="false" customHeight="false" outlineLevel="0" collapsed="false">
      <c r="A1801" s="34" t="s">
        <v>5799</v>
      </c>
      <c r="B1801" s="34" t="str">
        <f aca="false">'Uso e Consumo'!A1801</f>
        <v>0335</v>
      </c>
      <c r="C1801" s="34" t="str">
        <f aca="false">'Uso e Consumo'!B1801</f>
        <v>UFV NORONHA VERDE - USO E CONSUMO</v>
      </c>
      <c r="D1801" s="33" t="n">
        <f aca="false">'Uso e Consumo'!C1801</f>
        <v>60274</v>
      </c>
      <c r="E1801" s="34" t="str">
        <f aca="false">'Uso e Consumo'!D1801</f>
        <v>25.03.0235</v>
      </c>
      <c r="F1801" s="34" t="str">
        <f aca="false">'Uso e Consumo'!E1801</f>
        <v>BROCA CHATA DN 7/8’’</v>
      </c>
      <c r="G1801" s="34" t="str">
        <f aca="false">'Uso e Consumo'!J1801</f>
        <v>UN</v>
      </c>
      <c r="H1801" s="49" t="n">
        <f aca="false">'Uso e Consumo'!F1801</f>
        <v>8</v>
      </c>
      <c r="I1801" s="35" t="n">
        <f aca="false">'Uso e Consumo'!G1801</f>
        <v>208</v>
      </c>
      <c r="J1801" s="34" t="str">
        <f aca="false">'Uso e Consumo'!M1801</f>
        <v>3.8.2.004 - Consumíveis para corte, perfuração e desbaste</v>
      </c>
      <c r="K1801" s="32" t="str">
        <f aca="false">INDEX('Curva ABC'!$K$8:$K$2847,MATCH(D1801,'Curva ABC'!$B$8:$B$2847,0))</f>
        <v>C</v>
      </c>
    </row>
    <row r="1802" customFormat="false" ht="15" hidden="false" customHeight="false" outlineLevel="0" collapsed="false">
      <c r="A1802" s="34" t="s">
        <v>5799</v>
      </c>
      <c r="B1802" s="34" t="str">
        <f aca="false">'Uso e Consumo'!A1802</f>
        <v>0335</v>
      </c>
      <c r="C1802" s="34" t="str">
        <f aca="false">'Uso e Consumo'!B1802</f>
        <v>UFV NORONHA VERDE - USO E CONSUMO</v>
      </c>
      <c r="D1802" s="33" t="n">
        <f aca="false">'Uso e Consumo'!C1802</f>
        <v>17941</v>
      </c>
      <c r="E1802" s="34" t="str">
        <f aca="false">'Uso e Consumo'!D1802</f>
        <v>24.09.0035</v>
      </c>
      <c r="F1802" s="34" t="str">
        <f aca="false">'Uso e Consumo'!E1802</f>
        <v>CHAVE COMBINADA 16,00MM AÇO CARBONO CROMADO</v>
      </c>
      <c r="G1802" s="34" t="str">
        <f aca="false">'Uso e Consumo'!J1802</f>
        <v>UN</v>
      </c>
      <c r="H1802" s="49" t="n">
        <f aca="false">'Uso e Consumo'!F1802</f>
        <v>5</v>
      </c>
      <c r="I1802" s="35" t="n">
        <f aca="false">'Uso e Consumo'!G1802</f>
        <v>207.14</v>
      </c>
      <c r="J1802" s="34" t="str">
        <f aca="false">'Uso e Consumo'!M1802</f>
        <v>3.8.2.002 - Ferramentas manuais</v>
      </c>
      <c r="K1802" s="32" t="str">
        <f aca="false">INDEX('Curva ABC'!$K$8:$K$2847,MATCH(D1802,'Curva ABC'!$B$8:$B$2847,0))</f>
        <v>C</v>
      </c>
    </row>
    <row r="1803" customFormat="false" ht="15" hidden="false" customHeight="false" outlineLevel="0" collapsed="false">
      <c r="A1803" s="34" t="s">
        <v>5799</v>
      </c>
      <c r="B1803" s="34" t="str">
        <f aca="false">'Uso e Consumo'!A1803</f>
        <v>0335</v>
      </c>
      <c r="C1803" s="34" t="str">
        <f aca="false">'Uso e Consumo'!B1803</f>
        <v>UFV NORONHA VERDE - USO E CONSUMO</v>
      </c>
      <c r="D1803" s="33" t="n">
        <f aca="false">'Uso e Consumo'!C1803</f>
        <v>1465305</v>
      </c>
      <c r="E1803" s="34" t="str">
        <f aca="false">'Uso e Consumo'!D1803</f>
        <v>23.05.0292</v>
      </c>
      <c r="F1803" s="34" t="str">
        <f aca="false">'Uso e Consumo'!E1803</f>
        <v>ARRUELA LISA DE AÇO INOX M16</v>
      </c>
      <c r="G1803" s="34" t="str">
        <f aca="false">'Uso e Consumo'!J1803</f>
        <v>UN</v>
      </c>
      <c r="H1803" s="49" t="n">
        <f aca="false">'Uso e Consumo'!F1803</f>
        <v>184</v>
      </c>
      <c r="I1803" s="35" t="n">
        <f aca="false">'Uso e Consumo'!G1803</f>
        <v>206.68</v>
      </c>
      <c r="J1803" s="34" t="str">
        <f aca="false">'Uso e Consumo'!M1803</f>
        <v>3.8.1.022 - Elementos de fixação</v>
      </c>
      <c r="K1803" s="32" t="str">
        <f aca="false">INDEX('Curva ABC'!$K$8:$K$2847,MATCH(D1803,'Curva ABC'!$B$8:$B$2847,0))</f>
        <v>C</v>
      </c>
    </row>
    <row r="1804" customFormat="false" ht="15" hidden="false" customHeight="false" outlineLevel="0" collapsed="false">
      <c r="A1804" s="34" t="s">
        <v>5799</v>
      </c>
      <c r="B1804" s="34" t="str">
        <f aca="false">'Uso e Consumo'!A1804</f>
        <v>0335</v>
      </c>
      <c r="C1804" s="34" t="str">
        <f aca="false">'Uso e Consumo'!B1804</f>
        <v>UFV NORONHA VERDE - USO E CONSUMO</v>
      </c>
      <c r="D1804" s="33" t="n">
        <f aca="false">'Uso e Consumo'!C1804</f>
        <v>1330309</v>
      </c>
      <c r="E1804" s="34" t="str">
        <f aca="false">'Uso e Consumo'!D1804</f>
        <v>18.09.0344</v>
      </c>
      <c r="F1804" s="34" t="str">
        <f aca="false">'Uso e Consumo'!E1804</f>
        <v>VÁLVULA AMERICANA 3.1/2</v>
      </c>
      <c r="G1804" s="34" t="str">
        <f aca="false">'Uso e Consumo'!J1804</f>
        <v>UN</v>
      </c>
      <c r="H1804" s="49" t="n">
        <f aca="false">'Uso e Consumo'!F1804</f>
        <v>6</v>
      </c>
      <c r="I1804" s="35" t="n">
        <f aca="false">'Uso e Consumo'!G1804</f>
        <v>206</v>
      </c>
      <c r="J1804" s="34" t="str">
        <f aca="false">'Uso e Consumo'!M1804</f>
        <v>3.8.1.018 - Instalações hidráulicas/sanitárias/industriais</v>
      </c>
      <c r="K1804" s="32" t="str">
        <f aca="false">INDEX('Curva ABC'!$K$8:$K$2847,MATCH(D1804,'Curva ABC'!$B$8:$B$2847,0))</f>
        <v>C</v>
      </c>
    </row>
    <row r="1805" customFormat="false" ht="15" hidden="false" customHeight="false" outlineLevel="0" collapsed="false">
      <c r="A1805" s="34" t="s">
        <v>5799</v>
      </c>
      <c r="B1805" s="34" t="str">
        <f aca="false">'Uso e Consumo'!A1805</f>
        <v>0335</v>
      </c>
      <c r="C1805" s="34" t="str">
        <f aca="false">'Uso e Consumo'!B1805</f>
        <v>UFV NORONHA VERDE - USO E CONSUMO</v>
      </c>
      <c r="D1805" s="33" t="n">
        <f aca="false">'Uso e Consumo'!C1805</f>
        <v>55080</v>
      </c>
      <c r="E1805" s="34" t="str">
        <f aca="false">'Uso e Consumo'!D1805</f>
        <v>17.10.0211</v>
      </c>
      <c r="F1805" s="34" t="str">
        <f aca="false">'Uso e Consumo'!E1805</f>
        <v>DISJUNTOR MONOFÁSICO 25A – 127/220/380V NBR 60898</v>
      </c>
      <c r="G1805" s="34" t="str">
        <f aca="false">'Uso e Consumo'!J1805</f>
        <v>UN</v>
      </c>
      <c r="H1805" s="49" t="n">
        <f aca="false">'Uso e Consumo'!F1805</f>
        <v>9</v>
      </c>
      <c r="I1805" s="35" t="n">
        <f aca="false">'Uso e Consumo'!G1805</f>
        <v>204.12</v>
      </c>
      <c r="J1805" s="34" t="str">
        <f aca="false">'Uso e Consumo'!M1805</f>
        <v>3.8.1.017 - Instalações elétricas/telefônicas/lógica</v>
      </c>
      <c r="K1805" s="32" t="str">
        <f aca="false">INDEX('Curva ABC'!$K$8:$K$2847,MATCH(D1805,'Curva ABC'!$B$8:$B$2847,0))</f>
        <v>C</v>
      </c>
    </row>
    <row r="1806" customFormat="false" ht="15" hidden="false" customHeight="false" outlineLevel="0" collapsed="false">
      <c r="A1806" s="34" t="s">
        <v>5799</v>
      </c>
      <c r="B1806" s="34" t="str">
        <f aca="false">'Uso e Consumo'!A1806</f>
        <v>0335</v>
      </c>
      <c r="C1806" s="34" t="str">
        <f aca="false">'Uso e Consumo'!B1806</f>
        <v>UFV NORONHA VERDE - USO E CONSUMO</v>
      </c>
      <c r="D1806" s="33" t="n">
        <f aca="false">'Uso e Consumo'!C1806</f>
        <v>274424</v>
      </c>
      <c r="E1806" s="34" t="str">
        <f aca="false">'Uso e Consumo'!D1806</f>
        <v>18.01.1065</v>
      </c>
      <c r="F1806" s="34" t="str">
        <f aca="false">'Uso e Consumo'!E1806</f>
        <v>TUBO PVC CORRUGADO DN 25,00 MM NBR 5648</v>
      </c>
      <c r="G1806" s="34" t="str">
        <f aca="false">'Uso e Consumo'!J1806</f>
        <v>M</v>
      </c>
      <c r="H1806" s="49" t="n">
        <f aca="false">'Uso e Consumo'!F1806</f>
        <v>3</v>
      </c>
      <c r="I1806" s="35" t="n">
        <f aca="false">'Uso e Consumo'!G1806</f>
        <v>204</v>
      </c>
      <c r="J1806" s="34" t="str">
        <f aca="false">'Uso e Consumo'!M1806</f>
        <v>3.8.1.018 - Instalações hidráulicas/sanitárias/industriais</v>
      </c>
      <c r="K1806" s="32" t="str">
        <f aca="false">INDEX('Curva ABC'!$K$8:$K$2847,MATCH(D1806,'Curva ABC'!$B$8:$B$2847,0))</f>
        <v>C</v>
      </c>
    </row>
    <row r="1807" customFormat="false" ht="15" hidden="false" customHeight="false" outlineLevel="0" collapsed="false">
      <c r="A1807" s="34" t="s">
        <v>5799</v>
      </c>
      <c r="B1807" s="34" t="str">
        <f aca="false">'Uso e Consumo'!A1807</f>
        <v>0335</v>
      </c>
      <c r="C1807" s="34" t="str">
        <f aca="false">'Uso e Consumo'!B1807</f>
        <v>UFV NORONHA VERDE - USO E CONSUMO</v>
      </c>
      <c r="D1807" s="33" t="n">
        <f aca="false">'Uso e Consumo'!C1807</f>
        <v>949968</v>
      </c>
      <c r="E1807" s="34" t="str">
        <f aca="false">'Uso e Consumo'!D1807</f>
        <v>18.01.1338</v>
      </c>
      <c r="F1807" s="34" t="str">
        <f aca="false">'Uso e Consumo'!E1807</f>
        <v>JUNÇÃO SIMPLES 75MM ESGOTO</v>
      </c>
      <c r="G1807" s="34" t="str">
        <f aca="false">'Uso e Consumo'!J1807</f>
        <v>UN</v>
      </c>
      <c r="H1807" s="49" t="n">
        <f aca="false">'Uso e Consumo'!F1807</f>
        <v>6</v>
      </c>
      <c r="I1807" s="35" t="n">
        <f aca="false">'Uso e Consumo'!G1807</f>
        <v>204</v>
      </c>
      <c r="J1807" s="34" t="str">
        <f aca="false">'Uso e Consumo'!M1807</f>
        <v>3.8.1.018 - Instalações hidráulicas/sanitárias/industriais</v>
      </c>
      <c r="K1807" s="32" t="str">
        <f aca="false">INDEX('Curva ABC'!$K$8:$K$2847,MATCH(D1807,'Curva ABC'!$B$8:$B$2847,0))</f>
        <v>C</v>
      </c>
    </row>
    <row r="1808" customFormat="false" ht="15" hidden="false" customHeight="false" outlineLevel="0" collapsed="false">
      <c r="A1808" s="34" t="s">
        <v>5799</v>
      </c>
      <c r="B1808" s="34" t="str">
        <f aca="false">'Uso e Consumo'!A1808</f>
        <v>0335</v>
      </c>
      <c r="C1808" s="34" t="str">
        <f aca="false">'Uso e Consumo'!B1808</f>
        <v>UFV NORONHA VERDE - USO E CONSUMO</v>
      </c>
      <c r="D1808" s="33" t="n">
        <f aca="false">'Uso e Consumo'!C1808</f>
        <v>954946</v>
      </c>
      <c r="E1808" s="34" t="str">
        <f aca="false">'Uso e Consumo'!D1808</f>
        <v>19.08.0085</v>
      </c>
      <c r="F1808" s="34" t="str">
        <f aca="false">'Uso e Consumo'!E1808</f>
        <v>TORNEIRA DE PAREDE</v>
      </c>
      <c r="G1808" s="34" t="str">
        <f aca="false">'Uso e Consumo'!J1808</f>
        <v>UN</v>
      </c>
      <c r="H1808" s="49" t="n">
        <f aca="false">'Uso e Consumo'!F1808</f>
        <v>2</v>
      </c>
      <c r="I1808" s="35" t="n">
        <f aca="false">'Uso e Consumo'!G1808</f>
        <v>203.62</v>
      </c>
      <c r="J1808" s="34" t="str">
        <f aca="false">'Uso e Consumo'!M1808</f>
        <v>3.8.1.018 - Instalações hidráulicas/sanitárias/industriais</v>
      </c>
      <c r="K1808" s="32" t="str">
        <f aca="false">INDEX('Curva ABC'!$K$8:$K$2847,MATCH(D1808,'Curva ABC'!$B$8:$B$2847,0))</f>
        <v>C</v>
      </c>
    </row>
    <row r="1809" customFormat="false" ht="15" hidden="false" customHeight="false" outlineLevel="0" collapsed="false">
      <c r="A1809" s="34" t="s">
        <v>5799</v>
      </c>
      <c r="B1809" s="34" t="str">
        <f aca="false">'Uso e Consumo'!A1809</f>
        <v>0335</v>
      </c>
      <c r="C1809" s="34" t="str">
        <f aca="false">'Uso e Consumo'!B1809</f>
        <v>UFV NORONHA VERDE - USO E CONSUMO</v>
      </c>
      <c r="D1809" s="33" t="n">
        <f aca="false">'Uso e Consumo'!C1809</f>
        <v>835503</v>
      </c>
      <c r="E1809" s="34" t="str">
        <f aca="false">'Uso e Consumo'!D1809</f>
        <v>17.20.0537</v>
      </c>
      <c r="F1809" s="34" t="str">
        <f aca="false">'Uso e Consumo'!E1809</f>
        <v>CONECTOR A COMPRESSÃO 150mm²</v>
      </c>
      <c r="G1809" s="34" t="str">
        <f aca="false">'Uso e Consumo'!J1809</f>
        <v>UN</v>
      </c>
      <c r="H1809" s="49" t="n">
        <f aca="false">'Uso e Consumo'!F1809</f>
        <v>12</v>
      </c>
      <c r="I1809" s="35" t="n">
        <f aca="false">'Uso e Consumo'!G1809</f>
        <v>203.52</v>
      </c>
      <c r="J1809" s="34" t="str">
        <f aca="false">'Uso e Consumo'!M1809</f>
        <v>3.8.1.017 - Instalações elétricas/telefônicas/lógica</v>
      </c>
      <c r="K1809" s="32" t="str">
        <f aca="false">INDEX('Curva ABC'!$K$8:$K$2847,MATCH(D1809,'Curva ABC'!$B$8:$B$2847,0))</f>
        <v>C</v>
      </c>
    </row>
    <row r="1810" customFormat="false" ht="15" hidden="false" customHeight="false" outlineLevel="0" collapsed="false">
      <c r="A1810" s="34" t="s">
        <v>5799</v>
      </c>
      <c r="B1810" s="34" t="str">
        <f aca="false">'Uso e Consumo'!A1810</f>
        <v>0335</v>
      </c>
      <c r="C1810" s="34" t="str">
        <f aca="false">'Uso e Consumo'!B1810</f>
        <v>UFV NORONHA VERDE - USO E CONSUMO</v>
      </c>
      <c r="D1810" s="33" t="n">
        <f aca="false">'Uso e Consumo'!C1810</f>
        <v>1659861</v>
      </c>
      <c r="E1810" s="34" t="str">
        <f aca="false">'Uso e Consumo'!D1810</f>
        <v>17.20.0759</v>
      </c>
      <c r="F1810" s="34" t="str">
        <f aca="false">'Uso e Consumo'!E1810</f>
        <v>CARTUCHO PARA SOLDA EXOTERMICA 65 G PARA DERIVACAO T DE CABO DE COBRE 70 MM X 25 MM</v>
      </c>
      <c r="G1810" s="34" t="str">
        <f aca="false">'Uso e Consumo'!J1810</f>
        <v>UN</v>
      </c>
      <c r="H1810" s="49" t="n">
        <f aca="false">'Uso e Consumo'!F1810</f>
        <v>16</v>
      </c>
      <c r="I1810" s="35" t="n">
        <f aca="false">'Uso e Consumo'!G1810</f>
        <v>203.2</v>
      </c>
      <c r="J1810" s="34" t="str">
        <f aca="false">'Uso e Consumo'!M1810</f>
        <v>3.8.1.017 - Instalações elétricas/telefônicas/lógica</v>
      </c>
      <c r="K1810" s="32" t="str">
        <f aca="false">INDEX('Curva ABC'!$K$8:$K$2847,MATCH(D1810,'Curva ABC'!$B$8:$B$2847,0))</f>
        <v>C</v>
      </c>
    </row>
    <row r="1811" customFormat="false" ht="15" hidden="false" customHeight="false" outlineLevel="0" collapsed="false">
      <c r="A1811" s="34" t="s">
        <v>5799</v>
      </c>
      <c r="B1811" s="34" t="str">
        <f aca="false">'Uso e Consumo'!A1811</f>
        <v>0335</v>
      </c>
      <c r="C1811" s="34" t="str">
        <f aca="false">'Uso e Consumo'!B1811</f>
        <v>UFV NORONHA VERDE - USO E CONSUMO</v>
      </c>
      <c r="D1811" s="33" t="n">
        <f aca="false">'Uso e Consumo'!C1811</f>
        <v>1656098</v>
      </c>
      <c r="E1811" s="34" t="str">
        <f aca="false">'Uso e Consumo'!D1811</f>
        <v>28.01.0749</v>
      </c>
      <c r="F1811" s="34" t="str">
        <f aca="false">'Uso e Consumo'!E1811</f>
        <v>PLACA ACIONAMENTO BARRA ANTIPANICO S18 EM PVC FOTOLUMINESCENTE 300 X 150 MM</v>
      </c>
      <c r="G1811" s="34" t="str">
        <f aca="false">'Uso e Consumo'!J1811</f>
        <v>UN</v>
      </c>
      <c r="H1811" s="49" t="n">
        <f aca="false">'Uso e Consumo'!F1811</f>
        <v>10</v>
      </c>
      <c r="I1811" s="35" t="n">
        <f aca="false">'Uso e Consumo'!G1811</f>
        <v>202.5</v>
      </c>
      <c r="J1811" s="34" t="str">
        <f aca="false">'Uso e Consumo'!M1811</f>
        <v>3.8.1.023 - Comunicação visual e sinalização</v>
      </c>
      <c r="K1811" s="32" t="str">
        <f aca="false">INDEX('Curva ABC'!$K$8:$K$2847,MATCH(D1811,'Curva ABC'!$B$8:$B$2847,0))</f>
        <v>C</v>
      </c>
    </row>
    <row r="1812" customFormat="false" ht="15" hidden="false" customHeight="false" outlineLevel="0" collapsed="false">
      <c r="A1812" s="34" t="s">
        <v>5799</v>
      </c>
      <c r="B1812" s="34" t="str">
        <f aca="false">'Uso e Consumo'!A1812</f>
        <v>0335</v>
      </c>
      <c r="C1812" s="34" t="str">
        <f aca="false">'Uso e Consumo'!B1812</f>
        <v>UFV NORONHA VERDE - USO E CONSUMO</v>
      </c>
      <c r="D1812" s="33" t="n">
        <f aca="false">'Uso e Consumo'!C1812</f>
        <v>1384747</v>
      </c>
      <c r="E1812" s="34" t="str">
        <f aca="false">'Uso e Consumo'!D1812</f>
        <v>17.02.0869</v>
      </c>
      <c r="F1812" s="34" t="str">
        <f aca="false">'Uso e Consumo'!E1812</f>
        <v>CONECTOR TERMINAL RETO A COMPRESSÃO TENSÃO 13,8 KV</v>
      </c>
      <c r="G1812" s="34" t="str">
        <f aca="false">'Uso e Consumo'!J1812</f>
        <v>UN</v>
      </c>
      <c r="H1812" s="49" t="n">
        <f aca="false">'Uso e Consumo'!F1812</f>
        <v>8</v>
      </c>
      <c r="I1812" s="35" t="n">
        <f aca="false">'Uso e Consumo'!G1812</f>
        <v>201.68</v>
      </c>
      <c r="J1812" s="34" t="str">
        <f aca="false">'Uso e Consumo'!M1812</f>
        <v>3.8.1.017 - Instalações elétricas/telefônicas/lógica</v>
      </c>
      <c r="K1812" s="32" t="str">
        <f aca="false">INDEX('Curva ABC'!$K$8:$K$2847,MATCH(D1812,'Curva ABC'!$B$8:$B$2847,0))</f>
        <v>C</v>
      </c>
    </row>
    <row r="1813" customFormat="false" ht="15" hidden="false" customHeight="false" outlineLevel="0" collapsed="false">
      <c r="A1813" s="34" t="s">
        <v>5799</v>
      </c>
      <c r="B1813" s="34" t="str">
        <f aca="false">'Uso e Consumo'!A1813</f>
        <v>0335</v>
      </c>
      <c r="C1813" s="34" t="str">
        <f aca="false">'Uso e Consumo'!B1813</f>
        <v>UFV NORONHA VERDE - USO E CONSUMO</v>
      </c>
      <c r="D1813" s="33" t="n">
        <f aca="false">'Uso e Consumo'!C1813</f>
        <v>1607593</v>
      </c>
      <c r="E1813" s="34" t="str">
        <f aca="false">'Uso e Consumo'!D1813</f>
        <v>17.16.3879</v>
      </c>
      <c r="F1813" s="34" t="str">
        <f aca="false">'Uso e Consumo'!E1813</f>
        <v>CONECTOR GDTU HASTE CABO 3/8''X150MM</v>
      </c>
      <c r="G1813" s="34" t="str">
        <f aca="false">'Uso e Consumo'!J1813</f>
        <v>UN</v>
      </c>
      <c r="H1813" s="49" t="n">
        <f aca="false">'Uso e Consumo'!F1813</f>
        <v>3</v>
      </c>
      <c r="I1813" s="35" t="n">
        <f aca="false">'Uso e Consumo'!G1813</f>
        <v>201</v>
      </c>
      <c r="J1813" s="34" t="str">
        <f aca="false">'Uso e Consumo'!M1813</f>
        <v>3.8.1.017 - Instalações elétricas/telefônicas/lógica</v>
      </c>
      <c r="K1813" s="32" t="str">
        <f aca="false">INDEX('Curva ABC'!$K$8:$K$2847,MATCH(D1813,'Curva ABC'!$B$8:$B$2847,0))</f>
        <v>C</v>
      </c>
    </row>
    <row r="1814" customFormat="false" ht="15" hidden="false" customHeight="false" outlineLevel="0" collapsed="false">
      <c r="A1814" s="34" t="s">
        <v>5799</v>
      </c>
      <c r="B1814" s="34" t="str">
        <f aca="false">'Uso e Consumo'!A1814</f>
        <v>0335</v>
      </c>
      <c r="C1814" s="34" t="str">
        <f aca="false">'Uso e Consumo'!B1814</f>
        <v>UFV NORONHA VERDE - USO E CONSUMO</v>
      </c>
      <c r="D1814" s="33" t="n">
        <f aca="false">'Uso e Consumo'!C1814</f>
        <v>35244</v>
      </c>
      <c r="E1814" s="34" t="str">
        <f aca="false">'Uso e Consumo'!D1814</f>
        <v>30.03.0182</v>
      </c>
      <c r="F1814" s="34" t="str">
        <f aca="false">'Uso e Consumo'!E1814</f>
        <v>ESCOVA SANITÁRIA C/ SUPORTE</v>
      </c>
      <c r="G1814" s="34" t="str">
        <f aca="false">'Uso e Consumo'!J1814</f>
        <v>UN</v>
      </c>
      <c r="H1814" s="49" t="n">
        <f aca="false">'Uso e Consumo'!F1814</f>
        <v>25</v>
      </c>
      <c r="I1814" s="35" t="n">
        <f aca="false">'Uso e Consumo'!G1814</f>
        <v>200</v>
      </c>
      <c r="J1814" s="34" t="str">
        <f aca="false">'Uso e Consumo'!M1814</f>
        <v>4.1.1.001 - Material de uso e consumo</v>
      </c>
      <c r="K1814" s="32" t="str">
        <f aca="false">INDEX('Curva ABC'!$K$8:$K$2847,MATCH(D1814,'Curva ABC'!$B$8:$B$2847,0))</f>
        <v>C</v>
      </c>
    </row>
    <row r="1815" customFormat="false" ht="15" hidden="false" customHeight="false" outlineLevel="0" collapsed="false">
      <c r="A1815" s="34" t="s">
        <v>5799</v>
      </c>
      <c r="B1815" s="34" t="str">
        <f aca="false">'Uso e Consumo'!A1815</f>
        <v>0335</v>
      </c>
      <c r="C1815" s="34" t="str">
        <f aca="false">'Uso e Consumo'!B1815</f>
        <v>UFV NORONHA VERDE - USO E CONSUMO</v>
      </c>
      <c r="D1815" s="33" t="n">
        <f aca="false">'Uso e Consumo'!C1815</f>
        <v>884051</v>
      </c>
      <c r="E1815" s="34" t="str">
        <f aca="false">'Uso e Consumo'!D1815</f>
        <v>17.11.1072</v>
      </c>
      <c r="F1815" s="34" t="str">
        <f aca="false">'Uso e Consumo'!E1815</f>
        <v>LÂMPADA BULBO 40W</v>
      </c>
      <c r="G1815" s="34" t="str">
        <f aca="false">'Uso e Consumo'!J1815</f>
        <v>UN</v>
      </c>
      <c r="H1815" s="49" t="n">
        <f aca="false">'Uso e Consumo'!F1815</f>
        <v>8</v>
      </c>
      <c r="I1815" s="35" t="n">
        <f aca="false">'Uso e Consumo'!G1815</f>
        <v>199.84</v>
      </c>
      <c r="J1815" s="34" t="str">
        <f aca="false">'Uso e Consumo'!M1815</f>
        <v>3.8.1.017 - Instalações elétricas/telefônicas/lógica</v>
      </c>
      <c r="K1815" s="32" t="str">
        <f aca="false">INDEX('Curva ABC'!$K$8:$K$2847,MATCH(D1815,'Curva ABC'!$B$8:$B$2847,0))</f>
        <v>C</v>
      </c>
    </row>
    <row r="1816" customFormat="false" ht="15" hidden="false" customHeight="false" outlineLevel="0" collapsed="false">
      <c r="A1816" s="34" t="s">
        <v>5799</v>
      </c>
      <c r="B1816" s="34" t="str">
        <f aca="false">'Uso e Consumo'!A1816</f>
        <v>0335</v>
      </c>
      <c r="C1816" s="34" t="str">
        <f aca="false">'Uso e Consumo'!B1816</f>
        <v>UFV NORONHA VERDE - USO E CONSUMO</v>
      </c>
      <c r="D1816" s="33" t="n">
        <f aca="false">'Uso e Consumo'!C1816</f>
        <v>14779</v>
      </c>
      <c r="E1816" s="34" t="str">
        <f aca="false">'Uso e Consumo'!D1816</f>
        <v>18.01.0354</v>
      </c>
      <c r="F1816" s="34" t="str">
        <f aca="false">'Uso e Consumo'!E1816</f>
        <v>JOELHO 90GR PVC REFORCADO SOLDAVEL 100,00MM P/ESGOTO</v>
      </c>
      <c r="G1816" s="34" t="str">
        <f aca="false">'Uso e Consumo'!J1816</f>
        <v>UN</v>
      </c>
      <c r="H1816" s="49" t="n">
        <f aca="false">'Uso e Consumo'!F1816</f>
        <v>10</v>
      </c>
      <c r="I1816" s="35" t="n">
        <f aca="false">'Uso e Consumo'!G1816</f>
        <v>199.8</v>
      </c>
      <c r="J1816" s="34" t="str">
        <f aca="false">'Uso e Consumo'!M1816</f>
        <v>3.8.1.018 - Instalações hidráulicas/sanitárias/industriais</v>
      </c>
      <c r="K1816" s="32" t="str">
        <f aca="false">INDEX('Curva ABC'!$K$8:$K$2847,MATCH(D1816,'Curva ABC'!$B$8:$B$2847,0))</f>
        <v>C</v>
      </c>
    </row>
    <row r="1817" customFormat="false" ht="15" hidden="false" customHeight="false" outlineLevel="0" collapsed="false">
      <c r="A1817" s="34" t="s">
        <v>5799</v>
      </c>
      <c r="B1817" s="34" t="str">
        <f aca="false">'Uso e Consumo'!A1817</f>
        <v>0335</v>
      </c>
      <c r="C1817" s="34" t="str">
        <f aca="false">'Uso e Consumo'!B1817</f>
        <v>UFV NORONHA VERDE - USO E CONSUMO</v>
      </c>
      <c r="D1817" s="33" t="n">
        <f aca="false">'Uso e Consumo'!C1817</f>
        <v>55348</v>
      </c>
      <c r="E1817" s="34" t="str">
        <f aca="false">'Uso e Consumo'!D1817</f>
        <v>17.16.0121</v>
      </c>
      <c r="F1817" s="34" t="str">
        <f aca="false">'Uso e Consumo'!E1817</f>
        <v>TERMINAL COMPRESSÃO 16MM</v>
      </c>
      <c r="G1817" s="34" t="str">
        <f aca="false">'Uso e Consumo'!J1817</f>
        <v>UN</v>
      </c>
      <c r="H1817" s="49" t="n">
        <f aca="false">'Uso e Consumo'!F1817</f>
        <v>10</v>
      </c>
      <c r="I1817" s="35" t="n">
        <f aca="false">'Uso e Consumo'!G1817</f>
        <v>199.8</v>
      </c>
      <c r="J1817" s="34" t="str">
        <f aca="false">'Uso e Consumo'!M1817</f>
        <v>3.8.1.017 - Instalações elétricas/telefônicas/lógica</v>
      </c>
      <c r="K1817" s="32" t="str">
        <f aca="false">INDEX('Curva ABC'!$K$8:$K$2847,MATCH(D1817,'Curva ABC'!$B$8:$B$2847,0))</f>
        <v>C</v>
      </c>
    </row>
    <row r="1818" customFormat="false" ht="15" hidden="false" customHeight="false" outlineLevel="0" collapsed="false">
      <c r="A1818" s="34" t="s">
        <v>5799</v>
      </c>
      <c r="B1818" s="34" t="str">
        <f aca="false">'Uso e Consumo'!A1818</f>
        <v>0335</v>
      </c>
      <c r="C1818" s="34" t="str">
        <f aca="false">'Uso e Consumo'!B1818</f>
        <v>UFV NORONHA VERDE - USO E CONSUMO</v>
      </c>
      <c r="D1818" s="33" t="n">
        <f aca="false">'Uso e Consumo'!C1818</f>
        <v>1108304</v>
      </c>
      <c r="E1818" s="34" t="str">
        <f aca="false">'Uso e Consumo'!D1818</f>
        <v>18.01.1419</v>
      </c>
      <c r="F1818" s="34" t="str">
        <f aca="false">'Uso e Consumo'!E1818</f>
        <v>JOELHO 90 ESG DN100 CB - LINHA REDUÇÃO DE RUÍDO</v>
      </c>
      <c r="G1818" s="34" t="str">
        <f aca="false">'Uso e Consumo'!J1818</f>
        <v>UN</v>
      </c>
      <c r="H1818" s="49" t="n">
        <f aca="false">'Uso e Consumo'!F1818</f>
        <v>10</v>
      </c>
      <c r="I1818" s="35" t="n">
        <f aca="false">'Uso e Consumo'!G1818</f>
        <v>199.8</v>
      </c>
      <c r="J1818" s="34" t="str">
        <f aca="false">'Uso e Consumo'!M1818</f>
        <v>3.8.1.018 - Instalações hidráulicas/sanitárias/industriais</v>
      </c>
      <c r="K1818" s="32" t="str">
        <f aca="false">INDEX('Curva ABC'!$K$8:$K$2847,MATCH(D1818,'Curva ABC'!$B$8:$B$2847,0))</f>
        <v>C</v>
      </c>
    </row>
    <row r="1819" customFormat="false" ht="15" hidden="false" customHeight="false" outlineLevel="0" collapsed="false">
      <c r="A1819" s="34" t="s">
        <v>5799</v>
      </c>
      <c r="B1819" s="34" t="str">
        <f aca="false">'Uso e Consumo'!A1819</f>
        <v>0335</v>
      </c>
      <c r="C1819" s="34" t="str">
        <f aca="false">'Uso e Consumo'!B1819</f>
        <v>UFV NORONHA VERDE - USO E CONSUMO</v>
      </c>
      <c r="D1819" s="33" t="n">
        <f aca="false">'Uso e Consumo'!C1819</f>
        <v>551137</v>
      </c>
      <c r="E1819" s="34" t="str">
        <f aca="false">'Uso e Consumo'!D1819</f>
        <v>26.01.0074</v>
      </c>
      <c r="F1819" s="34" t="str">
        <f aca="false">'Uso e Consumo'!E1819</f>
        <v>COLETE REFLETIVO PARA SINALEIRO TAM GG</v>
      </c>
      <c r="G1819" s="34" t="str">
        <f aca="false">'Uso e Consumo'!J1819</f>
        <v>UN</v>
      </c>
      <c r="H1819" s="49" t="n">
        <f aca="false">'Uso e Consumo'!F1819</f>
        <v>11</v>
      </c>
      <c r="I1819" s="35" t="n">
        <f aca="false">'Uso e Consumo'!G1819</f>
        <v>199.5</v>
      </c>
      <c r="J1819" s="34" t="str">
        <f aca="false">'Uso e Consumo'!M1819</f>
        <v>4.3.4.001 - Equipamento de proteção individual</v>
      </c>
      <c r="K1819" s="32" t="str">
        <f aca="false">INDEX('Curva ABC'!$K$8:$K$2847,MATCH(D1819,'Curva ABC'!$B$8:$B$2847,0))</f>
        <v>C</v>
      </c>
    </row>
    <row r="1820" customFormat="false" ht="15" hidden="false" customHeight="false" outlineLevel="0" collapsed="false">
      <c r="A1820" s="34" t="s">
        <v>5799</v>
      </c>
      <c r="B1820" s="34" t="str">
        <f aca="false">'Uso e Consumo'!A1820</f>
        <v>0335</v>
      </c>
      <c r="C1820" s="34" t="str">
        <f aca="false">'Uso e Consumo'!B1820</f>
        <v>UFV NORONHA VERDE - USO E CONSUMO</v>
      </c>
      <c r="D1820" s="33" t="n">
        <f aca="false">'Uso e Consumo'!C1820</f>
        <v>23560</v>
      </c>
      <c r="E1820" s="34" t="str">
        <f aca="false">'Uso e Consumo'!D1820</f>
        <v>29.02.0069</v>
      </c>
      <c r="F1820" s="34" t="str">
        <f aca="false">'Uso e Consumo'!E1820</f>
        <v>CADEIRA SECRETÁRIA FIXA 04 PÉS - POLIPROPILENO PRETA SEM APOIO</v>
      </c>
      <c r="G1820" s="34" t="str">
        <f aca="false">'Uso e Consumo'!J1820</f>
        <v>UN</v>
      </c>
      <c r="H1820" s="49" t="n">
        <f aca="false">'Uso e Consumo'!F1820</f>
        <v>1</v>
      </c>
      <c r="I1820" s="35" t="n">
        <f aca="false">'Uso e Consumo'!G1820</f>
        <v>199</v>
      </c>
      <c r="J1820" s="34" t="str">
        <f aca="false">'Uso e Consumo'!M1820</f>
        <v>4.1.1.008 - Mobiliário e acessórios</v>
      </c>
      <c r="K1820" s="32" t="str">
        <f aca="false">INDEX('Curva ABC'!$K$8:$K$2847,MATCH(D1820,'Curva ABC'!$B$8:$B$2847,0))</f>
        <v>C</v>
      </c>
    </row>
    <row r="1821" customFormat="false" ht="15" hidden="false" customHeight="false" outlineLevel="0" collapsed="false">
      <c r="A1821" s="34" t="s">
        <v>5799</v>
      </c>
      <c r="B1821" s="34" t="str">
        <f aca="false">'Uso e Consumo'!A1821</f>
        <v>0335</v>
      </c>
      <c r="C1821" s="34" t="str">
        <f aca="false">'Uso e Consumo'!B1821</f>
        <v>UFV NORONHA VERDE - USO E CONSUMO</v>
      </c>
      <c r="D1821" s="33" t="n">
        <f aca="false">'Uso e Consumo'!C1821</f>
        <v>1610265</v>
      </c>
      <c r="E1821" s="34" t="str">
        <f aca="false">'Uso e Consumo'!D1821</f>
        <v>24.41.0435</v>
      </c>
      <c r="F1821" s="34" t="str">
        <f aca="false">'Uso e Consumo'!E1821</f>
        <v>PUNCAO DE CENTRO 5MM</v>
      </c>
      <c r="G1821" s="34" t="str">
        <f aca="false">'Uso e Consumo'!J1821</f>
        <v>UN</v>
      </c>
      <c r="H1821" s="49" t="n">
        <f aca="false">'Uso e Consumo'!F1821</f>
        <v>4</v>
      </c>
      <c r="I1821" s="35" t="n">
        <f aca="false">'Uso e Consumo'!G1821</f>
        <v>198.36</v>
      </c>
      <c r="J1821" s="34" t="str">
        <f aca="false">'Uso e Consumo'!M1821</f>
        <v>3.8.2.002 - Ferramentas manuais</v>
      </c>
      <c r="K1821" s="32" t="str">
        <f aca="false">INDEX('Curva ABC'!$K$8:$K$2847,MATCH(D1821,'Curva ABC'!$B$8:$B$2847,0))</f>
        <v>C</v>
      </c>
    </row>
    <row r="1822" customFormat="false" ht="15" hidden="false" customHeight="false" outlineLevel="0" collapsed="false">
      <c r="A1822" s="34" t="s">
        <v>5799</v>
      </c>
      <c r="B1822" s="34" t="str">
        <f aca="false">'Uso e Consumo'!A1822</f>
        <v>0335</v>
      </c>
      <c r="C1822" s="34" t="str">
        <f aca="false">'Uso e Consumo'!B1822</f>
        <v>UFV NORONHA VERDE - USO E CONSUMO</v>
      </c>
      <c r="D1822" s="33" t="n">
        <f aca="false">'Uso e Consumo'!C1822</f>
        <v>17956</v>
      </c>
      <c r="E1822" s="34" t="str">
        <f aca="false">'Uso e Consumo'!D1822</f>
        <v>24.09.0050</v>
      </c>
      <c r="F1822" s="34" t="str">
        <f aca="false">'Uso e Consumo'!E1822</f>
        <v>CHAVE COMBINADA 41,00MM AÇO CARBONO CROMADO</v>
      </c>
      <c r="G1822" s="34" t="str">
        <f aca="false">'Uso e Consumo'!J1822</f>
        <v>UN</v>
      </c>
      <c r="H1822" s="49" t="n">
        <f aca="false">'Uso e Consumo'!F1822</f>
        <v>1</v>
      </c>
      <c r="I1822" s="35" t="n">
        <f aca="false">'Uso e Consumo'!G1822</f>
        <v>198</v>
      </c>
      <c r="J1822" s="34" t="str">
        <f aca="false">'Uso e Consumo'!M1822</f>
        <v>3.8.2.002 - Ferramentas manuais</v>
      </c>
      <c r="K1822" s="32" t="str">
        <f aca="false">INDEX('Curva ABC'!$K$8:$K$2847,MATCH(D1822,'Curva ABC'!$B$8:$B$2847,0))</f>
        <v>C</v>
      </c>
    </row>
    <row r="1823" customFormat="false" ht="15" hidden="false" customHeight="false" outlineLevel="0" collapsed="false">
      <c r="A1823" s="34" t="s">
        <v>5799</v>
      </c>
      <c r="B1823" s="34" t="str">
        <f aca="false">'Uso e Consumo'!A1823</f>
        <v>0335</v>
      </c>
      <c r="C1823" s="34" t="str">
        <f aca="false">'Uso e Consumo'!B1823</f>
        <v>UFV NORONHA VERDE - USO E CONSUMO</v>
      </c>
      <c r="D1823" s="33" t="n">
        <f aca="false">'Uso e Consumo'!C1823</f>
        <v>18051</v>
      </c>
      <c r="E1823" s="34" t="str">
        <f aca="false">'Uso e Consumo'!D1823</f>
        <v>24.09.0145</v>
      </c>
      <c r="F1823" s="34" t="str">
        <f aca="false">'Uso e Consumo'!E1823</f>
        <v>CHAVE GRIFO AÇO CR-V 24"</v>
      </c>
      <c r="G1823" s="34" t="str">
        <f aca="false">'Uso e Consumo'!J1823</f>
        <v>UN</v>
      </c>
      <c r="H1823" s="49" t="n">
        <f aca="false">'Uso e Consumo'!F1823</f>
        <v>1</v>
      </c>
      <c r="I1823" s="35" t="n">
        <f aca="false">'Uso e Consumo'!G1823</f>
        <v>198</v>
      </c>
      <c r="J1823" s="34" t="str">
        <f aca="false">'Uso e Consumo'!M1823</f>
        <v>3.8.2.002 - Ferramentas manuais</v>
      </c>
      <c r="K1823" s="32" t="str">
        <f aca="false">INDEX('Curva ABC'!$K$8:$K$2847,MATCH(D1823,'Curva ABC'!$B$8:$B$2847,0))</f>
        <v>C</v>
      </c>
    </row>
    <row r="1824" customFormat="false" ht="15" hidden="false" customHeight="false" outlineLevel="0" collapsed="false">
      <c r="A1824" s="34" t="s">
        <v>5799</v>
      </c>
      <c r="B1824" s="34" t="str">
        <f aca="false">'Uso e Consumo'!A1824</f>
        <v>0335</v>
      </c>
      <c r="C1824" s="34" t="str">
        <f aca="false">'Uso e Consumo'!B1824</f>
        <v>UFV NORONHA VERDE - USO E CONSUMO</v>
      </c>
      <c r="D1824" s="33" t="n">
        <f aca="false">'Uso e Consumo'!C1824</f>
        <v>34551</v>
      </c>
      <c r="E1824" s="34" t="str">
        <f aca="false">'Uso e Consumo'!D1824</f>
        <v>29.03.0096</v>
      </c>
      <c r="F1824" s="34" t="str">
        <f aca="false">'Uso e Consumo'!E1824</f>
        <v>LIQUIDIFICADOR 220V</v>
      </c>
      <c r="G1824" s="34" t="str">
        <f aca="false">'Uso e Consumo'!J1824</f>
        <v>UN</v>
      </c>
      <c r="H1824" s="49" t="n">
        <f aca="false">'Uso e Consumo'!F1824</f>
        <v>2</v>
      </c>
      <c r="I1824" s="35" t="n">
        <f aca="false">'Uso e Consumo'!G1824</f>
        <v>198</v>
      </c>
      <c r="J1824" s="34" t="str">
        <f aca="false">'Uso e Consumo'!M1824</f>
        <v>4.1.1.009 - Eletro eletrônico e acessórios</v>
      </c>
      <c r="K1824" s="32" t="str">
        <f aca="false">INDEX('Curva ABC'!$K$8:$K$2847,MATCH(D1824,'Curva ABC'!$B$8:$B$2847,0))</f>
        <v>C</v>
      </c>
    </row>
    <row r="1825" customFormat="false" ht="15" hidden="false" customHeight="false" outlineLevel="0" collapsed="false">
      <c r="A1825" s="34" t="s">
        <v>5799</v>
      </c>
      <c r="B1825" s="34" t="str">
        <f aca="false">'Uso e Consumo'!A1825</f>
        <v>0335</v>
      </c>
      <c r="C1825" s="34" t="str">
        <f aca="false">'Uso e Consumo'!B1825</f>
        <v>UFV NORONHA VERDE - USO E CONSUMO</v>
      </c>
      <c r="D1825" s="33" t="n">
        <f aca="false">'Uso e Consumo'!C1825</f>
        <v>58449</v>
      </c>
      <c r="E1825" s="34" t="str">
        <f aca="false">'Uso e Consumo'!D1825</f>
        <v>24.22.0007</v>
      </c>
      <c r="F1825" s="34" t="str">
        <f aca="false">'Uso e Consumo'!E1825</f>
        <v>TESOURA CORTA VERGALHÃO DE 18"</v>
      </c>
      <c r="G1825" s="34" t="str">
        <f aca="false">'Uso e Consumo'!J1825</f>
        <v>UN</v>
      </c>
      <c r="H1825" s="49" t="n">
        <f aca="false">'Uso e Consumo'!F1825</f>
        <v>1</v>
      </c>
      <c r="I1825" s="35" t="n">
        <f aca="false">'Uso e Consumo'!G1825</f>
        <v>198</v>
      </c>
      <c r="J1825" s="34" t="str">
        <f aca="false">'Uso e Consumo'!M1825</f>
        <v>3.8.2.002 - Ferramentas manuais</v>
      </c>
      <c r="K1825" s="32" t="str">
        <f aca="false">INDEX('Curva ABC'!$K$8:$K$2847,MATCH(D1825,'Curva ABC'!$B$8:$B$2847,0))</f>
        <v>C</v>
      </c>
    </row>
    <row r="1826" customFormat="false" ht="15" hidden="false" customHeight="false" outlineLevel="0" collapsed="false">
      <c r="A1826" s="34" t="s">
        <v>5799</v>
      </c>
      <c r="B1826" s="34" t="str">
        <f aca="false">'Uso e Consumo'!A1826</f>
        <v>0335</v>
      </c>
      <c r="C1826" s="34" t="str">
        <f aca="false">'Uso e Consumo'!B1826</f>
        <v>UFV NORONHA VERDE - USO E CONSUMO</v>
      </c>
      <c r="D1826" s="33" t="n">
        <f aca="false">'Uso e Consumo'!C1826</f>
        <v>35255</v>
      </c>
      <c r="E1826" s="34" t="str">
        <f aca="false">'Uso e Consumo'!D1826</f>
        <v>23.02.0251</v>
      </c>
      <c r="F1826" s="34" t="str">
        <f aca="false">'Uso e Consumo'!E1826</f>
        <v>ABRAÇADEIRA NYLON 3,6MM X 292MM</v>
      </c>
      <c r="G1826" s="34" t="str">
        <f aca="false">'Uso e Consumo'!J1826</f>
        <v>UN</v>
      </c>
      <c r="H1826" s="49" t="n">
        <f aca="false">'Uso e Consumo'!F1826</f>
        <v>6</v>
      </c>
      <c r="I1826" s="35" t="n">
        <f aca="false">'Uso e Consumo'!G1826</f>
        <v>197.88</v>
      </c>
      <c r="J1826" s="34" t="str">
        <f aca="false">'Uso e Consumo'!M1826</f>
        <v>3.8.1.022 - Elementos de fixação</v>
      </c>
      <c r="K1826" s="32" t="str">
        <f aca="false">INDEX('Curva ABC'!$K$8:$K$2847,MATCH(D1826,'Curva ABC'!$B$8:$B$2847,0))</f>
        <v>C</v>
      </c>
    </row>
    <row r="1827" customFormat="false" ht="15" hidden="false" customHeight="false" outlineLevel="0" collapsed="false">
      <c r="A1827" s="34" t="s">
        <v>5799</v>
      </c>
      <c r="B1827" s="34" t="str">
        <f aca="false">'Uso e Consumo'!A1827</f>
        <v>0335</v>
      </c>
      <c r="C1827" s="34" t="str">
        <f aca="false">'Uso e Consumo'!B1827</f>
        <v>UFV NORONHA VERDE - USO E CONSUMO</v>
      </c>
      <c r="D1827" s="33" t="n">
        <f aca="false">'Uso e Consumo'!C1827</f>
        <v>1475442</v>
      </c>
      <c r="E1827" s="34" t="str">
        <f aca="false">'Uso e Consumo'!D1827</f>
        <v>17.05.0127</v>
      </c>
      <c r="F1827" s="34" t="str">
        <f aca="false">'Uso e Consumo'!E1827</f>
        <v>PORCA ELETRODUTO Ø1.1/2" ALUMÍNIO</v>
      </c>
      <c r="G1827" s="34" t="str">
        <f aca="false">'Uso e Consumo'!J1827</f>
        <v>UN</v>
      </c>
      <c r="H1827" s="49" t="n">
        <f aca="false">'Uso e Consumo'!F1827</f>
        <v>48</v>
      </c>
      <c r="I1827" s="35" t="n">
        <f aca="false">'Uso e Consumo'!G1827</f>
        <v>197.76</v>
      </c>
      <c r="J1827" s="34" t="str">
        <f aca="false">'Uso e Consumo'!M1827</f>
        <v>3.8.1.017 - Instalações elétricas/telefônicas/lógica</v>
      </c>
      <c r="K1827" s="32" t="str">
        <f aca="false">INDEX('Curva ABC'!$K$8:$K$2847,MATCH(D1827,'Curva ABC'!$B$8:$B$2847,0))</f>
        <v>C</v>
      </c>
    </row>
    <row r="1828" customFormat="false" ht="15" hidden="false" customHeight="false" outlineLevel="0" collapsed="false">
      <c r="A1828" s="34" t="s">
        <v>5799</v>
      </c>
      <c r="B1828" s="34" t="str">
        <f aca="false">'Uso e Consumo'!A1828</f>
        <v>0335</v>
      </c>
      <c r="C1828" s="34" t="str">
        <f aca="false">'Uso e Consumo'!B1828</f>
        <v>UFV NORONHA VERDE - USO E CONSUMO</v>
      </c>
      <c r="D1828" s="33" t="n">
        <f aca="false">'Uso e Consumo'!C1828</f>
        <v>1249040</v>
      </c>
      <c r="E1828" s="34" t="str">
        <f aca="false">'Uso e Consumo'!D1828</f>
        <v>30.05.0240</v>
      </c>
      <c r="F1828" s="34" t="str">
        <f aca="false">'Uso e Consumo'!E1828</f>
        <v>COXINHA GOURMET</v>
      </c>
      <c r="G1828" s="34" t="str">
        <f aca="false">'Uso e Consumo'!J1828</f>
        <v>UN</v>
      </c>
      <c r="H1828" s="49" t="n">
        <f aca="false">'Uso e Consumo'!F1828</f>
        <v>2.82</v>
      </c>
      <c r="I1828" s="35" t="n">
        <f aca="false">'Uso e Consumo'!G1828</f>
        <v>197.26</v>
      </c>
      <c r="J1828" s="34" t="str">
        <f aca="false">'Uso e Consumo'!M1828</f>
        <v>4.3.6.007 - Refeições</v>
      </c>
      <c r="K1828" s="32" t="str">
        <f aca="false">INDEX('Curva ABC'!$K$8:$K$2847,MATCH(D1828,'Curva ABC'!$B$8:$B$2847,0))</f>
        <v>C</v>
      </c>
    </row>
    <row r="1829" customFormat="false" ht="15" hidden="false" customHeight="false" outlineLevel="0" collapsed="false">
      <c r="A1829" s="34" t="s">
        <v>5799</v>
      </c>
      <c r="B1829" s="34" t="str">
        <f aca="false">'Uso e Consumo'!A1829</f>
        <v>0335</v>
      </c>
      <c r="C1829" s="34" t="str">
        <f aca="false">'Uso e Consumo'!B1829</f>
        <v>UFV NORONHA VERDE - USO E CONSUMO</v>
      </c>
      <c r="D1829" s="33" t="n">
        <f aca="false">'Uso e Consumo'!C1829</f>
        <v>477757</v>
      </c>
      <c r="E1829" s="34" t="str">
        <f aca="false">'Uso e Consumo'!D1829</f>
        <v>24.09.0438</v>
      </c>
      <c r="F1829" s="34" t="str">
        <f aca="false">'Uso e Consumo'!E1829</f>
        <v>CHAVE COMBINADA 19</v>
      </c>
      <c r="G1829" s="34" t="str">
        <f aca="false">'Uso e Consumo'!J1829</f>
        <v>UN</v>
      </c>
      <c r="H1829" s="49" t="n">
        <f aca="false">'Uso e Consumo'!F1829</f>
        <v>8</v>
      </c>
      <c r="I1829" s="35" t="n">
        <f aca="false">'Uso e Consumo'!G1829</f>
        <v>197.2</v>
      </c>
      <c r="J1829" s="34" t="str">
        <f aca="false">'Uso e Consumo'!M1829</f>
        <v>3.8.2.002 - Ferramentas manuais</v>
      </c>
      <c r="K1829" s="32" t="str">
        <f aca="false">INDEX('Curva ABC'!$K$8:$K$2847,MATCH(D1829,'Curva ABC'!$B$8:$B$2847,0))</f>
        <v>C</v>
      </c>
    </row>
    <row r="1830" customFormat="false" ht="15" hidden="false" customHeight="false" outlineLevel="0" collapsed="false">
      <c r="A1830" s="34" t="s">
        <v>5799</v>
      </c>
      <c r="B1830" s="34" t="str">
        <f aca="false">'Uso e Consumo'!A1830</f>
        <v>0335</v>
      </c>
      <c r="C1830" s="34" t="str">
        <f aca="false">'Uso e Consumo'!B1830</f>
        <v>UFV NORONHA VERDE - USO E CONSUMO</v>
      </c>
      <c r="D1830" s="33" t="n">
        <f aca="false">'Uso e Consumo'!C1830</f>
        <v>650876</v>
      </c>
      <c r="E1830" s="34" t="str">
        <f aca="false">'Uso e Consumo'!D1830</f>
        <v>23.05.0226</v>
      </c>
      <c r="F1830" s="34" t="str">
        <f aca="false">'Uso e Consumo'!E1830</f>
        <v>ARRUELA M16 QUADRADA  - RUDLOFF - Cod. 1032</v>
      </c>
      <c r="G1830" s="34" t="str">
        <f aca="false">'Uso e Consumo'!J1830</f>
        <v>UN</v>
      </c>
      <c r="H1830" s="49" t="n">
        <f aca="false">'Uso e Consumo'!F1830</f>
        <v>86</v>
      </c>
      <c r="I1830" s="35" t="n">
        <f aca="false">'Uso e Consumo'!G1830</f>
        <v>196.32</v>
      </c>
      <c r="J1830" s="34" t="str">
        <f aca="false">'Uso e Consumo'!M1830</f>
        <v>3.8.1.022 - Elementos de fixação</v>
      </c>
      <c r="K1830" s="32" t="str">
        <f aca="false">INDEX('Curva ABC'!$K$8:$K$2847,MATCH(D1830,'Curva ABC'!$B$8:$B$2847,0))</f>
        <v>C</v>
      </c>
    </row>
    <row r="1831" customFormat="false" ht="15" hidden="false" customHeight="false" outlineLevel="0" collapsed="false">
      <c r="A1831" s="34" t="s">
        <v>5799</v>
      </c>
      <c r="B1831" s="34" t="str">
        <f aca="false">'Uso e Consumo'!A1831</f>
        <v>0335</v>
      </c>
      <c r="C1831" s="34" t="str">
        <f aca="false">'Uso e Consumo'!B1831</f>
        <v>UFV NORONHA VERDE - USO E CONSUMO</v>
      </c>
      <c r="D1831" s="33" t="n">
        <f aca="false">'Uso e Consumo'!C1831</f>
        <v>60676</v>
      </c>
      <c r="E1831" s="34" t="str">
        <f aca="false">'Uso e Consumo'!D1831</f>
        <v>26.02.0093</v>
      </c>
      <c r="F1831" s="34" t="str">
        <f aca="false">'Uso e Consumo'!E1831</f>
        <v>BOTA IMPERMEÁVEL DE PVC CANO CURTO - COR PRETA - Nº 42 (CA-26629/10199/28286)</v>
      </c>
      <c r="G1831" s="34" t="str">
        <f aca="false">'Uso e Consumo'!J1831</f>
        <v>PAR</v>
      </c>
      <c r="H1831" s="49" t="n">
        <f aca="false">'Uso e Consumo'!F1831</f>
        <v>2</v>
      </c>
      <c r="I1831" s="35" t="n">
        <f aca="false">'Uso e Consumo'!G1831</f>
        <v>196</v>
      </c>
      <c r="J1831" s="34" t="str">
        <f aca="false">'Uso e Consumo'!M1831</f>
        <v>4.3.4.001 - Equipamento de proteção individual</v>
      </c>
      <c r="K1831" s="32" t="str">
        <f aca="false">INDEX('Curva ABC'!$K$8:$K$2847,MATCH(D1831,'Curva ABC'!$B$8:$B$2847,0))</f>
        <v>C</v>
      </c>
    </row>
    <row r="1832" customFormat="false" ht="15" hidden="false" customHeight="false" outlineLevel="0" collapsed="false">
      <c r="A1832" s="34" t="s">
        <v>5799</v>
      </c>
      <c r="B1832" s="34" t="str">
        <f aca="false">'Uso e Consumo'!A1832</f>
        <v>0335</v>
      </c>
      <c r="C1832" s="34" t="str">
        <f aca="false">'Uso e Consumo'!B1832</f>
        <v>UFV NORONHA VERDE - USO E CONSUMO</v>
      </c>
      <c r="D1832" s="33" t="n">
        <f aca="false">'Uso e Consumo'!C1832</f>
        <v>89195</v>
      </c>
      <c r="E1832" s="34" t="str">
        <f aca="false">'Uso e Consumo'!D1832</f>
        <v>27.02.0080</v>
      </c>
      <c r="F1832" s="34" t="str">
        <f aca="false">'Uso e Consumo'!E1832</f>
        <v>GLICOSIMETRO / MEDIDOR DE GLICOSE NO SANGUE</v>
      </c>
      <c r="G1832" s="34" t="str">
        <f aca="false">'Uso e Consumo'!J1832</f>
        <v>UN</v>
      </c>
      <c r="H1832" s="49" t="n">
        <f aca="false">'Uso e Consumo'!F1832</f>
        <v>2</v>
      </c>
      <c r="I1832" s="35" t="n">
        <f aca="false">'Uso e Consumo'!G1832</f>
        <v>196</v>
      </c>
      <c r="J1832" s="34" t="str">
        <f aca="false">'Uso e Consumo'!M1832</f>
        <v>4.3.4.007 - Mobiliário médico/equipamentos/acessórios</v>
      </c>
      <c r="K1832" s="32" t="str">
        <f aca="false">INDEX('Curva ABC'!$K$8:$K$2847,MATCH(D1832,'Curva ABC'!$B$8:$B$2847,0))</f>
        <v>C</v>
      </c>
    </row>
    <row r="1833" customFormat="false" ht="15" hidden="false" customHeight="false" outlineLevel="0" collapsed="false">
      <c r="A1833" s="34" t="s">
        <v>5799</v>
      </c>
      <c r="B1833" s="34" t="str">
        <f aca="false">'Uso e Consumo'!A1833</f>
        <v>0335</v>
      </c>
      <c r="C1833" s="34" t="str">
        <f aca="false">'Uso e Consumo'!B1833</f>
        <v>UFV NORONHA VERDE - USO E CONSUMO</v>
      </c>
      <c r="D1833" s="33" t="n">
        <f aca="false">'Uso e Consumo'!C1833</f>
        <v>292288</v>
      </c>
      <c r="E1833" s="34" t="str">
        <f aca="false">'Uso e Consumo'!D1833</f>
        <v>17.20.0361</v>
      </c>
      <c r="F1833" s="34" t="str">
        <f aca="false">'Uso e Consumo'!E1833</f>
        <v>PRESILHAS BIPARTIDAS DE LATÃO ESTANHADO PARA DOIS CABOS 70MM² E FURO Ø18MM </v>
      </c>
      <c r="G1833" s="34" t="str">
        <f aca="false">'Uso e Consumo'!J1833</f>
        <v>UN</v>
      </c>
      <c r="H1833" s="49" t="n">
        <f aca="false">'Uso e Consumo'!F1833</f>
        <v>100</v>
      </c>
      <c r="I1833" s="35" t="n">
        <f aca="false">'Uso e Consumo'!G1833</f>
        <v>196</v>
      </c>
      <c r="J1833" s="34" t="str">
        <f aca="false">'Uso e Consumo'!M1833</f>
        <v>3.8.1.017 - Instalações elétricas/telefônicas/lógica</v>
      </c>
      <c r="K1833" s="32" t="str">
        <f aca="false">INDEX('Curva ABC'!$K$8:$K$2847,MATCH(D1833,'Curva ABC'!$B$8:$B$2847,0))</f>
        <v>C</v>
      </c>
    </row>
    <row r="1834" customFormat="false" ht="15" hidden="false" customHeight="false" outlineLevel="0" collapsed="false">
      <c r="A1834" s="34" t="s">
        <v>5799</v>
      </c>
      <c r="B1834" s="34" t="str">
        <f aca="false">'Uso e Consumo'!A1834</f>
        <v>0335</v>
      </c>
      <c r="C1834" s="34" t="str">
        <f aca="false">'Uso e Consumo'!B1834</f>
        <v>UFV NORONHA VERDE - USO E CONSUMO</v>
      </c>
      <c r="D1834" s="33" t="n">
        <f aca="false">'Uso e Consumo'!C1834</f>
        <v>853176</v>
      </c>
      <c r="E1834" s="34" t="str">
        <f aca="false">'Uso e Consumo'!D1834</f>
        <v>17.02.0701</v>
      </c>
      <c r="F1834" s="34" t="str">
        <f aca="false">'Uso e Consumo'!E1834</f>
        <v>ELETRODUTO PEAD FLEXÍVEL 25MM² OU SUPERIOR </v>
      </c>
      <c r="G1834" s="34" t="str">
        <f aca="false">'Uso e Consumo'!J1834</f>
        <v>M</v>
      </c>
      <c r="H1834" s="49" t="n">
        <f aca="false">'Uso e Consumo'!F1834</f>
        <v>20</v>
      </c>
      <c r="I1834" s="35" t="n">
        <f aca="false">'Uso e Consumo'!G1834</f>
        <v>196</v>
      </c>
      <c r="J1834" s="34" t="str">
        <f aca="false">'Uso e Consumo'!M1834</f>
        <v>3.8.1.017 - Instalações elétricas/telefônicas/lógica</v>
      </c>
      <c r="K1834" s="32" t="str">
        <f aca="false">INDEX('Curva ABC'!$K$8:$K$2847,MATCH(D1834,'Curva ABC'!$B$8:$B$2847,0))</f>
        <v>C</v>
      </c>
    </row>
    <row r="1835" customFormat="false" ht="15" hidden="false" customHeight="false" outlineLevel="0" collapsed="false">
      <c r="A1835" s="34" t="s">
        <v>5799</v>
      </c>
      <c r="B1835" s="34" t="str">
        <f aca="false">'Uso e Consumo'!A1835</f>
        <v>0335</v>
      </c>
      <c r="C1835" s="34" t="str">
        <f aca="false">'Uso e Consumo'!B1835</f>
        <v>UFV NORONHA VERDE - USO E CONSUMO</v>
      </c>
      <c r="D1835" s="33" t="n">
        <f aca="false">'Uso e Consumo'!C1835</f>
        <v>1388691</v>
      </c>
      <c r="E1835" s="34" t="str">
        <f aca="false">'Uso e Consumo'!D1835</f>
        <v>24.08.0150</v>
      </c>
      <c r="F1835" s="34" t="str">
        <f aca="false">'Uso e Consumo'!E1835</f>
        <v>ALICATE CORTE DIAGONAL  6.1/2''</v>
      </c>
      <c r="G1835" s="34" t="str">
        <f aca="false">'Uso e Consumo'!J1835</f>
        <v>UN</v>
      </c>
      <c r="H1835" s="49" t="n">
        <f aca="false">'Uso e Consumo'!F1835</f>
        <v>2</v>
      </c>
      <c r="I1835" s="35" t="n">
        <f aca="false">'Uso e Consumo'!G1835</f>
        <v>196</v>
      </c>
      <c r="J1835" s="34" t="str">
        <f aca="false">'Uso e Consumo'!M1835</f>
        <v>3.8.2.002 - Ferramentas manuais</v>
      </c>
      <c r="K1835" s="32" t="str">
        <f aca="false">INDEX('Curva ABC'!$K$8:$K$2847,MATCH(D1835,'Curva ABC'!$B$8:$B$2847,0))</f>
        <v>C</v>
      </c>
    </row>
    <row r="1836" customFormat="false" ht="15" hidden="false" customHeight="false" outlineLevel="0" collapsed="false">
      <c r="A1836" s="34" t="s">
        <v>5799</v>
      </c>
      <c r="B1836" s="34" t="str">
        <f aca="false">'Uso e Consumo'!A1836</f>
        <v>0335</v>
      </c>
      <c r="C1836" s="34" t="str">
        <f aca="false">'Uso e Consumo'!B1836</f>
        <v>UFV NORONHA VERDE - USO E CONSUMO</v>
      </c>
      <c r="D1836" s="33" t="n">
        <f aca="false">'Uso e Consumo'!C1836</f>
        <v>1488427</v>
      </c>
      <c r="E1836" s="34" t="str">
        <f aca="false">'Uso e Consumo'!D1836</f>
        <v>26.02.0235</v>
      </c>
      <c r="F1836" s="34" t="str">
        <f aca="false">'Uso e Consumo'!E1836</f>
        <v>BOTA CANO CURTO NUMERO 37</v>
      </c>
      <c r="G1836" s="34" t="str">
        <f aca="false">'Uso e Consumo'!J1836</f>
        <v>UN</v>
      </c>
      <c r="H1836" s="49" t="n">
        <f aca="false">'Uso e Consumo'!F1836</f>
        <v>2</v>
      </c>
      <c r="I1836" s="35" t="n">
        <f aca="false">'Uso e Consumo'!G1836</f>
        <v>196</v>
      </c>
      <c r="J1836" s="34" t="str">
        <f aca="false">'Uso e Consumo'!M1836</f>
        <v>4.3.4.001 - Equipamento de proteção individual</v>
      </c>
      <c r="K1836" s="32" t="str">
        <f aca="false">INDEX('Curva ABC'!$K$8:$K$2847,MATCH(D1836,'Curva ABC'!$B$8:$B$2847,0))</f>
        <v>C</v>
      </c>
    </row>
    <row r="1837" customFormat="false" ht="15" hidden="false" customHeight="false" outlineLevel="0" collapsed="false">
      <c r="A1837" s="34" t="s">
        <v>5799</v>
      </c>
      <c r="B1837" s="34" t="str">
        <f aca="false">'Uso e Consumo'!A1837</f>
        <v>0335</v>
      </c>
      <c r="C1837" s="34" t="str">
        <f aca="false">'Uso e Consumo'!B1837</f>
        <v>UFV NORONHA VERDE - USO E CONSUMO</v>
      </c>
      <c r="D1837" s="33" t="n">
        <f aca="false">'Uso e Consumo'!C1837</f>
        <v>1464477</v>
      </c>
      <c r="E1837" s="34" t="str">
        <f aca="false">'Uso e Consumo'!D1837</f>
        <v>06.04.0075</v>
      </c>
      <c r="F1837" s="34" t="str">
        <f aca="false">'Uso e Consumo'!E1837</f>
        <v>JUNTA DE DILATAÇÃO EM PLÁSTICO 1,08M</v>
      </c>
      <c r="G1837" s="34" t="str">
        <f aca="false">'Uso e Consumo'!J1837</f>
        <v>UN</v>
      </c>
      <c r="H1837" s="49" t="n">
        <f aca="false">'Uso e Consumo'!F1837</f>
        <v>50</v>
      </c>
      <c r="I1837" s="35" t="n">
        <f aca="false">'Uso e Consumo'!G1837</f>
        <v>195.5</v>
      </c>
      <c r="J1837" s="34" t="str">
        <f aca="false">'Uso e Consumo'!M1837</f>
        <v>3.8.1.006 - Aditivos e produtos químicos</v>
      </c>
      <c r="K1837" s="32" t="str">
        <f aca="false">INDEX('Curva ABC'!$K$8:$K$2847,MATCH(D1837,'Curva ABC'!$B$8:$B$2847,0))</f>
        <v>C</v>
      </c>
    </row>
    <row r="1838" customFormat="false" ht="15" hidden="false" customHeight="false" outlineLevel="0" collapsed="false">
      <c r="A1838" s="34" t="s">
        <v>5799</v>
      </c>
      <c r="B1838" s="34" t="str">
        <f aca="false">'Uso e Consumo'!A1838</f>
        <v>0335</v>
      </c>
      <c r="C1838" s="34" t="str">
        <f aca="false">'Uso e Consumo'!B1838</f>
        <v>UFV NORONHA VERDE - USO E CONSUMO</v>
      </c>
      <c r="D1838" s="33" t="n">
        <f aca="false">'Uso e Consumo'!C1838</f>
        <v>844081</v>
      </c>
      <c r="E1838" s="34" t="str">
        <f aca="false">'Uso e Consumo'!D1838</f>
        <v>17.12.0437</v>
      </c>
      <c r="F1838" s="34" t="str">
        <f aca="false">'Uso e Consumo'!E1838</f>
        <v>TOMADA SIMPLES PARA CONDULETE 3/4" 2P+T 20A</v>
      </c>
      <c r="G1838" s="34" t="str">
        <f aca="false">'Uso e Consumo'!J1838</f>
        <v>UN</v>
      </c>
      <c r="H1838" s="49" t="n">
        <f aca="false">'Uso e Consumo'!F1838</f>
        <v>25</v>
      </c>
      <c r="I1838" s="35" t="n">
        <f aca="false">'Uso e Consumo'!G1838</f>
        <v>194.5</v>
      </c>
      <c r="J1838" s="34" t="str">
        <f aca="false">'Uso e Consumo'!M1838</f>
        <v>3.8.1.017 - Instalações elétricas/telefônicas/lógica</v>
      </c>
      <c r="K1838" s="32" t="str">
        <f aca="false">INDEX('Curva ABC'!$K$8:$K$2847,MATCH(D1838,'Curva ABC'!$B$8:$B$2847,0))</f>
        <v>C</v>
      </c>
    </row>
    <row r="1839" customFormat="false" ht="15" hidden="false" customHeight="false" outlineLevel="0" collapsed="false">
      <c r="A1839" s="34" t="s">
        <v>5799</v>
      </c>
      <c r="B1839" s="34" t="str">
        <f aca="false">'Uso e Consumo'!A1839</f>
        <v>0335</v>
      </c>
      <c r="C1839" s="34" t="str">
        <f aca="false">'Uso e Consumo'!B1839</f>
        <v>UFV NORONHA VERDE - USO E CONSUMO</v>
      </c>
      <c r="D1839" s="33" t="n">
        <f aca="false">'Uso e Consumo'!C1839</f>
        <v>34600</v>
      </c>
      <c r="E1839" s="34" t="str">
        <f aca="false">'Uso e Consumo'!D1839</f>
        <v>17.12.0243</v>
      </c>
      <c r="F1839" s="34" t="str">
        <f aca="false">'Uso e Consumo'!E1839</f>
        <v>TOMADA 2P+T  20A  250V UNIVERSAL RETANGULAR COM  TAMPA,  PLACA E SUPORTE</v>
      </c>
      <c r="G1839" s="34" t="str">
        <f aca="false">'Uso e Consumo'!J1839</f>
        <v>UN</v>
      </c>
      <c r="H1839" s="49" t="n">
        <f aca="false">'Uso e Consumo'!F1839</f>
        <v>18</v>
      </c>
      <c r="I1839" s="35" t="n">
        <f aca="false">'Uso e Consumo'!G1839</f>
        <v>194.4</v>
      </c>
      <c r="J1839" s="34" t="str">
        <f aca="false">'Uso e Consumo'!M1839</f>
        <v>3.8.1.017 - Instalações elétricas/telefônicas/lógica</v>
      </c>
      <c r="K1839" s="32" t="str">
        <f aca="false">INDEX('Curva ABC'!$K$8:$K$2847,MATCH(D1839,'Curva ABC'!$B$8:$B$2847,0))</f>
        <v>C</v>
      </c>
    </row>
    <row r="1840" customFormat="false" ht="15" hidden="false" customHeight="false" outlineLevel="0" collapsed="false">
      <c r="A1840" s="34" t="s">
        <v>5799</v>
      </c>
      <c r="B1840" s="34" t="str">
        <f aca="false">'Uso e Consumo'!A1840</f>
        <v>0335</v>
      </c>
      <c r="C1840" s="34" t="str">
        <f aca="false">'Uso e Consumo'!B1840</f>
        <v>UFV NORONHA VERDE - USO E CONSUMO</v>
      </c>
      <c r="D1840" s="33" t="n">
        <f aca="false">'Uso e Consumo'!C1840</f>
        <v>1461933</v>
      </c>
      <c r="E1840" s="34" t="str">
        <f aca="false">'Uso e Consumo'!D1840</f>
        <v>23.05.0289</v>
      </c>
      <c r="F1840" s="34" t="str">
        <f aca="false">'Uso e Consumo'!E1840</f>
        <v>ARRUELA LISA INOX 1/2"</v>
      </c>
      <c r="G1840" s="34" t="str">
        <f aca="false">'Uso e Consumo'!J1840</f>
        <v>UN</v>
      </c>
      <c r="H1840" s="49" t="n">
        <f aca="false">'Uso e Consumo'!F1840</f>
        <v>212</v>
      </c>
      <c r="I1840" s="35" t="n">
        <f aca="false">'Uso e Consumo'!G1840</f>
        <v>194.36</v>
      </c>
      <c r="J1840" s="34" t="str">
        <f aca="false">'Uso e Consumo'!M1840</f>
        <v>3.8.1.022 - Elementos de fixação</v>
      </c>
      <c r="K1840" s="32" t="str">
        <f aca="false">INDEX('Curva ABC'!$K$8:$K$2847,MATCH(D1840,'Curva ABC'!$B$8:$B$2847,0))</f>
        <v>C</v>
      </c>
    </row>
    <row r="1841" customFormat="false" ht="15" hidden="false" customHeight="false" outlineLevel="0" collapsed="false">
      <c r="A1841" s="34" t="s">
        <v>5799</v>
      </c>
      <c r="B1841" s="34" t="str">
        <f aca="false">'Uso e Consumo'!A1841</f>
        <v>0335</v>
      </c>
      <c r="C1841" s="34" t="str">
        <f aca="false">'Uso e Consumo'!B1841</f>
        <v>UFV NORONHA VERDE - USO E CONSUMO</v>
      </c>
      <c r="D1841" s="33" t="n">
        <f aca="false">'Uso e Consumo'!C1841</f>
        <v>20992</v>
      </c>
      <c r="E1841" s="34" t="str">
        <f aca="false">'Uso e Consumo'!D1841</f>
        <v>18.08.0041</v>
      </c>
      <c r="F1841" s="34" t="str">
        <f aca="false">'Uso e Consumo'!E1841</f>
        <v>CAIXA SIFONADA MONTADA PVC 100,00MM X 100,00MM X 50,00MM GRELHA QUADRADO BRANCA</v>
      </c>
      <c r="G1841" s="34" t="str">
        <f aca="false">'Uso e Consumo'!J1841</f>
        <v>UN</v>
      </c>
      <c r="H1841" s="49" t="n">
        <f aca="false">'Uso e Consumo'!F1841</f>
        <v>10</v>
      </c>
      <c r="I1841" s="35" t="n">
        <f aca="false">'Uso e Consumo'!G1841</f>
        <v>194</v>
      </c>
      <c r="J1841" s="34" t="str">
        <f aca="false">'Uso e Consumo'!M1841</f>
        <v>3.8.1.018 - Instalações hidráulicas/sanitárias/industriais</v>
      </c>
      <c r="K1841" s="32" t="str">
        <f aca="false">INDEX('Curva ABC'!$K$8:$K$2847,MATCH(D1841,'Curva ABC'!$B$8:$B$2847,0))</f>
        <v>C</v>
      </c>
    </row>
    <row r="1842" customFormat="false" ht="15" hidden="false" customHeight="false" outlineLevel="0" collapsed="false">
      <c r="A1842" s="34" t="s">
        <v>5799</v>
      </c>
      <c r="B1842" s="34" t="str">
        <f aca="false">'Uso e Consumo'!A1842</f>
        <v>0335</v>
      </c>
      <c r="C1842" s="34" t="str">
        <f aca="false">'Uso e Consumo'!B1842</f>
        <v>UFV NORONHA VERDE - USO E CONSUMO</v>
      </c>
      <c r="D1842" s="33" t="n">
        <f aca="false">'Uso e Consumo'!C1842</f>
        <v>840001</v>
      </c>
      <c r="E1842" s="34" t="str">
        <f aca="false">'Uso e Consumo'!D1842</f>
        <v>18.01.1253</v>
      </c>
      <c r="F1842" s="34" t="str">
        <f aca="false">'Uso e Consumo'!E1842</f>
        <v>JOELHO 90° SOLDÁVEL 25MM, PVC MARROM ÁGUA FRIA - TIGRE</v>
      </c>
      <c r="G1842" s="34" t="str">
        <f aca="false">'Uso e Consumo'!J1842</f>
        <v>UN</v>
      </c>
      <c r="H1842" s="49" t="n">
        <f aca="false">'Uso e Consumo'!F1842</f>
        <v>97</v>
      </c>
      <c r="I1842" s="35" t="n">
        <f aca="false">'Uso e Consumo'!G1842</f>
        <v>193.08</v>
      </c>
      <c r="J1842" s="34" t="str">
        <f aca="false">'Uso e Consumo'!M1842</f>
        <v>3.8.1.018 - Instalações hidráulicas/sanitárias/industriais</v>
      </c>
      <c r="K1842" s="32" t="str">
        <f aca="false">INDEX('Curva ABC'!$K$8:$K$2847,MATCH(D1842,'Curva ABC'!$B$8:$B$2847,0))</f>
        <v>C</v>
      </c>
    </row>
    <row r="1843" customFormat="false" ht="15" hidden="false" customHeight="false" outlineLevel="0" collapsed="false">
      <c r="A1843" s="34" t="s">
        <v>5799</v>
      </c>
      <c r="B1843" s="34" t="str">
        <f aca="false">'Uso e Consumo'!A1843</f>
        <v>0335</v>
      </c>
      <c r="C1843" s="34" t="str">
        <f aca="false">'Uso e Consumo'!B1843</f>
        <v>UFV NORONHA VERDE - USO E CONSUMO</v>
      </c>
      <c r="D1843" s="33" t="n">
        <f aca="false">'Uso e Consumo'!C1843</f>
        <v>16690</v>
      </c>
      <c r="E1843" s="34" t="str">
        <f aca="false">'Uso e Consumo'!D1843</f>
        <v>23.03.0002</v>
      </c>
      <c r="F1843" s="34" t="str">
        <f aca="false">'Uso e Consumo'!E1843</f>
        <v>PREGO COMUM C/CABECA AÇO TEMPERADO 1.1/2" X 12 REF 16 X 18</v>
      </c>
      <c r="G1843" s="34" t="str">
        <f aca="false">'Uso e Consumo'!J1843</f>
        <v>KG</v>
      </c>
      <c r="H1843" s="49" t="n">
        <f aca="false">'Uso e Consumo'!F1843</f>
        <v>4</v>
      </c>
      <c r="I1843" s="35" t="n">
        <f aca="false">'Uso e Consumo'!G1843</f>
        <v>192</v>
      </c>
      <c r="J1843" s="34" t="str">
        <f aca="false">'Uso e Consumo'!M1843</f>
        <v>3.8.1.022 - Elementos de fixação</v>
      </c>
      <c r="K1843" s="32" t="str">
        <f aca="false">INDEX('Curva ABC'!$K$8:$K$2847,MATCH(D1843,'Curva ABC'!$B$8:$B$2847,0))</f>
        <v>C</v>
      </c>
    </row>
    <row r="1844" customFormat="false" ht="15" hidden="false" customHeight="false" outlineLevel="0" collapsed="false">
      <c r="A1844" s="34" t="s">
        <v>5799</v>
      </c>
      <c r="B1844" s="34" t="str">
        <f aca="false">'Uso e Consumo'!A1844</f>
        <v>0335</v>
      </c>
      <c r="C1844" s="34" t="str">
        <f aca="false">'Uso e Consumo'!B1844</f>
        <v>UFV NORONHA VERDE - USO E CONSUMO</v>
      </c>
      <c r="D1844" s="33" t="n">
        <f aca="false">'Uso e Consumo'!C1844</f>
        <v>16715</v>
      </c>
      <c r="E1844" s="34" t="str">
        <f aca="false">'Uso e Consumo'!D1844</f>
        <v>23.03.0027</v>
      </c>
      <c r="F1844" s="34" t="str">
        <f aca="false">'Uso e Consumo'!E1844</f>
        <v>PREGO COMUM C/CABECA AÇO TEMPERADO 2.1/2" X 12 REF 16 X 27</v>
      </c>
      <c r="G1844" s="34" t="str">
        <f aca="false">'Uso e Consumo'!J1844</f>
        <v>KG</v>
      </c>
      <c r="H1844" s="49" t="n">
        <f aca="false">'Uso e Consumo'!F1844</f>
        <v>4</v>
      </c>
      <c r="I1844" s="35" t="n">
        <f aca="false">'Uso e Consumo'!G1844</f>
        <v>192</v>
      </c>
      <c r="J1844" s="34" t="str">
        <f aca="false">'Uso e Consumo'!M1844</f>
        <v>3.8.1.022 - Elementos de fixação</v>
      </c>
      <c r="K1844" s="32" t="str">
        <f aca="false">INDEX('Curva ABC'!$K$8:$K$2847,MATCH(D1844,'Curva ABC'!$B$8:$B$2847,0))</f>
        <v>C</v>
      </c>
    </row>
    <row r="1845" customFormat="false" ht="15" hidden="false" customHeight="false" outlineLevel="0" collapsed="false">
      <c r="A1845" s="34" t="s">
        <v>5799</v>
      </c>
      <c r="B1845" s="34" t="str">
        <f aca="false">'Uso e Consumo'!A1845</f>
        <v>0335</v>
      </c>
      <c r="C1845" s="34" t="str">
        <f aca="false">'Uso e Consumo'!B1845</f>
        <v>UFV NORONHA VERDE - USO E CONSUMO</v>
      </c>
      <c r="D1845" s="33" t="n">
        <f aca="false">'Uso e Consumo'!C1845</f>
        <v>21363</v>
      </c>
      <c r="E1845" s="34" t="str">
        <f aca="false">'Uso e Consumo'!D1845</f>
        <v>24.34.0001</v>
      </c>
      <c r="F1845" s="34" t="str">
        <f aca="false">'Uso e Consumo'!E1845</f>
        <v>COLHER DE PEDREIRO DE 8"</v>
      </c>
      <c r="G1845" s="34" t="str">
        <f aca="false">'Uso e Consumo'!J1845</f>
        <v>UN</v>
      </c>
      <c r="H1845" s="49" t="n">
        <f aca="false">'Uso e Consumo'!F1845</f>
        <v>4</v>
      </c>
      <c r="I1845" s="35" t="n">
        <f aca="false">'Uso e Consumo'!G1845</f>
        <v>192</v>
      </c>
      <c r="J1845" s="34" t="str">
        <f aca="false">'Uso e Consumo'!M1845</f>
        <v>3.8.2.002 - Ferramentas manuais</v>
      </c>
      <c r="K1845" s="32" t="str">
        <f aca="false">INDEX('Curva ABC'!$K$8:$K$2847,MATCH(D1845,'Curva ABC'!$B$8:$B$2847,0))</f>
        <v>C</v>
      </c>
    </row>
    <row r="1846" customFormat="false" ht="15" hidden="false" customHeight="false" outlineLevel="0" collapsed="false">
      <c r="A1846" s="34" t="s">
        <v>5799</v>
      </c>
      <c r="B1846" s="34" t="str">
        <f aca="false">'Uso e Consumo'!A1846</f>
        <v>0335</v>
      </c>
      <c r="C1846" s="34" t="str">
        <f aca="false">'Uso e Consumo'!B1846</f>
        <v>UFV NORONHA VERDE - USO E CONSUMO</v>
      </c>
      <c r="D1846" s="33" t="n">
        <f aca="false">'Uso e Consumo'!C1846</f>
        <v>477769</v>
      </c>
      <c r="E1846" s="34" t="str">
        <f aca="false">'Uso e Consumo'!D1846</f>
        <v>24.09.0440</v>
      </c>
      <c r="F1846" s="34" t="str">
        <f aca="false">'Uso e Consumo'!E1846</f>
        <v>CHAVE COMBINADA 13</v>
      </c>
      <c r="G1846" s="34" t="str">
        <f aca="false">'Uso e Consumo'!J1846</f>
        <v>UN</v>
      </c>
      <c r="H1846" s="49" t="n">
        <f aca="false">'Uso e Consumo'!F1846</f>
        <v>4</v>
      </c>
      <c r="I1846" s="35" t="n">
        <f aca="false">'Uso e Consumo'!G1846</f>
        <v>192</v>
      </c>
      <c r="J1846" s="34" t="str">
        <f aca="false">'Uso e Consumo'!M1846</f>
        <v>3.8.2.002 - Ferramentas manuais</v>
      </c>
      <c r="K1846" s="32" t="str">
        <f aca="false">INDEX('Curva ABC'!$K$8:$K$2847,MATCH(D1846,'Curva ABC'!$B$8:$B$2847,0))</f>
        <v>C</v>
      </c>
    </row>
    <row r="1847" customFormat="false" ht="15" hidden="false" customHeight="false" outlineLevel="0" collapsed="false">
      <c r="A1847" s="34" t="s">
        <v>5799</v>
      </c>
      <c r="B1847" s="34" t="str">
        <f aca="false">'Uso e Consumo'!A1847</f>
        <v>0335</v>
      </c>
      <c r="C1847" s="34" t="str">
        <f aca="false">'Uso e Consumo'!B1847</f>
        <v>UFV NORONHA VERDE - USO E CONSUMO</v>
      </c>
      <c r="D1847" s="33" t="n">
        <f aca="false">'Uso e Consumo'!C1847</f>
        <v>872302</v>
      </c>
      <c r="E1847" s="34" t="str">
        <f aca="false">'Uso e Consumo'!D1847</f>
        <v>17.16.0483</v>
      </c>
      <c r="F1847" s="34" t="str">
        <f aca="false">'Uso e Consumo'!E1847</f>
        <v>TERMINAL OLHAL PARA CABO 4MM</v>
      </c>
      <c r="G1847" s="34" t="str">
        <f aca="false">'Uso e Consumo'!J1847</f>
        <v>UN</v>
      </c>
      <c r="H1847" s="49" t="n">
        <f aca="false">'Uso e Consumo'!F1847</f>
        <v>366</v>
      </c>
      <c r="I1847" s="35" t="n">
        <f aca="false">'Uso e Consumo'!G1847</f>
        <v>191.54</v>
      </c>
      <c r="J1847" s="34" t="str">
        <f aca="false">'Uso e Consumo'!M1847</f>
        <v>3.8.1.017 - Instalações elétricas/telefônicas/lógica</v>
      </c>
      <c r="K1847" s="32" t="str">
        <f aca="false">INDEX('Curva ABC'!$K$8:$K$2847,MATCH(D1847,'Curva ABC'!$B$8:$B$2847,0))</f>
        <v>C</v>
      </c>
    </row>
    <row r="1848" customFormat="false" ht="15" hidden="false" customHeight="false" outlineLevel="0" collapsed="false">
      <c r="A1848" s="34" t="s">
        <v>5799</v>
      </c>
      <c r="B1848" s="34" t="str">
        <f aca="false">'Uso e Consumo'!A1848</f>
        <v>0335</v>
      </c>
      <c r="C1848" s="34" t="str">
        <f aca="false">'Uso e Consumo'!B1848</f>
        <v>UFV NORONHA VERDE - USO E CONSUMO</v>
      </c>
      <c r="D1848" s="33" t="n">
        <f aca="false">'Uso e Consumo'!C1848</f>
        <v>1465405</v>
      </c>
      <c r="E1848" s="34" t="str">
        <f aca="false">'Uso e Consumo'!D1848</f>
        <v>17.01.1247</v>
      </c>
      <c r="F1848" s="34" t="str">
        <f aca="false">'Uso e Consumo'!E1848</f>
        <v>CABO MONOPOLAR 2,5 MM², EM COBRE NU, TÊMPERA MOLE, CLASSE 5, TENSÃO 750 V, EM PVC, 70 °C, COR BRANCO</v>
      </c>
      <c r="G1848" s="34" t="str">
        <f aca="false">'Uso e Consumo'!J1848</f>
        <v>M</v>
      </c>
      <c r="H1848" s="49" t="n">
        <f aca="false">'Uso e Consumo'!F1848</f>
        <v>70</v>
      </c>
      <c r="I1848" s="35" t="n">
        <f aca="false">'Uso e Consumo'!G1848</f>
        <v>190.4</v>
      </c>
      <c r="J1848" s="34" t="str">
        <f aca="false">'Uso e Consumo'!M1848</f>
        <v>3.8.1.017 - Instalações elétricas/telefônicas/lógica</v>
      </c>
      <c r="K1848" s="32" t="str">
        <f aca="false">INDEX('Curva ABC'!$K$8:$K$2847,MATCH(D1848,'Curva ABC'!$B$8:$B$2847,0))</f>
        <v>C</v>
      </c>
    </row>
    <row r="1849" customFormat="false" ht="15" hidden="false" customHeight="false" outlineLevel="0" collapsed="false">
      <c r="A1849" s="34" t="s">
        <v>5799</v>
      </c>
      <c r="B1849" s="34" t="str">
        <f aca="false">'Uso e Consumo'!A1849</f>
        <v>0335</v>
      </c>
      <c r="C1849" s="34" t="str">
        <f aca="false">'Uso e Consumo'!B1849</f>
        <v>UFV NORONHA VERDE - USO E CONSUMO</v>
      </c>
      <c r="D1849" s="33" t="n">
        <f aca="false">'Uso e Consumo'!C1849</f>
        <v>1471980</v>
      </c>
      <c r="E1849" s="34" t="str">
        <f aca="false">'Uso e Consumo'!D1849</f>
        <v>23.10.0068</v>
      </c>
      <c r="F1849" s="34" t="str">
        <f aca="false">'Uso e Consumo'!E1849</f>
        <v>CHUMBADOR DE EXPANSÃO TIPO PARABOLT, AÇO CARBONO ZINCADO (HDG) M12x95</v>
      </c>
      <c r="G1849" s="34" t="str">
        <f aca="false">'Uso e Consumo'!J1849</f>
        <v>UN</v>
      </c>
      <c r="H1849" s="49" t="n">
        <f aca="false">'Uso e Consumo'!F1849</f>
        <v>56</v>
      </c>
      <c r="I1849" s="35" t="n">
        <f aca="false">'Uso e Consumo'!G1849</f>
        <v>190.4</v>
      </c>
      <c r="J1849" s="34" t="str">
        <f aca="false">'Uso e Consumo'!M1849</f>
        <v>3.8.1.022 - Elementos de fixação</v>
      </c>
      <c r="K1849" s="32" t="str">
        <f aca="false">INDEX('Curva ABC'!$K$8:$K$2847,MATCH(D1849,'Curva ABC'!$B$8:$B$2847,0))</f>
        <v>C</v>
      </c>
    </row>
    <row r="1850" customFormat="false" ht="15" hidden="false" customHeight="false" outlineLevel="0" collapsed="false">
      <c r="A1850" s="34" t="s">
        <v>5799</v>
      </c>
      <c r="B1850" s="34" t="str">
        <f aca="false">'Uso e Consumo'!A1850</f>
        <v>0335</v>
      </c>
      <c r="C1850" s="34" t="str">
        <f aca="false">'Uso e Consumo'!B1850</f>
        <v>UFV NORONHA VERDE - USO E CONSUMO</v>
      </c>
      <c r="D1850" s="33" t="n">
        <f aca="false">'Uso e Consumo'!C1850</f>
        <v>19087</v>
      </c>
      <c r="E1850" s="34" t="str">
        <f aca="false">'Uso e Consumo'!D1850</f>
        <v>29.01.0010</v>
      </c>
      <c r="F1850" s="34" t="str">
        <f aca="false">'Uso e Consumo'!E1850</f>
        <v>CABO DE FORÇA TRIPOLAR 1,5M PADRÃO NOVO</v>
      </c>
      <c r="G1850" s="34" t="str">
        <f aca="false">'Uso e Consumo'!J1850</f>
        <v>UN</v>
      </c>
      <c r="H1850" s="49" t="n">
        <f aca="false">'Uso e Consumo'!F1850</f>
        <v>2</v>
      </c>
      <c r="I1850" s="35" t="n">
        <f aca="false">'Uso e Consumo'!G1850</f>
        <v>190</v>
      </c>
      <c r="J1850" s="34" t="str">
        <f aca="false">'Uso e Consumo'!M1850</f>
        <v>4.1.1.007 - Equipamentos e acessórios para informática</v>
      </c>
      <c r="K1850" s="32" t="str">
        <f aca="false">INDEX('Curva ABC'!$K$8:$K$2847,MATCH(D1850,'Curva ABC'!$B$8:$B$2847,0))</f>
        <v>C</v>
      </c>
    </row>
    <row r="1851" customFormat="false" ht="15" hidden="false" customHeight="false" outlineLevel="0" collapsed="false">
      <c r="A1851" s="34" t="s">
        <v>5799</v>
      </c>
      <c r="B1851" s="34" t="str">
        <f aca="false">'Uso e Consumo'!A1851</f>
        <v>0335</v>
      </c>
      <c r="C1851" s="34" t="str">
        <f aca="false">'Uso e Consumo'!B1851</f>
        <v>UFV NORONHA VERDE - USO E CONSUMO</v>
      </c>
      <c r="D1851" s="33" t="n">
        <f aca="false">'Uso e Consumo'!C1851</f>
        <v>21922</v>
      </c>
      <c r="E1851" s="34" t="str">
        <f aca="false">'Uso e Consumo'!D1851</f>
        <v>24.32.0003</v>
      </c>
      <c r="F1851" s="34" t="str">
        <f aca="false">'Uso e Consumo'!E1851</f>
        <v>BOLSA DE LONA PARA FERRAMENTAS COM FUNDO EMBORRACHADO</v>
      </c>
      <c r="G1851" s="34" t="str">
        <f aca="false">'Uso e Consumo'!J1851</f>
        <v>UN</v>
      </c>
      <c r="H1851" s="49" t="n">
        <f aca="false">'Uso e Consumo'!F1851</f>
        <v>1</v>
      </c>
      <c r="I1851" s="35" t="n">
        <f aca="false">'Uso e Consumo'!G1851</f>
        <v>190</v>
      </c>
      <c r="J1851" s="34" t="str">
        <f aca="false">'Uso e Consumo'!M1851</f>
        <v>6.1.2.002 - Ferramentas e utensílios</v>
      </c>
      <c r="K1851" s="32" t="str">
        <f aca="false">INDEX('Curva ABC'!$K$8:$K$2847,MATCH(D1851,'Curva ABC'!$B$8:$B$2847,0))</f>
        <v>C</v>
      </c>
    </row>
    <row r="1852" customFormat="false" ht="15" hidden="false" customHeight="false" outlineLevel="0" collapsed="false">
      <c r="A1852" s="34" t="s">
        <v>5799</v>
      </c>
      <c r="B1852" s="34" t="str">
        <f aca="false">'Uso e Consumo'!A1852</f>
        <v>0335</v>
      </c>
      <c r="C1852" s="34" t="str">
        <f aca="false">'Uso e Consumo'!B1852</f>
        <v>UFV NORONHA VERDE - USO E CONSUMO</v>
      </c>
      <c r="D1852" s="33" t="n">
        <f aca="false">'Uso e Consumo'!C1852</f>
        <v>555468</v>
      </c>
      <c r="E1852" s="34" t="str">
        <f aca="false">'Uso e Consumo'!D1852</f>
        <v>24.32.0028</v>
      </c>
      <c r="F1852" s="34" t="str">
        <f aca="false">'Uso e Consumo'!E1852</f>
        <v>BOLSA LONA PARA FERRAMENTAS 35CMX50CM</v>
      </c>
      <c r="G1852" s="34" t="str">
        <f aca="false">'Uso e Consumo'!J1852</f>
        <v>UN</v>
      </c>
      <c r="H1852" s="49" t="n">
        <f aca="false">'Uso e Consumo'!F1852</f>
        <v>1</v>
      </c>
      <c r="I1852" s="35" t="n">
        <f aca="false">'Uso e Consumo'!G1852</f>
        <v>190</v>
      </c>
      <c r="J1852" s="34" t="str">
        <f aca="false">'Uso e Consumo'!M1852</f>
        <v>6.1.2.002 - Ferramentas e utensílios</v>
      </c>
      <c r="K1852" s="32" t="str">
        <f aca="false">INDEX('Curva ABC'!$K$8:$K$2847,MATCH(D1852,'Curva ABC'!$B$8:$B$2847,0))</f>
        <v>C</v>
      </c>
    </row>
    <row r="1853" customFormat="false" ht="15" hidden="false" customHeight="false" outlineLevel="0" collapsed="false">
      <c r="A1853" s="34" t="s">
        <v>5799</v>
      </c>
      <c r="B1853" s="34" t="str">
        <f aca="false">'Uso e Consumo'!A1853</f>
        <v>0335</v>
      </c>
      <c r="C1853" s="34" t="str">
        <f aca="false">'Uso e Consumo'!B1853</f>
        <v>UFV NORONHA VERDE - USO E CONSUMO</v>
      </c>
      <c r="D1853" s="33" t="n">
        <f aca="false">'Uso e Consumo'!C1853</f>
        <v>555674</v>
      </c>
      <c r="E1853" s="34" t="str">
        <f aca="false">'Uso e Consumo'!D1853</f>
        <v>25.01.0161</v>
      </c>
      <c r="F1853" s="34" t="str">
        <f aca="false">'Uso e Consumo'!E1853</f>
        <v>DISCO DE CORTE PARA INOX 4.1/2" X 1.0MM X 7/8" BNA12 EXTRA NORTON</v>
      </c>
      <c r="G1853" s="34" t="str">
        <f aca="false">'Uso e Consumo'!J1853</f>
        <v>UN</v>
      </c>
      <c r="H1853" s="49" t="n">
        <f aca="false">'Uso e Consumo'!F1853</f>
        <v>100</v>
      </c>
      <c r="I1853" s="35" t="n">
        <f aca="false">'Uso e Consumo'!G1853</f>
        <v>190</v>
      </c>
      <c r="J1853" s="34" t="str">
        <f aca="false">'Uso e Consumo'!M1853</f>
        <v>3.8.2.004 - Consumíveis para corte, perfuração e desbaste</v>
      </c>
      <c r="K1853" s="32" t="str">
        <f aca="false">INDEX('Curva ABC'!$K$8:$K$2847,MATCH(D1853,'Curva ABC'!$B$8:$B$2847,0))</f>
        <v>C</v>
      </c>
    </row>
    <row r="1854" customFormat="false" ht="15" hidden="false" customHeight="false" outlineLevel="0" collapsed="false">
      <c r="A1854" s="34" t="s">
        <v>5799</v>
      </c>
      <c r="B1854" s="34" t="str">
        <f aca="false">'Uso e Consumo'!A1854</f>
        <v>0335</v>
      </c>
      <c r="C1854" s="34" t="str">
        <f aca="false">'Uso e Consumo'!B1854</f>
        <v>UFV NORONHA VERDE - USO E CONSUMO</v>
      </c>
      <c r="D1854" s="33" t="n">
        <f aca="false">'Uso e Consumo'!C1854</f>
        <v>17942</v>
      </c>
      <c r="E1854" s="34" t="str">
        <f aca="false">'Uso e Consumo'!D1854</f>
        <v>24.09.0036</v>
      </c>
      <c r="F1854" s="34" t="str">
        <f aca="false">'Uso e Consumo'!E1854</f>
        <v>CHAVE COMBINADA 17,00MM AÇO CARBONO CROMADO</v>
      </c>
      <c r="G1854" s="34" t="str">
        <f aca="false">'Uso e Consumo'!J1854</f>
        <v>UN</v>
      </c>
      <c r="H1854" s="49" t="n">
        <f aca="false">'Uso e Consumo'!F1854</f>
        <v>5</v>
      </c>
      <c r="I1854" s="35" t="n">
        <f aca="false">'Uso e Consumo'!G1854</f>
        <v>189.34</v>
      </c>
      <c r="J1854" s="34" t="str">
        <f aca="false">'Uso e Consumo'!M1854</f>
        <v>3.8.2.002 - Ferramentas manuais</v>
      </c>
      <c r="K1854" s="32" t="str">
        <f aca="false">INDEX('Curva ABC'!$K$8:$K$2847,MATCH(D1854,'Curva ABC'!$B$8:$B$2847,0))</f>
        <v>C</v>
      </c>
    </row>
    <row r="1855" customFormat="false" ht="15" hidden="false" customHeight="false" outlineLevel="0" collapsed="false">
      <c r="A1855" s="34" t="s">
        <v>5799</v>
      </c>
      <c r="B1855" s="34" t="str">
        <f aca="false">'Uso e Consumo'!A1855</f>
        <v>0335</v>
      </c>
      <c r="C1855" s="34" t="str">
        <f aca="false">'Uso e Consumo'!B1855</f>
        <v>UFV NORONHA VERDE - USO E CONSUMO</v>
      </c>
      <c r="D1855" s="33" t="n">
        <f aca="false">'Uso e Consumo'!C1855</f>
        <v>228499</v>
      </c>
      <c r="E1855" s="34" t="str">
        <f aca="false">'Uso e Consumo'!D1855</f>
        <v>17.07.0037</v>
      </c>
      <c r="F1855" s="34" t="str">
        <f aca="false">'Uso e Consumo'!E1855</f>
        <v>CAIXA DE PASSAGEM 4" X 2" AMARELA</v>
      </c>
      <c r="G1855" s="34" t="str">
        <f aca="false">'Uso e Consumo'!J1855</f>
        <v>UN</v>
      </c>
      <c r="H1855" s="49" t="n">
        <f aca="false">'Uso e Consumo'!F1855</f>
        <v>43</v>
      </c>
      <c r="I1855" s="35" t="n">
        <f aca="false">'Uso e Consumo'!G1855</f>
        <v>188.74</v>
      </c>
      <c r="J1855" s="34" t="str">
        <f aca="false">'Uso e Consumo'!M1855</f>
        <v>3.8.1.017 - Instalações elétricas/telefônicas/lógica</v>
      </c>
      <c r="K1855" s="32" t="str">
        <f aca="false">INDEX('Curva ABC'!$K$8:$K$2847,MATCH(D1855,'Curva ABC'!$B$8:$B$2847,0))</f>
        <v>C</v>
      </c>
    </row>
    <row r="1856" customFormat="false" ht="15" hidden="false" customHeight="false" outlineLevel="0" collapsed="false">
      <c r="A1856" s="34" t="s">
        <v>5799</v>
      </c>
      <c r="B1856" s="34" t="str">
        <f aca="false">'Uso e Consumo'!A1856</f>
        <v>0335</v>
      </c>
      <c r="C1856" s="34" t="str">
        <f aca="false">'Uso e Consumo'!B1856</f>
        <v>UFV NORONHA VERDE - USO E CONSUMO</v>
      </c>
      <c r="D1856" s="33" t="n">
        <f aca="false">'Uso e Consumo'!C1856</f>
        <v>1607238</v>
      </c>
      <c r="E1856" s="34" t="str">
        <f aca="false">'Uso e Consumo'!D1856</f>
        <v>23.02.0487</v>
      </c>
      <c r="F1856" s="34" t="str">
        <f aca="false">'Uso e Consumo'!E1856</f>
        <v>ABRACADEIRA 3.1/2</v>
      </c>
      <c r="G1856" s="34" t="str">
        <f aca="false">'Uso e Consumo'!J1856</f>
        <v>UN</v>
      </c>
      <c r="H1856" s="49" t="n">
        <f aca="false">'Uso e Consumo'!F1856</f>
        <v>8</v>
      </c>
      <c r="I1856" s="35" t="n">
        <f aca="false">'Uso e Consumo'!G1856</f>
        <v>188</v>
      </c>
      <c r="J1856" s="34" t="str">
        <f aca="false">'Uso e Consumo'!M1856</f>
        <v>3.8.1.022 - Elementos de fixação</v>
      </c>
      <c r="K1856" s="32" t="str">
        <f aca="false">INDEX('Curva ABC'!$K$8:$K$2847,MATCH(D1856,'Curva ABC'!$B$8:$B$2847,0))</f>
        <v>C</v>
      </c>
    </row>
    <row r="1857" customFormat="false" ht="15" hidden="false" customHeight="false" outlineLevel="0" collapsed="false">
      <c r="A1857" s="34" t="s">
        <v>5799</v>
      </c>
      <c r="B1857" s="34" t="str">
        <f aca="false">'Uso e Consumo'!A1857</f>
        <v>0335</v>
      </c>
      <c r="C1857" s="34" t="str">
        <f aca="false">'Uso e Consumo'!B1857</f>
        <v>UFV NORONHA VERDE - USO E CONSUMO</v>
      </c>
      <c r="D1857" s="33" t="n">
        <f aca="false">'Uso e Consumo'!C1857</f>
        <v>280119</v>
      </c>
      <c r="E1857" s="34" t="str">
        <f aca="false">'Uso e Consumo'!D1857</f>
        <v>18.01.1082</v>
      </c>
      <c r="F1857" s="34" t="str">
        <f aca="false">'Uso e Consumo'!E1857</f>
        <v>CURVA PVC 45º SOLDÁVEL 3/4 </v>
      </c>
      <c r="G1857" s="34" t="str">
        <f aca="false">'Uso e Consumo'!J1857</f>
        <v>UN</v>
      </c>
      <c r="H1857" s="49" t="n">
        <f aca="false">'Uso e Consumo'!F1857</f>
        <v>71</v>
      </c>
      <c r="I1857" s="35" t="n">
        <f aca="false">'Uso e Consumo'!G1857</f>
        <v>187.44</v>
      </c>
      <c r="J1857" s="34" t="str">
        <f aca="false">'Uso e Consumo'!M1857</f>
        <v>3.8.1.018 - Instalações hidráulicas/sanitárias/industriais</v>
      </c>
      <c r="K1857" s="32" t="str">
        <f aca="false">INDEX('Curva ABC'!$K$8:$K$2847,MATCH(D1857,'Curva ABC'!$B$8:$B$2847,0))</f>
        <v>C</v>
      </c>
    </row>
    <row r="1858" customFormat="false" ht="15" hidden="false" customHeight="false" outlineLevel="0" collapsed="false">
      <c r="A1858" s="34" t="s">
        <v>5799</v>
      </c>
      <c r="B1858" s="34" t="str">
        <f aca="false">'Uso e Consumo'!A1858</f>
        <v>0335</v>
      </c>
      <c r="C1858" s="34" t="str">
        <f aca="false">'Uso e Consumo'!B1858</f>
        <v>UFV NORONHA VERDE - USO E CONSUMO</v>
      </c>
      <c r="D1858" s="33" t="n">
        <f aca="false">'Uso e Consumo'!C1858</f>
        <v>24124</v>
      </c>
      <c r="E1858" s="34" t="str">
        <f aca="false">'Uso e Consumo'!D1858</f>
        <v>33.02.0299</v>
      </c>
      <c r="F1858" s="34" t="str">
        <f aca="false">'Uso e Consumo'!E1858</f>
        <v>MACACO HIDRÁULICO 6 TON</v>
      </c>
      <c r="G1858" s="34" t="str">
        <f aca="false">'Uso e Consumo'!J1858</f>
        <v>UN</v>
      </c>
      <c r="H1858" s="49" t="n">
        <f aca="false">'Uso e Consumo'!F1858</f>
        <v>1</v>
      </c>
      <c r="I1858" s="35" t="n">
        <f aca="false">'Uso e Consumo'!G1858</f>
        <v>187</v>
      </c>
      <c r="J1858" s="34" t="str">
        <f aca="false">'Uso e Consumo'!M1858</f>
        <v>3.1.6.002 - Pneus e peças</v>
      </c>
      <c r="K1858" s="32" t="str">
        <f aca="false">INDEX('Curva ABC'!$K$8:$K$2847,MATCH(D1858,'Curva ABC'!$B$8:$B$2847,0))</f>
        <v>C</v>
      </c>
    </row>
    <row r="1859" customFormat="false" ht="15" hidden="false" customHeight="false" outlineLevel="0" collapsed="false">
      <c r="A1859" s="34" t="s">
        <v>5799</v>
      </c>
      <c r="B1859" s="34" t="str">
        <f aca="false">'Uso e Consumo'!A1859</f>
        <v>0335</v>
      </c>
      <c r="C1859" s="34" t="str">
        <f aca="false">'Uso e Consumo'!B1859</f>
        <v>UFV NORONHA VERDE - USO E CONSUMO</v>
      </c>
      <c r="D1859" s="33" t="n">
        <f aca="false">'Uso e Consumo'!C1859</f>
        <v>557442</v>
      </c>
      <c r="E1859" s="34" t="str">
        <f aca="false">'Uso e Consumo'!D1859</f>
        <v>30.03.0350</v>
      </c>
      <c r="F1859" s="34" t="str">
        <f aca="false">'Uso e Consumo'!E1859</f>
        <v>MOP PARA LIMPEZA TIPO ESFREGÃO 2 EM 1 VASSOURA GIRATÓRIA</v>
      </c>
      <c r="G1859" s="34" t="str">
        <f aca="false">'Uso e Consumo'!J1859</f>
        <v>UN</v>
      </c>
      <c r="H1859" s="49" t="n">
        <f aca="false">'Uso e Consumo'!F1859</f>
        <v>2</v>
      </c>
      <c r="I1859" s="35" t="n">
        <f aca="false">'Uso e Consumo'!G1859</f>
        <v>186.58</v>
      </c>
      <c r="J1859" s="34" t="str">
        <f aca="false">'Uso e Consumo'!M1859</f>
        <v>4.1.1.003 - Material limpeza</v>
      </c>
      <c r="K1859" s="32" t="str">
        <f aca="false">INDEX('Curva ABC'!$K$8:$K$2847,MATCH(D1859,'Curva ABC'!$B$8:$B$2847,0))</f>
        <v>C</v>
      </c>
    </row>
    <row r="1860" customFormat="false" ht="15" hidden="false" customHeight="false" outlineLevel="0" collapsed="false">
      <c r="A1860" s="34" t="s">
        <v>5799</v>
      </c>
      <c r="B1860" s="34" t="str">
        <f aca="false">'Uso e Consumo'!A1860</f>
        <v>0335</v>
      </c>
      <c r="C1860" s="34" t="str">
        <f aca="false">'Uso e Consumo'!B1860</f>
        <v>UFV NORONHA VERDE - USO E CONSUMO</v>
      </c>
      <c r="D1860" s="33" t="n">
        <f aca="false">'Uso e Consumo'!C1860</f>
        <v>22870</v>
      </c>
      <c r="E1860" s="34" t="str">
        <f aca="false">'Uso e Consumo'!D1860</f>
        <v>23.07.0716</v>
      </c>
      <c r="F1860" s="34" t="str">
        <f aca="false">'Uso e Consumo'!E1860</f>
        <v>PARAFUSO INOX 1/4X2 SEXT NC RT</v>
      </c>
      <c r="G1860" s="34" t="str">
        <f aca="false">'Uso e Consumo'!J1860</f>
        <v>UN</v>
      </c>
      <c r="H1860" s="49" t="n">
        <f aca="false">'Uso e Consumo'!F1860</f>
        <v>162</v>
      </c>
      <c r="I1860" s="35" t="n">
        <f aca="false">'Uso e Consumo'!G1860</f>
        <v>186.36</v>
      </c>
      <c r="J1860" s="34" t="str">
        <f aca="false">'Uso e Consumo'!M1860</f>
        <v>3.8.1.022 - Elementos de fixação</v>
      </c>
      <c r="K1860" s="32" t="str">
        <f aca="false">INDEX('Curva ABC'!$K$8:$K$2847,MATCH(D1860,'Curva ABC'!$B$8:$B$2847,0))</f>
        <v>C</v>
      </c>
    </row>
    <row r="1861" customFormat="false" ht="15" hidden="false" customHeight="false" outlineLevel="0" collapsed="false">
      <c r="A1861" s="34" t="s">
        <v>5799</v>
      </c>
      <c r="B1861" s="34" t="str">
        <f aca="false">'Uso e Consumo'!A1861</f>
        <v>0335</v>
      </c>
      <c r="C1861" s="34" t="str">
        <f aca="false">'Uso e Consumo'!B1861</f>
        <v>UFV NORONHA VERDE - USO E CONSUMO</v>
      </c>
      <c r="D1861" s="33" t="n">
        <f aca="false">'Uso e Consumo'!C1861</f>
        <v>1063854</v>
      </c>
      <c r="E1861" s="34" t="str">
        <f aca="false">'Uso e Consumo'!D1861</f>
        <v>26.02.0207</v>
      </c>
      <c r="F1861" s="34" t="str">
        <f aca="false">'Uso e Consumo'!E1861</f>
        <v>BOTA BOTINA NOBUCK MARLUVAS 50B26 PALM ANTIPERFURO COMPOSITE TAM 35</v>
      </c>
      <c r="G1861" s="34" t="str">
        <f aca="false">'Uso e Consumo'!J1861</f>
        <v>UN</v>
      </c>
      <c r="H1861" s="49" t="n">
        <f aca="false">'Uso e Consumo'!F1861</f>
        <v>1</v>
      </c>
      <c r="I1861" s="35" t="n">
        <f aca="false">'Uso e Consumo'!G1861</f>
        <v>186</v>
      </c>
      <c r="J1861" s="34" t="str">
        <f aca="false">'Uso e Consumo'!M1861</f>
        <v>4.3.4.001 - Equipamento de proteção individual</v>
      </c>
      <c r="K1861" s="32" t="str">
        <f aca="false">INDEX('Curva ABC'!$K$8:$K$2847,MATCH(D1861,'Curva ABC'!$B$8:$B$2847,0))</f>
        <v>C</v>
      </c>
    </row>
    <row r="1862" customFormat="false" ht="15" hidden="false" customHeight="false" outlineLevel="0" collapsed="false">
      <c r="A1862" s="34" t="s">
        <v>5799</v>
      </c>
      <c r="B1862" s="34" t="str">
        <f aca="false">'Uso e Consumo'!A1862</f>
        <v>0335</v>
      </c>
      <c r="C1862" s="34" t="str">
        <f aca="false">'Uso e Consumo'!B1862</f>
        <v>UFV NORONHA VERDE - USO E CONSUMO</v>
      </c>
      <c r="D1862" s="33" t="n">
        <f aca="false">'Uso e Consumo'!C1862</f>
        <v>1063857</v>
      </c>
      <c r="E1862" s="34" t="str">
        <f aca="false">'Uso e Consumo'!D1862</f>
        <v>26.02.0210</v>
      </c>
      <c r="F1862" s="34" t="str">
        <f aca="false">'Uso e Consumo'!E1862</f>
        <v>BOTA BOTINA NOBUCK MARLUVAS 50B26 PALM ANTIPERFURO COMPOSITE TAM 38</v>
      </c>
      <c r="G1862" s="34" t="str">
        <f aca="false">'Uso e Consumo'!J1862</f>
        <v>UN</v>
      </c>
      <c r="H1862" s="49" t="n">
        <f aca="false">'Uso e Consumo'!F1862</f>
        <v>1</v>
      </c>
      <c r="I1862" s="35" t="n">
        <f aca="false">'Uso e Consumo'!G1862</f>
        <v>186</v>
      </c>
      <c r="J1862" s="34" t="str">
        <f aca="false">'Uso e Consumo'!M1862</f>
        <v>4.3.4.001 - Equipamento de proteção individual</v>
      </c>
      <c r="K1862" s="32" t="str">
        <f aca="false">INDEX('Curva ABC'!$K$8:$K$2847,MATCH(D1862,'Curva ABC'!$B$8:$B$2847,0))</f>
        <v>C</v>
      </c>
    </row>
    <row r="1863" customFormat="false" ht="15" hidden="false" customHeight="false" outlineLevel="0" collapsed="false">
      <c r="A1863" s="34" t="s">
        <v>5799</v>
      </c>
      <c r="B1863" s="34" t="str">
        <f aca="false">'Uso e Consumo'!A1863</f>
        <v>0335</v>
      </c>
      <c r="C1863" s="34" t="str">
        <f aca="false">'Uso e Consumo'!B1863</f>
        <v>UFV NORONHA VERDE - USO E CONSUMO</v>
      </c>
      <c r="D1863" s="33" t="n">
        <f aca="false">'Uso e Consumo'!C1863</f>
        <v>1063859</v>
      </c>
      <c r="E1863" s="34" t="str">
        <f aca="false">'Uso e Consumo'!D1863</f>
        <v>26.02.0212</v>
      </c>
      <c r="F1863" s="34" t="str">
        <f aca="false">'Uso e Consumo'!E1863</f>
        <v>BOTA BOTINA NOBUCK MARLUVAS 50B26 PALM ANTIPERFURO COMPOSITE TAM 40</v>
      </c>
      <c r="G1863" s="34" t="str">
        <f aca="false">'Uso e Consumo'!J1863</f>
        <v>UN</v>
      </c>
      <c r="H1863" s="49" t="n">
        <f aca="false">'Uso e Consumo'!F1863</f>
        <v>1</v>
      </c>
      <c r="I1863" s="35" t="n">
        <f aca="false">'Uso e Consumo'!G1863</f>
        <v>186</v>
      </c>
      <c r="J1863" s="34" t="str">
        <f aca="false">'Uso e Consumo'!M1863</f>
        <v>4.3.4.001 - Equipamento de proteção individual</v>
      </c>
      <c r="K1863" s="32" t="str">
        <f aca="false">INDEX('Curva ABC'!$K$8:$K$2847,MATCH(D1863,'Curva ABC'!$B$8:$B$2847,0))</f>
        <v>C</v>
      </c>
    </row>
    <row r="1864" customFormat="false" ht="15" hidden="false" customHeight="false" outlineLevel="0" collapsed="false">
      <c r="A1864" s="34" t="s">
        <v>5799</v>
      </c>
      <c r="B1864" s="34" t="str">
        <f aca="false">'Uso e Consumo'!A1864</f>
        <v>0335</v>
      </c>
      <c r="C1864" s="34" t="str">
        <f aca="false">'Uso e Consumo'!B1864</f>
        <v>UFV NORONHA VERDE - USO E CONSUMO</v>
      </c>
      <c r="D1864" s="33" t="n">
        <f aca="false">'Uso e Consumo'!C1864</f>
        <v>352396</v>
      </c>
      <c r="E1864" s="34" t="str">
        <f aca="false">'Uso e Consumo'!D1864</f>
        <v>24.41.0126</v>
      </c>
      <c r="F1864" s="34" t="str">
        <f aca="false">'Uso e Consumo'!E1864</f>
        <v>GRAMPO SARGENTO TIPO C Nº 04</v>
      </c>
      <c r="G1864" s="34" t="str">
        <f aca="false">'Uso e Consumo'!J1864</f>
        <v>UN</v>
      </c>
      <c r="H1864" s="49" t="n">
        <f aca="false">'Uso e Consumo'!F1864</f>
        <v>4</v>
      </c>
      <c r="I1864" s="35" t="n">
        <f aca="false">'Uso e Consumo'!G1864</f>
        <v>182.9</v>
      </c>
      <c r="J1864" s="34" t="str">
        <f aca="false">'Uso e Consumo'!M1864</f>
        <v>3.8.2.002 - Ferramentas manuais</v>
      </c>
      <c r="K1864" s="32" t="str">
        <f aca="false">INDEX('Curva ABC'!$K$8:$K$2847,MATCH(D1864,'Curva ABC'!$B$8:$B$2847,0))</f>
        <v>C</v>
      </c>
    </row>
    <row r="1865" customFormat="false" ht="15" hidden="false" customHeight="false" outlineLevel="0" collapsed="false">
      <c r="A1865" s="34" t="s">
        <v>5799</v>
      </c>
      <c r="B1865" s="34" t="str">
        <f aca="false">'Uso e Consumo'!A1865</f>
        <v>0335</v>
      </c>
      <c r="C1865" s="34" t="str">
        <f aca="false">'Uso e Consumo'!B1865</f>
        <v>UFV NORONHA VERDE - USO E CONSUMO</v>
      </c>
      <c r="D1865" s="33" t="n">
        <f aca="false">'Uso e Consumo'!C1865</f>
        <v>17935</v>
      </c>
      <c r="E1865" s="34" t="str">
        <f aca="false">'Uso e Consumo'!D1865</f>
        <v>24.09.0029</v>
      </c>
      <c r="F1865" s="34" t="str">
        <f aca="false">'Uso e Consumo'!E1865</f>
        <v>CHAVE COMBINADA 12,00MM AÇO CARBONO CROMADO</v>
      </c>
      <c r="G1865" s="34" t="str">
        <f aca="false">'Uso e Consumo'!J1865</f>
        <v>UN</v>
      </c>
      <c r="H1865" s="49" t="n">
        <f aca="false">'Uso e Consumo'!F1865</f>
        <v>5</v>
      </c>
      <c r="I1865" s="35" t="n">
        <f aca="false">'Uso e Consumo'!G1865</f>
        <v>182.72</v>
      </c>
      <c r="J1865" s="34" t="str">
        <f aca="false">'Uso e Consumo'!M1865</f>
        <v>3.8.2.002 - Ferramentas manuais</v>
      </c>
      <c r="K1865" s="32" t="str">
        <f aca="false">INDEX('Curva ABC'!$K$8:$K$2847,MATCH(D1865,'Curva ABC'!$B$8:$B$2847,0))</f>
        <v>C</v>
      </c>
    </row>
    <row r="1866" customFormat="false" ht="15" hidden="false" customHeight="false" outlineLevel="0" collapsed="false">
      <c r="A1866" s="34" t="s">
        <v>5799</v>
      </c>
      <c r="B1866" s="34" t="str">
        <f aca="false">'Uso e Consumo'!A1866</f>
        <v>0335</v>
      </c>
      <c r="C1866" s="34" t="str">
        <f aca="false">'Uso e Consumo'!B1866</f>
        <v>UFV NORONHA VERDE - USO E CONSUMO</v>
      </c>
      <c r="D1866" s="33" t="n">
        <f aca="false">'Uso e Consumo'!C1866</f>
        <v>277209</v>
      </c>
      <c r="E1866" s="34" t="str">
        <f aca="false">'Uso e Consumo'!D1866</f>
        <v>26.05.0048</v>
      </c>
      <c r="F1866" s="34" t="str">
        <f aca="false">'Uso e Consumo'!E1866</f>
        <v>ÓCULOS DE SEGURANÇA - KALIPSO VENEZA (CA-35157)</v>
      </c>
      <c r="G1866" s="34" t="str">
        <f aca="false">'Uso e Consumo'!J1866</f>
        <v>UN</v>
      </c>
      <c r="H1866" s="49" t="n">
        <f aca="false">'Uso e Consumo'!F1866</f>
        <v>5</v>
      </c>
      <c r="I1866" s="35" t="n">
        <f aca="false">'Uso e Consumo'!G1866</f>
        <v>182.1</v>
      </c>
      <c r="J1866" s="34" t="str">
        <f aca="false">'Uso e Consumo'!M1866</f>
        <v>4.3.4.001 - Equipamento de proteção individual</v>
      </c>
      <c r="K1866" s="32" t="str">
        <f aca="false">INDEX('Curva ABC'!$K$8:$K$2847,MATCH(D1866,'Curva ABC'!$B$8:$B$2847,0))</f>
        <v>C</v>
      </c>
    </row>
    <row r="1867" customFormat="false" ht="15" hidden="false" customHeight="false" outlineLevel="0" collapsed="false">
      <c r="A1867" s="34" t="s">
        <v>5799</v>
      </c>
      <c r="B1867" s="34" t="str">
        <f aca="false">'Uso e Consumo'!A1867</f>
        <v>0335</v>
      </c>
      <c r="C1867" s="34" t="str">
        <f aca="false">'Uso e Consumo'!B1867</f>
        <v>UFV NORONHA VERDE - USO E CONSUMO</v>
      </c>
      <c r="D1867" s="33" t="n">
        <f aca="false">'Uso e Consumo'!C1867</f>
        <v>1461932</v>
      </c>
      <c r="E1867" s="34" t="str">
        <f aca="false">'Uso e Consumo'!D1867</f>
        <v>23.07.1589</v>
      </c>
      <c r="F1867" s="34" t="str">
        <f aca="false">'Uso e Consumo'!E1867</f>
        <v>PARAFUSO SEXTAVADO INOX M10 X 100MM</v>
      </c>
      <c r="G1867" s="34" t="str">
        <f aca="false">'Uso e Consumo'!J1867</f>
        <v>UN</v>
      </c>
      <c r="H1867" s="49" t="n">
        <f aca="false">'Uso e Consumo'!F1867</f>
        <v>31</v>
      </c>
      <c r="I1867" s="35" t="n">
        <f aca="false">'Uso e Consumo'!G1867</f>
        <v>181.21</v>
      </c>
      <c r="J1867" s="34" t="str">
        <f aca="false">'Uso e Consumo'!M1867</f>
        <v>3.8.1.022 - Elementos de fixação</v>
      </c>
      <c r="K1867" s="32" t="str">
        <f aca="false">INDEX('Curva ABC'!$K$8:$K$2847,MATCH(D1867,'Curva ABC'!$B$8:$B$2847,0))</f>
        <v>C</v>
      </c>
    </row>
    <row r="1868" customFormat="false" ht="15" hidden="false" customHeight="false" outlineLevel="0" collapsed="false">
      <c r="A1868" s="34" t="s">
        <v>5799</v>
      </c>
      <c r="B1868" s="34" t="str">
        <f aca="false">'Uso e Consumo'!A1868</f>
        <v>0335</v>
      </c>
      <c r="C1868" s="34" t="str">
        <f aca="false">'Uso e Consumo'!B1868</f>
        <v>UFV NORONHA VERDE - USO E CONSUMO</v>
      </c>
      <c r="D1868" s="33" t="n">
        <f aca="false">'Uso e Consumo'!C1868</f>
        <v>34189</v>
      </c>
      <c r="E1868" s="34" t="str">
        <f aca="false">'Uso e Consumo'!D1868</f>
        <v>26.02.0059</v>
      </c>
      <c r="F1868" s="34" t="str">
        <f aca="false">'Uso e Consumo'!E1868</f>
        <v>BOTA IMPERMEÁVEL DE PVC CANO LONGO - COR BRANCA - Nº 43 (CA-26629/10199/28286)</v>
      </c>
      <c r="G1868" s="34" t="str">
        <f aca="false">'Uso e Consumo'!J1868</f>
        <v>PAR</v>
      </c>
      <c r="H1868" s="49" t="n">
        <f aca="false">'Uso e Consumo'!F1868</f>
        <v>1</v>
      </c>
      <c r="I1868" s="35" t="n">
        <f aca="false">'Uso e Consumo'!G1868</f>
        <v>180</v>
      </c>
      <c r="J1868" s="34" t="str">
        <f aca="false">'Uso e Consumo'!M1868</f>
        <v>4.3.4.001 - Equipamento de proteção individual</v>
      </c>
      <c r="K1868" s="32" t="str">
        <f aca="false">INDEX('Curva ABC'!$K$8:$K$2847,MATCH(D1868,'Curva ABC'!$B$8:$B$2847,0))</f>
        <v>C</v>
      </c>
    </row>
    <row r="1869" customFormat="false" ht="15" hidden="false" customHeight="false" outlineLevel="0" collapsed="false">
      <c r="A1869" s="34" t="s">
        <v>5799</v>
      </c>
      <c r="B1869" s="34" t="str">
        <f aca="false">'Uso e Consumo'!A1869</f>
        <v>0335</v>
      </c>
      <c r="C1869" s="34" t="str">
        <f aca="false">'Uso e Consumo'!B1869</f>
        <v>UFV NORONHA VERDE - USO E CONSUMO</v>
      </c>
      <c r="D1869" s="33" t="n">
        <f aca="false">'Uso e Consumo'!C1869</f>
        <v>53936</v>
      </c>
      <c r="E1869" s="34" t="str">
        <f aca="false">'Uso e Consumo'!D1869</f>
        <v>17.16.0114</v>
      </c>
      <c r="F1869" s="34" t="str">
        <f aca="false">'Uso e Consumo'!E1869</f>
        <v>TERMINAL DE COMPRESSÃO 25MM</v>
      </c>
      <c r="G1869" s="34" t="str">
        <f aca="false">'Uso e Consumo'!J1869</f>
        <v>UN</v>
      </c>
      <c r="H1869" s="49" t="n">
        <f aca="false">'Uso e Consumo'!F1869</f>
        <v>10</v>
      </c>
      <c r="I1869" s="35" t="n">
        <f aca="false">'Uso e Consumo'!G1869</f>
        <v>180</v>
      </c>
      <c r="J1869" s="34" t="str">
        <f aca="false">'Uso e Consumo'!M1869</f>
        <v>3.8.1.017 - Instalações elétricas/telefônicas/lógica</v>
      </c>
      <c r="K1869" s="32" t="str">
        <f aca="false">INDEX('Curva ABC'!$K$8:$K$2847,MATCH(D1869,'Curva ABC'!$B$8:$B$2847,0))</f>
        <v>C</v>
      </c>
    </row>
    <row r="1870" customFormat="false" ht="15" hidden="false" customHeight="false" outlineLevel="0" collapsed="false">
      <c r="A1870" s="34" t="s">
        <v>5799</v>
      </c>
      <c r="B1870" s="34" t="str">
        <f aca="false">'Uso e Consumo'!A1870</f>
        <v>0335</v>
      </c>
      <c r="C1870" s="34" t="str">
        <f aca="false">'Uso e Consumo'!B1870</f>
        <v>UFV NORONHA VERDE - USO E CONSUMO</v>
      </c>
      <c r="D1870" s="33" t="n">
        <f aca="false">'Uso e Consumo'!C1870</f>
        <v>875464</v>
      </c>
      <c r="E1870" s="34" t="str">
        <f aca="false">'Uso e Consumo'!D1870</f>
        <v>18.04.0080</v>
      </c>
      <c r="F1870" s="34" t="str">
        <f aca="false">'Uso e Consumo'!E1870</f>
        <v>ENGATE RAPIDO PNEUMATICO 1/2X1/2 MACHO C/ TRAVA</v>
      </c>
      <c r="G1870" s="34" t="str">
        <f aca="false">'Uso e Consumo'!J1870</f>
        <v>UN</v>
      </c>
      <c r="H1870" s="49" t="n">
        <f aca="false">'Uso e Consumo'!F1870</f>
        <v>2</v>
      </c>
      <c r="I1870" s="35" t="n">
        <f aca="false">'Uso e Consumo'!G1870</f>
        <v>180</v>
      </c>
      <c r="J1870" s="34" t="str">
        <f aca="false">'Uso e Consumo'!M1870</f>
        <v>3.8.1.018 - Instalações hidráulicas/sanitárias/industriais</v>
      </c>
      <c r="K1870" s="32" t="str">
        <f aca="false">INDEX('Curva ABC'!$K$8:$K$2847,MATCH(D1870,'Curva ABC'!$B$8:$B$2847,0))</f>
        <v>C</v>
      </c>
    </row>
    <row r="1871" customFormat="false" ht="15" hidden="false" customHeight="false" outlineLevel="0" collapsed="false">
      <c r="A1871" s="34" t="s">
        <v>5799</v>
      </c>
      <c r="B1871" s="34" t="str">
        <f aca="false">'Uso e Consumo'!A1871</f>
        <v>0335</v>
      </c>
      <c r="C1871" s="34" t="str">
        <f aca="false">'Uso e Consumo'!B1871</f>
        <v>UFV NORONHA VERDE - USO E CONSUMO</v>
      </c>
      <c r="D1871" s="33" t="n">
        <f aca="false">'Uso e Consumo'!C1871</f>
        <v>1605180</v>
      </c>
      <c r="E1871" s="34" t="str">
        <f aca="false">'Uso e Consumo'!D1871</f>
        <v>17.16.3877</v>
      </c>
      <c r="F1871" s="34" t="str">
        <f aca="false">'Uso e Consumo'!E1871</f>
        <v>CONECTOR BIMETÁLICO PARA CABO DE 16MM²</v>
      </c>
      <c r="G1871" s="34" t="str">
        <f aca="false">'Uso e Consumo'!J1871</f>
        <v>UN</v>
      </c>
      <c r="H1871" s="49" t="n">
        <f aca="false">'Uso e Consumo'!F1871</f>
        <v>4</v>
      </c>
      <c r="I1871" s="35" t="n">
        <f aca="false">'Uso e Consumo'!G1871</f>
        <v>180</v>
      </c>
      <c r="J1871" s="34" t="str">
        <f aca="false">'Uso e Consumo'!M1871</f>
        <v>3.8.1.017 - Instalações elétricas/telefônicas/lógica</v>
      </c>
      <c r="K1871" s="32" t="str">
        <f aca="false">INDEX('Curva ABC'!$K$8:$K$2847,MATCH(D1871,'Curva ABC'!$B$8:$B$2847,0))</f>
        <v>C</v>
      </c>
    </row>
    <row r="1872" customFormat="false" ht="15" hidden="false" customHeight="false" outlineLevel="0" collapsed="false">
      <c r="A1872" s="34" t="s">
        <v>5799</v>
      </c>
      <c r="B1872" s="34" t="str">
        <f aca="false">'Uso e Consumo'!A1872</f>
        <v>0335</v>
      </c>
      <c r="C1872" s="34" t="str">
        <f aca="false">'Uso e Consumo'!B1872</f>
        <v>UFV NORONHA VERDE - USO E CONSUMO</v>
      </c>
      <c r="D1872" s="33" t="n">
        <f aca="false">'Uso e Consumo'!C1872</f>
        <v>55146</v>
      </c>
      <c r="E1872" s="34" t="str">
        <f aca="false">'Uso e Consumo'!D1872</f>
        <v>18.14.0015</v>
      </c>
      <c r="F1872" s="34" t="str">
        <f aca="false">'Uso e Consumo'!E1872</f>
        <v>PASTILHA DE CLORO</v>
      </c>
      <c r="G1872" s="34" t="str">
        <f aca="false">'Uso e Consumo'!J1872</f>
        <v>PCT</v>
      </c>
      <c r="H1872" s="49" t="n">
        <f aca="false">'Uso e Consumo'!F1872</f>
        <v>6</v>
      </c>
      <c r="I1872" s="35" t="n">
        <f aca="false">'Uso e Consumo'!G1872</f>
        <v>179.88</v>
      </c>
      <c r="J1872" s="34" t="str">
        <f aca="false">'Uso e Consumo'!M1872</f>
        <v>3.8.1.006 - Aditivos e produtos químicos</v>
      </c>
      <c r="K1872" s="32" t="str">
        <f aca="false">INDEX('Curva ABC'!$K$8:$K$2847,MATCH(D1872,'Curva ABC'!$B$8:$B$2847,0))</f>
        <v>C</v>
      </c>
    </row>
    <row r="1873" customFormat="false" ht="15" hidden="false" customHeight="false" outlineLevel="0" collapsed="false">
      <c r="A1873" s="34" t="s">
        <v>5799</v>
      </c>
      <c r="B1873" s="34" t="str">
        <f aca="false">'Uso e Consumo'!A1873</f>
        <v>0335</v>
      </c>
      <c r="C1873" s="34" t="str">
        <f aca="false">'Uso e Consumo'!B1873</f>
        <v>UFV NORONHA VERDE - USO E CONSUMO</v>
      </c>
      <c r="D1873" s="33" t="n">
        <f aca="false">'Uso e Consumo'!C1873</f>
        <v>22768</v>
      </c>
      <c r="E1873" s="34" t="str">
        <f aca="false">'Uso e Consumo'!D1873</f>
        <v>26.03.0011</v>
      </c>
      <c r="F1873" s="34" t="str">
        <f aca="false">'Uso e Consumo'!E1873</f>
        <v>CARNEIRA P/ CAPACETE DE SEGURANÇA S/ JUGULAR</v>
      </c>
      <c r="G1873" s="34" t="str">
        <f aca="false">'Uso e Consumo'!J1873</f>
        <v>UN</v>
      </c>
      <c r="H1873" s="49" t="n">
        <f aca="false">'Uso e Consumo'!F1873</f>
        <v>15</v>
      </c>
      <c r="I1873" s="35" t="n">
        <f aca="false">'Uso e Consumo'!G1873</f>
        <v>179.7</v>
      </c>
      <c r="J1873" s="34" t="str">
        <f aca="false">'Uso e Consumo'!M1873</f>
        <v>4.3.4.001 - Equipamento de proteção individual</v>
      </c>
      <c r="K1873" s="32" t="str">
        <f aca="false">INDEX('Curva ABC'!$K$8:$K$2847,MATCH(D1873,'Curva ABC'!$B$8:$B$2847,0))</f>
        <v>C</v>
      </c>
    </row>
    <row r="1874" customFormat="false" ht="15" hidden="false" customHeight="false" outlineLevel="0" collapsed="false">
      <c r="A1874" s="34" t="s">
        <v>5799</v>
      </c>
      <c r="B1874" s="34" t="str">
        <f aca="false">'Uso e Consumo'!A1874</f>
        <v>0335</v>
      </c>
      <c r="C1874" s="34" t="str">
        <f aca="false">'Uso e Consumo'!B1874</f>
        <v>UFV NORONHA VERDE - USO E CONSUMO</v>
      </c>
      <c r="D1874" s="33" t="n">
        <f aca="false">'Uso e Consumo'!C1874</f>
        <v>35082</v>
      </c>
      <c r="E1874" s="34" t="str">
        <f aca="false">'Uso e Consumo'!D1874</f>
        <v>17.02.0257</v>
      </c>
      <c r="F1874" s="34" t="str">
        <f aca="false">'Uso e Consumo'!E1874</f>
        <v>LUVA ELETRODUTO AÇO GALVANIZADO ¾ ‘’</v>
      </c>
      <c r="G1874" s="34" t="str">
        <f aca="false">'Uso e Consumo'!J1874</f>
        <v>UN</v>
      </c>
      <c r="H1874" s="49" t="n">
        <f aca="false">'Uso e Consumo'!F1874</f>
        <v>30</v>
      </c>
      <c r="I1874" s="35" t="n">
        <f aca="false">'Uso e Consumo'!G1874</f>
        <v>179.4</v>
      </c>
      <c r="J1874" s="34" t="str">
        <f aca="false">'Uso e Consumo'!M1874</f>
        <v>3.8.1.017 - Instalações elétricas/telefônicas/lógica</v>
      </c>
      <c r="K1874" s="32" t="str">
        <f aca="false">INDEX('Curva ABC'!$K$8:$K$2847,MATCH(D1874,'Curva ABC'!$B$8:$B$2847,0))</f>
        <v>C</v>
      </c>
    </row>
    <row r="1875" customFormat="false" ht="15" hidden="false" customHeight="false" outlineLevel="0" collapsed="false">
      <c r="A1875" s="34" t="s">
        <v>5799</v>
      </c>
      <c r="B1875" s="34" t="str">
        <f aca="false">'Uso e Consumo'!A1875</f>
        <v>0335</v>
      </c>
      <c r="C1875" s="34" t="str">
        <f aca="false">'Uso e Consumo'!B1875</f>
        <v>UFV NORONHA VERDE - USO E CONSUMO</v>
      </c>
      <c r="D1875" s="33" t="n">
        <f aca="false">'Uso e Consumo'!C1875</f>
        <v>1101079</v>
      </c>
      <c r="E1875" s="34" t="str">
        <f aca="false">'Uso e Consumo'!D1875</f>
        <v>18.01.1397</v>
      </c>
      <c r="F1875" s="34" t="str">
        <f aca="false">'Uso e Consumo'!E1875</f>
        <v>PLUG ROSCÁVEL, PVC BRANCO, ÁGUA FRIA 1/2"</v>
      </c>
      <c r="G1875" s="34" t="str">
        <f aca="false">'Uso e Consumo'!J1875</f>
        <v>UN</v>
      </c>
      <c r="H1875" s="49" t="n">
        <f aca="false">'Uso e Consumo'!F1875</f>
        <v>230</v>
      </c>
      <c r="I1875" s="35" t="n">
        <f aca="false">'Uso e Consumo'!G1875</f>
        <v>179.4</v>
      </c>
      <c r="J1875" s="34" t="str">
        <f aca="false">'Uso e Consumo'!M1875</f>
        <v>3.8.1.018 - Instalações hidráulicas/sanitárias/industriais</v>
      </c>
      <c r="K1875" s="32" t="str">
        <f aca="false">INDEX('Curva ABC'!$K$8:$K$2847,MATCH(D1875,'Curva ABC'!$B$8:$B$2847,0))</f>
        <v>C</v>
      </c>
    </row>
    <row r="1876" customFormat="false" ht="15" hidden="false" customHeight="false" outlineLevel="0" collapsed="false">
      <c r="A1876" s="34" t="s">
        <v>5799</v>
      </c>
      <c r="B1876" s="34" t="str">
        <f aca="false">'Uso e Consumo'!A1876</f>
        <v>0335</v>
      </c>
      <c r="C1876" s="34" t="str">
        <f aca="false">'Uso e Consumo'!B1876</f>
        <v>UFV NORONHA VERDE - USO E CONSUMO</v>
      </c>
      <c r="D1876" s="33" t="n">
        <f aca="false">'Uso e Consumo'!C1876</f>
        <v>1320998</v>
      </c>
      <c r="E1876" s="34" t="str">
        <f aca="false">'Uso e Consumo'!D1876</f>
        <v>17.05.0119</v>
      </c>
      <c r="F1876" s="34" t="str">
        <f aca="false">'Uso e Consumo'!E1876</f>
        <v>TAMPA 1 TOMADA HEXAGONAL HORIZONTAL PARA CONDULETE PVC DE 1/2'' CINZA</v>
      </c>
      <c r="G1876" s="34" t="str">
        <f aca="false">'Uso e Consumo'!J1876</f>
        <v>UN</v>
      </c>
      <c r="H1876" s="49" t="n">
        <f aca="false">'Uso e Consumo'!F1876</f>
        <v>102</v>
      </c>
      <c r="I1876" s="35" t="n">
        <f aca="false">'Uso e Consumo'!G1876</f>
        <v>178.5</v>
      </c>
      <c r="J1876" s="34" t="str">
        <f aca="false">'Uso e Consumo'!M1876</f>
        <v>3.8.1.017 - Instalações elétricas/telefônicas/lógica</v>
      </c>
      <c r="K1876" s="32" t="str">
        <f aca="false">INDEX('Curva ABC'!$K$8:$K$2847,MATCH(D1876,'Curva ABC'!$B$8:$B$2847,0))</f>
        <v>C</v>
      </c>
    </row>
    <row r="1877" customFormat="false" ht="15" hidden="false" customHeight="false" outlineLevel="0" collapsed="false">
      <c r="A1877" s="34" t="s">
        <v>5799</v>
      </c>
      <c r="B1877" s="34" t="str">
        <f aca="false">'Uso e Consumo'!A1877</f>
        <v>0335</v>
      </c>
      <c r="C1877" s="34" t="str">
        <f aca="false">'Uso e Consumo'!B1877</f>
        <v>UFV NORONHA VERDE - USO E CONSUMO</v>
      </c>
      <c r="D1877" s="33" t="n">
        <f aca="false">'Uso e Consumo'!C1877</f>
        <v>21862</v>
      </c>
      <c r="E1877" s="34" t="str">
        <f aca="false">'Uso e Consumo'!D1877</f>
        <v>24.40.0014</v>
      </c>
      <c r="F1877" s="34" t="str">
        <f aca="false">'Uso e Consumo'!E1877</f>
        <v>TALHADEIRA SEXTAVADA EM AÇO FORJADO 3/4" X 12" (19,00MM X 305,00MM)</v>
      </c>
      <c r="G1877" s="34" t="str">
        <f aca="false">'Uso e Consumo'!J1877</f>
        <v>UN</v>
      </c>
      <c r="H1877" s="49" t="n">
        <f aca="false">'Uso e Consumo'!F1877</f>
        <v>6</v>
      </c>
      <c r="I1877" s="35" t="n">
        <f aca="false">'Uso e Consumo'!G1877</f>
        <v>178.2</v>
      </c>
      <c r="J1877" s="34" t="str">
        <f aca="false">'Uso e Consumo'!M1877</f>
        <v>3.8.2.002 - Ferramentas manuais</v>
      </c>
      <c r="K1877" s="32" t="str">
        <f aca="false">INDEX('Curva ABC'!$K$8:$K$2847,MATCH(D1877,'Curva ABC'!$B$8:$B$2847,0))</f>
        <v>C</v>
      </c>
    </row>
    <row r="1878" customFormat="false" ht="15" hidden="false" customHeight="false" outlineLevel="0" collapsed="false">
      <c r="A1878" s="34" t="s">
        <v>5799</v>
      </c>
      <c r="B1878" s="34" t="str">
        <f aca="false">'Uso e Consumo'!A1878</f>
        <v>0335</v>
      </c>
      <c r="C1878" s="34" t="str">
        <f aca="false">'Uso e Consumo'!B1878</f>
        <v>UFV NORONHA VERDE - USO E CONSUMO</v>
      </c>
      <c r="D1878" s="33" t="n">
        <f aca="false">'Uso e Consumo'!C1878</f>
        <v>476967</v>
      </c>
      <c r="E1878" s="34" t="str">
        <f aca="false">'Uso e Consumo'!D1878</f>
        <v>18.03.0170</v>
      </c>
      <c r="F1878" s="34" t="str">
        <f aca="false">'Uso e Consumo'!E1878</f>
        <v>ARRUELA M8 GALVANIZADA OU INOX</v>
      </c>
      <c r="G1878" s="34" t="str">
        <f aca="false">'Uso e Consumo'!J1878</f>
        <v>UN</v>
      </c>
      <c r="H1878" s="49" t="n">
        <f aca="false">'Uso e Consumo'!F1878</f>
        <v>113</v>
      </c>
      <c r="I1878" s="35" t="n">
        <f aca="false">'Uso e Consumo'!G1878</f>
        <v>178.04</v>
      </c>
      <c r="J1878" s="34" t="str">
        <f aca="false">'Uso e Consumo'!M1878</f>
        <v>3.8.1.018 - Instalações hidráulicas/sanitárias/industriais</v>
      </c>
      <c r="K1878" s="32" t="str">
        <f aca="false">INDEX('Curva ABC'!$K$8:$K$2847,MATCH(D1878,'Curva ABC'!$B$8:$B$2847,0))</f>
        <v>C</v>
      </c>
    </row>
    <row r="1879" customFormat="false" ht="15" hidden="false" customHeight="false" outlineLevel="0" collapsed="false">
      <c r="A1879" s="34" t="s">
        <v>5799</v>
      </c>
      <c r="B1879" s="34" t="str">
        <f aca="false">'Uso e Consumo'!A1879</f>
        <v>0335</v>
      </c>
      <c r="C1879" s="34" t="str">
        <f aca="false">'Uso e Consumo'!B1879</f>
        <v>UFV NORONHA VERDE - USO E CONSUMO</v>
      </c>
      <c r="D1879" s="33" t="n">
        <f aca="false">'Uso e Consumo'!C1879</f>
        <v>352314</v>
      </c>
      <c r="E1879" s="34" t="str">
        <f aca="false">'Uso e Consumo'!D1879</f>
        <v>18.01.1116</v>
      </c>
      <c r="F1879" s="34" t="str">
        <f aca="false">'Uso e Consumo'!E1879</f>
        <v>CURVA 90GR PVC SOLDAVEL 60,00MM</v>
      </c>
      <c r="G1879" s="34" t="str">
        <f aca="false">'Uso e Consumo'!J1879</f>
        <v>UN</v>
      </c>
      <c r="H1879" s="49" t="n">
        <f aca="false">'Uso e Consumo'!F1879</f>
        <v>2</v>
      </c>
      <c r="I1879" s="35" t="n">
        <f aca="false">'Uso e Consumo'!G1879</f>
        <v>178</v>
      </c>
      <c r="J1879" s="34" t="str">
        <f aca="false">'Uso e Consumo'!M1879</f>
        <v>3.8.1.018 - Instalações hidráulicas/sanitárias/industriais</v>
      </c>
      <c r="K1879" s="32" t="str">
        <f aca="false">INDEX('Curva ABC'!$K$8:$K$2847,MATCH(D1879,'Curva ABC'!$B$8:$B$2847,0))</f>
        <v>C</v>
      </c>
    </row>
    <row r="1880" customFormat="false" ht="15" hidden="false" customHeight="false" outlineLevel="0" collapsed="false">
      <c r="A1880" s="34" t="s">
        <v>5799</v>
      </c>
      <c r="B1880" s="34" t="str">
        <f aca="false">'Uso e Consumo'!A1880</f>
        <v>0335</v>
      </c>
      <c r="C1880" s="34" t="str">
        <f aca="false">'Uso e Consumo'!B1880</f>
        <v>UFV NORONHA VERDE - USO E CONSUMO</v>
      </c>
      <c r="D1880" s="33" t="n">
        <f aca="false">'Uso e Consumo'!C1880</f>
        <v>1487954</v>
      </c>
      <c r="E1880" s="34" t="str">
        <f aca="false">'Uso e Consumo'!D1880</f>
        <v>24.41.0428</v>
      </c>
      <c r="F1880" s="34" t="str">
        <f aca="false">'Uso e Consumo'!E1880</f>
        <v>TESOURA DE FUNILEIRO 12" POLEGADAS </v>
      </c>
      <c r="G1880" s="34" t="str">
        <f aca="false">'Uso e Consumo'!J1880</f>
        <v>UN</v>
      </c>
      <c r="H1880" s="49" t="n">
        <f aca="false">'Uso e Consumo'!F1880</f>
        <v>2</v>
      </c>
      <c r="I1880" s="35" t="n">
        <f aca="false">'Uso e Consumo'!G1880</f>
        <v>178</v>
      </c>
      <c r="J1880" s="34" t="str">
        <f aca="false">'Uso e Consumo'!M1880</f>
        <v>3.8.2.002 - Ferramentas manuais</v>
      </c>
      <c r="K1880" s="32" t="str">
        <f aca="false">INDEX('Curva ABC'!$K$8:$K$2847,MATCH(D1880,'Curva ABC'!$B$8:$B$2847,0))</f>
        <v>C</v>
      </c>
    </row>
    <row r="1881" customFormat="false" ht="15" hidden="false" customHeight="false" outlineLevel="0" collapsed="false">
      <c r="A1881" s="34" t="s">
        <v>5799</v>
      </c>
      <c r="B1881" s="34" t="str">
        <f aca="false">'Uso e Consumo'!A1881</f>
        <v>0335</v>
      </c>
      <c r="C1881" s="34" t="str">
        <f aca="false">'Uso e Consumo'!B1881</f>
        <v>UFV NORONHA VERDE - USO E CONSUMO</v>
      </c>
      <c r="D1881" s="33" t="n">
        <f aca="false">'Uso e Consumo'!C1881</f>
        <v>840023</v>
      </c>
      <c r="E1881" s="34" t="str">
        <f aca="false">'Uso e Consumo'!D1881</f>
        <v>18.01.1265</v>
      </c>
      <c r="F1881" s="34" t="str">
        <f aca="false">'Uso e Consumo'!E1881</f>
        <v>JUNÇÃO SIMPLES 100 X 100MM, ESGOTO SÉRIE NORMAL - TIGRE</v>
      </c>
      <c r="G1881" s="34" t="str">
        <f aca="false">'Uso e Consumo'!J1881</f>
        <v>UN</v>
      </c>
      <c r="H1881" s="49" t="n">
        <f aca="false">'Uso e Consumo'!F1881</f>
        <v>7</v>
      </c>
      <c r="I1881" s="35" t="n">
        <f aca="false">'Uso e Consumo'!G1881</f>
        <v>177.8</v>
      </c>
      <c r="J1881" s="34" t="str">
        <f aca="false">'Uso e Consumo'!M1881</f>
        <v>3.8.1.018 - Instalações hidráulicas/sanitárias/industriais</v>
      </c>
      <c r="K1881" s="32" t="str">
        <f aca="false">INDEX('Curva ABC'!$K$8:$K$2847,MATCH(D1881,'Curva ABC'!$B$8:$B$2847,0))</f>
        <v>C</v>
      </c>
    </row>
    <row r="1882" customFormat="false" ht="15" hidden="false" customHeight="false" outlineLevel="0" collapsed="false">
      <c r="A1882" s="34" t="s">
        <v>5799</v>
      </c>
      <c r="B1882" s="34" t="str">
        <f aca="false">'Uso e Consumo'!A1882</f>
        <v>0335</v>
      </c>
      <c r="C1882" s="34" t="str">
        <f aca="false">'Uso e Consumo'!B1882</f>
        <v>UFV NORONHA VERDE - USO E CONSUMO</v>
      </c>
      <c r="D1882" s="33" t="n">
        <f aca="false">'Uso e Consumo'!C1882</f>
        <v>21805</v>
      </c>
      <c r="E1882" s="34" t="str">
        <f aca="false">'Uso e Consumo'!D1882</f>
        <v>24.30.0006</v>
      </c>
      <c r="F1882" s="34" t="str">
        <f aca="false">'Uso e Consumo'!E1882</f>
        <v>CÂMARA DE AR PARA PNEU DE CARRO DE MÃO 3,00/3,25 X 8"</v>
      </c>
      <c r="G1882" s="34" t="str">
        <f aca="false">'Uso e Consumo'!J1882</f>
        <v>UN</v>
      </c>
      <c r="H1882" s="49" t="n">
        <f aca="false">'Uso e Consumo'!F1882</f>
        <v>8</v>
      </c>
      <c r="I1882" s="35" t="n">
        <f aca="false">'Uso e Consumo'!G1882</f>
        <v>176</v>
      </c>
      <c r="J1882" s="34" t="str">
        <f aca="false">'Uso e Consumo'!M1882</f>
        <v>3.1.6.002 - Pneus e peças</v>
      </c>
      <c r="K1882" s="32" t="str">
        <f aca="false">INDEX('Curva ABC'!$K$8:$K$2847,MATCH(D1882,'Curva ABC'!$B$8:$B$2847,0))</f>
        <v>C</v>
      </c>
    </row>
    <row r="1883" customFormat="false" ht="15" hidden="false" customHeight="false" outlineLevel="0" collapsed="false">
      <c r="A1883" s="34" t="s">
        <v>5799</v>
      </c>
      <c r="B1883" s="34" t="str">
        <f aca="false">'Uso e Consumo'!A1883</f>
        <v>0335</v>
      </c>
      <c r="C1883" s="34" t="str">
        <f aca="false">'Uso e Consumo'!B1883</f>
        <v>UFV NORONHA VERDE - USO E CONSUMO</v>
      </c>
      <c r="D1883" s="33" t="n">
        <f aca="false">'Uso e Consumo'!C1883</f>
        <v>284281</v>
      </c>
      <c r="E1883" s="34" t="str">
        <f aca="false">'Uso e Consumo'!D1883</f>
        <v>17.20.0347</v>
      </c>
      <c r="F1883" s="34" t="str">
        <f aca="false">'Uso e Consumo'!E1883</f>
        <v>BOTIJÃO DE GÁS PROPANO PARA MAÇARICO (REFIL)</v>
      </c>
      <c r="G1883" s="34" t="str">
        <f aca="false">'Uso e Consumo'!J1883</f>
        <v>UN</v>
      </c>
      <c r="H1883" s="49" t="n">
        <f aca="false">'Uso e Consumo'!F1883</f>
        <v>2</v>
      </c>
      <c r="I1883" s="35" t="n">
        <f aca="false">'Uso e Consumo'!G1883</f>
        <v>176</v>
      </c>
      <c r="J1883" s="34" t="str">
        <f aca="false">'Uso e Consumo'!M1883</f>
        <v>3.8.1.017 - Instalações elétricas/telefônicas/lógica</v>
      </c>
      <c r="K1883" s="32" t="str">
        <f aca="false">INDEX('Curva ABC'!$K$8:$K$2847,MATCH(D1883,'Curva ABC'!$B$8:$B$2847,0))</f>
        <v>C</v>
      </c>
    </row>
    <row r="1884" customFormat="false" ht="15" hidden="false" customHeight="false" outlineLevel="0" collapsed="false">
      <c r="A1884" s="34" t="s">
        <v>5799</v>
      </c>
      <c r="B1884" s="34" t="str">
        <f aca="false">'Uso e Consumo'!A1884</f>
        <v>0335</v>
      </c>
      <c r="C1884" s="34" t="str">
        <f aca="false">'Uso e Consumo'!B1884</f>
        <v>UFV NORONHA VERDE - USO E CONSUMO</v>
      </c>
      <c r="D1884" s="33" t="n">
        <f aca="false">'Uso e Consumo'!C1884</f>
        <v>880896</v>
      </c>
      <c r="E1884" s="34" t="str">
        <f aca="false">'Uso e Consumo'!D1884</f>
        <v>29.01.1281</v>
      </c>
      <c r="F1884" s="34" t="str">
        <f aca="false">'Uso e Consumo'!E1884</f>
        <v>BATERIA 12 VOLTS </v>
      </c>
      <c r="G1884" s="34" t="str">
        <f aca="false">'Uso e Consumo'!J1884</f>
        <v>UN</v>
      </c>
      <c r="H1884" s="49" t="n">
        <f aca="false">'Uso e Consumo'!F1884</f>
        <v>2</v>
      </c>
      <c r="I1884" s="35" t="n">
        <f aca="false">'Uso e Consumo'!G1884</f>
        <v>176</v>
      </c>
      <c r="J1884" s="34" t="str">
        <f aca="false">'Uso e Consumo'!M1884</f>
        <v>4.1.1.007 - Equipamentos e acessórios para informática</v>
      </c>
      <c r="K1884" s="32" t="str">
        <f aca="false">INDEX('Curva ABC'!$K$8:$K$2847,MATCH(D1884,'Curva ABC'!$B$8:$B$2847,0))</f>
        <v>C</v>
      </c>
    </row>
    <row r="1885" customFormat="false" ht="15" hidden="false" customHeight="false" outlineLevel="0" collapsed="false">
      <c r="A1885" s="34" t="s">
        <v>5799</v>
      </c>
      <c r="B1885" s="34" t="str">
        <f aca="false">'Uso e Consumo'!A1885</f>
        <v>0335</v>
      </c>
      <c r="C1885" s="34" t="str">
        <f aca="false">'Uso e Consumo'!B1885</f>
        <v>UFV NORONHA VERDE - USO E CONSUMO</v>
      </c>
      <c r="D1885" s="33" t="n">
        <f aca="false">'Uso e Consumo'!C1885</f>
        <v>230162</v>
      </c>
      <c r="E1885" s="34" t="str">
        <f aca="false">'Uso e Consumo'!D1885</f>
        <v>26.04.0075</v>
      </c>
      <c r="F1885" s="34" t="str">
        <f aca="false">'Uso e Consumo'!E1885</f>
        <v>MOSQUETÃO TIPO HMS DE AÇO, COM TRAVA DE ROSCA</v>
      </c>
      <c r="G1885" s="34" t="str">
        <f aca="false">'Uso e Consumo'!J1885</f>
        <v>UN</v>
      </c>
      <c r="H1885" s="49" t="n">
        <f aca="false">'Uso e Consumo'!F1885</f>
        <v>6</v>
      </c>
      <c r="I1885" s="35" t="n">
        <f aca="false">'Uso e Consumo'!G1885</f>
        <v>175.62</v>
      </c>
      <c r="J1885" s="34" t="str">
        <f aca="false">'Uso e Consumo'!M1885</f>
        <v>4.3.4.001 - Equipamento de proteção individual</v>
      </c>
      <c r="K1885" s="32" t="str">
        <f aca="false">INDEX('Curva ABC'!$K$8:$K$2847,MATCH(D1885,'Curva ABC'!$B$8:$B$2847,0))</f>
        <v>C</v>
      </c>
    </row>
    <row r="1886" customFormat="false" ht="15" hidden="false" customHeight="false" outlineLevel="0" collapsed="false">
      <c r="A1886" s="34" t="s">
        <v>5799</v>
      </c>
      <c r="B1886" s="34" t="str">
        <f aca="false">'Uso e Consumo'!A1886</f>
        <v>0335</v>
      </c>
      <c r="C1886" s="34" t="str">
        <f aca="false">'Uso e Consumo'!B1886</f>
        <v>UFV NORONHA VERDE - USO E CONSUMO</v>
      </c>
      <c r="D1886" s="33" t="n">
        <f aca="false">'Uso e Consumo'!C1886</f>
        <v>17930</v>
      </c>
      <c r="E1886" s="34" t="str">
        <f aca="false">'Uso e Consumo'!D1886</f>
        <v>24.09.0024</v>
      </c>
      <c r="F1886" s="34" t="str">
        <f aca="false">'Uso e Consumo'!E1886</f>
        <v>CHAVE COMBINADA 10,00MM AÇO CARBONO CROMADO</v>
      </c>
      <c r="G1886" s="34" t="str">
        <f aca="false">'Uso e Consumo'!J1886</f>
        <v>UN</v>
      </c>
      <c r="H1886" s="49" t="n">
        <f aca="false">'Uso e Consumo'!F1886</f>
        <v>6</v>
      </c>
      <c r="I1886" s="35" t="n">
        <f aca="false">'Uso e Consumo'!G1886</f>
        <v>175.58</v>
      </c>
      <c r="J1886" s="34" t="str">
        <f aca="false">'Uso e Consumo'!M1886</f>
        <v>3.8.2.002 - Ferramentas manuais</v>
      </c>
      <c r="K1886" s="32" t="str">
        <f aca="false">INDEX('Curva ABC'!$K$8:$K$2847,MATCH(D1886,'Curva ABC'!$B$8:$B$2847,0))</f>
        <v>C</v>
      </c>
    </row>
    <row r="1887" customFormat="false" ht="15" hidden="false" customHeight="false" outlineLevel="0" collapsed="false">
      <c r="A1887" s="34" t="s">
        <v>5799</v>
      </c>
      <c r="B1887" s="34" t="str">
        <f aca="false">'Uso e Consumo'!A1887</f>
        <v>0335</v>
      </c>
      <c r="C1887" s="34" t="str">
        <f aca="false">'Uso e Consumo'!B1887</f>
        <v>UFV NORONHA VERDE - USO E CONSUMO</v>
      </c>
      <c r="D1887" s="33" t="n">
        <f aca="false">'Uso e Consumo'!C1887</f>
        <v>1312598</v>
      </c>
      <c r="E1887" s="34" t="str">
        <f aca="false">'Uso e Consumo'!D1887</f>
        <v>33.02.3125</v>
      </c>
      <c r="F1887" s="34" t="str">
        <f aca="false">'Uso e Consumo'!E1887</f>
        <v>MOLA DE TRAÇÃO 0000-997-5816</v>
      </c>
      <c r="G1887" s="34" t="str">
        <f aca="false">'Uso e Consumo'!J1887</f>
        <v>UN</v>
      </c>
      <c r="H1887" s="49" t="n">
        <f aca="false">'Uso e Consumo'!F1887</f>
        <v>6</v>
      </c>
      <c r="I1887" s="35" t="n">
        <f aca="false">'Uso e Consumo'!G1887</f>
        <v>175.44</v>
      </c>
      <c r="J1887" s="34" t="str">
        <f aca="false">'Uso e Consumo'!M1887</f>
        <v>3.1.6.002 - Pneus e peças</v>
      </c>
      <c r="K1887" s="32" t="str">
        <f aca="false">INDEX('Curva ABC'!$K$8:$K$2847,MATCH(D1887,'Curva ABC'!$B$8:$B$2847,0))</f>
        <v>C</v>
      </c>
    </row>
    <row r="1888" customFormat="false" ht="15" hidden="false" customHeight="false" outlineLevel="0" collapsed="false">
      <c r="A1888" s="34" t="s">
        <v>5799</v>
      </c>
      <c r="B1888" s="34" t="str">
        <f aca="false">'Uso e Consumo'!A1888</f>
        <v>0335</v>
      </c>
      <c r="C1888" s="34" t="str">
        <f aca="false">'Uso e Consumo'!B1888</f>
        <v>UFV NORONHA VERDE - USO E CONSUMO</v>
      </c>
      <c r="D1888" s="33" t="n">
        <f aca="false">'Uso e Consumo'!C1888</f>
        <v>942224</v>
      </c>
      <c r="E1888" s="34" t="str">
        <f aca="false">'Uso e Consumo'!D1888</f>
        <v>23.05.0261</v>
      </c>
      <c r="F1888" s="34" t="str">
        <f aca="false">'Uso e Consumo'!E1888</f>
        <v>ARRUELA DE PRESSÃO GALVAN. 1/4"</v>
      </c>
      <c r="G1888" s="34" t="str">
        <f aca="false">'Uso e Consumo'!J1888</f>
        <v>UN</v>
      </c>
      <c r="H1888" s="49" t="n">
        <f aca="false">'Uso e Consumo'!F1888</f>
        <v>146</v>
      </c>
      <c r="I1888" s="35" t="n">
        <f aca="false">'Uso e Consumo'!G1888</f>
        <v>175.2</v>
      </c>
      <c r="J1888" s="34" t="str">
        <f aca="false">'Uso e Consumo'!M1888</f>
        <v>3.8.1.022 - Elementos de fixação</v>
      </c>
      <c r="K1888" s="32" t="str">
        <f aca="false">INDEX('Curva ABC'!$K$8:$K$2847,MATCH(D1888,'Curva ABC'!$B$8:$B$2847,0))</f>
        <v>C</v>
      </c>
    </row>
    <row r="1889" customFormat="false" ht="15" hidden="false" customHeight="false" outlineLevel="0" collapsed="false">
      <c r="A1889" s="34" t="s">
        <v>5799</v>
      </c>
      <c r="B1889" s="34" t="str">
        <f aca="false">'Uso e Consumo'!A1889</f>
        <v>0335</v>
      </c>
      <c r="C1889" s="34" t="str">
        <f aca="false">'Uso e Consumo'!B1889</f>
        <v>UFV NORONHA VERDE - USO E CONSUMO</v>
      </c>
      <c r="D1889" s="33" t="n">
        <f aca="false">'Uso e Consumo'!C1889</f>
        <v>35035</v>
      </c>
      <c r="E1889" s="34" t="str">
        <f aca="false">'Uso e Consumo'!D1889</f>
        <v>25.03.0192</v>
      </c>
      <c r="F1889" s="34" t="str">
        <f aca="false">'Uso e Consumo'!E1889</f>
        <v>BROCA HELICOIDAL HASTE CILINDRICA AÇO RAPIDO 3,50MM</v>
      </c>
      <c r="G1889" s="34" t="str">
        <f aca="false">'Uso e Consumo'!J1889</f>
        <v>UN</v>
      </c>
      <c r="H1889" s="49" t="n">
        <f aca="false">'Uso e Consumo'!F1889</f>
        <v>50</v>
      </c>
      <c r="I1889" s="35" t="n">
        <f aca="false">'Uso e Consumo'!G1889</f>
        <v>175</v>
      </c>
      <c r="J1889" s="34" t="str">
        <f aca="false">'Uso e Consumo'!M1889</f>
        <v>3.8.2.004 - Consumíveis para corte, perfuração e desbaste</v>
      </c>
      <c r="K1889" s="32" t="str">
        <f aca="false">INDEX('Curva ABC'!$K$8:$K$2847,MATCH(D1889,'Curva ABC'!$B$8:$B$2847,0))</f>
        <v>C</v>
      </c>
    </row>
    <row r="1890" customFormat="false" ht="15" hidden="false" customHeight="false" outlineLevel="0" collapsed="false">
      <c r="A1890" s="34" t="s">
        <v>5799</v>
      </c>
      <c r="B1890" s="34" t="str">
        <f aca="false">'Uso e Consumo'!A1890</f>
        <v>0335</v>
      </c>
      <c r="C1890" s="34" t="str">
        <f aca="false">'Uso e Consumo'!B1890</f>
        <v>UFV NORONHA VERDE - USO E CONSUMO</v>
      </c>
      <c r="D1890" s="33" t="n">
        <f aca="false">'Uso e Consumo'!C1890</f>
        <v>90179</v>
      </c>
      <c r="E1890" s="34" t="str">
        <f aca="false">'Uso e Consumo'!D1890</f>
        <v>29.01.0512</v>
      </c>
      <c r="F1890" s="34" t="str">
        <f aca="false">'Uso e Consumo'!E1890</f>
        <v>RACK DE PAREDE 5U</v>
      </c>
      <c r="G1890" s="34" t="str">
        <f aca="false">'Uso e Consumo'!J1890</f>
        <v>UN</v>
      </c>
      <c r="H1890" s="49" t="n">
        <f aca="false">'Uso e Consumo'!F1890</f>
        <v>1</v>
      </c>
      <c r="I1890" s="35" t="n">
        <f aca="false">'Uso e Consumo'!G1890</f>
        <v>175</v>
      </c>
      <c r="J1890" s="34" t="str">
        <f aca="false">'Uso e Consumo'!M1890</f>
        <v>4.1.6.010 - Locação externa de equipamentos</v>
      </c>
      <c r="K1890" s="32" t="str">
        <f aca="false">INDEX('Curva ABC'!$K$8:$K$2847,MATCH(D1890,'Curva ABC'!$B$8:$B$2847,0))</f>
        <v>C</v>
      </c>
    </row>
    <row r="1891" customFormat="false" ht="15" hidden="false" customHeight="false" outlineLevel="0" collapsed="false">
      <c r="A1891" s="34" t="s">
        <v>5799</v>
      </c>
      <c r="B1891" s="34" t="str">
        <f aca="false">'Uso e Consumo'!A1891</f>
        <v>0335</v>
      </c>
      <c r="C1891" s="34" t="str">
        <f aca="false">'Uso e Consumo'!B1891</f>
        <v>UFV NORONHA VERDE - USO E CONSUMO</v>
      </c>
      <c r="D1891" s="33" t="n">
        <f aca="false">'Uso e Consumo'!C1891</f>
        <v>19516</v>
      </c>
      <c r="E1891" s="34" t="str">
        <f aca="false">'Uso e Consumo'!D1891</f>
        <v>30.01.0236</v>
      </c>
      <c r="F1891" s="34" t="str">
        <f aca="false">'Uso e Consumo'!E1891</f>
        <v>GRAMPOS PARA GRAMPEADOR TAPECEIRO 106/6  C/ 3500UN</v>
      </c>
      <c r="G1891" s="34" t="str">
        <f aca="false">'Uso e Consumo'!J1891</f>
        <v>UN</v>
      </c>
      <c r="H1891" s="49" t="n">
        <f aca="false">'Uso e Consumo'!F1891</f>
        <v>4</v>
      </c>
      <c r="I1891" s="35" t="n">
        <f aca="false">'Uso e Consumo'!G1891</f>
        <v>174.76</v>
      </c>
      <c r="J1891" s="34" t="str">
        <f aca="false">'Uso e Consumo'!M1891</f>
        <v>4.1.1.002 - Material expediente</v>
      </c>
      <c r="K1891" s="32" t="str">
        <f aca="false">INDEX('Curva ABC'!$K$8:$K$2847,MATCH(D1891,'Curva ABC'!$B$8:$B$2847,0))</f>
        <v>C</v>
      </c>
    </row>
    <row r="1892" customFormat="false" ht="15" hidden="false" customHeight="false" outlineLevel="0" collapsed="false">
      <c r="A1892" s="34" t="s">
        <v>5799</v>
      </c>
      <c r="B1892" s="34" t="str">
        <f aca="false">'Uso e Consumo'!A1892</f>
        <v>0335</v>
      </c>
      <c r="C1892" s="34" t="str">
        <f aca="false">'Uso e Consumo'!B1892</f>
        <v>UFV NORONHA VERDE - USO E CONSUMO</v>
      </c>
      <c r="D1892" s="33" t="n">
        <f aca="false">'Uso e Consumo'!C1892</f>
        <v>17987</v>
      </c>
      <c r="E1892" s="34" t="str">
        <f aca="false">'Uso e Consumo'!D1892</f>
        <v>24.09.0081</v>
      </c>
      <c r="F1892" s="34" t="str">
        <f aca="false">'Uso e Consumo'!E1892</f>
        <v>CHAVE FENDA CRUZADA 1/4" X 6" AÇO CROMO-VANADIO CROMADO/NIQUELADO CABO POLIPROPILENO</v>
      </c>
      <c r="G1892" s="34" t="str">
        <f aca="false">'Uso e Consumo'!J1892</f>
        <v>UN</v>
      </c>
      <c r="H1892" s="49" t="n">
        <f aca="false">'Uso e Consumo'!F1892</f>
        <v>10</v>
      </c>
      <c r="I1892" s="35" t="n">
        <f aca="false">'Uso e Consumo'!G1892</f>
        <v>174.5</v>
      </c>
      <c r="J1892" s="34" t="str">
        <f aca="false">'Uso e Consumo'!M1892</f>
        <v>3.8.2.002 - Ferramentas manuais</v>
      </c>
      <c r="K1892" s="32" t="str">
        <f aca="false">INDEX('Curva ABC'!$K$8:$K$2847,MATCH(D1892,'Curva ABC'!$B$8:$B$2847,0))</f>
        <v>C</v>
      </c>
    </row>
    <row r="1893" customFormat="false" ht="15" hidden="false" customHeight="false" outlineLevel="0" collapsed="false">
      <c r="A1893" s="34" t="s">
        <v>5799</v>
      </c>
      <c r="B1893" s="34" t="str">
        <f aca="false">'Uso e Consumo'!A1893</f>
        <v>0335</v>
      </c>
      <c r="C1893" s="34" t="str">
        <f aca="false">'Uso e Consumo'!B1893</f>
        <v>UFV NORONHA VERDE - USO E CONSUMO</v>
      </c>
      <c r="D1893" s="33" t="n">
        <f aca="false">'Uso e Consumo'!C1893</f>
        <v>21837</v>
      </c>
      <c r="E1893" s="34" t="str">
        <f aca="false">'Uso e Consumo'!D1893</f>
        <v>30.04.0042</v>
      </c>
      <c r="F1893" s="34" t="str">
        <f aca="false">'Uso e Consumo'!E1893</f>
        <v>BORRIFADOR PLÁSTICO 500,00ML</v>
      </c>
      <c r="G1893" s="34" t="str">
        <f aca="false">'Uso e Consumo'!J1893</f>
        <v>UN</v>
      </c>
      <c r="H1893" s="49" t="n">
        <f aca="false">'Uso e Consumo'!F1893</f>
        <v>30</v>
      </c>
      <c r="I1893" s="35" t="n">
        <f aca="false">'Uso e Consumo'!G1893</f>
        <v>173.8</v>
      </c>
      <c r="J1893" s="34" t="str">
        <f aca="false">'Uso e Consumo'!M1893</f>
        <v>4.1.1.001 - Material de uso e consumo</v>
      </c>
      <c r="K1893" s="32" t="str">
        <f aca="false">INDEX('Curva ABC'!$K$8:$K$2847,MATCH(D1893,'Curva ABC'!$B$8:$B$2847,0))</f>
        <v>C</v>
      </c>
    </row>
    <row r="1894" customFormat="false" ht="15" hidden="false" customHeight="false" outlineLevel="0" collapsed="false">
      <c r="A1894" s="34" t="s">
        <v>5799</v>
      </c>
      <c r="B1894" s="34" t="str">
        <f aca="false">'Uso e Consumo'!A1894</f>
        <v>0335</v>
      </c>
      <c r="C1894" s="34" t="str">
        <f aca="false">'Uso e Consumo'!B1894</f>
        <v>UFV NORONHA VERDE - USO E CONSUMO</v>
      </c>
      <c r="D1894" s="33" t="n">
        <f aca="false">'Uso e Consumo'!C1894</f>
        <v>65262</v>
      </c>
      <c r="E1894" s="34" t="str">
        <f aca="false">'Uso e Consumo'!D1894</f>
        <v>24.09.0333</v>
      </c>
      <c r="F1894" s="34" t="str">
        <f aca="false">'Uso e Consumo'!E1894</f>
        <v>CHAVE COMBINADA 9,00MM AÇO CARBONO CROMADO</v>
      </c>
      <c r="G1894" s="34" t="str">
        <f aca="false">'Uso e Consumo'!J1894</f>
        <v>UN</v>
      </c>
      <c r="H1894" s="49" t="n">
        <f aca="false">'Uso e Consumo'!F1894</f>
        <v>5</v>
      </c>
      <c r="I1894" s="35" t="n">
        <f aca="false">'Uso e Consumo'!G1894</f>
        <v>172.86</v>
      </c>
      <c r="J1894" s="34" t="str">
        <f aca="false">'Uso e Consumo'!M1894</f>
        <v>3.8.2.002 - Ferramentas manuais</v>
      </c>
      <c r="K1894" s="32" t="str">
        <f aca="false">INDEX('Curva ABC'!$K$8:$K$2847,MATCH(D1894,'Curva ABC'!$B$8:$B$2847,0))</f>
        <v>C</v>
      </c>
    </row>
    <row r="1895" customFormat="false" ht="15" hidden="false" customHeight="false" outlineLevel="0" collapsed="false">
      <c r="A1895" s="34" t="s">
        <v>5799</v>
      </c>
      <c r="B1895" s="34" t="str">
        <f aca="false">'Uso e Consumo'!A1895</f>
        <v>0335</v>
      </c>
      <c r="C1895" s="34" t="str">
        <f aca="false">'Uso e Consumo'!B1895</f>
        <v>UFV NORONHA VERDE - USO E CONSUMO</v>
      </c>
      <c r="D1895" s="33" t="n">
        <f aca="false">'Uso e Consumo'!C1895</f>
        <v>138484</v>
      </c>
      <c r="E1895" s="34" t="str">
        <f aca="false">'Uso e Consumo'!D1895</f>
        <v>29.01.0532</v>
      </c>
      <c r="F1895" s="34" t="str">
        <f aca="false">'Uso e Consumo'!E1895</f>
        <v>TESOURA DE CORTE PARA CABISTA</v>
      </c>
      <c r="G1895" s="34" t="str">
        <f aca="false">'Uso e Consumo'!J1895</f>
        <v>UN</v>
      </c>
      <c r="H1895" s="49" t="n">
        <f aca="false">'Uso e Consumo'!F1895</f>
        <v>2</v>
      </c>
      <c r="I1895" s="35" t="n">
        <f aca="false">'Uso e Consumo'!G1895</f>
        <v>172</v>
      </c>
      <c r="J1895" s="34" t="str">
        <f aca="false">'Uso e Consumo'!M1895</f>
        <v>4.1.1.007 - Equipamentos e acessórios para informática</v>
      </c>
      <c r="K1895" s="32" t="str">
        <f aca="false">INDEX('Curva ABC'!$K$8:$K$2847,MATCH(D1895,'Curva ABC'!$B$8:$B$2847,0))</f>
        <v>C</v>
      </c>
    </row>
    <row r="1896" customFormat="false" ht="15" hidden="false" customHeight="false" outlineLevel="0" collapsed="false">
      <c r="A1896" s="34" t="s">
        <v>5799</v>
      </c>
      <c r="B1896" s="34" t="str">
        <f aca="false">'Uso e Consumo'!A1896</f>
        <v>0335</v>
      </c>
      <c r="C1896" s="34" t="str">
        <f aca="false">'Uso e Consumo'!B1896</f>
        <v>UFV NORONHA VERDE - USO E CONSUMO</v>
      </c>
      <c r="D1896" s="33" t="n">
        <f aca="false">'Uso e Consumo'!C1896</f>
        <v>932438</v>
      </c>
      <c r="E1896" s="34" t="str">
        <f aca="false">'Uso e Consumo'!D1896</f>
        <v>18.01.1330</v>
      </c>
      <c r="F1896" s="34" t="str">
        <f aca="false">'Uso e Consumo'!E1896</f>
        <v>TÊ ESGOTO 40MM</v>
      </c>
      <c r="G1896" s="34" t="str">
        <f aca="false">'Uso e Consumo'!J1896</f>
        <v>UN</v>
      </c>
      <c r="H1896" s="49" t="n">
        <f aca="false">'Uso e Consumo'!F1896</f>
        <v>9</v>
      </c>
      <c r="I1896" s="35" t="n">
        <f aca="false">'Uso e Consumo'!G1896</f>
        <v>172</v>
      </c>
      <c r="J1896" s="34" t="str">
        <f aca="false">'Uso e Consumo'!M1896</f>
        <v>3.8.1.018 - Instalações hidráulicas/sanitárias/industriais</v>
      </c>
      <c r="K1896" s="32" t="str">
        <f aca="false">INDEX('Curva ABC'!$K$8:$K$2847,MATCH(D1896,'Curva ABC'!$B$8:$B$2847,0))</f>
        <v>C</v>
      </c>
    </row>
    <row r="1897" customFormat="false" ht="15" hidden="false" customHeight="false" outlineLevel="0" collapsed="false">
      <c r="A1897" s="34" t="s">
        <v>5799</v>
      </c>
      <c r="B1897" s="34" t="str">
        <f aca="false">'Uso e Consumo'!A1897</f>
        <v>0335</v>
      </c>
      <c r="C1897" s="34" t="str">
        <f aca="false">'Uso e Consumo'!B1897</f>
        <v>UFV NORONHA VERDE - USO E CONSUMO</v>
      </c>
      <c r="D1897" s="33" t="n">
        <f aca="false">'Uso e Consumo'!C1897</f>
        <v>56608</v>
      </c>
      <c r="E1897" s="34" t="str">
        <f aca="false">'Uso e Consumo'!D1897</f>
        <v>17.02.0271</v>
      </c>
      <c r="F1897" s="34" t="str">
        <f aca="false">'Uso e Consumo'!E1897</f>
        <v>CURVA ELETRODUTO AÇO GALVANIZADO 1/2"</v>
      </c>
      <c r="G1897" s="34" t="str">
        <f aca="false">'Uso e Consumo'!J1897</f>
        <v>UN</v>
      </c>
      <c r="H1897" s="49" t="n">
        <f aca="false">'Uso e Consumo'!F1897</f>
        <v>12</v>
      </c>
      <c r="I1897" s="35" t="n">
        <f aca="false">'Uso e Consumo'!G1897</f>
        <v>171.76</v>
      </c>
      <c r="J1897" s="34" t="str">
        <f aca="false">'Uso e Consumo'!M1897</f>
        <v>3.8.1.017 - Instalações elétricas/telefônicas/lógica</v>
      </c>
      <c r="K1897" s="32" t="str">
        <f aca="false">INDEX('Curva ABC'!$K$8:$K$2847,MATCH(D1897,'Curva ABC'!$B$8:$B$2847,0))</f>
        <v>C</v>
      </c>
    </row>
    <row r="1898" customFormat="false" ht="15" hidden="false" customHeight="false" outlineLevel="0" collapsed="false">
      <c r="A1898" s="34" t="s">
        <v>5799</v>
      </c>
      <c r="B1898" s="34" t="str">
        <f aca="false">'Uso e Consumo'!A1898</f>
        <v>0335</v>
      </c>
      <c r="C1898" s="34" t="str">
        <f aca="false">'Uso e Consumo'!B1898</f>
        <v>UFV NORONHA VERDE - USO E CONSUMO</v>
      </c>
      <c r="D1898" s="33" t="n">
        <f aca="false">'Uso e Consumo'!C1898</f>
        <v>1465936</v>
      </c>
      <c r="E1898" s="34" t="str">
        <f aca="false">'Uso e Consumo'!D1898</f>
        <v>17.02.0901</v>
      </c>
      <c r="F1898" s="34" t="str">
        <f aca="false">'Uso e Consumo'!E1898</f>
        <v>ELETRODUTO PVC RÍGIDO 60 MM, COM ROSCA 2" BSP, COR PRETO, BARRA 3,00 M</v>
      </c>
      <c r="G1898" s="34" t="str">
        <f aca="false">'Uso e Consumo'!J1898</f>
        <v>UN</v>
      </c>
      <c r="H1898" s="49" t="n">
        <f aca="false">'Uso e Consumo'!F1898</f>
        <v>4</v>
      </c>
      <c r="I1898" s="35" t="n">
        <f aca="false">'Uso e Consumo'!G1898</f>
        <v>171.28</v>
      </c>
      <c r="J1898" s="34" t="str">
        <f aca="false">'Uso e Consumo'!M1898</f>
        <v>3.8.1.017 - Instalações elétricas/telefônicas/lógica</v>
      </c>
      <c r="K1898" s="32" t="str">
        <f aca="false">INDEX('Curva ABC'!$K$8:$K$2847,MATCH(D1898,'Curva ABC'!$B$8:$B$2847,0))</f>
        <v>C</v>
      </c>
    </row>
    <row r="1899" customFormat="false" ht="15" hidden="false" customHeight="false" outlineLevel="0" collapsed="false">
      <c r="A1899" s="34" t="s">
        <v>5799</v>
      </c>
      <c r="B1899" s="34" t="str">
        <f aca="false">'Uso e Consumo'!A1899</f>
        <v>0335</v>
      </c>
      <c r="C1899" s="34" t="str">
        <f aca="false">'Uso e Consumo'!B1899</f>
        <v>UFV NORONHA VERDE - USO E CONSUMO</v>
      </c>
      <c r="D1899" s="33" t="n">
        <f aca="false">'Uso e Consumo'!C1899</f>
        <v>21854</v>
      </c>
      <c r="E1899" s="34" t="str">
        <f aca="false">'Uso e Consumo'!D1899</f>
        <v>24.40.0006</v>
      </c>
      <c r="F1899" s="34" t="str">
        <f aca="false">'Uso e Consumo'!E1899</f>
        <v>PONTEIRO SEXTAVADO EM AÇO FORJADO 3/4" X 12" (19,00MM X 305,00MM)</v>
      </c>
      <c r="G1899" s="34" t="str">
        <f aca="false">'Uso e Consumo'!J1899</f>
        <v>UN</v>
      </c>
      <c r="H1899" s="49" t="n">
        <f aca="false">'Uso e Consumo'!F1899</f>
        <v>9</v>
      </c>
      <c r="I1899" s="35" t="n">
        <f aca="false">'Uso e Consumo'!G1899</f>
        <v>171</v>
      </c>
      <c r="J1899" s="34" t="str">
        <f aca="false">'Uso e Consumo'!M1899</f>
        <v>3.8.2.002 - Ferramentas manuais</v>
      </c>
      <c r="K1899" s="32" t="str">
        <f aca="false">INDEX('Curva ABC'!$K$8:$K$2847,MATCH(D1899,'Curva ABC'!$B$8:$B$2847,0))</f>
        <v>C</v>
      </c>
    </row>
    <row r="1900" customFormat="false" ht="15" hidden="false" customHeight="false" outlineLevel="0" collapsed="false">
      <c r="A1900" s="34" t="s">
        <v>5799</v>
      </c>
      <c r="B1900" s="34" t="str">
        <f aca="false">'Uso e Consumo'!A1900</f>
        <v>0335</v>
      </c>
      <c r="C1900" s="34" t="str">
        <f aca="false">'Uso e Consumo'!B1900</f>
        <v>UFV NORONHA VERDE - USO E CONSUMO</v>
      </c>
      <c r="D1900" s="33" t="n">
        <f aca="false">'Uso e Consumo'!C1900</f>
        <v>57969</v>
      </c>
      <c r="E1900" s="34" t="str">
        <f aca="false">'Uso e Consumo'!D1900</f>
        <v>24.09.0302</v>
      </c>
      <c r="F1900" s="34" t="str">
        <f aca="false">'Uso e Consumo'!E1900</f>
        <v>CHAVE COMBINADA 38,00MM AÇO CARBONO CROMADO</v>
      </c>
      <c r="G1900" s="34" t="str">
        <f aca="false">'Uso e Consumo'!J1900</f>
        <v>UN</v>
      </c>
      <c r="H1900" s="49" t="n">
        <f aca="false">'Uso e Consumo'!F1900</f>
        <v>1</v>
      </c>
      <c r="I1900" s="35" t="n">
        <f aca="false">'Uso e Consumo'!G1900</f>
        <v>171</v>
      </c>
      <c r="J1900" s="34" t="str">
        <f aca="false">'Uso e Consumo'!M1900</f>
        <v>3.8.2.002 - Ferramentas manuais</v>
      </c>
      <c r="K1900" s="32" t="str">
        <f aca="false">INDEX('Curva ABC'!$K$8:$K$2847,MATCH(D1900,'Curva ABC'!$B$8:$B$2847,0))</f>
        <v>C</v>
      </c>
    </row>
    <row r="1901" customFormat="false" ht="15" hidden="false" customHeight="false" outlineLevel="0" collapsed="false">
      <c r="A1901" s="34" t="s">
        <v>5799</v>
      </c>
      <c r="B1901" s="34" t="str">
        <f aca="false">'Uso e Consumo'!A1901</f>
        <v>0335</v>
      </c>
      <c r="C1901" s="34" t="str">
        <f aca="false">'Uso e Consumo'!B1901</f>
        <v>UFV NORONHA VERDE - USO E CONSUMO</v>
      </c>
      <c r="D1901" s="33" t="n">
        <f aca="false">'Uso e Consumo'!C1901</f>
        <v>1092148</v>
      </c>
      <c r="E1901" s="34" t="str">
        <f aca="false">'Uso e Consumo'!D1901</f>
        <v>24.09.0692</v>
      </c>
      <c r="F1901" s="34" t="str">
        <f aca="false">'Uso e Consumo'!E1901</f>
        <v>KIT CHAVE DE FENDA GEDORE ISOLADA</v>
      </c>
      <c r="G1901" s="34" t="str">
        <f aca="false">'Uso e Consumo'!J1901</f>
        <v>UN</v>
      </c>
      <c r="H1901" s="49" t="n">
        <f aca="false">'Uso e Consumo'!F1901</f>
        <v>1</v>
      </c>
      <c r="I1901" s="35" t="n">
        <f aca="false">'Uso e Consumo'!G1901</f>
        <v>170.98</v>
      </c>
      <c r="J1901" s="34" t="str">
        <f aca="false">'Uso e Consumo'!M1901</f>
        <v>3.8.2.002 - Ferramentas manuais</v>
      </c>
      <c r="K1901" s="32" t="str">
        <f aca="false">INDEX('Curva ABC'!$K$8:$K$2847,MATCH(D1901,'Curva ABC'!$B$8:$B$2847,0))</f>
        <v>C</v>
      </c>
    </row>
    <row r="1902" customFormat="false" ht="15" hidden="false" customHeight="false" outlineLevel="0" collapsed="false">
      <c r="A1902" s="34" t="s">
        <v>5799</v>
      </c>
      <c r="B1902" s="34" t="str">
        <f aca="false">'Uso e Consumo'!A1902</f>
        <v>0335</v>
      </c>
      <c r="C1902" s="34" t="str">
        <f aca="false">'Uso e Consumo'!B1902</f>
        <v>UFV NORONHA VERDE - USO E CONSUMO</v>
      </c>
      <c r="D1902" s="33" t="n">
        <f aca="false">'Uso e Consumo'!C1902</f>
        <v>19352</v>
      </c>
      <c r="E1902" s="34" t="str">
        <f aca="false">'Uso e Consumo'!D1902</f>
        <v>30.01.0072</v>
      </c>
      <c r="F1902" s="34" t="str">
        <f aca="false">'Uso e Consumo'!E1902</f>
        <v>CANETA MARCADOR P/ QUADRO BRANCO AZUL</v>
      </c>
      <c r="G1902" s="34" t="str">
        <f aca="false">'Uso e Consumo'!J1902</f>
        <v>UN</v>
      </c>
      <c r="H1902" s="49" t="n">
        <f aca="false">'Uso e Consumo'!F1902</f>
        <v>25</v>
      </c>
      <c r="I1902" s="35" t="n">
        <f aca="false">'Uso e Consumo'!G1902</f>
        <v>170.85</v>
      </c>
      <c r="J1902" s="34" t="str">
        <f aca="false">'Uso e Consumo'!M1902</f>
        <v>4.1.1.002 - Material expediente</v>
      </c>
      <c r="K1902" s="32" t="str">
        <f aca="false">INDEX('Curva ABC'!$K$8:$K$2847,MATCH(D1902,'Curva ABC'!$B$8:$B$2847,0))</f>
        <v>C</v>
      </c>
    </row>
    <row r="1903" customFormat="false" ht="15" hidden="false" customHeight="false" outlineLevel="0" collapsed="false">
      <c r="A1903" s="34" t="s">
        <v>5799</v>
      </c>
      <c r="B1903" s="34" t="str">
        <f aca="false">'Uso e Consumo'!A1903</f>
        <v>0335</v>
      </c>
      <c r="C1903" s="34" t="str">
        <f aca="false">'Uso e Consumo'!B1903</f>
        <v>UFV NORONHA VERDE - USO E CONSUMO</v>
      </c>
      <c r="D1903" s="33" t="n">
        <f aca="false">'Uso e Consumo'!C1903</f>
        <v>19353</v>
      </c>
      <c r="E1903" s="34" t="str">
        <f aca="false">'Uso e Consumo'!D1903</f>
        <v>30.01.0073</v>
      </c>
      <c r="F1903" s="34" t="str">
        <f aca="false">'Uso e Consumo'!E1903</f>
        <v>CANETA MARCADOR P/ QUADRO BRANCO PRETO</v>
      </c>
      <c r="G1903" s="34" t="str">
        <f aca="false">'Uso e Consumo'!J1903</f>
        <v>UN</v>
      </c>
      <c r="H1903" s="49" t="n">
        <f aca="false">'Uso e Consumo'!F1903</f>
        <v>25</v>
      </c>
      <c r="I1903" s="35" t="n">
        <f aca="false">'Uso e Consumo'!G1903</f>
        <v>170.85</v>
      </c>
      <c r="J1903" s="34" t="str">
        <f aca="false">'Uso e Consumo'!M1903</f>
        <v>4.1.1.002 - Material expediente</v>
      </c>
      <c r="K1903" s="32" t="str">
        <f aca="false">INDEX('Curva ABC'!$K$8:$K$2847,MATCH(D1903,'Curva ABC'!$B$8:$B$2847,0))</f>
        <v>C</v>
      </c>
    </row>
    <row r="1904" customFormat="false" ht="15" hidden="false" customHeight="false" outlineLevel="0" collapsed="false">
      <c r="A1904" s="34" t="s">
        <v>5799</v>
      </c>
      <c r="B1904" s="34" t="str">
        <f aca="false">'Uso e Consumo'!A1904</f>
        <v>0335</v>
      </c>
      <c r="C1904" s="34" t="str">
        <f aca="false">'Uso e Consumo'!B1904</f>
        <v>UFV NORONHA VERDE - USO E CONSUMO</v>
      </c>
      <c r="D1904" s="33" t="n">
        <f aca="false">'Uso e Consumo'!C1904</f>
        <v>19355</v>
      </c>
      <c r="E1904" s="34" t="str">
        <f aca="false">'Uso e Consumo'!D1904</f>
        <v>30.01.0075</v>
      </c>
      <c r="F1904" s="34" t="str">
        <f aca="false">'Uso e Consumo'!E1904</f>
        <v>CANETA MARCADOR P/ QUADRO BRANCO VERMELHO</v>
      </c>
      <c r="G1904" s="34" t="str">
        <f aca="false">'Uso e Consumo'!J1904</f>
        <v>UN</v>
      </c>
      <c r="H1904" s="49" t="n">
        <f aca="false">'Uso e Consumo'!F1904</f>
        <v>25</v>
      </c>
      <c r="I1904" s="35" t="n">
        <f aca="false">'Uso e Consumo'!G1904</f>
        <v>170.85</v>
      </c>
      <c r="J1904" s="34" t="str">
        <f aca="false">'Uso e Consumo'!M1904</f>
        <v>4.1.1.002 - Material expediente</v>
      </c>
      <c r="K1904" s="32" t="str">
        <f aca="false">INDEX('Curva ABC'!$K$8:$K$2847,MATCH(D1904,'Curva ABC'!$B$8:$B$2847,0))</f>
        <v>C</v>
      </c>
    </row>
    <row r="1905" customFormat="false" ht="15" hidden="false" customHeight="false" outlineLevel="0" collapsed="false">
      <c r="A1905" s="34" t="s">
        <v>5799</v>
      </c>
      <c r="B1905" s="34" t="str">
        <f aca="false">'Uso e Consumo'!A1905</f>
        <v>0335</v>
      </c>
      <c r="C1905" s="34" t="str">
        <f aca="false">'Uso e Consumo'!B1905</f>
        <v>UFV NORONHA VERDE - USO E CONSUMO</v>
      </c>
      <c r="D1905" s="33" t="n">
        <f aca="false">'Uso e Consumo'!C1905</f>
        <v>750198</v>
      </c>
      <c r="E1905" s="34" t="str">
        <f aca="false">'Uso e Consumo'!D1905</f>
        <v>25.03.0319</v>
      </c>
      <c r="F1905" s="34" t="str">
        <f aca="false">'Uso e Consumo'!E1905</f>
        <v>BROCA SDS-PLUS 20MM </v>
      </c>
      <c r="G1905" s="34" t="str">
        <f aca="false">'Uso e Consumo'!J1905</f>
        <v>UN</v>
      </c>
      <c r="H1905" s="49" t="n">
        <f aca="false">'Uso e Consumo'!F1905</f>
        <v>4</v>
      </c>
      <c r="I1905" s="35" t="n">
        <f aca="false">'Uso e Consumo'!G1905</f>
        <v>170.72</v>
      </c>
      <c r="J1905" s="34" t="str">
        <f aca="false">'Uso e Consumo'!M1905</f>
        <v>3.8.2.004 - Consumíveis para corte, perfuração e desbaste</v>
      </c>
      <c r="K1905" s="32" t="str">
        <f aca="false">INDEX('Curva ABC'!$K$8:$K$2847,MATCH(D1905,'Curva ABC'!$B$8:$B$2847,0))</f>
        <v>C</v>
      </c>
    </row>
    <row r="1906" customFormat="false" ht="15" hidden="false" customHeight="false" outlineLevel="0" collapsed="false">
      <c r="A1906" s="34" t="s">
        <v>5799</v>
      </c>
      <c r="B1906" s="34" t="str">
        <f aca="false">'Uso e Consumo'!A1906</f>
        <v>0335</v>
      </c>
      <c r="C1906" s="34" t="str">
        <f aca="false">'Uso e Consumo'!B1906</f>
        <v>UFV NORONHA VERDE - USO E CONSUMO</v>
      </c>
      <c r="D1906" s="33" t="n">
        <f aca="false">'Uso e Consumo'!C1906</f>
        <v>54564</v>
      </c>
      <c r="E1906" s="34" t="str">
        <f aca="false">'Uso e Consumo'!D1906</f>
        <v>17.10.0185</v>
      </c>
      <c r="F1906" s="34" t="str">
        <f aca="false">'Uso e Consumo'!E1906</f>
        <v>DISJUNTOR MONOPOLAR 25A NBR 60898</v>
      </c>
      <c r="G1906" s="34" t="str">
        <f aca="false">'Uso e Consumo'!J1906</f>
        <v>UN</v>
      </c>
      <c r="H1906" s="49" t="n">
        <f aca="false">'Uso e Consumo'!F1906</f>
        <v>7</v>
      </c>
      <c r="I1906" s="35" t="n">
        <f aca="false">'Uso e Consumo'!G1906</f>
        <v>170.68</v>
      </c>
      <c r="J1906" s="34" t="str">
        <f aca="false">'Uso e Consumo'!M1906</f>
        <v>3.8.1.017 - Instalações elétricas/telefônicas/lógica</v>
      </c>
      <c r="K1906" s="32" t="str">
        <f aca="false">INDEX('Curva ABC'!$K$8:$K$2847,MATCH(D1906,'Curva ABC'!$B$8:$B$2847,0))</f>
        <v>C</v>
      </c>
    </row>
    <row r="1907" customFormat="false" ht="15" hidden="false" customHeight="false" outlineLevel="0" collapsed="false">
      <c r="A1907" s="34" t="s">
        <v>5799</v>
      </c>
      <c r="B1907" s="34" t="str">
        <f aca="false">'Uso e Consumo'!A1907</f>
        <v>0335</v>
      </c>
      <c r="C1907" s="34" t="str">
        <f aca="false">'Uso e Consumo'!B1907</f>
        <v>UFV NORONHA VERDE - USO E CONSUMO</v>
      </c>
      <c r="D1907" s="33" t="n">
        <f aca="false">'Uso e Consumo'!C1907</f>
        <v>16299</v>
      </c>
      <c r="E1907" s="34" t="str">
        <f aca="false">'Uso e Consumo'!D1907</f>
        <v>19.03.0001</v>
      </c>
      <c r="F1907" s="34" t="str">
        <f aca="false">'Uso e Consumo'!E1907</f>
        <v>CUBA LOUCA EMBUTIR APOIO OVAL ÁGUA MARINHA 390,00MM X 300,00MM X 130,00MM PEQUENA S/FURO TORNEIRA</v>
      </c>
      <c r="G1907" s="34" t="str">
        <f aca="false">'Uso e Consumo'!J1907</f>
        <v>UN</v>
      </c>
      <c r="H1907" s="49" t="n">
        <f aca="false">'Uso e Consumo'!F1907</f>
        <v>2</v>
      </c>
      <c r="I1907" s="35" t="n">
        <f aca="false">'Uso e Consumo'!G1907</f>
        <v>170</v>
      </c>
      <c r="J1907" s="34" t="str">
        <f aca="false">'Uso e Consumo'!M1907</f>
        <v>3.8.1.018 - Instalações hidráulicas/sanitárias/industriais</v>
      </c>
      <c r="K1907" s="32" t="str">
        <f aca="false">INDEX('Curva ABC'!$K$8:$K$2847,MATCH(D1907,'Curva ABC'!$B$8:$B$2847,0))</f>
        <v>C</v>
      </c>
    </row>
    <row r="1908" customFormat="false" ht="15" hidden="false" customHeight="false" outlineLevel="0" collapsed="false">
      <c r="A1908" s="34" t="s">
        <v>5799</v>
      </c>
      <c r="B1908" s="34" t="str">
        <f aca="false">'Uso e Consumo'!A1908</f>
        <v>0335</v>
      </c>
      <c r="C1908" s="34" t="str">
        <f aca="false">'Uso e Consumo'!B1908</f>
        <v>UFV NORONHA VERDE - USO E CONSUMO</v>
      </c>
      <c r="D1908" s="33" t="n">
        <f aca="false">'Uso e Consumo'!C1908</f>
        <v>55328</v>
      </c>
      <c r="E1908" s="34" t="str">
        <f aca="false">'Uso e Consumo'!D1908</f>
        <v>25.05.0087</v>
      </c>
      <c r="F1908" s="34" t="str">
        <f aca="false">'Uso e Consumo'!E1908</f>
        <v>SERRA COPO BIMETAL 25mm = 1"</v>
      </c>
      <c r="G1908" s="34" t="str">
        <f aca="false">'Uso e Consumo'!J1908</f>
        <v>UN</v>
      </c>
      <c r="H1908" s="49" t="n">
        <f aca="false">'Uso e Consumo'!F1908</f>
        <v>5</v>
      </c>
      <c r="I1908" s="35" t="n">
        <f aca="false">'Uso e Consumo'!G1908</f>
        <v>170</v>
      </c>
      <c r="J1908" s="34" t="str">
        <f aca="false">'Uso e Consumo'!M1908</f>
        <v>3.8.2.004 - Consumíveis para corte, perfuração e desbaste</v>
      </c>
      <c r="K1908" s="32" t="str">
        <f aca="false">INDEX('Curva ABC'!$K$8:$K$2847,MATCH(D1908,'Curva ABC'!$B$8:$B$2847,0))</f>
        <v>C</v>
      </c>
    </row>
    <row r="1909" customFormat="false" ht="15" hidden="false" customHeight="false" outlineLevel="0" collapsed="false">
      <c r="A1909" s="34" t="s">
        <v>5799</v>
      </c>
      <c r="B1909" s="34" t="str">
        <f aca="false">'Uso e Consumo'!A1909</f>
        <v>0335</v>
      </c>
      <c r="C1909" s="34" t="str">
        <f aca="false">'Uso e Consumo'!B1909</f>
        <v>UFV NORONHA VERDE - USO E CONSUMO</v>
      </c>
      <c r="D1909" s="33" t="n">
        <f aca="false">'Uso e Consumo'!C1909</f>
        <v>853866</v>
      </c>
      <c r="E1909" s="34" t="str">
        <f aca="false">'Uso e Consumo'!D1909</f>
        <v>25.10.0065</v>
      </c>
      <c r="F1909" s="34" t="str">
        <f aca="false">'Uso e Consumo'!E1909</f>
        <v>LINHA NYLON 160</v>
      </c>
      <c r="G1909" s="34" t="str">
        <f aca="false">'Uso e Consumo'!J1909</f>
        <v>rl</v>
      </c>
      <c r="H1909" s="49" t="n">
        <f aca="false">'Uso e Consumo'!F1909</f>
        <v>10</v>
      </c>
      <c r="I1909" s="35" t="n">
        <f aca="false">'Uso e Consumo'!G1909</f>
        <v>170</v>
      </c>
      <c r="J1909" s="34" t="str">
        <f aca="false">'Uso e Consumo'!M1909</f>
        <v>3.8.2.006 - Utensílios</v>
      </c>
      <c r="K1909" s="32" t="str">
        <f aca="false">INDEX('Curva ABC'!$K$8:$K$2847,MATCH(D1909,'Curva ABC'!$B$8:$B$2847,0))</f>
        <v>C</v>
      </c>
    </row>
    <row r="1910" customFormat="false" ht="15" hidden="false" customHeight="false" outlineLevel="0" collapsed="false">
      <c r="A1910" s="34" t="s">
        <v>5799</v>
      </c>
      <c r="B1910" s="34" t="str">
        <f aca="false">'Uso e Consumo'!A1910</f>
        <v>0335</v>
      </c>
      <c r="C1910" s="34" t="str">
        <f aca="false">'Uso e Consumo'!B1910</f>
        <v>UFV NORONHA VERDE - USO E CONSUMO</v>
      </c>
      <c r="D1910" s="33" t="n">
        <f aca="false">'Uso e Consumo'!C1910</f>
        <v>873214</v>
      </c>
      <c r="E1910" s="34" t="str">
        <f aca="false">'Uso e Consumo'!D1910</f>
        <v>26.01.0091</v>
      </c>
      <c r="F1910" s="34" t="str">
        <f aca="false">'Uso e Consumo'!E1910</f>
        <v>COLETE REFLETIVO QSMS P - LARANJA</v>
      </c>
      <c r="G1910" s="34" t="str">
        <f aca="false">'Uso e Consumo'!J1910</f>
        <v>UN</v>
      </c>
      <c r="H1910" s="49" t="n">
        <f aca="false">'Uso e Consumo'!F1910</f>
        <v>2</v>
      </c>
      <c r="I1910" s="35" t="n">
        <f aca="false">'Uso e Consumo'!G1910</f>
        <v>170</v>
      </c>
      <c r="J1910" s="34" t="str">
        <f aca="false">'Uso e Consumo'!M1910</f>
        <v>4.3.4.001 - Equipamento de proteção individual</v>
      </c>
      <c r="K1910" s="32" t="str">
        <f aca="false">INDEX('Curva ABC'!$K$8:$K$2847,MATCH(D1910,'Curva ABC'!$B$8:$B$2847,0))</f>
        <v>C</v>
      </c>
    </row>
    <row r="1911" customFormat="false" ht="15" hidden="false" customHeight="false" outlineLevel="0" collapsed="false">
      <c r="A1911" s="34" t="s">
        <v>5799</v>
      </c>
      <c r="B1911" s="34" t="str">
        <f aca="false">'Uso e Consumo'!A1911</f>
        <v>0335</v>
      </c>
      <c r="C1911" s="34" t="str">
        <f aca="false">'Uso e Consumo'!B1911</f>
        <v>UFV NORONHA VERDE - USO E CONSUMO</v>
      </c>
      <c r="D1911" s="33" t="n">
        <f aca="false">'Uso e Consumo'!C1911</f>
        <v>873215</v>
      </c>
      <c r="E1911" s="34" t="str">
        <f aca="false">'Uso e Consumo'!D1911</f>
        <v>26.01.0092</v>
      </c>
      <c r="F1911" s="34" t="str">
        <f aca="false">'Uso e Consumo'!E1911</f>
        <v>COLETE REFLETIVO QSMS M - LARANJA</v>
      </c>
      <c r="G1911" s="34" t="str">
        <f aca="false">'Uso e Consumo'!J1911</f>
        <v>UN</v>
      </c>
      <c r="H1911" s="49" t="n">
        <f aca="false">'Uso e Consumo'!F1911</f>
        <v>2</v>
      </c>
      <c r="I1911" s="35" t="n">
        <f aca="false">'Uso e Consumo'!G1911</f>
        <v>170</v>
      </c>
      <c r="J1911" s="34" t="str">
        <f aca="false">'Uso e Consumo'!M1911</f>
        <v>4.3.4.001 - Equipamento de proteção individual</v>
      </c>
      <c r="K1911" s="32" t="str">
        <f aca="false">INDEX('Curva ABC'!$K$8:$K$2847,MATCH(D1911,'Curva ABC'!$B$8:$B$2847,0))</f>
        <v>C</v>
      </c>
    </row>
    <row r="1912" customFormat="false" ht="15" hidden="false" customHeight="false" outlineLevel="0" collapsed="false">
      <c r="A1912" s="34" t="s">
        <v>5799</v>
      </c>
      <c r="B1912" s="34" t="str">
        <f aca="false">'Uso e Consumo'!A1912</f>
        <v>0335</v>
      </c>
      <c r="C1912" s="34" t="str">
        <f aca="false">'Uso e Consumo'!B1912</f>
        <v>UFV NORONHA VERDE - USO E CONSUMO</v>
      </c>
      <c r="D1912" s="33" t="n">
        <f aca="false">'Uso e Consumo'!C1912</f>
        <v>873217</v>
      </c>
      <c r="E1912" s="34" t="str">
        <f aca="false">'Uso e Consumo'!D1912</f>
        <v>26.01.0094</v>
      </c>
      <c r="F1912" s="34" t="str">
        <f aca="false">'Uso e Consumo'!E1912</f>
        <v>COLETE REFLETIVO QSMS GG - LARANJA</v>
      </c>
      <c r="G1912" s="34" t="str">
        <f aca="false">'Uso e Consumo'!J1912</f>
        <v>UN</v>
      </c>
      <c r="H1912" s="49" t="n">
        <f aca="false">'Uso e Consumo'!F1912</f>
        <v>2</v>
      </c>
      <c r="I1912" s="35" t="n">
        <f aca="false">'Uso e Consumo'!G1912</f>
        <v>170</v>
      </c>
      <c r="J1912" s="34" t="str">
        <f aca="false">'Uso e Consumo'!M1912</f>
        <v>4.3.4.001 - Equipamento de proteção individual</v>
      </c>
      <c r="K1912" s="32" t="str">
        <f aca="false">INDEX('Curva ABC'!$K$8:$K$2847,MATCH(D1912,'Curva ABC'!$B$8:$B$2847,0))</f>
        <v>C</v>
      </c>
    </row>
    <row r="1913" customFormat="false" ht="15" hidden="false" customHeight="false" outlineLevel="0" collapsed="false">
      <c r="A1913" s="34" t="s">
        <v>5799</v>
      </c>
      <c r="B1913" s="34" t="str">
        <f aca="false">'Uso e Consumo'!A1913</f>
        <v>0335</v>
      </c>
      <c r="C1913" s="34" t="str">
        <f aca="false">'Uso e Consumo'!B1913</f>
        <v>UFV NORONHA VERDE - USO E CONSUMO</v>
      </c>
      <c r="D1913" s="33" t="n">
        <f aca="false">'Uso e Consumo'!C1913</f>
        <v>65641</v>
      </c>
      <c r="E1913" s="34" t="str">
        <f aca="false">'Uso e Consumo'!D1913</f>
        <v>17.08.0102</v>
      </c>
      <c r="F1913" s="34" t="str">
        <f aca="false">'Uso e Consumo'!E1913</f>
        <v>QUADRO DE DISTRIBUIÇÃO PARA 24 DISJUNTORES COM BARRAMENTO</v>
      </c>
      <c r="G1913" s="34" t="str">
        <f aca="false">'Uso e Consumo'!J1913</f>
        <v>UN</v>
      </c>
      <c r="H1913" s="49" t="n">
        <f aca="false">'Uso e Consumo'!F1913</f>
        <v>1</v>
      </c>
      <c r="I1913" s="35" t="n">
        <f aca="false">'Uso e Consumo'!G1913</f>
        <v>169.95</v>
      </c>
      <c r="J1913" s="34" t="str">
        <f aca="false">'Uso e Consumo'!M1913</f>
        <v>3.8.1.017 - Instalações elétricas/telefônicas/lógica</v>
      </c>
      <c r="K1913" s="32" t="str">
        <f aca="false">INDEX('Curva ABC'!$K$8:$K$2847,MATCH(D1913,'Curva ABC'!$B$8:$B$2847,0))</f>
        <v>C</v>
      </c>
    </row>
    <row r="1914" customFormat="false" ht="15" hidden="false" customHeight="false" outlineLevel="0" collapsed="false">
      <c r="A1914" s="34" t="s">
        <v>5799</v>
      </c>
      <c r="B1914" s="34" t="str">
        <f aca="false">'Uso e Consumo'!A1914</f>
        <v>0335</v>
      </c>
      <c r="C1914" s="34" t="str">
        <f aca="false">'Uso e Consumo'!B1914</f>
        <v>UFV NORONHA VERDE - USO E CONSUMO</v>
      </c>
      <c r="D1914" s="33" t="n">
        <f aca="false">'Uso e Consumo'!C1914</f>
        <v>870436</v>
      </c>
      <c r="E1914" s="34" t="str">
        <f aca="false">'Uso e Consumo'!D1914</f>
        <v>30.02.0124</v>
      </c>
      <c r="F1914" s="34" t="str">
        <f aca="false">'Uso e Consumo'!E1914</f>
        <v>REFIL DE TINTA EPSON T544120-AL PRETO</v>
      </c>
      <c r="G1914" s="34" t="str">
        <f aca="false">'Uso e Consumo'!J1914</f>
        <v>UN</v>
      </c>
      <c r="H1914" s="49" t="n">
        <f aca="false">'Uso e Consumo'!F1914</f>
        <v>3</v>
      </c>
      <c r="I1914" s="35" t="n">
        <f aca="false">'Uso e Consumo'!G1914</f>
        <v>169.83</v>
      </c>
      <c r="J1914" s="34" t="str">
        <f aca="false">'Uso e Consumo'!M1914</f>
        <v>4.1.1.002 - Material expediente</v>
      </c>
      <c r="K1914" s="32" t="str">
        <f aca="false">INDEX('Curva ABC'!$K$8:$K$2847,MATCH(D1914,'Curva ABC'!$B$8:$B$2847,0))</f>
        <v>C</v>
      </c>
    </row>
    <row r="1915" customFormat="false" ht="15" hidden="false" customHeight="false" outlineLevel="0" collapsed="false">
      <c r="A1915" s="34" t="s">
        <v>5799</v>
      </c>
      <c r="B1915" s="34" t="str">
        <f aca="false">'Uso e Consumo'!A1915</f>
        <v>0335</v>
      </c>
      <c r="C1915" s="34" t="str">
        <f aca="false">'Uso e Consumo'!B1915</f>
        <v>UFV NORONHA VERDE - USO E CONSUMO</v>
      </c>
      <c r="D1915" s="33" t="n">
        <f aca="false">'Uso e Consumo'!C1915</f>
        <v>870437</v>
      </c>
      <c r="E1915" s="34" t="str">
        <f aca="false">'Uso e Consumo'!D1915</f>
        <v>30.02.0125</v>
      </c>
      <c r="F1915" s="34" t="str">
        <f aca="false">'Uso e Consumo'!E1915</f>
        <v>REFIL DE TINTA EPSON T544120-AL CIANO</v>
      </c>
      <c r="G1915" s="34" t="str">
        <f aca="false">'Uso e Consumo'!J1915</f>
        <v>UN</v>
      </c>
      <c r="H1915" s="49" t="n">
        <f aca="false">'Uso e Consumo'!F1915</f>
        <v>3</v>
      </c>
      <c r="I1915" s="35" t="n">
        <f aca="false">'Uso e Consumo'!G1915</f>
        <v>169.83</v>
      </c>
      <c r="J1915" s="34" t="str">
        <f aca="false">'Uso e Consumo'!M1915</f>
        <v>4.1.1.002 - Material expediente</v>
      </c>
      <c r="K1915" s="32" t="str">
        <f aca="false">INDEX('Curva ABC'!$K$8:$K$2847,MATCH(D1915,'Curva ABC'!$B$8:$B$2847,0))</f>
        <v>C</v>
      </c>
    </row>
    <row r="1916" customFormat="false" ht="22.35" hidden="false" customHeight="false" outlineLevel="0" collapsed="false">
      <c r="A1916" s="34" t="s">
        <v>5799</v>
      </c>
      <c r="B1916" s="34" t="str">
        <f aca="false">'Uso e Consumo'!A1916</f>
        <v>0335</v>
      </c>
      <c r="C1916" s="34" t="str">
        <f aca="false">'Uso e Consumo'!B1916</f>
        <v>UFV NORONHA VERDE - USO E CONSUMO</v>
      </c>
      <c r="D1916" s="33" t="n">
        <f aca="false">'Uso e Consumo'!C1916</f>
        <v>1486826</v>
      </c>
      <c r="E1916" s="34" t="str">
        <f aca="false">'Uso e Consumo'!D1916</f>
        <v>17.16.3844</v>
      </c>
      <c r="F1916" s="50" t="str">
        <f aca="false">'Uso e Consumo'!E1916</f>
        <v>CONECTOR MACHO FIXO PARA ELETRODUTO METÁLICO FLEXÍVEL DN 1" ROSCA BSP COM PORCA IP65
</v>
      </c>
      <c r="G1916" s="34" t="str">
        <f aca="false">'Uso e Consumo'!J1916</f>
        <v>UN</v>
      </c>
      <c r="H1916" s="49" t="n">
        <f aca="false">'Uso e Consumo'!F1916</f>
        <v>14</v>
      </c>
      <c r="I1916" s="35" t="n">
        <f aca="false">'Uso e Consumo'!G1916</f>
        <v>169.7</v>
      </c>
      <c r="J1916" s="34" t="str">
        <f aca="false">'Uso e Consumo'!M1916</f>
        <v>3.8.1.017 - Instalações elétricas/telefônicas/lógica</v>
      </c>
      <c r="K1916" s="32" t="str">
        <f aca="false">INDEX('Curva ABC'!$K$8:$K$2847,MATCH(D1916,'Curva ABC'!$B$8:$B$2847,0))</f>
        <v>C</v>
      </c>
    </row>
    <row r="1917" customFormat="false" ht="15" hidden="false" customHeight="false" outlineLevel="0" collapsed="false">
      <c r="A1917" s="34" t="s">
        <v>5799</v>
      </c>
      <c r="B1917" s="34" t="str">
        <f aca="false">'Uso e Consumo'!A1917</f>
        <v>0335</v>
      </c>
      <c r="C1917" s="34" t="str">
        <f aca="false">'Uso e Consumo'!B1917</f>
        <v>UFV NORONHA VERDE - USO E CONSUMO</v>
      </c>
      <c r="D1917" s="33" t="n">
        <f aca="false">'Uso e Consumo'!C1917</f>
        <v>19386</v>
      </c>
      <c r="E1917" s="34" t="str">
        <f aca="false">'Uso e Consumo'!D1917</f>
        <v>30.01.0106</v>
      </c>
      <c r="F1917" s="34" t="str">
        <f aca="false">'Uso e Consumo'!E1917</f>
        <v>COLA LÍQUIDA BRANCA 40G</v>
      </c>
      <c r="G1917" s="34" t="str">
        <f aca="false">'Uso e Consumo'!J1917</f>
        <v>UN</v>
      </c>
      <c r="H1917" s="49" t="n">
        <f aca="false">'Uso e Consumo'!F1917</f>
        <v>1</v>
      </c>
      <c r="I1917" s="35" t="n">
        <f aca="false">'Uso e Consumo'!G1917</f>
        <v>168</v>
      </c>
      <c r="J1917" s="34" t="str">
        <f aca="false">'Uso e Consumo'!M1917</f>
        <v>4.1.1.002 - Material expediente</v>
      </c>
      <c r="K1917" s="32" t="str">
        <f aca="false">INDEX('Curva ABC'!$K$8:$K$2847,MATCH(D1917,'Curva ABC'!$B$8:$B$2847,0))</f>
        <v>C</v>
      </c>
    </row>
    <row r="1918" customFormat="false" ht="15" hidden="false" customHeight="false" outlineLevel="0" collapsed="false">
      <c r="A1918" s="34" t="s">
        <v>5799</v>
      </c>
      <c r="B1918" s="34" t="str">
        <f aca="false">'Uso e Consumo'!A1918</f>
        <v>0335</v>
      </c>
      <c r="C1918" s="34" t="str">
        <f aca="false">'Uso e Consumo'!B1918</f>
        <v>UFV NORONHA VERDE - USO E CONSUMO</v>
      </c>
      <c r="D1918" s="33" t="n">
        <f aca="false">'Uso e Consumo'!C1918</f>
        <v>21172</v>
      </c>
      <c r="E1918" s="34" t="str">
        <f aca="false">'Uso e Consumo'!D1918</f>
        <v>34.02.0068</v>
      </c>
      <c r="F1918" s="34" t="str">
        <f aca="false">'Uso e Consumo'!E1918</f>
        <v>FILTRO DE COMBUSTÍVEL</v>
      </c>
      <c r="G1918" s="34" t="str">
        <f aca="false">'Uso e Consumo'!J1918</f>
        <v>UN</v>
      </c>
      <c r="H1918" s="49" t="n">
        <f aca="false">'Uso e Consumo'!F1918</f>
        <v>1</v>
      </c>
      <c r="I1918" s="35" t="n">
        <f aca="false">'Uso e Consumo'!G1918</f>
        <v>168</v>
      </c>
      <c r="J1918" s="34" t="str">
        <f aca="false">'Uso e Consumo'!M1918</f>
        <v>3.1.6.002 - Pneus e peças</v>
      </c>
      <c r="K1918" s="32" t="str">
        <f aca="false">INDEX('Curva ABC'!$K$8:$K$2847,MATCH(D1918,'Curva ABC'!$B$8:$B$2847,0))</f>
        <v>C</v>
      </c>
    </row>
    <row r="1919" customFormat="false" ht="15" hidden="false" customHeight="false" outlineLevel="0" collapsed="false">
      <c r="A1919" s="34" t="s">
        <v>5799</v>
      </c>
      <c r="B1919" s="34" t="str">
        <f aca="false">'Uso e Consumo'!A1919</f>
        <v>0335</v>
      </c>
      <c r="C1919" s="34" t="str">
        <f aca="false">'Uso e Consumo'!B1919</f>
        <v>UFV NORONHA VERDE - USO E CONSUMO</v>
      </c>
      <c r="D1919" s="33" t="n">
        <f aca="false">'Uso e Consumo'!C1919</f>
        <v>22321</v>
      </c>
      <c r="E1919" s="34" t="str">
        <f aca="false">'Uso e Consumo'!D1919</f>
        <v>17.12.0190</v>
      </c>
      <c r="F1919" s="34" t="str">
        <f aca="false">'Uso e Consumo'!E1919</f>
        <v>TOMADA  2P + T 16 A</v>
      </c>
      <c r="G1919" s="34" t="str">
        <f aca="false">'Uso e Consumo'!J1919</f>
        <v>UN</v>
      </c>
      <c r="H1919" s="49" t="n">
        <f aca="false">'Uso e Consumo'!F1919</f>
        <v>1</v>
      </c>
      <c r="I1919" s="35" t="n">
        <f aca="false">'Uso e Consumo'!G1919</f>
        <v>168</v>
      </c>
      <c r="J1919" s="34" t="str">
        <f aca="false">'Uso e Consumo'!M1919</f>
        <v>3.8.1.017 - Instalações elétricas/telefônicas/lógica</v>
      </c>
      <c r="K1919" s="32" t="str">
        <f aca="false">INDEX('Curva ABC'!$K$8:$K$2847,MATCH(D1919,'Curva ABC'!$B$8:$B$2847,0))</f>
        <v>C</v>
      </c>
    </row>
    <row r="1920" customFormat="false" ht="15" hidden="false" customHeight="false" outlineLevel="0" collapsed="false">
      <c r="A1920" s="34" t="s">
        <v>5799</v>
      </c>
      <c r="B1920" s="34" t="str">
        <f aca="false">'Uso e Consumo'!A1920</f>
        <v>0335</v>
      </c>
      <c r="C1920" s="34" t="str">
        <f aca="false">'Uso e Consumo'!B1920</f>
        <v>UFV NORONHA VERDE - USO E CONSUMO</v>
      </c>
      <c r="D1920" s="33" t="n">
        <f aca="false">'Uso e Consumo'!C1920</f>
        <v>288687</v>
      </c>
      <c r="E1920" s="34" t="str">
        <f aca="false">'Uso e Consumo'!D1920</f>
        <v>17.07.0041</v>
      </c>
      <c r="F1920" s="34" t="str">
        <f aca="false">'Uso e Consumo'!E1920</f>
        <v>CAIXA PASSAGEM SOBREPOR PVC 25,00CM X 32,00CM X 7,00CM</v>
      </c>
      <c r="G1920" s="34" t="str">
        <f aca="false">'Uso e Consumo'!J1920</f>
        <v>UN</v>
      </c>
      <c r="H1920" s="49" t="n">
        <f aca="false">'Uso e Consumo'!F1920</f>
        <v>1</v>
      </c>
      <c r="I1920" s="35" t="n">
        <f aca="false">'Uso e Consumo'!G1920</f>
        <v>168</v>
      </c>
      <c r="J1920" s="34" t="str">
        <f aca="false">'Uso e Consumo'!M1920</f>
        <v>3.8.1.017 - Instalações elétricas/telefônicas/lógica</v>
      </c>
      <c r="K1920" s="32" t="str">
        <f aca="false">INDEX('Curva ABC'!$K$8:$K$2847,MATCH(D1920,'Curva ABC'!$B$8:$B$2847,0))</f>
        <v>C</v>
      </c>
    </row>
    <row r="1921" customFormat="false" ht="15" hidden="false" customHeight="false" outlineLevel="0" collapsed="false">
      <c r="A1921" s="34" t="s">
        <v>5799</v>
      </c>
      <c r="B1921" s="34" t="str">
        <f aca="false">'Uso e Consumo'!A1921</f>
        <v>0335</v>
      </c>
      <c r="C1921" s="34" t="str">
        <f aca="false">'Uso e Consumo'!B1921</f>
        <v>UFV NORONHA VERDE - USO E CONSUMO</v>
      </c>
      <c r="D1921" s="33" t="n">
        <f aca="false">'Uso e Consumo'!C1921</f>
        <v>747653</v>
      </c>
      <c r="E1921" s="34" t="str">
        <f aca="false">'Uso e Consumo'!D1921</f>
        <v>17.20.0506</v>
      </c>
      <c r="F1921" s="34" t="str">
        <f aca="false">'Uso e Consumo'!E1921</f>
        <v>CAIXA INSPEÇÃO DE ATERRAMENTO PVC, D300X300</v>
      </c>
      <c r="G1921" s="34" t="str">
        <f aca="false">'Uso e Consumo'!J1921</f>
        <v>UN</v>
      </c>
      <c r="H1921" s="49" t="n">
        <f aca="false">'Uso e Consumo'!F1921</f>
        <v>6</v>
      </c>
      <c r="I1921" s="35" t="n">
        <f aca="false">'Uso e Consumo'!G1921</f>
        <v>168</v>
      </c>
      <c r="J1921" s="34" t="str">
        <f aca="false">'Uso e Consumo'!M1921</f>
        <v>3.8.1.018 - Instalações hidráulicas/sanitárias/industriais</v>
      </c>
      <c r="K1921" s="32" t="str">
        <f aca="false">INDEX('Curva ABC'!$K$8:$K$2847,MATCH(D1921,'Curva ABC'!$B$8:$B$2847,0))</f>
        <v>C</v>
      </c>
    </row>
    <row r="1922" customFormat="false" ht="15" hidden="false" customHeight="false" outlineLevel="0" collapsed="false">
      <c r="A1922" s="34" t="s">
        <v>5799</v>
      </c>
      <c r="B1922" s="34" t="str">
        <f aca="false">'Uso e Consumo'!A1922</f>
        <v>0335</v>
      </c>
      <c r="C1922" s="34" t="str">
        <f aca="false">'Uso e Consumo'!B1922</f>
        <v>UFV NORONHA VERDE - USO E CONSUMO</v>
      </c>
      <c r="D1922" s="33" t="n">
        <f aca="false">'Uso e Consumo'!C1922</f>
        <v>1607237</v>
      </c>
      <c r="E1922" s="34" t="str">
        <f aca="false">'Uso e Consumo'!D1922</f>
        <v>34.02.1348</v>
      </c>
      <c r="F1922" s="34" t="str">
        <f aca="false">'Uso e Consumo'!E1922</f>
        <v>UNIAO PRESTOLOK 1/2</v>
      </c>
      <c r="G1922" s="34" t="str">
        <f aca="false">'Uso e Consumo'!J1922</f>
        <v>UN</v>
      </c>
      <c r="H1922" s="49" t="n">
        <f aca="false">'Uso e Consumo'!F1922</f>
        <v>10</v>
      </c>
      <c r="I1922" s="35" t="n">
        <f aca="false">'Uso e Consumo'!G1922</f>
        <v>168</v>
      </c>
      <c r="J1922" s="34" t="str">
        <f aca="false">'Uso e Consumo'!M1922</f>
        <v>3.1.6.002 - Pneus e peças</v>
      </c>
      <c r="K1922" s="32" t="str">
        <f aca="false">INDEX('Curva ABC'!$K$8:$K$2847,MATCH(D1922,'Curva ABC'!$B$8:$B$2847,0))</f>
        <v>C</v>
      </c>
    </row>
    <row r="1923" customFormat="false" ht="15" hidden="false" customHeight="false" outlineLevel="0" collapsed="false">
      <c r="A1923" s="34" t="s">
        <v>5799</v>
      </c>
      <c r="B1923" s="34" t="str">
        <f aca="false">'Uso e Consumo'!A1923</f>
        <v>0335</v>
      </c>
      <c r="C1923" s="34" t="str">
        <f aca="false">'Uso e Consumo'!B1923</f>
        <v>UFV NORONHA VERDE - USO E CONSUMO</v>
      </c>
      <c r="D1923" s="33" t="n">
        <f aca="false">'Uso e Consumo'!C1923</f>
        <v>1065235</v>
      </c>
      <c r="E1923" s="34" t="str">
        <f aca="false">'Uso e Consumo'!D1923</f>
        <v>25.10.0075</v>
      </c>
      <c r="F1923" s="34" t="str">
        <f aca="false">'Uso e Consumo'!E1923</f>
        <v>CORDA TRANÇADA PET 6MM</v>
      </c>
      <c r="G1923" s="34" t="str">
        <f aca="false">'Uso e Consumo'!J1923</f>
        <v>M</v>
      </c>
      <c r="H1923" s="49" t="n">
        <f aca="false">'Uso e Consumo'!F1923</f>
        <v>48</v>
      </c>
      <c r="I1923" s="35" t="n">
        <f aca="false">'Uso e Consumo'!G1923</f>
        <v>167.04</v>
      </c>
      <c r="J1923" s="34" t="str">
        <f aca="false">'Uso e Consumo'!M1923</f>
        <v>3.8.2.006 - Utensílios</v>
      </c>
      <c r="K1923" s="32" t="str">
        <f aca="false">INDEX('Curva ABC'!$K$8:$K$2847,MATCH(D1923,'Curva ABC'!$B$8:$B$2847,0))</f>
        <v>C</v>
      </c>
    </row>
    <row r="1924" customFormat="false" ht="15" hidden="false" customHeight="false" outlineLevel="0" collapsed="false">
      <c r="A1924" s="34" t="s">
        <v>5799</v>
      </c>
      <c r="B1924" s="34" t="str">
        <f aca="false">'Uso e Consumo'!A1924</f>
        <v>0335</v>
      </c>
      <c r="C1924" s="34" t="str">
        <f aca="false">'Uso e Consumo'!B1924</f>
        <v>UFV NORONHA VERDE - USO E CONSUMO</v>
      </c>
      <c r="D1924" s="33" t="n">
        <f aca="false">'Uso e Consumo'!C1924</f>
        <v>23713</v>
      </c>
      <c r="E1924" s="34" t="str">
        <f aca="false">'Uso e Consumo'!D1924</f>
        <v>25.03.0170</v>
      </c>
      <c r="F1924" s="34" t="str">
        <f aca="false">'Uso e Consumo'!E1924</f>
        <v>BROCA AÇO RÁPIDO 1/4</v>
      </c>
      <c r="G1924" s="34" t="str">
        <f aca="false">'Uso e Consumo'!J1924</f>
        <v>UN</v>
      </c>
      <c r="H1924" s="49" t="n">
        <f aca="false">'Uso e Consumo'!F1924</f>
        <v>25</v>
      </c>
      <c r="I1924" s="35" t="n">
        <f aca="false">'Uso e Consumo'!G1924</f>
        <v>166.6</v>
      </c>
      <c r="J1924" s="34" t="str">
        <f aca="false">'Uso e Consumo'!M1924</f>
        <v>3.8.2.004 - Consumíveis para corte, perfuração e desbaste</v>
      </c>
      <c r="K1924" s="32" t="str">
        <f aca="false">INDEX('Curva ABC'!$K$8:$K$2847,MATCH(D1924,'Curva ABC'!$B$8:$B$2847,0))</f>
        <v>C</v>
      </c>
    </row>
    <row r="1925" customFormat="false" ht="15" hidden="false" customHeight="false" outlineLevel="0" collapsed="false">
      <c r="A1925" s="34" t="s">
        <v>5799</v>
      </c>
      <c r="B1925" s="34" t="str">
        <f aca="false">'Uso e Consumo'!A1925</f>
        <v>0335</v>
      </c>
      <c r="C1925" s="34" t="str">
        <f aca="false">'Uso e Consumo'!B1925</f>
        <v>UFV NORONHA VERDE - USO E CONSUMO</v>
      </c>
      <c r="D1925" s="33" t="n">
        <f aca="false">'Uso e Consumo'!C1925</f>
        <v>350923</v>
      </c>
      <c r="E1925" s="34" t="str">
        <f aca="false">'Uso e Consumo'!D1925</f>
        <v>30.01.0609</v>
      </c>
      <c r="F1925" s="34" t="str">
        <f aca="false">'Uso e Consumo'!E1925</f>
        <v>BLOCO DE NOTAS AUTO-ADESIVO SORTIDO 38,00MM X 50,00MM 200FLS</v>
      </c>
      <c r="G1925" s="34" t="str">
        <f aca="false">'Uso e Consumo'!J1925</f>
        <v>UN</v>
      </c>
      <c r="H1925" s="49" t="n">
        <f aca="false">'Uso e Consumo'!F1925</f>
        <v>30</v>
      </c>
      <c r="I1925" s="35" t="n">
        <f aca="false">'Uso e Consumo'!G1925</f>
        <v>166.5</v>
      </c>
      <c r="J1925" s="34" t="str">
        <f aca="false">'Uso e Consumo'!M1925</f>
        <v>4.1.1.002 - Material expediente</v>
      </c>
      <c r="K1925" s="32" t="str">
        <f aca="false">INDEX('Curva ABC'!$K$8:$K$2847,MATCH(D1925,'Curva ABC'!$B$8:$B$2847,0))</f>
        <v>C</v>
      </c>
    </row>
    <row r="1926" customFormat="false" ht="15" hidden="false" customHeight="false" outlineLevel="0" collapsed="false">
      <c r="A1926" s="34" t="s">
        <v>5799</v>
      </c>
      <c r="B1926" s="34" t="str">
        <f aca="false">'Uso e Consumo'!A1926</f>
        <v>0335</v>
      </c>
      <c r="C1926" s="34" t="str">
        <f aca="false">'Uso e Consumo'!B1926</f>
        <v>UFV NORONHA VERDE - USO E CONSUMO</v>
      </c>
      <c r="D1926" s="33" t="n">
        <f aca="false">'Uso e Consumo'!C1926</f>
        <v>946731</v>
      </c>
      <c r="E1926" s="34" t="str">
        <f aca="false">'Uso e Consumo'!D1926</f>
        <v>16.05.0194</v>
      </c>
      <c r="F1926" s="34" t="str">
        <f aca="false">'Uso e Consumo'!E1926</f>
        <v>ESPATULA PLASTICA PARA REJUNTE 13X8CM</v>
      </c>
      <c r="G1926" s="34" t="str">
        <f aca="false">'Uso e Consumo'!J1926</f>
        <v>UN</v>
      </c>
      <c r="H1926" s="49" t="n">
        <f aca="false">'Uso e Consumo'!F1926</f>
        <v>26</v>
      </c>
      <c r="I1926" s="35" t="n">
        <f aca="false">'Uso e Consumo'!G1926</f>
        <v>165.89</v>
      </c>
      <c r="J1926" s="34" t="str">
        <f aca="false">'Uso e Consumo'!M1926</f>
        <v>3.8.1.016 - Pinturas</v>
      </c>
      <c r="K1926" s="32" t="str">
        <f aca="false">INDEX('Curva ABC'!$K$8:$K$2847,MATCH(D1926,'Curva ABC'!$B$8:$B$2847,0))</f>
        <v>C</v>
      </c>
    </row>
    <row r="1927" customFormat="false" ht="15" hidden="false" customHeight="false" outlineLevel="0" collapsed="false">
      <c r="A1927" s="34" t="s">
        <v>5799</v>
      </c>
      <c r="B1927" s="34" t="str">
        <f aca="false">'Uso e Consumo'!A1927</f>
        <v>0335</v>
      </c>
      <c r="C1927" s="34" t="str">
        <f aca="false">'Uso e Consumo'!B1927</f>
        <v>UFV NORONHA VERDE - USO E CONSUMO</v>
      </c>
      <c r="D1927" s="33" t="n">
        <f aca="false">'Uso e Consumo'!C1927</f>
        <v>57461</v>
      </c>
      <c r="E1927" s="34" t="str">
        <f aca="false">'Uso e Consumo'!D1927</f>
        <v>17.20.0178</v>
      </c>
      <c r="F1927" s="34" t="str">
        <f aca="false">'Uso e Consumo'!E1927</f>
        <v>HASTE DE COBRE PARA ATERRAMENTO Ø 1/4” MM X 1,00M</v>
      </c>
      <c r="G1927" s="34" t="str">
        <f aca="false">'Uso e Consumo'!J1927</f>
        <v>UN</v>
      </c>
      <c r="H1927" s="49" t="n">
        <f aca="false">'Uso e Consumo'!F1927</f>
        <v>6</v>
      </c>
      <c r="I1927" s="35" t="n">
        <f aca="false">'Uso e Consumo'!G1927</f>
        <v>165.06</v>
      </c>
      <c r="J1927" s="34" t="str">
        <f aca="false">'Uso e Consumo'!M1927</f>
        <v>3.8.1.017 - Instalações elétricas/telefônicas/lógica</v>
      </c>
      <c r="K1927" s="32" t="str">
        <f aca="false">INDEX('Curva ABC'!$K$8:$K$2847,MATCH(D1927,'Curva ABC'!$B$8:$B$2847,0))</f>
        <v>C</v>
      </c>
    </row>
    <row r="1928" customFormat="false" ht="15" hidden="false" customHeight="false" outlineLevel="0" collapsed="false">
      <c r="A1928" s="34" t="s">
        <v>5799</v>
      </c>
      <c r="B1928" s="34" t="str">
        <f aca="false">'Uso e Consumo'!A1928</f>
        <v>0335</v>
      </c>
      <c r="C1928" s="34" t="str">
        <f aca="false">'Uso e Consumo'!B1928</f>
        <v>UFV NORONHA VERDE - USO E CONSUMO</v>
      </c>
      <c r="D1928" s="33" t="n">
        <f aca="false">'Uso e Consumo'!C1928</f>
        <v>59664</v>
      </c>
      <c r="E1928" s="34" t="str">
        <f aca="false">'Uso e Consumo'!D1928</f>
        <v>23.06.0163</v>
      </c>
      <c r="F1928" s="34" t="str">
        <f aca="false">'Uso e Consumo'!E1928</f>
        <v>PORCA P/ PARAFUSO M16</v>
      </c>
      <c r="G1928" s="34" t="str">
        <f aca="false">'Uso e Consumo'!J1928</f>
        <v>UN</v>
      </c>
      <c r="H1928" s="49" t="n">
        <f aca="false">'Uso e Consumo'!F1928</f>
        <v>100</v>
      </c>
      <c r="I1928" s="35" t="n">
        <f aca="false">'Uso e Consumo'!G1928</f>
        <v>165</v>
      </c>
      <c r="J1928" s="34" t="str">
        <f aca="false">'Uso e Consumo'!M1928</f>
        <v>3.8.1.022 - Elementos de fixação</v>
      </c>
      <c r="K1928" s="32" t="str">
        <f aca="false">INDEX('Curva ABC'!$K$8:$K$2847,MATCH(D1928,'Curva ABC'!$B$8:$B$2847,0))</f>
        <v>C</v>
      </c>
    </row>
    <row r="1929" customFormat="false" ht="15" hidden="false" customHeight="false" outlineLevel="0" collapsed="false">
      <c r="A1929" s="34" t="s">
        <v>5799</v>
      </c>
      <c r="B1929" s="34" t="str">
        <f aca="false">'Uso e Consumo'!A1929</f>
        <v>0335</v>
      </c>
      <c r="C1929" s="34" t="str">
        <f aca="false">'Uso e Consumo'!B1929</f>
        <v>UFV NORONHA VERDE - USO E CONSUMO</v>
      </c>
      <c r="D1929" s="33" t="n">
        <f aca="false">'Uso e Consumo'!C1929</f>
        <v>1330332</v>
      </c>
      <c r="E1929" s="34" t="str">
        <f aca="false">'Uso e Consumo'!D1929</f>
        <v>18.01.1582</v>
      </c>
      <c r="F1929" s="34" t="str">
        <f aca="false">'Uso e Consumo'!E1929</f>
        <v>TUBO DE PVC MARROM SOLDÁVEL 20MM</v>
      </c>
      <c r="G1929" s="34" t="str">
        <f aca="false">'Uso e Consumo'!J1929</f>
        <v>M</v>
      </c>
      <c r="H1929" s="49" t="n">
        <f aca="false">'Uso e Consumo'!F1929</f>
        <v>9</v>
      </c>
      <c r="I1929" s="35" t="n">
        <f aca="false">'Uso e Consumo'!G1929</f>
        <v>164.76</v>
      </c>
      <c r="J1929" s="34" t="str">
        <f aca="false">'Uso e Consumo'!M1929</f>
        <v>3.8.1.018 - Instalações hidráulicas/sanitárias/industriais</v>
      </c>
      <c r="K1929" s="32" t="str">
        <f aca="false">INDEX('Curva ABC'!$K$8:$K$2847,MATCH(D1929,'Curva ABC'!$B$8:$B$2847,0))</f>
        <v>C</v>
      </c>
    </row>
    <row r="1930" customFormat="false" ht="15" hidden="false" customHeight="false" outlineLevel="0" collapsed="false">
      <c r="A1930" s="34" t="s">
        <v>5799</v>
      </c>
      <c r="B1930" s="34" t="str">
        <f aca="false">'Uso e Consumo'!A1930</f>
        <v>0335</v>
      </c>
      <c r="C1930" s="34" t="str">
        <f aca="false">'Uso e Consumo'!B1930</f>
        <v>UFV NORONHA VERDE - USO E CONSUMO</v>
      </c>
      <c r="D1930" s="33" t="n">
        <f aca="false">'Uso e Consumo'!C1930</f>
        <v>1614079</v>
      </c>
      <c r="E1930" s="34" t="str">
        <f aca="false">'Uso e Consumo'!D1930</f>
        <v>23.07.1634</v>
      </c>
      <c r="F1930" s="34" t="str">
        <f aca="false">'Uso e Consumo'!E1930</f>
        <v>PARAFUSO LENTILHA AUTOTRAV 1/4"X5/8"</v>
      </c>
      <c r="G1930" s="34" t="str">
        <f aca="false">'Uso e Consumo'!J1930</f>
        <v>UN</v>
      </c>
      <c r="H1930" s="49" t="n">
        <f aca="false">'Uso e Consumo'!F1930</f>
        <v>151</v>
      </c>
      <c r="I1930" s="35" t="n">
        <f aca="false">'Uso e Consumo'!G1930</f>
        <v>164.59</v>
      </c>
      <c r="J1930" s="34" t="str">
        <f aca="false">'Uso e Consumo'!M1930</f>
        <v>3.8.1.022 - Elementos de fixação</v>
      </c>
      <c r="K1930" s="32" t="str">
        <f aca="false">INDEX('Curva ABC'!$K$8:$K$2847,MATCH(D1930,'Curva ABC'!$B$8:$B$2847,0))</f>
        <v>C</v>
      </c>
    </row>
    <row r="1931" customFormat="false" ht="15" hidden="false" customHeight="false" outlineLevel="0" collapsed="false">
      <c r="A1931" s="34" t="s">
        <v>5799</v>
      </c>
      <c r="B1931" s="34" t="str">
        <f aca="false">'Uso e Consumo'!A1931</f>
        <v>0335</v>
      </c>
      <c r="C1931" s="34" t="str">
        <f aca="false">'Uso e Consumo'!B1931</f>
        <v>UFV NORONHA VERDE - USO E CONSUMO</v>
      </c>
      <c r="D1931" s="33" t="n">
        <f aca="false">'Uso e Consumo'!C1931</f>
        <v>89430</v>
      </c>
      <c r="E1931" s="34" t="str">
        <f aca="false">'Uso e Consumo'!D1931</f>
        <v>23.07.1011</v>
      </c>
      <c r="F1931" s="34" t="str">
        <f aca="false">'Uso e Consumo'!E1931</f>
        <v>PARAFUSO ALLEN 5/16 X 3.1/2</v>
      </c>
      <c r="G1931" s="34" t="str">
        <f aca="false">'Uso e Consumo'!J1931</f>
        <v>UN</v>
      </c>
      <c r="H1931" s="49" t="n">
        <f aca="false">'Uso e Consumo'!F1931</f>
        <v>33</v>
      </c>
      <c r="I1931" s="35" t="n">
        <f aca="false">'Uso e Consumo'!G1931</f>
        <v>164.34</v>
      </c>
      <c r="J1931" s="34" t="str">
        <f aca="false">'Uso e Consumo'!M1931</f>
        <v>3.8.1.022 - Elementos de fixação</v>
      </c>
      <c r="K1931" s="32" t="str">
        <f aca="false">INDEX('Curva ABC'!$K$8:$K$2847,MATCH(D1931,'Curva ABC'!$B$8:$B$2847,0))</f>
        <v>C</v>
      </c>
    </row>
    <row r="1932" customFormat="false" ht="32.8" hidden="false" customHeight="false" outlineLevel="0" collapsed="false">
      <c r="A1932" s="34" t="s">
        <v>5799</v>
      </c>
      <c r="B1932" s="34" t="str">
        <f aca="false">'Uso e Consumo'!A1932</f>
        <v>0335</v>
      </c>
      <c r="C1932" s="34" t="str">
        <f aca="false">'Uso e Consumo'!B1932</f>
        <v>UFV NORONHA VERDE - USO E CONSUMO</v>
      </c>
      <c r="D1932" s="33" t="n">
        <f aca="false">'Uso e Consumo'!C1932</f>
        <v>1485221</v>
      </c>
      <c r="E1932" s="34" t="str">
        <f aca="false">'Uso e Consumo'!D1932</f>
        <v>19.01.0062</v>
      </c>
      <c r="F1932" s="50" t="str">
        <f aca="false">'Uso e Consumo'!E1932</f>
        <v>PERFIL CANTONEIRA EM AÇO TIPO L 1 1/2" X 1/8" COMPRIMENTO 675 MM
</v>
      </c>
      <c r="G1932" s="34" t="str">
        <f aca="false">'Uso e Consumo'!J1932</f>
        <v>UN</v>
      </c>
      <c r="H1932" s="49" t="n">
        <f aca="false">'Uso e Consumo'!F1932</f>
        <v>2</v>
      </c>
      <c r="I1932" s="35" t="n">
        <f aca="false">'Uso e Consumo'!G1932</f>
        <v>163.88</v>
      </c>
      <c r="J1932" s="34" t="str">
        <f aca="false">'Uso e Consumo'!M1932</f>
        <v>3.8.1.001 - Aços e trefilados</v>
      </c>
      <c r="K1932" s="32" t="str">
        <f aca="false">INDEX('Curva ABC'!$K$8:$K$2847,MATCH(D1932,'Curva ABC'!$B$8:$B$2847,0))</f>
        <v>C</v>
      </c>
    </row>
    <row r="1933" customFormat="false" ht="15" hidden="false" customHeight="false" outlineLevel="0" collapsed="false">
      <c r="A1933" s="34" t="s">
        <v>5799</v>
      </c>
      <c r="B1933" s="34" t="str">
        <f aca="false">'Uso e Consumo'!A1933</f>
        <v>0335</v>
      </c>
      <c r="C1933" s="34" t="str">
        <f aca="false">'Uso e Consumo'!B1933</f>
        <v>UFV NORONHA VERDE - USO E CONSUMO</v>
      </c>
      <c r="D1933" s="33" t="n">
        <f aca="false">'Uso e Consumo'!C1933</f>
        <v>1539075</v>
      </c>
      <c r="E1933" s="34" t="str">
        <f aca="false">'Uso e Consumo'!D1933</f>
        <v>24.15.0056</v>
      </c>
      <c r="F1933" s="34" t="str">
        <f aca="false">'Uso e Consumo'!E1933</f>
        <v>DISCO DE CORTE PARA SERRA CIRCULAR 7 1/4" 184 MM</v>
      </c>
      <c r="G1933" s="34" t="str">
        <f aca="false">'Uso e Consumo'!J1933</f>
        <v>UN</v>
      </c>
      <c r="H1933" s="49" t="n">
        <f aca="false">'Uso e Consumo'!F1933</f>
        <v>4</v>
      </c>
      <c r="I1933" s="35" t="n">
        <f aca="false">'Uso e Consumo'!G1933</f>
        <v>163.16</v>
      </c>
      <c r="J1933" s="34" t="str">
        <f aca="false">'Uso e Consumo'!M1933</f>
        <v>3.8.2.003 - Ferramentas elétricas/pneumáticas</v>
      </c>
      <c r="K1933" s="32" t="str">
        <f aca="false">INDEX('Curva ABC'!$K$8:$K$2847,MATCH(D1933,'Curva ABC'!$B$8:$B$2847,0))</f>
        <v>C</v>
      </c>
    </row>
    <row r="1934" customFormat="false" ht="15" hidden="false" customHeight="false" outlineLevel="0" collapsed="false">
      <c r="A1934" s="34" t="s">
        <v>5799</v>
      </c>
      <c r="B1934" s="34" t="str">
        <f aca="false">'Uso e Consumo'!A1934</f>
        <v>0335</v>
      </c>
      <c r="C1934" s="34" t="str">
        <f aca="false">'Uso e Consumo'!B1934</f>
        <v>UFV NORONHA VERDE - USO E CONSUMO</v>
      </c>
      <c r="D1934" s="33" t="n">
        <f aca="false">'Uso e Consumo'!C1934</f>
        <v>35056</v>
      </c>
      <c r="E1934" s="34" t="str">
        <f aca="false">'Uso e Consumo'!D1934</f>
        <v>26.04.0008</v>
      </c>
      <c r="F1934" s="34" t="str">
        <f aca="false">'Uso e Consumo'!E1934</f>
        <v>MOSQUETÃO DE AÇO OVAL COM DUPLA TRAVA MANUAL</v>
      </c>
      <c r="G1934" s="34" t="str">
        <f aca="false">'Uso e Consumo'!J1934</f>
        <v>UN</v>
      </c>
      <c r="H1934" s="49" t="n">
        <f aca="false">'Uso e Consumo'!F1934</f>
        <v>8</v>
      </c>
      <c r="I1934" s="35" t="n">
        <f aca="false">'Uso e Consumo'!G1934</f>
        <v>162.5</v>
      </c>
      <c r="J1934" s="34" t="str">
        <f aca="false">'Uso e Consumo'!M1934</f>
        <v>4.3.4.001 - Equipamento de proteção individual</v>
      </c>
      <c r="K1934" s="32" t="str">
        <f aca="false">INDEX('Curva ABC'!$K$8:$K$2847,MATCH(D1934,'Curva ABC'!$B$8:$B$2847,0))</f>
        <v>C</v>
      </c>
    </row>
    <row r="1935" customFormat="false" ht="15" hidden="false" customHeight="false" outlineLevel="0" collapsed="false">
      <c r="A1935" s="34" t="s">
        <v>5799</v>
      </c>
      <c r="B1935" s="34" t="str">
        <f aca="false">'Uso e Consumo'!A1935</f>
        <v>0335</v>
      </c>
      <c r="C1935" s="34" t="str">
        <f aca="false">'Uso e Consumo'!B1935</f>
        <v>UFV NORONHA VERDE - USO E CONSUMO</v>
      </c>
      <c r="D1935" s="33" t="n">
        <f aca="false">'Uso e Consumo'!C1935</f>
        <v>22365</v>
      </c>
      <c r="E1935" s="34" t="str">
        <f aca="false">'Uso e Consumo'!D1935</f>
        <v>24.09.0210</v>
      </c>
      <c r="F1935" s="34" t="str">
        <f aca="false">'Uso e Consumo'!E1935</f>
        <v>CHAVE COMBINADA 1.1/16" AÇO CARBONO CROMADO</v>
      </c>
      <c r="G1935" s="34" t="str">
        <f aca="false">'Uso e Consumo'!J1935</f>
        <v>UN</v>
      </c>
      <c r="H1935" s="49" t="n">
        <f aca="false">'Uso e Consumo'!F1935</f>
        <v>1</v>
      </c>
      <c r="I1935" s="35" t="n">
        <f aca="false">'Uso e Consumo'!G1935</f>
        <v>162</v>
      </c>
      <c r="J1935" s="34" t="str">
        <f aca="false">'Uso e Consumo'!M1935</f>
        <v>3.8.2.002 - Ferramentas manuais</v>
      </c>
      <c r="K1935" s="32" t="str">
        <f aca="false">INDEX('Curva ABC'!$K$8:$K$2847,MATCH(D1935,'Curva ABC'!$B$8:$B$2847,0))</f>
        <v>C</v>
      </c>
    </row>
    <row r="1936" customFormat="false" ht="15" hidden="false" customHeight="false" outlineLevel="0" collapsed="false">
      <c r="A1936" s="34" t="s">
        <v>5799</v>
      </c>
      <c r="B1936" s="34" t="str">
        <f aca="false">'Uso e Consumo'!A1936</f>
        <v>0335</v>
      </c>
      <c r="C1936" s="34" t="str">
        <f aca="false">'Uso e Consumo'!B1936</f>
        <v>UFV NORONHA VERDE - USO E CONSUMO</v>
      </c>
      <c r="D1936" s="33" t="n">
        <f aca="false">'Uso e Consumo'!C1936</f>
        <v>19517</v>
      </c>
      <c r="E1936" s="34" t="str">
        <f aca="false">'Uso e Consumo'!D1936</f>
        <v>30.01.0237</v>
      </c>
      <c r="F1936" s="34" t="str">
        <f aca="false">'Uso e Consumo'!E1936</f>
        <v>GRAMPOS PARA GRAMPEADOR TAPECEIRO 106/8  C/ 3000UN</v>
      </c>
      <c r="G1936" s="34" t="str">
        <f aca="false">'Uso e Consumo'!J1936</f>
        <v>UN</v>
      </c>
      <c r="H1936" s="49" t="n">
        <f aca="false">'Uso e Consumo'!F1936</f>
        <v>6</v>
      </c>
      <c r="I1936" s="35" t="n">
        <f aca="false">'Uso e Consumo'!G1936</f>
        <v>160.1495</v>
      </c>
      <c r="J1936" s="34" t="str">
        <f aca="false">'Uso e Consumo'!M1936</f>
        <v>4.1.1.002 - Material expediente</v>
      </c>
      <c r="K1936" s="32" t="str">
        <f aca="false">INDEX('Curva ABC'!$K$8:$K$2847,MATCH(D1936,'Curva ABC'!$B$8:$B$2847,0))</f>
        <v>C</v>
      </c>
    </row>
    <row r="1937" customFormat="false" ht="15" hidden="false" customHeight="false" outlineLevel="0" collapsed="false">
      <c r="A1937" s="34" t="s">
        <v>5799</v>
      </c>
      <c r="B1937" s="34" t="str">
        <f aca="false">'Uso e Consumo'!A1937</f>
        <v>0335</v>
      </c>
      <c r="C1937" s="34" t="str">
        <f aca="false">'Uso e Consumo'!B1937</f>
        <v>UFV NORONHA VERDE - USO E CONSUMO</v>
      </c>
      <c r="D1937" s="33" t="n">
        <f aca="false">'Uso e Consumo'!C1937</f>
        <v>741279</v>
      </c>
      <c r="E1937" s="34" t="str">
        <f aca="false">'Uso e Consumo'!D1937</f>
        <v>25.13.0115</v>
      </c>
      <c r="F1937" s="34" t="str">
        <f aca="false">'Uso e Consumo'!E1937</f>
        <v>MANGUEIRA CRISTAL 5/8" </v>
      </c>
      <c r="G1937" s="34" t="str">
        <f aca="false">'Uso e Consumo'!J1937</f>
        <v>M</v>
      </c>
      <c r="H1937" s="49" t="n">
        <f aca="false">'Uso e Consumo'!F1937</f>
        <v>20</v>
      </c>
      <c r="I1937" s="35" t="n">
        <f aca="false">'Uso e Consumo'!G1937</f>
        <v>160</v>
      </c>
      <c r="J1937" s="34" t="str">
        <f aca="false">'Uso e Consumo'!M1937</f>
        <v>3.8.2.006 - Utensílios</v>
      </c>
      <c r="K1937" s="32" t="str">
        <f aca="false">INDEX('Curva ABC'!$K$8:$K$2847,MATCH(D1937,'Curva ABC'!$B$8:$B$2847,0))</f>
        <v>C</v>
      </c>
    </row>
    <row r="1938" customFormat="false" ht="15" hidden="false" customHeight="false" outlineLevel="0" collapsed="false">
      <c r="A1938" s="34" t="s">
        <v>5799</v>
      </c>
      <c r="B1938" s="34" t="str">
        <f aca="false">'Uso e Consumo'!A1938</f>
        <v>0335</v>
      </c>
      <c r="C1938" s="34" t="str">
        <f aca="false">'Uso e Consumo'!B1938</f>
        <v>UFV NORONHA VERDE - USO E CONSUMO</v>
      </c>
      <c r="D1938" s="33" t="n">
        <f aca="false">'Uso e Consumo'!C1938</f>
        <v>1382527</v>
      </c>
      <c r="E1938" s="34" t="str">
        <f aca="false">'Uso e Consumo'!D1938</f>
        <v>30.03.0555</v>
      </c>
      <c r="F1938" s="34" t="str">
        <f aca="false">'Uso e Consumo'!E1938</f>
        <v>VASSOURA GARI COM CABO 50 CM </v>
      </c>
      <c r="G1938" s="34" t="str">
        <f aca="false">'Uso e Consumo'!J1938</f>
        <v>UN</v>
      </c>
      <c r="H1938" s="49" t="n">
        <f aca="false">'Uso e Consumo'!F1938</f>
        <v>5</v>
      </c>
      <c r="I1938" s="35" t="n">
        <f aca="false">'Uso e Consumo'!G1938</f>
        <v>160</v>
      </c>
      <c r="J1938" s="34" t="str">
        <f aca="false">'Uso e Consumo'!M1938</f>
        <v>4.1.1.003 - Material limpeza</v>
      </c>
      <c r="K1938" s="32" t="str">
        <f aca="false">INDEX('Curva ABC'!$K$8:$K$2847,MATCH(D1938,'Curva ABC'!$B$8:$B$2847,0))</f>
        <v>C</v>
      </c>
    </row>
    <row r="1939" customFormat="false" ht="15" hidden="false" customHeight="false" outlineLevel="0" collapsed="false">
      <c r="A1939" s="34" t="s">
        <v>5799</v>
      </c>
      <c r="B1939" s="34" t="str">
        <f aca="false">'Uso e Consumo'!A1939</f>
        <v>0335</v>
      </c>
      <c r="C1939" s="34" t="str">
        <f aca="false">'Uso e Consumo'!B1939</f>
        <v>UFV NORONHA VERDE - USO E CONSUMO</v>
      </c>
      <c r="D1939" s="33" t="n">
        <f aca="false">'Uso e Consumo'!C1939</f>
        <v>1331091</v>
      </c>
      <c r="E1939" s="34" t="str">
        <f aca="false">'Uso e Consumo'!D1939</f>
        <v>30.11.0054</v>
      </c>
      <c r="F1939" s="34" t="str">
        <f aca="false">'Uso e Consumo'!E1939</f>
        <v>BANDEJAS DE MDF RETANGULARES 35X25</v>
      </c>
      <c r="G1939" s="34" t="str">
        <f aca="false">'Uso e Consumo'!J1939</f>
        <v>UN</v>
      </c>
      <c r="H1939" s="49" t="n">
        <f aca="false">'Uso e Consumo'!F1939</f>
        <v>2</v>
      </c>
      <c r="I1939" s="35" t="n">
        <f aca="false">'Uso e Consumo'!G1939</f>
        <v>159.98</v>
      </c>
      <c r="J1939" s="34" t="str">
        <f aca="false">'Uso e Consumo'!M1939</f>
        <v>4.6.1.003 - Brindes</v>
      </c>
      <c r="K1939" s="32" t="str">
        <f aca="false">INDEX('Curva ABC'!$K$8:$K$2847,MATCH(D1939,'Curva ABC'!$B$8:$B$2847,0))</f>
        <v>C</v>
      </c>
    </row>
    <row r="1940" customFormat="false" ht="15" hidden="false" customHeight="false" outlineLevel="0" collapsed="false">
      <c r="A1940" s="34" t="s">
        <v>5799</v>
      </c>
      <c r="B1940" s="34" t="str">
        <f aca="false">'Uso e Consumo'!A1940</f>
        <v>0335</v>
      </c>
      <c r="C1940" s="34" t="str">
        <f aca="false">'Uso e Consumo'!B1940</f>
        <v>UFV NORONHA VERDE - USO E CONSUMO</v>
      </c>
      <c r="D1940" s="33" t="n">
        <f aca="false">'Uso e Consumo'!C1940</f>
        <v>840044</v>
      </c>
      <c r="E1940" s="34" t="str">
        <f aca="false">'Uso e Consumo'!D1940</f>
        <v>18.01.1279</v>
      </c>
      <c r="F1940" s="34" t="str">
        <f aca="false">'Uso e Consumo'!E1940</f>
        <v>REGISTRO ESFERA VS COMPACTO SOLDÁVEL 50MM - TIGRE</v>
      </c>
      <c r="G1940" s="34" t="str">
        <f aca="false">'Uso e Consumo'!J1940</f>
        <v>UN</v>
      </c>
      <c r="H1940" s="49" t="n">
        <f aca="false">'Uso e Consumo'!F1940</f>
        <v>4</v>
      </c>
      <c r="I1940" s="35" t="n">
        <f aca="false">'Uso e Consumo'!G1940</f>
        <v>159.16</v>
      </c>
      <c r="J1940" s="34" t="str">
        <f aca="false">'Uso e Consumo'!M1940</f>
        <v>3.8.1.018 - Instalações hidráulicas/sanitárias/industriais</v>
      </c>
      <c r="K1940" s="32" t="str">
        <f aca="false">INDEX('Curva ABC'!$K$8:$K$2847,MATCH(D1940,'Curva ABC'!$B$8:$B$2847,0))</f>
        <v>C</v>
      </c>
    </row>
    <row r="1941" customFormat="false" ht="15" hidden="false" customHeight="false" outlineLevel="0" collapsed="false">
      <c r="A1941" s="34" t="s">
        <v>5799</v>
      </c>
      <c r="B1941" s="34" t="str">
        <f aca="false">'Uso e Consumo'!A1941</f>
        <v>0335</v>
      </c>
      <c r="C1941" s="34" t="str">
        <f aca="false">'Uso e Consumo'!B1941</f>
        <v>UFV NORONHA VERDE - USO E CONSUMO</v>
      </c>
      <c r="D1941" s="33" t="n">
        <f aca="false">'Uso e Consumo'!C1941</f>
        <v>1096178</v>
      </c>
      <c r="E1941" s="34" t="str">
        <f aca="false">'Uso e Consumo'!D1941</f>
        <v>17.12.0487</v>
      </c>
      <c r="F1941" s="34" t="str">
        <f aca="false">'Uso e Consumo'!E1941</f>
        <v>PLUG FÊMEA 2P+T 10A</v>
      </c>
      <c r="G1941" s="34" t="str">
        <f aca="false">'Uso e Consumo'!J1941</f>
        <v>UN</v>
      </c>
      <c r="H1941" s="49" t="n">
        <f aca="false">'Uso e Consumo'!F1941</f>
        <v>24</v>
      </c>
      <c r="I1941" s="35" t="n">
        <f aca="false">'Uso e Consumo'!G1941</f>
        <v>159.12</v>
      </c>
      <c r="J1941" s="34" t="str">
        <f aca="false">'Uso e Consumo'!M1941</f>
        <v>3.8.1.017 - Instalações elétricas/telefônicas/lógica</v>
      </c>
      <c r="K1941" s="32" t="str">
        <f aca="false">INDEX('Curva ABC'!$K$8:$K$2847,MATCH(D1941,'Curva ABC'!$B$8:$B$2847,0))</f>
        <v>C</v>
      </c>
    </row>
    <row r="1942" customFormat="false" ht="15" hidden="false" customHeight="false" outlineLevel="0" collapsed="false">
      <c r="A1942" s="34" t="s">
        <v>5799</v>
      </c>
      <c r="B1942" s="34" t="str">
        <f aca="false">'Uso e Consumo'!A1942</f>
        <v>0335</v>
      </c>
      <c r="C1942" s="34" t="str">
        <f aca="false">'Uso e Consumo'!B1942</f>
        <v>UFV NORONHA VERDE - USO E CONSUMO</v>
      </c>
      <c r="D1942" s="33" t="n">
        <f aca="false">'Uso e Consumo'!C1942</f>
        <v>1380003</v>
      </c>
      <c r="E1942" s="34" t="str">
        <f aca="false">'Uso e Consumo'!D1942</f>
        <v>23.05.0286</v>
      </c>
      <c r="F1942" s="34" t="str">
        <f aca="false">'Uso e Consumo'!E1942</f>
        <v>ARRUELA LISA DE AÇO, INXODÁVEL, BITOLA M18</v>
      </c>
      <c r="G1942" s="34" t="str">
        <f aca="false">'Uso e Consumo'!J1942</f>
        <v>UN</v>
      </c>
      <c r="H1942" s="49" t="n">
        <f aca="false">'Uso e Consumo'!F1942</f>
        <v>32</v>
      </c>
      <c r="I1942" s="35" t="n">
        <f aca="false">'Uso e Consumo'!G1942</f>
        <v>158.16</v>
      </c>
      <c r="J1942" s="34" t="str">
        <f aca="false">'Uso e Consumo'!M1942</f>
        <v>3.8.1.022 - Elementos de fixação</v>
      </c>
      <c r="K1942" s="32" t="str">
        <f aca="false">INDEX('Curva ABC'!$K$8:$K$2847,MATCH(D1942,'Curva ABC'!$B$8:$B$2847,0))</f>
        <v>C</v>
      </c>
    </row>
    <row r="1943" customFormat="false" ht="15" hidden="false" customHeight="false" outlineLevel="0" collapsed="false">
      <c r="A1943" s="34" t="s">
        <v>5799</v>
      </c>
      <c r="B1943" s="34" t="str">
        <f aca="false">'Uso e Consumo'!A1943</f>
        <v>0335</v>
      </c>
      <c r="C1943" s="34" t="str">
        <f aca="false">'Uso e Consumo'!B1943</f>
        <v>UFV NORONHA VERDE - USO E CONSUMO</v>
      </c>
      <c r="D1943" s="33" t="n">
        <f aca="false">'Uso e Consumo'!C1943</f>
        <v>1086359</v>
      </c>
      <c r="E1943" s="34" t="str">
        <f aca="false">'Uso e Consumo'!D1943</f>
        <v>30.01.0775</v>
      </c>
      <c r="F1943" s="34" t="str">
        <f aca="false">'Uso e Consumo'!E1943</f>
        <v>GRAMPEADOR 120 FOLHAS</v>
      </c>
      <c r="G1943" s="34" t="str">
        <f aca="false">'Uso e Consumo'!J1943</f>
        <v>UN</v>
      </c>
      <c r="H1943" s="49" t="n">
        <f aca="false">'Uso e Consumo'!F1943</f>
        <v>1</v>
      </c>
      <c r="I1943" s="35" t="n">
        <f aca="false">'Uso e Consumo'!G1943</f>
        <v>158</v>
      </c>
      <c r="J1943" s="34" t="str">
        <f aca="false">'Uso e Consumo'!M1943</f>
        <v>4.1.1.002 - Material expediente</v>
      </c>
      <c r="K1943" s="32" t="str">
        <f aca="false">INDEX('Curva ABC'!$K$8:$K$2847,MATCH(D1943,'Curva ABC'!$B$8:$B$2847,0))</f>
        <v>C</v>
      </c>
    </row>
    <row r="1944" customFormat="false" ht="15" hidden="false" customHeight="false" outlineLevel="0" collapsed="false">
      <c r="A1944" s="34" t="s">
        <v>5799</v>
      </c>
      <c r="B1944" s="34" t="str">
        <f aca="false">'Uso e Consumo'!A1944</f>
        <v>0335</v>
      </c>
      <c r="C1944" s="34" t="str">
        <f aca="false">'Uso e Consumo'!B1944</f>
        <v>UFV NORONHA VERDE - USO E CONSUMO</v>
      </c>
      <c r="D1944" s="33" t="n">
        <f aca="false">'Uso e Consumo'!C1944</f>
        <v>17938</v>
      </c>
      <c r="E1944" s="34" t="str">
        <f aca="false">'Uso e Consumo'!D1944</f>
        <v>24.09.0032</v>
      </c>
      <c r="F1944" s="34" t="str">
        <f aca="false">'Uso e Consumo'!E1944</f>
        <v>CHAVE COMBINADA 14,00MM AÇO CARBONO CROMADO</v>
      </c>
      <c r="G1944" s="34" t="str">
        <f aca="false">'Uso e Consumo'!J1944</f>
        <v>UN</v>
      </c>
      <c r="H1944" s="49" t="n">
        <f aca="false">'Uso e Consumo'!F1944</f>
        <v>5</v>
      </c>
      <c r="I1944" s="35" t="n">
        <f aca="false">'Uso e Consumo'!G1944</f>
        <v>157.8</v>
      </c>
      <c r="J1944" s="34" t="str">
        <f aca="false">'Uso e Consumo'!M1944</f>
        <v>3.8.2.002 - Ferramentas manuais</v>
      </c>
      <c r="K1944" s="32" t="str">
        <f aca="false">INDEX('Curva ABC'!$K$8:$K$2847,MATCH(D1944,'Curva ABC'!$B$8:$B$2847,0))</f>
        <v>C</v>
      </c>
    </row>
    <row r="1945" customFormat="false" ht="15" hidden="false" customHeight="false" outlineLevel="0" collapsed="false">
      <c r="A1945" s="34" t="s">
        <v>5799</v>
      </c>
      <c r="B1945" s="34" t="str">
        <f aca="false">'Uso e Consumo'!A1945</f>
        <v>0335</v>
      </c>
      <c r="C1945" s="34" t="str">
        <f aca="false">'Uso e Consumo'!B1945</f>
        <v>UFV NORONHA VERDE - USO E CONSUMO</v>
      </c>
      <c r="D1945" s="33" t="n">
        <f aca="false">'Uso e Consumo'!C1945</f>
        <v>645553</v>
      </c>
      <c r="E1945" s="34" t="str">
        <f aca="false">'Uso e Consumo'!D1945</f>
        <v>33.02.2453</v>
      </c>
      <c r="F1945" s="34" t="str">
        <f aca="false">'Uso e Consumo'!E1945</f>
        <v>PORCA SEXT M12X1,75X35</v>
      </c>
      <c r="G1945" s="34" t="str">
        <f aca="false">'Uso e Consumo'!J1945</f>
        <v>UN</v>
      </c>
      <c r="H1945" s="49" t="n">
        <f aca="false">'Uso e Consumo'!F1945</f>
        <v>350</v>
      </c>
      <c r="I1945" s="35" t="n">
        <f aca="false">'Uso e Consumo'!G1945</f>
        <v>157.5</v>
      </c>
      <c r="J1945" s="34" t="str">
        <f aca="false">'Uso e Consumo'!M1945</f>
        <v>3.8.1.022 - Elementos de fixação</v>
      </c>
      <c r="K1945" s="32" t="str">
        <f aca="false">INDEX('Curva ABC'!$K$8:$K$2847,MATCH(D1945,'Curva ABC'!$B$8:$B$2847,0))</f>
        <v>C</v>
      </c>
    </row>
    <row r="1946" customFormat="false" ht="15" hidden="false" customHeight="false" outlineLevel="0" collapsed="false">
      <c r="A1946" s="34" t="s">
        <v>5799</v>
      </c>
      <c r="B1946" s="34" t="str">
        <f aca="false">'Uso e Consumo'!A1946</f>
        <v>0335</v>
      </c>
      <c r="C1946" s="34" t="str">
        <f aca="false">'Uso e Consumo'!B1946</f>
        <v>UFV NORONHA VERDE - USO E CONSUMO</v>
      </c>
      <c r="D1946" s="33" t="n">
        <f aca="false">'Uso e Consumo'!C1946</f>
        <v>12238</v>
      </c>
      <c r="E1946" s="34" t="str">
        <f aca="false">'Uso e Consumo'!D1946</f>
        <v>17.01.0325</v>
      </c>
      <c r="F1946" s="34" t="str">
        <f aca="false">'Uso e Consumo'!E1946</f>
        <v>CABO ELETRICO FLEXIVEL 450V/750V 1 X 1,50MM2 COBRE PVC CLASSE 4 AZUL NBRNM 247-3</v>
      </c>
      <c r="G1946" s="34" t="str">
        <f aca="false">'Uso e Consumo'!J1946</f>
        <v>M</v>
      </c>
      <c r="H1946" s="49" t="n">
        <f aca="false">'Uso e Consumo'!F1946</f>
        <v>100</v>
      </c>
      <c r="I1946" s="35" t="n">
        <f aca="false">'Uso e Consumo'!G1946</f>
        <v>157.2</v>
      </c>
      <c r="J1946" s="34" t="str">
        <f aca="false">'Uso e Consumo'!M1946</f>
        <v>3.8.1.017 - Instalações elétricas/telefônicas/lógica</v>
      </c>
      <c r="K1946" s="32" t="str">
        <f aca="false">INDEX('Curva ABC'!$K$8:$K$2847,MATCH(D1946,'Curva ABC'!$B$8:$B$2847,0))</f>
        <v>C</v>
      </c>
    </row>
    <row r="1947" customFormat="false" ht="15" hidden="false" customHeight="false" outlineLevel="0" collapsed="false">
      <c r="A1947" s="34" t="s">
        <v>5799</v>
      </c>
      <c r="B1947" s="34" t="str">
        <f aca="false">'Uso e Consumo'!A1947</f>
        <v>0335</v>
      </c>
      <c r="C1947" s="34" t="str">
        <f aca="false">'Uso e Consumo'!B1947</f>
        <v>UFV NORONHA VERDE - USO E CONSUMO</v>
      </c>
      <c r="D1947" s="33" t="n">
        <f aca="false">'Uso e Consumo'!C1947</f>
        <v>12242</v>
      </c>
      <c r="E1947" s="34" t="str">
        <f aca="false">'Uso e Consumo'!D1947</f>
        <v>17.01.0329</v>
      </c>
      <c r="F1947" s="34" t="str">
        <f aca="false">'Uso e Consumo'!E1947</f>
        <v>CABO ELETRICO FLEXIVEL 450V/750V 1 X 1,50MM2 COBRE PVC CLASSE 4 VERMELHO NBRNM 247-3</v>
      </c>
      <c r="G1947" s="34" t="str">
        <f aca="false">'Uso e Consumo'!J1947</f>
        <v>M</v>
      </c>
      <c r="H1947" s="49" t="n">
        <f aca="false">'Uso e Consumo'!F1947</f>
        <v>100</v>
      </c>
      <c r="I1947" s="35" t="n">
        <f aca="false">'Uso e Consumo'!G1947</f>
        <v>157.2</v>
      </c>
      <c r="J1947" s="34" t="str">
        <f aca="false">'Uso e Consumo'!M1947</f>
        <v>3.8.1.017 - Instalações elétricas/telefônicas/lógica</v>
      </c>
      <c r="K1947" s="32" t="str">
        <f aca="false">INDEX('Curva ABC'!$K$8:$K$2847,MATCH(D1947,'Curva ABC'!$B$8:$B$2847,0))</f>
        <v>C</v>
      </c>
    </row>
    <row r="1948" customFormat="false" ht="15" hidden="false" customHeight="false" outlineLevel="0" collapsed="false">
      <c r="A1948" s="34" t="s">
        <v>5799</v>
      </c>
      <c r="B1948" s="34" t="str">
        <f aca="false">'Uso e Consumo'!A1948</f>
        <v>0335</v>
      </c>
      <c r="C1948" s="34" t="str">
        <f aca="false">'Uso e Consumo'!B1948</f>
        <v>UFV NORONHA VERDE - USO E CONSUMO</v>
      </c>
      <c r="D1948" s="33" t="n">
        <f aca="false">'Uso e Consumo'!C1948</f>
        <v>17937</v>
      </c>
      <c r="E1948" s="34" t="str">
        <f aca="false">'Uso e Consumo'!D1948</f>
        <v>24.09.0031</v>
      </c>
      <c r="F1948" s="34" t="str">
        <f aca="false">'Uso e Consumo'!E1948</f>
        <v>CHAVE COMBINADA 13,00MM AÇO CARBONO CROMADO</v>
      </c>
      <c r="G1948" s="34" t="str">
        <f aca="false">'Uso e Consumo'!J1948</f>
        <v>UN</v>
      </c>
      <c r="H1948" s="49" t="n">
        <f aca="false">'Uso e Consumo'!F1948</f>
        <v>5</v>
      </c>
      <c r="I1948" s="35" t="n">
        <f aca="false">'Uso e Consumo'!G1948</f>
        <v>156.86</v>
      </c>
      <c r="J1948" s="34" t="str">
        <f aca="false">'Uso e Consumo'!M1948</f>
        <v>3.8.2.002 - Ferramentas manuais</v>
      </c>
      <c r="K1948" s="32" t="str">
        <f aca="false">INDEX('Curva ABC'!$K$8:$K$2847,MATCH(D1948,'Curva ABC'!$B$8:$B$2847,0))</f>
        <v>C</v>
      </c>
    </row>
    <row r="1949" customFormat="false" ht="15" hidden="false" customHeight="false" outlineLevel="0" collapsed="false">
      <c r="A1949" s="34" t="s">
        <v>5799</v>
      </c>
      <c r="B1949" s="34" t="str">
        <f aca="false">'Uso e Consumo'!A1949</f>
        <v>0335</v>
      </c>
      <c r="C1949" s="34" t="str">
        <f aca="false">'Uso e Consumo'!B1949</f>
        <v>UFV NORONHA VERDE - USO E CONSUMO</v>
      </c>
      <c r="D1949" s="33" t="n">
        <f aca="false">'Uso e Consumo'!C1949</f>
        <v>14343</v>
      </c>
      <c r="E1949" s="34" t="str">
        <f aca="false">'Uso e Consumo'!D1949</f>
        <v>17.16.0047</v>
      </c>
      <c r="F1949" s="34" t="str">
        <f aca="false">'Uso e Consumo'!E1949</f>
        <v>TERMINAL PRE-ISOLADO PINO COBRE ESTANHADO 16,00MM2</v>
      </c>
      <c r="G1949" s="34" t="str">
        <f aca="false">'Uso e Consumo'!J1949</f>
        <v>UN</v>
      </c>
      <c r="H1949" s="49" t="n">
        <f aca="false">'Uso e Consumo'!F1949</f>
        <v>100</v>
      </c>
      <c r="I1949" s="35" t="n">
        <f aca="false">'Uso e Consumo'!G1949</f>
        <v>156</v>
      </c>
      <c r="J1949" s="34" t="str">
        <f aca="false">'Uso e Consumo'!M1949</f>
        <v>3.8.1.017 - Instalações elétricas/telefônicas/lógica</v>
      </c>
      <c r="K1949" s="32" t="str">
        <f aca="false">INDEX('Curva ABC'!$K$8:$K$2847,MATCH(D1949,'Curva ABC'!$B$8:$B$2847,0))</f>
        <v>C</v>
      </c>
    </row>
    <row r="1950" customFormat="false" ht="15" hidden="false" customHeight="false" outlineLevel="0" collapsed="false">
      <c r="A1950" s="34" t="s">
        <v>5799</v>
      </c>
      <c r="B1950" s="34" t="str">
        <f aca="false">'Uso e Consumo'!A1950</f>
        <v>0335</v>
      </c>
      <c r="C1950" s="34" t="str">
        <f aca="false">'Uso e Consumo'!B1950</f>
        <v>UFV NORONHA VERDE - USO E CONSUMO</v>
      </c>
      <c r="D1950" s="33" t="n">
        <f aca="false">'Uso e Consumo'!C1950</f>
        <v>21396</v>
      </c>
      <c r="E1950" s="34" t="str">
        <f aca="false">'Uso e Consumo'!D1950</f>
        <v>24.14.0009</v>
      </c>
      <c r="F1950" s="34" t="str">
        <f aca="false">'Uso e Consumo'!E1950</f>
        <v>MARRETA DE PEDREIRO COM CABO 1,5 KG</v>
      </c>
      <c r="G1950" s="34" t="str">
        <f aca="false">'Uso e Consumo'!J1950</f>
        <v>UN</v>
      </c>
      <c r="H1950" s="49" t="n">
        <f aca="false">'Uso e Consumo'!F1950</f>
        <v>4</v>
      </c>
      <c r="I1950" s="35" t="n">
        <f aca="false">'Uso e Consumo'!G1950</f>
        <v>156</v>
      </c>
      <c r="J1950" s="34" t="str">
        <f aca="false">'Uso e Consumo'!M1950</f>
        <v>3.8.2.002 - Ferramentas manuais</v>
      </c>
      <c r="K1950" s="32" t="str">
        <f aca="false">INDEX('Curva ABC'!$K$8:$K$2847,MATCH(D1950,'Curva ABC'!$B$8:$B$2847,0))</f>
        <v>C</v>
      </c>
    </row>
    <row r="1951" customFormat="false" ht="15" hidden="false" customHeight="false" outlineLevel="0" collapsed="false">
      <c r="A1951" s="34" t="s">
        <v>5799</v>
      </c>
      <c r="B1951" s="34" t="str">
        <f aca="false">'Uso e Consumo'!A1951</f>
        <v>0335</v>
      </c>
      <c r="C1951" s="34" t="str">
        <f aca="false">'Uso e Consumo'!B1951</f>
        <v>UFV NORONHA VERDE - USO E CONSUMO</v>
      </c>
      <c r="D1951" s="33" t="n">
        <f aca="false">'Uso e Consumo'!C1951</f>
        <v>287947</v>
      </c>
      <c r="E1951" s="34" t="str">
        <f aca="false">'Uso e Consumo'!D1951</f>
        <v>17.08.0137</v>
      </c>
      <c r="F1951" s="34" t="str">
        <f aca="false">'Uso e Consumo'!E1951</f>
        <v>QUADRO DE DISTRIBUIÇÃO DE SOBREPOR CAP. 8 DISJ. UNIP. - IN PENTE 100ª</v>
      </c>
      <c r="G1951" s="34" t="str">
        <f aca="false">'Uso e Consumo'!J1951</f>
        <v>UN</v>
      </c>
      <c r="H1951" s="49" t="n">
        <f aca="false">'Uso e Consumo'!F1951</f>
        <v>2</v>
      </c>
      <c r="I1951" s="35" t="n">
        <f aca="false">'Uso e Consumo'!G1951</f>
        <v>156</v>
      </c>
      <c r="J1951" s="34" t="str">
        <f aca="false">'Uso e Consumo'!M1951</f>
        <v>3.8.1.017 - Instalações elétricas/telefônicas/lógica</v>
      </c>
      <c r="K1951" s="32" t="str">
        <f aca="false">INDEX('Curva ABC'!$K$8:$K$2847,MATCH(D1951,'Curva ABC'!$B$8:$B$2847,0))</f>
        <v>C</v>
      </c>
    </row>
    <row r="1952" customFormat="false" ht="15" hidden="false" customHeight="false" outlineLevel="0" collapsed="false">
      <c r="A1952" s="34" t="s">
        <v>5799</v>
      </c>
      <c r="B1952" s="34" t="str">
        <f aca="false">'Uso e Consumo'!A1952</f>
        <v>0335</v>
      </c>
      <c r="C1952" s="34" t="str">
        <f aca="false">'Uso e Consumo'!B1952</f>
        <v>UFV NORONHA VERDE - USO E CONSUMO</v>
      </c>
      <c r="D1952" s="33" t="n">
        <f aca="false">'Uso e Consumo'!C1952</f>
        <v>936335</v>
      </c>
      <c r="E1952" s="34" t="str">
        <f aca="false">'Uso e Consumo'!D1952</f>
        <v>25.01.0217</v>
      </c>
      <c r="F1952" s="34" t="str">
        <f aca="false">'Uso e Consumo'!E1952</f>
        <v>DISCO DE SERRA CIRCULAR 7.1/4 24 DENTES</v>
      </c>
      <c r="G1952" s="34" t="str">
        <f aca="false">'Uso e Consumo'!J1952</f>
        <v>UN</v>
      </c>
      <c r="H1952" s="49" t="n">
        <f aca="false">'Uso e Consumo'!F1952</f>
        <v>2</v>
      </c>
      <c r="I1952" s="35" t="n">
        <f aca="false">'Uso e Consumo'!G1952</f>
        <v>156</v>
      </c>
      <c r="J1952" s="34" t="str">
        <f aca="false">'Uso e Consumo'!M1952</f>
        <v>3.8.2.004 - Consumíveis para corte, perfuração e desbaste</v>
      </c>
      <c r="K1952" s="32" t="str">
        <f aca="false">INDEX('Curva ABC'!$K$8:$K$2847,MATCH(D1952,'Curva ABC'!$B$8:$B$2847,0))</f>
        <v>C</v>
      </c>
    </row>
    <row r="1953" customFormat="false" ht="15" hidden="false" customHeight="false" outlineLevel="0" collapsed="false">
      <c r="A1953" s="34" t="s">
        <v>5799</v>
      </c>
      <c r="B1953" s="34" t="str">
        <f aca="false">'Uso e Consumo'!A1953</f>
        <v>0335</v>
      </c>
      <c r="C1953" s="34" t="str">
        <f aca="false">'Uso e Consumo'!B1953</f>
        <v>UFV NORONHA VERDE - USO E CONSUMO</v>
      </c>
      <c r="D1953" s="33" t="n">
        <f aca="false">'Uso e Consumo'!C1953</f>
        <v>16830</v>
      </c>
      <c r="E1953" s="34" t="str">
        <f aca="false">'Uso e Consumo'!D1953</f>
        <v>23.05.0004</v>
      </c>
      <c r="F1953" s="34" t="str">
        <f aca="false">'Uso e Consumo'!E1953</f>
        <v>ARRUELA EM ALUMÍNIO PARA ELETRODUTO 1" ROSCA BSP</v>
      </c>
      <c r="G1953" s="34" t="str">
        <f aca="false">'Uso e Consumo'!J1953</f>
        <v>UN</v>
      </c>
      <c r="H1953" s="49" t="n">
        <f aca="false">'Uso e Consumo'!F1953</f>
        <v>115</v>
      </c>
      <c r="I1953" s="35" t="n">
        <f aca="false">'Uso e Consumo'!G1953</f>
        <v>155.39</v>
      </c>
      <c r="J1953" s="34" t="str">
        <f aca="false">'Uso e Consumo'!M1953</f>
        <v>3.8.1.022 - Elementos de fixação</v>
      </c>
      <c r="K1953" s="32" t="str">
        <f aca="false">INDEX('Curva ABC'!$K$8:$K$2847,MATCH(D1953,'Curva ABC'!$B$8:$B$2847,0))</f>
        <v>C</v>
      </c>
    </row>
    <row r="1954" customFormat="false" ht="15" hidden="false" customHeight="false" outlineLevel="0" collapsed="false">
      <c r="A1954" s="34" t="s">
        <v>5799</v>
      </c>
      <c r="B1954" s="34" t="str">
        <f aca="false">'Uso e Consumo'!A1954</f>
        <v>0335</v>
      </c>
      <c r="C1954" s="34" t="str">
        <f aca="false">'Uso e Consumo'!B1954</f>
        <v>UFV NORONHA VERDE - USO E CONSUMO</v>
      </c>
      <c r="D1954" s="33" t="n">
        <f aca="false">'Uso e Consumo'!C1954</f>
        <v>1461588</v>
      </c>
      <c r="E1954" s="34" t="str">
        <f aca="false">'Uso e Consumo'!D1954</f>
        <v>18.01.1643</v>
      </c>
      <c r="F1954" s="34" t="str">
        <f aca="false">'Uso e Consumo'!E1954</f>
        <v>LUVA SIMPLES 75MM PVC ESGOTO SN</v>
      </c>
      <c r="G1954" s="34" t="str">
        <f aca="false">'Uso e Consumo'!J1954</f>
        <v>UN</v>
      </c>
      <c r="H1954" s="49" t="n">
        <f aca="false">'Uso e Consumo'!F1954</f>
        <v>25</v>
      </c>
      <c r="I1954" s="35" t="n">
        <f aca="false">'Uso e Consumo'!G1954</f>
        <v>155</v>
      </c>
      <c r="J1954" s="34" t="str">
        <f aca="false">'Uso e Consumo'!M1954</f>
        <v>3.8.1.018 - Instalações hidráulicas/sanitárias/industriais</v>
      </c>
      <c r="K1954" s="32" t="str">
        <f aca="false">INDEX('Curva ABC'!$K$8:$K$2847,MATCH(D1954,'Curva ABC'!$B$8:$B$2847,0))</f>
        <v>C</v>
      </c>
    </row>
    <row r="1955" customFormat="false" ht="15" hidden="false" customHeight="false" outlineLevel="0" collapsed="false">
      <c r="A1955" s="34" t="s">
        <v>5799</v>
      </c>
      <c r="B1955" s="34" t="str">
        <f aca="false">'Uso e Consumo'!A1955</f>
        <v>0335</v>
      </c>
      <c r="C1955" s="34" t="str">
        <f aca="false">'Uso e Consumo'!B1955</f>
        <v>UFV NORONHA VERDE - USO E CONSUMO</v>
      </c>
      <c r="D1955" s="33" t="n">
        <f aca="false">'Uso e Consumo'!C1955</f>
        <v>17671</v>
      </c>
      <c r="E1955" s="34" t="str">
        <f aca="false">'Uso e Consumo'!D1955</f>
        <v>23.08.0002</v>
      </c>
      <c r="F1955" s="34" t="str">
        <f aca="false">'Uso e Consumo'!E1955</f>
        <v>BUCHA FIXACAO ELETRODUTO 1.1/2" ALUMÍNIO LISO BSP 11 FIOS</v>
      </c>
      <c r="G1955" s="34" t="str">
        <f aca="false">'Uso e Consumo'!J1955</f>
        <v>UN</v>
      </c>
      <c r="H1955" s="49" t="n">
        <f aca="false">'Uso e Consumo'!F1955</f>
        <v>36</v>
      </c>
      <c r="I1955" s="35" t="n">
        <f aca="false">'Uso e Consumo'!G1955</f>
        <v>153</v>
      </c>
      <c r="J1955" s="34" t="str">
        <f aca="false">'Uso e Consumo'!M1955</f>
        <v>3.8.1.022 - Elementos de fixação</v>
      </c>
      <c r="K1955" s="32" t="str">
        <f aca="false">INDEX('Curva ABC'!$K$8:$K$2847,MATCH(D1955,'Curva ABC'!$B$8:$B$2847,0))</f>
        <v>C</v>
      </c>
    </row>
    <row r="1956" customFormat="false" ht="15" hidden="false" customHeight="false" outlineLevel="0" collapsed="false">
      <c r="A1956" s="34" t="s">
        <v>5799</v>
      </c>
      <c r="B1956" s="34" t="str">
        <f aca="false">'Uso e Consumo'!A1956</f>
        <v>0335</v>
      </c>
      <c r="C1956" s="34" t="str">
        <f aca="false">'Uso e Consumo'!B1956</f>
        <v>UFV NORONHA VERDE - USO E CONSUMO</v>
      </c>
      <c r="D1956" s="33" t="n">
        <f aca="false">'Uso e Consumo'!C1956</f>
        <v>19730</v>
      </c>
      <c r="E1956" s="34" t="str">
        <f aca="false">'Uso e Consumo'!D1956</f>
        <v>30.03.0003</v>
      </c>
      <c r="F1956" s="34" t="str">
        <f aca="false">'Uso e Consumo'!E1956</f>
        <v>BALDE PLÁSTICO 12,00L C/MEDIDOR C/ALCA</v>
      </c>
      <c r="G1956" s="34" t="str">
        <f aca="false">'Uso e Consumo'!J1956</f>
        <v>UN</v>
      </c>
      <c r="H1956" s="49" t="n">
        <f aca="false">'Uso e Consumo'!F1956</f>
        <v>4</v>
      </c>
      <c r="I1956" s="35" t="n">
        <f aca="false">'Uso e Consumo'!G1956</f>
        <v>152</v>
      </c>
      <c r="J1956" s="34" t="str">
        <f aca="false">'Uso e Consumo'!M1956</f>
        <v>4.1.1.003 - Material limpeza</v>
      </c>
      <c r="K1956" s="32" t="str">
        <f aca="false">INDEX('Curva ABC'!$K$8:$K$2847,MATCH(D1956,'Curva ABC'!$B$8:$B$2847,0))</f>
        <v>C</v>
      </c>
    </row>
    <row r="1957" customFormat="false" ht="15" hidden="false" customHeight="false" outlineLevel="0" collapsed="false">
      <c r="A1957" s="34" t="s">
        <v>5799</v>
      </c>
      <c r="B1957" s="34" t="str">
        <f aca="false">'Uso e Consumo'!A1957</f>
        <v>0335</v>
      </c>
      <c r="C1957" s="34" t="str">
        <f aca="false">'Uso e Consumo'!B1957</f>
        <v>UFV NORONHA VERDE - USO E CONSUMO</v>
      </c>
      <c r="D1957" s="33" t="n">
        <f aca="false">'Uso e Consumo'!C1957</f>
        <v>862330</v>
      </c>
      <c r="E1957" s="34" t="str">
        <f aca="false">'Uso e Consumo'!D1957</f>
        <v>29.02.0462</v>
      </c>
      <c r="F1957" s="34" t="str">
        <f aca="false">'Uso e Consumo'!E1957</f>
        <v>BANQUETA DE PLÁSTICO 45CM</v>
      </c>
      <c r="G1957" s="34" t="str">
        <f aca="false">'Uso e Consumo'!J1957</f>
        <v>UN</v>
      </c>
      <c r="H1957" s="49" t="n">
        <f aca="false">'Uso e Consumo'!F1957</f>
        <v>4</v>
      </c>
      <c r="I1957" s="35" t="n">
        <f aca="false">'Uso e Consumo'!G1957</f>
        <v>152</v>
      </c>
      <c r="J1957" s="34" t="str">
        <f aca="false">'Uso e Consumo'!M1957</f>
        <v>4.1.1.008 - Mobiliário e acessórios</v>
      </c>
      <c r="K1957" s="32" t="str">
        <f aca="false">INDEX('Curva ABC'!$K$8:$K$2847,MATCH(D1957,'Curva ABC'!$B$8:$B$2847,0))</f>
        <v>C</v>
      </c>
    </row>
    <row r="1958" customFormat="false" ht="15" hidden="false" customHeight="false" outlineLevel="0" collapsed="false">
      <c r="A1958" s="34" t="s">
        <v>5799</v>
      </c>
      <c r="B1958" s="34" t="str">
        <f aca="false">'Uso e Consumo'!A1958</f>
        <v>0335</v>
      </c>
      <c r="C1958" s="34" t="str">
        <f aca="false">'Uso e Consumo'!B1958</f>
        <v>UFV NORONHA VERDE - USO E CONSUMO</v>
      </c>
      <c r="D1958" s="33" t="n">
        <f aca="false">'Uso e Consumo'!C1958</f>
        <v>1089808</v>
      </c>
      <c r="E1958" s="34" t="str">
        <f aca="false">'Uso e Consumo'!D1958</f>
        <v>27.01.0488</v>
      </c>
      <c r="F1958" s="34" t="str">
        <f aca="false">'Uso e Consumo'!E1958</f>
        <v>VOLTAREM INJETAVEL 40 C/5 AMPOLAS CAIXA</v>
      </c>
      <c r="G1958" s="34" t="str">
        <f aca="false">'Uso e Consumo'!J1958</f>
        <v>CX</v>
      </c>
      <c r="H1958" s="49" t="n">
        <f aca="false">'Uso e Consumo'!F1958</f>
        <v>5</v>
      </c>
      <c r="I1958" s="35" t="n">
        <f aca="false">'Uso e Consumo'!G1958</f>
        <v>151.5</v>
      </c>
      <c r="J1958" s="34" t="str">
        <f aca="false">'Uso e Consumo'!M1958</f>
        <v>4.3.4.006 - Medicamentos e primeiro socorros</v>
      </c>
      <c r="K1958" s="32" t="str">
        <f aca="false">INDEX('Curva ABC'!$K$8:$K$2847,MATCH(D1958,'Curva ABC'!$B$8:$B$2847,0))</f>
        <v>C</v>
      </c>
    </row>
    <row r="1959" customFormat="false" ht="15" hidden="false" customHeight="false" outlineLevel="0" collapsed="false">
      <c r="A1959" s="34" t="s">
        <v>5799</v>
      </c>
      <c r="B1959" s="34" t="str">
        <f aca="false">'Uso e Consumo'!A1959</f>
        <v>0335</v>
      </c>
      <c r="C1959" s="34" t="str">
        <f aca="false">'Uso e Consumo'!B1959</f>
        <v>UFV NORONHA VERDE - USO E CONSUMO</v>
      </c>
      <c r="D1959" s="33" t="n">
        <f aca="false">'Uso e Consumo'!C1959</f>
        <v>1110726</v>
      </c>
      <c r="E1959" s="34" t="str">
        <f aca="false">'Uso e Consumo'!D1959</f>
        <v>17.16.0604</v>
      </c>
      <c r="F1959" s="34" t="str">
        <f aca="false">'Uso e Consumo'!E1959</f>
        <v>TERMINAL TIPO OLHAL 16MM</v>
      </c>
      <c r="G1959" s="34" t="str">
        <f aca="false">'Uso e Consumo'!J1959</f>
        <v>UN</v>
      </c>
      <c r="H1959" s="49" t="n">
        <f aca="false">'Uso e Consumo'!F1959</f>
        <v>90</v>
      </c>
      <c r="I1959" s="35" t="n">
        <f aca="false">'Uso e Consumo'!G1959</f>
        <v>150.9</v>
      </c>
      <c r="J1959" s="34" t="str">
        <f aca="false">'Uso e Consumo'!M1959</f>
        <v>3.8.1.017 - Instalações elétricas/telefônicas/lógica</v>
      </c>
      <c r="K1959" s="32" t="str">
        <f aca="false">INDEX('Curva ABC'!$K$8:$K$2847,MATCH(D1959,'Curva ABC'!$B$8:$B$2847,0))</f>
        <v>C</v>
      </c>
    </row>
    <row r="1960" customFormat="false" ht="15" hidden="false" customHeight="false" outlineLevel="0" collapsed="false">
      <c r="A1960" s="34" t="s">
        <v>5799</v>
      </c>
      <c r="B1960" s="34" t="str">
        <f aca="false">'Uso e Consumo'!A1960</f>
        <v>0335</v>
      </c>
      <c r="C1960" s="34" t="str">
        <f aca="false">'Uso e Consumo'!B1960</f>
        <v>UFV NORONHA VERDE - USO E CONSUMO</v>
      </c>
      <c r="D1960" s="33" t="n">
        <f aca="false">'Uso e Consumo'!C1960</f>
        <v>1321000</v>
      </c>
      <c r="E1960" s="34" t="str">
        <f aca="false">'Uso e Consumo'!D1960</f>
        <v>17.05.0121</v>
      </c>
      <c r="F1960" s="34" t="str">
        <f aca="false">'Uso e Consumo'!E1960</f>
        <v>TAMPA CEGA PARA CONDULETE PVC DE 3/4'' CINZA</v>
      </c>
      <c r="G1960" s="34" t="str">
        <f aca="false">'Uso e Consumo'!J1960</f>
        <v>UN</v>
      </c>
      <c r="H1960" s="49" t="n">
        <f aca="false">'Uso e Consumo'!F1960</f>
        <v>86</v>
      </c>
      <c r="I1960" s="35" t="n">
        <f aca="false">'Uso e Consumo'!G1960</f>
        <v>150.5</v>
      </c>
      <c r="J1960" s="34" t="str">
        <f aca="false">'Uso e Consumo'!M1960</f>
        <v>3.8.1.017 - Instalações elétricas/telefônicas/lógica</v>
      </c>
      <c r="K1960" s="32" t="str">
        <f aca="false">INDEX('Curva ABC'!$K$8:$K$2847,MATCH(D1960,'Curva ABC'!$B$8:$B$2847,0))</f>
        <v>C</v>
      </c>
    </row>
    <row r="1961" customFormat="false" ht="15" hidden="false" customHeight="false" outlineLevel="0" collapsed="false">
      <c r="A1961" s="34" t="s">
        <v>5799</v>
      </c>
      <c r="B1961" s="34" t="str">
        <f aca="false">'Uso e Consumo'!A1961</f>
        <v>0335</v>
      </c>
      <c r="C1961" s="34" t="str">
        <f aca="false">'Uso e Consumo'!B1961</f>
        <v>UFV NORONHA VERDE - USO E CONSUMO</v>
      </c>
      <c r="D1961" s="33" t="n">
        <f aca="false">'Uso e Consumo'!C1961</f>
        <v>1089770</v>
      </c>
      <c r="E1961" s="34" t="str">
        <f aca="false">'Uso e Consumo'!D1961</f>
        <v>27.01.0479</v>
      </c>
      <c r="F1961" s="34" t="str">
        <f aca="false">'Uso e Consumo'!E1961</f>
        <v>DIPIRONA 1G</v>
      </c>
      <c r="G1961" s="34" t="str">
        <f aca="false">'Uso e Consumo'!J1961</f>
        <v>CX</v>
      </c>
      <c r="H1961" s="49" t="n">
        <f aca="false">'Uso e Consumo'!F1961</f>
        <v>10</v>
      </c>
      <c r="I1961" s="35" t="n">
        <f aca="false">'Uso e Consumo'!G1961</f>
        <v>150</v>
      </c>
      <c r="J1961" s="34" t="str">
        <f aca="false">'Uso e Consumo'!M1961</f>
        <v>4.3.4.006 - Medicamentos e primeiro socorros</v>
      </c>
      <c r="K1961" s="32" t="str">
        <f aca="false">INDEX('Curva ABC'!$K$8:$K$2847,MATCH(D1961,'Curva ABC'!$B$8:$B$2847,0))</f>
        <v>C</v>
      </c>
    </row>
    <row r="1962" customFormat="false" ht="15" hidden="false" customHeight="false" outlineLevel="0" collapsed="false">
      <c r="A1962" s="34" t="s">
        <v>5799</v>
      </c>
      <c r="B1962" s="34" t="str">
        <f aca="false">'Uso e Consumo'!A1962</f>
        <v>0335</v>
      </c>
      <c r="C1962" s="34" t="str">
        <f aca="false">'Uso e Consumo'!B1962</f>
        <v>UFV NORONHA VERDE - USO E CONSUMO</v>
      </c>
      <c r="D1962" s="33" t="n">
        <f aca="false">'Uso e Consumo'!C1962</f>
        <v>1259169</v>
      </c>
      <c r="E1962" s="34" t="str">
        <f aca="false">'Uso e Consumo'!D1962</f>
        <v>24.41.0369</v>
      </c>
      <c r="F1962" s="34" t="str">
        <f aca="false">'Uso e Consumo'!E1962</f>
        <v>SOQUETE TIPO CANHÃO 10 MM</v>
      </c>
      <c r="G1962" s="34" t="str">
        <f aca="false">'Uso e Consumo'!J1962</f>
        <v>UN</v>
      </c>
      <c r="H1962" s="49" t="n">
        <f aca="false">'Uso e Consumo'!F1962</f>
        <v>10</v>
      </c>
      <c r="I1962" s="35" t="n">
        <f aca="false">'Uso e Consumo'!G1962</f>
        <v>150</v>
      </c>
      <c r="J1962" s="34" t="str">
        <f aca="false">'Uso e Consumo'!M1962</f>
        <v>3.8.2.002 - Ferramentas manuais</v>
      </c>
      <c r="K1962" s="32" t="str">
        <f aca="false">INDEX('Curva ABC'!$K$8:$K$2847,MATCH(D1962,'Curva ABC'!$B$8:$B$2847,0))</f>
        <v>C</v>
      </c>
    </row>
    <row r="1963" customFormat="false" ht="15" hidden="false" customHeight="false" outlineLevel="0" collapsed="false">
      <c r="A1963" s="34" t="s">
        <v>5799</v>
      </c>
      <c r="B1963" s="34" t="str">
        <f aca="false">'Uso e Consumo'!A1963</f>
        <v>0335</v>
      </c>
      <c r="C1963" s="34" t="str">
        <f aca="false">'Uso e Consumo'!B1963</f>
        <v>UFV NORONHA VERDE - USO E CONSUMO</v>
      </c>
      <c r="D1963" s="33" t="n">
        <f aca="false">'Uso e Consumo'!C1963</f>
        <v>1615270</v>
      </c>
      <c r="E1963" s="34" t="str">
        <f aca="false">'Uso e Consumo'!D1963</f>
        <v>17.11.1148</v>
      </c>
      <c r="F1963" s="34" t="str">
        <f aca="false">'Uso e Consumo'!E1963</f>
        <v>LAMPADA LED 30W</v>
      </c>
      <c r="G1963" s="34" t="str">
        <f aca="false">'Uso e Consumo'!J1963</f>
        <v>UN</v>
      </c>
      <c r="H1963" s="49" t="n">
        <f aca="false">'Uso e Consumo'!F1963</f>
        <v>10</v>
      </c>
      <c r="I1963" s="35" t="n">
        <f aca="false">'Uso e Consumo'!G1963</f>
        <v>150</v>
      </c>
      <c r="J1963" s="34" t="str">
        <f aca="false">'Uso e Consumo'!M1963</f>
        <v>3.8.1.017 - Instalações elétricas/telefônicas/lógica</v>
      </c>
      <c r="K1963" s="32" t="str">
        <f aca="false">INDEX('Curva ABC'!$K$8:$K$2847,MATCH(D1963,'Curva ABC'!$B$8:$B$2847,0))</f>
        <v>C</v>
      </c>
    </row>
    <row r="1964" customFormat="false" ht="15" hidden="false" customHeight="false" outlineLevel="0" collapsed="false">
      <c r="A1964" s="34" t="s">
        <v>5799</v>
      </c>
      <c r="B1964" s="34" t="str">
        <f aca="false">'Uso e Consumo'!A1964</f>
        <v>0335</v>
      </c>
      <c r="C1964" s="34" t="str">
        <f aca="false">'Uso e Consumo'!B1964</f>
        <v>UFV NORONHA VERDE - USO E CONSUMO</v>
      </c>
      <c r="D1964" s="33" t="n">
        <f aca="false">'Uso e Consumo'!C1964</f>
        <v>140764</v>
      </c>
      <c r="E1964" s="34" t="str">
        <f aca="false">'Uso e Consumo'!D1964</f>
        <v>23.02.0315</v>
      </c>
      <c r="F1964" s="34" t="str">
        <f aca="false">'Uso e Consumo'!E1964</f>
        <v>ABRAÇADEIRA DE NYLON 200MM x 2,8MM x 1,2MM</v>
      </c>
      <c r="G1964" s="34" t="str">
        <f aca="false">'Uso e Consumo'!J1964</f>
        <v>UN</v>
      </c>
      <c r="H1964" s="49" t="n">
        <f aca="false">'Uso e Consumo'!F1964</f>
        <v>3</v>
      </c>
      <c r="I1964" s="35" t="n">
        <f aca="false">'Uso e Consumo'!G1964</f>
        <v>149.94</v>
      </c>
      <c r="J1964" s="34" t="str">
        <f aca="false">'Uso e Consumo'!M1964</f>
        <v>3.8.1.022 - Elementos de fixação</v>
      </c>
      <c r="K1964" s="32" t="str">
        <f aca="false">INDEX('Curva ABC'!$K$8:$K$2847,MATCH(D1964,'Curva ABC'!$B$8:$B$2847,0))</f>
        <v>C</v>
      </c>
    </row>
    <row r="1965" customFormat="false" ht="15" hidden="false" customHeight="false" outlineLevel="0" collapsed="false">
      <c r="A1965" s="34" t="s">
        <v>5799</v>
      </c>
      <c r="B1965" s="34" t="str">
        <f aca="false">'Uso e Consumo'!A1965</f>
        <v>0335</v>
      </c>
      <c r="C1965" s="34" t="str">
        <f aca="false">'Uso e Consumo'!B1965</f>
        <v>UFV NORONHA VERDE - USO E CONSUMO</v>
      </c>
      <c r="D1965" s="33" t="n">
        <f aca="false">'Uso e Consumo'!C1965</f>
        <v>648666</v>
      </c>
      <c r="E1965" s="34" t="str">
        <f aca="false">'Uso e Consumo'!D1965</f>
        <v>18.10.0120</v>
      </c>
      <c r="F1965" s="34" t="str">
        <f aca="false">'Uso e Consumo'!E1965</f>
        <v>ADESIVO PVC 175G EXTRA FORTE</v>
      </c>
      <c r="G1965" s="34" t="str">
        <f aca="false">'Uso e Consumo'!J1965</f>
        <v>UN</v>
      </c>
      <c r="H1965" s="49" t="n">
        <f aca="false">'Uso e Consumo'!F1965</f>
        <v>5</v>
      </c>
      <c r="I1965" s="35" t="n">
        <f aca="false">'Uso e Consumo'!G1965</f>
        <v>149.9</v>
      </c>
      <c r="J1965" s="34" t="str">
        <f aca="false">'Uso e Consumo'!M1965</f>
        <v>3.8.1.018 - Instalações hidráulicas/sanitárias/industriais</v>
      </c>
      <c r="K1965" s="32" t="str">
        <f aca="false">INDEX('Curva ABC'!$K$8:$K$2847,MATCH(D1965,'Curva ABC'!$B$8:$B$2847,0))</f>
        <v>C</v>
      </c>
    </row>
    <row r="1966" customFormat="false" ht="15" hidden="false" customHeight="false" outlineLevel="0" collapsed="false">
      <c r="A1966" s="34" t="s">
        <v>5799</v>
      </c>
      <c r="B1966" s="34" t="str">
        <f aca="false">'Uso e Consumo'!A1966</f>
        <v>0335</v>
      </c>
      <c r="C1966" s="34" t="str">
        <f aca="false">'Uso e Consumo'!B1966</f>
        <v>UFV NORONHA VERDE - USO E CONSUMO</v>
      </c>
      <c r="D1966" s="33" t="n">
        <f aca="false">'Uso e Consumo'!C1966</f>
        <v>19904</v>
      </c>
      <c r="E1966" s="34" t="str">
        <f aca="false">'Uso e Consumo'!D1966</f>
        <v>31.02.0014</v>
      </c>
      <c r="F1966" s="34" t="str">
        <f aca="false">'Uso e Consumo'!E1966</f>
        <v>DESENGRIPANTE AEROSOL 200,00ML REF WD-40</v>
      </c>
      <c r="G1966" s="34" t="str">
        <f aca="false">'Uso e Consumo'!J1966</f>
        <v>UN</v>
      </c>
      <c r="H1966" s="49" t="n">
        <f aca="false">'Uso e Consumo'!F1966</f>
        <v>6</v>
      </c>
      <c r="I1966" s="35" t="n">
        <f aca="false">'Uso e Consumo'!G1966</f>
        <v>149.88</v>
      </c>
      <c r="J1966" s="34" t="str">
        <f aca="false">'Uso e Consumo'!M1966</f>
        <v>3.1.6.001 - Combustível e lubrificantes</v>
      </c>
      <c r="K1966" s="32" t="str">
        <f aca="false">INDEX('Curva ABC'!$K$8:$K$2847,MATCH(D1966,'Curva ABC'!$B$8:$B$2847,0))</f>
        <v>C</v>
      </c>
    </row>
    <row r="1967" customFormat="false" ht="15" hidden="false" customHeight="false" outlineLevel="0" collapsed="false">
      <c r="A1967" s="34" t="s">
        <v>5799</v>
      </c>
      <c r="B1967" s="34" t="str">
        <f aca="false">'Uso e Consumo'!A1967</f>
        <v>0335</v>
      </c>
      <c r="C1967" s="34" t="str">
        <f aca="false">'Uso e Consumo'!B1967</f>
        <v>UFV NORONHA VERDE - USO E CONSUMO</v>
      </c>
      <c r="D1967" s="33" t="n">
        <f aca="false">'Uso e Consumo'!C1967</f>
        <v>1672556</v>
      </c>
      <c r="E1967" s="34" t="str">
        <f aca="false">'Uso e Consumo'!D1967</f>
        <v>09.08.0087</v>
      </c>
      <c r="F1967" s="34" t="str">
        <f aca="false">'Uso e Consumo'!E1967</f>
        <v>TAMPA REFORCADA DE CONCRETO ARMADO 24 X 80 X 20 CM</v>
      </c>
      <c r="G1967" s="34" t="str">
        <f aca="false">'Uso e Consumo'!J1967</f>
        <v>UN</v>
      </c>
      <c r="H1967" s="49" t="n">
        <f aca="false">'Uso e Consumo'!F1967</f>
        <v>1</v>
      </c>
      <c r="I1967" s="35" t="n">
        <f aca="false">'Uso e Consumo'!G1967</f>
        <v>149.76</v>
      </c>
      <c r="J1967" s="34" t="str">
        <f aca="false">'Uso e Consumo'!M1967</f>
        <v>3.8.1.009 - Artefatos pré-moldados de concreto</v>
      </c>
      <c r="K1967" s="32" t="str">
        <f aca="false">INDEX('Curva ABC'!$K$8:$K$2847,MATCH(D1967,'Curva ABC'!$B$8:$B$2847,0))</f>
        <v>C</v>
      </c>
    </row>
    <row r="1968" customFormat="false" ht="15" hidden="false" customHeight="false" outlineLevel="0" collapsed="false">
      <c r="A1968" s="34" t="s">
        <v>5799</v>
      </c>
      <c r="B1968" s="34" t="str">
        <f aca="false">'Uso e Consumo'!A1968</f>
        <v>0335</v>
      </c>
      <c r="C1968" s="34" t="str">
        <f aca="false">'Uso e Consumo'!B1968</f>
        <v>UFV NORONHA VERDE - USO E CONSUMO</v>
      </c>
      <c r="D1968" s="33" t="n">
        <f aca="false">'Uso e Consumo'!C1968</f>
        <v>18455</v>
      </c>
      <c r="E1968" s="34" t="str">
        <f aca="false">'Uso e Consumo'!D1968</f>
        <v>25.04.0005</v>
      </c>
      <c r="F1968" s="34" t="str">
        <f aca="false">'Uso e Consumo'!E1968</f>
        <v>LÂMINA SERRA TICO-TICO AÇO BI-METAL ENCAIXE UNIFICADO 100,00MM X 9,50MM X 1,00MM 10 DENTES REGULAR C</v>
      </c>
      <c r="G1968" s="34" t="str">
        <f aca="false">'Uso e Consumo'!J1968</f>
        <v>UN</v>
      </c>
      <c r="H1968" s="49" t="n">
        <f aca="false">'Uso e Consumo'!F1968</f>
        <v>10</v>
      </c>
      <c r="I1968" s="35" t="n">
        <f aca="false">'Uso e Consumo'!G1968</f>
        <v>149.2</v>
      </c>
      <c r="J1968" s="34" t="str">
        <f aca="false">'Uso e Consumo'!M1968</f>
        <v>3.8.2.004 - Consumíveis para corte, perfuração e desbaste</v>
      </c>
      <c r="K1968" s="32" t="str">
        <f aca="false">INDEX('Curva ABC'!$K$8:$K$2847,MATCH(D1968,'Curva ABC'!$B$8:$B$2847,0))</f>
        <v>C</v>
      </c>
    </row>
    <row r="1969" customFormat="false" ht="15" hidden="false" customHeight="false" outlineLevel="0" collapsed="false">
      <c r="A1969" s="34" t="s">
        <v>5799</v>
      </c>
      <c r="B1969" s="34" t="str">
        <f aca="false">'Uso e Consumo'!A1969</f>
        <v>0335</v>
      </c>
      <c r="C1969" s="34" t="str">
        <f aca="false">'Uso e Consumo'!B1969</f>
        <v>UFV NORONHA VERDE - USO E CONSUMO</v>
      </c>
      <c r="D1969" s="33" t="n">
        <f aca="false">'Uso e Consumo'!C1969</f>
        <v>31237</v>
      </c>
      <c r="E1969" s="34" t="str">
        <f aca="false">'Uso e Consumo'!D1969</f>
        <v>24.09.0189</v>
      </c>
      <c r="F1969" s="34" t="str">
        <f aca="false">'Uso e Consumo'!E1969</f>
        <v>JOGO DE CHAVES DE FENDA E PHILLIPS COM 5 PEÃS GERDORE</v>
      </c>
      <c r="G1969" s="34" t="str">
        <f aca="false">'Uso e Consumo'!J1969</f>
        <v>UN</v>
      </c>
      <c r="H1969" s="49" t="n">
        <f aca="false">'Uso e Consumo'!F1969</f>
        <v>1</v>
      </c>
      <c r="I1969" s="35" t="n">
        <f aca="false">'Uso e Consumo'!G1969</f>
        <v>148</v>
      </c>
      <c r="J1969" s="34" t="str">
        <f aca="false">'Uso e Consumo'!M1969</f>
        <v>3.8.2.002 - Ferramentas manuais</v>
      </c>
      <c r="K1969" s="32" t="str">
        <f aca="false">INDEX('Curva ABC'!$K$8:$K$2847,MATCH(D1969,'Curva ABC'!$B$8:$B$2847,0))</f>
        <v>C</v>
      </c>
    </row>
    <row r="1970" customFormat="false" ht="15" hidden="false" customHeight="false" outlineLevel="0" collapsed="false">
      <c r="A1970" s="34" t="s">
        <v>5799</v>
      </c>
      <c r="B1970" s="34" t="str">
        <f aca="false">'Uso e Consumo'!A1970</f>
        <v>0335</v>
      </c>
      <c r="C1970" s="34" t="str">
        <f aca="false">'Uso e Consumo'!B1970</f>
        <v>UFV NORONHA VERDE - USO E CONSUMO</v>
      </c>
      <c r="D1970" s="33" t="n">
        <f aca="false">'Uso e Consumo'!C1970</f>
        <v>219982</v>
      </c>
      <c r="E1970" s="34" t="str">
        <f aca="false">'Uso e Consumo'!D1970</f>
        <v>17.07.0035</v>
      </c>
      <c r="F1970" s="34" t="str">
        <f aca="false">'Uso e Consumo'!E1970</f>
        <v>CAIXA DE PASSAGEM EMBUTIR 20CM x 20CM x8CM</v>
      </c>
      <c r="G1970" s="34" t="str">
        <f aca="false">'Uso e Consumo'!J1970</f>
        <v>UN</v>
      </c>
      <c r="H1970" s="49" t="n">
        <f aca="false">'Uso e Consumo'!F1970</f>
        <v>1</v>
      </c>
      <c r="I1970" s="35" t="n">
        <f aca="false">'Uso e Consumo'!G1970</f>
        <v>148</v>
      </c>
      <c r="J1970" s="34" t="str">
        <f aca="false">'Uso e Consumo'!M1970</f>
        <v>3.8.1.017 - Instalações elétricas/telefônicas/lógica</v>
      </c>
      <c r="K1970" s="32" t="str">
        <f aca="false">INDEX('Curva ABC'!$K$8:$K$2847,MATCH(D1970,'Curva ABC'!$B$8:$B$2847,0))</f>
        <v>C</v>
      </c>
    </row>
    <row r="1971" customFormat="false" ht="15" hidden="false" customHeight="false" outlineLevel="0" collapsed="false">
      <c r="A1971" s="34" t="s">
        <v>5799</v>
      </c>
      <c r="B1971" s="34" t="str">
        <f aca="false">'Uso e Consumo'!A1971</f>
        <v>0335</v>
      </c>
      <c r="C1971" s="34" t="str">
        <f aca="false">'Uso e Consumo'!B1971</f>
        <v>UFV NORONHA VERDE - USO E CONSUMO</v>
      </c>
      <c r="D1971" s="33" t="n">
        <f aca="false">'Uso e Consumo'!C1971</f>
        <v>18862</v>
      </c>
      <c r="E1971" s="34" t="str">
        <f aca="false">'Uso e Consumo'!D1971</f>
        <v>26.05.0008</v>
      </c>
      <c r="F1971" s="34" t="str">
        <f aca="false">'Uso e Consumo'!E1971</f>
        <v>MÁSCARA DE SOLDA COM VISOR ARTICULADO - LENTE TON. 12 (CA-6135/9155/15083)</v>
      </c>
      <c r="G1971" s="34" t="str">
        <f aca="false">'Uso e Consumo'!J1971</f>
        <v>UN</v>
      </c>
      <c r="H1971" s="49" t="n">
        <f aca="false">'Uso e Consumo'!F1971</f>
        <v>2</v>
      </c>
      <c r="I1971" s="35" t="n">
        <f aca="false">'Uso e Consumo'!G1971</f>
        <v>147.4</v>
      </c>
      <c r="J1971" s="34" t="str">
        <f aca="false">'Uso e Consumo'!M1971</f>
        <v>4.3.4.001 - Equipamento de proteção individual</v>
      </c>
      <c r="K1971" s="32" t="str">
        <f aca="false">INDEX('Curva ABC'!$K$8:$K$2847,MATCH(D1971,'Curva ABC'!$B$8:$B$2847,0))</f>
        <v>C</v>
      </c>
    </row>
    <row r="1972" customFormat="false" ht="15" hidden="false" customHeight="false" outlineLevel="0" collapsed="false">
      <c r="A1972" s="34" t="s">
        <v>5799</v>
      </c>
      <c r="B1972" s="34" t="str">
        <f aca="false">'Uso e Consumo'!A1972</f>
        <v>0335</v>
      </c>
      <c r="C1972" s="34" t="str">
        <f aca="false">'Uso e Consumo'!B1972</f>
        <v>UFV NORONHA VERDE - USO E CONSUMO</v>
      </c>
      <c r="D1972" s="33" t="n">
        <f aca="false">'Uso e Consumo'!C1972</f>
        <v>60633</v>
      </c>
      <c r="E1972" s="34" t="str">
        <f aca="false">'Uso e Consumo'!D1972</f>
        <v>17.12.0316</v>
      </c>
      <c r="F1972" s="34" t="str">
        <f aca="false">'Uso e Consumo'!E1972</f>
        <v>TOMADA TRIPLA 2P+T 10A</v>
      </c>
      <c r="G1972" s="34" t="str">
        <f aca="false">'Uso e Consumo'!J1972</f>
        <v>UN</v>
      </c>
      <c r="H1972" s="49" t="n">
        <f aca="false">'Uso e Consumo'!F1972</f>
        <v>9</v>
      </c>
      <c r="I1972" s="35" t="n">
        <f aca="false">'Uso e Consumo'!G1972</f>
        <v>146.88</v>
      </c>
      <c r="J1972" s="34" t="str">
        <f aca="false">'Uso e Consumo'!M1972</f>
        <v>3.8.1.017 - Instalações elétricas/telefônicas/lógica</v>
      </c>
      <c r="K1972" s="32" t="str">
        <f aca="false">INDEX('Curva ABC'!$K$8:$K$2847,MATCH(D1972,'Curva ABC'!$B$8:$B$2847,0))</f>
        <v>C</v>
      </c>
    </row>
    <row r="1973" customFormat="false" ht="15" hidden="false" customHeight="false" outlineLevel="0" collapsed="false">
      <c r="A1973" s="34" t="s">
        <v>5799</v>
      </c>
      <c r="B1973" s="34" t="str">
        <f aca="false">'Uso e Consumo'!A1973</f>
        <v>0335</v>
      </c>
      <c r="C1973" s="34" t="str">
        <f aca="false">'Uso e Consumo'!B1973</f>
        <v>UFV NORONHA VERDE - USO E CONSUMO</v>
      </c>
      <c r="D1973" s="33" t="n">
        <f aca="false">'Uso e Consumo'!C1973</f>
        <v>22440</v>
      </c>
      <c r="E1973" s="34" t="str">
        <f aca="false">'Uso e Consumo'!D1973</f>
        <v>17.12.0194</v>
      </c>
      <c r="F1973" s="34" t="str">
        <f aca="false">'Uso e Consumo'!E1973</f>
        <v>PLUG MACHO 3P 10A 250V</v>
      </c>
      <c r="G1973" s="34" t="str">
        <f aca="false">'Uso e Consumo'!J1973</f>
        <v>UN</v>
      </c>
      <c r="H1973" s="49" t="n">
        <f aca="false">'Uso e Consumo'!F1973</f>
        <v>2</v>
      </c>
      <c r="I1973" s="35" t="n">
        <f aca="false">'Uso e Consumo'!G1973</f>
        <v>146</v>
      </c>
      <c r="J1973" s="34" t="str">
        <f aca="false">'Uso e Consumo'!M1973</f>
        <v>3.8.1.017 - Instalações elétricas/telefônicas/lógica</v>
      </c>
      <c r="K1973" s="32" t="str">
        <f aca="false">INDEX('Curva ABC'!$K$8:$K$2847,MATCH(D1973,'Curva ABC'!$B$8:$B$2847,0))</f>
        <v>C</v>
      </c>
    </row>
    <row r="1974" customFormat="false" ht="15" hidden="false" customHeight="false" outlineLevel="0" collapsed="false">
      <c r="A1974" s="34" t="s">
        <v>5799</v>
      </c>
      <c r="B1974" s="34" t="str">
        <f aca="false">'Uso e Consumo'!A1974</f>
        <v>0335</v>
      </c>
      <c r="C1974" s="34" t="str">
        <f aca="false">'Uso e Consumo'!B1974</f>
        <v>UFV NORONHA VERDE - USO E CONSUMO</v>
      </c>
      <c r="D1974" s="33" t="n">
        <f aca="false">'Uso e Consumo'!C1974</f>
        <v>1539987</v>
      </c>
      <c r="E1974" s="34" t="str">
        <f aca="false">'Uso e Consumo'!D1974</f>
        <v>24.09.0719</v>
      </c>
      <c r="F1974" s="34" t="str">
        <f aca="false">'Uso e Consumo'!E1974</f>
        <v>CHAVE INGLESA AJUSTÁVEL EM AÇO CARBONO CROMADO 18"</v>
      </c>
      <c r="G1974" s="34" t="str">
        <f aca="false">'Uso e Consumo'!J1974</f>
        <v>UN</v>
      </c>
      <c r="H1974" s="49" t="n">
        <f aca="false">'Uso e Consumo'!F1974</f>
        <v>1</v>
      </c>
      <c r="I1974" s="35" t="n">
        <f aca="false">'Uso e Consumo'!G1974</f>
        <v>146</v>
      </c>
      <c r="J1974" s="34" t="str">
        <f aca="false">'Uso e Consumo'!M1974</f>
        <v>3.8.2.002 - Ferramentas manuais</v>
      </c>
      <c r="K1974" s="32" t="str">
        <f aca="false">INDEX('Curva ABC'!$K$8:$K$2847,MATCH(D1974,'Curva ABC'!$B$8:$B$2847,0))</f>
        <v>C</v>
      </c>
    </row>
    <row r="1975" customFormat="false" ht="15" hidden="false" customHeight="false" outlineLevel="0" collapsed="false">
      <c r="A1975" s="34" t="s">
        <v>5799</v>
      </c>
      <c r="B1975" s="34" t="str">
        <f aca="false">'Uso e Consumo'!A1975</f>
        <v>0335</v>
      </c>
      <c r="C1975" s="34" t="str">
        <f aca="false">'Uso e Consumo'!B1975</f>
        <v>UFV NORONHA VERDE - USO E CONSUMO</v>
      </c>
      <c r="D1975" s="33" t="n">
        <f aca="false">'Uso e Consumo'!C1975</f>
        <v>1385306</v>
      </c>
      <c r="E1975" s="34" t="str">
        <f aca="false">'Uso e Consumo'!D1975</f>
        <v>17.20.0692</v>
      </c>
      <c r="F1975" s="34" t="str">
        <f aca="false">'Uso e Consumo'!E1975</f>
        <v>TERMINAÇÃO PARA ACABAMENTO DE ELETRODUTO FLEXÍVEL PEAD, DIÂMETRO NOMINAL 2"</v>
      </c>
      <c r="G1975" s="34" t="str">
        <f aca="false">'Uso e Consumo'!J1975</f>
        <v>UN</v>
      </c>
      <c r="H1975" s="49" t="n">
        <f aca="false">'Uso e Consumo'!F1975</f>
        <v>23</v>
      </c>
      <c r="I1975" s="35" t="n">
        <f aca="false">'Uso e Consumo'!G1975</f>
        <v>145.59</v>
      </c>
      <c r="J1975" s="34" t="str">
        <f aca="false">'Uso e Consumo'!M1975</f>
        <v>3.8.1.017 - Instalações elétricas/telefônicas/lógica</v>
      </c>
      <c r="K1975" s="32" t="str">
        <f aca="false">INDEX('Curva ABC'!$K$8:$K$2847,MATCH(D1975,'Curva ABC'!$B$8:$B$2847,0))</f>
        <v>C</v>
      </c>
    </row>
    <row r="1976" customFormat="false" ht="15" hidden="false" customHeight="false" outlineLevel="0" collapsed="false">
      <c r="A1976" s="34" t="s">
        <v>5799</v>
      </c>
      <c r="B1976" s="34" t="str">
        <f aca="false">'Uso e Consumo'!A1976</f>
        <v>0335</v>
      </c>
      <c r="C1976" s="34" t="str">
        <f aca="false">'Uso e Consumo'!B1976</f>
        <v>UFV NORONHA VERDE - USO E CONSUMO</v>
      </c>
      <c r="D1976" s="33" t="n">
        <f aca="false">'Uso e Consumo'!C1976</f>
        <v>1383520</v>
      </c>
      <c r="E1976" s="34" t="str">
        <f aca="false">'Uso e Consumo'!D1976</f>
        <v>17.20.0689</v>
      </c>
      <c r="F1976" s="34" t="str">
        <f aca="false">'Uso e Consumo'!E1976</f>
        <v>SUPORTE GUIA REFORÇADO, TIPO CURTO (H=5 CM), COM ROLDANA DE POLIPROPILENO E FIXAÇÃO POR DOIS FUROS</v>
      </c>
      <c r="G1976" s="34" t="str">
        <f aca="false">'Uso e Consumo'!J1976</f>
        <v>UN</v>
      </c>
      <c r="H1976" s="49" t="n">
        <f aca="false">'Uso e Consumo'!F1976</f>
        <v>18</v>
      </c>
      <c r="I1976" s="35" t="n">
        <f aca="false">'Uso e Consumo'!G1976</f>
        <v>145.46</v>
      </c>
      <c r="J1976" s="34" t="str">
        <f aca="false">'Uso e Consumo'!M1976</f>
        <v>3.8.1.017 - Instalações elétricas/telefônicas/lógica</v>
      </c>
      <c r="K1976" s="32" t="str">
        <f aca="false">INDEX('Curva ABC'!$K$8:$K$2847,MATCH(D1976,'Curva ABC'!$B$8:$B$2847,0))</f>
        <v>C</v>
      </c>
    </row>
    <row r="1977" customFormat="false" ht="15" hidden="false" customHeight="false" outlineLevel="0" collapsed="false">
      <c r="A1977" s="34" t="s">
        <v>5799</v>
      </c>
      <c r="B1977" s="34" t="str">
        <f aca="false">'Uso e Consumo'!A1977</f>
        <v>0335</v>
      </c>
      <c r="C1977" s="34" t="str">
        <f aca="false">'Uso e Consumo'!B1977</f>
        <v>UFV NORONHA VERDE - USO E CONSUMO</v>
      </c>
      <c r="D1977" s="33" t="n">
        <f aca="false">'Uso e Consumo'!C1977</f>
        <v>1614273</v>
      </c>
      <c r="E1977" s="34" t="str">
        <f aca="false">'Uso e Consumo'!D1977</f>
        <v>17.03.0620</v>
      </c>
      <c r="F1977" s="34" t="str">
        <f aca="false">'Uso e Consumo'!E1977</f>
        <v>TERMINAL ELETROCALHA 200X100MM</v>
      </c>
      <c r="G1977" s="34" t="str">
        <f aca="false">'Uso e Consumo'!J1977</f>
        <v>UN</v>
      </c>
      <c r="H1977" s="49" t="n">
        <f aca="false">'Uso e Consumo'!F1977</f>
        <v>6</v>
      </c>
      <c r="I1977" s="35" t="n">
        <f aca="false">'Uso e Consumo'!G1977</f>
        <v>145.38</v>
      </c>
      <c r="J1977" s="34" t="str">
        <f aca="false">'Uso e Consumo'!M1977</f>
        <v>3.8.1.017 - Instalações elétricas/telefônicas/lógica</v>
      </c>
      <c r="K1977" s="32" t="str">
        <f aca="false">INDEX('Curva ABC'!$K$8:$K$2847,MATCH(D1977,'Curva ABC'!$B$8:$B$2847,0))</f>
        <v>C</v>
      </c>
    </row>
    <row r="1978" customFormat="false" ht="32.8" hidden="false" customHeight="false" outlineLevel="0" collapsed="false">
      <c r="A1978" s="34" t="s">
        <v>5799</v>
      </c>
      <c r="B1978" s="34" t="str">
        <f aca="false">'Uso e Consumo'!A1978</f>
        <v>0335</v>
      </c>
      <c r="C1978" s="34" t="str">
        <f aca="false">'Uso e Consumo'!B1978</f>
        <v>UFV NORONHA VERDE - USO E CONSUMO</v>
      </c>
      <c r="D1978" s="33" t="n">
        <f aca="false">'Uso e Consumo'!C1978</f>
        <v>1485630</v>
      </c>
      <c r="E1978" s="34" t="str">
        <f aca="false">'Uso e Consumo'!D1978</f>
        <v>23.09.0046</v>
      </c>
      <c r="F1978" s="50" t="str">
        <f aca="false">'Uso e Consumo'!E1978</f>
        <v>PEDESTAL DE FIXAÇÃO TIPO ÔMEGA EM AÇO COM FUROS Ø8,5 MM E Ø10 MM
</v>
      </c>
      <c r="G1978" s="34" t="str">
        <f aca="false">'Uso e Consumo'!J1978</f>
        <v>UN</v>
      </c>
      <c r="H1978" s="49" t="n">
        <f aca="false">'Uso e Consumo'!F1978</f>
        <v>12</v>
      </c>
      <c r="I1978" s="35" t="n">
        <f aca="false">'Uso e Consumo'!G1978</f>
        <v>145.32</v>
      </c>
      <c r="J1978" s="34" t="str">
        <f aca="false">'Uso e Consumo'!M1978</f>
        <v>3.8.1.022 - Elementos de fixação</v>
      </c>
      <c r="K1978" s="32" t="str">
        <f aca="false">INDEX('Curva ABC'!$K$8:$K$2847,MATCH(D1978,'Curva ABC'!$B$8:$B$2847,0))</f>
        <v>C</v>
      </c>
    </row>
    <row r="1979" customFormat="false" ht="15" hidden="false" customHeight="false" outlineLevel="0" collapsed="false">
      <c r="A1979" s="34" t="s">
        <v>5799</v>
      </c>
      <c r="B1979" s="34" t="str">
        <f aca="false">'Uso e Consumo'!A1979</f>
        <v>0335</v>
      </c>
      <c r="C1979" s="34" t="str">
        <f aca="false">'Uso e Consumo'!B1979</f>
        <v>UFV NORONHA VERDE - USO E CONSUMO</v>
      </c>
      <c r="D1979" s="33" t="n">
        <f aca="false">'Uso e Consumo'!C1979</f>
        <v>1461564</v>
      </c>
      <c r="E1979" s="34" t="str">
        <f aca="false">'Uso e Consumo'!D1979</f>
        <v>18.10.0149</v>
      </c>
      <c r="F1979" s="34" t="str">
        <f aca="false">'Uso e Consumo'!E1979</f>
        <v>PASTA LUBRIFICANTE BISNAGA 400G</v>
      </c>
      <c r="G1979" s="34" t="str">
        <f aca="false">'Uso e Consumo'!J1979</f>
        <v>UN</v>
      </c>
      <c r="H1979" s="49" t="n">
        <f aca="false">'Uso e Consumo'!F1979</f>
        <v>3</v>
      </c>
      <c r="I1979" s="35" t="n">
        <f aca="false">'Uso e Consumo'!G1979</f>
        <v>145.09</v>
      </c>
      <c r="J1979" s="34" t="str">
        <f aca="false">'Uso e Consumo'!M1979</f>
        <v>3.8.1.018 - Instalações hidráulicas/sanitárias/industriais</v>
      </c>
      <c r="K1979" s="32" t="str">
        <f aca="false">INDEX('Curva ABC'!$K$8:$K$2847,MATCH(D1979,'Curva ABC'!$B$8:$B$2847,0))</f>
        <v>C</v>
      </c>
    </row>
    <row r="1980" customFormat="false" ht="15" hidden="false" customHeight="false" outlineLevel="0" collapsed="false">
      <c r="A1980" s="34" t="s">
        <v>5799</v>
      </c>
      <c r="B1980" s="34" t="str">
        <f aca="false">'Uso e Consumo'!A1980</f>
        <v>0335</v>
      </c>
      <c r="C1980" s="34" t="str">
        <f aca="false">'Uso e Consumo'!B1980</f>
        <v>UFV NORONHA VERDE - USO E CONSUMO</v>
      </c>
      <c r="D1980" s="33" t="n">
        <f aca="false">'Uso e Consumo'!C1980</f>
        <v>1607589</v>
      </c>
      <c r="E1980" s="34" t="str">
        <f aca="false">'Uso e Consumo'!D1980</f>
        <v>17.16.3878</v>
      </c>
      <c r="F1980" s="34" t="str">
        <f aca="false">'Uso e Consumo'!E1980</f>
        <v>CONECTOR A COMPRESSAO BIMETALICO CABO DE 70MM FURO M12</v>
      </c>
      <c r="G1980" s="34" t="str">
        <f aca="false">'Uso e Consumo'!J1980</f>
        <v>UN</v>
      </c>
      <c r="H1980" s="49" t="n">
        <f aca="false">'Uso e Consumo'!F1980</f>
        <v>6</v>
      </c>
      <c r="I1980" s="35" t="n">
        <f aca="false">'Uso e Consumo'!G1980</f>
        <v>144.9</v>
      </c>
      <c r="J1980" s="34" t="str">
        <f aca="false">'Uso e Consumo'!M1980</f>
        <v>3.8.1.017 - Instalações elétricas/telefônicas/lógica</v>
      </c>
      <c r="K1980" s="32" t="str">
        <f aca="false">INDEX('Curva ABC'!$K$8:$K$2847,MATCH(D1980,'Curva ABC'!$B$8:$B$2847,0))</f>
        <v>C</v>
      </c>
    </row>
    <row r="1981" customFormat="false" ht="15" hidden="false" customHeight="false" outlineLevel="0" collapsed="false">
      <c r="A1981" s="34" t="s">
        <v>5799</v>
      </c>
      <c r="B1981" s="34" t="str">
        <f aca="false">'Uso e Consumo'!A1981</f>
        <v>0335</v>
      </c>
      <c r="C1981" s="34" t="str">
        <f aca="false">'Uso e Consumo'!B1981</f>
        <v>UFV NORONHA VERDE - USO E CONSUMO</v>
      </c>
      <c r="D1981" s="33" t="n">
        <f aca="false">'Uso e Consumo'!C1981</f>
        <v>840031</v>
      </c>
      <c r="E1981" s="34" t="str">
        <f aca="false">'Uso e Consumo'!D1981</f>
        <v>18.01.1271</v>
      </c>
      <c r="F1981" s="34" t="str">
        <f aca="false">'Uso e Consumo'!E1981</f>
        <v>TÊ 50 X 50MM, ESGOTO SÉRIE NORMAL - TIGRE</v>
      </c>
      <c r="G1981" s="34" t="str">
        <f aca="false">'Uso e Consumo'!J1981</f>
        <v>UN</v>
      </c>
      <c r="H1981" s="49" t="n">
        <f aca="false">'Uso e Consumo'!F1981</f>
        <v>23</v>
      </c>
      <c r="I1981" s="35" t="n">
        <f aca="false">'Uso e Consumo'!G1981</f>
        <v>144.68</v>
      </c>
      <c r="J1981" s="34" t="str">
        <f aca="false">'Uso e Consumo'!M1981</f>
        <v>3.8.1.018 - Instalações hidráulicas/sanitárias/industriais</v>
      </c>
      <c r="K1981" s="32" t="str">
        <f aca="false">INDEX('Curva ABC'!$K$8:$K$2847,MATCH(D1981,'Curva ABC'!$B$8:$B$2847,0))</f>
        <v>C</v>
      </c>
    </row>
    <row r="1982" customFormat="false" ht="15" hidden="false" customHeight="false" outlineLevel="0" collapsed="false">
      <c r="A1982" s="34" t="s">
        <v>5799</v>
      </c>
      <c r="B1982" s="34" t="str">
        <f aca="false">'Uso e Consumo'!A1982</f>
        <v>0335</v>
      </c>
      <c r="C1982" s="34" t="str">
        <f aca="false">'Uso e Consumo'!B1982</f>
        <v>UFV NORONHA VERDE - USO E CONSUMO</v>
      </c>
      <c r="D1982" s="33" t="n">
        <f aca="false">'Uso e Consumo'!C1982</f>
        <v>1013743</v>
      </c>
      <c r="E1982" s="34" t="str">
        <f aca="false">'Uso e Consumo'!D1982</f>
        <v>30.04.0310</v>
      </c>
      <c r="F1982" s="34" t="str">
        <f aca="false">'Uso e Consumo'!E1982</f>
        <v>ABRIDOR DE LACRE/GARRAFÃO - TAMPA AGUA MENERAL 20 LITROS</v>
      </c>
      <c r="G1982" s="34" t="str">
        <f aca="false">'Uso e Consumo'!J1982</f>
        <v>UN</v>
      </c>
      <c r="H1982" s="49" t="n">
        <f aca="false">'Uso e Consumo'!F1982</f>
        <v>5</v>
      </c>
      <c r="I1982" s="35" t="n">
        <f aca="false">'Uso e Consumo'!G1982</f>
        <v>144.5</v>
      </c>
      <c r="J1982" s="34" t="str">
        <f aca="false">'Uso e Consumo'!M1982</f>
        <v>4.1.1.001 - Material de uso e consumo</v>
      </c>
      <c r="K1982" s="32" t="str">
        <f aca="false">INDEX('Curva ABC'!$K$8:$K$2847,MATCH(D1982,'Curva ABC'!$B$8:$B$2847,0))</f>
        <v>C</v>
      </c>
    </row>
    <row r="1983" customFormat="false" ht="15" hidden="false" customHeight="false" outlineLevel="0" collapsed="false">
      <c r="A1983" s="34" t="s">
        <v>5799</v>
      </c>
      <c r="B1983" s="34" t="str">
        <f aca="false">'Uso e Consumo'!A1983</f>
        <v>0335</v>
      </c>
      <c r="C1983" s="34" t="str">
        <f aca="false">'Uso e Consumo'!B1983</f>
        <v>UFV NORONHA VERDE - USO E CONSUMO</v>
      </c>
      <c r="D1983" s="33" t="n">
        <f aca="false">'Uso e Consumo'!C1983</f>
        <v>19623</v>
      </c>
      <c r="E1983" s="34" t="str">
        <f aca="false">'Uso e Consumo'!D1983</f>
        <v>30.01.0343</v>
      </c>
      <c r="F1983" s="34" t="str">
        <f aca="false">'Uso e Consumo'!E1983</f>
        <v>PILHA ALCALINA AAA 1,5V C/ 4,00UN</v>
      </c>
      <c r="G1983" s="34" t="str">
        <f aca="false">'Uso e Consumo'!J1983</f>
        <v>UN</v>
      </c>
      <c r="H1983" s="49" t="n">
        <f aca="false">'Uso e Consumo'!F1983</f>
        <v>10</v>
      </c>
      <c r="I1983" s="35" t="n">
        <f aca="false">'Uso e Consumo'!G1983</f>
        <v>144.365</v>
      </c>
      <c r="J1983" s="34" t="str">
        <f aca="false">'Uso e Consumo'!M1983</f>
        <v>4.1.1.002 - Material expediente</v>
      </c>
      <c r="K1983" s="32" t="str">
        <f aca="false">INDEX('Curva ABC'!$K$8:$K$2847,MATCH(D1983,'Curva ABC'!$B$8:$B$2847,0))</f>
        <v>C</v>
      </c>
    </row>
    <row r="1984" customFormat="false" ht="15" hidden="false" customHeight="false" outlineLevel="0" collapsed="false">
      <c r="A1984" s="34" t="s">
        <v>5799</v>
      </c>
      <c r="B1984" s="34" t="str">
        <f aca="false">'Uso e Consumo'!A1984</f>
        <v>0335</v>
      </c>
      <c r="C1984" s="34" t="str">
        <f aca="false">'Uso e Consumo'!B1984</f>
        <v>UFV NORONHA VERDE - USO E CONSUMO</v>
      </c>
      <c r="D1984" s="33" t="n">
        <f aca="false">'Uso e Consumo'!C1984</f>
        <v>23457</v>
      </c>
      <c r="E1984" s="34" t="str">
        <f aca="false">'Uso e Consumo'!D1984</f>
        <v>24.14.0012</v>
      </c>
      <c r="F1984" s="34" t="str">
        <f aca="false">'Uso e Consumo'!E1984</f>
        <v>MARRETA DE PEDREIRO COM CABO 1KG</v>
      </c>
      <c r="G1984" s="34" t="str">
        <f aca="false">'Uso e Consumo'!J1984</f>
        <v>UN</v>
      </c>
      <c r="H1984" s="49" t="n">
        <f aca="false">'Uso e Consumo'!F1984</f>
        <v>6</v>
      </c>
      <c r="I1984" s="35" t="n">
        <f aca="false">'Uso e Consumo'!G1984</f>
        <v>144</v>
      </c>
      <c r="J1984" s="34" t="str">
        <f aca="false">'Uso e Consumo'!M1984</f>
        <v>3.8.2.002 - Ferramentas manuais</v>
      </c>
      <c r="K1984" s="32" t="str">
        <f aca="false">INDEX('Curva ABC'!$K$8:$K$2847,MATCH(D1984,'Curva ABC'!$B$8:$B$2847,0))</f>
        <v>C</v>
      </c>
    </row>
    <row r="1985" customFormat="false" ht="15" hidden="false" customHeight="false" outlineLevel="0" collapsed="false">
      <c r="A1985" s="34" t="s">
        <v>5799</v>
      </c>
      <c r="B1985" s="34" t="str">
        <f aca="false">'Uso e Consumo'!A1985</f>
        <v>0335</v>
      </c>
      <c r="C1985" s="34" t="str">
        <f aca="false">'Uso e Consumo'!B1985</f>
        <v>UFV NORONHA VERDE - USO E CONSUMO</v>
      </c>
      <c r="D1985" s="33" t="n">
        <f aca="false">'Uso e Consumo'!C1985</f>
        <v>226233</v>
      </c>
      <c r="E1985" s="34" t="str">
        <f aca="false">'Uso e Consumo'!D1985</f>
        <v>27.01.0219</v>
      </c>
      <c r="F1985" s="34" t="str">
        <f aca="false">'Uso e Consumo'!E1985</f>
        <v>PREDNISONA</v>
      </c>
      <c r="G1985" s="34" t="str">
        <f aca="false">'Uso e Consumo'!J1985</f>
        <v>UN</v>
      </c>
      <c r="H1985" s="49" t="n">
        <f aca="false">'Uso e Consumo'!F1985</f>
        <v>8</v>
      </c>
      <c r="I1985" s="35" t="n">
        <f aca="false">'Uso e Consumo'!G1985</f>
        <v>144</v>
      </c>
      <c r="J1985" s="34" t="str">
        <f aca="false">'Uso e Consumo'!M1985</f>
        <v>4.3.4.006 - Medicamentos e primeiro socorros</v>
      </c>
      <c r="K1985" s="32" t="str">
        <f aca="false">INDEX('Curva ABC'!$K$8:$K$2847,MATCH(D1985,'Curva ABC'!$B$8:$B$2847,0))</f>
        <v>C</v>
      </c>
    </row>
    <row r="1986" customFormat="false" ht="15" hidden="false" customHeight="false" outlineLevel="0" collapsed="false">
      <c r="A1986" s="34" t="s">
        <v>5799</v>
      </c>
      <c r="B1986" s="34" t="str">
        <f aca="false">'Uso e Consumo'!A1986</f>
        <v>0335</v>
      </c>
      <c r="C1986" s="34" t="str">
        <f aca="false">'Uso e Consumo'!B1986</f>
        <v>UFV NORONHA VERDE - USO E CONSUMO</v>
      </c>
      <c r="D1986" s="33" t="n">
        <f aca="false">'Uso e Consumo'!C1986</f>
        <v>294431</v>
      </c>
      <c r="E1986" s="34" t="str">
        <f aca="false">'Uso e Consumo'!D1986</f>
        <v>30.03.0330</v>
      </c>
      <c r="F1986" s="34" t="str">
        <f aca="false">'Uso e Consumo'!E1986</f>
        <v>VASSOURÃO REFORÇADO 30CM</v>
      </c>
      <c r="G1986" s="34" t="str">
        <f aca="false">'Uso e Consumo'!J1986</f>
        <v>UN</v>
      </c>
      <c r="H1986" s="49" t="n">
        <f aca="false">'Uso e Consumo'!F1986</f>
        <v>6</v>
      </c>
      <c r="I1986" s="35" t="n">
        <f aca="false">'Uso e Consumo'!G1986</f>
        <v>144</v>
      </c>
      <c r="J1986" s="34" t="str">
        <f aca="false">'Uso e Consumo'!M1986</f>
        <v>4.1.1.003 - Material limpeza</v>
      </c>
      <c r="K1986" s="32" t="str">
        <f aca="false">INDEX('Curva ABC'!$K$8:$K$2847,MATCH(D1986,'Curva ABC'!$B$8:$B$2847,0))</f>
        <v>C</v>
      </c>
    </row>
    <row r="1987" customFormat="false" ht="15" hidden="false" customHeight="false" outlineLevel="0" collapsed="false">
      <c r="A1987" s="34" t="s">
        <v>5799</v>
      </c>
      <c r="B1987" s="34" t="str">
        <f aca="false">'Uso e Consumo'!A1987</f>
        <v>0335</v>
      </c>
      <c r="C1987" s="34" t="str">
        <f aca="false">'Uso e Consumo'!B1987</f>
        <v>UFV NORONHA VERDE - USO E CONSUMO</v>
      </c>
      <c r="D1987" s="33" t="n">
        <f aca="false">'Uso e Consumo'!C1987</f>
        <v>884557</v>
      </c>
      <c r="E1987" s="34" t="str">
        <f aca="false">'Uso e Consumo'!D1987</f>
        <v>24.14.0031</v>
      </c>
      <c r="F1987" s="34" t="str">
        <f aca="false">'Uso e Consumo'!E1987</f>
        <v>MARRETA DE BORRACHA 80MM</v>
      </c>
      <c r="G1987" s="34" t="str">
        <f aca="false">'Uso e Consumo'!J1987</f>
        <v>UN</v>
      </c>
      <c r="H1987" s="49" t="n">
        <f aca="false">'Uso e Consumo'!F1987</f>
        <v>4</v>
      </c>
      <c r="I1987" s="35" t="n">
        <f aca="false">'Uso e Consumo'!G1987</f>
        <v>144</v>
      </c>
      <c r="J1987" s="34" t="str">
        <f aca="false">'Uso e Consumo'!M1987</f>
        <v>3.8.2.002 - Ferramentas manuais</v>
      </c>
      <c r="K1987" s="32" t="str">
        <f aca="false">INDEX('Curva ABC'!$K$8:$K$2847,MATCH(D1987,'Curva ABC'!$B$8:$B$2847,0))</f>
        <v>C</v>
      </c>
    </row>
    <row r="1988" customFormat="false" ht="15" hidden="false" customHeight="false" outlineLevel="0" collapsed="false">
      <c r="A1988" s="34" t="s">
        <v>5799</v>
      </c>
      <c r="B1988" s="34" t="str">
        <f aca="false">'Uso e Consumo'!A1988</f>
        <v>0335</v>
      </c>
      <c r="C1988" s="34" t="str">
        <f aca="false">'Uso e Consumo'!B1988</f>
        <v>UFV NORONHA VERDE - USO E CONSUMO</v>
      </c>
      <c r="D1988" s="33" t="n">
        <f aca="false">'Uso e Consumo'!C1988</f>
        <v>34725</v>
      </c>
      <c r="E1988" s="34" t="str">
        <f aca="false">'Uso e Consumo'!D1988</f>
        <v>13.06.0009</v>
      </c>
      <c r="F1988" s="34" t="str">
        <f aca="false">'Uso e Consumo'!E1988</f>
        <v>FECHADURA AÇO CROMADO PARA BANHEIRO NBR 14913</v>
      </c>
      <c r="G1988" s="34" t="str">
        <f aca="false">'Uso e Consumo'!J1988</f>
        <v>UN</v>
      </c>
      <c r="H1988" s="49" t="n">
        <f aca="false">'Uso e Consumo'!F1988</f>
        <v>4</v>
      </c>
      <c r="I1988" s="35" t="n">
        <f aca="false">'Uso e Consumo'!G1988</f>
        <v>143.6</v>
      </c>
      <c r="J1988" s="34" t="str">
        <f aca="false">'Uso e Consumo'!M1988</f>
        <v>3.8.1.013 - Esquadrias e vidros</v>
      </c>
      <c r="K1988" s="32" t="str">
        <f aca="false">INDEX('Curva ABC'!$K$8:$K$2847,MATCH(D1988,'Curva ABC'!$B$8:$B$2847,0))</f>
        <v>C</v>
      </c>
    </row>
    <row r="1989" customFormat="false" ht="15" hidden="false" customHeight="false" outlineLevel="0" collapsed="false">
      <c r="A1989" s="34" t="s">
        <v>5799</v>
      </c>
      <c r="B1989" s="34" t="str">
        <f aca="false">'Uso e Consumo'!A1989</f>
        <v>0335</v>
      </c>
      <c r="C1989" s="34" t="str">
        <f aca="false">'Uso e Consumo'!B1989</f>
        <v>UFV NORONHA VERDE - USO E CONSUMO</v>
      </c>
      <c r="D1989" s="33" t="n">
        <f aca="false">'Uso e Consumo'!C1989</f>
        <v>553883</v>
      </c>
      <c r="E1989" s="34" t="str">
        <f aca="false">'Uso e Consumo'!D1989</f>
        <v>30.03.0343</v>
      </c>
      <c r="F1989" s="34" t="str">
        <f aca="false">'Uso e Consumo'!E1989</f>
        <v>FLANELA</v>
      </c>
      <c r="G1989" s="34" t="str">
        <f aca="false">'Uso e Consumo'!J1989</f>
        <v>UN</v>
      </c>
      <c r="H1989" s="49" t="n">
        <f aca="false">'Uso e Consumo'!F1989</f>
        <v>60</v>
      </c>
      <c r="I1989" s="35" t="n">
        <f aca="false">'Uso e Consumo'!G1989</f>
        <v>143.4</v>
      </c>
      <c r="J1989" s="34" t="str">
        <f aca="false">'Uso e Consumo'!M1989</f>
        <v>4.1.1.003 - Material limpeza</v>
      </c>
      <c r="K1989" s="32" t="str">
        <f aca="false">INDEX('Curva ABC'!$K$8:$K$2847,MATCH(D1989,'Curva ABC'!$B$8:$B$2847,0))</f>
        <v>C</v>
      </c>
    </row>
    <row r="1990" customFormat="false" ht="15" hidden="false" customHeight="false" outlineLevel="0" collapsed="false">
      <c r="A1990" s="34" t="s">
        <v>5799</v>
      </c>
      <c r="B1990" s="34" t="str">
        <f aca="false">'Uso e Consumo'!A1990</f>
        <v>0335</v>
      </c>
      <c r="C1990" s="34" t="str">
        <f aca="false">'Uso e Consumo'!B1990</f>
        <v>UFV NORONHA VERDE - USO E CONSUMO</v>
      </c>
      <c r="D1990" s="33" t="n">
        <f aca="false">'Uso e Consumo'!C1990</f>
        <v>56677</v>
      </c>
      <c r="E1990" s="34" t="str">
        <f aca="false">'Uso e Consumo'!D1990</f>
        <v>18.01.0896</v>
      </c>
      <c r="F1990" s="34" t="str">
        <f aca="false">'Uso e Consumo'!E1990</f>
        <v>ADAPTADOR CONDULETE TOP ¾”</v>
      </c>
      <c r="G1990" s="34" t="str">
        <f aca="false">'Uso e Consumo'!J1990</f>
        <v>UN</v>
      </c>
      <c r="H1990" s="49" t="n">
        <f aca="false">'Uso e Consumo'!F1990</f>
        <v>265</v>
      </c>
      <c r="I1990" s="35" t="n">
        <f aca="false">'Uso e Consumo'!G1990</f>
        <v>143.1</v>
      </c>
      <c r="J1990" s="34" t="str">
        <f aca="false">'Uso e Consumo'!M1990</f>
        <v>3.8.1.018 - Instalações hidráulicas/sanitárias/industriais</v>
      </c>
      <c r="K1990" s="32" t="str">
        <f aca="false">INDEX('Curva ABC'!$K$8:$K$2847,MATCH(D1990,'Curva ABC'!$B$8:$B$2847,0))</f>
        <v>C</v>
      </c>
    </row>
    <row r="1991" customFormat="false" ht="15" hidden="false" customHeight="false" outlineLevel="0" collapsed="false">
      <c r="A1991" s="34" t="s">
        <v>5799</v>
      </c>
      <c r="B1991" s="34" t="str">
        <f aca="false">'Uso e Consumo'!A1991</f>
        <v>0335</v>
      </c>
      <c r="C1991" s="34" t="str">
        <f aca="false">'Uso e Consumo'!B1991</f>
        <v>UFV NORONHA VERDE - USO E CONSUMO</v>
      </c>
      <c r="D1991" s="33" t="n">
        <f aca="false">'Uso e Consumo'!C1991</f>
        <v>604907</v>
      </c>
      <c r="E1991" s="34" t="str">
        <f aca="false">'Uso e Consumo'!D1991</f>
        <v>10.11.0017</v>
      </c>
      <c r="F1991" s="34" t="str">
        <f aca="false">'Uso e Consumo'!E1991</f>
        <v>DELIMITADOR DE PROFUNDIDADE TARUCEL 30 MM</v>
      </c>
      <c r="G1991" s="34" t="str">
        <f aca="false">'Uso e Consumo'!J1991</f>
        <v>M</v>
      </c>
      <c r="H1991" s="49" t="n">
        <f aca="false">'Uso e Consumo'!F1991</f>
        <v>20</v>
      </c>
      <c r="I1991" s="35" t="n">
        <f aca="false">'Uso e Consumo'!G1991</f>
        <v>142.6</v>
      </c>
      <c r="J1991" s="34" t="str">
        <f aca="false">'Uso e Consumo'!M1991</f>
        <v>3.8.1.010 - Revestimentos e pisos</v>
      </c>
      <c r="K1991" s="32" t="str">
        <f aca="false">INDEX('Curva ABC'!$K$8:$K$2847,MATCH(D1991,'Curva ABC'!$B$8:$B$2847,0))</f>
        <v>C</v>
      </c>
    </row>
    <row r="1992" customFormat="false" ht="15" hidden="false" customHeight="false" outlineLevel="0" collapsed="false">
      <c r="A1992" s="34" t="s">
        <v>5799</v>
      </c>
      <c r="B1992" s="34" t="str">
        <f aca="false">'Uso e Consumo'!A1992</f>
        <v>0335</v>
      </c>
      <c r="C1992" s="34" t="str">
        <f aca="false">'Uso e Consumo'!B1992</f>
        <v>UFV NORONHA VERDE - USO E CONSUMO</v>
      </c>
      <c r="D1992" s="33" t="n">
        <f aca="false">'Uso e Consumo'!C1992</f>
        <v>563975</v>
      </c>
      <c r="E1992" s="34" t="str">
        <f aca="false">'Uso e Consumo'!D1992</f>
        <v>33.02.2339</v>
      </c>
      <c r="F1992" s="34" t="str">
        <f aca="false">'Uso e Consumo'!E1992</f>
        <v>PRISMA DESLIZANTE DE POLIAMIDA 1121-648-6610 STIHL</v>
      </c>
      <c r="G1992" s="34" t="str">
        <f aca="false">'Uso e Consumo'!J1992</f>
        <v>UN</v>
      </c>
      <c r="H1992" s="49" t="n">
        <f aca="false">'Uso e Consumo'!F1992</f>
        <v>4</v>
      </c>
      <c r="I1992" s="35" t="n">
        <f aca="false">'Uso e Consumo'!G1992</f>
        <v>140.96</v>
      </c>
      <c r="J1992" s="34" t="str">
        <f aca="false">'Uso e Consumo'!M1992</f>
        <v>3.1.6.002 - Pneus e peças</v>
      </c>
      <c r="K1992" s="32" t="str">
        <f aca="false">INDEX('Curva ABC'!$K$8:$K$2847,MATCH(D1992,'Curva ABC'!$B$8:$B$2847,0))</f>
        <v>C</v>
      </c>
    </row>
    <row r="1993" customFormat="false" ht="15" hidden="false" customHeight="false" outlineLevel="0" collapsed="false">
      <c r="A1993" s="34" t="s">
        <v>5799</v>
      </c>
      <c r="B1993" s="34" t="str">
        <f aca="false">'Uso e Consumo'!A1993</f>
        <v>0335</v>
      </c>
      <c r="C1993" s="34" t="str">
        <f aca="false">'Uso e Consumo'!B1993</f>
        <v>UFV NORONHA VERDE - USO E CONSUMO</v>
      </c>
      <c r="D1993" s="33" t="n">
        <f aca="false">'Uso e Consumo'!C1993</f>
        <v>17034</v>
      </c>
      <c r="E1993" s="34" t="str">
        <f aca="false">'Uso e Consumo'!D1993</f>
        <v>23.07.0052</v>
      </c>
      <c r="F1993" s="34" t="str">
        <f aca="false">'Uso e Consumo'!E1993</f>
        <v>PARAFUSO CABECA SEXTAVADA AÇO CARBONO ANSIB 1821 ZINCADO BRANCO ROSCA SOBERBA 5/16" X 40,00MM 18 FIO</v>
      </c>
      <c r="G1993" s="34" t="str">
        <f aca="false">'Uso e Consumo'!J1993</f>
        <v>UN</v>
      </c>
      <c r="H1993" s="49" t="n">
        <f aca="false">'Uso e Consumo'!F1993</f>
        <v>160</v>
      </c>
      <c r="I1993" s="35" t="n">
        <f aca="false">'Uso e Consumo'!G1993</f>
        <v>140.8</v>
      </c>
      <c r="J1993" s="34" t="str">
        <f aca="false">'Uso e Consumo'!M1993</f>
        <v>3.8.1.022 - Elementos de fixação</v>
      </c>
      <c r="K1993" s="32" t="str">
        <f aca="false">INDEX('Curva ABC'!$K$8:$K$2847,MATCH(D1993,'Curva ABC'!$B$8:$B$2847,0))</f>
        <v>C</v>
      </c>
    </row>
    <row r="1994" customFormat="false" ht="15" hidden="false" customHeight="false" outlineLevel="0" collapsed="false">
      <c r="A1994" s="34" t="s">
        <v>5799</v>
      </c>
      <c r="B1994" s="34" t="str">
        <f aca="false">'Uso e Consumo'!A1994</f>
        <v>0335</v>
      </c>
      <c r="C1994" s="34" t="str">
        <f aca="false">'Uso e Consumo'!B1994</f>
        <v>UFV NORONHA VERDE - USO E CONSUMO</v>
      </c>
      <c r="D1994" s="33" t="n">
        <f aca="false">'Uso e Consumo'!C1994</f>
        <v>1605185</v>
      </c>
      <c r="E1994" s="34" t="str">
        <f aca="false">'Uso e Consumo'!D1994</f>
        <v>17.22.0149</v>
      </c>
      <c r="F1994" s="34" t="str">
        <f aca="false">'Uso e Consumo'!E1994</f>
        <v>ALÇA PRE FORMADA EM ALUMÍNIO PARA CABOS 4X16MM</v>
      </c>
      <c r="G1994" s="34" t="str">
        <f aca="false">'Uso e Consumo'!J1994</f>
        <v>UN</v>
      </c>
      <c r="H1994" s="49" t="n">
        <f aca="false">'Uso e Consumo'!F1994</f>
        <v>4</v>
      </c>
      <c r="I1994" s="35" t="n">
        <f aca="false">'Uso e Consumo'!G1994</f>
        <v>140.58</v>
      </c>
      <c r="J1994" s="34" t="str">
        <f aca="false">'Uso e Consumo'!M1994</f>
        <v>3.8.1.017 - Instalações elétricas/telefônicas/lógica</v>
      </c>
      <c r="K1994" s="32" t="str">
        <f aca="false">INDEX('Curva ABC'!$K$8:$K$2847,MATCH(D1994,'Curva ABC'!$B$8:$B$2847,0))</f>
        <v>C</v>
      </c>
    </row>
    <row r="1995" customFormat="false" ht="15" hidden="false" customHeight="false" outlineLevel="0" collapsed="false">
      <c r="A1995" s="34" t="s">
        <v>5799</v>
      </c>
      <c r="B1995" s="34" t="str">
        <f aca="false">'Uso e Consumo'!A1995</f>
        <v>0335</v>
      </c>
      <c r="C1995" s="34" t="str">
        <f aca="false">'Uso e Consumo'!B1995</f>
        <v>UFV NORONHA VERDE - USO E CONSUMO</v>
      </c>
      <c r="D1995" s="33" t="n">
        <f aca="false">'Uso e Consumo'!C1995</f>
        <v>32248</v>
      </c>
      <c r="E1995" s="34" t="str">
        <f aca="false">'Uso e Consumo'!D1995</f>
        <v>24.41.0024</v>
      </c>
      <c r="F1995" s="34" t="str">
        <f aca="false">'Uso e Consumo'!E1995</f>
        <v>CHAVE DE RODA 27X 32MM</v>
      </c>
      <c r="G1995" s="34" t="str">
        <f aca="false">'Uso e Consumo'!J1995</f>
        <v>UN</v>
      </c>
      <c r="H1995" s="49" t="n">
        <f aca="false">'Uso e Consumo'!F1995</f>
        <v>1</v>
      </c>
      <c r="I1995" s="35" t="n">
        <f aca="false">'Uso e Consumo'!G1995</f>
        <v>140</v>
      </c>
      <c r="J1995" s="34" t="str">
        <f aca="false">'Uso e Consumo'!M1995</f>
        <v>3.8.2.002 - Ferramentas manuais</v>
      </c>
      <c r="K1995" s="32" t="str">
        <f aca="false">INDEX('Curva ABC'!$K$8:$K$2847,MATCH(D1995,'Curva ABC'!$B$8:$B$2847,0))</f>
        <v>C</v>
      </c>
    </row>
    <row r="1996" customFormat="false" ht="15" hidden="false" customHeight="false" outlineLevel="0" collapsed="false">
      <c r="A1996" s="34" t="s">
        <v>5799</v>
      </c>
      <c r="B1996" s="34" t="str">
        <f aca="false">'Uso e Consumo'!A1996</f>
        <v>0335</v>
      </c>
      <c r="C1996" s="34" t="str">
        <f aca="false">'Uso e Consumo'!B1996</f>
        <v>UFV NORONHA VERDE - USO E CONSUMO</v>
      </c>
      <c r="D1996" s="33" t="n">
        <f aca="false">'Uso e Consumo'!C1996</f>
        <v>142908</v>
      </c>
      <c r="E1996" s="34" t="str">
        <f aca="false">'Uso e Consumo'!D1996</f>
        <v>23.07.1039</v>
      </c>
      <c r="F1996" s="34" t="str">
        <f aca="false">'Uso e Consumo'!E1996</f>
        <v>PARAFUSO SEXTAVADO 5/8" X 3" ZB</v>
      </c>
      <c r="G1996" s="34" t="str">
        <f aca="false">'Uso e Consumo'!J1996</f>
        <v>UN</v>
      </c>
      <c r="H1996" s="49" t="n">
        <f aca="false">'Uso e Consumo'!F1996</f>
        <v>5</v>
      </c>
      <c r="I1996" s="35" t="n">
        <f aca="false">'Uso e Consumo'!G1996</f>
        <v>140</v>
      </c>
      <c r="J1996" s="34" t="str">
        <f aca="false">'Uso e Consumo'!M1996</f>
        <v>3.8.1.022 - Elementos de fixação</v>
      </c>
      <c r="K1996" s="32" t="str">
        <f aca="false">INDEX('Curva ABC'!$K$8:$K$2847,MATCH(D1996,'Curva ABC'!$B$8:$B$2847,0))</f>
        <v>C</v>
      </c>
    </row>
    <row r="1997" customFormat="false" ht="15" hidden="false" customHeight="false" outlineLevel="0" collapsed="false">
      <c r="A1997" s="34" t="s">
        <v>5799</v>
      </c>
      <c r="B1997" s="34" t="str">
        <f aca="false">'Uso e Consumo'!A1997</f>
        <v>0335</v>
      </c>
      <c r="C1997" s="34" t="str">
        <f aca="false">'Uso e Consumo'!B1997</f>
        <v>UFV NORONHA VERDE - USO E CONSUMO</v>
      </c>
      <c r="D1997" s="33" t="n">
        <f aca="false">'Uso e Consumo'!C1997</f>
        <v>392677</v>
      </c>
      <c r="E1997" s="34" t="str">
        <f aca="false">'Uso e Consumo'!D1997</f>
        <v>24.41.0149</v>
      </c>
      <c r="F1997" s="34" t="str">
        <f aca="false">'Uso e Consumo'!E1997</f>
        <v>CHAVE DE RODA 30X33MM 27</v>
      </c>
      <c r="G1997" s="34" t="str">
        <f aca="false">'Uso e Consumo'!J1997</f>
        <v>UN</v>
      </c>
      <c r="H1997" s="49" t="n">
        <f aca="false">'Uso e Consumo'!F1997</f>
        <v>1</v>
      </c>
      <c r="I1997" s="35" t="n">
        <f aca="false">'Uso e Consumo'!G1997</f>
        <v>140</v>
      </c>
      <c r="J1997" s="34" t="str">
        <f aca="false">'Uso e Consumo'!M1997</f>
        <v>3.8.2.002 - Ferramentas manuais</v>
      </c>
      <c r="K1997" s="32" t="str">
        <f aca="false">INDEX('Curva ABC'!$K$8:$K$2847,MATCH(D1997,'Curva ABC'!$B$8:$B$2847,0))</f>
        <v>C</v>
      </c>
    </row>
    <row r="1998" customFormat="false" ht="15" hidden="false" customHeight="false" outlineLevel="0" collapsed="false">
      <c r="A1998" s="34" t="s">
        <v>5799</v>
      </c>
      <c r="B1998" s="34" t="str">
        <f aca="false">'Uso e Consumo'!A1998</f>
        <v>0335</v>
      </c>
      <c r="C1998" s="34" t="str">
        <f aca="false">'Uso e Consumo'!B1998</f>
        <v>UFV NORONHA VERDE - USO E CONSUMO</v>
      </c>
      <c r="D1998" s="33" t="n">
        <f aca="false">'Uso e Consumo'!C1998</f>
        <v>1331022</v>
      </c>
      <c r="E1998" s="34" t="str">
        <f aca="false">'Uso e Consumo'!D1998</f>
        <v>30.11.0051</v>
      </c>
      <c r="F1998" s="34" t="str">
        <f aca="false">'Uso e Consumo'!E1998</f>
        <v>LETREIRO DE MESA PERSONALIZADO EM MDF CRU</v>
      </c>
      <c r="G1998" s="34" t="str">
        <f aca="false">'Uso e Consumo'!J1998</f>
        <v>UN</v>
      </c>
      <c r="H1998" s="49" t="n">
        <f aca="false">'Uso e Consumo'!F1998</f>
        <v>1</v>
      </c>
      <c r="I1998" s="35" t="n">
        <f aca="false">'Uso e Consumo'!G1998</f>
        <v>139.99</v>
      </c>
      <c r="J1998" s="34" t="str">
        <f aca="false">'Uso e Consumo'!M1998</f>
        <v>4.4.3.001 - Eventos e confraternizações</v>
      </c>
      <c r="K1998" s="32" t="str">
        <f aca="false">INDEX('Curva ABC'!$K$8:$K$2847,MATCH(D1998,'Curva ABC'!$B$8:$B$2847,0))</f>
        <v>C</v>
      </c>
    </row>
    <row r="1999" customFormat="false" ht="15" hidden="false" customHeight="false" outlineLevel="0" collapsed="false">
      <c r="A1999" s="34" t="s">
        <v>5799</v>
      </c>
      <c r="B1999" s="34" t="str">
        <f aca="false">'Uso e Consumo'!A1999</f>
        <v>0335</v>
      </c>
      <c r="C1999" s="34" t="str">
        <f aca="false">'Uso e Consumo'!B1999</f>
        <v>UFV NORONHA VERDE - USO E CONSUMO</v>
      </c>
      <c r="D1999" s="33" t="n">
        <f aca="false">'Uso e Consumo'!C1999</f>
        <v>18225</v>
      </c>
      <c r="E1999" s="34" t="str">
        <f aca="false">'Uso e Consumo'!D1999</f>
        <v>99.00.2933</v>
      </c>
      <c r="F1999" s="34" t="str">
        <f aca="false">'Uso e Consumo'!E1999</f>
        <v>DISCO SERRA CIRCULAR AÇO CARBONO DENTE C/VIDEA 184,00MM X 2,50MM 24 DENTES</v>
      </c>
      <c r="G1999" s="34" t="str">
        <f aca="false">'Uso e Consumo'!J1999</f>
        <v>UN</v>
      </c>
      <c r="H1999" s="49" t="n">
        <f aca="false">'Uso e Consumo'!F1999</f>
        <v>5</v>
      </c>
      <c r="I1999" s="35" t="n">
        <f aca="false">'Uso e Consumo'!G1999</f>
        <v>139.45</v>
      </c>
      <c r="J1999" s="34" t="str">
        <f aca="false">'Uso e Consumo'!M1999</f>
        <v>3.8.2.004 - Consumíveis para corte, perfuração e desbaste</v>
      </c>
      <c r="K1999" s="32" t="str">
        <f aca="false">INDEX('Curva ABC'!$K$8:$K$2847,MATCH(D1999,'Curva ABC'!$B$8:$B$2847,0))</f>
        <v>C</v>
      </c>
    </row>
    <row r="2000" customFormat="false" ht="15" hidden="false" customHeight="false" outlineLevel="0" collapsed="false">
      <c r="A2000" s="34" t="s">
        <v>5799</v>
      </c>
      <c r="B2000" s="34" t="str">
        <f aca="false">'Uso e Consumo'!A2000</f>
        <v>0335</v>
      </c>
      <c r="C2000" s="34" t="str">
        <f aca="false">'Uso e Consumo'!B2000</f>
        <v>UFV NORONHA VERDE - USO E CONSUMO</v>
      </c>
      <c r="D2000" s="33" t="n">
        <f aca="false">'Uso e Consumo'!C2000</f>
        <v>19512</v>
      </c>
      <c r="E2000" s="34" t="str">
        <f aca="false">'Uso e Consumo'!D2000</f>
        <v>30.01.0232</v>
      </c>
      <c r="F2000" s="34" t="str">
        <f aca="false">'Uso e Consumo'!E2000</f>
        <v>GRAMPOS PARA GRAMPEADOR 23/8 GALVANIZADOS C/ 1000UN</v>
      </c>
      <c r="G2000" s="34" t="str">
        <f aca="false">'Uso e Consumo'!J2000</f>
        <v>UN</v>
      </c>
      <c r="H2000" s="49" t="n">
        <f aca="false">'Uso e Consumo'!F2000</f>
        <v>26</v>
      </c>
      <c r="I2000" s="35" t="n">
        <f aca="false">'Uso e Consumo'!G2000</f>
        <v>138.7996</v>
      </c>
      <c r="J2000" s="34" t="str">
        <f aca="false">'Uso e Consumo'!M2000</f>
        <v>4.1.1.002 - Material expediente</v>
      </c>
      <c r="K2000" s="32" t="str">
        <f aca="false">INDEX('Curva ABC'!$K$8:$K$2847,MATCH(D2000,'Curva ABC'!$B$8:$B$2847,0))</f>
        <v>C</v>
      </c>
    </row>
    <row r="2001" customFormat="false" ht="15" hidden="false" customHeight="false" outlineLevel="0" collapsed="false">
      <c r="A2001" s="34" t="s">
        <v>5799</v>
      </c>
      <c r="B2001" s="34" t="str">
        <f aca="false">'Uso e Consumo'!A2001</f>
        <v>0335</v>
      </c>
      <c r="C2001" s="34" t="str">
        <f aca="false">'Uso e Consumo'!B2001</f>
        <v>UFV NORONHA VERDE - USO E CONSUMO</v>
      </c>
      <c r="D2001" s="33" t="n">
        <f aca="false">'Uso e Consumo'!C2001</f>
        <v>939278</v>
      </c>
      <c r="E2001" s="34" t="str">
        <f aca="false">'Uso e Consumo'!D2001</f>
        <v>18.07.0088</v>
      </c>
      <c r="F2001" s="34" t="str">
        <f aca="false">'Uso e Consumo'!E2001</f>
        <v>BOIA CAIXA D'AGUA 1/2 E 3/4 </v>
      </c>
      <c r="G2001" s="34" t="str">
        <f aca="false">'Uso e Consumo'!J2001</f>
        <v>UN</v>
      </c>
      <c r="H2001" s="49" t="n">
        <f aca="false">'Uso e Consumo'!F2001</f>
        <v>1</v>
      </c>
      <c r="I2001" s="35" t="n">
        <f aca="false">'Uso e Consumo'!G2001</f>
        <v>138</v>
      </c>
      <c r="J2001" s="34" t="str">
        <f aca="false">'Uso e Consumo'!M2001</f>
        <v>3.8.1.018 - Instalações hidráulicas/sanitárias/industriais</v>
      </c>
      <c r="K2001" s="32" t="str">
        <f aca="false">INDEX('Curva ABC'!$K$8:$K$2847,MATCH(D2001,'Curva ABC'!$B$8:$B$2847,0))</f>
        <v>C</v>
      </c>
    </row>
    <row r="2002" customFormat="false" ht="15" hidden="false" customHeight="false" outlineLevel="0" collapsed="false">
      <c r="A2002" s="34" t="s">
        <v>5799</v>
      </c>
      <c r="B2002" s="34" t="str">
        <f aca="false">'Uso e Consumo'!A2002</f>
        <v>0335</v>
      </c>
      <c r="C2002" s="34" t="str">
        <f aca="false">'Uso e Consumo'!B2002</f>
        <v>UFV NORONHA VERDE - USO E CONSUMO</v>
      </c>
      <c r="D2002" s="33" t="n">
        <f aca="false">'Uso e Consumo'!C2002</f>
        <v>1679928</v>
      </c>
      <c r="E2002" s="34" t="str">
        <f aca="false">'Uso e Consumo'!D2002</f>
        <v>07.03.0045</v>
      </c>
      <c r="F2002" s="34" t="str">
        <f aca="false">'Uso e Consumo'!E2002</f>
        <v>ARGAMASSA POLIMERICA IMPERMEABILIZANTE</v>
      </c>
      <c r="G2002" s="34" t="str">
        <f aca="false">'Uso e Consumo'!J2002</f>
        <v>KG</v>
      </c>
      <c r="H2002" s="49" t="n">
        <f aca="false">'Uso e Consumo'!F2002</f>
        <v>23.5</v>
      </c>
      <c r="I2002" s="35" t="n">
        <f aca="false">'Uso e Consumo'!G2002</f>
        <v>138</v>
      </c>
      <c r="J2002" s="34" t="str">
        <f aca="false">'Uso e Consumo'!M2002</f>
        <v>3.8.1.007 - Argamassas</v>
      </c>
      <c r="K2002" s="32" t="str">
        <f aca="false">INDEX('Curva ABC'!$K$8:$K$2847,MATCH(D2002,'Curva ABC'!$B$8:$B$2847,0))</f>
        <v>C</v>
      </c>
    </row>
    <row r="2003" customFormat="false" ht="15" hidden="false" customHeight="false" outlineLevel="0" collapsed="false">
      <c r="A2003" s="34" t="s">
        <v>5799</v>
      </c>
      <c r="B2003" s="34" t="str">
        <f aca="false">'Uso e Consumo'!A2003</f>
        <v>0335</v>
      </c>
      <c r="C2003" s="34" t="str">
        <f aca="false">'Uso e Consumo'!B2003</f>
        <v>UFV NORONHA VERDE - USO E CONSUMO</v>
      </c>
      <c r="D2003" s="33" t="n">
        <f aca="false">'Uso e Consumo'!C2003</f>
        <v>1111893</v>
      </c>
      <c r="E2003" s="34" t="str">
        <f aca="false">'Uso e Consumo'!D2003</f>
        <v>23.02.0429</v>
      </c>
      <c r="F2003" s="34" t="str">
        <f aca="false">'Uso e Consumo'!E2003</f>
        <v>ABRAÇADEIRA NYLON 2,5MM X 250MM - COM PROTEÇÃO UV</v>
      </c>
      <c r="G2003" s="34" t="str">
        <f aca="false">'Uso e Consumo'!J2003</f>
        <v>UN</v>
      </c>
      <c r="H2003" s="49" t="n">
        <f aca="false">'Uso e Consumo'!F2003</f>
        <v>6</v>
      </c>
      <c r="I2003" s="35" t="n">
        <f aca="false">'Uso e Consumo'!G2003</f>
        <v>137.88</v>
      </c>
      <c r="J2003" s="34" t="str">
        <f aca="false">'Uso e Consumo'!M2003</f>
        <v>3.8.1.022 - Elementos de fixação</v>
      </c>
      <c r="K2003" s="32" t="str">
        <f aca="false">INDEX('Curva ABC'!$K$8:$K$2847,MATCH(D2003,'Curva ABC'!$B$8:$B$2847,0))</f>
        <v>C</v>
      </c>
    </row>
    <row r="2004" customFormat="false" ht="15" hidden="false" customHeight="false" outlineLevel="0" collapsed="false">
      <c r="A2004" s="34" t="s">
        <v>5799</v>
      </c>
      <c r="B2004" s="34" t="str">
        <f aca="false">'Uso e Consumo'!A2004</f>
        <v>0335</v>
      </c>
      <c r="C2004" s="34" t="str">
        <f aca="false">'Uso e Consumo'!B2004</f>
        <v>UFV NORONHA VERDE - USO E CONSUMO</v>
      </c>
      <c r="D2004" s="33" t="n">
        <f aca="false">'Uso e Consumo'!C2004</f>
        <v>839913</v>
      </c>
      <c r="E2004" s="34" t="str">
        <f aca="false">'Uso e Consumo'!D2004</f>
        <v>17.20.0551</v>
      </c>
      <c r="F2004" s="34" t="str">
        <f aca="false">'Uso e Consumo'!E2004</f>
        <v>HASTE DE ATERRAMENTO 5/8" X 2,4M</v>
      </c>
      <c r="G2004" s="34" t="str">
        <f aca="false">'Uso e Consumo'!J2004</f>
        <v>UN</v>
      </c>
      <c r="H2004" s="49" t="n">
        <f aca="false">'Uso e Consumo'!F2004</f>
        <v>3</v>
      </c>
      <c r="I2004" s="35" t="n">
        <f aca="false">'Uso e Consumo'!G2004</f>
        <v>136.68</v>
      </c>
      <c r="J2004" s="34" t="str">
        <f aca="false">'Uso e Consumo'!M2004</f>
        <v>3.8.1.017 - Instalações elétricas/telefônicas/lógica</v>
      </c>
      <c r="K2004" s="32" t="str">
        <f aca="false">INDEX('Curva ABC'!$K$8:$K$2847,MATCH(D2004,'Curva ABC'!$B$8:$B$2847,0))</f>
        <v>C</v>
      </c>
    </row>
    <row r="2005" customFormat="false" ht="15" hidden="false" customHeight="false" outlineLevel="0" collapsed="false">
      <c r="A2005" s="34" t="s">
        <v>5799</v>
      </c>
      <c r="B2005" s="34" t="str">
        <f aca="false">'Uso e Consumo'!A2005</f>
        <v>0335</v>
      </c>
      <c r="C2005" s="34" t="str">
        <f aca="false">'Uso e Consumo'!B2005</f>
        <v>UFV NORONHA VERDE - USO E CONSUMO</v>
      </c>
      <c r="D2005" s="33" t="n">
        <f aca="false">'Uso e Consumo'!C2005</f>
        <v>19899</v>
      </c>
      <c r="E2005" s="34" t="str">
        <f aca="false">'Uso e Consumo'!D2005</f>
        <v>31.02.0009</v>
      </c>
      <c r="F2005" s="34" t="str">
        <f aca="false">'Uso e Consumo'!E2005</f>
        <v>OLEO LUBRIFICANTE MOTOR AUTOMOTIVO SAE 40 FRASCO 1,00L</v>
      </c>
      <c r="G2005" s="34" t="str">
        <f aca="false">'Uso e Consumo'!J2005</f>
        <v>UN</v>
      </c>
      <c r="H2005" s="49" t="n">
        <f aca="false">'Uso e Consumo'!F2005</f>
        <v>2</v>
      </c>
      <c r="I2005" s="35" t="n">
        <f aca="false">'Uso e Consumo'!G2005</f>
        <v>136</v>
      </c>
      <c r="J2005" s="34" t="str">
        <f aca="false">'Uso e Consumo'!M2005</f>
        <v>3.1.6.001 - Combustível e lubrificantes</v>
      </c>
      <c r="K2005" s="32" t="str">
        <f aca="false">INDEX('Curva ABC'!$K$8:$K$2847,MATCH(D2005,'Curva ABC'!$B$8:$B$2847,0))</f>
        <v>C</v>
      </c>
    </row>
    <row r="2006" customFormat="false" ht="15" hidden="false" customHeight="false" outlineLevel="0" collapsed="false">
      <c r="A2006" s="34" t="s">
        <v>5799</v>
      </c>
      <c r="B2006" s="34" t="str">
        <f aca="false">'Uso e Consumo'!A2006</f>
        <v>0335</v>
      </c>
      <c r="C2006" s="34" t="str">
        <f aca="false">'Uso e Consumo'!B2006</f>
        <v>UFV NORONHA VERDE - USO E CONSUMO</v>
      </c>
      <c r="D2006" s="33" t="n">
        <f aca="false">'Uso e Consumo'!C2006</f>
        <v>58381</v>
      </c>
      <c r="E2006" s="34" t="str">
        <f aca="false">'Uso e Consumo'!D2006</f>
        <v>28.02.0077</v>
      </c>
      <c r="F2006" s="34" t="str">
        <f aca="false">'Uso e Consumo'!E2006</f>
        <v>ADESIVO INSTANTÂNEO MULTIUSO</v>
      </c>
      <c r="G2006" s="34" t="str">
        <f aca="false">'Uso e Consumo'!J2006</f>
        <v>UN</v>
      </c>
      <c r="H2006" s="49" t="n">
        <f aca="false">'Uso e Consumo'!F2006</f>
        <v>2</v>
      </c>
      <c r="I2006" s="35" t="n">
        <f aca="false">'Uso e Consumo'!G2006</f>
        <v>136</v>
      </c>
      <c r="J2006" s="34" t="str">
        <f aca="false">'Uso e Consumo'!M2006</f>
        <v>3.8.1.023 - Comunicação visual e sinalização</v>
      </c>
      <c r="K2006" s="32" t="str">
        <f aca="false">INDEX('Curva ABC'!$K$8:$K$2847,MATCH(D2006,'Curva ABC'!$B$8:$B$2847,0))</f>
        <v>C</v>
      </c>
    </row>
    <row r="2007" customFormat="false" ht="15" hidden="false" customHeight="false" outlineLevel="0" collapsed="false">
      <c r="A2007" s="34" t="s">
        <v>5799</v>
      </c>
      <c r="B2007" s="34" t="str">
        <f aca="false">'Uso e Consumo'!A2007</f>
        <v>0335</v>
      </c>
      <c r="C2007" s="34" t="str">
        <f aca="false">'Uso e Consumo'!B2007</f>
        <v>UFV NORONHA VERDE - USO E CONSUMO</v>
      </c>
      <c r="D2007" s="33" t="n">
        <f aca="false">'Uso e Consumo'!C2007</f>
        <v>478878</v>
      </c>
      <c r="E2007" s="34" t="str">
        <f aca="false">'Uso e Consumo'!D2007</f>
        <v>23.01.0054</v>
      </c>
      <c r="F2007" s="34" t="str">
        <f aca="false">'Uso e Consumo'!E2007</f>
        <v>COLA BRANCA 1KG BISNAGA</v>
      </c>
      <c r="G2007" s="34" t="str">
        <f aca="false">'Uso e Consumo'!J2007</f>
        <v>UN</v>
      </c>
      <c r="H2007" s="49" t="n">
        <f aca="false">'Uso e Consumo'!F2007</f>
        <v>2</v>
      </c>
      <c r="I2007" s="35" t="n">
        <f aca="false">'Uso e Consumo'!G2007</f>
        <v>136</v>
      </c>
      <c r="J2007" s="34" t="str">
        <f aca="false">'Uso e Consumo'!M2007</f>
        <v>3.8.1.022 - Elementos de fixação</v>
      </c>
      <c r="K2007" s="32" t="str">
        <f aca="false">INDEX('Curva ABC'!$K$8:$K$2847,MATCH(D2007,'Curva ABC'!$B$8:$B$2847,0))</f>
        <v>C</v>
      </c>
    </row>
    <row r="2008" customFormat="false" ht="15" hidden="false" customHeight="false" outlineLevel="0" collapsed="false">
      <c r="A2008" s="34" t="s">
        <v>5799</v>
      </c>
      <c r="B2008" s="34" t="str">
        <f aca="false">'Uso e Consumo'!A2008</f>
        <v>0335</v>
      </c>
      <c r="C2008" s="34" t="str">
        <f aca="false">'Uso e Consumo'!B2008</f>
        <v>UFV NORONHA VERDE - USO E CONSUMO</v>
      </c>
      <c r="D2008" s="33" t="n">
        <f aca="false">'Uso e Consumo'!C2008</f>
        <v>552911</v>
      </c>
      <c r="E2008" s="34" t="str">
        <f aca="false">'Uso e Consumo'!D2008</f>
        <v>18.01.1149</v>
      </c>
      <c r="F2008" s="34" t="str">
        <f aca="false">'Uso e Consumo'!E2008</f>
        <v>TUBO SOLDÁVEL ESGOTO DE 100MM</v>
      </c>
      <c r="G2008" s="34" t="str">
        <f aca="false">'Uso e Consumo'!J2008</f>
        <v>UN</v>
      </c>
      <c r="H2008" s="49" t="n">
        <f aca="false">'Uso e Consumo'!F2008</f>
        <v>2</v>
      </c>
      <c r="I2008" s="35" t="n">
        <f aca="false">'Uso e Consumo'!G2008</f>
        <v>136</v>
      </c>
      <c r="J2008" s="34" t="str">
        <f aca="false">'Uso e Consumo'!M2008</f>
        <v>3.8.1.018 - Instalações hidráulicas/sanitárias/industriais</v>
      </c>
      <c r="K2008" s="32" t="str">
        <f aca="false">INDEX('Curva ABC'!$K$8:$K$2847,MATCH(D2008,'Curva ABC'!$B$8:$B$2847,0))</f>
        <v>C</v>
      </c>
    </row>
    <row r="2009" customFormat="false" ht="15" hidden="false" customHeight="false" outlineLevel="0" collapsed="false">
      <c r="A2009" s="34" t="s">
        <v>5799</v>
      </c>
      <c r="B2009" s="34" t="str">
        <f aca="false">'Uso e Consumo'!A2009</f>
        <v>0335</v>
      </c>
      <c r="C2009" s="34" t="str">
        <f aca="false">'Uso e Consumo'!B2009</f>
        <v>UFV NORONHA VERDE - USO E CONSUMO</v>
      </c>
      <c r="D2009" s="33" t="n">
        <f aca="false">'Uso e Consumo'!C2009</f>
        <v>561495</v>
      </c>
      <c r="E2009" s="34" t="str">
        <f aca="false">'Uso e Consumo'!D2009</f>
        <v>24.41.0235</v>
      </c>
      <c r="F2009" s="34" t="str">
        <f aca="false">'Uso e Consumo'!E2009</f>
        <v>BICO DE AR COM ENGATE</v>
      </c>
      <c r="G2009" s="34" t="str">
        <f aca="false">'Uso e Consumo'!J2009</f>
        <v>UN</v>
      </c>
      <c r="H2009" s="49" t="n">
        <f aca="false">'Uso e Consumo'!F2009</f>
        <v>2</v>
      </c>
      <c r="I2009" s="35" t="n">
        <f aca="false">'Uso e Consumo'!G2009</f>
        <v>136</v>
      </c>
      <c r="J2009" s="34" t="str">
        <f aca="false">'Uso e Consumo'!M2009</f>
        <v>3.8.2.002 - Ferramentas manuais</v>
      </c>
      <c r="K2009" s="32" t="str">
        <f aca="false">INDEX('Curva ABC'!$K$8:$K$2847,MATCH(D2009,'Curva ABC'!$B$8:$B$2847,0))</f>
        <v>C</v>
      </c>
    </row>
    <row r="2010" customFormat="false" ht="15" hidden="false" customHeight="false" outlineLevel="0" collapsed="false">
      <c r="A2010" s="34" t="s">
        <v>5799</v>
      </c>
      <c r="B2010" s="34" t="str">
        <f aca="false">'Uso e Consumo'!A2010</f>
        <v>0335</v>
      </c>
      <c r="C2010" s="34" t="str">
        <f aca="false">'Uso e Consumo'!B2010</f>
        <v>UFV NORONHA VERDE - USO E CONSUMO</v>
      </c>
      <c r="D2010" s="33" t="n">
        <f aca="false">'Uso e Consumo'!C2010</f>
        <v>1330167</v>
      </c>
      <c r="E2010" s="34" t="str">
        <f aca="false">'Uso e Consumo'!D2010</f>
        <v>33.02.3162</v>
      </c>
      <c r="F2010" s="34" t="str">
        <f aca="false">'Uso e Consumo'!E2010</f>
        <v>TERMINAL NEGATIVO DE BATERIA COBRE </v>
      </c>
      <c r="G2010" s="34" t="str">
        <f aca="false">'Uso e Consumo'!J2010</f>
        <v>UN</v>
      </c>
      <c r="H2010" s="49" t="n">
        <f aca="false">'Uso e Consumo'!F2010</f>
        <v>2</v>
      </c>
      <c r="I2010" s="35" t="n">
        <f aca="false">'Uso e Consumo'!G2010</f>
        <v>136</v>
      </c>
      <c r="J2010" s="34" t="str">
        <f aca="false">'Uso e Consumo'!M2010</f>
        <v>3.1.6.002 - Pneus e peças</v>
      </c>
      <c r="K2010" s="32" t="str">
        <f aca="false">INDEX('Curva ABC'!$K$8:$K$2847,MATCH(D2010,'Curva ABC'!$B$8:$B$2847,0))</f>
        <v>C</v>
      </c>
    </row>
    <row r="2011" customFormat="false" ht="15" hidden="false" customHeight="false" outlineLevel="0" collapsed="false">
      <c r="A2011" s="34" t="s">
        <v>5799</v>
      </c>
      <c r="B2011" s="34" t="str">
        <f aca="false">'Uso e Consumo'!A2011</f>
        <v>0335</v>
      </c>
      <c r="C2011" s="34" t="str">
        <f aca="false">'Uso e Consumo'!B2011</f>
        <v>UFV NORONHA VERDE - USO E CONSUMO</v>
      </c>
      <c r="D2011" s="33" t="n">
        <f aca="false">'Uso e Consumo'!C2011</f>
        <v>1606188</v>
      </c>
      <c r="E2011" s="34" t="str">
        <f aca="false">'Uso e Consumo'!D2011</f>
        <v>17.09.0081</v>
      </c>
      <c r="F2011" s="34" t="str">
        <f aca="false">'Uso e Consumo'!E2011</f>
        <v>BARRAMENTO TRIFASICO PENTE 12DIN </v>
      </c>
      <c r="G2011" s="34" t="str">
        <f aca="false">'Uso e Consumo'!J2011</f>
        <v>UN</v>
      </c>
      <c r="H2011" s="49" t="n">
        <f aca="false">'Uso e Consumo'!F2011</f>
        <v>2</v>
      </c>
      <c r="I2011" s="35" t="n">
        <f aca="false">'Uso e Consumo'!G2011</f>
        <v>136</v>
      </c>
      <c r="J2011" s="34" t="str">
        <f aca="false">'Uso e Consumo'!M2011</f>
        <v>3.8.1.017 - Instalações elétricas/telefônicas/lógica</v>
      </c>
      <c r="K2011" s="32" t="str">
        <f aca="false">INDEX('Curva ABC'!$K$8:$K$2847,MATCH(D2011,'Curva ABC'!$B$8:$B$2847,0))</f>
        <v>C</v>
      </c>
    </row>
    <row r="2012" customFormat="false" ht="15" hidden="false" customHeight="false" outlineLevel="0" collapsed="false">
      <c r="A2012" s="34" t="s">
        <v>5799</v>
      </c>
      <c r="B2012" s="34" t="str">
        <f aca="false">'Uso e Consumo'!A2012</f>
        <v>0335</v>
      </c>
      <c r="C2012" s="34" t="str">
        <f aca="false">'Uso e Consumo'!B2012</f>
        <v>UFV NORONHA VERDE - USO E CONSUMO</v>
      </c>
      <c r="D2012" s="33" t="n">
        <f aca="false">'Uso e Consumo'!C2012</f>
        <v>16236</v>
      </c>
      <c r="E2012" s="34" t="str">
        <f aca="false">'Uso e Consumo'!D2012</f>
        <v>18.10.0050</v>
      </c>
      <c r="F2012" s="34" t="str">
        <f aca="false">'Uso e Consumo'!E2012</f>
        <v>FITA VEDA ROSCA PTFE 18,00MM X 50,00M</v>
      </c>
      <c r="G2012" s="34" t="str">
        <f aca="false">'Uso e Consumo'!J2012</f>
        <v>UN</v>
      </c>
      <c r="H2012" s="49" t="n">
        <f aca="false">'Uso e Consumo'!F2012</f>
        <v>26</v>
      </c>
      <c r="I2012" s="35" t="n">
        <f aca="false">'Uso e Consumo'!G2012</f>
        <v>135.98</v>
      </c>
      <c r="J2012" s="34" t="str">
        <f aca="false">'Uso e Consumo'!M2012</f>
        <v>3.8.1.018 - Instalações hidráulicas/sanitárias/industriais</v>
      </c>
      <c r="K2012" s="32" t="str">
        <f aca="false">INDEX('Curva ABC'!$K$8:$K$2847,MATCH(D2012,'Curva ABC'!$B$8:$B$2847,0))</f>
        <v>C</v>
      </c>
    </row>
    <row r="2013" customFormat="false" ht="15" hidden="false" customHeight="false" outlineLevel="0" collapsed="false">
      <c r="A2013" s="34" t="s">
        <v>5799</v>
      </c>
      <c r="B2013" s="34" t="str">
        <f aca="false">'Uso e Consumo'!A2013</f>
        <v>0335</v>
      </c>
      <c r="C2013" s="34" t="str">
        <f aca="false">'Uso e Consumo'!B2013</f>
        <v>UFV NORONHA VERDE - USO E CONSUMO</v>
      </c>
      <c r="D2013" s="33" t="n">
        <f aca="false">'Uso e Consumo'!C2013</f>
        <v>287099</v>
      </c>
      <c r="E2013" s="34" t="str">
        <f aca="false">'Uso e Consumo'!D2013</f>
        <v>13.02.0165</v>
      </c>
      <c r="F2013" s="34" t="str">
        <f aca="false">'Uso e Consumo'!E2013</f>
        <v>DOBRADIÇA 3 ABAS ESP IN NBR 2426</v>
      </c>
      <c r="G2013" s="34" t="str">
        <f aca="false">'Uso e Consumo'!J2013</f>
        <v>PC</v>
      </c>
      <c r="H2013" s="49" t="n">
        <f aca="false">'Uso e Consumo'!F2013</f>
        <v>8</v>
      </c>
      <c r="I2013" s="35" t="n">
        <f aca="false">'Uso e Consumo'!G2013</f>
        <v>135.84</v>
      </c>
      <c r="J2013" s="34" t="str">
        <f aca="false">'Uso e Consumo'!M2013</f>
        <v>3.8.1.013 - Esquadrias e vidros</v>
      </c>
      <c r="K2013" s="32" t="str">
        <f aca="false">INDEX('Curva ABC'!$K$8:$K$2847,MATCH(D2013,'Curva ABC'!$B$8:$B$2847,0))</f>
        <v>C</v>
      </c>
    </row>
    <row r="2014" customFormat="false" ht="15" hidden="false" customHeight="false" outlineLevel="0" collapsed="false">
      <c r="A2014" s="34" t="s">
        <v>5799</v>
      </c>
      <c r="B2014" s="34" t="str">
        <f aca="false">'Uso e Consumo'!A2014</f>
        <v>0335</v>
      </c>
      <c r="C2014" s="34" t="str">
        <f aca="false">'Uso e Consumo'!B2014</f>
        <v>UFV NORONHA VERDE - USO E CONSUMO</v>
      </c>
      <c r="D2014" s="33" t="n">
        <f aca="false">'Uso e Consumo'!C2014</f>
        <v>89454</v>
      </c>
      <c r="E2014" s="34" t="str">
        <f aca="false">'Uso e Consumo'!D2014</f>
        <v>24.53.0001</v>
      </c>
      <c r="F2014" s="34" t="str">
        <f aca="false">'Uso e Consumo'!E2014</f>
        <v>GRAMPEADOR PINADOR (TAPECEIRO) 10MM A 14MM</v>
      </c>
      <c r="G2014" s="34" t="str">
        <f aca="false">'Uso e Consumo'!J2014</f>
        <v>UN</v>
      </c>
      <c r="H2014" s="49" t="n">
        <f aca="false">'Uso e Consumo'!F2014</f>
        <v>2</v>
      </c>
      <c r="I2014" s="35" t="n">
        <f aca="false">'Uso e Consumo'!G2014</f>
        <v>135.8</v>
      </c>
      <c r="J2014" s="34" t="str">
        <f aca="false">'Uso e Consumo'!M2014</f>
        <v>3.8.2.002 - Ferramentas manuais</v>
      </c>
      <c r="K2014" s="32" t="str">
        <f aca="false">INDEX('Curva ABC'!$K$8:$K$2847,MATCH(D2014,'Curva ABC'!$B$8:$B$2847,0))</f>
        <v>C</v>
      </c>
    </row>
    <row r="2015" customFormat="false" ht="15" hidden="false" customHeight="false" outlineLevel="0" collapsed="false">
      <c r="A2015" s="34" t="s">
        <v>5799</v>
      </c>
      <c r="B2015" s="34" t="str">
        <f aca="false">'Uso e Consumo'!A2015</f>
        <v>0335</v>
      </c>
      <c r="C2015" s="34" t="str">
        <f aca="false">'Uso e Consumo'!B2015</f>
        <v>UFV NORONHA VERDE - USO E CONSUMO</v>
      </c>
      <c r="D2015" s="33" t="n">
        <f aca="false">'Uso e Consumo'!C2015</f>
        <v>55324</v>
      </c>
      <c r="E2015" s="34" t="str">
        <f aca="false">'Uso e Consumo'!D2015</f>
        <v>25.05.0085</v>
      </c>
      <c r="F2015" s="34" t="str">
        <f aca="false">'Uso e Consumo'!E2015</f>
        <v>SERRA COPO BIMETAL 19mm = 3/4"</v>
      </c>
      <c r="G2015" s="34" t="str">
        <f aca="false">'Uso e Consumo'!J2015</f>
        <v>UN</v>
      </c>
      <c r="H2015" s="49" t="n">
        <f aca="false">'Uso e Consumo'!F2015</f>
        <v>5</v>
      </c>
      <c r="I2015" s="35" t="n">
        <f aca="false">'Uso e Consumo'!G2015</f>
        <v>135</v>
      </c>
      <c r="J2015" s="34" t="str">
        <f aca="false">'Uso e Consumo'!M2015</f>
        <v>3.8.2.004 - Consumíveis para corte, perfuração e desbaste</v>
      </c>
      <c r="K2015" s="32" t="str">
        <f aca="false">INDEX('Curva ABC'!$K$8:$K$2847,MATCH(D2015,'Curva ABC'!$B$8:$B$2847,0))</f>
        <v>C</v>
      </c>
    </row>
    <row r="2016" customFormat="false" ht="15" hidden="false" customHeight="false" outlineLevel="0" collapsed="false">
      <c r="A2016" s="34" t="s">
        <v>5799</v>
      </c>
      <c r="B2016" s="34" t="str">
        <f aca="false">'Uso e Consumo'!A2016</f>
        <v>0335</v>
      </c>
      <c r="C2016" s="34" t="str">
        <f aca="false">'Uso e Consumo'!B2016</f>
        <v>UFV NORONHA VERDE - USO E CONSUMO</v>
      </c>
      <c r="D2016" s="33" t="n">
        <f aca="false">'Uso e Consumo'!C2016</f>
        <v>55334</v>
      </c>
      <c r="E2016" s="34" t="str">
        <f aca="false">'Uso e Consumo'!D2016</f>
        <v>25.05.0090</v>
      </c>
      <c r="F2016" s="34" t="str">
        <f aca="false">'Uso e Consumo'!E2016</f>
        <v>SERRA COPO BIMETAL 38mm = 1.1/2”</v>
      </c>
      <c r="G2016" s="34" t="str">
        <f aca="false">'Uso e Consumo'!J2016</f>
        <v>UN</v>
      </c>
      <c r="H2016" s="49" t="n">
        <f aca="false">'Uso e Consumo'!F2016</f>
        <v>3</v>
      </c>
      <c r="I2016" s="35" t="n">
        <f aca="false">'Uso e Consumo'!G2016</f>
        <v>135</v>
      </c>
      <c r="J2016" s="34" t="str">
        <f aca="false">'Uso e Consumo'!M2016</f>
        <v>3.8.2.004 - Consumíveis para corte, perfuração e desbaste</v>
      </c>
      <c r="K2016" s="32" t="str">
        <f aca="false">INDEX('Curva ABC'!$K$8:$K$2847,MATCH(D2016,'Curva ABC'!$B$8:$B$2847,0))</f>
        <v>C</v>
      </c>
    </row>
    <row r="2017" customFormat="false" ht="15" hidden="false" customHeight="false" outlineLevel="0" collapsed="false">
      <c r="A2017" s="34" t="s">
        <v>5799</v>
      </c>
      <c r="B2017" s="34" t="str">
        <f aca="false">'Uso e Consumo'!A2017</f>
        <v>0335</v>
      </c>
      <c r="C2017" s="34" t="str">
        <f aca="false">'Uso e Consumo'!B2017</f>
        <v>UFV NORONHA VERDE - USO E CONSUMO</v>
      </c>
      <c r="D2017" s="33" t="n">
        <f aca="false">'Uso e Consumo'!C2017</f>
        <v>960688</v>
      </c>
      <c r="E2017" s="34" t="str">
        <f aca="false">'Uso e Consumo'!D2017</f>
        <v>17.12.0462</v>
      </c>
      <c r="F2017" s="34" t="str">
        <f aca="false">'Uso e Consumo'!E2017</f>
        <v>INTERRUPTOR PARALELO 1 TECLA 10A</v>
      </c>
      <c r="G2017" s="34" t="str">
        <f aca="false">'Uso e Consumo'!J2017</f>
        <v>UN</v>
      </c>
      <c r="H2017" s="49" t="n">
        <f aca="false">'Uso e Consumo'!F2017</f>
        <v>22</v>
      </c>
      <c r="I2017" s="35" t="n">
        <f aca="false">'Uso e Consumo'!G2017</f>
        <v>134.86</v>
      </c>
      <c r="J2017" s="34" t="str">
        <f aca="false">'Uso e Consumo'!M2017</f>
        <v>3.8.1.017 - Instalações elétricas/telefônicas/lógica</v>
      </c>
      <c r="K2017" s="32" t="str">
        <f aca="false">INDEX('Curva ABC'!$K$8:$K$2847,MATCH(D2017,'Curva ABC'!$B$8:$B$2847,0))</f>
        <v>C</v>
      </c>
    </row>
    <row r="2018" customFormat="false" ht="15" hidden="false" customHeight="false" outlineLevel="0" collapsed="false">
      <c r="A2018" s="34" t="s">
        <v>5799</v>
      </c>
      <c r="B2018" s="34" t="str">
        <f aca="false">'Uso e Consumo'!A2018</f>
        <v>0335</v>
      </c>
      <c r="C2018" s="34" t="str">
        <f aca="false">'Uso e Consumo'!B2018</f>
        <v>UFV NORONHA VERDE - USO E CONSUMO</v>
      </c>
      <c r="D2018" s="33" t="n">
        <f aca="false">'Uso e Consumo'!C2018</f>
        <v>1385906</v>
      </c>
      <c r="E2018" s="34" t="str">
        <f aca="false">'Uso e Consumo'!D2018</f>
        <v>23.08.0091</v>
      </c>
      <c r="F2018" s="34" t="str">
        <f aca="false">'Uso e Consumo'!E2018</f>
        <v>BUCHA DE EXPANSÃO NYLON N°10, 50 MM, PARA PARAFUSO 6 A 8 MM</v>
      </c>
      <c r="G2018" s="34" t="str">
        <f aca="false">'Uso e Consumo'!J2018</f>
        <v>UN</v>
      </c>
      <c r="H2018" s="49" t="n">
        <f aca="false">'Uso e Consumo'!F2018</f>
        <v>442</v>
      </c>
      <c r="I2018" s="35" t="n">
        <f aca="false">'Uso e Consumo'!G2018</f>
        <v>134.83</v>
      </c>
      <c r="J2018" s="34" t="str">
        <f aca="false">'Uso e Consumo'!M2018</f>
        <v>3.1.1.001 - Material de uso e consumo</v>
      </c>
      <c r="K2018" s="32" t="str">
        <f aca="false">INDEX('Curva ABC'!$K$8:$K$2847,MATCH(D2018,'Curva ABC'!$B$8:$B$2847,0))</f>
        <v>C</v>
      </c>
    </row>
    <row r="2019" customFormat="false" ht="15" hidden="false" customHeight="false" outlineLevel="0" collapsed="false">
      <c r="A2019" s="34" t="s">
        <v>5799</v>
      </c>
      <c r="B2019" s="34" t="str">
        <f aca="false">'Uso e Consumo'!A2019</f>
        <v>0335</v>
      </c>
      <c r="C2019" s="34" t="str">
        <f aca="false">'Uso e Consumo'!B2019</f>
        <v>UFV NORONHA VERDE - USO E CONSUMO</v>
      </c>
      <c r="D2019" s="33" t="n">
        <f aca="false">'Uso e Consumo'!C2019</f>
        <v>56349</v>
      </c>
      <c r="E2019" s="34" t="str">
        <f aca="false">'Uso e Consumo'!D2019</f>
        <v>25.03.0220</v>
      </c>
      <c r="F2019" s="34" t="str">
        <f aca="false">'Uso e Consumo'!E2019</f>
        <v>BROCA AÇO RÁPIDO M 10.5</v>
      </c>
      <c r="G2019" s="34" t="str">
        <f aca="false">'Uso e Consumo'!J2019</f>
        <v>UN</v>
      </c>
      <c r="H2019" s="49" t="n">
        <f aca="false">'Uso e Consumo'!F2019</f>
        <v>10</v>
      </c>
      <c r="I2019" s="35" t="n">
        <f aca="false">'Uso e Consumo'!G2019</f>
        <v>134.8</v>
      </c>
      <c r="J2019" s="34" t="str">
        <f aca="false">'Uso e Consumo'!M2019</f>
        <v>3.8.2.004 - Consumíveis para corte, perfuração e desbaste</v>
      </c>
      <c r="K2019" s="32" t="str">
        <f aca="false">INDEX('Curva ABC'!$K$8:$K$2847,MATCH(D2019,'Curva ABC'!$B$8:$B$2847,0))</f>
        <v>C</v>
      </c>
    </row>
    <row r="2020" customFormat="false" ht="15" hidden="false" customHeight="false" outlineLevel="0" collapsed="false">
      <c r="A2020" s="34" t="s">
        <v>5799</v>
      </c>
      <c r="B2020" s="34" t="str">
        <f aca="false">'Uso e Consumo'!A2020</f>
        <v>0335</v>
      </c>
      <c r="C2020" s="34" t="str">
        <f aca="false">'Uso e Consumo'!B2020</f>
        <v>UFV NORONHA VERDE - USO E CONSUMO</v>
      </c>
      <c r="D2020" s="33" t="n">
        <f aca="false">'Uso e Consumo'!C2020</f>
        <v>1474099</v>
      </c>
      <c r="E2020" s="34" t="str">
        <f aca="false">'Uso e Consumo'!D2020</f>
        <v>24.36.0010</v>
      </c>
      <c r="F2020" s="34" t="str">
        <f aca="false">'Uso e Consumo'!E2020</f>
        <v>FACÃO DE MATO </v>
      </c>
      <c r="G2020" s="34" t="str">
        <f aca="false">'Uso e Consumo'!J2020</f>
        <v>UN</v>
      </c>
      <c r="H2020" s="49" t="n">
        <f aca="false">'Uso e Consumo'!F2020</f>
        <v>3</v>
      </c>
      <c r="I2020" s="35" t="n">
        <f aca="false">'Uso e Consumo'!G2020</f>
        <v>134.79</v>
      </c>
      <c r="J2020" s="34" t="str">
        <f aca="false">'Uso e Consumo'!M2020</f>
        <v>3.8.2.002 - Ferramentas manuais</v>
      </c>
      <c r="K2020" s="32" t="str">
        <f aca="false">INDEX('Curva ABC'!$K$8:$K$2847,MATCH(D2020,'Curva ABC'!$B$8:$B$2847,0))</f>
        <v>C</v>
      </c>
    </row>
    <row r="2021" customFormat="false" ht="15" hidden="false" customHeight="false" outlineLevel="0" collapsed="false">
      <c r="A2021" s="34" t="s">
        <v>5799</v>
      </c>
      <c r="B2021" s="34" t="str">
        <f aca="false">'Uso e Consumo'!A2021</f>
        <v>0335</v>
      </c>
      <c r="C2021" s="34" t="str">
        <f aca="false">'Uso e Consumo'!B2021</f>
        <v>UFV NORONHA VERDE - USO E CONSUMO</v>
      </c>
      <c r="D2021" s="33" t="n">
        <f aca="false">'Uso e Consumo'!C2021</f>
        <v>1672145</v>
      </c>
      <c r="E2021" s="34" t="str">
        <f aca="false">'Uso e Consumo'!D2021</f>
        <v>23.06.0337</v>
      </c>
      <c r="F2021" s="34" t="str">
        <f aca="false">'Uso e Consumo'!E2021</f>
        <v>PORCA SEXTAVADA DE ACO INOXIDAVEL, BITOLA M20</v>
      </c>
      <c r="G2021" s="34" t="str">
        <f aca="false">'Uso e Consumo'!J2021</f>
        <v>UN</v>
      </c>
      <c r="H2021" s="49" t="n">
        <f aca="false">'Uso e Consumo'!F2021</f>
        <v>12</v>
      </c>
      <c r="I2021" s="35" t="n">
        <f aca="false">'Uso e Consumo'!G2021</f>
        <v>134.4</v>
      </c>
      <c r="J2021" s="34" t="str">
        <f aca="false">'Uso e Consumo'!M2021</f>
        <v>3.8.1.022 - Elementos de fixação</v>
      </c>
      <c r="K2021" s="32" t="str">
        <f aca="false">INDEX('Curva ABC'!$K$8:$K$2847,MATCH(D2021,'Curva ABC'!$B$8:$B$2847,0))</f>
        <v>C</v>
      </c>
    </row>
    <row r="2022" customFormat="false" ht="15" hidden="false" customHeight="false" outlineLevel="0" collapsed="false">
      <c r="A2022" s="34" t="s">
        <v>5799</v>
      </c>
      <c r="B2022" s="34" t="str">
        <f aca="false">'Uso e Consumo'!A2022</f>
        <v>0335</v>
      </c>
      <c r="C2022" s="34" t="str">
        <f aca="false">'Uso e Consumo'!B2022</f>
        <v>UFV NORONHA VERDE - USO E CONSUMO</v>
      </c>
      <c r="D2022" s="33" t="n">
        <f aca="false">'Uso e Consumo'!C2022</f>
        <v>1385281</v>
      </c>
      <c r="E2022" s="34" t="str">
        <f aca="false">'Uso e Consumo'!D2022</f>
        <v>17.02.0875</v>
      </c>
      <c r="F2022" s="34" t="str">
        <f aca="false">'Uso e Consumo'!E2022</f>
        <v>BUCHA DE REDUÇÃO LIGA ALUMÍNIO, ALTA RESISTÊNCIA MECÂNICA E CORROSÃO, 2" PARA 1", SEM ROSCA</v>
      </c>
      <c r="G2022" s="34" t="str">
        <f aca="false">'Uso e Consumo'!J2022</f>
        <v>UN</v>
      </c>
      <c r="H2022" s="49" t="n">
        <f aca="false">'Uso e Consumo'!F2022</f>
        <v>15</v>
      </c>
      <c r="I2022" s="35" t="n">
        <f aca="false">'Uso e Consumo'!G2022</f>
        <v>134.11</v>
      </c>
      <c r="J2022" s="34" t="str">
        <f aca="false">'Uso e Consumo'!M2022</f>
        <v>3.8.1.017 - Instalações elétricas/telefônicas/lógica</v>
      </c>
      <c r="K2022" s="32" t="str">
        <f aca="false">INDEX('Curva ABC'!$K$8:$K$2847,MATCH(D2022,'Curva ABC'!$B$8:$B$2847,0))</f>
        <v>C</v>
      </c>
    </row>
    <row r="2023" customFormat="false" ht="15" hidden="false" customHeight="false" outlineLevel="0" collapsed="false">
      <c r="A2023" s="34" t="s">
        <v>5799</v>
      </c>
      <c r="B2023" s="34" t="str">
        <f aca="false">'Uso e Consumo'!A2023</f>
        <v>0335</v>
      </c>
      <c r="C2023" s="34" t="str">
        <f aca="false">'Uso e Consumo'!B2023</f>
        <v>UFV NORONHA VERDE - USO E CONSUMO</v>
      </c>
      <c r="D2023" s="33" t="n">
        <f aca="false">'Uso e Consumo'!C2023</f>
        <v>22500</v>
      </c>
      <c r="E2023" s="34" t="str">
        <f aca="false">'Uso e Consumo'!D2023</f>
        <v>30.03.0128</v>
      </c>
      <c r="F2023" s="34" t="str">
        <f aca="false">'Uso e Consumo'!E2023</f>
        <v>PÁ PLÁSTICA PARA LIXO COM CABO</v>
      </c>
      <c r="G2023" s="34" t="str">
        <f aca="false">'Uso e Consumo'!J2023</f>
        <v>UN</v>
      </c>
      <c r="H2023" s="49" t="n">
        <f aca="false">'Uso e Consumo'!F2023</f>
        <v>17</v>
      </c>
      <c r="I2023" s="35" t="n">
        <f aca="false">'Uso e Consumo'!G2023</f>
        <v>134</v>
      </c>
      <c r="J2023" s="34" t="str">
        <f aca="false">'Uso e Consumo'!M2023</f>
        <v>4.1.1.003 - Material limpeza</v>
      </c>
      <c r="K2023" s="32" t="str">
        <f aca="false">INDEX('Curva ABC'!$K$8:$K$2847,MATCH(D2023,'Curva ABC'!$B$8:$B$2847,0))</f>
        <v>C</v>
      </c>
    </row>
    <row r="2024" customFormat="false" ht="15" hidden="false" customHeight="false" outlineLevel="0" collapsed="false">
      <c r="A2024" s="34" t="s">
        <v>5799</v>
      </c>
      <c r="B2024" s="34" t="str">
        <f aca="false">'Uso e Consumo'!A2024</f>
        <v>0335</v>
      </c>
      <c r="C2024" s="34" t="str">
        <f aca="false">'Uso e Consumo'!B2024</f>
        <v>UFV NORONHA VERDE - USO E CONSUMO</v>
      </c>
      <c r="D2024" s="33" t="n">
        <f aca="false">'Uso e Consumo'!C2024</f>
        <v>932987</v>
      </c>
      <c r="E2024" s="34" t="str">
        <f aca="false">'Uso e Consumo'!D2024</f>
        <v>17.16.0516</v>
      </c>
      <c r="F2024" s="34" t="str">
        <f aca="false">'Uso e Consumo'!E2024</f>
        <v>TERMINAL TIPO PINO PARA CABO 2,5MM²</v>
      </c>
      <c r="G2024" s="34" t="str">
        <f aca="false">'Uso e Consumo'!J2024</f>
        <v>UN</v>
      </c>
      <c r="H2024" s="49" t="n">
        <f aca="false">'Uso e Consumo'!F2024</f>
        <v>300</v>
      </c>
      <c r="I2024" s="35" t="n">
        <f aca="false">'Uso e Consumo'!G2024</f>
        <v>134</v>
      </c>
      <c r="J2024" s="34" t="str">
        <f aca="false">'Uso e Consumo'!M2024</f>
        <v>3.8.1.017 - Instalações elétricas/telefônicas/lógica</v>
      </c>
      <c r="K2024" s="32" t="str">
        <f aca="false">INDEX('Curva ABC'!$K$8:$K$2847,MATCH(D2024,'Curva ABC'!$B$8:$B$2847,0))</f>
        <v>C</v>
      </c>
    </row>
    <row r="2025" customFormat="false" ht="15" hidden="false" customHeight="false" outlineLevel="0" collapsed="false">
      <c r="A2025" s="34" t="s">
        <v>5799</v>
      </c>
      <c r="B2025" s="34" t="str">
        <f aca="false">'Uso e Consumo'!A2025</f>
        <v>0335</v>
      </c>
      <c r="C2025" s="34" t="str">
        <f aca="false">'Uso e Consumo'!B2025</f>
        <v>UFV NORONHA VERDE - USO E CONSUMO</v>
      </c>
      <c r="D2025" s="33" t="n">
        <f aca="false">'Uso e Consumo'!C2025</f>
        <v>884895</v>
      </c>
      <c r="E2025" s="34" t="str">
        <f aca="false">'Uso e Consumo'!D2025</f>
        <v>24.09.0658</v>
      </c>
      <c r="F2025" s="34" t="str">
        <f aca="false">'Uso e Consumo'!E2025</f>
        <v>JOGO DE SOQUETE LONGO SEXTAVADO</v>
      </c>
      <c r="G2025" s="34" t="str">
        <f aca="false">'Uso e Consumo'!J2025</f>
        <v>UND</v>
      </c>
      <c r="H2025" s="49" t="n">
        <f aca="false">'Uso e Consumo'!F2025</f>
        <v>1</v>
      </c>
      <c r="I2025" s="35" t="n">
        <f aca="false">'Uso e Consumo'!G2025</f>
        <v>132.75</v>
      </c>
      <c r="J2025" s="34" t="str">
        <f aca="false">'Uso e Consumo'!M2025</f>
        <v>3.8.2.002 - Ferramentas manuais</v>
      </c>
      <c r="K2025" s="32" t="str">
        <f aca="false">INDEX('Curva ABC'!$K$8:$K$2847,MATCH(D2025,'Curva ABC'!$B$8:$B$2847,0))</f>
        <v>C</v>
      </c>
    </row>
    <row r="2026" customFormat="false" ht="15" hidden="false" customHeight="false" outlineLevel="0" collapsed="false">
      <c r="A2026" s="34" t="s">
        <v>5799</v>
      </c>
      <c r="B2026" s="34" t="str">
        <f aca="false">'Uso e Consumo'!A2026</f>
        <v>0335</v>
      </c>
      <c r="C2026" s="34" t="str">
        <f aca="false">'Uso e Consumo'!B2026</f>
        <v>UFV NORONHA VERDE - USO E CONSUMO</v>
      </c>
      <c r="D2026" s="33" t="n">
        <f aca="false">'Uso e Consumo'!C2026</f>
        <v>1330473</v>
      </c>
      <c r="E2026" s="34" t="str">
        <f aca="false">'Uso e Consumo'!D2026</f>
        <v>18.01.1589</v>
      </c>
      <c r="F2026" s="34" t="str">
        <f aca="false">'Uso e Consumo'!E2026</f>
        <v>UNIÃO COM ANEL SOLDÁVEL 50MM PVC</v>
      </c>
      <c r="G2026" s="34" t="str">
        <f aca="false">'Uso e Consumo'!J2026</f>
        <v>UN</v>
      </c>
      <c r="H2026" s="49" t="n">
        <f aca="false">'Uso e Consumo'!F2026</f>
        <v>5</v>
      </c>
      <c r="I2026" s="35" t="n">
        <f aca="false">'Uso e Consumo'!G2026</f>
        <v>132.5</v>
      </c>
      <c r="J2026" s="34" t="str">
        <f aca="false">'Uso e Consumo'!M2026</f>
        <v>3.8.1.018 - Instalações hidráulicas/sanitárias/industriais</v>
      </c>
      <c r="K2026" s="32" t="str">
        <f aca="false">INDEX('Curva ABC'!$K$8:$K$2847,MATCH(D2026,'Curva ABC'!$B$8:$B$2847,0))</f>
        <v>C</v>
      </c>
    </row>
    <row r="2027" customFormat="false" ht="15" hidden="false" customHeight="false" outlineLevel="0" collapsed="false">
      <c r="A2027" s="34" t="s">
        <v>5799</v>
      </c>
      <c r="B2027" s="34" t="str">
        <f aca="false">'Uso e Consumo'!A2027</f>
        <v>0335</v>
      </c>
      <c r="C2027" s="34" t="str">
        <f aca="false">'Uso e Consumo'!B2027</f>
        <v>UFV NORONHA VERDE - USO E CONSUMO</v>
      </c>
      <c r="D2027" s="33" t="n">
        <f aca="false">'Uso e Consumo'!C2027</f>
        <v>1476167</v>
      </c>
      <c r="E2027" s="34" t="str">
        <f aca="false">'Uso e Consumo'!D2027</f>
        <v>17.15.0125</v>
      </c>
      <c r="F2027" s="34" t="str">
        <f aca="false">'Uso e Consumo'!E2027</f>
        <v>GARRA JACARÉ ISOLADA 70 A GI30 AZUL</v>
      </c>
      <c r="G2027" s="34" t="str">
        <f aca="false">'Uso e Consumo'!J2027</f>
        <v>UN</v>
      </c>
      <c r="H2027" s="49" t="n">
        <f aca="false">'Uso e Consumo'!F2027</f>
        <v>2</v>
      </c>
      <c r="I2027" s="35" t="n">
        <f aca="false">'Uso e Consumo'!G2027</f>
        <v>132</v>
      </c>
      <c r="J2027" s="34" t="str">
        <f aca="false">'Uso e Consumo'!M2027</f>
        <v>3.8.1.001 - Aços e trefilados</v>
      </c>
      <c r="K2027" s="32" t="str">
        <f aca="false">INDEX('Curva ABC'!$K$8:$K$2847,MATCH(D2027,'Curva ABC'!$B$8:$B$2847,0))</f>
        <v>C</v>
      </c>
    </row>
    <row r="2028" customFormat="false" ht="15" hidden="false" customHeight="false" outlineLevel="0" collapsed="false">
      <c r="A2028" s="34" t="s">
        <v>5799</v>
      </c>
      <c r="B2028" s="34" t="str">
        <f aca="false">'Uso e Consumo'!A2028</f>
        <v>0335</v>
      </c>
      <c r="C2028" s="34" t="str">
        <f aca="false">'Uso e Consumo'!B2028</f>
        <v>UFV NORONHA VERDE - USO E CONSUMO</v>
      </c>
      <c r="D2028" s="33" t="n">
        <f aca="false">'Uso e Consumo'!C2028</f>
        <v>1476191</v>
      </c>
      <c r="E2028" s="34" t="str">
        <f aca="false">'Uso e Consumo'!D2028</f>
        <v>17.15.0126</v>
      </c>
      <c r="F2028" s="34" t="str">
        <f aca="false">'Uso e Consumo'!E2028</f>
        <v>GARRA JACARÉ ISOLADA 70A GI30 VERDE FUSIBRÁS</v>
      </c>
      <c r="G2028" s="34" t="str">
        <f aca="false">'Uso e Consumo'!J2028</f>
        <v>UN</v>
      </c>
      <c r="H2028" s="49" t="n">
        <f aca="false">'Uso e Consumo'!F2028</f>
        <v>2</v>
      </c>
      <c r="I2028" s="35" t="n">
        <f aca="false">'Uso e Consumo'!G2028</f>
        <v>132</v>
      </c>
      <c r="J2028" s="34" t="str">
        <f aca="false">'Uso e Consumo'!M2028</f>
        <v>3.8.1.001 - Aços e trefilados</v>
      </c>
      <c r="K2028" s="32" t="str">
        <f aca="false">INDEX('Curva ABC'!$K$8:$K$2847,MATCH(D2028,'Curva ABC'!$B$8:$B$2847,0))</f>
        <v>C</v>
      </c>
    </row>
    <row r="2029" customFormat="false" ht="15" hidden="false" customHeight="false" outlineLevel="0" collapsed="false">
      <c r="A2029" s="34" t="s">
        <v>5799</v>
      </c>
      <c r="B2029" s="34" t="str">
        <f aca="false">'Uso e Consumo'!A2029</f>
        <v>0335</v>
      </c>
      <c r="C2029" s="34" t="str">
        <f aca="false">'Uso e Consumo'!B2029</f>
        <v>UFV NORONHA VERDE - USO E CONSUMO</v>
      </c>
      <c r="D2029" s="33" t="n">
        <f aca="false">'Uso e Consumo'!C2029</f>
        <v>1476215</v>
      </c>
      <c r="E2029" s="34" t="str">
        <f aca="false">'Uso e Consumo'!D2029</f>
        <v>17.15.0127</v>
      </c>
      <c r="F2029" s="34" t="str">
        <f aca="false">'Uso e Consumo'!E2029</f>
        <v>GARRA JACARÉ ISOLADA 70 A GI30 VERMELHA</v>
      </c>
      <c r="G2029" s="34" t="str">
        <f aca="false">'Uso e Consumo'!J2029</f>
        <v>UN</v>
      </c>
      <c r="H2029" s="49" t="n">
        <f aca="false">'Uso e Consumo'!F2029</f>
        <v>2</v>
      </c>
      <c r="I2029" s="35" t="n">
        <f aca="false">'Uso e Consumo'!G2029</f>
        <v>132</v>
      </c>
      <c r="J2029" s="34" t="str">
        <f aca="false">'Uso e Consumo'!M2029</f>
        <v>3.8.1.001 - Aços e trefilados</v>
      </c>
      <c r="K2029" s="32" t="str">
        <f aca="false">INDEX('Curva ABC'!$K$8:$K$2847,MATCH(D2029,'Curva ABC'!$B$8:$B$2847,0))</f>
        <v>C</v>
      </c>
    </row>
    <row r="2030" customFormat="false" ht="15" hidden="false" customHeight="false" outlineLevel="0" collapsed="false">
      <c r="A2030" s="34" t="s">
        <v>5799</v>
      </c>
      <c r="B2030" s="34" t="str">
        <f aca="false">'Uso e Consumo'!A2030</f>
        <v>0335</v>
      </c>
      <c r="C2030" s="34" t="str">
        <f aca="false">'Uso e Consumo'!B2030</f>
        <v>UFV NORONHA VERDE - USO E CONSUMO</v>
      </c>
      <c r="D2030" s="33" t="n">
        <f aca="false">'Uso e Consumo'!C2030</f>
        <v>16405</v>
      </c>
      <c r="E2030" s="34" t="str">
        <f aca="false">'Uso e Consumo'!D2030</f>
        <v>19.11.0002</v>
      </c>
      <c r="F2030" s="34" t="str">
        <f aca="false">'Uso e Consumo'!E2030</f>
        <v>ENGATE FLEXIVEL AÇO INOX 1/2" X 40,00CM</v>
      </c>
      <c r="G2030" s="34" t="str">
        <f aca="false">'Uso e Consumo'!J2030</f>
        <v>UN</v>
      </c>
      <c r="H2030" s="49" t="n">
        <f aca="false">'Uso e Consumo'!F2030</f>
        <v>6</v>
      </c>
      <c r="I2030" s="35" t="n">
        <f aca="false">'Uso e Consumo'!G2030</f>
        <v>131.88</v>
      </c>
      <c r="J2030" s="34" t="str">
        <f aca="false">'Uso e Consumo'!M2030</f>
        <v>3.8.1.018 - Instalações hidráulicas/sanitárias/industriais</v>
      </c>
      <c r="K2030" s="32" t="str">
        <f aca="false">INDEX('Curva ABC'!$K$8:$K$2847,MATCH(D2030,'Curva ABC'!$B$8:$B$2847,0))</f>
        <v>C</v>
      </c>
    </row>
    <row r="2031" customFormat="false" ht="15" hidden="false" customHeight="false" outlineLevel="0" collapsed="false">
      <c r="A2031" s="34" t="s">
        <v>5799</v>
      </c>
      <c r="B2031" s="34" t="str">
        <f aca="false">'Uso e Consumo'!A2031</f>
        <v>0335</v>
      </c>
      <c r="C2031" s="34" t="str">
        <f aca="false">'Uso e Consumo'!B2031</f>
        <v>UFV NORONHA VERDE - USO E CONSUMO</v>
      </c>
      <c r="D2031" s="33" t="n">
        <f aca="false">'Uso e Consumo'!C2031</f>
        <v>1607596</v>
      </c>
      <c r="E2031" s="34" t="str">
        <f aca="false">'Uso e Consumo'!D2031</f>
        <v>23.07.1622</v>
      </c>
      <c r="F2031" s="34" t="str">
        <f aca="false">'Uso e Consumo'!E2031</f>
        <v>PARAFUSO ROSCA DUPLA M16X300 COMPL</v>
      </c>
      <c r="G2031" s="34" t="str">
        <f aca="false">'Uso e Consumo'!J2031</f>
        <v>UN</v>
      </c>
      <c r="H2031" s="49" t="n">
        <f aca="false">'Uso e Consumo'!F2031</f>
        <v>7</v>
      </c>
      <c r="I2031" s="35" t="n">
        <f aca="false">'Uso e Consumo'!G2031</f>
        <v>131.46</v>
      </c>
      <c r="J2031" s="34" t="str">
        <f aca="false">'Uso e Consumo'!M2031</f>
        <v>3.8.1.022 - Elementos de fixação</v>
      </c>
      <c r="K2031" s="32" t="str">
        <f aca="false">INDEX('Curva ABC'!$K$8:$K$2847,MATCH(D2031,'Curva ABC'!$B$8:$B$2847,0))</f>
        <v>C</v>
      </c>
    </row>
    <row r="2032" customFormat="false" ht="15" hidden="false" customHeight="false" outlineLevel="0" collapsed="false">
      <c r="A2032" s="34" t="s">
        <v>5799</v>
      </c>
      <c r="B2032" s="34" t="str">
        <f aca="false">'Uso e Consumo'!A2032</f>
        <v>0335</v>
      </c>
      <c r="C2032" s="34" t="str">
        <f aca="false">'Uso e Consumo'!B2032</f>
        <v>UFV NORONHA VERDE - USO E CONSUMO</v>
      </c>
      <c r="D2032" s="33" t="n">
        <f aca="false">'Uso e Consumo'!C2032</f>
        <v>477834</v>
      </c>
      <c r="E2032" s="34" t="str">
        <f aca="false">'Uso e Consumo'!D2032</f>
        <v>17.12.0398</v>
      </c>
      <c r="F2032" s="34" t="str">
        <f aca="false">'Uso e Consumo'!E2032</f>
        <v>TRILHO TIPO DIN</v>
      </c>
      <c r="G2032" s="34" t="str">
        <f aca="false">'Uso e Consumo'!J2032</f>
        <v>UN</v>
      </c>
      <c r="H2032" s="49" t="n">
        <f aca="false">'Uso e Consumo'!F2032</f>
        <v>7</v>
      </c>
      <c r="I2032" s="35" t="n">
        <f aca="false">'Uso e Consumo'!G2032</f>
        <v>131.04</v>
      </c>
      <c r="J2032" s="34" t="str">
        <f aca="false">'Uso e Consumo'!M2032</f>
        <v>3.8.1.017 - Instalações elétricas/telefônicas/lógica</v>
      </c>
      <c r="K2032" s="32" t="str">
        <f aca="false">INDEX('Curva ABC'!$K$8:$K$2847,MATCH(D2032,'Curva ABC'!$B$8:$B$2847,0))</f>
        <v>C</v>
      </c>
    </row>
    <row r="2033" customFormat="false" ht="15" hidden="false" customHeight="false" outlineLevel="0" collapsed="false">
      <c r="A2033" s="34" t="s">
        <v>5799</v>
      </c>
      <c r="B2033" s="34" t="str">
        <f aca="false">'Uso e Consumo'!A2033</f>
        <v>0335</v>
      </c>
      <c r="C2033" s="34" t="str">
        <f aca="false">'Uso e Consumo'!B2033</f>
        <v>UFV NORONHA VERDE - USO E CONSUMO</v>
      </c>
      <c r="D2033" s="33" t="n">
        <f aca="false">'Uso e Consumo'!C2033</f>
        <v>32874</v>
      </c>
      <c r="E2033" s="34" t="str">
        <f aca="false">'Uso e Consumo'!D2033</f>
        <v>26.02.0051</v>
      </c>
      <c r="F2033" s="34" t="str">
        <f aca="false">'Uso e Consumo'!E2033</f>
        <v>BOTINA NOBUCK C/ CADARÇO E BIQUEIRA - COR MARROM - N° 39 - 90WBPB1400 (CA-28108/13808/26706/26710)</v>
      </c>
      <c r="G2033" s="34" t="str">
        <f aca="false">'Uso e Consumo'!J2033</f>
        <v>PAR</v>
      </c>
      <c r="H2033" s="49" t="n">
        <f aca="false">'Uso e Consumo'!F2033</f>
        <v>1</v>
      </c>
      <c r="I2033" s="35" t="n">
        <f aca="false">'Uso e Consumo'!G2033</f>
        <v>131</v>
      </c>
      <c r="J2033" s="34" t="str">
        <f aca="false">'Uso e Consumo'!M2033</f>
        <v>4.3.4.001 - Equipamento de proteção individual</v>
      </c>
      <c r="K2033" s="32" t="str">
        <f aca="false">INDEX('Curva ABC'!$K$8:$K$2847,MATCH(D2033,'Curva ABC'!$B$8:$B$2847,0))</f>
        <v>C</v>
      </c>
    </row>
    <row r="2034" customFormat="false" ht="15" hidden="false" customHeight="false" outlineLevel="0" collapsed="false">
      <c r="A2034" s="34" t="s">
        <v>5799</v>
      </c>
      <c r="B2034" s="34" t="str">
        <f aca="false">'Uso e Consumo'!A2034</f>
        <v>0335</v>
      </c>
      <c r="C2034" s="34" t="str">
        <f aca="false">'Uso e Consumo'!B2034</f>
        <v>UFV NORONHA VERDE - USO E CONSUMO</v>
      </c>
      <c r="D2034" s="33" t="n">
        <f aca="false">'Uso e Consumo'!C2034</f>
        <v>55009</v>
      </c>
      <c r="E2034" s="34" t="str">
        <f aca="false">'Uso e Consumo'!D2034</f>
        <v>26.02.0065</v>
      </c>
      <c r="F2034" s="34" t="str">
        <f aca="false">'Uso e Consumo'!E2034</f>
        <v>BOTINA NOBUCK C/ CADARÇO E BIQUEIRA - COR MARROM -  Nº 35 - 90HXPN400 (CA-28108/13808/26706/26710)</v>
      </c>
      <c r="G2034" s="34" t="str">
        <f aca="false">'Uso e Consumo'!J2034</f>
        <v>PAR</v>
      </c>
      <c r="H2034" s="49" t="n">
        <f aca="false">'Uso e Consumo'!F2034</f>
        <v>1</v>
      </c>
      <c r="I2034" s="35" t="n">
        <f aca="false">'Uso e Consumo'!G2034</f>
        <v>131</v>
      </c>
      <c r="J2034" s="34" t="str">
        <f aca="false">'Uso e Consumo'!M2034</f>
        <v>4.3.4.001 - Equipamento de proteção individual</v>
      </c>
      <c r="K2034" s="32" t="str">
        <f aca="false">INDEX('Curva ABC'!$K$8:$K$2847,MATCH(D2034,'Curva ABC'!$B$8:$B$2847,0))</f>
        <v>C</v>
      </c>
    </row>
    <row r="2035" customFormat="false" ht="15" hidden="false" customHeight="false" outlineLevel="0" collapsed="false">
      <c r="A2035" s="34" t="s">
        <v>5799</v>
      </c>
      <c r="B2035" s="34" t="str">
        <f aca="false">'Uso e Consumo'!A2035</f>
        <v>0335</v>
      </c>
      <c r="C2035" s="34" t="str">
        <f aca="false">'Uso e Consumo'!B2035</f>
        <v>UFV NORONHA VERDE - USO E CONSUMO</v>
      </c>
      <c r="D2035" s="33" t="n">
        <f aca="false">'Uso e Consumo'!C2035</f>
        <v>1063860</v>
      </c>
      <c r="E2035" s="34" t="str">
        <f aca="false">'Uso e Consumo'!D2035</f>
        <v>26.02.0213</v>
      </c>
      <c r="F2035" s="34" t="str">
        <f aca="false">'Uso e Consumo'!E2035</f>
        <v>BOTA BOTINA NOBUCK MARLUVAS 50B26 PALM ANTIPERFURO COMPOSITE TAM 41</v>
      </c>
      <c r="G2035" s="34" t="str">
        <f aca="false">'Uso e Consumo'!J2035</f>
        <v>UN</v>
      </c>
      <c r="H2035" s="49" t="n">
        <f aca="false">'Uso e Consumo'!F2035</f>
        <v>1</v>
      </c>
      <c r="I2035" s="35" t="n">
        <f aca="false">'Uso e Consumo'!G2035</f>
        <v>131</v>
      </c>
      <c r="J2035" s="34" t="str">
        <f aca="false">'Uso e Consumo'!M2035</f>
        <v>4.3.4.001 - Equipamento de proteção individual</v>
      </c>
      <c r="K2035" s="32" t="str">
        <f aca="false">INDEX('Curva ABC'!$K$8:$K$2847,MATCH(D2035,'Curva ABC'!$B$8:$B$2847,0))</f>
        <v>C</v>
      </c>
    </row>
    <row r="2036" customFormat="false" ht="15" hidden="false" customHeight="false" outlineLevel="0" collapsed="false">
      <c r="A2036" s="34" t="s">
        <v>5799</v>
      </c>
      <c r="B2036" s="34" t="str">
        <f aca="false">'Uso e Consumo'!A2036</f>
        <v>0335</v>
      </c>
      <c r="C2036" s="34" t="str">
        <f aca="false">'Uso e Consumo'!B2036</f>
        <v>UFV NORONHA VERDE - USO E CONSUMO</v>
      </c>
      <c r="D2036" s="33" t="n">
        <f aca="false">'Uso e Consumo'!C2036</f>
        <v>559570</v>
      </c>
      <c r="E2036" s="34" t="str">
        <f aca="false">'Uso e Consumo'!D2036</f>
        <v>24.41.0222</v>
      </c>
      <c r="F2036" s="34" t="str">
        <f aca="false">'Uso e Consumo'!E2036</f>
        <v>SOQUETE CHAVE ALLEN SEXTAVADO 8MM COM ENCAIXE 1/2''</v>
      </c>
      <c r="G2036" s="34" t="str">
        <f aca="false">'Uso e Consumo'!J2036</f>
        <v>UN</v>
      </c>
      <c r="H2036" s="49" t="n">
        <f aca="false">'Uso e Consumo'!F2036</f>
        <v>3</v>
      </c>
      <c r="I2036" s="35" t="n">
        <f aca="false">'Uso e Consumo'!G2036</f>
        <v>130.71</v>
      </c>
      <c r="J2036" s="34" t="str">
        <f aca="false">'Uso e Consumo'!M2036</f>
        <v>3.8.2.002 - Ferramentas manuais</v>
      </c>
      <c r="K2036" s="32" t="str">
        <f aca="false">INDEX('Curva ABC'!$K$8:$K$2847,MATCH(D2036,'Curva ABC'!$B$8:$B$2847,0))</f>
        <v>C</v>
      </c>
    </row>
    <row r="2037" customFormat="false" ht="15" hidden="false" customHeight="false" outlineLevel="0" collapsed="false">
      <c r="A2037" s="34" t="s">
        <v>5799</v>
      </c>
      <c r="B2037" s="34" t="str">
        <f aca="false">'Uso e Consumo'!A2037</f>
        <v>0335</v>
      </c>
      <c r="C2037" s="34" t="str">
        <f aca="false">'Uso e Consumo'!B2037</f>
        <v>UFV NORONHA VERDE - USO E CONSUMO</v>
      </c>
      <c r="D2037" s="33" t="n">
        <f aca="false">'Uso e Consumo'!C2037</f>
        <v>1320995</v>
      </c>
      <c r="E2037" s="34" t="str">
        <f aca="false">'Uso e Consumo'!D2037</f>
        <v>17.12.0499</v>
      </c>
      <c r="F2037" s="34" t="str">
        <f aca="false">'Uso e Consumo'!E2037</f>
        <v>TOMADA SIMPLES EXTERNA 10A PARA CONDULETE PVC 1/2''</v>
      </c>
      <c r="G2037" s="34" t="str">
        <f aca="false">'Uso e Consumo'!J2037</f>
        <v>UN</v>
      </c>
      <c r="H2037" s="49" t="n">
        <f aca="false">'Uso e Consumo'!F2037</f>
        <v>22</v>
      </c>
      <c r="I2037" s="35" t="n">
        <f aca="false">'Uso e Consumo'!G2037</f>
        <v>130.24</v>
      </c>
      <c r="J2037" s="34" t="str">
        <f aca="false">'Uso e Consumo'!M2037</f>
        <v>3.8.1.017 - Instalações elétricas/telefônicas/lógica</v>
      </c>
      <c r="K2037" s="32" t="str">
        <f aca="false">INDEX('Curva ABC'!$K$8:$K$2847,MATCH(D2037,'Curva ABC'!$B$8:$B$2847,0))</f>
        <v>C</v>
      </c>
    </row>
    <row r="2038" customFormat="false" ht="15" hidden="false" customHeight="false" outlineLevel="0" collapsed="false">
      <c r="A2038" s="34" t="s">
        <v>5799</v>
      </c>
      <c r="B2038" s="34" t="str">
        <f aca="false">'Uso e Consumo'!A2038</f>
        <v>0335</v>
      </c>
      <c r="C2038" s="34" t="str">
        <f aca="false">'Uso e Consumo'!B2038</f>
        <v>UFV NORONHA VERDE - USO E CONSUMO</v>
      </c>
      <c r="D2038" s="33" t="n">
        <f aca="false">'Uso e Consumo'!C2038</f>
        <v>32598</v>
      </c>
      <c r="E2038" s="34" t="str">
        <f aca="false">'Uso e Consumo'!D2038</f>
        <v>18.01.0064</v>
      </c>
      <c r="F2038" s="34" t="str">
        <f aca="false">'Uso e Consumo'!E2038</f>
        <v>TUBO PVC RIGIDO SOLDAVEL ESGOTO SR PONTA BOLSA 50,00MM X 6,00M NBR 5688</v>
      </c>
      <c r="G2038" s="34" t="str">
        <f aca="false">'Uso e Consumo'!J2038</f>
        <v>PÇ6M</v>
      </c>
      <c r="H2038" s="49" t="n">
        <f aca="false">'Uso e Consumo'!F2038</f>
        <v>2</v>
      </c>
      <c r="I2038" s="35" t="n">
        <f aca="false">'Uso e Consumo'!G2038</f>
        <v>130</v>
      </c>
      <c r="J2038" s="34" t="str">
        <f aca="false">'Uso e Consumo'!M2038</f>
        <v>3.8.1.018 - Instalações hidráulicas/sanitárias/industriais</v>
      </c>
      <c r="K2038" s="32" t="str">
        <f aca="false">INDEX('Curva ABC'!$K$8:$K$2847,MATCH(D2038,'Curva ABC'!$B$8:$B$2847,0))</f>
        <v>C</v>
      </c>
    </row>
    <row r="2039" customFormat="false" ht="15" hidden="false" customHeight="false" outlineLevel="0" collapsed="false">
      <c r="A2039" s="34" t="s">
        <v>5799</v>
      </c>
      <c r="B2039" s="34" t="str">
        <f aca="false">'Uso e Consumo'!A2039</f>
        <v>0335</v>
      </c>
      <c r="C2039" s="34" t="str">
        <f aca="false">'Uso e Consumo'!B2039</f>
        <v>UFV NORONHA VERDE - USO E CONSUMO</v>
      </c>
      <c r="D2039" s="33" t="n">
        <f aca="false">'Uso e Consumo'!C2039</f>
        <v>1312602</v>
      </c>
      <c r="E2039" s="34" t="str">
        <f aca="false">'Uso e Consumo'!D2039</f>
        <v>33.02.3129</v>
      </c>
      <c r="F2039" s="34" t="str">
        <f aca="false">'Uso e Consumo'!E2039</f>
        <v>CONEXÃO 1135-141-2200</v>
      </c>
      <c r="G2039" s="34" t="str">
        <f aca="false">'Uso e Consumo'!J2039</f>
        <v>UN</v>
      </c>
      <c r="H2039" s="49" t="n">
        <f aca="false">'Uso e Consumo'!F2039</f>
        <v>1</v>
      </c>
      <c r="I2039" s="35" t="n">
        <f aca="false">'Uso e Consumo'!G2039</f>
        <v>129.97</v>
      </c>
      <c r="J2039" s="34" t="str">
        <f aca="false">'Uso e Consumo'!M2039</f>
        <v>3.1.6.002 - Pneus e peças</v>
      </c>
      <c r="K2039" s="32" t="str">
        <f aca="false">INDEX('Curva ABC'!$K$8:$K$2847,MATCH(D2039,'Curva ABC'!$B$8:$B$2847,0))</f>
        <v>C</v>
      </c>
    </row>
    <row r="2040" customFormat="false" ht="15" hidden="false" customHeight="false" outlineLevel="0" collapsed="false">
      <c r="A2040" s="34" t="s">
        <v>5799</v>
      </c>
      <c r="B2040" s="34" t="str">
        <f aca="false">'Uso e Consumo'!A2040</f>
        <v>0335</v>
      </c>
      <c r="C2040" s="34" t="str">
        <f aca="false">'Uso e Consumo'!B2040</f>
        <v>UFV NORONHA VERDE - USO E CONSUMO</v>
      </c>
      <c r="D2040" s="33" t="n">
        <f aca="false">'Uso e Consumo'!C2040</f>
        <v>54375</v>
      </c>
      <c r="E2040" s="34" t="str">
        <f aca="false">'Uso e Consumo'!D2040</f>
        <v>23.05.0126</v>
      </c>
      <c r="F2040" s="34" t="str">
        <f aca="false">'Uso e Consumo'!E2040</f>
        <v>ARRUELA DE PRESSÃO M18 GALVANIZADA</v>
      </c>
      <c r="G2040" s="34" t="str">
        <f aca="false">'Uso e Consumo'!J2040</f>
        <v>UN</v>
      </c>
      <c r="H2040" s="49" t="n">
        <f aca="false">'Uso e Consumo'!F2040</f>
        <v>32</v>
      </c>
      <c r="I2040" s="35" t="n">
        <f aca="false">'Uso e Consumo'!G2040</f>
        <v>129.92</v>
      </c>
      <c r="J2040" s="34" t="str">
        <f aca="false">'Uso e Consumo'!M2040</f>
        <v>3.8.1.022 - Elementos de fixação</v>
      </c>
      <c r="K2040" s="32" t="str">
        <f aca="false">INDEX('Curva ABC'!$K$8:$K$2847,MATCH(D2040,'Curva ABC'!$B$8:$B$2847,0))</f>
        <v>C</v>
      </c>
    </row>
    <row r="2041" customFormat="false" ht="15" hidden="false" customHeight="false" outlineLevel="0" collapsed="false">
      <c r="A2041" s="34" t="s">
        <v>5799</v>
      </c>
      <c r="B2041" s="34" t="str">
        <f aca="false">'Uso e Consumo'!A2041</f>
        <v>0335</v>
      </c>
      <c r="C2041" s="34" t="str">
        <f aca="false">'Uso e Consumo'!B2041</f>
        <v>UFV NORONHA VERDE - USO E CONSUMO</v>
      </c>
      <c r="D2041" s="33" t="n">
        <f aca="false">'Uso e Consumo'!C2041</f>
        <v>22531</v>
      </c>
      <c r="E2041" s="34" t="str">
        <f aca="false">'Uso e Consumo'!D2041</f>
        <v>17.20.0079</v>
      </c>
      <c r="F2041" s="34" t="str">
        <f aca="false">'Uso e Consumo'!E2041</f>
        <v>CONECTOR PARA HASTE ATERRAMENTO 1/2"</v>
      </c>
      <c r="G2041" s="34" t="str">
        <f aca="false">'Uso e Consumo'!J2041</f>
        <v>UN</v>
      </c>
      <c r="H2041" s="49" t="n">
        <f aca="false">'Uso e Consumo'!F2041</f>
        <v>10</v>
      </c>
      <c r="I2041" s="35" t="n">
        <f aca="false">'Uso e Consumo'!G2041</f>
        <v>129.8</v>
      </c>
      <c r="J2041" s="34" t="str">
        <f aca="false">'Uso e Consumo'!M2041</f>
        <v>3.8.1.017 - Instalações elétricas/telefônicas/lógica</v>
      </c>
      <c r="K2041" s="32" t="str">
        <f aca="false">INDEX('Curva ABC'!$K$8:$K$2847,MATCH(D2041,'Curva ABC'!$B$8:$B$2847,0))</f>
        <v>C</v>
      </c>
    </row>
    <row r="2042" customFormat="false" ht="15" hidden="false" customHeight="false" outlineLevel="0" collapsed="false">
      <c r="A2042" s="34" t="s">
        <v>5799</v>
      </c>
      <c r="B2042" s="34" t="str">
        <f aca="false">'Uso e Consumo'!A2042</f>
        <v>0335</v>
      </c>
      <c r="C2042" s="34" t="str">
        <f aca="false">'Uso e Consumo'!B2042</f>
        <v>UFV NORONHA VERDE - USO E CONSUMO</v>
      </c>
      <c r="D2042" s="33" t="n">
        <f aca="false">'Uso e Consumo'!C2042</f>
        <v>648380</v>
      </c>
      <c r="E2042" s="34" t="str">
        <f aca="false">'Uso e Consumo'!D2042</f>
        <v>17.02.0611</v>
      </c>
      <c r="F2042" s="34" t="str">
        <f aca="false">'Uso e Consumo'!E2042</f>
        <v>CURVA ELETRODUTO PB 25MM B</v>
      </c>
      <c r="G2042" s="34" t="str">
        <f aca="false">'Uso e Consumo'!J2042</f>
        <v>UN</v>
      </c>
      <c r="H2042" s="49" t="n">
        <f aca="false">'Uso e Consumo'!F2042</f>
        <v>10</v>
      </c>
      <c r="I2042" s="35" t="n">
        <f aca="false">'Uso e Consumo'!G2042</f>
        <v>129.8</v>
      </c>
      <c r="J2042" s="34" t="str">
        <f aca="false">'Uso e Consumo'!M2042</f>
        <v>3.8.1.017 - Instalações elétricas/telefônicas/lógica</v>
      </c>
      <c r="K2042" s="32" t="str">
        <f aca="false">INDEX('Curva ABC'!$K$8:$K$2847,MATCH(D2042,'Curva ABC'!$B$8:$B$2847,0))</f>
        <v>C</v>
      </c>
    </row>
    <row r="2043" customFormat="false" ht="15" hidden="false" customHeight="false" outlineLevel="0" collapsed="false">
      <c r="A2043" s="34" t="s">
        <v>5799</v>
      </c>
      <c r="B2043" s="34" t="str">
        <f aca="false">'Uso e Consumo'!A2043</f>
        <v>0335</v>
      </c>
      <c r="C2043" s="34" t="str">
        <f aca="false">'Uso e Consumo'!B2043</f>
        <v>UFV NORONHA VERDE - USO E CONSUMO</v>
      </c>
      <c r="D2043" s="33" t="n">
        <f aca="false">'Uso e Consumo'!C2043</f>
        <v>868794</v>
      </c>
      <c r="E2043" s="34" t="str">
        <f aca="false">'Uso e Consumo'!D2043</f>
        <v>18.01.1307</v>
      </c>
      <c r="F2043" s="34" t="str">
        <f aca="false">'Uso e Consumo'!E2043</f>
        <v>LUVA LISA ROSCA SOLDÁVEL 1.1/2"</v>
      </c>
      <c r="G2043" s="34" t="str">
        <f aca="false">'Uso e Consumo'!J2043</f>
        <v>UN</v>
      </c>
      <c r="H2043" s="49" t="n">
        <f aca="false">'Uso e Consumo'!F2043</f>
        <v>105</v>
      </c>
      <c r="I2043" s="35" t="n">
        <f aca="false">'Uso e Consumo'!G2043</f>
        <v>129.15</v>
      </c>
      <c r="J2043" s="34" t="str">
        <f aca="false">'Uso e Consumo'!M2043</f>
        <v>3.8.1.018 - Instalações hidráulicas/sanitárias/industriais</v>
      </c>
      <c r="K2043" s="32" t="str">
        <f aca="false">INDEX('Curva ABC'!$K$8:$K$2847,MATCH(D2043,'Curva ABC'!$B$8:$B$2847,0))</f>
        <v>C</v>
      </c>
    </row>
    <row r="2044" customFormat="false" ht="15" hidden="false" customHeight="false" outlineLevel="0" collapsed="false">
      <c r="A2044" s="34" t="s">
        <v>5799</v>
      </c>
      <c r="B2044" s="34" t="str">
        <f aca="false">'Uso e Consumo'!A2044</f>
        <v>0335</v>
      </c>
      <c r="C2044" s="34" t="str">
        <f aca="false">'Uso e Consumo'!B2044</f>
        <v>UFV NORONHA VERDE - USO E CONSUMO</v>
      </c>
      <c r="D2044" s="33" t="n">
        <f aca="false">'Uso e Consumo'!C2044</f>
        <v>1016524</v>
      </c>
      <c r="E2044" s="34" t="str">
        <f aca="false">'Uso e Consumo'!D2044</f>
        <v>33.02.2826</v>
      </c>
      <c r="F2044" s="34" t="str">
        <f aca="false">'Uso e Consumo'!E2044</f>
        <v>CANTO LATERAL LE JCB 400/F0343</v>
      </c>
      <c r="G2044" s="34" t="str">
        <f aca="false">'Uso e Consumo'!J2044</f>
        <v>UN</v>
      </c>
      <c r="H2044" s="49" t="n">
        <f aca="false">'Uso e Consumo'!F2044</f>
        <v>1</v>
      </c>
      <c r="I2044" s="35" t="n">
        <f aca="false">'Uso e Consumo'!G2044</f>
        <v>129.06</v>
      </c>
      <c r="J2044" s="34" t="str">
        <f aca="false">'Uso e Consumo'!M2044</f>
        <v>3.1.6.002 - Pneus e peças</v>
      </c>
      <c r="K2044" s="32" t="str">
        <f aca="false">INDEX('Curva ABC'!$K$8:$K$2847,MATCH(D2044,'Curva ABC'!$B$8:$B$2847,0))</f>
        <v>C</v>
      </c>
    </row>
    <row r="2045" customFormat="false" ht="15" hidden="false" customHeight="false" outlineLevel="0" collapsed="false">
      <c r="A2045" s="34" t="s">
        <v>5799</v>
      </c>
      <c r="B2045" s="34" t="str">
        <f aca="false">'Uso e Consumo'!A2045</f>
        <v>0335</v>
      </c>
      <c r="C2045" s="34" t="str">
        <f aca="false">'Uso e Consumo'!B2045</f>
        <v>UFV NORONHA VERDE - USO E CONSUMO</v>
      </c>
      <c r="D2045" s="33" t="n">
        <f aca="false">'Uso e Consumo'!C2045</f>
        <v>19325</v>
      </c>
      <c r="E2045" s="34" t="str">
        <f aca="false">'Uso e Consumo'!D2045</f>
        <v>30.01.0045</v>
      </c>
      <c r="F2045" s="34" t="str">
        <f aca="false">'Uso e Consumo'!E2045</f>
        <v>CAIXA DE CORRESPONDÊNCIA MESA EM ACRÍLICO - TRIPLA MÓVEL</v>
      </c>
      <c r="G2045" s="34" t="str">
        <f aca="false">'Uso e Consumo'!J2045</f>
        <v>UN</v>
      </c>
      <c r="H2045" s="49" t="n">
        <f aca="false">'Uso e Consumo'!F2045</f>
        <v>2</v>
      </c>
      <c r="I2045" s="35" t="n">
        <f aca="false">'Uso e Consumo'!G2045</f>
        <v>128.26</v>
      </c>
      <c r="J2045" s="34" t="str">
        <f aca="false">'Uso e Consumo'!M2045</f>
        <v>4.1.1.002 - Material expediente</v>
      </c>
      <c r="K2045" s="32" t="str">
        <f aca="false">INDEX('Curva ABC'!$K$8:$K$2847,MATCH(D2045,'Curva ABC'!$B$8:$B$2847,0))</f>
        <v>C</v>
      </c>
    </row>
    <row r="2046" customFormat="false" ht="15" hidden="false" customHeight="false" outlineLevel="0" collapsed="false">
      <c r="A2046" s="34" t="s">
        <v>5799</v>
      </c>
      <c r="B2046" s="34" t="str">
        <f aca="false">'Uso e Consumo'!A2046</f>
        <v>0335</v>
      </c>
      <c r="C2046" s="34" t="str">
        <f aca="false">'Uso e Consumo'!B2046</f>
        <v>UFV NORONHA VERDE - USO E CONSUMO</v>
      </c>
      <c r="D2046" s="33" t="n">
        <f aca="false">'Uso e Consumo'!C2046</f>
        <v>60120</v>
      </c>
      <c r="E2046" s="34" t="str">
        <f aca="false">'Uso e Consumo'!D2046</f>
        <v>18.09.0229</v>
      </c>
      <c r="F2046" s="34" t="str">
        <f aca="false">'Uso e Consumo'!E2046</f>
        <v>VALVULA SUCÇAO BRONZE DN 25MM NBR 10283</v>
      </c>
      <c r="G2046" s="34" t="str">
        <f aca="false">'Uso e Consumo'!J2046</f>
        <v>UN</v>
      </c>
      <c r="H2046" s="49" t="n">
        <f aca="false">'Uso e Consumo'!F2046</f>
        <v>1</v>
      </c>
      <c r="I2046" s="35" t="n">
        <f aca="false">'Uso e Consumo'!G2046</f>
        <v>128</v>
      </c>
      <c r="J2046" s="34" t="str">
        <f aca="false">'Uso e Consumo'!M2046</f>
        <v>3.8.1.018 - Instalações hidráulicas/sanitárias/industriais</v>
      </c>
      <c r="K2046" s="32" t="str">
        <f aca="false">INDEX('Curva ABC'!$K$8:$K$2847,MATCH(D2046,'Curva ABC'!$B$8:$B$2847,0))</f>
        <v>C</v>
      </c>
    </row>
    <row r="2047" customFormat="false" ht="15" hidden="false" customHeight="false" outlineLevel="0" collapsed="false">
      <c r="A2047" s="34" t="s">
        <v>5799</v>
      </c>
      <c r="B2047" s="34" t="str">
        <f aca="false">'Uso e Consumo'!A2047</f>
        <v>0335</v>
      </c>
      <c r="C2047" s="34" t="str">
        <f aca="false">'Uso e Consumo'!B2047</f>
        <v>UFV NORONHA VERDE - USO E CONSUMO</v>
      </c>
      <c r="D2047" s="33" t="n">
        <f aca="false">'Uso e Consumo'!C2047</f>
        <v>833456</v>
      </c>
      <c r="E2047" s="34" t="str">
        <f aca="false">'Uso e Consumo'!D2047</f>
        <v>17.13.0008</v>
      </c>
      <c r="F2047" s="34" t="str">
        <f aca="false">'Uso e Consumo'!E2047</f>
        <v>SENSOR DE PRESENÇA PET AMT 800</v>
      </c>
      <c r="G2047" s="34" t="str">
        <f aca="false">'Uso e Consumo'!J2047</f>
        <v>UN</v>
      </c>
      <c r="H2047" s="49" t="n">
        <f aca="false">'Uso e Consumo'!F2047</f>
        <v>1</v>
      </c>
      <c r="I2047" s="35" t="n">
        <f aca="false">'Uso e Consumo'!G2047</f>
        <v>128</v>
      </c>
      <c r="J2047" s="34" t="str">
        <f aca="false">'Uso e Consumo'!M2047</f>
        <v>3.8.1.017 - Instalações elétricas/telefônicas/lógica</v>
      </c>
      <c r="K2047" s="32" t="str">
        <f aca="false">INDEX('Curva ABC'!$K$8:$K$2847,MATCH(D2047,'Curva ABC'!$B$8:$B$2847,0))</f>
        <v>C</v>
      </c>
    </row>
    <row r="2048" customFormat="false" ht="15" hidden="false" customHeight="false" outlineLevel="0" collapsed="false">
      <c r="A2048" s="34" t="s">
        <v>5799</v>
      </c>
      <c r="B2048" s="34" t="str">
        <f aca="false">'Uso e Consumo'!A2048</f>
        <v>0335</v>
      </c>
      <c r="C2048" s="34" t="str">
        <f aca="false">'Uso e Consumo'!B2048</f>
        <v>UFV NORONHA VERDE - USO E CONSUMO</v>
      </c>
      <c r="D2048" s="33" t="n">
        <f aca="false">'Uso e Consumo'!C2048</f>
        <v>1330121</v>
      </c>
      <c r="E2048" s="34" t="str">
        <f aca="false">'Uso e Consumo'!D2048</f>
        <v>32.06.0083</v>
      </c>
      <c r="F2048" s="34" t="str">
        <f aca="false">'Uso e Consumo'!E2048</f>
        <v>JOGO DE BITS PARA PARAFUSADEIRA 31 PEÇAS</v>
      </c>
      <c r="G2048" s="34" t="str">
        <f aca="false">'Uso e Consumo'!J2048</f>
        <v>UN</v>
      </c>
      <c r="H2048" s="49" t="n">
        <f aca="false">'Uso e Consumo'!F2048</f>
        <v>1</v>
      </c>
      <c r="I2048" s="35" t="n">
        <f aca="false">'Uso e Consumo'!G2048</f>
        <v>128</v>
      </c>
      <c r="J2048" s="34" t="str">
        <f aca="false">'Uso e Consumo'!M2048</f>
        <v>6.1.2.001 - Equipamentos</v>
      </c>
      <c r="K2048" s="32" t="str">
        <f aca="false">INDEX('Curva ABC'!$K$8:$K$2847,MATCH(D2048,'Curva ABC'!$B$8:$B$2847,0))</f>
        <v>C</v>
      </c>
    </row>
    <row r="2049" customFormat="false" ht="15" hidden="false" customHeight="false" outlineLevel="0" collapsed="false">
      <c r="A2049" s="34" t="s">
        <v>5799</v>
      </c>
      <c r="B2049" s="34" t="str">
        <f aca="false">'Uso e Consumo'!A2049</f>
        <v>0335</v>
      </c>
      <c r="C2049" s="34" t="str">
        <f aca="false">'Uso e Consumo'!B2049</f>
        <v>UFV NORONHA VERDE - USO E CONSUMO</v>
      </c>
      <c r="D2049" s="33" t="n">
        <f aca="false">'Uso e Consumo'!C2049</f>
        <v>17960</v>
      </c>
      <c r="E2049" s="34" t="str">
        <f aca="false">'Uso e Consumo'!D2049</f>
        <v>24.09.0054</v>
      </c>
      <c r="F2049" s="34" t="str">
        <f aca="false">'Uso e Consumo'!E2049</f>
        <v>CHAVE COMBINADA 8,00MM AÇO CARBONO CROMADO</v>
      </c>
      <c r="G2049" s="34" t="str">
        <f aca="false">'Uso e Consumo'!J2049</f>
        <v>UN</v>
      </c>
      <c r="H2049" s="49" t="n">
        <f aca="false">'Uso e Consumo'!F2049</f>
        <v>5</v>
      </c>
      <c r="I2049" s="35" t="n">
        <f aca="false">'Uso e Consumo'!G2049</f>
        <v>127.78</v>
      </c>
      <c r="J2049" s="34" t="str">
        <f aca="false">'Uso e Consumo'!M2049</f>
        <v>3.8.2.002 - Ferramentas manuais</v>
      </c>
      <c r="K2049" s="32" t="str">
        <f aca="false">INDEX('Curva ABC'!$K$8:$K$2847,MATCH(D2049,'Curva ABC'!$B$8:$B$2847,0))</f>
        <v>C</v>
      </c>
    </row>
    <row r="2050" customFormat="false" ht="15" hidden="false" customHeight="false" outlineLevel="0" collapsed="false">
      <c r="A2050" s="34" t="s">
        <v>5799</v>
      </c>
      <c r="B2050" s="34" t="str">
        <f aca="false">'Uso e Consumo'!A2050</f>
        <v>0335</v>
      </c>
      <c r="C2050" s="34" t="str">
        <f aca="false">'Uso e Consumo'!B2050</f>
        <v>UFV NORONHA VERDE - USO E CONSUMO</v>
      </c>
      <c r="D2050" s="33" t="n">
        <f aca="false">'Uso e Consumo'!C2050</f>
        <v>1613486</v>
      </c>
      <c r="E2050" s="34" t="str">
        <f aca="false">'Uso e Consumo'!D2050</f>
        <v>17.10.0439</v>
      </c>
      <c r="F2050" s="34" t="str">
        <f aca="false">'Uso e Consumo'!E2050</f>
        <v>INTERRUPTOR DIFERENCIAL RESIDUAL BIPOLAR, CORRENTE NOMINAL DE 20A, CORRENTE DIFERENCIAL RESIDUAL DE 30MA</v>
      </c>
      <c r="G2050" s="34" t="str">
        <f aca="false">'Uso e Consumo'!J2050</f>
        <v>UN</v>
      </c>
      <c r="H2050" s="49" t="n">
        <f aca="false">'Uso e Consumo'!F2050</f>
        <v>1</v>
      </c>
      <c r="I2050" s="35" t="n">
        <f aca="false">'Uso e Consumo'!G2050</f>
        <v>125.48</v>
      </c>
      <c r="J2050" s="34" t="str">
        <f aca="false">'Uso e Consumo'!M2050</f>
        <v>3.8.1.017 - Instalações elétricas/telefônicas/lógica</v>
      </c>
      <c r="K2050" s="32" t="str">
        <f aca="false">INDEX('Curva ABC'!$K$8:$K$2847,MATCH(D2050,'Curva ABC'!$B$8:$B$2847,0))</f>
        <v>C</v>
      </c>
    </row>
    <row r="2051" customFormat="false" ht="15" hidden="false" customHeight="false" outlineLevel="0" collapsed="false">
      <c r="A2051" s="34" t="s">
        <v>5799</v>
      </c>
      <c r="B2051" s="34" t="str">
        <f aca="false">'Uso e Consumo'!A2051</f>
        <v>0335</v>
      </c>
      <c r="C2051" s="34" t="str">
        <f aca="false">'Uso e Consumo'!B2051</f>
        <v>UFV NORONHA VERDE - USO E CONSUMO</v>
      </c>
      <c r="D2051" s="33" t="n">
        <f aca="false">'Uso e Consumo'!C2051</f>
        <v>1614921</v>
      </c>
      <c r="E2051" s="34" t="str">
        <f aca="false">'Uso e Consumo'!D2051</f>
        <v>17.10.0441</v>
      </c>
      <c r="F2051" s="34" t="str">
        <f aca="false">'Uso e Consumo'!E2051</f>
        <v>INTERRUPTOR DIFERENCIAL RESIDUAL 2P 25A 30MA</v>
      </c>
      <c r="G2051" s="34" t="str">
        <f aca="false">'Uso e Consumo'!J2051</f>
        <v>UN</v>
      </c>
      <c r="H2051" s="49" t="n">
        <f aca="false">'Uso e Consumo'!F2051</f>
        <v>1</v>
      </c>
      <c r="I2051" s="35" t="n">
        <f aca="false">'Uso e Consumo'!G2051</f>
        <v>125.48</v>
      </c>
      <c r="J2051" s="34" t="str">
        <f aca="false">'Uso e Consumo'!M2051</f>
        <v>3.8.1.017 - Instalações elétricas/telefônicas/lógica</v>
      </c>
      <c r="K2051" s="32" t="str">
        <f aca="false">INDEX('Curva ABC'!$K$8:$K$2847,MATCH(D2051,'Curva ABC'!$B$8:$B$2847,0))</f>
        <v>C</v>
      </c>
    </row>
    <row r="2052" customFormat="false" ht="15" hidden="false" customHeight="false" outlineLevel="0" collapsed="false">
      <c r="A2052" s="34" t="s">
        <v>5799</v>
      </c>
      <c r="B2052" s="34" t="str">
        <f aca="false">'Uso e Consumo'!A2052</f>
        <v>0335</v>
      </c>
      <c r="C2052" s="34" t="str">
        <f aca="false">'Uso e Consumo'!B2052</f>
        <v>UFV NORONHA VERDE - USO E CONSUMO</v>
      </c>
      <c r="D2052" s="33" t="n">
        <f aca="false">'Uso e Consumo'!C2052</f>
        <v>139797</v>
      </c>
      <c r="E2052" s="34" t="str">
        <f aca="false">'Uso e Consumo'!D2052</f>
        <v>17.12.0337</v>
      </c>
      <c r="F2052" s="34" t="str">
        <f aca="false">'Uso e Consumo'!E2052</f>
        <v>PLUG MACHO 2P+T 20A </v>
      </c>
      <c r="G2052" s="34" t="str">
        <f aca="false">'Uso e Consumo'!J2052</f>
        <v>UN</v>
      </c>
      <c r="H2052" s="49" t="n">
        <f aca="false">'Uso e Consumo'!F2052</f>
        <v>21</v>
      </c>
      <c r="I2052" s="35" t="n">
        <f aca="false">'Uso e Consumo'!G2052</f>
        <v>125.18</v>
      </c>
      <c r="J2052" s="34" t="str">
        <f aca="false">'Uso e Consumo'!M2052</f>
        <v>3.8.1.017 - Instalações elétricas/telefônicas/lógica</v>
      </c>
      <c r="K2052" s="32" t="str">
        <f aca="false">INDEX('Curva ABC'!$K$8:$K$2847,MATCH(D2052,'Curva ABC'!$B$8:$B$2847,0))</f>
        <v>C</v>
      </c>
    </row>
    <row r="2053" customFormat="false" ht="15" hidden="false" customHeight="false" outlineLevel="0" collapsed="false">
      <c r="A2053" s="34" t="s">
        <v>5799</v>
      </c>
      <c r="B2053" s="34" t="str">
        <f aca="false">'Uso e Consumo'!A2053</f>
        <v>0335</v>
      </c>
      <c r="C2053" s="34" t="str">
        <f aca="false">'Uso e Consumo'!B2053</f>
        <v>UFV NORONHA VERDE - USO E CONSUMO</v>
      </c>
      <c r="D2053" s="33" t="n">
        <f aca="false">'Uso e Consumo'!C2053</f>
        <v>389935</v>
      </c>
      <c r="E2053" s="34" t="str">
        <f aca="false">'Uso e Consumo'!D2053</f>
        <v>27.01.0355</v>
      </c>
      <c r="F2053" s="34" t="str">
        <f aca="false">'Uso e Consumo'!E2053</f>
        <v>COLIRIO ACUFRESH FRASCO</v>
      </c>
      <c r="G2053" s="34" t="str">
        <f aca="false">'Uso e Consumo'!J2053</f>
        <v>UN</v>
      </c>
      <c r="H2053" s="49" t="n">
        <f aca="false">'Uso e Consumo'!F2053</f>
        <v>5</v>
      </c>
      <c r="I2053" s="35" t="n">
        <f aca="false">'Uso e Consumo'!G2053</f>
        <v>125</v>
      </c>
      <c r="J2053" s="34" t="str">
        <f aca="false">'Uso e Consumo'!M2053</f>
        <v>4.3.4.006 - Medicamentos e primeiro socorros</v>
      </c>
      <c r="K2053" s="32" t="str">
        <f aca="false">INDEX('Curva ABC'!$K$8:$K$2847,MATCH(D2053,'Curva ABC'!$B$8:$B$2847,0))</f>
        <v>C</v>
      </c>
    </row>
    <row r="2054" customFormat="false" ht="15" hidden="false" customHeight="false" outlineLevel="0" collapsed="false">
      <c r="A2054" s="34" t="s">
        <v>5799</v>
      </c>
      <c r="B2054" s="34" t="str">
        <f aca="false">'Uso e Consumo'!A2054</f>
        <v>0335</v>
      </c>
      <c r="C2054" s="34" t="str">
        <f aca="false">'Uso e Consumo'!B2054</f>
        <v>UFV NORONHA VERDE - USO E CONSUMO</v>
      </c>
      <c r="D2054" s="33" t="n">
        <f aca="false">'Uso e Consumo'!C2054</f>
        <v>1063855</v>
      </c>
      <c r="E2054" s="34" t="str">
        <f aca="false">'Uso e Consumo'!D2054</f>
        <v>26.02.0208</v>
      </c>
      <c r="F2054" s="34" t="str">
        <f aca="false">'Uso e Consumo'!E2054</f>
        <v>BOTA BOTINA NOBUCK MARLUVAS 50B26 PALM ANTIPERFURO COMPOSITE TAM 36</v>
      </c>
      <c r="G2054" s="34" t="str">
        <f aca="false">'Uso e Consumo'!J2054</f>
        <v>UN</v>
      </c>
      <c r="H2054" s="49" t="n">
        <f aca="false">'Uso e Consumo'!F2054</f>
        <v>1</v>
      </c>
      <c r="I2054" s="35" t="n">
        <f aca="false">'Uso e Consumo'!G2054</f>
        <v>125</v>
      </c>
      <c r="J2054" s="34" t="str">
        <f aca="false">'Uso e Consumo'!M2054</f>
        <v>4.3.4.001 - Equipamento de proteção individual</v>
      </c>
      <c r="K2054" s="32" t="str">
        <f aca="false">INDEX('Curva ABC'!$K$8:$K$2847,MATCH(D2054,'Curva ABC'!$B$8:$B$2847,0))</f>
        <v>C</v>
      </c>
    </row>
    <row r="2055" customFormat="false" ht="15" hidden="false" customHeight="false" outlineLevel="0" collapsed="false">
      <c r="A2055" s="34" t="s">
        <v>5799</v>
      </c>
      <c r="B2055" s="34" t="str">
        <f aca="false">'Uso e Consumo'!A2055</f>
        <v>0335</v>
      </c>
      <c r="C2055" s="34" t="str">
        <f aca="false">'Uso e Consumo'!B2055</f>
        <v>UFV NORONHA VERDE - USO E CONSUMO</v>
      </c>
      <c r="D2055" s="33" t="n">
        <f aca="false">'Uso e Consumo'!C2055</f>
        <v>1063863</v>
      </c>
      <c r="E2055" s="34" t="str">
        <f aca="false">'Uso e Consumo'!D2055</f>
        <v>26.02.0216</v>
      </c>
      <c r="F2055" s="34" t="str">
        <f aca="false">'Uso e Consumo'!E2055</f>
        <v>BOTA BOTINA NOBUCK MARLUVAS 50B26 PALM ANTIPERFURO COMPOSITE TAM 44</v>
      </c>
      <c r="G2055" s="34" t="str">
        <f aca="false">'Uso e Consumo'!J2055</f>
        <v>UN</v>
      </c>
      <c r="H2055" s="49" t="n">
        <f aca="false">'Uso e Consumo'!F2055</f>
        <v>1</v>
      </c>
      <c r="I2055" s="35" t="n">
        <f aca="false">'Uso e Consumo'!G2055</f>
        <v>125</v>
      </c>
      <c r="J2055" s="34" t="str">
        <f aca="false">'Uso e Consumo'!M2055</f>
        <v>4.3.4.001 - Equipamento de proteção individual</v>
      </c>
      <c r="K2055" s="32" t="str">
        <f aca="false">INDEX('Curva ABC'!$K$8:$K$2847,MATCH(D2055,'Curva ABC'!$B$8:$B$2847,0))</f>
        <v>C</v>
      </c>
    </row>
    <row r="2056" customFormat="false" ht="15" hidden="false" customHeight="false" outlineLevel="0" collapsed="false">
      <c r="A2056" s="34" t="s">
        <v>5799</v>
      </c>
      <c r="B2056" s="34" t="str">
        <f aca="false">'Uso e Consumo'!A2056</f>
        <v>0335</v>
      </c>
      <c r="C2056" s="34" t="str">
        <f aca="false">'Uso e Consumo'!B2056</f>
        <v>UFV NORONHA VERDE - USO E CONSUMO</v>
      </c>
      <c r="D2056" s="33" t="n">
        <f aca="false">'Uso e Consumo'!C2056</f>
        <v>1388904</v>
      </c>
      <c r="E2056" s="34" t="str">
        <f aca="false">'Uso e Consumo'!D2056</f>
        <v>17.19.0070</v>
      </c>
      <c r="F2056" s="34" t="str">
        <f aca="false">'Uso e Consumo'!E2056</f>
        <v>FITA ISOLANTE VERDE 0,15 X 19MM X 10M</v>
      </c>
      <c r="G2056" s="34" t="str">
        <f aca="false">'Uso e Consumo'!J2056</f>
        <v>UN</v>
      </c>
      <c r="H2056" s="49" t="n">
        <f aca="false">'Uso e Consumo'!F2056</f>
        <v>40</v>
      </c>
      <c r="I2056" s="35" t="n">
        <f aca="false">'Uso e Consumo'!G2056</f>
        <v>124</v>
      </c>
      <c r="J2056" s="34" t="str">
        <f aca="false">'Uso e Consumo'!M2056</f>
        <v>3.8.1.017 - Instalações elétricas/telefônicas/lógica</v>
      </c>
      <c r="K2056" s="32" t="str">
        <f aca="false">INDEX('Curva ABC'!$K$8:$K$2847,MATCH(D2056,'Curva ABC'!$B$8:$B$2847,0))</f>
        <v>C</v>
      </c>
    </row>
    <row r="2057" customFormat="false" ht="15" hidden="false" customHeight="false" outlineLevel="0" collapsed="false">
      <c r="A2057" s="34" t="s">
        <v>5799</v>
      </c>
      <c r="B2057" s="34" t="str">
        <f aca="false">'Uso e Consumo'!A2057</f>
        <v>0335</v>
      </c>
      <c r="C2057" s="34" t="str">
        <f aca="false">'Uso e Consumo'!B2057</f>
        <v>UFV NORONHA VERDE - USO E CONSUMO</v>
      </c>
      <c r="D2057" s="33" t="n">
        <f aca="false">'Uso e Consumo'!C2057</f>
        <v>1613485</v>
      </c>
      <c r="E2057" s="34" t="str">
        <f aca="false">'Uso e Consumo'!D2057</f>
        <v>17.10.0438</v>
      </c>
      <c r="F2057" s="34" t="str">
        <f aca="false">'Uso e Consumo'!E2057</f>
        <v>INTERRUPTOR DIFERENCIAL RESIDUAL BIPOLAR, CORRENTE NOMINAL DE 32A, CORRENTE DIFERENCIAL RESIDUAL DE 30MA</v>
      </c>
      <c r="G2057" s="34" t="str">
        <f aca="false">'Uso e Consumo'!J2057</f>
        <v>UN</v>
      </c>
      <c r="H2057" s="49" t="n">
        <f aca="false">'Uso e Consumo'!F2057</f>
        <v>1</v>
      </c>
      <c r="I2057" s="35" t="n">
        <f aca="false">'Uso e Consumo'!G2057</f>
        <v>123.48</v>
      </c>
      <c r="J2057" s="34" t="str">
        <f aca="false">'Uso e Consumo'!M2057</f>
        <v>3.8.1.017 - Instalações elétricas/telefônicas/lógica</v>
      </c>
      <c r="K2057" s="32" t="str">
        <f aca="false">INDEX('Curva ABC'!$K$8:$K$2847,MATCH(D2057,'Curva ABC'!$B$8:$B$2847,0))</f>
        <v>C</v>
      </c>
    </row>
    <row r="2058" customFormat="false" ht="15" hidden="false" customHeight="false" outlineLevel="0" collapsed="false">
      <c r="A2058" s="34" t="s">
        <v>5799</v>
      </c>
      <c r="B2058" s="34" t="str">
        <f aca="false">'Uso e Consumo'!A2058</f>
        <v>0335</v>
      </c>
      <c r="C2058" s="34" t="str">
        <f aca="false">'Uso e Consumo'!B2058</f>
        <v>UFV NORONHA VERDE - USO E CONSUMO</v>
      </c>
      <c r="D2058" s="33" t="n">
        <f aca="false">'Uso e Consumo'!C2058</f>
        <v>60288</v>
      </c>
      <c r="E2058" s="34" t="str">
        <f aca="false">'Uso e Consumo'!D2058</f>
        <v>17.20.0208</v>
      </c>
      <c r="F2058" s="34" t="str">
        <f aca="false">'Uso e Consumo'!E2058</f>
        <v>HASTE COBRE PARA ATERRAMENTO, MED.: 1/2” X 1,70MTS</v>
      </c>
      <c r="G2058" s="34" t="str">
        <f aca="false">'Uso e Consumo'!J2058</f>
        <v>UN</v>
      </c>
      <c r="H2058" s="49" t="n">
        <f aca="false">'Uso e Consumo'!F2058</f>
        <v>4</v>
      </c>
      <c r="I2058" s="35" t="n">
        <f aca="false">'Uso e Consumo'!G2058</f>
        <v>122.84</v>
      </c>
      <c r="J2058" s="34" t="str">
        <f aca="false">'Uso e Consumo'!M2058</f>
        <v>3.8.1.017 - Instalações elétricas/telefônicas/lógica</v>
      </c>
      <c r="K2058" s="32" t="str">
        <f aca="false">INDEX('Curva ABC'!$K$8:$K$2847,MATCH(D2058,'Curva ABC'!$B$8:$B$2847,0))</f>
        <v>C</v>
      </c>
    </row>
    <row r="2059" customFormat="false" ht="15" hidden="false" customHeight="false" outlineLevel="0" collapsed="false">
      <c r="A2059" s="34" t="s">
        <v>5799</v>
      </c>
      <c r="B2059" s="34" t="str">
        <f aca="false">'Uso e Consumo'!A2059</f>
        <v>0335</v>
      </c>
      <c r="C2059" s="34" t="str">
        <f aca="false">'Uso e Consumo'!B2059</f>
        <v>UFV NORONHA VERDE - USO E CONSUMO</v>
      </c>
      <c r="D2059" s="33" t="n">
        <f aca="false">'Uso e Consumo'!C2059</f>
        <v>1257680</v>
      </c>
      <c r="E2059" s="34" t="str">
        <f aca="false">'Uso e Consumo'!D2059</f>
        <v>01.09.0352</v>
      </c>
      <c r="F2059" s="34" t="str">
        <f aca="false">'Uso e Consumo'!E2059</f>
        <v>CANTONEIRA DE ABAS IGUAIS 1/8” X 2” 6000</v>
      </c>
      <c r="G2059" s="34" t="str">
        <f aca="false">'Uso e Consumo'!J2059</f>
        <v>UN</v>
      </c>
      <c r="H2059" s="49" t="n">
        <f aca="false">'Uso e Consumo'!F2059</f>
        <v>8</v>
      </c>
      <c r="I2059" s="35" t="n">
        <f aca="false">'Uso e Consumo'!G2059</f>
        <v>122.7</v>
      </c>
      <c r="J2059" s="34" t="str">
        <f aca="false">'Uso e Consumo'!M2059</f>
        <v>3.8.1.001 - Aços e trefilados</v>
      </c>
      <c r="K2059" s="32" t="str">
        <f aca="false">INDEX('Curva ABC'!$K$8:$K$2847,MATCH(D2059,'Curva ABC'!$B$8:$B$2847,0))</f>
        <v>C</v>
      </c>
    </row>
    <row r="2060" customFormat="false" ht="15" hidden="false" customHeight="false" outlineLevel="0" collapsed="false">
      <c r="A2060" s="34" t="s">
        <v>5799</v>
      </c>
      <c r="B2060" s="34" t="str">
        <f aca="false">'Uso e Consumo'!A2060</f>
        <v>0335</v>
      </c>
      <c r="C2060" s="34" t="str">
        <f aca="false">'Uso e Consumo'!B2060</f>
        <v>UFV NORONHA VERDE - USO E CONSUMO</v>
      </c>
      <c r="D2060" s="33" t="n">
        <f aca="false">'Uso e Consumo'!C2060</f>
        <v>1330355</v>
      </c>
      <c r="E2060" s="34" t="str">
        <f aca="false">'Uso e Consumo'!D2060</f>
        <v>18.01.1583</v>
      </c>
      <c r="F2060" s="34" t="str">
        <f aca="false">'Uso e Consumo'!E2060</f>
        <v>BUCHA DE REDUÇÃO SOLDÁVEL  50 X 20 MM EM PVC </v>
      </c>
      <c r="G2060" s="34" t="str">
        <f aca="false">'Uso e Consumo'!J2060</f>
        <v>UN</v>
      </c>
      <c r="H2060" s="49" t="n">
        <f aca="false">'Uso e Consumo'!F2060</f>
        <v>16</v>
      </c>
      <c r="I2060" s="35" t="n">
        <f aca="false">'Uso e Consumo'!G2060</f>
        <v>120.64</v>
      </c>
      <c r="J2060" s="34" t="str">
        <f aca="false">'Uso e Consumo'!M2060</f>
        <v>3.8.1.018 - Instalações hidráulicas/sanitárias/industriais</v>
      </c>
      <c r="K2060" s="32" t="str">
        <f aca="false">INDEX('Curva ABC'!$K$8:$K$2847,MATCH(D2060,'Curva ABC'!$B$8:$B$2847,0))</f>
        <v>C</v>
      </c>
    </row>
    <row r="2061" customFormat="false" ht="15" hidden="false" customHeight="false" outlineLevel="0" collapsed="false">
      <c r="A2061" s="34" t="s">
        <v>5799</v>
      </c>
      <c r="B2061" s="34" t="str">
        <f aca="false">'Uso e Consumo'!A2061</f>
        <v>0335</v>
      </c>
      <c r="C2061" s="34" t="str">
        <f aca="false">'Uso e Consumo'!B2061</f>
        <v>UFV NORONHA VERDE - USO E CONSUMO</v>
      </c>
      <c r="D2061" s="33" t="n">
        <f aca="false">'Uso e Consumo'!C2061</f>
        <v>31919</v>
      </c>
      <c r="E2061" s="34" t="str">
        <f aca="false">'Uso e Consumo'!D2061</f>
        <v>33.02.0346</v>
      </c>
      <c r="F2061" s="34" t="str">
        <f aca="false">'Uso e Consumo'!E2061</f>
        <v>DISCO</v>
      </c>
      <c r="G2061" s="34" t="str">
        <f aca="false">'Uso e Consumo'!J2061</f>
        <v>UN</v>
      </c>
      <c r="H2061" s="49" t="n">
        <f aca="false">'Uso e Consumo'!F2061</f>
        <v>20</v>
      </c>
      <c r="I2061" s="35" t="n">
        <f aca="false">'Uso e Consumo'!G2061</f>
        <v>120</v>
      </c>
      <c r="J2061" s="34" t="str">
        <f aca="false">'Uso e Consumo'!M2061</f>
        <v>3.1.6.002 - Pneus e peças</v>
      </c>
      <c r="K2061" s="32" t="str">
        <f aca="false">INDEX('Curva ABC'!$K$8:$K$2847,MATCH(D2061,'Curva ABC'!$B$8:$B$2847,0))</f>
        <v>C</v>
      </c>
    </row>
    <row r="2062" customFormat="false" ht="15" hidden="false" customHeight="false" outlineLevel="0" collapsed="false">
      <c r="A2062" s="34" t="s">
        <v>5799</v>
      </c>
      <c r="B2062" s="34" t="str">
        <f aca="false">'Uso e Consumo'!A2062</f>
        <v>0335</v>
      </c>
      <c r="C2062" s="34" t="str">
        <f aca="false">'Uso e Consumo'!B2062</f>
        <v>UFV NORONHA VERDE - USO E CONSUMO</v>
      </c>
      <c r="D2062" s="33" t="n">
        <f aca="false">'Uso e Consumo'!C2062</f>
        <v>550762</v>
      </c>
      <c r="E2062" s="34" t="str">
        <f aca="false">'Uso e Consumo'!D2062</f>
        <v>23.05.0207</v>
      </c>
      <c r="F2062" s="34" t="str">
        <f aca="false">'Uso e Consumo'!E2062</f>
        <v>ARRUELA LISA GALVANIZADA/INOX 3/8”</v>
      </c>
      <c r="G2062" s="34" t="str">
        <f aca="false">'Uso e Consumo'!J2062</f>
        <v>UN</v>
      </c>
      <c r="H2062" s="49" t="n">
        <f aca="false">'Uso e Consumo'!F2062</f>
        <v>240</v>
      </c>
      <c r="I2062" s="35" t="n">
        <f aca="false">'Uso e Consumo'!G2062</f>
        <v>120</v>
      </c>
      <c r="J2062" s="34" t="str">
        <f aca="false">'Uso e Consumo'!M2062</f>
        <v>3.8.1.022 - Elementos de fixação</v>
      </c>
      <c r="K2062" s="32" t="str">
        <f aca="false">INDEX('Curva ABC'!$K$8:$K$2847,MATCH(D2062,'Curva ABC'!$B$8:$B$2847,0))</f>
        <v>C</v>
      </c>
    </row>
    <row r="2063" customFormat="false" ht="15" hidden="false" customHeight="false" outlineLevel="0" collapsed="false">
      <c r="A2063" s="34" t="s">
        <v>5799</v>
      </c>
      <c r="B2063" s="34" t="str">
        <f aca="false">'Uso e Consumo'!A2063</f>
        <v>0335</v>
      </c>
      <c r="C2063" s="34" t="str">
        <f aca="false">'Uso e Consumo'!B2063</f>
        <v>UFV NORONHA VERDE - USO E CONSUMO</v>
      </c>
      <c r="D2063" s="33" t="n">
        <f aca="false">'Uso e Consumo'!C2063</f>
        <v>1607236</v>
      </c>
      <c r="E2063" s="34" t="str">
        <f aca="false">'Uso e Consumo'!D2063</f>
        <v>34.02.1347</v>
      </c>
      <c r="F2063" s="34" t="str">
        <f aca="false">'Uso e Consumo'!E2063</f>
        <v>UNIAO PRESTOLOK 10MM</v>
      </c>
      <c r="G2063" s="34" t="str">
        <f aca="false">'Uso e Consumo'!J2063</f>
        <v>UN</v>
      </c>
      <c r="H2063" s="49" t="n">
        <f aca="false">'Uso e Consumo'!F2063</f>
        <v>10</v>
      </c>
      <c r="I2063" s="35" t="n">
        <f aca="false">'Uso e Consumo'!G2063</f>
        <v>120</v>
      </c>
      <c r="J2063" s="34" t="str">
        <f aca="false">'Uso e Consumo'!M2063</f>
        <v>3.1.6.002 - Pneus e peças</v>
      </c>
      <c r="K2063" s="32" t="str">
        <f aca="false">INDEX('Curva ABC'!$K$8:$K$2847,MATCH(D2063,'Curva ABC'!$B$8:$B$2847,0))</f>
        <v>C</v>
      </c>
    </row>
    <row r="2064" customFormat="false" ht="15" hidden="false" customHeight="false" outlineLevel="0" collapsed="false">
      <c r="A2064" s="34" t="s">
        <v>5799</v>
      </c>
      <c r="B2064" s="34" t="str">
        <f aca="false">'Uso e Consumo'!A2064</f>
        <v>0335</v>
      </c>
      <c r="C2064" s="34" t="str">
        <f aca="false">'Uso e Consumo'!B2064</f>
        <v>UFV NORONHA VERDE - USO E CONSUMO</v>
      </c>
      <c r="D2064" s="33" t="n">
        <f aca="false">'Uso e Consumo'!C2064</f>
        <v>1073873</v>
      </c>
      <c r="E2064" s="34" t="str">
        <f aca="false">'Uso e Consumo'!D2064</f>
        <v>18.01.1384</v>
      </c>
      <c r="F2064" s="34" t="str">
        <f aca="false">'Uso e Consumo'!E2064</f>
        <v>LUVA SOLD 60 MM TIGRE</v>
      </c>
      <c r="G2064" s="34" t="str">
        <f aca="false">'Uso e Consumo'!J2064</f>
        <v>pç</v>
      </c>
      <c r="H2064" s="49" t="n">
        <f aca="false">'Uso e Consumo'!F2064</f>
        <v>4</v>
      </c>
      <c r="I2064" s="35" t="n">
        <f aca="false">'Uso e Consumo'!G2064</f>
        <v>119.92</v>
      </c>
      <c r="J2064" s="34" t="str">
        <f aca="false">'Uso e Consumo'!M2064</f>
        <v>3.8.1.018 - Instalações hidráulicas/sanitárias/industriais</v>
      </c>
      <c r="K2064" s="32" t="str">
        <f aca="false">INDEX('Curva ABC'!$K$8:$K$2847,MATCH(D2064,'Curva ABC'!$B$8:$B$2847,0))</f>
        <v>C</v>
      </c>
    </row>
    <row r="2065" customFormat="false" ht="15" hidden="false" customHeight="false" outlineLevel="0" collapsed="false">
      <c r="A2065" s="34" t="s">
        <v>5799</v>
      </c>
      <c r="B2065" s="34" t="str">
        <f aca="false">'Uso e Consumo'!A2065</f>
        <v>0335</v>
      </c>
      <c r="C2065" s="34" t="str">
        <f aca="false">'Uso e Consumo'!B2065</f>
        <v>UFV NORONHA VERDE - USO E CONSUMO</v>
      </c>
      <c r="D2065" s="33" t="n">
        <f aca="false">'Uso e Consumo'!C2065</f>
        <v>1599737</v>
      </c>
      <c r="E2065" s="34" t="str">
        <f aca="false">'Uso e Consumo'!D2065</f>
        <v>18.09.0397</v>
      </c>
      <c r="F2065" s="34" t="str">
        <f aca="false">'Uso e Consumo'!E2065</f>
        <v>LUVA SOLDÁVEL COM ROSCA EM PVC 50 MM X 1 1/2"</v>
      </c>
      <c r="G2065" s="34" t="str">
        <f aca="false">'Uso e Consumo'!J2065</f>
        <v>UN</v>
      </c>
      <c r="H2065" s="49" t="n">
        <f aca="false">'Uso e Consumo'!F2065</f>
        <v>4</v>
      </c>
      <c r="I2065" s="35" t="n">
        <f aca="false">'Uso e Consumo'!G2065</f>
        <v>119.92</v>
      </c>
      <c r="J2065" s="34" t="str">
        <f aca="false">'Uso e Consumo'!M2065</f>
        <v>3.8.1.018 - Instalações hidráulicas/sanitárias/industriais</v>
      </c>
      <c r="K2065" s="32" t="str">
        <f aca="false">INDEX('Curva ABC'!$K$8:$K$2847,MATCH(D2065,'Curva ABC'!$B$8:$B$2847,0))</f>
        <v>C</v>
      </c>
    </row>
    <row r="2066" customFormat="false" ht="15" hidden="false" customHeight="false" outlineLevel="0" collapsed="false">
      <c r="A2066" s="34" t="s">
        <v>5799</v>
      </c>
      <c r="B2066" s="34" t="str">
        <f aca="false">'Uso e Consumo'!A2066</f>
        <v>0335</v>
      </c>
      <c r="C2066" s="34" t="str">
        <f aca="false">'Uso e Consumo'!B2066</f>
        <v>UFV NORONHA VERDE - USO E CONSUMO</v>
      </c>
      <c r="D2066" s="33" t="n">
        <f aca="false">'Uso e Consumo'!C2066</f>
        <v>138299</v>
      </c>
      <c r="E2066" s="34" t="str">
        <f aca="false">'Uso e Consumo'!D2066</f>
        <v>33.02.1114</v>
      </c>
      <c r="F2066" s="34" t="str">
        <f aca="false">'Uso e Consumo'!E2066</f>
        <v>ABRAÇADEIRA INOX REF: 5164</v>
      </c>
      <c r="G2066" s="34" t="str">
        <f aca="false">'Uso e Consumo'!J2066</f>
        <v>UN</v>
      </c>
      <c r="H2066" s="49" t="n">
        <f aca="false">'Uso e Consumo'!F2066</f>
        <v>6</v>
      </c>
      <c r="I2066" s="35" t="n">
        <f aca="false">'Uso e Consumo'!G2066</f>
        <v>119.88</v>
      </c>
      <c r="J2066" s="34" t="str">
        <f aca="false">'Uso e Consumo'!M2066</f>
        <v>3.1.6.002 - Pneus e peças</v>
      </c>
      <c r="K2066" s="32" t="str">
        <f aca="false">INDEX('Curva ABC'!$K$8:$K$2847,MATCH(D2066,'Curva ABC'!$B$8:$B$2847,0))</f>
        <v>C</v>
      </c>
    </row>
    <row r="2067" customFormat="false" ht="15" hidden="false" customHeight="false" outlineLevel="0" collapsed="false">
      <c r="A2067" s="34" t="s">
        <v>5799</v>
      </c>
      <c r="B2067" s="34" t="str">
        <f aca="false">'Uso e Consumo'!A2067</f>
        <v>0335</v>
      </c>
      <c r="C2067" s="34" t="str">
        <f aca="false">'Uso e Consumo'!B2067</f>
        <v>UFV NORONHA VERDE - USO E CONSUMO</v>
      </c>
      <c r="D2067" s="33" t="n">
        <f aca="false">'Uso e Consumo'!C2067</f>
        <v>1101156</v>
      </c>
      <c r="E2067" s="34" t="str">
        <f aca="false">'Uso e Consumo'!D2067</f>
        <v>18.01.1400</v>
      </c>
      <c r="F2067" s="34" t="str">
        <f aca="false">'Uso e Consumo'!E2067</f>
        <v>ANEL DE VEDAÇÃO PARA CONEXÃO SÉRIE N, 100MM</v>
      </c>
      <c r="G2067" s="34" t="str">
        <f aca="false">'Uso e Consumo'!J2067</f>
        <v>UN</v>
      </c>
      <c r="H2067" s="49" t="n">
        <f aca="false">'Uso e Consumo'!F2067</f>
        <v>15</v>
      </c>
      <c r="I2067" s="35" t="n">
        <f aca="false">'Uso e Consumo'!G2067</f>
        <v>119.7</v>
      </c>
      <c r="J2067" s="34" t="str">
        <f aca="false">'Uso e Consumo'!M2067</f>
        <v>3.8.1.018 - Instalações hidráulicas/sanitárias/industriais</v>
      </c>
      <c r="K2067" s="32" t="str">
        <f aca="false">INDEX('Curva ABC'!$K$8:$K$2847,MATCH(D2067,'Curva ABC'!$B$8:$B$2847,0))</f>
        <v>C</v>
      </c>
    </row>
    <row r="2068" customFormat="false" ht="15" hidden="false" customHeight="false" outlineLevel="0" collapsed="false">
      <c r="A2068" s="34" t="s">
        <v>5799</v>
      </c>
      <c r="B2068" s="34" t="str">
        <f aca="false">'Uso e Consumo'!A2068</f>
        <v>0335</v>
      </c>
      <c r="C2068" s="34" t="str">
        <f aca="false">'Uso e Consumo'!B2068</f>
        <v>UFV NORONHA VERDE - USO E CONSUMO</v>
      </c>
      <c r="D2068" s="33" t="n">
        <f aca="false">'Uso e Consumo'!C2068</f>
        <v>1605945</v>
      </c>
      <c r="E2068" s="34" t="str">
        <f aca="false">'Uso e Consumo'!D2068</f>
        <v>17.22.0155</v>
      </c>
      <c r="F2068" s="34" t="str">
        <f aca="false">'Uso e Consumo'!E2068</f>
        <v>CINTA POSTE CIRCULAR 350</v>
      </c>
      <c r="G2068" s="34" t="str">
        <f aca="false">'Uso e Consumo'!J2068</f>
        <v>UN</v>
      </c>
      <c r="H2068" s="49" t="n">
        <f aca="false">'Uso e Consumo'!F2068</f>
        <v>1</v>
      </c>
      <c r="I2068" s="35" t="n">
        <f aca="false">'Uso e Consumo'!G2068</f>
        <v>119.51</v>
      </c>
      <c r="J2068" s="34" t="str">
        <f aca="false">'Uso e Consumo'!M2068</f>
        <v>3.8.1.017 - Instalações elétricas/telefônicas/lógica</v>
      </c>
      <c r="K2068" s="32" t="str">
        <f aca="false">INDEX('Curva ABC'!$K$8:$K$2847,MATCH(D2068,'Curva ABC'!$B$8:$B$2847,0))</f>
        <v>C</v>
      </c>
    </row>
    <row r="2069" customFormat="false" ht="15" hidden="false" customHeight="false" outlineLevel="0" collapsed="false">
      <c r="A2069" s="34" t="s">
        <v>5799</v>
      </c>
      <c r="B2069" s="34" t="str">
        <f aca="false">'Uso e Consumo'!A2069</f>
        <v>0335</v>
      </c>
      <c r="C2069" s="34" t="str">
        <f aca="false">'Uso e Consumo'!B2069</f>
        <v>UFV NORONHA VERDE - USO E CONSUMO</v>
      </c>
      <c r="D2069" s="33" t="n">
        <f aca="false">'Uso e Consumo'!C2069</f>
        <v>54081</v>
      </c>
      <c r="E2069" s="34" t="str">
        <f aca="false">'Uso e Consumo'!D2069</f>
        <v>26.02.0062</v>
      </c>
      <c r="F2069" s="34" t="str">
        <f aca="false">'Uso e Consumo'!E2069</f>
        <v>BOTINA NOBUCK C/ CADARÇO E BIQUEIRA - COR MARROM - N° 37 - 90WBPB1400 (CA-28108/13808/26706/26710)</v>
      </c>
      <c r="G2069" s="34" t="str">
        <f aca="false">'Uso e Consumo'!J2069</f>
        <v>PAR</v>
      </c>
      <c r="H2069" s="49" t="n">
        <f aca="false">'Uso e Consumo'!F2069</f>
        <v>1</v>
      </c>
      <c r="I2069" s="35" t="n">
        <f aca="false">'Uso e Consumo'!G2069</f>
        <v>119.5</v>
      </c>
      <c r="J2069" s="34" t="str">
        <f aca="false">'Uso e Consumo'!M2069</f>
        <v>4.3.4.001 - Equipamento de proteção individual</v>
      </c>
      <c r="K2069" s="32" t="str">
        <f aca="false">INDEX('Curva ABC'!$K$8:$K$2847,MATCH(D2069,'Curva ABC'!$B$8:$B$2847,0))</f>
        <v>C</v>
      </c>
    </row>
    <row r="2070" customFormat="false" ht="15" hidden="false" customHeight="false" outlineLevel="0" collapsed="false">
      <c r="A2070" s="34" t="s">
        <v>5799</v>
      </c>
      <c r="B2070" s="34" t="str">
        <f aca="false">'Uso e Consumo'!A2070</f>
        <v>0335</v>
      </c>
      <c r="C2070" s="34" t="str">
        <f aca="false">'Uso e Consumo'!B2070</f>
        <v>UFV NORONHA VERDE - USO E CONSUMO</v>
      </c>
      <c r="D2070" s="33" t="n">
        <f aca="false">'Uso e Consumo'!C2070</f>
        <v>55559</v>
      </c>
      <c r="E2070" s="34" t="str">
        <f aca="false">'Uso e Consumo'!D2070</f>
        <v>26.02.0075</v>
      </c>
      <c r="F2070" s="34" t="str">
        <f aca="false">'Uso e Consumo'!E2070</f>
        <v>BOTINA NOBUCK C/ CADARÇO E BIQUEIRA - COR MARROM -  Nº 36 - 90HXPN400 (CA-28108/13808/26706/26710)</v>
      </c>
      <c r="G2070" s="34" t="str">
        <f aca="false">'Uso e Consumo'!J2070</f>
        <v>PAR</v>
      </c>
      <c r="H2070" s="49" t="n">
        <f aca="false">'Uso e Consumo'!F2070</f>
        <v>1</v>
      </c>
      <c r="I2070" s="35" t="n">
        <f aca="false">'Uso e Consumo'!G2070</f>
        <v>119.5</v>
      </c>
      <c r="J2070" s="34" t="str">
        <f aca="false">'Uso e Consumo'!M2070</f>
        <v>4.3.4.001 - Equipamento de proteção individual</v>
      </c>
      <c r="K2070" s="32" t="str">
        <f aca="false">INDEX('Curva ABC'!$K$8:$K$2847,MATCH(D2070,'Curva ABC'!$B$8:$B$2847,0))</f>
        <v>C</v>
      </c>
    </row>
    <row r="2071" customFormat="false" ht="15" hidden="false" customHeight="false" outlineLevel="0" collapsed="false">
      <c r="A2071" s="34" t="s">
        <v>5799</v>
      </c>
      <c r="B2071" s="34" t="str">
        <f aca="false">'Uso e Consumo'!A2071</f>
        <v>0335</v>
      </c>
      <c r="C2071" s="34" t="str">
        <f aca="false">'Uso e Consumo'!B2071</f>
        <v>UFV NORONHA VERDE - USO E CONSUMO</v>
      </c>
      <c r="D2071" s="33" t="n">
        <f aca="false">'Uso e Consumo'!C2071</f>
        <v>1657130</v>
      </c>
      <c r="E2071" s="34" t="str">
        <f aca="false">'Uso e Consumo'!D2071</f>
        <v>23.05.0306</v>
      </c>
      <c r="F2071" s="34" t="str">
        <f aca="false">'Uso e Consumo'!E2071</f>
        <v>ARRUELA DE PRESSAO DE ACO GALVANIZADA A FOGO, BITOLA 3/8"</v>
      </c>
      <c r="G2071" s="34" t="str">
        <f aca="false">'Uso e Consumo'!J2071</f>
        <v>UN</v>
      </c>
      <c r="H2071" s="49" t="n">
        <f aca="false">'Uso e Consumo'!F2071</f>
        <v>108</v>
      </c>
      <c r="I2071" s="35" t="n">
        <f aca="false">'Uso e Consumo'!G2071</f>
        <v>118.8</v>
      </c>
      <c r="J2071" s="34" t="str">
        <f aca="false">'Uso e Consumo'!M2071</f>
        <v>3.8.1.022 - Elementos de fixação</v>
      </c>
      <c r="K2071" s="32" t="str">
        <f aca="false">INDEX('Curva ABC'!$K$8:$K$2847,MATCH(D2071,'Curva ABC'!$B$8:$B$2847,0))</f>
        <v>C</v>
      </c>
    </row>
    <row r="2072" customFormat="false" ht="15" hidden="false" customHeight="false" outlineLevel="0" collapsed="false">
      <c r="A2072" s="34" t="s">
        <v>5799</v>
      </c>
      <c r="B2072" s="34" t="str">
        <f aca="false">'Uso e Consumo'!A2072</f>
        <v>0335</v>
      </c>
      <c r="C2072" s="34" t="str">
        <f aca="false">'Uso e Consumo'!B2072</f>
        <v>UFV NORONHA VERDE - USO E CONSUMO</v>
      </c>
      <c r="D2072" s="33" t="n">
        <f aca="false">'Uso e Consumo'!C2072</f>
        <v>145568</v>
      </c>
      <c r="E2072" s="34" t="str">
        <f aca="false">'Uso e Consumo'!D2072</f>
        <v>25.03.0267</v>
      </c>
      <c r="F2072" s="34" t="str">
        <f aca="false">'Uso e Consumo'!E2072</f>
        <v>BROCA CONCRETO 18MM</v>
      </c>
      <c r="G2072" s="34" t="str">
        <f aca="false">'Uso e Consumo'!J2072</f>
        <v>UN</v>
      </c>
      <c r="H2072" s="49" t="n">
        <f aca="false">'Uso e Consumo'!F2072</f>
        <v>4</v>
      </c>
      <c r="I2072" s="35" t="n">
        <f aca="false">'Uso e Consumo'!G2072</f>
        <v>118.4</v>
      </c>
      <c r="J2072" s="34" t="str">
        <f aca="false">'Uso e Consumo'!M2072</f>
        <v>3.8.2.004 - Consumíveis para corte, perfuração e desbaste</v>
      </c>
      <c r="K2072" s="32" t="str">
        <f aca="false">INDEX('Curva ABC'!$K$8:$K$2847,MATCH(D2072,'Curva ABC'!$B$8:$B$2847,0))</f>
        <v>C</v>
      </c>
    </row>
    <row r="2073" customFormat="false" ht="15" hidden="false" customHeight="false" outlineLevel="0" collapsed="false">
      <c r="A2073" s="34" t="s">
        <v>5799</v>
      </c>
      <c r="B2073" s="34" t="str">
        <f aca="false">'Uso e Consumo'!A2073</f>
        <v>0335</v>
      </c>
      <c r="C2073" s="34" t="str">
        <f aca="false">'Uso e Consumo'!B2073</f>
        <v>UFV NORONHA VERDE - USO E CONSUMO</v>
      </c>
      <c r="D2073" s="33" t="n">
        <f aca="false">'Uso e Consumo'!C2073</f>
        <v>1670498</v>
      </c>
      <c r="E2073" s="34" t="str">
        <f aca="false">'Uso e Consumo'!D2073</f>
        <v>19.01.0068</v>
      </c>
      <c r="F2073" s="34" t="str">
        <f aca="false">'Uso e Consumo'!E2073</f>
        <v>ANEL DE VEDACAO COM GUIA PARA BACIA SANITARIA</v>
      </c>
      <c r="G2073" s="34" t="str">
        <f aca="false">'Uso e Consumo'!J2073</f>
        <v>UN</v>
      </c>
      <c r="H2073" s="49" t="n">
        <f aca="false">'Uso e Consumo'!F2073</f>
        <v>11</v>
      </c>
      <c r="I2073" s="35" t="n">
        <f aca="false">'Uso e Consumo'!G2073</f>
        <v>118.14</v>
      </c>
      <c r="J2073" s="34" t="str">
        <f aca="false">'Uso e Consumo'!M2073</f>
        <v>3.8.1.018 - Instalações hidráulicas/sanitárias/industriais</v>
      </c>
      <c r="K2073" s="32" t="str">
        <f aca="false">INDEX('Curva ABC'!$K$8:$K$2847,MATCH(D2073,'Curva ABC'!$B$8:$B$2847,0))</f>
        <v>C</v>
      </c>
    </row>
    <row r="2074" customFormat="false" ht="15" hidden="false" customHeight="false" outlineLevel="0" collapsed="false">
      <c r="A2074" s="34" t="s">
        <v>5799</v>
      </c>
      <c r="B2074" s="34" t="str">
        <f aca="false">'Uso e Consumo'!A2074</f>
        <v>0335</v>
      </c>
      <c r="C2074" s="34" t="str">
        <f aca="false">'Uso e Consumo'!B2074</f>
        <v>UFV NORONHA VERDE - USO E CONSUMO</v>
      </c>
      <c r="D2074" s="33" t="n">
        <f aca="false">'Uso e Consumo'!C2074</f>
        <v>19952</v>
      </c>
      <c r="E2074" s="34" t="str">
        <f aca="false">'Uso e Consumo'!D2074</f>
        <v>32.07.0027</v>
      </c>
      <c r="F2074" s="34" t="str">
        <f aca="false">'Uso e Consumo'!E2074</f>
        <v>PORTA ELETRODO 400A</v>
      </c>
      <c r="G2074" s="34" t="str">
        <f aca="false">'Uso e Consumo'!J2074</f>
        <v>UN</v>
      </c>
      <c r="H2074" s="49" t="n">
        <f aca="false">'Uso e Consumo'!F2074</f>
        <v>1</v>
      </c>
      <c r="I2074" s="35" t="n">
        <f aca="false">'Uso e Consumo'!G2074</f>
        <v>118</v>
      </c>
      <c r="J2074" s="34" t="str">
        <f aca="false">'Uso e Consumo'!M2074</f>
        <v>6.1.2.001 - Equipamentos</v>
      </c>
      <c r="K2074" s="32" t="str">
        <f aca="false">INDEX('Curva ABC'!$K$8:$K$2847,MATCH(D2074,'Curva ABC'!$B$8:$B$2847,0))</f>
        <v>C</v>
      </c>
    </row>
    <row r="2075" customFormat="false" ht="15" hidden="false" customHeight="false" outlineLevel="0" collapsed="false">
      <c r="A2075" s="34" t="s">
        <v>5799</v>
      </c>
      <c r="B2075" s="34" t="str">
        <f aca="false">'Uso e Consumo'!A2075</f>
        <v>0335</v>
      </c>
      <c r="C2075" s="34" t="str">
        <f aca="false">'Uso e Consumo'!B2075</f>
        <v>UFV NORONHA VERDE - USO E CONSUMO</v>
      </c>
      <c r="D2075" s="33" t="n">
        <f aca="false">'Uso e Consumo'!C2075</f>
        <v>55070</v>
      </c>
      <c r="E2075" s="34" t="str">
        <f aca="false">'Uso e Consumo'!D2075</f>
        <v>17.10.0201</v>
      </c>
      <c r="F2075" s="34" t="str">
        <f aca="false">'Uso e Consumo'!E2075</f>
        <v>DISJUNTOR MONOFÁSICO 70A – 127/220V NBR 60898</v>
      </c>
      <c r="G2075" s="34" t="str">
        <f aca="false">'Uso e Consumo'!J2075</f>
        <v>UN</v>
      </c>
      <c r="H2075" s="49" t="n">
        <f aca="false">'Uso e Consumo'!F2075</f>
        <v>1</v>
      </c>
      <c r="I2075" s="35" t="n">
        <f aca="false">'Uso e Consumo'!G2075</f>
        <v>118</v>
      </c>
      <c r="J2075" s="34" t="str">
        <f aca="false">'Uso e Consumo'!M2075</f>
        <v>3.8.1.017 - Instalações elétricas/telefônicas/lógica</v>
      </c>
      <c r="K2075" s="32" t="str">
        <f aca="false">INDEX('Curva ABC'!$K$8:$K$2847,MATCH(D2075,'Curva ABC'!$B$8:$B$2847,0))</f>
        <v>C</v>
      </c>
    </row>
    <row r="2076" customFormat="false" ht="15" hidden="false" customHeight="false" outlineLevel="0" collapsed="false">
      <c r="A2076" s="34" t="s">
        <v>5799</v>
      </c>
      <c r="B2076" s="34" t="str">
        <f aca="false">'Uso e Consumo'!A2076</f>
        <v>0335</v>
      </c>
      <c r="C2076" s="34" t="str">
        <f aca="false">'Uso e Consumo'!B2076</f>
        <v>UFV NORONHA VERDE - USO E CONSUMO</v>
      </c>
      <c r="D2076" s="33" t="n">
        <f aca="false">'Uso e Consumo'!C2076</f>
        <v>56667</v>
      </c>
      <c r="E2076" s="34" t="str">
        <f aca="false">'Uso e Consumo'!D2076</f>
        <v>18.01.0892</v>
      </c>
      <c r="F2076" s="34" t="str">
        <f aca="false">'Uso e Consumo'!E2076</f>
        <v>CURVA  100MM - DEFOFO</v>
      </c>
      <c r="G2076" s="34" t="str">
        <f aca="false">'Uso e Consumo'!J2076</f>
        <v>UN</v>
      </c>
      <c r="H2076" s="49" t="n">
        <f aca="false">'Uso e Consumo'!F2076</f>
        <v>1</v>
      </c>
      <c r="I2076" s="35" t="n">
        <f aca="false">'Uso e Consumo'!G2076</f>
        <v>118</v>
      </c>
      <c r="J2076" s="34" t="str">
        <f aca="false">'Uso e Consumo'!M2076</f>
        <v>3.8.1.018 - Instalações hidráulicas/sanitárias/industriais</v>
      </c>
      <c r="K2076" s="32" t="str">
        <f aca="false">INDEX('Curva ABC'!$K$8:$K$2847,MATCH(D2076,'Curva ABC'!$B$8:$B$2847,0))</f>
        <v>C</v>
      </c>
    </row>
    <row r="2077" customFormat="false" ht="15" hidden="false" customHeight="false" outlineLevel="0" collapsed="false">
      <c r="A2077" s="34" t="s">
        <v>5799</v>
      </c>
      <c r="B2077" s="34" t="str">
        <f aca="false">'Uso e Consumo'!A2077</f>
        <v>0335</v>
      </c>
      <c r="C2077" s="34" t="str">
        <f aca="false">'Uso e Consumo'!B2077</f>
        <v>UFV NORONHA VERDE - USO E CONSUMO</v>
      </c>
      <c r="D2077" s="33" t="n">
        <f aca="false">'Uso e Consumo'!C2077</f>
        <v>278771</v>
      </c>
      <c r="E2077" s="34" t="str">
        <f aca="false">'Uso e Consumo'!D2077</f>
        <v>05.02.0014</v>
      </c>
      <c r="F2077" s="34" t="str">
        <f aca="false">'Uso e Consumo'!E2077</f>
        <v>CAL DE PINTURA </v>
      </c>
      <c r="G2077" s="34" t="str">
        <f aca="false">'Uso e Consumo'!J2077</f>
        <v>SC5</v>
      </c>
      <c r="H2077" s="49" t="n">
        <f aca="false">'Uso e Consumo'!F2077</f>
        <v>1</v>
      </c>
      <c r="I2077" s="35" t="n">
        <f aca="false">'Uso e Consumo'!G2077</f>
        <v>118</v>
      </c>
      <c r="J2077" s="34" t="str">
        <f aca="false">'Uso e Consumo'!M2077</f>
        <v>3.8.1.016 - Pinturas</v>
      </c>
      <c r="K2077" s="32" t="str">
        <f aca="false">INDEX('Curva ABC'!$K$8:$K$2847,MATCH(D2077,'Curva ABC'!$B$8:$B$2847,0))</f>
        <v>C</v>
      </c>
    </row>
    <row r="2078" customFormat="false" ht="15" hidden="false" customHeight="false" outlineLevel="0" collapsed="false">
      <c r="A2078" s="34" t="s">
        <v>5799</v>
      </c>
      <c r="B2078" s="34" t="str">
        <f aca="false">'Uso e Consumo'!A2078</f>
        <v>0335</v>
      </c>
      <c r="C2078" s="34" t="str">
        <f aca="false">'Uso e Consumo'!B2078</f>
        <v>UFV NORONHA VERDE - USO E CONSUMO</v>
      </c>
      <c r="D2078" s="33" t="n">
        <f aca="false">'Uso e Consumo'!C2078</f>
        <v>294880</v>
      </c>
      <c r="E2078" s="34" t="str">
        <f aca="false">'Uso e Consumo'!D2078</f>
        <v>26.05.0050</v>
      </c>
      <c r="F2078" s="34" t="str">
        <f aca="false">'Uso e Consumo'!E2078</f>
        <v>MÁSCARA RESPIRAATORIA SEMI-FACIAL 01 FILTRO (CA-39427)</v>
      </c>
      <c r="G2078" s="34" t="str">
        <f aca="false">'Uso e Consumo'!J2078</f>
        <v>UN</v>
      </c>
      <c r="H2078" s="49" t="n">
        <f aca="false">'Uso e Consumo'!F2078</f>
        <v>1</v>
      </c>
      <c r="I2078" s="35" t="n">
        <f aca="false">'Uso e Consumo'!G2078</f>
        <v>118</v>
      </c>
      <c r="J2078" s="34" t="str">
        <f aca="false">'Uso e Consumo'!M2078</f>
        <v>4.3.4.001 - Equipamento de proteção individual</v>
      </c>
      <c r="K2078" s="32" t="str">
        <f aca="false">INDEX('Curva ABC'!$K$8:$K$2847,MATCH(D2078,'Curva ABC'!$B$8:$B$2847,0))</f>
        <v>C</v>
      </c>
    </row>
    <row r="2079" customFormat="false" ht="15" hidden="false" customHeight="false" outlineLevel="0" collapsed="false">
      <c r="A2079" s="34" t="s">
        <v>5799</v>
      </c>
      <c r="B2079" s="34" t="str">
        <f aca="false">'Uso e Consumo'!A2079</f>
        <v>0335</v>
      </c>
      <c r="C2079" s="34" t="str">
        <f aca="false">'Uso e Consumo'!B2079</f>
        <v>UFV NORONHA VERDE - USO E CONSUMO</v>
      </c>
      <c r="D2079" s="33" t="n">
        <f aca="false">'Uso e Consumo'!C2079</f>
        <v>23269</v>
      </c>
      <c r="E2079" s="34" t="str">
        <f aca="false">'Uso e Consumo'!D2079</f>
        <v>16.05.0081</v>
      </c>
      <c r="F2079" s="34" t="str">
        <f aca="false">'Uso e Consumo'!E2079</f>
        <v>TRINCHA 1.1/2</v>
      </c>
      <c r="G2079" s="34" t="str">
        <f aca="false">'Uso e Consumo'!J2079</f>
        <v>UN</v>
      </c>
      <c r="H2079" s="49" t="n">
        <f aca="false">'Uso e Consumo'!F2079</f>
        <v>31</v>
      </c>
      <c r="I2079" s="35" t="n">
        <f aca="false">'Uso e Consumo'!G2079</f>
        <v>117.18</v>
      </c>
      <c r="J2079" s="34" t="str">
        <f aca="false">'Uso e Consumo'!M2079</f>
        <v>3.8.1.016 - Pinturas</v>
      </c>
      <c r="K2079" s="32" t="str">
        <f aca="false">INDEX('Curva ABC'!$K$8:$K$2847,MATCH(D2079,'Curva ABC'!$B$8:$B$2847,0))</f>
        <v>C</v>
      </c>
    </row>
    <row r="2080" customFormat="false" ht="15" hidden="false" customHeight="false" outlineLevel="0" collapsed="false">
      <c r="A2080" s="34" t="s">
        <v>5799</v>
      </c>
      <c r="B2080" s="34" t="str">
        <f aca="false">'Uso e Consumo'!A2080</f>
        <v>0335</v>
      </c>
      <c r="C2080" s="34" t="str">
        <f aca="false">'Uso e Consumo'!B2080</f>
        <v>UFV NORONHA VERDE - USO E CONSUMO</v>
      </c>
      <c r="D2080" s="33" t="n">
        <f aca="false">'Uso e Consumo'!C2080</f>
        <v>17954</v>
      </c>
      <c r="E2080" s="34" t="str">
        <f aca="false">'Uso e Consumo'!D2080</f>
        <v>24.09.0048</v>
      </c>
      <c r="F2080" s="34" t="str">
        <f aca="false">'Uso e Consumo'!E2080</f>
        <v>CHAVE COMBINADA 36,00MM AÇO CARBONO CROMADO</v>
      </c>
      <c r="G2080" s="34" t="str">
        <f aca="false">'Uso e Consumo'!J2080</f>
        <v>UN</v>
      </c>
      <c r="H2080" s="49" t="n">
        <f aca="false">'Uso e Consumo'!F2080</f>
        <v>1</v>
      </c>
      <c r="I2080" s="35" t="n">
        <f aca="false">'Uso e Consumo'!G2080</f>
        <v>117</v>
      </c>
      <c r="J2080" s="34" t="str">
        <f aca="false">'Uso e Consumo'!M2080</f>
        <v>3.8.2.002 - Ferramentas manuais</v>
      </c>
      <c r="K2080" s="32" t="str">
        <f aca="false">INDEX('Curva ABC'!$K$8:$K$2847,MATCH(D2080,'Curva ABC'!$B$8:$B$2847,0))</f>
        <v>C</v>
      </c>
    </row>
    <row r="2081" customFormat="false" ht="15" hidden="false" customHeight="false" outlineLevel="0" collapsed="false">
      <c r="A2081" s="34" t="s">
        <v>5799</v>
      </c>
      <c r="B2081" s="34" t="str">
        <f aca="false">'Uso e Consumo'!A2081</f>
        <v>0335</v>
      </c>
      <c r="C2081" s="34" t="str">
        <f aca="false">'Uso e Consumo'!B2081</f>
        <v>UFV NORONHA VERDE - USO E CONSUMO</v>
      </c>
      <c r="D2081" s="33" t="n">
        <f aca="false">'Uso e Consumo'!C2081</f>
        <v>556794</v>
      </c>
      <c r="E2081" s="34" t="str">
        <f aca="false">'Uso e Consumo'!D2081</f>
        <v>24.09.0499</v>
      </c>
      <c r="F2081" s="34" t="str">
        <f aca="false">'Uso e Consumo'!E2081</f>
        <v>CHAVE COMBINADA 10 MM</v>
      </c>
      <c r="G2081" s="34" t="str">
        <f aca="false">'Uso e Consumo'!J2081</f>
        <v>UN</v>
      </c>
      <c r="H2081" s="49" t="n">
        <f aca="false">'Uso e Consumo'!F2081</f>
        <v>6</v>
      </c>
      <c r="I2081" s="35" t="n">
        <f aca="false">'Uso e Consumo'!G2081</f>
        <v>116.76</v>
      </c>
      <c r="J2081" s="34" t="str">
        <f aca="false">'Uso e Consumo'!M2081</f>
        <v>3.8.2.002 - Ferramentas manuais</v>
      </c>
      <c r="K2081" s="32" t="str">
        <f aca="false">INDEX('Curva ABC'!$K$8:$K$2847,MATCH(D2081,'Curva ABC'!$B$8:$B$2847,0))</f>
        <v>C</v>
      </c>
    </row>
    <row r="2082" customFormat="false" ht="15" hidden="false" customHeight="false" outlineLevel="0" collapsed="false">
      <c r="A2082" s="34" t="s">
        <v>5799</v>
      </c>
      <c r="B2082" s="34" t="str">
        <f aca="false">'Uso e Consumo'!A2082</f>
        <v>0335</v>
      </c>
      <c r="C2082" s="34" t="str">
        <f aca="false">'Uso e Consumo'!B2082</f>
        <v>UFV NORONHA VERDE - USO E CONSUMO</v>
      </c>
      <c r="D2082" s="33" t="n">
        <f aca="false">'Uso e Consumo'!C2082</f>
        <v>348078</v>
      </c>
      <c r="E2082" s="34" t="str">
        <f aca="false">'Uso e Consumo'!D2082</f>
        <v>17.12.0385</v>
      </c>
      <c r="F2082" s="34" t="str">
        <f aca="false">'Uso e Consumo'!E2082</f>
        <v>PLUG MACHO 2P+T 10A</v>
      </c>
      <c r="G2082" s="34" t="str">
        <f aca="false">'Uso e Consumo'!J2082</f>
        <v>UN</v>
      </c>
      <c r="H2082" s="49" t="n">
        <f aca="false">'Uso e Consumo'!F2082</f>
        <v>22</v>
      </c>
      <c r="I2082" s="35" t="n">
        <f aca="false">'Uso e Consumo'!G2082</f>
        <v>116.4</v>
      </c>
      <c r="J2082" s="34" t="str">
        <f aca="false">'Uso e Consumo'!M2082</f>
        <v>3.8.1.017 - Instalações elétricas/telefônicas/lógica</v>
      </c>
      <c r="K2082" s="32" t="str">
        <f aca="false">INDEX('Curva ABC'!$K$8:$K$2847,MATCH(D2082,'Curva ABC'!$B$8:$B$2847,0))</f>
        <v>C</v>
      </c>
    </row>
    <row r="2083" customFormat="false" ht="15" hidden="false" customHeight="false" outlineLevel="0" collapsed="false">
      <c r="A2083" s="34" t="s">
        <v>5799</v>
      </c>
      <c r="B2083" s="34" t="str">
        <f aca="false">'Uso e Consumo'!A2083</f>
        <v>0335</v>
      </c>
      <c r="C2083" s="34" t="str">
        <f aca="false">'Uso e Consumo'!B2083</f>
        <v>UFV NORONHA VERDE - USO E CONSUMO</v>
      </c>
      <c r="D2083" s="33" t="n">
        <f aca="false">'Uso e Consumo'!C2083</f>
        <v>18737</v>
      </c>
      <c r="E2083" s="34" t="str">
        <f aca="false">'Uso e Consumo'!D2083</f>
        <v>99.00.3105</v>
      </c>
      <c r="F2083" s="34" t="str">
        <f aca="false">'Uso e Consumo'!E2083</f>
        <v>ENGATE RAPIDO FEMEA AÇO INOX 1.1/2" 115PSI ROSCA MACHO NPT C/RETENCAO</v>
      </c>
      <c r="G2083" s="34" t="str">
        <f aca="false">'Uso e Consumo'!J2083</f>
        <v>UN</v>
      </c>
      <c r="H2083" s="49" t="n">
        <f aca="false">'Uso e Consumo'!F2083</f>
        <v>2</v>
      </c>
      <c r="I2083" s="35" t="n">
        <f aca="false">'Uso e Consumo'!G2083</f>
        <v>116</v>
      </c>
      <c r="J2083" s="34" t="str">
        <f aca="false">'Uso e Consumo'!M2083</f>
        <v>3.8.2.006 - Utensílios</v>
      </c>
      <c r="K2083" s="32" t="str">
        <f aca="false">INDEX('Curva ABC'!$K$8:$K$2847,MATCH(D2083,'Curva ABC'!$B$8:$B$2847,0))</f>
        <v>C</v>
      </c>
    </row>
    <row r="2084" customFormat="false" ht="15" hidden="false" customHeight="false" outlineLevel="0" collapsed="false">
      <c r="A2084" s="34" t="s">
        <v>5799</v>
      </c>
      <c r="B2084" s="34" t="str">
        <f aca="false">'Uso e Consumo'!A2084</f>
        <v>0335</v>
      </c>
      <c r="C2084" s="34" t="str">
        <f aca="false">'Uso e Consumo'!B2084</f>
        <v>UFV NORONHA VERDE - USO E CONSUMO</v>
      </c>
      <c r="D2084" s="33" t="n">
        <f aca="false">'Uso e Consumo'!C2084</f>
        <v>19567</v>
      </c>
      <c r="E2084" s="34" t="str">
        <f aca="false">'Uso e Consumo'!D2084</f>
        <v>30.01.0287</v>
      </c>
      <c r="F2084" s="34" t="str">
        <f aca="false">'Uso e Consumo'!E2084</f>
        <v>PASTA ABA ELÁSTICO POLIPROPILENO CRISTAL OFICIO LOMBO 20MM</v>
      </c>
      <c r="G2084" s="34" t="str">
        <f aca="false">'Uso e Consumo'!J2084</f>
        <v>UN</v>
      </c>
      <c r="H2084" s="49" t="n">
        <f aca="false">'Uso e Consumo'!F2084</f>
        <v>40</v>
      </c>
      <c r="I2084" s="35" t="n">
        <f aca="false">'Uso e Consumo'!G2084</f>
        <v>116</v>
      </c>
      <c r="J2084" s="34" t="str">
        <f aca="false">'Uso e Consumo'!M2084</f>
        <v>4.1.1.002 - Material expediente</v>
      </c>
      <c r="K2084" s="32" t="str">
        <f aca="false">INDEX('Curva ABC'!$K$8:$K$2847,MATCH(D2084,'Curva ABC'!$B$8:$B$2847,0))</f>
        <v>C</v>
      </c>
    </row>
    <row r="2085" customFormat="false" ht="15" hidden="false" customHeight="false" outlineLevel="0" collapsed="false">
      <c r="A2085" s="34" t="s">
        <v>5799</v>
      </c>
      <c r="B2085" s="34" t="str">
        <f aca="false">'Uso e Consumo'!A2085</f>
        <v>0335</v>
      </c>
      <c r="C2085" s="34" t="str">
        <f aca="false">'Uso e Consumo'!B2085</f>
        <v>UFV NORONHA VERDE - USO E CONSUMO</v>
      </c>
      <c r="D2085" s="33" t="n">
        <f aca="false">'Uso e Consumo'!C2085</f>
        <v>1012422</v>
      </c>
      <c r="E2085" s="34" t="str">
        <f aca="false">'Uso e Consumo'!D2085</f>
        <v>13.06.0335</v>
      </c>
      <c r="F2085" s="34" t="str">
        <f aca="false">'Uso e Consumo'!E2085</f>
        <v>PUXADOR ESCOVADO EM INOX 40CM</v>
      </c>
      <c r="G2085" s="34" t="str">
        <f aca="false">'Uso e Consumo'!J2085</f>
        <v>UN</v>
      </c>
      <c r="H2085" s="49" t="n">
        <f aca="false">'Uso e Consumo'!F2085</f>
        <v>2</v>
      </c>
      <c r="I2085" s="35" t="n">
        <f aca="false">'Uso e Consumo'!G2085</f>
        <v>116</v>
      </c>
      <c r="J2085" s="34" t="str">
        <f aca="false">'Uso e Consumo'!M2085</f>
        <v>3.8.1.013 - Esquadrias e vidros</v>
      </c>
      <c r="K2085" s="32" t="str">
        <f aca="false">INDEX('Curva ABC'!$K$8:$K$2847,MATCH(D2085,'Curva ABC'!$B$8:$B$2847,0))</f>
        <v>C</v>
      </c>
    </row>
    <row r="2086" customFormat="false" ht="15" hidden="false" customHeight="false" outlineLevel="0" collapsed="false">
      <c r="A2086" s="34" t="s">
        <v>5799</v>
      </c>
      <c r="B2086" s="34" t="str">
        <f aca="false">'Uso e Consumo'!A2086</f>
        <v>0335</v>
      </c>
      <c r="C2086" s="34" t="str">
        <f aca="false">'Uso e Consumo'!B2086</f>
        <v>UFV NORONHA VERDE - USO E CONSUMO</v>
      </c>
      <c r="D2086" s="33" t="n">
        <f aca="false">'Uso e Consumo'!C2086</f>
        <v>1605944</v>
      </c>
      <c r="E2086" s="34" t="str">
        <f aca="false">'Uso e Consumo'!D2086</f>
        <v>17.22.0154</v>
      </c>
      <c r="F2086" s="34" t="str">
        <f aca="false">'Uso e Consumo'!E2086</f>
        <v>CINTA POSTE CIRCULAR 340</v>
      </c>
      <c r="G2086" s="34" t="str">
        <f aca="false">'Uso e Consumo'!J2086</f>
        <v>UN</v>
      </c>
      <c r="H2086" s="49" t="n">
        <f aca="false">'Uso e Consumo'!F2086</f>
        <v>1</v>
      </c>
      <c r="I2086" s="35" t="n">
        <f aca="false">'Uso e Consumo'!G2086</f>
        <v>115.64</v>
      </c>
      <c r="J2086" s="34" t="str">
        <f aca="false">'Uso e Consumo'!M2086</f>
        <v>3.8.1.017 - Instalações elétricas/telefônicas/lógica</v>
      </c>
      <c r="K2086" s="32" t="str">
        <f aca="false">INDEX('Curva ABC'!$K$8:$K$2847,MATCH(D2086,'Curva ABC'!$B$8:$B$2847,0))</f>
        <v>C</v>
      </c>
    </row>
    <row r="2087" customFormat="false" ht="15" hidden="false" customHeight="false" outlineLevel="0" collapsed="false">
      <c r="A2087" s="34" t="s">
        <v>5799</v>
      </c>
      <c r="B2087" s="34" t="str">
        <f aca="false">'Uso e Consumo'!A2087</f>
        <v>0335</v>
      </c>
      <c r="C2087" s="34" t="str">
        <f aca="false">'Uso e Consumo'!B2087</f>
        <v>UFV NORONHA VERDE - USO E CONSUMO</v>
      </c>
      <c r="D2087" s="33" t="n">
        <f aca="false">'Uso e Consumo'!C2087</f>
        <v>1110727</v>
      </c>
      <c r="E2087" s="34" t="str">
        <f aca="false">'Uso e Consumo'!D2087</f>
        <v>17.16.0605</v>
      </c>
      <c r="F2087" s="34" t="str">
        <f aca="false">'Uso e Consumo'!E2087</f>
        <v>TERMINAL TIPO OLHAL 25MM</v>
      </c>
      <c r="G2087" s="34" t="str">
        <f aca="false">'Uso e Consumo'!J2087</f>
        <v>UN</v>
      </c>
      <c r="H2087" s="49" t="n">
        <f aca="false">'Uso e Consumo'!F2087</f>
        <v>40</v>
      </c>
      <c r="I2087" s="35" t="n">
        <f aca="false">'Uso e Consumo'!G2087</f>
        <v>115.6</v>
      </c>
      <c r="J2087" s="34" t="str">
        <f aca="false">'Uso e Consumo'!M2087</f>
        <v>3.8.1.017 - Instalações elétricas/telefônicas/lógica</v>
      </c>
      <c r="K2087" s="32" t="str">
        <f aca="false">INDEX('Curva ABC'!$K$8:$K$2847,MATCH(D2087,'Curva ABC'!$B$8:$B$2847,0))</f>
        <v>C</v>
      </c>
    </row>
    <row r="2088" customFormat="false" ht="15" hidden="false" customHeight="false" outlineLevel="0" collapsed="false">
      <c r="A2088" s="34" t="s">
        <v>5799</v>
      </c>
      <c r="B2088" s="34" t="str">
        <f aca="false">'Uso e Consumo'!A2088</f>
        <v>0335</v>
      </c>
      <c r="C2088" s="34" t="str">
        <f aca="false">'Uso e Consumo'!B2088</f>
        <v>UFV NORONHA VERDE - USO E CONSUMO</v>
      </c>
      <c r="D2088" s="33" t="n">
        <f aca="false">'Uso e Consumo'!C2088</f>
        <v>1312591</v>
      </c>
      <c r="E2088" s="34" t="str">
        <f aca="false">'Uso e Consumo'!D2088</f>
        <v>33.02.3119</v>
      </c>
      <c r="F2088" s="34" t="str">
        <f aca="false">'Uso e Consumo'!E2088</f>
        <v>SEGURANÇA DA CORRENTE 1119-656-7705</v>
      </c>
      <c r="G2088" s="34" t="str">
        <f aca="false">'Uso e Consumo'!J2088</f>
        <v>UN</v>
      </c>
      <c r="H2088" s="49" t="n">
        <f aca="false">'Uso e Consumo'!F2088</f>
        <v>6</v>
      </c>
      <c r="I2088" s="35" t="n">
        <f aca="false">'Uso e Consumo'!G2088</f>
        <v>115.54</v>
      </c>
      <c r="J2088" s="34" t="str">
        <f aca="false">'Uso e Consumo'!M2088</f>
        <v>3.1.6.002 - Pneus e peças</v>
      </c>
      <c r="K2088" s="32" t="str">
        <f aca="false">INDEX('Curva ABC'!$K$8:$K$2847,MATCH(D2088,'Curva ABC'!$B$8:$B$2847,0))</f>
        <v>C</v>
      </c>
    </row>
    <row r="2089" customFormat="false" ht="15" hidden="false" customHeight="false" outlineLevel="0" collapsed="false">
      <c r="A2089" s="34" t="s">
        <v>5799</v>
      </c>
      <c r="B2089" s="34" t="str">
        <f aca="false">'Uso e Consumo'!A2089</f>
        <v>0335</v>
      </c>
      <c r="C2089" s="34" t="str">
        <f aca="false">'Uso e Consumo'!B2089</f>
        <v>UFV NORONHA VERDE - USO E CONSUMO</v>
      </c>
      <c r="D2089" s="33" t="n">
        <f aca="false">'Uso e Consumo'!C2089</f>
        <v>1386216</v>
      </c>
      <c r="E2089" s="34" t="str">
        <f aca="false">'Uso e Consumo'!D2089</f>
        <v>24.08.0148</v>
      </c>
      <c r="F2089" s="34" t="str">
        <f aca="false">'Uso e Consumo'!E2089</f>
        <v>KIT DE 3 ALICATES UNIVERSAL, CORTE E DE BICO 1000V</v>
      </c>
      <c r="G2089" s="34" t="str">
        <f aca="false">'Uso e Consumo'!J2089</f>
        <v>UN</v>
      </c>
      <c r="H2089" s="49" t="n">
        <f aca="false">'Uso e Consumo'!F2089</f>
        <v>1</v>
      </c>
      <c r="I2089" s="35" t="n">
        <f aca="false">'Uso e Consumo'!G2089</f>
        <v>115</v>
      </c>
      <c r="J2089" s="34" t="str">
        <f aca="false">'Uso e Consumo'!M2089</f>
        <v>3.8.2.002 - Ferramentas manuais</v>
      </c>
      <c r="K2089" s="32" t="str">
        <f aca="false">INDEX('Curva ABC'!$K$8:$K$2847,MATCH(D2089,'Curva ABC'!$B$8:$B$2847,0))</f>
        <v>C</v>
      </c>
    </row>
    <row r="2090" customFormat="false" ht="15" hidden="false" customHeight="false" outlineLevel="0" collapsed="false">
      <c r="A2090" s="34" t="s">
        <v>5799</v>
      </c>
      <c r="B2090" s="34" t="str">
        <f aca="false">'Uso e Consumo'!A2090</f>
        <v>0335</v>
      </c>
      <c r="C2090" s="34" t="str">
        <f aca="false">'Uso e Consumo'!B2090</f>
        <v>UFV NORONHA VERDE - USO E CONSUMO</v>
      </c>
      <c r="D2090" s="33" t="n">
        <f aca="false">'Uso e Consumo'!C2090</f>
        <v>554732</v>
      </c>
      <c r="E2090" s="34" t="str">
        <f aca="false">'Uso e Consumo'!D2090</f>
        <v>30.03.0345</v>
      </c>
      <c r="F2090" s="34" t="str">
        <f aca="false">'Uso e Consumo'!E2090</f>
        <v>ALCOOL ISOPROPILICO 1L P/LIMPEZA DE PECAS   NACIONAL</v>
      </c>
      <c r="G2090" s="34" t="str">
        <f aca="false">'Uso e Consumo'!J2090</f>
        <v>UN</v>
      </c>
      <c r="H2090" s="49" t="n">
        <f aca="false">'Uso e Consumo'!F2090</f>
        <v>2</v>
      </c>
      <c r="I2090" s="35" t="n">
        <f aca="false">'Uso e Consumo'!G2090</f>
        <v>114.84</v>
      </c>
      <c r="J2090" s="34" t="str">
        <f aca="false">'Uso e Consumo'!M2090</f>
        <v>4.1.1.003 - Material limpeza</v>
      </c>
      <c r="K2090" s="32" t="str">
        <f aca="false">INDEX('Curva ABC'!$K$8:$K$2847,MATCH(D2090,'Curva ABC'!$B$8:$B$2847,0))</f>
        <v>C</v>
      </c>
    </row>
    <row r="2091" customFormat="false" ht="15" hidden="false" customHeight="false" outlineLevel="0" collapsed="false">
      <c r="A2091" s="34" t="s">
        <v>5799</v>
      </c>
      <c r="B2091" s="34" t="str">
        <f aca="false">'Uso e Consumo'!A2091</f>
        <v>0335</v>
      </c>
      <c r="C2091" s="34" t="str">
        <f aca="false">'Uso e Consumo'!B2091</f>
        <v>UFV NORONHA VERDE - USO E CONSUMO</v>
      </c>
      <c r="D2091" s="33" t="n">
        <f aca="false">'Uso e Consumo'!C2091</f>
        <v>1089795</v>
      </c>
      <c r="E2091" s="34" t="str">
        <f aca="false">'Uso e Consumo'!D2091</f>
        <v>27.01.0483</v>
      </c>
      <c r="F2091" s="34" t="str">
        <f aca="false">'Uso e Consumo'!E2091</f>
        <v>FLORAX ADULTO 100 MG</v>
      </c>
      <c r="G2091" s="34" t="str">
        <f aca="false">'Uso e Consumo'!J2091</f>
        <v>CX</v>
      </c>
      <c r="H2091" s="49" t="n">
        <f aca="false">'Uso e Consumo'!F2091</f>
        <v>2</v>
      </c>
      <c r="I2091" s="35" t="n">
        <f aca="false">'Uso e Consumo'!G2091</f>
        <v>114.1</v>
      </c>
      <c r="J2091" s="34" t="str">
        <f aca="false">'Uso e Consumo'!M2091</f>
        <v>4.3.4.006 - Medicamentos e primeiro socorros</v>
      </c>
      <c r="K2091" s="32" t="str">
        <f aca="false">INDEX('Curva ABC'!$K$8:$K$2847,MATCH(D2091,'Curva ABC'!$B$8:$B$2847,0))</f>
        <v>C</v>
      </c>
    </row>
    <row r="2092" customFormat="false" ht="15" hidden="false" customHeight="false" outlineLevel="0" collapsed="false">
      <c r="A2092" s="34" t="s">
        <v>5799</v>
      </c>
      <c r="B2092" s="34" t="str">
        <f aca="false">'Uso e Consumo'!A2092</f>
        <v>0335</v>
      </c>
      <c r="C2092" s="34" t="str">
        <f aca="false">'Uso e Consumo'!B2092</f>
        <v>UFV NORONHA VERDE - USO E CONSUMO</v>
      </c>
      <c r="D2092" s="33" t="n">
        <f aca="false">'Uso e Consumo'!C2092</f>
        <v>19739</v>
      </c>
      <c r="E2092" s="34" t="str">
        <f aca="false">'Uso e Consumo'!D2092</f>
        <v>30.03.0012</v>
      </c>
      <c r="F2092" s="34" t="str">
        <f aca="false">'Uso e Consumo'!E2092</f>
        <v>BOMBONA PEAD 50,00L TAMPA ROSCADA S/ALCA</v>
      </c>
      <c r="G2092" s="34" t="str">
        <f aca="false">'Uso e Consumo'!J2092</f>
        <v>UN</v>
      </c>
      <c r="H2092" s="49" t="n">
        <f aca="false">'Uso e Consumo'!F2092</f>
        <v>1</v>
      </c>
      <c r="I2092" s="35" t="n">
        <f aca="false">'Uso e Consumo'!G2092</f>
        <v>114</v>
      </c>
      <c r="J2092" s="34" t="str">
        <f aca="false">'Uso e Consumo'!M2092</f>
        <v>4.1.1.003 - Material limpeza</v>
      </c>
      <c r="K2092" s="32" t="str">
        <f aca="false">INDEX('Curva ABC'!$K$8:$K$2847,MATCH(D2092,'Curva ABC'!$B$8:$B$2847,0))</f>
        <v>C</v>
      </c>
    </row>
    <row r="2093" customFormat="false" ht="15" hidden="false" customHeight="false" outlineLevel="0" collapsed="false">
      <c r="A2093" s="34" t="s">
        <v>5799</v>
      </c>
      <c r="B2093" s="34" t="str">
        <f aca="false">'Uso e Consumo'!A2093</f>
        <v>0335</v>
      </c>
      <c r="C2093" s="34" t="str">
        <f aca="false">'Uso e Consumo'!B2093</f>
        <v>UFV NORONHA VERDE - USO E CONSUMO</v>
      </c>
      <c r="D2093" s="33" t="n">
        <f aca="false">'Uso e Consumo'!C2093</f>
        <v>24272</v>
      </c>
      <c r="E2093" s="34" t="str">
        <f aca="false">'Uso e Consumo'!D2093</f>
        <v>30.01.0471</v>
      </c>
      <c r="F2093" s="34" t="str">
        <f aca="false">'Uso e Consumo'!E2093</f>
        <v>COLA LÍQUIDA BRANCA 5,00KG</v>
      </c>
      <c r="G2093" s="34" t="str">
        <f aca="false">'Uso e Consumo'!J2093</f>
        <v>UN</v>
      </c>
      <c r="H2093" s="49" t="n">
        <f aca="false">'Uso e Consumo'!F2093</f>
        <v>3</v>
      </c>
      <c r="I2093" s="35" t="n">
        <f aca="false">'Uso e Consumo'!G2093</f>
        <v>114</v>
      </c>
      <c r="J2093" s="34" t="str">
        <f aca="false">'Uso e Consumo'!M2093</f>
        <v>4.1.1.002 - Material expediente</v>
      </c>
      <c r="K2093" s="32" t="str">
        <f aca="false">INDEX('Curva ABC'!$K$8:$K$2847,MATCH(D2093,'Curva ABC'!$B$8:$B$2847,0))</f>
        <v>C</v>
      </c>
    </row>
    <row r="2094" customFormat="false" ht="15" hidden="false" customHeight="false" outlineLevel="0" collapsed="false">
      <c r="A2094" s="34" t="s">
        <v>5799</v>
      </c>
      <c r="B2094" s="34" t="str">
        <f aca="false">'Uso e Consumo'!A2094</f>
        <v>0335</v>
      </c>
      <c r="C2094" s="34" t="str">
        <f aca="false">'Uso e Consumo'!B2094</f>
        <v>UFV NORONHA VERDE - USO E CONSUMO</v>
      </c>
      <c r="D2094" s="33" t="n">
        <f aca="false">'Uso e Consumo'!C2094</f>
        <v>33876</v>
      </c>
      <c r="E2094" s="34" t="str">
        <f aca="false">'Uso e Consumo'!D2094</f>
        <v>13.06.0058</v>
      </c>
      <c r="F2094" s="34" t="str">
        <f aca="false">'Uso e Consumo'!E2094</f>
        <v>TARJETA ZINCADA 63MM - 2"</v>
      </c>
      <c r="G2094" s="34" t="str">
        <f aca="false">'Uso e Consumo'!J2094</f>
        <v>UN</v>
      </c>
      <c r="H2094" s="49" t="n">
        <f aca="false">'Uso e Consumo'!F2094</f>
        <v>3</v>
      </c>
      <c r="I2094" s="35" t="n">
        <f aca="false">'Uso e Consumo'!G2094</f>
        <v>114</v>
      </c>
      <c r="J2094" s="34" t="str">
        <f aca="false">'Uso e Consumo'!M2094</f>
        <v>3.8.1.013 - Esquadrias e vidros</v>
      </c>
      <c r="K2094" s="32" t="str">
        <f aca="false">INDEX('Curva ABC'!$K$8:$K$2847,MATCH(D2094,'Curva ABC'!$B$8:$B$2847,0))</f>
        <v>C</v>
      </c>
    </row>
    <row r="2095" customFormat="false" ht="15" hidden="false" customHeight="false" outlineLevel="0" collapsed="false">
      <c r="A2095" s="34" t="s">
        <v>5799</v>
      </c>
      <c r="B2095" s="34" t="str">
        <f aca="false">'Uso e Consumo'!A2095</f>
        <v>0335</v>
      </c>
      <c r="C2095" s="34" t="str">
        <f aca="false">'Uso e Consumo'!B2095</f>
        <v>UFV NORONHA VERDE - USO E CONSUMO</v>
      </c>
      <c r="D2095" s="33" t="n">
        <f aca="false">'Uso e Consumo'!C2095</f>
        <v>59820</v>
      </c>
      <c r="E2095" s="34" t="str">
        <f aca="false">'Uso e Consumo'!D2095</f>
        <v>16.03.0205</v>
      </c>
      <c r="F2095" s="34" t="str">
        <f aca="false">'Uso e Consumo'!E2095</f>
        <v>TINTA SPRAY ALTA TEMPERATURA 360ML COR PRETA NBR 11702</v>
      </c>
      <c r="G2095" s="34" t="str">
        <f aca="false">'Uso e Consumo'!J2095</f>
        <v>UN</v>
      </c>
      <c r="H2095" s="49" t="n">
        <f aca="false">'Uso e Consumo'!F2095</f>
        <v>3</v>
      </c>
      <c r="I2095" s="35" t="n">
        <f aca="false">'Uso e Consumo'!G2095</f>
        <v>114</v>
      </c>
      <c r="J2095" s="34" t="str">
        <f aca="false">'Uso e Consumo'!M2095</f>
        <v>3.8.1.016 - Pinturas</v>
      </c>
      <c r="K2095" s="32" t="str">
        <f aca="false">INDEX('Curva ABC'!$K$8:$K$2847,MATCH(D2095,'Curva ABC'!$B$8:$B$2847,0))</f>
        <v>C</v>
      </c>
    </row>
    <row r="2096" customFormat="false" ht="15" hidden="false" customHeight="false" outlineLevel="0" collapsed="false">
      <c r="A2096" s="34" t="s">
        <v>5799</v>
      </c>
      <c r="B2096" s="34" t="str">
        <f aca="false">'Uso e Consumo'!A2096</f>
        <v>0335</v>
      </c>
      <c r="C2096" s="34" t="str">
        <f aca="false">'Uso e Consumo'!B2096</f>
        <v>UFV NORONHA VERDE - USO E CONSUMO</v>
      </c>
      <c r="D2096" s="33" t="n">
        <f aca="false">'Uso e Consumo'!C2096</f>
        <v>870438</v>
      </c>
      <c r="E2096" s="34" t="str">
        <f aca="false">'Uso e Consumo'!D2096</f>
        <v>30.02.0126</v>
      </c>
      <c r="F2096" s="34" t="str">
        <f aca="false">'Uso e Consumo'!E2096</f>
        <v>REFIL DE TINTA EPSON T544120-AL MAGENTA</v>
      </c>
      <c r="G2096" s="34" t="str">
        <f aca="false">'Uso e Consumo'!J2096</f>
        <v>UN</v>
      </c>
      <c r="H2096" s="49" t="n">
        <f aca="false">'Uso e Consumo'!F2096</f>
        <v>2</v>
      </c>
      <c r="I2096" s="35" t="n">
        <f aca="false">'Uso e Consumo'!G2096</f>
        <v>113.22</v>
      </c>
      <c r="J2096" s="34" t="str">
        <f aca="false">'Uso e Consumo'!M2096</f>
        <v>4.1.1.002 - Material expediente</v>
      </c>
      <c r="K2096" s="32" t="str">
        <f aca="false">INDEX('Curva ABC'!$K$8:$K$2847,MATCH(D2096,'Curva ABC'!$B$8:$B$2847,0))</f>
        <v>C</v>
      </c>
    </row>
    <row r="2097" customFormat="false" ht="15" hidden="false" customHeight="false" outlineLevel="0" collapsed="false">
      <c r="A2097" s="34" t="s">
        <v>5799</v>
      </c>
      <c r="B2097" s="34" t="str">
        <f aca="false">'Uso e Consumo'!A2097</f>
        <v>0335</v>
      </c>
      <c r="C2097" s="34" t="str">
        <f aca="false">'Uso e Consumo'!B2097</f>
        <v>UFV NORONHA VERDE - USO E CONSUMO</v>
      </c>
      <c r="D2097" s="33" t="n">
        <f aca="false">'Uso e Consumo'!C2097</f>
        <v>1113408</v>
      </c>
      <c r="E2097" s="34" t="str">
        <f aca="false">'Uso e Consumo'!D2097</f>
        <v>23.02.0433</v>
      </c>
      <c r="F2097" s="34" t="str">
        <f aca="false">'Uso e Consumo'!E2097</f>
        <v>ABRAÇADEIRA TIPO U PZ 1.1/2 POL</v>
      </c>
      <c r="G2097" s="34" t="str">
        <f aca="false">'Uso e Consumo'!J2097</f>
        <v>UN</v>
      </c>
      <c r="H2097" s="49" t="n">
        <f aca="false">'Uso e Consumo'!F2097</f>
        <v>20</v>
      </c>
      <c r="I2097" s="35" t="n">
        <f aca="false">'Uso e Consumo'!G2097</f>
        <v>113</v>
      </c>
      <c r="J2097" s="34" t="str">
        <f aca="false">'Uso e Consumo'!M2097</f>
        <v>3.8.1.022 - Elementos de fixação</v>
      </c>
      <c r="K2097" s="32" t="str">
        <f aca="false">INDEX('Curva ABC'!$K$8:$K$2847,MATCH(D2097,'Curva ABC'!$B$8:$B$2847,0))</f>
        <v>C</v>
      </c>
    </row>
    <row r="2098" customFormat="false" ht="15" hidden="false" customHeight="false" outlineLevel="0" collapsed="false">
      <c r="A2098" s="34" t="s">
        <v>5799</v>
      </c>
      <c r="B2098" s="34" t="str">
        <f aca="false">'Uso e Consumo'!A2098</f>
        <v>0335</v>
      </c>
      <c r="C2098" s="34" t="str">
        <f aca="false">'Uso e Consumo'!B2098</f>
        <v>UFV NORONHA VERDE - USO E CONSUMO</v>
      </c>
      <c r="D2098" s="33" t="n">
        <f aca="false">'Uso e Consumo'!C2098</f>
        <v>21505</v>
      </c>
      <c r="E2098" s="34" t="str">
        <f aca="false">'Uso e Consumo'!D2098</f>
        <v>34.02.0113</v>
      </c>
      <c r="F2098" s="34" t="str">
        <f aca="false">'Uso e Consumo'!E2098</f>
        <v>ABRAÇADEIRA DA COIFA</v>
      </c>
      <c r="G2098" s="34" t="str">
        <f aca="false">'Uso e Consumo'!J2098</f>
        <v>UN</v>
      </c>
      <c r="H2098" s="49" t="n">
        <f aca="false">'Uso e Consumo'!F2098</f>
        <v>4</v>
      </c>
      <c r="I2098" s="35" t="n">
        <f aca="false">'Uso e Consumo'!G2098</f>
        <v>112</v>
      </c>
      <c r="J2098" s="34" t="str">
        <f aca="false">'Uso e Consumo'!M2098</f>
        <v>3.1.6.002 - Pneus e peças</v>
      </c>
      <c r="K2098" s="32" t="str">
        <f aca="false">INDEX('Curva ABC'!$K$8:$K$2847,MATCH(D2098,'Curva ABC'!$B$8:$B$2847,0))</f>
        <v>C</v>
      </c>
    </row>
    <row r="2099" customFormat="false" ht="15" hidden="false" customHeight="false" outlineLevel="0" collapsed="false">
      <c r="A2099" s="34" t="s">
        <v>5799</v>
      </c>
      <c r="B2099" s="34" t="str">
        <f aca="false">'Uso e Consumo'!A2099</f>
        <v>0335</v>
      </c>
      <c r="C2099" s="34" t="str">
        <f aca="false">'Uso e Consumo'!B2099</f>
        <v>UFV NORONHA VERDE - USO E CONSUMO</v>
      </c>
      <c r="D2099" s="33" t="n">
        <f aca="false">'Uso e Consumo'!C2099</f>
        <v>864614</v>
      </c>
      <c r="E2099" s="34" t="str">
        <f aca="false">'Uso e Consumo'!D2099</f>
        <v>33.02.2638</v>
      </c>
      <c r="F2099" s="34" t="str">
        <f aca="false">'Uso e Consumo'!E2099</f>
        <v>JOGO DE FERRAMENTA CHAVE DE PRECISAO 2 FENDA 1 4 2 2 4 3MM2 PHILLIPS PH0 PH1 6 PECAS ACO CROMO VANADIO RELOJOEIRO</v>
      </c>
      <c r="G2099" s="34" t="str">
        <f aca="false">'Uso e Consumo'!J2099</f>
        <v>UN</v>
      </c>
      <c r="H2099" s="49" t="n">
        <f aca="false">'Uso e Consumo'!F2099</f>
        <v>1</v>
      </c>
      <c r="I2099" s="35" t="n">
        <f aca="false">'Uso e Consumo'!G2099</f>
        <v>112</v>
      </c>
      <c r="J2099" s="34" t="str">
        <f aca="false">'Uso e Consumo'!M2099</f>
        <v>3.1.6.002 - Pneus e peças</v>
      </c>
      <c r="K2099" s="32" t="str">
        <f aca="false">INDEX('Curva ABC'!$K$8:$K$2847,MATCH(D2099,'Curva ABC'!$B$8:$B$2847,0))</f>
        <v>C</v>
      </c>
    </row>
    <row r="2100" customFormat="false" ht="32.8" hidden="false" customHeight="false" outlineLevel="0" collapsed="false">
      <c r="A2100" s="34" t="s">
        <v>5799</v>
      </c>
      <c r="B2100" s="34" t="str">
        <f aca="false">'Uso e Consumo'!A2100</f>
        <v>0335</v>
      </c>
      <c r="C2100" s="34" t="str">
        <f aca="false">'Uso e Consumo'!B2100</f>
        <v>UFV NORONHA VERDE - USO E CONSUMO</v>
      </c>
      <c r="D2100" s="33" t="n">
        <f aca="false">'Uso e Consumo'!C2100</f>
        <v>1598198</v>
      </c>
      <c r="E2100" s="34" t="str">
        <f aca="false">'Uso e Consumo'!D2100</f>
        <v>36.04.0011</v>
      </c>
      <c r="F2100" s="50" t="str">
        <f aca="false">'Uso e Consumo'!E2100</f>
        <v>SONDA URETRAL ESTÉRIL Nº 08 PARA PROCEDIMENTO MÉDICO
</v>
      </c>
      <c r="G2100" s="34" t="str">
        <f aca="false">'Uso e Consumo'!J2100</f>
        <v>UN</v>
      </c>
      <c r="H2100" s="49" t="n">
        <f aca="false">'Uso e Consumo'!F2100</f>
        <v>4</v>
      </c>
      <c r="I2100" s="35" t="n">
        <f aca="false">'Uso e Consumo'!G2100</f>
        <v>112</v>
      </c>
      <c r="J2100" s="34" t="str">
        <f aca="false">'Uso e Consumo'!M2100</f>
        <v>4.3.4.006 - Medicamentos e primeiro socorros</v>
      </c>
      <c r="K2100" s="32" t="str">
        <f aca="false">INDEX('Curva ABC'!$K$8:$K$2847,MATCH(D2100,'Curva ABC'!$B$8:$B$2847,0))</f>
        <v>C</v>
      </c>
    </row>
    <row r="2101" customFormat="false" ht="15" hidden="false" customHeight="false" outlineLevel="0" collapsed="false">
      <c r="A2101" s="34" t="s">
        <v>5799</v>
      </c>
      <c r="B2101" s="34" t="str">
        <f aca="false">'Uso e Consumo'!A2101</f>
        <v>0335</v>
      </c>
      <c r="C2101" s="34" t="str">
        <f aca="false">'Uso e Consumo'!B2101</f>
        <v>UFV NORONHA VERDE - USO E CONSUMO</v>
      </c>
      <c r="D2101" s="33" t="n">
        <f aca="false">'Uso e Consumo'!C2101</f>
        <v>19348</v>
      </c>
      <c r="E2101" s="34" t="str">
        <f aca="false">'Uso e Consumo'!D2101</f>
        <v>30.01.0068</v>
      </c>
      <c r="F2101" s="34" t="str">
        <f aca="false">'Uso e Consumo'!E2101</f>
        <v>CANETA MARCA TEXTO VERDE</v>
      </c>
      <c r="G2101" s="34" t="str">
        <f aca="false">'Uso e Consumo'!J2101</f>
        <v>UN</v>
      </c>
      <c r="H2101" s="49" t="n">
        <f aca="false">'Uso e Consumo'!F2101</f>
        <v>35</v>
      </c>
      <c r="I2101" s="35" t="n">
        <f aca="false">'Uso e Consumo'!G2101</f>
        <v>111.6005</v>
      </c>
      <c r="J2101" s="34" t="str">
        <f aca="false">'Uso e Consumo'!M2101</f>
        <v>4.1.1.002 - Material expediente</v>
      </c>
      <c r="K2101" s="32" t="str">
        <f aca="false">INDEX('Curva ABC'!$K$8:$K$2847,MATCH(D2101,'Curva ABC'!$B$8:$B$2847,0))</f>
        <v>C</v>
      </c>
    </row>
    <row r="2102" customFormat="false" ht="15" hidden="false" customHeight="false" outlineLevel="0" collapsed="false">
      <c r="A2102" s="34" t="s">
        <v>5799</v>
      </c>
      <c r="B2102" s="34" t="str">
        <f aca="false">'Uso e Consumo'!A2102</f>
        <v>0335</v>
      </c>
      <c r="C2102" s="34" t="str">
        <f aca="false">'Uso e Consumo'!B2102</f>
        <v>UFV NORONHA VERDE - USO E CONSUMO</v>
      </c>
      <c r="D2102" s="33" t="n">
        <f aca="false">'Uso e Consumo'!C2102</f>
        <v>18018</v>
      </c>
      <c r="E2102" s="34" t="str">
        <f aca="false">'Uso e Consumo'!D2102</f>
        <v>24.09.0112</v>
      </c>
      <c r="F2102" s="34" t="str">
        <f aca="false">'Uso e Consumo'!E2102</f>
        <v>CHAVE FENDA SIMPLES 5/16" X 8" AÇO CROMO-VANADIO CROMADO/NIQUELADO CABO PVC RIGIDO</v>
      </c>
      <c r="G2102" s="34" t="str">
        <f aca="false">'Uso e Consumo'!J2102</f>
        <v>UN</v>
      </c>
      <c r="H2102" s="49" t="n">
        <f aca="false">'Uso e Consumo'!F2102</f>
        <v>5</v>
      </c>
      <c r="I2102" s="35" t="n">
        <f aca="false">'Uso e Consumo'!G2102</f>
        <v>111.15</v>
      </c>
      <c r="J2102" s="34" t="str">
        <f aca="false">'Uso e Consumo'!M2102</f>
        <v>3.8.2.002 - Ferramentas manuais</v>
      </c>
      <c r="K2102" s="32" t="str">
        <f aca="false">INDEX('Curva ABC'!$K$8:$K$2847,MATCH(D2102,'Curva ABC'!$B$8:$B$2847,0))</f>
        <v>C</v>
      </c>
    </row>
    <row r="2103" customFormat="false" ht="15" hidden="false" customHeight="false" outlineLevel="0" collapsed="false">
      <c r="A2103" s="34" t="s">
        <v>5799</v>
      </c>
      <c r="B2103" s="34" t="str">
        <f aca="false">'Uso e Consumo'!A2103</f>
        <v>0335</v>
      </c>
      <c r="C2103" s="34" t="str">
        <f aca="false">'Uso e Consumo'!B2103</f>
        <v>UFV NORONHA VERDE - USO E CONSUMO</v>
      </c>
      <c r="D2103" s="33" t="n">
        <f aca="false">'Uso e Consumo'!C2103</f>
        <v>24133</v>
      </c>
      <c r="E2103" s="34" t="str">
        <f aca="false">'Uso e Consumo'!D2103</f>
        <v>24.41.0016</v>
      </c>
      <c r="F2103" s="34" t="str">
        <f aca="false">'Uso e Consumo'!E2103</f>
        <v>BICO INFLADOR DE AR 263 TRAVA S/ RETENÇÃO</v>
      </c>
      <c r="G2103" s="34" t="str">
        <f aca="false">'Uso e Consumo'!J2103</f>
        <v>UN</v>
      </c>
      <c r="H2103" s="49" t="n">
        <f aca="false">'Uso e Consumo'!F2103</f>
        <v>3</v>
      </c>
      <c r="I2103" s="35" t="n">
        <f aca="false">'Uso e Consumo'!G2103</f>
        <v>111</v>
      </c>
      <c r="J2103" s="34" t="str">
        <f aca="false">'Uso e Consumo'!M2103</f>
        <v>3.8.2.002 - Ferramentas manuais</v>
      </c>
      <c r="K2103" s="32" t="str">
        <f aca="false">INDEX('Curva ABC'!$K$8:$K$2847,MATCH(D2103,'Curva ABC'!$B$8:$B$2847,0))</f>
        <v>C</v>
      </c>
    </row>
    <row r="2104" customFormat="false" ht="15" hidden="false" customHeight="false" outlineLevel="0" collapsed="false">
      <c r="A2104" s="34" t="s">
        <v>5799</v>
      </c>
      <c r="B2104" s="34" t="str">
        <f aca="false">'Uso e Consumo'!A2104</f>
        <v>0335</v>
      </c>
      <c r="C2104" s="34" t="str">
        <f aca="false">'Uso e Consumo'!B2104</f>
        <v>UFV NORONHA VERDE - USO E CONSUMO</v>
      </c>
      <c r="D2104" s="33" t="n">
        <f aca="false">'Uso e Consumo'!C2104</f>
        <v>1607594</v>
      </c>
      <c r="E2104" s="34" t="str">
        <f aca="false">'Uso e Consumo'!D2104</f>
        <v>17.20.0732</v>
      </c>
      <c r="F2104" s="34" t="str">
        <f aca="false">'Uso e Consumo'!E2104</f>
        <v>HASTE DE ATERRAMENTO 2,40M X 3/8"</v>
      </c>
      <c r="G2104" s="34" t="str">
        <f aca="false">'Uso e Consumo'!J2104</f>
        <v>UN</v>
      </c>
      <c r="H2104" s="49" t="n">
        <f aca="false">'Uso e Consumo'!F2104</f>
        <v>3</v>
      </c>
      <c r="I2104" s="35" t="n">
        <f aca="false">'Uso e Consumo'!G2104</f>
        <v>110.34</v>
      </c>
      <c r="J2104" s="34" t="str">
        <f aca="false">'Uso e Consumo'!M2104</f>
        <v>3.8.1.017 - Instalações elétricas/telefônicas/lógica</v>
      </c>
      <c r="K2104" s="32" t="str">
        <f aca="false">INDEX('Curva ABC'!$K$8:$K$2847,MATCH(D2104,'Curva ABC'!$B$8:$B$2847,0))</f>
        <v>C</v>
      </c>
    </row>
    <row r="2105" customFormat="false" ht="32.8" hidden="false" customHeight="false" outlineLevel="0" collapsed="false">
      <c r="A2105" s="34" t="s">
        <v>5799</v>
      </c>
      <c r="B2105" s="34" t="str">
        <f aca="false">'Uso e Consumo'!A2105</f>
        <v>0335</v>
      </c>
      <c r="C2105" s="34" t="str">
        <f aca="false">'Uso e Consumo'!B2105</f>
        <v>UFV NORONHA VERDE - USO E CONSUMO</v>
      </c>
      <c r="D2105" s="33" t="n">
        <f aca="false">'Uso e Consumo'!C2105</f>
        <v>1485750</v>
      </c>
      <c r="E2105" s="34" t="str">
        <f aca="false">'Uso e Consumo'!D2105</f>
        <v>17.21.0120</v>
      </c>
      <c r="F2105" s="50" t="str">
        <f aca="false">'Uso e Consumo'!E2105</f>
        <v>TERMINAL PARA ELETROCALHA 200 X 100 MM AÇO GALVANIZADO A QUENTE
</v>
      </c>
      <c r="G2105" s="34" t="str">
        <f aca="false">'Uso e Consumo'!J2105</f>
        <v>UN</v>
      </c>
      <c r="H2105" s="49" t="n">
        <f aca="false">'Uso e Consumo'!F2105</f>
        <v>4</v>
      </c>
      <c r="I2105" s="35" t="n">
        <f aca="false">'Uso e Consumo'!G2105</f>
        <v>110.08</v>
      </c>
      <c r="J2105" s="34" t="str">
        <f aca="false">'Uso e Consumo'!M2105</f>
        <v>3.8.1.017 - Instalações elétricas/telefônicas/lógica</v>
      </c>
      <c r="K2105" s="32" t="str">
        <f aca="false">INDEX('Curva ABC'!$K$8:$K$2847,MATCH(D2105,'Curva ABC'!$B$8:$B$2847,0))</f>
        <v>C</v>
      </c>
    </row>
    <row r="2106" customFormat="false" ht="15" hidden="false" customHeight="false" outlineLevel="0" collapsed="false">
      <c r="A2106" s="34" t="s">
        <v>5799</v>
      </c>
      <c r="B2106" s="34" t="str">
        <f aca="false">'Uso e Consumo'!A2106</f>
        <v>0335</v>
      </c>
      <c r="C2106" s="34" t="str">
        <f aca="false">'Uso e Consumo'!B2106</f>
        <v>UFV NORONHA VERDE - USO E CONSUMO</v>
      </c>
      <c r="D2106" s="33" t="n">
        <f aca="false">'Uso e Consumo'!C2106</f>
        <v>887578</v>
      </c>
      <c r="E2106" s="34" t="str">
        <f aca="false">'Uso e Consumo'!D2106</f>
        <v>18.10.0123</v>
      </c>
      <c r="F2106" s="34" t="str">
        <f aca="false">'Uso e Consumo'!E2106</f>
        <v>ADESIVO COLA PVC TIGRE 175 C/ PINCEL</v>
      </c>
      <c r="G2106" s="34" t="str">
        <f aca="false">'Uso e Consumo'!J2106</f>
        <v>UN</v>
      </c>
      <c r="H2106" s="49" t="n">
        <f aca="false">'Uso e Consumo'!F2106</f>
        <v>10</v>
      </c>
      <c r="I2106" s="35" t="n">
        <f aca="false">'Uso e Consumo'!G2106</f>
        <v>110</v>
      </c>
      <c r="J2106" s="34" t="str">
        <f aca="false">'Uso e Consumo'!M2106</f>
        <v>3.8.1.018 - Instalações hidráulicas/sanitárias/industriais</v>
      </c>
      <c r="K2106" s="32" t="str">
        <f aca="false">INDEX('Curva ABC'!$K$8:$K$2847,MATCH(D2106,'Curva ABC'!$B$8:$B$2847,0))</f>
        <v>C</v>
      </c>
    </row>
    <row r="2107" customFormat="false" ht="15" hidden="false" customHeight="false" outlineLevel="0" collapsed="false">
      <c r="A2107" s="34" t="s">
        <v>5799</v>
      </c>
      <c r="B2107" s="34" t="str">
        <f aca="false">'Uso e Consumo'!A2107</f>
        <v>0335</v>
      </c>
      <c r="C2107" s="34" t="str">
        <f aca="false">'Uso e Consumo'!B2107</f>
        <v>UFV NORONHA VERDE - USO E CONSUMO</v>
      </c>
      <c r="D2107" s="33" t="n">
        <f aca="false">'Uso e Consumo'!C2107</f>
        <v>293977</v>
      </c>
      <c r="E2107" s="34" t="str">
        <f aca="false">'Uso e Consumo'!D2107</f>
        <v>18.01.1101</v>
      </c>
      <c r="F2107" s="34" t="str">
        <f aca="false">'Uso e Consumo'!E2107</f>
        <v>REDUÇÃO EXCENTRICA ESGOTO 100X50MM</v>
      </c>
      <c r="G2107" s="34" t="str">
        <f aca="false">'Uso e Consumo'!J2107</f>
        <v>UN</v>
      </c>
      <c r="H2107" s="49" t="n">
        <f aca="false">'Uso e Consumo'!F2107</f>
        <v>6</v>
      </c>
      <c r="I2107" s="35" t="n">
        <f aca="false">'Uso e Consumo'!G2107</f>
        <v>109.72</v>
      </c>
      <c r="J2107" s="34" t="str">
        <f aca="false">'Uso e Consumo'!M2107</f>
        <v>3.8.1.018 - Instalações hidráulicas/sanitárias/industriais</v>
      </c>
      <c r="K2107" s="32" t="str">
        <f aca="false">INDEX('Curva ABC'!$K$8:$K$2847,MATCH(D2107,'Curva ABC'!$B$8:$B$2847,0))</f>
        <v>C</v>
      </c>
    </row>
    <row r="2108" customFormat="false" ht="15" hidden="false" customHeight="false" outlineLevel="0" collapsed="false">
      <c r="A2108" s="34" t="s">
        <v>5799</v>
      </c>
      <c r="B2108" s="34" t="str">
        <f aca="false">'Uso e Consumo'!A2108</f>
        <v>0335</v>
      </c>
      <c r="C2108" s="34" t="str">
        <f aca="false">'Uso e Consumo'!B2108</f>
        <v>UFV NORONHA VERDE - USO E CONSUMO</v>
      </c>
      <c r="D2108" s="33" t="n">
        <f aca="false">'Uso e Consumo'!C2108</f>
        <v>19377</v>
      </c>
      <c r="E2108" s="34" t="str">
        <f aca="false">'Uso e Consumo'!D2108</f>
        <v>30.01.0097</v>
      </c>
      <c r="F2108" s="34" t="str">
        <f aca="false">'Uso e Consumo'!E2108</f>
        <v>CLIPE P/ PAPEL 2/0 GALVANIZADOS CAIXA 100UN</v>
      </c>
      <c r="G2108" s="34" t="str">
        <f aca="false">'Uso e Consumo'!J2108</f>
        <v>UN</v>
      </c>
      <c r="H2108" s="49" t="n">
        <f aca="false">'Uso e Consumo'!F2108</f>
        <v>12</v>
      </c>
      <c r="I2108" s="35" t="n">
        <f aca="false">'Uso e Consumo'!G2108</f>
        <v>109.5413</v>
      </c>
      <c r="J2108" s="34" t="str">
        <f aca="false">'Uso e Consumo'!M2108</f>
        <v>4.1.1.002 - Material expediente</v>
      </c>
      <c r="K2108" s="32" t="str">
        <f aca="false">INDEX('Curva ABC'!$K$8:$K$2847,MATCH(D2108,'Curva ABC'!$B$8:$B$2847,0))</f>
        <v>C</v>
      </c>
    </row>
    <row r="2109" customFormat="false" ht="15" hidden="false" customHeight="false" outlineLevel="0" collapsed="false">
      <c r="A2109" s="34" t="s">
        <v>5799</v>
      </c>
      <c r="B2109" s="34" t="str">
        <f aca="false">'Uso e Consumo'!A2109</f>
        <v>0335</v>
      </c>
      <c r="C2109" s="34" t="str">
        <f aca="false">'Uso e Consumo'!B2109</f>
        <v>UFV NORONHA VERDE - USO E CONSUMO</v>
      </c>
      <c r="D2109" s="33" t="n">
        <f aca="false">'Uso e Consumo'!C2109</f>
        <v>1113634</v>
      </c>
      <c r="E2109" s="34" t="str">
        <f aca="false">'Uso e Consumo'!D2109</f>
        <v>17.02.0811</v>
      </c>
      <c r="F2109" s="34" t="str">
        <f aca="false">'Uso e Consumo'!E2109</f>
        <v>MANILHA SAPATILHA EM AÇO GALVANIZADO 6000 daN</v>
      </c>
      <c r="G2109" s="34" t="str">
        <f aca="false">'Uso e Consumo'!J2109</f>
        <v>UN</v>
      </c>
      <c r="H2109" s="49" t="n">
        <f aca="false">'Uso e Consumo'!F2109</f>
        <v>5</v>
      </c>
      <c r="I2109" s="35" t="n">
        <f aca="false">'Uso e Consumo'!G2109</f>
        <v>109.45</v>
      </c>
      <c r="J2109" s="34" t="str">
        <f aca="false">'Uso e Consumo'!M2109</f>
        <v>3.8.1.017 - Instalações elétricas/telefônicas/lógica</v>
      </c>
      <c r="K2109" s="32" t="str">
        <f aca="false">INDEX('Curva ABC'!$K$8:$K$2847,MATCH(D2109,'Curva ABC'!$B$8:$B$2847,0))</f>
        <v>C</v>
      </c>
    </row>
    <row r="2110" customFormat="false" ht="15" hidden="false" customHeight="false" outlineLevel="0" collapsed="false">
      <c r="A2110" s="34" t="s">
        <v>5799</v>
      </c>
      <c r="B2110" s="34" t="str">
        <f aca="false">'Uso e Consumo'!A2110</f>
        <v>0335</v>
      </c>
      <c r="C2110" s="34" t="str">
        <f aca="false">'Uso e Consumo'!B2110</f>
        <v>UFV NORONHA VERDE - USO E CONSUMO</v>
      </c>
      <c r="D2110" s="33" t="n">
        <f aca="false">'Uso e Consumo'!C2110</f>
        <v>349917</v>
      </c>
      <c r="E2110" s="34" t="str">
        <f aca="false">'Uso e Consumo'!D2110</f>
        <v>33.02.1688</v>
      </c>
      <c r="F2110" s="34" t="str">
        <f aca="false">'Uso e Consumo'!E2110</f>
        <v>SEM FIM P/ MOTOSSERRA </v>
      </c>
      <c r="G2110" s="34" t="str">
        <f aca="false">'Uso e Consumo'!J2110</f>
        <v>UN</v>
      </c>
      <c r="H2110" s="49" t="n">
        <f aca="false">'Uso e Consumo'!F2110</f>
        <v>1</v>
      </c>
      <c r="I2110" s="35" t="n">
        <f aca="false">'Uso e Consumo'!G2110</f>
        <v>109.25</v>
      </c>
      <c r="J2110" s="34" t="str">
        <f aca="false">'Uso e Consumo'!M2110</f>
        <v>6.1.2.001 - Equipamentos</v>
      </c>
      <c r="K2110" s="32" t="str">
        <f aca="false">INDEX('Curva ABC'!$K$8:$K$2847,MATCH(D2110,'Curva ABC'!$B$8:$B$2847,0))</f>
        <v>C</v>
      </c>
    </row>
    <row r="2111" customFormat="false" ht="32.8" hidden="false" customHeight="false" outlineLevel="0" collapsed="false">
      <c r="A2111" s="34" t="s">
        <v>5799</v>
      </c>
      <c r="B2111" s="34" t="str">
        <f aca="false">'Uso e Consumo'!A2111</f>
        <v>0335</v>
      </c>
      <c r="C2111" s="34" t="str">
        <f aca="false">'Uso e Consumo'!B2111</f>
        <v>UFV NORONHA VERDE - USO E CONSUMO</v>
      </c>
      <c r="D2111" s="33" t="n">
        <f aca="false">'Uso e Consumo'!C2111</f>
        <v>1485245</v>
      </c>
      <c r="E2111" s="34" t="str">
        <f aca="false">'Uso e Consumo'!D2111</f>
        <v>19.01.0063</v>
      </c>
      <c r="F2111" s="50" t="str">
        <f aca="false">'Uso e Consumo'!E2111</f>
        <v>PERFIL CANTONEIRA EM AÇO TIPO L 1 1/2" X 1/8" COMPRIMENTO 725 MM
</v>
      </c>
      <c r="G2111" s="34" t="str">
        <f aca="false">'Uso e Consumo'!J2111</f>
        <v>UN</v>
      </c>
      <c r="H2111" s="49" t="n">
        <f aca="false">'Uso e Consumo'!F2111</f>
        <v>1</v>
      </c>
      <c r="I2111" s="35" t="n">
        <f aca="false">'Uso e Consumo'!G2111</f>
        <v>109.25</v>
      </c>
      <c r="J2111" s="34" t="str">
        <f aca="false">'Uso e Consumo'!M2111</f>
        <v>3.8.1.001 - Aços e trefilados</v>
      </c>
      <c r="K2111" s="32" t="str">
        <f aca="false">INDEX('Curva ABC'!$K$8:$K$2847,MATCH(D2111,'Curva ABC'!$B$8:$B$2847,0))</f>
        <v>C</v>
      </c>
    </row>
    <row r="2112" customFormat="false" ht="15" hidden="false" customHeight="false" outlineLevel="0" collapsed="false">
      <c r="A2112" s="34" t="s">
        <v>5799</v>
      </c>
      <c r="B2112" s="34" t="str">
        <f aca="false">'Uso e Consumo'!A2112</f>
        <v>0335</v>
      </c>
      <c r="C2112" s="34" t="str">
        <f aca="false">'Uso e Consumo'!B2112</f>
        <v>UFV NORONHA VERDE - USO E CONSUMO</v>
      </c>
      <c r="D2112" s="33" t="n">
        <f aca="false">'Uso e Consumo'!C2112</f>
        <v>17351</v>
      </c>
      <c r="E2112" s="34" t="str">
        <f aca="false">'Uso e Consumo'!D2112</f>
        <v>23.07.0369</v>
      </c>
      <c r="F2112" s="34" t="str">
        <f aca="false">'Uso e Consumo'!E2112</f>
        <v>PARAFUSO FENDA AUTOATARRAXANTE CABECA CHATA AÇO CARBONO ROSCA SOBERBA 4,80MM X 45,00MM 1,58MM DIN 79</v>
      </c>
      <c r="G2112" s="34" t="str">
        <f aca="false">'Uso e Consumo'!J2112</f>
        <v>UN</v>
      </c>
      <c r="H2112" s="49" t="n">
        <f aca="false">'Uso e Consumo'!F2112</f>
        <v>7</v>
      </c>
      <c r="I2112" s="35" t="n">
        <f aca="false">'Uso e Consumo'!G2112</f>
        <v>108.88</v>
      </c>
      <c r="J2112" s="34" t="str">
        <f aca="false">'Uso e Consumo'!M2112</f>
        <v>3.8.1.022 - Elementos de fixação</v>
      </c>
      <c r="K2112" s="32" t="str">
        <f aca="false">INDEX('Curva ABC'!$K$8:$K$2847,MATCH(D2112,'Curva ABC'!$B$8:$B$2847,0))</f>
        <v>C</v>
      </c>
    </row>
    <row r="2113" customFormat="false" ht="15" hidden="false" customHeight="false" outlineLevel="0" collapsed="false">
      <c r="A2113" s="34" t="s">
        <v>5799</v>
      </c>
      <c r="B2113" s="34" t="str">
        <f aca="false">'Uso e Consumo'!A2113</f>
        <v>0335</v>
      </c>
      <c r="C2113" s="34" t="str">
        <f aca="false">'Uso e Consumo'!B2113</f>
        <v>UFV NORONHA VERDE - USO E CONSUMO</v>
      </c>
      <c r="D2113" s="33" t="n">
        <f aca="false">'Uso e Consumo'!C2113</f>
        <v>876708</v>
      </c>
      <c r="E2113" s="34" t="str">
        <f aca="false">'Uso e Consumo'!D2113</f>
        <v>30.04.0256</v>
      </c>
      <c r="F2113" s="34" t="str">
        <f aca="false">'Uso e Consumo'!E2113</f>
        <v>CONJUNTO DE XICARAS </v>
      </c>
      <c r="G2113" s="34" t="str">
        <f aca="false">'Uso e Consumo'!J2113</f>
        <v>UN</v>
      </c>
      <c r="H2113" s="49" t="n">
        <f aca="false">'Uso e Consumo'!F2113</f>
        <v>2</v>
      </c>
      <c r="I2113" s="35" t="n">
        <f aca="false">'Uso e Consumo'!G2113</f>
        <v>108.3</v>
      </c>
      <c r="J2113" s="34" t="str">
        <f aca="false">'Uso e Consumo'!M2113</f>
        <v>4.1.1.001 - Material de uso e consumo</v>
      </c>
      <c r="K2113" s="32" t="str">
        <f aca="false">INDEX('Curva ABC'!$K$8:$K$2847,MATCH(D2113,'Curva ABC'!$B$8:$B$2847,0))</f>
        <v>C</v>
      </c>
    </row>
    <row r="2114" customFormat="false" ht="15" hidden="false" customHeight="false" outlineLevel="0" collapsed="false">
      <c r="A2114" s="34" t="s">
        <v>5799</v>
      </c>
      <c r="B2114" s="34" t="str">
        <f aca="false">'Uso e Consumo'!A2114</f>
        <v>0335</v>
      </c>
      <c r="C2114" s="34" t="str">
        <f aca="false">'Uso e Consumo'!B2114</f>
        <v>UFV NORONHA VERDE - USO E CONSUMO</v>
      </c>
      <c r="D2114" s="33" t="n">
        <f aca="false">'Uso e Consumo'!C2114</f>
        <v>58875</v>
      </c>
      <c r="E2114" s="34" t="str">
        <f aca="false">'Uso e Consumo'!D2114</f>
        <v>24.08.0033</v>
      </c>
      <c r="F2114" s="34" t="str">
        <f aca="false">'Uso e Consumo'!E2114</f>
        <v>ALICATE CORTE DIAGONAL 10" ISOLADO 1000V</v>
      </c>
      <c r="G2114" s="34" t="str">
        <f aca="false">'Uso e Consumo'!J2114</f>
        <v>UN</v>
      </c>
      <c r="H2114" s="49" t="n">
        <f aca="false">'Uso e Consumo'!F2114</f>
        <v>1</v>
      </c>
      <c r="I2114" s="35" t="n">
        <f aca="false">'Uso e Consumo'!G2114</f>
        <v>108</v>
      </c>
      <c r="J2114" s="34" t="str">
        <f aca="false">'Uso e Consumo'!M2114</f>
        <v>3.8.2.002 - Ferramentas manuais</v>
      </c>
      <c r="K2114" s="32" t="str">
        <f aca="false">INDEX('Curva ABC'!$K$8:$K$2847,MATCH(D2114,'Curva ABC'!$B$8:$B$2847,0))</f>
        <v>C</v>
      </c>
    </row>
    <row r="2115" customFormat="false" ht="15" hidden="false" customHeight="false" outlineLevel="0" collapsed="false">
      <c r="A2115" s="34" t="s">
        <v>5799</v>
      </c>
      <c r="B2115" s="34" t="str">
        <f aca="false">'Uso e Consumo'!A2115</f>
        <v>0335</v>
      </c>
      <c r="C2115" s="34" t="str">
        <f aca="false">'Uso e Consumo'!B2115</f>
        <v>UFV NORONHA VERDE - USO E CONSUMO</v>
      </c>
      <c r="D2115" s="33" t="n">
        <f aca="false">'Uso e Consumo'!C2115</f>
        <v>1467156</v>
      </c>
      <c r="E2115" s="34" t="str">
        <f aca="false">'Uso e Consumo'!D2115</f>
        <v>33.02.3182</v>
      </c>
      <c r="F2115" s="34" t="str">
        <f aca="false">'Uso e Consumo'!E2115</f>
        <v>ANEL HL DN75MM</v>
      </c>
      <c r="G2115" s="34" t="str">
        <f aca="false">'Uso e Consumo'!J2115</f>
        <v>UN</v>
      </c>
      <c r="H2115" s="49" t="n">
        <f aca="false">'Uso e Consumo'!F2115</f>
        <v>4</v>
      </c>
      <c r="I2115" s="35" t="n">
        <f aca="false">'Uso e Consumo'!G2115</f>
        <v>108</v>
      </c>
      <c r="J2115" s="34" t="str">
        <f aca="false">'Uso e Consumo'!M2115</f>
        <v>3.1.6.002 - Pneus e peças</v>
      </c>
      <c r="K2115" s="32" t="str">
        <f aca="false">INDEX('Curva ABC'!$K$8:$K$2847,MATCH(D2115,'Curva ABC'!$B$8:$B$2847,0))</f>
        <v>C</v>
      </c>
    </row>
    <row r="2116" customFormat="false" ht="15" hidden="false" customHeight="false" outlineLevel="0" collapsed="false">
      <c r="A2116" s="34" t="s">
        <v>5799</v>
      </c>
      <c r="B2116" s="34" t="str">
        <f aca="false">'Uso e Consumo'!A2116</f>
        <v>0335</v>
      </c>
      <c r="C2116" s="34" t="str">
        <f aca="false">'Uso e Consumo'!B2116</f>
        <v>UFV NORONHA VERDE - USO E CONSUMO</v>
      </c>
      <c r="D2116" s="33" t="n">
        <f aca="false">'Uso e Consumo'!C2116</f>
        <v>1383737</v>
      </c>
      <c r="E2116" s="34" t="str">
        <f aca="false">'Uso e Consumo'!D2116</f>
        <v>17.16.3817</v>
      </c>
      <c r="F2116" s="34" t="str">
        <f aca="false">'Uso e Consumo'!E2116</f>
        <v>PRENSA CABO MACHO EM LIGA DE ALUMÍNIO, BITOLA 3/4", DIÂMETRO DE APERTO DE 15 A 17,5 MM</v>
      </c>
      <c r="G2116" s="34" t="str">
        <f aca="false">'Uso e Consumo'!J2116</f>
        <v>UN</v>
      </c>
      <c r="H2116" s="49" t="n">
        <f aca="false">'Uso e Consumo'!F2116</f>
        <v>4</v>
      </c>
      <c r="I2116" s="35" t="n">
        <f aca="false">'Uso e Consumo'!G2116</f>
        <v>107.32</v>
      </c>
      <c r="J2116" s="34" t="str">
        <f aca="false">'Uso e Consumo'!M2116</f>
        <v>3.8.1.017 - Instalações elétricas/telefônicas/lógica</v>
      </c>
      <c r="K2116" s="32" t="str">
        <f aca="false">INDEX('Curva ABC'!$K$8:$K$2847,MATCH(D2116,'Curva ABC'!$B$8:$B$2847,0))</f>
        <v>C</v>
      </c>
    </row>
    <row r="2117" customFormat="false" ht="15" hidden="false" customHeight="false" outlineLevel="0" collapsed="false">
      <c r="A2117" s="34" t="s">
        <v>5799</v>
      </c>
      <c r="B2117" s="34" t="str">
        <f aca="false">'Uso e Consumo'!A2117</f>
        <v>0335</v>
      </c>
      <c r="C2117" s="34" t="str">
        <f aca="false">'Uso e Consumo'!B2117</f>
        <v>UFV NORONHA VERDE - USO E CONSUMO</v>
      </c>
      <c r="D2117" s="33" t="n">
        <f aca="false">'Uso e Consumo'!C2117</f>
        <v>1379884</v>
      </c>
      <c r="E2117" s="34" t="str">
        <f aca="false">'Uso e Consumo'!D2117</f>
        <v>18.02.0746</v>
      </c>
      <c r="F2117" s="34" t="str">
        <f aca="false">'Uso e Consumo'!E2117</f>
        <v>ADAPTADOR MÚLTIPLO DE LIGA DE ALUMÍNIO INSTALAÇÃO AO TEMPO, DIÂMETRO NOMINAL 20 MM (Ø3/4")</v>
      </c>
      <c r="G2117" s="34" t="str">
        <f aca="false">'Uso e Consumo'!J2117</f>
        <v>UN</v>
      </c>
      <c r="H2117" s="49" t="n">
        <f aca="false">'Uso e Consumo'!F2117</f>
        <v>38</v>
      </c>
      <c r="I2117" s="35" t="n">
        <f aca="false">'Uso e Consumo'!G2117</f>
        <v>106.4</v>
      </c>
      <c r="J2117" s="34" t="str">
        <f aca="false">'Uso e Consumo'!M2117</f>
        <v>3.8.1.017 - Instalações elétricas/telefônicas/lógica</v>
      </c>
      <c r="K2117" s="32" t="str">
        <f aca="false">INDEX('Curva ABC'!$K$8:$K$2847,MATCH(D2117,'Curva ABC'!$B$8:$B$2847,0))</f>
        <v>C</v>
      </c>
    </row>
    <row r="2118" customFormat="false" ht="15" hidden="false" customHeight="false" outlineLevel="0" collapsed="false">
      <c r="A2118" s="34" t="s">
        <v>5799</v>
      </c>
      <c r="B2118" s="34" t="str">
        <f aca="false">'Uso e Consumo'!A2118</f>
        <v>0335</v>
      </c>
      <c r="C2118" s="34" t="str">
        <f aca="false">'Uso e Consumo'!B2118</f>
        <v>UFV NORONHA VERDE - USO E CONSUMO</v>
      </c>
      <c r="D2118" s="33" t="n">
        <f aca="false">'Uso e Consumo'!C2118</f>
        <v>1465304</v>
      </c>
      <c r="E2118" s="34" t="str">
        <f aca="false">'Uso e Consumo'!D2118</f>
        <v>23.05.0291</v>
      </c>
      <c r="F2118" s="34" t="str">
        <f aca="false">'Uso e Consumo'!E2118</f>
        <v>ARRUELA LISA DE AÇO INOX M8</v>
      </c>
      <c r="G2118" s="34" t="str">
        <f aca="false">'Uso e Consumo'!J2118</f>
        <v>UN</v>
      </c>
      <c r="H2118" s="49" t="n">
        <f aca="false">'Uso e Consumo'!F2118</f>
        <v>533</v>
      </c>
      <c r="I2118" s="35" t="n">
        <f aca="false">'Uso e Consumo'!G2118</f>
        <v>106.28</v>
      </c>
      <c r="J2118" s="34" t="str">
        <f aca="false">'Uso e Consumo'!M2118</f>
        <v>3.8.1.022 - Elementos de fixação</v>
      </c>
      <c r="K2118" s="32" t="str">
        <f aca="false">INDEX('Curva ABC'!$K$8:$K$2847,MATCH(D2118,'Curva ABC'!$B$8:$B$2847,0))</f>
        <v>C</v>
      </c>
    </row>
    <row r="2119" customFormat="false" ht="15" hidden="false" customHeight="false" outlineLevel="0" collapsed="false">
      <c r="A2119" s="34" t="s">
        <v>5799</v>
      </c>
      <c r="B2119" s="34" t="str">
        <f aca="false">'Uso e Consumo'!A2119</f>
        <v>0335</v>
      </c>
      <c r="C2119" s="34" t="str">
        <f aca="false">'Uso e Consumo'!B2119</f>
        <v>UFV NORONHA VERDE - USO E CONSUMO</v>
      </c>
      <c r="D2119" s="33" t="n">
        <f aca="false">'Uso e Consumo'!C2119</f>
        <v>19319</v>
      </c>
      <c r="E2119" s="34" t="str">
        <f aca="false">'Uso e Consumo'!D2119</f>
        <v>30.01.0039</v>
      </c>
      <c r="F2119" s="34" t="str">
        <f aca="false">'Uso e Consumo'!E2119</f>
        <v>CAIXA ARQUIVO MORTO POLIPROPILENO 350 X 130 X 250 OFÍCIO</v>
      </c>
      <c r="G2119" s="34" t="str">
        <f aca="false">'Uso e Consumo'!J2119</f>
        <v>UN</v>
      </c>
      <c r="H2119" s="49" t="n">
        <f aca="false">'Uso e Consumo'!F2119</f>
        <v>2</v>
      </c>
      <c r="I2119" s="35" t="n">
        <f aca="false">'Uso e Consumo'!G2119</f>
        <v>106</v>
      </c>
      <c r="J2119" s="34" t="str">
        <f aca="false">'Uso e Consumo'!M2119</f>
        <v>4.1.1.002 - Material expediente</v>
      </c>
      <c r="K2119" s="32" t="str">
        <f aca="false">INDEX('Curva ABC'!$K$8:$K$2847,MATCH(D2119,'Curva ABC'!$B$8:$B$2847,0))</f>
        <v>C</v>
      </c>
    </row>
    <row r="2120" customFormat="false" ht="15" hidden="false" customHeight="false" outlineLevel="0" collapsed="false">
      <c r="A2120" s="34" t="s">
        <v>5799</v>
      </c>
      <c r="B2120" s="34" t="str">
        <f aca="false">'Uso e Consumo'!A2120</f>
        <v>0335</v>
      </c>
      <c r="C2120" s="34" t="str">
        <f aca="false">'Uso e Consumo'!B2120</f>
        <v>UFV NORONHA VERDE - USO E CONSUMO</v>
      </c>
      <c r="D2120" s="33" t="n">
        <f aca="false">'Uso e Consumo'!C2120</f>
        <v>55066</v>
      </c>
      <c r="E2120" s="34" t="str">
        <f aca="false">'Uso e Consumo'!D2120</f>
        <v>17.10.0197</v>
      </c>
      <c r="F2120" s="34" t="str">
        <f aca="false">'Uso e Consumo'!E2120</f>
        <v>DISJUNTOR TRIFÁSICO 50A – 400V NBR 60898</v>
      </c>
      <c r="G2120" s="34" t="str">
        <f aca="false">'Uso e Consumo'!J2120</f>
        <v>UN</v>
      </c>
      <c r="H2120" s="49" t="n">
        <f aca="false">'Uso e Consumo'!F2120</f>
        <v>2</v>
      </c>
      <c r="I2120" s="35" t="n">
        <f aca="false">'Uso e Consumo'!G2120</f>
        <v>105.6</v>
      </c>
      <c r="J2120" s="34" t="str">
        <f aca="false">'Uso e Consumo'!M2120</f>
        <v>3.8.1.017 - Instalações elétricas/telefônicas/lógica</v>
      </c>
      <c r="K2120" s="32" t="str">
        <f aca="false">INDEX('Curva ABC'!$K$8:$K$2847,MATCH(D2120,'Curva ABC'!$B$8:$B$2847,0))</f>
        <v>C</v>
      </c>
    </row>
    <row r="2121" customFormat="false" ht="15" hidden="false" customHeight="false" outlineLevel="0" collapsed="false">
      <c r="A2121" s="34" t="s">
        <v>5799</v>
      </c>
      <c r="B2121" s="34" t="str">
        <f aca="false">'Uso e Consumo'!A2121</f>
        <v>0335</v>
      </c>
      <c r="C2121" s="34" t="str">
        <f aca="false">'Uso e Consumo'!B2121</f>
        <v>UFV NORONHA VERDE - USO E CONSUMO</v>
      </c>
      <c r="D2121" s="33" t="n">
        <f aca="false">'Uso e Consumo'!C2121</f>
        <v>55067</v>
      </c>
      <c r="E2121" s="34" t="str">
        <f aca="false">'Uso e Consumo'!D2121</f>
        <v>17.10.0198</v>
      </c>
      <c r="F2121" s="34" t="str">
        <f aca="false">'Uso e Consumo'!E2121</f>
        <v>DISJUNTOR TRIFÁSICO 40A – 400V NBR 60898</v>
      </c>
      <c r="G2121" s="34" t="str">
        <f aca="false">'Uso e Consumo'!J2121</f>
        <v>UN</v>
      </c>
      <c r="H2121" s="49" t="n">
        <f aca="false">'Uso e Consumo'!F2121</f>
        <v>2</v>
      </c>
      <c r="I2121" s="35" t="n">
        <f aca="false">'Uso e Consumo'!G2121</f>
        <v>105.6</v>
      </c>
      <c r="J2121" s="34" t="str">
        <f aca="false">'Uso e Consumo'!M2121</f>
        <v>3.8.1.017 - Instalações elétricas/telefônicas/lógica</v>
      </c>
      <c r="K2121" s="32" t="str">
        <f aca="false">INDEX('Curva ABC'!$K$8:$K$2847,MATCH(D2121,'Curva ABC'!$B$8:$B$2847,0))</f>
        <v>C</v>
      </c>
    </row>
    <row r="2122" customFormat="false" ht="15" hidden="false" customHeight="false" outlineLevel="0" collapsed="false">
      <c r="A2122" s="34" t="s">
        <v>5799</v>
      </c>
      <c r="B2122" s="34" t="str">
        <f aca="false">'Uso e Consumo'!A2122</f>
        <v>0335</v>
      </c>
      <c r="C2122" s="34" t="str">
        <f aca="false">'Uso e Consumo'!B2122</f>
        <v>UFV NORONHA VERDE - USO E CONSUMO</v>
      </c>
      <c r="D2122" s="33" t="n">
        <f aca="false">'Uso e Consumo'!C2122</f>
        <v>23440</v>
      </c>
      <c r="E2122" s="34" t="str">
        <f aca="false">'Uso e Consumo'!D2122</f>
        <v>25.03.0166</v>
      </c>
      <c r="F2122" s="34" t="str">
        <f aca="false">'Uso e Consumo'!E2122</f>
        <v>BROCA AÇO RAPIDO 3/16</v>
      </c>
      <c r="G2122" s="34" t="str">
        <f aca="false">'Uso e Consumo'!J2122</f>
        <v>UN</v>
      </c>
      <c r="H2122" s="49" t="n">
        <f aca="false">'Uso e Consumo'!F2122</f>
        <v>25</v>
      </c>
      <c r="I2122" s="35" t="n">
        <f aca="false">'Uso e Consumo'!G2122</f>
        <v>105.45</v>
      </c>
      <c r="J2122" s="34" t="str">
        <f aca="false">'Uso e Consumo'!M2122</f>
        <v>3.8.2.004 - Consumíveis para corte, perfuração e desbaste</v>
      </c>
      <c r="K2122" s="32" t="str">
        <f aca="false">INDEX('Curva ABC'!$K$8:$K$2847,MATCH(D2122,'Curva ABC'!$B$8:$B$2847,0))</f>
        <v>C</v>
      </c>
    </row>
    <row r="2123" customFormat="false" ht="15" hidden="false" customHeight="false" outlineLevel="0" collapsed="false">
      <c r="A2123" s="34" t="s">
        <v>5799</v>
      </c>
      <c r="B2123" s="34" t="str">
        <f aca="false">'Uso e Consumo'!A2123</f>
        <v>0335</v>
      </c>
      <c r="C2123" s="34" t="str">
        <f aca="false">'Uso e Consumo'!B2123</f>
        <v>UFV NORONHA VERDE - USO E CONSUMO</v>
      </c>
      <c r="D2123" s="33" t="n">
        <f aca="false">'Uso e Consumo'!C2123</f>
        <v>731251</v>
      </c>
      <c r="E2123" s="34" t="str">
        <f aca="false">'Uso e Consumo'!D2123</f>
        <v>23.10.0037</v>
      </c>
      <c r="F2123" s="34" t="str">
        <f aca="false">'Uso e Consumo'!E2123</f>
        <v>CHUMBADOR PARABOLT 5/8"</v>
      </c>
      <c r="G2123" s="34" t="str">
        <f aca="false">'Uso e Consumo'!J2123</f>
        <v>UN</v>
      </c>
      <c r="H2123" s="49" t="n">
        <f aca="false">'Uso e Consumo'!F2123</f>
        <v>1000</v>
      </c>
      <c r="I2123" s="35" t="n">
        <f aca="false">'Uso e Consumo'!G2123</f>
        <v>105</v>
      </c>
      <c r="J2123" s="34" t="str">
        <f aca="false">'Uso e Consumo'!M2123</f>
        <v>3.8.1.022 - Elementos de fixação</v>
      </c>
      <c r="K2123" s="32" t="str">
        <f aca="false">INDEX('Curva ABC'!$K$8:$K$2847,MATCH(D2123,'Curva ABC'!$B$8:$B$2847,0))</f>
        <v>C</v>
      </c>
    </row>
    <row r="2124" customFormat="false" ht="15" hidden="false" customHeight="false" outlineLevel="0" collapsed="false">
      <c r="A2124" s="34" t="s">
        <v>5799</v>
      </c>
      <c r="B2124" s="34" t="str">
        <f aca="false">'Uso e Consumo'!A2124</f>
        <v>0335</v>
      </c>
      <c r="C2124" s="34" t="str">
        <f aca="false">'Uso e Consumo'!B2124</f>
        <v>UFV NORONHA VERDE - USO E CONSUMO</v>
      </c>
      <c r="D2124" s="33" t="n">
        <f aca="false">'Uso e Consumo'!C2124</f>
        <v>18786</v>
      </c>
      <c r="E2124" s="34" t="str">
        <f aca="false">'Uso e Consumo'!D2124</f>
        <v>25.15.0009</v>
      </c>
      <c r="F2124" s="34" t="str">
        <f aca="false">'Uso e Consumo'!E2124</f>
        <v>LONA PLASTICA POLIETILENO PRETO 200 MICRAS 8,00M X 100,00M</v>
      </c>
      <c r="G2124" s="34" t="str">
        <f aca="false">'Uso e Consumo'!J2124</f>
        <v>RL800</v>
      </c>
      <c r="H2124" s="49" t="n">
        <f aca="false">'Uso e Consumo'!F2124</f>
        <v>1</v>
      </c>
      <c r="I2124" s="35" t="n">
        <f aca="false">'Uso e Consumo'!G2124</f>
        <v>104.72</v>
      </c>
      <c r="J2124" s="34" t="str">
        <f aca="false">'Uso e Consumo'!M2124</f>
        <v>3.8.2.006 - Utensílios</v>
      </c>
      <c r="K2124" s="32" t="str">
        <f aca="false">INDEX('Curva ABC'!$K$8:$K$2847,MATCH(D2124,'Curva ABC'!$B$8:$B$2847,0))</f>
        <v>C</v>
      </c>
    </row>
    <row r="2125" customFormat="false" ht="15" hidden="false" customHeight="false" outlineLevel="0" collapsed="false">
      <c r="A2125" s="34" t="s">
        <v>5799</v>
      </c>
      <c r="B2125" s="34" t="str">
        <f aca="false">'Uso e Consumo'!A2125</f>
        <v>0335</v>
      </c>
      <c r="C2125" s="34" t="str">
        <f aca="false">'Uso e Consumo'!B2125</f>
        <v>UFV NORONHA VERDE - USO E CONSUMO</v>
      </c>
      <c r="D2125" s="33" t="n">
        <f aca="false">'Uso e Consumo'!C2125</f>
        <v>1672251</v>
      </c>
      <c r="E2125" s="34" t="str">
        <f aca="false">'Uso e Consumo'!D2125</f>
        <v>25.15.0087</v>
      </c>
      <c r="F2125" s="34" t="str">
        <f aca="false">'Uso e Consumo'!E2125</f>
        <v>LONA PLASTICA POLIETILENO AZUL 100 MICRAS 5,00M X 3,00M</v>
      </c>
      <c r="G2125" s="34" t="str">
        <f aca="false">'Uso e Consumo'!J2125</f>
        <v>UN</v>
      </c>
      <c r="H2125" s="49" t="n">
        <f aca="false">'Uso e Consumo'!F2125</f>
        <v>2</v>
      </c>
      <c r="I2125" s="35" t="n">
        <f aca="false">'Uso e Consumo'!G2125</f>
        <v>104.72</v>
      </c>
      <c r="J2125" s="34" t="str">
        <f aca="false">'Uso e Consumo'!M2125</f>
        <v>3.8.2.006 - Utensílios</v>
      </c>
      <c r="K2125" s="32" t="str">
        <f aca="false">INDEX('Curva ABC'!$K$8:$K$2847,MATCH(D2125,'Curva ABC'!$B$8:$B$2847,0))</f>
        <v>C</v>
      </c>
    </row>
    <row r="2126" customFormat="false" ht="15" hidden="false" customHeight="false" outlineLevel="0" collapsed="false">
      <c r="A2126" s="34" t="s">
        <v>5799</v>
      </c>
      <c r="B2126" s="34" t="str">
        <f aca="false">'Uso e Consumo'!A2126</f>
        <v>0335</v>
      </c>
      <c r="C2126" s="34" t="str">
        <f aca="false">'Uso e Consumo'!B2126</f>
        <v>UFV NORONHA VERDE - USO E CONSUMO</v>
      </c>
      <c r="D2126" s="33" t="n">
        <f aca="false">'Uso e Consumo'!C2126</f>
        <v>1614077</v>
      </c>
      <c r="E2126" s="34" t="str">
        <f aca="false">'Uso e Consumo'!D2126</f>
        <v>23.06.0329</v>
      </c>
      <c r="F2126" s="34" t="str">
        <f aca="false">'Uso e Consumo'!E2126</f>
        <v>PORCA SEXTAVADA GALV FOGO 1/4"</v>
      </c>
      <c r="G2126" s="34" t="str">
        <f aca="false">'Uso e Consumo'!J2126</f>
        <v>UN</v>
      </c>
      <c r="H2126" s="49" t="n">
        <f aca="false">'Uso e Consumo'!F2126</f>
        <v>156</v>
      </c>
      <c r="I2126" s="35" t="n">
        <f aca="false">'Uso e Consumo'!G2126</f>
        <v>104.52</v>
      </c>
      <c r="J2126" s="34" t="str">
        <f aca="false">'Uso e Consumo'!M2126</f>
        <v>3.8.1.022 - Elementos de fixação</v>
      </c>
      <c r="K2126" s="32" t="str">
        <f aca="false">INDEX('Curva ABC'!$K$8:$K$2847,MATCH(D2126,'Curva ABC'!$B$8:$B$2847,0))</f>
        <v>C</v>
      </c>
    </row>
    <row r="2127" customFormat="false" ht="15" hidden="false" customHeight="false" outlineLevel="0" collapsed="false">
      <c r="A2127" s="34" t="s">
        <v>5799</v>
      </c>
      <c r="B2127" s="34" t="str">
        <f aca="false">'Uso e Consumo'!A2127</f>
        <v>0335</v>
      </c>
      <c r="C2127" s="34" t="str">
        <f aca="false">'Uso e Consumo'!B2127</f>
        <v>UFV NORONHA VERDE - USO E CONSUMO</v>
      </c>
      <c r="D2127" s="33" t="n">
        <f aca="false">'Uso e Consumo'!C2127</f>
        <v>884862</v>
      </c>
      <c r="E2127" s="34" t="str">
        <f aca="false">'Uso e Consumo'!D2127</f>
        <v>23.06.0270</v>
      </c>
      <c r="F2127" s="34" t="str">
        <f aca="false">'Uso e Consumo'!E2127</f>
        <v>PORCA OLHAL PARA PARAFUSO M16, 50KN</v>
      </c>
      <c r="G2127" s="34" t="str">
        <f aca="false">'Uso e Consumo'!J2127</f>
        <v>UND</v>
      </c>
      <c r="H2127" s="49" t="n">
        <f aca="false">'Uso e Consumo'!F2127</f>
        <v>4</v>
      </c>
      <c r="I2127" s="35" t="n">
        <f aca="false">'Uso e Consumo'!G2127</f>
        <v>104.51</v>
      </c>
      <c r="J2127" s="34" t="str">
        <f aca="false">'Uso e Consumo'!M2127</f>
        <v>3.8.1.022 - Elementos de fixação</v>
      </c>
      <c r="K2127" s="32" t="str">
        <f aca="false">INDEX('Curva ABC'!$K$8:$K$2847,MATCH(D2127,'Curva ABC'!$B$8:$B$2847,0))</f>
        <v>C</v>
      </c>
    </row>
    <row r="2128" customFormat="false" ht="15" hidden="false" customHeight="false" outlineLevel="0" collapsed="false">
      <c r="A2128" s="34" t="s">
        <v>5799</v>
      </c>
      <c r="B2128" s="34" t="str">
        <f aca="false">'Uso e Consumo'!A2128</f>
        <v>0335</v>
      </c>
      <c r="C2128" s="34" t="str">
        <f aca="false">'Uso e Consumo'!B2128</f>
        <v>UFV NORONHA VERDE - USO E CONSUMO</v>
      </c>
      <c r="D2128" s="33" t="n">
        <f aca="false">'Uso e Consumo'!C2128</f>
        <v>34113</v>
      </c>
      <c r="E2128" s="34" t="str">
        <f aca="false">'Uso e Consumo'!D2128</f>
        <v>23.07.0840</v>
      </c>
      <c r="F2128" s="34" t="str">
        <f aca="false">'Uso e Consumo'!E2128</f>
        <v>PARAFUSO INOX GUIA PANELA PHILLIPS 4,8X32,00MM</v>
      </c>
      <c r="G2128" s="34" t="str">
        <f aca="false">'Uso e Consumo'!J2128</f>
        <v>UN</v>
      </c>
      <c r="H2128" s="49" t="n">
        <f aca="false">'Uso e Consumo'!F2128</f>
        <v>50</v>
      </c>
      <c r="I2128" s="35" t="n">
        <f aca="false">'Uso e Consumo'!G2128</f>
        <v>104</v>
      </c>
      <c r="J2128" s="34" t="str">
        <f aca="false">'Uso e Consumo'!M2128</f>
        <v>3.8.1.022 - Elementos de fixação</v>
      </c>
      <c r="K2128" s="32" t="str">
        <f aca="false">INDEX('Curva ABC'!$K$8:$K$2847,MATCH(D2128,'Curva ABC'!$B$8:$B$2847,0))</f>
        <v>C</v>
      </c>
    </row>
    <row r="2129" customFormat="false" ht="15" hidden="false" customHeight="false" outlineLevel="0" collapsed="false">
      <c r="A2129" s="34" t="s">
        <v>5799</v>
      </c>
      <c r="B2129" s="34" t="str">
        <f aca="false">'Uso e Consumo'!A2129</f>
        <v>0335</v>
      </c>
      <c r="C2129" s="34" t="str">
        <f aca="false">'Uso e Consumo'!B2129</f>
        <v>UFV NORONHA VERDE - USO E CONSUMO</v>
      </c>
      <c r="D2129" s="33" t="n">
        <f aca="false">'Uso e Consumo'!C2129</f>
        <v>733740</v>
      </c>
      <c r="E2129" s="34" t="str">
        <f aca="false">'Uso e Consumo'!D2129</f>
        <v>24.08.0075</v>
      </c>
      <c r="F2129" s="34" t="str">
        <f aca="false">'Uso e Consumo'!E2129</f>
        <v>ALICATE DE PRESSÃO 11"</v>
      </c>
      <c r="G2129" s="34" t="str">
        <f aca="false">'Uso e Consumo'!J2129</f>
        <v>UN</v>
      </c>
      <c r="H2129" s="49" t="n">
        <f aca="false">'Uso e Consumo'!F2129</f>
        <v>2</v>
      </c>
      <c r="I2129" s="35" t="n">
        <f aca="false">'Uso e Consumo'!G2129</f>
        <v>104</v>
      </c>
      <c r="J2129" s="34" t="str">
        <f aca="false">'Uso e Consumo'!M2129</f>
        <v>3.8.2.002 - Ferramentas manuais</v>
      </c>
      <c r="K2129" s="32" t="str">
        <f aca="false">INDEX('Curva ABC'!$K$8:$K$2847,MATCH(D2129,'Curva ABC'!$B$8:$B$2847,0))</f>
        <v>C</v>
      </c>
    </row>
    <row r="2130" customFormat="false" ht="15" hidden="false" customHeight="false" outlineLevel="0" collapsed="false">
      <c r="A2130" s="34" t="s">
        <v>5799</v>
      </c>
      <c r="B2130" s="34" t="str">
        <f aca="false">'Uso e Consumo'!A2130</f>
        <v>0335</v>
      </c>
      <c r="C2130" s="34" t="str">
        <f aca="false">'Uso e Consumo'!B2130</f>
        <v>UFV NORONHA VERDE - USO E CONSUMO</v>
      </c>
      <c r="D2130" s="33" t="n">
        <f aca="false">'Uso e Consumo'!C2130</f>
        <v>552919</v>
      </c>
      <c r="E2130" s="34" t="str">
        <f aca="false">'Uso e Consumo'!D2130</f>
        <v>18.01.1157</v>
      </c>
      <c r="F2130" s="34" t="str">
        <f aca="false">'Uso e Consumo'!E2130</f>
        <v>TE SOLD ESG DE 50MM</v>
      </c>
      <c r="G2130" s="34" t="str">
        <f aca="false">'Uso e Consumo'!J2130</f>
        <v>UN</v>
      </c>
      <c r="H2130" s="49" t="n">
        <f aca="false">'Uso e Consumo'!F2130</f>
        <v>4</v>
      </c>
      <c r="I2130" s="35" t="n">
        <f aca="false">'Uso e Consumo'!G2130</f>
        <v>103.92</v>
      </c>
      <c r="J2130" s="34" t="str">
        <f aca="false">'Uso e Consumo'!M2130</f>
        <v>3.8.1.018 - Instalações hidráulicas/sanitárias/industriais</v>
      </c>
      <c r="K2130" s="32" t="str">
        <f aca="false">INDEX('Curva ABC'!$K$8:$K$2847,MATCH(D2130,'Curva ABC'!$B$8:$B$2847,0))</f>
        <v>C</v>
      </c>
    </row>
    <row r="2131" customFormat="false" ht="15" hidden="false" customHeight="false" outlineLevel="0" collapsed="false">
      <c r="A2131" s="34" t="s">
        <v>5799</v>
      </c>
      <c r="B2131" s="34" t="str">
        <f aca="false">'Uso e Consumo'!A2131</f>
        <v>0335</v>
      </c>
      <c r="C2131" s="34" t="str">
        <f aca="false">'Uso e Consumo'!B2131</f>
        <v>UFV NORONHA VERDE - USO E CONSUMO</v>
      </c>
      <c r="D2131" s="33" t="n">
        <f aca="false">'Uso e Consumo'!C2131</f>
        <v>222434</v>
      </c>
      <c r="E2131" s="34" t="str">
        <f aca="false">'Uso e Consumo'!D2131</f>
        <v>27.01.0189</v>
      </c>
      <c r="F2131" s="34" t="str">
        <f aca="false">'Uso e Consumo'!E2131</f>
        <v>SONRISAL CAIXA C/30 ENVELOPES</v>
      </c>
      <c r="G2131" s="34" t="str">
        <f aca="false">'Uso e Consumo'!J2131</f>
        <v>CX</v>
      </c>
      <c r="H2131" s="49" t="n">
        <f aca="false">'Uso e Consumo'!F2131</f>
        <v>1</v>
      </c>
      <c r="I2131" s="35" t="n">
        <f aca="false">'Uso e Consumo'!G2131</f>
        <v>103.62</v>
      </c>
      <c r="J2131" s="34" t="str">
        <f aca="false">'Uso e Consumo'!M2131</f>
        <v>4.3.4.006 - Medicamentos e primeiro socorros</v>
      </c>
      <c r="K2131" s="32" t="str">
        <f aca="false">INDEX('Curva ABC'!$K$8:$K$2847,MATCH(D2131,'Curva ABC'!$B$8:$B$2847,0))</f>
        <v>C</v>
      </c>
    </row>
    <row r="2132" customFormat="false" ht="15" hidden="false" customHeight="false" outlineLevel="0" collapsed="false">
      <c r="A2132" s="34" t="s">
        <v>5799</v>
      </c>
      <c r="B2132" s="34" t="str">
        <f aca="false">'Uso e Consumo'!A2132</f>
        <v>0335</v>
      </c>
      <c r="C2132" s="34" t="str">
        <f aca="false">'Uso e Consumo'!B2132</f>
        <v>UFV NORONHA VERDE - USO E CONSUMO</v>
      </c>
      <c r="D2132" s="33" t="n">
        <f aca="false">'Uso e Consumo'!C2132</f>
        <v>1476143</v>
      </c>
      <c r="E2132" s="34" t="str">
        <f aca="false">'Uso e Consumo'!D2132</f>
        <v>24.35.0017</v>
      </c>
      <c r="F2132" s="34" t="str">
        <f aca="false">'Uso e Consumo'!E2132</f>
        <v>ENXADA ANTI-FAÍSCA EM PVC COM CABO</v>
      </c>
      <c r="G2132" s="34" t="str">
        <f aca="false">'Uso e Consumo'!J2132</f>
        <v>UN</v>
      </c>
      <c r="H2132" s="49" t="n">
        <f aca="false">'Uso e Consumo'!F2132</f>
        <v>5</v>
      </c>
      <c r="I2132" s="35" t="n">
        <f aca="false">'Uso e Consumo'!G2132</f>
        <v>102.35</v>
      </c>
      <c r="J2132" s="34" t="str">
        <f aca="false">'Uso e Consumo'!M2132</f>
        <v>3.8.2.002 - Ferramentas manuais</v>
      </c>
      <c r="K2132" s="32" t="str">
        <f aca="false">INDEX('Curva ABC'!$K$8:$K$2847,MATCH(D2132,'Curva ABC'!$B$8:$B$2847,0))</f>
        <v>C</v>
      </c>
    </row>
    <row r="2133" customFormat="false" ht="15" hidden="false" customHeight="false" outlineLevel="0" collapsed="false">
      <c r="A2133" s="34" t="s">
        <v>5799</v>
      </c>
      <c r="B2133" s="34" t="str">
        <f aca="false">'Uso e Consumo'!A2133</f>
        <v>0335</v>
      </c>
      <c r="C2133" s="34" t="str">
        <f aca="false">'Uso e Consumo'!B2133</f>
        <v>UFV NORONHA VERDE - USO E CONSUMO</v>
      </c>
      <c r="D2133" s="33" t="n">
        <f aca="false">'Uso e Consumo'!C2133</f>
        <v>276672</v>
      </c>
      <c r="E2133" s="34" t="str">
        <f aca="false">'Uso e Consumo'!D2133</f>
        <v>17.16.0251</v>
      </c>
      <c r="F2133" s="34" t="str">
        <f aca="false">'Uso e Consumo'!E2133</f>
        <v>TERMINAL TUBULAR TIPO ILHOS PRE ISOLADO P/CABO 16,00 MM</v>
      </c>
      <c r="G2133" s="34" t="str">
        <f aca="false">'Uso e Consumo'!J2133</f>
        <v>UN</v>
      </c>
      <c r="H2133" s="49" t="n">
        <f aca="false">'Uso e Consumo'!F2133</f>
        <v>63</v>
      </c>
      <c r="I2133" s="35" t="n">
        <f aca="false">'Uso e Consumo'!G2133</f>
        <v>102.32</v>
      </c>
      <c r="J2133" s="34" t="str">
        <f aca="false">'Uso e Consumo'!M2133</f>
        <v>3.8.1.017 - Instalações elétricas/telefônicas/lógica</v>
      </c>
      <c r="K2133" s="32" t="str">
        <f aca="false">INDEX('Curva ABC'!$K$8:$K$2847,MATCH(D2133,'Curva ABC'!$B$8:$B$2847,0))</f>
        <v>C</v>
      </c>
    </row>
    <row r="2134" customFormat="false" ht="15" hidden="false" customHeight="false" outlineLevel="0" collapsed="false">
      <c r="A2134" s="34" t="s">
        <v>5799</v>
      </c>
      <c r="B2134" s="34" t="str">
        <f aca="false">'Uso e Consumo'!A2134</f>
        <v>0335</v>
      </c>
      <c r="C2134" s="34" t="str">
        <f aca="false">'Uso e Consumo'!B2134</f>
        <v>UFV NORONHA VERDE - USO E CONSUMO</v>
      </c>
      <c r="D2134" s="33" t="n">
        <f aca="false">'Uso e Consumo'!C2134</f>
        <v>1379883</v>
      </c>
      <c r="E2134" s="34" t="str">
        <f aca="false">'Uso e Consumo'!D2134</f>
        <v>18.02.0745</v>
      </c>
      <c r="F2134" s="34" t="str">
        <f aca="false">'Uso e Consumo'!E2134</f>
        <v>ADAPTADOR MÚLTIPLO DE LIGA DE ALUMÍNIO INSTALAÇÃO INTERNA, DIÂMETRO NOMINAL 25 MM (Ø1")</v>
      </c>
      <c r="G2134" s="34" t="str">
        <f aca="false">'Uso e Consumo'!J2134</f>
        <v>UN</v>
      </c>
      <c r="H2134" s="49" t="n">
        <f aca="false">'Uso e Consumo'!F2134</f>
        <v>26</v>
      </c>
      <c r="I2134" s="35" t="n">
        <f aca="false">'Uso e Consumo'!G2134</f>
        <v>101.66</v>
      </c>
      <c r="J2134" s="34" t="str">
        <f aca="false">'Uso e Consumo'!M2134</f>
        <v>3.8.1.017 - Instalações elétricas/telefônicas/lógica</v>
      </c>
      <c r="K2134" s="32" t="str">
        <f aca="false">INDEX('Curva ABC'!$K$8:$K$2847,MATCH(D2134,'Curva ABC'!$B$8:$B$2847,0))</f>
        <v>C</v>
      </c>
    </row>
    <row r="2135" customFormat="false" ht="15" hidden="false" customHeight="false" outlineLevel="0" collapsed="false">
      <c r="A2135" s="34" t="s">
        <v>5799</v>
      </c>
      <c r="B2135" s="34" t="str">
        <f aca="false">'Uso e Consumo'!A2135</f>
        <v>0335</v>
      </c>
      <c r="C2135" s="34" t="str">
        <f aca="false">'Uso e Consumo'!B2135</f>
        <v>UFV NORONHA VERDE - USO E CONSUMO</v>
      </c>
      <c r="D2135" s="33" t="n">
        <f aca="false">'Uso e Consumo'!C2135</f>
        <v>1384313</v>
      </c>
      <c r="E2135" s="34" t="str">
        <f aca="false">'Uso e Consumo'!D2135</f>
        <v>29.03.0403</v>
      </c>
      <c r="F2135" s="34" t="str">
        <f aca="false">'Uso e Consumo'!E2135</f>
        <v>CONJUNTO DE ESTRUTURA  PARA FIXAÇÃO DE UNIDADE CONDENSADORA DE 18.000 BTU/H,  FORNECIDO COM MATERIAIS FIXAÇÃO</v>
      </c>
      <c r="G2135" s="34" t="str">
        <f aca="false">'Uso e Consumo'!J2135</f>
        <v>UN</v>
      </c>
      <c r="H2135" s="49" t="n">
        <f aca="false">'Uso e Consumo'!F2135</f>
        <v>2</v>
      </c>
      <c r="I2135" s="35" t="n">
        <f aca="false">'Uso e Consumo'!G2135</f>
        <v>101.6</v>
      </c>
      <c r="J2135" s="34" t="str">
        <f aca="false">'Uso e Consumo'!M2135</f>
        <v>4.1.1.009 - Eletro eletrônico e acessórios</v>
      </c>
      <c r="K2135" s="32" t="str">
        <f aca="false">INDEX('Curva ABC'!$K$8:$K$2847,MATCH(D2135,'Curva ABC'!$B$8:$B$2847,0))</f>
        <v>C</v>
      </c>
    </row>
    <row r="2136" customFormat="false" ht="15" hidden="false" customHeight="false" outlineLevel="0" collapsed="false">
      <c r="A2136" s="34" t="s">
        <v>5799</v>
      </c>
      <c r="B2136" s="34" t="str">
        <f aca="false">'Uso e Consumo'!A2136</f>
        <v>0335</v>
      </c>
      <c r="C2136" s="34" t="str">
        <f aca="false">'Uso e Consumo'!B2136</f>
        <v>UFV NORONHA VERDE - USO E CONSUMO</v>
      </c>
      <c r="D2136" s="33" t="n">
        <f aca="false">'Uso e Consumo'!C2136</f>
        <v>750194</v>
      </c>
      <c r="E2136" s="34" t="str">
        <f aca="false">'Uso e Consumo'!D2136</f>
        <v>25.03.0315</v>
      </c>
      <c r="F2136" s="34" t="str">
        <f aca="false">'Uso e Consumo'!E2136</f>
        <v>BROCA SDS-PLUS 8MM </v>
      </c>
      <c r="G2136" s="34" t="str">
        <f aca="false">'Uso e Consumo'!J2136</f>
        <v>UN</v>
      </c>
      <c r="H2136" s="49" t="n">
        <f aca="false">'Uso e Consumo'!F2136</f>
        <v>12</v>
      </c>
      <c r="I2136" s="35" t="n">
        <f aca="false">'Uso e Consumo'!G2136</f>
        <v>101.27</v>
      </c>
      <c r="J2136" s="34" t="str">
        <f aca="false">'Uso e Consumo'!M2136</f>
        <v>3.8.2.004 - Consumíveis para corte, perfuração e desbaste</v>
      </c>
      <c r="K2136" s="32" t="str">
        <f aca="false">INDEX('Curva ABC'!$K$8:$K$2847,MATCH(D2136,'Curva ABC'!$B$8:$B$2847,0))</f>
        <v>C</v>
      </c>
    </row>
    <row r="2137" customFormat="false" ht="15" hidden="false" customHeight="false" outlineLevel="0" collapsed="false">
      <c r="A2137" s="34" t="s">
        <v>5799</v>
      </c>
      <c r="B2137" s="34" t="str">
        <f aca="false">'Uso e Consumo'!A2137</f>
        <v>0335</v>
      </c>
      <c r="C2137" s="34" t="str">
        <f aca="false">'Uso e Consumo'!B2137</f>
        <v>UFV NORONHA VERDE - USO E CONSUMO</v>
      </c>
      <c r="D2137" s="33" t="n">
        <f aca="false">'Uso e Consumo'!C2137</f>
        <v>750197</v>
      </c>
      <c r="E2137" s="34" t="str">
        <f aca="false">'Uso e Consumo'!D2137</f>
        <v>25.03.0318</v>
      </c>
      <c r="F2137" s="34" t="str">
        <f aca="false">'Uso e Consumo'!E2137</f>
        <v>BROCA SDS-PLUS 16MM </v>
      </c>
      <c r="G2137" s="34" t="str">
        <f aca="false">'Uso e Consumo'!J2137</f>
        <v>UN</v>
      </c>
      <c r="H2137" s="49" t="n">
        <f aca="false">'Uso e Consumo'!F2137</f>
        <v>4</v>
      </c>
      <c r="I2137" s="35" t="n">
        <f aca="false">'Uso e Consumo'!G2137</f>
        <v>100.88</v>
      </c>
      <c r="J2137" s="34" t="str">
        <f aca="false">'Uso e Consumo'!M2137</f>
        <v>3.8.2.004 - Consumíveis para corte, perfuração e desbaste</v>
      </c>
      <c r="K2137" s="32" t="str">
        <f aca="false">INDEX('Curva ABC'!$K$8:$K$2847,MATCH(D2137,'Curva ABC'!$B$8:$B$2847,0))</f>
        <v>C</v>
      </c>
    </row>
    <row r="2138" customFormat="false" ht="15" hidden="false" customHeight="false" outlineLevel="0" collapsed="false">
      <c r="A2138" s="34" t="s">
        <v>5799</v>
      </c>
      <c r="B2138" s="34" t="str">
        <f aca="false">'Uso e Consumo'!A2138</f>
        <v>0335</v>
      </c>
      <c r="C2138" s="34" t="str">
        <f aca="false">'Uso e Consumo'!B2138</f>
        <v>UFV NORONHA VERDE - USO E CONSUMO</v>
      </c>
      <c r="D2138" s="33" t="n">
        <f aca="false">'Uso e Consumo'!C2138</f>
        <v>32775</v>
      </c>
      <c r="E2138" s="34" t="str">
        <f aca="false">'Uso e Consumo'!D2138</f>
        <v>18.10.0047</v>
      </c>
      <c r="F2138" s="34" t="str">
        <f aca="false">'Uso e Consumo'!E2138</f>
        <v>ADESIVO PLÁSTICO TUBOS / CONEXOES PVC RIGIDO 850G</v>
      </c>
      <c r="G2138" s="34" t="str">
        <f aca="false">'Uso e Consumo'!J2138</f>
        <v>BI850</v>
      </c>
      <c r="H2138" s="49" t="n">
        <f aca="false">'Uso e Consumo'!F2138</f>
        <v>2</v>
      </c>
      <c r="I2138" s="35" t="n">
        <f aca="false">'Uso e Consumo'!G2138</f>
        <v>100.7</v>
      </c>
      <c r="J2138" s="34" t="str">
        <f aca="false">'Uso e Consumo'!M2138</f>
        <v>3.8.1.018 - Instalações hidráulicas/sanitárias/industriais</v>
      </c>
      <c r="K2138" s="32" t="str">
        <f aca="false">INDEX('Curva ABC'!$K$8:$K$2847,MATCH(D2138,'Curva ABC'!$B$8:$B$2847,0))</f>
        <v>C</v>
      </c>
    </row>
    <row r="2139" customFormat="false" ht="15" hidden="false" customHeight="false" outlineLevel="0" collapsed="false">
      <c r="A2139" s="34" t="s">
        <v>5799</v>
      </c>
      <c r="B2139" s="34" t="str">
        <f aca="false">'Uso e Consumo'!A2139</f>
        <v>0335</v>
      </c>
      <c r="C2139" s="34" t="str">
        <f aca="false">'Uso e Consumo'!B2139</f>
        <v>UFV NORONHA VERDE - USO E CONSUMO</v>
      </c>
      <c r="D2139" s="33" t="n">
        <f aca="false">'Uso e Consumo'!C2139</f>
        <v>60795</v>
      </c>
      <c r="E2139" s="34" t="str">
        <f aca="false">'Uso e Consumo'!D2139</f>
        <v>24.41.0091</v>
      </c>
      <c r="F2139" s="34" t="str">
        <f aca="false">'Uso e Consumo'!E2139</f>
        <v>CHAVE CATRACA REVERSÍVEL 1/2"</v>
      </c>
      <c r="G2139" s="34" t="str">
        <f aca="false">'Uso e Consumo'!J2139</f>
        <v>UN</v>
      </c>
      <c r="H2139" s="49" t="n">
        <f aca="false">'Uso e Consumo'!F2139</f>
        <v>2</v>
      </c>
      <c r="I2139" s="35" t="n">
        <f aca="false">'Uso e Consumo'!G2139</f>
        <v>100.2</v>
      </c>
      <c r="J2139" s="34" t="str">
        <f aca="false">'Uso e Consumo'!M2139</f>
        <v>3.8.2.002 - Ferramentas manuais</v>
      </c>
      <c r="K2139" s="32" t="str">
        <f aca="false">INDEX('Curva ABC'!$K$8:$K$2847,MATCH(D2139,'Curva ABC'!$B$8:$B$2847,0))</f>
        <v>C</v>
      </c>
    </row>
    <row r="2140" customFormat="false" ht="15" hidden="false" customHeight="false" outlineLevel="0" collapsed="false">
      <c r="A2140" s="34" t="s">
        <v>5799</v>
      </c>
      <c r="B2140" s="34" t="str">
        <f aca="false">'Uso e Consumo'!A2140</f>
        <v>0335</v>
      </c>
      <c r="C2140" s="34" t="str">
        <f aca="false">'Uso e Consumo'!B2140</f>
        <v>UFV NORONHA VERDE - USO E CONSUMO</v>
      </c>
      <c r="D2140" s="33" t="n">
        <f aca="false">'Uso e Consumo'!C2140</f>
        <v>54784</v>
      </c>
      <c r="E2140" s="34" t="str">
        <f aca="false">'Uso e Consumo'!D2140</f>
        <v>27.01.0109</v>
      </c>
      <c r="F2140" s="34" t="str">
        <f aca="false">'Uso e Consumo'!E2140</f>
        <v>OXÍMETRO DE DEDO</v>
      </c>
      <c r="G2140" s="34" t="str">
        <f aca="false">'Uso e Consumo'!J2140</f>
        <v>UN</v>
      </c>
      <c r="H2140" s="49" t="n">
        <f aca="false">'Uso e Consumo'!F2140</f>
        <v>1</v>
      </c>
      <c r="I2140" s="35" t="n">
        <f aca="false">'Uso e Consumo'!G2140</f>
        <v>100</v>
      </c>
      <c r="J2140" s="34" t="str">
        <f aca="false">'Uso e Consumo'!M2140</f>
        <v>4.3.4.006 - Medicamentos e primeiro socorros</v>
      </c>
      <c r="K2140" s="32" t="str">
        <f aca="false">INDEX('Curva ABC'!$K$8:$K$2847,MATCH(D2140,'Curva ABC'!$B$8:$B$2847,0))</f>
        <v>C</v>
      </c>
    </row>
    <row r="2141" customFormat="false" ht="15" hidden="false" customHeight="false" outlineLevel="0" collapsed="false">
      <c r="A2141" s="34" t="s">
        <v>5799</v>
      </c>
      <c r="B2141" s="34" t="str">
        <f aca="false">'Uso e Consumo'!A2141</f>
        <v>0335</v>
      </c>
      <c r="C2141" s="34" t="str">
        <f aca="false">'Uso e Consumo'!B2141</f>
        <v>UFV NORONHA VERDE - USO E CONSUMO</v>
      </c>
      <c r="D2141" s="33" t="n">
        <f aca="false">'Uso e Consumo'!C2141</f>
        <v>349311</v>
      </c>
      <c r="E2141" s="34" t="str">
        <f aca="false">'Uso e Consumo'!D2141</f>
        <v>27.01.0336</v>
      </c>
      <c r="F2141" s="34" t="str">
        <f aca="false">'Uso e Consumo'!E2141</f>
        <v>CIMEGRIPE</v>
      </c>
      <c r="G2141" s="34" t="str">
        <f aca="false">'Uso e Consumo'!J2141</f>
        <v>UN</v>
      </c>
      <c r="H2141" s="49" t="n">
        <f aca="false">'Uso e Consumo'!F2141</f>
        <v>5</v>
      </c>
      <c r="I2141" s="35" t="n">
        <f aca="false">'Uso e Consumo'!G2141</f>
        <v>100</v>
      </c>
      <c r="J2141" s="34" t="str">
        <f aca="false">'Uso e Consumo'!M2141</f>
        <v>4.3.4.006 - Medicamentos e primeiro socorros</v>
      </c>
      <c r="K2141" s="32" t="str">
        <f aca="false">INDEX('Curva ABC'!$K$8:$K$2847,MATCH(D2141,'Curva ABC'!$B$8:$B$2847,0))</f>
        <v>C</v>
      </c>
    </row>
    <row r="2142" customFormat="false" ht="15" hidden="false" customHeight="false" outlineLevel="0" collapsed="false">
      <c r="A2142" s="34" t="s">
        <v>5799</v>
      </c>
      <c r="B2142" s="34" t="str">
        <f aca="false">'Uso e Consumo'!A2142</f>
        <v>0335</v>
      </c>
      <c r="C2142" s="34" t="str">
        <f aca="false">'Uso e Consumo'!B2142</f>
        <v>UFV NORONHA VERDE - USO E CONSUMO</v>
      </c>
      <c r="D2142" s="33" t="n">
        <f aca="false">'Uso e Consumo'!C2142</f>
        <v>741312</v>
      </c>
      <c r="E2142" s="34" t="str">
        <f aca="false">'Uso e Consumo'!D2142</f>
        <v>24.15.0040</v>
      </c>
      <c r="F2142" s="34" t="str">
        <f aca="false">'Uso e Consumo'!E2142</f>
        <v>MARTELO</v>
      </c>
      <c r="G2142" s="34" t="str">
        <f aca="false">'Uso e Consumo'!J2142</f>
        <v>UN</v>
      </c>
      <c r="H2142" s="49" t="n">
        <f aca="false">'Uso e Consumo'!F2142</f>
        <v>2</v>
      </c>
      <c r="I2142" s="35" t="n">
        <f aca="false">'Uso e Consumo'!G2142</f>
        <v>100</v>
      </c>
      <c r="J2142" s="34" t="str">
        <f aca="false">'Uso e Consumo'!M2142</f>
        <v>3.8.2.002 - Ferramentas manuais</v>
      </c>
      <c r="K2142" s="32" t="str">
        <f aca="false">INDEX('Curva ABC'!$K$8:$K$2847,MATCH(D2142,'Curva ABC'!$B$8:$B$2847,0))</f>
        <v>C</v>
      </c>
    </row>
    <row r="2143" customFormat="false" ht="15" hidden="false" customHeight="false" outlineLevel="0" collapsed="false">
      <c r="A2143" s="34" t="s">
        <v>5799</v>
      </c>
      <c r="B2143" s="34" t="str">
        <f aca="false">'Uso e Consumo'!A2143</f>
        <v>0335</v>
      </c>
      <c r="C2143" s="34" t="str">
        <f aca="false">'Uso e Consumo'!B2143</f>
        <v>UFV NORONHA VERDE - USO E CONSUMO</v>
      </c>
      <c r="D2143" s="33" t="n">
        <f aca="false">'Uso e Consumo'!C2143</f>
        <v>869146</v>
      </c>
      <c r="E2143" s="34" t="str">
        <f aca="false">'Uso e Consumo'!D2143</f>
        <v>27.02.0168</v>
      </c>
      <c r="F2143" s="34" t="str">
        <f aca="false">'Uso e Consumo'!E2143</f>
        <v>BALANÇA DIGITAL RECARREGÁVEL USB MULTILASER HC411</v>
      </c>
      <c r="G2143" s="34" t="str">
        <f aca="false">'Uso e Consumo'!J2143</f>
        <v>UN</v>
      </c>
      <c r="H2143" s="49" t="n">
        <f aca="false">'Uso e Consumo'!F2143</f>
        <v>1</v>
      </c>
      <c r="I2143" s="35" t="n">
        <f aca="false">'Uso e Consumo'!G2143</f>
        <v>100</v>
      </c>
      <c r="J2143" s="34" t="str">
        <f aca="false">'Uso e Consumo'!M2143</f>
        <v>4.3.4.007 - Mobiliário médico/equipamentos/acessórios</v>
      </c>
      <c r="K2143" s="32" t="str">
        <f aca="false">INDEX('Curva ABC'!$K$8:$K$2847,MATCH(D2143,'Curva ABC'!$B$8:$B$2847,0))</f>
        <v>C</v>
      </c>
    </row>
    <row r="2144" customFormat="false" ht="15" hidden="false" customHeight="false" outlineLevel="0" collapsed="false">
      <c r="A2144" s="34" t="s">
        <v>5799</v>
      </c>
      <c r="B2144" s="34" t="str">
        <f aca="false">'Uso e Consumo'!A2144</f>
        <v>0335</v>
      </c>
      <c r="C2144" s="34" t="str">
        <f aca="false">'Uso e Consumo'!B2144</f>
        <v>UFV NORONHA VERDE - USO E CONSUMO</v>
      </c>
      <c r="D2144" s="33" t="n">
        <f aca="false">'Uso e Consumo'!C2144</f>
        <v>14328</v>
      </c>
      <c r="E2144" s="34" t="str">
        <f aca="false">'Uso e Consumo'!D2144</f>
        <v>17.16.0032</v>
      </c>
      <c r="F2144" s="34" t="str">
        <f aca="false">'Uso e Consumo'!E2144</f>
        <v>CONECTOR GRAMPO CABO HASTE ATERRAMENTO GAR BRONZE NBR 7554 35,00MM2 ESTANHADO NBR 5370</v>
      </c>
      <c r="G2144" s="34" t="str">
        <f aca="false">'Uso e Consumo'!J2144</f>
        <v>UN</v>
      </c>
      <c r="H2144" s="49" t="n">
        <f aca="false">'Uso e Consumo'!F2144</f>
        <v>5</v>
      </c>
      <c r="I2144" s="35" t="n">
        <f aca="false">'Uso e Consumo'!G2144</f>
        <v>99.9</v>
      </c>
      <c r="J2144" s="34" t="str">
        <f aca="false">'Uso e Consumo'!M2144</f>
        <v>3.8.1.017 - Instalações elétricas/telefônicas/lógica</v>
      </c>
      <c r="K2144" s="32" t="str">
        <f aca="false">INDEX('Curva ABC'!$K$8:$K$2847,MATCH(D2144,'Curva ABC'!$B$8:$B$2847,0))</f>
        <v>C</v>
      </c>
    </row>
    <row r="2145" customFormat="false" ht="15" hidden="false" customHeight="false" outlineLevel="0" collapsed="false">
      <c r="A2145" s="34" t="s">
        <v>5799</v>
      </c>
      <c r="B2145" s="34" t="str">
        <f aca="false">'Uso e Consumo'!A2145</f>
        <v>0335</v>
      </c>
      <c r="C2145" s="34" t="str">
        <f aca="false">'Uso e Consumo'!B2145</f>
        <v>UFV NORONHA VERDE - USO E CONSUMO</v>
      </c>
      <c r="D2145" s="33" t="n">
        <f aca="false">'Uso e Consumo'!C2145</f>
        <v>57320</v>
      </c>
      <c r="E2145" s="34" t="str">
        <f aca="false">'Uso e Consumo'!D2145</f>
        <v>18.01.0901</v>
      </c>
      <c r="F2145" s="34" t="str">
        <f aca="false">'Uso e Consumo'!E2145</f>
        <v>LUVA PVC DEFOFO INFLADA 100MM</v>
      </c>
      <c r="G2145" s="34" t="str">
        <f aca="false">'Uso e Consumo'!J2145</f>
        <v>UN</v>
      </c>
      <c r="H2145" s="49" t="n">
        <f aca="false">'Uso e Consumo'!F2145</f>
        <v>5</v>
      </c>
      <c r="I2145" s="35" t="n">
        <f aca="false">'Uso e Consumo'!G2145</f>
        <v>99.9</v>
      </c>
      <c r="J2145" s="34" t="str">
        <f aca="false">'Uso e Consumo'!M2145</f>
        <v>3.8.1.018 - Instalações hidráulicas/sanitárias/industriais</v>
      </c>
      <c r="K2145" s="32" t="str">
        <f aca="false">INDEX('Curva ABC'!$K$8:$K$2847,MATCH(D2145,'Curva ABC'!$B$8:$B$2847,0))</f>
        <v>C</v>
      </c>
    </row>
    <row r="2146" customFormat="false" ht="15" hidden="false" customHeight="false" outlineLevel="0" collapsed="false">
      <c r="A2146" s="34" t="s">
        <v>5799</v>
      </c>
      <c r="B2146" s="34" t="str">
        <f aca="false">'Uso e Consumo'!A2146</f>
        <v>0335</v>
      </c>
      <c r="C2146" s="34" t="str">
        <f aca="false">'Uso e Consumo'!B2146</f>
        <v>UFV NORONHA VERDE - USO E CONSUMO</v>
      </c>
      <c r="D2146" s="33" t="n">
        <f aca="false">'Uso e Consumo'!C2146</f>
        <v>19729</v>
      </c>
      <c r="E2146" s="34" t="str">
        <f aca="false">'Uso e Consumo'!D2146</f>
        <v>30.03.0002</v>
      </c>
      <c r="F2146" s="34" t="str">
        <f aca="false">'Uso e Consumo'!E2146</f>
        <v>BALDE PLÁSTICO 10,00L S/TAMPA C/ALCA S/PEGADOR S/BICO</v>
      </c>
      <c r="G2146" s="34" t="str">
        <f aca="false">'Uso e Consumo'!J2146</f>
        <v>UN</v>
      </c>
      <c r="H2146" s="49" t="n">
        <f aca="false">'Uso e Consumo'!F2146</f>
        <v>8</v>
      </c>
      <c r="I2146" s="35" t="n">
        <f aca="false">'Uso e Consumo'!G2146</f>
        <v>99.4674</v>
      </c>
      <c r="J2146" s="34" t="str">
        <f aca="false">'Uso e Consumo'!M2146</f>
        <v>4.1.1.003 - Material limpeza</v>
      </c>
      <c r="K2146" s="32" t="str">
        <f aca="false">INDEX('Curva ABC'!$K$8:$K$2847,MATCH(D2146,'Curva ABC'!$B$8:$B$2847,0))</f>
        <v>C</v>
      </c>
    </row>
    <row r="2147" customFormat="false" ht="15" hidden="false" customHeight="false" outlineLevel="0" collapsed="false">
      <c r="A2147" s="34" t="s">
        <v>5799</v>
      </c>
      <c r="B2147" s="34" t="str">
        <f aca="false">'Uso e Consumo'!A2147</f>
        <v>0335</v>
      </c>
      <c r="C2147" s="34" t="str">
        <f aca="false">'Uso e Consumo'!B2147</f>
        <v>UFV NORONHA VERDE - USO E CONSUMO</v>
      </c>
      <c r="D2147" s="33" t="n">
        <f aca="false">'Uso e Consumo'!C2147</f>
        <v>1475063</v>
      </c>
      <c r="E2147" s="34" t="str">
        <f aca="false">'Uso e Consumo'!D2147</f>
        <v>23.05.0296</v>
      </c>
      <c r="F2147" s="34" t="str">
        <f aca="false">'Uso e Consumo'!E2147</f>
        <v>ARRUELA QUADRADA TIPO CUNHA, DE AÇO GALVANIZADO A FOGO, BITOLA M18</v>
      </c>
      <c r="G2147" s="34" t="str">
        <f aca="false">'Uso e Consumo'!J2147</f>
        <v>UN</v>
      </c>
      <c r="H2147" s="49" t="n">
        <f aca="false">'Uso e Consumo'!F2147</f>
        <v>16</v>
      </c>
      <c r="I2147" s="35" t="n">
        <f aca="false">'Uso e Consumo'!G2147</f>
        <v>99.04</v>
      </c>
      <c r="J2147" s="34" t="str">
        <f aca="false">'Uso e Consumo'!M2147</f>
        <v>3.8.1.022 - Elementos de fixação</v>
      </c>
      <c r="K2147" s="32" t="str">
        <f aca="false">INDEX('Curva ABC'!$K$8:$K$2847,MATCH(D2147,'Curva ABC'!$B$8:$B$2847,0))</f>
        <v>C</v>
      </c>
    </row>
    <row r="2148" customFormat="false" ht="15" hidden="false" customHeight="false" outlineLevel="0" collapsed="false">
      <c r="A2148" s="34" t="s">
        <v>5799</v>
      </c>
      <c r="B2148" s="34" t="str">
        <f aca="false">'Uso e Consumo'!A2148</f>
        <v>0335</v>
      </c>
      <c r="C2148" s="34" t="str">
        <f aca="false">'Uso e Consumo'!B2148</f>
        <v>UFV NORONHA VERDE - USO E CONSUMO</v>
      </c>
      <c r="D2148" s="33" t="n">
        <f aca="false">'Uso e Consumo'!C2148</f>
        <v>33375</v>
      </c>
      <c r="E2148" s="34" t="str">
        <f aca="false">'Uso e Consumo'!D2148</f>
        <v>24.08.0022</v>
      </c>
      <c r="F2148" s="34" t="str">
        <f aca="false">'Uso e Consumo'!E2148</f>
        <v>ALICATE DE INSERÇÃO PUSH DOWN</v>
      </c>
      <c r="G2148" s="34" t="str">
        <f aca="false">'Uso e Consumo'!J2148</f>
        <v>UN</v>
      </c>
      <c r="H2148" s="49" t="n">
        <f aca="false">'Uso e Consumo'!F2148</f>
        <v>1</v>
      </c>
      <c r="I2148" s="35" t="n">
        <f aca="false">'Uso e Consumo'!G2148</f>
        <v>99</v>
      </c>
      <c r="J2148" s="34" t="str">
        <f aca="false">'Uso e Consumo'!M2148</f>
        <v>3.8.2.002 - Ferramentas manuais</v>
      </c>
      <c r="K2148" s="32" t="str">
        <f aca="false">INDEX('Curva ABC'!$K$8:$K$2847,MATCH(D2148,'Curva ABC'!$B$8:$B$2847,0))</f>
        <v>C</v>
      </c>
    </row>
    <row r="2149" customFormat="false" ht="15" hidden="false" customHeight="false" outlineLevel="0" collapsed="false">
      <c r="A2149" s="34" t="s">
        <v>5799</v>
      </c>
      <c r="B2149" s="34" t="str">
        <f aca="false">'Uso e Consumo'!A2149</f>
        <v>0335</v>
      </c>
      <c r="C2149" s="34" t="str">
        <f aca="false">'Uso e Consumo'!B2149</f>
        <v>UFV NORONHA VERDE - USO E CONSUMO</v>
      </c>
      <c r="D2149" s="33" t="n">
        <f aca="false">'Uso e Consumo'!C2149</f>
        <v>946749</v>
      </c>
      <c r="E2149" s="34" t="str">
        <f aca="false">'Uso e Consumo'!D2149</f>
        <v>24.07.0034</v>
      </c>
      <c r="F2149" s="34" t="str">
        <f aca="false">'Uso e Consumo'!E2149</f>
        <v>TRENA DE FIBRA DE 50MT</v>
      </c>
      <c r="G2149" s="34" t="str">
        <f aca="false">'Uso e Consumo'!J2149</f>
        <v>UN</v>
      </c>
      <c r="H2149" s="49" t="n">
        <f aca="false">'Uso e Consumo'!F2149</f>
        <v>2</v>
      </c>
      <c r="I2149" s="35" t="n">
        <f aca="false">'Uso e Consumo'!G2149</f>
        <v>98.62</v>
      </c>
      <c r="J2149" s="34" t="str">
        <f aca="false">'Uso e Consumo'!M2149</f>
        <v>3.8.2.001 - Ferramentas medição/aferição</v>
      </c>
      <c r="K2149" s="32" t="str">
        <f aca="false">INDEX('Curva ABC'!$K$8:$K$2847,MATCH(D2149,'Curva ABC'!$B$8:$B$2847,0))</f>
        <v>C</v>
      </c>
    </row>
    <row r="2150" customFormat="false" ht="15" hidden="false" customHeight="false" outlineLevel="0" collapsed="false">
      <c r="A2150" s="34" t="s">
        <v>5799</v>
      </c>
      <c r="B2150" s="34" t="str">
        <f aca="false">'Uso e Consumo'!A2150</f>
        <v>0335</v>
      </c>
      <c r="C2150" s="34" t="str">
        <f aca="false">'Uso e Consumo'!B2150</f>
        <v>UFV NORONHA VERDE - USO E CONSUMO</v>
      </c>
      <c r="D2150" s="33" t="n">
        <f aca="false">'Uso e Consumo'!C2150</f>
        <v>32465</v>
      </c>
      <c r="E2150" s="34" t="str">
        <f aca="false">'Uso e Consumo'!D2150</f>
        <v>17.02.0016</v>
      </c>
      <c r="F2150" s="34" t="str">
        <f aca="false">'Uso e Consumo'!E2150</f>
        <v>ELETRODUTO PVC ANTICHAMA RIGIDO SOLDAVEL PRETO 40,00MM X 3,00M NBR 15465</v>
      </c>
      <c r="G2150" s="34" t="str">
        <f aca="false">'Uso e Consumo'!J2150</f>
        <v>PÇ3M</v>
      </c>
      <c r="H2150" s="49" t="n">
        <f aca="false">'Uso e Consumo'!F2150</f>
        <v>11</v>
      </c>
      <c r="I2150" s="35" t="n">
        <f aca="false">'Uso e Consumo'!G2150</f>
        <v>98.56</v>
      </c>
      <c r="J2150" s="34" t="str">
        <f aca="false">'Uso e Consumo'!M2150</f>
        <v>3.8.1.017 - Instalações elétricas/telefônicas/lógica</v>
      </c>
      <c r="K2150" s="32" t="str">
        <f aca="false">INDEX('Curva ABC'!$K$8:$K$2847,MATCH(D2150,'Curva ABC'!$B$8:$B$2847,0))</f>
        <v>C</v>
      </c>
    </row>
    <row r="2151" customFormat="false" ht="15" hidden="false" customHeight="false" outlineLevel="0" collapsed="false">
      <c r="A2151" s="34" t="s">
        <v>5799</v>
      </c>
      <c r="B2151" s="34" t="str">
        <f aca="false">'Uso e Consumo'!A2151</f>
        <v>0335</v>
      </c>
      <c r="C2151" s="34" t="str">
        <f aca="false">'Uso e Consumo'!B2151</f>
        <v>UFV NORONHA VERDE - USO E CONSUMO</v>
      </c>
      <c r="D2151" s="33" t="n">
        <f aca="false">'Uso e Consumo'!C2151</f>
        <v>391131</v>
      </c>
      <c r="E2151" s="34" t="str">
        <f aca="false">'Uso e Consumo'!D2151</f>
        <v>25.03.0283</v>
      </c>
      <c r="F2151" s="34" t="str">
        <f aca="false">'Uso e Consumo'!E2151</f>
        <v>BROCA CONCRETO 14MM</v>
      </c>
      <c r="G2151" s="34" t="str">
        <f aca="false">'Uso e Consumo'!J2151</f>
        <v>UN</v>
      </c>
      <c r="H2151" s="49" t="n">
        <f aca="false">'Uso e Consumo'!F2151</f>
        <v>8</v>
      </c>
      <c r="I2151" s="35" t="n">
        <f aca="false">'Uso e Consumo'!G2151</f>
        <v>98.55</v>
      </c>
      <c r="J2151" s="34" t="str">
        <f aca="false">'Uso e Consumo'!M2151</f>
        <v>3.8.2.004 - Consumíveis para corte, perfuração e desbaste</v>
      </c>
      <c r="K2151" s="32" t="str">
        <f aca="false">INDEX('Curva ABC'!$K$8:$K$2847,MATCH(D2151,'Curva ABC'!$B$8:$B$2847,0))</f>
        <v>C</v>
      </c>
    </row>
    <row r="2152" customFormat="false" ht="15" hidden="false" customHeight="false" outlineLevel="0" collapsed="false">
      <c r="A2152" s="34" t="s">
        <v>5799</v>
      </c>
      <c r="B2152" s="34" t="str">
        <f aca="false">'Uso e Consumo'!A2152</f>
        <v>0335</v>
      </c>
      <c r="C2152" s="34" t="str">
        <f aca="false">'Uso e Consumo'!B2152</f>
        <v>UFV NORONHA VERDE - USO E CONSUMO</v>
      </c>
      <c r="D2152" s="33" t="n">
        <f aca="false">'Uso e Consumo'!C2152</f>
        <v>292573</v>
      </c>
      <c r="E2152" s="34" t="str">
        <f aca="false">'Uso e Consumo'!D2152</f>
        <v>25.10.0043</v>
      </c>
      <c r="F2152" s="34" t="str">
        <f aca="false">'Uso e Consumo'!E2152</f>
        <v>CORDA EM CARRETEL VERMELHO 4MM</v>
      </c>
      <c r="G2152" s="34" t="str">
        <f aca="false">'Uso e Consumo'!J2152</f>
        <v>M</v>
      </c>
      <c r="H2152" s="49" t="n">
        <f aca="false">'Uso e Consumo'!F2152</f>
        <v>30</v>
      </c>
      <c r="I2152" s="35" t="n">
        <f aca="false">'Uso e Consumo'!G2152</f>
        <v>98.4</v>
      </c>
      <c r="J2152" s="34" t="str">
        <f aca="false">'Uso e Consumo'!M2152</f>
        <v>3.8.2.006 - Utensílios</v>
      </c>
      <c r="K2152" s="32" t="str">
        <f aca="false">INDEX('Curva ABC'!$K$8:$K$2847,MATCH(D2152,'Curva ABC'!$B$8:$B$2847,0))</f>
        <v>C</v>
      </c>
    </row>
    <row r="2153" customFormat="false" ht="15" hidden="false" customHeight="false" outlineLevel="0" collapsed="false">
      <c r="A2153" s="34" t="s">
        <v>5799</v>
      </c>
      <c r="B2153" s="34" t="str">
        <f aca="false">'Uso e Consumo'!A2153</f>
        <v>0335</v>
      </c>
      <c r="C2153" s="34" t="str">
        <f aca="false">'Uso e Consumo'!B2153</f>
        <v>UFV NORONHA VERDE - USO E CONSUMO</v>
      </c>
      <c r="D2153" s="33" t="n">
        <f aca="false">'Uso e Consumo'!C2153</f>
        <v>23579</v>
      </c>
      <c r="E2153" s="34" t="str">
        <f aca="false">'Uso e Consumo'!D2153</f>
        <v>24.23.0008</v>
      </c>
      <c r="F2153" s="34" t="str">
        <f aca="false">'Uso e Consumo'!E2153</f>
        <v>BOMBA PULVERIZADORA  5L</v>
      </c>
      <c r="G2153" s="34" t="str">
        <f aca="false">'Uso e Consumo'!J2153</f>
        <v>UN</v>
      </c>
      <c r="H2153" s="49" t="n">
        <f aca="false">'Uso e Consumo'!F2153</f>
        <v>1</v>
      </c>
      <c r="I2153" s="35" t="n">
        <f aca="false">'Uso e Consumo'!G2153</f>
        <v>98</v>
      </c>
      <c r="J2153" s="34" t="str">
        <f aca="false">'Uso e Consumo'!M2153</f>
        <v>3.8.2.002 - Ferramentas manuais</v>
      </c>
      <c r="K2153" s="32" t="str">
        <f aca="false">INDEX('Curva ABC'!$K$8:$K$2847,MATCH(D2153,'Curva ABC'!$B$8:$B$2847,0))</f>
        <v>C</v>
      </c>
    </row>
    <row r="2154" customFormat="false" ht="15" hidden="false" customHeight="false" outlineLevel="0" collapsed="false">
      <c r="A2154" s="34" t="s">
        <v>5799</v>
      </c>
      <c r="B2154" s="34" t="str">
        <f aca="false">'Uso e Consumo'!A2154</f>
        <v>0335</v>
      </c>
      <c r="C2154" s="34" t="str">
        <f aca="false">'Uso e Consumo'!B2154</f>
        <v>UFV NORONHA VERDE - USO E CONSUMO</v>
      </c>
      <c r="D2154" s="33" t="n">
        <f aca="false">'Uso e Consumo'!C2154</f>
        <v>31973</v>
      </c>
      <c r="E2154" s="34" t="str">
        <f aca="false">'Uso e Consumo'!D2154</f>
        <v>30.03.0155</v>
      </c>
      <c r="F2154" s="34" t="str">
        <f aca="false">'Uso e Consumo'!E2154</f>
        <v>VASSOURA PLÁSTICA P/ JARDIM COM CABO</v>
      </c>
      <c r="G2154" s="34" t="str">
        <f aca="false">'Uso e Consumo'!J2154</f>
        <v>UN</v>
      </c>
      <c r="H2154" s="49" t="n">
        <f aca="false">'Uso e Consumo'!F2154</f>
        <v>1</v>
      </c>
      <c r="I2154" s="35" t="n">
        <f aca="false">'Uso e Consumo'!G2154</f>
        <v>98</v>
      </c>
      <c r="J2154" s="34" t="str">
        <f aca="false">'Uso e Consumo'!M2154</f>
        <v>4.1.1.001 - Material de uso e consumo</v>
      </c>
      <c r="K2154" s="32" t="str">
        <f aca="false">INDEX('Curva ABC'!$K$8:$K$2847,MATCH(D2154,'Curva ABC'!$B$8:$B$2847,0))</f>
        <v>C</v>
      </c>
    </row>
    <row r="2155" customFormat="false" ht="15" hidden="false" customHeight="false" outlineLevel="0" collapsed="false">
      <c r="A2155" s="34" t="s">
        <v>5799</v>
      </c>
      <c r="B2155" s="34" t="str">
        <f aca="false">'Uso e Consumo'!A2155</f>
        <v>0335</v>
      </c>
      <c r="C2155" s="34" t="str">
        <f aca="false">'Uso e Consumo'!B2155</f>
        <v>UFV NORONHA VERDE - USO E CONSUMO</v>
      </c>
      <c r="D2155" s="33" t="n">
        <f aca="false">'Uso e Consumo'!C2155</f>
        <v>32457</v>
      </c>
      <c r="E2155" s="34" t="str">
        <f aca="false">'Uso e Consumo'!D2155</f>
        <v>17.02.0008</v>
      </c>
      <c r="F2155" s="34" t="str">
        <f aca="false">'Uso e Consumo'!E2155</f>
        <v>ELETRODUTO PVC ANTICHAMA RIGIDO ROSCAVEL PRETO 1.1/4" X 3,00M NBR 15465</v>
      </c>
      <c r="G2155" s="34" t="str">
        <f aca="false">'Uso e Consumo'!J2155</f>
        <v>PÇ3M</v>
      </c>
      <c r="H2155" s="49" t="n">
        <f aca="false">'Uso e Consumo'!F2155</f>
        <v>1</v>
      </c>
      <c r="I2155" s="35" t="n">
        <f aca="false">'Uso e Consumo'!G2155</f>
        <v>98</v>
      </c>
      <c r="J2155" s="34" t="str">
        <f aca="false">'Uso e Consumo'!M2155</f>
        <v>3.8.1.017 - Instalações elétricas/telefônicas/lógica</v>
      </c>
      <c r="K2155" s="32" t="str">
        <f aca="false">INDEX('Curva ABC'!$K$8:$K$2847,MATCH(D2155,'Curva ABC'!$B$8:$B$2847,0))</f>
        <v>C</v>
      </c>
    </row>
    <row r="2156" customFormat="false" ht="15" hidden="false" customHeight="false" outlineLevel="0" collapsed="false">
      <c r="A2156" s="34" t="s">
        <v>5799</v>
      </c>
      <c r="B2156" s="34" t="str">
        <f aca="false">'Uso e Consumo'!A2156</f>
        <v>0335</v>
      </c>
      <c r="C2156" s="34" t="str">
        <f aca="false">'Uso e Consumo'!B2156</f>
        <v>UFV NORONHA VERDE - USO E CONSUMO</v>
      </c>
      <c r="D2156" s="33" t="n">
        <f aca="false">'Uso e Consumo'!C2156</f>
        <v>57261</v>
      </c>
      <c r="E2156" s="34" t="str">
        <f aca="false">'Uso e Consumo'!D2156</f>
        <v>17.12.0276</v>
      </c>
      <c r="F2156" s="34" t="str">
        <f aca="false">'Uso e Consumo'!E2156</f>
        <v>TOMADA EXTENSÃO INDUSTRIAL 32A 6H 380/440V – 3P+N+T REF.: 5276</v>
      </c>
      <c r="G2156" s="34" t="str">
        <f aca="false">'Uso e Consumo'!J2156</f>
        <v>UN</v>
      </c>
      <c r="H2156" s="49" t="n">
        <f aca="false">'Uso e Consumo'!F2156</f>
        <v>1</v>
      </c>
      <c r="I2156" s="35" t="n">
        <f aca="false">'Uso e Consumo'!G2156</f>
        <v>98</v>
      </c>
      <c r="J2156" s="34" t="str">
        <f aca="false">'Uso e Consumo'!M2156</f>
        <v>3.8.1.017 - Instalações elétricas/telefônicas/lógica</v>
      </c>
      <c r="K2156" s="32" t="str">
        <f aca="false">INDEX('Curva ABC'!$K$8:$K$2847,MATCH(D2156,'Curva ABC'!$B$8:$B$2847,0))</f>
        <v>C</v>
      </c>
    </row>
    <row r="2157" customFormat="false" ht="15" hidden="false" customHeight="false" outlineLevel="0" collapsed="false">
      <c r="A2157" s="34" t="s">
        <v>5799</v>
      </c>
      <c r="B2157" s="34" t="str">
        <f aca="false">'Uso e Consumo'!A2157</f>
        <v>0335</v>
      </c>
      <c r="C2157" s="34" t="str">
        <f aca="false">'Uso e Consumo'!B2157</f>
        <v>UFV NORONHA VERDE - USO E CONSUMO</v>
      </c>
      <c r="D2157" s="33" t="n">
        <f aca="false">'Uso e Consumo'!C2157</f>
        <v>60331</v>
      </c>
      <c r="E2157" s="34" t="str">
        <f aca="false">'Uso e Consumo'!D2157</f>
        <v>25.01.0114</v>
      </c>
      <c r="F2157" s="34" t="str">
        <f aca="false">'Uso e Consumo'!E2157</f>
        <v>DISCO DIAMANTADO SEGMENTADO 7’’ X 7/8’’</v>
      </c>
      <c r="G2157" s="34" t="str">
        <f aca="false">'Uso e Consumo'!J2157</f>
        <v>UN</v>
      </c>
      <c r="H2157" s="49" t="n">
        <f aca="false">'Uso e Consumo'!F2157</f>
        <v>1</v>
      </c>
      <c r="I2157" s="35" t="n">
        <f aca="false">'Uso e Consumo'!G2157</f>
        <v>98</v>
      </c>
      <c r="J2157" s="34" t="str">
        <f aca="false">'Uso e Consumo'!M2157</f>
        <v>3.8.2.004 - Consumíveis para corte, perfuração e desbaste</v>
      </c>
      <c r="K2157" s="32" t="str">
        <f aca="false">INDEX('Curva ABC'!$K$8:$K$2847,MATCH(D2157,'Curva ABC'!$B$8:$B$2847,0))</f>
        <v>C</v>
      </c>
    </row>
    <row r="2158" customFormat="false" ht="15" hidden="false" customHeight="false" outlineLevel="0" collapsed="false">
      <c r="A2158" s="34" t="s">
        <v>5799</v>
      </c>
      <c r="B2158" s="34" t="str">
        <f aca="false">'Uso e Consumo'!A2158</f>
        <v>0335</v>
      </c>
      <c r="C2158" s="34" t="str">
        <f aca="false">'Uso e Consumo'!B2158</f>
        <v>UFV NORONHA VERDE - USO E CONSUMO</v>
      </c>
      <c r="D2158" s="33" t="n">
        <f aca="false">'Uso e Consumo'!C2158</f>
        <v>60675</v>
      </c>
      <c r="E2158" s="34" t="str">
        <f aca="false">'Uso e Consumo'!D2158</f>
        <v>26.02.0092</v>
      </c>
      <c r="F2158" s="34" t="str">
        <f aca="false">'Uso e Consumo'!E2158</f>
        <v>BOTA IMPERMEÁVEL DE PVC CANO CURTO - COR PRETA - Nº 41 (CA-26629/10199/28286)</v>
      </c>
      <c r="G2158" s="34" t="str">
        <f aca="false">'Uso e Consumo'!J2158</f>
        <v>PAR</v>
      </c>
      <c r="H2158" s="49" t="n">
        <f aca="false">'Uso e Consumo'!F2158</f>
        <v>1</v>
      </c>
      <c r="I2158" s="35" t="n">
        <f aca="false">'Uso e Consumo'!G2158</f>
        <v>98</v>
      </c>
      <c r="J2158" s="34" t="str">
        <f aca="false">'Uso e Consumo'!M2158</f>
        <v>4.3.4.001 - Equipamento de proteção individual</v>
      </c>
      <c r="K2158" s="32" t="str">
        <f aca="false">INDEX('Curva ABC'!$K$8:$K$2847,MATCH(D2158,'Curva ABC'!$B$8:$B$2847,0))</f>
        <v>C</v>
      </c>
    </row>
    <row r="2159" customFormat="false" ht="15" hidden="false" customHeight="false" outlineLevel="0" collapsed="false">
      <c r="A2159" s="34" t="s">
        <v>5799</v>
      </c>
      <c r="B2159" s="34" t="str">
        <f aca="false">'Uso e Consumo'!A2159</f>
        <v>0335</v>
      </c>
      <c r="C2159" s="34" t="str">
        <f aca="false">'Uso e Consumo'!B2159</f>
        <v>UFV NORONHA VERDE - USO E CONSUMO</v>
      </c>
      <c r="D2159" s="33" t="n">
        <f aca="false">'Uso e Consumo'!C2159</f>
        <v>230155</v>
      </c>
      <c r="E2159" s="34" t="str">
        <f aca="false">'Uso e Consumo'!D2159</f>
        <v>26.10.0013</v>
      </c>
      <c r="F2159" s="34" t="str">
        <f aca="false">'Uso e Consumo'!E2159</f>
        <v>PERNEIRA DE COURO COM TALAS DE PVC, VELCRO ÚNICO</v>
      </c>
      <c r="G2159" s="34" t="str">
        <f aca="false">'Uso e Consumo'!J2159</f>
        <v>PAR</v>
      </c>
      <c r="H2159" s="49" t="n">
        <f aca="false">'Uso e Consumo'!F2159</f>
        <v>1</v>
      </c>
      <c r="I2159" s="35" t="n">
        <f aca="false">'Uso e Consumo'!G2159</f>
        <v>98</v>
      </c>
      <c r="J2159" s="34" t="str">
        <f aca="false">'Uso e Consumo'!M2159</f>
        <v>4.3.4.001 - Equipamento de proteção individual</v>
      </c>
      <c r="K2159" s="32" t="str">
        <f aca="false">INDEX('Curva ABC'!$K$8:$K$2847,MATCH(D2159,'Curva ABC'!$B$8:$B$2847,0))</f>
        <v>C</v>
      </c>
    </row>
    <row r="2160" customFormat="false" ht="15" hidden="false" customHeight="false" outlineLevel="0" collapsed="false">
      <c r="A2160" s="34" t="s">
        <v>5799</v>
      </c>
      <c r="B2160" s="34" t="str">
        <f aca="false">'Uso e Consumo'!A2160</f>
        <v>0335</v>
      </c>
      <c r="C2160" s="34" t="str">
        <f aca="false">'Uso e Consumo'!B2160</f>
        <v>UFV NORONHA VERDE - USO E CONSUMO</v>
      </c>
      <c r="D2160" s="33" t="n">
        <f aca="false">'Uso e Consumo'!C2160</f>
        <v>602574</v>
      </c>
      <c r="E2160" s="34" t="str">
        <f aca="false">'Uso e Consumo'!D2160</f>
        <v>23.07.1313</v>
      </c>
      <c r="F2160" s="34" t="str">
        <f aca="false">'Uso e Consumo'!E2160</f>
        <v>PARAFUSO ROSCA DUPLA EM AÇO GALVANIZADO, M16 X 500MM</v>
      </c>
      <c r="G2160" s="34" t="str">
        <f aca="false">'Uso e Consumo'!J2160</f>
        <v>pç</v>
      </c>
      <c r="H2160" s="49" t="n">
        <f aca="false">'Uso e Consumo'!F2160</f>
        <v>1</v>
      </c>
      <c r="I2160" s="35" t="n">
        <f aca="false">'Uso e Consumo'!G2160</f>
        <v>98</v>
      </c>
      <c r="J2160" s="34" t="str">
        <f aca="false">'Uso e Consumo'!M2160</f>
        <v>3.8.1.022 - Elementos de fixação</v>
      </c>
      <c r="K2160" s="32" t="str">
        <f aca="false">INDEX('Curva ABC'!$K$8:$K$2847,MATCH(D2160,'Curva ABC'!$B$8:$B$2847,0))</f>
        <v>C</v>
      </c>
    </row>
    <row r="2161" customFormat="false" ht="15" hidden="false" customHeight="false" outlineLevel="0" collapsed="false">
      <c r="A2161" s="34" t="s">
        <v>5799</v>
      </c>
      <c r="B2161" s="34" t="str">
        <f aca="false">'Uso e Consumo'!A2161</f>
        <v>0335</v>
      </c>
      <c r="C2161" s="34" t="str">
        <f aca="false">'Uso e Consumo'!B2161</f>
        <v>UFV NORONHA VERDE - USO E CONSUMO</v>
      </c>
      <c r="D2161" s="33" t="n">
        <f aca="false">'Uso e Consumo'!C2161</f>
        <v>609684</v>
      </c>
      <c r="E2161" s="34" t="str">
        <f aca="false">'Uso e Consumo'!D2161</f>
        <v>24.08.0067</v>
      </c>
      <c r="F2161" s="34" t="str">
        <f aca="false">'Uso e Consumo'!E2161</f>
        <v>ALICATE DE CORTE 1/2</v>
      </c>
      <c r="G2161" s="34" t="str">
        <f aca="false">'Uso e Consumo'!J2161</f>
        <v>UN</v>
      </c>
      <c r="H2161" s="49" t="n">
        <f aca="false">'Uso e Consumo'!F2161</f>
        <v>1</v>
      </c>
      <c r="I2161" s="35" t="n">
        <f aca="false">'Uso e Consumo'!G2161</f>
        <v>98</v>
      </c>
      <c r="J2161" s="34" t="str">
        <f aca="false">'Uso e Consumo'!M2161</f>
        <v>3.8.2.002 - Ferramentas manuais</v>
      </c>
      <c r="K2161" s="32" t="str">
        <f aca="false">INDEX('Curva ABC'!$K$8:$K$2847,MATCH(D2161,'Curva ABC'!$B$8:$B$2847,0))</f>
        <v>C</v>
      </c>
    </row>
    <row r="2162" customFormat="false" ht="15" hidden="false" customHeight="false" outlineLevel="0" collapsed="false">
      <c r="A2162" s="34" t="s">
        <v>5799</v>
      </c>
      <c r="B2162" s="34" t="str">
        <f aca="false">'Uso e Consumo'!A2162</f>
        <v>0335</v>
      </c>
      <c r="C2162" s="34" t="str">
        <f aca="false">'Uso e Consumo'!B2162</f>
        <v>UFV NORONHA VERDE - USO E CONSUMO</v>
      </c>
      <c r="D2162" s="33" t="n">
        <f aca="false">'Uso e Consumo'!C2162</f>
        <v>871972</v>
      </c>
      <c r="E2162" s="34" t="str">
        <f aca="false">'Uso e Consumo'!D2162</f>
        <v>13.06.0310</v>
      </c>
      <c r="F2162" s="34" t="str">
        <f aca="false">'Uso e Consumo'!E2162</f>
        <v>DOBRADIÇA 4 POLEGADAS</v>
      </c>
      <c r="G2162" s="34" t="str">
        <f aca="false">'Uso e Consumo'!J2162</f>
        <v>UN</v>
      </c>
      <c r="H2162" s="49" t="n">
        <f aca="false">'Uso e Consumo'!F2162</f>
        <v>1</v>
      </c>
      <c r="I2162" s="35" t="n">
        <f aca="false">'Uso e Consumo'!G2162</f>
        <v>98</v>
      </c>
      <c r="J2162" s="34" t="str">
        <f aca="false">'Uso e Consumo'!M2162</f>
        <v>3.8.1.013 - Esquadrias e vidros</v>
      </c>
      <c r="K2162" s="32" t="str">
        <f aca="false">INDEX('Curva ABC'!$K$8:$K$2847,MATCH(D2162,'Curva ABC'!$B$8:$B$2847,0))</f>
        <v>C</v>
      </c>
    </row>
    <row r="2163" customFormat="false" ht="15" hidden="false" customHeight="false" outlineLevel="0" collapsed="false">
      <c r="A2163" s="34" t="s">
        <v>5799</v>
      </c>
      <c r="B2163" s="34" t="str">
        <f aca="false">'Uso e Consumo'!A2163</f>
        <v>0335</v>
      </c>
      <c r="C2163" s="34" t="str">
        <f aca="false">'Uso e Consumo'!B2163</f>
        <v>UFV NORONHA VERDE - USO E CONSUMO</v>
      </c>
      <c r="D2163" s="33" t="n">
        <f aca="false">'Uso e Consumo'!C2163</f>
        <v>1090204</v>
      </c>
      <c r="E2163" s="34" t="str">
        <f aca="false">'Uso e Consumo'!D2163</f>
        <v>07.02.0012</v>
      </c>
      <c r="F2163" s="34" t="str">
        <f aca="false">'Uso e Consumo'!E2163</f>
        <v>ARGAMASSA C3 JUNTAMIX 1 KG</v>
      </c>
      <c r="G2163" s="34" t="str">
        <f aca="false">'Uso e Consumo'!J2163</f>
        <v>UN</v>
      </c>
      <c r="H2163" s="49" t="n">
        <f aca="false">'Uso e Consumo'!F2163</f>
        <v>1</v>
      </c>
      <c r="I2163" s="35" t="n">
        <f aca="false">'Uso e Consumo'!G2163</f>
        <v>98</v>
      </c>
      <c r="J2163" s="34" t="str">
        <f aca="false">'Uso e Consumo'!M2163</f>
        <v>3.8.1.007 - Argamassas</v>
      </c>
      <c r="K2163" s="32" t="str">
        <f aca="false">INDEX('Curva ABC'!$K$8:$K$2847,MATCH(D2163,'Curva ABC'!$B$8:$B$2847,0))</f>
        <v>C</v>
      </c>
    </row>
    <row r="2164" customFormat="false" ht="15" hidden="false" customHeight="false" outlineLevel="0" collapsed="false">
      <c r="A2164" s="34" t="s">
        <v>5799</v>
      </c>
      <c r="B2164" s="34" t="str">
        <f aca="false">'Uso e Consumo'!A2164</f>
        <v>0335</v>
      </c>
      <c r="C2164" s="34" t="str">
        <f aca="false">'Uso e Consumo'!B2164</f>
        <v>UFV NORONHA VERDE - USO E CONSUMO</v>
      </c>
      <c r="D2164" s="33" t="n">
        <f aca="false">'Uso e Consumo'!C2164</f>
        <v>1389022</v>
      </c>
      <c r="E2164" s="34" t="str">
        <f aca="false">'Uso e Consumo'!D2164</f>
        <v>25.03.0398</v>
      </c>
      <c r="F2164" s="34" t="str">
        <f aca="false">'Uso e Consumo'!E2164</f>
        <v>BROCA DIAMANTADA 12MM 1/2</v>
      </c>
      <c r="G2164" s="34" t="str">
        <f aca="false">'Uso e Consumo'!J2164</f>
        <v>UN</v>
      </c>
      <c r="H2164" s="49" t="n">
        <f aca="false">'Uso e Consumo'!F2164</f>
        <v>1</v>
      </c>
      <c r="I2164" s="35" t="n">
        <f aca="false">'Uso e Consumo'!G2164</f>
        <v>98</v>
      </c>
      <c r="J2164" s="34" t="str">
        <f aca="false">'Uso e Consumo'!M2164</f>
        <v>3.8.2.004 - Consumíveis para corte, perfuração e desbaste</v>
      </c>
      <c r="K2164" s="32" t="str">
        <f aca="false">INDEX('Curva ABC'!$K$8:$K$2847,MATCH(D2164,'Curva ABC'!$B$8:$B$2847,0))</f>
        <v>C</v>
      </c>
    </row>
    <row r="2165" customFormat="false" ht="15" hidden="false" customHeight="false" outlineLevel="0" collapsed="false">
      <c r="A2165" s="34" t="s">
        <v>5799</v>
      </c>
      <c r="B2165" s="34" t="str">
        <f aca="false">'Uso e Consumo'!A2165</f>
        <v>0335</v>
      </c>
      <c r="C2165" s="34" t="str">
        <f aca="false">'Uso e Consumo'!B2165</f>
        <v>UFV NORONHA VERDE - USO E CONSUMO</v>
      </c>
      <c r="D2165" s="33" t="n">
        <f aca="false">'Uso e Consumo'!C2165</f>
        <v>1484060</v>
      </c>
      <c r="E2165" s="34" t="str">
        <f aca="false">'Uso e Consumo'!D2165</f>
        <v>23.07.1606</v>
      </c>
      <c r="F2165" s="34" t="str">
        <f aca="false">'Uso e Consumo'!E2165</f>
        <v>PARAFUSO AUTO ATARRAXANTE AÇO INOX CABEÇA PANELA 6,3 X 35 MM</v>
      </c>
      <c r="G2165" s="34" t="str">
        <f aca="false">'Uso e Consumo'!J2165</f>
        <v>UN</v>
      </c>
      <c r="H2165" s="49" t="n">
        <f aca="false">'Uso e Consumo'!F2165</f>
        <v>98</v>
      </c>
      <c r="I2165" s="35" t="n">
        <f aca="false">'Uso e Consumo'!G2165</f>
        <v>98</v>
      </c>
      <c r="J2165" s="34" t="str">
        <f aca="false">'Uso e Consumo'!M2165</f>
        <v>3.8.1.022 - Elementos de fixação</v>
      </c>
      <c r="K2165" s="32" t="str">
        <f aca="false">INDEX('Curva ABC'!$K$8:$K$2847,MATCH(D2165,'Curva ABC'!$B$8:$B$2847,0))</f>
        <v>C</v>
      </c>
    </row>
    <row r="2166" customFormat="false" ht="22.35" hidden="false" customHeight="false" outlineLevel="0" collapsed="false">
      <c r="A2166" s="34" t="s">
        <v>5799</v>
      </c>
      <c r="B2166" s="34" t="str">
        <f aca="false">'Uso e Consumo'!A2166</f>
        <v>0335</v>
      </c>
      <c r="C2166" s="34" t="str">
        <f aca="false">'Uso e Consumo'!B2166</f>
        <v>UFV NORONHA VERDE - USO E CONSUMO</v>
      </c>
      <c r="D2166" s="33" t="n">
        <f aca="false">'Uso e Consumo'!C2166</f>
        <v>1476335</v>
      </c>
      <c r="E2166" s="34" t="str">
        <f aca="false">'Uso e Consumo'!D2166</f>
        <v>25.04.0046</v>
      </c>
      <c r="F2166" s="50" t="str">
        <f aca="false">'Uso e Consumo'!E2166</f>
        <v>LÂMINA DE REPOSIÇÃO PARA ESTILETE TRAPEZOIDAL 18MM
</v>
      </c>
      <c r="G2166" s="34" t="str">
        <f aca="false">'Uso e Consumo'!J2166</f>
        <v>UN</v>
      </c>
      <c r="H2166" s="49" t="n">
        <f aca="false">'Uso e Consumo'!F2166</f>
        <v>5</v>
      </c>
      <c r="I2166" s="35" t="n">
        <f aca="false">'Uso e Consumo'!G2166</f>
        <v>97.8</v>
      </c>
      <c r="J2166" s="34" t="str">
        <f aca="false">'Uso e Consumo'!M2166</f>
        <v>3.8.1.001 - Aços e trefilados</v>
      </c>
      <c r="K2166" s="32" t="str">
        <f aca="false">INDEX('Curva ABC'!$K$8:$K$2847,MATCH(D2166,'Curva ABC'!$B$8:$B$2847,0))</f>
        <v>C</v>
      </c>
    </row>
    <row r="2167" customFormat="false" ht="15" hidden="false" customHeight="false" outlineLevel="0" collapsed="false">
      <c r="A2167" s="34" t="s">
        <v>5799</v>
      </c>
      <c r="B2167" s="34" t="str">
        <f aca="false">'Uso e Consumo'!A2167</f>
        <v>0335</v>
      </c>
      <c r="C2167" s="34" t="str">
        <f aca="false">'Uso e Consumo'!B2167</f>
        <v>UFV NORONHA VERDE - USO E CONSUMO</v>
      </c>
      <c r="D2167" s="33" t="n">
        <f aca="false">'Uso e Consumo'!C2167</f>
        <v>1386070</v>
      </c>
      <c r="E2167" s="34" t="str">
        <f aca="false">'Uso e Consumo'!D2167</f>
        <v>23.07.1579</v>
      </c>
      <c r="F2167" s="34" t="str">
        <f aca="false">'Uso e Consumo'!E2167</f>
        <v>PARAFUSO AUTOATARRAXANTE AÇO INOX, CABEÇA PANELA, 6,3 X 40 MM</v>
      </c>
      <c r="G2167" s="34" t="str">
        <f aca="false">'Uso e Consumo'!J2167</f>
        <v>UN</v>
      </c>
      <c r="H2167" s="49" t="n">
        <f aca="false">'Uso e Consumo'!F2167</f>
        <v>81</v>
      </c>
      <c r="I2167" s="35" t="n">
        <f aca="false">'Uso e Consumo'!G2167</f>
        <v>97.08</v>
      </c>
      <c r="J2167" s="34" t="str">
        <f aca="false">'Uso e Consumo'!M2167</f>
        <v>3.1.1.001 - Material de uso e consumo</v>
      </c>
      <c r="K2167" s="32" t="str">
        <f aca="false">INDEX('Curva ABC'!$K$8:$K$2847,MATCH(D2167,'Curva ABC'!$B$8:$B$2847,0))</f>
        <v>C</v>
      </c>
    </row>
    <row r="2168" customFormat="false" ht="15" hidden="false" customHeight="false" outlineLevel="0" collapsed="false">
      <c r="A2168" s="34" t="s">
        <v>5799</v>
      </c>
      <c r="B2168" s="34" t="str">
        <f aca="false">'Uso e Consumo'!A2168</f>
        <v>0335</v>
      </c>
      <c r="C2168" s="34" t="str">
        <f aca="false">'Uso e Consumo'!B2168</f>
        <v>UFV NORONHA VERDE - USO E CONSUMO</v>
      </c>
      <c r="D2168" s="33" t="n">
        <f aca="false">'Uso e Consumo'!C2168</f>
        <v>1096772</v>
      </c>
      <c r="E2168" s="34" t="str">
        <f aca="false">'Uso e Consumo'!D2168</f>
        <v>17.10.0421</v>
      </c>
      <c r="F2168" s="34" t="str">
        <f aca="false">'Uso e Consumo'!E2168</f>
        <v>DISJUNTOR UNIPOLAR 32A DIN</v>
      </c>
      <c r="G2168" s="34" t="str">
        <f aca="false">'Uso e Consumo'!J2168</f>
        <v>UN</v>
      </c>
      <c r="H2168" s="49" t="n">
        <f aca="false">'Uso e Consumo'!F2168</f>
        <v>11</v>
      </c>
      <c r="I2168" s="35" t="n">
        <f aca="false">'Uso e Consumo'!G2168</f>
        <v>96.58</v>
      </c>
      <c r="J2168" s="34" t="str">
        <f aca="false">'Uso e Consumo'!M2168</f>
        <v>3.8.1.017 - Instalações elétricas/telefônicas/lógica</v>
      </c>
      <c r="K2168" s="32" t="str">
        <f aca="false">INDEX('Curva ABC'!$K$8:$K$2847,MATCH(D2168,'Curva ABC'!$B$8:$B$2847,0))</f>
        <v>C</v>
      </c>
    </row>
    <row r="2169" customFormat="false" ht="15" hidden="false" customHeight="false" outlineLevel="0" collapsed="false">
      <c r="A2169" s="34" t="s">
        <v>5799</v>
      </c>
      <c r="B2169" s="34" t="str">
        <f aca="false">'Uso e Consumo'!A2169</f>
        <v>0335</v>
      </c>
      <c r="C2169" s="34" t="str">
        <f aca="false">'Uso e Consumo'!B2169</f>
        <v>UFV NORONHA VERDE - USO E CONSUMO</v>
      </c>
      <c r="D2169" s="33" t="n">
        <f aca="false">'Uso e Consumo'!C2169</f>
        <v>884822</v>
      </c>
      <c r="E2169" s="34" t="str">
        <f aca="false">'Uso e Consumo'!D2169</f>
        <v>17.16.0495</v>
      </c>
      <c r="F2169" s="34" t="str">
        <f aca="false">'Uso e Consumo'!E2169</f>
        <v>TERMINAL À COMPRESSÃO DE COBRE ESTANHADO 70MM²</v>
      </c>
      <c r="G2169" s="34" t="str">
        <f aca="false">'Uso e Consumo'!J2169</f>
        <v>UN</v>
      </c>
      <c r="H2169" s="49" t="n">
        <f aca="false">'Uso e Consumo'!F2169</f>
        <v>11</v>
      </c>
      <c r="I2169" s="35" t="n">
        <f aca="false">'Uso e Consumo'!G2169</f>
        <v>96.03</v>
      </c>
      <c r="J2169" s="34" t="str">
        <f aca="false">'Uso e Consumo'!M2169</f>
        <v>3.8.1.017 - Instalações elétricas/telefônicas/lógica</v>
      </c>
      <c r="K2169" s="32" t="str">
        <f aca="false">INDEX('Curva ABC'!$K$8:$K$2847,MATCH(D2169,'Curva ABC'!$B$8:$B$2847,0))</f>
        <v>C</v>
      </c>
    </row>
    <row r="2170" customFormat="false" ht="15" hidden="false" customHeight="false" outlineLevel="0" collapsed="false">
      <c r="A2170" s="34" t="s">
        <v>5799</v>
      </c>
      <c r="B2170" s="34" t="str">
        <f aca="false">'Uso e Consumo'!A2170</f>
        <v>0335</v>
      </c>
      <c r="C2170" s="34" t="str">
        <f aca="false">'Uso e Consumo'!B2170</f>
        <v>UFV NORONHA VERDE - USO E CONSUMO</v>
      </c>
      <c r="D2170" s="33" t="n">
        <f aca="false">'Uso e Consumo'!C2170</f>
        <v>351660</v>
      </c>
      <c r="E2170" s="34" t="str">
        <f aca="false">'Uso e Consumo'!D2170</f>
        <v>24.09.0426</v>
      </c>
      <c r="F2170" s="34" t="str">
        <f aca="false">'Uso e Consumo'!E2170</f>
        <v>SOQUETE ESTRIADO 33MM COM ENCAIXE  3/4"</v>
      </c>
      <c r="G2170" s="34" t="str">
        <f aca="false">'Uso e Consumo'!J2170</f>
        <v>UN</v>
      </c>
      <c r="H2170" s="49" t="n">
        <f aca="false">'Uso e Consumo'!F2170</f>
        <v>1</v>
      </c>
      <c r="I2170" s="35" t="n">
        <f aca="false">'Uso e Consumo'!G2170</f>
        <v>96</v>
      </c>
      <c r="J2170" s="34" t="str">
        <f aca="false">'Uso e Consumo'!M2170</f>
        <v>3.8.2.002 - Ferramentas manuais</v>
      </c>
      <c r="K2170" s="32" t="str">
        <f aca="false">INDEX('Curva ABC'!$K$8:$K$2847,MATCH(D2170,'Curva ABC'!$B$8:$B$2847,0))</f>
        <v>C</v>
      </c>
    </row>
    <row r="2171" customFormat="false" ht="15" hidden="false" customHeight="false" outlineLevel="0" collapsed="false">
      <c r="A2171" s="34" t="s">
        <v>5799</v>
      </c>
      <c r="B2171" s="34" t="str">
        <f aca="false">'Uso e Consumo'!A2171</f>
        <v>0335</v>
      </c>
      <c r="C2171" s="34" t="str">
        <f aca="false">'Uso e Consumo'!B2171</f>
        <v>UFV NORONHA VERDE - USO E CONSUMO</v>
      </c>
      <c r="D2171" s="33" t="n">
        <f aca="false">'Uso e Consumo'!C2171</f>
        <v>747903</v>
      </c>
      <c r="E2171" s="34" t="str">
        <f aca="false">'Uso e Consumo'!D2171</f>
        <v>32.12.0173</v>
      </c>
      <c r="F2171" s="34" t="str">
        <f aca="false">'Uso e Consumo'!E2171</f>
        <v>ESQUADRO DE ALUMÍNIO 60X80CM</v>
      </c>
      <c r="G2171" s="34" t="str">
        <f aca="false">'Uso e Consumo'!J2171</f>
        <v>UN</v>
      </c>
      <c r="H2171" s="49" t="n">
        <f aca="false">'Uso e Consumo'!F2171</f>
        <v>2</v>
      </c>
      <c r="I2171" s="35" t="n">
        <f aca="false">'Uso e Consumo'!G2171</f>
        <v>96</v>
      </c>
      <c r="J2171" s="34" t="str">
        <f aca="false">'Uso e Consumo'!M2171</f>
        <v>3.8.1.018 - Instalações hidráulicas/sanitárias/industriais</v>
      </c>
      <c r="K2171" s="32" t="str">
        <f aca="false">INDEX('Curva ABC'!$K$8:$K$2847,MATCH(D2171,'Curva ABC'!$B$8:$B$2847,0))</f>
        <v>C</v>
      </c>
    </row>
    <row r="2172" customFormat="false" ht="22.35" hidden="false" customHeight="false" outlineLevel="0" collapsed="false">
      <c r="A2172" s="34" t="s">
        <v>5799</v>
      </c>
      <c r="B2172" s="34" t="str">
        <f aca="false">'Uso e Consumo'!A2172</f>
        <v>0335</v>
      </c>
      <c r="C2172" s="34" t="str">
        <f aca="false">'Uso e Consumo'!B2172</f>
        <v>UFV NORONHA VERDE - USO E CONSUMO</v>
      </c>
      <c r="D2172" s="33" t="n">
        <f aca="false">'Uso e Consumo'!C2172</f>
        <v>1538738</v>
      </c>
      <c r="E2172" s="34" t="str">
        <f aca="false">'Uso e Consumo'!D2172</f>
        <v>25.04.0047</v>
      </c>
      <c r="F2172" s="50" t="str">
        <f aca="false">'Uso e Consumo'!E2172</f>
        <v>CAIXA PARA MASSA PLÁSTICA 50 L
</v>
      </c>
      <c r="G2172" s="34" t="str">
        <f aca="false">'Uso e Consumo'!J2172</f>
        <v>UN</v>
      </c>
      <c r="H2172" s="49" t="n">
        <f aca="false">'Uso e Consumo'!F2172</f>
        <v>2</v>
      </c>
      <c r="I2172" s="35" t="n">
        <f aca="false">'Uso e Consumo'!G2172</f>
        <v>96</v>
      </c>
      <c r="J2172" s="34" t="str">
        <f aca="false">'Uso e Consumo'!M2172</f>
        <v>3.8.2.006 - Utensílios</v>
      </c>
      <c r="K2172" s="32" t="str">
        <f aca="false">INDEX('Curva ABC'!$K$8:$K$2847,MATCH(D2172,'Curva ABC'!$B$8:$B$2847,0))</f>
        <v>C</v>
      </c>
    </row>
    <row r="2173" customFormat="false" ht="15" hidden="false" customHeight="false" outlineLevel="0" collapsed="false">
      <c r="A2173" s="34" t="s">
        <v>5799</v>
      </c>
      <c r="B2173" s="34" t="str">
        <f aca="false">'Uso e Consumo'!A2173</f>
        <v>0335</v>
      </c>
      <c r="C2173" s="34" t="str">
        <f aca="false">'Uso e Consumo'!B2173</f>
        <v>UFV NORONHA VERDE - USO E CONSUMO</v>
      </c>
      <c r="D2173" s="33" t="n">
        <f aca="false">'Uso e Consumo'!C2173</f>
        <v>1661534</v>
      </c>
      <c r="E2173" s="34" t="str">
        <f aca="false">'Uso e Consumo'!D2173</f>
        <v>17.12.0520</v>
      </c>
      <c r="F2173" s="34" t="str">
        <f aca="false">'Uso e Consumo'!E2173</f>
        <v>CONJUNTO 1 INTERRUPTOR SIMPLES + 1 TOMADA 2P+T UNIVERSAL 10 A/250 V COM TAMPA TIPO X PARA ELETRODUTO 3/4"</v>
      </c>
      <c r="G2173" s="34" t="str">
        <f aca="false">'Uso e Consumo'!J2173</f>
        <v>UN</v>
      </c>
      <c r="H2173" s="49" t="n">
        <f aca="false">'Uso e Consumo'!F2173</f>
        <v>2</v>
      </c>
      <c r="I2173" s="35" t="n">
        <f aca="false">'Uso e Consumo'!G2173</f>
        <v>96</v>
      </c>
      <c r="J2173" s="34" t="str">
        <f aca="false">'Uso e Consumo'!M2173</f>
        <v>3.8.1.017 - Instalações elétricas/telefônicas/lógica</v>
      </c>
      <c r="K2173" s="32" t="str">
        <f aca="false">INDEX('Curva ABC'!$K$8:$K$2847,MATCH(D2173,'Curva ABC'!$B$8:$B$2847,0))</f>
        <v>C</v>
      </c>
    </row>
    <row r="2174" customFormat="false" ht="15" hidden="false" customHeight="false" outlineLevel="0" collapsed="false">
      <c r="A2174" s="34" t="s">
        <v>5799</v>
      </c>
      <c r="B2174" s="34" t="str">
        <f aca="false">'Uso e Consumo'!A2174</f>
        <v>0335</v>
      </c>
      <c r="C2174" s="34" t="str">
        <f aca="false">'Uso e Consumo'!B2174</f>
        <v>UFV NORONHA VERDE - USO E CONSUMO</v>
      </c>
      <c r="D2174" s="33" t="n">
        <f aca="false">'Uso e Consumo'!C2174</f>
        <v>12642</v>
      </c>
      <c r="E2174" s="34" t="str">
        <f aca="false">'Uso e Consumo'!D2174</f>
        <v>17.02.0142</v>
      </c>
      <c r="F2174" s="34" t="str">
        <f aca="false">'Uso e Consumo'!E2174</f>
        <v>LUVA ELETRODUTO ALUMÍNIO LISO 1.1/2"</v>
      </c>
      <c r="G2174" s="34" t="str">
        <f aca="false">'Uso e Consumo'!J2174</f>
        <v>UN</v>
      </c>
      <c r="H2174" s="49" t="n">
        <f aca="false">'Uso e Consumo'!F2174</f>
        <v>16</v>
      </c>
      <c r="I2174" s="35" t="n">
        <f aca="false">'Uso e Consumo'!G2174</f>
        <v>95.68</v>
      </c>
      <c r="J2174" s="34" t="str">
        <f aca="false">'Uso e Consumo'!M2174</f>
        <v>3.8.1.017 - Instalações elétricas/telefônicas/lógica</v>
      </c>
      <c r="K2174" s="32" t="str">
        <f aca="false">INDEX('Curva ABC'!$K$8:$K$2847,MATCH(D2174,'Curva ABC'!$B$8:$B$2847,0))</f>
        <v>C</v>
      </c>
    </row>
    <row r="2175" customFormat="false" ht="15" hidden="false" customHeight="false" outlineLevel="0" collapsed="false">
      <c r="A2175" s="34" t="s">
        <v>5799</v>
      </c>
      <c r="B2175" s="34" t="str">
        <f aca="false">'Uso e Consumo'!A2175</f>
        <v>0335</v>
      </c>
      <c r="C2175" s="34" t="str">
        <f aca="false">'Uso e Consumo'!B2175</f>
        <v>UFV NORONHA VERDE - USO E CONSUMO</v>
      </c>
      <c r="D2175" s="33" t="n">
        <f aca="false">'Uso e Consumo'!C2175</f>
        <v>750196</v>
      </c>
      <c r="E2175" s="34" t="str">
        <f aca="false">'Uso e Consumo'!D2175</f>
        <v>25.03.0317</v>
      </c>
      <c r="F2175" s="34" t="str">
        <f aca="false">'Uso e Consumo'!E2175</f>
        <v>BROCA SDS-PLUS 12MM </v>
      </c>
      <c r="G2175" s="34" t="str">
        <f aca="false">'Uso e Consumo'!J2175</f>
        <v>UN</v>
      </c>
      <c r="H2175" s="49" t="n">
        <f aca="false">'Uso e Consumo'!F2175</f>
        <v>10</v>
      </c>
      <c r="I2175" s="35" t="n">
        <f aca="false">'Uso e Consumo'!G2175</f>
        <v>95.06</v>
      </c>
      <c r="J2175" s="34" t="str">
        <f aca="false">'Uso e Consumo'!M2175</f>
        <v>3.8.2.004 - Consumíveis para corte, perfuração e desbaste</v>
      </c>
      <c r="K2175" s="32" t="str">
        <f aca="false">INDEX('Curva ABC'!$K$8:$K$2847,MATCH(D2175,'Curva ABC'!$B$8:$B$2847,0))</f>
        <v>C</v>
      </c>
    </row>
    <row r="2176" customFormat="false" ht="15" hidden="false" customHeight="false" outlineLevel="0" collapsed="false">
      <c r="A2176" s="34" t="s">
        <v>5799</v>
      </c>
      <c r="B2176" s="34" t="str">
        <f aca="false">'Uso e Consumo'!A2176</f>
        <v>0335</v>
      </c>
      <c r="C2176" s="34" t="str">
        <f aca="false">'Uso e Consumo'!B2176</f>
        <v>UFV NORONHA VERDE - USO E CONSUMO</v>
      </c>
      <c r="D2176" s="33" t="n">
        <f aca="false">'Uso e Consumo'!C2176</f>
        <v>22054</v>
      </c>
      <c r="E2176" s="34" t="str">
        <f aca="false">'Uso e Consumo'!D2176</f>
        <v>27.02.0014</v>
      </c>
      <c r="F2176" s="34" t="str">
        <f aca="false">'Uso e Consumo'!E2176</f>
        <v>ESFIGMOMANÔMETRO COM VELCRO</v>
      </c>
      <c r="G2176" s="34" t="str">
        <f aca="false">'Uso e Consumo'!J2176</f>
        <v>UN</v>
      </c>
      <c r="H2176" s="49" t="n">
        <f aca="false">'Uso e Consumo'!F2176</f>
        <v>1</v>
      </c>
      <c r="I2176" s="35" t="n">
        <f aca="false">'Uso e Consumo'!G2176</f>
        <v>95</v>
      </c>
      <c r="J2176" s="34" t="str">
        <f aca="false">'Uso e Consumo'!M2176</f>
        <v>4.3.4.007 - Mobiliário médico/equipamentos/acessórios</v>
      </c>
      <c r="K2176" s="32" t="str">
        <f aca="false">INDEX('Curva ABC'!$K$8:$K$2847,MATCH(D2176,'Curva ABC'!$B$8:$B$2847,0))</f>
        <v>C</v>
      </c>
    </row>
    <row r="2177" customFormat="false" ht="15" hidden="false" customHeight="false" outlineLevel="0" collapsed="false">
      <c r="A2177" s="34" t="s">
        <v>5799</v>
      </c>
      <c r="B2177" s="34" t="str">
        <f aca="false">'Uso e Consumo'!A2177</f>
        <v>0335</v>
      </c>
      <c r="C2177" s="34" t="str">
        <f aca="false">'Uso e Consumo'!B2177</f>
        <v>UFV NORONHA VERDE - USO E CONSUMO</v>
      </c>
      <c r="D2177" s="33" t="n">
        <f aca="false">'Uso e Consumo'!C2177</f>
        <v>18007</v>
      </c>
      <c r="E2177" s="34" t="str">
        <f aca="false">'Uso e Consumo'!D2177</f>
        <v>24.09.0101</v>
      </c>
      <c r="F2177" s="34" t="str">
        <f aca="false">'Uso e Consumo'!E2177</f>
        <v>CHAVE FENDA SIMPLES 1/8" X 6" AÇO CROMO-VANADIO CROMADO/NIQUELADO CABO PVC RIGIDO</v>
      </c>
      <c r="G2177" s="34" t="str">
        <f aca="false">'Uso e Consumo'!J2177</f>
        <v>UN</v>
      </c>
      <c r="H2177" s="49" t="n">
        <f aca="false">'Uso e Consumo'!F2177</f>
        <v>10</v>
      </c>
      <c r="I2177" s="35" t="n">
        <f aca="false">'Uso e Consumo'!G2177</f>
        <v>94.45</v>
      </c>
      <c r="J2177" s="34" t="str">
        <f aca="false">'Uso e Consumo'!M2177</f>
        <v>3.8.2.002 - Ferramentas manuais</v>
      </c>
      <c r="K2177" s="32" t="str">
        <f aca="false">INDEX('Curva ABC'!$K$8:$K$2847,MATCH(D2177,'Curva ABC'!$B$8:$B$2847,0))</f>
        <v>C</v>
      </c>
    </row>
    <row r="2178" customFormat="false" ht="15" hidden="false" customHeight="false" outlineLevel="0" collapsed="false">
      <c r="A2178" s="34" t="s">
        <v>5799</v>
      </c>
      <c r="B2178" s="34" t="str">
        <f aca="false">'Uso e Consumo'!A2178</f>
        <v>0335</v>
      </c>
      <c r="C2178" s="34" t="str">
        <f aca="false">'Uso e Consumo'!B2178</f>
        <v>UFV NORONHA VERDE - USO E CONSUMO</v>
      </c>
      <c r="D2178" s="33" t="n">
        <f aca="false">'Uso e Consumo'!C2178</f>
        <v>750195</v>
      </c>
      <c r="E2178" s="34" t="str">
        <f aca="false">'Uso e Consumo'!D2178</f>
        <v>25.03.0316</v>
      </c>
      <c r="F2178" s="34" t="str">
        <f aca="false">'Uso e Consumo'!E2178</f>
        <v>BROCA SDS-PLUS 10MM </v>
      </c>
      <c r="G2178" s="34" t="str">
        <f aca="false">'Uso e Consumo'!J2178</f>
        <v>UN</v>
      </c>
      <c r="H2178" s="49" t="n">
        <f aca="false">'Uso e Consumo'!F2178</f>
        <v>10</v>
      </c>
      <c r="I2178" s="35" t="n">
        <f aca="false">'Uso e Consumo'!G2178</f>
        <v>94.09</v>
      </c>
      <c r="J2178" s="34" t="str">
        <f aca="false">'Uso e Consumo'!M2178</f>
        <v>3.8.2.004 - Consumíveis para corte, perfuração e desbaste</v>
      </c>
      <c r="K2178" s="32" t="str">
        <f aca="false">INDEX('Curva ABC'!$K$8:$K$2847,MATCH(D2178,'Curva ABC'!$B$8:$B$2847,0))</f>
        <v>C</v>
      </c>
    </row>
    <row r="2179" customFormat="false" ht="15" hidden="false" customHeight="false" outlineLevel="0" collapsed="false">
      <c r="A2179" s="34" t="s">
        <v>5799</v>
      </c>
      <c r="B2179" s="34" t="str">
        <f aca="false">'Uso e Consumo'!A2179</f>
        <v>0335</v>
      </c>
      <c r="C2179" s="34" t="str">
        <f aca="false">'Uso e Consumo'!B2179</f>
        <v>UFV NORONHA VERDE - USO E CONSUMO</v>
      </c>
      <c r="D2179" s="33" t="n">
        <f aca="false">'Uso e Consumo'!C2179</f>
        <v>351656</v>
      </c>
      <c r="E2179" s="34" t="str">
        <f aca="false">'Uso e Consumo'!D2179</f>
        <v>24.09.0422</v>
      </c>
      <c r="F2179" s="34" t="str">
        <f aca="false">'Uso e Consumo'!E2179</f>
        <v>SOQUETE ESTRIADO 28MM COM ENCAIXE  3/4"</v>
      </c>
      <c r="G2179" s="34" t="str">
        <f aca="false">'Uso e Consumo'!J2179</f>
        <v>UN</v>
      </c>
      <c r="H2179" s="49" t="n">
        <f aca="false">'Uso e Consumo'!F2179</f>
        <v>1</v>
      </c>
      <c r="I2179" s="35" t="n">
        <f aca="false">'Uso e Consumo'!G2179</f>
        <v>94</v>
      </c>
      <c r="J2179" s="34" t="str">
        <f aca="false">'Uso e Consumo'!M2179</f>
        <v>3.8.2.002 - Ferramentas manuais</v>
      </c>
      <c r="K2179" s="32" t="str">
        <f aca="false">INDEX('Curva ABC'!$K$8:$K$2847,MATCH(D2179,'Curva ABC'!$B$8:$B$2847,0))</f>
        <v>C</v>
      </c>
    </row>
    <row r="2180" customFormat="false" ht="15" hidden="false" customHeight="false" outlineLevel="0" collapsed="false">
      <c r="A2180" s="34" t="s">
        <v>5799</v>
      </c>
      <c r="B2180" s="34" t="str">
        <f aca="false">'Uso e Consumo'!A2180</f>
        <v>0335</v>
      </c>
      <c r="C2180" s="34" t="str">
        <f aca="false">'Uso e Consumo'!B2180</f>
        <v>UFV NORONHA VERDE - USO E CONSUMO</v>
      </c>
      <c r="D2180" s="33" t="n">
        <f aca="false">'Uso e Consumo'!C2180</f>
        <v>840020</v>
      </c>
      <c r="E2180" s="34" t="str">
        <f aca="false">'Uso e Consumo'!D2180</f>
        <v>18.01.1263</v>
      </c>
      <c r="F2180" s="34" t="str">
        <f aca="false">'Uso e Consumo'!E2180</f>
        <v>JUNÇÃO SIMPLES 50 X 50MM, ESGOTO SÉRIE NORMAL - TIGRE</v>
      </c>
      <c r="G2180" s="34" t="str">
        <f aca="false">'Uso e Consumo'!J2180</f>
        <v>UN</v>
      </c>
      <c r="H2180" s="49" t="n">
        <f aca="false">'Uso e Consumo'!F2180</f>
        <v>10</v>
      </c>
      <c r="I2180" s="35" t="n">
        <f aca="false">'Uso e Consumo'!G2180</f>
        <v>94</v>
      </c>
      <c r="J2180" s="34" t="str">
        <f aca="false">'Uso e Consumo'!M2180</f>
        <v>3.8.1.018 - Instalações hidráulicas/sanitárias/industriais</v>
      </c>
      <c r="K2180" s="32" t="str">
        <f aca="false">INDEX('Curva ABC'!$K$8:$K$2847,MATCH(D2180,'Curva ABC'!$B$8:$B$2847,0))</f>
        <v>C</v>
      </c>
    </row>
    <row r="2181" customFormat="false" ht="15" hidden="false" customHeight="false" outlineLevel="0" collapsed="false">
      <c r="A2181" s="34" t="s">
        <v>5799</v>
      </c>
      <c r="B2181" s="34" t="str">
        <f aca="false">'Uso e Consumo'!A2181</f>
        <v>0335</v>
      </c>
      <c r="C2181" s="34" t="str">
        <f aca="false">'Uso e Consumo'!B2181</f>
        <v>UFV NORONHA VERDE - USO E CONSUMO</v>
      </c>
      <c r="D2181" s="33" t="n">
        <f aca="false">'Uso e Consumo'!C2181</f>
        <v>1315686</v>
      </c>
      <c r="E2181" s="34" t="str">
        <f aca="false">'Uso e Consumo'!D2181</f>
        <v>17.20.0669</v>
      </c>
      <c r="F2181" s="34" t="str">
        <f aca="false">'Uso e Consumo'!E2181</f>
        <v>TUBO TERMOCONTRÁTIL 240MM</v>
      </c>
      <c r="G2181" s="34" t="str">
        <f aca="false">'Uso e Consumo'!J2181</f>
        <v>M</v>
      </c>
      <c r="H2181" s="49" t="n">
        <f aca="false">'Uso e Consumo'!F2181</f>
        <v>5</v>
      </c>
      <c r="I2181" s="35" t="n">
        <f aca="false">'Uso e Consumo'!G2181</f>
        <v>93.65</v>
      </c>
      <c r="J2181" s="34" t="str">
        <f aca="false">'Uso e Consumo'!M2181</f>
        <v>3.8.1.017 - Instalações elétricas/telefônicas/lógica</v>
      </c>
      <c r="K2181" s="32" t="str">
        <f aca="false">INDEX('Curva ABC'!$K$8:$K$2847,MATCH(D2181,'Curva ABC'!$B$8:$B$2847,0))</f>
        <v>C</v>
      </c>
    </row>
    <row r="2182" customFormat="false" ht="15" hidden="false" customHeight="false" outlineLevel="0" collapsed="false">
      <c r="A2182" s="34" t="s">
        <v>5799</v>
      </c>
      <c r="B2182" s="34" t="str">
        <f aca="false">'Uso e Consumo'!A2182</f>
        <v>0335</v>
      </c>
      <c r="C2182" s="34" t="str">
        <f aca="false">'Uso e Consumo'!B2182</f>
        <v>UFV NORONHA VERDE - USO E CONSUMO</v>
      </c>
      <c r="D2182" s="33" t="n">
        <f aca="false">'Uso e Consumo'!C2182</f>
        <v>950782</v>
      </c>
      <c r="E2182" s="34" t="str">
        <f aca="false">'Uso e Consumo'!D2182</f>
        <v>17.16.0538</v>
      </c>
      <c r="F2182" s="34" t="str">
        <f aca="false">'Uso e Consumo'!E2182</f>
        <v>TERMINAL OLHAL 2,5MM</v>
      </c>
      <c r="G2182" s="34" t="str">
        <f aca="false">'Uso e Consumo'!J2182</f>
        <v>UN</v>
      </c>
      <c r="H2182" s="49" t="n">
        <f aca="false">'Uso e Consumo'!F2182</f>
        <v>205</v>
      </c>
      <c r="I2182" s="35" t="n">
        <f aca="false">'Uso e Consumo'!G2182</f>
        <v>93.6</v>
      </c>
      <c r="J2182" s="34" t="str">
        <f aca="false">'Uso e Consumo'!M2182</f>
        <v>3.8.1.017 - Instalações elétricas/telefônicas/lógica</v>
      </c>
      <c r="K2182" s="32" t="str">
        <f aca="false">INDEX('Curva ABC'!$K$8:$K$2847,MATCH(D2182,'Curva ABC'!$B$8:$B$2847,0))</f>
        <v>C</v>
      </c>
    </row>
    <row r="2183" customFormat="false" ht="15" hidden="false" customHeight="false" outlineLevel="0" collapsed="false">
      <c r="A2183" s="34" t="s">
        <v>5799</v>
      </c>
      <c r="B2183" s="34" t="str">
        <f aca="false">'Uso e Consumo'!A2183</f>
        <v>0335</v>
      </c>
      <c r="C2183" s="34" t="str">
        <f aca="false">'Uso e Consumo'!B2183</f>
        <v>UFV NORONHA VERDE - USO E CONSUMO</v>
      </c>
      <c r="D2183" s="33" t="n">
        <f aca="false">'Uso e Consumo'!C2183</f>
        <v>19346</v>
      </c>
      <c r="E2183" s="34" t="str">
        <f aca="false">'Uso e Consumo'!D2183</f>
        <v>30.01.0066</v>
      </c>
      <c r="F2183" s="34" t="str">
        <f aca="false">'Uso e Consumo'!E2183</f>
        <v>CANETA MARCA TEXTO LARANJA</v>
      </c>
      <c r="G2183" s="34" t="str">
        <f aca="false">'Uso e Consumo'!J2183</f>
        <v>UN</v>
      </c>
      <c r="H2183" s="49" t="n">
        <f aca="false">'Uso e Consumo'!F2183</f>
        <v>30</v>
      </c>
      <c r="I2183" s="35" t="n">
        <f aca="false">'Uso e Consumo'!G2183</f>
        <v>93.4</v>
      </c>
      <c r="J2183" s="34" t="str">
        <f aca="false">'Uso e Consumo'!M2183</f>
        <v>4.1.1.002 - Material expediente</v>
      </c>
      <c r="K2183" s="32" t="str">
        <f aca="false">INDEX('Curva ABC'!$K$8:$K$2847,MATCH(D2183,'Curva ABC'!$B$8:$B$2847,0))</f>
        <v>C</v>
      </c>
    </row>
    <row r="2184" customFormat="false" ht="15" hidden="false" customHeight="false" outlineLevel="0" collapsed="false">
      <c r="A2184" s="34" t="s">
        <v>5799</v>
      </c>
      <c r="B2184" s="34" t="str">
        <f aca="false">'Uso e Consumo'!A2184</f>
        <v>0335</v>
      </c>
      <c r="C2184" s="34" t="str">
        <f aca="false">'Uso e Consumo'!B2184</f>
        <v>UFV NORONHA VERDE - USO E CONSUMO</v>
      </c>
      <c r="D2184" s="33" t="n">
        <f aca="false">'Uso e Consumo'!C2184</f>
        <v>19347</v>
      </c>
      <c r="E2184" s="34" t="str">
        <f aca="false">'Uso e Consumo'!D2184</f>
        <v>30.01.0067</v>
      </c>
      <c r="F2184" s="34" t="str">
        <f aca="false">'Uso e Consumo'!E2184</f>
        <v>CANETA MARCA TEXTO ROSA</v>
      </c>
      <c r="G2184" s="34" t="str">
        <f aca="false">'Uso e Consumo'!J2184</f>
        <v>UN</v>
      </c>
      <c r="H2184" s="49" t="n">
        <f aca="false">'Uso e Consumo'!F2184</f>
        <v>30</v>
      </c>
      <c r="I2184" s="35" t="n">
        <f aca="false">'Uso e Consumo'!G2184</f>
        <v>93.4</v>
      </c>
      <c r="J2184" s="34" t="str">
        <f aca="false">'Uso e Consumo'!M2184</f>
        <v>4.1.1.002 - Material expediente</v>
      </c>
      <c r="K2184" s="32" t="str">
        <f aca="false">INDEX('Curva ABC'!$K$8:$K$2847,MATCH(D2184,'Curva ABC'!$B$8:$B$2847,0))</f>
        <v>C</v>
      </c>
    </row>
    <row r="2185" customFormat="false" ht="15" hidden="false" customHeight="false" outlineLevel="0" collapsed="false">
      <c r="A2185" s="34" t="s">
        <v>5799</v>
      </c>
      <c r="B2185" s="34" t="str">
        <f aca="false">'Uso e Consumo'!A2185</f>
        <v>0335</v>
      </c>
      <c r="C2185" s="34" t="str">
        <f aca="false">'Uso e Consumo'!B2185</f>
        <v>UFV NORONHA VERDE - USO E CONSUMO</v>
      </c>
      <c r="D2185" s="33" t="n">
        <f aca="false">'Uso e Consumo'!C2185</f>
        <v>1379885</v>
      </c>
      <c r="E2185" s="34" t="str">
        <f aca="false">'Uso e Consumo'!D2185</f>
        <v>18.02.0747</v>
      </c>
      <c r="F2185" s="34" t="str">
        <f aca="false">'Uso e Consumo'!E2185</f>
        <v>ADAPTADOR MÚLTIPLO DE LIGA DE ALUMÍNIO INSTALAÇÃO AO TEMPO, DIÂMETRO NOMINAL 25 MM (Ø1")</v>
      </c>
      <c r="G2185" s="34" t="str">
        <f aca="false">'Uso e Consumo'!J2185</f>
        <v>UN</v>
      </c>
      <c r="H2185" s="49" t="n">
        <f aca="false">'Uso e Consumo'!F2185</f>
        <v>24</v>
      </c>
      <c r="I2185" s="35" t="n">
        <f aca="false">'Uso e Consumo'!G2185</f>
        <v>93.24</v>
      </c>
      <c r="J2185" s="34" t="str">
        <f aca="false">'Uso e Consumo'!M2185</f>
        <v>3.8.1.017 - Instalações elétricas/telefônicas/lógica</v>
      </c>
      <c r="K2185" s="32" t="str">
        <f aca="false">INDEX('Curva ABC'!$K$8:$K$2847,MATCH(D2185,'Curva ABC'!$B$8:$B$2847,0))</f>
        <v>C</v>
      </c>
    </row>
    <row r="2186" customFormat="false" ht="15" hidden="false" customHeight="false" outlineLevel="0" collapsed="false">
      <c r="A2186" s="34" t="s">
        <v>5799</v>
      </c>
      <c r="B2186" s="34" t="str">
        <f aca="false">'Uso e Consumo'!A2186</f>
        <v>0335</v>
      </c>
      <c r="C2186" s="34" t="str">
        <f aca="false">'Uso e Consumo'!B2186</f>
        <v>UFV NORONHA VERDE - USO E CONSUMO</v>
      </c>
      <c r="D2186" s="33" t="n">
        <f aca="false">'Uso e Consumo'!C2186</f>
        <v>292160</v>
      </c>
      <c r="E2186" s="34" t="str">
        <f aca="false">'Uso e Consumo'!D2186</f>
        <v>06.06.0014</v>
      </c>
      <c r="F2186" s="34" t="str">
        <f aca="false">'Uso e Consumo'!E2186</f>
        <v>ACIDO MURIATICO LÍQUIDO INDUSTRIAL 1000ML</v>
      </c>
      <c r="G2186" s="34" t="str">
        <f aca="false">'Uso e Consumo'!J2186</f>
        <v>UN</v>
      </c>
      <c r="H2186" s="49" t="n">
        <f aca="false">'Uso e Consumo'!F2186</f>
        <v>2</v>
      </c>
      <c r="I2186" s="35" t="n">
        <f aca="false">'Uso e Consumo'!G2186</f>
        <v>92.4</v>
      </c>
      <c r="J2186" s="34" t="str">
        <f aca="false">'Uso e Consumo'!M2186</f>
        <v>3.8.1.006 - Aditivos e produtos químicos</v>
      </c>
      <c r="K2186" s="32" t="str">
        <f aca="false">INDEX('Curva ABC'!$K$8:$K$2847,MATCH(D2186,'Curva ABC'!$B$8:$B$2847,0))</f>
        <v>C</v>
      </c>
    </row>
    <row r="2187" customFormat="false" ht="15" hidden="false" customHeight="false" outlineLevel="0" collapsed="false">
      <c r="A2187" s="34" t="s">
        <v>5799</v>
      </c>
      <c r="B2187" s="34" t="str">
        <f aca="false">'Uso e Consumo'!A2187</f>
        <v>0335</v>
      </c>
      <c r="C2187" s="34" t="str">
        <f aca="false">'Uso e Consumo'!B2187</f>
        <v>UFV NORONHA VERDE - USO E CONSUMO</v>
      </c>
      <c r="D2187" s="33" t="n">
        <f aca="false">'Uso e Consumo'!C2187</f>
        <v>19300</v>
      </c>
      <c r="E2187" s="34" t="str">
        <f aca="false">'Uso e Consumo'!D2187</f>
        <v>30.01.0020</v>
      </c>
      <c r="F2187" s="34" t="str">
        <f aca="false">'Uso e Consumo'!E2187</f>
        <v>BLOCO DE NOTAS AUTO-ADESIVO AMARELO 76,00MM X 76,00MM 150FLS</v>
      </c>
      <c r="G2187" s="34" t="str">
        <f aca="false">'Uso e Consumo'!J2187</f>
        <v>UN</v>
      </c>
      <c r="H2187" s="49" t="n">
        <f aca="false">'Uso e Consumo'!F2187</f>
        <v>20</v>
      </c>
      <c r="I2187" s="35" t="n">
        <f aca="false">'Uso e Consumo'!G2187</f>
        <v>92</v>
      </c>
      <c r="J2187" s="34" t="str">
        <f aca="false">'Uso e Consumo'!M2187</f>
        <v>4.1.1.002 - Material expediente</v>
      </c>
      <c r="K2187" s="32" t="str">
        <f aca="false">INDEX('Curva ABC'!$K$8:$K$2847,MATCH(D2187,'Curva ABC'!$B$8:$B$2847,0))</f>
        <v>C</v>
      </c>
    </row>
    <row r="2188" customFormat="false" ht="15" hidden="false" customHeight="false" outlineLevel="0" collapsed="false">
      <c r="A2188" s="34" t="s">
        <v>5799</v>
      </c>
      <c r="B2188" s="34" t="str">
        <f aca="false">'Uso e Consumo'!A2188</f>
        <v>0335</v>
      </c>
      <c r="C2188" s="34" t="str">
        <f aca="false">'Uso e Consumo'!B2188</f>
        <v>UFV NORONHA VERDE - USO E CONSUMO</v>
      </c>
      <c r="D2188" s="33" t="n">
        <f aca="false">'Uso e Consumo'!C2188</f>
        <v>351655</v>
      </c>
      <c r="E2188" s="34" t="str">
        <f aca="false">'Uso e Consumo'!D2188</f>
        <v>24.09.0421</v>
      </c>
      <c r="F2188" s="34" t="str">
        <f aca="false">'Uso e Consumo'!E2188</f>
        <v>SOQUETE ESTRIADO 26MM COM ENCAIXE  3/4"</v>
      </c>
      <c r="G2188" s="34" t="str">
        <f aca="false">'Uso e Consumo'!J2188</f>
        <v>UN</v>
      </c>
      <c r="H2188" s="49" t="n">
        <f aca="false">'Uso e Consumo'!F2188</f>
        <v>1</v>
      </c>
      <c r="I2188" s="35" t="n">
        <f aca="false">'Uso e Consumo'!G2188</f>
        <v>92</v>
      </c>
      <c r="J2188" s="34" t="str">
        <f aca="false">'Uso e Consumo'!M2188</f>
        <v>3.8.2.002 - Ferramentas manuais</v>
      </c>
      <c r="K2188" s="32" t="str">
        <f aca="false">INDEX('Curva ABC'!$K$8:$K$2847,MATCH(D2188,'Curva ABC'!$B$8:$B$2847,0))</f>
        <v>C</v>
      </c>
    </row>
    <row r="2189" customFormat="false" ht="15" hidden="false" customHeight="false" outlineLevel="0" collapsed="false">
      <c r="A2189" s="34" t="s">
        <v>5799</v>
      </c>
      <c r="B2189" s="34" t="str">
        <f aca="false">'Uso e Consumo'!A2189</f>
        <v>0335</v>
      </c>
      <c r="C2189" s="34" t="str">
        <f aca="false">'Uso e Consumo'!B2189</f>
        <v>UFV NORONHA VERDE - USO E CONSUMO</v>
      </c>
      <c r="D2189" s="33" t="n">
        <f aca="false">'Uso e Consumo'!C2189</f>
        <v>965627</v>
      </c>
      <c r="E2189" s="34" t="str">
        <f aca="false">'Uso e Consumo'!D2189</f>
        <v>17.12.0467</v>
      </c>
      <c r="F2189" s="34" t="str">
        <f aca="false">'Uso e Consumo'!E2189</f>
        <v>PLUG MACHO 2 AP 2 PINOS</v>
      </c>
      <c r="G2189" s="34" t="str">
        <f aca="false">'Uso e Consumo'!J2189</f>
        <v>UN</v>
      </c>
      <c r="H2189" s="49" t="n">
        <f aca="false">'Uso e Consumo'!F2189</f>
        <v>4</v>
      </c>
      <c r="I2189" s="35" t="n">
        <f aca="false">'Uso e Consumo'!G2189</f>
        <v>91.92</v>
      </c>
      <c r="J2189" s="34" t="str">
        <f aca="false">'Uso e Consumo'!M2189</f>
        <v>3.8.1.017 - Instalações elétricas/telefônicas/lógica</v>
      </c>
      <c r="K2189" s="32" t="str">
        <f aca="false">INDEX('Curva ABC'!$K$8:$K$2847,MATCH(D2189,'Curva ABC'!$B$8:$B$2847,0))</f>
        <v>C</v>
      </c>
    </row>
    <row r="2190" customFormat="false" ht="15" hidden="false" customHeight="false" outlineLevel="0" collapsed="false">
      <c r="A2190" s="34" t="s">
        <v>5799</v>
      </c>
      <c r="B2190" s="34" t="str">
        <f aca="false">'Uso e Consumo'!A2190</f>
        <v>0335</v>
      </c>
      <c r="C2190" s="34" t="str">
        <f aca="false">'Uso e Consumo'!B2190</f>
        <v>UFV NORONHA VERDE - USO E CONSUMO</v>
      </c>
      <c r="D2190" s="33" t="n">
        <f aca="false">'Uso e Consumo'!C2190</f>
        <v>966291</v>
      </c>
      <c r="E2190" s="34" t="str">
        <f aca="false">'Uso e Consumo'!D2190</f>
        <v>30.01.0753</v>
      </c>
      <c r="F2190" s="34" t="str">
        <f aca="false">'Uso e Consumo'!E2190</f>
        <v>FITA DUPLA FACE ADELBRAS 12MMX20M</v>
      </c>
      <c r="G2190" s="34" t="str">
        <f aca="false">'Uso e Consumo'!J2190</f>
        <v>UN</v>
      </c>
      <c r="H2190" s="49" t="n">
        <f aca="false">'Uso e Consumo'!F2190</f>
        <v>2</v>
      </c>
      <c r="I2190" s="35" t="n">
        <f aca="false">'Uso e Consumo'!G2190</f>
        <v>91.7</v>
      </c>
      <c r="J2190" s="34" t="str">
        <f aca="false">'Uso e Consumo'!M2190</f>
        <v>4.1.1.002 - Material expediente</v>
      </c>
      <c r="K2190" s="32" t="str">
        <f aca="false">INDEX('Curva ABC'!$K$8:$K$2847,MATCH(D2190,'Curva ABC'!$B$8:$B$2847,0))</f>
        <v>C</v>
      </c>
    </row>
    <row r="2191" customFormat="false" ht="15" hidden="false" customHeight="false" outlineLevel="0" collapsed="false">
      <c r="A2191" s="34" t="s">
        <v>5799</v>
      </c>
      <c r="B2191" s="34" t="str">
        <f aca="false">'Uso e Consumo'!A2191</f>
        <v>0335</v>
      </c>
      <c r="C2191" s="34" t="str">
        <f aca="false">'Uso e Consumo'!B2191</f>
        <v>UFV NORONHA VERDE - USO E CONSUMO</v>
      </c>
      <c r="D2191" s="33" t="n">
        <f aca="false">'Uso e Consumo'!C2191</f>
        <v>1385181</v>
      </c>
      <c r="E2191" s="34" t="str">
        <f aca="false">'Uso e Consumo'!D2191</f>
        <v>17.07.0101</v>
      </c>
      <c r="F2191" s="34" t="str">
        <f aca="false">'Uso e Consumo'!E2191</f>
        <v>CAIXA PASSAGEM/LIGAÇÃO ALUMÍNIO N, 2 ENTRADAS 25 MM (1"), LR, EXTERNA</v>
      </c>
      <c r="G2191" s="34" t="str">
        <f aca="false">'Uso e Consumo'!J2191</f>
        <v>UN</v>
      </c>
      <c r="H2191" s="49" t="n">
        <f aca="false">'Uso e Consumo'!F2191</f>
        <v>2</v>
      </c>
      <c r="I2191" s="35" t="n">
        <f aca="false">'Uso e Consumo'!G2191</f>
        <v>91.58</v>
      </c>
      <c r="J2191" s="34" t="str">
        <f aca="false">'Uso e Consumo'!M2191</f>
        <v>3.8.1.017 - Instalações elétricas/telefônicas/lógica</v>
      </c>
      <c r="K2191" s="32" t="str">
        <f aca="false">INDEX('Curva ABC'!$K$8:$K$2847,MATCH(D2191,'Curva ABC'!$B$8:$B$2847,0))</f>
        <v>C</v>
      </c>
    </row>
    <row r="2192" customFormat="false" ht="15" hidden="false" customHeight="false" outlineLevel="0" collapsed="false">
      <c r="A2192" s="34" t="s">
        <v>5799</v>
      </c>
      <c r="B2192" s="34" t="str">
        <f aca="false">'Uso e Consumo'!A2192</f>
        <v>0335</v>
      </c>
      <c r="C2192" s="34" t="str">
        <f aca="false">'Uso e Consumo'!B2192</f>
        <v>UFV NORONHA VERDE - USO E CONSUMO</v>
      </c>
      <c r="D2192" s="33" t="n">
        <f aca="false">'Uso e Consumo'!C2192</f>
        <v>839810</v>
      </c>
      <c r="E2192" s="34" t="str">
        <f aca="false">'Uso e Consumo'!D2192</f>
        <v>23.06.0256</v>
      </c>
      <c r="F2192" s="34" t="str">
        <f aca="false">'Uso e Consumo'!E2192</f>
        <v>CONJUNTO PORCA + PARAFUSO SEXTAVADO - M10 X 35MM</v>
      </c>
      <c r="G2192" s="34" t="str">
        <f aca="false">'Uso e Consumo'!J2192</f>
        <v>UN</v>
      </c>
      <c r="H2192" s="49" t="n">
        <f aca="false">'Uso e Consumo'!F2192</f>
        <v>11</v>
      </c>
      <c r="I2192" s="35" t="n">
        <f aca="false">'Uso e Consumo'!G2192</f>
        <v>91.2</v>
      </c>
      <c r="J2192" s="34" t="str">
        <f aca="false">'Uso e Consumo'!M2192</f>
        <v>3.8.1.022 - Elementos de fixação</v>
      </c>
      <c r="K2192" s="32" t="str">
        <f aca="false">INDEX('Curva ABC'!$K$8:$K$2847,MATCH(D2192,'Curva ABC'!$B$8:$B$2847,0))</f>
        <v>C</v>
      </c>
    </row>
    <row r="2193" customFormat="false" ht="15" hidden="false" customHeight="false" outlineLevel="0" collapsed="false">
      <c r="A2193" s="34" t="s">
        <v>5799</v>
      </c>
      <c r="B2193" s="34" t="str">
        <f aca="false">'Uso e Consumo'!A2193</f>
        <v>0335</v>
      </c>
      <c r="C2193" s="34" t="str">
        <f aca="false">'Uso e Consumo'!B2193</f>
        <v>UFV NORONHA VERDE - USO E CONSUMO</v>
      </c>
      <c r="D2193" s="33" t="n">
        <f aca="false">'Uso e Consumo'!C2193</f>
        <v>17888</v>
      </c>
      <c r="E2193" s="34" t="str">
        <f aca="false">'Uso e Consumo'!D2193</f>
        <v>24.07.0005</v>
      </c>
      <c r="F2193" s="34" t="str">
        <f aca="false">'Uso e Consumo'!E2193</f>
        <v>TRENA LONGA 30,00M CAIXA FECHADA ABS FITA FIBRA VIDRO</v>
      </c>
      <c r="G2193" s="34" t="str">
        <f aca="false">'Uso e Consumo'!J2193</f>
        <v>UN</v>
      </c>
      <c r="H2193" s="49" t="n">
        <f aca="false">'Uso e Consumo'!F2193</f>
        <v>1</v>
      </c>
      <c r="I2193" s="35" t="n">
        <f aca="false">'Uso e Consumo'!G2193</f>
        <v>91.08</v>
      </c>
      <c r="J2193" s="34" t="str">
        <f aca="false">'Uso e Consumo'!M2193</f>
        <v>3.8.2.001 - Ferramentas medição/aferição</v>
      </c>
      <c r="K2193" s="32" t="str">
        <f aca="false">INDEX('Curva ABC'!$K$8:$K$2847,MATCH(D2193,'Curva ABC'!$B$8:$B$2847,0))</f>
        <v>C</v>
      </c>
    </row>
    <row r="2194" customFormat="false" ht="15" hidden="false" customHeight="false" outlineLevel="0" collapsed="false">
      <c r="A2194" s="34" t="s">
        <v>5799</v>
      </c>
      <c r="B2194" s="34" t="str">
        <f aca="false">'Uso e Consumo'!A2194</f>
        <v>0335</v>
      </c>
      <c r="C2194" s="34" t="str">
        <f aca="false">'Uso e Consumo'!B2194</f>
        <v>UFV NORONHA VERDE - USO E CONSUMO</v>
      </c>
      <c r="D2194" s="33" t="n">
        <f aca="false">'Uso e Consumo'!C2194</f>
        <v>138289</v>
      </c>
      <c r="E2194" s="34" t="str">
        <f aca="false">'Uso e Consumo'!D2194</f>
        <v>33.02.1112</v>
      </c>
      <c r="F2194" s="34" t="str">
        <f aca="false">'Uso e Consumo'!E2194</f>
        <v>TERMINAL METÁLICO TUBULAR 4 MM</v>
      </c>
      <c r="G2194" s="34" t="str">
        <f aca="false">'Uso e Consumo'!J2194</f>
        <v>UN</v>
      </c>
      <c r="H2194" s="49" t="n">
        <f aca="false">'Uso e Consumo'!F2194</f>
        <v>300</v>
      </c>
      <c r="I2194" s="35" t="n">
        <f aca="false">'Uso e Consumo'!G2194</f>
        <v>90</v>
      </c>
      <c r="J2194" s="34" t="str">
        <f aca="false">'Uso e Consumo'!M2194</f>
        <v>3.1.6.002 - Pneus e peças</v>
      </c>
      <c r="K2194" s="32" t="str">
        <f aca="false">INDEX('Curva ABC'!$K$8:$K$2847,MATCH(D2194,'Curva ABC'!$B$8:$B$2847,0))</f>
        <v>C</v>
      </c>
    </row>
    <row r="2195" customFormat="false" ht="15" hidden="false" customHeight="false" outlineLevel="0" collapsed="false">
      <c r="A2195" s="34" t="s">
        <v>5799</v>
      </c>
      <c r="B2195" s="34" t="str">
        <f aca="false">'Uso e Consumo'!A2195</f>
        <v>0335</v>
      </c>
      <c r="C2195" s="34" t="str">
        <f aca="false">'Uso e Consumo'!B2195</f>
        <v>UFV NORONHA VERDE - USO E CONSUMO</v>
      </c>
      <c r="D2195" s="33" t="n">
        <f aca="false">'Uso e Consumo'!C2195</f>
        <v>833726</v>
      </c>
      <c r="E2195" s="34" t="str">
        <f aca="false">'Uso e Consumo'!D2195</f>
        <v>27.01.0397</v>
      </c>
      <c r="F2195" s="34" t="str">
        <f aca="false">'Uso e Consumo'!E2195</f>
        <v>BANDAID COM 30 UNIDADES CADA</v>
      </c>
      <c r="G2195" s="34" t="str">
        <f aca="false">'Uso e Consumo'!J2195</f>
        <v>UN</v>
      </c>
      <c r="H2195" s="49" t="n">
        <f aca="false">'Uso e Consumo'!F2195</f>
        <v>15</v>
      </c>
      <c r="I2195" s="35" t="n">
        <f aca="false">'Uso e Consumo'!G2195</f>
        <v>90</v>
      </c>
      <c r="J2195" s="34" t="str">
        <f aca="false">'Uso e Consumo'!M2195</f>
        <v>4.3.4.006 - Medicamentos e primeiro socorros</v>
      </c>
      <c r="K2195" s="32" t="str">
        <f aca="false">INDEX('Curva ABC'!$K$8:$K$2847,MATCH(D2195,'Curva ABC'!$B$8:$B$2847,0))</f>
        <v>C</v>
      </c>
    </row>
    <row r="2196" customFormat="false" ht="15" hidden="false" customHeight="false" outlineLevel="0" collapsed="false">
      <c r="A2196" s="34" t="s">
        <v>5799</v>
      </c>
      <c r="B2196" s="34" t="str">
        <f aca="false">'Uso e Consumo'!A2196</f>
        <v>0335</v>
      </c>
      <c r="C2196" s="34" t="str">
        <f aca="false">'Uso e Consumo'!B2196</f>
        <v>UFV NORONHA VERDE - USO E CONSUMO</v>
      </c>
      <c r="D2196" s="33" t="n">
        <f aca="false">'Uso e Consumo'!C2196</f>
        <v>950827</v>
      </c>
      <c r="E2196" s="34" t="str">
        <f aca="false">'Uso e Consumo'!D2196</f>
        <v>17.01.1111</v>
      </c>
      <c r="F2196" s="34" t="str">
        <f aca="false">'Uso e Consumo'!E2196</f>
        <v>FIO FLEXIVEL 2,5MM SIL</v>
      </c>
      <c r="G2196" s="34" t="str">
        <f aca="false">'Uso e Consumo'!J2196</f>
        <v>M</v>
      </c>
      <c r="H2196" s="49" t="n">
        <f aca="false">'Uso e Consumo'!F2196</f>
        <v>30</v>
      </c>
      <c r="I2196" s="35" t="n">
        <f aca="false">'Uso e Consumo'!G2196</f>
        <v>90</v>
      </c>
      <c r="J2196" s="34" t="str">
        <f aca="false">'Uso e Consumo'!M2196</f>
        <v>3.8.1.017 - Instalações elétricas/telefônicas/lógica</v>
      </c>
      <c r="K2196" s="32" t="str">
        <f aca="false">INDEX('Curva ABC'!$K$8:$K$2847,MATCH(D2196,'Curva ABC'!$B$8:$B$2847,0))</f>
        <v>C</v>
      </c>
    </row>
    <row r="2197" customFormat="false" ht="15" hidden="false" customHeight="false" outlineLevel="0" collapsed="false">
      <c r="A2197" s="34" t="s">
        <v>5799</v>
      </c>
      <c r="B2197" s="34" t="str">
        <f aca="false">'Uso e Consumo'!A2197</f>
        <v>0335</v>
      </c>
      <c r="C2197" s="34" t="str">
        <f aca="false">'Uso e Consumo'!B2197</f>
        <v>UFV NORONHA VERDE - USO E CONSUMO</v>
      </c>
      <c r="D2197" s="33" t="n">
        <f aca="false">'Uso e Consumo'!C2197</f>
        <v>861121</v>
      </c>
      <c r="E2197" s="34" t="str">
        <f aca="false">'Uso e Consumo'!D2197</f>
        <v>27.01.0412</v>
      </c>
      <c r="F2197" s="34" t="str">
        <f aca="false">'Uso e Consumo'!E2197</f>
        <v>CLORIDRATO DE FEXOFENADINA</v>
      </c>
      <c r="G2197" s="34" t="str">
        <f aca="false">'Uso e Consumo'!J2197</f>
        <v>M</v>
      </c>
      <c r="H2197" s="49" t="n">
        <f aca="false">'Uso e Consumo'!F2197</f>
        <v>3</v>
      </c>
      <c r="I2197" s="35" t="n">
        <f aca="false">'Uso e Consumo'!G2197</f>
        <v>89.97</v>
      </c>
      <c r="J2197" s="34" t="str">
        <f aca="false">'Uso e Consumo'!M2197</f>
        <v>4.3.4.006 - Medicamentos e primeiro socorros</v>
      </c>
      <c r="K2197" s="32" t="str">
        <f aca="false">INDEX('Curva ABC'!$K$8:$K$2847,MATCH(D2197,'Curva ABC'!$B$8:$B$2847,0))</f>
        <v>C</v>
      </c>
    </row>
    <row r="2198" customFormat="false" ht="15" hidden="false" customHeight="false" outlineLevel="0" collapsed="false">
      <c r="A2198" s="34" t="s">
        <v>5799</v>
      </c>
      <c r="B2198" s="34" t="str">
        <f aca="false">'Uso e Consumo'!A2198</f>
        <v>0335</v>
      </c>
      <c r="C2198" s="34" t="str">
        <f aca="false">'Uso e Consumo'!B2198</f>
        <v>UFV NORONHA VERDE - USO E CONSUMO</v>
      </c>
      <c r="D2198" s="33" t="n">
        <f aca="false">'Uso e Consumo'!C2198</f>
        <v>959543</v>
      </c>
      <c r="E2198" s="34" t="str">
        <f aca="false">'Uso e Consumo'!D2198</f>
        <v>17.16.0548</v>
      </c>
      <c r="F2198" s="34" t="str">
        <f aca="false">'Uso e Consumo'!E2198</f>
        <v>PINO PLUG ADAPTADOR TRIPOLAR REVERSOR 2P+T 20A</v>
      </c>
      <c r="G2198" s="34" t="str">
        <f aca="false">'Uso e Consumo'!J2198</f>
        <v>UN</v>
      </c>
      <c r="H2198" s="49" t="n">
        <f aca="false">'Uso e Consumo'!F2198</f>
        <v>6</v>
      </c>
      <c r="I2198" s="35" t="n">
        <f aca="false">'Uso e Consumo'!G2198</f>
        <v>89.88</v>
      </c>
      <c r="J2198" s="34" t="str">
        <f aca="false">'Uso e Consumo'!M2198</f>
        <v>3.8.1.017 - Instalações elétricas/telefônicas/lógica</v>
      </c>
      <c r="K2198" s="32" t="str">
        <f aca="false">INDEX('Curva ABC'!$K$8:$K$2847,MATCH(D2198,'Curva ABC'!$B$8:$B$2847,0))</f>
        <v>C</v>
      </c>
    </row>
    <row r="2199" customFormat="false" ht="15" hidden="false" customHeight="false" outlineLevel="0" collapsed="false">
      <c r="A2199" s="34" t="s">
        <v>5799</v>
      </c>
      <c r="B2199" s="34" t="str">
        <f aca="false">'Uso e Consumo'!A2199</f>
        <v>0335</v>
      </c>
      <c r="C2199" s="34" t="str">
        <f aca="false">'Uso e Consumo'!B2199</f>
        <v>UFV NORONHA VERDE - USO E CONSUMO</v>
      </c>
      <c r="D2199" s="33" t="n">
        <f aca="false">'Uso e Consumo'!C2199</f>
        <v>1062572</v>
      </c>
      <c r="E2199" s="34" t="str">
        <f aca="false">'Uso e Consumo'!D2199</f>
        <v>19.08.0091</v>
      </c>
      <c r="F2199" s="34" t="str">
        <f aca="false">'Uso e Consumo'!E2199</f>
        <v>TORNEIRA JARDIM 1/2 3/4 KRONA</v>
      </c>
      <c r="G2199" s="34" t="str">
        <f aca="false">'Uso e Consumo'!J2199</f>
        <v>UN</v>
      </c>
      <c r="H2199" s="49" t="n">
        <f aca="false">'Uso e Consumo'!F2199</f>
        <v>9</v>
      </c>
      <c r="I2199" s="35" t="n">
        <f aca="false">'Uso e Consumo'!G2199</f>
        <v>89.82</v>
      </c>
      <c r="J2199" s="34" t="str">
        <f aca="false">'Uso e Consumo'!M2199</f>
        <v>3.8.1.018 - Instalações hidráulicas/sanitárias/industriais</v>
      </c>
      <c r="K2199" s="32" t="str">
        <f aca="false">INDEX('Curva ABC'!$K$8:$K$2847,MATCH(D2199,'Curva ABC'!$B$8:$B$2847,0))</f>
        <v>C</v>
      </c>
    </row>
    <row r="2200" customFormat="false" ht="15" hidden="false" customHeight="false" outlineLevel="0" collapsed="false">
      <c r="A2200" s="34" t="s">
        <v>5799</v>
      </c>
      <c r="B2200" s="34" t="str">
        <f aca="false">'Uso e Consumo'!A2200</f>
        <v>0335</v>
      </c>
      <c r="C2200" s="34" t="str">
        <f aca="false">'Uso e Consumo'!B2200</f>
        <v>UFV NORONHA VERDE - USO E CONSUMO</v>
      </c>
      <c r="D2200" s="33" t="n">
        <f aca="false">'Uso e Consumo'!C2200</f>
        <v>60793</v>
      </c>
      <c r="E2200" s="34" t="str">
        <f aca="false">'Uso e Consumo'!D2200</f>
        <v>24.41.0089</v>
      </c>
      <c r="F2200" s="34" t="str">
        <f aca="false">'Uso e Consumo'!E2200</f>
        <v>EXTENSÃO PARA SOQUETE ½ 5 POL FERRAMENTAS  </v>
      </c>
      <c r="G2200" s="34" t="str">
        <f aca="false">'Uso e Consumo'!J2200</f>
        <v>UN</v>
      </c>
      <c r="H2200" s="49" t="n">
        <f aca="false">'Uso e Consumo'!F2200</f>
        <v>2</v>
      </c>
      <c r="I2200" s="35" t="n">
        <f aca="false">'Uso e Consumo'!G2200</f>
        <v>89.42</v>
      </c>
      <c r="J2200" s="34" t="str">
        <f aca="false">'Uso e Consumo'!M2200</f>
        <v>3.8.2.002 - Ferramentas manuais</v>
      </c>
      <c r="K2200" s="32" t="str">
        <f aca="false">INDEX('Curva ABC'!$K$8:$K$2847,MATCH(D2200,'Curva ABC'!$B$8:$B$2847,0))</f>
        <v>C</v>
      </c>
    </row>
    <row r="2201" customFormat="false" ht="15" hidden="false" customHeight="false" outlineLevel="0" collapsed="false">
      <c r="A2201" s="34" t="s">
        <v>5799</v>
      </c>
      <c r="B2201" s="34" t="str">
        <f aca="false">'Uso e Consumo'!A2201</f>
        <v>0335</v>
      </c>
      <c r="C2201" s="34" t="str">
        <f aca="false">'Uso e Consumo'!B2201</f>
        <v>UFV NORONHA VERDE - USO E CONSUMO</v>
      </c>
      <c r="D2201" s="33" t="n">
        <f aca="false">'Uso e Consumo'!C2201</f>
        <v>555403</v>
      </c>
      <c r="E2201" s="34" t="str">
        <f aca="false">'Uso e Consumo'!D2201</f>
        <v>24.09.0497</v>
      </c>
      <c r="F2201" s="34" t="str">
        <f aca="false">'Uso e Consumo'!E2201</f>
        <v>CHAVE PHILLIPS 1/8 X 6 N.10 160  036294  036294 160-1/8X6 GEDORE</v>
      </c>
      <c r="G2201" s="34" t="str">
        <f aca="false">'Uso e Consumo'!J2201</f>
        <v>UN</v>
      </c>
      <c r="H2201" s="49" t="n">
        <f aca="false">'Uso e Consumo'!F2201</f>
        <v>9</v>
      </c>
      <c r="I2201" s="35" t="n">
        <f aca="false">'Uso e Consumo'!G2201</f>
        <v>89.2</v>
      </c>
      <c r="J2201" s="34" t="str">
        <f aca="false">'Uso e Consumo'!M2201</f>
        <v>3.8.2.002 - Ferramentas manuais</v>
      </c>
      <c r="K2201" s="32" t="str">
        <f aca="false">INDEX('Curva ABC'!$K$8:$K$2847,MATCH(D2201,'Curva ABC'!$B$8:$B$2847,0))</f>
        <v>C</v>
      </c>
    </row>
    <row r="2202" customFormat="false" ht="15" hidden="false" customHeight="false" outlineLevel="0" collapsed="false">
      <c r="A2202" s="34" t="s">
        <v>5799</v>
      </c>
      <c r="B2202" s="34" t="str">
        <f aca="false">'Uso e Consumo'!A2202</f>
        <v>0335</v>
      </c>
      <c r="C2202" s="34" t="str">
        <f aca="false">'Uso e Consumo'!B2202</f>
        <v>UFV NORONHA VERDE - USO E CONSUMO</v>
      </c>
      <c r="D2202" s="33" t="n">
        <f aca="false">'Uso e Consumo'!C2202</f>
        <v>1385180</v>
      </c>
      <c r="E2202" s="34" t="str">
        <f aca="false">'Uso e Consumo'!D2202</f>
        <v>17.07.0100</v>
      </c>
      <c r="F2202" s="34" t="str">
        <f aca="false">'Uso e Consumo'!E2202</f>
        <v>CAIXA PASSAGEM/LIGAÇÃO ALUMÍNIO N, 3 ENTRADAS 25 MM (1"), T, INTERNA</v>
      </c>
      <c r="G2202" s="34" t="str">
        <f aca="false">'Uso e Consumo'!J2202</f>
        <v>UN</v>
      </c>
      <c r="H2202" s="49" t="n">
        <f aca="false">'Uso e Consumo'!F2202</f>
        <v>2</v>
      </c>
      <c r="I2202" s="35" t="n">
        <f aca="false">'Uso e Consumo'!G2202</f>
        <v>89.18</v>
      </c>
      <c r="J2202" s="34" t="str">
        <f aca="false">'Uso e Consumo'!M2202</f>
        <v>3.8.1.017 - Instalações elétricas/telefônicas/lógica</v>
      </c>
      <c r="K2202" s="32" t="str">
        <f aca="false">INDEX('Curva ABC'!$K$8:$K$2847,MATCH(D2202,'Curva ABC'!$B$8:$B$2847,0))</f>
        <v>C</v>
      </c>
    </row>
    <row r="2203" customFormat="false" ht="15" hidden="false" customHeight="false" outlineLevel="0" collapsed="false">
      <c r="A2203" s="34" t="s">
        <v>5799</v>
      </c>
      <c r="B2203" s="34" t="str">
        <f aca="false">'Uso e Consumo'!A2203</f>
        <v>0335</v>
      </c>
      <c r="C2203" s="34" t="str">
        <f aca="false">'Uso e Consumo'!B2203</f>
        <v>UFV NORONHA VERDE - USO E CONSUMO</v>
      </c>
      <c r="D2203" s="33" t="n">
        <f aca="false">'Uso e Consumo'!C2203</f>
        <v>17949</v>
      </c>
      <c r="E2203" s="34" t="str">
        <f aca="false">'Uso e Consumo'!D2203</f>
        <v>24.09.0043</v>
      </c>
      <c r="F2203" s="34" t="str">
        <f aca="false">'Uso e Consumo'!E2203</f>
        <v>CHAVE COMBINADA 27,00MM AÇO CARBONO CROMADO</v>
      </c>
      <c r="G2203" s="34" t="str">
        <f aca="false">'Uso e Consumo'!J2203</f>
        <v>UN</v>
      </c>
      <c r="H2203" s="49" t="n">
        <f aca="false">'Uso e Consumo'!F2203</f>
        <v>2</v>
      </c>
      <c r="I2203" s="35" t="n">
        <f aca="false">'Uso e Consumo'!G2203</f>
        <v>89</v>
      </c>
      <c r="J2203" s="34" t="str">
        <f aca="false">'Uso e Consumo'!M2203</f>
        <v>3.8.2.002 - Ferramentas manuais</v>
      </c>
      <c r="K2203" s="32" t="str">
        <f aca="false">INDEX('Curva ABC'!$K$8:$K$2847,MATCH(D2203,'Curva ABC'!$B$8:$B$2847,0))</f>
        <v>C</v>
      </c>
    </row>
    <row r="2204" customFormat="false" ht="15" hidden="false" customHeight="false" outlineLevel="0" collapsed="false">
      <c r="A2204" s="34" t="s">
        <v>5799</v>
      </c>
      <c r="B2204" s="34" t="str">
        <f aca="false">'Uso e Consumo'!A2204</f>
        <v>0335</v>
      </c>
      <c r="C2204" s="34" t="str">
        <f aca="false">'Uso e Consumo'!B2204</f>
        <v>UFV NORONHA VERDE - USO E CONSUMO</v>
      </c>
      <c r="D2204" s="33" t="n">
        <f aca="false">'Uso e Consumo'!C2204</f>
        <v>645415</v>
      </c>
      <c r="E2204" s="34" t="str">
        <f aca="false">'Uso e Consumo'!D2204</f>
        <v>29.01.0971</v>
      </c>
      <c r="F2204" s="34" t="str">
        <f aca="false">'Uso e Consumo'!E2204</f>
        <v>FONE INTRA AURICULAR COM MICROFONE PRETO</v>
      </c>
      <c r="G2204" s="34" t="str">
        <f aca="false">'Uso e Consumo'!J2204</f>
        <v>UN</v>
      </c>
      <c r="H2204" s="49" t="n">
        <f aca="false">'Uso e Consumo'!F2204</f>
        <v>1</v>
      </c>
      <c r="I2204" s="35" t="n">
        <f aca="false">'Uso e Consumo'!G2204</f>
        <v>89</v>
      </c>
      <c r="J2204" s="34" t="str">
        <f aca="false">'Uso e Consumo'!M2204</f>
        <v>4.1.1.008 - Mobiliário e acessórios</v>
      </c>
      <c r="K2204" s="32" t="str">
        <f aca="false">INDEX('Curva ABC'!$K$8:$K$2847,MATCH(D2204,'Curva ABC'!$B$8:$B$2847,0))</f>
        <v>C</v>
      </c>
    </row>
    <row r="2205" customFormat="false" ht="15" hidden="false" customHeight="false" outlineLevel="0" collapsed="false">
      <c r="A2205" s="34" t="s">
        <v>5799</v>
      </c>
      <c r="B2205" s="34" t="str">
        <f aca="false">'Uso e Consumo'!A2205</f>
        <v>0335</v>
      </c>
      <c r="C2205" s="34" t="str">
        <f aca="false">'Uso e Consumo'!B2205</f>
        <v>UFV NORONHA VERDE - USO E CONSUMO</v>
      </c>
      <c r="D2205" s="33" t="n">
        <f aca="false">'Uso e Consumo'!C2205</f>
        <v>956788</v>
      </c>
      <c r="E2205" s="34" t="str">
        <f aca="false">'Uso e Consumo'!D2205</f>
        <v>17.20.0621</v>
      </c>
      <c r="F2205" s="34" t="str">
        <f aca="false">'Uso e Consumo'!E2205</f>
        <v>CAIXA DE INSPEÇÃO P/ HASTE DE ATERRAMENTO EM PVC</v>
      </c>
      <c r="G2205" s="34" t="str">
        <f aca="false">'Uso e Consumo'!J2205</f>
        <v>UN</v>
      </c>
      <c r="H2205" s="49" t="n">
        <f aca="false">'Uso e Consumo'!F2205</f>
        <v>6</v>
      </c>
      <c r="I2205" s="35" t="n">
        <f aca="false">'Uso e Consumo'!G2205</f>
        <v>88.92</v>
      </c>
      <c r="J2205" s="34" t="str">
        <f aca="false">'Uso e Consumo'!M2205</f>
        <v>3.8.1.017 - Instalações elétricas/telefônicas/lógica</v>
      </c>
      <c r="K2205" s="32" t="str">
        <f aca="false">INDEX('Curva ABC'!$K$8:$K$2847,MATCH(D2205,'Curva ABC'!$B$8:$B$2847,0))</f>
        <v>C</v>
      </c>
    </row>
    <row r="2206" customFormat="false" ht="15" hidden="false" customHeight="false" outlineLevel="0" collapsed="false">
      <c r="A2206" s="34" t="s">
        <v>5799</v>
      </c>
      <c r="B2206" s="34" t="str">
        <f aca="false">'Uso e Consumo'!A2206</f>
        <v>0335</v>
      </c>
      <c r="C2206" s="34" t="str">
        <f aca="false">'Uso e Consumo'!B2206</f>
        <v>UFV NORONHA VERDE - USO E CONSUMO</v>
      </c>
      <c r="D2206" s="33" t="n">
        <f aca="false">'Uso e Consumo'!C2206</f>
        <v>1113308</v>
      </c>
      <c r="E2206" s="34" t="str">
        <f aca="false">'Uso e Consumo'!D2206</f>
        <v>13.06.0364</v>
      </c>
      <c r="F2206" s="34" t="str">
        <f aca="false">'Uso e Consumo'!E2206</f>
        <v>CADEADO 20MM</v>
      </c>
      <c r="G2206" s="34" t="str">
        <f aca="false">'Uso e Consumo'!J2206</f>
        <v>UN</v>
      </c>
      <c r="H2206" s="49" t="n">
        <f aca="false">'Uso e Consumo'!F2206</f>
        <v>20</v>
      </c>
      <c r="I2206" s="35" t="n">
        <f aca="false">'Uso e Consumo'!G2206</f>
        <v>88.3282</v>
      </c>
      <c r="J2206" s="34" t="str">
        <f aca="false">'Uso e Consumo'!M2206</f>
        <v>3.8.2.006 - Utensílios</v>
      </c>
      <c r="K2206" s="32" t="str">
        <f aca="false">INDEX('Curva ABC'!$K$8:$K$2847,MATCH(D2206,'Curva ABC'!$B$8:$B$2847,0))</f>
        <v>C</v>
      </c>
    </row>
    <row r="2207" customFormat="false" ht="15" hidden="false" customHeight="false" outlineLevel="0" collapsed="false">
      <c r="A2207" s="34" t="s">
        <v>5799</v>
      </c>
      <c r="B2207" s="34" t="str">
        <f aca="false">'Uso e Consumo'!A2207</f>
        <v>0335</v>
      </c>
      <c r="C2207" s="34" t="str">
        <f aca="false">'Uso e Consumo'!B2207</f>
        <v>UFV NORONHA VERDE - USO E CONSUMO</v>
      </c>
      <c r="D2207" s="33" t="n">
        <f aca="false">'Uso e Consumo'!C2207</f>
        <v>18119</v>
      </c>
      <c r="E2207" s="34" t="str">
        <f aca="false">'Uso e Consumo'!D2207</f>
        <v>24.15.0004</v>
      </c>
      <c r="F2207" s="34" t="str">
        <f aca="false">'Uso e Consumo'!E2207</f>
        <v>MARTELO BOLA AÇO CROMO-VANADIO 300G CABO FIBRA VIDRO EMPUNHADURA BORRACHA</v>
      </c>
      <c r="G2207" s="34" t="str">
        <f aca="false">'Uso e Consumo'!J2207</f>
        <v>UN</v>
      </c>
      <c r="H2207" s="49" t="n">
        <f aca="false">'Uso e Consumo'!F2207</f>
        <v>1</v>
      </c>
      <c r="I2207" s="35" t="n">
        <f aca="false">'Uso e Consumo'!G2207</f>
        <v>88</v>
      </c>
      <c r="J2207" s="34" t="str">
        <f aca="false">'Uso e Consumo'!M2207</f>
        <v>3.8.2.002 - Ferramentas manuais</v>
      </c>
      <c r="K2207" s="32" t="str">
        <f aca="false">INDEX('Curva ABC'!$K$8:$K$2847,MATCH(D2207,'Curva ABC'!$B$8:$B$2847,0))</f>
        <v>C</v>
      </c>
    </row>
    <row r="2208" customFormat="false" ht="15" hidden="false" customHeight="false" outlineLevel="0" collapsed="false">
      <c r="A2208" s="34" t="s">
        <v>5799</v>
      </c>
      <c r="B2208" s="34" t="str">
        <f aca="false">'Uso e Consumo'!A2208</f>
        <v>0335</v>
      </c>
      <c r="C2208" s="34" t="str">
        <f aca="false">'Uso e Consumo'!B2208</f>
        <v>UFV NORONHA VERDE - USO E CONSUMO</v>
      </c>
      <c r="D2208" s="33" t="n">
        <f aca="false">'Uso e Consumo'!C2208</f>
        <v>19569</v>
      </c>
      <c r="E2208" s="34" t="str">
        <f aca="false">'Uso e Consumo'!D2208</f>
        <v>30.01.0289</v>
      </c>
      <c r="F2208" s="34" t="str">
        <f aca="false">'Uso e Consumo'!E2208</f>
        <v>PASTA ABA ELÁSTICO POLIPROPILENO CRISTAL OFICIO LOMBO 35MM</v>
      </c>
      <c r="G2208" s="34" t="str">
        <f aca="false">'Uso e Consumo'!J2208</f>
        <v>UN</v>
      </c>
      <c r="H2208" s="49" t="n">
        <f aca="false">'Uso e Consumo'!F2208</f>
        <v>20</v>
      </c>
      <c r="I2208" s="35" t="n">
        <f aca="false">'Uso e Consumo'!G2208</f>
        <v>88</v>
      </c>
      <c r="J2208" s="34" t="str">
        <f aca="false">'Uso e Consumo'!M2208</f>
        <v>4.1.1.002 - Material expediente</v>
      </c>
      <c r="K2208" s="32" t="str">
        <f aca="false">INDEX('Curva ABC'!$K$8:$K$2847,MATCH(D2208,'Curva ABC'!$B$8:$B$2847,0))</f>
        <v>C</v>
      </c>
    </row>
    <row r="2209" customFormat="false" ht="15" hidden="false" customHeight="false" outlineLevel="0" collapsed="false">
      <c r="A2209" s="34" t="s">
        <v>5799</v>
      </c>
      <c r="B2209" s="34" t="str">
        <f aca="false">'Uso e Consumo'!A2209</f>
        <v>0335</v>
      </c>
      <c r="C2209" s="34" t="str">
        <f aca="false">'Uso e Consumo'!B2209</f>
        <v>UFV NORONHA VERDE - USO E CONSUMO</v>
      </c>
      <c r="D2209" s="33" t="n">
        <f aca="false">'Uso e Consumo'!C2209</f>
        <v>22742</v>
      </c>
      <c r="E2209" s="34" t="str">
        <f aca="false">'Uso e Consumo'!D2209</f>
        <v>24.29.0002</v>
      </c>
      <c r="F2209" s="34" t="str">
        <f aca="false">'Uso e Consumo'!E2209</f>
        <v>PULVERIZADOR DE ALTA PRESSÃO 5 LT</v>
      </c>
      <c r="G2209" s="34" t="str">
        <f aca="false">'Uso e Consumo'!J2209</f>
        <v>UN</v>
      </c>
      <c r="H2209" s="49" t="n">
        <f aca="false">'Uso e Consumo'!F2209</f>
        <v>1</v>
      </c>
      <c r="I2209" s="35" t="n">
        <f aca="false">'Uso e Consumo'!G2209</f>
        <v>88</v>
      </c>
      <c r="J2209" s="34" t="str">
        <f aca="false">'Uso e Consumo'!M2209</f>
        <v>3.8.2.002 - Ferramentas manuais</v>
      </c>
      <c r="K2209" s="32" t="str">
        <f aca="false">INDEX('Curva ABC'!$K$8:$K$2847,MATCH(D2209,'Curva ABC'!$B$8:$B$2847,0))</f>
        <v>C</v>
      </c>
    </row>
    <row r="2210" customFormat="false" ht="15" hidden="false" customHeight="false" outlineLevel="0" collapsed="false">
      <c r="A2210" s="34" t="s">
        <v>5799</v>
      </c>
      <c r="B2210" s="34" t="str">
        <f aca="false">'Uso e Consumo'!A2210</f>
        <v>0335</v>
      </c>
      <c r="C2210" s="34" t="str">
        <f aca="false">'Uso e Consumo'!B2210</f>
        <v>UFV NORONHA VERDE - USO E CONSUMO</v>
      </c>
      <c r="D2210" s="33" t="n">
        <f aca="false">'Uso e Consumo'!C2210</f>
        <v>65520</v>
      </c>
      <c r="E2210" s="34" t="str">
        <f aca="false">'Uso e Consumo'!D2210</f>
        <v>33.02.1026</v>
      </c>
      <c r="F2210" s="34" t="str">
        <f aca="false">'Uso e Consumo'!E2210</f>
        <v>BOTÃO DE EMERGÊNCIA</v>
      </c>
      <c r="G2210" s="34" t="str">
        <f aca="false">'Uso e Consumo'!J2210</f>
        <v>UN</v>
      </c>
      <c r="H2210" s="49" t="n">
        <f aca="false">'Uso e Consumo'!F2210</f>
        <v>1</v>
      </c>
      <c r="I2210" s="35" t="n">
        <f aca="false">'Uso e Consumo'!G2210</f>
        <v>88</v>
      </c>
      <c r="J2210" s="34" t="str">
        <f aca="false">'Uso e Consumo'!M2210</f>
        <v>3.1.6.002 - Pneus e peças</v>
      </c>
      <c r="K2210" s="32" t="str">
        <f aca="false">INDEX('Curva ABC'!$K$8:$K$2847,MATCH(D2210,'Curva ABC'!$B$8:$B$2847,0))</f>
        <v>C</v>
      </c>
    </row>
    <row r="2211" customFormat="false" ht="15" hidden="false" customHeight="false" outlineLevel="0" collapsed="false">
      <c r="A2211" s="34" t="s">
        <v>5799</v>
      </c>
      <c r="B2211" s="34" t="str">
        <f aca="false">'Uso e Consumo'!A2211</f>
        <v>0335</v>
      </c>
      <c r="C2211" s="34" t="str">
        <f aca="false">'Uso e Consumo'!B2211</f>
        <v>UFV NORONHA VERDE - USO E CONSUMO</v>
      </c>
      <c r="D2211" s="33" t="n">
        <f aca="false">'Uso e Consumo'!C2211</f>
        <v>1012420</v>
      </c>
      <c r="E2211" s="34" t="str">
        <f aca="false">'Uso e Consumo'!D2211</f>
        <v>29.01.1374</v>
      </c>
      <c r="F2211" s="34" t="str">
        <f aca="false">'Uso e Consumo'!E2211</f>
        <v>EXTENSÃO 3 TOMADAS  5M 10A - TRAMONTINA</v>
      </c>
      <c r="G2211" s="34" t="str">
        <f aca="false">'Uso e Consumo'!J2211</f>
        <v>UN</v>
      </c>
      <c r="H2211" s="49" t="n">
        <f aca="false">'Uso e Consumo'!F2211</f>
        <v>1</v>
      </c>
      <c r="I2211" s="35" t="n">
        <f aca="false">'Uso e Consumo'!G2211</f>
        <v>88</v>
      </c>
      <c r="J2211" s="34" t="str">
        <f aca="false">'Uso e Consumo'!M2211</f>
        <v>4.1.1.007 - Equipamentos e acessórios para informática</v>
      </c>
      <c r="K2211" s="32" t="str">
        <f aca="false">INDEX('Curva ABC'!$K$8:$K$2847,MATCH(D2211,'Curva ABC'!$B$8:$B$2847,0))</f>
        <v>C</v>
      </c>
    </row>
    <row r="2212" customFormat="false" ht="15" hidden="false" customHeight="false" outlineLevel="0" collapsed="false">
      <c r="A2212" s="34" t="s">
        <v>5799</v>
      </c>
      <c r="B2212" s="34" t="str">
        <f aca="false">'Uso e Consumo'!A2212</f>
        <v>0335</v>
      </c>
      <c r="C2212" s="34" t="str">
        <f aca="false">'Uso e Consumo'!B2212</f>
        <v>UFV NORONHA VERDE - USO E CONSUMO</v>
      </c>
      <c r="D2212" s="33" t="n">
        <f aca="false">'Uso e Consumo'!C2212</f>
        <v>1263127</v>
      </c>
      <c r="E2212" s="34" t="str">
        <f aca="false">'Uso e Consumo'!D2212</f>
        <v>24.09.0703</v>
      </c>
      <c r="F2212" s="34" t="str">
        <f aca="false">'Uso e Consumo'!E2212</f>
        <v>CHAVE SOQUETE 28,00MM C/ ENCAIXE DE 3/4"</v>
      </c>
      <c r="G2212" s="34" t="str">
        <f aca="false">'Uso e Consumo'!J2212</f>
        <v>UN</v>
      </c>
      <c r="H2212" s="49" t="n">
        <f aca="false">'Uso e Consumo'!F2212</f>
        <v>1</v>
      </c>
      <c r="I2212" s="35" t="n">
        <f aca="false">'Uso e Consumo'!G2212</f>
        <v>88</v>
      </c>
      <c r="J2212" s="34" t="str">
        <f aca="false">'Uso e Consumo'!M2212</f>
        <v>3.8.2.002 - Ferramentas manuais</v>
      </c>
      <c r="K2212" s="32" t="str">
        <f aca="false">INDEX('Curva ABC'!$K$8:$K$2847,MATCH(D2212,'Curva ABC'!$B$8:$B$2847,0))</f>
        <v>C</v>
      </c>
    </row>
    <row r="2213" customFormat="false" ht="15" hidden="false" customHeight="false" outlineLevel="0" collapsed="false">
      <c r="A2213" s="34" t="s">
        <v>5799</v>
      </c>
      <c r="B2213" s="34" t="str">
        <f aca="false">'Uso e Consumo'!A2213</f>
        <v>0335</v>
      </c>
      <c r="C2213" s="34" t="str">
        <f aca="false">'Uso e Consumo'!B2213</f>
        <v>UFV NORONHA VERDE - USO E CONSUMO</v>
      </c>
      <c r="D2213" s="33" t="n">
        <f aca="false">'Uso e Consumo'!C2213</f>
        <v>1320565</v>
      </c>
      <c r="E2213" s="34" t="str">
        <f aca="false">'Uso e Consumo'!D2213</f>
        <v>24.41.0392</v>
      </c>
      <c r="F2213" s="34" t="str">
        <f aca="false">'Uso e Consumo'!E2213</f>
        <v>CHAVE SOQUETE DE IMPACTO LONGA 24 DE 1"</v>
      </c>
      <c r="G2213" s="34" t="str">
        <f aca="false">'Uso e Consumo'!J2213</f>
        <v>UN</v>
      </c>
      <c r="H2213" s="49" t="n">
        <f aca="false">'Uso e Consumo'!F2213</f>
        <v>1</v>
      </c>
      <c r="I2213" s="35" t="n">
        <f aca="false">'Uso e Consumo'!G2213</f>
        <v>88</v>
      </c>
      <c r="J2213" s="34" t="str">
        <f aca="false">'Uso e Consumo'!M2213</f>
        <v>3.8.2.002 - Ferramentas manuais</v>
      </c>
      <c r="K2213" s="32" t="str">
        <f aca="false">INDEX('Curva ABC'!$K$8:$K$2847,MATCH(D2213,'Curva ABC'!$B$8:$B$2847,0))</f>
        <v>C</v>
      </c>
    </row>
    <row r="2214" customFormat="false" ht="15" hidden="false" customHeight="false" outlineLevel="0" collapsed="false">
      <c r="A2214" s="34" t="s">
        <v>5799</v>
      </c>
      <c r="B2214" s="34" t="str">
        <f aca="false">'Uso e Consumo'!A2214</f>
        <v>0335</v>
      </c>
      <c r="C2214" s="34" t="str">
        <f aca="false">'Uso e Consumo'!B2214</f>
        <v>UFV NORONHA VERDE - USO E CONSUMO</v>
      </c>
      <c r="D2214" s="33" t="n">
        <f aca="false">'Uso e Consumo'!C2214</f>
        <v>16025</v>
      </c>
      <c r="E2214" s="34" t="str">
        <f aca="false">'Uso e Consumo'!D2214</f>
        <v>18.09.0010</v>
      </c>
      <c r="F2214" s="34" t="str">
        <f aca="false">'Uso e Consumo'!E2214</f>
        <v>REGISTRO ESFERA BRONZE 1.1/2" ROSCAVEL ALAVANCA VED BORRACHA NITRILICA NBR 10283</v>
      </c>
      <c r="G2214" s="34" t="str">
        <f aca="false">'Uso e Consumo'!J2214</f>
        <v>UN</v>
      </c>
      <c r="H2214" s="49" t="n">
        <f aca="false">'Uso e Consumo'!F2214</f>
        <v>2</v>
      </c>
      <c r="I2214" s="35" t="n">
        <f aca="false">'Uso e Consumo'!G2214</f>
        <v>87.96</v>
      </c>
      <c r="J2214" s="34" t="str">
        <f aca="false">'Uso e Consumo'!M2214</f>
        <v>3.8.1.018 - Instalações hidráulicas/sanitárias/industriais</v>
      </c>
      <c r="K2214" s="32" t="str">
        <f aca="false">INDEX('Curva ABC'!$K$8:$K$2847,MATCH(D2214,'Curva ABC'!$B$8:$B$2847,0))</f>
        <v>C</v>
      </c>
    </row>
    <row r="2215" customFormat="false" ht="15" hidden="false" customHeight="false" outlineLevel="0" collapsed="false">
      <c r="A2215" s="34" t="s">
        <v>5799</v>
      </c>
      <c r="B2215" s="34" t="str">
        <f aca="false">'Uso e Consumo'!A2215</f>
        <v>0335</v>
      </c>
      <c r="C2215" s="34" t="str">
        <f aca="false">'Uso e Consumo'!B2215</f>
        <v>UFV NORONHA VERDE - USO E CONSUMO</v>
      </c>
      <c r="D2215" s="33" t="n">
        <f aca="false">'Uso e Consumo'!C2215</f>
        <v>1383808</v>
      </c>
      <c r="E2215" s="34" t="str">
        <f aca="false">'Uso e Consumo'!D2215</f>
        <v>23.08.0085</v>
      </c>
      <c r="F2215" s="34" t="str">
        <f aca="false">'Uso e Consumo'!E2215</f>
        <v>BUCHA TERMINAL EM LIGA DE ALUMÍNIO, ALTA RESISTÊNCIA MECÂNICA E À CORROSÃO, PARA ELETRODUTO 3/4", ROSCA BSP</v>
      </c>
      <c r="G2215" s="34" t="str">
        <f aca="false">'Uso e Consumo'!J2215</f>
        <v>UN</v>
      </c>
      <c r="H2215" s="49" t="n">
        <f aca="false">'Uso e Consumo'!F2215</f>
        <v>42</v>
      </c>
      <c r="I2215" s="35" t="n">
        <f aca="false">'Uso e Consumo'!G2215</f>
        <v>87.04</v>
      </c>
      <c r="J2215" s="34" t="str">
        <f aca="false">'Uso e Consumo'!M2215</f>
        <v>3.8.1.022 - Elementos de fixação</v>
      </c>
      <c r="K2215" s="32" t="str">
        <f aca="false">INDEX('Curva ABC'!$K$8:$K$2847,MATCH(D2215,'Curva ABC'!$B$8:$B$2847,0))</f>
        <v>C</v>
      </c>
    </row>
    <row r="2216" customFormat="false" ht="15" hidden="false" customHeight="false" outlineLevel="0" collapsed="false">
      <c r="A2216" s="34" t="s">
        <v>5799</v>
      </c>
      <c r="B2216" s="34" t="str">
        <f aca="false">'Uso e Consumo'!A2216</f>
        <v>0335</v>
      </c>
      <c r="C2216" s="34" t="str">
        <f aca="false">'Uso e Consumo'!B2216</f>
        <v>UFV NORONHA VERDE - USO E CONSUMO</v>
      </c>
      <c r="D2216" s="33" t="n">
        <f aca="false">'Uso e Consumo'!C2216</f>
        <v>881389</v>
      </c>
      <c r="E2216" s="34" t="str">
        <f aca="false">'Uso e Consumo'!D2216</f>
        <v>23.07.1401</v>
      </c>
      <c r="F2216" s="34" t="str">
        <f aca="false">'Uso e Consumo'!E2216</f>
        <v>PARAFUSO INOX SEXTAVADO 4 X 12MM</v>
      </c>
      <c r="G2216" s="34" t="str">
        <f aca="false">'Uso e Consumo'!J2216</f>
        <v>UN</v>
      </c>
      <c r="H2216" s="49" t="n">
        <f aca="false">'Uso e Consumo'!F2216</f>
        <v>20</v>
      </c>
      <c r="I2216" s="35" t="n">
        <f aca="false">'Uso e Consumo'!G2216</f>
        <v>85.6</v>
      </c>
      <c r="J2216" s="34" t="str">
        <f aca="false">'Uso e Consumo'!M2216</f>
        <v>3.8.1.022 - Elementos de fixação</v>
      </c>
      <c r="K2216" s="32" t="str">
        <f aca="false">INDEX('Curva ABC'!$K$8:$K$2847,MATCH(D2216,'Curva ABC'!$B$8:$B$2847,0))</f>
        <v>C</v>
      </c>
    </row>
    <row r="2217" customFormat="false" ht="15" hidden="false" customHeight="false" outlineLevel="0" collapsed="false">
      <c r="A2217" s="34" t="s">
        <v>5799</v>
      </c>
      <c r="B2217" s="34" t="str">
        <f aca="false">'Uso e Consumo'!A2217</f>
        <v>0335</v>
      </c>
      <c r="C2217" s="34" t="str">
        <f aca="false">'Uso e Consumo'!B2217</f>
        <v>UFV NORONHA VERDE - USO E CONSUMO</v>
      </c>
      <c r="D2217" s="33" t="n">
        <f aca="false">'Uso e Consumo'!C2217</f>
        <v>17696</v>
      </c>
      <c r="E2217" s="34" t="str">
        <f aca="false">'Uso e Consumo'!D2217</f>
        <v>23.08.0027</v>
      </c>
      <c r="F2217" s="34" t="str">
        <f aca="false">'Uso e Consumo'!E2217</f>
        <v>BUCHA NYLON 8,00MM FIXACAO PARAFUSO</v>
      </c>
      <c r="G2217" s="34" t="str">
        <f aca="false">'Uso e Consumo'!J2217</f>
        <v>UN</v>
      </c>
      <c r="H2217" s="49" t="n">
        <f aca="false">'Uso e Consumo'!F2217</f>
        <v>530</v>
      </c>
      <c r="I2217" s="35" t="n">
        <f aca="false">'Uso e Consumo'!G2217</f>
        <v>85.5</v>
      </c>
      <c r="J2217" s="34" t="str">
        <f aca="false">'Uso e Consumo'!M2217</f>
        <v>3.8.1.022 - Elementos de fixação</v>
      </c>
      <c r="K2217" s="32" t="str">
        <f aca="false">INDEX('Curva ABC'!$K$8:$K$2847,MATCH(D2217,'Curva ABC'!$B$8:$B$2847,0))</f>
        <v>C</v>
      </c>
    </row>
    <row r="2218" customFormat="false" ht="15" hidden="false" customHeight="false" outlineLevel="0" collapsed="false">
      <c r="A2218" s="34" t="s">
        <v>5799</v>
      </c>
      <c r="B2218" s="34" t="str">
        <f aca="false">'Uso e Consumo'!A2218</f>
        <v>0335</v>
      </c>
      <c r="C2218" s="34" t="str">
        <f aca="false">'Uso e Consumo'!B2218</f>
        <v>UFV NORONHA VERDE - USO E CONSUMO</v>
      </c>
      <c r="D2218" s="33" t="n">
        <f aca="false">'Uso e Consumo'!C2218</f>
        <v>1380004</v>
      </c>
      <c r="E2218" s="34" t="str">
        <f aca="false">'Uso e Consumo'!D2218</f>
        <v>23.05.0287</v>
      </c>
      <c r="F2218" s="34" t="str">
        <f aca="false">'Uso e Consumo'!E2218</f>
        <v>ARRUELA LISA DE AÇO, INXODÁVEL, BITOLA M10</v>
      </c>
      <c r="G2218" s="34" t="str">
        <f aca="false">'Uso e Consumo'!J2218</f>
        <v>UN</v>
      </c>
      <c r="H2218" s="49" t="n">
        <f aca="false">'Uso e Consumo'!F2218</f>
        <v>93</v>
      </c>
      <c r="I2218" s="35" t="n">
        <f aca="false">'Uso e Consumo'!G2218</f>
        <v>84.04</v>
      </c>
      <c r="J2218" s="34" t="str">
        <f aca="false">'Uso e Consumo'!M2218</f>
        <v>3.8.1.022 - Elementos de fixação</v>
      </c>
      <c r="K2218" s="32" t="str">
        <f aca="false">INDEX('Curva ABC'!$K$8:$K$2847,MATCH(D2218,'Curva ABC'!$B$8:$B$2847,0))</f>
        <v>C</v>
      </c>
    </row>
    <row r="2219" customFormat="false" ht="15" hidden="false" customHeight="false" outlineLevel="0" collapsed="false">
      <c r="A2219" s="34" t="s">
        <v>5799</v>
      </c>
      <c r="B2219" s="34" t="str">
        <f aca="false">'Uso e Consumo'!A2219</f>
        <v>0335</v>
      </c>
      <c r="C2219" s="34" t="str">
        <f aca="false">'Uso e Consumo'!B2219</f>
        <v>UFV NORONHA VERDE - USO E CONSUMO</v>
      </c>
      <c r="D2219" s="33" t="n">
        <f aca="false">'Uso e Consumo'!C2219</f>
        <v>18050</v>
      </c>
      <c r="E2219" s="34" t="str">
        <f aca="false">'Uso e Consumo'!D2219</f>
        <v>24.09.0144</v>
      </c>
      <c r="F2219" s="34" t="str">
        <f aca="false">'Uso e Consumo'!E2219</f>
        <v>CHAVE GRIFO AÇO CR-V 18"</v>
      </c>
      <c r="G2219" s="34" t="str">
        <f aca="false">'Uso e Consumo'!J2219</f>
        <v>UN</v>
      </c>
      <c r="H2219" s="49" t="n">
        <f aca="false">'Uso e Consumo'!F2219</f>
        <v>1</v>
      </c>
      <c r="I2219" s="35" t="n">
        <f aca="false">'Uso e Consumo'!G2219</f>
        <v>84</v>
      </c>
      <c r="J2219" s="34" t="str">
        <f aca="false">'Uso e Consumo'!M2219</f>
        <v>3.8.2.002 - Ferramentas manuais</v>
      </c>
      <c r="K2219" s="32" t="str">
        <f aca="false">INDEX('Curva ABC'!$K$8:$K$2847,MATCH(D2219,'Curva ABC'!$B$8:$B$2847,0))</f>
        <v>C</v>
      </c>
    </row>
    <row r="2220" customFormat="false" ht="15" hidden="false" customHeight="false" outlineLevel="0" collapsed="false">
      <c r="A2220" s="34" t="s">
        <v>5799</v>
      </c>
      <c r="B2220" s="34" t="str">
        <f aca="false">'Uso e Consumo'!A2220</f>
        <v>0335</v>
      </c>
      <c r="C2220" s="34" t="str">
        <f aca="false">'Uso e Consumo'!B2220</f>
        <v>UFV NORONHA VERDE - USO E CONSUMO</v>
      </c>
      <c r="D2220" s="33" t="n">
        <f aca="false">'Uso e Consumo'!C2220</f>
        <v>286778</v>
      </c>
      <c r="E2220" s="34" t="str">
        <f aca="false">'Uso e Consumo'!D2220</f>
        <v>23.05.0191</v>
      </c>
      <c r="F2220" s="34" t="str">
        <f aca="false">'Uso e Consumo'!E2220</f>
        <v>ARRUELA QUADRADA, EM AÇO CARBONO PARA PARAFUSO M16</v>
      </c>
      <c r="G2220" s="34" t="str">
        <f aca="false">'Uso e Consumo'!J2220</f>
        <v>UN</v>
      </c>
      <c r="H2220" s="49" t="n">
        <f aca="false">'Uso e Consumo'!F2220</f>
        <v>24</v>
      </c>
      <c r="I2220" s="35" t="n">
        <f aca="false">'Uso e Consumo'!G2220</f>
        <v>84</v>
      </c>
      <c r="J2220" s="34" t="str">
        <f aca="false">'Uso e Consumo'!M2220</f>
        <v>3.8.1.022 - Elementos de fixação</v>
      </c>
      <c r="K2220" s="32" t="str">
        <f aca="false">INDEX('Curva ABC'!$K$8:$K$2847,MATCH(D2220,'Curva ABC'!$B$8:$B$2847,0))</f>
        <v>C</v>
      </c>
    </row>
    <row r="2221" customFormat="false" ht="15" hidden="false" customHeight="false" outlineLevel="0" collapsed="false">
      <c r="A2221" s="34" t="s">
        <v>5799</v>
      </c>
      <c r="B2221" s="34" t="str">
        <f aca="false">'Uso e Consumo'!A2221</f>
        <v>0335</v>
      </c>
      <c r="C2221" s="34" t="str">
        <f aca="false">'Uso e Consumo'!B2221</f>
        <v>UFV NORONHA VERDE - USO E CONSUMO</v>
      </c>
      <c r="D2221" s="33" t="n">
        <f aca="false">'Uso e Consumo'!C2221</f>
        <v>19840</v>
      </c>
      <c r="E2221" s="34" t="str">
        <f aca="false">'Uso e Consumo'!D2221</f>
        <v>30.04.0009</v>
      </c>
      <c r="F2221" s="34" t="str">
        <f aca="false">'Uso e Consumo'!E2221</f>
        <v>BANDEJA AÇO INOX ALTO BRILHO REDONDA 350,00MM</v>
      </c>
      <c r="G2221" s="34" t="str">
        <f aca="false">'Uso e Consumo'!J2221</f>
        <v>UN</v>
      </c>
      <c r="H2221" s="49" t="n">
        <f aca="false">'Uso e Consumo'!F2221</f>
        <v>1</v>
      </c>
      <c r="I2221" s="35" t="n">
        <f aca="false">'Uso e Consumo'!G2221</f>
        <v>83.85</v>
      </c>
      <c r="J2221" s="34" t="str">
        <f aca="false">'Uso e Consumo'!M2221</f>
        <v>4.1.1.001 - Material de uso e consumo</v>
      </c>
      <c r="K2221" s="32" t="str">
        <f aca="false">INDEX('Curva ABC'!$K$8:$K$2847,MATCH(D2221,'Curva ABC'!$B$8:$B$2847,0))</f>
        <v>C</v>
      </c>
    </row>
    <row r="2222" customFormat="false" ht="15" hidden="false" customHeight="false" outlineLevel="0" collapsed="false">
      <c r="A2222" s="34" t="s">
        <v>5799</v>
      </c>
      <c r="B2222" s="34" t="str">
        <f aca="false">'Uso e Consumo'!A2222</f>
        <v>0335</v>
      </c>
      <c r="C2222" s="34" t="str">
        <f aca="false">'Uso e Consumo'!B2222</f>
        <v>UFV NORONHA VERDE - USO E CONSUMO</v>
      </c>
      <c r="D2222" s="33" t="n">
        <f aca="false">'Uso e Consumo'!C2222</f>
        <v>19515</v>
      </c>
      <c r="E2222" s="34" t="str">
        <f aca="false">'Uso e Consumo'!D2222</f>
        <v>30.01.0235</v>
      </c>
      <c r="F2222" s="34" t="str">
        <f aca="false">'Uso e Consumo'!E2222</f>
        <v>GRAMPOS PARA GRAMPEADOR 26/6 GALVANIZADOS C/ 5000UN</v>
      </c>
      <c r="G2222" s="34" t="str">
        <f aca="false">'Uso e Consumo'!J2222</f>
        <v>UN</v>
      </c>
      <c r="H2222" s="49" t="n">
        <f aca="false">'Uso e Consumo'!F2222</f>
        <v>20</v>
      </c>
      <c r="I2222" s="35" t="n">
        <f aca="false">'Uso e Consumo'!G2222</f>
        <v>83.6</v>
      </c>
      <c r="J2222" s="34" t="str">
        <f aca="false">'Uso e Consumo'!M2222</f>
        <v>4.1.1.002 - Material expediente</v>
      </c>
      <c r="K2222" s="32" t="str">
        <f aca="false">INDEX('Curva ABC'!$K$8:$K$2847,MATCH(D2222,'Curva ABC'!$B$8:$B$2847,0))</f>
        <v>C</v>
      </c>
    </row>
    <row r="2223" customFormat="false" ht="15" hidden="false" customHeight="false" outlineLevel="0" collapsed="false">
      <c r="A2223" s="34" t="s">
        <v>5799</v>
      </c>
      <c r="B2223" s="34" t="str">
        <f aca="false">'Uso e Consumo'!A2223</f>
        <v>0335</v>
      </c>
      <c r="C2223" s="34" t="str">
        <f aca="false">'Uso e Consumo'!B2223</f>
        <v>UFV NORONHA VERDE - USO E CONSUMO</v>
      </c>
      <c r="D2223" s="33" t="n">
        <f aca="false">'Uso e Consumo'!C2223</f>
        <v>32460</v>
      </c>
      <c r="E2223" s="34" t="str">
        <f aca="false">'Uso e Consumo'!D2223</f>
        <v>17.02.0011</v>
      </c>
      <c r="F2223" s="34" t="str">
        <f aca="false">'Uso e Consumo'!E2223</f>
        <v>ELETRODUTO PVC ANTICHAMA RIGIDO ROSCAVEL PRETO 3" X 3,00M NBR 15465</v>
      </c>
      <c r="G2223" s="34" t="str">
        <f aca="false">'Uso e Consumo'!J2223</f>
        <v>PÇ3M</v>
      </c>
      <c r="H2223" s="49" t="n">
        <f aca="false">'Uso e Consumo'!F2223</f>
        <v>1</v>
      </c>
      <c r="I2223" s="35" t="n">
        <f aca="false">'Uso e Consumo'!G2223</f>
        <v>82.15</v>
      </c>
      <c r="J2223" s="34" t="str">
        <f aca="false">'Uso e Consumo'!M2223</f>
        <v>3.8.1.017 - Instalações elétricas/telefônicas/lógica</v>
      </c>
      <c r="K2223" s="32" t="str">
        <f aca="false">INDEX('Curva ABC'!$K$8:$K$2847,MATCH(D2223,'Curva ABC'!$B$8:$B$2847,0))</f>
        <v>C</v>
      </c>
    </row>
    <row r="2224" customFormat="false" ht="15" hidden="false" customHeight="false" outlineLevel="0" collapsed="false">
      <c r="A2224" s="34" t="s">
        <v>5799</v>
      </c>
      <c r="B2224" s="34" t="str">
        <f aca="false">'Uso e Consumo'!A2224</f>
        <v>0335</v>
      </c>
      <c r="C2224" s="34" t="str">
        <f aca="false">'Uso e Consumo'!B2224</f>
        <v>UFV NORONHA VERDE - USO E CONSUMO</v>
      </c>
      <c r="D2224" s="33" t="n">
        <f aca="false">'Uso e Consumo'!C2224</f>
        <v>646926</v>
      </c>
      <c r="E2224" s="34" t="str">
        <f aca="false">'Uso e Consumo'!D2224</f>
        <v>23.01.0063</v>
      </c>
      <c r="F2224" s="34" t="str">
        <f aca="false">'Uso e Consumo'!E2224</f>
        <v>TRAVA ROSCA LOCTITE 243</v>
      </c>
      <c r="G2224" s="34" t="str">
        <f aca="false">'Uso e Consumo'!J2224</f>
        <v>UN</v>
      </c>
      <c r="H2224" s="49" t="n">
        <f aca="false">'Uso e Consumo'!F2224</f>
        <v>4</v>
      </c>
      <c r="I2224" s="35" t="n">
        <f aca="false">'Uso e Consumo'!G2224</f>
        <v>81.88</v>
      </c>
      <c r="J2224" s="34" t="str">
        <f aca="false">'Uso e Consumo'!M2224</f>
        <v>3.8.1.022 - Elementos de fixação</v>
      </c>
      <c r="K2224" s="32" t="str">
        <f aca="false">INDEX('Curva ABC'!$K$8:$K$2847,MATCH(D2224,'Curva ABC'!$B$8:$B$2847,0))</f>
        <v>C</v>
      </c>
    </row>
    <row r="2225" customFormat="false" ht="15" hidden="false" customHeight="false" outlineLevel="0" collapsed="false">
      <c r="A2225" s="34" t="s">
        <v>5799</v>
      </c>
      <c r="B2225" s="34" t="str">
        <f aca="false">'Uso e Consumo'!A2225</f>
        <v>0335</v>
      </c>
      <c r="C2225" s="34" t="str">
        <f aca="false">'Uso e Consumo'!B2225</f>
        <v>UFV NORONHA VERDE - USO E CONSUMO</v>
      </c>
      <c r="D2225" s="33" t="n">
        <f aca="false">'Uso e Consumo'!C2225</f>
        <v>1385904</v>
      </c>
      <c r="E2225" s="34" t="str">
        <f aca="false">'Uso e Consumo'!D2225</f>
        <v>23.07.1577</v>
      </c>
      <c r="F2225" s="34" t="str">
        <f aca="false">'Uso e Consumo'!E2225</f>
        <v>PARAFUSO SEXTAVADO AÇO INOX, ROSCA TOTAL, M6 X 30 MM</v>
      </c>
      <c r="G2225" s="34" t="str">
        <f aca="false">'Uso e Consumo'!J2225</f>
        <v>UN</v>
      </c>
      <c r="H2225" s="49" t="n">
        <f aca="false">'Uso e Consumo'!F2225</f>
        <v>36</v>
      </c>
      <c r="I2225" s="35" t="n">
        <f aca="false">'Uso e Consumo'!G2225</f>
        <v>81.77</v>
      </c>
      <c r="J2225" s="34" t="str">
        <f aca="false">'Uso e Consumo'!M2225</f>
        <v>3.1.1.001 - Material de uso e consumo</v>
      </c>
      <c r="K2225" s="32" t="str">
        <f aca="false">INDEX('Curva ABC'!$K$8:$K$2847,MATCH(D2225,'Curva ABC'!$B$8:$B$2847,0))</f>
        <v>C</v>
      </c>
    </row>
    <row r="2226" customFormat="false" ht="15" hidden="false" customHeight="false" outlineLevel="0" collapsed="false">
      <c r="A2226" s="34" t="s">
        <v>5799</v>
      </c>
      <c r="B2226" s="34" t="str">
        <f aca="false">'Uso e Consumo'!A2226</f>
        <v>0335</v>
      </c>
      <c r="C2226" s="34" t="str">
        <f aca="false">'Uso e Consumo'!B2226</f>
        <v>UFV NORONHA VERDE - USO E CONSUMO</v>
      </c>
      <c r="D2226" s="33" t="n">
        <f aca="false">'Uso e Consumo'!C2226</f>
        <v>427780</v>
      </c>
      <c r="E2226" s="34" t="str">
        <f aca="false">'Uso e Consumo'!D2226</f>
        <v>30.05.0134</v>
      </c>
      <c r="F2226" s="34" t="str">
        <f aca="false">'Uso e Consumo'!E2226</f>
        <v>PIZZA</v>
      </c>
      <c r="G2226" s="34" t="str">
        <f aca="false">'Uso e Consumo'!J2226</f>
        <v>UN</v>
      </c>
      <c r="H2226" s="49" t="n">
        <f aca="false">'Uso e Consumo'!F2226</f>
        <v>1.34</v>
      </c>
      <c r="I2226" s="35" t="n">
        <f aca="false">'Uso e Consumo'!G2226</f>
        <v>80.33</v>
      </c>
      <c r="J2226" s="34" t="str">
        <f aca="false">'Uso e Consumo'!M2226</f>
        <v>4.3.6.007 - Refeições</v>
      </c>
      <c r="K2226" s="32" t="str">
        <f aca="false">INDEX('Curva ABC'!$K$8:$K$2847,MATCH(D2226,'Curva ABC'!$B$8:$B$2847,0))</f>
        <v>C</v>
      </c>
    </row>
    <row r="2227" customFormat="false" ht="15" hidden="false" customHeight="false" outlineLevel="0" collapsed="false">
      <c r="A2227" s="34" t="s">
        <v>5799</v>
      </c>
      <c r="B2227" s="34" t="str">
        <f aca="false">'Uso e Consumo'!A2227</f>
        <v>0335</v>
      </c>
      <c r="C2227" s="34" t="str">
        <f aca="false">'Uso e Consumo'!B2227</f>
        <v>UFV NORONHA VERDE - USO E CONSUMO</v>
      </c>
      <c r="D2227" s="33" t="n">
        <f aca="false">'Uso e Consumo'!C2227</f>
        <v>35549</v>
      </c>
      <c r="E2227" s="34" t="str">
        <f aca="false">'Uso e Consumo'!D2227</f>
        <v>17.20.0157</v>
      </c>
      <c r="F2227" s="34" t="str">
        <f aca="false">'Uso e Consumo'!E2227</f>
        <v>ARRUELA LISA GALVANIZADA 3/8”</v>
      </c>
      <c r="G2227" s="34" t="str">
        <f aca="false">'Uso e Consumo'!J2227</f>
        <v>UN</v>
      </c>
      <c r="H2227" s="49" t="n">
        <f aca="false">'Uso e Consumo'!F2227</f>
        <v>177</v>
      </c>
      <c r="I2227" s="35" t="n">
        <f aca="false">'Uso e Consumo'!G2227</f>
        <v>80.22</v>
      </c>
      <c r="J2227" s="34" t="str">
        <f aca="false">'Uso e Consumo'!M2227</f>
        <v>3.8.1.017 - Instalações elétricas/telefônicas/lógica</v>
      </c>
      <c r="K2227" s="32" t="str">
        <f aca="false">INDEX('Curva ABC'!$K$8:$K$2847,MATCH(D2227,'Curva ABC'!$B$8:$B$2847,0))</f>
        <v>C</v>
      </c>
    </row>
    <row r="2228" customFormat="false" ht="15" hidden="false" customHeight="false" outlineLevel="0" collapsed="false">
      <c r="A2228" s="34" t="s">
        <v>5799</v>
      </c>
      <c r="B2228" s="34" t="str">
        <f aca="false">'Uso e Consumo'!A2228</f>
        <v>0335</v>
      </c>
      <c r="C2228" s="34" t="str">
        <f aca="false">'Uso e Consumo'!B2228</f>
        <v>UFV NORONHA VERDE - USO E CONSUMO</v>
      </c>
      <c r="D2228" s="33" t="n">
        <f aca="false">'Uso e Consumo'!C2228</f>
        <v>1657132</v>
      </c>
      <c r="E2228" s="34" t="str">
        <f aca="false">'Uso e Consumo'!D2228</f>
        <v>23.05.0308</v>
      </c>
      <c r="F2228" s="34" t="str">
        <f aca="false">'Uso e Consumo'!E2228</f>
        <v>ARRUELA LISA DE ACO, GALVANIZADA A FOGO, BITOLA M12</v>
      </c>
      <c r="G2228" s="34" t="str">
        <f aca="false">'Uso e Consumo'!J2228</f>
        <v>UN</v>
      </c>
      <c r="H2228" s="49" t="n">
        <f aca="false">'Uso e Consumo'!F2228</f>
        <v>32</v>
      </c>
      <c r="I2228" s="35" t="n">
        <f aca="false">'Uso e Consumo'!G2228</f>
        <v>80</v>
      </c>
      <c r="J2228" s="34" t="str">
        <f aca="false">'Uso e Consumo'!M2228</f>
        <v>3.8.1.022 - Elementos de fixação</v>
      </c>
      <c r="K2228" s="32" t="str">
        <f aca="false">INDEX('Curva ABC'!$K$8:$K$2847,MATCH(D2228,'Curva ABC'!$B$8:$B$2847,0))</f>
        <v>C</v>
      </c>
    </row>
    <row r="2229" customFormat="false" ht="15" hidden="false" customHeight="false" outlineLevel="0" collapsed="false">
      <c r="A2229" s="34" t="s">
        <v>5799</v>
      </c>
      <c r="B2229" s="34" t="str">
        <f aca="false">'Uso e Consumo'!A2229</f>
        <v>0335</v>
      </c>
      <c r="C2229" s="34" t="str">
        <f aca="false">'Uso e Consumo'!B2229</f>
        <v>UFV NORONHA VERDE - USO E CONSUMO</v>
      </c>
      <c r="D2229" s="33" t="n">
        <f aca="false">'Uso e Consumo'!C2229</f>
        <v>856178</v>
      </c>
      <c r="E2229" s="34" t="str">
        <f aca="false">'Uso e Consumo'!D2229</f>
        <v>32.12.0189</v>
      </c>
      <c r="F2229" s="34" t="str">
        <f aca="false">'Uso e Consumo'!E2229</f>
        <v>FUNIL DE PLÁSTICO COM DIRECIONADOR 370 ML PARA TROCA DE ÓLEO</v>
      </c>
      <c r="G2229" s="34" t="str">
        <f aca="false">'Uso e Consumo'!J2229</f>
        <v>UN</v>
      </c>
      <c r="H2229" s="49" t="n">
        <f aca="false">'Uso e Consumo'!F2229</f>
        <v>2</v>
      </c>
      <c r="I2229" s="35" t="n">
        <f aca="false">'Uso e Consumo'!G2229</f>
        <v>79.96</v>
      </c>
      <c r="J2229" s="34" t="str">
        <f aca="false">'Uso e Consumo'!M2229</f>
        <v>4.1.1.011 - Instrumentos para medição</v>
      </c>
      <c r="K2229" s="32" t="str">
        <f aca="false">INDEX('Curva ABC'!$K$8:$K$2847,MATCH(D2229,'Curva ABC'!$B$8:$B$2847,0))</f>
        <v>C</v>
      </c>
    </row>
    <row r="2230" customFormat="false" ht="15" hidden="false" customHeight="false" outlineLevel="0" collapsed="false">
      <c r="A2230" s="34" t="s">
        <v>5799</v>
      </c>
      <c r="B2230" s="34" t="str">
        <f aca="false">'Uso e Consumo'!A2230</f>
        <v>0335</v>
      </c>
      <c r="C2230" s="34" t="str">
        <f aca="false">'Uso e Consumo'!B2230</f>
        <v>UFV NORONHA VERDE - USO E CONSUMO</v>
      </c>
      <c r="D2230" s="33" t="n">
        <f aca="false">'Uso e Consumo'!C2230</f>
        <v>942232</v>
      </c>
      <c r="E2230" s="34" t="str">
        <f aca="false">'Uso e Consumo'!D2230</f>
        <v>17.01.1097</v>
      </c>
      <c r="F2230" s="34" t="str">
        <f aca="false">'Uso e Consumo'!E2230</f>
        <v>CABO 16MM² 750V PVC PRETO UNIPOLAR</v>
      </c>
      <c r="G2230" s="34" t="str">
        <f aca="false">'Uso e Consumo'!J2230</f>
        <v>M</v>
      </c>
      <c r="H2230" s="49" t="n">
        <f aca="false">'Uso e Consumo'!F2230</f>
        <v>2</v>
      </c>
      <c r="I2230" s="35" t="n">
        <f aca="false">'Uso e Consumo'!G2230</f>
        <v>79.96</v>
      </c>
      <c r="J2230" s="34" t="str">
        <f aca="false">'Uso e Consumo'!M2230</f>
        <v>3.8.1.017 - Instalações elétricas/telefônicas/lógica</v>
      </c>
      <c r="K2230" s="32" t="str">
        <f aca="false">INDEX('Curva ABC'!$K$8:$K$2847,MATCH(D2230,'Curva ABC'!$B$8:$B$2847,0))</f>
        <v>C</v>
      </c>
    </row>
    <row r="2231" customFormat="false" ht="15" hidden="false" customHeight="false" outlineLevel="0" collapsed="false">
      <c r="A2231" s="34" t="s">
        <v>5799</v>
      </c>
      <c r="B2231" s="34" t="str">
        <f aca="false">'Uso e Consumo'!A2231</f>
        <v>0335</v>
      </c>
      <c r="C2231" s="34" t="str">
        <f aca="false">'Uso e Consumo'!B2231</f>
        <v>UFV NORONHA VERDE - USO E CONSUMO</v>
      </c>
      <c r="D2231" s="33" t="n">
        <f aca="false">'Uso e Consumo'!C2231</f>
        <v>22529</v>
      </c>
      <c r="E2231" s="34" t="str">
        <f aca="false">'Uso e Consumo'!D2231</f>
        <v>17.20.0077</v>
      </c>
      <c r="F2231" s="34" t="str">
        <f aca="false">'Uso e Consumo'!E2231</f>
        <v>CONECTOR PARA HASTE ATERRAMENTO 5/8"</v>
      </c>
      <c r="G2231" s="34" t="str">
        <f aca="false">'Uso e Consumo'!J2231</f>
        <v>UN</v>
      </c>
      <c r="H2231" s="49" t="n">
        <f aca="false">'Uso e Consumo'!F2231</f>
        <v>4</v>
      </c>
      <c r="I2231" s="35" t="n">
        <f aca="false">'Uso e Consumo'!G2231</f>
        <v>79.92</v>
      </c>
      <c r="J2231" s="34" t="str">
        <f aca="false">'Uso e Consumo'!M2231</f>
        <v>3.8.1.017 - Instalações elétricas/telefônicas/lógica</v>
      </c>
      <c r="K2231" s="32" t="str">
        <f aca="false">INDEX('Curva ABC'!$K$8:$K$2847,MATCH(D2231,'Curva ABC'!$B$8:$B$2847,0))</f>
        <v>C</v>
      </c>
    </row>
    <row r="2232" customFormat="false" ht="15" hidden="false" customHeight="false" outlineLevel="0" collapsed="false">
      <c r="A2232" s="34" t="s">
        <v>5799</v>
      </c>
      <c r="B2232" s="34" t="str">
        <f aca="false">'Uso e Consumo'!A2232</f>
        <v>0335</v>
      </c>
      <c r="C2232" s="34" t="str">
        <f aca="false">'Uso e Consumo'!B2232</f>
        <v>UFV NORONHA VERDE - USO E CONSUMO</v>
      </c>
      <c r="D2232" s="33" t="n">
        <f aca="false">'Uso e Consumo'!C2232</f>
        <v>879187</v>
      </c>
      <c r="E2232" s="34" t="str">
        <f aca="false">'Uso e Consumo'!D2232</f>
        <v>17.12.0441</v>
      </c>
      <c r="F2232" s="34" t="str">
        <f aca="false">'Uso e Consumo'!E2232</f>
        <v>ADAPTADOR PLUGUE DE TOMADA BENJAMIN 10A 16A 20A - PISSO GROSSO E PINO FINO BIVOLT 110V 220V</v>
      </c>
      <c r="G2232" s="34" t="str">
        <f aca="false">'Uso e Consumo'!J2232</f>
        <v>UN</v>
      </c>
      <c r="H2232" s="49" t="n">
        <f aca="false">'Uso e Consumo'!F2232</f>
        <v>4</v>
      </c>
      <c r="I2232" s="35" t="n">
        <f aca="false">'Uso e Consumo'!G2232</f>
        <v>79.92</v>
      </c>
      <c r="J2232" s="34" t="str">
        <f aca="false">'Uso e Consumo'!M2232</f>
        <v>3.8.1.017 - Instalações elétricas/telefônicas/lógica</v>
      </c>
      <c r="K2232" s="32" t="str">
        <f aca="false">INDEX('Curva ABC'!$K$8:$K$2847,MATCH(D2232,'Curva ABC'!$B$8:$B$2847,0))</f>
        <v>C</v>
      </c>
    </row>
    <row r="2233" customFormat="false" ht="15" hidden="false" customHeight="false" outlineLevel="0" collapsed="false">
      <c r="A2233" s="34" t="s">
        <v>5799</v>
      </c>
      <c r="B2233" s="34" t="str">
        <f aca="false">'Uso e Consumo'!A2233</f>
        <v>0335</v>
      </c>
      <c r="C2233" s="34" t="str">
        <f aca="false">'Uso e Consumo'!B2233</f>
        <v>UFV NORONHA VERDE - USO E CONSUMO</v>
      </c>
      <c r="D2233" s="33" t="n">
        <f aca="false">'Uso e Consumo'!C2233</f>
        <v>1668629</v>
      </c>
      <c r="E2233" s="34" t="str">
        <f aca="false">'Uso e Consumo'!D2233</f>
        <v>19.01.0067</v>
      </c>
      <c r="F2233" s="34" t="str">
        <f aca="false">'Uso e Consumo'!E2233</f>
        <v>CANTONEIRA DE ACO CARBONO TIPO L 1.1/2" X 1/8" X 1000 MM</v>
      </c>
      <c r="G2233" s="34" t="str">
        <f aca="false">'Uso e Consumo'!J2233</f>
        <v>UN</v>
      </c>
      <c r="H2233" s="49" t="n">
        <f aca="false">'Uso e Consumo'!F2233</f>
        <v>1</v>
      </c>
      <c r="I2233" s="35" t="n">
        <f aca="false">'Uso e Consumo'!G2233</f>
        <v>78.85</v>
      </c>
      <c r="J2233" s="34" t="str">
        <f aca="false">'Uso e Consumo'!M2233</f>
        <v>3.8.1.018 - Instalações hidráulicas/sanitárias/industriais</v>
      </c>
      <c r="K2233" s="32" t="str">
        <f aca="false">INDEX('Curva ABC'!$K$8:$K$2847,MATCH(D2233,'Curva ABC'!$B$8:$B$2847,0))</f>
        <v>C</v>
      </c>
    </row>
    <row r="2234" customFormat="false" ht="15" hidden="false" customHeight="false" outlineLevel="0" collapsed="false">
      <c r="A2234" s="34" t="s">
        <v>5799</v>
      </c>
      <c r="B2234" s="34" t="str">
        <f aca="false">'Uso e Consumo'!A2234</f>
        <v>0335</v>
      </c>
      <c r="C2234" s="34" t="str">
        <f aca="false">'Uso e Consumo'!B2234</f>
        <v>UFV NORONHA VERDE - USO E CONSUMO</v>
      </c>
      <c r="D2234" s="33" t="n">
        <f aca="false">'Uso e Consumo'!C2234</f>
        <v>14685</v>
      </c>
      <c r="E2234" s="34" t="str">
        <f aca="false">'Uso e Consumo'!D2234</f>
        <v>18.01.0260</v>
      </c>
      <c r="F2234" s="34" t="str">
        <f aca="false">'Uso e Consumo'!E2234</f>
        <v>CURVA 90GR PVC SOLDAVEL 50,00MM</v>
      </c>
      <c r="G2234" s="34" t="str">
        <f aca="false">'Uso e Consumo'!J2234</f>
        <v>UN</v>
      </c>
      <c r="H2234" s="49" t="n">
        <f aca="false">'Uso e Consumo'!F2234</f>
        <v>6</v>
      </c>
      <c r="I2234" s="35" t="n">
        <f aca="false">'Uso e Consumo'!G2234</f>
        <v>78.78</v>
      </c>
      <c r="J2234" s="34" t="str">
        <f aca="false">'Uso e Consumo'!M2234</f>
        <v>3.8.1.018 - Instalações hidráulicas/sanitárias/industriais</v>
      </c>
      <c r="K2234" s="32" t="str">
        <f aca="false">INDEX('Curva ABC'!$K$8:$K$2847,MATCH(D2234,'Curva ABC'!$B$8:$B$2847,0))</f>
        <v>C</v>
      </c>
    </row>
    <row r="2235" customFormat="false" ht="15" hidden="false" customHeight="false" outlineLevel="0" collapsed="false">
      <c r="A2235" s="34" t="s">
        <v>5799</v>
      </c>
      <c r="B2235" s="34" t="str">
        <f aca="false">'Uso e Consumo'!A2235</f>
        <v>0335</v>
      </c>
      <c r="C2235" s="34" t="str">
        <f aca="false">'Uso e Consumo'!B2235</f>
        <v>UFV NORONHA VERDE - USO E CONSUMO</v>
      </c>
      <c r="D2235" s="33" t="n">
        <f aca="false">'Uso e Consumo'!C2235</f>
        <v>19820</v>
      </c>
      <c r="E2235" s="34" t="str">
        <f aca="false">'Uso e Consumo'!D2235</f>
        <v>30.03.0093</v>
      </c>
      <c r="F2235" s="34" t="str">
        <f aca="false">'Uso e Consumo'!E2235</f>
        <v>VASSOURA NYLON BASE MADEIRA GARI</v>
      </c>
      <c r="G2235" s="34" t="str">
        <f aca="false">'Uso e Consumo'!J2235</f>
        <v>UN</v>
      </c>
      <c r="H2235" s="49" t="n">
        <f aca="false">'Uso e Consumo'!F2235</f>
        <v>1</v>
      </c>
      <c r="I2235" s="35" t="n">
        <f aca="false">'Uso e Consumo'!G2235</f>
        <v>78</v>
      </c>
      <c r="J2235" s="34" t="str">
        <f aca="false">'Uso e Consumo'!M2235</f>
        <v>4.1.1.003 - Material limpeza</v>
      </c>
      <c r="K2235" s="32" t="str">
        <f aca="false">INDEX('Curva ABC'!$K$8:$K$2847,MATCH(D2235,'Curva ABC'!$B$8:$B$2847,0))</f>
        <v>C</v>
      </c>
    </row>
    <row r="2236" customFormat="false" ht="15" hidden="false" customHeight="false" outlineLevel="0" collapsed="false">
      <c r="A2236" s="34" t="s">
        <v>5799</v>
      </c>
      <c r="B2236" s="34" t="str">
        <f aca="false">'Uso e Consumo'!A2236</f>
        <v>0335</v>
      </c>
      <c r="C2236" s="34" t="str">
        <f aca="false">'Uso e Consumo'!B2236</f>
        <v>UFV NORONHA VERDE - USO E CONSUMO</v>
      </c>
      <c r="D2236" s="33" t="n">
        <f aca="false">'Uso e Consumo'!C2236</f>
        <v>136924</v>
      </c>
      <c r="E2236" s="34" t="str">
        <f aca="false">'Uso e Consumo'!D2236</f>
        <v>18.09.0244</v>
      </c>
      <c r="F2236" s="34" t="str">
        <f aca="false">'Uso e Consumo'!E2236</f>
        <v>VÁLVULA SUCÇÃO PLÁSTICA DN Ø 32,00MM (1”) NBR 10283</v>
      </c>
      <c r="G2236" s="34" t="str">
        <f aca="false">'Uso e Consumo'!J2236</f>
        <v>UN</v>
      </c>
      <c r="H2236" s="49" t="n">
        <f aca="false">'Uso e Consumo'!F2236</f>
        <v>1</v>
      </c>
      <c r="I2236" s="35" t="n">
        <f aca="false">'Uso e Consumo'!G2236</f>
        <v>78</v>
      </c>
      <c r="J2236" s="34" t="str">
        <f aca="false">'Uso e Consumo'!M2236</f>
        <v>3.8.1.018 - Instalações hidráulicas/sanitárias/industriais</v>
      </c>
      <c r="K2236" s="32" t="str">
        <f aca="false">INDEX('Curva ABC'!$K$8:$K$2847,MATCH(D2236,'Curva ABC'!$B$8:$B$2847,0))</f>
        <v>C</v>
      </c>
    </row>
    <row r="2237" customFormat="false" ht="15" hidden="false" customHeight="false" outlineLevel="0" collapsed="false">
      <c r="A2237" s="34" t="s">
        <v>5799</v>
      </c>
      <c r="B2237" s="34" t="str">
        <f aca="false">'Uso e Consumo'!A2237</f>
        <v>0335</v>
      </c>
      <c r="C2237" s="34" t="str">
        <f aca="false">'Uso e Consumo'!B2237</f>
        <v>UFV NORONHA VERDE - USO E CONSUMO</v>
      </c>
      <c r="D2237" s="33" t="n">
        <f aca="false">'Uso e Consumo'!C2237</f>
        <v>932391</v>
      </c>
      <c r="E2237" s="34" t="str">
        <f aca="false">'Uso e Consumo'!D2237</f>
        <v>18.02.0685</v>
      </c>
      <c r="F2237" s="34" t="str">
        <f aca="false">'Uso e Consumo'!E2237</f>
        <v>FLANGE P/ CAIXA BRASILIT 32MM</v>
      </c>
      <c r="G2237" s="34" t="str">
        <f aca="false">'Uso e Consumo'!J2237</f>
        <v>UN</v>
      </c>
      <c r="H2237" s="49" t="n">
        <f aca="false">'Uso e Consumo'!F2237</f>
        <v>1</v>
      </c>
      <c r="I2237" s="35" t="n">
        <f aca="false">'Uso e Consumo'!G2237</f>
        <v>78</v>
      </c>
      <c r="J2237" s="34" t="str">
        <f aca="false">'Uso e Consumo'!M2237</f>
        <v>3.8.1.018 - Instalações hidráulicas/sanitárias/industriais</v>
      </c>
      <c r="K2237" s="32" t="str">
        <f aca="false">INDEX('Curva ABC'!$K$8:$K$2847,MATCH(D2237,'Curva ABC'!$B$8:$B$2847,0))</f>
        <v>C</v>
      </c>
    </row>
    <row r="2238" customFormat="false" ht="15" hidden="false" customHeight="false" outlineLevel="0" collapsed="false">
      <c r="A2238" s="34" t="s">
        <v>5799</v>
      </c>
      <c r="B2238" s="34" t="str">
        <f aca="false">'Uso e Consumo'!A2238</f>
        <v>0335</v>
      </c>
      <c r="C2238" s="34" t="str">
        <f aca="false">'Uso e Consumo'!B2238</f>
        <v>UFV NORONHA VERDE - USO E CONSUMO</v>
      </c>
      <c r="D2238" s="33" t="n">
        <f aca="false">'Uso e Consumo'!C2238</f>
        <v>1107808</v>
      </c>
      <c r="E2238" s="34" t="str">
        <f aca="false">'Uso e Consumo'!D2238</f>
        <v>17.12.0490</v>
      </c>
      <c r="F2238" s="34" t="str">
        <f aca="false">'Uso e Consumo'!E2238</f>
        <v>EXTENSÃO 3M PP 2P+T </v>
      </c>
      <c r="G2238" s="34" t="str">
        <f aca="false">'Uso e Consumo'!J2238</f>
        <v>UN</v>
      </c>
      <c r="H2238" s="49" t="n">
        <f aca="false">'Uso e Consumo'!F2238</f>
        <v>1</v>
      </c>
      <c r="I2238" s="35" t="n">
        <f aca="false">'Uso e Consumo'!G2238</f>
        <v>78</v>
      </c>
      <c r="J2238" s="34" t="str">
        <f aca="false">'Uso e Consumo'!M2238</f>
        <v>3.8.1.017 - Instalações elétricas/telefônicas/lógica</v>
      </c>
      <c r="K2238" s="32" t="str">
        <f aca="false">INDEX('Curva ABC'!$K$8:$K$2847,MATCH(D2238,'Curva ABC'!$B$8:$B$2847,0))</f>
        <v>C</v>
      </c>
    </row>
    <row r="2239" customFormat="false" ht="15" hidden="false" customHeight="false" outlineLevel="0" collapsed="false">
      <c r="A2239" s="34" t="s">
        <v>5799</v>
      </c>
      <c r="B2239" s="34" t="str">
        <f aca="false">'Uso e Consumo'!A2239</f>
        <v>0335</v>
      </c>
      <c r="C2239" s="34" t="str">
        <f aca="false">'Uso e Consumo'!B2239</f>
        <v>UFV NORONHA VERDE - USO E CONSUMO</v>
      </c>
      <c r="D2239" s="33" t="n">
        <f aca="false">'Uso e Consumo'!C2239</f>
        <v>1381902</v>
      </c>
      <c r="E2239" s="34" t="str">
        <f aca="false">'Uso e Consumo'!D2239</f>
        <v>18.09.0348</v>
      </c>
      <c r="F2239" s="34" t="str">
        <f aca="false">'Uso e Consumo'!E2239</f>
        <v>VALVULA BORBOLETA </v>
      </c>
      <c r="G2239" s="34" t="str">
        <f aca="false">'Uso e Consumo'!J2239</f>
        <v>PC</v>
      </c>
      <c r="H2239" s="49" t="n">
        <f aca="false">'Uso e Consumo'!F2239</f>
        <v>1</v>
      </c>
      <c r="I2239" s="35" t="n">
        <f aca="false">'Uso e Consumo'!G2239</f>
        <v>78</v>
      </c>
      <c r="J2239" s="34" t="str">
        <f aca="false">'Uso e Consumo'!M2239</f>
        <v>3.8.1.018 - Instalações hidráulicas/sanitárias/industriais</v>
      </c>
      <c r="K2239" s="32" t="str">
        <f aca="false">INDEX('Curva ABC'!$K$8:$K$2847,MATCH(D2239,'Curva ABC'!$B$8:$B$2847,0))</f>
        <v>C</v>
      </c>
    </row>
    <row r="2240" customFormat="false" ht="15" hidden="false" customHeight="false" outlineLevel="0" collapsed="false">
      <c r="A2240" s="34" t="s">
        <v>5799</v>
      </c>
      <c r="B2240" s="34" t="str">
        <f aca="false">'Uso e Consumo'!A2240</f>
        <v>0335</v>
      </c>
      <c r="C2240" s="34" t="str">
        <f aca="false">'Uso e Consumo'!B2240</f>
        <v>UFV NORONHA VERDE - USO E CONSUMO</v>
      </c>
      <c r="D2240" s="33" t="n">
        <f aca="false">'Uso e Consumo'!C2240</f>
        <v>1386217</v>
      </c>
      <c r="E2240" s="34" t="str">
        <f aca="false">'Uso e Consumo'!D2240</f>
        <v>24.08.0149</v>
      </c>
      <c r="F2240" s="34" t="str">
        <f aca="false">'Uso e Consumo'!E2240</f>
        <v>ALICATE CRIMPADOR E DECAPADOR DE FIO</v>
      </c>
      <c r="G2240" s="34" t="str">
        <f aca="false">'Uso e Consumo'!J2240</f>
        <v>UN</v>
      </c>
      <c r="H2240" s="49" t="n">
        <f aca="false">'Uso e Consumo'!F2240</f>
        <v>1</v>
      </c>
      <c r="I2240" s="35" t="n">
        <f aca="false">'Uso e Consumo'!G2240</f>
        <v>78</v>
      </c>
      <c r="J2240" s="34" t="str">
        <f aca="false">'Uso e Consumo'!M2240</f>
        <v>3.8.2.002 - Ferramentas manuais</v>
      </c>
      <c r="K2240" s="32" t="str">
        <f aca="false">INDEX('Curva ABC'!$K$8:$K$2847,MATCH(D2240,'Curva ABC'!$B$8:$B$2847,0))</f>
        <v>C</v>
      </c>
    </row>
    <row r="2241" customFormat="false" ht="15" hidden="false" customHeight="false" outlineLevel="0" collapsed="false">
      <c r="A2241" s="34" t="s">
        <v>5799</v>
      </c>
      <c r="B2241" s="34" t="str">
        <f aca="false">'Uso e Consumo'!A2241</f>
        <v>0335</v>
      </c>
      <c r="C2241" s="34" t="str">
        <f aca="false">'Uso e Consumo'!B2241</f>
        <v>UFV NORONHA VERDE - USO E CONSUMO</v>
      </c>
      <c r="D2241" s="33" t="n">
        <f aca="false">'Uso e Consumo'!C2241</f>
        <v>1461941</v>
      </c>
      <c r="E2241" s="34" t="str">
        <f aca="false">'Uso e Consumo'!D2241</f>
        <v>17.07.0106</v>
      </c>
      <c r="F2241" s="34" t="str">
        <f aca="false">'Uso e Consumo'!E2241</f>
        <v>RACK ISOLADOR C/ 72MM X 72MM</v>
      </c>
      <c r="G2241" s="34" t="str">
        <f aca="false">'Uso e Consumo'!J2241</f>
        <v>UN</v>
      </c>
      <c r="H2241" s="49" t="n">
        <f aca="false">'Uso e Consumo'!F2241</f>
        <v>1</v>
      </c>
      <c r="I2241" s="35" t="n">
        <f aca="false">'Uso e Consumo'!G2241</f>
        <v>78</v>
      </c>
      <c r="J2241" s="34" t="str">
        <f aca="false">'Uso e Consumo'!M2241</f>
        <v>3.8.1.017 - Instalações elétricas/telefônicas/lógica</v>
      </c>
      <c r="K2241" s="32" t="str">
        <f aca="false">INDEX('Curva ABC'!$K$8:$K$2847,MATCH(D2241,'Curva ABC'!$B$8:$B$2847,0))</f>
        <v>C</v>
      </c>
    </row>
    <row r="2242" customFormat="false" ht="15" hidden="false" customHeight="false" outlineLevel="0" collapsed="false">
      <c r="A2242" s="34" t="s">
        <v>5799</v>
      </c>
      <c r="B2242" s="34" t="str">
        <f aca="false">'Uso e Consumo'!A2242</f>
        <v>0335</v>
      </c>
      <c r="C2242" s="34" t="str">
        <f aca="false">'Uso e Consumo'!B2242</f>
        <v>UFV NORONHA VERDE - USO E CONSUMO</v>
      </c>
      <c r="D2242" s="33" t="n">
        <f aca="false">'Uso e Consumo'!C2242</f>
        <v>1659750</v>
      </c>
      <c r="E2242" s="34" t="str">
        <f aca="false">'Uso e Consumo'!D2242</f>
        <v>23.10.0072</v>
      </c>
      <c r="F2242" s="34" t="str">
        <f aca="false">'Uso e Consumo'!E2242</f>
        <v>CHUMBADOR MECANICO COM PARAFUSO EM ACO GALVANIZADO 3/8 X 3 1/2 POLEGADAS</v>
      </c>
      <c r="G2242" s="34" t="str">
        <f aca="false">'Uso e Consumo'!J2242</f>
        <v>UN</v>
      </c>
      <c r="H2242" s="49" t="n">
        <f aca="false">'Uso e Consumo'!F2242</f>
        <v>12</v>
      </c>
      <c r="I2242" s="35" t="n">
        <f aca="false">'Uso e Consumo'!G2242</f>
        <v>78</v>
      </c>
      <c r="J2242" s="34" t="str">
        <f aca="false">'Uso e Consumo'!M2242</f>
        <v>3.8.1.022 - Elementos de fixação</v>
      </c>
      <c r="K2242" s="32" t="str">
        <f aca="false">INDEX('Curva ABC'!$K$8:$K$2847,MATCH(D2242,'Curva ABC'!$B$8:$B$2847,0))</f>
        <v>C</v>
      </c>
    </row>
    <row r="2243" customFormat="false" ht="15" hidden="false" customHeight="false" outlineLevel="0" collapsed="false">
      <c r="A2243" s="34" t="s">
        <v>5799</v>
      </c>
      <c r="B2243" s="34" t="str">
        <f aca="false">'Uso e Consumo'!A2243</f>
        <v>0335</v>
      </c>
      <c r="C2243" s="34" t="str">
        <f aca="false">'Uso e Consumo'!B2243</f>
        <v>UFV NORONHA VERDE - USO E CONSUMO</v>
      </c>
      <c r="D2243" s="33" t="n">
        <f aca="false">'Uso e Consumo'!C2243</f>
        <v>22528</v>
      </c>
      <c r="E2243" s="34" t="str">
        <f aca="false">'Uso e Consumo'!D2243</f>
        <v>17.20.0076</v>
      </c>
      <c r="F2243" s="34" t="str">
        <f aca="false">'Uso e Consumo'!E2243</f>
        <v>CONECTOR PARA HASTE ATERRAMENTO 3/4"</v>
      </c>
      <c r="G2243" s="34" t="str">
        <f aca="false">'Uso e Consumo'!J2243</f>
        <v>UN</v>
      </c>
      <c r="H2243" s="49" t="n">
        <f aca="false">'Uso e Consumo'!F2243</f>
        <v>6</v>
      </c>
      <c r="I2243" s="35" t="n">
        <f aca="false">'Uso e Consumo'!G2243</f>
        <v>77.88</v>
      </c>
      <c r="J2243" s="34" t="str">
        <f aca="false">'Uso e Consumo'!M2243</f>
        <v>3.8.1.017 - Instalações elétricas/telefônicas/lógica</v>
      </c>
      <c r="K2243" s="32" t="str">
        <f aca="false">INDEX('Curva ABC'!$K$8:$K$2847,MATCH(D2243,'Curva ABC'!$B$8:$B$2847,0))</f>
        <v>C</v>
      </c>
    </row>
    <row r="2244" customFormat="false" ht="15" hidden="false" customHeight="false" outlineLevel="0" collapsed="false">
      <c r="A2244" s="34" t="s">
        <v>5799</v>
      </c>
      <c r="B2244" s="34" t="str">
        <f aca="false">'Uso e Consumo'!A2244</f>
        <v>0335</v>
      </c>
      <c r="C2244" s="34" t="str">
        <f aca="false">'Uso e Consumo'!B2244</f>
        <v>UFV NORONHA VERDE - USO E CONSUMO</v>
      </c>
      <c r="D2244" s="33" t="n">
        <f aca="false">'Uso e Consumo'!C2244</f>
        <v>932993</v>
      </c>
      <c r="E2244" s="34" t="str">
        <f aca="false">'Uso e Consumo'!D2244</f>
        <v>17.02.0742</v>
      </c>
      <c r="F2244" s="34" t="str">
        <f aca="false">'Uso e Consumo'!E2244</f>
        <v>ELETRODUTO PVC RÍGIDO 1" VARA COM 3M</v>
      </c>
      <c r="G2244" s="34" t="str">
        <f aca="false">'Uso e Consumo'!J2244</f>
        <v>UN</v>
      </c>
      <c r="H2244" s="49" t="n">
        <f aca="false">'Uso e Consumo'!F2244</f>
        <v>4</v>
      </c>
      <c r="I2244" s="35" t="n">
        <f aca="false">'Uso e Consumo'!G2244</f>
        <v>77.88</v>
      </c>
      <c r="J2244" s="34" t="str">
        <f aca="false">'Uso e Consumo'!M2244</f>
        <v>3.8.1.017 - Instalações elétricas/telefônicas/lógica</v>
      </c>
      <c r="K2244" s="32" t="str">
        <f aca="false">INDEX('Curva ABC'!$K$8:$K$2847,MATCH(D2244,'Curva ABC'!$B$8:$B$2847,0))</f>
        <v>C</v>
      </c>
    </row>
    <row r="2245" customFormat="false" ht="15" hidden="false" customHeight="false" outlineLevel="0" collapsed="false">
      <c r="A2245" s="34" t="s">
        <v>5799</v>
      </c>
      <c r="B2245" s="34" t="str">
        <f aca="false">'Uso e Consumo'!A2245</f>
        <v>0335</v>
      </c>
      <c r="C2245" s="34" t="str">
        <f aca="false">'Uso e Consumo'!B2245</f>
        <v>UFV NORONHA VERDE - USO E CONSUMO</v>
      </c>
      <c r="D2245" s="33" t="n">
        <f aca="false">'Uso e Consumo'!C2245</f>
        <v>19382</v>
      </c>
      <c r="E2245" s="34" t="str">
        <f aca="false">'Uso e Consumo'!D2245</f>
        <v>30.01.0102</v>
      </c>
      <c r="F2245" s="34" t="str">
        <f aca="false">'Uso e Consumo'!E2245</f>
        <v>CLIPE P/ PAPEL 8/0 GALVANIZADOS CAIXA 25UN</v>
      </c>
      <c r="G2245" s="34" t="str">
        <f aca="false">'Uso e Consumo'!J2245</f>
        <v>UN</v>
      </c>
      <c r="H2245" s="49" t="n">
        <f aca="false">'Uso e Consumo'!F2245</f>
        <v>11</v>
      </c>
      <c r="I2245" s="35" t="n">
        <f aca="false">'Uso e Consumo'!G2245</f>
        <v>77.8335</v>
      </c>
      <c r="J2245" s="34" t="str">
        <f aca="false">'Uso e Consumo'!M2245</f>
        <v>4.1.1.002 - Material expediente</v>
      </c>
      <c r="K2245" s="32" t="str">
        <f aca="false">INDEX('Curva ABC'!$K$8:$K$2847,MATCH(D2245,'Curva ABC'!$B$8:$B$2847,0))</f>
        <v>C</v>
      </c>
    </row>
    <row r="2246" customFormat="false" ht="15" hidden="false" customHeight="false" outlineLevel="0" collapsed="false">
      <c r="A2246" s="34" t="s">
        <v>5799</v>
      </c>
      <c r="B2246" s="34" t="str">
        <f aca="false">'Uso e Consumo'!A2246</f>
        <v>0335</v>
      </c>
      <c r="C2246" s="34" t="str">
        <f aca="false">'Uso e Consumo'!B2246</f>
        <v>UFV NORONHA VERDE - USO E CONSUMO</v>
      </c>
      <c r="D2246" s="33" t="n">
        <f aca="false">'Uso e Consumo'!C2246</f>
        <v>59097</v>
      </c>
      <c r="E2246" s="34" t="str">
        <f aca="false">'Uso e Consumo'!D2246</f>
        <v>27.01.0135</v>
      </c>
      <c r="F2246" s="34" t="str">
        <f aca="false">'Uso e Consumo'!E2246</f>
        <v>TANDRILAX 30 COMPRIMIDOS</v>
      </c>
      <c r="G2246" s="34" t="str">
        <f aca="false">'Uso e Consumo'!J2246</f>
        <v>UN</v>
      </c>
      <c r="H2246" s="49" t="n">
        <f aca="false">'Uso e Consumo'!F2246</f>
        <v>2</v>
      </c>
      <c r="I2246" s="35" t="n">
        <f aca="false">'Uso e Consumo'!G2246</f>
        <v>77.78</v>
      </c>
      <c r="J2246" s="34" t="str">
        <f aca="false">'Uso e Consumo'!M2246</f>
        <v>4.3.4.006 - Medicamentos e primeiro socorros</v>
      </c>
      <c r="K2246" s="32" t="str">
        <f aca="false">INDEX('Curva ABC'!$K$8:$K$2847,MATCH(D2246,'Curva ABC'!$B$8:$B$2847,0))</f>
        <v>C</v>
      </c>
    </row>
    <row r="2247" customFormat="false" ht="15" hidden="false" customHeight="false" outlineLevel="0" collapsed="false">
      <c r="A2247" s="34" t="s">
        <v>5799</v>
      </c>
      <c r="B2247" s="34" t="str">
        <f aca="false">'Uso e Consumo'!A2247</f>
        <v>0335</v>
      </c>
      <c r="C2247" s="34" t="str">
        <f aca="false">'Uso e Consumo'!B2247</f>
        <v>UFV NORONHA VERDE - USO E CONSUMO</v>
      </c>
      <c r="D2247" s="33" t="n">
        <f aca="false">'Uso e Consumo'!C2247</f>
        <v>1090980</v>
      </c>
      <c r="E2247" s="34" t="str">
        <f aca="false">'Uso e Consumo'!D2247</f>
        <v>06.02.0048</v>
      </c>
      <c r="F2247" s="34" t="str">
        <f aca="false">'Uso e Consumo'!E2247</f>
        <v>ADESIVO EM POLIURETANO PARA USO EM SUPERFÍCIES METÁLICAS , EM BISNAGAS DE 290 ML , RESISTENTE A RAIOS UV</v>
      </c>
      <c r="G2247" s="34" t="str">
        <f aca="false">'Uso e Consumo'!J2247</f>
        <v>UN</v>
      </c>
      <c r="H2247" s="49" t="n">
        <f aca="false">'Uso e Consumo'!F2247</f>
        <v>5</v>
      </c>
      <c r="I2247" s="35" t="n">
        <f aca="false">'Uso e Consumo'!G2247</f>
        <v>77.4</v>
      </c>
      <c r="J2247" s="34" t="str">
        <f aca="false">'Uso e Consumo'!M2247</f>
        <v>3.8.1.006 - Aditivos e produtos químicos</v>
      </c>
      <c r="K2247" s="32" t="str">
        <f aca="false">INDEX('Curva ABC'!$K$8:$K$2847,MATCH(D2247,'Curva ABC'!$B$8:$B$2847,0))</f>
        <v>C</v>
      </c>
    </row>
    <row r="2248" customFormat="false" ht="15" hidden="false" customHeight="false" outlineLevel="0" collapsed="false">
      <c r="A2248" s="34" t="s">
        <v>5799</v>
      </c>
      <c r="B2248" s="34" t="str">
        <f aca="false">'Uso e Consumo'!A2248</f>
        <v>0335</v>
      </c>
      <c r="C2248" s="34" t="str">
        <f aca="false">'Uso e Consumo'!B2248</f>
        <v>UFV NORONHA VERDE - USO E CONSUMO</v>
      </c>
      <c r="D2248" s="33" t="n">
        <f aca="false">'Uso e Consumo'!C2248</f>
        <v>880088</v>
      </c>
      <c r="E2248" s="34" t="str">
        <f aca="false">'Uso e Consumo'!D2248</f>
        <v>25.01.0210</v>
      </c>
      <c r="F2248" s="34" t="str">
        <f aca="false">'Uso e Consumo'!E2248</f>
        <v>DISCO DESBASTE PARA METAL 4.1/2"</v>
      </c>
      <c r="G2248" s="34" t="str">
        <f aca="false">'Uso e Consumo'!J2248</f>
        <v>UN</v>
      </c>
      <c r="H2248" s="49" t="n">
        <f aca="false">'Uso e Consumo'!F2248</f>
        <v>12</v>
      </c>
      <c r="I2248" s="35" t="n">
        <f aca="false">'Uso e Consumo'!G2248</f>
        <v>77.28</v>
      </c>
      <c r="J2248" s="34" t="str">
        <f aca="false">'Uso e Consumo'!M2248</f>
        <v>3.8.2.004 - Consumíveis para corte, perfuração e desbaste</v>
      </c>
      <c r="K2248" s="32" t="str">
        <f aca="false">INDEX('Curva ABC'!$K$8:$K$2847,MATCH(D2248,'Curva ABC'!$B$8:$B$2847,0))</f>
        <v>C</v>
      </c>
    </row>
    <row r="2249" customFormat="false" ht="15" hidden="false" customHeight="false" outlineLevel="0" collapsed="false">
      <c r="A2249" s="34" t="s">
        <v>5799</v>
      </c>
      <c r="B2249" s="34" t="str">
        <f aca="false">'Uso e Consumo'!A2249</f>
        <v>0335</v>
      </c>
      <c r="C2249" s="34" t="str">
        <f aca="false">'Uso e Consumo'!B2249</f>
        <v>UFV NORONHA VERDE - USO E CONSUMO</v>
      </c>
      <c r="D2249" s="33" t="n">
        <f aca="false">'Uso e Consumo'!C2249</f>
        <v>844082</v>
      </c>
      <c r="E2249" s="34" t="str">
        <f aca="false">'Uso e Consumo'!D2249</f>
        <v>17.04.0082</v>
      </c>
      <c r="F2249" s="34" t="str">
        <f aca="false">'Uso e Consumo'!E2249</f>
        <v>TAMPA P/ CONDULETE 3/4" TOMADA SIMPLES PVC</v>
      </c>
      <c r="G2249" s="34" t="str">
        <f aca="false">'Uso e Consumo'!J2249</f>
        <v>UN</v>
      </c>
      <c r="H2249" s="49" t="n">
        <f aca="false">'Uso e Consumo'!F2249</f>
        <v>44</v>
      </c>
      <c r="I2249" s="35" t="n">
        <f aca="false">'Uso e Consumo'!G2249</f>
        <v>77</v>
      </c>
      <c r="J2249" s="34" t="str">
        <f aca="false">'Uso e Consumo'!M2249</f>
        <v>3.8.1.017 - Instalações elétricas/telefônicas/lógica</v>
      </c>
      <c r="K2249" s="32" t="str">
        <f aca="false">INDEX('Curva ABC'!$K$8:$K$2847,MATCH(D2249,'Curva ABC'!$B$8:$B$2847,0))</f>
        <v>C</v>
      </c>
    </row>
    <row r="2250" customFormat="false" ht="15" hidden="false" customHeight="false" outlineLevel="0" collapsed="false">
      <c r="A2250" s="34" t="s">
        <v>5799</v>
      </c>
      <c r="B2250" s="34" t="str">
        <f aca="false">'Uso e Consumo'!A2250</f>
        <v>0335</v>
      </c>
      <c r="C2250" s="34" t="str">
        <f aca="false">'Uso e Consumo'!B2250</f>
        <v>UFV NORONHA VERDE - USO E CONSUMO</v>
      </c>
      <c r="D2250" s="33" t="n">
        <f aca="false">'Uso e Consumo'!C2250</f>
        <v>350613</v>
      </c>
      <c r="E2250" s="34" t="str">
        <f aca="false">'Uso e Consumo'!D2250</f>
        <v>23.07.1188</v>
      </c>
      <c r="F2250" s="34" t="str">
        <f aca="false">'Uso e Consumo'!E2250</f>
        <v>PARAFUSO CHIPBOARD FENDA PHILIPS CABEÇA CHATA AÇO CARBONO 6,0MM X 100,00MM ZINCADO BRANCO</v>
      </c>
      <c r="G2250" s="34" t="str">
        <f aca="false">'Uso e Consumo'!J2250</f>
        <v>UN</v>
      </c>
      <c r="H2250" s="49" t="n">
        <f aca="false">'Uso e Consumo'!F2250</f>
        <v>60</v>
      </c>
      <c r="I2250" s="35" t="n">
        <f aca="false">'Uso e Consumo'!G2250</f>
        <v>76.8</v>
      </c>
      <c r="J2250" s="34" t="str">
        <f aca="false">'Uso e Consumo'!M2250</f>
        <v>3.8.1.022 - Elementos de fixação</v>
      </c>
      <c r="K2250" s="32" t="str">
        <f aca="false">INDEX('Curva ABC'!$K$8:$K$2847,MATCH(D2250,'Curva ABC'!$B$8:$B$2847,0))</f>
        <v>C</v>
      </c>
    </row>
    <row r="2251" customFormat="false" ht="15" hidden="false" customHeight="false" outlineLevel="0" collapsed="false">
      <c r="A2251" s="34" t="s">
        <v>5799</v>
      </c>
      <c r="B2251" s="34" t="str">
        <f aca="false">'Uso e Consumo'!A2251</f>
        <v>0335</v>
      </c>
      <c r="C2251" s="34" t="str">
        <f aca="false">'Uso e Consumo'!B2251</f>
        <v>UFV NORONHA VERDE - USO E CONSUMO</v>
      </c>
      <c r="D2251" s="33" t="n">
        <f aca="false">'Uso e Consumo'!C2251</f>
        <v>650866</v>
      </c>
      <c r="E2251" s="34" t="str">
        <f aca="false">'Uso e Consumo'!D2251</f>
        <v>23.05.0216</v>
      </c>
      <c r="F2251" s="34" t="str">
        <f aca="false">'Uso e Consumo'!E2251</f>
        <v>ARRUELA DE PRESSÃO M12 INOX - JARTEC - Cod. 1057</v>
      </c>
      <c r="G2251" s="34" t="str">
        <f aca="false">'Uso e Consumo'!J2251</f>
        <v>UN</v>
      </c>
      <c r="H2251" s="49" t="n">
        <f aca="false">'Uso e Consumo'!F2251</f>
        <v>156</v>
      </c>
      <c r="I2251" s="35" t="n">
        <f aca="false">'Uso e Consumo'!G2251</f>
        <v>76.44</v>
      </c>
      <c r="J2251" s="34" t="str">
        <f aca="false">'Uso e Consumo'!M2251</f>
        <v>3.8.1.022 - Elementos de fixação</v>
      </c>
      <c r="K2251" s="32" t="str">
        <f aca="false">INDEX('Curva ABC'!$K$8:$K$2847,MATCH(D2251,'Curva ABC'!$B$8:$B$2847,0))</f>
        <v>C</v>
      </c>
    </row>
    <row r="2252" customFormat="false" ht="15" hidden="false" customHeight="false" outlineLevel="0" collapsed="false">
      <c r="A2252" s="34" t="s">
        <v>5799</v>
      </c>
      <c r="B2252" s="34" t="str">
        <f aca="false">'Uso e Consumo'!A2252</f>
        <v>0335</v>
      </c>
      <c r="C2252" s="34" t="str">
        <f aca="false">'Uso e Consumo'!B2252</f>
        <v>UFV NORONHA VERDE - USO E CONSUMO</v>
      </c>
      <c r="D2252" s="33" t="n">
        <f aca="false">'Uso e Consumo'!C2252</f>
        <v>864244</v>
      </c>
      <c r="E2252" s="34" t="str">
        <f aca="false">'Uso e Consumo'!D2252</f>
        <v>24.09.0612</v>
      </c>
      <c r="F2252" s="34" t="str">
        <f aca="false">'Uso e Consumo'!E2252</f>
        <v>CHAVE SOQUETE ENCAIXE 1/2" - ALLEN 6MM</v>
      </c>
      <c r="G2252" s="34" t="str">
        <f aca="false">'Uso e Consumo'!J2252</f>
        <v>UN</v>
      </c>
      <c r="H2252" s="49" t="n">
        <f aca="false">'Uso e Consumo'!F2252</f>
        <v>2</v>
      </c>
      <c r="I2252" s="35" t="n">
        <f aca="false">'Uso e Consumo'!G2252</f>
        <v>76.02</v>
      </c>
      <c r="J2252" s="34" t="str">
        <f aca="false">'Uso e Consumo'!M2252</f>
        <v>3.8.2.002 - Ferramentas manuais</v>
      </c>
      <c r="K2252" s="32" t="str">
        <f aca="false">INDEX('Curva ABC'!$K$8:$K$2847,MATCH(D2252,'Curva ABC'!$B$8:$B$2847,0))</f>
        <v>C</v>
      </c>
    </row>
    <row r="2253" customFormat="false" ht="15" hidden="false" customHeight="false" outlineLevel="0" collapsed="false">
      <c r="A2253" s="34" t="s">
        <v>5799</v>
      </c>
      <c r="B2253" s="34" t="str">
        <f aca="false">'Uso e Consumo'!A2253</f>
        <v>0335</v>
      </c>
      <c r="C2253" s="34" t="str">
        <f aca="false">'Uso e Consumo'!B2253</f>
        <v>UFV NORONHA VERDE - USO E CONSUMO</v>
      </c>
      <c r="D2253" s="33" t="n">
        <f aca="false">'Uso e Consumo'!C2253</f>
        <v>1182187</v>
      </c>
      <c r="E2253" s="34" t="str">
        <f aca="false">'Uso e Consumo'!D2253</f>
        <v>06.04.0072</v>
      </c>
      <c r="F2253" s="34" t="str">
        <f aca="false">'Uso e Consumo'!E2253</f>
        <v>SELANTE ACRÍLICO 430G</v>
      </c>
      <c r="G2253" s="34" t="str">
        <f aca="false">'Uso e Consumo'!J2253</f>
        <v>UN</v>
      </c>
      <c r="H2253" s="49" t="n">
        <f aca="false">'Uso e Consumo'!F2253</f>
        <v>2</v>
      </c>
      <c r="I2253" s="35" t="n">
        <f aca="false">'Uso e Consumo'!G2253</f>
        <v>76</v>
      </c>
      <c r="J2253" s="34" t="str">
        <f aca="false">'Uso e Consumo'!M2253</f>
        <v>3.8.1.006 - Aditivos e produtos químicos</v>
      </c>
      <c r="K2253" s="32" t="str">
        <f aca="false">INDEX('Curva ABC'!$K$8:$K$2847,MATCH(D2253,'Curva ABC'!$B$8:$B$2847,0))</f>
        <v>C</v>
      </c>
    </row>
    <row r="2254" customFormat="false" ht="15" hidden="false" customHeight="false" outlineLevel="0" collapsed="false">
      <c r="A2254" s="34" t="s">
        <v>5799</v>
      </c>
      <c r="B2254" s="34" t="str">
        <f aca="false">'Uso e Consumo'!A2254</f>
        <v>0335</v>
      </c>
      <c r="C2254" s="34" t="str">
        <f aca="false">'Uso e Consumo'!B2254</f>
        <v>UFV NORONHA VERDE - USO E CONSUMO</v>
      </c>
      <c r="D2254" s="33" t="n">
        <f aca="false">'Uso e Consumo'!C2254</f>
        <v>14641</v>
      </c>
      <c r="E2254" s="34" t="str">
        <f aca="false">'Uso e Consumo'!D2254</f>
        <v>18.01.0216</v>
      </c>
      <c r="F2254" s="34" t="str">
        <f aca="false">'Uso e Consumo'!E2254</f>
        <v>CAP PVC SOLDAVEL 50,00MM</v>
      </c>
      <c r="G2254" s="34" t="str">
        <f aca="false">'Uso e Consumo'!J2254</f>
        <v>UN</v>
      </c>
      <c r="H2254" s="49" t="n">
        <f aca="false">'Uso e Consumo'!F2254</f>
        <v>4</v>
      </c>
      <c r="I2254" s="35" t="n">
        <f aca="false">'Uso e Consumo'!G2254</f>
        <v>75.92</v>
      </c>
      <c r="J2254" s="34" t="str">
        <f aca="false">'Uso e Consumo'!M2254</f>
        <v>3.8.1.018 - Instalações hidráulicas/sanitárias/industriais</v>
      </c>
      <c r="K2254" s="32" t="str">
        <f aca="false">INDEX('Curva ABC'!$K$8:$K$2847,MATCH(D2254,'Curva ABC'!$B$8:$B$2847,0))</f>
        <v>C</v>
      </c>
    </row>
    <row r="2255" customFormat="false" ht="15" hidden="false" customHeight="false" outlineLevel="0" collapsed="false">
      <c r="A2255" s="34" t="s">
        <v>5799</v>
      </c>
      <c r="B2255" s="34" t="str">
        <f aca="false">'Uso e Consumo'!A2255</f>
        <v>0335</v>
      </c>
      <c r="C2255" s="34" t="str">
        <f aca="false">'Uso e Consumo'!B2255</f>
        <v>UFV NORONHA VERDE - USO E CONSUMO</v>
      </c>
      <c r="D2255" s="33" t="n">
        <f aca="false">'Uso e Consumo'!C2255</f>
        <v>390179</v>
      </c>
      <c r="E2255" s="34" t="str">
        <f aca="false">'Uso e Consumo'!D2255</f>
        <v>23.01.0050</v>
      </c>
      <c r="F2255" s="34" t="str">
        <f aca="false">'Uso e Consumo'!E2255</f>
        <v>VULCANITE 160x1,00mm ROLO DE 1KG</v>
      </c>
      <c r="G2255" s="34" t="str">
        <f aca="false">'Uso e Consumo'!J2255</f>
        <v>UN</v>
      </c>
      <c r="H2255" s="49" t="n">
        <f aca="false">'Uso e Consumo'!F2255</f>
        <v>1</v>
      </c>
      <c r="I2255" s="35" t="n">
        <f aca="false">'Uso e Consumo'!G2255</f>
        <v>75</v>
      </c>
      <c r="J2255" s="34" t="str">
        <f aca="false">'Uso e Consumo'!M2255</f>
        <v>3.8.1.022 - Elementos de fixação</v>
      </c>
      <c r="K2255" s="32" t="str">
        <f aca="false">INDEX('Curva ABC'!$K$8:$K$2847,MATCH(D2255,'Curva ABC'!$B$8:$B$2847,0))</f>
        <v>C</v>
      </c>
    </row>
    <row r="2256" customFormat="false" ht="32.8" hidden="false" customHeight="false" outlineLevel="0" collapsed="false">
      <c r="A2256" s="34" t="s">
        <v>5799</v>
      </c>
      <c r="B2256" s="34" t="str">
        <f aca="false">'Uso e Consumo'!A2256</f>
        <v>0335</v>
      </c>
      <c r="C2256" s="34" t="str">
        <f aca="false">'Uso e Consumo'!B2256</f>
        <v>UFV NORONHA VERDE - USO E CONSUMO</v>
      </c>
      <c r="D2256" s="33" t="n">
        <f aca="false">'Uso e Consumo'!C2256</f>
        <v>1485678</v>
      </c>
      <c r="E2256" s="34" t="str">
        <f aca="false">'Uso e Consumo'!D2256</f>
        <v>23.06.0327</v>
      </c>
      <c r="F2256" s="50" t="str">
        <f aca="false">'Uso e Consumo'!E2256</f>
        <v>PORCA SEXTAVADA AÇO GALVANIZADO A FOGO ROSCA MÉTRICA M12
</v>
      </c>
      <c r="G2256" s="34" t="str">
        <f aca="false">'Uso e Consumo'!J2256</f>
        <v>UN</v>
      </c>
      <c r="H2256" s="49" t="n">
        <f aca="false">'Uso e Consumo'!F2256</f>
        <v>30</v>
      </c>
      <c r="I2256" s="35" t="n">
        <f aca="false">'Uso e Consumo'!G2256</f>
        <v>75</v>
      </c>
      <c r="J2256" s="34" t="str">
        <f aca="false">'Uso e Consumo'!M2256</f>
        <v>3.8.1.022 - Elementos de fixação</v>
      </c>
      <c r="K2256" s="32" t="str">
        <f aca="false">INDEX('Curva ABC'!$K$8:$K$2847,MATCH(D2256,'Curva ABC'!$B$8:$B$2847,0))</f>
        <v>C</v>
      </c>
    </row>
    <row r="2257" customFormat="false" ht="15" hidden="false" customHeight="false" outlineLevel="0" collapsed="false">
      <c r="A2257" s="34" t="s">
        <v>5799</v>
      </c>
      <c r="B2257" s="34" t="str">
        <f aca="false">'Uso e Consumo'!A2257</f>
        <v>0335</v>
      </c>
      <c r="C2257" s="34" t="str">
        <f aca="false">'Uso e Consumo'!B2257</f>
        <v>UFV NORONHA VERDE - USO E CONSUMO</v>
      </c>
      <c r="D2257" s="33" t="n">
        <f aca="false">'Uso e Consumo'!C2257</f>
        <v>1331023</v>
      </c>
      <c r="E2257" s="34" t="str">
        <f aca="false">'Uso e Consumo'!D2257</f>
        <v>30.11.0052</v>
      </c>
      <c r="F2257" s="34" t="str">
        <f aca="false">'Uso e Consumo'!E2257</f>
        <v>ESCADA EM MDF PARA PORTA LEMBRANCINHAS</v>
      </c>
      <c r="G2257" s="34" t="str">
        <f aca="false">'Uso e Consumo'!J2257</f>
        <v>UN</v>
      </c>
      <c r="H2257" s="49" t="n">
        <f aca="false">'Uso e Consumo'!F2257</f>
        <v>1</v>
      </c>
      <c r="I2257" s="35" t="n">
        <f aca="false">'Uso e Consumo'!G2257</f>
        <v>74.98</v>
      </c>
      <c r="J2257" s="34" t="str">
        <f aca="false">'Uso e Consumo'!M2257</f>
        <v>4.4.3.001 - Eventos e confraternizações</v>
      </c>
      <c r="K2257" s="32" t="str">
        <f aca="false">INDEX('Curva ABC'!$K$8:$K$2847,MATCH(D2257,'Curva ABC'!$B$8:$B$2847,0))</f>
        <v>C</v>
      </c>
    </row>
    <row r="2258" customFormat="false" ht="15" hidden="false" customHeight="false" outlineLevel="0" collapsed="false">
      <c r="A2258" s="34" t="s">
        <v>5799</v>
      </c>
      <c r="B2258" s="34" t="str">
        <f aca="false">'Uso e Consumo'!A2258</f>
        <v>0335</v>
      </c>
      <c r="C2258" s="34" t="str">
        <f aca="false">'Uso e Consumo'!B2258</f>
        <v>UFV NORONHA VERDE - USO E CONSUMO</v>
      </c>
      <c r="D2258" s="33" t="n">
        <f aca="false">'Uso e Consumo'!C2258</f>
        <v>19621</v>
      </c>
      <c r="E2258" s="34" t="str">
        <f aca="false">'Uso e Consumo'!D2258</f>
        <v>30.01.0341</v>
      </c>
      <c r="F2258" s="34" t="str">
        <f aca="false">'Uso e Consumo'!E2258</f>
        <v>PILHA ALCALINA AA 1,5V C/ 4,00UN</v>
      </c>
      <c r="G2258" s="34" t="str">
        <f aca="false">'Uso e Consumo'!J2258</f>
        <v>UN</v>
      </c>
      <c r="H2258" s="49" t="n">
        <f aca="false">'Uso e Consumo'!F2258</f>
        <v>6</v>
      </c>
      <c r="I2258" s="35" t="n">
        <f aca="false">'Uso e Consumo'!G2258</f>
        <v>74.5419</v>
      </c>
      <c r="J2258" s="34" t="str">
        <f aca="false">'Uso e Consumo'!M2258</f>
        <v>4.1.1.002 - Material expediente</v>
      </c>
      <c r="K2258" s="32" t="str">
        <f aca="false">INDEX('Curva ABC'!$K$8:$K$2847,MATCH(D2258,'Curva ABC'!$B$8:$B$2847,0))</f>
        <v>C</v>
      </c>
    </row>
    <row r="2259" customFormat="false" ht="15" hidden="false" customHeight="false" outlineLevel="0" collapsed="false">
      <c r="A2259" s="34" t="s">
        <v>5799</v>
      </c>
      <c r="B2259" s="34" t="str">
        <f aca="false">'Uso e Consumo'!A2259</f>
        <v>0335</v>
      </c>
      <c r="C2259" s="34" t="str">
        <f aca="false">'Uso e Consumo'!B2259</f>
        <v>UFV NORONHA VERDE - USO E CONSUMO</v>
      </c>
      <c r="D2259" s="33" t="n">
        <f aca="false">'Uso e Consumo'!C2259</f>
        <v>18416</v>
      </c>
      <c r="E2259" s="34" t="str">
        <f aca="false">'Uso e Consumo'!D2259</f>
        <v>25.03.0120</v>
      </c>
      <c r="F2259" s="34" t="str">
        <f aca="false">'Uso e Consumo'!E2259</f>
        <v>BROCA SDS PLUS HELICOIDAL HASTE CILINDRICA AÇO NIQUEL-CROMO PONTA VIDEA 8,00MM X 160,00MM</v>
      </c>
      <c r="G2259" s="34" t="str">
        <f aca="false">'Uso e Consumo'!J2259</f>
        <v>UN</v>
      </c>
      <c r="H2259" s="49" t="n">
        <f aca="false">'Uso e Consumo'!F2259</f>
        <v>6</v>
      </c>
      <c r="I2259" s="35" t="n">
        <f aca="false">'Uso e Consumo'!G2259</f>
        <v>74.04</v>
      </c>
      <c r="J2259" s="34" t="str">
        <f aca="false">'Uso e Consumo'!M2259</f>
        <v>3.8.2.004 - Consumíveis para corte, perfuração e desbaste</v>
      </c>
      <c r="K2259" s="32" t="str">
        <f aca="false">INDEX('Curva ABC'!$K$8:$K$2847,MATCH(D2259,'Curva ABC'!$B$8:$B$2847,0))</f>
        <v>C</v>
      </c>
    </row>
    <row r="2260" customFormat="false" ht="15" hidden="false" customHeight="false" outlineLevel="0" collapsed="false">
      <c r="A2260" s="34" t="s">
        <v>5799</v>
      </c>
      <c r="B2260" s="34" t="str">
        <f aca="false">'Uso e Consumo'!A2260</f>
        <v>0335</v>
      </c>
      <c r="C2260" s="34" t="str">
        <f aca="false">'Uso e Consumo'!B2260</f>
        <v>UFV NORONHA VERDE - USO E CONSUMO</v>
      </c>
      <c r="D2260" s="33" t="n">
        <f aca="false">'Uso e Consumo'!C2260</f>
        <v>22826</v>
      </c>
      <c r="E2260" s="34" t="str">
        <f aca="false">'Uso e Consumo'!D2260</f>
        <v>23.07.0712</v>
      </c>
      <c r="F2260" s="34" t="str">
        <f aca="false">'Uso e Consumo'!E2260</f>
        <v>PARAFUSO CABEÇA QUADRADA GALV. M16 250MM</v>
      </c>
      <c r="G2260" s="34" t="str">
        <f aca="false">'Uso e Consumo'!J2260</f>
        <v>UN</v>
      </c>
      <c r="H2260" s="49" t="n">
        <f aca="false">'Uso e Consumo'!F2260</f>
        <v>6</v>
      </c>
      <c r="I2260" s="35" t="n">
        <f aca="false">'Uso e Consumo'!G2260</f>
        <v>74.04</v>
      </c>
      <c r="J2260" s="34" t="str">
        <f aca="false">'Uso e Consumo'!M2260</f>
        <v>3.8.1.022 - Elementos de fixação</v>
      </c>
      <c r="K2260" s="32" t="str">
        <f aca="false">INDEX('Curva ABC'!$K$8:$K$2847,MATCH(D2260,'Curva ABC'!$B$8:$B$2847,0))</f>
        <v>C</v>
      </c>
    </row>
    <row r="2261" customFormat="false" ht="15" hidden="false" customHeight="false" outlineLevel="0" collapsed="false">
      <c r="A2261" s="34" t="s">
        <v>5799</v>
      </c>
      <c r="B2261" s="34" t="str">
        <f aca="false">'Uso e Consumo'!A2261</f>
        <v>0335</v>
      </c>
      <c r="C2261" s="34" t="str">
        <f aca="false">'Uso e Consumo'!B2261</f>
        <v>UFV NORONHA VERDE - USO E CONSUMO</v>
      </c>
      <c r="D2261" s="33" t="n">
        <f aca="false">'Uso e Consumo'!C2261</f>
        <v>19380</v>
      </c>
      <c r="E2261" s="34" t="str">
        <f aca="false">'Uso e Consumo'!D2261</f>
        <v>30.01.0100</v>
      </c>
      <c r="F2261" s="34" t="str">
        <f aca="false">'Uso e Consumo'!E2261</f>
        <v>CLIPE P/ PAPEL 4/0 GALVANIZADOS CAIXA 50UN</v>
      </c>
      <c r="G2261" s="34" t="str">
        <f aca="false">'Uso e Consumo'!J2261</f>
        <v>UN</v>
      </c>
      <c r="H2261" s="49" t="n">
        <f aca="false">'Uso e Consumo'!F2261</f>
        <v>11</v>
      </c>
      <c r="I2261" s="35" t="n">
        <f aca="false">'Uso e Consumo'!G2261</f>
        <v>73.9232</v>
      </c>
      <c r="J2261" s="34" t="str">
        <f aca="false">'Uso e Consumo'!M2261</f>
        <v>4.1.1.002 - Material expediente</v>
      </c>
      <c r="K2261" s="32" t="str">
        <f aca="false">INDEX('Curva ABC'!$K$8:$K$2847,MATCH(D2261,'Curva ABC'!$B$8:$B$2847,0))</f>
        <v>C</v>
      </c>
    </row>
    <row r="2262" customFormat="false" ht="15" hidden="false" customHeight="false" outlineLevel="0" collapsed="false">
      <c r="A2262" s="34" t="s">
        <v>5799</v>
      </c>
      <c r="B2262" s="34" t="str">
        <f aca="false">'Uso e Consumo'!A2262</f>
        <v>0335</v>
      </c>
      <c r="C2262" s="34" t="str">
        <f aca="false">'Uso e Consumo'!B2262</f>
        <v>UFV NORONHA VERDE - USO E CONSUMO</v>
      </c>
      <c r="D2262" s="33" t="n">
        <f aca="false">'Uso e Consumo'!C2262</f>
        <v>1170363</v>
      </c>
      <c r="E2262" s="34" t="str">
        <f aca="false">'Uso e Consumo'!D2262</f>
        <v>18.01.1437</v>
      </c>
      <c r="F2262" s="34" t="str">
        <f aca="false">'Uso e Consumo'!E2262</f>
        <v>TUBO PVC ESGOTO 50MM X 6M SÉRIE NORMAL</v>
      </c>
      <c r="G2262" s="34" t="str">
        <f aca="false">'Uso e Consumo'!J2262</f>
        <v>UN</v>
      </c>
      <c r="H2262" s="49" t="n">
        <f aca="false">'Uso e Consumo'!F2262</f>
        <v>1</v>
      </c>
      <c r="I2262" s="35" t="n">
        <f aca="false">'Uso e Consumo'!G2262</f>
        <v>73.86</v>
      </c>
      <c r="J2262" s="34" t="str">
        <f aca="false">'Uso e Consumo'!M2262</f>
        <v>3.8.1.018 - Instalações hidráulicas/sanitárias/industriais</v>
      </c>
      <c r="K2262" s="32" t="str">
        <f aca="false">INDEX('Curva ABC'!$K$8:$K$2847,MATCH(D2262,'Curva ABC'!$B$8:$B$2847,0))</f>
        <v>C</v>
      </c>
    </row>
    <row r="2263" customFormat="false" ht="15" hidden="false" customHeight="false" outlineLevel="0" collapsed="false">
      <c r="A2263" s="34" t="s">
        <v>5799</v>
      </c>
      <c r="B2263" s="34" t="str">
        <f aca="false">'Uso e Consumo'!A2263</f>
        <v>0335</v>
      </c>
      <c r="C2263" s="34" t="str">
        <f aca="false">'Uso e Consumo'!B2263</f>
        <v>UFV NORONHA VERDE - USO E CONSUMO</v>
      </c>
      <c r="D2263" s="33" t="n">
        <f aca="false">'Uso e Consumo'!C2263</f>
        <v>750193</v>
      </c>
      <c r="E2263" s="34" t="str">
        <f aca="false">'Uso e Consumo'!D2263</f>
        <v>25.03.0314</v>
      </c>
      <c r="F2263" s="34" t="str">
        <f aca="false">'Uso e Consumo'!E2263</f>
        <v>BROCA SDS-PLUS 6MM </v>
      </c>
      <c r="G2263" s="34" t="str">
        <f aca="false">'Uso e Consumo'!J2263</f>
        <v>UN</v>
      </c>
      <c r="H2263" s="49" t="n">
        <f aca="false">'Uso e Consumo'!F2263</f>
        <v>11</v>
      </c>
      <c r="I2263" s="35" t="n">
        <f aca="false">'Uso e Consumo'!G2263</f>
        <v>73.6267</v>
      </c>
      <c r="J2263" s="34" t="str">
        <f aca="false">'Uso e Consumo'!M2263</f>
        <v>3.8.2.004 - Consumíveis para corte, perfuração e desbaste</v>
      </c>
      <c r="K2263" s="32" t="str">
        <f aca="false">INDEX('Curva ABC'!$K$8:$K$2847,MATCH(D2263,'Curva ABC'!$B$8:$B$2847,0))</f>
        <v>C</v>
      </c>
    </row>
    <row r="2264" customFormat="false" ht="15" hidden="false" customHeight="false" outlineLevel="0" collapsed="false">
      <c r="A2264" s="34" t="s">
        <v>5799</v>
      </c>
      <c r="B2264" s="34" t="str">
        <f aca="false">'Uso e Consumo'!A2264</f>
        <v>0335</v>
      </c>
      <c r="C2264" s="34" t="str">
        <f aca="false">'Uso e Consumo'!B2264</f>
        <v>UFV NORONHA VERDE - USO E CONSUMO</v>
      </c>
      <c r="D2264" s="33" t="n">
        <f aca="false">'Uso e Consumo'!C2264</f>
        <v>56160</v>
      </c>
      <c r="E2264" s="34" t="str">
        <f aca="false">'Uso e Consumo'!D2264</f>
        <v>17.04.0044</v>
      </c>
      <c r="F2264" s="34" t="str">
        <f aca="false">'Uso e Consumo'!E2264</f>
        <v>SAPATA EXTERNA P/ PERFILADO 38,00 x 38,00MM, C/ 4 FUROS 114,00 x 114,00 x 46,60MM</v>
      </c>
      <c r="G2264" s="34" t="str">
        <f aca="false">'Uso e Consumo'!J2264</f>
        <v>UN</v>
      </c>
      <c r="H2264" s="49" t="n">
        <f aca="false">'Uso e Consumo'!F2264</f>
        <v>8</v>
      </c>
      <c r="I2264" s="35" t="n">
        <f aca="false">'Uso e Consumo'!G2264</f>
        <v>73.44</v>
      </c>
      <c r="J2264" s="34" t="str">
        <f aca="false">'Uso e Consumo'!M2264</f>
        <v>3.8.1.017 - Instalações elétricas/telefônicas/lógica</v>
      </c>
      <c r="K2264" s="32" t="str">
        <f aca="false">INDEX('Curva ABC'!$K$8:$K$2847,MATCH(D2264,'Curva ABC'!$B$8:$B$2847,0))</f>
        <v>C</v>
      </c>
    </row>
    <row r="2265" customFormat="false" ht="15" hidden="false" customHeight="false" outlineLevel="0" collapsed="false">
      <c r="A2265" s="34" t="s">
        <v>5799</v>
      </c>
      <c r="B2265" s="34" t="str">
        <f aca="false">'Uso e Consumo'!A2265</f>
        <v>0335</v>
      </c>
      <c r="C2265" s="34" t="str">
        <f aca="false">'Uso e Consumo'!B2265</f>
        <v>UFV NORONHA VERDE - USO E CONSUMO</v>
      </c>
      <c r="D2265" s="33" t="n">
        <f aca="false">'Uso e Consumo'!C2265</f>
        <v>1615458</v>
      </c>
      <c r="E2265" s="34" t="str">
        <f aca="false">'Uso e Consumo'!D2265</f>
        <v>17.12.0516</v>
      </c>
      <c r="F2265" s="34" t="str">
        <f aca="false">'Uso e Consumo'!E2265</f>
        <v>TAMPA CEGA P/ CONDULETE MULTIPLO 1", ALUMINIO C/ PINTURA EPOXI E PARAFUSOS</v>
      </c>
      <c r="G2265" s="34" t="str">
        <f aca="false">'Uso e Consumo'!J2265</f>
        <v>UN</v>
      </c>
      <c r="H2265" s="49" t="n">
        <f aca="false">'Uso e Consumo'!F2265</f>
        <v>13</v>
      </c>
      <c r="I2265" s="35" t="n">
        <f aca="false">'Uso e Consumo'!G2265</f>
        <v>73.06</v>
      </c>
      <c r="J2265" s="34" t="str">
        <f aca="false">'Uso e Consumo'!M2265</f>
        <v>3.8.1.017 - Instalações elétricas/telefônicas/lógica</v>
      </c>
      <c r="K2265" s="32" t="str">
        <f aca="false">INDEX('Curva ABC'!$K$8:$K$2847,MATCH(D2265,'Curva ABC'!$B$8:$B$2847,0))</f>
        <v>C</v>
      </c>
    </row>
    <row r="2266" customFormat="false" ht="15" hidden="false" customHeight="false" outlineLevel="0" collapsed="false">
      <c r="A2266" s="34" t="s">
        <v>5799</v>
      </c>
      <c r="B2266" s="34" t="str">
        <f aca="false">'Uso e Consumo'!A2266</f>
        <v>0335</v>
      </c>
      <c r="C2266" s="34" t="str">
        <f aca="false">'Uso e Consumo'!B2266</f>
        <v>UFV NORONHA VERDE - USO E CONSUMO</v>
      </c>
      <c r="D2266" s="33" t="n">
        <f aca="false">'Uso e Consumo'!C2266</f>
        <v>833723</v>
      </c>
      <c r="E2266" s="34" t="str">
        <f aca="false">'Uso e Consumo'!D2266</f>
        <v>27.01.0394</v>
      </c>
      <c r="F2266" s="34" t="str">
        <f aca="false">'Uso e Consumo'!E2266</f>
        <v>DEXAMETASONA 4MG/ML (INJETÁVEL)</v>
      </c>
      <c r="G2266" s="34" t="str">
        <f aca="false">'Uso e Consumo'!J2266</f>
        <v>UN</v>
      </c>
      <c r="H2266" s="49" t="n">
        <f aca="false">'Uso e Consumo'!F2266</f>
        <v>3</v>
      </c>
      <c r="I2266" s="35" t="n">
        <f aca="false">'Uso e Consumo'!G2266</f>
        <v>72.42</v>
      </c>
      <c r="J2266" s="34" t="str">
        <f aca="false">'Uso e Consumo'!M2266</f>
        <v>4.3.4.006 - Medicamentos e primeiro socorros</v>
      </c>
      <c r="K2266" s="32" t="str">
        <f aca="false">INDEX('Curva ABC'!$K$8:$K$2847,MATCH(D2266,'Curva ABC'!$B$8:$B$2847,0))</f>
        <v>C</v>
      </c>
    </row>
    <row r="2267" customFormat="false" ht="15" hidden="false" customHeight="false" outlineLevel="0" collapsed="false">
      <c r="A2267" s="34" t="s">
        <v>5799</v>
      </c>
      <c r="B2267" s="34" t="str">
        <f aca="false">'Uso e Consumo'!A2267</f>
        <v>0335</v>
      </c>
      <c r="C2267" s="34" t="str">
        <f aca="false">'Uso e Consumo'!B2267</f>
        <v>UFV NORONHA VERDE - USO E CONSUMO</v>
      </c>
      <c r="D2267" s="33" t="n">
        <f aca="false">'Uso e Consumo'!C2267</f>
        <v>22813</v>
      </c>
      <c r="E2267" s="34" t="str">
        <f aca="false">'Uso e Consumo'!D2267</f>
        <v>25.03.0160</v>
      </c>
      <c r="F2267" s="34" t="str">
        <f aca="false">'Uso e Consumo'!E2267</f>
        <v>BROCA AÇO RÁPIDO 8MM</v>
      </c>
      <c r="G2267" s="34" t="str">
        <f aca="false">'Uso e Consumo'!J2267</f>
        <v>UN</v>
      </c>
      <c r="H2267" s="49" t="n">
        <f aca="false">'Uso e Consumo'!F2267</f>
        <v>10</v>
      </c>
      <c r="I2267" s="35" t="n">
        <f aca="false">'Uso e Consumo'!G2267</f>
        <v>72.2</v>
      </c>
      <c r="J2267" s="34" t="str">
        <f aca="false">'Uso e Consumo'!M2267</f>
        <v>3.8.2.004 - Consumíveis para corte, perfuração e desbaste</v>
      </c>
      <c r="K2267" s="32" t="str">
        <f aca="false">INDEX('Curva ABC'!$K$8:$K$2847,MATCH(D2267,'Curva ABC'!$B$8:$B$2847,0))</f>
        <v>C</v>
      </c>
    </row>
    <row r="2268" customFormat="false" ht="15" hidden="false" customHeight="false" outlineLevel="0" collapsed="false">
      <c r="A2268" s="34" t="s">
        <v>5799</v>
      </c>
      <c r="B2268" s="34" t="str">
        <f aca="false">'Uso e Consumo'!A2268</f>
        <v>0335</v>
      </c>
      <c r="C2268" s="34" t="str">
        <f aca="false">'Uso e Consumo'!B2268</f>
        <v>UFV NORONHA VERDE - USO E CONSUMO</v>
      </c>
      <c r="D2268" s="33" t="n">
        <f aca="false">'Uso e Consumo'!C2268</f>
        <v>15060</v>
      </c>
      <c r="E2268" s="34" t="str">
        <f aca="false">'Uso e Consumo'!D2268</f>
        <v>18.01.0635</v>
      </c>
      <c r="F2268" s="34" t="str">
        <f aca="false">'Uso e Consumo'!E2268</f>
        <v>TE 90GR PVCS RIGIDO REFORCADO SOLDAVEL 100,00MM X 100,00MM P/ESGOTO</v>
      </c>
      <c r="G2268" s="34" t="str">
        <f aca="false">'Uso e Consumo'!J2268</f>
        <v>UN</v>
      </c>
      <c r="H2268" s="49" t="n">
        <f aca="false">'Uso e Consumo'!F2268</f>
        <v>2</v>
      </c>
      <c r="I2268" s="35" t="n">
        <f aca="false">'Uso e Consumo'!G2268</f>
        <v>72</v>
      </c>
      <c r="J2268" s="34" t="str">
        <f aca="false">'Uso e Consumo'!M2268</f>
        <v>3.8.1.018 - Instalações hidráulicas/sanitárias/industriais</v>
      </c>
      <c r="K2268" s="32" t="str">
        <f aca="false">INDEX('Curva ABC'!$K$8:$K$2847,MATCH(D2268,'Curva ABC'!$B$8:$B$2847,0))</f>
        <v>C</v>
      </c>
    </row>
    <row r="2269" customFormat="false" ht="15" hidden="false" customHeight="false" outlineLevel="0" collapsed="false">
      <c r="A2269" s="34" t="s">
        <v>5799</v>
      </c>
      <c r="B2269" s="34" t="str">
        <f aca="false">'Uso e Consumo'!A2269</f>
        <v>0335</v>
      </c>
      <c r="C2269" s="34" t="str">
        <f aca="false">'Uso e Consumo'!B2269</f>
        <v>UFV NORONHA VERDE - USO E CONSUMO</v>
      </c>
      <c r="D2269" s="33" t="n">
        <f aca="false">'Uso e Consumo'!C2269</f>
        <v>260240</v>
      </c>
      <c r="E2269" s="34" t="str">
        <f aca="false">'Uso e Consumo'!D2269</f>
        <v>27.01.0288</v>
      </c>
      <c r="F2269" s="34" t="str">
        <f aca="false">'Uso e Consumo'!E2269</f>
        <v>IBUPROFENO 600 MG</v>
      </c>
      <c r="G2269" s="34" t="str">
        <f aca="false">'Uso e Consumo'!J2269</f>
        <v>UN</v>
      </c>
      <c r="H2269" s="49" t="n">
        <f aca="false">'Uso e Consumo'!F2269</f>
        <v>4</v>
      </c>
      <c r="I2269" s="35" t="n">
        <f aca="false">'Uso e Consumo'!G2269</f>
        <v>72</v>
      </c>
      <c r="J2269" s="34" t="str">
        <f aca="false">'Uso e Consumo'!M2269</f>
        <v>4.3.4.006 - Medicamentos e primeiro socorros</v>
      </c>
      <c r="K2269" s="32" t="str">
        <f aca="false">INDEX('Curva ABC'!$K$8:$K$2847,MATCH(D2269,'Curva ABC'!$B$8:$B$2847,0))</f>
        <v>C</v>
      </c>
    </row>
    <row r="2270" customFormat="false" ht="15" hidden="false" customHeight="false" outlineLevel="0" collapsed="false">
      <c r="A2270" s="34" t="s">
        <v>5799</v>
      </c>
      <c r="B2270" s="34" t="str">
        <f aca="false">'Uso e Consumo'!A2270</f>
        <v>0335</v>
      </c>
      <c r="C2270" s="34" t="str">
        <f aca="false">'Uso e Consumo'!B2270</f>
        <v>UFV NORONHA VERDE - USO E CONSUMO</v>
      </c>
      <c r="D2270" s="33" t="n">
        <f aca="false">'Uso e Consumo'!C2270</f>
        <v>653367</v>
      </c>
      <c r="E2270" s="34" t="str">
        <f aca="false">'Uso e Consumo'!D2270</f>
        <v>18.01.1215</v>
      </c>
      <c r="F2270" s="34" t="str">
        <f aca="false">'Uso e Consumo'!E2270</f>
        <v>LUVA SOLDÁVEL COM ROSCA (LR) 32MMX1</v>
      </c>
      <c r="G2270" s="34" t="str">
        <f aca="false">'Uso e Consumo'!J2270</f>
        <v>UN</v>
      </c>
      <c r="H2270" s="49" t="n">
        <f aca="false">'Uso e Consumo'!F2270</f>
        <v>5</v>
      </c>
      <c r="I2270" s="35" t="n">
        <f aca="false">'Uso e Consumo'!G2270</f>
        <v>71.9</v>
      </c>
      <c r="J2270" s="34" t="str">
        <f aca="false">'Uso e Consumo'!M2270</f>
        <v>3.8.1.018 - Instalações hidráulicas/sanitárias/industriais</v>
      </c>
      <c r="K2270" s="32" t="str">
        <f aca="false">INDEX('Curva ABC'!$K$8:$K$2847,MATCH(D2270,'Curva ABC'!$B$8:$B$2847,0))</f>
        <v>C</v>
      </c>
    </row>
    <row r="2271" customFormat="false" ht="15" hidden="false" customHeight="false" outlineLevel="0" collapsed="false">
      <c r="A2271" s="34" t="s">
        <v>5799</v>
      </c>
      <c r="B2271" s="34" t="str">
        <f aca="false">'Uso e Consumo'!A2271</f>
        <v>0335</v>
      </c>
      <c r="C2271" s="34" t="str">
        <f aca="false">'Uso e Consumo'!B2271</f>
        <v>UFV NORONHA VERDE - USO E CONSUMO</v>
      </c>
      <c r="D2271" s="33" t="n">
        <f aca="false">'Uso e Consumo'!C2271</f>
        <v>18427</v>
      </c>
      <c r="E2271" s="34" t="str">
        <f aca="false">'Uso e Consumo'!D2271</f>
        <v>25.03.0131</v>
      </c>
      <c r="F2271" s="34" t="str">
        <f aca="false">'Uso e Consumo'!E2271</f>
        <v>BROCA SDS PLUS HELICOIDAL HASTE CONICA AÇO NIQUEL-CROMO PONTA VIDEA 10,00MM X 160,00MM</v>
      </c>
      <c r="G2271" s="34" t="str">
        <f aca="false">'Uso e Consumo'!J2271</f>
        <v>UN</v>
      </c>
      <c r="H2271" s="49" t="n">
        <f aca="false">'Uso e Consumo'!F2271</f>
        <v>6</v>
      </c>
      <c r="I2271" s="35" t="n">
        <f aca="false">'Uso e Consumo'!G2271</f>
        <v>71.1</v>
      </c>
      <c r="J2271" s="34" t="str">
        <f aca="false">'Uso e Consumo'!M2271</f>
        <v>3.8.2.004 - Consumíveis para corte, perfuração e desbaste</v>
      </c>
      <c r="K2271" s="32" t="str">
        <f aca="false">INDEX('Curva ABC'!$K$8:$K$2847,MATCH(D2271,'Curva ABC'!$B$8:$B$2847,0))</f>
        <v>C</v>
      </c>
    </row>
    <row r="2272" customFormat="false" ht="15" hidden="false" customHeight="false" outlineLevel="0" collapsed="false">
      <c r="A2272" s="34" t="s">
        <v>5799</v>
      </c>
      <c r="B2272" s="34" t="str">
        <f aca="false">'Uso e Consumo'!A2272</f>
        <v>0335</v>
      </c>
      <c r="C2272" s="34" t="str">
        <f aca="false">'Uso e Consumo'!B2272</f>
        <v>UFV NORONHA VERDE - USO E CONSUMO</v>
      </c>
      <c r="D2272" s="33" t="n">
        <f aca="false">'Uso e Consumo'!C2272</f>
        <v>22250</v>
      </c>
      <c r="E2272" s="34" t="str">
        <f aca="false">'Uso e Consumo'!D2272</f>
        <v>30.03.0124</v>
      </c>
      <c r="F2272" s="34" t="str">
        <f aca="false">'Uso e Consumo'!E2272</f>
        <v>LIXEIRA PLÁSTICA COM PEDAL 13,50L</v>
      </c>
      <c r="G2272" s="34" t="str">
        <f aca="false">'Uso e Consumo'!J2272</f>
        <v>UN</v>
      </c>
      <c r="H2272" s="49" t="n">
        <f aca="false">'Uso e Consumo'!F2272</f>
        <v>2</v>
      </c>
      <c r="I2272" s="35" t="n">
        <f aca="false">'Uso e Consumo'!G2272</f>
        <v>71.02</v>
      </c>
      <c r="J2272" s="34" t="str">
        <f aca="false">'Uso e Consumo'!M2272</f>
        <v>4.1.1.003 - Material limpeza</v>
      </c>
      <c r="K2272" s="32" t="str">
        <f aca="false">INDEX('Curva ABC'!$K$8:$K$2847,MATCH(D2272,'Curva ABC'!$B$8:$B$2847,0))</f>
        <v>C</v>
      </c>
    </row>
    <row r="2273" customFormat="false" ht="15" hidden="false" customHeight="false" outlineLevel="0" collapsed="false">
      <c r="A2273" s="34" t="s">
        <v>5799</v>
      </c>
      <c r="B2273" s="34" t="str">
        <f aca="false">'Uso e Consumo'!A2273</f>
        <v>0335</v>
      </c>
      <c r="C2273" s="34" t="str">
        <f aca="false">'Uso e Consumo'!B2273</f>
        <v>UFV NORONHA VERDE - USO E CONSUMO</v>
      </c>
      <c r="D2273" s="33" t="n">
        <f aca="false">'Uso e Consumo'!C2273</f>
        <v>1662150</v>
      </c>
      <c r="E2273" s="34" t="str">
        <f aca="false">'Uso e Consumo'!D2273</f>
        <v>17.03.0623</v>
      </c>
      <c r="F2273" s="34" t="str">
        <f aca="false">'Uso e Consumo'!E2273</f>
        <v>SAIDA LATERAL SIMPLES PARA ELETRODUTO ACO GALVANIZADO A QUENTE 3/4 POL PERFILADO 38 X 38 MM</v>
      </c>
      <c r="G2273" s="34" t="str">
        <f aca="false">'Uso e Consumo'!J2273</f>
        <v>UN</v>
      </c>
      <c r="H2273" s="49" t="n">
        <f aca="false">'Uso e Consumo'!F2273</f>
        <v>26</v>
      </c>
      <c r="I2273" s="35" t="n">
        <f aca="false">'Uso e Consumo'!G2273</f>
        <v>70.98</v>
      </c>
      <c r="J2273" s="34" t="str">
        <f aca="false">'Uso e Consumo'!M2273</f>
        <v>3.8.1.017 - Instalações elétricas/telefônicas/lógica</v>
      </c>
      <c r="K2273" s="32" t="str">
        <f aca="false">INDEX('Curva ABC'!$K$8:$K$2847,MATCH(D2273,'Curva ABC'!$B$8:$B$2847,0))</f>
        <v>C</v>
      </c>
    </row>
    <row r="2274" customFormat="false" ht="15" hidden="false" customHeight="false" outlineLevel="0" collapsed="false">
      <c r="A2274" s="34" t="s">
        <v>5799</v>
      </c>
      <c r="B2274" s="34" t="str">
        <f aca="false">'Uso e Consumo'!A2274</f>
        <v>0335</v>
      </c>
      <c r="C2274" s="34" t="str">
        <f aca="false">'Uso e Consumo'!B2274</f>
        <v>UFV NORONHA VERDE - USO E CONSUMO</v>
      </c>
      <c r="D2274" s="33" t="n">
        <f aca="false">'Uso e Consumo'!C2274</f>
        <v>60598</v>
      </c>
      <c r="E2274" s="34" t="str">
        <f aca="false">'Uso e Consumo'!D2274</f>
        <v>25.03.0237</v>
      </c>
      <c r="F2274" s="34" t="str">
        <f aca="false">'Uso e Consumo'!E2274</f>
        <v>JOGO DE BROCA AÇO RAPIDO 1MM A 13MM</v>
      </c>
      <c r="G2274" s="34" t="str">
        <f aca="false">'Uso e Consumo'!J2274</f>
        <v>UN</v>
      </c>
      <c r="H2274" s="49" t="n">
        <f aca="false">'Uso e Consumo'!F2274</f>
        <v>1</v>
      </c>
      <c r="I2274" s="35" t="n">
        <f aca="false">'Uso e Consumo'!G2274</f>
        <v>70.84</v>
      </c>
      <c r="J2274" s="34" t="str">
        <f aca="false">'Uso e Consumo'!M2274</f>
        <v>3.8.2.004 - Consumíveis para corte, perfuração e desbaste</v>
      </c>
      <c r="K2274" s="32" t="str">
        <f aca="false">INDEX('Curva ABC'!$K$8:$K$2847,MATCH(D2274,'Curva ABC'!$B$8:$B$2847,0))</f>
        <v>C</v>
      </c>
    </row>
    <row r="2275" customFormat="false" ht="15" hidden="false" customHeight="false" outlineLevel="0" collapsed="false">
      <c r="A2275" s="34" t="s">
        <v>5799</v>
      </c>
      <c r="B2275" s="34" t="str">
        <f aca="false">'Uso e Consumo'!A2275</f>
        <v>0335</v>
      </c>
      <c r="C2275" s="34" t="str">
        <f aca="false">'Uso e Consumo'!B2275</f>
        <v>UFV NORONHA VERDE - USO E CONSUMO</v>
      </c>
      <c r="D2275" s="33" t="n">
        <f aca="false">'Uso e Consumo'!C2275</f>
        <v>17899</v>
      </c>
      <c r="E2275" s="34" t="str">
        <f aca="false">'Uso e Consumo'!D2275</f>
        <v>24.08.0007</v>
      </c>
      <c r="F2275" s="34" t="str">
        <f aca="false">'Uso e Consumo'!E2275</f>
        <v>ALICATE P/ ANEL EXTERNO BICO  RETO 7" AÇO CROMO-VANADIO FOSFATIZADO EMPUNHADURA PVC  S/ISOLAMENTO</v>
      </c>
      <c r="G2275" s="34" t="str">
        <f aca="false">'Uso e Consumo'!J2275</f>
        <v>UN</v>
      </c>
      <c r="H2275" s="49" t="n">
        <f aca="false">'Uso e Consumo'!F2275</f>
        <v>1</v>
      </c>
      <c r="I2275" s="35" t="n">
        <f aca="false">'Uso e Consumo'!G2275</f>
        <v>70.78</v>
      </c>
      <c r="J2275" s="34" t="str">
        <f aca="false">'Uso e Consumo'!M2275</f>
        <v>3.8.2.002 - Ferramentas manuais</v>
      </c>
      <c r="K2275" s="32" t="str">
        <f aca="false">INDEX('Curva ABC'!$K$8:$K$2847,MATCH(D2275,'Curva ABC'!$B$8:$B$2847,0))</f>
        <v>C</v>
      </c>
    </row>
    <row r="2276" customFormat="false" ht="15" hidden="false" customHeight="false" outlineLevel="0" collapsed="false">
      <c r="A2276" s="34" t="s">
        <v>5799</v>
      </c>
      <c r="B2276" s="34" t="str">
        <f aca="false">'Uso e Consumo'!A2276</f>
        <v>0335</v>
      </c>
      <c r="C2276" s="34" t="str">
        <f aca="false">'Uso e Consumo'!B2276</f>
        <v>UFV NORONHA VERDE - USO E CONSUMO</v>
      </c>
      <c r="D2276" s="33" t="n">
        <f aca="false">'Uso e Consumo'!C2276</f>
        <v>292350</v>
      </c>
      <c r="E2276" s="34" t="str">
        <f aca="false">'Uso e Consumo'!D2276</f>
        <v>33.02.1569</v>
      </c>
      <c r="F2276" s="34" t="str">
        <f aca="false">'Uso e Consumo'!E2276</f>
        <v>MANGUEIRA (1135-350-7600) STIHL</v>
      </c>
      <c r="G2276" s="34" t="str">
        <f aca="false">'Uso e Consumo'!J2276</f>
        <v>UN</v>
      </c>
      <c r="H2276" s="49" t="n">
        <f aca="false">'Uso e Consumo'!F2276</f>
        <v>2</v>
      </c>
      <c r="I2276" s="35" t="n">
        <f aca="false">'Uso e Consumo'!G2276</f>
        <v>70.5</v>
      </c>
      <c r="J2276" s="34" t="str">
        <f aca="false">'Uso e Consumo'!M2276</f>
        <v>3.1.6.002 - Pneus e peças</v>
      </c>
      <c r="K2276" s="32" t="str">
        <f aca="false">INDEX('Curva ABC'!$K$8:$K$2847,MATCH(D2276,'Curva ABC'!$B$8:$B$2847,0))</f>
        <v>C</v>
      </c>
    </row>
    <row r="2277" customFormat="false" ht="15" hidden="false" customHeight="false" outlineLevel="0" collapsed="false">
      <c r="A2277" s="34" t="s">
        <v>5799</v>
      </c>
      <c r="B2277" s="34" t="str">
        <f aca="false">'Uso e Consumo'!A2277</f>
        <v>0335</v>
      </c>
      <c r="C2277" s="34" t="str">
        <f aca="false">'Uso e Consumo'!B2277</f>
        <v>UFV NORONHA VERDE - USO E CONSUMO</v>
      </c>
      <c r="D2277" s="33" t="n">
        <f aca="false">'Uso e Consumo'!C2277</f>
        <v>21612</v>
      </c>
      <c r="E2277" s="34" t="str">
        <f aca="false">'Uso e Consumo'!D2277</f>
        <v>33.02.0063</v>
      </c>
      <c r="F2277" s="34" t="str">
        <f aca="false">'Uso e Consumo'!E2277</f>
        <v>PARAFUSO SX 7/8 X 6 G5 UNC</v>
      </c>
      <c r="G2277" s="34" t="str">
        <f aca="false">'Uso e Consumo'!J2277</f>
        <v>UN</v>
      </c>
      <c r="H2277" s="49" t="n">
        <f aca="false">'Uso e Consumo'!F2277</f>
        <v>80</v>
      </c>
      <c r="I2277" s="35" t="n">
        <f aca="false">'Uso e Consumo'!G2277</f>
        <v>70.4</v>
      </c>
      <c r="J2277" s="34" t="str">
        <f aca="false">'Uso e Consumo'!M2277</f>
        <v>3.1.6.002 - Pneus e peças</v>
      </c>
      <c r="K2277" s="32" t="str">
        <f aca="false">INDEX('Curva ABC'!$K$8:$K$2847,MATCH(D2277,'Curva ABC'!$B$8:$B$2847,0))</f>
        <v>C</v>
      </c>
    </row>
    <row r="2278" customFormat="false" ht="15" hidden="false" customHeight="false" outlineLevel="0" collapsed="false">
      <c r="A2278" s="34" t="s">
        <v>5799</v>
      </c>
      <c r="B2278" s="34" t="str">
        <f aca="false">'Uso e Consumo'!A2278</f>
        <v>0335</v>
      </c>
      <c r="C2278" s="34" t="str">
        <f aca="false">'Uso e Consumo'!B2278</f>
        <v>UFV NORONHA VERDE - USO E CONSUMO</v>
      </c>
      <c r="D2278" s="33" t="n">
        <f aca="false">'Uso e Consumo'!C2278</f>
        <v>1670496</v>
      </c>
      <c r="E2278" s="34" t="str">
        <f aca="false">'Uso e Consumo'!D2278</f>
        <v>18.09.0409</v>
      </c>
      <c r="F2278" s="34" t="str">
        <f aca="false">'Uso e Consumo'!E2278</f>
        <v>REGISTRO DE PRESSAO SOLDAVEL PVC BRANCO REDONDO 25MM</v>
      </c>
      <c r="G2278" s="34" t="str">
        <f aca="false">'Uso e Consumo'!J2278</f>
        <v>UN</v>
      </c>
      <c r="H2278" s="49" t="n">
        <f aca="false">'Uso e Consumo'!F2278</f>
        <v>8</v>
      </c>
      <c r="I2278" s="35" t="n">
        <f aca="false">'Uso e Consumo'!G2278</f>
        <v>70.4</v>
      </c>
      <c r="J2278" s="34" t="str">
        <f aca="false">'Uso e Consumo'!M2278</f>
        <v>3.8.1.018 - Instalações hidráulicas/sanitárias/industriais</v>
      </c>
      <c r="K2278" s="32" t="str">
        <f aca="false">INDEX('Curva ABC'!$K$8:$K$2847,MATCH(D2278,'Curva ABC'!$B$8:$B$2847,0))</f>
        <v>C</v>
      </c>
    </row>
    <row r="2279" customFormat="false" ht="15" hidden="false" customHeight="false" outlineLevel="0" collapsed="false">
      <c r="A2279" s="34" t="s">
        <v>5799</v>
      </c>
      <c r="B2279" s="34" t="str">
        <f aca="false">'Uso e Consumo'!A2279</f>
        <v>0335</v>
      </c>
      <c r="C2279" s="34" t="str">
        <f aca="false">'Uso e Consumo'!B2279</f>
        <v>UFV NORONHA VERDE - USO E CONSUMO</v>
      </c>
      <c r="D2279" s="33" t="n">
        <f aca="false">'Uso e Consumo'!C2279</f>
        <v>293605</v>
      </c>
      <c r="E2279" s="34" t="str">
        <f aca="false">'Uso e Consumo'!D2279</f>
        <v>27.01.0327</v>
      </c>
      <c r="F2279" s="34" t="str">
        <f aca="false">'Uso e Consumo'!E2279</f>
        <v>LIDOCAÍNA SPRAY 100MG/ML</v>
      </c>
      <c r="G2279" s="34" t="str">
        <f aca="false">'Uso e Consumo'!J2279</f>
        <v>UN</v>
      </c>
      <c r="H2279" s="49" t="n">
        <f aca="false">'Uso e Consumo'!F2279</f>
        <v>2</v>
      </c>
      <c r="I2279" s="35" t="n">
        <f aca="false">'Uso e Consumo'!G2279</f>
        <v>70</v>
      </c>
      <c r="J2279" s="34" t="str">
        <f aca="false">'Uso e Consumo'!M2279</f>
        <v>4.3.4.006 - Medicamentos e primeiro socorros</v>
      </c>
      <c r="K2279" s="32" t="str">
        <f aca="false">INDEX('Curva ABC'!$K$8:$K$2847,MATCH(D2279,'Curva ABC'!$B$8:$B$2847,0))</f>
        <v>C</v>
      </c>
    </row>
    <row r="2280" customFormat="false" ht="15" hidden="false" customHeight="false" outlineLevel="0" collapsed="false">
      <c r="A2280" s="34" t="s">
        <v>5799</v>
      </c>
      <c r="B2280" s="34" t="str">
        <f aca="false">'Uso e Consumo'!A2280</f>
        <v>0335</v>
      </c>
      <c r="C2280" s="34" t="str">
        <f aca="false">'Uso e Consumo'!B2280</f>
        <v>UFV NORONHA VERDE - USO E CONSUMO</v>
      </c>
      <c r="D2280" s="33" t="n">
        <f aca="false">'Uso e Consumo'!C2280</f>
        <v>21749</v>
      </c>
      <c r="E2280" s="34" t="str">
        <f aca="false">'Uso e Consumo'!D2280</f>
        <v>33.02.0101</v>
      </c>
      <c r="F2280" s="34" t="str">
        <f aca="false">'Uso e Consumo'!E2280</f>
        <v>CORREIA</v>
      </c>
      <c r="G2280" s="34" t="str">
        <f aca="false">'Uso e Consumo'!J2280</f>
        <v>UN</v>
      </c>
      <c r="H2280" s="49" t="n">
        <f aca="false">'Uso e Consumo'!F2280</f>
        <v>2</v>
      </c>
      <c r="I2280" s="35" t="n">
        <f aca="false">'Uso e Consumo'!G2280</f>
        <v>69.96</v>
      </c>
      <c r="J2280" s="34" t="str">
        <f aca="false">'Uso e Consumo'!M2280</f>
        <v>3.1.6.002 - Pneus e peças</v>
      </c>
      <c r="K2280" s="32" t="str">
        <f aca="false">INDEX('Curva ABC'!$K$8:$K$2847,MATCH(D2280,'Curva ABC'!$B$8:$B$2847,0))</f>
        <v>C</v>
      </c>
    </row>
    <row r="2281" customFormat="false" ht="15" hidden="false" customHeight="false" outlineLevel="0" collapsed="false">
      <c r="A2281" s="34" t="s">
        <v>5799</v>
      </c>
      <c r="B2281" s="34" t="str">
        <f aca="false">'Uso e Consumo'!A2281</f>
        <v>0335</v>
      </c>
      <c r="C2281" s="34" t="str">
        <f aca="false">'Uso e Consumo'!B2281</f>
        <v>UFV NORONHA VERDE - USO E CONSUMO</v>
      </c>
      <c r="D2281" s="33" t="n">
        <f aca="false">'Uso e Consumo'!C2281</f>
        <v>292351</v>
      </c>
      <c r="E2281" s="34" t="str">
        <f aca="false">'Uso e Consumo'!D2281</f>
        <v>33.02.1570</v>
      </c>
      <c r="F2281" s="34" t="str">
        <f aca="false">'Uso e Consumo'!E2281</f>
        <v>VELA DE IGNINIÇÃO NGK BPMR7A (0000-400-7000) STHIL</v>
      </c>
      <c r="G2281" s="34" t="str">
        <f aca="false">'Uso e Consumo'!J2281</f>
        <v>UN</v>
      </c>
      <c r="H2281" s="49" t="n">
        <f aca="false">'Uso e Consumo'!F2281</f>
        <v>1</v>
      </c>
      <c r="I2281" s="35" t="n">
        <f aca="false">'Uso e Consumo'!G2281</f>
        <v>69.25</v>
      </c>
      <c r="J2281" s="34" t="str">
        <f aca="false">'Uso e Consumo'!M2281</f>
        <v>3.1.6.002 - Pneus e peças</v>
      </c>
      <c r="K2281" s="32" t="str">
        <f aca="false">INDEX('Curva ABC'!$K$8:$K$2847,MATCH(D2281,'Curva ABC'!$B$8:$B$2847,0))</f>
        <v>C</v>
      </c>
    </row>
    <row r="2282" customFormat="false" ht="15" hidden="false" customHeight="false" outlineLevel="0" collapsed="false">
      <c r="A2282" s="34" t="s">
        <v>5799</v>
      </c>
      <c r="B2282" s="34" t="str">
        <f aca="false">'Uso e Consumo'!A2282</f>
        <v>0335</v>
      </c>
      <c r="C2282" s="34" t="str">
        <f aca="false">'Uso e Consumo'!B2282</f>
        <v>UFV NORONHA VERDE - USO E CONSUMO</v>
      </c>
      <c r="D2282" s="33" t="n">
        <f aca="false">'Uso e Consumo'!C2282</f>
        <v>17951</v>
      </c>
      <c r="E2282" s="34" t="str">
        <f aca="false">'Uso e Consumo'!D2282</f>
        <v>24.09.0045</v>
      </c>
      <c r="F2282" s="34" t="str">
        <f aca="false">'Uso e Consumo'!E2282</f>
        <v>CHAVE COMBINADA 30,00MM AÇO CARBONO CROMADO</v>
      </c>
      <c r="G2282" s="34" t="str">
        <f aca="false">'Uso e Consumo'!J2282</f>
        <v>UN</v>
      </c>
      <c r="H2282" s="49" t="n">
        <f aca="false">'Uso e Consumo'!F2282</f>
        <v>1</v>
      </c>
      <c r="I2282" s="35" t="n">
        <f aca="false">'Uso e Consumo'!G2282</f>
        <v>69</v>
      </c>
      <c r="J2282" s="34" t="str">
        <f aca="false">'Uso e Consumo'!M2282</f>
        <v>3.8.2.002 - Ferramentas manuais</v>
      </c>
      <c r="K2282" s="32" t="str">
        <f aca="false">INDEX('Curva ABC'!$K$8:$K$2847,MATCH(D2282,'Curva ABC'!$B$8:$B$2847,0))</f>
        <v>C</v>
      </c>
    </row>
    <row r="2283" customFormat="false" ht="15" hidden="false" customHeight="false" outlineLevel="0" collapsed="false">
      <c r="A2283" s="34" t="s">
        <v>5799</v>
      </c>
      <c r="B2283" s="34" t="str">
        <f aca="false">'Uso e Consumo'!A2283</f>
        <v>0335</v>
      </c>
      <c r="C2283" s="34" t="str">
        <f aca="false">'Uso e Consumo'!B2283</f>
        <v>UFV NORONHA VERDE - USO E CONSUMO</v>
      </c>
      <c r="D2283" s="33" t="n">
        <f aca="false">'Uso e Consumo'!C2283</f>
        <v>17952</v>
      </c>
      <c r="E2283" s="34" t="str">
        <f aca="false">'Uso e Consumo'!D2283</f>
        <v>24.09.0046</v>
      </c>
      <c r="F2283" s="34" t="str">
        <f aca="false">'Uso e Consumo'!E2283</f>
        <v>CHAVE COMBINADA 32,00MM AÇO CARBONO CROMADO</v>
      </c>
      <c r="G2283" s="34" t="str">
        <f aca="false">'Uso e Consumo'!J2283</f>
        <v>UN</v>
      </c>
      <c r="H2283" s="49" t="n">
        <f aca="false">'Uso e Consumo'!F2283</f>
        <v>1</v>
      </c>
      <c r="I2283" s="35" t="n">
        <f aca="false">'Uso e Consumo'!G2283</f>
        <v>69</v>
      </c>
      <c r="J2283" s="34" t="str">
        <f aca="false">'Uso e Consumo'!M2283</f>
        <v>3.8.2.002 - Ferramentas manuais</v>
      </c>
      <c r="K2283" s="32" t="str">
        <f aca="false">INDEX('Curva ABC'!$K$8:$K$2847,MATCH(D2283,'Curva ABC'!$B$8:$B$2847,0))</f>
        <v>C</v>
      </c>
    </row>
    <row r="2284" customFormat="false" ht="15" hidden="false" customHeight="false" outlineLevel="0" collapsed="false">
      <c r="A2284" s="34" t="s">
        <v>5799</v>
      </c>
      <c r="B2284" s="34" t="str">
        <f aca="false">'Uso e Consumo'!A2284</f>
        <v>0335</v>
      </c>
      <c r="C2284" s="34" t="str">
        <f aca="false">'Uso e Consumo'!B2284</f>
        <v>UFV NORONHA VERDE - USO E CONSUMO</v>
      </c>
      <c r="D2284" s="33" t="n">
        <f aca="false">'Uso e Consumo'!C2284</f>
        <v>19360</v>
      </c>
      <c r="E2284" s="34" t="str">
        <f aca="false">'Uso e Consumo'!D2284</f>
        <v>30.01.0080</v>
      </c>
      <c r="F2284" s="34" t="str">
        <f aca="false">'Uso e Consumo'!E2284</f>
        <v>CANETA MARCADOR PERMANENTE PRETO</v>
      </c>
      <c r="G2284" s="34" t="str">
        <f aca="false">'Uso e Consumo'!J2284</f>
        <v>UN</v>
      </c>
      <c r="H2284" s="49" t="n">
        <f aca="false">'Uso e Consumo'!F2284</f>
        <v>15</v>
      </c>
      <c r="I2284" s="35" t="n">
        <f aca="false">'Uso e Consumo'!G2284</f>
        <v>69</v>
      </c>
      <c r="J2284" s="34" t="str">
        <f aca="false">'Uso e Consumo'!M2284</f>
        <v>4.1.1.002 - Material expediente</v>
      </c>
      <c r="K2284" s="32" t="str">
        <f aca="false">INDEX('Curva ABC'!$K$8:$K$2847,MATCH(D2284,'Curva ABC'!$B$8:$B$2847,0))</f>
        <v>C</v>
      </c>
    </row>
    <row r="2285" customFormat="false" ht="15" hidden="false" customHeight="false" outlineLevel="0" collapsed="false">
      <c r="A2285" s="34" t="s">
        <v>5799</v>
      </c>
      <c r="B2285" s="34" t="str">
        <f aca="false">'Uso e Consumo'!A2285</f>
        <v>0335</v>
      </c>
      <c r="C2285" s="34" t="str">
        <f aca="false">'Uso e Consumo'!B2285</f>
        <v>UFV NORONHA VERDE - USO E CONSUMO</v>
      </c>
      <c r="D2285" s="33" t="n">
        <f aca="false">'Uso e Consumo'!C2285</f>
        <v>830295</v>
      </c>
      <c r="E2285" s="34" t="str">
        <f aca="false">'Uso e Consumo'!D2285</f>
        <v>17.20.0533</v>
      </c>
      <c r="F2285" s="34" t="str">
        <f aca="false">'Uso e Consumo'!E2285</f>
        <v>CAIXA DE INSPEÇÃO P/ ATERRAMENTO N1 200X232MM</v>
      </c>
      <c r="G2285" s="34" t="str">
        <f aca="false">'Uso e Consumo'!J2285</f>
        <v>UN</v>
      </c>
      <c r="H2285" s="49" t="n">
        <f aca="false">'Uso e Consumo'!F2285</f>
        <v>3</v>
      </c>
      <c r="I2285" s="35" t="n">
        <f aca="false">'Uso e Consumo'!G2285</f>
        <v>68.94</v>
      </c>
      <c r="J2285" s="34" t="str">
        <f aca="false">'Uso e Consumo'!M2285</f>
        <v>3.8.1.017 - Instalações elétricas/telefônicas/lógica</v>
      </c>
      <c r="K2285" s="32" t="str">
        <f aca="false">INDEX('Curva ABC'!$K$8:$K$2847,MATCH(D2285,'Curva ABC'!$B$8:$B$2847,0))</f>
        <v>C</v>
      </c>
    </row>
    <row r="2286" customFormat="false" ht="15" hidden="false" customHeight="false" outlineLevel="0" collapsed="false">
      <c r="A2286" s="34" t="s">
        <v>5799</v>
      </c>
      <c r="B2286" s="34" t="str">
        <f aca="false">'Uso e Consumo'!A2286</f>
        <v>0335</v>
      </c>
      <c r="C2286" s="34" t="str">
        <f aca="false">'Uso e Consumo'!B2286</f>
        <v>UFV NORONHA VERDE - USO E CONSUMO</v>
      </c>
      <c r="D2286" s="33" t="n">
        <f aca="false">'Uso e Consumo'!C2286</f>
        <v>1066455</v>
      </c>
      <c r="E2286" s="34" t="str">
        <f aca="false">'Uso e Consumo'!D2286</f>
        <v>18.09.0332</v>
      </c>
      <c r="F2286" s="34" t="str">
        <f aca="false">'Uso e Consumo'!E2286</f>
        <v>REGISTRO DE ESFERA SOLDAVEL PVC 25MM MARROM</v>
      </c>
      <c r="G2286" s="34" t="str">
        <f aca="false">'Uso e Consumo'!J2286</f>
        <v>UN</v>
      </c>
      <c r="H2286" s="49" t="n">
        <f aca="false">'Uso e Consumo'!F2286</f>
        <v>3</v>
      </c>
      <c r="I2286" s="35" t="n">
        <f aca="false">'Uso e Consumo'!G2286</f>
        <v>68.94</v>
      </c>
      <c r="J2286" s="34" t="str">
        <f aca="false">'Uso e Consumo'!M2286</f>
        <v>3.8.1.018 - Instalações hidráulicas/sanitárias/industriais</v>
      </c>
      <c r="K2286" s="32" t="str">
        <f aca="false">INDEX('Curva ABC'!$K$8:$K$2847,MATCH(D2286,'Curva ABC'!$B$8:$B$2847,0))</f>
        <v>C</v>
      </c>
    </row>
    <row r="2287" customFormat="false" ht="15" hidden="false" customHeight="false" outlineLevel="0" collapsed="false">
      <c r="A2287" s="34" t="s">
        <v>5799</v>
      </c>
      <c r="B2287" s="34" t="str">
        <f aca="false">'Uso e Consumo'!A2287</f>
        <v>0335</v>
      </c>
      <c r="C2287" s="34" t="str">
        <f aca="false">'Uso e Consumo'!B2287</f>
        <v>UFV NORONHA VERDE - USO E CONSUMO</v>
      </c>
      <c r="D2287" s="33" t="n">
        <f aca="false">'Uso e Consumo'!C2287</f>
        <v>14442</v>
      </c>
      <c r="E2287" s="34" t="str">
        <f aca="false">'Uso e Consumo'!D2287</f>
        <v>99.00.3602</v>
      </c>
      <c r="F2287" s="34" t="str">
        <f aca="false">'Uso e Consumo'!E2287</f>
        <v>TUBO PVC RIGIDO SOLDAVEL ÁGUA FRIA 60,00MM X 6,00M NBR 5648</v>
      </c>
      <c r="G2287" s="34" t="str">
        <f aca="false">'Uso e Consumo'!J2287</f>
        <v>M</v>
      </c>
      <c r="H2287" s="49" t="n">
        <f aca="false">'Uso e Consumo'!F2287</f>
        <v>1</v>
      </c>
      <c r="I2287" s="35" t="n">
        <f aca="false">'Uso e Consumo'!G2287</f>
        <v>68</v>
      </c>
      <c r="J2287" s="34" t="str">
        <f aca="false">'Uso e Consumo'!M2287</f>
        <v>3.8.1.018 - Instalações hidráulicas/sanitárias/industriais</v>
      </c>
      <c r="K2287" s="32" t="str">
        <f aca="false">INDEX('Curva ABC'!$K$8:$K$2847,MATCH(D2287,'Curva ABC'!$B$8:$B$2847,0))</f>
        <v>C</v>
      </c>
    </row>
    <row r="2288" customFormat="false" ht="15" hidden="false" customHeight="false" outlineLevel="0" collapsed="false">
      <c r="A2288" s="34" t="s">
        <v>5799</v>
      </c>
      <c r="B2288" s="34" t="str">
        <f aca="false">'Uso e Consumo'!A2288</f>
        <v>0335</v>
      </c>
      <c r="C2288" s="34" t="str">
        <f aca="false">'Uso e Consumo'!B2288</f>
        <v>UFV NORONHA VERDE - USO E CONSUMO</v>
      </c>
      <c r="D2288" s="33" t="n">
        <f aca="false">'Uso e Consumo'!C2288</f>
        <v>21850</v>
      </c>
      <c r="E2288" s="34" t="str">
        <f aca="false">'Uso e Consumo'!D2288</f>
        <v>24.40.0002</v>
      </c>
      <c r="F2288" s="34" t="str">
        <f aca="false">'Uso e Consumo'!E2288</f>
        <v>PONTEIRO SEXTAVADO EM AÇO FORJADO 3/4" X 8" (19,00MM X 203,00MM)</v>
      </c>
      <c r="G2288" s="34" t="str">
        <f aca="false">'Uso e Consumo'!J2288</f>
        <v>UN</v>
      </c>
      <c r="H2288" s="49" t="n">
        <f aca="false">'Uso e Consumo'!F2288</f>
        <v>1</v>
      </c>
      <c r="I2288" s="35" t="n">
        <f aca="false">'Uso e Consumo'!G2288</f>
        <v>68</v>
      </c>
      <c r="J2288" s="34" t="str">
        <f aca="false">'Uso e Consumo'!M2288</f>
        <v>3.8.2.002 - Ferramentas manuais</v>
      </c>
      <c r="K2288" s="32" t="str">
        <f aca="false">INDEX('Curva ABC'!$K$8:$K$2847,MATCH(D2288,'Curva ABC'!$B$8:$B$2847,0))</f>
        <v>C</v>
      </c>
    </row>
    <row r="2289" customFormat="false" ht="15" hidden="false" customHeight="false" outlineLevel="0" collapsed="false">
      <c r="A2289" s="34" t="s">
        <v>5799</v>
      </c>
      <c r="B2289" s="34" t="str">
        <f aca="false">'Uso e Consumo'!A2289</f>
        <v>0335</v>
      </c>
      <c r="C2289" s="34" t="str">
        <f aca="false">'Uso e Consumo'!B2289</f>
        <v>UFV NORONHA VERDE - USO E CONSUMO</v>
      </c>
      <c r="D2289" s="33" t="n">
        <f aca="false">'Uso e Consumo'!C2289</f>
        <v>22453</v>
      </c>
      <c r="E2289" s="34" t="str">
        <f aca="false">'Uso e Consumo'!D2289</f>
        <v>24.40.0024</v>
      </c>
      <c r="F2289" s="34" t="str">
        <f aca="false">'Uso e Consumo'!E2289</f>
        <v>TALHADEIRA EM AÇO, SDS MAX – 18MM X 400MM – P/MARTELO ROMPEDOR ATÉ 11KG</v>
      </c>
      <c r="G2289" s="34" t="str">
        <f aca="false">'Uso e Consumo'!J2289</f>
        <v>UN</v>
      </c>
      <c r="H2289" s="49" t="n">
        <f aca="false">'Uso e Consumo'!F2289</f>
        <v>1</v>
      </c>
      <c r="I2289" s="35" t="n">
        <f aca="false">'Uso e Consumo'!G2289</f>
        <v>68</v>
      </c>
      <c r="J2289" s="34" t="str">
        <f aca="false">'Uso e Consumo'!M2289</f>
        <v>3.8.2.002 - Ferramentas manuais</v>
      </c>
      <c r="K2289" s="32" t="str">
        <f aca="false">INDEX('Curva ABC'!$K$8:$K$2847,MATCH(D2289,'Curva ABC'!$B$8:$B$2847,0))</f>
        <v>C</v>
      </c>
    </row>
    <row r="2290" customFormat="false" ht="15" hidden="false" customHeight="false" outlineLevel="0" collapsed="false">
      <c r="A2290" s="34" t="s">
        <v>5799</v>
      </c>
      <c r="B2290" s="34" t="str">
        <f aca="false">'Uso e Consumo'!A2290</f>
        <v>0335</v>
      </c>
      <c r="C2290" s="34" t="str">
        <f aca="false">'Uso e Consumo'!B2290</f>
        <v>UFV NORONHA VERDE - USO E CONSUMO</v>
      </c>
      <c r="D2290" s="33" t="n">
        <f aca="false">'Uso e Consumo'!C2290</f>
        <v>139249</v>
      </c>
      <c r="E2290" s="34" t="str">
        <f aca="false">'Uso e Consumo'!D2290</f>
        <v>18.01.0994</v>
      </c>
      <c r="F2290" s="34" t="str">
        <f aca="false">'Uso e Consumo'!E2290</f>
        <v>TUBO PVC RIGIDO COLETOR ESGOTO 100,00MM NBR 5648</v>
      </c>
      <c r="G2290" s="34" t="str">
        <f aca="false">'Uso e Consumo'!J2290</f>
        <v>UN</v>
      </c>
      <c r="H2290" s="49" t="n">
        <f aca="false">'Uso e Consumo'!F2290</f>
        <v>1</v>
      </c>
      <c r="I2290" s="35" t="n">
        <f aca="false">'Uso e Consumo'!G2290</f>
        <v>68</v>
      </c>
      <c r="J2290" s="34" t="str">
        <f aca="false">'Uso e Consumo'!M2290</f>
        <v>3.8.1.018 - Instalações hidráulicas/sanitárias/industriais</v>
      </c>
      <c r="K2290" s="32" t="str">
        <f aca="false">INDEX('Curva ABC'!$K$8:$K$2847,MATCH(D2290,'Curva ABC'!$B$8:$B$2847,0))</f>
        <v>C</v>
      </c>
    </row>
    <row r="2291" customFormat="false" ht="15" hidden="false" customHeight="false" outlineLevel="0" collapsed="false">
      <c r="A2291" s="34" t="s">
        <v>5799</v>
      </c>
      <c r="B2291" s="34" t="str">
        <f aca="false">'Uso e Consumo'!A2291</f>
        <v>0335</v>
      </c>
      <c r="C2291" s="34" t="str">
        <f aca="false">'Uso e Consumo'!B2291</f>
        <v>UFV NORONHA VERDE - USO E CONSUMO</v>
      </c>
      <c r="D2291" s="33" t="n">
        <f aca="false">'Uso e Consumo'!C2291</f>
        <v>651843</v>
      </c>
      <c r="E2291" s="34" t="str">
        <f aca="false">'Uso e Consumo'!D2291</f>
        <v>15.02.0035</v>
      </c>
      <c r="F2291" s="34" t="str">
        <f aca="false">'Uso e Consumo'!E2291</f>
        <v>MANTA FITA ASFÁLTICA AUTO ADESIVO MULTIUSO ALUMÍNIO 30CM</v>
      </c>
      <c r="G2291" s="34" t="str">
        <f aca="false">'Uso e Consumo'!J2291</f>
        <v>UN</v>
      </c>
      <c r="H2291" s="49" t="n">
        <f aca="false">'Uso e Consumo'!F2291</f>
        <v>1</v>
      </c>
      <c r="I2291" s="35" t="n">
        <f aca="false">'Uso e Consumo'!G2291</f>
        <v>68</v>
      </c>
      <c r="J2291" s="34" t="str">
        <f aca="false">'Uso e Consumo'!M2291</f>
        <v>3.8.1.015 - Impermeabilizantes</v>
      </c>
      <c r="K2291" s="32" t="str">
        <f aca="false">INDEX('Curva ABC'!$K$8:$K$2847,MATCH(D2291,'Curva ABC'!$B$8:$B$2847,0))</f>
        <v>C</v>
      </c>
    </row>
    <row r="2292" customFormat="false" ht="15" hidden="false" customHeight="false" outlineLevel="0" collapsed="false">
      <c r="A2292" s="34" t="s">
        <v>5799</v>
      </c>
      <c r="B2292" s="34" t="str">
        <f aca="false">'Uso e Consumo'!A2292</f>
        <v>0335</v>
      </c>
      <c r="C2292" s="34" t="str">
        <f aca="false">'Uso e Consumo'!B2292</f>
        <v>UFV NORONHA VERDE - USO E CONSUMO</v>
      </c>
      <c r="D2292" s="33" t="n">
        <f aca="false">'Uso e Consumo'!C2292</f>
        <v>856744</v>
      </c>
      <c r="E2292" s="34" t="str">
        <f aca="false">'Uso e Consumo'!D2292</f>
        <v>32.07.0159</v>
      </c>
      <c r="F2292" s="34" t="str">
        <f aca="false">'Uso e Consumo'!E2292</f>
        <v>MACARICO SOLDA CANETA CORTE ACETILENO / GLP / GN 530MM C53190 ESAB/CONDOR</v>
      </c>
      <c r="G2292" s="34" t="str">
        <f aca="false">'Uso e Consumo'!J2292</f>
        <v>UN</v>
      </c>
      <c r="H2292" s="49" t="n">
        <f aca="false">'Uso e Consumo'!F2292</f>
        <v>1</v>
      </c>
      <c r="I2292" s="35" t="n">
        <f aca="false">'Uso e Consumo'!G2292</f>
        <v>68</v>
      </c>
      <c r="J2292" s="34" t="str">
        <f aca="false">'Uso e Consumo'!M2292</f>
        <v>6.1.2.001 - Equipamentos</v>
      </c>
      <c r="K2292" s="32" t="str">
        <f aca="false">INDEX('Curva ABC'!$K$8:$K$2847,MATCH(D2292,'Curva ABC'!$B$8:$B$2847,0))</f>
        <v>C</v>
      </c>
    </row>
    <row r="2293" customFormat="false" ht="15" hidden="false" customHeight="false" outlineLevel="0" collapsed="false">
      <c r="A2293" s="34" t="s">
        <v>5799</v>
      </c>
      <c r="B2293" s="34" t="str">
        <f aca="false">'Uso e Consumo'!A2293</f>
        <v>0335</v>
      </c>
      <c r="C2293" s="34" t="str">
        <f aca="false">'Uso e Consumo'!B2293</f>
        <v>UFV NORONHA VERDE - USO E CONSUMO</v>
      </c>
      <c r="D2293" s="33" t="n">
        <f aca="false">'Uso e Consumo'!C2293</f>
        <v>869276</v>
      </c>
      <c r="E2293" s="34" t="str">
        <f aca="false">'Uso e Consumo'!D2293</f>
        <v>24.09.0650</v>
      </c>
      <c r="F2293" s="34" t="str">
        <f aca="false">'Uso e Consumo'!E2293</f>
        <v>KIT CHAVES FENDA/PHILIPS ISOLADO 6 PEÇAS 100V</v>
      </c>
      <c r="G2293" s="34" t="str">
        <f aca="false">'Uso e Consumo'!J2293</f>
        <v>UN</v>
      </c>
      <c r="H2293" s="49" t="n">
        <f aca="false">'Uso e Consumo'!F2293</f>
        <v>1</v>
      </c>
      <c r="I2293" s="35" t="n">
        <f aca="false">'Uso e Consumo'!G2293</f>
        <v>68</v>
      </c>
      <c r="J2293" s="34" t="str">
        <f aca="false">'Uso e Consumo'!M2293</f>
        <v>3.8.2.002 - Ferramentas manuais</v>
      </c>
      <c r="K2293" s="32" t="str">
        <f aca="false">INDEX('Curva ABC'!$K$8:$K$2847,MATCH(D2293,'Curva ABC'!$B$8:$B$2847,0))</f>
        <v>C</v>
      </c>
    </row>
    <row r="2294" customFormat="false" ht="15" hidden="false" customHeight="false" outlineLevel="0" collapsed="false">
      <c r="A2294" s="34" t="s">
        <v>5799</v>
      </c>
      <c r="B2294" s="34" t="str">
        <f aca="false">'Uso e Consumo'!A2294</f>
        <v>0335</v>
      </c>
      <c r="C2294" s="34" t="str">
        <f aca="false">'Uso e Consumo'!B2294</f>
        <v>UFV NORONHA VERDE - USO E CONSUMO</v>
      </c>
      <c r="D2294" s="33" t="n">
        <f aca="false">'Uso e Consumo'!C2294</f>
        <v>1387394</v>
      </c>
      <c r="E2294" s="34" t="str">
        <f aca="false">'Uso e Consumo'!D2294</f>
        <v>25.03.0397</v>
      </c>
      <c r="F2294" s="34" t="str">
        <f aca="false">'Uso e Consumo'!E2294</f>
        <v>PONTEIRO SDS PLUS 14X250MM</v>
      </c>
      <c r="G2294" s="34" t="str">
        <f aca="false">'Uso e Consumo'!J2294</f>
        <v>UN</v>
      </c>
      <c r="H2294" s="49" t="n">
        <f aca="false">'Uso e Consumo'!F2294</f>
        <v>1</v>
      </c>
      <c r="I2294" s="35" t="n">
        <f aca="false">'Uso e Consumo'!G2294</f>
        <v>68</v>
      </c>
      <c r="J2294" s="34" t="str">
        <f aca="false">'Uso e Consumo'!M2294</f>
        <v>3.8.2.002 - Ferramentas manuais</v>
      </c>
      <c r="K2294" s="32" t="str">
        <f aca="false">INDEX('Curva ABC'!$K$8:$K$2847,MATCH(D2294,'Curva ABC'!$B$8:$B$2847,0))</f>
        <v>C</v>
      </c>
    </row>
    <row r="2295" customFormat="false" ht="15" hidden="false" customHeight="false" outlineLevel="0" collapsed="false">
      <c r="A2295" s="34" t="s">
        <v>5799</v>
      </c>
      <c r="B2295" s="34" t="str">
        <f aca="false">'Uso e Consumo'!A2295</f>
        <v>0335</v>
      </c>
      <c r="C2295" s="34" t="str">
        <f aca="false">'Uso e Consumo'!B2295</f>
        <v>UFV NORONHA VERDE - USO E CONSUMO</v>
      </c>
      <c r="D2295" s="33" t="n">
        <f aca="false">'Uso e Consumo'!C2295</f>
        <v>33574</v>
      </c>
      <c r="E2295" s="34" t="str">
        <f aca="false">'Uso e Consumo'!D2295</f>
        <v>13.06.0055</v>
      </c>
      <c r="F2295" s="34" t="str">
        <f aca="false">'Uso e Consumo'!E2295</f>
        <v>DOBRADIÇA DE CANTO ZINCADA  2" NBR 7178</v>
      </c>
      <c r="G2295" s="34" t="str">
        <f aca="false">'Uso e Consumo'!J2295</f>
        <v>UN</v>
      </c>
      <c r="H2295" s="49" t="n">
        <f aca="false">'Uso e Consumo'!F2295</f>
        <v>4</v>
      </c>
      <c r="I2295" s="35" t="n">
        <f aca="false">'Uso e Consumo'!G2295</f>
        <v>67.92</v>
      </c>
      <c r="J2295" s="34" t="str">
        <f aca="false">'Uso e Consumo'!M2295</f>
        <v>3.8.1.013 - Esquadrias e vidros</v>
      </c>
      <c r="K2295" s="32" t="str">
        <f aca="false">INDEX('Curva ABC'!$K$8:$K$2847,MATCH(D2295,'Curva ABC'!$B$8:$B$2847,0))</f>
        <v>C</v>
      </c>
    </row>
    <row r="2296" customFormat="false" ht="15" hidden="false" customHeight="false" outlineLevel="0" collapsed="false">
      <c r="A2296" s="34" t="s">
        <v>5799</v>
      </c>
      <c r="B2296" s="34" t="str">
        <f aca="false">'Uso e Consumo'!A2296</f>
        <v>0335</v>
      </c>
      <c r="C2296" s="34" t="str">
        <f aca="false">'Uso e Consumo'!B2296</f>
        <v>UFV NORONHA VERDE - USO E CONSUMO</v>
      </c>
      <c r="D2296" s="33" t="n">
        <f aca="false">'Uso e Consumo'!C2296</f>
        <v>19594</v>
      </c>
      <c r="E2296" s="34" t="str">
        <f aca="false">'Uso e Consumo'!D2296</f>
        <v>30.01.0314</v>
      </c>
      <c r="F2296" s="34" t="str">
        <f aca="false">'Uso e Consumo'!E2296</f>
        <v>PASTA SANFONADA PLÁSTICO OFICIO CRISTAL C/ 12 DIVISÓRIAS</v>
      </c>
      <c r="G2296" s="34" t="str">
        <f aca="false">'Uso e Consumo'!J2296</f>
        <v>UN</v>
      </c>
      <c r="H2296" s="49" t="n">
        <f aca="false">'Uso e Consumo'!F2296</f>
        <v>4</v>
      </c>
      <c r="I2296" s="35" t="n">
        <f aca="false">'Uso e Consumo'!G2296</f>
        <v>67.76</v>
      </c>
      <c r="J2296" s="34" t="str">
        <f aca="false">'Uso e Consumo'!M2296</f>
        <v>4.1.1.002 - Material expediente</v>
      </c>
      <c r="K2296" s="32" t="str">
        <f aca="false">INDEX('Curva ABC'!$K$8:$K$2847,MATCH(D2296,'Curva ABC'!$B$8:$B$2847,0))</f>
        <v>C</v>
      </c>
    </row>
    <row r="2297" customFormat="false" ht="15" hidden="false" customHeight="false" outlineLevel="0" collapsed="false">
      <c r="A2297" s="34" t="s">
        <v>5799</v>
      </c>
      <c r="B2297" s="34" t="str">
        <f aca="false">'Uso e Consumo'!A2297</f>
        <v>0335</v>
      </c>
      <c r="C2297" s="34" t="str">
        <f aca="false">'Uso e Consumo'!B2297</f>
        <v>UFV NORONHA VERDE - USO E CONSUMO</v>
      </c>
      <c r="D2297" s="33" t="n">
        <f aca="false">'Uso e Consumo'!C2297</f>
        <v>1672551</v>
      </c>
      <c r="E2297" s="34" t="str">
        <f aca="false">'Uso e Consumo'!D2297</f>
        <v>09.08.0083</v>
      </c>
      <c r="F2297" s="34" t="str">
        <f aca="false">'Uso e Consumo'!E2297</f>
        <v>TAMPA DE CONCRETO ARMADO 15 X 96 X 6 CM</v>
      </c>
      <c r="G2297" s="34" t="str">
        <f aca="false">'Uso e Consumo'!J2297</f>
        <v>UN</v>
      </c>
      <c r="H2297" s="49" t="n">
        <f aca="false">'Uso e Consumo'!F2297</f>
        <v>2</v>
      </c>
      <c r="I2297" s="35" t="n">
        <f aca="false">'Uso e Consumo'!G2297</f>
        <v>67.4</v>
      </c>
      <c r="J2297" s="34" t="str">
        <f aca="false">'Uso e Consumo'!M2297</f>
        <v>3.8.1.009 - Artefatos pré-moldados de concreto</v>
      </c>
      <c r="K2297" s="32" t="str">
        <f aca="false">INDEX('Curva ABC'!$K$8:$K$2847,MATCH(D2297,'Curva ABC'!$B$8:$B$2847,0))</f>
        <v>C</v>
      </c>
    </row>
    <row r="2298" customFormat="false" ht="15" hidden="false" customHeight="false" outlineLevel="0" collapsed="false">
      <c r="A2298" s="34" t="s">
        <v>5799</v>
      </c>
      <c r="B2298" s="34" t="str">
        <f aca="false">'Uso e Consumo'!A2298</f>
        <v>0335</v>
      </c>
      <c r="C2298" s="34" t="str">
        <f aca="false">'Uso e Consumo'!B2298</f>
        <v>UFV NORONHA VERDE - USO E CONSUMO</v>
      </c>
      <c r="D2298" s="33" t="n">
        <f aca="false">'Uso e Consumo'!C2298</f>
        <v>1484108</v>
      </c>
      <c r="E2298" s="34" t="str">
        <f aca="false">'Uso e Consumo'!D2298</f>
        <v>23.07.1608</v>
      </c>
      <c r="F2298" s="34" t="str">
        <f aca="false">'Uso e Consumo'!E2298</f>
        <v>PARAFUSO ROSCA SOBERBA AÇO INOX CABEÇA SEXTAVADA 1/4" X 45 MM</v>
      </c>
      <c r="G2298" s="34" t="str">
        <f aca="false">'Uso e Consumo'!J2298</f>
        <v>UN</v>
      </c>
      <c r="H2298" s="49" t="n">
        <f aca="false">'Uso e Consumo'!F2298</f>
        <v>56</v>
      </c>
      <c r="I2298" s="35" t="n">
        <f aca="false">'Uso e Consumo'!G2298</f>
        <v>67.2</v>
      </c>
      <c r="J2298" s="34" t="str">
        <f aca="false">'Uso e Consumo'!M2298</f>
        <v>3.8.1.022 - Elementos de fixação</v>
      </c>
      <c r="K2298" s="32" t="str">
        <f aca="false">INDEX('Curva ABC'!$K$8:$K$2847,MATCH(D2298,'Curva ABC'!$B$8:$B$2847,0))</f>
        <v>C</v>
      </c>
    </row>
    <row r="2299" customFormat="false" ht="15" hidden="false" customHeight="false" outlineLevel="0" collapsed="false">
      <c r="A2299" s="34" t="s">
        <v>5799</v>
      </c>
      <c r="B2299" s="34" t="str">
        <f aca="false">'Uso e Consumo'!A2299</f>
        <v>0335</v>
      </c>
      <c r="C2299" s="34" t="str">
        <f aca="false">'Uso e Consumo'!B2299</f>
        <v>UFV NORONHA VERDE - USO E CONSUMO</v>
      </c>
      <c r="D2299" s="33" t="n">
        <f aca="false">'Uso e Consumo'!C2299</f>
        <v>17950</v>
      </c>
      <c r="E2299" s="34" t="str">
        <f aca="false">'Uso e Consumo'!D2299</f>
        <v>24.09.0044</v>
      </c>
      <c r="F2299" s="34" t="str">
        <f aca="false">'Uso e Consumo'!E2299</f>
        <v>CHAVE COMBINADA 28,00MM AÇO CARBONO CROMADO</v>
      </c>
      <c r="G2299" s="34" t="str">
        <f aca="false">'Uso e Consumo'!J2299</f>
        <v>UN</v>
      </c>
      <c r="H2299" s="49" t="n">
        <f aca="false">'Uso e Consumo'!F2299</f>
        <v>1</v>
      </c>
      <c r="I2299" s="35" t="n">
        <f aca="false">'Uso e Consumo'!G2299</f>
        <v>67</v>
      </c>
      <c r="J2299" s="34" t="str">
        <f aca="false">'Uso e Consumo'!M2299</f>
        <v>3.8.2.002 - Ferramentas manuais</v>
      </c>
      <c r="K2299" s="32" t="str">
        <f aca="false">INDEX('Curva ABC'!$K$8:$K$2847,MATCH(D2299,'Curva ABC'!$B$8:$B$2847,0))</f>
        <v>C</v>
      </c>
    </row>
    <row r="2300" customFormat="false" ht="15" hidden="false" customHeight="false" outlineLevel="0" collapsed="false">
      <c r="A2300" s="34" t="s">
        <v>5799</v>
      </c>
      <c r="B2300" s="34" t="str">
        <f aca="false">'Uso e Consumo'!A2300</f>
        <v>0335</v>
      </c>
      <c r="C2300" s="34" t="str">
        <f aca="false">'Uso e Consumo'!B2300</f>
        <v>UFV NORONHA VERDE - USO E CONSUMO</v>
      </c>
      <c r="D2300" s="33" t="n">
        <f aca="false">'Uso e Consumo'!C2300</f>
        <v>35128</v>
      </c>
      <c r="E2300" s="34" t="str">
        <f aca="false">'Uso e Consumo'!D2300</f>
        <v>25.03.0196</v>
      </c>
      <c r="F2300" s="34" t="str">
        <f aca="false">'Uso e Consumo'!E2300</f>
        <v>BROCA CONCRETO 5MM</v>
      </c>
      <c r="G2300" s="34" t="str">
        <f aca="false">'Uso e Consumo'!J2300</f>
        <v>UN</v>
      </c>
      <c r="H2300" s="49" t="n">
        <f aca="false">'Uso e Consumo'!F2300</f>
        <v>10</v>
      </c>
      <c r="I2300" s="35" t="n">
        <f aca="false">'Uso e Consumo'!G2300</f>
        <v>66.93</v>
      </c>
      <c r="J2300" s="34" t="str">
        <f aca="false">'Uso e Consumo'!M2300</f>
        <v>3.8.2.004 - Consumíveis para corte, perfuração e desbaste</v>
      </c>
      <c r="K2300" s="32" t="str">
        <f aca="false">INDEX('Curva ABC'!$K$8:$K$2847,MATCH(D2300,'Curva ABC'!$B$8:$B$2847,0))</f>
        <v>C</v>
      </c>
    </row>
    <row r="2301" customFormat="false" ht="15" hidden="false" customHeight="false" outlineLevel="0" collapsed="false">
      <c r="A2301" s="34" t="s">
        <v>5799</v>
      </c>
      <c r="B2301" s="34" t="str">
        <f aca="false">'Uso e Consumo'!A2301</f>
        <v>0335</v>
      </c>
      <c r="C2301" s="34" t="str">
        <f aca="false">'Uso e Consumo'!B2301</f>
        <v>UFV NORONHA VERDE - USO E CONSUMO</v>
      </c>
      <c r="D2301" s="33" t="n">
        <f aca="false">'Uso e Consumo'!C2301</f>
        <v>1383881</v>
      </c>
      <c r="E2301" s="34" t="str">
        <f aca="false">'Uso e Consumo'!D2301</f>
        <v>23.08.0089</v>
      </c>
      <c r="F2301" s="34" t="str">
        <f aca="false">'Uso e Consumo'!E2301</f>
        <v>BUCHA DE REDUÇÃO EM LIGA DE ALUMÍNIO, ALTA RESISTÊNCIA MECÂNICA E À CORROSÃO, DE 1" PARA 3/4"</v>
      </c>
      <c r="G2301" s="34" t="str">
        <f aca="false">'Uso e Consumo'!J2301</f>
        <v>UN</v>
      </c>
      <c r="H2301" s="49" t="n">
        <f aca="false">'Uso e Consumo'!F2301</f>
        <v>8</v>
      </c>
      <c r="I2301" s="35" t="n">
        <f aca="false">'Uso e Consumo'!G2301</f>
        <v>66.36</v>
      </c>
      <c r="J2301" s="34" t="str">
        <f aca="false">'Uso e Consumo'!M2301</f>
        <v>3.8.1.022 - Elementos de fixação</v>
      </c>
      <c r="K2301" s="32" t="str">
        <f aca="false">INDEX('Curva ABC'!$K$8:$K$2847,MATCH(D2301,'Curva ABC'!$B$8:$B$2847,0))</f>
        <v>C</v>
      </c>
    </row>
    <row r="2302" customFormat="false" ht="15" hidden="false" customHeight="false" outlineLevel="0" collapsed="false">
      <c r="A2302" s="34" t="s">
        <v>5799</v>
      </c>
      <c r="B2302" s="34" t="str">
        <f aca="false">'Uso e Consumo'!A2302</f>
        <v>0335</v>
      </c>
      <c r="C2302" s="34" t="str">
        <f aca="false">'Uso e Consumo'!B2302</f>
        <v>UFV NORONHA VERDE - USO E CONSUMO</v>
      </c>
      <c r="D2302" s="33" t="n">
        <f aca="false">'Uso e Consumo'!C2302</f>
        <v>138663</v>
      </c>
      <c r="E2302" s="34" t="str">
        <f aca="false">'Uso e Consumo'!D2302</f>
        <v>13.06.0178</v>
      </c>
      <c r="F2302" s="34" t="str">
        <f aca="false">'Uso e Consumo'!E2302</f>
        <v>ROLDANA COM GANCHO NR 10</v>
      </c>
      <c r="G2302" s="34" t="str">
        <f aca="false">'Uso e Consumo'!J2302</f>
        <v>UN</v>
      </c>
      <c r="H2302" s="49" t="n">
        <f aca="false">'Uso e Consumo'!F2302</f>
        <v>3</v>
      </c>
      <c r="I2302" s="35" t="n">
        <f aca="false">'Uso e Consumo'!G2302</f>
        <v>66</v>
      </c>
      <c r="J2302" s="34" t="str">
        <f aca="false">'Uso e Consumo'!M2302</f>
        <v>3.8.1.013 - Esquadrias e vidros</v>
      </c>
      <c r="K2302" s="32" t="str">
        <f aca="false">INDEX('Curva ABC'!$K$8:$K$2847,MATCH(D2302,'Curva ABC'!$B$8:$B$2847,0))</f>
        <v>C</v>
      </c>
    </row>
    <row r="2303" customFormat="false" ht="15" hidden="false" customHeight="false" outlineLevel="0" collapsed="false">
      <c r="A2303" s="34" t="s">
        <v>5799</v>
      </c>
      <c r="B2303" s="34" t="str">
        <f aca="false">'Uso e Consumo'!A2303</f>
        <v>0335</v>
      </c>
      <c r="C2303" s="34" t="str">
        <f aca="false">'Uso e Consumo'!B2303</f>
        <v>UFV NORONHA VERDE - USO E CONSUMO</v>
      </c>
      <c r="D2303" s="33" t="n">
        <f aca="false">'Uso e Consumo'!C2303</f>
        <v>21652</v>
      </c>
      <c r="E2303" s="34" t="str">
        <f aca="false">'Uso e Consumo'!D2303</f>
        <v>33.02.0078</v>
      </c>
      <c r="F2303" s="34" t="str">
        <f aca="false">'Uso e Consumo'!E2303</f>
        <v>COLA SILICONE PRETA</v>
      </c>
      <c r="G2303" s="34" t="str">
        <f aca="false">'Uso e Consumo'!J2303</f>
        <v>UN</v>
      </c>
      <c r="H2303" s="49" t="n">
        <f aca="false">'Uso e Consumo'!F2303</f>
        <v>3</v>
      </c>
      <c r="I2303" s="35" t="n">
        <f aca="false">'Uso e Consumo'!G2303</f>
        <v>65.82</v>
      </c>
      <c r="J2303" s="34" t="str">
        <f aca="false">'Uso e Consumo'!M2303</f>
        <v>3.1.6.002 - Pneus e peças</v>
      </c>
      <c r="K2303" s="32" t="str">
        <f aca="false">INDEX('Curva ABC'!$K$8:$K$2847,MATCH(D2303,'Curva ABC'!$B$8:$B$2847,0))</f>
        <v>C</v>
      </c>
    </row>
    <row r="2304" customFormat="false" ht="15" hidden="false" customHeight="false" outlineLevel="0" collapsed="false">
      <c r="A2304" s="34" t="s">
        <v>5799</v>
      </c>
      <c r="B2304" s="34" t="str">
        <f aca="false">'Uso e Consumo'!A2304</f>
        <v>0335</v>
      </c>
      <c r="C2304" s="34" t="str">
        <f aca="false">'Uso e Consumo'!B2304</f>
        <v>UFV NORONHA VERDE - USO E CONSUMO</v>
      </c>
      <c r="D2304" s="33" t="n">
        <f aca="false">'Uso e Consumo'!C2304</f>
        <v>22601</v>
      </c>
      <c r="E2304" s="34" t="str">
        <f aca="false">'Uso e Consumo'!D2304</f>
        <v>25.10.0023</v>
      </c>
      <c r="F2304" s="34" t="str">
        <f aca="false">'Uso e Consumo'!E2304</f>
        <v>CORDA DE SEDA POLIÉSTER TRANÇADA 10MM</v>
      </c>
      <c r="G2304" s="34" t="str">
        <f aca="false">'Uso e Consumo'!J2304</f>
        <v>M</v>
      </c>
      <c r="H2304" s="49" t="n">
        <f aca="false">'Uso e Consumo'!F2304</f>
        <v>20</v>
      </c>
      <c r="I2304" s="35" t="n">
        <f aca="false">'Uso e Consumo'!G2304</f>
        <v>65.6</v>
      </c>
      <c r="J2304" s="34" t="str">
        <f aca="false">'Uso e Consumo'!M2304</f>
        <v>3.8.2.006 - Utensílios</v>
      </c>
      <c r="K2304" s="32" t="str">
        <f aca="false">INDEX('Curva ABC'!$K$8:$K$2847,MATCH(D2304,'Curva ABC'!$B$8:$B$2847,0))</f>
        <v>C</v>
      </c>
    </row>
    <row r="2305" customFormat="false" ht="15" hidden="false" customHeight="false" outlineLevel="0" collapsed="false">
      <c r="A2305" s="34" t="s">
        <v>5799</v>
      </c>
      <c r="B2305" s="34" t="str">
        <f aca="false">'Uso e Consumo'!A2305</f>
        <v>0335</v>
      </c>
      <c r="C2305" s="34" t="str">
        <f aca="false">'Uso e Consumo'!B2305</f>
        <v>UFV NORONHA VERDE - USO E CONSUMO</v>
      </c>
      <c r="D2305" s="33" t="n">
        <f aca="false">'Uso e Consumo'!C2305</f>
        <v>55527</v>
      </c>
      <c r="E2305" s="34" t="str">
        <f aca="false">'Uso e Consumo'!D2305</f>
        <v>24.41.0054</v>
      </c>
      <c r="F2305" s="34" t="str">
        <f aca="false">'Uso e Consumo'!E2305</f>
        <v>JUNTA UNIVERSAL ARTICULADA PARA SOQUETE ENCAIXE DE 1/2"</v>
      </c>
      <c r="G2305" s="34" t="str">
        <f aca="false">'Uso e Consumo'!J2305</f>
        <v>UN</v>
      </c>
      <c r="H2305" s="49" t="n">
        <f aca="false">'Uso e Consumo'!F2305</f>
        <v>1</v>
      </c>
      <c r="I2305" s="35" t="n">
        <f aca="false">'Uso e Consumo'!G2305</f>
        <v>65</v>
      </c>
      <c r="J2305" s="34" t="str">
        <f aca="false">'Uso e Consumo'!M2305</f>
        <v>3.8.2.002 - Ferramentas manuais</v>
      </c>
      <c r="K2305" s="32" t="str">
        <f aca="false">INDEX('Curva ABC'!$K$8:$K$2847,MATCH(D2305,'Curva ABC'!$B$8:$B$2847,0))</f>
        <v>C</v>
      </c>
    </row>
    <row r="2306" customFormat="false" ht="15" hidden="false" customHeight="false" outlineLevel="0" collapsed="false">
      <c r="A2306" s="34" t="s">
        <v>5799</v>
      </c>
      <c r="B2306" s="34" t="str">
        <f aca="false">'Uso e Consumo'!A2306</f>
        <v>0335</v>
      </c>
      <c r="C2306" s="34" t="str">
        <f aca="false">'Uso e Consumo'!B2306</f>
        <v>UFV NORONHA VERDE - USO E CONSUMO</v>
      </c>
      <c r="D2306" s="33" t="n">
        <f aca="false">'Uso e Consumo'!C2306</f>
        <v>16035</v>
      </c>
      <c r="E2306" s="34" t="str">
        <f aca="false">'Uso e Consumo'!D2306</f>
        <v>18.09.0020</v>
      </c>
      <c r="F2306" s="34" t="str">
        <f aca="false">'Uso e Consumo'!E2306</f>
        <v>REGISTRO ESFERA BRONZE 1" ROSCAVEL BORBOLETA VED BORRACHA NITRILICA NBR 10283</v>
      </c>
      <c r="G2306" s="34" t="str">
        <f aca="false">'Uso e Consumo'!J2306</f>
        <v>UN</v>
      </c>
      <c r="H2306" s="49" t="n">
        <f aca="false">'Uso e Consumo'!F2306</f>
        <v>1</v>
      </c>
      <c r="I2306" s="35" t="n">
        <f aca="false">'Uso e Consumo'!G2306</f>
        <v>64.98</v>
      </c>
      <c r="J2306" s="34" t="str">
        <f aca="false">'Uso e Consumo'!M2306</f>
        <v>3.8.1.018 - Instalações hidráulicas/sanitárias/industriais</v>
      </c>
      <c r="K2306" s="32" t="str">
        <f aca="false">INDEX('Curva ABC'!$K$8:$K$2847,MATCH(D2306,'Curva ABC'!$B$8:$B$2847,0))</f>
        <v>C</v>
      </c>
    </row>
    <row r="2307" customFormat="false" ht="15" hidden="false" customHeight="false" outlineLevel="0" collapsed="false">
      <c r="A2307" s="34" t="s">
        <v>5799</v>
      </c>
      <c r="B2307" s="34" t="str">
        <f aca="false">'Uso e Consumo'!A2307</f>
        <v>0335</v>
      </c>
      <c r="C2307" s="34" t="str">
        <f aca="false">'Uso e Consumo'!B2307</f>
        <v>UFV NORONHA VERDE - USO E CONSUMO</v>
      </c>
      <c r="D2307" s="33" t="n">
        <f aca="false">'Uso e Consumo'!C2307</f>
        <v>391747</v>
      </c>
      <c r="E2307" s="34" t="str">
        <f aca="false">'Uso e Consumo'!D2307</f>
        <v>17.16.0345</v>
      </c>
      <c r="F2307" s="34" t="str">
        <f aca="false">'Uso e Consumo'!E2307</f>
        <v>CONECTOR P/ HASTE ATERRAMENTO1/2" TIPO GRAMPO</v>
      </c>
      <c r="G2307" s="34" t="str">
        <f aca="false">'Uso e Consumo'!J2307</f>
        <v>UN</v>
      </c>
      <c r="H2307" s="49" t="n">
        <f aca="false">'Uso e Consumo'!F2307</f>
        <v>5</v>
      </c>
      <c r="I2307" s="35" t="n">
        <f aca="false">'Uso e Consumo'!G2307</f>
        <v>64.9</v>
      </c>
      <c r="J2307" s="34" t="str">
        <f aca="false">'Uso e Consumo'!M2307</f>
        <v>3.8.1.017 - Instalações elétricas/telefônicas/lógica</v>
      </c>
      <c r="K2307" s="32" t="str">
        <f aca="false">INDEX('Curva ABC'!$K$8:$K$2847,MATCH(D2307,'Curva ABC'!$B$8:$B$2847,0))</f>
        <v>C</v>
      </c>
    </row>
    <row r="2308" customFormat="false" ht="15" hidden="false" customHeight="false" outlineLevel="0" collapsed="false">
      <c r="A2308" s="34" t="s">
        <v>5799</v>
      </c>
      <c r="B2308" s="34" t="str">
        <f aca="false">'Uso e Consumo'!A2308</f>
        <v>0335</v>
      </c>
      <c r="C2308" s="34" t="str">
        <f aca="false">'Uso e Consumo'!B2308</f>
        <v>UFV NORONHA VERDE - USO E CONSUMO</v>
      </c>
      <c r="D2308" s="33" t="n">
        <f aca="false">'Uso e Consumo'!C2308</f>
        <v>835826</v>
      </c>
      <c r="E2308" s="34" t="str">
        <f aca="false">'Uso e Consumo'!D2308</f>
        <v>17.12.0431</v>
      </c>
      <c r="F2308" s="34" t="str">
        <f aca="false">'Uso e Consumo'!E2308</f>
        <v>TOMADA SIMPLES PARA CONDULETE 1" </v>
      </c>
      <c r="G2308" s="34" t="str">
        <f aca="false">'Uso e Consumo'!J2308</f>
        <v>UN</v>
      </c>
      <c r="H2308" s="49" t="n">
        <f aca="false">'Uso e Consumo'!F2308</f>
        <v>9</v>
      </c>
      <c r="I2308" s="35" t="n">
        <f aca="false">'Uso e Consumo'!G2308</f>
        <v>64.08</v>
      </c>
      <c r="J2308" s="34" t="str">
        <f aca="false">'Uso e Consumo'!M2308</f>
        <v>3.8.1.017 - Instalações elétricas/telefônicas/lógica</v>
      </c>
      <c r="K2308" s="32" t="str">
        <f aca="false">INDEX('Curva ABC'!$K$8:$K$2847,MATCH(D2308,'Curva ABC'!$B$8:$B$2847,0))</f>
        <v>C</v>
      </c>
    </row>
    <row r="2309" customFormat="false" ht="15" hidden="false" customHeight="false" outlineLevel="0" collapsed="false">
      <c r="A2309" s="34" t="s">
        <v>5799</v>
      </c>
      <c r="B2309" s="34" t="str">
        <f aca="false">'Uso e Consumo'!A2309</f>
        <v>0335</v>
      </c>
      <c r="C2309" s="34" t="str">
        <f aca="false">'Uso e Consumo'!B2309</f>
        <v>UFV NORONHA VERDE - USO E CONSUMO</v>
      </c>
      <c r="D2309" s="33" t="n">
        <f aca="false">'Uso e Consumo'!C2309</f>
        <v>652213</v>
      </c>
      <c r="E2309" s="34" t="str">
        <f aca="false">'Uso e Consumo'!D2309</f>
        <v>30.05.0174</v>
      </c>
      <c r="F2309" s="34" t="str">
        <f aca="false">'Uso e Consumo'!E2309</f>
        <v>SANDUICHE DE PÃO BRIOCHE</v>
      </c>
      <c r="G2309" s="34" t="str">
        <f aca="false">'Uso e Consumo'!J2309</f>
        <v>UN</v>
      </c>
      <c r="H2309" s="49" t="n">
        <f aca="false">'Uso e Consumo'!F2309</f>
        <v>1.068</v>
      </c>
      <c r="I2309" s="35" t="n">
        <f aca="false">'Uso e Consumo'!G2309</f>
        <v>64.03</v>
      </c>
      <c r="J2309" s="34" t="str">
        <f aca="false">'Uso e Consumo'!M2309</f>
        <v>4.1.1.001 - Material de uso e consumo</v>
      </c>
      <c r="K2309" s="32" t="str">
        <f aca="false">INDEX('Curva ABC'!$K$8:$K$2847,MATCH(D2309,'Curva ABC'!$B$8:$B$2847,0))</f>
        <v>C</v>
      </c>
    </row>
    <row r="2310" customFormat="false" ht="15" hidden="false" customHeight="false" outlineLevel="0" collapsed="false">
      <c r="A2310" s="34" t="s">
        <v>5799</v>
      </c>
      <c r="B2310" s="34" t="str">
        <f aca="false">'Uso e Consumo'!A2310</f>
        <v>0335</v>
      </c>
      <c r="C2310" s="34" t="str">
        <f aca="false">'Uso e Consumo'!B2310</f>
        <v>UFV NORONHA VERDE - USO E CONSUMO</v>
      </c>
      <c r="D2310" s="33" t="n">
        <f aca="false">'Uso e Consumo'!C2310</f>
        <v>35096</v>
      </c>
      <c r="E2310" s="34" t="str">
        <f aca="false">'Uso e Consumo'!D2310</f>
        <v>23.06.0124</v>
      </c>
      <c r="F2310" s="34" t="str">
        <f aca="false">'Uso e Consumo'!E2310</f>
        <v>PORCA SEXTAVADA 4,00 MM ZINCADO BRANCO</v>
      </c>
      <c r="G2310" s="34" t="str">
        <f aca="false">'Uso e Consumo'!J2310</f>
        <v>UN</v>
      </c>
      <c r="H2310" s="49" t="n">
        <f aca="false">'Uso e Consumo'!F2310</f>
        <v>50</v>
      </c>
      <c r="I2310" s="35" t="n">
        <f aca="false">'Uso e Consumo'!G2310</f>
        <v>64</v>
      </c>
      <c r="J2310" s="34" t="str">
        <f aca="false">'Uso e Consumo'!M2310</f>
        <v>3.8.1.022 - Elementos de fixação</v>
      </c>
      <c r="K2310" s="32" t="str">
        <f aca="false">INDEX('Curva ABC'!$K$8:$K$2847,MATCH(D2310,'Curva ABC'!$B$8:$B$2847,0))</f>
        <v>C</v>
      </c>
    </row>
    <row r="2311" customFormat="false" ht="15" hidden="false" customHeight="false" outlineLevel="0" collapsed="false">
      <c r="A2311" s="34" t="s">
        <v>5799</v>
      </c>
      <c r="B2311" s="34" t="str">
        <f aca="false">'Uso e Consumo'!A2311</f>
        <v>0335</v>
      </c>
      <c r="C2311" s="34" t="str">
        <f aca="false">'Uso e Consumo'!B2311</f>
        <v>UFV NORONHA VERDE - USO E CONSUMO</v>
      </c>
      <c r="D2311" s="33" t="n">
        <f aca="false">'Uso e Consumo'!C2311</f>
        <v>728594</v>
      </c>
      <c r="E2311" s="34" t="str">
        <f aca="false">'Uso e Consumo'!D2311</f>
        <v>23.05.0234</v>
      </c>
      <c r="F2311" s="34" t="str">
        <f aca="false">'Uso e Consumo'!E2311</f>
        <v>ARRUELA LISA INOX 304 8MM"</v>
      </c>
      <c r="G2311" s="34" t="str">
        <f aca="false">'Uso e Consumo'!J2311</f>
        <v>UN</v>
      </c>
      <c r="H2311" s="49" t="n">
        <f aca="false">'Uso e Consumo'!F2311</f>
        <v>80</v>
      </c>
      <c r="I2311" s="35" t="n">
        <f aca="false">'Uso e Consumo'!G2311</f>
        <v>64</v>
      </c>
      <c r="J2311" s="34" t="str">
        <f aca="false">'Uso e Consumo'!M2311</f>
        <v>3.8.1.022 - Elementos de fixação</v>
      </c>
      <c r="K2311" s="32" t="str">
        <f aca="false">INDEX('Curva ABC'!$K$8:$K$2847,MATCH(D2311,'Curva ABC'!$B$8:$B$2847,0))</f>
        <v>C</v>
      </c>
    </row>
    <row r="2312" customFormat="false" ht="15" hidden="false" customHeight="false" outlineLevel="0" collapsed="false">
      <c r="A2312" s="34" t="s">
        <v>5799</v>
      </c>
      <c r="B2312" s="34" t="str">
        <f aca="false">'Uso e Consumo'!A2312</f>
        <v>0335</v>
      </c>
      <c r="C2312" s="34" t="str">
        <f aca="false">'Uso e Consumo'!B2312</f>
        <v>UFV NORONHA VERDE - USO E CONSUMO</v>
      </c>
      <c r="D2312" s="33" t="n">
        <f aca="false">'Uso e Consumo'!C2312</f>
        <v>1380002</v>
      </c>
      <c r="E2312" s="34" t="str">
        <f aca="false">'Uso e Consumo'!D2312</f>
        <v>23.05.0285</v>
      </c>
      <c r="F2312" s="34" t="str">
        <f aca="false">'Uso e Consumo'!E2312</f>
        <v>ARRUELA LISA DE AÇO, INXODÁVEL, BITOLA M6</v>
      </c>
      <c r="G2312" s="34" t="str">
        <f aca="false">'Uso e Consumo'!J2312</f>
        <v>UN</v>
      </c>
      <c r="H2312" s="49" t="n">
        <f aca="false">'Uso e Consumo'!F2312</f>
        <v>130</v>
      </c>
      <c r="I2312" s="35" t="n">
        <f aca="false">'Uso e Consumo'!G2312</f>
        <v>63.89</v>
      </c>
      <c r="J2312" s="34" t="str">
        <f aca="false">'Uso e Consumo'!M2312</f>
        <v>3.8.1.022 - Elementos de fixação</v>
      </c>
      <c r="K2312" s="32" t="str">
        <f aca="false">INDEX('Curva ABC'!$K$8:$K$2847,MATCH(D2312,'Curva ABC'!$B$8:$B$2847,0))</f>
        <v>C</v>
      </c>
    </row>
    <row r="2313" customFormat="false" ht="15" hidden="false" customHeight="false" outlineLevel="0" collapsed="false">
      <c r="A2313" s="34" t="s">
        <v>5799</v>
      </c>
      <c r="B2313" s="34" t="str">
        <f aca="false">'Uso e Consumo'!A2313</f>
        <v>0335</v>
      </c>
      <c r="C2313" s="34" t="str">
        <f aca="false">'Uso e Consumo'!B2313</f>
        <v>UFV NORONHA VERDE - USO E CONSUMO</v>
      </c>
      <c r="D2313" s="33" t="n">
        <f aca="false">'Uso e Consumo'!C2313</f>
        <v>1384289</v>
      </c>
      <c r="E2313" s="34" t="str">
        <f aca="false">'Uso e Consumo'!D2313</f>
        <v>29.03.0402</v>
      </c>
      <c r="F2313" s="34" t="str">
        <f aca="false">'Uso e Consumo'!E2313</f>
        <v>CONJUNTO DE ESTRUTURA PARA FIXAÇÃO DE UNIDADE EVAPORADORA DE 18.000 BTU/H, FORNECIDO COM MATERIAIS PARA FIXAÇÃO</v>
      </c>
      <c r="G2313" s="34" t="str">
        <f aca="false">'Uso e Consumo'!J2313</f>
        <v>UN</v>
      </c>
      <c r="H2313" s="49" t="n">
        <f aca="false">'Uso e Consumo'!F2313</f>
        <v>2</v>
      </c>
      <c r="I2313" s="35" t="n">
        <f aca="false">'Uso e Consumo'!G2313</f>
        <v>63.53</v>
      </c>
      <c r="J2313" s="34" t="str">
        <f aca="false">'Uso e Consumo'!M2313</f>
        <v>4.1.1.009 - Eletro eletrônico e acessórios</v>
      </c>
      <c r="K2313" s="32" t="str">
        <f aca="false">INDEX('Curva ABC'!$K$8:$K$2847,MATCH(D2313,'Curva ABC'!$B$8:$B$2847,0))</f>
        <v>C</v>
      </c>
    </row>
    <row r="2314" customFormat="false" ht="15" hidden="false" customHeight="false" outlineLevel="0" collapsed="false">
      <c r="A2314" s="34" t="s">
        <v>5799</v>
      </c>
      <c r="B2314" s="34" t="str">
        <f aca="false">'Uso e Consumo'!A2314</f>
        <v>0335</v>
      </c>
      <c r="C2314" s="34" t="str">
        <f aca="false">'Uso e Consumo'!B2314</f>
        <v>UFV NORONHA VERDE - USO E CONSUMO</v>
      </c>
      <c r="D2314" s="33" t="n">
        <f aca="false">'Uso e Consumo'!C2314</f>
        <v>19329</v>
      </c>
      <c r="E2314" s="34" t="str">
        <f aca="false">'Uso e Consumo'!D2314</f>
        <v>30.01.0049</v>
      </c>
      <c r="F2314" s="34" t="str">
        <f aca="false">'Uso e Consumo'!E2314</f>
        <v>CANETA ESFEROGRÁFICA PONTA FINA PRETA</v>
      </c>
      <c r="G2314" s="34" t="str">
        <f aca="false">'Uso e Consumo'!J2314</f>
        <v>UN</v>
      </c>
      <c r="H2314" s="49" t="n">
        <f aca="false">'Uso e Consumo'!F2314</f>
        <v>51</v>
      </c>
      <c r="I2314" s="35" t="n">
        <f aca="false">'Uso e Consumo'!G2314</f>
        <v>63</v>
      </c>
      <c r="J2314" s="34" t="str">
        <f aca="false">'Uso e Consumo'!M2314</f>
        <v>4.1.1.002 - Material expediente</v>
      </c>
      <c r="K2314" s="32" t="str">
        <f aca="false">INDEX('Curva ABC'!$K$8:$K$2847,MATCH(D2314,'Curva ABC'!$B$8:$B$2847,0))</f>
        <v>C</v>
      </c>
    </row>
    <row r="2315" customFormat="false" ht="15" hidden="false" customHeight="false" outlineLevel="0" collapsed="false">
      <c r="A2315" s="34" t="s">
        <v>5799</v>
      </c>
      <c r="B2315" s="34" t="str">
        <f aca="false">'Uso e Consumo'!A2315</f>
        <v>0335</v>
      </c>
      <c r="C2315" s="34" t="str">
        <f aca="false">'Uso e Consumo'!B2315</f>
        <v>UFV NORONHA VERDE - USO E CONSUMO</v>
      </c>
      <c r="D2315" s="33" t="n">
        <f aca="false">'Uso e Consumo'!C2315</f>
        <v>293004</v>
      </c>
      <c r="E2315" s="34" t="str">
        <f aca="false">'Uso e Consumo'!D2315</f>
        <v>23.02.0338</v>
      </c>
      <c r="F2315" s="34" t="str">
        <f aca="false">'Uso e Consumo'!E2315</f>
        <v>ABRAÇADEIRA GALVANIZADA TIPO "D"  C/ CUNHA 1/2"</v>
      </c>
      <c r="G2315" s="34" t="str">
        <f aca="false">'Uso e Consumo'!J2315</f>
        <v>UN</v>
      </c>
      <c r="H2315" s="49" t="n">
        <f aca="false">'Uso e Consumo'!F2315</f>
        <v>100</v>
      </c>
      <c r="I2315" s="35" t="n">
        <f aca="false">'Uso e Consumo'!G2315</f>
        <v>63</v>
      </c>
      <c r="J2315" s="34" t="str">
        <f aca="false">'Uso e Consumo'!M2315</f>
        <v>3.8.1.022 - Elementos de fixação</v>
      </c>
      <c r="K2315" s="32" t="str">
        <f aca="false">INDEX('Curva ABC'!$K$8:$K$2847,MATCH(D2315,'Curva ABC'!$B$8:$B$2847,0))</f>
        <v>C</v>
      </c>
    </row>
    <row r="2316" customFormat="false" ht="15" hidden="false" customHeight="false" outlineLevel="0" collapsed="false">
      <c r="A2316" s="34" t="s">
        <v>5799</v>
      </c>
      <c r="B2316" s="34" t="str">
        <f aca="false">'Uso e Consumo'!A2316</f>
        <v>0335</v>
      </c>
      <c r="C2316" s="34" t="str">
        <f aca="false">'Uso e Consumo'!B2316</f>
        <v>UFV NORONHA VERDE - USO E CONSUMO</v>
      </c>
      <c r="D2316" s="33" t="n">
        <f aca="false">'Uso e Consumo'!C2316</f>
        <v>16838</v>
      </c>
      <c r="E2316" s="34" t="str">
        <f aca="false">'Uso e Consumo'!D2316</f>
        <v>23.05.0012</v>
      </c>
      <c r="F2316" s="34" t="str">
        <f aca="false">'Uso e Consumo'!E2316</f>
        <v>ARRUELA EM ALUMÍNIO PARA ELETRODUTO 3/4" ROSCA BSP</v>
      </c>
      <c r="G2316" s="34" t="str">
        <f aca="false">'Uso e Consumo'!J2316</f>
        <v>UN</v>
      </c>
      <c r="H2316" s="49" t="n">
        <f aca="false">'Uso e Consumo'!F2316</f>
        <v>59</v>
      </c>
      <c r="I2316" s="35" t="n">
        <f aca="false">'Uso e Consumo'!G2316</f>
        <v>62.73</v>
      </c>
      <c r="J2316" s="34" t="str">
        <f aca="false">'Uso e Consumo'!M2316</f>
        <v>3.8.1.022 - Elementos de fixação</v>
      </c>
      <c r="K2316" s="32" t="str">
        <f aca="false">INDEX('Curva ABC'!$K$8:$K$2847,MATCH(D2316,'Curva ABC'!$B$8:$B$2847,0))</f>
        <v>C</v>
      </c>
    </row>
    <row r="2317" customFormat="false" ht="15" hidden="false" customHeight="false" outlineLevel="0" collapsed="false">
      <c r="A2317" s="34" t="s">
        <v>5799</v>
      </c>
      <c r="B2317" s="34" t="str">
        <f aca="false">'Uso e Consumo'!A2317</f>
        <v>0335</v>
      </c>
      <c r="C2317" s="34" t="str">
        <f aca="false">'Uso e Consumo'!B2317</f>
        <v>UFV NORONHA VERDE - USO E CONSUMO</v>
      </c>
      <c r="D2317" s="33" t="n">
        <f aca="false">'Uso e Consumo'!C2317</f>
        <v>385421</v>
      </c>
      <c r="E2317" s="34" t="str">
        <f aca="false">'Uso e Consumo'!D2317</f>
        <v>29.01.0837</v>
      </c>
      <c r="F2317" s="34" t="str">
        <f aca="false">'Uso e Consumo'!E2317</f>
        <v>CAPA PARA NOTEBOOK NEOPRENE</v>
      </c>
      <c r="G2317" s="34" t="str">
        <f aca="false">'Uso e Consumo'!J2317</f>
        <v>UN</v>
      </c>
      <c r="H2317" s="49" t="n">
        <f aca="false">'Uso e Consumo'!F2317</f>
        <v>1</v>
      </c>
      <c r="I2317" s="35" t="n">
        <f aca="false">'Uso e Consumo'!G2317</f>
        <v>62.1</v>
      </c>
      <c r="J2317" s="34" t="str">
        <f aca="false">'Uso e Consumo'!M2317</f>
        <v>4.1.1.007 - Equipamentos e acessórios para informática</v>
      </c>
      <c r="K2317" s="32" t="str">
        <f aca="false">INDEX('Curva ABC'!$K$8:$K$2847,MATCH(D2317,'Curva ABC'!$B$8:$B$2847,0))</f>
        <v>C</v>
      </c>
    </row>
    <row r="2318" customFormat="false" ht="15" hidden="false" customHeight="false" outlineLevel="0" collapsed="false">
      <c r="A2318" s="34" t="s">
        <v>5799</v>
      </c>
      <c r="B2318" s="34" t="str">
        <f aca="false">'Uso e Consumo'!A2318</f>
        <v>0335</v>
      </c>
      <c r="C2318" s="34" t="str">
        <f aca="false">'Uso e Consumo'!B2318</f>
        <v>UFV NORONHA VERDE - USO E CONSUMO</v>
      </c>
      <c r="D2318" s="33" t="n">
        <f aca="false">'Uso e Consumo'!C2318</f>
        <v>733673</v>
      </c>
      <c r="E2318" s="34" t="str">
        <f aca="false">'Uso e Consumo'!D2318</f>
        <v>24.09.0566</v>
      </c>
      <c r="F2318" s="34" t="str">
        <f aca="false">'Uso e Consumo'!E2318</f>
        <v>KIT CHAVE DE FENDA E PHILLIPS</v>
      </c>
      <c r="G2318" s="34" t="str">
        <f aca="false">'Uso e Consumo'!J2318</f>
        <v>UN</v>
      </c>
      <c r="H2318" s="49" t="n">
        <f aca="false">'Uso e Consumo'!F2318</f>
        <v>1</v>
      </c>
      <c r="I2318" s="35" t="n">
        <f aca="false">'Uso e Consumo'!G2318</f>
        <v>62</v>
      </c>
      <c r="J2318" s="34" t="str">
        <f aca="false">'Uso e Consumo'!M2318</f>
        <v>3.8.2.002 - Ferramentas manuais</v>
      </c>
      <c r="K2318" s="32" t="str">
        <f aca="false">INDEX('Curva ABC'!$K$8:$K$2847,MATCH(D2318,'Curva ABC'!$B$8:$B$2847,0))</f>
        <v>C</v>
      </c>
    </row>
    <row r="2319" customFormat="false" ht="15" hidden="false" customHeight="false" outlineLevel="0" collapsed="false">
      <c r="A2319" s="34" t="s">
        <v>5799</v>
      </c>
      <c r="B2319" s="34" t="str">
        <f aca="false">'Uso e Consumo'!A2319</f>
        <v>0335</v>
      </c>
      <c r="C2319" s="34" t="str">
        <f aca="false">'Uso e Consumo'!B2319</f>
        <v>UFV NORONHA VERDE - USO E CONSUMO</v>
      </c>
      <c r="D2319" s="33" t="n">
        <f aca="false">'Uso e Consumo'!C2319</f>
        <v>1323079</v>
      </c>
      <c r="E2319" s="34" t="str">
        <f aca="false">'Uso e Consumo'!D2319</f>
        <v>18.02.0735</v>
      </c>
      <c r="F2319" s="34" t="str">
        <f aca="false">'Uso e Consumo'!E2319</f>
        <v>REDUÇÃO C/R EM ALUMINIO  1.1/2 X 3/4</v>
      </c>
      <c r="G2319" s="34" t="str">
        <f aca="false">'Uso e Consumo'!J2319</f>
        <v>UN</v>
      </c>
      <c r="H2319" s="49" t="n">
        <f aca="false">'Uso e Consumo'!F2319</f>
        <v>2</v>
      </c>
      <c r="I2319" s="35" t="n">
        <f aca="false">'Uso e Consumo'!G2319</f>
        <v>62</v>
      </c>
      <c r="J2319" s="34" t="str">
        <f aca="false">'Uso e Consumo'!M2319</f>
        <v>3.8.1.018 - Instalações hidráulicas/sanitárias/industriais</v>
      </c>
      <c r="K2319" s="32" t="str">
        <f aca="false">INDEX('Curva ABC'!$K$8:$K$2847,MATCH(D2319,'Curva ABC'!$B$8:$B$2847,0))</f>
        <v>C</v>
      </c>
    </row>
    <row r="2320" customFormat="false" ht="15" hidden="false" customHeight="false" outlineLevel="0" collapsed="false">
      <c r="A2320" s="34" t="s">
        <v>5799</v>
      </c>
      <c r="B2320" s="34" t="str">
        <f aca="false">'Uso e Consumo'!A2320</f>
        <v>0335</v>
      </c>
      <c r="C2320" s="34" t="str">
        <f aca="false">'Uso e Consumo'!B2320</f>
        <v>UFV NORONHA VERDE - USO E CONSUMO</v>
      </c>
      <c r="D2320" s="33" t="n">
        <f aca="false">'Uso e Consumo'!C2320</f>
        <v>1478188</v>
      </c>
      <c r="E2320" s="34" t="str">
        <f aca="false">'Uso e Consumo'!D2320</f>
        <v>24.41.0413</v>
      </c>
      <c r="F2320" s="34" t="str">
        <f aca="false">'Uso e Consumo'!E2320</f>
        <v>EXTENSÃO 6" PARA SOQUETE ENCAIXE 1/4" </v>
      </c>
      <c r="G2320" s="34" t="str">
        <f aca="false">'Uso e Consumo'!J2320</f>
        <v>UN</v>
      </c>
      <c r="H2320" s="49" t="n">
        <f aca="false">'Uso e Consumo'!F2320</f>
        <v>2</v>
      </c>
      <c r="I2320" s="35" t="n">
        <f aca="false">'Uso e Consumo'!G2320</f>
        <v>61.02</v>
      </c>
      <c r="J2320" s="34" t="str">
        <f aca="false">'Uso e Consumo'!M2320</f>
        <v>3.8.2.002 - Ferramentas manuais</v>
      </c>
      <c r="K2320" s="32" t="str">
        <f aca="false">INDEX('Curva ABC'!$K$8:$K$2847,MATCH(D2320,'Curva ABC'!$B$8:$B$2847,0))</f>
        <v>C</v>
      </c>
    </row>
    <row r="2321" customFormat="false" ht="15" hidden="false" customHeight="false" outlineLevel="0" collapsed="false">
      <c r="A2321" s="34" t="s">
        <v>5799</v>
      </c>
      <c r="B2321" s="34" t="str">
        <f aca="false">'Uso e Consumo'!A2321</f>
        <v>0335</v>
      </c>
      <c r="C2321" s="34" t="str">
        <f aca="false">'Uso e Consumo'!B2321</f>
        <v>UFV NORONHA VERDE - USO E CONSUMO</v>
      </c>
      <c r="D2321" s="33" t="n">
        <f aca="false">'Uso e Consumo'!C2321</f>
        <v>223519</v>
      </c>
      <c r="E2321" s="34" t="str">
        <f aca="false">'Uso e Consumo'!D2321</f>
        <v>27.01.0193</v>
      </c>
      <c r="F2321" s="34" t="str">
        <f aca="false">'Uso e Consumo'!E2321</f>
        <v>CLOPIDOGREL (BISSULFAT)</v>
      </c>
      <c r="G2321" s="34" t="str">
        <f aca="false">'Uso e Consumo'!J2321</f>
        <v>UN</v>
      </c>
      <c r="H2321" s="49" t="n">
        <f aca="false">'Uso e Consumo'!F2321</f>
        <v>2</v>
      </c>
      <c r="I2321" s="35" t="n">
        <f aca="false">'Uso e Consumo'!G2321</f>
        <v>60</v>
      </c>
      <c r="J2321" s="34" t="str">
        <f aca="false">'Uso e Consumo'!M2321</f>
        <v>4.3.4.006 - Medicamentos e primeiro socorros</v>
      </c>
      <c r="K2321" s="32" t="str">
        <f aca="false">INDEX('Curva ABC'!$K$8:$K$2847,MATCH(D2321,'Curva ABC'!$B$8:$B$2847,0))</f>
        <v>C</v>
      </c>
    </row>
    <row r="2322" customFormat="false" ht="15" hidden="false" customHeight="false" outlineLevel="0" collapsed="false">
      <c r="A2322" s="34" t="s">
        <v>5799</v>
      </c>
      <c r="B2322" s="34" t="str">
        <f aca="false">'Uso e Consumo'!A2322</f>
        <v>0335</v>
      </c>
      <c r="C2322" s="34" t="str">
        <f aca="false">'Uso e Consumo'!B2322</f>
        <v>UFV NORONHA VERDE - USO E CONSUMO</v>
      </c>
      <c r="D2322" s="33" t="n">
        <f aca="false">'Uso e Consumo'!C2322</f>
        <v>223547</v>
      </c>
      <c r="E2322" s="34" t="str">
        <f aca="false">'Uso e Consumo'!D2322</f>
        <v>27.01.0197</v>
      </c>
      <c r="F2322" s="34" t="str">
        <f aca="false">'Uso e Consumo'!E2322</f>
        <v>SIMETICONA GTS MEDLEY</v>
      </c>
      <c r="G2322" s="34" t="str">
        <f aca="false">'Uso e Consumo'!J2322</f>
        <v>ML</v>
      </c>
      <c r="H2322" s="49" t="n">
        <f aca="false">'Uso e Consumo'!F2322</f>
        <v>6</v>
      </c>
      <c r="I2322" s="35" t="n">
        <f aca="false">'Uso e Consumo'!G2322</f>
        <v>60</v>
      </c>
      <c r="J2322" s="34" t="str">
        <f aca="false">'Uso e Consumo'!M2322</f>
        <v>4.3.4.006 - Medicamentos e primeiro socorros</v>
      </c>
      <c r="K2322" s="32" t="str">
        <f aca="false">INDEX('Curva ABC'!$K$8:$K$2847,MATCH(D2322,'Curva ABC'!$B$8:$B$2847,0))</f>
        <v>C</v>
      </c>
    </row>
    <row r="2323" customFormat="false" ht="15" hidden="false" customHeight="false" outlineLevel="0" collapsed="false">
      <c r="A2323" s="34" t="s">
        <v>5799</v>
      </c>
      <c r="B2323" s="34" t="str">
        <f aca="false">'Uso e Consumo'!A2323</f>
        <v>0335</v>
      </c>
      <c r="C2323" s="34" t="str">
        <f aca="false">'Uso e Consumo'!B2323</f>
        <v>UFV NORONHA VERDE - USO E CONSUMO</v>
      </c>
      <c r="D2323" s="33" t="n">
        <f aca="false">'Uso e Consumo'!C2323</f>
        <v>1259170</v>
      </c>
      <c r="E2323" s="34" t="str">
        <f aca="false">'Uso e Consumo'!D2323</f>
        <v>24.41.0370</v>
      </c>
      <c r="F2323" s="34" t="str">
        <f aca="false">'Uso e Consumo'!E2323</f>
        <v>SOQUETE TIPO CANHÃO 8 MM</v>
      </c>
      <c r="G2323" s="34" t="str">
        <f aca="false">'Uso e Consumo'!J2323</f>
        <v>UN</v>
      </c>
      <c r="H2323" s="49" t="n">
        <f aca="false">'Uso e Consumo'!F2323</f>
        <v>4</v>
      </c>
      <c r="I2323" s="35" t="n">
        <f aca="false">'Uso e Consumo'!G2323</f>
        <v>60</v>
      </c>
      <c r="J2323" s="34" t="str">
        <f aca="false">'Uso e Consumo'!M2323</f>
        <v>3.8.2.002 - Ferramentas manuais</v>
      </c>
      <c r="K2323" s="32" t="str">
        <f aca="false">INDEX('Curva ABC'!$K$8:$K$2847,MATCH(D2323,'Curva ABC'!$B$8:$B$2847,0))</f>
        <v>C</v>
      </c>
    </row>
    <row r="2324" customFormat="false" ht="15" hidden="false" customHeight="false" outlineLevel="0" collapsed="false">
      <c r="A2324" s="34" t="s">
        <v>5799</v>
      </c>
      <c r="B2324" s="34" t="str">
        <f aca="false">'Uso e Consumo'!A2324</f>
        <v>0335</v>
      </c>
      <c r="C2324" s="34" t="str">
        <f aca="false">'Uso e Consumo'!B2324</f>
        <v>UFV NORONHA VERDE - USO E CONSUMO</v>
      </c>
      <c r="D2324" s="33" t="n">
        <f aca="false">'Uso e Consumo'!C2324</f>
        <v>1016260</v>
      </c>
      <c r="E2324" s="34" t="str">
        <f aca="false">'Uso e Consumo'!D2324</f>
        <v>27.01.0456</v>
      </c>
      <c r="F2324" s="34" t="str">
        <f aca="false">'Uso e Consumo'!E2324</f>
        <v>CETOROLACO TROMETAMOL</v>
      </c>
      <c r="G2324" s="34" t="str">
        <f aca="false">'Uso e Consumo'!J2324</f>
        <v>UN</v>
      </c>
      <c r="H2324" s="49" t="n">
        <f aca="false">'Uso e Consumo'!F2324</f>
        <v>2</v>
      </c>
      <c r="I2324" s="35" t="n">
        <f aca="false">'Uso e Consumo'!G2324</f>
        <v>59.98</v>
      </c>
      <c r="J2324" s="34" t="str">
        <f aca="false">'Uso e Consumo'!M2324</f>
        <v>4.3.4.006 - Medicamentos e primeiro socorros</v>
      </c>
      <c r="K2324" s="32" t="str">
        <f aca="false">INDEX('Curva ABC'!$K$8:$K$2847,MATCH(D2324,'Curva ABC'!$B$8:$B$2847,0))</f>
        <v>C</v>
      </c>
    </row>
    <row r="2325" customFormat="false" ht="15" hidden="false" customHeight="false" outlineLevel="0" collapsed="false">
      <c r="A2325" s="34" t="s">
        <v>5799</v>
      </c>
      <c r="B2325" s="34" t="str">
        <f aca="false">'Uso e Consumo'!A2325</f>
        <v>0335</v>
      </c>
      <c r="C2325" s="34" t="str">
        <f aca="false">'Uso e Consumo'!B2325</f>
        <v>UFV NORONHA VERDE - USO E CONSUMO</v>
      </c>
      <c r="D2325" s="33" t="n">
        <f aca="false">'Uso e Consumo'!C2325</f>
        <v>23556</v>
      </c>
      <c r="E2325" s="34" t="str">
        <f aca="false">'Uso e Consumo'!D2325</f>
        <v>16.05.0084</v>
      </c>
      <c r="F2325" s="34" t="str">
        <f aca="false">'Uso e Consumo'!E2325</f>
        <v>BROXA RETANGULAR 003 GD (PINCEL CAIAR)</v>
      </c>
      <c r="G2325" s="34" t="str">
        <f aca="false">'Uso e Consumo'!J2325</f>
        <v>UN</v>
      </c>
      <c r="H2325" s="49" t="n">
        <f aca="false">'Uso e Consumo'!F2325</f>
        <v>2</v>
      </c>
      <c r="I2325" s="35" t="n">
        <f aca="false">'Uso e Consumo'!G2325</f>
        <v>59.96</v>
      </c>
      <c r="J2325" s="34" t="str">
        <f aca="false">'Uso e Consumo'!M2325</f>
        <v>3.8.1.016 - Pinturas</v>
      </c>
      <c r="K2325" s="32" t="str">
        <f aca="false">INDEX('Curva ABC'!$K$8:$K$2847,MATCH(D2325,'Curva ABC'!$B$8:$B$2847,0))</f>
        <v>C</v>
      </c>
    </row>
    <row r="2326" customFormat="false" ht="15" hidden="false" customHeight="false" outlineLevel="0" collapsed="false">
      <c r="A2326" s="34" t="s">
        <v>5799</v>
      </c>
      <c r="B2326" s="34" t="str">
        <f aca="false">'Uso e Consumo'!A2326</f>
        <v>0335</v>
      </c>
      <c r="C2326" s="34" t="str">
        <f aca="false">'Uso e Consumo'!B2326</f>
        <v>UFV NORONHA VERDE - USO E CONSUMO</v>
      </c>
      <c r="D2326" s="33" t="n">
        <f aca="false">'Uso e Consumo'!C2326</f>
        <v>56606</v>
      </c>
      <c r="E2326" s="34" t="str">
        <f aca="false">'Uso e Consumo'!D2326</f>
        <v>17.02.0270</v>
      </c>
      <c r="F2326" s="34" t="str">
        <f aca="false">'Uso e Consumo'!E2326</f>
        <v>LUVA ELETRODUTO AÇO GALVANIZADO 1/2"</v>
      </c>
      <c r="G2326" s="34" t="str">
        <f aca="false">'Uso e Consumo'!J2326</f>
        <v>UN</v>
      </c>
      <c r="H2326" s="49" t="n">
        <f aca="false">'Uso e Consumo'!F2326</f>
        <v>4</v>
      </c>
      <c r="I2326" s="35" t="n">
        <f aca="false">'Uso e Consumo'!G2326</f>
        <v>59.92</v>
      </c>
      <c r="J2326" s="34" t="str">
        <f aca="false">'Uso e Consumo'!M2326</f>
        <v>3.8.1.017 - Instalações elétricas/telefônicas/lógica</v>
      </c>
      <c r="K2326" s="32" t="str">
        <f aca="false">INDEX('Curva ABC'!$K$8:$K$2847,MATCH(D2326,'Curva ABC'!$B$8:$B$2847,0))</f>
        <v>C</v>
      </c>
    </row>
    <row r="2327" customFormat="false" ht="15" hidden="false" customHeight="false" outlineLevel="0" collapsed="false">
      <c r="A2327" s="34" t="s">
        <v>5799</v>
      </c>
      <c r="B2327" s="34" t="str">
        <f aca="false">'Uso e Consumo'!A2327</f>
        <v>0335</v>
      </c>
      <c r="C2327" s="34" t="str">
        <f aca="false">'Uso e Consumo'!B2327</f>
        <v>UFV NORONHA VERDE - USO E CONSUMO</v>
      </c>
      <c r="D2327" s="33" t="n">
        <f aca="false">'Uso e Consumo'!C2327</f>
        <v>18844</v>
      </c>
      <c r="E2327" s="34" t="str">
        <f aca="false">'Uso e Consumo'!D2327</f>
        <v>26.03.0004</v>
      </c>
      <c r="F2327" s="34" t="str">
        <f aca="false">'Uso e Consumo'!E2327</f>
        <v>CAPACETE COM ABA FRONTAL (TIPO II) C/ CARNEIRA - COR VERDE (CA-8562/25856/29792)</v>
      </c>
      <c r="G2327" s="34" t="str">
        <f aca="false">'Uso e Consumo'!J2327</f>
        <v>UN</v>
      </c>
      <c r="H2327" s="49" t="n">
        <f aca="false">'Uso e Consumo'!F2327</f>
        <v>6</v>
      </c>
      <c r="I2327" s="35" t="n">
        <f aca="false">'Uso e Consumo'!G2327</f>
        <v>59.58</v>
      </c>
      <c r="J2327" s="34" t="str">
        <f aca="false">'Uso e Consumo'!M2327</f>
        <v>4.3.4.001 - Equipamento de proteção individual</v>
      </c>
      <c r="K2327" s="32" t="str">
        <f aca="false">INDEX('Curva ABC'!$K$8:$K$2847,MATCH(D2327,'Curva ABC'!$B$8:$B$2847,0))</f>
        <v>C</v>
      </c>
    </row>
    <row r="2328" customFormat="false" ht="15" hidden="false" customHeight="false" outlineLevel="0" collapsed="false">
      <c r="A2328" s="34" t="s">
        <v>5799</v>
      </c>
      <c r="B2328" s="34" t="str">
        <f aca="false">'Uso e Consumo'!A2328</f>
        <v>0335</v>
      </c>
      <c r="C2328" s="34" t="str">
        <f aca="false">'Uso e Consumo'!B2328</f>
        <v>UFV NORONHA VERDE - USO E CONSUMO</v>
      </c>
      <c r="D2328" s="33" t="n">
        <f aca="false">'Uso e Consumo'!C2328</f>
        <v>33721</v>
      </c>
      <c r="E2328" s="34" t="str">
        <f aca="false">'Uso e Consumo'!D2328</f>
        <v>17.19.0012</v>
      </c>
      <c r="F2328" s="34" t="str">
        <f aca="false">'Uso e Consumo'!E2328</f>
        <v>FITA ISOLANTE 750V 19,00MM X 20,00M VERMELHO</v>
      </c>
      <c r="G2328" s="34" t="str">
        <f aca="false">'Uso e Consumo'!J2328</f>
        <v>R20M</v>
      </c>
      <c r="H2328" s="49" t="n">
        <f aca="false">'Uso e Consumo'!F2328</f>
        <v>10</v>
      </c>
      <c r="I2328" s="35" t="n">
        <f aca="false">'Uso e Consumo'!G2328</f>
        <v>59.4614</v>
      </c>
      <c r="J2328" s="34" t="str">
        <f aca="false">'Uso e Consumo'!M2328</f>
        <v>3.8.1.017 - Instalações elétricas/telefônicas/lógica</v>
      </c>
      <c r="K2328" s="32" t="str">
        <f aca="false">INDEX('Curva ABC'!$K$8:$K$2847,MATCH(D2328,'Curva ABC'!$B$8:$B$2847,0))</f>
        <v>C</v>
      </c>
    </row>
    <row r="2329" customFormat="false" ht="15" hidden="false" customHeight="false" outlineLevel="0" collapsed="false">
      <c r="A2329" s="34" t="s">
        <v>5799</v>
      </c>
      <c r="B2329" s="34" t="str">
        <f aca="false">'Uso e Consumo'!A2329</f>
        <v>0335</v>
      </c>
      <c r="C2329" s="34" t="str">
        <f aca="false">'Uso e Consumo'!B2329</f>
        <v>UFV NORONHA VERDE - USO E CONSUMO</v>
      </c>
      <c r="D2329" s="33" t="n">
        <f aca="false">'Uso e Consumo'!C2329</f>
        <v>1312590</v>
      </c>
      <c r="E2329" s="34" t="str">
        <f aca="false">'Uso e Consumo'!D2329</f>
        <v>33.02.3118</v>
      </c>
      <c r="F2329" s="34" t="str">
        <f aca="false">'Uso e Consumo'!E2329</f>
        <v>POLIA 1128-195-0400 </v>
      </c>
      <c r="G2329" s="34" t="str">
        <f aca="false">'Uso e Consumo'!J2329</f>
        <v>UN</v>
      </c>
      <c r="H2329" s="49" t="n">
        <f aca="false">'Uso e Consumo'!F2329</f>
        <v>1</v>
      </c>
      <c r="I2329" s="35" t="n">
        <f aca="false">'Uso e Consumo'!G2329</f>
        <v>59.24</v>
      </c>
      <c r="J2329" s="34" t="str">
        <f aca="false">'Uso e Consumo'!M2329</f>
        <v>3.1.6.002 - Pneus e peças</v>
      </c>
      <c r="K2329" s="32" t="str">
        <f aca="false">INDEX('Curva ABC'!$K$8:$K$2847,MATCH(D2329,'Curva ABC'!$B$8:$B$2847,0))</f>
        <v>C</v>
      </c>
    </row>
    <row r="2330" customFormat="false" ht="15" hidden="false" customHeight="false" outlineLevel="0" collapsed="false">
      <c r="A2330" s="34" t="s">
        <v>5799</v>
      </c>
      <c r="B2330" s="34" t="str">
        <f aca="false">'Uso e Consumo'!A2330</f>
        <v>0335</v>
      </c>
      <c r="C2330" s="34" t="str">
        <f aca="false">'Uso e Consumo'!B2330</f>
        <v>UFV NORONHA VERDE - USO E CONSUMO</v>
      </c>
      <c r="D2330" s="33" t="n">
        <f aca="false">'Uso e Consumo'!C2330</f>
        <v>31948</v>
      </c>
      <c r="E2330" s="34" t="str">
        <f aca="false">'Uso e Consumo'!D2330</f>
        <v>25.03.0179</v>
      </c>
      <c r="F2330" s="34" t="str">
        <f aca="false">'Uso e Consumo'!E2330</f>
        <v>BROCA AÇO RÁPIDO 7MM</v>
      </c>
      <c r="G2330" s="34" t="str">
        <f aca="false">'Uso e Consumo'!J2330</f>
        <v>UN</v>
      </c>
      <c r="H2330" s="49" t="n">
        <f aca="false">'Uso e Consumo'!F2330</f>
        <v>10</v>
      </c>
      <c r="I2330" s="35" t="n">
        <f aca="false">'Uso e Consumo'!G2330</f>
        <v>58.6</v>
      </c>
      <c r="J2330" s="34" t="str">
        <f aca="false">'Uso e Consumo'!M2330</f>
        <v>3.8.2.004 - Consumíveis para corte, perfuração e desbaste</v>
      </c>
      <c r="K2330" s="32" t="str">
        <f aca="false">INDEX('Curva ABC'!$K$8:$K$2847,MATCH(D2330,'Curva ABC'!$B$8:$B$2847,0))</f>
        <v>C</v>
      </c>
    </row>
    <row r="2331" customFormat="false" ht="15" hidden="false" customHeight="false" outlineLevel="0" collapsed="false">
      <c r="A2331" s="34" t="s">
        <v>5799</v>
      </c>
      <c r="B2331" s="34" t="str">
        <f aca="false">'Uso e Consumo'!A2331</f>
        <v>0335</v>
      </c>
      <c r="C2331" s="34" t="str">
        <f aca="false">'Uso e Consumo'!B2331</f>
        <v>UFV NORONHA VERDE - USO E CONSUMO</v>
      </c>
      <c r="D2331" s="33" t="n">
        <f aca="false">'Uso e Consumo'!C2331</f>
        <v>24086</v>
      </c>
      <c r="E2331" s="34" t="str">
        <f aca="false">'Uso e Consumo'!D2331</f>
        <v>23.06.0098</v>
      </c>
      <c r="F2331" s="34" t="str">
        <f aca="false">'Uso e Consumo'!E2331</f>
        <v>PORCA SEXTAVADA 5/8 G8 UNC</v>
      </c>
      <c r="G2331" s="34" t="str">
        <f aca="false">'Uso e Consumo'!J2331</f>
        <v>UN</v>
      </c>
      <c r="H2331" s="49" t="n">
        <f aca="false">'Uso e Consumo'!F2331</f>
        <v>1</v>
      </c>
      <c r="I2331" s="35" t="n">
        <f aca="false">'Uso e Consumo'!G2331</f>
        <v>58</v>
      </c>
      <c r="J2331" s="34" t="str">
        <f aca="false">'Uso e Consumo'!M2331</f>
        <v>3.8.1.022 - Elementos de fixação</v>
      </c>
      <c r="K2331" s="32" t="str">
        <f aca="false">INDEX('Curva ABC'!$K$8:$K$2847,MATCH(D2331,'Curva ABC'!$B$8:$B$2847,0))</f>
        <v>C</v>
      </c>
    </row>
    <row r="2332" customFormat="false" ht="15" hidden="false" customHeight="false" outlineLevel="0" collapsed="false">
      <c r="A2332" s="34" t="s">
        <v>5799</v>
      </c>
      <c r="B2332" s="34" t="str">
        <f aca="false">'Uso e Consumo'!A2332</f>
        <v>0335</v>
      </c>
      <c r="C2332" s="34" t="str">
        <f aca="false">'Uso e Consumo'!B2332</f>
        <v>UFV NORONHA VERDE - USO E CONSUMO</v>
      </c>
      <c r="D2332" s="33" t="n">
        <f aca="false">'Uso e Consumo'!C2332</f>
        <v>227904</v>
      </c>
      <c r="E2332" s="34" t="str">
        <f aca="false">'Uso e Consumo'!D2332</f>
        <v>23.02.0327</v>
      </c>
      <c r="F2332" s="34" t="str">
        <f aca="false">'Uso e Consumo'!E2332</f>
        <v>ABRAÇADEIRA NYLON 300 X 3,7MM NATURAL PCT COM 100</v>
      </c>
      <c r="G2332" s="34" t="str">
        <f aca="false">'Uso e Consumo'!J2332</f>
        <v>PC100</v>
      </c>
      <c r="H2332" s="49" t="n">
        <f aca="false">'Uso e Consumo'!F2332</f>
        <v>1</v>
      </c>
      <c r="I2332" s="35" t="n">
        <f aca="false">'Uso e Consumo'!G2332</f>
        <v>58</v>
      </c>
      <c r="J2332" s="34" t="str">
        <f aca="false">'Uso e Consumo'!M2332</f>
        <v>3.8.1.022 - Elementos de fixação</v>
      </c>
      <c r="K2332" s="32" t="str">
        <f aca="false">INDEX('Curva ABC'!$K$8:$K$2847,MATCH(D2332,'Curva ABC'!$B$8:$B$2847,0))</f>
        <v>C</v>
      </c>
    </row>
    <row r="2333" customFormat="false" ht="15" hidden="false" customHeight="false" outlineLevel="0" collapsed="false">
      <c r="A2333" s="34" t="s">
        <v>5799</v>
      </c>
      <c r="B2333" s="34" t="str">
        <f aca="false">'Uso e Consumo'!A2333</f>
        <v>0335</v>
      </c>
      <c r="C2333" s="34" t="str">
        <f aca="false">'Uso e Consumo'!B2333</f>
        <v>UFV NORONHA VERDE - USO E CONSUMO</v>
      </c>
      <c r="D2333" s="33" t="n">
        <f aca="false">'Uso e Consumo'!C2333</f>
        <v>283611</v>
      </c>
      <c r="E2333" s="34" t="str">
        <f aca="false">'Uso e Consumo'!D2333</f>
        <v>19.08.0059</v>
      </c>
      <c r="F2333" s="34" t="str">
        <f aca="false">'Uso e Consumo'!E2333</f>
        <v>TORNEIRA PARA JARDIM E TANQUE METAL – LINK CR DECA NBR 10283</v>
      </c>
      <c r="G2333" s="34" t="str">
        <f aca="false">'Uso e Consumo'!J2333</f>
        <v>UN</v>
      </c>
      <c r="H2333" s="49" t="n">
        <f aca="false">'Uso e Consumo'!F2333</f>
        <v>1</v>
      </c>
      <c r="I2333" s="35" t="n">
        <f aca="false">'Uso e Consumo'!G2333</f>
        <v>58</v>
      </c>
      <c r="J2333" s="34" t="str">
        <f aca="false">'Uso e Consumo'!M2333</f>
        <v>3.8.1.018 - Instalações hidráulicas/sanitárias/industriais</v>
      </c>
      <c r="K2333" s="32" t="str">
        <f aca="false">INDEX('Curva ABC'!$K$8:$K$2847,MATCH(D2333,'Curva ABC'!$B$8:$B$2847,0))</f>
        <v>C</v>
      </c>
    </row>
    <row r="2334" customFormat="false" ht="15" hidden="false" customHeight="false" outlineLevel="0" collapsed="false">
      <c r="A2334" s="34" t="s">
        <v>5799</v>
      </c>
      <c r="B2334" s="34" t="str">
        <f aca="false">'Uso e Consumo'!A2334</f>
        <v>0335</v>
      </c>
      <c r="C2334" s="34" t="str">
        <f aca="false">'Uso e Consumo'!B2334</f>
        <v>UFV NORONHA VERDE - USO E CONSUMO</v>
      </c>
      <c r="D2334" s="33" t="n">
        <f aca="false">'Uso e Consumo'!C2334</f>
        <v>946722</v>
      </c>
      <c r="E2334" s="34" t="str">
        <f aca="false">'Uso e Consumo'!D2334</f>
        <v>24.05.0027</v>
      </c>
      <c r="F2334" s="34" t="str">
        <f aca="false">'Uso e Consumo'!E2334</f>
        <v>NIVEL ALUMINIO 350MM</v>
      </c>
      <c r="G2334" s="34" t="str">
        <f aca="false">'Uso e Consumo'!J2334</f>
        <v>UN</v>
      </c>
      <c r="H2334" s="49" t="n">
        <f aca="false">'Uso e Consumo'!F2334</f>
        <v>1</v>
      </c>
      <c r="I2334" s="35" t="n">
        <f aca="false">'Uso e Consumo'!G2334</f>
        <v>58</v>
      </c>
      <c r="J2334" s="34" t="str">
        <f aca="false">'Uso e Consumo'!M2334</f>
        <v>3.8.2.001 - Ferramentas medição/aferição</v>
      </c>
      <c r="K2334" s="32" t="str">
        <f aca="false">INDEX('Curva ABC'!$K$8:$K$2847,MATCH(D2334,'Curva ABC'!$B$8:$B$2847,0))</f>
        <v>C</v>
      </c>
    </row>
    <row r="2335" customFormat="false" ht="15" hidden="false" customHeight="false" outlineLevel="0" collapsed="false">
      <c r="A2335" s="34" t="s">
        <v>5799</v>
      </c>
      <c r="B2335" s="34" t="str">
        <f aca="false">'Uso e Consumo'!A2335</f>
        <v>0335</v>
      </c>
      <c r="C2335" s="34" t="str">
        <f aca="false">'Uso e Consumo'!B2335</f>
        <v>UFV NORONHA VERDE - USO E CONSUMO</v>
      </c>
      <c r="D2335" s="33" t="n">
        <f aca="false">'Uso e Consumo'!C2335</f>
        <v>955972</v>
      </c>
      <c r="E2335" s="34" t="str">
        <f aca="false">'Uso e Consumo'!D2335</f>
        <v>30.01.0750</v>
      </c>
      <c r="F2335" s="34" t="str">
        <f aca="false">'Uso e Consumo'!E2335</f>
        <v>ESTILETE PROFISSIONAL 18MM</v>
      </c>
      <c r="G2335" s="34" t="str">
        <f aca="false">'Uso e Consumo'!J2335</f>
        <v>UN</v>
      </c>
      <c r="H2335" s="49" t="n">
        <f aca="false">'Uso e Consumo'!F2335</f>
        <v>1</v>
      </c>
      <c r="I2335" s="35" t="n">
        <f aca="false">'Uso e Consumo'!G2335</f>
        <v>58</v>
      </c>
      <c r="J2335" s="34" t="str">
        <f aca="false">'Uso e Consumo'!M2335</f>
        <v>4.1.1.002 - Material expediente</v>
      </c>
      <c r="K2335" s="32" t="str">
        <f aca="false">INDEX('Curva ABC'!$K$8:$K$2847,MATCH(D2335,'Curva ABC'!$B$8:$B$2847,0))</f>
        <v>C</v>
      </c>
    </row>
    <row r="2336" customFormat="false" ht="15" hidden="false" customHeight="false" outlineLevel="0" collapsed="false">
      <c r="A2336" s="34" t="s">
        <v>5799</v>
      </c>
      <c r="B2336" s="34" t="str">
        <f aca="false">'Uso e Consumo'!A2336</f>
        <v>0335</v>
      </c>
      <c r="C2336" s="34" t="str">
        <f aca="false">'Uso e Consumo'!B2336</f>
        <v>UFV NORONHA VERDE - USO E CONSUMO</v>
      </c>
      <c r="D2336" s="33" t="n">
        <f aca="false">'Uso e Consumo'!C2336</f>
        <v>862386</v>
      </c>
      <c r="E2336" s="34" t="str">
        <f aca="false">'Uso e Consumo'!D2336</f>
        <v>17.02.0716</v>
      </c>
      <c r="F2336" s="34" t="str">
        <f aca="false">'Uso e Consumo'!E2336</f>
        <v>ELETRODUTO FLEXÍVEL CORRUADO 1"</v>
      </c>
      <c r="G2336" s="34" t="str">
        <f aca="false">'Uso e Consumo'!J2336</f>
        <v>M</v>
      </c>
      <c r="H2336" s="49" t="n">
        <f aca="false">'Uso e Consumo'!F2336</f>
        <v>12</v>
      </c>
      <c r="I2336" s="35" t="n">
        <f aca="false">'Uso e Consumo'!G2336</f>
        <v>57.6</v>
      </c>
      <c r="J2336" s="34" t="str">
        <f aca="false">'Uso e Consumo'!M2336</f>
        <v>3.8.1.017 - Instalações elétricas/telefônicas/lógica</v>
      </c>
      <c r="K2336" s="32" t="str">
        <f aca="false">INDEX('Curva ABC'!$K$8:$K$2847,MATCH(D2336,'Curva ABC'!$B$8:$B$2847,0))</f>
        <v>C</v>
      </c>
    </row>
    <row r="2337" customFormat="false" ht="15" hidden="false" customHeight="false" outlineLevel="0" collapsed="false">
      <c r="A2337" s="34" t="s">
        <v>5799</v>
      </c>
      <c r="B2337" s="34" t="str">
        <f aca="false">'Uso e Consumo'!A2337</f>
        <v>0335</v>
      </c>
      <c r="C2337" s="34" t="str">
        <f aca="false">'Uso e Consumo'!B2337</f>
        <v>UFV NORONHA VERDE - USO E CONSUMO</v>
      </c>
      <c r="D2337" s="33" t="n">
        <f aca="false">'Uso e Consumo'!C2337</f>
        <v>54660</v>
      </c>
      <c r="E2337" s="34" t="str">
        <f aca="false">'Uso e Consumo'!D2337</f>
        <v>17.16.0116</v>
      </c>
      <c r="F2337" s="34" t="str">
        <f aca="false">'Uso e Consumo'!E2337</f>
        <v>TERMINAL PRE-ISOLADO OLHAL COBRE ESTANHADO 10,00MM2</v>
      </c>
      <c r="G2337" s="34" t="str">
        <f aca="false">'Uso e Consumo'!J2337</f>
        <v>UN</v>
      </c>
      <c r="H2337" s="49" t="n">
        <f aca="false">'Uso e Consumo'!F2337</f>
        <v>50</v>
      </c>
      <c r="I2337" s="35" t="n">
        <f aca="false">'Uso e Consumo'!G2337</f>
        <v>57.5</v>
      </c>
      <c r="J2337" s="34" t="str">
        <f aca="false">'Uso e Consumo'!M2337</f>
        <v>3.8.1.017 - Instalações elétricas/telefônicas/lógica</v>
      </c>
      <c r="K2337" s="32" t="str">
        <f aca="false">INDEX('Curva ABC'!$K$8:$K$2847,MATCH(D2337,'Curva ABC'!$B$8:$B$2847,0))</f>
        <v>C</v>
      </c>
    </row>
    <row r="2338" customFormat="false" ht="15" hidden="false" customHeight="false" outlineLevel="0" collapsed="false">
      <c r="A2338" s="34" t="s">
        <v>5799</v>
      </c>
      <c r="B2338" s="34" t="str">
        <f aca="false">'Uso e Consumo'!A2338</f>
        <v>0335</v>
      </c>
      <c r="C2338" s="34" t="str">
        <f aca="false">'Uso e Consumo'!B2338</f>
        <v>UFV NORONHA VERDE - USO E CONSUMO</v>
      </c>
      <c r="D2338" s="33" t="n">
        <f aca="false">'Uso e Consumo'!C2338</f>
        <v>740315</v>
      </c>
      <c r="E2338" s="34" t="str">
        <f aca="false">'Uso e Consumo'!D2338</f>
        <v>27.01.0387</v>
      </c>
      <c r="F2338" s="34" t="str">
        <f aca="false">'Uso e Consumo'!E2338</f>
        <v>PAPEL LENÇOL PARA MACA 50x50cm</v>
      </c>
      <c r="G2338" s="34" t="str">
        <f aca="false">'Uso e Consumo'!J2338</f>
        <v>UN</v>
      </c>
      <c r="H2338" s="49" t="n">
        <f aca="false">'Uso e Consumo'!F2338</f>
        <v>5</v>
      </c>
      <c r="I2338" s="35" t="n">
        <f aca="false">'Uso e Consumo'!G2338</f>
        <v>57.5</v>
      </c>
      <c r="J2338" s="34" t="str">
        <f aca="false">'Uso e Consumo'!M2338</f>
        <v>4.3.4.007 - Mobiliário médico/equipamentos/acessórios</v>
      </c>
      <c r="K2338" s="32" t="str">
        <f aca="false">INDEX('Curva ABC'!$K$8:$K$2847,MATCH(D2338,'Curva ABC'!$B$8:$B$2847,0))</f>
        <v>C</v>
      </c>
    </row>
    <row r="2339" customFormat="false" ht="15" hidden="false" customHeight="false" outlineLevel="0" collapsed="false">
      <c r="A2339" s="34" t="s">
        <v>5799</v>
      </c>
      <c r="B2339" s="34" t="str">
        <f aca="false">'Uso e Consumo'!A2339</f>
        <v>0335</v>
      </c>
      <c r="C2339" s="34" t="str">
        <f aca="false">'Uso e Consumo'!B2339</f>
        <v>UFV NORONHA VERDE - USO E CONSUMO</v>
      </c>
      <c r="D2339" s="33" t="n">
        <f aca="false">'Uso e Consumo'!C2339</f>
        <v>18413</v>
      </c>
      <c r="E2339" s="34" t="str">
        <f aca="false">'Uso e Consumo'!D2339</f>
        <v>25.03.0117</v>
      </c>
      <c r="F2339" s="34" t="str">
        <f aca="false">'Uso e Consumo'!E2339</f>
        <v>BROCA SDS PLUS HELICOIDAL HASTE CILINDRICA AÇO NIQUEL-CROMO PONTA VIDEA 6,00MM X 160,00MM</v>
      </c>
      <c r="G2339" s="34" t="str">
        <f aca="false">'Uso e Consumo'!J2339</f>
        <v>UN</v>
      </c>
      <c r="H2339" s="49" t="n">
        <f aca="false">'Uso e Consumo'!F2339</f>
        <v>6</v>
      </c>
      <c r="I2339" s="35" t="n">
        <f aca="false">'Uso e Consumo'!G2339</f>
        <v>57.48</v>
      </c>
      <c r="J2339" s="34" t="str">
        <f aca="false">'Uso e Consumo'!M2339</f>
        <v>3.8.2.004 - Consumíveis para corte, perfuração e desbaste</v>
      </c>
      <c r="K2339" s="32" t="str">
        <f aca="false">INDEX('Curva ABC'!$K$8:$K$2847,MATCH(D2339,'Curva ABC'!$B$8:$B$2847,0))</f>
        <v>C</v>
      </c>
    </row>
    <row r="2340" customFormat="false" ht="15" hidden="false" customHeight="false" outlineLevel="0" collapsed="false">
      <c r="A2340" s="34" t="s">
        <v>5799</v>
      </c>
      <c r="B2340" s="34" t="str">
        <f aca="false">'Uso e Consumo'!A2340</f>
        <v>0335</v>
      </c>
      <c r="C2340" s="34" t="str">
        <f aca="false">'Uso e Consumo'!B2340</f>
        <v>UFV NORONHA VERDE - USO E CONSUMO</v>
      </c>
      <c r="D2340" s="33" t="n">
        <f aca="false">'Uso e Consumo'!C2340</f>
        <v>60597</v>
      </c>
      <c r="E2340" s="34" t="str">
        <f aca="false">'Uso e Consumo'!D2340</f>
        <v>24.08.0036</v>
      </c>
      <c r="F2340" s="34" t="str">
        <f aca="false">'Uso e Consumo'!E2340</f>
        <v>ALICATE ANEL INTERNO CURVO</v>
      </c>
      <c r="G2340" s="34" t="str">
        <f aca="false">'Uso e Consumo'!J2340</f>
        <v>UN</v>
      </c>
      <c r="H2340" s="49" t="n">
        <f aca="false">'Uso e Consumo'!F2340</f>
        <v>1</v>
      </c>
      <c r="I2340" s="35" t="n">
        <f aca="false">'Uso e Consumo'!G2340</f>
        <v>57.29</v>
      </c>
      <c r="J2340" s="34" t="str">
        <f aca="false">'Uso e Consumo'!M2340</f>
        <v>3.8.2.002 - Ferramentas manuais</v>
      </c>
      <c r="K2340" s="32" t="str">
        <f aca="false">INDEX('Curva ABC'!$K$8:$K$2847,MATCH(D2340,'Curva ABC'!$B$8:$B$2847,0))</f>
        <v>C</v>
      </c>
    </row>
    <row r="2341" customFormat="false" ht="15" hidden="false" customHeight="false" outlineLevel="0" collapsed="false">
      <c r="A2341" s="34" t="s">
        <v>5799</v>
      </c>
      <c r="B2341" s="34" t="str">
        <f aca="false">'Uso e Consumo'!A2341</f>
        <v>0335</v>
      </c>
      <c r="C2341" s="34" t="str">
        <f aca="false">'Uso e Consumo'!B2341</f>
        <v>UFV NORONHA VERDE - USO E CONSUMO</v>
      </c>
      <c r="D2341" s="33" t="n">
        <f aca="false">'Uso e Consumo'!C2341</f>
        <v>14782</v>
      </c>
      <c r="E2341" s="34" t="str">
        <f aca="false">'Uso e Consumo'!D2341</f>
        <v>18.01.0357</v>
      </c>
      <c r="F2341" s="34" t="str">
        <f aca="false">'Uso e Consumo'!E2341</f>
        <v>JOELHO 90GR PVC REFORCADO SOLDAVEL 50,00MM P/ESGOTO</v>
      </c>
      <c r="G2341" s="34" t="str">
        <f aca="false">'Uso e Consumo'!J2341</f>
        <v>UN</v>
      </c>
      <c r="H2341" s="49" t="n">
        <f aca="false">'Uso e Consumo'!F2341</f>
        <v>9</v>
      </c>
      <c r="I2341" s="35" t="n">
        <f aca="false">'Uso e Consumo'!G2341</f>
        <v>56.7</v>
      </c>
      <c r="J2341" s="34" t="str">
        <f aca="false">'Uso e Consumo'!M2341</f>
        <v>3.8.1.018 - Instalações hidráulicas/sanitárias/industriais</v>
      </c>
      <c r="K2341" s="32" t="str">
        <f aca="false">INDEX('Curva ABC'!$K$8:$K$2847,MATCH(D2341,'Curva ABC'!$B$8:$B$2847,0))</f>
        <v>C</v>
      </c>
    </row>
    <row r="2342" customFormat="false" ht="15" hidden="false" customHeight="false" outlineLevel="0" collapsed="false">
      <c r="A2342" s="34" t="s">
        <v>5799</v>
      </c>
      <c r="B2342" s="34" t="str">
        <f aca="false">'Uso e Consumo'!A2342</f>
        <v>0335</v>
      </c>
      <c r="C2342" s="34" t="str">
        <f aca="false">'Uso e Consumo'!B2342</f>
        <v>UFV NORONHA VERDE - USO E CONSUMO</v>
      </c>
      <c r="D2342" s="33" t="n">
        <f aca="false">'Uso e Consumo'!C2342</f>
        <v>870439</v>
      </c>
      <c r="E2342" s="34" t="str">
        <f aca="false">'Uso e Consumo'!D2342</f>
        <v>30.02.0127</v>
      </c>
      <c r="F2342" s="34" t="str">
        <f aca="false">'Uso e Consumo'!E2342</f>
        <v>REFIL DE TINTA EPSON T544120-AL AMARELO</v>
      </c>
      <c r="G2342" s="34" t="str">
        <f aca="false">'Uso e Consumo'!J2342</f>
        <v>UN</v>
      </c>
      <c r="H2342" s="49" t="n">
        <f aca="false">'Uso e Consumo'!F2342</f>
        <v>1</v>
      </c>
      <c r="I2342" s="35" t="n">
        <f aca="false">'Uso e Consumo'!G2342</f>
        <v>56.61</v>
      </c>
      <c r="J2342" s="34" t="str">
        <f aca="false">'Uso e Consumo'!M2342</f>
        <v>4.1.1.002 - Material expediente</v>
      </c>
      <c r="K2342" s="32" t="str">
        <f aca="false">INDEX('Curva ABC'!$K$8:$K$2847,MATCH(D2342,'Curva ABC'!$B$8:$B$2847,0))</f>
        <v>C</v>
      </c>
    </row>
    <row r="2343" customFormat="false" ht="15" hidden="false" customHeight="false" outlineLevel="0" collapsed="false">
      <c r="A2343" s="34" t="s">
        <v>5799</v>
      </c>
      <c r="B2343" s="34" t="str">
        <f aca="false">'Uso e Consumo'!A2343</f>
        <v>0335</v>
      </c>
      <c r="C2343" s="34" t="str">
        <f aca="false">'Uso e Consumo'!B2343</f>
        <v>UFV NORONHA VERDE - USO E CONSUMO</v>
      </c>
      <c r="D2343" s="33" t="n">
        <f aca="false">'Uso e Consumo'!C2343</f>
        <v>966467</v>
      </c>
      <c r="E2343" s="34" t="str">
        <f aca="false">'Uso e Consumo'!D2343</f>
        <v>18.01.1357</v>
      </c>
      <c r="F2343" s="34" t="str">
        <f aca="false">'Uso e Consumo'!E2343</f>
        <v>JOELHO 90 LR AMANCO 20X1/2</v>
      </c>
      <c r="G2343" s="34" t="str">
        <f aca="false">'Uso e Consumo'!J2343</f>
        <v>UN</v>
      </c>
      <c r="H2343" s="49" t="n">
        <f aca="false">'Uso e Consumo'!F2343</f>
        <v>16</v>
      </c>
      <c r="I2343" s="35" t="n">
        <f aca="false">'Uso e Consumo'!G2343</f>
        <v>56.48</v>
      </c>
      <c r="J2343" s="34" t="str">
        <f aca="false">'Uso e Consumo'!M2343</f>
        <v>3.8.1.018 - Instalações hidráulicas/sanitárias/industriais</v>
      </c>
      <c r="K2343" s="32" t="str">
        <f aca="false">INDEX('Curva ABC'!$K$8:$K$2847,MATCH(D2343,'Curva ABC'!$B$8:$B$2847,0))</f>
        <v>C</v>
      </c>
    </row>
    <row r="2344" customFormat="false" ht="15" hidden="false" customHeight="false" outlineLevel="0" collapsed="false">
      <c r="A2344" s="34" t="s">
        <v>5799</v>
      </c>
      <c r="B2344" s="34" t="str">
        <f aca="false">'Uso e Consumo'!A2344</f>
        <v>0335</v>
      </c>
      <c r="C2344" s="34" t="str">
        <f aca="false">'Uso e Consumo'!B2344</f>
        <v>UFV NORONHA VERDE - USO E CONSUMO</v>
      </c>
      <c r="D2344" s="33" t="n">
        <f aca="false">'Uso e Consumo'!C2344</f>
        <v>12590</v>
      </c>
      <c r="E2344" s="34" t="str">
        <f aca="false">'Uso e Consumo'!D2344</f>
        <v>17.02.0090</v>
      </c>
      <c r="F2344" s="34" t="str">
        <f aca="false">'Uso e Consumo'!E2344</f>
        <v>CURVA 90GR ELETRODUTO AÇO CARBONO ZINCADO LEVE BSP 11 FIOS 1.1/2" X 47,10MM</v>
      </c>
      <c r="G2344" s="34" t="str">
        <f aca="false">'Uso e Consumo'!J2344</f>
        <v>UN</v>
      </c>
      <c r="H2344" s="49" t="n">
        <f aca="false">'Uso e Consumo'!F2344</f>
        <v>2</v>
      </c>
      <c r="I2344" s="35" t="n">
        <f aca="false">'Uso e Consumo'!G2344</f>
        <v>56</v>
      </c>
      <c r="J2344" s="34" t="str">
        <f aca="false">'Uso e Consumo'!M2344</f>
        <v>3.8.1.017 - Instalações elétricas/telefônicas/lógica</v>
      </c>
      <c r="K2344" s="32" t="str">
        <f aca="false">INDEX('Curva ABC'!$K$8:$K$2847,MATCH(D2344,'Curva ABC'!$B$8:$B$2847,0))</f>
        <v>C</v>
      </c>
    </row>
    <row r="2345" customFormat="false" ht="15" hidden="false" customHeight="false" outlineLevel="0" collapsed="false">
      <c r="A2345" s="34" t="s">
        <v>5799</v>
      </c>
      <c r="B2345" s="34" t="str">
        <f aca="false">'Uso e Consumo'!A2345</f>
        <v>0335</v>
      </c>
      <c r="C2345" s="34" t="str">
        <f aca="false">'Uso e Consumo'!B2345</f>
        <v>UFV NORONHA VERDE - USO E CONSUMO</v>
      </c>
      <c r="D2345" s="33" t="n">
        <f aca="false">'Uso e Consumo'!C2345</f>
        <v>856748</v>
      </c>
      <c r="E2345" s="34" t="str">
        <f aca="false">'Uso e Consumo'!D2345</f>
        <v>32.12.0191</v>
      </c>
      <c r="F2345" s="34" t="str">
        <f aca="false">'Uso e Consumo'!E2345</f>
        <v>MULTIMETRO DIGITAL CAPACIMETRO DIGITAL MD-180L, COM BATERIA PORTÁTIL</v>
      </c>
      <c r="G2345" s="34" t="str">
        <f aca="false">'Uso e Consumo'!J2345</f>
        <v>UN</v>
      </c>
      <c r="H2345" s="49" t="n">
        <f aca="false">'Uso e Consumo'!F2345</f>
        <v>1</v>
      </c>
      <c r="I2345" s="35" t="n">
        <f aca="false">'Uso e Consumo'!G2345</f>
        <v>56</v>
      </c>
      <c r="J2345" s="34" t="str">
        <f aca="false">'Uso e Consumo'!M2345</f>
        <v>3.8.2.002 - Ferramentas manuais</v>
      </c>
      <c r="K2345" s="32" t="str">
        <f aca="false">INDEX('Curva ABC'!$K$8:$K$2847,MATCH(D2345,'Curva ABC'!$B$8:$B$2847,0))</f>
        <v>C</v>
      </c>
    </row>
    <row r="2346" customFormat="false" ht="15" hidden="false" customHeight="false" outlineLevel="0" collapsed="false">
      <c r="A2346" s="34" t="s">
        <v>5799</v>
      </c>
      <c r="B2346" s="34" t="str">
        <f aca="false">'Uso e Consumo'!A2346</f>
        <v>0335</v>
      </c>
      <c r="C2346" s="34" t="str">
        <f aca="false">'Uso e Consumo'!B2346</f>
        <v>UFV NORONHA VERDE - USO E CONSUMO</v>
      </c>
      <c r="D2346" s="33" t="n">
        <f aca="false">'Uso e Consumo'!C2346</f>
        <v>959012</v>
      </c>
      <c r="E2346" s="34" t="str">
        <f aca="false">'Uso e Consumo'!D2346</f>
        <v>18.01.1343</v>
      </c>
      <c r="F2346" s="34" t="str">
        <f aca="false">'Uso e Consumo'!E2346</f>
        <v>ADAPTADOR FLANGE ANEL 25X3/4 PLASTUBOS</v>
      </c>
      <c r="G2346" s="34" t="str">
        <f aca="false">'Uso e Consumo'!J2346</f>
        <v>UN</v>
      </c>
      <c r="H2346" s="49" t="n">
        <f aca="false">'Uso e Consumo'!F2346</f>
        <v>2</v>
      </c>
      <c r="I2346" s="35" t="n">
        <f aca="false">'Uso e Consumo'!G2346</f>
        <v>56</v>
      </c>
      <c r="J2346" s="34" t="str">
        <f aca="false">'Uso e Consumo'!M2346</f>
        <v>3.8.1.018 - Instalações hidráulicas/sanitárias/industriais</v>
      </c>
      <c r="K2346" s="32" t="str">
        <f aca="false">INDEX('Curva ABC'!$K$8:$K$2847,MATCH(D2346,'Curva ABC'!$B$8:$B$2847,0))</f>
        <v>C</v>
      </c>
    </row>
    <row r="2347" customFormat="false" ht="15" hidden="false" customHeight="false" outlineLevel="0" collapsed="false">
      <c r="A2347" s="34" t="s">
        <v>5799</v>
      </c>
      <c r="B2347" s="34" t="str">
        <f aca="false">'Uso e Consumo'!A2347</f>
        <v>0335</v>
      </c>
      <c r="C2347" s="34" t="str">
        <f aca="false">'Uso e Consumo'!B2347</f>
        <v>UFV NORONHA VERDE - USO E CONSUMO</v>
      </c>
      <c r="D2347" s="33" t="n">
        <f aca="false">'Uso e Consumo'!C2347</f>
        <v>284049</v>
      </c>
      <c r="E2347" s="34" t="str">
        <f aca="false">'Uso e Consumo'!D2347</f>
        <v>16.05.0134</v>
      </c>
      <c r="F2347" s="34" t="str">
        <f aca="false">'Uso e Consumo'!E2347</f>
        <v>SUPORTE PARA ROLO DE PINTURA TIPO GAIOLA 230,00 MM</v>
      </c>
      <c r="G2347" s="34" t="str">
        <f aca="false">'Uso e Consumo'!J2347</f>
        <v>UN</v>
      </c>
      <c r="H2347" s="49" t="n">
        <f aca="false">'Uso e Consumo'!F2347</f>
        <v>2</v>
      </c>
      <c r="I2347" s="35" t="n">
        <f aca="false">'Uso e Consumo'!G2347</f>
        <v>55.76</v>
      </c>
      <c r="J2347" s="34" t="str">
        <f aca="false">'Uso e Consumo'!M2347</f>
        <v>3.8.1.016 - Pinturas</v>
      </c>
      <c r="K2347" s="32" t="str">
        <f aca="false">INDEX('Curva ABC'!$K$8:$K$2847,MATCH(D2347,'Curva ABC'!$B$8:$B$2847,0))</f>
        <v>C</v>
      </c>
    </row>
    <row r="2348" customFormat="false" ht="15" hidden="false" customHeight="false" outlineLevel="0" collapsed="false">
      <c r="A2348" s="34" t="s">
        <v>5799</v>
      </c>
      <c r="B2348" s="34" t="str">
        <f aca="false">'Uso e Consumo'!A2348</f>
        <v>0335</v>
      </c>
      <c r="C2348" s="34" t="str">
        <f aca="false">'Uso e Consumo'!B2348</f>
        <v>UFV NORONHA VERDE - USO E CONSUMO</v>
      </c>
      <c r="D2348" s="33" t="n">
        <f aca="false">'Uso e Consumo'!C2348</f>
        <v>932272</v>
      </c>
      <c r="E2348" s="34" t="str">
        <f aca="false">'Uso e Consumo'!D2348</f>
        <v>18.01.1326</v>
      </c>
      <c r="F2348" s="34" t="str">
        <f aca="false">'Uso e Consumo'!E2348</f>
        <v>TE SOLDAVEL 25MM</v>
      </c>
      <c r="G2348" s="34" t="str">
        <f aca="false">'Uso e Consumo'!J2348</f>
        <v>UN</v>
      </c>
      <c r="H2348" s="49" t="n">
        <f aca="false">'Uso e Consumo'!F2348</f>
        <v>14</v>
      </c>
      <c r="I2348" s="35" t="n">
        <f aca="false">'Uso e Consumo'!G2348</f>
        <v>55.72</v>
      </c>
      <c r="J2348" s="34" t="str">
        <f aca="false">'Uso e Consumo'!M2348</f>
        <v>3.8.1.018 - Instalações hidráulicas/sanitárias/industriais</v>
      </c>
      <c r="K2348" s="32" t="str">
        <f aca="false">INDEX('Curva ABC'!$K$8:$K$2847,MATCH(D2348,'Curva ABC'!$B$8:$B$2847,0))</f>
        <v>C</v>
      </c>
    </row>
    <row r="2349" customFormat="false" ht="15" hidden="false" customHeight="false" outlineLevel="0" collapsed="false">
      <c r="A2349" s="34" t="s">
        <v>5799</v>
      </c>
      <c r="B2349" s="34" t="str">
        <f aca="false">'Uso e Consumo'!A2349</f>
        <v>0335</v>
      </c>
      <c r="C2349" s="34" t="str">
        <f aca="false">'Uso e Consumo'!B2349</f>
        <v>UFV NORONHA VERDE - USO E CONSUMO</v>
      </c>
      <c r="D2349" s="33" t="n">
        <f aca="false">'Uso e Consumo'!C2349</f>
        <v>1011343</v>
      </c>
      <c r="E2349" s="34" t="str">
        <f aca="false">'Uso e Consumo'!D2349</f>
        <v>18.01.1359</v>
      </c>
      <c r="F2349" s="34" t="str">
        <f aca="false">'Uso e Consumo'!E2349</f>
        <v>LUVA SOLDÁVEL 25MM</v>
      </c>
      <c r="G2349" s="34" t="str">
        <f aca="false">'Uso e Consumo'!J2349</f>
        <v>UN</v>
      </c>
      <c r="H2349" s="49" t="n">
        <f aca="false">'Uso e Consumo'!F2349</f>
        <v>4</v>
      </c>
      <c r="I2349" s="35" t="n">
        <f aca="false">'Uso e Consumo'!G2349</f>
        <v>55.68</v>
      </c>
      <c r="J2349" s="34" t="str">
        <f aca="false">'Uso e Consumo'!M2349</f>
        <v>3.8.1.018 - Instalações hidráulicas/sanitárias/industriais</v>
      </c>
      <c r="K2349" s="32" t="str">
        <f aca="false">INDEX('Curva ABC'!$K$8:$K$2847,MATCH(D2349,'Curva ABC'!$B$8:$B$2847,0))</f>
        <v>C</v>
      </c>
    </row>
    <row r="2350" customFormat="false" ht="15" hidden="false" customHeight="false" outlineLevel="0" collapsed="false">
      <c r="A2350" s="34" t="s">
        <v>5799</v>
      </c>
      <c r="B2350" s="34" t="str">
        <f aca="false">'Uso e Consumo'!A2350</f>
        <v>0335</v>
      </c>
      <c r="C2350" s="34" t="str">
        <f aca="false">'Uso e Consumo'!B2350</f>
        <v>UFV NORONHA VERDE - USO E CONSUMO</v>
      </c>
      <c r="D2350" s="33" t="n">
        <f aca="false">'Uso e Consumo'!C2350</f>
        <v>33779</v>
      </c>
      <c r="E2350" s="34" t="str">
        <f aca="false">'Uso e Consumo'!D2350</f>
        <v>25.03.0185</v>
      </c>
      <c r="F2350" s="34" t="str">
        <f aca="false">'Uso e Consumo'!E2350</f>
        <v>BROCA SDS PLUS – HASTE DE ENCAIXE – 14,00MM X 160,00MM</v>
      </c>
      <c r="G2350" s="34" t="str">
        <f aca="false">'Uso e Consumo'!J2350</f>
        <v>UN</v>
      </c>
      <c r="H2350" s="49" t="n">
        <f aca="false">'Uso e Consumo'!F2350</f>
        <v>3</v>
      </c>
      <c r="I2350" s="35" t="n">
        <f aca="false">'Uso e Consumo'!G2350</f>
        <v>55.35</v>
      </c>
      <c r="J2350" s="34" t="str">
        <f aca="false">'Uso e Consumo'!M2350</f>
        <v>3.8.2.004 - Consumíveis para corte, perfuração e desbaste</v>
      </c>
      <c r="K2350" s="32" t="str">
        <f aca="false">INDEX('Curva ABC'!$K$8:$K$2847,MATCH(D2350,'Curva ABC'!$B$8:$B$2847,0))</f>
        <v>C</v>
      </c>
    </row>
    <row r="2351" customFormat="false" ht="15" hidden="false" customHeight="false" outlineLevel="0" collapsed="false">
      <c r="A2351" s="34" t="s">
        <v>5799</v>
      </c>
      <c r="B2351" s="34" t="str">
        <f aca="false">'Uso e Consumo'!A2351</f>
        <v>0335</v>
      </c>
      <c r="C2351" s="34" t="str">
        <f aca="false">'Uso e Consumo'!B2351</f>
        <v>UFV NORONHA VERDE - USO E CONSUMO</v>
      </c>
      <c r="D2351" s="33" t="n">
        <f aca="false">'Uso e Consumo'!C2351</f>
        <v>294837</v>
      </c>
      <c r="E2351" s="34" t="str">
        <f aca="false">'Uso e Consumo'!D2351</f>
        <v>09.22.0002</v>
      </c>
      <c r="F2351" s="34" t="str">
        <f aca="false">'Uso e Consumo'!E2351</f>
        <v>PEDESTAL PARA OPACÍMETRO SMOKE CHECK 2000</v>
      </c>
      <c r="G2351" s="34" t="str">
        <f aca="false">'Uso e Consumo'!J2351</f>
        <v>UN</v>
      </c>
      <c r="H2351" s="49" t="n">
        <f aca="false">'Uso e Consumo'!F2351</f>
        <v>1</v>
      </c>
      <c r="I2351" s="35" t="n">
        <f aca="false">'Uso e Consumo'!G2351</f>
        <v>55</v>
      </c>
      <c r="J2351" s="34" t="str">
        <f aca="false">'Uso e Consumo'!M2351</f>
        <v>3.8.1.001 - Aços e trefilados</v>
      </c>
      <c r="K2351" s="32" t="str">
        <f aca="false">INDEX('Curva ABC'!$K$8:$K$2847,MATCH(D2351,'Curva ABC'!$B$8:$B$2847,0))</f>
        <v>C</v>
      </c>
    </row>
    <row r="2352" customFormat="false" ht="15" hidden="false" customHeight="false" outlineLevel="0" collapsed="false">
      <c r="A2352" s="34" t="s">
        <v>5799</v>
      </c>
      <c r="B2352" s="34" t="str">
        <f aca="false">'Uso e Consumo'!A2352</f>
        <v>0335</v>
      </c>
      <c r="C2352" s="34" t="str">
        <f aca="false">'Uso e Consumo'!B2352</f>
        <v>UFV NORONHA VERDE - USO E CONSUMO</v>
      </c>
      <c r="D2352" s="33" t="n">
        <f aca="false">'Uso e Consumo'!C2352</f>
        <v>1615082</v>
      </c>
      <c r="E2352" s="34" t="str">
        <f aca="false">'Uso e Consumo'!D2352</f>
        <v>17.02.0924</v>
      </c>
      <c r="F2352" s="34" t="str">
        <f aca="false">'Uso e Consumo'!E2352</f>
        <v>LUVA DE PVC RIGIDO, DIAMETRO NOMINAL 32 MM, COM ROSCA, REFERENCIA DE BITOLA 1" BSP, TIPO PESADO, COR PRETA</v>
      </c>
      <c r="G2352" s="34" t="str">
        <f aca="false">'Uso e Consumo'!J2352</f>
        <v>UN</v>
      </c>
      <c r="H2352" s="49" t="n">
        <f aca="false">'Uso e Consumo'!F2352</f>
        <v>20</v>
      </c>
      <c r="I2352" s="35" t="n">
        <f aca="false">'Uso e Consumo'!G2352</f>
        <v>54.44</v>
      </c>
      <c r="J2352" s="34" t="str">
        <f aca="false">'Uso e Consumo'!M2352</f>
        <v>3.8.1.017 - Instalações elétricas/telefônicas/lógica</v>
      </c>
      <c r="K2352" s="32" t="str">
        <f aca="false">INDEX('Curva ABC'!$K$8:$K$2847,MATCH(D2352,'Curva ABC'!$B$8:$B$2847,0))</f>
        <v>C</v>
      </c>
    </row>
    <row r="2353" customFormat="false" ht="15" hidden="false" customHeight="false" outlineLevel="0" collapsed="false">
      <c r="A2353" s="34" t="s">
        <v>5799</v>
      </c>
      <c r="B2353" s="34" t="str">
        <f aca="false">'Uso e Consumo'!A2353</f>
        <v>0335</v>
      </c>
      <c r="C2353" s="34" t="str">
        <f aca="false">'Uso e Consumo'!B2353</f>
        <v>UFV NORONHA VERDE - USO E CONSUMO</v>
      </c>
      <c r="D2353" s="33" t="n">
        <f aca="false">'Uso e Consumo'!C2353</f>
        <v>938995</v>
      </c>
      <c r="E2353" s="34" t="str">
        <f aca="false">'Uso e Consumo'!D2353</f>
        <v>23.06.0278</v>
      </c>
      <c r="F2353" s="34" t="str">
        <f aca="false">'Uso e Consumo'!E2353</f>
        <v>PORCA SEXTAVADA 1/4" GALVANIZADA</v>
      </c>
      <c r="G2353" s="34" t="str">
        <f aca="false">'Uso e Consumo'!J2353</f>
        <v>UN</v>
      </c>
      <c r="H2353" s="49" t="n">
        <f aca="false">'Uso e Consumo'!F2353</f>
        <v>388</v>
      </c>
      <c r="I2353" s="35" t="n">
        <f aca="false">'Uso e Consumo'!G2353</f>
        <v>54.32</v>
      </c>
      <c r="J2353" s="34" t="str">
        <f aca="false">'Uso e Consumo'!M2353</f>
        <v>3.8.1.022 - Elementos de fixação</v>
      </c>
      <c r="K2353" s="32" t="str">
        <f aca="false">INDEX('Curva ABC'!$K$8:$K$2847,MATCH(D2353,'Curva ABC'!$B$8:$B$2847,0))</f>
        <v>C</v>
      </c>
    </row>
    <row r="2354" customFormat="false" ht="15" hidden="false" customHeight="false" outlineLevel="0" collapsed="false">
      <c r="A2354" s="34" t="s">
        <v>5799</v>
      </c>
      <c r="B2354" s="34" t="str">
        <f aca="false">'Uso e Consumo'!A2354</f>
        <v>0335</v>
      </c>
      <c r="C2354" s="34" t="str">
        <f aca="false">'Uso e Consumo'!B2354</f>
        <v>UFV NORONHA VERDE - USO E CONSUMO</v>
      </c>
      <c r="D2354" s="33" t="n">
        <f aca="false">'Uso e Consumo'!C2354</f>
        <v>294407</v>
      </c>
      <c r="E2354" s="34" t="str">
        <f aca="false">'Uso e Consumo'!D2354</f>
        <v>27.01.0331</v>
      </c>
      <c r="F2354" s="34" t="str">
        <f aca="false">'Uso e Consumo'!E2354</f>
        <v>DESLORATADINA 5MG CX 10 COMP</v>
      </c>
      <c r="G2354" s="34" t="str">
        <f aca="false">'Uso e Consumo'!J2354</f>
        <v>UN</v>
      </c>
      <c r="H2354" s="49" t="n">
        <f aca="false">'Uso e Consumo'!F2354</f>
        <v>3</v>
      </c>
      <c r="I2354" s="35" t="n">
        <f aca="false">'Uso e Consumo'!G2354</f>
        <v>54</v>
      </c>
      <c r="J2354" s="34" t="str">
        <f aca="false">'Uso e Consumo'!M2354</f>
        <v>4.3.4.006 - Medicamentos e primeiro socorros</v>
      </c>
      <c r="K2354" s="32" t="str">
        <f aca="false">INDEX('Curva ABC'!$K$8:$K$2847,MATCH(D2354,'Curva ABC'!$B$8:$B$2847,0))</f>
        <v>C</v>
      </c>
    </row>
    <row r="2355" customFormat="false" ht="15" hidden="false" customHeight="false" outlineLevel="0" collapsed="false">
      <c r="A2355" s="34" t="s">
        <v>5799</v>
      </c>
      <c r="B2355" s="34" t="str">
        <f aca="false">'Uso e Consumo'!A2355</f>
        <v>0335</v>
      </c>
      <c r="C2355" s="34" t="str">
        <f aca="false">'Uso e Consumo'!B2355</f>
        <v>UFV NORONHA VERDE - USO E CONSUMO</v>
      </c>
      <c r="D2355" s="33" t="n">
        <f aca="false">'Uso e Consumo'!C2355</f>
        <v>348321</v>
      </c>
      <c r="E2355" s="34" t="str">
        <f aca="false">'Uso e Consumo'!D2355</f>
        <v>23.07.1184</v>
      </c>
      <c r="F2355" s="34" t="str">
        <f aca="false">'Uso e Consumo'!E2355</f>
        <v>PARAFUSO DENTE CONCHA</v>
      </c>
      <c r="G2355" s="34" t="str">
        <f aca="false">'Uso e Consumo'!J2355</f>
        <v>UN</v>
      </c>
      <c r="H2355" s="49" t="n">
        <f aca="false">'Uso e Consumo'!F2355</f>
        <v>6</v>
      </c>
      <c r="I2355" s="35" t="n">
        <f aca="false">'Uso e Consumo'!G2355</f>
        <v>54</v>
      </c>
      <c r="J2355" s="34" t="str">
        <f aca="false">'Uso e Consumo'!M2355</f>
        <v>3.8.1.022 - Elementos de fixação</v>
      </c>
      <c r="K2355" s="32" t="str">
        <f aca="false">INDEX('Curva ABC'!$K$8:$K$2847,MATCH(D2355,'Curva ABC'!$B$8:$B$2847,0))</f>
        <v>C</v>
      </c>
    </row>
    <row r="2356" customFormat="false" ht="15" hidden="false" customHeight="false" outlineLevel="0" collapsed="false">
      <c r="A2356" s="34" t="s">
        <v>5799</v>
      </c>
      <c r="B2356" s="34" t="str">
        <f aca="false">'Uso e Consumo'!A2356</f>
        <v>0335</v>
      </c>
      <c r="C2356" s="34" t="str">
        <f aca="false">'Uso e Consumo'!B2356</f>
        <v>UFV NORONHA VERDE - USO E CONSUMO</v>
      </c>
      <c r="D2356" s="33" t="n">
        <f aca="false">'Uso e Consumo'!C2356</f>
        <v>49544</v>
      </c>
      <c r="E2356" s="34" t="str">
        <f aca="false">'Uso e Consumo'!D2356</f>
        <v>26.03.0021</v>
      </c>
      <c r="F2356" s="34" t="str">
        <f aca="false">'Uso e Consumo'!E2356</f>
        <v>JUGULAR FITA PARA CAPACETE</v>
      </c>
      <c r="G2356" s="34" t="str">
        <f aca="false">'Uso e Consumo'!J2356</f>
        <v>UN</v>
      </c>
      <c r="H2356" s="49" t="n">
        <f aca="false">'Uso e Consumo'!F2356</f>
        <v>20</v>
      </c>
      <c r="I2356" s="35" t="n">
        <f aca="false">'Uso e Consumo'!G2356</f>
        <v>53.8</v>
      </c>
      <c r="J2356" s="34" t="str">
        <f aca="false">'Uso e Consumo'!M2356</f>
        <v>4.3.4.001 - Equipamento de proteção individual</v>
      </c>
      <c r="K2356" s="32" t="str">
        <f aca="false">INDEX('Curva ABC'!$K$8:$K$2847,MATCH(D2356,'Curva ABC'!$B$8:$B$2847,0))</f>
        <v>C</v>
      </c>
    </row>
    <row r="2357" customFormat="false" ht="15" hidden="false" customHeight="false" outlineLevel="0" collapsed="false">
      <c r="A2357" s="34" t="s">
        <v>5799</v>
      </c>
      <c r="B2357" s="34" t="str">
        <f aca="false">'Uso e Consumo'!A2357</f>
        <v>0335</v>
      </c>
      <c r="C2357" s="34" t="str">
        <f aca="false">'Uso e Consumo'!B2357</f>
        <v>UFV NORONHA VERDE - USO E CONSUMO</v>
      </c>
      <c r="D2357" s="33" t="n">
        <f aca="false">'Uso e Consumo'!C2357</f>
        <v>1383736</v>
      </c>
      <c r="E2357" s="34" t="str">
        <f aca="false">'Uso e Consumo'!D2357</f>
        <v>17.16.3816</v>
      </c>
      <c r="F2357" s="34" t="str">
        <f aca="false">'Uso e Consumo'!E2357</f>
        <v>PRENSA CABO MACHO EM LIGA DE ALUMÍNIO BITOLA 3/4", DIÂMETRO DE APERTO DE 10 A 12,5 MM</v>
      </c>
      <c r="G2357" s="34" t="str">
        <f aca="false">'Uso e Consumo'!J2357</f>
        <v>UN</v>
      </c>
      <c r="H2357" s="49" t="n">
        <f aca="false">'Uso e Consumo'!F2357</f>
        <v>2</v>
      </c>
      <c r="I2357" s="35" t="n">
        <f aca="false">'Uso e Consumo'!G2357</f>
        <v>53.66</v>
      </c>
      <c r="J2357" s="34" t="str">
        <f aca="false">'Uso e Consumo'!M2357</f>
        <v>3.8.1.017 - Instalações elétricas/telefônicas/lógica</v>
      </c>
      <c r="K2357" s="32" t="str">
        <f aca="false">INDEX('Curva ABC'!$K$8:$K$2847,MATCH(D2357,'Curva ABC'!$B$8:$B$2847,0))</f>
        <v>C</v>
      </c>
    </row>
    <row r="2358" customFormat="false" ht="15" hidden="false" customHeight="false" outlineLevel="0" collapsed="false">
      <c r="A2358" s="34" t="s">
        <v>5799</v>
      </c>
      <c r="B2358" s="34" t="str">
        <f aca="false">'Uso e Consumo'!A2358</f>
        <v>0335</v>
      </c>
      <c r="C2358" s="34" t="str">
        <f aca="false">'Uso e Consumo'!B2358</f>
        <v>UFV NORONHA VERDE - USO E CONSUMO</v>
      </c>
      <c r="D2358" s="33" t="n">
        <f aca="false">'Uso e Consumo'!C2358</f>
        <v>21315</v>
      </c>
      <c r="E2358" s="34" t="str">
        <f aca="false">'Uso e Consumo'!D2358</f>
        <v>17.12.0177</v>
      </c>
      <c r="F2358" s="34" t="str">
        <f aca="false">'Uso e Consumo'!E2358</f>
        <v>INTERRUPTOR 2 SEÇÕES SIMPLES</v>
      </c>
      <c r="G2358" s="34" t="str">
        <f aca="false">'Uso e Consumo'!J2358</f>
        <v>UN</v>
      </c>
      <c r="H2358" s="49" t="n">
        <f aca="false">'Uso e Consumo'!F2358</f>
        <v>5</v>
      </c>
      <c r="I2358" s="35" t="n">
        <f aca="false">'Uso e Consumo'!G2358</f>
        <v>53.65</v>
      </c>
      <c r="J2358" s="34" t="str">
        <f aca="false">'Uso e Consumo'!M2358</f>
        <v>3.8.1.017 - Instalações elétricas/telefônicas/lógica</v>
      </c>
      <c r="K2358" s="32" t="str">
        <f aca="false">INDEX('Curva ABC'!$K$8:$K$2847,MATCH(D2358,'Curva ABC'!$B$8:$B$2847,0))</f>
        <v>C</v>
      </c>
    </row>
    <row r="2359" customFormat="false" ht="15" hidden="false" customHeight="false" outlineLevel="0" collapsed="false">
      <c r="A2359" s="34" t="s">
        <v>5799</v>
      </c>
      <c r="B2359" s="34" t="str">
        <f aca="false">'Uso e Consumo'!A2359</f>
        <v>0335</v>
      </c>
      <c r="C2359" s="34" t="str">
        <f aca="false">'Uso e Consumo'!B2359</f>
        <v>UFV NORONHA VERDE - USO E CONSUMO</v>
      </c>
      <c r="D2359" s="33" t="n">
        <f aca="false">'Uso e Consumo'!C2359</f>
        <v>20977</v>
      </c>
      <c r="E2359" s="34" t="str">
        <f aca="false">'Uso e Consumo'!D2359</f>
        <v>18.08.0026</v>
      </c>
      <c r="F2359" s="34" t="str">
        <f aca="false">'Uso e Consumo'!E2359</f>
        <v>SIFAO SANFONADO PVC BRANCO 1.1/2" X 50,00MM SAIDA ROSCAVEL PIA/TANQUE UN</v>
      </c>
      <c r="G2359" s="34" t="str">
        <f aca="false">'Uso e Consumo'!J2359</f>
        <v>UN</v>
      </c>
      <c r="H2359" s="49" t="n">
        <f aca="false">'Uso e Consumo'!F2359</f>
        <v>8</v>
      </c>
      <c r="I2359" s="35" t="n">
        <f aca="false">'Uso e Consumo'!G2359</f>
        <v>53.28</v>
      </c>
      <c r="J2359" s="34" t="str">
        <f aca="false">'Uso e Consumo'!M2359</f>
        <v>3.8.1.018 - Instalações hidráulicas/sanitárias/industriais</v>
      </c>
      <c r="K2359" s="32" t="str">
        <f aca="false">INDEX('Curva ABC'!$K$8:$K$2847,MATCH(D2359,'Curva ABC'!$B$8:$B$2847,0))</f>
        <v>C</v>
      </c>
    </row>
    <row r="2360" customFormat="false" ht="15" hidden="false" customHeight="false" outlineLevel="0" collapsed="false">
      <c r="A2360" s="34" t="s">
        <v>5799</v>
      </c>
      <c r="B2360" s="34" t="str">
        <f aca="false">'Uso e Consumo'!A2360</f>
        <v>0335</v>
      </c>
      <c r="C2360" s="34" t="str">
        <f aca="false">'Uso e Consumo'!B2360</f>
        <v>UFV NORONHA VERDE - USO E CONSUMO</v>
      </c>
      <c r="D2360" s="33" t="n">
        <f aca="false">'Uso e Consumo'!C2360</f>
        <v>1661538</v>
      </c>
      <c r="E2360" s="34" t="str">
        <f aca="false">'Uso e Consumo'!D2360</f>
        <v>17.02.0937</v>
      </c>
      <c r="F2360" s="34" t="str">
        <f aca="false">'Uso e Consumo'!E2360</f>
        <v>CURVA 90 ACO CARBONO GALVANIZADO, ROSCADA, DN 25 MM (3/4" BSP), TIPO PESADO</v>
      </c>
      <c r="G2360" s="34" t="str">
        <f aca="false">'Uso e Consumo'!J2360</f>
        <v>UN</v>
      </c>
      <c r="H2360" s="49" t="n">
        <f aca="false">'Uso e Consumo'!F2360</f>
        <v>4</v>
      </c>
      <c r="I2360" s="35" t="n">
        <f aca="false">'Uso e Consumo'!G2360</f>
        <v>53.2</v>
      </c>
      <c r="J2360" s="34" t="str">
        <f aca="false">'Uso e Consumo'!M2360</f>
        <v>3.8.1.017 - Instalações elétricas/telefônicas/lógica</v>
      </c>
      <c r="K2360" s="32" t="str">
        <f aca="false">INDEX('Curva ABC'!$K$8:$K$2847,MATCH(D2360,'Curva ABC'!$B$8:$B$2847,0))</f>
        <v>C</v>
      </c>
    </row>
    <row r="2361" customFormat="false" ht="15" hidden="false" customHeight="false" outlineLevel="0" collapsed="false">
      <c r="A2361" s="34" t="s">
        <v>5799</v>
      </c>
      <c r="B2361" s="34" t="str">
        <f aca="false">'Uso e Consumo'!A2361</f>
        <v>0335</v>
      </c>
      <c r="C2361" s="34" t="str">
        <f aca="false">'Uso e Consumo'!B2361</f>
        <v>UFV NORONHA VERDE - USO E CONSUMO</v>
      </c>
      <c r="D2361" s="33" t="n">
        <f aca="false">'Uso e Consumo'!C2361</f>
        <v>1094670</v>
      </c>
      <c r="E2361" s="34" t="str">
        <f aca="false">'Uso e Consumo'!D2361</f>
        <v>24.53.0002</v>
      </c>
      <c r="F2361" s="34" t="str">
        <f aca="false">'Uso e Consumo'!E2361</f>
        <v>GRAMPEADOR PROFISSIONAL 26/6 </v>
      </c>
      <c r="G2361" s="34" t="str">
        <f aca="false">'Uso e Consumo'!J2361</f>
        <v>UN</v>
      </c>
      <c r="H2361" s="49" t="n">
        <f aca="false">'Uso e Consumo'!F2361</f>
        <v>2</v>
      </c>
      <c r="I2361" s="35" t="n">
        <f aca="false">'Uso e Consumo'!G2361</f>
        <v>53.04</v>
      </c>
      <c r="J2361" s="34" t="str">
        <f aca="false">'Uso e Consumo'!M2361</f>
        <v>4.1.1.002 - Material expediente</v>
      </c>
      <c r="K2361" s="32" t="str">
        <f aca="false">INDEX('Curva ABC'!$K$8:$K$2847,MATCH(D2361,'Curva ABC'!$B$8:$B$2847,0))</f>
        <v>C</v>
      </c>
    </row>
    <row r="2362" customFormat="false" ht="15" hidden="false" customHeight="false" outlineLevel="0" collapsed="false">
      <c r="A2362" s="34" t="s">
        <v>5799</v>
      </c>
      <c r="B2362" s="34" t="str">
        <f aca="false">'Uso e Consumo'!A2362</f>
        <v>0335</v>
      </c>
      <c r="C2362" s="34" t="str">
        <f aca="false">'Uso e Consumo'!B2362</f>
        <v>UFV NORONHA VERDE - USO E CONSUMO</v>
      </c>
      <c r="D2362" s="33" t="n">
        <f aca="false">'Uso e Consumo'!C2362</f>
        <v>549259</v>
      </c>
      <c r="E2362" s="34" t="str">
        <f aca="false">'Uso e Consumo'!D2362</f>
        <v>17.11.1006</v>
      </c>
      <c r="F2362" s="34" t="str">
        <f aca="false">'Uso e Consumo'!E2362</f>
        <v>PLAFONIER 1 LÂMPADA BRANCO PLÁSTICO ECONOMIC - SOQUETE E27</v>
      </c>
      <c r="G2362" s="34" t="str">
        <f aca="false">'Uso e Consumo'!J2362</f>
        <v>UN</v>
      </c>
      <c r="H2362" s="49" t="n">
        <f aca="false">'Uso e Consumo'!F2362</f>
        <v>15</v>
      </c>
      <c r="I2362" s="35" t="n">
        <f aca="false">'Uso e Consumo'!G2362</f>
        <v>52.9042</v>
      </c>
      <c r="J2362" s="34" t="str">
        <f aca="false">'Uso e Consumo'!M2362</f>
        <v>3.8.1.017 - Instalações elétricas/telefônicas/lógica</v>
      </c>
      <c r="K2362" s="32" t="str">
        <f aca="false">INDEX('Curva ABC'!$K$8:$K$2847,MATCH(D2362,'Curva ABC'!$B$8:$B$2847,0))</f>
        <v>C</v>
      </c>
    </row>
    <row r="2363" customFormat="false" ht="15" hidden="false" customHeight="false" outlineLevel="0" collapsed="false">
      <c r="A2363" s="34" t="s">
        <v>5799</v>
      </c>
      <c r="B2363" s="34" t="str">
        <f aca="false">'Uso e Consumo'!A2363</f>
        <v>0335</v>
      </c>
      <c r="C2363" s="34" t="str">
        <f aca="false">'Uso e Consumo'!B2363</f>
        <v>UFV NORONHA VERDE - USO E CONSUMO</v>
      </c>
      <c r="D2363" s="33" t="n">
        <f aca="false">'Uso e Consumo'!C2363</f>
        <v>57517</v>
      </c>
      <c r="E2363" s="34" t="str">
        <f aca="false">'Uso e Consumo'!D2363</f>
        <v>23.07.0937</v>
      </c>
      <c r="F2363" s="34" t="str">
        <f aca="false">'Uso e Consumo'!E2363</f>
        <v>PARAFUSO CABEÇA LENTILHA 1/4" X 5/8"</v>
      </c>
      <c r="G2363" s="34" t="str">
        <f aca="false">'Uso e Consumo'!J2363</f>
        <v>UN</v>
      </c>
      <c r="H2363" s="49" t="n">
        <f aca="false">'Uso e Consumo'!F2363</f>
        <v>202</v>
      </c>
      <c r="I2363" s="35" t="n">
        <f aca="false">'Uso e Consumo'!G2363</f>
        <v>52.52</v>
      </c>
      <c r="J2363" s="34" t="str">
        <f aca="false">'Uso e Consumo'!M2363</f>
        <v>3.8.1.022 - Elementos de fixação</v>
      </c>
      <c r="K2363" s="32" t="str">
        <f aca="false">INDEX('Curva ABC'!$K$8:$K$2847,MATCH(D2363,'Curva ABC'!$B$8:$B$2847,0))</f>
        <v>C</v>
      </c>
    </row>
    <row r="2364" customFormat="false" ht="15" hidden="false" customHeight="false" outlineLevel="0" collapsed="false">
      <c r="A2364" s="34" t="s">
        <v>5799</v>
      </c>
      <c r="B2364" s="34" t="str">
        <f aca="false">'Uso e Consumo'!A2364</f>
        <v>0335</v>
      </c>
      <c r="C2364" s="34" t="str">
        <f aca="false">'Uso e Consumo'!B2364</f>
        <v>UFV NORONHA VERDE - USO E CONSUMO</v>
      </c>
      <c r="D2364" s="33" t="n">
        <f aca="false">'Uso e Consumo'!C2364</f>
        <v>1321362</v>
      </c>
      <c r="E2364" s="34" t="str">
        <f aca="false">'Uso e Consumo'!D2364</f>
        <v>17.16.0659</v>
      </c>
      <c r="F2364" s="34" t="str">
        <f aca="false">'Uso e Consumo'!E2364</f>
        <v>TERMINAL ILHÓS DUPLO PRÉ-ISOLADO 4MM²</v>
      </c>
      <c r="G2364" s="34" t="str">
        <f aca="false">'Uso e Consumo'!J2364</f>
        <v>UN</v>
      </c>
      <c r="H2364" s="49" t="n">
        <f aca="false">'Uso e Consumo'!F2364</f>
        <v>200</v>
      </c>
      <c r="I2364" s="35" t="n">
        <f aca="false">'Uso e Consumo'!G2364</f>
        <v>52</v>
      </c>
      <c r="J2364" s="34" t="str">
        <f aca="false">'Uso e Consumo'!M2364</f>
        <v>3.8.1.017 - Instalações elétricas/telefônicas/lógica</v>
      </c>
      <c r="K2364" s="32" t="str">
        <f aca="false">INDEX('Curva ABC'!$K$8:$K$2847,MATCH(D2364,'Curva ABC'!$B$8:$B$2847,0))</f>
        <v>C</v>
      </c>
    </row>
    <row r="2365" customFormat="false" ht="15" hidden="false" customHeight="false" outlineLevel="0" collapsed="false">
      <c r="A2365" s="34" t="s">
        <v>5799</v>
      </c>
      <c r="B2365" s="34" t="str">
        <f aca="false">'Uso e Consumo'!A2365</f>
        <v>0335</v>
      </c>
      <c r="C2365" s="34" t="str">
        <f aca="false">'Uso e Consumo'!B2365</f>
        <v>UFV NORONHA VERDE - USO E CONSUMO</v>
      </c>
      <c r="D2365" s="33" t="n">
        <f aca="false">'Uso e Consumo'!C2365</f>
        <v>12600</v>
      </c>
      <c r="E2365" s="34" t="str">
        <f aca="false">'Uso e Consumo'!D2365</f>
        <v>17.02.0100</v>
      </c>
      <c r="F2365" s="34" t="str">
        <f aca="false">'Uso e Consumo'!E2365</f>
        <v>CURVA 90GR ELETRODUTO ALUMÍNIO BSP 3/4" X 26,90MM</v>
      </c>
      <c r="G2365" s="34" t="str">
        <f aca="false">'Uso e Consumo'!J2365</f>
        <v>UN</v>
      </c>
      <c r="H2365" s="49" t="n">
        <f aca="false">'Uso e Consumo'!F2365</f>
        <v>4</v>
      </c>
      <c r="I2365" s="35" t="n">
        <f aca="false">'Uso e Consumo'!G2365</f>
        <v>51.92</v>
      </c>
      <c r="J2365" s="34" t="str">
        <f aca="false">'Uso e Consumo'!M2365</f>
        <v>3.8.1.017 - Instalações elétricas/telefônicas/lógica</v>
      </c>
      <c r="K2365" s="32" t="str">
        <f aca="false">INDEX('Curva ABC'!$K$8:$K$2847,MATCH(D2365,'Curva ABC'!$B$8:$B$2847,0))</f>
        <v>C</v>
      </c>
    </row>
    <row r="2366" customFormat="false" ht="15" hidden="false" customHeight="false" outlineLevel="0" collapsed="false">
      <c r="A2366" s="34" t="s">
        <v>5799</v>
      </c>
      <c r="B2366" s="34" t="str">
        <f aca="false">'Uso e Consumo'!A2366</f>
        <v>0335</v>
      </c>
      <c r="C2366" s="34" t="str">
        <f aca="false">'Uso e Consumo'!B2366</f>
        <v>UFV NORONHA VERDE - USO E CONSUMO</v>
      </c>
      <c r="D2366" s="33" t="n">
        <f aca="false">'Uso e Consumo'!C2366</f>
        <v>220887</v>
      </c>
      <c r="E2366" s="34" t="str">
        <f aca="false">'Uso e Consumo'!D2366</f>
        <v>17.16.0205</v>
      </c>
      <c r="F2366" s="34" t="str">
        <f aca="false">'Uso e Consumo'!E2366</f>
        <v>CONECTOR P/ HASTE ATERRAMENTO1/2" TIPO GRAMPO</v>
      </c>
      <c r="G2366" s="34" t="str">
        <f aca="false">'Uso e Consumo'!J2366</f>
        <v>UN</v>
      </c>
      <c r="H2366" s="49" t="n">
        <f aca="false">'Uso e Consumo'!F2366</f>
        <v>4</v>
      </c>
      <c r="I2366" s="35" t="n">
        <f aca="false">'Uso e Consumo'!G2366</f>
        <v>51.92</v>
      </c>
      <c r="J2366" s="34" t="str">
        <f aca="false">'Uso e Consumo'!M2366</f>
        <v>3.8.1.017 - Instalações elétricas/telefônicas/lógica</v>
      </c>
      <c r="K2366" s="32" t="str">
        <f aca="false">INDEX('Curva ABC'!$K$8:$K$2847,MATCH(D2366,'Curva ABC'!$B$8:$B$2847,0))</f>
        <v>C</v>
      </c>
    </row>
    <row r="2367" customFormat="false" ht="15" hidden="false" customHeight="false" outlineLevel="0" collapsed="false">
      <c r="A2367" s="34" t="s">
        <v>5799</v>
      </c>
      <c r="B2367" s="34" t="str">
        <f aca="false">'Uso e Consumo'!A2367</f>
        <v>0335</v>
      </c>
      <c r="C2367" s="34" t="str">
        <f aca="false">'Uso e Consumo'!B2367</f>
        <v>UFV NORONHA VERDE - USO E CONSUMO</v>
      </c>
      <c r="D2367" s="33" t="n">
        <f aca="false">'Uso e Consumo'!C2367</f>
        <v>316121</v>
      </c>
      <c r="E2367" s="34" t="str">
        <f aca="false">'Uso e Consumo'!D2367</f>
        <v>18.03.0159</v>
      </c>
      <c r="F2367" s="34" t="str">
        <f aca="false">'Uso e Consumo'!E2367</f>
        <v>CURVA 90GR PVC PRETO C/ROSCA 3/4" P/ ELETRODUTO CONDULETE NBR 15465</v>
      </c>
      <c r="G2367" s="34" t="str">
        <f aca="false">'Uso e Consumo'!J2367</f>
        <v>UN</v>
      </c>
      <c r="H2367" s="49" t="n">
        <f aca="false">'Uso e Consumo'!F2367</f>
        <v>4</v>
      </c>
      <c r="I2367" s="35" t="n">
        <f aca="false">'Uso e Consumo'!G2367</f>
        <v>51.92</v>
      </c>
      <c r="J2367" s="34" t="str">
        <f aca="false">'Uso e Consumo'!M2367</f>
        <v>3.8.1.018 - Instalações hidráulicas/sanitárias/industriais</v>
      </c>
      <c r="K2367" s="32" t="str">
        <f aca="false">INDEX('Curva ABC'!$K$8:$K$2847,MATCH(D2367,'Curva ABC'!$B$8:$B$2847,0))</f>
        <v>C</v>
      </c>
    </row>
    <row r="2368" customFormat="false" ht="15" hidden="false" customHeight="false" outlineLevel="0" collapsed="false">
      <c r="A2368" s="34" t="s">
        <v>5799</v>
      </c>
      <c r="B2368" s="34" t="str">
        <f aca="false">'Uso e Consumo'!A2368</f>
        <v>0335</v>
      </c>
      <c r="C2368" s="34" t="str">
        <f aca="false">'Uso e Consumo'!B2368</f>
        <v>UFV NORONHA VERDE - USO E CONSUMO</v>
      </c>
      <c r="D2368" s="33" t="n">
        <f aca="false">'Uso e Consumo'!C2368</f>
        <v>32187</v>
      </c>
      <c r="E2368" s="34" t="str">
        <f aca="false">'Uso e Consumo'!D2368</f>
        <v>18.10.0067</v>
      </c>
      <c r="F2368" s="34" t="str">
        <f aca="false">'Uso e Consumo'!E2368</f>
        <v>ADESIVO PLÁSTICO TUBOS / CONEXOES PVC RIGIDO 175 G</v>
      </c>
      <c r="G2368" s="34" t="str">
        <f aca="false">'Uso e Consumo'!J2368</f>
        <v>FR</v>
      </c>
      <c r="H2368" s="49" t="n">
        <f aca="false">'Uso e Consumo'!F2368</f>
        <v>3</v>
      </c>
      <c r="I2368" s="35" t="n">
        <f aca="false">'Uso e Consumo'!G2368</f>
        <v>51.28</v>
      </c>
      <c r="J2368" s="34" t="str">
        <f aca="false">'Uso e Consumo'!M2368</f>
        <v>3.8.1.018 - Instalações hidráulicas/sanitárias/industriais</v>
      </c>
      <c r="K2368" s="32" t="str">
        <f aca="false">INDEX('Curva ABC'!$K$8:$K$2847,MATCH(D2368,'Curva ABC'!$B$8:$B$2847,0))</f>
        <v>C</v>
      </c>
    </row>
    <row r="2369" customFormat="false" ht="15" hidden="false" customHeight="false" outlineLevel="0" collapsed="false">
      <c r="A2369" s="34" t="s">
        <v>5799</v>
      </c>
      <c r="B2369" s="34" t="str">
        <f aca="false">'Uso e Consumo'!A2369</f>
        <v>0335</v>
      </c>
      <c r="C2369" s="34" t="str">
        <f aca="false">'Uso e Consumo'!B2369</f>
        <v>UFV NORONHA VERDE - USO E CONSUMO</v>
      </c>
      <c r="D2369" s="33" t="n">
        <f aca="false">'Uso e Consumo'!C2369</f>
        <v>281821</v>
      </c>
      <c r="E2369" s="34" t="str">
        <f aca="false">'Uso e Consumo'!D2369</f>
        <v>23.06.0195</v>
      </c>
      <c r="F2369" s="34" t="str">
        <f aca="false">'Uso e Consumo'!E2369</f>
        <v>PORCA QUADRADA M16</v>
      </c>
      <c r="G2369" s="34" t="str">
        <f aca="false">'Uso e Consumo'!J2369</f>
        <v>UN</v>
      </c>
      <c r="H2369" s="49" t="n">
        <f aca="false">'Uso e Consumo'!F2369</f>
        <v>16</v>
      </c>
      <c r="I2369" s="35" t="n">
        <f aca="false">'Uso e Consumo'!G2369</f>
        <v>51.06</v>
      </c>
      <c r="J2369" s="34" t="str">
        <f aca="false">'Uso e Consumo'!M2369</f>
        <v>3.8.1.022 - Elementos de fixação</v>
      </c>
      <c r="K2369" s="32" t="str">
        <f aca="false">INDEX('Curva ABC'!$K$8:$K$2847,MATCH(D2369,'Curva ABC'!$B$8:$B$2847,0))</f>
        <v>C</v>
      </c>
    </row>
    <row r="2370" customFormat="false" ht="15" hidden="false" customHeight="false" outlineLevel="0" collapsed="false">
      <c r="A2370" s="34" t="s">
        <v>5799</v>
      </c>
      <c r="B2370" s="34" t="str">
        <f aca="false">'Uso e Consumo'!A2370</f>
        <v>0335</v>
      </c>
      <c r="C2370" s="34" t="str">
        <f aca="false">'Uso e Consumo'!B2370</f>
        <v>UFV NORONHA VERDE - USO E CONSUMO</v>
      </c>
      <c r="D2370" s="33" t="n">
        <f aca="false">'Uso e Consumo'!C2370</f>
        <v>937217</v>
      </c>
      <c r="E2370" s="34" t="str">
        <f aca="false">'Uso e Consumo'!D2370</f>
        <v>17.16.0527</v>
      </c>
      <c r="F2370" s="34" t="str">
        <f aca="false">'Uso e Consumo'!E2370</f>
        <v>TERMINAL TIPO PINO PRE-ISOLADO 10MM²</v>
      </c>
      <c r="G2370" s="34" t="str">
        <f aca="false">'Uso e Consumo'!J2370</f>
        <v>UN</v>
      </c>
      <c r="H2370" s="49" t="n">
        <f aca="false">'Uso e Consumo'!F2370</f>
        <v>50</v>
      </c>
      <c r="I2370" s="35" t="n">
        <f aca="false">'Uso e Consumo'!G2370</f>
        <v>51</v>
      </c>
      <c r="J2370" s="34" t="str">
        <f aca="false">'Uso e Consumo'!M2370</f>
        <v>3.8.1.017 - Instalações elétricas/telefônicas/lógica</v>
      </c>
      <c r="K2370" s="32" t="str">
        <f aca="false">INDEX('Curva ABC'!$K$8:$K$2847,MATCH(D2370,'Curva ABC'!$B$8:$B$2847,0))</f>
        <v>C</v>
      </c>
    </row>
    <row r="2371" customFormat="false" ht="15" hidden="false" customHeight="false" outlineLevel="0" collapsed="false">
      <c r="A2371" s="34" t="s">
        <v>5799</v>
      </c>
      <c r="B2371" s="34" t="str">
        <f aca="false">'Uso e Consumo'!A2371</f>
        <v>0335</v>
      </c>
      <c r="C2371" s="34" t="str">
        <f aca="false">'Uso e Consumo'!B2371</f>
        <v>UFV NORONHA VERDE - USO E CONSUMO</v>
      </c>
      <c r="D2371" s="33" t="n">
        <f aca="false">'Uso e Consumo'!C2371</f>
        <v>1385802</v>
      </c>
      <c r="E2371" s="34" t="str">
        <f aca="false">'Uso e Consumo'!D2371</f>
        <v>17.13.0021</v>
      </c>
      <c r="F2371" s="34" t="str">
        <f aca="false">'Uso e Consumo'!E2371</f>
        <v>RELÉ FOTOELÉTRICO 220V, 1000W, NF, PARA ILUMINAÇÃO, EXTERNO</v>
      </c>
      <c r="G2371" s="34" t="str">
        <f aca="false">'Uso e Consumo'!J2371</f>
        <v>UN</v>
      </c>
      <c r="H2371" s="49" t="n">
        <f aca="false">'Uso e Consumo'!F2371</f>
        <v>3</v>
      </c>
      <c r="I2371" s="35" t="n">
        <f aca="false">'Uso e Consumo'!G2371</f>
        <v>50.95</v>
      </c>
      <c r="J2371" s="34" t="str">
        <f aca="false">'Uso e Consumo'!M2371</f>
        <v>3.8.1.017 - Instalações elétricas/telefônicas/lógica</v>
      </c>
      <c r="K2371" s="32" t="str">
        <f aca="false">INDEX('Curva ABC'!$K$8:$K$2847,MATCH(D2371,'Curva ABC'!$B$8:$B$2847,0))</f>
        <v>C</v>
      </c>
    </row>
    <row r="2372" customFormat="false" ht="15" hidden="false" customHeight="false" outlineLevel="0" collapsed="false">
      <c r="A2372" s="34" t="s">
        <v>5799</v>
      </c>
      <c r="B2372" s="34" t="str">
        <f aca="false">'Uso e Consumo'!A2372</f>
        <v>0335</v>
      </c>
      <c r="C2372" s="34" t="str">
        <f aca="false">'Uso e Consumo'!B2372</f>
        <v>UFV NORONHA VERDE - USO E CONSUMO</v>
      </c>
      <c r="D2372" s="33" t="n">
        <f aca="false">'Uso e Consumo'!C2372</f>
        <v>287892</v>
      </c>
      <c r="E2372" s="34" t="str">
        <f aca="false">'Uso e Consumo'!D2372</f>
        <v>17.12.0375</v>
      </c>
      <c r="F2372" s="34" t="str">
        <f aca="false">'Uso e Consumo'!E2372</f>
        <v>INTERRUPTOR 02 TECLAS SIMPLES</v>
      </c>
      <c r="G2372" s="34" t="str">
        <f aca="false">'Uso e Consumo'!J2372</f>
        <v>UN</v>
      </c>
      <c r="H2372" s="49" t="n">
        <f aca="false">'Uso e Consumo'!F2372</f>
        <v>2</v>
      </c>
      <c r="I2372" s="35" t="n">
        <f aca="false">'Uso e Consumo'!G2372</f>
        <v>50.88</v>
      </c>
      <c r="J2372" s="34" t="str">
        <f aca="false">'Uso e Consumo'!M2372</f>
        <v>3.8.1.017 - Instalações elétricas/telefônicas/lógica</v>
      </c>
      <c r="K2372" s="32" t="str">
        <f aca="false">INDEX('Curva ABC'!$K$8:$K$2847,MATCH(D2372,'Curva ABC'!$B$8:$B$2847,0))</f>
        <v>C</v>
      </c>
    </row>
    <row r="2373" customFormat="false" ht="32.8" hidden="false" customHeight="false" outlineLevel="0" collapsed="false">
      <c r="A2373" s="34" t="s">
        <v>5799</v>
      </c>
      <c r="B2373" s="34" t="str">
        <f aca="false">'Uso e Consumo'!A2373</f>
        <v>0335</v>
      </c>
      <c r="C2373" s="34" t="str">
        <f aca="false">'Uso e Consumo'!B2373</f>
        <v>UFV NORONHA VERDE - USO E CONSUMO</v>
      </c>
      <c r="D2373" s="33" t="n">
        <f aca="false">'Uso e Consumo'!C2373</f>
        <v>1598223</v>
      </c>
      <c r="E2373" s="34" t="str">
        <f aca="false">'Uso e Consumo'!D2373</f>
        <v>36.04.0012</v>
      </c>
      <c r="F2373" s="50" t="str">
        <f aca="false">'Uso e Consumo'!E2373</f>
        <v>FITA MICROPORE ADESIVA HIPOALERGÊNICA 5 MM X 10 M
</v>
      </c>
      <c r="G2373" s="34" t="str">
        <f aca="false">'Uso e Consumo'!J2373</f>
        <v>UN</v>
      </c>
      <c r="H2373" s="49" t="n">
        <f aca="false">'Uso e Consumo'!F2373</f>
        <v>3</v>
      </c>
      <c r="I2373" s="35" t="n">
        <f aca="false">'Uso e Consumo'!G2373</f>
        <v>50.7</v>
      </c>
      <c r="J2373" s="34" t="str">
        <f aca="false">'Uso e Consumo'!M2373</f>
        <v>4.3.4.006 - Medicamentos e primeiro socorros</v>
      </c>
      <c r="K2373" s="32" t="str">
        <f aca="false">INDEX('Curva ABC'!$K$8:$K$2847,MATCH(D2373,'Curva ABC'!$B$8:$B$2847,0))</f>
        <v>C</v>
      </c>
    </row>
    <row r="2374" customFormat="false" ht="15" hidden="false" customHeight="false" outlineLevel="0" collapsed="false">
      <c r="A2374" s="34" t="s">
        <v>5799</v>
      </c>
      <c r="B2374" s="34" t="str">
        <f aca="false">'Uso e Consumo'!A2374</f>
        <v>0335</v>
      </c>
      <c r="C2374" s="34" t="str">
        <f aca="false">'Uso e Consumo'!B2374</f>
        <v>UFV NORONHA VERDE - USO E CONSUMO</v>
      </c>
      <c r="D2374" s="33" t="n">
        <f aca="false">'Uso e Consumo'!C2374</f>
        <v>879056</v>
      </c>
      <c r="E2374" s="34" t="str">
        <f aca="false">'Uso e Consumo'!D2374</f>
        <v>27.01.0431</v>
      </c>
      <c r="F2374" s="34" t="str">
        <f aca="false">'Uso e Consumo'!E2374</f>
        <v>FIO DE SUTURA NYLON 0,3</v>
      </c>
      <c r="G2374" s="34" t="str">
        <f aca="false">'Uso e Consumo'!J2374</f>
        <v>UN</v>
      </c>
      <c r="H2374" s="49" t="n">
        <f aca="false">'Uso e Consumo'!F2374</f>
        <v>10</v>
      </c>
      <c r="I2374" s="35" t="n">
        <f aca="false">'Uso e Consumo'!G2374</f>
        <v>50</v>
      </c>
      <c r="J2374" s="34" t="str">
        <f aca="false">'Uso e Consumo'!M2374</f>
        <v>4.3.4.006 - Medicamentos e primeiro socorros</v>
      </c>
      <c r="K2374" s="32" t="str">
        <f aca="false">INDEX('Curva ABC'!$K$8:$K$2847,MATCH(D2374,'Curva ABC'!$B$8:$B$2847,0))</f>
        <v>C</v>
      </c>
    </row>
    <row r="2375" customFormat="false" ht="15" hidden="false" customHeight="false" outlineLevel="0" collapsed="false">
      <c r="A2375" s="34" t="s">
        <v>5799</v>
      </c>
      <c r="B2375" s="34" t="str">
        <f aca="false">'Uso e Consumo'!A2375</f>
        <v>0335</v>
      </c>
      <c r="C2375" s="34" t="str">
        <f aca="false">'Uso e Consumo'!B2375</f>
        <v>UFV NORONHA VERDE - USO E CONSUMO</v>
      </c>
      <c r="D2375" s="33" t="n">
        <f aca="false">'Uso e Consumo'!C2375</f>
        <v>223526</v>
      </c>
      <c r="E2375" s="34" t="str">
        <f aca="false">'Uso e Consumo'!D2375</f>
        <v>27.01.0194</v>
      </c>
      <c r="F2375" s="34" t="str">
        <f aca="false">'Uso e Consumo'!E2375</f>
        <v>SULFADIAZINA DE PRATA</v>
      </c>
      <c r="G2375" s="34" t="str">
        <f aca="false">'Uso e Consumo'!J2375</f>
        <v>TB</v>
      </c>
      <c r="H2375" s="49" t="n">
        <f aca="false">'Uso e Consumo'!F2375</f>
        <v>2</v>
      </c>
      <c r="I2375" s="35" t="n">
        <f aca="false">'Uso e Consumo'!G2375</f>
        <v>49.98</v>
      </c>
      <c r="J2375" s="34" t="str">
        <f aca="false">'Uso e Consumo'!M2375</f>
        <v>4.3.4.006 - Medicamentos e primeiro socorros</v>
      </c>
      <c r="K2375" s="32" t="str">
        <f aca="false">INDEX('Curva ABC'!$K$8:$K$2847,MATCH(D2375,'Curva ABC'!$B$8:$B$2847,0))</f>
        <v>C</v>
      </c>
    </row>
    <row r="2376" customFormat="false" ht="15" hidden="false" customHeight="false" outlineLevel="0" collapsed="false">
      <c r="A2376" s="34" t="s">
        <v>5799</v>
      </c>
      <c r="B2376" s="34" t="str">
        <f aca="false">'Uso e Consumo'!A2376</f>
        <v>0335</v>
      </c>
      <c r="C2376" s="34" t="str">
        <f aca="false">'Uso e Consumo'!B2376</f>
        <v>UFV NORONHA VERDE - USO E CONSUMO</v>
      </c>
      <c r="D2376" s="33" t="n">
        <f aca="false">'Uso e Consumo'!C2376</f>
        <v>16375</v>
      </c>
      <c r="E2376" s="34" t="str">
        <f aca="false">'Uso e Consumo'!D2376</f>
        <v>19.08.0013</v>
      </c>
      <c r="F2376" s="34" t="str">
        <f aca="false">'Uso e Consumo'!E2376</f>
        <v>TORNEIRA JARDIM COBRE CROMADO 1/2" REF 1130 FIESTA DOCOL NBR 10283</v>
      </c>
      <c r="G2376" s="34" t="str">
        <f aca="false">'Uso e Consumo'!J2376</f>
        <v>UN</v>
      </c>
      <c r="H2376" s="49" t="n">
        <f aca="false">'Uso e Consumo'!F2376</f>
        <v>5</v>
      </c>
      <c r="I2376" s="35" t="n">
        <f aca="false">'Uso e Consumo'!G2376</f>
        <v>49.9</v>
      </c>
      <c r="J2376" s="34" t="str">
        <f aca="false">'Uso e Consumo'!M2376</f>
        <v>3.8.1.018 - Instalações hidráulicas/sanitárias/industriais</v>
      </c>
      <c r="K2376" s="32" t="str">
        <f aca="false">INDEX('Curva ABC'!$K$8:$K$2847,MATCH(D2376,'Curva ABC'!$B$8:$B$2847,0))</f>
        <v>C</v>
      </c>
    </row>
    <row r="2377" customFormat="false" ht="15" hidden="false" customHeight="false" outlineLevel="0" collapsed="false">
      <c r="A2377" s="34" t="s">
        <v>5799</v>
      </c>
      <c r="B2377" s="34" t="str">
        <f aca="false">'Uso e Consumo'!A2377</f>
        <v>0335</v>
      </c>
      <c r="C2377" s="34" t="str">
        <f aca="false">'Uso e Consumo'!B2377</f>
        <v>UFV NORONHA VERDE - USO E CONSUMO</v>
      </c>
      <c r="D2377" s="33" t="n">
        <f aca="false">'Uso e Consumo'!C2377</f>
        <v>16924</v>
      </c>
      <c r="E2377" s="34" t="str">
        <f aca="false">'Uso e Consumo'!D2377</f>
        <v>23.06.0005</v>
      </c>
      <c r="F2377" s="34" t="str">
        <f aca="false">'Uso e Consumo'!E2377</f>
        <v>PORCA SEXTAVADA AÇO CARBONO GRAU 2/CLASSE 6 UNC 1/2" 13 FIOS ANSI/ASME B18.2.2 GALVANIZADO A FOGO</v>
      </c>
      <c r="G2377" s="34" t="str">
        <f aca="false">'Uso e Consumo'!J2377</f>
        <v>UN</v>
      </c>
      <c r="H2377" s="49" t="n">
        <f aca="false">'Uso e Consumo'!F2377</f>
        <v>20</v>
      </c>
      <c r="I2377" s="35" t="n">
        <f aca="false">'Uso e Consumo'!G2377</f>
        <v>49.6</v>
      </c>
      <c r="J2377" s="34" t="str">
        <f aca="false">'Uso e Consumo'!M2377</f>
        <v>3.8.1.022 - Elementos de fixação</v>
      </c>
      <c r="K2377" s="32" t="str">
        <f aca="false">INDEX('Curva ABC'!$K$8:$K$2847,MATCH(D2377,'Curva ABC'!$B$8:$B$2847,0))</f>
        <v>C</v>
      </c>
    </row>
    <row r="2378" customFormat="false" ht="15" hidden="false" customHeight="false" outlineLevel="0" collapsed="false">
      <c r="A2378" s="34" t="s">
        <v>5799</v>
      </c>
      <c r="B2378" s="34" t="str">
        <f aca="false">'Uso e Consumo'!A2378</f>
        <v>0335</v>
      </c>
      <c r="C2378" s="34" t="str">
        <f aca="false">'Uso e Consumo'!B2378</f>
        <v>UFV NORONHA VERDE - USO E CONSUMO</v>
      </c>
      <c r="D2378" s="33" t="n">
        <f aca="false">'Uso e Consumo'!C2378</f>
        <v>840035</v>
      </c>
      <c r="E2378" s="34" t="str">
        <f aca="false">'Uso e Consumo'!D2378</f>
        <v>18.01.1274</v>
      </c>
      <c r="F2378" s="34" t="str">
        <f aca="false">'Uso e Consumo'!E2378</f>
        <v>TUBO SOLDÁVEL MARROM 32MM</v>
      </c>
      <c r="G2378" s="34" t="str">
        <f aca="false">'Uso e Consumo'!J2378</f>
        <v>M</v>
      </c>
      <c r="H2378" s="49" t="n">
        <f aca="false">'Uso e Consumo'!F2378</f>
        <v>1</v>
      </c>
      <c r="I2378" s="35" t="n">
        <f aca="false">'Uso e Consumo'!G2378</f>
        <v>49.57</v>
      </c>
      <c r="J2378" s="34" t="str">
        <f aca="false">'Uso e Consumo'!M2378</f>
        <v>3.8.1.018 - Instalações hidráulicas/sanitárias/industriais</v>
      </c>
      <c r="K2378" s="32" t="str">
        <f aca="false">INDEX('Curva ABC'!$K$8:$K$2847,MATCH(D2378,'Curva ABC'!$B$8:$B$2847,0))</f>
        <v>C</v>
      </c>
    </row>
    <row r="2379" customFormat="false" ht="15" hidden="false" customHeight="false" outlineLevel="0" collapsed="false">
      <c r="A2379" s="34" t="s">
        <v>5799</v>
      </c>
      <c r="B2379" s="34" t="str">
        <f aca="false">'Uso e Consumo'!A2379</f>
        <v>0335</v>
      </c>
      <c r="C2379" s="34" t="str">
        <f aca="false">'Uso e Consumo'!B2379</f>
        <v>UFV NORONHA VERDE - USO E CONSUMO</v>
      </c>
      <c r="D2379" s="33" t="n">
        <f aca="false">'Uso e Consumo'!C2379</f>
        <v>1067636</v>
      </c>
      <c r="E2379" s="34" t="str">
        <f aca="false">'Uso e Consumo'!D2379</f>
        <v>17.16.0578</v>
      </c>
      <c r="F2379" s="34" t="str">
        <f aca="false">'Uso e Consumo'!E2379</f>
        <v>TERMINAL OLHAL, SEÇÃO 35MM²</v>
      </c>
      <c r="G2379" s="34" t="str">
        <f aca="false">'Uso e Consumo'!J2379</f>
        <v>UN</v>
      </c>
      <c r="H2379" s="49" t="n">
        <f aca="false">'Uso e Consumo'!F2379</f>
        <v>20</v>
      </c>
      <c r="I2379" s="35" t="n">
        <f aca="false">'Uso e Consumo'!G2379</f>
        <v>49.4</v>
      </c>
      <c r="J2379" s="34" t="str">
        <f aca="false">'Uso e Consumo'!M2379</f>
        <v>3.8.1.017 - Instalações elétricas/telefônicas/lógica</v>
      </c>
      <c r="K2379" s="32" t="str">
        <f aca="false">INDEX('Curva ABC'!$K$8:$K$2847,MATCH(D2379,'Curva ABC'!$B$8:$B$2847,0))</f>
        <v>C</v>
      </c>
    </row>
    <row r="2380" customFormat="false" ht="15" hidden="false" customHeight="false" outlineLevel="0" collapsed="false">
      <c r="A2380" s="34" t="s">
        <v>5799</v>
      </c>
      <c r="B2380" s="34" t="str">
        <f aca="false">'Uso e Consumo'!A2380</f>
        <v>0335</v>
      </c>
      <c r="C2380" s="34" t="str">
        <f aca="false">'Uso e Consumo'!B2380</f>
        <v>UFV NORONHA VERDE - USO E CONSUMO</v>
      </c>
      <c r="D2380" s="33" t="n">
        <f aca="false">'Uso e Consumo'!C2380</f>
        <v>1190684</v>
      </c>
      <c r="E2380" s="34" t="str">
        <f aca="false">'Uso e Consumo'!D2380</f>
        <v>07.01.0020</v>
      </c>
      <c r="F2380" s="34" t="str">
        <f aca="false">'Uso e Consumo'!E2380</f>
        <v>ARGAMASSA AC3 PARA ASSENTAMENTO</v>
      </c>
      <c r="G2380" s="34" t="str">
        <f aca="false">'Uso e Consumo'!J2380</f>
        <v>KG</v>
      </c>
      <c r="H2380" s="49" t="n">
        <f aca="false">'Uso e Consumo'!F2380</f>
        <v>30</v>
      </c>
      <c r="I2380" s="35" t="n">
        <f aca="false">'Uso e Consumo'!G2380</f>
        <v>49.181</v>
      </c>
      <c r="J2380" s="34" t="str">
        <f aca="false">'Uso e Consumo'!M2380</f>
        <v>3.8.1.007 - Argamassas</v>
      </c>
      <c r="K2380" s="32" t="str">
        <f aca="false">INDEX('Curva ABC'!$K$8:$K$2847,MATCH(D2380,'Curva ABC'!$B$8:$B$2847,0))</f>
        <v>C</v>
      </c>
    </row>
    <row r="2381" customFormat="false" ht="15" hidden="false" customHeight="false" outlineLevel="0" collapsed="false">
      <c r="A2381" s="34" t="s">
        <v>5799</v>
      </c>
      <c r="B2381" s="34" t="str">
        <f aca="false">'Uso e Consumo'!A2381</f>
        <v>0335</v>
      </c>
      <c r="C2381" s="34" t="str">
        <f aca="false">'Uso e Consumo'!B2381</f>
        <v>UFV NORONHA VERDE - USO E CONSUMO</v>
      </c>
      <c r="D2381" s="33" t="n">
        <f aca="false">'Uso e Consumo'!C2381</f>
        <v>17963</v>
      </c>
      <c r="E2381" s="34" t="str">
        <f aca="false">'Uso e Consumo'!D2381</f>
        <v>24.09.0057</v>
      </c>
      <c r="F2381" s="34" t="str">
        <f aca="false">'Uso e Consumo'!E2381</f>
        <v>CHAVE ESTRELA 10,00MM X 11,00MM AÇO CARBONO CROMADO</v>
      </c>
      <c r="G2381" s="34" t="str">
        <f aca="false">'Uso e Consumo'!J2381</f>
        <v>UN</v>
      </c>
      <c r="H2381" s="49" t="n">
        <f aca="false">'Uso e Consumo'!F2381</f>
        <v>5</v>
      </c>
      <c r="I2381" s="35" t="n">
        <f aca="false">'Uso e Consumo'!G2381</f>
        <v>49</v>
      </c>
      <c r="J2381" s="34" t="str">
        <f aca="false">'Uso e Consumo'!M2381</f>
        <v>3.8.2.002 - Ferramentas manuais</v>
      </c>
      <c r="K2381" s="32" t="str">
        <f aca="false">INDEX('Curva ABC'!$K$8:$K$2847,MATCH(D2381,'Curva ABC'!$B$8:$B$2847,0))</f>
        <v>C</v>
      </c>
    </row>
    <row r="2382" customFormat="false" ht="15" hidden="false" customHeight="false" outlineLevel="0" collapsed="false">
      <c r="A2382" s="34" t="s">
        <v>5799</v>
      </c>
      <c r="B2382" s="34" t="str">
        <f aca="false">'Uso e Consumo'!A2382</f>
        <v>0335</v>
      </c>
      <c r="C2382" s="34" t="str">
        <f aca="false">'Uso e Consumo'!B2382</f>
        <v>UFV NORONHA VERDE - USO E CONSUMO</v>
      </c>
      <c r="D2382" s="33" t="n">
        <f aca="false">'Uso e Consumo'!C2382</f>
        <v>34134</v>
      </c>
      <c r="E2382" s="34" t="str">
        <f aca="false">'Uso e Consumo'!D2382</f>
        <v>23.12.0034</v>
      </c>
      <c r="F2382" s="34" t="str">
        <f aca="false">'Uso e Consumo'!E2382</f>
        <v>REBITE ALUMINIO NATURAL  1/8”X12,00MM</v>
      </c>
      <c r="G2382" s="34" t="str">
        <f aca="false">'Uso e Consumo'!J2382</f>
        <v>UN</v>
      </c>
      <c r="H2382" s="49" t="n">
        <f aca="false">'Uso e Consumo'!F2382</f>
        <v>50</v>
      </c>
      <c r="I2382" s="35" t="n">
        <f aca="false">'Uso e Consumo'!G2382</f>
        <v>49</v>
      </c>
      <c r="J2382" s="34" t="str">
        <f aca="false">'Uso e Consumo'!M2382</f>
        <v>3.8.1.022 - Elementos de fixação</v>
      </c>
      <c r="K2382" s="32" t="str">
        <f aca="false">INDEX('Curva ABC'!$K$8:$K$2847,MATCH(D2382,'Curva ABC'!$B$8:$B$2847,0))</f>
        <v>C</v>
      </c>
    </row>
    <row r="2383" customFormat="false" ht="15" hidden="false" customHeight="false" outlineLevel="0" collapsed="false">
      <c r="A2383" s="34" t="s">
        <v>5799</v>
      </c>
      <c r="B2383" s="34" t="str">
        <f aca="false">'Uso e Consumo'!A2383</f>
        <v>0335</v>
      </c>
      <c r="C2383" s="34" t="str">
        <f aca="false">'Uso e Consumo'!B2383</f>
        <v>UFV NORONHA VERDE - USO E CONSUMO</v>
      </c>
      <c r="D2383" s="33" t="n">
        <f aca="false">'Uso e Consumo'!C2383</f>
        <v>1472779</v>
      </c>
      <c r="E2383" s="34" t="str">
        <f aca="false">'Uso e Consumo'!D2383</f>
        <v>23.12.0061</v>
      </c>
      <c r="F2383" s="34" t="str">
        <f aca="false">'Uso e Consumo'!E2383</f>
        <v>REBITE 312</v>
      </c>
      <c r="G2383" s="34" t="str">
        <f aca="false">'Uso e Consumo'!J2383</f>
        <v>UN</v>
      </c>
      <c r="H2383" s="49" t="n">
        <f aca="false">'Uso e Consumo'!F2383</f>
        <v>50</v>
      </c>
      <c r="I2383" s="35" t="n">
        <f aca="false">'Uso e Consumo'!G2383</f>
        <v>49</v>
      </c>
      <c r="J2383" s="34" t="str">
        <f aca="false">'Uso e Consumo'!M2383</f>
        <v>3.8.1.022 - Elementos de fixação</v>
      </c>
      <c r="K2383" s="32" t="str">
        <f aca="false">INDEX('Curva ABC'!$K$8:$K$2847,MATCH(D2383,'Curva ABC'!$B$8:$B$2847,0))</f>
        <v>C</v>
      </c>
    </row>
    <row r="2384" customFormat="false" ht="15" hidden="false" customHeight="false" outlineLevel="0" collapsed="false">
      <c r="A2384" s="34" t="s">
        <v>5799</v>
      </c>
      <c r="B2384" s="34" t="str">
        <f aca="false">'Uso e Consumo'!A2384</f>
        <v>0335</v>
      </c>
      <c r="C2384" s="34" t="str">
        <f aca="false">'Uso e Consumo'!B2384</f>
        <v>UFV NORONHA VERDE - USO E CONSUMO</v>
      </c>
      <c r="D2384" s="33" t="n">
        <f aca="false">'Uso e Consumo'!C2384</f>
        <v>1385280</v>
      </c>
      <c r="E2384" s="34" t="str">
        <f aca="false">'Uso e Consumo'!D2384</f>
        <v>17.02.0874</v>
      </c>
      <c r="F2384" s="34" t="str">
        <f aca="false">'Uso e Consumo'!E2384</f>
        <v>BUCHA LIGA ALUMÍNIO, ALTA RESISTÊNCIA MECÂNICA E CORROSÃO, 3" ROSCA BSP </v>
      </c>
      <c r="G2384" s="34" t="str">
        <f aca="false">'Uso e Consumo'!J2384</f>
        <v>UN</v>
      </c>
      <c r="H2384" s="49" t="n">
        <f aca="false">'Uso e Consumo'!F2384</f>
        <v>4</v>
      </c>
      <c r="I2384" s="35" t="n">
        <f aca="false">'Uso e Consumo'!G2384</f>
        <v>48.22</v>
      </c>
      <c r="J2384" s="34" t="str">
        <f aca="false">'Uso e Consumo'!M2384</f>
        <v>3.8.1.017 - Instalações elétricas/telefônicas/lógica</v>
      </c>
      <c r="K2384" s="32" t="str">
        <f aca="false">INDEX('Curva ABC'!$K$8:$K$2847,MATCH(D2384,'Curva ABC'!$B$8:$B$2847,0))</f>
        <v>C</v>
      </c>
    </row>
    <row r="2385" customFormat="false" ht="15" hidden="false" customHeight="false" outlineLevel="0" collapsed="false">
      <c r="A2385" s="34" t="s">
        <v>5799</v>
      </c>
      <c r="B2385" s="34" t="str">
        <f aca="false">'Uso e Consumo'!A2385</f>
        <v>0335</v>
      </c>
      <c r="C2385" s="34" t="str">
        <f aca="false">'Uso e Consumo'!B2385</f>
        <v>UFV NORONHA VERDE - USO E CONSUMO</v>
      </c>
      <c r="D2385" s="33" t="n">
        <f aca="false">'Uso e Consumo'!C2385</f>
        <v>12693</v>
      </c>
      <c r="E2385" s="34" t="str">
        <f aca="false">'Uso e Consumo'!D2385</f>
        <v>17.02.0193</v>
      </c>
      <c r="F2385" s="34" t="str">
        <f aca="false">'Uso e Consumo'!E2385</f>
        <v>TAMPÃO/TERMINAL P/ELETRODUTO PEAD 75,00MM (3") NBR 15715</v>
      </c>
      <c r="G2385" s="34" t="str">
        <f aca="false">'Uso e Consumo'!J2385</f>
        <v>UN</v>
      </c>
      <c r="H2385" s="49" t="n">
        <f aca="false">'Uso e Consumo'!F2385</f>
        <v>1</v>
      </c>
      <c r="I2385" s="35" t="n">
        <f aca="false">'Uso e Consumo'!G2385</f>
        <v>48</v>
      </c>
      <c r="J2385" s="34" t="str">
        <f aca="false">'Uso e Consumo'!M2385</f>
        <v>3.8.1.017 - Instalações elétricas/telefônicas/lógica</v>
      </c>
      <c r="K2385" s="32" t="str">
        <f aca="false">INDEX('Curva ABC'!$K$8:$K$2847,MATCH(D2385,'Curva ABC'!$B$8:$B$2847,0))</f>
        <v>C</v>
      </c>
    </row>
    <row r="2386" customFormat="false" ht="15" hidden="false" customHeight="false" outlineLevel="0" collapsed="false">
      <c r="A2386" s="34" t="s">
        <v>5799</v>
      </c>
      <c r="B2386" s="34" t="str">
        <f aca="false">'Uso e Consumo'!A2386</f>
        <v>0335</v>
      </c>
      <c r="C2386" s="34" t="str">
        <f aca="false">'Uso e Consumo'!B2386</f>
        <v>UFV NORONHA VERDE - USO E CONSUMO</v>
      </c>
      <c r="D2386" s="33" t="n">
        <f aca="false">'Uso e Consumo'!C2386</f>
        <v>16693</v>
      </c>
      <c r="E2386" s="34" t="str">
        <f aca="false">'Uso e Consumo'!D2386</f>
        <v>23.03.0005</v>
      </c>
      <c r="F2386" s="34" t="str">
        <f aca="false">'Uso e Consumo'!E2386</f>
        <v>PREGO COMUM C/CABECA AÇO TEMPERADO 1.1/2" X 15 REF 13 X 18</v>
      </c>
      <c r="G2386" s="34" t="str">
        <f aca="false">'Uso e Consumo'!J2386</f>
        <v>KG</v>
      </c>
      <c r="H2386" s="49" t="n">
        <f aca="false">'Uso e Consumo'!F2386</f>
        <v>1</v>
      </c>
      <c r="I2386" s="35" t="n">
        <f aca="false">'Uso e Consumo'!G2386</f>
        <v>48</v>
      </c>
      <c r="J2386" s="34" t="str">
        <f aca="false">'Uso e Consumo'!M2386</f>
        <v>3.8.1.022 - Elementos de fixação</v>
      </c>
      <c r="K2386" s="32" t="str">
        <f aca="false">INDEX('Curva ABC'!$K$8:$K$2847,MATCH(D2386,'Curva ABC'!$B$8:$B$2847,0))</f>
        <v>C</v>
      </c>
    </row>
    <row r="2387" customFormat="false" ht="15" hidden="false" customHeight="false" outlineLevel="0" collapsed="false">
      <c r="A2387" s="34" t="s">
        <v>5799</v>
      </c>
      <c r="B2387" s="34" t="str">
        <f aca="false">'Uso e Consumo'!A2387</f>
        <v>0335</v>
      </c>
      <c r="C2387" s="34" t="str">
        <f aca="false">'Uso e Consumo'!B2387</f>
        <v>UFV NORONHA VERDE - USO E CONSUMO</v>
      </c>
      <c r="D2387" s="33" t="n">
        <f aca="false">'Uso e Consumo'!C2387</f>
        <v>22208</v>
      </c>
      <c r="E2387" s="34" t="str">
        <f aca="false">'Uso e Consumo'!D2387</f>
        <v>34.02.0265</v>
      </c>
      <c r="F2387" s="34" t="str">
        <f aca="false">'Uso e Consumo'!E2387</f>
        <v>PASTA DE VEDAÇÃO</v>
      </c>
      <c r="G2387" s="34" t="str">
        <f aca="false">'Uso e Consumo'!J2387</f>
        <v>UN</v>
      </c>
      <c r="H2387" s="49" t="n">
        <f aca="false">'Uso e Consumo'!F2387</f>
        <v>1</v>
      </c>
      <c r="I2387" s="35" t="n">
        <f aca="false">'Uso e Consumo'!G2387</f>
        <v>48</v>
      </c>
      <c r="J2387" s="34" t="str">
        <f aca="false">'Uso e Consumo'!M2387</f>
        <v>3.1.6.002 - Pneus e peças</v>
      </c>
      <c r="K2387" s="32" t="str">
        <f aca="false">INDEX('Curva ABC'!$K$8:$K$2847,MATCH(D2387,'Curva ABC'!$B$8:$B$2847,0))</f>
        <v>C</v>
      </c>
    </row>
    <row r="2388" customFormat="false" ht="15" hidden="false" customHeight="false" outlineLevel="0" collapsed="false">
      <c r="A2388" s="34" t="s">
        <v>5799</v>
      </c>
      <c r="B2388" s="34" t="str">
        <f aca="false">'Uso e Consumo'!A2388</f>
        <v>0335</v>
      </c>
      <c r="C2388" s="34" t="str">
        <f aca="false">'Uso e Consumo'!B2388</f>
        <v>UFV NORONHA VERDE - USO E CONSUMO</v>
      </c>
      <c r="D2388" s="33" t="n">
        <f aca="false">'Uso e Consumo'!C2388</f>
        <v>23298</v>
      </c>
      <c r="E2388" s="34" t="str">
        <f aca="false">'Uso e Consumo'!D2388</f>
        <v>13.06.0042</v>
      </c>
      <c r="F2388" s="34" t="str">
        <f aca="false">'Uso e Consumo'!E2388</f>
        <v>TARJETA ZINCADA 63MM - 2.1/2"</v>
      </c>
      <c r="G2388" s="34" t="str">
        <f aca="false">'Uso e Consumo'!J2388</f>
        <v>UN</v>
      </c>
      <c r="H2388" s="49" t="n">
        <f aca="false">'Uso e Consumo'!F2388</f>
        <v>1</v>
      </c>
      <c r="I2388" s="35" t="n">
        <f aca="false">'Uso e Consumo'!G2388</f>
        <v>48</v>
      </c>
      <c r="J2388" s="34" t="str">
        <f aca="false">'Uso e Consumo'!M2388</f>
        <v>3.8.1.013 - Esquadrias e vidros</v>
      </c>
      <c r="K2388" s="32" t="str">
        <f aca="false">INDEX('Curva ABC'!$K$8:$K$2847,MATCH(D2388,'Curva ABC'!$B$8:$B$2847,0))</f>
        <v>C</v>
      </c>
    </row>
    <row r="2389" customFormat="false" ht="15" hidden="false" customHeight="false" outlineLevel="0" collapsed="false">
      <c r="A2389" s="34" t="s">
        <v>5799</v>
      </c>
      <c r="B2389" s="34" t="str">
        <f aca="false">'Uso e Consumo'!A2389</f>
        <v>0335</v>
      </c>
      <c r="C2389" s="34" t="str">
        <f aca="false">'Uso e Consumo'!B2389</f>
        <v>UFV NORONHA VERDE - USO E CONSUMO</v>
      </c>
      <c r="D2389" s="33" t="n">
        <f aca="false">'Uso e Consumo'!C2389</f>
        <v>35525</v>
      </c>
      <c r="E2389" s="34" t="str">
        <f aca="false">'Uso e Consumo'!D2389</f>
        <v>16.03.0169</v>
      </c>
      <c r="F2389" s="34" t="str">
        <f aca="false">'Uso e Consumo'!E2389</f>
        <v>VERNIZ OSMOCOLOR NATURAL - GL3,6 NBR 11702</v>
      </c>
      <c r="G2389" s="34" t="str">
        <f aca="false">'Uso e Consumo'!J2389</f>
        <v>GL36</v>
      </c>
      <c r="H2389" s="49" t="n">
        <f aca="false">'Uso e Consumo'!F2389</f>
        <v>1</v>
      </c>
      <c r="I2389" s="35" t="n">
        <f aca="false">'Uso e Consumo'!G2389</f>
        <v>48</v>
      </c>
      <c r="J2389" s="34" t="str">
        <f aca="false">'Uso e Consumo'!M2389</f>
        <v>3.8.1.016 - Pinturas</v>
      </c>
      <c r="K2389" s="32" t="str">
        <f aca="false">INDEX('Curva ABC'!$K$8:$K$2847,MATCH(D2389,'Curva ABC'!$B$8:$B$2847,0))</f>
        <v>C</v>
      </c>
    </row>
    <row r="2390" customFormat="false" ht="15" hidden="false" customHeight="false" outlineLevel="0" collapsed="false">
      <c r="A2390" s="34" t="s">
        <v>5799</v>
      </c>
      <c r="B2390" s="34" t="str">
        <f aca="false">'Uso e Consumo'!A2390</f>
        <v>0335</v>
      </c>
      <c r="C2390" s="34" t="str">
        <f aca="false">'Uso e Consumo'!B2390</f>
        <v>UFV NORONHA VERDE - USO E CONSUMO</v>
      </c>
      <c r="D2390" s="33" t="n">
        <f aca="false">'Uso e Consumo'!C2390</f>
        <v>53718</v>
      </c>
      <c r="E2390" s="34" t="str">
        <f aca="false">'Uso e Consumo'!D2390</f>
        <v>16.05.0095</v>
      </c>
      <c r="F2390" s="34" t="str">
        <f aca="false">'Uso e Consumo'!E2390</f>
        <v>MISTURADOR METÁLICO DE TINTA</v>
      </c>
      <c r="G2390" s="34" t="str">
        <f aca="false">'Uso e Consumo'!J2390</f>
        <v>UN</v>
      </c>
      <c r="H2390" s="49" t="n">
        <f aca="false">'Uso e Consumo'!F2390</f>
        <v>1</v>
      </c>
      <c r="I2390" s="35" t="n">
        <f aca="false">'Uso e Consumo'!G2390</f>
        <v>48</v>
      </c>
      <c r="J2390" s="34" t="str">
        <f aca="false">'Uso e Consumo'!M2390</f>
        <v>3.8.1.016 - Pinturas</v>
      </c>
      <c r="K2390" s="32" t="str">
        <f aca="false">INDEX('Curva ABC'!$K$8:$K$2847,MATCH(D2390,'Curva ABC'!$B$8:$B$2847,0))</f>
        <v>C</v>
      </c>
    </row>
    <row r="2391" customFormat="false" ht="15" hidden="false" customHeight="false" outlineLevel="0" collapsed="false">
      <c r="A2391" s="34" t="s">
        <v>5799</v>
      </c>
      <c r="B2391" s="34" t="str">
        <f aca="false">'Uso e Consumo'!A2391</f>
        <v>0335</v>
      </c>
      <c r="C2391" s="34" t="str">
        <f aca="false">'Uso e Consumo'!B2391</f>
        <v>UFV NORONHA VERDE - USO E CONSUMO</v>
      </c>
      <c r="D2391" s="33" t="n">
        <f aca="false">'Uso e Consumo'!C2391</f>
        <v>391934</v>
      </c>
      <c r="E2391" s="34" t="str">
        <f aca="false">'Uso e Consumo'!D2391</f>
        <v>34.02.1045</v>
      </c>
      <c r="F2391" s="34" t="str">
        <f aca="false">'Uso e Consumo'!E2391</f>
        <v>TERMINAL MACHO MAGUEIRA DE COMBUSTÍVEL 1”</v>
      </c>
      <c r="G2391" s="34" t="str">
        <f aca="false">'Uso e Consumo'!J2391</f>
        <v>UN</v>
      </c>
      <c r="H2391" s="49" t="n">
        <f aca="false">'Uso e Consumo'!F2391</f>
        <v>1</v>
      </c>
      <c r="I2391" s="35" t="n">
        <f aca="false">'Uso e Consumo'!G2391</f>
        <v>48</v>
      </c>
      <c r="J2391" s="34" t="str">
        <f aca="false">'Uso e Consumo'!M2391</f>
        <v>3.1.6.002 - Pneus e peças</v>
      </c>
      <c r="K2391" s="32" t="str">
        <f aca="false">INDEX('Curva ABC'!$K$8:$K$2847,MATCH(D2391,'Curva ABC'!$B$8:$B$2847,0))</f>
        <v>C</v>
      </c>
    </row>
    <row r="2392" customFormat="false" ht="15" hidden="false" customHeight="false" outlineLevel="0" collapsed="false">
      <c r="A2392" s="34" t="s">
        <v>5799</v>
      </c>
      <c r="B2392" s="34" t="str">
        <f aca="false">'Uso e Consumo'!A2392</f>
        <v>0335</v>
      </c>
      <c r="C2392" s="34" t="str">
        <f aca="false">'Uso e Consumo'!B2392</f>
        <v>UFV NORONHA VERDE - USO E CONSUMO</v>
      </c>
      <c r="D2392" s="33" t="n">
        <f aca="false">'Uso e Consumo'!C2392</f>
        <v>937236</v>
      </c>
      <c r="E2392" s="34" t="str">
        <f aca="false">'Uso e Consumo'!D2392</f>
        <v>28.01.0578</v>
      </c>
      <c r="F2392" s="34" t="str">
        <f aca="false">'Uso e Consumo'!E2392</f>
        <v>PLACA M1 - 300X400 MM</v>
      </c>
      <c r="G2392" s="34" t="str">
        <f aca="false">'Uso e Consumo'!J2392</f>
        <v>UN</v>
      </c>
      <c r="H2392" s="49" t="n">
        <f aca="false">'Uso e Consumo'!F2392</f>
        <v>1</v>
      </c>
      <c r="I2392" s="35" t="n">
        <f aca="false">'Uso e Consumo'!G2392</f>
        <v>48</v>
      </c>
      <c r="J2392" s="34" t="str">
        <f aca="false">'Uso e Consumo'!M2392</f>
        <v>3.8.1.023 - Comunicação visual e sinalização</v>
      </c>
      <c r="K2392" s="32" t="str">
        <f aca="false">INDEX('Curva ABC'!$K$8:$K$2847,MATCH(D2392,'Curva ABC'!$B$8:$B$2847,0))</f>
        <v>C</v>
      </c>
    </row>
    <row r="2393" customFormat="false" ht="15" hidden="false" customHeight="false" outlineLevel="0" collapsed="false">
      <c r="A2393" s="34" t="s">
        <v>5799</v>
      </c>
      <c r="B2393" s="34" t="str">
        <f aca="false">'Uso e Consumo'!A2393</f>
        <v>0335</v>
      </c>
      <c r="C2393" s="34" t="str">
        <f aca="false">'Uso e Consumo'!B2393</f>
        <v>UFV NORONHA VERDE - USO E CONSUMO</v>
      </c>
      <c r="D2393" s="33" t="n">
        <f aca="false">'Uso e Consumo'!C2393</f>
        <v>1383688</v>
      </c>
      <c r="E2393" s="34" t="str">
        <f aca="false">'Uso e Consumo'!D2393</f>
        <v>17.02.0859</v>
      </c>
      <c r="F2393" s="34" t="str">
        <f aca="false">'Uso e Consumo'!E2393</f>
        <v>CURVA 90º DE AÇO CARBONO, GALVANIZADO A QUENTE, DIÂMETRO NOMINAL 25mm, COM ROSCA, REFERÊNCIA DE BITOLA 1" BSP</v>
      </c>
      <c r="G2393" s="34" t="str">
        <f aca="false">'Uso e Consumo'!J2393</f>
        <v>UN</v>
      </c>
      <c r="H2393" s="49" t="n">
        <f aca="false">'Uso e Consumo'!F2393</f>
        <v>2</v>
      </c>
      <c r="I2393" s="35" t="n">
        <f aca="false">'Uso e Consumo'!G2393</f>
        <v>47.96</v>
      </c>
      <c r="J2393" s="34" t="str">
        <f aca="false">'Uso e Consumo'!M2393</f>
        <v>3.8.1.018 - Instalações hidráulicas/sanitárias/industriais</v>
      </c>
      <c r="K2393" s="32" t="str">
        <f aca="false">INDEX('Curva ABC'!$K$8:$K$2847,MATCH(D2393,'Curva ABC'!$B$8:$B$2847,0))</f>
        <v>C</v>
      </c>
    </row>
    <row r="2394" customFormat="false" ht="32.8" hidden="false" customHeight="false" outlineLevel="0" collapsed="false">
      <c r="A2394" s="34" t="s">
        <v>5799</v>
      </c>
      <c r="B2394" s="34" t="str">
        <f aca="false">'Uso e Consumo'!A2394</f>
        <v>0335</v>
      </c>
      <c r="C2394" s="34" t="str">
        <f aca="false">'Uso e Consumo'!B2394</f>
        <v>UFV NORONHA VERDE - USO E CONSUMO</v>
      </c>
      <c r="D2394" s="33" t="n">
        <f aca="false">'Uso e Consumo'!C2394</f>
        <v>1485462</v>
      </c>
      <c r="E2394" s="34" t="str">
        <f aca="false">'Uso e Consumo'!D2394</f>
        <v>17.21.0116</v>
      </c>
      <c r="F2394" s="50" t="str">
        <f aca="false">'Uso e Consumo'!E2394</f>
        <v>FLANGE PARA ELETROCALHA 200 X 100 MM AÇO GALVANIZADO A QUENTE
</v>
      </c>
      <c r="G2394" s="34" t="str">
        <f aca="false">'Uso e Consumo'!J2394</f>
        <v>UN</v>
      </c>
      <c r="H2394" s="49" t="n">
        <f aca="false">'Uso e Consumo'!F2394</f>
        <v>2</v>
      </c>
      <c r="I2394" s="35" t="n">
        <f aca="false">'Uso e Consumo'!G2394</f>
        <v>47.95</v>
      </c>
      <c r="J2394" s="34" t="str">
        <f aca="false">'Uso e Consumo'!M2394</f>
        <v>3.8.1.017 - Instalações elétricas/telefônicas/lógica</v>
      </c>
      <c r="K2394" s="32" t="str">
        <f aca="false">INDEX('Curva ABC'!$K$8:$K$2847,MATCH(D2394,'Curva ABC'!$B$8:$B$2847,0))</f>
        <v>C</v>
      </c>
    </row>
    <row r="2395" customFormat="false" ht="15" hidden="false" customHeight="false" outlineLevel="0" collapsed="false">
      <c r="A2395" s="34" t="s">
        <v>5799</v>
      </c>
      <c r="B2395" s="34" t="str">
        <f aca="false">'Uso e Consumo'!A2395</f>
        <v>0335</v>
      </c>
      <c r="C2395" s="34" t="str">
        <f aca="false">'Uso e Consumo'!B2395</f>
        <v>UFV NORONHA VERDE - USO E CONSUMO</v>
      </c>
      <c r="D2395" s="33" t="n">
        <f aca="false">'Uso e Consumo'!C2395</f>
        <v>56955</v>
      </c>
      <c r="E2395" s="34" t="str">
        <f aca="false">'Uso e Consumo'!D2395</f>
        <v>17.02.0273</v>
      </c>
      <c r="F2395" s="34" t="str">
        <f aca="false">'Uso e Consumo'!E2395</f>
        <v>LUVA DE EMENDA P/ELETRODUTO PEAD 180MM</v>
      </c>
      <c r="G2395" s="34" t="str">
        <f aca="false">'Uso e Consumo'!J2395</f>
        <v>UN</v>
      </c>
      <c r="H2395" s="49" t="n">
        <f aca="false">'Uso e Consumo'!F2395</f>
        <v>8</v>
      </c>
      <c r="I2395" s="35" t="n">
        <f aca="false">'Uso e Consumo'!G2395</f>
        <v>47.84</v>
      </c>
      <c r="J2395" s="34" t="str">
        <f aca="false">'Uso e Consumo'!M2395</f>
        <v>3.8.1.017 - Instalações elétricas/telefônicas/lógica</v>
      </c>
      <c r="K2395" s="32" t="str">
        <f aca="false">INDEX('Curva ABC'!$K$8:$K$2847,MATCH(D2395,'Curva ABC'!$B$8:$B$2847,0))</f>
        <v>C</v>
      </c>
    </row>
    <row r="2396" customFormat="false" ht="15" hidden="false" customHeight="false" outlineLevel="0" collapsed="false">
      <c r="A2396" s="34" t="s">
        <v>5799</v>
      </c>
      <c r="B2396" s="34" t="str">
        <f aca="false">'Uso e Consumo'!A2396</f>
        <v>0335</v>
      </c>
      <c r="C2396" s="34" t="str">
        <f aca="false">'Uso e Consumo'!B2396</f>
        <v>UFV NORONHA VERDE - USO E CONSUMO</v>
      </c>
      <c r="D2396" s="33" t="n">
        <f aca="false">'Uso e Consumo'!C2396</f>
        <v>1312596</v>
      </c>
      <c r="E2396" s="34" t="str">
        <f aca="false">'Uso e Consumo'!D2396</f>
        <v>33.02.3123</v>
      </c>
      <c r="F2396" s="34" t="str">
        <f aca="false">'Uso e Consumo'!E2396</f>
        <v>CHAPA DE REFRIGERAÇÃO DE ALUMINIO 1135-141-3200</v>
      </c>
      <c r="G2396" s="34" t="str">
        <f aca="false">'Uso e Consumo'!J2396</f>
        <v>UN</v>
      </c>
      <c r="H2396" s="49" t="n">
        <f aca="false">'Uso e Consumo'!F2396</f>
        <v>1</v>
      </c>
      <c r="I2396" s="35" t="n">
        <f aca="false">'Uso e Consumo'!G2396</f>
        <v>47.49</v>
      </c>
      <c r="J2396" s="34" t="str">
        <f aca="false">'Uso e Consumo'!M2396</f>
        <v>3.1.6.002 - Pneus e peças</v>
      </c>
      <c r="K2396" s="32" t="str">
        <f aca="false">INDEX('Curva ABC'!$K$8:$K$2847,MATCH(D2396,'Curva ABC'!$B$8:$B$2847,0))</f>
        <v>C</v>
      </c>
    </row>
    <row r="2397" customFormat="false" ht="15" hidden="false" customHeight="false" outlineLevel="0" collapsed="false">
      <c r="A2397" s="34" t="s">
        <v>5799</v>
      </c>
      <c r="B2397" s="34" t="str">
        <f aca="false">'Uso e Consumo'!A2397</f>
        <v>0335</v>
      </c>
      <c r="C2397" s="34" t="str">
        <f aca="false">'Uso e Consumo'!B2397</f>
        <v>UFV NORONHA VERDE - USO E CONSUMO</v>
      </c>
      <c r="D2397" s="33" t="n">
        <f aca="false">'Uso e Consumo'!C2397</f>
        <v>54982</v>
      </c>
      <c r="E2397" s="34" t="str">
        <f aca="false">'Uso e Consumo'!D2397</f>
        <v>23.12.0040</v>
      </c>
      <c r="F2397" s="34" t="str">
        <f aca="false">'Uso e Consumo'!E2397</f>
        <v>REBITE REPUXO ALUMÍNIO 5,00MM X 12,00MM</v>
      </c>
      <c r="G2397" s="34" t="str">
        <f aca="false">'Uso e Consumo'!J2397</f>
        <v>UN</v>
      </c>
      <c r="H2397" s="49" t="n">
        <f aca="false">'Uso e Consumo'!F2397</f>
        <v>350</v>
      </c>
      <c r="I2397" s="35" t="n">
        <f aca="false">'Uso e Consumo'!G2397</f>
        <v>47.25</v>
      </c>
      <c r="J2397" s="34" t="str">
        <f aca="false">'Uso e Consumo'!M2397</f>
        <v>3.8.1.022 - Elementos de fixação</v>
      </c>
      <c r="K2397" s="32" t="str">
        <f aca="false">INDEX('Curva ABC'!$K$8:$K$2847,MATCH(D2397,'Curva ABC'!$B$8:$B$2847,0))</f>
        <v>C</v>
      </c>
    </row>
    <row r="2398" customFormat="false" ht="15" hidden="false" customHeight="false" outlineLevel="0" collapsed="false">
      <c r="A2398" s="34" t="s">
        <v>5799</v>
      </c>
      <c r="B2398" s="34" t="str">
        <f aca="false">'Uso e Consumo'!A2398</f>
        <v>0335</v>
      </c>
      <c r="C2398" s="34" t="str">
        <f aca="false">'Uso e Consumo'!B2398</f>
        <v>UFV NORONHA VERDE - USO E CONSUMO</v>
      </c>
      <c r="D2398" s="33" t="n">
        <f aca="false">'Uso e Consumo'!C2398</f>
        <v>12661</v>
      </c>
      <c r="E2398" s="34" t="str">
        <f aca="false">'Uso e Consumo'!D2398</f>
        <v>17.02.0161</v>
      </c>
      <c r="F2398" s="34" t="str">
        <f aca="false">'Uso e Consumo'!E2398</f>
        <v>LUVA P/ELETRODUTO PVC C/ROSCA PRETO 3"</v>
      </c>
      <c r="G2398" s="34" t="str">
        <f aca="false">'Uso e Consumo'!J2398</f>
        <v>UN</v>
      </c>
      <c r="H2398" s="49" t="n">
        <f aca="false">'Uso e Consumo'!F2398</f>
        <v>4</v>
      </c>
      <c r="I2398" s="35" t="n">
        <f aca="false">'Uso e Consumo'!G2398</f>
        <v>46.6</v>
      </c>
      <c r="J2398" s="34" t="str">
        <f aca="false">'Uso e Consumo'!M2398</f>
        <v>3.8.1.017 - Instalações elétricas/telefônicas/lógica</v>
      </c>
      <c r="K2398" s="32" t="str">
        <f aca="false">INDEX('Curva ABC'!$K$8:$K$2847,MATCH(D2398,'Curva ABC'!$B$8:$B$2847,0))</f>
        <v>C</v>
      </c>
    </row>
    <row r="2399" customFormat="false" ht="15" hidden="false" customHeight="false" outlineLevel="0" collapsed="false">
      <c r="A2399" s="34" t="s">
        <v>5799</v>
      </c>
      <c r="B2399" s="34" t="str">
        <f aca="false">'Uso e Consumo'!A2399</f>
        <v>0335</v>
      </c>
      <c r="C2399" s="34" t="str">
        <f aca="false">'Uso e Consumo'!B2399</f>
        <v>UFV NORONHA VERDE - USO E CONSUMO</v>
      </c>
      <c r="D2399" s="33" t="n">
        <f aca="false">'Uso e Consumo'!C2399</f>
        <v>16041</v>
      </c>
      <c r="E2399" s="34" t="str">
        <f aca="false">'Uso e Consumo'!D2399</f>
        <v>18.09.0026</v>
      </c>
      <c r="F2399" s="34" t="str">
        <f aca="false">'Uso e Consumo'!E2399</f>
        <v>REGISTRO ESFERA BRONZE 25,00MM SOLDAVEL FECHO RAPIDO VED TEFLON NBR 10283</v>
      </c>
      <c r="G2399" s="34" t="str">
        <f aca="false">'Uso e Consumo'!J2399</f>
        <v>UN</v>
      </c>
      <c r="H2399" s="49" t="n">
        <f aca="false">'Uso e Consumo'!F2399</f>
        <v>2</v>
      </c>
      <c r="I2399" s="35" t="n">
        <f aca="false">'Uso e Consumo'!G2399</f>
        <v>45.96</v>
      </c>
      <c r="J2399" s="34" t="str">
        <f aca="false">'Uso e Consumo'!M2399</f>
        <v>3.8.1.018 - Instalações hidráulicas/sanitárias/industriais</v>
      </c>
      <c r="K2399" s="32" t="str">
        <f aca="false">INDEX('Curva ABC'!$K$8:$K$2847,MATCH(D2399,'Curva ABC'!$B$8:$B$2847,0))</f>
        <v>C</v>
      </c>
    </row>
    <row r="2400" customFormat="false" ht="15" hidden="false" customHeight="false" outlineLevel="0" collapsed="false">
      <c r="A2400" s="34" t="s">
        <v>5799</v>
      </c>
      <c r="B2400" s="34" t="str">
        <f aca="false">'Uso e Consumo'!A2400</f>
        <v>0335</v>
      </c>
      <c r="C2400" s="34" t="str">
        <f aca="false">'Uso e Consumo'!B2400</f>
        <v>UFV NORONHA VERDE - USO E CONSUMO</v>
      </c>
      <c r="D2400" s="33" t="n">
        <f aca="false">'Uso e Consumo'!C2400</f>
        <v>864542</v>
      </c>
      <c r="E2400" s="34" t="str">
        <f aca="false">'Uso e Consumo'!D2400</f>
        <v>16.05.0174</v>
      </c>
      <c r="F2400" s="34" t="str">
        <f aca="false">'Uso e Consumo'!E2400</f>
        <v>ROLO LÃ P/ PINTURA 18CM</v>
      </c>
      <c r="G2400" s="34" t="str">
        <f aca="false">'Uso e Consumo'!J2400</f>
        <v>UN</v>
      </c>
      <c r="H2400" s="49" t="n">
        <f aca="false">'Uso e Consumo'!F2400</f>
        <v>2</v>
      </c>
      <c r="I2400" s="35" t="n">
        <f aca="false">'Uso e Consumo'!G2400</f>
        <v>45.96</v>
      </c>
      <c r="J2400" s="34" t="str">
        <f aca="false">'Uso e Consumo'!M2400</f>
        <v>3.8.1.016 - Pinturas</v>
      </c>
      <c r="K2400" s="32" t="str">
        <f aca="false">INDEX('Curva ABC'!$K$8:$K$2847,MATCH(D2400,'Curva ABC'!$B$8:$B$2847,0))</f>
        <v>C</v>
      </c>
    </row>
    <row r="2401" customFormat="false" ht="15" hidden="false" customHeight="false" outlineLevel="0" collapsed="false">
      <c r="A2401" s="34" t="s">
        <v>5799</v>
      </c>
      <c r="B2401" s="34" t="str">
        <f aca="false">'Uso e Consumo'!A2401</f>
        <v>0335</v>
      </c>
      <c r="C2401" s="34" t="str">
        <f aca="false">'Uso e Consumo'!B2401</f>
        <v>UFV NORONHA VERDE - USO E CONSUMO</v>
      </c>
      <c r="D2401" s="33" t="n">
        <f aca="false">'Uso e Consumo'!C2401</f>
        <v>1462822</v>
      </c>
      <c r="E2401" s="34" t="str">
        <f aca="false">'Uso e Consumo'!D2401</f>
        <v>23.07.1593</v>
      </c>
      <c r="F2401" s="34" t="str">
        <f aca="false">'Uso e Consumo'!E2401</f>
        <v>PARAFUSO SEXTAVADO INOX 3/16" X 3/4"</v>
      </c>
      <c r="G2401" s="34" t="str">
        <f aca="false">'Uso e Consumo'!J2401</f>
        <v>UN</v>
      </c>
      <c r="H2401" s="49" t="n">
        <f aca="false">'Uso e Consumo'!F2401</f>
        <v>14</v>
      </c>
      <c r="I2401" s="35" t="n">
        <f aca="false">'Uso e Consumo'!G2401</f>
        <v>45.72</v>
      </c>
      <c r="J2401" s="34" t="str">
        <f aca="false">'Uso e Consumo'!M2401</f>
        <v>3.8.1.022 - Elementos de fixação</v>
      </c>
      <c r="K2401" s="32" t="str">
        <f aca="false">INDEX('Curva ABC'!$K$8:$K$2847,MATCH(D2401,'Curva ABC'!$B$8:$B$2847,0))</f>
        <v>C</v>
      </c>
    </row>
    <row r="2402" customFormat="false" ht="15" hidden="false" customHeight="false" outlineLevel="0" collapsed="false">
      <c r="A2402" s="34" t="s">
        <v>5799</v>
      </c>
      <c r="B2402" s="34" t="str">
        <f aca="false">'Uso e Consumo'!A2402</f>
        <v>0335</v>
      </c>
      <c r="C2402" s="34" t="str">
        <f aca="false">'Uso e Consumo'!B2402</f>
        <v>UFV NORONHA VERDE - USO E CONSUMO</v>
      </c>
      <c r="D2402" s="33" t="n">
        <f aca="false">'Uso e Consumo'!C2402</f>
        <v>260310</v>
      </c>
      <c r="E2402" s="34" t="str">
        <f aca="false">'Uso e Consumo'!D2402</f>
        <v>30.01.0580</v>
      </c>
      <c r="F2402" s="34" t="str">
        <f aca="false">'Uso e Consumo'!E2402</f>
        <v>CONTRA CAPA ENCADERNACAO A4 - COR CRISTAL</v>
      </c>
      <c r="G2402" s="34" t="str">
        <f aca="false">'Uso e Consumo'!J2402</f>
        <v>UN</v>
      </c>
      <c r="H2402" s="49" t="n">
        <f aca="false">'Uso e Consumo'!F2402</f>
        <v>100</v>
      </c>
      <c r="I2402" s="35" t="n">
        <f aca="false">'Uso e Consumo'!G2402</f>
        <v>45</v>
      </c>
      <c r="J2402" s="34" t="str">
        <f aca="false">'Uso e Consumo'!M2402</f>
        <v>4.1.1.002 - Material expediente</v>
      </c>
      <c r="K2402" s="32" t="str">
        <f aca="false">INDEX('Curva ABC'!$K$8:$K$2847,MATCH(D2402,'Curva ABC'!$B$8:$B$2847,0))</f>
        <v>C</v>
      </c>
    </row>
    <row r="2403" customFormat="false" ht="15" hidden="false" customHeight="false" outlineLevel="0" collapsed="false">
      <c r="A2403" s="34" t="s">
        <v>5799</v>
      </c>
      <c r="B2403" s="34" t="str">
        <f aca="false">'Uso e Consumo'!A2403</f>
        <v>0335</v>
      </c>
      <c r="C2403" s="34" t="str">
        <f aca="false">'Uso e Consumo'!B2403</f>
        <v>UFV NORONHA VERDE - USO E CONSUMO</v>
      </c>
      <c r="D2403" s="33" t="n">
        <f aca="false">'Uso e Consumo'!C2403</f>
        <v>1605183</v>
      </c>
      <c r="E2403" s="34" t="str">
        <f aca="false">'Uso e Consumo'!D2403</f>
        <v>23.07.1617</v>
      </c>
      <c r="F2403" s="34" t="str">
        <f aca="false">'Uso e Consumo'!E2403</f>
        <v>PARAFUSO DE FIXAÇÃO COM BUCHA 8MM</v>
      </c>
      <c r="G2403" s="34" t="str">
        <f aca="false">'Uso e Consumo'!J2403</f>
        <v>UN</v>
      </c>
      <c r="H2403" s="49" t="n">
        <f aca="false">'Uso e Consumo'!F2403</f>
        <v>100</v>
      </c>
      <c r="I2403" s="35" t="n">
        <f aca="false">'Uso e Consumo'!G2403</f>
        <v>45</v>
      </c>
      <c r="J2403" s="34" t="str">
        <f aca="false">'Uso e Consumo'!M2403</f>
        <v>3.8.1.022 - Elementos de fixação</v>
      </c>
      <c r="K2403" s="32" t="str">
        <f aca="false">INDEX('Curva ABC'!$K$8:$K$2847,MATCH(D2403,'Curva ABC'!$B$8:$B$2847,0))</f>
        <v>C</v>
      </c>
    </row>
    <row r="2404" customFormat="false" ht="15" hidden="false" customHeight="false" outlineLevel="0" collapsed="false">
      <c r="A2404" s="34" t="s">
        <v>5799</v>
      </c>
      <c r="B2404" s="34" t="str">
        <f aca="false">'Uso e Consumo'!A2404</f>
        <v>0335</v>
      </c>
      <c r="C2404" s="34" t="str">
        <f aca="false">'Uso e Consumo'!B2404</f>
        <v>UFV NORONHA VERDE - USO E CONSUMO</v>
      </c>
      <c r="D2404" s="33" t="n">
        <f aca="false">'Uso e Consumo'!C2404</f>
        <v>54629</v>
      </c>
      <c r="E2404" s="34" t="str">
        <f aca="false">'Uso e Consumo'!D2404</f>
        <v>13.06.0141</v>
      </c>
      <c r="F2404" s="34" t="str">
        <f aca="false">'Uso e Consumo'!E2404</f>
        <v>PORTA CADEADO 110X44</v>
      </c>
      <c r="G2404" s="34" t="str">
        <f aca="false">'Uso e Consumo'!J2404</f>
        <v>UN</v>
      </c>
      <c r="H2404" s="49" t="n">
        <f aca="false">'Uso e Consumo'!F2404</f>
        <v>3</v>
      </c>
      <c r="I2404" s="35" t="n">
        <f aca="false">'Uso e Consumo'!G2404</f>
        <v>44.94</v>
      </c>
      <c r="J2404" s="34" t="str">
        <f aca="false">'Uso e Consumo'!M2404</f>
        <v>3.8.1.013 - Esquadrias e vidros</v>
      </c>
      <c r="K2404" s="32" t="str">
        <f aca="false">INDEX('Curva ABC'!$K$8:$K$2847,MATCH(D2404,'Curva ABC'!$B$8:$B$2847,0))</f>
        <v>C</v>
      </c>
    </row>
    <row r="2405" customFormat="false" ht="15" hidden="false" customHeight="false" outlineLevel="0" collapsed="false">
      <c r="A2405" s="34" t="s">
        <v>5799</v>
      </c>
      <c r="B2405" s="34" t="str">
        <f aca="false">'Uso e Consumo'!A2405</f>
        <v>0335</v>
      </c>
      <c r="C2405" s="34" t="str">
        <f aca="false">'Uso e Consumo'!B2405</f>
        <v>UFV NORONHA VERDE - USO E CONSUMO</v>
      </c>
      <c r="D2405" s="33" t="n">
        <f aca="false">'Uso e Consumo'!C2405</f>
        <v>1599662</v>
      </c>
      <c r="E2405" s="34" t="str">
        <f aca="false">'Uso e Consumo'!D2405</f>
        <v>18.09.0394</v>
      </c>
      <c r="F2405" s="34" t="str">
        <f aca="false">'Uso e Consumo'!E2405</f>
        <v>TÊ ROSCÁVEL EM PVC DIÂMETRO 1 1/2"</v>
      </c>
      <c r="G2405" s="34" t="str">
        <f aca="false">'Uso e Consumo'!J2405</f>
        <v>UN</v>
      </c>
      <c r="H2405" s="49" t="n">
        <f aca="false">'Uso e Consumo'!F2405</f>
        <v>3</v>
      </c>
      <c r="I2405" s="35" t="n">
        <f aca="false">'Uso e Consumo'!G2405</f>
        <v>44.94</v>
      </c>
      <c r="J2405" s="34" t="str">
        <f aca="false">'Uso e Consumo'!M2405</f>
        <v>3.8.1.018 - Instalações hidráulicas/sanitárias/industriais</v>
      </c>
      <c r="K2405" s="32" t="str">
        <f aca="false">INDEX('Curva ABC'!$K$8:$K$2847,MATCH(D2405,'Curva ABC'!$B$8:$B$2847,0))</f>
        <v>C</v>
      </c>
    </row>
    <row r="2406" customFormat="false" ht="15" hidden="false" customHeight="false" outlineLevel="0" collapsed="false">
      <c r="A2406" s="34" t="s">
        <v>5799</v>
      </c>
      <c r="B2406" s="34" t="str">
        <f aca="false">'Uso e Consumo'!A2406</f>
        <v>0335</v>
      </c>
      <c r="C2406" s="34" t="str">
        <f aca="false">'Uso e Consumo'!B2406</f>
        <v>UFV NORONHA VERDE - USO E CONSUMO</v>
      </c>
      <c r="D2406" s="33" t="n">
        <f aca="false">'Uso e Consumo'!C2406</f>
        <v>349924</v>
      </c>
      <c r="E2406" s="34" t="str">
        <f aca="false">'Uso e Consumo'!D2406</f>
        <v>33.02.1695</v>
      </c>
      <c r="F2406" s="34" t="str">
        <f aca="false">'Uso e Consumo'!E2406</f>
        <v>PARAFUSO IS MSX16 MOTOSSERRA </v>
      </c>
      <c r="G2406" s="34" t="str">
        <f aca="false">'Uso e Consumo'!J2406</f>
        <v>UN</v>
      </c>
      <c r="H2406" s="49" t="n">
        <f aca="false">'Uso e Consumo'!F2406</f>
        <v>2</v>
      </c>
      <c r="I2406" s="35" t="n">
        <f aca="false">'Uso e Consumo'!G2406</f>
        <v>44.5</v>
      </c>
      <c r="J2406" s="34" t="str">
        <f aca="false">'Uso e Consumo'!M2406</f>
        <v>6.1.2.001 - Equipamentos</v>
      </c>
      <c r="K2406" s="32" t="str">
        <f aca="false">INDEX('Curva ABC'!$K$8:$K$2847,MATCH(D2406,'Curva ABC'!$B$8:$B$2847,0))</f>
        <v>C</v>
      </c>
    </row>
    <row r="2407" customFormat="false" ht="15" hidden="false" customHeight="false" outlineLevel="0" collapsed="false">
      <c r="A2407" s="34" t="s">
        <v>5799</v>
      </c>
      <c r="B2407" s="34" t="str">
        <f aca="false">'Uso e Consumo'!A2407</f>
        <v>0335</v>
      </c>
      <c r="C2407" s="34" t="str">
        <f aca="false">'Uso e Consumo'!B2407</f>
        <v>UFV NORONHA VERDE - USO E CONSUMO</v>
      </c>
      <c r="D2407" s="33" t="n">
        <f aca="false">'Uso e Consumo'!C2407</f>
        <v>601527</v>
      </c>
      <c r="E2407" s="34" t="str">
        <f aca="false">'Uso e Consumo'!D2407</f>
        <v>17.20.0457</v>
      </c>
      <c r="F2407" s="34" t="str">
        <f aca="false">'Uso e Consumo'!E2407</f>
        <v>TERMINAL DE COMPRESSÃO TIPO OLHAL 95mm² COM FURO M10 </v>
      </c>
      <c r="G2407" s="34" t="str">
        <f aca="false">'Uso e Consumo'!J2407</f>
        <v>UN</v>
      </c>
      <c r="H2407" s="49" t="n">
        <f aca="false">'Uso e Consumo'!F2407</f>
        <v>2</v>
      </c>
      <c r="I2407" s="35" t="n">
        <f aca="false">'Uso e Consumo'!G2407</f>
        <v>44.07</v>
      </c>
      <c r="J2407" s="34" t="str">
        <f aca="false">'Uso e Consumo'!M2407</f>
        <v>3.8.1.017 - Instalações elétricas/telefônicas/lógica</v>
      </c>
      <c r="K2407" s="32" t="str">
        <f aca="false">INDEX('Curva ABC'!$K$8:$K$2847,MATCH(D2407,'Curva ABC'!$B$8:$B$2847,0))</f>
        <v>C</v>
      </c>
    </row>
    <row r="2408" customFormat="false" ht="15" hidden="false" customHeight="false" outlineLevel="0" collapsed="false">
      <c r="A2408" s="34" t="s">
        <v>5799</v>
      </c>
      <c r="B2408" s="34" t="str">
        <f aca="false">'Uso e Consumo'!A2408</f>
        <v>0335</v>
      </c>
      <c r="C2408" s="34" t="str">
        <f aca="false">'Uso e Consumo'!B2408</f>
        <v>UFV NORONHA VERDE - USO E CONSUMO</v>
      </c>
      <c r="D2408" s="33" t="n">
        <f aca="false">'Uso e Consumo'!C2408</f>
        <v>1386218</v>
      </c>
      <c r="E2408" s="34" t="str">
        <f aca="false">'Uso e Consumo'!D2408</f>
        <v>24.09.0709</v>
      </c>
      <c r="F2408" s="34" t="str">
        <f aca="false">'Uso e Consumo'!E2408</f>
        <v>JOGO DE CHAVE DE BOCA 8 A 14 MM</v>
      </c>
      <c r="G2408" s="34" t="str">
        <f aca="false">'Uso e Consumo'!J2408</f>
        <v>UN</v>
      </c>
      <c r="H2408" s="49" t="n">
        <f aca="false">'Uso e Consumo'!F2408</f>
        <v>1</v>
      </c>
      <c r="I2408" s="35" t="n">
        <f aca="false">'Uso e Consumo'!G2408</f>
        <v>44</v>
      </c>
      <c r="J2408" s="34" t="str">
        <f aca="false">'Uso e Consumo'!M2408</f>
        <v>3.8.2.002 - Ferramentas manuais</v>
      </c>
      <c r="K2408" s="32" t="str">
        <f aca="false">INDEX('Curva ABC'!$K$8:$K$2847,MATCH(D2408,'Curva ABC'!$B$8:$B$2847,0))</f>
        <v>C</v>
      </c>
    </row>
    <row r="2409" customFormat="false" ht="15" hidden="false" customHeight="false" outlineLevel="0" collapsed="false">
      <c r="A2409" s="34" t="s">
        <v>5799</v>
      </c>
      <c r="B2409" s="34" t="str">
        <f aca="false">'Uso e Consumo'!A2409</f>
        <v>0335</v>
      </c>
      <c r="C2409" s="34" t="str">
        <f aca="false">'Uso e Consumo'!B2409</f>
        <v>UFV NORONHA VERDE - USO E CONSUMO</v>
      </c>
      <c r="D2409" s="33" t="n">
        <f aca="false">'Uso e Consumo'!C2409</f>
        <v>1615083</v>
      </c>
      <c r="E2409" s="34" t="str">
        <f aca="false">'Uso e Consumo'!D2409</f>
        <v>17.02.0925</v>
      </c>
      <c r="F2409" s="34" t="str">
        <f aca="false">'Uso e Consumo'!E2409</f>
        <v>LUVA DE PVC RIGIDO, DIAMETRO NOMINAL 60 MM, COM ROSCA, REFERENCIA DE BITOLA 2" BSP, TIPO PESADO, COR PRETA</v>
      </c>
      <c r="G2409" s="34" t="str">
        <f aca="false">'Uso e Consumo'!J2409</f>
        <v>UN</v>
      </c>
      <c r="H2409" s="49" t="n">
        <f aca="false">'Uso e Consumo'!F2409</f>
        <v>8</v>
      </c>
      <c r="I2409" s="35" t="n">
        <f aca="false">'Uso e Consumo'!G2409</f>
        <v>43.72</v>
      </c>
      <c r="J2409" s="34" t="str">
        <f aca="false">'Uso e Consumo'!M2409</f>
        <v>3.8.1.017 - Instalações elétricas/telefônicas/lógica</v>
      </c>
      <c r="K2409" s="32" t="str">
        <f aca="false">INDEX('Curva ABC'!$K$8:$K$2847,MATCH(D2409,'Curva ABC'!$B$8:$B$2847,0))</f>
        <v>C</v>
      </c>
    </row>
    <row r="2410" customFormat="false" ht="15" hidden="false" customHeight="false" outlineLevel="0" collapsed="false">
      <c r="A2410" s="34" t="s">
        <v>5799</v>
      </c>
      <c r="B2410" s="34" t="str">
        <f aca="false">'Uso e Consumo'!A2410</f>
        <v>0335</v>
      </c>
      <c r="C2410" s="34" t="str">
        <f aca="false">'Uso e Consumo'!B2410</f>
        <v>UFV NORONHA VERDE - USO E CONSUMO</v>
      </c>
      <c r="D2410" s="33" t="n">
        <f aca="false">'Uso e Consumo'!C2410</f>
        <v>1322824</v>
      </c>
      <c r="E2410" s="34" t="str">
        <f aca="false">'Uso e Consumo'!D2410</f>
        <v>17.02.0841</v>
      </c>
      <c r="F2410" s="34" t="str">
        <f aca="false">'Uso e Consumo'!E2410</f>
        <v>JOELHO GR 90 PVC 25,00MM COM VISITA PARA ELETRODUTO (COR CINZA)</v>
      </c>
      <c r="G2410" s="34" t="str">
        <f aca="false">'Uso e Consumo'!J2410</f>
        <v>UN</v>
      </c>
      <c r="H2410" s="49" t="n">
        <f aca="false">'Uso e Consumo'!F2410</f>
        <v>13</v>
      </c>
      <c r="I2410" s="35" t="n">
        <f aca="false">'Uso e Consumo'!G2410</f>
        <v>43.55</v>
      </c>
      <c r="J2410" s="34" t="str">
        <f aca="false">'Uso e Consumo'!M2410</f>
        <v>3.8.1.018 - Instalações hidráulicas/sanitárias/industriais</v>
      </c>
      <c r="K2410" s="32" t="str">
        <f aca="false">INDEX('Curva ABC'!$K$8:$K$2847,MATCH(D2410,'Curva ABC'!$B$8:$B$2847,0))</f>
        <v>C</v>
      </c>
    </row>
    <row r="2411" customFormat="false" ht="15" hidden="false" customHeight="false" outlineLevel="0" collapsed="false">
      <c r="A2411" s="34" t="s">
        <v>5799</v>
      </c>
      <c r="B2411" s="34" t="str">
        <f aca="false">'Uso e Consumo'!A2411</f>
        <v>0335</v>
      </c>
      <c r="C2411" s="34" t="str">
        <f aca="false">'Uso e Consumo'!B2411</f>
        <v>UFV NORONHA VERDE - USO E CONSUMO</v>
      </c>
      <c r="D2411" s="33" t="n">
        <f aca="false">'Uso e Consumo'!C2411</f>
        <v>14871</v>
      </c>
      <c r="E2411" s="34" t="str">
        <f aca="false">'Uso e Consumo'!D2411</f>
        <v>18.01.0446</v>
      </c>
      <c r="F2411" s="34" t="str">
        <f aca="false">'Uso e Consumo'!E2411</f>
        <v>LUVA PVC ROSCAVEL 3/4"</v>
      </c>
      <c r="G2411" s="34" t="str">
        <f aca="false">'Uso e Consumo'!J2411</f>
        <v>UN</v>
      </c>
      <c r="H2411" s="49" t="n">
        <f aca="false">'Uso e Consumo'!F2411</f>
        <v>35</v>
      </c>
      <c r="I2411" s="35" t="n">
        <f aca="false">'Uso e Consumo'!G2411</f>
        <v>43.05</v>
      </c>
      <c r="J2411" s="34" t="str">
        <f aca="false">'Uso e Consumo'!M2411</f>
        <v>3.8.1.018 - Instalações hidráulicas/sanitárias/industriais</v>
      </c>
      <c r="K2411" s="32" t="str">
        <f aca="false">INDEX('Curva ABC'!$K$8:$K$2847,MATCH(D2411,'Curva ABC'!$B$8:$B$2847,0))</f>
        <v>C</v>
      </c>
    </row>
    <row r="2412" customFormat="false" ht="15" hidden="false" customHeight="false" outlineLevel="0" collapsed="false">
      <c r="A2412" s="34" t="s">
        <v>5799</v>
      </c>
      <c r="B2412" s="34" t="str">
        <f aca="false">'Uso e Consumo'!A2412</f>
        <v>0335</v>
      </c>
      <c r="C2412" s="34" t="str">
        <f aca="false">'Uso e Consumo'!B2412</f>
        <v>UFV NORONHA VERDE - USO E CONSUMO</v>
      </c>
      <c r="D2412" s="33" t="n">
        <f aca="false">'Uso e Consumo'!C2412</f>
        <v>952597</v>
      </c>
      <c r="E2412" s="34" t="str">
        <f aca="false">'Uso e Consumo'!D2412</f>
        <v>13.06.0326</v>
      </c>
      <c r="F2412" s="34" t="str">
        <f aca="false">'Uso e Consumo'!E2412</f>
        <v>DOBRADIÇA SIMPLES 1 3/4</v>
      </c>
      <c r="G2412" s="34" t="str">
        <f aca="false">'Uso e Consumo'!J2412</f>
        <v>UN</v>
      </c>
      <c r="H2412" s="49" t="n">
        <f aca="false">'Uso e Consumo'!F2412</f>
        <v>10</v>
      </c>
      <c r="I2412" s="35" t="n">
        <f aca="false">'Uso e Consumo'!G2412</f>
        <v>43</v>
      </c>
      <c r="J2412" s="34" t="str">
        <f aca="false">'Uso e Consumo'!M2412</f>
        <v>3.8.1.013 - Esquadrias e vidros</v>
      </c>
      <c r="K2412" s="32" t="str">
        <f aca="false">INDEX('Curva ABC'!$K$8:$K$2847,MATCH(D2412,'Curva ABC'!$B$8:$B$2847,0))</f>
        <v>C</v>
      </c>
    </row>
    <row r="2413" customFormat="false" ht="15" hidden="false" customHeight="false" outlineLevel="0" collapsed="false">
      <c r="A2413" s="34" t="s">
        <v>5799</v>
      </c>
      <c r="B2413" s="34" t="str">
        <f aca="false">'Uso e Consumo'!A2413</f>
        <v>0335</v>
      </c>
      <c r="C2413" s="34" t="str">
        <f aca="false">'Uso e Consumo'!B2413</f>
        <v>UFV NORONHA VERDE - USO E CONSUMO</v>
      </c>
      <c r="D2413" s="33" t="n">
        <f aca="false">'Uso e Consumo'!C2413</f>
        <v>15443</v>
      </c>
      <c r="E2413" s="34" t="str">
        <f aca="false">'Uso e Consumo'!D2413</f>
        <v>18.02.0298</v>
      </c>
      <c r="F2413" s="34" t="str">
        <f aca="false">'Uso e Consumo'!E2413</f>
        <v>LUVA AÇO CARBONO GALVANIZADO BSP 3/4"</v>
      </c>
      <c r="G2413" s="34" t="str">
        <f aca="false">'Uso e Consumo'!J2413</f>
        <v>UN</v>
      </c>
      <c r="H2413" s="49" t="n">
        <f aca="false">'Uso e Consumo'!F2413</f>
        <v>8</v>
      </c>
      <c r="I2413" s="35" t="n">
        <f aca="false">'Uso e Consumo'!G2413</f>
        <v>42.72</v>
      </c>
      <c r="J2413" s="34" t="str">
        <f aca="false">'Uso e Consumo'!M2413</f>
        <v>3.8.1.018 - Instalações hidráulicas/sanitárias/industriais</v>
      </c>
      <c r="K2413" s="32" t="str">
        <f aca="false">INDEX('Curva ABC'!$K$8:$K$2847,MATCH(D2413,'Curva ABC'!$B$8:$B$2847,0))</f>
        <v>C</v>
      </c>
    </row>
    <row r="2414" customFormat="false" ht="15" hidden="false" customHeight="false" outlineLevel="0" collapsed="false">
      <c r="A2414" s="34" t="s">
        <v>5799</v>
      </c>
      <c r="B2414" s="34" t="str">
        <f aca="false">'Uso e Consumo'!A2414</f>
        <v>0335</v>
      </c>
      <c r="C2414" s="34" t="str">
        <f aca="false">'Uso e Consumo'!B2414</f>
        <v>UFV NORONHA VERDE - USO E CONSUMO</v>
      </c>
      <c r="D2414" s="33" t="n">
        <f aca="false">'Uso e Consumo'!C2414</f>
        <v>1614272</v>
      </c>
      <c r="E2414" s="34" t="str">
        <f aca="false">'Uso e Consumo'!D2414</f>
        <v>17.03.0619</v>
      </c>
      <c r="F2414" s="34" t="str">
        <f aca="false">'Uso e Consumo'!E2414</f>
        <v>FLANGE ELETROCALHA 200X100MM</v>
      </c>
      <c r="G2414" s="34" t="str">
        <f aca="false">'Uso e Consumo'!J2414</f>
        <v>UN</v>
      </c>
      <c r="H2414" s="49" t="n">
        <f aca="false">'Uso e Consumo'!F2414</f>
        <v>2</v>
      </c>
      <c r="I2414" s="35" t="n">
        <f aca="false">'Uso e Consumo'!G2414</f>
        <v>42.22</v>
      </c>
      <c r="J2414" s="34" t="str">
        <f aca="false">'Uso e Consumo'!M2414</f>
        <v>3.8.1.017 - Instalações elétricas/telefônicas/lógica</v>
      </c>
      <c r="K2414" s="32" t="str">
        <f aca="false">INDEX('Curva ABC'!$K$8:$K$2847,MATCH(D2414,'Curva ABC'!$B$8:$B$2847,0))</f>
        <v>C</v>
      </c>
    </row>
    <row r="2415" customFormat="false" ht="15" hidden="false" customHeight="false" outlineLevel="0" collapsed="false">
      <c r="A2415" s="34" t="s">
        <v>5799</v>
      </c>
      <c r="B2415" s="34" t="str">
        <f aca="false">'Uso e Consumo'!A2415</f>
        <v>0335</v>
      </c>
      <c r="C2415" s="34" t="str">
        <f aca="false">'Uso e Consumo'!B2415</f>
        <v>UFV NORONHA VERDE - USO E CONSUMO</v>
      </c>
      <c r="D2415" s="33" t="n">
        <f aca="false">'Uso e Consumo'!C2415</f>
        <v>56733</v>
      </c>
      <c r="E2415" s="34" t="str">
        <f aca="false">'Uso e Consumo'!D2415</f>
        <v>17.16.0134</v>
      </c>
      <c r="F2415" s="34" t="str">
        <f aca="false">'Uso e Consumo'!E2415</f>
        <v>TERMINAL PRÉ-ISOLADO TIPO OLHAL COBRE ESTANHADO 25,00MM2</v>
      </c>
      <c r="G2415" s="34" t="str">
        <f aca="false">'Uso e Consumo'!J2415</f>
        <v>UN</v>
      </c>
      <c r="H2415" s="49" t="n">
        <f aca="false">'Uso e Consumo'!F2415</f>
        <v>20</v>
      </c>
      <c r="I2415" s="35" t="n">
        <f aca="false">'Uso e Consumo'!G2415</f>
        <v>42.2</v>
      </c>
      <c r="J2415" s="34" t="str">
        <f aca="false">'Uso e Consumo'!M2415</f>
        <v>3.8.1.017 - Instalações elétricas/telefônicas/lógica</v>
      </c>
      <c r="K2415" s="32" t="str">
        <f aca="false">INDEX('Curva ABC'!$K$8:$K$2847,MATCH(D2415,'Curva ABC'!$B$8:$B$2847,0))</f>
        <v>C</v>
      </c>
    </row>
    <row r="2416" customFormat="false" ht="15" hidden="false" customHeight="false" outlineLevel="0" collapsed="false">
      <c r="A2416" s="34" t="s">
        <v>5799</v>
      </c>
      <c r="B2416" s="34" t="str">
        <f aca="false">'Uso e Consumo'!A2416</f>
        <v>0335</v>
      </c>
      <c r="C2416" s="34" t="str">
        <f aca="false">'Uso e Consumo'!B2416</f>
        <v>UFV NORONHA VERDE - USO E CONSUMO</v>
      </c>
      <c r="D2416" s="33" t="n">
        <f aca="false">'Uso e Consumo'!C2416</f>
        <v>550168</v>
      </c>
      <c r="E2416" s="34" t="str">
        <f aca="false">'Uso e Consumo'!D2416</f>
        <v>33.02.2101</v>
      </c>
      <c r="F2416" s="34" t="str">
        <f aca="false">'Uso e Consumo'!E2416</f>
        <v>PARAFUSO 09H1777</v>
      </c>
      <c r="G2416" s="34" t="str">
        <f aca="false">'Uso e Consumo'!J2416</f>
        <v>UN</v>
      </c>
      <c r="H2416" s="49" t="n">
        <f aca="false">'Uso e Consumo'!F2416</f>
        <v>10</v>
      </c>
      <c r="I2416" s="35" t="n">
        <f aca="false">'Uso e Consumo'!G2416</f>
        <v>42.1</v>
      </c>
      <c r="J2416" s="34" t="str">
        <f aca="false">'Uso e Consumo'!M2416</f>
        <v>3.1.6.002 - Pneus e peças</v>
      </c>
      <c r="K2416" s="32" t="str">
        <f aca="false">INDEX('Curva ABC'!$K$8:$K$2847,MATCH(D2416,'Curva ABC'!$B$8:$B$2847,0))</f>
        <v>C</v>
      </c>
    </row>
    <row r="2417" customFormat="false" ht="15" hidden="false" customHeight="false" outlineLevel="0" collapsed="false">
      <c r="A2417" s="34" t="s">
        <v>5799</v>
      </c>
      <c r="B2417" s="34" t="str">
        <f aca="false">'Uso e Consumo'!A2417</f>
        <v>0335</v>
      </c>
      <c r="C2417" s="34" t="str">
        <f aca="false">'Uso e Consumo'!B2417</f>
        <v>UFV NORONHA VERDE - USO E CONSUMO</v>
      </c>
      <c r="D2417" s="33" t="n">
        <f aca="false">'Uso e Consumo'!C2417</f>
        <v>556795</v>
      </c>
      <c r="E2417" s="34" t="str">
        <f aca="false">'Uso e Consumo'!D2417</f>
        <v>24.09.0500</v>
      </c>
      <c r="F2417" s="34" t="str">
        <f aca="false">'Uso e Consumo'!E2417</f>
        <v>CHAVE COMBINADA 11 MM</v>
      </c>
      <c r="G2417" s="34" t="str">
        <f aca="false">'Uso e Consumo'!J2417</f>
        <v>UN</v>
      </c>
      <c r="H2417" s="49" t="n">
        <f aca="false">'Uso e Consumo'!F2417</f>
        <v>1</v>
      </c>
      <c r="I2417" s="35" t="n">
        <f aca="false">'Uso e Consumo'!G2417</f>
        <v>41.98</v>
      </c>
      <c r="J2417" s="34" t="str">
        <f aca="false">'Uso e Consumo'!M2417</f>
        <v>3.8.2.002 - Ferramentas manuais</v>
      </c>
      <c r="K2417" s="32" t="str">
        <f aca="false">INDEX('Curva ABC'!$K$8:$K$2847,MATCH(D2417,'Curva ABC'!$B$8:$B$2847,0))</f>
        <v>C</v>
      </c>
    </row>
    <row r="2418" customFormat="false" ht="15" hidden="false" customHeight="false" outlineLevel="0" collapsed="false">
      <c r="A2418" s="34" t="s">
        <v>5799</v>
      </c>
      <c r="B2418" s="34" t="str">
        <f aca="false">'Uso e Consumo'!A2418</f>
        <v>0335</v>
      </c>
      <c r="C2418" s="34" t="str">
        <f aca="false">'Uso e Consumo'!B2418</f>
        <v>UFV NORONHA VERDE - USO E CONSUMO</v>
      </c>
      <c r="D2418" s="33" t="n">
        <f aca="false">'Uso e Consumo'!C2418</f>
        <v>57792</v>
      </c>
      <c r="E2418" s="34" t="str">
        <f aca="false">'Uso e Consumo'!D2418</f>
        <v>23.02.0277</v>
      </c>
      <c r="F2418" s="34" t="str">
        <f aca="false">'Uso e Consumo'!E2418</f>
        <v>ABRAÇADEIRA DE AÇO 7,00 CM</v>
      </c>
      <c r="G2418" s="34" t="str">
        <f aca="false">'Uso e Consumo'!J2418</f>
        <v>UN</v>
      </c>
      <c r="H2418" s="49" t="n">
        <f aca="false">'Uso e Consumo'!F2418</f>
        <v>6</v>
      </c>
      <c r="I2418" s="35" t="n">
        <f aca="false">'Uso e Consumo'!G2418</f>
        <v>41.88</v>
      </c>
      <c r="J2418" s="34" t="str">
        <f aca="false">'Uso e Consumo'!M2418</f>
        <v>3.8.1.022 - Elementos de fixação</v>
      </c>
      <c r="K2418" s="32" t="str">
        <f aca="false">INDEX('Curva ABC'!$K$8:$K$2847,MATCH(D2418,'Curva ABC'!$B$8:$B$2847,0))</f>
        <v>C</v>
      </c>
    </row>
    <row r="2419" customFormat="false" ht="15" hidden="false" customHeight="false" outlineLevel="0" collapsed="false">
      <c r="A2419" s="34" t="s">
        <v>5799</v>
      </c>
      <c r="B2419" s="34" t="str">
        <f aca="false">'Uso e Consumo'!A2419</f>
        <v>0335</v>
      </c>
      <c r="C2419" s="34" t="str">
        <f aca="false">'Uso e Consumo'!B2419</f>
        <v>UFV NORONHA VERDE - USO E CONSUMO</v>
      </c>
      <c r="D2419" s="33" t="n">
        <f aca="false">'Uso e Consumo'!C2419</f>
        <v>966284</v>
      </c>
      <c r="E2419" s="34" t="str">
        <f aca="false">'Uso e Consumo'!D2419</f>
        <v>23.02.0418</v>
      </c>
      <c r="F2419" s="34" t="str">
        <f aca="false">'Uso e Consumo'!E2419</f>
        <v>ABRAÇADEIRA AÇO 20</v>
      </c>
      <c r="G2419" s="34" t="str">
        <f aca="false">'Uso e Consumo'!J2419</f>
        <v>UN</v>
      </c>
      <c r="H2419" s="49" t="n">
        <f aca="false">'Uso e Consumo'!F2419</f>
        <v>6</v>
      </c>
      <c r="I2419" s="35" t="n">
        <f aca="false">'Uso e Consumo'!G2419</f>
        <v>41.88</v>
      </c>
      <c r="J2419" s="34" t="str">
        <f aca="false">'Uso e Consumo'!M2419</f>
        <v>3.8.1.022 - Elementos de fixação</v>
      </c>
      <c r="K2419" s="32" t="str">
        <f aca="false">INDEX('Curva ABC'!$K$8:$K$2847,MATCH(D2419,'Curva ABC'!$B$8:$B$2847,0))</f>
        <v>C</v>
      </c>
    </row>
    <row r="2420" customFormat="false" ht="15" hidden="false" customHeight="false" outlineLevel="0" collapsed="false">
      <c r="A2420" s="34" t="s">
        <v>5799</v>
      </c>
      <c r="B2420" s="34" t="str">
        <f aca="false">'Uso e Consumo'!A2420</f>
        <v>0335</v>
      </c>
      <c r="C2420" s="34" t="str">
        <f aca="false">'Uso e Consumo'!B2420</f>
        <v>UFV NORONHA VERDE - USO E CONSUMO</v>
      </c>
      <c r="D2420" s="33" t="n">
        <f aca="false">'Uso e Consumo'!C2420</f>
        <v>22994</v>
      </c>
      <c r="E2420" s="34" t="str">
        <f aca="false">'Uso e Consumo'!D2420</f>
        <v>17.10.0160</v>
      </c>
      <c r="F2420" s="34" t="str">
        <f aca="false">'Uso e Consumo'!E2420</f>
        <v>DISJUNTOR TERMOMAGNÉTICO UNIPOLAR – 40A 230 / 400V – MOD.: SD C40 - STECK NBR 60898</v>
      </c>
      <c r="G2420" s="34" t="str">
        <f aca="false">'Uso e Consumo'!J2420</f>
        <v>UN</v>
      </c>
      <c r="H2420" s="49" t="n">
        <f aca="false">'Uso e Consumo'!F2420</f>
        <v>4</v>
      </c>
      <c r="I2420" s="35" t="n">
        <f aca="false">'Uso e Consumo'!G2420</f>
        <v>41.84</v>
      </c>
      <c r="J2420" s="34" t="str">
        <f aca="false">'Uso e Consumo'!M2420</f>
        <v>3.8.1.017 - Instalações elétricas/telefônicas/lógica</v>
      </c>
      <c r="K2420" s="32" t="str">
        <f aca="false">INDEX('Curva ABC'!$K$8:$K$2847,MATCH(D2420,'Curva ABC'!$B$8:$B$2847,0))</f>
        <v>C</v>
      </c>
    </row>
    <row r="2421" customFormat="false" ht="15" hidden="false" customHeight="false" outlineLevel="0" collapsed="false">
      <c r="A2421" s="34" t="s">
        <v>5799</v>
      </c>
      <c r="B2421" s="34" t="str">
        <f aca="false">'Uso e Consumo'!A2421</f>
        <v>0335</v>
      </c>
      <c r="C2421" s="34" t="str">
        <f aca="false">'Uso e Consumo'!B2421</f>
        <v>UFV NORONHA VERDE - USO E CONSUMO</v>
      </c>
      <c r="D2421" s="33" t="n">
        <f aca="false">'Uso e Consumo'!C2421</f>
        <v>278518</v>
      </c>
      <c r="E2421" s="34" t="str">
        <f aca="false">'Uso e Consumo'!D2421</f>
        <v>17.10.0328</v>
      </c>
      <c r="F2421" s="34" t="str">
        <f aca="false">'Uso e Consumo'!E2421</f>
        <v>DISJUNTOR 1P 40 A NBR 60898</v>
      </c>
      <c r="G2421" s="34" t="str">
        <f aca="false">'Uso e Consumo'!J2421</f>
        <v>UN</v>
      </c>
      <c r="H2421" s="49" t="n">
        <f aca="false">'Uso e Consumo'!F2421</f>
        <v>4</v>
      </c>
      <c r="I2421" s="35" t="n">
        <f aca="false">'Uso e Consumo'!G2421</f>
        <v>41.84</v>
      </c>
      <c r="J2421" s="34" t="str">
        <f aca="false">'Uso e Consumo'!M2421</f>
        <v>3.8.1.017 - Instalações elétricas/telefônicas/lógica</v>
      </c>
      <c r="K2421" s="32" t="str">
        <f aca="false">INDEX('Curva ABC'!$K$8:$K$2847,MATCH(D2421,'Curva ABC'!$B$8:$B$2847,0))</f>
        <v>C</v>
      </c>
    </row>
    <row r="2422" customFormat="false" ht="15" hidden="false" customHeight="false" outlineLevel="0" collapsed="false">
      <c r="A2422" s="34" t="s">
        <v>5799</v>
      </c>
      <c r="B2422" s="34" t="str">
        <f aca="false">'Uso e Consumo'!A2422</f>
        <v>0335</v>
      </c>
      <c r="C2422" s="34" t="str">
        <f aca="false">'Uso e Consumo'!B2422</f>
        <v>UFV NORONHA VERDE - USO E CONSUMO</v>
      </c>
      <c r="D2422" s="33" t="n">
        <f aca="false">'Uso e Consumo'!C2422</f>
        <v>14346</v>
      </c>
      <c r="E2422" s="34" t="str">
        <f aca="false">'Uso e Consumo'!D2422</f>
        <v>17.16.0050</v>
      </c>
      <c r="F2422" s="34" t="str">
        <f aca="false">'Uso e Consumo'!E2422</f>
        <v>TERMINAL PRE-ISOLADO PINO COBRE ESTANHADO 35,00MM2</v>
      </c>
      <c r="G2422" s="34" t="str">
        <f aca="false">'Uso e Consumo'!J2422</f>
        <v>UN</v>
      </c>
      <c r="H2422" s="49" t="n">
        <f aca="false">'Uso e Consumo'!F2422</f>
        <v>20</v>
      </c>
      <c r="I2422" s="35" t="n">
        <f aca="false">'Uso e Consumo'!G2422</f>
        <v>41.8</v>
      </c>
      <c r="J2422" s="34" t="str">
        <f aca="false">'Uso e Consumo'!M2422</f>
        <v>3.8.1.017 - Instalações elétricas/telefônicas/lógica</v>
      </c>
      <c r="K2422" s="32" t="str">
        <f aca="false">INDEX('Curva ABC'!$K$8:$K$2847,MATCH(D2422,'Curva ABC'!$B$8:$B$2847,0))</f>
        <v>C</v>
      </c>
    </row>
    <row r="2423" customFormat="false" ht="15" hidden="false" customHeight="false" outlineLevel="0" collapsed="false">
      <c r="A2423" s="34" t="s">
        <v>5799</v>
      </c>
      <c r="B2423" s="34" t="str">
        <f aca="false">'Uso e Consumo'!A2423</f>
        <v>0335</v>
      </c>
      <c r="C2423" s="34" t="str">
        <f aca="false">'Uso e Consumo'!B2423</f>
        <v>UFV NORONHA VERDE - USO E CONSUMO</v>
      </c>
      <c r="D2423" s="33" t="n">
        <f aca="false">'Uso e Consumo'!C2423</f>
        <v>1322826</v>
      </c>
      <c r="E2423" s="34" t="str">
        <f aca="false">'Uso e Consumo'!D2423</f>
        <v>17.02.0843</v>
      </c>
      <c r="F2423" s="34" t="str">
        <f aca="false">'Uso e Consumo'!E2423</f>
        <v>LUVA PARA ELETRODUTO PVC DE 3/4'' (COR CINZA)</v>
      </c>
      <c r="G2423" s="34" t="str">
        <f aca="false">'Uso e Consumo'!J2423</f>
        <v>UN</v>
      </c>
      <c r="H2423" s="49" t="n">
        <f aca="false">'Uso e Consumo'!F2423</f>
        <v>39</v>
      </c>
      <c r="I2423" s="35" t="n">
        <f aca="false">'Uso e Consumo'!G2423</f>
        <v>41.73</v>
      </c>
      <c r="J2423" s="34" t="str">
        <f aca="false">'Uso e Consumo'!M2423</f>
        <v>3.8.1.017 - Instalações elétricas/telefônicas/lógica</v>
      </c>
      <c r="K2423" s="32" t="str">
        <f aca="false">INDEX('Curva ABC'!$K$8:$K$2847,MATCH(D2423,'Curva ABC'!$B$8:$B$2847,0))</f>
        <v>C</v>
      </c>
    </row>
    <row r="2424" customFormat="false" ht="15" hidden="false" customHeight="false" outlineLevel="0" collapsed="false">
      <c r="A2424" s="34" t="s">
        <v>5799</v>
      </c>
      <c r="B2424" s="34" t="str">
        <f aca="false">'Uso e Consumo'!A2424</f>
        <v>0335</v>
      </c>
      <c r="C2424" s="34" t="str">
        <f aca="false">'Uso e Consumo'!B2424</f>
        <v>UFV NORONHA VERDE - USO E CONSUMO</v>
      </c>
      <c r="D2424" s="33" t="n">
        <f aca="false">'Uso e Consumo'!C2424</f>
        <v>1330450</v>
      </c>
      <c r="E2424" s="34" t="str">
        <f aca="false">'Uso e Consumo'!D2424</f>
        <v>18.01.1588</v>
      </c>
      <c r="F2424" s="34" t="str">
        <f aca="false">'Uso e Consumo'!E2424</f>
        <v>UNIÃO COM ANEL SOLDÁVEL 32MM PVC </v>
      </c>
      <c r="G2424" s="34" t="str">
        <f aca="false">'Uso e Consumo'!J2424</f>
        <v>UN</v>
      </c>
      <c r="H2424" s="49" t="n">
        <f aca="false">'Uso e Consumo'!F2424</f>
        <v>2</v>
      </c>
      <c r="I2424" s="35" t="n">
        <f aca="false">'Uso e Consumo'!G2424</f>
        <v>41.68</v>
      </c>
      <c r="J2424" s="34" t="str">
        <f aca="false">'Uso e Consumo'!M2424</f>
        <v>3.8.1.018 - Instalações hidráulicas/sanitárias/industriais</v>
      </c>
      <c r="K2424" s="32" t="str">
        <f aca="false">INDEX('Curva ABC'!$K$8:$K$2847,MATCH(D2424,'Curva ABC'!$B$8:$B$2847,0))</f>
        <v>C</v>
      </c>
    </row>
    <row r="2425" customFormat="false" ht="15" hidden="false" customHeight="false" outlineLevel="0" collapsed="false">
      <c r="A2425" s="34" t="s">
        <v>5799</v>
      </c>
      <c r="B2425" s="34" t="str">
        <f aca="false">'Uso e Consumo'!A2425</f>
        <v>0335</v>
      </c>
      <c r="C2425" s="34" t="str">
        <f aca="false">'Uso e Consumo'!B2425</f>
        <v>UFV NORONHA VERDE - USO E CONSUMO</v>
      </c>
      <c r="D2425" s="33" t="n">
        <f aca="false">'Uso e Consumo'!C2425</f>
        <v>1383809</v>
      </c>
      <c r="E2425" s="34" t="str">
        <f aca="false">'Uso e Consumo'!D2425</f>
        <v>23.08.0086</v>
      </c>
      <c r="F2425" s="34" t="str">
        <f aca="false">'Uso e Consumo'!E2425</f>
        <v>BUCHA TERMINAL EM LIGA DE ALUMÍNIO, ALTA RESISTÊNCIA MECÂNICA E À CORROSÃO, PARA ELETRODUTO 1", ROSCA BSP</v>
      </c>
      <c r="G2425" s="34" t="str">
        <f aca="false">'Uso e Consumo'!J2425</f>
        <v>UN</v>
      </c>
      <c r="H2425" s="49" t="n">
        <f aca="false">'Uso e Consumo'!F2425</f>
        <v>9</v>
      </c>
      <c r="I2425" s="35" t="n">
        <f aca="false">'Uso e Consumo'!G2425</f>
        <v>41.59</v>
      </c>
      <c r="J2425" s="34" t="str">
        <f aca="false">'Uso e Consumo'!M2425</f>
        <v>3.8.1.022 - Elementos de fixação</v>
      </c>
      <c r="K2425" s="32" t="str">
        <f aca="false">INDEX('Curva ABC'!$K$8:$K$2847,MATCH(D2425,'Curva ABC'!$B$8:$B$2847,0))</f>
        <v>C</v>
      </c>
    </row>
    <row r="2426" customFormat="false" ht="15" hidden="false" customHeight="false" outlineLevel="0" collapsed="false">
      <c r="A2426" s="34" t="s">
        <v>5799</v>
      </c>
      <c r="B2426" s="34" t="str">
        <f aca="false">'Uso e Consumo'!A2426</f>
        <v>0335</v>
      </c>
      <c r="C2426" s="34" t="str">
        <f aca="false">'Uso e Consumo'!B2426</f>
        <v>UFV NORONHA VERDE - USO E CONSUMO</v>
      </c>
      <c r="D2426" s="33" t="n">
        <f aca="false">'Uso e Consumo'!C2426</f>
        <v>1485510</v>
      </c>
      <c r="E2426" s="34" t="str">
        <f aca="false">'Uso e Consumo'!D2426</f>
        <v>17.21.0117</v>
      </c>
      <c r="F2426" s="34" t="str">
        <f aca="false">'Uso e Consumo'!E2426</f>
        <v>JUNÇÃO INTERNA TIPO I PARA PERFILADO METÁLICO 38 X 38 MM GALVANIZADA A QUENTE</v>
      </c>
      <c r="G2426" s="34" t="str">
        <f aca="false">'Uso e Consumo'!J2426</f>
        <v>UN</v>
      </c>
      <c r="H2426" s="49" t="n">
        <f aca="false">'Uso e Consumo'!F2426</f>
        <v>12</v>
      </c>
      <c r="I2426" s="35" t="n">
        <f aca="false">'Uso e Consumo'!G2426</f>
        <v>41.52</v>
      </c>
      <c r="J2426" s="34" t="str">
        <f aca="false">'Uso e Consumo'!M2426</f>
        <v>3.8.1.017 - Instalações elétricas/telefônicas/lógica</v>
      </c>
      <c r="K2426" s="32" t="str">
        <f aca="false">INDEX('Curva ABC'!$K$8:$K$2847,MATCH(D2426,'Curva ABC'!$B$8:$B$2847,0))</f>
        <v>C</v>
      </c>
    </row>
    <row r="2427" customFormat="false" ht="15" hidden="false" customHeight="false" outlineLevel="0" collapsed="false">
      <c r="A2427" s="34" t="s">
        <v>5799</v>
      </c>
      <c r="B2427" s="34" t="str">
        <f aca="false">'Uso e Consumo'!A2427</f>
        <v>0335</v>
      </c>
      <c r="C2427" s="34" t="str">
        <f aca="false">'Uso e Consumo'!B2427</f>
        <v>UFV NORONHA VERDE - USO E CONSUMO</v>
      </c>
      <c r="D2427" s="33" t="n">
        <f aca="false">'Uso e Consumo'!C2427</f>
        <v>520105</v>
      </c>
      <c r="E2427" s="34" t="str">
        <f aca="false">'Uso e Consumo'!D2427</f>
        <v>17.02.0525</v>
      </c>
      <c r="F2427" s="34" t="str">
        <f aca="false">'Uso e Consumo'!E2427</f>
        <v>ARRUELA QUADRADA GALVANIZADA A FOGO PARA PARAFUSO M16</v>
      </c>
      <c r="G2427" s="34" t="str">
        <f aca="false">'Uso e Consumo'!J2427</f>
        <v>UN</v>
      </c>
      <c r="H2427" s="49" t="n">
        <f aca="false">'Uso e Consumo'!F2427</f>
        <v>24</v>
      </c>
      <c r="I2427" s="35" t="n">
        <f aca="false">'Uso e Consumo'!G2427</f>
        <v>40.8</v>
      </c>
      <c r="J2427" s="34" t="str">
        <f aca="false">'Uso e Consumo'!M2427</f>
        <v>3.8.1.022 - Elementos de fixação</v>
      </c>
      <c r="K2427" s="32" t="str">
        <f aca="false">INDEX('Curva ABC'!$K$8:$K$2847,MATCH(D2427,'Curva ABC'!$B$8:$B$2847,0))</f>
        <v>C</v>
      </c>
    </row>
    <row r="2428" customFormat="false" ht="15" hidden="false" customHeight="false" outlineLevel="0" collapsed="false">
      <c r="A2428" s="34" t="s">
        <v>5799</v>
      </c>
      <c r="B2428" s="34" t="str">
        <f aca="false">'Uso e Consumo'!A2428</f>
        <v>0335</v>
      </c>
      <c r="C2428" s="34" t="str">
        <f aca="false">'Uso e Consumo'!B2428</f>
        <v>UFV NORONHA VERDE - USO E CONSUMO</v>
      </c>
      <c r="D2428" s="33" t="n">
        <f aca="false">'Uso e Consumo'!C2428</f>
        <v>604202</v>
      </c>
      <c r="E2428" s="34" t="str">
        <f aca="false">'Uso e Consumo'!D2428</f>
        <v>25.03.0302</v>
      </c>
      <c r="F2428" s="34" t="str">
        <f aca="false">'Uso e Consumo'!E2428</f>
        <v>JOGO BROCA CONCRETO 5PC 43142/505</v>
      </c>
      <c r="G2428" s="34" t="str">
        <f aca="false">'Uso e Consumo'!J2428</f>
        <v>UN</v>
      </c>
      <c r="H2428" s="49" t="n">
        <f aca="false">'Uso e Consumo'!F2428</f>
        <v>1</v>
      </c>
      <c r="I2428" s="35" t="n">
        <f aca="false">'Uso e Consumo'!G2428</f>
        <v>40.64</v>
      </c>
      <c r="J2428" s="34" t="str">
        <f aca="false">'Uso e Consumo'!M2428</f>
        <v>3.8.2.004 - Consumíveis para corte, perfuração e desbaste</v>
      </c>
      <c r="K2428" s="32" t="str">
        <f aca="false">INDEX('Curva ABC'!$K$8:$K$2847,MATCH(D2428,'Curva ABC'!$B$8:$B$2847,0))</f>
        <v>C</v>
      </c>
    </row>
    <row r="2429" customFormat="false" ht="15" hidden="false" customHeight="false" outlineLevel="0" collapsed="false">
      <c r="A2429" s="34" t="s">
        <v>5799</v>
      </c>
      <c r="B2429" s="34" t="str">
        <f aca="false">'Uso e Consumo'!A2429</f>
        <v>0335</v>
      </c>
      <c r="C2429" s="34" t="str">
        <f aca="false">'Uso e Consumo'!B2429</f>
        <v>UFV NORONHA VERDE - USO E CONSUMO</v>
      </c>
      <c r="D2429" s="33" t="n">
        <f aca="false">'Uso e Consumo'!C2429</f>
        <v>1467943</v>
      </c>
      <c r="E2429" s="34" t="str">
        <f aca="false">'Uso e Consumo'!D2429</f>
        <v>27.01.0534</v>
      </c>
      <c r="F2429" s="34" t="str">
        <f aca="false">'Uso e Consumo'!E2429</f>
        <v>SORO RINGER COM LACTADO 500ML</v>
      </c>
      <c r="G2429" s="34" t="str">
        <f aca="false">'Uso e Consumo'!J2429</f>
        <v>UN</v>
      </c>
      <c r="H2429" s="49" t="n">
        <f aca="false">'Uso e Consumo'!F2429</f>
        <v>4</v>
      </c>
      <c r="I2429" s="35" t="n">
        <f aca="false">'Uso e Consumo'!G2429</f>
        <v>40</v>
      </c>
      <c r="J2429" s="34" t="str">
        <f aca="false">'Uso e Consumo'!M2429</f>
        <v>4.3.4.006 - Medicamentos e primeiro socorros</v>
      </c>
      <c r="K2429" s="32" t="str">
        <f aca="false">INDEX('Curva ABC'!$K$8:$K$2847,MATCH(D2429,'Curva ABC'!$B$8:$B$2847,0))</f>
        <v>C</v>
      </c>
    </row>
    <row r="2430" customFormat="false" ht="15" hidden="false" customHeight="false" outlineLevel="0" collapsed="false">
      <c r="A2430" s="34" t="s">
        <v>5799</v>
      </c>
      <c r="B2430" s="34" t="str">
        <f aca="false">'Uso e Consumo'!A2430</f>
        <v>0335</v>
      </c>
      <c r="C2430" s="34" t="str">
        <f aca="false">'Uso e Consumo'!B2430</f>
        <v>UFV NORONHA VERDE - USO E CONSUMO</v>
      </c>
      <c r="D2430" s="33" t="n">
        <f aca="false">'Uso e Consumo'!C2430</f>
        <v>1331021</v>
      </c>
      <c r="E2430" s="34" t="str">
        <f aca="false">'Uso e Consumo'!D2430</f>
        <v>30.11.0050</v>
      </c>
      <c r="F2430" s="34" t="str">
        <f aca="false">'Uso e Consumo'!E2430</f>
        <v>PLACA DECORATIVA MINI LOUSA CAVALETE 30X20CM</v>
      </c>
      <c r="G2430" s="34" t="str">
        <f aca="false">'Uso e Consumo'!J2430</f>
        <v>UN</v>
      </c>
      <c r="H2430" s="49" t="n">
        <f aca="false">'Uso e Consumo'!F2430</f>
        <v>1</v>
      </c>
      <c r="I2430" s="35" t="n">
        <f aca="false">'Uso e Consumo'!G2430</f>
        <v>39.99</v>
      </c>
      <c r="J2430" s="34" t="str">
        <f aca="false">'Uso e Consumo'!M2430</f>
        <v>4.4.3.001 - Eventos e confraternizações</v>
      </c>
      <c r="K2430" s="32" t="str">
        <f aca="false">INDEX('Curva ABC'!$K$8:$K$2847,MATCH(D2430,'Curva ABC'!$B$8:$B$2847,0))</f>
        <v>C</v>
      </c>
    </row>
    <row r="2431" customFormat="false" ht="15" hidden="false" customHeight="false" outlineLevel="0" collapsed="false">
      <c r="A2431" s="34" t="s">
        <v>5799</v>
      </c>
      <c r="B2431" s="34" t="str">
        <f aca="false">'Uso e Consumo'!A2431</f>
        <v>0335</v>
      </c>
      <c r="C2431" s="34" t="str">
        <f aca="false">'Uso e Consumo'!B2431</f>
        <v>UFV NORONHA VERDE - USO E CONSUMO</v>
      </c>
      <c r="D2431" s="33" t="n">
        <f aca="false">'Uso e Consumo'!C2431</f>
        <v>22128</v>
      </c>
      <c r="E2431" s="34" t="str">
        <f aca="false">'Uso e Consumo'!D2431</f>
        <v>24.31.0003</v>
      </c>
      <c r="F2431" s="34" t="str">
        <f aca="false">'Uso e Consumo'!E2431</f>
        <v>ESCOVA DE AÇO RETANGULAR</v>
      </c>
      <c r="G2431" s="34" t="str">
        <f aca="false">'Uso e Consumo'!J2431</f>
        <v>UN</v>
      </c>
      <c r="H2431" s="49" t="n">
        <f aca="false">'Uso e Consumo'!F2431</f>
        <v>1</v>
      </c>
      <c r="I2431" s="35" t="n">
        <f aca="false">'Uso e Consumo'!G2431</f>
        <v>39.98</v>
      </c>
      <c r="J2431" s="34" t="str">
        <f aca="false">'Uso e Consumo'!M2431</f>
        <v>6.1.2.002 - Ferramentas e utensílios</v>
      </c>
      <c r="K2431" s="32" t="str">
        <f aca="false">INDEX('Curva ABC'!$K$8:$K$2847,MATCH(D2431,'Curva ABC'!$B$8:$B$2847,0))</f>
        <v>C</v>
      </c>
    </row>
    <row r="2432" customFormat="false" ht="15" hidden="false" customHeight="false" outlineLevel="0" collapsed="false">
      <c r="A2432" s="34" t="s">
        <v>5799</v>
      </c>
      <c r="B2432" s="34" t="str">
        <f aca="false">'Uso e Consumo'!A2432</f>
        <v>0335</v>
      </c>
      <c r="C2432" s="34" t="str">
        <f aca="false">'Uso e Consumo'!B2432</f>
        <v>UFV NORONHA VERDE - USO E CONSUMO</v>
      </c>
      <c r="D2432" s="33" t="n">
        <f aca="false">'Uso e Consumo'!C2432</f>
        <v>429117</v>
      </c>
      <c r="E2432" s="34" t="str">
        <f aca="false">'Uso e Consumo'!D2432</f>
        <v>30.01.0619</v>
      </c>
      <c r="F2432" s="34" t="str">
        <f aca="false">'Uso e Consumo'!E2432</f>
        <v>FITA CREPE</v>
      </c>
      <c r="G2432" s="34" t="str">
        <f aca="false">'Uso e Consumo'!J2432</f>
        <v>UN</v>
      </c>
      <c r="H2432" s="49" t="n">
        <f aca="false">'Uso e Consumo'!F2432</f>
        <v>1</v>
      </c>
      <c r="I2432" s="35" t="n">
        <f aca="false">'Uso e Consumo'!G2432</f>
        <v>39.98</v>
      </c>
      <c r="J2432" s="34" t="str">
        <f aca="false">'Uso e Consumo'!M2432</f>
        <v>4.1.1.002 - Material expediente</v>
      </c>
      <c r="K2432" s="32" t="str">
        <f aca="false">INDEX('Curva ABC'!$K$8:$K$2847,MATCH(D2432,'Curva ABC'!$B$8:$B$2847,0))</f>
        <v>C</v>
      </c>
    </row>
    <row r="2433" customFormat="false" ht="15" hidden="false" customHeight="false" outlineLevel="0" collapsed="false">
      <c r="A2433" s="34" t="s">
        <v>5799</v>
      </c>
      <c r="B2433" s="34" t="str">
        <f aca="false">'Uso e Consumo'!A2433</f>
        <v>0335</v>
      </c>
      <c r="C2433" s="34" t="str">
        <f aca="false">'Uso e Consumo'!B2433</f>
        <v>UFV NORONHA VERDE - USO E CONSUMO</v>
      </c>
      <c r="D2433" s="33" t="n">
        <f aca="false">'Uso e Consumo'!C2433</f>
        <v>861122</v>
      </c>
      <c r="E2433" s="34" t="str">
        <f aca="false">'Uso e Consumo'!D2433</f>
        <v>27.01.0413</v>
      </c>
      <c r="F2433" s="34" t="str">
        <f aca="false">'Uso e Consumo'!E2433</f>
        <v>DOMPERIDONA 10MG</v>
      </c>
      <c r="G2433" s="34" t="str">
        <f aca="false">'Uso e Consumo'!J2433</f>
        <v>UN</v>
      </c>
      <c r="H2433" s="49" t="n">
        <f aca="false">'Uso e Consumo'!F2433</f>
        <v>2</v>
      </c>
      <c r="I2433" s="35" t="n">
        <f aca="false">'Uso e Consumo'!G2433</f>
        <v>39.98</v>
      </c>
      <c r="J2433" s="34" t="str">
        <f aca="false">'Uso e Consumo'!M2433</f>
        <v>4.3.4.006 - Medicamentos e primeiro socorros</v>
      </c>
      <c r="K2433" s="32" t="str">
        <f aca="false">INDEX('Curva ABC'!$K$8:$K$2847,MATCH(D2433,'Curva ABC'!$B$8:$B$2847,0))</f>
        <v>C</v>
      </c>
    </row>
    <row r="2434" customFormat="false" ht="15" hidden="false" customHeight="false" outlineLevel="0" collapsed="false">
      <c r="A2434" s="34" t="s">
        <v>5799</v>
      </c>
      <c r="B2434" s="34" t="str">
        <f aca="false">'Uso e Consumo'!A2434</f>
        <v>0335</v>
      </c>
      <c r="C2434" s="34" t="str">
        <f aca="false">'Uso e Consumo'!B2434</f>
        <v>UFV NORONHA VERDE - USO E CONSUMO</v>
      </c>
      <c r="D2434" s="33" t="n">
        <f aca="false">'Uso e Consumo'!C2434</f>
        <v>23321</v>
      </c>
      <c r="E2434" s="34" t="str">
        <f aca="false">'Uso e Consumo'!D2434</f>
        <v>17.23.0001</v>
      </c>
      <c r="F2434" s="34" t="str">
        <f aca="false">'Uso e Consumo'!E2434</f>
        <v>BOTÃO PARA PARADA DE EMERGÊNCIA TIPO COGUMELO 40MM COR VERMELHA</v>
      </c>
      <c r="G2434" s="34" t="str">
        <f aca="false">'Uso e Consumo'!J2434</f>
        <v>UN</v>
      </c>
      <c r="H2434" s="49" t="n">
        <f aca="false">'Uso e Consumo'!F2434</f>
        <v>2</v>
      </c>
      <c r="I2434" s="35" t="n">
        <f aca="false">'Uso e Consumo'!G2434</f>
        <v>39.96</v>
      </c>
      <c r="J2434" s="34" t="str">
        <f aca="false">'Uso e Consumo'!M2434</f>
        <v>3.8.1.017 - Instalações elétricas/telefônicas/lógica</v>
      </c>
      <c r="K2434" s="32" t="str">
        <f aca="false">INDEX('Curva ABC'!$K$8:$K$2847,MATCH(D2434,'Curva ABC'!$B$8:$B$2847,0))</f>
        <v>C</v>
      </c>
    </row>
    <row r="2435" customFormat="false" ht="15" hidden="false" customHeight="false" outlineLevel="0" collapsed="false">
      <c r="A2435" s="34" t="s">
        <v>5799</v>
      </c>
      <c r="B2435" s="34" t="str">
        <f aca="false">'Uso e Consumo'!A2435</f>
        <v>0335</v>
      </c>
      <c r="C2435" s="34" t="str">
        <f aca="false">'Uso e Consumo'!B2435</f>
        <v>UFV NORONHA VERDE - USO E CONSUMO</v>
      </c>
      <c r="D2435" s="33" t="n">
        <f aca="false">'Uso e Consumo'!C2435</f>
        <v>1327594</v>
      </c>
      <c r="E2435" s="34" t="str">
        <f aca="false">'Uso e Consumo'!D2435</f>
        <v>18.01.1577</v>
      </c>
      <c r="F2435" s="34" t="str">
        <f aca="false">'Uso e Consumo'!E2435</f>
        <v>TÊ 1/4</v>
      </c>
      <c r="G2435" s="34" t="str">
        <f aca="false">'Uso e Consumo'!J2435</f>
        <v>UN</v>
      </c>
      <c r="H2435" s="49" t="n">
        <f aca="false">'Uso e Consumo'!F2435</f>
        <v>2</v>
      </c>
      <c r="I2435" s="35" t="n">
        <f aca="false">'Uso e Consumo'!G2435</f>
        <v>39.96</v>
      </c>
      <c r="J2435" s="34" t="str">
        <f aca="false">'Uso e Consumo'!M2435</f>
        <v>3.8.1.018 - Instalações hidráulicas/sanitárias/industriais</v>
      </c>
      <c r="K2435" s="32" t="str">
        <f aca="false">INDEX('Curva ABC'!$K$8:$K$2847,MATCH(D2435,'Curva ABC'!$B$8:$B$2847,0))</f>
        <v>C</v>
      </c>
    </row>
    <row r="2436" customFormat="false" ht="15" hidden="false" customHeight="false" outlineLevel="0" collapsed="false">
      <c r="A2436" s="34" t="s">
        <v>5799</v>
      </c>
      <c r="B2436" s="34" t="str">
        <f aca="false">'Uso e Consumo'!A2436</f>
        <v>0335</v>
      </c>
      <c r="C2436" s="34" t="str">
        <f aca="false">'Uso e Consumo'!B2436</f>
        <v>UFV NORONHA VERDE - USO E CONSUMO</v>
      </c>
      <c r="D2436" s="33" t="n">
        <f aca="false">'Uso e Consumo'!C2436</f>
        <v>1484084</v>
      </c>
      <c r="E2436" s="34" t="str">
        <f aca="false">'Uso e Consumo'!D2436</f>
        <v>23.07.1607</v>
      </c>
      <c r="F2436" s="34" t="str">
        <f aca="false">'Uso e Consumo'!E2436</f>
        <v>PARAFUSO CABEÇA LENTILHA AUTO TRAVANTE AÇO GALVANIZADO A FOGO 3/8" X 3/4"</v>
      </c>
      <c r="G2436" s="34" t="str">
        <f aca="false">'Uso e Consumo'!J2436</f>
        <v>UN</v>
      </c>
      <c r="H2436" s="49" t="n">
        <f aca="false">'Uso e Consumo'!F2436</f>
        <v>54</v>
      </c>
      <c r="I2436" s="35" t="n">
        <f aca="false">'Uso e Consumo'!G2436</f>
        <v>39.96</v>
      </c>
      <c r="J2436" s="34" t="str">
        <f aca="false">'Uso e Consumo'!M2436</f>
        <v>3.8.1.022 - Elementos de fixação</v>
      </c>
      <c r="K2436" s="32" t="str">
        <f aca="false">INDEX('Curva ABC'!$K$8:$K$2847,MATCH(D2436,'Curva ABC'!$B$8:$B$2847,0))</f>
        <v>C</v>
      </c>
    </row>
    <row r="2437" customFormat="false" ht="15" hidden="false" customHeight="false" outlineLevel="0" collapsed="false">
      <c r="A2437" s="34" t="s">
        <v>5799</v>
      </c>
      <c r="B2437" s="34" t="str">
        <f aca="false">'Uso e Consumo'!A2437</f>
        <v>0335</v>
      </c>
      <c r="C2437" s="34" t="str">
        <f aca="false">'Uso e Consumo'!B2437</f>
        <v>UFV NORONHA VERDE - USO E CONSUMO</v>
      </c>
      <c r="D2437" s="33" t="n">
        <f aca="false">'Uso e Consumo'!C2437</f>
        <v>1599712</v>
      </c>
      <c r="E2437" s="34" t="str">
        <f aca="false">'Uso e Consumo'!D2437</f>
        <v>18.09.0396</v>
      </c>
      <c r="F2437" s="34" t="str">
        <f aca="false">'Uso e Consumo'!E2437</f>
        <v>NÍPEL ROSCÁVEL EM PVC DIÂMETRO 1 1/2"</v>
      </c>
      <c r="G2437" s="34" t="str">
        <f aca="false">'Uso e Consumo'!J2437</f>
        <v>UN</v>
      </c>
      <c r="H2437" s="49" t="n">
        <f aca="false">'Uso e Consumo'!F2437</f>
        <v>4</v>
      </c>
      <c r="I2437" s="35" t="n">
        <f aca="false">'Uso e Consumo'!G2437</f>
        <v>39.92</v>
      </c>
      <c r="J2437" s="34" t="str">
        <f aca="false">'Uso e Consumo'!M2437</f>
        <v>3.8.1.018 - Instalações hidráulicas/sanitárias/industriais</v>
      </c>
      <c r="K2437" s="32" t="str">
        <f aca="false">INDEX('Curva ABC'!$K$8:$K$2847,MATCH(D2437,'Curva ABC'!$B$8:$B$2847,0))</f>
        <v>C</v>
      </c>
    </row>
    <row r="2438" customFormat="false" ht="15" hidden="false" customHeight="false" outlineLevel="0" collapsed="false">
      <c r="A2438" s="34" t="s">
        <v>5799</v>
      </c>
      <c r="B2438" s="34" t="str">
        <f aca="false">'Uso e Consumo'!A2438</f>
        <v>0335</v>
      </c>
      <c r="C2438" s="34" t="str">
        <f aca="false">'Uso e Consumo'!B2438</f>
        <v>UFV NORONHA VERDE - USO E CONSUMO</v>
      </c>
      <c r="D2438" s="33" t="n">
        <f aca="false">'Uso e Consumo'!C2438</f>
        <v>16230</v>
      </c>
      <c r="E2438" s="34" t="str">
        <f aca="false">'Uso e Consumo'!D2438</f>
        <v>18.10.0044</v>
      </c>
      <c r="F2438" s="34" t="str">
        <f aca="false">'Uso e Consumo'!E2438</f>
        <v>ANEL VEDAÇÃO BORRACHA BUTILICA BACIA SANITARIA S/GUIA</v>
      </c>
      <c r="G2438" s="34" t="str">
        <f aca="false">'Uso e Consumo'!J2438</f>
        <v>UN</v>
      </c>
      <c r="H2438" s="49" t="n">
        <f aca="false">'Uso e Consumo'!F2438</f>
        <v>5</v>
      </c>
      <c r="I2438" s="35" t="n">
        <f aca="false">'Uso e Consumo'!G2438</f>
        <v>39.9</v>
      </c>
      <c r="J2438" s="34" t="str">
        <f aca="false">'Uso e Consumo'!M2438</f>
        <v>3.8.1.018 - Instalações hidráulicas/sanitárias/industriais</v>
      </c>
      <c r="K2438" s="32" t="str">
        <f aca="false">INDEX('Curva ABC'!$K$8:$K$2847,MATCH(D2438,'Curva ABC'!$B$8:$B$2847,0))</f>
        <v>C</v>
      </c>
    </row>
    <row r="2439" customFormat="false" ht="15" hidden="false" customHeight="false" outlineLevel="0" collapsed="false">
      <c r="A2439" s="34" t="s">
        <v>5799</v>
      </c>
      <c r="B2439" s="34" t="str">
        <f aca="false">'Uso e Consumo'!A2439</f>
        <v>0335</v>
      </c>
      <c r="C2439" s="34" t="str">
        <f aca="false">'Uso e Consumo'!B2439</f>
        <v>UFV NORONHA VERDE - USO E CONSUMO</v>
      </c>
      <c r="D2439" s="33" t="n">
        <f aca="false">'Uso e Consumo'!C2439</f>
        <v>846343</v>
      </c>
      <c r="E2439" s="34" t="str">
        <f aca="false">'Uso e Consumo'!D2439</f>
        <v>30.05.0207</v>
      </c>
      <c r="F2439" s="34" t="str">
        <f aca="false">'Uso e Consumo'!E2439</f>
        <v>REFRIGERANTE COCA COLA</v>
      </c>
      <c r="G2439" s="34" t="str">
        <f aca="false">'Uso e Consumo'!J2439</f>
        <v>UN</v>
      </c>
      <c r="H2439" s="49" t="n">
        <f aca="false">'Uso e Consumo'!F2439</f>
        <v>2</v>
      </c>
      <c r="I2439" s="35" t="n">
        <f aca="false">'Uso e Consumo'!G2439</f>
        <v>39.9</v>
      </c>
      <c r="J2439" s="34" t="str">
        <f aca="false">'Uso e Consumo'!M2439</f>
        <v>4.1.1.001 - Material de uso e consumo</v>
      </c>
      <c r="K2439" s="32" t="str">
        <f aca="false">INDEX('Curva ABC'!$K$8:$K$2847,MATCH(D2439,'Curva ABC'!$B$8:$B$2847,0))</f>
        <v>C</v>
      </c>
    </row>
    <row r="2440" customFormat="false" ht="15" hidden="false" customHeight="false" outlineLevel="0" collapsed="false">
      <c r="A2440" s="34" t="s">
        <v>5799</v>
      </c>
      <c r="B2440" s="34" t="str">
        <f aca="false">'Uso e Consumo'!A2440</f>
        <v>0335</v>
      </c>
      <c r="C2440" s="34" t="str">
        <f aca="false">'Uso e Consumo'!B2440</f>
        <v>UFV NORONHA VERDE - USO E CONSUMO</v>
      </c>
      <c r="D2440" s="33" t="n">
        <f aca="false">'Uso e Consumo'!C2440</f>
        <v>65916</v>
      </c>
      <c r="E2440" s="34" t="str">
        <f aca="false">'Uso e Consumo'!D2440</f>
        <v>25.03.0240</v>
      </c>
      <c r="F2440" s="34" t="str">
        <f aca="false">'Uso e Consumo'!E2440</f>
        <v>BROCA P/MADEIRA 8MM</v>
      </c>
      <c r="G2440" s="34" t="str">
        <f aca="false">'Uso e Consumo'!J2440</f>
        <v>UN</v>
      </c>
      <c r="H2440" s="49" t="n">
        <f aca="false">'Uso e Consumo'!F2440</f>
        <v>10</v>
      </c>
      <c r="I2440" s="35" t="n">
        <f aca="false">'Uso e Consumo'!G2440</f>
        <v>39.3</v>
      </c>
      <c r="J2440" s="34" t="str">
        <f aca="false">'Uso e Consumo'!M2440</f>
        <v>3.8.2.004 - Consumíveis para corte, perfuração e desbaste</v>
      </c>
      <c r="K2440" s="32" t="str">
        <f aca="false">INDEX('Curva ABC'!$K$8:$K$2847,MATCH(D2440,'Curva ABC'!$B$8:$B$2847,0))</f>
        <v>C</v>
      </c>
    </row>
    <row r="2441" customFormat="false" ht="15" hidden="false" customHeight="false" outlineLevel="0" collapsed="false">
      <c r="A2441" s="34" t="s">
        <v>5799</v>
      </c>
      <c r="B2441" s="34" t="str">
        <f aca="false">'Uso e Consumo'!A2441</f>
        <v>0335</v>
      </c>
      <c r="C2441" s="34" t="str">
        <f aca="false">'Uso e Consumo'!B2441</f>
        <v>UFV NORONHA VERDE - USO E CONSUMO</v>
      </c>
      <c r="D2441" s="33" t="n">
        <f aca="false">'Uso e Consumo'!C2441</f>
        <v>55918</v>
      </c>
      <c r="E2441" s="34" t="str">
        <f aca="false">'Uso e Consumo'!D2441</f>
        <v>23.05.0139</v>
      </c>
      <c r="F2441" s="34" t="str">
        <f aca="false">'Uso e Consumo'!E2441</f>
        <v>ARRUELA QUADRADA AÇO CARBONO GALVANIZADA M16 X 50,00MM X 3,00MM</v>
      </c>
      <c r="G2441" s="34" t="str">
        <f aca="false">'Uso e Consumo'!J2441</f>
        <v>UN</v>
      </c>
      <c r="H2441" s="49" t="n">
        <f aca="false">'Uso e Consumo'!F2441</f>
        <v>12</v>
      </c>
      <c r="I2441" s="35" t="n">
        <f aca="false">'Uso e Consumo'!G2441</f>
        <v>39.12</v>
      </c>
      <c r="J2441" s="34" t="str">
        <f aca="false">'Uso e Consumo'!M2441</f>
        <v>3.8.1.022 - Elementos de fixação</v>
      </c>
      <c r="K2441" s="32" t="str">
        <f aca="false">INDEX('Curva ABC'!$K$8:$K$2847,MATCH(D2441,'Curva ABC'!$B$8:$B$2847,0))</f>
        <v>C</v>
      </c>
    </row>
    <row r="2442" customFormat="false" ht="15" hidden="false" customHeight="false" outlineLevel="0" collapsed="false">
      <c r="A2442" s="34" t="s">
        <v>5799</v>
      </c>
      <c r="B2442" s="34" t="str">
        <f aca="false">'Uso e Consumo'!A2442</f>
        <v>0335</v>
      </c>
      <c r="C2442" s="34" t="str">
        <f aca="false">'Uso e Consumo'!B2442</f>
        <v>UFV NORONHA VERDE - USO E CONSUMO</v>
      </c>
      <c r="D2442" s="33" t="n">
        <f aca="false">'Uso e Consumo'!C2442</f>
        <v>1329748</v>
      </c>
      <c r="E2442" s="34" t="str">
        <f aca="false">'Uso e Consumo'!D2442</f>
        <v>23.12.0059</v>
      </c>
      <c r="F2442" s="34" t="str">
        <f aca="false">'Uso e Consumo'!E2442</f>
        <v>REBITE ALUMINIO 512 C/1000</v>
      </c>
      <c r="G2442" s="34" t="str">
        <f aca="false">'Uso e Consumo'!J2442</f>
        <v>UN</v>
      </c>
      <c r="H2442" s="49" t="n">
        <f aca="false">'Uso e Consumo'!F2442</f>
        <v>50</v>
      </c>
      <c r="I2442" s="35" t="n">
        <f aca="false">'Uso e Consumo'!G2442</f>
        <v>39</v>
      </c>
      <c r="J2442" s="34" t="str">
        <f aca="false">'Uso e Consumo'!M2442</f>
        <v>3.8.1.022 - Elementos de fixação</v>
      </c>
      <c r="K2442" s="32" t="str">
        <f aca="false">INDEX('Curva ABC'!$K$8:$K$2847,MATCH(D2442,'Curva ABC'!$B$8:$B$2847,0))</f>
        <v>C</v>
      </c>
    </row>
    <row r="2443" customFormat="false" ht="15" hidden="false" customHeight="false" outlineLevel="0" collapsed="false">
      <c r="A2443" s="34" t="s">
        <v>5799</v>
      </c>
      <c r="B2443" s="34" t="str">
        <f aca="false">'Uso e Consumo'!A2443</f>
        <v>0335</v>
      </c>
      <c r="C2443" s="34" t="str">
        <f aca="false">'Uso e Consumo'!B2443</f>
        <v>UFV NORONHA VERDE - USO E CONSUMO</v>
      </c>
      <c r="D2443" s="33" t="n">
        <f aca="false">'Uso e Consumo'!C2443</f>
        <v>1462798</v>
      </c>
      <c r="E2443" s="34" t="str">
        <f aca="false">'Uso e Consumo'!D2443</f>
        <v>23.05.0290</v>
      </c>
      <c r="F2443" s="34" t="str">
        <f aca="false">'Uso e Consumo'!E2443</f>
        <v>ARRUELA LISA INOX 3/16"</v>
      </c>
      <c r="G2443" s="34" t="str">
        <f aca="false">'Uso e Consumo'!J2443</f>
        <v>UN</v>
      </c>
      <c r="H2443" s="49" t="n">
        <f aca="false">'Uso e Consumo'!F2443</f>
        <v>50</v>
      </c>
      <c r="I2443" s="35" t="n">
        <f aca="false">'Uso e Consumo'!G2443</f>
        <v>39</v>
      </c>
      <c r="J2443" s="34" t="str">
        <f aca="false">'Uso e Consumo'!M2443</f>
        <v>3.8.1.022 - Elementos de fixação</v>
      </c>
      <c r="K2443" s="32" t="str">
        <f aca="false">INDEX('Curva ABC'!$K$8:$K$2847,MATCH(D2443,'Curva ABC'!$B$8:$B$2847,0))</f>
        <v>C</v>
      </c>
    </row>
    <row r="2444" customFormat="false" ht="15" hidden="false" customHeight="false" outlineLevel="0" collapsed="false">
      <c r="A2444" s="34" t="s">
        <v>5799</v>
      </c>
      <c r="B2444" s="34" t="str">
        <f aca="false">'Uso e Consumo'!A2444</f>
        <v>0335</v>
      </c>
      <c r="C2444" s="34" t="str">
        <f aca="false">'Uso e Consumo'!B2444</f>
        <v>UFV NORONHA VERDE - USO E CONSUMO</v>
      </c>
      <c r="D2444" s="33" t="n">
        <f aca="false">'Uso e Consumo'!C2444</f>
        <v>1657129</v>
      </c>
      <c r="E2444" s="34" t="str">
        <f aca="false">'Uso e Consumo'!D2444</f>
        <v>23.02.0495</v>
      </c>
      <c r="F2444" s="34" t="str">
        <f aca="false">'Uso e Consumo'!E2444</f>
        <v>ABRACADEIRA TIPO "D" COM PARAFUSO, PARA ELETRODUTO DE DIAMETRO 2", EM ACO CARBONO GALVANIZADO A QUENTE</v>
      </c>
      <c r="G2444" s="34" t="str">
        <f aca="false">'Uso e Consumo'!J2444</f>
        <v>UN</v>
      </c>
      <c r="H2444" s="49" t="n">
        <f aca="false">'Uso e Consumo'!F2444</f>
        <v>2</v>
      </c>
      <c r="I2444" s="35" t="n">
        <f aca="false">'Uso e Consumo'!G2444</f>
        <v>39</v>
      </c>
      <c r="J2444" s="34" t="str">
        <f aca="false">'Uso e Consumo'!M2444</f>
        <v>3.8.1.022 - Elementos de fixação</v>
      </c>
      <c r="K2444" s="32" t="str">
        <f aca="false">INDEX('Curva ABC'!$K$8:$K$2847,MATCH(D2444,'Curva ABC'!$B$8:$B$2847,0))</f>
        <v>C</v>
      </c>
    </row>
    <row r="2445" customFormat="false" ht="15" hidden="false" customHeight="false" outlineLevel="0" collapsed="false">
      <c r="A2445" s="34" t="s">
        <v>5799</v>
      </c>
      <c r="B2445" s="34" t="str">
        <f aca="false">'Uso e Consumo'!A2445</f>
        <v>0335</v>
      </c>
      <c r="C2445" s="34" t="str">
        <f aca="false">'Uso e Consumo'!B2445</f>
        <v>UFV NORONHA VERDE - USO E CONSUMO</v>
      </c>
      <c r="D2445" s="33" t="n">
        <f aca="false">'Uso e Consumo'!C2445</f>
        <v>1461937</v>
      </c>
      <c r="E2445" s="34" t="str">
        <f aca="false">'Uso e Consumo'!D2445</f>
        <v>17.12.0506</v>
      </c>
      <c r="F2445" s="34" t="str">
        <f aca="false">'Uso e Consumo'!E2445</f>
        <v>PROLONGADOR ELÉTRICO FÊMERA 2P + T BRANCO 10A</v>
      </c>
      <c r="G2445" s="34" t="str">
        <f aca="false">'Uso e Consumo'!J2445</f>
        <v>UN</v>
      </c>
      <c r="H2445" s="49" t="n">
        <f aca="false">'Uso e Consumo'!F2445</f>
        <v>3</v>
      </c>
      <c r="I2445" s="35" t="n">
        <f aca="false">'Uso e Consumo'!G2445</f>
        <v>38.94</v>
      </c>
      <c r="J2445" s="34" t="str">
        <f aca="false">'Uso e Consumo'!M2445</f>
        <v>3.8.1.017 - Instalações elétricas/telefônicas/lógica</v>
      </c>
      <c r="K2445" s="32" t="str">
        <f aca="false">INDEX('Curva ABC'!$K$8:$K$2847,MATCH(D2445,'Curva ABC'!$B$8:$B$2847,0))</f>
        <v>C</v>
      </c>
    </row>
    <row r="2446" customFormat="false" ht="15" hidden="false" customHeight="false" outlineLevel="0" collapsed="false">
      <c r="A2446" s="34" t="s">
        <v>5799</v>
      </c>
      <c r="B2446" s="34" t="str">
        <f aca="false">'Uso e Consumo'!A2446</f>
        <v>0335</v>
      </c>
      <c r="C2446" s="34" t="str">
        <f aca="false">'Uso e Consumo'!B2446</f>
        <v>UFV NORONHA VERDE - USO E CONSUMO</v>
      </c>
      <c r="D2446" s="33" t="n">
        <f aca="false">'Uso e Consumo'!C2446</f>
        <v>33546</v>
      </c>
      <c r="E2446" s="34" t="str">
        <f aca="false">'Uso e Consumo'!D2446</f>
        <v>23.02.0233</v>
      </c>
      <c r="F2446" s="34" t="str">
        <f aca="false">'Uso e Consumo'!E2446</f>
        <v>ABRAÇADEIRA NYLON 7,5MM X 300MM</v>
      </c>
      <c r="G2446" s="34" t="str">
        <f aca="false">'Uso e Consumo'!J2446</f>
        <v>UN</v>
      </c>
      <c r="H2446" s="49" t="n">
        <f aca="false">'Uso e Consumo'!F2446</f>
        <v>13</v>
      </c>
      <c r="I2446" s="35" t="n">
        <f aca="false">'Uso e Consumo'!G2446</f>
        <v>38.74</v>
      </c>
      <c r="J2446" s="34" t="str">
        <f aca="false">'Uso e Consumo'!M2446</f>
        <v>3.8.1.022 - Elementos de fixação</v>
      </c>
      <c r="K2446" s="32" t="str">
        <f aca="false">INDEX('Curva ABC'!$K$8:$K$2847,MATCH(D2446,'Curva ABC'!$B$8:$B$2847,0))</f>
        <v>C</v>
      </c>
    </row>
    <row r="2447" customFormat="false" ht="15" hidden="false" customHeight="false" outlineLevel="0" collapsed="false">
      <c r="A2447" s="34" t="s">
        <v>5799</v>
      </c>
      <c r="B2447" s="34" t="str">
        <f aca="false">'Uso e Consumo'!A2447</f>
        <v>0335</v>
      </c>
      <c r="C2447" s="34" t="str">
        <f aca="false">'Uso e Consumo'!B2447</f>
        <v>UFV NORONHA VERDE - USO E CONSUMO</v>
      </c>
      <c r="D2447" s="33" t="n">
        <f aca="false">'Uso e Consumo'!C2447</f>
        <v>276673</v>
      </c>
      <c r="E2447" s="34" t="str">
        <f aca="false">'Uso e Consumo'!D2447</f>
        <v>17.16.0252</v>
      </c>
      <c r="F2447" s="34" t="str">
        <f aca="false">'Uso e Consumo'!E2447</f>
        <v>TERMINAL TUBULAR TIPO ILHOS PRE ISOLADO P/CABO 10,00 MM</v>
      </c>
      <c r="G2447" s="34" t="str">
        <f aca="false">'Uso e Consumo'!J2447</f>
        <v>UN</v>
      </c>
      <c r="H2447" s="49" t="n">
        <f aca="false">'Uso e Consumo'!F2447</f>
        <v>150</v>
      </c>
      <c r="I2447" s="35" t="n">
        <f aca="false">'Uso e Consumo'!G2447</f>
        <v>38.5</v>
      </c>
      <c r="J2447" s="34" t="str">
        <f aca="false">'Uso e Consumo'!M2447</f>
        <v>3.8.1.017 - Instalações elétricas/telefônicas/lógica</v>
      </c>
      <c r="K2447" s="32" t="str">
        <f aca="false">INDEX('Curva ABC'!$K$8:$K$2847,MATCH(D2447,'Curva ABC'!$B$8:$B$2847,0))</f>
        <v>C</v>
      </c>
    </row>
    <row r="2448" customFormat="false" ht="15" hidden="false" customHeight="false" outlineLevel="0" collapsed="false">
      <c r="A2448" s="34" t="s">
        <v>5799</v>
      </c>
      <c r="B2448" s="34" t="str">
        <f aca="false">'Uso e Consumo'!A2448</f>
        <v>0335</v>
      </c>
      <c r="C2448" s="34" t="str">
        <f aca="false">'Uso e Consumo'!B2448</f>
        <v>UFV NORONHA VERDE - USO E CONSUMO</v>
      </c>
      <c r="D2448" s="33" t="n">
        <f aca="false">'Uso e Consumo'!C2448</f>
        <v>1660995</v>
      </c>
      <c r="E2448" s="34" t="str">
        <f aca="false">'Uso e Consumo'!D2448</f>
        <v>17.02.0934</v>
      </c>
      <c r="F2448" s="34" t="str">
        <f aca="false">'Uso e Consumo'!E2448</f>
        <v>TAMPA CEGA PARA CONDULETE MULTIPLO 3/4", EM LIGA DE ALUMINIO DE ALTA RESISTENCIA MECANICA E A CORROSAO, COM ACABAMENTO</v>
      </c>
      <c r="G2448" s="34" t="str">
        <f aca="false">'Uso e Consumo'!J2448</f>
        <v>UN</v>
      </c>
      <c r="H2448" s="49" t="n">
        <f aca="false">'Uso e Consumo'!F2448</f>
        <v>15</v>
      </c>
      <c r="I2448" s="35" t="n">
        <f aca="false">'Uso e Consumo'!G2448</f>
        <v>38.1</v>
      </c>
      <c r="J2448" s="34" t="str">
        <f aca="false">'Uso e Consumo'!M2448</f>
        <v>3.8.1.017 - Instalações elétricas/telefônicas/lógica</v>
      </c>
      <c r="K2448" s="32" t="str">
        <f aca="false">INDEX('Curva ABC'!$K$8:$K$2847,MATCH(D2448,'Curva ABC'!$B$8:$B$2847,0))</f>
        <v>C</v>
      </c>
    </row>
    <row r="2449" customFormat="false" ht="15" hidden="false" customHeight="false" outlineLevel="0" collapsed="false">
      <c r="A2449" s="34" t="s">
        <v>5799</v>
      </c>
      <c r="B2449" s="34" t="str">
        <f aca="false">'Uso e Consumo'!A2449</f>
        <v>0335</v>
      </c>
      <c r="C2449" s="34" t="str">
        <f aca="false">'Uso e Consumo'!B2449</f>
        <v>UFV NORONHA VERDE - USO E CONSUMO</v>
      </c>
      <c r="D2449" s="33" t="n">
        <f aca="false">'Uso e Consumo'!C2449</f>
        <v>389938</v>
      </c>
      <c r="E2449" s="34" t="str">
        <f aca="false">'Uso e Consumo'!D2449</f>
        <v>27.01.0358</v>
      </c>
      <c r="F2449" s="34" t="str">
        <f aca="false">'Uso e Consumo'!E2449</f>
        <v>OTOSPORIM FRASCO</v>
      </c>
      <c r="G2449" s="34" t="str">
        <f aca="false">'Uso e Consumo'!J2449</f>
        <v>UN</v>
      </c>
      <c r="H2449" s="49" t="n">
        <f aca="false">'Uso e Consumo'!F2449</f>
        <v>2</v>
      </c>
      <c r="I2449" s="35" t="n">
        <f aca="false">'Uso e Consumo'!G2449</f>
        <v>38.06</v>
      </c>
      <c r="J2449" s="34" t="str">
        <f aca="false">'Uso e Consumo'!M2449</f>
        <v>4.3.4.006 - Medicamentos e primeiro socorros</v>
      </c>
      <c r="K2449" s="32" t="str">
        <f aca="false">INDEX('Curva ABC'!$K$8:$K$2847,MATCH(D2449,'Curva ABC'!$B$8:$B$2847,0))</f>
        <v>C</v>
      </c>
    </row>
    <row r="2450" customFormat="false" ht="15" hidden="false" customHeight="false" outlineLevel="0" collapsed="false">
      <c r="A2450" s="34" t="s">
        <v>5799</v>
      </c>
      <c r="B2450" s="34" t="str">
        <f aca="false">'Uso e Consumo'!A2450</f>
        <v>0335</v>
      </c>
      <c r="C2450" s="34" t="str">
        <f aca="false">'Uso e Consumo'!B2450</f>
        <v>UFV NORONHA VERDE - USO E CONSUMO</v>
      </c>
      <c r="D2450" s="33" t="n">
        <f aca="false">'Uso e Consumo'!C2450</f>
        <v>22123</v>
      </c>
      <c r="E2450" s="34" t="str">
        <f aca="false">'Uso e Consumo'!D2450</f>
        <v>33.02.0169</v>
      </c>
      <c r="F2450" s="34" t="str">
        <f aca="false">'Uso e Consumo'!E2450</f>
        <v>GRAMPO</v>
      </c>
      <c r="G2450" s="34" t="str">
        <f aca="false">'Uso e Consumo'!J2450</f>
        <v>UN</v>
      </c>
      <c r="H2450" s="49" t="n">
        <f aca="false">'Uso e Consumo'!F2450</f>
        <v>1</v>
      </c>
      <c r="I2450" s="35" t="n">
        <f aca="false">'Uso e Consumo'!G2450</f>
        <v>38</v>
      </c>
      <c r="J2450" s="34" t="str">
        <f aca="false">'Uso e Consumo'!M2450</f>
        <v>3.1.6.002 - Pneus e peças</v>
      </c>
      <c r="K2450" s="32" t="str">
        <f aca="false">INDEX('Curva ABC'!$K$8:$K$2847,MATCH(D2450,'Curva ABC'!$B$8:$B$2847,0))</f>
        <v>C</v>
      </c>
    </row>
    <row r="2451" customFormat="false" ht="15" hidden="false" customHeight="false" outlineLevel="0" collapsed="false">
      <c r="A2451" s="34" t="s">
        <v>5799</v>
      </c>
      <c r="B2451" s="34" t="str">
        <f aca="false">'Uso e Consumo'!A2451</f>
        <v>0335</v>
      </c>
      <c r="C2451" s="34" t="str">
        <f aca="false">'Uso e Consumo'!B2451</f>
        <v>UFV NORONHA VERDE - USO E CONSUMO</v>
      </c>
      <c r="D2451" s="33" t="n">
        <f aca="false">'Uso e Consumo'!C2451</f>
        <v>1461939</v>
      </c>
      <c r="E2451" s="34" t="str">
        <f aca="false">'Uso e Consumo'!D2451</f>
        <v>17.07.0104</v>
      </c>
      <c r="F2451" s="34" t="str">
        <f aca="false">'Uso e Consumo'!E2451</f>
        <v>CURVA DE ELETRODUTO DE 180° DE 11/4"</v>
      </c>
      <c r="G2451" s="34" t="str">
        <f aca="false">'Uso e Consumo'!J2451</f>
        <v>UN</v>
      </c>
      <c r="H2451" s="49" t="n">
        <f aca="false">'Uso e Consumo'!F2451</f>
        <v>1</v>
      </c>
      <c r="I2451" s="35" t="n">
        <f aca="false">'Uso e Consumo'!G2451</f>
        <v>38</v>
      </c>
      <c r="J2451" s="34" t="str">
        <f aca="false">'Uso e Consumo'!M2451</f>
        <v>3.8.1.017 - Instalações elétricas/telefônicas/lógica</v>
      </c>
      <c r="K2451" s="32" t="str">
        <f aca="false">INDEX('Curva ABC'!$K$8:$K$2847,MATCH(D2451,'Curva ABC'!$B$8:$B$2847,0))</f>
        <v>C</v>
      </c>
    </row>
    <row r="2452" customFormat="false" ht="15" hidden="false" customHeight="false" outlineLevel="0" collapsed="false">
      <c r="A2452" s="34" t="s">
        <v>5799</v>
      </c>
      <c r="B2452" s="34" t="str">
        <f aca="false">'Uso e Consumo'!A2452</f>
        <v>0335</v>
      </c>
      <c r="C2452" s="34" t="str">
        <f aca="false">'Uso e Consumo'!B2452</f>
        <v>UFV NORONHA VERDE - USO E CONSUMO</v>
      </c>
      <c r="D2452" s="33" t="n">
        <f aca="false">'Uso e Consumo'!C2452</f>
        <v>1668929</v>
      </c>
      <c r="E2452" s="34" t="str">
        <f aca="false">'Uso e Consumo'!D2452</f>
        <v>30.05.0305</v>
      </c>
      <c r="F2452" s="34" t="str">
        <f aca="false">'Uso e Consumo'!E2452</f>
        <v>BISCOITO SALGADO</v>
      </c>
      <c r="G2452" s="34" t="str">
        <f aca="false">'Uso e Consumo'!J2452</f>
        <v>UN</v>
      </c>
      <c r="H2452" s="49" t="n">
        <f aca="false">'Uso e Consumo'!F2452</f>
        <v>2.35</v>
      </c>
      <c r="I2452" s="35" t="n">
        <f aca="false">'Uso e Consumo'!G2452</f>
        <v>37.98</v>
      </c>
      <c r="J2452" s="34" t="str">
        <f aca="false">'Uso e Consumo'!M2452</f>
        <v>4.1.1.001 - Material de uso e consumo</v>
      </c>
      <c r="K2452" s="32" t="str">
        <f aca="false">INDEX('Curva ABC'!$K$8:$K$2847,MATCH(D2452,'Curva ABC'!$B$8:$B$2847,0))</f>
        <v>C</v>
      </c>
    </row>
    <row r="2453" customFormat="false" ht="15" hidden="false" customHeight="false" outlineLevel="0" collapsed="false">
      <c r="A2453" s="34" t="s">
        <v>5799</v>
      </c>
      <c r="B2453" s="34" t="str">
        <f aca="false">'Uso e Consumo'!A2453</f>
        <v>0335</v>
      </c>
      <c r="C2453" s="34" t="str">
        <f aca="false">'Uso e Consumo'!B2453</f>
        <v>UFV NORONHA VERDE - USO E CONSUMO</v>
      </c>
      <c r="D2453" s="33" t="n">
        <f aca="false">'Uso e Consumo'!C2453</f>
        <v>275389</v>
      </c>
      <c r="E2453" s="34" t="str">
        <f aca="false">'Uso e Consumo'!D2453</f>
        <v>17.16.0245</v>
      </c>
      <c r="F2453" s="34" t="str">
        <f aca="false">'Uso e Consumo'!E2453</f>
        <v>TERMINAL TUBULAR TIPO ILHOS PRE ISOLADO P/CABO 6,00 MM</v>
      </c>
      <c r="G2453" s="34" t="str">
        <f aca="false">'Uso e Consumo'!J2453</f>
        <v>UN</v>
      </c>
      <c r="H2453" s="49" t="n">
        <f aca="false">'Uso e Consumo'!F2453</f>
        <v>250</v>
      </c>
      <c r="I2453" s="35" t="n">
        <f aca="false">'Uso e Consumo'!G2453</f>
        <v>37.5</v>
      </c>
      <c r="J2453" s="34" t="str">
        <f aca="false">'Uso e Consumo'!M2453</f>
        <v>3.8.1.017 - Instalações elétricas/telefônicas/lógica</v>
      </c>
      <c r="K2453" s="32" t="str">
        <f aca="false">INDEX('Curva ABC'!$K$8:$K$2847,MATCH(D2453,'Curva ABC'!$B$8:$B$2847,0))</f>
        <v>C</v>
      </c>
    </row>
    <row r="2454" customFormat="false" ht="15" hidden="false" customHeight="false" outlineLevel="0" collapsed="false">
      <c r="A2454" s="34" t="s">
        <v>5799</v>
      </c>
      <c r="B2454" s="34" t="str">
        <f aca="false">'Uso e Consumo'!A2454</f>
        <v>0335</v>
      </c>
      <c r="C2454" s="34" t="str">
        <f aca="false">'Uso e Consumo'!B2454</f>
        <v>UFV NORONHA VERDE - USO E CONSUMO</v>
      </c>
      <c r="D2454" s="33" t="n">
        <f aca="false">'Uso e Consumo'!C2454</f>
        <v>136085</v>
      </c>
      <c r="E2454" s="34" t="str">
        <f aca="false">'Uso e Consumo'!D2454</f>
        <v>25.27.0001</v>
      </c>
      <c r="F2454" s="34" t="str">
        <f aca="false">'Uso e Consumo'!E2454</f>
        <v>ESPONJA PARA PEDREIRO</v>
      </c>
      <c r="G2454" s="34" t="str">
        <f aca="false">'Uso e Consumo'!J2454</f>
        <v>UN</v>
      </c>
      <c r="H2454" s="49" t="n">
        <f aca="false">'Uso e Consumo'!F2454</f>
        <v>5</v>
      </c>
      <c r="I2454" s="35" t="n">
        <f aca="false">'Uso e Consumo'!G2454</f>
        <v>37.3</v>
      </c>
      <c r="J2454" s="34" t="str">
        <f aca="false">'Uso e Consumo'!M2454</f>
        <v>3.8.2.006 - Utensílios</v>
      </c>
      <c r="K2454" s="32" t="str">
        <f aca="false">INDEX('Curva ABC'!$K$8:$K$2847,MATCH(D2454,'Curva ABC'!$B$8:$B$2847,0))</f>
        <v>C</v>
      </c>
    </row>
    <row r="2455" customFormat="false" ht="15" hidden="false" customHeight="false" outlineLevel="0" collapsed="false">
      <c r="A2455" s="34" t="s">
        <v>5799</v>
      </c>
      <c r="B2455" s="34" t="str">
        <f aca="false">'Uso e Consumo'!A2455</f>
        <v>0335</v>
      </c>
      <c r="C2455" s="34" t="str">
        <f aca="false">'Uso e Consumo'!B2455</f>
        <v>UFV NORONHA VERDE - USO E CONSUMO</v>
      </c>
      <c r="D2455" s="33" t="n">
        <f aca="false">'Uso e Consumo'!C2455</f>
        <v>22499</v>
      </c>
      <c r="E2455" s="34" t="str">
        <f aca="false">'Uso e Consumo'!D2455</f>
        <v>30.01.0439</v>
      </c>
      <c r="F2455" s="34" t="str">
        <f aca="false">'Uso e Consumo'!E2455</f>
        <v>RÉGUA ALUMINIO ESCOLAR 30 CM</v>
      </c>
      <c r="G2455" s="34" t="str">
        <f aca="false">'Uso e Consumo'!J2455</f>
        <v>UN</v>
      </c>
      <c r="H2455" s="49" t="n">
        <f aca="false">'Uso e Consumo'!F2455</f>
        <v>10</v>
      </c>
      <c r="I2455" s="35" t="n">
        <f aca="false">'Uso e Consumo'!G2455</f>
        <v>36.5</v>
      </c>
      <c r="J2455" s="34" t="str">
        <f aca="false">'Uso e Consumo'!M2455</f>
        <v>4.1.1.002 - Material expediente</v>
      </c>
      <c r="K2455" s="32" t="str">
        <f aca="false">INDEX('Curva ABC'!$K$8:$K$2847,MATCH(D2455,'Curva ABC'!$B$8:$B$2847,0))</f>
        <v>C</v>
      </c>
    </row>
    <row r="2456" customFormat="false" ht="15" hidden="false" customHeight="false" outlineLevel="0" collapsed="false">
      <c r="A2456" s="34" t="s">
        <v>5799</v>
      </c>
      <c r="B2456" s="34" t="str">
        <f aca="false">'Uso e Consumo'!A2456</f>
        <v>0335</v>
      </c>
      <c r="C2456" s="34" t="str">
        <f aca="false">'Uso e Consumo'!B2456</f>
        <v>UFV NORONHA VERDE - USO E CONSUMO</v>
      </c>
      <c r="D2456" s="33" t="n">
        <f aca="false">'Uso e Consumo'!C2456</f>
        <v>1614078</v>
      </c>
      <c r="E2456" s="34" t="str">
        <f aca="false">'Uso e Consumo'!D2456</f>
        <v>23.05.0305</v>
      </c>
      <c r="F2456" s="34" t="str">
        <f aca="false">'Uso e Consumo'!E2456</f>
        <v>ARRUELA LISA PRESSAO GALV FOGO 1/4"</v>
      </c>
      <c r="G2456" s="34" t="str">
        <f aca="false">'Uso e Consumo'!J2456</f>
        <v>UN</v>
      </c>
      <c r="H2456" s="49" t="n">
        <f aca="false">'Uso e Consumo'!F2456</f>
        <v>151</v>
      </c>
      <c r="I2456" s="35" t="n">
        <f aca="false">'Uso e Consumo'!G2456</f>
        <v>36.24</v>
      </c>
      <c r="J2456" s="34" t="str">
        <f aca="false">'Uso e Consumo'!M2456</f>
        <v>3.8.1.022 - Elementos de fixação</v>
      </c>
      <c r="K2456" s="32" t="str">
        <f aca="false">INDEX('Curva ABC'!$K$8:$K$2847,MATCH(D2456,'Curva ABC'!$B$8:$B$2847,0))</f>
        <v>C</v>
      </c>
    </row>
    <row r="2457" customFormat="false" ht="15" hidden="false" customHeight="false" outlineLevel="0" collapsed="false">
      <c r="A2457" s="34" t="s">
        <v>5799</v>
      </c>
      <c r="B2457" s="34" t="str">
        <f aca="false">'Uso e Consumo'!A2457</f>
        <v>0335</v>
      </c>
      <c r="C2457" s="34" t="str">
        <f aca="false">'Uso e Consumo'!B2457</f>
        <v>UFV NORONHA VERDE - USO E CONSUMO</v>
      </c>
      <c r="D2457" s="33" t="n">
        <f aca="false">'Uso e Consumo'!C2457</f>
        <v>426085</v>
      </c>
      <c r="E2457" s="34" t="str">
        <f aca="false">'Uso e Consumo'!D2457</f>
        <v>27.01.0363</v>
      </c>
      <c r="F2457" s="34" t="str">
        <f aca="false">'Uso e Consumo'!E2457</f>
        <v>CLORIDRATO DE LIDOCAINA</v>
      </c>
      <c r="G2457" s="34" t="str">
        <f aca="false">'Uso e Consumo'!J2457</f>
        <v>UN</v>
      </c>
      <c r="H2457" s="49" t="n">
        <f aca="false">'Uso e Consumo'!F2457</f>
        <v>2</v>
      </c>
      <c r="I2457" s="35" t="n">
        <f aca="false">'Uso e Consumo'!G2457</f>
        <v>36</v>
      </c>
      <c r="J2457" s="34" t="str">
        <f aca="false">'Uso e Consumo'!M2457</f>
        <v>4.3.4.006 - Medicamentos e primeiro socorros</v>
      </c>
      <c r="K2457" s="32" t="str">
        <f aca="false">INDEX('Curva ABC'!$K$8:$K$2847,MATCH(D2457,'Curva ABC'!$B$8:$B$2847,0))</f>
        <v>C</v>
      </c>
    </row>
    <row r="2458" customFormat="false" ht="15" hidden="false" customHeight="false" outlineLevel="0" collapsed="false">
      <c r="A2458" s="34" t="s">
        <v>5799</v>
      </c>
      <c r="B2458" s="34" t="str">
        <f aca="false">'Uso e Consumo'!A2458</f>
        <v>0335</v>
      </c>
      <c r="C2458" s="34" t="str">
        <f aca="false">'Uso e Consumo'!B2458</f>
        <v>UFV NORONHA VERDE - USO E CONSUMO</v>
      </c>
      <c r="D2458" s="33" t="n">
        <f aca="false">'Uso e Consumo'!C2458</f>
        <v>644581</v>
      </c>
      <c r="E2458" s="34" t="str">
        <f aca="false">'Uso e Consumo'!D2458</f>
        <v>24.09.0552</v>
      </c>
      <c r="F2458" s="34" t="str">
        <f aca="false">'Uso e Consumo'!E2458</f>
        <v>CHAVE "L" TIPO TORX T25</v>
      </c>
      <c r="G2458" s="34" t="str">
        <f aca="false">'Uso e Consumo'!J2458</f>
        <v>UN</v>
      </c>
      <c r="H2458" s="49" t="n">
        <f aca="false">'Uso e Consumo'!F2458</f>
        <v>1</v>
      </c>
      <c r="I2458" s="35" t="n">
        <f aca="false">'Uso e Consumo'!G2458</f>
        <v>36</v>
      </c>
      <c r="J2458" s="34" t="str">
        <f aca="false">'Uso e Consumo'!M2458</f>
        <v>3.8.2.002 - Ferramentas manuais</v>
      </c>
      <c r="K2458" s="32" t="str">
        <f aca="false">INDEX('Curva ABC'!$K$8:$K$2847,MATCH(D2458,'Curva ABC'!$B$8:$B$2847,0))</f>
        <v>C</v>
      </c>
    </row>
    <row r="2459" customFormat="false" ht="15" hidden="false" customHeight="false" outlineLevel="0" collapsed="false">
      <c r="A2459" s="34" t="s">
        <v>5799</v>
      </c>
      <c r="B2459" s="34" t="str">
        <f aca="false">'Uso e Consumo'!A2459</f>
        <v>0335</v>
      </c>
      <c r="C2459" s="34" t="str">
        <f aca="false">'Uso e Consumo'!B2459</f>
        <v>UFV NORONHA VERDE - USO E CONSUMO</v>
      </c>
      <c r="D2459" s="33" t="n">
        <f aca="false">'Uso e Consumo'!C2459</f>
        <v>1539963</v>
      </c>
      <c r="E2459" s="34" t="str">
        <f aca="false">'Uso e Consumo'!D2459</f>
        <v>24.09.0718</v>
      </c>
      <c r="F2459" s="34" t="str">
        <f aca="false">'Uso e Consumo'!E2459</f>
        <v>CHAVE COMBINADA INCLINADA ACO CARBONO 15/16"</v>
      </c>
      <c r="G2459" s="34" t="str">
        <f aca="false">'Uso e Consumo'!J2459</f>
        <v>UN</v>
      </c>
      <c r="H2459" s="49" t="n">
        <f aca="false">'Uso e Consumo'!F2459</f>
        <v>1</v>
      </c>
      <c r="I2459" s="35" t="n">
        <f aca="false">'Uso e Consumo'!G2459</f>
        <v>36</v>
      </c>
      <c r="J2459" s="34" t="str">
        <f aca="false">'Uso e Consumo'!M2459</f>
        <v>3.8.2.002 - Ferramentas manuais</v>
      </c>
      <c r="K2459" s="32" t="str">
        <f aca="false">INDEX('Curva ABC'!$K$8:$K$2847,MATCH(D2459,'Curva ABC'!$B$8:$B$2847,0))</f>
        <v>C</v>
      </c>
    </row>
    <row r="2460" customFormat="false" ht="15" hidden="false" customHeight="false" outlineLevel="0" collapsed="false">
      <c r="A2460" s="34" t="s">
        <v>5799</v>
      </c>
      <c r="B2460" s="34" t="str">
        <f aca="false">'Uso e Consumo'!A2460</f>
        <v>0335</v>
      </c>
      <c r="C2460" s="34" t="str">
        <f aca="false">'Uso e Consumo'!B2460</f>
        <v>UFV NORONHA VERDE - USO E CONSUMO</v>
      </c>
      <c r="D2460" s="33" t="n">
        <f aca="false">'Uso e Consumo'!C2460</f>
        <v>283143</v>
      </c>
      <c r="E2460" s="34" t="str">
        <f aca="false">'Uso e Consumo'!D2460</f>
        <v>18.01.1089</v>
      </c>
      <c r="F2460" s="34" t="str">
        <f aca="false">'Uso e Consumo'!E2460</f>
        <v>TUBO PVC RÍGIDO SOLD DE 50MM NBR 5648</v>
      </c>
      <c r="G2460" s="34" t="str">
        <f aca="false">'Uso e Consumo'!J2460</f>
        <v>UN</v>
      </c>
      <c r="H2460" s="49" t="n">
        <f aca="false">'Uso e Consumo'!F2460</f>
        <v>3</v>
      </c>
      <c r="I2460" s="35" t="n">
        <f aca="false">'Uso e Consumo'!G2460</f>
        <v>35.94</v>
      </c>
      <c r="J2460" s="34" t="str">
        <f aca="false">'Uso e Consumo'!M2460</f>
        <v>3.8.1.018 - Instalações hidráulicas/sanitárias/industriais</v>
      </c>
      <c r="K2460" s="32" t="str">
        <f aca="false">INDEX('Curva ABC'!$K$8:$K$2847,MATCH(D2460,'Curva ABC'!$B$8:$B$2847,0))</f>
        <v>C</v>
      </c>
    </row>
    <row r="2461" customFormat="false" ht="15" hidden="false" customHeight="false" outlineLevel="0" collapsed="false">
      <c r="A2461" s="34" t="s">
        <v>5799</v>
      </c>
      <c r="B2461" s="34" t="str">
        <f aca="false">'Uso e Consumo'!A2461</f>
        <v>0335</v>
      </c>
      <c r="C2461" s="34" t="str">
        <f aca="false">'Uso e Consumo'!B2461</f>
        <v>UFV NORONHA VERDE - USO E CONSUMO</v>
      </c>
      <c r="D2461" s="33" t="n">
        <f aca="false">'Uso e Consumo'!C2461</f>
        <v>14887</v>
      </c>
      <c r="E2461" s="34" t="str">
        <f aca="false">'Uso e Consumo'!D2461</f>
        <v>18.01.0462</v>
      </c>
      <c r="F2461" s="34" t="str">
        <f aca="false">'Uso e Consumo'!E2461</f>
        <v>LUVA PVC SOLDAVEL ÁGUA FRIA 50,00MM</v>
      </c>
      <c r="G2461" s="34" t="str">
        <f aca="false">'Uso e Consumo'!J2461</f>
        <v>UN</v>
      </c>
      <c r="H2461" s="49" t="n">
        <f aca="false">'Uso e Consumo'!F2461</f>
        <v>8</v>
      </c>
      <c r="I2461" s="35" t="n">
        <f aca="false">'Uso e Consumo'!G2461</f>
        <v>35.92</v>
      </c>
      <c r="J2461" s="34" t="str">
        <f aca="false">'Uso e Consumo'!M2461</f>
        <v>3.8.1.018 - Instalações hidráulicas/sanitárias/industriais</v>
      </c>
      <c r="K2461" s="32" t="str">
        <f aca="false">INDEX('Curva ABC'!$K$8:$K$2847,MATCH(D2461,'Curva ABC'!$B$8:$B$2847,0))</f>
        <v>C</v>
      </c>
    </row>
    <row r="2462" customFormat="false" ht="15" hidden="false" customHeight="false" outlineLevel="0" collapsed="false">
      <c r="A2462" s="34" t="s">
        <v>5799</v>
      </c>
      <c r="B2462" s="34" t="str">
        <f aca="false">'Uso e Consumo'!A2462</f>
        <v>0335</v>
      </c>
      <c r="C2462" s="34" t="str">
        <f aca="false">'Uso e Consumo'!B2462</f>
        <v>UFV NORONHA VERDE - USO E CONSUMO</v>
      </c>
      <c r="D2462" s="33" t="n">
        <f aca="false">'Uso e Consumo'!C2462</f>
        <v>141613</v>
      </c>
      <c r="E2462" s="34" t="str">
        <f aca="false">'Uso e Consumo'!D2462</f>
        <v>23.07.1031</v>
      </c>
      <c r="F2462" s="34" t="str">
        <f aca="false">'Uso e Consumo'!E2462</f>
        <v>NIPEL GALVANIZADO 3/4"</v>
      </c>
      <c r="G2462" s="34" t="str">
        <f aca="false">'Uso e Consumo'!J2462</f>
        <v>UN</v>
      </c>
      <c r="H2462" s="49" t="n">
        <f aca="false">'Uso e Consumo'!F2462</f>
        <v>4</v>
      </c>
      <c r="I2462" s="35" t="n">
        <f aca="false">'Uso e Consumo'!G2462</f>
        <v>35.92</v>
      </c>
      <c r="J2462" s="34" t="str">
        <f aca="false">'Uso e Consumo'!M2462</f>
        <v>3.8.1.022 - Elementos de fixação</v>
      </c>
      <c r="K2462" s="32" t="str">
        <f aca="false">INDEX('Curva ABC'!$K$8:$K$2847,MATCH(D2462,'Curva ABC'!$B$8:$B$2847,0))</f>
        <v>C</v>
      </c>
    </row>
    <row r="2463" customFormat="false" ht="15" hidden="false" customHeight="false" outlineLevel="0" collapsed="false">
      <c r="A2463" s="34" t="s">
        <v>5799</v>
      </c>
      <c r="B2463" s="34" t="str">
        <f aca="false">'Uso e Consumo'!A2463</f>
        <v>0335</v>
      </c>
      <c r="C2463" s="34" t="str">
        <f aca="false">'Uso e Consumo'!B2463</f>
        <v>UFV NORONHA VERDE - USO E CONSUMO</v>
      </c>
      <c r="D2463" s="33" t="n">
        <f aca="false">'Uso e Consumo'!C2463</f>
        <v>1097297</v>
      </c>
      <c r="E2463" s="34" t="str">
        <f aca="false">'Uso e Consumo'!D2463</f>
        <v>16.05.0216</v>
      </c>
      <c r="F2463" s="34" t="str">
        <f aca="false">'Uso e Consumo'!E2463</f>
        <v>ESPÁTULA AÇO 80MM CABO MADEIRA</v>
      </c>
      <c r="G2463" s="34" t="str">
        <f aca="false">'Uso e Consumo'!J2463</f>
        <v>UN</v>
      </c>
      <c r="H2463" s="49" t="n">
        <f aca="false">'Uso e Consumo'!F2463</f>
        <v>4</v>
      </c>
      <c r="I2463" s="35" t="n">
        <f aca="false">'Uso e Consumo'!G2463</f>
        <v>35.92</v>
      </c>
      <c r="J2463" s="34" t="str">
        <f aca="false">'Uso e Consumo'!M2463</f>
        <v>3.8.1.016 - Pinturas</v>
      </c>
      <c r="K2463" s="32" t="str">
        <f aca="false">INDEX('Curva ABC'!$K$8:$K$2847,MATCH(D2463,'Curva ABC'!$B$8:$B$2847,0))</f>
        <v>C</v>
      </c>
    </row>
    <row r="2464" customFormat="false" ht="15" hidden="false" customHeight="false" outlineLevel="0" collapsed="false">
      <c r="A2464" s="34" t="s">
        <v>5799</v>
      </c>
      <c r="B2464" s="34" t="str">
        <f aca="false">'Uso e Consumo'!A2464</f>
        <v>0335</v>
      </c>
      <c r="C2464" s="34" t="str">
        <f aca="false">'Uso e Consumo'!B2464</f>
        <v>UFV NORONHA VERDE - USO E CONSUMO</v>
      </c>
      <c r="D2464" s="33" t="n">
        <f aca="false">'Uso e Consumo'!C2464</f>
        <v>1383784</v>
      </c>
      <c r="E2464" s="34" t="str">
        <f aca="false">'Uso e Consumo'!D2464</f>
        <v>17.02.0860</v>
      </c>
      <c r="F2464" s="34" t="str">
        <f aca="false">'Uso e Consumo'!E2464</f>
        <v>LUVA DE AÇO CARBONO GALVANIZADO A QUENTE, DN 25 MM (1" BSP), COM ROSCA, TIPO PESADO</v>
      </c>
      <c r="G2464" s="34" t="str">
        <f aca="false">'Uso e Consumo'!J2464</f>
        <v>UN</v>
      </c>
      <c r="H2464" s="49" t="n">
        <f aca="false">'Uso e Consumo'!F2464</f>
        <v>4</v>
      </c>
      <c r="I2464" s="35" t="n">
        <f aca="false">'Uso e Consumo'!G2464</f>
        <v>35.52</v>
      </c>
      <c r="J2464" s="34" t="str">
        <f aca="false">'Uso e Consumo'!M2464</f>
        <v>3.8.1.017 - Instalações elétricas/telefônicas/lógica</v>
      </c>
      <c r="K2464" s="32" t="str">
        <f aca="false">INDEX('Curva ABC'!$K$8:$K$2847,MATCH(D2464,'Curva ABC'!$B$8:$B$2847,0))</f>
        <v>C</v>
      </c>
    </row>
    <row r="2465" customFormat="false" ht="15" hidden="false" customHeight="false" outlineLevel="0" collapsed="false">
      <c r="A2465" s="34" t="s">
        <v>5799</v>
      </c>
      <c r="B2465" s="34" t="str">
        <f aca="false">'Uso e Consumo'!A2465</f>
        <v>0335</v>
      </c>
      <c r="C2465" s="34" t="str">
        <f aca="false">'Uso e Consumo'!B2465</f>
        <v>UFV NORONHA VERDE - USO E CONSUMO</v>
      </c>
      <c r="D2465" s="33" t="n">
        <f aca="false">'Uso e Consumo'!C2465</f>
        <v>35101</v>
      </c>
      <c r="E2465" s="34" t="str">
        <f aca="false">'Uso e Consumo'!D2465</f>
        <v>25.03.0195</v>
      </c>
      <c r="F2465" s="34" t="str">
        <f aca="false">'Uso e Consumo'!E2465</f>
        <v>BROCA AÇO RÁPIDO 6MM</v>
      </c>
      <c r="G2465" s="34" t="str">
        <f aca="false">'Uso e Consumo'!J2465</f>
        <v>UN</v>
      </c>
      <c r="H2465" s="49" t="n">
        <f aca="false">'Uso e Consumo'!F2465</f>
        <v>10</v>
      </c>
      <c r="I2465" s="35" t="n">
        <f aca="false">'Uso e Consumo'!G2465</f>
        <v>35.4</v>
      </c>
      <c r="J2465" s="34" t="str">
        <f aca="false">'Uso e Consumo'!M2465</f>
        <v>3.8.2.004 - Consumíveis para corte, perfuração e desbaste</v>
      </c>
      <c r="K2465" s="32" t="str">
        <f aca="false">INDEX('Curva ABC'!$K$8:$K$2847,MATCH(D2465,'Curva ABC'!$B$8:$B$2847,0))</f>
        <v>C</v>
      </c>
    </row>
    <row r="2466" customFormat="false" ht="15" hidden="false" customHeight="false" outlineLevel="0" collapsed="false">
      <c r="A2466" s="34" t="s">
        <v>5799</v>
      </c>
      <c r="B2466" s="34" t="str">
        <f aca="false">'Uso e Consumo'!A2466</f>
        <v>0335</v>
      </c>
      <c r="C2466" s="34" t="str">
        <f aca="false">'Uso e Consumo'!B2466</f>
        <v>UFV NORONHA VERDE - USO E CONSUMO</v>
      </c>
      <c r="D2466" s="33" t="n">
        <f aca="false">'Uso e Consumo'!C2466</f>
        <v>1110728</v>
      </c>
      <c r="E2466" s="34" t="str">
        <f aca="false">'Uso e Consumo'!D2466</f>
        <v>17.16.0606</v>
      </c>
      <c r="F2466" s="34" t="str">
        <f aca="false">'Uso e Consumo'!E2466</f>
        <v>TERMINAL TIPO PINO 25MM</v>
      </c>
      <c r="G2466" s="34" t="str">
        <f aca="false">'Uso e Consumo'!J2466</f>
        <v>UN</v>
      </c>
      <c r="H2466" s="49" t="n">
        <f aca="false">'Uso e Consumo'!F2466</f>
        <v>20</v>
      </c>
      <c r="I2466" s="35" t="n">
        <f aca="false">'Uso e Consumo'!G2466</f>
        <v>35.4</v>
      </c>
      <c r="J2466" s="34" t="str">
        <f aca="false">'Uso e Consumo'!M2466</f>
        <v>3.8.1.017 - Instalações elétricas/telefônicas/lógica</v>
      </c>
      <c r="K2466" s="32" t="str">
        <f aca="false">INDEX('Curva ABC'!$K$8:$K$2847,MATCH(D2466,'Curva ABC'!$B$8:$B$2847,0))</f>
        <v>C</v>
      </c>
    </row>
    <row r="2467" customFormat="false" ht="15" hidden="false" customHeight="false" outlineLevel="0" collapsed="false">
      <c r="A2467" s="34" t="s">
        <v>5799</v>
      </c>
      <c r="B2467" s="34" t="str">
        <f aca="false">'Uso e Consumo'!A2467</f>
        <v>0335</v>
      </c>
      <c r="C2467" s="34" t="str">
        <f aca="false">'Uso e Consumo'!B2467</f>
        <v>UFV NORONHA VERDE - USO E CONSUMO</v>
      </c>
      <c r="D2467" s="33" t="n">
        <f aca="false">'Uso e Consumo'!C2467</f>
        <v>1312597</v>
      </c>
      <c r="E2467" s="34" t="str">
        <f aca="false">'Uso e Consumo'!D2467</f>
        <v>33.02.3124</v>
      </c>
      <c r="F2467" s="34" t="str">
        <f aca="false">'Uso e Consumo'!E2467</f>
        <v>JUNTA DE VEDAÇÃO DO SILENCIADOR 1125-149-0601</v>
      </c>
      <c r="G2467" s="34" t="str">
        <f aca="false">'Uso e Consumo'!J2467</f>
        <v>UN</v>
      </c>
      <c r="H2467" s="49" t="n">
        <f aca="false">'Uso e Consumo'!F2467</f>
        <v>1</v>
      </c>
      <c r="I2467" s="35" t="n">
        <f aca="false">'Uso e Consumo'!G2467</f>
        <v>35.25</v>
      </c>
      <c r="J2467" s="34" t="str">
        <f aca="false">'Uso e Consumo'!M2467</f>
        <v>3.1.6.002 - Pneus e peças</v>
      </c>
      <c r="K2467" s="32" t="str">
        <f aca="false">INDEX('Curva ABC'!$K$8:$K$2847,MATCH(D2467,'Curva ABC'!$B$8:$B$2847,0))</f>
        <v>C</v>
      </c>
    </row>
    <row r="2468" customFormat="false" ht="15" hidden="false" customHeight="false" outlineLevel="0" collapsed="false">
      <c r="A2468" s="34" t="s">
        <v>5799</v>
      </c>
      <c r="B2468" s="34" t="str">
        <f aca="false">'Uso e Consumo'!A2468</f>
        <v>0335</v>
      </c>
      <c r="C2468" s="34" t="str">
        <f aca="false">'Uso e Consumo'!B2468</f>
        <v>UFV NORONHA VERDE - USO E CONSUMO</v>
      </c>
      <c r="D2468" s="33" t="n">
        <f aca="false">'Uso e Consumo'!C2468</f>
        <v>866367</v>
      </c>
      <c r="E2468" s="34" t="str">
        <f aca="false">'Uso e Consumo'!D2468</f>
        <v>17.12.0440</v>
      </c>
      <c r="F2468" s="34" t="str">
        <f aca="false">'Uso e Consumo'!E2468</f>
        <v>ADAPTADOR P/ MANDRIL 1/2 SDS PLUS</v>
      </c>
      <c r="G2468" s="34" t="str">
        <f aca="false">'Uso e Consumo'!J2468</f>
        <v>UN</v>
      </c>
      <c r="H2468" s="49" t="n">
        <f aca="false">'Uso e Consumo'!F2468</f>
        <v>5</v>
      </c>
      <c r="I2468" s="35" t="n">
        <f aca="false">'Uso e Consumo'!G2468</f>
        <v>35.2</v>
      </c>
      <c r="J2468" s="34" t="str">
        <f aca="false">'Uso e Consumo'!M2468</f>
        <v>3.8.1.017 - Instalações elétricas/telefônicas/lógica</v>
      </c>
      <c r="K2468" s="32" t="str">
        <f aca="false">INDEX('Curva ABC'!$K$8:$K$2847,MATCH(D2468,'Curva ABC'!$B$8:$B$2847,0))</f>
        <v>C</v>
      </c>
    </row>
    <row r="2469" customFormat="false" ht="15" hidden="false" customHeight="false" outlineLevel="0" collapsed="false">
      <c r="A2469" s="34" t="s">
        <v>5799</v>
      </c>
      <c r="B2469" s="34" t="str">
        <f aca="false">'Uso e Consumo'!A2469</f>
        <v>0335</v>
      </c>
      <c r="C2469" s="34" t="str">
        <f aca="false">'Uso e Consumo'!B2469</f>
        <v>UFV NORONHA VERDE - USO E CONSUMO</v>
      </c>
      <c r="D2469" s="33" t="n">
        <f aca="false">'Uso e Consumo'!C2469</f>
        <v>1089786</v>
      </c>
      <c r="E2469" s="34" t="str">
        <f aca="false">'Uso e Consumo'!D2469</f>
        <v>27.01.0480</v>
      </c>
      <c r="F2469" s="34" t="str">
        <f aca="false">'Uso e Consumo'!E2469</f>
        <v>NIMESULIDA 100MG</v>
      </c>
      <c r="G2469" s="34" t="str">
        <f aca="false">'Uso e Consumo'!J2469</f>
        <v>CX</v>
      </c>
      <c r="H2469" s="49" t="n">
        <f aca="false">'Uso e Consumo'!F2469</f>
        <v>5</v>
      </c>
      <c r="I2469" s="35" t="n">
        <f aca="false">'Uso e Consumo'!G2469</f>
        <v>35</v>
      </c>
      <c r="J2469" s="34" t="str">
        <f aca="false">'Uso e Consumo'!M2469</f>
        <v>4.3.4.006 - Medicamentos e primeiro socorros</v>
      </c>
      <c r="K2469" s="32" t="str">
        <f aca="false">INDEX('Curva ABC'!$K$8:$K$2847,MATCH(D2469,'Curva ABC'!$B$8:$B$2847,0))</f>
        <v>C</v>
      </c>
    </row>
    <row r="2470" customFormat="false" ht="15" hidden="false" customHeight="false" outlineLevel="0" collapsed="false">
      <c r="A2470" s="34" t="s">
        <v>5799</v>
      </c>
      <c r="B2470" s="34" t="str">
        <f aca="false">'Uso e Consumo'!A2470</f>
        <v>0335</v>
      </c>
      <c r="C2470" s="34" t="str">
        <f aca="false">'Uso e Consumo'!B2470</f>
        <v>UFV NORONHA VERDE - USO E CONSUMO</v>
      </c>
      <c r="D2470" s="33" t="n">
        <f aca="false">'Uso e Consumo'!C2470</f>
        <v>15110</v>
      </c>
      <c r="E2470" s="34" t="str">
        <f aca="false">'Uso e Consumo'!D2470</f>
        <v>18.01.0685</v>
      </c>
      <c r="F2470" s="34" t="str">
        <f aca="false">'Uso e Consumo'!E2470</f>
        <v>UNIAO PVC ROSCAVEL 1.1/2"</v>
      </c>
      <c r="G2470" s="34" t="str">
        <f aca="false">'Uso e Consumo'!J2470</f>
        <v>UN</v>
      </c>
      <c r="H2470" s="49" t="n">
        <f aca="false">'Uso e Consumo'!F2470</f>
        <v>1</v>
      </c>
      <c r="I2470" s="35" t="n">
        <f aca="false">'Uso e Consumo'!G2470</f>
        <v>34.98</v>
      </c>
      <c r="J2470" s="34" t="str">
        <f aca="false">'Uso e Consumo'!M2470</f>
        <v>3.8.1.018 - Instalações hidráulicas/sanitárias/industriais</v>
      </c>
      <c r="K2470" s="32" t="str">
        <f aca="false">INDEX('Curva ABC'!$K$8:$K$2847,MATCH(D2470,'Curva ABC'!$B$8:$B$2847,0))</f>
        <v>C</v>
      </c>
    </row>
    <row r="2471" customFormat="false" ht="15" hidden="false" customHeight="false" outlineLevel="0" collapsed="false">
      <c r="A2471" s="34" t="s">
        <v>5799</v>
      </c>
      <c r="B2471" s="34" t="str">
        <f aca="false">'Uso e Consumo'!A2471</f>
        <v>0335</v>
      </c>
      <c r="C2471" s="34" t="str">
        <f aca="false">'Uso e Consumo'!B2471</f>
        <v>UFV NORONHA VERDE - USO E CONSUMO</v>
      </c>
      <c r="D2471" s="33" t="n">
        <f aca="false">'Uso e Consumo'!C2471</f>
        <v>15111</v>
      </c>
      <c r="E2471" s="34" t="str">
        <f aca="false">'Uso e Consumo'!D2471</f>
        <v>18.01.0686</v>
      </c>
      <c r="F2471" s="34" t="str">
        <f aca="false">'Uso e Consumo'!E2471</f>
        <v>UNIAO PVC ROSCAVEL 1.1/4"</v>
      </c>
      <c r="G2471" s="34" t="str">
        <f aca="false">'Uso e Consumo'!J2471</f>
        <v>UN</v>
      </c>
      <c r="H2471" s="49" t="n">
        <f aca="false">'Uso e Consumo'!F2471</f>
        <v>1</v>
      </c>
      <c r="I2471" s="35" t="n">
        <f aca="false">'Uso e Consumo'!G2471</f>
        <v>34.98</v>
      </c>
      <c r="J2471" s="34" t="str">
        <f aca="false">'Uso e Consumo'!M2471</f>
        <v>3.8.1.018 - Instalações hidráulicas/sanitárias/industriais</v>
      </c>
      <c r="K2471" s="32" t="str">
        <f aca="false">INDEX('Curva ABC'!$K$8:$K$2847,MATCH(D2471,'Curva ABC'!$B$8:$B$2847,0))</f>
        <v>C</v>
      </c>
    </row>
    <row r="2472" customFormat="false" ht="15" hidden="false" customHeight="false" outlineLevel="0" collapsed="false">
      <c r="A2472" s="34" t="s">
        <v>5799</v>
      </c>
      <c r="B2472" s="34" t="str">
        <f aca="false">'Uso e Consumo'!A2472</f>
        <v>0335</v>
      </c>
      <c r="C2472" s="34" t="str">
        <f aca="false">'Uso e Consumo'!B2472</f>
        <v>UFV NORONHA VERDE - USO E CONSUMO</v>
      </c>
      <c r="D2472" s="33" t="n">
        <f aca="false">'Uso e Consumo'!C2472</f>
        <v>21162</v>
      </c>
      <c r="E2472" s="34" t="str">
        <f aca="false">'Uso e Consumo'!D2472</f>
        <v>31.02.0018</v>
      </c>
      <c r="F2472" s="34" t="str">
        <f aca="false">'Uso e Consumo'!E2472</f>
        <v>ÓLEO LUBRIFICANTE 15W40 TAMBOR C/200L</v>
      </c>
      <c r="G2472" s="34" t="str">
        <f aca="false">'Uso e Consumo'!J2472</f>
        <v>UN</v>
      </c>
      <c r="H2472" s="49" t="n">
        <f aca="false">'Uso e Consumo'!F2472</f>
        <v>1</v>
      </c>
      <c r="I2472" s="35" t="n">
        <f aca="false">'Uso e Consumo'!G2472</f>
        <v>34.98</v>
      </c>
      <c r="J2472" s="34" t="str">
        <f aca="false">'Uso e Consumo'!M2472</f>
        <v>3.1.6.001 - Combustível e lubrificantes</v>
      </c>
      <c r="K2472" s="32" t="str">
        <f aca="false">INDEX('Curva ABC'!$K$8:$K$2847,MATCH(D2472,'Curva ABC'!$B$8:$B$2847,0))</f>
        <v>C</v>
      </c>
    </row>
    <row r="2473" customFormat="false" ht="15" hidden="false" customHeight="false" outlineLevel="0" collapsed="false">
      <c r="A2473" s="34" t="s">
        <v>5799</v>
      </c>
      <c r="B2473" s="34" t="str">
        <f aca="false">'Uso e Consumo'!A2473</f>
        <v>0335</v>
      </c>
      <c r="C2473" s="34" t="str">
        <f aca="false">'Uso e Consumo'!B2473</f>
        <v>UFV NORONHA VERDE - USO E CONSUMO</v>
      </c>
      <c r="D2473" s="33" t="n">
        <f aca="false">'Uso e Consumo'!C2473</f>
        <v>33969</v>
      </c>
      <c r="E2473" s="34" t="str">
        <f aca="false">'Uso e Consumo'!D2473</f>
        <v>23.07.0829</v>
      </c>
      <c r="F2473" s="34" t="str">
        <f aca="false">'Uso e Consumo'!E2473</f>
        <v>PARAFUSO CABECA SEXTAVADA AÇO INOX POLIDO NC 1/4 X 1</v>
      </c>
      <c r="G2473" s="34" t="str">
        <f aca="false">'Uso e Consumo'!J2473</f>
        <v>UN</v>
      </c>
      <c r="H2473" s="49" t="n">
        <f aca="false">'Uso e Consumo'!F2473</f>
        <v>10</v>
      </c>
      <c r="I2473" s="35" t="n">
        <f aca="false">'Uso e Consumo'!G2473</f>
        <v>34.8</v>
      </c>
      <c r="J2473" s="34" t="str">
        <f aca="false">'Uso e Consumo'!M2473</f>
        <v>3.8.1.022 - Elementos de fixação</v>
      </c>
      <c r="K2473" s="32" t="str">
        <f aca="false">INDEX('Curva ABC'!$K$8:$K$2847,MATCH(D2473,'Curva ABC'!$B$8:$B$2847,0))</f>
        <v>C</v>
      </c>
    </row>
    <row r="2474" customFormat="false" ht="15" hidden="false" customHeight="false" outlineLevel="0" collapsed="false">
      <c r="A2474" s="34" t="s">
        <v>5799</v>
      </c>
      <c r="B2474" s="34" t="str">
        <f aca="false">'Uso e Consumo'!A2474</f>
        <v>0335</v>
      </c>
      <c r="C2474" s="34" t="str">
        <f aca="false">'Uso e Consumo'!B2474</f>
        <v>UFV NORONHA VERDE - USO E CONSUMO</v>
      </c>
      <c r="D2474" s="33" t="n">
        <f aca="false">'Uso e Consumo'!C2474</f>
        <v>1069541</v>
      </c>
      <c r="E2474" s="34" t="str">
        <f aca="false">'Uso e Consumo'!D2474</f>
        <v>29.01.1397</v>
      </c>
      <c r="F2474" s="34" t="str">
        <f aca="false">'Uso e Consumo'!E2474</f>
        <v>CONECTOR RJ-45</v>
      </c>
      <c r="G2474" s="34" t="str">
        <f aca="false">'Uso e Consumo'!J2474</f>
        <v>UN</v>
      </c>
      <c r="H2474" s="49" t="n">
        <f aca="false">'Uso e Consumo'!F2474</f>
        <v>10</v>
      </c>
      <c r="I2474" s="35" t="n">
        <f aca="false">'Uso e Consumo'!G2474</f>
        <v>34.8</v>
      </c>
      <c r="J2474" s="34" t="str">
        <f aca="false">'Uso e Consumo'!M2474</f>
        <v>4.1.1.007 - Equipamentos e acessórios para informática</v>
      </c>
      <c r="K2474" s="32" t="str">
        <f aca="false">INDEX('Curva ABC'!$K$8:$K$2847,MATCH(D2474,'Curva ABC'!$B$8:$B$2847,0))</f>
        <v>C</v>
      </c>
    </row>
    <row r="2475" customFormat="false" ht="15" hidden="false" customHeight="false" outlineLevel="0" collapsed="false">
      <c r="A2475" s="34" t="s">
        <v>5799</v>
      </c>
      <c r="B2475" s="34" t="str">
        <f aca="false">'Uso e Consumo'!A2475</f>
        <v>0335</v>
      </c>
      <c r="C2475" s="34" t="str">
        <f aca="false">'Uso e Consumo'!B2475</f>
        <v>UFV NORONHA VERDE - USO E CONSUMO</v>
      </c>
      <c r="D2475" s="33" t="n">
        <f aca="false">'Uso e Consumo'!C2475</f>
        <v>19330</v>
      </c>
      <c r="E2475" s="34" t="str">
        <f aca="false">'Uso e Consumo'!D2475</f>
        <v>30.01.0050</v>
      </c>
      <c r="F2475" s="34" t="str">
        <f aca="false">'Uso e Consumo'!E2475</f>
        <v>CANETA ESFEROGRÁFICA PONTA FINA VERMELHA</v>
      </c>
      <c r="G2475" s="34" t="str">
        <f aca="false">'Uso e Consumo'!J2475</f>
        <v>UN</v>
      </c>
      <c r="H2475" s="49" t="n">
        <f aca="false">'Uso e Consumo'!F2475</f>
        <v>50</v>
      </c>
      <c r="I2475" s="35" t="n">
        <f aca="false">'Uso e Consumo'!G2475</f>
        <v>34</v>
      </c>
      <c r="J2475" s="34" t="str">
        <f aca="false">'Uso e Consumo'!M2475</f>
        <v>4.1.1.002 - Material expediente</v>
      </c>
      <c r="K2475" s="32" t="str">
        <f aca="false">INDEX('Curva ABC'!$K$8:$K$2847,MATCH(D2475,'Curva ABC'!$B$8:$B$2847,0))</f>
        <v>C</v>
      </c>
    </row>
    <row r="2476" customFormat="false" ht="15" hidden="false" customHeight="false" outlineLevel="0" collapsed="false">
      <c r="A2476" s="34" t="s">
        <v>5799</v>
      </c>
      <c r="B2476" s="34" t="str">
        <f aca="false">'Uso e Consumo'!A2476</f>
        <v>0335</v>
      </c>
      <c r="C2476" s="34" t="str">
        <f aca="false">'Uso e Consumo'!B2476</f>
        <v>UFV NORONHA VERDE - USO E CONSUMO</v>
      </c>
      <c r="D2476" s="33" t="n">
        <f aca="false">'Uso e Consumo'!C2476</f>
        <v>1662288</v>
      </c>
      <c r="E2476" s="34" t="str">
        <f aca="false">'Uso e Consumo'!D2476</f>
        <v>17.11.1153</v>
      </c>
      <c r="F2476" s="34" t="str">
        <f aca="false">'Uso e Consumo'!E2476</f>
        <v>LAMPADA DE LED BULBO, POTENCIA 13 W, TENSAO 100-240V, BASE E-27, 6500 K</v>
      </c>
      <c r="G2476" s="34" t="str">
        <f aca="false">'Uso e Consumo'!J2476</f>
        <v>UN</v>
      </c>
      <c r="H2476" s="49" t="n">
        <f aca="false">'Uso e Consumo'!F2476</f>
        <v>6</v>
      </c>
      <c r="I2476" s="35" t="n">
        <f aca="false">'Uso e Consumo'!G2476</f>
        <v>33.84</v>
      </c>
      <c r="J2476" s="34" t="str">
        <f aca="false">'Uso e Consumo'!M2476</f>
        <v>3.8.1.017 - Instalações elétricas/telefônicas/lógica</v>
      </c>
      <c r="K2476" s="32" t="str">
        <f aca="false">INDEX('Curva ABC'!$K$8:$K$2847,MATCH(D2476,'Curva ABC'!$B$8:$B$2847,0))</f>
        <v>C</v>
      </c>
    </row>
    <row r="2477" customFormat="false" ht="15" hidden="false" customHeight="false" outlineLevel="0" collapsed="false">
      <c r="A2477" s="34" t="s">
        <v>5799</v>
      </c>
      <c r="B2477" s="34" t="str">
        <f aca="false">'Uso e Consumo'!A2477</f>
        <v>0335</v>
      </c>
      <c r="C2477" s="34" t="str">
        <f aca="false">'Uso e Consumo'!B2477</f>
        <v>UFV NORONHA VERDE - USO E CONSUMO</v>
      </c>
      <c r="D2477" s="33" t="n">
        <f aca="false">'Uso e Consumo'!C2477</f>
        <v>21839</v>
      </c>
      <c r="E2477" s="34" t="str">
        <f aca="false">'Uso e Consumo'!D2477</f>
        <v>30.04.0044</v>
      </c>
      <c r="F2477" s="34" t="str">
        <f aca="false">'Uso e Consumo'!E2477</f>
        <v>PORTA DETERGENTE E ESPONJA COMPACTO PLÁSTICO</v>
      </c>
      <c r="G2477" s="34" t="str">
        <f aca="false">'Uso e Consumo'!J2477</f>
        <v>UN</v>
      </c>
      <c r="H2477" s="49" t="n">
        <f aca="false">'Uso e Consumo'!F2477</f>
        <v>5</v>
      </c>
      <c r="I2477" s="35" t="n">
        <f aca="false">'Uso e Consumo'!G2477</f>
        <v>33.75</v>
      </c>
      <c r="J2477" s="34" t="str">
        <f aca="false">'Uso e Consumo'!M2477</f>
        <v>4.1.1.001 - Material de uso e consumo</v>
      </c>
      <c r="K2477" s="32" t="str">
        <f aca="false">INDEX('Curva ABC'!$K$8:$K$2847,MATCH(D2477,'Curva ABC'!$B$8:$B$2847,0))</f>
        <v>C</v>
      </c>
    </row>
    <row r="2478" customFormat="false" ht="15" hidden="false" customHeight="false" outlineLevel="0" collapsed="false">
      <c r="A2478" s="34" t="s">
        <v>5799</v>
      </c>
      <c r="B2478" s="34" t="str">
        <f aca="false">'Uso e Consumo'!A2478</f>
        <v>0335</v>
      </c>
      <c r="C2478" s="34" t="str">
        <f aca="false">'Uso e Consumo'!B2478</f>
        <v>UFV NORONHA VERDE - USO E CONSUMO</v>
      </c>
      <c r="D2478" s="33" t="n">
        <f aca="false">'Uso e Consumo'!C2478</f>
        <v>1331115</v>
      </c>
      <c r="E2478" s="34" t="str">
        <f aca="false">'Uso e Consumo'!D2478</f>
        <v>30.11.0056</v>
      </c>
      <c r="F2478" s="34" t="str">
        <f aca="false">'Uso e Consumo'!E2478</f>
        <v>ALFINETE DE SEGURANÇA Nº 01 </v>
      </c>
      <c r="G2478" s="34" t="str">
        <f aca="false">'Uso e Consumo'!J2478</f>
        <v>UN</v>
      </c>
      <c r="H2478" s="49" t="n">
        <f aca="false">'Uso e Consumo'!F2478</f>
        <v>400</v>
      </c>
      <c r="I2478" s="35" t="n">
        <f aca="false">'Uso e Consumo'!G2478</f>
        <v>33.48</v>
      </c>
      <c r="J2478" s="34" t="str">
        <f aca="false">'Uso e Consumo'!M2478</f>
        <v>4.6.1.003 - Brindes</v>
      </c>
      <c r="K2478" s="32" t="str">
        <f aca="false">INDEX('Curva ABC'!$K$8:$K$2847,MATCH(D2478,'Curva ABC'!$B$8:$B$2847,0))</f>
        <v>C</v>
      </c>
    </row>
    <row r="2479" customFormat="false" ht="15" hidden="false" customHeight="false" outlineLevel="0" collapsed="false">
      <c r="A2479" s="34" t="s">
        <v>5799</v>
      </c>
      <c r="B2479" s="34" t="str">
        <f aca="false">'Uso e Consumo'!A2479</f>
        <v>0335</v>
      </c>
      <c r="C2479" s="34" t="str">
        <f aca="false">'Uso e Consumo'!B2479</f>
        <v>UFV NORONHA VERDE - USO E CONSUMO</v>
      </c>
      <c r="D2479" s="33" t="n">
        <f aca="false">'Uso e Consumo'!C2479</f>
        <v>549248</v>
      </c>
      <c r="E2479" s="34" t="str">
        <f aca="false">'Uso e Consumo'!D2479</f>
        <v>17.10.0356</v>
      </c>
      <c r="F2479" s="34" t="str">
        <f aca="false">'Uso e Consumo'!E2479</f>
        <v>DISJUNTOR TRIFÁSICO 63A</v>
      </c>
      <c r="G2479" s="34" t="str">
        <f aca="false">'Uso e Consumo'!J2479</f>
        <v>UN</v>
      </c>
      <c r="H2479" s="49" t="n">
        <f aca="false">'Uso e Consumo'!F2479</f>
        <v>1</v>
      </c>
      <c r="I2479" s="35" t="n">
        <f aca="false">'Uso e Consumo'!G2479</f>
        <v>33.35</v>
      </c>
      <c r="J2479" s="34" t="str">
        <f aca="false">'Uso e Consumo'!M2479</f>
        <v>3.8.1.017 - Instalações elétricas/telefônicas/lógica</v>
      </c>
      <c r="K2479" s="32" t="str">
        <f aca="false">INDEX('Curva ABC'!$K$8:$K$2847,MATCH(D2479,'Curva ABC'!$B$8:$B$2847,0))</f>
        <v>C</v>
      </c>
    </row>
    <row r="2480" customFormat="false" ht="15" hidden="false" customHeight="false" outlineLevel="0" collapsed="false">
      <c r="A2480" s="34" t="s">
        <v>5799</v>
      </c>
      <c r="B2480" s="34" t="str">
        <f aca="false">'Uso e Consumo'!A2480</f>
        <v>0335</v>
      </c>
      <c r="C2480" s="34" t="str">
        <f aca="false">'Uso e Consumo'!B2480</f>
        <v>UFV NORONHA VERDE - USO E CONSUMO</v>
      </c>
      <c r="D2480" s="33" t="n">
        <f aca="false">'Uso e Consumo'!C2480</f>
        <v>18125</v>
      </c>
      <c r="E2480" s="34" t="str">
        <f aca="false">'Uso e Consumo'!D2480</f>
        <v>24.15.0010</v>
      </c>
      <c r="F2480" s="34" t="str">
        <f aca="false">'Uso e Consumo'!E2480</f>
        <v>MARTELO BORRACHA MACIÇA PRETO 40,00MM CABO MADEIRA</v>
      </c>
      <c r="G2480" s="34" t="str">
        <f aca="false">'Uso e Consumo'!J2480</f>
        <v>UN</v>
      </c>
      <c r="H2480" s="49" t="n">
        <f aca="false">'Uso e Consumo'!F2480</f>
        <v>2</v>
      </c>
      <c r="I2480" s="35" t="n">
        <f aca="false">'Uso e Consumo'!G2480</f>
        <v>33.12</v>
      </c>
      <c r="J2480" s="34" t="str">
        <f aca="false">'Uso e Consumo'!M2480</f>
        <v>3.8.2.002 - Ferramentas manuais</v>
      </c>
      <c r="K2480" s="32" t="str">
        <f aca="false">INDEX('Curva ABC'!$K$8:$K$2847,MATCH(D2480,'Curva ABC'!$B$8:$B$2847,0))</f>
        <v>C</v>
      </c>
    </row>
    <row r="2481" customFormat="false" ht="15" hidden="false" customHeight="false" outlineLevel="0" collapsed="false">
      <c r="A2481" s="34" t="s">
        <v>5799</v>
      </c>
      <c r="B2481" s="34" t="str">
        <f aca="false">'Uso e Consumo'!A2481</f>
        <v>0335</v>
      </c>
      <c r="C2481" s="34" t="str">
        <f aca="false">'Uso e Consumo'!B2481</f>
        <v>UFV NORONHA VERDE - USO E CONSUMO</v>
      </c>
      <c r="D2481" s="33" t="n">
        <f aca="false">'Uso e Consumo'!C2481</f>
        <v>22269</v>
      </c>
      <c r="E2481" s="34" t="str">
        <f aca="false">'Uso e Consumo'!D2481</f>
        <v>24.09.0190</v>
      </c>
      <c r="F2481" s="34" t="str">
        <f aca="false">'Uso e Consumo'!E2481</f>
        <v>CHAVE DE FENDA PARA TESTE ELÉTRICO (CHAVE DE TESTE), 220-250V</v>
      </c>
      <c r="G2481" s="34" t="str">
        <f aca="false">'Uso e Consumo'!J2481</f>
        <v>UN</v>
      </c>
      <c r="H2481" s="49" t="n">
        <f aca="false">'Uso e Consumo'!F2481</f>
        <v>1</v>
      </c>
      <c r="I2481" s="35" t="n">
        <f aca="false">'Uso e Consumo'!G2481</f>
        <v>33</v>
      </c>
      <c r="J2481" s="34" t="str">
        <f aca="false">'Uso e Consumo'!M2481</f>
        <v>3.8.2.002 - Ferramentas manuais</v>
      </c>
      <c r="K2481" s="32" t="str">
        <f aca="false">INDEX('Curva ABC'!$K$8:$K$2847,MATCH(D2481,'Curva ABC'!$B$8:$B$2847,0))</f>
        <v>C</v>
      </c>
    </row>
    <row r="2482" customFormat="false" ht="15" hidden="false" customHeight="false" outlineLevel="0" collapsed="false">
      <c r="A2482" s="34" t="s">
        <v>5799</v>
      </c>
      <c r="B2482" s="34" t="str">
        <f aca="false">'Uso e Consumo'!A2482</f>
        <v>0335</v>
      </c>
      <c r="C2482" s="34" t="str">
        <f aca="false">'Uso e Consumo'!B2482</f>
        <v>UFV NORONHA VERDE - USO E CONSUMO</v>
      </c>
      <c r="D2482" s="33" t="n">
        <f aca="false">'Uso e Consumo'!C2482</f>
        <v>1330262</v>
      </c>
      <c r="E2482" s="34" t="str">
        <f aca="false">'Uso e Consumo'!D2482</f>
        <v>23.02.0474</v>
      </c>
      <c r="F2482" s="34" t="str">
        <f aca="false">'Uso e Consumo'!E2482</f>
        <v>ABRACADEIRA DE NYLON 3,6 X 250 BRANCO C/100 </v>
      </c>
      <c r="G2482" s="34" t="str">
        <f aca="false">'Uso e Consumo'!J2482</f>
        <v>PC</v>
      </c>
      <c r="H2482" s="49" t="n">
        <f aca="false">'Uso e Consumo'!F2482</f>
        <v>1</v>
      </c>
      <c r="I2482" s="35" t="n">
        <f aca="false">'Uso e Consumo'!G2482</f>
        <v>32.98</v>
      </c>
      <c r="J2482" s="34" t="str">
        <f aca="false">'Uso e Consumo'!M2482</f>
        <v>3.8.1.022 - Elementos de fixação</v>
      </c>
      <c r="K2482" s="32" t="str">
        <f aca="false">INDEX('Curva ABC'!$K$8:$K$2847,MATCH(D2482,'Curva ABC'!$B$8:$B$2847,0))</f>
        <v>C</v>
      </c>
    </row>
    <row r="2483" customFormat="false" ht="15" hidden="false" customHeight="false" outlineLevel="0" collapsed="false">
      <c r="A2483" s="34" t="s">
        <v>5799</v>
      </c>
      <c r="B2483" s="34" t="str">
        <f aca="false">'Uso e Consumo'!A2483</f>
        <v>0335</v>
      </c>
      <c r="C2483" s="34" t="str">
        <f aca="false">'Uso e Consumo'!B2483</f>
        <v>UFV NORONHA VERDE - USO E CONSUMO</v>
      </c>
      <c r="D2483" s="33" t="n">
        <f aca="false">'Uso e Consumo'!C2483</f>
        <v>1659864</v>
      </c>
      <c r="E2483" s="34" t="str">
        <f aca="false">'Uso e Consumo'!D2483</f>
        <v>23.05.0314</v>
      </c>
      <c r="F2483" s="34" t="str">
        <f aca="false">'Uso e Consumo'!E2483</f>
        <v>ARRUELA LISA EM ACO GALVANIZADO A FOGO M10</v>
      </c>
      <c r="G2483" s="34" t="str">
        <f aca="false">'Uso e Consumo'!J2483</f>
        <v>UN</v>
      </c>
      <c r="H2483" s="49" t="n">
        <f aca="false">'Uso e Consumo'!F2483</f>
        <v>5</v>
      </c>
      <c r="I2483" s="35" t="n">
        <f aca="false">'Uso e Consumo'!G2483</f>
        <v>32.9</v>
      </c>
      <c r="J2483" s="34" t="str">
        <f aca="false">'Uso e Consumo'!M2483</f>
        <v>3.8.1.022 - Elementos de fixação</v>
      </c>
      <c r="K2483" s="32" t="str">
        <f aca="false">INDEX('Curva ABC'!$K$8:$K$2847,MATCH(D2483,'Curva ABC'!$B$8:$B$2847,0))</f>
        <v>C</v>
      </c>
    </row>
    <row r="2484" customFormat="false" ht="15" hidden="false" customHeight="false" outlineLevel="0" collapsed="false">
      <c r="A2484" s="34" t="s">
        <v>5799</v>
      </c>
      <c r="B2484" s="34" t="str">
        <f aca="false">'Uso e Consumo'!A2484</f>
        <v>0335</v>
      </c>
      <c r="C2484" s="34" t="str">
        <f aca="false">'Uso e Consumo'!B2484</f>
        <v>UFV NORONHA VERDE - USO E CONSUMO</v>
      </c>
      <c r="D2484" s="33" t="n">
        <f aca="false">'Uso e Consumo'!C2484</f>
        <v>220676</v>
      </c>
      <c r="E2484" s="34" t="str">
        <f aca="false">'Uso e Consumo'!D2484</f>
        <v>27.01.0175</v>
      </c>
      <c r="F2484" s="34" t="str">
        <f aca="false">'Uso e Consumo'!E2484</f>
        <v>NEBACETIM</v>
      </c>
      <c r="G2484" s="34" t="str">
        <f aca="false">'Uso e Consumo'!J2484</f>
        <v>UN</v>
      </c>
      <c r="H2484" s="49" t="n">
        <f aca="false">'Uso e Consumo'!F2484</f>
        <v>1</v>
      </c>
      <c r="I2484" s="35" t="n">
        <f aca="false">'Uso e Consumo'!G2484</f>
        <v>32.8</v>
      </c>
      <c r="J2484" s="34" t="str">
        <f aca="false">'Uso e Consumo'!M2484</f>
        <v>4.3.4.006 - Medicamentos e primeiro socorros</v>
      </c>
      <c r="K2484" s="32" t="str">
        <f aca="false">INDEX('Curva ABC'!$K$8:$K$2847,MATCH(D2484,'Curva ABC'!$B$8:$B$2847,0))</f>
        <v>C</v>
      </c>
    </row>
    <row r="2485" customFormat="false" ht="15" hidden="false" customHeight="false" outlineLevel="0" collapsed="false">
      <c r="A2485" s="34" t="s">
        <v>5799</v>
      </c>
      <c r="B2485" s="34" t="str">
        <f aca="false">'Uso e Consumo'!A2485</f>
        <v>0335</v>
      </c>
      <c r="C2485" s="34" t="str">
        <f aca="false">'Uso e Consumo'!B2485</f>
        <v>UFV NORONHA VERDE - USO E CONSUMO</v>
      </c>
      <c r="D2485" s="33" t="n">
        <f aca="false">'Uso e Consumo'!C2485</f>
        <v>292980</v>
      </c>
      <c r="E2485" s="34" t="str">
        <f aca="false">'Uso e Consumo'!D2485</f>
        <v>25.10.0044</v>
      </c>
      <c r="F2485" s="34" t="str">
        <f aca="false">'Uso e Consumo'!E2485</f>
        <v>CORDA TRANÇADA SEDA 5,00MM</v>
      </c>
      <c r="G2485" s="34" t="str">
        <f aca="false">'Uso e Consumo'!J2485</f>
        <v>M</v>
      </c>
      <c r="H2485" s="49" t="n">
        <f aca="false">'Uso e Consumo'!F2485</f>
        <v>10</v>
      </c>
      <c r="I2485" s="35" t="n">
        <f aca="false">'Uso e Consumo'!G2485</f>
        <v>32.8</v>
      </c>
      <c r="J2485" s="34" t="str">
        <f aca="false">'Uso e Consumo'!M2485</f>
        <v>3.8.2.006 - Utensílios</v>
      </c>
      <c r="K2485" s="32" t="str">
        <f aca="false">INDEX('Curva ABC'!$K$8:$K$2847,MATCH(D2485,'Curva ABC'!$B$8:$B$2847,0))</f>
        <v>C</v>
      </c>
    </row>
    <row r="2486" customFormat="false" ht="15" hidden="false" customHeight="false" outlineLevel="0" collapsed="false">
      <c r="A2486" s="34" t="s">
        <v>5799</v>
      </c>
      <c r="B2486" s="34" t="str">
        <f aca="false">'Uso e Consumo'!A2486</f>
        <v>0335</v>
      </c>
      <c r="C2486" s="34" t="str">
        <f aca="false">'Uso e Consumo'!B2486</f>
        <v>UFV NORONHA VERDE - USO E CONSUMO</v>
      </c>
      <c r="D2486" s="33" t="n">
        <f aca="false">'Uso e Consumo'!C2486</f>
        <v>35399</v>
      </c>
      <c r="E2486" s="34" t="str">
        <f aca="false">'Uso e Consumo'!D2486</f>
        <v>22.02.0002</v>
      </c>
      <c r="F2486" s="34" t="str">
        <f aca="false">'Uso e Consumo'!E2486</f>
        <v>BOMBA PARA CALIBRAR BOLA</v>
      </c>
      <c r="G2486" s="34" t="str">
        <f aca="false">'Uso e Consumo'!J2486</f>
        <v>UN</v>
      </c>
      <c r="H2486" s="49" t="n">
        <f aca="false">'Uso e Consumo'!F2486</f>
        <v>2</v>
      </c>
      <c r="I2486" s="35" t="n">
        <f aca="false">'Uso e Consumo'!G2486</f>
        <v>32.56</v>
      </c>
      <c r="J2486" s="34" t="str">
        <f aca="false">'Uso e Consumo'!M2486</f>
        <v>3.8.1.021 - Equipamentos recreativos e esportivos</v>
      </c>
      <c r="K2486" s="32" t="str">
        <f aca="false">INDEX('Curva ABC'!$K$8:$K$2847,MATCH(D2486,'Curva ABC'!$B$8:$B$2847,0))</f>
        <v>C</v>
      </c>
    </row>
    <row r="2487" customFormat="false" ht="15" hidden="false" customHeight="false" outlineLevel="0" collapsed="false">
      <c r="A2487" s="34" t="s">
        <v>5799</v>
      </c>
      <c r="B2487" s="34" t="str">
        <f aca="false">'Uso e Consumo'!A2487</f>
        <v>0335</v>
      </c>
      <c r="C2487" s="34" t="str">
        <f aca="false">'Uso e Consumo'!B2487</f>
        <v>UFV NORONHA VERDE - USO E CONSUMO</v>
      </c>
      <c r="D2487" s="33" t="n">
        <f aca="false">'Uso e Consumo'!C2487</f>
        <v>260233</v>
      </c>
      <c r="E2487" s="34" t="str">
        <f aca="false">'Uso e Consumo'!D2487</f>
        <v>27.01.0287</v>
      </c>
      <c r="F2487" s="34" t="str">
        <f aca="false">'Uso e Consumo'!E2487</f>
        <v>DORFLEX</v>
      </c>
      <c r="G2487" s="34" t="str">
        <f aca="false">'Uso e Consumo'!J2487</f>
        <v>UN</v>
      </c>
      <c r="H2487" s="49" t="n">
        <f aca="false">'Uso e Consumo'!F2487</f>
        <v>4</v>
      </c>
      <c r="I2487" s="35" t="n">
        <f aca="false">'Uso e Consumo'!G2487</f>
        <v>32</v>
      </c>
      <c r="J2487" s="34" t="str">
        <f aca="false">'Uso e Consumo'!M2487</f>
        <v>4.3.4.006 - Medicamentos e primeiro socorros</v>
      </c>
      <c r="K2487" s="32" t="str">
        <f aca="false">INDEX('Curva ABC'!$K$8:$K$2847,MATCH(D2487,'Curva ABC'!$B$8:$B$2847,0))</f>
        <v>C</v>
      </c>
    </row>
    <row r="2488" customFormat="false" ht="15" hidden="false" customHeight="false" outlineLevel="0" collapsed="false">
      <c r="A2488" s="34" t="s">
        <v>5799</v>
      </c>
      <c r="B2488" s="34" t="str">
        <f aca="false">'Uso e Consumo'!A2488</f>
        <v>0335</v>
      </c>
      <c r="C2488" s="34" t="str">
        <f aca="false">'Uso e Consumo'!B2488</f>
        <v>UFV NORONHA VERDE - USO E CONSUMO</v>
      </c>
      <c r="D2488" s="33" t="n">
        <f aca="false">'Uso e Consumo'!C2488</f>
        <v>89391</v>
      </c>
      <c r="E2488" s="34" t="str">
        <f aca="false">'Uso e Consumo'!D2488</f>
        <v>23.07.1008</v>
      </c>
      <c r="F2488" s="34" t="str">
        <f aca="false">'Uso e Consumo'!E2488</f>
        <v>PARAFUSO SEXTAVADO 16 X 45 8.8MA</v>
      </c>
      <c r="G2488" s="34" t="str">
        <f aca="false">'Uso e Consumo'!J2488</f>
        <v>UN</v>
      </c>
      <c r="H2488" s="49" t="n">
        <f aca="false">'Uso e Consumo'!F2488</f>
        <v>10</v>
      </c>
      <c r="I2488" s="35" t="n">
        <f aca="false">'Uso e Consumo'!G2488</f>
        <v>31.9</v>
      </c>
      <c r="J2488" s="34" t="str">
        <f aca="false">'Uso e Consumo'!M2488</f>
        <v>3.8.1.022 - Elementos de fixação</v>
      </c>
      <c r="K2488" s="32" t="str">
        <f aca="false">INDEX('Curva ABC'!$K$8:$K$2847,MATCH(D2488,'Curva ABC'!$B$8:$B$2847,0))</f>
        <v>C</v>
      </c>
    </row>
    <row r="2489" customFormat="false" ht="15" hidden="false" customHeight="false" outlineLevel="0" collapsed="false">
      <c r="A2489" s="34" t="s">
        <v>5799</v>
      </c>
      <c r="B2489" s="34" t="str">
        <f aca="false">'Uso e Consumo'!A2489</f>
        <v>0335</v>
      </c>
      <c r="C2489" s="34" t="str">
        <f aca="false">'Uso e Consumo'!B2489</f>
        <v>UFV NORONHA VERDE - USO E CONSUMO</v>
      </c>
      <c r="D2489" s="33" t="n">
        <f aca="false">'Uso e Consumo'!C2489</f>
        <v>728362</v>
      </c>
      <c r="E2489" s="34" t="str">
        <f aca="false">'Uso e Consumo'!D2489</f>
        <v>23.06.0249</v>
      </c>
      <c r="F2489" s="34" t="str">
        <f aca="false">'Uso e Consumo'!E2489</f>
        <v>PORCA SEXTAVADA INOX 304 6MM"</v>
      </c>
      <c r="G2489" s="34" t="str">
        <f aca="false">'Uso e Consumo'!J2489</f>
        <v>UN</v>
      </c>
      <c r="H2489" s="49" t="n">
        <f aca="false">'Uso e Consumo'!F2489</f>
        <v>20</v>
      </c>
      <c r="I2489" s="35" t="n">
        <f aca="false">'Uso e Consumo'!G2489</f>
        <v>31.6</v>
      </c>
      <c r="J2489" s="34" t="str">
        <f aca="false">'Uso e Consumo'!M2489</f>
        <v>3.8.1.022 - Elementos de fixação</v>
      </c>
      <c r="K2489" s="32" t="str">
        <f aca="false">INDEX('Curva ABC'!$K$8:$K$2847,MATCH(D2489,'Curva ABC'!$B$8:$B$2847,0))</f>
        <v>C</v>
      </c>
    </row>
    <row r="2490" customFormat="false" ht="15" hidden="false" customHeight="false" outlineLevel="0" collapsed="false">
      <c r="A2490" s="34" t="s">
        <v>5799</v>
      </c>
      <c r="B2490" s="34" t="str">
        <f aca="false">'Uso e Consumo'!A2490</f>
        <v>0335</v>
      </c>
      <c r="C2490" s="34" t="str">
        <f aca="false">'Uso e Consumo'!B2490</f>
        <v>UFV NORONHA VERDE - USO E CONSUMO</v>
      </c>
      <c r="D2490" s="33" t="n">
        <f aca="false">'Uso e Consumo'!C2490</f>
        <v>35547</v>
      </c>
      <c r="E2490" s="34" t="str">
        <f aca="false">'Uso e Consumo'!D2490</f>
        <v>17.20.0155</v>
      </c>
      <c r="F2490" s="34" t="str">
        <f aca="false">'Uso e Consumo'!E2490</f>
        <v>PORCA SEXTAVADA GALVANIZADA 3/8”</v>
      </c>
      <c r="G2490" s="34" t="str">
        <f aca="false">'Uso e Consumo'!J2490</f>
        <v>UN</v>
      </c>
      <c r="H2490" s="49" t="n">
        <f aca="false">'Uso e Consumo'!F2490</f>
        <v>126</v>
      </c>
      <c r="I2490" s="35" t="n">
        <f aca="false">'Uso e Consumo'!G2490</f>
        <v>31.5</v>
      </c>
      <c r="J2490" s="34" t="str">
        <f aca="false">'Uso e Consumo'!M2490</f>
        <v>3.8.1.017 - Instalações elétricas/telefônicas/lógica</v>
      </c>
      <c r="K2490" s="32" t="str">
        <f aca="false">INDEX('Curva ABC'!$K$8:$K$2847,MATCH(D2490,'Curva ABC'!$B$8:$B$2847,0))</f>
        <v>C</v>
      </c>
    </row>
    <row r="2491" customFormat="false" ht="15" hidden="false" customHeight="false" outlineLevel="0" collapsed="false">
      <c r="A2491" s="34" t="s">
        <v>5799</v>
      </c>
      <c r="B2491" s="34" t="str">
        <f aca="false">'Uso e Consumo'!A2491</f>
        <v>0335</v>
      </c>
      <c r="C2491" s="34" t="str">
        <f aca="false">'Uso e Consumo'!B2491</f>
        <v>UFV NORONHA VERDE - USO E CONSUMO</v>
      </c>
      <c r="D2491" s="33" t="n">
        <f aca="false">'Uso e Consumo'!C2491</f>
        <v>21316</v>
      </c>
      <c r="E2491" s="34" t="str">
        <f aca="false">'Uso e Consumo'!D2491</f>
        <v>17.12.0178</v>
      </c>
      <c r="F2491" s="34" t="str">
        <f aca="false">'Uso e Consumo'!E2491</f>
        <v>INTERRUPTOR SIMPLES 1 SEÇÃO</v>
      </c>
      <c r="G2491" s="34" t="str">
        <f aca="false">'Uso e Consumo'!J2491</f>
        <v>UN</v>
      </c>
      <c r="H2491" s="49" t="n">
        <f aca="false">'Uso e Consumo'!F2491</f>
        <v>5</v>
      </c>
      <c r="I2491" s="35" t="n">
        <f aca="false">'Uso e Consumo'!G2491</f>
        <v>31.05</v>
      </c>
      <c r="J2491" s="34" t="str">
        <f aca="false">'Uso e Consumo'!M2491</f>
        <v>3.8.1.017 - Instalações elétricas/telefônicas/lógica</v>
      </c>
      <c r="K2491" s="32" t="str">
        <f aca="false">INDEX('Curva ABC'!$K$8:$K$2847,MATCH(D2491,'Curva ABC'!$B$8:$B$2847,0))</f>
        <v>C</v>
      </c>
    </row>
    <row r="2492" customFormat="false" ht="15" hidden="false" customHeight="false" outlineLevel="0" collapsed="false">
      <c r="A2492" s="34" t="s">
        <v>5799</v>
      </c>
      <c r="B2492" s="34" t="str">
        <f aca="false">'Uso e Consumo'!A2492</f>
        <v>0335</v>
      </c>
      <c r="C2492" s="34" t="str">
        <f aca="false">'Uso e Consumo'!B2492</f>
        <v>UFV NORONHA VERDE - USO E CONSUMO</v>
      </c>
      <c r="D2492" s="33" t="n">
        <f aca="false">'Uso e Consumo'!C2492</f>
        <v>856184</v>
      </c>
      <c r="E2492" s="34" t="str">
        <f aca="false">'Uso e Consumo'!D2492</f>
        <v>23.05.0242</v>
      </c>
      <c r="F2492" s="34" t="str">
        <f aca="false">'Uso e Consumo'!E2492</f>
        <v>ARRUELA INOX P/ PARAFUSO M8-16MM INOX</v>
      </c>
      <c r="G2492" s="34" t="str">
        <f aca="false">'Uso e Consumo'!J2492</f>
        <v>UN</v>
      </c>
      <c r="H2492" s="49" t="n">
        <f aca="false">'Uso e Consumo'!F2492</f>
        <v>32</v>
      </c>
      <c r="I2492" s="35" t="n">
        <f aca="false">'Uso e Consumo'!G2492</f>
        <v>31.04</v>
      </c>
      <c r="J2492" s="34" t="str">
        <f aca="false">'Uso e Consumo'!M2492</f>
        <v>3.8.1.022 - Elementos de fixação</v>
      </c>
      <c r="K2492" s="32" t="str">
        <f aca="false">INDEX('Curva ABC'!$K$8:$K$2847,MATCH(D2492,'Curva ABC'!$B$8:$B$2847,0))</f>
        <v>C</v>
      </c>
    </row>
    <row r="2493" customFormat="false" ht="15" hidden="false" customHeight="false" outlineLevel="0" collapsed="false">
      <c r="A2493" s="34" t="s">
        <v>5799</v>
      </c>
      <c r="B2493" s="34" t="str">
        <f aca="false">'Uso e Consumo'!A2493</f>
        <v>0335</v>
      </c>
      <c r="C2493" s="34" t="str">
        <f aca="false">'Uso e Consumo'!B2493</f>
        <v>UFV NORONHA VERDE - USO E CONSUMO</v>
      </c>
      <c r="D2493" s="33" t="n">
        <f aca="false">'Uso e Consumo'!C2493</f>
        <v>18269</v>
      </c>
      <c r="E2493" s="34" t="str">
        <f aca="false">'Uso e Consumo'!D2493</f>
        <v>25.02.0001</v>
      </c>
      <c r="F2493" s="34" t="str">
        <f aca="false">'Uso e Consumo'!E2493</f>
        <v>LIXA D'ÁGUA N 100 225,00MM X 275,00MM PAPEL IMPERMEÁVEL FOLHA</v>
      </c>
      <c r="G2493" s="34" t="str">
        <f aca="false">'Uso e Consumo'!J2493</f>
        <v>UN</v>
      </c>
      <c r="H2493" s="49" t="n">
        <f aca="false">'Uso e Consumo'!F2493</f>
        <v>3</v>
      </c>
      <c r="I2493" s="35" t="n">
        <f aca="false">'Uso e Consumo'!G2493</f>
        <v>30.94</v>
      </c>
      <c r="J2493" s="34" t="str">
        <f aca="false">'Uso e Consumo'!M2493</f>
        <v>3.8.2.004 - Consumíveis para corte, perfuração e desbaste</v>
      </c>
      <c r="K2493" s="32" t="str">
        <f aca="false">INDEX('Curva ABC'!$K$8:$K$2847,MATCH(D2493,'Curva ABC'!$B$8:$B$2847,0))</f>
        <v>C</v>
      </c>
    </row>
    <row r="2494" customFormat="false" ht="15" hidden="false" customHeight="false" outlineLevel="0" collapsed="false">
      <c r="A2494" s="34" t="s">
        <v>5799</v>
      </c>
      <c r="B2494" s="34" t="str">
        <f aca="false">'Uso e Consumo'!A2494</f>
        <v>0335</v>
      </c>
      <c r="C2494" s="34" t="str">
        <f aca="false">'Uso e Consumo'!B2494</f>
        <v>UFV NORONHA VERDE - USO E CONSUMO</v>
      </c>
      <c r="D2494" s="33" t="n">
        <f aca="false">'Uso e Consumo'!C2494</f>
        <v>138733</v>
      </c>
      <c r="E2494" s="34" t="str">
        <f aca="false">'Uso e Consumo'!D2494</f>
        <v>30.04.0138</v>
      </c>
      <c r="F2494" s="34" t="str">
        <f aca="false">'Uso e Consumo'!E2494</f>
        <v>AÇUCAREIRO PLÁSTICO C/ COLHER</v>
      </c>
      <c r="G2494" s="34" t="str">
        <f aca="false">'Uso e Consumo'!J2494</f>
        <v>UN</v>
      </c>
      <c r="H2494" s="49" t="n">
        <f aca="false">'Uso e Consumo'!F2494</f>
        <v>3</v>
      </c>
      <c r="I2494" s="35" t="n">
        <f aca="false">'Uso e Consumo'!G2494</f>
        <v>30.15</v>
      </c>
      <c r="J2494" s="34" t="str">
        <f aca="false">'Uso e Consumo'!M2494</f>
        <v>4.1.1.001 - Material de uso e consumo</v>
      </c>
      <c r="K2494" s="32" t="str">
        <f aca="false">INDEX('Curva ABC'!$K$8:$K$2847,MATCH(D2494,'Curva ABC'!$B$8:$B$2847,0))</f>
        <v>C</v>
      </c>
    </row>
    <row r="2495" customFormat="false" ht="15" hidden="false" customHeight="false" outlineLevel="0" collapsed="false">
      <c r="A2495" s="34" t="s">
        <v>5799</v>
      </c>
      <c r="B2495" s="34" t="str">
        <f aca="false">'Uso e Consumo'!A2495</f>
        <v>0335</v>
      </c>
      <c r="C2495" s="34" t="str">
        <f aca="false">'Uso e Consumo'!B2495</f>
        <v>UFV NORONHA VERDE - USO E CONSUMO</v>
      </c>
      <c r="D2495" s="33" t="n">
        <f aca="false">'Uso e Consumo'!C2495</f>
        <v>24314</v>
      </c>
      <c r="E2495" s="34" t="str">
        <f aca="false">'Uso e Consumo'!D2495</f>
        <v>25.13.0053</v>
      </c>
      <c r="F2495" s="34" t="str">
        <f aca="false">'Uso e Consumo'!E2495</f>
        <v>ENGATE RAPIDO MACHO AÇO INOX 1/4" 115PSI</v>
      </c>
      <c r="G2495" s="34" t="str">
        <f aca="false">'Uso e Consumo'!J2495</f>
        <v>UN</v>
      </c>
      <c r="H2495" s="49" t="n">
        <f aca="false">'Uso e Consumo'!F2495</f>
        <v>1</v>
      </c>
      <c r="I2495" s="35" t="n">
        <f aca="false">'Uso e Consumo'!G2495</f>
        <v>30</v>
      </c>
      <c r="J2495" s="34" t="str">
        <f aca="false">'Uso e Consumo'!M2495</f>
        <v>3.8.1.018 - Instalações hidráulicas/sanitárias/industriais</v>
      </c>
      <c r="K2495" s="32" t="str">
        <f aca="false">INDEX('Curva ABC'!$K$8:$K$2847,MATCH(D2495,'Curva ABC'!$B$8:$B$2847,0))</f>
        <v>C</v>
      </c>
    </row>
    <row r="2496" customFormat="false" ht="15" hidden="false" customHeight="false" outlineLevel="0" collapsed="false">
      <c r="A2496" s="34" t="s">
        <v>5799</v>
      </c>
      <c r="B2496" s="34" t="str">
        <f aca="false">'Uso e Consumo'!A2496</f>
        <v>0335</v>
      </c>
      <c r="C2496" s="34" t="str">
        <f aca="false">'Uso e Consumo'!B2496</f>
        <v>UFV NORONHA VERDE - USO E CONSUMO</v>
      </c>
      <c r="D2496" s="33" t="n">
        <f aca="false">'Uso e Consumo'!C2496</f>
        <v>24315</v>
      </c>
      <c r="E2496" s="34" t="str">
        <f aca="false">'Uso e Consumo'!D2496</f>
        <v>25.13.0054</v>
      </c>
      <c r="F2496" s="34" t="str">
        <f aca="false">'Uso e Consumo'!E2496</f>
        <v>ENGATE RAPIDO FÊMEA AÇO INOX 1/4" 115PSI</v>
      </c>
      <c r="G2496" s="34" t="str">
        <f aca="false">'Uso e Consumo'!J2496</f>
        <v>UN</v>
      </c>
      <c r="H2496" s="49" t="n">
        <f aca="false">'Uso e Consumo'!F2496</f>
        <v>1</v>
      </c>
      <c r="I2496" s="35" t="n">
        <f aca="false">'Uso e Consumo'!G2496</f>
        <v>30</v>
      </c>
      <c r="J2496" s="34" t="str">
        <f aca="false">'Uso e Consumo'!M2496</f>
        <v>3.8.1.018 - Instalações hidráulicas/sanitárias/industriais</v>
      </c>
      <c r="K2496" s="32" t="str">
        <f aca="false">INDEX('Curva ABC'!$K$8:$K$2847,MATCH(D2496,'Curva ABC'!$B$8:$B$2847,0))</f>
        <v>C</v>
      </c>
    </row>
    <row r="2497" customFormat="false" ht="15" hidden="false" customHeight="false" outlineLevel="0" collapsed="false">
      <c r="A2497" s="34" t="s">
        <v>5799</v>
      </c>
      <c r="B2497" s="34" t="str">
        <f aca="false">'Uso e Consumo'!A2497</f>
        <v>0335</v>
      </c>
      <c r="C2497" s="34" t="str">
        <f aca="false">'Uso e Consumo'!B2497</f>
        <v>UFV NORONHA VERDE - USO E CONSUMO</v>
      </c>
      <c r="D2497" s="33" t="n">
        <f aca="false">'Uso e Consumo'!C2497</f>
        <v>35285</v>
      </c>
      <c r="E2497" s="34" t="str">
        <f aca="false">'Uso e Consumo'!D2497</f>
        <v>34.02.0760</v>
      </c>
      <c r="F2497" s="34" t="str">
        <f aca="false">'Uso e Consumo'!E2497</f>
        <v>BICO INFLADOR DUPLO COM ROSCA FÊMEA DE 1/4 POL. BSP</v>
      </c>
      <c r="G2497" s="34" t="str">
        <f aca="false">'Uso e Consumo'!J2497</f>
        <v>UN</v>
      </c>
      <c r="H2497" s="49" t="n">
        <f aca="false">'Uso e Consumo'!F2497</f>
        <v>1</v>
      </c>
      <c r="I2497" s="35" t="n">
        <f aca="false">'Uso e Consumo'!G2497</f>
        <v>30</v>
      </c>
      <c r="J2497" s="34" t="str">
        <f aca="false">'Uso e Consumo'!M2497</f>
        <v>3.1.6.002 - Pneus e peças</v>
      </c>
      <c r="K2497" s="32" t="str">
        <f aca="false">INDEX('Curva ABC'!$K$8:$K$2847,MATCH(D2497,'Curva ABC'!$B$8:$B$2847,0))</f>
        <v>C</v>
      </c>
    </row>
    <row r="2498" customFormat="false" ht="15" hidden="false" customHeight="false" outlineLevel="0" collapsed="false">
      <c r="A2498" s="34" t="s">
        <v>5799</v>
      </c>
      <c r="B2498" s="34" t="str">
        <f aca="false">'Uso e Consumo'!A2498</f>
        <v>0335</v>
      </c>
      <c r="C2498" s="34" t="str">
        <f aca="false">'Uso e Consumo'!B2498</f>
        <v>UFV NORONHA VERDE - USO E CONSUMO</v>
      </c>
      <c r="D2498" s="33" t="n">
        <f aca="false">'Uso e Consumo'!C2498</f>
        <v>223498</v>
      </c>
      <c r="E2498" s="34" t="str">
        <f aca="false">'Uso e Consumo'!D2498</f>
        <v>27.01.0190</v>
      </c>
      <c r="F2498" s="34" t="str">
        <f aca="false">'Uso e Consumo'!E2498</f>
        <v>BROMOPRIDA 10MG</v>
      </c>
      <c r="G2498" s="34" t="str">
        <f aca="false">'Uso e Consumo'!J2498</f>
        <v>UN</v>
      </c>
      <c r="H2498" s="49" t="n">
        <f aca="false">'Uso e Consumo'!F2498</f>
        <v>2</v>
      </c>
      <c r="I2498" s="35" t="n">
        <f aca="false">'Uso e Consumo'!G2498</f>
        <v>30</v>
      </c>
      <c r="J2498" s="34" t="str">
        <f aca="false">'Uso e Consumo'!M2498</f>
        <v>4.3.4.006 - Medicamentos e primeiro socorros</v>
      </c>
      <c r="K2498" s="32" t="str">
        <f aca="false">INDEX('Curva ABC'!$K$8:$K$2847,MATCH(D2498,'Curva ABC'!$B$8:$B$2847,0))</f>
        <v>C</v>
      </c>
    </row>
    <row r="2499" customFormat="false" ht="15" hidden="false" customHeight="false" outlineLevel="0" collapsed="false">
      <c r="A2499" s="34" t="s">
        <v>5799</v>
      </c>
      <c r="B2499" s="34" t="str">
        <f aca="false">'Uso e Consumo'!A2499</f>
        <v>0335</v>
      </c>
      <c r="C2499" s="34" t="str">
        <f aca="false">'Uso e Consumo'!B2499</f>
        <v>UFV NORONHA VERDE - USO E CONSUMO</v>
      </c>
      <c r="D2499" s="33" t="n">
        <f aca="false">'Uso e Consumo'!C2499</f>
        <v>426083</v>
      </c>
      <c r="E2499" s="34" t="str">
        <f aca="false">'Uso e Consumo'!D2499</f>
        <v>27.01.0361</v>
      </c>
      <c r="F2499" s="34" t="str">
        <f aca="false">'Uso e Consumo'!E2499</f>
        <v>ATENOLOL 50MG</v>
      </c>
      <c r="G2499" s="34" t="str">
        <f aca="false">'Uso e Consumo'!J2499</f>
        <v>UN</v>
      </c>
      <c r="H2499" s="49" t="n">
        <f aca="false">'Uso e Consumo'!F2499</f>
        <v>2</v>
      </c>
      <c r="I2499" s="35" t="n">
        <f aca="false">'Uso e Consumo'!G2499</f>
        <v>30</v>
      </c>
      <c r="J2499" s="34" t="str">
        <f aca="false">'Uso e Consumo'!M2499</f>
        <v>4.3.4.006 - Medicamentos e primeiro socorros</v>
      </c>
      <c r="K2499" s="32" t="str">
        <f aca="false">INDEX('Curva ABC'!$K$8:$K$2847,MATCH(D2499,'Curva ABC'!$B$8:$B$2847,0))</f>
        <v>C</v>
      </c>
    </row>
    <row r="2500" customFormat="false" ht="15" hidden="false" customHeight="false" outlineLevel="0" collapsed="false">
      <c r="A2500" s="34" t="s">
        <v>5799</v>
      </c>
      <c r="B2500" s="34" t="str">
        <f aca="false">'Uso e Consumo'!A2500</f>
        <v>0335</v>
      </c>
      <c r="C2500" s="34" t="str">
        <f aca="false">'Uso e Consumo'!B2500</f>
        <v>UFV NORONHA VERDE - USO E CONSUMO</v>
      </c>
      <c r="D2500" s="33" t="n">
        <f aca="false">'Uso e Consumo'!C2500</f>
        <v>875463</v>
      </c>
      <c r="E2500" s="34" t="str">
        <f aca="false">'Uso e Consumo'!D2500</f>
        <v>18.04.0079</v>
      </c>
      <c r="F2500" s="34" t="str">
        <f aca="false">'Uso e Consumo'!E2500</f>
        <v>ENGATE RAPIDO P/AR 1/4XMANG 3/8 CB198.2</v>
      </c>
      <c r="G2500" s="34" t="str">
        <f aca="false">'Uso e Consumo'!J2500</f>
        <v>UN</v>
      </c>
      <c r="H2500" s="49" t="n">
        <f aca="false">'Uso e Consumo'!F2500</f>
        <v>1</v>
      </c>
      <c r="I2500" s="35" t="n">
        <f aca="false">'Uso e Consumo'!G2500</f>
        <v>30</v>
      </c>
      <c r="J2500" s="34" t="str">
        <f aca="false">'Uso e Consumo'!M2500</f>
        <v>3.8.1.018 - Instalações hidráulicas/sanitárias/industriais</v>
      </c>
      <c r="K2500" s="32" t="str">
        <f aca="false">INDEX('Curva ABC'!$K$8:$K$2847,MATCH(D2500,'Curva ABC'!$B$8:$B$2847,0))</f>
        <v>C</v>
      </c>
    </row>
    <row r="2501" customFormat="false" ht="15" hidden="false" customHeight="false" outlineLevel="0" collapsed="false">
      <c r="A2501" s="34" t="s">
        <v>5799</v>
      </c>
      <c r="B2501" s="34" t="str">
        <f aca="false">'Uso e Consumo'!A2501</f>
        <v>0335</v>
      </c>
      <c r="C2501" s="34" t="str">
        <f aca="false">'Uso e Consumo'!B2501</f>
        <v>UFV NORONHA VERDE - USO E CONSUMO</v>
      </c>
      <c r="D2501" s="33" t="n">
        <f aca="false">'Uso e Consumo'!C2501</f>
        <v>888294</v>
      </c>
      <c r="E2501" s="34" t="str">
        <f aca="false">'Uso e Consumo'!D2501</f>
        <v>27.01.0442</v>
      </c>
      <c r="F2501" s="34" t="str">
        <f aca="false">'Uso e Consumo'!E2501</f>
        <v>EQUIPO PARA DROGAS FOTOSSENSÍVEIS </v>
      </c>
      <c r="G2501" s="34" t="str">
        <f aca="false">'Uso e Consumo'!J2501</f>
        <v>UN</v>
      </c>
      <c r="H2501" s="49" t="n">
        <f aca="false">'Uso e Consumo'!F2501</f>
        <v>2</v>
      </c>
      <c r="I2501" s="35" t="n">
        <f aca="false">'Uso e Consumo'!G2501</f>
        <v>30</v>
      </c>
      <c r="J2501" s="34" t="str">
        <f aca="false">'Uso e Consumo'!M2501</f>
        <v>4.3.4.006 - Medicamentos e primeiro socorros</v>
      </c>
      <c r="K2501" s="32" t="str">
        <f aca="false">INDEX('Curva ABC'!$K$8:$K$2847,MATCH(D2501,'Curva ABC'!$B$8:$B$2847,0))</f>
        <v>C</v>
      </c>
    </row>
    <row r="2502" customFormat="false" ht="15" hidden="false" customHeight="false" outlineLevel="0" collapsed="false">
      <c r="A2502" s="34" t="s">
        <v>5799</v>
      </c>
      <c r="B2502" s="34" t="str">
        <f aca="false">'Uso e Consumo'!A2502</f>
        <v>0335</v>
      </c>
      <c r="C2502" s="34" t="str">
        <f aca="false">'Uso e Consumo'!B2502</f>
        <v>UFV NORONHA VERDE - USO E CONSUMO</v>
      </c>
      <c r="D2502" s="33" t="n">
        <f aca="false">'Uso e Consumo'!C2502</f>
        <v>293376</v>
      </c>
      <c r="E2502" s="34" t="str">
        <f aca="false">'Uso e Consumo'!D2502</f>
        <v>16.05.0138</v>
      </c>
      <c r="F2502" s="34" t="str">
        <f aca="false">'Uso e Consumo'!E2502</f>
        <v>CABO EXTENSOR DE ALUMINIO PARA ROLO DE PINTURA</v>
      </c>
      <c r="G2502" s="34" t="str">
        <f aca="false">'Uso e Consumo'!J2502</f>
        <v>UN</v>
      </c>
      <c r="H2502" s="49" t="n">
        <f aca="false">'Uso e Consumo'!F2502</f>
        <v>1</v>
      </c>
      <c r="I2502" s="35" t="n">
        <f aca="false">'Uso e Consumo'!G2502</f>
        <v>29.98</v>
      </c>
      <c r="J2502" s="34" t="str">
        <f aca="false">'Uso e Consumo'!M2502</f>
        <v>3.8.1.016 - Pinturas</v>
      </c>
      <c r="K2502" s="32" t="str">
        <f aca="false">INDEX('Curva ABC'!$K$8:$K$2847,MATCH(D2502,'Curva ABC'!$B$8:$B$2847,0))</f>
        <v>C</v>
      </c>
    </row>
    <row r="2503" customFormat="false" ht="15" hidden="false" customHeight="false" outlineLevel="0" collapsed="false">
      <c r="A2503" s="34" t="s">
        <v>5799</v>
      </c>
      <c r="B2503" s="34" t="str">
        <f aca="false">'Uso e Consumo'!A2503</f>
        <v>0335</v>
      </c>
      <c r="C2503" s="34" t="str">
        <f aca="false">'Uso e Consumo'!B2503</f>
        <v>UFV NORONHA VERDE - USO E CONSUMO</v>
      </c>
      <c r="D2503" s="33" t="n">
        <f aca="false">'Uso e Consumo'!C2503</f>
        <v>847701</v>
      </c>
      <c r="E2503" s="34" t="str">
        <f aca="false">'Uso e Consumo'!D2503</f>
        <v>32.09.0129</v>
      </c>
      <c r="F2503" s="34" t="str">
        <f aca="false">'Uso e Consumo'!E2503</f>
        <v>BOIA ESPAGUETE P/ PISCINA</v>
      </c>
      <c r="G2503" s="34" t="str">
        <f aca="false">'Uso e Consumo'!J2503</f>
        <v>UN</v>
      </c>
      <c r="H2503" s="49" t="n">
        <f aca="false">'Uso e Consumo'!F2503</f>
        <v>1</v>
      </c>
      <c r="I2503" s="35" t="n">
        <f aca="false">'Uso e Consumo'!G2503</f>
        <v>29.98</v>
      </c>
      <c r="J2503" s="34" t="str">
        <f aca="false">'Uso e Consumo'!M2503</f>
        <v>6.1.2.001 - Equipamentos</v>
      </c>
      <c r="K2503" s="32" t="str">
        <f aca="false">INDEX('Curva ABC'!$K$8:$K$2847,MATCH(D2503,'Curva ABC'!$B$8:$B$2847,0))</f>
        <v>C</v>
      </c>
    </row>
    <row r="2504" customFormat="false" ht="15" hidden="false" customHeight="false" outlineLevel="0" collapsed="false">
      <c r="A2504" s="34" t="s">
        <v>5799</v>
      </c>
      <c r="B2504" s="34" t="str">
        <f aca="false">'Uso e Consumo'!A2504</f>
        <v>0335</v>
      </c>
      <c r="C2504" s="34" t="str">
        <f aca="false">'Uso e Consumo'!B2504</f>
        <v>UFV NORONHA VERDE - USO E CONSUMO</v>
      </c>
      <c r="D2504" s="33" t="n">
        <f aca="false">'Uso e Consumo'!C2504</f>
        <v>1073871</v>
      </c>
      <c r="E2504" s="34" t="str">
        <f aca="false">'Uso e Consumo'!D2504</f>
        <v>24.25.0027</v>
      </c>
      <c r="F2504" s="34" t="str">
        <f aca="false">'Uso e Consumo'!E2504</f>
        <v>SERRA MANUAL RIGIDA 1224 - K&amp;F</v>
      </c>
      <c r="G2504" s="34" t="str">
        <f aca="false">'Uso e Consumo'!J2504</f>
        <v>UN</v>
      </c>
      <c r="H2504" s="49" t="n">
        <f aca="false">'Uso e Consumo'!F2504</f>
        <v>1</v>
      </c>
      <c r="I2504" s="35" t="n">
        <f aca="false">'Uso e Consumo'!G2504</f>
        <v>29.98</v>
      </c>
      <c r="J2504" s="34" t="str">
        <f aca="false">'Uso e Consumo'!M2504</f>
        <v>3.8.2.003 - Ferramentas elétricas/pneumáticas</v>
      </c>
      <c r="K2504" s="32" t="str">
        <f aca="false">INDEX('Curva ABC'!$K$8:$K$2847,MATCH(D2504,'Curva ABC'!$B$8:$B$2847,0))</f>
        <v>C</v>
      </c>
    </row>
    <row r="2505" customFormat="false" ht="15" hidden="false" customHeight="false" outlineLevel="0" collapsed="false">
      <c r="A2505" s="34" t="s">
        <v>5799</v>
      </c>
      <c r="B2505" s="34" t="str">
        <f aca="false">'Uso e Consumo'!A2505</f>
        <v>0335</v>
      </c>
      <c r="C2505" s="34" t="str">
        <f aca="false">'Uso e Consumo'!B2505</f>
        <v>UFV NORONHA VERDE - USO E CONSUMO</v>
      </c>
      <c r="D2505" s="33" t="n">
        <f aca="false">'Uso e Consumo'!C2505</f>
        <v>1077337</v>
      </c>
      <c r="E2505" s="34" t="str">
        <f aca="false">'Uso e Consumo'!D2505</f>
        <v>24.25.0028</v>
      </c>
      <c r="F2505" s="34" t="str">
        <f aca="false">'Uso e Consumo'!E2505</f>
        <v>SERRA MANUAL NICHOSON</v>
      </c>
      <c r="G2505" s="34" t="str">
        <f aca="false">'Uso e Consumo'!J2505</f>
        <v>pç</v>
      </c>
      <c r="H2505" s="49" t="n">
        <f aca="false">'Uso e Consumo'!F2505</f>
        <v>1</v>
      </c>
      <c r="I2505" s="35" t="n">
        <f aca="false">'Uso e Consumo'!G2505</f>
        <v>29.98</v>
      </c>
      <c r="J2505" s="34" t="str">
        <f aca="false">'Uso e Consumo'!M2505</f>
        <v>3.8.2.003 - Ferramentas elétricas/pneumáticas</v>
      </c>
      <c r="K2505" s="32" t="str">
        <f aca="false">INDEX('Curva ABC'!$K$8:$K$2847,MATCH(D2505,'Curva ABC'!$B$8:$B$2847,0))</f>
        <v>C</v>
      </c>
    </row>
    <row r="2506" customFormat="false" ht="15" hidden="false" customHeight="false" outlineLevel="0" collapsed="false">
      <c r="A2506" s="34" t="s">
        <v>5799</v>
      </c>
      <c r="B2506" s="34" t="str">
        <f aca="false">'Uso e Consumo'!A2506</f>
        <v>0335</v>
      </c>
      <c r="C2506" s="34" t="str">
        <f aca="false">'Uso e Consumo'!B2506</f>
        <v>UFV NORONHA VERDE - USO E CONSUMO</v>
      </c>
      <c r="D2506" s="33" t="n">
        <f aca="false">'Uso e Consumo'!C2506</f>
        <v>1462923</v>
      </c>
      <c r="E2506" s="34" t="str">
        <f aca="false">'Uso e Consumo'!D2506</f>
        <v>18.01.1645</v>
      </c>
      <c r="F2506" s="34" t="str">
        <f aca="false">'Uso e Consumo'!E2506</f>
        <v>UNIÃO SOLDÁVEL 25MM</v>
      </c>
      <c r="G2506" s="34" t="str">
        <f aca="false">'Uso e Consumo'!J2506</f>
        <v>UN</v>
      </c>
      <c r="H2506" s="49" t="n">
        <f aca="false">'Uso e Consumo'!F2506</f>
        <v>1</v>
      </c>
      <c r="I2506" s="35" t="n">
        <f aca="false">'Uso e Consumo'!G2506</f>
        <v>29.98</v>
      </c>
      <c r="J2506" s="34" t="str">
        <f aca="false">'Uso e Consumo'!M2506</f>
        <v>3.8.1.018 - Instalações hidráulicas/sanitárias/industriais</v>
      </c>
      <c r="K2506" s="32" t="str">
        <f aca="false">INDEX('Curva ABC'!$K$8:$K$2847,MATCH(D2506,'Curva ABC'!$B$8:$B$2847,0))</f>
        <v>C</v>
      </c>
    </row>
    <row r="2507" customFormat="false" ht="15" hidden="false" customHeight="false" outlineLevel="0" collapsed="false">
      <c r="A2507" s="34" t="s">
        <v>5799</v>
      </c>
      <c r="B2507" s="34" t="str">
        <f aca="false">'Uso e Consumo'!A2507</f>
        <v>0335</v>
      </c>
      <c r="C2507" s="34" t="str">
        <f aca="false">'Uso e Consumo'!B2507</f>
        <v>UFV NORONHA VERDE - USO E CONSUMO</v>
      </c>
      <c r="D2507" s="33" t="n">
        <f aca="false">'Uso e Consumo'!C2507</f>
        <v>33028</v>
      </c>
      <c r="E2507" s="34" t="str">
        <f aca="false">'Uso e Consumo'!D2507</f>
        <v>23.07.0787</v>
      </c>
      <c r="F2507" s="34" t="str">
        <f aca="false">'Uso e Consumo'!E2507</f>
        <v>PARAFUSO SEXTAVADO AÇO CARBONO 1" X 6" ZINCADO BRANCO</v>
      </c>
      <c r="G2507" s="34" t="str">
        <f aca="false">'Uso e Consumo'!J2507</f>
        <v>UN</v>
      </c>
      <c r="H2507" s="49" t="n">
        <f aca="false">'Uso e Consumo'!F2507</f>
        <v>2</v>
      </c>
      <c r="I2507" s="35" t="n">
        <f aca="false">'Uso e Consumo'!G2507</f>
        <v>29.96</v>
      </c>
      <c r="J2507" s="34" t="str">
        <f aca="false">'Uso e Consumo'!M2507</f>
        <v>3.8.1.022 - Elementos de fixação</v>
      </c>
      <c r="K2507" s="32" t="str">
        <f aca="false">INDEX('Curva ABC'!$K$8:$K$2847,MATCH(D2507,'Curva ABC'!$B$8:$B$2847,0))</f>
        <v>C</v>
      </c>
    </row>
    <row r="2508" customFormat="false" ht="15" hidden="false" customHeight="false" outlineLevel="0" collapsed="false">
      <c r="A2508" s="34" t="s">
        <v>5799</v>
      </c>
      <c r="B2508" s="34" t="str">
        <f aca="false">'Uso e Consumo'!A2508</f>
        <v>0335</v>
      </c>
      <c r="C2508" s="34" t="str">
        <f aca="false">'Uso e Consumo'!B2508</f>
        <v>UFV NORONHA VERDE - USO E CONSUMO</v>
      </c>
      <c r="D2508" s="33" t="n">
        <f aca="false">'Uso e Consumo'!C2508</f>
        <v>279219</v>
      </c>
      <c r="E2508" s="34" t="str">
        <f aca="false">'Uso e Consumo'!D2508</f>
        <v>30.03.0307</v>
      </c>
      <c r="F2508" s="34" t="str">
        <f aca="false">'Uso e Consumo'!E2508</f>
        <v>SPRAY REMOVEDOR DE CHEIRO 100ML</v>
      </c>
      <c r="G2508" s="34" t="str">
        <f aca="false">'Uso e Consumo'!J2508</f>
        <v>UN</v>
      </c>
      <c r="H2508" s="49" t="n">
        <f aca="false">'Uso e Consumo'!F2508</f>
        <v>2</v>
      </c>
      <c r="I2508" s="35" t="n">
        <f aca="false">'Uso e Consumo'!G2508</f>
        <v>29.96</v>
      </c>
      <c r="J2508" s="34" t="str">
        <f aca="false">'Uso e Consumo'!M2508</f>
        <v>4.1.1.003 - Material limpeza</v>
      </c>
      <c r="K2508" s="32" t="str">
        <f aca="false">INDEX('Curva ABC'!$K$8:$K$2847,MATCH(D2508,'Curva ABC'!$B$8:$B$2847,0))</f>
        <v>C</v>
      </c>
    </row>
    <row r="2509" customFormat="false" ht="15" hidden="false" customHeight="false" outlineLevel="0" collapsed="false">
      <c r="A2509" s="34" t="s">
        <v>5799</v>
      </c>
      <c r="B2509" s="34" t="str">
        <f aca="false">'Uso e Consumo'!A2509</f>
        <v>0335</v>
      </c>
      <c r="C2509" s="34" t="str">
        <f aca="false">'Uso e Consumo'!B2509</f>
        <v>UFV NORONHA VERDE - USO E CONSUMO</v>
      </c>
      <c r="D2509" s="33" t="n">
        <f aca="false">'Uso e Consumo'!C2509</f>
        <v>58992</v>
      </c>
      <c r="E2509" s="34" t="str">
        <f aca="false">'Uso e Consumo'!D2509</f>
        <v>23.07.0952</v>
      </c>
      <c r="F2509" s="34" t="str">
        <f aca="false">'Uso e Consumo'!E2509</f>
        <v>PARAFUSO FRANCES ½” X 4.1/2” ZINCADO BRANCO</v>
      </c>
      <c r="G2509" s="34" t="str">
        <f aca="false">'Uso e Consumo'!J2509</f>
        <v>UN</v>
      </c>
      <c r="H2509" s="49" t="n">
        <f aca="false">'Uso e Consumo'!F2509</f>
        <v>3</v>
      </c>
      <c r="I2509" s="35" t="n">
        <f aca="false">'Uso e Consumo'!G2509</f>
        <v>29.94</v>
      </c>
      <c r="J2509" s="34" t="str">
        <f aca="false">'Uso e Consumo'!M2509</f>
        <v>3.8.1.022 - Elementos de fixação</v>
      </c>
      <c r="K2509" s="32" t="str">
        <f aca="false">INDEX('Curva ABC'!$K$8:$K$2847,MATCH(D2509,'Curva ABC'!$B$8:$B$2847,0))</f>
        <v>C</v>
      </c>
    </row>
    <row r="2510" customFormat="false" ht="15" hidden="false" customHeight="false" outlineLevel="0" collapsed="false">
      <c r="A2510" s="34" t="s">
        <v>5799</v>
      </c>
      <c r="B2510" s="34" t="str">
        <f aca="false">'Uso e Consumo'!A2510</f>
        <v>0335</v>
      </c>
      <c r="C2510" s="34" t="str">
        <f aca="false">'Uso e Consumo'!B2510</f>
        <v>UFV NORONHA VERDE - USO E CONSUMO</v>
      </c>
      <c r="D2510" s="33" t="n">
        <f aca="false">'Uso e Consumo'!C2510</f>
        <v>1389070</v>
      </c>
      <c r="E2510" s="34" t="str">
        <f aca="false">'Uso e Consumo'!D2510</f>
        <v>17.01.1227</v>
      </c>
      <c r="F2510" s="34" t="str">
        <f aca="false">'Uso e Consumo'!E2510</f>
        <v>CABO PARALELO 2 X 0,5 MM BRANCO</v>
      </c>
      <c r="G2510" s="34" t="str">
        <f aca="false">'Uso e Consumo'!J2510</f>
        <v>UN</v>
      </c>
      <c r="H2510" s="49" t="n">
        <f aca="false">'Uso e Consumo'!F2510</f>
        <v>3</v>
      </c>
      <c r="I2510" s="35" t="n">
        <f aca="false">'Uso e Consumo'!G2510</f>
        <v>29.94</v>
      </c>
      <c r="J2510" s="34" t="str">
        <f aca="false">'Uso e Consumo'!M2510</f>
        <v>3.8.1.017 - Instalações elétricas/telefônicas/lógica</v>
      </c>
      <c r="K2510" s="32" t="str">
        <f aca="false">INDEX('Curva ABC'!$K$8:$K$2847,MATCH(D2510,'Curva ABC'!$B$8:$B$2847,0))</f>
        <v>C</v>
      </c>
    </row>
    <row r="2511" customFormat="false" ht="15" hidden="false" customHeight="false" outlineLevel="0" collapsed="false">
      <c r="A2511" s="34" t="s">
        <v>5799</v>
      </c>
      <c r="B2511" s="34" t="str">
        <f aca="false">'Uso e Consumo'!A2511</f>
        <v>0335</v>
      </c>
      <c r="C2511" s="34" t="str">
        <f aca="false">'Uso e Consumo'!B2511</f>
        <v>UFV NORONHA VERDE - USO E CONSUMO</v>
      </c>
      <c r="D2511" s="33" t="n">
        <f aca="false">'Uso e Consumo'!C2511</f>
        <v>609677</v>
      </c>
      <c r="E2511" s="34" t="str">
        <f aca="false">'Uso e Consumo'!D2511</f>
        <v>24.09.0540</v>
      </c>
      <c r="F2511" s="34" t="str">
        <f aca="false">'Uso e Consumo'!E2511</f>
        <v>CHAVE CANHÃO 8,00MM</v>
      </c>
      <c r="G2511" s="34" t="str">
        <f aca="false">'Uso e Consumo'!J2511</f>
        <v>UN</v>
      </c>
      <c r="H2511" s="49" t="n">
        <f aca="false">'Uso e Consumo'!F2511</f>
        <v>1</v>
      </c>
      <c r="I2511" s="35" t="n">
        <f aca="false">'Uso e Consumo'!G2511</f>
        <v>29.9</v>
      </c>
      <c r="J2511" s="34" t="str">
        <f aca="false">'Uso e Consumo'!M2511</f>
        <v>3.8.2.002 - Ferramentas manuais</v>
      </c>
      <c r="K2511" s="32" t="str">
        <f aca="false">INDEX('Curva ABC'!$K$8:$K$2847,MATCH(D2511,'Curva ABC'!$B$8:$B$2847,0))</f>
        <v>C</v>
      </c>
    </row>
    <row r="2512" customFormat="false" ht="15" hidden="false" customHeight="false" outlineLevel="0" collapsed="false">
      <c r="A2512" s="34" t="s">
        <v>5799</v>
      </c>
      <c r="B2512" s="34" t="str">
        <f aca="false">'Uso e Consumo'!A2512</f>
        <v>0335</v>
      </c>
      <c r="C2512" s="34" t="str">
        <f aca="false">'Uso e Consumo'!B2512</f>
        <v>UFV NORONHA VERDE - USO E CONSUMO</v>
      </c>
      <c r="D2512" s="33" t="n">
        <f aca="false">'Uso e Consumo'!C2512</f>
        <v>1612462</v>
      </c>
      <c r="E2512" s="34" t="str">
        <f aca="false">'Uso e Consumo'!D2512</f>
        <v>17.20.0738</v>
      </c>
      <c r="F2512" s="34" t="str">
        <f aca="false">'Uso e Consumo'!E2512</f>
        <v>TERMINAL OLHAL PRE ISOLADO 10MM VERMELHO (M8)</v>
      </c>
      <c r="G2512" s="34" t="str">
        <f aca="false">'Uso e Consumo'!J2512</f>
        <v>UN</v>
      </c>
      <c r="H2512" s="49" t="n">
        <f aca="false">'Uso e Consumo'!F2512</f>
        <v>10</v>
      </c>
      <c r="I2512" s="35" t="n">
        <f aca="false">'Uso e Consumo'!G2512</f>
        <v>29.8</v>
      </c>
      <c r="J2512" s="34" t="str">
        <f aca="false">'Uso e Consumo'!M2512</f>
        <v>3.8.1.017 - Instalações elétricas/telefônicas/lógica</v>
      </c>
      <c r="K2512" s="32" t="str">
        <f aca="false">INDEX('Curva ABC'!$K$8:$K$2847,MATCH(D2512,'Curva ABC'!$B$8:$B$2847,0))</f>
        <v>C</v>
      </c>
    </row>
    <row r="2513" customFormat="false" ht="15" hidden="false" customHeight="false" outlineLevel="0" collapsed="false">
      <c r="A2513" s="34" t="s">
        <v>5799</v>
      </c>
      <c r="B2513" s="34" t="str">
        <f aca="false">'Uso e Consumo'!A2513</f>
        <v>0335</v>
      </c>
      <c r="C2513" s="34" t="str">
        <f aca="false">'Uso e Consumo'!B2513</f>
        <v>UFV NORONHA VERDE - USO E CONSUMO</v>
      </c>
      <c r="D2513" s="33" t="n">
        <f aca="false">'Uso e Consumo'!C2513</f>
        <v>1315685</v>
      </c>
      <c r="E2513" s="34" t="str">
        <f aca="false">'Uso e Consumo'!D2513</f>
        <v>17.20.0668</v>
      </c>
      <c r="F2513" s="34" t="str">
        <f aca="false">'Uso e Consumo'!E2513</f>
        <v>TUBO TERMOCONTRÁTIL 50MM</v>
      </c>
      <c r="G2513" s="34" t="str">
        <f aca="false">'Uso e Consumo'!J2513</f>
        <v>M</v>
      </c>
      <c r="H2513" s="49" t="n">
        <f aca="false">'Uso e Consumo'!F2513</f>
        <v>5</v>
      </c>
      <c r="I2513" s="35" t="n">
        <f aca="false">'Uso e Consumo'!G2513</f>
        <v>29.45</v>
      </c>
      <c r="J2513" s="34" t="str">
        <f aca="false">'Uso e Consumo'!M2513</f>
        <v>3.8.1.017 - Instalações elétricas/telefônicas/lógica</v>
      </c>
      <c r="K2513" s="32" t="str">
        <f aca="false">INDEX('Curva ABC'!$K$8:$K$2847,MATCH(D2513,'Curva ABC'!$B$8:$B$2847,0))</f>
        <v>C</v>
      </c>
    </row>
    <row r="2514" customFormat="false" ht="15" hidden="false" customHeight="false" outlineLevel="0" collapsed="false">
      <c r="A2514" s="34" t="s">
        <v>5799</v>
      </c>
      <c r="B2514" s="34" t="str">
        <f aca="false">'Uso e Consumo'!A2514</f>
        <v>0335</v>
      </c>
      <c r="C2514" s="34" t="str">
        <f aca="false">'Uso e Consumo'!B2514</f>
        <v>UFV NORONHA VERDE - USO E CONSUMO</v>
      </c>
      <c r="D2514" s="33" t="n">
        <f aca="false">'Uso e Consumo'!C2514</f>
        <v>17928</v>
      </c>
      <c r="E2514" s="34" t="str">
        <f aca="false">'Uso e Consumo'!D2514</f>
        <v>24.09.0022</v>
      </c>
      <c r="F2514" s="34" t="str">
        <f aca="false">'Uso e Consumo'!E2514</f>
        <v>CHAVE CANHAO 3/8" X 245,00MM AÇO CROMO-VANADIO CROMADO</v>
      </c>
      <c r="G2514" s="34" t="str">
        <f aca="false">'Uso e Consumo'!J2514</f>
        <v>UN</v>
      </c>
      <c r="H2514" s="49" t="n">
        <f aca="false">'Uso e Consumo'!F2514</f>
        <v>1</v>
      </c>
      <c r="I2514" s="35" t="n">
        <f aca="false">'Uso e Consumo'!G2514</f>
        <v>29.4</v>
      </c>
      <c r="J2514" s="34" t="str">
        <f aca="false">'Uso e Consumo'!M2514</f>
        <v>3.8.2.002 - Ferramentas manuais</v>
      </c>
      <c r="K2514" s="32" t="str">
        <f aca="false">INDEX('Curva ABC'!$K$8:$K$2847,MATCH(D2514,'Curva ABC'!$B$8:$B$2847,0))</f>
        <v>C</v>
      </c>
    </row>
    <row r="2515" customFormat="false" ht="15" hidden="false" customHeight="false" outlineLevel="0" collapsed="false">
      <c r="A2515" s="34" t="s">
        <v>5799</v>
      </c>
      <c r="B2515" s="34" t="str">
        <f aca="false">'Uso e Consumo'!A2515</f>
        <v>0335</v>
      </c>
      <c r="C2515" s="34" t="str">
        <f aca="false">'Uso e Consumo'!B2515</f>
        <v>UFV NORONHA VERDE - USO E CONSUMO</v>
      </c>
      <c r="D2515" s="33" t="n">
        <f aca="false">'Uso e Consumo'!C2515</f>
        <v>17948</v>
      </c>
      <c r="E2515" s="34" t="str">
        <f aca="false">'Uso e Consumo'!D2515</f>
        <v>24.09.0042</v>
      </c>
      <c r="F2515" s="34" t="str">
        <f aca="false">'Uso e Consumo'!E2515</f>
        <v>CHAVE COMBINADA 26,00MM AÇO CARBONO CROMADO</v>
      </c>
      <c r="G2515" s="34" t="str">
        <f aca="false">'Uso e Consumo'!J2515</f>
        <v>UN</v>
      </c>
      <c r="H2515" s="49" t="n">
        <f aca="false">'Uso e Consumo'!F2515</f>
        <v>1</v>
      </c>
      <c r="I2515" s="35" t="n">
        <f aca="false">'Uso e Consumo'!G2515</f>
        <v>29.4</v>
      </c>
      <c r="J2515" s="34" t="str">
        <f aca="false">'Uso e Consumo'!M2515</f>
        <v>3.8.2.002 - Ferramentas manuais</v>
      </c>
      <c r="K2515" s="32" t="str">
        <f aca="false">INDEX('Curva ABC'!$K$8:$K$2847,MATCH(D2515,'Curva ABC'!$B$8:$B$2847,0))</f>
        <v>C</v>
      </c>
    </row>
    <row r="2516" customFormat="false" ht="15" hidden="false" customHeight="false" outlineLevel="0" collapsed="false">
      <c r="A2516" s="34" t="s">
        <v>5799</v>
      </c>
      <c r="B2516" s="34" t="str">
        <f aca="false">'Uso e Consumo'!A2516</f>
        <v>0335</v>
      </c>
      <c r="C2516" s="34" t="str">
        <f aca="false">'Uso e Consumo'!B2516</f>
        <v>UFV NORONHA VERDE - USO E CONSUMO</v>
      </c>
      <c r="D2516" s="33" t="n">
        <f aca="false">'Uso e Consumo'!C2516</f>
        <v>1384889</v>
      </c>
      <c r="E2516" s="34" t="str">
        <f aca="false">'Uso e Consumo'!D2516</f>
        <v>23.08.0090</v>
      </c>
      <c r="F2516" s="34" t="str">
        <f aca="false">'Uso e Consumo'!E2516</f>
        <v>BUCHA DE EXPANSÃO, DE NYLON, N° 8 COM 40 MM DE COMPRIMENTO. APLICÁVEL EM PARAFUSO COM BITOLAS DE 4,5 A 6 MM</v>
      </c>
      <c r="G2516" s="34" t="str">
        <f aca="false">'Uso e Consumo'!J2516</f>
        <v>UN</v>
      </c>
      <c r="H2516" s="49" t="n">
        <f aca="false">'Uso e Consumo'!F2516</f>
        <v>299</v>
      </c>
      <c r="I2516" s="35" t="n">
        <f aca="false">'Uso e Consumo'!G2516</f>
        <v>29.39</v>
      </c>
      <c r="J2516" s="34" t="str">
        <f aca="false">'Uso e Consumo'!M2516</f>
        <v>3.8.1.022 - Elementos de fixação</v>
      </c>
      <c r="K2516" s="32" t="str">
        <f aca="false">INDEX('Curva ABC'!$K$8:$K$2847,MATCH(D2516,'Curva ABC'!$B$8:$B$2847,0))</f>
        <v>C</v>
      </c>
    </row>
    <row r="2517" customFormat="false" ht="15" hidden="false" customHeight="false" outlineLevel="0" collapsed="false">
      <c r="A2517" s="34" t="s">
        <v>5799</v>
      </c>
      <c r="B2517" s="34" t="str">
        <f aca="false">'Uso e Consumo'!A2517</f>
        <v>0335</v>
      </c>
      <c r="C2517" s="34" t="str">
        <f aca="false">'Uso e Consumo'!B2517</f>
        <v>UFV NORONHA VERDE - USO E CONSUMO</v>
      </c>
      <c r="D2517" s="33" t="n">
        <f aca="false">'Uso e Consumo'!C2517</f>
        <v>870706</v>
      </c>
      <c r="E2517" s="34" t="str">
        <f aca="false">'Uso e Consumo'!D2517</f>
        <v>26.12.0130</v>
      </c>
      <c r="F2517" s="34" t="str">
        <f aca="false">'Uso e Consumo'!E2517</f>
        <v>TECIDO TNT AMARELO</v>
      </c>
      <c r="G2517" s="34" t="str">
        <f aca="false">'Uso e Consumo'!J2517</f>
        <v>M</v>
      </c>
      <c r="H2517" s="49" t="n">
        <f aca="false">'Uso e Consumo'!F2517</f>
        <v>10</v>
      </c>
      <c r="I2517" s="35" t="n">
        <f aca="false">'Uso e Consumo'!G2517</f>
        <v>29</v>
      </c>
      <c r="J2517" s="34" t="str">
        <f aca="false">'Uso e Consumo'!M2517</f>
        <v>4.3.4.002 - Equipamento de proteção e sinalização coletiva</v>
      </c>
      <c r="K2517" s="32" t="str">
        <f aca="false">INDEX('Curva ABC'!$K$8:$K$2847,MATCH(D2517,'Curva ABC'!$B$8:$B$2847,0))</f>
        <v>C</v>
      </c>
    </row>
    <row r="2518" customFormat="false" ht="15" hidden="false" customHeight="false" outlineLevel="0" collapsed="false">
      <c r="A2518" s="34" t="s">
        <v>5799</v>
      </c>
      <c r="B2518" s="34" t="str">
        <f aca="false">'Uso e Consumo'!A2518</f>
        <v>0335</v>
      </c>
      <c r="C2518" s="34" t="str">
        <f aca="false">'Uso e Consumo'!B2518</f>
        <v>UFV NORONHA VERDE - USO E CONSUMO</v>
      </c>
      <c r="D2518" s="33" t="n">
        <f aca="false">'Uso e Consumo'!C2518</f>
        <v>23091</v>
      </c>
      <c r="E2518" s="34" t="str">
        <f aca="false">'Uso e Consumo'!D2518</f>
        <v>25.03.0163</v>
      </c>
      <c r="F2518" s="34" t="str">
        <f aca="false">'Uso e Consumo'!E2518</f>
        <v>BROCA AÇO RAPIDO 5/32</v>
      </c>
      <c r="G2518" s="34" t="str">
        <f aca="false">'Uso e Consumo'!J2518</f>
        <v>UN</v>
      </c>
      <c r="H2518" s="49" t="n">
        <f aca="false">'Uso e Consumo'!F2518</f>
        <v>10</v>
      </c>
      <c r="I2518" s="35" t="n">
        <f aca="false">'Uso e Consumo'!G2518</f>
        <v>28.5</v>
      </c>
      <c r="J2518" s="34" t="str">
        <f aca="false">'Uso e Consumo'!M2518</f>
        <v>3.8.2.004 - Consumíveis para corte, perfuração e desbaste</v>
      </c>
      <c r="K2518" s="32" t="str">
        <f aca="false">INDEX('Curva ABC'!$K$8:$K$2847,MATCH(D2518,'Curva ABC'!$B$8:$B$2847,0))</f>
        <v>C</v>
      </c>
    </row>
    <row r="2519" customFormat="false" ht="15" hidden="false" customHeight="false" outlineLevel="0" collapsed="false">
      <c r="A2519" s="34" t="s">
        <v>5799</v>
      </c>
      <c r="B2519" s="34" t="str">
        <f aca="false">'Uso e Consumo'!A2519</f>
        <v>0335</v>
      </c>
      <c r="C2519" s="34" t="str">
        <f aca="false">'Uso e Consumo'!B2519</f>
        <v>UFV NORONHA VERDE - USO E CONSUMO</v>
      </c>
      <c r="D2519" s="33" t="n">
        <f aca="false">'Uso e Consumo'!C2519</f>
        <v>220711</v>
      </c>
      <c r="E2519" s="34" t="str">
        <f aca="false">'Uso e Consumo'!D2519</f>
        <v>27.01.0180</v>
      </c>
      <c r="F2519" s="34" t="str">
        <f aca="false">'Uso e Consumo'!E2519</f>
        <v>EQUIPO MACROGOTAS</v>
      </c>
      <c r="G2519" s="34" t="str">
        <f aca="false">'Uso e Consumo'!J2519</f>
        <v>UN</v>
      </c>
      <c r="H2519" s="49" t="n">
        <f aca="false">'Uso e Consumo'!F2519</f>
        <v>15</v>
      </c>
      <c r="I2519" s="35" t="n">
        <f aca="false">'Uso e Consumo'!G2519</f>
        <v>28.5</v>
      </c>
      <c r="J2519" s="34" t="str">
        <f aca="false">'Uso e Consumo'!M2519</f>
        <v>4.3.4.006 - Medicamentos e primeiro socorros</v>
      </c>
      <c r="K2519" s="32" t="str">
        <f aca="false">INDEX('Curva ABC'!$K$8:$K$2847,MATCH(D2519,'Curva ABC'!$B$8:$B$2847,0))</f>
        <v>C</v>
      </c>
    </row>
    <row r="2520" customFormat="false" ht="15" hidden="false" customHeight="false" outlineLevel="0" collapsed="false">
      <c r="A2520" s="34" t="s">
        <v>5799</v>
      </c>
      <c r="B2520" s="34" t="str">
        <f aca="false">'Uso e Consumo'!A2520</f>
        <v>0335</v>
      </c>
      <c r="C2520" s="34" t="str">
        <f aca="false">'Uso e Consumo'!B2520</f>
        <v>UFV NORONHA VERDE - USO E CONSUMO</v>
      </c>
      <c r="D2520" s="33" t="n">
        <f aca="false">'Uso e Consumo'!C2520</f>
        <v>609676</v>
      </c>
      <c r="E2520" s="34" t="str">
        <f aca="false">'Uso e Consumo'!D2520</f>
        <v>24.09.0539</v>
      </c>
      <c r="F2520" s="34" t="str">
        <f aca="false">'Uso e Consumo'!E2520</f>
        <v>CHAVE CANHÃO 7,00MM</v>
      </c>
      <c r="G2520" s="34" t="str">
        <f aca="false">'Uso e Consumo'!J2520</f>
        <v>UN</v>
      </c>
      <c r="H2520" s="49" t="n">
        <f aca="false">'Uso e Consumo'!F2520</f>
        <v>1</v>
      </c>
      <c r="I2520" s="35" t="n">
        <f aca="false">'Uso e Consumo'!G2520</f>
        <v>28.4</v>
      </c>
      <c r="J2520" s="34" t="str">
        <f aca="false">'Uso e Consumo'!M2520</f>
        <v>3.8.2.002 - Ferramentas manuais</v>
      </c>
      <c r="K2520" s="32" t="str">
        <f aca="false">INDEX('Curva ABC'!$K$8:$K$2847,MATCH(D2520,'Curva ABC'!$B$8:$B$2847,0))</f>
        <v>C</v>
      </c>
    </row>
    <row r="2521" customFormat="false" ht="15" hidden="false" customHeight="false" outlineLevel="0" collapsed="false">
      <c r="A2521" s="34" t="s">
        <v>5799</v>
      </c>
      <c r="B2521" s="34" t="str">
        <f aca="false">'Uso e Consumo'!A2521</f>
        <v>0335</v>
      </c>
      <c r="C2521" s="34" t="str">
        <f aca="false">'Uso e Consumo'!B2521</f>
        <v>UFV NORONHA VERDE - USO E CONSUMO</v>
      </c>
      <c r="D2521" s="33" t="n">
        <f aca="false">'Uso e Consumo'!C2521</f>
        <v>835843</v>
      </c>
      <c r="E2521" s="34" t="str">
        <f aca="false">'Uso e Consumo'!D2521</f>
        <v>17.04.0081</v>
      </c>
      <c r="F2521" s="34" t="str">
        <f aca="false">'Uso e Consumo'!E2521</f>
        <v>TAMPA P/ CONDULETE 1" TOMADA SIMPLES</v>
      </c>
      <c r="G2521" s="34" t="str">
        <f aca="false">'Uso e Consumo'!J2521</f>
        <v>UN</v>
      </c>
      <c r="H2521" s="49" t="n">
        <f aca="false">'Uso e Consumo'!F2521</f>
        <v>11</v>
      </c>
      <c r="I2521" s="35" t="n">
        <f aca="false">'Uso e Consumo'!G2521</f>
        <v>28.38</v>
      </c>
      <c r="J2521" s="34" t="str">
        <f aca="false">'Uso e Consumo'!M2521</f>
        <v>3.8.1.017 - Instalações elétricas/telefônicas/lógica</v>
      </c>
      <c r="K2521" s="32" t="str">
        <f aca="false">INDEX('Curva ABC'!$K$8:$K$2847,MATCH(D2521,'Curva ABC'!$B$8:$B$2847,0))</f>
        <v>C</v>
      </c>
    </row>
    <row r="2522" customFormat="false" ht="15" hidden="false" customHeight="false" outlineLevel="0" collapsed="false">
      <c r="A2522" s="34" t="s">
        <v>5799</v>
      </c>
      <c r="B2522" s="34" t="str">
        <f aca="false">'Uso e Consumo'!A2522</f>
        <v>0335</v>
      </c>
      <c r="C2522" s="34" t="str">
        <f aca="false">'Uso e Consumo'!B2522</f>
        <v>UFV NORONHA VERDE - USO E CONSUMO</v>
      </c>
      <c r="D2522" s="33" t="n">
        <f aca="false">'Uso e Consumo'!C2522</f>
        <v>563410</v>
      </c>
      <c r="E2522" s="34" t="str">
        <f aca="false">'Uso e Consumo'!D2522</f>
        <v>13.06.0277</v>
      </c>
      <c r="F2522" s="34" t="str">
        <f aca="false">'Uso e Consumo'!E2522</f>
        <v>PORTA CADEADO</v>
      </c>
      <c r="G2522" s="34" t="str">
        <f aca="false">'Uso e Consumo'!J2522</f>
        <v>UN</v>
      </c>
      <c r="H2522" s="49" t="n">
        <f aca="false">'Uso e Consumo'!F2522</f>
        <v>1</v>
      </c>
      <c r="I2522" s="35" t="n">
        <f aca="false">'Uso e Consumo'!G2522</f>
        <v>28</v>
      </c>
      <c r="J2522" s="34" t="str">
        <f aca="false">'Uso e Consumo'!M2522</f>
        <v>3.8.2.006 - Utensílios</v>
      </c>
      <c r="K2522" s="32" t="str">
        <f aca="false">INDEX('Curva ABC'!$K$8:$K$2847,MATCH(D2522,'Curva ABC'!$B$8:$B$2847,0))</f>
        <v>C</v>
      </c>
    </row>
    <row r="2523" customFormat="false" ht="15" hidden="false" customHeight="false" outlineLevel="0" collapsed="false">
      <c r="A2523" s="34" t="s">
        <v>5799</v>
      </c>
      <c r="B2523" s="34" t="str">
        <f aca="false">'Uso e Consumo'!A2523</f>
        <v>0335</v>
      </c>
      <c r="C2523" s="34" t="str">
        <f aca="false">'Uso e Consumo'!B2523</f>
        <v>UFV NORONHA VERDE - USO E CONSUMO</v>
      </c>
      <c r="D2523" s="33" t="n">
        <f aca="false">'Uso e Consumo'!C2523</f>
        <v>609656</v>
      </c>
      <c r="E2523" s="34" t="str">
        <f aca="false">'Uso e Consumo'!D2523</f>
        <v>24.09.0519</v>
      </c>
      <c r="F2523" s="34" t="str">
        <f aca="false">'Uso e Consumo'!E2523</f>
        <v>CHAVE COMBINADA 25,00MM AÇO CARBONO CROMADO</v>
      </c>
      <c r="G2523" s="34" t="str">
        <f aca="false">'Uso e Consumo'!J2523</f>
        <v>UN</v>
      </c>
      <c r="H2523" s="49" t="n">
        <f aca="false">'Uso e Consumo'!F2523</f>
        <v>1</v>
      </c>
      <c r="I2523" s="35" t="n">
        <f aca="false">'Uso e Consumo'!G2523</f>
        <v>28</v>
      </c>
      <c r="J2523" s="34" t="str">
        <f aca="false">'Uso e Consumo'!M2523</f>
        <v>3.8.2.002 - Ferramentas manuais</v>
      </c>
      <c r="K2523" s="32" t="str">
        <f aca="false">INDEX('Curva ABC'!$K$8:$K$2847,MATCH(D2523,'Curva ABC'!$B$8:$B$2847,0))</f>
        <v>C</v>
      </c>
    </row>
    <row r="2524" customFormat="false" ht="15" hidden="false" customHeight="false" outlineLevel="0" collapsed="false">
      <c r="A2524" s="34" t="s">
        <v>5799</v>
      </c>
      <c r="B2524" s="34" t="str">
        <f aca="false">'Uso e Consumo'!A2524</f>
        <v>0335</v>
      </c>
      <c r="C2524" s="34" t="str">
        <f aca="false">'Uso e Consumo'!B2524</f>
        <v>UFV NORONHA VERDE - USO E CONSUMO</v>
      </c>
      <c r="D2524" s="33" t="n">
        <f aca="false">'Uso e Consumo'!C2524</f>
        <v>1113981</v>
      </c>
      <c r="E2524" s="34" t="str">
        <f aca="false">'Uso e Consumo'!D2524</f>
        <v>33.02.2980</v>
      </c>
      <c r="F2524" s="34" t="str">
        <f aca="false">'Uso e Consumo'!E2524</f>
        <v>BATEDOR MISTURADOR PARA FURADEIRA</v>
      </c>
      <c r="G2524" s="34" t="str">
        <f aca="false">'Uso e Consumo'!J2524</f>
        <v>UN</v>
      </c>
      <c r="H2524" s="49" t="n">
        <f aca="false">'Uso e Consumo'!F2524</f>
        <v>1</v>
      </c>
      <c r="I2524" s="35" t="n">
        <f aca="false">'Uso e Consumo'!G2524</f>
        <v>27.98</v>
      </c>
      <c r="J2524" s="34" t="str">
        <f aca="false">'Uso e Consumo'!M2524</f>
        <v>3.8.1.016 - Pinturas</v>
      </c>
      <c r="K2524" s="32" t="str">
        <f aca="false">INDEX('Curva ABC'!$K$8:$K$2847,MATCH(D2524,'Curva ABC'!$B$8:$B$2847,0))</f>
        <v>C</v>
      </c>
    </row>
    <row r="2525" customFormat="false" ht="15" hidden="false" customHeight="false" outlineLevel="0" collapsed="false">
      <c r="A2525" s="34" t="s">
        <v>5799</v>
      </c>
      <c r="B2525" s="34" t="str">
        <f aca="false">'Uso e Consumo'!A2525</f>
        <v>0335</v>
      </c>
      <c r="C2525" s="34" t="str">
        <f aca="false">'Uso e Consumo'!B2525</f>
        <v>UFV NORONHA VERDE - USO E CONSUMO</v>
      </c>
      <c r="D2525" s="33" t="n">
        <f aca="false">'Uso e Consumo'!C2525</f>
        <v>609675</v>
      </c>
      <c r="E2525" s="34" t="str">
        <f aca="false">'Uso e Consumo'!D2525</f>
        <v>24.09.0538</v>
      </c>
      <c r="F2525" s="34" t="str">
        <f aca="false">'Uso e Consumo'!E2525</f>
        <v>CHAVE CANHÃO 6,00MM</v>
      </c>
      <c r="G2525" s="34" t="str">
        <f aca="false">'Uso e Consumo'!J2525</f>
        <v>UN</v>
      </c>
      <c r="H2525" s="49" t="n">
        <f aca="false">'Uso e Consumo'!F2525</f>
        <v>1</v>
      </c>
      <c r="I2525" s="35" t="n">
        <f aca="false">'Uso e Consumo'!G2525</f>
        <v>27.9</v>
      </c>
      <c r="J2525" s="34" t="str">
        <f aca="false">'Uso e Consumo'!M2525</f>
        <v>3.8.2.002 - Ferramentas manuais</v>
      </c>
      <c r="K2525" s="32" t="str">
        <f aca="false">INDEX('Curva ABC'!$K$8:$K$2847,MATCH(D2525,'Curva ABC'!$B$8:$B$2847,0))</f>
        <v>C</v>
      </c>
    </row>
    <row r="2526" customFormat="false" ht="15" hidden="false" customHeight="false" outlineLevel="0" collapsed="false">
      <c r="A2526" s="34" t="s">
        <v>5799</v>
      </c>
      <c r="B2526" s="34" t="str">
        <f aca="false">'Uso e Consumo'!A2526</f>
        <v>0335</v>
      </c>
      <c r="C2526" s="34" t="str">
        <f aca="false">'Uso e Consumo'!B2526</f>
        <v>UFV NORONHA VERDE - USO E CONSUMO</v>
      </c>
      <c r="D2526" s="33" t="n">
        <f aca="false">'Uso e Consumo'!C2526</f>
        <v>224059</v>
      </c>
      <c r="E2526" s="34" t="str">
        <f aca="false">'Uso e Consumo'!D2526</f>
        <v>33.02.1264</v>
      </c>
      <c r="F2526" s="34" t="str">
        <f aca="false">'Uso e Consumo'!E2526</f>
        <v>PARAFUSO 5/8"</v>
      </c>
      <c r="G2526" s="34" t="str">
        <f aca="false">'Uso e Consumo'!J2526</f>
        <v>UN</v>
      </c>
      <c r="H2526" s="49" t="n">
        <f aca="false">'Uso e Consumo'!F2526</f>
        <v>8</v>
      </c>
      <c r="I2526" s="35" t="n">
        <f aca="false">'Uso e Consumo'!G2526</f>
        <v>27.52</v>
      </c>
      <c r="J2526" s="34" t="str">
        <f aca="false">'Uso e Consumo'!M2526</f>
        <v>3.1.6.002 - Pneus e peças</v>
      </c>
      <c r="K2526" s="32" t="str">
        <f aca="false">INDEX('Curva ABC'!$K$8:$K$2847,MATCH(D2526,'Curva ABC'!$B$8:$B$2847,0))</f>
        <v>C</v>
      </c>
    </row>
    <row r="2527" customFormat="false" ht="15" hidden="false" customHeight="false" outlineLevel="0" collapsed="false">
      <c r="A2527" s="34" t="s">
        <v>5799</v>
      </c>
      <c r="B2527" s="34" t="str">
        <f aca="false">'Uso e Consumo'!A2527</f>
        <v>0335</v>
      </c>
      <c r="C2527" s="34" t="str">
        <f aca="false">'Uso e Consumo'!B2527</f>
        <v>UFV NORONHA VERDE - USO E CONSUMO</v>
      </c>
      <c r="D2527" s="33" t="n">
        <f aca="false">'Uso e Consumo'!C2527</f>
        <v>1181507</v>
      </c>
      <c r="E2527" s="34" t="str">
        <f aca="false">'Uso e Consumo'!D2527</f>
        <v>18.01.1518</v>
      </c>
      <c r="F2527" s="34" t="str">
        <f aca="false">'Uso e Consumo'!E2527</f>
        <v>BUCHA REDUÇÃO M F PPR DN 25 X 20 CB</v>
      </c>
      <c r="G2527" s="34" t="str">
        <f aca="false">'Uso e Consumo'!J2527</f>
        <v>UN</v>
      </c>
      <c r="H2527" s="49" t="n">
        <f aca="false">'Uso e Consumo'!F2527</f>
        <v>6</v>
      </c>
      <c r="I2527" s="35" t="n">
        <f aca="false">'Uso e Consumo'!G2527</f>
        <v>27</v>
      </c>
      <c r="J2527" s="34" t="str">
        <f aca="false">'Uso e Consumo'!M2527</f>
        <v>3.8.1.018 - Instalações hidráulicas/sanitárias/industriais</v>
      </c>
      <c r="K2527" s="32" t="str">
        <f aca="false">INDEX('Curva ABC'!$K$8:$K$2847,MATCH(D2527,'Curva ABC'!$B$8:$B$2847,0))</f>
        <v>C</v>
      </c>
    </row>
    <row r="2528" customFormat="false" ht="15" hidden="false" customHeight="false" outlineLevel="0" collapsed="false">
      <c r="A2528" s="34" t="s">
        <v>5799</v>
      </c>
      <c r="B2528" s="34" t="str">
        <f aca="false">'Uso e Consumo'!A2528</f>
        <v>0335</v>
      </c>
      <c r="C2528" s="34" t="str">
        <f aca="false">'Uso e Consumo'!B2528</f>
        <v>UFV NORONHA VERDE - USO E CONSUMO</v>
      </c>
      <c r="D2528" s="33" t="n">
        <f aca="false">'Uso e Consumo'!C2528</f>
        <v>1383544</v>
      </c>
      <c r="E2528" s="34" t="str">
        <f aca="false">'Uso e Consumo'!D2528</f>
        <v>23.12.0060</v>
      </c>
      <c r="F2528" s="34" t="str">
        <f aca="false">'Uso e Consumo'!E2528</f>
        <v>REBITE DE REPUXO EM ALUMÍNIO  Ø1/4’’x 35mm</v>
      </c>
      <c r="G2528" s="34" t="str">
        <f aca="false">'Uso e Consumo'!J2528</f>
        <v>UN</v>
      </c>
      <c r="H2528" s="49" t="n">
        <f aca="false">'Uso e Consumo'!F2528</f>
        <v>60</v>
      </c>
      <c r="I2528" s="35" t="n">
        <f aca="false">'Uso e Consumo'!G2528</f>
        <v>27</v>
      </c>
      <c r="J2528" s="34" t="str">
        <f aca="false">'Uso e Consumo'!M2528</f>
        <v>3.8.1.022 - Elementos de fixação</v>
      </c>
      <c r="K2528" s="32" t="str">
        <f aca="false">INDEX('Curva ABC'!$K$8:$K$2847,MATCH(D2528,'Curva ABC'!$B$8:$B$2847,0))</f>
        <v>C</v>
      </c>
    </row>
    <row r="2529" customFormat="false" ht="15" hidden="false" customHeight="false" outlineLevel="0" collapsed="false">
      <c r="A2529" s="34" t="s">
        <v>5799</v>
      </c>
      <c r="B2529" s="34" t="str">
        <f aca="false">'Uso e Consumo'!A2529</f>
        <v>0335</v>
      </c>
      <c r="C2529" s="34" t="str">
        <f aca="false">'Uso e Consumo'!B2529</f>
        <v>UFV NORONHA VERDE - USO E CONSUMO</v>
      </c>
      <c r="D2529" s="33" t="n">
        <f aca="false">'Uso e Consumo'!C2529</f>
        <v>1539939</v>
      </c>
      <c r="E2529" s="34" t="str">
        <f aca="false">'Uso e Consumo'!D2529</f>
        <v>24.09.0717</v>
      </c>
      <c r="F2529" s="34" t="str">
        <f aca="false">'Uso e Consumo'!E2529</f>
        <v>CHAVE COMBINADA INCLINADA ACO CARBONO 13/16"</v>
      </c>
      <c r="G2529" s="34" t="str">
        <f aca="false">'Uso e Consumo'!J2529</f>
        <v>UN</v>
      </c>
      <c r="H2529" s="49" t="n">
        <f aca="false">'Uso e Consumo'!F2529</f>
        <v>1</v>
      </c>
      <c r="I2529" s="35" t="n">
        <f aca="false">'Uso e Consumo'!G2529</f>
        <v>26</v>
      </c>
      <c r="J2529" s="34" t="str">
        <f aca="false">'Uso e Consumo'!M2529</f>
        <v>3.8.2.002 - Ferramentas manuais</v>
      </c>
      <c r="K2529" s="32" t="str">
        <f aca="false">INDEX('Curva ABC'!$K$8:$K$2847,MATCH(D2529,'Curva ABC'!$B$8:$B$2847,0))</f>
        <v>C</v>
      </c>
    </row>
    <row r="2530" customFormat="false" ht="15" hidden="false" customHeight="false" outlineLevel="0" collapsed="false">
      <c r="A2530" s="34" t="s">
        <v>5799</v>
      </c>
      <c r="B2530" s="34" t="str">
        <f aca="false">'Uso e Consumo'!A2530</f>
        <v>0335</v>
      </c>
      <c r="C2530" s="34" t="str">
        <f aca="false">'Uso e Consumo'!B2530</f>
        <v>UFV NORONHA VERDE - USO E CONSUMO</v>
      </c>
      <c r="D2530" s="33" t="n">
        <f aca="false">'Uso e Consumo'!C2530</f>
        <v>1605179</v>
      </c>
      <c r="E2530" s="34" t="str">
        <f aca="false">'Uso e Consumo'!D2530</f>
        <v>17.16.3876</v>
      </c>
      <c r="F2530" s="34" t="str">
        <f aca="false">'Uso e Consumo'!E2530</f>
        <v>CONECTO GDTU PARA ATERRAMENTO 5X8X16MM</v>
      </c>
      <c r="G2530" s="34" t="str">
        <f aca="false">'Uso e Consumo'!J2530</f>
        <v>UN</v>
      </c>
      <c r="H2530" s="49" t="n">
        <f aca="false">'Uso e Consumo'!F2530</f>
        <v>1</v>
      </c>
      <c r="I2530" s="35" t="n">
        <f aca="false">'Uso e Consumo'!G2530</f>
        <v>26</v>
      </c>
      <c r="J2530" s="34" t="str">
        <f aca="false">'Uso e Consumo'!M2530</f>
        <v>3.8.1.017 - Instalações elétricas/telefônicas/lógica</v>
      </c>
      <c r="K2530" s="32" t="str">
        <f aca="false">INDEX('Curva ABC'!$K$8:$K$2847,MATCH(D2530,'Curva ABC'!$B$8:$B$2847,0))</f>
        <v>C</v>
      </c>
    </row>
    <row r="2531" customFormat="false" ht="15" hidden="false" customHeight="false" outlineLevel="0" collapsed="false">
      <c r="A2531" s="34" t="s">
        <v>5799</v>
      </c>
      <c r="B2531" s="34" t="str">
        <f aca="false">'Uso e Consumo'!A2531</f>
        <v>0335</v>
      </c>
      <c r="C2531" s="34" t="str">
        <f aca="false">'Uso e Consumo'!B2531</f>
        <v>UFV NORONHA VERDE - USO E CONSUMO</v>
      </c>
      <c r="D2531" s="33" t="n">
        <f aca="false">'Uso e Consumo'!C2531</f>
        <v>1657133</v>
      </c>
      <c r="E2531" s="34" t="str">
        <f aca="false">'Uso e Consumo'!D2531</f>
        <v>23.05.0309</v>
      </c>
      <c r="F2531" s="34" t="str">
        <f aca="false">'Uso e Consumo'!E2531</f>
        <v>ARRUELA QUADRADA DE ACO GALVANIZADO, BITOLA M20</v>
      </c>
      <c r="G2531" s="34" t="str">
        <f aca="false">'Uso e Consumo'!J2531</f>
        <v>UN</v>
      </c>
      <c r="H2531" s="49" t="n">
        <f aca="false">'Uso e Consumo'!F2531</f>
        <v>4</v>
      </c>
      <c r="I2531" s="35" t="n">
        <f aca="false">'Uso e Consumo'!G2531</f>
        <v>26</v>
      </c>
      <c r="J2531" s="34" t="str">
        <f aca="false">'Uso e Consumo'!M2531</f>
        <v>3.8.1.022 - Elementos de fixação</v>
      </c>
      <c r="K2531" s="32" t="str">
        <f aca="false">INDEX('Curva ABC'!$K$8:$K$2847,MATCH(D2531,'Curva ABC'!$B$8:$B$2847,0))</f>
        <v>C</v>
      </c>
    </row>
    <row r="2532" customFormat="false" ht="15" hidden="false" customHeight="false" outlineLevel="0" collapsed="false">
      <c r="A2532" s="34" t="s">
        <v>5799</v>
      </c>
      <c r="B2532" s="34" t="str">
        <f aca="false">'Uso e Consumo'!A2532</f>
        <v>0335</v>
      </c>
      <c r="C2532" s="34" t="str">
        <f aca="false">'Uso e Consumo'!B2532</f>
        <v>UFV NORONHA VERDE - USO E CONSUMO</v>
      </c>
      <c r="D2532" s="33" t="n">
        <f aca="false">'Uso e Consumo'!C2532</f>
        <v>1171284</v>
      </c>
      <c r="E2532" s="34" t="str">
        <f aca="false">'Uso e Consumo'!D2532</f>
        <v>18.01.1444</v>
      </c>
      <c r="F2532" s="34" t="str">
        <f aca="false">'Uso e Consumo'!E2532</f>
        <v>TUBO SOLD PB 40MM X 6M</v>
      </c>
      <c r="G2532" s="34" t="str">
        <f aca="false">'Uso e Consumo'!J2532</f>
        <v>UN</v>
      </c>
      <c r="H2532" s="49" t="n">
        <f aca="false">'Uso e Consumo'!F2532</f>
        <v>1</v>
      </c>
      <c r="I2532" s="35" t="n">
        <f aca="false">'Uso e Consumo'!G2532</f>
        <v>25.98</v>
      </c>
      <c r="J2532" s="34" t="str">
        <f aca="false">'Uso e Consumo'!M2532</f>
        <v>3.8.1.018 - Instalações hidráulicas/sanitárias/industriais</v>
      </c>
      <c r="K2532" s="32" t="str">
        <f aca="false">INDEX('Curva ABC'!$K$8:$K$2847,MATCH(D2532,'Curva ABC'!$B$8:$B$2847,0))</f>
        <v>C</v>
      </c>
    </row>
    <row r="2533" customFormat="false" ht="15" hidden="false" customHeight="false" outlineLevel="0" collapsed="false">
      <c r="A2533" s="34" t="s">
        <v>5799</v>
      </c>
      <c r="B2533" s="34" t="str">
        <f aca="false">'Uso e Consumo'!A2533</f>
        <v>0335</v>
      </c>
      <c r="C2533" s="34" t="str">
        <f aca="false">'Uso e Consumo'!B2533</f>
        <v>UFV NORONHA VERDE - USO E CONSUMO</v>
      </c>
      <c r="D2533" s="33" t="n">
        <f aca="false">'Uso e Consumo'!C2533</f>
        <v>884962</v>
      </c>
      <c r="E2533" s="34" t="str">
        <f aca="false">'Uso e Consumo'!D2533</f>
        <v>23.05.0254</v>
      </c>
      <c r="F2533" s="34" t="str">
        <f aca="false">'Uso e Consumo'!E2533</f>
        <v>ARRUELA DE PRESSÃO M10</v>
      </c>
      <c r="G2533" s="34" t="str">
        <f aca="false">'Uso e Consumo'!J2533</f>
        <v>UND</v>
      </c>
      <c r="H2533" s="49" t="n">
        <f aca="false">'Uso e Consumo'!F2533</f>
        <v>13</v>
      </c>
      <c r="I2533" s="35" t="n">
        <f aca="false">'Uso e Consumo'!G2533</f>
        <v>25.6</v>
      </c>
      <c r="J2533" s="34" t="str">
        <f aca="false">'Uso e Consumo'!M2533</f>
        <v>3.8.1.022 - Elementos de fixação</v>
      </c>
      <c r="K2533" s="32" t="str">
        <f aca="false">INDEX('Curva ABC'!$K$8:$K$2847,MATCH(D2533,'Curva ABC'!$B$8:$B$2847,0))</f>
        <v>C</v>
      </c>
    </row>
    <row r="2534" customFormat="false" ht="15" hidden="false" customHeight="false" outlineLevel="0" collapsed="false">
      <c r="A2534" s="34" t="s">
        <v>5799</v>
      </c>
      <c r="B2534" s="34" t="str">
        <f aca="false">'Uso e Consumo'!A2534</f>
        <v>0335</v>
      </c>
      <c r="C2534" s="34" t="str">
        <f aca="false">'Uso e Consumo'!B2534</f>
        <v>UFV NORONHA VERDE - USO E CONSUMO</v>
      </c>
      <c r="D2534" s="33" t="n">
        <f aca="false">'Uso e Consumo'!C2534</f>
        <v>14740</v>
      </c>
      <c r="E2534" s="34" t="str">
        <f aca="false">'Uso e Consumo'!D2534</f>
        <v>18.01.0315</v>
      </c>
      <c r="F2534" s="34" t="str">
        <f aca="false">'Uso e Consumo'!E2534</f>
        <v>JOELHO 45GR PVCS RIGIDO REFORCADO SOLDAVEL 100,00MM P/ESGOTO</v>
      </c>
      <c r="G2534" s="34" t="str">
        <f aca="false">'Uso e Consumo'!J2534</f>
        <v>UN</v>
      </c>
      <c r="H2534" s="49" t="n">
        <f aca="false">'Uso e Consumo'!F2534</f>
        <v>2</v>
      </c>
      <c r="I2534" s="35" t="n">
        <f aca="false">'Uso e Consumo'!G2534</f>
        <v>25.4</v>
      </c>
      <c r="J2534" s="34" t="str">
        <f aca="false">'Uso e Consumo'!M2534</f>
        <v>3.8.1.018 - Instalações hidráulicas/sanitárias/industriais</v>
      </c>
      <c r="K2534" s="32" t="str">
        <f aca="false">INDEX('Curva ABC'!$K$8:$K$2847,MATCH(D2534,'Curva ABC'!$B$8:$B$2847,0))</f>
        <v>C</v>
      </c>
    </row>
    <row r="2535" customFormat="false" ht="15" hidden="false" customHeight="false" outlineLevel="0" collapsed="false">
      <c r="A2535" s="34" t="s">
        <v>5799</v>
      </c>
      <c r="B2535" s="34" t="str">
        <f aca="false">'Uso e Consumo'!A2535</f>
        <v>0335</v>
      </c>
      <c r="C2535" s="34" t="str">
        <f aca="false">'Uso e Consumo'!B2535</f>
        <v>UFV NORONHA VERDE - USO E CONSUMO</v>
      </c>
      <c r="D2535" s="33" t="n">
        <f aca="false">'Uso e Consumo'!C2535</f>
        <v>601403</v>
      </c>
      <c r="E2535" s="34" t="str">
        <f aca="false">'Uso e Consumo'!D2535</f>
        <v>23.06.0235</v>
      </c>
      <c r="F2535" s="34" t="str">
        <f aca="false">'Uso e Consumo'!E2535</f>
        <v>PORCA PARA PARAFUSO 5/8 PARA LÂMINA DA CONCHA</v>
      </c>
      <c r="G2535" s="34" t="str">
        <f aca="false">'Uso e Consumo'!J2535</f>
        <v>UN</v>
      </c>
      <c r="H2535" s="49" t="n">
        <f aca="false">'Uso e Consumo'!F2535</f>
        <v>6</v>
      </c>
      <c r="I2535" s="35" t="n">
        <f aca="false">'Uso e Consumo'!G2535</f>
        <v>25.26</v>
      </c>
      <c r="J2535" s="34" t="str">
        <f aca="false">'Uso e Consumo'!M2535</f>
        <v>3.8.1.022 - Elementos de fixação</v>
      </c>
      <c r="K2535" s="32" t="str">
        <f aca="false">INDEX('Curva ABC'!$K$8:$K$2847,MATCH(D2535,'Curva ABC'!$B$8:$B$2847,0))</f>
        <v>C</v>
      </c>
    </row>
    <row r="2536" customFormat="false" ht="15" hidden="false" customHeight="false" outlineLevel="0" collapsed="false">
      <c r="A2536" s="34" t="s">
        <v>5799</v>
      </c>
      <c r="B2536" s="34" t="str">
        <f aca="false">'Uso e Consumo'!A2536</f>
        <v>0335</v>
      </c>
      <c r="C2536" s="34" t="str">
        <f aca="false">'Uso e Consumo'!B2536</f>
        <v>UFV NORONHA VERDE - USO E CONSUMO</v>
      </c>
      <c r="D2536" s="33" t="n">
        <f aca="false">'Uso e Consumo'!C2536</f>
        <v>879038</v>
      </c>
      <c r="E2536" s="34" t="str">
        <f aca="false">'Uso e Consumo'!D2536</f>
        <v>27.01.0430</v>
      </c>
      <c r="F2536" s="34" t="str">
        <f aca="false">'Uso e Consumo'!E2536</f>
        <v>LIDOCAINA INJETAVEL</v>
      </c>
      <c r="G2536" s="34" t="str">
        <f aca="false">'Uso e Consumo'!J2536</f>
        <v>UN</v>
      </c>
      <c r="H2536" s="49" t="n">
        <f aca="false">'Uso e Consumo'!F2536</f>
        <v>1</v>
      </c>
      <c r="I2536" s="35" t="n">
        <f aca="false">'Uso e Consumo'!G2536</f>
        <v>25</v>
      </c>
      <c r="J2536" s="34" t="str">
        <f aca="false">'Uso e Consumo'!M2536</f>
        <v>4.3.4.006 - Medicamentos e primeiro socorros</v>
      </c>
      <c r="K2536" s="32" t="str">
        <f aca="false">INDEX('Curva ABC'!$K$8:$K$2847,MATCH(D2536,'Curva ABC'!$B$8:$B$2847,0))</f>
        <v>C</v>
      </c>
    </row>
    <row r="2537" customFormat="false" ht="15" hidden="false" customHeight="false" outlineLevel="0" collapsed="false">
      <c r="A2537" s="34" t="s">
        <v>5799</v>
      </c>
      <c r="B2537" s="34" t="str">
        <f aca="false">'Uso e Consumo'!A2537</f>
        <v>0335</v>
      </c>
      <c r="C2537" s="34" t="str">
        <f aca="false">'Uso e Consumo'!B2537</f>
        <v>UFV NORONHA VERDE - USO E CONSUMO</v>
      </c>
      <c r="D2537" s="33" t="n">
        <f aca="false">'Uso e Consumo'!C2537</f>
        <v>872193</v>
      </c>
      <c r="E2537" s="34" t="str">
        <f aca="false">'Uso e Consumo'!D2537</f>
        <v>30.05.0217</v>
      </c>
      <c r="F2537" s="34" t="str">
        <f aca="false">'Uso e Consumo'!E2537</f>
        <v>BOLO FOFO</v>
      </c>
      <c r="G2537" s="34" t="str">
        <f aca="false">'Uso e Consumo'!J2537</f>
        <v>UN</v>
      </c>
      <c r="H2537" s="49" t="n">
        <f aca="false">'Uso e Consumo'!F2537</f>
        <v>0.5</v>
      </c>
      <c r="I2537" s="35" t="n">
        <f aca="false">'Uso e Consumo'!G2537</f>
        <v>24.98</v>
      </c>
      <c r="J2537" s="34" t="str">
        <f aca="false">'Uso e Consumo'!M2537</f>
        <v>4.1.1.001 - Material de uso e consumo</v>
      </c>
      <c r="K2537" s="32" t="str">
        <f aca="false">INDEX('Curva ABC'!$K$8:$K$2847,MATCH(D2537,'Curva ABC'!$B$8:$B$2847,0))</f>
        <v>C</v>
      </c>
    </row>
    <row r="2538" customFormat="false" ht="15" hidden="false" customHeight="false" outlineLevel="0" collapsed="false">
      <c r="A2538" s="34" t="s">
        <v>5799</v>
      </c>
      <c r="B2538" s="34" t="str">
        <f aca="false">'Uso e Consumo'!A2538</f>
        <v>0335</v>
      </c>
      <c r="C2538" s="34" t="str">
        <f aca="false">'Uso e Consumo'!B2538</f>
        <v>UFV NORONHA VERDE - USO E CONSUMO</v>
      </c>
      <c r="D2538" s="33" t="n">
        <f aca="false">'Uso e Consumo'!C2538</f>
        <v>1078659</v>
      </c>
      <c r="E2538" s="34" t="str">
        <f aca="false">'Uso e Consumo'!D2538</f>
        <v>17.19.0060</v>
      </c>
      <c r="F2538" s="34" t="str">
        <f aca="false">'Uso e Consumo'!E2538</f>
        <v>FITA ISOLANTE 3M 19MM X 5M SCOTCH</v>
      </c>
      <c r="G2538" s="34" t="str">
        <f aca="false">'Uso e Consumo'!J2538</f>
        <v>UN</v>
      </c>
      <c r="H2538" s="49" t="n">
        <f aca="false">'Uso e Consumo'!F2538</f>
        <v>1</v>
      </c>
      <c r="I2538" s="35" t="n">
        <f aca="false">'Uso e Consumo'!G2538</f>
        <v>24.98</v>
      </c>
      <c r="J2538" s="34" t="str">
        <f aca="false">'Uso e Consumo'!M2538</f>
        <v>3.8.1.017 - Instalações elétricas/telefônicas/lógica</v>
      </c>
      <c r="K2538" s="32" t="str">
        <f aca="false">INDEX('Curva ABC'!$K$8:$K$2847,MATCH(D2538,'Curva ABC'!$B$8:$B$2847,0))</f>
        <v>C</v>
      </c>
    </row>
    <row r="2539" customFormat="false" ht="15" hidden="false" customHeight="false" outlineLevel="0" collapsed="false">
      <c r="A2539" s="34" t="s">
        <v>5799</v>
      </c>
      <c r="B2539" s="34" t="str">
        <f aca="false">'Uso e Consumo'!A2539</f>
        <v>0335</v>
      </c>
      <c r="C2539" s="34" t="str">
        <f aca="false">'Uso e Consumo'!B2539</f>
        <v>UFV NORONHA VERDE - USO E CONSUMO</v>
      </c>
      <c r="D2539" s="33" t="n">
        <f aca="false">'Uso e Consumo'!C2539</f>
        <v>17945</v>
      </c>
      <c r="E2539" s="34" t="str">
        <f aca="false">'Uso e Consumo'!D2539</f>
        <v>24.09.0039</v>
      </c>
      <c r="F2539" s="34" t="str">
        <f aca="false">'Uso e Consumo'!E2539</f>
        <v>CHAVE COMBINADA 21,00MM AÇO CARBONO CROMADO</v>
      </c>
      <c r="G2539" s="34" t="str">
        <f aca="false">'Uso e Consumo'!J2539</f>
        <v>UN</v>
      </c>
      <c r="H2539" s="49" t="n">
        <f aca="false">'Uso e Consumo'!F2539</f>
        <v>1</v>
      </c>
      <c r="I2539" s="35" t="n">
        <f aca="false">'Uso e Consumo'!G2539</f>
        <v>24</v>
      </c>
      <c r="J2539" s="34" t="str">
        <f aca="false">'Uso e Consumo'!M2539</f>
        <v>3.8.2.002 - Ferramentas manuais</v>
      </c>
      <c r="K2539" s="32" t="str">
        <f aca="false">INDEX('Curva ABC'!$K$8:$K$2847,MATCH(D2539,'Curva ABC'!$B$8:$B$2847,0))</f>
        <v>C</v>
      </c>
    </row>
    <row r="2540" customFormat="false" ht="15" hidden="false" customHeight="false" outlineLevel="0" collapsed="false">
      <c r="A2540" s="34" t="s">
        <v>5799</v>
      </c>
      <c r="B2540" s="34" t="str">
        <f aca="false">'Uso e Consumo'!A2540</f>
        <v>0335</v>
      </c>
      <c r="C2540" s="34" t="str">
        <f aca="false">'Uso e Consumo'!B2540</f>
        <v>UFV NORONHA VERDE - USO E CONSUMO</v>
      </c>
      <c r="D2540" s="33" t="n">
        <f aca="false">'Uso e Consumo'!C2540</f>
        <v>740203</v>
      </c>
      <c r="E2540" s="34" t="str">
        <f aca="false">'Uso e Consumo'!D2540</f>
        <v>27.01.0383</v>
      </c>
      <c r="F2540" s="34" t="str">
        <f aca="false">'Uso e Consumo'!E2540</f>
        <v>DIPIRONA SÓDICA 500mg</v>
      </c>
      <c r="G2540" s="34" t="str">
        <f aca="false">'Uso e Consumo'!J2540</f>
        <v>UN</v>
      </c>
      <c r="H2540" s="49" t="n">
        <f aca="false">'Uso e Consumo'!F2540</f>
        <v>6</v>
      </c>
      <c r="I2540" s="35" t="n">
        <f aca="false">'Uso e Consumo'!G2540</f>
        <v>24</v>
      </c>
      <c r="J2540" s="34" t="str">
        <f aca="false">'Uso e Consumo'!M2540</f>
        <v>4.3.4.006 - Medicamentos e primeiro socorros</v>
      </c>
      <c r="K2540" s="32" t="str">
        <f aca="false">INDEX('Curva ABC'!$K$8:$K$2847,MATCH(D2540,'Curva ABC'!$B$8:$B$2847,0))</f>
        <v>C</v>
      </c>
    </row>
    <row r="2541" customFormat="false" ht="15" hidden="false" customHeight="false" outlineLevel="0" collapsed="false">
      <c r="A2541" s="34" t="s">
        <v>5799</v>
      </c>
      <c r="B2541" s="34" t="str">
        <f aca="false">'Uso e Consumo'!A2541</f>
        <v>0335</v>
      </c>
      <c r="C2541" s="34" t="str">
        <f aca="false">'Uso e Consumo'!B2541</f>
        <v>UFV NORONHA VERDE - USO E CONSUMO</v>
      </c>
      <c r="D2541" s="33" t="n">
        <f aca="false">'Uso e Consumo'!C2541</f>
        <v>1068029</v>
      </c>
      <c r="E2541" s="34" t="str">
        <f aca="false">'Uso e Consumo'!D2541</f>
        <v>32.12.0239</v>
      </c>
      <c r="F2541" s="34" t="str">
        <f aca="false">'Uso e Consumo'!E2541</f>
        <v>TERMÔMETRO DIGITAL</v>
      </c>
      <c r="G2541" s="34" t="str">
        <f aca="false">'Uso e Consumo'!J2541</f>
        <v>UN</v>
      </c>
      <c r="H2541" s="49" t="n">
        <f aca="false">'Uso e Consumo'!F2541</f>
        <v>1</v>
      </c>
      <c r="I2541" s="35" t="n">
        <f aca="false">'Uso e Consumo'!G2541</f>
        <v>24</v>
      </c>
      <c r="J2541" s="34" t="str">
        <f aca="false">'Uso e Consumo'!M2541</f>
        <v>4.1.1.011 - Instrumentos para medição</v>
      </c>
      <c r="K2541" s="32" t="str">
        <f aca="false">INDEX('Curva ABC'!$K$8:$K$2847,MATCH(D2541,'Curva ABC'!$B$8:$B$2847,0))</f>
        <v>C</v>
      </c>
    </row>
    <row r="2542" customFormat="false" ht="15" hidden="false" customHeight="false" outlineLevel="0" collapsed="false">
      <c r="A2542" s="34" t="s">
        <v>5799</v>
      </c>
      <c r="B2542" s="34" t="str">
        <f aca="false">'Uso e Consumo'!A2542</f>
        <v>0335</v>
      </c>
      <c r="C2542" s="34" t="str">
        <f aca="false">'Uso e Consumo'!B2542</f>
        <v>UFV NORONHA VERDE - USO E CONSUMO</v>
      </c>
      <c r="D2542" s="33" t="n">
        <f aca="false">'Uso e Consumo'!C2542</f>
        <v>1089797</v>
      </c>
      <c r="E2542" s="34" t="str">
        <f aca="false">'Uso e Consumo'!D2542</f>
        <v>27.01.0484</v>
      </c>
      <c r="F2542" s="34" t="str">
        <f aca="false">'Uso e Consumo'!E2542</f>
        <v>LORATADINA 10 MG</v>
      </c>
      <c r="G2542" s="34" t="str">
        <f aca="false">'Uso e Consumo'!J2542</f>
        <v>CX</v>
      </c>
      <c r="H2542" s="49" t="n">
        <f aca="false">'Uso e Consumo'!F2542</f>
        <v>2</v>
      </c>
      <c r="I2542" s="35" t="n">
        <f aca="false">'Uso e Consumo'!G2542</f>
        <v>24</v>
      </c>
      <c r="J2542" s="34" t="str">
        <f aca="false">'Uso e Consumo'!M2542</f>
        <v>4.3.4.006 - Medicamentos e primeiro socorros</v>
      </c>
      <c r="K2542" s="32" t="str">
        <f aca="false">INDEX('Curva ABC'!$K$8:$K$2847,MATCH(D2542,'Curva ABC'!$B$8:$B$2847,0))</f>
        <v>C</v>
      </c>
    </row>
    <row r="2543" customFormat="false" ht="15" hidden="false" customHeight="false" outlineLevel="0" collapsed="false">
      <c r="A2543" s="34" t="s">
        <v>5799</v>
      </c>
      <c r="B2543" s="34" t="str">
        <f aca="false">'Uso e Consumo'!A2543</f>
        <v>0335</v>
      </c>
      <c r="C2543" s="34" t="str">
        <f aca="false">'Uso e Consumo'!B2543</f>
        <v>UFV NORONHA VERDE - USO E CONSUMO</v>
      </c>
      <c r="D2543" s="33" t="n">
        <f aca="false">'Uso e Consumo'!C2543</f>
        <v>646418</v>
      </c>
      <c r="E2543" s="34" t="str">
        <f aca="false">'Uso e Consumo'!D2543</f>
        <v>23.02.0372</v>
      </c>
      <c r="F2543" s="34" t="str">
        <f aca="false">'Uso e Consumo'!E2543</f>
        <v>ABRACADEIRA NYLON 209X2,5 C/ 100</v>
      </c>
      <c r="G2543" s="34" t="str">
        <f aca="false">'Uso e Consumo'!J2543</f>
        <v>UN</v>
      </c>
      <c r="H2543" s="49" t="n">
        <f aca="false">'Uso e Consumo'!F2543</f>
        <v>6</v>
      </c>
      <c r="I2543" s="35" t="n">
        <f aca="false">'Uso e Consumo'!G2543</f>
        <v>23.88</v>
      </c>
      <c r="J2543" s="34" t="str">
        <f aca="false">'Uso e Consumo'!M2543</f>
        <v>3.8.1.022 - Elementos de fixação</v>
      </c>
      <c r="K2543" s="32" t="str">
        <f aca="false">INDEX('Curva ABC'!$K$8:$K$2847,MATCH(D2543,'Curva ABC'!$B$8:$B$2847,0))</f>
        <v>C</v>
      </c>
    </row>
    <row r="2544" customFormat="false" ht="15" hidden="false" customHeight="false" outlineLevel="0" collapsed="false">
      <c r="A2544" s="34" t="s">
        <v>5799</v>
      </c>
      <c r="B2544" s="34" t="str">
        <f aca="false">'Uso e Consumo'!A2544</f>
        <v>0335</v>
      </c>
      <c r="C2544" s="34" t="str">
        <f aca="false">'Uso e Consumo'!B2544</f>
        <v>UFV NORONHA VERDE - USO E CONSUMO</v>
      </c>
      <c r="D2544" s="33" t="n">
        <f aca="false">'Uso e Consumo'!C2544</f>
        <v>1670497</v>
      </c>
      <c r="E2544" s="34" t="str">
        <f aca="false">'Uso e Consumo'!D2544</f>
        <v>18.01.1722</v>
      </c>
      <c r="F2544" s="34" t="str">
        <f aca="false">'Uso e Consumo'!E2544</f>
        <v>TUBO SOLDAVEL DE PVC RIGIDO PARA AGUA FRIA 20 MM</v>
      </c>
      <c r="G2544" s="34" t="str">
        <f aca="false">'Uso e Consumo'!J2544</f>
        <v>UN</v>
      </c>
      <c r="H2544" s="49" t="n">
        <f aca="false">'Uso e Consumo'!F2544</f>
        <v>1</v>
      </c>
      <c r="I2544" s="35" t="n">
        <f aca="false">'Uso e Consumo'!G2544</f>
        <v>23.88</v>
      </c>
      <c r="J2544" s="34" t="str">
        <f aca="false">'Uso e Consumo'!M2544</f>
        <v>3.8.1.018 - Instalações hidráulicas/sanitárias/industriais</v>
      </c>
      <c r="K2544" s="32" t="str">
        <f aca="false">INDEX('Curva ABC'!$K$8:$K$2847,MATCH(D2544,'Curva ABC'!$B$8:$B$2847,0))</f>
        <v>C</v>
      </c>
    </row>
    <row r="2545" customFormat="false" ht="15" hidden="false" customHeight="false" outlineLevel="0" collapsed="false">
      <c r="A2545" s="34" t="s">
        <v>5799</v>
      </c>
      <c r="B2545" s="34" t="str">
        <f aca="false">'Uso e Consumo'!A2545</f>
        <v>0335</v>
      </c>
      <c r="C2545" s="34" t="str">
        <f aca="false">'Uso e Consumo'!B2545</f>
        <v>UFV NORONHA VERDE - USO E CONSUMO</v>
      </c>
      <c r="D2545" s="33" t="n">
        <f aca="false">'Uso e Consumo'!C2545</f>
        <v>1677302</v>
      </c>
      <c r="E2545" s="34" t="str">
        <f aca="false">'Uso e Consumo'!D2545</f>
        <v>17.02.0948</v>
      </c>
      <c r="F2545" s="34" t="str">
        <f aca="false">'Uso e Consumo'!E2545</f>
        <v>TERMINAL CABO-BARRAMENTO TA-35 COBRE APERTO 1 FURO PARA CABO 35 MM</v>
      </c>
      <c r="G2545" s="34" t="str">
        <f aca="false">'Uso e Consumo'!J2545</f>
        <v>UN</v>
      </c>
      <c r="H2545" s="49" t="n">
        <f aca="false">'Uso e Consumo'!F2545</f>
        <v>4</v>
      </c>
      <c r="I2545" s="35" t="n">
        <f aca="false">'Uso e Consumo'!G2545</f>
        <v>23.68</v>
      </c>
      <c r="J2545" s="34" t="str">
        <f aca="false">'Uso e Consumo'!M2545</f>
        <v>3.8.1.017 - Instalações elétricas/telefônicas/lógica</v>
      </c>
      <c r="K2545" s="32" t="str">
        <f aca="false">INDEX('Curva ABC'!$K$8:$K$2847,MATCH(D2545,'Curva ABC'!$B$8:$B$2847,0))</f>
        <v>C</v>
      </c>
    </row>
    <row r="2546" customFormat="false" ht="15" hidden="false" customHeight="false" outlineLevel="0" collapsed="false">
      <c r="A2546" s="34" t="s">
        <v>5799</v>
      </c>
      <c r="B2546" s="34" t="str">
        <f aca="false">'Uso e Consumo'!A2546</f>
        <v>0335</v>
      </c>
      <c r="C2546" s="34" t="str">
        <f aca="false">'Uso e Consumo'!B2546</f>
        <v>UFV NORONHA VERDE - USO E CONSUMO</v>
      </c>
      <c r="D2546" s="33" t="n">
        <f aca="false">'Uso e Consumo'!C2546</f>
        <v>13151</v>
      </c>
      <c r="E2546" s="34" t="str">
        <f aca="false">'Uso e Consumo'!D2546</f>
        <v>17.04.0012</v>
      </c>
      <c r="F2546" s="34" t="str">
        <f aca="false">'Uso e Consumo'!E2546</f>
        <v>EMENDA INTERNA T P/PERFILADO AÇO CARBONO GALVANIZADO 38,00MM X 38,00MM NBR 11888-2</v>
      </c>
      <c r="G2546" s="34" t="str">
        <f aca="false">'Uso e Consumo'!J2546</f>
        <v>UN</v>
      </c>
      <c r="H2546" s="49" t="n">
        <f aca="false">'Uso e Consumo'!F2546</f>
        <v>4</v>
      </c>
      <c r="I2546" s="35" t="n">
        <f aca="false">'Uso e Consumo'!G2546</f>
        <v>23.6</v>
      </c>
      <c r="J2546" s="34" t="str">
        <f aca="false">'Uso e Consumo'!M2546</f>
        <v>3.8.1.017 - Instalações elétricas/telefônicas/lógica</v>
      </c>
      <c r="K2546" s="32" t="str">
        <f aca="false">INDEX('Curva ABC'!$K$8:$K$2847,MATCH(D2546,'Curva ABC'!$B$8:$B$2847,0))</f>
        <v>C</v>
      </c>
    </row>
    <row r="2547" customFormat="false" ht="15" hidden="false" customHeight="false" outlineLevel="0" collapsed="false">
      <c r="A2547" s="34" t="s">
        <v>5799</v>
      </c>
      <c r="B2547" s="34" t="str">
        <f aca="false">'Uso e Consumo'!A2547</f>
        <v>0335</v>
      </c>
      <c r="C2547" s="34" t="str">
        <f aca="false">'Uso e Consumo'!B2547</f>
        <v>UFV NORONHA VERDE - USO E CONSUMO</v>
      </c>
      <c r="D2547" s="33" t="n">
        <f aca="false">'Uso e Consumo'!C2547</f>
        <v>138613</v>
      </c>
      <c r="E2547" s="34" t="str">
        <f aca="false">'Uso e Consumo'!D2547</f>
        <v>23.06.0173</v>
      </c>
      <c r="F2547" s="34" t="str">
        <f aca="false">'Uso e Consumo'!E2547</f>
        <v>PORCA SEXT AÇO M6</v>
      </c>
      <c r="G2547" s="34" t="str">
        <f aca="false">'Uso e Consumo'!J2547</f>
        <v>UN</v>
      </c>
      <c r="H2547" s="49" t="n">
        <f aca="false">'Uso e Consumo'!F2547</f>
        <v>40</v>
      </c>
      <c r="I2547" s="35" t="n">
        <f aca="false">'Uso e Consumo'!G2547</f>
        <v>23.25</v>
      </c>
      <c r="J2547" s="34" t="str">
        <f aca="false">'Uso e Consumo'!M2547</f>
        <v>3.8.1.022 - Elementos de fixação</v>
      </c>
      <c r="K2547" s="32" t="str">
        <f aca="false">INDEX('Curva ABC'!$K$8:$K$2847,MATCH(D2547,'Curva ABC'!$B$8:$B$2847,0))</f>
        <v>C</v>
      </c>
    </row>
    <row r="2548" customFormat="false" ht="15" hidden="false" customHeight="false" outlineLevel="0" collapsed="false">
      <c r="A2548" s="34" t="s">
        <v>5799</v>
      </c>
      <c r="B2548" s="34" t="str">
        <f aca="false">'Uso e Consumo'!A2548</f>
        <v>0335</v>
      </c>
      <c r="C2548" s="34" t="str">
        <f aca="false">'Uso e Consumo'!B2548</f>
        <v>UFV NORONHA VERDE - USO E CONSUMO</v>
      </c>
      <c r="D2548" s="33" t="n">
        <f aca="false">'Uso e Consumo'!C2548</f>
        <v>881428</v>
      </c>
      <c r="E2548" s="34" t="str">
        <f aca="false">'Uso e Consumo'!D2548</f>
        <v>17.16.0491</v>
      </c>
      <c r="F2548" s="34" t="str">
        <f aca="false">'Uso e Consumo'!E2548</f>
        <v>CONECTOR GTDU ATERRAMENTO 5/8X2,4X50MM</v>
      </c>
      <c r="G2548" s="34" t="str">
        <f aca="false">'Uso e Consumo'!J2548</f>
        <v>UN</v>
      </c>
      <c r="H2548" s="49" t="n">
        <f aca="false">'Uso e Consumo'!F2548</f>
        <v>2</v>
      </c>
      <c r="I2548" s="35" t="n">
        <f aca="false">'Uso e Consumo'!G2548</f>
        <v>23</v>
      </c>
      <c r="J2548" s="34" t="str">
        <f aca="false">'Uso e Consumo'!M2548</f>
        <v>3.8.1.017 - Instalações elétricas/telefônicas/lógica</v>
      </c>
      <c r="K2548" s="32" t="str">
        <f aca="false">INDEX('Curva ABC'!$K$8:$K$2847,MATCH(D2548,'Curva ABC'!$B$8:$B$2847,0))</f>
        <v>C</v>
      </c>
    </row>
    <row r="2549" customFormat="false" ht="15" hidden="false" customHeight="false" outlineLevel="0" collapsed="false">
      <c r="A2549" s="34" t="s">
        <v>5799</v>
      </c>
      <c r="B2549" s="34" t="str">
        <f aca="false">'Uso e Consumo'!A2549</f>
        <v>0335</v>
      </c>
      <c r="C2549" s="34" t="str">
        <f aca="false">'Uso e Consumo'!B2549</f>
        <v>UFV NORONHA VERDE - USO E CONSUMO</v>
      </c>
      <c r="D2549" s="33" t="n">
        <f aca="false">'Uso e Consumo'!C2549</f>
        <v>16057</v>
      </c>
      <c r="E2549" s="34" t="str">
        <f aca="false">'Uso e Consumo'!D2549</f>
        <v>18.09.0042</v>
      </c>
      <c r="F2549" s="34" t="str">
        <f aca="false">'Uso e Consumo'!E2549</f>
        <v>REGISTRO ESFERA PVC 25,00MM SOLDAVEL VS VED BORRACHA NITRILICA NBR 10283</v>
      </c>
      <c r="G2549" s="34" t="str">
        <f aca="false">'Uso e Consumo'!J2549</f>
        <v>UN</v>
      </c>
      <c r="H2549" s="49" t="n">
        <f aca="false">'Uso e Consumo'!F2549</f>
        <v>1</v>
      </c>
      <c r="I2549" s="35" t="n">
        <f aca="false">'Uso e Consumo'!G2549</f>
        <v>22.98</v>
      </c>
      <c r="J2549" s="34" t="str">
        <f aca="false">'Uso e Consumo'!M2549</f>
        <v>3.8.1.018 - Instalações hidráulicas/sanitárias/industriais</v>
      </c>
      <c r="K2549" s="32" t="str">
        <f aca="false">INDEX('Curva ABC'!$K$8:$K$2847,MATCH(D2549,'Curva ABC'!$B$8:$B$2847,0))</f>
        <v>C</v>
      </c>
    </row>
    <row r="2550" customFormat="false" ht="15" hidden="false" customHeight="false" outlineLevel="0" collapsed="false">
      <c r="A2550" s="34" t="s">
        <v>5799</v>
      </c>
      <c r="B2550" s="34" t="str">
        <f aca="false">'Uso e Consumo'!A2550</f>
        <v>0335</v>
      </c>
      <c r="C2550" s="34" t="str">
        <f aca="false">'Uso e Consumo'!B2550</f>
        <v>UFV NORONHA VERDE - USO E CONSUMO</v>
      </c>
      <c r="D2550" s="33" t="n">
        <f aca="false">'Uso e Consumo'!C2550</f>
        <v>221342</v>
      </c>
      <c r="E2550" s="34" t="str">
        <f aca="false">'Uso e Consumo'!D2550</f>
        <v>23.11.0070</v>
      </c>
      <c r="F2550" s="34" t="str">
        <f aca="false">'Uso e Consumo'!E2550</f>
        <v>PINO LISO COM ARRUELA CÔNICA 16MM 1/4" X 22MM</v>
      </c>
      <c r="G2550" s="34" t="str">
        <f aca="false">'Uso e Consumo'!J2550</f>
        <v>UN</v>
      </c>
      <c r="H2550" s="49" t="n">
        <f aca="false">'Uso e Consumo'!F2550</f>
        <v>1</v>
      </c>
      <c r="I2550" s="35" t="n">
        <f aca="false">'Uso e Consumo'!G2550</f>
        <v>22.98</v>
      </c>
      <c r="J2550" s="34" t="str">
        <f aca="false">'Uso e Consumo'!M2550</f>
        <v>3.8.1.022 - Elementos de fixação</v>
      </c>
      <c r="K2550" s="32" t="str">
        <f aca="false">INDEX('Curva ABC'!$K$8:$K$2847,MATCH(D2550,'Curva ABC'!$B$8:$B$2847,0))</f>
        <v>C</v>
      </c>
    </row>
    <row r="2551" customFormat="false" ht="15" hidden="false" customHeight="false" outlineLevel="0" collapsed="false">
      <c r="A2551" s="34" t="s">
        <v>5799</v>
      </c>
      <c r="B2551" s="34" t="str">
        <f aca="false">'Uso e Consumo'!A2551</f>
        <v>0335</v>
      </c>
      <c r="C2551" s="34" t="str">
        <f aca="false">'Uso e Consumo'!B2551</f>
        <v>UFV NORONHA VERDE - USO E CONSUMO</v>
      </c>
      <c r="D2551" s="33" t="n">
        <f aca="false">'Uso e Consumo'!C2551</f>
        <v>950836</v>
      </c>
      <c r="E2551" s="34" t="str">
        <f aca="false">'Uso e Consumo'!D2551</f>
        <v>18.09.0327</v>
      </c>
      <c r="F2551" s="34" t="str">
        <f aca="false">'Uso e Consumo'!E2551</f>
        <v>REGISTRO ESF SOLD PVC 20MM KRONA</v>
      </c>
      <c r="G2551" s="34" t="str">
        <f aca="false">'Uso e Consumo'!J2551</f>
        <v>UN</v>
      </c>
      <c r="H2551" s="49" t="n">
        <f aca="false">'Uso e Consumo'!F2551</f>
        <v>1</v>
      </c>
      <c r="I2551" s="35" t="n">
        <f aca="false">'Uso e Consumo'!G2551</f>
        <v>22.98</v>
      </c>
      <c r="J2551" s="34" t="str">
        <f aca="false">'Uso e Consumo'!M2551</f>
        <v>3.8.1.018 - Instalações hidráulicas/sanitárias/industriais</v>
      </c>
      <c r="K2551" s="32" t="str">
        <f aca="false">INDEX('Curva ABC'!$K$8:$K$2847,MATCH(D2551,'Curva ABC'!$B$8:$B$2847,0))</f>
        <v>C</v>
      </c>
    </row>
    <row r="2552" customFormat="false" ht="15" hidden="false" customHeight="false" outlineLevel="0" collapsed="false">
      <c r="A2552" s="34" t="s">
        <v>5799</v>
      </c>
      <c r="B2552" s="34" t="str">
        <f aca="false">'Uso e Consumo'!A2552</f>
        <v>0335</v>
      </c>
      <c r="C2552" s="34" t="str">
        <f aca="false">'Uso e Consumo'!B2552</f>
        <v>UFV NORONHA VERDE - USO E CONSUMO</v>
      </c>
      <c r="D2552" s="33" t="n">
        <f aca="false">'Uso e Consumo'!C2552</f>
        <v>1330498</v>
      </c>
      <c r="E2552" s="34" t="str">
        <f aca="false">'Uso e Consumo'!D2552</f>
        <v>25.10.0079</v>
      </c>
      <c r="F2552" s="34" t="str">
        <f aca="false">'Uso e Consumo'!E2552</f>
        <v>CORDA ELASTICA EXTENSORA C/ GANCHO 2 M</v>
      </c>
      <c r="G2552" s="34" t="str">
        <f aca="false">'Uso e Consumo'!J2552</f>
        <v>UN</v>
      </c>
      <c r="H2552" s="49" t="n">
        <f aca="false">'Uso e Consumo'!F2552</f>
        <v>1</v>
      </c>
      <c r="I2552" s="35" t="n">
        <f aca="false">'Uso e Consumo'!G2552</f>
        <v>22.98</v>
      </c>
      <c r="J2552" s="34" t="str">
        <f aca="false">'Uso e Consumo'!M2552</f>
        <v>3.8.2.006 - Utensílios</v>
      </c>
      <c r="K2552" s="32" t="str">
        <f aca="false">INDEX('Curva ABC'!$K$8:$K$2847,MATCH(D2552,'Curva ABC'!$B$8:$B$2847,0))</f>
        <v>C</v>
      </c>
    </row>
    <row r="2553" customFormat="false" ht="15" hidden="false" customHeight="false" outlineLevel="0" collapsed="false">
      <c r="A2553" s="34" t="s">
        <v>5799</v>
      </c>
      <c r="B2553" s="34" t="str">
        <f aca="false">'Uso e Consumo'!A2553</f>
        <v>0335</v>
      </c>
      <c r="C2553" s="34" t="str">
        <f aca="false">'Uso e Consumo'!B2553</f>
        <v>UFV NORONHA VERDE - USO E CONSUMO</v>
      </c>
      <c r="D2553" s="33" t="n">
        <f aca="false">'Uso e Consumo'!C2553</f>
        <v>1477380</v>
      </c>
      <c r="E2553" s="34" t="str">
        <f aca="false">'Uso e Consumo'!D2553</f>
        <v>18.01.1678</v>
      </c>
      <c r="F2553" s="34" t="str">
        <f aca="false">'Uso e Consumo'!E2553</f>
        <v>BUCHA RED M F PPR DN110 X 90</v>
      </c>
      <c r="G2553" s="34" t="str">
        <f aca="false">'Uso e Consumo'!J2553</f>
        <v>UN</v>
      </c>
      <c r="H2553" s="49" t="n">
        <f aca="false">'Uso e Consumo'!F2553</f>
        <v>4</v>
      </c>
      <c r="I2553" s="35" t="n">
        <f aca="false">'Uso e Consumo'!G2553</f>
        <v>22.42</v>
      </c>
      <c r="J2553" s="34" t="str">
        <f aca="false">'Uso e Consumo'!M2553</f>
        <v>3.8.1.018 - Instalações hidráulicas/sanitárias/industriais</v>
      </c>
      <c r="K2553" s="32" t="str">
        <f aca="false">INDEX('Curva ABC'!$K$8:$K$2847,MATCH(D2553,'Curva ABC'!$B$8:$B$2847,0))</f>
        <v>C</v>
      </c>
    </row>
    <row r="2554" customFormat="false" ht="15" hidden="false" customHeight="false" outlineLevel="0" collapsed="false">
      <c r="A2554" s="34" t="s">
        <v>5799</v>
      </c>
      <c r="B2554" s="34" t="str">
        <f aca="false">'Uso e Consumo'!A2554</f>
        <v>0335</v>
      </c>
      <c r="C2554" s="34" t="str">
        <f aca="false">'Uso e Consumo'!B2554</f>
        <v>UFV NORONHA VERDE - USO E CONSUMO</v>
      </c>
      <c r="D2554" s="33" t="n">
        <f aca="false">'Uso e Consumo'!C2554</f>
        <v>1312600</v>
      </c>
      <c r="E2554" s="34" t="str">
        <f aca="false">'Uso e Consumo'!D2554</f>
        <v>33.02.3127</v>
      </c>
      <c r="F2554" s="34" t="str">
        <f aca="false">'Uso e Consumo'!E2554</f>
        <v>PARAFUSO TORX M5 X 18   MOTOSSERRA </v>
      </c>
      <c r="G2554" s="34" t="str">
        <f aca="false">'Uso e Consumo'!J2554</f>
        <v>UN</v>
      </c>
      <c r="H2554" s="49" t="n">
        <f aca="false">'Uso e Consumo'!F2554</f>
        <v>1</v>
      </c>
      <c r="I2554" s="35" t="n">
        <f aca="false">'Uso e Consumo'!G2554</f>
        <v>22.25</v>
      </c>
      <c r="J2554" s="34" t="str">
        <f aca="false">'Uso e Consumo'!M2554</f>
        <v>3.1.6.002 - Pneus e peças</v>
      </c>
      <c r="K2554" s="32" t="str">
        <f aca="false">INDEX('Curva ABC'!$K$8:$K$2847,MATCH(D2554,'Curva ABC'!$B$8:$B$2847,0))</f>
        <v>C</v>
      </c>
    </row>
    <row r="2555" customFormat="false" ht="15" hidden="false" customHeight="false" outlineLevel="0" collapsed="false">
      <c r="A2555" s="34" t="s">
        <v>5799</v>
      </c>
      <c r="B2555" s="34" t="str">
        <f aca="false">'Uso e Consumo'!A2555</f>
        <v>0335</v>
      </c>
      <c r="C2555" s="34" t="str">
        <f aca="false">'Uso e Consumo'!B2555</f>
        <v>UFV NORONHA VERDE - USO E CONSUMO</v>
      </c>
      <c r="D2555" s="33" t="n">
        <f aca="false">'Uso e Consumo'!C2555</f>
        <v>844084</v>
      </c>
      <c r="E2555" s="34" t="str">
        <f aca="false">'Uso e Consumo'!D2555</f>
        <v>17.12.0438</v>
      </c>
      <c r="F2555" s="34" t="str">
        <f aca="false">'Uso e Consumo'!E2555</f>
        <v>INTERRUPTOR SIMPLES P/ CONDULETE 3/4"</v>
      </c>
      <c r="G2555" s="34" t="str">
        <f aca="false">'Uso e Consumo'!J2555</f>
        <v>UN</v>
      </c>
      <c r="H2555" s="49" t="n">
        <f aca="false">'Uso e Consumo'!F2555</f>
        <v>4</v>
      </c>
      <c r="I2555" s="35" t="n">
        <f aca="false">'Uso e Consumo'!G2555</f>
        <v>22.04</v>
      </c>
      <c r="J2555" s="34" t="str">
        <f aca="false">'Uso e Consumo'!M2555</f>
        <v>3.8.1.017 - Instalações elétricas/telefônicas/lógica</v>
      </c>
      <c r="K2555" s="32" t="str">
        <f aca="false">INDEX('Curva ABC'!$K$8:$K$2847,MATCH(D2555,'Curva ABC'!$B$8:$B$2847,0))</f>
        <v>C</v>
      </c>
    </row>
    <row r="2556" customFormat="false" ht="15" hidden="false" customHeight="false" outlineLevel="0" collapsed="false">
      <c r="A2556" s="34" t="s">
        <v>5799</v>
      </c>
      <c r="B2556" s="34" t="str">
        <f aca="false">'Uso e Consumo'!A2556</f>
        <v>0335</v>
      </c>
      <c r="C2556" s="34" t="str">
        <f aca="false">'Uso e Consumo'!B2556</f>
        <v>UFV NORONHA VERDE - USO E CONSUMO</v>
      </c>
      <c r="D2556" s="33" t="n">
        <f aca="false">'Uso e Consumo'!C2556</f>
        <v>1539915</v>
      </c>
      <c r="E2556" s="34" t="str">
        <f aca="false">'Uso e Consumo'!D2556</f>
        <v>24.09.0716</v>
      </c>
      <c r="F2556" s="34" t="str">
        <f aca="false">'Uso e Consumo'!E2556</f>
        <v>CHAVE COMBINADA INCLINADA ACO CARBONO 11/16"</v>
      </c>
      <c r="G2556" s="34" t="str">
        <f aca="false">'Uso e Consumo'!J2556</f>
        <v>UN</v>
      </c>
      <c r="H2556" s="49" t="n">
        <f aca="false">'Uso e Consumo'!F2556</f>
        <v>1</v>
      </c>
      <c r="I2556" s="35" t="n">
        <f aca="false">'Uso e Consumo'!G2556</f>
        <v>22</v>
      </c>
      <c r="J2556" s="34" t="str">
        <f aca="false">'Uso e Consumo'!M2556</f>
        <v>3.8.2.002 - Ferramentas manuais</v>
      </c>
      <c r="K2556" s="32" t="str">
        <f aca="false">INDEX('Curva ABC'!$K$8:$K$2847,MATCH(D2556,'Curva ABC'!$B$8:$B$2847,0))</f>
        <v>C</v>
      </c>
    </row>
    <row r="2557" customFormat="false" ht="15" hidden="false" customHeight="false" outlineLevel="0" collapsed="false">
      <c r="A2557" s="34" t="s">
        <v>5799</v>
      </c>
      <c r="B2557" s="34" t="str">
        <f aca="false">'Uso e Consumo'!A2557</f>
        <v>0335</v>
      </c>
      <c r="C2557" s="34" t="str">
        <f aca="false">'Uso e Consumo'!B2557</f>
        <v>UFV NORONHA VERDE - USO E CONSUMO</v>
      </c>
      <c r="D2557" s="33" t="n">
        <f aca="false">'Uso e Consumo'!C2557</f>
        <v>19877</v>
      </c>
      <c r="E2557" s="34" t="str">
        <f aca="false">'Uso e Consumo'!D2557</f>
        <v>30.05.0014</v>
      </c>
      <c r="F2557" s="34" t="str">
        <f aca="false">'Uso e Consumo'!E2557</f>
        <v>REFRIGERANTE GARRAFA PET 2,00L</v>
      </c>
      <c r="G2557" s="34" t="str">
        <f aca="false">'Uso e Consumo'!J2557</f>
        <v>UN</v>
      </c>
      <c r="H2557" s="49" t="n">
        <f aca="false">'Uso e Consumo'!F2557</f>
        <v>1</v>
      </c>
      <c r="I2557" s="35" t="n">
        <f aca="false">'Uso e Consumo'!G2557</f>
        <v>21.95</v>
      </c>
      <c r="J2557" s="34" t="str">
        <f aca="false">'Uso e Consumo'!M2557</f>
        <v>4.1.1.001 - Material de uso e consumo</v>
      </c>
      <c r="K2557" s="32" t="str">
        <f aca="false">INDEX('Curva ABC'!$K$8:$K$2847,MATCH(D2557,'Curva ABC'!$B$8:$B$2847,0))</f>
        <v>C</v>
      </c>
    </row>
    <row r="2558" customFormat="false" ht="15" hidden="false" customHeight="false" outlineLevel="0" collapsed="false">
      <c r="A2558" s="34" t="s">
        <v>5799</v>
      </c>
      <c r="B2558" s="34" t="str">
        <f aca="false">'Uso e Consumo'!A2558</f>
        <v>0335</v>
      </c>
      <c r="C2558" s="34" t="str">
        <f aca="false">'Uso e Consumo'!B2558</f>
        <v>UFV NORONHA VERDE - USO E CONSUMO</v>
      </c>
      <c r="D2558" s="33" t="n">
        <f aca="false">'Uso e Consumo'!C2558</f>
        <v>605444</v>
      </c>
      <c r="E2558" s="34" t="str">
        <f aca="false">'Uso e Consumo'!D2558</f>
        <v>23.05.0214</v>
      </c>
      <c r="F2558" s="34" t="str">
        <f aca="false">'Uso e Consumo'!E2558</f>
        <v>ARRUELA DE PRESSAO M12</v>
      </c>
      <c r="G2558" s="34" t="str">
        <f aca="false">'Uso e Consumo'!J2558</f>
        <v>UN</v>
      </c>
      <c r="H2558" s="49" t="n">
        <f aca="false">'Uso e Consumo'!F2558</f>
        <v>36</v>
      </c>
      <c r="I2558" s="35" t="n">
        <f aca="false">'Uso e Consumo'!G2558</f>
        <v>21.6</v>
      </c>
      <c r="J2558" s="34" t="str">
        <f aca="false">'Uso e Consumo'!M2558</f>
        <v>3.8.1.022 - Elementos de fixação</v>
      </c>
      <c r="K2558" s="32" t="str">
        <f aca="false">INDEX('Curva ABC'!$K$8:$K$2847,MATCH(D2558,'Curva ABC'!$B$8:$B$2847,0))</f>
        <v>C</v>
      </c>
    </row>
    <row r="2559" customFormat="false" ht="15" hidden="false" customHeight="false" outlineLevel="0" collapsed="false">
      <c r="A2559" s="34" t="s">
        <v>5799</v>
      </c>
      <c r="B2559" s="34" t="str">
        <f aca="false">'Uso e Consumo'!A2559</f>
        <v>0335</v>
      </c>
      <c r="C2559" s="34" t="str">
        <f aca="false">'Uso e Consumo'!B2559</f>
        <v>UFV NORONHA VERDE - USO E CONSUMO</v>
      </c>
      <c r="D2559" s="33" t="n">
        <f aca="false">'Uso e Consumo'!C2559</f>
        <v>14759</v>
      </c>
      <c r="E2559" s="34" t="str">
        <f aca="false">'Uso e Consumo'!D2559</f>
        <v>18.01.0334</v>
      </c>
      <c r="F2559" s="34" t="str">
        <f aca="false">'Uso e Consumo'!E2559</f>
        <v>JOELHO 90GR PVC SOLDAVEL 50,00MM</v>
      </c>
      <c r="G2559" s="34" t="str">
        <f aca="false">'Uso e Consumo'!J2559</f>
        <v>UN</v>
      </c>
      <c r="H2559" s="49" t="n">
        <f aca="false">'Uso e Consumo'!F2559</f>
        <v>4</v>
      </c>
      <c r="I2559" s="35" t="n">
        <f aca="false">'Uso e Consumo'!G2559</f>
        <v>21.36</v>
      </c>
      <c r="J2559" s="34" t="str">
        <f aca="false">'Uso e Consumo'!M2559</f>
        <v>3.8.1.018 - Instalações hidráulicas/sanitárias/industriais</v>
      </c>
      <c r="K2559" s="32" t="str">
        <f aca="false">INDEX('Curva ABC'!$K$8:$K$2847,MATCH(D2559,'Curva ABC'!$B$8:$B$2847,0))</f>
        <v>C</v>
      </c>
    </row>
    <row r="2560" customFormat="false" ht="15" hidden="false" customHeight="false" outlineLevel="0" collapsed="false">
      <c r="A2560" s="34" t="s">
        <v>5799</v>
      </c>
      <c r="B2560" s="34" t="str">
        <f aca="false">'Uso e Consumo'!A2560</f>
        <v>0335</v>
      </c>
      <c r="C2560" s="34" t="str">
        <f aca="false">'Uso e Consumo'!B2560</f>
        <v>UFV NORONHA VERDE - USO E CONSUMO</v>
      </c>
      <c r="D2560" s="33" t="n">
        <f aca="false">'Uso e Consumo'!C2560</f>
        <v>1660992</v>
      </c>
      <c r="E2560" s="34" t="str">
        <f aca="false">'Uso e Consumo'!D2560</f>
        <v>17.02.0931</v>
      </c>
      <c r="F2560" s="34" t="str">
        <f aca="false">'Uso e Consumo'!E2560</f>
        <v>TAMPAO SELADOR PLASTICO PARA CONDULETE 3/4", REFERENCIA DAISA MT34 OU EQUIVALENTE</v>
      </c>
      <c r="G2560" s="34" t="str">
        <f aca="false">'Uso e Consumo'!J2560</f>
        <v>UN</v>
      </c>
      <c r="H2560" s="49" t="n">
        <f aca="false">'Uso e Consumo'!F2560</f>
        <v>70</v>
      </c>
      <c r="I2560" s="35" t="n">
        <f aca="false">'Uso e Consumo'!G2560</f>
        <v>21</v>
      </c>
      <c r="J2560" s="34" t="str">
        <f aca="false">'Uso e Consumo'!M2560</f>
        <v>3.8.1.017 - Instalações elétricas/telefônicas/lógica</v>
      </c>
      <c r="K2560" s="32" t="str">
        <f aca="false">INDEX('Curva ABC'!$K$8:$K$2847,MATCH(D2560,'Curva ABC'!$B$8:$B$2847,0))</f>
        <v>C</v>
      </c>
    </row>
    <row r="2561" customFormat="false" ht="15" hidden="false" customHeight="false" outlineLevel="0" collapsed="false">
      <c r="A2561" s="34" t="s">
        <v>5799</v>
      </c>
      <c r="B2561" s="34" t="str">
        <f aca="false">'Uso e Consumo'!A2561</f>
        <v>0335</v>
      </c>
      <c r="C2561" s="34" t="str">
        <f aca="false">'Uso e Consumo'!B2561</f>
        <v>UFV NORONHA VERDE - USO E CONSUMO</v>
      </c>
      <c r="D2561" s="33" t="n">
        <f aca="false">'Uso e Consumo'!C2561</f>
        <v>1660993</v>
      </c>
      <c r="E2561" s="34" t="str">
        <f aca="false">'Uso e Consumo'!D2561</f>
        <v>17.02.0932</v>
      </c>
      <c r="F2561" s="34" t="str">
        <f aca="false">'Uso e Consumo'!E2561</f>
        <v>TAMPAO SELADOR PLASTICO PARA CONDULETE 3/4</v>
      </c>
      <c r="G2561" s="34" t="str">
        <f aca="false">'Uso e Consumo'!J2561</f>
        <v>UN</v>
      </c>
      <c r="H2561" s="49" t="n">
        <f aca="false">'Uso e Consumo'!F2561</f>
        <v>70</v>
      </c>
      <c r="I2561" s="35" t="n">
        <f aca="false">'Uso e Consumo'!G2561</f>
        <v>21</v>
      </c>
      <c r="J2561" s="34" t="str">
        <f aca="false">'Uso e Consumo'!M2561</f>
        <v>3.8.1.017 - Instalações elétricas/telefônicas/lógica</v>
      </c>
      <c r="K2561" s="32" t="str">
        <f aca="false">INDEX('Curva ABC'!$K$8:$K$2847,MATCH(D2561,'Curva ABC'!$B$8:$B$2847,0))</f>
        <v>C</v>
      </c>
    </row>
    <row r="2562" customFormat="false" ht="15" hidden="false" customHeight="false" outlineLevel="0" collapsed="false">
      <c r="A2562" s="34" t="s">
        <v>5799</v>
      </c>
      <c r="B2562" s="34" t="str">
        <f aca="false">'Uso e Consumo'!A2562</f>
        <v>0335</v>
      </c>
      <c r="C2562" s="34" t="str">
        <f aca="false">'Uso e Consumo'!B2562</f>
        <v>UFV NORONHA VERDE - USO E CONSUMO</v>
      </c>
      <c r="D2562" s="33" t="n">
        <f aca="false">'Uso e Consumo'!C2562</f>
        <v>942228</v>
      </c>
      <c r="E2562" s="34" t="str">
        <f aca="false">'Uso e Consumo'!D2562</f>
        <v>23.07.1450</v>
      </c>
      <c r="F2562" s="34" t="str">
        <f aca="false">'Uso e Consumo'!E2562</f>
        <v>PARAFUSO GALV. CAB. SEXAVADA 3/8" X 2.1/2" ROSCA TOTAL WW</v>
      </c>
      <c r="G2562" s="34" t="str">
        <f aca="false">'Uso e Consumo'!J2562</f>
        <v>UN</v>
      </c>
      <c r="H2562" s="49" t="n">
        <f aca="false">'Uso e Consumo'!F2562</f>
        <v>35</v>
      </c>
      <c r="I2562" s="35" t="n">
        <f aca="false">'Uso e Consumo'!G2562</f>
        <v>20.3</v>
      </c>
      <c r="J2562" s="34" t="str">
        <f aca="false">'Uso e Consumo'!M2562</f>
        <v>3.8.1.022 - Elementos de fixação</v>
      </c>
      <c r="K2562" s="32" t="str">
        <f aca="false">INDEX('Curva ABC'!$K$8:$K$2847,MATCH(D2562,'Curva ABC'!$B$8:$B$2847,0))</f>
        <v>C</v>
      </c>
    </row>
    <row r="2563" customFormat="false" ht="15" hidden="false" customHeight="false" outlineLevel="0" collapsed="false">
      <c r="A2563" s="34" t="s">
        <v>5799</v>
      </c>
      <c r="B2563" s="34" t="str">
        <f aca="false">'Uso e Consumo'!A2563</f>
        <v>0335</v>
      </c>
      <c r="C2563" s="34" t="str">
        <f aca="false">'Uso e Consumo'!B2563</f>
        <v>UFV NORONHA VERDE - USO E CONSUMO</v>
      </c>
      <c r="D2563" s="33" t="n">
        <f aca="false">'Uso e Consumo'!C2563</f>
        <v>33798</v>
      </c>
      <c r="E2563" s="34" t="str">
        <f aca="false">'Uso e Consumo'!D2563</f>
        <v>23.07.0824</v>
      </c>
      <c r="F2563" s="34" t="str">
        <f aca="false">'Uso e Consumo'!E2563</f>
        <v>PARAFUSO CABEÇA CHATA PHILLIPS PONTA AGULHA 4,50MM X 30,00MM</v>
      </c>
      <c r="G2563" s="34" t="str">
        <f aca="false">'Uso e Consumo'!J2563</f>
        <v>UN</v>
      </c>
      <c r="H2563" s="49" t="n">
        <f aca="false">'Uso e Consumo'!F2563</f>
        <v>500</v>
      </c>
      <c r="I2563" s="35" t="n">
        <f aca="false">'Uso e Consumo'!G2563</f>
        <v>20</v>
      </c>
      <c r="J2563" s="34" t="str">
        <f aca="false">'Uso e Consumo'!M2563</f>
        <v>3.8.1.022 - Elementos de fixação</v>
      </c>
      <c r="K2563" s="32" t="str">
        <f aca="false">INDEX('Curva ABC'!$K$8:$K$2847,MATCH(D2563,'Curva ABC'!$B$8:$B$2847,0))</f>
        <v>C</v>
      </c>
    </row>
    <row r="2564" customFormat="false" ht="15" hidden="false" customHeight="false" outlineLevel="0" collapsed="false">
      <c r="A2564" s="34" t="s">
        <v>5799</v>
      </c>
      <c r="B2564" s="34" t="str">
        <f aca="false">'Uso e Consumo'!A2564</f>
        <v>0335</v>
      </c>
      <c r="C2564" s="34" t="str">
        <f aca="false">'Uso e Consumo'!B2564</f>
        <v>UFV NORONHA VERDE - USO E CONSUMO</v>
      </c>
      <c r="D2564" s="33" t="n">
        <f aca="false">'Uso e Consumo'!C2564</f>
        <v>56738</v>
      </c>
      <c r="E2564" s="34" t="str">
        <f aca="false">'Uso e Consumo'!D2564</f>
        <v>17.16.0139</v>
      </c>
      <c r="F2564" s="34" t="str">
        <f aca="false">'Uso e Consumo'!E2564</f>
        <v>TERMINAL PRÉ-ISOLADO TIPO AGULHA COBRE ESTANHADO 2,5MM2</v>
      </c>
      <c r="G2564" s="34" t="str">
        <f aca="false">'Uso e Consumo'!J2564</f>
        <v>UN</v>
      </c>
      <c r="H2564" s="49" t="n">
        <f aca="false">'Uso e Consumo'!F2564</f>
        <v>100</v>
      </c>
      <c r="I2564" s="35" t="n">
        <f aca="false">'Uso e Consumo'!G2564</f>
        <v>20</v>
      </c>
      <c r="J2564" s="34" t="str">
        <f aca="false">'Uso e Consumo'!M2564</f>
        <v>3.8.1.017 - Instalações elétricas/telefônicas/lógica</v>
      </c>
      <c r="K2564" s="32" t="str">
        <f aca="false">INDEX('Curva ABC'!$K$8:$K$2847,MATCH(D2564,'Curva ABC'!$B$8:$B$2847,0))</f>
        <v>C</v>
      </c>
    </row>
    <row r="2565" customFormat="false" ht="15" hidden="false" customHeight="false" outlineLevel="0" collapsed="false">
      <c r="A2565" s="34" t="s">
        <v>5799</v>
      </c>
      <c r="B2565" s="34" t="str">
        <f aca="false">'Uso e Consumo'!A2565</f>
        <v>0335</v>
      </c>
      <c r="C2565" s="34" t="str">
        <f aca="false">'Uso e Consumo'!B2565</f>
        <v>UFV NORONHA VERDE - USO E CONSUMO</v>
      </c>
      <c r="D2565" s="33" t="n">
        <f aca="false">'Uso e Consumo'!C2565</f>
        <v>277262</v>
      </c>
      <c r="E2565" s="34" t="str">
        <f aca="false">'Uso e Consumo'!D2565</f>
        <v>27.01.0301</v>
      </c>
      <c r="F2565" s="34" t="str">
        <f aca="false">'Uso e Consumo'!E2565</f>
        <v>ENALAPRIL</v>
      </c>
      <c r="G2565" s="34" t="str">
        <f aca="false">'Uso e Consumo'!J2565</f>
        <v>UN</v>
      </c>
      <c r="H2565" s="49" t="n">
        <f aca="false">'Uso e Consumo'!F2565</f>
        <v>2</v>
      </c>
      <c r="I2565" s="35" t="n">
        <f aca="false">'Uso e Consumo'!G2565</f>
        <v>20</v>
      </c>
      <c r="J2565" s="34" t="str">
        <f aca="false">'Uso e Consumo'!M2565</f>
        <v>4.3.4.006 - Medicamentos e primeiro socorros</v>
      </c>
      <c r="K2565" s="32" t="str">
        <f aca="false">INDEX('Curva ABC'!$K$8:$K$2847,MATCH(D2565,'Curva ABC'!$B$8:$B$2847,0))</f>
        <v>C</v>
      </c>
    </row>
    <row r="2566" customFormat="false" ht="15" hidden="false" customHeight="false" outlineLevel="0" collapsed="false">
      <c r="A2566" s="34" t="s">
        <v>5799</v>
      </c>
      <c r="B2566" s="34" t="str">
        <f aca="false">'Uso e Consumo'!A2566</f>
        <v>0335</v>
      </c>
      <c r="C2566" s="34" t="str">
        <f aca="false">'Uso e Consumo'!B2566</f>
        <v>UFV NORONHA VERDE - USO E CONSUMO</v>
      </c>
      <c r="D2566" s="33" t="n">
        <f aca="false">'Uso e Consumo'!C2566</f>
        <v>833724</v>
      </c>
      <c r="E2566" s="34" t="str">
        <f aca="false">'Uso e Consumo'!D2566</f>
        <v>27.01.0395</v>
      </c>
      <c r="F2566" s="34" t="str">
        <f aca="false">'Uso e Consumo'!E2566</f>
        <v>CIMETIDINA</v>
      </c>
      <c r="G2566" s="34" t="str">
        <f aca="false">'Uso e Consumo'!J2566</f>
        <v>UN</v>
      </c>
      <c r="H2566" s="49" t="n">
        <f aca="false">'Uso e Consumo'!F2566</f>
        <v>1</v>
      </c>
      <c r="I2566" s="35" t="n">
        <f aca="false">'Uso e Consumo'!G2566</f>
        <v>20</v>
      </c>
      <c r="J2566" s="34" t="str">
        <f aca="false">'Uso e Consumo'!M2566</f>
        <v>4.3.4.006 - Medicamentos e primeiro socorros</v>
      </c>
      <c r="K2566" s="32" t="str">
        <f aca="false">INDEX('Curva ABC'!$K$8:$K$2847,MATCH(D2566,'Curva ABC'!$B$8:$B$2847,0))</f>
        <v>C</v>
      </c>
    </row>
    <row r="2567" customFormat="false" ht="15" hidden="false" customHeight="false" outlineLevel="0" collapsed="false">
      <c r="A2567" s="34" t="s">
        <v>5799</v>
      </c>
      <c r="B2567" s="34" t="str">
        <f aca="false">'Uso e Consumo'!A2567</f>
        <v>0335</v>
      </c>
      <c r="C2567" s="34" t="str">
        <f aca="false">'Uso e Consumo'!B2567</f>
        <v>UFV NORONHA VERDE - USO E CONSUMO</v>
      </c>
      <c r="D2567" s="33" t="n">
        <f aca="false">'Uso e Consumo'!C2567</f>
        <v>16406</v>
      </c>
      <c r="E2567" s="34" t="str">
        <f aca="false">'Uso e Consumo'!D2567</f>
        <v>19.11.0003</v>
      </c>
      <c r="F2567" s="34" t="str">
        <f aca="false">'Uso e Consumo'!E2567</f>
        <v>ENGATE FLEXIVEL AÇO INOX 1/2" X 60,00CM</v>
      </c>
      <c r="G2567" s="34" t="str">
        <f aca="false">'Uso e Consumo'!J2567</f>
        <v>UN</v>
      </c>
      <c r="H2567" s="49" t="n">
        <f aca="false">'Uso e Consumo'!F2567</f>
        <v>1</v>
      </c>
      <c r="I2567" s="35" t="n">
        <f aca="false">'Uso e Consumo'!G2567</f>
        <v>19.98</v>
      </c>
      <c r="J2567" s="34" t="str">
        <f aca="false">'Uso e Consumo'!M2567</f>
        <v>3.8.1.018 - Instalações hidráulicas/sanitárias/industriais</v>
      </c>
      <c r="K2567" s="32" t="str">
        <f aca="false">INDEX('Curva ABC'!$K$8:$K$2847,MATCH(D2567,'Curva ABC'!$B$8:$B$2847,0))</f>
        <v>C</v>
      </c>
    </row>
    <row r="2568" customFormat="false" ht="15" hidden="false" customHeight="false" outlineLevel="0" collapsed="false">
      <c r="A2568" s="34" t="s">
        <v>5799</v>
      </c>
      <c r="B2568" s="34" t="str">
        <f aca="false">'Uso e Consumo'!A2568</f>
        <v>0335</v>
      </c>
      <c r="C2568" s="34" t="str">
        <f aca="false">'Uso e Consumo'!B2568</f>
        <v>UFV NORONHA VERDE - USO E CONSUMO</v>
      </c>
      <c r="D2568" s="33" t="n">
        <f aca="false">'Uso e Consumo'!C2568</f>
        <v>18026</v>
      </c>
      <c r="E2568" s="34" t="str">
        <f aca="false">'Uso e Consumo'!D2568</f>
        <v>24.09.0120</v>
      </c>
      <c r="F2568" s="34" t="str">
        <f aca="false">'Uso e Consumo'!E2568</f>
        <v>CHAVE FIXA 14,00MM X 15,00MM AÇO CROMO-VANADIO CROMADO/NIQUELADO</v>
      </c>
      <c r="G2568" s="34" t="str">
        <f aca="false">'Uso e Consumo'!J2568</f>
        <v>UN</v>
      </c>
      <c r="H2568" s="49" t="n">
        <f aca="false">'Uso e Consumo'!F2568</f>
        <v>1</v>
      </c>
      <c r="I2568" s="35" t="n">
        <f aca="false">'Uso e Consumo'!G2568</f>
        <v>19.98</v>
      </c>
      <c r="J2568" s="34" t="str">
        <f aca="false">'Uso e Consumo'!M2568</f>
        <v>3.8.2.002 - Ferramentas manuais</v>
      </c>
      <c r="K2568" s="32" t="str">
        <f aca="false">INDEX('Curva ABC'!$K$8:$K$2847,MATCH(D2568,'Curva ABC'!$B$8:$B$2847,0))</f>
        <v>C</v>
      </c>
    </row>
    <row r="2569" customFormat="false" ht="15" hidden="false" customHeight="false" outlineLevel="0" collapsed="false">
      <c r="A2569" s="34" t="s">
        <v>5799</v>
      </c>
      <c r="B2569" s="34" t="str">
        <f aca="false">'Uso e Consumo'!A2569</f>
        <v>0335</v>
      </c>
      <c r="C2569" s="34" t="str">
        <f aca="false">'Uso e Consumo'!B2569</f>
        <v>UFV NORONHA VERDE - USO E CONSUMO</v>
      </c>
      <c r="D2569" s="33" t="n">
        <f aca="false">'Uso e Consumo'!C2569</f>
        <v>22886</v>
      </c>
      <c r="E2569" s="34" t="str">
        <f aca="false">'Uso e Consumo'!D2569</f>
        <v>25.03.0162</v>
      </c>
      <c r="F2569" s="34" t="str">
        <f aca="false">'Uso e Consumo'!E2569</f>
        <v>BROCA CONCRETO 6,00MM X 100,00MM</v>
      </c>
      <c r="G2569" s="34" t="str">
        <f aca="false">'Uso e Consumo'!J2569</f>
        <v>UN</v>
      </c>
      <c r="H2569" s="49" t="n">
        <f aca="false">'Uso e Consumo'!F2569</f>
        <v>1</v>
      </c>
      <c r="I2569" s="35" t="n">
        <f aca="false">'Uso e Consumo'!G2569</f>
        <v>19.98</v>
      </c>
      <c r="J2569" s="34" t="str">
        <f aca="false">'Uso e Consumo'!M2569</f>
        <v>3.8.2.004 - Consumíveis para corte, perfuração e desbaste</v>
      </c>
      <c r="K2569" s="32" t="str">
        <f aca="false">INDEX('Curva ABC'!$K$8:$K$2847,MATCH(D2569,'Curva ABC'!$B$8:$B$2847,0))</f>
        <v>C</v>
      </c>
    </row>
    <row r="2570" customFormat="false" ht="15" hidden="false" customHeight="false" outlineLevel="0" collapsed="false">
      <c r="A2570" s="34" t="s">
        <v>5799</v>
      </c>
      <c r="B2570" s="34" t="str">
        <f aca="false">'Uso e Consumo'!A2570</f>
        <v>0335</v>
      </c>
      <c r="C2570" s="34" t="str">
        <f aca="false">'Uso e Consumo'!B2570</f>
        <v>UFV NORONHA VERDE - USO E CONSUMO</v>
      </c>
      <c r="D2570" s="33" t="n">
        <f aca="false">'Uso e Consumo'!C2570</f>
        <v>33787</v>
      </c>
      <c r="E2570" s="34" t="str">
        <f aca="false">'Uso e Consumo'!D2570</f>
        <v>18.08.0160</v>
      </c>
      <c r="F2570" s="34" t="str">
        <f aca="false">'Uso e Consumo'!E2570</f>
        <v>SIFÃO SANFONADO DUPLO UNIVERSAL PVC</v>
      </c>
      <c r="G2570" s="34" t="str">
        <f aca="false">'Uso e Consumo'!J2570</f>
        <v>UN</v>
      </c>
      <c r="H2570" s="49" t="n">
        <f aca="false">'Uso e Consumo'!F2570</f>
        <v>1</v>
      </c>
      <c r="I2570" s="35" t="n">
        <f aca="false">'Uso e Consumo'!G2570</f>
        <v>19.98</v>
      </c>
      <c r="J2570" s="34" t="str">
        <f aca="false">'Uso e Consumo'!M2570</f>
        <v>3.8.1.018 - Instalações hidráulicas/sanitárias/industriais</v>
      </c>
      <c r="K2570" s="32" t="str">
        <f aca="false">INDEX('Curva ABC'!$K$8:$K$2847,MATCH(D2570,'Curva ABC'!$B$8:$B$2847,0))</f>
        <v>C</v>
      </c>
    </row>
    <row r="2571" customFormat="false" ht="15" hidden="false" customHeight="false" outlineLevel="0" collapsed="false">
      <c r="A2571" s="34" t="s">
        <v>5799</v>
      </c>
      <c r="B2571" s="34" t="str">
        <f aca="false">'Uso e Consumo'!A2571</f>
        <v>0335</v>
      </c>
      <c r="C2571" s="34" t="str">
        <f aca="false">'Uso e Consumo'!B2571</f>
        <v>UFV NORONHA VERDE - USO E CONSUMO</v>
      </c>
      <c r="D2571" s="33" t="n">
        <f aca="false">'Uso e Consumo'!C2571</f>
        <v>427056</v>
      </c>
      <c r="E2571" s="34" t="str">
        <f aca="false">'Uso e Consumo'!D2571</f>
        <v>18.01.1127</v>
      </c>
      <c r="F2571" s="34" t="str">
        <f aca="false">'Uso e Consumo'!E2571</f>
        <v>ADAPTADOR SOLDAVEL 60MM</v>
      </c>
      <c r="G2571" s="34" t="str">
        <f aca="false">'Uso e Consumo'!J2571</f>
        <v>UN</v>
      </c>
      <c r="H2571" s="49" t="n">
        <f aca="false">'Uso e Consumo'!F2571</f>
        <v>1</v>
      </c>
      <c r="I2571" s="35" t="n">
        <f aca="false">'Uso e Consumo'!G2571</f>
        <v>19.98</v>
      </c>
      <c r="J2571" s="34" t="str">
        <f aca="false">'Uso e Consumo'!M2571</f>
        <v>3.8.1.018 - Instalações hidráulicas/sanitárias/industriais</v>
      </c>
      <c r="K2571" s="32" t="str">
        <f aca="false">INDEX('Curva ABC'!$K$8:$K$2847,MATCH(D2571,'Curva ABC'!$B$8:$B$2847,0))</f>
        <v>C</v>
      </c>
    </row>
    <row r="2572" customFormat="false" ht="15" hidden="false" customHeight="false" outlineLevel="0" collapsed="false">
      <c r="A2572" s="34" t="s">
        <v>5799</v>
      </c>
      <c r="B2572" s="34" t="str">
        <f aca="false">'Uso e Consumo'!A2572</f>
        <v>0335</v>
      </c>
      <c r="C2572" s="34" t="str">
        <f aca="false">'Uso e Consumo'!B2572</f>
        <v>UFV NORONHA VERDE - USO E CONSUMO</v>
      </c>
      <c r="D2572" s="33" t="n">
        <f aca="false">'Uso e Consumo'!C2572</f>
        <v>728572</v>
      </c>
      <c r="E2572" s="34" t="str">
        <f aca="false">'Uso e Consumo'!D2572</f>
        <v>18.01.1222</v>
      </c>
      <c r="F2572" s="34" t="str">
        <f aca="false">'Uso e Consumo'!E2572</f>
        <v>BUCHA RED SOLDÁVEL CURTA 50X40</v>
      </c>
      <c r="G2572" s="34" t="str">
        <f aca="false">'Uso e Consumo'!J2572</f>
        <v>UN</v>
      </c>
      <c r="H2572" s="49" t="n">
        <f aca="false">'Uso e Consumo'!F2572</f>
        <v>1</v>
      </c>
      <c r="I2572" s="35" t="n">
        <f aca="false">'Uso e Consumo'!G2572</f>
        <v>19.98</v>
      </c>
      <c r="J2572" s="34" t="str">
        <f aca="false">'Uso e Consumo'!M2572</f>
        <v>3.8.1.018 - Instalações hidráulicas/sanitárias/industriais</v>
      </c>
      <c r="K2572" s="32" t="str">
        <f aca="false">INDEX('Curva ABC'!$K$8:$K$2847,MATCH(D2572,'Curva ABC'!$B$8:$B$2847,0))</f>
        <v>C</v>
      </c>
    </row>
    <row r="2573" customFormat="false" ht="15" hidden="false" customHeight="false" outlineLevel="0" collapsed="false">
      <c r="A2573" s="34" t="s">
        <v>5799</v>
      </c>
      <c r="B2573" s="34" t="str">
        <f aca="false">'Uso e Consumo'!A2573</f>
        <v>0335</v>
      </c>
      <c r="C2573" s="34" t="str">
        <f aca="false">'Uso e Consumo'!B2573</f>
        <v>UFV NORONHA VERDE - USO E CONSUMO</v>
      </c>
      <c r="D2573" s="33" t="n">
        <f aca="false">'Uso e Consumo'!C2573</f>
        <v>941221</v>
      </c>
      <c r="E2573" s="34" t="str">
        <f aca="false">'Uso e Consumo'!D2573</f>
        <v>28.02.0112</v>
      </c>
      <c r="F2573" s="34" t="str">
        <f aca="false">'Uso e Consumo'!E2573</f>
        <v>ADESIVO APLICADO EM PVC 2MM TAMANHO A4</v>
      </c>
      <c r="G2573" s="34" t="str">
        <f aca="false">'Uso e Consumo'!J2573</f>
        <v>UN</v>
      </c>
      <c r="H2573" s="49" t="n">
        <f aca="false">'Uso e Consumo'!F2573</f>
        <v>1</v>
      </c>
      <c r="I2573" s="35" t="n">
        <f aca="false">'Uso e Consumo'!G2573</f>
        <v>19.98</v>
      </c>
      <c r="J2573" s="34" t="str">
        <f aca="false">'Uso e Consumo'!M2573</f>
        <v>4.1.1.002 - Material expediente</v>
      </c>
      <c r="K2573" s="32" t="str">
        <f aca="false">INDEX('Curva ABC'!$K$8:$K$2847,MATCH(D2573,'Curva ABC'!$B$8:$B$2847,0))</f>
        <v>C</v>
      </c>
    </row>
    <row r="2574" customFormat="false" ht="15" hidden="false" customHeight="false" outlineLevel="0" collapsed="false">
      <c r="A2574" s="34" t="s">
        <v>5799</v>
      </c>
      <c r="B2574" s="34" t="str">
        <f aca="false">'Uso e Consumo'!A2574</f>
        <v>0335</v>
      </c>
      <c r="C2574" s="34" t="str">
        <f aca="false">'Uso e Consumo'!B2574</f>
        <v>UFV NORONHA VERDE - USO E CONSUMO</v>
      </c>
      <c r="D2574" s="33" t="n">
        <f aca="false">'Uso e Consumo'!C2574</f>
        <v>1389046</v>
      </c>
      <c r="E2574" s="34" t="str">
        <f aca="false">'Uso e Consumo'!D2574</f>
        <v>17.12.0505</v>
      </c>
      <c r="F2574" s="34" t="str">
        <f aca="false">'Uso e Consumo'!E2574</f>
        <v>ADAPTADOR QUADRADO 20A / 10A COLORIDO</v>
      </c>
      <c r="G2574" s="34" t="str">
        <f aca="false">'Uso e Consumo'!J2574</f>
        <v>UN</v>
      </c>
      <c r="H2574" s="49" t="n">
        <f aca="false">'Uso e Consumo'!F2574</f>
        <v>1</v>
      </c>
      <c r="I2574" s="35" t="n">
        <f aca="false">'Uso e Consumo'!G2574</f>
        <v>19.98</v>
      </c>
      <c r="J2574" s="34" t="str">
        <f aca="false">'Uso e Consumo'!M2574</f>
        <v>3.8.1.017 - Instalações elétricas/telefônicas/lógica</v>
      </c>
      <c r="K2574" s="32" t="str">
        <f aca="false">INDEX('Curva ABC'!$K$8:$K$2847,MATCH(D2574,'Curva ABC'!$B$8:$B$2847,0))</f>
        <v>C</v>
      </c>
    </row>
    <row r="2575" customFormat="false" ht="15" hidden="false" customHeight="false" outlineLevel="0" collapsed="false">
      <c r="A2575" s="34" t="s">
        <v>5799</v>
      </c>
      <c r="B2575" s="34" t="str">
        <f aca="false">'Uso e Consumo'!A2575</f>
        <v>0335</v>
      </c>
      <c r="C2575" s="34" t="str">
        <f aca="false">'Uso e Consumo'!B2575</f>
        <v>UFV NORONHA VERDE - USO E CONSUMO</v>
      </c>
      <c r="D2575" s="33" t="n">
        <f aca="false">'Uso e Consumo'!C2575</f>
        <v>12654</v>
      </c>
      <c r="E2575" s="34" t="str">
        <f aca="false">'Uso e Consumo'!D2575</f>
        <v>17.02.0154</v>
      </c>
      <c r="F2575" s="34" t="str">
        <f aca="false">'Uso e Consumo'!E2575</f>
        <v>LUVA P/ELETRODUTO PVC C/ROSCA PRETO 1.1/4"</v>
      </c>
      <c r="G2575" s="34" t="str">
        <f aca="false">'Uso e Consumo'!J2575</f>
        <v>UN</v>
      </c>
      <c r="H2575" s="49" t="n">
        <f aca="false">'Uso e Consumo'!F2575</f>
        <v>2</v>
      </c>
      <c r="I2575" s="35" t="n">
        <f aca="false">'Uso e Consumo'!G2575</f>
        <v>19.96</v>
      </c>
      <c r="J2575" s="34" t="str">
        <f aca="false">'Uso e Consumo'!M2575</f>
        <v>3.8.1.017 - Instalações elétricas/telefônicas/lógica</v>
      </c>
      <c r="K2575" s="32" t="str">
        <f aca="false">INDEX('Curva ABC'!$K$8:$K$2847,MATCH(D2575,'Curva ABC'!$B$8:$B$2847,0))</f>
        <v>C</v>
      </c>
    </row>
    <row r="2576" customFormat="false" ht="15" hidden="false" customHeight="false" outlineLevel="0" collapsed="false">
      <c r="A2576" s="34" t="s">
        <v>5799</v>
      </c>
      <c r="B2576" s="34" t="str">
        <f aca="false">'Uso e Consumo'!A2576</f>
        <v>0335</v>
      </c>
      <c r="C2576" s="34" t="str">
        <f aca="false">'Uso e Consumo'!B2576</f>
        <v>UFV NORONHA VERDE - USO E CONSUMO</v>
      </c>
      <c r="D2576" s="33" t="n">
        <f aca="false">'Uso e Consumo'!C2576</f>
        <v>289969</v>
      </c>
      <c r="E2576" s="34" t="str">
        <f aca="false">'Uso e Consumo'!D2576</f>
        <v>18.08.0178</v>
      </c>
      <c r="F2576" s="34" t="str">
        <f aca="false">'Uso e Consumo'!E2576</f>
        <v>SIFÃO SANFONADO SIMPLES UNIVERSAL PVC</v>
      </c>
      <c r="G2576" s="34" t="str">
        <f aca="false">'Uso e Consumo'!J2576</f>
        <v>UN</v>
      </c>
      <c r="H2576" s="49" t="n">
        <f aca="false">'Uso e Consumo'!F2576</f>
        <v>4</v>
      </c>
      <c r="I2576" s="35" t="n">
        <f aca="false">'Uso e Consumo'!G2576</f>
        <v>19.96</v>
      </c>
      <c r="J2576" s="34" t="str">
        <f aca="false">'Uso e Consumo'!M2576</f>
        <v>3.8.1.018 - Instalações hidráulicas/sanitárias/industriais</v>
      </c>
      <c r="K2576" s="32" t="str">
        <f aca="false">INDEX('Curva ABC'!$K$8:$K$2847,MATCH(D2576,'Curva ABC'!$B$8:$B$2847,0))</f>
        <v>C</v>
      </c>
    </row>
    <row r="2577" customFormat="false" ht="15" hidden="false" customHeight="false" outlineLevel="0" collapsed="false">
      <c r="A2577" s="34" t="s">
        <v>5799</v>
      </c>
      <c r="B2577" s="34" t="str">
        <f aca="false">'Uso e Consumo'!A2577</f>
        <v>0335</v>
      </c>
      <c r="C2577" s="34" t="str">
        <f aca="false">'Uso e Consumo'!B2577</f>
        <v>UFV NORONHA VERDE - USO E CONSUMO</v>
      </c>
      <c r="D2577" s="33" t="n">
        <f aca="false">'Uso e Consumo'!C2577</f>
        <v>21378</v>
      </c>
      <c r="E2577" s="34" t="str">
        <f aca="false">'Uso e Consumo'!D2577</f>
        <v>34.02.0105</v>
      </c>
      <c r="F2577" s="34" t="str">
        <f aca="false">'Uso e Consumo'!E2577</f>
        <v>FUSÍVEL LÂMINA 25 AMP</v>
      </c>
      <c r="G2577" s="34" t="str">
        <f aca="false">'Uso e Consumo'!J2577</f>
        <v>UN</v>
      </c>
      <c r="H2577" s="49" t="n">
        <f aca="false">'Uso e Consumo'!F2577</f>
        <v>4</v>
      </c>
      <c r="I2577" s="35" t="n">
        <f aca="false">'Uso e Consumo'!G2577</f>
        <v>19.92</v>
      </c>
      <c r="J2577" s="34" t="str">
        <f aca="false">'Uso e Consumo'!M2577</f>
        <v>3.1.6.002 - Pneus e peças</v>
      </c>
      <c r="K2577" s="32" t="str">
        <f aca="false">INDEX('Curva ABC'!$K$8:$K$2847,MATCH(D2577,'Curva ABC'!$B$8:$B$2847,0))</f>
        <v>C</v>
      </c>
    </row>
    <row r="2578" customFormat="false" ht="15" hidden="false" customHeight="false" outlineLevel="0" collapsed="false">
      <c r="A2578" s="34" t="s">
        <v>5799</v>
      </c>
      <c r="B2578" s="34" t="str">
        <f aca="false">'Uso e Consumo'!A2578</f>
        <v>0335</v>
      </c>
      <c r="C2578" s="34" t="str">
        <f aca="false">'Uso e Consumo'!B2578</f>
        <v>UFV NORONHA VERDE - USO E CONSUMO</v>
      </c>
      <c r="D2578" s="33" t="n">
        <f aca="false">'Uso e Consumo'!C2578</f>
        <v>141109</v>
      </c>
      <c r="E2578" s="34" t="str">
        <f aca="false">'Uso e Consumo'!D2578</f>
        <v>34.02.0910</v>
      </c>
      <c r="F2578" s="34" t="str">
        <f aca="false">'Uso e Consumo'!E2578</f>
        <v>FUSÍVEL LÂMINA 1 AMP</v>
      </c>
      <c r="G2578" s="34" t="str">
        <f aca="false">'Uso e Consumo'!J2578</f>
        <v>UN</v>
      </c>
      <c r="H2578" s="49" t="n">
        <f aca="false">'Uso e Consumo'!F2578</f>
        <v>4</v>
      </c>
      <c r="I2578" s="35" t="n">
        <f aca="false">'Uso e Consumo'!G2578</f>
        <v>19.88</v>
      </c>
      <c r="J2578" s="34" t="str">
        <f aca="false">'Uso e Consumo'!M2578</f>
        <v>3.1.6.002 - Pneus e peças</v>
      </c>
      <c r="K2578" s="32" t="str">
        <f aca="false">INDEX('Curva ABC'!$K$8:$K$2847,MATCH(D2578,'Curva ABC'!$B$8:$B$2847,0))</f>
        <v>C</v>
      </c>
    </row>
    <row r="2579" customFormat="false" ht="15" hidden="false" customHeight="false" outlineLevel="0" collapsed="false">
      <c r="A2579" s="34" t="s">
        <v>5799</v>
      </c>
      <c r="B2579" s="34" t="str">
        <f aca="false">'Uso e Consumo'!A2579</f>
        <v>0335</v>
      </c>
      <c r="C2579" s="34" t="str">
        <f aca="false">'Uso e Consumo'!B2579</f>
        <v>UFV NORONHA VERDE - USO E CONSUMO</v>
      </c>
      <c r="D2579" s="33" t="n">
        <f aca="false">'Uso e Consumo'!C2579</f>
        <v>16864</v>
      </c>
      <c r="E2579" s="34" t="str">
        <f aca="false">'Uso e Consumo'!D2579</f>
        <v>99.00.2005</v>
      </c>
      <c r="F2579" s="34" t="str">
        <f aca="false">'Uso e Consumo'!E2579</f>
        <v>ARRUELA LISA AÇO INOX 5/8" PASSIVADO</v>
      </c>
      <c r="G2579" s="34" t="str">
        <f aca="false">'Uso e Consumo'!J2579</f>
        <v>UN</v>
      </c>
      <c r="H2579" s="49" t="n">
        <f aca="false">'Uso e Consumo'!F2579</f>
        <v>20</v>
      </c>
      <c r="I2579" s="35" t="n">
        <f aca="false">'Uso e Consumo'!G2579</f>
        <v>19.6</v>
      </c>
      <c r="J2579" s="34" t="str">
        <f aca="false">'Uso e Consumo'!M2579</f>
        <v>3.8.1.022 - Elementos de fixação</v>
      </c>
      <c r="K2579" s="32" t="str">
        <f aca="false">INDEX('Curva ABC'!$K$8:$K$2847,MATCH(D2579,'Curva ABC'!$B$8:$B$2847,0))</f>
        <v>C</v>
      </c>
    </row>
    <row r="2580" customFormat="false" ht="15" hidden="false" customHeight="false" outlineLevel="0" collapsed="false">
      <c r="A2580" s="34" t="s">
        <v>5799</v>
      </c>
      <c r="B2580" s="34" t="str">
        <f aca="false">'Uso e Consumo'!A2580</f>
        <v>0335</v>
      </c>
      <c r="C2580" s="34" t="str">
        <f aca="false">'Uso e Consumo'!B2580</f>
        <v>UFV NORONHA VERDE - USO E CONSUMO</v>
      </c>
      <c r="D2580" s="33" t="n">
        <f aca="false">'Uso e Consumo'!C2580</f>
        <v>652843</v>
      </c>
      <c r="E2580" s="34" t="str">
        <f aca="false">'Uso e Consumo'!D2580</f>
        <v>18.01.1209</v>
      </c>
      <c r="F2580" s="34" t="str">
        <f aca="false">'Uso e Consumo'!E2580</f>
        <v>ADAPTADOR PVC SOLDAVEL 32MM X 1"</v>
      </c>
      <c r="G2580" s="34" t="str">
        <f aca="false">'Uso e Consumo'!J2580</f>
        <v>UN</v>
      </c>
      <c r="H2580" s="49" t="n">
        <f aca="false">'Uso e Consumo'!F2580</f>
        <v>8</v>
      </c>
      <c r="I2580" s="35" t="n">
        <f aca="false">'Uso e Consumo'!G2580</f>
        <v>19.36</v>
      </c>
      <c r="J2580" s="34" t="str">
        <f aca="false">'Uso e Consumo'!M2580</f>
        <v>3.8.1.018 - Instalações hidráulicas/sanitárias/industriais</v>
      </c>
      <c r="K2580" s="32" t="str">
        <f aca="false">INDEX('Curva ABC'!$K$8:$K$2847,MATCH(D2580,'Curva ABC'!$B$8:$B$2847,0))</f>
        <v>C</v>
      </c>
    </row>
    <row r="2581" customFormat="false" ht="15" hidden="false" customHeight="false" outlineLevel="0" collapsed="false">
      <c r="A2581" s="34" t="s">
        <v>5799</v>
      </c>
      <c r="B2581" s="34" t="str">
        <f aca="false">'Uso e Consumo'!A2581</f>
        <v>0335</v>
      </c>
      <c r="C2581" s="34" t="str">
        <f aca="false">'Uso e Consumo'!B2581</f>
        <v>UFV NORONHA VERDE - USO E CONSUMO</v>
      </c>
      <c r="D2581" s="33" t="n">
        <f aca="false">'Uso e Consumo'!C2581</f>
        <v>19504</v>
      </c>
      <c r="E2581" s="34" t="str">
        <f aca="false">'Uso e Consumo'!D2581</f>
        <v>30.01.0224</v>
      </c>
      <c r="F2581" s="34" t="str">
        <f aca="false">'Uso e Consumo'!E2581</f>
        <v>GRAMPO TRILHO PLÁSTICO 80,00MM  P/ PASTA SUSPENSA C/ 50,00UN</v>
      </c>
      <c r="G2581" s="34" t="str">
        <f aca="false">'Uso e Consumo'!J2581</f>
        <v>UN</v>
      </c>
      <c r="H2581" s="49" t="n">
        <f aca="false">'Uso e Consumo'!F2581</f>
        <v>1</v>
      </c>
      <c r="I2581" s="35" t="n">
        <f aca="false">'Uso e Consumo'!G2581</f>
        <v>19.19</v>
      </c>
      <c r="J2581" s="34" t="str">
        <f aca="false">'Uso e Consumo'!M2581</f>
        <v>4.1.1.002 - Material expediente</v>
      </c>
      <c r="K2581" s="32" t="str">
        <f aca="false">INDEX('Curva ABC'!$K$8:$K$2847,MATCH(D2581,'Curva ABC'!$B$8:$B$2847,0))</f>
        <v>C</v>
      </c>
    </row>
    <row r="2582" customFormat="false" ht="15" hidden="false" customHeight="false" outlineLevel="0" collapsed="false">
      <c r="A2582" s="34" t="s">
        <v>5799</v>
      </c>
      <c r="B2582" s="34" t="str">
        <f aca="false">'Uso e Consumo'!A2582</f>
        <v>0335</v>
      </c>
      <c r="C2582" s="34" t="str">
        <f aca="false">'Uso e Consumo'!B2582</f>
        <v>UFV NORONHA VERDE - USO E CONSUMO</v>
      </c>
      <c r="D2582" s="33" t="n">
        <f aca="false">'Uso e Consumo'!C2582</f>
        <v>1615085</v>
      </c>
      <c r="E2582" s="34" t="str">
        <f aca="false">'Uso e Consumo'!D2582</f>
        <v>17.02.0927</v>
      </c>
      <c r="F2582" s="34" t="str">
        <f aca="false">'Uso e Consumo'!E2582</f>
        <v>BUCHA DE LIGA DE ALUMINIO DE ELEVADA RESISTENCIA MECANICA E A CORROSAO, PARA ELETRODUTO DE DN 1", ROSCA BSP</v>
      </c>
      <c r="G2582" s="34" t="str">
        <f aca="false">'Uso e Consumo'!J2582</f>
        <v>UN</v>
      </c>
      <c r="H2582" s="49" t="n">
        <f aca="false">'Uso e Consumo'!F2582</f>
        <v>6</v>
      </c>
      <c r="I2582" s="35" t="n">
        <f aca="false">'Uso e Consumo'!G2582</f>
        <v>18.78</v>
      </c>
      <c r="J2582" s="34" t="str">
        <f aca="false">'Uso e Consumo'!M2582</f>
        <v>3.8.1.017 - Instalações elétricas/telefônicas/lógica</v>
      </c>
      <c r="K2582" s="32" t="str">
        <f aca="false">INDEX('Curva ABC'!$K$8:$K$2847,MATCH(D2582,'Curva ABC'!$B$8:$B$2847,0))</f>
        <v>C</v>
      </c>
    </row>
    <row r="2583" customFormat="false" ht="15" hidden="false" customHeight="false" outlineLevel="0" collapsed="false">
      <c r="A2583" s="34" t="s">
        <v>5799</v>
      </c>
      <c r="B2583" s="34" t="str">
        <f aca="false">'Uso e Consumo'!A2583</f>
        <v>0335</v>
      </c>
      <c r="C2583" s="34" t="str">
        <f aca="false">'Uso e Consumo'!B2583</f>
        <v>UFV NORONHA VERDE - USO E CONSUMO</v>
      </c>
      <c r="D2583" s="33" t="n">
        <f aca="false">'Uso e Consumo'!C2583</f>
        <v>22320</v>
      </c>
      <c r="E2583" s="34" t="str">
        <f aca="false">'Uso e Consumo'!D2583</f>
        <v>99.00.1599</v>
      </c>
      <c r="F2583" s="34" t="str">
        <f aca="false">'Uso e Consumo'!E2583</f>
        <v>PLUG  3 P+T 32 A</v>
      </c>
      <c r="G2583" s="34" t="str">
        <f aca="false">'Uso e Consumo'!J2583</f>
        <v>UN</v>
      </c>
      <c r="H2583" s="49" t="n">
        <f aca="false">'Uso e Consumo'!F2583</f>
        <v>1</v>
      </c>
      <c r="I2583" s="35" t="n">
        <f aca="false">'Uso e Consumo'!G2583</f>
        <v>18</v>
      </c>
      <c r="J2583" s="34" t="str">
        <f aca="false">'Uso e Consumo'!M2583</f>
        <v>3.8.1.017 - Instalações elétricas/telefônicas/lógica</v>
      </c>
      <c r="K2583" s="32" t="str">
        <f aca="false">INDEX('Curva ABC'!$K$8:$K$2847,MATCH(D2583,'Curva ABC'!$B$8:$B$2847,0))</f>
        <v>C</v>
      </c>
    </row>
    <row r="2584" customFormat="false" ht="15" hidden="false" customHeight="false" outlineLevel="0" collapsed="false">
      <c r="A2584" s="34" t="s">
        <v>5799</v>
      </c>
      <c r="B2584" s="34" t="str">
        <f aca="false">'Uso e Consumo'!A2584</f>
        <v>0335</v>
      </c>
      <c r="C2584" s="34" t="str">
        <f aca="false">'Uso e Consumo'!B2584</f>
        <v>UFV NORONHA VERDE - USO E CONSUMO</v>
      </c>
      <c r="D2584" s="33" t="n">
        <f aca="false">'Uso e Consumo'!C2584</f>
        <v>833722</v>
      </c>
      <c r="E2584" s="34" t="str">
        <f aca="false">'Uso e Consumo'!D2584</f>
        <v>27.01.0393</v>
      </c>
      <c r="F2584" s="34" t="str">
        <f aca="false">'Uso e Consumo'!E2584</f>
        <v>DICLOFENACO (INJETÁVEL)</v>
      </c>
      <c r="G2584" s="34" t="str">
        <f aca="false">'Uso e Consumo'!J2584</f>
        <v>UN</v>
      </c>
      <c r="H2584" s="49" t="n">
        <f aca="false">'Uso e Consumo'!F2584</f>
        <v>3</v>
      </c>
      <c r="I2584" s="35" t="n">
        <f aca="false">'Uso e Consumo'!G2584</f>
        <v>18</v>
      </c>
      <c r="J2584" s="34" t="str">
        <f aca="false">'Uso e Consumo'!M2584</f>
        <v>4.3.4.006 - Medicamentos e primeiro socorros</v>
      </c>
      <c r="K2584" s="32" t="str">
        <f aca="false">INDEX('Curva ABC'!$K$8:$K$2847,MATCH(D2584,'Curva ABC'!$B$8:$B$2847,0))</f>
        <v>C</v>
      </c>
    </row>
    <row r="2585" customFormat="false" ht="15" hidden="false" customHeight="false" outlineLevel="0" collapsed="false">
      <c r="A2585" s="34" t="s">
        <v>5799</v>
      </c>
      <c r="B2585" s="34" t="str">
        <f aca="false">'Uso e Consumo'!A2585</f>
        <v>0335</v>
      </c>
      <c r="C2585" s="34" t="str">
        <f aca="false">'Uso e Consumo'!B2585</f>
        <v>UFV NORONHA VERDE - USO E CONSUMO</v>
      </c>
      <c r="D2585" s="33" t="n">
        <f aca="false">'Uso e Consumo'!C2585</f>
        <v>1077620</v>
      </c>
      <c r="E2585" s="34" t="str">
        <f aca="false">'Uso e Consumo'!D2585</f>
        <v>16.03.0467</v>
      </c>
      <c r="F2585" s="34" t="str">
        <f aca="false">'Uso e Consumo'!E2585</f>
        <v>VERNIZ SPRAY 400 ML</v>
      </c>
      <c r="G2585" s="34" t="str">
        <f aca="false">'Uso e Consumo'!J2585</f>
        <v>UN</v>
      </c>
      <c r="H2585" s="49" t="n">
        <f aca="false">'Uso e Consumo'!F2585</f>
        <v>1</v>
      </c>
      <c r="I2585" s="35" t="n">
        <f aca="false">'Uso e Consumo'!G2585</f>
        <v>18</v>
      </c>
      <c r="J2585" s="34" t="str">
        <f aca="false">'Uso e Consumo'!M2585</f>
        <v>3.8.1.016 - Pinturas</v>
      </c>
      <c r="K2585" s="32" t="str">
        <f aca="false">INDEX('Curva ABC'!$K$8:$K$2847,MATCH(D2585,'Curva ABC'!$B$8:$B$2847,0))</f>
        <v>C</v>
      </c>
    </row>
    <row r="2586" customFormat="false" ht="15" hidden="false" customHeight="false" outlineLevel="0" collapsed="false">
      <c r="A2586" s="34" t="s">
        <v>5799</v>
      </c>
      <c r="B2586" s="34" t="str">
        <f aca="false">'Uso e Consumo'!A2586</f>
        <v>0335</v>
      </c>
      <c r="C2586" s="34" t="str">
        <f aca="false">'Uso e Consumo'!B2586</f>
        <v>UFV NORONHA VERDE - USO E CONSUMO</v>
      </c>
      <c r="D2586" s="33" t="n">
        <f aca="false">'Uso e Consumo'!C2586</f>
        <v>1321360</v>
      </c>
      <c r="E2586" s="34" t="str">
        <f aca="false">'Uso e Consumo'!D2586</f>
        <v>17.16.0657</v>
      </c>
      <c r="F2586" s="34" t="str">
        <f aca="false">'Uso e Consumo'!E2586</f>
        <v>TERMINAL ILHÓS DUPLO PRÉ-ISOLADO 10MM²</v>
      </c>
      <c r="G2586" s="34" t="str">
        <f aca="false">'Uso e Consumo'!J2586</f>
        <v>UN</v>
      </c>
      <c r="H2586" s="49" t="n">
        <f aca="false">'Uso e Consumo'!F2586</f>
        <v>200</v>
      </c>
      <c r="I2586" s="35" t="n">
        <f aca="false">'Uso e Consumo'!G2586</f>
        <v>18</v>
      </c>
      <c r="J2586" s="34" t="str">
        <f aca="false">'Uso e Consumo'!M2586</f>
        <v>3.8.1.017 - Instalações elétricas/telefônicas/lógica</v>
      </c>
      <c r="K2586" s="32" t="str">
        <f aca="false">INDEX('Curva ABC'!$K$8:$K$2847,MATCH(D2586,'Curva ABC'!$B$8:$B$2847,0))</f>
        <v>C</v>
      </c>
    </row>
    <row r="2587" customFormat="false" ht="15" hidden="false" customHeight="false" outlineLevel="0" collapsed="false">
      <c r="A2587" s="34" t="s">
        <v>5799</v>
      </c>
      <c r="B2587" s="34" t="str">
        <f aca="false">'Uso e Consumo'!A2587</f>
        <v>0335</v>
      </c>
      <c r="C2587" s="34" t="str">
        <f aca="false">'Uso e Consumo'!B2587</f>
        <v>UFV NORONHA VERDE - USO E CONSUMO</v>
      </c>
      <c r="D2587" s="33" t="n">
        <f aca="false">'Uso e Consumo'!C2587</f>
        <v>1461938</v>
      </c>
      <c r="E2587" s="34" t="str">
        <f aca="false">'Uso e Consumo'!D2587</f>
        <v>17.12.0507</v>
      </c>
      <c r="F2587" s="34" t="str">
        <f aca="false">'Uso e Consumo'!E2587</f>
        <v>PLUG MACHO RETANGULAR 2P+T 10A/250V</v>
      </c>
      <c r="G2587" s="34" t="str">
        <f aca="false">'Uso e Consumo'!J2587</f>
        <v>UN</v>
      </c>
      <c r="H2587" s="49" t="n">
        <f aca="false">'Uso e Consumo'!F2587</f>
        <v>1</v>
      </c>
      <c r="I2587" s="35" t="n">
        <f aca="false">'Uso e Consumo'!G2587</f>
        <v>18</v>
      </c>
      <c r="J2587" s="34" t="str">
        <f aca="false">'Uso e Consumo'!M2587</f>
        <v>3.8.1.017 - Instalações elétricas/telefônicas/lógica</v>
      </c>
      <c r="K2587" s="32" t="str">
        <f aca="false">INDEX('Curva ABC'!$K$8:$K$2847,MATCH(D2587,'Curva ABC'!$B$8:$B$2847,0))</f>
        <v>C</v>
      </c>
    </row>
    <row r="2588" customFormat="false" ht="15" hidden="false" customHeight="false" outlineLevel="0" collapsed="false">
      <c r="A2588" s="34" t="s">
        <v>5799</v>
      </c>
      <c r="B2588" s="34" t="str">
        <f aca="false">'Uso e Consumo'!A2588</f>
        <v>0335</v>
      </c>
      <c r="C2588" s="34" t="str">
        <f aca="false">'Uso e Consumo'!B2588</f>
        <v>UFV NORONHA VERDE - USO E CONSUMO</v>
      </c>
      <c r="D2588" s="33" t="n">
        <f aca="false">'Uso e Consumo'!C2588</f>
        <v>1461854</v>
      </c>
      <c r="E2588" s="34" t="str">
        <f aca="false">'Uso e Consumo'!D2588</f>
        <v>23.02.0483</v>
      </c>
      <c r="F2588" s="34" t="str">
        <f aca="false">'Uso e Consumo'!E2588</f>
        <v> ABRAÇADEIRA P/ CABO DE AÇO DE 3/8" ZINCADA</v>
      </c>
      <c r="G2588" s="34" t="str">
        <f aca="false">'Uso e Consumo'!J2588</f>
        <v>UN</v>
      </c>
      <c r="H2588" s="49" t="n">
        <f aca="false">'Uso e Consumo'!F2588</f>
        <v>2</v>
      </c>
      <c r="I2588" s="35" t="n">
        <f aca="false">'Uso e Consumo'!G2588</f>
        <v>17.96</v>
      </c>
      <c r="J2588" s="34" t="str">
        <f aca="false">'Uso e Consumo'!M2588</f>
        <v>3.8.1.022 - Elementos de fixação</v>
      </c>
      <c r="K2588" s="32" t="str">
        <f aca="false">INDEX('Curva ABC'!$K$8:$K$2847,MATCH(D2588,'Curva ABC'!$B$8:$B$2847,0))</f>
        <v>C</v>
      </c>
    </row>
    <row r="2589" customFormat="false" ht="15" hidden="false" customHeight="false" outlineLevel="0" collapsed="false">
      <c r="A2589" s="34" t="s">
        <v>5799</v>
      </c>
      <c r="B2589" s="34" t="str">
        <f aca="false">'Uso e Consumo'!A2589</f>
        <v>0335</v>
      </c>
      <c r="C2589" s="34" t="str">
        <f aca="false">'Uso e Consumo'!B2589</f>
        <v>UFV NORONHA VERDE - USO E CONSUMO</v>
      </c>
      <c r="D2589" s="33" t="n">
        <f aca="false">'Uso e Consumo'!C2589</f>
        <v>21297</v>
      </c>
      <c r="E2589" s="34" t="str">
        <f aca="false">'Uso e Consumo'!D2589</f>
        <v>24.28.0001</v>
      </c>
      <c r="F2589" s="34" t="str">
        <f aca="false">'Uso e Consumo'!E2589</f>
        <v>LÁPIS PARA CARPINTEIRO</v>
      </c>
      <c r="G2589" s="34" t="str">
        <f aca="false">'Uso e Consumo'!J2589</f>
        <v>UN</v>
      </c>
      <c r="H2589" s="49" t="n">
        <f aca="false">'Uso e Consumo'!F2589</f>
        <v>3</v>
      </c>
      <c r="I2589" s="35" t="n">
        <f aca="false">'Uso e Consumo'!G2589</f>
        <v>17.94</v>
      </c>
      <c r="J2589" s="34" t="str">
        <f aca="false">'Uso e Consumo'!M2589</f>
        <v>3.8.2.002 - Ferramentas manuais</v>
      </c>
      <c r="K2589" s="32" t="str">
        <f aca="false">INDEX('Curva ABC'!$K$8:$K$2847,MATCH(D2589,'Curva ABC'!$B$8:$B$2847,0))</f>
        <v>C</v>
      </c>
    </row>
    <row r="2590" customFormat="false" ht="15" hidden="false" customHeight="false" outlineLevel="0" collapsed="false">
      <c r="A2590" s="34" t="s">
        <v>5799</v>
      </c>
      <c r="B2590" s="34" t="str">
        <f aca="false">'Uso e Consumo'!A2590</f>
        <v>0335</v>
      </c>
      <c r="C2590" s="34" t="str">
        <f aca="false">'Uso e Consumo'!B2590</f>
        <v>UFV NORONHA VERDE - USO E CONSUMO</v>
      </c>
      <c r="D2590" s="33" t="n">
        <f aca="false">'Uso e Consumo'!C2590</f>
        <v>1660994</v>
      </c>
      <c r="E2590" s="34" t="str">
        <f aca="false">'Uso e Consumo'!D2590</f>
        <v>17.02.0933</v>
      </c>
      <c r="F2590" s="34" t="str">
        <f aca="false">'Uso e Consumo'!E2590</f>
        <v>TAMPA CEGA PARA CONDULETE MULTIPLO 3/4", EM LIGA DE ALUMINIO, COM PINTURA EPOXI E PARAFUSOS DE FIXACAO. REFERENCIA: ELEC</v>
      </c>
      <c r="G2590" s="34" t="str">
        <f aca="false">'Uso e Consumo'!J2590</f>
        <v>UN</v>
      </c>
      <c r="H2590" s="49" t="n">
        <f aca="false">'Uso e Consumo'!F2590</f>
        <v>7</v>
      </c>
      <c r="I2590" s="35" t="n">
        <f aca="false">'Uso e Consumo'!G2590</f>
        <v>17.78</v>
      </c>
      <c r="J2590" s="34" t="str">
        <f aca="false">'Uso e Consumo'!M2590</f>
        <v>3.8.1.017 - Instalações elétricas/telefônicas/lógica</v>
      </c>
      <c r="K2590" s="32" t="str">
        <f aca="false">INDEX('Curva ABC'!$K$8:$K$2847,MATCH(D2590,'Curva ABC'!$B$8:$B$2847,0))</f>
        <v>C</v>
      </c>
    </row>
    <row r="2591" customFormat="false" ht="15" hidden="false" customHeight="false" outlineLevel="0" collapsed="false">
      <c r="A2591" s="34" t="s">
        <v>5799</v>
      </c>
      <c r="B2591" s="34" t="str">
        <f aca="false">'Uso e Consumo'!A2591</f>
        <v>0335</v>
      </c>
      <c r="C2591" s="34" t="str">
        <f aca="false">'Uso e Consumo'!B2591</f>
        <v>UFV NORONHA VERDE - USO E CONSUMO</v>
      </c>
      <c r="D2591" s="33" t="n">
        <f aca="false">'Uso e Consumo'!C2591</f>
        <v>58865</v>
      </c>
      <c r="E2591" s="34" t="str">
        <f aca="false">'Uso e Consumo'!D2591</f>
        <v>25.03.0232</v>
      </c>
      <c r="F2591" s="34" t="str">
        <f aca="false">'Uso e Consumo'!E2591</f>
        <v>JOGO DE BROCA PARA MADEIRA DE 3/16" Á 1"</v>
      </c>
      <c r="G2591" s="34" t="str">
        <f aca="false">'Uso e Consumo'!J2591</f>
        <v>UN</v>
      </c>
      <c r="H2591" s="49" t="n">
        <f aca="false">'Uso e Consumo'!F2591</f>
        <v>1</v>
      </c>
      <c r="I2591" s="35" t="n">
        <f aca="false">'Uso e Consumo'!G2591</f>
        <v>17.57</v>
      </c>
      <c r="J2591" s="34" t="str">
        <f aca="false">'Uso e Consumo'!M2591</f>
        <v>3.8.2.004 - Consumíveis para corte, perfuração e desbaste</v>
      </c>
      <c r="K2591" s="32" t="str">
        <f aca="false">INDEX('Curva ABC'!$K$8:$K$2847,MATCH(D2591,'Curva ABC'!$B$8:$B$2847,0))</f>
        <v>C</v>
      </c>
    </row>
    <row r="2592" customFormat="false" ht="15" hidden="false" customHeight="false" outlineLevel="0" collapsed="false">
      <c r="A2592" s="34" t="s">
        <v>5799</v>
      </c>
      <c r="B2592" s="34" t="str">
        <f aca="false">'Uso e Consumo'!A2592</f>
        <v>0335</v>
      </c>
      <c r="C2592" s="34" t="str">
        <f aca="false">'Uso e Consumo'!B2592</f>
        <v>UFV NORONHA VERDE - USO E CONSUMO</v>
      </c>
      <c r="D2592" s="33" t="n">
        <f aca="false">'Uso e Consumo'!C2592</f>
        <v>875291</v>
      </c>
      <c r="E2592" s="34" t="str">
        <f aca="false">'Uso e Consumo'!D2592</f>
        <v>24.14.0028</v>
      </c>
      <c r="F2592" s="34" t="str">
        <f aca="false">'Uso e Consumo'!E2592</f>
        <v>MARRETA DE BORRACHA 40MM</v>
      </c>
      <c r="G2592" s="34" t="str">
        <f aca="false">'Uso e Consumo'!J2592</f>
        <v>UN</v>
      </c>
      <c r="H2592" s="49" t="n">
        <f aca="false">'Uso e Consumo'!F2592</f>
        <v>1</v>
      </c>
      <c r="I2592" s="35" t="n">
        <f aca="false">'Uso e Consumo'!G2592</f>
        <v>17.48</v>
      </c>
      <c r="J2592" s="34" t="str">
        <f aca="false">'Uso e Consumo'!M2592</f>
        <v>3.8.2.002 - Ferramentas manuais</v>
      </c>
      <c r="K2592" s="32" t="str">
        <f aca="false">INDEX('Curva ABC'!$K$8:$K$2847,MATCH(D2592,'Curva ABC'!$B$8:$B$2847,0))</f>
        <v>C</v>
      </c>
    </row>
    <row r="2593" customFormat="false" ht="15" hidden="false" customHeight="false" outlineLevel="0" collapsed="false">
      <c r="A2593" s="34" t="s">
        <v>5799</v>
      </c>
      <c r="B2593" s="34" t="str">
        <f aca="false">'Uso e Consumo'!A2593</f>
        <v>0335</v>
      </c>
      <c r="C2593" s="34" t="str">
        <f aca="false">'Uso e Consumo'!B2593</f>
        <v>UFV NORONHA VERDE - USO E CONSUMO</v>
      </c>
      <c r="D2593" s="33" t="n">
        <f aca="false">'Uso e Consumo'!C2593</f>
        <v>1614510</v>
      </c>
      <c r="E2593" s="34" t="str">
        <f aca="false">'Uso e Consumo'!D2593</f>
        <v>17.02.0920</v>
      </c>
      <c r="F2593" s="34" t="str">
        <f aca="false">'Uso e Consumo'!E2593</f>
        <v>CURVA 90GR DE PVC RIGIDO COM ROSCA DN 60MM 2" BSP TIPO PESADO COR PRETA NBR 15465</v>
      </c>
      <c r="G2593" s="34" t="str">
        <f aca="false">'Uso e Consumo'!J2593</f>
        <v>UN</v>
      </c>
      <c r="H2593" s="49" t="n">
        <f aca="false">'Uso e Consumo'!F2593</f>
        <v>2</v>
      </c>
      <c r="I2593" s="35" t="n">
        <f aca="false">'Uso e Consumo'!G2593</f>
        <v>17.16</v>
      </c>
      <c r="J2593" s="34" t="str">
        <f aca="false">'Uso e Consumo'!M2593</f>
        <v>3.8.1.017 - Instalações elétricas/telefônicas/lógica</v>
      </c>
      <c r="K2593" s="32" t="str">
        <f aca="false">INDEX('Curva ABC'!$K$8:$K$2847,MATCH(D2593,'Curva ABC'!$B$8:$B$2847,0))</f>
        <v>C</v>
      </c>
    </row>
    <row r="2594" customFormat="false" ht="15" hidden="false" customHeight="false" outlineLevel="0" collapsed="false">
      <c r="A2594" s="34" t="s">
        <v>5799</v>
      </c>
      <c r="B2594" s="34" t="str">
        <f aca="false">'Uso e Consumo'!A2594</f>
        <v>0335</v>
      </c>
      <c r="C2594" s="34" t="str">
        <f aca="false">'Uso e Consumo'!B2594</f>
        <v>UFV NORONHA VERDE - USO E CONSUMO</v>
      </c>
      <c r="D2594" s="33" t="n">
        <f aca="false">'Uso e Consumo'!C2594</f>
        <v>14667</v>
      </c>
      <c r="E2594" s="34" t="str">
        <f aca="false">'Uso e Consumo'!D2594</f>
        <v>18.01.0242</v>
      </c>
      <c r="F2594" s="34" t="str">
        <f aca="false">'Uso e Consumo'!E2594</f>
        <v>CURVA 45GR PVC AZUL SOLDAVEL 50,00MM NBR 14312</v>
      </c>
      <c r="G2594" s="34" t="str">
        <f aca="false">'Uso e Consumo'!J2594</f>
        <v>UN</v>
      </c>
      <c r="H2594" s="49" t="n">
        <f aca="false">'Uso e Consumo'!F2594</f>
        <v>1</v>
      </c>
      <c r="I2594" s="35" t="n">
        <f aca="false">'Uso e Consumo'!G2594</f>
        <v>16.98</v>
      </c>
      <c r="J2594" s="34" t="str">
        <f aca="false">'Uso e Consumo'!M2594</f>
        <v>3.8.1.018 - Instalações hidráulicas/sanitárias/industriais</v>
      </c>
      <c r="K2594" s="32" t="str">
        <f aca="false">INDEX('Curva ABC'!$K$8:$K$2847,MATCH(D2594,'Curva ABC'!$B$8:$B$2847,0))</f>
        <v>C</v>
      </c>
    </row>
    <row r="2595" customFormat="false" ht="15" hidden="false" customHeight="false" outlineLevel="0" collapsed="false">
      <c r="A2595" s="34" t="s">
        <v>5799</v>
      </c>
      <c r="B2595" s="34" t="str">
        <f aca="false">'Uso e Consumo'!A2595</f>
        <v>0335</v>
      </c>
      <c r="C2595" s="34" t="str">
        <f aca="false">'Uso e Consumo'!B2595</f>
        <v>UFV NORONHA VERDE - USO E CONSUMO</v>
      </c>
      <c r="D2595" s="33" t="n">
        <f aca="false">'Uso e Consumo'!C2595</f>
        <v>1011492</v>
      </c>
      <c r="E2595" s="34" t="str">
        <f aca="false">'Uso e Consumo'!D2595</f>
        <v>32.12.0228</v>
      </c>
      <c r="F2595" s="34" t="str">
        <f aca="false">'Uso e Consumo'!E2595</f>
        <v>CHAVE TESTE DIGITAL</v>
      </c>
      <c r="G2595" s="34" t="str">
        <f aca="false">'Uso e Consumo'!J2595</f>
        <v>UN</v>
      </c>
      <c r="H2595" s="49" t="n">
        <f aca="false">'Uso e Consumo'!F2595</f>
        <v>1</v>
      </c>
      <c r="I2595" s="35" t="n">
        <f aca="false">'Uso e Consumo'!G2595</f>
        <v>16.98</v>
      </c>
      <c r="J2595" s="34" t="str">
        <f aca="false">'Uso e Consumo'!M2595</f>
        <v>4.1.1.011 - Instrumentos para medição</v>
      </c>
      <c r="K2595" s="32" t="str">
        <f aca="false">INDEX('Curva ABC'!$K$8:$K$2847,MATCH(D2595,'Curva ABC'!$B$8:$B$2847,0))</f>
        <v>C</v>
      </c>
    </row>
    <row r="2596" customFormat="false" ht="15" hidden="false" customHeight="false" outlineLevel="0" collapsed="false">
      <c r="A2596" s="34" t="s">
        <v>5799</v>
      </c>
      <c r="B2596" s="34" t="str">
        <f aca="false">'Uso e Consumo'!A2596</f>
        <v>0335</v>
      </c>
      <c r="C2596" s="34" t="str">
        <f aca="false">'Uso e Consumo'!B2596</f>
        <v>UFV NORONHA VERDE - USO E CONSUMO</v>
      </c>
      <c r="D2596" s="33" t="n">
        <f aca="false">'Uso e Consumo'!C2596</f>
        <v>835775</v>
      </c>
      <c r="E2596" s="34" t="str">
        <f aca="false">'Uso e Consumo'!D2596</f>
        <v>24.41.0276</v>
      </c>
      <c r="F2596" s="34" t="str">
        <f aca="false">'Uso e Consumo'!E2596</f>
        <v>ADAPTADOR PARA CONDULETE 1''</v>
      </c>
      <c r="G2596" s="34" t="str">
        <f aca="false">'Uso e Consumo'!J2596</f>
        <v>UN</v>
      </c>
      <c r="H2596" s="49" t="n">
        <f aca="false">'Uso e Consumo'!F2596</f>
        <v>24</v>
      </c>
      <c r="I2596" s="35" t="n">
        <f aca="false">'Uso e Consumo'!G2596</f>
        <v>16.8</v>
      </c>
      <c r="J2596" s="34" t="str">
        <f aca="false">'Uso e Consumo'!M2596</f>
        <v>3.8.2.002 - Ferramentas manuais</v>
      </c>
      <c r="K2596" s="32" t="str">
        <f aca="false">INDEX('Curva ABC'!$K$8:$K$2847,MATCH(D2596,'Curva ABC'!$B$8:$B$2847,0))</f>
        <v>C</v>
      </c>
    </row>
    <row r="2597" customFormat="false" ht="15" hidden="false" customHeight="false" outlineLevel="0" collapsed="false">
      <c r="A2597" s="34" t="s">
        <v>5799</v>
      </c>
      <c r="B2597" s="34" t="str">
        <f aca="false">'Uso e Consumo'!A2597</f>
        <v>0335</v>
      </c>
      <c r="C2597" s="34" t="str">
        <f aca="false">'Uso e Consumo'!B2597</f>
        <v>UFV NORONHA VERDE - USO E CONSUMO</v>
      </c>
      <c r="D2597" s="33" t="n">
        <f aca="false">'Uso e Consumo'!C2597</f>
        <v>957093</v>
      </c>
      <c r="E2597" s="34" t="str">
        <f aca="false">'Uso e Consumo'!D2597</f>
        <v>34.02.1248</v>
      </c>
      <c r="F2597" s="34" t="str">
        <f aca="false">'Uso e Consumo'!E2597</f>
        <v>ABRAÇADEIRA (BAP-2 800MM) + 01 PORCA DE TRAÇÃO + 01 PARAFUSO DE TRAÇÃO, GALV. A FOGO PESADO</v>
      </c>
      <c r="G2597" s="34" t="str">
        <f aca="false">'Uso e Consumo'!J2597</f>
        <v>UN</v>
      </c>
      <c r="H2597" s="49" t="n">
        <f aca="false">'Uso e Consumo'!F2597</f>
        <v>60</v>
      </c>
      <c r="I2597" s="35" t="n">
        <f aca="false">'Uso e Consumo'!G2597</f>
        <v>16.8</v>
      </c>
      <c r="J2597" s="34" t="str">
        <f aca="false">'Uso e Consumo'!M2597</f>
        <v>3.8.1.022 - Elementos de fixação</v>
      </c>
      <c r="K2597" s="32" t="str">
        <f aca="false">INDEX('Curva ABC'!$K$8:$K$2847,MATCH(D2597,'Curva ABC'!$B$8:$B$2847,0))</f>
        <v>C</v>
      </c>
    </row>
    <row r="2598" customFormat="false" ht="15" hidden="false" customHeight="false" outlineLevel="0" collapsed="false">
      <c r="A2598" s="34" t="s">
        <v>5799</v>
      </c>
      <c r="B2598" s="34" t="str">
        <f aca="false">'Uso e Consumo'!A2598</f>
        <v>0335</v>
      </c>
      <c r="C2598" s="34" t="str">
        <f aca="false">'Uso e Consumo'!B2598</f>
        <v>UFV NORONHA VERDE - USO E CONSUMO</v>
      </c>
      <c r="D2598" s="33" t="n">
        <f aca="false">'Uso e Consumo'!C2598</f>
        <v>17936</v>
      </c>
      <c r="E2598" s="34" t="str">
        <f aca="false">'Uso e Consumo'!D2598</f>
        <v>24.09.0030</v>
      </c>
      <c r="F2598" s="34" t="str">
        <f aca="false">'Uso e Consumo'!E2598</f>
        <v>CHAVE COMBINADA 1/2" AÇO CARBONO CROMADO</v>
      </c>
      <c r="G2598" s="34" t="str">
        <f aca="false">'Uso e Consumo'!J2598</f>
        <v>UN</v>
      </c>
      <c r="H2598" s="49" t="n">
        <f aca="false">'Uso e Consumo'!F2598</f>
        <v>1</v>
      </c>
      <c r="I2598" s="35" t="n">
        <f aca="false">'Uso e Consumo'!G2598</f>
        <v>16.7</v>
      </c>
      <c r="J2598" s="34" t="str">
        <f aca="false">'Uso e Consumo'!M2598</f>
        <v>3.8.2.002 - Ferramentas manuais</v>
      </c>
      <c r="K2598" s="32" t="str">
        <f aca="false">INDEX('Curva ABC'!$K$8:$K$2847,MATCH(D2598,'Curva ABC'!$B$8:$B$2847,0))</f>
        <v>C</v>
      </c>
    </row>
    <row r="2599" customFormat="false" ht="15" hidden="false" customHeight="false" outlineLevel="0" collapsed="false">
      <c r="A2599" s="34" t="s">
        <v>5799</v>
      </c>
      <c r="B2599" s="34" t="str">
        <f aca="false">'Uso e Consumo'!A2599</f>
        <v>0335</v>
      </c>
      <c r="C2599" s="34" t="str">
        <f aca="false">'Uso e Consumo'!B2599</f>
        <v>UFV NORONHA VERDE - USO E CONSUMO</v>
      </c>
      <c r="D2599" s="33" t="n">
        <f aca="false">'Uso e Consumo'!C2599</f>
        <v>1099818</v>
      </c>
      <c r="E2599" s="34" t="str">
        <f aca="false">'Uso e Consumo'!D2599</f>
        <v>18.01.1390</v>
      </c>
      <c r="F2599" s="34" t="str">
        <f aca="false">'Uso e Consumo'!E2599</f>
        <v>CAP TAMPÃO PVC ESGOTO 100 MM</v>
      </c>
      <c r="G2599" s="34" t="str">
        <f aca="false">'Uso e Consumo'!J2599</f>
        <v>UN</v>
      </c>
      <c r="H2599" s="49" t="n">
        <f aca="false">'Uso e Consumo'!F2599</f>
        <v>2</v>
      </c>
      <c r="I2599" s="35" t="n">
        <f aca="false">'Uso e Consumo'!G2599</f>
        <v>16.48</v>
      </c>
      <c r="J2599" s="34" t="str">
        <f aca="false">'Uso e Consumo'!M2599</f>
        <v>3.8.1.018 - Instalações hidráulicas/sanitárias/industriais</v>
      </c>
      <c r="K2599" s="32" t="str">
        <f aca="false">INDEX('Curva ABC'!$K$8:$K$2847,MATCH(D2599,'Curva ABC'!$B$8:$B$2847,0))</f>
        <v>C</v>
      </c>
    </row>
    <row r="2600" customFormat="false" ht="15" hidden="false" customHeight="false" outlineLevel="0" collapsed="false">
      <c r="A2600" s="34" t="s">
        <v>5799</v>
      </c>
      <c r="B2600" s="34" t="str">
        <f aca="false">'Uso e Consumo'!A2600</f>
        <v>0335</v>
      </c>
      <c r="C2600" s="34" t="str">
        <f aca="false">'Uso e Consumo'!B2600</f>
        <v>UFV NORONHA VERDE - USO E CONSUMO</v>
      </c>
      <c r="D2600" s="33" t="n">
        <f aca="false">'Uso e Consumo'!C2600</f>
        <v>878930</v>
      </c>
      <c r="E2600" s="34" t="str">
        <f aca="false">'Uso e Consumo'!D2600</f>
        <v>27.01.0426</v>
      </c>
      <c r="F2600" s="34" t="str">
        <f aca="false">'Uso e Consumo'!E2600</f>
        <v>FUROSEMIDA INJETAVEL 10MG</v>
      </c>
      <c r="G2600" s="34" t="str">
        <f aca="false">'Uso e Consumo'!J2600</f>
        <v>UN</v>
      </c>
      <c r="H2600" s="49" t="n">
        <f aca="false">'Uso e Consumo'!F2600</f>
        <v>5</v>
      </c>
      <c r="I2600" s="35" t="n">
        <f aca="false">'Uso e Consumo'!G2600</f>
        <v>16.45</v>
      </c>
      <c r="J2600" s="34" t="str">
        <f aca="false">'Uso e Consumo'!M2600</f>
        <v>4.3.4.006 - Medicamentos e primeiro socorros</v>
      </c>
      <c r="K2600" s="32" t="str">
        <f aca="false">INDEX('Curva ABC'!$K$8:$K$2847,MATCH(D2600,'Curva ABC'!$B$8:$B$2847,0))</f>
        <v>C</v>
      </c>
    </row>
    <row r="2601" customFormat="false" ht="15" hidden="false" customHeight="false" outlineLevel="0" collapsed="false">
      <c r="A2601" s="34" t="s">
        <v>5799</v>
      </c>
      <c r="B2601" s="34" t="str">
        <f aca="false">'Uso e Consumo'!A2601</f>
        <v>0335</v>
      </c>
      <c r="C2601" s="34" t="str">
        <f aca="false">'Uso e Consumo'!B2601</f>
        <v>UFV NORONHA VERDE - USO E CONSUMO</v>
      </c>
      <c r="D2601" s="33" t="n">
        <f aca="false">'Uso e Consumo'!C2601</f>
        <v>552789</v>
      </c>
      <c r="E2601" s="34" t="str">
        <f aca="false">'Uso e Consumo'!D2601</f>
        <v>17.17.0074</v>
      </c>
      <c r="F2601" s="34" t="str">
        <f aca="false">'Uso e Consumo'!E2601</f>
        <v>BASE PARA RELÉ DE FOTOCÉLULA</v>
      </c>
      <c r="G2601" s="34" t="str">
        <f aca="false">'Uso e Consumo'!J2601</f>
        <v>UN</v>
      </c>
      <c r="H2601" s="49" t="n">
        <f aca="false">'Uso e Consumo'!F2601</f>
        <v>2</v>
      </c>
      <c r="I2601" s="35" t="n">
        <f aca="false">'Uso e Consumo'!G2601</f>
        <v>16.44</v>
      </c>
      <c r="J2601" s="34" t="str">
        <f aca="false">'Uso e Consumo'!M2601</f>
        <v>3.8.1.017 - Instalações elétricas/telefônicas/lógica</v>
      </c>
      <c r="K2601" s="32" t="str">
        <f aca="false">INDEX('Curva ABC'!$K$8:$K$2847,MATCH(D2601,'Curva ABC'!$B$8:$B$2847,0))</f>
        <v>C</v>
      </c>
    </row>
    <row r="2602" customFormat="false" ht="15" hidden="false" customHeight="false" outlineLevel="0" collapsed="false">
      <c r="A2602" s="34" t="s">
        <v>5799</v>
      </c>
      <c r="B2602" s="34" t="str">
        <f aca="false">'Uso e Consumo'!A2602</f>
        <v>0335</v>
      </c>
      <c r="C2602" s="34" t="str">
        <f aca="false">'Uso e Consumo'!B2602</f>
        <v>UFV NORONHA VERDE - USO E CONSUMO</v>
      </c>
      <c r="D2602" s="33" t="n">
        <f aca="false">'Uso e Consumo'!C2602</f>
        <v>389032</v>
      </c>
      <c r="E2602" s="34" t="str">
        <f aca="false">'Uso e Consumo'!D2602</f>
        <v>33.02.1807</v>
      </c>
      <c r="F2602" s="34" t="str">
        <f aca="false">'Uso e Consumo'!E2602</f>
        <v>PORCA 14H1113</v>
      </c>
      <c r="G2602" s="34" t="str">
        <f aca="false">'Uso e Consumo'!J2602</f>
        <v>UN</v>
      </c>
      <c r="H2602" s="49" t="n">
        <f aca="false">'Uso e Consumo'!F2602</f>
        <v>10</v>
      </c>
      <c r="I2602" s="35" t="n">
        <f aca="false">'Uso e Consumo'!G2602</f>
        <v>16.4</v>
      </c>
      <c r="J2602" s="34" t="str">
        <f aca="false">'Uso e Consumo'!M2602</f>
        <v>3.1.6.002 - Pneus e peças</v>
      </c>
      <c r="K2602" s="32" t="str">
        <f aca="false">INDEX('Curva ABC'!$K$8:$K$2847,MATCH(D2602,'Curva ABC'!$B$8:$B$2847,0))</f>
        <v>C</v>
      </c>
    </row>
    <row r="2603" customFormat="false" ht="15" hidden="false" customHeight="false" outlineLevel="0" collapsed="false">
      <c r="A2603" s="34" t="s">
        <v>5799</v>
      </c>
      <c r="B2603" s="34" t="str">
        <f aca="false">'Uso e Consumo'!A2603</f>
        <v>0335</v>
      </c>
      <c r="C2603" s="34" t="str">
        <f aca="false">'Uso e Consumo'!B2603</f>
        <v>UFV NORONHA VERDE - USO E CONSUMO</v>
      </c>
      <c r="D2603" s="33" t="n">
        <f aca="false">'Uso e Consumo'!C2603</f>
        <v>17961</v>
      </c>
      <c r="E2603" s="34" t="str">
        <f aca="false">'Uso e Consumo'!D2603</f>
        <v>24.09.0055</v>
      </c>
      <c r="F2603" s="34" t="str">
        <f aca="false">'Uso e Consumo'!E2603</f>
        <v>CHAVE COMBINADA 9/16" AÇO CARBONO CROMADO</v>
      </c>
      <c r="G2603" s="34" t="str">
        <f aca="false">'Uso e Consumo'!J2603</f>
        <v>UN</v>
      </c>
      <c r="H2603" s="49" t="n">
        <f aca="false">'Uso e Consumo'!F2603</f>
        <v>1</v>
      </c>
      <c r="I2603" s="35" t="n">
        <f aca="false">'Uso e Consumo'!G2603</f>
        <v>16.2</v>
      </c>
      <c r="J2603" s="34" t="str">
        <f aca="false">'Uso e Consumo'!M2603</f>
        <v>3.8.2.002 - Ferramentas manuais</v>
      </c>
      <c r="K2603" s="32" t="str">
        <f aca="false">INDEX('Curva ABC'!$K$8:$K$2847,MATCH(D2603,'Curva ABC'!$B$8:$B$2847,0))</f>
        <v>C</v>
      </c>
    </row>
    <row r="2604" customFormat="false" ht="15" hidden="false" customHeight="false" outlineLevel="0" collapsed="false">
      <c r="A2604" s="34" t="s">
        <v>5799</v>
      </c>
      <c r="B2604" s="34" t="str">
        <f aca="false">'Uso e Consumo'!A2604</f>
        <v>0335</v>
      </c>
      <c r="C2604" s="34" t="str">
        <f aca="false">'Uso e Consumo'!B2604</f>
        <v>UFV NORONHA VERDE - USO E CONSUMO</v>
      </c>
      <c r="D2604" s="33" t="n">
        <f aca="false">'Uso e Consumo'!C2604</f>
        <v>1479314</v>
      </c>
      <c r="E2604" s="34" t="str">
        <f aca="false">'Uso e Consumo'!D2604</f>
        <v>17.02.0909</v>
      </c>
      <c r="F2604" s="34" t="str">
        <f aca="false">'Uso e Consumo'!E2604</f>
        <v>BUCHA DE ACABAMENTO EM PVC PARA ELETRODUTO DN 1" – ROSCA BSP</v>
      </c>
      <c r="G2604" s="34" t="str">
        <f aca="false">'Uso e Consumo'!J2604</f>
        <v>UN</v>
      </c>
      <c r="H2604" s="49" t="n">
        <f aca="false">'Uso e Consumo'!F2604</f>
        <v>8</v>
      </c>
      <c r="I2604" s="35" t="n">
        <f aca="false">'Uso e Consumo'!G2604</f>
        <v>15.68</v>
      </c>
      <c r="J2604" s="34" t="str">
        <f aca="false">'Uso e Consumo'!M2604</f>
        <v>3.7.1.018 - Serviço de instalações elétricas/telefônica/lógica</v>
      </c>
      <c r="K2604" s="32" t="str">
        <f aca="false">INDEX('Curva ABC'!$K$8:$K$2847,MATCH(D2604,'Curva ABC'!$B$8:$B$2847,0))</f>
        <v>C</v>
      </c>
    </row>
    <row r="2605" customFormat="false" ht="15" hidden="false" customHeight="false" outlineLevel="0" collapsed="false">
      <c r="A2605" s="34" t="s">
        <v>5799</v>
      </c>
      <c r="B2605" s="34" t="str">
        <f aca="false">'Uso e Consumo'!A2605</f>
        <v>0335</v>
      </c>
      <c r="C2605" s="34" t="str">
        <f aca="false">'Uso e Consumo'!B2605</f>
        <v>UFV NORONHA VERDE - USO E CONSUMO</v>
      </c>
      <c r="D2605" s="33" t="n">
        <f aca="false">'Uso e Consumo'!C2605</f>
        <v>651219</v>
      </c>
      <c r="E2605" s="34" t="str">
        <f aca="false">'Uso e Consumo'!D2605</f>
        <v>23.05.0229</v>
      </c>
      <c r="F2605" s="34" t="str">
        <f aca="false">'Uso e Consumo'!E2605</f>
        <v>ARRUELA M8x25 GF</v>
      </c>
      <c r="G2605" s="34" t="str">
        <f aca="false">'Uso e Consumo'!J2605</f>
        <v>UN</v>
      </c>
      <c r="H2605" s="49" t="n">
        <f aca="false">'Uso e Consumo'!F2605</f>
        <v>104</v>
      </c>
      <c r="I2605" s="35" t="n">
        <f aca="false">'Uso e Consumo'!G2605</f>
        <v>15.6</v>
      </c>
      <c r="J2605" s="34" t="str">
        <f aca="false">'Uso e Consumo'!M2605</f>
        <v>3.8.1.022 - Elementos de fixação</v>
      </c>
      <c r="K2605" s="32" t="str">
        <f aca="false">INDEX('Curva ABC'!$K$8:$K$2847,MATCH(D2605,'Curva ABC'!$B$8:$B$2847,0))</f>
        <v>C</v>
      </c>
    </row>
    <row r="2606" customFormat="false" ht="15" hidden="false" customHeight="false" outlineLevel="0" collapsed="false">
      <c r="A2606" s="34" t="s">
        <v>5799</v>
      </c>
      <c r="B2606" s="34" t="str">
        <f aca="false">'Uso e Consumo'!A2606</f>
        <v>0335</v>
      </c>
      <c r="C2606" s="34" t="str">
        <f aca="false">'Uso e Consumo'!B2606</f>
        <v>UFV NORONHA VERDE - USO E CONSUMO</v>
      </c>
      <c r="D2606" s="33" t="n">
        <f aca="false">'Uso e Consumo'!C2606</f>
        <v>1384818</v>
      </c>
      <c r="E2606" s="34" t="str">
        <f aca="false">'Uso e Consumo'!D2606</f>
        <v>17.04.0111</v>
      </c>
      <c r="F2606" s="34" t="str">
        <f aca="false">'Uso e Consumo'!E2606</f>
        <v>SAÍDA LATERAL SIMPLES PARA PERFILADO 38 X 38 Ø 1" GALVANIZADA</v>
      </c>
      <c r="G2606" s="34" t="str">
        <f aca="false">'Uso e Consumo'!J2606</f>
        <v>UN</v>
      </c>
      <c r="H2606" s="49" t="n">
        <f aca="false">'Uso e Consumo'!F2606</f>
        <v>2</v>
      </c>
      <c r="I2606" s="35" t="n">
        <f aca="false">'Uso e Consumo'!G2606</f>
        <v>15.59</v>
      </c>
      <c r="J2606" s="34" t="str">
        <f aca="false">'Uso e Consumo'!M2606</f>
        <v>3.8.1.017 - Instalações elétricas/telefônicas/lógica</v>
      </c>
      <c r="K2606" s="32" t="str">
        <f aca="false">INDEX('Curva ABC'!$K$8:$K$2847,MATCH(D2606,'Curva ABC'!$B$8:$B$2847,0))</f>
        <v>C</v>
      </c>
    </row>
    <row r="2607" customFormat="false" ht="15" hidden="false" customHeight="false" outlineLevel="0" collapsed="false">
      <c r="A2607" s="34" t="s">
        <v>5799</v>
      </c>
      <c r="B2607" s="34" t="str">
        <f aca="false">'Uso e Consumo'!A2607</f>
        <v>0335</v>
      </c>
      <c r="C2607" s="34" t="str">
        <f aca="false">'Uso e Consumo'!B2607</f>
        <v>UFV NORONHA VERDE - USO E CONSUMO</v>
      </c>
      <c r="D2607" s="33" t="n">
        <f aca="false">'Uso e Consumo'!C2607</f>
        <v>225543</v>
      </c>
      <c r="E2607" s="34" t="str">
        <f aca="false">'Uso e Consumo'!D2607</f>
        <v>27.01.0213</v>
      </c>
      <c r="F2607" s="34" t="str">
        <f aca="false">'Uso e Consumo'!E2607</f>
        <v>ISORDIL - 5 MG</v>
      </c>
      <c r="G2607" s="34" t="str">
        <f aca="false">'Uso e Consumo'!J2607</f>
        <v>UN</v>
      </c>
      <c r="H2607" s="49" t="n">
        <f aca="false">'Uso e Consumo'!F2607</f>
        <v>1</v>
      </c>
      <c r="I2607" s="35" t="n">
        <f aca="false">'Uso e Consumo'!G2607</f>
        <v>15.44</v>
      </c>
      <c r="J2607" s="34" t="str">
        <f aca="false">'Uso e Consumo'!M2607</f>
        <v>4.3.4.006 - Medicamentos e primeiro socorros</v>
      </c>
      <c r="K2607" s="32" t="str">
        <f aca="false">INDEX('Curva ABC'!$K$8:$K$2847,MATCH(D2607,'Curva ABC'!$B$8:$B$2847,0))</f>
        <v>C</v>
      </c>
    </row>
    <row r="2608" customFormat="false" ht="15" hidden="false" customHeight="false" outlineLevel="0" collapsed="false">
      <c r="A2608" s="34" t="s">
        <v>5799</v>
      </c>
      <c r="B2608" s="34" t="str">
        <f aca="false">'Uso e Consumo'!A2608</f>
        <v>0335</v>
      </c>
      <c r="C2608" s="34" t="str">
        <f aca="false">'Uso e Consumo'!B2608</f>
        <v>UFV NORONHA VERDE - USO E CONSUMO</v>
      </c>
      <c r="D2608" s="33" t="n">
        <f aca="false">'Uso e Consumo'!C2608</f>
        <v>1662291</v>
      </c>
      <c r="E2608" s="34" t="str">
        <f aca="false">'Uso e Consumo'!D2608</f>
        <v>17.02.0940</v>
      </c>
      <c r="F2608" s="34" t="str">
        <f aca="false">'Uso e Consumo'!E2608</f>
        <v>LUVA DE ACO CARBONO, GALVANIZADO A QUENTE, DIAMETRO NOMINAL 25 MM,COM ROSCA, REFERENCIA DE BITOLA 1 BSP, TIPO PESADO</v>
      </c>
      <c r="G2608" s="34" t="str">
        <f aca="false">'Uso e Consumo'!J2608</f>
        <v>UN</v>
      </c>
      <c r="H2608" s="49" t="n">
        <f aca="false">'Uso e Consumo'!F2608</f>
        <v>2</v>
      </c>
      <c r="I2608" s="35" t="n">
        <f aca="false">'Uso e Consumo'!G2608</f>
        <v>15.36</v>
      </c>
      <c r="J2608" s="34" t="str">
        <f aca="false">'Uso e Consumo'!M2608</f>
        <v>3.8.1.017 - Instalações elétricas/telefônicas/lógica</v>
      </c>
      <c r="K2608" s="32" t="str">
        <f aca="false">INDEX('Curva ABC'!$K$8:$K$2847,MATCH(D2608,'Curva ABC'!$B$8:$B$2847,0))</f>
        <v>C</v>
      </c>
    </row>
    <row r="2609" customFormat="false" ht="15" hidden="false" customHeight="false" outlineLevel="0" collapsed="false">
      <c r="A2609" s="34" t="s">
        <v>5799</v>
      </c>
      <c r="B2609" s="34" t="str">
        <f aca="false">'Uso e Consumo'!A2609</f>
        <v>0335</v>
      </c>
      <c r="C2609" s="34" t="str">
        <f aca="false">'Uso e Consumo'!B2609</f>
        <v>UFV NORONHA VERDE - USO E CONSUMO</v>
      </c>
      <c r="D2609" s="33" t="n">
        <f aca="false">'Uso e Consumo'!C2609</f>
        <v>66011</v>
      </c>
      <c r="E2609" s="34" t="str">
        <f aca="false">'Uso e Consumo'!D2609</f>
        <v>25.14.0051</v>
      </c>
      <c r="F2609" s="34" t="str">
        <f aca="false">'Uso e Consumo'!E2609</f>
        <v>ESPAÇADOR  1,50MM P/ NIVELAMENTO DE PISO C/ 50 UND</v>
      </c>
      <c r="G2609" s="34" t="str">
        <f aca="false">'Uso e Consumo'!J2609</f>
        <v>PCT</v>
      </c>
      <c r="H2609" s="49" t="n">
        <f aca="false">'Uso e Consumo'!F2609</f>
        <v>4</v>
      </c>
      <c r="I2609" s="35" t="n">
        <f aca="false">'Uso e Consumo'!G2609</f>
        <v>15.24</v>
      </c>
      <c r="J2609" s="34" t="str">
        <f aca="false">'Uso e Consumo'!M2609</f>
        <v>3.8.2.006 - Utensílios</v>
      </c>
      <c r="K2609" s="32" t="str">
        <f aca="false">INDEX('Curva ABC'!$K$8:$K$2847,MATCH(D2609,'Curva ABC'!$B$8:$B$2847,0))</f>
        <v>C</v>
      </c>
    </row>
    <row r="2610" customFormat="false" ht="15" hidden="false" customHeight="false" outlineLevel="0" collapsed="false">
      <c r="A2610" s="34" t="s">
        <v>5799</v>
      </c>
      <c r="B2610" s="34" t="str">
        <f aca="false">'Uso e Consumo'!A2610</f>
        <v>0335</v>
      </c>
      <c r="C2610" s="34" t="str">
        <f aca="false">'Uso e Consumo'!B2610</f>
        <v>UFV NORONHA VERDE - USO E CONSUMO</v>
      </c>
      <c r="D2610" s="33" t="n">
        <f aca="false">'Uso e Consumo'!C2610</f>
        <v>1312599</v>
      </c>
      <c r="E2610" s="34" t="str">
        <f aca="false">'Uso e Consumo'!D2610</f>
        <v>33.02.3126</v>
      </c>
      <c r="F2610" s="34" t="str">
        <f aca="false">'Uso e Consumo'!E2610</f>
        <v>PARAFUSO IS P6X21,5  MOTOSSERRA </v>
      </c>
      <c r="G2610" s="34" t="str">
        <f aca="false">'Uso e Consumo'!J2610</f>
        <v>UN</v>
      </c>
      <c r="H2610" s="49" t="n">
        <f aca="false">'Uso e Consumo'!F2610</f>
        <v>1</v>
      </c>
      <c r="I2610" s="35" t="n">
        <f aca="false">'Uso e Consumo'!G2610</f>
        <v>15.24</v>
      </c>
      <c r="J2610" s="34" t="str">
        <f aca="false">'Uso e Consumo'!M2610</f>
        <v>3.1.6.002 - Pneus e peças</v>
      </c>
      <c r="K2610" s="32" t="str">
        <f aca="false">INDEX('Curva ABC'!$K$8:$K$2847,MATCH(D2610,'Curva ABC'!$B$8:$B$2847,0))</f>
        <v>C</v>
      </c>
    </row>
    <row r="2611" customFormat="false" ht="15" hidden="false" customHeight="false" outlineLevel="0" collapsed="false">
      <c r="A2611" s="34" t="s">
        <v>5799</v>
      </c>
      <c r="B2611" s="34" t="str">
        <f aca="false">'Uso e Consumo'!A2611</f>
        <v>0335</v>
      </c>
      <c r="C2611" s="34" t="str">
        <f aca="false">'Uso e Consumo'!B2611</f>
        <v>UFV NORONHA VERDE - USO E CONSUMO</v>
      </c>
      <c r="D2611" s="33" t="n">
        <f aca="false">'Uso e Consumo'!C2611</f>
        <v>1467805</v>
      </c>
      <c r="E2611" s="34" t="str">
        <f aca="false">'Uso e Consumo'!D2611</f>
        <v>27.01.0532</v>
      </c>
      <c r="F2611" s="34" t="str">
        <f aca="false">'Uso e Consumo'!E2611</f>
        <v>LUVA CIRÚRGICA ESTÉRIL N°6.0</v>
      </c>
      <c r="G2611" s="34" t="str">
        <f aca="false">'Uso e Consumo'!J2611</f>
        <v>CX</v>
      </c>
      <c r="H2611" s="49" t="n">
        <f aca="false">'Uso e Consumo'!F2611</f>
        <v>3</v>
      </c>
      <c r="I2611" s="35" t="n">
        <f aca="false">'Uso e Consumo'!G2611</f>
        <v>15</v>
      </c>
      <c r="J2611" s="34" t="str">
        <f aca="false">'Uso e Consumo'!M2611</f>
        <v>4.3.4.006 - Medicamentos e primeiro socorros</v>
      </c>
      <c r="K2611" s="32" t="str">
        <f aca="false">INDEX('Curva ABC'!$K$8:$K$2847,MATCH(D2611,'Curva ABC'!$B$8:$B$2847,0))</f>
        <v>C</v>
      </c>
    </row>
    <row r="2612" customFormat="false" ht="15" hidden="false" customHeight="false" outlineLevel="0" collapsed="false">
      <c r="A2612" s="34" t="s">
        <v>5799</v>
      </c>
      <c r="B2612" s="34" t="str">
        <f aca="false">'Uso e Consumo'!A2612</f>
        <v>0335</v>
      </c>
      <c r="C2612" s="34" t="str">
        <f aca="false">'Uso e Consumo'!B2612</f>
        <v>UFV NORONHA VERDE - USO E CONSUMO</v>
      </c>
      <c r="D2612" s="33" t="n">
        <f aca="false">'Uso e Consumo'!C2612</f>
        <v>22823</v>
      </c>
      <c r="E2612" s="34" t="str">
        <f aca="false">'Uso e Consumo'!D2612</f>
        <v>30.03.0134</v>
      </c>
      <c r="F2612" s="34" t="str">
        <f aca="false">'Uso e Consumo'!E2612</f>
        <v>AROMATIZANTE AUTOMOTIVO EM GEL 55G</v>
      </c>
      <c r="G2612" s="34" t="str">
        <f aca="false">'Uso e Consumo'!J2612</f>
        <v>UN</v>
      </c>
      <c r="H2612" s="49" t="n">
        <f aca="false">'Uso e Consumo'!F2612</f>
        <v>1</v>
      </c>
      <c r="I2612" s="35" t="n">
        <f aca="false">'Uso e Consumo'!G2612</f>
        <v>14.98</v>
      </c>
      <c r="J2612" s="34" t="str">
        <f aca="false">'Uso e Consumo'!M2612</f>
        <v>4.1.1.001 - Material de uso e consumo</v>
      </c>
      <c r="K2612" s="32" t="str">
        <f aca="false">INDEX('Curva ABC'!$K$8:$K$2847,MATCH(D2612,'Curva ABC'!$B$8:$B$2847,0))</f>
        <v>C</v>
      </c>
    </row>
    <row r="2613" customFormat="false" ht="15" hidden="false" customHeight="false" outlineLevel="0" collapsed="false">
      <c r="A2613" s="34" t="s">
        <v>5799</v>
      </c>
      <c r="B2613" s="34" t="str">
        <f aca="false">'Uso e Consumo'!A2613</f>
        <v>0335</v>
      </c>
      <c r="C2613" s="34" t="str">
        <f aca="false">'Uso e Consumo'!B2613</f>
        <v>UFV NORONHA VERDE - USO E CONSUMO</v>
      </c>
      <c r="D2613" s="33" t="n">
        <f aca="false">'Uso e Consumo'!C2613</f>
        <v>1461940</v>
      </c>
      <c r="E2613" s="34" t="str">
        <f aca="false">'Uso e Consumo'!D2613</f>
        <v>17.07.0105</v>
      </c>
      <c r="F2613" s="34" t="str">
        <f aca="false">'Uso e Consumo'!E2613</f>
        <v>CURVA DE ELETRODUTO DE 90° DE 11/4" COM ROSCA</v>
      </c>
      <c r="G2613" s="34" t="str">
        <f aca="false">'Uso e Consumo'!J2613</f>
        <v>UN</v>
      </c>
      <c r="H2613" s="49" t="n">
        <f aca="false">'Uso e Consumo'!F2613</f>
        <v>1</v>
      </c>
      <c r="I2613" s="35" t="n">
        <f aca="false">'Uso e Consumo'!G2613</f>
        <v>14.98</v>
      </c>
      <c r="J2613" s="34" t="str">
        <f aca="false">'Uso e Consumo'!M2613</f>
        <v>3.8.1.017 - Instalações elétricas/telefônicas/lógica</v>
      </c>
      <c r="K2613" s="32" t="str">
        <f aca="false">INDEX('Curva ABC'!$K$8:$K$2847,MATCH(D2613,'Curva ABC'!$B$8:$B$2847,0))</f>
        <v>C</v>
      </c>
    </row>
    <row r="2614" customFormat="false" ht="15" hidden="false" customHeight="false" outlineLevel="0" collapsed="false">
      <c r="A2614" s="34" t="s">
        <v>5799</v>
      </c>
      <c r="B2614" s="34" t="str">
        <f aca="false">'Uso e Consumo'!A2614</f>
        <v>0335</v>
      </c>
      <c r="C2614" s="34" t="str">
        <f aca="false">'Uso e Consumo'!B2614</f>
        <v>UFV NORONHA VERDE - USO E CONSUMO</v>
      </c>
      <c r="D2614" s="33" t="n">
        <f aca="false">'Uso e Consumo'!C2614</f>
        <v>1389578</v>
      </c>
      <c r="E2614" s="34" t="str">
        <f aca="false">'Uso e Consumo'!D2614</f>
        <v>18.01.1638</v>
      </c>
      <c r="F2614" s="34" t="str">
        <f aca="false">'Uso e Consumo'!E2614</f>
        <v> ADAPTADOR MACHO 63 x 2</v>
      </c>
      <c r="G2614" s="34" t="str">
        <f aca="false">'Uso e Consumo'!J2614</f>
        <v>UN</v>
      </c>
      <c r="H2614" s="49" t="n">
        <f aca="false">'Uso e Consumo'!F2614</f>
        <v>2</v>
      </c>
      <c r="I2614" s="35" t="n">
        <f aca="false">'Uso e Consumo'!G2614</f>
        <v>14.96</v>
      </c>
      <c r="J2614" s="34" t="str">
        <f aca="false">'Uso e Consumo'!M2614</f>
        <v>3.8.1.018 - Instalações hidráulicas/sanitárias/industriais</v>
      </c>
      <c r="K2614" s="32" t="str">
        <f aca="false">INDEX('Curva ABC'!$K$8:$K$2847,MATCH(D2614,'Curva ABC'!$B$8:$B$2847,0))</f>
        <v>C</v>
      </c>
    </row>
    <row r="2615" customFormat="false" ht="15" hidden="false" customHeight="false" outlineLevel="0" collapsed="false">
      <c r="A2615" s="34" t="s">
        <v>5799</v>
      </c>
      <c r="B2615" s="34" t="str">
        <f aca="false">'Uso e Consumo'!A2615</f>
        <v>0335</v>
      </c>
      <c r="C2615" s="34" t="str">
        <f aca="false">'Uso e Consumo'!B2615</f>
        <v>UFV NORONHA VERDE - USO E CONSUMO</v>
      </c>
      <c r="D2615" s="33" t="n">
        <f aca="false">'Uso e Consumo'!C2615</f>
        <v>1461934</v>
      </c>
      <c r="E2615" s="34" t="str">
        <f aca="false">'Uso e Consumo'!D2615</f>
        <v>23.06.0315</v>
      </c>
      <c r="F2615" s="34" t="str">
        <f aca="false">'Uso e Consumo'!E2615</f>
        <v>PORCA SEXTAVADA AUTOTRAVANTE (PARLOCK) INOX 1/2" UNC</v>
      </c>
      <c r="G2615" s="34" t="str">
        <f aca="false">'Uso e Consumo'!J2615</f>
        <v>UN</v>
      </c>
      <c r="H2615" s="49" t="n">
        <f aca="false">'Uso e Consumo'!F2615</f>
        <v>2</v>
      </c>
      <c r="I2615" s="35" t="n">
        <f aca="false">'Uso e Consumo'!G2615</f>
        <v>14.96</v>
      </c>
      <c r="J2615" s="34" t="str">
        <f aca="false">'Uso e Consumo'!M2615</f>
        <v>3.8.1.022 - Elementos de fixação</v>
      </c>
      <c r="K2615" s="32" t="str">
        <f aca="false">INDEX('Curva ABC'!$K$8:$K$2847,MATCH(D2615,'Curva ABC'!$B$8:$B$2847,0))</f>
        <v>C</v>
      </c>
    </row>
    <row r="2616" customFormat="false" ht="15" hidden="false" customHeight="false" outlineLevel="0" collapsed="false">
      <c r="A2616" s="34" t="s">
        <v>5799</v>
      </c>
      <c r="B2616" s="34" t="str">
        <f aca="false">'Uso e Consumo'!A2616</f>
        <v>0335</v>
      </c>
      <c r="C2616" s="34" t="str">
        <f aca="false">'Uso e Consumo'!B2616</f>
        <v>UFV NORONHA VERDE - USO E CONSUMO</v>
      </c>
      <c r="D2616" s="33" t="n">
        <f aca="false">'Uso e Consumo'!C2616</f>
        <v>931415</v>
      </c>
      <c r="E2616" s="34" t="str">
        <f aca="false">'Uso e Consumo'!D2616</f>
        <v>17.02.0736</v>
      </c>
      <c r="F2616" s="34" t="str">
        <f aca="false">'Uso e Consumo'!E2616</f>
        <v>ELETRODUTO RIGIDO PVC SOLDÁVEL 25MM C/3M</v>
      </c>
      <c r="G2616" s="34" t="str">
        <f aca="false">'Uso e Consumo'!J2616</f>
        <v>UND</v>
      </c>
      <c r="H2616" s="49" t="n">
        <f aca="false">'Uso e Consumo'!F2616</f>
        <v>1</v>
      </c>
      <c r="I2616" s="35" t="n">
        <f aca="false">'Uso e Consumo'!G2616</f>
        <v>14.9</v>
      </c>
      <c r="J2616" s="34" t="str">
        <f aca="false">'Uso e Consumo'!M2616</f>
        <v>3.8.1.017 - Instalações elétricas/telefônicas/lógica</v>
      </c>
      <c r="K2616" s="32" t="str">
        <f aca="false">INDEX('Curva ABC'!$K$8:$K$2847,MATCH(D2616,'Curva ABC'!$B$8:$B$2847,0))</f>
        <v>C</v>
      </c>
    </row>
    <row r="2617" customFormat="false" ht="15" hidden="false" customHeight="false" outlineLevel="0" collapsed="false">
      <c r="A2617" s="34" t="s">
        <v>5799</v>
      </c>
      <c r="B2617" s="34" t="str">
        <f aca="false">'Uso e Consumo'!A2617</f>
        <v>0335</v>
      </c>
      <c r="C2617" s="34" t="str">
        <f aca="false">'Uso e Consumo'!B2617</f>
        <v>UFV NORONHA VERDE - USO E CONSUMO</v>
      </c>
      <c r="D2617" s="33" t="n">
        <f aca="false">'Uso e Consumo'!C2617</f>
        <v>946240</v>
      </c>
      <c r="E2617" s="34" t="str">
        <f aca="false">'Uso e Consumo'!D2617</f>
        <v>24.11.0026</v>
      </c>
      <c r="F2617" s="34" t="str">
        <f aca="false">'Uso e Consumo'!E2617</f>
        <v>DESEMPENADEIRA EM PVC 28X16CM P/ TEXTURATO</v>
      </c>
      <c r="G2617" s="34" t="str">
        <f aca="false">'Uso e Consumo'!J2617</f>
        <v>UN</v>
      </c>
      <c r="H2617" s="49" t="n">
        <f aca="false">'Uso e Consumo'!F2617</f>
        <v>1</v>
      </c>
      <c r="I2617" s="35" t="n">
        <f aca="false">'Uso e Consumo'!G2617</f>
        <v>14.9</v>
      </c>
      <c r="J2617" s="34" t="str">
        <f aca="false">'Uso e Consumo'!M2617</f>
        <v>3.8.2.002 - Ferramentas manuais</v>
      </c>
      <c r="K2617" s="32" t="str">
        <f aca="false">INDEX('Curva ABC'!$K$8:$K$2847,MATCH(D2617,'Curva ABC'!$B$8:$B$2847,0))</f>
        <v>C</v>
      </c>
    </row>
    <row r="2618" customFormat="false" ht="15" hidden="false" customHeight="false" outlineLevel="0" collapsed="false">
      <c r="A2618" s="34" t="s">
        <v>5799</v>
      </c>
      <c r="B2618" s="34" t="str">
        <f aca="false">'Uso e Consumo'!A2618</f>
        <v>0335</v>
      </c>
      <c r="C2618" s="34" t="str">
        <f aca="false">'Uso e Consumo'!B2618</f>
        <v>UFV NORONHA VERDE - USO E CONSUMO</v>
      </c>
      <c r="D2618" s="33" t="n">
        <f aca="false">'Uso e Consumo'!C2618</f>
        <v>27944</v>
      </c>
      <c r="E2618" s="34" t="str">
        <f aca="false">'Uso e Consumo'!D2618</f>
        <v>30.03.0153</v>
      </c>
      <c r="F2618" s="34" t="str">
        <f aca="false">'Uso e Consumo'!E2618</f>
        <v>ESPONJA DUPLA FACE</v>
      </c>
      <c r="G2618" s="34" t="str">
        <f aca="false">'Uso e Consumo'!J2618</f>
        <v>UN</v>
      </c>
      <c r="H2618" s="49" t="n">
        <f aca="false">'Uso e Consumo'!F2618</f>
        <v>20</v>
      </c>
      <c r="I2618" s="35" t="n">
        <f aca="false">'Uso e Consumo'!G2618</f>
        <v>14</v>
      </c>
      <c r="J2618" s="34" t="str">
        <f aca="false">'Uso e Consumo'!M2618</f>
        <v>4.1.1.001 - Material de uso e consumo</v>
      </c>
      <c r="K2618" s="32" t="str">
        <f aca="false">INDEX('Curva ABC'!$K$8:$K$2847,MATCH(D2618,'Curva ABC'!$B$8:$B$2847,0))</f>
        <v>C</v>
      </c>
    </row>
    <row r="2619" customFormat="false" ht="15" hidden="false" customHeight="false" outlineLevel="0" collapsed="false">
      <c r="A2619" s="34" t="s">
        <v>5799</v>
      </c>
      <c r="B2619" s="34" t="str">
        <f aca="false">'Uso e Consumo'!A2619</f>
        <v>0335</v>
      </c>
      <c r="C2619" s="34" t="str">
        <f aca="false">'Uso e Consumo'!B2619</f>
        <v>UFV NORONHA VERDE - USO E CONSUMO</v>
      </c>
      <c r="D2619" s="33" t="n">
        <f aca="false">'Uso e Consumo'!C2619</f>
        <v>734056</v>
      </c>
      <c r="E2619" s="34" t="str">
        <f aca="false">'Uso e Consumo'!D2619</f>
        <v>12.05.0067</v>
      </c>
      <c r="F2619" s="34" t="str">
        <f aca="false">'Uso e Consumo'!E2619</f>
        <v>BUCHA DE ESPUMA</v>
      </c>
      <c r="G2619" s="34" t="str">
        <f aca="false">'Uso e Consumo'!J2619</f>
        <v>UN</v>
      </c>
      <c r="H2619" s="49" t="n">
        <f aca="false">'Uso e Consumo'!F2619</f>
        <v>20</v>
      </c>
      <c r="I2619" s="35" t="n">
        <f aca="false">'Uso e Consumo'!G2619</f>
        <v>14</v>
      </c>
      <c r="J2619" s="34" t="str">
        <f aca="false">'Uso e Consumo'!M2619</f>
        <v>4.1.1.001 - Material de uso e consumo</v>
      </c>
      <c r="K2619" s="32" t="str">
        <f aca="false">INDEX('Curva ABC'!$K$8:$K$2847,MATCH(D2619,'Curva ABC'!$B$8:$B$2847,0))</f>
        <v>C</v>
      </c>
    </row>
    <row r="2620" customFormat="false" ht="15" hidden="false" customHeight="false" outlineLevel="0" collapsed="false">
      <c r="A2620" s="34" t="s">
        <v>5799</v>
      </c>
      <c r="B2620" s="34" t="str">
        <f aca="false">'Uso e Consumo'!A2620</f>
        <v>0335</v>
      </c>
      <c r="C2620" s="34" t="str">
        <f aca="false">'Uso e Consumo'!B2620</f>
        <v>UFV NORONHA VERDE - USO E CONSUMO</v>
      </c>
      <c r="D2620" s="33" t="n">
        <f aca="false">'Uso e Consumo'!C2620</f>
        <v>840007</v>
      </c>
      <c r="E2620" s="34" t="str">
        <f aca="false">'Uso e Consumo'!D2620</f>
        <v>18.01.1259</v>
      </c>
      <c r="F2620" s="34" t="str">
        <f aca="false">'Uso e Consumo'!E2620</f>
        <v>LUVA SOLDÁVEL E COM BUCHA DE LATÃO 25 X 3/4", PVC MARROM, ÁGUA FRIA - TIGRE</v>
      </c>
      <c r="G2620" s="34" t="str">
        <f aca="false">'Uso e Consumo'!J2620</f>
        <v>UN</v>
      </c>
      <c r="H2620" s="49" t="n">
        <f aca="false">'Uso e Consumo'!F2620</f>
        <v>2</v>
      </c>
      <c r="I2620" s="35" t="n">
        <f aca="false">'Uso e Consumo'!G2620</f>
        <v>13.96</v>
      </c>
      <c r="J2620" s="34" t="str">
        <f aca="false">'Uso e Consumo'!M2620</f>
        <v>3.8.1.018 - Instalações hidráulicas/sanitárias/industriais</v>
      </c>
      <c r="K2620" s="32" t="str">
        <f aca="false">INDEX('Curva ABC'!$K$8:$K$2847,MATCH(D2620,'Curva ABC'!$B$8:$B$2847,0))</f>
        <v>C</v>
      </c>
    </row>
    <row r="2621" customFormat="false" ht="15" hidden="false" customHeight="false" outlineLevel="0" collapsed="false">
      <c r="A2621" s="34" t="s">
        <v>5799</v>
      </c>
      <c r="B2621" s="34" t="str">
        <f aca="false">'Uso e Consumo'!A2621</f>
        <v>0335</v>
      </c>
      <c r="C2621" s="34" t="str">
        <f aca="false">'Uso e Consumo'!B2621</f>
        <v>UFV NORONHA VERDE - USO E CONSUMO</v>
      </c>
      <c r="D2621" s="33" t="n">
        <f aca="false">'Uso e Consumo'!C2621</f>
        <v>231037</v>
      </c>
      <c r="E2621" s="34" t="str">
        <f aca="false">'Uso e Consumo'!D2621</f>
        <v>18.01.1043</v>
      </c>
      <c r="F2621" s="34" t="str">
        <f aca="false">'Uso e Consumo'!E2621</f>
        <v>JOELHO 90 PPR DN 25MM</v>
      </c>
      <c r="G2621" s="34" t="str">
        <f aca="false">'Uso e Consumo'!J2621</f>
        <v>UN</v>
      </c>
      <c r="H2621" s="49" t="n">
        <f aca="false">'Uso e Consumo'!F2621</f>
        <v>4</v>
      </c>
      <c r="I2621" s="35" t="n">
        <f aca="false">'Uso e Consumo'!G2621</f>
        <v>13.92</v>
      </c>
      <c r="J2621" s="34" t="str">
        <f aca="false">'Uso e Consumo'!M2621</f>
        <v>3.8.1.018 - Instalações hidráulicas/sanitárias/industriais</v>
      </c>
      <c r="K2621" s="32" t="str">
        <f aca="false">INDEX('Curva ABC'!$K$8:$K$2847,MATCH(D2621,'Curva ABC'!$B$8:$B$2847,0))</f>
        <v>C</v>
      </c>
    </row>
    <row r="2622" customFormat="false" ht="15" hidden="false" customHeight="false" outlineLevel="0" collapsed="false">
      <c r="A2622" s="34" t="s">
        <v>5799</v>
      </c>
      <c r="B2622" s="34" t="str">
        <f aca="false">'Uso e Consumo'!A2622</f>
        <v>0335</v>
      </c>
      <c r="C2622" s="34" t="str">
        <f aca="false">'Uso e Consumo'!B2622</f>
        <v>UFV NORONHA VERDE - USO E CONSUMO</v>
      </c>
      <c r="D2622" s="33" t="n">
        <f aca="false">'Uso e Consumo'!C2622</f>
        <v>17957</v>
      </c>
      <c r="E2622" s="34" t="str">
        <f aca="false">'Uso e Consumo'!D2622</f>
        <v>24.09.0051</v>
      </c>
      <c r="F2622" s="34" t="str">
        <f aca="false">'Uso e Consumo'!E2622</f>
        <v>CHAVE COMBINADA 5/8" AÇO CARBONO CROMADO</v>
      </c>
      <c r="G2622" s="34" t="str">
        <f aca="false">'Uso e Consumo'!J2622</f>
        <v>UN</v>
      </c>
      <c r="H2622" s="49" t="n">
        <f aca="false">'Uso e Consumo'!F2622</f>
        <v>1</v>
      </c>
      <c r="I2622" s="35" t="n">
        <f aca="false">'Uso e Consumo'!G2622</f>
        <v>13.7</v>
      </c>
      <c r="J2622" s="34" t="str">
        <f aca="false">'Uso e Consumo'!M2622</f>
        <v>3.8.2.002 - Ferramentas manuais</v>
      </c>
      <c r="K2622" s="32" t="str">
        <f aca="false">INDEX('Curva ABC'!$K$8:$K$2847,MATCH(D2622,'Curva ABC'!$B$8:$B$2847,0))</f>
        <v>C</v>
      </c>
    </row>
    <row r="2623" customFormat="false" ht="15" hidden="false" customHeight="false" outlineLevel="0" collapsed="false">
      <c r="A2623" s="34" t="s">
        <v>5799</v>
      </c>
      <c r="B2623" s="34" t="str">
        <f aca="false">'Uso e Consumo'!A2623</f>
        <v>0335</v>
      </c>
      <c r="C2623" s="34" t="str">
        <f aca="false">'Uso e Consumo'!B2623</f>
        <v>UFV NORONHA VERDE - USO E CONSUMO</v>
      </c>
      <c r="D2623" s="33" t="n">
        <f aca="false">'Uso e Consumo'!C2623</f>
        <v>54863</v>
      </c>
      <c r="E2623" s="34" t="str">
        <f aca="false">'Uso e Consumo'!D2623</f>
        <v>23.05.0133</v>
      </c>
      <c r="F2623" s="34" t="str">
        <f aca="false">'Uso e Consumo'!E2623</f>
        <v>ARRUELA PRESSÃO 8MM ZB</v>
      </c>
      <c r="G2623" s="34" t="str">
        <f aca="false">'Uso e Consumo'!J2623</f>
        <v>UN</v>
      </c>
      <c r="H2623" s="49" t="n">
        <f aca="false">'Uso e Consumo'!F2623</f>
        <v>15</v>
      </c>
      <c r="I2623" s="35" t="n">
        <f aca="false">'Uso e Consumo'!G2623</f>
        <v>13.2</v>
      </c>
      <c r="J2623" s="34" t="str">
        <f aca="false">'Uso e Consumo'!M2623</f>
        <v>3.8.1.022 - Elementos de fixação</v>
      </c>
      <c r="K2623" s="32" t="str">
        <f aca="false">INDEX('Curva ABC'!$K$8:$K$2847,MATCH(D2623,'Curva ABC'!$B$8:$B$2847,0))</f>
        <v>C</v>
      </c>
    </row>
    <row r="2624" customFormat="false" ht="15" hidden="false" customHeight="false" outlineLevel="0" collapsed="false">
      <c r="A2624" s="34" t="s">
        <v>5799</v>
      </c>
      <c r="B2624" s="34" t="str">
        <f aca="false">'Uso e Consumo'!A2624</f>
        <v>0335</v>
      </c>
      <c r="C2624" s="34" t="str">
        <f aca="false">'Uso e Consumo'!B2624</f>
        <v>UFV NORONHA VERDE - USO E CONSUMO</v>
      </c>
      <c r="D2624" s="33" t="n">
        <f aca="false">'Uso e Consumo'!C2624</f>
        <v>139722</v>
      </c>
      <c r="E2624" s="34" t="str">
        <f aca="false">'Uso e Consumo'!D2624</f>
        <v>25.10.0037</v>
      </c>
      <c r="F2624" s="34" t="str">
        <f aca="false">'Uso e Consumo'!E2624</f>
        <v>CORDA TRANÇADA POLIPRO, BRAN 14 MM OU 9/16”</v>
      </c>
      <c r="G2624" s="34" t="str">
        <f aca="false">'Uso e Consumo'!J2624</f>
        <v>KG</v>
      </c>
      <c r="H2624" s="49" t="n">
        <f aca="false">'Uso e Consumo'!F2624</f>
        <v>4</v>
      </c>
      <c r="I2624" s="35" t="n">
        <f aca="false">'Uso e Consumo'!G2624</f>
        <v>13.12</v>
      </c>
      <c r="J2624" s="34" t="str">
        <f aca="false">'Uso e Consumo'!M2624</f>
        <v>3.8.2.006 - Utensílios</v>
      </c>
      <c r="K2624" s="32" t="str">
        <f aca="false">INDEX('Curva ABC'!$K$8:$K$2847,MATCH(D2624,'Curva ABC'!$B$8:$B$2847,0))</f>
        <v>C</v>
      </c>
    </row>
    <row r="2625" customFormat="false" ht="15" hidden="false" customHeight="false" outlineLevel="0" collapsed="false">
      <c r="A2625" s="34" t="s">
        <v>5799</v>
      </c>
      <c r="B2625" s="34" t="str">
        <f aca="false">'Uso e Consumo'!A2625</f>
        <v>0335</v>
      </c>
      <c r="C2625" s="34" t="str">
        <f aca="false">'Uso e Consumo'!B2625</f>
        <v>UFV NORONHA VERDE - USO E CONSUMO</v>
      </c>
      <c r="D2625" s="33" t="n">
        <f aca="false">'Uso e Consumo'!C2625</f>
        <v>315613</v>
      </c>
      <c r="E2625" s="34" t="str">
        <f aca="false">'Uso e Consumo'!D2625</f>
        <v>27.01.0335</v>
      </c>
      <c r="F2625" s="34" t="str">
        <f aca="false">'Uso e Consumo'!E2625</f>
        <v>DEXAMETASONA (POMADA)</v>
      </c>
      <c r="G2625" s="34" t="str">
        <f aca="false">'Uso e Consumo'!J2625</f>
        <v>UN</v>
      </c>
      <c r="H2625" s="49" t="n">
        <f aca="false">'Uso e Consumo'!F2625</f>
        <v>1</v>
      </c>
      <c r="I2625" s="35" t="n">
        <f aca="false">'Uso e Consumo'!G2625</f>
        <v>13</v>
      </c>
      <c r="J2625" s="34" t="str">
        <f aca="false">'Uso e Consumo'!M2625</f>
        <v>4.3.4.006 - Medicamentos e primeiro socorros</v>
      </c>
      <c r="K2625" s="32" t="str">
        <f aca="false">INDEX('Curva ABC'!$K$8:$K$2847,MATCH(D2625,'Curva ABC'!$B$8:$B$2847,0))</f>
        <v>C</v>
      </c>
    </row>
    <row r="2626" customFormat="false" ht="15" hidden="false" customHeight="false" outlineLevel="0" collapsed="false">
      <c r="A2626" s="34" t="s">
        <v>5799</v>
      </c>
      <c r="B2626" s="34" t="str">
        <f aca="false">'Uso e Consumo'!A2626</f>
        <v>0335</v>
      </c>
      <c r="C2626" s="34" t="str">
        <f aca="false">'Uso e Consumo'!B2626</f>
        <v>UFV NORONHA VERDE - USO E CONSUMO</v>
      </c>
      <c r="D2626" s="33" t="n">
        <f aca="false">'Uso e Consumo'!C2626</f>
        <v>887574</v>
      </c>
      <c r="E2626" s="34" t="str">
        <f aca="false">'Uso e Consumo'!D2626</f>
        <v>23.07.1412</v>
      </c>
      <c r="F2626" s="34" t="str">
        <f aca="false">'Uso e Consumo'!E2626</f>
        <v>NIPEL GALVANIZADO 1"</v>
      </c>
      <c r="G2626" s="34" t="str">
        <f aca="false">'Uso e Consumo'!J2626</f>
        <v>UN</v>
      </c>
      <c r="H2626" s="49" t="n">
        <f aca="false">'Uso e Consumo'!F2626</f>
        <v>1</v>
      </c>
      <c r="I2626" s="35" t="n">
        <f aca="false">'Uso e Consumo'!G2626</f>
        <v>12.98</v>
      </c>
      <c r="J2626" s="34" t="str">
        <f aca="false">'Uso e Consumo'!M2626</f>
        <v>3.8.1.022 - Elementos de fixação</v>
      </c>
      <c r="K2626" s="32" t="str">
        <f aca="false">INDEX('Curva ABC'!$K$8:$K$2847,MATCH(D2626,'Curva ABC'!$B$8:$B$2847,0))</f>
        <v>C</v>
      </c>
    </row>
    <row r="2627" customFormat="false" ht="15" hidden="false" customHeight="false" outlineLevel="0" collapsed="false">
      <c r="A2627" s="34" t="s">
        <v>5799</v>
      </c>
      <c r="B2627" s="34" t="str">
        <f aca="false">'Uso e Consumo'!A2627</f>
        <v>0335</v>
      </c>
      <c r="C2627" s="34" t="str">
        <f aca="false">'Uso e Consumo'!B2627</f>
        <v>UFV NORONHA VERDE - USO E CONSUMO</v>
      </c>
      <c r="D2627" s="33" t="n">
        <f aca="false">'Uso e Consumo'!C2627</f>
        <v>224493</v>
      </c>
      <c r="E2627" s="34" t="str">
        <f aca="false">'Uso e Consumo'!D2627</f>
        <v>17.02.0327</v>
      </c>
      <c r="F2627" s="34" t="str">
        <f aca="false">'Uso e Consumo'!E2627</f>
        <v>ALÇA PREFORMADA DE DISTRIBUIÇÃO EM AÇO GALVANIZADO REVESTIDO DE ALUMINIO</v>
      </c>
      <c r="G2627" s="34" t="str">
        <f aca="false">'Uso e Consumo'!J2627</f>
        <v>UN</v>
      </c>
      <c r="H2627" s="49" t="n">
        <f aca="false">'Uso e Consumo'!F2627</f>
        <v>5</v>
      </c>
      <c r="I2627" s="35" t="n">
        <f aca="false">'Uso e Consumo'!G2627</f>
        <v>12.9</v>
      </c>
      <c r="J2627" s="34" t="str">
        <f aca="false">'Uso e Consumo'!M2627</f>
        <v>3.8.1.017 - Instalações elétricas/telefônicas/lógica</v>
      </c>
      <c r="K2627" s="32" t="str">
        <f aca="false">INDEX('Curva ABC'!$K$8:$K$2847,MATCH(D2627,'Curva ABC'!$B$8:$B$2847,0))</f>
        <v>C</v>
      </c>
    </row>
    <row r="2628" customFormat="false" ht="15" hidden="false" customHeight="false" outlineLevel="0" collapsed="false">
      <c r="A2628" s="34" t="s">
        <v>5799</v>
      </c>
      <c r="B2628" s="34" t="str">
        <f aca="false">'Uso e Consumo'!A2628</f>
        <v>0335</v>
      </c>
      <c r="C2628" s="34" t="str">
        <f aca="false">'Uso e Consumo'!B2628</f>
        <v>UFV NORONHA VERDE - USO E CONSUMO</v>
      </c>
      <c r="D2628" s="33" t="n">
        <f aca="false">'Uso e Consumo'!C2628</f>
        <v>54849</v>
      </c>
      <c r="E2628" s="34" t="str">
        <f aca="false">'Uso e Consumo'!D2628</f>
        <v>23.07.0910</v>
      </c>
      <c r="F2628" s="34" t="str">
        <f aca="false">'Uso e Consumo'!E2628</f>
        <v>PARAFUSO SEXTAVADO 6 X 20MM ZB</v>
      </c>
      <c r="G2628" s="34" t="str">
        <f aca="false">'Uso e Consumo'!J2628</f>
        <v>UN</v>
      </c>
      <c r="H2628" s="49" t="n">
        <f aca="false">'Uso e Consumo'!F2628</f>
        <v>4</v>
      </c>
      <c r="I2628" s="35" t="n">
        <f aca="false">'Uso e Consumo'!G2628</f>
        <v>12.72</v>
      </c>
      <c r="J2628" s="34" t="str">
        <f aca="false">'Uso e Consumo'!M2628</f>
        <v>3.8.1.022 - Elementos de fixação</v>
      </c>
      <c r="K2628" s="32" t="str">
        <f aca="false">INDEX('Curva ABC'!$K$8:$K$2847,MATCH(D2628,'Curva ABC'!$B$8:$B$2847,0))</f>
        <v>C</v>
      </c>
    </row>
    <row r="2629" customFormat="false" ht="15" hidden="false" customHeight="false" outlineLevel="0" collapsed="false">
      <c r="A2629" s="34" t="s">
        <v>5799</v>
      </c>
      <c r="B2629" s="34" t="str">
        <f aca="false">'Uso e Consumo'!A2629</f>
        <v>0335</v>
      </c>
      <c r="C2629" s="34" t="str">
        <f aca="false">'Uso e Consumo'!B2629</f>
        <v>UFV NORONHA VERDE - USO E CONSUMO</v>
      </c>
      <c r="D2629" s="33" t="n">
        <f aca="false">'Uso e Consumo'!C2629</f>
        <v>16409</v>
      </c>
      <c r="E2629" s="34" t="str">
        <f aca="false">'Uso e Consumo'!D2629</f>
        <v>19.11.0006</v>
      </c>
      <c r="F2629" s="34" t="str">
        <f aca="false">'Uso e Consumo'!E2629</f>
        <v>ENGATE  FLEXIVEL PVC BRANCO 1/2" X 50,00CM</v>
      </c>
      <c r="G2629" s="34" t="str">
        <f aca="false">'Uso e Consumo'!J2629</f>
        <v>UN</v>
      </c>
      <c r="H2629" s="49" t="n">
        <f aca="false">'Uso e Consumo'!F2629</f>
        <v>2</v>
      </c>
      <c r="I2629" s="35" t="n">
        <f aca="false">'Uso e Consumo'!G2629</f>
        <v>12.34</v>
      </c>
      <c r="J2629" s="34" t="str">
        <f aca="false">'Uso e Consumo'!M2629</f>
        <v>3.8.1.018 - Instalações hidráulicas/sanitárias/industriais</v>
      </c>
      <c r="K2629" s="32" t="str">
        <f aca="false">INDEX('Curva ABC'!$K$8:$K$2847,MATCH(D2629,'Curva ABC'!$B$8:$B$2847,0))</f>
        <v>C</v>
      </c>
    </row>
    <row r="2630" customFormat="false" ht="15" hidden="false" customHeight="false" outlineLevel="0" collapsed="false">
      <c r="A2630" s="34" t="s">
        <v>5799</v>
      </c>
      <c r="B2630" s="34" t="str">
        <f aca="false">'Uso e Consumo'!A2630</f>
        <v>0335</v>
      </c>
      <c r="C2630" s="34" t="str">
        <f aca="false">'Uso e Consumo'!B2630</f>
        <v>UFV NORONHA VERDE - USO E CONSUMO</v>
      </c>
      <c r="D2630" s="33" t="n">
        <f aca="false">'Uso e Consumo'!C2630</f>
        <v>15065</v>
      </c>
      <c r="E2630" s="34" t="str">
        <f aca="false">'Uso e Consumo'!D2630</f>
        <v>18.01.0640</v>
      </c>
      <c r="F2630" s="34" t="str">
        <f aca="false">'Uso e Consumo'!E2630</f>
        <v>TE 90GR PVCS RIGIDO REFORCADO SOLDAVEL 50,00MM X 50,00MM P/ESGOTO</v>
      </c>
      <c r="G2630" s="34" t="str">
        <f aca="false">'Uso e Consumo'!J2630</f>
        <v>UN</v>
      </c>
      <c r="H2630" s="49" t="n">
        <f aca="false">'Uso e Consumo'!F2630</f>
        <v>1</v>
      </c>
      <c r="I2630" s="35" t="n">
        <f aca="false">'Uso e Consumo'!G2630</f>
        <v>12</v>
      </c>
      <c r="J2630" s="34" t="str">
        <f aca="false">'Uso e Consumo'!M2630</f>
        <v>3.8.1.018 - Instalações hidráulicas/sanitárias/industriais</v>
      </c>
      <c r="K2630" s="32" t="str">
        <f aca="false">INDEX('Curva ABC'!$K$8:$K$2847,MATCH(D2630,'Curva ABC'!$B$8:$B$2847,0))</f>
        <v>C</v>
      </c>
    </row>
    <row r="2631" customFormat="false" ht="15" hidden="false" customHeight="false" outlineLevel="0" collapsed="false">
      <c r="A2631" s="34" t="s">
        <v>5799</v>
      </c>
      <c r="B2631" s="34" t="str">
        <f aca="false">'Uso e Consumo'!A2631</f>
        <v>0335</v>
      </c>
      <c r="C2631" s="34" t="str">
        <f aca="false">'Uso e Consumo'!B2631</f>
        <v>UFV NORONHA VERDE - USO E CONSUMO</v>
      </c>
      <c r="D2631" s="33" t="n">
        <f aca="false">'Uso e Consumo'!C2631</f>
        <v>17958</v>
      </c>
      <c r="E2631" s="34" t="str">
        <f aca="false">'Uso e Consumo'!D2631</f>
        <v>24.09.0052</v>
      </c>
      <c r="F2631" s="34" t="str">
        <f aca="false">'Uso e Consumo'!E2631</f>
        <v>CHAVE COMBINADA 7/16" AÇO CARBONO CROMADO</v>
      </c>
      <c r="G2631" s="34" t="str">
        <f aca="false">'Uso e Consumo'!J2631</f>
        <v>UN</v>
      </c>
      <c r="H2631" s="49" t="n">
        <f aca="false">'Uso e Consumo'!F2631</f>
        <v>1</v>
      </c>
      <c r="I2631" s="35" t="n">
        <f aca="false">'Uso e Consumo'!G2631</f>
        <v>12</v>
      </c>
      <c r="J2631" s="34" t="str">
        <f aca="false">'Uso e Consumo'!M2631</f>
        <v>3.8.2.002 - Ferramentas manuais</v>
      </c>
      <c r="K2631" s="32" t="str">
        <f aca="false">INDEX('Curva ABC'!$K$8:$K$2847,MATCH(D2631,'Curva ABC'!$B$8:$B$2847,0))</f>
        <v>C</v>
      </c>
    </row>
    <row r="2632" customFormat="false" ht="15" hidden="false" customHeight="false" outlineLevel="0" collapsed="false">
      <c r="A2632" s="34" t="s">
        <v>5799</v>
      </c>
      <c r="B2632" s="34" t="str">
        <f aca="false">'Uso e Consumo'!A2632</f>
        <v>0335</v>
      </c>
      <c r="C2632" s="34" t="str">
        <f aca="false">'Uso e Consumo'!B2632</f>
        <v>UFV NORONHA VERDE - USO E CONSUMO</v>
      </c>
      <c r="D2632" s="33" t="n">
        <f aca="false">'Uso e Consumo'!C2632</f>
        <v>645539</v>
      </c>
      <c r="E2632" s="34" t="str">
        <f aca="false">'Uso e Consumo'!D2632</f>
        <v>17.02.0610</v>
      </c>
      <c r="F2632" s="34" t="str">
        <f aca="false">'Uso e Consumo'!E2632</f>
        <v>ARRUELA M20</v>
      </c>
      <c r="G2632" s="34" t="str">
        <f aca="false">'Uso e Consumo'!J2632</f>
        <v>UN</v>
      </c>
      <c r="H2632" s="49" t="n">
        <f aca="false">'Uso e Consumo'!F2632</f>
        <v>4</v>
      </c>
      <c r="I2632" s="35" t="n">
        <f aca="false">'Uso e Consumo'!G2632</f>
        <v>12</v>
      </c>
      <c r="J2632" s="34" t="str">
        <f aca="false">'Uso e Consumo'!M2632</f>
        <v>3.8.1.022 - Elementos de fixação</v>
      </c>
      <c r="K2632" s="32" t="str">
        <f aca="false">INDEX('Curva ABC'!$K$8:$K$2847,MATCH(D2632,'Curva ABC'!$B$8:$B$2847,0))</f>
        <v>C</v>
      </c>
    </row>
    <row r="2633" customFormat="false" ht="15" hidden="false" customHeight="false" outlineLevel="0" collapsed="false">
      <c r="A2633" s="34" t="s">
        <v>5799</v>
      </c>
      <c r="B2633" s="34" t="str">
        <f aca="false">'Uso e Consumo'!A2633</f>
        <v>0335</v>
      </c>
      <c r="C2633" s="34" t="str">
        <f aca="false">'Uso e Consumo'!B2633</f>
        <v>UFV NORONHA VERDE - USO E CONSUMO</v>
      </c>
      <c r="D2633" s="33" t="n">
        <f aca="false">'Uso e Consumo'!C2633</f>
        <v>879002</v>
      </c>
      <c r="E2633" s="34" t="str">
        <f aca="false">'Uso e Consumo'!D2633</f>
        <v>27.01.0428</v>
      </c>
      <c r="F2633" s="34" t="str">
        <f aca="false">'Uso e Consumo'!E2633</f>
        <v>FUROSEMIDA 10MG ORAL</v>
      </c>
      <c r="G2633" s="34" t="str">
        <f aca="false">'Uso e Consumo'!J2633</f>
        <v>CX</v>
      </c>
      <c r="H2633" s="49" t="n">
        <f aca="false">'Uso e Consumo'!F2633</f>
        <v>1</v>
      </c>
      <c r="I2633" s="35" t="n">
        <f aca="false">'Uso e Consumo'!G2633</f>
        <v>12</v>
      </c>
      <c r="J2633" s="34" t="str">
        <f aca="false">'Uso e Consumo'!M2633</f>
        <v>4.3.4.006 - Medicamentos e primeiro socorros</v>
      </c>
      <c r="K2633" s="32" t="str">
        <f aca="false">INDEX('Curva ABC'!$K$8:$K$2847,MATCH(D2633,'Curva ABC'!$B$8:$B$2847,0))</f>
        <v>C</v>
      </c>
    </row>
    <row r="2634" customFormat="false" ht="15" hidden="false" customHeight="false" outlineLevel="0" collapsed="false">
      <c r="A2634" s="34" t="s">
        <v>5799</v>
      </c>
      <c r="B2634" s="34" t="str">
        <f aca="false">'Uso e Consumo'!A2634</f>
        <v>0335</v>
      </c>
      <c r="C2634" s="34" t="str">
        <f aca="false">'Uso e Consumo'!B2634</f>
        <v>UFV NORONHA VERDE - USO E CONSUMO</v>
      </c>
      <c r="D2634" s="33" t="n">
        <f aca="false">'Uso e Consumo'!C2634</f>
        <v>552915</v>
      </c>
      <c r="E2634" s="34" t="str">
        <f aca="false">'Uso e Consumo'!D2634</f>
        <v>18.01.1153</v>
      </c>
      <c r="F2634" s="34" t="str">
        <f aca="false">'Uso e Consumo'!E2634</f>
        <v>CURVA SOLD ESG DE 100MM</v>
      </c>
      <c r="G2634" s="34" t="str">
        <f aca="false">'Uso e Consumo'!J2634</f>
        <v>UN</v>
      </c>
      <c r="H2634" s="49" t="n">
        <f aca="false">'Uso e Consumo'!F2634</f>
        <v>1</v>
      </c>
      <c r="I2634" s="35" t="n">
        <f aca="false">'Uso e Consumo'!G2634</f>
        <v>11.98</v>
      </c>
      <c r="J2634" s="34" t="str">
        <f aca="false">'Uso e Consumo'!M2634</f>
        <v>3.8.1.018 - Instalações hidráulicas/sanitárias/industriais</v>
      </c>
      <c r="K2634" s="32" t="str">
        <f aca="false">INDEX('Curva ABC'!$K$8:$K$2847,MATCH(D2634,'Curva ABC'!$B$8:$B$2847,0))</f>
        <v>C</v>
      </c>
    </row>
    <row r="2635" customFormat="false" ht="15" hidden="false" customHeight="false" outlineLevel="0" collapsed="false">
      <c r="A2635" s="34" t="s">
        <v>5799</v>
      </c>
      <c r="B2635" s="34" t="str">
        <f aca="false">'Uso e Consumo'!A2635</f>
        <v>0335</v>
      </c>
      <c r="C2635" s="34" t="str">
        <f aca="false">'Uso e Consumo'!B2635</f>
        <v>UFV NORONHA VERDE - USO E CONSUMO</v>
      </c>
      <c r="D2635" s="33" t="n">
        <f aca="false">'Uso e Consumo'!C2635</f>
        <v>1603755</v>
      </c>
      <c r="E2635" s="34" t="str">
        <f aca="false">'Uso e Consumo'!D2635</f>
        <v>17.16.3875</v>
      </c>
      <c r="F2635" s="34" t="str">
        <f aca="false">'Uso e Consumo'!E2635</f>
        <v>TERMINAL PRE ISOLADO TIPO TUBO 16,00MM²</v>
      </c>
      <c r="G2635" s="34" t="str">
        <f aca="false">'Uso e Consumo'!J2635</f>
        <v>UN</v>
      </c>
      <c r="H2635" s="49" t="n">
        <f aca="false">'Uso e Consumo'!F2635</f>
        <v>1</v>
      </c>
      <c r="I2635" s="35" t="n">
        <f aca="false">'Uso e Consumo'!G2635</f>
        <v>11.98</v>
      </c>
      <c r="J2635" s="34" t="str">
        <f aca="false">'Uso e Consumo'!M2635</f>
        <v>3.8.1.017 - Instalações elétricas/telefônicas/lógica</v>
      </c>
      <c r="K2635" s="32" t="str">
        <f aca="false">INDEX('Curva ABC'!$K$8:$K$2847,MATCH(D2635,'Curva ABC'!$B$8:$B$2847,0))</f>
        <v>C</v>
      </c>
    </row>
    <row r="2636" customFormat="false" ht="15" hidden="false" customHeight="false" outlineLevel="0" collapsed="false">
      <c r="A2636" s="34" t="s">
        <v>5799</v>
      </c>
      <c r="B2636" s="34" t="str">
        <f aca="false">'Uso e Consumo'!A2636</f>
        <v>0335</v>
      </c>
      <c r="C2636" s="34" t="str">
        <f aca="false">'Uso e Consumo'!B2636</f>
        <v>UFV NORONHA VERDE - USO E CONSUMO</v>
      </c>
      <c r="D2636" s="33" t="n">
        <f aca="false">'Uso e Consumo'!C2636</f>
        <v>24280</v>
      </c>
      <c r="E2636" s="34" t="str">
        <f aca="false">'Uso e Consumo'!D2636</f>
        <v>25.02.0030</v>
      </c>
      <c r="F2636" s="34" t="str">
        <f aca="false">'Uso e Consumo'!E2636</f>
        <v>LIXA MASSA  N 100 225,00MM X 275,00MM</v>
      </c>
      <c r="G2636" s="34" t="str">
        <f aca="false">'Uso e Consumo'!J2636</f>
        <v>UN</v>
      </c>
      <c r="H2636" s="49" t="n">
        <f aca="false">'Uso e Consumo'!F2636</f>
        <v>3</v>
      </c>
      <c r="I2636" s="35" t="n">
        <f aca="false">'Uso e Consumo'!G2636</f>
        <v>11.94</v>
      </c>
      <c r="J2636" s="34" t="str">
        <f aca="false">'Uso e Consumo'!M2636</f>
        <v>3.8.1.016 - Pinturas</v>
      </c>
      <c r="K2636" s="32" t="str">
        <f aca="false">INDEX('Curva ABC'!$K$8:$K$2847,MATCH(D2636,'Curva ABC'!$B$8:$B$2847,0))</f>
        <v>C</v>
      </c>
    </row>
    <row r="2637" customFormat="false" ht="15" hidden="false" customHeight="false" outlineLevel="0" collapsed="false">
      <c r="A2637" s="34" t="s">
        <v>5799</v>
      </c>
      <c r="B2637" s="34" t="str">
        <f aca="false">'Uso e Consumo'!A2637</f>
        <v>0335</v>
      </c>
      <c r="C2637" s="34" t="str">
        <f aca="false">'Uso e Consumo'!B2637</f>
        <v>UFV NORONHA VERDE - USO E CONSUMO</v>
      </c>
      <c r="D2637" s="33" t="n">
        <f aca="false">'Uso e Consumo'!C2637</f>
        <v>138648</v>
      </c>
      <c r="E2637" s="34" t="str">
        <f aca="false">'Uso e Consumo'!D2637</f>
        <v>23.07.1027</v>
      </c>
      <c r="F2637" s="34" t="str">
        <f aca="false">'Uso e Consumo'!E2637</f>
        <v>PARAFUSO FENDA 500X20MM</v>
      </c>
      <c r="G2637" s="34" t="str">
        <f aca="false">'Uso e Consumo'!J2637</f>
        <v>UN</v>
      </c>
      <c r="H2637" s="49" t="n">
        <f aca="false">'Uso e Consumo'!F2637</f>
        <v>8</v>
      </c>
      <c r="I2637" s="35" t="n">
        <f aca="false">'Uso e Consumo'!G2637</f>
        <v>11.84</v>
      </c>
      <c r="J2637" s="34" t="str">
        <f aca="false">'Uso e Consumo'!M2637</f>
        <v>3.8.1.022 - Elementos de fixação</v>
      </c>
      <c r="K2637" s="32" t="str">
        <f aca="false">INDEX('Curva ABC'!$K$8:$K$2847,MATCH(D2637,'Curva ABC'!$B$8:$B$2847,0))</f>
        <v>C</v>
      </c>
    </row>
    <row r="2638" customFormat="false" ht="15" hidden="false" customHeight="false" outlineLevel="0" collapsed="false">
      <c r="A2638" s="34" t="s">
        <v>5799</v>
      </c>
      <c r="B2638" s="34" t="str">
        <f aca="false">'Uso e Consumo'!A2638</f>
        <v>0335</v>
      </c>
      <c r="C2638" s="34" t="str">
        <f aca="false">'Uso e Consumo'!B2638</f>
        <v>UFV NORONHA VERDE - USO E CONSUMO</v>
      </c>
      <c r="D2638" s="33" t="n">
        <f aca="false">'Uso e Consumo'!C2638</f>
        <v>1660722</v>
      </c>
      <c r="E2638" s="34" t="str">
        <f aca="false">'Uso e Consumo'!D2638</f>
        <v>23.08.0097</v>
      </c>
      <c r="F2638" s="34" t="str">
        <f aca="false">'Uso e Consumo'!E2638</f>
        <v>BUCHA DE EXPANSAO, DE NYLON, N 12 COM 60 MM DE COMPRIMENTO. APLICAVEL EM PARAFUSO COM BITOLAS DE 8 A 10 MM</v>
      </c>
      <c r="G2638" s="34" t="str">
        <f aca="false">'Uso e Consumo'!J2638</f>
        <v>UN</v>
      </c>
      <c r="H2638" s="49" t="n">
        <f aca="false">'Uso e Consumo'!F2638</f>
        <v>24</v>
      </c>
      <c r="I2638" s="35" t="n">
        <f aca="false">'Uso e Consumo'!G2638</f>
        <v>11.52</v>
      </c>
      <c r="J2638" s="34" t="str">
        <f aca="false">'Uso e Consumo'!M2638</f>
        <v>3.8.1.022 - Elementos de fixação</v>
      </c>
      <c r="K2638" s="32" t="str">
        <f aca="false">INDEX('Curva ABC'!$K$8:$K$2847,MATCH(D2638,'Curva ABC'!$B$8:$B$2847,0))</f>
        <v>C</v>
      </c>
    </row>
    <row r="2639" customFormat="false" ht="15" hidden="false" customHeight="false" outlineLevel="0" collapsed="false">
      <c r="A2639" s="34" t="s">
        <v>5799</v>
      </c>
      <c r="B2639" s="34" t="str">
        <f aca="false">'Uso e Consumo'!A2639</f>
        <v>0335</v>
      </c>
      <c r="C2639" s="34" t="str">
        <f aca="false">'Uso e Consumo'!B2639</f>
        <v>UFV NORONHA VERDE - USO E CONSUMO</v>
      </c>
      <c r="D2639" s="33" t="n">
        <f aca="false">'Uso e Consumo'!C2639</f>
        <v>17677</v>
      </c>
      <c r="E2639" s="34" t="str">
        <f aca="false">'Uso e Consumo'!D2639</f>
        <v>23.08.0008</v>
      </c>
      <c r="F2639" s="34" t="str">
        <f aca="false">'Uso e Consumo'!E2639</f>
        <v>BUCHA FIXACAO ELETRODUTO 1" ALUMÍNIO LISO BSP 11 FIOS</v>
      </c>
      <c r="G2639" s="34" t="str">
        <f aca="false">'Uso e Consumo'!J2639</f>
        <v>UN</v>
      </c>
      <c r="H2639" s="49" t="n">
        <f aca="false">'Uso e Consumo'!F2639</f>
        <v>2</v>
      </c>
      <c r="I2639" s="35" t="n">
        <f aca="false">'Uso e Consumo'!G2639</f>
        <v>11.34</v>
      </c>
      <c r="J2639" s="34" t="str">
        <f aca="false">'Uso e Consumo'!M2639</f>
        <v>3.8.1.022 - Elementos de fixação</v>
      </c>
      <c r="K2639" s="32" t="str">
        <f aca="false">INDEX('Curva ABC'!$K$8:$K$2847,MATCH(D2639,'Curva ABC'!$B$8:$B$2847,0))</f>
        <v>C</v>
      </c>
    </row>
    <row r="2640" customFormat="false" ht="15" hidden="false" customHeight="false" outlineLevel="0" collapsed="false">
      <c r="A2640" s="34" t="s">
        <v>5799</v>
      </c>
      <c r="B2640" s="34" t="str">
        <f aca="false">'Uso e Consumo'!A2640</f>
        <v>0335</v>
      </c>
      <c r="C2640" s="34" t="str">
        <f aca="false">'Uso e Consumo'!B2640</f>
        <v>UFV NORONHA VERDE - USO E CONSUMO</v>
      </c>
      <c r="D2640" s="33" t="n">
        <f aca="false">'Uso e Consumo'!C2640</f>
        <v>17955</v>
      </c>
      <c r="E2640" s="34" t="str">
        <f aca="false">'Uso e Consumo'!D2640</f>
        <v>24.09.0049</v>
      </c>
      <c r="F2640" s="34" t="str">
        <f aca="false">'Uso e Consumo'!E2640</f>
        <v>CHAVE COMBINADA 3/8" AÇO CARBONO CROMADO</v>
      </c>
      <c r="G2640" s="34" t="str">
        <f aca="false">'Uso e Consumo'!J2640</f>
        <v>UN</v>
      </c>
      <c r="H2640" s="49" t="n">
        <f aca="false">'Uso e Consumo'!F2640</f>
        <v>1</v>
      </c>
      <c r="I2640" s="35" t="n">
        <f aca="false">'Uso e Consumo'!G2640</f>
        <v>11.3</v>
      </c>
      <c r="J2640" s="34" t="str">
        <f aca="false">'Uso e Consumo'!M2640</f>
        <v>3.8.2.002 - Ferramentas manuais</v>
      </c>
      <c r="K2640" s="32" t="str">
        <f aca="false">INDEX('Curva ABC'!$K$8:$K$2847,MATCH(D2640,'Curva ABC'!$B$8:$B$2847,0))</f>
        <v>C</v>
      </c>
    </row>
    <row r="2641" customFormat="false" ht="15" hidden="false" customHeight="false" outlineLevel="0" collapsed="false">
      <c r="A2641" s="34" t="s">
        <v>5799</v>
      </c>
      <c r="B2641" s="34" t="str">
        <f aca="false">'Uso e Consumo'!A2641</f>
        <v>0335</v>
      </c>
      <c r="C2641" s="34" t="str">
        <f aca="false">'Uso e Consumo'!B2641</f>
        <v>UFV NORONHA VERDE - USO E CONSUMO</v>
      </c>
      <c r="D2641" s="33" t="n">
        <f aca="false">'Uso e Consumo'!C2641</f>
        <v>33321</v>
      </c>
      <c r="E2641" s="34" t="str">
        <f aca="false">'Uso e Consumo'!D2641</f>
        <v>23.07.0800</v>
      </c>
      <c r="F2641" s="34" t="str">
        <f aca="false">'Uso e Consumo'!E2641</f>
        <v>PARAFUSO CABEÇA CHATA PHILLIPS BROCANTE 4,20MM X 32,00MM</v>
      </c>
      <c r="G2641" s="34" t="str">
        <f aca="false">'Uso e Consumo'!J2641</f>
        <v>UN</v>
      </c>
      <c r="H2641" s="49" t="n">
        <f aca="false">'Uso e Consumo'!F2641</f>
        <v>100</v>
      </c>
      <c r="I2641" s="35" t="n">
        <f aca="false">'Uso e Consumo'!G2641</f>
        <v>11.25</v>
      </c>
      <c r="J2641" s="34" t="str">
        <f aca="false">'Uso e Consumo'!M2641</f>
        <v>3.8.1.022 - Elementos de fixação</v>
      </c>
      <c r="K2641" s="32" t="str">
        <f aca="false">INDEX('Curva ABC'!$K$8:$K$2847,MATCH(D2641,'Curva ABC'!$B$8:$B$2847,0))</f>
        <v>C</v>
      </c>
    </row>
    <row r="2642" customFormat="false" ht="15" hidden="false" customHeight="false" outlineLevel="0" collapsed="false">
      <c r="A2642" s="34" t="s">
        <v>5799</v>
      </c>
      <c r="B2642" s="34" t="str">
        <f aca="false">'Uso e Consumo'!A2642</f>
        <v>0335</v>
      </c>
      <c r="C2642" s="34" t="str">
        <f aca="false">'Uso e Consumo'!B2642</f>
        <v>UFV NORONHA VERDE - USO E CONSUMO</v>
      </c>
      <c r="D2642" s="33" t="n">
        <f aca="false">'Uso e Consumo'!C2642</f>
        <v>89436</v>
      </c>
      <c r="E2642" s="34" t="str">
        <f aca="false">'Uso e Consumo'!D2642</f>
        <v>23.06.0170</v>
      </c>
      <c r="F2642" s="34" t="str">
        <f aca="false">'Uso e Consumo'!E2642</f>
        <v>PORCA SEXTAVADA 6MM INOX</v>
      </c>
      <c r="G2642" s="34" t="str">
        <f aca="false">'Uso e Consumo'!J2642</f>
        <v>UN</v>
      </c>
      <c r="H2642" s="49" t="n">
        <f aca="false">'Uso e Consumo'!F2642</f>
        <v>7</v>
      </c>
      <c r="I2642" s="35" t="n">
        <f aca="false">'Uso e Consumo'!G2642</f>
        <v>11.06</v>
      </c>
      <c r="J2642" s="34" t="str">
        <f aca="false">'Uso e Consumo'!M2642</f>
        <v>3.8.1.022 - Elementos de fixação</v>
      </c>
      <c r="K2642" s="32" t="str">
        <f aca="false">INDEX('Curva ABC'!$K$8:$K$2847,MATCH(D2642,'Curva ABC'!$B$8:$B$2847,0))</f>
        <v>C</v>
      </c>
    </row>
    <row r="2643" customFormat="false" ht="15" hidden="false" customHeight="false" outlineLevel="0" collapsed="false">
      <c r="A2643" s="34" t="s">
        <v>5799</v>
      </c>
      <c r="B2643" s="34" t="str">
        <f aca="false">'Uso e Consumo'!A2643</f>
        <v>0335</v>
      </c>
      <c r="C2643" s="34" t="str">
        <f aca="false">'Uso e Consumo'!B2643</f>
        <v>UFV NORONHA VERDE - USO E CONSUMO</v>
      </c>
      <c r="D2643" s="33" t="n">
        <f aca="false">'Uso e Consumo'!C2643</f>
        <v>871573</v>
      </c>
      <c r="E2643" s="34" t="str">
        <f aca="false">'Uso e Consumo'!D2643</f>
        <v>23.02.0385</v>
      </c>
      <c r="F2643" s="34" t="str">
        <f aca="false">'Uso e Consumo'!E2643</f>
        <v>ABRAÇADEIRA EM AÇO GALVANIZADO ROSCA SEM FIM 2'' POL.</v>
      </c>
      <c r="G2643" s="34" t="str">
        <f aca="false">'Uso e Consumo'!J2643</f>
        <v>UN</v>
      </c>
      <c r="H2643" s="49" t="n">
        <f aca="false">'Uso e Consumo'!F2643</f>
        <v>2</v>
      </c>
      <c r="I2643" s="35" t="n">
        <f aca="false">'Uso e Consumo'!G2643</f>
        <v>11</v>
      </c>
      <c r="J2643" s="34" t="str">
        <f aca="false">'Uso e Consumo'!M2643</f>
        <v>3.8.1.022 - Elementos de fixação</v>
      </c>
      <c r="K2643" s="32" t="str">
        <f aca="false">INDEX('Curva ABC'!$K$8:$K$2847,MATCH(D2643,'Curva ABC'!$B$8:$B$2847,0))</f>
        <v>C</v>
      </c>
    </row>
    <row r="2644" customFormat="false" ht="15" hidden="false" customHeight="false" outlineLevel="0" collapsed="false">
      <c r="A2644" s="34" t="s">
        <v>5799</v>
      </c>
      <c r="B2644" s="34" t="str">
        <f aca="false">'Uso e Consumo'!A2644</f>
        <v>0335</v>
      </c>
      <c r="C2644" s="34" t="str">
        <f aca="false">'Uso e Consumo'!B2644</f>
        <v>UFV NORONHA VERDE - USO E CONSUMO</v>
      </c>
      <c r="D2644" s="33" t="n">
        <f aca="false">'Uso e Consumo'!C2644</f>
        <v>1385729</v>
      </c>
      <c r="E2644" s="34" t="str">
        <f aca="false">'Uso e Consumo'!D2644</f>
        <v>17.02.0878</v>
      </c>
      <c r="F2644" s="34" t="str">
        <f aca="false">'Uso e Consumo'!E2644</f>
        <v>UNIÃO ENTRE ELETRODUTO FLEXÍVEL PEAD COM ELETRODUTO RÍGIDO LISO, AMBOS DIÂMETRO 4"</v>
      </c>
      <c r="G2644" s="34" t="str">
        <f aca="false">'Uso e Consumo'!J2644</f>
        <v>UN</v>
      </c>
      <c r="H2644" s="49" t="n">
        <f aca="false">'Uso e Consumo'!F2644</f>
        <v>1</v>
      </c>
      <c r="I2644" s="35" t="n">
        <f aca="false">'Uso e Consumo'!G2644</f>
        <v>10.65</v>
      </c>
      <c r="J2644" s="34" t="str">
        <f aca="false">'Uso e Consumo'!M2644</f>
        <v>3.8.1.017 - Instalações elétricas/telefônicas/lógica</v>
      </c>
      <c r="K2644" s="32" t="str">
        <f aca="false">INDEX('Curva ABC'!$K$8:$K$2847,MATCH(D2644,'Curva ABC'!$B$8:$B$2847,0))</f>
        <v>C</v>
      </c>
    </row>
    <row r="2645" customFormat="false" ht="15" hidden="false" customHeight="false" outlineLevel="0" collapsed="false">
      <c r="A2645" s="34" t="s">
        <v>5799</v>
      </c>
      <c r="B2645" s="34" t="str">
        <f aca="false">'Uso e Consumo'!A2645</f>
        <v>0335</v>
      </c>
      <c r="C2645" s="34" t="str">
        <f aca="false">'Uso e Consumo'!B2645</f>
        <v>UFV NORONHA VERDE - USO E CONSUMO</v>
      </c>
      <c r="D2645" s="33" t="n">
        <f aca="false">'Uso e Consumo'!C2645</f>
        <v>1388140</v>
      </c>
      <c r="E2645" s="34" t="str">
        <f aca="false">'Uso e Consumo'!D2645</f>
        <v>23.07.1585</v>
      </c>
      <c r="F2645" s="34" t="str">
        <f aca="false">'Uso e Consumo'!E2645</f>
        <v>PARAFUSO SEXTAVADO AÇO INOX, ROSCA TOTAL, M16 X 50MM</v>
      </c>
      <c r="G2645" s="34" t="str">
        <f aca="false">'Uso e Consumo'!J2645</f>
        <v>UN</v>
      </c>
      <c r="H2645" s="49" t="n">
        <f aca="false">'Uso e Consumo'!F2645</f>
        <v>2</v>
      </c>
      <c r="I2645" s="35" t="n">
        <f aca="false">'Uso e Consumo'!G2645</f>
        <v>10.46</v>
      </c>
      <c r="J2645" s="34" t="str">
        <f aca="false">'Uso e Consumo'!M2645</f>
        <v>3.8.1.022 - Elementos de fixação</v>
      </c>
      <c r="K2645" s="32" t="str">
        <f aca="false">INDEX('Curva ABC'!$K$8:$K$2847,MATCH(D2645,'Curva ABC'!$B$8:$B$2847,0))</f>
        <v>C</v>
      </c>
    </row>
    <row r="2646" customFormat="false" ht="15" hidden="false" customHeight="false" outlineLevel="0" collapsed="false">
      <c r="A2646" s="34" t="s">
        <v>5799</v>
      </c>
      <c r="B2646" s="34" t="str">
        <f aca="false">'Uso e Consumo'!A2646</f>
        <v>0335</v>
      </c>
      <c r="C2646" s="34" t="str">
        <f aca="false">'Uso e Consumo'!B2646</f>
        <v>UFV NORONHA VERDE - USO E CONSUMO</v>
      </c>
      <c r="D2646" s="33" t="n">
        <f aca="false">'Uso e Consumo'!C2646</f>
        <v>1670495</v>
      </c>
      <c r="E2646" s="34" t="str">
        <f aca="false">'Uso e Consumo'!D2646</f>
        <v>23.02.0496</v>
      </c>
      <c r="F2646" s="34" t="str">
        <f aca="false">'Uso e Consumo'!E2646</f>
        <v> ABRACADEIRA TIPO U DE 3/4''</v>
      </c>
      <c r="G2646" s="34" t="str">
        <f aca="false">'Uso e Consumo'!J2646</f>
        <v>UN</v>
      </c>
      <c r="H2646" s="49" t="n">
        <f aca="false">'Uso e Consumo'!F2646</f>
        <v>2</v>
      </c>
      <c r="I2646" s="35" t="n">
        <f aca="false">'Uso e Consumo'!G2646</f>
        <v>10.18</v>
      </c>
      <c r="J2646" s="34" t="str">
        <f aca="false">'Uso e Consumo'!M2646</f>
        <v>3.8.1.022 - Elementos de fixação</v>
      </c>
      <c r="K2646" s="32" t="str">
        <f aca="false">INDEX('Curva ABC'!$K$8:$K$2847,MATCH(D2646,'Curva ABC'!$B$8:$B$2847,0))</f>
        <v>C</v>
      </c>
    </row>
    <row r="2647" customFormat="false" ht="15" hidden="false" customHeight="false" outlineLevel="0" collapsed="false">
      <c r="A2647" s="34" t="s">
        <v>5799</v>
      </c>
      <c r="B2647" s="34" t="str">
        <f aca="false">'Uso e Consumo'!A2647</f>
        <v>0335</v>
      </c>
      <c r="C2647" s="34" t="str">
        <f aca="false">'Uso e Consumo'!B2647</f>
        <v>UFV NORONHA VERDE - USO E CONSUMO</v>
      </c>
      <c r="D2647" s="33" t="n">
        <f aca="false">'Uso e Consumo'!C2647</f>
        <v>16374</v>
      </c>
      <c r="E2647" s="34" t="str">
        <f aca="false">'Uso e Consumo'!D2647</f>
        <v>19.08.0012</v>
      </c>
      <c r="F2647" s="34" t="str">
        <f aca="false">'Uso e Consumo'!E2647</f>
        <v>TORNEIRA GERAL AÇO INOX CROMADO C51 1/2" PAREDE REF 1153 B. EPOQUE DECA NBR 10283</v>
      </c>
      <c r="G2647" s="34" t="str">
        <f aca="false">'Uso e Consumo'!J2647</f>
        <v>UN</v>
      </c>
      <c r="H2647" s="49" t="n">
        <f aca="false">'Uso e Consumo'!F2647</f>
        <v>1</v>
      </c>
      <c r="I2647" s="35" t="n">
        <f aca="false">'Uso e Consumo'!G2647</f>
        <v>9.98</v>
      </c>
      <c r="J2647" s="34" t="str">
        <f aca="false">'Uso e Consumo'!M2647</f>
        <v>3.8.1.018 - Instalações hidráulicas/sanitárias/industriais</v>
      </c>
      <c r="K2647" s="32" t="str">
        <f aca="false">INDEX('Curva ABC'!$K$8:$K$2847,MATCH(D2647,'Curva ABC'!$B$8:$B$2847,0))</f>
        <v>C</v>
      </c>
    </row>
    <row r="2648" customFormat="false" ht="15" hidden="false" customHeight="false" outlineLevel="0" collapsed="false">
      <c r="A2648" s="34" t="s">
        <v>5799</v>
      </c>
      <c r="B2648" s="34" t="str">
        <f aca="false">'Uso e Consumo'!A2648</f>
        <v>0335</v>
      </c>
      <c r="C2648" s="34" t="str">
        <f aca="false">'Uso e Consumo'!B2648</f>
        <v>UFV NORONHA VERDE - USO E CONSUMO</v>
      </c>
      <c r="D2648" s="33" t="n">
        <f aca="false">'Uso e Consumo'!C2648</f>
        <v>1461936</v>
      </c>
      <c r="E2648" s="34" t="str">
        <f aca="false">'Uso e Consumo'!D2648</f>
        <v>23.07.1590</v>
      </c>
      <c r="F2648" s="34" t="str">
        <f aca="false">'Uso e Consumo'!E2648</f>
        <v>PARAFUSO SEXTAVADO ZINCADO 1/2" X 3" UNC</v>
      </c>
      <c r="G2648" s="34" t="str">
        <f aca="false">'Uso e Consumo'!J2648</f>
        <v>UN</v>
      </c>
      <c r="H2648" s="49" t="n">
        <f aca="false">'Uso e Consumo'!F2648</f>
        <v>1</v>
      </c>
      <c r="I2648" s="35" t="n">
        <f aca="false">'Uso e Consumo'!G2648</f>
        <v>9.98</v>
      </c>
      <c r="J2648" s="34" t="str">
        <f aca="false">'Uso e Consumo'!M2648</f>
        <v>3.8.1.022 - Elementos de fixação</v>
      </c>
      <c r="K2648" s="32" t="str">
        <f aca="false">INDEX('Curva ABC'!$K$8:$K$2847,MATCH(D2648,'Curva ABC'!$B$8:$B$2847,0))</f>
        <v>C</v>
      </c>
    </row>
    <row r="2649" customFormat="false" ht="15" hidden="false" customHeight="false" outlineLevel="0" collapsed="false">
      <c r="A2649" s="34" t="s">
        <v>5799</v>
      </c>
      <c r="B2649" s="34" t="str">
        <f aca="false">'Uso e Consumo'!A2649</f>
        <v>0335</v>
      </c>
      <c r="C2649" s="34" t="str">
        <f aca="false">'Uso e Consumo'!B2649</f>
        <v>UFV NORONHA VERDE - USO E CONSUMO</v>
      </c>
      <c r="D2649" s="33" t="n">
        <f aca="false">'Uso e Consumo'!C2649</f>
        <v>14635</v>
      </c>
      <c r="E2649" s="34" t="str">
        <f aca="false">'Uso e Consumo'!D2649</f>
        <v>18.01.0210</v>
      </c>
      <c r="F2649" s="34" t="str">
        <f aca="false">'Uso e Consumo'!E2649</f>
        <v>CAP PVC ROSCAVEL 1"</v>
      </c>
      <c r="G2649" s="34" t="str">
        <f aca="false">'Uso e Consumo'!J2649</f>
        <v>UN</v>
      </c>
      <c r="H2649" s="49" t="n">
        <f aca="false">'Uso e Consumo'!F2649</f>
        <v>2</v>
      </c>
      <c r="I2649" s="35" t="n">
        <f aca="false">'Uso e Consumo'!G2649</f>
        <v>9.96</v>
      </c>
      <c r="J2649" s="34" t="str">
        <f aca="false">'Uso e Consumo'!M2649</f>
        <v>3.8.1.018 - Instalações hidráulicas/sanitárias/industriais</v>
      </c>
      <c r="K2649" s="32" t="str">
        <f aca="false">INDEX('Curva ABC'!$K$8:$K$2847,MATCH(D2649,'Curva ABC'!$B$8:$B$2847,0))</f>
        <v>C</v>
      </c>
    </row>
    <row r="2650" customFormat="false" ht="15" hidden="false" customHeight="false" outlineLevel="0" collapsed="false">
      <c r="A2650" s="34" t="s">
        <v>5799</v>
      </c>
      <c r="B2650" s="34" t="str">
        <f aca="false">'Uso e Consumo'!A2650</f>
        <v>0335</v>
      </c>
      <c r="C2650" s="34" t="str">
        <f aca="false">'Uso e Consumo'!B2650</f>
        <v>UFV NORONHA VERDE - USO E CONSUMO</v>
      </c>
      <c r="D2650" s="33" t="n">
        <f aca="false">'Uso e Consumo'!C2650</f>
        <v>139132</v>
      </c>
      <c r="E2650" s="34" t="str">
        <f aca="false">'Uso e Consumo'!D2650</f>
        <v>23.07.1028</v>
      </c>
      <c r="F2650" s="34" t="str">
        <f aca="false">'Uso e Consumo'!E2650</f>
        <v>PARAFUSO SEXTAVADO ¼ X 5/8</v>
      </c>
      <c r="G2650" s="34" t="str">
        <f aca="false">'Uso e Consumo'!J2650</f>
        <v>UN</v>
      </c>
      <c r="H2650" s="49" t="n">
        <f aca="false">'Uso e Consumo'!F2650</f>
        <v>2</v>
      </c>
      <c r="I2650" s="35" t="n">
        <f aca="false">'Uso e Consumo'!G2650</f>
        <v>9.96</v>
      </c>
      <c r="J2650" s="34" t="str">
        <f aca="false">'Uso e Consumo'!M2650</f>
        <v>3.8.1.022 - Elementos de fixação</v>
      </c>
      <c r="K2650" s="32" t="str">
        <f aca="false">INDEX('Curva ABC'!$K$8:$K$2847,MATCH(D2650,'Curva ABC'!$B$8:$B$2847,0))</f>
        <v>C</v>
      </c>
    </row>
    <row r="2651" customFormat="false" ht="15" hidden="false" customHeight="false" outlineLevel="0" collapsed="false">
      <c r="A2651" s="34" t="s">
        <v>5799</v>
      </c>
      <c r="B2651" s="34" t="str">
        <f aca="false">'Uso e Consumo'!A2651</f>
        <v>0335</v>
      </c>
      <c r="C2651" s="34" t="str">
        <f aca="false">'Uso e Consumo'!B2651</f>
        <v>UFV NORONHA VERDE - USO E CONSUMO</v>
      </c>
      <c r="D2651" s="33" t="n">
        <f aca="false">'Uso e Consumo'!C2651</f>
        <v>1462824</v>
      </c>
      <c r="E2651" s="34" t="str">
        <f aca="false">'Uso e Consumo'!D2651</f>
        <v>23.06.0317</v>
      </c>
      <c r="F2651" s="34" t="str">
        <f aca="false">'Uso e Consumo'!E2651</f>
        <v>PORCA SEXTAVADA 3/16"</v>
      </c>
      <c r="G2651" s="34" t="str">
        <f aca="false">'Uso e Consumo'!J2651</f>
        <v>UN</v>
      </c>
      <c r="H2651" s="49" t="n">
        <f aca="false">'Uso e Consumo'!F2651</f>
        <v>4</v>
      </c>
      <c r="I2651" s="35" t="n">
        <f aca="false">'Uso e Consumo'!G2651</f>
        <v>9.92</v>
      </c>
      <c r="J2651" s="34" t="str">
        <f aca="false">'Uso e Consumo'!M2651</f>
        <v>3.8.1.022 - Elementos de fixação</v>
      </c>
      <c r="K2651" s="32" t="str">
        <f aca="false">INDEX('Curva ABC'!$K$8:$K$2847,MATCH(D2651,'Curva ABC'!$B$8:$B$2847,0))</f>
        <v>C</v>
      </c>
    </row>
    <row r="2652" customFormat="false" ht="15" hidden="false" customHeight="false" outlineLevel="0" collapsed="false">
      <c r="A2652" s="34" t="s">
        <v>5799</v>
      </c>
      <c r="B2652" s="34" t="str">
        <f aca="false">'Uso e Consumo'!A2652</f>
        <v>0335</v>
      </c>
      <c r="C2652" s="34" t="str">
        <f aca="false">'Uso e Consumo'!B2652</f>
        <v>UFV NORONHA VERDE - USO E CONSUMO</v>
      </c>
      <c r="D2652" s="33" t="n">
        <f aca="false">'Uso e Consumo'!C2652</f>
        <v>13150</v>
      </c>
      <c r="E2652" s="34" t="str">
        <f aca="false">'Uso e Consumo'!D2652</f>
        <v>17.04.0011</v>
      </c>
      <c r="F2652" s="34" t="str">
        <f aca="false">'Uso e Consumo'!E2652</f>
        <v>EMENDA INTERNA L P/PERFILADO PERFURADO AÇO CARBONO GALVANIZADO 38,00MM X 38,00MM NBR 11888-2</v>
      </c>
      <c r="G2652" s="34" t="str">
        <f aca="false">'Uso e Consumo'!J2652</f>
        <v>UN</v>
      </c>
      <c r="H2652" s="49" t="n">
        <f aca="false">'Uso e Consumo'!F2652</f>
        <v>2</v>
      </c>
      <c r="I2652" s="35" t="n">
        <f aca="false">'Uso e Consumo'!G2652</f>
        <v>9.8</v>
      </c>
      <c r="J2652" s="34" t="str">
        <f aca="false">'Uso e Consumo'!M2652</f>
        <v>3.8.1.017 - Instalações elétricas/telefônicas/lógica</v>
      </c>
      <c r="K2652" s="32" t="str">
        <f aca="false">INDEX('Curva ABC'!$K$8:$K$2847,MATCH(D2652,'Curva ABC'!$B$8:$B$2847,0))</f>
        <v>C</v>
      </c>
    </row>
    <row r="2653" customFormat="false" ht="32.8" hidden="false" customHeight="false" outlineLevel="0" collapsed="false">
      <c r="A2653" s="34" t="s">
        <v>5799</v>
      </c>
      <c r="B2653" s="34" t="str">
        <f aca="false">'Uso e Consumo'!A2653</f>
        <v>0335</v>
      </c>
      <c r="C2653" s="34" t="str">
        <f aca="false">'Uso e Consumo'!B2653</f>
        <v>UFV NORONHA VERDE - USO E CONSUMO</v>
      </c>
      <c r="D2653" s="33" t="n">
        <f aca="false">'Uso e Consumo'!C2653</f>
        <v>1485654</v>
      </c>
      <c r="E2653" s="34" t="str">
        <f aca="false">'Uso e Consumo'!D2653</f>
        <v>23.06.0326</v>
      </c>
      <c r="F2653" s="50" t="str">
        <f aca="false">'Uso e Consumo'!E2653</f>
        <v>PORCA SEXTAVADA AÇO GALVANIZADO A FOGO ROSCA MÉTRICA M10
</v>
      </c>
      <c r="G2653" s="34" t="str">
        <f aca="false">'Uso e Consumo'!J2653</f>
        <v>UN</v>
      </c>
      <c r="H2653" s="49" t="n">
        <f aca="false">'Uso e Consumo'!F2653</f>
        <v>5</v>
      </c>
      <c r="I2653" s="35" t="n">
        <f aca="false">'Uso e Consumo'!G2653</f>
        <v>9.5</v>
      </c>
      <c r="J2653" s="34" t="str">
        <f aca="false">'Uso e Consumo'!M2653</f>
        <v>3.8.1.022 - Elementos de fixação</v>
      </c>
      <c r="K2653" s="32" t="str">
        <f aca="false">INDEX('Curva ABC'!$K$8:$K$2847,MATCH(D2653,'Curva ABC'!$B$8:$B$2847,0))</f>
        <v>C</v>
      </c>
    </row>
    <row r="2654" customFormat="false" ht="15" hidden="false" customHeight="false" outlineLevel="0" collapsed="false">
      <c r="A2654" s="34" t="s">
        <v>5799</v>
      </c>
      <c r="B2654" s="34" t="str">
        <f aca="false">'Uso e Consumo'!A2654</f>
        <v>0335</v>
      </c>
      <c r="C2654" s="34" t="str">
        <f aca="false">'Uso e Consumo'!B2654</f>
        <v>UFV NORONHA VERDE - USO E CONSUMO</v>
      </c>
      <c r="D2654" s="33" t="n">
        <f aca="false">'Uso e Consumo'!C2654</f>
        <v>938573</v>
      </c>
      <c r="E2654" s="34" t="str">
        <f aca="false">'Uso e Consumo'!D2654</f>
        <v>23.07.1439</v>
      </c>
      <c r="F2654" s="34" t="str">
        <f aca="false">'Uso e Consumo'!E2654</f>
        <v>PARAFUSO SEXT INOX 8X25</v>
      </c>
      <c r="G2654" s="34" t="str">
        <f aca="false">'Uso e Consumo'!J2654</f>
        <v>UN</v>
      </c>
      <c r="H2654" s="49" t="n">
        <f aca="false">'Uso e Consumo'!F2654</f>
        <v>2</v>
      </c>
      <c r="I2654" s="35" t="n">
        <f aca="false">'Uso e Consumo'!G2654</f>
        <v>8.96</v>
      </c>
      <c r="J2654" s="34" t="str">
        <f aca="false">'Uso e Consumo'!M2654</f>
        <v>3.8.1.022 - Elementos de fixação</v>
      </c>
      <c r="K2654" s="32" t="str">
        <f aca="false">INDEX('Curva ABC'!$K$8:$K$2847,MATCH(D2654,'Curva ABC'!$B$8:$B$2847,0))</f>
        <v>C</v>
      </c>
    </row>
    <row r="2655" customFormat="false" ht="15" hidden="false" customHeight="false" outlineLevel="0" collapsed="false">
      <c r="A2655" s="34" t="s">
        <v>5799</v>
      </c>
      <c r="B2655" s="34" t="str">
        <f aca="false">'Uso e Consumo'!A2655</f>
        <v>0335</v>
      </c>
      <c r="C2655" s="34" t="str">
        <f aca="false">'Uso e Consumo'!B2655</f>
        <v>UFV NORONHA VERDE - USO E CONSUMO</v>
      </c>
      <c r="D2655" s="33" t="n">
        <f aca="false">'Uso e Consumo'!C2655</f>
        <v>1605184</v>
      </c>
      <c r="E2655" s="34" t="str">
        <f aca="false">'Uso e Consumo'!D2655</f>
        <v>17.10.0432</v>
      </c>
      <c r="F2655" s="34" t="str">
        <f aca="false">'Uso e Consumo'!E2655</f>
        <v>DISJUNTOR TERMOMAGNÉTICO MONOPOLAR 10A CURVA C</v>
      </c>
      <c r="G2655" s="34" t="str">
        <f aca="false">'Uso e Consumo'!J2655</f>
        <v>UN</v>
      </c>
      <c r="H2655" s="49" t="n">
        <f aca="false">'Uso e Consumo'!F2655</f>
        <v>1</v>
      </c>
      <c r="I2655" s="35" t="n">
        <f aca="false">'Uso e Consumo'!G2655</f>
        <v>8.9</v>
      </c>
      <c r="J2655" s="34" t="str">
        <f aca="false">'Uso e Consumo'!M2655</f>
        <v>3.8.1.017 - Instalações elétricas/telefônicas/lógica</v>
      </c>
      <c r="K2655" s="32" t="str">
        <f aca="false">INDEX('Curva ABC'!$K$8:$K$2847,MATCH(D2655,'Curva ABC'!$B$8:$B$2847,0))</f>
        <v>C</v>
      </c>
    </row>
    <row r="2656" customFormat="false" ht="15" hidden="false" customHeight="false" outlineLevel="0" collapsed="false">
      <c r="A2656" s="34" t="s">
        <v>5799</v>
      </c>
      <c r="B2656" s="34" t="str">
        <f aca="false">'Uso e Consumo'!A2656</f>
        <v>0335</v>
      </c>
      <c r="C2656" s="34" t="str">
        <f aca="false">'Uso e Consumo'!B2656</f>
        <v>UFV NORONHA VERDE - USO E CONSUMO</v>
      </c>
      <c r="D2656" s="33" t="n">
        <f aca="false">'Uso e Consumo'!C2656</f>
        <v>55799</v>
      </c>
      <c r="E2656" s="34" t="str">
        <f aca="false">'Uso e Consumo'!D2656</f>
        <v>17.17.0041</v>
      </c>
      <c r="F2656" s="34" t="str">
        <f aca="false">'Uso e Consumo'!E2656</f>
        <v>BASE PARA RELE FIXA</v>
      </c>
      <c r="G2656" s="34" t="str">
        <f aca="false">'Uso e Consumo'!J2656</f>
        <v>UN</v>
      </c>
      <c r="H2656" s="49" t="n">
        <f aca="false">'Uso e Consumo'!F2656</f>
        <v>1</v>
      </c>
      <c r="I2656" s="35" t="n">
        <f aca="false">'Uso e Consumo'!G2656</f>
        <v>8.22</v>
      </c>
      <c r="J2656" s="34" t="str">
        <f aca="false">'Uso e Consumo'!M2656</f>
        <v>3.8.1.017 - Instalações elétricas/telefônicas/lógica</v>
      </c>
      <c r="K2656" s="32" t="str">
        <f aca="false">INDEX('Curva ABC'!$K$8:$K$2847,MATCH(D2656,'Curva ABC'!$B$8:$B$2847,0))</f>
        <v>C</v>
      </c>
    </row>
    <row r="2657" customFormat="false" ht="15" hidden="false" customHeight="false" outlineLevel="0" collapsed="false">
      <c r="A2657" s="34" t="s">
        <v>5799</v>
      </c>
      <c r="B2657" s="34" t="str">
        <f aca="false">'Uso e Consumo'!A2657</f>
        <v>0335</v>
      </c>
      <c r="C2657" s="34" t="str">
        <f aca="false">'Uso e Consumo'!B2657</f>
        <v>UFV NORONHA VERDE - USO E CONSUMO</v>
      </c>
      <c r="D2657" s="33" t="n">
        <f aca="false">'Uso e Consumo'!C2657</f>
        <v>839996</v>
      </c>
      <c r="E2657" s="34" t="str">
        <f aca="false">'Uso e Consumo'!D2657</f>
        <v>18.01.1252</v>
      </c>
      <c r="F2657" s="34" t="str">
        <f aca="false">'Uso e Consumo'!E2657</f>
        <v>BUCHA DE REDUÇÃO SOLDÁVEL CURTA 50X32MM, PVC MARROM, AGUA FRIA - TIGRE</v>
      </c>
      <c r="G2657" s="34" t="str">
        <f aca="false">'Uso e Consumo'!J2657</f>
        <v>UN</v>
      </c>
      <c r="H2657" s="49" t="n">
        <f aca="false">'Uso e Consumo'!F2657</f>
        <v>1</v>
      </c>
      <c r="I2657" s="35" t="n">
        <f aca="false">'Uso e Consumo'!G2657</f>
        <v>8.07</v>
      </c>
      <c r="J2657" s="34" t="str">
        <f aca="false">'Uso e Consumo'!M2657</f>
        <v>3.8.1.018 - Instalações hidráulicas/sanitárias/industriais</v>
      </c>
      <c r="K2657" s="32" t="str">
        <f aca="false">INDEX('Curva ABC'!$K$8:$K$2847,MATCH(D2657,'Curva ABC'!$B$8:$B$2847,0))</f>
        <v>C</v>
      </c>
    </row>
    <row r="2658" customFormat="false" ht="15" hidden="false" customHeight="false" outlineLevel="0" collapsed="false">
      <c r="A2658" s="34" t="s">
        <v>5799</v>
      </c>
      <c r="B2658" s="34" t="str">
        <f aca="false">'Uso e Consumo'!A2658</f>
        <v>0335</v>
      </c>
      <c r="C2658" s="34" t="str">
        <f aca="false">'Uso e Consumo'!B2658</f>
        <v>UFV NORONHA VERDE - USO E CONSUMO</v>
      </c>
      <c r="D2658" s="33" t="n">
        <f aca="false">'Uso e Consumo'!C2658</f>
        <v>277198</v>
      </c>
      <c r="E2658" s="34" t="str">
        <f aca="false">'Uso e Consumo'!D2658</f>
        <v>32.18.0035</v>
      </c>
      <c r="F2658" s="34" t="str">
        <f aca="false">'Uso e Consumo'!E2658</f>
        <v>ARRUELA PRESSÃO (M39) 5/16</v>
      </c>
      <c r="G2658" s="34" t="str">
        <f aca="false">'Uso e Consumo'!J2658</f>
        <v>UN</v>
      </c>
      <c r="H2658" s="49" t="n">
        <f aca="false">'Uso e Consumo'!F2658</f>
        <v>10</v>
      </c>
      <c r="I2658" s="35" t="n">
        <f aca="false">'Uso e Consumo'!G2658</f>
        <v>8</v>
      </c>
      <c r="J2658" s="34" t="str">
        <f aca="false">'Uso e Consumo'!M2658</f>
        <v>3.1.6.002 - Pneus e peças</v>
      </c>
      <c r="K2658" s="32" t="str">
        <f aca="false">INDEX('Curva ABC'!$K$8:$K$2847,MATCH(D2658,'Curva ABC'!$B$8:$B$2847,0))</f>
        <v>C</v>
      </c>
    </row>
    <row r="2659" customFormat="false" ht="15" hidden="false" customHeight="false" outlineLevel="0" collapsed="false">
      <c r="A2659" s="34" t="s">
        <v>5799</v>
      </c>
      <c r="B2659" s="34" t="str">
        <f aca="false">'Uso e Consumo'!A2659</f>
        <v>0335</v>
      </c>
      <c r="C2659" s="34" t="str">
        <f aca="false">'Uso e Consumo'!B2659</f>
        <v>UFV NORONHA VERDE - USO E CONSUMO</v>
      </c>
      <c r="D2659" s="33" t="n">
        <f aca="false">'Uso e Consumo'!C2659</f>
        <v>879111</v>
      </c>
      <c r="E2659" s="34" t="str">
        <f aca="false">'Uso e Consumo'!D2659</f>
        <v>27.01.0435</v>
      </c>
      <c r="F2659" s="34" t="str">
        <f aca="false">'Uso e Consumo'!E2659</f>
        <v>SERINGA DE 3 ML</v>
      </c>
      <c r="G2659" s="34" t="str">
        <f aca="false">'Uso e Consumo'!J2659</f>
        <v>UN</v>
      </c>
      <c r="H2659" s="49" t="n">
        <f aca="false">'Uso e Consumo'!F2659</f>
        <v>8</v>
      </c>
      <c r="I2659" s="35" t="n">
        <f aca="false">'Uso e Consumo'!G2659</f>
        <v>8</v>
      </c>
      <c r="J2659" s="34" t="str">
        <f aca="false">'Uso e Consumo'!M2659</f>
        <v>4.3.4.006 - Medicamentos e primeiro socorros</v>
      </c>
      <c r="K2659" s="32" t="str">
        <f aca="false">INDEX('Curva ABC'!$K$8:$K$2847,MATCH(D2659,'Curva ABC'!$B$8:$B$2847,0))</f>
        <v>C</v>
      </c>
    </row>
    <row r="2660" customFormat="false" ht="15" hidden="false" customHeight="false" outlineLevel="0" collapsed="false">
      <c r="A2660" s="34" t="s">
        <v>5799</v>
      </c>
      <c r="B2660" s="34" t="str">
        <f aca="false">'Uso e Consumo'!A2660</f>
        <v>0335</v>
      </c>
      <c r="C2660" s="34" t="str">
        <f aca="false">'Uso e Consumo'!B2660</f>
        <v>UFV NORONHA VERDE - USO E CONSUMO</v>
      </c>
      <c r="D2660" s="33" t="n">
        <f aca="false">'Uso e Consumo'!C2660</f>
        <v>14628</v>
      </c>
      <c r="E2660" s="34" t="str">
        <f aca="false">'Uso e Consumo'!D2660</f>
        <v>18.01.0203</v>
      </c>
      <c r="F2660" s="34" t="str">
        <f aca="false">'Uso e Consumo'!E2660</f>
        <v>BUCHA REDUCAO PVC SOLDAVEL LONGO 40,00MM X 32,00MM</v>
      </c>
      <c r="G2660" s="34" t="str">
        <f aca="false">'Uso e Consumo'!J2660</f>
        <v>UN</v>
      </c>
      <c r="H2660" s="49" t="n">
        <f aca="false">'Uso e Consumo'!F2660</f>
        <v>1</v>
      </c>
      <c r="I2660" s="35" t="n">
        <f aca="false">'Uso e Consumo'!G2660</f>
        <v>7.98</v>
      </c>
      <c r="J2660" s="34" t="str">
        <f aca="false">'Uso e Consumo'!M2660</f>
        <v>3.8.1.018 - Instalações hidráulicas/sanitárias/industriais</v>
      </c>
      <c r="K2660" s="32" t="str">
        <f aca="false">INDEX('Curva ABC'!$K$8:$K$2847,MATCH(D2660,'Curva ABC'!$B$8:$B$2847,0))</f>
        <v>C</v>
      </c>
    </row>
    <row r="2661" customFormat="false" ht="15" hidden="false" customHeight="false" outlineLevel="0" collapsed="false">
      <c r="A2661" s="34" t="s">
        <v>5799</v>
      </c>
      <c r="B2661" s="34" t="str">
        <f aca="false">'Uso e Consumo'!A2661</f>
        <v>0335</v>
      </c>
      <c r="C2661" s="34" t="str">
        <f aca="false">'Uso e Consumo'!B2661</f>
        <v>UFV NORONHA VERDE - USO E CONSUMO</v>
      </c>
      <c r="D2661" s="33" t="n">
        <f aca="false">'Uso e Consumo'!C2661</f>
        <v>34095</v>
      </c>
      <c r="E2661" s="34" t="str">
        <f aca="false">'Uso e Consumo'!D2661</f>
        <v>25.02.0033</v>
      </c>
      <c r="F2661" s="34" t="str">
        <f aca="false">'Uso e Consumo'!E2661</f>
        <v>LIXA MASSA  N 120 225,00MM X 275,00MM</v>
      </c>
      <c r="G2661" s="34" t="str">
        <f aca="false">'Uso e Consumo'!J2661</f>
        <v>UN</v>
      </c>
      <c r="H2661" s="49" t="n">
        <f aca="false">'Uso e Consumo'!F2661</f>
        <v>2</v>
      </c>
      <c r="I2661" s="35" t="n">
        <f aca="false">'Uso e Consumo'!G2661</f>
        <v>7.96</v>
      </c>
      <c r="J2661" s="34" t="str">
        <f aca="false">'Uso e Consumo'!M2661</f>
        <v>3.8.1.016 - Pinturas</v>
      </c>
      <c r="K2661" s="32" t="str">
        <f aca="false">INDEX('Curva ABC'!$K$8:$K$2847,MATCH(D2661,'Curva ABC'!$B$8:$B$2847,0))</f>
        <v>C</v>
      </c>
    </row>
    <row r="2662" customFormat="false" ht="15" hidden="false" customHeight="false" outlineLevel="0" collapsed="false">
      <c r="A2662" s="34" t="s">
        <v>5799</v>
      </c>
      <c r="B2662" s="34" t="str">
        <f aca="false">'Uso e Consumo'!A2662</f>
        <v>0335</v>
      </c>
      <c r="C2662" s="34" t="str">
        <f aca="false">'Uso e Consumo'!B2662</f>
        <v>UFV NORONHA VERDE - USO E CONSUMO</v>
      </c>
      <c r="D2662" s="33" t="n">
        <f aca="false">'Uso e Consumo'!C2662</f>
        <v>32057</v>
      </c>
      <c r="E2662" s="34" t="str">
        <f aca="false">'Uso e Consumo'!D2662</f>
        <v>34.02.0544</v>
      </c>
      <c r="F2662" s="34" t="str">
        <f aca="false">'Uso e Consumo'!E2662</f>
        <v>ORING DE BICO INJETOR</v>
      </c>
      <c r="G2662" s="34" t="str">
        <f aca="false">'Uso e Consumo'!J2662</f>
        <v>UN</v>
      </c>
      <c r="H2662" s="49" t="n">
        <f aca="false">'Uso e Consumo'!F2662</f>
        <v>4</v>
      </c>
      <c r="I2662" s="35" t="n">
        <f aca="false">'Uso e Consumo'!G2662</f>
        <v>7.92</v>
      </c>
      <c r="J2662" s="34" t="str">
        <f aca="false">'Uso e Consumo'!M2662</f>
        <v>3.1.6.002 - Pneus e peças</v>
      </c>
      <c r="K2662" s="32" t="str">
        <f aca="false">INDEX('Curva ABC'!$K$8:$K$2847,MATCH(D2662,'Curva ABC'!$B$8:$B$2847,0))</f>
        <v>C</v>
      </c>
    </row>
    <row r="2663" customFormat="false" ht="15" hidden="false" customHeight="false" outlineLevel="0" collapsed="false">
      <c r="A2663" s="34" t="s">
        <v>5799</v>
      </c>
      <c r="B2663" s="34" t="str">
        <f aca="false">'Uso e Consumo'!A2663</f>
        <v>0335</v>
      </c>
      <c r="C2663" s="34" t="str">
        <f aca="false">'Uso e Consumo'!B2663</f>
        <v>UFV NORONHA VERDE - USO E CONSUMO</v>
      </c>
      <c r="D2663" s="33" t="n">
        <f aca="false">'Uso e Consumo'!C2663</f>
        <v>55071</v>
      </c>
      <c r="E2663" s="34" t="str">
        <f aca="false">'Uso e Consumo'!D2663</f>
        <v>17.10.0202</v>
      </c>
      <c r="F2663" s="34" t="str">
        <f aca="false">'Uso e Consumo'!E2663</f>
        <v>DISJUNTOR MONOFÁSICO 50A – 127/220/380V NBR 60898</v>
      </c>
      <c r="G2663" s="34" t="str">
        <f aca="false">'Uso e Consumo'!J2663</f>
        <v>UN</v>
      </c>
      <c r="H2663" s="49" t="n">
        <f aca="false">'Uso e Consumo'!F2663</f>
        <v>1</v>
      </c>
      <c r="I2663" s="35" t="n">
        <f aca="false">'Uso e Consumo'!G2663</f>
        <v>7.9</v>
      </c>
      <c r="J2663" s="34" t="str">
        <f aca="false">'Uso e Consumo'!M2663</f>
        <v>3.8.1.017 - Instalações elétricas/telefônicas/lógica</v>
      </c>
      <c r="K2663" s="32" t="str">
        <f aca="false">INDEX('Curva ABC'!$K$8:$K$2847,MATCH(D2663,'Curva ABC'!$B$8:$B$2847,0))</f>
        <v>C</v>
      </c>
    </row>
    <row r="2664" customFormat="false" ht="15" hidden="false" customHeight="false" outlineLevel="0" collapsed="false">
      <c r="A2664" s="34" t="s">
        <v>5799</v>
      </c>
      <c r="B2664" s="34" t="str">
        <f aca="false">'Uso e Consumo'!A2664</f>
        <v>0335</v>
      </c>
      <c r="C2664" s="34" t="str">
        <f aca="false">'Uso e Consumo'!B2664</f>
        <v>UFV NORONHA VERDE - USO E CONSUMO</v>
      </c>
      <c r="D2664" s="33" t="n">
        <f aca="false">'Uso e Consumo'!C2664</f>
        <v>16884</v>
      </c>
      <c r="E2664" s="34" t="str">
        <f aca="false">'Uso e Consumo'!D2664</f>
        <v>23.05.0058</v>
      </c>
      <c r="F2664" s="34" t="str">
        <f aca="false">'Uso e Consumo'!E2664</f>
        <v>ARRUELA LISA LATAO 3/8"</v>
      </c>
      <c r="G2664" s="34" t="str">
        <f aca="false">'Uso e Consumo'!J2664</f>
        <v>UN</v>
      </c>
      <c r="H2664" s="49" t="n">
        <f aca="false">'Uso e Consumo'!F2664</f>
        <v>8</v>
      </c>
      <c r="I2664" s="35" t="n">
        <f aca="false">'Uso e Consumo'!G2664</f>
        <v>7.84</v>
      </c>
      <c r="J2664" s="34" t="str">
        <f aca="false">'Uso e Consumo'!M2664</f>
        <v>3.8.1.022 - Elementos de fixação</v>
      </c>
      <c r="K2664" s="32" t="str">
        <f aca="false">INDEX('Curva ABC'!$K$8:$K$2847,MATCH(D2664,'Curva ABC'!$B$8:$B$2847,0))</f>
        <v>C</v>
      </c>
    </row>
    <row r="2665" customFormat="false" ht="15" hidden="false" customHeight="false" outlineLevel="0" collapsed="false">
      <c r="A2665" s="34" t="s">
        <v>5799</v>
      </c>
      <c r="B2665" s="34" t="str">
        <f aca="false">'Uso e Consumo'!A2665</f>
        <v>0335</v>
      </c>
      <c r="C2665" s="34" t="str">
        <f aca="false">'Uso e Consumo'!B2665</f>
        <v>UFV NORONHA VERDE - USO E CONSUMO</v>
      </c>
      <c r="D2665" s="33" t="n">
        <f aca="false">'Uso e Consumo'!C2665</f>
        <v>1096374</v>
      </c>
      <c r="E2665" s="34" t="str">
        <f aca="false">'Uso e Consumo'!D2665</f>
        <v>23.05.0267</v>
      </c>
      <c r="F2665" s="34" t="str">
        <f aca="false">'Uso e Consumo'!E2665</f>
        <v>ARRUELA LISA INOX M4</v>
      </c>
      <c r="G2665" s="34" t="str">
        <f aca="false">'Uso e Consumo'!J2665</f>
        <v>UN</v>
      </c>
      <c r="H2665" s="49" t="n">
        <f aca="false">'Uso e Consumo'!F2665</f>
        <v>8</v>
      </c>
      <c r="I2665" s="35" t="n">
        <f aca="false">'Uso e Consumo'!G2665</f>
        <v>7.84</v>
      </c>
      <c r="J2665" s="34" t="str">
        <f aca="false">'Uso e Consumo'!M2665</f>
        <v>3.8.1.022 - Elementos de fixação</v>
      </c>
      <c r="K2665" s="32" t="str">
        <f aca="false">INDEX('Curva ABC'!$K$8:$K$2847,MATCH(D2665,'Curva ABC'!$B$8:$B$2847,0))</f>
        <v>C</v>
      </c>
    </row>
    <row r="2666" customFormat="false" ht="15" hidden="false" customHeight="false" outlineLevel="0" collapsed="false">
      <c r="A2666" s="34" t="s">
        <v>5799</v>
      </c>
      <c r="B2666" s="34" t="str">
        <f aca="false">'Uso e Consumo'!A2666</f>
        <v>0335</v>
      </c>
      <c r="C2666" s="34" t="str">
        <f aca="false">'Uso e Consumo'!B2666</f>
        <v>UFV NORONHA VERDE - USO E CONSUMO</v>
      </c>
      <c r="D2666" s="33" t="n">
        <f aca="false">'Uso e Consumo'!C2666</f>
        <v>55411</v>
      </c>
      <c r="E2666" s="34" t="str">
        <f aca="false">'Uso e Consumo'!D2666</f>
        <v>24.09.0293</v>
      </c>
      <c r="F2666" s="34" t="str">
        <f aca="false">'Uso e Consumo'!E2666</f>
        <v>CHAVE COMBINADA 7MM</v>
      </c>
      <c r="G2666" s="34" t="str">
        <f aca="false">'Uso e Consumo'!J2666</f>
        <v>UN</v>
      </c>
      <c r="H2666" s="49" t="n">
        <f aca="false">'Uso e Consumo'!F2666</f>
        <v>1</v>
      </c>
      <c r="I2666" s="35" t="n">
        <f aca="false">'Uso e Consumo'!G2666</f>
        <v>7.8</v>
      </c>
      <c r="J2666" s="34" t="str">
        <f aca="false">'Uso e Consumo'!M2666</f>
        <v>3.8.2.002 - Ferramentas manuais</v>
      </c>
      <c r="K2666" s="32" t="str">
        <f aca="false">INDEX('Curva ABC'!$K$8:$K$2847,MATCH(D2666,'Curva ABC'!$B$8:$B$2847,0))</f>
        <v>C</v>
      </c>
    </row>
    <row r="2667" customFormat="false" ht="15" hidden="false" customHeight="false" outlineLevel="0" collapsed="false">
      <c r="A2667" s="34" t="s">
        <v>5799</v>
      </c>
      <c r="B2667" s="34" t="str">
        <f aca="false">'Uso e Consumo'!A2667</f>
        <v>0335</v>
      </c>
      <c r="C2667" s="34" t="str">
        <f aca="false">'Uso e Consumo'!B2667</f>
        <v>UFV NORONHA VERDE - USO E CONSUMO</v>
      </c>
      <c r="D2667" s="33" t="n">
        <f aca="false">'Uso e Consumo'!C2667</f>
        <v>609655</v>
      </c>
      <c r="E2667" s="34" t="str">
        <f aca="false">'Uso e Consumo'!D2667</f>
        <v>24.09.0518</v>
      </c>
      <c r="F2667" s="34" t="str">
        <f aca="false">'Uso e Consumo'!E2667</f>
        <v>CHAVE COMBINADA 6,00MM AÇO CARBONO CROMADO</v>
      </c>
      <c r="G2667" s="34" t="str">
        <f aca="false">'Uso e Consumo'!J2667</f>
        <v>UN</v>
      </c>
      <c r="H2667" s="49" t="n">
        <f aca="false">'Uso e Consumo'!F2667</f>
        <v>1</v>
      </c>
      <c r="I2667" s="35" t="n">
        <f aca="false">'Uso e Consumo'!G2667</f>
        <v>7.8</v>
      </c>
      <c r="J2667" s="34" t="str">
        <f aca="false">'Uso e Consumo'!M2667</f>
        <v>3.8.2.002 - Ferramentas manuais</v>
      </c>
      <c r="K2667" s="32" t="str">
        <f aca="false">INDEX('Curva ABC'!$K$8:$K$2847,MATCH(D2667,'Curva ABC'!$B$8:$B$2847,0))</f>
        <v>C</v>
      </c>
    </row>
    <row r="2668" customFormat="false" ht="15" hidden="false" customHeight="false" outlineLevel="0" collapsed="false">
      <c r="A2668" s="34" t="s">
        <v>5799</v>
      </c>
      <c r="B2668" s="34" t="str">
        <f aca="false">'Uso e Consumo'!A2668</f>
        <v>0335</v>
      </c>
      <c r="C2668" s="34" t="str">
        <f aca="false">'Uso e Consumo'!B2668</f>
        <v>UFV NORONHA VERDE - USO E CONSUMO</v>
      </c>
      <c r="D2668" s="33" t="n">
        <f aca="false">'Uso e Consumo'!C2668</f>
        <v>1662387</v>
      </c>
      <c r="E2668" s="34" t="str">
        <f aca="false">'Uso e Consumo'!D2668</f>
        <v>23.07.1639</v>
      </c>
      <c r="F2668" s="34" t="str">
        <f aca="false">'Uso e Consumo'!E2668</f>
        <v>PARAFUSO SEXTAVADO DE ACO GALVANIZADO, ROSCA TOTAL, BITOLA M10 X 35 MM</v>
      </c>
      <c r="G2668" s="34" t="str">
        <f aca="false">'Uso e Consumo'!J2668</f>
        <v>UN</v>
      </c>
      <c r="H2668" s="49" t="n">
        <f aca="false">'Uso e Consumo'!F2668</f>
        <v>8</v>
      </c>
      <c r="I2668" s="35" t="n">
        <f aca="false">'Uso e Consumo'!G2668</f>
        <v>7.67</v>
      </c>
      <c r="J2668" s="34" t="str">
        <f aca="false">'Uso e Consumo'!M2668</f>
        <v>3.8.1.022 - Elementos de fixação</v>
      </c>
      <c r="K2668" s="32" t="str">
        <f aca="false">INDEX('Curva ABC'!$K$8:$K$2847,MATCH(D2668,'Curva ABC'!$B$8:$B$2847,0))</f>
        <v>C</v>
      </c>
    </row>
    <row r="2669" customFormat="false" ht="15" hidden="false" customHeight="false" outlineLevel="0" collapsed="false">
      <c r="A2669" s="34" t="s">
        <v>5799</v>
      </c>
      <c r="B2669" s="34" t="str">
        <f aca="false">'Uso e Consumo'!A2669</f>
        <v>0335</v>
      </c>
      <c r="C2669" s="34" t="str">
        <f aca="false">'Uso e Consumo'!B2669</f>
        <v>UFV NORONHA VERDE - USO E CONSUMO</v>
      </c>
      <c r="D2669" s="33" t="n">
        <f aca="false">'Uso e Consumo'!C2669</f>
        <v>1484400</v>
      </c>
      <c r="E2669" s="34" t="str">
        <f aca="false">'Uso e Consumo'!D2669</f>
        <v>18.09.0373</v>
      </c>
      <c r="F2669" s="34" t="str">
        <f aca="false">'Uso e Consumo'!E2669</f>
        <v> ADAPTADOR FF DE METAL 6"</v>
      </c>
      <c r="G2669" s="34" t="str">
        <f aca="false">'Uso e Consumo'!J2669</f>
        <v>UN</v>
      </c>
      <c r="H2669" s="49" t="n">
        <f aca="false">'Uso e Consumo'!F2669</f>
        <v>1</v>
      </c>
      <c r="I2669" s="35" t="n">
        <f aca="false">'Uso e Consumo'!G2669</f>
        <v>7.48</v>
      </c>
      <c r="J2669" s="34" t="str">
        <f aca="false">'Uso e Consumo'!M2669</f>
        <v>3.8.1.018 - Instalações hidráulicas/sanitárias/industriais</v>
      </c>
      <c r="K2669" s="32" t="str">
        <f aca="false">INDEX('Curva ABC'!$K$8:$K$2847,MATCH(D2669,'Curva ABC'!$B$8:$B$2847,0))</f>
        <v>C</v>
      </c>
    </row>
    <row r="2670" customFormat="false" ht="15" hidden="false" customHeight="false" outlineLevel="0" collapsed="false">
      <c r="A2670" s="34" t="s">
        <v>5799</v>
      </c>
      <c r="B2670" s="34" t="str">
        <f aca="false">'Uso e Consumo'!A2670</f>
        <v>0335</v>
      </c>
      <c r="C2670" s="34" t="str">
        <f aca="false">'Uso e Consumo'!B2670</f>
        <v>UFV NORONHA VERDE - USO E CONSUMO</v>
      </c>
      <c r="D2670" s="33" t="n">
        <f aca="false">'Uso e Consumo'!C2670</f>
        <v>13148</v>
      </c>
      <c r="E2670" s="34" t="str">
        <f aca="false">'Uso e Consumo'!D2670</f>
        <v>17.04.0009</v>
      </c>
      <c r="F2670" s="34" t="str">
        <f aca="false">'Uso e Consumo'!E2670</f>
        <v>EMENDA INTERNA I P/PERFILADO PERFURADO AÇO CARBONO GALVANIZADO 38,00MM X 38,00MM NBR 11888-2</v>
      </c>
      <c r="G2670" s="34" t="str">
        <f aca="false">'Uso e Consumo'!J2670</f>
        <v>UN</v>
      </c>
      <c r="H2670" s="49" t="n">
        <f aca="false">'Uso e Consumo'!F2670</f>
        <v>2</v>
      </c>
      <c r="I2670" s="35" t="n">
        <f aca="false">'Uso e Consumo'!G2670</f>
        <v>7</v>
      </c>
      <c r="J2670" s="34" t="str">
        <f aca="false">'Uso e Consumo'!M2670</f>
        <v>3.8.1.017 - Instalações elétricas/telefônicas/lógica</v>
      </c>
      <c r="K2670" s="32" t="str">
        <f aca="false">INDEX('Curva ABC'!$K$8:$K$2847,MATCH(D2670,'Curva ABC'!$B$8:$B$2847,0))</f>
        <v>C</v>
      </c>
    </row>
    <row r="2671" customFormat="false" ht="15" hidden="false" customHeight="false" outlineLevel="0" collapsed="false">
      <c r="A2671" s="34" t="s">
        <v>5799</v>
      </c>
      <c r="B2671" s="34" t="str">
        <f aca="false">'Uso e Consumo'!A2671</f>
        <v>0335</v>
      </c>
      <c r="C2671" s="34" t="str">
        <f aca="false">'Uso e Consumo'!B2671</f>
        <v>UFV NORONHA VERDE - USO E CONSUMO</v>
      </c>
      <c r="D2671" s="33" t="n">
        <f aca="false">'Uso e Consumo'!C2671</f>
        <v>56737</v>
      </c>
      <c r="E2671" s="34" t="str">
        <f aca="false">'Uso e Consumo'!D2671</f>
        <v>17.16.0138</v>
      </c>
      <c r="F2671" s="34" t="str">
        <f aca="false">'Uso e Consumo'!E2671</f>
        <v>TERMINAL PRÉ-ISOLADO TIPO AGULHA COBRE ESTANHADO 1,5MM2</v>
      </c>
      <c r="G2671" s="34" t="str">
        <f aca="false">'Uso e Consumo'!J2671</f>
        <v>UN</v>
      </c>
      <c r="H2671" s="49" t="n">
        <f aca="false">'Uso e Consumo'!F2671</f>
        <v>50</v>
      </c>
      <c r="I2671" s="35" t="n">
        <f aca="false">'Uso e Consumo'!G2671</f>
        <v>7</v>
      </c>
      <c r="J2671" s="34" t="str">
        <f aca="false">'Uso e Consumo'!M2671</f>
        <v>3.8.1.017 - Instalações elétricas/telefônicas/lógica</v>
      </c>
      <c r="K2671" s="32" t="str">
        <f aca="false">INDEX('Curva ABC'!$K$8:$K$2847,MATCH(D2671,'Curva ABC'!$B$8:$B$2847,0))</f>
        <v>C</v>
      </c>
    </row>
    <row r="2672" customFormat="false" ht="15" hidden="false" customHeight="false" outlineLevel="0" collapsed="false">
      <c r="A2672" s="34" t="s">
        <v>5799</v>
      </c>
      <c r="B2672" s="34" t="str">
        <f aca="false">'Uso e Consumo'!A2672</f>
        <v>0335</v>
      </c>
      <c r="C2672" s="34" t="str">
        <f aca="false">'Uso e Consumo'!B2672</f>
        <v>UFV NORONHA VERDE - USO E CONSUMO</v>
      </c>
      <c r="D2672" s="33" t="n">
        <f aca="false">'Uso e Consumo'!C2672</f>
        <v>232747</v>
      </c>
      <c r="E2672" s="34" t="str">
        <f aca="false">'Uso e Consumo'!D2672</f>
        <v>23.07.1101</v>
      </c>
      <c r="F2672" s="34" t="str">
        <f aca="false">'Uso e Consumo'!E2672</f>
        <v>PARAFUSO PHILIPS M5X16</v>
      </c>
      <c r="G2672" s="34" t="str">
        <f aca="false">'Uso e Consumo'!J2672</f>
        <v>PC</v>
      </c>
      <c r="H2672" s="49" t="n">
        <f aca="false">'Uso e Consumo'!F2672</f>
        <v>9</v>
      </c>
      <c r="I2672" s="35" t="n">
        <f aca="false">'Uso e Consumo'!G2672</f>
        <v>6.72</v>
      </c>
      <c r="J2672" s="34" t="str">
        <f aca="false">'Uso e Consumo'!M2672</f>
        <v>3.8.1.022 - Elementos de fixação</v>
      </c>
      <c r="K2672" s="32" t="str">
        <f aca="false">INDEX('Curva ABC'!$K$8:$K$2847,MATCH(D2672,'Curva ABC'!$B$8:$B$2847,0))</f>
        <v>C</v>
      </c>
    </row>
    <row r="2673" customFormat="false" ht="15" hidden="false" customHeight="false" outlineLevel="0" collapsed="false">
      <c r="A2673" s="34" t="s">
        <v>5799</v>
      </c>
      <c r="B2673" s="34" t="str">
        <f aca="false">'Uso e Consumo'!A2673</f>
        <v>0335</v>
      </c>
      <c r="C2673" s="34" t="str">
        <f aca="false">'Uso e Consumo'!B2673</f>
        <v>UFV NORONHA VERDE - USO E CONSUMO</v>
      </c>
      <c r="D2673" s="33" t="n">
        <f aca="false">'Uso e Consumo'!C2673</f>
        <v>14738</v>
      </c>
      <c r="E2673" s="34" t="str">
        <f aca="false">'Uso e Consumo'!D2673</f>
        <v>18.01.0313</v>
      </c>
      <c r="F2673" s="34" t="str">
        <f aca="false">'Uso e Consumo'!E2673</f>
        <v>JOELHO 45GR PVCS RIGIDO NORMAL SOLDAVEL 50,00MM P/ESGOTO</v>
      </c>
      <c r="G2673" s="34" t="str">
        <f aca="false">'Uso e Consumo'!J2673</f>
        <v>UN</v>
      </c>
      <c r="H2673" s="49" t="n">
        <f aca="false">'Uso e Consumo'!F2673</f>
        <v>2</v>
      </c>
      <c r="I2673" s="35" t="n">
        <f aca="false">'Uso e Consumo'!G2673</f>
        <v>6.56</v>
      </c>
      <c r="J2673" s="34" t="str">
        <f aca="false">'Uso e Consumo'!M2673</f>
        <v>3.8.1.018 - Instalações hidráulicas/sanitárias/industriais</v>
      </c>
      <c r="K2673" s="32" t="str">
        <f aca="false">INDEX('Curva ABC'!$K$8:$K$2847,MATCH(D2673,'Curva ABC'!$B$8:$B$2847,0))</f>
        <v>C</v>
      </c>
    </row>
    <row r="2674" customFormat="false" ht="15" hidden="false" customHeight="false" outlineLevel="0" collapsed="false">
      <c r="A2674" s="34" t="s">
        <v>5799</v>
      </c>
      <c r="B2674" s="34" t="str">
        <f aca="false">'Uso e Consumo'!A2674</f>
        <v>0335</v>
      </c>
      <c r="C2674" s="34" t="str">
        <f aca="false">'Uso e Consumo'!B2674</f>
        <v>UFV NORONHA VERDE - USO E CONSUMO</v>
      </c>
      <c r="D2674" s="33" t="n">
        <f aca="false">'Uso e Consumo'!C2674</f>
        <v>65218</v>
      </c>
      <c r="E2674" s="34" t="str">
        <f aca="false">'Uso e Consumo'!D2674</f>
        <v>27.01.0154</v>
      </c>
      <c r="F2674" s="34" t="str">
        <f aca="false">'Uso e Consumo'!E2674</f>
        <v>SERINGA HIPODÉRMICA C/ AGULHA - BD - 20ML - 0,7MM X 25MM</v>
      </c>
      <c r="G2674" s="34" t="str">
        <f aca="false">'Uso e Consumo'!J2674</f>
        <v>UN</v>
      </c>
      <c r="H2674" s="49" t="n">
        <f aca="false">'Uso e Consumo'!F2674</f>
        <v>8</v>
      </c>
      <c r="I2674" s="35" t="n">
        <f aca="false">'Uso e Consumo'!G2674</f>
        <v>6.4</v>
      </c>
      <c r="J2674" s="34" t="str">
        <f aca="false">'Uso e Consumo'!M2674</f>
        <v>4.3.4.006 - Medicamentos e primeiro socorros</v>
      </c>
      <c r="K2674" s="32" t="str">
        <f aca="false">INDEX('Curva ABC'!$K$8:$K$2847,MATCH(D2674,'Curva ABC'!$B$8:$B$2847,0))</f>
        <v>C</v>
      </c>
    </row>
    <row r="2675" customFormat="false" ht="15" hidden="false" customHeight="false" outlineLevel="0" collapsed="false">
      <c r="A2675" s="34" t="s">
        <v>5799</v>
      </c>
      <c r="B2675" s="34" t="str">
        <f aca="false">'Uso e Consumo'!A2675</f>
        <v>0335</v>
      </c>
      <c r="C2675" s="34" t="str">
        <f aca="false">'Uso e Consumo'!B2675</f>
        <v>UFV NORONHA VERDE - USO E CONSUMO</v>
      </c>
      <c r="D2675" s="33" t="n">
        <f aca="false">'Uso e Consumo'!C2675</f>
        <v>389234</v>
      </c>
      <c r="E2675" s="34" t="str">
        <f aca="false">'Uso e Consumo'!D2675</f>
        <v>23.07.1252</v>
      </c>
      <c r="F2675" s="34" t="str">
        <f aca="false">'Uso e Consumo'!E2675</f>
        <v>PARAFUSO SEXTAVADO - 6H1717</v>
      </c>
      <c r="G2675" s="34" t="str">
        <f aca="false">'Uso e Consumo'!J2675</f>
        <v>UN</v>
      </c>
      <c r="H2675" s="49" t="n">
        <f aca="false">'Uso e Consumo'!F2675</f>
        <v>2</v>
      </c>
      <c r="I2675" s="35" t="n">
        <f aca="false">'Uso e Consumo'!G2675</f>
        <v>6.36</v>
      </c>
      <c r="J2675" s="34" t="str">
        <f aca="false">'Uso e Consumo'!M2675</f>
        <v>3.8.1.022 - Elementos de fixação</v>
      </c>
      <c r="K2675" s="32" t="str">
        <f aca="false">INDEX('Curva ABC'!$K$8:$K$2847,MATCH(D2675,'Curva ABC'!$B$8:$B$2847,0))</f>
        <v>C</v>
      </c>
    </row>
    <row r="2676" customFormat="false" ht="15" hidden="false" customHeight="false" outlineLevel="0" collapsed="false">
      <c r="A2676" s="34" t="s">
        <v>5799</v>
      </c>
      <c r="B2676" s="34" t="str">
        <f aca="false">'Uso e Consumo'!A2676</f>
        <v>0335</v>
      </c>
      <c r="C2676" s="34" t="str">
        <f aca="false">'Uso e Consumo'!B2676</f>
        <v>UFV NORONHA VERDE - USO E CONSUMO</v>
      </c>
      <c r="D2676" s="33" t="n">
        <f aca="false">'Uso e Consumo'!C2676</f>
        <v>16956</v>
      </c>
      <c r="E2676" s="34" t="str">
        <f aca="false">'Uso e Consumo'!D2676</f>
        <v>23.06.0037</v>
      </c>
      <c r="F2676" s="34" t="str">
        <f aca="false">'Uso e Consumo'!E2676</f>
        <v>PORCA SEXTAVADA AÇO CARBONO SAE 1045 UNC 9/16" 12 FIOS ZINCADO BRANCO</v>
      </c>
      <c r="G2676" s="34" t="str">
        <f aca="false">'Uso e Consumo'!J2676</f>
        <v>UN</v>
      </c>
      <c r="H2676" s="49" t="n">
        <f aca="false">'Uso e Consumo'!F2676</f>
        <v>4</v>
      </c>
      <c r="I2676" s="35" t="n">
        <f aca="false">'Uso e Consumo'!G2676</f>
        <v>6.32</v>
      </c>
      <c r="J2676" s="34" t="str">
        <f aca="false">'Uso e Consumo'!M2676</f>
        <v>3.8.1.022 - Elementos de fixação</v>
      </c>
      <c r="K2676" s="32" t="str">
        <f aca="false">INDEX('Curva ABC'!$K$8:$K$2847,MATCH(D2676,'Curva ABC'!$B$8:$B$2847,0))</f>
        <v>C</v>
      </c>
    </row>
    <row r="2677" customFormat="false" ht="15" hidden="false" customHeight="false" outlineLevel="0" collapsed="false">
      <c r="A2677" s="34" t="s">
        <v>5799</v>
      </c>
      <c r="B2677" s="34" t="str">
        <f aca="false">'Uso e Consumo'!A2677</f>
        <v>0335</v>
      </c>
      <c r="C2677" s="34" t="str">
        <f aca="false">'Uso e Consumo'!B2677</f>
        <v>UFV NORONHA VERDE - USO E CONSUMO</v>
      </c>
      <c r="D2677" s="33" t="n">
        <f aca="false">'Uso e Consumo'!C2677</f>
        <v>21468</v>
      </c>
      <c r="E2677" s="34" t="str">
        <f aca="false">'Uso e Consumo'!D2677</f>
        <v>33.02.0025</v>
      </c>
      <c r="F2677" s="34" t="str">
        <f aca="false">'Uso e Consumo'!E2677</f>
        <v>PARAFUSO SX 12X25 8.8 MA</v>
      </c>
      <c r="G2677" s="34" t="str">
        <f aca="false">'Uso e Consumo'!J2677</f>
        <v>UN</v>
      </c>
      <c r="H2677" s="49" t="n">
        <f aca="false">'Uso e Consumo'!F2677</f>
        <v>4</v>
      </c>
      <c r="I2677" s="35" t="n">
        <f aca="false">'Uso e Consumo'!G2677</f>
        <v>6.32</v>
      </c>
      <c r="J2677" s="34" t="str">
        <f aca="false">'Uso e Consumo'!M2677</f>
        <v>3.1.6.002 - Pneus e peças</v>
      </c>
      <c r="K2677" s="32" t="str">
        <f aca="false">INDEX('Curva ABC'!$K$8:$K$2847,MATCH(D2677,'Curva ABC'!$B$8:$B$2847,0))</f>
        <v>C</v>
      </c>
    </row>
    <row r="2678" customFormat="false" ht="15" hidden="false" customHeight="false" outlineLevel="0" collapsed="false">
      <c r="A2678" s="34" t="s">
        <v>5799</v>
      </c>
      <c r="B2678" s="34" t="str">
        <f aca="false">'Uso e Consumo'!A2678</f>
        <v>0335</v>
      </c>
      <c r="C2678" s="34" t="str">
        <f aca="false">'Uso e Consumo'!B2678</f>
        <v>UFV NORONHA VERDE - USO E CONSUMO</v>
      </c>
      <c r="D2678" s="33" t="n">
        <f aca="false">'Uso e Consumo'!C2678</f>
        <v>942226</v>
      </c>
      <c r="E2678" s="34" t="str">
        <f aca="false">'Uso e Consumo'!D2678</f>
        <v>23.08.0070</v>
      </c>
      <c r="F2678" s="34" t="str">
        <f aca="false">'Uso e Consumo'!E2678</f>
        <v>BUCHA NYLON S8</v>
      </c>
      <c r="G2678" s="34" t="str">
        <f aca="false">'Uso e Consumo'!J2678</f>
        <v>UN</v>
      </c>
      <c r="H2678" s="49" t="n">
        <f aca="false">'Uso e Consumo'!F2678</f>
        <v>58</v>
      </c>
      <c r="I2678" s="35" t="n">
        <f aca="false">'Uso e Consumo'!G2678</f>
        <v>6.12</v>
      </c>
      <c r="J2678" s="34" t="str">
        <f aca="false">'Uso e Consumo'!M2678</f>
        <v>3.8.1.022 - Elementos de fixação</v>
      </c>
      <c r="K2678" s="32" t="str">
        <f aca="false">INDEX('Curva ABC'!$K$8:$K$2847,MATCH(D2678,'Curva ABC'!$B$8:$B$2847,0))</f>
        <v>C</v>
      </c>
    </row>
    <row r="2679" customFormat="false" ht="15" hidden="false" customHeight="false" outlineLevel="0" collapsed="false">
      <c r="A2679" s="34" t="s">
        <v>5799</v>
      </c>
      <c r="B2679" s="34" t="str">
        <f aca="false">'Uso e Consumo'!A2679</f>
        <v>0335</v>
      </c>
      <c r="C2679" s="34" t="str">
        <f aca="false">'Uso e Consumo'!B2679</f>
        <v>UFV NORONHA VERDE - USO E CONSUMO</v>
      </c>
      <c r="D2679" s="33" t="n">
        <f aca="false">'Uso e Consumo'!C2679</f>
        <v>275375</v>
      </c>
      <c r="E2679" s="34" t="str">
        <f aca="false">'Uso e Consumo'!D2679</f>
        <v>17.16.0243</v>
      </c>
      <c r="F2679" s="34" t="str">
        <f aca="false">'Uso e Consumo'!E2679</f>
        <v>TERMINAL TUBULAR TIPO ILHOS PRE ISOLADO P/CABO 2,5 MM</v>
      </c>
      <c r="G2679" s="34" t="str">
        <f aca="false">'Uso e Consumo'!J2679</f>
        <v>UN</v>
      </c>
      <c r="H2679" s="49" t="n">
        <f aca="false">'Uso e Consumo'!F2679</f>
        <v>56</v>
      </c>
      <c r="I2679" s="35" t="n">
        <f aca="false">'Uso e Consumo'!G2679</f>
        <v>6</v>
      </c>
      <c r="J2679" s="34" t="str">
        <f aca="false">'Uso e Consumo'!M2679</f>
        <v>3.8.1.017 - Instalações elétricas/telefônicas/lógica</v>
      </c>
      <c r="K2679" s="32" t="str">
        <f aca="false">INDEX('Curva ABC'!$K$8:$K$2847,MATCH(D2679,'Curva ABC'!$B$8:$B$2847,0))</f>
        <v>C</v>
      </c>
    </row>
    <row r="2680" customFormat="false" ht="15" hidden="false" customHeight="false" outlineLevel="0" collapsed="false">
      <c r="A2680" s="34" t="s">
        <v>5799</v>
      </c>
      <c r="B2680" s="34" t="str">
        <f aca="false">'Uso e Consumo'!A2680</f>
        <v>0335</v>
      </c>
      <c r="C2680" s="34" t="str">
        <f aca="false">'Uso e Consumo'!B2680</f>
        <v>UFV NORONHA VERDE - USO E CONSUMO</v>
      </c>
      <c r="D2680" s="33" t="n">
        <f aca="false">'Uso e Consumo'!C2680</f>
        <v>389287</v>
      </c>
      <c r="E2680" s="34" t="str">
        <f aca="false">'Uso e Consumo'!D2680</f>
        <v>23.05.0197</v>
      </c>
      <c r="F2680" s="34" t="str">
        <f aca="false">'Uso e Consumo'!E2680</f>
        <v>ARRUELA M12 GALVANIZADA (3/8)</v>
      </c>
      <c r="G2680" s="34" t="str">
        <f aca="false">'Uso e Consumo'!J2680</f>
        <v>UN</v>
      </c>
      <c r="H2680" s="49" t="n">
        <f aca="false">'Uso e Consumo'!F2680</f>
        <v>24</v>
      </c>
      <c r="I2680" s="35" t="n">
        <f aca="false">'Uso e Consumo'!G2680</f>
        <v>6</v>
      </c>
      <c r="J2680" s="34" t="str">
        <f aca="false">'Uso e Consumo'!M2680</f>
        <v>3.8.1.017 - Instalações elétricas/telefônicas/lógica</v>
      </c>
      <c r="K2680" s="32" t="str">
        <f aca="false">INDEX('Curva ABC'!$K$8:$K$2847,MATCH(D2680,'Curva ABC'!$B$8:$B$2847,0))</f>
        <v>C</v>
      </c>
    </row>
    <row r="2681" customFormat="false" ht="15" hidden="false" customHeight="false" outlineLevel="0" collapsed="false">
      <c r="A2681" s="34" t="s">
        <v>5799</v>
      </c>
      <c r="B2681" s="34" t="str">
        <f aca="false">'Uso e Consumo'!A2681</f>
        <v>0335</v>
      </c>
      <c r="C2681" s="34" t="str">
        <f aca="false">'Uso e Consumo'!B2681</f>
        <v>UFV NORONHA VERDE - USO E CONSUMO</v>
      </c>
      <c r="D2681" s="33" t="n">
        <f aca="false">'Uso e Consumo'!C2681</f>
        <v>18271</v>
      </c>
      <c r="E2681" s="34" t="str">
        <f aca="false">'Uso e Consumo'!D2681</f>
        <v>25.02.0003</v>
      </c>
      <c r="F2681" s="34" t="str">
        <f aca="false">'Uso e Consumo'!E2681</f>
        <v>LIXA D'ÁGUA N 150 225,00MM X 275,00MM PAPEL IMPERMEÁVEL FOLHA</v>
      </c>
      <c r="G2681" s="34" t="str">
        <f aca="false">'Uso e Consumo'!J2681</f>
        <v>UN</v>
      </c>
      <c r="H2681" s="49" t="n">
        <f aca="false">'Uso e Consumo'!F2681</f>
        <v>1</v>
      </c>
      <c r="I2681" s="35" t="n">
        <f aca="false">'Uso e Consumo'!G2681</f>
        <v>5.98</v>
      </c>
      <c r="J2681" s="34" t="str">
        <f aca="false">'Uso e Consumo'!M2681</f>
        <v>3.8.2.004 - Consumíveis para corte, perfuração e desbaste</v>
      </c>
      <c r="K2681" s="32" t="str">
        <f aca="false">INDEX('Curva ABC'!$K$8:$K$2847,MATCH(D2681,'Curva ABC'!$B$8:$B$2847,0))</f>
        <v>C</v>
      </c>
    </row>
    <row r="2682" customFormat="false" ht="15" hidden="false" customHeight="false" outlineLevel="0" collapsed="false">
      <c r="A2682" s="34" t="s">
        <v>5799</v>
      </c>
      <c r="B2682" s="34" t="str">
        <f aca="false">'Uso e Consumo'!A2682</f>
        <v>0335</v>
      </c>
      <c r="C2682" s="34" t="str">
        <f aca="false">'Uso e Consumo'!B2682</f>
        <v>UFV NORONHA VERDE - USO E CONSUMO</v>
      </c>
      <c r="D2682" s="33" t="n">
        <f aca="false">'Uso e Consumo'!C2682</f>
        <v>35302</v>
      </c>
      <c r="E2682" s="34" t="str">
        <f aca="false">'Uso e Consumo'!D2682</f>
        <v>25.02.0034</v>
      </c>
      <c r="F2682" s="34" t="str">
        <f aca="false">'Uso e Consumo'!E2682</f>
        <v>LIXA D'ÁGUA N 80 225,00MM X 275,00MM PAPEL IMPERMEÁVEL FOLHA</v>
      </c>
      <c r="G2682" s="34" t="str">
        <f aca="false">'Uso e Consumo'!J2682</f>
        <v>UN</v>
      </c>
      <c r="H2682" s="49" t="n">
        <f aca="false">'Uso e Consumo'!F2682</f>
        <v>1</v>
      </c>
      <c r="I2682" s="35" t="n">
        <f aca="false">'Uso e Consumo'!G2682</f>
        <v>5.98</v>
      </c>
      <c r="J2682" s="34" t="str">
        <f aca="false">'Uso e Consumo'!M2682</f>
        <v>3.8.1.016 - Pinturas</v>
      </c>
      <c r="K2682" s="32" t="str">
        <f aca="false">INDEX('Curva ABC'!$K$8:$K$2847,MATCH(D2682,'Curva ABC'!$B$8:$B$2847,0))</f>
        <v>C</v>
      </c>
    </row>
    <row r="2683" customFormat="false" ht="15" hidden="false" customHeight="false" outlineLevel="0" collapsed="false">
      <c r="A2683" s="34" t="s">
        <v>5799</v>
      </c>
      <c r="B2683" s="34" t="str">
        <f aca="false">'Uso e Consumo'!A2683</f>
        <v>0335</v>
      </c>
      <c r="C2683" s="34" t="str">
        <f aca="false">'Uso e Consumo'!B2683</f>
        <v>UFV NORONHA VERDE - USO E CONSUMO</v>
      </c>
      <c r="D2683" s="33" t="n">
        <f aca="false">'Uso e Consumo'!C2683</f>
        <v>1388998</v>
      </c>
      <c r="E2683" s="34" t="str">
        <f aca="false">'Uso e Consumo'!D2683</f>
        <v>17.20.0699</v>
      </c>
      <c r="F2683" s="34" t="str">
        <f aca="false">'Uso e Consumo'!E2683</f>
        <v>CONECTOR EM BARRA SINDAL 16MM</v>
      </c>
      <c r="G2683" s="34" t="str">
        <f aca="false">'Uso e Consumo'!J2683</f>
        <v>UN</v>
      </c>
      <c r="H2683" s="49" t="n">
        <f aca="false">'Uso e Consumo'!F2683</f>
        <v>1</v>
      </c>
      <c r="I2683" s="35" t="n">
        <f aca="false">'Uso e Consumo'!G2683</f>
        <v>5.98</v>
      </c>
      <c r="J2683" s="34" t="str">
        <f aca="false">'Uso e Consumo'!M2683</f>
        <v>3.8.1.017 - Instalações elétricas/telefônicas/lógica</v>
      </c>
      <c r="K2683" s="32" t="str">
        <f aca="false">INDEX('Curva ABC'!$K$8:$K$2847,MATCH(D2683,'Curva ABC'!$B$8:$B$2847,0))</f>
        <v>C</v>
      </c>
    </row>
    <row r="2684" customFormat="false" ht="15" hidden="false" customHeight="false" outlineLevel="0" collapsed="false">
      <c r="A2684" s="34" t="s">
        <v>5799</v>
      </c>
      <c r="B2684" s="34" t="str">
        <f aca="false">'Uso e Consumo'!A2684</f>
        <v>0335</v>
      </c>
      <c r="C2684" s="34" t="str">
        <f aca="false">'Uso e Consumo'!B2684</f>
        <v>UFV NORONHA VERDE - USO E CONSUMO</v>
      </c>
      <c r="D2684" s="33" t="n">
        <f aca="false">'Uso e Consumo'!C2684</f>
        <v>16831</v>
      </c>
      <c r="E2684" s="34" t="str">
        <f aca="false">'Uso e Consumo'!D2684</f>
        <v>23.05.0005</v>
      </c>
      <c r="F2684" s="34" t="str">
        <f aca="false">'Uso e Consumo'!E2684</f>
        <v>ARRUELA EM ALUMÍNIO PARA ELETRODUTO 1.1/2" ROSCA BSP</v>
      </c>
      <c r="G2684" s="34" t="str">
        <f aca="false">'Uso e Consumo'!J2684</f>
        <v>UN</v>
      </c>
      <c r="H2684" s="49" t="n">
        <f aca="false">'Uso e Consumo'!F2684</f>
        <v>2</v>
      </c>
      <c r="I2684" s="35" t="n">
        <f aca="false">'Uso e Consumo'!G2684</f>
        <v>5.96</v>
      </c>
      <c r="J2684" s="34" t="str">
        <f aca="false">'Uso e Consumo'!M2684</f>
        <v>3.8.1.022 - Elementos de fixação</v>
      </c>
      <c r="K2684" s="32" t="str">
        <f aca="false">INDEX('Curva ABC'!$K$8:$K$2847,MATCH(D2684,'Curva ABC'!$B$8:$B$2847,0))</f>
        <v>C</v>
      </c>
    </row>
    <row r="2685" customFormat="false" ht="15" hidden="false" customHeight="false" outlineLevel="0" collapsed="false">
      <c r="A2685" s="34" t="s">
        <v>5799</v>
      </c>
      <c r="B2685" s="34" t="str">
        <f aca="false">'Uso e Consumo'!A2685</f>
        <v>0335</v>
      </c>
      <c r="C2685" s="34" t="str">
        <f aca="false">'Uso e Consumo'!B2685</f>
        <v>UFV NORONHA VERDE - USO E CONSUMO</v>
      </c>
      <c r="D2685" s="33" t="n">
        <f aca="false">'Uso e Consumo'!C2685</f>
        <v>1661826</v>
      </c>
      <c r="E2685" s="34" t="str">
        <f aca="false">'Uso e Consumo'!D2685</f>
        <v>17.02.0938</v>
      </c>
      <c r="F2685" s="34" t="str">
        <f aca="false">'Uso e Consumo'!E2685</f>
        <v>CURVA 90 PVC RIGIDO PRETA, ROSCADA, DN 32 MM (1" BSP), TIPO PESADO</v>
      </c>
      <c r="G2685" s="34" t="str">
        <f aca="false">'Uso e Consumo'!J2685</f>
        <v>UN</v>
      </c>
      <c r="H2685" s="49" t="n">
        <f aca="false">'Uso e Consumo'!F2685</f>
        <v>2</v>
      </c>
      <c r="I2685" s="35" t="n">
        <f aca="false">'Uso e Consumo'!G2685</f>
        <v>5.94</v>
      </c>
      <c r="J2685" s="34" t="str">
        <f aca="false">'Uso e Consumo'!M2685</f>
        <v>3.8.1.017 - Instalações elétricas/telefônicas/lógica</v>
      </c>
      <c r="K2685" s="32" t="str">
        <f aca="false">INDEX('Curva ABC'!$K$8:$K$2847,MATCH(D2685,'Curva ABC'!$B$8:$B$2847,0))</f>
        <v>C</v>
      </c>
    </row>
    <row r="2686" customFormat="false" ht="15" hidden="false" customHeight="false" outlineLevel="0" collapsed="false">
      <c r="A2686" s="34" t="s">
        <v>5799</v>
      </c>
      <c r="B2686" s="34" t="str">
        <f aca="false">'Uso e Consumo'!A2686</f>
        <v>0335</v>
      </c>
      <c r="C2686" s="34" t="str">
        <f aca="false">'Uso e Consumo'!B2686</f>
        <v>UFV NORONHA VERDE - USO E CONSUMO</v>
      </c>
      <c r="D2686" s="33" t="n">
        <f aca="false">'Uso e Consumo'!C2686</f>
        <v>54860</v>
      </c>
      <c r="E2686" s="34" t="str">
        <f aca="false">'Uso e Consumo'!D2686</f>
        <v>23.05.0130</v>
      </c>
      <c r="F2686" s="34" t="str">
        <f aca="false">'Uso e Consumo'!E2686</f>
        <v>ARRUELA LISA ¼” ZB</v>
      </c>
      <c r="G2686" s="34" t="str">
        <f aca="false">'Uso e Consumo'!J2686</f>
        <v>UN</v>
      </c>
      <c r="H2686" s="49" t="n">
        <f aca="false">'Uso e Consumo'!F2686</f>
        <v>6</v>
      </c>
      <c r="I2686" s="35" t="n">
        <f aca="false">'Uso e Consumo'!G2686</f>
        <v>5.88</v>
      </c>
      <c r="J2686" s="34" t="str">
        <f aca="false">'Uso e Consumo'!M2686</f>
        <v>3.8.1.022 - Elementos de fixação</v>
      </c>
      <c r="K2686" s="32" t="str">
        <f aca="false">INDEX('Curva ABC'!$K$8:$K$2847,MATCH(D2686,'Curva ABC'!$B$8:$B$2847,0))</f>
        <v>C</v>
      </c>
    </row>
    <row r="2687" customFormat="false" ht="15" hidden="false" customHeight="false" outlineLevel="0" collapsed="false">
      <c r="A2687" s="34" t="s">
        <v>5799</v>
      </c>
      <c r="B2687" s="34" t="str">
        <f aca="false">'Uso e Consumo'!A2687</f>
        <v>0335</v>
      </c>
      <c r="C2687" s="34" t="str">
        <f aca="false">'Uso e Consumo'!B2687</f>
        <v>UFV NORONHA VERDE - USO E CONSUMO</v>
      </c>
      <c r="D2687" s="33" t="n">
        <f aca="false">'Uso e Consumo'!C2687</f>
        <v>1614509</v>
      </c>
      <c r="E2687" s="34" t="str">
        <f aca="false">'Uso e Consumo'!D2687</f>
        <v>17.02.0919</v>
      </c>
      <c r="F2687" s="34" t="str">
        <f aca="false">'Uso e Consumo'!E2687</f>
        <v>CURVA 90GR DE PVC RIGIDO, DIAMETRO NOMINAL 32 MM, COM ROSCA, REFERENCIA DE BITOLA 1" BSP, TIPO PESADO, COR PRETA</v>
      </c>
      <c r="G2687" s="34" t="str">
        <f aca="false">'Uso e Consumo'!J2687</f>
        <v>UND</v>
      </c>
      <c r="H2687" s="49" t="n">
        <f aca="false">'Uso e Consumo'!F2687</f>
        <v>2</v>
      </c>
      <c r="I2687" s="35" t="n">
        <f aca="false">'Uso e Consumo'!G2687</f>
        <v>5.82</v>
      </c>
      <c r="J2687" s="34" t="str">
        <f aca="false">'Uso e Consumo'!M2687</f>
        <v>3.8.1.017 - Instalações elétricas/telefônicas/lógica</v>
      </c>
      <c r="K2687" s="32" t="str">
        <f aca="false">INDEX('Curva ABC'!$K$8:$K$2847,MATCH(D2687,'Curva ABC'!$B$8:$B$2847,0))</f>
        <v>C</v>
      </c>
    </row>
    <row r="2688" customFormat="false" ht="15" hidden="false" customHeight="false" outlineLevel="0" collapsed="false">
      <c r="A2688" s="34" t="s">
        <v>5799</v>
      </c>
      <c r="B2688" s="34" t="str">
        <f aca="false">'Uso e Consumo'!A2688</f>
        <v>0335</v>
      </c>
      <c r="C2688" s="34" t="str">
        <f aca="false">'Uso e Consumo'!B2688</f>
        <v>UFV NORONHA VERDE - USO E CONSUMO</v>
      </c>
      <c r="D2688" s="33" t="n">
        <f aca="false">'Uso e Consumo'!C2688</f>
        <v>1607591</v>
      </c>
      <c r="E2688" s="34" t="str">
        <f aca="false">'Uso e Consumo'!D2688</f>
        <v>17.03.0612</v>
      </c>
      <c r="F2688" s="34" t="str">
        <f aca="false">'Uso e Consumo'!E2688</f>
        <v>ELETRODUTO RIGIDO PVC PRETO SOLDAVEL DE 3/4" - VARA COM 3M</v>
      </c>
      <c r="G2688" s="34" t="str">
        <f aca="false">'Uso e Consumo'!J2688</f>
        <v>UN</v>
      </c>
      <c r="H2688" s="49" t="n">
        <f aca="false">'Uso e Consumo'!F2688</f>
        <v>1</v>
      </c>
      <c r="I2688" s="35" t="n">
        <f aca="false">'Uso e Consumo'!G2688</f>
        <v>5.77</v>
      </c>
      <c r="J2688" s="34" t="str">
        <f aca="false">'Uso e Consumo'!M2688</f>
        <v>3.8.1.017 - Instalações elétricas/telefônicas/lógica</v>
      </c>
      <c r="K2688" s="32" t="str">
        <f aca="false">INDEX('Curva ABC'!$K$8:$K$2847,MATCH(D2688,'Curva ABC'!$B$8:$B$2847,0))</f>
        <v>C</v>
      </c>
    </row>
    <row r="2689" customFormat="false" ht="15" hidden="false" customHeight="false" outlineLevel="0" collapsed="false">
      <c r="A2689" s="34" t="s">
        <v>5799</v>
      </c>
      <c r="B2689" s="34" t="str">
        <f aca="false">'Uso e Consumo'!A2689</f>
        <v>0335</v>
      </c>
      <c r="C2689" s="34" t="str">
        <f aca="false">'Uso e Consumo'!B2689</f>
        <v>UFV NORONHA VERDE - USO E CONSUMO</v>
      </c>
      <c r="D2689" s="33" t="n">
        <f aca="false">'Uso e Consumo'!C2689</f>
        <v>1087451</v>
      </c>
      <c r="E2689" s="34" t="str">
        <f aca="false">'Uso e Consumo'!D2689</f>
        <v>17.16.0590</v>
      </c>
      <c r="F2689" s="34" t="str">
        <f aca="false">'Uso e Consumo'!E2689</f>
        <v>TERMINAL PINO LATERAL 16,00MM² AZ (PT1908)</v>
      </c>
      <c r="G2689" s="34" t="str">
        <f aca="false">'Uso e Consumo'!J2689</f>
        <v>UN</v>
      </c>
      <c r="H2689" s="49" t="n">
        <f aca="false">'Uso e Consumo'!F2689</f>
        <v>1</v>
      </c>
      <c r="I2689" s="35" t="n">
        <f aca="false">'Uso e Consumo'!G2689</f>
        <v>5.48</v>
      </c>
      <c r="J2689" s="34" t="str">
        <f aca="false">'Uso e Consumo'!M2689</f>
        <v>3.8.1.017 - Instalações elétricas/telefônicas/lógica</v>
      </c>
      <c r="K2689" s="32" t="str">
        <f aca="false">INDEX('Curva ABC'!$K$8:$K$2847,MATCH(D2689,'Curva ABC'!$B$8:$B$2847,0))</f>
        <v>C</v>
      </c>
    </row>
    <row r="2690" customFormat="false" ht="15" hidden="false" customHeight="false" outlineLevel="0" collapsed="false">
      <c r="A2690" s="34" t="s">
        <v>5799</v>
      </c>
      <c r="B2690" s="34" t="str">
        <f aca="false">'Uso e Consumo'!A2690</f>
        <v>0335</v>
      </c>
      <c r="C2690" s="34" t="str">
        <f aca="false">'Uso e Consumo'!B2690</f>
        <v>UFV NORONHA VERDE - USO E CONSUMO</v>
      </c>
      <c r="D2690" s="33" t="n">
        <f aca="false">'Uso e Consumo'!C2690</f>
        <v>1330424</v>
      </c>
      <c r="E2690" s="34" t="str">
        <f aca="false">'Uso e Consumo'!D2690</f>
        <v>18.01.1586</v>
      </c>
      <c r="F2690" s="34" t="str">
        <f aca="false">'Uso e Consumo'!E2690</f>
        <v>LUVA DE PVC SOLDÁVEL LR 25  X 1/2 </v>
      </c>
      <c r="G2690" s="34" t="str">
        <f aca="false">'Uso e Consumo'!J2690</f>
        <v>UN</v>
      </c>
      <c r="H2690" s="49" t="n">
        <f aca="false">'Uso e Consumo'!F2690</f>
        <v>2</v>
      </c>
      <c r="I2690" s="35" t="n">
        <f aca="false">'Uso e Consumo'!G2690</f>
        <v>5.4</v>
      </c>
      <c r="J2690" s="34" t="str">
        <f aca="false">'Uso e Consumo'!M2690</f>
        <v>3.8.1.018 - Instalações hidráulicas/sanitárias/industriais</v>
      </c>
      <c r="K2690" s="32" t="str">
        <f aca="false">INDEX('Curva ABC'!$K$8:$K$2847,MATCH(D2690,'Curva ABC'!$B$8:$B$2847,0))</f>
        <v>C</v>
      </c>
    </row>
    <row r="2691" customFormat="false" ht="15" hidden="false" customHeight="false" outlineLevel="0" collapsed="false">
      <c r="A2691" s="34" t="s">
        <v>5799</v>
      </c>
      <c r="B2691" s="34" t="str">
        <f aca="false">'Uso e Consumo'!A2691</f>
        <v>0335</v>
      </c>
      <c r="C2691" s="34" t="str">
        <f aca="false">'Uso e Consumo'!B2691</f>
        <v>UFV NORONHA VERDE - USO E CONSUMO</v>
      </c>
      <c r="D2691" s="33" t="n">
        <f aca="false">'Uso e Consumo'!C2691</f>
        <v>873190</v>
      </c>
      <c r="E2691" s="34" t="str">
        <f aca="false">'Uso e Consumo'!D2691</f>
        <v>33.02.2654</v>
      </c>
      <c r="F2691" s="34" t="str">
        <f aca="false">'Uso e Consumo'!E2691</f>
        <v>PARAFUSO 4.0X20</v>
      </c>
      <c r="G2691" s="34" t="str">
        <f aca="false">'Uso e Consumo'!J2691</f>
        <v>UN</v>
      </c>
      <c r="H2691" s="49" t="n">
        <f aca="false">'Uso e Consumo'!F2691</f>
        <v>6</v>
      </c>
      <c r="I2691" s="35" t="n">
        <f aca="false">'Uso e Consumo'!G2691</f>
        <v>5.28</v>
      </c>
      <c r="J2691" s="34" t="str">
        <f aca="false">'Uso e Consumo'!M2691</f>
        <v>3.1.6.002 - Pneus e peças</v>
      </c>
      <c r="K2691" s="32" t="str">
        <f aca="false">INDEX('Curva ABC'!$K$8:$K$2847,MATCH(D2691,'Curva ABC'!$B$8:$B$2847,0))</f>
        <v>C</v>
      </c>
    </row>
    <row r="2692" customFormat="false" ht="15" hidden="false" customHeight="false" outlineLevel="0" collapsed="false">
      <c r="A2692" s="34" t="s">
        <v>5799</v>
      </c>
      <c r="B2692" s="34" t="str">
        <f aca="false">'Uso e Consumo'!A2692</f>
        <v>0335</v>
      </c>
      <c r="C2692" s="34" t="str">
        <f aca="false">'Uso e Consumo'!B2692</f>
        <v>UFV NORONHA VERDE - USO E CONSUMO</v>
      </c>
      <c r="D2692" s="33" t="n">
        <f aca="false">'Uso e Consumo'!C2692</f>
        <v>14755</v>
      </c>
      <c r="E2692" s="34" t="str">
        <f aca="false">'Uso e Consumo'!D2692</f>
        <v>18.01.0330</v>
      </c>
      <c r="F2692" s="34" t="str">
        <f aca="false">'Uso e Consumo'!E2692</f>
        <v>JOELHO 90GR PVC SOLDAVEL 20,00MM</v>
      </c>
      <c r="G2692" s="34" t="str">
        <f aca="false">'Uso e Consumo'!J2692</f>
        <v>UN</v>
      </c>
      <c r="H2692" s="49" t="n">
        <f aca="false">'Uso e Consumo'!F2692</f>
        <v>8</v>
      </c>
      <c r="I2692" s="35" t="n">
        <f aca="false">'Uso e Consumo'!G2692</f>
        <v>5.04</v>
      </c>
      <c r="J2692" s="34" t="str">
        <f aca="false">'Uso e Consumo'!M2692</f>
        <v>3.8.1.018 - Instalações hidráulicas/sanitárias/industriais</v>
      </c>
      <c r="K2692" s="32" t="str">
        <f aca="false">INDEX('Curva ABC'!$K$8:$K$2847,MATCH(D2692,'Curva ABC'!$B$8:$B$2847,0))</f>
        <v>C</v>
      </c>
    </row>
    <row r="2693" customFormat="false" ht="15" hidden="false" customHeight="false" outlineLevel="0" collapsed="false">
      <c r="A2693" s="34" t="s">
        <v>5799</v>
      </c>
      <c r="B2693" s="34" t="str">
        <f aca="false">'Uso e Consumo'!A2693</f>
        <v>0335</v>
      </c>
      <c r="C2693" s="34" t="str">
        <f aca="false">'Uso e Consumo'!B2693</f>
        <v>UFV NORONHA VERDE - USO E CONSUMO</v>
      </c>
      <c r="D2693" s="33" t="n">
        <f aca="false">'Uso e Consumo'!C2693</f>
        <v>23200</v>
      </c>
      <c r="E2693" s="34" t="str">
        <f aca="false">'Uso e Consumo'!D2693</f>
        <v>18.01.0770</v>
      </c>
      <c r="F2693" s="34" t="str">
        <f aca="false">'Uso e Consumo'!E2693</f>
        <v>JOELHO 45GR CPVC SOLDÁVEL DN 1.1/2”</v>
      </c>
      <c r="G2693" s="34" t="str">
        <f aca="false">'Uso e Consumo'!J2693</f>
        <v>UN</v>
      </c>
      <c r="H2693" s="49" t="n">
        <f aca="false">'Uso e Consumo'!F2693</f>
        <v>1</v>
      </c>
      <c r="I2693" s="35" t="n">
        <f aca="false">'Uso e Consumo'!G2693</f>
        <v>4.98</v>
      </c>
      <c r="J2693" s="34" t="str">
        <f aca="false">'Uso e Consumo'!M2693</f>
        <v>3.8.1.018 - Instalações hidráulicas/sanitárias/industriais</v>
      </c>
      <c r="K2693" s="32" t="str">
        <f aca="false">INDEX('Curva ABC'!$K$8:$K$2847,MATCH(D2693,'Curva ABC'!$B$8:$B$2847,0))</f>
        <v>C</v>
      </c>
    </row>
    <row r="2694" customFormat="false" ht="15" hidden="false" customHeight="false" outlineLevel="0" collapsed="false">
      <c r="A2694" s="34" t="s">
        <v>5799</v>
      </c>
      <c r="B2694" s="34" t="str">
        <f aca="false">'Uso e Consumo'!A2694</f>
        <v>0335</v>
      </c>
      <c r="C2694" s="34" t="str">
        <f aca="false">'Uso e Consumo'!B2694</f>
        <v>UFV NORONHA VERDE - USO E CONSUMO</v>
      </c>
      <c r="D2694" s="33" t="n">
        <f aca="false">'Uso e Consumo'!C2694</f>
        <v>66194</v>
      </c>
      <c r="E2694" s="34" t="str">
        <f aca="false">'Uso e Consumo'!D2694</f>
        <v>33.02.1038</v>
      </c>
      <c r="F2694" s="34" t="str">
        <f aca="false">'Uso e Consumo'!E2694</f>
        <v>UNIÃO RETA 1/2”</v>
      </c>
      <c r="G2694" s="34" t="str">
        <f aca="false">'Uso e Consumo'!J2694</f>
        <v>UN</v>
      </c>
      <c r="H2694" s="49" t="n">
        <f aca="false">'Uso e Consumo'!F2694</f>
        <v>1</v>
      </c>
      <c r="I2694" s="35" t="n">
        <f aca="false">'Uso e Consumo'!G2694</f>
        <v>4.98</v>
      </c>
      <c r="J2694" s="34" t="str">
        <f aca="false">'Uso e Consumo'!M2694</f>
        <v>3.1.6.002 - Pneus e peças</v>
      </c>
      <c r="K2694" s="32" t="str">
        <f aca="false">INDEX('Curva ABC'!$K$8:$K$2847,MATCH(D2694,'Curva ABC'!$B$8:$B$2847,0))</f>
        <v>C</v>
      </c>
    </row>
    <row r="2695" customFormat="false" ht="15" hidden="false" customHeight="false" outlineLevel="0" collapsed="false">
      <c r="A2695" s="34" t="s">
        <v>5799</v>
      </c>
      <c r="B2695" s="34" t="str">
        <f aca="false">'Uso e Consumo'!A2695</f>
        <v>0335</v>
      </c>
      <c r="C2695" s="34" t="str">
        <f aca="false">'Uso e Consumo'!B2695</f>
        <v>UFV NORONHA VERDE - USO E CONSUMO</v>
      </c>
      <c r="D2695" s="33" t="n">
        <f aca="false">'Uso e Consumo'!C2695</f>
        <v>1659862</v>
      </c>
      <c r="E2695" s="34" t="str">
        <f aca="false">'Uso e Consumo'!D2695</f>
        <v>23.06.0330</v>
      </c>
      <c r="F2695" s="34" t="str">
        <f aca="false">'Uso e Consumo'!E2695</f>
        <v>PORCA SEXTAVADA EM ACO GALVANIZADO A FOGO ROSCA METRICA M10</v>
      </c>
      <c r="G2695" s="34" t="str">
        <f aca="false">'Uso e Consumo'!J2695</f>
        <v>UN</v>
      </c>
      <c r="H2695" s="49" t="n">
        <f aca="false">'Uso e Consumo'!F2695</f>
        <v>5</v>
      </c>
      <c r="I2695" s="35" t="n">
        <f aca="false">'Uso e Consumo'!G2695</f>
        <v>4.9</v>
      </c>
      <c r="J2695" s="34" t="str">
        <f aca="false">'Uso e Consumo'!M2695</f>
        <v>3.8.1.022 - Elementos de fixação</v>
      </c>
      <c r="K2695" s="32" t="str">
        <f aca="false">INDEX('Curva ABC'!$K$8:$K$2847,MATCH(D2695,'Curva ABC'!$B$8:$B$2847,0))</f>
        <v>C</v>
      </c>
    </row>
    <row r="2696" customFormat="false" ht="15" hidden="false" customHeight="false" outlineLevel="0" collapsed="false">
      <c r="A2696" s="34" t="s">
        <v>5799</v>
      </c>
      <c r="B2696" s="34" t="str">
        <f aca="false">'Uso e Consumo'!A2696</f>
        <v>0335</v>
      </c>
      <c r="C2696" s="34" t="str">
        <f aca="false">'Uso e Consumo'!B2696</f>
        <v>UFV NORONHA VERDE - USO E CONSUMO</v>
      </c>
      <c r="D2696" s="33" t="n">
        <f aca="false">'Uso e Consumo'!C2696</f>
        <v>938996</v>
      </c>
      <c r="E2696" s="34" t="str">
        <f aca="false">'Uso e Consumo'!D2696</f>
        <v>33.02.2737</v>
      </c>
      <c r="F2696" s="34" t="str">
        <f aca="false">'Uso e Consumo'!E2696</f>
        <v>ARRUELA 1/4" GALVANIZADA</v>
      </c>
      <c r="G2696" s="34" t="str">
        <f aca="false">'Uso e Consumo'!J2696</f>
        <v>UN</v>
      </c>
      <c r="H2696" s="49" t="n">
        <f aca="false">'Uso e Consumo'!F2696</f>
        <v>60</v>
      </c>
      <c r="I2696" s="35" t="n">
        <f aca="false">'Uso e Consumo'!G2696</f>
        <v>4.8</v>
      </c>
      <c r="J2696" s="34" t="str">
        <f aca="false">'Uso e Consumo'!M2696</f>
        <v>3.1.6.002 - Pneus e peças</v>
      </c>
      <c r="K2696" s="32" t="str">
        <f aca="false">INDEX('Curva ABC'!$K$8:$K$2847,MATCH(D2696,'Curva ABC'!$B$8:$B$2847,0))</f>
        <v>C</v>
      </c>
    </row>
    <row r="2697" customFormat="false" ht="15" hidden="false" customHeight="false" outlineLevel="0" collapsed="false">
      <c r="A2697" s="34" t="s">
        <v>5799</v>
      </c>
      <c r="B2697" s="34" t="str">
        <f aca="false">'Uso e Consumo'!A2697</f>
        <v>0335</v>
      </c>
      <c r="C2697" s="34" t="str">
        <f aca="false">'Uso e Consumo'!B2697</f>
        <v>UFV NORONHA VERDE - USO E CONSUMO</v>
      </c>
      <c r="D2697" s="33" t="n">
        <f aca="false">'Uso e Consumo'!C2697</f>
        <v>1310408</v>
      </c>
      <c r="E2697" s="34" t="str">
        <f aca="false">'Uso e Consumo'!D2697</f>
        <v>23.06.0306</v>
      </c>
      <c r="F2697" s="34" t="str">
        <f aca="false">'Uso e Consumo'!E2697</f>
        <v>PORCA SEXTAVADA INOX M5</v>
      </c>
      <c r="G2697" s="34" t="str">
        <f aca="false">'Uso e Consumo'!J2697</f>
        <v>UN</v>
      </c>
      <c r="H2697" s="49" t="n">
        <f aca="false">'Uso e Consumo'!F2697</f>
        <v>3</v>
      </c>
      <c r="I2697" s="35" t="n">
        <f aca="false">'Uso e Consumo'!G2697</f>
        <v>4.74</v>
      </c>
      <c r="J2697" s="34" t="str">
        <f aca="false">'Uso e Consumo'!M2697</f>
        <v>3.8.1.022 - Elementos de fixação</v>
      </c>
      <c r="K2697" s="32" t="str">
        <f aca="false">INDEX('Curva ABC'!$K$8:$K$2847,MATCH(D2697,'Curva ABC'!$B$8:$B$2847,0))</f>
        <v>C</v>
      </c>
    </row>
    <row r="2698" customFormat="false" ht="15" hidden="false" customHeight="false" outlineLevel="0" collapsed="false">
      <c r="A2698" s="34" t="s">
        <v>5799</v>
      </c>
      <c r="B2698" s="34" t="str">
        <f aca="false">'Uso e Consumo'!A2698</f>
        <v>0335</v>
      </c>
      <c r="C2698" s="34" t="str">
        <f aca="false">'Uso e Consumo'!B2698</f>
        <v>UFV NORONHA VERDE - USO E CONSUMO</v>
      </c>
      <c r="D2698" s="33" t="n">
        <f aca="false">'Uso e Consumo'!C2698</f>
        <v>1615080</v>
      </c>
      <c r="E2698" s="34" t="str">
        <f aca="false">'Uso e Consumo'!D2698</f>
        <v>17.02.0922</v>
      </c>
      <c r="F2698" s="34" t="str">
        <f aca="false">'Uso e Consumo'!E2698</f>
        <v>TAMPAO SELADOR PLASTICO PARA CONDULETE 1"</v>
      </c>
      <c r="G2698" s="34" t="str">
        <f aca="false">'Uso e Consumo'!J2698</f>
        <v>UN</v>
      </c>
      <c r="H2698" s="49" t="n">
        <f aca="false">'Uso e Consumo'!F2698</f>
        <v>14</v>
      </c>
      <c r="I2698" s="35" t="n">
        <f aca="false">'Uso e Consumo'!G2698</f>
        <v>4.56</v>
      </c>
      <c r="J2698" s="34" t="str">
        <f aca="false">'Uso e Consumo'!M2698</f>
        <v>3.8.1.017 - Instalações elétricas/telefônicas/lógica</v>
      </c>
      <c r="K2698" s="32" t="str">
        <f aca="false">INDEX('Curva ABC'!$K$8:$K$2847,MATCH(D2698,'Curva ABC'!$B$8:$B$2847,0))</f>
        <v>C</v>
      </c>
    </row>
    <row r="2699" customFormat="false" ht="15" hidden="false" customHeight="false" outlineLevel="0" collapsed="false">
      <c r="A2699" s="34" t="s">
        <v>5799</v>
      </c>
      <c r="B2699" s="34" t="str">
        <f aca="false">'Uso e Consumo'!A2699</f>
        <v>0335</v>
      </c>
      <c r="C2699" s="34" t="str">
        <f aca="false">'Uso e Consumo'!B2699</f>
        <v>UFV NORONHA VERDE - USO E CONSUMO</v>
      </c>
      <c r="D2699" s="33" t="n">
        <f aca="false">'Uso e Consumo'!C2699</f>
        <v>1461935</v>
      </c>
      <c r="E2699" s="34" t="str">
        <f aca="false">'Uso e Consumo'!D2699</f>
        <v>23.06.0316</v>
      </c>
      <c r="F2699" s="34" t="str">
        <f aca="false">'Uso e Consumo'!E2699</f>
        <v>PORCA SEXTAVADA AUTOTRAVANTE (PARLOCK) INOX M10</v>
      </c>
      <c r="G2699" s="34" t="str">
        <f aca="false">'Uso e Consumo'!J2699</f>
        <v>UN</v>
      </c>
      <c r="H2699" s="49" t="n">
        <f aca="false">'Uso e Consumo'!F2699</f>
        <v>1</v>
      </c>
      <c r="I2699" s="35" t="n">
        <f aca="false">'Uso e Consumo'!G2699</f>
        <v>4.28</v>
      </c>
      <c r="J2699" s="34" t="str">
        <f aca="false">'Uso e Consumo'!M2699</f>
        <v>3.8.1.022 - Elementos de fixação</v>
      </c>
      <c r="K2699" s="32" t="str">
        <f aca="false">INDEX('Curva ABC'!$K$8:$K$2847,MATCH(D2699,'Curva ABC'!$B$8:$B$2847,0))</f>
        <v>C</v>
      </c>
    </row>
    <row r="2700" customFormat="false" ht="15" hidden="false" customHeight="false" outlineLevel="0" collapsed="false">
      <c r="A2700" s="34" t="s">
        <v>5799</v>
      </c>
      <c r="B2700" s="34" t="str">
        <f aca="false">'Uso e Consumo'!A2700</f>
        <v>0335</v>
      </c>
      <c r="C2700" s="34" t="str">
        <f aca="false">'Uso e Consumo'!B2700</f>
        <v>UFV NORONHA VERDE - USO E CONSUMO</v>
      </c>
      <c r="D2700" s="33" t="n">
        <f aca="false">'Uso e Consumo'!C2700</f>
        <v>227483</v>
      </c>
      <c r="E2700" s="34" t="str">
        <f aca="false">'Uso e Consumo'!D2700</f>
        <v>27.01.0236</v>
      </c>
      <c r="F2700" s="34" t="str">
        <f aca="false">'Uso e Consumo'!E2700</f>
        <v>CATETER INTRAVENOSO 20 G PERIFERICO</v>
      </c>
      <c r="G2700" s="34" t="str">
        <f aca="false">'Uso e Consumo'!J2700</f>
        <v>UN</v>
      </c>
      <c r="H2700" s="49" t="n">
        <f aca="false">'Uso e Consumo'!F2700</f>
        <v>3</v>
      </c>
      <c r="I2700" s="35" t="n">
        <f aca="false">'Uso e Consumo'!G2700</f>
        <v>4.2</v>
      </c>
      <c r="J2700" s="34" t="str">
        <f aca="false">'Uso e Consumo'!M2700</f>
        <v>4.3.4.006 - Medicamentos e primeiro socorros</v>
      </c>
      <c r="K2700" s="32" t="str">
        <f aca="false">INDEX('Curva ABC'!$K$8:$K$2847,MATCH(D2700,'Curva ABC'!$B$8:$B$2847,0))</f>
        <v>C</v>
      </c>
    </row>
    <row r="2701" customFormat="false" ht="15" hidden="false" customHeight="false" outlineLevel="0" collapsed="false">
      <c r="A2701" s="34" t="s">
        <v>5799</v>
      </c>
      <c r="B2701" s="34" t="str">
        <f aca="false">'Uso e Consumo'!A2701</f>
        <v>0335</v>
      </c>
      <c r="C2701" s="34" t="str">
        <f aca="false">'Uso e Consumo'!B2701</f>
        <v>UFV NORONHA VERDE - USO E CONSUMO</v>
      </c>
      <c r="D2701" s="33" t="n">
        <f aca="false">'Uso e Consumo'!C2701</f>
        <v>227490</v>
      </c>
      <c r="E2701" s="34" t="str">
        <f aca="false">'Uso e Consumo'!D2701</f>
        <v>27.01.0237</v>
      </c>
      <c r="F2701" s="34" t="str">
        <f aca="false">'Uso e Consumo'!E2701</f>
        <v>CATETER INTRAVENOSO 22G PERIFERICO</v>
      </c>
      <c r="G2701" s="34" t="str">
        <f aca="false">'Uso e Consumo'!J2701</f>
        <v>UN</v>
      </c>
      <c r="H2701" s="49" t="n">
        <f aca="false">'Uso e Consumo'!F2701</f>
        <v>3</v>
      </c>
      <c r="I2701" s="35" t="n">
        <f aca="false">'Uso e Consumo'!G2701</f>
        <v>4.2</v>
      </c>
      <c r="J2701" s="34" t="str">
        <f aca="false">'Uso e Consumo'!M2701</f>
        <v>4.3.4.006 - Medicamentos e primeiro socorros</v>
      </c>
      <c r="K2701" s="32" t="str">
        <f aca="false">INDEX('Curva ABC'!$K$8:$K$2847,MATCH(D2701,'Curva ABC'!$B$8:$B$2847,0))</f>
        <v>C</v>
      </c>
    </row>
    <row r="2702" customFormat="false" ht="15" hidden="false" customHeight="false" outlineLevel="0" collapsed="false">
      <c r="A2702" s="34" t="s">
        <v>5799</v>
      </c>
      <c r="B2702" s="34" t="str">
        <f aca="false">'Uso e Consumo'!A2702</f>
        <v>0335</v>
      </c>
      <c r="C2702" s="34" t="str">
        <f aca="false">'Uso e Consumo'!B2702</f>
        <v>UFV NORONHA VERDE - USO E CONSUMO</v>
      </c>
      <c r="D2702" s="33" t="n">
        <f aca="false">'Uso e Consumo'!C2702</f>
        <v>1467736</v>
      </c>
      <c r="E2702" s="34" t="str">
        <f aca="false">'Uso e Consumo'!D2702</f>
        <v>27.01.0529</v>
      </c>
      <c r="F2702" s="34" t="str">
        <f aca="false">'Uso e Consumo'!E2702</f>
        <v>CATETER INTRAVENOSO 16 G PERIFERICO</v>
      </c>
      <c r="G2702" s="34" t="str">
        <f aca="false">'Uso e Consumo'!J2702</f>
        <v>UN</v>
      </c>
      <c r="H2702" s="49" t="n">
        <f aca="false">'Uso e Consumo'!F2702</f>
        <v>3</v>
      </c>
      <c r="I2702" s="35" t="n">
        <f aca="false">'Uso e Consumo'!G2702</f>
        <v>4.2</v>
      </c>
      <c r="J2702" s="34" t="str">
        <f aca="false">'Uso e Consumo'!M2702</f>
        <v>4.3.4.006 - Medicamentos e primeiro socorros</v>
      </c>
      <c r="K2702" s="32" t="str">
        <f aca="false">INDEX('Curva ABC'!$K$8:$K$2847,MATCH(D2702,'Curva ABC'!$B$8:$B$2847,0))</f>
        <v>C</v>
      </c>
    </row>
    <row r="2703" customFormat="false" ht="15" hidden="false" customHeight="false" outlineLevel="0" collapsed="false">
      <c r="A2703" s="34" t="s">
        <v>5799</v>
      </c>
      <c r="B2703" s="34" t="str">
        <f aca="false">'Uso e Consumo'!A2703</f>
        <v>0335</v>
      </c>
      <c r="C2703" s="34" t="str">
        <f aca="false">'Uso e Consumo'!B2703</f>
        <v>UFV NORONHA VERDE - USO E CONSUMO</v>
      </c>
      <c r="D2703" s="33" t="n">
        <f aca="false">'Uso e Consumo'!C2703</f>
        <v>1467737</v>
      </c>
      <c r="E2703" s="34" t="str">
        <f aca="false">'Uso e Consumo'!D2703</f>
        <v>27.01.0530</v>
      </c>
      <c r="F2703" s="34" t="str">
        <f aca="false">'Uso e Consumo'!E2703</f>
        <v>CATETER INTRAVENOSO 18 G PERIFERICO</v>
      </c>
      <c r="G2703" s="34" t="str">
        <f aca="false">'Uso e Consumo'!J2703</f>
        <v>UN</v>
      </c>
      <c r="H2703" s="49" t="n">
        <f aca="false">'Uso e Consumo'!F2703</f>
        <v>3</v>
      </c>
      <c r="I2703" s="35" t="n">
        <f aca="false">'Uso e Consumo'!G2703</f>
        <v>4.2</v>
      </c>
      <c r="J2703" s="34" t="str">
        <f aca="false">'Uso e Consumo'!M2703</f>
        <v>4.3.4.006 - Medicamentos e primeiro socorros</v>
      </c>
      <c r="K2703" s="32" t="str">
        <f aca="false">INDEX('Curva ABC'!$K$8:$K$2847,MATCH(D2703,'Curva ABC'!$B$8:$B$2847,0))</f>
        <v>C</v>
      </c>
    </row>
    <row r="2704" customFormat="false" ht="15" hidden="false" customHeight="false" outlineLevel="0" collapsed="false">
      <c r="A2704" s="34" t="s">
        <v>5799</v>
      </c>
      <c r="B2704" s="34" t="str">
        <f aca="false">'Uso e Consumo'!A2704</f>
        <v>0335</v>
      </c>
      <c r="C2704" s="34" t="str">
        <f aca="false">'Uso e Consumo'!B2704</f>
        <v>UFV NORONHA VERDE - USO E CONSUMO</v>
      </c>
      <c r="D2704" s="33" t="n">
        <f aca="false">'Uso e Consumo'!C2704</f>
        <v>1467738</v>
      </c>
      <c r="E2704" s="34" t="str">
        <f aca="false">'Uso e Consumo'!D2704</f>
        <v>27.01.0531</v>
      </c>
      <c r="F2704" s="34" t="str">
        <f aca="false">'Uso e Consumo'!E2704</f>
        <v>CATETER INTRAVENOSO 24 G PERIFERICO</v>
      </c>
      <c r="G2704" s="34" t="str">
        <f aca="false">'Uso e Consumo'!J2704</f>
        <v>UN</v>
      </c>
      <c r="H2704" s="49" t="n">
        <f aca="false">'Uso e Consumo'!F2704</f>
        <v>3</v>
      </c>
      <c r="I2704" s="35" t="n">
        <f aca="false">'Uso e Consumo'!G2704</f>
        <v>4.2</v>
      </c>
      <c r="J2704" s="34" t="str">
        <f aca="false">'Uso e Consumo'!M2704</f>
        <v>4.3.4.006 - Medicamentos e primeiro socorros</v>
      </c>
      <c r="K2704" s="32" t="str">
        <f aca="false">INDEX('Curva ABC'!$K$8:$K$2847,MATCH(D2704,'Curva ABC'!$B$8:$B$2847,0))</f>
        <v>C</v>
      </c>
    </row>
    <row r="2705" customFormat="false" ht="15" hidden="false" customHeight="false" outlineLevel="0" collapsed="false">
      <c r="A2705" s="34" t="s">
        <v>5799</v>
      </c>
      <c r="B2705" s="34" t="str">
        <f aca="false">'Uso e Consumo'!A2705</f>
        <v>0335</v>
      </c>
      <c r="C2705" s="34" t="str">
        <f aca="false">'Uso e Consumo'!B2705</f>
        <v>UFV NORONHA VERDE - USO E CONSUMO</v>
      </c>
      <c r="D2705" s="33" t="n">
        <f aca="false">'Uso e Consumo'!C2705</f>
        <v>225536</v>
      </c>
      <c r="E2705" s="34" t="str">
        <f aca="false">'Uso e Consumo'!D2705</f>
        <v>27.01.0212</v>
      </c>
      <c r="F2705" s="34" t="str">
        <f aca="false">'Uso e Consumo'!E2705</f>
        <v>SERINGA DESCARTÁVEL 10ML POLIPROPILENO C/AGULHA</v>
      </c>
      <c r="G2705" s="34" t="str">
        <f aca="false">'Uso e Consumo'!J2705</f>
        <v>UN</v>
      </c>
      <c r="H2705" s="49" t="n">
        <f aca="false">'Uso e Consumo'!F2705</f>
        <v>8</v>
      </c>
      <c r="I2705" s="35" t="n">
        <f aca="false">'Uso e Consumo'!G2705</f>
        <v>4</v>
      </c>
      <c r="J2705" s="34" t="str">
        <f aca="false">'Uso e Consumo'!M2705</f>
        <v>4.3.4.006 - Medicamentos e primeiro socorros</v>
      </c>
      <c r="K2705" s="32" t="str">
        <f aca="false">INDEX('Curva ABC'!$K$8:$K$2847,MATCH(D2705,'Curva ABC'!$B$8:$B$2847,0))</f>
        <v>C</v>
      </c>
    </row>
    <row r="2706" customFormat="false" ht="15" hidden="false" customHeight="false" outlineLevel="0" collapsed="false">
      <c r="A2706" s="34" t="s">
        <v>5799</v>
      </c>
      <c r="B2706" s="34" t="str">
        <f aca="false">'Uso e Consumo'!A2706</f>
        <v>0335</v>
      </c>
      <c r="C2706" s="34" t="str">
        <f aca="false">'Uso e Consumo'!B2706</f>
        <v>UFV NORONHA VERDE - USO E CONSUMO</v>
      </c>
      <c r="D2706" s="33" t="n">
        <f aca="false">'Uso e Consumo'!C2706</f>
        <v>935058</v>
      </c>
      <c r="E2706" s="34" t="str">
        <f aca="false">'Uso e Consumo'!D2706</f>
        <v>27.01.0446</v>
      </c>
      <c r="F2706" s="34" t="str">
        <f aca="false">'Uso e Consumo'!E2706</f>
        <v>CLAMP UMBILICAL</v>
      </c>
      <c r="G2706" s="34" t="str">
        <f aca="false">'Uso e Consumo'!J2706</f>
        <v>UN</v>
      </c>
      <c r="H2706" s="49" t="n">
        <f aca="false">'Uso e Consumo'!F2706</f>
        <v>2</v>
      </c>
      <c r="I2706" s="35" t="n">
        <f aca="false">'Uso e Consumo'!G2706</f>
        <v>4</v>
      </c>
      <c r="J2706" s="34" t="str">
        <f aca="false">'Uso e Consumo'!M2706</f>
        <v>4.3.4.006 - Medicamentos e primeiro socorros</v>
      </c>
      <c r="K2706" s="32" t="str">
        <f aca="false">INDEX('Curva ABC'!$K$8:$K$2847,MATCH(D2706,'Curva ABC'!$B$8:$B$2847,0))</f>
        <v>C</v>
      </c>
    </row>
    <row r="2707" customFormat="false" ht="15" hidden="false" customHeight="false" outlineLevel="0" collapsed="false">
      <c r="A2707" s="34" t="s">
        <v>5799</v>
      </c>
      <c r="B2707" s="34" t="str">
        <f aca="false">'Uso e Consumo'!A2707</f>
        <v>0335</v>
      </c>
      <c r="C2707" s="34" t="str">
        <f aca="false">'Uso e Consumo'!B2707</f>
        <v>UFV NORONHA VERDE - USO E CONSUMO</v>
      </c>
      <c r="D2707" s="33" t="n">
        <f aca="false">'Uso e Consumo'!C2707</f>
        <v>14868</v>
      </c>
      <c r="E2707" s="34" t="str">
        <f aca="false">'Uso e Consumo'!D2707</f>
        <v>18.01.0443</v>
      </c>
      <c r="F2707" s="34" t="str">
        <f aca="false">'Uso e Consumo'!E2707</f>
        <v>LUVA PVC ROSCAVEL 1"</v>
      </c>
      <c r="G2707" s="34" t="str">
        <f aca="false">'Uso e Consumo'!J2707</f>
        <v>UN</v>
      </c>
      <c r="H2707" s="49" t="n">
        <f aca="false">'Uso e Consumo'!F2707</f>
        <v>1</v>
      </c>
      <c r="I2707" s="35" t="n">
        <f aca="false">'Uso e Consumo'!G2707</f>
        <v>3.98</v>
      </c>
      <c r="J2707" s="34" t="str">
        <f aca="false">'Uso e Consumo'!M2707</f>
        <v>3.8.1.018 - Instalações hidráulicas/sanitárias/industriais</v>
      </c>
      <c r="K2707" s="32" t="str">
        <f aca="false">INDEX('Curva ABC'!$K$8:$K$2847,MATCH(D2707,'Curva ABC'!$B$8:$B$2847,0))</f>
        <v>C</v>
      </c>
    </row>
    <row r="2708" customFormat="false" ht="15" hidden="false" customHeight="false" outlineLevel="0" collapsed="false">
      <c r="A2708" s="34" t="s">
        <v>5799</v>
      </c>
      <c r="B2708" s="34" t="str">
        <f aca="false">'Uso e Consumo'!A2708</f>
        <v>0335</v>
      </c>
      <c r="C2708" s="34" t="str">
        <f aca="false">'Uso e Consumo'!B2708</f>
        <v>UFV NORONHA VERDE - USO E CONSUMO</v>
      </c>
      <c r="D2708" s="33" t="n">
        <f aca="false">'Uso e Consumo'!C2708</f>
        <v>931931</v>
      </c>
      <c r="E2708" s="34" t="str">
        <f aca="false">'Uso e Consumo'!D2708</f>
        <v>18.01.1324</v>
      </c>
      <c r="F2708" s="34" t="str">
        <f aca="false">'Uso e Consumo'!E2708</f>
        <v>LUVA ROSCAVEL 25</v>
      </c>
      <c r="G2708" s="34" t="str">
        <f aca="false">'Uso e Consumo'!J2708</f>
        <v>UN</v>
      </c>
      <c r="H2708" s="49" t="n">
        <f aca="false">'Uso e Consumo'!F2708</f>
        <v>1</v>
      </c>
      <c r="I2708" s="35" t="n">
        <f aca="false">'Uso e Consumo'!G2708</f>
        <v>3.98</v>
      </c>
      <c r="J2708" s="34" t="str">
        <f aca="false">'Uso e Consumo'!M2708</f>
        <v>3.8.1.018 - Instalações hidráulicas/sanitárias/industriais</v>
      </c>
      <c r="K2708" s="32" t="str">
        <f aca="false">INDEX('Curva ABC'!$K$8:$K$2847,MATCH(D2708,'Curva ABC'!$B$8:$B$2847,0))</f>
        <v>C</v>
      </c>
    </row>
    <row r="2709" customFormat="false" ht="15" hidden="false" customHeight="false" outlineLevel="0" collapsed="false">
      <c r="A2709" s="34" t="s">
        <v>5799</v>
      </c>
      <c r="B2709" s="34" t="str">
        <f aca="false">'Uso e Consumo'!A2709</f>
        <v>0335</v>
      </c>
      <c r="C2709" s="34" t="str">
        <f aca="false">'Uso e Consumo'!B2709</f>
        <v>UFV NORONHA VERDE - USO E CONSUMO</v>
      </c>
      <c r="D2709" s="33" t="n">
        <f aca="false">'Uso e Consumo'!C2709</f>
        <v>1461857</v>
      </c>
      <c r="E2709" s="34" t="str">
        <f aca="false">'Uso e Consumo'!D2709</f>
        <v>23.07.1588</v>
      </c>
      <c r="F2709" s="34" t="str">
        <f aca="false">'Uso e Consumo'!E2709</f>
        <v>PARAFUSO 3/8"x3" CABEÇA FRANCESA COM PORCA</v>
      </c>
      <c r="G2709" s="34" t="str">
        <f aca="false">'Uso e Consumo'!J2709</f>
        <v>UN</v>
      </c>
      <c r="H2709" s="49" t="n">
        <f aca="false">'Uso e Consumo'!F2709</f>
        <v>1</v>
      </c>
      <c r="I2709" s="35" t="n">
        <f aca="false">'Uso e Consumo'!G2709</f>
        <v>3.98</v>
      </c>
      <c r="J2709" s="34" t="str">
        <f aca="false">'Uso e Consumo'!M2709</f>
        <v>3.8.1.022 - Elementos de fixação</v>
      </c>
      <c r="K2709" s="32" t="str">
        <f aca="false">INDEX('Curva ABC'!$K$8:$K$2847,MATCH(D2709,'Curva ABC'!$B$8:$B$2847,0))</f>
        <v>C</v>
      </c>
    </row>
    <row r="2710" customFormat="false" ht="15" hidden="false" customHeight="false" outlineLevel="0" collapsed="false">
      <c r="A2710" s="34" t="s">
        <v>5799</v>
      </c>
      <c r="B2710" s="34" t="str">
        <f aca="false">'Uso e Consumo'!A2710</f>
        <v>0335</v>
      </c>
      <c r="C2710" s="34" t="str">
        <f aca="false">'Uso e Consumo'!B2710</f>
        <v>UFV NORONHA VERDE - USO E CONSUMO</v>
      </c>
      <c r="D2710" s="33" t="n">
        <f aca="false">'Uso e Consumo'!C2710</f>
        <v>949966</v>
      </c>
      <c r="E2710" s="34" t="str">
        <f aca="false">'Uso e Consumo'!D2710</f>
        <v>18.01.1336</v>
      </c>
      <c r="F2710" s="34" t="str">
        <f aca="false">'Uso e Consumo'!E2710</f>
        <v>JUNÇÃO SIMPLES 40X40 ESGOTO</v>
      </c>
      <c r="G2710" s="34" t="str">
        <f aca="false">'Uso e Consumo'!J2710</f>
        <v>UN</v>
      </c>
      <c r="H2710" s="49" t="n">
        <f aca="false">'Uso e Consumo'!F2710</f>
        <v>1</v>
      </c>
      <c r="I2710" s="35" t="n">
        <f aca="false">'Uso e Consumo'!G2710</f>
        <v>3.9</v>
      </c>
      <c r="J2710" s="34" t="str">
        <f aca="false">'Uso e Consumo'!M2710</f>
        <v>3.8.1.018 - Instalações hidráulicas/sanitárias/industriais</v>
      </c>
      <c r="K2710" s="32" t="str">
        <f aca="false">INDEX('Curva ABC'!$K$8:$K$2847,MATCH(D2710,'Curva ABC'!$B$8:$B$2847,0))</f>
        <v>C</v>
      </c>
    </row>
    <row r="2711" customFormat="false" ht="15" hidden="false" customHeight="false" outlineLevel="0" collapsed="false">
      <c r="A2711" s="34" t="s">
        <v>5799</v>
      </c>
      <c r="B2711" s="34" t="str">
        <f aca="false">'Uso e Consumo'!A2711</f>
        <v>0335</v>
      </c>
      <c r="C2711" s="34" t="str">
        <f aca="false">'Uso e Consumo'!B2711</f>
        <v>UFV NORONHA VERDE - USO E CONSUMO</v>
      </c>
      <c r="D2711" s="33" t="n">
        <f aca="false">'Uso e Consumo'!C2711</f>
        <v>33370</v>
      </c>
      <c r="E2711" s="34" t="str">
        <f aca="false">'Uso e Consumo'!D2711</f>
        <v>23.05.0113</v>
      </c>
      <c r="F2711" s="34" t="str">
        <f aca="false">'Uso e Consumo'!E2711</f>
        <v>ARRUELA LISA AÇO INOX 1/4"</v>
      </c>
      <c r="G2711" s="34" t="str">
        <f aca="false">'Uso e Consumo'!J2711</f>
        <v>UN</v>
      </c>
      <c r="H2711" s="49" t="n">
        <f aca="false">'Uso e Consumo'!F2711</f>
        <v>6</v>
      </c>
      <c r="I2711" s="35" t="n">
        <f aca="false">'Uso e Consumo'!G2711</f>
        <v>3.88</v>
      </c>
      <c r="J2711" s="34" t="str">
        <f aca="false">'Uso e Consumo'!M2711</f>
        <v>3.8.1.022 - Elementos de fixação</v>
      </c>
      <c r="K2711" s="32" t="str">
        <f aca="false">INDEX('Curva ABC'!$K$8:$K$2847,MATCH(D2711,'Curva ABC'!$B$8:$B$2847,0))</f>
        <v>C</v>
      </c>
    </row>
    <row r="2712" customFormat="false" ht="15" hidden="false" customHeight="false" outlineLevel="0" collapsed="false">
      <c r="A2712" s="34" t="s">
        <v>5799</v>
      </c>
      <c r="B2712" s="34" t="str">
        <f aca="false">'Uso e Consumo'!A2712</f>
        <v>0335</v>
      </c>
      <c r="C2712" s="34" t="str">
        <f aca="false">'Uso e Consumo'!B2712</f>
        <v>UFV NORONHA VERDE - USO E CONSUMO</v>
      </c>
      <c r="D2712" s="33" t="n">
        <f aca="false">'Uso e Consumo'!C2712</f>
        <v>14746</v>
      </c>
      <c r="E2712" s="34" t="str">
        <f aca="false">'Uso e Consumo'!D2712</f>
        <v>18.01.0321</v>
      </c>
      <c r="F2712" s="34" t="str">
        <f aca="false">'Uso e Consumo'!E2712</f>
        <v>JOELHO 90GR PVC AZUL SOLDAVEL C/ANEL VEDAÇÃO 38,00MM X 38,00MM</v>
      </c>
      <c r="G2712" s="34" t="str">
        <f aca="false">'Uso e Consumo'!J2712</f>
        <v>UN</v>
      </c>
      <c r="H2712" s="49" t="n">
        <f aca="false">'Uso e Consumo'!F2712</f>
        <v>1</v>
      </c>
      <c r="I2712" s="35" t="n">
        <f aca="false">'Uso e Consumo'!G2712</f>
        <v>3.48</v>
      </c>
      <c r="J2712" s="34" t="str">
        <f aca="false">'Uso e Consumo'!M2712</f>
        <v>3.8.1.018 - Instalações hidráulicas/sanitárias/industriais</v>
      </c>
      <c r="K2712" s="32" t="str">
        <f aca="false">INDEX('Curva ABC'!$K$8:$K$2847,MATCH(D2712,'Curva ABC'!$B$8:$B$2847,0))</f>
        <v>C</v>
      </c>
    </row>
    <row r="2713" customFormat="false" ht="15" hidden="false" customHeight="false" outlineLevel="0" collapsed="false">
      <c r="A2713" s="34" t="s">
        <v>5799</v>
      </c>
      <c r="B2713" s="34" t="str">
        <f aca="false">'Uso e Consumo'!A2713</f>
        <v>0335</v>
      </c>
      <c r="C2713" s="34" t="str">
        <f aca="false">'Uso e Consumo'!B2713</f>
        <v>UFV NORONHA VERDE - USO E CONSUMO</v>
      </c>
      <c r="D2713" s="33" t="n">
        <f aca="false">'Uso e Consumo'!C2713</f>
        <v>16847</v>
      </c>
      <c r="E2713" s="34" t="str">
        <f aca="false">'Uso e Consumo'!D2713</f>
        <v>23.05.0021</v>
      </c>
      <c r="F2713" s="34" t="str">
        <f aca="false">'Uso e Consumo'!E2713</f>
        <v>ARRUELA LISA AÇO CARBONO 7/8" ZINCADO BRANCO</v>
      </c>
      <c r="G2713" s="34" t="str">
        <f aca="false">'Uso e Consumo'!J2713</f>
        <v>UN</v>
      </c>
      <c r="H2713" s="49" t="n">
        <f aca="false">'Uso e Consumo'!F2713</f>
        <v>1</v>
      </c>
      <c r="I2713" s="35" t="n">
        <f aca="false">'Uso e Consumo'!G2713</f>
        <v>3.48</v>
      </c>
      <c r="J2713" s="34" t="str">
        <f aca="false">'Uso e Consumo'!M2713</f>
        <v>3.8.1.022 - Elementos de fixação</v>
      </c>
      <c r="K2713" s="32" t="str">
        <f aca="false">INDEX('Curva ABC'!$K$8:$K$2847,MATCH(D2713,'Curva ABC'!$B$8:$B$2847,0))</f>
        <v>C</v>
      </c>
    </row>
    <row r="2714" customFormat="false" ht="15" hidden="false" customHeight="false" outlineLevel="0" collapsed="false">
      <c r="A2714" s="34" t="s">
        <v>5799</v>
      </c>
      <c r="B2714" s="34" t="str">
        <f aca="false">'Uso e Consumo'!A2714</f>
        <v>0335</v>
      </c>
      <c r="C2714" s="34" t="str">
        <f aca="false">'Uso e Consumo'!B2714</f>
        <v>UFV NORONHA VERDE - USO E CONSUMO</v>
      </c>
      <c r="D2714" s="33" t="n">
        <f aca="false">'Uso e Consumo'!C2714</f>
        <v>59474</v>
      </c>
      <c r="E2714" s="34" t="str">
        <f aca="false">'Uso e Consumo'!D2714</f>
        <v>18.01.0913</v>
      </c>
      <c r="F2714" s="34" t="str">
        <f aca="false">'Uso e Consumo'!E2714</f>
        <v>ADAPTADOR CURTO SOLDÁVEL 40MM X 1.1/4"</v>
      </c>
      <c r="G2714" s="34" t="str">
        <f aca="false">'Uso e Consumo'!J2714</f>
        <v>UN</v>
      </c>
      <c r="H2714" s="49" t="n">
        <f aca="false">'Uso e Consumo'!F2714</f>
        <v>1</v>
      </c>
      <c r="I2714" s="35" t="n">
        <f aca="false">'Uso e Consumo'!G2714</f>
        <v>3.48</v>
      </c>
      <c r="J2714" s="34" t="str">
        <f aca="false">'Uso e Consumo'!M2714</f>
        <v>3.8.1.018 - Instalações hidráulicas/sanitárias/industriais</v>
      </c>
      <c r="K2714" s="32" t="str">
        <f aca="false">INDEX('Curva ABC'!$K$8:$K$2847,MATCH(D2714,'Curva ABC'!$B$8:$B$2847,0))</f>
        <v>C</v>
      </c>
    </row>
    <row r="2715" customFormat="false" ht="15" hidden="false" customHeight="false" outlineLevel="0" collapsed="false">
      <c r="A2715" s="34" t="s">
        <v>5799</v>
      </c>
      <c r="B2715" s="34" t="str">
        <f aca="false">'Uso e Consumo'!A2715</f>
        <v>0335</v>
      </c>
      <c r="C2715" s="34" t="str">
        <f aca="false">'Uso e Consumo'!B2715</f>
        <v>UFV NORONHA VERDE - USO E CONSUMO</v>
      </c>
      <c r="D2715" s="33" t="n">
        <f aca="false">'Uso e Consumo'!C2715</f>
        <v>21938</v>
      </c>
      <c r="E2715" s="34" t="str">
        <f aca="false">'Uso e Consumo'!D2715</f>
        <v>33.02.0132</v>
      </c>
      <c r="F2715" s="34" t="str">
        <f aca="false">'Uso e Consumo'!E2715</f>
        <v>PORCA SEXT. 8.8 14</v>
      </c>
      <c r="G2715" s="34" t="str">
        <f aca="false">'Uso e Consumo'!J2715</f>
        <v>UN</v>
      </c>
      <c r="H2715" s="49" t="n">
        <f aca="false">'Uso e Consumo'!F2715</f>
        <v>2</v>
      </c>
      <c r="I2715" s="35" t="n">
        <f aca="false">'Uso e Consumo'!G2715</f>
        <v>3.16</v>
      </c>
      <c r="J2715" s="34" t="str">
        <f aca="false">'Uso e Consumo'!M2715</f>
        <v>3.1.6.002 - Pneus e peças</v>
      </c>
      <c r="K2715" s="32" t="str">
        <f aca="false">INDEX('Curva ABC'!$K$8:$K$2847,MATCH(D2715,'Curva ABC'!$B$8:$B$2847,0))</f>
        <v>C</v>
      </c>
    </row>
    <row r="2716" customFormat="false" ht="15" hidden="false" customHeight="false" outlineLevel="0" collapsed="false">
      <c r="A2716" s="34" t="s">
        <v>5799</v>
      </c>
      <c r="B2716" s="34" t="str">
        <f aca="false">'Uso e Consumo'!A2716</f>
        <v>0335</v>
      </c>
      <c r="C2716" s="34" t="str">
        <f aca="false">'Uso e Consumo'!B2716</f>
        <v>UFV NORONHA VERDE - USO E CONSUMO</v>
      </c>
      <c r="D2716" s="33" t="n">
        <f aca="false">'Uso e Consumo'!C2716</f>
        <v>879110</v>
      </c>
      <c r="E2716" s="34" t="str">
        <f aca="false">'Uso e Consumo'!D2716</f>
        <v>27.01.0434</v>
      </c>
      <c r="F2716" s="34" t="str">
        <f aca="false">'Uso e Consumo'!E2716</f>
        <v>SERINGA DE 5ML</v>
      </c>
      <c r="G2716" s="34" t="str">
        <f aca="false">'Uso e Consumo'!J2716</f>
        <v>UN</v>
      </c>
      <c r="H2716" s="49" t="n">
        <f aca="false">'Uso e Consumo'!F2716</f>
        <v>8</v>
      </c>
      <c r="I2716" s="35" t="n">
        <f aca="false">'Uso e Consumo'!G2716</f>
        <v>2.4</v>
      </c>
      <c r="J2716" s="34" t="str">
        <f aca="false">'Uso e Consumo'!M2716</f>
        <v>4.3.4.006 - Medicamentos e primeiro socorros</v>
      </c>
      <c r="K2716" s="32" t="str">
        <f aca="false">INDEX('Curva ABC'!$K$8:$K$2847,MATCH(D2716,'Curva ABC'!$B$8:$B$2847,0))</f>
        <v>C</v>
      </c>
    </row>
    <row r="2717" customFormat="false" ht="15" hidden="false" customHeight="false" outlineLevel="0" collapsed="false">
      <c r="A2717" s="34" t="s">
        <v>5799</v>
      </c>
      <c r="B2717" s="34" t="str">
        <f aca="false">'Uso e Consumo'!A2717</f>
        <v>0335</v>
      </c>
      <c r="C2717" s="34" t="str">
        <f aca="false">'Uso e Consumo'!B2717</f>
        <v>UFV NORONHA VERDE - USO E CONSUMO</v>
      </c>
      <c r="D2717" s="33" t="n">
        <f aca="false">'Uso e Consumo'!C2717</f>
        <v>930160</v>
      </c>
      <c r="E2717" s="34" t="str">
        <f aca="false">'Uso e Consumo'!D2717</f>
        <v>23.07.1423</v>
      </c>
      <c r="F2717" s="34" t="str">
        <f aca="false">'Uso e Consumo'!E2717</f>
        <v>PARAFUSO AÇO 6 X 35 MM</v>
      </c>
      <c r="G2717" s="34" t="str">
        <f aca="false">'Uso e Consumo'!J2717</f>
        <v>UN</v>
      </c>
      <c r="H2717" s="49" t="n">
        <f aca="false">'Uso e Consumo'!F2717</f>
        <v>4</v>
      </c>
      <c r="I2717" s="35" t="n">
        <f aca="false">'Uso e Consumo'!G2717</f>
        <v>2.4</v>
      </c>
      <c r="J2717" s="34" t="str">
        <f aca="false">'Uso e Consumo'!M2717</f>
        <v>3.8.1.022 - Elementos de fixação</v>
      </c>
      <c r="K2717" s="32" t="str">
        <f aca="false">INDEX('Curva ABC'!$K$8:$K$2847,MATCH(D2717,'Curva ABC'!$B$8:$B$2847,0))</f>
        <v>C</v>
      </c>
    </row>
    <row r="2718" customFormat="false" ht="15" hidden="false" customHeight="false" outlineLevel="0" collapsed="false">
      <c r="A2718" s="34" t="s">
        <v>5799</v>
      </c>
      <c r="B2718" s="34" t="str">
        <f aca="false">'Uso e Consumo'!A2718</f>
        <v>0335</v>
      </c>
      <c r="C2718" s="34" t="str">
        <f aca="false">'Uso e Consumo'!B2718</f>
        <v>UFV NORONHA VERDE - USO E CONSUMO</v>
      </c>
      <c r="D2718" s="33" t="n">
        <f aca="false">'Uso e Consumo'!C2718</f>
        <v>17537</v>
      </c>
      <c r="E2718" s="34" t="str">
        <f aca="false">'Uso e Consumo'!D2718</f>
        <v>23.07.0555</v>
      </c>
      <c r="F2718" s="34" t="str">
        <f aca="false">'Uso e Consumo'!E2718</f>
        <v>PARAFUSO FENDA P/MADEIRA CABECA CHATA AÇO CARBONO DIN 97 ROSCA SOBERBA 3,80MM X 40,00MM ASME 18.6.1</v>
      </c>
      <c r="G2718" s="34" t="str">
        <f aca="false">'Uso e Consumo'!J2718</f>
        <v>UN</v>
      </c>
      <c r="H2718" s="49" t="n">
        <f aca="false">'Uso e Consumo'!F2718</f>
        <v>8</v>
      </c>
      <c r="I2718" s="35" t="n">
        <f aca="false">'Uso e Consumo'!G2718</f>
        <v>2.24</v>
      </c>
      <c r="J2718" s="34" t="str">
        <f aca="false">'Uso e Consumo'!M2718</f>
        <v>3.8.1.022 - Elementos de fixação</v>
      </c>
      <c r="K2718" s="32" t="str">
        <f aca="false">INDEX('Curva ABC'!$K$8:$K$2847,MATCH(D2718,'Curva ABC'!$B$8:$B$2847,0))</f>
        <v>C</v>
      </c>
    </row>
    <row r="2719" customFormat="false" ht="15" hidden="false" customHeight="false" outlineLevel="0" collapsed="false">
      <c r="A2719" s="34" t="s">
        <v>5799</v>
      </c>
      <c r="B2719" s="34" t="str">
        <f aca="false">'Uso e Consumo'!A2719</f>
        <v>0335</v>
      </c>
      <c r="C2719" s="34" t="str">
        <f aca="false">'Uso e Consumo'!B2719</f>
        <v>UFV NORONHA VERDE - USO E CONSUMO</v>
      </c>
      <c r="D2719" s="33" t="n">
        <f aca="false">'Uso e Consumo'!C2719</f>
        <v>280309</v>
      </c>
      <c r="E2719" s="34" t="str">
        <f aca="false">'Uso e Consumo'!D2719</f>
        <v>33.02.1381</v>
      </c>
      <c r="F2719" s="34" t="str">
        <f aca="false">'Uso e Consumo'!E2719</f>
        <v>PARAFUSO 09H1759</v>
      </c>
      <c r="G2719" s="34" t="str">
        <f aca="false">'Uso e Consumo'!J2719</f>
        <v>UN</v>
      </c>
      <c r="H2719" s="49" t="n">
        <f aca="false">'Uso e Consumo'!F2719</f>
        <v>8</v>
      </c>
      <c r="I2719" s="35" t="n">
        <f aca="false">'Uso e Consumo'!G2719</f>
        <v>2.24</v>
      </c>
      <c r="J2719" s="34" t="str">
        <f aca="false">'Uso e Consumo'!M2719</f>
        <v>3.1.6.002 - Pneus e peças</v>
      </c>
      <c r="K2719" s="32" t="str">
        <f aca="false">INDEX('Curva ABC'!$K$8:$K$2847,MATCH(D2719,'Curva ABC'!$B$8:$B$2847,0))</f>
        <v>C</v>
      </c>
    </row>
    <row r="2720" customFormat="false" ht="15" hidden="false" customHeight="false" outlineLevel="0" collapsed="false">
      <c r="A2720" s="34" t="s">
        <v>5799</v>
      </c>
      <c r="B2720" s="34" t="str">
        <f aca="false">'Uso e Consumo'!A2720</f>
        <v>0335</v>
      </c>
      <c r="C2720" s="34" t="str">
        <f aca="false">'Uso e Consumo'!B2720</f>
        <v>UFV NORONHA VERDE - USO E CONSUMO</v>
      </c>
      <c r="D2720" s="33" t="n">
        <f aca="false">'Uso e Consumo'!C2720</f>
        <v>283487</v>
      </c>
      <c r="E2720" s="34" t="str">
        <f aca="false">'Uso e Consumo'!D2720</f>
        <v>33.02.1424</v>
      </c>
      <c r="F2720" s="34" t="str">
        <f aca="false">'Uso e Consumo'!E2720</f>
        <v>PARAFUSO 1/2 X NC</v>
      </c>
      <c r="G2720" s="34" t="str">
        <f aca="false">'Uso e Consumo'!J2720</f>
        <v>UN</v>
      </c>
      <c r="H2720" s="49" t="n">
        <f aca="false">'Uso e Consumo'!F2720</f>
        <v>8</v>
      </c>
      <c r="I2720" s="35" t="n">
        <f aca="false">'Uso e Consumo'!G2720</f>
        <v>2.24</v>
      </c>
      <c r="J2720" s="34" t="str">
        <f aca="false">'Uso e Consumo'!M2720</f>
        <v>3.1.6.002 - Pneus e peças</v>
      </c>
      <c r="K2720" s="32" t="str">
        <f aca="false">INDEX('Curva ABC'!$K$8:$K$2847,MATCH(D2720,'Curva ABC'!$B$8:$B$2847,0))</f>
        <v>C</v>
      </c>
    </row>
    <row r="2721" customFormat="false" ht="15" hidden="false" customHeight="false" outlineLevel="0" collapsed="false">
      <c r="A2721" s="34" t="s">
        <v>5799</v>
      </c>
      <c r="B2721" s="34" t="str">
        <f aca="false">'Uso e Consumo'!A2721</f>
        <v>0335</v>
      </c>
      <c r="C2721" s="34" t="str">
        <f aca="false">'Uso e Consumo'!B2721</f>
        <v>UFV NORONHA VERDE - USO E CONSUMO</v>
      </c>
      <c r="D2721" s="33" t="n">
        <f aca="false">'Uso e Consumo'!C2721</f>
        <v>1109739</v>
      </c>
      <c r="E2721" s="34" t="str">
        <f aca="false">'Uso e Consumo'!D2721</f>
        <v>23.07.1512</v>
      </c>
      <c r="F2721" s="34" t="str">
        <f aca="false">'Uso e Consumo'!E2721</f>
        <v>PARAFUSO 6 X 22MM</v>
      </c>
      <c r="G2721" s="34" t="str">
        <f aca="false">'Uso e Consumo'!J2721</f>
        <v>UN</v>
      </c>
      <c r="H2721" s="49" t="n">
        <f aca="false">'Uso e Consumo'!F2721</f>
        <v>8</v>
      </c>
      <c r="I2721" s="35" t="n">
        <f aca="false">'Uso e Consumo'!G2721</f>
        <v>2.24</v>
      </c>
      <c r="J2721" s="34" t="str">
        <f aca="false">'Uso e Consumo'!M2721</f>
        <v>3.8.1.022 - Elementos de fixação</v>
      </c>
      <c r="K2721" s="32" t="str">
        <f aca="false">INDEX('Curva ABC'!$K$8:$K$2847,MATCH(D2721,'Curva ABC'!$B$8:$B$2847,0))</f>
        <v>C</v>
      </c>
    </row>
    <row r="2722" customFormat="false" ht="15" hidden="false" customHeight="false" outlineLevel="0" collapsed="false">
      <c r="A2722" s="34" t="s">
        <v>5799</v>
      </c>
      <c r="B2722" s="34" t="str">
        <f aca="false">'Uso e Consumo'!A2722</f>
        <v>0335</v>
      </c>
      <c r="C2722" s="34" t="str">
        <f aca="false">'Uso e Consumo'!B2722</f>
        <v>UFV NORONHA VERDE - USO E CONSUMO</v>
      </c>
      <c r="D2722" s="33" t="n">
        <f aca="false">'Uso e Consumo'!C2722</f>
        <v>17694</v>
      </c>
      <c r="E2722" s="34" t="str">
        <f aca="false">'Uso e Consumo'!D2722</f>
        <v>23.08.0025</v>
      </c>
      <c r="F2722" s="34" t="str">
        <f aca="false">'Uso e Consumo'!E2722</f>
        <v>BUCHA NYLON 6,00MM FIXACAO PARAFUSO</v>
      </c>
      <c r="G2722" s="34" t="str">
        <f aca="false">'Uso e Consumo'!J2722</f>
        <v>UN</v>
      </c>
      <c r="H2722" s="49" t="n">
        <f aca="false">'Uso e Consumo'!F2722</f>
        <v>4</v>
      </c>
      <c r="I2722" s="35" t="n">
        <f aca="false">'Uso e Consumo'!G2722</f>
        <v>1.92</v>
      </c>
      <c r="J2722" s="34" t="str">
        <f aca="false">'Uso e Consumo'!M2722</f>
        <v>3.8.1.022 - Elementos de fixação</v>
      </c>
      <c r="K2722" s="32" t="str">
        <f aca="false">INDEX('Curva ABC'!$K$8:$K$2847,MATCH(D2722,'Curva ABC'!$B$8:$B$2847,0))</f>
        <v>C</v>
      </c>
    </row>
    <row r="2723" customFormat="false" ht="15" hidden="false" customHeight="false" outlineLevel="0" collapsed="false">
      <c r="A2723" s="34" t="s">
        <v>5799</v>
      </c>
      <c r="B2723" s="34" t="str">
        <f aca="false">'Uso e Consumo'!A2723</f>
        <v>0335</v>
      </c>
      <c r="C2723" s="34" t="str">
        <f aca="false">'Uso e Consumo'!B2723</f>
        <v>UFV NORONHA VERDE - USO E CONSUMO</v>
      </c>
      <c r="D2723" s="33" t="n">
        <f aca="false">'Uso e Consumo'!C2723</f>
        <v>938593</v>
      </c>
      <c r="E2723" s="34" t="str">
        <f aca="false">'Uso e Consumo'!D2723</f>
        <v>23.05.0257</v>
      </c>
      <c r="F2723" s="34" t="str">
        <f aca="false">'Uso e Consumo'!E2723</f>
        <v>ARRUELA LISA INOX 8MM</v>
      </c>
      <c r="G2723" s="34" t="str">
        <f aca="false">'Uso e Consumo'!J2723</f>
        <v>UN</v>
      </c>
      <c r="H2723" s="49" t="n">
        <f aca="false">'Uso e Consumo'!F2723</f>
        <v>12</v>
      </c>
      <c r="I2723" s="35" t="n">
        <f aca="false">'Uso e Consumo'!G2723</f>
        <v>1.76</v>
      </c>
      <c r="J2723" s="34" t="str">
        <f aca="false">'Uso e Consumo'!M2723</f>
        <v>3.8.1.022 - Elementos de fixação</v>
      </c>
      <c r="K2723" s="32" t="str">
        <f aca="false">INDEX('Curva ABC'!$K$8:$K$2847,MATCH(D2723,'Curva ABC'!$B$8:$B$2847,0))</f>
        <v>C</v>
      </c>
    </row>
    <row r="2724" customFormat="false" ht="15" hidden="false" customHeight="false" outlineLevel="0" collapsed="false">
      <c r="A2724" s="34" t="s">
        <v>5799</v>
      </c>
      <c r="B2724" s="34" t="str">
        <f aca="false">'Uso e Consumo'!A2724</f>
        <v>0335</v>
      </c>
      <c r="C2724" s="34" t="str">
        <f aca="false">'Uso e Consumo'!B2724</f>
        <v>UFV NORONHA VERDE - USO E CONSUMO</v>
      </c>
      <c r="D2724" s="33" t="n">
        <f aca="false">'Uso e Consumo'!C2724</f>
        <v>14756</v>
      </c>
      <c r="E2724" s="34" t="str">
        <f aca="false">'Uso e Consumo'!D2724</f>
        <v>18.01.0331</v>
      </c>
      <c r="F2724" s="34" t="str">
        <f aca="false">'Uso e Consumo'!E2724</f>
        <v>JOELHO 90GR PVC SOLDAVEL 25,00MM</v>
      </c>
      <c r="G2724" s="34" t="str">
        <f aca="false">'Uso e Consumo'!J2724</f>
        <v>UN</v>
      </c>
      <c r="H2724" s="49" t="n">
        <f aca="false">'Uso e Consumo'!F2724</f>
        <v>2</v>
      </c>
      <c r="I2724" s="35" t="n">
        <f aca="false">'Uso e Consumo'!G2724</f>
        <v>1.52</v>
      </c>
      <c r="J2724" s="34" t="str">
        <f aca="false">'Uso e Consumo'!M2724</f>
        <v>3.8.1.018 - Instalações hidráulicas/sanitárias/industriais</v>
      </c>
      <c r="K2724" s="32" t="str">
        <f aca="false">INDEX('Curva ABC'!$K$8:$K$2847,MATCH(D2724,'Curva ABC'!$B$8:$B$2847,0))</f>
        <v>C</v>
      </c>
    </row>
    <row r="2725" customFormat="false" ht="15" hidden="false" customHeight="false" outlineLevel="0" collapsed="false">
      <c r="A2725" s="34" t="s">
        <v>5799</v>
      </c>
      <c r="B2725" s="34" t="str">
        <f aca="false">'Uso e Consumo'!A2725</f>
        <v>0335</v>
      </c>
      <c r="C2725" s="34" t="str">
        <f aca="false">'Uso e Consumo'!B2725</f>
        <v>UFV NORONHA VERDE - USO E CONSUMO</v>
      </c>
      <c r="D2725" s="33" t="n">
        <f aca="false">'Uso e Consumo'!C2725</f>
        <v>56741</v>
      </c>
      <c r="E2725" s="34" t="str">
        <f aca="false">'Uso e Consumo'!D2725</f>
        <v>17.16.0142</v>
      </c>
      <c r="F2725" s="34" t="str">
        <f aca="false">'Uso e Consumo'!E2725</f>
        <v>TERMINAL PRÉ-ISOLADO TIPO AGULHA COBRE ESTANHADO 10,00MM2</v>
      </c>
      <c r="G2725" s="34" t="str">
        <f aca="false">'Uso e Consumo'!J2725</f>
        <v>UN</v>
      </c>
      <c r="H2725" s="49" t="n">
        <f aca="false">'Uso e Consumo'!F2725</f>
        <v>10</v>
      </c>
      <c r="I2725" s="35" t="n">
        <f aca="false">'Uso e Consumo'!G2725</f>
        <v>1.5</v>
      </c>
      <c r="J2725" s="34" t="str">
        <f aca="false">'Uso e Consumo'!M2725</f>
        <v>3.8.1.017 - Instalações elétricas/telefônicas/lógica</v>
      </c>
      <c r="K2725" s="32" t="str">
        <f aca="false">INDEX('Curva ABC'!$K$8:$K$2847,MATCH(D2725,'Curva ABC'!$B$8:$B$2847,0))</f>
        <v>C</v>
      </c>
    </row>
    <row r="2726" customFormat="false" ht="15" hidden="false" customHeight="false" outlineLevel="0" collapsed="false">
      <c r="A2726" s="34" t="s">
        <v>5799</v>
      </c>
      <c r="B2726" s="34" t="str">
        <f aca="false">'Uso e Consumo'!A2726</f>
        <v>0335</v>
      </c>
      <c r="C2726" s="34" t="str">
        <f aca="false">'Uso e Consumo'!B2726</f>
        <v>UFV NORONHA VERDE - USO E CONSUMO</v>
      </c>
      <c r="D2726" s="33" t="n">
        <f aca="false">'Uso e Consumo'!C2726</f>
        <v>293602</v>
      </c>
      <c r="E2726" s="34" t="str">
        <f aca="false">'Uso e Consumo'!D2726</f>
        <v>27.01.0324</v>
      </c>
      <c r="F2726" s="34" t="str">
        <f aca="false">'Uso e Consumo'!E2726</f>
        <v>ÁCIDO ACETILSALICÍLICO 100MG</v>
      </c>
      <c r="G2726" s="34" t="str">
        <f aca="false">'Uso e Consumo'!J2726</f>
        <v>UN</v>
      </c>
      <c r="H2726" s="49" t="n">
        <f aca="false">'Uso e Consumo'!F2726</f>
        <v>1</v>
      </c>
      <c r="I2726" s="35" t="n">
        <f aca="false">'Uso e Consumo'!G2726</f>
        <v>1.5</v>
      </c>
      <c r="J2726" s="34" t="str">
        <f aca="false">'Uso e Consumo'!M2726</f>
        <v>4.3.4.006 - Medicamentos e primeiro socorros</v>
      </c>
      <c r="K2726" s="32" t="str">
        <f aca="false">INDEX('Curva ABC'!$K$8:$K$2847,MATCH(D2726,'Curva ABC'!$B$8:$B$2847,0))</f>
        <v>C</v>
      </c>
    </row>
    <row r="2727" customFormat="false" ht="15" hidden="false" customHeight="false" outlineLevel="0" collapsed="false">
      <c r="A2727" s="34" t="s">
        <v>5799</v>
      </c>
      <c r="B2727" s="34" t="str">
        <f aca="false">'Uso e Consumo'!A2727</f>
        <v>0335</v>
      </c>
      <c r="C2727" s="34" t="str">
        <f aca="false">'Uso e Consumo'!B2727</f>
        <v>UFV NORONHA VERDE - USO E CONSUMO</v>
      </c>
      <c r="D2727" s="33" t="n">
        <f aca="false">'Uso e Consumo'!C2727</f>
        <v>56740</v>
      </c>
      <c r="E2727" s="34" t="str">
        <f aca="false">'Uso e Consumo'!D2727</f>
        <v>17.16.0141</v>
      </c>
      <c r="F2727" s="34" t="str">
        <f aca="false">'Uso e Consumo'!E2727</f>
        <v>TERMINAL PRÉ-ISOLADO TIPO AGULHA COBRE ESTANHADO 6,00MM2</v>
      </c>
      <c r="G2727" s="34" t="str">
        <f aca="false">'Uso e Consumo'!J2727</f>
        <v>UN</v>
      </c>
      <c r="H2727" s="49" t="n">
        <f aca="false">'Uso e Consumo'!F2727</f>
        <v>10</v>
      </c>
      <c r="I2727" s="35" t="n">
        <f aca="false">'Uso e Consumo'!G2727</f>
        <v>1.2</v>
      </c>
      <c r="J2727" s="34" t="str">
        <f aca="false">'Uso e Consumo'!M2727</f>
        <v>3.8.1.017 - Instalações elétricas/telefônicas/lógica</v>
      </c>
      <c r="K2727" s="32" t="str">
        <f aca="false">INDEX('Curva ABC'!$K$8:$K$2847,MATCH(D2727,'Curva ABC'!$B$8:$B$2847,0))</f>
        <v>C</v>
      </c>
    </row>
    <row r="2728" customFormat="false" ht="15" hidden="false" customHeight="false" outlineLevel="0" collapsed="false">
      <c r="A2728" s="34" t="s">
        <v>5799</v>
      </c>
      <c r="B2728" s="34" t="str">
        <f aca="false">'Uso e Consumo'!A2728</f>
        <v>0335</v>
      </c>
      <c r="C2728" s="34" t="str">
        <f aca="false">'Uso e Consumo'!B2728</f>
        <v>UFV NORONHA VERDE - USO E CONSUMO</v>
      </c>
      <c r="D2728" s="33" t="n">
        <f aca="false">'Uso e Consumo'!C2728</f>
        <v>937216</v>
      </c>
      <c r="E2728" s="34" t="str">
        <f aca="false">'Uso e Consumo'!D2728</f>
        <v>17.16.0526</v>
      </c>
      <c r="F2728" s="34" t="str">
        <f aca="false">'Uso e Consumo'!E2728</f>
        <v>TERMINAL TIPO PINO PRE-ISOLADO 6MM²</v>
      </c>
      <c r="G2728" s="34" t="str">
        <f aca="false">'Uso e Consumo'!J2728</f>
        <v>UN</v>
      </c>
      <c r="H2728" s="49" t="n">
        <f aca="false">'Uso e Consumo'!F2728</f>
        <v>0.93</v>
      </c>
      <c r="I2728" s="35" t="n">
        <f aca="false">'Uso e Consumo'!G2728</f>
        <v>0.86</v>
      </c>
      <c r="J2728" s="34" t="str">
        <f aca="false">'Uso e Consumo'!M2728</f>
        <v>3.8.1.017 - Instalações elétricas/telefônicas/lógica</v>
      </c>
      <c r="K2728" s="32" t="str">
        <f aca="false">INDEX('Curva ABC'!$K$8:$K$2847,MATCH(D2728,'Curva ABC'!$B$8:$B$2847,0))</f>
        <v>C</v>
      </c>
    </row>
    <row r="2729" customFormat="false" ht="15" hidden="false" customHeight="false" outlineLevel="0" collapsed="false">
      <c r="A2729" s="34" t="s">
        <v>5799</v>
      </c>
      <c r="B2729" s="34" t="str">
        <f aca="false">'Uso e Consumo'!A2729</f>
        <v>0335</v>
      </c>
      <c r="C2729" s="34" t="str">
        <f aca="false">'Uso e Consumo'!B2729</f>
        <v>UFV NORONHA VERDE - USO E CONSUMO</v>
      </c>
      <c r="D2729" s="33" t="n">
        <f aca="false">'Uso e Consumo'!C2729</f>
        <v>1607592</v>
      </c>
      <c r="E2729" s="34" t="str">
        <f aca="false">'Uso e Consumo'!D2729</f>
        <v>17.02.0917</v>
      </c>
      <c r="F2729" s="34" t="str">
        <f aca="false">'Uso e Consumo'!E2729</f>
        <v>CURVA LONGA DE PVC 90 PRETA SOLDAVEL DE 3/4"</v>
      </c>
      <c r="G2729" s="34" t="str">
        <f aca="false">'Uso e Consumo'!J2729</f>
        <v>UN</v>
      </c>
      <c r="H2729" s="49" t="n">
        <f aca="false">'Uso e Consumo'!F2729</f>
        <v>1</v>
      </c>
      <c r="I2729" s="35" t="n">
        <f aca="false">'Uso e Consumo'!G2729</f>
        <v>0.86</v>
      </c>
      <c r="J2729" s="34" t="str">
        <f aca="false">'Uso e Consumo'!M2729</f>
        <v>3.8.1.017 - Instalações elétricas/telefônicas/lógica</v>
      </c>
      <c r="K2729" s="32" t="str">
        <f aca="false">INDEX('Curva ABC'!$K$8:$K$2847,MATCH(D2729,'Curva ABC'!$B$8:$B$2847,0))</f>
        <v>C</v>
      </c>
    </row>
    <row r="2730" customFormat="false" ht="15" hidden="false" customHeight="false" outlineLevel="0" collapsed="false">
      <c r="A2730" s="34" t="s">
        <v>5799</v>
      </c>
      <c r="B2730" s="34" t="str">
        <f aca="false">'Uso e Consumo'!A2730</f>
        <v>0335</v>
      </c>
      <c r="C2730" s="34" t="str">
        <f aca="false">'Uso e Consumo'!B2730</f>
        <v>UFV NORONHA VERDE - USO E CONSUMO</v>
      </c>
      <c r="D2730" s="33" t="n">
        <f aca="false">'Uso e Consumo'!C2730</f>
        <v>33790</v>
      </c>
      <c r="E2730" s="34" t="str">
        <f aca="false">'Uso e Consumo'!D2730</f>
        <v>23.06.0117</v>
      </c>
      <c r="F2730" s="34" t="str">
        <f aca="false">'Uso e Consumo'!E2730</f>
        <v>PORCA SEXTAVADA 5,00 MM ZINCADO BRANCO</v>
      </c>
      <c r="G2730" s="34" t="str">
        <f aca="false">'Uso e Consumo'!J2730</f>
        <v>UN</v>
      </c>
      <c r="H2730" s="49" t="n">
        <f aca="false">'Uso e Consumo'!F2730</f>
        <v>8</v>
      </c>
      <c r="I2730" s="35" t="n">
        <f aca="false">'Uso e Consumo'!G2730</f>
        <v>0.8</v>
      </c>
      <c r="J2730" s="34" t="str">
        <f aca="false">'Uso e Consumo'!M2730</f>
        <v>3.8.1.022 - Elementos de fixação</v>
      </c>
      <c r="K2730" s="32" t="str">
        <f aca="false">INDEX('Curva ABC'!$K$8:$K$2847,MATCH(D2730,'Curva ABC'!$B$8:$B$2847,0))</f>
        <v>C</v>
      </c>
    </row>
    <row r="2731" customFormat="false" ht="15" hidden="false" customHeight="false" outlineLevel="0" collapsed="false">
      <c r="A2731" s="34" t="s">
        <v>5799</v>
      </c>
      <c r="B2731" s="34" t="str">
        <f aca="false">'Uso e Consumo'!A2731</f>
        <v>0335</v>
      </c>
      <c r="C2731" s="34" t="str">
        <f aca="false">'Uso e Consumo'!B2731</f>
        <v>UFV NORONHA VERDE - USO E CONSUMO</v>
      </c>
      <c r="D2731" s="33" t="n">
        <f aca="false">'Uso e Consumo'!C2731</f>
        <v>273915</v>
      </c>
      <c r="E2731" s="34" t="str">
        <f aca="false">'Uso e Consumo'!D2731</f>
        <v>23.07.1102</v>
      </c>
      <c r="F2731" s="34" t="str">
        <f aca="false">'Uso e Consumo'!E2731</f>
        <v>PARAFUSO SEXTAVADO ROSCA SOBERBA 1/4" X 50 </v>
      </c>
      <c r="G2731" s="34" t="str">
        <f aca="false">'Uso e Consumo'!J2731</f>
        <v>UN</v>
      </c>
      <c r="H2731" s="49" t="n">
        <f aca="false">'Uso e Consumo'!F2731</f>
        <v>2</v>
      </c>
      <c r="I2731" s="35" t="n">
        <f aca="false">'Uso e Consumo'!G2731</f>
        <v>0.71</v>
      </c>
      <c r="J2731" s="34" t="str">
        <f aca="false">'Uso e Consumo'!M2731</f>
        <v>3.8.1.022 - Elementos de fixação</v>
      </c>
      <c r="K2731" s="32" t="str">
        <f aca="false">INDEX('Curva ABC'!$K$8:$K$2847,MATCH(D2731,'Curva ABC'!$B$8:$B$2847,0))</f>
        <v>C</v>
      </c>
    </row>
    <row r="2732" customFormat="false" ht="15" hidden="false" customHeight="false" outlineLevel="0" collapsed="false">
      <c r="A2732" s="34" t="s">
        <v>5799</v>
      </c>
      <c r="B2732" s="34" t="str">
        <f aca="false">'Uso e Consumo'!A2732</f>
        <v>0335</v>
      </c>
      <c r="C2732" s="34" t="str">
        <f aca="false">'Uso e Consumo'!B2732</f>
        <v>UFV NORONHA VERDE - USO E CONSUMO</v>
      </c>
      <c r="D2732" s="33" t="n">
        <f aca="false">'Uso e Consumo'!C2732</f>
        <v>1614274</v>
      </c>
      <c r="E2732" s="34" t="str">
        <f aca="false">'Uso e Consumo'!D2732</f>
        <v>17.03.0621</v>
      </c>
      <c r="F2732" s="34" t="str">
        <f aca="false">'Uso e Consumo'!E2732</f>
        <v>BUCHA EXPANSAO NYLON N8 40MM</v>
      </c>
      <c r="G2732" s="34" t="str">
        <f aca="false">'Uso e Consumo'!J2732</f>
        <v>UN</v>
      </c>
      <c r="H2732" s="49" t="n">
        <f aca="false">'Uso e Consumo'!F2732</f>
        <v>6</v>
      </c>
      <c r="I2732" s="35" t="n">
        <f aca="false">'Uso e Consumo'!G2732</f>
        <v>0.48</v>
      </c>
      <c r="J2732" s="34" t="str">
        <f aca="false">'Uso e Consumo'!M2732</f>
        <v>3.8.1.017 - Instalações elétricas/telefônicas/lógica</v>
      </c>
      <c r="K2732" s="32" t="str">
        <f aca="false">INDEX('Curva ABC'!$K$8:$K$2847,MATCH(D2732,'Curva ABC'!$B$8:$B$2847,0))</f>
        <v>C</v>
      </c>
    </row>
    <row r="2733" customFormat="false" ht="15" hidden="false" customHeight="false" outlineLevel="0" collapsed="false">
      <c r="A2733" s="34" t="s">
        <v>5800</v>
      </c>
      <c r="B2733" s="34" t="str">
        <f aca="false">'Fat Dir Terceiro'!A2</f>
        <v>0336</v>
      </c>
      <c r="C2733" s="34" t="str">
        <f aca="false">'Fat Dir Terceiro'!B2</f>
        <v>UFV NORONHA VERDE - FAT. DIR. TERCEIRO</v>
      </c>
      <c r="D2733" s="33" t="n">
        <f aca="false">'Fat Dir Terceiro'!C2</f>
        <v>17864</v>
      </c>
      <c r="E2733" s="34" t="str">
        <f aca="false">'Fat Dir Terceiro'!D2</f>
        <v>24.04.0007</v>
      </c>
      <c r="F2733" s="34" t="str">
        <f aca="false">'Fat Dir Terceiro'!E2</f>
        <v>PRUMO PAREDE AÇO SAE 1020 CORDAO NYLON TAÇO MADEIRA 400,00G</v>
      </c>
      <c r="G2733" s="34" t="str">
        <f aca="false">'Fat Dir Terceiro'!J2</f>
        <v>UN</v>
      </c>
      <c r="H2733" s="49" t="n">
        <f aca="false">'Fat Dir Terceiro'!F2</f>
        <v>10</v>
      </c>
      <c r="I2733" s="35" t="n">
        <f aca="false">'Fat Dir Terceiro'!G2</f>
        <v>340</v>
      </c>
      <c r="J2733" s="34" t="str">
        <f aca="false">'Fat Dir Terceiro'!M2</f>
        <v>3.8.2.001 - Ferramentas medição/aferição</v>
      </c>
      <c r="K2733" s="32" t="str">
        <f aca="false">INDEX('Curva ABC'!$K$8:$K$2847,MATCH(D2733,'Curva ABC'!$B$8:$B$2847,0))</f>
        <v>C</v>
      </c>
    </row>
    <row r="2734" customFormat="false" ht="15" hidden="false" customHeight="false" outlineLevel="0" collapsed="false">
      <c r="A2734" s="34" t="s">
        <v>5800</v>
      </c>
      <c r="B2734" s="34" t="str">
        <f aca="false">'Fat Dir Terceiro'!A3</f>
        <v>0336</v>
      </c>
      <c r="C2734" s="34" t="str">
        <f aca="false">'Fat Dir Terceiro'!B3</f>
        <v>UFV NORONHA VERDE - FAT. DIR. TERCEIRO</v>
      </c>
      <c r="D2734" s="33" t="n">
        <f aca="false">'Fat Dir Terceiro'!C3</f>
        <v>17885</v>
      </c>
      <c r="E2734" s="34" t="str">
        <f aca="false">'Fat Dir Terceiro'!D3</f>
        <v>24.07.0002</v>
      </c>
      <c r="F2734" s="34" t="str">
        <f aca="false">'Fat Dir Terceiro'!E3</f>
        <v>TRENA CURTA 8,00M CAIXA FECHADA PLASTICA FITA AÇO TEMPERADO</v>
      </c>
      <c r="G2734" s="34" t="str">
        <f aca="false">'Fat Dir Terceiro'!J3</f>
        <v>UN</v>
      </c>
      <c r="H2734" s="49" t="n">
        <f aca="false">'Fat Dir Terceiro'!F3</f>
        <v>12</v>
      </c>
      <c r="I2734" s="35" t="n">
        <f aca="false">'Fat Dir Terceiro'!G3</f>
        <v>528</v>
      </c>
      <c r="J2734" s="34" t="str">
        <f aca="false">'Fat Dir Terceiro'!M3</f>
        <v>3.8.2.001 - Ferramentas medição/aferição</v>
      </c>
      <c r="K2734" s="32" t="str">
        <f aca="false">INDEX('Curva ABC'!$K$8:$K$2847,MATCH(D2734,'Curva ABC'!$B$8:$B$2847,0))</f>
        <v>B</v>
      </c>
    </row>
    <row r="2735" customFormat="false" ht="15" hidden="false" customHeight="false" outlineLevel="0" collapsed="false">
      <c r="A2735" s="34" t="s">
        <v>5800</v>
      </c>
      <c r="B2735" s="34" t="str">
        <f aca="false">'Fat Dir Terceiro'!A4</f>
        <v>0336</v>
      </c>
      <c r="C2735" s="34" t="str">
        <f aca="false">'Fat Dir Terceiro'!B4</f>
        <v>UFV NORONHA VERDE - FAT. DIR. TERCEIRO</v>
      </c>
      <c r="D2735" s="33" t="n">
        <f aca="false">'Fat Dir Terceiro'!C4</f>
        <v>18164</v>
      </c>
      <c r="E2735" s="34" t="str">
        <f aca="false">'Fat Dir Terceiro'!D4</f>
        <v>24.21.0001</v>
      </c>
      <c r="F2735" s="34" t="str">
        <f aca="false">'Fat Dir Terceiro'!E4</f>
        <v>SERROTE PROFISSIONAL 18" CORPO AÇO CARBONO CABO MADEIRA 9 DENTES P/POLEGADA</v>
      </c>
      <c r="G2735" s="34" t="str">
        <f aca="false">'Fat Dir Terceiro'!J4</f>
        <v>UN</v>
      </c>
      <c r="H2735" s="49" t="n">
        <f aca="false">'Fat Dir Terceiro'!F4</f>
        <v>8</v>
      </c>
      <c r="I2735" s="35" t="n">
        <f aca="false">'Fat Dir Terceiro'!G4</f>
        <v>264</v>
      </c>
      <c r="J2735" s="34" t="str">
        <f aca="false">'Fat Dir Terceiro'!M4</f>
        <v>3.8.2.002 - Ferramentas manuais</v>
      </c>
      <c r="K2735" s="32" t="str">
        <f aca="false">INDEX('Curva ABC'!$K$8:$K$2847,MATCH(D2735,'Curva ABC'!$B$8:$B$2847,0))</f>
        <v>C</v>
      </c>
    </row>
    <row r="2736" customFormat="false" ht="15" hidden="false" customHeight="false" outlineLevel="0" collapsed="false">
      <c r="A2736" s="34" t="s">
        <v>5800</v>
      </c>
      <c r="B2736" s="34" t="str">
        <f aca="false">'Fat Dir Terceiro'!A5</f>
        <v>0336</v>
      </c>
      <c r="C2736" s="34" t="str">
        <f aca="false">'Fat Dir Terceiro'!B5</f>
        <v>UFV NORONHA VERDE - FAT. DIR. TERCEIRO</v>
      </c>
      <c r="D2736" s="33" t="n">
        <f aca="false">'Fat Dir Terceiro'!C5</f>
        <v>21111</v>
      </c>
      <c r="E2736" s="34" t="str">
        <f aca="false">'Fat Dir Terceiro'!D5</f>
        <v>30.02.0043</v>
      </c>
      <c r="F2736" s="34" t="str">
        <f aca="false">'Fat Dir Terceiro'!E5</f>
        <v>LIMPA CONTATO ELÉTRICO/ELETÔNICO 300ML</v>
      </c>
      <c r="G2736" s="34" t="str">
        <f aca="false">'Fat Dir Terceiro'!J5</f>
        <v>UN</v>
      </c>
      <c r="H2736" s="49" t="n">
        <f aca="false">'Fat Dir Terceiro'!F5</f>
        <v>12</v>
      </c>
      <c r="I2736" s="35" t="n">
        <f aca="false">'Fat Dir Terceiro'!G5</f>
        <v>194.52</v>
      </c>
      <c r="J2736" s="34" t="str">
        <f aca="false">'Fat Dir Terceiro'!M5</f>
        <v>4.1.1.002 - Material expediente</v>
      </c>
      <c r="K2736" s="32" t="str">
        <f aca="false">INDEX('Curva ABC'!$K$8:$K$2847,MATCH(D2736,'Curva ABC'!$B$8:$B$2847,0))</f>
        <v>C</v>
      </c>
    </row>
    <row r="2737" customFormat="false" ht="15" hidden="false" customHeight="false" outlineLevel="0" collapsed="false">
      <c r="A2737" s="34" t="s">
        <v>5800</v>
      </c>
      <c r="B2737" s="34" t="str">
        <f aca="false">'Fat Dir Terceiro'!A6</f>
        <v>0336</v>
      </c>
      <c r="C2737" s="34" t="str">
        <f aca="false">'Fat Dir Terceiro'!B6</f>
        <v>UFV NORONHA VERDE - FAT. DIR. TERCEIRO</v>
      </c>
      <c r="D2737" s="33" t="n">
        <f aca="false">'Fat Dir Terceiro'!C6</f>
        <v>21297</v>
      </c>
      <c r="E2737" s="34" t="str">
        <f aca="false">'Fat Dir Terceiro'!D6</f>
        <v>24.28.0001</v>
      </c>
      <c r="F2737" s="34" t="str">
        <f aca="false">'Fat Dir Terceiro'!E6</f>
        <v>LÁPIS PARA CARPINTEIRO</v>
      </c>
      <c r="G2737" s="34" t="str">
        <f aca="false">'Fat Dir Terceiro'!J6</f>
        <v>UN</v>
      </c>
      <c r="H2737" s="49" t="n">
        <f aca="false">'Fat Dir Terceiro'!F6</f>
        <v>50</v>
      </c>
      <c r="I2737" s="35" t="n">
        <f aca="false">'Fat Dir Terceiro'!G6</f>
        <v>87.5</v>
      </c>
      <c r="J2737" s="34" t="str">
        <f aca="false">'Fat Dir Terceiro'!M6</f>
        <v>3.8.2.002 - Ferramentas manuais</v>
      </c>
      <c r="K2737" s="32" t="str">
        <f aca="false">INDEX('Curva ABC'!$K$8:$K$2847,MATCH(D2737,'Curva ABC'!$B$8:$B$2847,0))</f>
        <v>C</v>
      </c>
    </row>
    <row r="2738" customFormat="false" ht="15" hidden="false" customHeight="false" outlineLevel="0" collapsed="false">
      <c r="A2738" s="34" t="s">
        <v>5800</v>
      </c>
      <c r="B2738" s="34" t="str">
        <f aca="false">'Fat Dir Terceiro'!A7</f>
        <v>0336</v>
      </c>
      <c r="C2738" s="34" t="str">
        <f aca="false">'Fat Dir Terceiro'!B7</f>
        <v>UFV NORONHA VERDE - FAT. DIR. TERCEIRO</v>
      </c>
      <c r="D2738" s="33" t="n">
        <f aca="false">'Fat Dir Terceiro'!C7</f>
        <v>21488</v>
      </c>
      <c r="E2738" s="34" t="str">
        <f aca="false">'Fat Dir Terceiro'!D7</f>
        <v>16.05.0076</v>
      </c>
      <c r="F2738" s="34" t="str">
        <f aca="false">'Fat Dir Terceiro'!E7</f>
        <v>TRINCHA 4" N500 CABO DE PVC</v>
      </c>
      <c r="G2738" s="34" t="str">
        <f aca="false">'Fat Dir Terceiro'!J7</f>
        <v>UN</v>
      </c>
      <c r="H2738" s="49" t="n">
        <f aca="false">'Fat Dir Terceiro'!F7</f>
        <v>10</v>
      </c>
      <c r="I2738" s="35" t="n">
        <f aca="false">'Fat Dir Terceiro'!G7</f>
        <v>115</v>
      </c>
      <c r="J2738" s="34" t="str">
        <f aca="false">'Fat Dir Terceiro'!M7</f>
        <v>3.8.1.016 - Pinturas</v>
      </c>
      <c r="K2738" s="32" t="str">
        <f aca="false">INDEX('Curva ABC'!$K$8:$K$2847,MATCH(D2738,'Curva ABC'!$B$8:$B$2847,0))</f>
        <v>C</v>
      </c>
    </row>
    <row r="2739" customFormat="false" ht="15" hidden="false" customHeight="false" outlineLevel="0" collapsed="false">
      <c r="A2739" s="34" t="s">
        <v>5800</v>
      </c>
      <c r="B2739" s="34" t="str">
        <f aca="false">'Fat Dir Terceiro'!A8</f>
        <v>0336</v>
      </c>
      <c r="C2739" s="34" t="str">
        <f aca="false">'Fat Dir Terceiro'!B8</f>
        <v>UFV NORONHA VERDE - FAT. DIR. TERCEIRO</v>
      </c>
      <c r="D2739" s="33" t="n">
        <f aca="false">'Fat Dir Terceiro'!C8</f>
        <v>22252</v>
      </c>
      <c r="E2739" s="34" t="str">
        <f aca="false">'Fat Dir Terceiro'!D8</f>
        <v>25.10.0021</v>
      </c>
      <c r="F2739" s="34" t="str">
        <f aca="false">'Fat Dir Terceiro'!E8</f>
        <v>LINHA NYLON P/ PEDREIRO 1,0MM X 100M</v>
      </c>
      <c r="G2739" s="34" t="str">
        <f aca="false">'Fat Dir Terceiro'!J8</f>
        <v>UN</v>
      </c>
      <c r="H2739" s="49" t="n">
        <f aca="false">'Fat Dir Terceiro'!F8</f>
        <v>40</v>
      </c>
      <c r="I2739" s="35" t="n">
        <f aca="false">'Fat Dir Terceiro'!G8</f>
        <v>680</v>
      </c>
      <c r="J2739" s="34" t="str">
        <f aca="false">'Fat Dir Terceiro'!M8</f>
        <v>3.8.2.006 - Utensílios</v>
      </c>
      <c r="K2739" s="32" t="str">
        <f aca="false">INDEX('Curva ABC'!$K$8:$K$2847,MATCH(D2739,'Curva ABC'!$B$8:$B$2847,0))</f>
        <v>C</v>
      </c>
    </row>
    <row r="2740" customFormat="false" ht="15" hidden="false" customHeight="false" outlineLevel="0" collapsed="false">
      <c r="A2740" s="34" t="s">
        <v>5800</v>
      </c>
      <c r="B2740" s="34" t="str">
        <f aca="false">'Fat Dir Terceiro'!A9</f>
        <v>0336</v>
      </c>
      <c r="C2740" s="34" t="str">
        <f aca="false">'Fat Dir Terceiro'!B9</f>
        <v>UFV NORONHA VERDE - FAT. DIR. TERCEIRO</v>
      </c>
      <c r="D2740" s="33" t="n">
        <f aca="false">'Fat Dir Terceiro'!C9</f>
        <v>22375</v>
      </c>
      <c r="E2740" s="34" t="str">
        <f aca="false">'Fat Dir Terceiro'!D9</f>
        <v>25.20.0001</v>
      </c>
      <c r="F2740" s="34" t="str">
        <f aca="false">'Fat Dir Terceiro'!E9</f>
        <v>ARCO DE SERRA FIXO 12 POL REF.STARRET-140</v>
      </c>
      <c r="G2740" s="34" t="str">
        <f aca="false">'Fat Dir Terceiro'!J9</f>
        <v>UN</v>
      </c>
      <c r="H2740" s="49" t="n">
        <f aca="false">'Fat Dir Terceiro'!F9</f>
        <v>10</v>
      </c>
      <c r="I2740" s="35" t="n">
        <f aca="false">'Fat Dir Terceiro'!G9</f>
        <v>548</v>
      </c>
      <c r="J2740" s="34" t="str">
        <f aca="false">'Fat Dir Terceiro'!M9</f>
        <v>3.8.2.006 - Utensílios</v>
      </c>
      <c r="K2740" s="32" t="str">
        <f aca="false">INDEX('Curva ABC'!$K$8:$K$2847,MATCH(D2740,'Curva ABC'!$B$8:$B$2847,0))</f>
        <v>B</v>
      </c>
    </row>
    <row r="2741" customFormat="false" ht="15" hidden="false" customHeight="false" outlineLevel="0" collapsed="false">
      <c r="A2741" s="34" t="s">
        <v>5800</v>
      </c>
      <c r="B2741" s="34" t="str">
        <f aca="false">'Fat Dir Terceiro'!A10</f>
        <v>0336</v>
      </c>
      <c r="C2741" s="34" t="str">
        <f aca="false">'Fat Dir Terceiro'!B10</f>
        <v>UFV NORONHA VERDE - FAT. DIR. TERCEIRO</v>
      </c>
      <c r="D2741" s="33" t="n">
        <f aca="false">'Fat Dir Terceiro'!C10</f>
        <v>23269</v>
      </c>
      <c r="E2741" s="34" t="str">
        <f aca="false">'Fat Dir Terceiro'!D10</f>
        <v>16.05.0081</v>
      </c>
      <c r="F2741" s="34" t="str">
        <f aca="false">'Fat Dir Terceiro'!E10</f>
        <v>TRINCHA 1.1/2</v>
      </c>
      <c r="G2741" s="34" t="str">
        <f aca="false">'Fat Dir Terceiro'!J10</f>
        <v>UN</v>
      </c>
      <c r="H2741" s="49" t="n">
        <f aca="false">'Fat Dir Terceiro'!F10</f>
        <v>10</v>
      </c>
      <c r="I2741" s="35" t="n">
        <f aca="false">'Fat Dir Terceiro'!G10</f>
        <v>38</v>
      </c>
      <c r="J2741" s="34" t="str">
        <f aca="false">'Fat Dir Terceiro'!M10</f>
        <v>3.8.1.016 - Pinturas</v>
      </c>
      <c r="K2741" s="32" t="str">
        <f aca="false">INDEX('Curva ABC'!$K$8:$K$2847,MATCH(D2741,'Curva ABC'!$B$8:$B$2847,0))</f>
        <v>C</v>
      </c>
    </row>
    <row r="2742" customFormat="false" ht="15" hidden="false" customHeight="false" outlineLevel="0" collapsed="false">
      <c r="A2742" s="34" t="s">
        <v>5800</v>
      </c>
      <c r="B2742" s="34" t="str">
        <f aca="false">'Fat Dir Terceiro'!A11</f>
        <v>0336</v>
      </c>
      <c r="C2742" s="34" t="str">
        <f aca="false">'Fat Dir Terceiro'!B11</f>
        <v>UFV NORONHA VERDE - FAT. DIR. TERCEIRO</v>
      </c>
      <c r="D2742" s="33" t="n">
        <f aca="false">'Fat Dir Terceiro'!C11</f>
        <v>23796</v>
      </c>
      <c r="E2742" s="34" t="str">
        <f aca="false">'Fat Dir Terceiro'!D11</f>
        <v>25.03.0171</v>
      </c>
      <c r="F2742" s="34" t="str">
        <f aca="false">'Fat Dir Terceiro'!E11</f>
        <v>BROCA CONCRETO 8MM</v>
      </c>
      <c r="G2742" s="34" t="str">
        <f aca="false">'Fat Dir Terceiro'!J11</f>
        <v>UN</v>
      </c>
      <c r="H2742" s="49" t="n">
        <f aca="false">'Fat Dir Terceiro'!F11</f>
        <v>12</v>
      </c>
      <c r="I2742" s="35" t="n">
        <f aca="false">'Fat Dir Terceiro'!G11</f>
        <v>81.24</v>
      </c>
      <c r="J2742" s="34" t="str">
        <f aca="false">'Fat Dir Terceiro'!M11</f>
        <v>3.8.2.004 - Consumíveis para corte, perfuração e desbaste</v>
      </c>
      <c r="K2742" s="32" t="str">
        <f aca="false">INDEX('Curva ABC'!$K$8:$K$2847,MATCH(D2742,'Curva ABC'!$B$8:$B$2847,0))</f>
        <v>C</v>
      </c>
    </row>
    <row r="2743" customFormat="false" ht="15" hidden="false" customHeight="false" outlineLevel="0" collapsed="false">
      <c r="A2743" s="34" t="s">
        <v>5800</v>
      </c>
      <c r="B2743" s="34" t="str">
        <f aca="false">'Fat Dir Terceiro'!A12</f>
        <v>0336</v>
      </c>
      <c r="C2743" s="34" t="str">
        <f aca="false">'Fat Dir Terceiro'!B12</f>
        <v>UFV NORONHA VERDE - FAT. DIR. TERCEIRO</v>
      </c>
      <c r="D2743" s="33" t="n">
        <f aca="false">'Fat Dir Terceiro'!C12</f>
        <v>24365</v>
      </c>
      <c r="E2743" s="34" t="str">
        <f aca="false">'Fat Dir Terceiro'!D12</f>
        <v>25.03.0178</v>
      </c>
      <c r="F2743" s="34" t="str">
        <f aca="false">'Fat Dir Terceiro'!E12</f>
        <v>BROCA CONCRETO 12MM</v>
      </c>
      <c r="G2743" s="34" t="str">
        <f aca="false">'Fat Dir Terceiro'!J12</f>
        <v>UN</v>
      </c>
      <c r="H2743" s="49" t="n">
        <f aca="false">'Fat Dir Terceiro'!F12</f>
        <v>24</v>
      </c>
      <c r="I2743" s="35" t="n">
        <f aca="false">'Fat Dir Terceiro'!G12</f>
        <v>287.28</v>
      </c>
      <c r="J2743" s="34" t="str">
        <f aca="false">'Fat Dir Terceiro'!M12</f>
        <v>3.8.2.004 - Consumíveis para corte, perfuração e desbaste</v>
      </c>
      <c r="K2743" s="32" t="str">
        <f aca="false">INDEX('Curva ABC'!$K$8:$K$2847,MATCH(D2743,'Curva ABC'!$B$8:$B$2847,0))</f>
        <v>C</v>
      </c>
    </row>
    <row r="2744" customFormat="false" ht="15" hidden="false" customHeight="false" outlineLevel="0" collapsed="false">
      <c r="A2744" s="34" t="s">
        <v>5800</v>
      </c>
      <c r="B2744" s="34" t="str">
        <f aca="false">'Fat Dir Terceiro'!A13</f>
        <v>0336</v>
      </c>
      <c r="C2744" s="34" t="str">
        <f aca="false">'Fat Dir Terceiro'!B13</f>
        <v>UFV NORONHA VERDE - FAT. DIR. TERCEIRO</v>
      </c>
      <c r="D2744" s="33" t="n">
        <f aca="false">'Fat Dir Terceiro'!C13</f>
        <v>54662</v>
      </c>
      <c r="E2744" s="34" t="str">
        <f aca="false">'Fat Dir Terceiro'!D13</f>
        <v>24.33.0003</v>
      </c>
      <c r="F2744" s="34" t="str">
        <f aca="false">'Fat Dir Terceiro'!E13</f>
        <v>BLOCO DE ESPUMA 12,00 CM X 6,00 CM X 22,00 CM</v>
      </c>
      <c r="G2744" s="34" t="str">
        <f aca="false">'Fat Dir Terceiro'!J13</f>
        <v>UN</v>
      </c>
      <c r="H2744" s="49" t="n">
        <f aca="false">'Fat Dir Terceiro'!F13</f>
        <v>20</v>
      </c>
      <c r="I2744" s="35" t="n">
        <f aca="false">'Fat Dir Terceiro'!G13</f>
        <v>80</v>
      </c>
      <c r="J2744" s="34" t="str">
        <f aca="false">'Fat Dir Terceiro'!M13</f>
        <v>3.8.2.002 - Ferramentas manuais</v>
      </c>
      <c r="K2744" s="32" t="str">
        <f aca="false">INDEX('Curva ABC'!$K$8:$K$2847,MATCH(D2744,'Curva ABC'!$B$8:$B$2847,0))</f>
        <v>C</v>
      </c>
    </row>
    <row r="2745" customFormat="false" ht="15" hidden="false" customHeight="false" outlineLevel="0" collapsed="false">
      <c r="A2745" s="34" t="s">
        <v>5800</v>
      </c>
      <c r="B2745" s="34" t="str">
        <f aca="false">'Fat Dir Terceiro'!A14</f>
        <v>0336</v>
      </c>
      <c r="C2745" s="34" t="str">
        <f aca="false">'Fat Dir Terceiro'!B14</f>
        <v>UFV NORONHA VERDE - FAT. DIR. TERCEIRO</v>
      </c>
      <c r="D2745" s="33" t="n">
        <f aca="false">'Fat Dir Terceiro'!C14</f>
        <v>55603</v>
      </c>
      <c r="E2745" s="34" t="str">
        <f aca="false">'Fat Dir Terceiro'!D14</f>
        <v>16.03.0179</v>
      </c>
      <c r="F2745" s="34" t="str">
        <f aca="false">'Fat Dir Terceiro'!E14</f>
        <v>TINTA SPRAY AZUL 400ML NBR 11702</v>
      </c>
      <c r="G2745" s="34" t="str">
        <f aca="false">'Fat Dir Terceiro'!J14</f>
        <v>UN</v>
      </c>
      <c r="H2745" s="49" t="n">
        <f aca="false">'Fat Dir Terceiro'!F14</f>
        <v>6</v>
      </c>
      <c r="I2745" s="35" t="n">
        <f aca="false">'Fat Dir Terceiro'!G14</f>
        <v>141</v>
      </c>
      <c r="J2745" s="34" t="str">
        <f aca="false">'Fat Dir Terceiro'!M14</f>
        <v>3.8.1.016 - Pinturas</v>
      </c>
      <c r="K2745" s="32" t="str">
        <f aca="false">INDEX('Curva ABC'!$K$8:$K$2847,MATCH(D2745,'Curva ABC'!$B$8:$B$2847,0))</f>
        <v>C</v>
      </c>
    </row>
    <row r="2746" customFormat="false" ht="15" hidden="false" customHeight="false" outlineLevel="0" collapsed="false">
      <c r="A2746" s="34" t="s">
        <v>5800</v>
      </c>
      <c r="B2746" s="34" t="str">
        <f aca="false">'Fat Dir Terceiro'!A15</f>
        <v>0336</v>
      </c>
      <c r="C2746" s="34" t="str">
        <f aca="false">'Fat Dir Terceiro'!B15</f>
        <v>UFV NORONHA VERDE - FAT. DIR. TERCEIRO</v>
      </c>
      <c r="D2746" s="33" t="n">
        <f aca="false">'Fat Dir Terceiro'!C15</f>
        <v>56596</v>
      </c>
      <c r="E2746" s="34" t="str">
        <f aca="false">'Fat Dir Terceiro'!D15</f>
        <v>23.02.0272</v>
      </c>
      <c r="F2746" s="34" t="str">
        <f aca="false">'Fat Dir Terceiro'!E15</f>
        <v>ABRAÇADEIRA DE NYLON 250,00MM X 3,50MM PRETA</v>
      </c>
      <c r="G2746" s="34" t="str">
        <f aca="false">'Fat Dir Terceiro'!J15</f>
        <v>PC100</v>
      </c>
      <c r="H2746" s="49" t="n">
        <f aca="false">'Fat Dir Terceiro'!F15</f>
        <v>20</v>
      </c>
      <c r="I2746" s="35" t="n">
        <f aca="false">'Fat Dir Terceiro'!G15</f>
        <v>279.6</v>
      </c>
      <c r="J2746" s="34" t="str">
        <f aca="false">'Fat Dir Terceiro'!M15</f>
        <v>3.8.1.022 - Elementos de fixação</v>
      </c>
      <c r="K2746" s="32" t="str">
        <f aca="false">INDEX('Curva ABC'!$K$8:$K$2847,MATCH(D2746,'Curva ABC'!$B$8:$B$2847,0))</f>
        <v>C</v>
      </c>
    </row>
    <row r="2747" customFormat="false" ht="15" hidden="false" customHeight="false" outlineLevel="0" collapsed="false">
      <c r="A2747" s="34" t="s">
        <v>5800</v>
      </c>
      <c r="B2747" s="34" t="str">
        <f aca="false">'Fat Dir Terceiro'!A16</f>
        <v>0336</v>
      </c>
      <c r="C2747" s="34" t="str">
        <f aca="false">'Fat Dir Terceiro'!B16</f>
        <v>UFV NORONHA VERDE - FAT. DIR. TERCEIRO</v>
      </c>
      <c r="D2747" s="33" t="n">
        <f aca="false">'Fat Dir Terceiro'!C16</f>
        <v>65919</v>
      </c>
      <c r="E2747" s="34" t="str">
        <f aca="false">'Fat Dir Terceiro'!D16</f>
        <v>23.03.0136</v>
      </c>
      <c r="F2747" s="34" t="str">
        <f aca="false">'Fat Dir Terceiro'!E16</f>
        <v>PREGO COMUM C/CABECA AÇO TEMPERADO 17 X 21</v>
      </c>
      <c r="G2747" s="34" t="str">
        <f aca="false">'Fat Dir Terceiro'!J16</f>
        <v>KG</v>
      </c>
      <c r="H2747" s="49" t="n">
        <f aca="false">'Fat Dir Terceiro'!F16</f>
        <v>20</v>
      </c>
      <c r="I2747" s="35" t="n">
        <f aca="false">'Fat Dir Terceiro'!G16</f>
        <v>380</v>
      </c>
      <c r="J2747" s="34" t="str">
        <f aca="false">'Fat Dir Terceiro'!M16</f>
        <v>3.8.1.022 - Elementos de fixação</v>
      </c>
      <c r="K2747" s="32" t="str">
        <f aca="false">INDEX('Curva ABC'!$K$8:$K$2847,MATCH(D2747,'Curva ABC'!$B$8:$B$2847,0))</f>
        <v>C</v>
      </c>
    </row>
    <row r="2748" customFormat="false" ht="15" hidden="false" customHeight="false" outlineLevel="0" collapsed="false">
      <c r="A2748" s="34" t="s">
        <v>5800</v>
      </c>
      <c r="B2748" s="34" t="str">
        <f aca="false">'Fat Dir Terceiro'!A17</f>
        <v>0336</v>
      </c>
      <c r="C2748" s="34" t="str">
        <f aca="false">'Fat Dir Terceiro'!B17</f>
        <v>UFV NORONHA VERDE - FAT. DIR. TERCEIRO</v>
      </c>
      <c r="D2748" s="33" t="n">
        <f aca="false">'Fat Dir Terceiro'!C17</f>
        <v>562056</v>
      </c>
      <c r="E2748" s="34" t="str">
        <f aca="false">'Fat Dir Terceiro'!D17</f>
        <v>31.02.0143</v>
      </c>
      <c r="F2748" s="34" t="str">
        <f aca="false">'Fat Dir Terceiro'!E17</f>
        <v>DESINGRIPANTE 300 ML</v>
      </c>
      <c r="G2748" s="34" t="str">
        <f aca="false">'Fat Dir Terceiro'!J17</f>
        <v>UN</v>
      </c>
      <c r="H2748" s="49" t="n">
        <f aca="false">'Fat Dir Terceiro'!F17</f>
        <v>20</v>
      </c>
      <c r="I2748" s="35" t="n">
        <f aca="false">'Fat Dir Terceiro'!G17</f>
        <v>237.2</v>
      </c>
      <c r="J2748" s="34" t="str">
        <f aca="false">'Fat Dir Terceiro'!M17</f>
        <v>3.1.6.001 - Combustível e lubrificantes</v>
      </c>
      <c r="K2748" s="32" t="str">
        <f aca="false">INDEX('Curva ABC'!$K$8:$K$2847,MATCH(D2748,'Curva ABC'!$B$8:$B$2847,0))</f>
        <v>C</v>
      </c>
    </row>
    <row r="2749" customFormat="false" ht="15" hidden="false" customHeight="false" outlineLevel="0" collapsed="false">
      <c r="A2749" s="34" t="s">
        <v>5800</v>
      </c>
      <c r="B2749" s="34" t="str">
        <f aca="false">'Fat Dir Terceiro'!A18</f>
        <v>0336</v>
      </c>
      <c r="C2749" s="34" t="str">
        <f aca="false">'Fat Dir Terceiro'!B18</f>
        <v>UFV NORONHA VERDE - FAT. DIR. TERCEIRO</v>
      </c>
      <c r="D2749" s="33" t="n">
        <f aca="false">'Fat Dir Terceiro'!C18</f>
        <v>563274</v>
      </c>
      <c r="E2749" s="34" t="str">
        <f aca="false">'Fat Dir Terceiro'!D18</f>
        <v>24.50.0002</v>
      </c>
      <c r="F2749" s="34" t="str">
        <f aca="false">'Fat Dir Terceiro'!E18</f>
        <v>PENEIRA DE MADEIRA MALHA 06</v>
      </c>
      <c r="G2749" s="34" t="str">
        <f aca="false">'Fat Dir Terceiro'!J18</f>
        <v>UN</v>
      </c>
      <c r="H2749" s="49" t="n">
        <f aca="false">'Fat Dir Terceiro'!F18</f>
        <v>6</v>
      </c>
      <c r="I2749" s="35" t="n">
        <f aca="false">'Fat Dir Terceiro'!G18</f>
        <v>390</v>
      </c>
      <c r="J2749" s="34" t="str">
        <f aca="false">'Fat Dir Terceiro'!M18</f>
        <v>3.8.2.002 - Ferramentas manuais</v>
      </c>
      <c r="K2749" s="32" t="str">
        <f aca="false">INDEX('Curva ABC'!$K$8:$K$2847,MATCH(D2749,'Curva ABC'!$B$8:$B$2847,0))</f>
        <v>C</v>
      </c>
    </row>
    <row r="2750" customFormat="false" ht="15" hidden="false" customHeight="false" outlineLevel="0" collapsed="false">
      <c r="A2750" s="34" t="s">
        <v>5800</v>
      </c>
      <c r="B2750" s="34" t="str">
        <f aca="false">'Fat Dir Terceiro'!A19</f>
        <v>0336</v>
      </c>
      <c r="C2750" s="34" t="str">
        <f aca="false">'Fat Dir Terceiro'!B19</f>
        <v>UFV NORONHA VERDE - FAT. DIR. TERCEIRO</v>
      </c>
      <c r="D2750" s="33" t="n">
        <f aca="false">'Fat Dir Terceiro'!C19</f>
        <v>741345</v>
      </c>
      <c r="E2750" s="34" t="str">
        <f aca="false">'Fat Dir Terceiro'!D19</f>
        <v>24.45.0015</v>
      </c>
      <c r="F2750" s="34" t="str">
        <f aca="false">'Fat Dir Terceiro'!E19</f>
        <v>MASSEIRA PLÁSTICA</v>
      </c>
      <c r="G2750" s="34" t="str">
        <f aca="false">'Fat Dir Terceiro'!J19</f>
        <v>UN</v>
      </c>
      <c r="H2750" s="49" t="n">
        <f aca="false">'Fat Dir Terceiro'!F19</f>
        <v>12</v>
      </c>
      <c r="I2750" s="35" t="n">
        <f aca="false">'Fat Dir Terceiro'!G19</f>
        <v>234.84</v>
      </c>
      <c r="J2750" s="34" t="str">
        <f aca="false">'Fat Dir Terceiro'!M19</f>
        <v>3.8.2.002 - Ferramentas manuais</v>
      </c>
      <c r="K2750" s="32" t="str">
        <f aca="false">INDEX('Curva ABC'!$K$8:$K$2847,MATCH(D2750,'Curva ABC'!$B$8:$B$2847,0))</f>
        <v>C</v>
      </c>
    </row>
    <row r="2751" customFormat="false" ht="15" hidden="false" customHeight="false" outlineLevel="0" collapsed="false">
      <c r="A2751" s="34" t="s">
        <v>5800</v>
      </c>
      <c r="B2751" s="34" t="str">
        <f aca="false">'Fat Dir Terceiro'!A20</f>
        <v>0336</v>
      </c>
      <c r="C2751" s="34" t="str">
        <f aca="false">'Fat Dir Terceiro'!B20</f>
        <v>UFV NORONHA VERDE - FAT. DIR. TERCEIRO</v>
      </c>
      <c r="D2751" s="33" t="n">
        <f aca="false">'Fat Dir Terceiro'!C20</f>
        <v>852441</v>
      </c>
      <c r="E2751" s="34" t="str">
        <f aca="false">'Fat Dir Terceiro'!D20</f>
        <v>25.04.0032</v>
      </c>
      <c r="F2751" s="34" t="str">
        <f aca="false">'Fat Dir Terceiro'!E20</f>
        <v>LAMINA DE SERRA MANUAL BI-METAL UNIQUE STARRET.</v>
      </c>
      <c r="G2751" s="34" t="str">
        <f aca="false">'Fat Dir Terceiro'!J20</f>
        <v>UN</v>
      </c>
      <c r="H2751" s="49" t="n">
        <f aca="false">'Fat Dir Terceiro'!F20</f>
        <v>30</v>
      </c>
      <c r="I2751" s="35" t="n">
        <f aca="false">'Fat Dir Terceiro'!G20</f>
        <v>360</v>
      </c>
      <c r="J2751" s="34" t="str">
        <f aca="false">'Fat Dir Terceiro'!M20</f>
        <v>3.8.2.004 - Consumíveis para corte, perfuração e desbaste</v>
      </c>
      <c r="K2751" s="32" t="str">
        <f aca="false">INDEX('Curva ABC'!$K$8:$K$2847,MATCH(D2751,'Curva ABC'!$B$8:$B$2847,0))</f>
        <v>C</v>
      </c>
    </row>
    <row r="2752" customFormat="false" ht="15" hidden="false" customHeight="false" outlineLevel="0" collapsed="false">
      <c r="A2752" s="34" t="s">
        <v>5800</v>
      </c>
      <c r="B2752" s="34" t="str">
        <f aca="false">'Fat Dir Terceiro'!A21</f>
        <v>0336</v>
      </c>
      <c r="C2752" s="34" t="str">
        <f aca="false">'Fat Dir Terceiro'!B21</f>
        <v>UFV NORONHA VERDE - FAT. DIR. TERCEIRO</v>
      </c>
      <c r="D2752" s="33" t="n">
        <f aca="false">'Fat Dir Terceiro'!C21</f>
        <v>945721</v>
      </c>
      <c r="E2752" s="34" t="str">
        <f aca="false">'Fat Dir Terceiro'!D21</f>
        <v>16.05.0185</v>
      </c>
      <c r="F2752" s="34" t="str">
        <f aca="false">'Fat Dir Terceiro'!E21</f>
        <v>ROLO PINTURA LÃ DE CANBEIRO ANTI-GOTA 23CM</v>
      </c>
      <c r="G2752" s="34" t="str">
        <f aca="false">'Fat Dir Terceiro'!J21</f>
        <v>UN</v>
      </c>
      <c r="H2752" s="49" t="n">
        <f aca="false">'Fat Dir Terceiro'!F21</f>
        <v>20</v>
      </c>
      <c r="I2752" s="35" t="n">
        <f aca="false">'Fat Dir Terceiro'!G21</f>
        <v>1320</v>
      </c>
      <c r="J2752" s="34" t="str">
        <f aca="false">'Fat Dir Terceiro'!M21</f>
        <v>3.8.1.016 - Pinturas</v>
      </c>
      <c r="K2752" s="32" t="str">
        <f aca="false">INDEX('Curva ABC'!$K$8:$K$2847,MATCH(D2752,'Curva ABC'!$B$8:$B$2847,0))</f>
        <v>C</v>
      </c>
    </row>
    <row r="2753" customFormat="false" ht="15" hidden="false" customHeight="false" outlineLevel="0" collapsed="false">
      <c r="A2753" s="34" t="s">
        <v>5800</v>
      </c>
      <c r="B2753" s="34" t="str">
        <f aca="false">'Fat Dir Terceiro'!A22</f>
        <v>0336</v>
      </c>
      <c r="C2753" s="34" t="str">
        <f aca="false">'Fat Dir Terceiro'!B22</f>
        <v>UFV NORONHA VERDE - FAT. DIR. TERCEIRO</v>
      </c>
      <c r="D2753" s="33" t="n">
        <f aca="false">'Fat Dir Terceiro'!C22</f>
        <v>952908</v>
      </c>
      <c r="E2753" s="34" t="str">
        <f aca="false">'Fat Dir Terceiro'!D22</f>
        <v>25.01.0230</v>
      </c>
      <c r="F2753" s="34" t="str">
        <f aca="false">'Fat Dir Terceiro'!E22</f>
        <v>DISCO FLAP 4"</v>
      </c>
      <c r="G2753" s="34" t="str">
        <f aca="false">'Fat Dir Terceiro'!J22</f>
        <v>UN</v>
      </c>
      <c r="H2753" s="49" t="n">
        <f aca="false">'Fat Dir Terceiro'!F22</f>
        <v>50</v>
      </c>
      <c r="I2753" s="35" t="n">
        <f aca="false">'Fat Dir Terceiro'!G22</f>
        <v>225</v>
      </c>
      <c r="J2753" s="34" t="str">
        <f aca="false">'Fat Dir Terceiro'!M22</f>
        <v>3.8.2.004 - Consumíveis para corte, perfuração e desbaste</v>
      </c>
      <c r="K2753" s="32" t="str">
        <f aca="false">INDEX('Curva ABC'!$K$8:$K$2847,MATCH(D2753,'Curva ABC'!$B$8:$B$2847,0))</f>
        <v>C</v>
      </c>
    </row>
    <row r="2754" customFormat="false" ht="15" hidden="false" customHeight="false" outlineLevel="0" collapsed="false">
      <c r="A2754" s="34" t="s">
        <v>5800</v>
      </c>
      <c r="B2754" s="34" t="str">
        <f aca="false">'Fat Dir Terceiro'!A23</f>
        <v>0336</v>
      </c>
      <c r="C2754" s="34" t="str">
        <f aca="false">'Fat Dir Terceiro'!B23</f>
        <v>UFV NORONHA VERDE - FAT. DIR. TERCEIRO</v>
      </c>
      <c r="D2754" s="33" t="n">
        <f aca="false">'Fat Dir Terceiro'!C23</f>
        <v>1330074</v>
      </c>
      <c r="E2754" s="34" t="str">
        <f aca="false">'Fat Dir Terceiro'!D23</f>
        <v>24.34.0007</v>
      </c>
      <c r="F2754" s="34" t="str">
        <f aca="false">'Fat Dir Terceiro'!E23</f>
        <v>COLHER DE PEDREIRO DE 7"</v>
      </c>
      <c r="G2754" s="34" t="str">
        <f aca="false">'Fat Dir Terceiro'!J23</f>
        <v>UN</v>
      </c>
      <c r="H2754" s="49" t="n">
        <f aca="false">'Fat Dir Terceiro'!F23</f>
        <v>12</v>
      </c>
      <c r="I2754" s="35" t="n">
        <f aca="false">'Fat Dir Terceiro'!G23</f>
        <v>144</v>
      </c>
      <c r="J2754" s="34" t="str">
        <f aca="false">'Fat Dir Terceiro'!M23</f>
        <v>3.8.2.002 - Ferramentas manuais</v>
      </c>
      <c r="K2754" s="32" t="str">
        <f aca="false">INDEX('Curva ABC'!$K$8:$K$2847,MATCH(D2754,'Curva ABC'!$B$8:$B$2847,0))</f>
        <v>C</v>
      </c>
    </row>
    <row r="2755" customFormat="false" ht="15" hidden="false" customHeight="false" outlineLevel="0" collapsed="false">
      <c r="A2755" s="34" t="s">
        <v>5800</v>
      </c>
      <c r="B2755" s="34" t="str">
        <f aca="false">'Fat Dir Terceiro'!A24</f>
        <v>0336</v>
      </c>
      <c r="C2755" s="34" t="str">
        <f aca="false">'Fat Dir Terceiro'!B24</f>
        <v>UFV NORONHA VERDE - FAT. DIR. TERCEIRO</v>
      </c>
      <c r="D2755" s="33" t="n">
        <f aca="false">'Fat Dir Terceiro'!C24</f>
        <v>1475951</v>
      </c>
      <c r="E2755" s="34" t="str">
        <f aca="false">'Fat Dir Terceiro'!D24</f>
        <v>24.41.0404</v>
      </c>
      <c r="F2755" s="34" t="str">
        <f aca="false">'Fat Dir Terceiro'!E24</f>
        <v>ESQUADRO COM CABO DE ALUMÍNIO 12"</v>
      </c>
      <c r="G2755" s="34" t="str">
        <f aca="false">'Fat Dir Terceiro'!J24</f>
        <v>UN</v>
      </c>
      <c r="H2755" s="49" t="n">
        <f aca="false">'Fat Dir Terceiro'!F24</f>
        <v>8</v>
      </c>
      <c r="I2755" s="35" t="n">
        <f aca="false">'Fat Dir Terceiro'!G24</f>
        <v>141.52</v>
      </c>
      <c r="J2755" s="34" t="str">
        <f aca="false">'Fat Dir Terceiro'!M24</f>
        <v>4.1.1.002 - Material expediente</v>
      </c>
      <c r="K2755" s="32" t="str">
        <f aca="false">INDEX('Curva ABC'!$K$8:$K$2847,MATCH(D2755,'Curva ABC'!$B$8:$B$2847,0))</f>
        <v>C</v>
      </c>
    </row>
    <row r="2756" customFormat="false" ht="15" hidden="false" customHeight="false" outlineLevel="0" collapsed="false">
      <c r="A2756" s="34" t="s">
        <v>5800</v>
      </c>
      <c r="B2756" s="34" t="str">
        <f aca="false">'Fat Dir Terceiro'!A25</f>
        <v>0337</v>
      </c>
      <c r="C2756" s="34" t="str">
        <f aca="false">'Fat Dir Terceiro'!B25</f>
        <v>UFV NORONHA VERDE - FAT. DIR. CLIENTE</v>
      </c>
      <c r="D2756" s="33" t="n">
        <f aca="false">'Fat Dir Terceiro'!C25</f>
        <v>219548</v>
      </c>
      <c r="E2756" s="34" t="str">
        <f aca="false">'Fat Dir Terceiro'!D25</f>
        <v>17.01.0702</v>
      </c>
      <c r="F2756" s="34" t="str">
        <f aca="false">'Fat Dir Terceiro'!E25</f>
        <v>CABO DE COBRE NU 35MM2 7 FIOS</v>
      </c>
      <c r="G2756" s="34" t="str">
        <f aca="false">'Fat Dir Terceiro'!J25</f>
        <v>M</v>
      </c>
      <c r="H2756" s="49" t="n">
        <f aca="false">'Fat Dir Terceiro'!F25</f>
        <v>651</v>
      </c>
      <c r="I2756" s="35" t="n">
        <f aca="false">'Fat Dir Terceiro'!G25</f>
        <v>21736.89</v>
      </c>
      <c r="J2756" s="34" t="str">
        <f aca="false">'Fat Dir Terceiro'!M25</f>
        <v>3.8.1.017 - Instalações elétricas/telefônicas/lógica</v>
      </c>
      <c r="K2756" s="32" t="str">
        <f aca="false">INDEX('Curva ABC'!$K$8:$K$2847,MATCH(D2756,'Curva ABC'!$B$8:$B$2847,0))</f>
        <v>A</v>
      </c>
    </row>
    <row r="2757" customFormat="false" ht="15" hidden="false" customHeight="false" outlineLevel="0" collapsed="false">
      <c r="A2757" s="34" t="s">
        <v>5800</v>
      </c>
      <c r="B2757" s="34" t="str">
        <f aca="false">'Fat Dir Terceiro'!A26</f>
        <v>0337</v>
      </c>
      <c r="C2757" s="34" t="str">
        <f aca="false">'Fat Dir Terceiro'!B26</f>
        <v>UFV NORONHA VERDE - FAT. DIR. CLIENTE</v>
      </c>
      <c r="D2757" s="33" t="n">
        <f aca="false">'Fat Dir Terceiro'!C26</f>
        <v>1319353</v>
      </c>
      <c r="E2757" s="34" t="str">
        <f aca="false">'Fat Dir Terceiro'!D26</f>
        <v>32.08.0086</v>
      </c>
      <c r="F2757" s="34" t="str">
        <f aca="false">'Fat Dir Terceiro'!E26</f>
        <v>Grupo Motor Gerador 380/220 V (GMG) 83 kVA / tensão auxiliar de comando e supervisão do GMG 125 Vcc</v>
      </c>
      <c r="G2757" s="34" t="str">
        <f aca="false">'Fat Dir Terceiro'!J26</f>
        <v>UN</v>
      </c>
      <c r="H2757" s="49" t="n">
        <f aca="false">'Fat Dir Terceiro'!F26</f>
        <v>1</v>
      </c>
      <c r="I2757" s="35" t="n">
        <f aca="false">'Fat Dir Terceiro'!G26</f>
        <v>126730</v>
      </c>
      <c r="J2757" s="34" t="str">
        <f aca="false">'Fat Dir Terceiro'!M26</f>
        <v>6.1.2.001 - Equipamentos</v>
      </c>
      <c r="K2757" s="32" t="str">
        <f aca="false">INDEX('Curva ABC'!$K$8:$K$2847,MATCH(D2757,'Curva ABC'!$B$8:$B$2847,0))</f>
        <v>A</v>
      </c>
    </row>
    <row r="2758" customFormat="false" ht="15" hidden="false" customHeight="false" outlineLevel="0" collapsed="false">
      <c r="A2758" s="34" t="s">
        <v>5800</v>
      </c>
      <c r="B2758" s="34" t="str">
        <f aca="false">'Fat Dir Terceiro'!A27</f>
        <v>0337</v>
      </c>
      <c r="C2758" s="34" t="str">
        <f aca="false">'Fat Dir Terceiro'!B27</f>
        <v>UFV NORONHA VERDE - FAT. DIR. CLIENTE</v>
      </c>
      <c r="D2758" s="33" t="n">
        <f aca="false">'Fat Dir Terceiro'!C27</f>
        <v>1319354</v>
      </c>
      <c r="E2758" s="34" t="str">
        <f aca="false">'Fat Dir Terceiro'!D27</f>
        <v>32.08.0087</v>
      </c>
      <c r="F2758" s="34" t="str">
        <f aca="false">'Fat Dir Terceiro'!E27</f>
        <v>Grupo Motor Gerador 380/220 V (GMG) 110 kVA</v>
      </c>
      <c r="G2758" s="34" t="str">
        <f aca="false">'Fat Dir Terceiro'!J27</f>
        <v>UN</v>
      </c>
      <c r="H2758" s="49" t="n">
        <f aca="false">'Fat Dir Terceiro'!F27</f>
        <v>1</v>
      </c>
      <c r="I2758" s="35" t="n">
        <f aca="false">'Fat Dir Terceiro'!G27</f>
        <v>148930</v>
      </c>
      <c r="J2758" s="34" t="str">
        <f aca="false">'Fat Dir Terceiro'!M27</f>
        <v>6.1.2.001 - Equipamentos</v>
      </c>
      <c r="K2758" s="32" t="str">
        <f aca="false">INDEX('Curva ABC'!$K$8:$K$2847,MATCH(D2758,'Curva ABC'!$B$8:$B$2847,0))</f>
        <v>A</v>
      </c>
    </row>
    <row r="2759" customFormat="false" ht="15" hidden="false" customHeight="false" outlineLevel="0" collapsed="false">
      <c r="A2759" s="34" t="s">
        <v>5800</v>
      </c>
      <c r="B2759" s="34" t="str">
        <f aca="false">'Fat Dir Terceiro'!A28</f>
        <v>0337</v>
      </c>
      <c r="C2759" s="34" t="str">
        <f aca="false">'Fat Dir Terceiro'!B28</f>
        <v>UFV NORONHA VERDE - FAT. DIR. CLIENTE</v>
      </c>
      <c r="D2759" s="33" t="n">
        <f aca="false">'Fat Dir Terceiro'!C28</f>
        <v>1322479</v>
      </c>
      <c r="E2759" s="34" t="str">
        <f aca="false">'Fat Dir Terceiro'!D28</f>
        <v>17.01.1200</v>
      </c>
      <c r="F2759" s="34" t="str">
        <f aca="false">'Fat Dir Terceiro'!E28</f>
        <v>CABO UNIPOLAR DE ALUMÍNIO, CLASSE 0,6/1KV, ISOL XLPE SEÇÃO 400MM² RES A CHAMA, UVB, SEM CHUMBO - REF PRYSMYAN OU SIMILAR</v>
      </c>
      <c r="G2759" s="34" t="str">
        <f aca="false">'Fat Dir Terceiro'!J28</f>
        <v>M</v>
      </c>
      <c r="H2759" s="49" t="n">
        <f aca="false">'Fat Dir Terceiro'!F28</f>
        <v>15482</v>
      </c>
      <c r="I2759" s="35" t="n">
        <f aca="false">'Fat Dir Terceiro'!G28</f>
        <v>689877.92</v>
      </c>
      <c r="J2759" s="34" t="str">
        <f aca="false">'Fat Dir Terceiro'!M28</f>
        <v>3.7.1.018 - Serviço de instalações elétricas/telefônica/lógica</v>
      </c>
      <c r="K2759" s="32" t="str">
        <f aca="false">INDEX('Curva ABC'!$K$8:$K$2847,MATCH(D2759,'Curva ABC'!$B$8:$B$2847,0))</f>
        <v>A</v>
      </c>
    </row>
    <row r="2760" customFormat="false" ht="15" hidden="false" customHeight="false" outlineLevel="0" collapsed="false">
      <c r="A2760" s="34" t="s">
        <v>5800</v>
      </c>
      <c r="B2760" s="34" t="str">
        <f aca="false">'Fat Dir Terceiro'!A29</f>
        <v>0337</v>
      </c>
      <c r="C2760" s="34" t="str">
        <f aca="false">'Fat Dir Terceiro'!B29</f>
        <v>UFV NORONHA VERDE - FAT. DIR. CLIENTE</v>
      </c>
      <c r="D2760" s="33" t="n">
        <f aca="false">'Fat Dir Terceiro'!C29</f>
        <v>1323070</v>
      </c>
      <c r="E2760" s="34" t="str">
        <f aca="false">'Fat Dir Terceiro'!D29</f>
        <v>09.21.0402</v>
      </c>
      <c r="F2760" s="34" t="str">
        <f aca="false">'Fat Dir Terceiro'!E29</f>
        <v>POSTE B-3/1500/11M</v>
      </c>
      <c r="G2760" s="34" t="str">
        <f aca="false">'Fat Dir Terceiro'!J29</f>
        <v>UN</v>
      </c>
      <c r="H2760" s="49" t="n">
        <f aca="false">'Fat Dir Terceiro'!F29</f>
        <v>3</v>
      </c>
      <c r="I2760" s="35" t="n">
        <f aca="false">'Fat Dir Terceiro'!G29</f>
        <v>16294.38</v>
      </c>
      <c r="J2760" s="34" t="str">
        <f aca="false">'Fat Dir Terceiro'!M29</f>
        <v>3.8.1.009 - Artefatos pré-moldados de concreto</v>
      </c>
      <c r="K2760" s="32" t="str">
        <f aca="false">INDEX('Curva ABC'!$K$8:$K$2847,MATCH(D2760,'Curva ABC'!$B$8:$B$2847,0))</f>
        <v>A</v>
      </c>
    </row>
    <row r="2761" customFormat="false" ht="15" hidden="false" customHeight="false" outlineLevel="0" collapsed="false">
      <c r="A2761" s="34" t="s">
        <v>5800</v>
      </c>
      <c r="B2761" s="34" t="str">
        <f aca="false">'Fat Dir Terceiro'!A30</f>
        <v>0337</v>
      </c>
      <c r="C2761" s="34" t="str">
        <f aca="false">'Fat Dir Terceiro'!B30</f>
        <v>UFV NORONHA VERDE - FAT. DIR. CLIENTE</v>
      </c>
      <c r="D2761" s="33" t="n">
        <f aca="false">'Fat Dir Terceiro'!C30</f>
        <v>1323072</v>
      </c>
      <c r="E2761" s="34" t="str">
        <f aca="false">'Fat Dir Terceiro'!D30</f>
        <v>09.21.0404</v>
      </c>
      <c r="F2761" s="34" t="str">
        <f aca="false">'Fat Dir Terceiro'!E30</f>
        <v>POSTE B-1,5/800/5M</v>
      </c>
      <c r="G2761" s="34" t="str">
        <f aca="false">'Fat Dir Terceiro'!J30</f>
        <v>UN</v>
      </c>
      <c r="H2761" s="49" t="n">
        <f aca="false">'Fat Dir Terceiro'!F30</f>
        <v>1</v>
      </c>
      <c r="I2761" s="35" t="n">
        <f aca="false">'Fat Dir Terceiro'!G30</f>
        <v>1221.79</v>
      </c>
      <c r="J2761" s="34" t="str">
        <f aca="false">'Fat Dir Terceiro'!M30</f>
        <v>3.8.1.009 - Artefatos pré-moldados de concreto</v>
      </c>
      <c r="K2761" s="32" t="str">
        <f aca="false">INDEX('Curva ABC'!$K$8:$K$2847,MATCH(D2761,'Curva ABC'!$B$8:$B$2847,0))</f>
        <v>C</v>
      </c>
    </row>
    <row r="2762" customFormat="false" ht="15" hidden="false" customHeight="false" outlineLevel="0" collapsed="false">
      <c r="A2762" s="34" t="s">
        <v>5800</v>
      </c>
      <c r="B2762" s="34" t="str">
        <f aca="false">'Fat Dir Terceiro'!A31</f>
        <v>0337</v>
      </c>
      <c r="C2762" s="34" t="str">
        <f aca="false">'Fat Dir Terceiro'!B31</f>
        <v>UFV NORONHA VERDE - FAT. DIR. CLIENTE</v>
      </c>
      <c r="D2762" s="33" t="n">
        <f aca="false">'Fat Dir Terceiro'!C31</f>
        <v>1323074</v>
      </c>
      <c r="E2762" s="34" t="str">
        <f aca="false">'Fat Dir Terceiro'!D31</f>
        <v>09.21.0406</v>
      </c>
      <c r="F2762" s="34" t="str">
        <f aca="false">'Fat Dir Terceiro'!E31</f>
        <v>CRUZETA MEIO BECO 2M</v>
      </c>
      <c r="G2762" s="34" t="str">
        <f aca="false">'Fat Dir Terceiro'!J31</f>
        <v>UN</v>
      </c>
      <c r="H2762" s="49" t="n">
        <f aca="false">'Fat Dir Terceiro'!F31</f>
        <v>4</v>
      </c>
      <c r="I2762" s="35" t="n">
        <f aca="false">'Fat Dir Terceiro'!G31</f>
        <v>1039.76</v>
      </c>
      <c r="J2762" s="34" t="str">
        <f aca="false">'Fat Dir Terceiro'!M31</f>
        <v>3.8.1.009 - Artefatos pré-moldados de concreto</v>
      </c>
      <c r="K2762" s="32" t="str">
        <f aca="false">INDEX('Curva ABC'!$K$8:$K$2847,MATCH(D2762,'Curva ABC'!$B$8:$B$2847,0))</f>
        <v>C</v>
      </c>
    </row>
    <row r="2763" customFormat="false" ht="15" hidden="false" customHeight="false" outlineLevel="0" collapsed="false">
      <c r="A2763" s="34" t="s">
        <v>5800</v>
      </c>
      <c r="B2763" s="34" t="str">
        <f aca="false">'Fat Dir Terceiro'!A32</f>
        <v>0337</v>
      </c>
      <c r="C2763" s="34" t="str">
        <f aca="false">'Fat Dir Terceiro'!B32</f>
        <v>UFV NORONHA VERDE - FAT. DIR. CLIENTE</v>
      </c>
      <c r="D2763" s="33" t="n">
        <f aca="false">'Fat Dir Terceiro'!C32</f>
        <v>1323076</v>
      </c>
      <c r="E2763" s="34" t="str">
        <f aca="false">'Fat Dir Terceiro'!D32</f>
        <v>09.21.0408</v>
      </c>
      <c r="F2763" s="34" t="str">
        <f aca="false">'Fat Dir Terceiro'!E32</f>
        <v>CAPITEL TP DE CONCRETO ARMADO</v>
      </c>
      <c r="G2763" s="34" t="str">
        <f aca="false">'Fat Dir Terceiro'!J32</f>
        <v>UN</v>
      </c>
      <c r="H2763" s="49" t="n">
        <f aca="false">'Fat Dir Terceiro'!F32</f>
        <v>3</v>
      </c>
      <c r="I2763" s="35" t="n">
        <f aca="false">'Fat Dir Terceiro'!G32</f>
        <v>1330.26</v>
      </c>
      <c r="J2763" s="34" t="str">
        <f aca="false">'Fat Dir Terceiro'!M32</f>
        <v>3.8.1.009 - Artefatos pré-moldados de concreto</v>
      </c>
      <c r="K2763" s="32" t="str">
        <f aca="false">INDEX('Curva ABC'!$K$8:$K$2847,MATCH(D2763,'Curva ABC'!$B$8:$B$2847,0))</f>
        <v>C</v>
      </c>
    </row>
    <row r="2764" customFormat="false" ht="15" hidden="false" customHeight="false" outlineLevel="0" collapsed="false">
      <c r="A2764" s="34" t="s">
        <v>5800</v>
      </c>
      <c r="B2764" s="34" t="str">
        <f aca="false">'Fat Dir Terceiro'!A33</f>
        <v>0337</v>
      </c>
      <c r="C2764" s="34" t="str">
        <f aca="false">'Fat Dir Terceiro'!B33</f>
        <v>UFV NORONHA VERDE - FAT. DIR. CLIENTE</v>
      </c>
      <c r="D2764" s="33" t="n">
        <f aca="false">'Fat Dir Terceiro'!C33</f>
        <v>1323077</v>
      </c>
      <c r="E2764" s="34" t="str">
        <f aca="false">'Fat Dir Terceiro'!D33</f>
        <v>09.21.0409</v>
      </c>
      <c r="F2764" s="34" t="str">
        <f aca="false">'Fat Dir Terceiro'!E33</f>
        <v>VIGA DE CONCRETO ARMADO -  0,30 X 0,40 X 7,00M</v>
      </c>
      <c r="G2764" s="34" t="str">
        <f aca="false">'Fat Dir Terceiro'!J33</f>
        <v>UN</v>
      </c>
      <c r="H2764" s="49" t="n">
        <f aca="false">'Fat Dir Terceiro'!F33</f>
        <v>27</v>
      </c>
      <c r="I2764" s="35" t="n">
        <f aca="false">'Fat Dir Terceiro'!G33</f>
        <v>135833.04</v>
      </c>
      <c r="J2764" s="34" t="str">
        <f aca="false">'Fat Dir Terceiro'!M33</f>
        <v>3.8.1.009 - Artefatos pré-moldados de concreto</v>
      </c>
      <c r="K2764" s="32" t="str">
        <f aca="false">INDEX('Curva ABC'!$K$8:$K$2847,MATCH(D2764,'Curva ABC'!$B$8:$B$2847,0))</f>
        <v>A</v>
      </c>
    </row>
    <row r="2765" customFormat="false" ht="15" hidden="false" customHeight="false" outlineLevel="0" collapsed="false">
      <c r="A2765" s="34" t="s">
        <v>5800</v>
      </c>
      <c r="B2765" s="34" t="str">
        <f aca="false">'Fat Dir Terceiro'!A34</f>
        <v>0337</v>
      </c>
      <c r="C2765" s="34" t="str">
        <f aca="false">'Fat Dir Terceiro'!B34</f>
        <v>UFV NORONHA VERDE - FAT. DIR. CLIENTE</v>
      </c>
      <c r="D2765" s="33" t="n">
        <f aca="false">'Fat Dir Terceiro'!C34</f>
        <v>1328114</v>
      </c>
      <c r="E2765" s="34" t="str">
        <f aca="false">'Fat Dir Terceiro'!D34</f>
        <v>17.01.1204</v>
      </c>
      <c r="F2765" s="34" t="str">
        <f aca="false">'Fat Dir Terceiro'!E34</f>
        <v>CABO DE COBRE MONOPOLAR 70 MM², CLASSE 2, 8,7/15 KV, ISOLAÇÃO EPR, COBERTURA PVC PRETO, BLINDAGEM 25 MM²</v>
      </c>
      <c r="G2765" s="34" t="str">
        <f aca="false">'Fat Dir Terceiro'!J34</f>
        <v>M</v>
      </c>
      <c r="H2765" s="49" t="n">
        <f aca="false">'Fat Dir Terceiro'!F34</f>
        <v>487</v>
      </c>
      <c r="I2765" s="35" t="n">
        <f aca="false">'Fat Dir Terceiro'!G34</f>
        <v>63049.54</v>
      </c>
      <c r="J2765" s="34" t="str">
        <f aca="false">'Fat Dir Terceiro'!M34</f>
        <v>3.8.1.017 - Instalações elétricas/telefônicas/lógica</v>
      </c>
      <c r="K2765" s="32" t="str">
        <f aca="false">INDEX('Curva ABC'!$K$8:$K$2847,MATCH(D2765,'Curva ABC'!$B$8:$B$2847,0))</f>
        <v>A</v>
      </c>
    </row>
    <row r="2766" customFormat="false" ht="15" hidden="false" customHeight="false" outlineLevel="0" collapsed="false">
      <c r="A2766" s="34" t="s">
        <v>5800</v>
      </c>
      <c r="B2766" s="34" t="str">
        <f aca="false">'Fat Dir Terceiro'!A35</f>
        <v>0337</v>
      </c>
      <c r="C2766" s="34" t="str">
        <f aca="false">'Fat Dir Terceiro'!B35</f>
        <v>UFV NORONHA VERDE - FAT. DIR. CLIENTE</v>
      </c>
      <c r="D2766" s="33" t="n">
        <f aca="false">'Fat Dir Terceiro'!C35</f>
        <v>1328133</v>
      </c>
      <c r="E2766" s="34" t="str">
        <f aca="false">'Fat Dir Terceiro'!D35</f>
        <v>17.01.1205</v>
      </c>
      <c r="F2766" s="34" t="str">
        <f aca="false">'Fat Dir Terceiro'!E35</f>
        <v>CABO DE COBRE NU 120 MM², CLASSE 2A, TÊMPERA MEIO DURA, NBR 6524.</v>
      </c>
      <c r="G2766" s="34" t="str">
        <f aca="false">'Fat Dir Terceiro'!J35</f>
        <v>M</v>
      </c>
      <c r="H2766" s="49" t="n">
        <f aca="false">'Fat Dir Terceiro'!F35</f>
        <v>1866</v>
      </c>
      <c r="I2766" s="35" t="n">
        <f aca="false">'Fat Dir Terceiro'!G35</f>
        <v>225730.02</v>
      </c>
      <c r="J2766" s="34" t="str">
        <f aca="false">'Fat Dir Terceiro'!M35</f>
        <v>3.8.1.017 - Instalações elétricas/telefônicas/lógica</v>
      </c>
      <c r="K2766" s="32" t="str">
        <f aca="false">INDEX('Curva ABC'!$K$8:$K$2847,MATCH(D2766,'Curva ABC'!$B$8:$B$2847,0))</f>
        <v>A</v>
      </c>
    </row>
    <row r="2767" customFormat="false" ht="15" hidden="false" customHeight="false" outlineLevel="0" collapsed="false">
      <c r="A2767" s="34" t="s">
        <v>5800</v>
      </c>
      <c r="B2767" s="34" t="str">
        <f aca="false">'Fat Dir Terceiro'!A36</f>
        <v>0337</v>
      </c>
      <c r="C2767" s="34" t="str">
        <f aca="false">'Fat Dir Terceiro'!B36</f>
        <v>UFV NORONHA VERDE - FAT. DIR. CLIENTE</v>
      </c>
      <c r="D2767" s="33" t="n">
        <f aca="false">'Fat Dir Terceiro'!C36</f>
        <v>1328273</v>
      </c>
      <c r="E2767" s="34" t="str">
        <f aca="false">'Fat Dir Terceiro'!D36</f>
        <v>17.01.1206</v>
      </c>
      <c r="F2767" s="34" t="str">
        <f aca="false">'Fat Dir Terceiro'!E36</f>
        <v>CABO BT 6MM² SOLAR, CONDUTOR DE COBRE FLEXÍVEL ESTANHADO, CAPA NA COR PRETA COM PROTEÇÃO UV</v>
      </c>
      <c r="G2767" s="34" t="str">
        <f aca="false">'Fat Dir Terceiro'!J36</f>
        <v>M</v>
      </c>
      <c r="H2767" s="49" t="n">
        <f aca="false">'Fat Dir Terceiro'!F36</f>
        <v>54000</v>
      </c>
      <c r="I2767" s="35" t="n">
        <f aca="false">'Fat Dir Terceiro'!G36</f>
        <v>355560.3</v>
      </c>
      <c r="J2767" s="34" t="str">
        <f aca="false">'Fat Dir Terceiro'!M36</f>
        <v>3.8.1.017 - Instalações elétricas/telefônicas/lógica</v>
      </c>
      <c r="K2767" s="32" t="str">
        <f aca="false">INDEX('Curva ABC'!$K$8:$K$2847,MATCH(D2767,'Curva ABC'!$B$8:$B$2847,0))</f>
        <v>A</v>
      </c>
    </row>
    <row r="2768" customFormat="false" ht="15" hidden="false" customHeight="false" outlineLevel="0" collapsed="false">
      <c r="A2768" s="34" t="s">
        <v>5800</v>
      </c>
      <c r="B2768" s="34" t="str">
        <f aca="false">'Fat Dir Terceiro'!A37</f>
        <v>0337</v>
      </c>
      <c r="C2768" s="34" t="str">
        <f aca="false">'Fat Dir Terceiro'!B37</f>
        <v>UFV NORONHA VERDE - FAT. DIR. CLIENTE</v>
      </c>
      <c r="D2768" s="33" t="n">
        <f aca="false">'Fat Dir Terceiro'!C37</f>
        <v>1328274</v>
      </c>
      <c r="E2768" s="34" t="str">
        <f aca="false">'Fat Dir Terceiro'!D37</f>
        <v>17.01.1207</v>
      </c>
      <c r="F2768" s="34" t="str">
        <f aca="false">'Fat Dir Terceiro'!E37</f>
        <v>CABO BT 6MM² SOLAR, CONDUTOR DE COBRE FLEXÍVEL ESTANHADO, CAPA NA COR VERMELHA COM PROTEÇÃO UV</v>
      </c>
      <c r="G2768" s="34" t="str">
        <f aca="false">'Fat Dir Terceiro'!J37</f>
        <v>M</v>
      </c>
      <c r="H2768" s="49" t="n">
        <f aca="false">'Fat Dir Terceiro'!F37</f>
        <v>47000</v>
      </c>
      <c r="I2768" s="35" t="n">
        <f aca="false">'Fat Dir Terceiro'!G37</f>
        <v>266529.6</v>
      </c>
      <c r="J2768" s="34" t="str">
        <f aca="false">'Fat Dir Terceiro'!M37</f>
        <v>3.8.1.017 - Instalações elétricas/telefônicas/lógica</v>
      </c>
      <c r="K2768" s="32" t="str">
        <f aca="false">INDEX('Curva ABC'!$K$8:$K$2847,MATCH(D2768,'Curva ABC'!$B$8:$B$2847,0))</f>
        <v>A</v>
      </c>
    </row>
    <row r="2769" customFormat="false" ht="15" hidden="false" customHeight="false" outlineLevel="0" collapsed="false">
      <c r="A2769" s="34" t="s">
        <v>5800</v>
      </c>
      <c r="B2769" s="34" t="str">
        <f aca="false">'Fat Dir Terceiro'!A38</f>
        <v>0337</v>
      </c>
      <c r="C2769" s="34" t="str">
        <f aca="false">'Fat Dir Terceiro'!B38</f>
        <v>UFV NORONHA VERDE - FAT. DIR. CLIENTE</v>
      </c>
      <c r="D2769" s="33" t="n">
        <f aca="false">'Fat Dir Terceiro'!C38</f>
        <v>1480716</v>
      </c>
      <c r="E2769" s="34" t="str">
        <f aca="false">'Fat Dir Terceiro'!D38</f>
        <v>17.01.1320</v>
      </c>
      <c r="F2769" s="34" t="str">
        <f aca="false">'Fat Dir Terceiro'!E38</f>
        <v>CABO FLEXÍVEL ISOL. HEPR ENCH. PVC 0,6/1KV 16,00MM² PRETO</v>
      </c>
      <c r="G2769" s="34" t="str">
        <f aca="false">'Fat Dir Terceiro'!J38</f>
        <v>M</v>
      </c>
      <c r="H2769" s="49" t="n">
        <f aca="false">'Fat Dir Terceiro'!F38</f>
        <v>1000</v>
      </c>
      <c r="I2769" s="35" t="n">
        <f aca="false">'Fat Dir Terceiro'!G38</f>
        <v>15420</v>
      </c>
      <c r="J2769" s="34" t="str">
        <f aca="false">'Fat Dir Terceiro'!M38</f>
        <v>3.8.1.017 - Instalações elétricas/telefônicas/lógica</v>
      </c>
      <c r="K2769" s="32" t="str">
        <f aca="false">INDEX('Curva ABC'!$K$8:$K$2847,MATCH(D2769,'Curva ABC'!$B$8:$B$2847,0))</f>
        <v>A</v>
      </c>
    </row>
    <row r="2770" customFormat="false" ht="15" hidden="false" customHeight="false" outlineLevel="0" collapsed="false">
      <c r="A2770" s="34" t="s">
        <v>5800</v>
      </c>
      <c r="B2770" s="34" t="str">
        <f aca="false">'Fat Dir Terceiro'!A39</f>
        <v>0337</v>
      </c>
      <c r="C2770" s="34" t="str">
        <f aca="false">'Fat Dir Terceiro'!B39</f>
        <v>UFV NORONHA VERDE - FAT. DIR. CLIENTE</v>
      </c>
      <c r="D2770" s="33" t="n">
        <f aca="false">'Fat Dir Terceiro'!C39</f>
        <v>1480860</v>
      </c>
      <c r="E2770" s="34" t="str">
        <f aca="false">'Fat Dir Terceiro'!D39</f>
        <v>17.01.1326</v>
      </c>
      <c r="F2770" s="34" t="str">
        <f aca="false">'Fat Dir Terceiro'!E39</f>
        <v>CABO FLEXÍVEL ISOL. HEPR ENCH. PVC 0,6/1KV 2,50MM² PRETO</v>
      </c>
      <c r="G2770" s="34" t="str">
        <f aca="false">'Fat Dir Terceiro'!J39</f>
        <v>M</v>
      </c>
      <c r="H2770" s="49" t="n">
        <f aca="false">'Fat Dir Terceiro'!F39</f>
        <v>1000</v>
      </c>
      <c r="I2770" s="35" t="n">
        <f aca="false">'Fat Dir Terceiro'!G39</f>
        <v>2880</v>
      </c>
      <c r="J2770" s="34" t="str">
        <f aca="false">'Fat Dir Terceiro'!M39</f>
        <v>3.8.1.017 - Instalações elétricas/telefônicas/lógica</v>
      </c>
      <c r="K2770" s="32" t="str">
        <f aca="false">INDEX('Curva ABC'!$K$8:$K$2847,MATCH(D2770,'Curva ABC'!$B$8:$B$2847,0))</f>
        <v>B</v>
      </c>
    </row>
    <row r="2771" customFormat="false" ht="15" hidden="false" customHeight="false" outlineLevel="0" collapsed="false">
      <c r="A2771" s="34" t="s">
        <v>5800</v>
      </c>
      <c r="B2771" s="34" t="str">
        <f aca="false">'Fat Dir Terceiro'!A40</f>
        <v>0337</v>
      </c>
      <c r="C2771" s="34" t="str">
        <f aca="false">'Fat Dir Terceiro'!B40</f>
        <v>UFV NORONHA VERDE - FAT. DIR. CLIENTE</v>
      </c>
      <c r="D2771" s="33" t="n">
        <f aca="false">'Fat Dir Terceiro'!C40</f>
        <v>1481749</v>
      </c>
      <c r="E2771" s="34" t="str">
        <f aca="false">'Fat Dir Terceiro'!D40</f>
        <v>17.01.1363</v>
      </c>
      <c r="F2771" s="34" t="str">
        <f aca="false">'Fat Dir Terceiro'!E40</f>
        <v>CABO FLEXÍVEL ISOL. HEPR ENCH. PVC 0,6/1KV 70,00MM² PRETO</v>
      </c>
      <c r="G2771" s="34" t="str">
        <f aca="false">'Fat Dir Terceiro'!J40</f>
        <v>M</v>
      </c>
      <c r="H2771" s="49" t="n">
        <f aca="false">'Fat Dir Terceiro'!F40</f>
        <v>768</v>
      </c>
      <c r="I2771" s="35" t="n">
        <f aca="false">'Fat Dir Terceiro'!G40</f>
        <v>51118.08</v>
      </c>
      <c r="J2771" s="34" t="str">
        <f aca="false">'Fat Dir Terceiro'!M40</f>
        <v>3.8.1.017 - Instalações elétricas/telefônicas/lógica</v>
      </c>
      <c r="K2771" s="32" t="str">
        <f aca="false">INDEX('Curva ABC'!$K$8:$K$2847,MATCH(D2771,'Curva ABC'!$B$8:$B$2847,0))</f>
        <v>A</v>
      </c>
    </row>
    <row r="2772" customFormat="false" ht="15" hidden="false" customHeight="false" outlineLevel="0" collapsed="false">
      <c r="A2772" s="34" t="s">
        <v>5800</v>
      </c>
      <c r="B2772" s="34" t="str">
        <f aca="false">'Fat Dir Terceiro'!A41</f>
        <v>0337</v>
      </c>
      <c r="C2772" s="34" t="str">
        <f aca="false">'Fat Dir Terceiro'!B41</f>
        <v>UFV NORONHA VERDE - FAT. DIR. CLIENTE</v>
      </c>
      <c r="D2772" s="33" t="n">
        <f aca="false">'Fat Dir Terceiro'!C41</f>
        <v>1486706</v>
      </c>
      <c r="E2772" s="34" t="str">
        <f aca="false">'Fat Dir Terceiro'!D41</f>
        <v>17.01.1373</v>
      </c>
      <c r="F2772" s="34" t="str">
        <f aca="false">'Fat Dir Terceiro'!E41</f>
        <v>CABO FLEXÍVEL ISOL. HEPR ENCH. PVC 0,6/1KV 10,00MM² PRETO</v>
      </c>
      <c r="G2772" s="34" t="str">
        <f aca="false">'Fat Dir Terceiro'!J41</f>
        <v>M</v>
      </c>
      <c r="H2772" s="49" t="n">
        <f aca="false">'Fat Dir Terceiro'!F41</f>
        <v>1000</v>
      </c>
      <c r="I2772" s="35" t="n">
        <f aca="false">'Fat Dir Terceiro'!G41</f>
        <v>9920</v>
      </c>
      <c r="J2772" s="34" t="str">
        <f aca="false">'Fat Dir Terceiro'!M41</f>
        <v>3.8.1.017 - Instalações elétricas/telefônicas/lógica</v>
      </c>
      <c r="K2772" s="32" t="str">
        <f aca="false">INDEX('Curva ABC'!$K$8:$K$2847,MATCH(D2772,'Curva ABC'!$B$8:$B$2847,0))</f>
        <v>A</v>
      </c>
    </row>
    <row r="2773" customFormat="false" ht="15" hidden="false" customHeight="false" outlineLevel="0" collapsed="false">
      <c r="A2773" s="34" t="s">
        <v>5800</v>
      </c>
      <c r="B2773" s="34" t="str">
        <f aca="false">'Fat Dir Terceiro'!A42</f>
        <v>0337</v>
      </c>
      <c r="C2773" s="34" t="str">
        <f aca="false">'Fat Dir Terceiro'!B42</f>
        <v>UFV NORONHA VERDE - FAT. DIR. CLIENTE</v>
      </c>
      <c r="D2773" s="33" t="n">
        <f aca="false">'Fat Dir Terceiro'!C42</f>
        <v>1540059</v>
      </c>
      <c r="E2773" s="34" t="str">
        <f aca="false">'Fat Dir Terceiro'!D42</f>
        <v>17.06.0042</v>
      </c>
      <c r="F2773" s="34" t="str">
        <f aca="false">'Fat Dir Terceiro'!E42</f>
        <v>CABO ELETRICO FLEXIVEL DE COBRE ISOLADO 2X1,5 MM² 1KV CTL BL REF AFUMEX</v>
      </c>
      <c r="G2773" s="34" t="str">
        <f aca="false">'Fat Dir Terceiro'!J42</f>
        <v>M</v>
      </c>
      <c r="H2773" s="49" t="n">
        <f aca="false">'Fat Dir Terceiro'!F42</f>
        <v>1008</v>
      </c>
      <c r="I2773" s="35" t="n">
        <f aca="false">'Fat Dir Terceiro'!G42</f>
        <v>13214.88</v>
      </c>
      <c r="J2773" s="34" t="str">
        <f aca="false">'Fat Dir Terceiro'!M42</f>
        <v>3.8.1.017 - Instalações elétricas/telefônicas/lógica</v>
      </c>
      <c r="K2773" s="32" t="str">
        <f aca="false">INDEX('Curva ABC'!$K$8:$K$2847,MATCH(D2773,'Curva ABC'!$B$8:$B$2847,0))</f>
        <v>A</v>
      </c>
    </row>
    <row r="2774" customFormat="false" ht="15" hidden="false" customHeight="false" outlineLevel="0" collapsed="false">
      <c r="A2774" s="34" t="s">
        <v>5800</v>
      </c>
      <c r="B2774" s="34" t="str">
        <f aca="false">'Fat Dir Terceiro'!A43</f>
        <v>0337</v>
      </c>
      <c r="C2774" s="34" t="str">
        <f aca="false">'Fat Dir Terceiro'!B43</f>
        <v>UFV NORONHA VERDE - FAT. DIR. CLIENTE</v>
      </c>
      <c r="D2774" s="33" t="n">
        <f aca="false">'Fat Dir Terceiro'!C43</f>
        <v>1540083</v>
      </c>
      <c r="E2774" s="34" t="str">
        <f aca="false">'Fat Dir Terceiro'!D43</f>
        <v>17.06.0043</v>
      </c>
      <c r="F2774" s="34" t="str">
        <f aca="false">'Fat Dir Terceiro'!E43</f>
        <v>CABO ELETRICO FLEXIVEL DE COBRE ISOLADO 9X1,5 MM² 1KV CTL BL REF AFUMEX</v>
      </c>
      <c r="G2774" s="34" t="str">
        <f aca="false">'Fat Dir Terceiro'!J43</f>
        <v>M</v>
      </c>
      <c r="H2774" s="49" t="n">
        <f aca="false">'Fat Dir Terceiro'!F43</f>
        <v>2677</v>
      </c>
      <c r="I2774" s="35" t="n">
        <f aca="false">'Fat Dir Terceiro'!G43</f>
        <v>79747.83</v>
      </c>
      <c r="J2774" s="34" t="str">
        <f aca="false">'Fat Dir Terceiro'!M43</f>
        <v>3.8.1.017 - Instalações elétricas/telefônicas/lógica</v>
      </c>
      <c r="K2774" s="32" t="str">
        <f aca="false">INDEX('Curva ABC'!$K$8:$K$2847,MATCH(D2774,'Curva ABC'!$B$8:$B$2847,0))</f>
        <v>A</v>
      </c>
    </row>
    <row r="2775" customFormat="false" ht="15" hidden="false" customHeight="false" outlineLevel="0" collapsed="false">
      <c r="A2775" s="34" t="s">
        <v>5800</v>
      </c>
      <c r="B2775" s="34" t="str">
        <f aca="false">'Fat Dir Terceiro'!A44</f>
        <v>0337</v>
      </c>
      <c r="C2775" s="34" t="str">
        <f aca="false">'Fat Dir Terceiro'!B44</f>
        <v>UFV NORONHA VERDE - FAT. DIR. CLIENTE</v>
      </c>
      <c r="D2775" s="33" t="n">
        <f aca="false">'Fat Dir Terceiro'!C44</f>
        <v>1540107</v>
      </c>
      <c r="E2775" s="34" t="str">
        <f aca="false">'Fat Dir Terceiro'!D44</f>
        <v>17.06.0044</v>
      </c>
      <c r="F2775" s="34" t="str">
        <f aca="false">'Fat Dir Terceiro'!E44</f>
        <v>CABO ELETRICO FLEXIVEL DE COBRE ISOLADO 15X1,5 MM² 1KV CTL BL REF AFUMEX</v>
      </c>
      <c r="G2775" s="34" t="str">
        <f aca="false">'Fat Dir Terceiro'!J44</f>
        <v>M</v>
      </c>
      <c r="H2775" s="49" t="n">
        <f aca="false">'Fat Dir Terceiro'!F44</f>
        <v>1026</v>
      </c>
      <c r="I2775" s="35" t="n">
        <f aca="false">'Fat Dir Terceiro'!G44</f>
        <v>41758.2</v>
      </c>
      <c r="J2775" s="34" t="str">
        <f aca="false">'Fat Dir Terceiro'!M44</f>
        <v>3.8.1.017 - Instalações elétricas/telefônicas/lógica</v>
      </c>
      <c r="K2775" s="32" t="str">
        <f aca="false">INDEX('Curva ABC'!$K$8:$K$2847,MATCH(D2775,'Curva ABC'!$B$8:$B$2847,0))</f>
        <v>A</v>
      </c>
    </row>
    <row r="2776" customFormat="false" ht="15" hidden="false" customHeight="false" outlineLevel="0" collapsed="false">
      <c r="A2776" s="34" t="s">
        <v>5800</v>
      </c>
      <c r="B2776" s="34" t="str">
        <f aca="false">'Fat Dir Terceiro'!A45</f>
        <v>0337</v>
      </c>
      <c r="C2776" s="34" t="str">
        <f aca="false">'Fat Dir Terceiro'!B45</f>
        <v>UFV NORONHA VERDE - FAT. DIR. CLIENTE</v>
      </c>
      <c r="D2776" s="33" t="n">
        <f aca="false">'Fat Dir Terceiro'!C45</f>
        <v>1540131</v>
      </c>
      <c r="E2776" s="34" t="str">
        <f aca="false">'Fat Dir Terceiro'!D45</f>
        <v>17.06.0045</v>
      </c>
      <c r="F2776" s="34" t="str">
        <f aca="false">'Fat Dir Terceiro'!E45</f>
        <v>CABO ELETRICO FLEXIVEL DE COBRE ISOLADO 2X2,5 MM² 1KV CTL BL REF AFUMEX</v>
      </c>
      <c r="G2776" s="34" t="str">
        <f aca="false">'Fat Dir Terceiro'!J45</f>
        <v>M</v>
      </c>
      <c r="H2776" s="49" t="n">
        <f aca="false">'Fat Dir Terceiro'!F45</f>
        <v>5513</v>
      </c>
      <c r="I2776" s="35" t="n">
        <f aca="false">'Fat Dir Terceiro'!G45</f>
        <v>89696.51</v>
      </c>
      <c r="J2776" s="34" t="str">
        <f aca="false">'Fat Dir Terceiro'!M45</f>
        <v>3.8.1.017 - Instalações elétricas/telefônicas/lógica</v>
      </c>
      <c r="K2776" s="32" t="str">
        <f aca="false">INDEX('Curva ABC'!$K$8:$K$2847,MATCH(D2776,'Curva ABC'!$B$8:$B$2847,0))</f>
        <v>A</v>
      </c>
    </row>
    <row r="2777" customFormat="false" ht="15" hidden="false" customHeight="false" outlineLevel="0" collapsed="false">
      <c r="A2777" s="34" t="s">
        <v>5800</v>
      </c>
      <c r="B2777" s="34" t="str">
        <f aca="false">'Fat Dir Terceiro'!A46</f>
        <v>0337</v>
      </c>
      <c r="C2777" s="34" t="str">
        <f aca="false">'Fat Dir Terceiro'!B46</f>
        <v>UFV NORONHA VERDE - FAT. DIR. CLIENTE</v>
      </c>
      <c r="D2777" s="33" t="n">
        <f aca="false">'Fat Dir Terceiro'!C46</f>
        <v>1540155</v>
      </c>
      <c r="E2777" s="34" t="str">
        <f aca="false">'Fat Dir Terceiro'!D46</f>
        <v>17.06.0046</v>
      </c>
      <c r="F2777" s="34" t="str">
        <f aca="false">'Fat Dir Terceiro'!E46</f>
        <v>CABO ELETRICO FLEXIVEL DE COBRE ISOLADO 4X2,5 MM² 1KV CTL BL REF AFUMEX</v>
      </c>
      <c r="G2777" s="34" t="str">
        <f aca="false">'Fat Dir Terceiro'!J46</f>
        <v>M</v>
      </c>
      <c r="H2777" s="49" t="n">
        <f aca="false">'Fat Dir Terceiro'!F46</f>
        <v>1021</v>
      </c>
      <c r="I2777" s="35" t="n">
        <f aca="false">'Fat Dir Terceiro'!G46</f>
        <v>23350.27</v>
      </c>
      <c r="J2777" s="34" t="str">
        <f aca="false">'Fat Dir Terceiro'!M46</f>
        <v>3.8.1.017 - Instalações elétricas/telefônicas/lógica</v>
      </c>
      <c r="K2777" s="32" t="str">
        <f aca="false">INDEX('Curva ABC'!$K$8:$K$2847,MATCH(D2777,'Curva ABC'!$B$8:$B$2847,0))</f>
        <v>A</v>
      </c>
    </row>
    <row r="2778" customFormat="false" ht="15" hidden="false" customHeight="false" outlineLevel="0" collapsed="false">
      <c r="A2778" s="34" t="s">
        <v>5800</v>
      </c>
      <c r="B2778" s="34" t="str">
        <f aca="false">'Fat Dir Terceiro'!A47</f>
        <v>0337</v>
      </c>
      <c r="C2778" s="34" t="str">
        <f aca="false">'Fat Dir Terceiro'!B47</f>
        <v>UFV NORONHA VERDE - FAT. DIR. CLIENTE</v>
      </c>
      <c r="D2778" s="33" t="n">
        <f aca="false">'Fat Dir Terceiro'!C47</f>
        <v>1540179</v>
      </c>
      <c r="E2778" s="34" t="str">
        <f aca="false">'Fat Dir Terceiro'!D47</f>
        <v>17.06.0047</v>
      </c>
      <c r="F2778" s="34" t="str">
        <f aca="false">'Fat Dir Terceiro'!E47</f>
        <v>CABO ELETRICO FLEXIVEL DE COBRE ISOLADO 12X2,5 MM² 1KV CTL BL REF AFUMEX</v>
      </c>
      <c r="G2778" s="34" t="str">
        <f aca="false">'Fat Dir Terceiro'!J47</f>
        <v>M</v>
      </c>
      <c r="H2778" s="49" t="n">
        <f aca="false">'Fat Dir Terceiro'!F47</f>
        <v>1030</v>
      </c>
      <c r="I2778" s="35" t="n">
        <f aca="false">'Fat Dir Terceiro'!G47</f>
        <v>49388.5</v>
      </c>
      <c r="J2778" s="34" t="str">
        <f aca="false">'Fat Dir Terceiro'!M47</f>
        <v>3.8.1.017 - Instalações elétricas/telefônicas/lógica</v>
      </c>
      <c r="K2778" s="32" t="str">
        <f aca="false">INDEX('Curva ABC'!$K$8:$K$2847,MATCH(D2778,'Curva ABC'!$B$8:$B$2847,0))</f>
        <v>A</v>
      </c>
    </row>
    <row r="2779" customFormat="false" ht="15" hidden="false" customHeight="false" outlineLevel="0" collapsed="false">
      <c r="A2779" s="34" t="s">
        <v>5800</v>
      </c>
      <c r="B2779" s="34" t="str">
        <f aca="false">'Fat Dir Terceiro'!A48</f>
        <v>0337</v>
      </c>
      <c r="C2779" s="34" t="str">
        <f aca="false">'Fat Dir Terceiro'!B48</f>
        <v>UFV NORONHA VERDE - FAT. DIR. CLIENTE</v>
      </c>
      <c r="D2779" s="33" t="n">
        <f aca="false">'Fat Dir Terceiro'!C48</f>
        <v>1540203</v>
      </c>
      <c r="E2779" s="34" t="str">
        <f aca="false">'Fat Dir Terceiro'!D48</f>
        <v>17.06.0048</v>
      </c>
      <c r="F2779" s="34" t="str">
        <f aca="false">'Fat Dir Terceiro'!E48</f>
        <v>CABO ELETRICO FLEXIVEL DE COBRE ISOLADO 2X6 MM² 1KV CTL BL REF AFUMEX</v>
      </c>
      <c r="G2779" s="34" t="str">
        <f aca="false">'Fat Dir Terceiro'!J48</f>
        <v>M</v>
      </c>
      <c r="H2779" s="49" t="n">
        <f aca="false">'Fat Dir Terceiro'!F48</f>
        <v>1958</v>
      </c>
      <c r="I2779" s="35" t="n">
        <f aca="false">'Fat Dir Terceiro'!G48</f>
        <v>46267.54</v>
      </c>
      <c r="J2779" s="34" t="str">
        <f aca="false">'Fat Dir Terceiro'!M48</f>
        <v>3.8.1.017 - Instalações elétricas/telefônicas/lógica</v>
      </c>
      <c r="K2779" s="32" t="str">
        <f aca="false">INDEX('Curva ABC'!$K$8:$K$2847,MATCH(D2779,'Curva ABC'!$B$8:$B$2847,0))</f>
        <v>A</v>
      </c>
    </row>
    <row r="2780" customFormat="false" ht="15" hidden="false" customHeight="false" outlineLevel="0" collapsed="false">
      <c r="A2780" s="34" t="s">
        <v>5800</v>
      </c>
      <c r="B2780" s="34" t="str">
        <f aca="false">'Fat Dir Terceiro'!A49</f>
        <v>0337</v>
      </c>
      <c r="C2780" s="34" t="str">
        <f aca="false">'Fat Dir Terceiro'!B49</f>
        <v>UFV NORONHA VERDE - FAT. DIR. CLIENTE</v>
      </c>
      <c r="D2780" s="33" t="n">
        <f aca="false">'Fat Dir Terceiro'!C49</f>
        <v>1540227</v>
      </c>
      <c r="E2780" s="34" t="str">
        <f aca="false">'Fat Dir Terceiro'!D49</f>
        <v>17.06.0049</v>
      </c>
      <c r="F2780" s="34" t="str">
        <f aca="false">'Fat Dir Terceiro'!E49</f>
        <v>CABO ELETRICO FLEXIVEL DE COBRE ISOLADO 4X6 MM² 1KV CTL BL REF AFUMEX</v>
      </c>
      <c r="G2780" s="34" t="str">
        <f aca="false">'Fat Dir Terceiro'!J49</f>
        <v>M</v>
      </c>
      <c r="H2780" s="49" t="n">
        <f aca="false">'Fat Dir Terceiro'!F49</f>
        <v>1236</v>
      </c>
      <c r="I2780" s="35" t="n">
        <f aca="false">'Fat Dir Terceiro'!G49</f>
        <v>46300.56</v>
      </c>
      <c r="J2780" s="34" t="str">
        <f aca="false">'Fat Dir Terceiro'!M49</f>
        <v>3.8.1.017 - Instalações elétricas/telefônicas/lógica</v>
      </c>
      <c r="K2780" s="32" t="str">
        <f aca="false">INDEX('Curva ABC'!$K$8:$K$2847,MATCH(D2780,'Curva ABC'!$B$8:$B$2847,0))</f>
        <v>A</v>
      </c>
    </row>
    <row r="2781" customFormat="false" ht="15" hidden="false" customHeight="false" outlineLevel="0" collapsed="false">
      <c r="A2781" s="34" t="s">
        <v>5800</v>
      </c>
      <c r="B2781" s="34" t="str">
        <f aca="false">'Fat Dir Terceiro'!A50</f>
        <v>0337</v>
      </c>
      <c r="C2781" s="34" t="str">
        <f aca="false">'Fat Dir Terceiro'!B50</f>
        <v>UFV NORONHA VERDE - FAT. DIR. CLIENTE</v>
      </c>
      <c r="D2781" s="33" t="n">
        <f aca="false">'Fat Dir Terceiro'!C50</f>
        <v>1540251</v>
      </c>
      <c r="E2781" s="34" t="str">
        <f aca="false">'Fat Dir Terceiro'!D50</f>
        <v>17.06.0050</v>
      </c>
      <c r="F2781" s="34" t="str">
        <f aca="false">'Fat Dir Terceiro'!E50</f>
        <v>CABO ELETRICO FLEXIVEL DE COBRE ISOLADO 2X2,5 MM² 1KV CTL REF AFUMEX</v>
      </c>
      <c r="G2781" s="34" t="str">
        <f aca="false">'Fat Dir Terceiro'!J50</f>
        <v>M</v>
      </c>
      <c r="H2781" s="49" t="n">
        <f aca="false">'Fat Dir Terceiro'!F50</f>
        <v>1958</v>
      </c>
      <c r="I2781" s="35" t="n">
        <f aca="false">'Fat Dir Terceiro'!G50</f>
        <v>17915.7</v>
      </c>
      <c r="J2781" s="34" t="str">
        <f aca="false">'Fat Dir Terceiro'!M50</f>
        <v>3.8.1.017 - Instalações elétricas/telefônicas/lógica</v>
      </c>
      <c r="K2781" s="32" t="str">
        <f aca="false">INDEX('Curva ABC'!$K$8:$K$2847,MATCH(D2781,'Curva ABC'!$B$8:$B$2847,0))</f>
        <v>A</v>
      </c>
    </row>
    <row r="2782" customFormat="false" ht="15" hidden="false" customHeight="false" outlineLevel="0" collapsed="false">
      <c r="A2782" s="34" t="s">
        <v>5800</v>
      </c>
      <c r="B2782" s="34" t="str">
        <f aca="false">'Fat Dir Terceiro'!A51</f>
        <v>0337</v>
      </c>
      <c r="C2782" s="34" t="str">
        <f aca="false">'Fat Dir Terceiro'!B51</f>
        <v>UFV NORONHA VERDE - FAT. DIR. CLIENTE</v>
      </c>
      <c r="D2782" s="33" t="n">
        <f aca="false">'Fat Dir Terceiro'!C51</f>
        <v>1540275</v>
      </c>
      <c r="E2782" s="34" t="str">
        <f aca="false">'Fat Dir Terceiro'!D51</f>
        <v>17.06.0051</v>
      </c>
      <c r="F2782" s="34" t="str">
        <f aca="false">'Fat Dir Terceiro'!E51</f>
        <v>CABO ELETRICO FLEXIVEL DE COBRE ISOLADO 2X4 MM² 1KV CTL REF AFUMEX</v>
      </c>
      <c r="G2782" s="34" t="str">
        <f aca="false">'Fat Dir Terceiro'!J51</f>
        <v>M</v>
      </c>
      <c r="H2782" s="49" t="n">
        <f aca="false">'Fat Dir Terceiro'!F51</f>
        <v>1030</v>
      </c>
      <c r="I2782" s="35" t="n">
        <f aca="false">'Fat Dir Terceiro'!G51</f>
        <v>13729.9</v>
      </c>
      <c r="J2782" s="34" t="str">
        <f aca="false">'Fat Dir Terceiro'!M51</f>
        <v>3.8.1.017 - Instalações elétricas/telefônicas/lógica</v>
      </c>
      <c r="K2782" s="32" t="str">
        <f aca="false">INDEX('Curva ABC'!$K$8:$K$2847,MATCH(D2782,'Curva ABC'!$B$8:$B$2847,0))</f>
        <v>A</v>
      </c>
    </row>
    <row r="2783" customFormat="false" ht="15" hidden="false" customHeight="false" outlineLevel="0" collapsed="false">
      <c r="A2783" s="34" t="s">
        <v>5800</v>
      </c>
      <c r="B2783" s="34" t="str">
        <f aca="false">'Fat Dir Terceiro'!A52</f>
        <v>0337</v>
      </c>
      <c r="C2783" s="34" t="str">
        <f aca="false">'Fat Dir Terceiro'!B52</f>
        <v>UFV NORONHA VERDE - FAT. DIR. CLIENTE</v>
      </c>
      <c r="D2783" s="33" t="n">
        <f aca="false">'Fat Dir Terceiro'!C52</f>
        <v>1540299</v>
      </c>
      <c r="E2783" s="34" t="str">
        <f aca="false">'Fat Dir Terceiro'!D52</f>
        <v>17.06.0052</v>
      </c>
      <c r="F2783" s="34" t="str">
        <f aca="false">'Fat Dir Terceiro'!E52</f>
        <v>CABO ELETRICO FLEXIVEL DE COBRE ISOLADO 4X10 MM² 1KV CTL REF AFUMEX</v>
      </c>
      <c r="G2783" s="34" t="str">
        <f aca="false">'Fat Dir Terceiro'!J52</f>
        <v>M</v>
      </c>
      <c r="H2783" s="49" t="n">
        <f aca="false">'Fat Dir Terceiro'!F52</f>
        <v>515</v>
      </c>
      <c r="I2783" s="35" t="n">
        <f aca="false">'Fat Dir Terceiro'!G52</f>
        <v>22582.75</v>
      </c>
      <c r="J2783" s="34" t="str">
        <f aca="false">'Fat Dir Terceiro'!M52</f>
        <v>3.8.1.017 - Instalações elétricas/telefônicas/lógica</v>
      </c>
      <c r="K2783" s="32" t="str">
        <f aca="false">INDEX('Curva ABC'!$K$8:$K$2847,MATCH(D2783,'Curva ABC'!$B$8:$B$2847,0))</f>
        <v>A</v>
      </c>
    </row>
    <row r="2784" customFormat="false" ht="15" hidden="false" customHeight="false" outlineLevel="0" collapsed="false">
      <c r="A2784" s="34" t="s">
        <v>5800</v>
      </c>
      <c r="B2784" s="34" t="str">
        <f aca="false">'Fat Dir Terceiro'!A53</f>
        <v>0337</v>
      </c>
      <c r="C2784" s="34" t="str">
        <f aca="false">'Fat Dir Terceiro'!B53</f>
        <v>UFV NORONHA VERDE - FAT. DIR. CLIENTE</v>
      </c>
      <c r="D2784" s="33" t="n">
        <f aca="false">'Fat Dir Terceiro'!C53</f>
        <v>1540323</v>
      </c>
      <c r="E2784" s="34" t="str">
        <f aca="false">'Fat Dir Terceiro'!D53</f>
        <v>17.06.0053</v>
      </c>
      <c r="F2784" s="34" t="str">
        <f aca="false">'Fat Dir Terceiro'!E53</f>
        <v>CABO ELETRICO FLEXIVEL DE COBRE ISOLADO 4X16 MM² 1KV NUM REF AFUMEX</v>
      </c>
      <c r="G2784" s="34" t="str">
        <f aca="false">'Fat Dir Terceiro'!J53</f>
        <v>M</v>
      </c>
      <c r="H2784" s="49" t="n">
        <f aca="false">'Fat Dir Terceiro'!F53</f>
        <v>5081</v>
      </c>
      <c r="I2784" s="35" t="n">
        <f aca="false">'Fat Dir Terceiro'!G53</f>
        <v>340477.81</v>
      </c>
      <c r="J2784" s="34" t="str">
        <f aca="false">'Fat Dir Terceiro'!M53</f>
        <v>3.8.1.017 - Instalações elétricas/telefônicas/lógica</v>
      </c>
      <c r="K2784" s="32" t="str">
        <f aca="false">INDEX('Curva ABC'!$K$8:$K$2847,MATCH(D2784,'Curva ABC'!$B$8:$B$2847,0))</f>
        <v>A</v>
      </c>
    </row>
    <row r="2785" customFormat="false" ht="15" hidden="false" customHeight="false" outlineLevel="0" collapsed="false">
      <c r="A2785" s="34" t="s">
        <v>5800</v>
      </c>
      <c r="B2785" s="34" t="str">
        <f aca="false">'Fat Dir Terceiro'!A54</f>
        <v>0337</v>
      </c>
      <c r="C2785" s="34" t="str">
        <f aca="false">'Fat Dir Terceiro'!B54</f>
        <v>UFV NORONHA VERDE - FAT. DIR. CLIENTE</v>
      </c>
      <c r="D2785" s="33" t="n">
        <f aca="false">'Fat Dir Terceiro'!C54</f>
        <v>1608931</v>
      </c>
      <c r="E2785" s="34" t="str">
        <f aca="false">'Fat Dir Terceiro'!D54</f>
        <v>17.02.0918</v>
      </c>
      <c r="F2785" s="34" t="str">
        <f aca="false">'Fat Dir Terceiro'!E54</f>
        <v>TERMINAL COM TAMPA DE BRONZE P/CABO 250MM-50MM M10</v>
      </c>
      <c r="G2785" s="34" t="str">
        <f aca="false">'Fat Dir Terceiro'!J54</f>
        <v>UN</v>
      </c>
      <c r="H2785" s="49" t="n">
        <f aca="false">'Fat Dir Terceiro'!F54</f>
        <v>23</v>
      </c>
      <c r="I2785" s="35" t="n">
        <f aca="false">'Fat Dir Terceiro'!G54</f>
        <v>9042.99</v>
      </c>
      <c r="J2785" s="34" t="str">
        <f aca="false">'Fat Dir Terceiro'!M54</f>
        <v>3.8.1.017 - Instalações elétricas/telefônicas/lógica</v>
      </c>
      <c r="K2785" s="32" t="str">
        <f aca="false">INDEX('Curva ABC'!$K$8:$K$2847,MATCH(D2785,'Curva ABC'!$B$8:$B$2847,0))</f>
        <v>B</v>
      </c>
    </row>
    <row r="2786" customFormat="false" ht="15" hidden="false" customHeight="false" outlineLevel="0" collapsed="false">
      <c r="A2786" s="34" t="s">
        <v>5800</v>
      </c>
      <c r="B2786" s="34" t="str">
        <f aca="false">'Fat Dir Terceiro'!A55</f>
        <v>0346</v>
      </c>
      <c r="C2786" s="34" t="str">
        <f aca="false">'Fat Dir Terceiro'!B55</f>
        <v>UFV NORONHA VERDE - ESTOQUE MATRIZ FIL 1</v>
      </c>
      <c r="D2786" s="33" t="n">
        <f aca="false">'Fat Dir Terceiro'!C55</f>
        <v>32238</v>
      </c>
      <c r="E2786" s="34" t="str">
        <f aca="false">'Fat Dir Terceiro'!D55</f>
        <v>26.13.0044</v>
      </c>
      <c r="F2786" s="34" t="str">
        <f aca="false">'Fat Dir Terceiro'!E55</f>
        <v>CAMISA SOCIAL MANGA LONGA. TAM P</v>
      </c>
      <c r="G2786" s="34" t="str">
        <f aca="false">'Fat Dir Terceiro'!J55</f>
        <v>UN</v>
      </c>
      <c r="H2786" s="49" t="n">
        <f aca="false">'Fat Dir Terceiro'!F55</f>
        <v>3</v>
      </c>
      <c r="I2786" s="35" t="n">
        <f aca="false">'Fat Dir Terceiro'!G55</f>
        <v>399</v>
      </c>
      <c r="J2786" s="34" t="str">
        <f aca="false">'Fat Dir Terceiro'!M55</f>
        <v>4.3.4.003 - Fardamentos</v>
      </c>
      <c r="K2786" s="32" t="str">
        <f aca="false">INDEX('Curva ABC'!$K$8:$K$2847,MATCH(D2786,'Curva ABC'!$B$8:$B$2847,0))</f>
        <v>C</v>
      </c>
    </row>
    <row r="2787" customFormat="false" ht="15" hidden="false" customHeight="false" outlineLevel="0" collapsed="false">
      <c r="A2787" s="34" t="s">
        <v>5800</v>
      </c>
      <c r="B2787" s="34" t="str">
        <f aca="false">'Fat Dir Terceiro'!A56</f>
        <v>0346</v>
      </c>
      <c r="C2787" s="34" t="str">
        <f aca="false">'Fat Dir Terceiro'!B56</f>
        <v>UFV NORONHA VERDE - ESTOQUE MATRIZ FIL 1</v>
      </c>
      <c r="D2787" s="33" t="n">
        <f aca="false">'Fat Dir Terceiro'!C56</f>
        <v>35313</v>
      </c>
      <c r="E2787" s="34" t="str">
        <f aca="false">'Fat Dir Terceiro'!D56</f>
        <v>26.13.0053</v>
      </c>
      <c r="F2787" s="34" t="str">
        <f aca="false">'Fat Dir Terceiro'!E56</f>
        <v>PEÇA BORDADA</v>
      </c>
      <c r="G2787" s="34" t="str">
        <f aca="false">'Fat Dir Terceiro'!J56</f>
        <v>UN</v>
      </c>
      <c r="H2787" s="49" t="n">
        <f aca="false">'Fat Dir Terceiro'!F56</f>
        <v>3</v>
      </c>
      <c r="I2787" s="35" t="n">
        <f aca="false">'Fat Dir Terceiro'!G56</f>
        <v>99</v>
      </c>
      <c r="J2787" s="34" t="str">
        <f aca="false">'Fat Dir Terceiro'!M56</f>
        <v>4.3.4.003 - Fardamentos</v>
      </c>
      <c r="K2787" s="32" t="str">
        <f aca="false">INDEX('Curva ABC'!$K$8:$K$2847,MATCH(D2787,'Curva ABC'!$B$8:$B$2847,0))</f>
        <v>C</v>
      </c>
    </row>
    <row r="2788" customFormat="false" ht="15" hidden="false" customHeight="false" outlineLevel="0" collapsed="false">
      <c r="A2788" s="34" t="s">
        <v>5801</v>
      </c>
      <c r="B2788" s="34" t="str">
        <f aca="false">Imobilizado!A2</f>
        <v>0338</v>
      </c>
      <c r="C2788" s="34" t="str">
        <f aca="false">Imobilizado!B2</f>
        <v>UFV NORONHA VERDE - IMOBILIZADO</v>
      </c>
      <c r="D2788" s="33" t="n">
        <f aca="false">Imobilizado!C2</f>
        <v>18182</v>
      </c>
      <c r="E2788" s="34" t="str">
        <f aca="false">Imobilizado!D2</f>
        <v>24.25.0003</v>
      </c>
      <c r="F2788" s="34" t="str">
        <f aca="false">Imobilizado!E2</f>
        <v>SERRA CIRCULAR 7.1/4” 1800W 5800RPM CORTE 90GR 62,00MM CORTE 45GR 47,00MM EIXO 5/8” 200V</v>
      </c>
      <c r="G2788" s="34" t="str">
        <f aca="false">Imobilizado!J2</f>
        <v>UN</v>
      </c>
      <c r="H2788" s="49" t="n">
        <f aca="false">Imobilizado!F2</f>
        <v>2</v>
      </c>
      <c r="I2788" s="35" t="n">
        <f aca="false">Imobilizado!G2</f>
        <v>4023.18</v>
      </c>
      <c r="J2788" s="34" t="str">
        <f aca="false">Imobilizado!M2</f>
        <v>3.8.2.003 - Ferramentas elétricas/pneumáticas</v>
      </c>
      <c r="K2788" s="32" t="str">
        <f aca="false">INDEX('Curva ABC'!$K$8:$K$2847,MATCH(D2788,'Curva ABC'!$B$8:$B$2847,0))</f>
        <v>B</v>
      </c>
    </row>
    <row r="2789" customFormat="false" ht="15" hidden="false" customHeight="false" outlineLevel="0" collapsed="false">
      <c r="A2789" s="34" t="s">
        <v>5801</v>
      </c>
      <c r="B2789" s="34" t="str">
        <f aca="false">Imobilizado!A3</f>
        <v>0338</v>
      </c>
      <c r="C2789" s="34" t="str">
        <f aca="false">Imobilizado!B3</f>
        <v>UFV NORONHA VERDE - IMOBILIZADO</v>
      </c>
      <c r="D2789" s="33" t="n">
        <f aca="false">Imobilizado!C3</f>
        <v>18853</v>
      </c>
      <c r="E2789" s="34" t="str">
        <f aca="false">Imobilizado!D3</f>
        <v>26.04.0002</v>
      </c>
      <c r="F2789" s="34" t="str">
        <f aca="false">Imobilizado!E3</f>
        <v>CORDA PARA LINHA DE VIDA (TIPO BOMBEIRO/RAPEL) DE POLIAMIDA - TRAÇADO TRIPLO E ALMA CENTRAL C/ ALERT</v>
      </c>
      <c r="G2789" s="34" t="str">
        <f aca="false">Imobilizado!J3</f>
        <v>M</v>
      </c>
      <c r="H2789" s="49" t="n">
        <f aca="false">Imobilizado!F3</f>
        <v>150</v>
      </c>
      <c r="I2789" s="35" t="n">
        <f aca="false">Imobilizado!G3</f>
        <v>602.46</v>
      </c>
      <c r="J2789" s="34" t="str">
        <f aca="false">Imobilizado!M3</f>
        <v>4.3.4.001 - Equipamento de proteção individual</v>
      </c>
      <c r="K2789" s="32" t="str">
        <f aca="false">INDEX('Curva ABC'!$K$8:$K$2847,MATCH(D2789,'Curva ABC'!$B$8:$B$2847,0))</f>
        <v>B</v>
      </c>
    </row>
    <row r="2790" customFormat="false" ht="15" hidden="false" customHeight="false" outlineLevel="0" collapsed="false">
      <c r="A2790" s="34" t="s">
        <v>5801</v>
      </c>
      <c r="B2790" s="34" t="str">
        <f aca="false">Imobilizado!A4</f>
        <v>0338</v>
      </c>
      <c r="C2790" s="34" t="str">
        <f aca="false">Imobilizado!B4</f>
        <v>UFV NORONHA VERDE - IMOBILIZADO</v>
      </c>
      <c r="D2790" s="33" t="n">
        <f aca="false">Imobilizado!C4</f>
        <v>19215</v>
      </c>
      <c r="E2790" s="34" t="str">
        <f aca="false">Imobilizado!D4</f>
        <v>29.02.0001</v>
      </c>
      <c r="F2790" s="34" t="str">
        <f aca="false">Imobilizado!E4</f>
        <v>CADEIRA ESCRITÓRIO SECRETÁRIA GIRATÓRIA C/BRAÇO</v>
      </c>
      <c r="G2790" s="34" t="str">
        <f aca="false">Imobilizado!J4</f>
        <v>UN</v>
      </c>
      <c r="H2790" s="49" t="n">
        <f aca="false">Imobilizado!F4</f>
        <v>48</v>
      </c>
      <c r="I2790" s="35" t="n">
        <f aca="false">Imobilizado!G4</f>
        <v>14880</v>
      </c>
      <c r="J2790" s="34" t="str">
        <f aca="false">Imobilizado!M4</f>
        <v>4.1.1.008 - Mobiliário e acessórios</v>
      </c>
      <c r="K2790" s="32" t="str">
        <f aca="false">INDEX('Curva ABC'!$K$8:$K$2847,MATCH(D2790,'Curva ABC'!$B$8:$B$2847,0))</f>
        <v>A</v>
      </c>
    </row>
    <row r="2791" customFormat="false" ht="15" hidden="false" customHeight="false" outlineLevel="0" collapsed="false">
      <c r="A2791" s="34" t="s">
        <v>5801</v>
      </c>
      <c r="B2791" s="34" t="str">
        <f aca="false">Imobilizado!A5</f>
        <v>0338</v>
      </c>
      <c r="C2791" s="34" t="str">
        <f aca="false">Imobilizado!B5</f>
        <v>UFV NORONHA VERDE - IMOBILIZADO</v>
      </c>
      <c r="D2791" s="33" t="n">
        <f aca="false">Imobilizado!C5</f>
        <v>19240</v>
      </c>
      <c r="E2791" s="34" t="str">
        <f aca="false">Imobilizado!D5</f>
        <v>29.02.0026</v>
      </c>
      <c r="F2791" s="34" t="str">
        <f aca="false">Imobilizado!E5</f>
        <v>CAMA BELICHE</v>
      </c>
      <c r="G2791" s="34" t="str">
        <f aca="false">Imobilizado!J5</f>
        <v>UN</v>
      </c>
      <c r="H2791" s="49" t="n">
        <f aca="false">Imobilizado!F5</f>
        <v>105</v>
      </c>
      <c r="I2791" s="35" t="n">
        <f aca="false">Imobilizado!G5</f>
        <v>81927.72</v>
      </c>
      <c r="J2791" s="34" t="str">
        <f aca="false">Imobilizado!M5</f>
        <v>4.1.1.008 - Mobiliário e acessórios</v>
      </c>
      <c r="K2791" s="32" t="str">
        <f aca="false">INDEX('Curva ABC'!$K$8:$K$2847,MATCH(D2791,'Curva ABC'!$B$8:$B$2847,0))</f>
        <v>A</v>
      </c>
    </row>
    <row r="2792" customFormat="false" ht="15" hidden="false" customHeight="false" outlineLevel="0" collapsed="false">
      <c r="A2792" s="34" t="s">
        <v>5801</v>
      </c>
      <c r="B2792" s="34" t="str">
        <f aca="false">Imobilizado!A6</f>
        <v>0338</v>
      </c>
      <c r="C2792" s="34" t="str">
        <f aca="false">Imobilizado!B6</f>
        <v>UFV NORONHA VERDE - IMOBILIZADO</v>
      </c>
      <c r="D2792" s="33" t="n">
        <f aca="false">Imobilizado!C6</f>
        <v>19247</v>
      </c>
      <c r="E2792" s="34" t="str">
        <f aca="false">Imobilizado!D6</f>
        <v>29.02.0033</v>
      </c>
      <c r="F2792" s="34" t="str">
        <f aca="false">Imobilizado!E6</f>
        <v>ARMÁRIO ROUPEIRO INSALUBRE 2 COLUNAS 4 PORTAS GRANDES PITÃO PARA CADEADO</v>
      </c>
      <c r="G2792" s="34" t="str">
        <f aca="false">Imobilizado!J6</f>
        <v>UN</v>
      </c>
      <c r="H2792" s="49" t="n">
        <f aca="false">Imobilizado!F6</f>
        <v>80</v>
      </c>
      <c r="I2792" s="35" t="n">
        <f aca="false">Imobilizado!G6</f>
        <v>82000</v>
      </c>
      <c r="J2792" s="34" t="str">
        <f aca="false">Imobilizado!M6</f>
        <v>4.1.1.008 - Mobiliário e acessórios</v>
      </c>
      <c r="K2792" s="32" t="str">
        <f aca="false">INDEX('Curva ABC'!$K$8:$K$2847,MATCH(D2792,'Curva ABC'!$B$8:$B$2847,0))</f>
        <v>A</v>
      </c>
    </row>
    <row r="2793" customFormat="false" ht="15" hidden="false" customHeight="false" outlineLevel="0" collapsed="false">
      <c r="A2793" s="34" t="s">
        <v>5801</v>
      </c>
      <c r="B2793" s="34" t="str">
        <f aca="false">Imobilizado!A7</f>
        <v>0338</v>
      </c>
      <c r="C2793" s="34" t="str">
        <f aca="false">Imobilizado!B7</f>
        <v>UFV NORONHA VERDE - IMOBILIZADO</v>
      </c>
      <c r="D2793" s="33" t="n">
        <f aca="false">Imobilizado!C7</f>
        <v>19255</v>
      </c>
      <c r="E2793" s="34" t="str">
        <f aca="false">Imobilizado!D7</f>
        <v>29.03.0003</v>
      </c>
      <c r="F2793" s="34" t="str">
        <f aca="false">Imobilizado!E7</f>
        <v>AR CONDICIONADO 12000 BTU/H 220V SPLIT DIGITAL CICLO QUENTE/FRIO</v>
      </c>
      <c r="G2793" s="34" t="str">
        <f aca="false">Imobilizado!J7</f>
        <v>UN</v>
      </c>
      <c r="H2793" s="49" t="n">
        <f aca="false">Imobilizado!F7</f>
        <v>14</v>
      </c>
      <c r="I2793" s="35" t="n">
        <f aca="false">Imobilizado!G7</f>
        <v>28685.02</v>
      </c>
      <c r="J2793" s="34" t="str">
        <f aca="false">Imobilizado!M7</f>
        <v>4.1.1.009 - Eletro eletrônico e acessórios</v>
      </c>
      <c r="K2793" s="32" t="str">
        <f aca="false">INDEX('Curva ABC'!$K$8:$K$2847,MATCH(D2793,'Curva ABC'!$B$8:$B$2847,0))</f>
        <v>A</v>
      </c>
    </row>
    <row r="2794" customFormat="false" ht="15" hidden="false" customHeight="false" outlineLevel="0" collapsed="false">
      <c r="A2794" s="34" t="s">
        <v>5801</v>
      </c>
      <c r="B2794" s="34" t="str">
        <f aca="false">Imobilizado!A8</f>
        <v>0338</v>
      </c>
      <c r="C2794" s="34" t="str">
        <f aca="false">Imobilizado!B8</f>
        <v>UFV NORONHA VERDE - IMOBILIZADO</v>
      </c>
      <c r="D2794" s="33" t="n">
        <f aca="false">Imobilizado!C8</f>
        <v>19272</v>
      </c>
      <c r="E2794" s="34" t="str">
        <f aca="false">Imobilizado!D8</f>
        <v>29.03.0020</v>
      </c>
      <c r="F2794" s="34" t="str">
        <f aca="false">Imobilizado!E8</f>
        <v>BEBEDOURO DE COLUNA GELÁGUA</v>
      </c>
      <c r="G2794" s="34" t="str">
        <f aca="false">Imobilizado!J8</f>
        <v>UN</v>
      </c>
      <c r="H2794" s="49" t="n">
        <f aca="false">Imobilizado!F8</f>
        <v>3</v>
      </c>
      <c r="I2794" s="35" t="n">
        <f aca="false">Imobilizado!G8</f>
        <v>2396.4099</v>
      </c>
      <c r="J2794" s="34" t="str">
        <f aca="false">Imobilizado!M8</f>
        <v>4.1.1.009 - Eletro eletrônico e acessórios</v>
      </c>
      <c r="K2794" s="32" t="str">
        <f aca="false">INDEX('Curva ABC'!$K$8:$K$2847,MATCH(D2794,'Curva ABC'!$B$8:$B$2847,0))</f>
        <v>B</v>
      </c>
    </row>
    <row r="2795" customFormat="false" ht="15" hidden="false" customHeight="false" outlineLevel="0" collapsed="false">
      <c r="A2795" s="34" t="s">
        <v>5801</v>
      </c>
      <c r="B2795" s="34" t="str">
        <f aca="false">Imobilizado!A9</f>
        <v>0338</v>
      </c>
      <c r="C2795" s="34" t="str">
        <f aca="false">Imobilizado!B9</f>
        <v>UFV NORONHA VERDE - IMOBILIZADO</v>
      </c>
      <c r="D2795" s="33" t="n">
        <f aca="false">Imobilizado!C9</f>
        <v>21649</v>
      </c>
      <c r="E2795" s="34" t="str">
        <f aca="false">Imobilizado!D9</f>
        <v>14.08.0001</v>
      </c>
      <c r="F2795" s="34" t="str">
        <f aca="false">Imobilizado!E9</f>
        <v>TENDA 3,00M X 3,00M</v>
      </c>
      <c r="G2795" s="34" t="str">
        <f aca="false">Imobilizado!J9</f>
        <v>UN</v>
      </c>
      <c r="H2795" s="49" t="n">
        <f aca="false">Imobilizado!F9</f>
        <v>17</v>
      </c>
      <c r="I2795" s="35" t="n">
        <f aca="false">Imobilizado!G9</f>
        <v>40442.0004</v>
      </c>
      <c r="J2795" s="34" t="str">
        <f aca="false">Imobilizado!M9</f>
        <v>3.8.1.014 - Cobertura</v>
      </c>
      <c r="K2795" s="32" t="str">
        <f aca="false">INDEX('Curva ABC'!$K$8:$K$2847,MATCH(D2795,'Curva ABC'!$B$8:$B$2847,0))</f>
        <v>A</v>
      </c>
    </row>
    <row r="2796" customFormat="false" ht="15" hidden="false" customHeight="false" outlineLevel="0" collapsed="false">
      <c r="A2796" s="34" t="s">
        <v>5801</v>
      </c>
      <c r="B2796" s="34" t="str">
        <f aca="false">Imobilizado!A10</f>
        <v>0338</v>
      </c>
      <c r="C2796" s="34" t="str">
        <f aca="false">Imobilizado!B10</f>
        <v>UFV NORONHA VERDE - IMOBILIZADO</v>
      </c>
      <c r="D2796" s="33" t="n">
        <f aca="false">Imobilizado!C10</f>
        <v>22157</v>
      </c>
      <c r="E2796" s="34" t="str">
        <f aca="false">Imobilizado!D10</f>
        <v>29.03.0044</v>
      </c>
      <c r="F2796" s="34" t="str">
        <f aca="false">Imobilizado!E10</f>
        <v>AR CONDICIONADO 18000 BTU/H 220V SPLIT</v>
      </c>
      <c r="G2796" s="34" t="str">
        <f aca="false">Imobilizado!J10</f>
        <v>UN</v>
      </c>
      <c r="H2796" s="49" t="n">
        <f aca="false">Imobilizado!F10</f>
        <v>44</v>
      </c>
      <c r="I2796" s="35" t="n">
        <f aca="false">Imobilizado!G10</f>
        <v>127377.6812</v>
      </c>
      <c r="J2796" s="34" t="str">
        <f aca="false">Imobilizado!M10</f>
        <v>4.1.1.009 - Eletro eletrônico e acessórios</v>
      </c>
      <c r="K2796" s="32" t="str">
        <f aca="false">INDEX('Curva ABC'!$K$8:$K$2847,MATCH(D2796,'Curva ABC'!$B$8:$B$2847,0))</f>
        <v>A</v>
      </c>
    </row>
    <row r="2797" customFormat="false" ht="15" hidden="false" customHeight="false" outlineLevel="0" collapsed="false">
      <c r="A2797" s="34" t="s">
        <v>5801</v>
      </c>
      <c r="B2797" s="34" t="str">
        <f aca="false">Imobilizado!A11</f>
        <v>0338</v>
      </c>
      <c r="C2797" s="34" t="str">
        <f aca="false">Imobilizado!B11</f>
        <v>UFV NORONHA VERDE - IMOBILIZADO</v>
      </c>
      <c r="D2797" s="33" t="n">
        <f aca="false">Imobilizado!C11</f>
        <v>22163</v>
      </c>
      <c r="E2797" s="34" t="str">
        <f aca="false">Imobilizado!D11</f>
        <v>29.03.0045</v>
      </c>
      <c r="F2797" s="34" t="str">
        <f aca="false">Imobilizado!E11</f>
        <v>AR CONDICIONADO 9000 BTU/H 220V SPLIT</v>
      </c>
      <c r="G2797" s="34" t="str">
        <f aca="false">Imobilizado!J11</f>
        <v>UN</v>
      </c>
      <c r="H2797" s="49" t="n">
        <f aca="false">Imobilizado!F11</f>
        <v>9</v>
      </c>
      <c r="I2797" s="35" t="n">
        <f aca="false">Imobilizado!G11</f>
        <v>17043.39</v>
      </c>
      <c r="J2797" s="34" t="str">
        <f aca="false">Imobilizado!M11</f>
        <v>4.1.1.009 - Eletro eletrônico e acessórios</v>
      </c>
      <c r="K2797" s="32" t="str">
        <f aca="false">INDEX('Curva ABC'!$K$8:$K$2847,MATCH(D2797,'Curva ABC'!$B$8:$B$2847,0))</f>
        <v>A</v>
      </c>
    </row>
    <row r="2798" customFormat="false" ht="15" hidden="false" customHeight="false" outlineLevel="0" collapsed="false">
      <c r="A2798" s="34" t="s">
        <v>5801</v>
      </c>
      <c r="B2798" s="34" t="str">
        <f aca="false">Imobilizado!A12</f>
        <v>0338</v>
      </c>
      <c r="C2798" s="34" t="str">
        <f aca="false">Imobilizado!B12</f>
        <v>UFV NORONHA VERDE - IMOBILIZADO</v>
      </c>
      <c r="D2798" s="33" t="n">
        <f aca="false">Imobilizado!C12</f>
        <v>22239</v>
      </c>
      <c r="E2798" s="34" t="str">
        <f aca="false">Imobilizado!D12</f>
        <v>24.43.0001</v>
      </c>
      <c r="F2798" s="34" t="str">
        <f aca="false">Imobilizado!E12</f>
        <v>PALETEIRA MANUAL 2.500KG</v>
      </c>
      <c r="G2798" s="34" t="str">
        <f aca="false">Imobilizado!J12</f>
        <v>UN</v>
      </c>
      <c r="H2798" s="49" t="n">
        <f aca="false">Imobilizado!F12</f>
        <v>2</v>
      </c>
      <c r="I2798" s="35" t="n">
        <f aca="false">Imobilizado!G12</f>
        <v>7336.78</v>
      </c>
      <c r="J2798" s="34" t="str">
        <f aca="false">Imobilizado!M12</f>
        <v>3.8.2.002 - Ferramentas manuais</v>
      </c>
      <c r="K2798" s="32" t="str">
        <f aca="false">INDEX('Curva ABC'!$K$8:$K$2847,MATCH(D2798,'Curva ABC'!$B$8:$B$2847,0))</f>
        <v>B</v>
      </c>
    </row>
    <row r="2799" customFormat="false" ht="15" hidden="false" customHeight="false" outlineLevel="0" collapsed="false">
      <c r="A2799" s="34" t="s">
        <v>5801</v>
      </c>
      <c r="B2799" s="34" t="str">
        <f aca="false">Imobilizado!A13</f>
        <v>0338</v>
      </c>
      <c r="C2799" s="34" t="str">
        <f aca="false">Imobilizado!B13</f>
        <v>UFV NORONHA VERDE - IMOBILIZADO</v>
      </c>
      <c r="D2799" s="33" t="n">
        <f aca="false">Imobilizado!C13</f>
        <v>32009</v>
      </c>
      <c r="E2799" s="34" t="str">
        <f aca="false">Imobilizado!D13</f>
        <v>29.03.0077</v>
      </c>
      <c r="F2799" s="34" t="str">
        <f aca="false">Imobilizado!E13</f>
        <v>AR CONDICIONADO 9000 BTU/H 220V SPLIT DIGITAL CICLO QUENTE/FRIO'</v>
      </c>
      <c r="G2799" s="34" t="str">
        <f aca="false">Imobilizado!J13</f>
        <v>UN</v>
      </c>
      <c r="H2799" s="49" t="n">
        <f aca="false">Imobilizado!F13</f>
        <v>1</v>
      </c>
      <c r="I2799" s="35" t="n">
        <f aca="false">Imobilizado!G13</f>
        <v>1648.75</v>
      </c>
      <c r="J2799" s="34" t="str">
        <f aca="false">Imobilizado!M13</f>
        <v>4.1.1.009 - Eletro eletrônico e acessórios</v>
      </c>
      <c r="K2799" s="32" t="str">
        <f aca="false">INDEX('Curva ABC'!$K$8:$K$2847,MATCH(D2799,'Curva ABC'!$B$8:$B$2847,0))</f>
        <v>B</v>
      </c>
    </row>
    <row r="2800" customFormat="false" ht="15" hidden="false" customHeight="false" outlineLevel="0" collapsed="false">
      <c r="A2800" s="34" t="s">
        <v>5801</v>
      </c>
      <c r="B2800" s="34" t="str">
        <f aca="false">Imobilizado!A14</f>
        <v>0338</v>
      </c>
      <c r="C2800" s="34" t="str">
        <f aca="false">Imobilizado!B14</f>
        <v>UFV NORONHA VERDE - IMOBILIZADO</v>
      </c>
      <c r="D2800" s="33" t="n">
        <f aca="false">Imobilizado!C14</f>
        <v>32022</v>
      </c>
      <c r="E2800" s="34" t="str">
        <f aca="false">Imobilizado!D14</f>
        <v>29.03.0079</v>
      </c>
      <c r="F2800" s="34" t="str">
        <f aca="false">Imobilizado!E14</f>
        <v>BEBEDOURO INDUSTRIAL COM 04 TORNEIRAS 200LTS -  220V / 380W - 60HZ</v>
      </c>
      <c r="G2800" s="34" t="str">
        <f aca="false">Imobilizado!J14</f>
        <v>UN</v>
      </c>
      <c r="H2800" s="49" t="n">
        <f aca="false">Imobilizado!F14</f>
        <v>2</v>
      </c>
      <c r="I2800" s="35" t="n">
        <f aca="false">Imobilizado!G14</f>
        <v>7200</v>
      </c>
      <c r="J2800" s="34" t="str">
        <f aca="false">Imobilizado!M14</f>
        <v>4.1.1.009 - Eletro eletrônico e acessórios</v>
      </c>
      <c r="K2800" s="32" t="str">
        <f aca="false">INDEX('Curva ABC'!$K$8:$K$2847,MATCH(D2800,'Curva ABC'!$B$8:$B$2847,0))</f>
        <v>B</v>
      </c>
    </row>
    <row r="2801" customFormat="false" ht="15" hidden="false" customHeight="false" outlineLevel="0" collapsed="false">
      <c r="A2801" s="34" t="s">
        <v>5801</v>
      </c>
      <c r="B2801" s="34" t="str">
        <f aca="false">Imobilizado!A15</f>
        <v>0338</v>
      </c>
      <c r="C2801" s="34" t="str">
        <f aca="false">Imobilizado!B15</f>
        <v>UFV NORONHA VERDE - IMOBILIZADO</v>
      </c>
      <c r="D2801" s="33" t="n">
        <f aca="false">Imobilizado!C15</f>
        <v>34228</v>
      </c>
      <c r="E2801" s="34" t="str">
        <f aca="false">Imobilizado!D15</f>
        <v>32.12.0018</v>
      </c>
      <c r="F2801" s="34" t="str">
        <f aca="false">Imobilizado!E15</f>
        <v>VARA DE MANOBRA COM EXTREMIDADE PARA DESLIGAMENTO DE CHAVE  VISIVEL  COM BOLSA NBR 10283</v>
      </c>
      <c r="G2801" s="34" t="str">
        <f aca="false">Imobilizado!J15</f>
        <v>UN</v>
      </c>
      <c r="H2801" s="49" t="n">
        <f aca="false">Imobilizado!F15</f>
        <v>3</v>
      </c>
      <c r="I2801" s="35" t="n">
        <f aca="false">Imobilizado!G15</f>
        <v>13650</v>
      </c>
      <c r="J2801" s="34" t="str">
        <f aca="false">Imobilizado!M15</f>
        <v>4.1.1.011 - Instrumentos para medição</v>
      </c>
      <c r="K2801" s="32" t="str">
        <f aca="false">INDEX('Curva ABC'!$K$8:$K$2847,MATCH(D2801,'Curva ABC'!$B$8:$B$2847,0))</f>
        <v>A</v>
      </c>
    </row>
    <row r="2802" customFormat="false" ht="15" hidden="false" customHeight="false" outlineLevel="0" collapsed="false">
      <c r="A2802" s="34" t="s">
        <v>5801</v>
      </c>
      <c r="B2802" s="34" t="str">
        <f aca="false">Imobilizado!A16</f>
        <v>0338</v>
      </c>
      <c r="C2802" s="34" t="str">
        <f aca="false">Imobilizado!B16</f>
        <v>UFV NORONHA VERDE - IMOBILIZADO</v>
      </c>
      <c r="D2802" s="33" t="n">
        <f aca="false">Imobilizado!C16</f>
        <v>34380</v>
      </c>
      <c r="E2802" s="34" t="str">
        <f aca="false">Imobilizado!D16</f>
        <v>27.02.0040</v>
      </c>
      <c r="F2802" s="34" t="str">
        <f aca="false">Imobilizado!E16</f>
        <v>DESFIBRILADOR PORTATIL</v>
      </c>
      <c r="G2802" s="34" t="str">
        <f aca="false">Imobilizado!J16</f>
        <v>UN</v>
      </c>
      <c r="H2802" s="49" t="n">
        <f aca="false">Imobilizado!F16</f>
        <v>1</v>
      </c>
      <c r="I2802" s="35" t="n">
        <f aca="false">Imobilizado!G16</f>
        <v>6400</v>
      </c>
      <c r="J2802" s="34" t="str">
        <f aca="false">Imobilizado!M16</f>
        <v>4.3.4.007 - Mobiliário médico/equipamentos/acessórios</v>
      </c>
      <c r="K2802" s="32" t="str">
        <f aca="false">INDEX('Curva ABC'!$K$8:$K$2847,MATCH(D2802,'Curva ABC'!$B$8:$B$2847,0))</f>
        <v>B</v>
      </c>
    </row>
    <row r="2803" customFormat="false" ht="15" hidden="false" customHeight="false" outlineLevel="0" collapsed="false">
      <c r="A2803" s="34" t="s">
        <v>5801</v>
      </c>
      <c r="B2803" s="34" t="str">
        <f aca="false">Imobilizado!A17</f>
        <v>0338</v>
      </c>
      <c r="C2803" s="34" t="str">
        <f aca="false">Imobilizado!B17</f>
        <v>UFV NORONHA VERDE - IMOBILIZADO</v>
      </c>
      <c r="D2803" s="33" t="n">
        <f aca="false">Imobilizado!C17</f>
        <v>35056</v>
      </c>
      <c r="E2803" s="34" t="str">
        <f aca="false">Imobilizado!D17</f>
        <v>26.04.0008</v>
      </c>
      <c r="F2803" s="34" t="str">
        <f aca="false">Imobilizado!E17</f>
        <v>MOSQUETÃO DE AÇO OVAL COM DUPLA TRAVA MANUAL</v>
      </c>
      <c r="G2803" s="34" t="str">
        <f aca="false">Imobilizado!J17</f>
        <v>UN</v>
      </c>
      <c r="H2803" s="49" t="n">
        <f aca="false">Imobilizado!F17</f>
        <v>4</v>
      </c>
      <c r="I2803" s="35" t="n">
        <f aca="false">Imobilizado!G17</f>
        <v>86.88</v>
      </c>
      <c r="J2803" s="34" t="str">
        <f aca="false">Imobilizado!M17</f>
        <v>4.3.4.001 - Equipamento de proteção individual</v>
      </c>
      <c r="K2803" s="32" t="str">
        <f aca="false">INDEX('Curva ABC'!$K$8:$K$2847,MATCH(D2803,'Curva ABC'!$B$8:$B$2847,0))</f>
        <v>C</v>
      </c>
    </row>
    <row r="2804" customFormat="false" ht="15" hidden="false" customHeight="false" outlineLevel="0" collapsed="false">
      <c r="A2804" s="34" t="s">
        <v>5801</v>
      </c>
      <c r="B2804" s="34" t="str">
        <f aca="false">Imobilizado!A18</f>
        <v>0338</v>
      </c>
      <c r="C2804" s="34" t="str">
        <f aca="false">Imobilizado!B18</f>
        <v>UFV NORONHA VERDE - IMOBILIZADO</v>
      </c>
      <c r="D2804" s="33" t="n">
        <f aca="false">Imobilizado!C18</f>
        <v>35350</v>
      </c>
      <c r="E2804" s="34" t="str">
        <f aca="false">Imobilizado!D18</f>
        <v>29.03.0109</v>
      </c>
      <c r="F2804" s="34" t="str">
        <f aca="false">Imobilizado!E18</f>
        <v>LAVADORA E SECADORA DE ROUPA</v>
      </c>
      <c r="G2804" s="34" t="str">
        <f aca="false">Imobilizado!J18</f>
        <v>UN</v>
      </c>
      <c r="H2804" s="49" t="n">
        <f aca="false">Imobilizado!F18</f>
        <v>2</v>
      </c>
      <c r="I2804" s="35" t="n">
        <f aca="false">Imobilizado!G18</f>
        <v>5778</v>
      </c>
      <c r="J2804" s="34" t="str">
        <f aca="false">Imobilizado!M18</f>
        <v>4.1.1.009 - Eletro eletrônico e acessórios</v>
      </c>
      <c r="K2804" s="32" t="str">
        <f aca="false">INDEX('Curva ABC'!$K$8:$K$2847,MATCH(D2804,'Curva ABC'!$B$8:$B$2847,0))</f>
        <v>B</v>
      </c>
    </row>
    <row r="2805" customFormat="false" ht="15" hidden="false" customHeight="false" outlineLevel="0" collapsed="false">
      <c r="A2805" s="34" t="s">
        <v>5801</v>
      </c>
      <c r="B2805" s="34" t="str">
        <f aca="false">Imobilizado!A19</f>
        <v>0338</v>
      </c>
      <c r="C2805" s="34" t="str">
        <f aca="false">Imobilizado!B19</f>
        <v>UFV NORONHA VERDE - IMOBILIZADO</v>
      </c>
      <c r="D2805" s="33" t="n">
        <f aca="false">Imobilizado!C19</f>
        <v>54997</v>
      </c>
      <c r="E2805" s="34" t="str">
        <f aca="false">Imobilizado!D19</f>
        <v>32.02.0033</v>
      </c>
      <c r="F2805" s="34" t="str">
        <f aca="false">Imobilizado!E19</f>
        <v>BALANÇA DE IÇAMENTO DE CARGA CAPACIDADE 5,0T</v>
      </c>
      <c r="G2805" s="34" t="str">
        <f aca="false">Imobilizado!J19</f>
        <v>UN</v>
      </c>
      <c r="H2805" s="49" t="n">
        <f aca="false">Imobilizado!F19</f>
        <v>2</v>
      </c>
      <c r="I2805" s="35" t="n">
        <f aca="false">Imobilizado!G19</f>
        <v>5000</v>
      </c>
      <c r="J2805" s="34" t="str">
        <f aca="false">Imobilizado!M19</f>
        <v>6.1.2.001 - Equipamentos</v>
      </c>
      <c r="K2805" s="32" t="str">
        <f aca="false">INDEX('Curva ABC'!$K$8:$K$2847,MATCH(D2805,'Curva ABC'!$B$8:$B$2847,0))</f>
        <v>B</v>
      </c>
    </row>
    <row r="2806" customFormat="false" ht="15" hidden="false" customHeight="false" outlineLevel="0" collapsed="false">
      <c r="A2806" s="34" t="s">
        <v>5801</v>
      </c>
      <c r="B2806" s="34" t="str">
        <f aca="false">Imobilizado!A20</f>
        <v>0338</v>
      </c>
      <c r="C2806" s="34" t="str">
        <f aca="false">Imobilizado!B20</f>
        <v>UFV NORONHA VERDE - IMOBILIZADO</v>
      </c>
      <c r="D2806" s="33" t="n">
        <f aca="false">Imobilizado!C20</f>
        <v>55180</v>
      </c>
      <c r="E2806" s="34" t="str">
        <f aca="false">Imobilizado!D20</f>
        <v>22.02.0003</v>
      </c>
      <c r="F2806" s="34" t="str">
        <f aca="false">Imobilizado!E20</f>
        <v>MESA DE SINUCA</v>
      </c>
      <c r="G2806" s="34" t="str">
        <f aca="false">Imobilizado!J20</f>
        <v>UN</v>
      </c>
      <c r="H2806" s="49" t="n">
        <f aca="false">Imobilizado!F20</f>
        <v>3</v>
      </c>
      <c r="I2806" s="35" t="n">
        <f aca="false">Imobilizado!G20</f>
        <v>9597</v>
      </c>
      <c r="J2806" s="34" t="str">
        <f aca="false">Imobilizado!M20</f>
        <v>3.8.1.021 - Equipamentos recreativos e esportivos</v>
      </c>
      <c r="K2806" s="32" t="str">
        <f aca="false">INDEX('Curva ABC'!$K$8:$K$2847,MATCH(D2806,'Curva ABC'!$B$8:$B$2847,0))</f>
        <v>A</v>
      </c>
    </row>
    <row r="2807" customFormat="false" ht="15" hidden="false" customHeight="false" outlineLevel="0" collapsed="false">
      <c r="A2807" s="34" t="s">
        <v>5801</v>
      </c>
      <c r="B2807" s="34" t="str">
        <f aca="false">Imobilizado!A21</f>
        <v>0338</v>
      </c>
      <c r="C2807" s="34" t="str">
        <f aca="false">Imobilizado!B21</f>
        <v>UFV NORONHA VERDE - IMOBILIZADO</v>
      </c>
      <c r="D2807" s="33" t="n">
        <f aca="false">Imobilizado!C21</f>
        <v>55182</v>
      </c>
      <c r="E2807" s="34" t="str">
        <f aca="false">Imobilizado!D21</f>
        <v>22.02.0004</v>
      </c>
      <c r="F2807" s="34" t="str">
        <f aca="false">Imobilizado!E21</f>
        <v>MESA DE PEBOLIM</v>
      </c>
      <c r="G2807" s="34" t="str">
        <f aca="false">Imobilizado!J21</f>
        <v>UN</v>
      </c>
      <c r="H2807" s="49" t="n">
        <f aca="false">Imobilizado!F21</f>
        <v>3</v>
      </c>
      <c r="I2807" s="35" t="n">
        <f aca="false">Imobilizado!G21</f>
        <v>5028</v>
      </c>
      <c r="J2807" s="34" t="str">
        <f aca="false">Imobilizado!M21</f>
        <v>3.8.1.021 - Equipamentos recreativos e esportivos</v>
      </c>
      <c r="K2807" s="32" t="str">
        <f aca="false">INDEX('Curva ABC'!$K$8:$K$2847,MATCH(D2807,'Curva ABC'!$B$8:$B$2847,0))</f>
        <v>B</v>
      </c>
    </row>
    <row r="2808" customFormat="false" ht="15" hidden="false" customHeight="false" outlineLevel="0" collapsed="false">
      <c r="A2808" s="34" t="s">
        <v>5801</v>
      </c>
      <c r="B2808" s="34" t="str">
        <f aca="false">Imobilizado!A22</f>
        <v>0338</v>
      </c>
      <c r="C2808" s="34" t="str">
        <f aca="false">Imobilizado!B22</f>
        <v>UFV NORONHA VERDE - IMOBILIZADO</v>
      </c>
      <c r="D2808" s="33" t="n">
        <f aca="false">Imobilizado!C22</f>
        <v>55644</v>
      </c>
      <c r="E2808" s="34" t="str">
        <f aca="false">Imobilizado!D22</f>
        <v>24.24.0015</v>
      </c>
      <c r="F2808" s="34" t="str">
        <f aca="false">Imobilizado!E22</f>
        <v>FURADEIRA DE IMPACTO 1/2 1100W 2 VELOC SDS PLUS</v>
      </c>
      <c r="G2808" s="34" t="str">
        <f aca="false">Imobilizado!J22</f>
        <v>UN</v>
      </c>
      <c r="H2808" s="49" t="n">
        <f aca="false">Imobilizado!F22</f>
        <v>2</v>
      </c>
      <c r="I2808" s="35" t="n">
        <f aca="false">Imobilizado!G22</f>
        <v>7360</v>
      </c>
      <c r="J2808" s="34" t="str">
        <f aca="false">Imobilizado!M22</f>
        <v>4.1.6.002 - Locação externa de equipamentos</v>
      </c>
      <c r="K2808" s="32" t="str">
        <f aca="false">INDEX('Curva ABC'!$K$8:$K$2847,MATCH(D2808,'Curva ABC'!$B$8:$B$2847,0))</f>
        <v>B</v>
      </c>
    </row>
    <row r="2809" customFormat="false" ht="15" hidden="false" customHeight="false" outlineLevel="0" collapsed="false">
      <c r="A2809" s="34" t="s">
        <v>5801</v>
      </c>
      <c r="B2809" s="34" t="str">
        <f aca="false">Imobilizado!A23</f>
        <v>0338</v>
      </c>
      <c r="C2809" s="34" t="str">
        <f aca="false">Imobilizado!B23</f>
        <v>UFV NORONHA VERDE - IMOBILIZADO</v>
      </c>
      <c r="D2809" s="33" t="n">
        <f aca="false">Imobilizado!C23</f>
        <v>55678</v>
      </c>
      <c r="E2809" s="34" t="str">
        <f aca="false">Imobilizado!D23</f>
        <v>32.07.0061</v>
      </c>
      <c r="F2809" s="34" t="str">
        <f aca="false">Imobilizado!E23</f>
        <v>MOTOSERRA A GASOLINA POTÊNCIA 3,4KW/4,6CV CILINDRADA 59,0 CM³ PESO 5,6 KG COMPRIMENTO DE CORTE 40CM</v>
      </c>
      <c r="G2809" s="34" t="str">
        <f aca="false">Imobilizado!J23</f>
        <v>UN</v>
      </c>
      <c r="H2809" s="49" t="n">
        <f aca="false">Imobilizado!F23</f>
        <v>2</v>
      </c>
      <c r="I2809" s="35" t="n">
        <f aca="false">Imobilizado!G23</f>
        <v>9399.98</v>
      </c>
      <c r="J2809" s="34" t="str">
        <f aca="false">Imobilizado!M23</f>
        <v>6.1.2.001 - Equipamentos</v>
      </c>
      <c r="K2809" s="32" t="str">
        <f aca="false">INDEX('Curva ABC'!$K$8:$K$2847,MATCH(D2809,'Curva ABC'!$B$8:$B$2847,0))</f>
        <v>A</v>
      </c>
    </row>
    <row r="2810" customFormat="false" ht="15" hidden="false" customHeight="false" outlineLevel="0" collapsed="false">
      <c r="A2810" s="34" t="s">
        <v>5801</v>
      </c>
      <c r="B2810" s="34" t="str">
        <f aca="false">Imobilizado!A24</f>
        <v>0338</v>
      </c>
      <c r="C2810" s="34" t="str">
        <f aca="false">Imobilizado!B24</f>
        <v>UFV NORONHA VERDE - IMOBILIZADO</v>
      </c>
      <c r="D2810" s="33" t="n">
        <f aca="false">Imobilizado!C24</f>
        <v>66128</v>
      </c>
      <c r="E2810" s="34" t="str">
        <f aca="false">Imobilizado!D24</f>
        <v>29.02.0220</v>
      </c>
      <c r="F2810" s="34" t="str">
        <f aca="false">Imobilizado!E24</f>
        <v>COLCHÃO DE ESPUMA SOLTEIRO 1,88M X 0,88M X 0,14M D-33</v>
      </c>
      <c r="G2810" s="34" t="str">
        <f aca="false">Imobilizado!J24</f>
        <v>UN</v>
      </c>
      <c r="H2810" s="49" t="n">
        <f aca="false">Imobilizado!F24</f>
        <v>320</v>
      </c>
      <c r="I2810" s="35" t="n">
        <f aca="false">Imobilizado!G24</f>
        <v>103200</v>
      </c>
      <c r="J2810" s="34" t="str">
        <f aca="false">Imobilizado!M24</f>
        <v>4.1.1.008 - Mobiliário e acessórios</v>
      </c>
      <c r="K2810" s="32" t="str">
        <f aca="false">INDEX('Curva ABC'!$K$8:$K$2847,MATCH(D2810,'Curva ABC'!$B$8:$B$2847,0))</f>
        <v>A</v>
      </c>
    </row>
    <row r="2811" customFormat="false" ht="15" hidden="false" customHeight="false" outlineLevel="0" collapsed="false">
      <c r="A2811" s="34" t="s">
        <v>5801</v>
      </c>
      <c r="B2811" s="34" t="str">
        <f aca="false">Imobilizado!A25</f>
        <v>0338</v>
      </c>
      <c r="C2811" s="34" t="str">
        <f aca="false">Imobilizado!B25</f>
        <v>UFV NORONHA VERDE - IMOBILIZADO</v>
      </c>
      <c r="D2811" s="33" t="n">
        <f aca="false">Imobilizado!C25</f>
        <v>140281</v>
      </c>
      <c r="E2811" s="34" t="str">
        <f aca="false">Imobilizado!D25</f>
        <v>25.21.0002</v>
      </c>
      <c r="F2811" s="34" t="str">
        <f aca="false">Imobilizado!E25</f>
        <v>CATRACA ELETRÔNICA</v>
      </c>
      <c r="G2811" s="34" t="str">
        <f aca="false">Imobilizado!J25</f>
        <v>UN</v>
      </c>
      <c r="H2811" s="49" t="n">
        <f aca="false">Imobilizado!F25</f>
        <v>2</v>
      </c>
      <c r="I2811" s="35" t="n">
        <f aca="false">Imobilizado!G25</f>
        <v>11980</v>
      </c>
      <c r="J2811" s="34" t="str">
        <f aca="false">Imobilizado!M25</f>
        <v>3.8.1.017 - Instalações elétricas/telefônicas/lógica</v>
      </c>
      <c r="K2811" s="32" t="str">
        <f aca="false">INDEX('Curva ABC'!$K$8:$K$2847,MATCH(D2811,'Curva ABC'!$B$8:$B$2847,0))</f>
        <v>A</v>
      </c>
    </row>
    <row r="2812" customFormat="false" ht="15" hidden="false" customHeight="false" outlineLevel="0" collapsed="false">
      <c r="A2812" s="34" t="s">
        <v>5801</v>
      </c>
      <c r="B2812" s="34" t="str">
        <f aca="false">Imobilizado!A26</f>
        <v>0338</v>
      </c>
      <c r="C2812" s="34" t="str">
        <f aca="false">Imobilizado!B26</f>
        <v>UFV NORONHA VERDE - IMOBILIZADO</v>
      </c>
      <c r="D2812" s="33" t="n">
        <f aca="false">Imobilizado!C26</f>
        <v>141242</v>
      </c>
      <c r="E2812" s="34" t="str">
        <f aca="false">Imobilizado!D26</f>
        <v>32.02.0176</v>
      </c>
      <c r="F2812" s="34" t="str">
        <f aca="false">Imobilizado!E26</f>
        <v>GARFO PALETEIRO - CAP. DE CARGA 3000KG</v>
      </c>
      <c r="G2812" s="34" t="str">
        <f aca="false">Imobilizado!J26</f>
        <v>UN</v>
      </c>
      <c r="H2812" s="49" t="n">
        <f aca="false">Imobilizado!F26</f>
        <v>2</v>
      </c>
      <c r="I2812" s="35" t="n">
        <f aca="false">Imobilizado!G26</f>
        <v>10208</v>
      </c>
      <c r="J2812" s="34" t="str">
        <f aca="false">Imobilizado!M26</f>
        <v>6.1.2.001 - Equipamentos</v>
      </c>
      <c r="K2812" s="32" t="str">
        <f aca="false">INDEX('Curva ABC'!$K$8:$K$2847,MATCH(D2812,'Curva ABC'!$B$8:$B$2847,0))</f>
        <v>A</v>
      </c>
    </row>
    <row r="2813" customFormat="false" ht="15" hidden="false" customHeight="false" outlineLevel="0" collapsed="false">
      <c r="A2813" s="34" t="s">
        <v>5801</v>
      </c>
      <c r="B2813" s="34" t="str">
        <f aca="false">Imobilizado!A27</f>
        <v>0338</v>
      </c>
      <c r="C2813" s="34" t="str">
        <f aca="false">Imobilizado!B27</f>
        <v>UFV NORONHA VERDE - IMOBILIZADO</v>
      </c>
      <c r="D2813" s="33" t="n">
        <f aca="false">Imobilizado!C27</f>
        <v>143183</v>
      </c>
      <c r="E2813" s="34" t="str">
        <f aca="false">Imobilizado!D27</f>
        <v>25.12.0021</v>
      </c>
      <c r="F2813" s="34" t="str">
        <f aca="false">Imobilizado!E27</f>
        <v>ESCADA TIPO PLATAFORMA DE FIBRA 10 DEGRAUS </v>
      </c>
      <c r="G2813" s="34" t="str">
        <f aca="false">Imobilizado!J27</f>
        <v>UN</v>
      </c>
      <c r="H2813" s="49" t="n">
        <f aca="false">Imobilizado!F27</f>
        <v>1</v>
      </c>
      <c r="I2813" s="35" t="n">
        <f aca="false">Imobilizado!G27</f>
        <v>6980</v>
      </c>
      <c r="J2813" s="34" t="str">
        <f aca="false">Imobilizado!M27</f>
        <v>3.8.2.006 - Utensílios</v>
      </c>
      <c r="K2813" s="32" t="str">
        <f aca="false">INDEX('Curva ABC'!$K$8:$K$2847,MATCH(D2813,'Curva ABC'!$B$8:$B$2847,0))</f>
        <v>B</v>
      </c>
    </row>
    <row r="2814" customFormat="false" ht="15" hidden="false" customHeight="false" outlineLevel="0" collapsed="false">
      <c r="A2814" s="34" t="s">
        <v>5801</v>
      </c>
      <c r="B2814" s="34" t="str">
        <f aca="false">Imobilizado!A28</f>
        <v>0338</v>
      </c>
      <c r="C2814" s="34" t="str">
        <f aca="false">Imobilizado!B28</f>
        <v>UFV NORONHA VERDE - IMOBILIZADO</v>
      </c>
      <c r="D2814" s="33" t="n">
        <f aca="false">Imobilizado!C28</f>
        <v>143904</v>
      </c>
      <c r="E2814" s="34" t="str">
        <f aca="false">Imobilizado!D28</f>
        <v>26.04.0054</v>
      </c>
      <c r="F2814" s="34" t="str">
        <f aca="false">Imobilizado!E28</f>
        <v>BOLSA DE 20 LITROS PARA ARMAZENAMENTO DE CORDAS</v>
      </c>
      <c r="G2814" s="34" t="str">
        <f aca="false">Imobilizado!J28</f>
        <v>UN</v>
      </c>
      <c r="H2814" s="49" t="n">
        <f aca="false">Imobilizado!F28</f>
        <v>2</v>
      </c>
      <c r="I2814" s="35" t="n">
        <f aca="false">Imobilizado!G28</f>
        <v>524.52</v>
      </c>
      <c r="J2814" s="34" t="str">
        <f aca="false">Imobilizado!M28</f>
        <v>4.3.4.001 - Equipamento de proteção individual</v>
      </c>
      <c r="K2814" s="32" t="str">
        <f aca="false">INDEX('Curva ABC'!$K$8:$K$2847,MATCH(D2814,'Curva ABC'!$B$8:$B$2847,0))</f>
        <v>C</v>
      </c>
    </row>
    <row r="2815" customFormat="false" ht="15" hidden="false" customHeight="false" outlineLevel="0" collapsed="false">
      <c r="A2815" s="34" t="s">
        <v>5801</v>
      </c>
      <c r="B2815" s="34" t="str">
        <f aca="false">Imobilizado!A29</f>
        <v>0338</v>
      </c>
      <c r="C2815" s="34" t="str">
        <f aca="false">Imobilizado!B29</f>
        <v>UFV NORONHA VERDE - IMOBILIZADO</v>
      </c>
      <c r="D2815" s="33" t="n">
        <f aca="false">Imobilizado!C29</f>
        <v>143914</v>
      </c>
      <c r="E2815" s="34" t="str">
        <f aca="false">Imobilizado!D29</f>
        <v>26.04.0056</v>
      </c>
      <c r="F2815" s="34" t="str">
        <f aca="false">Imobilizado!E29</f>
        <v>TALABARTE DE POSICIONAMENTO</v>
      </c>
      <c r="G2815" s="34" t="str">
        <f aca="false">Imobilizado!J29</f>
        <v>UN</v>
      </c>
      <c r="H2815" s="49" t="n">
        <f aca="false">Imobilizado!F29</f>
        <v>2</v>
      </c>
      <c r="I2815" s="35" t="n">
        <f aca="false">Imobilizado!G29</f>
        <v>242.51</v>
      </c>
      <c r="J2815" s="34" t="str">
        <f aca="false">Imobilizado!M29</f>
        <v>4.3.4.001 - Equipamento de proteção individual</v>
      </c>
      <c r="K2815" s="32" t="str">
        <f aca="false">INDEX('Curva ABC'!$K$8:$K$2847,MATCH(D2815,'Curva ABC'!$B$8:$B$2847,0))</f>
        <v>B</v>
      </c>
    </row>
    <row r="2816" customFormat="false" ht="15" hidden="false" customHeight="false" outlineLevel="0" collapsed="false">
      <c r="A2816" s="34" t="s">
        <v>5801</v>
      </c>
      <c r="B2816" s="34" t="str">
        <f aca="false">Imobilizado!A30</f>
        <v>0338</v>
      </c>
      <c r="C2816" s="34" t="str">
        <f aca="false">Imobilizado!B30</f>
        <v>UFV NORONHA VERDE - IMOBILIZADO</v>
      </c>
      <c r="D2816" s="33" t="n">
        <f aca="false">Imobilizado!C30</f>
        <v>221251</v>
      </c>
      <c r="E2816" s="34" t="str">
        <f aca="false">Imobilizado!D30</f>
        <v>29.01.0596</v>
      </c>
      <c r="F2816" s="34" t="str">
        <f aca="false">Imobilizado!E30</f>
        <v>MULTIFUNCIONAL EPSON TANQUE DE TINTA L3150</v>
      </c>
      <c r="G2816" s="34" t="str">
        <f aca="false">Imobilizado!J30</f>
        <v>UN</v>
      </c>
      <c r="H2816" s="49" t="n">
        <f aca="false">Imobilizado!F30</f>
        <v>2</v>
      </c>
      <c r="I2816" s="35" t="n">
        <f aca="false">Imobilizado!G30</f>
        <v>2272.9</v>
      </c>
      <c r="J2816" s="34" t="str">
        <f aca="false">Imobilizado!M30</f>
        <v>4.1.1.007 - Equipamentos e acessórios para informática</v>
      </c>
      <c r="K2816" s="32" t="str">
        <f aca="false">INDEX('Curva ABC'!$K$8:$K$2847,MATCH(D2816,'Curva ABC'!$B$8:$B$2847,0))</f>
        <v>B</v>
      </c>
    </row>
    <row r="2817" customFormat="false" ht="15" hidden="false" customHeight="false" outlineLevel="0" collapsed="false">
      <c r="A2817" s="34" t="s">
        <v>5801</v>
      </c>
      <c r="B2817" s="34" t="str">
        <f aca="false">Imobilizado!A31</f>
        <v>0338</v>
      </c>
      <c r="C2817" s="34" t="str">
        <f aca="false">Imobilizado!B31</f>
        <v>UFV NORONHA VERDE - IMOBILIZADO</v>
      </c>
      <c r="D2817" s="33" t="n">
        <f aca="false">Imobilizado!C31</f>
        <v>222896</v>
      </c>
      <c r="E2817" s="34" t="str">
        <f aca="false">Imobilizado!D31</f>
        <v>29.03.0178</v>
      </c>
      <c r="F2817" s="34" t="str">
        <f aca="false">Imobilizado!E31</f>
        <v>SMART TV 32"</v>
      </c>
      <c r="G2817" s="34" t="str">
        <f aca="false">Imobilizado!J31</f>
        <v>UN</v>
      </c>
      <c r="H2817" s="49" t="n">
        <f aca="false">Imobilizado!F31</f>
        <v>6</v>
      </c>
      <c r="I2817" s="35" t="n">
        <f aca="false">Imobilizado!G31</f>
        <v>5640</v>
      </c>
      <c r="J2817" s="34" t="str">
        <f aca="false">Imobilizado!M31</f>
        <v>4.1.1.009 - Eletro eletrônico e acessórios</v>
      </c>
      <c r="K2817" s="32" t="str">
        <f aca="false">INDEX('Curva ABC'!$K$8:$K$2847,MATCH(D2817,'Curva ABC'!$B$8:$B$2847,0))</f>
        <v>B</v>
      </c>
    </row>
    <row r="2818" customFormat="false" ht="15" hidden="false" customHeight="false" outlineLevel="0" collapsed="false">
      <c r="A2818" s="34" t="s">
        <v>5801</v>
      </c>
      <c r="B2818" s="34" t="str">
        <f aca="false">Imobilizado!A32</f>
        <v>0338</v>
      </c>
      <c r="C2818" s="34" t="str">
        <f aca="false">Imobilizado!B32</f>
        <v>UFV NORONHA VERDE - IMOBILIZADO</v>
      </c>
      <c r="D2818" s="33" t="n">
        <f aca="false">Imobilizado!C32</f>
        <v>226627</v>
      </c>
      <c r="E2818" s="34" t="str">
        <f aca="false">Imobilizado!D32</f>
        <v>29.03.0180</v>
      </c>
      <c r="F2818" s="34" t="str">
        <f aca="false">Imobilizado!E32</f>
        <v>SMART TV 50”</v>
      </c>
      <c r="G2818" s="34" t="str">
        <f aca="false">Imobilizado!J32</f>
        <v>UN</v>
      </c>
      <c r="H2818" s="49" t="n">
        <f aca="false">Imobilizado!F32</f>
        <v>5</v>
      </c>
      <c r="I2818" s="35" t="n">
        <f aca="false">Imobilizado!G32</f>
        <v>8995</v>
      </c>
      <c r="J2818" s="34" t="str">
        <f aca="false">Imobilizado!M32</f>
        <v>4.1.1.009 - Eletro eletrônico e acessórios</v>
      </c>
      <c r="K2818" s="32" t="str">
        <f aca="false">INDEX('Curva ABC'!$K$8:$K$2847,MATCH(D2818,'Curva ABC'!$B$8:$B$2847,0))</f>
        <v>B</v>
      </c>
    </row>
    <row r="2819" customFormat="false" ht="15" hidden="false" customHeight="false" outlineLevel="0" collapsed="false">
      <c r="A2819" s="34" t="s">
        <v>5801</v>
      </c>
      <c r="B2819" s="34" t="str">
        <f aca="false">Imobilizado!A33</f>
        <v>0338</v>
      </c>
      <c r="C2819" s="34" t="str">
        <f aca="false">Imobilizado!B33</f>
        <v>UFV NORONHA VERDE - IMOBILIZADO</v>
      </c>
      <c r="D2819" s="33" t="n">
        <f aca="false">Imobilizado!C33</f>
        <v>228877</v>
      </c>
      <c r="E2819" s="34" t="str">
        <f aca="false">Imobilizado!D33</f>
        <v>32.01.0033</v>
      </c>
      <c r="F2819" s="34" t="str">
        <f aca="false">Imobilizado!E33</f>
        <v>DINAMÔMETRO 1500 KGF</v>
      </c>
      <c r="G2819" s="34" t="str">
        <f aca="false">Imobilizado!J33</f>
        <v>UN</v>
      </c>
      <c r="H2819" s="49" t="n">
        <f aca="false">Imobilizado!F33</f>
        <v>2</v>
      </c>
      <c r="I2819" s="35" t="n">
        <f aca="false">Imobilizado!G33</f>
        <v>9960</v>
      </c>
      <c r="J2819" s="34" t="str">
        <f aca="false">Imobilizado!M33</f>
        <v>3.8.1.022 - Elementos de fixação</v>
      </c>
      <c r="K2819" s="32" t="str">
        <f aca="false">INDEX('Curva ABC'!$K$8:$K$2847,MATCH(D2819,'Curva ABC'!$B$8:$B$2847,0))</f>
        <v>A</v>
      </c>
    </row>
    <row r="2820" customFormat="false" ht="15" hidden="false" customHeight="false" outlineLevel="0" collapsed="false">
      <c r="A2820" s="34" t="s">
        <v>5801</v>
      </c>
      <c r="B2820" s="34" t="str">
        <f aca="false">Imobilizado!A34</f>
        <v>0338</v>
      </c>
      <c r="C2820" s="34" t="str">
        <f aca="false">Imobilizado!B34</f>
        <v>UFV NORONHA VERDE - IMOBILIZADO</v>
      </c>
      <c r="D2820" s="33" t="n">
        <f aca="false">Imobilizado!C34</f>
        <v>230162</v>
      </c>
      <c r="E2820" s="34" t="str">
        <f aca="false">Imobilizado!D34</f>
        <v>26.04.0075</v>
      </c>
      <c r="F2820" s="34" t="str">
        <f aca="false">Imobilizado!E34</f>
        <v>MOSQUETÃO TIPO HMS DE AÇO, COM TRAVA DE ROSCA</v>
      </c>
      <c r="G2820" s="34" t="str">
        <f aca="false">Imobilizado!J34</f>
        <v>UN</v>
      </c>
      <c r="H2820" s="49" t="n">
        <f aca="false">Imobilizado!F34</f>
        <v>6</v>
      </c>
      <c r="I2820" s="35" t="n">
        <f aca="false">Imobilizado!G34</f>
        <v>184.86</v>
      </c>
      <c r="J2820" s="34" t="str">
        <f aca="false">Imobilizado!M34</f>
        <v>4.3.4.001 - Equipamento de proteção individual</v>
      </c>
      <c r="K2820" s="32" t="str">
        <f aca="false">INDEX('Curva ABC'!$K$8:$K$2847,MATCH(D2820,'Curva ABC'!$B$8:$B$2847,0))</f>
        <v>C</v>
      </c>
    </row>
    <row r="2821" customFormat="false" ht="15" hidden="false" customHeight="false" outlineLevel="0" collapsed="false">
      <c r="A2821" s="34" t="s">
        <v>5801</v>
      </c>
      <c r="B2821" s="34" t="str">
        <f aca="false">Imobilizado!A35</f>
        <v>0338</v>
      </c>
      <c r="C2821" s="34" t="str">
        <f aca="false">Imobilizado!B35</f>
        <v>UFV NORONHA VERDE - IMOBILIZADO</v>
      </c>
      <c r="D2821" s="33" t="n">
        <f aca="false">Imobilizado!C35</f>
        <v>277123</v>
      </c>
      <c r="E2821" s="34" t="str">
        <f aca="false">Imobilizado!D35</f>
        <v>29.03.0197</v>
      </c>
      <c r="F2821" s="34" t="str">
        <f aca="false">Imobilizado!E35</f>
        <v>MAQUINA DE LAVAR 15 KG</v>
      </c>
      <c r="G2821" s="34" t="str">
        <f aca="false">Imobilizado!J35</f>
        <v>UN</v>
      </c>
      <c r="H2821" s="49" t="n">
        <f aca="false">Imobilizado!F35</f>
        <v>6</v>
      </c>
      <c r="I2821" s="35" t="n">
        <f aca="false">Imobilizado!G35</f>
        <v>11394</v>
      </c>
      <c r="J2821" s="34" t="str">
        <f aca="false">Imobilizado!M35</f>
        <v>4.1.1.009 - Eletro eletrônico e acessórios</v>
      </c>
      <c r="K2821" s="32" t="str">
        <f aca="false">INDEX('Curva ABC'!$K$8:$K$2847,MATCH(D2821,'Curva ABC'!$B$8:$B$2847,0))</f>
        <v>A</v>
      </c>
    </row>
    <row r="2822" customFormat="false" ht="15" hidden="false" customHeight="false" outlineLevel="0" collapsed="false">
      <c r="A2822" s="34" t="s">
        <v>5801</v>
      </c>
      <c r="B2822" s="34" t="str">
        <f aca="false">Imobilizado!A36</f>
        <v>0338</v>
      </c>
      <c r="C2822" s="34" t="str">
        <f aca="false">Imobilizado!B36</f>
        <v>UFV NORONHA VERDE - IMOBILIZADO</v>
      </c>
      <c r="D2822" s="33" t="n">
        <f aca="false">Imobilizado!C36</f>
        <v>289184</v>
      </c>
      <c r="E2822" s="34" t="str">
        <f aca="false">Imobilizado!D36</f>
        <v>26.04.0081</v>
      </c>
      <c r="F2822" s="34" t="str">
        <f aca="false">Imobilizado!E36</f>
        <v>TRAVA QUEDAS RETRÁTIL COM CABO DE AÇO DE 3,5 M </v>
      </c>
      <c r="G2822" s="34" t="str">
        <f aca="false">Imobilizado!J36</f>
        <v>UN</v>
      </c>
      <c r="H2822" s="49" t="n">
        <f aca="false">Imobilizado!F36</f>
        <v>2</v>
      </c>
      <c r="I2822" s="35" t="n">
        <f aca="false">Imobilizado!G36</f>
        <v>2649.04</v>
      </c>
      <c r="J2822" s="34" t="str">
        <f aca="false">Imobilizado!M36</f>
        <v>4.3.4.001 - Equipamento de proteção individual</v>
      </c>
      <c r="K2822" s="32" t="str">
        <f aca="false">INDEX('Curva ABC'!$K$8:$K$2847,MATCH(D2822,'Curva ABC'!$B$8:$B$2847,0))</f>
        <v>B</v>
      </c>
    </row>
    <row r="2823" customFormat="false" ht="15" hidden="false" customHeight="false" outlineLevel="0" collapsed="false">
      <c r="A2823" s="34" t="s">
        <v>5801</v>
      </c>
      <c r="B2823" s="34" t="str">
        <f aca="false">Imobilizado!A37</f>
        <v>0338</v>
      </c>
      <c r="C2823" s="34" t="str">
        <f aca="false">Imobilizado!B37</f>
        <v>UFV NORONHA VERDE - IMOBILIZADO</v>
      </c>
      <c r="D2823" s="33" t="n">
        <f aca="false">Imobilizado!C37</f>
        <v>289185</v>
      </c>
      <c r="E2823" s="34" t="str">
        <f aca="false">Imobilizado!D37</f>
        <v>26.04.0082</v>
      </c>
      <c r="F2823" s="34" t="str">
        <f aca="false">Imobilizado!E37</f>
        <v>TRAVA QUEDAS RETRÁTIL COM CABO DE AÇO DE 6,0 M </v>
      </c>
      <c r="G2823" s="34" t="str">
        <f aca="false">Imobilizado!J37</f>
        <v>UN</v>
      </c>
      <c r="H2823" s="49" t="n">
        <f aca="false">Imobilizado!F37</f>
        <v>2</v>
      </c>
      <c r="I2823" s="35" t="n">
        <f aca="false">Imobilizado!G37</f>
        <v>3017.32</v>
      </c>
      <c r="J2823" s="34" t="str">
        <f aca="false">Imobilizado!M37</f>
        <v>4.3.4.001 - Equipamento de proteção individual</v>
      </c>
      <c r="K2823" s="32" t="str">
        <f aca="false">INDEX('Curva ABC'!$K$8:$K$2847,MATCH(D2823,'Curva ABC'!$B$8:$B$2847,0))</f>
        <v>B</v>
      </c>
    </row>
    <row r="2824" customFormat="false" ht="15" hidden="false" customHeight="false" outlineLevel="0" collapsed="false">
      <c r="A2824" s="34" t="s">
        <v>5801</v>
      </c>
      <c r="B2824" s="34" t="str">
        <f aca="false">Imobilizado!A38</f>
        <v>0338</v>
      </c>
      <c r="C2824" s="34" t="str">
        <f aca="false">Imobilizado!B38</f>
        <v>UFV NORONHA VERDE - IMOBILIZADO</v>
      </c>
      <c r="D2824" s="33" t="n">
        <f aca="false">Imobilizado!C38</f>
        <v>289886</v>
      </c>
      <c r="E2824" s="34" t="str">
        <f aca="false">Imobilizado!D38</f>
        <v>24.42.0005</v>
      </c>
      <c r="F2824" s="34" t="str">
        <f aca="false">Imobilizado!E38</f>
        <v>MARTELO ROMPEDOR DE 11 KG</v>
      </c>
      <c r="G2824" s="34" t="str">
        <f aca="false">Imobilizado!J38</f>
        <v>UN</v>
      </c>
      <c r="H2824" s="49" t="n">
        <f aca="false">Imobilizado!F38</f>
        <v>1</v>
      </c>
      <c r="I2824" s="35" t="n">
        <f aca="false">Imobilizado!G38</f>
        <v>8879.21</v>
      </c>
      <c r="J2824" s="34" t="str">
        <f aca="false">Imobilizado!M38</f>
        <v>3.8.2.003 - Ferramentas elétricas/pneumáticas</v>
      </c>
      <c r="K2824" s="32" t="str">
        <f aca="false">INDEX('Curva ABC'!$K$8:$K$2847,MATCH(D2824,'Curva ABC'!$B$8:$B$2847,0))</f>
        <v>B</v>
      </c>
    </row>
    <row r="2825" customFormat="false" ht="15" hidden="false" customHeight="false" outlineLevel="0" collapsed="false">
      <c r="A2825" s="34" t="s">
        <v>5801</v>
      </c>
      <c r="B2825" s="34" t="str">
        <f aca="false">Imobilizado!A39</f>
        <v>0338</v>
      </c>
      <c r="C2825" s="34" t="str">
        <f aca="false">Imobilizado!B39</f>
        <v>UFV NORONHA VERDE - IMOBILIZADO</v>
      </c>
      <c r="D2825" s="33" t="n">
        <f aca="false">Imobilizado!C39</f>
        <v>290067</v>
      </c>
      <c r="E2825" s="34" t="str">
        <f aca="false">Imobilizado!D39</f>
        <v>29.01.0720</v>
      </c>
      <c r="F2825" s="34" t="str">
        <f aca="false">Imobilizado!E39</f>
        <v>NVR 32CH IP, 4K, H265+, 256MBPSINPUT, 4 HD ATE 10TB, 16 PORTAS POE, 4 /1 ALARME, REDE GIGABYTE DS-7 732N1-K4/16P</v>
      </c>
      <c r="G2825" s="34" t="str">
        <f aca="false">Imobilizado!J39</f>
        <v>pç</v>
      </c>
      <c r="H2825" s="49" t="n">
        <f aca="false">Imobilizado!F39</f>
        <v>2</v>
      </c>
      <c r="I2825" s="35" t="n">
        <f aca="false">Imobilizado!G39</f>
        <v>5275.31</v>
      </c>
      <c r="J2825" s="34" t="str">
        <f aca="false">Imobilizado!M39</f>
        <v>3.8.1.017 - Instalações elétricas/telefônicas/lógica</v>
      </c>
      <c r="K2825" s="32" t="str">
        <f aca="false">INDEX('Curva ABC'!$K$8:$K$2847,MATCH(D2825,'Curva ABC'!$B$8:$B$2847,0))</f>
        <v>B</v>
      </c>
    </row>
    <row r="2826" customFormat="false" ht="15" hidden="false" customHeight="false" outlineLevel="0" collapsed="false">
      <c r="A2826" s="34" t="s">
        <v>5801</v>
      </c>
      <c r="B2826" s="34" t="str">
        <f aca="false">Imobilizado!A40</f>
        <v>0338</v>
      </c>
      <c r="C2826" s="34" t="str">
        <f aca="false">Imobilizado!B40</f>
        <v>UFV NORONHA VERDE - IMOBILIZADO</v>
      </c>
      <c r="D2826" s="33" t="n">
        <f aca="false">Imobilizado!C40</f>
        <v>290899</v>
      </c>
      <c r="E2826" s="34" t="str">
        <f aca="false">Imobilizado!D40</f>
        <v>27.02.0121</v>
      </c>
      <c r="F2826" s="34" t="str">
        <f aca="false">Imobilizado!E40</f>
        <v>BAFÔMETRO PORTATIL DIGITAL</v>
      </c>
      <c r="G2826" s="34" t="str">
        <f aca="false">Imobilizado!J40</f>
        <v>UN</v>
      </c>
      <c r="H2826" s="49" t="n">
        <f aca="false">Imobilizado!F40</f>
        <v>2</v>
      </c>
      <c r="I2826" s="35" t="n">
        <f aca="false">Imobilizado!G40</f>
        <v>6883</v>
      </c>
      <c r="J2826" s="34" t="str">
        <f aca="false">Imobilizado!M40</f>
        <v>4.3.4.007 - Mobiliário médico/equipamentos/acessórios</v>
      </c>
      <c r="K2826" s="32" t="str">
        <f aca="false">INDEX('Curva ABC'!$K$8:$K$2847,MATCH(D2826,'Curva ABC'!$B$8:$B$2847,0))</f>
        <v>B</v>
      </c>
    </row>
    <row r="2827" customFormat="false" ht="15" hidden="false" customHeight="false" outlineLevel="0" collapsed="false">
      <c r="A2827" s="34" t="s">
        <v>5801</v>
      </c>
      <c r="B2827" s="34" t="str">
        <f aca="false">Imobilizado!A41</f>
        <v>0338</v>
      </c>
      <c r="C2827" s="34" t="str">
        <f aca="false">Imobilizado!B41</f>
        <v>UFV NORONHA VERDE - IMOBILIZADO</v>
      </c>
      <c r="D2827" s="33" t="n">
        <f aca="false">Imobilizado!C41</f>
        <v>291895</v>
      </c>
      <c r="E2827" s="34" t="str">
        <f aca="false">Imobilizado!D41</f>
        <v>18.07.0063</v>
      </c>
      <c r="F2827" s="34" t="str">
        <f aca="false">Imobilizado!E41</f>
        <v>CAIXA D´AGUA POLIETILENO 20.000L C/ TAMPA</v>
      </c>
      <c r="G2827" s="34" t="str">
        <f aca="false">Imobilizado!J41</f>
        <v>UN</v>
      </c>
      <c r="H2827" s="49" t="n">
        <f aca="false">Imobilizado!F41</f>
        <v>5</v>
      </c>
      <c r="I2827" s="35" t="n">
        <f aca="false">Imobilizado!G41</f>
        <v>63710.9</v>
      </c>
      <c r="J2827" s="34" t="str">
        <f aca="false">Imobilizado!M41</f>
        <v>3.8.1.018 - Instalações hidráulicas/sanitárias/industriais</v>
      </c>
      <c r="K2827" s="32" t="str">
        <f aca="false">INDEX('Curva ABC'!$K$8:$K$2847,MATCH(D2827,'Curva ABC'!$B$8:$B$2847,0))</f>
        <v>A</v>
      </c>
    </row>
    <row r="2828" customFormat="false" ht="15" hidden="false" customHeight="false" outlineLevel="0" collapsed="false">
      <c r="A2828" s="34" t="s">
        <v>5801</v>
      </c>
      <c r="B2828" s="34" t="str">
        <f aca="false">Imobilizado!A42</f>
        <v>0338</v>
      </c>
      <c r="C2828" s="34" t="str">
        <f aca="false">Imobilizado!B42</f>
        <v>UFV NORONHA VERDE - IMOBILIZADO</v>
      </c>
      <c r="D2828" s="33" t="n">
        <f aca="false">Imobilizado!C42</f>
        <v>316328</v>
      </c>
      <c r="E2828" s="34" t="str">
        <f aca="false">Imobilizado!D42</f>
        <v>29.03.0225</v>
      </c>
      <c r="F2828" s="34" t="str">
        <f aca="false">Imobilizado!E42</f>
        <v>GELADEIRA MÉDIA</v>
      </c>
      <c r="G2828" s="34" t="str">
        <f aca="false">Imobilizado!J42</f>
        <v>UN</v>
      </c>
      <c r="H2828" s="49" t="n">
        <f aca="false">Imobilizado!F42</f>
        <v>2</v>
      </c>
      <c r="I2828" s="35" t="n">
        <f aca="false">Imobilizado!G42</f>
        <v>4643.26</v>
      </c>
      <c r="J2828" s="34" t="str">
        <f aca="false">Imobilizado!M42</f>
        <v>4.1.1.009 - Eletro eletrônico e acessórios</v>
      </c>
      <c r="K2828" s="32" t="str">
        <f aca="false">INDEX('Curva ABC'!$K$8:$K$2847,MATCH(D2828,'Curva ABC'!$B$8:$B$2847,0))</f>
        <v>A</v>
      </c>
    </row>
    <row r="2829" customFormat="false" ht="15" hidden="false" customHeight="false" outlineLevel="0" collapsed="false">
      <c r="A2829" s="34" t="s">
        <v>5801</v>
      </c>
      <c r="B2829" s="34" t="str">
        <f aca="false">Imobilizado!A43</f>
        <v>0338</v>
      </c>
      <c r="C2829" s="34" t="str">
        <f aca="false">Imobilizado!B43</f>
        <v>UFV NORONHA VERDE - IMOBILIZADO</v>
      </c>
      <c r="D2829" s="33" t="n">
        <f aca="false">Imobilizado!C43</f>
        <v>351078</v>
      </c>
      <c r="E2829" s="34" t="str">
        <f aca="false">Imobilizado!D43</f>
        <v>36.21.0046</v>
      </c>
      <c r="F2829" s="34" t="str">
        <f aca="false">Imobilizado!E43</f>
        <v>RADAR DE VELOCIDADE TIPO PISTOLA</v>
      </c>
      <c r="G2829" s="34" t="str">
        <f aca="false">Imobilizado!J43</f>
        <v>UN</v>
      </c>
      <c r="H2829" s="49" t="n">
        <f aca="false">Imobilizado!F43</f>
        <v>1</v>
      </c>
      <c r="I2829" s="35" t="n">
        <f aca="false">Imobilizado!G43</f>
        <v>3761.5</v>
      </c>
      <c r="J2829" s="34" t="str">
        <f aca="false">Imobilizado!M43</f>
        <v>3.7.1.008 - Serviço de controle de qualidade</v>
      </c>
      <c r="K2829" s="32" t="str">
        <f aca="false">INDEX('Curva ABC'!$K$8:$K$2847,MATCH(D2829,'Curva ABC'!$B$8:$B$2847,0))</f>
        <v>B</v>
      </c>
    </row>
    <row r="2830" customFormat="false" ht="15" hidden="false" customHeight="false" outlineLevel="0" collapsed="false">
      <c r="A2830" s="34" t="s">
        <v>5801</v>
      </c>
      <c r="B2830" s="34" t="str">
        <f aca="false">Imobilizado!A44</f>
        <v>0338</v>
      </c>
      <c r="C2830" s="34" t="str">
        <f aca="false">Imobilizado!B44</f>
        <v>UFV NORONHA VERDE - IMOBILIZADO</v>
      </c>
      <c r="D2830" s="33" t="n">
        <f aca="false">Imobilizado!C44</f>
        <v>352405</v>
      </c>
      <c r="E2830" s="34" t="str">
        <f aca="false">Imobilizado!D44</f>
        <v>24.41.0135</v>
      </c>
      <c r="F2830" s="34" t="str">
        <f aca="false">Imobilizado!E44</f>
        <v>TORQUÍMETRO DE ESTALO 1/4" 5-25NM</v>
      </c>
      <c r="G2830" s="34" t="str">
        <f aca="false">Imobilizado!J44</f>
        <v>UN</v>
      </c>
      <c r="H2830" s="49" t="n">
        <f aca="false">Imobilizado!F44</f>
        <v>3</v>
      </c>
      <c r="I2830" s="35" t="n">
        <f aca="false">Imobilizado!G44</f>
        <v>4214.43</v>
      </c>
      <c r="J2830" s="34" t="str">
        <f aca="false">Imobilizado!M44</f>
        <v>3.8.2.002 - Ferramentas manuais</v>
      </c>
      <c r="K2830" s="32" t="str">
        <f aca="false">INDEX('Curva ABC'!$K$8:$K$2847,MATCH(D2830,'Curva ABC'!$B$8:$B$2847,0))</f>
        <v>B</v>
      </c>
    </row>
    <row r="2831" customFormat="false" ht="15" hidden="false" customHeight="false" outlineLevel="0" collapsed="false">
      <c r="A2831" s="34" t="s">
        <v>5801</v>
      </c>
      <c r="B2831" s="34" t="str">
        <f aca="false">Imobilizado!A45</f>
        <v>0338</v>
      </c>
      <c r="C2831" s="34" t="str">
        <f aca="false">Imobilizado!B45</f>
        <v>UFV NORONHA VERDE - IMOBILIZADO</v>
      </c>
      <c r="D2831" s="33" t="n">
        <f aca="false">Imobilizado!C45</f>
        <v>352407</v>
      </c>
      <c r="E2831" s="34" t="str">
        <f aca="false">Imobilizado!D45</f>
        <v>24.41.0137</v>
      </c>
      <c r="F2831" s="34" t="str">
        <f aca="false">Imobilizado!E45</f>
        <v>TORQUÍMETRO DE ESTALO 1/2" 20-100NM</v>
      </c>
      <c r="G2831" s="34" t="str">
        <f aca="false">Imobilizado!J45</f>
        <v>UN</v>
      </c>
      <c r="H2831" s="49" t="n">
        <f aca="false">Imobilizado!F45</f>
        <v>2</v>
      </c>
      <c r="I2831" s="35" t="n">
        <f aca="false">Imobilizado!G45</f>
        <v>3658.48</v>
      </c>
      <c r="J2831" s="34" t="str">
        <f aca="false">Imobilizado!M45</f>
        <v>3.8.2.002 - Ferramentas manuais</v>
      </c>
      <c r="K2831" s="32" t="str">
        <f aca="false">INDEX('Curva ABC'!$K$8:$K$2847,MATCH(D2831,'Curva ABC'!$B$8:$B$2847,0))</f>
        <v>B</v>
      </c>
    </row>
    <row r="2832" customFormat="false" ht="15" hidden="false" customHeight="false" outlineLevel="0" collapsed="false">
      <c r="A2832" s="34" t="s">
        <v>5801</v>
      </c>
      <c r="B2832" s="34" t="str">
        <f aca="false">Imobilizado!A46</f>
        <v>0338</v>
      </c>
      <c r="C2832" s="34" t="str">
        <f aca="false">Imobilizado!B46</f>
        <v>UFV NORONHA VERDE - IMOBILIZADO</v>
      </c>
      <c r="D2832" s="33" t="n">
        <f aca="false">Imobilizado!C46</f>
        <v>386848</v>
      </c>
      <c r="E2832" s="34" t="str">
        <f aca="false">Imobilizado!D46</f>
        <v>32.12.0101</v>
      </c>
      <c r="F2832" s="34" t="str">
        <f aca="false">Imobilizado!E46</f>
        <v>MEDIDOR DE ÂNGULO GAM 220MF - TRANSFERIDOR DE GRAU DIGITAL</v>
      </c>
      <c r="G2832" s="34" t="str">
        <f aca="false">Imobilizado!J46</f>
        <v>UN</v>
      </c>
      <c r="H2832" s="49" t="n">
        <f aca="false">Imobilizado!F46</f>
        <v>1</v>
      </c>
      <c r="I2832" s="35" t="n">
        <f aca="false">Imobilizado!G46</f>
        <v>3040.99</v>
      </c>
      <c r="J2832" s="34" t="str">
        <f aca="false">Imobilizado!M46</f>
        <v>4.1.1.011 - Instrumentos para medição</v>
      </c>
      <c r="K2832" s="32" t="str">
        <f aca="false">INDEX('Curva ABC'!$K$8:$K$2847,MATCH(D2832,'Curva ABC'!$B$8:$B$2847,0))</f>
        <v>B</v>
      </c>
    </row>
    <row r="2833" customFormat="false" ht="15" hidden="false" customHeight="false" outlineLevel="0" collapsed="false">
      <c r="A2833" s="34" t="s">
        <v>5801</v>
      </c>
      <c r="B2833" s="34" t="str">
        <f aca="false">Imobilizado!A47</f>
        <v>0338</v>
      </c>
      <c r="C2833" s="34" t="str">
        <f aca="false">Imobilizado!B47</f>
        <v>UFV NORONHA VERDE - IMOBILIZADO</v>
      </c>
      <c r="D2833" s="33" t="n">
        <f aca="false">Imobilizado!C47</f>
        <v>428618</v>
      </c>
      <c r="E2833" s="34" t="str">
        <f aca="false">Imobilizado!D47</f>
        <v>29.02.0365</v>
      </c>
      <c r="F2833" s="34" t="str">
        <f aca="false">Imobilizado!E47</f>
        <v>BELICHE (CAMA)</v>
      </c>
      <c r="G2833" s="34" t="str">
        <f aca="false">Imobilizado!J47</f>
        <v>UN</v>
      </c>
      <c r="H2833" s="49" t="n">
        <f aca="false">Imobilizado!F47</f>
        <v>42</v>
      </c>
      <c r="I2833" s="35" t="n">
        <f aca="false">Imobilizado!G47</f>
        <v>32546.0394</v>
      </c>
      <c r="J2833" s="34" t="str">
        <f aca="false">Imobilizado!M47</f>
        <v>4.1.1.008 - Mobiliário e acessórios</v>
      </c>
      <c r="K2833" s="32" t="str">
        <f aca="false">INDEX('Curva ABC'!$K$8:$K$2847,MATCH(D2833,'Curva ABC'!$B$8:$B$2847,0))</f>
        <v>A</v>
      </c>
    </row>
    <row r="2834" customFormat="false" ht="15" hidden="false" customHeight="false" outlineLevel="0" collapsed="false">
      <c r="A2834" s="34" t="s">
        <v>5801</v>
      </c>
      <c r="B2834" s="34" t="str">
        <f aca="false">Imobilizado!A48</f>
        <v>0338</v>
      </c>
      <c r="C2834" s="34" t="str">
        <f aca="false">Imobilizado!B48</f>
        <v>UFV NORONHA VERDE - IMOBILIZADO</v>
      </c>
      <c r="D2834" s="33" t="n">
        <f aca="false">Imobilizado!C48</f>
        <v>555501</v>
      </c>
      <c r="E2834" s="34" t="str">
        <f aca="false">Imobilizado!D48</f>
        <v>24.41.0161</v>
      </c>
      <c r="F2834" s="34" t="str">
        <f aca="false">Imobilizado!E48</f>
        <v>TORQUÍMETRO DE ESTALO DE 10 A 50NM COM ENCAIXE DE 3/8"</v>
      </c>
      <c r="G2834" s="34" t="str">
        <f aca="false">Imobilizado!J48</f>
        <v>UN</v>
      </c>
      <c r="H2834" s="49" t="n">
        <f aca="false">Imobilizado!F48</f>
        <v>1</v>
      </c>
      <c r="I2834" s="35" t="n">
        <f aca="false">Imobilizado!G48</f>
        <v>1554.17</v>
      </c>
      <c r="J2834" s="34" t="str">
        <f aca="false">Imobilizado!M48</f>
        <v>3.8.2.002 - Ferramentas manuais</v>
      </c>
      <c r="K2834" s="32" t="str">
        <f aca="false">INDEX('Curva ABC'!$K$8:$K$2847,MATCH(D2834,'Curva ABC'!$B$8:$B$2847,0))</f>
        <v>B</v>
      </c>
    </row>
    <row r="2835" customFormat="false" ht="15" hidden="false" customHeight="false" outlineLevel="0" collapsed="false">
      <c r="A2835" s="34" t="s">
        <v>5801</v>
      </c>
      <c r="B2835" s="34" t="str">
        <f aca="false">Imobilizado!A49</f>
        <v>0338</v>
      </c>
      <c r="C2835" s="34" t="str">
        <f aca="false">Imobilizado!B49</f>
        <v>UFV NORONHA VERDE - IMOBILIZADO</v>
      </c>
      <c r="D2835" s="33" t="n">
        <f aca="false">Imobilizado!C49</f>
        <v>560975</v>
      </c>
      <c r="E2835" s="34" t="str">
        <f aca="false">Imobilizado!D49</f>
        <v>24.07.0024</v>
      </c>
      <c r="F2835" s="34" t="str">
        <f aca="false">Imobilizado!E49</f>
        <v>TRENA LASER BOSCH GLM 40</v>
      </c>
      <c r="G2835" s="34" t="str">
        <f aca="false">Imobilizado!J49</f>
        <v>UN</v>
      </c>
      <c r="H2835" s="49" t="n">
        <f aca="false">Imobilizado!F49</f>
        <v>2</v>
      </c>
      <c r="I2835" s="35" t="n">
        <f aca="false">Imobilizado!G49</f>
        <v>1369.9</v>
      </c>
      <c r="J2835" s="34" t="str">
        <f aca="false">Imobilizado!M49</f>
        <v>3.8.2.001 - Ferramentas medição/aferição</v>
      </c>
      <c r="K2835" s="32" t="str">
        <f aca="false">INDEX('Curva ABC'!$K$8:$K$2847,MATCH(D2835,'Curva ABC'!$B$8:$B$2847,0))</f>
        <v>C</v>
      </c>
    </row>
    <row r="2836" customFormat="false" ht="15" hidden="false" customHeight="false" outlineLevel="0" collapsed="false">
      <c r="A2836" s="34" t="s">
        <v>5801</v>
      </c>
      <c r="B2836" s="34" t="str">
        <f aca="false">Imobilizado!A50</f>
        <v>0338</v>
      </c>
      <c r="C2836" s="34" t="str">
        <f aca="false">Imobilizado!B50</f>
        <v>UFV NORONHA VERDE - IMOBILIZADO</v>
      </c>
      <c r="D2836" s="33" t="n">
        <f aca="false">Imobilizado!C50</f>
        <v>609695</v>
      </c>
      <c r="E2836" s="34" t="str">
        <f aca="false">Imobilizado!D50</f>
        <v>24.24.0059</v>
      </c>
      <c r="F2836" s="34" t="str">
        <f aca="false">Imobilizado!E50</f>
        <v>FURADEIRA/PARAFUSADEIRA À BATERIA 18V</v>
      </c>
      <c r="G2836" s="34" t="str">
        <f aca="false">Imobilizado!J50</f>
        <v>UN</v>
      </c>
      <c r="H2836" s="49" t="n">
        <f aca="false">Imobilizado!F50</f>
        <v>10</v>
      </c>
      <c r="I2836" s="35" t="n">
        <f aca="false">Imobilizado!G50</f>
        <v>11292.9</v>
      </c>
      <c r="J2836" s="34" t="str">
        <f aca="false">Imobilizado!M50</f>
        <v>1.2.1.002 - Máquinas e equipamentos</v>
      </c>
      <c r="K2836" s="32" t="str">
        <f aca="false">INDEX('Curva ABC'!$K$8:$K$2847,MATCH(D2836,'Curva ABC'!$B$8:$B$2847,0))</f>
        <v>A</v>
      </c>
    </row>
    <row r="2837" customFormat="false" ht="15" hidden="false" customHeight="false" outlineLevel="0" collapsed="false">
      <c r="A2837" s="34" t="s">
        <v>5801</v>
      </c>
      <c r="B2837" s="34" t="str">
        <f aca="false">Imobilizado!A51</f>
        <v>0338</v>
      </c>
      <c r="C2837" s="34" t="str">
        <f aca="false">Imobilizado!B51</f>
        <v>UFV NORONHA VERDE - IMOBILIZADO</v>
      </c>
      <c r="D2837" s="33" t="n">
        <f aca="false">Imobilizado!C51</f>
        <v>653037</v>
      </c>
      <c r="E2837" s="34" t="str">
        <f aca="false">Imobilizado!D51</f>
        <v>35.11.0126</v>
      </c>
      <c r="F2837" s="34" t="str">
        <f aca="false">Imobilizado!E51</f>
        <v>TORRE DE ILUMINAÇÃO</v>
      </c>
      <c r="G2837" s="34" t="str">
        <f aca="false">Imobilizado!J51</f>
        <v>UN</v>
      </c>
      <c r="H2837" s="49" t="n">
        <f aca="false">Imobilizado!F51</f>
        <v>3</v>
      </c>
      <c r="I2837" s="35" t="n">
        <f aca="false">Imobilizado!G51</f>
        <v>9355.5</v>
      </c>
      <c r="J2837" s="34" t="str">
        <f aca="false">Imobilizado!M51</f>
        <v>1.2.1.002 - Máquinas e equipamentos</v>
      </c>
      <c r="K2837" s="32" t="str">
        <f aca="false">INDEX('Curva ABC'!$K$8:$K$2847,MATCH(D2837,'Curva ABC'!$B$8:$B$2847,0))</f>
        <v>B</v>
      </c>
    </row>
    <row r="2838" customFormat="false" ht="15" hidden="false" customHeight="false" outlineLevel="0" collapsed="false">
      <c r="A2838" s="34" t="s">
        <v>5801</v>
      </c>
      <c r="B2838" s="34" t="str">
        <f aca="false">Imobilizado!A52</f>
        <v>0338</v>
      </c>
      <c r="C2838" s="34" t="str">
        <f aca="false">Imobilizado!B52</f>
        <v>UFV NORONHA VERDE - IMOBILIZADO</v>
      </c>
      <c r="D2838" s="33" t="n">
        <f aca="false">Imobilizado!C52</f>
        <v>735630</v>
      </c>
      <c r="E2838" s="34" t="str">
        <f aca="false">Imobilizado!D52</f>
        <v>29.01.1007</v>
      </c>
      <c r="F2838" s="34" t="str">
        <f aca="false">Imobilizado!E52</f>
        <v>CELULAR </v>
      </c>
      <c r="G2838" s="34" t="str">
        <f aca="false">Imobilizado!J52</f>
        <v>UN</v>
      </c>
      <c r="H2838" s="49" t="n">
        <f aca="false">Imobilizado!F52</f>
        <v>7</v>
      </c>
      <c r="I2838" s="35" t="n">
        <f aca="false">Imobilizado!G52</f>
        <v>5906.2</v>
      </c>
      <c r="J2838" s="34" t="str">
        <f aca="false">Imobilizado!M52</f>
        <v>4.1.1.007 - Equipamentos e acessórios para informática</v>
      </c>
      <c r="K2838" s="32" t="str">
        <f aca="false">INDEX('Curva ABC'!$K$8:$K$2847,MATCH(D2838,'Curva ABC'!$B$8:$B$2847,0))</f>
        <v>B</v>
      </c>
    </row>
    <row r="2839" customFormat="false" ht="15" hidden="false" customHeight="false" outlineLevel="0" collapsed="false">
      <c r="A2839" s="34" t="s">
        <v>5801</v>
      </c>
      <c r="B2839" s="34" t="str">
        <f aca="false">Imobilizado!A53</f>
        <v>0338</v>
      </c>
      <c r="C2839" s="34" t="str">
        <f aca="false">Imobilizado!B53</f>
        <v>UFV NORONHA VERDE - IMOBILIZADO</v>
      </c>
      <c r="D2839" s="33" t="n">
        <f aca="false">Imobilizado!C53</f>
        <v>834915</v>
      </c>
      <c r="E2839" s="34" t="str">
        <f aca="false">Imobilizado!D53</f>
        <v>32.07.0151</v>
      </c>
      <c r="F2839" s="34" t="str">
        <f aca="false">Imobilizado!E53</f>
        <v>ESMERILHADEIRA ANGULAR BOSCH GWS 850 DE 4 1/2" 850W 220V</v>
      </c>
      <c r="G2839" s="34" t="str">
        <f aca="false">Imobilizado!J53</f>
        <v>UN</v>
      </c>
      <c r="H2839" s="49" t="n">
        <f aca="false">Imobilizado!F53</f>
        <v>4</v>
      </c>
      <c r="I2839" s="35" t="n">
        <f aca="false">Imobilizado!G53</f>
        <v>2391.84</v>
      </c>
      <c r="J2839" s="34" t="str">
        <f aca="false">Imobilizado!M53</f>
        <v>6.1.2.001 - Equipamentos</v>
      </c>
      <c r="K2839" s="32" t="str">
        <f aca="false">INDEX('Curva ABC'!$K$8:$K$2847,MATCH(D2839,'Curva ABC'!$B$8:$B$2847,0))</f>
        <v>B</v>
      </c>
    </row>
    <row r="2840" customFormat="false" ht="15" hidden="false" customHeight="false" outlineLevel="0" collapsed="false">
      <c r="A2840" s="34" t="s">
        <v>5801</v>
      </c>
      <c r="B2840" s="34" t="str">
        <f aca="false">Imobilizado!A54</f>
        <v>0338</v>
      </c>
      <c r="C2840" s="34" t="str">
        <f aca="false">Imobilizado!B54</f>
        <v>UFV NORONHA VERDE - IMOBILIZADO</v>
      </c>
      <c r="D2840" s="33" t="n">
        <f aca="false">Imobilizado!C54</f>
        <v>838115</v>
      </c>
      <c r="E2840" s="34" t="str">
        <f aca="false">Imobilizado!D54</f>
        <v>32.12.0177</v>
      </c>
      <c r="F2840" s="34" t="str">
        <f aca="false">Imobilizado!E54</f>
        <v>MEDIDOR DE ANGULOS 220 GRAUS GAM220MF</v>
      </c>
      <c r="G2840" s="34" t="str">
        <f aca="false">Imobilizado!J54</f>
        <v>UN</v>
      </c>
      <c r="H2840" s="49" t="n">
        <f aca="false">Imobilizado!F54</f>
        <v>1</v>
      </c>
      <c r="I2840" s="35" t="n">
        <f aca="false">Imobilizado!G54</f>
        <v>2400</v>
      </c>
      <c r="J2840" s="34" t="str">
        <f aca="false">Imobilizado!M54</f>
        <v>3.7.1.008 - Serviço de controle de qualidade</v>
      </c>
      <c r="K2840" s="32" t="str">
        <f aca="false">INDEX('Curva ABC'!$K$8:$K$2847,MATCH(D2840,'Curva ABC'!$B$8:$B$2847,0))</f>
        <v>B</v>
      </c>
    </row>
    <row r="2841" customFormat="false" ht="15" hidden="false" customHeight="false" outlineLevel="0" collapsed="false">
      <c r="A2841" s="34" t="s">
        <v>5801</v>
      </c>
      <c r="B2841" s="34" t="str">
        <f aca="false">Imobilizado!A55</f>
        <v>0338</v>
      </c>
      <c r="C2841" s="34" t="str">
        <f aca="false">Imobilizado!B55</f>
        <v>UFV NORONHA VERDE - IMOBILIZADO</v>
      </c>
      <c r="D2841" s="33" t="n">
        <f aca="false">Imobilizado!C55</f>
        <v>840056</v>
      </c>
      <c r="E2841" s="34" t="str">
        <f aca="false">Imobilizado!D55</f>
        <v>32.12.0182</v>
      </c>
      <c r="F2841" s="34" t="str">
        <f aca="false">Imobilizado!E55</f>
        <v>TERROMETRO DIGITAL - MINIPA</v>
      </c>
      <c r="G2841" s="34" t="str">
        <f aca="false">Imobilizado!J55</f>
        <v>UN</v>
      </c>
      <c r="H2841" s="49" t="n">
        <f aca="false">Imobilizado!F55</f>
        <v>1</v>
      </c>
      <c r="I2841" s="35" t="n">
        <f aca="false">Imobilizado!G55</f>
        <v>2099.95</v>
      </c>
      <c r="J2841" s="34" t="str">
        <f aca="false">Imobilizado!M55</f>
        <v>4.1.1.011 - Instrumentos para medição</v>
      </c>
      <c r="K2841" s="32" t="str">
        <f aca="false">INDEX('Curva ABC'!$K$8:$K$2847,MATCH(D2841,'Curva ABC'!$B$8:$B$2847,0))</f>
        <v>B</v>
      </c>
    </row>
    <row r="2842" customFormat="false" ht="15" hidden="false" customHeight="false" outlineLevel="0" collapsed="false">
      <c r="A2842" s="34" t="s">
        <v>5801</v>
      </c>
      <c r="B2842" s="34" t="str">
        <f aca="false">Imobilizado!A56</f>
        <v>0338</v>
      </c>
      <c r="C2842" s="34" t="str">
        <f aca="false">Imobilizado!B56</f>
        <v>UFV NORONHA VERDE - IMOBILIZADO</v>
      </c>
      <c r="D2842" s="33" t="n">
        <f aca="false">Imobilizado!C56</f>
        <v>845619</v>
      </c>
      <c r="E2842" s="34" t="str">
        <f aca="false">Imobilizado!D56</f>
        <v>29.01.1161</v>
      </c>
      <c r="F2842" s="34" t="str">
        <f aca="false">Imobilizado!E56</f>
        <v>MICRO ONDAS</v>
      </c>
      <c r="G2842" s="34" t="str">
        <f aca="false">Imobilizado!J56</f>
        <v>UN</v>
      </c>
      <c r="H2842" s="49" t="n">
        <f aca="false">Imobilizado!F56</f>
        <v>2</v>
      </c>
      <c r="I2842" s="35" t="n">
        <f aca="false">Imobilizado!G56</f>
        <v>1448</v>
      </c>
      <c r="J2842" s="34" t="str">
        <f aca="false">Imobilizado!M56</f>
        <v>4.1.1.007 - Equipamentos e acessórios para informática</v>
      </c>
      <c r="K2842" s="32" t="str">
        <f aca="false">INDEX('Curva ABC'!$K$8:$K$2847,MATCH(D2842,'Curva ABC'!$B$8:$B$2847,0))</f>
        <v>C</v>
      </c>
    </row>
    <row r="2843" customFormat="false" ht="15" hidden="false" customHeight="false" outlineLevel="0" collapsed="false">
      <c r="A2843" s="34" t="s">
        <v>5801</v>
      </c>
      <c r="B2843" s="34" t="str">
        <f aca="false">Imobilizado!A57</f>
        <v>0338</v>
      </c>
      <c r="C2843" s="34" t="str">
        <f aca="false">Imobilizado!B57</f>
        <v>UFV NORONHA VERDE - IMOBILIZADO</v>
      </c>
      <c r="D2843" s="33" t="n">
        <f aca="false">Imobilizado!C57</f>
        <v>853756</v>
      </c>
      <c r="E2843" s="34" t="str">
        <f aca="false">Imobilizado!D57</f>
        <v>32.02.0311</v>
      </c>
      <c r="F2843" s="34" t="str">
        <f aca="false">Imobilizado!E57</f>
        <v>MOTOR P/ VIBRADOR A GASOLINA BRANCO B 4T - 6,5HP</v>
      </c>
      <c r="G2843" s="34" t="str">
        <f aca="false">Imobilizado!J57</f>
        <v>UN</v>
      </c>
      <c r="H2843" s="49" t="n">
        <f aca="false">Imobilizado!F57</f>
        <v>2</v>
      </c>
      <c r="I2843" s="35" t="n">
        <f aca="false">Imobilizado!G57</f>
        <v>4500</v>
      </c>
      <c r="J2843" s="34" t="str">
        <f aca="false">Imobilizado!M57</f>
        <v>6.1.2.001 - Equipamentos</v>
      </c>
      <c r="K2843" s="32" t="str">
        <f aca="false">INDEX('Curva ABC'!$K$8:$K$2847,MATCH(D2843,'Curva ABC'!$B$8:$B$2847,0))</f>
        <v>A</v>
      </c>
    </row>
    <row r="2844" customFormat="false" ht="15" hidden="false" customHeight="false" outlineLevel="0" collapsed="false">
      <c r="A2844" s="34" t="s">
        <v>5801</v>
      </c>
      <c r="B2844" s="34" t="str">
        <f aca="false">Imobilizado!A58</f>
        <v>0338</v>
      </c>
      <c r="C2844" s="34" t="str">
        <f aca="false">Imobilizado!B58</f>
        <v>UFV NORONHA VERDE - IMOBILIZADO</v>
      </c>
      <c r="D2844" s="33" t="n">
        <f aca="false">Imobilizado!C58</f>
        <v>860923</v>
      </c>
      <c r="E2844" s="34" t="str">
        <f aca="false">Imobilizado!D58</f>
        <v>25.09.0157</v>
      </c>
      <c r="F2844" s="34" t="str">
        <f aca="false">Imobilizado!E58</f>
        <v>KIT ESTICADOR+SELADOR+SELO+CARRINHO+FITA PET 16MM</v>
      </c>
      <c r="G2844" s="34" t="str">
        <f aca="false">Imobilizado!J58</f>
        <v>UN</v>
      </c>
      <c r="H2844" s="49" t="n">
        <f aca="false">Imobilizado!F58</f>
        <v>2</v>
      </c>
      <c r="I2844" s="35" t="n">
        <f aca="false">Imobilizado!G58</f>
        <v>3767.32</v>
      </c>
      <c r="J2844" s="34" t="str">
        <f aca="false">Imobilizado!M58</f>
        <v>3.8.2.006 - Utensílios</v>
      </c>
      <c r="K2844" s="32" t="str">
        <f aca="false">INDEX('Curva ABC'!$K$8:$K$2847,MATCH(D2844,'Curva ABC'!$B$8:$B$2847,0))</f>
        <v>A</v>
      </c>
    </row>
    <row r="2845" customFormat="false" ht="15" hidden="false" customHeight="false" outlineLevel="0" collapsed="false">
      <c r="A2845" s="34" t="s">
        <v>5801</v>
      </c>
      <c r="B2845" s="34" t="str">
        <f aca="false">Imobilizado!A59</f>
        <v>0338</v>
      </c>
      <c r="C2845" s="34" t="str">
        <f aca="false">Imobilizado!B59</f>
        <v>UFV NORONHA VERDE - IMOBILIZADO</v>
      </c>
      <c r="D2845" s="33" t="n">
        <f aca="false">Imobilizado!C59</f>
        <v>865896</v>
      </c>
      <c r="E2845" s="34" t="str">
        <f aca="false">Imobilizado!D59</f>
        <v>32.12.0194</v>
      </c>
      <c r="F2845" s="34" t="str">
        <f aca="false">Imobilizado!E59</f>
        <v>MEGOMETROS MD 5060X 5KV MEGABRAS 50C 5TO 5KV BATERIA RECARREGAVEL INTERNA (12 V 3000 MAH) </v>
      </c>
      <c r="G2845" s="34" t="str">
        <f aca="false">Imobilizado!J59</f>
        <v>UN</v>
      </c>
      <c r="H2845" s="49" t="n">
        <f aca="false">Imobilizado!F59</f>
        <v>1</v>
      </c>
      <c r="I2845" s="35" t="n">
        <f aca="false">Imobilizado!G59</f>
        <v>16500</v>
      </c>
      <c r="J2845" s="34" t="str">
        <f aca="false">Imobilizado!M59</f>
        <v>4.1.1.011 - Instrumentos para medição</v>
      </c>
      <c r="K2845" s="32" t="str">
        <f aca="false">INDEX('Curva ABC'!$K$8:$K$2847,MATCH(D2845,'Curva ABC'!$B$8:$B$2847,0))</f>
        <v>A</v>
      </c>
    </row>
    <row r="2846" customFormat="false" ht="15" hidden="false" customHeight="false" outlineLevel="0" collapsed="false">
      <c r="A2846" s="34" t="s">
        <v>5801</v>
      </c>
      <c r="B2846" s="34" t="str">
        <f aca="false">Imobilizado!A60</f>
        <v>0338</v>
      </c>
      <c r="C2846" s="34" t="str">
        <f aca="false">Imobilizado!B60</f>
        <v>UFV NORONHA VERDE - IMOBILIZADO</v>
      </c>
      <c r="D2846" s="33" t="n">
        <f aca="false">Imobilizado!C60</f>
        <v>867723</v>
      </c>
      <c r="E2846" s="34" t="str">
        <f aca="false">Imobilizado!D60</f>
        <v>26.04.0125</v>
      </c>
      <c r="F2846" s="34" t="str">
        <f aca="false">Imobilizado!E60</f>
        <v>CINTO DE SEGURANÇA 5 PONTOS CARBOGRAFITE</v>
      </c>
      <c r="G2846" s="34" t="str">
        <f aca="false">Imobilizado!J60</f>
        <v>UN</v>
      </c>
      <c r="H2846" s="49" t="n">
        <f aca="false">Imobilizado!F60</f>
        <v>2</v>
      </c>
      <c r="I2846" s="35" t="n">
        <f aca="false">Imobilizado!G60</f>
        <v>374.51</v>
      </c>
      <c r="J2846" s="34" t="str">
        <f aca="false">Imobilizado!M60</f>
        <v>4.3.4.001 - Equipamento de proteção individual</v>
      </c>
      <c r="K2846" s="32" t="str">
        <f aca="false">INDEX('Curva ABC'!$K$8:$K$2847,MATCH(D2846,'Curva ABC'!$B$8:$B$2847,0))</f>
        <v>B</v>
      </c>
    </row>
    <row r="2847" customFormat="false" ht="15" hidden="false" customHeight="false" outlineLevel="0" collapsed="false">
      <c r="A2847" s="34" t="s">
        <v>5801</v>
      </c>
      <c r="B2847" s="34" t="str">
        <f aca="false">Imobilizado!A61</f>
        <v>0338</v>
      </c>
      <c r="C2847" s="34" t="str">
        <f aca="false">Imobilizado!B61</f>
        <v>UFV NORONHA VERDE - IMOBILIZADO</v>
      </c>
      <c r="D2847" s="33" t="n">
        <f aca="false">Imobilizado!C61</f>
        <v>867726</v>
      </c>
      <c r="E2847" s="34" t="str">
        <f aca="false">Imobilizado!D61</f>
        <v>25.10.0069</v>
      </c>
      <c r="F2847" s="34" t="str">
        <f aca="false">Imobilizado!E61</f>
        <v>CORDA 12MM NR18 100M</v>
      </c>
      <c r="G2847" s="34" t="str">
        <f aca="false">Imobilizado!J61</f>
        <v>R100M</v>
      </c>
      <c r="H2847" s="49" t="n">
        <f aca="false">Imobilizado!F61</f>
        <v>200</v>
      </c>
      <c r="I2847" s="35" t="n">
        <f aca="false">Imobilizado!G61</f>
        <v>687.92</v>
      </c>
      <c r="J2847" s="34" t="str">
        <f aca="false">Imobilizado!M61</f>
        <v>3.8.2.006 - Utensílios</v>
      </c>
      <c r="K2847" s="32" t="str">
        <f aca="false">INDEX('Curva ABC'!$K$8:$K$2847,MATCH(D2847,'Curva ABC'!$B$8:$B$2847,0))</f>
        <v>C</v>
      </c>
    </row>
    <row r="2848" customFormat="false" ht="15" hidden="false" customHeight="false" outlineLevel="0" collapsed="false">
      <c r="A2848" s="34" t="s">
        <v>5801</v>
      </c>
      <c r="B2848" s="34" t="str">
        <f aca="false">Imobilizado!A62</f>
        <v>0338</v>
      </c>
      <c r="C2848" s="34" t="str">
        <f aca="false">Imobilizado!B62</f>
        <v>UFV NORONHA VERDE - IMOBILIZADO</v>
      </c>
      <c r="D2848" s="33" t="n">
        <f aca="false">Imobilizado!C62</f>
        <v>875108</v>
      </c>
      <c r="E2848" s="34" t="str">
        <f aca="false">Imobilizado!D62</f>
        <v>26.04.0128</v>
      </c>
      <c r="F2848" s="34" t="str">
        <f aca="false">Imobilizado!E62</f>
        <v>DESCENSOR TIPO STOP PARA CORDAS DE 9 A 12MM</v>
      </c>
      <c r="G2848" s="34" t="str">
        <f aca="false">Imobilizado!J62</f>
        <v>UN</v>
      </c>
      <c r="H2848" s="49" t="n">
        <f aca="false">Imobilizado!F62</f>
        <v>2</v>
      </c>
      <c r="I2848" s="35" t="n">
        <f aca="false">Imobilizado!G62</f>
        <v>1574.24</v>
      </c>
      <c r="J2848" s="34" t="str">
        <f aca="false">Imobilizado!M62</f>
        <v>4.3.4.001 - Equipamento de proteção individual</v>
      </c>
      <c r="K2848" s="32" t="str">
        <f aca="false">INDEX('Curva ABC'!$K$8:$K$2847,MATCH(D2848,'Curva ABC'!$B$8:$B$2847,0))</f>
        <v>B</v>
      </c>
    </row>
    <row r="2849" customFormat="false" ht="15" hidden="false" customHeight="false" outlineLevel="0" collapsed="false">
      <c r="A2849" s="34" t="s">
        <v>5801</v>
      </c>
      <c r="B2849" s="34" t="str">
        <f aca="false">Imobilizado!A63</f>
        <v>0338</v>
      </c>
      <c r="C2849" s="34" t="str">
        <f aca="false">Imobilizado!B63</f>
        <v>UFV NORONHA VERDE - IMOBILIZADO</v>
      </c>
      <c r="D2849" s="33" t="n">
        <f aca="false">Imobilizado!C63</f>
        <v>932214</v>
      </c>
      <c r="E2849" s="34" t="str">
        <f aca="false">Imobilizado!D63</f>
        <v>24.24.0090</v>
      </c>
      <c r="F2849" s="34" t="str">
        <f aca="false">Imobilizado!E63</f>
        <v>CHAVE DE IMPACTO 1/2" COM DUAS BATERIAS DEWALT DCF922D2-BR</v>
      </c>
      <c r="G2849" s="34" t="str">
        <f aca="false">Imobilizado!J63</f>
        <v>UN</v>
      </c>
      <c r="H2849" s="49" t="n">
        <f aca="false">Imobilizado!F63</f>
        <v>6</v>
      </c>
      <c r="I2849" s="35" t="n">
        <f aca="false">Imobilizado!G63</f>
        <v>9442.2</v>
      </c>
      <c r="J2849" s="34" t="str">
        <f aca="false">Imobilizado!M63</f>
        <v>3.8.2.003 - Ferramentas elétricas/pneumáticas</v>
      </c>
      <c r="K2849" s="32" t="str">
        <f aca="false">INDEX('Curva ABC'!$K$8:$K$2847,MATCH(D2849,'Curva ABC'!$B$8:$B$2847,0))</f>
        <v>A</v>
      </c>
    </row>
    <row r="2850" customFormat="false" ht="15" hidden="false" customHeight="false" outlineLevel="0" collapsed="false">
      <c r="A2850" s="34" t="s">
        <v>5801</v>
      </c>
      <c r="B2850" s="34" t="str">
        <f aca="false">Imobilizado!A64</f>
        <v>0338</v>
      </c>
      <c r="C2850" s="34" t="str">
        <f aca="false">Imobilizado!B64</f>
        <v>UFV NORONHA VERDE - IMOBILIZADO</v>
      </c>
      <c r="D2850" s="33" t="n">
        <f aca="false">Imobilizado!C64</f>
        <v>945189</v>
      </c>
      <c r="E2850" s="34" t="str">
        <f aca="false">Imobilizado!D64</f>
        <v>24.26.0015</v>
      </c>
      <c r="F2850" s="34" t="str">
        <f aca="false">Imobilizado!E64</f>
        <v>SERRA MÁRMORE BOSCH GDC150 125MM, MOTOR 1500W, ROTAÇÃO 12200/RPM</v>
      </c>
      <c r="G2850" s="34" t="str">
        <f aca="false">Imobilizado!J64</f>
        <v>UN</v>
      </c>
      <c r="H2850" s="49" t="n">
        <f aca="false">Imobilizado!F64</f>
        <v>2</v>
      </c>
      <c r="I2850" s="35" t="n">
        <f aca="false">Imobilizado!G64</f>
        <v>1287</v>
      </c>
      <c r="J2850" s="34" t="str">
        <f aca="false">Imobilizado!M64</f>
        <v>3.8.2.003 - Ferramentas elétricas/pneumáticas</v>
      </c>
      <c r="K2850" s="32" t="str">
        <f aca="false">INDEX('Curva ABC'!$K$8:$K$2847,MATCH(D2850,'Curva ABC'!$B$8:$B$2847,0))</f>
        <v>C</v>
      </c>
    </row>
    <row r="2851" customFormat="false" ht="15" hidden="false" customHeight="false" outlineLevel="0" collapsed="false">
      <c r="A2851" s="34" t="s">
        <v>5801</v>
      </c>
      <c r="B2851" s="34" t="str">
        <f aca="false">Imobilizado!A65</f>
        <v>0338</v>
      </c>
      <c r="C2851" s="34" t="str">
        <f aca="false">Imobilizado!B65</f>
        <v>UFV NORONHA VERDE - IMOBILIZADO</v>
      </c>
      <c r="D2851" s="33" t="n">
        <f aca="false">Imobilizado!C65</f>
        <v>957740</v>
      </c>
      <c r="E2851" s="34" t="str">
        <f aca="false">Imobilizado!D65</f>
        <v>26.04.0138</v>
      </c>
      <c r="F2851" s="34" t="str">
        <f aca="false">Imobilizado!E65</f>
        <v>POLIA DE ALUMÍNIO DUPLA 10 A 16MM DUPLA MG - 2028A</v>
      </c>
      <c r="G2851" s="34" t="str">
        <f aca="false">Imobilizado!J65</f>
        <v>UN</v>
      </c>
      <c r="H2851" s="49" t="n">
        <f aca="false">Imobilizado!F65</f>
        <v>4</v>
      </c>
      <c r="I2851" s="35" t="n">
        <f aca="false">Imobilizado!G65</f>
        <v>1467.4</v>
      </c>
      <c r="J2851" s="34" t="str">
        <f aca="false">Imobilizado!M65</f>
        <v>4.3.4.001 - Equipamento de proteção individual</v>
      </c>
      <c r="K2851" s="32" t="str">
        <f aca="false">INDEX('Curva ABC'!$K$8:$K$2847,MATCH(D2851,'Curva ABC'!$B$8:$B$2847,0))</f>
        <v>B</v>
      </c>
    </row>
    <row r="2852" customFormat="false" ht="15" hidden="false" customHeight="false" outlineLevel="0" collapsed="false">
      <c r="A2852" s="34" t="s">
        <v>5801</v>
      </c>
      <c r="B2852" s="34" t="str">
        <f aca="false">Imobilizado!A66</f>
        <v>0338</v>
      </c>
      <c r="C2852" s="34" t="str">
        <f aca="false">Imobilizado!B66</f>
        <v>UFV NORONHA VERDE - IMOBILIZADO</v>
      </c>
      <c r="D2852" s="33" t="n">
        <f aca="false">Imobilizado!C66</f>
        <v>1012114</v>
      </c>
      <c r="E2852" s="34" t="str">
        <f aca="false">Imobilizado!D66</f>
        <v>24.24.0099</v>
      </c>
      <c r="F2852" s="34" t="str">
        <f aca="false">Imobilizado!E66</f>
        <v>CHAVE DE IMPACTO GDS18V-400 1/2" 18V C/ 2 BATERIAIS 4,0AH CARREGADOR E MALETA - BOSCH</v>
      </c>
      <c r="G2852" s="34" t="str">
        <f aca="false">Imobilizado!J66</f>
        <v>UN</v>
      </c>
      <c r="H2852" s="49" t="n">
        <f aca="false">Imobilizado!F66</f>
        <v>10</v>
      </c>
      <c r="I2852" s="35" t="n">
        <f aca="false">Imobilizado!G66</f>
        <v>34643</v>
      </c>
      <c r="J2852" s="34" t="str">
        <f aca="false">Imobilizado!M66</f>
        <v>3.8.2.003 - Ferramentas elétricas/pneumáticas</v>
      </c>
      <c r="K2852" s="32" t="str">
        <f aca="false">INDEX('Curva ABC'!$K$8:$K$2847,MATCH(D2852,'Curva ABC'!$B$8:$B$2847,0))</f>
        <v>A</v>
      </c>
    </row>
    <row r="2853" customFormat="false" ht="15" hidden="false" customHeight="false" outlineLevel="0" collapsed="false">
      <c r="A2853" s="34" t="s">
        <v>5801</v>
      </c>
      <c r="B2853" s="34" t="str">
        <f aca="false">Imobilizado!A67</f>
        <v>0338</v>
      </c>
      <c r="C2853" s="34" t="str">
        <f aca="false">Imobilizado!B67</f>
        <v>UFV NORONHA VERDE - IMOBILIZADO</v>
      </c>
      <c r="D2853" s="33" t="n">
        <f aca="false">Imobilizado!C67</f>
        <v>1014426</v>
      </c>
      <c r="E2853" s="34" t="str">
        <f aca="false">Imobilizado!D67</f>
        <v>24.25.0026</v>
      </c>
      <c r="F2853" s="34" t="str">
        <f aca="false">Imobilizado!E67</f>
        <v>SERRA CIRCULAR MADEIRA 7" (BOSH)</v>
      </c>
      <c r="G2853" s="34" t="str">
        <f aca="false">Imobilizado!J67</f>
        <v>UN</v>
      </c>
      <c r="H2853" s="49" t="n">
        <f aca="false">Imobilizado!F67</f>
        <v>4</v>
      </c>
      <c r="I2853" s="35" t="n">
        <f aca="false">Imobilizado!G67</f>
        <v>4231.4</v>
      </c>
      <c r="J2853" s="34" t="str">
        <f aca="false">Imobilizado!M67</f>
        <v>3.8.2.003 - Ferramentas elétricas/pneumáticas</v>
      </c>
      <c r="K2853" s="32" t="str">
        <f aca="false">INDEX('Curva ABC'!$K$8:$K$2847,MATCH(D2853,'Curva ABC'!$B$8:$B$2847,0))</f>
        <v>B</v>
      </c>
    </row>
    <row r="2854" customFormat="false" ht="15" hidden="false" customHeight="false" outlineLevel="0" collapsed="false">
      <c r="A2854" s="34" t="s">
        <v>5801</v>
      </c>
      <c r="B2854" s="34" t="str">
        <f aca="false">Imobilizado!A68</f>
        <v>0338</v>
      </c>
      <c r="C2854" s="34" t="str">
        <f aca="false">Imobilizado!B68</f>
        <v>UFV NORONHA VERDE - IMOBILIZADO</v>
      </c>
      <c r="D2854" s="33" t="n">
        <f aca="false">Imobilizado!C68</f>
        <v>1067617</v>
      </c>
      <c r="E2854" s="34" t="str">
        <f aca="false">Imobilizado!D68</f>
        <v>26.12.0138</v>
      </c>
      <c r="F2854" s="34" t="str">
        <f aca="false">Imobilizado!E68</f>
        <v>CONE PARA SINALIZAÇÃO</v>
      </c>
      <c r="G2854" s="34" t="str">
        <f aca="false">Imobilizado!J68</f>
        <v>UN</v>
      </c>
      <c r="H2854" s="49" t="n">
        <f aca="false">Imobilizado!F68</f>
        <v>150</v>
      </c>
      <c r="I2854" s="35" t="n">
        <f aca="false">Imobilizado!G68</f>
        <v>9616.47</v>
      </c>
      <c r="J2854" s="34" t="str">
        <f aca="false">Imobilizado!M68</f>
        <v>4.3.4.002 - Equipamento de proteção e sinalização coletiva</v>
      </c>
      <c r="K2854" s="32" t="str">
        <f aca="false">INDEX('Curva ABC'!$K$8:$K$2847,MATCH(D2854,'Curva ABC'!$B$8:$B$2847,0))</f>
        <v>A</v>
      </c>
    </row>
    <row r="2855" customFormat="false" ht="15" hidden="false" customHeight="false" outlineLevel="0" collapsed="false">
      <c r="A2855" s="34" t="s">
        <v>5801</v>
      </c>
      <c r="B2855" s="34" t="str">
        <f aca="false">Imobilizado!A69</f>
        <v>0338</v>
      </c>
      <c r="C2855" s="34" t="str">
        <f aca="false">Imobilizado!B69</f>
        <v>UFV NORONHA VERDE - IMOBILIZADO</v>
      </c>
      <c r="D2855" s="33" t="n">
        <f aca="false">Imobilizado!C69</f>
        <v>1110527</v>
      </c>
      <c r="E2855" s="34" t="str">
        <f aca="false">Imobilizado!D69</f>
        <v>32.07.0217</v>
      </c>
      <c r="F2855" s="34" t="str">
        <f aca="false">Imobilizado!E69</f>
        <v>MÁQUINA DE SOLDA INVERSORA 150 MICRO AMARELA E PRETA 50Hz/60Hz 220v </v>
      </c>
      <c r="G2855" s="34" t="str">
        <f aca="false">Imobilizado!J69</f>
        <v>UN</v>
      </c>
      <c r="H2855" s="49" t="n">
        <f aca="false">Imobilizado!F69</f>
        <v>1</v>
      </c>
      <c r="I2855" s="35" t="n">
        <f aca="false">Imobilizado!G69</f>
        <v>1230</v>
      </c>
      <c r="J2855" s="34" t="str">
        <f aca="false">Imobilizado!M69</f>
        <v>6.1.2.001 - Equipamentos</v>
      </c>
      <c r="K2855" s="32" t="str">
        <f aca="false">INDEX('Curva ABC'!$K$8:$K$2847,MATCH(D2855,'Curva ABC'!$B$8:$B$2847,0))</f>
        <v>C</v>
      </c>
    </row>
    <row r="2856" customFormat="false" ht="15" hidden="false" customHeight="false" outlineLevel="0" collapsed="false">
      <c r="A2856" s="34" t="s">
        <v>5801</v>
      </c>
      <c r="B2856" s="34" t="str">
        <f aca="false">Imobilizado!A70</f>
        <v>0338</v>
      </c>
      <c r="C2856" s="34" t="str">
        <f aca="false">Imobilizado!B70</f>
        <v>UFV NORONHA VERDE - IMOBILIZADO</v>
      </c>
      <c r="D2856" s="33" t="n">
        <f aca="false">Imobilizado!C70</f>
        <v>1113216</v>
      </c>
      <c r="E2856" s="34" t="str">
        <f aca="false">Imobilizado!D70</f>
        <v>32.07.0219</v>
      </c>
      <c r="F2856" s="34" t="str">
        <f aca="false">Imobilizado!E70</f>
        <v>ESMERILHADEIRA ANGULAR GWS 18V 2 BATERIAS 1 CARREGADOR E MALETA</v>
      </c>
      <c r="G2856" s="34" t="str">
        <f aca="false">Imobilizado!J70</f>
        <v>UN</v>
      </c>
      <c r="H2856" s="49" t="n">
        <f aca="false">Imobilizado!F70</f>
        <v>1</v>
      </c>
      <c r="I2856" s="35" t="n">
        <f aca="false">Imobilizado!G70</f>
        <v>1780</v>
      </c>
      <c r="J2856" s="34" t="str">
        <f aca="false">Imobilizado!M70</f>
        <v>6.1.2.001 - Equipamentos</v>
      </c>
      <c r="K2856" s="32" t="str">
        <f aca="false">INDEX('Curva ABC'!$K$8:$K$2847,MATCH(D2856,'Curva ABC'!$B$8:$B$2847,0))</f>
        <v>B</v>
      </c>
    </row>
    <row r="2857" customFormat="false" ht="15" hidden="false" customHeight="false" outlineLevel="0" collapsed="false">
      <c r="A2857" s="34" t="s">
        <v>5801</v>
      </c>
      <c r="B2857" s="34" t="str">
        <f aca="false">Imobilizado!A71</f>
        <v>0338</v>
      </c>
      <c r="C2857" s="34" t="str">
        <f aca="false">Imobilizado!B71</f>
        <v>UFV NORONHA VERDE - IMOBILIZADO</v>
      </c>
      <c r="D2857" s="33" t="n">
        <f aca="false">Imobilizado!C71</f>
        <v>1170016</v>
      </c>
      <c r="E2857" s="34" t="str">
        <f aca="false">Imobilizado!D71</f>
        <v>18.07.0094</v>
      </c>
      <c r="F2857" s="34" t="str">
        <f aca="false">Imobilizado!E71</f>
        <v>RESERVATÓRIO DE 30.000 L EM PEAD</v>
      </c>
      <c r="G2857" s="34" t="str">
        <f aca="false">Imobilizado!J71</f>
        <v>UN</v>
      </c>
      <c r="H2857" s="49" t="n">
        <f aca="false">Imobilizado!F71</f>
        <v>4</v>
      </c>
      <c r="I2857" s="35" t="n">
        <f aca="false">Imobilizado!G71</f>
        <v>160222.49</v>
      </c>
      <c r="J2857" s="34" t="str">
        <f aca="false">Imobilizado!M71</f>
        <v>3.8.1.018 - Instalações hidráulicas/sanitárias/industriais</v>
      </c>
      <c r="K2857" s="32" t="str">
        <f aca="false">INDEX('Curva ABC'!$K$8:$K$2847,MATCH(D2857,'Curva ABC'!$B$8:$B$2847,0))</f>
        <v>A</v>
      </c>
    </row>
    <row r="2858" customFormat="false" ht="15" hidden="false" customHeight="false" outlineLevel="0" collapsed="false">
      <c r="A2858" s="34" t="s">
        <v>5801</v>
      </c>
      <c r="B2858" s="34" t="str">
        <f aca="false">Imobilizado!A72</f>
        <v>0338</v>
      </c>
      <c r="C2858" s="34" t="str">
        <f aca="false">Imobilizado!B72</f>
        <v>UFV NORONHA VERDE - IMOBILIZADO</v>
      </c>
      <c r="D2858" s="33" t="n">
        <f aca="false">Imobilizado!C72</f>
        <v>1258883</v>
      </c>
      <c r="E2858" s="34" t="str">
        <f aca="false">Imobilizado!D72</f>
        <v>32.13.0045</v>
      </c>
      <c r="F2858" s="34" t="str">
        <f aca="false">Imobilizado!E72</f>
        <v>CARPA DORMITÓRIO COM DIVISÓRIA EM PVC - 8 X 16M </v>
      </c>
      <c r="G2858" s="34" t="str">
        <f aca="false">Imobilizado!J72</f>
        <v>UN</v>
      </c>
      <c r="H2858" s="49" t="n">
        <f aca="false">Imobilizado!F72</f>
        <v>11</v>
      </c>
      <c r="I2858" s="35" t="n">
        <f aca="false">Imobilizado!G72</f>
        <v>595000.0001</v>
      </c>
      <c r="J2858" s="34" t="str">
        <f aca="false">Imobilizado!M72</f>
        <v>6.1.2.001 - Equipamentos</v>
      </c>
      <c r="K2858" s="32" t="str">
        <f aca="false">INDEX('Curva ABC'!$K$8:$K$2847,MATCH(D2858,'Curva ABC'!$B$8:$B$2847,0))</f>
        <v>A</v>
      </c>
    </row>
    <row r="2859" customFormat="false" ht="15" hidden="false" customHeight="false" outlineLevel="0" collapsed="false">
      <c r="A2859" s="34" t="s">
        <v>5801</v>
      </c>
      <c r="B2859" s="34" t="str">
        <f aca="false">Imobilizado!A73</f>
        <v>0338</v>
      </c>
      <c r="C2859" s="34" t="str">
        <f aca="false">Imobilizado!B73</f>
        <v>UFV NORONHA VERDE - IMOBILIZADO</v>
      </c>
      <c r="D2859" s="33" t="n">
        <f aca="false">Imobilizado!C73</f>
        <v>1258884</v>
      </c>
      <c r="E2859" s="34" t="str">
        <f aca="false">Imobilizado!D73</f>
        <v>32.13.0046</v>
      </c>
      <c r="F2859" s="34" t="str">
        <f aca="false">Imobilizado!E73</f>
        <v>CARPA BANHEIRO/VESTIÁRIO COM DIVISÓRIA EM PVC  - 8 X 16M </v>
      </c>
      <c r="G2859" s="34" t="str">
        <f aca="false">Imobilizado!J73</f>
        <v>UN</v>
      </c>
      <c r="H2859" s="49" t="n">
        <f aca="false">Imobilizado!F73</f>
        <v>2</v>
      </c>
      <c r="I2859" s="35" t="n">
        <f aca="false">Imobilizado!G73</f>
        <v>116000</v>
      </c>
      <c r="J2859" s="34" t="str">
        <f aca="false">Imobilizado!M73</f>
        <v>6.1.2.001 - Equipamentos</v>
      </c>
      <c r="K2859" s="32" t="str">
        <f aca="false">INDEX('Curva ABC'!$K$8:$K$2847,MATCH(D2859,'Curva ABC'!$B$8:$B$2847,0))</f>
        <v>A</v>
      </c>
    </row>
    <row r="2860" customFormat="false" ht="15" hidden="false" customHeight="false" outlineLevel="0" collapsed="false">
      <c r="A2860" s="34" t="s">
        <v>5801</v>
      </c>
      <c r="B2860" s="34" t="str">
        <f aca="false">Imobilizado!A74</f>
        <v>0338</v>
      </c>
      <c r="C2860" s="34" t="str">
        <f aca="false">Imobilizado!B74</f>
        <v>UFV NORONHA VERDE - IMOBILIZADO</v>
      </c>
      <c r="D2860" s="33" t="n">
        <f aca="false">Imobilizado!C74</f>
        <v>1258885</v>
      </c>
      <c r="E2860" s="34" t="str">
        <f aca="false">Imobilizado!D74</f>
        <v>32.13.0047</v>
      </c>
      <c r="F2860" s="34" t="str">
        <f aca="false">Imobilizado!E74</f>
        <v>CARPA ÁREA DE VIVÊNCIA – 8X16 M</v>
      </c>
      <c r="G2860" s="34" t="str">
        <f aca="false">Imobilizado!J74</f>
        <v>UN</v>
      </c>
      <c r="H2860" s="49" t="n">
        <f aca="false">Imobilizado!F74</f>
        <v>2</v>
      </c>
      <c r="I2860" s="35" t="n">
        <f aca="false">Imobilizado!G74</f>
        <v>100000</v>
      </c>
      <c r="J2860" s="34" t="str">
        <f aca="false">Imobilizado!M74</f>
        <v>6.1.2.001 - Equipamentos</v>
      </c>
      <c r="K2860" s="32" t="str">
        <f aca="false">INDEX('Curva ABC'!$K$8:$K$2847,MATCH(D2860,'Curva ABC'!$B$8:$B$2847,0))</f>
        <v>A</v>
      </c>
    </row>
    <row r="2861" customFormat="false" ht="15" hidden="false" customHeight="false" outlineLevel="0" collapsed="false">
      <c r="A2861" s="34" t="s">
        <v>5801</v>
      </c>
      <c r="B2861" s="34" t="str">
        <f aca="false">Imobilizado!A75</f>
        <v>0338</v>
      </c>
      <c r="C2861" s="34" t="str">
        <f aca="false">Imobilizado!B75</f>
        <v>UFV NORONHA VERDE - IMOBILIZADO</v>
      </c>
      <c r="D2861" s="33" t="n">
        <f aca="false">Imobilizado!C75</f>
        <v>1315072</v>
      </c>
      <c r="E2861" s="34" t="str">
        <f aca="false">Imobilizado!D75</f>
        <v>32.07.0228</v>
      </c>
      <c r="F2861" s="34" t="str">
        <f aca="false">Imobilizado!E75</f>
        <v>ROÇADEIRA A COMBUSTÃO FS 291, COM LÂMINA DE 3 FACAS, Ø 300 MM</v>
      </c>
      <c r="G2861" s="34" t="str">
        <f aca="false">Imobilizado!J75</f>
        <v>UN</v>
      </c>
      <c r="H2861" s="49" t="n">
        <f aca="false">Imobilizado!F75</f>
        <v>2</v>
      </c>
      <c r="I2861" s="35" t="n">
        <f aca="false">Imobilizado!G75</f>
        <v>9539.98</v>
      </c>
      <c r="J2861" s="34" t="str">
        <f aca="false">Imobilizado!M75</f>
        <v>6.1.2.001 - Equipamentos</v>
      </c>
      <c r="K2861" s="32" t="str">
        <f aca="false">INDEX('Curva ABC'!$K$8:$K$2847,MATCH(D2861,'Curva ABC'!$B$8:$B$2847,0))</f>
        <v>A</v>
      </c>
    </row>
    <row r="2862" customFormat="false" ht="15" hidden="false" customHeight="false" outlineLevel="0" collapsed="false">
      <c r="A2862" s="34" t="s">
        <v>5801</v>
      </c>
      <c r="B2862" s="34" t="str">
        <f aca="false">Imobilizado!A76</f>
        <v>0338</v>
      </c>
      <c r="C2862" s="34" t="str">
        <f aca="false">Imobilizado!B76</f>
        <v>UFV NORONHA VERDE - IMOBILIZADO</v>
      </c>
      <c r="D2862" s="33" t="n">
        <f aca="false">Imobilizado!C76</f>
        <v>1316409</v>
      </c>
      <c r="E2862" s="34" t="str">
        <f aca="false">Imobilizado!D76</f>
        <v>18.08.0218</v>
      </c>
      <c r="F2862" s="34" t="str">
        <f aca="false">Imobilizado!E76</f>
        <v>FILTRO ANAERÓBIO DE 10.000 L EM PEAD</v>
      </c>
      <c r="G2862" s="34" t="str">
        <f aca="false">Imobilizado!J76</f>
        <v>UN</v>
      </c>
      <c r="H2862" s="49" t="n">
        <f aca="false">Imobilizado!F76</f>
        <v>3</v>
      </c>
      <c r="I2862" s="35" t="n">
        <f aca="false">Imobilizado!G76</f>
        <v>56894.52</v>
      </c>
      <c r="J2862" s="34" t="str">
        <f aca="false">Imobilizado!M76</f>
        <v>3.8.1.018 - Instalações hidráulicas/sanitárias/industriais</v>
      </c>
      <c r="K2862" s="32" t="str">
        <f aca="false">INDEX('Curva ABC'!$K$8:$K$2847,MATCH(D2862,'Curva ABC'!$B$8:$B$2847,0))</f>
        <v>A</v>
      </c>
    </row>
    <row r="2863" customFormat="false" ht="15" hidden="false" customHeight="false" outlineLevel="0" collapsed="false">
      <c r="A2863" s="34" t="s">
        <v>5801</v>
      </c>
      <c r="B2863" s="34" t="str">
        <f aca="false">Imobilizado!A77</f>
        <v>0338</v>
      </c>
      <c r="C2863" s="34" t="str">
        <f aca="false">Imobilizado!B77</f>
        <v>UFV NORONHA VERDE - IMOBILIZADO</v>
      </c>
      <c r="D2863" s="33" t="n">
        <f aca="false">Imobilizado!C77</f>
        <v>1316410</v>
      </c>
      <c r="E2863" s="34" t="str">
        <f aca="false">Imobilizado!D77</f>
        <v>18.08.0219</v>
      </c>
      <c r="F2863" s="34" t="str">
        <f aca="false">Imobilizado!E77</f>
        <v>CAIXA GRADEADA 2.000 L/H EM PEAD </v>
      </c>
      <c r="G2863" s="34" t="str">
        <f aca="false">Imobilizado!J77</f>
        <v>UN</v>
      </c>
      <c r="H2863" s="49" t="n">
        <f aca="false">Imobilizado!F77</f>
        <v>1</v>
      </c>
      <c r="I2863" s="35" t="n">
        <f aca="false">Imobilizado!G77</f>
        <v>2945</v>
      </c>
      <c r="J2863" s="34" t="str">
        <f aca="false">Imobilizado!M77</f>
        <v>3.8.1.018 - Instalações hidráulicas/sanitárias/industriais</v>
      </c>
      <c r="K2863" s="32" t="str">
        <f aca="false">INDEX('Curva ABC'!$K$8:$K$2847,MATCH(D2863,'Curva ABC'!$B$8:$B$2847,0))</f>
        <v>B</v>
      </c>
    </row>
    <row r="2864" customFormat="false" ht="15" hidden="false" customHeight="false" outlineLevel="0" collapsed="false">
      <c r="A2864" s="34" t="s">
        <v>5801</v>
      </c>
      <c r="B2864" s="34" t="str">
        <f aca="false">Imobilizado!A78</f>
        <v>0338</v>
      </c>
      <c r="C2864" s="34" t="str">
        <f aca="false">Imobilizado!B78</f>
        <v>UFV NORONHA VERDE - IMOBILIZADO</v>
      </c>
      <c r="D2864" s="33" t="n">
        <f aca="false">Imobilizado!C78</f>
        <v>1316411</v>
      </c>
      <c r="E2864" s="34" t="str">
        <f aca="false">Imobilizado!D78</f>
        <v>18.08.0220</v>
      </c>
      <c r="F2864" s="34" t="str">
        <f aca="false">Imobilizado!E78</f>
        <v>CAIXA CLORORADORA 1.000 L EM PEAD </v>
      </c>
      <c r="G2864" s="34" t="str">
        <f aca="false">Imobilizado!J78</f>
        <v>UN</v>
      </c>
      <c r="H2864" s="49" t="n">
        <f aca="false">Imobilizado!F78</f>
        <v>1</v>
      </c>
      <c r="I2864" s="35" t="n">
        <f aca="false">Imobilizado!G78</f>
        <v>1690</v>
      </c>
      <c r="J2864" s="34" t="str">
        <f aca="false">Imobilizado!M78</f>
        <v>3.8.1.018 - Instalações hidráulicas/sanitárias/industriais</v>
      </c>
      <c r="K2864" s="32" t="str">
        <f aca="false">INDEX('Curva ABC'!$K$8:$K$2847,MATCH(D2864,'Curva ABC'!$B$8:$B$2847,0))</f>
        <v>B</v>
      </c>
    </row>
    <row r="2865" customFormat="false" ht="15" hidden="false" customHeight="false" outlineLevel="0" collapsed="false">
      <c r="A2865" s="34" t="s">
        <v>5801</v>
      </c>
      <c r="B2865" s="34" t="str">
        <f aca="false">Imobilizado!A79</f>
        <v>0338</v>
      </c>
      <c r="C2865" s="34" t="str">
        <f aca="false">Imobilizado!B79</f>
        <v>UFV NORONHA VERDE - IMOBILIZADO</v>
      </c>
      <c r="D2865" s="33" t="n">
        <f aca="false">Imobilizado!C79</f>
        <v>1318392</v>
      </c>
      <c r="E2865" s="34" t="str">
        <f aca="false">Imobilizado!D79</f>
        <v>18.08.0221</v>
      </c>
      <c r="F2865" s="34" t="str">
        <f aca="false">Imobilizado!E79</f>
        <v>FOSSA SÉPTICA DE 10.000 L EM PEAD</v>
      </c>
      <c r="G2865" s="34" t="str">
        <f aca="false">Imobilizado!J79</f>
        <v>UN</v>
      </c>
      <c r="H2865" s="49" t="n">
        <f aca="false">Imobilizado!F79</f>
        <v>3</v>
      </c>
      <c r="I2865" s="35" t="n">
        <f aca="false">Imobilizado!G79</f>
        <v>29172</v>
      </c>
      <c r="J2865" s="34" t="str">
        <f aca="false">Imobilizado!M79</f>
        <v>3.8.1.018 - Instalações hidráulicas/sanitárias/industriais</v>
      </c>
      <c r="K2865" s="32" t="str">
        <f aca="false">INDEX('Curva ABC'!$K$8:$K$2847,MATCH(D2865,'Curva ABC'!$B$8:$B$2847,0))</f>
        <v>A</v>
      </c>
    </row>
    <row r="2866" customFormat="false" ht="15" hidden="false" customHeight="false" outlineLevel="0" collapsed="false">
      <c r="A2866" s="34" t="s">
        <v>5801</v>
      </c>
      <c r="B2866" s="34" t="str">
        <f aca="false">Imobilizado!A80</f>
        <v>0338</v>
      </c>
      <c r="C2866" s="34" t="str">
        <f aca="false">Imobilizado!B80</f>
        <v>UFV NORONHA VERDE - IMOBILIZADO</v>
      </c>
      <c r="D2866" s="33" t="n">
        <f aca="false">Imobilizado!C80</f>
        <v>1319146</v>
      </c>
      <c r="E2866" s="34" t="str">
        <f aca="false">Imobilizado!D80</f>
        <v>22.01.0034</v>
      </c>
      <c r="F2866" s="34" t="str">
        <f aca="false">Imobilizado!E80</f>
        <v>MESA PARA TÊNIS DE MESA PING-PONG COM KIT COMPLETO</v>
      </c>
      <c r="G2866" s="34" t="str">
        <f aca="false">Imobilizado!J80</f>
        <v>UN</v>
      </c>
      <c r="H2866" s="49" t="n">
        <f aca="false">Imobilizado!F80</f>
        <v>3</v>
      </c>
      <c r="I2866" s="35" t="n">
        <f aca="false">Imobilizado!G80</f>
        <v>4500</v>
      </c>
      <c r="J2866" s="34" t="str">
        <f aca="false">Imobilizado!M80</f>
        <v>3.8.1.021 - Equipamentos recreativos e esportivos</v>
      </c>
      <c r="K2866" s="32" t="str">
        <f aca="false">INDEX('Curva ABC'!$K$8:$K$2847,MATCH(D2866,'Curva ABC'!$B$8:$B$2847,0))</f>
        <v>B</v>
      </c>
    </row>
    <row r="2867" customFormat="false" ht="15" hidden="false" customHeight="false" outlineLevel="0" collapsed="false">
      <c r="A2867" s="34" t="s">
        <v>5801</v>
      </c>
      <c r="B2867" s="34" t="str">
        <f aca="false">Imobilizado!A81</f>
        <v>0338</v>
      </c>
      <c r="C2867" s="34" t="str">
        <f aca="false">Imobilizado!B81</f>
        <v>UFV NORONHA VERDE - IMOBILIZADO</v>
      </c>
      <c r="D2867" s="33" t="n">
        <f aca="false">Imobilizado!C81</f>
        <v>1330568</v>
      </c>
      <c r="E2867" s="34" t="str">
        <f aca="false">Imobilizado!D81</f>
        <v>19.03.0090</v>
      </c>
      <c r="F2867" s="34" t="str">
        <f aca="false">Imobilizado!E81</f>
        <v>CUBA QUADRADA INOX 600X600 COM VÁLVULA</v>
      </c>
      <c r="G2867" s="34" t="str">
        <f aca="false">Imobilizado!J81</f>
        <v>UN</v>
      </c>
      <c r="H2867" s="49" t="n">
        <f aca="false">Imobilizado!F81</f>
        <v>4</v>
      </c>
      <c r="I2867" s="35" t="n">
        <f aca="false">Imobilizado!G81</f>
        <v>15920</v>
      </c>
      <c r="J2867" s="34" t="str">
        <f aca="false">Imobilizado!M81</f>
        <v>3.8.1.018 - Instalações hidráulicas/sanitárias/industriais</v>
      </c>
      <c r="K2867" s="32" t="str">
        <f aca="false">INDEX('Curva ABC'!$K$8:$K$2847,MATCH(D2867,'Curva ABC'!$B$8:$B$2847,0))</f>
        <v>A</v>
      </c>
    </row>
    <row r="2868" customFormat="false" ht="15" hidden="false" customHeight="false" outlineLevel="0" collapsed="false">
      <c r="A2868" s="34" t="s">
        <v>5801</v>
      </c>
      <c r="B2868" s="34" t="str">
        <f aca="false">Imobilizado!A82</f>
        <v>0338</v>
      </c>
      <c r="C2868" s="34" t="str">
        <f aca="false">Imobilizado!B82</f>
        <v>UFV NORONHA VERDE - IMOBILIZADO</v>
      </c>
      <c r="D2868" s="33" t="n">
        <f aca="false">Imobilizado!C82</f>
        <v>1384097</v>
      </c>
      <c r="E2868" s="34" t="str">
        <f aca="false">Imobilizado!D82</f>
        <v>29.03.0396</v>
      </c>
      <c r="F2868" s="34" t="str">
        <f aca="false">Imobilizado!E82</f>
        <v>INSUFLADOR DE AR. VAZÃO 54M³/H. ACOMPANHA DOIS FILTROS G4 E M5</v>
      </c>
      <c r="G2868" s="34" t="str">
        <f aca="false">Imobilizado!J82</f>
        <v>UN</v>
      </c>
      <c r="H2868" s="49" t="n">
        <f aca="false">Imobilizado!F82</f>
        <v>4</v>
      </c>
      <c r="I2868" s="35" t="n">
        <f aca="false">Imobilizado!G82</f>
        <v>2259.16</v>
      </c>
      <c r="J2868" s="34" t="str">
        <f aca="false">Imobilizado!M82</f>
        <v>4.1.1.009 - Eletro eletrônico e acessórios</v>
      </c>
      <c r="K2868" s="32" t="str">
        <f aca="false">INDEX('Curva ABC'!$K$8:$K$2847,MATCH(D2868,'Curva ABC'!$B$8:$B$2847,0))</f>
        <v>B</v>
      </c>
    </row>
    <row r="2869" customFormat="false" ht="15" hidden="false" customHeight="false" outlineLevel="0" collapsed="false">
      <c r="A2869" s="34" t="s">
        <v>5801</v>
      </c>
      <c r="B2869" s="34" t="str">
        <f aca="false">Imobilizado!A83</f>
        <v>0338</v>
      </c>
      <c r="C2869" s="34" t="str">
        <f aca="false">Imobilizado!B83</f>
        <v>UFV NORONHA VERDE - IMOBILIZADO</v>
      </c>
      <c r="D2869" s="33" t="n">
        <f aca="false">Imobilizado!C83</f>
        <v>1384169</v>
      </c>
      <c r="E2869" s="34" t="str">
        <f aca="false">Imobilizado!D83</f>
        <v>29.03.0398</v>
      </c>
      <c r="F2869" s="34" t="str">
        <f aca="false">Imobilizado!E83</f>
        <v>AR CONDICIONADO - CAPACIDADE 30.000 BTU/H - 220V</v>
      </c>
      <c r="G2869" s="34" t="str">
        <f aca="false">Imobilizado!J83</f>
        <v>UN</v>
      </c>
      <c r="H2869" s="49" t="n">
        <f aca="false">Imobilizado!F83</f>
        <v>4</v>
      </c>
      <c r="I2869" s="35" t="n">
        <f aca="false">Imobilizado!G83</f>
        <v>30212.46</v>
      </c>
      <c r="J2869" s="34" t="str">
        <f aca="false">Imobilizado!M83</f>
        <v>4.1.1.009 - Eletro eletrônico e acessórios</v>
      </c>
      <c r="K2869" s="32" t="str">
        <f aca="false">INDEX('Curva ABC'!$K$8:$K$2847,MATCH(D2869,'Curva ABC'!$B$8:$B$2847,0))</f>
        <v>A</v>
      </c>
    </row>
    <row r="2870" customFormat="false" ht="15" hidden="false" customHeight="false" outlineLevel="0" collapsed="false">
      <c r="A2870" s="34" t="s">
        <v>5801</v>
      </c>
      <c r="B2870" s="34" t="str">
        <f aca="false">Imobilizado!A84</f>
        <v>0338</v>
      </c>
      <c r="C2870" s="34" t="str">
        <f aca="false">Imobilizado!B84</f>
        <v>UFV NORONHA VERDE - IMOBILIZADO</v>
      </c>
      <c r="D2870" s="33" t="n">
        <f aca="false">Imobilizado!C84</f>
        <v>1384170</v>
      </c>
      <c r="E2870" s="34" t="str">
        <f aca="false">Imobilizado!D84</f>
        <v>29.03.0399</v>
      </c>
      <c r="F2870" s="34" t="str">
        <f aca="false">Imobilizado!E84</f>
        <v>AR CONDICIONADO - CAPACIDADE 18.000 BTU/H - 220V</v>
      </c>
      <c r="G2870" s="34" t="str">
        <f aca="false">Imobilizado!J84</f>
        <v>UN</v>
      </c>
      <c r="H2870" s="49" t="n">
        <f aca="false">Imobilizado!F84</f>
        <v>2</v>
      </c>
      <c r="I2870" s="35" t="n">
        <f aca="false">Imobilizado!G84</f>
        <v>6921.18</v>
      </c>
      <c r="J2870" s="34" t="str">
        <f aca="false">Imobilizado!M84</f>
        <v>4.1.1.009 - Eletro eletrônico e acessórios</v>
      </c>
      <c r="K2870" s="32" t="str">
        <f aca="false">INDEX('Curva ABC'!$K$8:$K$2847,MATCH(D2870,'Curva ABC'!$B$8:$B$2847,0))</f>
        <v>B</v>
      </c>
    </row>
    <row r="2871" customFormat="false" ht="15" hidden="false" customHeight="false" outlineLevel="0" collapsed="false">
      <c r="A2871" s="34" t="s">
        <v>5801</v>
      </c>
      <c r="B2871" s="34" t="str">
        <f aca="false">Imobilizado!A85</f>
        <v>0338</v>
      </c>
      <c r="C2871" s="34" t="str">
        <f aca="false">Imobilizado!B85</f>
        <v>UFV NORONHA VERDE - IMOBILIZADO</v>
      </c>
      <c r="D2871" s="33" t="n">
        <f aca="false">Imobilizado!C85</f>
        <v>1468880</v>
      </c>
      <c r="E2871" s="34" t="str">
        <f aca="false">Imobilizado!D85</f>
        <v>17.14.0033</v>
      </c>
      <c r="F2871" s="34" t="str">
        <f aca="false">Imobilizado!E85</f>
        <v>CÂMERA CORPORAL 4K B4K5 128GB 3400MAH IP68 COM VISÃO NOTURNA E GPS</v>
      </c>
      <c r="G2871" s="34" t="str">
        <f aca="false">Imobilizado!J85</f>
        <v>UN</v>
      </c>
      <c r="H2871" s="49" t="n">
        <f aca="false">Imobilizado!F85</f>
        <v>10</v>
      </c>
      <c r="I2871" s="35" t="n">
        <f aca="false">Imobilizado!G85</f>
        <v>20290</v>
      </c>
      <c r="J2871" s="34" t="str">
        <f aca="false">Imobilizado!M85</f>
        <v>4.1.1.009 - Eletro eletrônico e acessórios</v>
      </c>
      <c r="K2871" s="32" t="str">
        <f aca="false">INDEX('Curva ABC'!$K$8:$K$2847,MATCH(D2871,'Curva ABC'!$B$8:$B$2847,0))</f>
        <v>A</v>
      </c>
    </row>
    <row r="2872" customFormat="false" ht="15" hidden="false" customHeight="false" outlineLevel="0" collapsed="false">
      <c r="A2872" s="34" t="s">
        <v>5801</v>
      </c>
      <c r="B2872" s="34" t="str">
        <f aca="false">Imobilizado!A86</f>
        <v>0338</v>
      </c>
      <c r="C2872" s="34" t="str">
        <f aca="false">Imobilizado!B86</f>
        <v>UFV NORONHA VERDE - IMOBILIZADO</v>
      </c>
      <c r="D2872" s="33" t="n">
        <f aca="false">Imobilizado!C86</f>
        <v>1470345</v>
      </c>
      <c r="E2872" s="34" t="str">
        <f aca="false">Imobilizado!D86</f>
        <v>24.41.0400</v>
      </c>
      <c r="F2872" s="34" t="str">
        <f aca="false">Imobilizado!E86</f>
        <v>TÓRQUÍMETRO DE ESTALO COM CATRACA 1/2",20-100 NM - GEDORE RED CALIBRADO</v>
      </c>
      <c r="G2872" s="34" t="str">
        <f aca="false">Imobilizado!J86</f>
        <v>UN</v>
      </c>
      <c r="H2872" s="49" t="n">
        <f aca="false">Imobilizado!F86</f>
        <v>4</v>
      </c>
      <c r="I2872" s="35" t="n">
        <f aca="false">Imobilizado!G86</f>
        <v>16840</v>
      </c>
      <c r="J2872" s="34" t="str">
        <f aca="false">Imobilizado!M86</f>
        <v>3.8.2.002 - Ferramentas manuais</v>
      </c>
      <c r="K2872" s="32" t="str">
        <f aca="false">INDEX('Curva ABC'!$K$8:$K$2847,MATCH(D2872,'Curva ABC'!$B$8:$B$2847,0))</f>
        <v>A</v>
      </c>
    </row>
    <row r="2873" customFormat="false" ht="15" hidden="false" customHeight="false" outlineLevel="0" collapsed="false">
      <c r="A2873" s="34" t="s">
        <v>5801</v>
      </c>
      <c r="B2873" s="34" t="str">
        <f aca="false">Imobilizado!A87</f>
        <v>0338</v>
      </c>
      <c r="C2873" s="34" t="str">
        <f aca="false">Imobilizado!B87</f>
        <v>UFV NORONHA VERDE - IMOBILIZADO</v>
      </c>
      <c r="D2873" s="33" t="n">
        <f aca="false">Imobilizado!C87</f>
        <v>1470346</v>
      </c>
      <c r="E2873" s="34" t="str">
        <f aca="false">Imobilizado!D87</f>
        <v>24.41.0401</v>
      </c>
      <c r="F2873" s="34" t="str">
        <f aca="false">Imobilizado!E87</f>
        <v>TÓRQUIMETRO DE ESTALO COM CATRACA 1/2",5-25 NM - GEDORE RED CALIBRADO</v>
      </c>
      <c r="G2873" s="34" t="str">
        <f aca="false">Imobilizado!J87</f>
        <v>UN</v>
      </c>
      <c r="H2873" s="49" t="n">
        <f aca="false">Imobilizado!F87</f>
        <v>3</v>
      </c>
      <c r="I2873" s="35" t="n">
        <f aca="false">Imobilizado!G87</f>
        <v>11910</v>
      </c>
      <c r="J2873" s="34" t="str">
        <f aca="false">Imobilizado!M87</f>
        <v>3.8.2.002 - Ferramentas manuais</v>
      </c>
      <c r="K2873" s="32" t="str">
        <f aca="false">INDEX('Curva ABC'!$K$8:$K$2847,MATCH(D2873,'Curva ABC'!$B$8:$B$2847,0))</f>
        <v>A</v>
      </c>
    </row>
    <row r="2874" customFormat="false" ht="15" hidden="false" customHeight="false" outlineLevel="0" collapsed="false">
      <c r="A2874" s="34" t="s">
        <v>5801</v>
      </c>
      <c r="B2874" s="34" t="str">
        <f aca="false">Imobilizado!A88</f>
        <v>0338</v>
      </c>
      <c r="C2874" s="34" t="str">
        <f aca="false">Imobilizado!B88</f>
        <v>UFV NORONHA VERDE - IMOBILIZADO</v>
      </c>
      <c r="D2874" s="33" t="n">
        <f aca="false">Imobilizado!C88</f>
        <v>1471634</v>
      </c>
      <c r="E2874" s="34" t="str">
        <f aca="false">Imobilizado!D88</f>
        <v>32.09.0152</v>
      </c>
      <c r="F2874" s="34" t="str">
        <f aca="false">Imobilizado!E88</f>
        <v>MOTOBOMBA 3 CV 220 CV MONOFASICO C/ INVERTER</v>
      </c>
      <c r="G2874" s="34" t="str">
        <f aca="false">Imobilizado!J88</f>
        <v>UN</v>
      </c>
      <c r="H2874" s="49" t="n">
        <f aca="false">Imobilizado!F88</f>
        <v>1</v>
      </c>
      <c r="I2874" s="35" t="n">
        <f aca="false">Imobilizado!G88</f>
        <v>6115.95</v>
      </c>
      <c r="J2874" s="34" t="str">
        <f aca="false">Imobilizado!M88</f>
        <v>6.1.2.001 - Equipamentos</v>
      </c>
      <c r="K2874" s="32" t="str">
        <f aca="false">INDEX('Curva ABC'!$K$8:$K$2847,MATCH(D2874,'Curva ABC'!$B$8:$B$2847,0))</f>
        <v>B</v>
      </c>
    </row>
    <row r="2875" customFormat="false" ht="15" hidden="false" customHeight="false" outlineLevel="0" collapsed="false">
      <c r="A2875" s="34" t="s">
        <v>5801</v>
      </c>
      <c r="B2875" s="34" t="str">
        <f aca="false">Imobilizado!A89</f>
        <v>0338</v>
      </c>
      <c r="C2875" s="34" t="str">
        <f aca="false">Imobilizado!B89</f>
        <v>UFV NORONHA VERDE - IMOBILIZADO</v>
      </c>
      <c r="D2875" s="33" t="n">
        <f aca="false">Imobilizado!C89</f>
        <v>1475760</v>
      </c>
      <c r="E2875" s="34" t="str">
        <f aca="false">Imobilizado!D89</f>
        <v>24.41.0402</v>
      </c>
      <c r="F2875" s="34" t="str">
        <f aca="false">Imobilizado!E89</f>
        <v>BATERIA RECARREGÁVEL PARA FERRAMENTA ELÉTRICA</v>
      </c>
      <c r="G2875" s="34" t="str">
        <f aca="false">Imobilizado!J89</f>
        <v>UN</v>
      </c>
      <c r="H2875" s="49" t="n">
        <f aca="false">Imobilizado!F89</f>
        <v>4</v>
      </c>
      <c r="I2875" s="35" t="n">
        <f aca="false">Imobilizado!G89</f>
        <v>2897.92</v>
      </c>
      <c r="J2875" s="34" t="str">
        <f aca="false">Imobilizado!M89</f>
        <v>3.7.2.002 - Serviço em ferramentas/utensílios</v>
      </c>
      <c r="K2875" s="32" t="str">
        <f aca="false">INDEX('Curva ABC'!$K$8:$K$2847,MATCH(D2875,'Curva ABC'!$B$8:$B$2847,0))</f>
        <v>B</v>
      </c>
    </row>
    <row r="2876" customFormat="false" ht="22.35" hidden="false" customHeight="false" outlineLevel="0" collapsed="false">
      <c r="A2876" s="34" t="s">
        <v>5801</v>
      </c>
      <c r="B2876" s="34" t="str">
        <f aca="false">Imobilizado!A90</f>
        <v>0338</v>
      </c>
      <c r="C2876" s="34" t="str">
        <f aca="false">Imobilizado!B90</f>
        <v>UFV NORONHA VERDE - IMOBILIZADO</v>
      </c>
      <c r="D2876" s="33" t="n">
        <f aca="false">Imobilizado!C90</f>
        <v>1475903</v>
      </c>
      <c r="E2876" s="34" t="str">
        <f aca="false">Imobilizado!D90</f>
        <v>29.03.0405</v>
      </c>
      <c r="F2876" s="50" t="str">
        <f aca="false">Imobilizado!E90</f>
        <v>DETECTOR DE ALTA TENSÃO SEM CONTATO 240V–500 kV
</v>
      </c>
      <c r="G2876" s="34" t="str">
        <f aca="false">Imobilizado!J90</f>
        <v>UN</v>
      </c>
      <c r="H2876" s="49" t="n">
        <f aca="false">Imobilizado!F90</f>
        <v>2</v>
      </c>
      <c r="I2876" s="35" t="n">
        <f aca="false">Imobilizado!G90</f>
        <v>4835.9</v>
      </c>
      <c r="J2876" s="34" t="str">
        <f aca="false">Imobilizado!M90</f>
        <v>4.1.1.011 - Instrumentos para medição</v>
      </c>
      <c r="K2876" s="32" t="str">
        <f aca="false">INDEX('Curva ABC'!$K$8:$K$2847,MATCH(D2876,'Curva ABC'!$B$8:$B$2847,0))</f>
        <v>B</v>
      </c>
    </row>
    <row r="2877" customFormat="false" ht="15" hidden="false" customHeight="false" outlineLevel="0" collapsed="false">
      <c r="A2877" s="34" t="s">
        <v>5801</v>
      </c>
      <c r="B2877" s="34" t="str">
        <f aca="false">Imobilizado!A91</f>
        <v>0338</v>
      </c>
      <c r="C2877" s="34" t="str">
        <f aca="false">Imobilizado!B91</f>
        <v>UFV NORONHA VERDE - IMOBILIZADO</v>
      </c>
      <c r="D2877" s="33" t="n">
        <f aca="false">Imobilizado!C91</f>
        <v>1475927</v>
      </c>
      <c r="E2877" s="34" t="str">
        <f aca="false">Imobilizado!D91</f>
        <v>32.07.0234</v>
      </c>
      <c r="F2877" s="34" t="str">
        <f aca="false">Imobilizado!E91</f>
        <v>ESMERILHADEIRA ANGULAR A BATERIA 18V</v>
      </c>
      <c r="G2877" s="34" t="str">
        <f aca="false">Imobilizado!J91</f>
        <v>UN</v>
      </c>
      <c r="H2877" s="49" t="n">
        <f aca="false">Imobilizado!F91</f>
        <v>1</v>
      </c>
      <c r="I2877" s="35" t="n">
        <f aca="false">Imobilizado!G91</f>
        <v>1890</v>
      </c>
      <c r="J2877" s="34" t="str">
        <f aca="false">Imobilizado!M91</f>
        <v>6.1.2.001 - Equipamentos</v>
      </c>
      <c r="K2877" s="32" t="str">
        <f aca="false">INDEX('Curva ABC'!$K$8:$K$2847,MATCH(D2877,'Curva ABC'!$B$8:$B$2847,0))</f>
        <v>B</v>
      </c>
    </row>
    <row r="2878" customFormat="false" ht="15" hidden="false" customHeight="false" outlineLevel="0" collapsed="false">
      <c r="A2878" s="34" t="s">
        <v>5801</v>
      </c>
      <c r="B2878" s="34" t="str">
        <f aca="false">Imobilizado!A92</f>
        <v>0338</v>
      </c>
      <c r="C2878" s="34" t="str">
        <f aca="false">Imobilizado!B92</f>
        <v>UFV NORONHA VERDE - IMOBILIZADO</v>
      </c>
      <c r="D2878" s="33" t="n">
        <f aca="false">Imobilizado!C92</f>
        <v>1475999</v>
      </c>
      <c r="E2878" s="34" t="str">
        <f aca="false">Imobilizado!D92</f>
        <v>33.01.0079</v>
      </c>
      <c r="F2878" s="34" t="str">
        <f aca="false">Imobilizado!E92</f>
        <v>ROÇADEIRA PODADOR</v>
      </c>
      <c r="G2878" s="34" t="str">
        <f aca="false">Imobilizado!J92</f>
        <v>UN</v>
      </c>
      <c r="H2878" s="49" t="n">
        <f aca="false">Imobilizado!F92</f>
        <v>1</v>
      </c>
      <c r="I2878" s="35" t="n">
        <f aca="false">Imobilizado!G92</f>
        <v>1222.5</v>
      </c>
      <c r="J2878" s="34" t="str">
        <f aca="false">Imobilizado!M92</f>
        <v>6.1.2.001 - Equipamentos</v>
      </c>
      <c r="K2878" s="32" t="str">
        <f aca="false">INDEX('Curva ABC'!$K$8:$K$2847,MATCH(D2878,'Curva ABC'!$B$8:$B$2847,0))</f>
        <v>C</v>
      </c>
    </row>
  </sheetData>
  <autoFilter ref="A1:K28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27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9" activeCellId="0" sqref="E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70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3" min="13" style="0" width="46"/>
  </cols>
  <sheetData>
    <row r="1" customFormat="false" ht="30" hidden="false" customHeight="true" outlineLevel="0" collapsed="false">
      <c r="A1" s="51" t="s">
        <v>5774</v>
      </c>
      <c r="B1" s="51" t="s">
        <v>5802</v>
      </c>
      <c r="C1" s="51" t="s">
        <v>21</v>
      </c>
      <c r="D1" s="51" t="s">
        <v>5803</v>
      </c>
      <c r="E1" s="51" t="s">
        <v>5804</v>
      </c>
      <c r="F1" s="51" t="s">
        <v>5805</v>
      </c>
      <c r="G1" s="51" t="s">
        <v>5806</v>
      </c>
      <c r="H1" s="51" t="s">
        <v>5807</v>
      </c>
      <c r="I1" s="51" t="s">
        <v>5808</v>
      </c>
      <c r="J1" s="51" t="s">
        <v>5809</v>
      </c>
      <c r="K1" s="51" t="s">
        <v>5810</v>
      </c>
      <c r="L1" s="51" t="s">
        <v>5811</v>
      </c>
      <c r="M1" s="51" t="s">
        <v>5812</v>
      </c>
    </row>
    <row r="2" customFormat="false" ht="17.25" hidden="false" customHeight="true" outlineLevel="0" collapsed="false">
      <c r="A2" s="52" t="s">
        <v>5777</v>
      </c>
      <c r="B2" s="52" t="s">
        <v>5813</v>
      </c>
      <c r="C2" s="53" t="n">
        <v>387747</v>
      </c>
      <c r="D2" s="52" t="s">
        <v>39</v>
      </c>
      <c r="E2" s="52" t="s">
        <v>40</v>
      </c>
      <c r="F2" s="54" t="n">
        <v>8080</v>
      </c>
      <c r="G2" s="55" t="n">
        <v>348968.62</v>
      </c>
      <c r="H2" s="55" t="n">
        <v>43.1892</v>
      </c>
      <c r="I2" s="55" t="n">
        <v>51.1</v>
      </c>
      <c r="J2" s="52" t="s">
        <v>5814</v>
      </c>
      <c r="K2" s="56" t="n">
        <v>1</v>
      </c>
      <c r="L2" s="52" t="s">
        <v>5814</v>
      </c>
      <c r="M2" s="52" t="s">
        <v>38</v>
      </c>
    </row>
    <row r="3" customFormat="false" ht="17.25" hidden="false" customHeight="true" outlineLevel="0" collapsed="false">
      <c r="A3" s="52" t="s">
        <v>5777</v>
      </c>
      <c r="B3" s="52" t="s">
        <v>5813</v>
      </c>
      <c r="C3" s="53" t="n">
        <v>1328095</v>
      </c>
      <c r="D3" s="52" t="s">
        <v>41</v>
      </c>
      <c r="E3" s="52" t="s">
        <v>42</v>
      </c>
      <c r="F3" s="54" t="n">
        <v>1000</v>
      </c>
      <c r="G3" s="55" t="n">
        <v>340633.99</v>
      </c>
      <c r="H3" s="55" t="n">
        <v>340.634</v>
      </c>
      <c r="I3" s="55" t="n">
        <v>340.6528</v>
      </c>
      <c r="J3" s="52" t="s">
        <v>5814</v>
      </c>
      <c r="K3" s="56" t="n">
        <v>1</v>
      </c>
      <c r="L3" s="52" t="s">
        <v>5814</v>
      </c>
      <c r="M3" s="52" t="s">
        <v>38</v>
      </c>
    </row>
    <row r="4" customFormat="false" ht="17.25" hidden="false" customHeight="true" outlineLevel="0" collapsed="false">
      <c r="A4" s="52" t="s">
        <v>5777</v>
      </c>
      <c r="B4" s="52" t="s">
        <v>5813</v>
      </c>
      <c r="C4" s="53" t="n">
        <v>1092910</v>
      </c>
      <c r="D4" s="52" t="s">
        <v>45</v>
      </c>
      <c r="E4" s="52" t="s">
        <v>46</v>
      </c>
      <c r="F4" s="54" t="n">
        <v>13307.4</v>
      </c>
      <c r="G4" s="55" t="n">
        <v>319377.6</v>
      </c>
      <c r="H4" s="55" t="n">
        <v>24</v>
      </c>
      <c r="I4" s="55" t="n">
        <v>24</v>
      </c>
      <c r="J4" s="52" t="s">
        <v>5815</v>
      </c>
      <c r="K4" s="56" t="n">
        <v>1</v>
      </c>
      <c r="L4" s="52" t="s">
        <v>5815</v>
      </c>
      <c r="M4" s="52" t="s">
        <v>47</v>
      </c>
    </row>
    <row r="5" customFormat="false" ht="17.25" hidden="false" customHeight="true" outlineLevel="0" collapsed="false">
      <c r="A5" s="52" t="s">
        <v>5777</v>
      </c>
      <c r="B5" s="52" t="s">
        <v>5813</v>
      </c>
      <c r="C5" s="53" t="n">
        <v>1485414</v>
      </c>
      <c r="D5" s="52" t="s">
        <v>55</v>
      </c>
      <c r="E5" s="52" t="s">
        <v>56</v>
      </c>
      <c r="F5" s="54" t="n">
        <v>13</v>
      </c>
      <c r="G5" s="55" t="n">
        <v>198764.12</v>
      </c>
      <c r="H5" s="55" t="n">
        <v>15289.5477</v>
      </c>
      <c r="I5" s="55" t="n">
        <v>15359.6033</v>
      </c>
      <c r="J5" s="52" t="s">
        <v>5816</v>
      </c>
      <c r="K5" s="56" t="n">
        <v>1</v>
      </c>
      <c r="L5" s="52" t="s">
        <v>5816</v>
      </c>
      <c r="M5" s="52" t="s">
        <v>38</v>
      </c>
    </row>
    <row r="6" customFormat="false" ht="17.25" hidden="false" customHeight="true" outlineLevel="0" collapsed="false">
      <c r="A6" s="52" t="s">
        <v>5777</v>
      </c>
      <c r="B6" s="52" t="s">
        <v>5813</v>
      </c>
      <c r="C6" s="53" t="n">
        <v>1321831</v>
      </c>
      <c r="D6" s="52" t="s">
        <v>57</v>
      </c>
      <c r="E6" s="52" t="s">
        <v>58</v>
      </c>
      <c r="F6" s="54" t="n">
        <v>2</v>
      </c>
      <c r="G6" s="55" t="n">
        <v>171047.93</v>
      </c>
      <c r="H6" s="55" t="n">
        <v>85523.965</v>
      </c>
      <c r="I6" s="55" t="n">
        <v>85523.97</v>
      </c>
      <c r="J6" s="52" t="s">
        <v>5816</v>
      </c>
      <c r="K6" s="56" t="n">
        <v>1</v>
      </c>
      <c r="L6" s="52" t="s">
        <v>5816</v>
      </c>
      <c r="M6" s="52" t="s">
        <v>38</v>
      </c>
    </row>
    <row r="7" customFormat="false" ht="17.25" hidden="false" customHeight="true" outlineLevel="0" collapsed="false">
      <c r="A7" s="52" t="s">
        <v>5777</v>
      </c>
      <c r="B7" s="52" t="s">
        <v>5813</v>
      </c>
      <c r="C7" s="53" t="n">
        <v>1321832</v>
      </c>
      <c r="D7" s="52" t="s">
        <v>59</v>
      </c>
      <c r="E7" s="52" t="s">
        <v>60</v>
      </c>
      <c r="F7" s="54" t="n">
        <v>2</v>
      </c>
      <c r="G7" s="55" t="n">
        <v>169258.31</v>
      </c>
      <c r="H7" s="55" t="n">
        <v>84629.155</v>
      </c>
      <c r="I7" s="55" t="n">
        <v>84629.15</v>
      </c>
      <c r="J7" s="52" t="s">
        <v>5816</v>
      </c>
      <c r="K7" s="56" t="n">
        <v>1</v>
      </c>
      <c r="L7" s="52" t="s">
        <v>5816</v>
      </c>
      <c r="M7" s="52" t="s">
        <v>38</v>
      </c>
    </row>
    <row r="8" customFormat="false" ht="17.25" hidden="false" customHeight="true" outlineLevel="0" collapsed="false">
      <c r="A8" s="52" t="s">
        <v>5777</v>
      </c>
      <c r="B8" s="52" t="s">
        <v>5813</v>
      </c>
      <c r="C8" s="53" t="n">
        <v>57985</v>
      </c>
      <c r="D8" s="52" t="s">
        <v>61</v>
      </c>
      <c r="E8" s="52" t="s">
        <v>62</v>
      </c>
      <c r="F8" s="54" t="n">
        <v>2587.5</v>
      </c>
      <c r="G8" s="55" t="n">
        <v>163012.5</v>
      </c>
      <c r="H8" s="55" t="n">
        <v>63</v>
      </c>
      <c r="I8" s="55" t="n">
        <v>63</v>
      </c>
      <c r="J8" s="52" t="s">
        <v>5815</v>
      </c>
      <c r="K8" s="56" t="n">
        <v>1</v>
      </c>
      <c r="L8" s="52" t="s">
        <v>5815</v>
      </c>
      <c r="M8" s="52" t="s">
        <v>63</v>
      </c>
    </row>
    <row r="9" customFormat="false" ht="17.25" hidden="false" customHeight="true" outlineLevel="0" collapsed="false">
      <c r="A9" s="52" t="s">
        <v>5777</v>
      </c>
      <c r="B9" s="52" t="s">
        <v>5813</v>
      </c>
      <c r="C9" s="53" t="n">
        <v>742688</v>
      </c>
      <c r="D9" s="52" t="s">
        <v>64</v>
      </c>
      <c r="E9" s="52" t="s">
        <v>65</v>
      </c>
      <c r="F9" s="54" t="n">
        <v>2100</v>
      </c>
      <c r="G9" s="55" t="n">
        <v>159390</v>
      </c>
      <c r="H9" s="55" t="n">
        <v>75.9</v>
      </c>
      <c r="I9" s="55" t="n">
        <v>75.9</v>
      </c>
      <c r="J9" s="52" t="s">
        <v>5816</v>
      </c>
      <c r="K9" s="56" t="n">
        <v>1</v>
      </c>
      <c r="L9" s="52" t="s">
        <v>5816</v>
      </c>
      <c r="M9" s="52" t="s">
        <v>66</v>
      </c>
    </row>
    <row r="10" customFormat="false" ht="17.25" hidden="false" customHeight="true" outlineLevel="0" collapsed="false">
      <c r="A10" s="52" t="s">
        <v>5777</v>
      </c>
      <c r="B10" s="52" t="s">
        <v>5813</v>
      </c>
      <c r="C10" s="53" t="n">
        <v>1322477</v>
      </c>
      <c r="D10" s="52" t="s">
        <v>67</v>
      </c>
      <c r="E10" s="52" t="s">
        <v>68</v>
      </c>
      <c r="F10" s="54" t="n">
        <v>804</v>
      </c>
      <c r="G10" s="55" t="n">
        <v>151354.5</v>
      </c>
      <c r="H10" s="55" t="n">
        <v>188.2519</v>
      </c>
      <c r="I10" s="55" t="n">
        <v>188.245</v>
      </c>
      <c r="J10" s="52" t="s">
        <v>5814</v>
      </c>
      <c r="K10" s="56" t="n">
        <v>1</v>
      </c>
      <c r="L10" s="52" t="s">
        <v>5814</v>
      </c>
      <c r="M10" s="52" t="s">
        <v>38</v>
      </c>
    </row>
    <row r="11" customFormat="false" ht="17.25" hidden="false" customHeight="true" outlineLevel="0" collapsed="false">
      <c r="A11" s="52" t="s">
        <v>5777</v>
      </c>
      <c r="B11" s="52" t="s">
        <v>5813</v>
      </c>
      <c r="C11" s="53" t="n">
        <v>884974</v>
      </c>
      <c r="D11" s="52" t="s">
        <v>71</v>
      </c>
      <c r="E11" s="52" t="s">
        <v>72</v>
      </c>
      <c r="F11" s="54" t="n">
        <v>600</v>
      </c>
      <c r="G11" s="55" t="n">
        <v>142639.77</v>
      </c>
      <c r="H11" s="55" t="n">
        <v>237.733</v>
      </c>
      <c r="I11" s="55" t="n">
        <v>404.22</v>
      </c>
      <c r="J11" s="52" t="s">
        <v>5817</v>
      </c>
      <c r="K11" s="56" t="n">
        <v>1</v>
      </c>
      <c r="L11" s="52" t="s">
        <v>5817</v>
      </c>
      <c r="M11" s="52" t="s">
        <v>38</v>
      </c>
    </row>
    <row r="12" customFormat="false" ht="17.25" hidden="false" customHeight="true" outlineLevel="0" collapsed="false">
      <c r="A12" s="52" t="s">
        <v>5777</v>
      </c>
      <c r="B12" s="52" t="s">
        <v>5813</v>
      </c>
      <c r="C12" s="53" t="n">
        <v>1328795</v>
      </c>
      <c r="D12" s="52" t="s">
        <v>76</v>
      </c>
      <c r="E12" s="52" t="s">
        <v>77</v>
      </c>
      <c r="F12" s="54" t="n">
        <v>2</v>
      </c>
      <c r="G12" s="55" t="n">
        <v>137108.08</v>
      </c>
      <c r="H12" s="55" t="n">
        <v>68554.04</v>
      </c>
      <c r="I12" s="55" t="n">
        <v>68554.04</v>
      </c>
      <c r="J12" s="52" t="s">
        <v>5816</v>
      </c>
      <c r="K12" s="56" t="n">
        <v>1</v>
      </c>
      <c r="L12" s="52" t="s">
        <v>5816</v>
      </c>
      <c r="M12" s="52" t="s">
        <v>35</v>
      </c>
    </row>
    <row r="13" customFormat="false" ht="17.25" hidden="false" customHeight="true" outlineLevel="0" collapsed="false">
      <c r="A13" s="52" t="s">
        <v>5777</v>
      </c>
      <c r="B13" s="52" t="s">
        <v>5813</v>
      </c>
      <c r="C13" s="53" t="n">
        <v>53717</v>
      </c>
      <c r="D13" s="52" t="s">
        <v>82</v>
      </c>
      <c r="E13" s="52" t="s">
        <v>83</v>
      </c>
      <c r="F13" s="54" t="n">
        <v>10</v>
      </c>
      <c r="G13" s="55" t="n">
        <v>119800</v>
      </c>
      <c r="H13" s="55" t="n">
        <v>11980</v>
      </c>
      <c r="I13" s="55" t="n">
        <v>11980</v>
      </c>
      <c r="J13" s="52" t="s">
        <v>5816</v>
      </c>
      <c r="K13" s="56" t="n">
        <v>1</v>
      </c>
      <c r="L13" s="52" t="s">
        <v>5816</v>
      </c>
      <c r="M13" s="52" t="s">
        <v>54</v>
      </c>
    </row>
    <row r="14" customFormat="false" ht="17.25" hidden="false" customHeight="true" outlineLevel="0" collapsed="false">
      <c r="A14" s="52" t="s">
        <v>5777</v>
      </c>
      <c r="B14" s="52" t="s">
        <v>5813</v>
      </c>
      <c r="C14" s="53" t="n">
        <v>742411</v>
      </c>
      <c r="D14" s="52" t="s">
        <v>86</v>
      </c>
      <c r="E14" s="52" t="s">
        <v>87</v>
      </c>
      <c r="F14" s="54" t="n">
        <v>92000</v>
      </c>
      <c r="G14" s="55" t="n">
        <v>115863.08</v>
      </c>
      <c r="H14" s="55" t="n">
        <v>1.2594</v>
      </c>
      <c r="I14" s="55" t="n">
        <v>1.2594</v>
      </c>
      <c r="J14" s="52" t="s">
        <v>5816</v>
      </c>
      <c r="K14" s="56" t="n">
        <v>1</v>
      </c>
      <c r="L14" s="52" t="s">
        <v>5816</v>
      </c>
      <c r="M14" s="52" t="s">
        <v>54</v>
      </c>
    </row>
    <row r="15" customFormat="false" ht="17.25" hidden="false" customHeight="true" outlineLevel="0" collapsed="false">
      <c r="A15" s="52" t="s">
        <v>5777</v>
      </c>
      <c r="B15" s="52" t="s">
        <v>5813</v>
      </c>
      <c r="C15" s="53" t="n">
        <v>1464891</v>
      </c>
      <c r="D15" s="52" t="s">
        <v>88</v>
      </c>
      <c r="E15" s="52" t="s">
        <v>89</v>
      </c>
      <c r="F15" s="54" t="n">
        <v>109.76</v>
      </c>
      <c r="G15" s="55" t="n">
        <v>112855.23</v>
      </c>
      <c r="H15" s="55" t="n">
        <v>1028.2</v>
      </c>
      <c r="I15" s="55" t="n">
        <v>1028.2</v>
      </c>
      <c r="J15" s="52" t="s">
        <v>5815</v>
      </c>
      <c r="K15" s="56" t="n">
        <v>1</v>
      </c>
      <c r="L15" s="52" t="s">
        <v>5815</v>
      </c>
      <c r="M15" s="52" t="s">
        <v>90</v>
      </c>
    </row>
    <row r="16" customFormat="false" ht="17.25" hidden="false" customHeight="true" outlineLevel="0" collapsed="false">
      <c r="A16" s="52" t="s">
        <v>5777</v>
      </c>
      <c r="B16" s="52" t="s">
        <v>5813</v>
      </c>
      <c r="C16" s="53" t="n">
        <v>1475346</v>
      </c>
      <c r="D16" s="52" t="s">
        <v>98</v>
      </c>
      <c r="E16" s="52" t="s">
        <v>99</v>
      </c>
      <c r="F16" s="54" t="n">
        <v>57</v>
      </c>
      <c r="G16" s="55" t="n">
        <v>97810.95</v>
      </c>
      <c r="H16" s="55" t="n">
        <v>1715.9816</v>
      </c>
      <c r="I16" s="55" t="n">
        <v>1240</v>
      </c>
      <c r="J16" s="52" t="s">
        <v>5816</v>
      </c>
      <c r="K16" s="56" t="n">
        <v>1</v>
      </c>
      <c r="L16" s="52" t="s">
        <v>5816</v>
      </c>
      <c r="M16" s="52" t="s">
        <v>100</v>
      </c>
    </row>
    <row r="17" customFormat="false" ht="17.25" hidden="false" customHeight="true" outlineLevel="0" collapsed="false">
      <c r="A17" s="52" t="s">
        <v>5777</v>
      </c>
      <c r="B17" s="52" t="s">
        <v>5813</v>
      </c>
      <c r="C17" s="53" t="n">
        <v>839805</v>
      </c>
      <c r="D17" s="52" t="s">
        <v>103</v>
      </c>
      <c r="E17" s="52" t="s">
        <v>104</v>
      </c>
      <c r="F17" s="54" t="n">
        <v>160</v>
      </c>
      <c r="G17" s="55" t="n">
        <v>93920</v>
      </c>
      <c r="H17" s="55" t="n">
        <v>587</v>
      </c>
      <c r="I17" s="55" t="n">
        <v>587</v>
      </c>
      <c r="J17" s="52" t="s">
        <v>5816</v>
      </c>
      <c r="K17" s="56" t="n">
        <v>1</v>
      </c>
      <c r="L17" s="52" t="s">
        <v>5816</v>
      </c>
      <c r="M17" s="52" t="s">
        <v>38</v>
      </c>
    </row>
    <row r="18" customFormat="false" ht="17.25" hidden="false" customHeight="true" outlineLevel="0" collapsed="false">
      <c r="A18" s="52" t="s">
        <v>5777</v>
      </c>
      <c r="B18" s="52" t="s">
        <v>5813</v>
      </c>
      <c r="C18" s="53" t="n">
        <v>12123</v>
      </c>
      <c r="D18" s="52" t="s">
        <v>105</v>
      </c>
      <c r="E18" s="52" t="s">
        <v>106</v>
      </c>
      <c r="F18" s="54" t="n">
        <v>3000</v>
      </c>
      <c r="G18" s="55" t="n">
        <v>91160</v>
      </c>
      <c r="H18" s="55" t="n">
        <v>30.3867</v>
      </c>
      <c r="I18" s="55" t="n">
        <v>35</v>
      </c>
      <c r="J18" s="52" t="s">
        <v>5814</v>
      </c>
      <c r="K18" s="56" t="n">
        <v>1</v>
      </c>
      <c r="L18" s="52" t="s">
        <v>5814</v>
      </c>
      <c r="M18" s="52" t="s">
        <v>38</v>
      </c>
    </row>
    <row r="19" customFormat="false" ht="17.25" hidden="false" customHeight="true" outlineLevel="0" collapsed="false">
      <c r="A19" s="52" t="s">
        <v>5777</v>
      </c>
      <c r="B19" s="52" t="s">
        <v>5813</v>
      </c>
      <c r="C19" s="53" t="n">
        <v>1261128</v>
      </c>
      <c r="D19" s="52" t="s">
        <v>109</v>
      </c>
      <c r="E19" s="52" t="s">
        <v>110</v>
      </c>
      <c r="F19" s="54" t="n">
        <v>1476</v>
      </c>
      <c r="G19" s="55" t="n">
        <v>88560</v>
      </c>
      <c r="H19" s="55" t="n">
        <v>60</v>
      </c>
      <c r="I19" s="55" t="n">
        <v>60</v>
      </c>
      <c r="J19" s="52" t="s">
        <v>5815</v>
      </c>
      <c r="K19" s="56" t="n">
        <v>1</v>
      </c>
      <c r="L19" s="52" t="s">
        <v>5815</v>
      </c>
      <c r="M19" s="52" t="s">
        <v>66</v>
      </c>
    </row>
    <row r="20" customFormat="false" ht="17.25" hidden="false" customHeight="true" outlineLevel="0" collapsed="false">
      <c r="A20" s="52" t="s">
        <v>5777</v>
      </c>
      <c r="B20" s="52" t="s">
        <v>5813</v>
      </c>
      <c r="C20" s="53" t="n">
        <v>1261267</v>
      </c>
      <c r="D20" s="52" t="s">
        <v>111</v>
      </c>
      <c r="E20" s="52" t="s">
        <v>112</v>
      </c>
      <c r="F20" s="54" t="n">
        <v>2</v>
      </c>
      <c r="G20" s="55" t="n">
        <v>87265.45</v>
      </c>
      <c r="H20" s="55" t="n">
        <v>43632.725</v>
      </c>
      <c r="I20" s="55" t="n">
        <v>43632.725</v>
      </c>
      <c r="J20" s="52" t="s">
        <v>5816</v>
      </c>
      <c r="K20" s="56" t="n">
        <v>1</v>
      </c>
      <c r="L20" s="52" t="s">
        <v>5816</v>
      </c>
      <c r="M20" s="52" t="s">
        <v>113</v>
      </c>
    </row>
    <row r="21" customFormat="false" ht="17.25" hidden="false" customHeight="true" outlineLevel="0" collapsed="false">
      <c r="A21" s="52" t="s">
        <v>5777</v>
      </c>
      <c r="B21" s="52" t="s">
        <v>5813</v>
      </c>
      <c r="C21" s="53" t="n">
        <v>1384483</v>
      </c>
      <c r="D21" s="52" t="s">
        <v>114</v>
      </c>
      <c r="E21" s="52" t="s">
        <v>115</v>
      </c>
      <c r="F21" s="54" t="n">
        <v>213</v>
      </c>
      <c r="G21" s="55" t="n">
        <v>83740.09</v>
      </c>
      <c r="H21" s="55" t="n">
        <v>393.146</v>
      </c>
      <c r="I21" s="55" t="n">
        <v>422.7722</v>
      </c>
      <c r="J21" s="52" t="s">
        <v>5816</v>
      </c>
      <c r="K21" s="56" t="n">
        <v>1</v>
      </c>
      <c r="L21" s="52" t="s">
        <v>5816</v>
      </c>
      <c r="M21" s="52" t="s">
        <v>38</v>
      </c>
    </row>
    <row r="22" customFormat="false" ht="17.25" hidden="false" customHeight="true" outlineLevel="0" collapsed="false">
      <c r="A22" s="52" t="s">
        <v>5777</v>
      </c>
      <c r="B22" s="52" t="s">
        <v>5813</v>
      </c>
      <c r="C22" s="53" t="n">
        <v>1475322</v>
      </c>
      <c r="D22" s="52" t="s">
        <v>116</v>
      </c>
      <c r="E22" s="52" t="s">
        <v>117</v>
      </c>
      <c r="F22" s="54" t="n">
        <v>51</v>
      </c>
      <c r="G22" s="55" t="n">
        <v>83343</v>
      </c>
      <c r="H22" s="55" t="n">
        <v>1634.1765</v>
      </c>
      <c r="I22" s="55" t="n">
        <v>1115</v>
      </c>
      <c r="J22" s="52" t="s">
        <v>5816</v>
      </c>
      <c r="K22" s="56" t="n">
        <v>1</v>
      </c>
      <c r="L22" s="52" t="s">
        <v>5816</v>
      </c>
      <c r="M22" s="52" t="s">
        <v>100</v>
      </c>
    </row>
    <row r="23" customFormat="false" ht="17.25" hidden="false" customHeight="true" outlineLevel="0" collapsed="false">
      <c r="A23" s="52" t="s">
        <v>5777</v>
      </c>
      <c r="B23" s="52" t="s">
        <v>5813</v>
      </c>
      <c r="C23" s="53" t="n">
        <v>221860</v>
      </c>
      <c r="D23" s="52" t="s">
        <v>120</v>
      </c>
      <c r="E23" s="52" t="s">
        <v>121</v>
      </c>
      <c r="F23" s="54" t="n">
        <v>935</v>
      </c>
      <c r="G23" s="55" t="n">
        <v>81667.22</v>
      </c>
      <c r="H23" s="55" t="n">
        <v>87.3446</v>
      </c>
      <c r="I23" s="55" t="n">
        <v>87.985</v>
      </c>
      <c r="J23" s="52" t="s">
        <v>5814</v>
      </c>
      <c r="K23" s="56" t="n">
        <v>1</v>
      </c>
      <c r="L23" s="52" t="s">
        <v>5814</v>
      </c>
      <c r="M23" s="52" t="s">
        <v>38</v>
      </c>
    </row>
    <row r="24" customFormat="false" ht="17.25" hidden="false" customHeight="true" outlineLevel="0" collapsed="false">
      <c r="A24" s="52" t="s">
        <v>5777</v>
      </c>
      <c r="B24" s="52" t="s">
        <v>5813</v>
      </c>
      <c r="C24" s="53" t="n">
        <v>1170016</v>
      </c>
      <c r="D24" s="52" t="s">
        <v>52</v>
      </c>
      <c r="E24" s="52" t="s">
        <v>53</v>
      </c>
      <c r="F24" s="54" t="n">
        <v>2</v>
      </c>
      <c r="G24" s="55" t="n">
        <v>79550</v>
      </c>
      <c r="H24" s="55" t="n">
        <v>39775</v>
      </c>
      <c r="I24" s="55" t="n">
        <v>39775</v>
      </c>
      <c r="J24" s="52" t="s">
        <v>5816</v>
      </c>
      <c r="K24" s="56" t="n">
        <v>1</v>
      </c>
      <c r="L24" s="52" t="s">
        <v>5816</v>
      </c>
      <c r="M24" s="52" t="s">
        <v>54</v>
      </c>
    </row>
    <row r="25" customFormat="false" ht="17.25" hidden="false" customHeight="true" outlineLevel="0" collapsed="false">
      <c r="A25" s="52" t="s">
        <v>5777</v>
      </c>
      <c r="B25" s="52" t="s">
        <v>5813</v>
      </c>
      <c r="C25" s="53" t="n">
        <v>1465478</v>
      </c>
      <c r="D25" s="52" t="s">
        <v>124</v>
      </c>
      <c r="E25" s="52" t="s">
        <v>125</v>
      </c>
      <c r="F25" s="54" t="n">
        <v>2262</v>
      </c>
      <c r="G25" s="55" t="n">
        <v>79398.01</v>
      </c>
      <c r="H25" s="55" t="n">
        <v>35.1008</v>
      </c>
      <c r="I25" s="55" t="n">
        <v>35.1008</v>
      </c>
      <c r="J25" s="52" t="s">
        <v>5814</v>
      </c>
      <c r="K25" s="56" t="n">
        <v>1</v>
      </c>
      <c r="L25" s="52" t="s">
        <v>5814</v>
      </c>
      <c r="M25" s="52" t="s">
        <v>38</v>
      </c>
    </row>
    <row r="26" customFormat="false" ht="17.25" hidden="false" customHeight="true" outlineLevel="0" collapsed="false">
      <c r="A26" s="52" t="s">
        <v>5777</v>
      </c>
      <c r="B26" s="52" t="s">
        <v>5813</v>
      </c>
      <c r="C26" s="53" t="n">
        <v>554809</v>
      </c>
      <c r="D26" s="52" t="s">
        <v>128</v>
      </c>
      <c r="E26" s="52" t="s">
        <v>129</v>
      </c>
      <c r="F26" s="54" t="n">
        <v>2</v>
      </c>
      <c r="G26" s="55" t="n">
        <v>75960</v>
      </c>
      <c r="H26" s="55" t="n">
        <v>37980</v>
      </c>
      <c r="I26" s="55" t="n">
        <v>37980</v>
      </c>
      <c r="J26" s="52" t="s">
        <v>5816</v>
      </c>
      <c r="K26" s="56" t="n">
        <v>1</v>
      </c>
      <c r="L26" s="52" t="s">
        <v>5816</v>
      </c>
      <c r="M26" s="52" t="s">
        <v>130</v>
      </c>
    </row>
    <row r="27" customFormat="false" ht="17.25" hidden="false" customHeight="true" outlineLevel="0" collapsed="false">
      <c r="A27" s="52" t="s">
        <v>5777</v>
      </c>
      <c r="B27" s="52" t="s">
        <v>5813</v>
      </c>
      <c r="C27" s="53" t="n">
        <v>1257074</v>
      </c>
      <c r="D27" s="52" t="s">
        <v>131</v>
      </c>
      <c r="E27" s="52" t="s">
        <v>132</v>
      </c>
      <c r="F27" s="54" t="n">
        <v>630</v>
      </c>
      <c r="G27" s="55" t="n">
        <v>75413.7</v>
      </c>
      <c r="H27" s="55" t="n">
        <v>119.7043</v>
      </c>
      <c r="I27" s="55" t="n">
        <v>169.45</v>
      </c>
      <c r="J27" s="52" t="s">
        <v>5816</v>
      </c>
      <c r="K27" s="56" t="n">
        <v>1</v>
      </c>
      <c r="L27" s="52" t="s">
        <v>5816</v>
      </c>
      <c r="M27" s="52" t="s">
        <v>133</v>
      </c>
    </row>
    <row r="28" customFormat="false" ht="17.25" hidden="false" customHeight="true" outlineLevel="0" collapsed="false">
      <c r="A28" s="52" t="s">
        <v>5777</v>
      </c>
      <c r="B28" s="52" t="s">
        <v>5813</v>
      </c>
      <c r="C28" s="53" t="n">
        <v>1387756</v>
      </c>
      <c r="D28" s="52" t="s">
        <v>134</v>
      </c>
      <c r="E28" s="52" t="s">
        <v>135</v>
      </c>
      <c r="F28" s="54" t="n">
        <v>14</v>
      </c>
      <c r="G28" s="55" t="n">
        <v>65328.9</v>
      </c>
      <c r="H28" s="55" t="n">
        <v>4666.35</v>
      </c>
      <c r="I28" s="55" t="n">
        <v>4666.35</v>
      </c>
      <c r="J28" s="52" t="s">
        <v>5816</v>
      </c>
      <c r="K28" s="56" t="n">
        <v>1</v>
      </c>
      <c r="L28" s="52" t="s">
        <v>5816</v>
      </c>
      <c r="M28" s="52" t="s">
        <v>38</v>
      </c>
    </row>
    <row r="29" customFormat="false" ht="17.25" hidden="false" customHeight="true" outlineLevel="0" collapsed="false">
      <c r="A29" s="52" t="s">
        <v>5777</v>
      </c>
      <c r="B29" s="52" t="s">
        <v>5813</v>
      </c>
      <c r="C29" s="53" t="n">
        <v>1328133</v>
      </c>
      <c r="D29" s="52" t="s">
        <v>48</v>
      </c>
      <c r="E29" s="52" t="s">
        <v>49</v>
      </c>
      <c r="F29" s="54" t="n">
        <v>576</v>
      </c>
      <c r="G29" s="55" t="n">
        <v>64051.2</v>
      </c>
      <c r="H29" s="55" t="n">
        <v>111.2</v>
      </c>
      <c r="I29" s="55" t="n">
        <v>111.2</v>
      </c>
      <c r="J29" s="52" t="s">
        <v>5814</v>
      </c>
      <c r="K29" s="56" t="n">
        <v>1</v>
      </c>
      <c r="L29" s="52" t="s">
        <v>5814</v>
      </c>
      <c r="M29" s="52" t="s">
        <v>38</v>
      </c>
    </row>
    <row r="30" customFormat="false" ht="17.25" hidden="false" customHeight="true" outlineLevel="0" collapsed="false">
      <c r="A30" s="52" t="s">
        <v>5777</v>
      </c>
      <c r="B30" s="52" t="s">
        <v>5813</v>
      </c>
      <c r="C30" s="53" t="n">
        <v>286788</v>
      </c>
      <c r="D30" s="52" t="s">
        <v>136</v>
      </c>
      <c r="E30" s="52" t="s">
        <v>137</v>
      </c>
      <c r="F30" s="54" t="n">
        <v>250</v>
      </c>
      <c r="G30" s="55" t="n">
        <v>63683.08</v>
      </c>
      <c r="H30" s="55" t="n">
        <v>254.7323</v>
      </c>
      <c r="I30" s="55" t="n">
        <v>233.6228</v>
      </c>
      <c r="J30" s="52" t="s">
        <v>5816</v>
      </c>
      <c r="K30" s="56" t="n">
        <v>1</v>
      </c>
      <c r="L30" s="52" t="s">
        <v>5816</v>
      </c>
      <c r="M30" s="52" t="s">
        <v>138</v>
      </c>
    </row>
    <row r="31" customFormat="false" ht="17.25" hidden="false" customHeight="true" outlineLevel="0" collapsed="false">
      <c r="A31" s="52" t="s">
        <v>5777</v>
      </c>
      <c r="B31" s="52" t="s">
        <v>5813</v>
      </c>
      <c r="C31" s="53" t="n">
        <v>839986</v>
      </c>
      <c r="D31" s="52" t="s">
        <v>143</v>
      </c>
      <c r="E31" s="52" t="s">
        <v>144</v>
      </c>
      <c r="F31" s="54" t="n">
        <v>400</v>
      </c>
      <c r="G31" s="55" t="n">
        <v>52407.47</v>
      </c>
      <c r="H31" s="55" t="n">
        <v>131.0187</v>
      </c>
      <c r="I31" s="55" t="n">
        <v>136.8499</v>
      </c>
      <c r="J31" s="52" t="s">
        <v>5818</v>
      </c>
      <c r="K31" s="56" t="n">
        <v>1</v>
      </c>
      <c r="L31" s="52" t="s">
        <v>5816</v>
      </c>
      <c r="M31" s="52" t="s">
        <v>38</v>
      </c>
    </row>
    <row r="32" customFormat="false" ht="17.25" hidden="false" customHeight="true" outlineLevel="0" collapsed="false">
      <c r="A32" s="52" t="s">
        <v>5777</v>
      </c>
      <c r="B32" s="52" t="s">
        <v>5813</v>
      </c>
      <c r="C32" s="53" t="n">
        <v>1484496</v>
      </c>
      <c r="D32" s="52" t="s">
        <v>147</v>
      </c>
      <c r="E32" s="52" t="s">
        <v>148</v>
      </c>
      <c r="F32" s="54" t="n">
        <v>14</v>
      </c>
      <c r="G32" s="55" t="n">
        <v>50286</v>
      </c>
      <c r="H32" s="55" t="n">
        <v>3591.8571</v>
      </c>
      <c r="I32" s="55" t="n">
        <v>3478.64</v>
      </c>
      <c r="J32" s="52" t="s">
        <v>5816</v>
      </c>
      <c r="K32" s="56" t="n">
        <v>1</v>
      </c>
      <c r="L32" s="52" t="s">
        <v>5816</v>
      </c>
      <c r="M32" s="52" t="s">
        <v>38</v>
      </c>
    </row>
    <row r="33" customFormat="false" ht="17.25" hidden="false" customHeight="true" outlineLevel="0" collapsed="false">
      <c r="A33" s="52" t="s">
        <v>5777</v>
      </c>
      <c r="B33" s="52" t="s">
        <v>5813</v>
      </c>
      <c r="C33" s="53" t="n">
        <v>560464</v>
      </c>
      <c r="D33" s="52" t="s">
        <v>153</v>
      </c>
      <c r="E33" s="52" t="s">
        <v>154</v>
      </c>
      <c r="F33" s="54" t="n">
        <v>600</v>
      </c>
      <c r="G33" s="55" t="n">
        <v>49200</v>
      </c>
      <c r="H33" s="55" t="n">
        <v>82</v>
      </c>
      <c r="I33" s="55" t="n">
        <v>82</v>
      </c>
      <c r="J33" s="52" t="s">
        <v>5814</v>
      </c>
      <c r="K33" s="56" t="n">
        <v>1</v>
      </c>
      <c r="L33" s="52" t="s">
        <v>5814</v>
      </c>
      <c r="M33" s="52" t="s">
        <v>38</v>
      </c>
    </row>
    <row r="34" customFormat="false" ht="17.25" hidden="false" customHeight="true" outlineLevel="0" collapsed="false">
      <c r="A34" s="52" t="s">
        <v>5777</v>
      </c>
      <c r="B34" s="52" t="s">
        <v>5813</v>
      </c>
      <c r="C34" s="53" t="n">
        <v>882066</v>
      </c>
      <c r="D34" s="52" t="s">
        <v>155</v>
      </c>
      <c r="E34" s="52" t="s">
        <v>156</v>
      </c>
      <c r="F34" s="54" t="n">
        <v>300</v>
      </c>
      <c r="G34" s="55" t="n">
        <v>47400</v>
      </c>
      <c r="H34" s="55" t="n">
        <v>158</v>
      </c>
      <c r="I34" s="55" t="n">
        <v>158</v>
      </c>
      <c r="J34" s="52" t="s">
        <v>5816</v>
      </c>
      <c r="K34" s="56" t="n">
        <v>1</v>
      </c>
      <c r="L34" s="52" t="s">
        <v>5816</v>
      </c>
      <c r="M34" s="52" t="s">
        <v>157</v>
      </c>
    </row>
    <row r="35" customFormat="false" ht="17.25" hidden="false" customHeight="true" outlineLevel="0" collapsed="false">
      <c r="A35" s="52" t="s">
        <v>5777</v>
      </c>
      <c r="B35" s="52" t="s">
        <v>5813</v>
      </c>
      <c r="C35" s="53" t="n">
        <v>1324155</v>
      </c>
      <c r="D35" s="52" t="s">
        <v>158</v>
      </c>
      <c r="E35" s="52" t="s">
        <v>159</v>
      </c>
      <c r="F35" s="54" t="n">
        <v>1444</v>
      </c>
      <c r="G35" s="55" t="n">
        <v>46878.9541</v>
      </c>
      <c r="H35" s="55" t="n">
        <v>32.4646</v>
      </c>
      <c r="I35" s="55" t="n">
        <v>33</v>
      </c>
      <c r="J35" s="52" t="s">
        <v>5816</v>
      </c>
      <c r="K35" s="56" t="n">
        <v>1</v>
      </c>
      <c r="L35" s="52" t="s">
        <v>5816</v>
      </c>
      <c r="M35" s="52" t="s">
        <v>160</v>
      </c>
    </row>
    <row r="36" customFormat="false" ht="17.25" hidden="false" customHeight="true" outlineLevel="0" collapsed="false">
      <c r="A36" s="52" t="s">
        <v>5777</v>
      </c>
      <c r="B36" s="52" t="s">
        <v>5813</v>
      </c>
      <c r="C36" s="53" t="n">
        <v>1324194</v>
      </c>
      <c r="D36" s="52" t="s">
        <v>165</v>
      </c>
      <c r="E36" s="52" t="s">
        <v>5819</v>
      </c>
      <c r="F36" s="54" t="n">
        <v>117</v>
      </c>
      <c r="G36" s="55" t="n">
        <v>44226</v>
      </c>
      <c r="H36" s="55" t="n">
        <v>378</v>
      </c>
      <c r="I36" s="55" t="n">
        <v>378</v>
      </c>
      <c r="J36" s="52" t="s">
        <v>5816</v>
      </c>
      <c r="K36" s="56" t="n">
        <v>1</v>
      </c>
      <c r="L36" s="52" t="s">
        <v>5816</v>
      </c>
      <c r="M36" s="52" t="s">
        <v>167</v>
      </c>
    </row>
    <row r="37" customFormat="false" ht="17.25" hidden="false" customHeight="true" outlineLevel="0" collapsed="false">
      <c r="A37" s="52" t="s">
        <v>5777</v>
      </c>
      <c r="B37" s="52" t="s">
        <v>5813</v>
      </c>
      <c r="C37" s="53" t="n">
        <v>1387419</v>
      </c>
      <c r="D37" s="52" t="s">
        <v>171</v>
      </c>
      <c r="E37" s="52" t="s">
        <v>172</v>
      </c>
      <c r="F37" s="54" t="n">
        <v>7</v>
      </c>
      <c r="G37" s="55" t="n">
        <v>43040</v>
      </c>
      <c r="H37" s="55" t="n">
        <v>6148.5714</v>
      </c>
      <c r="I37" s="55" t="n">
        <v>5900</v>
      </c>
      <c r="J37" s="52" t="s">
        <v>5816</v>
      </c>
      <c r="K37" s="56" t="n">
        <v>1</v>
      </c>
      <c r="L37" s="52" t="s">
        <v>5816</v>
      </c>
      <c r="M37" s="52" t="s">
        <v>38</v>
      </c>
    </row>
    <row r="38" customFormat="false" ht="17.25" hidden="false" customHeight="true" outlineLevel="0" collapsed="false">
      <c r="A38" s="52" t="s">
        <v>5777</v>
      </c>
      <c r="B38" s="52" t="s">
        <v>5813</v>
      </c>
      <c r="C38" s="53" t="n">
        <v>1677684</v>
      </c>
      <c r="D38" s="52" t="s">
        <v>173</v>
      </c>
      <c r="E38" s="52" t="s">
        <v>174</v>
      </c>
      <c r="F38" s="54" t="n">
        <v>12</v>
      </c>
      <c r="G38" s="55" t="n">
        <v>42987.84</v>
      </c>
      <c r="H38" s="55" t="n">
        <v>3582.32</v>
      </c>
      <c r="I38" s="55" t="n">
        <v>3582.32</v>
      </c>
      <c r="J38" s="52" t="s">
        <v>5816</v>
      </c>
      <c r="K38" s="56" t="n">
        <v>1</v>
      </c>
      <c r="L38" s="52" t="s">
        <v>5816</v>
      </c>
      <c r="M38" s="52" t="s">
        <v>38</v>
      </c>
    </row>
    <row r="39" customFormat="false" ht="17.25" hidden="false" customHeight="true" outlineLevel="0" collapsed="false">
      <c r="A39" s="52" t="s">
        <v>5777</v>
      </c>
      <c r="B39" s="52" t="s">
        <v>5813</v>
      </c>
      <c r="C39" s="53" t="n">
        <v>1554759</v>
      </c>
      <c r="D39" s="52" t="s">
        <v>175</v>
      </c>
      <c r="E39" s="57" t="s">
        <v>5820</v>
      </c>
      <c r="F39" s="54" t="n">
        <v>720</v>
      </c>
      <c r="G39" s="55" t="n">
        <v>42150.04</v>
      </c>
      <c r="H39" s="55" t="n">
        <v>58.5417</v>
      </c>
      <c r="I39" s="55" t="n">
        <v>58.5417</v>
      </c>
      <c r="J39" s="52" t="s">
        <v>5814</v>
      </c>
      <c r="K39" s="56" t="n">
        <v>1</v>
      </c>
      <c r="L39" s="52" t="s">
        <v>5814</v>
      </c>
      <c r="M39" s="52" t="s">
        <v>38</v>
      </c>
    </row>
    <row r="40" customFormat="false" ht="17.25" hidden="false" customHeight="true" outlineLevel="0" collapsed="false">
      <c r="A40" s="52" t="s">
        <v>5777</v>
      </c>
      <c r="B40" s="52" t="s">
        <v>5813</v>
      </c>
      <c r="C40" s="53" t="n">
        <v>557073</v>
      </c>
      <c r="D40" s="52" t="s">
        <v>179</v>
      </c>
      <c r="E40" s="52" t="s">
        <v>5821</v>
      </c>
      <c r="F40" s="54" t="n">
        <v>2559</v>
      </c>
      <c r="G40" s="55" t="n">
        <v>40508.97</v>
      </c>
      <c r="H40" s="55" t="n">
        <v>15.83</v>
      </c>
      <c r="I40" s="55" t="n">
        <v>15.83</v>
      </c>
      <c r="J40" s="52" t="s">
        <v>5814</v>
      </c>
      <c r="K40" s="56" t="n">
        <v>1</v>
      </c>
      <c r="L40" s="52" t="s">
        <v>5814</v>
      </c>
      <c r="M40" s="52" t="s">
        <v>38</v>
      </c>
    </row>
    <row r="41" customFormat="false" ht="17.25" hidden="false" customHeight="true" outlineLevel="0" collapsed="false">
      <c r="A41" s="52" t="s">
        <v>5777</v>
      </c>
      <c r="B41" s="52" t="s">
        <v>5813</v>
      </c>
      <c r="C41" s="53" t="n">
        <v>889163</v>
      </c>
      <c r="D41" s="52" t="s">
        <v>181</v>
      </c>
      <c r="E41" s="52" t="s">
        <v>182</v>
      </c>
      <c r="F41" s="54" t="n">
        <v>36</v>
      </c>
      <c r="G41" s="55" t="n">
        <v>40102.92</v>
      </c>
      <c r="H41" s="55" t="n">
        <v>1113.97</v>
      </c>
      <c r="I41" s="55" t="n">
        <v>1113.97</v>
      </c>
      <c r="J41" s="52" t="s">
        <v>5814</v>
      </c>
      <c r="K41" s="56" t="n">
        <v>1</v>
      </c>
      <c r="L41" s="52" t="s">
        <v>5814</v>
      </c>
      <c r="M41" s="52" t="s">
        <v>54</v>
      </c>
    </row>
    <row r="42" customFormat="false" ht="17.25" hidden="false" customHeight="true" outlineLevel="0" collapsed="false">
      <c r="A42" s="52" t="s">
        <v>5777</v>
      </c>
      <c r="B42" s="52" t="s">
        <v>5813</v>
      </c>
      <c r="C42" s="53" t="n">
        <v>1087986</v>
      </c>
      <c r="D42" s="52" t="s">
        <v>183</v>
      </c>
      <c r="E42" s="52" t="s">
        <v>184</v>
      </c>
      <c r="F42" s="54" t="n">
        <v>2</v>
      </c>
      <c r="G42" s="55" t="n">
        <v>38150.56</v>
      </c>
      <c r="H42" s="55" t="n">
        <v>19075.28</v>
      </c>
      <c r="I42" s="55" t="n">
        <v>19075.28</v>
      </c>
      <c r="J42" s="52" t="s">
        <v>5816</v>
      </c>
      <c r="K42" s="56" t="n">
        <v>1</v>
      </c>
      <c r="L42" s="52" t="s">
        <v>5816</v>
      </c>
      <c r="M42" s="52" t="s">
        <v>113</v>
      </c>
    </row>
    <row r="43" customFormat="false" ht="17.25" hidden="false" customHeight="true" outlineLevel="0" collapsed="false">
      <c r="A43" s="52" t="s">
        <v>5777</v>
      </c>
      <c r="B43" s="52" t="s">
        <v>5813</v>
      </c>
      <c r="C43" s="53" t="n">
        <v>884891</v>
      </c>
      <c r="D43" s="52" t="s">
        <v>185</v>
      </c>
      <c r="E43" s="52" t="s">
        <v>186</v>
      </c>
      <c r="F43" s="54" t="n">
        <v>264</v>
      </c>
      <c r="G43" s="55" t="n">
        <v>37602.43</v>
      </c>
      <c r="H43" s="55" t="n">
        <v>142.4334</v>
      </c>
      <c r="I43" s="55" t="n">
        <v>130.05</v>
      </c>
      <c r="J43" s="52" t="s">
        <v>5817</v>
      </c>
      <c r="K43" s="56" t="n">
        <v>1</v>
      </c>
      <c r="L43" s="52" t="s">
        <v>5817</v>
      </c>
      <c r="M43" s="52" t="s">
        <v>38</v>
      </c>
    </row>
    <row r="44" customFormat="false" ht="17.25" hidden="false" customHeight="true" outlineLevel="0" collapsed="false">
      <c r="A44" s="52" t="s">
        <v>5777</v>
      </c>
      <c r="B44" s="52" t="s">
        <v>5813</v>
      </c>
      <c r="C44" s="53" t="n">
        <v>1382767</v>
      </c>
      <c r="D44" s="52" t="s">
        <v>187</v>
      </c>
      <c r="E44" s="52" t="s">
        <v>188</v>
      </c>
      <c r="F44" s="54" t="n">
        <v>32</v>
      </c>
      <c r="G44" s="55" t="n">
        <v>37138.66</v>
      </c>
      <c r="H44" s="55" t="n">
        <v>1160.5831</v>
      </c>
      <c r="I44" s="55" t="n">
        <v>1160.5831</v>
      </c>
      <c r="J44" s="52" t="s">
        <v>5816</v>
      </c>
      <c r="K44" s="56" t="n">
        <v>1</v>
      </c>
      <c r="L44" s="52" t="s">
        <v>5816</v>
      </c>
      <c r="M44" s="52" t="s">
        <v>189</v>
      </c>
    </row>
    <row r="45" customFormat="false" ht="17.25" hidden="false" customHeight="true" outlineLevel="0" collapsed="false">
      <c r="A45" s="52" t="s">
        <v>5777</v>
      </c>
      <c r="B45" s="52" t="s">
        <v>5813</v>
      </c>
      <c r="C45" s="53" t="n">
        <v>477717</v>
      </c>
      <c r="D45" s="52" t="s">
        <v>190</v>
      </c>
      <c r="E45" s="52" t="s">
        <v>191</v>
      </c>
      <c r="F45" s="54" t="n">
        <v>32000</v>
      </c>
      <c r="G45" s="55" t="n">
        <v>37044.73</v>
      </c>
      <c r="H45" s="55" t="n">
        <v>1.1576</v>
      </c>
      <c r="I45" s="55" t="n">
        <v>1.1576</v>
      </c>
      <c r="J45" s="52" t="s">
        <v>5822</v>
      </c>
      <c r="K45" s="56" t="n">
        <v>1</v>
      </c>
      <c r="L45" s="52" t="s">
        <v>5822</v>
      </c>
      <c r="M45" s="52" t="s">
        <v>192</v>
      </c>
    </row>
    <row r="46" customFormat="false" ht="17.25" hidden="false" customHeight="true" outlineLevel="0" collapsed="false">
      <c r="A46" s="52" t="s">
        <v>5777</v>
      </c>
      <c r="B46" s="52" t="s">
        <v>5813</v>
      </c>
      <c r="C46" s="53" t="n">
        <v>1654229</v>
      </c>
      <c r="D46" s="52" t="s">
        <v>193</v>
      </c>
      <c r="E46" s="52" t="s">
        <v>194</v>
      </c>
      <c r="F46" s="54" t="n">
        <v>7</v>
      </c>
      <c r="G46" s="55" t="n">
        <v>37044</v>
      </c>
      <c r="H46" s="55" t="n">
        <v>5292</v>
      </c>
      <c r="I46" s="55" t="n">
        <v>5292</v>
      </c>
      <c r="J46" s="52" t="s">
        <v>5816</v>
      </c>
      <c r="K46" s="56" t="n">
        <v>1</v>
      </c>
      <c r="L46" s="52" t="s">
        <v>5816</v>
      </c>
      <c r="M46" s="52" t="s">
        <v>195</v>
      </c>
    </row>
    <row r="47" customFormat="false" ht="17.25" hidden="false" customHeight="true" outlineLevel="0" collapsed="false">
      <c r="A47" s="52" t="s">
        <v>5777</v>
      </c>
      <c r="B47" s="52" t="s">
        <v>5813</v>
      </c>
      <c r="C47" s="53" t="n">
        <v>1087797</v>
      </c>
      <c r="D47" s="52" t="s">
        <v>196</v>
      </c>
      <c r="E47" s="52" t="s">
        <v>197</v>
      </c>
      <c r="F47" s="54" t="n">
        <v>329</v>
      </c>
      <c r="G47" s="55" t="n">
        <v>36899.262</v>
      </c>
      <c r="H47" s="55" t="n">
        <v>112.1558</v>
      </c>
      <c r="I47" s="55" t="n">
        <v>83.85</v>
      </c>
      <c r="J47" s="52" t="s">
        <v>5816</v>
      </c>
      <c r="K47" s="56" t="n">
        <v>1</v>
      </c>
      <c r="L47" s="52" t="s">
        <v>5816</v>
      </c>
      <c r="M47" s="52" t="s">
        <v>66</v>
      </c>
    </row>
    <row r="48" customFormat="false" ht="17.25" hidden="false" customHeight="true" outlineLevel="0" collapsed="false">
      <c r="A48" s="52" t="s">
        <v>5777</v>
      </c>
      <c r="B48" s="52" t="s">
        <v>5813</v>
      </c>
      <c r="C48" s="53" t="n">
        <v>1257073</v>
      </c>
      <c r="D48" s="52" t="s">
        <v>198</v>
      </c>
      <c r="E48" s="52" t="s">
        <v>199</v>
      </c>
      <c r="F48" s="54" t="n">
        <v>2013</v>
      </c>
      <c r="G48" s="55" t="n">
        <v>36862.2</v>
      </c>
      <c r="H48" s="55" t="n">
        <v>18.3121</v>
      </c>
      <c r="I48" s="55" t="n">
        <v>1787</v>
      </c>
      <c r="J48" s="52" t="s">
        <v>5822</v>
      </c>
      <c r="K48" s="56" t="n">
        <v>1</v>
      </c>
      <c r="L48" s="52" t="s">
        <v>5822</v>
      </c>
      <c r="M48" s="52" t="s">
        <v>133</v>
      </c>
    </row>
    <row r="49" customFormat="false" ht="17.25" hidden="false" customHeight="true" outlineLevel="0" collapsed="false">
      <c r="A49" s="52" t="s">
        <v>5777</v>
      </c>
      <c r="B49" s="52" t="s">
        <v>5813</v>
      </c>
      <c r="C49" s="53" t="n">
        <v>1677690</v>
      </c>
      <c r="D49" s="52" t="s">
        <v>200</v>
      </c>
      <c r="E49" s="52" t="s">
        <v>201</v>
      </c>
      <c r="F49" s="54" t="n">
        <v>8</v>
      </c>
      <c r="G49" s="55" t="n">
        <v>36188.96</v>
      </c>
      <c r="H49" s="55" t="n">
        <v>4523.62</v>
      </c>
      <c r="I49" s="55" t="n">
        <v>4523.62</v>
      </c>
      <c r="J49" s="52" t="s">
        <v>5816</v>
      </c>
      <c r="K49" s="56" t="n">
        <v>1</v>
      </c>
      <c r="L49" s="52" t="s">
        <v>5816</v>
      </c>
      <c r="M49" s="52" t="s">
        <v>38</v>
      </c>
    </row>
    <row r="50" customFormat="false" ht="17.25" hidden="false" customHeight="true" outlineLevel="0" collapsed="false">
      <c r="A50" s="52" t="s">
        <v>5777</v>
      </c>
      <c r="B50" s="52" t="s">
        <v>5813</v>
      </c>
      <c r="C50" s="53" t="n">
        <v>21421</v>
      </c>
      <c r="D50" s="52" t="s">
        <v>202</v>
      </c>
      <c r="E50" s="52" t="s">
        <v>203</v>
      </c>
      <c r="F50" s="54" t="n">
        <v>733</v>
      </c>
      <c r="G50" s="55" t="n">
        <v>35573.34</v>
      </c>
      <c r="H50" s="55" t="n">
        <v>48.5312</v>
      </c>
      <c r="I50" s="55" t="n">
        <v>50</v>
      </c>
      <c r="J50" s="52" t="s">
        <v>5816</v>
      </c>
      <c r="K50" s="56" t="n">
        <v>1</v>
      </c>
      <c r="L50" s="52" t="s">
        <v>5816</v>
      </c>
      <c r="M50" s="52" t="s">
        <v>204</v>
      </c>
    </row>
    <row r="51" customFormat="false" ht="17.25" hidden="false" customHeight="true" outlineLevel="0" collapsed="false">
      <c r="A51" s="52" t="s">
        <v>5777</v>
      </c>
      <c r="B51" s="52" t="s">
        <v>5813</v>
      </c>
      <c r="C51" s="53" t="n">
        <v>884930</v>
      </c>
      <c r="D51" s="52" t="s">
        <v>205</v>
      </c>
      <c r="E51" s="52" t="s">
        <v>206</v>
      </c>
      <c r="F51" s="54" t="n">
        <v>10</v>
      </c>
      <c r="G51" s="55" t="n">
        <v>35000</v>
      </c>
      <c r="H51" s="55" t="n">
        <v>3500</v>
      </c>
      <c r="I51" s="55" t="n">
        <v>3500</v>
      </c>
      <c r="J51" s="52" t="s">
        <v>5817</v>
      </c>
      <c r="K51" s="56" t="n">
        <v>1</v>
      </c>
      <c r="L51" s="52" t="s">
        <v>5817</v>
      </c>
      <c r="M51" s="52" t="s">
        <v>138</v>
      </c>
    </row>
    <row r="52" customFormat="false" ht="17.25" hidden="false" customHeight="true" outlineLevel="0" collapsed="false">
      <c r="A52" s="52" t="s">
        <v>5777</v>
      </c>
      <c r="B52" s="52" t="s">
        <v>5813</v>
      </c>
      <c r="C52" s="53" t="n">
        <v>1387013</v>
      </c>
      <c r="D52" s="52" t="s">
        <v>207</v>
      </c>
      <c r="E52" s="52" t="s">
        <v>208</v>
      </c>
      <c r="F52" s="54" t="n">
        <v>169</v>
      </c>
      <c r="G52" s="55" t="n">
        <v>34805.85</v>
      </c>
      <c r="H52" s="55" t="n">
        <v>205.9518</v>
      </c>
      <c r="I52" s="55" t="n">
        <v>516.74</v>
      </c>
      <c r="J52" s="52" t="s">
        <v>5816</v>
      </c>
      <c r="K52" s="56" t="n">
        <v>1</v>
      </c>
      <c r="L52" s="52" t="s">
        <v>5816</v>
      </c>
      <c r="M52" s="52" t="s">
        <v>133</v>
      </c>
    </row>
    <row r="53" customFormat="false" ht="17.25" hidden="false" customHeight="true" outlineLevel="0" collapsed="false">
      <c r="A53" s="52" t="s">
        <v>5777</v>
      </c>
      <c r="B53" s="52" t="s">
        <v>5813</v>
      </c>
      <c r="C53" s="53" t="n">
        <v>291895</v>
      </c>
      <c r="D53" s="52" t="s">
        <v>96</v>
      </c>
      <c r="E53" s="52" t="s">
        <v>97</v>
      </c>
      <c r="F53" s="54" t="n">
        <v>2</v>
      </c>
      <c r="G53" s="55" t="n">
        <v>34551.8</v>
      </c>
      <c r="H53" s="55" t="n">
        <v>17275.9</v>
      </c>
      <c r="I53" s="55" t="n">
        <v>17275.9</v>
      </c>
      <c r="J53" s="52" t="s">
        <v>5816</v>
      </c>
      <c r="K53" s="56" t="n">
        <v>1</v>
      </c>
      <c r="L53" s="52" t="s">
        <v>5816</v>
      </c>
      <c r="M53" s="52" t="s">
        <v>54</v>
      </c>
    </row>
    <row r="54" customFormat="false" ht="17.25" hidden="false" customHeight="true" outlineLevel="0" collapsed="false">
      <c r="A54" s="52" t="s">
        <v>5777</v>
      </c>
      <c r="B54" s="52" t="s">
        <v>5813</v>
      </c>
      <c r="C54" s="53" t="n">
        <v>1384625</v>
      </c>
      <c r="D54" s="52" t="s">
        <v>211</v>
      </c>
      <c r="E54" s="52" t="s">
        <v>212</v>
      </c>
      <c r="F54" s="54" t="n">
        <v>21</v>
      </c>
      <c r="G54" s="55" t="n">
        <v>34537.56</v>
      </c>
      <c r="H54" s="55" t="n">
        <v>1644.6457</v>
      </c>
      <c r="I54" s="55" t="n">
        <v>1644.6457</v>
      </c>
      <c r="J54" s="52" t="s">
        <v>5816</v>
      </c>
      <c r="K54" s="56" t="n">
        <v>1</v>
      </c>
      <c r="L54" s="52" t="s">
        <v>5816</v>
      </c>
      <c r="M54" s="52" t="s">
        <v>38</v>
      </c>
    </row>
    <row r="55" customFormat="false" ht="17.25" hidden="false" customHeight="true" outlineLevel="0" collapsed="false">
      <c r="A55" s="52" t="s">
        <v>5777</v>
      </c>
      <c r="B55" s="52" t="s">
        <v>5813</v>
      </c>
      <c r="C55" s="53" t="n">
        <v>932214</v>
      </c>
      <c r="D55" s="52" t="s">
        <v>168</v>
      </c>
      <c r="E55" s="52" t="s">
        <v>169</v>
      </c>
      <c r="F55" s="54" t="n">
        <v>12</v>
      </c>
      <c r="G55" s="55" t="n">
        <v>34452</v>
      </c>
      <c r="H55" s="55" t="n">
        <v>2871</v>
      </c>
      <c r="I55" s="55" t="n">
        <v>2455.2</v>
      </c>
      <c r="J55" s="52" t="s">
        <v>5816</v>
      </c>
      <c r="K55" s="56" t="n">
        <v>1</v>
      </c>
      <c r="L55" s="52" t="s">
        <v>5816</v>
      </c>
      <c r="M55" s="52" t="s">
        <v>170</v>
      </c>
    </row>
    <row r="56" customFormat="false" ht="17.25" hidden="false" customHeight="true" outlineLevel="0" collapsed="false">
      <c r="A56" s="52" t="s">
        <v>5777</v>
      </c>
      <c r="B56" s="52" t="s">
        <v>5813</v>
      </c>
      <c r="C56" s="53" t="n">
        <v>90175</v>
      </c>
      <c r="D56" s="52" t="s">
        <v>213</v>
      </c>
      <c r="E56" s="52" t="s">
        <v>214</v>
      </c>
      <c r="F56" s="54" t="n">
        <v>6</v>
      </c>
      <c r="G56" s="55" t="n">
        <v>33800</v>
      </c>
      <c r="H56" s="55" t="n">
        <v>5633.3333</v>
      </c>
      <c r="I56" s="55" t="n">
        <v>4950</v>
      </c>
      <c r="J56" s="52" t="s">
        <v>5816</v>
      </c>
      <c r="K56" s="56" t="n">
        <v>1</v>
      </c>
      <c r="L56" s="52" t="s">
        <v>5816</v>
      </c>
      <c r="M56" s="52" t="s">
        <v>90</v>
      </c>
    </row>
    <row r="57" customFormat="false" ht="17.25" hidden="false" customHeight="true" outlineLevel="0" collapsed="false">
      <c r="A57" s="52" t="s">
        <v>5777</v>
      </c>
      <c r="B57" s="52" t="s">
        <v>5813</v>
      </c>
      <c r="C57" s="53" t="n">
        <v>1319426</v>
      </c>
      <c r="D57" s="52" t="s">
        <v>215</v>
      </c>
      <c r="E57" s="52" t="s">
        <v>216</v>
      </c>
      <c r="F57" s="54" t="n">
        <v>148</v>
      </c>
      <c r="G57" s="55" t="n">
        <v>33572.32</v>
      </c>
      <c r="H57" s="55" t="n">
        <v>226.84</v>
      </c>
      <c r="I57" s="55" t="n">
        <v>226.84</v>
      </c>
      <c r="J57" s="52" t="s">
        <v>5816</v>
      </c>
      <c r="K57" s="56" t="n">
        <v>1</v>
      </c>
      <c r="L57" s="52" t="s">
        <v>5816</v>
      </c>
      <c r="M57" s="52" t="s">
        <v>217</v>
      </c>
    </row>
    <row r="58" customFormat="false" ht="17.25" hidden="false" customHeight="true" outlineLevel="0" collapsed="false">
      <c r="A58" s="52" t="s">
        <v>5777</v>
      </c>
      <c r="B58" s="52" t="s">
        <v>5813</v>
      </c>
      <c r="C58" s="53" t="n">
        <v>1661537</v>
      </c>
      <c r="D58" s="52" t="s">
        <v>218</v>
      </c>
      <c r="E58" s="52" t="s">
        <v>219</v>
      </c>
      <c r="F58" s="54" t="n">
        <v>28</v>
      </c>
      <c r="G58" s="55" t="n">
        <v>33028.4</v>
      </c>
      <c r="H58" s="55" t="n">
        <v>1179.5857</v>
      </c>
      <c r="I58" s="55" t="n">
        <v>606</v>
      </c>
      <c r="J58" s="52" t="s">
        <v>5816</v>
      </c>
      <c r="K58" s="56" t="n">
        <v>1</v>
      </c>
      <c r="L58" s="52" t="s">
        <v>5816</v>
      </c>
      <c r="M58" s="52" t="s">
        <v>133</v>
      </c>
    </row>
    <row r="59" customFormat="false" ht="17.25" hidden="false" customHeight="true" outlineLevel="0" collapsed="false">
      <c r="A59" s="52" t="s">
        <v>5777</v>
      </c>
      <c r="B59" s="52" t="s">
        <v>5813</v>
      </c>
      <c r="C59" s="53" t="n">
        <v>736181</v>
      </c>
      <c r="D59" s="52" t="s">
        <v>222</v>
      </c>
      <c r="E59" s="52" t="s">
        <v>223</v>
      </c>
      <c r="F59" s="54" t="n">
        <v>600</v>
      </c>
      <c r="G59" s="55" t="n">
        <v>32340</v>
      </c>
      <c r="H59" s="55" t="n">
        <v>53.9</v>
      </c>
      <c r="I59" s="55" t="n">
        <v>53.9</v>
      </c>
      <c r="J59" s="52" t="s">
        <v>5816</v>
      </c>
      <c r="K59" s="56" t="n">
        <v>1</v>
      </c>
      <c r="L59" s="52" t="s">
        <v>5816</v>
      </c>
      <c r="M59" s="52" t="s">
        <v>66</v>
      </c>
    </row>
    <row r="60" customFormat="false" ht="17.25" hidden="false" customHeight="true" outlineLevel="0" collapsed="false">
      <c r="A60" s="52" t="s">
        <v>5777</v>
      </c>
      <c r="B60" s="52" t="s">
        <v>5813</v>
      </c>
      <c r="C60" s="53" t="n">
        <v>1464892</v>
      </c>
      <c r="D60" s="52" t="s">
        <v>224</v>
      </c>
      <c r="E60" s="52" t="s">
        <v>225</v>
      </c>
      <c r="F60" s="54" t="n">
        <v>35.16</v>
      </c>
      <c r="G60" s="55" t="n">
        <v>31992.75</v>
      </c>
      <c r="H60" s="55" t="n">
        <v>909.9189</v>
      </c>
      <c r="I60" s="55" t="n">
        <v>1415.5</v>
      </c>
      <c r="J60" s="52" t="s">
        <v>5814</v>
      </c>
      <c r="K60" s="56" t="n">
        <v>1</v>
      </c>
      <c r="L60" s="52" t="s">
        <v>5814</v>
      </c>
      <c r="M60" s="52" t="s">
        <v>90</v>
      </c>
    </row>
    <row r="61" customFormat="false" ht="17.25" hidden="false" customHeight="true" outlineLevel="0" collapsed="false">
      <c r="A61" s="52" t="s">
        <v>5777</v>
      </c>
      <c r="B61" s="52" t="s">
        <v>5813</v>
      </c>
      <c r="C61" s="53" t="n">
        <v>425639</v>
      </c>
      <c r="D61" s="52" t="s">
        <v>228</v>
      </c>
      <c r="E61" s="52" t="s">
        <v>229</v>
      </c>
      <c r="F61" s="54" t="n">
        <v>4917.06</v>
      </c>
      <c r="G61" s="55" t="n">
        <v>29618.691</v>
      </c>
      <c r="H61" s="55" t="n">
        <v>6.0237</v>
      </c>
      <c r="I61" s="55" t="n">
        <v>6.506</v>
      </c>
      <c r="J61" s="52" t="s">
        <v>5823</v>
      </c>
      <c r="K61" s="56" t="n">
        <v>0.001</v>
      </c>
      <c r="L61" s="52" t="s">
        <v>5824</v>
      </c>
      <c r="M61" s="52" t="s">
        <v>230</v>
      </c>
    </row>
    <row r="62" customFormat="false" ht="17.25" hidden="false" customHeight="true" outlineLevel="0" collapsed="false">
      <c r="A62" s="52" t="s">
        <v>5777</v>
      </c>
      <c r="B62" s="52" t="s">
        <v>5813</v>
      </c>
      <c r="C62" s="53" t="n">
        <v>844489</v>
      </c>
      <c r="D62" s="52" t="s">
        <v>231</v>
      </c>
      <c r="E62" s="52" t="s">
        <v>232</v>
      </c>
      <c r="F62" s="54" t="n">
        <v>8</v>
      </c>
      <c r="G62" s="55" t="n">
        <v>29184</v>
      </c>
      <c r="H62" s="55" t="n">
        <v>3648</v>
      </c>
      <c r="I62" s="55" t="n">
        <v>3648</v>
      </c>
      <c r="J62" s="52" t="s">
        <v>5816</v>
      </c>
      <c r="K62" s="56" t="n">
        <v>1</v>
      </c>
      <c r="L62" s="52" t="s">
        <v>5816</v>
      </c>
      <c r="M62" s="52" t="s">
        <v>189</v>
      </c>
    </row>
    <row r="63" customFormat="false" ht="17.25" hidden="false" customHeight="true" outlineLevel="0" collapsed="false">
      <c r="A63" s="52" t="s">
        <v>5777</v>
      </c>
      <c r="B63" s="52" t="s">
        <v>5813</v>
      </c>
      <c r="C63" s="53" t="n">
        <v>1464213</v>
      </c>
      <c r="D63" s="52" t="s">
        <v>235</v>
      </c>
      <c r="E63" s="52" t="s">
        <v>236</v>
      </c>
      <c r="F63" s="54" t="n">
        <v>54.96</v>
      </c>
      <c r="G63" s="55" t="n">
        <v>29053.2</v>
      </c>
      <c r="H63" s="55" t="n">
        <v>528.6245</v>
      </c>
      <c r="I63" s="55" t="n">
        <v>528.6245</v>
      </c>
      <c r="J63" s="52" t="s">
        <v>5815</v>
      </c>
      <c r="K63" s="56" t="n">
        <v>1</v>
      </c>
      <c r="L63" s="52" t="s">
        <v>5815</v>
      </c>
      <c r="M63" s="52" t="s">
        <v>63</v>
      </c>
    </row>
    <row r="64" customFormat="false" ht="17.25" hidden="false" customHeight="true" outlineLevel="0" collapsed="false">
      <c r="A64" s="52" t="s">
        <v>5777</v>
      </c>
      <c r="B64" s="52" t="s">
        <v>5813</v>
      </c>
      <c r="C64" s="53" t="n">
        <v>854325</v>
      </c>
      <c r="D64" s="52" t="s">
        <v>237</v>
      </c>
      <c r="E64" s="52" t="s">
        <v>238</v>
      </c>
      <c r="F64" s="54" t="n">
        <v>1630.91</v>
      </c>
      <c r="G64" s="55" t="n">
        <v>28421.3132</v>
      </c>
      <c r="H64" s="55" t="n">
        <v>17.4267</v>
      </c>
      <c r="I64" s="55" t="n">
        <v>19.8637</v>
      </c>
      <c r="J64" s="52" t="s">
        <v>5823</v>
      </c>
      <c r="K64" s="56" t="n">
        <v>0.001</v>
      </c>
      <c r="L64" s="52" t="s">
        <v>5824</v>
      </c>
      <c r="M64" s="52" t="s">
        <v>192</v>
      </c>
    </row>
    <row r="65" customFormat="false" ht="17.25" hidden="false" customHeight="true" outlineLevel="0" collapsed="false">
      <c r="A65" s="52" t="s">
        <v>5777</v>
      </c>
      <c r="B65" s="52" t="s">
        <v>5813</v>
      </c>
      <c r="C65" s="53" t="n">
        <v>21580</v>
      </c>
      <c r="D65" s="52" t="s">
        <v>239</v>
      </c>
      <c r="E65" s="52" t="s">
        <v>240</v>
      </c>
      <c r="F65" s="54" t="n">
        <v>148</v>
      </c>
      <c r="G65" s="55" t="n">
        <v>28355.2</v>
      </c>
      <c r="H65" s="55" t="n">
        <v>191.5892</v>
      </c>
      <c r="I65" s="55" t="n">
        <v>224.3</v>
      </c>
      <c r="J65" s="52" t="s">
        <v>5816</v>
      </c>
      <c r="K65" s="56" t="n">
        <v>1</v>
      </c>
      <c r="L65" s="52" t="s">
        <v>5816</v>
      </c>
      <c r="M65" s="52" t="s">
        <v>38</v>
      </c>
    </row>
    <row r="66" customFormat="false" ht="17.25" hidden="false" customHeight="true" outlineLevel="0" collapsed="false">
      <c r="A66" s="52" t="s">
        <v>5777</v>
      </c>
      <c r="B66" s="52" t="s">
        <v>5813</v>
      </c>
      <c r="C66" s="53" t="n">
        <v>30886</v>
      </c>
      <c r="D66" s="52" t="s">
        <v>241</v>
      </c>
      <c r="E66" s="52" t="s">
        <v>242</v>
      </c>
      <c r="F66" s="54" t="n">
        <v>3425</v>
      </c>
      <c r="G66" s="55" t="n">
        <v>27448.25</v>
      </c>
      <c r="H66" s="55" t="n">
        <v>8.0141</v>
      </c>
      <c r="I66" s="55" t="n">
        <v>4.33</v>
      </c>
      <c r="J66" s="52" t="s">
        <v>5814</v>
      </c>
      <c r="K66" s="56" t="n">
        <v>1</v>
      </c>
      <c r="L66" s="52" t="s">
        <v>5814</v>
      </c>
      <c r="M66" s="52" t="s">
        <v>38</v>
      </c>
    </row>
    <row r="67" customFormat="false" ht="17.25" hidden="false" customHeight="true" outlineLevel="0" collapsed="false">
      <c r="A67" s="52" t="s">
        <v>5777</v>
      </c>
      <c r="B67" s="52" t="s">
        <v>5813</v>
      </c>
      <c r="C67" s="53" t="n">
        <v>12100</v>
      </c>
      <c r="D67" s="52" t="s">
        <v>243</v>
      </c>
      <c r="E67" s="52" t="s">
        <v>244</v>
      </c>
      <c r="F67" s="54" t="n">
        <v>2000</v>
      </c>
      <c r="G67" s="55" t="n">
        <v>27200</v>
      </c>
      <c r="H67" s="55" t="n">
        <v>13.6</v>
      </c>
      <c r="I67" s="55" t="n">
        <v>13.6</v>
      </c>
      <c r="J67" s="52" t="s">
        <v>5814</v>
      </c>
      <c r="K67" s="56" t="n">
        <v>1</v>
      </c>
      <c r="L67" s="52" t="s">
        <v>5814</v>
      </c>
      <c r="M67" s="52" t="s">
        <v>38</v>
      </c>
    </row>
    <row r="68" customFormat="false" ht="17.25" hidden="false" customHeight="true" outlineLevel="0" collapsed="false">
      <c r="A68" s="52" t="s">
        <v>5777</v>
      </c>
      <c r="B68" s="52" t="s">
        <v>5813</v>
      </c>
      <c r="C68" s="53" t="n">
        <v>389169</v>
      </c>
      <c r="D68" s="52" t="s">
        <v>245</v>
      </c>
      <c r="E68" s="52" t="s">
        <v>246</v>
      </c>
      <c r="F68" s="54" t="n">
        <v>90</v>
      </c>
      <c r="G68" s="55" t="n">
        <v>26800</v>
      </c>
      <c r="H68" s="55" t="n">
        <v>297.7778</v>
      </c>
      <c r="I68" s="55" t="n">
        <v>290</v>
      </c>
      <c r="J68" s="52" t="s">
        <v>5816</v>
      </c>
      <c r="K68" s="56" t="n">
        <v>1</v>
      </c>
      <c r="L68" s="52" t="s">
        <v>5816</v>
      </c>
      <c r="M68" s="52" t="s">
        <v>247</v>
      </c>
    </row>
    <row r="69" customFormat="false" ht="17.25" hidden="false" customHeight="true" outlineLevel="0" collapsed="false">
      <c r="A69" s="52" t="s">
        <v>5777</v>
      </c>
      <c r="B69" s="52" t="s">
        <v>5813</v>
      </c>
      <c r="C69" s="53" t="n">
        <v>59249</v>
      </c>
      <c r="D69" s="52" t="s">
        <v>248</v>
      </c>
      <c r="E69" s="52" t="s">
        <v>249</v>
      </c>
      <c r="F69" s="54" t="n">
        <v>30</v>
      </c>
      <c r="G69" s="55" t="n">
        <v>26672.89</v>
      </c>
      <c r="H69" s="55" t="n">
        <v>889.0963</v>
      </c>
      <c r="I69" s="55" t="n">
        <v>889.0963</v>
      </c>
      <c r="J69" s="52" t="s">
        <v>5814</v>
      </c>
      <c r="K69" s="56" t="n">
        <v>1</v>
      </c>
      <c r="L69" s="52" t="s">
        <v>5814</v>
      </c>
      <c r="M69" s="52" t="s">
        <v>54</v>
      </c>
    </row>
    <row r="70" customFormat="false" ht="17.25" hidden="false" customHeight="true" outlineLevel="0" collapsed="false">
      <c r="A70" s="52" t="s">
        <v>5777</v>
      </c>
      <c r="B70" s="52" t="s">
        <v>5813</v>
      </c>
      <c r="C70" s="53" t="n">
        <v>1463583</v>
      </c>
      <c r="D70" s="52" t="s">
        <v>250</v>
      </c>
      <c r="E70" s="52" t="s">
        <v>251</v>
      </c>
      <c r="F70" s="54" t="n">
        <v>1164.29</v>
      </c>
      <c r="G70" s="55" t="n">
        <v>25905.72</v>
      </c>
      <c r="H70" s="55" t="n">
        <v>22.2502</v>
      </c>
      <c r="I70" s="55" t="n">
        <v>21.67</v>
      </c>
      <c r="J70" s="52" t="s">
        <v>5814</v>
      </c>
      <c r="K70" s="56" t="n">
        <v>1</v>
      </c>
      <c r="L70" s="52" t="s">
        <v>5814</v>
      </c>
      <c r="M70" s="52" t="s">
        <v>38</v>
      </c>
    </row>
    <row r="71" customFormat="false" ht="17.25" hidden="false" customHeight="true" outlineLevel="0" collapsed="false">
      <c r="A71" s="52" t="s">
        <v>5777</v>
      </c>
      <c r="B71" s="52" t="s">
        <v>5813</v>
      </c>
      <c r="C71" s="53" t="n">
        <v>730656</v>
      </c>
      <c r="D71" s="52" t="s">
        <v>252</v>
      </c>
      <c r="E71" s="52" t="s">
        <v>253</v>
      </c>
      <c r="F71" s="54" t="n">
        <v>32000</v>
      </c>
      <c r="G71" s="55" t="n">
        <v>25523.416</v>
      </c>
      <c r="H71" s="55" t="n">
        <v>0.7978</v>
      </c>
      <c r="I71" s="55" t="n">
        <v>0.778</v>
      </c>
      <c r="J71" s="52" t="s">
        <v>5822</v>
      </c>
      <c r="K71" s="56" t="n">
        <v>1</v>
      </c>
      <c r="L71" s="52" t="s">
        <v>5822</v>
      </c>
      <c r="M71" s="52" t="s">
        <v>157</v>
      </c>
    </row>
    <row r="72" customFormat="false" ht="17.25" hidden="false" customHeight="true" outlineLevel="0" collapsed="false">
      <c r="A72" s="52" t="s">
        <v>5777</v>
      </c>
      <c r="B72" s="52" t="s">
        <v>5813</v>
      </c>
      <c r="C72" s="53" t="n">
        <v>219688</v>
      </c>
      <c r="D72" s="52" t="s">
        <v>254</v>
      </c>
      <c r="E72" s="52" t="s">
        <v>255</v>
      </c>
      <c r="F72" s="54" t="n">
        <v>7</v>
      </c>
      <c r="G72" s="55" t="n">
        <v>25430.3</v>
      </c>
      <c r="H72" s="55" t="n">
        <v>3632.9</v>
      </c>
      <c r="I72" s="55" t="n">
        <v>3632.9</v>
      </c>
      <c r="J72" s="52" t="s">
        <v>5816</v>
      </c>
      <c r="K72" s="56" t="n">
        <v>1</v>
      </c>
      <c r="L72" s="52" t="s">
        <v>5816</v>
      </c>
      <c r="M72" s="52" t="s">
        <v>38</v>
      </c>
    </row>
    <row r="73" customFormat="false" ht="17.25" hidden="false" customHeight="true" outlineLevel="0" collapsed="false">
      <c r="A73" s="52" t="s">
        <v>5777</v>
      </c>
      <c r="B73" s="52" t="s">
        <v>5813</v>
      </c>
      <c r="C73" s="53" t="n">
        <v>19959</v>
      </c>
      <c r="D73" s="52" t="s">
        <v>256</v>
      </c>
      <c r="E73" s="52" t="s">
        <v>257</v>
      </c>
      <c r="F73" s="54" t="n">
        <v>1</v>
      </c>
      <c r="G73" s="55" t="n">
        <v>25180</v>
      </c>
      <c r="H73" s="55" t="n">
        <v>25180</v>
      </c>
      <c r="I73" s="55" t="n">
        <v>25180</v>
      </c>
      <c r="J73" s="52" t="s">
        <v>5816</v>
      </c>
      <c r="K73" s="56" t="n">
        <v>1</v>
      </c>
      <c r="L73" s="52" t="s">
        <v>5816</v>
      </c>
      <c r="M73" s="52" t="s">
        <v>35</v>
      </c>
    </row>
    <row r="74" customFormat="false" ht="17.25" hidden="false" customHeight="true" outlineLevel="0" collapsed="false">
      <c r="A74" s="52" t="s">
        <v>5777</v>
      </c>
      <c r="B74" s="52" t="s">
        <v>5813</v>
      </c>
      <c r="C74" s="53" t="n">
        <v>1382972</v>
      </c>
      <c r="D74" s="52" t="s">
        <v>258</v>
      </c>
      <c r="E74" s="52" t="s">
        <v>259</v>
      </c>
      <c r="F74" s="54" t="n">
        <v>21</v>
      </c>
      <c r="G74" s="55" t="n">
        <v>24730.63</v>
      </c>
      <c r="H74" s="55" t="n">
        <v>1177.649</v>
      </c>
      <c r="I74" s="55" t="n">
        <v>1268.5422</v>
      </c>
      <c r="J74" s="52" t="s">
        <v>5816</v>
      </c>
      <c r="K74" s="56" t="n">
        <v>1</v>
      </c>
      <c r="L74" s="52" t="s">
        <v>5816</v>
      </c>
      <c r="M74" s="52" t="s">
        <v>38</v>
      </c>
    </row>
    <row r="75" customFormat="false" ht="17.25" hidden="false" customHeight="true" outlineLevel="0" collapsed="false">
      <c r="A75" s="52" t="s">
        <v>5777</v>
      </c>
      <c r="B75" s="52" t="s">
        <v>5813</v>
      </c>
      <c r="C75" s="53" t="n">
        <v>1318567</v>
      </c>
      <c r="D75" s="52" t="s">
        <v>260</v>
      </c>
      <c r="E75" s="52" t="s">
        <v>261</v>
      </c>
      <c r="F75" s="54" t="n">
        <v>20</v>
      </c>
      <c r="G75" s="55" t="n">
        <v>24700</v>
      </c>
      <c r="H75" s="55" t="n">
        <v>1235</v>
      </c>
      <c r="I75" s="55" t="n">
        <v>1235</v>
      </c>
      <c r="J75" s="52" t="s">
        <v>5816</v>
      </c>
      <c r="K75" s="56" t="n">
        <v>1</v>
      </c>
      <c r="L75" s="52" t="s">
        <v>5816</v>
      </c>
      <c r="M75" s="52" t="s">
        <v>262</v>
      </c>
    </row>
    <row r="76" customFormat="false" ht="17.25" hidden="false" customHeight="true" outlineLevel="0" collapsed="false">
      <c r="A76" s="52" t="s">
        <v>5777</v>
      </c>
      <c r="B76" s="52" t="s">
        <v>5813</v>
      </c>
      <c r="C76" s="53" t="n">
        <v>1259694</v>
      </c>
      <c r="D76" s="52" t="s">
        <v>263</v>
      </c>
      <c r="E76" s="52" t="s">
        <v>264</v>
      </c>
      <c r="F76" s="54" t="n">
        <v>350</v>
      </c>
      <c r="G76" s="55" t="n">
        <v>24327.9</v>
      </c>
      <c r="H76" s="55" t="n">
        <v>69.5083</v>
      </c>
      <c r="I76" s="55" t="n">
        <v>74.4645</v>
      </c>
      <c r="J76" s="52" t="s">
        <v>5816</v>
      </c>
      <c r="K76" s="56" t="n">
        <v>1</v>
      </c>
      <c r="L76" s="52" t="s">
        <v>5816</v>
      </c>
      <c r="M76" s="52" t="s">
        <v>54</v>
      </c>
    </row>
    <row r="77" customFormat="false" ht="17.25" hidden="false" customHeight="true" outlineLevel="0" collapsed="false">
      <c r="A77" s="52" t="s">
        <v>5777</v>
      </c>
      <c r="B77" s="52" t="s">
        <v>5813</v>
      </c>
      <c r="C77" s="53" t="n">
        <v>221923</v>
      </c>
      <c r="D77" s="52" t="s">
        <v>265</v>
      </c>
      <c r="E77" s="52" t="s">
        <v>266</v>
      </c>
      <c r="F77" s="54" t="n">
        <v>3550</v>
      </c>
      <c r="G77" s="55" t="n">
        <v>24104.5</v>
      </c>
      <c r="H77" s="55" t="n">
        <v>6.79</v>
      </c>
      <c r="I77" s="55" t="n">
        <v>6.79</v>
      </c>
      <c r="J77" s="52" t="s">
        <v>5814</v>
      </c>
      <c r="K77" s="56" t="n">
        <v>1</v>
      </c>
      <c r="L77" s="52" t="s">
        <v>5814</v>
      </c>
      <c r="M77" s="52" t="s">
        <v>38</v>
      </c>
    </row>
    <row r="78" customFormat="false" ht="17.25" hidden="false" customHeight="true" outlineLevel="0" collapsed="false">
      <c r="A78" s="52" t="s">
        <v>5777</v>
      </c>
      <c r="B78" s="52" t="s">
        <v>5813</v>
      </c>
      <c r="C78" s="53" t="n">
        <v>1261451</v>
      </c>
      <c r="D78" s="52" t="s">
        <v>267</v>
      </c>
      <c r="E78" s="52" t="s">
        <v>268</v>
      </c>
      <c r="F78" s="54" t="n">
        <v>1</v>
      </c>
      <c r="G78" s="55" t="n">
        <v>23400</v>
      </c>
      <c r="H78" s="55" t="n">
        <v>23400</v>
      </c>
      <c r="I78" s="55" t="n">
        <v>23400</v>
      </c>
      <c r="J78" s="52" t="s">
        <v>5816</v>
      </c>
      <c r="K78" s="56" t="n">
        <v>1</v>
      </c>
      <c r="L78" s="52" t="s">
        <v>5816</v>
      </c>
      <c r="M78" s="52" t="s">
        <v>35</v>
      </c>
    </row>
    <row r="79" customFormat="false" ht="17.25" hidden="false" customHeight="true" outlineLevel="0" collapsed="false">
      <c r="A79" s="52" t="s">
        <v>5777</v>
      </c>
      <c r="B79" s="52" t="s">
        <v>5813</v>
      </c>
      <c r="C79" s="53" t="n">
        <v>1384697</v>
      </c>
      <c r="D79" s="52" t="s">
        <v>271</v>
      </c>
      <c r="E79" s="52" t="s">
        <v>5825</v>
      </c>
      <c r="F79" s="54" t="n">
        <v>8</v>
      </c>
      <c r="G79" s="55" t="n">
        <v>23141.44</v>
      </c>
      <c r="H79" s="55" t="n">
        <v>2892.68</v>
      </c>
      <c r="I79" s="55" t="n">
        <v>741.44</v>
      </c>
      <c r="J79" s="52" t="s">
        <v>5816</v>
      </c>
      <c r="K79" s="56" t="n">
        <v>1</v>
      </c>
      <c r="L79" s="52" t="s">
        <v>5816</v>
      </c>
      <c r="M79" s="52" t="s">
        <v>66</v>
      </c>
    </row>
    <row r="80" customFormat="false" ht="17.25" hidden="false" customHeight="true" outlineLevel="0" collapsed="false">
      <c r="A80" s="52" t="s">
        <v>5777</v>
      </c>
      <c r="B80" s="52" t="s">
        <v>5813</v>
      </c>
      <c r="C80" s="53" t="n">
        <v>1327823</v>
      </c>
      <c r="D80" s="52" t="s">
        <v>273</v>
      </c>
      <c r="E80" s="52" t="s">
        <v>274</v>
      </c>
      <c r="F80" s="54" t="n">
        <v>2841.8</v>
      </c>
      <c r="G80" s="55" t="n">
        <v>23013.32</v>
      </c>
      <c r="H80" s="55" t="n">
        <v>8.0981</v>
      </c>
      <c r="I80" s="55" t="n">
        <v>8.12</v>
      </c>
      <c r="J80" s="52" t="s">
        <v>5815</v>
      </c>
      <c r="K80" s="56" t="n">
        <v>1</v>
      </c>
      <c r="L80" s="52" t="s">
        <v>5815</v>
      </c>
      <c r="M80" s="52" t="s">
        <v>230</v>
      </c>
    </row>
    <row r="81" customFormat="false" ht="17.25" hidden="false" customHeight="true" outlineLevel="0" collapsed="false">
      <c r="A81" s="52" t="s">
        <v>5777</v>
      </c>
      <c r="B81" s="52" t="s">
        <v>5813</v>
      </c>
      <c r="C81" s="53" t="n">
        <v>1607595</v>
      </c>
      <c r="D81" s="52" t="s">
        <v>275</v>
      </c>
      <c r="E81" s="52" t="s">
        <v>5826</v>
      </c>
      <c r="F81" s="54" t="n">
        <v>218</v>
      </c>
      <c r="G81" s="55" t="n">
        <v>23000</v>
      </c>
      <c r="H81" s="55" t="n">
        <v>105.5046</v>
      </c>
      <c r="I81" s="55" t="n">
        <v>105.5046</v>
      </c>
      <c r="J81" s="52" t="s">
        <v>5814</v>
      </c>
      <c r="K81" s="56" t="n">
        <v>1</v>
      </c>
      <c r="L81" s="52" t="s">
        <v>5814</v>
      </c>
      <c r="M81" s="52" t="s">
        <v>38</v>
      </c>
    </row>
    <row r="82" customFormat="false" ht="17.25" hidden="false" customHeight="true" outlineLevel="0" collapsed="false">
      <c r="A82" s="52" t="s">
        <v>5777</v>
      </c>
      <c r="B82" s="52" t="s">
        <v>5813</v>
      </c>
      <c r="C82" s="53" t="n">
        <v>389168</v>
      </c>
      <c r="D82" s="52" t="s">
        <v>277</v>
      </c>
      <c r="E82" s="52" t="s">
        <v>278</v>
      </c>
      <c r="F82" s="54" t="n">
        <v>77</v>
      </c>
      <c r="G82" s="55" t="n">
        <v>22900</v>
      </c>
      <c r="H82" s="55" t="n">
        <v>297.4026</v>
      </c>
      <c r="I82" s="55" t="n">
        <v>290</v>
      </c>
      <c r="J82" s="52" t="s">
        <v>5816</v>
      </c>
      <c r="K82" s="56" t="n">
        <v>1</v>
      </c>
      <c r="L82" s="52" t="s">
        <v>5816</v>
      </c>
      <c r="M82" s="52" t="s">
        <v>247</v>
      </c>
    </row>
    <row r="83" customFormat="false" ht="17.25" hidden="false" customHeight="true" outlineLevel="0" collapsed="false">
      <c r="A83" s="52" t="s">
        <v>5777</v>
      </c>
      <c r="B83" s="52" t="s">
        <v>5813</v>
      </c>
      <c r="C83" s="53" t="n">
        <v>291107</v>
      </c>
      <c r="D83" s="52" t="s">
        <v>279</v>
      </c>
      <c r="E83" s="52" t="s">
        <v>280</v>
      </c>
      <c r="F83" s="54" t="n">
        <v>104</v>
      </c>
      <c r="G83" s="55" t="n">
        <v>22793.33</v>
      </c>
      <c r="H83" s="55" t="n">
        <v>219.1667</v>
      </c>
      <c r="I83" s="55" t="n">
        <v>385</v>
      </c>
      <c r="J83" s="52" t="s">
        <v>5822</v>
      </c>
      <c r="K83" s="56" t="n">
        <v>1</v>
      </c>
      <c r="L83" s="52" t="s">
        <v>5822</v>
      </c>
      <c r="M83" s="52" t="s">
        <v>230</v>
      </c>
    </row>
    <row r="84" customFormat="false" ht="17.25" hidden="false" customHeight="true" outlineLevel="0" collapsed="false">
      <c r="A84" s="52" t="s">
        <v>5777</v>
      </c>
      <c r="B84" s="52" t="s">
        <v>5813</v>
      </c>
      <c r="C84" s="53" t="n">
        <v>1330705</v>
      </c>
      <c r="D84" s="52" t="s">
        <v>281</v>
      </c>
      <c r="E84" s="52" t="s">
        <v>282</v>
      </c>
      <c r="F84" s="54" t="n">
        <v>53</v>
      </c>
      <c r="G84" s="55" t="n">
        <v>22660.15</v>
      </c>
      <c r="H84" s="55" t="n">
        <v>427.55</v>
      </c>
      <c r="I84" s="55" t="n">
        <v>427.55</v>
      </c>
      <c r="J84" s="52" t="s">
        <v>5816</v>
      </c>
      <c r="K84" s="56" t="n">
        <v>1</v>
      </c>
      <c r="L84" s="52" t="s">
        <v>5816</v>
      </c>
      <c r="M84" s="52" t="s">
        <v>54</v>
      </c>
    </row>
    <row r="85" customFormat="false" ht="17.25" hidden="false" customHeight="true" outlineLevel="0" collapsed="false">
      <c r="A85" s="52" t="s">
        <v>5777</v>
      </c>
      <c r="B85" s="52" t="s">
        <v>5813</v>
      </c>
      <c r="C85" s="53" t="n">
        <v>221692</v>
      </c>
      <c r="D85" s="52" t="s">
        <v>285</v>
      </c>
      <c r="E85" s="52" t="s">
        <v>286</v>
      </c>
      <c r="F85" s="54" t="n">
        <v>9</v>
      </c>
      <c r="G85" s="55" t="n">
        <v>22601.82</v>
      </c>
      <c r="H85" s="55" t="n">
        <v>2511.3133</v>
      </c>
      <c r="I85" s="55" t="n">
        <v>2461.3133</v>
      </c>
      <c r="J85" s="52" t="s">
        <v>5816</v>
      </c>
      <c r="K85" s="56" t="n">
        <v>1</v>
      </c>
      <c r="L85" s="52" t="s">
        <v>5816</v>
      </c>
      <c r="M85" s="52" t="s">
        <v>38</v>
      </c>
    </row>
    <row r="86" customFormat="false" ht="17.25" hidden="false" customHeight="true" outlineLevel="0" collapsed="false">
      <c r="A86" s="52" t="s">
        <v>5777</v>
      </c>
      <c r="B86" s="52" t="s">
        <v>5813</v>
      </c>
      <c r="C86" s="53" t="n">
        <v>18960</v>
      </c>
      <c r="D86" s="52" t="s">
        <v>289</v>
      </c>
      <c r="E86" s="52" t="s">
        <v>290</v>
      </c>
      <c r="F86" s="54" t="n">
        <v>900</v>
      </c>
      <c r="G86" s="55" t="n">
        <v>22518</v>
      </c>
      <c r="H86" s="55" t="n">
        <v>25.02</v>
      </c>
      <c r="I86" s="55" t="n">
        <v>19.5</v>
      </c>
      <c r="J86" s="52" t="s">
        <v>5816</v>
      </c>
      <c r="K86" s="56" t="n">
        <v>1</v>
      </c>
      <c r="L86" s="52" t="s">
        <v>5816</v>
      </c>
      <c r="M86" s="52" t="s">
        <v>247</v>
      </c>
    </row>
    <row r="87" customFormat="false" ht="17.25" hidden="false" customHeight="true" outlineLevel="0" collapsed="false">
      <c r="A87" s="52" t="s">
        <v>5777</v>
      </c>
      <c r="B87" s="52" t="s">
        <v>5813</v>
      </c>
      <c r="C87" s="53" t="n">
        <v>49610</v>
      </c>
      <c r="D87" s="52" t="s">
        <v>293</v>
      </c>
      <c r="E87" s="52" t="s">
        <v>294</v>
      </c>
      <c r="F87" s="54" t="n">
        <v>7</v>
      </c>
      <c r="G87" s="55" t="n">
        <v>22400</v>
      </c>
      <c r="H87" s="55" t="n">
        <v>3200</v>
      </c>
      <c r="I87" s="55" t="n">
        <v>3200</v>
      </c>
      <c r="J87" s="52" t="s">
        <v>5816</v>
      </c>
      <c r="K87" s="56" t="n">
        <v>1</v>
      </c>
      <c r="L87" s="52" t="s">
        <v>5816</v>
      </c>
      <c r="M87" s="52" t="s">
        <v>54</v>
      </c>
    </row>
    <row r="88" customFormat="false" ht="17.25" hidden="false" customHeight="true" outlineLevel="0" collapsed="false">
      <c r="A88" s="52" t="s">
        <v>5777</v>
      </c>
      <c r="B88" s="52" t="s">
        <v>5813</v>
      </c>
      <c r="C88" s="53" t="n">
        <v>1608715</v>
      </c>
      <c r="D88" s="52" t="s">
        <v>295</v>
      </c>
      <c r="E88" s="52" t="s">
        <v>296</v>
      </c>
      <c r="F88" s="54" t="n">
        <v>293.5</v>
      </c>
      <c r="G88" s="55" t="n">
        <v>21957.36</v>
      </c>
      <c r="H88" s="55" t="n">
        <v>74.8121</v>
      </c>
      <c r="I88" s="55" t="n">
        <v>107.3335</v>
      </c>
      <c r="J88" s="52" t="s">
        <v>5822</v>
      </c>
      <c r="K88" s="56" t="n">
        <v>1</v>
      </c>
      <c r="L88" s="52" t="s">
        <v>5822</v>
      </c>
      <c r="M88" s="52" t="s">
        <v>230</v>
      </c>
    </row>
    <row r="89" customFormat="false" ht="17.25" hidden="false" customHeight="true" outlineLevel="0" collapsed="false">
      <c r="A89" s="52" t="s">
        <v>5777</v>
      </c>
      <c r="B89" s="52" t="s">
        <v>5813</v>
      </c>
      <c r="C89" s="53" t="n">
        <v>1384433</v>
      </c>
      <c r="D89" s="52" t="s">
        <v>297</v>
      </c>
      <c r="E89" s="52" t="s">
        <v>298</v>
      </c>
      <c r="F89" s="54" t="n">
        <v>39</v>
      </c>
      <c r="G89" s="55" t="n">
        <v>21301.35</v>
      </c>
      <c r="H89" s="55" t="n">
        <v>546.1885</v>
      </c>
      <c r="I89" s="55" t="n">
        <v>546.1885</v>
      </c>
      <c r="J89" s="52" t="s">
        <v>5816</v>
      </c>
      <c r="K89" s="56" t="n">
        <v>1</v>
      </c>
      <c r="L89" s="52" t="s">
        <v>5816</v>
      </c>
      <c r="M89" s="52" t="s">
        <v>38</v>
      </c>
    </row>
    <row r="90" customFormat="false" ht="17.25" hidden="false" customHeight="true" outlineLevel="0" collapsed="false">
      <c r="A90" s="52" t="s">
        <v>5777</v>
      </c>
      <c r="B90" s="52" t="s">
        <v>5813</v>
      </c>
      <c r="C90" s="53" t="n">
        <v>1487401</v>
      </c>
      <c r="D90" s="52" t="s">
        <v>299</v>
      </c>
      <c r="E90" s="52" t="s">
        <v>300</v>
      </c>
      <c r="F90" s="54" t="n">
        <v>45.26</v>
      </c>
      <c r="G90" s="55" t="n">
        <v>21279.7</v>
      </c>
      <c r="H90" s="55" t="n">
        <v>470.1657</v>
      </c>
      <c r="I90" s="55" t="n">
        <v>533.9</v>
      </c>
      <c r="J90" s="52" t="s">
        <v>5814</v>
      </c>
      <c r="K90" s="56" t="n">
        <v>1</v>
      </c>
      <c r="L90" s="52" t="s">
        <v>5814</v>
      </c>
      <c r="M90" s="52" t="s">
        <v>133</v>
      </c>
    </row>
    <row r="91" customFormat="false" ht="17.25" hidden="false" customHeight="true" outlineLevel="0" collapsed="false">
      <c r="A91" s="52" t="s">
        <v>5777</v>
      </c>
      <c r="B91" s="52" t="s">
        <v>5813</v>
      </c>
      <c r="C91" s="53" t="n">
        <v>1327716</v>
      </c>
      <c r="D91" s="52" t="s">
        <v>301</v>
      </c>
      <c r="E91" s="52" t="s">
        <v>302</v>
      </c>
      <c r="F91" s="54" t="n">
        <v>210</v>
      </c>
      <c r="G91" s="55" t="n">
        <v>21039.24</v>
      </c>
      <c r="H91" s="55" t="n">
        <v>100.1869</v>
      </c>
      <c r="I91" s="55" t="n">
        <v>158.3333</v>
      </c>
      <c r="J91" s="52" t="s">
        <v>5814</v>
      </c>
      <c r="K91" s="56" t="n">
        <v>1</v>
      </c>
      <c r="L91" s="52" t="s">
        <v>5814</v>
      </c>
      <c r="M91" s="52" t="s">
        <v>54</v>
      </c>
    </row>
    <row r="92" customFormat="false" ht="17.25" hidden="false" customHeight="true" outlineLevel="0" collapsed="false">
      <c r="A92" s="52" t="s">
        <v>5777</v>
      </c>
      <c r="B92" s="52" t="s">
        <v>5813</v>
      </c>
      <c r="C92" s="53" t="n">
        <v>19255</v>
      </c>
      <c r="D92" s="52" t="s">
        <v>151</v>
      </c>
      <c r="E92" s="52" t="s">
        <v>152</v>
      </c>
      <c r="F92" s="54" t="n">
        <v>10</v>
      </c>
      <c r="G92" s="55" t="n">
        <v>20534</v>
      </c>
      <c r="H92" s="55" t="n">
        <v>2053.4</v>
      </c>
      <c r="I92" s="55" t="n">
        <v>2053.4</v>
      </c>
      <c r="J92" s="52" t="s">
        <v>5816</v>
      </c>
      <c r="K92" s="56" t="n">
        <v>1</v>
      </c>
      <c r="L92" s="52" t="s">
        <v>5816</v>
      </c>
      <c r="M92" s="52" t="s">
        <v>75</v>
      </c>
    </row>
    <row r="93" customFormat="false" ht="17.25" hidden="false" customHeight="true" outlineLevel="0" collapsed="false">
      <c r="A93" s="52" t="s">
        <v>5777</v>
      </c>
      <c r="B93" s="52" t="s">
        <v>5813</v>
      </c>
      <c r="C93" s="53" t="n">
        <v>871936</v>
      </c>
      <c r="D93" s="52" t="s">
        <v>303</v>
      </c>
      <c r="E93" s="52" t="s">
        <v>304</v>
      </c>
      <c r="F93" s="54" t="n">
        <v>1</v>
      </c>
      <c r="G93" s="55" t="n">
        <v>20390</v>
      </c>
      <c r="H93" s="55" t="n">
        <v>20390</v>
      </c>
      <c r="I93" s="55" t="n">
        <v>20390</v>
      </c>
      <c r="J93" s="52" t="s">
        <v>5816</v>
      </c>
      <c r="K93" s="56" t="n">
        <v>1</v>
      </c>
      <c r="L93" s="52" t="s">
        <v>5816</v>
      </c>
      <c r="M93" s="52" t="s">
        <v>130</v>
      </c>
    </row>
    <row r="94" customFormat="false" ht="17.25" hidden="false" customHeight="true" outlineLevel="0" collapsed="false">
      <c r="A94" s="52" t="s">
        <v>5777</v>
      </c>
      <c r="B94" s="52" t="s">
        <v>5813</v>
      </c>
      <c r="C94" s="53" t="n">
        <v>738780</v>
      </c>
      <c r="D94" s="52" t="s">
        <v>305</v>
      </c>
      <c r="E94" s="52" t="s">
        <v>306</v>
      </c>
      <c r="F94" s="54" t="n">
        <v>62</v>
      </c>
      <c r="G94" s="55" t="n">
        <v>20370</v>
      </c>
      <c r="H94" s="55" t="n">
        <v>328.5484</v>
      </c>
      <c r="I94" s="55" t="n">
        <v>420</v>
      </c>
      <c r="J94" s="52" t="s">
        <v>5816</v>
      </c>
      <c r="K94" s="56" t="n">
        <v>1</v>
      </c>
      <c r="L94" s="52" t="s">
        <v>5816</v>
      </c>
      <c r="M94" s="52" t="s">
        <v>93</v>
      </c>
    </row>
    <row r="95" customFormat="false" ht="17.25" hidden="false" customHeight="true" outlineLevel="0" collapsed="false">
      <c r="A95" s="52" t="s">
        <v>5777</v>
      </c>
      <c r="B95" s="52" t="s">
        <v>5813</v>
      </c>
      <c r="C95" s="53" t="n">
        <v>1487449</v>
      </c>
      <c r="D95" s="52" t="s">
        <v>309</v>
      </c>
      <c r="E95" s="52" t="s">
        <v>310</v>
      </c>
      <c r="F95" s="54" t="n">
        <v>205</v>
      </c>
      <c r="G95" s="55" t="n">
        <v>20213</v>
      </c>
      <c r="H95" s="55" t="n">
        <v>98.6</v>
      </c>
      <c r="I95" s="55" t="n">
        <v>98.6</v>
      </c>
      <c r="J95" s="52" t="s">
        <v>5814</v>
      </c>
      <c r="K95" s="56" t="n">
        <v>1</v>
      </c>
      <c r="L95" s="52" t="s">
        <v>5814</v>
      </c>
      <c r="M95" s="52" t="s">
        <v>54</v>
      </c>
    </row>
    <row r="96" customFormat="false" ht="17.25" hidden="false" customHeight="true" outlineLevel="0" collapsed="false">
      <c r="A96" s="52" t="s">
        <v>5777</v>
      </c>
      <c r="B96" s="52" t="s">
        <v>5813</v>
      </c>
      <c r="C96" s="53" t="n">
        <v>826451</v>
      </c>
      <c r="D96" s="52" t="s">
        <v>311</v>
      </c>
      <c r="E96" s="52" t="s">
        <v>312</v>
      </c>
      <c r="F96" s="54" t="n">
        <v>400</v>
      </c>
      <c r="G96" s="55" t="n">
        <v>20172</v>
      </c>
      <c r="H96" s="55" t="n">
        <v>50.43</v>
      </c>
      <c r="I96" s="55" t="n">
        <v>50.43</v>
      </c>
      <c r="J96" s="52" t="s">
        <v>5814</v>
      </c>
      <c r="K96" s="56" t="n">
        <v>1</v>
      </c>
      <c r="L96" s="52" t="s">
        <v>5814</v>
      </c>
      <c r="M96" s="52" t="s">
        <v>38</v>
      </c>
    </row>
    <row r="97" customFormat="false" ht="17.25" hidden="false" customHeight="true" outlineLevel="0" collapsed="false">
      <c r="A97" s="52" t="s">
        <v>5777</v>
      </c>
      <c r="B97" s="52" t="s">
        <v>5813</v>
      </c>
      <c r="C97" s="53" t="n">
        <v>1469195</v>
      </c>
      <c r="D97" s="52" t="s">
        <v>313</v>
      </c>
      <c r="E97" s="52" t="s">
        <v>314</v>
      </c>
      <c r="F97" s="54" t="n">
        <v>224</v>
      </c>
      <c r="G97" s="55" t="n">
        <v>20160</v>
      </c>
      <c r="H97" s="55" t="n">
        <v>90</v>
      </c>
      <c r="I97" s="55" t="n">
        <v>90</v>
      </c>
      <c r="J97" s="52" t="s">
        <v>5816</v>
      </c>
      <c r="K97" s="56" t="n">
        <v>1</v>
      </c>
      <c r="L97" s="52" t="s">
        <v>5816</v>
      </c>
      <c r="M97" s="52" t="s">
        <v>100</v>
      </c>
    </row>
    <row r="98" customFormat="false" ht="17.25" hidden="false" customHeight="true" outlineLevel="0" collapsed="false">
      <c r="A98" s="52" t="s">
        <v>5777</v>
      </c>
      <c r="B98" s="52" t="s">
        <v>5813</v>
      </c>
      <c r="C98" s="53" t="n">
        <v>1326678</v>
      </c>
      <c r="D98" s="52" t="s">
        <v>315</v>
      </c>
      <c r="E98" s="52" t="s">
        <v>316</v>
      </c>
      <c r="F98" s="54" t="n">
        <v>139</v>
      </c>
      <c r="G98" s="55" t="n">
        <v>19173.4</v>
      </c>
      <c r="H98" s="55" t="n">
        <v>137.9381</v>
      </c>
      <c r="I98" s="55" t="n">
        <v>481.265</v>
      </c>
      <c r="J98" s="52" t="s">
        <v>5818</v>
      </c>
      <c r="K98" s="56" t="n">
        <v>1</v>
      </c>
      <c r="L98" s="52" t="s">
        <v>5816</v>
      </c>
      <c r="M98" s="52" t="s">
        <v>38</v>
      </c>
    </row>
    <row r="99" customFormat="false" ht="17.25" hidden="false" customHeight="true" outlineLevel="0" collapsed="false">
      <c r="A99" s="52" t="s">
        <v>5777</v>
      </c>
      <c r="B99" s="52" t="s">
        <v>5813</v>
      </c>
      <c r="C99" s="53" t="n">
        <v>34194</v>
      </c>
      <c r="D99" s="52" t="s">
        <v>317</v>
      </c>
      <c r="E99" s="52" t="s">
        <v>318</v>
      </c>
      <c r="F99" s="54" t="n">
        <v>20</v>
      </c>
      <c r="G99" s="55" t="n">
        <v>19100</v>
      </c>
      <c r="H99" s="55" t="n">
        <v>955</v>
      </c>
      <c r="I99" s="55" t="n">
        <v>1450</v>
      </c>
      <c r="J99" s="52" t="s">
        <v>5816</v>
      </c>
      <c r="K99" s="56" t="n">
        <v>1</v>
      </c>
      <c r="L99" s="52" t="s">
        <v>5816</v>
      </c>
      <c r="M99" s="52" t="s">
        <v>93</v>
      </c>
    </row>
    <row r="100" customFormat="false" ht="17.25" hidden="false" customHeight="true" outlineLevel="0" collapsed="false">
      <c r="A100" s="52" t="s">
        <v>5777</v>
      </c>
      <c r="B100" s="52" t="s">
        <v>5813</v>
      </c>
      <c r="C100" s="53" t="n">
        <v>1461991</v>
      </c>
      <c r="D100" s="52" t="s">
        <v>319</v>
      </c>
      <c r="E100" s="52" t="s">
        <v>320</v>
      </c>
      <c r="F100" s="54" t="n">
        <v>812</v>
      </c>
      <c r="G100" s="55" t="n">
        <v>19082</v>
      </c>
      <c r="H100" s="55" t="n">
        <v>23.5</v>
      </c>
      <c r="I100" s="55" t="n">
        <v>23.5</v>
      </c>
      <c r="J100" s="52" t="s">
        <v>5814</v>
      </c>
      <c r="K100" s="56" t="n">
        <v>1</v>
      </c>
      <c r="L100" s="52" t="s">
        <v>5814</v>
      </c>
      <c r="M100" s="52" t="s">
        <v>321</v>
      </c>
    </row>
    <row r="101" customFormat="false" ht="17.25" hidden="false" customHeight="true" outlineLevel="0" collapsed="false">
      <c r="A101" s="52" t="s">
        <v>5777</v>
      </c>
      <c r="B101" s="52" t="s">
        <v>5813</v>
      </c>
      <c r="C101" s="53" t="n">
        <v>1666361</v>
      </c>
      <c r="D101" s="52" t="s">
        <v>322</v>
      </c>
      <c r="E101" s="52" t="s">
        <v>323</v>
      </c>
      <c r="F101" s="54" t="n">
        <v>42</v>
      </c>
      <c r="G101" s="55" t="n">
        <v>18667.84</v>
      </c>
      <c r="H101" s="55" t="n">
        <v>444.4724</v>
      </c>
      <c r="I101" s="55" t="n">
        <v>444.4724</v>
      </c>
      <c r="J101" s="52" t="s">
        <v>5816</v>
      </c>
      <c r="K101" s="56" t="n">
        <v>1</v>
      </c>
      <c r="L101" s="52" t="s">
        <v>5816</v>
      </c>
      <c r="M101" s="52" t="s">
        <v>100</v>
      </c>
    </row>
    <row r="102" customFormat="false" ht="17.25" hidden="false" customHeight="true" outlineLevel="0" collapsed="false">
      <c r="A102" s="52" t="s">
        <v>5777</v>
      </c>
      <c r="B102" s="52" t="s">
        <v>5813</v>
      </c>
      <c r="C102" s="53" t="n">
        <v>226963</v>
      </c>
      <c r="D102" s="52" t="s">
        <v>324</v>
      </c>
      <c r="E102" s="52" t="s">
        <v>325</v>
      </c>
      <c r="F102" s="54" t="n">
        <v>11</v>
      </c>
      <c r="G102" s="55" t="n">
        <v>18480</v>
      </c>
      <c r="H102" s="55" t="n">
        <v>1680</v>
      </c>
      <c r="I102" s="55" t="n">
        <v>1680</v>
      </c>
      <c r="J102" s="52" t="s">
        <v>5816</v>
      </c>
      <c r="K102" s="56" t="n">
        <v>1</v>
      </c>
      <c r="L102" s="52" t="s">
        <v>5816</v>
      </c>
      <c r="M102" s="52" t="s">
        <v>38</v>
      </c>
    </row>
    <row r="103" customFormat="false" ht="17.25" hidden="false" customHeight="true" outlineLevel="0" collapsed="false">
      <c r="A103" s="52" t="s">
        <v>5777</v>
      </c>
      <c r="B103" s="52" t="s">
        <v>5813</v>
      </c>
      <c r="C103" s="53" t="n">
        <v>1387996</v>
      </c>
      <c r="D103" s="52" t="s">
        <v>326</v>
      </c>
      <c r="E103" s="52" t="s">
        <v>327</v>
      </c>
      <c r="F103" s="54" t="n">
        <v>168</v>
      </c>
      <c r="G103" s="55" t="n">
        <v>18283.43</v>
      </c>
      <c r="H103" s="55" t="n">
        <v>108.8299</v>
      </c>
      <c r="I103" s="55" t="n">
        <v>680</v>
      </c>
      <c r="J103" s="52" t="s">
        <v>5816</v>
      </c>
      <c r="K103" s="56" t="n">
        <v>1</v>
      </c>
      <c r="L103" s="52" t="s">
        <v>5816</v>
      </c>
      <c r="M103" s="52" t="s">
        <v>38</v>
      </c>
    </row>
    <row r="104" customFormat="false" ht="17.25" hidden="false" customHeight="true" outlineLevel="0" collapsed="false">
      <c r="A104" s="52" t="s">
        <v>5777</v>
      </c>
      <c r="B104" s="52" t="s">
        <v>5813</v>
      </c>
      <c r="C104" s="53" t="n">
        <v>1011111</v>
      </c>
      <c r="D104" s="52" t="s">
        <v>328</v>
      </c>
      <c r="E104" s="52" t="s">
        <v>329</v>
      </c>
      <c r="F104" s="54" t="n">
        <v>170</v>
      </c>
      <c r="G104" s="55" t="n">
        <v>18212.1</v>
      </c>
      <c r="H104" s="55" t="n">
        <v>107.13</v>
      </c>
      <c r="I104" s="55" t="n">
        <v>107.13</v>
      </c>
      <c r="J104" s="52" t="s">
        <v>5816</v>
      </c>
      <c r="K104" s="56" t="n">
        <v>1</v>
      </c>
      <c r="L104" s="52" t="s">
        <v>5816</v>
      </c>
      <c r="M104" s="52" t="s">
        <v>133</v>
      </c>
    </row>
    <row r="105" customFormat="false" ht="17.25" hidden="false" customHeight="true" outlineLevel="0" collapsed="false">
      <c r="A105" s="52" t="s">
        <v>5777</v>
      </c>
      <c r="B105" s="52" t="s">
        <v>5813</v>
      </c>
      <c r="C105" s="53" t="n">
        <v>21457</v>
      </c>
      <c r="D105" s="52" t="s">
        <v>332</v>
      </c>
      <c r="E105" s="52" t="s">
        <v>333</v>
      </c>
      <c r="F105" s="54" t="n">
        <v>427</v>
      </c>
      <c r="G105" s="55" t="n">
        <v>17907.49</v>
      </c>
      <c r="H105" s="55" t="n">
        <v>41.9379</v>
      </c>
      <c r="I105" s="55" t="n">
        <v>37</v>
      </c>
      <c r="J105" s="52" t="s">
        <v>5816</v>
      </c>
      <c r="K105" s="56" t="n">
        <v>1</v>
      </c>
      <c r="L105" s="52" t="s">
        <v>5816</v>
      </c>
      <c r="M105" s="52" t="s">
        <v>334</v>
      </c>
    </row>
    <row r="106" customFormat="false" ht="17.25" hidden="false" customHeight="true" outlineLevel="0" collapsed="false">
      <c r="A106" s="52" t="s">
        <v>5777</v>
      </c>
      <c r="B106" s="52" t="s">
        <v>5813</v>
      </c>
      <c r="C106" s="53" t="n">
        <v>425806</v>
      </c>
      <c r="D106" s="52" t="s">
        <v>335</v>
      </c>
      <c r="E106" s="52" t="s">
        <v>5827</v>
      </c>
      <c r="F106" s="54" t="n">
        <v>24</v>
      </c>
      <c r="G106" s="55" t="n">
        <v>17880</v>
      </c>
      <c r="H106" s="55" t="n">
        <v>745</v>
      </c>
      <c r="I106" s="55" t="n">
        <v>745</v>
      </c>
      <c r="J106" s="52" t="s">
        <v>5816</v>
      </c>
      <c r="K106" s="56" t="n">
        <v>1</v>
      </c>
      <c r="L106" s="52" t="s">
        <v>5816</v>
      </c>
      <c r="M106" s="52" t="s">
        <v>75</v>
      </c>
    </row>
    <row r="107" customFormat="false" ht="17.25" hidden="false" customHeight="true" outlineLevel="0" collapsed="false">
      <c r="A107" s="52" t="s">
        <v>5777</v>
      </c>
      <c r="B107" s="52" t="s">
        <v>5813</v>
      </c>
      <c r="C107" s="53" t="n">
        <v>1387969</v>
      </c>
      <c r="D107" s="52" t="s">
        <v>337</v>
      </c>
      <c r="E107" s="52" t="s">
        <v>338</v>
      </c>
      <c r="F107" s="54" t="n">
        <v>33</v>
      </c>
      <c r="G107" s="55" t="n">
        <v>17234.24</v>
      </c>
      <c r="H107" s="55" t="n">
        <v>522.2497</v>
      </c>
      <c r="I107" s="55" t="n">
        <v>455.81</v>
      </c>
      <c r="J107" s="52" t="s">
        <v>5816</v>
      </c>
      <c r="K107" s="56" t="n">
        <v>1</v>
      </c>
      <c r="L107" s="52" t="s">
        <v>5816</v>
      </c>
      <c r="M107" s="52" t="s">
        <v>38</v>
      </c>
    </row>
    <row r="108" customFormat="false" ht="17.25" hidden="false" customHeight="true" outlineLevel="0" collapsed="false">
      <c r="A108" s="52" t="s">
        <v>5777</v>
      </c>
      <c r="B108" s="52" t="s">
        <v>5813</v>
      </c>
      <c r="C108" s="53" t="n">
        <v>1385279</v>
      </c>
      <c r="D108" s="52" t="s">
        <v>339</v>
      </c>
      <c r="E108" s="52" t="s">
        <v>5828</v>
      </c>
      <c r="F108" s="54" t="n">
        <v>6</v>
      </c>
      <c r="G108" s="55" t="n">
        <v>17218.14</v>
      </c>
      <c r="H108" s="55" t="n">
        <v>2869.69</v>
      </c>
      <c r="I108" s="55" t="n">
        <v>2869.69</v>
      </c>
      <c r="J108" s="52" t="s">
        <v>5816</v>
      </c>
      <c r="K108" s="56" t="n">
        <v>1</v>
      </c>
      <c r="L108" s="52" t="s">
        <v>5816</v>
      </c>
      <c r="M108" s="52" t="s">
        <v>38</v>
      </c>
    </row>
    <row r="109" customFormat="false" ht="17.25" hidden="false" customHeight="true" outlineLevel="0" collapsed="false">
      <c r="A109" s="52" t="s">
        <v>5777</v>
      </c>
      <c r="B109" s="52" t="s">
        <v>5813</v>
      </c>
      <c r="C109" s="53" t="n">
        <v>879648</v>
      </c>
      <c r="D109" s="52" t="s">
        <v>341</v>
      </c>
      <c r="E109" s="52" t="s">
        <v>342</v>
      </c>
      <c r="F109" s="54" t="n">
        <v>9</v>
      </c>
      <c r="G109" s="55" t="n">
        <v>17100</v>
      </c>
      <c r="H109" s="55" t="n">
        <v>1900</v>
      </c>
      <c r="I109" s="55" t="n">
        <v>1900</v>
      </c>
      <c r="J109" s="52" t="s">
        <v>5816</v>
      </c>
      <c r="K109" s="56" t="n">
        <v>1</v>
      </c>
      <c r="L109" s="52" t="s">
        <v>5816</v>
      </c>
      <c r="M109" s="52" t="s">
        <v>113</v>
      </c>
    </row>
    <row r="110" customFormat="false" ht="17.25" hidden="false" customHeight="true" outlineLevel="0" collapsed="false">
      <c r="A110" s="52" t="s">
        <v>5777</v>
      </c>
      <c r="B110" s="52" t="s">
        <v>5813</v>
      </c>
      <c r="C110" s="53" t="n">
        <v>32387</v>
      </c>
      <c r="D110" s="52" t="s">
        <v>345</v>
      </c>
      <c r="E110" s="52" t="s">
        <v>346</v>
      </c>
      <c r="F110" s="54" t="n">
        <v>48</v>
      </c>
      <c r="G110" s="55" t="n">
        <v>16945.59</v>
      </c>
      <c r="H110" s="55" t="n">
        <v>353.0331</v>
      </c>
      <c r="I110" s="55" t="n">
        <v>333.3129</v>
      </c>
      <c r="J110" s="52" t="s">
        <v>5829</v>
      </c>
      <c r="K110" s="56" t="n">
        <v>500</v>
      </c>
      <c r="L110" s="52" t="s">
        <v>5814</v>
      </c>
      <c r="M110" s="52" t="s">
        <v>47</v>
      </c>
    </row>
    <row r="111" customFormat="false" ht="17.25" hidden="false" customHeight="true" outlineLevel="0" collapsed="false">
      <c r="A111" s="52" t="s">
        <v>5777</v>
      </c>
      <c r="B111" s="52" t="s">
        <v>5813</v>
      </c>
      <c r="C111" s="53" t="n">
        <v>1383225</v>
      </c>
      <c r="D111" s="52" t="s">
        <v>347</v>
      </c>
      <c r="E111" s="52" t="s">
        <v>348</v>
      </c>
      <c r="F111" s="54" t="n">
        <v>13</v>
      </c>
      <c r="G111" s="55" t="n">
        <v>16940.64</v>
      </c>
      <c r="H111" s="55" t="n">
        <v>1303.1262</v>
      </c>
      <c r="I111" s="55" t="n">
        <v>1303.1262</v>
      </c>
      <c r="J111" s="52" t="s">
        <v>5816</v>
      </c>
      <c r="K111" s="56" t="n">
        <v>1</v>
      </c>
      <c r="L111" s="52" t="s">
        <v>5816</v>
      </c>
      <c r="M111" s="52" t="s">
        <v>38</v>
      </c>
    </row>
    <row r="112" customFormat="false" ht="17.25" hidden="false" customHeight="true" outlineLevel="0" collapsed="false">
      <c r="A112" s="52" t="s">
        <v>5777</v>
      </c>
      <c r="B112" s="52" t="s">
        <v>5813</v>
      </c>
      <c r="C112" s="53" t="n">
        <v>939998</v>
      </c>
      <c r="D112" s="52" t="s">
        <v>351</v>
      </c>
      <c r="E112" s="52" t="s">
        <v>352</v>
      </c>
      <c r="F112" s="54" t="n">
        <v>12</v>
      </c>
      <c r="G112" s="55" t="n">
        <v>16809.9</v>
      </c>
      <c r="H112" s="55" t="n">
        <v>1400.825</v>
      </c>
      <c r="I112" s="55" t="n">
        <v>1401.65</v>
      </c>
      <c r="J112" s="52" t="s">
        <v>5830</v>
      </c>
      <c r="K112" s="56" t="n">
        <v>1</v>
      </c>
      <c r="L112" s="52" t="s">
        <v>5830</v>
      </c>
      <c r="M112" s="52" t="s">
        <v>113</v>
      </c>
    </row>
    <row r="113" customFormat="false" ht="17.25" hidden="false" customHeight="true" outlineLevel="0" collapsed="false">
      <c r="A113" s="52" t="s">
        <v>5777</v>
      </c>
      <c r="B113" s="52" t="s">
        <v>5813</v>
      </c>
      <c r="C113" s="53" t="n">
        <v>388955</v>
      </c>
      <c r="D113" s="52" t="s">
        <v>353</v>
      </c>
      <c r="E113" s="52" t="s">
        <v>354</v>
      </c>
      <c r="F113" s="54" t="n">
        <v>162</v>
      </c>
      <c r="G113" s="55" t="n">
        <v>16716</v>
      </c>
      <c r="H113" s="55" t="n">
        <v>103.1852</v>
      </c>
      <c r="I113" s="55" t="n">
        <v>268</v>
      </c>
      <c r="J113" s="52" t="s">
        <v>5816</v>
      </c>
      <c r="K113" s="56" t="n">
        <v>1</v>
      </c>
      <c r="L113" s="52" t="s">
        <v>5816</v>
      </c>
      <c r="M113" s="52" t="s">
        <v>355</v>
      </c>
    </row>
    <row r="114" customFormat="false" ht="17.25" hidden="false" customHeight="true" outlineLevel="0" collapsed="false">
      <c r="A114" s="52" t="s">
        <v>5777</v>
      </c>
      <c r="B114" s="52" t="s">
        <v>5813</v>
      </c>
      <c r="C114" s="53" t="n">
        <v>1105338</v>
      </c>
      <c r="D114" s="52" t="s">
        <v>356</v>
      </c>
      <c r="E114" s="52" t="s">
        <v>357</v>
      </c>
      <c r="F114" s="54" t="n">
        <v>300</v>
      </c>
      <c r="G114" s="55" t="n">
        <v>16572</v>
      </c>
      <c r="H114" s="55" t="n">
        <v>55.24</v>
      </c>
      <c r="I114" s="55" t="n">
        <v>48.86</v>
      </c>
      <c r="J114" s="52" t="s">
        <v>5816</v>
      </c>
      <c r="K114" s="56" t="n">
        <v>1</v>
      </c>
      <c r="L114" s="52" t="s">
        <v>5816</v>
      </c>
      <c r="M114" s="52" t="s">
        <v>100</v>
      </c>
    </row>
    <row r="115" customFormat="false" ht="17.25" hidden="false" customHeight="true" outlineLevel="0" collapsed="false">
      <c r="A115" s="52" t="s">
        <v>5777</v>
      </c>
      <c r="B115" s="52" t="s">
        <v>5813</v>
      </c>
      <c r="C115" s="53" t="n">
        <v>18985</v>
      </c>
      <c r="D115" s="52" t="s">
        <v>358</v>
      </c>
      <c r="E115" s="52" t="s">
        <v>359</v>
      </c>
      <c r="F115" s="54" t="n">
        <v>300</v>
      </c>
      <c r="G115" s="55" t="n">
        <v>16500</v>
      </c>
      <c r="H115" s="55" t="n">
        <v>55</v>
      </c>
      <c r="I115" s="55" t="n">
        <v>55</v>
      </c>
      <c r="J115" s="52" t="s">
        <v>5816</v>
      </c>
      <c r="K115" s="56" t="n">
        <v>1</v>
      </c>
      <c r="L115" s="52" t="s">
        <v>5816</v>
      </c>
      <c r="M115" s="52" t="s">
        <v>360</v>
      </c>
    </row>
    <row r="116" customFormat="false" ht="17.25" hidden="false" customHeight="true" outlineLevel="0" collapsed="false">
      <c r="A116" s="52" t="s">
        <v>5777</v>
      </c>
      <c r="B116" s="52" t="s">
        <v>5813</v>
      </c>
      <c r="C116" s="53" t="n">
        <v>53891</v>
      </c>
      <c r="D116" s="52" t="s">
        <v>364</v>
      </c>
      <c r="E116" s="52" t="s">
        <v>365</v>
      </c>
      <c r="F116" s="54" t="n">
        <v>3000</v>
      </c>
      <c r="G116" s="55" t="n">
        <v>16371.94</v>
      </c>
      <c r="H116" s="55" t="n">
        <v>5.4573</v>
      </c>
      <c r="I116" s="55" t="n">
        <v>5.65</v>
      </c>
      <c r="J116" s="52" t="s">
        <v>5831</v>
      </c>
      <c r="K116" s="56" t="n">
        <v>1</v>
      </c>
      <c r="L116" s="52" t="s">
        <v>5831</v>
      </c>
      <c r="M116" s="52" t="s">
        <v>247</v>
      </c>
    </row>
    <row r="117" customFormat="false" ht="17.25" hidden="false" customHeight="true" outlineLevel="0" collapsed="false">
      <c r="A117" s="52" t="s">
        <v>5777</v>
      </c>
      <c r="B117" s="52" t="s">
        <v>5813</v>
      </c>
      <c r="C117" s="53" t="n">
        <v>35544</v>
      </c>
      <c r="D117" s="52" t="s">
        <v>368</v>
      </c>
      <c r="E117" s="52" t="s">
        <v>369</v>
      </c>
      <c r="F117" s="54" t="n">
        <v>300</v>
      </c>
      <c r="G117" s="55" t="n">
        <v>16290</v>
      </c>
      <c r="H117" s="55" t="n">
        <v>54.3</v>
      </c>
      <c r="I117" s="55" t="n">
        <v>54.3</v>
      </c>
      <c r="J117" s="52" t="s">
        <v>5816</v>
      </c>
      <c r="K117" s="56" t="n">
        <v>1</v>
      </c>
      <c r="L117" s="52" t="s">
        <v>5816</v>
      </c>
      <c r="M117" s="52" t="s">
        <v>38</v>
      </c>
    </row>
    <row r="118" customFormat="false" ht="17.25" hidden="false" customHeight="true" outlineLevel="0" collapsed="false">
      <c r="A118" s="52" t="s">
        <v>5777</v>
      </c>
      <c r="B118" s="52" t="s">
        <v>5813</v>
      </c>
      <c r="C118" s="53" t="n">
        <v>33591</v>
      </c>
      <c r="D118" s="52" t="s">
        <v>370</v>
      </c>
      <c r="E118" s="52" t="s">
        <v>371</v>
      </c>
      <c r="F118" s="54" t="n">
        <v>10</v>
      </c>
      <c r="G118" s="55" t="n">
        <v>16284.52</v>
      </c>
      <c r="H118" s="55" t="n">
        <v>1628.452</v>
      </c>
      <c r="I118" s="55" t="n">
        <v>1841.1</v>
      </c>
      <c r="J118" s="52" t="s">
        <v>5816</v>
      </c>
      <c r="K118" s="56" t="n">
        <v>1</v>
      </c>
      <c r="L118" s="52" t="s">
        <v>5816</v>
      </c>
      <c r="M118" s="52" t="s">
        <v>35</v>
      </c>
    </row>
    <row r="119" customFormat="false" ht="17.25" hidden="false" customHeight="true" outlineLevel="0" collapsed="false">
      <c r="A119" s="52" t="s">
        <v>5777</v>
      </c>
      <c r="B119" s="52" t="s">
        <v>5813</v>
      </c>
      <c r="C119" s="53" t="n">
        <v>1614266</v>
      </c>
      <c r="D119" s="52" t="s">
        <v>372</v>
      </c>
      <c r="E119" s="52" t="s">
        <v>373</v>
      </c>
      <c r="F119" s="54" t="n">
        <v>28</v>
      </c>
      <c r="G119" s="55" t="n">
        <v>15938.84</v>
      </c>
      <c r="H119" s="55" t="n">
        <v>569.2443</v>
      </c>
      <c r="I119" s="55" t="n">
        <v>644.905</v>
      </c>
      <c r="J119" s="52" t="s">
        <v>5816</v>
      </c>
      <c r="K119" s="56" t="n">
        <v>1</v>
      </c>
      <c r="L119" s="52" t="s">
        <v>5816</v>
      </c>
      <c r="M119" s="52" t="s">
        <v>38</v>
      </c>
    </row>
    <row r="120" customFormat="false" ht="17.25" hidden="false" customHeight="true" outlineLevel="0" collapsed="false">
      <c r="A120" s="52" t="s">
        <v>5777</v>
      </c>
      <c r="B120" s="52" t="s">
        <v>5813</v>
      </c>
      <c r="C120" s="53" t="n">
        <v>389170</v>
      </c>
      <c r="D120" s="52" t="s">
        <v>376</v>
      </c>
      <c r="E120" s="52" t="s">
        <v>377</v>
      </c>
      <c r="F120" s="54" t="n">
        <v>52</v>
      </c>
      <c r="G120" s="55" t="n">
        <v>15600</v>
      </c>
      <c r="H120" s="55" t="n">
        <v>300</v>
      </c>
      <c r="I120" s="55" t="n">
        <v>290</v>
      </c>
      <c r="J120" s="52" t="s">
        <v>5816</v>
      </c>
      <c r="K120" s="56" t="n">
        <v>1</v>
      </c>
      <c r="L120" s="52" t="s">
        <v>5816</v>
      </c>
      <c r="M120" s="52" t="s">
        <v>247</v>
      </c>
    </row>
    <row r="121" customFormat="false" ht="17.25" hidden="false" customHeight="true" outlineLevel="0" collapsed="false">
      <c r="A121" s="52" t="s">
        <v>5777</v>
      </c>
      <c r="B121" s="52" t="s">
        <v>5813</v>
      </c>
      <c r="C121" s="53" t="n">
        <v>1469075</v>
      </c>
      <c r="D121" s="52" t="s">
        <v>380</v>
      </c>
      <c r="E121" s="52" t="s">
        <v>381</v>
      </c>
      <c r="F121" s="54" t="n">
        <v>1150</v>
      </c>
      <c r="G121" s="55" t="n">
        <v>15364</v>
      </c>
      <c r="H121" s="55" t="n">
        <v>13.36</v>
      </c>
      <c r="I121" s="55" t="n">
        <v>13.36</v>
      </c>
      <c r="J121" s="52" t="s">
        <v>5822</v>
      </c>
      <c r="K121" s="56" t="n">
        <v>1</v>
      </c>
      <c r="L121" s="52" t="s">
        <v>5822</v>
      </c>
      <c r="M121" s="52" t="s">
        <v>47</v>
      </c>
    </row>
    <row r="122" customFormat="false" ht="17.25" hidden="false" customHeight="true" outlineLevel="0" collapsed="false">
      <c r="A122" s="52" t="s">
        <v>5777</v>
      </c>
      <c r="B122" s="52" t="s">
        <v>5813</v>
      </c>
      <c r="C122" s="53" t="n">
        <v>1613400</v>
      </c>
      <c r="D122" s="52" t="s">
        <v>382</v>
      </c>
      <c r="E122" s="52" t="s">
        <v>383</v>
      </c>
      <c r="F122" s="54" t="n">
        <v>16</v>
      </c>
      <c r="G122" s="55" t="n">
        <v>15250.36</v>
      </c>
      <c r="H122" s="55" t="n">
        <v>953.1475</v>
      </c>
      <c r="I122" s="55" t="n">
        <v>865.36</v>
      </c>
      <c r="J122" s="52" t="s">
        <v>5816</v>
      </c>
      <c r="K122" s="56" t="n">
        <v>1</v>
      </c>
      <c r="L122" s="52" t="s">
        <v>5816</v>
      </c>
      <c r="M122" s="52" t="s">
        <v>38</v>
      </c>
    </row>
    <row r="123" customFormat="false" ht="17.25" hidden="false" customHeight="true" outlineLevel="0" collapsed="false">
      <c r="A123" s="52" t="s">
        <v>5777</v>
      </c>
      <c r="B123" s="52" t="s">
        <v>5813</v>
      </c>
      <c r="C123" s="53" t="n">
        <v>1328114</v>
      </c>
      <c r="D123" s="52" t="s">
        <v>126</v>
      </c>
      <c r="E123" s="52" t="s">
        <v>127</v>
      </c>
      <c r="F123" s="54" t="n">
        <v>80</v>
      </c>
      <c r="G123" s="55" t="n">
        <v>15200</v>
      </c>
      <c r="H123" s="55" t="n">
        <v>190</v>
      </c>
      <c r="I123" s="55" t="n">
        <v>190</v>
      </c>
      <c r="J123" s="52" t="s">
        <v>5814</v>
      </c>
      <c r="K123" s="56" t="n">
        <v>1</v>
      </c>
      <c r="L123" s="52" t="s">
        <v>5814</v>
      </c>
      <c r="M123" s="52" t="s">
        <v>38</v>
      </c>
    </row>
    <row r="124" customFormat="false" ht="17.25" hidden="false" customHeight="true" outlineLevel="0" collapsed="false">
      <c r="A124" s="52" t="s">
        <v>5777</v>
      </c>
      <c r="B124" s="52" t="s">
        <v>5813</v>
      </c>
      <c r="C124" s="53" t="n">
        <v>554391</v>
      </c>
      <c r="D124" s="52" t="s">
        <v>384</v>
      </c>
      <c r="E124" s="52" t="s">
        <v>385</v>
      </c>
      <c r="F124" s="54" t="n">
        <v>1</v>
      </c>
      <c r="G124" s="55" t="n">
        <v>15140</v>
      </c>
      <c r="H124" s="55" t="n">
        <v>15140</v>
      </c>
      <c r="I124" s="55" t="n">
        <v>15140</v>
      </c>
      <c r="J124" s="52" t="s">
        <v>5816</v>
      </c>
      <c r="K124" s="56" t="n">
        <v>1</v>
      </c>
      <c r="L124" s="52" t="s">
        <v>5816</v>
      </c>
      <c r="M124" s="52" t="s">
        <v>363</v>
      </c>
    </row>
    <row r="125" customFormat="false" ht="17.25" hidden="false" customHeight="true" outlineLevel="0" collapsed="false">
      <c r="A125" s="52" t="s">
        <v>5777</v>
      </c>
      <c r="B125" s="52" t="s">
        <v>5813</v>
      </c>
      <c r="C125" s="53" t="n">
        <v>18905</v>
      </c>
      <c r="D125" s="52" t="s">
        <v>386</v>
      </c>
      <c r="E125" s="52" t="s">
        <v>387</v>
      </c>
      <c r="F125" s="54" t="n">
        <v>1197</v>
      </c>
      <c r="G125" s="55" t="n">
        <v>15125.8317</v>
      </c>
      <c r="H125" s="55" t="n">
        <v>12.6364</v>
      </c>
      <c r="I125" s="55" t="n">
        <v>12.5</v>
      </c>
      <c r="J125" s="52" t="s">
        <v>5831</v>
      </c>
      <c r="K125" s="56" t="n">
        <v>1</v>
      </c>
      <c r="L125" s="52" t="s">
        <v>5831</v>
      </c>
      <c r="M125" s="52" t="s">
        <v>247</v>
      </c>
    </row>
    <row r="126" customFormat="false" ht="17.25" hidden="false" customHeight="true" outlineLevel="0" collapsed="false">
      <c r="A126" s="52" t="s">
        <v>5777</v>
      </c>
      <c r="B126" s="52" t="s">
        <v>5813</v>
      </c>
      <c r="C126" s="53" t="n">
        <v>294499</v>
      </c>
      <c r="D126" s="52" t="s">
        <v>388</v>
      </c>
      <c r="E126" s="52" t="s">
        <v>389</v>
      </c>
      <c r="F126" s="54" t="n">
        <v>1</v>
      </c>
      <c r="G126" s="55" t="n">
        <v>14990</v>
      </c>
      <c r="H126" s="55" t="n">
        <v>14990</v>
      </c>
      <c r="I126" s="55" t="n">
        <v>14990</v>
      </c>
      <c r="J126" s="52" t="s">
        <v>5816</v>
      </c>
      <c r="K126" s="56" t="n">
        <v>1</v>
      </c>
      <c r="L126" s="52" t="s">
        <v>5816</v>
      </c>
      <c r="M126" s="52" t="s">
        <v>363</v>
      </c>
    </row>
    <row r="127" customFormat="false" ht="17.25" hidden="false" customHeight="true" outlineLevel="0" collapsed="false">
      <c r="A127" s="52" t="s">
        <v>5777</v>
      </c>
      <c r="B127" s="52" t="s">
        <v>5813</v>
      </c>
      <c r="C127" s="53" t="n">
        <v>22678</v>
      </c>
      <c r="D127" s="52" t="s">
        <v>390</v>
      </c>
      <c r="E127" s="52" t="s">
        <v>391</v>
      </c>
      <c r="F127" s="54" t="n">
        <v>290</v>
      </c>
      <c r="G127" s="55" t="n">
        <v>14901.1936</v>
      </c>
      <c r="H127" s="55" t="n">
        <v>51.3834</v>
      </c>
      <c r="I127" s="55" t="n">
        <v>51.3834</v>
      </c>
      <c r="J127" s="52" t="s">
        <v>5816</v>
      </c>
      <c r="K127" s="56" t="n">
        <v>1</v>
      </c>
      <c r="L127" s="52" t="s">
        <v>5816</v>
      </c>
      <c r="M127" s="52" t="s">
        <v>38</v>
      </c>
    </row>
    <row r="128" customFormat="false" ht="17.25" hidden="false" customHeight="true" outlineLevel="0" collapsed="false">
      <c r="A128" s="52" t="s">
        <v>5777</v>
      </c>
      <c r="B128" s="52" t="s">
        <v>5813</v>
      </c>
      <c r="C128" s="53" t="n">
        <v>1469673</v>
      </c>
      <c r="D128" s="52" t="s">
        <v>392</v>
      </c>
      <c r="E128" s="52" t="s">
        <v>393</v>
      </c>
      <c r="F128" s="54" t="n">
        <v>2797</v>
      </c>
      <c r="G128" s="55" t="n">
        <v>14824.1</v>
      </c>
      <c r="H128" s="55" t="n">
        <v>5.3</v>
      </c>
      <c r="I128" s="55" t="n">
        <v>5.3</v>
      </c>
      <c r="J128" s="52" t="s">
        <v>5816</v>
      </c>
      <c r="K128" s="56" t="n">
        <v>1</v>
      </c>
      <c r="L128" s="52" t="s">
        <v>5816</v>
      </c>
      <c r="M128" s="52" t="s">
        <v>394</v>
      </c>
    </row>
    <row r="129" customFormat="false" ht="17.25" hidden="false" customHeight="true" outlineLevel="0" collapsed="false">
      <c r="A129" s="52" t="s">
        <v>5777</v>
      </c>
      <c r="B129" s="52" t="s">
        <v>5813</v>
      </c>
      <c r="C129" s="53" t="n">
        <v>21658</v>
      </c>
      <c r="D129" s="52" t="s">
        <v>395</v>
      </c>
      <c r="E129" s="52" t="s">
        <v>396</v>
      </c>
      <c r="F129" s="54" t="n">
        <v>600</v>
      </c>
      <c r="G129" s="55" t="n">
        <v>14820</v>
      </c>
      <c r="H129" s="55" t="n">
        <v>24.7</v>
      </c>
      <c r="I129" s="55" t="n">
        <v>24.7</v>
      </c>
      <c r="J129" s="52" t="s">
        <v>5816</v>
      </c>
      <c r="K129" s="56" t="n">
        <v>1</v>
      </c>
      <c r="L129" s="52" t="s">
        <v>5816</v>
      </c>
      <c r="M129" s="52" t="s">
        <v>35</v>
      </c>
    </row>
    <row r="130" customFormat="false" ht="17.25" hidden="false" customHeight="true" outlineLevel="0" collapsed="false">
      <c r="A130" s="52" t="s">
        <v>5777</v>
      </c>
      <c r="B130" s="52" t="s">
        <v>5813</v>
      </c>
      <c r="C130" s="53" t="n">
        <v>22157</v>
      </c>
      <c r="D130" s="52" t="s">
        <v>73</v>
      </c>
      <c r="E130" s="52" t="s">
        <v>74</v>
      </c>
      <c r="F130" s="54" t="n">
        <v>5</v>
      </c>
      <c r="G130" s="55" t="n">
        <v>14778.52</v>
      </c>
      <c r="H130" s="55" t="n">
        <v>2955.704</v>
      </c>
      <c r="I130" s="55" t="n">
        <v>2955.704</v>
      </c>
      <c r="J130" s="52" t="s">
        <v>5816</v>
      </c>
      <c r="K130" s="56" t="n">
        <v>1</v>
      </c>
      <c r="L130" s="52" t="s">
        <v>5816</v>
      </c>
      <c r="M130" s="52" t="s">
        <v>75</v>
      </c>
    </row>
    <row r="131" customFormat="false" ht="17.25" hidden="false" customHeight="true" outlineLevel="0" collapsed="false">
      <c r="A131" s="52" t="s">
        <v>5777</v>
      </c>
      <c r="B131" s="52" t="s">
        <v>5813</v>
      </c>
      <c r="C131" s="53" t="n">
        <v>1654228</v>
      </c>
      <c r="D131" s="52" t="s">
        <v>397</v>
      </c>
      <c r="E131" s="52" t="s">
        <v>398</v>
      </c>
      <c r="F131" s="54" t="n">
        <v>8</v>
      </c>
      <c r="G131" s="55" t="n">
        <v>14760</v>
      </c>
      <c r="H131" s="55" t="n">
        <v>1845</v>
      </c>
      <c r="I131" s="55" t="n">
        <v>1845</v>
      </c>
      <c r="J131" s="52" t="s">
        <v>5816</v>
      </c>
      <c r="K131" s="56" t="n">
        <v>1</v>
      </c>
      <c r="L131" s="52" t="s">
        <v>5816</v>
      </c>
      <c r="M131" s="52" t="s">
        <v>195</v>
      </c>
    </row>
    <row r="132" customFormat="false" ht="17.25" hidden="false" customHeight="true" outlineLevel="0" collapsed="false">
      <c r="A132" s="52" t="s">
        <v>5777</v>
      </c>
      <c r="B132" s="52" t="s">
        <v>5813</v>
      </c>
      <c r="C132" s="53" t="n">
        <v>1382574</v>
      </c>
      <c r="D132" s="52" t="s">
        <v>399</v>
      </c>
      <c r="E132" s="52" t="s">
        <v>400</v>
      </c>
      <c r="F132" s="54" t="n">
        <v>86.78</v>
      </c>
      <c r="G132" s="55" t="n">
        <v>14308.59</v>
      </c>
      <c r="H132" s="55" t="n">
        <v>164.8835</v>
      </c>
      <c r="I132" s="55" t="n">
        <v>164.8835</v>
      </c>
      <c r="J132" s="52" t="s">
        <v>5822</v>
      </c>
      <c r="K132" s="56" t="n">
        <v>1</v>
      </c>
      <c r="L132" s="52" t="s">
        <v>5822</v>
      </c>
      <c r="M132" s="52" t="s">
        <v>38</v>
      </c>
    </row>
    <row r="133" customFormat="false" ht="17.25" hidden="false" customHeight="true" outlineLevel="0" collapsed="false">
      <c r="A133" s="52" t="s">
        <v>5777</v>
      </c>
      <c r="B133" s="52" t="s">
        <v>5813</v>
      </c>
      <c r="C133" s="53" t="n">
        <v>859744</v>
      </c>
      <c r="D133" s="52" t="s">
        <v>401</v>
      </c>
      <c r="E133" s="52" t="s">
        <v>402</v>
      </c>
      <c r="F133" s="54" t="n">
        <v>8</v>
      </c>
      <c r="G133" s="55" t="n">
        <v>14300</v>
      </c>
      <c r="H133" s="55" t="n">
        <v>1787.5</v>
      </c>
      <c r="I133" s="55" t="n">
        <v>1787.5</v>
      </c>
      <c r="J133" s="52" t="s">
        <v>5816</v>
      </c>
      <c r="K133" s="56" t="n">
        <v>1</v>
      </c>
      <c r="L133" s="52" t="s">
        <v>5816</v>
      </c>
      <c r="M133" s="52" t="s">
        <v>355</v>
      </c>
    </row>
    <row r="134" customFormat="false" ht="17.25" hidden="false" customHeight="true" outlineLevel="0" collapsed="false">
      <c r="A134" s="52" t="s">
        <v>5777</v>
      </c>
      <c r="B134" s="52" t="s">
        <v>5813</v>
      </c>
      <c r="C134" s="53" t="n">
        <v>16279</v>
      </c>
      <c r="D134" s="52" t="s">
        <v>403</v>
      </c>
      <c r="E134" s="52" t="s">
        <v>404</v>
      </c>
      <c r="F134" s="54" t="n">
        <v>65</v>
      </c>
      <c r="G134" s="55" t="n">
        <v>14157</v>
      </c>
      <c r="H134" s="55" t="n">
        <v>217.8</v>
      </c>
      <c r="I134" s="55" t="n">
        <v>217.8</v>
      </c>
      <c r="J134" s="52" t="s">
        <v>5816</v>
      </c>
      <c r="K134" s="56" t="n">
        <v>1</v>
      </c>
      <c r="L134" s="52" t="s">
        <v>5816</v>
      </c>
      <c r="M134" s="52" t="s">
        <v>54</v>
      </c>
    </row>
    <row r="135" customFormat="false" ht="17.25" hidden="false" customHeight="true" outlineLevel="0" collapsed="false">
      <c r="A135" s="52" t="s">
        <v>5777</v>
      </c>
      <c r="B135" s="52" t="s">
        <v>5813</v>
      </c>
      <c r="C135" s="53" t="n">
        <v>1461468</v>
      </c>
      <c r="D135" s="52" t="s">
        <v>405</v>
      </c>
      <c r="E135" s="52" t="s">
        <v>406</v>
      </c>
      <c r="F135" s="54" t="n">
        <v>1720</v>
      </c>
      <c r="G135" s="55" t="n">
        <v>14090.1</v>
      </c>
      <c r="H135" s="55" t="n">
        <v>8.1919</v>
      </c>
      <c r="I135" s="55" t="n">
        <v>5.25</v>
      </c>
      <c r="J135" s="52" t="s">
        <v>5814</v>
      </c>
      <c r="K135" s="56" t="n">
        <v>1</v>
      </c>
      <c r="L135" s="52" t="s">
        <v>5814</v>
      </c>
      <c r="M135" s="52" t="s">
        <v>38</v>
      </c>
    </row>
    <row r="136" customFormat="false" ht="17.25" hidden="false" customHeight="true" outlineLevel="0" collapsed="false">
      <c r="A136" s="52" t="s">
        <v>5777</v>
      </c>
      <c r="B136" s="52" t="s">
        <v>5813</v>
      </c>
      <c r="C136" s="53" t="n">
        <v>224752</v>
      </c>
      <c r="D136" s="52" t="s">
        <v>407</v>
      </c>
      <c r="E136" s="52" t="s">
        <v>408</v>
      </c>
      <c r="F136" s="54" t="n">
        <v>12</v>
      </c>
      <c r="G136" s="55" t="n">
        <v>14063.08</v>
      </c>
      <c r="H136" s="55" t="n">
        <v>1171.9233</v>
      </c>
      <c r="I136" s="55" t="n">
        <v>1171.9233</v>
      </c>
      <c r="J136" s="52" t="s">
        <v>5816</v>
      </c>
      <c r="K136" s="56" t="n">
        <v>1</v>
      </c>
      <c r="L136" s="52" t="s">
        <v>5816</v>
      </c>
      <c r="M136" s="52" t="s">
        <v>38</v>
      </c>
    </row>
    <row r="137" customFormat="false" ht="17.25" hidden="false" customHeight="true" outlineLevel="0" collapsed="false">
      <c r="A137" s="52" t="s">
        <v>5777</v>
      </c>
      <c r="B137" s="52" t="s">
        <v>5813</v>
      </c>
      <c r="C137" s="53" t="n">
        <v>428617</v>
      </c>
      <c r="D137" s="52" t="s">
        <v>409</v>
      </c>
      <c r="E137" s="52" t="s">
        <v>410</v>
      </c>
      <c r="F137" s="54" t="n">
        <v>280</v>
      </c>
      <c r="G137" s="55" t="n">
        <v>13944</v>
      </c>
      <c r="H137" s="55" t="n">
        <v>49.8</v>
      </c>
      <c r="I137" s="55" t="n">
        <v>49.8</v>
      </c>
      <c r="J137" s="52" t="s">
        <v>5816</v>
      </c>
      <c r="K137" s="56" t="n">
        <v>1</v>
      </c>
      <c r="L137" s="52" t="s">
        <v>5816</v>
      </c>
      <c r="M137" s="52" t="s">
        <v>93</v>
      </c>
    </row>
    <row r="138" customFormat="false" ht="17.25" hidden="false" customHeight="true" outlineLevel="0" collapsed="false">
      <c r="A138" s="52" t="s">
        <v>5777</v>
      </c>
      <c r="B138" s="52" t="s">
        <v>5813</v>
      </c>
      <c r="C138" s="53" t="n">
        <v>1464627</v>
      </c>
      <c r="D138" s="52" t="s">
        <v>411</v>
      </c>
      <c r="E138" s="52" t="s">
        <v>5832</v>
      </c>
      <c r="F138" s="54" t="n">
        <v>34.65</v>
      </c>
      <c r="G138" s="55" t="n">
        <v>13918.26</v>
      </c>
      <c r="H138" s="55" t="n">
        <v>401.6814</v>
      </c>
      <c r="I138" s="55" t="n">
        <v>427.5</v>
      </c>
      <c r="J138" s="52" t="s">
        <v>5814</v>
      </c>
      <c r="K138" s="56" t="n">
        <v>1</v>
      </c>
      <c r="L138" s="52" t="s">
        <v>5814</v>
      </c>
      <c r="M138" s="52" t="s">
        <v>133</v>
      </c>
    </row>
    <row r="139" customFormat="false" ht="17.25" hidden="false" customHeight="true" outlineLevel="0" collapsed="false">
      <c r="A139" s="52" t="s">
        <v>5777</v>
      </c>
      <c r="B139" s="52" t="s">
        <v>5813</v>
      </c>
      <c r="C139" s="53" t="n">
        <v>1461516</v>
      </c>
      <c r="D139" s="52" t="s">
        <v>413</v>
      </c>
      <c r="E139" s="52" t="s">
        <v>5833</v>
      </c>
      <c r="F139" s="54" t="n">
        <v>50</v>
      </c>
      <c r="G139" s="55" t="n">
        <v>13871.02</v>
      </c>
      <c r="H139" s="55" t="n">
        <v>277.4204</v>
      </c>
      <c r="I139" s="55" t="n">
        <v>96.6667</v>
      </c>
      <c r="J139" s="52" t="s">
        <v>5814</v>
      </c>
      <c r="K139" s="56" t="n">
        <v>1</v>
      </c>
      <c r="L139" s="52" t="s">
        <v>5814</v>
      </c>
      <c r="M139" s="52" t="s">
        <v>54</v>
      </c>
    </row>
    <row r="140" customFormat="false" ht="17.25" hidden="false" customHeight="true" outlineLevel="0" collapsed="false">
      <c r="A140" s="52" t="s">
        <v>5777</v>
      </c>
      <c r="B140" s="52" t="s">
        <v>5813</v>
      </c>
      <c r="C140" s="53" t="n">
        <v>18981</v>
      </c>
      <c r="D140" s="52" t="s">
        <v>415</v>
      </c>
      <c r="E140" s="52" t="s">
        <v>416</v>
      </c>
      <c r="F140" s="54" t="n">
        <v>250</v>
      </c>
      <c r="G140" s="55" t="n">
        <v>13750</v>
      </c>
      <c r="H140" s="55" t="n">
        <v>55</v>
      </c>
      <c r="I140" s="55" t="n">
        <v>55</v>
      </c>
      <c r="J140" s="52" t="s">
        <v>5816</v>
      </c>
      <c r="K140" s="56" t="n">
        <v>1</v>
      </c>
      <c r="L140" s="52" t="s">
        <v>5816</v>
      </c>
      <c r="M140" s="52" t="s">
        <v>360</v>
      </c>
    </row>
    <row r="141" customFormat="false" ht="17.25" hidden="false" customHeight="true" outlineLevel="0" collapsed="false">
      <c r="A141" s="52" t="s">
        <v>5777</v>
      </c>
      <c r="B141" s="52" t="s">
        <v>5813</v>
      </c>
      <c r="C141" s="53" t="n">
        <v>18984</v>
      </c>
      <c r="D141" s="52" t="s">
        <v>417</v>
      </c>
      <c r="E141" s="52" t="s">
        <v>418</v>
      </c>
      <c r="F141" s="54" t="n">
        <v>250</v>
      </c>
      <c r="G141" s="55" t="n">
        <v>13750</v>
      </c>
      <c r="H141" s="55" t="n">
        <v>55</v>
      </c>
      <c r="I141" s="55" t="n">
        <v>55</v>
      </c>
      <c r="J141" s="52" t="s">
        <v>5816</v>
      </c>
      <c r="K141" s="56" t="n">
        <v>1</v>
      </c>
      <c r="L141" s="52" t="s">
        <v>5816</v>
      </c>
      <c r="M141" s="52" t="s">
        <v>360</v>
      </c>
    </row>
    <row r="142" customFormat="false" ht="17.25" hidden="false" customHeight="true" outlineLevel="0" collapsed="false">
      <c r="A142" s="52" t="s">
        <v>5777</v>
      </c>
      <c r="B142" s="52" t="s">
        <v>5813</v>
      </c>
      <c r="C142" s="53" t="n">
        <v>389167</v>
      </c>
      <c r="D142" s="52" t="s">
        <v>423</v>
      </c>
      <c r="E142" s="52" t="s">
        <v>424</v>
      </c>
      <c r="F142" s="54" t="n">
        <v>46</v>
      </c>
      <c r="G142" s="55" t="n">
        <v>13620</v>
      </c>
      <c r="H142" s="55" t="n">
        <v>296.087</v>
      </c>
      <c r="I142" s="55" t="n">
        <v>290</v>
      </c>
      <c r="J142" s="52" t="s">
        <v>5816</v>
      </c>
      <c r="K142" s="56" t="n">
        <v>1</v>
      </c>
      <c r="L142" s="52" t="s">
        <v>5816</v>
      </c>
      <c r="M142" s="52" t="s">
        <v>247</v>
      </c>
    </row>
    <row r="143" customFormat="false" ht="17.25" hidden="false" customHeight="true" outlineLevel="0" collapsed="false">
      <c r="A143" s="52" t="s">
        <v>5777</v>
      </c>
      <c r="B143" s="52" t="s">
        <v>5813</v>
      </c>
      <c r="C143" s="53" t="n">
        <v>1382815</v>
      </c>
      <c r="D143" s="52" t="s">
        <v>425</v>
      </c>
      <c r="E143" s="52" t="s">
        <v>426</v>
      </c>
      <c r="F143" s="54" t="n">
        <v>453</v>
      </c>
      <c r="G143" s="55" t="n">
        <v>13454.55</v>
      </c>
      <c r="H143" s="55" t="n">
        <v>29.701</v>
      </c>
      <c r="I143" s="55" t="n">
        <v>28.76</v>
      </c>
      <c r="J143" s="52" t="s">
        <v>5816</v>
      </c>
      <c r="K143" s="56" t="n">
        <v>1</v>
      </c>
      <c r="L143" s="52" t="s">
        <v>5816</v>
      </c>
      <c r="M143" s="52" t="s">
        <v>133</v>
      </c>
    </row>
    <row r="144" customFormat="false" ht="17.25" hidden="false" customHeight="true" outlineLevel="0" collapsed="false">
      <c r="A144" s="52" t="s">
        <v>5777</v>
      </c>
      <c r="B144" s="52" t="s">
        <v>5813</v>
      </c>
      <c r="C144" s="53" t="n">
        <v>1475394</v>
      </c>
      <c r="D144" s="52" t="s">
        <v>427</v>
      </c>
      <c r="E144" s="52" t="s">
        <v>428</v>
      </c>
      <c r="F144" s="54" t="n">
        <v>6</v>
      </c>
      <c r="G144" s="55" t="n">
        <v>13309.5</v>
      </c>
      <c r="H144" s="55" t="n">
        <v>2218.25</v>
      </c>
      <c r="I144" s="55" t="n">
        <v>2218.25</v>
      </c>
      <c r="J144" s="52" t="s">
        <v>5816</v>
      </c>
      <c r="K144" s="56" t="n">
        <v>1</v>
      </c>
      <c r="L144" s="52" t="s">
        <v>5816</v>
      </c>
      <c r="M144" s="52" t="s">
        <v>100</v>
      </c>
    </row>
    <row r="145" customFormat="false" ht="17.25" hidden="false" customHeight="true" outlineLevel="0" collapsed="false">
      <c r="A145" s="52" t="s">
        <v>5777</v>
      </c>
      <c r="B145" s="52" t="s">
        <v>5813</v>
      </c>
      <c r="C145" s="53" t="n">
        <v>1385799</v>
      </c>
      <c r="D145" s="52" t="s">
        <v>429</v>
      </c>
      <c r="E145" s="52" t="s">
        <v>430</v>
      </c>
      <c r="F145" s="54" t="n">
        <v>1040</v>
      </c>
      <c r="G145" s="55" t="n">
        <v>13247</v>
      </c>
      <c r="H145" s="55" t="n">
        <v>12.7375</v>
      </c>
      <c r="I145" s="55" t="n">
        <v>10.97</v>
      </c>
      <c r="J145" s="52" t="s">
        <v>5814</v>
      </c>
      <c r="K145" s="56" t="n">
        <v>1</v>
      </c>
      <c r="L145" s="52" t="s">
        <v>5814</v>
      </c>
      <c r="M145" s="52" t="s">
        <v>38</v>
      </c>
    </row>
    <row r="146" customFormat="false" ht="17.25" hidden="false" customHeight="true" outlineLevel="0" collapsed="false">
      <c r="A146" s="52" t="s">
        <v>5777</v>
      </c>
      <c r="B146" s="52" t="s">
        <v>5813</v>
      </c>
      <c r="C146" s="53" t="n">
        <v>224675</v>
      </c>
      <c r="D146" s="52" t="s">
        <v>433</v>
      </c>
      <c r="E146" s="52" t="s">
        <v>434</v>
      </c>
      <c r="F146" s="54" t="n">
        <v>20</v>
      </c>
      <c r="G146" s="55" t="n">
        <v>13186.83</v>
      </c>
      <c r="H146" s="55" t="n">
        <v>659.3415</v>
      </c>
      <c r="I146" s="55" t="n">
        <v>619.78</v>
      </c>
      <c r="J146" s="52" t="s">
        <v>5816</v>
      </c>
      <c r="K146" s="56" t="n">
        <v>1</v>
      </c>
      <c r="L146" s="52" t="s">
        <v>5816</v>
      </c>
      <c r="M146" s="52" t="s">
        <v>38</v>
      </c>
    </row>
    <row r="147" customFormat="false" ht="17.25" hidden="false" customHeight="true" outlineLevel="0" collapsed="false">
      <c r="A147" s="52" t="s">
        <v>5777</v>
      </c>
      <c r="B147" s="52" t="s">
        <v>5813</v>
      </c>
      <c r="C147" s="53" t="n">
        <v>938077</v>
      </c>
      <c r="D147" s="52" t="s">
        <v>435</v>
      </c>
      <c r="E147" s="52" t="s">
        <v>436</v>
      </c>
      <c r="F147" s="54" t="n">
        <v>187</v>
      </c>
      <c r="G147" s="55" t="n">
        <v>13108.7</v>
      </c>
      <c r="H147" s="55" t="n">
        <v>70.1</v>
      </c>
      <c r="I147" s="55" t="n">
        <v>70.1</v>
      </c>
      <c r="J147" s="52" t="s">
        <v>5816</v>
      </c>
      <c r="K147" s="56" t="n">
        <v>1</v>
      </c>
      <c r="L147" s="52" t="s">
        <v>5816</v>
      </c>
      <c r="M147" s="52" t="s">
        <v>38</v>
      </c>
    </row>
    <row r="148" customFormat="false" ht="17.25" hidden="false" customHeight="true" outlineLevel="0" collapsed="false">
      <c r="A148" s="52" t="s">
        <v>5777</v>
      </c>
      <c r="B148" s="52" t="s">
        <v>5813</v>
      </c>
      <c r="C148" s="53" t="n">
        <v>873568</v>
      </c>
      <c r="D148" s="52" t="s">
        <v>437</v>
      </c>
      <c r="E148" s="52" t="s">
        <v>438</v>
      </c>
      <c r="F148" s="54" t="n">
        <v>63</v>
      </c>
      <c r="G148" s="55" t="n">
        <v>13104.51</v>
      </c>
      <c r="H148" s="55" t="n">
        <v>208.0081</v>
      </c>
      <c r="I148" s="55" t="n">
        <v>208.0081</v>
      </c>
      <c r="J148" s="52" t="s">
        <v>5816</v>
      </c>
      <c r="K148" s="56" t="n">
        <v>1</v>
      </c>
      <c r="L148" s="52" t="s">
        <v>5816</v>
      </c>
      <c r="M148" s="52" t="s">
        <v>192</v>
      </c>
    </row>
    <row r="149" customFormat="false" ht="17.25" hidden="false" customHeight="true" outlineLevel="0" collapsed="false">
      <c r="A149" s="52" t="s">
        <v>5777</v>
      </c>
      <c r="B149" s="52" t="s">
        <v>5813</v>
      </c>
      <c r="C149" s="53" t="n">
        <v>847120</v>
      </c>
      <c r="D149" s="52" t="s">
        <v>441</v>
      </c>
      <c r="E149" s="52" t="s">
        <v>442</v>
      </c>
      <c r="F149" s="54" t="n">
        <v>3024</v>
      </c>
      <c r="G149" s="55" t="n">
        <v>12942.72</v>
      </c>
      <c r="H149" s="55" t="n">
        <v>4.28</v>
      </c>
      <c r="I149" s="55" t="n">
        <v>4.28</v>
      </c>
      <c r="J149" s="52" t="s">
        <v>5816</v>
      </c>
      <c r="K149" s="56" t="n">
        <v>1</v>
      </c>
      <c r="L149" s="52" t="s">
        <v>5816</v>
      </c>
      <c r="M149" s="52" t="s">
        <v>394</v>
      </c>
    </row>
    <row r="150" customFormat="false" ht="17.25" hidden="false" customHeight="true" outlineLevel="0" collapsed="false">
      <c r="A150" s="52" t="s">
        <v>5777</v>
      </c>
      <c r="B150" s="52" t="s">
        <v>5813</v>
      </c>
      <c r="C150" s="53" t="n">
        <v>1465613</v>
      </c>
      <c r="D150" s="52" t="s">
        <v>443</v>
      </c>
      <c r="E150" s="52" t="s">
        <v>444</v>
      </c>
      <c r="F150" s="54" t="n">
        <v>150</v>
      </c>
      <c r="G150" s="55" t="n">
        <v>12897.4</v>
      </c>
      <c r="H150" s="55" t="n">
        <v>85.9827</v>
      </c>
      <c r="I150" s="55" t="n">
        <v>86.02</v>
      </c>
      <c r="J150" s="52" t="s">
        <v>5814</v>
      </c>
      <c r="K150" s="56" t="n">
        <v>1</v>
      </c>
      <c r="L150" s="52" t="s">
        <v>5814</v>
      </c>
      <c r="M150" s="52" t="s">
        <v>38</v>
      </c>
    </row>
    <row r="151" customFormat="false" ht="17.25" hidden="false" customHeight="true" outlineLevel="0" collapsed="false">
      <c r="A151" s="52" t="s">
        <v>5777</v>
      </c>
      <c r="B151" s="52" t="s">
        <v>5813</v>
      </c>
      <c r="C151" s="53" t="n">
        <v>1382743</v>
      </c>
      <c r="D151" s="52" t="s">
        <v>445</v>
      </c>
      <c r="E151" s="52" t="s">
        <v>446</v>
      </c>
      <c r="F151" s="54" t="n">
        <v>159</v>
      </c>
      <c r="G151" s="55" t="n">
        <v>12796.32</v>
      </c>
      <c r="H151" s="55" t="n">
        <v>80.48</v>
      </c>
      <c r="I151" s="55" t="n">
        <v>80.48</v>
      </c>
      <c r="J151" s="52" t="s">
        <v>5816</v>
      </c>
      <c r="K151" s="56" t="n">
        <v>1</v>
      </c>
      <c r="L151" s="52" t="s">
        <v>5816</v>
      </c>
      <c r="M151" s="52" t="s">
        <v>189</v>
      </c>
    </row>
    <row r="152" customFormat="false" ht="17.25" hidden="false" customHeight="true" outlineLevel="0" collapsed="false">
      <c r="A152" s="52" t="s">
        <v>5777</v>
      </c>
      <c r="B152" s="52" t="s">
        <v>5813</v>
      </c>
      <c r="C152" s="53" t="n">
        <v>19240</v>
      </c>
      <c r="D152" s="52" t="s">
        <v>101</v>
      </c>
      <c r="E152" s="52" t="s">
        <v>102</v>
      </c>
      <c r="F152" s="54" t="n">
        <v>16</v>
      </c>
      <c r="G152" s="55" t="n">
        <v>12768</v>
      </c>
      <c r="H152" s="55" t="n">
        <v>798</v>
      </c>
      <c r="I152" s="55" t="n">
        <v>798</v>
      </c>
      <c r="J152" s="52" t="s">
        <v>5816</v>
      </c>
      <c r="K152" s="56" t="n">
        <v>1</v>
      </c>
      <c r="L152" s="52" t="s">
        <v>5816</v>
      </c>
      <c r="M152" s="52" t="s">
        <v>93</v>
      </c>
    </row>
    <row r="153" customFormat="false" ht="17.25" hidden="false" customHeight="true" outlineLevel="0" collapsed="false">
      <c r="A153" s="52" t="s">
        <v>5777</v>
      </c>
      <c r="B153" s="52" t="s">
        <v>5813</v>
      </c>
      <c r="C153" s="53" t="n">
        <v>1257072</v>
      </c>
      <c r="D153" s="52" t="s">
        <v>447</v>
      </c>
      <c r="E153" s="52" t="s">
        <v>448</v>
      </c>
      <c r="F153" s="54" t="n">
        <v>730</v>
      </c>
      <c r="G153" s="55" t="n">
        <v>12726.09</v>
      </c>
      <c r="H153" s="55" t="n">
        <v>17.433</v>
      </c>
      <c r="I153" s="55" t="n">
        <v>17.433</v>
      </c>
      <c r="J153" s="52" t="s">
        <v>5822</v>
      </c>
      <c r="K153" s="56" t="n">
        <v>1</v>
      </c>
      <c r="L153" s="52" t="s">
        <v>5822</v>
      </c>
      <c r="M153" s="52" t="s">
        <v>133</v>
      </c>
    </row>
    <row r="154" customFormat="false" ht="17.25" hidden="false" customHeight="true" outlineLevel="0" collapsed="false">
      <c r="A154" s="52" t="s">
        <v>5777</v>
      </c>
      <c r="B154" s="52" t="s">
        <v>5813</v>
      </c>
      <c r="C154" s="53" t="n">
        <v>1464699</v>
      </c>
      <c r="D154" s="52" t="s">
        <v>449</v>
      </c>
      <c r="E154" s="52" t="s">
        <v>450</v>
      </c>
      <c r="F154" s="54" t="n">
        <v>88</v>
      </c>
      <c r="G154" s="55" t="n">
        <v>12718.64</v>
      </c>
      <c r="H154" s="55" t="n">
        <v>144.53</v>
      </c>
      <c r="I154" s="55" t="n">
        <v>144.53</v>
      </c>
      <c r="J154" s="52" t="s">
        <v>5816</v>
      </c>
      <c r="K154" s="56" t="n">
        <v>1</v>
      </c>
      <c r="L154" s="52" t="s">
        <v>5816</v>
      </c>
      <c r="M154" s="52" t="s">
        <v>100</v>
      </c>
    </row>
    <row r="155" customFormat="false" ht="17.25" hidden="false" customHeight="true" outlineLevel="0" collapsed="false">
      <c r="A155" s="52" t="s">
        <v>5777</v>
      </c>
      <c r="B155" s="52" t="s">
        <v>5813</v>
      </c>
      <c r="C155" s="53" t="n">
        <v>49545</v>
      </c>
      <c r="D155" s="52" t="s">
        <v>451</v>
      </c>
      <c r="E155" s="52" t="s">
        <v>452</v>
      </c>
      <c r="F155" s="54" t="n">
        <v>1264</v>
      </c>
      <c r="G155" s="55" t="n">
        <v>12715.7236</v>
      </c>
      <c r="H155" s="55" t="n">
        <v>10.0599</v>
      </c>
      <c r="I155" s="55" t="n">
        <v>9.7375</v>
      </c>
      <c r="J155" s="52" t="s">
        <v>5816</v>
      </c>
      <c r="K155" s="56" t="n">
        <v>1</v>
      </c>
      <c r="L155" s="52" t="s">
        <v>5816</v>
      </c>
      <c r="M155" s="52" t="s">
        <v>360</v>
      </c>
    </row>
    <row r="156" customFormat="false" ht="17.25" hidden="false" customHeight="true" outlineLevel="0" collapsed="false">
      <c r="A156" s="52" t="s">
        <v>5777</v>
      </c>
      <c r="B156" s="52" t="s">
        <v>5813</v>
      </c>
      <c r="C156" s="53" t="n">
        <v>1614807</v>
      </c>
      <c r="D156" s="52" t="s">
        <v>453</v>
      </c>
      <c r="E156" s="52" t="s">
        <v>454</v>
      </c>
      <c r="F156" s="54" t="n">
        <v>1</v>
      </c>
      <c r="G156" s="55" t="n">
        <v>12592</v>
      </c>
      <c r="H156" s="55" t="n">
        <v>12592</v>
      </c>
      <c r="I156" s="55" t="n">
        <v>12592</v>
      </c>
      <c r="J156" s="52" t="s">
        <v>5816</v>
      </c>
      <c r="K156" s="56" t="n">
        <v>1</v>
      </c>
      <c r="L156" s="52" t="s">
        <v>5816</v>
      </c>
      <c r="M156" s="52" t="s">
        <v>66</v>
      </c>
    </row>
    <row r="157" customFormat="false" ht="17.25" hidden="false" customHeight="true" outlineLevel="0" collapsed="false">
      <c r="A157" s="52" t="s">
        <v>5777</v>
      </c>
      <c r="B157" s="52" t="s">
        <v>5813</v>
      </c>
      <c r="C157" s="53" t="n">
        <v>21649</v>
      </c>
      <c r="D157" s="52" t="s">
        <v>141</v>
      </c>
      <c r="E157" s="52" t="s">
        <v>142</v>
      </c>
      <c r="F157" s="54" t="n">
        <v>5</v>
      </c>
      <c r="G157" s="55" t="n">
        <v>12250</v>
      </c>
      <c r="H157" s="55" t="n">
        <v>2450</v>
      </c>
      <c r="I157" s="55" t="n">
        <v>2450</v>
      </c>
      <c r="J157" s="52" t="s">
        <v>5816</v>
      </c>
      <c r="K157" s="56" t="n">
        <v>1</v>
      </c>
      <c r="L157" s="52" t="s">
        <v>5816</v>
      </c>
      <c r="M157" s="52" t="s">
        <v>90</v>
      </c>
    </row>
    <row r="158" customFormat="false" ht="17.25" hidden="false" customHeight="true" outlineLevel="0" collapsed="false">
      <c r="A158" s="52" t="s">
        <v>5777</v>
      </c>
      <c r="B158" s="52" t="s">
        <v>5813</v>
      </c>
      <c r="C158" s="53" t="n">
        <v>23993</v>
      </c>
      <c r="D158" s="52" t="s">
        <v>455</v>
      </c>
      <c r="E158" s="52" t="s">
        <v>456</v>
      </c>
      <c r="F158" s="54" t="n">
        <v>12</v>
      </c>
      <c r="G158" s="55" t="n">
        <v>12202</v>
      </c>
      <c r="H158" s="55" t="n">
        <v>1016.8333</v>
      </c>
      <c r="I158" s="55" t="n">
        <v>1060.2</v>
      </c>
      <c r="J158" s="52" t="s">
        <v>5816</v>
      </c>
      <c r="K158" s="56" t="n">
        <v>1</v>
      </c>
      <c r="L158" s="52" t="s">
        <v>5816</v>
      </c>
      <c r="M158" s="52" t="s">
        <v>457</v>
      </c>
    </row>
    <row r="159" customFormat="false" ht="17.25" hidden="false" customHeight="true" outlineLevel="0" collapsed="false">
      <c r="A159" s="52" t="s">
        <v>5777</v>
      </c>
      <c r="B159" s="52" t="s">
        <v>5813</v>
      </c>
      <c r="C159" s="53" t="n">
        <v>884893</v>
      </c>
      <c r="D159" s="52" t="s">
        <v>458</v>
      </c>
      <c r="E159" s="52" t="s">
        <v>459</v>
      </c>
      <c r="F159" s="54" t="n">
        <v>1100</v>
      </c>
      <c r="G159" s="55" t="n">
        <v>12133.17</v>
      </c>
      <c r="H159" s="55" t="n">
        <v>11.0302</v>
      </c>
      <c r="I159" s="55" t="n">
        <v>12.1583</v>
      </c>
      <c r="J159" s="52" t="s">
        <v>5834</v>
      </c>
      <c r="K159" s="56" t="n">
        <v>1</v>
      </c>
      <c r="L159" s="52" t="s">
        <v>5834</v>
      </c>
      <c r="M159" s="52" t="s">
        <v>38</v>
      </c>
    </row>
    <row r="160" customFormat="false" ht="17.25" hidden="false" customHeight="true" outlineLevel="0" collapsed="false">
      <c r="A160" s="52" t="s">
        <v>5777</v>
      </c>
      <c r="B160" s="52" t="s">
        <v>5813</v>
      </c>
      <c r="C160" s="53" t="n">
        <v>1263306</v>
      </c>
      <c r="D160" s="52" t="s">
        <v>462</v>
      </c>
      <c r="E160" s="52" t="s">
        <v>463</v>
      </c>
      <c r="F160" s="54" t="n">
        <v>40</v>
      </c>
      <c r="G160" s="55" t="n">
        <v>11965</v>
      </c>
      <c r="H160" s="55" t="n">
        <v>299.125</v>
      </c>
      <c r="I160" s="55" t="n">
        <v>413.25</v>
      </c>
      <c r="J160" s="52" t="s">
        <v>5816</v>
      </c>
      <c r="K160" s="56" t="n">
        <v>1</v>
      </c>
      <c r="L160" s="52" t="s">
        <v>5816</v>
      </c>
      <c r="M160" s="52" t="s">
        <v>247</v>
      </c>
    </row>
    <row r="161" customFormat="false" ht="17.25" hidden="false" customHeight="true" outlineLevel="0" collapsed="false">
      <c r="A161" s="52" t="s">
        <v>5777</v>
      </c>
      <c r="B161" s="52" t="s">
        <v>5813</v>
      </c>
      <c r="C161" s="53" t="n">
        <v>1604397</v>
      </c>
      <c r="D161" s="52" t="s">
        <v>464</v>
      </c>
      <c r="E161" s="52" t="s">
        <v>465</v>
      </c>
      <c r="F161" s="54" t="n">
        <v>400</v>
      </c>
      <c r="G161" s="55" t="n">
        <v>11916</v>
      </c>
      <c r="H161" s="55" t="n">
        <v>29.79</v>
      </c>
      <c r="I161" s="55" t="n">
        <v>29.79</v>
      </c>
      <c r="J161" s="52" t="s">
        <v>5814</v>
      </c>
      <c r="K161" s="56" t="n">
        <v>1</v>
      </c>
      <c r="L161" s="52" t="s">
        <v>5814</v>
      </c>
      <c r="M161" s="52" t="s">
        <v>38</v>
      </c>
    </row>
    <row r="162" customFormat="false" ht="17.25" hidden="false" customHeight="true" outlineLevel="0" collapsed="false">
      <c r="A162" s="52" t="s">
        <v>5777</v>
      </c>
      <c r="B162" s="52" t="s">
        <v>5813</v>
      </c>
      <c r="C162" s="53" t="n">
        <v>1088310</v>
      </c>
      <c r="D162" s="52" t="s">
        <v>468</v>
      </c>
      <c r="E162" s="52" t="s">
        <v>469</v>
      </c>
      <c r="F162" s="54" t="n">
        <v>5</v>
      </c>
      <c r="G162" s="55" t="n">
        <v>11827.5</v>
      </c>
      <c r="H162" s="55" t="n">
        <v>2365.5</v>
      </c>
      <c r="I162" s="55" t="n">
        <v>2365.5</v>
      </c>
      <c r="J162" s="52" t="s">
        <v>5816</v>
      </c>
      <c r="K162" s="56" t="n">
        <v>1</v>
      </c>
      <c r="L162" s="52" t="s">
        <v>5816</v>
      </c>
      <c r="M162" s="52" t="s">
        <v>363</v>
      </c>
    </row>
    <row r="163" customFormat="false" ht="17.25" hidden="false" customHeight="true" outlineLevel="0" collapsed="false">
      <c r="A163" s="52" t="s">
        <v>5777</v>
      </c>
      <c r="B163" s="52" t="s">
        <v>5813</v>
      </c>
      <c r="C163" s="53" t="n">
        <v>141988</v>
      </c>
      <c r="D163" s="52" t="s">
        <v>470</v>
      </c>
      <c r="E163" s="52" t="s">
        <v>471</v>
      </c>
      <c r="F163" s="54" t="n">
        <v>1137</v>
      </c>
      <c r="G163" s="55" t="n">
        <v>11728.04</v>
      </c>
      <c r="H163" s="55" t="n">
        <v>10.3149</v>
      </c>
      <c r="I163" s="55" t="n">
        <v>10.3149</v>
      </c>
      <c r="J163" s="52" t="s">
        <v>5814</v>
      </c>
      <c r="K163" s="56" t="n">
        <v>1</v>
      </c>
      <c r="L163" s="52" t="s">
        <v>5814</v>
      </c>
      <c r="M163" s="52" t="s">
        <v>38</v>
      </c>
    </row>
    <row r="164" customFormat="false" ht="17.25" hidden="false" customHeight="true" outlineLevel="0" collapsed="false">
      <c r="A164" s="52" t="s">
        <v>5777</v>
      </c>
      <c r="B164" s="52" t="s">
        <v>5813</v>
      </c>
      <c r="C164" s="53" t="n">
        <v>29799</v>
      </c>
      <c r="D164" s="52" t="s">
        <v>472</v>
      </c>
      <c r="E164" s="52" t="s">
        <v>473</v>
      </c>
      <c r="F164" s="54" t="n">
        <v>1500</v>
      </c>
      <c r="G164" s="55" t="n">
        <v>11700</v>
      </c>
      <c r="H164" s="55" t="n">
        <v>7.8</v>
      </c>
      <c r="I164" s="55" t="n">
        <v>7.8</v>
      </c>
      <c r="J164" s="52" t="s">
        <v>5816</v>
      </c>
      <c r="K164" s="56" t="n">
        <v>1</v>
      </c>
      <c r="L164" s="52" t="s">
        <v>5816</v>
      </c>
      <c r="M164" s="52" t="s">
        <v>90</v>
      </c>
    </row>
    <row r="165" customFormat="false" ht="17.25" hidden="false" customHeight="true" outlineLevel="0" collapsed="false">
      <c r="A165" s="52" t="s">
        <v>5777</v>
      </c>
      <c r="B165" s="52" t="s">
        <v>5813</v>
      </c>
      <c r="C165" s="53" t="n">
        <v>1688073</v>
      </c>
      <c r="D165" s="52" t="s">
        <v>474</v>
      </c>
      <c r="E165" s="52" t="s">
        <v>475</v>
      </c>
      <c r="F165" s="54" t="n">
        <v>27</v>
      </c>
      <c r="G165" s="55" t="n">
        <v>11610</v>
      </c>
      <c r="H165" s="55" t="n">
        <v>430</v>
      </c>
      <c r="I165" s="55" t="n">
        <v>430</v>
      </c>
      <c r="J165" s="52" t="s">
        <v>5816</v>
      </c>
      <c r="K165" s="56" t="n">
        <v>1</v>
      </c>
      <c r="L165" s="52" t="s">
        <v>5816</v>
      </c>
      <c r="M165" s="52" t="s">
        <v>355</v>
      </c>
    </row>
    <row r="166" customFormat="false" ht="17.25" hidden="false" customHeight="true" outlineLevel="0" collapsed="false">
      <c r="A166" s="52" t="s">
        <v>5777</v>
      </c>
      <c r="B166" s="52" t="s">
        <v>5813</v>
      </c>
      <c r="C166" s="53" t="n">
        <v>1327715</v>
      </c>
      <c r="D166" s="52" t="s">
        <v>476</v>
      </c>
      <c r="E166" s="52" t="s">
        <v>477</v>
      </c>
      <c r="F166" s="54" t="n">
        <v>344</v>
      </c>
      <c r="G166" s="55" t="n">
        <v>11462.21</v>
      </c>
      <c r="H166" s="55" t="n">
        <v>33.3204</v>
      </c>
      <c r="I166" s="55" t="n">
        <v>30</v>
      </c>
      <c r="J166" s="52" t="s">
        <v>5814</v>
      </c>
      <c r="K166" s="56" t="n">
        <v>1</v>
      </c>
      <c r="L166" s="52" t="s">
        <v>5814</v>
      </c>
      <c r="M166" s="52" t="s">
        <v>54</v>
      </c>
    </row>
    <row r="167" customFormat="false" ht="17.25" hidden="false" customHeight="true" outlineLevel="0" collapsed="false">
      <c r="A167" s="52" t="s">
        <v>5777</v>
      </c>
      <c r="B167" s="52" t="s">
        <v>5813</v>
      </c>
      <c r="C167" s="53" t="n">
        <v>950840</v>
      </c>
      <c r="D167" s="52" t="s">
        <v>478</v>
      </c>
      <c r="E167" s="52" t="s">
        <v>479</v>
      </c>
      <c r="F167" s="54" t="n">
        <v>200</v>
      </c>
      <c r="G167" s="55" t="n">
        <v>11426.9672</v>
      </c>
      <c r="H167" s="55" t="n">
        <v>57.1348</v>
      </c>
      <c r="I167" s="55" t="n">
        <v>45.28</v>
      </c>
      <c r="J167" s="52" t="s">
        <v>5816</v>
      </c>
      <c r="K167" s="56" t="n">
        <v>1</v>
      </c>
      <c r="L167" s="52" t="s">
        <v>5816</v>
      </c>
      <c r="M167" s="52" t="s">
        <v>480</v>
      </c>
    </row>
    <row r="168" customFormat="false" ht="17.25" hidden="false" customHeight="true" outlineLevel="0" collapsed="false">
      <c r="A168" s="52" t="s">
        <v>5777</v>
      </c>
      <c r="B168" s="52" t="s">
        <v>5813</v>
      </c>
      <c r="C168" s="53" t="n">
        <v>1467472</v>
      </c>
      <c r="D168" s="52" t="s">
        <v>481</v>
      </c>
      <c r="E168" s="52" t="s">
        <v>482</v>
      </c>
      <c r="F168" s="54" t="n">
        <v>300</v>
      </c>
      <c r="G168" s="55" t="n">
        <v>11400</v>
      </c>
      <c r="H168" s="55" t="n">
        <v>38</v>
      </c>
      <c r="I168" s="55" t="n">
        <v>38</v>
      </c>
      <c r="J168" s="52" t="s">
        <v>5814</v>
      </c>
      <c r="K168" s="56" t="n">
        <v>1</v>
      </c>
      <c r="L168" s="52" t="s">
        <v>5814</v>
      </c>
      <c r="M168" s="52" t="s">
        <v>38</v>
      </c>
    </row>
    <row r="169" customFormat="false" ht="17.25" hidden="false" customHeight="true" outlineLevel="0" collapsed="false">
      <c r="A169" s="52" t="s">
        <v>5777</v>
      </c>
      <c r="B169" s="52" t="s">
        <v>5813</v>
      </c>
      <c r="C169" s="53" t="n">
        <v>1384482</v>
      </c>
      <c r="D169" s="52" t="s">
        <v>485</v>
      </c>
      <c r="E169" s="52" t="s">
        <v>486</v>
      </c>
      <c r="F169" s="54" t="n">
        <v>27</v>
      </c>
      <c r="G169" s="55" t="n">
        <v>11321.64</v>
      </c>
      <c r="H169" s="55" t="n">
        <v>419.32</v>
      </c>
      <c r="I169" s="55" t="n">
        <v>419.32</v>
      </c>
      <c r="J169" s="52" t="s">
        <v>5816</v>
      </c>
      <c r="K169" s="56" t="n">
        <v>1</v>
      </c>
      <c r="L169" s="52" t="s">
        <v>5816</v>
      </c>
      <c r="M169" s="52" t="s">
        <v>38</v>
      </c>
    </row>
    <row r="170" customFormat="false" ht="17.25" hidden="false" customHeight="true" outlineLevel="0" collapsed="false">
      <c r="A170" s="52" t="s">
        <v>5777</v>
      </c>
      <c r="B170" s="52" t="s">
        <v>5813</v>
      </c>
      <c r="C170" s="53" t="n">
        <v>1092400</v>
      </c>
      <c r="D170" s="52" t="s">
        <v>487</v>
      </c>
      <c r="E170" s="52" t="s">
        <v>488</v>
      </c>
      <c r="F170" s="54" t="n">
        <v>5</v>
      </c>
      <c r="G170" s="55" t="n">
        <v>11300.4</v>
      </c>
      <c r="H170" s="55" t="n">
        <v>2260.08</v>
      </c>
      <c r="I170" s="55" t="n">
        <v>2260.08</v>
      </c>
      <c r="J170" s="52" t="s">
        <v>5816</v>
      </c>
      <c r="K170" s="56" t="n">
        <v>1</v>
      </c>
      <c r="L170" s="52" t="s">
        <v>5816</v>
      </c>
      <c r="M170" s="52" t="s">
        <v>130</v>
      </c>
    </row>
    <row r="171" customFormat="false" ht="17.25" hidden="false" customHeight="true" outlineLevel="0" collapsed="false">
      <c r="A171" s="52" t="s">
        <v>5777</v>
      </c>
      <c r="B171" s="52" t="s">
        <v>5813</v>
      </c>
      <c r="C171" s="53" t="n">
        <v>1463615</v>
      </c>
      <c r="D171" s="52" t="s">
        <v>492</v>
      </c>
      <c r="E171" s="52" t="s">
        <v>493</v>
      </c>
      <c r="F171" s="54" t="n">
        <v>132.26</v>
      </c>
      <c r="G171" s="55" t="n">
        <v>11242.1</v>
      </c>
      <c r="H171" s="55" t="n">
        <v>85</v>
      </c>
      <c r="I171" s="55" t="n">
        <v>85</v>
      </c>
      <c r="J171" s="52" t="s">
        <v>5835</v>
      </c>
      <c r="K171" s="56" t="n">
        <v>1</v>
      </c>
      <c r="L171" s="52" t="s">
        <v>5817</v>
      </c>
      <c r="M171" s="52" t="s">
        <v>494</v>
      </c>
    </row>
    <row r="172" customFormat="false" ht="17.25" hidden="false" customHeight="true" outlineLevel="0" collapsed="false">
      <c r="A172" s="52" t="s">
        <v>5777</v>
      </c>
      <c r="B172" s="52" t="s">
        <v>5813</v>
      </c>
      <c r="C172" s="53" t="n">
        <v>1382694</v>
      </c>
      <c r="D172" s="52" t="s">
        <v>495</v>
      </c>
      <c r="E172" s="52" t="s">
        <v>496</v>
      </c>
      <c r="F172" s="54" t="n">
        <v>60</v>
      </c>
      <c r="G172" s="55" t="n">
        <v>11177.04</v>
      </c>
      <c r="H172" s="55" t="n">
        <v>186.284</v>
      </c>
      <c r="I172" s="55" t="n">
        <v>186.2839</v>
      </c>
      <c r="J172" s="52" t="s">
        <v>5814</v>
      </c>
      <c r="K172" s="56" t="n">
        <v>1</v>
      </c>
      <c r="L172" s="52" t="s">
        <v>5814</v>
      </c>
      <c r="M172" s="52" t="s">
        <v>100</v>
      </c>
    </row>
    <row r="173" customFormat="false" ht="17.25" hidden="false" customHeight="true" outlineLevel="0" collapsed="false">
      <c r="A173" s="52" t="s">
        <v>5777</v>
      </c>
      <c r="B173" s="52" t="s">
        <v>5813</v>
      </c>
      <c r="C173" s="53" t="n">
        <v>30892</v>
      </c>
      <c r="D173" s="52" t="s">
        <v>497</v>
      </c>
      <c r="E173" s="52" t="s">
        <v>498</v>
      </c>
      <c r="F173" s="54" t="n">
        <v>4</v>
      </c>
      <c r="G173" s="55" t="n">
        <v>11140</v>
      </c>
      <c r="H173" s="55" t="n">
        <v>2785</v>
      </c>
      <c r="I173" s="55" t="n">
        <v>2785</v>
      </c>
      <c r="J173" s="52" t="s">
        <v>5836</v>
      </c>
      <c r="K173" s="56" t="n">
        <v>100</v>
      </c>
      <c r="L173" s="52" t="s">
        <v>5814</v>
      </c>
      <c r="M173" s="52" t="s">
        <v>38</v>
      </c>
    </row>
    <row r="174" customFormat="false" ht="17.25" hidden="false" customHeight="true" outlineLevel="0" collapsed="false">
      <c r="A174" s="52" t="s">
        <v>5777</v>
      </c>
      <c r="B174" s="52" t="s">
        <v>5813</v>
      </c>
      <c r="C174" s="53" t="n">
        <v>32105</v>
      </c>
      <c r="D174" s="52" t="s">
        <v>499</v>
      </c>
      <c r="E174" s="52" t="s">
        <v>500</v>
      </c>
      <c r="F174" s="54" t="n">
        <v>36</v>
      </c>
      <c r="G174" s="55" t="n">
        <v>11108.17</v>
      </c>
      <c r="H174" s="55" t="n">
        <v>308.5603</v>
      </c>
      <c r="I174" s="55" t="n">
        <v>320.0645</v>
      </c>
      <c r="J174" s="52" t="s">
        <v>5837</v>
      </c>
      <c r="K174" s="56" t="n">
        <v>14.7</v>
      </c>
      <c r="L174" s="52" t="s">
        <v>5815</v>
      </c>
      <c r="M174" s="52" t="s">
        <v>133</v>
      </c>
    </row>
    <row r="175" customFormat="false" ht="17.25" hidden="false" customHeight="true" outlineLevel="0" collapsed="false">
      <c r="A175" s="52" t="s">
        <v>5777</v>
      </c>
      <c r="B175" s="52" t="s">
        <v>5813</v>
      </c>
      <c r="C175" s="53" t="n">
        <v>1462171</v>
      </c>
      <c r="D175" s="52" t="s">
        <v>501</v>
      </c>
      <c r="E175" s="52" t="s">
        <v>5838</v>
      </c>
      <c r="F175" s="54" t="n">
        <v>16</v>
      </c>
      <c r="G175" s="55" t="n">
        <v>11104</v>
      </c>
      <c r="H175" s="55" t="n">
        <v>694</v>
      </c>
      <c r="I175" s="55" t="n">
        <v>694</v>
      </c>
      <c r="J175" s="52" t="s">
        <v>5816</v>
      </c>
      <c r="K175" s="56" t="n">
        <v>1</v>
      </c>
      <c r="L175" s="52" t="s">
        <v>5816</v>
      </c>
      <c r="M175" s="52" t="s">
        <v>54</v>
      </c>
    </row>
    <row r="176" customFormat="false" ht="17.25" hidden="false" customHeight="true" outlineLevel="0" collapsed="false">
      <c r="A176" s="52" t="s">
        <v>5777</v>
      </c>
      <c r="B176" s="52" t="s">
        <v>5813</v>
      </c>
      <c r="C176" s="53" t="n">
        <v>287810</v>
      </c>
      <c r="D176" s="52" t="s">
        <v>503</v>
      </c>
      <c r="E176" s="52" t="s">
        <v>504</v>
      </c>
      <c r="F176" s="54" t="n">
        <v>3</v>
      </c>
      <c r="G176" s="55" t="n">
        <v>11100</v>
      </c>
      <c r="H176" s="55" t="n">
        <v>3700</v>
      </c>
      <c r="I176" s="55" t="n">
        <v>3700</v>
      </c>
      <c r="J176" s="52" t="s">
        <v>5816</v>
      </c>
      <c r="K176" s="56" t="n">
        <v>1</v>
      </c>
      <c r="L176" s="52" t="s">
        <v>5816</v>
      </c>
      <c r="M176" s="52" t="s">
        <v>35</v>
      </c>
    </row>
    <row r="177" customFormat="false" ht="17.25" hidden="false" customHeight="true" outlineLevel="0" collapsed="false">
      <c r="A177" s="52" t="s">
        <v>5777</v>
      </c>
      <c r="B177" s="52" t="s">
        <v>5813</v>
      </c>
      <c r="C177" s="53" t="n">
        <v>18983</v>
      </c>
      <c r="D177" s="52" t="s">
        <v>505</v>
      </c>
      <c r="E177" s="52" t="s">
        <v>506</v>
      </c>
      <c r="F177" s="54" t="n">
        <v>200</v>
      </c>
      <c r="G177" s="55" t="n">
        <v>11000</v>
      </c>
      <c r="H177" s="55" t="n">
        <v>55</v>
      </c>
      <c r="I177" s="55" t="n">
        <v>55</v>
      </c>
      <c r="J177" s="52" t="s">
        <v>5816</v>
      </c>
      <c r="K177" s="56" t="n">
        <v>1</v>
      </c>
      <c r="L177" s="52" t="s">
        <v>5816</v>
      </c>
      <c r="M177" s="52" t="s">
        <v>360</v>
      </c>
    </row>
    <row r="178" customFormat="false" ht="17.25" hidden="false" customHeight="true" outlineLevel="0" collapsed="false">
      <c r="A178" s="52" t="s">
        <v>5777</v>
      </c>
      <c r="B178" s="52" t="s">
        <v>5813</v>
      </c>
      <c r="C178" s="53" t="n">
        <v>1476119</v>
      </c>
      <c r="D178" s="52" t="s">
        <v>507</v>
      </c>
      <c r="E178" s="52" t="s">
        <v>508</v>
      </c>
      <c r="F178" s="54" t="n">
        <v>1</v>
      </c>
      <c r="G178" s="55" t="n">
        <v>10800</v>
      </c>
      <c r="H178" s="55" t="n">
        <v>10800</v>
      </c>
      <c r="I178" s="55" t="n">
        <v>10800</v>
      </c>
      <c r="J178" s="52" t="s">
        <v>5816</v>
      </c>
      <c r="K178" s="56" t="n">
        <v>1</v>
      </c>
      <c r="L178" s="52" t="s">
        <v>5816</v>
      </c>
      <c r="M178" s="52" t="s">
        <v>509</v>
      </c>
    </row>
    <row r="179" customFormat="false" ht="17.25" hidden="false" customHeight="true" outlineLevel="0" collapsed="false">
      <c r="A179" s="52" t="s">
        <v>5777</v>
      </c>
      <c r="B179" s="52" t="s">
        <v>5813</v>
      </c>
      <c r="C179" s="53" t="n">
        <v>1654230</v>
      </c>
      <c r="D179" s="52" t="s">
        <v>510</v>
      </c>
      <c r="E179" s="52" t="s">
        <v>511</v>
      </c>
      <c r="F179" s="54" t="n">
        <v>3</v>
      </c>
      <c r="G179" s="55" t="n">
        <v>10788.69</v>
      </c>
      <c r="H179" s="55" t="n">
        <v>3596.23</v>
      </c>
      <c r="I179" s="55" t="n">
        <v>3596.23</v>
      </c>
      <c r="J179" s="52" t="s">
        <v>5816</v>
      </c>
      <c r="K179" s="56" t="n">
        <v>1</v>
      </c>
      <c r="L179" s="52" t="s">
        <v>5816</v>
      </c>
      <c r="M179" s="52" t="s">
        <v>195</v>
      </c>
    </row>
    <row r="180" customFormat="false" ht="17.25" hidden="false" customHeight="true" outlineLevel="0" collapsed="false">
      <c r="A180" s="52" t="s">
        <v>5777</v>
      </c>
      <c r="B180" s="52" t="s">
        <v>5813</v>
      </c>
      <c r="C180" s="53" t="n">
        <v>1384794</v>
      </c>
      <c r="D180" s="52" t="s">
        <v>512</v>
      </c>
      <c r="E180" s="52" t="s">
        <v>513</v>
      </c>
      <c r="F180" s="54" t="n">
        <v>24</v>
      </c>
      <c r="G180" s="55" t="n">
        <v>10681.56</v>
      </c>
      <c r="H180" s="55" t="n">
        <v>445.065</v>
      </c>
      <c r="I180" s="55" t="n">
        <v>421.23</v>
      </c>
      <c r="J180" s="52" t="s">
        <v>5816</v>
      </c>
      <c r="K180" s="56" t="n">
        <v>1</v>
      </c>
      <c r="L180" s="52" t="s">
        <v>5816</v>
      </c>
      <c r="M180" s="52" t="s">
        <v>38</v>
      </c>
    </row>
    <row r="181" customFormat="false" ht="17.25" hidden="false" customHeight="true" outlineLevel="0" collapsed="false">
      <c r="A181" s="52" t="s">
        <v>5777</v>
      </c>
      <c r="B181" s="52" t="s">
        <v>5813</v>
      </c>
      <c r="C181" s="53" t="n">
        <v>18979</v>
      </c>
      <c r="D181" s="52" t="s">
        <v>514</v>
      </c>
      <c r="E181" s="52" t="s">
        <v>515</v>
      </c>
      <c r="F181" s="54" t="n">
        <v>194</v>
      </c>
      <c r="G181" s="55" t="n">
        <v>10670</v>
      </c>
      <c r="H181" s="55" t="n">
        <v>55</v>
      </c>
      <c r="I181" s="55" t="n">
        <v>55</v>
      </c>
      <c r="J181" s="52" t="s">
        <v>5816</v>
      </c>
      <c r="K181" s="56" t="n">
        <v>1</v>
      </c>
      <c r="L181" s="52" t="s">
        <v>5816</v>
      </c>
      <c r="M181" s="52" t="s">
        <v>360</v>
      </c>
    </row>
    <row r="182" customFormat="false" ht="17.25" hidden="false" customHeight="true" outlineLevel="0" collapsed="false">
      <c r="A182" s="52" t="s">
        <v>5777</v>
      </c>
      <c r="B182" s="52" t="s">
        <v>5813</v>
      </c>
      <c r="C182" s="53" t="n">
        <v>1259177</v>
      </c>
      <c r="D182" s="52" t="s">
        <v>516</v>
      </c>
      <c r="E182" s="52" t="s">
        <v>517</v>
      </c>
      <c r="F182" s="54" t="n">
        <v>126.72</v>
      </c>
      <c r="G182" s="55" t="n">
        <v>10644.78</v>
      </c>
      <c r="H182" s="55" t="n">
        <v>84.0024</v>
      </c>
      <c r="I182" s="55" t="n">
        <v>84.0024</v>
      </c>
      <c r="J182" s="52" t="s">
        <v>5816</v>
      </c>
      <c r="K182" s="56" t="n">
        <v>1</v>
      </c>
      <c r="L182" s="52" t="s">
        <v>5816</v>
      </c>
      <c r="M182" s="52" t="s">
        <v>133</v>
      </c>
    </row>
    <row r="183" customFormat="false" ht="17.25" hidden="false" customHeight="true" outlineLevel="0" collapsed="false">
      <c r="A183" s="52" t="s">
        <v>5777</v>
      </c>
      <c r="B183" s="52" t="s">
        <v>5813</v>
      </c>
      <c r="C183" s="53" t="n">
        <v>1329795</v>
      </c>
      <c r="D183" s="52" t="s">
        <v>518</v>
      </c>
      <c r="E183" s="52" t="s">
        <v>519</v>
      </c>
      <c r="F183" s="54" t="n">
        <v>110.4</v>
      </c>
      <c r="G183" s="55" t="n">
        <v>10634.26</v>
      </c>
      <c r="H183" s="55" t="n">
        <v>96.3248</v>
      </c>
      <c r="I183" s="55" t="n">
        <v>96.3248</v>
      </c>
      <c r="J183" s="52" t="s">
        <v>5814</v>
      </c>
      <c r="K183" s="56" t="n">
        <v>1</v>
      </c>
      <c r="L183" s="52" t="s">
        <v>5814</v>
      </c>
      <c r="M183" s="52" t="s">
        <v>520</v>
      </c>
    </row>
    <row r="184" customFormat="false" ht="17.25" hidden="false" customHeight="true" outlineLevel="0" collapsed="false">
      <c r="A184" s="52" t="s">
        <v>5777</v>
      </c>
      <c r="B184" s="52" t="s">
        <v>5813</v>
      </c>
      <c r="C184" s="53" t="n">
        <v>21443</v>
      </c>
      <c r="D184" s="52" t="s">
        <v>521</v>
      </c>
      <c r="E184" s="52" t="s">
        <v>522</v>
      </c>
      <c r="F184" s="54" t="n">
        <v>350</v>
      </c>
      <c r="G184" s="55" t="n">
        <v>10625</v>
      </c>
      <c r="H184" s="55" t="n">
        <v>30.3571</v>
      </c>
      <c r="I184" s="55" t="n">
        <v>13.75</v>
      </c>
      <c r="J184" s="52" t="s">
        <v>5816</v>
      </c>
      <c r="K184" s="56" t="n">
        <v>1</v>
      </c>
      <c r="L184" s="52" t="s">
        <v>5816</v>
      </c>
      <c r="M184" s="52" t="s">
        <v>93</v>
      </c>
    </row>
    <row r="185" customFormat="false" ht="17.25" hidden="false" customHeight="true" outlineLevel="0" collapsed="false">
      <c r="A185" s="52" t="s">
        <v>5777</v>
      </c>
      <c r="B185" s="52" t="s">
        <v>5813</v>
      </c>
      <c r="C185" s="53" t="n">
        <v>1475370</v>
      </c>
      <c r="D185" s="52" t="s">
        <v>523</v>
      </c>
      <c r="E185" s="52" t="s">
        <v>524</v>
      </c>
      <c r="F185" s="54" t="n">
        <v>9</v>
      </c>
      <c r="G185" s="55" t="n">
        <v>10611</v>
      </c>
      <c r="H185" s="55" t="n">
        <v>1179</v>
      </c>
      <c r="I185" s="55" t="n">
        <v>725</v>
      </c>
      <c r="J185" s="52" t="s">
        <v>5816</v>
      </c>
      <c r="K185" s="56" t="n">
        <v>1</v>
      </c>
      <c r="L185" s="52" t="s">
        <v>5816</v>
      </c>
      <c r="M185" s="52" t="s">
        <v>100</v>
      </c>
    </row>
    <row r="186" customFormat="false" ht="17.25" hidden="false" customHeight="true" outlineLevel="0" collapsed="false">
      <c r="A186" s="52" t="s">
        <v>5777</v>
      </c>
      <c r="B186" s="52" t="s">
        <v>5813</v>
      </c>
      <c r="C186" s="53" t="n">
        <v>1320927</v>
      </c>
      <c r="D186" s="52" t="s">
        <v>525</v>
      </c>
      <c r="E186" s="52" t="s">
        <v>526</v>
      </c>
      <c r="F186" s="54" t="n">
        <v>440</v>
      </c>
      <c r="G186" s="55" t="n">
        <v>10535.6</v>
      </c>
      <c r="H186" s="55" t="n">
        <v>23.9445</v>
      </c>
      <c r="I186" s="55" t="n">
        <v>18.86</v>
      </c>
      <c r="J186" s="52" t="s">
        <v>5816</v>
      </c>
      <c r="K186" s="56" t="n">
        <v>1</v>
      </c>
      <c r="L186" s="52" t="s">
        <v>5816</v>
      </c>
      <c r="M186" s="52" t="s">
        <v>38</v>
      </c>
    </row>
    <row r="187" customFormat="false" ht="17.25" hidden="false" customHeight="true" outlineLevel="0" collapsed="false">
      <c r="A187" s="52" t="s">
        <v>5777</v>
      </c>
      <c r="B187" s="52" t="s">
        <v>5813</v>
      </c>
      <c r="C187" s="53" t="n">
        <v>1386844</v>
      </c>
      <c r="D187" s="52" t="s">
        <v>529</v>
      </c>
      <c r="E187" s="52" t="s">
        <v>530</v>
      </c>
      <c r="F187" s="54" t="n">
        <v>61</v>
      </c>
      <c r="G187" s="55" t="n">
        <v>10288.87</v>
      </c>
      <c r="H187" s="55" t="n">
        <v>168.67</v>
      </c>
      <c r="I187" s="55" t="n">
        <v>168.67</v>
      </c>
      <c r="J187" s="52" t="s">
        <v>5816</v>
      </c>
      <c r="K187" s="56" t="n">
        <v>1</v>
      </c>
      <c r="L187" s="52" t="s">
        <v>5816</v>
      </c>
      <c r="M187" s="52" t="s">
        <v>100</v>
      </c>
    </row>
    <row r="188" customFormat="false" ht="17.25" hidden="false" customHeight="true" outlineLevel="0" collapsed="false">
      <c r="A188" s="52" t="s">
        <v>5777</v>
      </c>
      <c r="B188" s="52" t="s">
        <v>5813</v>
      </c>
      <c r="C188" s="53" t="n">
        <v>1463662</v>
      </c>
      <c r="D188" s="52" t="s">
        <v>533</v>
      </c>
      <c r="E188" s="52" t="s">
        <v>534</v>
      </c>
      <c r="F188" s="54" t="n">
        <v>128.75</v>
      </c>
      <c r="G188" s="55" t="n">
        <v>10180.1</v>
      </c>
      <c r="H188" s="55" t="n">
        <v>79.0687</v>
      </c>
      <c r="I188" s="55" t="n">
        <v>85</v>
      </c>
      <c r="J188" s="52" t="s">
        <v>5835</v>
      </c>
      <c r="K188" s="56" t="n">
        <v>1</v>
      </c>
      <c r="L188" s="52" t="s">
        <v>5817</v>
      </c>
      <c r="M188" s="52" t="s">
        <v>494</v>
      </c>
    </row>
    <row r="189" customFormat="false" ht="17.25" hidden="false" customHeight="true" outlineLevel="0" collapsed="false">
      <c r="A189" s="52" t="s">
        <v>5777</v>
      </c>
      <c r="B189" s="52" t="s">
        <v>5813</v>
      </c>
      <c r="C189" s="53" t="n">
        <v>831925</v>
      </c>
      <c r="D189" s="52" t="s">
        <v>535</v>
      </c>
      <c r="E189" s="52" t="s">
        <v>536</v>
      </c>
      <c r="F189" s="54" t="n">
        <v>105</v>
      </c>
      <c r="G189" s="55" t="n">
        <v>10129.4</v>
      </c>
      <c r="H189" s="55" t="n">
        <v>96.4705</v>
      </c>
      <c r="I189" s="55" t="n">
        <v>54</v>
      </c>
      <c r="J189" s="52" t="s">
        <v>5816</v>
      </c>
      <c r="K189" s="56" t="n">
        <v>1</v>
      </c>
      <c r="L189" s="52" t="s">
        <v>5816</v>
      </c>
      <c r="M189" s="52" t="s">
        <v>247</v>
      </c>
    </row>
    <row r="190" customFormat="false" ht="17.25" hidden="false" customHeight="true" outlineLevel="0" collapsed="false">
      <c r="A190" s="52" t="s">
        <v>5777</v>
      </c>
      <c r="B190" s="52" t="s">
        <v>5813</v>
      </c>
      <c r="C190" s="53" t="n">
        <v>21444</v>
      </c>
      <c r="D190" s="52" t="s">
        <v>537</v>
      </c>
      <c r="E190" s="52" t="s">
        <v>538</v>
      </c>
      <c r="F190" s="54" t="n">
        <v>350</v>
      </c>
      <c r="G190" s="55" t="n">
        <v>10125</v>
      </c>
      <c r="H190" s="55" t="n">
        <v>28.9286</v>
      </c>
      <c r="I190" s="55" t="n">
        <v>13.75</v>
      </c>
      <c r="J190" s="52" t="s">
        <v>5816</v>
      </c>
      <c r="K190" s="56" t="n">
        <v>1</v>
      </c>
      <c r="L190" s="52" t="s">
        <v>5816</v>
      </c>
      <c r="M190" s="52" t="s">
        <v>93</v>
      </c>
    </row>
    <row r="191" customFormat="false" ht="17.25" hidden="false" customHeight="true" outlineLevel="0" collapsed="false">
      <c r="A191" s="52" t="s">
        <v>5777</v>
      </c>
      <c r="B191" s="52" t="s">
        <v>5813</v>
      </c>
      <c r="C191" s="53" t="n">
        <v>1386720</v>
      </c>
      <c r="D191" s="52" t="s">
        <v>539</v>
      </c>
      <c r="E191" s="52" t="s">
        <v>540</v>
      </c>
      <c r="F191" s="54" t="n">
        <v>114</v>
      </c>
      <c r="G191" s="55" t="n">
        <v>10091.28</v>
      </c>
      <c r="H191" s="55" t="n">
        <v>88.52</v>
      </c>
      <c r="I191" s="55" t="n">
        <v>88.52</v>
      </c>
      <c r="J191" s="52" t="s">
        <v>5816</v>
      </c>
      <c r="K191" s="56" t="n">
        <v>1</v>
      </c>
      <c r="L191" s="52" t="s">
        <v>5816</v>
      </c>
      <c r="M191" s="52" t="s">
        <v>100</v>
      </c>
    </row>
    <row r="192" customFormat="false" ht="17.25" hidden="false" customHeight="true" outlineLevel="0" collapsed="false">
      <c r="A192" s="52" t="s">
        <v>5777</v>
      </c>
      <c r="B192" s="52" t="s">
        <v>5813</v>
      </c>
      <c r="C192" s="53" t="n">
        <v>18895</v>
      </c>
      <c r="D192" s="52" t="s">
        <v>545</v>
      </c>
      <c r="E192" s="52" t="s">
        <v>546</v>
      </c>
      <c r="F192" s="54" t="n">
        <v>30</v>
      </c>
      <c r="G192" s="55" t="n">
        <v>9900</v>
      </c>
      <c r="H192" s="55" t="n">
        <v>330</v>
      </c>
      <c r="I192" s="55" t="n">
        <v>330</v>
      </c>
      <c r="J192" s="52" t="s">
        <v>5831</v>
      </c>
      <c r="K192" s="56" t="n">
        <v>1</v>
      </c>
      <c r="L192" s="52" t="s">
        <v>5831</v>
      </c>
      <c r="M192" s="52" t="s">
        <v>247</v>
      </c>
    </row>
    <row r="193" customFormat="false" ht="17.25" hidden="false" customHeight="true" outlineLevel="0" collapsed="false">
      <c r="A193" s="52" t="s">
        <v>5777</v>
      </c>
      <c r="B193" s="52" t="s">
        <v>5813</v>
      </c>
      <c r="C193" s="53" t="n">
        <v>32903</v>
      </c>
      <c r="D193" s="52" t="s">
        <v>547</v>
      </c>
      <c r="E193" s="52" t="s">
        <v>548</v>
      </c>
      <c r="F193" s="54" t="n">
        <v>300</v>
      </c>
      <c r="G193" s="55" t="n">
        <v>9900</v>
      </c>
      <c r="H193" s="55" t="n">
        <v>33</v>
      </c>
      <c r="I193" s="55" t="n">
        <v>33</v>
      </c>
      <c r="J193" s="52" t="s">
        <v>5816</v>
      </c>
      <c r="K193" s="56" t="n">
        <v>1</v>
      </c>
      <c r="L193" s="52" t="s">
        <v>5816</v>
      </c>
      <c r="M193" s="52" t="s">
        <v>38</v>
      </c>
    </row>
    <row r="194" customFormat="false" ht="17.25" hidden="false" customHeight="true" outlineLevel="0" collapsed="false">
      <c r="A194" s="52" t="s">
        <v>5777</v>
      </c>
      <c r="B194" s="52" t="s">
        <v>5813</v>
      </c>
      <c r="C194" s="53" t="n">
        <v>965039</v>
      </c>
      <c r="D194" s="52" t="s">
        <v>549</v>
      </c>
      <c r="E194" s="52" t="s">
        <v>550</v>
      </c>
      <c r="F194" s="54" t="n">
        <v>5</v>
      </c>
      <c r="G194" s="55" t="n">
        <v>9900</v>
      </c>
      <c r="H194" s="55" t="n">
        <v>1980</v>
      </c>
      <c r="I194" s="55" t="n">
        <v>1980</v>
      </c>
      <c r="J194" s="52" t="s">
        <v>5816</v>
      </c>
      <c r="K194" s="56" t="n">
        <v>1</v>
      </c>
      <c r="L194" s="52" t="s">
        <v>5816</v>
      </c>
      <c r="M194" s="52" t="s">
        <v>38</v>
      </c>
    </row>
    <row r="195" customFormat="false" ht="17.25" hidden="false" customHeight="true" outlineLevel="0" collapsed="false">
      <c r="A195" s="52" t="s">
        <v>5777</v>
      </c>
      <c r="B195" s="52" t="s">
        <v>5813</v>
      </c>
      <c r="C195" s="53" t="n">
        <v>1609962</v>
      </c>
      <c r="D195" s="52" t="s">
        <v>551</v>
      </c>
      <c r="E195" s="52" t="s">
        <v>552</v>
      </c>
      <c r="F195" s="54" t="n">
        <v>500</v>
      </c>
      <c r="G195" s="55" t="n">
        <v>9895</v>
      </c>
      <c r="H195" s="55" t="n">
        <v>19.79</v>
      </c>
      <c r="I195" s="55" t="n">
        <v>19.79</v>
      </c>
      <c r="J195" s="52" t="s">
        <v>5814</v>
      </c>
      <c r="K195" s="56" t="n">
        <v>1</v>
      </c>
      <c r="L195" s="52" t="s">
        <v>5814</v>
      </c>
      <c r="M195" s="52" t="s">
        <v>38</v>
      </c>
    </row>
    <row r="196" customFormat="false" ht="17.25" hidden="false" customHeight="true" outlineLevel="0" collapsed="false">
      <c r="A196" s="52" t="s">
        <v>5777</v>
      </c>
      <c r="B196" s="52" t="s">
        <v>5813</v>
      </c>
      <c r="C196" s="53" t="n">
        <v>276056</v>
      </c>
      <c r="D196" s="52" t="s">
        <v>553</v>
      </c>
      <c r="E196" s="52" t="s">
        <v>554</v>
      </c>
      <c r="F196" s="54" t="n">
        <v>6</v>
      </c>
      <c r="G196" s="55" t="n">
        <v>9888</v>
      </c>
      <c r="H196" s="55" t="n">
        <v>1648</v>
      </c>
      <c r="I196" s="55" t="n">
        <v>1648</v>
      </c>
      <c r="J196" s="52" t="s">
        <v>5816</v>
      </c>
      <c r="K196" s="56" t="n">
        <v>1</v>
      </c>
      <c r="L196" s="52" t="s">
        <v>5816</v>
      </c>
      <c r="M196" s="52" t="s">
        <v>217</v>
      </c>
    </row>
    <row r="197" customFormat="false" ht="17.25" hidden="false" customHeight="true" outlineLevel="0" collapsed="false">
      <c r="A197" s="52" t="s">
        <v>5777</v>
      </c>
      <c r="B197" s="52" t="s">
        <v>5813</v>
      </c>
      <c r="C197" s="53" t="n">
        <v>831923</v>
      </c>
      <c r="D197" s="52" t="s">
        <v>555</v>
      </c>
      <c r="E197" s="52" t="s">
        <v>556</v>
      </c>
      <c r="F197" s="54" t="n">
        <v>111</v>
      </c>
      <c r="G197" s="55" t="n">
        <v>9870.04</v>
      </c>
      <c r="H197" s="55" t="n">
        <v>88.9193</v>
      </c>
      <c r="I197" s="55" t="n">
        <v>77</v>
      </c>
      <c r="J197" s="52" t="s">
        <v>5816</v>
      </c>
      <c r="K197" s="56" t="n">
        <v>1</v>
      </c>
      <c r="L197" s="52" t="s">
        <v>5816</v>
      </c>
      <c r="M197" s="52" t="s">
        <v>247</v>
      </c>
    </row>
    <row r="198" customFormat="false" ht="17.25" hidden="false" customHeight="true" outlineLevel="0" collapsed="false">
      <c r="A198" s="52" t="s">
        <v>5777</v>
      </c>
      <c r="B198" s="52" t="s">
        <v>5813</v>
      </c>
      <c r="C198" s="53" t="n">
        <v>1471296</v>
      </c>
      <c r="D198" s="52" t="s">
        <v>559</v>
      </c>
      <c r="E198" s="52" t="s">
        <v>560</v>
      </c>
      <c r="F198" s="54" t="n">
        <v>200</v>
      </c>
      <c r="G198" s="55" t="n">
        <v>9600</v>
      </c>
      <c r="H198" s="55" t="n">
        <v>48</v>
      </c>
      <c r="I198" s="55" t="n">
        <v>48</v>
      </c>
      <c r="J198" s="52" t="s">
        <v>5818</v>
      </c>
      <c r="K198" s="56" t="n">
        <v>1</v>
      </c>
      <c r="L198" s="52" t="s">
        <v>5816</v>
      </c>
      <c r="M198" s="52" t="s">
        <v>63</v>
      </c>
    </row>
    <row r="199" customFormat="false" ht="17.25" hidden="false" customHeight="true" outlineLevel="0" collapsed="false">
      <c r="A199" s="52" t="s">
        <v>5777</v>
      </c>
      <c r="B199" s="52" t="s">
        <v>5813</v>
      </c>
      <c r="C199" s="53" t="n">
        <v>1311231</v>
      </c>
      <c r="D199" s="52" t="s">
        <v>568</v>
      </c>
      <c r="E199" s="52" t="s">
        <v>569</v>
      </c>
      <c r="F199" s="54" t="n">
        <v>50</v>
      </c>
      <c r="G199" s="55" t="n">
        <v>9506</v>
      </c>
      <c r="H199" s="55" t="n">
        <v>190.12</v>
      </c>
      <c r="I199" s="55" t="n">
        <v>190.12</v>
      </c>
      <c r="J199" s="52" t="s">
        <v>5816</v>
      </c>
      <c r="K199" s="56" t="n">
        <v>1</v>
      </c>
      <c r="L199" s="52" t="s">
        <v>5816</v>
      </c>
      <c r="M199" s="52" t="s">
        <v>570</v>
      </c>
    </row>
    <row r="200" customFormat="false" ht="17.25" hidden="false" customHeight="true" outlineLevel="0" collapsed="false">
      <c r="A200" s="52" t="s">
        <v>5777</v>
      </c>
      <c r="B200" s="52" t="s">
        <v>5813</v>
      </c>
      <c r="C200" s="53" t="n">
        <v>1464747</v>
      </c>
      <c r="D200" s="52" t="s">
        <v>571</v>
      </c>
      <c r="E200" s="52" t="s">
        <v>5839</v>
      </c>
      <c r="F200" s="54" t="n">
        <v>68.84</v>
      </c>
      <c r="G200" s="55" t="n">
        <v>9489.61</v>
      </c>
      <c r="H200" s="55" t="n">
        <v>137.8502</v>
      </c>
      <c r="I200" s="55" t="n">
        <v>155.2</v>
      </c>
      <c r="J200" s="52" t="s">
        <v>5814</v>
      </c>
      <c r="K200" s="56" t="n">
        <v>1</v>
      </c>
      <c r="L200" s="52" t="s">
        <v>5814</v>
      </c>
      <c r="M200" s="52" t="s">
        <v>133</v>
      </c>
    </row>
    <row r="201" customFormat="false" ht="17.25" hidden="false" customHeight="true" outlineLevel="0" collapsed="false">
      <c r="A201" s="52" t="s">
        <v>5777</v>
      </c>
      <c r="B201" s="52" t="s">
        <v>5813</v>
      </c>
      <c r="C201" s="53" t="n">
        <v>18173</v>
      </c>
      <c r="D201" s="52" t="s">
        <v>573</v>
      </c>
      <c r="E201" s="52" t="s">
        <v>574</v>
      </c>
      <c r="F201" s="54" t="n">
        <v>3</v>
      </c>
      <c r="G201" s="55" t="n">
        <v>9480</v>
      </c>
      <c r="H201" s="55" t="n">
        <v>3160</v>
      </c>
      <c r="I201" s="55" t="n">
        <v>3160</v>
      </c>
      <c r="J201" s="52" t="s">
        <v>5816</v>
      </c>
      <c r="K201" s="56" t="n">
        <v>1</v>
      </c>
      <c r="L201" s="52" t="s">
        <v>5816</v>
      </c>
      <c r="M201" s="52" t="s">
        <v>130</v>
      </c>
    </row>
    <row r="202" customFormat="false" ht="17.25" hidden="false" customHeight="true" outlineLevel="0" collapsed="false">
      <c r="A202" s="52" t="s">
        <v>5777</v>
      </c>
      <c r="B202" s="52" t="s">
        <v>5813</v>
      </c>
      <c r="C202" s="53" t="n">
        <v>1382791</v>
      </c>
      <c r="D202" s="52" t="s">
        <v>575</v>
      </c>
      <c r="E202" s="52" t="s">
        <v>576</v>
      </c>
      <c r="F202" s="54" t="n">
        <v>308</v>
      </c>
      <c r="G202" s="55" t="n">
        <v>9424.8</v>
      </c>
      <c r="H202" s="55" t="n">
        <v>30.6</v>
      </c>
      <c r="I202" s="55" t="n">
        <v>30.6</v>
      </c>
      <c r="J202" s="52" t="s">
        <v>5816</v>
      </c>
      <c r="K202" s="56" t="n">
        <v>1</v>
      </c>
      <c r="L202" s="52" t="s">
        <v>5816</v>
      </c>
      <c r="M202" s="52" t="s">
        <v>38</v>
      </c>
    </row>
    <row r="203" customFormat="false" ht="17.25" hidden="false" customHeight="true" outlineLevel="0" collapsed="false">
      <c r="A203" s="52" t="s">
        <v>5777</v>
      </c>
      <c r="B203" s="52" t="s">
        <v>5813</v>
      </c>
      <c r="C203" s="53" t="n">
        <v>1606481</v>
      </c>
      <c r="D203" s="52" t="s">
        <v>579</v>
      </c>
      <c r="E203" s="52" t="s">
        <v>580</v>
      </c>
      <c r="F203" s="54" t="n">
        <v>4</v>
      </c>
      <c r="G203" s="55" t="n">
        <v>9360</v>
      </c>
      <c r="H203" s="55" t="n">
        <v>2340</v>
      </c>
      <c r="I203" s="55" t="n">
        <v>2280</v>
      </c>
      <c r="J203" s="52" t="s">
        <v>5816</v>
      </c>
      <c r="K203" s="56" t="n">
        <v>1</v>
      </c>
      <c r="L203" s="52" t="s">
        <v>5816</v>
      </c>
      <c r="M203" s="52" t="s">
        <v>170</v>
      </c>
    </row>
    <row r="204" customFormat="false" ht="17.25" hidden="false" customHeight="true" outlineLevel="0" collapsed="false">
      <c r="A204" s="52" t="s">
        <v>5777</v>
      </c>
      <c r="B204" s="52" t="s">
        <v>5813</v>
      </c>
      <c r="C204" s="53" t="n">
        <v>1310970</v>
      </c>
      <c r="D204" s="52" t="s">
        <v>583</v>
      </c>
      <c r="E204" s="52" t="s">
        <v>584</v>
      </c>
      <c r="F204" s="54" t="n">
        <v>335</v>
      </c>
      <c r="G204" s="55" t="n">
        <v>9336.45</v>
      </c>
      <c r="H204" s="55" t="n">
        <v>27.87</v>
      </c>
      <c r="I204" s="55" t="n">
        <v>27.87</v>
      </c>
      <c r="J204" s="52" t="s">
        <v>5816</v>
      </c>
      <c r="K204" s="56" t="n">
        <v>1</v>
      </c>
      <c r="L204" s="52" t="s">
        <v>5816</v>
      </c>
      <c r="M204" s="52" t="s">
        <v>133</v>
      </c>
    </row>
    <row r="205" customFormat="false" ht="17.25" hidden="false" customHeight="true" outlineLevel="0" collapsed="false">
      <c r="A205" s="52" t="s">
        <v>5777</v>
      </c>
      <c r="B205" s="52" t="s">
        <v>5813</v>
      </c>
      <c r="C205" s="53" t="n">
        <v>1383032</v>
      </c>
      <c r="D205" s="52" t="s">
        <v>585</v>
      </c>
      <c r="E205" s="52" t="s">
        <v>586</v>
      </c>
      <c r="F205" s="54" t="n">
        <v>13</v>
      </c>
      <c r="G205" s="55" t="n">
        <v>9090.12</v>
      </c>
      <c r="H205" s="55" t="n">
        <v>699.24</v>
      </c>
      <c r="I205" s="55" t="n">
        <v>699.24</v>
      </c>
      <c r="J205" s="52" t="s">
        <v>5816</v>
      </c>
      <c r="K205" s="56" t="n">
        <v>1</v>
      </c>
      <c r="L205" s="52" t="s">
        <v>5816</v>
      </c>
      <c r="M205" s="52" t="s">
        <v>38</v>
      </c>
    </row>
    <row r="206" customFormat="false" ht="17.25" hidden="false" customHeight="true" outlineLevel="0" collapsed="false">
      <c r="A206" s="52" t="s">
        <v>5777</v>
      </c>
      <c r="B206" s="52" t="s">
        <v>5813</v>
      </c>
      <c r="C206" s="53" t="n">
        <v>1464939</v>
      </c>
      <c r="D206" s="52" t="s">
        <v>589</v>
      </c>
      <c r="E206" s="52" t="s">
        <v>5840</v>
      </c>
      <c r="F206" s="54" t="n">
        <v>132</v>
      </c>
      <c r="G206" s="55" t="n">
        <v>9034.08</v>
      </c>
      <c r="H206" s="55" t="n">
        <v>68.44</v>
      </c>
      <c r="I206" s="55" t="n">
        <v>68.44</v>
      </c>
      <c r="J206" s="52" t="s">
        <v>5816</v>
      </c>
      <c r="K206" s="56" t="n">
        <v>1</v>
      </c>
      <c r="L206" s="52" t="s">
        <v>5816</v>
      </c>
      <c r="M206" s="52" t="s">
        <v>32</v>
      </c>
    </row>
    <row r="207" customFormat="false" ht="17.25" hidden="false" customHeight="true" outlineLevel="0" collapsed="false">
      <c r="A207" s="52" t="s">
        <v>5777</v>
      </c>
      <c r="B207" s="52" t="s">
        <v>5813</v>
      </c>
      <c r="C207" s="53" t="n">
        <v>1679654</v>
      </c>
      <c r="D207" s="52" t="s">
        <v>593</v>
      </c>
      <c r="E207" s="52" t="s">
        <v>594</v>
      </c>
      <c r="F207" s="54" t="n">
        <v>50</v>
      </c>
      <c r="G207" s="55" t="n">
        <v>8983.24</v>
      </c>
      <c r="H207" s="55" t="n">
        <v>179.6648</v>
      </c>
      <c r="I207" s="55" t="n">
        <v>179.6648</v>
      </c>
      <c r="J207" s="52" t="s">
        <v>5815</v>
      </c>
      <c r="K207" s="56" t="n">
        <v>1</v>
      </c>
      <c r="L207" s="52" t="s">
        <v>5815</v>
      </c>
      <c r="M207" s="52" t="s">
        <v>394</v>
      </c>
    </row>
    <row r="208" customFormat="false" ht="17.25" hidden="false" customHeight="true" outlineLevel="0" collapsed="false">
      <c r="A208" s="52" t="s">
        <v>5777</v>
      </c>
      <c r="B208" s="52" t="s">
        <v>5813</v>
      </c>
      <c r="C208" s="53" t="n">
        <v>958673</v>
      </c>
      <c r="D208" s="52" t="s">
        <v>595</v>
      </c>
      <c r="E208" s="52" t="s">
        <v>5841</v>
      </c>
      <c r="F208" s="54" t="n">
        <v>3</v>
      </c>
      <c r="G208" s="55" t="n">
        <v>8940</v>
      </c>
      <c r="H208" s="55" t="n">
        <v>2980</v>
      </c>
      <c r="I208" s="55" t="n">
        <v>2980</v>
      </c>
      <c r="J208" s="52" t="s">
        <v>5816</v>
      </c>
      <c r="K208" s="56" t="n">
        <v>1</v>
      </c>
      <c r="L208" s="52" t="s">
        <v>5816</v>
      </c>
      <c r="M208" s="52" t="s">
        <v>170</v>
      </c>
    </row>
    <row r="209" customFormat="false" ht="17.25" hidden="false" customHeight="true" outlineLevel="0" collapsed="false">
      <c r="A209" s="52" t="s">
        <v>5777</v>
      </c>
      <c r="B209" s="52" t="s">
        <v>5813</v>
      </c>
      <c r="C209" s="53" t="n">
        <v>54947</v>
      </c>
      <c r="D209" s="52" t="s">
        <v>597</v>
      </c>
      <c r="E209" s="52" t="s">
        <v>598</v>
      </c>
      <c r="F209" s="54" t="n">
        <v>1</v>
      </c>
      <c r="G209" s="55" t="n">
        <v>8900</v>
      </c>
      <c r="H209" s="55" t="n">
        <v>8900</v>
      </c>
      <c r="I209" s="55" t="n">
        <v>8900</v>
      </c>
      <c r="J209" s="52" t="s">
        <v>5816</v>
      </c>
      <c r="K209" s="56" t="n">
        <v>1</v>
      </c>
      <c r="L209" s="52" t="s">
        <v>5816</v>
      </c>
      <c r="M209" s="52" t="s">
        <v>189</v>
      </c>
    </row>
    <row r="210" customFormat="false" ht="17.25" hidden="false" customHeight="true" outlineLevel="0" collapsed="false">
      <c r="A210" s="52" t="s">
        <v>5777</v>
      </c>
      <c r="B210" s="52" t="s">
        <v>5813</v>
      </c>
      <c r="C210" s="53" t="n">
        <v>1087988</v>
      </c>
      <c r="D210" s="52" t="s">
        <v>599</v>
      </c>
      <c r="E210" s="52" t="s">
        <v>600</v>
      </c>
      <c r="F210" s="54" t="n">
        <v>2</v>
      </c>
      <c r="G210" s="55" t="n">
        <v>8896.5</v>
      </c>
      <c r="H210" s="55" t="n">
        <v>4448.25</v>
      </c>
      <c r="I210" s="55" t="n">
        <v>4448.25</v>
      </c>
      <c r="J210" s="52" t="s">
        <v>5816</v>
      </c>
      <c r="K210" s="56" t="n">
        <v>1</v>
      </c>
      <c r="L210" s="52" t="s">
        <v>5816</v>
      </c>
      <c r="M210" s="52" t="s">
        <v>113</v>
      </c>
    </row>
    <row r="211" customFormat="false" ht="17.25" hidden="false" customHeight="true" outlineLevel="0" collapsed="false">
      <c r="A211" s="52" t="s">
        <v>5777</v>
      </c>
      <c r="B211" s="52" t="s">
        <v>5813</v>
      </c>
      <c r="C211" s="53" t="n">
        <v>19767</v>
      </c>
      <c r="D211" s="52" t="s">
        <v>603</v>
      </c>
      <c r="E211" s="52" t="s">
        <v>604</v>
      </c>
      <c r="F211" s="54" t="n">
        <v>68</v>
      </c>
      <c r="G211" s="55" t="n">
        <v>8819.6</v>
      </c>
      <c r="H211" s="55" t="n">
        <v>129.7</v>
      </c>
      <c r="I211" s="55" t="n">
        <v>129.7</v>
      </c>
      <c r="J211" s="52" t="s">
        <v>5816</v>
      </c>
      <c r="K211" s="56" t="n">
        <v>1</v>
      </c>
      <c r="L211" s="52" t="s">
        <v>5816</v>
      </c>
      <c r="M211" s="52" t="s">
        <v>605</v>
      </c>
    </row>
    <row r="212" customFormat="false" ht="17.25" hidden="false" customHeight="true" outlineLevel="0" collapsed="false">
      <c r="A212" s="52" t="s">
        <v>5777</v>
      </c>
      <c r="B212" s="52" t="s">
        <v>5813</v>
      </c>
      <c r="C212" s="53" t="n">
        <v>33123</v>
      </c>
      <c r="D212" s="52" t="s">
        <v>606</v>
      </c>
      <c r="E212" s="52" t="s">
        <v>607</v>
      </c>
      <c r="F212" s="54" t="n">
        <v>4</v>
      </c>
      <c r="G212" s="55" t="n">
        <v>8800</v>
      </c>
      <c r="H212" s="55" t="n">
        <v>2200</v>
      </c>
      <c r="I212" s="55" t="n">
        <v>2200</v>
      </c>
      <c r="J212" s="52" t="s">
        <v>5842</v>
      </c>
      <c r="K212" s="56" t="n">
        <v>800</v>
      </c>
      <c r="L212" s="52" t="s">
        <v>5816</v>
      </c>
      <c r="M212" s="52" t="s">
        <v>262</v>
      </c>
    </row>
    <row r="213" customFormat="false" ht="17.25" hidden="false" customHeight="true" outlineLevel="0" collapsed="false">
      <c r="A213" s="52" t="s">
        <v>5777</v>
      </c>
      <c r="B213" s="52" t="s">
        <v>5813</v>
      </c>
      <c r="C213" s="53" t="n">
        <v>1385800</v>
      </c>
      <c r="D213" s="52" t="s">
        <v>608</v>
      </c>
      <c r="E213" s="52" t="s">
        <v>609</v>
      </c>
      <c r="F213" s="54" t="n">
        <v>135</v>
      </c>
      <c r="G213" s="55" t="n">
        <v>8761.5</v>
      </c>
      <c r="H213" s="55" t="n">
        <v>64.9</v>
      </c>
      <c r="I213" s="55" t="n">
        <v>64.9</v>
      </c>
      <c r="J213" s="52" t="s">
        <v>5814</v>
      </c>
      <c r="K213" s="56" t="n">
        <v>1</v>
      </c>
      <c r="L213" s="52" t="s">
        <v>5814</v>
      </c>
      <c r="M213" s="52" t="s">
        <v>38</v>
      </c>
    </row>
    <row r="214" customFormat="false" ht="17.25" hidden="false" customHeight="true" outlineLevel="0" collapsed="false">
      <c r="A214" s="52" t="s">
        <v>5777</v>
      </c>
      <c r="B214" s="52" t="s">
        <v>5813</v>
      </c>
      <c r="C214" s="53" t="n">
        <v>32875</v>
      </c>
      <c r="D214" s="52" t="s">
        <v>610</v>
      </c>
      <c r="E214" s="52" t="s">
        <v>611</v>
      </c>
      <c r="F214" s="54" t="n">
        <v>3</v>
      </c>
      <c r="G214" s="55" t="n">
        <v>8688.54</v>
      </c>
      <c r="H214" s="55" t="n">
        <v>2896.18</v>
      </c>
      <c r="I214" s="55" t="n">
        <v>2896.18</v>
      </c>
      <c r="J214" s="52" t="s">
        <v>5816</v>
      </c>
      <c r="K214" s="56" t="n">
        <v>1</v>
      </c>
      <c r="L214" s="52" t="s">
        <v>5816</v>
      </c>
      <c r="M214" s="52" t="s">
        <v>363</v>
      </c>
    </row>
    <row r="215" customFormat="false" ht="17.25" hidden="false" customHeight="true" outlineLevel="0" collapsed="false">
      <c r="A215" s="52" t="s">
        <v>5777</v>
      </c>
      <c r="B215" s="52" t="s">
        <v>5813</v>
      </c>
      <c r="C215" s="53" t="n">
        <v>1475015</v>
      </c>
      <c r="D215" s="52" t="s">
        <v>612</v>
      </c>
      <c r="E215" s="52" t="s">
        <v>613</v>
      </c>
      <c r="F215" s="54" t="n">
        <v>500</v>
      </c>
      <c r="G215" s="55" t="n">
        <v>8670</v>
      </c>
      <c r="H215" s="55" t="n">
        <v>17.34</v>
      </c>
      <c r="I215" s="55" t="n">
        <v>17.34</v>
      </c>
      <c r="J215" s="52" t="s">
        <v>5816</v>
      </c>
      <c r="K215" s="56" t="n">
        <v>1</v>
      </c>
      <c r="L215" s="52" t="s">
        <v>5816</v>
      </c>
      <c r="M215" s="52" t="s">
        <v>38</v>
      </c>
    </row>
    <row r="216" customFormat="false" ht="17.25" hidden="false" customHeight="true" outlineLevel="0" collapsed="false">
      <c r="A216" s="52" t="s">
        <v>5777</v>
      </c>
      <c r="B216" s="52" t="s">
        <v>5813</v>
      </c>
      <c r="C216" s="53" t="n">
        <v>19232</v>
      </c>
      <c r="D216" s="52" t="s">
        <v>614</v>
      </c>
      <c r="E216" s="52" t="s">
        <v>615</v>
      </c>
      <c r="F216" s="54" t="n">
        <v>105</v>
      </c>
      <c r="G216" s="55" t="n">
        <v>8610</v>
      </c>
      <c r="H216" s="55" t="n">
        <v>82</v>
      </c>
      <c r="I216" s="55" t="n">
        <v>82</v>
      </c>
      <c r="J216" s="52" t="s">
        <v>5816</v>
      </c>
      <c r="K216" s="56" t="n">
        <v>1</v>
      </c>
      <c r="L216" s="52" t="s">
        <v>5816</v>
      </c>
      <c r="M216" s="52" t="s">
        <v>93</v>
      </c>
    </row>
    <row r="217" customFormat="false" ht="17.25" hidden="false" customHeight="true" outlineLevel="0" collapsed="false">
      <c r="A217" s="52" t="s">
        <v>5777</v>
      </c>
      <c r="B217" s="52" t="s">
        <v>5813</v>
      </c>
      <c r="C217" s="53" t="n">
        <v>831924</v>
      </c>
      <c r="D217" s="52" t="s">
        <v>616</v>
      </c>
      <c r="E217" s="52" t="s">
        <v>617</v>
      </c>
      <c r="F217" s="54" t="n">
        <v>96</v>
      </c>
      <c r="G217" s="55" t="n">
        <v>8598.64</v>
      </c>
      <c r="H217" s="55" t="n">
        <v>89.5692</v>
      </c>
      <c r="I217" s="55" t="n">
        <v>54</v>
      </c>
      <c r="J217" s="52" t="s">
        <v>5816</v>
      </c>
      <c r="K217" s="56" t="n">
        <v>1</v>
      </c>
      <c r="L217" s="52" t="s">
        <v>5816</v>
      </c>
      <c r="M217" s="52" t="s">
        <v>247</v>
      </c>
    </row>
    <row r="218" customFormat="false" ht="17.25" hidden="false" customHeight="true" outlineLevel="0" collapsed="false">
      <c r="A218" s="52" t="s">
        <v>5777</v>
      </c>
      <c r="B218" s="52" t="s">
        <v>5813</v>
      </c>
      <c r="C218" s="53" t="n">
        <v>853756</v>
      </c>
      <c r="D218" s="52" t="s">
        <v>439</v>
      </c>
      <c r="E218" s="52" t="s">
        <v>440</v>
      </c>
      <c r="F218" s="54" t="n">
        <v>4</v>
      </c>
      <c r="G218" s="55" t="n">
        <v>8522.79</v>
      </c>
      <c r="H218" s="55" t="n">
        <v>2130.6975</v>
      </c>
      <c r="I218" s="55" t="n">
        <v>2130.6975</v>
      </c>
      <c r="J218" s="52" t="s">
        <v>5816</v>
      </c>
      <c r="K218" s="56" t="n">
        <v>1</v>
      </c>
      <c r="L218" s="52" t="s">
        <v>5816</v>
      </c>
      <c r="M218" s="52" t="s">
        <v>35</v>
      </c>
    </row>
    <row r="219" customFormat="false" ht="17.25" hidden="false" customHeight="true" outlineLevel="0" collapsed="false">
      <c r="A219" s="52" t="s">
        <v>5777</v>
      </c>
      <c r="B219" s="52" t="s">
        <v>5813</v>
      </c>
      <c r="C219" s="53" t="n">
        <v>1680999</v>
      </c>
      <c r="D219" s="52" t="s">
        <v>618</v>
      </c>
      <c r="E219" s="52" t="s">
        <v>619</v>
      </c>
      <c r="F219" s="54" t="n">
        <v>282.96</v>
      </c>
      <c r="G219" s="55" t="n">
        <v>8483.14</v>
      </c>
      <c r="H219" s="55" t="n">
        <v>29.98</v>
      </c>
      <c r="I219" s="55" t="n">
        <v>29.9796</v>
      </c>
      <c r="J219" s="52" t="s">
        <v>5815</v>
      </c>
      <c r="K219" s="56" t="n">
        <v>1</v>
      </c>
      <c r="L219" s="52" t="s">
        <v>5815</v>
      </c>
      <c r="M219" s="52" t="s">
        <v>63</v>
      </c>
    </row>
    <row r="220" customFormat="false" ht="17.25" hidden="false" customHeight="true" outlineLevel="0" collapsed="false">
      <c r="A220" s="52" t="s">
        <v>5777</v>
      </c>
      <c r="B220" s="52" t="s">
        <v>5813</v>
      </c>
      <c r="C220" s="53" t="n">
        <v>1009861</v>
      </c>
      <c r="D220" s="52" t="s">
        <v>620</v>
      </c>
      <c r="E220" s="52" t="s">
        <v>621</v>
      </c>
      <c r="F220" s="54" t="n">
        <v>70</v>
      </c>
      <c r="G220" s="55" t="n">
        <v>8458.205</v>
      </c>
      <c r="H220" s="55" t="n">
        <v>120.8315</v>
      </c>
      <c r="I220" s="55" t="n">
        <v>120.8315</v>
      </c>
      <c r="J220" s="52" t="s">
        <v>5816</v>
      </c>
      <c r="K220" s="56" t="n">
        <v>1</v>
      </c>
      <c r="L220" s="52" t="s">
        <v>5816</v>
      </c>
      <c r="M220" s="52" t="s">
        <v>133</v>
      </c>
    </row>
    <row r="221" customFormat="false" ht="17.25" hidden="false" customHeight="true" outlineLevel="0" collapsed="false">
      <c r="A221" s="52" t="s">
        <v>5777</v>
      </c>
      <c r="B221" s="52" t="s">
        <v>5813</v>
      </c>
      <c r="C221" s="53" t="n">
        <v>952368</v>
      </c>
      <c r="D221" s="52" t="s">
        <v>622</v>
      </c>
      <c r="E221" s="52" t="s">
        <v>623</v>
      </c>
      <c r="F221" s="54" t="n">
        <v>7200</v>
      </c>
      <c r="G221" s="55" t="n">
        <v>8419.68</v>
      </c>
      <c r="H221" s="55" t="n">
        <v>1.1694</v>
      </c>
      <c r="I221" s="55" t="n">
        <v>1.1694</v>
      </c>
      <c r="J221" s="52" t="s">
        <v>5816</v>
      </c>
      <c r="K221" s="56" t="n">
        <v>1</v>
      </c>
      <c r="L221" s="52" t="s">
        <v>5816</v>
      </c>
      <c r="M221" s="52" t="s">
        <v>394</v>
      </c>
    </row>
    <row r="222" customFormat="false" ht="17.25" hidden="false" customHeight="true" outlineLevel="0" collapsed="false">
      <c r="A222" s="52" t="s">
        <v>5777</v>
      </c>
      <c r="B222" s="52" t="s">
        <v>5813</v>
      </c>
      <c r="C222" s="53" t="n">
        <v>1463584</v>
      </c>
      <c r="D222" s="52" t="s">
        <v>624</v>
      </c>
      <c r="E222" s="52" t="s">
        <v>625</v>
      </c>
      <c r="F222" s="54" t="n">
        <v>205.275</v>
      </c>
      <c r="G222" s="55" t="n">
        <v>8416.83</v>
      </c>
      <c r="H222" s="55" t="n">
        <v>41.0027</v>
      </c>
      <c r="I222" s="55" t="n">
        <v>41.0027</v>
      </c>
      <c r="J222" s="52" t="s">
        <v>5814</v>
      </c>
      <c r="K222" s="56" t="n">
        <v>1</v>
      </c>
      <c r="L222" s="52" t="s">
        <v>5814</v>
      </c>
      <c r="M222" s="52" t="s">
        <v>38</v>
      </c>
    </row>
    <row r="223" customFormat="false" ht="17.25" hidden="false" customHeight="true" outlineLevel="0" collapsed="false">
      <c r="A223" s="52" t="s">
        <v>5777</v>
      </c>
      <c r="B223" s="52" t="s">
        <v>5813</v>
      </c>
      <c r="C223" s="53" t="n">
        <v>1327762</v>
      </c>
      <c r="D223" s="52" t="s">
        <v>626</v>
      </c>
      <c r="E223" s="52" t="s">
        <v>627</v>
      </c>
      <c r="F223" s="54" t="n">
        <v>13.85</v>
      </c>
      <c r="G223" s="55" t="n">
        <v>8404.35</v>
      </c>
      <c r="H223" s="55" t="n">
        <v>606.8123</v>
      </c>
      <c r="I223" s="55" t="n">
        <v>606.8125</v>
      </c>
      <c r="J223" s="52" t="s">
        <v>5814</v>
      </c>
      <c r="K223" s="56" t="n">
        <v>1</v>
      </c>
      <c r="L223" s="52" t="s">
        <v>5814</v>
      </c>
      <c r="M223" s="52" t="s">
        <v>54</v>
      </c>
    </row>
    <row r="224" customFormat="false" ht="17.25" hidden="false" customHeight="true" outlineLevel="0" collapsed="false">
      <c r="A224" s="52" t="s">
        <v>5777</v>
      </c>
      <c r="B224" s="52" t="s">
        <v>5813</v>
      </c>
      <c r="C224" s="53" t="n">
        <v>22701</v>
      </c>
      <c r="D224" s="52" t="s">
        <v>628</v>
      </c>
      <c r="E224" s="52" t="s">
        <v>629</v>
      </c>
      <c r="F224" s="54" t="n">
        <v>20</v>
      </c>
      <c r="G224" s="55" t="n">
        <v>8400</v>
      </c>
      <c r="H224" s="55" t="n">
        <v>420</v>
      </c>
      <c r="I224" s="55" t="n">
        <v>420</v>
      </c>
      <c r="J224" s="52" t="s">
        <v>5816</v>
      </c>
      <c r="K224" s="56" t="n">
        <v>1</v>
      </c>
      <c r="L224" s="52" t="s">
        <v>5816</v>
      </c>
      <c r="M224" s="52" t="s">
        <v>630</v>
      </c>
    </row>
    <row r="225" customFormat="false" ht="17.25" hidden="false" customHeight="true" outlineLevel="0" collapsed="false">
      <c r="A225" s="52" t="s">
        <v>5777</v>
      </c>
      <c r="B225" s="52" t="s">
        <v>5813</v>
      </c>
      <c r="C225" s="53" t="n">
        <v>12221</v>
      </c>
      <c r="D225" s="52" t="s">
        <v>631</v>
      </c>
      <c r="E225" s="52" t="s">
        <v>632</v>
      </c>
      <c r="F225" s="54" t="n">
        <v>100</v>
      </c>
      <c r="G225" s="55" t="n">
        <v>8394.2</v>
      </c>
      <c r="H225" s="55" t="n">
        <v>83.942</v>
      </c>
      <c r="I225" s="55" t="n">
        <v>83.942</v>
      </c>
      <c r="J225" s="52" t="s">
        <v>5814</v>
      </c>
      <c r="K225" s="56" t="n">
        <v>1</v>
      </c>
      <c r="L225" s="52" t="s">
        <v>5814</v>
      </c>
      <c r="M225" s="52" t="s">
        <v>38</v>
      </c>
    </row>
    <row r="226" customFormat="false" ht="17.25" hidden="false" customHeight="true" outlineLevel="0" collapsed="false">
      <c r="A226" s="52" t="s">
        <v>5777</v>
      </c>
      <c r="B226" s="52" t="s">
        <v>5813</v>
      </c>
      <c r="C226" s="53" t="n">
        <v>959715</v>
      </c>
      <c r="D226" s="52" t="s">
        <v>633</v>
      </c>
      <c r="E226" s="52" t="s">
        <v>634</v>
      </c>
      <c r="F226" s="54" t="n">
        <v>190</v>
      </c>
      <c r="G226" s="55" t="n">
        <v>8349</v>
      </c>
      <c r="H226" s="55" t="n">
        <v>43.9421</v>
      </c>
      <c r="I226" s="55" t="n">
        <v>119.7</v>
      </c>
      <c r="J226" s="52" t="s">
        <v>5843</v>
      </c>
      <c r="K226" s="56" t="n">
        <v>1</v>
      </c>
      <c r="L226" s="52" t="s">
        <v>5816</v>
      </c>
      <c r="M226" s="52" t="s">
        <v>35</v>
      </c>
    </row>
    <row r="227" customFormat="false" ht="17.25" hidden="false" customHeight="true" outlineLevel="0" collapsed="false">
      <c r="A227" s="52" t="s">
        <v>5777</v>
      </c>
      <c r="B227" s="52" t="s">
        <v>5813</v>
      </c>
      <c r="C227" s="53" t="n">
        <v>856750</v>
      </c>
      <c r="D227" s="52" t="s">
        <v>635</v>
      </c>
      <c r="E227" s="52" t="s">
        <v>636</v>
      </c>
      <c r="F227" s="54" t="n">
        <v>10</v>
      </c>
      <c r="G227" s="55" t="n">
        <v>8322</v>
      </c>
      <c r="H227" s="55" t="n">
        <v>832.2</v>
      </c>
      <c r="I227" s="55" t="n">
        <v>762</v>
      </c>
      <c r="J227" s="52" t="s">
        <v>5816</v>
      </c>
      <c r="K227" s="56" t="n">
        <v>1</v>
      </c>
      <c r="L227" s="52" t="s">
        <v>5816</v>
      </c>
      <c r="M227" s="52" t="s">
        <v>637</v>
      </c>
    </row>
    <row r="228" customFormat="false" ht="17.25" hidden="false" customHeight="true" outlineLevel="0" collapsed="false">
      <c r="A228" s="52" t="s">
        <v>5777</v>
      </c>
      <c r="B228" s="52" t="s">
        <v>5813</v>
      </c>
      <c r="C228" s="53" t="n">
        <v>56394</v>
      </c>
      <c r="D228" s="52" t="s">
        <v>638</v>
      </c>
      <c r="E228" s="52" t="s">
        <v>639</v>
      </c>
      <c r="F228" s="54" t="n">
        <v>200</v>
      </c>
      <c r="G228" s="55" t="n">
        <v>8300</v>
      </c>
      <c r="H228" s="55" t="n">
        <v>41.5</v>
      </c>
      <c r="I228" s="55" t="n">
        <v>41.5</v>
      </c>
      <c r="J228" s="52" t="s">
        <v>5822</v>
      </c>
      <c r="K228" s="56" t="n">
        <v>1</v>
      </c>
      <c r="L228" s="52" t="s">
        <v>5822</v>
      </c>
      <c r="M228" s="52" t="s">
        <v>637</v>
      </c>
    </row>
    <row r="229" customFormat="false" ht="17.25" hidden="false" customHeight="true" outlineLevel="0" collapsed="false">
      <c r="A229" s="52" t="s">
        <v>5777</v>
      </c>
      <c r="B229" s="52" t="s">
        <v>5813</v>
      </c>
      <c r="C229" s="53" t="n">
        <v>1463587</v>
      </c>
      <c r="D229" s="52" t="s">
        <v>640</v>
      </c>
      <c r="E229" s="52" t="s">
        <v>641</v>
      </c>
      <c r="F229" s="54" t="n">
        <v>133.17</v>
      </c>
      <c r="G229" s="55" t="n">
        <v>8252.04</v>
      </c>
      <c r="H229" s="55" t="n">
        <v>61.9662</v>
      </c>
      <c r="I229" s="55" t="n">
        <v>61.9662</v>
      </c>
      <c r="J229" s="52" t="s">
        <v>5814</v>
      </c>
      <c r="K229" s="56" t="n">
        <v>1</v>
      </c>
      <c r="L229" s="52" t="s">
        <v>5814</v>
      </c>
      <c r="M229" s="52" t="s">
        <v>38</v>
      </c>
    </row>
    <row r="230" customFormat="false" ht="17.25" hidden="false" customHeight="true" outlineLevel="0" collapsed="false">
      <c r="A230" s="52" t="s">
        <v>5777</v>
      </c>
      <c r="B230" s="52" t="s">
        <v>5813</v>
      </c>
      <c r="C230" s="53" t="n">
        <v>18982</v>
      </c>
      <c r="D230" s="52" t="s">
        <v>642</v>
      </c>
      <c r="E230" s="52" t="s">
        <v>643</v>
      </c>
      <c r="F230" s="54" t="n">
        <v>150</v>
      </c>
      <c r="G230" s="55" t="n">
        <v>8250</v>
      </c>
      <c r="H230" s="55" t="n">
        <v>55</v>
      </c>
      <c r="I230" s="55" t="n">
        <v>55</v>
      </c>
      <c r="J230" s="52" t="s">
        <v>5816</v>
      </c>
      <c r="K230" s="56" t="n">
        <v>1</v>
      </c>
      <c r="L230" s="52" t="s">
        <v>5816</v>
      </c>
      <c r="M230" s="52" t="s">
        <v>360</v>
      </c>
    </row>
    <row r="231" customFormat="false" ht="17.25" hidden="false" customHeight="true" outlineLevel="0" collapsed="false">
      <c r="A231" s="52" t="s">
        <v>5777</v>
      </c>
      <c r="B231" s="52" t="s">
        <v>5813</v>
      </c>
      <c r="C231" s="53" t="n">
        <v>18986</v>
      </c>
      <c r="D231" s="52" t="s">
        <v>644</v>
      </c>
      <c r="E231" s="52" t="s">
        <v>645</v>
      </c>
      <c r="F231" s="54" t="n">
        <v>150</v>
      </c>
      <c r="G231" s="55" t="n">
        <v>8250</v>
      </c>
      <c r="H231" s="55" t="n">
        <v>55</v>
      </c>
      <c r="I231" s="55" t="n">
        <v>55</v>
      </c>
      <c r="J231" s="52" t="s">
        <v>5816</v>
      </c>
      <c r="K231" s="56" t="n">
        <v>1</v>
      </c>
      <c r="L231" s="52" t="s">
        <v>5816</v>
      </c>
      <c r="M231" s="52" t="s">
        <v>360</v>
      </c>
    </row>
    <row r="232" customFormat="false" ht="17.25" hidden="false" customHeight="true" outlineLevel="0" collapsed="false">
      <c r="A232" s="52" t="s">
        <v>5777</v>
      </c>
      <c r="B232" s="52" t="s">
        <v>5813</v>
      </c>
      <c r="C232" s="53" t="n">
        <v>289512</v>
      </c>
      <c r="D232" s="52" t="s">
        <v>646</v>
      </c>
      <c r="E232" s="52" t="s">
        <v>647</v>
      </c>
      <c r="F232" s="54" t="n">
        <v>270</v>
      </c>
      <c r="G232" s="55" t="n">
        <v>8248.5</v>
      </c>
      <c r="H232" s="55" t="n">
        <v>30.55</v>
      </c>
      <c r="I232" s="55" t="n">
        <v>30.55</v>
      </c>
      <c r="J232" s="52" t="s">
        <v>5822</v>
      </c>
      <c r="K232" s="56" t="n">
        <v>1</v>
      </c>
      <c r="L232" s="52" t="s">
        <v>5822</v>
      </c>
      <c r="M232" s="52" t="s">
        <v>230</v>
      </c>
    </row>
    <row r="233" customFormat="false" ht="17.25" hidden="false" customHeight="true" outlineLevel="0" collapsed="false">
      <c r="A233" s="52" t="s">
        <v>5777</v>
      </c>
      <c r="B233" s="52" t="s">
        <v>5813</v>
      </c>
      <c r="C233" s="53" t="n">
        <v>19244</v>
      </c>
      <c r="D233" s="52" t="s">
        <v>648</v>
      </c>
      <c r="E233" s="52" t="s">
        <v>649</v>
      </c>
      <c r="F233" s="54" t="n">
        <v>204</v>
      </c>
      <c r="G233" s="55" t="n">
        <v>8247.6</v>
      </c>
      <c r="H233" s="55" t="n">
        <v>40.4294</v>
      </c>
      <c r="I233" s="55" t="n">
        <v>39.99</v>
      </c>
      <c r="J233" s="52" t="s">
        <v>5816</v>
      </c>
      <c r="K233" s="56" t="n">
        <v>1</v>
      </c>
      <c r="L233" s="52" t="s">
        <v>5816</v>
      </c>
      <c r="M233" s="52" t="s">
        <v>93</v>
      </c>
    </row>
    <row r="234" customFormat="false" ht="17.25" hidden="false" customHeight="true" outlineLevel="0" collapsed="false">
      <c r="A234" s="52" t="s">
        <v>5777</v>
      </c>
      <c r="B234" s="52" t="s">
        <v>5813</v>
      </c>
      <c r="C234" s="53" t="n">
        <v>1383007</v>
      </c>
      <c r="D234" s="52" t="s">
        <v>650</v>
      </c>
      <c r="E234" s="52" t="s">
        <v>651</v>
      </c>
      <c r="F234" s="54" t="n">
        <v>19</v>
      </c>
      <c r="G234" s="55" t="n">
        <v>8219.26</v>
      </c>
      <c r="H234" s="55" t="n">
        <v>432.5926</v>
      </c>
      <c r="I234" s="55" t="n">
        <v>432.5926</v>
      </c>
      <c r="J234" s="52" t="s">
        <v>5816</v>
      </c>
      <c r="K234" s="56" t="n">
        <v>1</v>
      </c>
      <c r="L234" s="52" t="s">
        <v>5816</v>
      </c>
      <c r="M234" s="52" t="s">
        <v>38</v>
      </c>
    </row>
    <row r="235" customFormat="false" ht="17.25" hidden="false" customHeight="true" outlineLevel="0" collapsed="false">
      <c r="A235" s="52" t="s">
        <v>5777</v>
      </c>
      <c r="B235" s="52" t="s">
        <v>5813</v>
      </c>
      <c r="C235" s="53" t="n">
        <v>32791</v>
      </c>
      <c r="D235" s="52" t="s">
        <v>652</v>
      </c>
      <c r="E235" s="52" t="s">
        <v>653</v>
      </c>
      <c r="F235" s="54" t="n">
        <v>240</v>
      </c>
      <c r="G235" s="55" t="n">
        <v>8160</v>
      </c>
      <c r="H235" s="55" t="n">
        <v>34</v>
      </c>
      <c r="I235" s="55" t="n">
        <v>34</v>
      </c>
      <c r="J235" s="52" t="s">
        <v>5844</v>
      </c>
      <c r="K235" s="56" t="n">
        <v>1</v>
      </c>
      <c r="L235" s="52" t="s">
        <v>5814</v>
      </c>
      <c r="M235" s="52" t="s">
        <v>133</v>
      </c>
    </row>
    <row r="236" customFormat="false" ht="17.25" hidden="false" customHeight="true" outlineLevel="0" collapsed="false">
      <c r="A236" s="52" t="s">
        <v>5777</v>
      </c>
      <c r="B236" s="52" t="s">
        <v>5813</v>
      </c>
      <c r="C236" s="53" t="n">
        <v>884857</v>
      </c>
      <c r="D236" s="52" t="s">
        <v>654</v>
      </c>
      <c r="E236" s="52" t="s">
        <v>655</v>
      </c>
      <c r="F236" s="54" t="n">
        <v>11</v>
      </c>
      <c r="G236" s="55" t="n">
        <v>8155.84</v>
      </c>
      <c r="H236" s="55" t="n">
        <v>741.44</v>
      </c>
      <c r="I236" s="55" t="n">
        <v>741.44</v>
      </c>
      <c r="J236" s="52" t="s">
        <v>5817</v>
      </c>
      <c r="K236" s="56" t="n">
        <v>1</v>
      </c>
      <c r="L236" s="52" t="s">
        <v>5817</v>
      </c>
      <c r="M236" s="52" t="s">
        <v>66</v>
      </c>
    </row>
    <row r="237" customFormat="false" ht="17.25" hidden="false" customHeight="true" outlineLevel="0" collapsed="false">
      <c r="A237" s="52" t="s">
        <v>5777</v>
      </c>
      <c r="B237" s="52" t="s">
        <v>5813</v>
      </c>
      <c r="C237" s="53" t="n">
        <v>59125</v>
      </c>
      <c r="D237" s="52" t="s">
        <v>656</v>
      </c>
      <c r="E237" s="52" t="s">
        <v>657</v>
      </c>
      <c r="F237" s="54" t="n">
        <v>17</v>
      </c>
      <c r="G237" s="55" t="n">
        <v>8120.05</v>
      </c>
      <c r="H237" s="55" t="n">
        <v>477.65</v>
      </c>
      <c r="I237" s="55" t="n">
        <v>609</v>
      </c>
      <c r="J237" s="52" t="s">
        <v>5816</v>
      </c>
      <c r="K237" s="56" t="n">
        <v>1</v>
      </c>
      <c r="L237" s="52" t="s">
        <v>5816</v>
      </c>
      <c r="M237" s="52" t="s">
        <v>113</v>
      </c>
    </row>
    <row r="238" customFormat="false" ht="17.25" hidden="false" customHeight="true" outlineLevel="0" collapsed="false">
      <c r="A238" s="52" t="s">
        <v>5777</v>
      </c>
      <c r="B238" s="52" t="s">
        <v>5813</v>
      </c>
      <c r="C238" s="53" t="n">
        <v>652029</v>
      </c>
      <c r="D238" s="52" t="s">
        <v>658</v>
      </c>
      <c r="E238" s="52" t="s">
        <v>659</v>
      </c>
      <c r="F238" s="54" t="n">
        <v>115</v>
      </c>
      <c r="G238" s="55" t="n">
        <v>8011.3</v>
      </c>
      <c r="H238" s="55" t="n">
        <v>69.6635</v>
      </c>
      <c r="I238" s="55" t="n">
        <v>69.6635</v>
      </c>
      <c r="J238" s="52" t="s">
        <v>5816</v>
      </c>
      <c r="K238" s="56" t="n">
        <v>1</v>
      </c>
      <c r="L238" s="52" t="s">
        <v>5816</v>
      </c>
      <c r="M238" s="52" t="s">
        <v>38</v>
      </c>
    </row>
    <row r="239" customFormat="false" ht="17.25" hidden="false" customHeight="true" outlineLevel="0" collapsed="false">
      <c r="A239" s="52" t="s">
        <v>5777</v>
      </c>
      <c r="B239" s="52" t="s">
        <v>5813</v>
      </c>
      <c r="C239" s="53" t="n">
        <v>1662287</v>
      </c>
      <c r="D239" s="52" t="s">
        <v>660</v>
      </c>
      <c r="E239" s="52" t="s">
        <v>661</v>
      </c>
      <c r="F239" s="54" t="n">
        <v>114</v>
      </c>
      <c r="G239" s="55" t="n">
        <v>7802.16</v>
      </c>
      <c r="H239" s="55" t="n">
        <v>68.44</v>
      </c>
      <c r="I239" s="55" t="n">
        <v>68.44</v>
      </c>
      <c r="J239" s="52" t="s">
        <v>5816</v>
      </c>
      <c r="K239" s="56" t="n">
        <v>1</v>
      </c>
      <c r="L239" s="52" t="s">
        <v>5816</v>
      </c>
      <c r="M239" s="52" t="s">
        <v>38</v>
      </c>
    </row>
    <row r="240" customFormat="false" ht="17.25" hidden="false" customHeight="true" outlineLevel="0" collapsed="false">
      <c r="A240" s="52" t="s">
        <v>5777</v>
      </c>
      <c r="B240" s="52" t="s">
        <v>5813</v>
      </c>
      <c r="C240" s="53" t="n">
        <v>1487330</v>
      </c>
      <c r="D240" s="52" t="s">
        <v>662</v>
      </c>
      <c r="E240" s="57" t="s">
        <v>5845</v>
      </c>
      <c r="F240" s="54" t="n">
        <v>1</v>
      </c>
      <c r="G240" s="55" t="n">
        <v>7717.92</v>
      </c>
      <c r="H240" s="55" t="n">
        <v>7717.92</v>
      </c>
      <c r="I240" s="55" t="n">
        <v>7717.92</v>
      </c>
      <c r="J240" s="52" t="s">
        <v>5816</v>
      </c>
      <c r="K240" s="56" t="n">
        <v>1</v>
      </c>
      <c r="L240" s="52" t="s">
        <v>5816</v>
      </c>
      <c r="M240" s="52" t="s">
        <v>38</v>
      </c>
    </row>
    <row r="241" customFormat="false" ht="17.25" hidden="false" customHeight="true" outlineLevel="0" collapsed="false">
      <c r="A241" s="52" t="s">
        <v>5777</v>
      </c>
      <c r="B241" s="52" t="s">
        <v>5813</v>
      </c>
      <c r="C241" s="53" t="n">
        <v>34227</v>
      </c>
      <c r="D241" s="52" t="s">
        <v>664</v>
      </c>
      <c r="E241" s="52" t="s">
        <v>665</v>
      </c>
      <c r="F241" s="54" t="n">
        <v>2</v>
      </c>
      <c r="G241" s="55" t="n">
        <v>7680</v>
      </c>
      <c r="H241" s="55" t="n">
        <v>3840</v>
      </c>
      <c r="I241" s="55" t="n">
        <v>3840</v>
      </c>
      <c r="J241" s="52" t="s">
        <v>5816</v>
      </c>
      <c r="K241" s="56" t="n">
        <v>1</v>
      </c>
      <c r="L241" s="52" t="s">
        <v>5816</v>
      </c>
      <c r="M241" s="52" t="s">
        <v>363</v>
      </c>
    </row>
    <row r="242" customFormat="false" ht="17.25" hidden="false" customHeight="true" outlineLevel="0" collapsed="false">
      <c r="A242" s="52" t="s">
        <v>5777</v>
      </c>
      <c r="B242" s="52" t="s">
        <v>5813</v>
      </c>
      <c r="C242" s="53" t="n">
        <v>856720</v>
      </c>
      <c r="D242" s="52" t="s">
        <v>666</v>
      </c>
      <c r="E242" s="52" t="s">
        <v>667</v>
      </c>
      <c r="F242" s="54" t="n">
        <v>6</v>
      </c>
      <c r="G242" s="55" t="n">
        <v>7560</v>
      </c>
      <c r="H242" s="55" t="n">
        <v>1260</v>
      </c>
      <c r="I242" s="55" t="n">
        <v>1260</v>
      </c>
      <c r="J242" s="52" t="s">
        <v>5816</v>
      </c>
      <c r="K242" s="56" t="n">
        <v>1</v>
      </c>
      <c r="L242" s="52" t="s">
        <v>5816</v>
      </c>
      <c r="M242" s="52" t="s">
        <v>605</v>
      </c>
    </row>
    <row r="243" customFormat="false" ht="17.25" hidden="false" customHeight="true" outlineLevel="0" collapsed="false">
      <c r="A243" s="52" t="s">
        <v>5777</v>
      </c>
      <c r="B243" s="52" t="s">
        <v>5813</v>
      </c>
      <c r="C243" s="53" t="n">
        <v>19215</v>
      </c>
      <c r="D243" s="52" t="s">
        <v>291</v>
      </c>
      <c r="E243" s="52" t="s">
        <v>292</v>
      </c>
      <c r="F243" s="54" t="n">
        <v>21</v>
      </c>
      <c r="G243" s="55" t="n">
        <v>7559.6</v>
      </c>
      <c r="H243" s="55" t="n">
        <v>359.981</v>
      </c>
      <c r="I243" s="55" t="n">
        <v>345</v>
      </c>
      <c r="J243" s="52" t="s">
        <v>5816</v>
      </c>
      <c r="K243" s="56" t="n">
        <v>1</v>
      </c>
      <c r="L243" s="52" t="s">
        <v>5816</v>
      </c>
      <c r="M243" s="52" t="s">
        <v>93</v>
      </c>
    </row>
    <row r="244" customFormat="false" ht="17.25" hidden="false" customHeight="true" outlineLevel="0" collapsed="false">
      <c r="A244" s="52" t="s">
        <v>5777</v>
      </c>
      <c r="B244" s="52" t="s">
        <v>5813</v>
      </c>
      <c r="C244" s="53" t="n">
        <v>55478</v>
      </c>
      <c r="D244" s="52" t="s">
        <v>668</v>
      </c>
      <c r="E244" s="52" t="s">
        <v>669</v>
      </c>
      <c r="F244" s="54" t="n">
        <v>12</v>
      </c>
      <c r="G244" s="55" t="n">
        <v>7548</v>
      </c>
      <c r="H244" s="55" t="n">
        <v>629</v>
      </c>
      <c r="I244" s="55" t="n">
        <v>629</v>
      </c>
      <c r="J244" s="52" t="s">
        <v>5816</v>
      </c>
      <c r="K244" s="56" t="n">
        <v>1</v>
      </c>
      <c r="L244" s="52" t="s">
        <v>5816</v>
      </c>
      <c r="M244" s="52" t="s">
        <v>247</v>
      </c>
    </row>
    <row r="245" customFormat="false" ht="17.25" hidden="false" customHeight="true" outlineLevel="0" collapsed="false">
      <c r="A245" s="52" t="s">
        <v>5777</v>
      </c>
      <c r="B245" s="52" t="s">
        <v>5813</v>
      </c>
      <c r="C245" s="53" t="n">
        <v>1384409</v>
      </c>
      <c r="D245" s="52" t="s">
        <v>670</v>
      </c>
      <c r="E245" s="52" t="s">
        <v>671</v>
      </c>
      <c r="F245" s="54" t="n">
        <v>31</v>
      </c>
      <c r="G245" s="55" t="n">
        <v>7408.23</v>
      </c>
      <c r="H245" s="55" t="n">
        <v>238.9752</v>
      </c>
      <c r="I245" s="55" t="n">
        <v>238.71</v>
      </c>
      <c r="J245" s="52" t="s">
        <v>5816</v>
      </c>
      <c r="K245" s="56" t="n">
        <v>1</v>
      </c>
      <c r="L245" s="52" t="s">
        <v>5816</v>
      </c>
      <c r="M245" s="52" t="s">
        <v>38</v>
      </c>
    </row>
    <row r="246" customFormat="false" ht="17.25" hidden="false" customHeight="true" outlineLevel="0" collapsed="false">
      <c r="A246" s="52" t="s">
        <v>5777</v>
      </c>
      <c r="B246" s="52" t="s">
        <v>5813</v>
      </c>
      <c r="C246" s="53" t="n">
        <v>1260642</v>
      </c>
      <c r="D246" s="52" t="s">
        <v>672</v>
      </c>
      <c r="E246" s="52" t="s">
        <v>673</v>
      </c>
      <c r="F246" s="54" t="n">
        <v>10.5</v>
      </c>
      <c r="G246" s="55" t="n">
        <v>7385</v>
      </c>
      <c r="H246" s="55" t="n">
        <v>703.3333</v>
      </c>
      <c r="I246" s="55" t="n">
        <v>810</v>
      </c>
      <c r="J246" s="52" t="s">
        <v>5814</v>
      </c>
      <c r="K246" s="56" t="n">
        <v>1</v>
      </c>
      <c r="L246" s="52" t="s">
        <v>5814</v>
      </c>
      <c r="M246" s="52" t="s">
        <v>54</v>
      </c>
    </row>
    <row r="247" customFormat="false" ht="17.25" hidden="false" customHeight="true" outlineLevel="0" collapsed="false">
      <c r="A247" s="52" t="s">
        <v>5777</v>
      </c>
      <c r="B247" s="52" t="s">
        <v>5813</v>
      </c>
      <c r="C247" s="53" t="n">
        <v>1387324</v>
      </c>
      <c r="D247" s="52" t="s">
        <v>674</v>
      </c>
      <c r="E247" s="52" t="s">
        <v>675</v>
      </c>
      <c r="F247" s="54" t="n">
        <v>62</v>
      </c>
      <c r="G247" s="55" t="n">
        <v>7378</v>
      </c>
      <c r="H247" s="55" t="n">
        <v>119</v>
      </c>
      <c r="I247" s="55" t="n">
        <v>119</v>
      </c>
      <c r="J247" s="52" t="s">
        <v>5816</v>
      </c>
      <c r="K247" s="56" t="n">
        <v>1</v>
      </c>
      <c r="L247" s="52" t="s">
        <v>5816</v>
      </c>
      <c r="M247" s="52" t="s">
        <v>100</v>
      </c>
    </row>
    <row r="248" customFormat="false" ht="17.25" hidden="false" customHeight="true" outlineLevel="0" collapsed="false">
      <c r="A248" s="52" t="s">
        <v>5777</v>
      </c>
      <c r="B248" s="52" t="s">
        <v>5813</v>
      </c>
      <c r="C248" s="53" t="n">
        <v>274572</v>
      </c>
      <c r="D248" s="52" t="s">
        <v>681</v>
      </c>
      <c r="E248" s="52" t="s">
        <v>682</v>
      </c>
      <c r="F248" s="54" t="n">
        <v>3200</v>
      </c>
      <c r="G248" s="55" t="n">
        <v>7306.8104</v>
      </c>
      <c r="H248" s="55" t="n">
        <v>2.2834</v>
      </c>
      <c r="I248" s="55" t="n">
        <v>2.28</v>
      </c>
      <c r="J248" s="52" t="s">
        <v>5831</v>
      </c>
      <c r="K248" s="56" t="n">
        <v>1</v>
      </c>
      <c r="L248" s="52" t="s">
        <v>5831</v>
      </c>
      <c r="M248" s="52" t="s">
        <v>247</v>
      </c>
    </row>
    <row r="249" customFormat="false" ht="17.25" hidden="false" customHeight="true" outlineLevel="0" collapsed="false">
      <c r="A249" s="52" t="s">
        <v>5777</v>
      </c>
      <c r="B249" s="52" t="s">
        <v>5813</v>
      </c>
      <c r="C249" s="53" t="n">
        <v>884503</v>
      </c>
      <c r="D249" s="52" t="s">
        <v>683</v>
      </c>
      <c r="E249" s="52" t="s">
        <v>684</v>
      </c>
      <c r="F249" s="54" t="n">
        <v>4880</v>
      </c>
      <c r="G249" s="55" t="n">
        <v>7271.2</v>
      </c>
      <c r="H249" s="55" t="n">
        <v>1.49</v>
      </c>
      <c r="I249" s="55" t="n">
        <v>1.49</v>
      </c>
      <c r="J249" s="52" t="s">
        <v>5814</v>
      </c>
      <c r="K249" s="56" t="n">
        <v>1</v>
      </c>
      <c r="L249" s="52" t="s">
        <v>5814</v>
      </c>
      <c r="M249" s="52" t="s">
        <v>113</v>
      </c>
    </row>
    <row r="250" customFormat="false" ht="17.25" hidden="false" customHeight="true" outlineLevel="0" collapsed="false">
      <c r="A250" s="52" t="s">
        <v>5777</v>
      </c>
      <c r="B250" s="52" t="s">
        <v>5813</v>
      </c>
      <c r="C250" s="53" t="n">
        <v>276486</v>
      </c>
      <c r="D250" s="52" t="s">
        <v>685</v>
      </c>
      <c r="E250" s="52" t="s">
        <v>686</v>
      </c>
      <c r="F250" s="54" t="n">
        <v>6</v>
      </c>
      <c r="G250" s="55" t="n">
        <v>7269.48</v>
      </c>
      <c r="H250" s="55" t="n">
        <v>1211.58</v>
      </c>
      <c r="I250" s="55" t="n">
        <v>1211.58</v>
      </c>
      <c r="J250" s="52" t="s">
        <v>5816</v>
      </c>
      <c r="K250" s="56" t="n">
        <v>1</v>
      </c>
      <c r="L250" s="52" t="s">
        <v>5816</v>
      </c>
      <c r="M250" s="52" t="s">
        <v>480</v>
      </c>
    </row>
    <row r="251" customFormat="false" ht="17.25" hidden="false" customHeight="true" outlineLevel="0" collapsed="false">
      <c r="A251" s="52" t="s">
        <v>5777</v>
      </c>
      <c r="B251" s="52" t="s">
        <v>5813</v>
      </c>
      <c r="C251" s="53" t="n">
        <v>1465408</v>
      </c>
      <c r="D251" s="52" t="s">
        <v>687</v>
      </c>
      <c r="E251" s="52" t="s">
        <v>688</v>
      </c>
      <c r="F251" s="54" t="n">
        <v>4</v>
      </c>
      <c r="G251" s="55" t="n">
        <v>7240.96</v>
      </c>
      <c r="H251" s="55" t="n">
        <v>1810.24</v>
      </c>
      <c r="I251" s="55" t="n">
        <v>1730.48</v>
      </c>
      <c r="J251" s="52" t="s">
        <v>5816</v>
      </c>
      <c r="K251" s="56" t="n">
        <v>1</v>
      </c>
      <c r="L251" s="52" t="s">
        <v>5816</v>
      </c>
      <c r="M251" s="52" t="s">
        <v>133</v>
      </c>
    </row>
    <row r="252" customFormat="false" ht="17.25" hidden="false" customHeight="true" outlineLevel="0" collapsed="false">
      <c r="A252" s="52" t="s">
        <v>5777</v>
      </c>
      <c r="B252" s="52" t="s">
        <v>5813</v>
      </c>
      <c r="C252" s="53" t="n">
        <v>222077</v>
      </c>
      <c r="D252" s="52" t="s">
        <v>691</v>
      </c>
      <c r="E252" s="52" t="s">
        <v>692</v>
      </c>
      <c r="F252" s="54" t="n">
        <v>1</v>
      </c>
      <c r="G252" s="55" t="n">
        <v>7182</v>
      </c>
      <c r="H252" s="55" t="n">
        <v>7182</v>
      </c>
      <c r="I252" s="55" t="n">
        <v>7182</v>
      </c>
      <c r="J252" s="52" t="s">
        <v>5816</v>
      </c>
      <c r="K252" s="56" t="n">
        <v>1</v>
      </c>
      <c r="L252" s="52" t="s">
        <v>5816</v>
      </c>
      <c r="M252" s="52" t="s">
        <v>189</v>
      </c>
    </row>
    <row r="253" customFormat="false" ht="17.25" hidden="false" customHeight="true" outlineLevel="0" collapsed="false">
      <c r="A253" s="52" t="s">
        <v>5777</v>
      </c>
      <c r="B253" s="52" t="s">
        <v>5813</v>
      </c>
      <c r="C253" s="53" t="n">
        <v>1383079</v>
      </c>
      <c r="D253" s="52" t="s">
        <v>693</v>
      </c>
      <c r="E253" s="52" t="s">
        <v>694</v>
      </c>
      <c r="F253" s="54" t="n">
        <v>3</v>
      </c>
      <c r="G253" s="55" t="n">
        <v>7142.23</v>
      </c>
      <c r="H253" s="55" t="n">
        <v>2380.7433</v>
      </c>
      <c r="I253" s="55" t="n">
        <v>1957.97</v>
      </c>
      <c r="J253" s="52" t="s">
        <v>5816</v>
      </c>
      <c r="K253" s="56" t="n">
        <v>1</v>
      </c>
      <c r="L253" s="52" t="s">
        <v>5816</v>
      </c>
      <c r="M253" s="52" t="s">
        <v>38</v>
      </c>
    </row>
    <row r="254" customFormat="false" ht="17.25" hidden="false" customHeight="true" outlineLevel="0" collapsed="false">
      <c r="A254" s="52" t="s">
        <v>5777</v>
      </c>
      <c r="B254" s="52" t="s">
        <v>5813</v>
      </c>
      <c r="C254" s="53" t="n">
        <v>1097375</v>
      </c>
      <c r="D254" s="52" t="s">
        <v>695</v>
      </c>
      <c r="E254" s="52" t="s">
        <v>696</v>
      </c>
      <c r="F254" s="54" t="n">
        <v>50</v>
      </c>
      <c r="G254" s="55" t="n">
        <v>7100.875</v>
      </c>
      <c r="H254" s="55" t="n">
        <v>142.0175</v>
      </c>
      <c r="I254" s="55" t="n">
        <v>165</v>
      </c>
      <c r="J254" s="52" t="s">
        <v>5816</v>
      </c>
      <c r="K254" s="56" t="n">
        <v>1</v>
      </c>
      <c r="L254" s="52" t="s">
        <v>5816</v>
      </c>
      <c r="M254" s="52" t="s">
        <v>230</v>
      </c>
    </row>
    <row r="255" customFormat="false" ht="17.25" hidden="false" customHeight="true" outlineLevel="0" collapsed="false">
      <c r="A255" s="52" t="s">
        <v>5777</v>
      </c>
      <c r="B255" s="52" t="s">
        <v>5813</v>
      </c>
      <c r="C255" s="53" t="n">
        <v>938078</v>
      </c>
      <c r="D255" s="52" t="s">
        <v>697</v>
      </c>
      <c r="E255" s="52" t="s">
        <v>698</v>
      </c>
      <c r="F255" s="54" t="n">
        <v>344</v>
      </c>
      <c r="G255" s="55" t="n">
        <v>7096.72</v>
      </c>
      <c r="H255" s="55" t="n">
        <v>20.63</v>
      </c>
      <c r="I255" s="55" t="n">
        <v>20.63</v>
      </c>
      <c r="J255" s="52" t="s">
        <v>5816</v>
      </c>
      <c r="K255" s="56" t="n">
        <v>1</v>
      </c>
      <c r="L255" s="52" t="s">
        <v>5816</v>
      </c>
      <c r="M255" s="52" t="s">
        <v>38</v>
      </c>
    </row>
    <row r="256" customFormat="false" ht="17.25" hidden="false" customHeight="true" outlineLevel="0" collapsed="false">
      <c r="A256" s="52" t="s">
        <v>5777</v>
      </c>
      <c r="B256" s="52" t="s">
        <v>5813</v>
      </c>
      <c r="C256" s="53" t="n">
        <v>33103</v>
      </c>
      <c r="D256" s="52" t="s">
        <v>699</v>
      </c>
      <c r="E256" s="52" t="s">
        <v>700</v>
      </c>
      <c r="F256" s="54" t="n">
        <v>100</v>
      </c>
      <c r="G256" s="55" t="n">
        <v>7084</v>
      </c>
      <c r="H256" s="55" t="n">
        <v>70.84</v>
      </c>
      <c r="I256" s="55" t="n">
        <v>70.84</v>
      </c>
      <c r="J256" s="52" t="s">
        <v>5816</v>
      </c>
      <c r="K256" s="56" t="n">
        <v>1</v>
      </c>
      <c r="L256" s="52" t="s">
        <v>5816</v>
      </c>
      <c r="M256" s="52" t="s">
        <v>138</v>
      </c>
    </row>
    <row r="257" customFormat="false" ht="17.25" hidden="false" customHeight="true" outlineLevel="0" collapsed="false">
      <c r="A257" s="52" t="s">
        <v>5777</v>
      </c>
      <c r="B257" s="52" t="s">
        <v>5813</v>
      </c>
      <c r="C257" s="53" t="n">
        <v>552723</v>
      </c>
      <c r="D257" s="52" t="s">
        <v>701</v>
      </c>
      <c r="E257" s="52" t="s">
        <v>702</v>
      </c>
      <c r="F257" s="54" t="n">
        <v>4</v>
      </c>
      <c r="G257" s="55" t="n">
        <v>7080</v>
      </c>
      <c r="H257" s="55" t="n">
        <v>1770</v>
      </c>
      <c r="I257" s="55" t="n">
        <v>1770</v>
      </c>
      <c r="J257" s="52" t="s">
        <v>5816</v>
      </c>
      <c r="K257" s="56" t="n">
        <v>1</v>
      </c>
      <c r="L257" s="52" t="s">
        <v>5816</v>
      </c>
      <c r="M257" s="52" t="s">
        <v>138</v>
      </c>
    </row>
    <row r="258" customFormat="false" ht="17.25" hidden="false" customHeight="true" outlineLevel="0" collapsed="false">
      <c r="A258" s="52" t="s">
        <v>5777</v>
      </c>
      <c r="B258" s="52" t="s">
        <v>5813</v>
      </c>
      <c r="C258" s="53" t="n">
        <v>385732</v>
      </c>
      <c r="D258" s="52" t="s">
        <v>703</v>
      </c>
      <c r="E258" s="52" t="s">
        <v>704</v>
      </c>
      <c r="F258" s="54" t="n">
        <v>10</v>
      </c>
      <c r="G258" s="55" t="n">
        <v>7074</v>
      </c>
      <c r="H258" s="55" t="n">
        <v>707.4</v>
      </c>
      <c r="I258" s="55" t="n">
        <v>707.4</v>
      </c>
      <c r="J258" s="52" t="s">
        <v>5846</v>
      </c>
      <c r="K258" s="56" t="n">
        <v>18</v>
      </c>
      <c r="L258" s="52" t="s">
        <v>5823</v>
      </c>
      <c r="M258" s="52" t="s">
        <v>705</v>
      </c>
    </row>
    <row r="259" customFormat="false" ht="17.25" hidden="false" customHeight="true" outlineLevel="0" collapsed="false">
      <c r="A259" s="52" t="s">
        <v>5777</v>
      </c>
      <c r="B259" s="52" t="s">
        <v>5813</v>
      </c>
      <c r="C259" s="53" t="n">
        <v>58648</v>
      </c>
      <c r="D259" s="52" t="s">
        <v>706</v>
      </c>
      <c r="E259" s="52" t="s">
        <v>707</v>
      </c>
      <c r="F259" s="54" t="n">
        <v>512</v>
      </c>
      <c r="G259" s="55" t="n">
        <v>7057.08</v>
      </c>
      <c r="H259" s="55" t="n">
        <v>13.7834</v>
      </c>
      <c r="I259" s="55" t="n">
        <v>13.8</v>
      </c>
      <c r="J259" s="52" t="s">
        <v>5816</v>
      </c>
      <c r="K259" s="56" t="n">
        <v>1</v>
      </c>
      <c r="L259" s="52" t="s">
        <v>5816</v>
      </c>
      <c r="M259" s="52" t="s">
        <v>230</v>
      </c>
    </row>
    <row r="260" customFormat="false" ht="17.25" hidden="false" customHeight="true" outlineLevel="0" collapsed="false">
      <c r="A260" s="52" t="s">
        <v>5777</v>
      </c>
      <c r="B260" s="52" t="s">
        <v>5813</v>
      </c>
      <c r="C260" s="53" t="n">
        <v>869838</v>
      </c>
      <c r="D260" s="52" t="s">
        <v>708</v>
      </c>
      <c r="E260" s="52" t="s">
        <v>709</v>
      </c>
      <c r="F260" s="54" t="n">
        <v>1</v>
      </c>
      <c r="G260" s="55" t="n">
        <v>6990</v>
      </c>
      <c r="H260" s="55" t="n">
        <v>6990</v>
      </c>
      <c r="I260" s="55" t="n">
        <v>6990</v>
      </c>
      <c r="J260" s="52" t="s">
        <v>5816</v>
      </c>
      <c r="K260" s="56" t="n">
        <v>1</v>
      </c>
      <c r="L260" s="52" t="s">
        <v>5816</v>
      </c>
      <c r="M260" s="52" t="s">
        <v>113</v>
      </c>
    </row>
    <row r="261" customFormat="false" ht="17.25" hidden="false" customHeight="true" outlineLevel="0" collapsed="false">
      <c r="A261" s="52" t="s">
        <v>5777</v>
      </c>
      <c r="B261" s="52" t="s">
        <v>5813</v>
      </c>
      <c r="C261" s="53" t="n">
        <v>961502</v>
      </c>
      <c r="D261" s="52" t="s">
        <v>712</v>
      </c>
      <c r="E261" s="52" t="s">
        <v>713</v>
      </c>
      <c r="F261" s="54" t="n">
        <v>34</v>
      </c>
      <c r="G261" s="55" t="n">
        <v>6961.16</v>
      </c>
      <c r="H261" s="55" t="n">
        <v>204.74</v>
      </c>
      <c r="I261" s="55" t="n">
        <v>204.74</v>
      </c>
      <c r="J261" s="52" t="s">
        <v>5816</v>
      </c>
      <c r="K261" s="56" t="n">
        <v>1</v>
      </c>
      <c r="L261" s="52" t="s">
        <v>5816</v>
      </c>
      <c r="M261" s="52" t="s">
        <v>38</v>
      </c>
    </row>
    <row r="262" customFormat="false" ht="17.25" hidden="false" customHeight="true" outlineLevel="0" collapsed="false">
      <c r="A262" s="52" t="s">
        <v>5777</v>
      </c>
      <c r="B262" s="52" t="s">
        <v>5813</v>
      </c>
      <c r="C262" s="53" t="n">
        <v>32904</v>
      </c>
      <c r="D262" s="52" t="s">
        <v>714</v>
      </c>
      <c r="E262" s="52" t="s">
        <v>715</v>
      </c>
      <c r="F262" s="54" t="n">
        <v>250</v>
      </c>
      <c r="G262" s="55" t="n">
        <v>6950</v>
      </c>
      <c r="H262" s="55" t="n">
        <v>27.8</v>
      </c>
      <c r="I262" s="55" t="n">
        <v>27.8</v>
      </c>
      <c r="J262" s="52" t="s">
        <v>5816</v>
      </c>
      <c r="K262" s="56" t="n">
        <v>1</v>
      </c>
      <c r="L262" s="52" t="s">
        <v>5816</v>
      </c>
      <c r="M262" s="52" t="s">
        <v>38</v>
      </c>
    </row>
    <row r="263" customFormat="false" ht="17.25" hidden="false" customHeight="true" outlineLevel="0" collapsed="false">
      <c r="A263" s="52" t="s">
        <v>5777</v>
      </c>
      <c r="B263" s="52" t="s">
        <v>5813</v>
      </c>
      <c r="C263" s="53" t="n">
        <v>742102</v>
      </c>
      <c r="D263" s="52" t="s">
        <v>718</v>
      </c>
      <c r="E263" s="52" t="s">
        <v>719</v>
      </c>
      <c r="F263" s="54" t="n">
        <v>1</v>
      </c>
      <c r="G263" s="55" t="n">
        <v>6890</v>
      </c>
      <c r="H263" s="55" t="n">
        <v>6890</v>
      </c>
      <c r="I263" s="55" t="n">
        <v>6890</v>
      </c>
      <c r="J263" s="52" t="s">
        <v>5816</v>
      </c>
      <c r="K263" s="56" t="n">
        <v>1</v>
      </c>
      <c r="L263" s="52" t="s">
        <v>5816</v>
      </c>
      <c r="M263" s="52" t="s">
        <v>130</v>
      </c>
    </row>
    <row r="264" customFormat="false" ht="17.25" hidden="false" customHeight="true" outlineLevel="0" collapsed="false">
      <c r="A264" s="52" t="s">
        <v>5777</v>
      </c>
      <c r="B264" s="52" t="s">
        <v>5813</v>
      </c>
      <c r="C264" s="53" t="n">
        <v>1609093</v>
      </c>
      <c r="D264" s="52" t="s">
        <v>723</v>
      </c>
      <c r="E264" s="52" t="s">
        <v>724</v>
      </c>
      <c r="F264" s="54" t="n">
        <v>10</v>
      </c>
      <c r="G264" s="55" t="n">
        <v>6882.6</v>
      </c>
      <c r="H264" s="55" t="n">
        <v>688.26</v>
      </c>
      <c r="I264" s="55" t="n">
        <v>688.26</v>
      </c>
      <c r="J264" s="52" t="s">
        <v>5816</v>
      </c>
      <c r="K264" s="56" t="n">
        <v>1</v>
      </c>
      <c r="L264" s="52" t="s">
        <v>5816</v>
      </c>
      <c r="M264" s="52" t="s">
        <v>170</v>
      </c>
    </row>
    <row r="265" customFormat="false" ht="17.25" hidden="false" customHeight="true" outlineLevel="0" collapsed="false">
      <c r="A265" s="52" t="s">
        <v>5777</v>
      </c>
      <c r="B265" s="52" t="s">
        <v>5813</v>
      </c>
      <c r="C265" s="53" t="n">
        <v>58185</v>
      </c>
      <c r="D265" s="52" t="s">
        <v>725</v>
      </c>
      <c r="E265" s="52" t="s">
        <v>726</v>
      </c>
      <c r="F265" s="54" t="n">
        <v>125</v>
      </c>
      <c r="G265" s="55" t="n">
        <v>6875</v>
      </c>
      <c r="H265" s="55" t="n">
        <v>55</v>
      </c>
      <c r="I265" s="55" t="n">
        <v>55</v>
      </c>
      <c r="J265" s="52" t="s">
        <v>5816</v>
      </c>
      <c r="K265" s="56" t="n">
        <v>1</v>
      </c>
      <c r="L265" s="52" t="s">
        <v>5816</v>
      </c>
      <c r="M265" s="52" t="s">
        <v>360</v>
      </c>
    </row>
    <row r="266" customFormat="false" ht="17.25" hidden="false" customHeight="true" outlineLevel="0" collapsed="false">
      <c r="A266" s="52" t="s">
        <v>5777</v>
      </c>
      <c r="B266" s="52" t="s">
        <v>5813</v>
      </c>
      <c r="C266" s="53" t="n">
        <v>12258</v>
      </c>
      <c r="D266" s="52" t="s">
        <v>727</v>
      </c>
      <c r="E266" s="52" t="s">
        <v>728</v>
      </c>
      <c r="F266" s="54" t="n">
        <v>200</v>
      </c>
      <c r="G266" s="55" t="n">
        <v>6874</v>
      </c>
      <c r="H266" s="55" t="n">
        <v>34.37</v>
      </c>
      <c r="I266" s="55" t="n">
        <v>34.37</v>
      </c>
      <c r="J266" s="52" t="s">
        <v>5814</v>
      </c>
      <c r="K266" s="56" t="n">
        <v>1</v>
      </c>
      <c r="L266" s="52" t="s">
        <v>5814</v>
      </c>
      <c r="M266" s="52" t="s">
        <v>38</v>
      </c>
    </row>
    <row r="267" customFormat="false" ht="17.25" hidden="false" customHeight="true" outlineLevel="0" collapsed="false">
      <c r="A267" s="52" t="s">
        <v>5777</v>
      </c>
      <c r="B267" s="52" t="s">
        <v>5813</v>
      </c>
      <c r="C267" s="53" t="n">
        <v>12259</v>
      </c>
      <c r="D267" s="52" t="s">
        <v>729</v>
      </c>
      <c r="E267" s="52" t="s">
        <v>730</v>
      </c>
      <c r="F267" s="54" t="n">
        <v>200</v>
      </c>
      <c r="G267" s="55" t="n">
        <v>6874</v>
      </c>
      <c r="H267" s="55" t="n">
        <v>34.37</v>
      </c>
      <c r="I267" s="55" t="n">
        <v>34.37</v>
      </c>
      <c r="J267" s="52" t="s">
        <v>5814</v>
      </c>
      <c r="K267" s="56" t="n">
        <v>1</v>
      </c>
      <c r="L267" s="52" t="s">
        <v>5814</v>
      </c>
      <c r="M267" s="52" t="s">
        <v>38</v>
      </c>
    </row>
    <row r="268" customFormat="false" ht="17.25" hidden="false" customHeight="true" outlineLevel="0" collapsed="false">
      <c r="A268" s="52" t="s">
        <v>5777</v>
      </c>
      <c r="B268" s="52" t="s">
        <v>5813</v>
      </c>
      <c r="C268" s="53" t="n">
        <v>12256</v>
      </c>
      <c r="D268" s="52" t="s">
        <v>731</v>
      </c>
      <c r="E268" s="52" t="s">
        <v>732</v>
      </c>
      <c r="F268" s="54" t="n">
        <v>200</v>
      </c>
      <c r="G268" s="55" t="n">
        <v>6873.1</v>
      </c>
      <c r="H268" s="55" t="n">
        <v>34.3655</v>
      </c>
      <c r="I268" s="55" t="n">
        <v>34.3655</v>
      </c>
      <c r="J268" s="52" t="s">
        <v>5814</v>
      </c>
      <c r="K268" s="56" t="n">
        <v>1</v>
      </c>
      <c r="L268" s="52" t="s">
        <v>5814</v>
      </c>
      <c r="M268" s="52" t="s">
        <v>38</v>
      </c>
    </row>
    <row r="269" customFormat="false" ht="17.25" hidden="false" customHeight="true" outlineLevel="0" collapsed="false">
      <c r="A269" s="52" t="s">
        <v>5777</v>
      </c>
      <c r="B269" s="52" t="s">
        <v>5813</v>
      </c>
      <c r="C269" s="53" t="n">
        <v>22827</v>
      </c>
      <c r="D269" s="52" t="s">
        <v>733</v>
      </c>
      <c r="E269" s="52" t="s">
        <v>734</v>
      </c>
      <c r="F269" s="54" t="n">
        <v>300</v>
      </c>
      <c r="G269" s="55" t="n">
        <v>6834</v>
      </c>
      <c r="H269" s="55" t="n">
        <v>22.78</v>
      </c>
      <c r="I269" s="55" t="n">
        <v>22.78</v>
      </c>
      <c r="J269" s="52" t="s">
        <v>5816</v>
      </c>
      <c r="K269" s="56" t="n">
        <v>1</v>
      </c>
      <c r="L269" s="52" t="s">
        <v>5816</v>
      </c>
      <c r="M269" s="52" t="s">
        <v>100</v>
      </c>
    </row>
    <row r="270" customFormat="false" ht="17.25" hidden="false" customHeight="true" outlineLevel="0" collapsed="false">
      <c r="A270" s="52" t="s">
        <v>5777</v>
      </c>
      <c r="B270" s="52" t="s">
        <v>5813</v>
      </c>
      <c r="C270" s="53" t="n">
        <v>59714</v>
      </c>
      <c r="D270" s="52" t="s">
        <v>735</v>
      </c>
      <c r="E270" s="52" t="s">
        <v>736</v>
      </c>
      <c r="F270" s="54" t="n">
        <v>2</v>
      </c>
      <c r="G270" s="55" t="n">
        <v>6800</v>
      </c>
      <c r="H270" s="55" t="n">
        <v>3400</v>
      </c>
      <c r="I270" s="55" t="n">
        <v>3400</v>
      </c>
      <c r="J270" s="52" t="s">
        <v>5824</v>
      </c>
      <c r="K270" s="56" t="n">
        <v>1</v>
      </c>
      <c r="L270" s="52" t="s">
        <v>5824</v>
      </c>
      <c r="M270" s="52" t="s">
        <v>355</v>
      </c>
    </row>
    <row r="271" customFormat="false" ht="17.25" hidden="false" customHeight="true" outlineLevel="0" collapsed="false">
      <c r="A271" s="52" t="s">
        <v>5777</v>
      </c>
      <c r="B271" s="52" t="s">
        <v>5813</v>
      </c>
      <c r="C271" s="53" t="n">
        <v>280105</v>
      </c>
      <c r="D271" s="52" t="s">
        <v>737</v>
      </c>
      <c r="E271" s="52" t="s">
        <v>738</v>
      </c>
      <c r="F271" s="54" t="n">
        <v>10</v>
      </c>
      <c r="G271" s="55" t="n">
        <v>6800</v>
      </c>
      <c r="H271" s="55" t="n">
        <v>680</v>
      </c>
      <c r="I271" s="55" t="n">
        <v>680</v>
      </c>
      <c r="J271" s="52" t="s">
        <v>5816</v>
      </c>
      <c r="K271" s="56" t="n">
        <v>1</v>
      </c>
      <c r="L271" s="52" t="s">
        <v>5816</v>
      </c>
      <c r="M271" s="52" t="s">
        <v>637</v>
      </c>
    </row>
    <row r="272" customFormat="false" ht="17.25" hidden="false" customHeight="true" outlineLevel="0" collapsed="false">
      <c r="A272" s="52" t="s">
        <v>5777</v>
      </c>
      <c r="B272" s="52" t="s">
        <v>5813</v>
      </c>
      <c r="C272" s="53" t="n">
        <v>19804</v>
      </c>
      <c r="D272" s="52" t="s">
        <v>739</v>
      </c>
      <c r="E272" s="52" t="s">
        <v>740</v>
      </c>
      <c r="F272" s="54" t="n">
        <v>288</v>
      </c>
      <c r="G272" s="55" t="n">
        <v>6782.4</v>
      </c>
      <c r="H272" s="55" t="n">
        <v>23.55</v>
      </c>
      <c r="I272" s="55" t="n">
        <v>23.55</v>
      </c>
      <c r="J272" s="52" t="s">
        <v>5816</v>
      </c>
      <c r="K272" s="56" t="n">
        <v>1</v>
      </c>
      <c r="L272" s="52" t="s">
        <v>5816</v>
      </c>
      <c r="M272" s="52" t="s">
        <v>605</v>
      </c>
    </row>
    <row r="273" customFormat="false" ht="17.25" hidden="false" customHeight="true" outlineLevel="0" collapsed="false">
      <c r="A273" s="52" t="s">
        <v>5777</v>
      </c>
      <c r="B273" s="52" t="s">
        <v>5813</v>
      </c>
      <c r="C273" s="53" t="n">
        <v>1319422</v>
      </c>
      <c r="D273" s="52" t="s">
        <v>741</v>
      </c>
      <c r="E273" s="52" t="s">
        <v>742</v>
      </c>
      <c r="F273" s="54" t="n">
        <v>63</v>
      </c>
      <c r="G273" s="55" t="n">
        <v>6766.83</v>
      </c>
      <c r="H273" s="55" t="n">
        <v>107.41</v>
      </c>
      <c r="I273" s="55" t="n">
        <v>107.41</v>
      </c>
      <c r="J273" s="52" t="s">
        <v>5816</v>
      </c>
      <c r="K273" s="56" t="n">
        <v>1</v>
      </c>
      <c r="L273" s="52" t="s">
        <v>5816</v>
      </c>
      <c r="M273" s="52" t="s">
        <v>217</v>
      </c>
    </row>
    <row r="274" customFormat="false" ht="17.25" hidden="false" customHeight="true" outlineLevel="0" collapsed="false">
      <c r="A274" s="52" t="s">
        <v>5777</v>
      </c>
      <c r="B274" s="52" t="s">
        <v>5813</v>
      </c>
      <c r="C274" s="53" t="n">
        <v>33202</v>
      </c>
      <c r="D274" s="52" t="s">
        <v>743</v>
      </c>
      <c r="E274" s="52" t="s">
        <v>744</v>
      </c>
      <c r="F274" s="54" t="n">
        <v>3</v>
      </c>
      <c r="G274" s="55" t="n">
        <v>6750</v>
      </c>
      <c r="H274" s="55" t="n">
        <v>2250</v>
      </c>
      <c r="I274" s="55" t="n">
        <v>2250</v>
      </c>
      <c r="J274" s="52" t="s">
        <v>5816</v>
      </c>
      <c r="K274" s="56" t="n">
        <v>1</v>
      </c>
      <c r="L274" s="52" t="s">
        <v>5816</v>
      </c>
      <c r="M274" s="52" t="s">
        <v>189</v>
      </c>
    </row>
    <row r="275" customFormat="false" ht="17.25" hidden="false" customHeight="true" outlineLevel="0" collapsed="false">
      <c r="A275" s="52" t="s">
        <v>5777</v>
      </c>
      <c r="B275" s="52" t="s">
        <v>5813</v>
      </c>
      <c r="C275" s="53" t="n">
        <v>137261</v>
      </c>
      <c r="D275" s="52" t="s">
        <v>745</v>
      </c>
      <c r="E275" s="52" t="s">
        <v>746</v>
      </c>
      <c r="F275" s="54" t="n">
        <v>60</v>
      </c>
      <c r="G275" s="55" t="n">
        <v>6703.5</v>
      </c>
      <c r="H275" s="55" t="n">
        <v>111.725</v>
      </c>
      <c r="I275" s="55" t="n">
        <v>119.7</v>
      </c>
      <c r="J275" s="52" t="s">
        <v>5816</v>
      </c>
      <c r="K275" s="56" t="n">
        <v>1</v>
      </c>
      <c r="L275" s="52" t="s">
        <v>5816</v>
      </c>
      <c r="M275" s="52" t="s">
        <v>35</v>
      </c>
    </row>
    <row r="276" customFormat="false" ht="17.25" hidden="false" customHeight="true" outlineLevel="0" collapsed="false">
      <c r="A276" s="52" t="s">
        <v>5777</v>
      </c>
      <c r="B276" s="52" t="s">
        <v>5813</v>
      </c>
      <c r="C276" s="53" t="n">
        <v>1461829</v>
      </c>
      <c r="D276" s="52" t="s">
        <v>747</v>
      </c>
      <c r="E276" s="52" t="s">
        <v>748</v>
      </c>
      <c r="F276" s="54" t="n">
        <v>25</v>
      </c>
      <c r="G276" s="55" t="n">
        <v>6700</v>
      </c>
      <c r="H276" s="55" t="n">
        <v>268</v>
      </c>
      <c r="I276" s="55" t="n">
        <v>268</v>
      </c>
      <c r="J276" s="52" t="s">
        <v>5816</v>
      </c>
      <c r="K276" s="56" t="n">
        <v>1</v>
      </c>
      <c r="L276" s="52" t="s">
        <v>5816</v>
      </c>
      <c r="M276" s="52" t="s">
        <v>355</v>
      </c>
    </row>
    <row r="277" customFormat="false" ht="17.25" hidden="false" customHeight="true" outlineLevel="0" collapsed="false">
      <c r="A277" s="52" t="s">
        <v>5777</v>
      </c>
      <c r="B277" s="52" t="s">
        <v>5813</v>
      </c>
      <c r="C277" s="53" t="n">
        <v>728577</v>
      </c>
      <c r="D277" s="52" t="s">
        <v>749</v>
      </c>
      <c r="E277" s="52" t="s">
        <v>750</v>
      </c>
      <c r="F277" s="54" t="n">
        <v>101</v>
      </c>
      <c r="G277" s="55" t="n">
        <v>6668</v>
      </c>
      <c r="H277" s="55" t="n">
        <v>66.0198</v>
      </c>
      <c r="I277" s="55" t="n">
        <v>28</v>
      </c>
      <c r="J277" s="52" t="s">
        <v>5843</v>
      </c>
      <c r="K277" s="56" t="n">
        <v>1</v>
      </c>
      <c r="L277" s="52" t="s">
        <v>5816</v>
      </c>
      <c r="M277" s="52" t="s">
        <v>38</v>
      </c>
    </row>
    <row r="278" customFormat="false" ht="17.25" hidden="false" customHeight="true" outlineLevel="0" collapsed="false">
      <c r="A278" s="52" t="s">
        <v>5777</v>
      </c>
      <c r="B278" s="52" t="s">
        <v>5813</v>
      </c>
      <c r="C278" s="53" t="n">
        <v>59087</v>
      </c>
      <c r="D278" s="52" t="s">
        <v>751</v>
      </c>
      <c r="E278" s="52" t="s">
        <v>752</v>
      </c>
      <c r="F278" s="54" t="n">
        <v>4</v>
      </c>
      <c r="G278" s="55" t="n">
        <v>6640</v>
      </c>
      <c r="H278" s="55" t="n">
        <v>1660</v>
      </c>
      <c r="I278" s="55" t="n">
        <v>2090</v>
      </c>
      <c r="J278" s="52" t="s">
        <v>5816</v>
      </c>
      <c r="K278" s="56" t="n">
        <v>1</v>
      </c>
      <c r="L278" s="52" t="s">
        <v>5816</v>
      </c>
      <c r="M278" s="52" t="s">
        <v>35</v>
      </c>
    </row>
    <row r="279" customFormat="false" ht="17.25" hidden="false" customHeight="true" outlineLevel="0" collapsed="false">
      <c r="A279" s="52" t="s">
        <v>5777</v>
      </c>
      <c r="B279" s="52" t="s">
        <v>5813</v>
      </c>
      <c r="C279" s="53" t="n">
        <v>139439</v>
      </c>
      <c r="D279" s="52" t="s">
        <v>753</v>
      </c>
      <c r="E279" s="52" t="s">
        <v>754</v>
      </c>
      <c r="F279" s="54" t="n">
        <v>109.12</v>
      </c>
      <c r="G279" s="55" t="n">
        <v>6547.2</v>
      </c>
      <c r="H279" s="55" t="n">
        <v>60</v>
      </c>
      <c r="I279" s="55" t="n">
        <v>60</v>
      </c>
      <c r="J279" s="52" t="s">
        <v>5824</v>
      </c>
      <c r="K279" s="56" t="n">
        <v>1</v>
      </c>
      <c r="L279" s="52" t="s">
        <v>5824</v>
      </c>
      <c r="M279" s="52" t="s">
        <v>494</v>
      </c>
    </row>
    <row r="280" customFormat="false" ht="17.25" hidden="false" customHeight="true" outlineLevel="0" collapsed="false">
      <c r="A280" s="52" t="s">
        <v>5777</v>
      </c>
      <c r="B280" s="52" t="s">
        <v>5813</v>
      </c>
      <c r="C280" s="53" t="n">
        <v>1178324</v>
      </c>
      <c r="D280" s="52" t="s">
        <v>755</v>
      </c>
      <c r="E280" s="52" t="s">
        <v>756</v>
      </c>
      <c r="F280" s="54" t="n">
        <v>1</v>
      </c>
      <c r="G280" s="55" t="n">
        <v>6518</v>
      </c>
      <c r="H280" s="55" t="n">
        <v>6518</v>
      </c>
      <c r="I280" s="55" t="n">
        <v>6518</v>
      </c>
      <c r="J280" s="52" t="s">
        <v>5816</v>
      </c>
      <c r="K280" s="56" t="n">
        <v>1</v>
      </c>
      <c r="L280" s="52" t="s">
        <v>5816</v>
      </c>
      <c r="M280" s="52" t="s">
        <v>113</v>
      </c>
    </row>
    <row r="281" customFormat="false" ht="17.25" hidden="false" customHeight="true" outlineLevel="0" collapsed="false">
      <c r="A281" s="52" t="s">
        <v>5777</v>
      </c>
      <c r="B281" s="52" t="s">
        <v>5813</v>
      </c>
      <c r="C281" s="53" t="n">
        <v>34712</v>
      </c>
      <c r="D281" s="52" t="s">
        <v>757</v>
      </c>
      <c r="E281" s="52" t="s">
        <v>758</v>
      </c>
      <c r="F281" s="54" t="n">
        <v>220</v>
      </c>
      <c r="G281" s="55" t="n">
        <v>6504</v>
      </c>
      <c r="H281" s="55" t="n">
        <v>29.5636</v>
      </c>
      <c r="I281" s="55" t="n">
        <v>119.7</v>
      </c>
      <c r="J281" s="52" t="s">
        <v>5816</v>
      </c>
      <c r="K281" s="56" t="n">
        <v>1</v>
      </c>
      <c r="L281" s="52" t="s">
        <v>5816</v>
      </c>
      <c r="M281" s="52" t="s">
        <v>35</v>
      </c>
    </row>
    <row r="282" customFormat="false" ht="17.25" hidden="false" customHeight="true" outlineLevel="0" collapsed="false">
      <c r="A282" s="52" t="s">
        <v>5777</v>
      </c>
      <c r="B282" s="52" t="s">
        <v>5813</v>
      </c>
      <c r="C282" s="53" t="n">
        <v>1010580</v>
      </c>
      <c r="D282" s="52" t="s">
        <v>759</v>
      </c>
      <c r="E282" s="52" t="s">
        <v>760</v>
      </c>
      <c r="F282" s="54" t="n">
        <v>10</v>
      </c>
      <c r="G282" s="55" t="n">
        <v>6500</v>
      </c>
      <c r="H282" s="55" t="n">
        <v>650</v>
      </c>
      <c r="I282" s="55" t="n">
        <v>650</v>
      </c>
      <c r="J282" s="52" t="s">
        <v>5816</v>
      </c>
      <c r="K282" s="56" t="n">
        <v>1</v>
      </c>
      <c r="L282" s="52" t="s">
        <v>5816</v>
      </c>
      <c r="M282" s="52" t="s">
        <v>230</v>
      </c>
    </row>
    <row r="283" customFormat="false" ht="17.25" hidden="false" customHeight="true" outlineLevel="0" collapsed="false">
      <c r="A283" s="52" t="s">
        <v>5777</v>
      </c>
      <c r="B283" s="52" t="s">
        <v>5813</v>
      </c>
      <c r="C283" s="53" t="n">
        <v>1387995</v>
      </c>
      <c r="D283" s="52" t="s">
        <v>761</v>
      </c>
      <c r="E283" s="52" t="s">
        <v>762</v>
      </c>
      <c r="F283" s="54" t="n">
        <v>175</v>
      </c>
      <c r="G283" s="55" t="n">
        <v>6453.52</v>
      </c>
      <c r="H283" s="55" t="n">
        <v>36.8773</v>
      </c>
      <c r="I283" s="55" t="n">
        <v>27.56</v>
      </c>
      <c r="J283" s="52" t="s">
        <v>5816</v>
      </c>
      <c r="K283" s="56" t="n">
        <v>1</v>
      </c>
      <c r="L283" s="52" t="s">
        <v>5816</v>
      </c>
      <c r="M283" s="52" t="s">
        <v>38</v>
      </c>
    </row>
    <row r="284" customFormat="false" ht="17.25" hidden="false" customHeight="true" outlineLevel="0" collapsed="false">
      <c r="A284" s="52" t="s">
        <v>5777</v>
      </c>
      <c r="B284" s="52" t="s">
        <v>5813</v>
      </c>
      <c r="C284" s="53" t="n">
        <v>22615</v>
      </c>
      <c r="D284" s="52" t="s">
        <v>763</v>
      </c>
      <c r="E284" s="52" t="s">
        <v>764</v>
      </c>
      <c r="F284" s="54" t="n">
        <v>5</v>
      </c>
      <c r="G284" s="55" t="n">
        <v>6400</v>
      </c>
      <c r="H284" s="55" t="n">
        <v>1280</v>
      </c>
      <c r="I284" s="55" t="n">
        <v>950</v>
      </c>
      <c r="J284" s="52" t="s">
        <v>5816</v>
      </c>
      <c r="K284" s="56" t="n">
        <v>1</v>
      </c>
      <c r="L284" s="52" t="s">
        <v>5816</v>
      </c>
      <c r="M284" s="52" t="s">
        <v>170</v>
      </c>
    </row>
    <row r="285" customFormat="false" ht="17.25" hidden="false" customHeight="true" outlineLevel="0" collapsed="false">
      <c r="A285" s="52" t="s">
        <v>5777</v>
      </c>
      <c r="B285" s="52" t="s">
        <v>5813</v>
      </c>
      <c r="C285" s="53" t="n">
        <v>273865</v>
      </c>
      <c r="D285" s="52" t="s">
        <v>767</v>
      </c>
      <c r="E285" s="52" t="s">
        <v>768</v>
      </c>
      <c r="F285" s="54" t="n">
        <v>197</v>
      </c>
      <c r="G285" s="55" t="n">
        <v>6382.5</v>
      </c>
      <c r="H285" s="55" t="n">
        <v>32.3985</v>
      </c>
      <c r="I285" s="55" t="n">
        <v>31.74</v>
      </c>
      <c r="J285" s="52" t="s">
        <v>5816</v>
      </c>
      <c r="K285" s="56" t="n">
        <v>1</v>
      </c>
      <c r="L285" s="52" t="s">
        <v>5816</v>
      </c>
      <c r="M285" s="52" t="s">
        <v>247</v>
      </c>
    </row>
    <row r="286" customFormat="false" ht="17.25" hidden="false" customHeight="true" outlineLevel="0" collapsed="false">
      <c r="A286" s="52" t="s">
        <v>5777</v>
      </c>
      <c r="B286" s="52" t="s">
        <v>5813</v>
      </c>
      <c r="C286" s="53" t="n">
        <v>831922</v>
      </c>
      <c r="D286" s="52" t="s">
        <v>769</v>
      </c>
      <c r="E286" s="52" t="s">
        <v>770</v>
      </c>
      <c r="F286" s="54" t="n">
        <v>64</v>
      </c>
      <c r="G286" s="55" t="n">
        <v>6335.76</v>
      </c>
      <c r="H286" s="55" t="n">
        <v>98.9963</v>
      </c>
      <c r="I286" s="55" t="n">
        <v>54</v>
      </c>
      <c r="J286" s="52" t="s">
        <v>5816</v>
      </c>
      <c r="K286" s="56" t="n">
        <v>1</v>
      </c>
      <c r="L286" s="52" t="s">
        <v>5816</v>
      </c>
      <c r="M286" s="52" t="s">
        <v>247</v>
      </c>
    </row>
    <row r="287" customFormat="false" ht="17.25" hidden="false" customHeight="true" outlineLevel="0" collapsed="false">
      <c r="A287" s="52" t="s">
        <v>5777</v>
      </c>
      <c r="B287" s="52" t="s">
        <v>5813</v>
      </c>
      <c r="C287" s="53" t="n">
        <v>1674628</v>
      </c>
      <c r="D287" s="52" t="s">
        <v>771</v>
      </c>
      <c r="E287" s="52" t="s">
        <v>772</v>
      </c>
      <c r="F287" s="54" t="n">
        <v>103</v>
      </c>
      <c r="G287" s="55" t="n">
        <v>6285.74</v>
      </c>
      <c r="H287" s="55" t="n">
        <v>61.0266</v>
      </c>
      <c r="I287" s="55" t="n">
        <v>61.0266</v>
      </c>
      <c r="J287" s="52" t="s">
        <v>5815</v>
      </c>
      <c r="K287" s="56" t="n">
        <v>1</v>
      </c>
      <c r="L287" s="52" t="s">
        <v>5815</v>
      </c>
      <c r="M287" s="52" t="s">
        <v>773</v>
      </c>
    </row>
    <row r="288" customFormat="false" ht="17.25" hidden="false" customHeight="true" outlineLevel="0" collapsed="false">
      <c r="A288" s="52" t="s">
        <v>5777</v>
      </c>
      <c r="B288" s="52" t="s">
        <v>5813</v>
      </c>
      <c r="C288" s="53" t="n">
        <v>1258632</v>
      </c>
      <c r="D288" s="52" t="s">
        <v>774</v>
      </c>
      <c r="E288" s="52" t="s">
        <v>775</v>
      </c>
      <c r="F288" s="54" t="n">
        <v>10</v>
      </c>
      <c r="G288" s="55" t="n">
        <v>6281.48</v>
      </c>
      <c r="H288" s="55" t="n">
        <v>628.148</v>
      </c>
      <c r="I288" s="55" t="n">
        <v>628.148</v>
      </c>
      <c r="J288" s="52" t="s">
        <v>5816</v>
      </c>
      <c r="K288" s="56" t="n">
        <v>1</v>
      </c>
      <c r="L288" s="52" t="s">
        <v>5816</v>
      </c>
      <c r="M288" s="52" t="s">
        <v>247</v>
      </c>
    </row>
    <row r="289" customFormat="false" ht="17.25" hidden="false" customHeight="true" outlineLevel="0" collapsed="false">
      <c r="A289" s="52" t="s">
        <v>5777</v>
      </c>
      <c r="B289" s="52" t="s">
        <v>5813</v>
      </c>
      <c r="C289" s="53" t="n">
        <v>1475274</v>
      </c>
      <c r="D289" s="52" t="s">
        <v>776</v>
      </c>
      <c r="E289" s="52" t="s">
        <v>777</v>
      </c>
      <c r="F289" s="54" t="n">
        <v>232</v>
      </c>
      <c r="G289" s="55" t="n">
        <v>6270.76</v>
      </c>
      <c r="H289" s="55" t="n">
        <v>27.0291</v>
      </c>
      <c r="I289" s="55" t="n">
        <v>28.69</v>
      </c>
      <c r="J289" s="52" t="s">
        <v>5816</v>
      </c>
      <c r="K289" s="56" t="n">
        <v>1</v>
      </c>
      <c r="L289" s="52" t="s">
        <v>5816</v>
      </c>
      <c r="M289" s="52" t="s">
        <v>38</v>
      </c>
    </row>
    <row r="290" customFormat="false" ht="17.25" hidden="false" customHeight="true" outlineLevel="0" collapsed="false">
      <c r="A290" s="52" t="s">
        <v>5777</v>
      </c>
      <c r="B290" s="52" t="s">
        <v>5813</v>
      </c>
      <c r="C290" s="53" t="n">
        <v>1485390</v>
      </c>
      <c r="D290" s="52" t="s">
        <v>778</v>
      </c>
      <c r="E290" s="57" t="s">
        <v>5847</v>
      </c>
      <c r="F290" s="54" t="n">
        <v>230</v>
      </c>
      <c r="G290" s="55" t="n">
        <v>6266.12</v>
      </c>
      <c r="H290" s="55" t="n">
        <v>27.244</v>
      </c>
      <c r="I290" s="55" t="n">
        <v>10.051</v>
      </c>
      <c r="J290" s="52" t="s">
        <v>5816</v>
      </c>
      <c r="K290" s="56" t="n">
        <v>1</v>
      </c>
      <c r="L290" s="52" t="s">
        <v>5816</v>
      </c>
      <c r="M290" s="52" t="s">
        <v>100</v>
      </c>
    </row>
    <row r="291" customFormat="false" ht="17.25" hidden="false" customHeight="true" outlineLevel="0" collapsed="false">
      <c r="A291" s="52" t="s">
        <v>5777</v>
      </c>
      <c r="B291" s="52" t="s">
        <v>5813</v>
      </c>
      <c r="C291" s="53" t="n">
        <v>1469148</v>
      </c>
      <c r="D291" s="52" t="s">
        <v>780</v>
      </c>
      <c r="E291" s="52" t="s">
        <v>781</v>
      </c>
      <c r="F291" s="54" t="n">
        <v>350</v>
      </c>
      <c r="G291" s="55" t="n">
        <v>6237</v>
      </c>
      <c r="H291" s="55" t="n">
        <v>17.82</v>
      </c>
      <c r="I291" s="55" t="n">
        <v>17.82</v>
      </c>
      <c r="J291" s="52" t="s">
        <v>5822</v>
      </c>
      <c r="K291" s="56" t="n">
        <v>1</v>
      </c>
      <c r="L291" s="52" t="s">
        <v>5822</v>
      </c>
      <c r="M291" s="52" t="s">
        <v>47</v>
      </c>
    </row>
    <row r="292" customFormat="false" ht="17.25" hidden="false" customHeight="true" outlineLevel="0" collapsed="false">
      <c r="A292" s="52" t="s">
        <v>5777</v>
      </c>
      <c r="B292" s="52" t="s">
        <v>5813</v>
      </c>
      <c r="C292" s="53" t="n">
        <v>1384217</v>
      </c>
      <c r="D292" s="52" t="s">
        <v>782</v>
      </c>
      <c r="E292" s="52" t="s">
        <v>783</v>
      </c>
      <c r="F292" s="54" t="n">
        <v>1</v>
      </c>
      <c r="G292" s="55" t="n">
        <v>6200</v>
      </c>
      <c r="H292" s="55" t="n">
        <v>6200</v>
      </c>
      <c r="I292" s="55" t="n">
        <v>6200</v>
      </c>
      <c r="J292" s="52" t="s">
        <v>5816</v>
      </c>
      <c r="K292" s="56" t="n">
        <v>1</v>
      </c>
      <c r="L292" s="52" t="s">
        <v>5816</v>
      </c>
      <c r="M292" s="52" t="s">
        <v>38</v>
      </c>
    </row>
    <row r="293" customFormat="false" ht="17.25" hidden="false" customHeight="true" outlineLevel="0" collapsed="false">
      <c r="A293" s="52" t="s">
        <v>5777</v>
      </c>
      <c r="B293" s="52" t="s">
        <v>5813</v>
      </c>
      <c r="C293" s="53" t="n">
        <v>49601</v>
      </c>
      <c r="D293" s="52" t="s">
        <v>784</v>
      </c>
      <c r="E293" s="52" t="s">
        <v>785</v>
      </c>
      <c r="F293" s="54" t="n">
        <v>62</v>
      </c>
      <c r="G293" s="55" t="n">
        <v>6187.6</v>
      </c>
      <c r="H293" s="55" t="n">
        <v>99.8</v>
      </c>
      <c r="I293" s="55" t="n">
        <v>99.8</v>
      </c>
      <c r="J293" s="52" t="s">
        <v>5816</v>
      </c>
      <c r="K293" s="56" t="n">
        <v>1</v>
      </c>
      <c r="L293" s="52" t="s">
        <v>5816</v>
      </c>
      <c r="M293" s="52" t="s">
        <v>457</v>
      </c>
    </row>
    <row r="294" customFormat="false" ht="17.25" hidden="false" customHeight="true" outlineLevel="0" collapsed="false">
      <c r="A294" s="52" t="s">
        <v>5777</v>
      </c>
      <c r="B294" s="52" t="s">
        <v>5813</v>
      </c>
      <c r="C294" s="53" t="n">
        <v>1101342</v>
      </c>
      <c r="D294" s="52" t="s">
        <v>786</v>
      </c>
      <c r="E294" s="52" t="s">
        <v>5848</v>
      </c>
      <c r="F294" s="54" t="n">
        <v>172.8</v>
      </c>
      <c r="G294" s="55" t="n">
        <v>6181.2</v>
      </c>
      <c r="H294" s="55" t="n">
        <v>35.7708</v>
      </c>
      <c r="I294" s="55" t="n">
        <v>35.7708</v>
      </c>
      <c r="J294" s="52" t="s">
        <v>5815</v>
      </c>
      <c r="K294" s="56" t="n">
        <v>1</v>
      </c>
      <c r="L294" s="52" t="s">
        <v>5815</v>
      </c>
      <c r="M294" s="52" t="s">
        <v>788</v>
      </c>
    </row>
    <row r="295" customFormat="false" ht="17.25" hidden="false" customHeight="true" outlineLevel="0" collapsed="false">
      <c r="A295" s="52" t="s">
        <v>5777</v>
      </c>
      <c r="B295" s="52" t="s">
        <v>5813</v>
      </c>
      <c r="C295" s="53" t="n">
        <v>1261245</v>
      </c>
      <c r="D295" s="52" t="s">
        <v>791</v>
      </c>
      <c r="E295" s="52" t="s">
        <v>792</v>
      </c>
      <c r="F295" s="54" t="n">
        <v>7</v>
      </c>
      <c r="G295" s="55" t="n">
        <v>6094.55</v>
      </c>
      <c r="H295" s="55" t="n">
        <v>870.65</v>
      </c>
      <c r="I295" s="55" t="n">
        <v>870.65</v>
      </c>
      <c r="J295" s="52" t="s">
        <v>5816</v>
      </c>
      <c r="K295" s="56" t="n">
        <v>1</v>
      </c>
      <c r="L295" s="52" t="s">
        <v>5816</v>
      </c>
      <c r="M295" s="52" t="s">
        <v>54</v>
      </c>
    </row>
    <row r="296" customFormat="false" ht="17.25" hidden="false" customHeight="true" outlineLevel="0" collapsed="false">
      <c r="A296" s="52" t="s">
        <v>5777</v>
      </c>
      <c r="B296" s="52" t="s">
        <v>5813</v>
      </c>
      <c r="C296" s="53" t="n">
        <v>11034</v>
      </c>
      <c r="D296" s="52" t="s">
        <v>793</v>
      </c>
      <c r="E296" s="52" t="s">
        <v>794</v>
      </c>
      <c r="F296" s="54" t="n">
        <v>300</v>
      </c>
      <c r="G296" s="55" t="n">
        <v>5994</v>
      </c>
      <c r="H296" s="55" t="n">
        <v>19.98</v>
      </c>
      <c r="I296" s="55" t="n">
        <v>19.98</v>
      </c>
      <c r="J296" s="52" t="s">
        <v>5814</v>
      </c>
      <c r="K296" s="56" t="n">
        <v>1</v>
      </c>
      <c r="L296" s="52" t="s">
        <v>5814</v>
      </c>
      <c r="M296" s="52" t="s">
        <v>355</v>
      </c>
    </row>
    <row r="297" customFormat="false" ht="17.25" hidden="false" customHeight="true" outlineLevel="0" collapsed="false">
      <c r="A297" s="52" t="s">
        <v>5777</v>
      </c>
      <c r="B297" s="52" t="s">
        <v>5813</v>
      </c>
      <c r="C297" s="53" t="n">
        <v>1614919</v>
      </c>
      <c r="D297" s="52" t="s">
        <v>795</v>
      </c>
      <c r="E297" s="52" t="s">
        <v>796</v>
      </c>
      <c r="F297" s="54" t="n">
        <v>2</v>
      </c>
      <c r="G297" s="55" t="n">
        <v>5978</v>
      </c>
      <c r="H297" s="55" t="n">
        <v>2989</v>
      </c>
      <c r="I297" s="55" t="n">
        <v>2989</v>
      </c>
      <c r="J297" s="52" t="s">
        <v>5816</v>
      </c>
      <c r="K297" s="56" t="n">
        <v>1</v>
      </c>
      <c r="L297" s="52" t="s">
        <v>5816</v>
      </c>
      <c r="M297" s="52" t="s">
        <v>38</v>
      </c>
    </row>
    <row r="298" customFormat="false" ht="17.25" hidden="false" customHeight="true" outlineLevel="0" collapsed="false">
      <c r="A298" s="52" t="s">
        <v>5777</v>
      </c>
      <c r="B298" s="52" t="s">
        <v>5813</v>
      </c>
      <c r="C298" s="53" t="n">
        <v>58870</v>
      </c>
      <c r="D298" s="52" t="s">
        <v>797</v>
      </c>
      <c r="E298" s="52" t="s">
        <v>798</v>
      </c>
      <c r="F298" s="54" t="n">
        <v>2</v>
      </c>
      <c r="G298" s="55" t="n">
        <v>5960</v>
      </c>
      <c r="H298" s="55" t="n">
        <v>2980</v>
      </c>
      <c r="I298" s="55" t="n">
        <v>2980</v>
      </c>
      <c r="J298" s="52" t="s">
        <v>5816</v>
      </c>
      <c r="K298" s="56" t="n">
        <v>1</v>
      </c>
      <c r="L298" s="52" t="s">
        <v>5816</v>
      </c>
      <c r="M298" s="52" t="s">
        <v>130</v>
      </c>
    </row>
    <row r="299" customFormat="false" ht="17.25" hidden="false" customHeight="true" outlineLevel="0" collapsed="false">
      <c r="A299" s="52" t="s">
        <v>5777</v>
      </c>
      <c r="B299" s="52" t="s">
        <v>5813</v>
      </c>
      <c r="C299" s="53" t="n">
        <v>12610</v>
      </c>
      <c r="D299" s="52" t="s">
        <v>799</v>
      </c>
      <c r="E299" s="52" t="s">
        <v>800</v>
      </c>
      <c r="F299" s="54" t="n">
        <v>21</v>
      </c>
      <c r="G299" s="55" t="n">
        <v>5959.38</v>
      </c>
      <c r="H299" s="55" t="n">
        <v>283.78</v>
      </c>
      <c r="I299" s="55" t="n">
        <v>283.78</v>
      </c>
      <c r="J299" s="52" t="s">
        <v>5816</v>
      </c>
      <c r="K299" s="56" t="n">
        <v>1</v>
      </c>
      <c r="L299" s="52" t="s">
        <v>5816</v>
      </c>
      <c r="M299" s="52" t="s">
        <v>38</v>
      </c>
    </row>
    <row r="300" customFormat="false" ht="17.25" hidden="false" customHeight="true" outlineLevel="0" collapsed="false">
      <c r="A300" s="52" t="s">
        <v>5777</v>
      </c>
      <c r="B300" s="52" t="s">
        <v>5813</v>
      </c>
      <c r="C300" s="53" t="n">
        <v>1672548</v>
      </c>
      <c r="D300" s="52" t="s">
        <v>801</v>
      </c>
      <c r="E300" s="52" t="s">
        <v>802</v>
      </c>
      <c r="F300" s="54" t="n">
        <v>94</v>
      </c>
      <c r="G300" s="55" t="n">
        <v>5947.38</v>
      </c>
      <c r="H300" s="55" t="n">
        <v>63.27</v>
      </c>
      <c r="I300" s="55" t="n">
        <v>63.27</v>
      </c>
      <c r="J300" s="52" t="s">
        <v>5816</v>
      </c>
      <c r="K300" s="56" t="n">
        <v>1</v>
      </c>
      <c r="L300" s="52" t="s">
        <v>5816</v>
      </c>
      <c r="M300" s="52" t="s">
        <v>66</v>
      </c>
    </row>
    <row r="301" customFormat="false" ht="17.25" hidden="false" customHeight="true" outlineLevel="0" collapsed="false">
      <c r="A301" s="52" t="s">
        <v>5777</v>
      </c>
      <c r="B301" s="52" t="s">
        <v>5813</v>
      </c>
      <c r="C301" s="53" t="n">
        <v>843588</v>
      </c>
      <c r="D301" s="52" t="s">
        <v>803</v>
      </c>
      <c r="E301" s="52" t="s">
        <v>804</v>
      </c>
      <c r="F301" s="54" t="n">
        <v>18</v>
      </c>
      <c r="G301" s="55" t="n">
        <v>5940</v>
      </c>
      <c r="H301" s="55" t="n">
        <v>330</v>
      </c>
      <c r="I301" s="55" t="n">
        <v>330</v>
      </c>
      <c r="J301" s="52" t="s">
        <v>5816</v>
      </c>
      <c r="K301" s="56" t="n">
        <v>1</v>
      </c>
      <c r="L301" s="52" t="s">
        <v>5816</v>
      </c>
      <c r="M301" s="52" t="s">
        <v>195</v>
      </c>
    </row>
    <row r="302" customFormat="false" ht="17.25" hidden="false" customHeight="true" outlineLevel="0" collapsed="false">
      <c r="A302" s="52" t="s">
        <v>5777</v>
      </c>
      <c r="B302" s="52" t="s">
        <v>5813</v>
      </c>
      <c r="C302" s="53" t="n">
        <v>1384385</v>
      </c>
      <c r="D302" s="52" t="s">
        <v>807</v>
      </c>
      <c r="E302" s="52" t="s">
        <v>808</v>
      </c>
      <c r="F302" s="54" t="n">
        <v>48</v>
      </c>
      <c r="G302" s="55" t="n">
        <v>5900.0425</v>
      </c>
      <c r="H302" s="55" t="n">
        <v>122.9175</v>
      </c>
      <c r="I302" s="55" t="n">
        <v>118.4</v>
      </c>
      <c r="J302" s="52" t="s">
        <v>5816</v>
      </c>
      <c r="K302" s="56" t="n">
        <v>1</v>
      </c>
      <c r="L302" s="52" t="s">
        <v>5816</v>
      </c>
      <c r="M302" s="52" t="s">
        <v>38</v>
      </c>
    </row>
    <row r="303" customFormat="false" ht="17.25" hidden="false" customHeight="true" outlineLevel="0" collapsed="false">
      <c r="A303" s="52" t="s">
        <v>5777</v>
      </c>
      <c r="B303" s="52" t="s">
        <v>5813</v>
      </c>
      <c r="C303" s="53" t="n">
        <v>18855</v>
      </c>
      <c r="D303" s="52" t="s">
        <v>809</v>
      </c>
      <c r="E303" s="52" t="s">
        <v>810</v>
      </c>
      <c r="F303" s="54" t="n">
        <v>1800</v>
      </c>
      <c r="G303" s="55" t="n">
        <v>5900.0268</v>
      </c>
      <c r="H303" s="55" t="n">
        <v>3.2778</v>
      </c>
      <c r="I303" s="55" t="n">
        <v>3.3212</v>
      </c>
      <c r="J303" s="52" t="s">
        <v>5816</v>
      </c>
      <c r="K303" s="56" t="n">
        <v>1</v>
      </c>
      <c r="L303" s="52" t="s">
        <v>5816</v>
      </c>
      <c r="M303" s="52" t="s">
        <v>247</v>
      </c>
    </row>
    <row r="304" customFormat="false" ht="17.25" hidden="false" customHeight="true" outlineLevel="0" collapsed="false">
      <c r="A304" s="52" t="s">
        <v>5777</v>
      </c>
      <c r="B304" s="52" t="s">
        <v>5813</v>
      </c>
      <c r="C304" s="53" t="n">
        <v>389626</v>
      </c>
      <c r="D304" s="52" t="s">
        <v>811</v>
      </c>
      <c r="E304" s="52" t="s">
        <v>812</v>
      </c>
      <c r="F304" s="54" t="n">
        <v>6</v>
      </c>
      <c r="G304" s="55" t="n">
        <v>5880</v>
      </c>
      <c r="H304" s="55" t="n">
        <v>980</v>
      </c>
      <c r="I304" s="55" t="n">
        <v>980</v>
      </c>
      <c r="J304" s="52" t="s">
        <v>5816</v>
      </c>
      <c r="K304" s="56" t="n">
        <v>1</v>
      </c>
      <c r="L304" s="52" t="s">
        <v>5816</v>
      </c>
      <c r="M304" s="52" t="s">
        <v>334</v>
      </c>
    </row>
    <row r="305" customFormat="false" ht="17.25" hidden="false" customHeight="true" outlineLevel="0" collapsed="false">
      <c r="A305" s="52" t="s">
        <v>5777</v>
      </c>
      <c r="B305" s="52" t="s">
        <v>5813</v>
      </c>
      <c r="C305" s="53" t="n">
        <v>1604396</v>
      </c>
      <c r="D305" s="52" t="s">
        <v>813</v>
      </c>
      <c r="E305" s="52" t="s">
        <v>814</v>
      </c>
      <c r="F305" s="54" t="n">
        <v>26</v>
      </c>
      <c r="G305" s="55" t="n">
        <v>5865.76</v>
      </c>
      <c r="H305" s="55" t="n">
        <v>225.6062</v>
      </c>
      <c r="I305" s="55" t="n">
        <v>264.275</v>
      </c>
      <c r="J305" s="52" t="s">
        <v>5816</v>
      </c>
      <c r="K305" s="56" t="n">
        <v>1</v>
      </c>
      <c r="L305" s="52" t="s">
        <v>5816</v>
      </c>
      <c r="M305" s="52" t="s">
        <v>38</v>
      </c>
    </row>
    <row r="306" customFormat="false" ht="17.25" hidden="false" customHeight="true" outlineLevel="0" collapsed="false">
      <c r="A306" s="52" t="s">
        <v>5777</v>
      </c>
      <c r="B306" s="52" t="s">
        <v>5813</v>
      </c>
      <c r="C306" s="53" t="n">
        <v>12601</v>
      </c>
      <c r="D306" s="52" t="s">
        <v>815</v>
      </c>
      <c r="E306" s="52" t="s">
        <v>816</v>
      </c>
      <c r="F306" s="54" t="n">
        <v>29</v>
      </c>
      <c r="G306" s="55" t="n">
        <v>5837.95</v>
      </c>
      <c r="H306" s="55" t="n">
        <v>201.3086</v>
      </c>
      <c r="I306" s="55" t="n">
        <v>283.78</v>
      </c>
      <c r="J306" s="52" t="s">
        <v>5816</v>
      </c>
      <c r="K306" s="56" t="n">
        <v>1</v>
      </c>
      <c r="L306" s="52" t="s">
        <v>5816</v>
      </c>
      <c r="M306" s="52" t="s">
        <v>38</v>
      </c>
    </row>
    <row r="307" customFormat="false" ht="17.25" hidden="false" customHeight="true" outlineLevel="0" collapsed="false">
      <c r="A307" s="52" t="s">
        <v>5777</v>
      </c>
      <c r="B307" s="52" t="s">
        <v>5813</v>
      </c>
      <c r="C307" s="53" t="n">
        <v>1310580</v>
      </c>
      <c r="D307" s="52" t="s">
        <v>817</v>
      </c>
      <c r="E307" s="52" t="s">
        <v>818</v>
      </c>
      <c r="F307" s="54" t="n">
        <v>128</v>
      </c>
      <c r="G307" s="55" t="n">
        <v>5832.72</v>
      </c>
      <c r="H307" s="55" t="n">
        <v>45.5681</v>
      </c>
      <c r="I307" s="55" t="n">
        <v>45.5681</v>
      </c>
      <c r="J307" s="52" t="s">
        <v>5816</v>
      </c>
      <c r="K307" s="56" t="n">
        <v>1</v>
      </c>
      <c r="L307" s="52" t="s">
        <v>5816</v>
      </c>
      <c r="M307" s="52" t="s">
        <v>480</v>
      </c>
    </row>
    <row r="308" customFormat="false" ht="17.25" hidden="false" customHeight="true" outlineLevel="0" collapsed="false">
      <c r="A308" s="52" t="s">
        <v>5777</v>
      </c>
      <c r="B308" s="52" t="s">
        <v>5813</v>
      </c>
      <c r="C308" s="53" t="n">
        <v>860923</v>
      </c>
      <c r="D308" s="52" t="s">
        <v>564</v>
      </c>
      <c r="E308" s="52" t="s">
        <v>565</v>
      </c>
      <c r="F308" s="54" t="n">
        <v>2</v>
      </c>
      <c r="G308" s="55" t="n">
        <v>5815.5</v>
      </c>
      <c r="H308" s="55" t="n">
        <v>2907.75</v>
      </c>
      <c r="I308" s="55" t="n">
        <v>3215.9</v>
      </c>
      <c r="J308" s="52" t="s">
        <v>5816</v>
      </c>
      <c r="K308" s="56" t="n">
        <v>1</v>
      </c>
      <c r="L308" s="52" t="s">
        <v>5816</v>
      </c>
      <c r="M308" s="52" t="s">
        <v>262</v>
      </c>
    </row>
    <row r="309" customFormat="false" ht="17.25" hidden="false" customHeight="true" outlineLevel="0" collapsed="false">
      <c r="A309" s="52" t="s">
        <v>5777</v>
      </c>
      <c r="B309" s="52" t="s">
        <v>5813</v>
      </c>
      <c r="C309" s="53" t="n">
        <v>1662409</v>
      </c>
      <c r="D309" s="52" t="s">
        <v>819</v>
      </c>
      <c r="E309" s="52" t="s">
        <v>820</v>
      </c>
      <c r="F309" s="54" t="n">
        <v>36</v>
      </c>
      <c r="G309" s="55" t="n">
        <v>5814</v>
      </c>
      <c r="H309" s="55" t="n">
        <v>161.5</v>
      </c>
      <c r="I309" s="55" t="n">
        <v>161.5</v>
      </c>
      <c r="J309" s="52" t="s">
        <v>5816</v>
      </c>
      <c r="K309" s="56" t="n">
        <v>1</v>
      </c>
      <c r="L309" s="52" t="s">
        <v>5816</v>
      </c>
      <c r="M309" s="52" t="s">
        <v>133</v>
      </c>
    </row>
    <row r="310" customFormat="false" ht="17.25" hidden="false" customHeight="true" outlineLevel="0" collapsed="false">
      <c r="A310" s="52" t="s">
        <v>5777</v>
      </c>
      <c r="B310" s="52" t="s">
        <v>5813</v>
      </c>
      <c r="C310" s="53" t="n">
        <v>1384481</v>
      </c>
      <c r="D310" s="52" t="s">
        <v>821</v>
      </c>
      <c r="E310" s="52" t="s">
        <v>822</v>
      </c>
      <c r="F310" s="54" t="n">
        <v>6</v>
      </c>
      <c r="G310" s="55" t="n">
        <v>5812.14</v>
      </c>
      <c r="H310" s="55" t="n">
        <v>968.69</v>
      </c>
      <c r="I310" s="55" t="n">
        <v>968.69</v>
      </c>
      <c r="J310" s="52" t="s">
        <v>5816</v>
      </c>
      <c r="K310" s="56" t="n">
        <v>1</v>
      </c>
      <c r="L310" s="52" t="s">
        <v>5816</v>
      </c>
      <c r="M310" s="52" t="s">
        <v>38</v>
      </c>
    </row>
    <row r="311" customFormat="false" ht="17.25" hidden="false" customHeight="true" outlineLevel="0" collapsed="false">
      <c r="A311" s="52" t="s">
        <v>5777</v>
      </c>
      <c r="B311" s="52" t="s">
        <v>5813</v>
      </c>
      <c r="C311" s="53" t="n">
        <v>862388</v>
      </c>
      <c r="D311" s="52" t="s">
        <v>823</v>
      </c>
      <c r="E311" s="52" t="s">
        <v>824</v>
      </c>
      <c r="F311" s="54" t="n">
        <v>4</v>
      </c>
      <c r="G311" s="55" t="n">
        <v>5792</v>
      </c>
      <c r="H311" s="55" t="n">
        <v>1448</v>
      </c>
      <c r="I311" s="55" t="n">
        <v>1298</v>
      </c>
      <c r="J311" s="52" t="s">
        <v>5816</v>
      </c>
      <c r="K311" s="56" t="n">
        <v>1</v>
      </c>
      <c r="L311" s="52" t="s">
        <v>5816</v>
      </c>
      <c r="M311" s="52" t="s">
        <v>38</v>
      </c>
    </row>
    <row r="312" customFormat="false" ht="17.25" hidden="false" customHeight="true" outlineLevel="0" collapsed="false">
      <c r="A312" s="52" t="s">
        <v>5777</v>
      </c>
      <c r="B312" s="52" t="s">
        <v>5813</v>
      </c>
      <c r="C312" s="53" t="n">
        <v>281187</v>
      </c>
      <c r="D312" s="52" t="s">
        <v>825</v>
      </c>
      <c r="E312" s="52" t="s">
        <v>826</v>
      </c>
      <c r="F312" s="54" t="n">
        <v>1</v>
      </c>
      <c r="G312" s="55" t="n">
        <v>5790</v>
      </c>
      <c r="H312" s="55" t="n">
        <v>5790</v>
      </c>
      <c r="I312" s="55" t="n">
        <v>5790</v>
      </c>
      <c r="J312" s="52" t="s">
        <v>5816</v>
      </c>
      <c r="K312" s="56" t="n">
        <v>1</v>
      </c>
      <c r="L312" s="52" t="s">
        <v>5816</v>
      </c>
      <c r="M312" s="52" t="s">
        <v>170</v>
      </c>
    </row>
    <row r="313" customFormat="false" ht="17.25" hidden="false" customHeight="true" outlineLevel="0" collapsed="false">
      <c r="A313" s="52" t="s">
        <v>5777</v>
      </c>
      <c r="B313" s="52" t="s">
        <v>5813</v>
      </c>
      <c r="C313" s="53" t="n">
        <v>316328</v>
      </c>
      <c r="D313" s="52" t="s">
        <v>527</v>
      </c>
      <c r="E313" s="52" t="s">
        <v>528</v>
      </c>
      <c r="F313" s="54" t="n">
        <v>3</v>
      </c>
      <c r="G313" s="55" t="n">
        <v>5757</v>
      </c>
      <c r="H313" s="55" t="n">
        <v>1919</v>
      </c>
      <c r="I313" s="55" t="n">
        <v>1999</v>
      </c>
      <c r="J313" s="52" t="s">
        <v>5816</v>
      </c>
      <c r="K313" s="56" t="n">
        <v>1</v>
      </c>
      <c r="L313" s="52" t="s">
        <v>5816</v>
      </c>
      <c r="M313" s="52" t="s">
        <v>75</v>
      </c>
    </row>
    <row r="314" customFormat="false" ht="17.25" hidden="false" customHeight="true" outlineLevel="0" collapsed="false">
      <c r="A314" s="52" t="s">
        <v>5777</v>
      </c>
      <c r="B314" s="52" t="s">
        <v>5813</v>
      </c>
      <c r="C314" s="53" t="n">
        <v>840038</v>
      </c>
      <c r="D314" s="52" t="s">
        <v>829</v>
      </c>
      <c r="E314" s="52" t="s">
        <v>830</v>
      </c>
      <c r="F314" s="54" t="n">
        <v>65</v>
      </c>
      <c r="G314" s="55" t="n">
        <v>5735.6</v>
      </c>
      <c r="H314" s="55" t="n">
        <v>88.24</v>
      </c>
      <c r="I314" s="55" t="n">
        <v>88.24</v>
      </c>
      <c r="J314" s="52" t="s">
        <v>5814</v>
      </c>
      <c r="K314" s="56" t="n">
        <v>1</v>
      </c>
      <c r="L314" s="52" t="s">
        <v>5814</v>
      </c>
      <c r="M314" s="52" t="s">
        <v>54</v>
      </c>
    </row>
    <row r="315" customFormat="false" ht="17.25" hidden="false" customHeight="true" outlineLevel="0" collapsed="false">
      <c r="A315" s="52" t="s">
        <v>5777</v>
      </c>
      <c r="B315" s="52" t="s">
        <v>5813</v>
      </c>
      <c r="C315" s="53" t="n">
        <v>1485486</v>
      </c>
      <c r="D315" s="52" t="s">
        <v>831</v>
      </c>
      <c r="E315" s="52" t="s">
        <v>832</v>
      </c>
      <c r="F315" s="54" t="n">
        <v>17</v>
      </c>
      <c r="G315" s="55" t="n">
        <v>5725</v>
      </c>
      <c r="H315" s="55" t="n">
        <v>336.7647</v>
      </c>
      <c r="I315" s="55" t="n">
        <v>26.5</v>
      </c>
      <c r="J315" s="52" t="s">
        <v>5816</v>
      </c>
      <c r="K315" s="56" t="n">
        <v>1</v>
      </c>
      <c r="L315" s="52" t="s">
        <v>5816</v>
      </c>
      <c r="M315" s="52" t="s">
        <v>38</v>
      </c>
    </row>
    <row r="316" customFormat="false" ht="17.25" hidden="false" customHeight="true" outlineLevel="0" collapsed="false">
      <c r="A316" s="52" t="s">
        <v>5777</v>
      </c>
      <c r="B316" s="52" t="s">
        <v>5813</v>
      </c>
      <c r="C316" s="53" t="n">
        <v>227054</v>
      </c>
      <c r="D316" s="52" t="s">
        <v>833</v>
      </c>
      <c r="E316" s="52" t="s">
        <v>834</v>
      </c>
      <c r="F316" s="54" t="n">
        <v>20</v>
      </c>
      <c r="G316" s="55" t="n">
        <v>5700</v>
      </c>
      <c r="H316" s="55" t="n">
        <v>285</v>
      </c>
      <c r="I316" s="55" t="n">
        <v>285</v>
      </c>
      <c r="J316" s="52" t="s">
        <v>5816</v>
      </c>
      <c r="K316" s="56" t="n">
        <v>1</v>
      </c>
      <c r="L316" s="52" t="s">
        <v>5816</v>
      </c>
      <c r="M316" s="52" t="s">
        <v>835</v>
      </c>
    </row>
    <row r="317" customFormat="false" ht="17.25" hidden="false" customHeight="true" outlineLevel="0" collapsed="false">
      <c r="A317" s="52" t="s">
        <v>5777</v>
      </c>
      <c r="B317" s="52" t="s">
        <v>5813</v>
      </c>
      <c r="C317" s="53" t="n">
        <v>1475418</v>
      </c>
      <c r="D317" s="52" t="s">
        <v>836</v>
      </c>
      <c r="E317" s="52" t="s">
        <v>837</v>
      </c>
      <c r="F317" s="54" t="n">
        <v>27</v>
      </c>
      <c r="G317" s="55" t="n">
        <v>5643</v>
      </c>
      <c r="H317" s="55" t="n">
        <v>209</v>
      </c>
      <c r="I317" s="55" t="n">
        <v>209</v>
      </c>
      <c r="J317" s="52" t="s">
        <v>5816</v>
      </c>
      <c r="K317" s="56" t="n">
        <v>1</v>
      </c>
      <c r="L317" s="52" t="s">
        <v>5816</v>
      </c>
      <c r="M317" s="52" t="s">
        <v>38</v>
      </c>
    </row>
    <row r="318" customFormat="false" ht="17.25" hidden="false" customHeight="true" outlineLevel="0" collapsed="false">
      <c r="A318" s="52" t="s">
        <v>5777</v>
      </c>
      <c r="B318" s="52" t="s">
        <v>5813</v>
      </c>
      <c r="C318" s="53" t="n">
        <v>21897</v>
      </c>
      <c r="D318" s="52" t="s">
        <v>840</v>
      </c>
      <c r="E318" s="52" t="s">
        <v>841</v>
      </c>
      <c r="F318" s="54" t="n">
        <v>175</v>
      </c>
      <c r="G318" s="55" t="n">
        <v>5600</v>
      </c>
      <c r="H318" s="55" t="n">
        <v>32</v>
      </c>
      <c r="I318" s="55" t="n">
        <v>32</v>
      </c>
      <c r="J318" s="52" t="s">
        <v>5816</v>
      </c>
      <c r="K318" s="56" t="n">
        <v>1</v>
      </c>
      <c r="L318" s="52" t="s">
        <v>5816</v>
      </c>
      <c r="M318" s="52" t="s">
        <v>605</v>
      </c>
    </row>
    <row r="319" customFormat="false" ht="17.25" hidden="false" customHeight="true" outlineLevel="0" collapsed="false">
      <c r="A319" s="52" t="s">
        <v>5777</v>
      </c>
      <c r="B319" s="52" t="s">
        <v>5813</v>
      </c>
      <c r="C319" s="53" t="n">
        <v>831926</v>
      </c>
      <c r="D319" s="52" t="s">
        <v>842</v>
      </c>
      <c r="E319" s="52" t="s">
        <v>843</v>
      </c>
      <c r="F319" s="54" t="n">
        <v>55</v>
      </c>
      <c r="G319" s="55" t="n">
        <v>5573.8</v>
      </c>
      <c r="H319" s="55" t="n">
        <v>101.3418</v>
      </c>
      <c r="I319" s="55" t="n">
        <v>100</v>
      </c>
      <c r="J319" s="52" t="s">
        <v>5816</v>
      </c>
      <c r="K319" s="56" t="n">
        <v>1</v>
      </c>
      <c r="L319" s="52" t="s">
        <v>5816</v>
      </c>
      <c r="M319" s="52" t="s">
        <v>247</v>
      </c>
    </row>
    <row r="320" customFormat="false" ht="17.25" hidden="false" customHeight="true" outlineLevel="0" collapsed="false">
      <c r="A320" s="52" t="s">
        <v>5777</v>
      </c>
      <c r="B320" s="52" t="s">
        <v>5813</v>
      </c>
      <c r="C320" s="53" t="n">
        <v>1382622</v>
      </c>
      <c r="D320" s="52" t="s">
        <v>844</v>
      </c>
      <c r="E320" s="52" t="s">
        <v>845</v>
      </c>
      <c r="F320" s="54" t="n">
        <v>100</v>
      </c>
      <c r="G320" s="55" t="n">
        <v>5571.8944</v>
      </c>
      <c r="H320" s="55" t="n">
        <v>55.7188</v>
      </c>
      <c r="I320" s="55" t="n">
        <v>63.17</v>
      </c>
      <c r="J320" s="52" t="s">
        <v>5816</v>
      </c>
      <c r="K320" s="56" t="n">
        <v>1</v>
      </c>
      <c r="L320" s="52" t="s">
        <v>5816</v>
      </c>
      <c r="M320" s="52" t="s">
        <v>38</v>
      </c>
    </row>
    <row r="321" customFormat="false" ht="17.25" hidden="false" customHeight="true" outlineLevel="0" collapsed="false">
      <c r="A321" s="52" t="s">
        <v>5777</v>
      </c>
      <c r="B321" s="52" t="s">
        <v>5813</v>
      </c>
      <c r="C321" s="53" t="n">
        <v>1327800</v>
      </c>
      <c r="D321" s="52" t="s">
        <v>846</v>
      </c>
      <c r="E321" s="52" t="s">
        <v>847</v>
      </c>
      <c r="F321" s="54" t="n">
        <v>8</v>
      </c>
      <c r="G321" s="55" t="n">
        <v>5556</v>
      </c>
      <c r="H321" s="55" t="n">
        <v>694.5</v>
      </c>
      <c r="I321" s="55" t="n">
        <v>694.5</v>
      </c>
      <c r="J321" s="52" t="s">
        <v>5814</v>
      </c>
      <c r="K321" s="56" t="n">
        <v>1</v>
      </c>
      <c r="L321" s="52" t="s">
        <v>5814</v>
      </c>
      <c r="M321" s="52" t="s">
        <v>54</v>
      </c>
    </row>
    <row r="322" customFormat="false" ht="17.25" hidden="false" customHeight="true" outlineLevel="0" collapsed="false">
      <c r="A322" s="52" t="s">
        <v>5777</v>
      </c>
      <c r="B322" s="52" t="s">
        <v>5813</v>
      </c>
      <c r="C322" s="53" t="n">
        <v>884827</v>
      </c>
      <c r="D322" s="52" t="s">
        <v>848</v>
      </c>
      <c r="E322" s="52" t="s">
        <v>849</v>
      </c>
      <c r="F322" s="54" t="n">
        <v>20</v>
      </c>
      <c r="G322" s="55" t="n">
        <v>5493.03</v>
      </c>
      <c r="H322" s="55" t="n">
        <v>274.6515</v>
      </c>
      <c r="I322" s="55" t="n">
        <v>274.6515</v>
      </c>
      <c r="J322" s="52" t="s">
        <v>5817</v>
      </c>
      <c r="K322" s="56" t="n">
        <v>1</v>
      </c>
      <c r="L322" s="52" t="s">
        <v>5817</v>
      </c>
      <c r="M322" s="52" t="s">
        <v>100</v>
      </c>
    </row>
    <row r="323" customFormat="false" ht="17.25" hidden="false" customHeight="true" outlineLevel="0" collapsed="false">
      <c r="A323" s="52" t="s">
        <v>5777</v>
      </c>
      <c r="B323" s="52" t="s">
        <v>5813</v>
      </c>
      <c r="C323" s="53" t="n">
        <v>1601817</v>
      </c>
      <c r="D323" s="52" t="s">
        <v>850</v>
      </c>
      <c r="E323" s="52" t="s">
        <v>851</v>
      </c>
      <c r="F323" s="54" t="n">
        <v>72</v>
      </c>
      <c r="G323" s="55" t="n">
        <v>5484.24</v>
      </c>
      <c r="H323" s="55" t="n">
        <v>76.17</v>
      </c>
      <c r="I323" s="55" t="n">
        <v>76.17</v>
      </c>
      <c r="J323" s="52" t="s">
        <v>5814</v>
      </c>
      <c r="K323" s="56" t="n">
        <v>1</v>
      </c>
      <c r="L323" s="52" t="s">
        <v>5814</v>
      </c>
      <c r="M323" s="52" t="s">
        <v>133</v>
      </c>
    </row>
    <row r="324" customFormat="false" ht="17.25" hidden="false" customHeight="true" outlineLevel="0" collapsed="false">
      <c r="A324" s="52" t="s">
        <v>5777</v>
      </c>
      <c r="B324" s="52" t="s">
        <v>5813</v>
      </c>
      <c r="C324" s="53" t="n">
        <v>1092762</v>
      </c>
      <c r="D324" s="52" t="s">
        <v>852</v>
      </c>
      <c r="E324" s="52" t="s">
        <v>853</v>
      </c>
      <c r="F324" s="54" t="n">
        <v>3</v>
      </c>
      <c r="G324" s="55" t="n">
        <v>5480</v>
      </c>
      <c r="H324" s="55" t="n">
        <v>1826.6667</v>
      </c>
      <c r="I324" s="55" t="n">
        <v>1890</v>
      </c>
      <c r="J324" s="52" t="s">
        <v>5816</v>
      </c>
      <c r="K324" s="56" t="n">
        <v>1</v>
      </c>
      <c r="L324" s="52" t="s">
        <v>5816</v>
      </c>
      <c r="M324" s="52" t="s">
        <v>334</v>
      </c>
    </row>
    <row r="325" customFormat="false" ht="17.25" hidden="false" customHeight="true" outlineLevel="0" collapsed="false">
      <c r="A325" s="52" t="s">
        <v>5777</v>
      </c>
      <c r="B325" s="52" t="s">
        <v>5813</v>
      </c>
      <c r="C325" s="53" t="n">
        <v>1261222</v>
      </c>
      <c r="D325" s="52" t="s">
        <v>854</v>
      </c>
      <c r="E325" s="52" t="s">
        <v>855</v>
      </c>
      <c r="F325" s="54" t="n">
        <v>4</v>
      </c>
      <c r="G325" s="55" t="n">
        <v>5453.53</v>
      </c>
      <c r="H325" s="55" t="n">
        <v>1363.3825</v>
      </c>
      <c r="I325" s="55" t="n">
        <v>1363.3825</v>
      </c>
      <c r="J325" s="52" t="s">
        <v>5816</v>
      </c>
      <c r="K325" s="56" t="n">
        <v>1</v>
      </c>
      <c r="L325" s="52" t="s">
        <v>5816</v>
      </c>
      <c r="M325" s="52" t="s">
        <v>38</v>
      </c>
    </row>
    <row r="326" customFormat="false" ht="17.25" hidden="false" customHeight="true" outlineLevel="0" collapsed="false">
      <c r="A326" s="52" t="s">
        <v>5777</v>
      </c>
      <c r="B326" s="52" t="s">
        <v>5813</v>
      </c>
      <c r="C326" s="53" t="n">
        <v>58184</v>
      </c>
      <c r="D326" s="52" t="s">
        <v>856</v>
      </c>
      <c r="E326" s="52" t="s">
        <v>857</v>
      </c>
      <c r="F326" s="54" t="n">
        <v>99</v>
      </c>
      <c r="G326" s="55" t="n">
        <v>5445</v>
      </c>
      <c r="H326" s="55" t="n">
        <v>55</v>
      </c>
      <c r="I326" s="55" t="n">
        <v>55</v>
      </c>
      <c r="J326" s="52" t="s">
        <v>5816</v>
      </c>
      <c r="K326" s="56" t="n">
        <v>1</v>
      </c>
      <c r="L326" s="52" t="s">
        <v>5816</v>
      </c>
      <c r="M326" s="52" t="s">
        <v>360</v>
      </c>
    </row>
    <row r="327" customFormat="false" ht="17.25" hidden="false" customHeight="true" outlineLevel="0" collapsed="false">
      <c r="A327" s="52" t="s">
        <v>5777</v>
      </c>
      <c r="B327" s="52" t="s">
        <v>5813</v>
      </c>
      <c r="C327" s="53" t="n">
        <v>1476311</v>
      </c>
      <c r="D327" s="52" t="s">
        <v>858</v>
      </c>
      <c r="E327" s="52" t="s">
        <v>859</v>
      </c>
      <c r="F327" s="54" t="n">
        <v>4</v>
      </c>
      <c r="G327" s="55" t="n">
        <v>5440</v>
      </c>
      <c r="H327" s="55" t="n">
        <v>1360</v>
      </c>
      <c r="I327" s="55" t="n">
        <v>1360</v>
      </c>
      <c r="J327" s="52" t="s">
        <v>5816</v>
      </c>
      <c r="K327" s="56" t="n">
        <v>1</v>
      </c>
      <c r="L327" s="52" t="s">
        <v>5816</v>
      </c>
      <c r="M327" s="52" t="s">
        <v>133</v>
      </c>
    </row>
    <row r="328" customFormat="false" ht="17.25" hidden="false" customHeight="true" outlineLevel="0" collapsed="false">
      <c r="A328" s="52" t="s">
        <v>5777</v>
      </c>
      <c r="B328" s="52" t="s">
        <v>5813</v>
      </c>
      <c r="C328" s="53" t="n">
        <v>743151</v>
      </c>
      <c r="D328" s="52" t="s">
        <v>860</v>
      </c>
      <c r="E328" s="52" t="s">
        <v>861</v>
      </c>
      <c r="F328" s="54" t="n">
        <v>4</v>
      </c>
      <c r="G328" s="55" t="n">
        <v>5419.01</v>
      </c>
      <c r="H328" s="55" t="n">
        <v>1354.7525</v>
      </c>
      <c r="I328" s="55" t="n">
        <v>1354.7525</v>
      </c>
      <c r="J328" s="52" t="s">
        <v>5816</v>
      </c>
      <c r="K328" s="56" t="n">
        <v>1</v>
      </c>
      <c r="L328" s="52" t="s">
        <v>5816</v>
      </c>
      <c r="M328" s="52" t="s">
        <v>38</v>
      </c>
    </row>
    <row r="329" customFormat="false" ht="17.25" hidden="false" customHeight="true" outlineLevel="0" collapsed="false">
      <c r="A329" s="52" t="s">
        <v>5777</v>
      </c>
      <c r="B329" s="52" t="s">
        <v>5813</v>
      </c>
      <c r="C329" s="53" t="n">
        <v>1465407</v>
      </c>
      <c r="D329" s="52" t="s">
        <v>862</v>
      </c>
      <c r="E329" s="52" t="s">
        <v>863</v>
      </c>
      <c r="F329" s="54" t="n">
        <v>44</v>
      </c>
      <c r="G329" s="55" t="n">
        <v>5416</v>
      </c>
      <c r="H329" s="55" t="n">
        <v>123.0909</v>
      </c>
      <c r="I329" s="55" t="n">
        <v>139</v>
      </c>
      <c r="J329" s="52" t="s">
        <v>5816</v>
      </c>
      <c r="K329" s="56" t="n">
        <v>1</v>
      </c>
      <c r="L329" s="52" t="s">
        <v>5816</v>
      </c>
      <c r="M329" s="52" t="s">
        <v>133</v>
      </c>
    </row>
    <row r="330" customFormat="false" ht="17.25" hidden="false" customHeight="true" outlineLevel="0" collapsed="false">
      <c r="A330" s="52" t="s">
        <v>5777</v>
      </c>
      <c r="B330" s="52" t="s">
        <v>5813</v>
      </c>
      <c r="C330" s="53" t="n">
        <v>1328053</v>
      </c>
      <c r="D330" s="52" t="s">
        <v>864</v>
      </c>
      <c r="E330" s="52" t="s">
        <v>865</v>
      </c>
      <c r="F330" s="54" t="n">
        <v>756</v>
      </c>
      <c r="G330" s="55" t="n">
        <v>5390.28</v>
      </c>
      <c r="H330" s="55" t="n">
        <v>7.13</v>
      </c>
      <c r="I330" s="55" t="n">
        <v>7.13</v>
      </c>
      <c r="J330" s="52" t="s">
        <v>5816</v>
      </c>
      <c r="K330" s="56" t="n">
        <v>1</v>
      </c>
      <c r="L330" s="52" t="s">
        <v>5816</v>
      </c>
      <c r="M330" s="52" t="s">
        <v>54</v>
      </c>
    </row>
    <row r="331" customFormat="false" ht="17.25" hidden="false" customHeight="true" outlineLevel="0" collapsed="false">
      <c r="A331" s="52" t="s">
        <v>5777</v>
      </c>
      <c r="B331" s="52" t="s">
        <v>5813</v>
      </c>
      <c r="C331" s="53" t="n">
        <v>1311276</v>
      </c>
      <c r="D331" s="52" t="s">
        <v>866</v>
      </c>
      <c r="E331" s="52" t="s">
        <v>867</v>
      </c>
      <c r="F331" s="54" t="n">
        <v>1</v>
      </c>
      <c r="G331" s="55" t="n">
        <v>5335</v>
      </c>
      <c r="H331" s="55" t="n">
        <v>5335</v>
      </c>
      <c r="I331" s="55" t="n">
        <v>5335</v>
      </c>
      <c r="J331" s="52" t="s">
        <v>5816</v>
      </c>
      <c r="K331" s="56" t="n">
        <v>1</v>
      </c>
      <c r="L331" s="52" t="s">
        <v>5816</v>
      </c>
      <c r="M331" s="52" t="s">
        <v>130</v>
      </c>
    </row>
    <row r="332" customFormat="false" ht="17.25" hidden="false" customHeight="true" outlineLevel="0" collapsed="false">
      <c r="A332" s="52" t="s">
        <v>5777</v>
      </c>
      <c r="B332" s="52" t="s">
        <v>5813</v>
      </c>
      <c r="C332" s="53" t="n">
        <v>55346</v>
      </c>
      <c r="D332" s="52" t="s">
        <v>868</v>
      </c>
      <c r="E332" s="52" t="s">
        <v>869</v>
      </c>
      <c r="F332" s="54" t="n">
        <v>1045</v>
      </c>
      <c r="G332" s="55" t="n">
        <v>5317.08</v>
      </c>
      <c r="H332" s="55" t="n">
        <v>5.0881</v>
      </c>
      <c r="I332" s="55" t="n">
        <v>5.0881</v>
      </c>
      <c r="J332" s="52" t="s">
        <v>5816</v>
      </c>
      <c r="K332" s="56" t="n">
        <v>1</v>
      </c>
      <c r="L332" s="52" t="s">
        <v>5816</v>
      </c>
      <c r="M332" s="52" t="s">
        <v>38</v>
      </c>
    </row>
    <row r="333" customFormat="false" ht="17.25" hidden="false" customHeight="true" outlineLevel="0" collapsed="false">
      <c r="A333" s="52" t="s">
        <v>5777</v>
      </c>
      <c r="B333" s="52" t="s">
        <v>5813</v>
      </c>
      <c r="C333" s="53" t="n">
        <v>1604881</v>
      </c>
      <c r="D333" s="52" t="s">
        <v>870</v>
      </c>
      <c r="E333" s="52" t="s">
        <v>5849</v>
      </c>
      <c r="F333" s="54" t="n">
        <v>2</v>
      </c>
      <c r="G333" s="55" t="n">
        <v>5284.52</v>
      </c>
      <c r="H333" s="55" t="n">
        <v>2642.26</v>
      </c>
      <c r="I333" s="55" t="n">
        <v>2642.26</v>
      </c>
      <c r="J333" s="52" t="s">
        <v>5816</v>
      </c>
      <c r="K333" s="56" t="n">
        <v>1</v>
      </c>
      <c r="L333" s="52" t="s">
        <v>5816</v>
      </c>
      <c r="M333" s="52" t="s">
        <v>170</v>
      </c>
    </row>
    <row r="334" customFormat="false" ht="17.25" hidden="false" customHeight="true" outlineLevel="0" collapsed="false">
      <c r="A334" s="52" t="s">
        <v>5777</v>
      </c>
      <c r="B334" s="52" t="s">
        <v>5813</v>
      </c>
      <c r="C334" s="53" t="n">
        <v>1476383</v>
      </c>
      <c r="D334" s="52" t="s">
        <v>874</v>
      </c>
      <c r="E334" s="52" t="s">
        <v>875</v>
      </c>
      <c r="F334" s="54" t="n">
        <v>2</v>
      </c>
      <c r="G334" s="55" t="n">
        <v>5260</v>
      </c>
      <c r="H334" s="55" t="n">
        <v>2630</v>
      </c>
      <c r="I334" s="55" t="n">
        <v>2630</v>
      </c>
      <c r="J334" s="52" t="s">
        <v>5816</v>
      </c>
      <c r="K334" s="56" t="n">
        <v>1</v>
      </c>
      <c r="L334" s="52" t="s">
        <v>5816</v>
      </c>
      <c r="M334" s="52" t="s">
        <v>133</v>
      </c>
    </row>
    <row r="335" customFormat="false" ht="17.25" hidden="false" customHeight="true" outlineLevel="0" collapsed="false">
      <c r="A335" s="52" t="s">
        <v>5777</v>
      </c>
      <c r="B335" s="52" t="s">
        <v>5813</v>
      </c>
      <c r="C335" s="53" t="n">
        <v>11494</v>
      </c>
      <c r="D335" s="52" t="s">
        <v>876</v>
      </c>
      <c r="E335" s="52" t="s">
        <v>877</v>
      </c>
      <c r="F335" s="54" t="n">
        <v>35</v>
      </c>
      <c r="G335" s="55" t="n">
        <v>5250</v>
      </c>
      <c r="H335" s="55" t="n">
        <v>150</v>
      </c>
      <c r="I335" s="55" t="n">
        <v>150</v>
      </c>
      <c r="J335" s="52" t="s">
        <v>5816</v>
      </c>
      <c r="K335" s="56" t="n">
        <v>1</v>
      </c>
      <c r="L335" s="52" t="s">
        <v>5816</v>
      </c>
      <c r="M335" s="52" t="s">
        <v>480</v>
      </c>
    </row>
    <row r="336" customFormat="false" ht="17.25" hidden="false" customHeight="true" outlineLevel="0" collapsed="false">
      <c r="A336" s="52" t="s">
        <v>5777</v>
      </c>
      <c r="B336" s="52" t="s">
        <v>5813</v>
      </c>
      <c r="C336" s="53" t="n">
        <v>32796</v>
      </c>
      <c r="D336" s="52" t="s">
        <v>878</v>
      </c>
      <c r="E336" s="52" t="s">
        <v>879</v>
      </c>
      <c r="F336" s="54" t="n">
        <v>12</v>
      </c>
      <c r="G336" s="55" t="n">
        <v>5232</v>
      </c>
      <c r="H336" s="55" t="n">
        <v>436</v>
      </c>
      <c r="I336" s="55" t="n">
        <v>436</v>
      </c>
      <c r="J336" s="52" t="s">
        <v>5850</v>
      </c>
      <c r="K336" s="56" t="n">
        <v>3</v>
      </c>
      <c r="L336" s="52" t="s">
        <v>5814</v>
      </c>
      <c r="M336" s="52" t="s">
        <v>133</v>
      </c>
    </row>
    <row r="337" customFormat="false" ht="17.25" hidden="false" customHeight="true" outlineLevel="0" collapsed="false">
      <c r="A337" s="52" t="s">
        <v>5777</v>
      </c>
      <c r="B337" s="52" t="s">
        <v>5813</v>
      </c>
      <c r="C337" s="53" t="n">
        <v>1606480</v>
      </c>
      <c r="D337" s="52" t="s">
        <v>880</v>
      </c>
      <c r="E337" s="52" t="s">
        <v>881</v>
      </c>
      <c r="F337" s="54" t="n">
        <v>3</v>
      </c>
      <c r="G337" s="55" t="n">
        <v>5220</v>
      </c>
      <c r="H337" s="55" t="n">
        <v>1740</v>
      </c>
      <c r="I337" s="55" t="n">
        <v>1740</v>
      </c>
      <c r="J337" s="52" t="s">
        <v>5816</v>
      </c>
      <c r="K337" s="56" t="n">
        <v>1</v>
      </c>
      <c r="L337" s="52" t="s">
        <v>5816</v>
      </c>
      <c r="M337" s="52" t="s">
        <v>35</v>
      </c>
    </row>
    <row r="338" customFormat="false" ht="17.25" hidden="false" customHeight="true" outlineLevel="0" collapsed="false">
      <c r="A338" s="52" t="s">
        <v>5777</v>
      </c>
      <c r="B338" s="52" t="s">
        <v>5813</v>
      </c>
      <c r="C338" s="53" t="n">
        <v>1475975</v>
      </c>
      <c r="D338" s="52" t="s">
        <v>882</v>
      </c>
      <c r="E338" s="57" t="s">
        <v>5851</v>
      </c>
      <c r="F338" s="54" t="n">
        <v>132</v>
      </c>
      <c r="G338" s="55" t="n">
        <v>5213.6</v>
      </c>
      <c r="H338" s="55" t="n">
        <v>39.497</v>
      </c>
      <c r="I338" s="55" t="n">
        <v>51.38</v>
      </c>
      <c r="J338" s="52" t="s">
        <v>5816</v>
      </c>
      <c r="K338" s="56" t="n">
        <v>1</v>
      </c>
      <c r="L338" s="52" t="s">
        <v>5816</v>
      </c>
      <c r="M338" s="52" t="s">
        <v>637</v>
      </c>
    </row>
    <row r="339" customFormat="false" ht="17.25" hidden="false" customHeight="true" outlineLevel="0" collapsed="false">
      <c r="A339" s="52" t="s">
        <v>5777</v>
      </c>
      <c r="B339" s="52" t="s">
        <v>5813</v>
      </c>
      <c r="C339" s="53" t="n">
        <v>1680418</v>
      </c>
      <c r="D339" s="52" t="s">
        <v>884</v>
      </c>
      <c r="E339" s="52" t="s">
        <v>885</v>
      </c>
      <c r="F339" s="54" t="n">
        <v>1200</v>
      </c>
      <c r="G339" s="55" t="n">
        <v>5160</v>
      </c>
      <c r="H339" s="55" t="n">
        <v>4.3</v>
      </c>
      <c r="I339" s="55" t="n">
        <v>4.3</v>
      </c>
      <c r="J339" s="52" t="s">
        <v>5814</v>
      </c>
      <c r="K339" s="56" t="n">
        <v>1</v>
      </c>
      <c r="L339" s="52" t="s">
        <v>5814</v>
      </c>
      <c r="M339" s="52" t="s">
        <v>47</v>
      </c>
    </row>
    <row r="340" customFormat="false" ht="17.25" hidden="false" customHeight="true" outlineLevel="0" collapsed="false">
      <c r="A340" s="52" t="s">
        <v>5777</v>
      </c>
      <c r="B340" s="52" t="s">
        <v>5813</v>
      </c>
      <c r="C340" s="53" t="n">
        <v>293801</v>
      </c>
      <c r="D340" s="52" t="s">
        <v>886</v>
      </c>
      <c r="E340" s="52" t="s">
        <v>887</v>
      </c>
      <c r="F340" s="54" t="n">
        <v>39</v>
      </c>
      <c r="G340" s="55" t="n">
        <v>5142</v>
      </c>
      <c r="H340" s="55" t="n">
        <v>131.8462</v>
      </c>
      <c r="I340" s="55" t="n">
        <v>198</v>
      </c>
      <c r="J340" s="52" t="s">
        <v>5816</v>
      </c>
      <c r="K340" s="56" t="n">
        <v>1</v>
      </c>
      <c r="L340" s="52" t="s">
        <v>5816</v>
      </c>
      <c r="M340" s="52" t="s">
        <v>138</v>
      </c>
    </row>
    <row r="341" customFormat="false" ht="17.25" hidden="false" customHeight="true" outlineLevel="0" collapsed="false">
      <c r="A341" s="52" t="s">
        <v>5777</v>
      </c>
      <c r="B341" s="52" t="s">
        <v>5813</v>
      </c>
      <c r="C341" s="53" t="n">
        <v>1677683</v>
      </c>
      <c r="D341" s="52" t="s">
        <v>888</v>
      </c>
      <c r="E341" s="52" t="s">
        <v>889</v>
      </c>
      <c r="F341" s="54" t="n">
        <v>12</v>
      </c>
      <c r="G341" s="55" t="n">
        <v>5115.84</v>
      </c>
      <c r="H341" s="55" t="n">
        <v>426.32</v>
      </c>
      <c r="I341" s="55" t="n">
        <v>426.32</v>
      </c>
      <c r="J341" s="52" t="s">
        <v>5816</v>
      </c>
      <c r="K341" s="56" t="n">
        <v>1</v>
      </c>
      <c r="L341" s="52" t="s">
        <v>5816</v>
      </c>
      <c r="M341" s="52" t="s">
        <v>38</v>
      </c>
    </row>
    <row r="342" customFormat="false" ht="17.25" hidden="false" customHeight="true" outlineLevel="0" collapsed="false">
      <c r="A342" s="52" t="s">
        <v>5777</v>
      </c>
      <c r="B342" s="52" t="s">
        <v>5813</v>
      </c>
      <c r="C342" s="53" t="n">
        <v>1464163</v>
      </c>
      <c r="D342" s="52" t="s">
        <v>890</v>
      </c>
      <c r="E342" s="52" t="s">
        <v>891</v>
      </c>
      <c r="F342" s="54" t="n">
        <v>1</v>
      </c>
      <c r="G342" s="55" t="n">
        <v>5100</v>
      </c>
      <c r="H342" s="55" t="n">
        <v>5100</v>
      </c>
      <c r="I342" s="55" t="n">
        <v>5100</v>
      </c>
      <c r="J342" s="52" t="s">
        <v>5816</v>
      </c>
      <c r="K342" s="56" t="n">
        <v>1</v>
      </c>
      <c r="L342" s="52" t="s">
        <v>5816</v>
      </c>
      <c r="M342" s="52" t="s">
        <v>491</v>
      </c>
    </row>
    <row r="343" customFormat="false" ht="17.25" hidden="false" customHeight="true" outlineLevel="0" collapsed="false">
      <c r="A343" s="52" t="s">
        <v>5777</v>
      </c>
      <c r="B343" s="52" t="s">
        <v>5813</v>
      </c>
      <c r="C343" s="53" t="n">
        <v>1467473</v>
      </c>
      <c r="D343" s="52" t="s">
        <v>892</v>
      </c>
      <c r="E343" s="52" t="s">
        <v>893</v>
      </c>
      <c r="F343" s="54" t="n">
        <v>120</v>
      </c>
      <c r="G343" s="55" t="n">
        <v>5032.8</v>
      </c>
      <c r="H343" s="55" t="n">
        <v>41.94</v>
      </c>
      <c r="I343" s="55" t="n">
        <v>41.94</v>
      </c>
      <c r="J343" s="52" t="s">
        <v>5814</v>
      </c>
      <c r="K343" s="56" t="n">
        <v>1</v>
      </c>
      <c r="L343" s="52" t="s">
        <v>5814</v>
      </c>
      <c r="M343" s="52" t="s">
        <v>38</v>
      </c>
    </row>
    <row r="344" customFormat="false" ht="17.25" hidden="false" customHeight="true" outlineLevel="0" collapsed="false">
      <c r="A344" s="52" t="s">
        <v>5777</v>
      </c>
      <c r="B344" s="52" t="s">
        <v>5813</v>
      </c>
      <c r="C344" s="53" t="n">
        <v>1687476</v>
      </c>
      <c r="D344" s="52" t="s">
        <v>894</v>
      </c>
      <c r="E344" s="52" t="s">
        <v>895</v>
      </c>
      <c r="F344" s="54" t="n">
        <v>4</v>
      </c>
      <c r="G344" s="55" t="n">
        <v>5028.5</v>
      </c>
      <c r="H344" s="55" t="n">
        <v>1257.125</v>
      </c>
      <c r="I344" s="55" t="n">
        <v>1257.125</v>
      </c>
      <c r="J344" s="52" t="s">
        <v>5816</v>
      </c>
      <c r="K344" s="56" t="n">
        <v>1</v>
      </c>
      <c r="L344" s="52" t="s">
        <v>5816</v>
      </c>
      <c r="M344" s="52" t="s">
        <v>35</v>
      </c>
    </row>
    <row r="345" customFormat="false" ht="17.25" hidden="false" customHeight="true" outlineLevel="0" collapsed="false">
      <c r="A345" s="52" t="s">
        <v>5777</v>
      </c>
      <c r="B345" s="52" t="s">
        <v>5813</v>
      </c>
      <c r="C345" s="53" t="n">
        <v>1662431</v>
      </c>
      <c r="D345" s="52" t="s">
        <v>898</v>
      </c>
      <c r="E345" s="52" t="s">
        <v>899</v>
      </c>
      <c r="F345" s="54" t="n">
        <v>21</v>
      </c>
      <c r="G345" s="55" t="n">
        <v>5027.4</v>
      </c>
      <c r="H345" s="55" t="n">
        <v>239.4</v>
      </c>
      <c r="I345" s="55" t="n">
        <v>239.4</v>
      </c>
      <c r="J345" s="52" t="s">
        <v>5816</v>
      </c>
      <c r="K345" s="56" t="n">
        <v>1</v>
      </c>
      <c r="L345" s="52" t="s">
        <v>5816</v>
      </c>
      <c r="M345" s="52" t="s">
        <v>133</v>
      </c>
    </row>
    <row r="346" customFormat="false" ht="17.25" hidden="false" customHeight="true" outlineLevel="0" collapsed="false">
      <c r="A346" s="52" t="s">
        <v>5777</v>
      </c>
      <c r="B346" s="52" t="s">
        <v>5813</v>
      </c>
      <c r="C346" s="53" t="n">
        <v>274524</v>
      </c>
      <c r="D346" s="52" t="s">
        <v>900</v>
      </c>
      <c r="E346" s="52" t="s">
        <v>901</v>
      </c>
      <c r="F346" s="54" t="n">
        <v>160</v>
      </c>
      <c r="G346" s="55" t="n">
        <v>5024</v>
      </c>
      <c r="H346" s="55" t="n">
        <v>31.4</v>
      </c>
      <c r="I346" s="55" t="n">
        <v>31.04</v>
      </c>
      <c r="J346" s="52" t="s">
        <v>5814</v>
      </c>
      <c r="K346" s="56" t="n">
        <v>1</v>
      </c>
      <c r="L346" s="52" t="s">
        <v>5814</v>
      </c>
      <c r="M346" s="52" t="s">
        <v>54</v>
      </c>
    </row>
    <row r="347" customFormat="false" ht="17.25" hidden="false" customHeight="true" outlineLevel="0" collapsed="false">
      <c r="A347" s="52" t="s">
        <v>5777</v>
      </c>
      <c r="B347" s="52" t="s">
        <v>5813</v>
      </c>
      <c r="C347" s="53" t="n">
        <v>1465590</v>
      </c>
      <c r="D347" s="52" t="s">
        <v>902</v>
      </c>
      <c r="E347" s="52" t="s">
        <v>903</v>
      </c>
      <c r="F347" s="54" t="n">
        <v>140</v>
      </c>
      <c r="G347" s="55" t="n">
        <v>5014.2</v>
      </c>
      <c r="H347" s="55" t="n">
        <v>35.8157</v>
      </c>
      <c r="I347" s="55" t="n">
        <v>38.55</v>
      </c>
      <c r="J347" s="52" t="s">
        <v>5814</v>
      </c>
      <c r="K347" s="56" t="n">
        <v>1</v>
      </c>
      <c r="L347" s="52" t="s">
        <v>5814</v>
      </c>
      <c r="M347" s="52" t="s">
        <v>38</v>
      </c>
    </row>
    <row r="348" customFormat="false" ht="17.25" hidden="false" customHeight="true" outlineLevel="0" collapsed="false">
      <c r="A348" s="52" t="s">
        <v>5777</v>
      </c>
      <c r="B348" s="52" t="s">
        <v>5813</v>
      </c>
      <c r="C348" s="53" t="n">
        <v>11238</v>
      </c>
      <c r="D348" s="52" t="s">
        <v>906</v>
      </c>
      <c r="E348" s="52" t="s">
        <v>907</v>
      </c>
      <c r="F348" s="54" t="n">
        <v>210</v>
      </c>
      <c r="G348" s="55" t="n">
        <v>4935</v>
      </c>
      <c r="H348" s="55" t="n">
        <v>23.5</v>
      </c>
      <c r="I348" s="55" t="n">
        <v>23.5</v>
      </c>
      <c r="J348" s="52" t="s">
        <v>5816</v>
      </c>
      <c r="K348" s="56" t="n">
        <v>1</v>
      </c>
      <c r="L348" s="52" t="s">
        <v>5816</v>
      </c>
      <c r="M348" s="52" t="s">
        <v>66</v>
      </c>
    </row>
    <row r="349" customFormat="false" ht="17.25" hidden="false" customHeight="true" outlineLevel="0" collapsed="false">
      <c r="A349" s="52" t="s">
        <v>5777</v>
      </c>
      <c r="B349" s="52" t="s">
        <v>5813</v>
      </c>
      <c r="C349" s="53" t="n">
        <v>1672762</v>
      </c>
      <c r="D349" s="52" t="s">
        <v>908</v>
      </c>
      <c r="E349" s="52" t="s">
        <v>909</v>
      </c>
      <c r="F349" s="54" t="n">
        <v>210</v>
      </c>
      <c r="G349" s="55" t="n">
        <v>4935</v>
      </c>
      <c r="H349" s="55" t="n">
        <v>23.5</v>
      </c>
      <c r="I349" s="55" t="n">
        <v>23.5</v>
      </c>
      <c r="J349" s="52" t="s">
        <v>5814</v>
      </c>
      <c r="K349" s="56" t="n">
        <v>1</v>
      </c>
      <c r="L349" s="52" t="s">
        <v>5814</v>
      </c>
      <c r="M349" s="52" t="s">
        <v>66</v>
      </c>
    </row>
    <row r="350" customFormat="false" ht="17.25" hidden="false" customHeight="true" outlineLevel="0" collapsed="false">
      <c r="A350" s="52" t="s">
        <v>5777</v>
      </c>
      <c r="B350" s="52" t="s">
        <v>5813</v>
      </c>
      <c r="C350" s="53" t="n">
        <v>1383031</v>
      </c>
      <c r="D350" s="52" t="s">
        <v>910</v>
      </c>
      <c r="E350" s="52" t="s">
        <v>911</v>
      </c>
      <c r="F350" s="54" t="n">
        <v>10</v>
      </c>
      <c r="G350" s="55" t="n">
        <v>4928.76</v>
      </c>
      <c r="H350" s="55" t="n">
        <v>492.876</v>
      </c>
      <c r="I350" s="55" t="n">
        <v>432.97</v>
      </c>
      <c r="J350" s="52" t="s">
        <v>5816</v>
      </c>
      <c r="K350" s="56" t="n">
        <v>1</v>
      </c>
      <c r="L350" s="52" t="s">
        <v>5816</v>
      </c>
      <c r="M350" s="52" t="s">
        <v>189</v>
      </c>
    </row>
    <row r="351" customFormat="false" ht="17.25" hidden="false" customHeight="true" outlineLevel="0" collapsed="false">
      <c r="A351" s="52" t="s">
        <v>5777</v>
      </c>
      <c r="B351" s="52" t="s">
        <v>5813</v>
      </c>
      <c r="C351" s="53" t="n">
        <v>1464478</v>
      </c>
      <c r="D351" s="52" t="s">
        <v>914</v>
      </c>
      <c r="E351" s="52" t="s">
        <v>5852</v>
      </c>
      <c r="F351" s="54" t="n">
        <v>8</v>
      </c>
      <c r="G351" s="55" t="n">
        <v>4825.2</v>
      </c>
      <c r="H351" s="55" t="n">
        <v>603.15</v>
      </c>
      <c r="I351" s="55" t="n">
        <v>639.6</v>
      </c>
      <c r="J351" s="52" t="s">
        <v>5816</v>
      </c>
      <c r="K351" s="56" t="n">
        <v>1</v>
      </c>
      <c r="L351" s="52" t="s">
        <v>5816</v>
      </c>
      <c r="M351" s="52" t="s">
        <v>705</v>
      </c>
    </row>
    <row r="352" customFormat="false" ht="17.25" hidden="false" customHeight="true" outlineLevel="0" collapsed="false">
      <c r="A352" s="52" t="s">
        <v>5777</v>
      </c>
      <c r="B352" s="52" t="s">
        <v>5813</v>
      </c>
      <c r="C352" s="53" t="n">
        <v>1319425</v>
      </c>
      <c r="D352" s="52" t="s">
        <v>916</v>
      </c>
      <c r="E352" s="52" t="s">
        <v>917</v>
      </c>
      <c r="F352" s="54" t="n">
        <v>16</v>
      </c>
      <c r="G352" s="55" t="n">
        <v>4811.68</v>
      </c>
      <c r="H352" s="55" t="n">
        <v>300.73</v>
      </c>
      <c r="I352" s="55" t="n">
        <v>300.73</v>
      </c>
      <c r="J352" s="52" t="s">
        <v>5816</v>
      </c>
      <c r="K352" s="56" t="n">
        <v>1</v>
      </c>
      <c r="L352" s="52" t="s">
        <v>5816</v>
      </c>
      <c r="M352" s="52" t="s">
        <v>217</v>
      </c>
    </row>
    <row r="353" customFormat="false" ht="17.25" hidden="false" customHeight="true" outlineLevel="0" collapsed="false">
      <c r="A353" s="52" t="s">
        <v>5777</v>
      </c>
      <c r="B353" s="52" t="s">
        <v>5813</v>
      </c>
      <c r="C353" s="53" t="n">
        <v>1476239</v>
      </c>
      <c r="D353" s="52" t="s">
        <v>918</v>
      </c>
      <c r="E353" s="52" t="s">
        <v>919</v>
      </c>
      <c r="F353" s="54" t="n">
        <v>4</v>
      </c>
      <c r="G353" s="55" t="n">
        <v>4800</v>
      </c>
      <c r="H353" s="55" t="n">
        <v>1200</v>
      </c>
      <c r="I353" s="55" t="n">
        <v>1200</v>
      </c>
      <c r="J353" s="52" t="s">
        <v>5816</v>
      </c>
      <c r="K353" s="56" t="n">
        <v>1</v>
      </c>
      <c r="L353" s="52" t="s">
        <v>5816</v>
      </c>
      <c r="M353" s="52" t="s">
        <v>133</v>
      </c>
    </row>
    <row r="354" customFormat="false" ht="17.25" hidden="false" customHeight="true" outlineLevel="0" collapsed="false">
      <c r="A354" s="52" t="s">
        <v>5777</v>
      </c>
      <c r="B354" s="52" t="s">
        <v>5813</v>
      </c>
      <c r="C354" s="53" t="n">
        <v>22694</v>
      </c>
      <c r="D354" s="52" t="s">
        <v>920</v>
      </c>
      <c r="E354" s="52" t="s">
        <v>921</v>
      </c>
      <c r="F354" s="54" t="n">
        <v>73</v>
      </c>
      <c r="G354" s="55" t="n">
        <v>4745</v>
      </c>
      <c r="H354" s="55" t="n">
        <v>65</v>
      </c>
      <c r="I354" s="55" t="n">
        <v>65</v>
      </c>
      <c r="J354" s="52" t="s">
        <v>5816</v>
      </c>
      <c r="K354" s="56" t="n">
        <v>1</v>
      </c>
      <c r="L354" s="52" t="s">
        <v>5816</v>
      </c>
      <c r="M354" s="52" t="s">
        <v>54</v>
      </c>
    </row>
    <row r="355" customFormat="false" ht="17.25" hidden="false" customHeight="true" outlineLevel="0" collapsed="false">
      <c r="A355" s="52" t="s">
        <v>5777</v>
      </c>
      <c r="B355" s="52" t="s">
        <v>5813</v>
      </c>
      <c r="C355" s="53" t="n">
        <v>145318</v>
      </c>
      <c r="D355" s="52" t="s">
        <v>922</v>
      </c>
      <c r="E355" s="52" t="s">
        <v>923</v>
      </c>
      <c r="F355" s="54" t="n">
        <v>1</v>
      </c>
      <c r="G355" s="55" t="n">
        <v>4730</v>
      </c>
      <c r="H355" s="55" t="n">
        <v>4730</v>
      </c>
      <c r="I355" s="55" t="n">
        <v>4730</v>
      </c>
      <c r="J355" s="52" t="s">
        <v>5818</v>
      </c>
      <c r="K355" s="56" t="n">
        <v>1</v>
      </c>
      <c r="L355" s="52" t="s">
        <v>5816</v>
      </c>
      <c r="M355" s="52" t="s">
        <v>66</v>
      </c>
    </row>
    <row r="356" customFormat="false" ht="17.25" hidden="false" customHeight="true" outlineLevel="0" collapsed="false">
      <c r="A356" s="52" t="s">
        <v>5777</v>
      </c>
      <c r="B356" s="52" t="s">
        <v>5813</v>
      </c>
      <c r="C356" s="53" t="n">
        <v>1679656</v>
      </c>
      <c r="D356" s="52" t="s">
        <v>924</v>
      </c>
      <c r="E356" s="52" t="s">
        <v>925</v>
      </c>
      <c r="F356" s="54" t="n">
        <v>4</v>
      </c>
      <c r="G356" s="55" t="n">
        <v>4704</v>
      </c>
      <c r="H356" s="55" t="n">
        <v>1176</v>
      </c>
      <c r="I356" s="55" t="n">
        <v>1176</v>
      </c>
      <c r="J356" s="52" t="s">
        <v>5816</v>
      </c>
      <c r="K356" s="56" t="n">
        <v>1</v>
      </c>
      <c r="L356" s="52" t="s">
        <v>5816</v>
      </c>
      <c r="M356" s="52" t="s">
        <v>480</v>
      </c>
    </row>
    <row r="357" customFormat="false" ht="17.25" hidden="false" customHeight="true" outlineLevel="0" collapsed="false">
      <c r="A357" s="52" t="s">
        <v>5777</v>
      </c>
      <c r="B357" s="52" t="s">
        <v>5813</v>
      </c>
      <c r="C357" s="53" t="n">
        <v>1386845</v>
      </c>
      <c r="D357" s="52" t="s">
        <v>926</v>
      </c>
      <c r="E357" s="52" t="s">
        <v>927</v>
      </c>
      <c r="F357" s="54" t="n">
        <v>28</v>
      </c>
      <c r="G357" s="55" t="n">
        <v>4702.04</v>
      </c>
      <c r="H357" s="55" t="n">
        <v>167.93</v>
      </c>
      <c r="I357" s="55" t="n">
        <v>167.93</v>
      </c>
      <c r="J357" s="52" t="s">
        <v>5816</v>
      </c>
      <c r="K357" s="56" t="n">
        <v>1</v>
      </c>
      <c r="L357" s="52" t="s">
        <v>5816</v>
      </c>
      <c r="M357" s="52" t="s">
        <v>100</v>
      </c>
    </row>
    <row r="358" customFormat="false" ht="17.25" hidden="false" customHeight="true" outlineLevel="0" collapsed="false">
      <c r="A358" s="52" t="s">
        <v>5777</v>
      </c>
      <c r="B358" s="52" t="s">
        <v>5813</v>
      </c>
      <c r="C358" s="53" t="n">
        <v>259864</v>
      </c>
      <c r="D358" s="52" t="s">
        <v>928</v>
      </c>
      <c r="E358" s="52" t="s">
        <v>929</v>
      </c>
      <c r="F358" s="54" t="n">
        <v>30</v>
      </c>
      <c r="G358" s="55" t="n">
        <v>4665</v>
      </c>
      <c r="H358" s="55" t="n">
        <v>155.5</v>
      </c>
      <c r="I358" s="55" t="n">
        <v>160</v>
      </c>
      <c r="J358" s="52" t="s">
        <v>5816</v>
      </c>
      <c r="K358" s="56" t="n">
        <v>1</v>
      </c>
      <c r="L358" s="52" t="s">
        <v>5816</v>
      </c>
      <c r="M358" s="52" t="s">
        <v>605</v>
      </c>
    </row>
    <row r="359" customFormat="false" ht="17.25" hidden="false" customHeight="true" outlineLevel="0" collapsed="false">
      <c r="A359" s="52" t="s">
        <v>5777</v>
      </c>
      <c r="B359" s="52" t="s">
        <v>5813</v>
      </c>
      <c r="C359" s="53" t="n">
        <v>1674330</v>
      </c>
      <c r="D359" s="52" t="s">
        <v>930</v>
      </c>
      <c r="E359" s="52" t="s">
        <v>931</v>
      </c>
      <c r="F359" s="54" t="n">
        <v>1</v>
      </c>
      <c r="G359" s="55" t="n">
        <v>4620</v>
      </c>
      <c r="H359" s="55" t="n">
        <v>4620</v>
      </c>
      <c r="I359" s="55" t="n">
        <v>4620</v>
      </c>
      <c r="J359" s="52" t="s">
        <v>5816</v>
      </c>
      <c r="K359" s="56" t="n">
        <v>1</v>
      </c>
      <c r="L359" s="52" t="s">
        <v>5816</v>
      </c>
      <c r="M359" s="52" t="s">
        <v>480</v>
      </c>
    </row>
    <row r="360" customFormat="false" ht="17.25" hidden="false" customHeight="true" outlineLevel="0" collapsed="false">
      <c r="A360" s="52" t="s">
        <v>5777</v>
      </c>
      <c r="B360" s="52" t="s">
        <v>5813</v>
      </c>
      <c r="C360" s="53" t="n">
        <v>1674331</v>
      </c>
      <c r="D360" s="52" t="s">
        <v>932</v>
      </c>
      <c r="E360" s="52" t="s">
        <v>933</v>
      </c>
      <c r="F360" s="54" t="n">
        <v>2</v>
      </c>
      <c r="G360" s="55" t="n">
        <v>4620</v>
      </c>
      <c r="H360" s="55" t="n">
        <v>2310</v>
      </c>
      <c r="I360" s="55" t="n">
        <v>2310</v>
      </c>
      <c r="J360" s="52" t="s">
        <v>5816</v>
      </c>
      <c r="K360" s="56" t="n">
        <v>1</v>
      </c>
      <c r="L360" s="52" t="s">
        <v>5816</v>
      </c>
      <c r="M360" s="52" t="s">
        <v>480</v>
      </c>
    </row>
    <row r="361" customFormat="false" ht="17.25" hidden="false" customHeight="true" outlineLevel="0" collapsed="false">
      <c r="A361" s="52" t="s">
        <v>5777</v>
      </c>
      <c r="B361" s="52" t="s">
        <v>5813</v>
      </c>
      <c r="C361" s="53" t="n">
        <v>1478260</v>
      </c>
      <c r="D361" s="52" t="s">
        <v>934</v>
      </c>
      <c r="E361" s="52" t="s">
        <v>935</v>
      </c>
      <c r="F361" s="54" t="n">
        <v>39.796</v>
      </c>
      <c r="G361" s="55" t="n">
        <v>4603.15</v>
      </c>
      <c r="H361" s="55" t="n">
        <v>115.6687</v>
      </c>
      <c r="I361" s="55" t="n">
        <v>115.6687</v>
      </c>
      <c r="J361" s="52" t="s">
        <v>5815</v>
      </c>
      <c r="K361" s="56" t="n">
        <v>1</v>
      </c>
      <c r="L361" s="52" t="s">
        <v>5815</v>
      </c>
      <c r="M361" s="52" t="s">
        <v>133</v>
      </c>
    </row>
    <row r="362" customFormat="false" ht="17.25" hidden="false" customHeight="true" outlineLevel="0" collapsed="false">
      <c r="A362" s="52" t="s">
        <v>5777</v>
      </c>
      <c r="B362" s="52" t="s">
        <v>5813</v>
      </c>
      <c r="C362" s="53" t="n">
        <v>1387038</v>
      </c>
      <c r="D362" s="52" t="s">
        <v>936</v>
      </c>
      <c r="E362" s="52" t="s">
        <v>937</v>
      </c>
      <c r="F362" s="54" t="n">
        <v>344</v>
      </c>
      <c r="G362" s="55" t="n">
        <v>4521.03</v>
      </c>
      <c r="H362" s="55" t="n">
        <v>13.1425</v>
      </c>
      <c r="I362" s="55" t="n">
        <v>29.06</v>
      </c>
      <c r="J362" s="52" t="s">
        <v>5816</v>
      </c>
      <c r="K362" s="56" t="n">
        <v>1</v>
      </c>
      <c r="L362" s="52" t="s">
        <v>5816</v>
      </c>
      <c r="M362" s="52" t="s">
        <v>133</v>
      </c>
    </row>
    <row r="363" customFormat="false" ht="17.25" hidden="false" customHeight="true" outlineLevel="0" collapsed="false">
      <c r="A363" s="52" t="s">
        <v>5777</v>
      </c>
      <c r="B363" s="52" t="s">
        <v>5813</v>
      </c>
      <c r="C363" s="53" t="n">
        <v>1088162</v>
      </c>
      <c r="D363" s="52" t="s">
        <v>938</v>
      </c>
      <c r="E363" s="52" t="s">
        <v>939</v>
      </c>
      <c r="F363" s="54" t="n">
        <v>10</v>
      </c>
      <c r="G363" s="55" t="n">
        <v>4500</v>
      </c>
      <c r="H363" s="55" t="n">
        <v>450</v>
      </c>
      <c r="I363" s="55" t="n">
        <v>450</v>
      </c>
      <c r="J363" s="52" t="s">
        <v>5816</v>
      </c>
      <c r="K363" s="56" t="n">
        <v>1</v>
      </c>
      <c r="L363" s="52" t="s">
        <v>5816</v>
      </c>
      <c r="M363" s="52" t="s">
        <v>189</v>
      </c>
    </row>
    <row r="364" customFormat="false" ht="17.25" hidden="false" customHeight="true" outlineLevel="0" collapsed="false">
      <c r="A364" s="52" t="s">
        <v>5777</v>
      </c>
      <c r="B364" s="52" t="s">
        <v>5813</v>
      </c>
      <c r="C364" s="53" t="n">
        <v>1672549</v>
      </c>
      <c r="D364" s="52" t="s">
        <v>942</v>
      </c>
      <c r="E364" s="52" t="s">
        <v>943</v>
      </c>
      <c r="F364" s="54" t="n">
        <v>50</v>
      </c>
      <c r="G364" s="55" t="n">
        <v>4493</v>
      </c>
      <c r="H364" s="55" t="n">
        <v>89.86</v>
      </c>
      <c r="I364" s="55" t="n">
        <v>89.86</v>
      </c>
      <c r="J364" s="52" t="s">
        <v>5816</v>
      </c>
      <c r="K364" s="56" t="n">
        <v>1</v>
      </c>
      <c r="L364" s="52" t="s">
        <v>5816</v>
      </c>
      <c r="M364" s="52" t="s">
        <v>66</v>
      </c>
    </row>
    <row r="365" customFormat="false" ht="17.25" hidden="false" customHeight="true" outlineLevel="0" collapsed="false">
      <c r="A365" s="52" t="s">
        <v>5777</v>
      </c>
      <c r="B365" s="52" t="s">
        <v>5813</v>
      </c>
      <c r="C365" s="53" t="n">
        <v>1672555</v>
      </c>
      <c r="D365" s="52" t="s">
        <v>944</v>
      </c>
      <c r="E365" s="52" t="s">
        <v>945</v>
      </c>
      <c r="F365" s="54" t="n">
        <v>24</v>
      </c>
      <c r="G365" s="55" t="n">
        <v>4492.8</v>
      </c>
      <c r="H365" s="55" t="n">
        <v>187.2</v>
      </c>
      <c r="I365" s="55" t="n">
        <v>187.2</v>
      </c>
      <c r="J365" s="52" t="s">
        <v>5816</v>
      </c>
      <c r="K365" s="56" t="n">
        <v>1</v>
      </c>
      <c r="L365" s="52" t="s">
        <v>5816</v>
      </c>
      <c r="M365" s="52" t="s">
        <v>66</v>
      </c>
    </row>
    <row r="366" customFormat="false" ht="17.25" hidden="false" customHeight="true" outlineLevel="0" collapsed="false">
      <c r="A366" s="52" t="s">
        <v>5777</v>
      </c>
      <c r="B366" s="52" t="s">
        <v>5813</v>
      </c>
      <c r="C366" s="53" t="n">
        <v>1259179</v>
      </c>
      <c r="D366" s="52" t="s">
        <v>946</v>
      </c>
      <c r="E366" s="52" t="s">
        <v>947</v>
      </c>
      <c r="F366" s="54" t="n">
        <v>180</v>
      </c>
      <c r="G366" s="55" t="n">
        <v>4482</v>
      </c>
      <c r="H366" s="55" t="n">
        <v>24.9</v>
      </c>
      <c r="I366" s="55" t="n">
        <v>24.9</v>
      </c>
      <c r="J366" s="52" t="s">
        <v>5816</v>
      </c>
      <c r="K366" s="56" t="n">
        <v>1</v>
      </c>
      <c r="L366" s="52" t="s">
        <v>5816</v>
      </c>
      <c r="M366" s="52" t="s">
        <v>133</v>
      </c>
    </row>
    <row r="367" customFormat="false" ht="17.25" hidden="false" customHeight="true" outlineLevel="0" collapsed="false">
      <c r="A367" s="52" t="s">
        <v>5777</v>
      </c>
      <c r="B367" s="52" t="s">
        <v>5813</v>
      </c>
      <c r="C367" s="53" t="n">
        <v>1387274</v>
      </c>
      <c r="D367" s="52" t="s">
        <v>950</v>
      </c>
      <c r="E367" s="52" t="s">
        <v>951</v>
      </c>
      <c r="F367" s="54" t="n">
        <v>514</v>
      </c>
      <c r="G367" s="55" t="n">
        <v>4456.38</v>
      </c>
      <c r="H367" s="55" t="n">
        <v>8.67</v>
      </c>
      <c r="I367" s="55" t="n">
        <v>8.67</v>
      </c>
      <c r="J367" s="52" t="s">
        <v>5816</v>
      </c>
      <c r="K367" s="56" t="n">
        <v>1</v>
      </c>
      <c r="L367" s="52" t="s">
        <v>5816</v>
      </c>
      <c r="M367" s="52" t="s">
        <v>394</v>
      </c>
    </row>
    <row r="368" customFormat="false" ht="17.25" hidden="false" customHeight="true" outlineLevel="0" collapsed="false">
      <c r="A368" s="52" t="s">
        <v>5777</v>
      </c>
      <c r="B368" s="52" t="s">
        <v>5813</v>
      </c>
      <c r="C368" s="53" t="n">
        <v>1113619</v>
      </c>
      <c r="D368" s="52" t="s">
        <v>952</v>
      </c>
      <c r="E368" s="52" t="s">
        <v>953</v>
      </c>
      <c r="F368" s="54" t="n">
        <v>328</v>
      </c>
      <c r="G368" s="55" t="n">
        <v>4418.16</v>
      </c>
      <c r="H368" s="55" t="n">
        <v>13.47</v>
      </c>
      <c r="I368" s="55" t="n">
        <v>13.47</v>
      </c>
      <c r="J368" s="52" t="s">
        <v>5816</v>
      </c>
      <c r="K368" s="56" t="n">
        <v>1</v>
      </c>
      <c r="L368" s="52" t="s">
        <v>5816</v>
      </c>
      <c r="M368" s="52" t="s">
        <v>100</v>
      </c>
    </row>
    <row r="369" customFormat="false" ht="17.25" hidden="false" customHeight="true" outlineLevel="0" collapsed="false">
      <c r="A369" s="52" t="s">
        <v>5777</v>
      </c>
      <c r="B369" s="52" t="s">
        <v>5813</v>
      </c>
      <c r="C369" s="53" t="n">
        <v>1311230</v>
      </c>
      <c r="D369" s="52" t="s">
        <v>954</v>
      </c>
      <c r="E369" s="52" t="s">
        <v>5853</v>
      </c>
      <c r="F369" s="54" t="n">
        <v>10</v>
      </c>
      <c r="G369" s="55" t="n">
        <v>4413.5</v>
      </c>
      <c r="H369" s="55" t="n">
        <v>441.35</v>
      </c>
      <c r="I369" s="55" t="n">
        <v>441.35</v>
      </c>
      <c r="J369" s="52" t="s">
        <v>5816</v>
      </c>
      <c r="K369" s="56" t="n">
        <v>1</v>
      </c>
      <c r="L369" s="52" t="s">
        <v>5816</v>
      </c>
      <c r="M369" s="52" t="s">
        <v>570</v>
      </c>
    </row>
    <row r="370" customFormat="false" ht="17.25" hidden="false" customHeight="true" outlineLevel="0" collapsed="false">
      <c r="A370" s="52" t="s">
        <v>5777</v>
      </c>
      <c r="B370" s="52" t="s">
        <v>5813</v>
      </c>
      <c r="C370" s="53" t="n">
        <v>1470933</v>
      </c>
      <c r="D370" s="52" t="s">
        <v>956</v>
      </c>
      <c r="E370" s="52" t="s">
        <v>957</v>
      </c>
      <c r="F370" s="54" t="n">
        <v>30</v>
      </c>
      <c r="G370" s="55" t="n">
        <v>4400</v>
      </c>
      <c r="H370" s="55" t="n">
        <v>146.6667</v>
      </c>
      <c r="I370" s="55" t="n">
        <v>146.665</v>
      </c>
      <c r="J370" s="52" t="s">
        <v>5814</v>
      </c>
      <c r="K370" s="56" t="n">
        <v>1</v>
      </c>
      <c r="L370" s="52" t="s">
        <v>5814</v>
      </c>
      <c r="M370" s="52" t="s">
        <v>54</v>
      </c>
    </row>
    <row r="371" customFormat="false" ht="17.25" hidden="false" customHeight="true" outlineLevel="0" collapsed="false">
      <c r="A371" s="52" t="s">
        <v>5777</v>
      </c>
      <c r="B371" s="52" t="s">
        <v>5813</v>
      </c>
      <c r="C371" s="53" t="n">
        <v>1383151</v>
      </c>
      <c r="D371" s="52" t="s">
        <v>958</v>
      </c>
      <c r="E371" s="52" t="s">
        <v>959</v>
      </c>
      <c r="F371" s="54" t="n">
        <v>3</v>
      </c>
      <c r="G371" s="55" t="n">
        <v>4394.87</v>
      </c>
      <c r="H371" s="55" t="n">
        <v>1464.9567</v>
      </c>
      <c r="I371" s="55" t="n">
        <v>1199</v>
      </c>
      <c r="J371" s="52" t="s">
        <v>5816</v>
      </c>
      <c r="K371" s="56" t="n">
        <v>1</v>
      </c>
      <c r="L371" s="52" t="s">
        <v>5816</v>
      </c>
      <c r="M371" s="52" t="s">
        <v>54</v>
      </c>
    </row>
    <row r="372" customFormat="false" ht="17.25" hidden="false" customHeight="true" outlineLevel="0" collapsed="false">
      <c r="A372" s="52" t="s">
        <v>5777</v>
      </c>
      <c r="B372" s="52" t="s">
        <v>5813</v>
      </c>
      <c r="C372" s="53" t="n">
        <v>884972</v>
      </c>
      <c r="D372" s="52" t="s">
        <v>960</v>
      </c>
      <c r="E372" s="52" t="s">
        <v>961</v>
      </c>
      <c r="F372" s="54" t="n">
        <v>3</v>
      </c>
      <c r="G372" s="55" t="n">
        <v>4350</v>
      </c>
      <c r="H372" s="55" t="n">
        <v>1450</v>
      </c>
      <c r="I372" s="55" t="n">
        <v>1450</v>
      </c>
      <c r="J372" s="52" t="s">
        <v>5817</v>
      </c>
      <c r="K372" s="56" t="n">
        <v>1</v>
      </c>
      <c r="L372" s="52" t="s">
        <v>5817</v>
      </c>
      <c r="M372" s="52" t="s">
        <v>130</v>
      </c>
    </row>
    <row r="373" customFormat="false" ht="17.25" hidden="false" customHeight="true" outlineLevel="0" collapsed="false">
      <c r="A373" s="52" t="s">
        <v>5777</v>
      </c>
      <c r="B373" s="52" t="s">
        <v>5813</v>
      </c>
      <c r="C373" s="53" t="n">
        <v>1258630</v>
      </c>
      <c r="D373" s="52" t="s">
        <v>962</v>
      </c>
      <c r="E373" s="52" t="s">
        <v>963</v>
      </c>
      <c r="F373" s="54" t="n">
        <v>5</v>
      </c>
      <c r="G373" s="55" t="n">
        <v>4350</v>
      </c>
      <c r="H373" s="55" t="n">
        <v>870</v>
      </c>
      <c r="I373" s="55" t="n">
        <v>870</v>
      </c>
      <c r="J373" s="52" t="s">
        <v>5831</v>
      </c>
      <c r="K373" s="56" t="n">
        <v>1</v>
      </c>
      <c r="L373" s="52" t="s">
        <v>5831</v>
      </c>
      <c r="M373" s="52" t="s">
        <v>247</v>
      </c>
    </row>
    <row r="374" customFormat="false" ht="17.25" hidden="false" customHeight="true" outlineLevel="0" collapsed="false">
      <c r="A374" s="52" t="s">
        <v>5777</v>
      </c>
      <c r="B374" s="52" t="s">
        <v>5813</v>
      </c>
      <c r="C374" s="53" t="n">
        <v>1385728</v>
      </c>
      <c r="D374" s="52" t="s">
        <v>964</v>
      </c>
      <c r="E374" s="52" t="s">
        <v>965</v>
      </c>
      <c r="F374" s="54" t="n">
        <v>83</v>
      </c>
      <c r="G374" s="55" t="n">
        <v>4347.24</v>
      </c>
      <c r="H374" s="55" t="n">
        <v>52.3764</v>
      </c>
      <c r="I374" s="55" t="n">
        <v>37.44</v>
      </c>
      <c r="J374" s="52" t="s">
        <v>5816</v>
      </c>
      <c r="K374" s="56" t="n">
        <v>1</v>
      </c>
      <c r="L374" s="52" t="s">
        <v>5816</v>
      </c>
      <c r="M374" s="52" t="s">
        <v>38</v>
      </c>
    </row>
    <row r="375" customFormat="false" ht="17.25" hidden="false" customHeight="true" outlineLevel="0" collapsed="false">
      <c r="A375" s="52" t="s">
        <v>5777</v>
      </c>
      <c r="B375" s="52" t="s">
        <v>5813</v>
      </c>
      <c r="C375" s="53" t="n">
        <v>19239</v>
      </c>
      <c r="D375" s="52" t="s">
        <v>966</v>
      </c>
      <c r="E375" s="52" t="s">
        <v>967</v>
      </c>
      <c r="F375" s="54" t="n">
        <v>7</v>
      </c>
      <c r="G375" s="55" t="n">
        <v>4344.27</v>
      </c>
      <c r="H375" s="55" t="n">
        <v>620.61</v>
      </c>
      <c r="I375" s="55" t="n">
        <v>620.61</v>
      </c>
      <c r="J375" s="52" t="s">
        <v>5816</v>
      </c>
      <c r="K375" s="56" t="n">
        <v>1</v>
      </c>
      <c r="L375" s="52" t="s">
        <v>5816</v>
      </c>
      <c r="M375" s="52" t="s">
        <v>93</v>
      </c>
    </row>
    <row r="376" customFormat="false" ht="17.25" hidden="false" customHeight="true" outlineLevel="0" collapsed="false">
      <c r="A376" s="52" t="s">
        <v>5777</v>
      </c>
      <c r="B376" s="52" t="s">
        <v>5813</v>
      </c>
      <c r="C376" s="53" t="n">
        <v>138102</v>
      </c>
      <c r="D376" s="52" t="s">
        <v>968</v>
      </c>
      <c r="E376" s="52" t="s">
        <v>969</v>
      </c>
      <c r="F376" s="54" t="n">
        <v>40</v>
      </c>
      <c r="G376" s="55" t="n">
        <v>4320</v>
      </c>
      <c r="H376" s="55" t="n">
        <v>108</v>
      </c>
      <c r="I376" s="55" t="n">
        <v>108</v>
      </c>
      <c r="J376" s="52" t="s">
        <v>5816</v>
      </c>
      <c r="K376" s="56" t="n">
        <v>1</v>
      </c>
      <c r="L376" s="52" t="s">
        <v>5816</v>
      </c>
      <c r="M376" s="52" t="s">
        <v>355</v>
      </c>
    </row>
    <row r="377" customFormat="false" ht="17.25" hidden="false" customHeight="true" outlineLevel="0" collapsed="false">
      <c r="A377" s="52" t="s">
        <v>5777</v>
      </c>
      <c r="B377" s="52" t="s">
        <v>5813</v>
      </c>
      <c r="C377" s="53" t="n">
        <v>12562</v>
      </c>
      <c r="D377" s="52" t="s">
        <v>970</v>
      </c>
      <c r="E377" s="52" t="s">
        <v>971</v>
      </c>
      <c r="F377" s="54" t="n">
        <v>54</v>
      </c>
      <c r="G377" s="55" t="n">
        <v>4304.76</v>
      </c>
      <c r="H377" s="55" t="n">
        <v>79.7178</v>
      </c>
      <c r="I377" s="55" t="n">
        <v>4.98</v>
      </c>
      <c r="J377" s="52" t="s">
        <v>5816</v>
      </c>
      <c r="K377" s="56" t="n">
        <v>1</v>
      </c>
      <c r="L377" s="52" t="s">
        <v>5816</v>
      </c>
      <c r="M377" s="52" t="s">
        <v>38</v>
      </c>
    </row>
    <row r="378" customFormat="false" ht="17.25" hidden="false" customHeight="true" outlineLevel="0" collapsed="false">
      <c r="A378" s="52" t="s">
        <v>5777</v>
      </c>
      <c r="B378" s="52" t="s">
        <v>5813</v>
      </c>
      <c r="C378" s="53" t="n">
        <v>22819</v>
      </c>
      <c r="D378" s="52" t="s">
        <v>972</v>
      </c>
      <c r="E378" s="52" t="s">
        <v>973</v>
      </c>
      <c r="F378" s="54" t="n">
        <v>6</v>
      </c>
      <c r="G378" s="55" t="n">
        <v>4292</v>
      </c>
      <c r="H378" s="55" t="n">
        <v>715.3333</v>
      </c>
      <c r="I378" s="55" t="n">
        <v>68</v>
      </c>
      <c r="J378" s="52" t="s">
        <v>5816</v>
      </c>
      <c r="K378" s="56" t="n">
        <v>1</v>
      </c>
      <c r="L378" s="52" t="s">
        <v>5816</v>
      </c>
      <c r="M378" s="52" t="s">
        <v>637</v>
      </c>
    </row>
    <row r="379" customFormat="false" ht="17.25" hidden="false" customHeight="true" outlineLevel="0" collapsed="false">
      <c r="A379" s="52" t="s">
        <v>5777</v>
      </c>
      <c r="B379" s="52" t="s">
        <v>5813</v>
      </c>
      <c r="C379" s="53" t="n">
        <v>1662289</v>
      </c>
      <c r="D379" s="52" t="s">
        <v>974</v>
      </c>
      <c r="E379" s="52" t="s">
        <v>975</v>
      </c>
      <c r="F379" s="54" t="n">
        <v>13</v>
      </c>
      <c r="G379" s="55" t="n">
        <v>4290</v>
      </c>
      <c r="H379" s="55" t="n">
        <v>330</v>
      </c>
      <c r="I379" s="55" t="n">
        <v>330</v>
      </c>
      <c r="J379" s="52" t="s">
        <v>5816</v>
      </c>
      <c r="K379" s="56" t="n">
        <v>1</v>
      </c>
      <c r="L379" s="52" t="s">
        <v>5816</v>
      </c>
      <c r="M379" s="52" t="s">
        <v>38</v>
      </c>
    </row>
    <row r="380" customFormat="false" ht="17.25" hidden="false" customHeight="true" outlineLevel="0" collapsed="false">
      <c r="A380" s="52" t="s">
        <v>5777</v>
      </c>
      <c r="B380" s="52" t="s">
        <v>5813</v>
      </c>
      <c r="C380" s="53" t="n">
        <v>1679926</v>
      </c>
      <c r="D380" s="52" t="s">
        <v>976</v>
      </c>
      <c r="E380" s="52" t="s">
        <v>977</v>
      </c>
      <c r="F380" s="54" t="n">
        <v>2</v>
      </c>
      <c r="G380" s="55" t="n">
        <v>4233.74</v>
      </c>
      <c r="H380" s="55" t="n">
        <v>2116.87</v>
      </c>
      <c r="I380" s="55" t="n">
        <v>2116.87</v>
      </c>
      <c r="J380" s="52" t="s">
        <v>5816</v>
      </c>
      <c r="K380" s="56" t="n">
        <v>1</v>
      </c>
      <c r="L380" s="52" t="s">
        <v>5816</v>
      </c>
      <c r="M380" s="52" t="s">
        <v>705</v>
      </c>
    </row>
    <row r="381" customFormat="false" ht="17.25" hidden="false" customHeight="true" outlineLevel="0" collapsed="false">
      <c r="A381" s="52" t="s">
        <v>5777</v>
      </c>
      <c r="B381" s="52" t="s">
        <v>5813</v>
      </c>
      <c r="C381" s="53" t="n">
        <v>1539002</v>
      </c>
      <c r="D381" s="52" t="s">
        <v>980</v>
      </c>
      <c r="E381" s="57" t="s">
        <v>5854</v>
      </c>
      <c r="F381" s="54" t="n">
        <v>300</v>
      </c>
      <c r="G381" s="55" t="n">
        <v>4215</v>
      </c>
      <c r="H381" s="55" t="n">
        <v>14.05</v>
      </c>
      <c r="I381" s="55" t="n">
        <v>14.05</v>
      </c>
      <c r="J381" s="52" t="s">
        <v>5814</v>
      </c>
      <c r="K381" s="56" t="n">
        <v>1</v>
      </c>
      <c r="L381" s="52" t="s">
        <v>5814</v>
      </c>
      <c r="M381" s="52" t="s">
        <v>38</v>
      </c>
    </row>
    <row r="382" customFormat="false" ht="17.25" hidden="false" customHeight="true" outlineLevel="0" collapsed="false">
      <c r="A382" s="52" t="s">
        <v>5777</v>
      </c>
      <c r="B382" s="52" t="s">
        <v>5813</v>
      </c>
      <c r="C382" s="53" t="n">
        <v>1382598</v>
      </c>
      <c r="D382" s="52" t="s">
        <v>984</v>
      </c>
      <c r="E382" s="52" t="s">
        <v>985</v>
      </c>
      <c r="F382" s="54" t="n">
        <v>26</v>
      </c>
      <c r="G382" s="55" t="n">
        <v>4211.49</v>
      </c>
      <c r="H382" s="55" t="n">
        <v>161.98</v>
      </c>
      <c r="I382" s="55" t="n">
        <v>161.98</v>
      </c>
      <c r="J382" s="52" t="s">
        <v>5816</v>
      </c>
      <c r="K382" s="56" t="n">
        <v>1</v>
      </c>
      <c r="L382" s="52" t="s">
        <v>5816</v>
      </c>
      <c r="M382" s="52" t="s">
        <v>38</v>
      </c>
    </row>
    <row r="383" customFormat="false" ht="17.25" hidden="false" customHeight="true" outlineLevel="0" collapsed="false">
      <c r="A383" s="52" t="s">
        <v>5777</v>
      </c>
      <c r="B383" s="52" t="s">
        <v>5813</v>
      </c>
      <c r="C383" s="53" t="n">
        <v>554779</v>
      </c>
      <c r="D383" s="52" t="s">
        <v>986</v>
      </c>
      <c r="E383" s="52" t="s">
        <v>987</v>
      </c>
      <c r="F383" s="54" t="n">
        <v>2</v>
      </c>
      <c r="G383" s="55" t="n">
        <v>4200</v>
      </c>
      <c r="H383" s="55" t="n">
        <v>2100</v>
      </c>
      <c r="I383" s="55" t="n">
        <v>2100</v>
      </c>
      <c r="J383" s="52" t="s">
        <v>5816</v>
      </c>
      <c r="K383" s="56" t="n">
        <v>1</v>
      </c>
      <c r="L383" s="52" t="s">
        <v>5816</v>
      </c>
      <c r="M383" s="52" t="s">
        <v>130</v>
      </c>
    </row>
    <row r="384" customFormat="false" ht="17.25" hidden="false" customHeight="true" outlineLevel="0" collapsed="false">
      <c r="A384" s="52" t="s">
        <v>5777</v>
      </c>
      <c r="B384" s="52" t="s">
        <v>5813</v>
      </c>
      <c r="C384" s="53" t="n">
        <v>1310603</v>
      </c>
      <c r="D384" s="52" t="s">
        <v>988</v>
      </c>
      <c r="E384" s="52" t="s">
        <v>989</v>
      </c>
      <c r="F384" s="54" t="n">
        <v>160</v>
      </c>
      <c r="G384" s="55" t="n">
        <v>4166.4</v>
      </c>
      <c r="H384" s="55" t="n">
        <v>26.04</v>
      </c>
      <c r="I384" s="55" t="n">
        <v>26.04</v>
      </c>
      <c r="J384" s="52" t="s">
        <v>5816</v>
      </c>
      <c r="K384" s="56" t="n">
        <v>1</v>
      </c>
      <c r="L384" s="52" t="s">
        <v>5816</v>
      </c>
      <c r="M384" s="52" t="s">
        <v>480</v>
      </c>
    </row>
    <row r="385" customFormat="false" ht="17.25" hidden="false" customHeight="true" outlineLevel="0" collapsed="false">
      <c r="A385" s="52" t="s">
        <v>5777</v>
      </c>
      <c r="B385" s="52" t="s">
        <v>5813</v>
      </c>
      <c r="C385" s="53" t="n">
        <v>1106753</v>
      </c>
      <c r="D385" s="52" t="s">
        <v>990</v>
      </c>
      <c r="E385" s="52" t="s">
        <v>991</v>
      </c>
      <c r="F385" s="54" t="n">
        <v>75</v>
      </c>
      <c r="G385" s="55" t="n">
        <v>4125</v>
      </c>
      <c r="H385" s="55" t="n">
        <v>55</v>
      </c>
      <c r="I385" s="55" t="n">
        <v>55</v>
      </c>
      <c r="J385" s="52" t="s">
        <v>5816</v>
      </c>
      <c r="K385" s="56" t="n">
        <v>1</v>
      </c>
      <c r="L385" s="52" t="s">
        <v>5816</v>
      </c>
      <c r="M385" s="52" t="s">
        <v>360</v>
      </c>
    </row>
    <row r="386" customFormat="false" ht="17.25" hidden="false" customHeight="true" outlineLevel="0" collapsed="false">
      <c r="A386" s="52" t="s">
        <v>5777</v>
      </c>
      <c r="B386" s="52" t="s">
        <v>5813</v>
      </c>
      <c r="C386" s="53" t="n">
        <v>1383080</v>
      </c>
      <c r="D386" s="52" t="s">
        <v>992</v>
      </c>
      <c r="E386" s="52" t="s">
        <v>993</v>
      </c>
      <c r="F386" s="54" t="n">
        <v>12</v>
      </c>
      <c r="G386" s="55" t="n">
        <v>4095.39</v>
      </c>
      <c r="H386" s="55" t="n">
        <v>341.2825</v>
      </c>
      <c r="I386" s="55" t="n">
        <v>341.2825</v>
      </c>
      <c r="J386" s="52" t="s">
        <v>5816</v>
      </c>
      <c r="K386" s="56" t="n">
        <v>1</v>
      </c>
      <c r="L386" s="52" t="s">
        <v>5816</v>
      </c>
      <c r="M386" s="52" t="s">
        <v>38</v>
      </c>
    </row>
    <row r="387" customFormat="false" ht="17.25" hidden="false" customHeight="true" outlineLevel="0" collapsed="false">
      <c r="A387" s="52" t="s">
        <v>5777</v>
      </c>
      <c r="B387" s="52" t="s">
        <v>5813</v>
      </c>
      <c r="C387" s="53" t="n">
        <v>867723</v>
      </c>
      <c r="D387" s="52" t="s">
        <v>948</v>
      </c>
      <c r="E387" s="52" t="s">
        <v>949</v>
      </c>
      <c r="F387" s="54" t="n">
        <v>16</v>
      </c>
      <c r="G387" s="55" t="n">
        <v>4092.8</v>
      </c>
      <c r="H387" s="55" t="n">
        <v>255.8</v>
      </c>
      <c r="I387" s="55" t="n">
        <v>239</v>
      </c>
      <c r="J387" s="52" t="s">
        <v>5816</v>
      </c>
      <c r="K387" s="56" t="n">
        <v>1</v>
      </c>
      <c r="L387" s="52" t="s">
        <v>5816</v>
      </c>
      <c r="M387" s="52" t="s">
        <v>247</v>
      </c>
    </row>
    <row r="388" customFormat="false" ht="17.25" hidden="false" customHeight="true" outlineLevel="0" collapsed="false">
      <c r="A388" s="52" t="s">
        <v>5777</v>
      </c>
      <c r="B388" s="52" t="s">
        <v>5813</v>
      </c>
      <c r="C388" s="53" t="n">
        <v>35503</v>
      </c>
      <c r="D388" s="52" t="s">
        <v>994</v>
      </c>
      <c r="E388" s="52" t="s">
        <v>995</v>
      </c>
      <c r="F388" s="54" t="n">
        <v>16</v>
      </c>
      <c r="G388" s="55" t="n">
        <v>4070.84</v>
      </c>
      <c r="H388" s="55" t="n">
        <v>254.4275</v>
      </c>
      <c r="I388" s="55" t="n">
        <v>260</v>
      </c>
      <c r="J388" s="52" t="s">
        <v>5816</v>
      </c>
      <c r="K388" s="56" t="n">
        <v>1</v>
      </c>
      <c r="L388" s="52" t="s">
        <v>5816</v>
      </c>
      <c r="M388" s="52" t="s">
        <v>247</v>
      </c>
    </row>
    <row r="389" customFormat="false" ht="17.25" hidden="false" customHeight="true" outlineLevel="0" collapsed="false">
      <c r="A389" s="52" t="s">
        <v>5777</v>
      </c>
      <c r="B389" s="52" t="s">
        <v>5813</v>
      </c>
      <c r="C389" s="53" t="n">
        <v>1679924</v>
      </c>
      <c r="D389" s="52" t="s">
        <v>996</v>
      </c>
      <c r="E389" s="52" t="s">
        <v>997</v>
      </c>
      <c r="F389" s="54" t="n">
        <v>2</v>
      </c>
      <c r="G389" s="55" t="n">
        <v>4047.92</v>
      </c>
      <c r="H389" s="55" t="n">
        <v>2023.96</v>
      </c>
      <c r="I389" s="55" t="n">
        <v>2023.96</v>
      </c>
      <c r="J389" s="52" t="s">
        <v>5816</v>
      </c>
      <c r="K389" s="56" t="n">
        <v>1</v>
      </c>
      <c r="L389" s="52" t="s">
        <v>5816</v>
      </c>
      <c r="M389" s="52" t="s">
        <v>705</v>
      </c>
    </row>
    <row r="390" customFormat="false" ht="17.25" hidden="false" customHeight="true" outlineLevel="0" collapsed="false">
      <c r="A390" s="52" t="s">
        <v>5777</v>
      </c>
      <c r="B390" s="52" t="s">
        <v>5813</v>
      </c>
      <c r="C390" s="53" t="n">
        <v>1388235</v>
      </c>
      <c r="D390" s="52" t="s">
        <v>998</v>
      </c>
      <c r="E390" s="52" t="s">
        <v>999</v>
      </c>
      <c r="F390" s="54" t="n">
        <v>51</v>
      </c>
      <c r="G390" s="55" t="n">
        <v>4035.8</v>
      </c>
      <c r="H390" s="55" t="n">
        <v>79.1333</v>
      </c>
      <c r="I390" s="55" t="n">
        <v>76.9</v>
      </c>
      <c r="J390" s="52" t="s">
        <v>5814</v>
      </c>
      <c r="K390" s="56" t="n">
        <v>1</v>
      </c>
      <c r="L390" s="52" t="s">
        <v>5814</v>
      </c>
      <c r="M390" s="52" t="s">
        <v>38</v>
      </c>
    </row>
    <row r="391" customFormat="false" ht="17.25" hidden="false" customHeight="true" outlineLevel="0" collapsed="false">
      <c r="A391" s="52" t="s">
        <v>5777</v>
      </c>
      <c r="B391" s="52" t="s">
        <v>5813</v>
      </c>
      <c r="C391" s="53" t="n">
        <v>1469219</v>
      </c>
      <c r="D391" s="52" t="s">
        <v>1000</v>
      </c>
      <c r="E391" s="52" t="s">
        <v>1001</v>
      </c>
      <c r="F391" s="54" t="n">
        <v>56</v>
      </c>
      <c r="G391" s="55" t="n">
        <v>4032</v>
      </c>
      <c r="H391" s="55" t="n">
        <v>72</v>
      </c>
      <c r="I391" s="55" t="n">
        <v>72</v>
      </c>
      <c r="J391" s="52" t="s">
        <v>5816</v>
      </c>
      <c r="K391" s="56" t="n">
        <v>1</v>
      </c>
      <c r="L391" s="52" t="s">
        <v>5816</v>
      </c>
      <c r="M391" s="52" t="s">
        <v>100</v>
      </c>
    </row>
    <row r="392" customFormat="false" ht="17.25" hidden="false" customHeight="true" outlineLevel="0" collapsed="false">
      <c r="A392" s="52" t="s">
        <v>5777</v>
      </c>
      <c r="B392" s="52" t="s">
        <v>5813</v>
      </c>
      <c r="C392" s="53" t="n">
        <v>1464603</v>
      </c>
      <c r="D392" s="52" t="s">
        <v>1004</v>
      </c>
      <c r="E392" s="52" t="s">
        <v>1005</v>
      </c>
      <c r="F392" s="54" t="n">
        <v>20</v>
      </c>
      <c r="G392" s="55" t="n">
        <v>4012.5</v>
      </c>
      <c r="H392" s="55" t="n">
        <v>200.625</v>
      </c>
      <c r="I392" s="55" t="n">
        <v>166.25</v>
      </c>
      <c r="J392" s="52" t="s">
        <v>5816</v>
      </c>
      <c r="K392" s="56" t="n">
        <v>1</v>
      </c>
      <c r="L392" s="52" t="s">
        <v>5816</v>
      </c>
      <c r="M392" s="52" t="s">
        <v>133</v>
      </c>
    </row>
    <row r="393" customFormat="false" ht="17.25" hidden="false" customHeight="true" outlineLevel="0" collapsed="false">
      <c r="A393" s="52" t="s">
        <v>5777</v>
      </c>
      <c r="B393" s="52" t="s">
        <v>5813</v>
      </c>
      <c r="C393" s="53" t="n">
        <v>1383152</v>
      </c>
      <c r="D393" s="52" t="s">
        <v>1006</v>
      </c>
      <c r="E393" s="52" t="s">
        <v>1007</v>
      </c>
      <c r="F393" s="54" t="n">
        <v>12</v>
      </c>
      <c r="G393" s="55" t="n">
        <v>4011.36</v>
      </c>
      <c r="H393" s="55" t="n">
        <v>334.28</v>
      </c>
      <c r="I393" s="55" t="n">
        <v>334.28</v>
      </c>
      <c r="J393" s="52" t="s">
        <v>5816</v>
      </c>
      <c r="K393" s="56" t="n">
        <v>1</v>
      </c>
      <c r="L393" s="52" t="s">
        <v>5816</v>
      </c>
      <c r="M393" s="52" t="s">
        <v>54</v>
      </c>
    </row>
    <row r="394" customFormat="false" ht="17.25" hidden="false" customHeight="true" outlineLevel="0" collapsed="false">
      <c r="A394" s="52" t="s">
        <v>5777</v>
      </c>
      <c r="B394" s="52" t="s">
        <v>5813</v>
      </c>
      <c r="C394" s="53" t="n">
        <v>54273</v>
      </c>
      <c r="D394" s="52" t="s">
        <v>1008</v>
      </c>
      <c r="E394" s="52" t="s">
        <v>1009</v>
      </c>
      <c r="F394" s="54" t="n">
        <v>10</v>
      </c>
      <c r="G394" s="55" t="n">
        <v>3988.43</v>
      </c>
      <c r="H394" s="55" t="n">
        <v>398.843</v>
      </c>
      <c r="I394" s="55" t="n">
        <v>398.843</v>
      </c>
      <c r="J394" s="52" t="s">
        <v>5816</v>
      </c>
      <c r="K394" s="56" t="n">
        <v>1</v>
      </c>
      <c r="L394" s="52" t="s">
        <v>5816</v>
      </c>
      <c r="M394" s="52" t="s">
        <v>93</v>
      </c>
    </row>
    <row r="395" customFormat="false" ht="17.25" hidden="false" customHeight="true" outlineLevel="0" collapsed="false">
      <c r="A395" s="52" t="s">
        <v>5777</v>
      </c>
      <c r="B395" s="52" t="s">
        <v>5813</v>
      </c>
      <c r="C395" s="53" t="n">
        <v>822559</v>
      </c>
      <c r="D395" s="52" t="s">
        <v>1010</v>
      </c>
      <c r="E395" s="52" t="s">
        <v>1011</v>
      </c>
      <c r="F395" s="54" t="n">
        <v>12</v>
      </c>
      <c r="G395" s="55" t="n">
        <v>3948</v>
      </c>
      <c r="H395" s="55" t="n">
        <v>329</v>
      </c>
      <c r="I395" s="55" t="n">
        <v>329</v>
      </c>
      <c r="J395" s="52" t="s">
        <v>5816</v>
      </c>
      <c r="K395" s="56" t="n">
        <v>1</v>
      </c>
      <c r="L395" s="52" t="s">
        <v>5816</v>
      </c>
      <c r="M395" s="52" t="s">
        <v>113</v>
      </c>
    </row>
    <row r="396" customFormat="false" ht="17.25" hidden="false" customHeight="true" outlineLevel="0" collapsed="false">
      <c r="A396" s="52" t="s">
        <v>5777</v>
      </c>
      <c r="B396" s="52" t="s">
        <v>5813</v>
      </c>
      <c r="C396" s="53" t="n">
        <v>1674332</v>
      </c>
      <c r="D396" s="52" t="s">
        <v>1012</v>
      </c>
      <c r="E396" s="52" t="s">
        <v>1013</v>
      </c>
      <c r="F396" s="54" t="n">
        <v>3</v>
      </c>
      <c r="G396" s="55" t="n">
        <v>3938.1</v>
      </c>
      <c r="H396" s="55" t="n">
        <v>1312.7</v>
      </c>
      <c r="I396" s="55" t="n">
        <v>1312.7</v>
      </c>
      <c r="J396" s="52" t="s">
        <v>5816</v>
      </c>
      <c r="K396" s="56" t="n">
        <v>1</v>
      </c>
      <c r="L396" s="52" t="s">
        <v>5816</v>
      </c>
      <c r="M396" s="52" t="s">
        <v>480</v>
      </c>
    </row>
    <row r="397" customFormat="false" ht="17.25" hidden="false" customHeight="true" outlineLevel="0" collapsed="false">
      <c r="A397" s="52" t="s">
        <v>5777</v>
      </c>
      <c r="B397" s="52" t="s">
        <v>5813</v>
      </c>
      <c r="C397" s="53" t="n">
        <v>1469743</v>
      </c>
      <c r="D397" s="52" t="s">
        <v>1014</v>
      </c>
      <c r="E397" s="52" t="s">
        <v>1015</v>
      </c>
      <c r="F397" s="54" t="n">
        <v>740</v>
      </c>
      <c r="G397" s="55" t="n">
        <v>3929.4</v>
      </c>
      <c r="H397" s="55" t="n">
        <v>5.31</v>
      </c>
      <c r="I397" s="55" t="n">
        <v>5.31</v>
      </c>
      <c r="J397" s="52" t="s">
        <v>5816</v>
      </c>
      <c r="K397" s="56" t="n">
        <v>1</v>
      </c>
      <c r="L397" s="52" t="s">
        <v>5816</v>
      </c>
      <c r="M397" s="52" t="s">
        <v>394</v>
      </c>
    </row>
    <row r="398" customFormat="false" ht="17.25" hidden="false" customHeight="true" outlineLevel="0" collapsed="false">
      <c r="A398" s="52" t="s">
        <v>5777</v>
      </c>
      <c r="B398" s="52" t="s">
        <v>5813</v>
      </c>
      <c r="C398" s="53" t="n">
        <v>1385801</v>
      </c>
      <c r="D398" s="52" t="s">
        <v>1016</v>
      </c>
      <c r="E398" s="52" t="s">
        <v>1017</v>
      </c>
      <c r="F398" s="54" t="n">
        <v>45</v>
      </c>
      <c r="G398" s="55" t="n">
        <v>3922.4</v>
      </c>
      <c r="H398" s="55" t="n">
        <v>87.1644</v>
      </c>
      <c r="I398" s="55" t="n">
        <v>82.16</v>
      </c>
      <c r="J398" s="52" t="s">
        <v>5814</v>
      </c>
      <c r="K398" s="56" t="n">
        <v>1</v>
      </c>
      <c r="L398" s="52" t="s">
        <v>5814</v>
      </c>
      <c r="M398" s="52" t="s">
        <v>38</v>
      </c>
    </row>
    <row r="399" customFormat="false" ht="17.25" hidden="false" customHeight="true" outlineLevel="0" collapsed="false">
      <c r="A399" s="52" t="s">
        <v>5777</v>
      </c>
      <c r="B399" s="52" t="s">
        <v>5813</v>
      </c>
      <c r="C399" s="53" t="n">
        <v>385218</v>
      </c>
      <c r="D399" s="52" t="s">
        <v>1018</v>
      </c>
      <c r="E399" s="52" t="s">
        <v>5855</v>
      </c>
      <c r="F399" s="54" t="n">
        <v>4</v>
      </c>
      <c r="G399" s="55" t="n">
        <v>3920</v>
      </c>
      <c r="H399" s="55" t="n">
        <v>980</v>
      </c>
      <c r="I399" s="55" t="n">
        <v>980</v>
      </c>
      <c r="J399" s="52" t="s">
        <v>5816</v>
      </c>
      <c r="K399" s="56" t="n">
        <v>1</v>
      </c>
      <c r="L399" s="52" t="s">
        <v>5816</v>
      </c>
      <c r="M399" s="52" t="s">
        <v>35</v>
      </c>
    </row>
    <row r="400" customFormat="false" ht="17.25" hidden="false" customHeight="true" outlineLevel="0" collapsed="false">
      <c r="A400" s="52" t="s">
        <v>5777</v>
      </c>
      <c r="B400" s="52" t="s">
        <v>5813</v>
      </c>
      <c r="C400" s="53" t="n">
        <v>1256115</v>
      </c>
      <c r="D400" s="52" t="s">
        <v>1020</v>
      </c>
      <c r="E400" s="52" t="s">
        <v>1021</v>
      </c>
      <c r="F400" s="54" t="n">
        <v>470</v>
      </c>
      <c r="G400" s="55" t="n">
        <v>3915.1</v>
      </c>
      <c r="H400" s="55" t="n">
        <v>8.33</v>
      </c>
      <c r="I400" s="55" t="n">
        <v>8.33</v>
      </c>
      <c r="J400" s="52" t="s">
        <v>5816</v>
      </c>
      <c r="K400" s="56" t="n">
        <v>1</v>
      </c>
      <c r="L400" s="52" t="s">
        <v>5816</v>
      </c>
      <c r="M400" s="52" t="s">
        <v>189</v>
      </c>
    </row>
    <row r="401" customFormat="false" ht="17.25" hidden="false" customHeight="true" outlineLevel="0" collapsed="false">
      <c r="A401" s="52" t="s">
        <v>5777</v>
      </c>
      <c r="B401" s="52" t="s">
        <v>5813</v>
      </c>
      <c r="C401" s="53" t="n">
        <v>22799</v>
      </c>
      <c r="D401" s="52" t="s">
        <v>1022</v>
      </c>
      <c r="E401" s="52" t="s">
        <v>1023</v>
      </c>
      <c r="F401" s="54" t="n">
        <v>2</v>
      </c>
      <c r="G401" s="55" t="n">
        <v>3900</v>
      </c>
      <c r="H401" s="55" t="n">
        <v>1950</v>
      </c>
      <c r="I401" s="55" t="n">
        <v>1950</v>
      </c>
      <c r="J401" s="52" t="s">
        <v>5816</v>
      </c>
      <c r="K401" s="56" t="n">
        <v>1</v>
      </c>
      <c r="L401" s="52" t="s">
        <v>5816</v>
      </c>
      <c r="M401" s="52" t="s">
        <v>189</v>
      </c>
    </row>
    <row r="402" customFormat="false" ht="17.25" hidden="false" customHeight="true" outlineLevel="0" collapsed="false">
      <c r="A402" s="52" t="s">
        <v>5777</v>
      </c>
      <c r="B402" s="52" t="s">
        <v>5813</v>
      </c>
      <c r="C402" s="53" t="n">
        <v>137216</v>
      </c>
      <c r="D402" s="52" t="s">
        <v>1024</v>
      </c>
      <c r="E402" s="52" t="s">
        <v>1025</v>
      </c>
      <c r="F402" s="54" t="n">
        <v>6</v>
      </c>
      <c r="G402" s="55" t="n">
        <v>3818.2</v>
      </c>
      <c r="H402" s="55" t="n">
        <v>636.3667</v>
      </c>
      <c r="I402" s="55" t="n">
        <v>539.1</v>
      </c>
      <c r="J402" s="52" t="s">
        <v>5816</v>
      </c>
      <c r="K402" s="56" t="n">
        <v>1</v>
      </c>
      <c r="L402" s="52" t="s">
        <v>5816</v>
      </c>
      <c r="M402" s="52" t="s">
        <v>113</v>
      </c>
    </row>
    <row r="403" customFormat="false" ht="17.25" hidden="false" customHeight="true" outlineLevel="0" collapsed="false">
      <c r="A403" s="52" t="s">
        <v>5777</v>
      </c>
      <c r="B403" s="52" t="s">
        <v>5813</v>
      </c>
      <c r="C403" s="53" t="n">
        <v>1388259</v>
      </c>
      <c r="D403" s="52" t="s">
        <v>1026</v>
      </c>
      <c r="E403" s="52" t="s">
        <v>1027</v>
      </c>
      <c r="F403" s="54" t="n">
        <v>76</v>
      </c>
      <c r="G403" s="55" t="n">
        <v>3796</v>
      </c>
      <c r="H403" s="55" t="n">
        <v>49.9474</v>
      </c>
      <c r="I403" s="55" t="n">
        <v>50.31</v>
      </c>
      <c r="J403" s="52" t="s">
        <v>5816</v>
      </c>
      <c r="K403" s="56" t="n">
        <v>1</v>
      </c>
      <c r="L403" s="52" t="s">
        <v>5816</v>
      </c>
      <c r="M403" s="52" t="s">
        <v>38</v>
      </c>
    </row>
    <row r="404" customFormat="false" ht="17.25" hidden="false" customHeight="true" outlineLevel="0" collapsed="false">
      <c r="A404" s="52" t="s">
        <v>5777</v>
      </c>
      <c r="B404" s="52" t="s">
        <v>5813</v>
      </c>
      <c r="C404" s="53" t="n">
        <v>18821</v>
      </c>
      <c r="D404" s="52" t="s">
        <v>1030</v>
      </c>
      <c r="E404" s="52" t="s">
        <v>1031</v>
      </c>
      <c r="F404" s="54" t="n">
        <v>102</v>
      </c>
      <c r="G404" s="55" t="n">
        <v>3773.9</v>
      </c>
      <c r="H404" s="55" t="n">
        <v>36.999</v>
      </c>
      <c r="I404" s="55" t="n">
        <v>198</v>
      </c>
      <c r="J404" s="52" t="s">
        <v>5831</v>
      </c>
      <c r="K404" s="56" t="n">
        <v>1</v>
      </c>
      <c r="L404" s="52" t="s">
        <v>5831</v>
      </c>
      <c r="M404" s="52" t="s">
        <v>247</v>
      </c>
    </row>
    <row r="405" customFormat="false" ht="17.25" hidden="false" customHeight="true" outlineLevel="0" collapsed="false">
      <c r="A405" s="52" t="s">
        <v>5777</v>
      </c>
      <c r="B405" s="52" t="s">
        <v>5813</v>
      </c>
      <c r="C405" s="53" t="n">
        <v>1326697</v>
      </c>
      <c r="D405" s="52" t="s">
        <v>1035</v>
      </c>
      <c r="E405" s="52" t="s">
        <v>1036</v>
      </c>
      <c r="F405" s="54" t="n">
        <v>35</v>
      </c>
      <c r="G405" s="55" t="n">
        <v>3759.73</v>
      </c>
      <c r="H405" s="55" t="n">
        <v>107.4209</v>
      </c>
      <c r="I405" s="55" t="n">
        <v>115.49</v>
      </c>
      <c r="J405" s="52" t="s">
        <v>5818</v>
      </c>
      <c r="K405" s="56" t="n">
        <v>1</v>
      </c>
      <c r="L405" s="52" t="s">
        <v>5816</v>
      </c>
      <c r="M405" s="52" t="s">
        <v>38</v>
      </c>
    </row>
    <row r="406" customFormat="false" ht="17.25" hidden="false" customHeight="true" outlineLevel="0" collapsed="false">
      <c r="A406" s="52" t="s">
        <v>5777</v>
      </c>
      <c r="B406" s="52" t="s">
        <v>5813</v>
      </c>
      <c r="C406" s="53" t="n">
        <v>1665281</v>
      </c>
      <c r="D406" s="52" t="s">
        <v>1037</v>
      </c>
      <c r="E406" s="52" t="s">
        <v>1038</v>
      </c>
      <c r="F406" s="54" t="n">
        <v>1</v>
      </c>
      <c r="G406" s="55" t="n">
        <v>3750</v>
      </c>
      <c r="H406" s="55" t="n">
        <v>3750</v>
      </c>
      <c r="I406" s="55" t="n">
        <v>3750</v>
      </c>
      <c r="J406" s="52" t="s">
        <v>5816</v>
      </c>
      <c r="K406" s="56" t="n">
        <v>1</v>
      </c>
      <c r="L406" s="52" t="s">
        <v>5816</v>
      </c>
      <c r="M406" s="52" t="s">
        <v>38</v>
      </c>
    </row>
    <row r="407" customFormat="false" ht="17.25" hidden="false" customHeight="true" outlineLevel="0" collapsed="false">
      <c r="A407" s="52" t="s">
        <v>5777</v>
      </c>
      <c r="B407" s="52" t="s">
        <v>5813</v>
      </c>
      <c r="C407" s="53" t="n">
        <v>1111642</v>
      </c>
      <c r="D407" s="52" t="s">
        <v>1039</v>
      </c>
      <c r="E407" s="52" t="s">
        <v>1040</v>
      </c>
      <c r="F407" s="54" t="n">
        <v>1</v>
      </c>
      <c r="G407" s="55" t="n">
        <v>3748.67</v>
      </c>
      <c r="H407" s="55" t="n">
        <v>3748.67</v>
      </c>
      <c r="I407" s="55" t="n">
        <v>3748.67</v>
      </c>
      <c r="J407" s="52" t="s">
        <v>5816</v>
      </c>
      <c r="K407" s="56" t="n">
        <v>1</v>
      </c>
      <c r="L407" s="52" t="s">
        <v>5816</v>
      </c>
      <c r="M407" s="52" t="s">
        <v>363</v>
      </c>
    </row>
    <row r="408" customFormat="false" ht="17.25" hidden="false" customHeight="true" outlineLevel="0" collapsed="false">
      <c r="A408" s="52" t="s">
        <v>5777</v>
      </c>
      <c r="B408" s="52" t="s">
        <v>5813</v>
      </c>
      <c r="C408" s="53" t="n">
        <v>390931</v>
      </c>
      <c r="D408" s="52" t="s">
        <v>1041</v>
      </c>
      <c r="E408" s="52" t="s">
        <v>1042</v>
      </c>
      <c r="F408" s="54" t="n">
        <v>11</v>
      </c>
      <c r="G408" s="55" t="n">
        <v>3737.69</v>
      </c>
      <c r="H408" s="55" t="n">
        <v>339.79</v>
      </c>
      <c r="I408" s="55" t="n">
        <v>339.79</v>
      </c>
      <c r="J408" s="52" t="s">
        <v>5816</v>
      </c>
      <c r="K408" s="56" t="n">
        <v>1</v>
      </c>
      <c r="L408" s="52" t="s">
        <v>5816</v>
      </c>
      <c r="M408" s="52" t="s">
        <v>38</v>
      </c>
    </row>
    <row r="409" customFormat="false" ht="17.25" hidden="false" customHeight="true" outlineLevel="0" collapsed="false">
      <c r="A409" s="52" t="s">
        <v>5777</v>
      </c>
      <c r="B409" s="52" t="s">
        <v>5813</v>
      </c>
      <c r="C409" s="53" t="n">
        <v>1475298</v>
      </c>
      <c r="D409" s="52" t="s">
        <v>1043</v>
      </c>
      <c r="E409" s="52" t="s">
        <v>1044</v>
      </c>
      <c r="F409" s="54" t="n">
        <v>2</v>
      </c>
      <c r="G409" s="55" t="n">
        <v>3706.5</v>
      </c>
      <c r="H409" s="55" t="n">
        <v>1853.25</v>
      </c>
      <c r="I409" s="55" t="n">
        <v>1550</v>
      </c>
      <c r="J409" s="52" t="s">
        <v>5816</v>
      </c>
      <c r="K409" s="56" t="n">
        <v>1</v>
      </c>
      <c r="L409" s="52" t="s">
        <v>5816</v>
      </c>
      <c r="M409" s="52" t="s">
        <v>100</v>
      </c>
    </row>
    <row r="410" customFormat="false" ht="17.25" hidden="false" customHeight="true" outlineLevel="0" collapsed="false">
      <c r="A410" s="52" t="s">
        <v>5777</v>
      </c>
      <c r="B410" s="52" t="s">
        <v>5813</v>
      </c>
      <c r="C410" s="53" t="n">
        <v>20007</v>
      </c>
      <c r="D410" s="52" t="s">
        <v>1045</v>
      </c>
      <c r="E410" s="52" t="s">
        <v>1046</v>
      </c>
      <c r="F410" s="54" t="n">
        <v>1</v>
      </c>
      <c r="G410" s="55" t="n">
        <v>3700</v>
      </c>
      <c r="H410" s="55" t="n">
        <v>3700</v>
      </c>
      <c r="I410" s="55" t="n">
        <v>3700</v>
      </c>
      <c r="J410" s="52" t="s">
        <v>5816</v>
      </c>
      <c r="K410" s="56" t="n">
        <v>1</v>
      </c>
      <c r="L410" s="52" t="s">
        <v>5816</v>
      </c>
      <c r="M410" s="52" t="s">
        <v>35</v>
      </c>
    </row>
    <row r="411" customFormat="false" ht="17.25" hidden="false" customHeight="true" outlineLevel="0" collapsed="false">
      <c r="A411" s="52" t="s">
        <v>5777</v>
      </c>
      <c r="B411" s="52" t="s">
        <v>5813</v>
      </c>
      <c r="C411" s="53" t="n">
        <v>35288</v>
      </c>
      <c r="D411" s="52" t="s">
        <v>1047</v>
      </c>
      <c r="E411" s="52" t="s">
        <v>1048</v>
      </c>
      <c r="F411" s="54" t="n">
        <v>100</v>
      </c>
      <c r="G411" s="55" t="n">
        <v>3700</v>
      </c>
      <c r="H411" s="55" t="n">
        <v>37</v>
      </c>
      <c r="I411" s="55" t="n">
        <v>37</v>
      </c>
      <c r="J411" s="52" t="s">
        <v>5816</v>
      </c>
      <c r="K411" s="56" t="n">
        <v>1</v>
      </c>
      <c r="L411" s="52" t="s">
        <v>5816</v>
      </c>
      <c r="M411" s="52" t="s">
        <v>355</v>
      </c>
    </row>
    <row r="412" customFormat="false" ht="17.25" hidden="false" customHeight="true" outlineLevel="0" collapsed="false">
      <c r="A412" s="52" t="s">
        <v>5777</v>
      </c>
      <c r="B412" s="52" t="s">
        <v>5813</v>
      </c>
      <c r="C412" s="53" t="n">
        <v>1674334</v>
      </c>
      <c r="D412" s="52" t="s">
        <v>1049</v>
      </c>
      <c r="E412" s="52" t="s">
        <v>1050</v>
      </c>
      <c r="F412" s="54" t="n">
        <v>4</v>
      </c>
      <c r="G412" s="55" t="n">
        <v>3696</v>
      </c>
      <c r="H412" s="55" t="n">
        <v>924</v>
      </c>
      <c r="I412" s="55" t="n">
        <v>924</v>
      </c>
      <c r="J412" s="52" t="s">
        <v>5816</v>
      </c>
      <c r="K412" s="56" t="n">
        <v>1</v>
      </c>
      <c r="L412" s="52" t="s">
        <v>5816</v>
      </c>
      <c r="M412" s="52" t="s">
        <v>480</v>
      </c>
    </row>
    <row r="413" customFormat="false" ht="17.25" hidden="false" customHeight="true" outlineLevel="0" collapsed="false">
      <c r="A413" s="52" t="s">
        <v>5777</v>
      </c>
      <c r="B413" s="52" t="s">
        <v>5813</v>
      </c>
      <c r="C413" s="53" t="n">
        <v>19217</v>
      </c>
      <c r="D413" s="52" t="s">
        <v>1051</v>
      </c>
      <c r="E413" s="52" t="s">
        <v>1052</v>
      </c>
      <c r="F413" s="54" t="n">
        <v>25</v>
      </c>
      <c r="G413" s="55" t="n">
        <v>3694.94</v>
      </c>
      <c r="H413" s="55" t="n">
        <v>147.7976</v>
      </c>
      <c r="I413" s="55" t="n">
        <v>147.7976</v>
      </c>
      <c r="J413" s="52" t="s">
        <v>5816</v>
      </c>
      <c r="K413" s="56" t="n">
        <v>1</v>
      </c>
      <c r="L413" s="52" t="s">
        <v>5816</v>
      </c>
      <c r="M413" s="52" t="s">
        <v>93</v>
      </c>
    </row>
    <row r="414" customFormat="false" ht="17.25" hidden="false" customHeight="true" outlineLevel="0" collapsed="false">
      <c r="A414" s="52" t="s">
        <v>5777</v>
      </c>
      <c r="B414" s="52" t="s">
        <v>5813</v>
      </c>
      <c r="C414" s="53" t="n">
        <v>1310971</v>
      </c>
      <c r="D414" s="52" t="s">
        <v>1053</v>
      </c>
      <c r="E414" s="52" t="s">
        <v>1054</v>
      </c>
      <c r="F414" s="54" t="n">
        <v>160</v>
      </c>
      <c r="G414" s="55" t="n">
        <v>3680</v>
      </c>
      <c r="H414" s="55" t="n">
        <v>23</v>
      </c>
      <c r="I414" s="55" t="n">
        <v>23</v>
      </c>
      <c r="J414" s="52" t="s">
        <v>5816</v>
      </c>
      <c r="K414" s="56" t="n">
        <v>1</v>
      </c>
      <c r="L414" s="52" t="s">
        <v>5816</v>
      </c>
      <c r="M414" s="52" t="s">
        <v>133</v>
      </c>
    </row>
    <row r="415" customFormat="false" ht="17.25" hidden="false" customHeight="true" outlineLevel="0" collapsed="false">
      <c r="A415" s="52" t="s">
        <v>5777</v>
      </c>
      <c r="B415" s="52" t="s">
        <v>5813</v>
      </c>
      <c r="C415" s="53" t="n">
        <v>1469533</v>
      </c>
      <c r="D415" s="52" t="s">
        <v>1057</v>
      </c>
      <c r="E415" s="52" t="s">
        <v>1058</v>
      </c>
      <c r="F415" s="54" t="n">
        <v>748</v>
      </c>
      <c r="G415" s="55" t="n">
        <v>3624.8</v>
      </c>
      <c r="H415" s="55" t="n">
        <v>4.846</v>
      </c>
      <c r="I415" s="55" t="n">
        <v>5.1</v>
      </c>
      <c r="J415" s="52" t="s">
        <v>5816</v>
      </c>
      <c r="K415" s="56" t="n">
        <v>1</v>
      </c>
      <c r="L415" s="52" t="s">
        <v>5816</v>
      </c>
      <c r="M415" s="52" t="s">
        <v>394</v>
      </c>
    </row>
    <row r="416" customFormat="false" ht="17.25" hidden="false" customHeight="true" outlineLevel="0" collapsed="false">
      <c r="A416" s="52" t="s">
        <v>5777</v>
      </c>
      <c r="B416" s="52" t="s">
        <v>5813</v>
      </c>
      <c r="C416" s="53" t="n">
        <v>930122</v>
      </c>
      <c r="D416" s="52" t="s">
        <v>1059</v>
      </c>
      <c r="E416" s="52" t="s">
        <v>1060</v>
      </c>
      <c r="F416" s="54" t="n">
        <v>1</v>
      </c>
      <c r="G416" s="55" t="n">
        <v>3601.01</v>
      </c>
      <c r="H416" s="55" t="n">
        <v>3601.01</v>
      </c>
      <c r="I416" s="55" t="n">
        <v>3601.01</v>
      </c>
      <c r="J416" s="52" t="s">
        <v>5816</v>
      </c>
      <c r="K416" s="56" t="n">
        <v>1</v>
      </c>
      <c r="L416" s="52" t="s">
        <v>5816</v>
      </c>
      <c r="M416" s="52" t="s">
        <v>835</v>
      </c>
    </row>
    <row r="417" customFormat="false" ht="17.25" hidden="false" customHeight="true" outlineLevel="0" collapsed="false">
      <c r="A417" s="52" t="s">
        <v>5777</v>
      </c>
      <c r="B417" s="52" t="s">
        <v>5813</v>
      </c>
      <c r="C417" s="53" t="n">
        <v>32794</v>
      </c>
      <c r="D417" s="52" t="s">
        <v>1061</v>
      </c>
      <c r="E417" s="52" t="s">
        <v>1062</v>
      </c>
      <c r="F417" s="54" t="n">
        <v>80</v>
      </c>
      <c r="G417" s="55" t="n">
        <v>3600</v>
      </c>
      <c r="H417" s="55" t="n">
        <v>45</v>
      </c>
      <c r="I417" s="55" t="n">
        <v>45</v>
      </c>
      <c r="J417" s="52" t="s">
        <v>5844</v>
      </c>
      <c r="K417" s="56" t="n">
        <v>1</v>
      </c>
      <c r="L417" s="52" t="s">
        <v>5814</v>
      </c>
      <c r="M417" s="52" t="s">
        <v>133</v>
      </c>
    </row>
    <row r="418" customFormat="false" ht="17.25" hidden="false" customHeight="true" outlineLevel="0" collapsed="false">
      <c r="A418" s="52" t="s">
        <v>5777</v>
      </c>
      <c r="B418" s="52" t="s">
        <v>5813</v>
      </c>
      <c r="C418" s="53" t="n">
        <v>1476263</v>
      </c>
      <c r="D418" s="52" t="s">
        <v>1063</v>
      </c>
      <c r="E418" s="57" t="s">
        <v>5856</v>
      </c>
      <c r="F418" s="54" t="n">
        <v>3</v>
      </c>
      <c r="G418" s="55" t="n">
        <v>3600</v>
      </c>
      <c r="H418" s="55" t="n">
        <v>1200</v>
      </c>
      <c r="I418" s="55" t="n">
        <v>1200</v>
      </c>
      <c r="J418" s="52" t="s">
        <v>5816</v>
      </c>
      <c r="K418" s="56" t="n">
        <v>1</v>
      </c>
      <c r="L418" s="52" t="s">
        <v>5816</v>
      </c>
      <c r="M418" s="52" t="s">
        <v>133</v>
      </c>
    </row>
    <row r="419" customFormat="false" ht="17.25" hidden="false" customHeight="true" outlineLevel="0" collapsed="false">
      <c r="A419" s="52" t="s">
        <v>5777</v>
      </c>
      <c r="B419" s="52" t="s">
        <v>5813</v>
      </c>
      <c r="C419" s="53" t="n">
        <v>1476287</v>
      </c>
      <c r="D419" s="52" t="s">
        <v>1065</v>
      </c>
      <c r="E419" s="52" t="s">
        <v>1066</v>
      </c>
      <c r="F419" s="54" t="n">
        <v>3</v>
      </c>
      <c r="G419" s="55" t="n">
        <v>3600</v>
      </c>
      <c r="H419" s="55" t="n">
        <v>1200</v>
      </c>
      <c r="I419" s="55" t="n">
        <v>1200</v>
      </c>
      <c r="J419" s="52" t="s">
        <v>5816</v>
      </c>
      <c r="K419" s="56" t="n">
        <v>1</v>
      </c>
      <c r="L419" s="52" t="s">
        <v>5816</v>
      </c>
      <c r="M419" s="52" t="s">
        <v>133</v>
      </c>
    </row>
    <row r="420" customFormat="false" ht="17.25" hidden="false" customHeight="true" outlineLevel="0" collapsed="false">
      <c r="A420" s="52" t="s">
        <v>5777</v>
      </c>
      <c r="B420" s="52" t="s">
        <v>5813</v>
      </c>
      <c r="C420" s="53" t="n">
        <v>1476359</v>
      </c>
      <c r="D420" s="52" t="s">
        <v>1067</v>
      </c>
      <c r="E420" s="52" t="s">
        <v>1068</v>
      </c>
      <c r="F420" s="54" t="n">
        <v>2</v>
      </c>
      <c r="G420" s="55" t="n">
        <v>3600</v>
      </c>
      <c r="H420" s="55" t="n">
        <v>1800</v>
      </c>
      <c r="I420" s="55" t="n">
        <v>1800</v>
      </c>
      <c r="J420" s="52" t="s">
        <v>5816</v>
      </c>
      <c r="K420" s="56" t="n">
        <v>1</v>
      </c>
      <c r="L420" s="52" t="s">
        <v>5816</v>
      </c>
      <c r="M420" s="52" t="s">
        <v>835</v>
      </c>
    </row>
    <row r="421" customFormat="false" ht="17.25" hidden="false" customHeight="true" outlineLevel="0" collapsed="false">
      <c r="A421" s="52" t="s">
        <v>5777</v>
      </c>
      <c r="B421" s="52" t="s">
        <v>5813</v>
      </c>
      <c r="C421" s="53" t="n">
        <v>23187</v>
      </c>
      <c r="D421" s="52" t="s">
        <v>1069</v>
      </c>
      <c r="E421" s="52" t="s">
        <v>1070</v>
      </c>
      <c r="F421" s="54" t="n">
        <v>2</v>
      </c>
      <c r="G421" s="55" t="n">
        <v>3598</v>
      </c>
      <c r="H421" s="55" t="n">
        <v>1799</v>
      </c>
      <c r="I421" s="55" t="n">
        <v>1799</v>
      </c>
      <c r="J421" s="52" t="s">
        <v>5816</v>
      </c>
      <c r="K421" s="56" t="n">
        <v>1</v>
      </c>
      <c r="L421" s="52" t="s">
        <v>5816</v>
      </c>
      <c r="M421" s="52" t="s">
        <v>75</v>
      </c>
    </row>
    <row r="422" customFormat="false" ht="17.25" hidden="false" customHeight="true" outlineLevel="0" collapsed="false">
      <c r="A422" s="52" t="s">
        <v>5777</v>
      </c>
      <c r="B422" s="52" t="s">
        <v>5813</v>
      </c>
      <c r="C422" s="53" t="n">
        <v>388769</v>
      </c>
      <c r="D422" s="52" t="s">
        <v>1071</v>
      </c>
      <c r="E422" s="52" t="s">
        <v>1072</v>
      </c>
      <c r="F422" s="54" t="n">
        <v>4</v>
      </c>
      <c r="G422" s="55" t="n">
        <v>3560</v>
      </c>
      <c r="H422" s="55" t="n">
        <v>890</v>
      </c>
      <c r="I422" s="55" t="n">
        <v>890</v>
      </c>
      <c r="J422" s="52" t="s">
        <v>5816</v>
      </c>
      <c r="K422" s="56" t="n">
        <v>1</v>
      </c>
      <c r="L422" s="52" t="s">
        <v>5816</v>
      </c>
      <c r="M422" s="52" t="s">
        <v>189</v>
      </c>
    </row>
    <row r="423" customFormat="false" ht="17.25" hidden="false" customHeight="true" outlineLevel="0" collapsed="false">
      <c r="A423" s="52" t="s">
        <v>5777</v>
      </c>
      <c r="B423" s="52" t="s">
        <v>5813</v>
      </c>
      <c r="C423" s="53" t="n">
        <v>389171</v>
      </c>
      <c r="D423" s="52" t="s">
        <v>1073</v>
      </c>
      <c r="E423" s="52" t="s">
        <v>1074</v>
      </c>
      <c r="F423" s="54" t="n">
        <v>12</v>
      </c>
      <c r="G423" s="55" t="n">
        <v>3560</v>
      </c>
      <c r="H423" s="55" t="n">
        <v>296.6667</v>
      </c>
      <c r="I423" s="55" t="n">
        <v>290</v>
      </c>
      <c r="J423" s="52" t="s">
        <v>5816</v>
      </c>
      <c r="K423" s="56" t="n">
        <v>1</v>
      </c>
      <c r="L423" s="52" t="s">
        <v>5816</v>
      </c>
      <c r="M423" s="52" t="s">
        <v>247</v>
      </c>
    </row>
    <row r="424" customFormat="false" ht="17.25" hidden="false" customHeight="true" outlineLevel="0" collapsed="false">
      <c r="A424" s="52" t="s">
        <v>5777</v>
      </c>
      <c r="B424" s="52" t="s">
        <v>5813</v>
      </c>
      <c r="C424" s="53" t="n">
        <v>1679662</v>
      </c>
      <c r="D424" s="52" t="s">
        <v>1075</v>
      </c>
      <c r="E424" s="52" t="s">
        <v>1076</v>
      </c>
      <c r="F424" s="54" t="n">
        <v>2</v>
      </c>
      <c r="G424" s="55" t="n">
        <v>3546.74</v>
      </c>
      <c r="H424" s="55" t="n">
        <v>1773.37</v>
      </c>
      <c r="I424" s="55" t="n">
        <v>1773.37</v>
      </c>
      <c r="J424" s="52" t="s">
        <v>5816</v>
      </c>
      <c r="K424" s="56" t="n">
        <v>1</v>
      </c>
      <c r="L424" s="52" t="s">
        <v>5816</v>
      </c>
      <c r="M424" s="52" t="s">
        <v>705</v>
      </c>
    </row>
    <row r="425" customFormat="false" ht="17.25" hidden="false" customHeight="true" outlineLevel="0" collapsed="false">
      <c r="A425" s="52" t="s">
        <v>5777</v>
      </c>
      <c r="B425" s="52" t="s">
        <v>5813</v>
      </c>
      <c r="C425" s="53" t="n">
        <v>18889</v>
      </c>
      <c r="D425" s="52" t="s">
        <v>1077</v>
      </c>
      <c r="E425" s="52" t="s">
        <v>1078</v>
      </c>
      <c r="F425" s="54" t="n">
        <v>2000</v>
      </c>
      <c r="G425" s="55" t="n">
        <v>3538.8628</v>
      </c>
      <c r="H425" s="55" t="n">
        <v>1.7695</v>
      </c>
      <c r="I425" s="55" t="n">
        <v>1.38</v>
      </c>
      <c r="J425" s="52" t="s">
        <v>5831</v>
      </c>
      <c r="K425" s="56" t="n">
        <v>1</v>
      </c>
      <c r="L425" s="52" t="s">
        <v>5831</v>
      </c>
      <c r="M425" s="52" t="s">
        <v>247</v>
      </c>
    </row>
    <row r="426" customFormat="false" ht="17.25" hidden="false" customHeight="true" outlineLevel="0" collapsed="false">
      <c r="A426" s="52" t="s">
        <v>5777</v>
      </c>
      <c r="B426" s="52" t="s">
        <v>5813</v>
      </c>
      <c r="C426" s="53" t="n">
        <v>1386772</v>
      </c>
      <c r="D426" s="52" t="s">
        <v>1079</v>
      </c>
      <c r="E426" s="52" t="s">
        <v>1080</v>
      </c>
      <c r="F426" s="54" t="n">
        <v>38</v>
      </c>
      <c r="G426" s="55" t="n">
        <v>3530.65</v>
      </c>
      <c r="H426" s="55" t="n">
        <v>92.9118</v>
      </c>
      <c r="I426" s="55" t="n">
        <v>67.09</v>
      </c>
      <c r="J426" s="52" t="s">
        <v>5816</v>
      </c>
      <c r="K426" s="56" t="n">
        <v>1</v>
      </c>
      <c r="L426" s="52" t="s">
        <v>5816</v>
      </c>
      <c r="M426" s="52" t="s">
        <v>100</v>
      </c>
    </row>
    <row r="427" customFormat="false" ht="17.25" hidden="false" customHeight="true" outlineLevel="0" collapsed="false">
      <c r="A427" s="52" t="s">
        <v>5777</v>
      </c>
      <c r="B427" s="52" t="s">
        <v>5813</v>
      </c>
      <c r="C427" s="53" t="n">
        <v>1387250</v>
      </c>
      <c r="D427" s="52" t="s">
        <v>1081</v>
      </c>
      <c r="E427" s="52" t="s">
        <v>1082</v>
      </c>
      <c r="F427" s="54" t="n">
        <v>665</v>
      </c>
      <c r="G427" s="55" t="n">
        <v>3524.5</v>
      </c>
      <c r="H427" s="55" t="n">
        <v>5.3</v>
      </c>
      <c r="I427" s="55" t="n">
        <v>5.3</v>
      </c>
      <c r="J427" s="52" t="s">
        <v>5816</v>
      </c>
      <c r="K427" s="56" t="n">
        <v>1</v>
      </c>
      <c r="L427" s="52" t="s">
        <v>5816</v>
      </c>
      <c r="M427" s="52" t="s">
        <v>394</v>
      </c>
    </row>
    <row r="428" customFormat="false" ht="17.25" hidden="false" customHeight="true" outlineLevel="0" collapsed="false">
      <c r="A428" s="52" t="s">
        <v>5777</v>
      </c>
      <c r="B428" s="52" t="s">
        <v>5813</v>
      </c>
      <c r="C428" s="53" t="n">
        <v>1613427</v>
      </c>
      <c r="D428" s="52" t="s">
        <v>1083</v>
      </c>
      <c r="E428" s="52" t="s">
        <v>1084</v>
      </c>
      <c r="F428" s="54" t="n">
        <v>2</v>
      </c>
      <c r="G428" s="55" t="n">
        <v>3509.94</v>
      </c>
      <c r="H428" s="55" t="n">
        <v>1754.97</v>
      </c>
      <c r="I428" s="55" t="n">
        <v>1754.97</v>
      </c>
      <c r="J428" s="52" t="s">
        <v>5816</v>
      </c>
      <c r="K428" s="56" t="n">
        <v>1</v>
      </c>
      <c r="L428" s="52" t="s">
        <v>5816</v>
      </c>
      <c r="M428" s="52" t="s">
        <v>38</v>
      </c>
    </row>
    <row r="429" customFormat="false" ht="17.25" hidden="false" customHeight="true" outlineLevel="0" collapsed="false">
      <c r="A429" s="52" t="s">
        <v>5777</v>
      </c>
      <c r="B429" s="52" t="s">
        <v>5813</v>
      </c>
      <c r="C429" s="53" t="n">
        <v>16255</v>
      </c>
      <c r="D429" s="52" t="s">
        <v>1085</v>
      </c>
      <c r="E429" s="52" t="s">
        <v>1086</v>
      </c>
      <c r="F429" s="54" t="n">
        <v>12</v>
      </c>
      <c r="G429" s="55" t="n">
        <v>3480</v>
      </c>
      <c r="H429" s="55" t="n">
        <v>290</v>
      </c>
      <c r="I429" s="55" t="n">
        <v>290</v>
      </c>
      <c r="J429" s="52" t="s">
        <v>5816</v>
      </c>
      <c r="K429" s="56" t="n">
        <v>1</v>
      </c>
      <c r="L429" s="52" t="s">
        <v>5816</v>
      </c>
      <c r="M429" s="52" t="s">
        <v>195</v>
      </c>
    </row>
    <row r="430" customFormat="false" ht="17.25" hidden="false" customHeight="true" outlineLevel="0" collapsed="false">
      <c r="A430" s="52" t="s">
        <v>5777</v>
      </c>
      <c r="B430" s="52" t="s">
        <v>5813</v>
      </c>
      <c r="C430" s="53" t="n">
        <v>1677142</v>
      </c>
      <c r="D430" s="52" t="s">
        <v>1087</v>
      </c>
      <c r="E430" s="52" t="s">
        <v>1088</v>
      </c>
      <c r="F430" s="54" t="n">
        <v>16</v>
      </c>
      <c r="G430" s="55" t="n">
        <v>3476.88</v>
      </c>
      <c r="H430" s="55" t="n">
        <v>217.305</v>
      </c>
      <c r="I430" s="55" t="n">
        <v>380</v>
      </c>
      <c r="J430" s="52" t="s">
        <v>5816</v>
      </c>
      <c r="K430" s="56" t="n">
        <v>1</v>
      </c>
      <c r="L430" s="52" t="s">
        <v>5816</v>
      </c>
      <c r="M430" s="52" t="s">
        <v>38</v>
      </c>
    </row>
    <row r="431" customFormat="false" ht="17.25" hidden="false" customHeight="true" outlineLevel="0" collapsed="false">
      <c r="A431" s="52" t="s">
        <v>5777</v>
      </c>
      <c r="B431" s="52" t="s">
        <v>5813</v>
      </c>
      <c r="C431" s="53" t="n">
        <v>1679661</v>
      </c>
      <c r="D431" s="52" t="s">
        <v>1089</v>
      </c>
      <c r="E431" s="52" t="s">
        <v>1090</v>
      </c>
      <c r="F431" s="54" t="n">
        <v>2</v>
      </c>
      <c r="G431" s="55" t="n">
        <v>3473.68</v>
      </c>
      <c r="H431" s="55" t="n">
        <v>1736.84</v>
      </c>
      <c r="I431" s="55" t="n">
        <v>1736.84</v>
      </c>
      <c r="J431" s="52" t="s">
        <v>5816</v>
      </c>
      <c r="K431" s="56" t="n">
        <v>1</v>
      </c>
      <c r="L431" s="52" t="s">
        <v>5816</v>
      </c>
      <c r="M431" s="52" t="s">
        <v>705</v>
      </c>
    </row>
    <row r="432" customFormat="false" ht="17.25" hidden="false" customHeight="true" outlineLevel="0" collapsed="false">
      <c r="A432" s="52" t="s">
        <v>5777</v>
      </c>
      <c r="B432" s="52" t="s">
        <v>5813</v>
      </c>
      <c r="C432" s="53" t="n">
        <v>1385805</v>
      </c>
      <c r="D432" s="52" t="s">
        <v>1091</v>
      </c>
      <c r="E432" s="52" t="s">
        <v>1092</v>
      </c>
      <c r="F432" s="54" t="n">
        <v>1</v>
      </c>
      <c r="G432" s="55" t="n">
        <v>3472.55</v>
      </c>
      <c r="H432" s="55" t="n">
        <v>3472.55</v>
      </c>
      <c r="I432" s="55" t="n">
        <v>3472.55</v>
      </c>
      <c r="J432" s="52" t="s">
        <v>5816</v>
      </c>
      <c r="K432" s="56" t="n">
        <v>1</v>
      </c>
      <c r="L432" s="52" t="s">
        <v>5816</v>
      </c>
      <c r="M432" s="52" t="s">
        <v>38</v>
      </c>
    </row>
    <row r="433" customFormat="false" ht="17.25" hidden="false" customHeight="true" outlineLevel="0" collapsed="false">
      <c r="A433" s="52" t="s">
        <v>5777</v>
      </c>
      <c r="B433" s="52" t="s">
        <v>5813</v>
      </c>
      <c r="C433" s="53" t="n">
        <v>1329178</v>
      </c>
      <c r="D433" s="52" t="s">
        <v>1093</v>
      </c>
      <c r="E433" s="52" t="s">
        <v>1094</v>
      </c>
      <c r="F433" s="54" t="n">
        <v>8</v>
      </c>
      <c r="G433" s="55" t="n">
        <v>3440.64</v>
      </c>
      <c r="H433" s="55" t="n">
        <v>430.08</v>
      </c>
      <c r="I433" s="55" t="n">
        <v>430.08</v>
      </c>
      <c r="J433" s="52" t="s">
        <v>5816</v>
      </c>
      <c r="K433" s="56" t="n">
        <v>1</v>
      </c>
      <c r="L433" s="52" t="s">
        <v>5816</v>
      </c>
      <c r="M433" s="52" t="s">
        <v>1095</v>
      </c>
    </row>
    <row r="434" customFormat="false" ht="17.25" hidden="false" customHeight="true" outlineLevel="0" collapsed="false">
      <c r="A434" s="52" t="s">
        <v>5777</v>
      </c>
      <c r="B434" s="52" t="s">
        <v>5813</v>
      </c>
      <c r="C434" s="53" t="n">
        <v>18831</v>
      </c>
      <c r="D434" s="52" t="s">
        <v>1096</v>
      </c>
      <c r="E434" s="52" t="s">
        <v>1097</v>
      </c>
      <c r="F434" s="54" t="n">
        <v>35</v>
      </c>
      <c r="G434" s="55" t="n">
        <v>3430.25</v>
      </c>
      <c r="H434" s="55" t="n">
        <v>98.0071</v>
      </c>
      <c r="I434" s="55" t="n">
        <v>94.41</v>
      </c>
      <c r="J434" s="52" t="s">
        <v>5831</v>
      </c>
      <c r="K434" s="56" t="n">
        <v>1</v>
      </c>
      <c r="L434" s="52" t="s">
        <v>5831</v>
      </c>
      <c r="M434" s="52" t="s">
        <v>247</v>
      </c>
    </row>
    <row r="435" customFormat="false" ht="17.25" hidden="false" customHeight="true" outlineLevel="0" collapsed="false">
      <c r="A435" s="52" t="s">
        <v>5777</v>
      </c>
      <c r="B435" s="52" t="s">
        <v>5813</v>
      </c>
      <c r="C435" s="53" t="n">
        <v>18833</v>
      </c>
      <c r="D435" s="52" t="s">
        <v>1098</v>
      </c>
      <c r="E435" s="52" t="s">
        <v>1099</v>
      </c>
      <c r="F435" s="54" t="n">
        <v>35</v>
      </c>
      <c r="G435" s="55" t="n">
        <v>3410.25</v>
      </c>
      <c r="H435" s="55" t="n">
        <v>97.4357</v>
      </c>
      <c r="I435" s="55" t="n">
        <v>94.41</v>
      </c>
      <c r="J435" s="52" t="s">
        <v>5831</v>
      </c>
      <c r="K435" s="56" t="n">
        <v>1</v>
      </c>
      <c r="L435" s="52" t="s">
        <v>5831</v>
      </c>
      <c r="M435" s="52" t="s">
        <v>247</v>
      </c>
    </row>
    <row r="436" customFormat="false" ht="17.25" hidden="false" customHeight="true" outlineLevel="0" collapsed="false">
      <c r="A436" s="52" t="s">
        <v>5777</v>
      </c>
      <c r="B436" s="52" t="s">
        <v>5813</v>
      </c>
      <c r="C436" s="53" t="n">
        <v>19956</v>
      </c>
      <c r="D436" s="52" t="s">
        <v>1100</v>
      </c>
      <c r="E436" s="52" t="s">
        <v>1101</v>
      </c>
      <c r="F436" s="54" t="n">
        <v>1</v>
      </c>
      <c r="G436" s="55" t="n">
        <v>3400</v>
      </c>
      <c r="H436" s="55" t="n">
        <v>3400</v>
      </c>
      <c r="I436" s="55" t="n">
        <v>3400</v>
      </c>
      <c r="J436" s="52" t="s">
        <v>5816</v>
      </c>
      <c r="K436" s="56" t="n">
        <v>1</v>
      </c>
      <c r="L436" s="52" t="s">
        <v>5816</v>
      </c>
      <c r="M436" s="52" t="s">
        <v>35</v>
      </c>
    </row>
    <row r="437" customFormat="false" ht="17.25" hidden="false" customHeight="true" outlineLevel="0" collapsed="false">
      <c r="A437" s="52" t="s">
        <v>5777</v>
      </c>
      <c r="B437" s="52" t="s">
        <v>5813</v>
      </c>
      <c r="C437" s="53" t="n">
        <v>316110</v>
      </c>
      <c r="D437" s="52" t="s">
        <v>1102</v>
      </c>
      <c r="E437" s="52" t="s">
        <v>1103</v>
      </c>
      <c r="F437" s="54" t="n">
        <v>40</v>
      </c>
      <c r="G437" s="55" t="n">
        <v>3400</v>
      </c>
      <c r="H437" s="55" t="n">
        <v>85</v>
      </c>
      <c r="I437" s="55" t="n">
        <v>85</v>
      </c>
      <c r="J437" s="52" t="s">
        <v>5816</v>
      </c>
      <c r="K437" s="56" t="n">
        <v>1</v>
      </c>
      <c r="L437" s="52" t="s">
        <v>5816</v>
      </c>
      <c r="M437" s="52" t="s">
        <v>247</v>
      </c>
    </row>
    <row r="438" customFormat="false" ht="17.25" hidden="false" customHeight="true" outlineLevel="0" collapsed="false">
      <c r="A438" s="52" t="s">
        <v>5777</v>
      </c>
      <c r="B438" s="52" t="s">
        <v>5813</v>
      </c>
      <c r="C438" s="53" t="n">
        <v>942237</v>
      </c>
      <c r="D438" s="52" t="s">
        <v>1104</v>
      </c>
      <c r="E438" s="52" t="s">
        <v>1105</v>
      </c>
      <c r="F438" s="54" t="n">
        <v>1302.68</v>
      </c>
      <c r="G438" s="55" t="n">
        <v>3387.18</v>
      </c>
      <c r="H438" s="55" t="n">
        <v>2.6002</v>
      </c>
      <c r="I438" s="55" t="n">
        <v>2.6</v>
      </c>
      <c r="J438" s="52" t="s">
        <v>5814</v>
      </c>
      <c r="K438" s="56" t="n">
        <v>1</v>
      </c>
      <c r="L438" s="52" t="s">
        <v>5814</v>
      </c>
      <c r="M438" s="52" t="s">
        <v>38</v>
      </c>
    </row>
    <row r="439" customFormat="false" ht="17.25" hidden="false" customHeight="true" outlineLevel="0" collapsed="false">
      <c r="A439" s="52" t="s">
        <v>5777</v>
      </c>
      <c r="B439" s="52" t="s">
        <v>5813</v>
      </c>
      <c r="C439" s="53" t="n">
        <v>65309</v>
      </c>
      <c r="D439" s="52" t="s">
        <v>1106</v>
      </c>
      <c r="E439" s="52" t="s">
        <v>1107</v>
      </c>
      <c r="F439" s="54" t="n">
        <v>225</v>
      </c>
      <c r="G439" s="55" t="n">
        <v>3375.95</v>
      </c>
      <c r="H439" s="55" t="n">
        <v>15.0042</v>
      </c>
      <c r="I439" s="55" t="n">
        <v>14.85</v>
      </c>
      <c r="J439" s="52" t="s">
        <v>5816</v>
      </c>
      <c r="K439" s="56" t="n">
        <v>1</v>
      </c>
      <c r="L439" s="52" t="s">
        <v>5816</v>
      </c>
      <c r="M439" s="52" t="s">
        <v>247</v>
      </c>
    </row>
    <row r="440" customFormat="false" ht="17.25" hidden="false" customHeight="true" outlineLevel="0" collapsed="false">
      <c r="A440" s="52" t="s">
        <v>5777</v>
      </c>
      <c r="B440" s="52" t="s">
        <v>5813</v>
      </c>
      <c r="C440" s="53" t="n">
        <v>1326868</v>
      </c>
      <c r="D440" s="52" t="s">
        <v>1108</v>
      </c>
      <c r="E440" s="52" t="s">
        <v>1109</v>
      </c>
      <c r="F440" s="54" t="n">
        <v>182</v>
      </c>
      <c r="G440" s="55" t="n">
        <v>3375.11</v>
      </c>
      <c r="H440" s="55" t="n">
        <v>18.5446</v>
      </c>
      <c r="I440" s="55" t="n">
        <v>19.65</v>
      </c>
      <c r="J440" s="52" t="s">
        <v>5818</v>
      </c>
      <c r="K440" s="56" t="n">
        <v>1</v>
      </c>
      <c r="L440" s="52" t="s">
        <v>5816</v>
      </c>
      <c r="M440" s="52" t="s">
        <v>38</v>
      </c>
    </row>
    <row r="441" customFormat="false" ht="17.25" hidden="false" customHeight="true" outlineLevel="0" collapsed="false">
      <c r="A441" s="52" t="s">
        <v>5777</v>
      </c>
      <c r="B441" s="52" t="s">
        <v>5813</v>
      </c>
      <c r="C441" s="53" t="n">
        <v>18832</v>
      </c>
      <c r="D441" s="52" t="s">
        <v>1110</v>
      </c>
      <c r="E441" s="52" t="s">
        <v>1111</v>
      </c>
      <c r="F441" s="54" t="n">
        <v>35</v>
      </c>
      <c r="G441" s="55" t="n">
        <v>3370.25</v>
      </c>
      <c r="H441" s="55" t="n">
        <v>96.2929</v>
      </c>
      <c r="I441" s="55" t="n">
        <v>94.41</v>
      </c>
      <c r="J441" s="52" t="s">
        <v>5831</v>
      </c>
      <c r="K441" s="56" t="n">
        <v>1</v>
      </c>
      <c r="L441" s="52" t="s">
        <v>5831</v>
      </c>
      <c r="M441" s="52" t="s">
        <v>247</v>
      </c>
    </row>
    <row r="442" customFormat="false" ht="17.25" hidden="false" customHeight="true" outlineLevel="0" collapsed="false">
      <c r="A442" s="52" t="s">
        <v>5777</v>
      </c>
      <c r="B442" s="52" t="s">
        <v>5813</v>
      </c>
      <c r="C442" s="53" t="n">
        <v>1680622</v>
      </c>
      <c r="D442" s="52" t="s">
        <v>1112</v>
      </c>
      <c r="E442" s="52" t="s">
        <v>1113</v>
      </c>
      <c r="F442" s="54" t="n">
        <v>3</v>
      </c>
      <c r="G442" s="55" t="n">
        <v>3369.21</v>
      </c>
      <c r="H442" s="55" t="n">
        <v>1123.07</v>
      </c>
      <c r="I442" s="55" t="n">
        <v>1123.07</v>
      </c>
      <c r="J442" s="52" t="s">
        <v>5823</v>
      </c>
      <c r="K442" s="56" t="n">
        <v>0.001</v>
      </c>
      <c r="L442" s="52" t="s">
        <v>5824</v>
      </c>
      <c r="M442" s="52" t="s">
        <v>705</v>
      </c>
    </row>
    <row r="443" customFormat="false" ht="17.25" hidden="false" customHeight="true" outlineLevel="0" collapsed="false">
      <c r="A443" s="52" t="s">
        <v>5777</v>
      </c>
      <c r="B443" s="52" t="s">
        <v>5813</v>
      </c>
      <c r="C443" s="53" t="n">
        <v>1330569</v>
      </c>
      <c r="D443" s="52" t="s">
        <v>1114</v>
      </c>
      <c r="E443" s="52" t="s">
        <v>1115</v>
      </c>
      <c r="F443" s="54" t="n">
        <v>58</v>
      </c>
      <c r="G443" s="55" t="n">
        <v>3366.9</v>
      </c>
      <c r="H443" s="55" t="n">
        <v>58.05</v>
      </c>
      <c r="I443" s="55" t="n">
        <v>58.05</v>
      </c>
      <c r="J443" s="52" t="s">
        <v>5816</v>
      </c>
      <c r="K443" s="56" t="n">
        <v>1</v>
      </c>
      <c r="L443" s="52" t="s">
        <v>5816</v>
      </c>
      <c r="M443" s="52" t="s">
        <v>54</v>
      </c>
    </row>
    <row r="444" customFormat="false" ht="17.25" hidden="false" customHeight="true" outlineLevel="0" collapsed="false">
      <c r="A444" s="52" t="s">
        <v>5777</v>
      </c>
      <c r="B444" s="52" t="s">
        <v>5813</v>
      </c>
      <c r="C444" s="53" t="n">
        <v>1607240</v>
      </c>
      <c r="D444" s="52" t="s">
        <v>1116</v>
      </c>
      <c r="E444" s="52" t="s">
        <v>1117</v>
      </c>
      <c r="F444" s="54" t="n">
        <v>12</v>
      </c>
      <c r="G444" s="55" t="n">
        <v>3363.84</v>
      </c>
      <c r="H444" s="55" t="n">
        <v>280.32</v>
      </c>
      <c r="I444" s="55" t="n">
        <v>280.32</v>
      </c>
      <c r="J444" s="52" t="s">
        <v>5816</v>
      </c>
      <c r="K444" s="56" t="n">
        <v>1</v>
      </c>
      <c r="L444" s="52" t="s">
        <v>5816</v>
      </c>
      <c r="M444" s="52" t="s">
        <v>38</v>
      </c>
    </row>
    <row r="445" customFormat="false" ht="17.25" hidden="false" customHeight="true" outlineLevel="0" collapsed="false">
      <c r="A445" s="52" t="s">
        <v>5777</v>
      </c>
      <c r="B445" s="52" t="s">
        <v>5813</v>
      </c>
      <c r="C445" s="53" t="n">
        <v>293147</v>
      </c>
      <c r="D445" s="52" t="s">
        <v>1118</v>
      </c>
      <c r="E445" s="52" t="s">
        <v>1119</v>
      </c>
      <c r="F445" s="54" t="n">
        <v>7</v>
      </c>
      <c r="G445" s="55" t="n">
        <v>3362.57</v>
      </c>
      <c r="H445" s="55" t="n">
        <v>480.3671</v>
      </c>
      <c r="I445" s="55" t="n">
        <v>480.3671</v>
      </c>
      <c r="J445" s="52" t="s">
        <v>5816</v>
      </c>
      <c r="K445" s="56" t="n">
        <v>1</v>
      </c>
      <c r="L445" s="52" t="s">
        <v>5816</v>
      </c>
      <c r="M445" s="52" t="s">
        <v>93</v>
      </c>
    </row>
    <row r="446" customFormat="false" ht="17.25" hidden="false" customHeight="true" outlineLevel="0" collapsed="false">
      <c r="A446" s="52" t="s">
        <v>5777</v>
      </c>
      <c r="B446" s="52" t="s">
        <v>5813</v>
      </c>
      <c r="C446" s="53" t="n">
        <v>1311113</v>
      </c>
      <c r="D446" s="52" t="s">
        <v>1120</v>
      </c>
      <c r="E446" s="52" t="s">
        <v>1121</v>
      </c>
      <c r="F446" s="54" t="n">
        <v>120</v>
      </c>
      <c r="G446" s="55" t="n">
        <v>3344.4</v>
      </c>
      <c r="H446" s="55" t="n">
        <v>27.87</v>
      </c>
      <c r="I446" s="55" t="n">
        <v>27.87</v>
      </c>
      <c r="J446" s="52" t="s">
        <v>5816</v>
      </c>
      <c r="K446" s="56" t="n">
        <v>1</v>
      </c>
      <c r="L446" s="52" t="s">
        <v>5816</v>
      </c>
      <c r="M446" s="52" t="s">
        <v>133</v>
      </c>
    </row>
    <row r="447" customFormat="false" ht="17.25" hidden="false" customHeight="true" outlineLevel="0" collapsed="false">
      <c r="A447" s="52" t="s">
        <v>5777</v>
      </c>
      <c r="B447" s="52" t="s">
        <v>5813</v>
      </c>
      <c r="C447" s="53" t="n">
        <v>228954</v>
      </c>
      <c r="D447" s="52" t="s">
        <v>1122</v>
      </c>
      <c r="E447" s="52" t="s">
        <v>1123</v>
      </c>
      <c r="F447" s="54" t="n">
        <v>2</v>
      </c>
      <c r="G447" s="55" t="n">
        <v>3340</v>
      </c>
      <c r="H447" s="55" t="n">
        <v>1670</v>
      </c>
      <c r="I447" s="55" t="n">
        <v>1670</v>
      </c>
      <c r="J447" s="52" t="s">
        <v>5816</v>
      </c>
      <c r="K447" s="56" t="n">
        <v>1</v>
      </c>
      <c r="L447" s="52" t="s">
        <v>5816</v>
      </c>
      <c r="M447" s="52" t="s">
        <v>130</v>
      </c>
    </row>
    <row r="448" customFormat="false" ht="17.25" hidden="false" customHeight="true" outlineLevel="0" collapsed="false">
      <c r="A448" s="52" t="s">
        <v>5777</v>
      </c>
      <c r="B448" s="52" t="s">
        <v>5813</v>
      </c>
      <c r="C448" s="53" t="n">
        <v>1472290</v>
      </c>
      <c r="D448" s="52" t="s">
        <v>1124</v>
      </c>
      <c r="E448" s="52" t="s">
        <v>1125</v>
      </c>
      <c r="F448" s="54" t="n">
        <v>12</v>
      </c>
      <c r="G448" s="55" t="n">
        <v>3336</v>
      </c>
      <c r="H448" s="55" t="n">
        <v>278</v>
      </c>
      <c r="I448" s="55" t="n">
        <v>278</v>
      </c>
      <c r="J448" s="52" t="s">
        <v>5816</v>
      </c>
      <c r="K448" s="56" t="n">
        <v>1</v>
      </c>
      <c r="L448" s="52" t="s">
        <v>5816</v>
      </c>
      <c r="M448" s="52" t="s">
        <v>355</v>
      </c>
    </row>
    <row r="449" customFormat="false" ht="17.25" hidden="false" customHeight="true" outlineLevel="0" collapsed="false">
      <c r="A449" s="52" t="s">
        <v>5777</v>
      </c>
      <c r="B449" s="52" t="s">
        <v>5813</v>
      </c>
      <c r="C449" s="53" t="n">
        <v>18834</v>
      </c>
      <c r="D449" s="52" t="s">
        <v>1126</v>
      </c>
      <c r="E449" s="52" t="s">
        <v>1127</v>
      </c>
      <c r="F449" s="54" t="n">
        <v>35</v>
      </c>
      <c r="G449" s="55" t="n">
        <v>3330.25</v>
      </c>
      <c r="H449" s="55" t="n">
        <v>95.15</v>
      </c>
      <c r="I449" s="55" t="n">
        <v>94.41</v>
      </c>
      <c r="J449" s="52" t="s">
        <v>5831</v>
      </c>
      <c r="K449" s="56" t="n">
        <v>1</v>
      </c>
      <c r="L449" s="52" t="s">
        <v>5831</v>
      </c>
      <c r="M449" s="52" t="s">
        <v>247</v>
      </c>
    </row>
    <row r="450" customFormat="false" ht="17.25" hidden="false" customHeight="true" outlineLevel="0" collapsed="false">
      <c r="A450" s="52" t="s">
        <v>5777</v>
      </c>
      <c r="B450" s="52" t="s">
        <v>5813</v>
      </c>
      <c r="C450" s="53" t="n">
        <v>1386744</v>
      </c>
      <c r="D450" s="52" t="s">
        <v>1128</v>
      </c>
      <c r="E450" s="52" t="s">
        <v>1129</v>
      </c>
      <c r="F450" s="54" t="n">
        <v>222</v>
      </c>
      <c r="G450" s="55" t="n">
        <v>3330</v>
      </c>
      <c r="H450" s="55" t="n">
        <v>15</v>
      </c>
      <c r="I450" s="55" t="n">
        <v>15</v>
      </c>
      <c r="J450" s="52" t="s">
        <v>5816</v>
      </c>
      <c r="K450" s="56" t="n">
        <v>1</v>
      </c>
      <c r="L450" s="52" t="s">
        <v>5816</v>
      </c>
      <c r="M450" s="52" t="s">
        <v>100</v>
      </c>
    </row>
    <row r="451" customFormat="false" ht="17.25" hidden="false" customHeight="true" outlineLevel="0" collapsed="false">
      <c r="A451" s="52" t="s">
        <v>5777</v>
      </c>
      <c r="B451" s="52" t="s">
        <v>5813</v>
      </c>
      <c r="C451" s="53" t="n">
        <v>429123</v>
      </c>
      <c r="D451" s="52" t="s">
        <v>1130</v>
      </c>
      <c r="E451" s="52" t="s">
        <v>1131</v>
      </c>
      <c r="F451" s="54" t="n">
        <v>15</v>
      </c>
      <c r="G451" s="55" t="n">
        <v>3298.5</v>
      </c>
      <c r="H451" s="55" t="n">
        <v>219.9</v>
      </c>
      <c r="I451" s="55" t="n">
        <v>219.9</v>
      </c>
      <c r="J451" s="52" t="s">
        <v>5816</v>
      </c>
      <c r="K451" s="56" t="n">
        <v>1</v>
      </c>
      <c r="L451" s="52" t="s">
        <v>5816</v>
      </c>
      <c r="M451" s="52" t="s">
        <v>705</v>
      </c>
    </row>
    <row r="452" customFormat="false" ht="17.25" hidden="false" customHeight="true" outlineLevel="0" collapsed="false">
      <c r="A452" s="52" t="s">
        <v>5777</v>
      </c>
      <c r="B452" s="52" t="s">
        <v>5813</v>
      </c>
      <c r="C452" s="53" t="n">
        <v>55587</v>
      </c>
      <c r="D452" s="52" t="s">
        <v>1132</v>
      </c>
      <c r="E452" s="52" t="s">
        <v>1133</v>
      </c>
      <c r="F452" s="54" t="n">
        <v>17</v>
      </c>
      <c r="G452" s="55" t="n">
        <v>3285</v>
      </c>
      <c r="H452" s="55" t="n">
        <v>193.2353</v>
      </c>
      <c r="I452" s="55" t="n">
        <v>330</v>
      </c>
      <c r="J452" s="52" t="s">
        <v>5816</v>
      </c>
      <c r="K452" s="56" t="n">
        <v>1</v>
      </c>
      <c r="L452" s="52" t="s">
        <v>5816</v>
      </c>
      <c r="M452" s="52" t="s">
        <v>247</v>
      </c>
    </row>
    <row r="453" customFormat="false" ht="17.25" hidden="false" customHeight="true" outlineLevel="0" collapsed="false">
      <c r="A453" s="52" t="s">
        <v>5777</v>
      </c>
      <c r="B453" s="52" t="s">
        <v>5813</v>
      </c>
      <c r="C453" s="53" t="n">
        <v>1475178</v>
      </c>
      <c r="D453" s="52" t="s">
        <v>1134</v>
      </c>
      <c r="E453" s="52" t="s">
        <v>1135</v>
      </c>
      <c r="F453" s="54" t="n">
        <v>13</v>
      </c>
      <c r="G453" s="55" t="n">
        <v>3267.52</v>
      </c>
      <c r="H453" s="55" t="n">
        <v>251.3477</v>
      </c>
      <c r="I453" s="55" t="n">
        <v>89.06</v>
      </c>
      <c r="J453" s="52" t="s">
        <v>5816</v>
      </c>
      <c r="K453" s="56" t="n">
        <v>1</v>
      </c>
      <c r="L453" s="52" t="s">
        <v>5816</v>
      </c>
      <c r="M453" s="52" t="s">
        <v>54</v>
      </c>
    </row>
    <row r="454" customFormat="false" ht="17.25" hidden="false" customHeight="true" outlineLevel="0" collapsed="false">
      <c r="A454" s="52" t="s">
        <v>5777</v>
      </c>
      <c r="B454" s="52" t="s">
        <v>5813</v>
      </c>
      <c r="C454" s="53" t="n">
        <v>1064684</v>
      </c>
      <c r="D454" s="52" t="s">
        <v>1136</v>
      </c>
      <c r="E454" s="52" t="s">
        <v>1137</v>
      </c>
      <c r="F454" s="54" t="n">
        <v>300</v>
      </c>
      <c r="G454" s="55" t="n">
        <v>3259.2</v>
      </c>
      <c r="H454" s="55" t="n">
        <v>10.864</v>
      </c>
      <c r="I454" s="55" t="n">
        <v>10.864</v>
      </c>
      <c r="J454" s="52" t="s">
        <v>5822</v>
      </c>
      <c r="K454" s="56" t="n">
        <v>1</v>
      </c>
      <c r="L454" s="52" t="s">
        <v>5822</v>
      </c>
      <c r="M454" s="52" t="s">
        <v>100</v>
      </c>
    </row>
    <row r="455" customFormat="false" ht="17.25" hidden="false" customHeight="true" outlineLevel="0" collapsed="false">
      <c r="A455" s="52" t="s">
        <v>5777</v>
      </c>
      <c r="B455" s="52" t="s">
        <v>5813</v>
      </c>
      <c r="C455" s="53" t="n">
        <v>563618</v>
      </c>
      <c r="D455" s="52" t="s">
        <v>1138</v>
      </c>
      <c r="E455" s="52" t="s">
        <v>1139</v>
      </c>
      <c r="F455" s="54" t="n">
        <v>1</v>
      </c>
      <c r="G455" s="55" t="n">
        <v>3250</v>
      </c>
      <c r="H455" s="55" t="n">
        <v>3250</v>
      </c>
      <c r="I455" s="55" t="n">
        <v>3250</v>
      </c>
      <c r="J455" s="52" t="s">
        <v>5816</v>
      </c>
      <c r="K455" s="56" t="n">
        <v>1</v>
      </c>
      <c r="L455" s="52" t="s">
        <v>5816</v>
      </c>
      <c r="M455" s="52" t="s">
        <v>35</v>
      </c>
    </row>
    <row r="456" customFormat="false" ht="17.25" hidden="false" customHeight="true" outlineLevel="0" collapsed="false">
      <c r="A456" s="52" t="s">
        <v>5777</v>
      </c>
      <c r="B456" s="52" t="s">
        <v>5813</v>
      </c>
      <c r="C456" s="53" t="n">
        <v>831921</v>
      </c>
      <c r="D456" s="52" t="s">
        <v>1140</v>
      </c>
      <c r="E456" s="52" t="s">
        <v>1141</v>
      </c>
      <c r="F456" s="54" t="n">
        <v>29</v>
      </c>
      <c r="G456" s="55" t="n">
        <v>3237.56</v>
      </c>
      <c r="H456" s="55" t="n">
        <v>111.64</v>
      </c>
      <c r="I456" s="55" t="n">
        <v>111.64</v>
      </c>
      <c r="J456" s="52" t="s">
        <v>5816</v>
      </c>
      <c r="K456" s="56" t="n">
        <v>1</v>
      </c>
      <c r="L456" s="52" t="s">
        <v>5816</v>
      </c>
      <c r="M456" s="52" t="s">
        <v>247</v>
      </c>
    </row>
    <row r="457" customFormat="false" ht="17.25" hidden="false" customHeight="true" outlineLevel="0" collapsed="false">
      <c r="A457" s="52" t="s">
        <v>5777</v>
      </c>
      <c r="B457" s="52" t="s">
        <v>5813</v>
      </c>
      <c r="C457" s="53" t="n">
        <v>864250</v>
      </c>
      <c r="D457" s="52" t="s">
        <v>1142</v>
      </c>
      <c r="E457" s="52" t="s">
        <v>1143</v>
      </c>
      <c r="F457" s="54" t="n">
        <v>15</v>
      </c>
      <c r="G457" s="55" t="n">
        <v>3220</v>
      </c>
      <c r="H457" s="55" t="n">
        <v>214.6667</v>
      </c>
      <c r="I457" s="55" t="n">
        <v>210</v>
      </c>
      <c r="J457" s="52" t="s">
        <v>5816</v>
      </c>
      <c r="K457" s="56" t="n">
        <v>1</v>
      </c>
      <c r="L457" s="52" t="s">
        <v>5816</v>
      </c>
      <c r="M457" s="52" t="s">
        <v>167</v>
      </c>
    </row>
    <row r="458" customFormat="false" ht="17.25" hidden="false" customHeight="true" outlineLevel="0" collapsed="false">
      <c r="A458" s="52" t="s">
        <v>5777</v>
      </c>
      <c r="B458" s="52" t="s">
        <v>5813</v>
      </c>
      <c r="C458" s="53" t="n">
        <v>959716</v>
      </c>
      <c r="D458" s="52" t="s">
        <v>1144</v>
      </c>
      <c r="E458" s="52" t="s">
        <v>1145</v>
      </c>
      <c r="F458" s="54" t="n">
        <v>11</v>
      </c>
      <c r="G458" s="55" t="n">
        <v>3216.785</v>
      </c>
      <c r="H458" s="55" t="n">
        <v>292.435</v>
      </c>
      <c r="I458" s="55" t="n">
        <v>334.87</v>
      </c>
      <c r="J458" s="52" t="s">
        <v>5816</v>
      </c>
      <c r="K458" s="56" t="n">
        <v>1</v>
      </c>
      <c r="L458" s="52" t="s">
        <v>5816</v>
      </c>
      <c r="M458" s="52" t="s">
        <v>35</v>
      </c>
    </row>
    <row r="459" customFormat="false" ht="17.25" hidden="false" customHeight="true" outlineLevel="0" collapsed="false">
      <c r="A459" s="52" t="s">
        <v>5777</v>
      </c>
      <c r="B459" s="52" t="s">
        <v>5813</v>
      </c>
      <c r="C459" s="53" t="n">
        <v>1679659</v>
      </c>
      <c r="D459" s="52" t="s">
        <v>1146</v>
      </c>
      <c r="E459" s="52" t="s">
        <v>1147</v>
      </c>
      <c r="F459" s="54" t="n">
        <v>8</v>
      </c>
      <c r="G459" s="55" t="n">
        <v>3207.36</v>
      </c>
      <c r="H459" s="55" t="n">
        <v>400.92</v>
      </c>
      <c r="I459" s="55" t="n">
        <v>389</v>
      </c>
      <c r="J459" s="52" t="s">
        <v>5816</v>
      </c>
      <c r="K459" s="56" t="n">
        <v>1</v>
      </c>
      <c r="L459" s="52" t="s">
        <v>5816</v>
      </c>
      <c r="M459" s="52" t="s">
        <v>705</v>
      </c>
    </row>
    <row r="460" customFormat="false" ht="17.25" hidden="false" customHeight="true" outlineLevel="0" collapsed="false">
      <c r="A460" s="52" t="s">
        <v>5777</v>
      </c>
      <c r="B460" s="52" t="s">
        <v>5813</v>
      </c>
      <c r="C460" s="53" t="n">
        <v>259921</v>
      </c>
      <c r="D460" s="52" t="s">
        <v>1148</v>
      </c>
      <c r="E460" s="52" t="s">
        <v>1149</v>
      </c>
      <c r="F460" s="54" t="n">
        <v>20</v>
      </c>
      <c r="G460" s="55" t="n">
        <v>3200</v>
      </c>
      <c r="H460" s="55" t="n">
        <v>160</v>
      </c>
      <c r="I460" s="55" t="n">
        <v>160</v>
      </c>
      <c r="J460" s="52" t="s">
        <v>5816</v>
      </c>
      <c r="K460" s="56" t="n">
        <v>1</v>
      </c>
      <c r="L460" s="52" t="s">
        <v>5816</v>
      </c>
      <c r="M460" s="52" t="s">
        <v>66</v>
      </c>
    </row>
    <row r="461" customFormat="false" ht="17.25" hidden="false" customHeight="true" outlineLevel="0" collapsed="false">
      <c r="A461" s="52" t="s">
        <v>5777</v>
      </c>
      <c r="B461" s="52" t="s">
        <v>5813</v>
      </c>
      <c r="C461" s="53" t="n">
        <v>1465455</v>
      </c>
      <c r="D461" s="52" t="s">
        <v>1150</v>
      </c>
      <c r="E461" s="52" t="s">
        <v>1151</v>
      </c>
      <c r="F461" s="54" t="n">
        <v>16</v>
      </c>
      <c r="G461" s="55" t="n">
        <v>3197</v>
      </c>
      <c r="H461" s="55" t="n">
        <v>199.8125</v>
      </c>
      <c r="I461" s="55" t="n">
        <v>230</v>
      </c>
      <c r="J461" s="52" t="s">
        <v>5816</v>
      </c>
      <c r="K461" s="56" t="n">
        <v>1</v>
      </c>
      <c r="L461" s="52" t="s">
        <v>5816</v>
      </c>
      <c r="M461" s="52" t="s">
        <v>100</v>
      </c>
    </row>
    <row r="462" customFormat="false" ht="17.25" hidden="false" customHeight="true" outlineLevel="0" collapsed="false">
      <c r="A462" s="52" t="s">
        <v>5777</v>
      </c>
      <c r="B462" s="52" t="s">
        <v>5813</v>
      </c>
      <c r="C462" s="53" t="n">
        <v>1327938</v>
      </c>
      <c r="D462" s="52" t="s">
        <v>1152</v>
      </c>
      <c r="E462" s="52" t="s">
        <v>1153</v>
      </c>
      <c r="F462" s="54" t="n">
        <v>370</v>
      </c>
      <c r="G462" s="55" t="n">
        <v>3145</v>
      </c>
      <c r="H462" s="55" t="n">
        <v>8.5</v>
      </c>
      <c r="I462" s="55" t="n">
        <v>8.5</v>
      </c>
      <c r="J462" s="52" t="s">
        <v>5816</v>
      </c>
      <c r="K462" s="56" t="n">
        <v>1</v>
      </c>
      <c r="L462" s="52" t="s">
        <v>5816</v>
      </c>
      <c r="M462" s="52" t="s">
        <v>54</v>
      </c>
    </row>
    <row r="463" customFormat="false" ht="17.25" hidden="false" customHeight="true" outlineLevel="0" collapsed="false">
      <c r="A463" s="52" t="s">
        <v>5777</v>
      </c>
      <c r="B463" s="52" t="s">
        <v>5813</v>
      </c>
      <c r="C463" s="53" t="n">
        <v>1380098</v>
      </c>
      <c r="D463" s="52" t="s">
        <v>1154</v>
      </c>
      <c r="E463" s="52" t="s">
        <v>1155</v>
      </c>
      <c r="F463" s="54" t="n">
        <v>15</v>
      </c>
      <c r="G463" s="55" t="n">
        <v>3133.5</v>
      </c>
      <c r="H463" s="55" t="n">
        <v>208.9</v>
      </c>
      <c r="I463" s="55" t="n">
        <v>208.9</v>
      </c>
      <c r="J463" s="52" t="s">
        <v>5816</v>
      </c>
      <c r="K463" s="56" t="n">
        <v>1</v>
      </c>
      <c r="L463" s="52" t="s">
        <v>5816</v>
      </c>
      <c r="M463" s="52" t="s">
        <v>38</v>
      </c>
    </row>
    <row r="464" customFormat="false" ht="17.25" hidden="false" customHeight="true" outlineLevel="0" collapsed="false">
      <c r="A464" s="52" t="s">
        <v>5777</v>
      </c>
      <c r="B464" s="52" t="s">
        <v>5813</v>
      </c>
      <c r="C464" s="53" t="n">
        <v>145663</v>
      </c>
      <c r="D464" s="52" t="s">
        <v>1156</v>
      </c>
      <c r="E464" s="52" t="s">
        <v>1157</v>
      </c>
      <c r="F464" s="54" t="n">
        <v>50</v>
      </c>
      <c r="G464" s="55" t="n">
        <v>3125</v>
      </c>
      <c r="H464" s="55" t="n">
        <v>62.5</v>
      </c>
      <c r="I464" s="55" t="n">
        <v>62.5</v>
      </c>
      <c r="J464" s="52" t="s">
        <v>5816</v>
      </c>
      <c r="K464" s="56" t="n">
        <v>1</v>
      </c>
      <c r="L464" s="52" t="s">
        <v>5816</v>
      </c>
      <c r="M464" s="52" t="s">
        <v>138</v>
      </c>
    </row>
    <row r="465" customFormat="false" ht="17.25" hidden="false" customHeight="true" outlineLevel="0" collapsed="false">
      <c r="A465" s="52" t="s">
        <v>5777</v>
      </c>
      <c r="B465" s="52" t="s">
        <v>5813</v>
      </c>
      <c r="C465" s="53" t="n">
        <v>16245</v>
      </c>
      <c r="D465" s="52" t="s">
        <v>1158</v>
      </c>
      <c r="E465" s="52" t="s">
        <v>1159</v>
      </c>
      <c r="F465" s="54" t="n">
        <v>12</v>
      </c>
      <c r="G465" s="55" t="n">
        <v>3120</v>
      </c>
      <c r="H465" s="55" t="n">
        <v>260</v>
      </c>
      <c r="I465" s="55" t="n">
        <v>260</v>
      </c>
      <c r="J465" s="52" t="s">
        <v>5816</v>
      </c>
      <c r="K465" s="56" t="n">
        <v>1</v>
      </c>
      <c r="L465" s="52" t="s">
        <v>5816</v>
      </c>
      <c r="M465" s="52" t="s">
        <v>195</v>
      </c>
    </row>
    <row r="466" customFormat="false" ht="17.25" hidden="false" customHeight="true" outlineLevel="0" collapsed="false">
      <c r="A466" s="52" t="s">
        <v>5777</v>
      </c>
      <c r="B466" s="52" t="s">
        <v>5813</v>
      </c>
      <c r="C466" s="53" t="n">
        <v>55251</v>
      </c>
      <c r="D466" s="52" t="s">
        <v>1160</v>
      </c>
      <c r="E466" s="52" t="s">
        <v>1161</v>
      </c>
      <c r="F466" s="54" t="n">
        <v>12</v>
      </c>
      <c r="G466" s="55" t="n">
        <v>3120</v>
      </c>
      <c r="H466" s="55" t="n">
        <v>260</v>
      </c>
      <c r="I466" s="55" t="n">
        <v>260</v>
      </c>
      <c r="J466" s="52" t="s">
        <v>5816</v>
      </c>
      <c r="K466" s="56" t="n">
        <v>1</v>
      </c>
      <c r="L466" s="52" t="s">
        <v>5816</v>
      </c>
      <c r="M466" s="52" t="s">
        <v>247</v>
      </c>
    </row>
    <row r="467" customFormat="false" ht="17.25" hidden="false" customHeight="true" outlineLevel="0" collapsed="false">
      <c r="A467" s="52" t="s">
        <v>5777</v>
      </c>
      <c r="B467" s="52" t="s">
        <v>5813</v>
      </c>
      <c r="C467" s="53" t="n">
        <v>1255458</v>
      </c>
      <c r="D467" s="52" t="s">
        <v>1162</v>
      </c>
      <c r="E467" s="52" t="s">
        <v>1163</v>
      </c>
      <c r="F467" s="54" t="n">
        <v>4</v>
      </c>
      <c r="G467" s="55" t="n">
        <v>3120</v>
      </c>
      <c r="H467" s="55" t="n">
        <v>780</v>
      </c>
      <c r="I467" s="55" t="n">
        <v>780</v>
      </c>
      <c r="J467" s="52" t="s">
        <v>5816</v>
      </c>
      <c r="K467" s="56" t="n">
        <v>1</v>
      </c>
      <c r="L467" s="52" t="s">
        <v>5816</v>
      </c>
      <c r="M467" s="52" t="s">
        <v>247</v>
      </c>
    </row>
    <row r="468" customFormat="false" ht="17.25" hidden="false" customHeight="true" outlineLevel="0" collapsed="false">
      <c r="A468" s="52" t="s">
        <v>5777</v>
      </c>
      <c r="B468" s="52" t="s">
        <v>5813</v>
      </c>
      <c r="C468" s="53" t="n">
        <v>279761</v>
      </c>
      <c r="D468" s="52" t="s">
        <v>1164</v>
      </c>
      <c r="E468" s="52" t="s">
        <v>1165</v>
      </c>
      <c r="F468" s="54" t="n">
        <v>50</v>
      </c>
      <c r="G468" s="55" t="n">
        <v>3100</v>
      </c>
      <c r="H468" s="55" t="n">
        <v>62</v>
      </c>
      <c r="I468" s="55" t="n">
        <v>62</v>
      </c>
      <c r="J468" s="52" t="s">
        <v>5816</v>
      </c>
      <c r="K468" s="56" t="n">
        <v>1</v>
      </c>
      <c r="L468" s="52" t="s">
        <v>5816</v>
      </c>
      <c r="M468" s="52" t="s">
        <v>54</v>
      </c>
    </row>
    <row r="469" customFormat="false" ht="17.25" hidden="false" customHeight="true" outlineLevel="0" collapsed="false">
      <c r="A469" s="52" t="s">
        <v>5777</v>
      </c>
      <c r="B469" s="52" t="s">
        <v>5813</v>
      </c>
      <c r="C469" s="53" t="n">
        <v>863491</v>
      </c>
      <c r="D469" s="52" t="s">
        <v>1166</v>
      </c>
      <c r="E469" s="52" t="s">
        <v>1167</v>
      </c>
      <c r="F469" s="54" t="n">
        <v>3</v>
      </c>
      <c r="G469" s="55" t="n">
        <v>3090</v>
      </c>
      <c r="H469" s="55" t="n">
        <v>1030</v>
      </c>
      <c r="I469" s="55" t="n">
        <v>1030</v>
      </c>
      <c r="J469" s="52" t="s">
        <v>5816</v>
      </c>
      <c r="K469" s="56" t="n">
        <v>1</v>
      </c>
      <c r="L469" s="52" t="s">
        <v>5816</v>
      </c>
      <c r="M469" s="52" t="s">
        <v>170</v>
      </c>
    </row>
    <row r="470" customFormat="false" ht="17.25" hidden="false" customHeight="true" outlineLevel="0" collapsed="false">
      <c r="A470" s="52" t="s">
        <v>5777</v>
      </c>
      <c r="B470" s="52" t="s">
        <v>5813</v>
      </c>
      <c r="C470" s="53" t="n">
        <v>137401</v>
      </c>
      <c r="D470" s="52" t="s">
        <v>1168</v>
      </c>
      <c r="E470" s="52" t="s">
        <v>1169</v>
      </c>
      <c r="F470" s="54" t="n">
        <v>105</v>
      </c>
      <c r="G470" s="55" t="n">
        <v>3075.6</v>
      </c>
      <c r="H470" s="55" t="n">
        <v>29.2914</v>
      </c>
      <c r="I470" s="55" t="n">
        <v>26.5</v>
      </c>
      <c r="J470" s="52" t="s">
        <v>5816</v>
      </c>
      <c r="K470" s="56" t="n">
        <v>1</v>
      </c>
      <c r="L470" s="52" t="s">
        <v>5816</v>
      </c>
      <c r="M470" s="52" t="s">
        <v>247</v>
      </c>
    </row>
    <row r="471" customFormat="false" ht="17.25" hidden="false" customHeight="true" outlineLevel="0" collapsed="false">
      <c r="A471" s="52" t="s">
        <v>5777</v>
      </c>
      <c r="B471" s="52" t="s">
        <v>5813</v>
      </c>
      <c r="C471" s="53" t="n">
        <v>1385804</v>
      </c>
      <c r="D471" s="52" t="s">
        <v>1172</v>
      </c>
      <c r="E471" s="52" t="s">
        <v>1173</v>
      </c>
      <c r="F471" s="54" t="n">
        <v>3</v>
      </c>
      <c r="G471" s="55" t="n">
        <v>3067.98</v>
      </c>
      <c r="H471" s="55" t="n">
        <v>1022.66</v>
      </c>
      <c r="I471" s="55" t="n">
        <v>1022.66</v>
      </c>
      <c r="J471" s="52" t="s">
        <v>5816</v>
      </c>
      <c r="K471" s="56" t="n">
        <v>1</v>
      </c>
      <c r="L471" s="52" t="s">
        <v>5816</v>
      </c>
      <c r="M471" s="52" t="s">
        <v>38</v>
      </c>
    </row>
    <row r="472" customFormat="false" ht="17.25" hidden="false" customHeight="true" outlineLevel="0" collapsed="false">
      <c r="A472" s="52" t="s">
        <v>5777</v>
      </c>
      <c r="B472" s="52" t="s">
        <v>5813</v>
      </c>
      <c r="C472" s="53" t="n">
        <v>14255</v>
      </c>
      <c r="D472" s="52" t="s">
        <v>1174</v>
      </c>
      <c r="E472" s="52" t="s">
        <v>1175</v>
      </c>
      <c r="F472" s="54" t="n">
        <v>2</v>
      </c>
      <c r="G472" s="55" t="n">
        <v>3044.92</v>
      </c>
      <c r="H472" s="55" t="n">
        <v>1522.46</v>
      </c>
      <c r="I472" s="55" t="n">
        <v>1522.46</v>
      </c>
      <c r="J472" s="52" t="s">
        <v>5816</v>
      </c>
      <c r="K472" s="56" t="n">
        <v>1</v>
      </c>
      <c r="L472" s="52" t="s">
        <v>5816</v>
      </c>
      <c r="M472" s="52" t="s">
        <v>38</v>
      </c>
    </row>
    <row r="473" customFormat="false" ht="17.25" hidden="false" customHeight="true" outlineLevel="0" collapsed="false">
      <c r="A473" s="52" t="s">
        <v>5777</v>
      </c>
      <c r="B473" s="52" t="s">
        <v>5813</v>
      </c>
      <c r="C473" s="53" t="n">
        <v>10386</v>
      </c>
      <c r="D473" s="52" t="s">
        <v>1178</v>
      </c>
      <c r="E473" s="52" t="s">
        <v>1179</v>
      </c>
      <c r="F473" s="54" t="n">
        <v>560.86</v>
      </c>
      <c r="G473" s="55" t="n">
        <v>3028.59</v>
      </c>
      <c r="H473" s="55" t="n">
        <v>5.3999</v>
      </c>
      <c r="I473" s="55" t="n">
        <v>5.3999</v>
      </c>
      <c r="J473" s="52" t="s">
        <v>5822</v>
      </c>
      <c r="K473" s="56" t="n">
        <v>1</v>
      </c>
      <c r="L473" s="52" t="s">
        <v>5822</v>
      </c>
      <c r="M473" s="52" t="s">
        <v>133</v>
      </c>
    </row>
    <row r="474" customFormat="false" ht="17.25" hidden="false" customHeight="true" outlineLevel="0" collapsed="false">
      <c r="A474" s="52" t="s">
        <v>5777</v>
      </c>
      <c r="B474" s="52" t="s">
        <v>5813</v>
      </c>
      <c r="C474" s="53" t="n">
        <v>260102</v>
      </c>
      <c r="D474" s="52" t="s">
        <v>1180</v>
      </c>
      <c r="E474" s="52" t="s">
        <v>1181</v>
      </c>
      <c r="F474" s="54" t="n">
        <v>12</v>
      </c>
      <c r="G474" s="55" t="n">
        <v>3024</v>
      </c>
      <c r="H474" s="55" t="n">
        <v>252</v>
      </c>
      <c r="I474" s="55" t="n">
        <v>260</v>
      </c>
      <c r="J474" s="52" t="s">
        <v>5816</v>
      </c>
      <c r="K474" s="56" t="n">
        <v>1</v>
      </c>
      <c r="L474" s="52" t="s">
        <v>5816</v>
      </c>
      <c r="M474" s="52" t="s">
        <v>247</v>
      </c>
    </row>
    <row r="475" customFormat="false" ht="17.25" hidden="false" customHeight="true" outlineLevel="0" collapsed="false">
      <c r="A475" s="52" t="s">
        <v>5777</v>
      </c>
      <c r="B475" s="52" t="s">
        <v>5813</v>
      </c>
      <c r="C475" s="53" t="n">
        <v>57003</v>
      </c>
      <c r="D475" s="52" t="s">
        <v>1184</v>
      </c>
      <c r="E475" s="52" t="s">
        <v>1185</v>
      </c>
      <c r="F475" s="54" t="n">
        <v>67</v>
      </c>
      <c r="G475" s="55" t="n">
        <v>3011.86</v>
      </c>
      <c r="H475" s="55" t="n">
        <v>44.9532</v>
      </c>
      <c r="I475" s="55" t="n">
        <v>47.26</v>
      </c>
      <c r="J475" s="52" t="s">
        <v>5816</v>
      </c>
      <c r="K475" s="56" t="n">
        <v>1</v>
      </c>
      <c r="L475" s="52" t="s">
        <v>5816</v>
      </c>
      <c r="M475" s="52" t="s">
        <v>637</v>
      </c>
    </row>
    <row r="476" customFormat="false" ht="17.25" hidden="false" customHeight="true" outlineLevel="0" collapsed="false">
      <c r="A476" s="52" t="s">
        <v>5777</v>
      </c>
      <c r="B476" s="52" t="s">
        <v>5813</v>
      </c>
      <c r="C476" s="53" t="n">
        <v>1388187</v>
      </c>
      <c r="D476" s="52" t="s">
        <v>1186</v>
      </c>
      <c r="E476" s="52" t="s">
        <v>1187</v>
      </c>
      <c r="F476" s="54" t="n">
        <v>9</v>
      </c>
      <c r="G476" s="55" t="n">
        <v>3008.52</v>
      </c>
      <c r="H476" s="55" t="n">
        <v>334.28</v>
      </c>
      <c r="I476" s="55" t="n">
        <v>334.28</v>
      </c>
      <c r="J476" s="52" t="s">
        <v>5816</v>
      </c>
      <c r="K476" s="56" t="n">
        <v>1</v>
      </c>
      <c r="L476" s="52" t="s">
        <v>5816</v>
      </c>
      <c r="M476" s="52" t="s">
        <v>38</v>
      </c>
    </row>
    <row r="477" customFormat="false" ht="17.25" hidden="false" customHeight="true" outlineLevel="0" collapsed="false">
      <c r="A477" s="52" t="s">
        <v>5777</v>
      </c>
      <c r="B477" s="52" t="s">
        <v>5813</v>
      </c>
      <c r="C477" s="53" t="n">
        <v>294260</v>
      </c>
      <c r="D477" s="52" t="s">
        <v>1188</v>
      </c>
      <c r="E477" s="52" t="s">
        <v>1189</v>
      </c>
      <c r="F477" s="54" t="n">
        <v>2</v>
      </c>
      <c r="G477" s="55" t="n">
        <v>3000</v>
      </c>
      <c r="H477" s="55" t="n">
        <v>1500</v>
      </c>
      <c r="I477" s="55" t="n">
        <v>1500</v>
      </c>
      <c r="J477" s="52" t="s">
        <v>5816</v>
      </c>
      <c r="K477" s="56" t="n">
        <v>1</v>
      </c>
      <c r="L477" s="52" t="s">
        <v>5816</v>
      </c>
      <c r="M477" s="52" t="s">
        <v>35</v>
      </c>
    </row>
    <row r="478" customFormat="false" ht="17.25" hidden="false" customHeight="true" outlineLevel="0" collapsed="false">
      <c r="A478" s="52" t="s">
        <v>5777</v>
      </c>
      <c r="B478" s="52" t="s">
        <v>5813</v>
      </c>
      <c r="C478" s="53" t="n">
        <v>293989</v>
      </c>
      <c r="D478" s="52" t="s">
        <v>1190</v>
      </c>
      <c r="E478" s="52" t="s">
        <v>1191</v>
      </c>
      <c r="F478" s="54" t="n">
        <v>2</v>
      </c>
      <c r="G478" s="55" t="n">
        <v>2998</v>
      </c>
      <c r="H478" s="55" t="n">
        <v>1499</v>
      </c>
      <c r="I478" s="55" t="n">
        <v>1499</v>
      </c>
      <c r="J478" s="52" t="s">
        <v>5816</v>
      </c>
      <c r="K478" s="56" t="n">
        <v>1</v>
      </c>
      <c r="L478" s="52" t="s">
        <v>5816</v>
      </c>
      <c r="M478" s="52" t="s">
        <v>637</v>
      </c>
    </row>
    <row r="479" customFormat="false" ht="17.25" hidden="false" customHeight="true" outlineLevel="0" collapsed="false">
      <c r="A479" s="52" t="s">
        <v>5777</v>
      </c>
      <c r="B479" s="52" t="s">
        <v>5813</v>
      </c>
      <c r="C479" s="53" t="n">
        <v>33844</v>
      </c>
      <c r="D479" s="52" t="s">
        <v>1192</v>
      </c>
      <c r="E479" s="52" t="s">
        <v>1193</v>
      </c>
      <c r="F479" s="54" t="n">
        <v>4</v>
      </c>
      <c r="G479" s="55" t="n">
        <v>2990.5</v>
      </c>
      <c r="H479" s="55" t="n">
        <v>747.625</v>
      </c>
      <c r="I479" s="55" t="n">
        <v>764.1</v>
      </c>
      <c r="J479" s="52" t="s">
        <v>5816</v>
      </c>
      <c r="K479" s="56" t="n">
        <v>1</v>
      </c>
      <c r="L479" s="52" t="s">
        <v>5816</v>
      </c>
      <c r="M479" s="52" t="s">
        <v>75</v>
      </c>
    </row>
    <row r="480" customFormat="false" ht="17.25" hidden="false" customHeight="true" outlineLevel="0" collapsed="false">
      <c r="A480" s="52" t="s">
        <v>5777</v>
      </c>
      <c r="B480" s="52" t="s">
        <v>5813</v>
      </c>
      <c r="C480" s="53" t="n">
        <v>56644</v>
      </c>
      <c r="D480" s="52" t="s">
        <v>1194</v>
      </c>
      <c r="E480" s="52" t="s">
        <v>1195</v>
      </c>
      <c r="F480" s="54" t="n">
        <v>500</v>
      </c>
      <c r="G480" s="55" t="n">
        <v>2990</v>
      </c>
      <c r="H480" s="55" t="n">
        <v>5.98</v>
      </c>
      <c r="I480" s="55" t="n">
        <v>5.98</v>
      </c>
      <c r="J480" s="52" t="s">
        <v>5816</v>
      </c>
      <c r="K480" s="56" t="n">
        <v>1</v>
      </c>
      <c r="L480" s="52" t="s">
        <v>5816</v>
      </c>
      <c r="M480" s="52" t="s">
        <v>133</v>
      </c>
    </row>
    <row r="481" customFormat="false" ht="17.25" hidden="false" customHeight="true" outlineLevel="0" collapsed="false">
      <c r="A481" s="52" t="s">
        <v>5777</v>
      </c>
      <c r="B481" s="52" t="s">
        <v>5813</v>
      </c>
      <c r="C481" s="53" t="n">
        <v>1463585</v>
      </c>
      <c r="D481" s="52" t="s">
        <v>1196</v>
      </c>
      <c r="E481" s="52" t="s">
        <v>1197</v>
      </c>
      <c r="F481" s="54" t="n">
        <v>44.39</v>
      </c>
      <c r="G481" s="55" t="n">
        <v>2989.62</v>
      </c>
      <c r="H481" s="55" t="n">
        <v>67.349</v>
      </c>
      <c r="I481" s="55" t="n">
        <v>67.349</v>
      </c>
      <c r="J481" s="52" t="s">
        <v>5814</v>
      </c>
      <c r="K481" s="56" t="n">
        <v>1</v>
      </c>
      <c r="L481" s="52" t="s">
        <v>5814</v>
      </c>
      <c r="M481" s="52" t="s">
        <v>38</v>
      </c>
    </row>
    <row r="482" customFormat="false" ht="17.25" hidden="false" customHeight="true" outlineLevel="0" collapsed="false">
      <c r="A482" s="52" t="s">
        <v>5777</v>
      </c>
      <c r="B482" s="52" t="s">
        <v>5813</v>
      </c>
      <c r="C482" s="53" t="n">
        <v>275755</v>
      </c>
      <c r="D482" s="52" t="s">
        <v>1198</v>
      </c>
      <c r="E482" s="52" t="s">
        <v>1199</v>
      </c>
      <c r="F482" s="54" t="n">
        <v>6</v>
      </c>
      <c r="G482" s="55" t="n">
        <v>2988</v>
      </c>
      <c r="H482" s="55" t="n">
        <v>498</v>
      </c>
      <c r="I482" s="55" t="n">
        <v>498</v>
      </c>
      <c r="J482" s="52" t="s">
        <v>5816</v>
      </c>
      <c r="K482" s="56" t="n">
        <v>1</v>
      </c>
      <c r="L482" s="52" t="s">
        <v>5816</v>
      </c>
      <c r="M482" s="52" t="s">
        <v>75</v>
      </c>
    </row>
    <row r="483" customFormat="false" ht="17.25" hidden="false" customHeight="true" outlineLevel="0" collapsed="false">
      <c r="A483" s="52" t="s">
        <v>5777</v>
      </c>
      <c r="B483" s="52" t="s">
        <v>5813</v>
      </c>
      <c r="C483" s="53" t="n">
        <v>348017</v>
      </c>
      <c r="D483" s="52" t="s">
        <v>1200</v>
      </c>
      <c r="E483" s="52" t="s">
        <v>1201</v>
      </c>
      <c r="F483" s="54" t="n">
        <v>10</v>
      </c>
      <c r="G483" s="55" t="n">
        <v>2973.6</v>
      </c>
      <c r="H483" s="55" t="n">
        <v>297.36</v>
      </c>
      <c r="I483" s="55" t="n">
        <v>297.36</v>
      </c>
      <c r="J483" s="52" t="s">
        <v>5816</v>
      </c>
      <c r="K483" s="56" t="n">
        <v>1</v>
      </c>
      <c r="L483" s="52" t="s">
        <v>5816</v>
      </c>
      <c r="M483" s="52" t="s">
        <v>130</v>
      </c>
    </row>
    <row r="484" customFormat="false" ht="17.25" hidden="false" customHeight="true" outlineLevel="0" collapsed="false">
      <c r="A484" s="52" t="s">
        <v>5777</v>
      </c>
      <c r="B484" s="52" t="s">
        <v>5813</v>
      </c>
      <c r="C484" s="53" t="n">
        <v>1657134</v>
      </c>
      <c r="D484" s="52" t="s">
        <v>1202</v>
      </c>
      <c r="E484" s="52" t="s">
        <v>1203</v>
      </c>
      <c r="F484" s="54" t="n">
        <v>180</v>
      </c>
      <c r="G484" s="55" t="n">
        <v>2970</v>
      </c>
      <c r="H484" s="55" t="n">
        <v>16.5</v>
      </c>
      <c r="I484" s="55" t="n">
        <v>16.5</v>
      </c>
      <c r="J484" s="52" t="s">
        <v>5816</v>
      </c>
      <c r="K484" s="56" t="n">
        <v>1</v>
      </c>
      <c r="L484" s="52" t="s">
        <v>5816</v>
      </c>
      <c r="M484" s="52" t="s">
        <v>100</v>
      </c>
    </row>
    <row r="485" customFormat="false" ht="17.25" hidden="false" customHeight="true" outlineLevel="0" collapsed="false">
      <c r="A485" s="52" t="s">
        <v>5777</v>
      </c>
      <c r="B485" s="52" t="s">
        <v>5813</v>
      </c>
      <c r="C485" s="53" t="n">
        <v>427236</v>
      </c>
      <c r="D485" s="52" t="s">
        <v>1204</v>
      </c>
      <c r="E485" s="52" t="s">
        <v>1205</v>
      </c>
      <c r="F485" s="54" t="n">
        <v>11</v>
      </c>
      <c r="G485" s="55" t="n">
        <v>2966</v>
      </c>
      <c r="H485" s="55" t="n">
        <v>269.6364</v>
      </c>
      <c r="I485" s="55" t="n">
        <v>268</v>
      </c>
      <c r="J485" s="52" t="s">
        <v>5816</v>
      </c>
      <c r="K485" s="56" t="n">
        <v>1</v>
      </c>
      <c r="L485" s="52" t="s">
        <v>5816</v>
      </c>
      <c r="M485" s="52" t="s">
        <v>130</v>
      </c>
    </row>
    <row r="486" customFormat="false" ht="17.25" hidden="false" customHeight="true" outlineLevel="0" collapsed="false">
      <c r="A486" s="52" t="s">
        <v>5777</v>
      </c>
      <c r="B486" s="52" t="s">
        <v>5813</v>
      </c>
      <c r="C486" s="53" t="n">
        <v>56010</v>
      </c>
      <c r="D486" s="52" t="s">
        <v>1206</v>
      </c>
      <c r="E486" s="52" t="s">
        <v>1207</v>
      </c>
      <c r="F486" s="54" t="n">
        <v>2</v>
      </c>
      <c r="G486" s="55" t="n">
        <v>2957.82</v>
      </c>
      <c r="H486" s="55" t="n">
        <v>1478.91</v>
      </c>
      <c r="I486" s="55" t="n">
        <v>1478.91</v>
      </c>
      <c r="J486" s="52" t="s">
        <v>5816</v>
      </c>
      <c r="K486" s="56" t="n">
        <v>1</v>
      </c>
      <c r="L486" s="52" t="s">
        <v>5816</v>
      </c>
      <c r="M486" s="52" t="s">
        <v>35</v>
      </c>
    </row>
    <row r="487" customFormat="false" ht="17.25" hidden="false" customHeight="true" outlineLevel="0" collapsed="false">
      <c r="A487" s="52" t="s">
        <v>5777</v>
      </c>
      <c r="B487" s="52" t="s">
        <v>5813</v>
      </c>
      <c r="C487" s="53" t="n">
        <v>1469746</v>
      </c>
      <c r="D487" s="52" t="s">
        <v>1208</v>
      </c>
      <c r="E487" s="52" t="s">
        <v>1209</v>
      </c>
      <c r="F487" s="54" t="n">
        <v>340</v>
      </c>
      <c r="G487" s="55" t="n">
        <v>2947.8</v>
      </c>
      <c r="H487" s="55" t="n">
        <v>8.67</v>
      </c>
      <c r="I487" s="55" t="n">
        <v>8.67</v>
      </c>
      <c r="J487" s="52" t="s">
        <v>5816</v>
      </c>
      <c r="K487" s="56" t="n">
        <v>1</v>
      </c>
      <c r="L487" s="52" t="s">
        <v>5816</v>
      </c>
      <c r="M487" s="52" t="s">
        <v>394</v>
      </c>
    </row>
    <row r="488" customFormat="false" ht="17.25" hidden="false" customHeight="true" outlineLevel="0" collapsed="false">
      <c r="A488" s="52" t="s">
        <v>5777</v>
      </c>
      <c r="B488" s="52" t="s">
        <v>5813</v>
      </c>
      <c r="C488" s="53" t="n">
        <v>1615269</v>
      </c>
      <c r="D488" s="52" t="s">
        <v>1212</v>
      </c>
      <c r="E488" s="52" t="s">
        <v>1213</v>
      </c>
      <c r="F488" s="54" t="n">
        <v>40</v>
      </c>
      <c r="G488" s="55" t="n">
        <v>2943.6</v>
      </c>
      <c r="H488" s="55" t="n">
        <v>73.59</v>
      </c>
      <c r="I488" s="55" t="n">
        <v>73.59</v>
      </c>
      <c r="J488" s="52" t="s">
        <v>5816</v>
      </c>
      <c r="K488" s="56" t="n">
        <v>1</v>
      </c>
      <c r="L488" s="52" t="s">
        <v>5816</v>
      </c>
      <c r="M488" s="52" t="s">
        <v>38</v>
      </c>
    </row>
    <row r="489" customFormat="false" ht="17.25" hidden="false" customHeight="true" outlineLevel="0" collapsed="false">
      <c r="A489" s="52" t="s">
        <v>5777</v>
      </c>
      <c r="B489" s="52" t="s">
        <v>5813</v>
      </c>
      <c r="C489" s="53" t="n">
        <v>1088327</v>
      </c>
      <c r="D489" s="52" t="s">
        <v>1214</v>
      </c>
      <c r="E489" s="52" t="s">
        <v>1215</v>
      </c>
      <c r="F489" s="54" t="n">
        <v>2</v>
      </c>
      <c r="G489" s="55" t="n">
        <v>2940</v>
      </c>
      <c r="H489" s="55" t="n">
        <v>1470</v>
      </c>
      <c r="I489" s="55" t="n">
        <v>1650</v>
      </c>
      <c r="J489" s="52" t="s">
        <v>5816</v>
      </c>
      <c r="K489" s="56" t="n">
        <v>1</v>
      </c>
      <c r="L489" s="52" t="s">
        <v>5816</v>
      </c>
      <c r="M489" s="52" t="s">
        <v>363</v>
      </c>
    </row>
    <row r="490" customFormat="false" ht="17.25" hidden="false" customHeight="true" outlineLevel="0" collapsed="false">
      <c r="A490" s="52" t="s">
        <v>5777</v>
      </c>
      <c r="B490" s="52" t="s">
        <v>5813</v>
      </c>
      <c r="C490" s="53" t="n">
        <v>1067208</v>
      </c>
      <c r="D490" s="52" t="s">
        <v>1216</v>
      </c>
      <c r="E490" s="52" t="s">
        <v>1217</v>
      </c>
      <c r="F490" s="54" t="n">
        <v>230</v>
      </c>
      <c r="G490" s="55" t="n">
        <v>2932.5</v>
      </c>
      <c r="H490" s="55" t="n">
        <v>12.75</v>
      </c>
      <c r="I490" s="55" t="n">
        <v>12.75</v>
      </c>
      <c r="J490" s="52" t="s">
        <v>5815</v>
      </c>
      <c r="K490" s="56" t="n">
        <v>1</v>
      </c>
      <c r="L490" s="52" t="s">
        <v>5815</v>
      </c>
      <c r="M490" s="52" t="s">
        <v>230</v>
      </c>
    </row>
    <row r="491" customFormat="false" ht="17.25" hidden="false" customHeight="true" outlineLevel="0" collapsed="false">
      <c r="A491" s="52" t="s">
        <v>5777</v>
      </c>
      <c r="B491" s="52" t="s">
        <v>5813</v>
      </c>
      <c r="C491" s="53" t="n">
        <v>1329959</v>
      </c>
      <c r="D491" s="52" t="s">
        <v>1218</v>
      </c>
      <c r="E491" s="52" t="s">
        <v>1219</v>
      </c>
      <c r="F491" s="54" t="n">
        <v>66</v>
      </c>
      <c r="G491" s="55" t="n">
        <v>2900</v>
      </c>
      <c r="H491" s="55" t="n">
        <v>43.9394</v>
      </c>
      <c r="I491" s="55" t="n">
        <v>43.9394</v>
      </c>
      <c r="J491" s="52" t="s">
        <v>5816</v>
      </c>
      <c r="K491" s="56" t="n">
        <v>1</v>
      </c>
      <c r="L491" s="52" t="s">
        <v>5816</v>
      </c>
      <c r="M491" s="52" t="s">
        <v>133</v>
      </c>
    </row>
    <row r="492" customFormat="false" ht="17.25" hidden="false" customHeight="true" outlineLevel="0" collapsed="false">
      <c r="A492" s="52" t="s">
        <v>5777</v>
      </c>
      <c r="B492" s="52" t="s">
        <v>5813</v>
      </c>
      <c r="C492" s="53" t="n">
        <v>65808</v>
      </c>
      <c r="D492" s="52" t="s">
        <v>1220</v>
      </c>
      <c r="E492" s="52" t="s">
        <v>1221</v>
      </c>
      <c r="F492" s="54" t="n">
        <v>36</v>
      </c>
      <c r="G492" s="55" t="n">
        <v>2899.58</v>
      </c>
      <c r="H492" s="55" t="n">
        <v>80.5439</v>
      </c>
      <c r="I492" s="55" t="n">
        <v>85.5</v>
      </c>
      <c r="J492" s="52" t="s">
        <v>5816</v>
      </c>
      <c r="K492" s="56" t="n">
        <v>1</v>
      </c>
      <c r="L492" s="52" t="s">
        <v>5816</v>
      </c>
      <c r="M492" s="52" t="s">
        <v>247</v>
      </c>
    </row>
    <row r="493" customFormat="false" ht="17.25" hidden="false" customHeight="true" outlineLevel="0" collapsed="false">
      <c r="A493" s="52" t="s">
        <v>5777</v>
      </c>
      <c r="B493" s="52" t="s">
        <v>5813</v>
      </c>
      <c r="C493" s="53" t="n">
        <v>1386190</v>
      </c>
      <c r="D493" s="52" t="s">
        <v>1224</v>
      </c>
      <c r="E493" s="52" t="s">
        <v>5857</v>
      </c>
      <c r="F493" s="54" t="n">
        <v>1</v>
      </c>
      <c r="G493" s="55" t="n">
        <v>2890.6</v>
      </c>
      <c r="H493" s="55" t="n">
        <v>2890.6</v>
      </c>
      <c r="I493" s="55" t="n">
        <v>2890.6</v>
      </c>
      <c r="J493" s="52" t="s">
        <v>5816</v>
      </c>
      <c r="K493" s="56" t="n">
        <v>1</v>
      </c>
      <c r="L493" s="52" t="s">
        <v>5816</v>
      </c>
      <c r="M493" s="52" t="s">
        <v>170</v>
      </c>
    </row>
    <row r="494" customFormat="false" ht="17.25" hidden="false" customHeight="true" outlineLevel="0" collapsed="false">
      <c r="A494" s="52" t="s">
        <v>5777</v>
      </c>
      <c r="B494" s="52" t="s">
        <v>5813</v>
      </c>
      <c r="C494" s="53" t="n">
        <v>288043</v>
      </c>
      <c r="D494" s="52" t="s">
        <v>1226</v>
      </c>
      <c r="E494" s="52" t="s">
        <v>1227</v>
      </c>
      <c r="F494" s="54" t="n">
        <v>80</v>
      </c>
      <c r="G494" s="55" t="n">
        <v>2888.69</v>
      </c>
      <c r="H494" s="55" t="n">
        <v>36.1086</v>
      </c>
      <c r="I494" s="55" t="n">
        <v>28.5</v>
      </c>
      <c r="J494" s="52" t="s">
        <v>5816</v>
      </c>
      <c r="K494" s="56" t="n">
        <v>1</v>
      </c>
      <c r="L494" s="52" t="s">
        <v>5816</v>
      </c>
      <c r="M494" s="52" t="s">
        <v>247</v>
      </c>
    </row>
    <row r="495" customFormat="false" ht="17.25" hidden="false" customHeight="true" outlineLevel="0" collapsed="false">
      <c r="A495" s="52" t="s">
        <v>5777</v>
      </c>
      <c r="B495" s="52" t="s">
        <v>5813</v>
      </c>
      <c r="C495" s="53" t="n">
        <v>853158</v>
      </c>
      <c r="D495" s="52" t="s">
        <v>1228</v>
      </c>
      <c r="E495" s="52" t="s">
        <v>1229</v>
      </c>
      <c r="F495" s="54" t="n">
        <v>300</v>
      </c>
      <c r="G495" s="55" t="n">
        <v>2880</v>
      </c>
      <c r="H495" s="55" t="n">
        <v>9.6</v>
      </c>
      <c r="I495" s="55" t="n">
        <v>9.6</v>
      </c>
      <c r="J495" s="52" t="s">
        <v>5816</v>
      </c>
      <c r="K495" s="56" t="n">
        <v>1</v>
      </c>
      <c r="L495" s="52" t="s">
        <v>5816</v>
      </c>
      <c r="M495" s="52" t="s">
        <v>38</v>
      </c>
    </row>
    <row r="496" customFormat="false" ht="17.25" hidden="false" customHeight="true" outlineLevel="0" collapsed="false">
      <c r="A496" s="52" t="s">
        <v>5777</v>
      </c>
      <c r="B496" s="52" t="s">
        <v>5813</v>
      </c>
      <c r="C496" s="53" t="n">
        <v>1079177</v>
      </c>
      <c r="D496" s="52" t="s">
        <v>1230</v>
      </c>
      <c r="E496" s="52" t="s">
        <v>1231</v>
      </c>
      <c r="F496" s="54" t="n">
        <v>30</v>
      </c>
      <c r="G496" s="55" t="n">
        <v>2880</v>
      </c>
      <c r="H496" s="55" t="n">
        <v>96</v>
      </c>
      <c r="I496" s="55" t="n">
        <v>96</v>
      </c>
      <c r="J496" s="52" t="s">
        <v>5816</v>
      </c>
      <c r="K496" s="56" t="n">
        <v>1</v>
      </c>
      <c r="L496" s="52" t="s">
        <v>5816</v>
      </c>
      <c r="M496" s="52" t="s">
        <v>54</v>
      </c>
    </row>
    <row r="497" customFormat="false" ht="17.25" hidden="false" customHeight="true" outlineLevel="0" collapsed="false">
      <c r="A497" s="52" t="s">
        <v>5777</v>
      </c>
      <c r="B497" s="52" t="s">
        <v>5813</v>
      </c>
      <c r="C497" s="53" t="n">
        <v>260108</v>
      </c>
      <c r="D497" s="52" t="s">
        <v>1234</v>
      </c>
      <c r="E497" s="52" t="s">
        <v>1235</v>
      </c>
      <c r="F497" s="54" t="n">
        <v>12</v>
      </c>
      <c r="G497" s="55" t="n">
        <v>2879.44</v>
      </c>
      <c r="H497" s="55" t="n">
        <v>239.9533</v>
      </c>
      <c r="I497" s="55" t="n">
        <v>260</v>
      </c>
      <c r="J497" s="52" t="s">
        <v>5816</v>
      </c>
      <c r="K497" s="56" t="n">
        <v>1</v>
      </c>
      <c r="L497" s="52" t="s">
        <v>5816</v>
      </c>
      <c r="M497" s="52" t="s">
        <v>247</v>
      </c>
    </row>
    <row r="498" customFormat="false" ht="17.25" hidden="false" customHeight="true" outlineLevel="0" collapsed="false">
      <c r="A498" s="52" t="s">
        <v>5777</v>
      </c>
      <c r="B498" s="52" t="s">
        <v>5813</v>
      </c>
      <c r="C498" s="53" t="n">
        <v>11426</v>
      </c>
      <c r="D498" s="52" t="s">
        <v>1236</v>
      </c>
      <c r="E498" s="52" t="s">
        <v>1237</v>
      </c>
      <c r="F498" s="54" t="n">
        <v>125</v>
      </c>
      <c r="G498" s="55" t="n">
        <v>2875</v>
      </c>
      <c r="H498" s="55" t="n">
        <v>23</v>
      </c>
      <c r="I498" s="55" t="n">
        <v>23</v>
      </c>
      <c r="J498" s="52" t="s">
        <v>5815</v>
      </c>
      <c r="K498" s="56" t="n">
        <v>1</v>
      </c>
      <c r="L498" s="52" t="s">
        <v>5815</v>
      </c>
      <c r="M498" s="52" t="s">
        <v>63</v>
      </c>
    </row>
    <row r="499" customFormat="false" ht="17.25" hidden="false" customHeight="true" outlineLevel="0" collapsed="false">
      <c r="A499" s="52" t="s">
        <v>5777</v>
      </c>
      <c r="B499" s="52" t="s">
        <v>5813</v>
      </c>
      <c r="C499" s="53" t="n">
        <v>18885</v>
      </c>
      <c r="D499" s="52" t="s">
        <v>1238</v>
      </c>
      <c r="E499" s="52" t="s">
        <v>1239</v>
      </c>
      <c r="F499" s="54" t="n">
        <v>51</v>
      </c>
      <c r="G499" s="55" t="n">
        <v>2873.96</v>
      </c>
      <c r="H499" s="55" t="n">
        <v>56.3522</v>
      </c>
      <c r="I499" s="55" t="n">
        <v>15.98</v>
      </c>
      <c r="J499" s="52" t="s">
        <v>5831</v>
      </c>
      <c r="K499" s="56" t="n">
        <v>1</v>
      </c>
      <c r="L499" s="52" t="s">
        <v>5831</v>
      </c>
      <c r="M499" s="52" t="s">
        <v>247</v>
      </c>
    </row>
    <row r="500" customFormat="false" ht="17.25" hidden="false" customHeight="true" outlineLevel="0" collapsed="false">
      <c r="A500" s="52" t="s">
        <v>5777</v>
      </c>
      <c r="B500" s="52" t="s">
        <v>5813</v>
      </c>
      <c r="C500" s="53" t="n">
        <v>17844</v>
      </c>
      <c r="D500" s="52" t="s">
        <v>1242</v>
      </c>
      <c r="E500" s="52" t="s">
        <v>1243</v>
      </c>
      <c r="F500" s="54" t="n">
        <v>12</v>
      </c>
      <c r="G500" s="55" t="n">
        <v>2857.2</v>
      </c>
      <c r="H500" s="55" t="n">
        <v>238.1</v>
      </c>
      <c r="I500" s="55" t="n">
        <v>98</v>
      </c>
      <c r="J500" s="52" t="s">
        <v>5816</v>
      </c>
      <c r="K500" s="56" t="n">
        <v>1</v>
      </c>
      <c r="L500" s="52" t="s">
        <v>5816</v>
      </c>
      <c r="M500" s="52" t="s">
        <v>835</v>
      </c>
    </row>
    <row r="501" customFormat="false" ht="17.25" hidden="false" customHeight="true" outlineLevel="0" collapsed="false">
      <c r="A501" s="52" t="s">
        <v>5777</v>
      </c>
      <c r="B501" s="52" t="s">
        <v>5813</v>
      </c>
      <c r="C501" s="53" t="n">
        <v>847017</v>
      </c>
      <c r="D501" s="52" t="s">
        <v>1244</v>
      </c>
      <c r="E501" s="52" t="s">
        <v>1245</v>
      </c>
      <c r="F501" s="54" t="n">
        <v>2</v>
      </c>
      <c r="G501" s="55" t="n">
        <v>2856.26</v>
      </c>
      <c r="H501" s="55" t="n">
        <v>1428.13</v>
      </c>
      <c r="I501" s="55" t="n">
        <v>1428.13</v>
      </c>
      <c r="J501" s="52" t="s">
        <v>5816</v>
      </c>
      <c r="K501" s="56" t="n">
        <v>1</v>
      </c>
      <c r="L501" s="52" t="s">
        <v>5816</v>
      </c>
      <c r="M501" s="52" t="s">
        <v>54</v>
      </c>
    </row>
    <row r="502" customFormat="false" ht="17.25" hidden="false" customHeight="true" outlineLevel="0" collapsed="false">
      <c r="A502" s="52" t="s">
        <v>5777</v>
      </c>
      <c r="B502" s="52" t="s">
        <v>5813</v>
      </c>
      <c r="C502" s="53" t="n">
        <v>23761</v>
      </c>
      <c r="D502" s="52" t="s">
        <v>1246</v>
      </c>
      <c r="E502" s="52" t="s">
        <v>1247</v>
      </c>
      <c r="F502" s="54" t="n">
        <v>25</v>
      </c>
      <c r="G502" s="55" t="n">
        <v>2850</v>
      </c>
      <c r="H502" s="55" t="n">
        <v>114</v>
      </c>
      <c r="I502" s="55" t="n">
        <v>105</v>
      </c>
      <c r="J502" s="52" t="s">
        <v>5816</v>
      </c>
      <c r="K502" s="56" t="n">
        <v>1</v>
      </c>
      <c r="L502" s="52" t="s">
        <v>5816</v>
      </c>
      <c r="M502" s="52" t="s">
        <v>130</v>
      </c>
    </row>
    <row r="503" customFormat="false" ht="17.25" hidden="false" customHeight="true" outlineLevel="0" collapsed="false">
      <c r="A503" s="52" t="s">
        <v>5777</v>
      </c>
      <c r="B503" s="52" t="s">
        <v>5813</v>
      </c>
      <c r="C503" s="53" t="n">
        <v>23329</v>
      </c>
      <c r="D503" s="52" t="s">
        <v>1248</v>
      </c>
      <c r="E503" s="52" t="s">
        <v>1249</v>
      </c>
      <c r="F503" s="54" t="n">
        <v>39</v>
      </c>
      <c r="G503" s="55" t="n">
        <v>2837.64</v>
      </c>
      <c r="H503" s="55" t="n">
        <v>72.76</v>
      </c>
      <c r="I503" s="55" t="n">
        <v>72.76</v>
      </c>
      <c r="J503" s="52" t="s">
        <v>5816</v>
      </c>
      <c r="K503" s="56" t="n">
        <v>1</v>
      </c>
      <c r="L503" s="52" t="s">
        <v>5816</v>
      </c>
      <c r="M503" s="52" t="s">
        <v>54</v>
      </c>
    </row>
    <row r="504" customFormat="false" ht="17.25" hidden="false" customHeight="true" outlineLevel="0" collapsed="false">
      <c r="A504" s="52" t="s">
        <v>5777</v>
      </c>
      <c r="B504" s="52" t="s">
        <v>5813</v>
      </c>
      <c r="C504" s="53" t="n">
        <v>1604395</v>
      </c>
      <c r="D504" s="52" t="s">
        <v>1250</v>
      </c>
      <c r="E504" s="52" t="s">
        <v>1251</v>
      </c>
      <c r="F504" s="54" t="n">
        <v>11</v>
      </c>
      <c r="G504" s="55" t="n">
        <v>2831.77</v>
      </c>
      <c r="H504" s="55" t="n">
        <v>257.4336</v>
      </c>
      <c r="I504" s="55" t="n">
        <v>257.4336</v>
      </c>
      <c r="J504" s="52" t="s">
        <v>5816</v>
      </c>
      <c r="K504" s="56" t="n">
        <v>1</v>
      </c>
      <c r="L504" s="52" t="s">
        <v>5816</v>
      </c>
      <c r="M504" s="52" t="s">
        <v>38</v>
      </c>
    </row>
    <row r="505" customFormat="false" ht="17.25" hidden="false" customHeight="true" outlineLevel="0" collapsed="false">
      <c r="A505" s="52" t="s">
        <v>5777</v>
      </c>
      <c r="B505" s="52" t="s">
        <v>5813</v>
      </c>
      <c r="C505" s="53" t="n">
        <v>1066069</v>
      </c>
      <c r="D505" s="52" t="s">
        <v>1252</v>
      </c>
      <c r="E505" s="52" t="s">
        <v>1253</v>
      </c>
      <c r="F505" s="54" t="n">
        <v>27</v>
      </c>
      <c r="G505" s="55" t="n">
        <v>2828.92</v>
      </c>
      <c r="H505" s="55" t="n">
        <v>104.7748</v>
      </c>
      <c r="I505" s="55" t="n">
        <v>113.4355</v>
      </c>
      <c r="J505" s="52" t="s">
        <v>5816</v>
      </c>
      <c r="K505" s="56" t="n">
        <v>1</v>
      </c>
      <c r="L505" s="52" t="s">
        <v>5816</v>
      </c>
      <c r="M505" s="52" t="s">
        <v>35</v>
      </c>
    </row>
    <row r="506" customFormat="false" ht="17.25" hidden="false" customHeight="true" outlineLevel="0" collapsed="false">
      <c r="A506" s="52" t="s">
        <v>5777</v>
      </c>
      <c r="B506" s="52" t="s">
        <v>5813</v>
      </c>
      <c r="C506" s="53" t="n">
        <v>137403</v>
      </c>
      <c r="D506" s="52" t="s">
        <v>1254</v>
      </c>
      <c r="E506" s="52" t="s">
        <v>1255</v>
      </c>
      <c r="F506" s="54" t="n">
        <v>100</v>
      </c>
      <c r="G506" s="55" t="n">
        <v>2813.8801</v>
      </c>
      <c r="H506" s="55" t="n">
        <v>28.1388</v>
      </c>
      <c r="I506" s="55" t="n">
        <v>26.5</v>
      </c>
      <c r="J506" s="52" t="s">
        <v>5816</v>
      </c>
      <c r="K506" s="56" t="n">
        <v>1</v>
      </c>
      <c r="L506" s="52" t="s">
        <v>5816</v>
      </c>
      <c r="M506" s="52" t="s">
        <v>247</v>
      </c>
    </row>
    <row r="507" customFormat="false" ht="17.25" hidden="false" customHeight="true" outlineLevel="0" collapsed="false">
      <c r="A507" s="52" t="s">
        <v>5777</v>
      </c>
      <c r="B507" s="52" t="s">
        <v>5813</v>
      </c>
      <c r="C507" s="53" t="n">
        <v>287821</v>
      </c>
      <c r="D507" s="52" t="s">
        <v>1256</v>
      </c>
      <c r="E507" s="52" t="s">
        <v>1257</v>
      </c>
      <c r="F507" s="54" t="n">
        <v>200</v>
      </c>
      <c r="G507" s="55" t="n">
        <v>2800</v>
      </c>
      <c r="H507" s="55" t="n">
        <v>14</v>
      </c>
      <c r="I507" s="55" t="n">
        <v>14</v>
      </c>
      <c r="J507" s="52" t="s">
        <v>5814</v>
      </c>
      <c r="K507" s="56" t="n">
        <v>1</v>
      </c>
      <c r="L507" s="52" t="s">
        <v>5814</v>
      </c>
      <c r="M507" s="52" t="s">
        <v>54</v>
      </c>
    </row>
    <row r="508" customFormat="false" ht="17.25" hidden="false" customHeight="true" outlineLevel="0" collapsed="false">
      <c r="A508" s="52" t="s">
        <v>5777</v>
      </c>
      <c r="B508" s="52" t="s">
        <v>5813</v>
      </c>
      <c r="C508" s="53" t="n">
        <v>1068919</v>
      </c>
      <c r="D508" s="52" t="s">
        <v>1258</v>
      </c>
      <c r="E508" s="52" t="s">
        <v>1259</v>
      </c>
      <c r="F508" s="54" t="n">
        <v>10</v>
      </c>
      <c r="G508" s="55" t="n">
        <v>2800</v>
      </c>
      <c r="H508" s="55" t="n">
        <v>280</v>
      </c>
      <c r="I508" s="55" t="n">
        <v>280</v>
      </c>
      <c r="J508" s="52" t="s">
        <v>5816</v>
      </c>
      <c r="K508" s="56" t="n">
        <v>1</v>
      </c>
      <c r="L508" s="52" t="s">
        <v>5816</v>
      </c>
      <c r="M508" s="52" t="s">
        <v>247</v>
      </c>
    </row>
    <row r="509" customFormat="false" ht="17.25" hidden="false" customHeight="true" outlineLevel="0" collapsed="false">
      <c r="A509" s="52" t="s">
        <v>5777</v>
      </c>
      <c r="B509" s="52" t="s">
        <v>5813</v>
      </c>
      <c r="C509" s="53" t="n">
        <v>1679658</v>
      </c>
      <c r="D509" s="52" t="s">
        <v>1260</v>
      </c>
      <c r="E509" s="52" t="s">
        <v>1261</v>
      </c>
      <c r="F509" s="54" t="n">
        <v>4</v>
      </c>
      <c r="G509" s="55" t="n">
        <v>2800</v>
      </c>
      <c r="H509" s="55" t="n">
        <v>700</v>
      </c>
      <c r="I509" s="55" t="n">
        <v>700</v>
      </c>
      <c r="J509" s="52" t="s">
        <v>5816</v>
      </c>
      <c r="K509" s="56" t="n">
        <v>1</v>
      </c>
      <c r="L509" s="52" t="s">
        <v>5816</v>
      </c>
      <c r="M509" s="52" t="s">
        <v>480</v>
      </c>
    </row>
    <row r="510" customFormat="false" ht="17.25" hidden="false" customHeight="true" outlineLevel="0" collapsed="false">
      <c r="A510" s="52" t="s">
        <v>5777</v>
      </c>
      <c r="B510" s="52" t="s">
        <v>5813</v>
      </c>
      <c r="C510" s="53" t="n">
        <v>1385183</v>
      </c>
      <c r="D510" s="52" t="s">
        <v>1262</v>
      </c>
      <c r="E510" s="52" t="s">
        <v>1263</v>
      </c>
      <c r="F510" s="54" t="n">
        <v>817</v>
      </c>
      <c r="G510" s="55" t="n">
        <v>2772.16</v>
      </c>
      <c r="H510" s="55" t="n">
        <v>3.3931</v>
      </c>
      <c r="I510" s="55" t="n">
        <v>2.55</v>
      </c>
      <c r="J510" s="52" t="s">
        <v>5814</v>
      </c>
      <c r="K510" s="56" t="n">
        <v>1</v>
      </c>
      <c r="L510" s="52" t="s">
        <v>5814</v>
      </c>
      <c r="M510" s="52" t="s">
        <v>38</v>
      </c>
    </row>
    <row r="511" customFormat="false" ht="17.25" hidden="false" customHeight="true" outlineLevel="0" collapsed="false">
      <c r="A511" s="52" t="s">
        <v>5777</v>
      </c>
      <c r="B511" s="52" t="s">
        <v>5813</v>
      </c>
      <c r="C511" s="53" t="n">
        <v>32259</v>
      </c>
      <c r="D511" s="52" t="s">
        <v>1264</v>
      </c>
      <c r="E511" s="52" t="s">
        <v>1265</v>
      </c>
      <c r="F511" s="54" t="n">
        <v>8</v>
      </c>
      <c r="G511" s="55" t="n">
        <v>2764.96</v>
      </c>
      <c r="H511" s="55" t="n">
        <v>345.62</v>
      </c>
      <c r="I511" s="55" t="n">
        <v>345.62</v>
      </c>
      <c r="J511" s="52" t="s">
        <v>5816</v>
      </c>
      <c r="K511" s="56" t="n">
        <v>1</v>
      </c>
      <c r="L511" s="52" t="s">
        <v>5816</v>
      </c>
      <c r="M511" s="52" t="s">
        <v>75</v>
      </c>
    </row>
    <row r="512" customFormat="false" ht="17.25" hidden="false" customHeight="true" outlineLevel="0" collapsed="false">
      <c r="A512" s="52" t="s">
        <v>5777</v>
      </c>
      <c r="B512" s="52" t="s">
        <v>5813</v>
      </c>
      <c r="C512" s="53" t="n">
        <v>1475808</v>
      </c>
      <c r="D512" s="52" t="s">
        <v>1266</v>
      </c>
      <c r="E512" s="52" t="s">
        <v>1267</v>
      </c>
      <c r="F512" s="54" t="n">
        <v>1</v>
      </c>
      <c r="G512" s="55" t="n">
        <v>2760</v>
      </c>
      <c r="H512" s="55" t="n">
        <v>2760</v>
      </c>
      <c r="I512" s="55" t="n">
        <v>2760</v>
      </c>
      <c r="J512" s="52" t="s">
        <v>5816</v>
      </c>
      <c r="K512" s="56" t="n">
        <v>1</v>
      </c>
      <c r="L512" s="52" t="s">
        <v>5816</v>
      </c>
      <c r="M512" s="52" t="s">
        <v>334</v>
      </c>
    </row>
    <row r="513" customFormat="false" ht="17.25" hidden="false" customHeight="true" outlineLevel="0" collapsed="false">
      <c r="A513" s="52" t="s">
        <v>5777</v>
      </c>
      <c r="B513" s="52" t="s">
        <v>5813</v>
      </c>
      <c r="C513" s="53" t="n">
        <v>18980</v>
      </c>
      <c r="D513" s="52" t="s">
        <v>1268</v>
      </c>
      <c r="E513" s="52" t="s">
        <v>1269</v>
      </c>
      <c r="F513" s="54" t="n">
        <v>50</v>
      </c>
      <c r="G513" s="55" t="n">
        <v>2750</v>
      </c>
      <c r="H513" s="55" t="n">
        <v>55</v>
      </c>
      <c r="I513" s="55" t="n">
        <v>55</v>
      </c>
      <c r="J513" s="52" t="s">
        <v>5816</v>
      </c>
      <c r="K513" s="56" t="n">
        <v>1</v>
      </c>
      <c r="L513" s="52" t="s">
        <v>5816</v>
      </c>
      <c r="M513" s="52" t="s">
        <v>360</v>
      </c>
    </row>
    <row r="514" customFormat="false" ht="17.25" hidden="false" customHeight="true" outlineLevel="0" collapsed="false">
      <c r="A514" s="52" t="s">
        <v>5777</v>
      </c>
      <c r="B514" s="52" t="s">
        <v>5813</v>
      </c>
      <c r="C514" s="53" t="n">
        <v>228009</v>
      </c>
      <c r="D514" s="52" t="s">
        <v>1270</v>
      </c>
      <c r="E514" s="52" t="s">
        <v>1271</v>
      </c>
      <c r="F514" s="54" t="n">
        <v>50</v>
      </c>
      <c r="G514" s="55" t="n">
        <v>2750</v>
      </c>
      <c r="H514" s="55" t="n">
        <v>55</v>
      </c>
      <c r="I514" s="55" t="n">
        <v>55</v>
      </c>
      <c r="J514" s="52" t="s">
        <v>5816</v>
      </c>
      <c r="K514" s="56" t="n">
        <v>1</v>
      </c>
      <c r="L514" s="52" t="s">
        <v>5816</v>
      </c>
      <c r="M514" s="52" t="s">
        <v>360</v>
      </c>
    </row>
    <row r="515" customFormat="false" ht="17.25" hidden="false" customHeight="true" outlineLevel="0" collapsed="false">
      <c r="A515" s="52" t="s">
        <v>5777</v>
      </c>
      <c r="B515" s="52" t="s">
        <v>5813</v>
      </c>
      <c r="C515" s="53" t="n">
        <v>873968</v>
      </c>
      <c r="D515" s="52" t="s">
        <v>1272</v>
      </c>
      <c r="E515" s="52" t="s">
        <v>1273</v>
      </c>
      <c r="F515" s="54" t="n">
        <v>6</v>
      </c>
      <c r="G515" s="55" t="n">
        <v>2748.6</v>
      </c>
      <c r="H515" s="55" t="n">
        <v>458.1</v>
      </c>
      <c r="I515" s="55" t="n">
        <v>458.1</v>
      </c>
      <c r="J515" s="52" t="s">
        <v>5816</v>
      </c>
      <c r="K515" s="56" t="n">
        <v>1</v>
      </c>
      <c r="L515" s="52" t="s">
        <v>5816</v>
      </c>
      <c r="M515" s="52" t="s">
        <v>113</v>
      </c>
    </row>
    <row r="516" customFormat="false" ht="17.25" hidden="false" customHeight="true" outlineLevel="0" collapsed="false">
      <c r="A516" s="52" t="s">
        <v>5777</v>
      </c>
      <c r="B516" s="52" t="s">
        <v>5813</v>
      </c>
      <c r="C516" s="53" t="n">
        <v>33377</v>
      </c>
      <c r="D516" s="52" t="s">
        <v>1274</v>
      </c>
      <c r="E516" s="52" t="s">
        <v>1275</v>
      </c>
      <c r="F516" s="54" t="n">
        <v>5</v>
      </c>
      <c r="G516" s="55" t="n">
        <v>2740</v>
      </c>
      <c r="H516" s="55" t="n">
        <v>548</v>
      </c>
      <c r="I516" s="55" t="n">
        <v>548</v>
      </c>
      <c r="J516" s="52" t="s">
        <v>5846</v>
      </c>
      <c r="K516" s="56" t="n">
        <v>18</v>
      </c>
      <c r="L516" s="52" t="s">
        <v>5823</v>
      </c>
      <c r="M516" s="52" t="s">
        <v>705</v>
      </c>
    </row>
    <row r="517" customFormat="false" ht="17.25" hidden="false" customHeight="true" outlineLevel="0" collapsed="false">
      <c r="A517" s="52" t="s">
        <v>5777</v>
      </c>
      <c r="B517" s="52" t="s">
        <v>5813</v>
      </c>
      <c r="C517" s="53" t="n">
        <v>18822</v>
      </c>
      <c r="D517" s="52" t="s">
        <v>1276</v>
      </c>
      <c r="E517" s="52" t="s">
        <v>1277</v>
      </c>
      <c r="F517" s="54" t="n">
        <v>90</v>
      </c>
      <c r="G517" s="55" t="n">
        <v>2729.4</v>
      </c>
      <c r="H517" s="55" t="n">
        <v>30.3267</v>
      </c>
      <c r="I517" s="55" t="n">
        <v>29.99</v>
      </c>
      <c r="J517" s="52" t="s">
        <v>5831</v>
      </c>
      <c r="K517" s="56" t="n">
        <v>1</v>
      </c>
      <c r="L517" s="52" t="s">
        <v>5831</v>
      </c>
      <c r="M517" s="52" t="s">
        <v>247</v>
      </c>
    </row>
    <row r="518" customFormat="false" ht="17.25" hidden="false" customHeight="true" outlineLevel="0" collapsed="false">
      <c r="A518" s="52" t="s">
        <v>5777</v>
      </c>
      <c r="B518" s="52" t="s">
        <v>5813</v>
      </c>
      <c r="C518" s="53" t="n">
        <v>1386600</v>
      </c>
      <c r="D518" s="52" t="s">
        <v>1278</v>
      </c>
      <c r="E518" s="52" t="s">
        <v>1279</v>
      </c>
      <c r="F518" s="54" t="n">
        <v>137</v>
      </c>
      <c r="G518" s="55" t="n">
        <v>2727.67</v>
      </c>
      <c r="H518" s="55" t="n">
        <v>19.91</v>
      </c>
      <c r="I518" s="55" t="n">
        <v>19.91</v>
      </c>
      <c r="J518" s="52" t="s">
        <v>5816</v>
      </c>
      <c r="K518" s="56" t="n">
        <v>1</v>
      </c>
      <c r="L518" s="52" t="s">
        <v>5816</v>
      </c>
      <c r="M518" s="52" t="s">
        <v>38</v>
      </c>
    </row>
    <row r="519" customFormat="false" ht="17.25" hidden="false" customHeight="true" outlineLevel="0" collapsed="false">
      <c r="A519" s="52" t="s">
        <v>5777</v>
      </c>
      <c r="B519" s="52" t="s">
        <v>5813</v>
      </c>
      <c r="C519" s="53" t="n">
        <v>53715</v>
      </c>
      <c r="D519" s="52" t="s">
        <v>1280</v>
      </c>
      <c r="E519" s="52" t="s">
        <v>1281</v>
      </c>
      <c r="F519" s="54" t="n">
        <v>4</v>
      </c>
      <c r="G519" s="55" t="n">
        <v>2720</v>
      </c>
      <c r="H519" s="55" t="n">
        <v>680</v>
      </c>
      <c r="I519" s="55" t="n">
        <v>680</v>
      </c>
      <c r="J519" s="52" t="s">
        <v>5858</v>
      </c>
      <c r="K519" s="56" t="n">
        <v>1</v>
      </c>
      <c r="L519" s="52" t="s">
        <v>5816</v>
      </c>
      <c r="M519" s="52" t="s">
        <v>705</v>
      </c>
    </row>
    <row r="520" customFormat="false" ht="17.25" hidden="false" customHeight="true" outlineLevel="0" collapsed="false">
      <c r="A520" s="52" t="s">
        <v>5777</v>
      </c>
      <c r="B520" s="52" t="s">
        <v>5813</v>
      </c>
      <c r="C520" s="53" t="n">
        <v>66418</v>
      </c>
      <c r="D520" s="52" t="s">
        <v>1282</v>
      </c>
      <c r="E520" s="52" t="s">
        <v>1283</v>
      </c>
      <c r="F520" s="54" t="n">
        <v>70</v>
      </c>
      <c r="G520" s="55" t="n">
        <v>2715.95</v>
      </c>
      <c r="H520" s="55" t="n">
        <v>38.7993</v>
      </c>
      <c r="I520" s="55" t="n">
        <v>29.4725</v>
      </c>
      <c r="J520" s="52" t="s">
        <v>5816</v>
      </c>
      <c r="K520" s="56" t="n">
        <v>1</v>
      </c>
      <c r="L520" s="52" t="s">
        <v>5816</v>
      </c>
      <c r="M520" s="52" t="s">
        <v>54</v>
      </c>
    </row>
    <row r="521" customFormat="false" ht="17.25" hidden="false" customHeight="true" outlineLevel="0" collapsed="false">
      <c r="A521" s="52" t="s">
        <v>5777</v>
      </c>
      <c r="B521" s="52" t="s">
        <v>5813</v>
      </c>
      <c r="C521" s="53" t="n">
        <v>1387874</v>
      </c>
      <c r="D521" s="52" t="s">
        <v>1284</v>
      </c>
      <c r="E521" s="52" t="s">
        <v>1285</v>
      </c>
      <c r="F521" s="54" t="n">
        <v>74</v>
      </c>
      <c r="G521" s="55" t="n">
        <v>2695.18</v>
      </c>
      <c r="H521" s="55" t="n">
        <v>36.4214</v>
      </c>
      <c r="I521" s="55" t="n">
        <v>36.4214</v>
      </c>
      <c r="J521" s="52" t="s">
        <v>5815</v>
      </c>
      <c r="K521" s="56" t="n">
        <v>1</v>
      </c>
      <c r="L521" s="52" t="s">
        <v>5815</v>
      </c>
      <c r="M521" s="52" t="s">
        <v>133</v>
      </c>
    </row>
    <row r="522" customFormat="false" ht="17.25" hidden="false" customHeight="true" outlineLevel="0" collapsed="false">
      <c r="A522" s="52" t="s">
        <v>5777</v>
      </c>
      <c r="B522" s="52" t="s">
        <v>5813</v>
      </c>
      <c r="C522" s="53" t="n">
        <v>33049</v>
      </c>
      <c r="D522" s="52" t="s">
        <v>1286</v>
      </c>
      <c r="E522" s="52" t="s">
        <v>1287</v>
      </c>
      <c r="F522" s="54" t="n">
        <v>10</v>
      </c>
      <c r="G522" s="55" t="n">
        <v>2690</v>
      </c>
      <c r="H522" s="55" t="n">
        <v>269</v>
      </c>
      <c r="I522" s="55" t="n">
        <v>269</v>
      </c>
      <c r="J522" s="52" t="s">
        <v>5816</v>
      </c>
      <c r="K522" s="56" t="n">
        <v>1</v>
      </c>
      <c r="L522" s="52" t="s">
        <v>5816</v>
      </c>
      <c r="M522" s="52" t="s">
        <v>247</v>
      </c>
    </row>
    <row r="523" customFormat="false" ht="17.25" hidden="false" customHeight="true" outlineLevel="0" collapsed="false">
      <c r="A523" s="52" t="s">
        <v>5777</v>
      </c>
      <c r="B523" s="52" t="s">
        <v>5813</v>
      </c>
      <c r="C523" s="53" t="n">
        <v>880089</v>
      </c>
      <c r="D523" s="52" t="s">
        <v>1288</v>
      </c>
      <c r="E523" s="52" t="s">
        <v>1289</v>
      </c>
      <c r="F523" s="54" t="n">
        <v>30</v>
      </c>
      <c r="G523" s="55" t="n">
        <v>2687.73</v>
      </c>
      <c r="H523" s="55" t="n">
        <v>89.591</v>
      </c>
      <c r="I523" s="55" t="n">
        <v>89.591</v>
      </c>
      <c r="J523" s="52" t="s">
        <v>5818</v>
      </c>
      <c r="K523" s="56" t="n">
        <v>1</v>
      </c>
      <c r="L523" s="52" t="s">
        <v>5816</v>
      </c>
      <c r="M523" s="52" t="s">
        <v>38</v>
      </c>
    </row>
    <row r="524" customFormat="false" ht="17.25" hidden="false" customHeight="true" outlineLevel="0" collapsed="false">
      <c r="A524" s="52" t="s">
        <v>5777</v>
      </c>
      <c r="B524" s="52" t="s">
        <v>5813</v>
      </c>
      <c r="C524" s="53" t="n">
        <v>1066068</v>
      </c>
      <c r="D524" s="52" t="s">
        <v>1290</v>
      </c>
      <c r="E524" s="52" t="s">
        <v>1291</v>
      </c>
      <c r="F524" s="54" t="n">
        <v>36</v>
      </c>
      <c r="G524" s="55" t="n">
        <v>2680.56</v>
      </c>
      <c r="H524" s="55" t="n">
        <v>74.46</v>
      </c>
      <c r="I524" s="55" t="n">
        <v>74.46</v>
      </c>
      <c r="J524" s="52" t="s">
        <v>5816</v>
      </c>
      <c r="K524" s="56" t="n">
        <v>1</v>
      </c>
      <c r="L524" s="52" t="s">
        <v>5816</v>
      </c>
      <c r="M524" s="52" t="s">
        <v>35</v>
      </c>
    </row>
    <row r="525" customFormat="false" ht="17.25" hidden="false" customHeight="true" outlineLevel="0" collapsed="false">
      <c r="A525" s="52" t="s">
        <v>5777</v>
      </c>
      <c r="B525" s="52" t="s">
        <v>5813</v>
      </c>
      <c r="C525" s="53" t="n">
        <v>14309</v>
      </c>
      <c r="D525" s="52" t="s">
        <v>1292</v>
      </c>
      <c r="E525" s="52" t="s">
        <v>1293</v>
      </c>
      <c r="F525" s="54" t="n">
        <v>188</v>
      </c>
      <c r="G525" s="55" t="n">
        <v>2660.2</v>
      </c>
      <c r="H525" s="55" t="n">
        <v>14.15</v>
      </c>
      <c r="I525" s="55" t="n">
        <v>14.15</v>
      </c>
      <c r="J525" s="52" t="s">
        <v>5816</v>
      </c>
      <c r="K525" s="56" t="n">
        <v>1</v>
      </c>
      <c r="L525" s="52" t="s">
        <v>5816</v>
      </c>
      <c r="M525" s="52" t="s">
        <v>38</v>
      </c>
    </row>
    <row r="526" customFormat="false" ht="17.25" hidden="false" customHeight="true" outlineLevel="0" collapsed="false">
      <c r="A526" s="52" t="s">
        <v>5777</v>
      </c>
      <c r="B526" s="52" t="s">
        <v>5813</v>
      </c>
      <c r="C526" s="53" t="n">
        <v>276463</v>
      </c>
      <c r="D526" s="52" t="s">
        <v>1294</v>
      </c>
      <c r="E526" s="52" t="s">
        <v>1295</v>
      </c>
      <c r="F526" s="54" t="n">
        <v>4</v>
      </c>
      <c r="G526" s="55" t="n">
        <v>2657.78</v>
      </c>
      <c r="H526" s="55" t="n">
        <v>664.445</v>
      </c>
      <c r="I526" s="55" t="n">
        <v>664.445</v>
      </c>
      <c r="J526" s="52" t="s">
        <v>5816</v>
      </c>
      <c r="K526" s="56" t="n">
        <v>1</v>
      </c>
      <c r="L526" s="52" t="s">
        <v>5816</v>
      </c>
      <c r="M526" s="52" t="s">
        <v>75</v>
      </c>
    </row>
    <row r="527" customFormat="false" ht="17.25" hidden="false" customHeight="true" outlineLevel="0" collapsed="false">
      <c r="A527" s="52" t="s">
        <v>5777</v>
      </c>
      <c r="B527" s="52" t="s">
        <v>5813</v>
      </c>
      <c r="C527" s="53" t="n">
        <v>879981</v>
      </c>
      <c r="D527" s="52" t="s">
        <v>1298</v>
      </c>
      <c r="E527" s="52" t="s">
        <v>5859</v>
      </c>
      <c r="F527" s="54" t="n">
        <v>3874.31</v>
      </c>
      <c r="G527" s="55" t="n">
        <v>2644.15</v>
      </c>
      <c r="H527" s="55" t="n">
        <v>0.6825</v>
      </c>
      <c r="I527" s="55" t="n">
        <v>0.6825</v>
      </c>
      <c r="J527" s="52" t="s">
        <v>5814</v>
      </c>
      <c r="K527" s="56" t="n">
        <v>1</v>
      </c>
      <c r="L527" s="52" t="s">
        <v>5814</v>
      </c>
      <c r="M527" s="52" t="s">
        <v>47</v>
      </c>
    </row>
    <row r="528" customFormat="false" ht="17.25" hidden="false" customHeight="true" outlineLevel="0" collapsed="false">
      <c r="A528" s="52" t="s">
        <v>5777</v>
      </c>
      <c r="B528" s="52" t="s">
        <v>5813</v>
      </c>
      <c r="C528" s="53" t="n">
        <v>23864</v>
      </c>
      <c r="D528" s="52" t="s">
        <v>1300</v>
      </c>
      <c r="E528" s="52" t="s">
        <v>1301</v>
      </c>
      <c r="F528" s="54" t="n">
        <v>200</v>
      </c>
      <c r="G528" s="55" t="n">
        <v>2639.55</v>
      </c>
      <c r="H528" s="55" t="n">
        <v>13.1978</v>
      </c>
      <c r="I528" s="55" t="n">
        <v>14.99</v>
      </c>
      <c r="J528" s="52" t="s">
        <v>5816</v>
      </c>
      <c r="K528" s="56" t="n">
        <v>1</v>
      </c>
      <c r="L528" s="52" t="s">
        <v>5816</v>
      </c>
      <c r="M528" s="52" t="s">
        <v>130</v>
      </c>
    </row>
    <row r="529" customFormat="false" ht="17.25" hidden="false" customHeight="true" outlineLevel="0" collapsed="false">
      <c r="A529" s="52" t="s">
        <v>5777</v>
      </c>
      <c r="B529" s="52" t="s">
        <v>5813</v>
      </c>
      <c r="C529" s="53" t="n">
        <v>23467</v>
      </c>
      <c r="D529" s="52" t="s">
        <v>1302</v>
      </c>
      <c r="E529" s="52" t="s">
        <v>1303</v>
      </c>
      <c r="F529" s="54" t="n">
        <v>20</v>
      </c>
      <c r="G529" s="55" t="n">
        <v>2639.04</v>
      </c>
      <c r="H529" s="55" t="n">
        <v>131.952</v>
      </c>
      <c r="I529" s="55" t="n">
        <v>110.4</v>
      </c>
      <c r="J529" s="52" t="s">
        <v>5816</v>
      </c>
      <c r="K529" s="56" t="n">
        <v>1</v>
      </c>
      <c r="L529" s="52" t="s">
        <v>5816</v>
      </c>
      <c r="M529" s="52" t="s">
        <v>334</v>
      </c>
    </row>
    <row r="530" customFormat="false" ht="17.25" hidden="false" customHeight="true" outlineLevel="0" collapsed="false">
      <c r="A530" s="52" t="s">
        <v>5777</v>
      </c>
      <c r="B530" s="52" t="s">
        <v>5813</v>
      </c>
      <c r="C530" s="53" t="n">
        <v>275347</v>
      </c>
      <c r="D530" s="52" t="s">
        <v>1304</v>
      </c>
      <c r="E530" s="52" t="s">
        <v>1305</v>
      </c>
      <c r="F530" s="54" t="n">
        <v>85</v>
      </c>
      <c r="G530" s="55" t="n">
        <v>2635</v>
      </c>
      <c r="H530" s="55" t="n">
        <v>31</v>
      </c>
      <c r="I530" s="55" t="n">
        <v>31</v>
      </c>
      <c r="J530" s="52" t="s">
        <v>5814</v>
      </c>
      <c r="K530" s="56" t="n">
        <v>1</v>
      </c>
      <c r="L530" s="52" t="s">
        <v>5814</v>
      </c>
      <c r="M530" s="52" t="s">
        <v>133</v>
      </c>
    </row>
    <row r="531" customFormat="false" ht="17.25" hidden="false" customHeight="true" outlineLevel="0" collapsed="false">
      <c r="A531" s="52" t="s">
        <v>5777</v>
      </c>
      <c r="B531" s="52" t="s">
        <v>5813</v>
      </c>
      <c r="C531" s="53" t="n">
        <v>22794</v>
      </c>
      <c r="D531" s="52" t="s">
        <v>1306</v>
      </c>
      <c r="E531" s="52" t="s">
        <v>1307</v>
      </c>
      <c r="F531" s="54" t="n">
        <v>22</v>
      </c>
      <c r="G531" s="55" t="n">
        <v>2617.8</v>
      </c>
      <c r="H531" s="55" t="n">
        <v>118.9909</v>
      </c>
      <c r="I531" s="55" t="n">
        <v>108.9</v>
      </c>
      <c r="J531" s="52" t="s">
        <v>5816</v>
      </c>
      <c r="K531" s="56" t="n">
        <v>1</v>
      </c>
      <c r="L531" s="52" t="s">
        <v>5816</v>
      </c>
      <c r="M531" s="52" t="s">
        <v>54</v>
      </c>
    </row>
    <row r="532" customFormat="false" ht="17.25" hidden="false" customHeight="true" outlineLevel="0" collapsed="false">
      <c r="A532" s="52" t="s">
        <v>5777</v>
      </c>
      <c r="B532" s="52" t="s">
        <v>5813</v>
      </c>
      <c r="C532" s="53" t="n">
        <v>23283</v>
      </c>
      <c r="D532" s="52" t="s">
        <v>1308</v>
      </c>
      <c r="E532" s="52" t="s">
        <v>1309</v>
      </c>
      <c r="F532" s="54" t="n">
        <v>90</v>
      </c>
      <c r="G532" s="55" t="n">
        <v>2610</v>
      </c>
      <c r="H532" s="55" t="n">
        <v>29</v>
      </c>
      <c r="I532" s="55" t="n">
        <v>29</v>
      </c>
      <c r="J532" s="52" t="s">
        <v>5816</v>
      </c>
      <c r="K532" s="56" t="n">
        <v>1</v>
      </c>
      <c r="L532" s="52" t="s">
        <v>5816</v>
      </c>
      <c r="M532" s="52" t="s">
        <v>360</v>
      </c>
    </row>
    <row r="533" customFormat="false" ht="17.25" hidden="false" customHeight="true" outlineLevel="0" collapsed="false">
      <c r="A533" s="52" t="s">
        <v>5777</v>
      </c>
      <c r="B533" s="52" t="s">
        <v>5813</v>
      </c>
      <c r="C533" s="53" t="n">
        <v>10377</v>
      </c>
      <c r="D533" s="52" t="s">
        <v>1310</v>
      </c>
      <c r="E533" s="52" t="s">
        <v>1311</v>
      </c>
      <c r="F533" s="54" t="n">
        <v>110</v>
      </c>
      <c r="G533" s="55" t="n">
        <v>2608.87</v>
      </c>
      <c r="H533" s="55" t="n">
        <v>23.717</v>
      </c>
      <c r="I533" s="55" t="n">
        <v>5.4304</v>
      </c>
      <c r="J533" s="52" t="s">
        <v>5822</v>
      </c>
      <c r="K533" s="56" t="n">
        <v>1</v>
      </c>
      <c r="L533" s="52" t="s">
        <v>5822</v>
      </c>
      <c r="M533" s="52" t="s">
        <v>133</v>
      </c>
    </row>
    <row r="534" customFormat="false" ht="17.25" hidden="false" customHeight="true" outlineLevel="0" collapsed="false">
      <c r="A534" s="52" t="s">
        <v>5777</v>
      </c>
      <c r="B534" s="52" t="s">
        <v>5813</v>
      </c>
      <c r="C534" s="53" t="n">
        <v>1487425</v>
      </c>
      <c r="D534" s="52" t="s">
        <v>1312</v>
      </c>
      <c r="E534" s="52" t="s">
        <v>1313</v>
      </c>
      <c r="F534" s="54" t="n">
        <v>50</v>
      </c>
      <c r="G534" s="55" t="n">
        <v>2608.5</v>
      </c>
      <c r="H534" s="55" t="n">
        <v>52.17</v>
      </c>
      <c r="I534" s="55" t="n">
        <v>52.17</v>
      </c>
      <c r="J534" s="52" t="s">
        <v>5814</v>
      </c>
      <c r="K534" s="56" t="n">
        <v>1</v>
      </c>
      <c r="L534" s="52" t="s">
        <v>5814</v>
      </c>
      <c r="M534" s="52" t="s">
        <v>54</v>
      </c>
    </row>
    <row r="535" customFormat="false" ht="17.25" hidden="false" customHeight="true" outlineLevel="0" collapsed="false">
      <c r="A535" s="52" t="s">
        <v>5777</v>
      </c>
      <c r="B535" s="52" t="s">
        <v>5813</v>
      </c>
      <c r="C535" s="53" t="n">
        <v>19784</v>
      </c>
      <c r="D535" s="52" t="s">
        <v>1314</v>
      </c>
      <c r="E535" s="52" t="s">
        <v>1315</v>
      </c>
      <c r="F535" s="54" t="n">
        <v>26</v>
      </c>
      <c r="G535" s="55" t="n">
        <v>2600</v>
      </c>
      <c r="H535" s="55" t="n">
        <v>100</v>
      </c>
      <c r="I535" s="55" t="n">
        <v>100</v>
      </c>
      <c r="J535" s="52" t="s">
        <v>5816</v>
      </c>
      <c r="K535" s="56" t="n">
        <v>1</v>
      </c>
      <c r="L535" s="52" t="s">
        <v>5816</v>
      </c>
      <c r="M535" s="52" t="s">
        <v>605</v>
      </c>
    </row>
    <row r="536" customFormat="false" ht="17.25" hidden="false" customHeight="true" outlineLevel="0" collapsed="false">
      <c r="A536" s="52" t="s">
        <v>5777</v>
      </c>
      <c r="B536" s="52" t="s">
        <v>5813</v>
      </c>
      <c r="C536" s="53" t="n">
        <v>729662</v>
      </c>
      <c r="D536" s="52" t="s">
        <v>1316</v>
      </c>
      <c r="E536" s="52" t="s">
        <v>1317</v>
      </c>
      <c r="F536" s="54" t="n">
        <v>2000</v>
      </c>
      <c r="G536" s="55" t="n">
        <v>2592</v>
      </c>
      <c r="H536" s="55" t="n">
        <v>1.296</v>
      </c>
      <c r="I536" s="55" t="n">
        <v>1.296</v>
      </c>
      <c r="J536" s="52" t="s">
        <v>5860</v>
      </c>
      <c r="K536" s="56" t="n">
        <v>1E-006</v>
      </c>
      <c r="L536" s="52" t="s">
        <v>5824</v>
      </c>
      <c r="M536" s="52" t="s">
        <v>230</v>
      </c>
    </row>
    <row r="537" customFormat="false" ht="17.25" hidden="false" customHeight="true" outlineLevel="0" collapsed="false">
      <c r="A537" s="52" t="s">
        <v>5777</v>
      </c>
      <c r="B537" s="52" t="s">
        <v>5813</v>
      </c>
      <c r="C537" s="53" t="n">
        <v>23352</v>
      </c>
      <c r="D537" s="52" t="s">
        <v>1318</v>
      </c>
      <c r="E537" s="52" t="s">
        <v>1319</v>
      </c>
      <c r="F537" s="54" t="n">
        <v>2</v>
      </c>
      <c r="G537" s="55" t="n">
        <v>2587.2</v>
      </c>
      <c r="H537" s="55" t="n">
        <v>1293.6</v>
      </c>
      <c r="I537" s="55" t="n">
        <v>1293.6</v>
      </c>
      <c r="J537" s="52" t="s">
        <v>5816</v>
      </c>
      <c r="K537" s="56" t="n">
        <v>1</v>
      </c>
      <c r="L537" s="52" t="s">
        <v>5816</v>
      </c>
      <c r="M537" s="52" t="s">
        <v>35</v>
      </c>
    </row>
    <row r="538" customFormat="false" ht="17.25" hidden="false" customHeight="true" outlineLevel="0" collapsed="false">
      <c r="A538" s="52" t="s">
        <v>5777</v>
      </c>
      <c r="B538" s="52" t="s">
        <v>5813</v>
      </c>
      <c r="C538" s="53" t="n">
        <v>727451</v>
      </c>
      <c r="D538" s="52" t="s">
        <v>1320</v>
      </c>
      <c r="E538" s="52" t="s">
        <v>1321</v>
      </c>
      <c r="F538" s="54" t="n">
        <v>8</v>
      </c>
      <c r="G538" s="55" t="n">
        <v>2582.86</v>
      </c>
      <c r="H538" s="55" t="n">
        <v>322.8575</v>
      </c>
      <c r="I538" s="55" t="n">
        <v>350</v>
      </c>
      <c r="J538" s="52" t="s">
        <v>5816</v>
      </c>
      <c r="K538" s="56" t="n">
        <v>1</v>
      </c>
      <c r="L538" s="52" t="s">
        <v>5816</v>
      </c>
      <c r="M538" s="52" t="s">
        <v>247</v>
      </c>
    </row>
    <row r="539" customFormat="false" ht="17.25" hidden="false" customHeight="true" outlineLevel="0" collapsed="false">
      <c r="A539" s="52" t="s">
        <v>5777</v>
      </c>
      <c r="B539" s="52" t="s">
        <v>5813</v>
      </c>
      <c r="C539" s="53" t="n">
        <v>959986</v>
      </c>
      <c r="D539" s="52" t="s">
        <v>1322</v>
      </c>
      <c r="E539" s="52" t="s">
        <v>1323</v>
      </c>
      <c r="F539" s="54" t="n">
        <v>20</v>
      </c>
      <c r="G539" s="55" t="n">
        <v>2580</v>
      </c>
      <c r="H539" s="55" t="n">
        <v>129</v>
      </c>
      <c r="I539" s="55" t="n">
        <v>129</v>
      </c>
      <c r="J539" s="52" t="s">
        <v>5818</v>
      </c>
      <c r="K539" s="56" t="n">
        <v>1</v>
      </c>
      <c r="L539" s="52" t="s">
        <v>5816</v>
      </c>
      <c r="M539" s="52" t="s">
        <v>189</v>
      </c>
    </row>
    <row r="540" customFormat="false" ht="17.25" hidden="false" customHeight="true" outlineLevel="0" collapsed="false">
      <c r="A540" s="52" t="s">
        <v>5777</v>
      </c>
      <c r="B540" s="52" t="s">
        <v>5813</v>
      </c>
      <c r="C540" s="53" t="n">
        <v>1476047</v>
      </c>
      <c r="D540" s="52" t="s">
        <v>1324</v>
      </c>
      <c r="E540" s="52" t="s">
        <v>5861</v>
      </c>
      <c r="F540" s="54" t="n">
        <v>30</v>
      </c>
      <c r="G540" s="55" t="n">
        <v>2580</v>
      </c>
      <c r="H540" s="55" t="n">
        <v>86</v>
      </c>
      <c r="I540" s="55" t="n">
        <v>86</v>
      </c>
      <c r="J540" s="52" t="s">
        <v>5816</v>
      </c>
      <c r="K540" s="56" t="n">
        <v>1</v>
      </c>
      <c r="L540" s="52" t="s">
        <v>5816</v>
      </c>
      <c r="M540" s="52" t="s">
        <v>705</v>
      </c>
    </row>
    <row r="541" customFormat="false" ht="17.25" hidden="false" customHeight="true" outlineLevel="0" collapsed="false">
      <c r="A541" s="52" t="s">
        <v>5777</v>
      </c>
      <c r="B541" s="52" t="s">
        <v>5813</v>
      </c>
      <c r="C541" s="53" t="n">
        <v>12588</v>
      </c>
      <c r="D541" s="52" t="s">
        <v>1328</v>
      </c>
      <c r="E541" s="52" t="s">
        <v>1329</v>
      </c>
      <c r="F541" s="54" t="n">
        <v>38</v>
      </c>
      <c r="G541" s="55" t="n">
        <v>2576.78</v>
      </c>
      <c r="H541" s="55" t="n">
        <v>67.81</v>
      </c>
      <c r="I541" s="55" t="n">
        <v>67.81</v>
      </c>
      <c r="J541" s="52" t="s">
        <v>5816</v>
      </c>
      <c r="K541" s="56" t="n">
        <v>1</v>
      </c>
      <c r="L541" s="52" t="s">
        <v>5816</v>
      </c>
      <c r="M541" s="52" t="s">
        <v>38</v>
      </c>
    </row>
    <row r="542" customFormat="false" ht="17.25" hidden="false" customHeight="true" outlineLevel="0" collapsed="false">
      <c r="A542" s="52" t="s">
        <v>5777</v>
      </c>
      <c r="B542" s="52" t="s">
        <v>5813</v>
      </c>
      <c r="C542" s="53" t="n">
        <v>295480</v>
      </c>
      <c r="D542" s="52" t="s">
        <v>1330</v>
      </c>
      <c r="E542" s="52" t="s">
        <v>1331</v>
      </c>
      <c r="F542" s="54" t="n">
        <v>36</v>
      </c>
      <c r="G542" s="55" t="n">
        <v>2576</v>
      </c>
      <c r="H542" s="55" t="n">
        <v>71.5556</v>
      </c>
      <c r="I542" s="55" t="n">
        <v>108</v>
      </c>
      <c r="J542" s="52" t="s">
        <v>5816</v>
      </c>
      <c r="K542" s="56" t="n">
        <v>1</v>
      </c>
      <c r="L542" s="52" t="s">
        <v>5816</v>
      </c>
      <c r="M542" s="52" t="s">
        <v>130</v>
      </c>
    </row>
    <row r="543" customFormat="false" ht="17.25" hidden="false" customHeight="true" outlineLevel="0" collapsed="false">
      <c r="A543" s="52" t="s">
        <v>5777</v>
      </c>
      <c r="B543" s="52" t="s">
        <v>5813</v>
      </c>
      <c r="C543" s="53" t="n">
        <v>1486608</v>
      </c>
      <c r="D543" s="52" t="s">
        <v>1332</v>
      </c>
      <c r="E543" s="52" t="s">
        <v>1333</v>
      </c>
      <c r="F543" s="54" t="n">
        <v>4</v>
      </c>
      <c r="G543" s="55" t="n">
        <v>2574</v>
      </c>
      <c r="H543" s="55" t="n">
        <v>643.5</v>
      </c>
      <c r="I543" s="55" t="n">
        <v>643.5</v>
      </c>
      <c r="J543" s="52" t="s">
        <v>5816</v>
      </c>
      <c r="K543" s="56" t="n">
        <v>1</v>
      </c>
      <c r="L543" s="52" t="s">
        <v>5816</v>
      </c>
      <c r="M543" s="52" t="s">
        <v>170</v>
      </c>
    </row>
    <row r="544" customFormat="false" ht="17.25" hidden="false" customHeight="true" outlineLevel="0" collapsed="false">
      <c r="A544" s="52" t="s">
        <v>5777</v>
      </c>
      <c r="B544" s="52" t="s">
        <v>5813</v>
      </c>
      <c r="C544" s="53" t="n">
        <v>1386786</v>
      </c>
      <c r="D544" s="52" t="s">
        <v>1334</v>
      </c>
      <c r="E544" s="52" t="s">
        <v>1335</v>
      </c>
      <c r="F544" s="54" t="n">
        <v>18</v>
      </c>
      <c r="G544" s="55" t="n">
        <v>2561.4</v>
      </c>
      <c r="H544" s="55" t="n">
        <v>142.3</v>
      </c>
      <c r="I544" s="55" t="n">
        <v>142.3</v>
      </c>
      <c r="J544" s="52" t="s">
        <v>5816</v>
      </c>
      <c r="K544" s="56" t="n">
        <v>1</v>
      </c>
      <c r="L544" s="52" t="s">
        <v>5816</v>
      </c>
      <c r="M544" s="52" t="s">
        <v>100</v>
      </c>
    </row>
    <row r="545" customFormat="false" ht="17.25" hidden="false" customHeight="true" outlineLevel="0" collapsed="false">
      <c r="A545" s="52" t="s">
        <v>5777</v>
      </c>
      <c r="B545" s="52" t="s">
        <v>5813</v>
      </c>
      <c r="C545" s="53" t="n">
        <v>429121</v>
      </c>
      <c r="D545" s="52" t="s">
        <v>1336</v>
      </c>
      <c r="E545" s="52" t="s">
        <v>1337</v>
      </c>
      <c r="F545" s="54" t="n">
        <v>20</v>
      </c>
      <c r="G545" s="55" t="n">
        <v>2560</v>
      </c>
      <c r="H545" s="55" t="n">
        <v>128</v>
      </c>
      <c r="I545" s="55" t="n">
        <v>128</v>
      </c>
      <c r="J545" s="52" t="s">
        <v>5816</v>
      </c>
      <c r="K545" s="56" t="n">
        <v>1</v>
      </c>
      <c r="L545" s="52" t="s">
        <v>5816</v>
      </c>
      <c r="M545" s="52" t="s">
        <v>133</v>
      </c>
    </row>
    <row r="546" customFormat="false" ht="17.25" hidden="false" customHeight="true" outlineLevel="0" collapsed="false">
      <c r="A546" s="52" t="s">
        <v>5777</v>
      </c>
      <c r="B546" s="52" t="s">
        <v>5813</v>
      </c>
      <c r="C546" s="53" t="n">
        <v>1385803</v>
      </c>
      <c r="D546" s="52" t="s">
        <v>1338</v>
      </c>
      <c r="E546" s="52" t="s">
        <v>1339</v>
      </c>
      <c r="F546" s="54" t="n">
        <v>3</v>
      </c>
      <c r="G546" s="55" t="n">
        <v>2557.98</v>
      </c>
      <c r="H546" s="55" t="n">
        <v>852.66</v>
      </c>
      <c r="I546" s="55" t="n">
        <v>852.66</v>
      </c>
      <c r="J546" s="52" t="s">
        <v>5816</v>
      </c>
      <c r="K546" s="56" t="n">
        <v>1</v>
      </c>
      <c r="L546" s="52" t="s">
        <v>5816</v>
      </c>
      <c r="M546" s="52" t="s">
        <v>38</v>
      </c>
    </row>
    <row r="547" customFormat="false" ht="17.25" hidden="false" customHeight="true" outlineLevel="0" collapsed="false">
      <c r="A547" s="52" t="s">
        <v>5777</v>
      </c>
      <c r="B547" s="52" t="s">
        <v>5813</v>
      </c>
      <c r="C547" s="53" t="n">
        <v>1462123</v>
      </c>
      <c r="D547" s="52" t="s">
        <v>1340</v>
      </c>
      <c r="E547" s="52" t="s">
        <v>1341</v>
      </c>
      <c r="F547" s="54" t="n">
        <v>71</v>
      </c>
      <c r="G547" s="55" t="n">
        <v>2556</v>
      </c>
      <c r="H547" s="55" t="n">
        <v>36</v>
      </c>
      <c r="I547" s="55" t="n">
        <v>36</v>
      </c>
      <c r="J547" s="52" t="s">
        <v>5816</v>
      </c>
      <c r="K547" s="56" t="n">
        <v>1</v>
      </c>
      <c r="L547" s="52" t="s">
        <v>5816</v>
      </c>
      <c r="M547" s="52" t="s">
        <v>54</v>
      </c>
    </row>
    <row r="548" customFormat="false" ht="17.25" hidden="false" customHeight="true" outlineLevel="0" collapsed="false">
      <c r="A548" s="52" t="s">
        <v>5777</v>
      </c>
      <c r="B548" s="52" t="s">
        <v>5813</v>
      </c>
      <c r="C548" s="53" t="n">
        <v>137857</v>
      </c>
      <c r="D548" s="52" t="s">
        <v>1342</v>
      </c>
      <c r="E548" s="52" t="s">
        <v>1343</v>
      </c>
      <c r="F548" s="54" t="n">
        <v>12</v>
      </c>
      <c r="G548" s="55" t="n">
        <v>2555.52</v>
      </c>
      <c r="H548" s="55" t="n">
        <v>212.96</v>
      </c>
      <c r="I548" s="55" t="n">
        <v>199.99</v>
      </c>
      <c r="J548" s="52" t="s">
        <v>5816</v>
      </c>
      <c r="K548" s="56" t="n">
        <v>1</v>
      </c>
      <c r="L548" s="52" t="s">
        <v>5816</v>
      </c>
      <c r="M548" s="52" t="s">
        <v>75</v>
      </c>
    </row>
    <row r="549" customFormat="false" ht="17.25" hidden="false" customHeight="true" outlineLevel="0" collapsed="false">
      <c r="A549" s="52" t="s">
        <v>5777</v>
      </c>
      <c r="B549" s="52" t="s">
        <v>5813</v>
      </c>
      <c r="C549" s="53" t="n">
        <v>1461492</v>
      </c>
      <c r="D549" s="52" t="s">
        <v>1344</v>
      </c>
      <c r="E549" s="52" t="s">
        <v>5862</v>
      </c>
      <c r="F549" s="54" t="n">
        <v>150</v>
      </c>
      <c r="G549" s="55" t="n">
        <v>2550</v>
      </c>
      <c r="H549" s="55" t="n">
        <v>17</v>
      </c>
      <c r="I549" s="55" t="n">
        <v>17</v>
      </c>
      <c r="J549" s="52" t="s">
        <v>5814</v>
      </c>
      <c r="K549" s="56" t="n">
        <v>1</v>
      </c>
      <c r="L549" s="52" t="s">
        <v>5814</v>
      </c>
      <c r="M549" s="52" t="s">
        <v>54</v>
      </c>
    </row>
    <row r="550" customFormat="false" ht="17.25" hidden="false" customHeight="true" outlineLevel="0" collapsed="false">
      <c r="A550" s="52" t="s">
        <v>5777</v>
      </c>
      <c r="B550" s="52" t="s">
        <v>5813</v>
      </c>
      <c r="C550" s="53" t="n">
        <v>1615271</v>
      </c>
      <c r="D550" s="52" t="s">
        <v>1346</v>
      </c>
      <c r="E550" s="52" t="s">
        <v>1347</v>
      </c>
      <c r="F550" s="54" t="n">
        <v>980</v>
      </c>
      <c r="G550" s="55" t="n">
        <v>2548</v>
      </c>
      <c r="H550" s="55" t="n">
        <v>2.6</v>
      </c>
      <c r="I550" s="55" t="n">
        <v>2.6</v>
      </c>
      <c r="J550" s="52" t="s">
        <v>5814</v>
      </c>
      <c r="K550" s="56" t="n">
        <v>1</v>
      </c>
      <c r="L550" s="52" t="s">
        <v>5814</v>
      </c>
      <c r="M550" s="52" t="s">
        <v>38</v>
      </c>
    </row>
    <row r="551" customFormat="false" ht="17.25" hidden="false" customHeight="true" outlineLevel="0" collapsed="false">
      <c r="A551" s="52" t="s">
        <v>5777</v>
      </c>
      <c r="B551" s="52" t="s">
        <v>5813</v>
      </c>
      <c r="C551" s="53" t="n">
        <v>13350</v>
      </c>
      <c r="D551" s="52" t="s">
        <v>1348</v>
      </c>
      <c r="E551" s="52" t="s">
        <v>1349</v>
      </c>
      <c r="F551" s="54" t="n">
        <v>3</v>
      </c>
      <c r="G551" s="55" t="n">
        <v>2544</v>
      </c>
      <c r="H551" s="55" t="n">
        <v>848</v>
      </c>
      <c r="I551" s="55" t="n">
        <v>848</v>
      </c>
      <c r="J551" s="52" t="s">
        <v>5816</v>
      </c>
      <c r="K551" s="56" t="n">
        <v>1</v>
      </c>
      <c r="L551" s="52" t="s">
        <v>5816</v>
      </c>
      <c r="M551" s="52" t="s">
        <v>38</v>
      </c>
    </row>
    <row r="552" customFormat="false" ht="17.25" hidden="false" customHeight="true" outlineLevel="0" collapsed="false">
      <c r="A552" s="52" t="s">
        <v>5777</v>
      </c>
      <c r="B552" s="52" t="s">
        <v>5813</v>
      </c>
      <c r="C552" s="53" t="n">
        <v>1319147</v>
      </c>
      <c r="D552" s="52" t="s">
        <v>1350</v>
      </c>
      <c r="E552" s="52" t="s">
        <v>5863</v>
      </c>
      <c r="F552" s="54" t="n">
        <v>3</v>
      </c>
      <c r="G552" s="55" t="n">
        <v>2536.5</v>
      </c>
      <c r="H552" s="55" t="n">
        <v>845.5</v>
      </c>
      <c r="I552" s="55" t="n">
        <v>845.5</v>
      </c>
      <c r="J552" s="52" t="s">
        <v>5816</v>
      </c>
      <c r="K552" s="56" t="n">
        <v>1</v>
      </c>
      <c r="L552" s="52" t="s">
        <v>5816</v>
      </c>
      <c r="M552" s="52" t="s">
        <v>170</v>
      </c>
    </row>
    <row r="553" customFormat="false" ht="17.25" hidden="false" customHeight="true" outlineLevel="0" collapsed="false">
      <c r="A553" s="52" t="s">
        <v>5777</v>
      </c>
      <c r="B553" s="52" t="s">
        <v>5813</v>
      </c>
      <c r="C553" s="53" t="n">
        <v>879313</v>
      </c>
      <c r="D553" s="52" t="s">
        <v>1352</v>
      </c>
      <c r="E553" s="52" t="s">
        <v>1353</v>
      </c>
      <c r="F553" s="54" t="n">
        <v>150</v>
      </c>
      <c r="G553" s="55" t="n">
        <v>2535</v>
      </c>
      <c r="H553" s="55" t="n">
        <v>16.9</v>
      </c>
      <c r="I553" s="55" t="n">
        <v>16.9</v>
      </c>
      <c r="J553" s="52" t="s">
        <v>5816</v>
      </c>
      <c r="K553" s="56" t="n">
        <v>1</v>
      </c>
      <c r="L553" s="52" t="s">
        <v>5816</v>
      </c>
      <c r="M553" s="52" t="s">
        <v>1354</v>
      </c>
    </row>
    <row r="554" customFormat="false" ht="17.25" hidden="false" customHeight="true" outlineLevel="0" collapsed="false">
      <c r="A554" s="52" t="s">
        <v>5777</v>
      </c>
      <c r="B554" s="52" t="s">
        <v>5813</v>
      </c>
      <c r="C554" s="53" t="n">
        <v>17940</v>
      </c>
      <c r="D554" s="52" t="s">
        <v>1355</v>
      </c>
      <c r="E554" s="52" t="s">
        <v>1356</v>
      </c>
      <c r="F554" s="54" t="n">
        <v>19</v>
      </c>
      <c r="G554" s="55" t="n">
        <v>2529.88</v>
      </c>
      <c r="H554" s="55" t="n">
        <v>133.1516</v>
      </c>
      <c r="I554" s="55" t="n">
        <v>102.82</v>
      </c>
      <c r="J554" s="52" t="s">
        <v>5816</v>
      </c>
      <c r="K554" s="56" t="n">
        <v>1</v>
      </c>
      <c r="L554" s="52" t="s">
        <v>5816</v>
      </c>
      <c r="M554" s="52" t="s">
        <v>130</v>
      </c>
    </row>
    <row r="555" customFormat="false" ht="17.25" hidden="false" customHeight="true" outlineLevel="0" collapsed="false">
      <c r="A555" s="52" t="s">
        <v>5777</v>
      </c>
      <c r="B555" s="52" t="s">
        <v>5813</v>
      </c>
      <c r="C555" s="53" t="n">
        <v>942238</v>
      </c>
      <c r="D555" s="52" t="s">
        <v>1357</v>
      </c>
      <c r="E555" s="52" t="s">
        <v>1358</v>
      </c>
      <c r="F555" s="54" t="n">
        <v>970</v>
      </c>
      <c r="G555" s="55" t="n">
        <v>2522</v>
      </c>
      <c r="H555" s="55" t="n">
        <v>2.6</v>
      </c>
      <c r="I555" s="55" t="n">
        <v>2.6</v>
      </c>
      <c r="J555" s="52" t="s">
        <v>5814</v>
      </c>
      <c r="K555" s="56" t="n">
        <v>1</v>
      </c>
      <c r="L555" s="52" t="s">
        <v>5814</v>
      </c>
      <c r="M555" s="52" t="s">
        <v>38</v>
      </c>
    </row>
    <row r="556" customFormat="false" ht="17.25" hidden="false" customHeight="true" outlineLevel="0" collapsed="false">
      <c r="A556" s="52" t="s">
        <v>5777</v>
      </c>
      <c r="B556" s="52" t="s">
        <v>5813</v>
      </c>
      <c r="C556" s="53" t="n">
        <v>1385080</v>
      </c>
      <c r="D556" s="52" t="s">
        <v>1359</v>
      </c>
      <c r="E556" s="52" t="s">
        <v>1360</v>
      </c>
      <c r="F556" s="54" t="n">
        <v>495</v>
      </c>
      <c r="G556" s="55" t="n">
        <v>2521.8</v>
      </c>
      <c r="H556" s="55" t="n">
        <v>5.0945</v>
      </c>
      <c r="I556" s="55" t="n">
        <v>4.28</v>
      </c>
      <c r="J556" s="52" t="s">
        <v>5814</v>
      </c>
      <c r="K556" s="56" t="n">
        <v>1</v>
      </c>
      <c r="L556" s="52" t="s">
        <v>5814</v>
      </c>
      <c r="M556" s="52" t="s">
        <v>38</v>
      </c>
    </row>
    <row r="557" customFormat="false" ht="17.25" hidden="false" customHeight="true" outlineLevel="0" collapsed="false">
      <c r="A557" s="52" t="s">
        <v>5777</v>
      </c>
      <c r="B557" s="52" t="s">
        <v>5813</v>
      </c>
      <c r="C557" s="53" t="n">
        <v>1609095</v>
      </c>
      <c r="D557" s="52" t="s">
        <v>1361</v>
      </c>
      <c r="E557" s="52" t="s">
        <v>5864</v>
      </c>
      <c r="F557" s="54" t="n">
        <v>1</v>
      </c>
      <c r="G557" s="55" t="n">
        <v>2519.1</v>
      </c>
      <c r="H557" s="55" t="n">
        <v>2519.1</v>
      </c>
      <c r="I557" s="55" t="n">
        <v>2519.1</v>
      </c>
      <c r="J557" s="52" t="s">
        <v>5816</v>
      </c>
      <c r="K557" s="56" t="n">
        <v>1</v>
      </c>
      <c r="L557" s="52" t="s">
        <v>5816</v>
      </c>
      <c r="M557" s="52" t="s">
        <v>35</v>
      </c>
    </row>
    <row r="558" customFormat="false" ht="17.25" hidden="false" customHeight="true" outlineLevel="0" collapsed="false">
      <c r="A558" s="52" t="s">
        <v>5777</v>
      </c>
      <c r="B558" s="52" t="s">
        <v>5813</v>
      </c>
      <c r="C558" s="53" t="n">
        <v>1679925</v>
      </c>
      <c r="D558" s="52" t="s">
        <v>1363</v>
      </c>
      <c r="E558" s="52" t="s">
        <v>1364</v>
      </c>
      <c r="F558" s="54" t="n">
        <v>2</v>
      </c>
      <c r="G558" s="55" t="n">
        <v>2507.62</v>
      </c>
      <c r="H558" s="55" t="n">
        <v>1253.81</v>
      </c>
      <c r="I558" s="55" t="n">
        <v>1253.81</v>
      </c>
      <c r="J558" s="52" t="s">
        <v>5816</v>
      </c>
      <c r="K558" s="56" t="n">
        <v>1</v>
      </c>
      <c r="L558" s="52" t="s">
        <v>5816</v>
      </c>
      <c r="M558" s="52" t="s">
        <v>705</v>
      </c>
    </row>
    <row r="559" customFormat="false" ht="17.25" hidden="false" customHeight="true" outlineLevel="0" collapsed="false">
      <c r="A559" s="52" t="s">
        <v>5777</v>
      </c>
      <c r="B559" s="52" t="s">
        <v>5813</v>
      </c>
      <c r="C559" s="53" t="n">
        <v>1386624</v>
      </c>
      <c r="D559" s="52" t="s">
        <v>1365</v>
      </c>
      <c r="E559" s="52" t="s">
        <v>1366</v>
      </c>
      <c r="F559" s="54" t="n">
        <v>161</v>
      </c>
      <c r="G559" s="55" t="n">
        <v>2501.94</v>
      </c>
      <c r="H559" s="55" t="n">
        <v>15.54</v>
      </c>
      <c r="I559" s="55" t="n">
        <v>15.54</v>
      </c>
      <c r="J559" s="52" t="s">
        <v>5816</v>
      </c>
      <c r="K559" s="56" t="n">
        <v>1</v>
      </c>
      <c r="L559" s="52" t="s">
        <v>5816</v>
      </c>
      <c r="M559" s="52" t="s">
        <v>100</v>
      </c>
    </row>
    <row r="560" customFormat="false" ht="17.25" hidden="false" customHeight="true" outlineLevel="0" collapsed="false">
      <c r="A560" s="52" t="s">
        <v>5777</v>
      </c>
      <c r="B560" s="52" t="s">
        <v>5813</v>
      </c>
      <c r="C560" s="53" t="n">
        <v>59926</v>
      </c>
      <c r="D560" s="52" t="s">
        <v>1367</v>
      </c>
      <c r="E560" s="52" t="s">
        <v>1368</v>
      </c>
      <c r="F560" s="54" t="n">
        <v>1</v>
      </c>
      <c r="G560" s="55" t="n">
        <v>2498</v>
      </c>
      <c r="H560" s="55" t="n">
        <v>2498</v>
      </c>
      <c r="I560" s="55" t="n">
        <v>2498</v>
      </c>
      <c r="J560" s="52" t="s">
        <v>5816</v>
      </c>
      <c r="K560" s="56" t="n">
        <v>1</v>
      </c>
      <c r="L560" s="52" t="s">
        <v>5816</v>
      </c>
      <c r="M560" s="52" t="s">
        <v>66</v>
      </c>
    </row>
    <row r="561" customFormat="false" ht="17.25" hidden="false" customHeight="true" outlineLevel="0" collapsed="false">
      <c r="A561" s="52" t="s">
        <v>5777</v>
      </c>
      <c r="B561" s="52" t="s">
        <v>5813</v>
      </c>
      <c r="C561" s="53" t="n">
        <v>1311112</v>
      </c>
      <c r="D561" s="52" t="s">
        <v>1369</v>
      </c>
      <c r="E561" s="52" t="s">
        <v>1370</v>
      </c>
      <c r="F561" s="54" t="n">
        <v>120</v>
      </c>
      <c r="G561" s="55" t="n">
        <v>2497.2</v>
      </c>
      <c r="H561" s="55" t="n">
        <v>20.81</v>
      </c>
      <c r="I561" s="55" t="n">
        <v>20.81</v>
      </c>
      <c r="J561" s="52" t="s">
        <v>5816</v>
      </c>
      <c r="K561" s="56" t="n">
        <v>1</v>
      </c>
      <c r="L561" s="52" t="s">
        <v>5816</v>
      </c>
      <c r="M561" s="52" t="s">
        <v>133</v>
      </c>
    </row>
    <row r="562" customFormat="false" ht="17.25" hidden="false" customHeight="true" outlineLevel="0" collapsed="false">
      <c r="A562" s="52" t="s">
        <v>5777</v>
      </c>
      <c r="B562" s="52" t="s">
        <v>5813</v>
      </c>
      <c r="C562" s="53" t="n">
        <v>1386846</v>
      </c>
      <c r="D562" s="52" t="s">
        <v>1371</v>
      </c>
      <c r="E562" s="52" t="s">
        <v>1372</v>
      </c>
      <c r="F562" s="54" t="n">
        <v>11</v>
      </c>
      <c r="G562" s="55" t="n">
        <v>2494.69</v>
      </c>
      <c r="H562" s="55" t="n">
        <v>226.79</v>
      </c>
      <c r="I562" s="55" t="n">
        <v>226.79</v>
      </c>
      <c r="J562" s="52" t="s">
        <v>5816</v>
      </c>
      <c r="K562" s="56" t="n">
        <v>1</v>
      </c>
      <c r="L562" s="52" t="s">
        <v>5816</v>
      </c>
      <c r="M562" s="52" t="s">
        <v>100</v>
      </c>
    </row>
    <row r="563" customFormat="false" ht="17.25" hidden="false" customHeight="true" outlineLevel="0" collapsed="false">
      <c r="A563" s="52" t="s">
        <v>5777</v>
      </c>
      <c r="B563" s="52" t="s">
        <v>5813</v>
      </c>
      <c r="C563" s="53" t="n">
        <v>1384746</v>
      </c>
      <c r="D563" s="52" t="s">
        <v>1373</v>
      </c>
      <c r="E563" s="52" t="s">
        <v>1374</v>
      </c>
      <c r="F563" s="54" t="n">
        <v>8</v>
      </c>
      <c r="G563" s="55" t="n">
        <v>2491.92</v>
      </c>
      <c r="H563" s="55" t="n">
        <v>311.49</v>
      </c>
      <c r="I563" s="55" t="n">
        <v>311.49</v>
      </c>
      <c r="J563" s="52" t="s">
        <v>5816</v>
      </c>
      <c r="K563" s="56" t="n">
        <v>1</v>
      </c>
      <c r="L563" s="52" t="s">
        <v>5816</v>
      </c>
      <c r="M563" s="52" t="s">
        <v>38</v>
      </c>
    </row>
    <row r="564" customFormat="false" ht="17.25" hidden="false" customHeight="true" outlineLevel="0" collapsed="false">
      <c r="A564" s="52" t="s">
        <v>5777</v>
      </c>
      <c r="B564" s="52" t="s">
        <v>5813</v>
      </c>
      <c r="C564" s="53" t="n">
        <v>855301</v>
      </c>
      <c r="D564" s="52" t="s">
        <v>1375</v>
      </c>
      <c r="E564" s="52" t="s">
        <v>5865</v>
      </c>
      <c r="F564" s="54" t="n">
        <v>27</v>
      </c>
      <c r="G564" s="55" t="n">
        <v>2490</v>
      </c>
      <c r="H564" s="55" t="n">
        <v>92.2222</v>
      </c>
      <c r="I564" s="55" t="n">
        <v>98</v>
      </c>
      <c r="J564" s="52" t="s">
        <v>5816</v>
      </c>
      <c r="K564" s="56" t="n">
        <v>1</v>
      </c>
      <c r="L564" s="52" t="s">
        <v>5816</v>
      </c>
      <c r="M564" s="52" t="s">
        <v>130</v>
      </c>
    </row>
    <row r="565" customFormat="false" ht="17.25" hidden="false" customHeight="true" outlineLevel="0" collapsed="false">
      <c r="A565" s="52" t="s">
        <v>5777</v>
      </c>
      <c r="B565" s="52" t="s">
        <v>5813</v>
      </c>
      <c r="C565" s="53" t="n">
        <v>1472194</v>
      </c>
      <c r="D565" s="52" t="s">
        <v>1377</v>
      </c>
      <c r="E565" s="52" t="s">
        <v>1378</v>
      </c>
      <c r="F565" s="54" t="n">
        <v>5</v>
      </c>
      <c r="G565" s="55" t="n">
        <v>2490</v>
      </c>
      <c r="H565" s="55" t="n">
        <v>498</v>
      </c>
      <c r="I565" s="55" t="n">
        <v>498</v>
      </c>
      <c r="J565" s="52" t="s">
        <v>5816</v>
      </c>
      <c r="K565" s="56" t="n">
        <v>1</v>
      </c>
      <c r="L565" s="52" t="s">
        <v>5816</v>
      </c>
      <c r="M565" s="52" t="s">
        <v>355</v>
      </c>
    </row>
    <row r="566" customFormat="false" ht="17.25" hidden="false" customHeight="true" outlineLevel="0" collapsed="false">
      <c r="A566" s="52" t="s">
        <v>5777</v>
      </c>
      <c r="B566" s="52" t="s">
        <v>5813</v>
      </c>
      <c r="C566" s="53" t="n">
        <v>1326887</v>
      </c>
      <c r="D566" s="52" t="s">
        <v>1379</v>
      </c>
      <c r="E566" s="52" t="s">
        <v>1380</v>
      </c>
      <c r="F566" s="54" t="n">
        <v>121</v>
      </c>
      <c r="G566" s="55" t="n">
        <v>2482.96</v>
      </c>
      <c r="H566" s="55" t="n">
        <v>20.5203</v>
      </c>
      <c r="I566" s="55" t="n">
        <v>24.95</v>
      </c>
      <c r="J566" s="52" t="s">
        <v>5818</v>
      </c>
      <c r="K566" s="56" t="n">
        <v>1</v>
      </c>
      <c r="L566" s="52" t="s">
        <v>5816</v>
      </c>
      <c r="M566" s="52" t="s">
        <v>38</v>
      </c>
    </row>
    <row r="567" customFormat="false" ht="17.25" hidden="false" customHeight="true" outlineLevel="0" collapsed="false">
      <c r="A567" s="52" t="s">
        <v>5777</v>
      </c>
      <c r="B567" s="52" t="s">
        <v>5813</v>
      </c>
      <c r="C567" s="53" t="n">
        <v>946716</v>
      </c>
      <c r="D567" s="52" t="s">
        <v>1381</v>
      </c>
      <c r="E567" s="52" t="s">
        <v>1382</v>
      </c>
      <c r="F567" s="54" t="n">
        <v>36</v>
      </c>
      <c r="G567" s="55" t="n">
        <v>2475.2</v>
      </c>
      <c r="H567" s="55" t="n">
        <v>68.7556</v>
      </c>
      <c r="I567" s="55" t="n">
        <v>65</v>
      </c>
      <c r="J567" s="52" t="s">
        <v>5816</v>
      </c>
      <c r="K567" s="56" t="n">
        <v>1</v>
      </c>
      <c r="L567" s="52" t="s">
        <v>5816</v>
      </c>
      <c r="M567" s="52" t="s">
        <v>130</v>
      </c>
    </row>
    <row r="568" customFormat="false" ht="17.25" hidden="false" customHeight="true" outlineLevel="0" collapsed="false">
      <c r="A568" s="52" t="s">
        <v>5777</v>
      </c>
      <c r="B568" s="52" t="s">
        <v>5813</v>
      </c>
      <c r="C568" s="53" t="n">
        <v>1680621</v>
      </c>
      <c r="D568" s="52" t="s">
        <v>1383</v>
      </c>
      <c r="E568" s="52" t="s">
        <v>1384</v>
      </c>
      <c r="F568" s="54" t="n">
        <v>3</v>
      </c>
      <c r="G568" s="55" t="n">
        <v>2464.86</v>
      </c>
      <c r="H568" s="55" t="n">
        <v>821.62</v>
      </c>
      <c r="I568" s="55" t="n">
        <v>821.62</v>
      </c>
      <c r="J568" s="52" t="s">
        <v>5823</v>
      </c>
      <c r="K568" s="56" t="n">
        <v>0.001</v>
      </c>
      <c r="L568" s="52" t="s">
        <v>5824</v>
      </c>
      <c r="M568" s="52" t="s">
        <v>705</v>
      </c>
    </row>
    <row r="569" customFormat="false" ht="17.25" hidden="false" customHeight="true" outlineLevel="0" collapsed="false">
      <c r="A569" s="52" t="s">
        <v>5777</v>
      </c>
      <c r="B569" s="52" t="s">
        <v>5813</v>
      </c>
      <c r="C569" s="53" t="n">
        <v>1615272</v>
      </c>
      <c r="D569" s="52" t="s">
        <v>1385</v>
      </c>
      <c r="E569" s="52" t="s">
        <v>1386</v>
      </c>
      <c r="F569" s="54" t="n">
        <v>120</v>
      </c>
      <c r="G569" s="55" t="n">
        <v>2464.8</v>
      </c>
      <c r="H569" s="55" t="n">
        <v>20.54</v>
      </c>
      <c r="I569" s="55" t="n">
        <v>20.54</v>
      </c>
      <c r="J569" s="52" t="s">
        <v>5814</v>
      </c>
      <c r="K569" s="56" t="n">
        <v>1</v>
      </c>
      <c r="L569" s="52" t="s">
        <v>5814</v>
      </c>
      <c r="M569" s="52" t="s">
        <v>38</v>
      </c>
    </row>
    <row r="570" customFormat="false" ht="17.25" hidden="false" customHeight="true" outlineLevel="0" collapsed="false">
      <c r="A570" s="52" t="s">
        <v>5777</v>
      </c>
      <c r="B570" s="52" t="s">
        <v>5813</v>
      </c>
      <c r="C570" s="53" t="n">
        <v>19246</v>
      </c>
      <c r="D570" s="52" t="s">
        <v>1387</v>
      </c>
      <c r="E570" s="52" t="s">
        <v>1388</v>
      </c>
      <c r="F570" s="54" t="n">
        <v>350</v>
      </c>
      <c r="G570" s="55" t="n">
        <v>2450</v>
      </c>
      <c r="H570" s="55" t="n">
        <v>7</v>
      </c>
      <c r="I570" s="55" t="n">
        <v>4.5</v>
      </c>
      <c r="J570" s="52" t="s">
        <v>5816</v>
      </c>
      <c r="K570" s="56" t="n">
        <v>1</v>
      </c>
      <c r="L570" s="52" t="s">
        <v>5816</v>
      </c>
      <c r="M570" s="52" t="s">
        <v>93</v>
      </c>
    </row>
    <row r="571" customFormat="false" ht="17.25" hidden="false" customHeight="true" outlineLevel="0" collapsed="false">
      <c r="A571" s="52" t="s">
        <v>5777</v>
      </c>
      <c r="B571" s="52" t="s">
        <v>5813</v>
      </c>
      <c r="C571" s="53" t="n">
        <v>945235</v>
      </c>
      <c r="D571" s="52" t="s">
        <v>1389</v>
      </c>
      <c r="E571" s="52" t="s">
        <v>1390</v>
      </c>
      <c r="F571" s="54" t="n">
        <v>50</v>
      </c>
      <c r="G571" s="55" t="n">
        <v>2450</v>
      </c>
      <c r="H571" s="55" t="n">
        <v>49</v>
      </c>
      <c r="I571" s="55" t="n">
        <v>49</v>
      </c>
      <c r="J571" s="52" t="s">
        <v>5823</v>
      </c>
      <c r="K571" s="56" t="n">
        <v>0.001</v>
      </c>
      <c r="L571" s="52" t="s">
        <v>5824</v>
      </c>
      <c r="M571" s="52" t="s">
        <v>605</v>
      </c>
    </row>
    <row r="572" customFormat="false" ht="17.25" hidden="false" customHeight="true" outlineLevel="0" collapsed="false">
      <c r="A572" s="52" t="s">
        <v>5777</v>
      </c>
      <c r="B572" s="52" t="s">
        <v>5813</v>
      </c>
      <c r="C572" s="53" t="n">
        <v>387475</v>
      </c>
      <c r="D572" s="52" t="s">
        <v>1391</v>
      </c>
      <c r="E572" s="52" t="s">
        <v>1392</v>
      </c>
      <c r="F572" s="54" t="n">
        <v>8</v>
      </c>
      <c r="G572" s="55" t="n">
        <v>2447.09</v>
      </c>
      <c r="H572" s="55" t="n">
        <v>305.8863</v>
      </c>
      <c r="I572" s="55" t="n">
        <v>305.8863</v>
      </c>
      <c r="J572" s="52" t="s">
        <v>5816</v>
      </c>
      <c r="K572" s="56" t="n">
        <v>1</v>
      </c>
      <c r="L572" s="52" t="s">
        <v>5816</v>
      </c>
      <c r="M572" s="52" t="s">
        <v>38</v>
      </c>
    </row>
    <row r="573" customFormat="false" ht="17.25" hidden="false" customHeight="true" outlineLevel="0" collapsed="false">
      <c r="A573" s="52" t="s">
        <v>5777</v>
      </c>
      <c r="B573" s="52" t="s">
        <v>5813</v>
      </c>
      <c r="C573" s="53" t="n">
        <v>946250</v>
      </c>
      <c r="D573" s="52" t="s">
        <v>1393</v>
      </c>
      <c r="E573" s="52" t="s">
        <v>1394</v>
      </c>
      <c r="F573" s="54" t="n">
        <v>14</v>
      </c>
      <c r="G573" s="55" t="n">
        <v>2445</v>
      </c>
      <c r="H573" s="55" t="n">
        <v>174.6429</v>
      </c>
      <c r="I573" s="55" t="n">
        <v>165</v>
      </c>
      <c r="J573" s="52" t="s">
        <v>5816</v>
      </c>
      <c r="K573" s="56" t="n">
        <v>1</v>
      </c>
      <c r="L573" s="52" t="s">
        <v>5816</v>
      </c>
      <c r="M573" s="52" t="s">
        <v>130</v>
      </c>
    </row>
    <row r="574" customFormat="false" ht="17.25" hidden="false" customHeight="true" outlineLevel="0" collapsed="false">
      <c r="A574" s="52" t="s">
        <v>5777</v>
      </c>
      <c r="B574" s="52" t="s">
        <v>5813</v>
      </c>
      <c r="C574" s="53" t="n">
        <v>24192</v>
      </c>
      <c r="D574" s="52" t="s">
        <v>1395</v>
      </c>
      <c r="E574" s="52" t="s">
        <v>1396</v>
      </c>
      <c r="F574" s="54" t="n">
        <v>38</v>
      </c>
      <c r="G574" s="55" t="n">
        <v>2443.96</v>
      </c>
      <c r="H574" s="55" t="n">
        <v>64.3147</v>
      </c>
      <c r="I574" s="55" t="n">
        <v>62.77</v>
      </c>
      <c r="J574" s="52" t="s">
        <v>5816</v>
      </c>
      <c r="K574" s="56" t="n">
        <v>1</v>
      </c>
      <c r="L574" s="52" t="s">
        <v>5816</v>
      </c>
      <c r="M574" s="52" t="s">
        <v>130</v>
      </c>
    </row>
    <row r="575" customFormat="false" ht="17.25" hidden="false" customHeight="true" outlineLevel="0" collapsed="false">
      <c r="A575" s="52" t="s">
        <v>5777</v>
      </c>
      <c r="B575" s="52" t="s">
        <v>5813</v>
      </c>
      <c r="C575" s="53" t="n">
        <v>23975</v>
      </c>
      <c r="D575" s="52" t="s">
        <v>1397</v>
      </c>
      <c r="E575" s="52" t="s">
        <v>1398</v>
      </c>
      <c r="F575" s="54" t="n">
        <v>2</v>
      </c>
      <c r="G575" s="55" t="n">
        <v>2442.34</v>
      </c>
      <c r="H575" s="55" t="n">
        <v>1221.17</v>
      </c>
      <c r="I575" s="55" t="n">
        <v>980</v>
      </c>
      <c r="J575" s="52" t="s">
        <v>5816</v>
      </c>
      <c r="K575" s="56" t="n">
        <v>1</v>
      </c>
      <c r="L575" s="52" t="s">
        <v>5816</v>
      </c>
      <c r="M575" s="52" t="s">
        <v>170</v>
      </c>
    </row>
    <row r="576" customFormat="false" ht="17.25" hidden="false" customHeight="true" outlineLevel="0" collapsed="false">
      <c r="A576" s="52" t="s">
        <v>5777</v>
      </c>
      <c r="B576" s="52" t="s">
        <v>5813</v>
      </c>
      <c r="C576" s="53" t="n">
        <v>57449</v>
      </c>
      <c r="D576" s="52" t="s">
        <v>1399</v>
      </c>
      <c r="E576" s="52" t="s">
        <v>1400</v>
      </c>
      <c r="F576" s="54" t="n">
        <v>9</v>
      </c>
      <c r="G576" s="55" t="n">
        <v>2432</v>
      </c>
      <c r="H576" s="55" t="n">
        <v>270.2222</v>
      </c>
      <c r="I576" s="55" t="n">
        <v>398</v>
      </c>
      <c r="J576" s="52" t="s">
        <v>5816</v>
      </c>
      <c r="K576" s="56" t="n">
        <v>1</v>
      </c>
      <c r="L576" s="52" t="s">
        <v>5816</v>
      </c>
      <c r="M576" s="52" t="s">
        <v>130</v>
      </c>
    </row>
    <row r="577" customFormat="false" ht="17.25" hidden="false" customHeight="true" outlineLevel="0" collapsed="false">
      <c r="A577" s="52" t="s">
        <v>5777</v>
      </c>
      <c r="B577" s="52" t="s">
        <v>5813</v>
      </c>
      <c r="C577" s="53" t="n">
        <v>429119</v>
      </c>
      <c r="D577" s="52" t="s">
        <v>1401</v>
      </c>
      <c r="E577" s="52" t="s">
        <v>1402</v>
      </c>
      <c r="F577" s="54" t="n">
        <v>19</v>
      </c>
      <c r="G577" s="55" t="n">
        <v>2432</v>
      </c>
      <c r="H577" s="55" t="n">
        <v>128</v>
      </c>
      <c r="I577" s="55" t="n">
        <v>128</v>
      </c>
      <c r="J577" s="52" t="s">
        <v>5816</v>
      </c>
      <c r="K577" s="56" t="n">
        <v>1</v>
      </c>
      <c r="L577" s="52" t="s">
        <v>5816</v>
      </c>
      <c r="M577" s="52" t="s">
        <v>133</v>
      </c>
    </row>
    <row r="578" customFormat="false" ht="17.25" hidden="false" customHeight="true" outlineLevel="0" collapsed="false">
      <c r="A578" s="52" t="s">
        <v>5777</v>
      </c>
      <c r="B578" s="52" t="s">
        <v>5813</v>
      </c>
      <c r="C578" s="53" t="n">
        <v>884817</v>
      </c>
      <c r="D578" s="52" t="s">
        <v>1403</v>
      </c>
      <c r="E578" s="52" t="s">
        <v>1404</v>
      </c>
      <c r="F578" s="54" t="n">
        <v>470</v>
      </c>
      <c r="G578" s="55" t="n">
        <v>2425.2</v>
      </c>
      <c r="H578" s="55" t="n">
        <v>5.16</v>
      </c>
      <c r="I578" s="55" t="n">
        <v>5.16</v>
      </c>
      <c r="J578" s="52" t="s">
        <v>5817</v>
      </c>
      <c r="K578" s="56" t="n">
        <v>1</v>
      </c>
      <c r="L578" s="52" t="s">
        <v>5817</v>
      </c>
      <c r="M578" s="52" t="s">
        <v>189</v>
      </c>
    </row>
    <row r="579" customFormat="false" ht="17.25" hidden="false" customHeight="true" outlineLevel="0" collapsed="false">
      <c r="A579" s="52" t="s">
        <v>5777</v>
      </c>
      <c r="B579" s="52" t="s">
        <v>5813</v>
      </c>
      <c r="C579" s="53" t="n">
        <v>19787</v>
      </c>
      <c r="D579" s="52" t="s">
        <v>1405</v>
      </c>
      <c r="E579" s="52" t="s">
        <v>1406</v>
      </c>
      <c r="F579" s="54" t="n">
        <v>50</v>
      </c>
      <c r="G579" s="55" t="n">
        <v>2420</v>
      </c>
      <c r="H579" s="55" t="n">
        <v>48.4</v>
      </c>
      <c r="I579" s="55" t="n">
        <v>48.4</v>
      </c>
      <c r="J579" s="52" t="s">
        <v>5816</v>
      </c>
      <c r="K579" s="56" t="n">
        <v>1</v>
      </c>
      <c r="L579" s="52" t="s">
        <v>5816</v>
      </c>
      <c r="M579" s="52" t="s">
        <v>605</v>
      </c>
    </row>
    <row r="580" customFormat="false" ht="17.25" hidden="false" customHeight="true" outlineLevel="0" collapsed="false">
      <c r="A580" s="52" t="s">
        <v>5777</v>
      </c>
      <c r="B580" s="52" t="s">
        <v>5813</v>
      </c>
      <c r="C580" s="53" t="n">
        <v>747839</v>
      </c>
      <c r="D580" s="52" t="s">
        <v>1407</v>
      </c>
      <c r="E580" s="52" t="s">
        <v>1408</v>
      </c>
      <c r="F580" s="54" t="n">
        <v>5</v>
      </c>
      <c r="G580" s="55" t="n">
        <v>2409.97</v>
      </c>
      <c r="H580" s="55" t="n">
        <v>481.994</v>
      </c>
      <c r="I580" s="55" t="n">
        <v>349.99</v>
      </c>
      <c r="J580" s="52" t="s">
        <v>5816</v>
      </c>
      <c r="K580" s="56" t="n">
        <v>1</v>
      </c>
      <c r="L580" s="52" t="s">
        <v>5816</v>
      </c>
      <c r="M580" s="52" t="s">
        <v>835</v>
      </c>
    </row>
    <row r="581" customFormat="false" ht="17.25" hidden="false" customHeight="true" outlineLevel="0" collapsed="false">
      <c r="A581" s="52" t="s">
        <v>5777</v>
      </c>
      <c r="B581" s="52" t="s">
        <v>5813</v>
      </c>
      <c r="C581" s="53" t="n">
        <v>888891</v>
      </c>
      <c r="D581" s="52" t="s">
        <v>1409</v>
      </c>
      <c r="E581" s="52" t="s">
        <v>1410</v>
      </c>
      <c r="F581" s="54" t="n">
        <v>2</v>
      </c>
      <c r="G581" s="55" t="n">
        <v>2402.4</v>
      </c>
      <c r="H581" s="55" t="n">
        <v>1201.2</v>
      </c>
      <c r="I581" s="55" t="n">
        <v>1201.2</v>
      </c>
      <c r="J581" s="52" t="s">
        <v>5866</v>
      </c>
      <c r="K581" s="56" t="n">
        <v>1</v>
      </c>
      <c r="L581" s="52" t="s">
        <v>5816</v>
      </c>
      <c r="M581" s="52" t="s">
        <v>457</v>
      </c>
    </row>
    <row r="582" customFormat="false" ht="17.25" hidden="false" customHeight="true" outlineLevel="0" collapsed="false">
      <c r="A582" s="52" t="s">
        <v>5777</v>
      </c>
      <c r="B582" s="52" t="s">
        <v>5813</v>
      </c>
      <c r="C582" s="53" t="n">
        <v>1330449</v>
      </c>
      <c r="D582" s="52" t="s">
        <v>1411</v>
      </c>
      <c r="E582" s="52" t="s">
        <v>5867</v>
      </c>
      <c r="F582" s="54" t="n">
        <v>130</v>
      </c>
      <c r="G582" s="55" t="n">
        <v>2401.25</v>
      </c>
      <c r="H582" s="55" t="n">
        <v>18.4712</v>
      </c>
      <c r="I582" s="55" t="n">
        <v>13</v>
      </c>
      <c r="J582" s="52" t="s">
        <v>5816</v>
      </c>
      <c r="K582" s="56" t="n">
        <v>1</v>
      </c>
      <c r="L582" s="52" t="s">
        <v>5816</v>
      </c>
      <c r="M582" s="52" t="s">
        <v>54</v>
      </c>
    </row>
    <row r="583" customFormat="false" ht="17.25" hidden="false" customHeight="true" outlineLevel="0" collapsed="false">
      <c r="A583" s="52" t="s">
        <v>5777</v>
      </c>
      <c r="B583" s="52" t="s">
        <v>5813</v>
      </c>
      <c r="C583" s="53" t="n">
        <v>18803</v>
      </c>
      <c r="D583" s="52" t="s">
        <v>1413</v>
      </c>
      <c r="E583" s="52" t="s">
        <v>1414</v>
      </c>
      <c r="F583" s="54" t="n">
        <v>30</v>
      </c>
      <c r="G583" s="55" t="n">
        <v>2400</v>
      </c>
      <c r="H583" s="55" t="n">
        <v>80</v>
      </c>
      <c r="I583" s="55" t="n">
        <v>80</v>
      </c>
      <c r="J583" s="52" t="s">
        <v>5831</v>
      </c>
      <c r="K583" s="56" t="n">
        <v>1</v>
      </c>
      <c r="L583" s="52" t="s">
        <v>5831</v>
      </c>
      <c r="M583" s="52" t="s">
        <v>247</v>
      </c>
    </row>
    <row r="584" customFormat="false" ht="17.25" hidden="false" customHeight="true" outlineLevel="0" collapsed="false">
      <c r="A584" s="52" t="s">
        <v>5777</v>
      </c>
      <c r="B584" s="52" t="s">
        <v>5813</v>
      </c>
      <c r="C584" s="53" t="n">
        <v>18804</v>
      </c>
      <c r="D584" s="52" t="s">
        <v>1415</v>
      </c>
      <c r="E584" s="52" t="s">
        <v>1416</v>
      </c>
      <c r="F584" s="54" t="n">
        <v>30</v>
      </c>
      <c r="G584" s="55" t="n">
        <v>2400</v>
      </c>
      <c r="H584" s="55" t="n">
        <v>80</v>
      </c>
      <c r="I584" s="55" t="n">
        <v>80</v>
      </c>
      <c r="J584" s="52" t="s">
        <v>5831</v>
      </c>
      <c r="K584" s="56" t="n">
        <v>1</v>
      </c>
      <c r="L584" s="52" t="s">
        <v>5831</v>
      </c>
      <c r="M584" s="52" t="s">
        <v>247</v>
      </c>
    </row>
    <row r="585" customFormat="false" ht="17.25" hidden="false" customHeight="true" outlineLevel="0" collapsed="false">
      <c r="A585" s="52" t="s">
        <v>5777</v>
      </c>
      <c r="B585" s="52" t="s">
        <v>5813</v>
      </c>
      <c r="C585" s="53" t="n">
        <v>56166</v>
      </c>
      <c r="D585" s="52" t="s">
        <v>1423</v>
      </c>
      <c r="E585" s="52" t="s">
        <v>1424</v>
      </c>
      <c r="F585" s="54" t="n">
        <v>91</v>
      </c>
      <c r="G585" s="55" t="n">
        <v>2372.6</v>
      </c>
      <c r="H585" s="55" t="n">
        <v>26.0725</v>
      </c>
      <c r="I585" s="55" t="n">
        <v>26</v>
      </c>
      <c r="J585" s="52" t="s">
        <v>5816</v>
      </c>
      <c r="K585" s="56" t="n">
        <v>1</v>
      </c>
      <c r="L585" s="52" t="s">
        <v>5816</v>
      </c>
      <c r="M585" s="52" t="s">
        <v>38</v>
      </c>
    </row>
    <row r="586" customFormat="false" ht="17.25" hidden="false" customHeight="true" outlineLevel="0" collapsed="false">
      <c r="A586" s="52" t="s">
        <v>5777</v>
      </c>
      <c r="B586" s="52" t="s">
        <v>5813</v>
      </c>
      <c r="C586" s="53" t="n">
        <v>1470935</v>
      </c>
      <c r="D586" s="52" t="s">
        <v>1425</v>
      </c>
      <c r="E586" s="52" t="s">
        <v>1426</v>
      </c>
      <c r="F586" s="54" t="n">
        <v>18</v>
      </c>
      <c r="G586" s="55" t="n">
        <v>2370</v>
      </c>
      <c r="H586" s="55" t="n">
        <v>131.6667</v>
      </c>
      <c r="I586" s="55" t="n">
        <v>131.6667</v>
      </c>
      <c r="J586" s="52" t="s">
        <v>5814</v>
      </c>
      <c r="K586" s="56" t="n">
        <v>1</v>
      </c>
      <c r="L586" s="52" t="s">
        <v>5814</v>
      </c>
      <c r="M586" s="52" t="s">
        <v>54</v>
      </c>
    </row>
    <row r="587" customFormat="false" ht="17.25" hidden="false" customHeight="true" outlineLevel="0" collapsed="false">
      <c r="A587" s="52" t="s">
        <v>5777</v>
      </c>
      <c r="B587" s="52" t="s">
        <v>5813</v>
      </c>
      <c r="C587" s="53" t="n">
        <v>1475226</v>
      </c>
      <c r="D587" s="52" t="s">
        <v>1427</v>
      </c>
      <c r="E587" s="52" t="s">
        <v>1428</v>
      </c>
      <c r="F587" s="54" t="n">
        <v>84</v>
      </c>
      <c r="G587" s="55" t="n">
        <v>2367.96</v>
      </c>
      <c r="H587" s="55" t="n">
        <v>28.19</v>
      </c>
      <c r="I587" s="55" t="n">
        <v>28.19</v>
      </c>
      <c r="J587" s="52" t="s">
        <v>5816</v>
      </c>
      <c r="K587" s="56" t="n">
        <v>1</v>
      </c>
      <c r="L587" s="52" t="s">
        <v>5816</v>
      </c>
      <c r="M587" s="52" t="s">
        <v>38</v>
      </c>
    </row>
    <row r="588" customFormat="false" ht="17.25" hidden="false" customHeight="true" outlineLevel="0" collapsed="false">
      <c r="A588" s="52" t="s">
        <v>5777</v>
      </c>
      <c r="B588" s="52" t="s">
        <v>5813</v>
      </c>
      <c r="C588" s="53" t="n">
        <v>18848</v>
      </c>
      <c r="D588" s="52" t="s">
        <v>1429</v>
      </c>
      <c r="E588" s="52" t="s">
        <v>1430</v>
      </c>
      <c r="F588" s="54" t="n">
        <v>55</v>
      </c>
      <c r="G588" s="55" t="n">
        <v>2365.62</v>
      </c>
      <c r="H588" s="55" t="n">
        <v>43.0113</v>
      </c>
      <c r="I588" s="55" t="n">
        <v>10.782</v>
      </c>
      <c r="J588" s="52" t="s">
        <v>5816</v>
      </c>
      <c r="K588" s="56" t="n">
        <v>1</v>
      </c>
      <c r="L588" s="52" t="s">
        <v>5816</v>
      </c>
      <c r="M588" s="52" t="s">
        <v>247</v>
      </c>
    </row>
    <row r="589" customFormat="false" ht="17.25" hidden="false" customHeight="true" outlineLevel="0" collapsed="false">
      <c r="A589" s="52" t="s">
        <v>5777</v>
      </c>
      <c r="B589" s="52" t="s">
        <v>5813</v>
      </c>
      <c r="C589" s="53" t="n">
        <v>1613373</v>
      </c>
      <c r="D589" s="52" t="s">
        <v>1431</v>
      </c>
      <c r="E589" s="52" t="s">
        <v>1432</v>
      </c>
      <c r="F589" s="54" t="n">
        <v>2</v>
      </c>
      <c r="G589" s="55" t="n">
        <v>2363.1</v>
      </c>
      <c r="H589" s="55" t="n">
        <v>1181.55</v>
      </c>
      <c r="I589" s="55" t="n">
        <v>1181.55</v>
      </c>
      <c r="J589" s="52" t="s">
        <v>5816</v>
      </c>
      <c r="K589" s="56" t="n">
        <v>1</v>
      </c>
      <c r="L589" s="52" t="s">
        <v>5816</v>
      </c>
      <c r="M589" s="52" t="s">
        <v>38</v>
      </c>
    </row>
    <row r="590" customFormat="false" ht="17.25" hidden="false" customHeight="true" outlineLevel="0" collapsed="false">
      <c r="A590" s="52" t="s">
        <v>5777</v>
      </c>
      <c r="B590" s="52" t="s">
        <v>5813</v>
      </c>
      <c r="C590" s="53" t="n">
        <v>22855</v>
      </c>
      <c r="D590" s="52" t="s">
        <v>1433</v>
      </c>
      <c r="E590" s="52" t="s">
        <v>1434</v>
      </c>
      <c r="F590" s="54" t="n">
        <v>87</v>
      </c>
      <c r="G590" s="55" t="n">
        <v>2347.26</v>
      </c>
      <c r="H590" s="55" t="n">
        <v>26.98</v>
      </c>
      <c r="I590" s="55" t="n">
        <v>26.98</v>
      </c>
      <c r="J590" s="52" t="s">
        <v>5816</v>
      </c>
      <c r="K590" s="56" t="n">
        <v>1</v>
      </c>
      <c r="L590" s="52" t="s">
        <v>5816</v>
      </c>
      <c r="M590" s="52" t="s">
        <v>38</v>
      </c>
    </row>
    <row r="591" customFormat="false" ht="17.25" hidden="false" customHeight="true" outlineLevel="0" collapsed="false">
      <c r="A591" s="52" t="s">
        <v>5777</v>
      </c>
      <c r="B591" s="52" t="s">
        <v>5813</v>
      </c>
      <c r="C591" s="53" t="n">
        <v>957399</v>
      </c>
      <c r="D591" s="52" t="s">
        <v>1435</v>
      </c>
      <c r="E591" s="52" t="s">
        <v>1436</v>
      </c>
      <c r="F591" s="54" t="n">
        <v>4</v>
      </c>
      <c r="G591" s="55" t="n">
        <v>2336.4</v>
      </c>
      <c r="H591" s="55" t="n">
        <v>584.1</v>
      </c>
      <c r="I591" s="55" t="n">
        <v>584.1</v>
      </c>
      <c r="J591" s="52" t="s">
        <v>5816</v>
      </c>
      <c r="K591" s="56" t="n">
        <v>1</v>
      </c>
      <c r="L591" s="52" t="s">
        <v>5816</v>
      </c>
      <c r="M591" s="52" t="s">
        <v>457</v>
      </c>
    </row>
    <row r="592" customFormat="false" ht="17.25" hidden="false" customHeight="true" outlineLevel="0" collapsed="false">
      <c r="A592" s="52" t="s">
        <v>5777</v>
      </c>
      <c r="B592" s="52" t="s">
        <v>5813</v>
      </c>
      <c r="C592" s="53" t="n">
        <v>831920</v>
      </c>
      <c r="D592" s="52" t="s">
        <v>1437</v>
      </c>
      <c r="E592" s="52" t="s">
        <v>1438</v>
      </c>
      <c r="F592" s="54" t="n">
        <v>24</v>
      </c>
      <c r="G592" s="55" t="n">
        <v>2332.96</v>
      </c>
      <c r="H592" s="55" t="n">
        <v>97.2067</v>
      </c>
      <c r="I592" s="55" t="n">
        <v>77</v>
      </c>
      <c r="J592" s="52" t="s">
        <v>5816</v>
      </c>
      <c r="K592" s="56" t="n">
        <v>1</v>
      </c>
      <c r="L592" s="52" t="s">
        <v>5816</v>
      </c>
      <c r="M592" s="52" t="s">
        <v>247</v>
      </c>
    </row>
    <row r="593" customFormat="false" ht="17.25" hidden="false" customHeight="true" outlineLevel="0" collapsed="false">
      <c r="A593" s="52" t="s">
        <v>5777</v>
      </c>
      <c r="B593" s="52" t="s">
        <v>5813</v>
      </c>
      <c r="C593" s="53" t="n">
        <v>428731</v>
      </c>
      <c r="D593" s="52" t="s">
        <v>1439</v>
      </c>
      <c r="E593" s="52" t="s">
        <v>1440</v>
      </c>
      <c r="F593" s="54" t="n">
        <v>17</v>
      </c>
      <c r="G593" s="55" t="n">
        <v>2329</v>
      </c>
      <c r="H593" s="55" t="n">
        <v>137</v>
      </c>
      <c r="I593" s="55" t="n">
        <v>137</v>
      </c>
      <c r="J593" s="52" t="s">
        <v>5816</v>
      </c>
      <c r="K593" s="56" t="n">
        <v>1</v>
      </c>
      <c r="L593" s="52" t="s">
        <v>5816</v>
      </c>
      <c r="M593" s="52" t="s">
        <v>605</v>
      </c>
    </row>
    <row r="594" customFormat="false" ht="17.25" hidden="false" customHeight="true" outlineLevel="0" collapsed="false">
      <c r="A594" s="52" t="s">
        <v>5777</v>
      </c>
      <c r="B594" s="52" t="s">
        <v>5813</v>
      </c>
      <c r="C594" s="53" t="n">
        <v>33618</v>
      </c>
      <c r="D594" s="52" t="s">
        <v>1441</v>
      </c>
      <c r="E594" s="52" t="s">
        <v>1442</v>
      </c>
      <c r="F594" s="54" t="n">
        <v>160</v>
      </c>
      <c r="G594" s="55" t="n">
        <v>2323.4</v>
      </c>
      <c r="H594" s="55" t="n">
        <v>14.5213</v>
      </c>
      <c r="I594" s="55" t="n">
        <v>14.99</v>
      </c>
      <c r="J594" s="52" t="s">
        <v>5816</v>
      </c>
      <c r="K594" s="56" t="n">
        <v>1</v>
      </c>
      <c r="L594" s="52" t="s">
        <v>5816</v>
      </c>
      <c r="M594" s="52" t="s">
        <v>1443</v>
      </c>
    </row>
    <row r="595" customFormat="false" ht="17.25" hidden="false" customHeight="true" outlineLevel="0" collapsed="false">
      <c r="A595" s="52" t="s">
        <v>5777</v>
      </c>
      <c r="B595" s="52" t="s">
        <v>5813</v>
      </c>
      <c r="C595" s="53" t="n">
        <v>428624</v>
      </c>
      <c r="D595" s="52" t="s">
        <v>1444</v>
      </c>
      <c r="E595" s="52" t="s">
        <v>1445</v>
      </c>
      <c r="F595" s="54" t="n">
        <v>15</v>
      </c>
      <c r="G595" s="55" t="n">
        <v>2310</v>
      </c>
      <c r="H595" s="55" t="n">
        <v>154</v>
      </c>
      <c r="I595" s="55" t="n">
        <v>154</v>
      </c>
      <c r="J595" s="52" t="s">
        <v>5816</v>
      </c>
      <c r="K595" s="56" t="n">
        <v>1</v>
      </c>
      <c r="L595" s="52" t="s">
        <v>5816</v>
      </c>
      <c r="M595" s="52" t="s">
        <v>457</v>
      </c>
    </row>
    <row r="596" customFormat="false" ht="17.25" hidden="false" customHeight="true" outlineLevel="0" collapsed="false">
      <c r="A596" s="52" t="s">
        <v>5777</v>
      </c>
      <c r="B596" s="52" t="s">
        <v>5813</v>
      </c>
      <c r="C596" s="53" t="n">
        <v>1674336</v>
      </c>
      <c r="D596" s="52" t="s">
        <v>1446</v>
      </c>
      <c r="E596" s="52" t="s">
        <v>1447</v>
      </c>
      <c r="F596" s="54" t="n">
        <v>2</v>
      </c>
      <c r="G596" s="55" t="n">
        <v>2310</v>
      </c>
      <c r="H596" s="55" t="n">
        <v>1155</v>
      </c>
      <c r="I596" s="55" t="n">
        <v>1155</v>
      </c>
      <c r="J596" s="52" t="s">
        <v>5816</v>
      </c>
      <c r="K596" s="56" t="n">
        <v>1</v>
      </c>
      <c r="L596" s="52" t="s">
        <v>5816</v>
      </c>
      <c r="M596" s="52" t="s">
        <v>480</v>
      </c>
    </row>
    <row r="597" customFormat="false" ht="17.25" hidden="false" customHeight="true" outlineLevel="0" collapsed="false">
      <c r="A597" s="52" t="s">
        <v>5777</v>
      </c>
      <c r="B597" s="52" t="s">
        <v>5813</v>
      </c>
      <c r="C597" s="53" t="n">
        <v>220606</v>
      </c>
      <c r="D597" s="52" t="s">
        <v>1448</v>
      </c>
      <c r="E597" s="52" t="s">
        <v>1449</v>
      </c>
      <c r="F597" s="54" t="n">
        <v>100</v>
      </c>
      <c r="G597" s="55" t="n">
        <v>2298</v>
      </c>
      <c r="H597" s="55" t="n">
        <v>22.98</v>
      </c>
      <c r="I597" s="55" t="n">
        <v>22.98</v>
      </c>
      <c r="J597" s="52" t="s">
        <v>5814</v>
      </c>
      <c r="K597" s="56" t="n">
        <v>1</v>
      </c>
      <c r="L597" s="52" t="s">
        <v>5814</v>
      </c>
      <c r="M597" s="52" t="s">
        <v>38</v>
      </c>
    </row>
    <row r="598" customFormat="false" ht="17.25" hidden="false" customHeight="true" outlineLevel="0" collapsed="false">
      <c r="A598" s="52" t="s">
        <v>5777</v>
      </c>
      <c r="B598" s="52" t="s">
        <v>5813</v>
      </c>
      <c r="C598" s="53" t="n">
        <v>1602800</v>
      </c>
      <c r="D598" s="52" t="s">
        <v>1450</v>
      </c>
      <c r="E598" s="52" t="s">
        <v>1451</v>
      </c>
      <c r="F598" s="54" t="n">
        <v>10</v>
      </c>
      <c r="G598" s="55" t="n">
        <v>2298</v>
      </c>
      <c r="H598" s="55" t="n">
        <v>229.8</v>
      </c>
      <c r="I598" s="55" t="n">
        <v>229.8</v>
      </c>
      <c r="J598" s="52" t="s">
        <v>5816</v>
      </c>
      <c r="K598" s="56" t="n">
        <v>1</v>
      </c>
      <c r="L598" s="52" t="s">
        <v>5816</v>
      </c>
      <c r="M598" s="52" t="s">
        <v>93</v>
      </c>
    </row>
    <row r="599" customFormat="false" ht="17.25" hidden="false" customHeight="true" outlineLevel="0" collapsed="false">
      <c r="A599" s="52" t="s">
        <v>5777</v>
      </c>
      <c r="B599" s="52" t="s">
        <v>5813</v>
      </c>
      <c r="C599" s="53" t="n">
        <v>19542</v>
      </c>
      <c r="D599" s="52" t="s">
        <v>1452</v>
      </c>
      <c r="E599" s="52" t="s">
        <v>1453</v>
      </c>
      <c r="F599" s="54" t="n">
        <v>40</v>
      </c>
      <c r="G599" s="55" t="n">
        <v>2282.22</v>
      </c>
      <c r="H599" s="55" t="n">
        <v>57.0555</v>
      </c>
      <c r="I599" s="55" t="n">
        <v>57.42</v>
      </c>
      <c r="J599" s="52" t="s">
        <v>5816</v>
      </c>
      <c r="K599" s="56" t="n">
        <v>1</v>
      </c>
      <c r="L599" s="52" t="s">
        <v>5816</v>
      </c>
      <c r="M599" s="52" t="s">
        <v>1095</v>
      </c>
    </row>
    <row r="600" customFormat="false" ht="17.25" hidden="false" customHeight="true" outlineLevel="0" collapsed="false">
      <c r="A600" s="52" t="s">
        <v>5777</v>
      </c>
      <c r="B600" s="52" t="s">
        <v>5813</v>
      </c>
      <c r="C600" s="53" t="n">
        <v>1385182</v>
      </c>
      <c r="D600" s="52" t="s">
        <v>1454</v>
      </c>
      <c r="E600" s="52" t="s">
        <v>1455</v>
      </c>
      <c r="F600" s="54" t="n">
        <v>11</v>
      </c>
      <c r="G600" s="55" t="n">
        <v>2277.88</v>
      </c>
      <c r="H600" s="55" t="n">
        <v>207.08</v>
      </c>
      <c r="I600" s="55" t="n">
        <v>16.19</v>
      </c>
      <c r="J600" s="52" t="s">
        <v>5816</v>
      </c>
      <c r="K600" s="56" t="n">
        <v>1</v>
      </c>
      <c r="L600" s="52" t="s">
        <v>5816</v>
      </c>
      <c r="M600" s="52" t="s">
        <v>38</v>
      </c>
    </row>
    <row r="601" customFormat="false" ht="17.25" hidden="false" customHeight="true" outlineLevel="0" collapsed="false">
      <c r="A601" s="52" t="s">
        <v>5777</v>
      </c>
      <c r="B601" s="52" t="s">
        <v>5813</v>
      </c>
      <c r="C601" s="53" t="n">
        <v>884888</v>
      </c>
      <c r="D601" s="52" t="s">
        <v>1458</v>
      </c>
      <c r="E601" s="52" t="s">
        <v>1459</v>
      </c>
      <c r="F601" s="54" t="n">
        <v>35</v>
      </c>
      <c r="G601" s="55" t="n">
        <v>2271.35</v>
      </c>
      <c r="H601" s="55" t="n">
        <v>64.8957</v>
      </c>
      <c r="I601" s="55" t="n">
        <v>52.5</v>
      </c>
      <c r="J601" s="52" t="s">
        <v>5831</v>
      </c>
      <c r="K601" s="56" t="n">
        <v>1</v>
      </c>
      <c r="L601" s="52" t="s">
        <v>5831</v>
      </c>
      <c r="M601" s="52" t="s">
        <v>247</v>
      </c>
    </row>
    <row r="602" customFormat="false" ht="17.25" hidden="false" customHeight="true" outlineLevel="0" collapsed="false">
      <c r="A602" s="52" t="s">
        <v>5777</v>
      </c>
      <c r="B602" s="52" t="s">
        <v>5813</v>
      </c>
      <c r="C602" s="53" t="n">
        <v>1387011</v>
      </c>
      <c r="D602" s="52" t="s">
        <v>1460</v>
      </c>
      <c r="E602" s="52" t="s">
        <v>1461</v>
      </c>
      <c r="F602" s="54" t="n">
        <v>12</v>
      </c>
      <c r="G602" s="55" t="n">
        <v>2267.04</v>
      </c>
      <c r="H602" s="55" t="n">
        <v>188.92</v>
      </c>
      <c r="I602" s="55" t="n">
        <v>188.92</v>
      </c>
      <c r="J602" s="52" t="s">
        <v>5816</v>
      </c>
      <c r="K602" s="56" t="n">
        <v>1</v>
      </c>
      <c r="L602" s="52" t="s">
        <v>5816</v>
      </c>
      <c r="M602" s="52" t="s">
        <v>133</v>
      </c>
    </row>
    <row r="603" customFormat="false" ht="17.25" hidden="false" customHeight="true" outlineLevel="0" collapsed="false">
      <c r="A603" s="52" t="s">
        <v>5777</v>
      </c>
      <c r="B603" s="52" t="s">
        <v>5813</v>
      </c>
      <c r="C603" s="53" t="n">
        <v>879645</v>
      </c>
      <c r="D603" s="52" t="s">
        <v>1462</v>
      </c>
      <c r="E603" s="52" t="s">
        <v>1463</v>
      </c>
      <c r="F603" s="54" t="n">
        <v>3</v>
      </c>
      <c r="G603" s="55" t="n">
        <v>2260.58</v>
      </c>
      <c r="H603" s="55" t="n">
        <v>753.5267</v>
      </c>
      <c r="I603" s="55" t="n">
        <v>753.5267</v>
      </c>
      <c r="J603" s="52" t="s">
        <v>5816</v>
      </c>
      <c r="K603" s="56" t="n">
        <v>1</v>
      </c>
      <c r="L603" s="52" t="s">
        <v>5816</v>
      </c>
      <c r="M603" s="52" t="s">
        <v>113</v>
      </c>
    </row>
    <row r="604" customFormat="false" ht="17.25" hidden="false" customHeight="true" outlineLevel="0" collapsed="false">
      <c r="A604" s="52" t="s">
        <v>5777</v>
      </c>
      <c r="B604" s="52" t="s">
        <v>5813</v>
      </c>
      <c r="C604" s="53" t="n">
        <v>1679660</v>
      </c>
      <c r="D604" s="52" t="s">
        <v>1466</v>
      </c>
      <c r="E604" s="52" t="s">
        <v>1467</v>
      </c>
      <c r="F604" s="54" t="n">
        <v>2</v>
      </c>
      <c r="G604" s="55" t="n">
        <v>2257.26</v>
      </c>
      <c r="H604" s="55" t="n">
        <v>1128.63</v>
      </c>
      <c r="I604" s="55" t="n">
        <v>1128.63</v>
      </c>
      <c r="J604" s="52" t="s">
        <v>5816</v>
      </c>
      <c r="K604" s="56" t="n">
        <v>1</v>
      </c>
      <c r="L604" s="52" t="s">
        <v>5816</v>
      </c>
      <c r="M604" s="52" t="s">
        <v>705</v>
      </c>
    </row>
    <row r="605" customFormat="false" ht="17.25" hidden="false" customHeight="true" outlineLevel="0" collapsed="false">
      <c r="A605" s="52" t="s">
        <v>5777</v>
      </c>
      <c r="B605" s="52" t="s">
        <v>5813</v>
      </c>
      <c r="C605" s="53" t="n">
        <v>33345</v>
      </c>
      <c r="D605" s="52" t="s">
        <v>1468</v>
      </c>
      <c r="E605" s="52" t="s">
        <v>1469</v>
      </c>
      <c r="F605" s="54" t="n">
        <v>16</v>
      </c>
      <c r="G605" s="55" t="n">
        <v>2250</v>
      </c>
      <c r="H605" s="55" t="n">
        <v>140.625</v>
      </c>
      <c r="I605" s="55" t="n">
        <v>165</v>
      </c>
      <c r="J605" s="52" t="s">
        <v>5816</v>
      </c>
      <c r="K605" s="56" t="n">
        <v>1</v>
      </c>
      <c r="L605" s="52" t="s">
        <v>5816</v>
      </c>
      <c r="M605" s="52" t="s">
        <v>130</v>
      </c>
    </row>
    <row r="606" customFormat="false" ht="17.25" hidden="false" customHeight="true" outlineLevel="0" collapsed="false">
      <c r="A606" s="52" t="s">
        <v>5777</v>
      </c>
      <c r="B606" s="52" t="s">
        <v>5813</v>
      </c>
      <c r="C606" s="53" t="n">
        <v>16691</v>
      </c>
      <c r="D606" s="52" t="s">
        <v>1470</v>
      </c>
      <c r="E606" s="52" t="s">
        <v>1471</v>
      </c>
      <c r="F606" s="54" t="n">
        <v>50</v>
      </c>
      <c r="G606" s="55" t="n">
        <v>2243.92</v>
      </c>
      <c r="H606" s="55" t="n">
        <v>44.8784</v>
      </c>
      <c r="I606" s="55" t="n">
        <v>68</v>
      </c>
      <c r="J606" s="52" t="s">
        <v>5822</v>
      </c>
      <c r="K606" s="56" t="n">
        <v>1</v>
      </c>
      <c r="L606" s="52" t="s">
        <v>5822</v>
      </c>
      <c r="M606" s="52" t="s">
        <v>100</v>
      </c>
    </row>
    <row r="607" customFormat="false" ht="17.25" hidden="false" customHeight="true" outlineLevel="0" collapsed="false">
      <c r="A607" s="52" t="s">
        <v>5777</v>
      </c>
      <c r="B607" s="52" t="s">
        <v>5813</v>
      </c>
      <c r="C607" s="53" t="n">
        <v>55476</v>
      </c>
      <c r="D607" s="52" t="s">
        <v>1472</v>
      </c>
      <c r="E607" s="52" t="s">
        <v>1473</v>
      </c>
      <c r="F607" s="54" t="n">
        <v>20</v>
      </c>
      <c r="G607" s="55" t="n">
        <v>2240</v>
      </c>
      <c r="H607" s="55" t="n">
        <v>112</v>
      </c>
      <c r="I607" s="55" t="n">
        <v>112</v>
      </c>
      <c r="J607" s="52" t="s">
        <v>5816</v>
      </c>
      <c r="K607" s="56" t="n">
        <v>1</v>
      </c>
      <c r="L607" s="52" t="s">
        <v>5816</v>
      </c>
      <c r="M607" s="52" t="s">
        <v>138</v>
      </c>
    </row>
    <row r="608" customFormat="false" ht="17.25" hidden="false" customHeight="true" outlineLevel="0" collapsed="false">
      <c r="A608" s="52" t="s">
        <v>5777</v>
      </c>
      <c r="B608" s="52" t="s">
        <v>5813</v>
      </c>
      <c r="C608" s="53" t="n">
        <v>727450</v>
      </c>
      <c r="D608" s="52" t="s">
        <v>1474</v>
      </c>
      <c r="E608" s="52" t="s">
        <v>1475</v>
      </c>
      <c r="F608" s="54" t="n">
        <v>7</v>
      </c>
      <c r="G608" s="55" t="n">
        <v>2232.85</v>
      </c>
      <c r="H608" s="55" t="n">
        <v>318.9786</v>
      </c>
      <c r="I608" s="55" t="n">
        <v>350</v>
      </c>
      <c r="J608" s="52" t="s">
        <v>5816</v>
      </c>
      <c r="K608" s="56" t="n">
        <v>1</v>
      </c>
      <c r="L608" s="52" t="s">
        <v>5816</v>
      </c>
      <c r="M608" s="52" t="s">
        <v>247</v>
      </c>
    </row>
    <row r="609" customFormat="false" ht="17.25" hidden="false" customHeight="true" outlineLevel="0" collapsed="false">
      <c r="A609" s="52" t="s">
        <v>5777</v>
      </c>
      <c r="B609" s="52" t="s">
        <v>5813</v>
      </c>
      <c r="C609" s="53" t="n">
        <v>1475039</v>
      </c>
      <c r="D609" s="52" t="s">
        <v>1476</v>
      </c>
      <c r="E609" s="52" t="s">
        <v>1477</v>
      </c>
      <c r="F609" s="54" t="n">
        <v>150</v>
      </c>
      <c r="G609" s="55" t="n">
        <v>2225.0096</v>
      </c>
      <c r="H609" s="55" t="n">
        <v>14.8334</v>
      </c>
      <c r="I609" s="55" t="n">
        <v>14.8334</v>
      </c>
      <c r="J609" s="52" t="s">
        <v>5816</v>
      </c>
      <c r="K609" s="56" t="n">
        <v>1</v>
      </c>
      <c r="L609" s="52" t="s">
        <v>5816</v>
      </c>
      <c r="M609" s="52" t="s">
        <v>100</v>
      </c>
    </row>
    <row r="610" customFormat="false" ht="17.25" hidden="false" customHeight="true" outlineLevel="0" collapsed="false">
      <c r="A610" s="52" t="s">
        <v>5777</v>
      </c>
      <c r="B610" s="52" t="s">
        <v>5813</v>
      </c>
      <c r="C610" s="53" t="n">
        <v>1384698</v>
      </c>
      <c r="D610" s="52" t="s">
        <v>1478</v>
      </c>
      <c r="E610" s="52" t="s">
        <v>1479</v>
      </c>
      <c r="F610" s="54" t="n">
        <v>24</v>
      </c>
      <c r="G610" s="55" t="n">
        <v>2218.8</v>
      </c>
      <c r="H610" s="55" t="n">
        <v>92.45</v>
      </c>
      <c r="I610" s="55" t="n">
        <v>92.45</v>
      </c>
      <c r="J610" s="52" t="s">
        <v>5816</v>
      </c>
      <c r="K610" s="56" t="n">
        <v>1</v>
      </c>
      <c r="L610" s="52" t="s">
        <v>5816</v>
      </c>
      <c r="M610" s="52" t="s">
        <v>38</v>
      </c>
    </row>
    <row r="611" customFormat="false" ht="17.25" hidden="false" customHeight="true" outlineLevel="0" collapsed="false">
      <c r="A611" s="52" t="s">
        <v>5777</v>
      </c>
      <c r="B611" s="52" t="s">
        <v>5813</v>
      </c>
      <c r="C611" s="53" t="n">
        <v>1386696</v>
      </c>
      <c r="D611" s="52" t="s">
        <v>1480</v>
      </c>
      <c r="E611" s="52" t="s">
        <v>1481</v>
      </c>
      <c r="F611" s="54" t="n">
        <v>348</v>
      </c>
      <c r="G611" s="55" t="n">
        <v>2209.68</v>
      </c>
      <c r="H611" s="55" t="n">
        <v>6.3497</v>
      </c>
      <c r="I611" s="55" t="n">
        <v>8.02</v>
      </c>
      <c r="J611" s="52" t="s">
        <v>5816</v>
      </c>
      <c r="K611" s="56" t="n">
        <v>1</v>
      </c>
      <c r="L611" s="52" t="s">
        <v>5816</v>
      </c>
      <c r="M611" s="52" t="s">
        <v>100</v>
      </c>
    </row>
    <row r="612" customFormat="false" ht="17.25" hidden="false" customHeight="true" outlineLevel="0" collapsed="false">
      <c r="A612" s="52" t="s">
        <v>5777</v>
      </c>
      <c r="B612" s="52" t="s">
        <v>5813</v>
      </c>
      <c r="C612" s="53" t="n">
        <v>1318568</v>
      </c>
      <c r="D612" s="52" t="s">
        <v>1482</v>
      </c>
      <c r="E612" s="52" t="s">
        <v>1483</v>
      </c>
      <c r="F612" s="54" t="n">
        <v>6</v>
      </c>
      <c r="G612" s="55" t="n">
        <v>2208</v>
      </c>
      <c r="H612" s="55" t="n">
        <v>368</v>
      </c>
      <c r="I612" s="55" t="n">
        <v>368</v>
      </c>
      <c r="J612" s="52" t="s">
        <v>5816</v>
      </c>
      <c r="K612" s="56" t="n">
        <v>1</v>
      </c>
      <c r="L612" s="52" t="s">
        <v>5816</v>
      </c>
      <c r="M612" s="52" t="s">
        <v>54</v>
      </c>
    </row>
    <row r="613" customFormat="false" ht="17.25" hidden="false" customHeight="true" outlineLevel="0" collapsed="false">
      <c r="A613" s="52" t="s">
        <v>5777</v>
      </c>
      <c r="B613" s="52" t="s">
        <v>5813</v>
      </c>
      <c r="C613" s="53" t="n">
        <v>143814</v>
      </c>
      <c r="D613" s="52" t="s">
        <v>1484</v>
      </c>
      <c r="E613" s="52" t="s">
        <v>1485</v>
      </c>
      <c r="F613" s="54" t="n">
        <v>10</v>
      </c>
      <c r="G613" s="55" t="n">
        <v>2200</v>
      </c>
      <c r="H613" s="55" t="n">
        <v>220</v>
      </c>
      <c r="I613" s="55" t="n">
        <v>220</v>
      </c>
      <c r="J613" s="52" t="s">
        <v>5816</v>
      </c>
      <c r="K613" s="56" t="n">
        <v>1</v>
      </c>
      <c r="L613" s="52" t="s">
        <v>5816</v>
      </c>
      <c r="M613" s="52" t="s">
        <v>113</v>
      </c>
    </row>
    <row r="614" customFormat="false" ht="17.25" hidden="false" customHeight="true" outlineLevel="0" collapsed="false">
      <c r="A614" s="52" t="s">
        <v>5777</v>
      </c>
      <c r="B614" s="52" t="s">
        <v>5813</v>
      </c>
      <c r="C614" s="53" t="n">
        <v>935178</v>
      </c>
      <c r="D614" s="52" t="s">
        <v>1486</v>
      </c>
      <c r="E614" s="52" t="s">
        <v>1487</v>
      </c>
      <c r="F614" s="54" t="n">
        <v>10</v>
      </c>
      <c r="G614" s="55" t="n">
        <v>2200</v>
      </c>
      <c r="H614" s="55" t="n">
        <v>220</v>
      </c>
      <c r="I614" s="55" t="n">
        <v>220</v>
      </c>
      <c r="J614" s="52" t="s">
        <v>5816</v>
      </c>
      <c r="K614" s="56" t="n">
        <v>1</v>
      </c>
      <c r="L614" s="52" t="s">
        <v>5816</v>
      </c>
      <c r="M614" s="52" t="s">
        <v>189</v>
      </c>
    </row>
    <row r="615" customFormat="false" ht="17.25" hidden="false" customHeight="true" outlineLevel="0" collapsed="false">
      <c r="A615" s="52" t="s">
        <v>5777</v>
      </c>
      <c r="B615" s="52" t="s">
        <v>5813</v>
      </c>
      <c r="C615" s="53" t="n">
        <v>89690</v>
      </c>
      <c r="D615" s="52" t="s">
        <v>1488</v>
      </c>
      <c r="E615" s="52" t="s">
        <v>1489</v>
      </c>
      <c r="F615" s="54" t="n">
        <v>61</v>
      </c>
      <c r="G615" s="55" t="n">
        <v>2198</v>
      </c>
      <c r="H615" s="55" t="n">
        <v>36.0328</v>
      </c>
      <c r="I615" s="55" t="n">
        <v>34.5</v>
      </c>
      <c r="J615" s="52" t="s">
        <v>5816</v>
      </c>
      <c r="K615" s="56" t="n">
        <v>1</v>
      </c>
      <c r="L615" s="52" t="s">
        <v>5816</v>
      </c>
      <c r="M615" s="52" t="s">
        <v>605</v>
      </c>
    </row>
    <row r="616" customFormat="false" ht="17.25" hidden="false" customHeight="true" outlineLevel="0" collapsed="false">
      <c r="A616" s="52" t="s">
        <v>5777</v>
      </c>
      <c r="B616" s="52" t="s">
        <v>5813</v>
      </c>
      <c r="C616" s="53" t="n">
        <v>1662402</v>
      </c>
      <c r="D616" s="52" t="s">
        <v>1490</v>
      </c>
      <c r="E616" s="52" t="s">
        <v>1491</v>
      </c>
      <c r="F616" s="54" t="n">
        <v>18</v>
      </c>
      <c r="G616" s="55" t="n">
        <v>2193.08</v>
      </c>
      <c r="H616" s="55" t="n">
        <v>121.8378</v>
      </c>
      <c r="I616" s="55" t="n">
        <v>121.8383</v>
      </c>
      <c r="J616" s="52" t="s">
        <v>5816</v>
      </c>
      <c r="K616" s="56" t="n">
        <v>1</v>
      </c>
      <c r="L616" s="52" t="s">
        <v>5816</v>
      </c>
      <c r="M616" s="52" t="s">
        <v>133</v>
      </c>
    </row>
    <row r="617" customFormat="false" ht="17.25" hidden="false" customHeight="true" outlineLevel="0" collapsed="false">
      <c r="A617" s="52" t="s">
        <v>5777</v>
      </c>
      <c r="B617" s="52" t="s">
        <v>5813</v>
      </c>
      <c r="C617" s="53" t="n">
        <v>55062</v>
      </c>
      <c r="D617" s="52" t="s">
        <v>1492</v>
      </c>
      <c r="E617" s="52" t="s">
        <v>1493</v>
      </c>
      <c r="F617" s="54" t="n">
        <v>6</v>
      </c>
      <c r="G617" s="55" t="n">
        <v>2191.99</v>
      </c>
      <c r="H617" s="55" t="n">
        <v>365.3317</v>
      </c>
      <c r="I617" s="55" t="n">
        <v>398</v>
      </c>
      <c r="J617" s="52" t="s">
        <v>5816</v>
      </c>
      <c r="K617" s="56" t="n">
        <v>1</v>
      </c>
      <c r="L617" s="52" t="s">
        <v>5816</v>
      </c>
      <c r="M617" s="52" t="s">
        <v>38</v>
      </c>
    </row>
    <row r="618" customFormat="false" ht="17.25" hidden="false" customHeight="true" outlineLevel="0" collapsed="false">
      <c r="A618" s="52" t="s">
        <v>5777</v>
      </c>
      <c r="B618" s="52" t="s">
        <v>5813</v>
      </c>
      <c r="C618" s="53" t="n">
        <v>18856</v>
      </c>
      <c r="D618" s="52" t="s">
        <v>1494</v>
      </c>
      <c r="E618" s="52" t="s">
        <v>1495</v>
      </c>
      <c r="F618" s="54" t="n">
        <v>645</v>
      </c>
      <c r="G618" s="55" t="n">
        <v>2190.04</v>
      </c>
      <c r="H618" s="55" t="n">
        <v>3.3954</v>
      </c>
      <c r="I618" s="55" t="n">
        <v>3.3212</v>
      </c>
      <c r="J618" s="52" t="s">
        <v>5816</v>
      </c>
      <c r="K618" s="56" t="n">
        <v>1</v>
      </c>
      <c r="L618" s="52" t="s">
        <v>5816</v>
      </c>
      <c r="M618" s="52" t="s">
        <v>247</v>
      </c>
    </row>
    <row r="619" customFormat="false" ht="17.25" hidden="false" customHeight="true" outlineLevel="0" collapsed="false">
      <c r="A619" s="52" t="s">
        <v>5777</v>
      </c>
      <c r="B619" s="52" t="s">
        <v>5813</v>
      </c>
      <c r="C619" s="53" t="n">
        <v>140520</v>
      </c>
      <c r="D619" s="52" t="s">
        <v>1496</v>
      </c>
      <c r="E619" s="52" t="s">
        <v>1497</v>
      </c>
      <c r="F619" s="54" t="n">
        <v>11</v>
      </c>
      <c r="G619" s="55" t="n">
        <v>2189.84</v>
      </c>
      <c r="H619" s="55" t="n">
        <v>199.0764</v>
      </c>
      <c r="I619" s="55" t="n">
        <v>153.16</v>
      </c>
      <c r="J619" s="52" t="s">
        <v>5816</v>
      </c>
      <c r="K619" s="56" t="n">
        <v>1</v>
      </c>
      <c r="L619" s="52" t="s">
        <v>5816</v>
      </c>
      <c r="M619" s="52" t="s">
        <v>38</v>
      </c>
    </row>
    <row r="620" customFormat="false" ht="17.25" hidden="false" customHeight="true" outlineLevel="0" collapsed="false">
      <c r="A620" s="52" t="s">
        <v>5777</v>
      </c>
      <c r="B620" s="52" t="s">
        <v>5813</v>
      </c>
      <c r="C620" s="53" t="n">
        <v>22263</v>
      </c>
      <c r="D620" s="52" t="s">
        <v>1498</v>
      </c>
      <c r="E620" s="52" t="s">
        <v>1499</v>
      </c>
      <c r="F620" s="54" t="n">
        <v>2</v>
      </c>
      <c r="G620" s="55" t="n">
        <v>2179.8</v>
      </c>
      <c r="H620" s="55" t="n">
        <v>1089.9</v>
      </c>
      <c r="I620" s="55" t="n">
        <v>1089.9</v>
      </c>
      <c r="J620" s="52" t="s">
        <v>5816</v>
      </c>
      <c r="K620" s="56" t="n">
        <v>1</v>
      </c>
      <c r="L620" s="52" t="s">
        <v>5816</v>
      </c>
      <c r="M620" s="52" t="s">
        <v>75</v>
      </c>
    </row>
    <row r="621" customFormat="false" ht="17.25" hidden="false" customHeight="true" outlineLevel="0" collapsed="false">
      <c r="A621" s="52" t="s">
        <v>5777</v>
      </c>
      <c r="B621" s="52" t="s">
        <v>5813</v>
      </c>
      <c r="C621" s="53" t="n">
        <v>141178</v>
      </c>
      <c r="D621" s="52" t="s">
        <v>1500</v>
      </c>
      <c r="E621" s="52" t="s">
        <v>1501</v>
      </c>
      <c r="F621" s="54" t="n">
        <v>4</v>
      </c>
      <c r="G621" s="55" t="n">
        <v>2166</v>
      </c>
      <c r="H621" s="55" t="n">
        <v>541.5</v>
      </c>
      <c r="I621" s="55" t="n">
        <v>489</v>
      </c>
      <c r="J621" s="52" t="s">
        <v>5816</v>
      </c>
      <c r="K621" s="56" t="n">
        <v>1</v>
      </c>
      <c r="L621" s="52" t="s">
        <v>5816</v>
      </c>
      <c r="M621" s="52" t="s">
        <v>113</v>
      </c>
    </row>
    <row r="622" customFormat="false" ht="17.25" hidden="false" customHeight="true" outlineLevel="0" collapsed="false">
      <c r="A622" s="52" t="s">
        <v>5777</v>
      </c>
      <c r="B622" s="52" t="s">
        <v>5813</v>
      </c>
      <c r="C622" s="53" t="n">
        <v>1609094</v>
      </c>
      <c r="D622" s="52" t="s">
        <v>1502</v>
      </c>
      <c r="E622" s="52" t="s">
        <v>1503</v>
      </c>
      <c r="F622" s="54" t="n">
        <v>6</v>
      </c>
      <c r="G622" s="55" t="n">
        <v>2155.56</v>
      </c>
      <c r="H622" s="55" t="n">
        <v>359.26</v>
      </c>
      <c r="I622" s="55" t="n">
        <v>359.26</v>
      </c>
      <c r="J622" s="52" t="s">
        <v>5816</v>
      </c>
      <c r="K622" s="56" t="n">
        <v>1</v>
      </c>
      <c r="L622" s="52" t="s">
        <v>5816</v>
      </c>
      <c r="M622" s="52" t="s">
        <v>170</v>
      </c>
    </row>
    <row r="623" customFormat="false" ht="17.25" hidden="false" customHeight="true" outlineLevel="0" collapsed="false">
      <c r="A623" s="52" t="s">
        <v>5777</v>
      </c>
      <c r="B623" s="52" t="s">
        <v>5813</v>
      </c>
      <c r="C623" s="53" t="n">
        <v>32976</v>
      </c>
      <c r="D623" s="52" t="s">
        <v>1504</v>
      </c>
      <c r="E623" s="52" t="s">
        <v>1505</v>
      </c>
      <c r="F623" s="54" t="n">
        <v>40</v>
      </c>
      <c r="G623" s="55" t="n">
        <v>2147.8</v>
      </c>
      <c r="H623" s="55" t="n">
        <v>53.695</v>
      </c>
      <c r="I623" s="55" t="n">
        <v>19.78</v>
      </c>
      <c r="J623" s="52" t="s">
        <v>5816</v>
      </c>
      <c r="K623" s="56" t="n">
        <v>1</v>
      </c>
      <c r="L623" s="52" t="s">
        <v>5816</v>
      </c>
      <c r="M623" s="52" t="s">
        <v>170</v>
      </c>
    </row>
    <row r="624" customFormat="false" ht="17.25" hidden="false" customHeight="true" outlineLevel="0" collapsed="false">
      <c r="A624" s="52" t="s">
        <v>5777</v>
      </c>
      <c r="B624" s="52" t="s">
        <v>5813</v>
      </c>
      <c r="C624" s="53" t="n">
        <v>1317675</v>
      </c>
      <c r="D624" s="52" t="s">
        <v>1506</v>
      </c>
      <c r="E624" s="52" t="s">
        <v>1507</v>
      </c>
      <c r="F624" s="54" t="n">
        <v>20</v>
      </c>
      <c r="G624" s="55" t="n">
        <v>2140</v>
      </c>
      <c r="H624" s="55" t="n">
        <v>107</v>
      </c>
      <c r="I624" s="55" t="n">
        <v>107</v>
      </c>
      <c r="J624" s="52" t="s">
        <v>5816</v>
      </c>
      <c r="K624" s="56" t="n">
        <v>1</v>
      </c>
      <c r="L624" s="52" t="s">
        <v>5816</v>
      </c>
      <c r="M624" s="52" t="s">
        <v>605</v>
      </c>
    </row>
    <row r="625" customFormat="false" ht="17.25" hidden="false" customHeight="true" outlineLevel="0" collapsed="false">
      <c r="A625" s="52" t="s">
        <v>5777</v>
      </c>
      <c r="B625" s="52" t="s">
        <v>5813</v>
      </c>
      <c r="C625" s="53" t="n">
        <v>1382572</v>
      </c>
      <c r="D625" s="52" t="s">
        <v>1508</v>
      </c>
      <c r="E625" s="52" t="s">
        <v>5868</v>
      </c>
      <c r="F625" s="54" t="n">
        <v>2500</v>
      </c>
      <c r="G625" s="55" t="n">
        <v>2125</v>
      </c>
      <c r="H625" s="55" t="n">
        <v>0.85</v>
      </c>
      <c r="I625" s="55" t="n">
        <v>0.85</v>
      </c>
      <c r="J625" s="52" t="s">
        <v>5816</v>
      </c>
      <c r="K625" s="56" t="n">
        <v>1</v>
      </c>
      <c r="L625" s="52" t="s">
        <v>5816</v>
      </c>
      <c r="M625" s="52" t="s">
        <v>189</v>
      </c>
    </row>
    <row r="626" customFormat="false" ht="17.25" hidden="false" customHeight="true" outlineLevel="0" collapsed="false">
      <c r="A626" s="52" t="s">
        <v>5777</v>
      </c>
      <c r="B626" s="52" t="s">
        <v>5813</v>
      </c>
      <c r="C626" s="53" t="n">
        <v>555899</v>
      </c>
      <c r="D626" s="52" t="s">
        <v>1510</v>
      </c>
      <c r="E626" s="52" t="s">
        <v>1511</v>
      </c>
      <c r="F626" s="54" t="n">
        <v>24</v>
      </c>
      <c r="G626" s="55" t="n">
        <v>2116.8</v>
      </c>
      <c r="H626" s="55" t="n">
        <v>88.2</v>
      </c>
      <c r="I626" s="55" t="n">
        <v>38</v>
      </c>
      <c r="J626" s="52" t="s">
        <v>5816</v>
      </c>
      <c r="K626" s="56" t="n">
        <v>1</v>
      </c>
      <c r="L626" s="52" t="s">
        <v>5816</v>
      </c>
      <c r="M626" s="52" t="s">
        <v>54</v>
      </c>
    </row>
    <row r="627" customFormat="false" ht="17.25" hidden="false" customHeight="true" outlineLevel="0" collapsed="false">
      <c r="A627" s="52" t="s">
        <v>5777</v>
      </c>
      <c r="B627" s="52" t="s">
        <v>5813</v>
      </c>
      <c r="C627" s="53" t="n">
        <v>1636016</v>
      </c>
      <c r="D627" s="52" t="s">
        <v>1512</v>
      </c>
      <c r="E627" s="52" t="s">
        <v>1513</v>
      </c>
      <c r="F627" s="54" t="n">
        <v>6</v>
      </c>
      <c r="G627" s="55" t="n">
        <v>2106</v>
      </c>
      <c r="H627" s="55" t="n">
        <v>351</v>
      </c>
      <c r="I627" s="55" t="n">
        <v>351</v>
      </c>
      <c r="J627" s="52" t="s">
        <v>5816</v>
      </c>
      <c r="K627" s="56" t="n">
        <v>1</v>
      </c>
      <c r="L627" s="52" t="s">
        <v>5816</v>
      </c>
      <c r="M627" s="52" t="s">
        <v>195</v>
      </c>
    </row>
    <row r="628" customFormat="false" ht="17.25" hidden="false" customHeight="true" outlineLevel="0" collapsed="false">
      <c r="A628" s="52" t="s">
        <v>5777</v>
      </c>
      <c r="B628" s="52" t="s">
        <v>5813</v>
      </c>
      <c r="C628" s="53" t="n">
        <v>53963</v>
      </c>
      <c r="D628" s="52" t="s">
        <v>1514</v>
      </c>
      <c r="E628" s="52" t="s">
        <v>1515</v>
      </c>
      <c r="F628" s="54" t="n">
        <v>6</v>
      </c>
      <c r="G628" s="55" t="n">
        <v>2100.96</v>
      </c>
      <c r="H628" s="55" t="n">
        <v>350.16</v>
      </c>
      <c r="I628" s="55" t="n">
        <v>350.16</v>
      </c>
      <c r="J628" s="52" t="s">
        <v>5816</v>
      </c>
      <c r="K628" s="56" t="n">
        <v>1</v>
      </c>
      <c r="L628" s="52" t="s">
        <v>5816</v>
      </c>
      <c r="M628" s="52" t="s">
        <v>130</v>
      </c>
    </row>
    <row r="629" customFormat="false" ht="17.25" hidden="false" customHeight="true" outlineLevel="0" collapsed="false">
      <c r="A629" s="52" t="s">
        <v>5777</v>
      </c>
      <c r="B629" s="52" t="s">
        <v>5813</v>
      </c>
      <c r="C629" s="53" t="n">
        <v>1388115</v>
      </c>
      <c r="D629" s="52" t="s">
        <v>1518</v>
      </c>
      <c r="E629" s="52" t="s">
        <v>1519</v>
      </c>
      <c r="F629" s="54" t="n">
        <v>1171</v>
      </c>
      <c r="G629" s="55" t="n">
        <v>2080.22</v>
      </c>
      <c r="H629" s="55" t="n">
        <v>1.7764</v>
      </c>
      <c r="I629" s="55" t="n">
        <v>1.5</v>
      </c>
      <c r="J629" s="52" t="s">
        <v>5816</v>
      </c>
      <c r="K629" s="56" t="n">
        <v>1</v>
      </c>
      <c r="L629" s="52" t="s">
        <v>5816</v>
      </c>
      <c r="M629" s="52" t="s">
        <v>100</v>
      </c>
    </row>
    <row r="630" customFormat="false" ht="17.25" hidden="false" customHeight="true" outlineLevel="0" collapsed="false">
      <c r="A630" s="52" t="s">
        <v>5777</v>
      </c>
      <c r="B630" s="52" t="s">
        <v>5813</v>
      </c>
      <c r="C630" s="53" t="n">
        <v>1383616</v>
      </c>
      <c r="D630" s="52" t="s">
        <v>1520</v>
      </c>
      <c r="E630" s="52" t="s">
        <v>1521</v>
      </c>
      <c r="F630" s="54" t="n">
        <v>28</v>
      </c>
      <c r="G630" s="55" t="n">
        <v>2072.67</v>
      </c>
      <c r="H630" s="55" t="n">
        <v>74.024</v>
      </c>
      <c r="I630" s="55" t="n">
        <v>73.26</v>
      </c>
      <c r="J630" s="52" t="s">
        <v>5816</v>
      </c>
      <c r="K630" s="56" t="n">
        <v>1</v>
      </c>
      <c r="L630" s="52" t="s">
        <v>5816</v>
      </c>
      <c r="M630" s="52" t="s">
        <v>38</v>
      </c>
    </row>
    <row r="631" customFormat="false" ht="17.25" hidden="false" customHeight="true" outlineLevel="0" collapsed="false">
      <c r="A631" s="52" t="s">
        <v>5777</v>
      </c>
      <c r="B631" s="52" t="s">
        <v>5813</v>
      </c>
      <c r="C631" s="53" t="n">
        <v>33354</v>
      </c>
      <c r="D631" s="52" t="s">
        <v>1522</v>
      </c>
      <c r="E631" s="52" t="s">
        <v>1523</v>
      </c>
      <c r="F631" s="54" t="n">
        <v>30</v>
      </c>
      <c r="G631" s="55" t="n">
        <v>2070</v>
      </c>
      <c r="H631" s="55" t="n">
        <v>69</v>
      </c>
      <c r="I631" s="55" t="n">
        <v>69</v>
      </c>
      <c r="J631" s="52" t="s">
        <v>5869</v>
      </c>
      <c r="K631" s="56" t="n">
        <v>50</v>
      </c>
      <c r="L631" s="52" t="s">
        <v>5814</v>
      </c>
      <c r="M631" s="52" t="s">
        <v>138</v>
      </c>
    </row>
    <row r="632" customFormat="false" ht="17.25" hidden="false" customHeight="true" outlineLevel="0" collapsed="false">
      <c r="A632" s="52" t="s">
        <v>5777</v>
      </c>
      <c r="B632" s="52" t="s">
        <v>5813</v>
      </c>
      <c r="C632" s="53" t="n">
        <v>1017274</v>
      </c>
      <c r="D632" s="52" t="s">
        <v>1524</v>
      </c>
      <c r="E632" s="52" t="s">
        <v>1525</v>
      </c>
      <c r="F632" s="54" t="n">
        <v>40</v>
      </c>
      <c r="G632" s="55" t="n">
        <v>2064.23</v>
      </c>
      <c r="H632" s="55" t="n">
        <v>51.6058</v>
      </c>
      <c r="I632" s="55" t="n">
        <v>46.2008</v>
      </c>
      <c r="J632" s="52" t="s">
        <v>5816</v>
      </c>
      <c r="K632" s="56" t="n">
        <v>1</v>
      </c>
      <c r="L632" s="52" t="s">
        <v>5816</v>
      </c>
      <c r="M632" s="52" t="s">
        <v>38</v>
      </c>
    </row>
    <row r="633" customFormat="false" ht="17.25" hidden="false" customHeight="true" outlineLevel="0" collapsed="false">
      <c r="A633" s="52" t="s">
        <v>5777</v>
      </c>
      <c r="B633" s="52" t="s">
        <v>5813</v>
      </c>
      <c r="C633" s="53" t="n">
        <v>57481</v>
      </c>
      <c r="D633" s="52" t="s">
        <v>1526</v>
      </c>
      <c r="E633" s="52" t="s">
        <v>1527</v>
      </c>
      <c r="F633" s="54" t="n">
        <v>9</v>
      </c>
      <c r="G633" s="55" t="n">
        <v>2057.85</v>
      </c>
      <c r="H633" s="55" t="n">
        <v>228.65</v>
      </c>
      <c r="I633" s="55" t="n">
        <v>488.95</v>
      </c>
      <c r="J633" s="52" t="s">
        <v>5816</v>
      </c>
      <c r="K633" s="56" t="n">
        <v>1</v>
      </c>
      <c r="L633" s="52" t="s">
        <v>5816</v>
      </c>
      <c r="M633" s="52" t="s">
        <v>38</v>
      </c>
    </row>
    <row r="634" customFormat="false" ht="17.25" hidden="false" customHeight="true" outlineLevel="0" collapsed="false">
      <c r="A634" s="52" t="s">
        <v>5777</v>
      </c>
      <c r="B634" s="52" t="s">
        <v>5813</v>
      </c>
      <c r="C634" s="53" t="n">
        <v>57011</v>
      </c>
      <c r="D634" s="52" t="s">
        <v>1528</v>
      </c>
      <c r="E634" s="52" t="s">
        <v>1529</v>
      </c>
      <c r="F634" s="54" t="n">
        <v>12</v>
      </c>
      <c r="G634" s="55" t="n">
        <v>2054.83</v>
      </c>
      <c r="H634" s="55" t="n">
        <v>171.2358</v>
      </c>
      <c r="I634" s="55" t="n">
        <v>171.2356</v>
      </c>
      <c r="J634" s="52" t="s">
        <v>5816</v>
      </c>
      <c r="K634" s="56" t="n">
        <v>1</v>
      </c>
      <c r="L634" s="52" t="s">
        <v>5816</v>
      </c>
      <c r="M634" s="52" t="s">
        <v>38</v>
      </c>
    </row>
    <row r="635" customFormat="false" ht="17.25" hidden="false" customHeight="true" outlineLevel="0" collapsed="false">
      <c r="A635" s="52" t="s">
        <v>5777</v>
      </c>
      <c r="B635" s="52" t="s">
        <v>5813</v>
      </c>
      <c r="C635" s="53" t="n">
        <v>1662422</v>
      </c>
      <c r="D635" s="52" t="s">
        <v>1530</v>
      </c>
      <c r="E635" s="52" t="s">
        <v>1531</v>
      </c>
      <c r="F635" s="54" t="n">
        <v>3</v>
      </c>
      <c r="G635" s="55" t="n">
        <v>2052</v>
      </c>
      <c r="H635" s="55" t="n">
        <v>684</v>
      </c>
      <c r="I635" s="55" t="n">
        <v>684</v>
      </c>
      <c r="J635" s="52" t="s">
        <v>5816</v>
      </c>
      <c r="K635" s="56" t="n">
        <v>1</v>
      </c>
      <c r="L635" s="52" t="s">
        <v>5816</v>
      </c>
      <c r="M635" s="52" t="s">
        <v>133</v>
      </c>
    </row>
    <row r="636" customFormat="false" ht="17.25" hidden="false" customHeight="true" outlineLevel="0" collapsed="false">
      <c r="A636" s="52" t="s">
        <v>5777</v>
      </c>
      <c r="B636" s="52" t="s">
        <v>5813</v>
      </c>
      <c r="C636" s="53" t="n">
        <v>854463</v>
      </c>
      <c r="D636" s="52" t="s">
        <v>1532</v>
      </c>
      <c r="E636" s="52" t="s">
        <v>5870</v>
      </c>
      <c r="F636" s="54" t="n">
        <v>30</v>
      </c>
      <c r="G636" s="55" t="n">
        <v>2050</v>
      </c>
      <c r="H636" s="55" t="n">
        <v>68.3333</v>
      </c>
      <c r="I636" s="55" t="n">
        <v>35</v>
      </c>
      <c r="J636" s="52" t="s">
        <v>5816</v>
      </c>
      <c r="K636" s="56" t="n">
        <v>1</v>
      </c>
      <c r="L636" s="52" t="s">
        <v>5816</v>
      </c>
      <c r="M636" s="52" t="s">
        <v>835</v>
      </c>
    </row>
    <row r="637" customFormat="false" ht="17.25" hidden="false" customHeight="true" outlineLevel="0" collapsed="false">
      <c r="A637" s="52" t="s">
        <v>5777</v>
      </c>
      <c r="B637" s="52" t="s">
        <v>5813</v>
      </c>
      <c r="C637" s="53" t="n">
        <v>141768</v>
      </c>
      <c r="D637" s="52" t="s">
        <v>1534</v>
      </c>
      <c r="E637" s="52" t="s">
        <v>1535</v>
      </c>
      <c r="F637" s="54" t="n">
        <v>16</v>
      </c>
      <c r="G637" s="55" t="n">
        <v>2045.9</v>
      </c>
      <c r="H637" s="55" t="n">
        <v>127.8688</v>
      </c>
      <c r="I637" s="55" t="n">
        <v>121.475</v>
      </c>
      <c r="J637" s="52" t="s">
        <v>5816</v>
      </c>
      <c r="K637" s="56" t="n">
        <v>1</v>
      </c>
      <c r="L637" s="52" t="s">
        <v>5816</v>
      </c>
      <c r="M637" s="52" t="s">
        <v>35</v>
      </c>
    </row>
    <row r="638" customFormat="false" ht="17.25" hidden="false" customHeight="true" outlineLevel="0" collapsed="false">
      <c r="A638" s="52" t="s">
        <v>5777</v>
      </c>
      <c r="B638" s="52" t="s">
        <v>5813</v>
      </c>
      <c r="C638" s="53" t="n">
        <v>1016972</v>
      </c>
      <c r="D638" s="52" t="s">
        <v>1536</v>
      </c>
      <c r="E638" s="52" t="s">
        <v>1537</v>
      </c>
      <c r="F638" s="54" t="n">
        <v>150</v>
      </c>
      <c r="G638" s="55" t="n">
        <v>2043.63</v>
      </c>
      <c r="H638" s="55" t="n">
        <v>13.6242</v>
      </c>
      <c r="I638" s="55" t="n">
        <v>12.41</v>
      </c>
      <c r="J638" s="52" t="s">
        <v>5816</v>
      </c>
      <c r="K638" s="56" t="n">
        <v>1</v>
      </c>
      <c r="L638" s="52" t="s">
        <v>5816</v>
      </c>
      <c r="M638" s="52" t="s">
        <v>217</v>
      </c>
    </row>
    <row r="639" customFormat="false" ht="17.25" hidden="false" customHeight="true" outlineLevel="0" collapsed="false">
      <c r="A639" s="52" t="s">
        <v>5777</v>
      </c>
      <c r="B639" s="52" t="s">
        <v>5813</v>
      </c>
      <c r="C639" s="53" t="n">
        <v>143909</v>
      </c>
      <c r="D639" s="52" t="s">
        <v>1538</v>
      </c>
      <c r="E639" s="52" t="s">
        <v>1539</v>
      </c>
      <c r="F639" s="54" t="n">
        <v>14</v>
      </c>
      <c r="G639" s="55" t="n">
        <v>2040</v>
      </c>
      <c r="H639" s="55" t="n">
        <v>145.7143</v>
      </c>
      <c r="I639" s="55" t="n">
        <v>165</v>
      </c>
      <c r="J639" s="52" t="s">
        <v>5816</v>
      </c>
      <c r="K639" s="56" t="n">
        <v>1</v>
      </c>
      <c r="L639" s="52" t="s">
        <v>5816</v>
      </c>
      <c r="M639" s="52" t="s">
        <v>247</v>
      </c>
    </row>
    <row r="640" customFormat="false" ht="17.25" hidden="false" customHeight="true" outlineLevel="0" collapsed="false">
      <c r="A640" s="52" t="s">
        <v>5777</v>
      </c>
      <c r="B640" s="52" t="s">
        <v>5813</v>
      </c>
      <c r="C640" s="53" t="n">
        <v>1614806</v>
      </c>
      <c r="D640" s="52" t="s">
        <v>1540</v>
      </c>
      <c r="E640" s="52" t="s">
        <v>1541</v>
      </c>
      <c r="F640" s="54" t="n">
        <v>5</v>
      </c>
      <c r="G640" s="55" t="n">
        <v>2035.7</v>
      </c>
      <c r="H640" s="55" t="n">
        <v>407.14</v>
      </c>
      <c r="I640" s="55" t="n">
        <v>407.14</v>
      </c>
      <c r="J640" s="52" t="s">
        <v>5816</v>
      </c>
      <c r="K640" s="56" t="n">
        <v>1</v>
      </c>
      <c r="L640" s="52" t="s">
        <v>5816</v>
      </c>
      <c r="M640" s="52" t="s">
        <v>38</v>
      </c>
    </row>
    <row r="641" customFormat="false" ht="17.25" hidden="false" customHeight="true" outlineLevel="0" collapsed="false">
      <c r="A641" s="52" t="s">
        <v>5777</v>
      </c>
      <c r="B641" s="52" t="s">
        <v>5813</v>
      </c>
      <c r="C641" s="53" t="n">
        <v>22375</v>
      </c>
      <c r="D641" s="52" t="s">
        <v>1326</v>
      </c>
      <c r="E641" s="52" t="s">
        <v>1327</v>
      </c>
      <c r="F641" s="54" t="n">
        <v>38</v>
      </c>
      <c r="G641" s="55" t="n">
        <v>2031.7572</v>
      </c>
      <c r="H641" s="55" t="n">
        <v>53.4673</v>
      </c>
      <c r="I641" s="55" t="n">
        <v>47</v>
      </c>
      <c r="J641" s="52" t="s">
        <v>5816</v>
      </c>
      <c r="K641" s="56" t="n">
        <v>1</v>
      </c>
      <c r="L641" s="52" t="s">
        <v>5816</v>
      </c>
      <c r="M641" s="52" t="s">
        <v>262</v>
      </c>
    </row>
    <row r="642" customFormat="false" ht="17.25" hidden="false" customHeight="true" outlineLevel="0" collapsed="false">
      <c r="A642" s="52" t="s">
        <v>5777</v>
      </c>
      <c r="B642" s="52" t="s">
        <v>5813</v>
      </c>
      <c r="C642" s="53" t="n">
        <v>65986</v>
      </c>
      <c r="D642" s="52" t="s">
        <v>1542</v>
      </c>
      <c r="E642" s="52" t="s">
        <v>1543</v>
      </c>
      <c r="F642" s="54" t="n">
        <v>36</v>
      </c>
      <c r="G642" s="55" t="n">
        <v>2028</v>
      </c>
      <c r="H642" s="55" t="n">
        <v>56.3333</v>
      </c>
      <c r="I642" s="55" t="n">
        <v>58</v>
      </c>
      <c r="J642" s="52" t="s">
        <v>5816</v>
      </c>
      <c r="K642" s="56" t="n">
        <v>1</v>
      </c>
      <c r="L642" s="52" t="s">
        <v>5816</v>
      </c>
      <c r="M642" s="52" t="s">
        <v>189</v>
      </c>
    </row>
    <row r="643" customFormat="false" ht="17.25" hidden="false" customHeight="true" outlineLevel="0" collapsed="false">
      <c r="A643" s="52" t="s">
        <v>5777</v>
      </c>
      <c r="B643" s="52" t="s">
        <v>5813</v>
      </c>
      <c r="C643" s="53" t="n">
        <v>940569</v>
      </c>
      <c r="D643" s="52" t="s">
        <v>1544</v>
      </c>
      <c r="E643" s="52" t="s">
        <v>1545</v>
      </c>
      <c r="F643" s="54" t="n">
        <v>100</v>
      </c>
      <c r="G643" s="55" t="n">
        <v>2025</v>
      </c>
      <c r="H643" s="55" t="n">
        <v>20.25</v>
      </c>
      <c r="I643" s="55" t="n">
        <v>20.25</v>
      </c>
      <c r="J643" s="52" t="s">
        <v>5816</v>
      </c>
      <c r="K643" s="56" t="n">
        <v>1</v>
      </c>
      <c r="L643" s="52" t="s">
        <v>5816</v>
      </c>
      <c r="M643" s="52" t="s">
        <v>217</v>
      </c>
    </row>
    <row r="644" customFormat="false" ht="17.25" hidden="false" customHeight="true" outlineLevel="0" collapsed="false">
      <c r="A644" s="52" t="s">
        <v>5777</v>
      </c>
      <c r="B644" s="52" t="s">
        <v>5813</v>
      </c>
      <c r="C644" s="53" t="n">
        <v>475403</v>
      </c>
      <c r="D644" s="52" t="s">
        <v>1546</v>
      </c>
      <c r="E644" s="52" t="s">
        <v>1547</v>
      </c>
      <c r="F644" s="54" t="n">
        <v>3</v>
      </c>
      <c r="G644" s="55" t="n">
        <v>2022.3</v>
      </c>
      <c r="H644" s="55" t="n">
        <v>674.1</v>
      </c>
      <c r="I644" s="55" t="n">
        <v>674.1</v>
      </c>
      <c r="J644" s="52" t="s">
        <v>5816</v>
      </c>
      <c r="K644" s="56" t="n">
        <v>1</v>
      </c>
      <c r="L644" s="52" t="s">
        <v>5816</v>
      </c>
      <c r="M644" s="52" t="s">
        <v>247</v>
      </c>
    </row>
    <row r="645" customFormat="false" ht="17.25" hidden="false" customHeight="true" outlineLevel="0" collapsed="false">
      <c r="A645" s="52" t="s">
        <v>5777</v>
      </c>
      <c r="B645" s="52" t="s">
        <v>5813</v>
      </c>
      <c r="C645" s="53" t="n">
        <v>1463582</v>
      </c>
      <c r="D645" s="52" t="s">
        <v>1548</v>
      </c>
      <c r="E645" s="52" t="s">
        <v>1549</v>
      </c>
      <c r="F645" s="54" t="n">
        <v>128.06</v>
      </c>
      <c r="G645" s="55" t="n">
        <v>2018.97</v>
      </c>
      <c r="H645" s="55" t="n">
        <v>15.7658</v>
      </c>
      <c r="I645" s="55" t="n">
        <v>15.7658</v>
      </c>
      <c r="J645" s="52" t="s">
        <v>5814</v>
      </c>
      <c r="K645" s="56" t="n">
        <v>1</v>
      </c>
      <c r="L645" s="52" t="s">
        <v>5814</v>
      </c>
      <c r="M645" s="52" t="s">
        <v>38</v>
      </c>
    </row>
    <row r="646" customFormat="false" ht="17.25" hidden="false" customHeight="true" outlineLevel="0" collapsed="false">
      <c r="A646" s="52" t="s">
        <v>5777</v>
      </c>
      <c r="B646" s="52" t="s">
        <v>5813</v>
      </c>
      <c r="C646" s="53" t="n">
        <v>750176</v>
      </c>
      <c r="D646" s="52" t="s">
        <v>1550</v>
      </c>
      <c r="E646" s="52" t="s">
        <v>1551</v>
      </c>
      <c r="F646" s="54" t="n">
        <v>42</v>
      </c>
      <c r="G646" s="55" t="n">
        <v>2016</v>
      </c>
      <c r="H646" s="55" t="n">
        <v>48</v>
      </c>
      <c r="I646" s="55" t="n">
        <v>48</v>
      </c>
      <c r="J646" s="52" t="s">
        <v>5816</v>
      </c>
      <c r="K646" s="56" t="n">
        <v>1</v>
      </c>
      <c r="L646" s="52" t="s">
        <v>5816</v>
      </c>
      <c r="M646" s="52" t="s">
        <v>38</v>
      </c>
    </row>
    <row r="647" customFormat="false" ht="17.25" hidden="false" customHeight="true" outlineLevel="0" collapsed="false">
      <c r="A647" s="52" t="s">
        <v>5777</v>
      </c>
      <c r="B647" s="52" t="s">
        <v>5813</v>
      </c>
      <c r="C647" s="53" t="n">
        <v>938707</v>
      </c>
      <c r="D647" s="52" t="s">
        <v>1552</v>
      </c>
      <c r="E647" s="52" t="s">
        <v>5871</v>
      </c>
      <c r="F647" s="54" t="n">
        <v>77</v>
      </c>
      <c r="G647" s="55" t="n">
        <v>2000.46</v>
      </c>
      <c r="H647" s="55" t="n">
        <v>25.98</v>
      </c>
      <c r="I647" s="55" t="n">
        <v>25.98</v>
      </c>
      <c r="J647" s="52" t="s">
        <v>5816</v>
      </c>
      <c r="K647" s="56" t="n">
        <v>1</v>
      </c>
      <c r="L647" s="52" t="s">
        <v>5816</v>
      </c>
      <c r="M647" s="52" t="s">
        <v>100</v>
      </c>
    </row>
    <row r="648" customFormat="false" ht="17.25" hidden="false" customHeight="true" outlineLevel="0" collapsed="false">
      <c r="A648" s="52" t="s">
        <v>5777</v>
      </c>
      <c r="B648" s="52" t="s">
        <v>5813</v>
      </c>
      <c r="C648" s="53" t="n">
        <v>888065</v>
      </c>
      <c r="D648" s="52" t="s">
        <v>1554</v>
      </c>
      <c r="E648" s="52" t="s">
        <v>1555</v>
      </c>
      <c r="F648" s="54" t="n">
        <v>9</v>
      </c>
      <c r="G648" s="55" t="n">
        <v>2000.29</v>
      </c>
      <c r="H648" s="55" t="n">
        <v>222.2544</v>
      </c>
      <c r="I648" s="55" t="n">
        <v>226.4017</v>
      </c>
      <c r="J648" s="52" t="s">
        <v>5816</v>
      </c>
      <c r="K648" s="56" t="n">
        <v>1</v>
      </c>
      <c r="L648" s="52" t="s">
        <v>5816</v>
      </c>
      <c r="M648" s="52" t="s">
        <v>133</v>
      </c>
    </row>
    <row r="649" customFormat="false" ht="17.25" hidden="false" customHeight="true" outlineLevel="0" collapsed="false">
      <c r="A649" s="52" t="s">
        <v>5777</v>
      </c>
      <c r="B649" s="52" t="s">
        <v>5813</v>
      </c>
      <c r="C649" s="53" t="n">
        <v>59502</v>
      </c>
      <c r="D649" s="52" t="s">
        <v>1556</v>
      </c>
      <c r="E649" s="52" t="s">
        <v>1557</v>
      </c>
      <c r="F649" s="54" t="n">
        <v>1</v>
      </c>
      <c r="G649" s="55" t="n">
        <v>2000</v>
      </c>
      <c r="H649" s="55" t="n">
        <v>2000</v>
      </c>
      <c r="I649" s="55" t="n">
        <v>2000</v>
      </c>
      <c r="J649" s="52" t="s">
        <v>5872</v>
      </c>
      <c r="K649" s="56" t="n">
        <v>100</v>
      </c>
      <c r="L649" s="52" t="s">
        <v>5814</v>
      </c>
      <c r="M649" s="52" t="s">
        <v>262</v>
      </c>
    </row>
    <row r="650" customFormat="false" ht="17.25" hidden="false" customHeight="true" outlineLevel="0" collapsed="false">
      <c r="A650" s="52" t="s">
        <v>5777</v>
      </c>
      <c r="B650" s="52" t="s">
        <v>5813</v>
      </c>
      <c r="C650" s="53" t="n">
        <v>140804</v>
      </c>
      <c r="D650" s="52" t="s">
        <v>1558</v>
      </c>
      <c r="E650" s="52" t="s">
        <v>1559</v>
      </c>
      <c r="F650" s="54" t="n">
        <v>80</v>
      </c>
      <c r="G650" s="55" t="n">
        <v>2000</v>
      </c>
      <c r="H650" s="55" t="n">
        <v>25</v>
      </c>
      <c r="I650" s="55" t="n">
        <v>25</v>
      </c>
      <c r="J650" s="52" t="s">
        <v>5815</v>
      </c>
      <c r="K650" s="56" t="n">
        <v>1</v>
      </c>
      <c r="L650" s="52" t="s">
        <v>5815</v>
      </c>
      <c r="M650" s="52" t="s">
        <v>360</v>
      </c>
    </row>
    <row r="651" customFormat="false" ht="17.25" hidden="false" customHeight="true" outlineLevel="0" collapsed="false">
      <c r="A651" s="52" t="s">
        <v>5777</v>
      </c>
      <c r="B651" s="52" t="s">
        <v>5813</v>
      </c>
      <c r="C651" s="53" t="n">
        <v>1327915</v>
      </c>
      <c r="D651" s="52" t="s">
        <v>1560</v>
      </c>
      <c r="E651" s="52" t="s">
        <v>1561</v>
      </c>
      <c r="F651" s="54" t="n">
        <v>54</v>
      </c>
      <c r="G651" s="55" t="n">
        <v>1998</v>
      </c>
      <c r="H651" s="55" t="n">
        <v>37</v>
      </c>
      <c r="I651" s="55" t="n">
        <v>37</v>
      </c>
      <c r="J651" s="52" t="s">
        <v>5816</v>
      </c>
      <c r="K651" s="56" t="n">
        <v>1</v>
      </c>
      <c r="L651" s="52" t="s">
        <v>5816</v>
      </c>
      <c r="M651" s="52" t="s">
        <v>54</v>
      </c>
    </row>
    <row r="652" customFormat="false" ht="17.25" hidden="false" customHeight="true" outlineLevel="0" collapsed="false">
      <c r="A652" s="52" t="s">
        <v>5777</v>
      </c>
      <c r="B652" s="52" t="s">
        <v>5813</v>
      </c>
      <c r="C652" s="53" t="n">
        <v>32168</v>
      </c>
      <c r="D652" s="52" t="s">
        <v>1562</v>
      </c>
      <c r="E652" s="52" t="s">
        <v>1563</v>
      </c>
      <c r="F652" s="54" t="n">
        <v>5</v>
      </c>
      <c r="G652" s="55" t="n">
        <v>1995</v>
      </c>
      <c r="H652" s="55" t="n">
        <v>399</v>
      </c>
      <c r="I652" s="55" t="n">
        <v>399</v>
      </c>
      <c r="J652" s="52" t="s">
        <v>5816</v>
      </c>
      <c r="K652" s="56" t="n">
        <v>1</v>
      </c>
      <c r="L652" s="52" t="s">
        <v>5816</v>
      </c>
      <c r="M652" s="52" t="s">
        <v>93</v>
      </c>
    </row>
    <row r="653" customFormat="false" ht="17.25" hidden="false" customHeight="true" outlineLevel="0" collapsed="false">
      <c r="A653" s="52" t="s">
        <v>5777</v>
      </c>
      <c r="B653" s="52" t="s">
        <v>5813</v>
      </c>
      <c r="C653" s="53" t="n">
        <v>33640</v>
      </c>
      <c r="D653" s="52" t="s">
        <v>1566</v>
      </c>
      <c r="E653" s="52" t="s">
        <v>1567</v>
      </c>
      <c r="F653" s="54" t="n">
        <v>4</v>
      </c>
      <c r="G653" s="55" t="n">
        <v>1992</v>
      </c>
      <c r="H653" s="55" t="n">
        <v>498</v>
      </c>
      <c r="I653" s="55" t="n">
        <v>498</v>
      </c>
      <c r="J653" s="52" t="s">
        <v>5846</v>
      </c>
      <c r="K653" s="56" t="n">
        <v>18</v>
      </c>
      <c r="L653" s="52" t="s">
        <v>5823</v>
      </c>
      <c r="M653" s="52" t="s">
        <v>705</v>
      </c>
    </row>
    <row r="654" customFormat="false" ht="17.25" hidden="false" customHeight="true" outlineLevel="0" collapsed="false">
      <c r="A654" s="52" t="s">
        <v>5777</v>
      </c>
      <c r="B654" s="52" t="s">
        <v>5813</v>
      </c>
      <c r="C654" s="53" t="n">
        <v>143228</v>
      </c>
      <c r="D654" s="52" t="s">
        <v>1568</v>
      </c>
      <c r="E654" s="52" t="s">
        <v>5873</v>
      </c>
      <c r="F654" s="54" t="n">
        <v>60</v>
      </c>
      <c r="G654" s="55" t="n">
        <v>1989.675</v>
      </c>
      <c r="H654" s="55" t="n">
        <v>33.1613</v>
      </c>
      <c r="I654" s="55" t="n">
        <v>30</v>
      </c>
      <c r="J654" s="52" t="s">
        <v>5816</v>
      </c>
      <c r="K654" s="56" t="n">
        <v>1</v>
      </c>
      <c r="L654" s="52" t="s">
        <v>5816</v>
      </c>
      <c r="M654" s="52" t="s">
        <v>93</v>
      </c>
    </row>
    <row r="655" customFormat="false" ht="17.25" hidden="false" customHeight="true" outlineLevel="0" collapsed="false">
      <c r="A655" s="52" t="s">
        <v>5777</v>
      </c>
      <c r="B655" s="52" t="s">
        <v>5813</v>
      </c>
      <c r="C655" s="53" t="n">
        <v>1327761</v>
      </c>
      <c r="D655" s="52" t="s">
        <v>1570</v>
      </c>
      <c r="E655" s="52" t="s">
        <v>1571</v>
      </c>
      <c r="F655" s="54" t="n">
        <v>2.5</v>
      </c>
      <c r="G655" s="55" t="n">
        <v>1987.35</v>
      </c>
      <c r="H655" s="55" t="n">
        <v>794.94</v>
      </c>
      <c r="I655" s="55" t="n">
        <v>369</v>
      </c>
      <c r="J655" s="52" t="s">
        <v>5814</v>
      </c>
      <c r="K655" s="56" t="n">
        <v>1</v>
      </c>
      <c r="L655" s="52" t="s">
        <v>5814</v>
      </c>
      <c r="M655" s="52" t="s">
        <v>54</v>
      </c>
    </row>
    <row r="656" customFormat="false" ht="17.25" hidden="false" customHeight="true" outlineLevel="0" collapsed="false">
      <c r="A656" s="52" t="s">
        <v>5777</v>
      </c>
      <c r="B656" s="52" t="s">
        <v>5813</v>
      </c>
      <c r="C656" s="53" t="n">
        <v>1614267</v>
      </c>
      <c r="D656" s="52" t="s">
        <v>1572</v>
      </c>
      <c r="E656" s="52" t="s">
        <v>1573</v>
      </c>
      <c r="F656" s="54" t="n">
        <v>10</v>
      </c>
      <c r="G656" s="55" t="n">
        <v>1986.5</v>
      </c>
      <c r="H656" s="55" t="n">
        <v>198.65</v>
      </c>
      <c r="I656" s="55" t="n">
        <v>198.65</v>
      </c>
      <c r="J656" s="52" t="s">
        <v>5816</v>
      </c>
      <c r="K656" s="56" t="n">
        <v>1</v>
      </c>
      <c r="L656" s="52" t="s">
        <v>5816</v>
      </c>
      <c r="M656" s="52" t="s">
        <v>38</v>
      </c>
    </row>
    <row r="657" customFormat="false" ht="17.25" hidden="false" customHeight="true" outlineLevel="0" collapsed="false">
      <c r="A657" s="52" t="s">
        <v>5777</v>
      </c>
      <c r="B657" s="52" t="s">
        <v>5813</v>
      </c>
      <c r="C657" s="53" t="n">
        <v>1229052</v>
      </c>
      <c r="D657" s="52" t="s">
        <v>1574</v>
      </c>
      <c r="E657" s="52" t="s">
        <v>1575</v>
      </c>
      <c r="F657" s="54" t="n">
        <v>21</v>
      </c>
      <c r="G657" s="55" t="n">
        <v>1985.64</v>
      </c>
      <c r="H657" s="55" t="n">
        <v>94.5543</v>
      </c>
      <c r="I657" s="55" t="n">
        <v>93.7</v>
      </c>
      <c r="J657" s="52" t="s">
        <v>5814</v>
      </c>
      <c r="K657" s="56" t="n">
        <v>1</v>
      </c>
      <c r="L657" s="52" t="s">
        <v>5814</v>
      </c>
      <c r="M657" s="52" t="s">
        <v>38</v>
      </c>
    </row>
    <row r="658" customFormat="false" ht="17.25" hidden="false" customHeight="true" outlineLevel="0" collapsed="false">
      <c r="A658" s="52" t="s">
        <v>5777</v>
      </c>
      <c r="B658" s="52" t="s">
        <v>5813</v>
      </c>
      <c r="C658" s="53" t="n">
        <v>281750</v>
      </c>
      <c r="D658" s="52" t="s">
        <v>1576</v>
      </c>
      <c r="E658" s="52" t="s">
        <v>1577</v>
      </c>
      <c r="F658" s="54" t="n">
        <v>69</v>
      </c>
      <c r="G658" s="55" t="n">
        <v>1985.0788</v>
      </c>
      <c r="H658" s="55" t="n">
        <v>28.7692</v>
      </c>
      <c r="I658" s="55" t="n">
        <v>35</v>
      </c>
      <c r="J658" s="52" t="s">
        <v>5874</v>
      </c>
      <c r="K658" s="56" t="n">
        <v>1</v>
      </c>
      <c r="L658" s="52" t="s">
        <v>5816</v>
      </c>
      <c r="M658" s="52" t="s">
        <v>38</v>
      </c>
    </row>
    <row r="659" customFormat="false" ht="17.25" hidden="false" customHeight="true" outlineLevel="0" collapsed="false">
      <c r="A659" s="52" t="s">
        <v>5777</v>
      </c>
      <c r="B659" s="52" t="s">
        <v>5813</v>
      </c>
      <c r="C659" s="53" t="n">
        <v>1016525</v>
      </c>
      <c r="D659" s="52" t="s">
        <v>1578</v>
      </c>
      <c r="E659" s="52" t="s">
        <v>1579</v>
      </c>
      <c r="F659" s="54" t="n">
        <v>1</v>
      </c>
      <c r="G659" s="55" t="n">
        <v>1985</v>
      </c>
      <c r="H659" s="55" t="n">
        <v>1985</v>
      </c>
      <c r="I659" s="55" t="n">
        <v>1985</v>
      </c>
      <c r="J659" s="52" t="s">
        <v>5816</v>
      </c>
      <c r="K659" s="56" t="n">
        <v>1</v>
      </c>
      <c r="L659" s="52" t="s">
        <v>5816</v>
      </c>
      <c r="M659" s="52" t="s">
        <v>189</v>
      </c>
    </row>
    <row r="660" customFormat="false" ht="17.25" hidden="false" customHeight="true" outlineLevel="0" collapsed="false">
      <c r="A660" s="52" t="s">
        <v>5777</v>
      </c>
      <c r="B660" s="52" t="s">
        <v>5813</v>
      </c>
      <c r="C660" s="53" t="n">
        <v>1327846</v>
      </c>
      <c r="D660" s="52" t="s">
        <v>1580</v>
      </c>
      <c r="E660" s="52" t="s">
        <v>1581</v>
      </c>
      <c r="F660" s="54" t="n">
        <v>2</v>
      </c>
      <c r="G660" s="55" t="n">
        <v>1985</v>
      </c>
      <c r="H660" s="55" t="n">
        <v>992.5</v>
      </c>
      <c r="I660" s="55" t="n">
        <v>1195</v>
      </c>
      <c r="J660" s="52" t="s">
        <v>5816</v>
      </c>
      <c r="K660" s="56" t="n">
        <v>1</v>
      </c>
      <c r="L660" s="52" t="s">
        <v>5816</v>
      </c>
      <c r="M660" s="52" t="s">
        <v>54</v>
      </c>
    </row>
    <row r="661" customFormat="false" ht="17.25" hidden="false" customHeight="true" outlineLevel="0" collapsed="false">
      <c r="A661" s="52" t="s">
        <v>5777</v>
      </c>
      <c r="B661" s="52" t="s">
        <v>5813</v>
      </c>
      <c r="C661" s="53" t="n">
        <v>19756</v>
      </c>
      <c r="D661" s="52" t="s">
        <v>1582</v>
      </c>
      <c r="E661" s="52" t="s">
        <v>1583</v>
      </c>
      <c r="F661" s="54" t="n">
        <v>30</v>
      </c>
      <c r="G661" s="55" t="n">
        <v>1980</v>
      </c>
      <c r="H661" s="55" t="n">
        <v>66</v>
      </c>
      <c r="I661" s="55" t="n">
        <v>66</v>
      </c>
      <c r="J661" s="52" t="s">
        <v>5816</v>
      </c>
      <c r="K661" s="56" t="n">
        <v>1</v>
      </c>
      <c r="L661" s="52" t="s">
        <v>5816</v>
      </c>
      <c r="M661" s="52" t="s">
        <v>605</v>
      </c>
    </row>
    <row r="662" customFormat="false" ht="17.25" hidden="false" customHeight="true" outlineLevel="0" collapsed="false">
      <c r="A662" s="52" t="s">
        <v>5777</v>
      </c>
      <c r="B662" s="52" t="s">
        <v>5813</v>
      </c>
      <c r="C662" s="53" t="n">
        <v>942231</v>
      </c>
      <c r="D662" s="52" t="s">
        <v>1584</v>
      </c>
      <c r="E662" s="52" t="s">
        <v>1585</v>
      </c>
      <c r="F662" s="54" t="n">
        <v>10</v>
      </c>
      <c r="G662" s="55" t="n">
        <v>1980</v>
      </c>
      <c r="H662" s="55" t="n">
        <v>198</v>
      </c>
      <c r="I662" s="55" t="n">
        <v>198</v>
      </c>
      <c r="J662" s="52" t="s">
        <v>5816</v>
      </c>
      <c r="K662" s="56" t="n">
        <v>1</v>
      </c>
      <c r="L662" s="52" t="s">
        <v>5816</v>
      </c>
      <c r="M662" s="52" t="s">
        <v>133</v>
      </c>
    </row>
    <row r="663" customFormat="false" ht="17.25" hidden="false" customHeight="true" outlineLevel="0" collapsed="false">
      <c r="A663" s="52" t="s">
        <v>5777</v>
      </c>
      <c r="B663" s="52" t="s">
        <v>5813</v>
      </c>
      <c r="C663" s="53" t="n">
        <v>1317606</v>
      </c>
      <c r="D663" s="52" t="s">
        <v>1586</v>
      </c>
      <c r="E663" s="52" t="s">
        <v>1587</v>
      </c>
      <c r="F663" s="54" t="n">
        <v>2</v>
      </c>
      <c r="G663" s="55" t="n">
        <v>1980</v>
      </c>
      <c r="H663" s="55" t="n">
        <v>990</v>
      </c>
      <c r="I663" s="55" t="n">
        <v>990</v>
      </c>
      <c r="J663" s="52" t="s">
        <v>5816</v>
      </c>
      <c r="K663" s="56" t="n">
        <v>1</v>
      </c>
      <c r="L663" s="52" t="s">
        <v>5816</v>
      </c>
      <c r="M663" s="52" t="s">
        <v>54</v>
      </c>
    </row>
    <row r="664" customFormat="false" ht="17.25" hidden="false" customHeight="true" outlineLevel="0" collapsed="false">
      <c r="A664" s="52" t="s">
        <v>5777</v>
      </c>
      <c r="B664" s="52" t="s">
        <v>5813</v>
      </c>
      <c r="C664" s="53" t="n">
        <v>1475784</v>
      </c>
      <c r="D664" s="52" t="s">
        <v>1588</v>
      </c>
      <c r="E664" s="52" t="s">
        <v>1589</v>
      </c>
      <c r="F664" s="54" t="n">
        <v>10</v>
      </c>
      <c r="G664" s="55" t="n">
        <v>1980</v>
      </c>
      <c r="H664" s="55" t="n">
        <v>198</v>
      </c>
      <c r="I664" s="55" t="n">
        <v>198</v>
      </c>
      <c r="J664" s="52" t="s">
        <v>5816</v>
      </c>
      <c r="K664" s="56" t="n">
        <v>1</v>
      </c>
      <c r="L664" s="52" t="s">
        <v>5816</v>
      </c>
      <c r="M664" s="52" t="s">
        <v>334</v>
      </c>
    </row>
    <row r="665" customFormat="false" ht="17.25" hidden="false" customHeight="true" outlineLevel="0" collapsed="false">
      <c r="A665" s="52" t="s">
        <v>5777</v>
      </c>
      <c r="B665" s="52" t="s">
        <v>5813</v>
      </c>
      <c r="C665" s="53" t="n">
        <v>56122</v>
      </c>
      <c r="D665" s="52" t="s">
        <v>1590</v>
      </c>
      <c r="E665" s="52" t="s">
        <v>1591</v>
      </c>
      <c r="F665" s="54" t="n">
        <v>80</v>
      </c>
      <c r="G665" s="55" t="n">
        <v>1979.99</v>
      </c>
      <c r="H665" s="55" t="n">
        <v>24.7499</v>
      </c>
      <c r="I665" s="55" t="n">
        <v>2.8</v>
      </c>
      <c r="J665" s="52" t="s">
        <v>5816</v>
      </c>
      <c r="K665" s="56" t="n">
        <v>1</v>
      </c>
      <c r="L665" s="52" t="s">
        <v>5816</v>
      </c>
      <c r="M665" s="52" t="s">
        <v>100</v>
      </c>
    </row>
    <row r="666" customFormat="false" ht="17.25" hidden="false" customHeight="true" outlineLevel="0" collapsed="false">
      <c r="A666" s="52" t="s">
        <v>5777</v>
      </c>
      <c r="B666" s="52" t="s">
        <v>5813</v>
      </c>
      <c r="C666" s="53" t="n">
        <v>553351</v>
      </c>
      <c r="D666" s="52" t="s">
        <v>1592</v>
      </c>
      <c r="E666" s="52" t="s">
        <v>1593</v>
      </c>
      <c r="F666" s="54" t="n">
        <v>1</v>
      </c>
      <c r="G666" s="55" t="n">
        <v>1977.6</v>
      </c>
      <c r="H666" s="55" t="n">
        <v>1977.6</v>
      </c>
      <c r="I666" s="55" t="n">
        <v>1977.6</v>
      </c>
      <c r="J666" s="52" t="s">
        <v>5816</v>
      </c>
      <c r="K666" s="56" t="n">
        <v>1</v>
      </c>
      <c r="L666" s="52" t="s">
        <v>5816</v>
      </c>
      <c r="M666" s="52" t="s">
        <v>54</v>
      </c>
    </row>
    <row r="667" customFormat="false" ht="17.25" hidden="false" customHeight="true" outlineLevel="0" collapsed="false">
      <c r="A667" s="52" t="s">
        <v>5777</v>
      </c>
      <c r="B667" s="52" t="s">
        <v>5813</v>
      </c>
      <c r="C667" s="53" t="n">
        <v>18819</v>
      </c>
      <c r="D667" s="52" t="s">
        <v>1594</v>
      </c>
      <c r="E667" s="52" t="s">
        <v>1595</v>
      </c>
      <c r="F667" s="54" t="n">
        <v>65</v>
      </c>
      <c r="G667" s="55" t="n">
        <v>1974.6</v>
      </c>
      <c r="H667" s="55" t="n">
        <v>30.3785</v>
      </c>
      <c r="I667" s="55" t="n">
        <v>29.99</v>
      </c>
      <c r="J667" s="52" t="s">
        <v>5831</v>
      </c>
      <c r="K667" s="56" t="n">
        <v>1</v>
      </c>
      <c r="L667" s="52" t="s">
        <v>5831</v>
      </c>
      <c r="M667" s="52" t="s">
        <v>247</v>
      </c>
    </row>
    <row r="668" customFormat="false" ht="17.25" hidden="false" customHeight="true" outlineLevel="0" collapsed="false">
      <c r="A668" s="52" t="s">
        <v>5777</v>
      </c>
      <c r="B668" s="52" t="s">
        <v>5813</v>
      </c>
      <c r="C668" s="53" t="n">
        <v>137402</v>
      </c>
      <c r="D668" s="52" t="s">
        <v>1596</v>
      </c>
      <c r="E668" s="52" t="s">
        <v>1597</v>
      </c>
      <c r="F668" s="54" t="n">
        <v>65</v>
      </c>
      <c r="G668" s="55" t="n">
        <v>1966.35</v>
      </c>
      <c r="H668" s="55" t="n">
        <v>30.2515</v>
      </c>
      <c r="I668" s="55" t="n">
        <v>26</v>
      </c>
      <c r="J668" s="52" t="s">
        <v>5816</v>
      </c>
      <c r="K668" s="56" t="n">
        <v>1</v>
      </c>
      <c r="L668" s="52" t="s">
        <v>5816</v>
      </c>
      <c r="M668" s="52" t="s">
        <v>247</v>
      </c>
    </row>
    <row r="669" customFormat="false" ht="17.25" hidden="false" customHeight="true" outlineLevel="0" collapsed="false">
      <c r="A669" s="52" t="s">
        <v>5777</v>
      </c>
      <c r="B669" s="52" t="s">
        <v>5813</v>
      </c>
      <c r="C669" s="53" t="n">
        <v>946742</v>
      </c>
      <c r="D669" s="52" t="s">
        <v>1598</v>
      </c>
      <c r="E669" s="52" t="s">
        <v>1599</v>
      </c>
      <c r="F669" s="54" t="n">
        <v>20</v>
      </c>
      <c r="G669" s="55" t="n">
        <v>1954</v>
      </c>
      <c r="H669" s="55" t="n">
        <v>97.7</v>
      </c>
      <c r="I669" s="55" t="n">
        <v>97.7</v>
      </c>
      <c r="J669" s="52" t="s">
        <v>5816</v>
      </c>
      <c r="K669" s="56" t="n">
        <v>1</v>
      </c>
      <c r="L669" s="52" t="s">
        <v>5816</v>
      </c>
      <c r="M669" s="52" t="s">
        <v>835</v>
      </c>
    </row>
    <row r="670" customFormat="false" ht="17.25" hidden="false" customHeight="true" outlineLevel="0" collapsed="false">
      <c r="A670" s="52" t="s">
        <v>5777</v>
      </c>
      <c r="B670" s="52" t="s">
        <v>5813</v>
      </c>
      <c r="C670" s="53" t="n">
        <v>22728</v>
      </c>
      <c r="D670" s="52" t="s">
        <v>1600</v>
      </c>
      <c r="E670" s="52" t="s">
        <v>1601</v>
      </c>
      <c r="F670" s="54" t="n">
        <v>10</v>
      </c>
      <c r="G670" s="55" t="n">
        <v>1949</v>
      </c>
      <c r="H670" s="55" t="n">
        <v>194.9</v>
      </c>
      <c r="I670" s="55" t="n">
        <v>194.9</v>
      </c>
      <c r="J670" s="52" t="s">
        <v>5816</v>
      </c>
      <c r="K670" s="56" t="n">
        <v>1</v>
      </c>
      <c r="L670" s="52" t="s">
        <v>5816</v>
      </c>
      <c r="M670" s="52" t="s">
        <v>130</v>
      </c>
    </row>
    <row r="671" customFormat="false" ht="17.25" hidden="false" customHeight="true" outlineLevel="0" collapsed="false">
      <c r="A671" s="52" t="s">
        <v>5777</v>
      </c>
      <c r="B671" s="52" t="s">
        <v>5813</v>
      </c>
      <c r="C671" s="53" t="n">
        <v>1388091</v>
      </c>
      <c r="D671" s="52" t="s">
        <v>1602</v>
      </c>
      <c r="E671" s="52" t="s">
        <v>1603</v>
      </c>
      <c r="F671" s="54" t="n">
        <v>65</v>
      </c>
      <c r="G671" s="55" t="n">
        <v>1947.59</v>
      </c>
      <c r="H671" s="55" t="n">
        <v>29.9629</v>
      </c>
      <c r="I671" s="55" t="n">
        <v>196</v>
      </c>
      <c r="J671" s="52" t="s">
        <v>5816</v>
      </c>
      <c r="K671" s="56" t="n">
        <v>1</v>
      </c>
      <c r="L671" s="52" t="s">
        <v>5816</v>
      </c>
      <c r="M671" s="52" t="s">
        <v>38</v>
      </c>
    </row>
    <row r="672" customFormat="false" ht="17.25" hidden="false" customHeight="true" outlineLevel="0" collapsed="false">
      <c r="A672" s="52" t="s">
        <v>5777</v>
      </c>
      <c r="B672" s="52" t="s">
        <v>5813</v>
      </c>
      <c r="C672" s="53" t="n">
        <v>32885</v>
      </c>
      <c r="D672" s="52" t="s">
        <v>1604</v>
      </c>
      <c r="E672" s="52" t="s">
        <v>1605</v>
      </c>
      <c r="F672" s="54" t="n">
        <v>1</v>
      </c>
      <c r="G672" s="55" t="n">
        <v>1946.44</v>
      </c>
      <c r="H672" s="55" t="n">
        <v>1946.44</v>
      </c>
      <c r="I672" s="55" t="n">
        <v>1946.44</v>
      </c>
      <c r="J672" s="52" t="s">
        <v>5816</v>
      </c>
      <c r="K672" s="56" t="n">
        <v>1</v>
      </c>
      <c r="L672" s="52" t="s">
        <v>5816</v>
      </c>
      <c r="M672" s="52" t="s">
        <v>113</v>
      </c>
    </row>
    <row r="673" customFormat="false" ht="17.25" hidden="false" customHeight="true" outlineLevel="0" collapsed="false">
      <c r="A673" s="52" t="s">
        <v>5777</v>
      </c>
      <c r="B673" s="52" t="s">
        <v>5813</v>
      </c>
      <c r="C673" s="53" t="n">
        <v>1326640</v>
      </c>
      <c r="D673" s="52" t="s">
        <v>1606</v>
      </c>
      <c r="E673" s="52" t="s">
        <v>5875</v>
      </c>
      <c r="F673" s="54" t="n">
        <v>40</v>
      </c>
      <c r="G673" s="55" t="n">
        <v>1940.8</v>
      </c>
      <c r="H673" s="55" t="n">
        <v>48.52</v>
      </c>
      <c r="I673" s="55" t="n">
        <v>48.52</v>
      </c>
      <c r="J673" s="52" t="s">
        <v>5818</v>
      </c>
      <c r="K673" s="56" t="n">
        <v>1</v>
      </c>
      <c r="L673" s="52" t="s">
        <v>5816</v>
      </c>
      <c r="M673" s="52" t="s">
        <v>38</v>
      </c>
    </row>
    <row r="674" customFormat="false" ht="17.25" hidden="false" customHeight="true" outlineLevel="0" collapsed="false">
      <c r="A674" s="52" t="s">
        <v>5777</v>
      </c>
      <c r="B674" s="52" t="s">
        <v>5813</v>
      </c>
      <c r="C674" s="53" t="n">
        <v>1014562</v>
      </c>
      <c r="D674" s="52" t="s">
        <v>1608</v>
      </c>
      <c r="E674" s="52" t="s">
        <v>5876</v>
      </c>
      <c r="F674" s="54" t="n">
        <v>2</v>
      </c>
      <c r="G674" s="55" t="n">
        <v>1940</v>
      </c>
      <c r="H674" s="55" t="n">
        <v>970</v>
      </c>
      <c r="I674" s="55" t="n">
        <v>970</v>
      </c>
      <c r="J674" s="52" t="s">
        <v>5816</v>
      </c>
      <c r="K674" s="56" t="n">
        <v>1</v>
      </c>
      <c r="L674" s="52" t="s">
        <v>5816</v>
      </c>
      <c r="M674" s="52" t="s">
        <v>130</v>
      </c>
    </row>
    <row r="675" customFormat="false" ht="17.25" hidden="false" customHeight="true" outlineLevel="0" collapsed="false">
      <c r="A675" s="52" t="s">
        <v>5777</v>
      </c>
      <c r="B675" s="52" t="s">
        <v>5813</v>
      </c>
      <c r="C675" s="53" t="n">
        <v>1383664</v>
      </c>
      <c r="D675" s="52" t="s">
        <v>1610</v>
      </c>
      <c r="E675" s="52" t="s">
        <v>1611</v>
      </c>
      <c r="F675" s="54" t="n">
        <v>10</v>
      </c>
      <c r="G675" s="55" t="n">
        <v>1936.62</v>
      </c>
      <c r="H675" s="55" t="n">
        <v>193.662</v>
      </c>
      <c r="I675" s="55" t="n">
        <v>177.21</v>
      </c>
      <c r="J675" s="52" t="s">
        <v>5816</v>
      </c>
      <c r="K675" s="56" t="n">
        <v>1</v>
      </c>
      <c r="L675" s="52" t="s">
        <v>5816</v>
      </c>
      <c r="M675" s="52" t="s">
        <v>38</v>
      </c>
    </row>
    <row r="676" customFormat="false" ht="17.25" hidden="false" customHeight="true" outlineLevel="0" collapsed="false">
      <c r="A676" s="52" t="s">
        <v>5777</v>
      </c>
      <c r="B676" s="52" t="s">
        <v>5813</v>
      </c>
      <c r="C676" s="53" t="n">
        <v>18842</v>
      </c>
      <c r="D676" s="52" t="s">
        <v>1612</v>
      </c>
      <c r="E676" s="52" t="s">
        <v>1613</v>
      </c>
      <c r="F676" s="54" t="n">
        <v>179</v>
      </c>
      <c r="G676" s="55" t="n">
        <v>1924.14</v>
      </c>
      <c r="H676" s="55" t="n">
        <v>10.7494</v>
      </c>
      <c r="I676" s="55" t="n">
        <v>12.135</v>
      </c>
      <c r="J676" s="52" t="s">
        <v>5816</v>
      </c>
      <c r="K676" s="56" t="n">
        <v>1</v>
      </c>
      <c r="L676" s="52" t="s">
        <v>5816</v>
      </c>
      <c r="M676" s="52" t="s">
        <v>247</v>
      </c>
    </row>
    <row r="677" customFormat="false" ht="17.25" hidden="false" customHeight="true" outlineLevel="0" collapsed="false">
      <c r="A677" s="52" t="s">
        <v>5777</v>
      </c>
      <c r="B677" s="52" t="s">
        <v>5813</v>
      </c>
      <c r="C677" s="53" t="n">
        <v>232424</v>
      </c>
      <c r="D677" s="52" t="s">
        <v>1614</v>
      </c>
      <c r="E677" s="52" t="s">
        <v>1615</v>
      </c>
      <c r="F677" s="54" t="n">
        <v>5</v>
      </c>
      <c r="G677" s="55" t="n">
        <v>1904.9</v>
      </c>
      <c r="H677" s="55" t="n">
        <v>380.98</v>
      </c>
      <c r="I677" s="55" t="n">
        <v>104.32</v>
      </c>
      <c r="J677" s="52" t="s">
        <v>5816</v>
      </c>
      <c r="K677" s="56" t="n">
        <v>1</v>
      </c>
      <c r="L677" s="52" t="s">
        <v>5816</v>
      </c>
      <c r="M677" s="52" t="s">
        <v>38</v>
      </c>
    </row>
    <row r="678" customFormat="false" ht="17.25" hidden="false" customHeight="true" outlineLevel="0" collapsed="false">
      <c r="A678" s="52" t="s">
        <v>5777</v>
      </c>
      <c r="B678" s="52" t="s">
        <v>5813</v>
      </c>
      <c r="C678" s="53" t="n">
        <v>554895</v>
      </c>
      <c r="D678" s="52" t="s">
        <v>1616</v>
      </c>
      <c r="E678" s="52" t="s">
        <v>1617</v>
      </c>
      <c r="F678" s="54" t="n">
        <v>40</v>
      </c>
      <c r="G678" s="55" t="n">
        <v>1903.44</v>
      </c>
      <c r="H678" s="55" t="n">
        <v>47.586</v>
      </c>
      <c r="I678" s="55" t="n">
        <v>19.98</v>
      </c>
      <c r="J678" s="52" t="s">
        <v>5816</v>
      </c>
      <c r="K678" s="56" t="n">
        <v>1</v>
      </c>
      <c r="L678" s="52" t="s">
        <v>5816</v>
      </c>
      <c r="M678" s="52" t="s">
        <v>1618</v>
      </c>
    </row>
    <row r="679" customFormat="false" ht="17.25" hidden="false" customHeight="true" outlineLevel="0" collapsed="false">
      <c r="A679" s="52" t="s">
        <v>5777</v>
      </c>
      <c r="B679" s="52" t="s">
        <v>5813</v>
      </c>
      <c r="C679" s="53" t="n">
        <v>1679923</v>
      </c>
      <c r="D679" s="52" t="s">
        <v>1619</v>
      </c>
      <c r="E679" s="52" t="s">
        <v>1620</v>
      </c>
      <c r="F679" s="54" t="n">
        <v>2</v>
      </c>
      <c r="G679" s="55" t="n">
        <v>1903.2</v>
      </c>
      <c r="H679" s="55" t="n">
        <v>951.6</v>
      </c>
      <c r="I679" s="55" t="n">
        <v>951.6</v>
      </c>
      <c r="J679" s="52" t="s">
        <v>5816</v>
      </c>
      <c r="K679" s="56" t="n">
        <v>1</v>
      </c>
      <c r="L679" s="52" t="s">
        <v>5816</v>
      </c>
      <c r="M679" s="52" t="s">
        <v>705</v>
      </c>
    </row>
    <row r="680" customFormat="false" ht="17.25" hidden="false" customHeight="true" outlineLevel="0" collapsed="false">
      <c r="A680" s="52" t="s">
        <v>5777</v>
      </c>
      <c r="B680" s="52" t="s">
        <v>5813</v>
      </c>
      <c r="C680" s="53" t="n">
        <v>1464771</v>
      </c>
      <c r="D680" s="52" t="s">
        <v>1621</v>
      </c>
      <c r="E680" s="52" t="s">
        <v>5877</v>
      </c>
      <c r="F680" s="54" t="n">
        <v>11.89</v>
      </c>
      <c r="G680" s="55" t="n">
        <v>1902.99</v>
      </c>
      <c r="H680" s="55" t="n">
        <v>160.0496</v>
      </c>
      <c r="I680" s="55" t="n">
        <v>160.0496</v>
      </c>
      <c r="J680" s="52" t="s">
        <v>5814</v>
      </c>
      <c r="K680" s="56" t="n">
        <v>1</v>
      </c>
      <c r="L680" s="52" t="s">
        <v>5814</v>
      </c>
      <c r="M680" s="52" t="s">
        <v>133</v>
      </c>
    </row>
    <row r="681" customFormat="false" ht="17.25" hidden="false" customHeight="true" outlineLevel="0" collapsed="false">
      <c r="A681" s="52" t="s">
        <v>5777</v>
      </c>
      <c r="B681" s="52" t="s">
        <v>5813</v>
      </c>
      <c r="C681" s="53" t="n">
        <v>1386768</v>
      </c>
      <c r="D681" s="52" t="s">
        <v>1623</v>
      </c>
      <c r="E681" s="52" t="s">
        <v>1624</v>
      </c>
      <c r="F681" s="54" t="n">
        <v>6</v>
      </c>
      <c r="G681" s="55" t="n">
        <v>1900.43</v>
      </c>
      <c r="H681" s="55" t="n">
        <v>316.7383</v>
      </c>
      <c r="I681" s="55" t="n">
        <v>272.995</v>
      </c>
      <c r="J681" s="52" t="s">
        <v>5816</v>
      </c>
      <c r="K681" s="56" t="n">
        <v>1</v>
      </c>
      <c r="L681" s="52" t="s">
        <v>5816</v>
      </c>
      <c r="M681" s="52" t="s">
        <v>160</v>
      </c>
    </row>
    <row r="682" customFormat="false" ht="17.25" hidden="false" customHeight="true" outlineLevel="0" collapsed="false">
      <c r="A682" s="52" t="s">
        <v>5777</v>
      </c>
      <c r="B682" s="52" t="s">
        <v>5813</v>
      </c>
      <c r="C682" s="53" t="n">
        <v>1018050</v>
      </c>
      <c r="D682" s="52" t="s">
        <v>1625</v>
      </c>
      <c r="E682" s="52" t="s">
        <v>1626</v>
      </c>
      <c r="F682" s="54" t="n">
        <v>1</v>
      </c>
      <c r="G682" s="55" t="n">
        <v>1900</v>
      </c>
      <c r="H682" s="55" t="n">
        <v>1900</v>
      </c>
      <c r="I682" s="55" t="n">
        <v>1900</v>
      </c>
      <c r="J682" s="52" t="s">
        <v>5816</v>
      </c>
      <c r="K682" s="56" t="n">
        <v>1</v>
      </c>
      <c r="L682" s="52" t="s">
        <v>5816</v>
      </c>
      <c r="M682" s="52" t="s">
        <v>75</v>
      </c>
    </row>
    <row r="683" customFormat="false" ht="17.25" hidden="false" customHeight="true" outlineLevel="0" collapsed="false">
      <c r="A683" s="52" t="s">
        <v>5777</v>
      </c>
      <c r="B683" s="52" t="s">
        <v>5813</v>
      </c>
      <c r="C683" s="53" t="n">
        <v>1665308</v>
      </c>
      <c r="D683" s="52" t="s">
        <v>1627</v>
      </c>
      <c r="E683" s="52" t="s">
        <v>1628</v>
      </c>
      <c r="F683" s="54" t="n">
        <v>1</v>
      </c>
      <c r="G683" s="55" t="n">
        <v>1898</v>
      </c>
      <c r="H683" s="55" t="n">
        <v>1898</v>
      </c>
      <c r="I683" s="55" t="n">
        <v>1898</v>
      </c>
      <c r="J683" s="52" t="s">
        <v>5816</v>
      </c>
      <c r="K683" s="56" t="n">
        <v>1</v>
      </c>
      <c r="L683" s="52" t="s">
        <v>5816</v>
      </c>
      <c r="M683" s="52" t="s">
        <v>75</v>
      </c>
    </row>
    <row r="684" customFormat="false" ht="17.25" hidden="false" customHeight="true" outlineLevel="0" collapsed="false">
      <c r="A684" s="52" t="s">
        <v>5777</v>
      </c>
      <c r="B684" s="52" t="s">
        <v>5813</v>
      </c>
      <c r="C684" s="53" t="n">
        <v>831927</v>
      </c>
      <c r="D684" s="52" t="s">
        <v>1629</v>
      </c>
      <c r="E684" s="52" t="s">
        <v>1630</v>
      </c>
      <c r="F684" s="54" t="n">
        <v>17</v>
      </c>
      <c r="G684" s="55" t="n">
        <v>1897.88</v>
      </c>
      <c r="H684" s="55" t="n">
        <v>111.64</v>
      </c>
      <c r="I684" s="55" t="n">
        <v>111.64</v>
      </c>
      <c r="J684" s="52" t="s">
        <v>5816</v>
      </c>
      <c r="K684" s="56" t="n">
        <v>1</v>
      </c>
      <c r="L684" s="52" t="s">
        <v>5816</v>
      </c>
      <c r="M684" s="52" t="s">
        <v>247</v>
      </c>
    </row>
    <row r="685" customFormat="false" ht="17.25" hidden="false" customHeight="true" outlineLevel="0" collapsed="false">
      <c r="A685" s="52" t="s">
        <v>5777</v>
      </c>
      <c r="B685" s="52" t="s">
        <v>5813</v>
      </c>
      <c r="C685" s="53" t="n">
        <v>65183</v>
      </c>
      <c r="D685" s="52" t="s">
        <v>1631</v>
      </c>
      <c r="E685" s="52" t="s">
        <v>1632</v>
      </c>
      <c r="F685" s="54" t="n">
        <v>36</v>
      </c>
      <c r="G685" s="55" t="n">
        <v>1896.79</v>
      </c>
      <c r="H685" s="55" t="n">
        <v>52.6886</v>
      </c>
      <c r="I685" s="55" t="n">
        <v>49.3395</v>
      </c>
      <c r="J685" s="52" t="s">
        <v>5816</v>
      </c>
      <c r="K685" s="56" t="n">
        <v>1</v>
      </c>
      <c r="L685" s="52" t="s">
        <v>5816</v>
      </c>
      <c r="M685" s="52" t="s">
        <v>247</v>
      </c>
    </row>
    <row r="686" customFormat="false" ht="17.25" hidden="false" customHeight="true" outlineLevel="0" collapsed="false">
      <c r="A686" s="52" t="s">
        <v>5777</v>
      </c>
      <c r="B686" s="52" t="s">
        <v>5813</v>
      </c>
      <c r="C686" s="53" t="n">
        <v>1475927</v>
      </c>
      <c r="D686" s="52" t="s">
        <v>1028</v>
      </c>
      <c r="E686" s="52" t="s">
        <v>1029</v>
      </c>
      <c r="F686" s="54" t="n">
        <v>1</v>
      </c>
      <c r="G686" s="55" t="n">
        <v>1890</v>
      </c>
      <c r="H686" s="55" t="n">
        <v>1890</v>
      </c>
      <c r="I686" s="55" t="n">
        <v>1890</v>
      </c>
      <c r="J686" s="52" t="s">
        <v>5816</v>
      </c>
      <c r="K686" s="56" t="n">
        <v>1</v>
      </c>
      <c r="L686" s="52" t="s">
        <v>5816</v>
      </c>
      <c r="M686" s="52" t="s">
        <v>35</v>
      </c>
    </row>
    <row r="687" customFormat="false" ht="17.25" hidden="false" customHeight="true" outlineLevel="0" collapsed="false">
      <c r="A687" s="52" t="s">
        <v>5777</v>
      </c>
      <c r="B687" s="52" t="s">
        <v>5813</v>
      </c>
      <c r="C687" s="53" t="n">
        <v>1654528</v>
      </c>
      <c r="D687" s="52" t="s">
        <v>1633</v>
      </c>
      <c r="E687" s="52" t="s">
        <v>1634</v>
      </c>
      <c r="F687" s="54" t="n">
        <v>10</v>
      </c>
      <c r="G687" s="55" t="n">
        <v>1883.07</v>
      </c>
      <c r="H687" s="55" t="n">
        <v>188.307</v>
      </c>
      <c r="I687" s="55" t="n">
        <v>188.307</v>
      </c>
      <c r="J687" s="52" t="s">
        <v>5816</v>
      </c>
      <c r="K687" s="56" t="n">
        <v>1</v>
      </c>
      <c r="L687" s="52" t="s">
        <v>5816</v>
      </c>
      <c r="M687" s="52" t="s">
        <v>217</v>
      </c>
    </row>
    <row r="688" customFormat="false" ht="17.25" hidden="false" customHeight="true" outlineLevel="0" collapsed="false">
      <c r="A688" s="52" t="s">
        <v>5777</v>
      </c>
      <c r="B688" s="52" t="s">
        <v>5813</v>
      </c>
      <c r="C688" s="53" t="n">
        <v>1661828</v>
      </c>
      <c r="D688" s="52" t="s">
        <v>1635</v>
      </c>
      <c r="E688" s="52" t="s">
        <v>1636</v>
      </c>
      <c r="F688" s="54" t="n">
        <v>9</v>
      </c>
      <c r="G688" s="55" t="n">
        <v>1858.5</v>
      </c>
      <c r="H688" s="55" t="n">
        <v>206.5</v>
      </c>
      <c r="I688" s="55" t="n">
        <v>206.5</v>
      </c>
      <c r="J688" s="52" t="s">
        <v>5816</v>
      </c>
      <c r="K688" s="56" t="n">
        <v>1</v>
      </c>
      <c r="L688" s="52" t="s">
        <v>5816</v>
      </c>
      <c r="M688" s="52" t="s">
        <v>38</v>
      </c>
    </row>
    <row r="689" customFormat="false" ht="17.25" hidden="false" customHeight="true" outlineLevel="0" collapsed="false">
      <c r="A689" s="52" t="s">
        <v>5777</v>
      </c>
      <c r="B689" s="52" t="s">
        <v>5813</v>
      </c>
      <c r="C689" s="53" t="n">
        <v>23282</v>
      </c>
      <c r="D689" s="52" t="s">
        <v>1637</v>
      </c>
      <c r="E689" s="52" t="s">
        <v>1638</v>
      </c>
      <c r="F689" s="54" t="n">
        <v>64</v>
      </c>
      <c r="G689" s="55" t="n">
        <v>1856</v>
      </c>
      <c r="H689" s="55" t="n">
        <v>29</v>
      </c>
      <c r="I689" s="55" t="n">
        <v>29</v>
      </c>
      <c r="J689" s="52" t="s">
        <v>5816</v>
      </c>
      <c r="K689" s="56" t="n">
        <v>1</v>
      </c>
      <c r="L689" s="52" t="s">
        <v>5816</v>
      </c>
      <c r="M689" s="52" t="s">
        <v>360</v>
      </c>
    </row>
    <row r="690" customFormat="false" ht="17.25" hidden="false" customHeight="true" outlineLevel="0" collapsed="false">
      <c r="A690" s="52" t="s">
        <v>5777</v>
      </c>
      <c r="B690" s="52" t="s">
        <v>5813</v>
      </c>
      <c r="C690" s="53" t="n">
        <v>747919</v>
      </c>
      <c r="D690" s="52" t="s">
        <v>1639</v>
      </c>
      <c r="E690" s="52" t="s">
        <v>1640</v>
      </c>
      <c r="F690" s="54" t="n">
        <v>7</v>
      </c>
      <c r="G690" s="55" t="n">
        <v>1855</v>
      </c>
      <c r="H690" s="55" t="n">
        <v>265</v>
      </c>
      <c r="I690" s="55" t="n">
        <v>265</v>
      </c>
      <c r="J690" s="52" t="s">
        <v>5816</v>
      </c>
      <c r="K690" s="56" t="n">
        <v>1</v>
      </c>
      <c r="L690" s="52" t="s">
        <v>5816</v>
      </c>
      <c r="M690" s="52" t="s">
        <v>570</v>
      </c>
    </row>
    <row r="691" customFormat="false" ht="17.25" hidden="false" customHeight="true" outlineLevel="0" collapsed="false">
      <c r="A691" s="52" t="s">
        <v>5777</v>
      </c>
      <c r="B691" s="52" t="s">
        <v>5813</v>
      </c>
      <c r="C691" s="53" t="n">
        <v>747920</v>
      </c>
      <c r="D691" s="52" t="s">
        <v>1641</v>
      </c>
      <c r="E691" s="52" t="s">
        <v>1642</v>
      </c>
      <c r="F691" s="54" t="n">
        <v>7</v>
      </c>
      <c r="G691" s="55" t="n">
        <v>1855</v>
      </c>
      <c r="H691" s="55" t="n">
        <v>265</v>
      </c>
      <c r="I691" s="55" t="n">
        <v>265</v>
      </c>
      <c r="J691" s="52" t="s">
        <v>5816</v>
      </c>
      <c r="K691" s="56" t="n">
        <v>1</v>
      </c>
      <c r="L691" s="52" t="s">
        <v>5816</v>
      </c>
      <c r="M691" s="52" t="s">
        <v>570</v>
      </c>
    </row>
    <row r="692" customFormat="false" ht="17.25" hidden="false" customHeight="true" outlineLevel="0" collapsed="false">
      <c r="A692" s="52" t="s">
        <v>5777</v>
      </c>
      <c r="B692" s="52" t="s">
        <v>5813</v>
      </c>
      <c r="C692" s="53" t="n">
        <v>747922</v>
      </c>
      <c r="D692" s="52" t="s">
        <v>1643</v>
      </c>
      <c r="E692" s="52" t="s">
        <v>5878</v>
      </c>
      <c r="F692" s="54" t="n">
        <v>7</v>
      </c>
      <c r="G692" s="55" t="n">
        <v>1855</v>
      </c>
      <c r="H692" s="55" t="n">
        <v>265</v>
      </c>
      <c r="I692" s="55" t="n">
        <v>265</v>
      </c>
      <c r="J692" s="52" t="s">
        <v>5816</v>
      </c>
      <c r="K692" s="56" t="n">
        <v>1</v>
      </c>
      <c r="L692" s="52" t="s">
        <v>5816</v>
      </c>
      <c r="M692" s="52" t="s">
        <v>570</v>
      </c>
    </row>
    <row r="693" customFormat="false" ht="17.25" hidden="false" customHeight="true" outlineLevel="0" collapsed="false">
      <c r="A693" s="52" t="s">
        <v>5777</v>
      </c>
      <c r="B693" s="52" t="s">
        <v>5813</v>
      </c>
      <c r="C693" s="53" t="n">
        <v>221391</v>
      </c>
      <c r="D693" s="52" t="s">
        <v>1645</v>
      </c>
      <c r="E693" s="52" t="s">
        <v>1646</v>
      </c>
      <c r="F693" s="54" t="n">
        <v>21</v>
      </c>
      <c r="G693" s="55" t="n">
        <v>1848</v>
      </c>
      <c r="H693" s="55" t="n">
        <v>88</v>
      </c>
      <c r="I693" s="55" t="n">
        <v>96</v>
      </c>
      <c r="J693" s="52" t="s">
        <v>5816</v>
      </c>
      <c r="K693" s="56" t="n">
        <v>1</v>
      </c>
      <c r="L693" s="52" t="s">
        <v>5816</v>
      </c>
      <c r="M693" s="52" t="s">
        <v>130</v>
      </c>
    </row>
    <row r="694" customFormat="false" ht="17.25" hidden="false" customHeight="true" outlineLevel="0" collapsed="false">
      <c r="A694" s="52" t="s">
        <v>5777</v>
      </c>
      <c r="B694" s="52" t="s">
        <v>5813</v>
      </c>
      <c r="C694" s="53" t="n">
        <v>12608</v>
      </c>
      <c r="D694" s="52" t="s">
        <v>1647</v>
      </c>
      <c r="E694" s="52" t="s">
        <v>1648</v>
      </c>
      <c r="F694" s="54" t="n">
        <v>17</v>
      </c>
      <c r="G694" s="55" t="n">
        <v>1844.84</v>
      </c>
      <c r="H694" s="55" t="n">
        <v>108.52</v>
      </c>
      <c r="I694" s="55" t="n">
        <v>108.52</v>
      </c>
      <c r="J694" s="52" t="s">
        <v>5816</v>
      </c>
      <c r="K694" s="56" t="n">
        <v>1</v>
      </c>
      <c r="L694" s="52" t="s">
        <v>5816</v>
      </c>
      <c r="M694" s="52" t="s">
        <v>38</v>
      </c>
    </row>
    <row r="695" customFormat="false" ht="17.25" hidden="false" customHeight="true" outlineLevel="0" collapsed="false">
      <c r="A695" s="52" t="s">
        <v>5777</v>
      </c>
      <c r="B695" s="52" t="s">
        <v>5813</v>
      </c>
      <c r="C695" s="53" t="n">
        <v>1662290</v>
      </c>
      <c r="D695" s="52" t="s">
        <v>1649</v>
      </c>
      <c r="E695" s="52" t="s">
        <v>1650</v>
      </c>
      <c r="F695" s="54" t="n">
        <v>11</v>
      </c>
      <c r="G695" s="55" t="n">
        <v>1840.41</v>
      </c>
      <c r="H695" s="55" t="n">
        <v>167.31</v>
      </c>
      <c r="I695" s="55" t="n">
        <v>167.31</v>
      </c>
      <c r="J695" s="52" t="s">
        <v>5816</v>
      </c>
      <c r="K695" s="56" t="n">
        <v>1</v>
      </c>
      <c r="L695" s="52" t="s">
        <v>5816</v>
      </c>
      <c r="M695" s="52" t="s">
        <v>38</v>
      </c>
    </row>
    <row r="696" customFormat="false" ht="17.25" hidden="false" customHeight="true" outlineLevel="0" collapsed="false">
      <c r="A696" s="52" t="s">
        <v>5777</v>
      </c>
      <c r="B696" s="52" t="s">
        <v>5813</v>
      </c>
      <c r="C696" s="53" t="n">
        <v>1329841</v>
      </c>
      <c r="D696" s="52" t="s">
        <v>1651</v>
      </c>
      <c r="E696" s="52" t="s">
        <v>1652</v>
      </c>
      <c r="F696" s="54" t="n">
        <v>230</v>
      </c>
      <c r="G696" s="55" t="n">
        <v>1840</v>
      </c>
      <c r="H696" s="55" t="n">
        <v>8</v>
      </c>
      <c r="I696" s="55" t="n">
        <v>8</v>
      </c>
      <c r="J696" s="52" t="s">
        <v>5815</v>
      </c>
      <c r="K696" s="56" t="n">
        <v>1</v>
      </c>
      <c r="L696" s="52" t="s">
        <v>5815</v>
      </c>
      <c r="M696" s="52" t="s">
        <v>230</v>
      </c>
    </row>
    <row r="697" customFormat="false" ht="17.25" hidden="false" customHeight="true" outlineLevel="0" collapsed="false">
      <c r="A697" s="52" t="s">
        <v>5777</v>
      </c>
      <c r="B697" s="52" t="s">
        <v>5813</v>
      </c>
      <c r="C697" s="53" t="n">
        <v>1616856</v>
      </c>
      <c r="D697" s="52" t="s">
        <v>1653</v>
      </c>
      <c r="E697" s="52" t="s">
        <v>1654</v>
      </c>
      <c r="F697" s="54" t="n">
        <v>82</v>
      </c>
      <c r="G697" s="55" t="n">
        <v>1833</v>
      </c>
      <c r="H697" s="55" t="n">
        <v>22.3537</v>
      </c>
      <c r="I697" s="55" t="n">
        <v>27</v>
      </c>
      <c r="J697" s="52" t="s">
        <v>5816</v>
      </c>
      <c r="K697" s="56" t="n">
        <v>1</v>
      </c>
      <c r="L697" s="52" t="s">
        <v>5816</v>
      </c>
      <c r="M697" s="52" t="s">
        <v>38</v>
      </c>
    </row>
    <row r="698" customFormat="false" ht="17.25" hidden="false" customHeight="true" outlineLevel="0" collapsed="false">
      <c r="A698" s="52" t="s">
        <v>5777</v>
      </c>
      <c r="B698" s="52" t="s">
        <v>5813</v>
      </c>
      <c r="C698" s="53" t="n">
        <v>1463588</v>
      </c>
      <c r="D698" s="52" t="s">
        <v>1657</v>
      </c>
      <c r="E698" s="52" t="s">
        <v>1658</v>
      </c>
      <c r="F698" s="54" t="n">
        <v>20.7</v>
      </c>
      <c r="G698" s="55" t="n">
        <v>1818.8</v>
      </c>
      <c r="H698" s="55" t="n">
        <v>87.8647</v>
      </c>
      <c r="I698" s="55" t="n">
        <v>87.8647</v>
      </c>
      <c r="J698" s="52" t="s">
        <v>5814</v>
      </c>
      <c r="K698" s="56" t="n">
        <v>1</v>
      </c>
      <c r="L698" s="52" t="s">
        <v>5814</v>
      </c>
      <c r="M698" s="52" t="s">
        <v>38</v>
      </c>
    </row>
    <row r="699" customFormat="false" ht="17.25" hidden="false" customHeight="true" outlineLevel="0" collapsed="false">
      <c r="A699" s="52" t="s">
        <v>5777</v>
      </c>
      <c r="B699" s="52" t="s">
        <v>5813</v>
      </c>
      <c r="C699" s="53" t="n">
        <v>1485726</v>
      </c>
      <c r="D699" s="52" t="s">
        <v>1659</v>
      </c>
      <c r="E699" s="57" t="s">
        <v>5879</v>
      </c>
      <c r="F699" s="54" t="n">
        <v>8</v>
      </c>
      <c r="G699" s="55" t="n">
        <v>1804.97</v>
      </c>
      <c r="H699" s="55" t="n">
        <v>225.6213</v>
      </c>
      <c r="I699" s="55" t="n">
        <v>225.6213</v>
      </c>
      <c r="J699" s="52" t="s">
        <v>5816</v>
      </c>
      <c r="K699" s="56" t="n">
        <v>1</v>
      </c>
      <c r="L699" s="52" t="s">
        <v>5816</v>
      </c>
      <c r="M699" s="52" t="s">
        <v>38</v>
      </c>
    </row>
    <row r="700" customFormat="false" ht="17.25" hidden="false" customHeight="true" outlineLevel="0" collapsed="false">
      <c r="A700" s="52" t="s">
        <v>5777</v>
      </c>
      <c r="B700" s="52" t="s">
        <v>5813</v>
      </c>
      <c r="C700" s="53" t="n">
        <v>1080406</v>
      </c>
      <c r="D700" s="52" t="s">
        <v>1661</v>
      </c>
      <c r="E700" s="52" t="s">
        <v>1662</v>
      </c>
      <c r="F700" s="54" t="n">
        <v>5</v>
      </c>
      <c r="G700" s="55" t="n">
        <v>1800</v>
      </c>
      <c r="H700" s="55" t="n">
        <v>360</v>
      </c>
      <c r="I700" s="55" t="n">
        <v>360</v>
      </c>
      <c r="J700" s="52" t="s">
        <v>5816</v>
      </c>
      <c r="K700" s="56" t="n">
        <v>1</v>
      </c>
      <c r="L700" s="52" t="s">
        <v>5816</v>
      </c>
      <c r="M700" s="52" t="s">
        <v>1618</v>
      </c>
    </row>
    <row r="701" customFormat="false" ht="17.25" hidden="false" customHeight="true" outlineLevel="0" collapsed="false">
      <c r="A701" s="52" t="s">
        <v>5777</v>
      </c>
      <c r="B701" s="52" t="s">
        <v>5813</v>
      </c>
      <c r="C701" s="53" t="n">
        <v>1320460</v>
      </c>
      <c r="D701" s="52" t="s">
        <v>1663</v>
      </c>
      <c r="E701" s="52" t="s">
        <v>1664</v>
      </c>
      <c r="F701" s="54" t="n">
        <v>100</v>
      </c>
      <c r="G701" s="55" t="n">
        <v>1800</v>
      </c>
      <c r="H701" s="55" t="n">
        <v>18</v>
      </c>
      <c r="I701" s="55" t="n">
        <v>18</v>
      </c>
      <c r="J701" s="52" t="s">
        <v>5816</v>
      </c>
      <c r="K701" s="56" t="n">
        <v>1</v>
      </c>
      <c r="L701" s="52" t="s">
        <v>5816</v>
      </c>
      <c r="M701" s="52" t="s">
        <v>605</v>
      </c>
    </row>
    <row r="702" customFormat="false" ht="17.25" hidden="false" customHeight="true" outlineLevel="0" collapsed="false">
      <c r="A702" s="52" t="s">
        <v>5777</v>
      </c>
      <c r="B702" s="52" t="s">
        <v>5813</v>
      </c>
      <c r="C702" s="53" t="n">
        <v>1482757</v>
      </c>
      <c r="D702" s="52" t="s">
        <v>1665</v>
      </c>
      <c r="E702" s="52" t="s">
        <v>5880</v>
      </c>
      <c r="F702" s="54" t="n">
        <v>1050</v>
      </c>
      <c r="G702" s="55" t="n">
        <v>1785</v>
      </c>
      <c r="H702" s="55" t="n">
        <v>1.7</v>
      </c>
      <c r="I702" s="55" t="n">
        <v>1.7</v>
      </c>
      <c r="J702" s="52" t="s">
        <v>5816</v>
      </c>
      <c r="K702" s="56" t="n">
        <v>1</v>
      </c>
      <c r="L702" s="52" t="s">
        <v>5816</v>
      </c>
      <c r="M702" s="52" t="s">
        <v>100</v>
      </c>
    </row>
    <row r="703" customFormat="false" ht="17.25" hidden="false" customHeight="true" outlineLevel="0" collapsed="false">
      <c r="A703" s="52" t="s">
        <v>5777</v>
      </c>
      <c r="B703" s="52" t="s">
        <v>5813</v>
      </c>
      <c r="C703" s="53" t="n">
        <v>1318542</v>
      </c>
      <c r="D703" s="52" t="s">
        <v>1669</v>
      </c>
      <c r="E703" s="52" t="s">
        <v>1670</v>
      </c>
      <c r="F703" s="54" t="n">
        <v>2</v>
      </c>
      <c r="G703" s="55" t="n">
        <v>1780</v>
      </c>
      <c r="H703" s="55" t="n">
        <v>890</v>
      </c>
      <c r="I703" s="55" t="n">
        <v>890</v>
      </c>
      <c r="J703" s="52" t="s">
        <v>5816</v>
      </c>
      <c r="K703" s="56" t="n">
        <v>1</v>
      </c>
      <c r="L703" s="52" t="s">
        <v>5816</v>
      </c>
      <c r="M703" s="52" t="s">
        <v>262</v>
      </c>
    </row>
    <row r="704" customFormat="false" ht="17.25" hidden="false" customHeight="true" outlineLevel="0" collapsed="false">
      <c r="A704" s="52" t="s">
        <v>5777</v>
      </c>
      <c r="B704" s="52" t="s">
        <v>5813</v>
      </c>
      <c r="C704" s="53" t="n">
        <v>347812</v>
      </c>
      <c r="D704" s="52" t="s">
        <v>1671</v>
      </c>
      <c r="E704" s="52" t="s">
        <v>1672</v>
      </c>
      <c r="F704" s="54" t="n">
        <v>10</v>
      </c>
      <c r="G704" s="55" t="n">
        <v>1776.8</v>
      </c>
      <c r="H704" s="55" t="n">
        <v>177.68</v>
      </c>
      <c r="I704" s="55" t="n">
        <v>177.68</v>
      </c>
      <c r="J704" s="52" t="s">
        <v>5816</v>
      </c>
      <c r="K704" s="56" t="n">
        <v>1</v>
      </c>
      <c r="L704" s="52" t="s">
        <v>5816</v>
      </c>
      <c r="M704" s="52" t="s">
        <v>705</v>
      </c>
    </row>
    <row r="705" customFormat="false" ht="17.25" hidden="false" customHeight="true" outlineLevel="0" collapsed="false">
      <c r="A705" s="52" t="s">
        <v>5777</v>
      </c>
      <c r="B705" s="52" t="s">
        <v>5813</v>
      </c>
      <c r="C705" s="53" t="n">
        <v>727338</v>
      </c>
      <c r="D705" s="52" t="s">
        <v>1673</v>
      </c>
      <c r="E705" s="52" t="s">
        <v>1674</v>
      </c>
      <c r="F705" s="54" t="n">
        <v>18</v>
      </c>
      <c r="G705" s="55" t="n">
        <v>1774.32</v>
      </c>
      <c r="H705" s="55" t="n">
        <v>98.5733</v>
      </c>
      <c r="I705" s="55" t="n">
        <v>79.86</v>
      </c>
      <c r="J705" s="52" t="s">
        <v>5816</v>
      </c>
      <c r="K705" s="56" t="n">
        <v>1</v>
      </c>
      <c r="L705" s="52" t="s">
        <v>5816</v>
      </c>
      <c r="M705" s="52" t="s">
        <v>457</v>
      </c>
    </row>
    <row r="706" customFormat="false" ht="17.25" hidden="false" customHeight="true" outlineLevel="0" collapsed="false">
      <c r="A706" s="52" t="s">
        <v>5777</v>
      </c>
      <c r="B706" s="52" t="s">
        <v>5813</v>
      </c>
      <c r="C706" s="53" t="n">
        <v>21578</v>
      </c>
      <c r="D706" s="52" t="s">
        <v>1675</v>
      </c>
      <c r="E706" s="52" t="s">
        <v>1676</v>
      </c>
      <c r="F706" s="54" t="n">
        <v>48</v>
      </c>
      <c r="G706" s="55" t="n">
        <v>1765.44</v>
      </c>
      <c r="H706" s="55" t="n">
        <v>36.78</v>
      </c>
      <c r="I706" s="55" t="n">
        <v>36.78</v>
      </c>
      <c r="J706" s="52" t="s">
        <v>5816</v>
      </c>
      <c r="K706" s="56" t="n">
        <v>1</v>
      </c>
      <c r="L706" s="52" t="s">
        <v>5816</v>
      </c>
      <c r="M706" s="52" t="s">
        <v>38</v>
      </c>
    </row>
    <row r="707" customFormat="false" ht="17.25" hidden="false" customHeight="true" outlineLevel="0" collapsed="false">
      <c r="A707" s="52" t="s">
        <v>5777</v>
      </c>
      <c r="B707" s="52" t="s">
        <v>5813</v>
      </c>
      <c r="C707" s="53" t="n">
        <v>143914</v>
      </c>
      <c r="D707" s="52" t="s">
        <v>1564</v>
      </c>
      <c r="E707" s="52" t="s">
        <v>1565</v>
      </c>
      <c r="F707" s="54" t="n">
        <v>12</v>
      </c>
      <c r="G707" s="55" t="n">
        <v>1751.38</v>
      </c>
      <c r="H707" s="55" t="n">
        <v>145.9483</v>
      </c>
      <c r="I707" s="55" t="n">
        <v>115.19</v>
      </c>
      <c r="J707" s="52" t="s">
        <v>5816</v>
      </c>
      <c r="K707" s="56" t="n">
        <v>1</v>
      </c>
      <c r="L707" s="52" t="s">
        <v>5816</v>
      </c>
      <c r="M707" s="52" t="s">
        <v>247</v>
      </c>
    </row>
    <row r="708" customFormat="false" ht="17.25" hidden="false" customHeight="true" outlineLevel="0" collapsed="false">
      <c r="A708" s="52" t="s">
        <v>5777</v>
      </c>
      <c r="B708" s="52" t="s">
        <v>5813</v>
      </c>
      <c r="C708" s="53" t="n">
        <v>879565</v>
      </c>
      <c r="D708" s="52" t="s">
        <v>1677</v>
      </c>
      <c r="E708" s="52" t="s">
        <v>1678</v>
      </c>
      <c r="F708" s="54" t="n">
        <v>5000</v>
      </c>
      <c r="G708" s="55" t="n">
        <v>1750</v>
      </c>
      <c r="H708" s="55" t="n">
        <v>0.35</v>
      </c>
      <c r="I708" s="55" t="n">
        <v>0.35</v>
      </c>
      <c r="J708" s="52" t="s">
        <v>5816</v>
      </c>
      <c r="K708" s="56" t="n">
        <v>1</v>
      </c>
      <c r="L708" s="52" t="s">
        <v>5816</v>
      </c>
      <c r="M708" s="52" t="s">
        <v>100</v>
      </c>
    </row>
    <row r="709" customFormat="false" ht="17.25" hidden="false" customHeight="true" outlineLevel="0" collapsed="false">
      <c r="A709" s="52" t="s">
        <v>5777</v>
      </c>
      <c r="B709" s="52" t="s">
        <v>5813</v>
      </c>
      <c r="C709" s="53" t="n">
        <v>11743</v>
      </c>
      <c r="D709" s="52" t="s">
        <v>1679</v>
      </c>
      <c r="E709" s="52" t="s">
        <v>1680</v>
      </c>
      <c r="F709" s="54" t="n">
        <v>11</v>
      </c>
      <c r="G709" s="55" t="n">
        <v>1738</v>
      </c>
      <c r="H709" s="55" t="n">
        <v>158</v>
      </c>
      <c r="I709" s="55" t="n">
        <v>158</v>
      </c>
      <c r="J709" s="52" t="s">
        <v>5816</v>
      </c>
      <c r="K709" s="56" t="n">
        <v>1</v>
      </c>
      <c r="L709" s="52" t="s">
        <v>5816</v>
      </c>
      <c r="M709" s="52" t="s">
        <v>90</v>
      </c>
    </row>
    <row r="710" customFormat="false" ht="17.25" hidden="false" customHeight="true" outlineLevel="0" collapsed="false">
      <c r="A710" s="52" t="s">
        <v>5777</v>
      </c>
      <c r="B710" s="52" t="s">
        <v>5813</v>
      </c>
      <c r="C710" s="53" t="n">
        <v>1605801</v>
      </c>
      <c r="D710" s="52" t="s">
        <v>1681</v>
      </c>
      <c r="E710" s="52" t="s">
        <v>1682</v>
      </c>
      <c r="F710" s="54" t="n">
        <v>150</v>
      </c>
      <c r="G710" s="55" t="n">
        <v>1737</v>
      </c>
      <c r="H710" s="55" t="n">
        <v>11.58</v>
      </c>
      <c r="I710" s="55" t="n">
        <v>11.58</v>
      </c>
      <c r="J710" s="52" t="s">
        <v>5814</v>
      </c>
      <c r="K710" s="56" t="n">
        <v>1</v>
      </c>
      <c r="L710" s="52" t="s">
        <v>5814</v>
      </c>
      <c r="M710" s="52" t="s">
        <v>38</v>
      </c>
    </row>
    <row r="711" customFormat="false" ht="17.25" hidden="false" customHeight="true" outlineLevel="0" collapsed="false">
      <c r="A711" s="52" t="s">
        <v>5777</v>
      </c>
      <c r="B711" s="52" t="s">
        <v>5813</v>
      </c>
      <c r="C711" s="53" t="n">
        <v>66082</v>
      </c>
      <c r="D711" s="52" t="s">
        <v>1683</v>
      </c>
      <c r="E711" s="52" t="s">
        <v>1684</v>
      </c>
      <c r="F711" s="54" t="n">
        <v>5</v>
      </c>
      <c r="G711" s="55" t="n">
        <v>1725</v>
      </c>
      <c r="H711" s="55" t="n">
        <v>345</v>
      </c>
      <c r="I711" s="55" t="n">
        <v>345</v>
      </c>
      <c r="J711" s="52" t="s">
        <v>5881</v>
      </c>
      <c r="K711" s="56" t="n">
        <v>1</v>
      </c>
      <c r="L711" s="52" t="s">
        <v>5816</v>
      </c>
      <c r="M711" s="52" t="s">
        <v>130</v>
      </c>
    </row>
    <row r="712" customFormat="false" ht="17.25" hidden="false" customHeight="true" outlineLevel="0" collapsed="false">
      <c r="A712" s="52" t="s">
        <v>5777</v>
      </c>
      <c r="B712" s="52" t="s">
        <v>5813</v>
      </c>
      <c r="C712" s="53" t="n">
        <v>1068884</v>
      </c>
      <c r="D712" s="52" t="s">
        <v>1685</v>
      </c>
      <c r="E712" s="52" t="s">
        <v>1686</v>
      </c>
      <c r="F712" s="54" t="n">
        <v>12</v>
      </c>
      <c r="G712" s="55" t="n">
        <v>1714.18</v>
      </c>
      <c r="H712" s="55" t="n">
        <v>142.8483</v>
      </c>
      <c r="I712" s="55" t="n">
        <v>142.8483</v>
      </c>
      <c r="J712" s="52" t="s">
        <v>5816</v>
      </c>
      <c r="K712" s="56" t="n">
        <v>1</v>
      </c>
      <c r="L712" s="52" t="s">
        <v>5816</v>
      </c>
      <c r="M712" s="52" t="s">
        <v>247</v>
      </c>
    </row>
    <row r="713" customFormat="false" ht="17.25" hidden="false" customHeight="true" outlineLevel="0" collapsed="false">
      <c r="A713" s="52" t="s">
        <v>5777</v>
      </c>
      <c r="B713" s="52" t="s">
        <v>5813</v>
      </c>
      <c r="C713" s="53" t="n">
        <v>278233</v>
      </c>
      <c r="D713" s="52" t="s">
        <v>1687</v>
      </c>
      <c r="E713" s="52" t="s">
        <v>1688</v>
      </c>
      <c r="F713" s="54" t="n">
        <v>30</v>
      </c>
      <c r="G713" s="55" t="n">
        <v>1705.2</v>
      </c>
      <c r="H713" s="55" t="n">
        <v>56.84</v>
      </c>
      <c r="I713" s="55" t="n">
        <v>56.84</v>
      </c>
      <c r="J713" s="52" t="s">
        <v>5816</v>
      </c>
      <c r="K713" s="56" t="n">
        <v>1</v>
      </c>
      <c r="L713" s="52" t="s">
        <v>5816</v>
      </c>
      <c r="M713" s="52" t="s">
        <v>100</v>
      </c>
    </row>
    <row r="714" customFormat="false" ht="17.25" hidden="false" customHeight="true" outlineLevel="0" collapsed="false">
      <c r="A714" s="52" t="s">
        <v>5777</v>
      </c>
      <c r="B714" s="52" t="s">
        <v>5813</v>
      </c>
      <c r="C714" s="53" t="n">
        <v>550981</v>
      </c>
      <c r="D714" s="52" t="s">
        <v>1689</v>
      </c>
      <c r="E714" s="52" t="s">
        <v>1690</v>
      </c>
      <c r="F714" s="54" t="n">
        <v>1</v>
      </c>
      <c r="G714" s="55" t="n">
        <v>1701</v>
      </c>
      <c r="H714" s="55" t="n">
        <v>1701</v>
      </c>
      <c r="I714" s="55" t="n">
        <v>1701</v>
      </c>
      <c r="J714" s="52" t="s">
        <v>5816</v>
      </c>
      <c r="K714" s="56" t="n">
        <v>1</v>
      </c>
      <c r="L714" s="52" t="s">
        <v>5816</v>
      </c>
      <c r="M714" s="52" t="s">
        <v>678</v>
      </c>
    </row>
    <row r="715" customFormat="false" ht="17.25" hidden="false" customHeight="true" outlineLevel="0" collapsed="false">
      <c r="A715" s="52" t="s">
        <v>5777</v>
      </c>
      <c r="B715" s="52" t="s">
        <v>5813</v>
      </c>
      <c r="C715" s="53" t="n">
        <v>16138</v>
      </c>
      <c r="D715" s="52" t="s">
        <v>1691</v>
      </c>
      <c r="E715" s="52" t="s">
        <v>1692</v>
      </c>
      <c r="F715" s="54" t="n">
        <v>5</v>
      </c>
      <c r="G715" s="55" t="n">
        <v>1700</v>
      </c>
      <c r="H715" s="55" t="n">
        <v>340</v>
      </c>
      <c r="I715" s="55" t="n">
        <v>340</v>
      </c>
      <c r="J715" s="52" t="s">
        <v>5816</v>
      </c>
      <c r="K715" s="56" t="n">
        <v>1</v>
      </c>
      <c r="L715" s="52" t="s">
        <v>5816</v>
      </c>
      <c r="M715" s="52" t="s">
        <v>54</v>
      </c>
    </row>
    <row r="716" customFormat="false" ht="17.25" hidden="false" customHeight="true" outlineLevel="0" collapsed="false">
      <c r="A716" s="52" t="s">
        <v>5777</v>
      </c>
      <c r="B716" s="52" t="s">
        <v>5813</v>
      </c>
      <c r="C716" s="53" t="n">
        <v>17849</v>
      </c>
      <c r="D716" s="52" t="s">
        <v>1693</v>
      </c>
      <c r="E716" s="52" t="s">
        <v>1694</v>
      </c>
      <c r="F716" s="54" t="n">
        <v>25</v>
      </c>
      <c r="G716" s="55" t="n">
        <v>1700</v>
      </c>
      <c r="H716" s="55" t="n">
        <v>68</v>
      </c>
      <c r="I716" s="55" t="n">
        <v>68</v>
      </c>
      <c r="J716" s="52" t="s">
        <v>5816</v>
      </c>
      <c r="K716" s="56" t="n">
        <v>1</v>
      </c>
      <c r="L716" s="52" t="s">
        <v>5816</v>
      </c>
      <c r="M716" s="52" t="s">
        <v>835</v>
      </c>
    </row>
    <row r="717" customFormat="false" ht="17.25" hidden="false" customHeight="true" outlineLevel="0" collapsed="false">
      <c r="A717" s="52" t="s">
        <v>5777</v>
      </c>
      <c r="B717" s="52" t="s">
        <v>5813</v>
      </c>
      <c r="C717" s="53" t="n">
        <v>1317605</v>
      </c>
      <c r="D717" s="52" t="s">
        <v>1695</v>
      </c>
      <c r="E717" s="52" t="s">
        <v>1696</v>
      </c>
      <c r="F717" s="54" t="n">
        <v>2</v>
      </c>
      <c r="G717" s="55" t="n">
        <v>1700</v>
      </c>
      <c r="H717" s="55" t="n">
        <v>850</v>
      </c>
      <c r="I717" s="55" t="n">
        <v>850</v>
      </c>
      <c r="J717" s="52" t="s">
        <v>5816</v>
      </c>
      <c r="K717" s="56" t="n">
        <v>1</v>
      </c>
      <c r="L717" s="52" t="s">
        <v>5816</v>
      </c>
      <c r="M717" s="52" t="s">
        <v>54</v>
      </c>
    </row>
    <row r="718" customFormat="false" ht="17.25" hidden="false" customHeight="true" outlineLevel="0" collapsed="false">
      <c r="A718" s="52" t="s">
        <v>5777</v>
      </c>
      <c r="B718" s="52" t="s">
        <v>5813</v>
      </c>
      <c r="C718" s="53" t="n">
        <v>1688074</v>
      </c>
      <c r="D718" s="52" t="s">
        <v>1697</v>
      </c>
      <c r="E718" s="52" t="s">
        <v>1698</v>
      </c>
      <c r="F718" s="54" t="n">
        <v>34</v>
      </c>
      <c r="G718" s="55" t="n">
        <v>1700</v>
      </c>
      <c r="H718" s="55" t="n">
        <v>50</v>
      </c>
      <c r="I718" s="55" t="n">
        <v>50</v>
      </c>
      <c r="J718" s="52" t="s">
        <v>5816</v>
      </c>
      <c r="K718" s="56" t="n">
        <v>1</v>
      </c>
      <c r="L718" s="52" t="s">
        <v>5816</v>
      </c>
      <c r="M718" s="52" t="s">
        <v>355</v>
      </c>
    </row>
    <row r="719" customFormat="false" ht="17.25" hidden="false" customHeight="true" outlineLevel="0" collapsed="false">
      <c r="A719" s="52" t="s">
        <v>5777</v>
      </c>
      <c r="B719" s="52" t="s">
        <v>5813</v>
      </c>
      <c r="C719" s="53" t="n">
        <v>140495</v>
      </c>
      <c r="D719" s="52" t="s">
        <v>1699</v>
      </c>
      <c r="E719" s="52" t="s">
        <v>1700</v>
      </c>
      <c r="F719" s="54" t="n">
        <v>1</v>
      </c>
      <c r="G719" s="55" t="n">
        <v>1698</v>
      </c>
      <c r="H719" s="55" t="n">
        <v>1698</v>
      </c>
      <c r="I719" s="55" t="n">
        <v>1698</v>
      </c>
      <c r="J719" s="52" t="s">
        <v>5816</v>
      </c>
      <c r="K719" s="56" t="n">
        <v>1</v>
      </c>
      <c r="L719" s="52" t="s">
        <v>5816</v>
      </c>
      <c r="M719" s="52" t="s">
        <v>1095</v>
      </c>
    </row>
    <row r="720" customFormat="false" ht="17.25" hidden="false" customHeight="true" outlineLevel="0" collapsed="false">
      <c r="A720" s="52" t="s">
        <v>5777</v>
      </c>
      <c r="B720" s="52" t="s">
        <v>5813</v>
      </c>
      <c r="C720" s="53" t="n">
        <v>870796</v>
      </c>
      <c r="D720" s="52" t="s">
        <v>1701</v>
      </c>
      <c r="E720" s="52" t="s">
        <v>1702</v>
      </c>
      <c r="F720" s="54" t="n">
        <v>20</v>
      </c>
      <c r="G720" s="55" t="n">
        <v>1698</v>
      </c>
      <c r="H720" s="55" t="n">
        <v>84.9</v>
      </c>
      <c r="I720" s="55" t="n">
        <v>84.9</v>
      </c>
      <c r="J720" s="52" t="s">
        <v>5816</v>
      </c>
      <c r="K720" s="56" t="n">
        <v>1</v>
      </c>
      <c r="L720" s="52" t="s">
        <v>5816</v>
      </c>
      <c r="M720" s="52" t="s">
        <v>54</v>
      </c>
    </row>
    <row r="721" customFormat="false" ht="17.25" hidden="false" customHeight="true" outlineLevel="0" collapsed="false">
      <c r="A721" s="52" t="s">
        <v>5777</v>
      </c>
      <c r="B721" s="52" t="s">
        <v>5813</v>
      </c>
      <c r="C721" s="53" t="n">
        <v>21798</v>
      </c>
      <c r="D721" s="52" t="s">
        <v>1705</v>
      </c>
      <c r="E721" s="52" t="s">
        <v>1706</v>
      </c>
      <c r="F721" s="54" t="n">
        <v>36</v>
      </c>
      <c r="G721" s="55" t="n">
        <v>1688.2</v>
      </c>
      <c r="H721" s="55" t="n">
        <v>46.8944</v>
      </c>
      <c r="I721" s="55" t="n">
        <v>45</v>
      </c>
      <c r="J721" s="52" t="s">
        <v>5816</v>
      </c>
      <c r="K721" s="56" t="n">
        <v>1</v>
      </c>
      <c r="L721" s="52" t="s">
        <v>5816</v>
      </c>
      <c r="M721" s="52" t="s">
        <v>130</v>
      </c>
    </row>
    <row r="722" customFormat="false" ht="17.25" hidden="false" customHeight="true" outlineLevel="0" collapsed="false">
      <c r="A722" s="52" t="s">
        <v>5777</v>
      </c>
      <c r="B722" s="52" t="s">
        <v>5813</v>
      </c>
      <c r="C722" s="53" t="n">
        <v>1382646</v>
      </c>
      <c r="D722" s="52" t="s">
        <v>1707</v>
      </c>
      <c r="E722" s="52" t="s">
        <v>1708</v>
      </c>
      <c r="F722" s="54" t="n">
        <v>61</v>
      </c>
      <c r="G722" s="55" t="n">
        <v>1682.38</v>
      </c>
      <c r="H722" s="55" t="n">
        <v>27.58</v>
      </c>
      <c r="I722" s="55" t="n">
        <v>27.58</v>
      </c>
      <c r="J722" s="52" t="s">
        <v>5816</v>
      </c>
      <c r="K722" s="56" t="n">
        <v>1</v>
      </c>
      <c r="L722" s="52" t="s">
        <v>5816</v>
      </c>
      <c r="M722" s="52" t="s">
        <v>35</v>
      </c>
    </row>
    <row r="723" customFormat="false" ht="17.25" hidden="false" customHeight="true" outlineLevel="0" collapsed="false">
      <c r="A723" s="52" t="s">
        <v>5777</v>
      </c>
      <c r="B723" s="52" t="s">
        <v>5813</v>
      </c>
      <c r="C723" s="53" t="n">
        <v>19782</v>
      </c>
      <c r="D723" s="52" t="s">
        <v>1709</v>
      </c>
      <c r="E723" s="52" t="s">
        <v>1710</v>
      </c>
      <c r="F723" s="54" t="n">
        <v>10</v>
      </c>
      <c r="G723" s="55" t="n">
        <v>1680</v>
      </c>
      <c r="H723" s="55" t="n">
        <v>168</v>
      </c>
      <c r="I723" s="55" t="n">
        <v>168</v>
      </c>
      <c r="J723" s="52" t="s">
        <v>5816</v>
      </c>
      <c r="K723" s="56" t="n">
        <v>1</v>
      </c>
      <c r="L723" s="52" t="s">
        <v>5816</v>
      </c>
      <c r="M723" s="52" t="s">
        <v>605</v>
      </c>
    </row>
    <row r="724" customFormat="false" ht="17.25" hidden="false" customHeight="true" outlineLevel="0" collapsed="false">
      <c r="A724" s="52" t="s">
        <v>5777</v>
      </c>
      <c r="B724" s="52" t="s">
        <v>5813</v>
      </c>
      <c r="C724" s="53" t="n">
        <v>35534</v>
      </c>
      <c r="D724" s="52" t="s">
        <v>1711</v>
      </c>
      <c r="E724" s="52" t="s">
        <v>1712</v>
      </c>
      <c r="F724" s="54" t="n">
        <v>15</v>
      </c>
      <c r="G724" s="55" t="n">
        <v>1680</v>
      </c>
      <c r="H724" s="55" t="n">
        <v>112</v>
      </c>
      <c r="I724" s="55" t="n">
        <v>112</v>
      </c>
      <c r="J724" s="52" t="s">
        <v>5816</v>
      </c>
      <c r="K724" s="56" t="n">
        <v>1</v>
      </c>
      <c r="L724" s="52" t="s">
        <v>5816</v>
      </c>
      <c r="M724" s="52" t="s">
        <v>130</v>
      </c>
    </row>
    <row r="725" customFormat="false" ht="17.25" hidden="false" customHeight="true" outlineLevel="0" collapsed="false">
      <c r="A725" s="52" t="s">
        <v>5777</v>
      </c>
      <c r="B725" s="52" t="s">
        <v>5813</v>
      </c>
      <c r="C725" s="53" t="n">
        <v>738781</v>
      </c>
      <c r="D725" s="52" t="s">
        <v>1713</v>
      </c>
      <c r="E725" s="52" t="s">
        <v>1714</v>
      </c>
      <c r="F725" s="54" t="n">
        <v>1</v>
      </c>
      <c r="G725" s="55" t="n">
        <v>1678.1</v>
      </c>
      <c r="H725" s="55" t="n">
        <v>1678.1</v>
      </c>
      <c r="I725" s="55" t="n">
        <v>1678.1</v>
      </c>
      <c r="J725" s="52" t="s">
        <v>5816</v>
      </c>
      <c r="K725" s="56" t="n">
        <v>1</v>
      </c>
      <c r="L725" s="52" t="s">
        <v>5816</v>
      </c>
      <c r="M725" s="52" t="s">
        <v>93</v>
      </c>
    </row>
    <row r="726" customFormat="false" ht="17.25" hidden="false" customHeight="true" outlineLevel="0" collapsed="false">
      <c r="A726" s="52" t="s">
        <v>5777</v>
      </c>
      <c r="B726" s="52" t="s">
        <v>5813</v>
      </c>
      <c r="C726" s="53" t="n">
        <v>557857</v>
      </c>
      <c r="D726" s="52" t="s">
        <v>1715</v>
      </c>
      <c r="E726" s="52" t="s">
        <v>1716</v>
      </c>
      <c r="F726" s="54" t="n">
        <v>10</v>
      </c>
      <c r="G726" s="55" t="n">
        <v>1676.9</v>
      </c>
      <c r="H726" s="55" t="n">
        <v>167.69</v>
      </c>
      <c r="I726" s="55" t="n">
        <v>167.69</v>
      </c>
      <c r="J726" s="52" t="s">
        <v>5816</v>
      </c>
      <c r="K726" s="56" t="n">
        <v>1</v>
      </c>
      <c r="L726" s="52" t="s">
        <v>5816</v>
      </c>
      <c r="M726" s="52" t="s">
        <v>1618</v>
      </c>
    </row>
    <row r="727" customFormat="false" ht="17.25" hidden="false" customHeight="true" outlineLevel="0" collapsed="false">
      <c r="A727" s="52" t="s">
        <v>5777</v>
      </c>
      <c r="B727" s="52" t="s">
        <v>5813</v>
      </c>
      <c r="C727" s="53" t="n">
        <v>18820</v>
      </c>
      <c r="D727" s="52" t="s">
        <v>1717</v>
      </c>
      <c r="E727" s="52" t="s">
        <v>1718</v>
      </c>
      <c r="F727" s="54" t="n">
        <v>55</v>
      </c>
      <c r="G727" s="55" t="n">
        <v>1674.7</v>
      </c>
      <c r="H727" s="55" t="n">
        <v>30.4491</v>
      </c>
      <c r="I727" s="55" t="n">
        <v>29.99</v>
      </c>
      <c r="J727" s="52" t="s">
        <v>5831</v>
      </c>
      <c r="K727" s="56" t="n">
        <v>1</v>
      </c>
      <c r="L727" s="52" t="s">
        <v>5831</v>
      </c>
      <c r="M727" s="52" t="s">
        <v>247</v>
      </c>
    </row>
    <row r="728" customFormat="false" ht="17.25" hidden="false" customHeight="true" outlineLevel="0" collapsed="false">
      <c r="A728" s="52" t="s">
        <v>5777</v>
      </c>
      <c r="B728" s="52" t="s">
        <v>5813</v>
      </c>
      <c r="C728" s="53" t="n">
        <v>22809</v>
      </c>
      <c r="D728" s="52" t="s">
        <v>1719</v>
      </c>
      <c r="E728" s="52" t="s">
        <v>1720</v>
      </c>
      <c r="F728" s="54" t="n">
        <v>900</v>
      </c>
      <c r="G728" s="55" t="n">
        <v>1674</v>
      </c>
      <c r="H728" s="55" t="n">
        <v>1.86</v>
      </c>
      <c r="I728" s="55" t="n">
        <v>4.98</v>
      </c>
      <c r="J728" s="52" t="s">
        <v>5816</v>
      </c>
      <c r="K728" s="56" t="n">
        <v>1</v>
      </c>
      <c r="L728" s="52" t="s">
        <v>5816</v>
      </c>
      <c r="M728" s="52" t="s">
        <v>100</v>
      </c>
    </row>
    <row r="729" customFormat="false" ht="17.25" hidden="false" customHeight="true" outlineLevel="0" collapsed="false">
      <c r="A729" s="52" t="s">
        <v>5777</v>
      </c>
      <c r="B729" s="52" t="s">
        <v>5813</v>
      </c>
      <c r="C729" s="53" t="n">
        <v>1469718</v>
      </c>
      <c r="D729" s="52" t="s">
        <v>1721</v>
      </c>
      <c r="E729" s="52" t="s">
        <v>1722</v>
      </c>
      <c r="F729" s="54" t="n">
        <v>22</v>
      </c>
      <c r="G729" s="55" t="n">
        <v>1672</v>
      </c>
      <c r="H729" s="55" t="n">
        <v>76</v>
      </c>
      <c r="I729" s="55" t="n">
        <v>76</v>
      </c>
      <c r="J729" s="52" t="s">
        <v>5816</v>
      </c>
      <c r="K729" s="56" t="n">
        <v>1</v>
      </c>
      <c r="L729" s="52" t="s">
        <v>5816</v>
      </c>
      <c r="M729" s="52" t="s">
        <v>189</v>
      </c>
    </row>
    <row r="730" customFormat="false" ht="17.25" hidden="false" customHeight="true" outlineLevel="0" collapsed="false">
      <c r="A730" s="52" t="s">
        <v>5777</v>
      </c>
      <c r="B730" s="52" t="s">
        <v>5813</v>
      </c>
      <c r="C730" s="53" t="n">
        <v>18830</v>
      </c>
      <c r="D730" s="52" t="s">
        <v>1723</v>
      </c>
      <c r="E730" s="52" t="s">
        <v>1724</v>
      </c>
      <c r="F730" s="54" t="n">
        <v>17</v>
      </c>
      <c r="G730" s="55" t="n">
        <v>1670.87</v>
      </c>
      <c r="H730" s="55" t="n">
        <v>98.2865</v>
      </c>
      <c r="I730" s="55" t="n">
        <v>94.41</v>
      </c>
      <c r="J730" s="52" t="s">
        <v>5831</v>
      </c>
      <c r="K730" s="56" t="n">
        <v>1</v>
      </c>
      <c r="L730" s="52" t="s">
        <v>5831</v>
      </c>
      <c r="M730" s="52" t="s">
        <v>247</v>
      </c>
    </row>
    <row r="731" customFormat="false" ht="17.25" hidden="false" customHeight="true" outlineLevel="0" collapsed="false">
      <c r="A731" s="52" t="s">
        <v>5777</v>
      </c>
      <c r="B731" s="52" t="s">
        <v>5813</v>
      </c>
      <c r="C731" s="53" t="n">
        <v>60476</v>
      </c>
      <c r="D731" s="52" t="s">
        <v>1725</v>
      </c>
      <c r="E731" s="52" t="s">
        <v>1726</v>
      </c>
      <c r="F731" s="54" t="n">
        <v>10</v>
      </c>
      <c r="G731" s="55" t="n">
        <v>1668</v>
      </c>
      <c r="H731" s="55" t="n">
        <v>166.8</v>
      </c>
      <c r="I731" s="55" t="n">
        <v>166.8</v>
      </c>
      <c r="J731" s="52" t="s">
        <v>5816</v>
      </c>
      <c r="K731" s="56" t="n">
        <v>1</v>
      </c>
      <c r="L731" s="52" t="s">
        <v>5816</v>
      </c>
      <c r="M731" s="52" t="s">
        <v>35</v>
      </c>
    </row>
    <row r="732" customFormat="false" ht="17.25" hidden="false" customHeight="true" outlineLevel="0" collapsed="false">
      <c r="A732" s="52" t="s">
        <v>5777</v>
      </c>
      <c r="B732" s="52" t="s">
        <v>5813</v>
      </c>
      <c r="C732" s="53" t="n">
        <v>478936</v>
      </c>
      <c r="D732" s="52" t="s">
        <v>1727</v>
      </c>
      <c r="E732" s="52" t="s">
        <v>1728</v>
      </c>
      <c r="F732" s="54" t="n">
        <v>366</v>
      </c>
      <c r="G732" s="55" t="n">
        <v>1666.4514</v>
      </c>
      <c r="H732" s="55" t="n">
        <v>4.5531</v>
      </c>
      <c r="I732" s="55" t="n">
        <v>4.55</v>
      </c>
      <c r="J732" s="52" t="s">
        <v>5816</v>
      </c>
      <c r="K732" s="56" t="n">
        <v>1</v>
      </c>
      <c r="L732" s="52" t="s">
        <v>5816</v>
      </c>
      <c r="M732" s="52" t="s">
        <v>38</v>
      </c>
    </row>
    <row r="733" customFormat="false" ht="17.25" hidden="false" customHeight="true" outlineLevel="0" collapsed="false">
      <c r="A733" s="52" t="s">
        <v>5777</v>
      </c>
      <c r="B733" s="52" t="s">
        <v>5813</v>
      </c>
      <c r="C733" s="53" t="n">
        <v>1465208</v>
      </c>
      <c r="D733" s="52" t="s">
        <v>1729</v>
      </c>
      <c r="E733" s="52" t="s">
        <v>1730</v>
      </c>
      <c r="F733" s="54" t="n">
        <v>8</v>
      </c>
      <c r="G733" s="55" t="n">
        <v>1664.82</v>
      </c>
      <c r="H733" s="55" t="n">
        <v>208.1025</v>
      </c>
      <c r="I733" s="55" t="n">
        <v>146.205</v>
      </c>
      <c r="J733" s="52" t="s">
        <v>5816</v>
      </c>
      <c r="K733" s="56" t="n">
        <v>1</v>
      </c>
      <c r="L733" s="52" t="s">
        <v>5816</v>
      </c>
      <c r="M733" s="52" t="s">
        <v>133</v>
      </c>
    </row>
    <row r="734" customFormat="false" ht="17.25" hidden="false" customHeight="true" outlineLevel="0" collapsed="false">
      <c r="A734" s="52" t="s">
        <v>5777</v>
      </c>
      <c r="B734" s="52" t="s">
        <v>5813</v>
      </c>
      <c r="C734" s="53" t="n">
        <v>1319429</v>
      </c>
      <c r="D734" s="52" t="s">
        <v>1731</v>
      </c>
      <c r="E734" s="52" t="s">
        <v>1732</v>
      </c>
      <c r="F734" s="54" t="n">
        <v>4</v>
      </c>
      <c r="G734" s="55" t="n">
        <v>1657.76</v>
      </c>
      <c r="H734" s="55" t="n">
        <v>414.44</v>
      </c>
      <c r="I734" s="55" t="n">
        <v>414.44</v>
      </c>
      <c r="J734" s="52" t="s">
        <v>5816</v>
      </c>
      <c r="K734" s="56" t="n">
        <v>1</v>
      </c>
      <c r="L734" s="52" t="s">
        <v>5816</v>
      </c>
      <c r="M734" s="52" t="s">
        <v>217</v>
      </c>
    </row>
    <row r="735" customFormat="false" ht="17.25" hidden="false" customHeight="true" outlineLevel="0" collapsed="false">
      <c r="A735" s="52" t="s">
        <v>5777</v>
      </c>
      <c r="B735" s="52" t="s">
        <v>5813</v>
      </c>
      <c r="C735" s="53" t="n">
        <v>34043</v>
      </c>
      <c r="D735" s="52" t="s">
        <v>1733</v>
      </c>
      <c r="E735" s="52" t="s">
        <v>1734</v>
      </c>
      <c r="F735" s="54" t="n">
        <v>6</v>
      </c>
      <c r="G735" s="55" t="n">
        <v>1656</v>
      </c>
      <c r="H735" s="55" t="n">
        <v>276</v>
      </c>
      <c r="I735" s="55" t="n">
        <v>276</v>
      </c>
      <c r="J735" s="52" t="s">
        <v>5816</v>
      </c>
      <c r="K735" s="56" t="n">
        <v>1</v>
      </c>
      <c r="L735" s="52" t="s">
        <v>5816</v>
      </c>
      <c r="M735" s="52" t="s">
        <v>35</v>
      </c>
    </row>
    <row r="736" customFormat="false" ht="17.25" hidden="false" customHeight="true" outlineLevel="0" collapsed="false">
      <c r="A736" s="52" t="s">
        <v>5777</v>
      </c>
      <c r="B736" s="52" t="s">
        <v>5813</v>
      </c>
      <c r="C736" s="53" t="n">
        <v>937230</v>
      </c>
      <c r="D736" s="52" t="s">
        <v>1735</v>
      </c>
      <c r="E736" s="52" t="s">
        <v>1736</v>
      </c>
      <c r="F736" s="54" t="n">
        <v>10</v>
      </c>
      <c r="G736" s="55" t="n">
        <v>1650</v>
      </c>
      <c r="H736" s="55" t="n">
        <v>165</v>
      </c>
      <c r="I736" s="55" t="n">
        <v>165</v>
      </c>
      <c r="J736" s="52" t="s">
        <v>5816</v>
      </c>
      <c r="K736" s="56" t="n">
        <v>1</v>
      </c>
      <c r="L736" s="52" t="s">
        <v>5816</v>
      </c>
      <c r="M736" s="52" t="s">
        <v>1095</v>
      </c>
    </row>
    <row r="737" customFormat="false" ht="17.25" hidden="false" customHeight="true" outlineLevel="0" collapsed="false">
      <c r="A737" s="52" t="s">
        <v>5777</v>
      </c>
      <c r="B737" s="52" t="s">
        <v>5813</v>
      </c>
      <c r="C737" s="53" t="n">
        <v>1319428</v>
      </c>
      <c r="D737" s="52" t="s">
        <v>1737</v>
      </c>
      <c r="E737" s="52" t="s">
        <v>1738</v>
      </c>
      <c r="F737" s="54" t="n">
        <v>4</v>
      </c>
      <c r="G737" s="55" t="n">
        <v>1649.76</v>
      </c>
      <c r="H737" s="55" t="n">
        <v>412.44</v>
      </c>
      <c r="I737" s="55" t="n">
        <v>412.44</v>
      </c>
      <c r="J737" s="52" t="s">
        <v>5816</v>
      </c>
      <c r="K737" s="56" t="n">
        <v>1</v>
      </c>
      <c r="L737" s="52" t="s">
        <v>5816</v>
      </c>
      <c r="M737" s="52" t="s">
        <v>217</v>
      </c>
    </row>
    <row r="738" customFormat="false" ht="17.25" hidden="false" customHeight="true" outlineLevel="0" collapsed="false">
      <c r="A738" s="52" t="s">
        <v>5777</v>
      </c>
      <c r="B738" s="52" t="s">
        <v>5813</v>
      </c>
      <c r="C738" s="53" t="n">
        <v>1464723</v>
      </c>
      <c r="D738" s="52" t="s">
        <v>1741</v>
      </c>
      <c r="E738" s="52" t="s">
        <v>1742</v>
      </c>
      <c r="F738" s="54" t="n">
        <v>184</v>
      </c>
      <c r="G738" s="55" t="n">
        <v>1646.92</v>
      </c>
      <c r="H738" s="55" t="n">
        <v>8.9507</v>
      </c>
      <c r="I738" s="55" t="n">
        <v>10.51</v>
      </c>
      <c r="J738" s="52" t="s">
        <v>5816</v>
      </c>
      <c r="K738" s="56" t="n">
        <v>1</v>
      </c>
      <c r="L738" s="52" t="s">
        <v>5816</v>
      </c>
      <c r="M738" s="52" t="s">
        <v>100</v>
      </c>
    </row>
    <row r="739" customFormat="false" ht="17.25" hidden="false" customHeight="true" outlineLevel="0" collapsed="false">
      <c r="A739" s="52" t="s">
        <v>5777</v>
      </c>
      <c r="B739" s="52" t="s">
        <v>5813</v>
      </c>
      <c r="C739" s="53" t="n">
        <v>934334</v>
      </c>
      <c r="D739" s="52" t="s">
        <v>1743</v>
      </c>
      <c r="E739" s="52" t="s">
        <v>1744</v>
      </c>
      <c r="F739" s="54" t="n">
        <v>3</v>
      </c>
      <c r="G739" s="55" t="n">
        <v>1644</v>
      </c>
      <c r="H739" s="55" t="n">
        <v>548</v>
      </c>
      <c r="I739" s="55" t="n">
        <v>548</v>
      </c>
      <c r="J739" s="52" t="s">
        <v>5816</v>
      </c>
      <c r="K739" s="56" t="n">
        <v>1</v>
      </c>
      <c r="L739" s="52" t="s">
        <v>5816</v>
      </c>
      <c r="M739" s="52" t="s">
        <v>705</v>
      </c>
    </row>
    <row r="740" customFormat="false" ht="17.25" hidden="false" customHeight="true" outlineLevel="0" collapsed="false">
      <c r="A740" s="52" t="s">
        <v>5777</v>
      </c>
      <c r="B740" s="52" t="s">
        <v>5813</v>
      </c>
      <c r="C740" s="53" t="n">
        <v>727452</v>
      </c>
      <c r="D740" s="52" t="s">
        <v>1745</v>
      </c>
      <c r="E740" s="52" t="s">
        <v>1746</v>
      </c>
      <c r="F740" s="54" t="n">
        <v>5</v>
      </c>
      <c r="G740" s="55" t="n">
        <v>1641.43</v>
      </c>
      <c r="H740" s="55" t="n">
        <v>328.286</v>
      </c>
      <c r="I740" s="55" t="n">
        <v>350</v>
      </c>
      <c r="J740" s="52" t="s">
        <v>5816</v>
      </c>
      <c r="K740" s="56" t="n">
        <v>1</v>
      </c>
      <c r="L740" s="52" t="s">
        <v>5816</v>
      </c>
      <c r="M740" s="52" t="s">
        <v>247</v>
      </c>
    </row>
    <row r="741" customFormat="false" ht="17.25" hidden="false" customHeight="true" outlineLevel="0" collapsed="false">
      <c r="A741" s="52" t="s">
        <v>5777</v>
      </c>
      <c r="B741" s="52" t="s">
        <v>5813</v>
      </c>
      <c r="C741" s="53" t="n">
        <v>727453</v>
      </c>
      <c r="D741" s="52" t="s">
        <v>1747</v>
      </c>
      <c r="E741" s="52" t="s">
        <v>1748</v>
      </c>
      <c r="F741" s="54" t="n">
        <v>5</v>
      </c>
      <c r="G741" s="55" t="n">
        <v>1641.43</v>
      </c>
      <c r="H741" s="55" t="n">
        <v>328.286</v>
      </c>
      <c r="I741" s="55" t="n">
        <v>350</v>
      </c>
      <c r="J741" s="52" t="s">
        <v>5816</v>
      </c>
      <c r="K741" s="56" t="n">
        <v>1</v>
      </c>
      <c r="L741" s="52" t="s">
        <v>5816</v>
      </c>
      <c r="M741" s="52" t="s">
        <v>247</v>
      </c>
    </row>
    <row r="742" customFormat="false" ht="17.25" hidden="false" customHeight="true" outlineLevel="0" collapsed="false">
      <c r="A742" s="52" t="s">
        <v>5777</v>
      </c>
      <c r="B742" s="52" t="s">
        <v>5813</v>
      </c>
      <c r="C742" s="53" t="n">
        <v>1465432</v>
      </c>
      <c r="D742" s="52" t="s">
        <v>1749</v>
      </c>
      <c r="E742" s="52" t="s">
        <v>1750</v>
      </c>
      <c r="F742" s="54" t="n">
        <v>2</v>
      </c>
      <c r="G742" s="55" t="n">
        <v>1640</v>
      </c>
      <c r="H742" s="55" t="n">
        <v>820</v>
      </c>
      <c r="I742" s="55" t="n">
        <v>820</v>
      </c>
      <c r="J742" s="52" t="s">
        <v>5816</v>
      </c>
      <c r="K742" s="56" t="n">
        <v>1</v>
      </c>
      <c r="L742" s="52" t="s">
        <v>5816</v>
      </c>
      <c r="M742" s="52" t="s">
        <v>133</v>
      </c>
    </row>
    <row r="743" customFormat="false" ht="17.25" hidden="false" customHeight="true" outlineLevel="0" collapsed="false">
      <c r="A743" s="52" t="s">
        <v>5777</v>
      </c>
      <c r="B743" s="52" t="s">
        <v>5813</v>
      </c>
      <c r="C743" s="53" t="n">
        <v>1613481</v>
      </c>
      <c r="D743" s="52" t="s">
        <v>1751</v>
      </c>
      <c r="E743" s="52" t="s">
        <v>1752</v>
      </c>
      <c r="F743" s="54" t="n">
        <v>1</v>
      </c>
      <c r="G743" s="55" t="n">
        <v>1639.3</v>
      </c>
      <c r="H743" s="55" t="n">
        <v>1639.3</v>
      </c>
      <c r="I743" s="55" t="n">
        <v>1639.3</v>
      </c>
      <c r="J743" s="52" t="s">
        <v>5816</v>
      </c>
      <c r="K743" s="56" t="n">
        <v>1</v>
      </c>
      <c r="L743" s="52" t="s">
        <v>5816</v>
      </c>
      <c r="M743" s="52" t="s">
        <v>38</v>
      </c>
    </row>
    <row r="744" customFormat="false" ht="17.25" hidden="false" customHeight="true" outlineLevel="0" collapsed="false">
      <c r="A744" s="52" t="s">
        <v>5777</v>
      </c>
      <c r="B744" s="52" t="s">
        <v>5813</v>
      </c>
      <c r="C744" s="53" t="n">
        <v>1069521</v>
      </c>
      <c r="D744" s="52" t="s">
        <v>1753</v>
      </c>
      <c r="E744" s="52" t="s">
        <v>1754</v>
      </c>
      <c r="F744" s="54" t="n">
        <v>2</v>
      </c>
      <c r="G744" s="55" t="n">
        <v>1638</v>
      </c>
      <c r="H744" s="55" t="n">
        <v>819</v>
      </c>
      <c r="I744" s="55" t="n">
        <v>819</v>
      </c>
      <c r="J744" s="52" t="s">
        <v>5816</v>
      </c>
      <c r="K744" s="56" t="n">
        <v>1</v>
      </c>
      <c r="L744" s="52" t="s">
        <v>5816</v>
      </c>
      <c r="M744" s="52" t="s">
        <v>113</v>
      </c>
    </row>
    <row r="745" customFormat="false" ht="17.25" hidden="false" customHeight="true" outlineLevel="0" collapsed="false">
      <c r="A745" s="52" t="s">
        <v>5777</v>
      </c>
      <c r="B745" s="52" t="s">
        <v>5813</v>
      </c>
      <c r="C745" s="53" t="n">
        <v>1539051</v>
      </c>
      <c r="D745" s="52" t="s">
        <v>1755</v>
      </c>
      <c r="E745" s="52" t="s">
        <v>1756</v>
      </c>
      <c r="F745" s="54" t="n">
        <v>2</v>
      </c>
      <c r="G745" s="55" t="n">
        <v>1630</v>
      </c>
      <c r="H745" s="55" t="n">
        <v>815</v>
      </c>
      <c r="I745" s="55" t="n">
        <v>815</v>
      </c>
      <c r="J745" s="52" t="s">
        <v>5816</v>
      </c>
      <c r="K745" s="56" t="n">
        <v>1</v>
      </c>
      <c r="L745" s="52" t="s">
        <v>5816</v>
      </c>
      <c r="M745" s="52" t="s">
        <v>170</v>
      </c>
    </row>
    <row r="746" customFormat="false" ht="17.25" hidden="false" customHeight="true" outlineLevel="0" collapsed="false">
      <c r="A746" s="52" t="s">
        <v>5777</v>
      </c>
      <c r="B746" s="52" t="s">
        <v>5813</v>
      </c>
      <c r="C746" s="53" t="n">
        <v>609624</v>
      </c>
      <c r="D746" s="52" t="s">
        <v>1757</v>
      </c>
      <c r="E746" s="52" t="s">
        <v>1758</v>
      </c>
      <c r="F746" s="54" t="n">
        <v>250</v>
      </c>
      <c r="G746" s="55" t="n">
        <v>1625</v>
      </c>
      <c r="H746" s="55" t="n">
        <v>6.5</v>
      </c>
      <c r="I746" s="55" t="n">
        <v>6.5</v>
      </c>
      <c r="J746" s="52" t="s">
        <v>5816</v>
      </c>
      <c r="K746" s="56" t="n">
        <v>1</v>
      </c>
      <c r="L746" s="52" t="s">
        <v>5816</v>
      </c>
      <c r="M746" s="52" t="s">
        <v>217</v>
      </c>
    </row>
    <row r="747" customFormat="false" ht="17.25" hidden="false" customHeight="true" outlineLevel="0" collapsed="false">
      <c r="A747" s="52" t="s">
        <v>5777</v>
      </c>
      <c r="B747" s="52" t="s">
        <v>5813</v>
      </c>
      <c r="C747" s="53" t="n">
        <v>601528</v>
      </c>
      <c r="D747" s="52" t="s">
        <v>1759</v>
      </c>
      <c r="E747" s="52" t="s">
        <v>1760</v>
      </c>
      <c r="F747" s="54" t="n">
        <v>21</v>
      </c>
      <c r="G747" s="55" t="n">
        <v>1623.55</v>
      </c>
      <c r="H747" s="55" t="n">
        <v>77.3119</v>
      </c>
      <c r="I747" s="55" t="n">
        <v>74.12</v>
      </c>
      <c r="J747" s="52" t="s">
        <v>5816</v>
      </c>
      <c r="K747" s="56" t="n">
        <v>1</v>
      </c>
      <c r="L747" s="52" t="s">
        <v>5816</v>
      </c>
      <c r="M747" s="52" t="s">
        <v>247</v>
      </c>
    </row>
    <row r="748" customFormat="false" ht="17.25" hidden="false" customHeight="true" outlineLevel="0" collapsed="false">
      <c r="A748" s="52" t="s">
        <v>5777</v>
      </c>
      <c r="B748" s="52" t="s">
        <v>5813</v>
      </c>
      <c r="C748" s="53" t="n">
        <v>66440</v>
      </c>
      <c r="D748" s="52" t="s">
        <v>1761</v>
      </c>
      <c r="E748" s="52" t="s">
        <v>1762</v>
      </c>
      <c r="F748" s="54" t="n">
        <v>18</v>
      </c>
      <c r="G748" s="55" t="n">
        <v>1620</v>
      </c>
      <c r="H748" s="55" t="n">
        <v>90</v>
      </c>
      <c r="I748" s="55" t="n">
        <v>90</v>
      </c>
      <c r="J748" s="52" t="s">
        <v>5816</v>
      </c>
      <c r="K748" s="56" t="n">
        <v>1</v>
      </c>
      <c r="L748" s="52" t="s">
        <v>5816</v>
      </c>
      <c r="M748" s="52" t="s">
        <v>35</v>
      </c>
    </row>
    <row r="749" customFormat="false" ht="17.25" hidden="false" customHeight="true" outlineLevel="0" collapsed="false">
      <c r="A749" s="52" t="s">
        <v>5777</v>
      </c>
      <c r="B749" s="52" t="s">
        <v>5813</v>
      </c>
      <c r="C749" s="53" t="n">
        <v>34916</v>
      </c>
      <c r="D749" s="52" t="s">
        <v>1763</v>
      </c>
      <c r="E749" s="52" t="s">
        <v>1764</v>
      </c>
      <c r="F749" s="54" t="n">
        <v>1</v>
      </c>
      <c r="G749" s="55" t="n">
        <v>1618.84</v>
      </c>
      <c r="H749" s="55" t="n">
        <v>1618.84</v>
      </c>
      <c r="I749" s="55" t="n">
        <v>1618.84</v>
      </c>
      <c r="J749" s="52" t="s">
        <v>5816</v>
      </c>
      <c r="K749" s="56" t="n">
        <v>1</v>
      </c>
      <c r="L749" s="52" t="s">
        <v>5816</v>
      </c>
      <c r="M749" s="52" t="s">
        <v>189</v>
      </c>
    </row>
    <row r="750" customFormat="false" ht="17.25" hidden="false" customHeight="true" outlineLevel="0" collapsed="false">
      <c r="A750" s="52" t="s">
        <v>5777</v>
      </c>
      <c r="B750" s="52" t="s">
        <v>5813</v>
      </c>
      <c r="C750" s="53" t="n">
        <v>880271</v>
      </c>
      <c r="D750" s="52" t="s">
        <v>1765</v>
      </c>
      <c r="E750" s="52" t="s">
        <v>1766</v>
      </c>
      <c r="F750" s="54" t="n">
        <v>5</v>
      </c>
      <c r="G750" s="55" t="n">
        <v>1610</v>
      </c>
      <c r="H750" s="55" t="n">
        <v>322</v>
      </c>
      <c r="I750" s="55" t="n">
        <v>322</v>
      </c>
      <c r="J750" s="52" t="s">
        <v>5816</v>
      </c>
      <c r="K750" s="56" t="n">
        <v>1</v>
      </c>
      <c r="L750" s="52" t="s">
        <v>5816</v>
      </c>
      <c r="M750" s="52" t="s">
        <v>705</v>
      </c>
    </row>
    <row r="751" customFormat="false" ht="17.25" hidden="false" customHeight="true" outlineLevel="0" collapsed="false">
      <c r="A751" s="52" t="s">
        <v>5777</v>
      </c>
      <c r="B751" s="52" t="s">
        <v>5813</v>
      </c>
      <c r="C751" s="53" t="n">
        <v>1607597</v>
      </c>
      <c r="D751" s="52" t="s">
        <v>1767</v>
      </c>
      <c r="E751" s="52" t="s">
        <v>1768</v>
      </c>
      <c r="F751" s="54" t="n">
        <v>14</v>
      </c>
      <c r="G751" s="55" t="n">
        <v>1610</v>
      </c>
      <c r="H751" s="55" t="n">
        <v>115</v>
      </c>
      <c r="I751" s="55" t="n">
        <v>115</v>
      </c>
      <c r="J751" s="52" t="s">
        <v>5816</v>
      </c>
      <c r="K751" s="56" t="n">
        <v>1</v>
      </c>
      <c r="L751" s="52" t="s">
        <v>5816</v>
      </c>
      <c r="M751" s="52" t="s">
        <v>38</v>
      </c>
    </row>
    <row r="752" customFormat="false" ht="17.25" hidden="false" customHeight="true" outlineLevel="0" collapsed="false">
      <c r="A752" s="52" t="s">
        <v>5777</v>
      </c>
      <c r="B752" s="52" t="s">
        <v>5813</v>
      </c>
      <c r="C752" s="53" t="n">
        <v>89691</v>
      </c>
      <c r="D752" s="52" t="s">
        <v>1769</v>
      </c>
      <c r="E752" s="52" t="s">
        <v>1770</v>
      </c>
      <c r="F752" s="54" t="n">
        <v>40</v>
      </c>
      <c r="G752" s="55" t="n">
        <v>1608</v>
      </c>
      <c r="H752" s="55" t="n">
        <v>40.2</v>
      </c>
      <c r="I752" s="55" t="n">
        <v>45</v>
      </c>
      <c r="J752" s="52" t="s">
        <v>5816</v>
      </c>
      <c r="K752" s="56" t="n">
        <v>1</v>
      </c>
      <c r="L752" s="52" t="s">
        <v>5816</v>
      </c>
      <c r="M752" s="52" t="s">
        <v>605</v>
      </c>
    </row>
    <row r="753" customFormat="false" ht="17.25" hidden="false" customHeight="true" outlineLevel="0" collapsed="false">
      <c r="A753" s="52" t="s">
        <v>5777</v>
      </c>
      <c r="B753" s="52" t="s">
        <v>5813</v>
      </c>
      <c r="C753" s="53" t="n">
        <v>390952</v>
      </c>
      <c r="D753" s="52" t="s">
        <v>1771</v>
      </c>
      <c r="E753" s="52" t="s">
        <v>1772</v>
      </c>
      <c r="F753" s="54" t="n">
        <v>10</v>
      </c>
      <c r="G753" s="55" t="n">
        <v>1606.3</v>
      </c>
      <c r="H753" s="55" t="n">
        <v>160.63</v>
      </c>
      <c r="I753" s="55" t="n">
        <v>160.63</v>
      </c>
      <c r="J753" s="52" t="s">
        <v>5816</v>
      </c>
      <c r="K753" s="56" t="n">
        <v>1</v>
      </c>
      <c r="L753" s="52" t="s">
        <v>5816</v>
      </c>
      <c r="M753" s="52" t="s">
        <v>38</v>
      </c>
    </row>
    <row r="754" customFormat="false" ht="17.25" hidden="false" customHeight="true" outlineLevel="0" collapsed="false">
      <c r="A754" s="52" t="s">
        <v>5777</v>
      </c>
      <c r="B754" s="52" t="s">
        <v>5813</v>
      </c>
      <c r="C754" s="53" t="n">
        <v>1685478</v>
      </c>
      <c r="D754" s="52" t="s">
        <v>1773</v>
      </c>
      <c r="E754" s="52" t="s">
        <v>1774</v>
      </c>
      <c r="F754" s="54" t="n">
        <v>1</v>
      </c>
      <c r="G754" s="55" t="n">
        <v>1600</v>
      </c>
      <c r="H754" s="55" t="n">
        <v>1600</v>
      </c>
      <c r="I754" s="55" t="n">
        <v>1600</v>
      </c>
      <c r="J754" s="52" t="s">
        <v>5816</v>
      </c>
      <c r="K754" s="56" t="n">
        <v>1</v>
      </c>
      <c r="L754" s="52" t="s">
        <v>5816</v>
      </c>
      <c r="M754" s="52" t="s">
        <v>54</v>
      </c>
    </row>
    <row r="755" customFormat="false" ht="17.25" hidden="false" customHeight="true" outlineLevel="0" collapsed="false">
      <c r="A755" s="52" t="s">
        <v>5777</v>
      </c>
      <c r="B755" s="52" t="s">
        <v>5813</v>
      </c>
      <c r="C755" s="53" t="n">
        <v>835400</v>
      </c>
      <c r="D755" s="52" t="s">
        <v>1775</v>
      </c>
      <c r="E755" s="52" t="s">
        <v>1776</v>
      </c>
      <c r="F755" s="54" t="n">
        <v>6</v>
      </c>
      <c r="G755" s="55" t="n">
        <v>1598.34</v>
      </c>
      <c r="H755" s="55" t="n">
        <v>266.39</v>
      </c>
      <c r="I755" s="55" t="n">
        <v>266.39</v>
      </c>
      <c r="J755" s="52" t="s">
        <v>5816</v>
      </c>
      <c r="K755" s="56" t="n">
        <v>1</v>
      </c>
      <c r="L755" s="52" t="s">
        <v>5816</v>
      </c>
      <c r="M755" s="52" t="s">
        <v>38</v>
      </c>
    </row>
    <row r="756" customFormat="false" ht="17.25" hidden="false" customHeight="true" outlineLevel="0" collapsed="false">
      <c r="A756" s="52" t="s">
        <v>5777</v>
      </c>
      <c r="B756" s="52" t="s">
        <v>5813</v>
      </c>
      <c r="C756" s="53" t="n">
        <v>1258633</v>
      </c>
      <c r="D756" s="52" t="s">
        <v>1777</v>
      </c>
      <c r="E756" s="52" t="s">
        <v>5882</v>
      </c>
      <c r="F756" s="54" t="n">
        <v>15</v>
      </c>
      <c r="G756" s="55" t="n">
        <v>1585.95</v>
      </c>
      <c r="H756" s="55" t="n">
        <v>105.73</v>
      </c>
      <c r="I756" s="55" t="n">
        <v>105.73</v>
      </c>
      <c r="J756" s="52" t="s">
        <v>5816</v>
      </c>
      <c r="K756" s="56" t="n">
        <v>1</v>
      </c>
      <c r="L756" s="52" t="s">
        <v>5816</v>
      </c>
      <c r="M756" s="52" t="s">
        <v>247</v>
      </c>
    </row>
    <row r="757" customFormat="false" ht="17.25" hidden="false" customHeight="true" outlineLevel="0" collapsed="false">
      <c r="A757" s="52" t="s">
        <v>5777</v>
      </c>
      <c r="B757" s="52" t="s">
        <v>5813</v>
      </c>
      <c r="C757" s="53" t="n">
        <v>59884</v>
      </c>
      <c r="D757" s="52" t="s">
        <v>1779</v>
      </c>
      <c r="E757" s="52" t="s">
        <v>1780</v>
      </c>
      <c r="F757" s="54" t="n">
        <v>5</v>
      </c>
      <c r="G757" s="55" t="n">
        <v>1584.35</v>
      </c>
      <c r="H757" s="55" t="n">
        <v>316.87</v>
      </c>
      <c r="I757" s="55" t="n">
        <v>316.87</v>
      </c>
      <c r="J757" s="52" t="s">
        <v>5816</v>
      </c>
      <c r="K757" s="56" t="n">
        <v>1</v>
      </c>
      <c r="L757" s="52" t="s">
        <v>5816</v>
      </c>
      <c r="M757" s="52" t="s">
        <v>100</v>
      </c>
    </row>
    <row r="758" customFormat="false" ht="17.25" hidden="false" customHeight="true" outlineLevel="0" collapsed="false">
      <c r="A758" s="52" t="s">
        <v>5777</v>
      </c>
      <c r="B758" s="52" t="s">
        <v>5813</v>
      </c>
      <c r="C758" s="53" t="n">
        <v>429120</v>
      </c>
      <c r="D758" s="52" t="s">
        <v>1781</v>
      </c>
      <c r="E758" s="52" t="s">
        <v>1782</v>
      </c>
      <c r="F758" s="54" t="n">
        <v>8</v>
      </c>
      <c r="G758" s="55" t="n">
        <v>1584</v>
      </c>
      <c r="H758" s="55" t="n">
        <v>198</v>
      </c>
      <c r="I758" s="55" t="n">
        <v>198</v>
      </c>
      <c r="J758" s="52" t="s">
        <v>5816</v>
      </c>
      <c r="K758" s="56" t="n">
        <v>1</v>
      </c>
      <c r="L758" s="52" t="s">
        <v>5816</v>
      </c>
      <c r="M758" s="52" t="s">
        <v>133</v>
      </c>
    </row>
    <row r="759" customFormat="false" ht="17.25" hidden="false" customHeight="true" outlineLevel="0" collapsed="false">
      <c r="A759" s="52" t="s">
        <v>5777</v>
      </c>
      <c r="B759" s="52" t="s">
        <v>5813</v>
      </c>
      <c r="C759" s="53" t="n">
        <v>1387467</v>
      </c>
      <c r="D759" s="52" t="s">
        <v>1783</v>
      </c>
      <c r="E759" s="52" t="s">
        <v>5883</v>
      </c>
      <c r="F759" s="54" t="n">
        <v>12</v>
      </c>
      <c r="G759" s="55" t="n">
        <v>1578.48</v>
      </c>
      <c r="H759" s="55" t="n">
        <v>131.54</v>
      </c>
      <c r="I759" s="55" t="n">
        <v>131.54</v>
      </c>
      <c r="J759" s="52" t="s">
        <v>5816</v>
      </c>
      <c r="K759" s="56" t="n">
        <v>1</v>
      </c>
      <c r="L759" s="52" t="s">
        <v>5816</v>
      </c>
      <c r="M759" s="52" t="s">
        <v>100</v>
      </c>
    </row>
    <row r="760" customFormat="false" ht="17.25" hidden="false" customHeight="true" outlineLevel="0" collapsed="false">
      <c r="A760" s="52" t="s">
        <v>5777</v>
      </c>
      <c r="B760" s="52" t="s">
        <v>5813</v>
      </c>
      <c r="C760" s="53" t="n">
        <v>1607239</v>
      </c>
      <c r="D760" s="52" t="s">
        <v>1785</v>
      </c>
      <c r="E760" s="52" t="s">
        <v>1786</v>
      </c>
      <c r="F760" s="54" t="n">
        <v>1</v>
      </c>
      <c r="G760" s="55" t="n">
        <v>1573.79</v>
      </c>
      <c r="H760" s="55" t="n">
        <v>1573.79</v>
      </c>
      <c r="I760" s="55" t="n">
        <v>1573.79</v>
      </c>
      <c r="J760" s="52" t="s">
        <v>5816</v>
      </c>
      <c r="K760" s="56" t="n">
        <v>1</v>
      </c>
      <c r="L760" s="52" t="s">
        <v>5816</v>
      </c>
      <c r="M760" s="52" t="s">
        <v>130</v>
      </c>
    </row>
    <row r="761" customFormat="false" ht="17.25" hidden="false" customHeight="true" outlineLevel="0" collapsed="false">
      <c r="A761" s="52" t="s">
        <v>5777</v>
      </c>
      <c r="B761" s="52" t="s">
        <v>5813</v>
      </c>
      <c r="C761" s="53" t="n">
        <v>1465406</v>
      </c>
      <c r="D761" s="52" t="s">
        <v>1787</v>
      </c>
      <c r="E761" s="52" t="s">
        <v>5884</v>
      </c>
      <c r="F761" s="54" t="n">
        <v>56</v>
      </c>
      <c r="G761" s="55" t="n">
        <v>1568</v>
      </c>
      <c r="H761" s="55" t="n">
        <v>28</v>
      </c>
      <c r="I761" s="55" t="n">
        <v>28</v>
      </c>
      <c r="J761" s="52" t="s">
        <v>5816</v>
      </c>
      <c r="K761" s="56" t="n">
        <v>1</v>
      </c>
      <c r="L761" s="52" t="s">
        <v>5816</v>
      </c>
      <c r="M761" s="52" t="s">
        <v>1789</v>
      </c>
    </row>
    <row r="762" customFormat="false" ht="17.25" hidden="false" customHeight="true" outlineLevel="0" collapsed="false">
      <c r="A762" s="52" t="s">
        <v>5777</v>
      </c>
      <c r="B762" s="52" t="s">
        <v>5813</v>
      </c>
      <c r="C762" s="53" t="n">
        <v>831928</v>
      </c>
      <c r="D762" s="52" t="s">
        <v>1790</v>
      </c>
      <c r="E762" s="52" t="s">
        <v>1791</v>
      </c>
      <c r="F762" s="54" t="n">
        <v>14</v>
      </c>
      <c r="G762" s="55" t="n">
        <v>1562.96</v>
      </c>
      <c r="H762" s="55" t="n">
        <v>111.64</v>
      </c>
      <c r="I762" s="55" t="n">
        <v>111.64</v>
      </c>
      <c r="J762" s="52" t="s">
        <v>5816</v>
      </c>
      <c r="K762" s="56" t="n">
        <v>1</v>
      </c>
      <c r="L762" s="52" t="s">
        <v>5816</v>
      </c>
      <c r="M762" s="52" t="s">
        <v>247</v>
      </c>
    </row>
    <row r="763" customFormat="false" ht="17.25" hidden="false" customHeight="true" outlineLevel="0" collapsed="false">
      <c r="A763" s="52" t="s">
        <v>5777</v>
      </c>
      <c r="B763" s="52" t="s">
        <v>5813</v>
      </c>
      <c r="C763" s="53" t="n">
        <v>1383856</v>
      </c>
      <c r="D763" s="52" t="s">
        <v>1792</v>
      </c>
      <c r="E763" s="52" t="s">
        <v>1793</v>
      </c>
      <c r="F763" s="54" t="n">
        <v>2</v>
      </c>
      <c r="G763" s="55" t="n">
        <v>1562.94</v>
      </c>
      <c r="H763" s="55" t="n">
        <v>781.47</v>
      </c>
      <c r="I763" s="55" t="n">
        <v>1546.39</v>
      </c>
      <c r="J763" s="52" t="s">
        <v>5816</v>
      </c>
      <c r="K763" s="56" t="n">
        <v>1</v>
      </c>
      <c r="L763" s="52" t="s">
        <v>5816</v>
      </c>
      <c r="M763" s="52" t="s">
        <v>100</v>
      </c>
    </row>
    <row r="764" customFormat="false" ht="17.25" hidden="false" customHeight="true" outlineLevel="0" collapsed="false">
      <c r="A764" s="52" t="s">
        <v>5777</v>
      </c>
      <c r="B764" s="52" t="s">
        <v>5813</v>
      </c>
      <c r="C764" s="53" t="n">
        <v>10375</v>
      </c>
      <c r="D764" s="52" t="s">
        <v>1794</v>
      </c>
      <c r="E764" s="52" t="s">
        <v>1795</v>
      </c>
      <c r="F764" s="54" t="n">
        <v>267.09</v>
      </c>
      <c r="G764" s="55" t="n">
        <v>1562.12</v>
      </c>
      <c r="H764" s="55" t="n">
        <v>5.8487</v>
      </c>
      <c r="I764" s="55" t="n">
        <v>5.81</v>
      </c>
      <c r="J764" s="52" t="s">
        <v>5822</v>
      </c>
      <c r="K764" s="56" t="n">
        <v>1</v>
      </c>
      <c r="L764" s="52" t="s">
        <v>5822</v>
      </c>
      <c r="M764" s="52" t="s">
        <v>133</v>
      </c>
    </row>
    <row r="765" customFormat="false" ht="17.25" hidden="false" customHeight="true" outlineLevel="0" collapsed="false">
      <c r="A765" s="52" t="s">
        <v>5777</v>
      </c>
      <c r="B765" s="52" t="s">
        <v>5813</v>
      </c>
      <c r="C765" s="53" t="n">
        <v>22355</v>
      </c>
      <c r="D765" s="52" t="s">
        <v>1796</v>
      </c>
      <c r="E765" s="52" t="s">
        <v>1797</v>
      </c>
      <c r="F765" s="54" t="n">
        <v>10</v>
      </c>
      <c r="G765" s="55" t="n">
        <v>1560</v>
      </c>
      <c r="H765" s="55" t="n">
        <v>156</v>
      </c>
      <c r="I765" s="55" t="n">
        <v>140</v>
      </c>
      <c r="J765" s="52" t="s">
        <v>5816</v>
      </c>
      <c r="K765" s="56" t="n">
        <v>1</v>
      </c>
      <c r="L765" s="52" t="s">
        <v>5816</v>
      </c>
      <c r="M765" s="52" t="s">
        <v>130</v>
      </c>
    </row>
    <row r="766" customFormat="false" ht="17.25" hidden="false" customHeight="true" outlineLevel="0" collapsed="false">
      <c r="A766" s="52" t="s">
        <v>5777</v>
      </c>
      <c r="B766" s="52" t="s">
        <v>5813</v>
      </c>
      <c r="C766" s="53" t="n">
        <v>32282</v>
      </c>
      <c r="D766" s="52" t="s">
        <v>1798</v>
      </c>
      <c r="E766" s="52" t="s">
        <v>1799</v>
      </c>
      <c r="F766" s="54" t="n">
        <v>2</v>
      </c>
      <c r="G766" s="55" t="n">
        <v>1560</v>
      </c>
      <c r="H766" s="55" t="n">
        <v>780</v>
      </c>
      <c r="I766" s="55" t="n">
        <v>780</v>
      </c>
      <c r="J766" s="52" t="s">
        <v>5816</v>
      </c>
      <c r="K766" s="56" t="n">
        <v>1</v>
      </c>
      <c r="L766" s="52" t="s">
        <v>5816</v>
      </c>
      <c r="M766" s="52" t="s">
        <v>130</v>
      </c>
    </row>
    <row r="767" customFormat="false" ht="17.25" hidden="false" customHeight="true" outlineLevel="0" collapsed="false">
      <c r="A767" s="52" t="s">
        <v>5777</v>
      </c>
      <c r="B767" s="52" t="s">
        <v>5813</v>
      </c>
      <c r="C767" s="53" t="n">
        <v>1317604</v>
      </c>
      <c r="D767" s="52" t="s">
        <v>1800</v>
      </c>
      <c r="E767" s="52" t="s">
        <v>1801</v>
      </c>
      <c r="F767" s="54" t="n">
        <v>2</v>
      </c>
      <c r="G767" s="55" t="n">
        <v>1560</v>
      </c>
      <c r="H767" s="55" t="n">
        <v>780</v>
      </c>
      <c r="I767" s="55" t="n">
        <v>780</v>
      </c>
      <c r="J767" s="52" t="s">
        <v>5816</v>
      </c>
      <c r="K767" s="56" t="n">
        <v>1</v>
      </c>
      <c r="L767" s="52" t="s">
        <v>5816</v>
      </c>
      <c r="M767" s="52" t="s">
        <v>54</v>
      </c>
    </row>
    <row r="768" customFormat="false" ht="17.25" hidden="false" customHeight="true" outlineLevel="0" collapsed="false">
      <c r="A768" s="52" t="s">
        <v>5777</v>
      </c>
      <c r="B768" s="52" t="s">
        <v>5813</v>
      </c>
      <c r="C768" s="53" t="n">
        <v>1326659</v>
      </c>
      <c r="D768" s="52" t="s">
        <v>1802</v>
      </c>
      <c r="E768" s="52" t="s">
        <v>1803</v>
      </c>
      <c r="F768" s="54" t="n">
        <v>23</v>
      </c>
      <c r="G768" s="55" t="n">
        <v>1557.21</v>
      </c>
      <c r="H768" s="55" t="n">
        <v>67.7048</v>
      </c>
      <c r="I768" s="55" t="n">
        <v>119.14</v>
      </c>
      <c r="J768" s="52" t="s">
        <v>5818</v>
      </c>
      <c r="K768" s="56" t="n">
        <v>1</v>
      </c>
      <c r="L768" s="52" t="s">
        <v>5816</v>
      </c>
      <c r="M768" s="52" t="s">
        <v>38</v>
      </c>
    </row>
    <row r="769" customFormat="false" ht="17.25" hidden="false" customHeight="true" outlineLevel="0" collapsed="false">
      <c r="A769" s="52" t="s">
        <v>5777</v>
      </c>
      <c r="B769" s="52" t="s">
        <v>5813</v>
      </c>
      <c r="C769" s="53" t="n">
        <v>1605940</v>
      </c>
      <c r="D769" s="52" t="s">
        <v>1804</v>
      </c>
      <c r="E769" s="52" t="s">
        <v>1805</v>
      </c>
      <c r="F769" s="54" t="n">
        <v>18</v>
      </c>
      <c r="G769" s="55" t="n">
        <v>1557.18</v>
      </c>
      <c r="H769" s="55" t="n">
        <v>86.51</v>
      </c>
      <c r="I769" s="55" t="n">
        <v>86.51</v>
      </c>
      <c r="J769" s="52" t="s">
        <v>5816</v>
      </c>
      <c r="K769" s="56" t="n">
        <v>1</v>
      </c>
      <c r="L769" s="52" t="s">
        <v>5816</v>
      </c>
      <c r="M769" s="52" t="s">
        <v>38</v>
      </c>
    </row>
    <row r="770" customFormat="false" ht="17.25" hidden="false" customHeight="true" outlineLevel="0" collapsed="false">
      <c r="A770" s="52" t="s">
        <v>5777</v>
      </c>
      <c r="B770" s="52" t="s">
        <v>5813</v>
      </c>
      <c r="C770" s="53" t="n">
        <v>1113543</v>
      </c>
      <c r="D770" s="52" t="s">
        <v>1808</v>
      </c>
      <c r="E770" s="52" t="s">
        <v>1809</v>
      </c>
      <c r="F770" s="54" t="n">
        <v>20.2</v>
      </c>
      <c r="G770" s="55" t="n">
        <v>1553.38</v>
      </c>
      <c r="H770" s="55" t="n">
        <v>76.9</v>
      </c>
      <c r="I770" s="55" t="n">
        <v>76.9</v>
      </c>
      <c r="J770" s="52" t="s">
        <v>5815</v>
      </c>
      <c r="K770" s="56" t="n">
        <v>1</v>
      </c>
      <c r="L770" s="52" t="s">
        <v>5815</v>
      </c>
      <c r="M770" s="52" t="s">
        <v>63</v>
      </c>
    </row>
    <row r="771" customFormat="false" ht="17.25" hidden="false" customHeight="true" outlineLevel="0" collapsed="false">
      <c r="A771" s="52" t="s">
        <v>5777</v>
      </c>
      <c r="B771" s="52" t="s">
        <v>5813</v>
      </c>
      <c r="C771" s="53" t="n">
        <v>1674335</v>
      </c>
      <c r="D771" s="52" t="s">
        <v>1810</v>
      </c>
      <c r="E771" s="52" t="s">
        <v>1811</v>
      </c>
      <c r="F771" s="54" t="n">
        <v>2</v>
      </c>
      <c r="G771" s="55" t="n">
        <v>1540</v>
      </c>
      <c r="H771" s="55" t="n">
        <v>770</v>
      </c>
      <c r="I771" s="55" t="n">
        <v>770</v>
      </c>
      <c r="J771" s="52" t="s">
        <v>5816</v>
      </c>
      <c r="K771" s="56" t="n">
        <v>1</v>
      </c>
      <c r="L771" s="52" t="s">
        <v>5816</v>
      </c>
      <c r="M771" s="52" t="s">
        <v>480</v>
      </c>
    </row>
    <row r="772" customFormat="false" ht="17.25" hidden="false" customHeight="true" outlineLevel="0" collapsed="false">
      <c r="A772" s="52" t="s">
        <v>5777</v>
      </c>
      <c r="B772" s="52" t="s">
        <v>5813</v>
      </c>
      <c r="C772" s="53" t="n">
        <v>23813</v>
      </c>
      <c r="D772" s="52" t="s">
        <v>1814</v>
      </c>
      <c r="E772" s="52" t="s">
        <v>1815</v>
      </c>
      <c r="F772" s="54" t="n">
        <v>5</v>
      </c>
      <c r="G772" s="55" t="n">
        <v>1535</v>
      </c>
      <c r="H772" s="55" t="n">
        <v>307</v>
      </c>
      <c r="I772" s="55" t="n">
        <v>307</v>
      </c>
      <c r="J772" s="52" t="s">
        <v>5816</v>
      </c>
      <c r="K772" s="56" t="n">
        <v>1</v>
      </c>
      <c r="L772" s="52" t="s">
        <v>5816</v>
      </c>
      <c r="M772" s="52" t="s">
        <v>247</v>
      </c>
    </row>
    <row r="773" customFormat="false" ht="17.25" hidden="false" customHeight="true" outlineLevel="0" collapsed="false">
      <c r="A773" s="52" t="s">
        <v>5777</v>
      </c>
      <c r="B773" s="52" t="s">
        <v>5813</v>
      </c>
      <c r="C773" s="53" t="n">
        <v>1384964</v>
      </c>
      <c r="D773" s="52" t="s">
        <v>1816</v>
      </c>
      <c r="E773" s="52" t="s">
        <v>1817</v>
      </c>
      <c r="F773" s="54" t="n">
        <v>70</v>
      </c>
      <c r="G773" s="55" t="n">
        <v>1532.4</v>
      </c>
      <c r="H773" s="55" t="n">
        <v>21.8914</v>
      </c>
      <c r="I773" s="55" t="n">
        <v>21.16</v>
      </c>
      <c r="J773" s="52" t="s">
        <v>5814</v>
      </c>
      <c r="K773" s="56" t="n">
        <v>1</v>
      </c>
      <c r="L773" s="52" t="s">
        <v>5814</v>
      </c>
      <c r="M773" s="52" t="s">
        <v>38</v>
      </c>
    </row>
    <row r="774" customFormat="false" ht="17.25" hidden="false" customHeight="true" outlineLevel="0" collapsed="false">
      <c r="A774" s="52" t="s">
        <v>5777</v>
      </c>
      <c r="B774" s="52" t="s">
        <v>5813</v>
      </c>
      <c r="C774" s="53" t="n">
        <v>648168</v>
      </c>
      <c r="D774" s="52" t="s">
        <v>1818</v>
      </c>
      <c r="E774" s="52" t="s">
        <v>1819</v>
      </c>
      <c r="F774" s="54" t="n">
        <v>5</v>
      </c>
      <c r="G774" s="55" t="n">
        <v>1528.8</v>
      </c>
      <c r="H774" s="55" t="n">
        <v>305.76</v>
      </c>
      <c r="I774" s="55" t="n">
        <v>42.2</v>
      </c>
      <c r="J774" s="52" t="s">
        <v>5816</v>
      </c>
      <c r="K774" s="56" t="n">
        <v>1</v>
      </c>
      <c r="L774" s="52" t="s">
        <v>5816</v>
      </c>
      <c r="M774" s="52" t="s">
        <v>363</v>
      </c>
    </row>
    <row r="775" customFormat="false" ht="17.25" hidden="false" customHeight="true" outlineLevel="0" collapsed="false">
      <c r="A775" s="52" t="s">
        <v>5777</v>
      </c>
      <c r="B775" s="52" t="s">
        <v>5813</v>
      </c>
      <c r="C775" s="53" t="n">
        <v>957747</v>
      </c>
      <c r="D775" s="52" t="s">
        <v>1820</v>
      </c>
      <c r="E775" s="52" t="s">
        <v>1821</v>
      </c>
      <c r="F775" s="54" t="n">
        <v>10</v>
      </c>
      <c r="G775" s="55" t="n">
        <v>1521</v>
      </c>
      <c r="H775" s="55" t="n">
        <v>152.1</v>
      </c>
      <c r="I775" s="55" t="n">
        <v>152.1</v>
      </c>
      <c r="J775" s="52" t="s">
        <v>5816</v>
      </c>
      <c r="K775" s="56" t="n">
        <v>1</v>
      </c>
      <c r="L775" s="52" t="s">
        <v>5816</v>
      </c>
      <c r="M775" s="52" t="s">
        <v>247</v>
      </c>
    </row>
    <row r="776" customFormat="false" ht="17.25" hidden="false" customHeight="true" outlineLevel="0" collapsed="false">
      <c r="A776" s="52" t="s">
        <v>5777</v>
      </c>
      <c r="B776" s="52" t="s">
        <v>5813</v>
      </c>
      <c r="C776" s="53" t="n">
        <v>59678</v>
      </c>
      <c r="D776" s="52" t="s">
        <v>1822</v>
      </c>
      <c r="E776" s="52" t="s">
        <v>1823</v>
      </c>
      <c r="F776" s="54" t="n">
        <v>2</v>
      </c>
      <c r="G776" s="55" t="n">
        <v>1520.48</v>
      </c>
      <c r="H776" s="55" t="n">
        <v>760.24</v>
      </c>
      <c r="I776" s="55" t="n">
        <v>760.24</v>
      </c>
      <c r="J776" s="52" t="s">
        <v>5816</v>
      </c>
      <c r="K776" s="56" t="n">
        <v>1</v>
      </c>
      <c r="L776" s="52" t="s">
        <v>5816</v>
      </c>
      <c r="M776" s="52" t="s">
        <v>363</v>
      </c>
    </row>
    <row r="777" customFormat="false" ht="17.25" hidden="false" customHeight="true" outlineLevel="0" collapsed="false">
      <c r="A777" s="52" t="s">
        <v>5777</v>
      </c>
      <c r="B777" s="52" t="s">
        <v>5813</v>
      </c>
      <c r="C777" s="53" t="n">
        <v>18823</v>
      </c>
      <c r="D777" s="52" t="s">
        <v>1824</v>
      </c>
      <c r="E777" s="52" t="s">
        <v>1825</v>
      </c>
      <c r="F777" s="54" t="n">
        <v>50</v>
      </c>
      <c r="G777" s="55" t="n">
        <v>1519.7</v>
      </c>
      <c r="H777" s="55" t="n">
        <v>30.394</v>
      </c>
      <c r="I777" s="55" t="n">
        <v>29.99</v>
      </c>
      <c r="J777" s="52" t="s">
        <v>5831</v>
      </c>
      <c r="K777" s="56" t="n">
        <v>1</v>
      </c>
      <c r="L777" s="52" t="s">
        <v>5831</v>
      </c>
      <c r="M777" s="52" t="s">
        <v>247</v>
      </c>
    </row>
    <row r="778" customFormat="false" ht="17.25" hidden="false" customHeight="true" outlineLevel="0" collapsed="false">
      <c r="A778" s="52" t="s">
        <v>5777</v>
      </c>
      <c r="B778" s="52" t="s">
        <v>5813</v>
      </c>
      <c r="C778" s="53" t="n">
        <v>287820</v>
      </c>
      <c r="D778" s="52" t="s">
        <v>1826</v>
      </c>
      <c r="E778" s="52" t="s">
        <v>1827</v>
      </c>
      <c r="F778" s="54" t="n">
        <v>50</v>
      </c>
      <c r="G778" s="55" t="n">
        <v>1518.2</v>
      </c>
      <c r="H778" s="55" t="n">
        <v>30.364</v>
      </c>
      <c r="I778" s="55" t="n">
        <v>32.01</v>
      </c>
      <c r="J778" s="52" t="s">
        <v>5816</v>
      </c>
      <c r="K778" s="56" t="n">
        <v>1</v>
      </c>
      <c r="L778" s="52" t="s">
        <v>5816</v>
      </c>
      <c r="M778" s="52" t="s">
        <v>100</v>
      </c>
    </row>
    <row r="779" customFormat="false" ht="17.25" hidden="false" customHeight="true" outlineLevel="0" collapsed="false">
      <c r="A779" s="52" t="s">
        <v>5777</v>
      </c>
      <c r="B779" s="52" t="s">
        <v>5813</v>
      </c>
      <c r="C779" s="53" t="n">
        <v>1474895</v>
      </c>
      <c r="D779" s="52" t="s">
        <v>1828</v>
      </c>
      <c r="E779" s="52" t="s">
        <v>1829</v>
      </c>
      <c r="F779" s="54" t="n">
        <v>12</v>
      </c>
      <c r="G779" s="55" t="n">
        <v>1508.16</v>
      </c>
      <c r="H779" s="55" t="n">
        <v>125.68</v>
      </c>
      <c r="I779" s="55" t="n">
        <v>125.68</v>
      </c>
      <c r="J779" s="52" t="s">
        <v>5816</v>
      </c>
      <c r="K779" s="56" t="n">
        <v>1</v>
      </c>
      <c r="L779" s="52" t="s">
        <v>5816</v>
      </c>
      <c r="M779" s="52" t="s">
        <v>38</v>
      </c>
    </row>
    <row r="780" customFormat="false" ht="17.25" hidden="false" customHeight="true" outlineLevel="0" collapsed="false">
      <c r="A780" s="52" t="s">
        <v>5777</v>
      </c>
      <c r="B780" s="52" t="s">
        <v>5813</v>
      </c>
      <c r="C780" s="53" t="n">
        <v>220929</v>
      </c>
      <c r="D780" s="52" t="s">
        <v>1830</v>
      </c>
      <c r="E780" s="52" t="s">
        <v>1831</v>
      </c>
      <c r="F780" s="54" t="n">
        <v>7</v>
      </c>
      <c r="G780" s="55" t="n">
        <v>1506</v>
      </c>
      <c r="H780" s="55" t="n">
        <v>215.1429</v>
      </c>
      <c r="I780" s="55" t="n">
        <v>278</v>
      </c>
      <c r="J780" s="52" t="s">
        <v>5816</v>
      </c>
      <c r="K780" s="56" t="n">
        <v>1</v>
      </c>
      <c r="L780" s="52" t="s">
        <v>5816</v>
      </c>
      <c r="M780" s="52" t="s">
        <v>38</v>
      </c>
    </row>
    <row r="781" customFormat="false" ht="17.25" hidden="false" customHeight="true" outlineLevel="0" collapsed="false">
      <c r="A781" s="52" t="s">
        <v>5777</v>
      </c>
      <c r="B781" s="52" t="s">
        <v>5813</v>
      </c>
      <c r="C781" s="53" t="n">
        <v>1603990</v>
      </c>
      <c r="D781" s="52" t="s">
        <v>1832</v>
      </c>
      <c r="E781" s="52" t="s">
        <v>1833</v>
      </c>
      <c r="F781" s="54" t="n">
        <v>114</v>
      </c>
      <c r="G781" s="55" t="n">
        <v>1501.38</v>
      </c>
      <c r="H781" s="55" t="n">
        <v>13.17</v>
      </c>
      <c r="I781" s="55" t="n">
        <v>13.17</v>
      </c>
      <c r="J781" s="52" t="s">
        <v>5816</v>
      </c>
      <c r="K781" s="56" t="n">
        <v>1</v>
      </c>
      <c r="L781" s="52" t="s">
        <v>5816</v>
      </c>
      <c r="M781" s="52" t="s">
        <v>38</v>
      </c>
    </row>
    <row r="782" customFormat="false" ht="17.25" hidden="false" customHeight="true" outlineLevel="0" collapsed="false">
      <c r="A782" s="52" t="s">
        <v>5777</v>
      </c>
      <c r="B782" s="52" t="s">
        <v>5813</v>
      </c>
      <c r="C782" s="53" t="n">
        <v>647810</v>
      </c>
      <c r="D782" s="52" t="s">
        <v>1834</v>
      </c>
      <c r="E782" s="52" t="s">
        <v>1835</v>
      </c>
      <c r="F782" s="54" t="n">
        <v>10</v>
      </c>
      <c r="G782" s="55" t="n">
        <v>1500</v>
      </c>
      <c r="H782" s="55" t="n">
        <v>150</v>
      </c>
      <c r="I782" s="55" t="n">
        <v>150</v>
      </c>
      <c r="J782" s="52" t="s">
        <v>5816</v>
      </c>
      <c r="K782" s="56" t="n">
        <v>1</v>
      </c>
      <c r="L782" s="52" t="s">
        <v>5816</v>
      </c>
      <c r="M782" s="52" t="s">
        <v>262</v>
      </c>
    </row>
    <row r="783" customFormat="false" ht="17.25" hidden="false" customHeight="true" outlineLevel="0" collapsed="false">
      <c r="A783" s="52" t="s">
        <v>5777</v>
      </c>
      <c r="B783" s="52" t="s">
        <v>5813</v>
      </c>
      <c r="C783" s="53" t="n">
        <v>875108</v>
      </c>
      <c r="D783" s="52" t="s">
        <v>1170</v>
      </c>
      <c r="E783" s="52" t="s">
        <v>1171</v>
      </c>
      <c r="F783" s="54" t="n">
        <v>2</v>
      </c>
      <c r="G783" s="55" t="n">
        <v>1495.53</v>
      </c>
      <c r="H783" s="55" t="n">
        <v>747.765</v>
      </c>
      <c r="I783" s="55" t="n">
        <v>747.765</v>
      </c>
      <c r="J783" s="52" t="s">
        <v>5816</v>
      </c>
      <c r="K783" s="56" t="n">
        <v>1</v>
      </c>
      <c r="L783" s="52" t="s">
        <v>5816</v>
      </c>
      <c r="M783" s="52" t="s">
        <v>247</v>
      </c>
    </row>
    <row r="784" customFormat="false" ht="17.25" hidden="false" customHeight="true" outlineLevel="0" collapsed="false">
      <c r="A784" s="52" t="s">
        <v>5777</v>
      </c>
      <c r="B784" s="52" t="s">
        <v>5813</v>
      </c>
      <c r="C784" s="53" t="n">
        <v>22769</v>
      </c>
      <c r="D784" s="52" t="s">
        <v>1836</v>
      </c>
      <c r="E784" s="52" t="s">
        <v>1837</v>
      </c>
      <c r="F784" s="54" t="n">
        <v>180</v>
      </c>
      <c r="G784" s="55" t="n">
        <v>1491</v>
      </c>
      <c r="H784" s="55" t="n">
        <v>8.2833</v>
      </c>
      <c r="I784" s="55" t="n">
        <v>8.5</v>
      </c>
      <c r="J784" s="52" t="s">
        <v>5816</v>
      </c>
      <c r="K784" s="56" t="n">
        <v>1</v>
      </c>
      <c r="L784" s="52" t="s">
        <v>5816</v>
      </c>
      <c r="M784" s="52" t="s">
        <v>247</v>
      </c>
    </row>
    <row r="785" customFormat="false" ht="17.25" hidden="false" customHeight="true" outlineLevel="0" collapsed="false">
      <c r="A785" s="52" t="s">
        <v>5777</v>
      </c>
      <c r="B785" s="52" t="s">
        <v>5813</v>
      </c>
      <c r="C785" s="53" t="n">
        <v>12539</v>
      </c>
      <c r="D785" s="52" t="s">
        <v>1838</v>
      </c>
      <c r="E785" s="52" t="s">
        <v>1839</v>
      </c>
      <c r="F785" s="54" t="n">
        <v>39</v>
      </c>
      <c r="G785" s="55" t="n">
        <v>1479</v>
      </c>
      <c r="H785" s="55" t="n">
        <v>37.9235</v>
      </c>
      <c r="I785" s="55" t="n">
        <v>29.89</v>
      </c>
      <c r="J785" s="52" t="s">
        <v>5814</v>
      </c>
      <c r="K785" s="56" t="n">
        <v>1</v>
      </c>
      <c r="L785" s="52" t="s">
        <v>5814</v>
      </c>
      <c r="M785" s="52" t="s">
        <v>38</v>
      </c>
    </row>
    <row r="786" customFormat="false" ht="17.25" hidden="false" customHeight="true" outlineLevel="0" collapsed="false">
      <c r="A786" s="52" t="s">
        <v>5777</v>
      </c>
      <c r="B786" s="52" t="s">
        <v>5813</v>
      </c>
      <c r="C786" s="53" t="n">
        <v>1465280</v>
      </c>
      <c r="D786" s="52" t="s">
        <v>1840</v>
      </c>
      <c r="E786" s="52" t="s">
        <v>1841</v>
      </c>
      <c r="F786" s="54" t="n">
        <v>461</v>
      </c>
      <c r="G786" s="55" t="n">
        <v>1475.2</v>
      </c>
      <c r="H786" s="55" t="n">
        <v>3.2</v>
      </c>
      <c r="I786" s="55" t="n">
        <v>3.2</v>
      </c>
      <c r="J786" s="52" t="s">
        <v>5816</v>
      </c>
      <c r="K786" s="56" t="n">
        <v>1</v>
      </c>
      <c r="L786" s="52" t="s">
        <v>5816</v>
      </c>
      <c r="M786" s="52" t="s">
        <v>100</v>
      </c>
    </row>
    <row r="787" customFormat="false" ht="17.25" hidden="false" customHeight="true" outlineLevel="0" collapsed="false">
      <c r="A787" s="52" t="s">
        <v>5777</v>
      </c>
      <c r="B787" s="52" t="s">
        <v>5813</v>
      </c>
      <c r="C787" s="53" t="n">
        <v>11277</v>
      </c>
      <c r="D787" s="52" t="s">
        <v>1842</v>
      </c>
      <c r="E787" s="52" t="s">
        <v>1843</v>
      </c>
      <c r="F787" s="54" t="n">
        <v>70</v>
      </c>
      <c r="G787" s="55" t="n">
        <v>1470</v>
      </c>
      <c r="H787" s="55" t="n">
        <v>21</v>
      </c>
      <c r="I787" s="55" t="n">
        <v>21</v>
      </c>
      <c r="J787" s="52" t="s">
        <v>5814</v>
      </c>
      <c r="K787" s="56" t="n">
        <v>1</v>
      </c>
      <c r="L787" s="52" t="s">
        <v>5814</v>
      </c>
      <c r="M787" s="52" t="s">
        <v>66</v>
      </c>
    </row>
    <row r="788" customFormat="false" ht="17.25" hidden="false" customHeight="true" outlineLevel="0" collapsed="false">
      <c r="A788" s="52" t="s">
        <v>5777</v>
      </c>
      <c r="B788" s="52" t="s">
        <v>5813</v>
      </c>
      <c r="C788" s="53" t="n">
        <v>57880</v>
      </c>
      <c r="D788" s="52" t="s">
        <v>1844</v>
      </c>
      <c r="E788" s="52" t="s">
        <v>1845</v>
      </c>
      <c r="F788" s="54" t="n">
        <v>2</v>
      </c>
      <c r="G788" s="55" t="n">
        <v>1469.76</v>
      </c>
      <c r="H788" s="55" t="n">
        <v>734.88</v>
      </c>
      <c r="I788" s="55" t="n">
        <v>734.88</v>
      </c>
      <c r="J788" s="52" t="s">
        <v>5816</v>
      </c>
      <c r="K788" s="56" t="n">
        <v>1</v>
      </c>
      <c r="L788" s="52" t="s">
        <v>5816</v>
      </c>
      <c r="M788" s="52" t="s">
        <v>130</v>
      </c>
    </row>
    <row r="789" customFormat="false" ht="17.25" hidden="false" customHeight="true" outlineLevel="0" collapsed="false">
      <c r="A789" s="52" t="s">
        <v>5777</v>
      </c>
      <c r="B789" s="52" t="s">
        <v>5813</v>
      </c>
      <c r="C789" s="53" t="n">
        <v>291686</v>
      </c>
      <c r="D789" s="52" t="s">
        <v>1846</v>
      </c>
      <c r="E789" s="52" t="s">
        <v>1847</v>
      </c>
      <c r="F789" s="54" t="n">
        <v>10</v>
      </c>
      <c r="G789" s="55" t="n">
        <v>1464.5</v>
      </c>
      <c r="H789" s="55" t="n">
        <v>146.45</v>
      </c>
      <c r="I789" s="55" t="n">
        <v>146.45</v>
      </c>
      <c r="J789" s="52" t="s">
        <v>5816</v>
      </c>
      <c r="K789" s="56" t="n">
        <v>1</v>
      </c>
      <c r="L789" s="52" t="s">
        <v>5816</v>
      </c>
      <c r="M789" s="52" t="s">
        <v>38</v>
      </c>
    </row>
    <row r="790" customFormat="false" ht="17.25" hidden="false" customHeight="true" outlineLevel="0" collapsed="false">
      <c r="A790" s="52" t="s">
        <v>5777</v>
      </c>
      <c r="B790" s="52" t="s">
        <v>5813</v>
      </c>
      <c r="C790" s="53" t="n">
        <v>1099788</v>
      </c>
      <c r="D790" s="52" t="s">
        <v>1848</v>
      </c>
      <c r="E790" s="52" t="s">
        <v>1849</v>
      </c>
      <c r="F790" s="54" t="n">
        <v>32</v>
      </c>
      <c r="G790" s="55" t="n">
        <v>1463.56</v>
      </c>
      <c r="H790" s="55" t="n">
        <v>45.7363</v>
      </c>
      <c r="I790" s="55" t="n">
        <v>54.98</v>
      </c>
      <c r="J790" s="52" t="s">
        <v>5816</v>
      </c>
      <c r="K790" s="56" t="n">
        <v>1</v>
      </c>
      <c r="L790" s="52" t="s">
        <v>5816</v>
      </c>
      <c r="M790" s="52" t="s">
        <v>130</v>
      </c>
    </row>
    <row r="791" customFormat="false" ht="17.25" hidden="false" customHeight="true" outlineLevel="0" collapsed="false">
      <c r="A791" s="52" t="s">
        <v>5777</v>
      </c>
      <c r="B791" s="52" t="s">
        <v>5813</v>
      </c>
      <c r="C791" s="53" t="n">
        <v>609683</v>
      </c>
      <c r="D791" s="52" t="s">
        <v>1850</v>
      </c>
      <c r="E791" s="52" t="s">
        <v>1851</v>
      </c>
      <c r="F791" s="54" t="n">
        <v>33</v>
      </c>
      <c r="G791" s="55" t="n">
        <v>1463.45</v>
      </c>
      <c r="H791" s="55" t="n">
        <v>44.347</v>
      </c>
      <c r="I791" s="55" t="n">
        <v>40</v>
      </c>
      <c r="J791" s="52" t="s">
        <v>5816</v>
      </c>
      <c r="K791" s="56" t="n">
        <v>1</v>
      </c>
      <c r="L791" s="52" t="s">
        <v>5816</v>
      </c>
      <c r="M791" s="52" t="s">
        <v>130</v>
      </c>
    </row>
    <row r="792" customFormat="false" ht="17.25" hidden="false" customHeight="true" outlineLevel="0" collapsed="false">
      <c r="A792" s="52" t="s">
        <v>5777</v>
      </c>
      <c r="B792" s="52" t="s">
        <v>5813</v>
      </c>
      <c r="C792" s="53" t="n">
        <v>18835</v>
      </c>
      <c r="D792" s="52" t="s">
        <v>1852</v>
      </c>
      <c r="E792" s="52" t="s">
        <v>1853</v>
      </c>
      <c r="F792" s="54" t="n">
        <v>15</v>
      </c>
      <c r="G792" s="55" t="n">
        <v>1462.05</v>
      </c>
      <c r="H792" s="55" t="n">
        <v>97.47</v>
      </c>
      <c r="I792" s="55" t="n">
        <v>94.41</v>
      </c>
      <c r="J792" s="52" t="s">
        <v>5831</v>
      </c>
      <c r="K792" s="56" t="n">
        <v>1</v>
      </c>
      <c r="L792" s="52" t="s">
        <v>5831</v>
      </c>
      <c r="M792" s="52" t="s">
        <v>247</v>
      </c>
    </row>
    <row r="793" customFormat="false" ht="17.25" hidden="false" customHeight="true" outlineLevel="0" collapsed="false">
      <c r="A793" s="52" t="s">
        <v>5777</v>
      </c>
      <c r="B793" s="52" t="s">
        <v>5813</v>
      </c>
      <c r="C793" s="53" t="n">
        <v>23284</v>
      </c>
      <c r="D793" s="52" t="s">
        <v>1854</v>
      </c>
      <c r="E793" s="52" t="s">
        <v>1855</v>
      </c>
      <c r="F793" s="54" t="n">
        <v>50</v>
      </c>
      <c r="G793" s="55" t="n">
        <v>1450</v>
      </c>
      <c r="H793" s="55" t="n">
        <v>29</v>
      </c>
      <c r="I793" s="55" t="n">
        <v>29</v>
      </c>
      <c r="J793" s="52" t="s">
        <v>5816</v>
      </c>
      <c r="K793" s="56" t="n">
        <v>1</v>
      </c>
      <c r="L793" s="52" t="s">
        <v>5816</v>
      </c>
      <c r="M793" s="52" t="s">
        <v>360</v>
      </c>
    </row>
    <row r="794" customFormat="false" ht="17.25" hidden="false" customHeight="true" outlineLevel="0" collapsed="false">
      <c r="A794" s="52" t="s">
        <v>5777</v>
      </c>
      <c r="B794" s="52" t="s">
        <v>5813</v>
      </c>
      <c r="C794" s="53" t="n">
        <v>23285</v>
      </c>
      <c r="D794" s="52" t="s">
        <v>1856</v>
      </c>
      <c r="E794" s="52" t="s">
        <v>1857</v>
      </c>
      <c r="F794" s="54" t="n">
        <v>50</v>
      </c>
      <c r="G794" s="55" t="n">
        <v>1450</v>
      </c>
      <c r="H794" s="55" t="n">
        <v>29</v>
      </c>
      <c r="I794" s="55" t="n">
        <v>29</v>
      </c>
      <c r="J794" s="52" t="s">
        <v>5816</v>
      </c>
      <c r="K794" s="56" t="n">
        <v>1</v>
      </c>
      <c r="L794" s="52" t="s">
        <v>5816</v>
      </c>
      <c r="M794" s="52" t="s">
        <v>360</v>
      </c>
    </row>
    <row r="795" customFormat="false" ht="17.25" hidden="false" customHeight="true" outlineLevel="0" collapsed="false">
      <c r="A795" s="52" t="s">
        <v>5777</v>
      </c>
      <c r="B795" s="52" t="s">
        <v>5813</v>
      </c>
      <c r="C795" s="53" t="n">
        <v>53719</v>
      </c>
      <c r="D795" s="52" t="s">
        <v>1858</v>
      </c>
      <c r="E795" s="52" t="s">
        <v>1859</v>
      </c>
      <c r="F795" s="54" t="n">
        <v>1</v>
      </c>
      <c r="G795" s="55" t="n">
        <v>1450</v>
      </c>
      <c r="H795" s="55" t="n">
        <v>1450</v>
      </c>
      <c r="I795" s="55" t="n">
        <v>1450</v>
      </c>
      <c r="J795" s="52" t="s">
        <v>5816</v>
      </c>
      <c r="K795" s="56" t="n">
        <v>1</v>
      </c>
      <c r="L795" s="52" t="s">
        <v>5816</v>
      </c>
      <c r="M795" s="52" t="s">
        <v>35</v>
      </c>
    </row>
    <row r="796" customFormat="false" ht="17.25" hidden="false" customHeight="true" outlineLevel="0" collapsed="false">
      <c r="A796" s="52" t="s">
        <v>5777</v>
      </c>
      <c r="B796" s="52" t="s">
        <v>5813</v>
      </c>
      <c r="C796" s="53" t="n">
        <v>1461780</v>
      </c>
      <c r="D796" s="52" t="s">
        <v>1860</v>
      </c>
      <c r="E796" s="52" t="s">
        <v>1861</v>
      </c>
      <c r="F796" s="54" t="n">
        <v>12</v>
      </c>
      <c r="G796" s="55" t="n">
        <v>1449.19</v>
      </c>
      <c r="H796" s="55" t="n">
        <v>120.7658</v>
      </c>
      <c r="I796" s="55" t="n">
        <v>120.7658</v>
      </c>
      <c r="J796" s="52" t="s">
        <v>5814</v>
      </c>
      <c r="K796" s="56" t="n">
        <v>1</v>
      </c>
      <c r="L796" s="52" t="s">
        <v>5814</v>
      </c>
      <c r="M796" s="52" t="s">
        <v>167</v>
      </c>
    </row>
    <row r="797" customFormat="false" ht="17.25" hidden="false" customHeight="true" outlineLevel="0" collapsed="false">
      <c r="A797" s="52" t="s">
        <v>5777</v>
      </c>
      <c r="B797" s="52" t="s">
        <v>5813</v>
      </c>
      <c r="C797" s="53" t="n">
        <v>875292</v>
      </c>
      <c r="D797" s="52" t="s">
        <v>1864</v>
      </c>
      <c r="E797" s="52" t="s">
        <v>1865</v>
      </c>
      <c r="F797" s="54" t="n">
        <v>650</v>
      </c>
      <c r="G797" s="55" t="n">
        <v>1447</v>
      </c>
      <c r="H797" s="55" t="n">
        <v>2.2262</v>
      </c>
      <c r="I797" s="55" t="n">
        <v>2.15</v>
      </c>
      <c r="J797" s="52" t="s">
        <v>5816</v>
      </c>
      <c r="K797" s="56" t="n">
        <v>1</v>
      </c>
      <c r="L797" s="52" t="s">
        <v>5816</v>
      </c>
      <c r="M797" s="52" t="s">
        <v>1618</v>
      </c>
    </row>
    <row r="798" customFormat="false" ht="17.25" hidden="false" customHeight="true" outlineLevel="0" collapsed="false">
      <c r="A798" s="52" t="s">
        <v>5777</v>
      </c>
      <c r="B798" s="52" t="s">
        <v>5813</v>
      </c>
      <c r="C798" s="53" t="n">
        <v>59900</v>
      </c>
      <c r="D798" s="52" t="s">
        <v>1866</v>
      </c>
      <c r="E798" s="52" t="s">
        <v>1867</v>
      </c>
      <c r="F798" s="54" t="n">
        <v>17</v>
      </c>
      <c r="G798" s="55" t="n">
        <v>1445</v>
      </c>
      <c r="H798" s="55" t="n">
        <v>85</v>
      </c>
      <c r="I798" s="55" t="n">
        <v>580</v>
      </c>
      <c r="J798" s="52" t="s">
        <v>5816</v>
      </c>
      <c r="K798" s="56" t="n">
        <v>1</v>
      </c>
      <c r="L798" s="52" t="s">
        <v>5816</v>
      </c>
      <c r="M798" s="52" t="s">
        <v>35</v>
      </c>
    </row>
    <row r="799" customFormat="false" ht="17.25" hidden="false" customHeight="true" outlineLevel="0" collapsed="false">
      <c r="A799" s="52" t="s">
        <v>5777</v>
      </c>
      <c r="B799" s="52" t="s">
        <v>5813</v>
      </c>
      <c r="C799" s="53" t="n">
        <v>1475106</v>
      </c>
      <c r="D799" s="52" t="s">
        <v>1868</v>
      </c>
      <c r="E799" s="52" t="s">
        <v>1869</v>
      </c>
      <c r="F799" s="54" t="n">
        <v>3</v>
      </c>
      <c r="G799" s="55" t="n">
        <v>1443.57</v>
      </c>
      <c r="H799" s="55" t="n">
        <v>481.19</v>
      </c>
      <c r="I799" s="55" t="n">
        <v>481.19</v>
      </c>
      <c r="J799" s="52" t="s">
        <v>5816</v>
      </c>
      <c r="K799" s="56" t="n">
        <v>1</v>
      </c>
      <c r="L799" s="52" t="s">
        <v>5816</v>
      </c>
      <c r="M799" s="52" t="s">
        <v>38</v>
      </c>
    </row>
    <row r="800" customFormat="false" ht="17.25" hidden="false" customHeight="true" outlineLevel="0" collapsed="false">
      <c r="A800" s="52" t="s">
        <v>5777</v>
      </c>
      <c r="B800" s="52" t="s">
        <v>5813</v>
      </c>
      <c r="C800" s="53" t="n">
        <v>18836</v>
      </c>
      <c r="D800" s="52" t="s">
        <v>1870</v>
      </c>
      <c r="E800" s="52" t="s">
        <v>1871</v>
      </c>
      <c r="F800" s="54" t="n">
        <v>15</v>
      </c>
      <c r="G800" s="55" t="n">
        <v>1442.05</v>
      </c>
      <c r="H800" s="55" t="n">
        <v>96.1367</v>
      </c>
      <c r="I800" s="55" t="n">
        <v>94.41</v>
      </c>
      <c r="J800" s="52" t="s">
        <v>5831</v>
      </c>
      <c r="K800" s="56" t="n">
        <v>1</v>
      </c>
      <c r="L800" s="52" t="s">
        <v>5831</v>
      </c>
      <c r="M800" s="52" t="s">
        <v>247</v>
      </c>
    </row>
    <row r="801" customFormat="false" ht="17.25" hidden="false" customHeight="true" outlineLevel="0" collapsed="false">
      <c r="A801" s="52" t="s">
        <v>5777</v>
      </c>
      <c r="B801" s="52" t="s">
        <v>5813</v>
      </c>
      <c r="C801" s="53" t="n">
        <v>1385905</v>
      </c>
      <c r="D801" s="52" t="s">
        <v>1872</v>
      </c>
      <c r="E801" s="52" t="s">
        <v>1873</v>
      </c>
      <c r="F801" s="54" t="n">
        <v>312</v>
      </c>
      <c r="G801" s="55" t="n">
        <v>1441.66</v>
      </c>
      <c r="H801" s="55" t="n">
        <v>4.6207</v>
      </c>
      <c r="I801" s="55" t="n">
        <v>4.5</v>
      </c>
      <c r="J801" s="52" t="s">
        <v>5816</v>
      </c>
      <c r="K801" s="56" t="n">
        <v>1</v>
      </c>
      <c r="L801" s="52" t="s">
        <v>5816</v>
      </c>
      <c r="M801" s="52" t="s">
        <v>160</v>
      </c>
    </row>
    <row r="802" customFormat="false" ht="17.25" hidden="false" customHeight="true" outlineLevel="0" collapsed="false">
      <c r="A802" s="52" t="s">
        <v>5777</v>
      </c>
      <c r="B802" s="52" t="s">
        <v>5813</v>
      </c>
      <c r="C802" s="53" t="n">
        <v>19627</v>
      </c>
      <c r="D802" s="52" t="s">
        <v>1874</v>
      </c>
      <c r="E802" s="52" t="s">
        <v>1875</v>
      </c>
      <c r="F802" s="54" t="n">
        <v>10</v>
      </c>
      <c r="G802" s="55" t="n">
        <v>1440</v>
      </c>
      <c r="H802" s="55" t="n">
        <v>144</v>
      </c>
      <c r="I802" s="55" t="n">
        <v>144</v>
      </c>
      <c r="J802" s="52" t="s">
        <v>5816</v>
      </c>
      <c r="K802" s="56" t="n">
        <v>1</v>
      </c>
      <c r="L802" s="52" t="s">
        <v>5816</v>
      </c>
      <c r="M802" s="52" t="s">
        <v>1095</v>
      </c>
    </row>
    <row r="803" customFormat="false" ht="17.25" hidden="false" customHeight="true" outlineLevel="0" collapsed="false">
      <c r="A803" s="52" t="s">
        <v>5777</v>
      </c>
      <c r="B803" s="52" t="s">
        <v>5813</v>
      </c>
      <c r="C803" s="53" t="n">
        <v>19629</v>
      </c>
      <c r="D803" s="52" t="s">
        <v>1876</v>
      </c>
      <c r="E803" s="52" t="s">
        <v>1877</v>
      </c>
      <c r="F803" s="54" t="n">
        <v>10</v>
      </c>
      <c r="G803" s="55" t="n">
        <v>1440</v>
      </c>
      <c r="H803" s="55" t="n">
        <v>144</v>
      </c>
      <c r="I803" s="55" t="n">
        <v>144</v>
      </c>
      <c r="J803" s="52" t="s">
        <v>5816</v>
      </c>
      <c r="K803" s="56" t="n">
        <v>1</v>
      </c>
      <c r="L803" s="52" t="s">
        <v>5816</v>
      </c>
      <c r="M803" s="52" t="s">
        <v>1095</v>
      </c>
    </row>
    <row r="804" customFormat="false" ht="17.25" hidden="false" customHeight="true" outlineLevel="0" collapsed="false">
      <c r="A804" s="52" t="s">
        <v>5777</v>
      </c>
      <c r="B804" s="52" t="s">
        <v>5813</v>
      </c>
      <c r="C804" s="53" t="n">
        <v>1654879</v>
      </c>
      <c r="D804" s="52" t="s">
        <v>1878</v>
      </c>
      <c r="E804" s="52" t="s">
        <v>1879</v>
      </c>
      <c r="F804" s="54" t="n">
        <v>4</v>
      </c>
      <c r="G804" s="55" t="n">
        <v>1440</v>
      </c>
      <c r="H804" s="55" t="n">
        <v>360</v>
      </c>
      <c r="I804" s="55" t="n">
        <v>360</v>
      </c>
      <c r="J804" s="52" t="s">
        <v>5816</v>
      </c>
      <c r="K804" s="56" t="n">
        <v>1</v>
      </c>
      <c r="L804" s="52" t="s">
        <v>5816</v>
      </c>
      <c r="M804" s="52" t="s">
        <v>705</v>
      </c>
    </row>
    <row r="805" customFormat="false" ht="17.25" hidden="false" customHeight="true" outlineLevel="0" collapsed="false">
      <c r="A805" s="52" t="s">
        <v>5777</v>
      </c>
      <c r="B805" s="52" t="s">
        <v>5813</v>
      </c>
      <c r="C805" s="53" t="n">
        <v>228821</v>
      </c>
      <c r="D805" s="52" t="s">
        <v>1880</v>
      </c>
      <c r="E805" s="52" t="s">
        <v>1881</v>
      </c>
      <c r="F805" s="54" t="n">
        <v>8</v>
      </c>
      <c r="G805" s="55" t="n">
        <v>1424</v>
      </c>
      <c r="H805" s="55" t="n">
        <v>178</v>
      </c>
      <c r="I805" s="55" t="n">
        <v>178</v>
      </c>
      <c r="J805" s="52" t="s">
        <v>5885</v>
      </c>
      <c r="K805" s="56" t="n">
        <v>100</v>
      </c>
      <c r="L805" s="52" t="s">
        <v>5816</v>
      </c>
      <c r="M805" s="52" t="s">
        <v>100</v>
      </c>
    </row>
    <row r="806" customFormat="false" ht="17.25" hidden="false" customHeight="true" outlineLevel="0" collapsed="false">
      <c r="A806" s="52" t="s">
        <v>5777</v>
      </c>
      <c r="B806" s="52" t="s">
        <v>5813</v>
      </c>
      <c r="C806" s="53" t="n">
        <v>878336</v>
      </c>
      <c r="D806" s="52" t="s">
        <v>1882</v>
      </c>
      <c r="E806" s="52" t="s">
        <v>1883</v>
      </c>
      <c r="F806" s="54" t="n">
        <v>1</v>
      </c>
      <c r="G806" s="55" t="n">
        <v>1420</v>
      </c>
      <c r="H806" s="55" t="n">
        <v>1420</v>
      </c>
      <c r="I806" s="55" t="n">
        <v>1420</v>
      </c>
      <c r="J806" s="52" t="s">
        <v>5816</v>
      </c>
      <c r="K806" s="56" t="n">
        <v>1</v>
      </c>
      <c r="L806" s="52" t="s">
        <v>5816</v>
      </c>
      <c r="M806" s="52" t="s">
        <v>113</v>
      </c>
    </row>
    <row r="807" customFormat="false" ht="17.25" hidden="false" customHeight="true" outlineLevel="0" collapsed="false">
      <c r="A807" s="52" t="s">
        <v>5777</v>
      </c>
      <c r="B807" s="52" t="s">
        <v>5813</v>
      </c>
      <c r="C807" s="53" t="n">
        <v>30889</v>
      </c>
      <c r="D807" s="52" t="s">
        <v>1884</v>
      </c>
      <c r="E807" s="52" t="s">
        <v>1885</v>
      </c>
      <c r="F807" s="54" t="n">
        <v>3</v>
      </c>
      <c r="G807" s="55" t="n">
        <v>1414.5</v>
      </c>
      <c r="H807" s="55" t="n">
        <v>471.5</v>
      </c>
      <c r="I807" s="55" t="n">
        <v>471.5</v>
      </c>
      <c r="J807" s="52" t="s">
        <v>5869</v>
      </c>
      <c r="K807" s="56" t="n">
        <v>50</v>
      </c>
      <c r="L807" s="52" t="s">
        <v>5814</v>
      </c>
      <c r="M807" s="52" t="s">
        <v>38</v>
      </c>
    </row>
    <row r="808" customFormat="false" ht="17.25" hidden="false" customHeight="true" outlineLevel="0" collapsed="false">
      <c r="A808" s="52" t="s">
        <v>5777</v>
      </c>
      <c r="B808" s="52" t="s">
        <v>5813</v>
      </c>
      <c r="C808" s="53" t="n">
        <v>352400</v>
      </c>
      <c r="D808" s="52" t="s">
        <v>1886</v>
      </c>
      <c r="E808" s="52" t="s">
        <v>1887</v>
      </c>
      <c r="F808" s="54" t="n">
        <v>15</v>
      </c>
      <c r="G808" s="55" t="n">
        <v>1410</v>
      </c>
      <c r="H808" s="55" t="n">
        <v>94</v>
      </c>
      <c r="I808" s="55" t="n">
        <v>94</v>
      </c>
      <c r="J808" s="52" t="s">
        <v>5816</v>
      </c>
      <c r="K808" s="56" t="n">
        <v>1</v>
      </c>
      <c r="L808" s="52" t="s">
        <v>5816</v>
      </c>
      <c r="M808" s="52" t="s">
        <v>130</v>
      </c>
    </row>
    <row r="809" customFormat="false" ht="17.25" hidden="false" customHeight="true" outlineLevel="0" collapsed="false">
      <c r="A809" s="52" t="s">
        <v>5777</v>
      </c>
      <c r="B809" s="52" t="s">
        <v>5813</v>
      </c>
      <c r="C809" s="53" t="n">
        <v>1464675</v>
      </c>
      <c r="D809" s="52" t="s">
        <v>1888</v>
      </c>
      <c r="E809" s="52" t="s">
        <v>1889</v>
      </c>
      <c r="F809" s="54" t="n">
        <v>192</v>
      </c>
      <c r="G809" s="55" t="n">
        <v>1408.58</v>
      </c>
      <c r="H809" s="55" t="n">
        <v>7.3364</v>
      </c>
      <c r="I809" s="55" t="n">
        <v>10.3</v>
      </c>
      <c r="J809" s="52" t="s">
        <v>5816</v>
      </c>
      <c r="K809" s="56" t="n">
        <v>1</v>
      </c>
      <c r="L809" s="52" t="s">
        <v>5816</v>
      </c>
      <c r="M809" s="52" t="s">
        <v>100</v>
      </c>
    </row>
    <row r="810" customFormat="false" ht="17.25" hidden="false" customHeight="true" outlineLevel="0" collapsed="false">
      <c r="A810" s="52" t="s">
        <v>5777</v>
      </c>
      <c r="B810" s="52" t="s">
        <v>5813</v>
      </c>
      <c r="C810" s="53" t="n">
        <v>1312592</v>
      </c>
      <c r="D810" s="52" t="s">
        <v>1890</v>
      </c>
      <c r="E810" s="52" t="s">
        <v>1891</v>
      </c>
      <c r="F810" s="54" t="n">
        <v>8</v>
      </c>
      <c r="G810" s="55" t="n">
        <v>1402</v>
      </c>
      <c r="H810" s="55" t="n">
        <v>175.25</v>
      </c>
      <c r="I810" s="55" t="n">
        <v>175.25</v>
      </c>
      <c r="J810" s="52" t="s">
        <v>5816</v>
      </c>
      <c r="K810" s="56" t="n">
        <v>1</v>
      </c>
      <c r="L810" s="52" t="s">
        <v>5816</v>
      </c>
      <c r="M810" s="52" t="s">
        <v>189</v>
      </c>
    </row>
    <row r="811" customFormat="false" ht="17.25" hidden="false" customHeight="true" outlineLevel="0" collapsed="false">
      <c r="A811" s="52" t="s">
        <v>5777</v>
      </c>
      <c r="B811" s="52" t="s">
        <v>5813</v>
      </c>
      <c r="C811" s="53" t="n">
        <v>840009</v>
      </c>
      <c r="D811" s="52" t="s">
        <v>1892</v>
      </c>
      <c r="E811" s="52" t="s">
        <v>1893</v>
      </c>
      <c r="F811" s="54" t="n">
        <v>111</v>
      </c>
      <c r="G811" s="55" t="n">
        <v>1400.7</v>
      </c>
      <c r="H811" s="55" t="n">
        <v>12.6189</v>
      </c>
      <c r="I811" s="55" t="n">
        <v>12.1</v>
      </c>
      <c r="J811" s="52" t="s">
        <v>5816</v>
      </c>
      <c r="K811" s="56" t="n">
        <v>1</v>
      </c>
      <c r="L811" s="52" t="s">
        <v>5816</v>
      </c>
      <c r="M811" s="52" t="s">
        <v>54</v>
      </c>
    </row>
    <row r="812" customFormat="false" ht="17.25" hidden="false" customHeight="true" outlineLevel="0" collapsed="false">
      <c r="A812" s="52" t="s">
        <v>5777</v>
      </c>
      <c r="B812" s="52" t="s">
        <v>5813</v>
      </c>
      <c r="C812" s="53" t="n">
        <v>17891</v>
      </c>
      <c r="D812" s="52" t="s">
        <v>1894</v>
      </c>
      <c r="E812" s="52" t="s">
        <v>1895</v>
      </c>
      <c r="F812" s="54" t="n">
        <v>5</v>
      </c>
      <c r="G812" s="55" t="n">
        <v>1400</v>
      </c>
      <c r="H812" s="55" t="n">
        <v>280</v>
      </c>
      <c r="I812" s="55" t="n">
        <v>280</v>
      </c>
      <c r="J812" s="52" t="s">
        <v>5816</v>
      </c>
      <c r="K812" s="56" t="n">
        <v>1</v>
      </c>
      <c r="L812" s="52" t="s">
        <v>5816</v>
      </c>
      <c r="M812" s="52" t="s">
        <v>835</v>
      </c>
    </row>
    <row r="813" customFormat="false" ht="17.25" hidden="false" customHeight="true" outlineLevel="0" collapsed="false">
      <c r="A813" s="52" t="s">
        <v>5777</v>
      </c>
      <c r="B813" s="52" t="s">
        <v>5813</v>
      </c>
      <c r="C813" s="53" t="n">
        <v>21270</v>
      </c>
      <c r="D813" s="52" t="s">
        <v>1896</v>
      </c>
      <c r="E813" s="52" t="s">
        <v>1897</v>
      </c>
      <c r="F813" s="54" t="n">
        <v>1</v>
      </c>
      <c r="G813" s="55" t="n">
        <v>1398</v>
      </c>
      <c r="H813" s="55" t="n">
        <v>1398</v>
      </c>
      <c r="I813" s="55" t="n">
        <v>1398</v>
      </c>
      <c r="J813" s="52" t="s">
        <v>5816</v>
      </c>
      <c r="K813" s="56" t="n">
        <v>1</v>
      </c>
      <c r="L813" s="52" t="s">
        <v>5816</v>
      </c>
      <c r="M813" s="52" t="s">
        <v>38</v>
      </c>
    </row>
    <row r="814" customFormat="false" ht="17.25" hidden="false" customHeight="true" outlineLevel="0" collapsed="false">
      <c r="A814" s="52" t="s">
        <v>5777</v>
      </c>
      <c r="B814" s="52" t="s">
        <v>5813</v>
      </c>
      <c r="C814" s="53" t="n">
        <v>31915</v>
      </c>
      <c r="D814" s="52" t="s">
        <v>1898</v>
      </c>
      <c r="E814" s="52" t="s">
        <v>1899</v>
      </c>
      <c r="F814" s="54" t="n">
        <v>1</v>
      </c>
      <c r="G814" s="55" t="n">
        <v>1398</v>
      </c>
      <c r="H814" s="55" t="n">
        <v>1398</v>
      </c>
      <c r="I814" s="55" t="n">
        <v>1398</v>
      </c>
      <c r="J814" s="52" t="s">
        <v>5816</v>
      </c>
      <c r="K814" s="56" t="n">
        <v>1</v>
      </c>
      <c r="L814" s="52" t="s">
        <v>5816</v>
      </c>
      <c r="M814" s="52" t="s">
        <v>189</v>
      </c>
    </row>
    <row r="815" customFormat="false" ht="17.25" hidden="false" customHeight="true" outlineLevel="0" collapsed="false">
      <c r="A815" s="52" t="s">
        <v>5777</v>
      </c>
      <c r="B815" s="52" t="s">
        <v>5813</v>
      </c>
      <c r="C815" s="53" t="n">
        <v>860924</v>
      </c>
      <c r="D815" s="52" t="s">
        <v>1900</v>
      </c>
      <c r="E815" s="52" t="s">
        <v>1901</v>
      </c>
      <c r="F815" s="54" t="n">
        <v>4</v>
      </c>
      <c r="G815" s="55" t="n">
        <v>1396</v>
      </c>
      <c r="H815" s="55" t="n">
        <v>349</v>
      </c>
      <c r="I815" s="55" t="n">
        <v>349</v>
      </c>
      <c r="J815" s="52" t="s">
        <v>5816</v>
      </c>
      <c r="K815" s="56" t="n">
        <v>1</v>
      </c>
      <c r="L815" s="52" t="s">
        <v>5816</v>
      </c>
      <c r="M815" s="52" t="s">
        <v>38</v>
      </c>
    </row>
    <row r="816" customFormat="false" ht="17.25" hidden="false" customHeight="true" outlineLevel="0" collapsed="false">
      <c r="A816" s="52" t="s">
        <v>5777</v>
      </c>
      <c r="B816" s="52" t="s">
        <v>5813</v>
      </c>
      <c r="C816" s="53" t="n">
        <v>1069242</v>
      </c>
      <c r="D816" s="52" t="s">
        <v>1902</v>
      </c>
      <c r="E816" s="52" t="s">
        <v>1903</v>
      </c>
      <c r="F816" s="54" t="n">
        <v>30</v>
      </c>
      <c r="G816" s="55" t="n">
        <v>1396</v>
      </c>
      <c r="H816" s="55" t="n">
        <v>46.5333</v>
      </c>
      <c r="I816" s="55" t="n">
        <v>26</v>
      </c>
      <c r="J816" s="52" t="s">
        <v>5816</v>
      </c>
      <c r="K816" s="56" t="n">
        <v>1</v>
      </c>
      <c r="L816" s="52" t="s">
        <v>5816</v>
      </c>
      <c r="M816" s="52" t="s">
        <v>130</v>
      </c>
    </row>
    <row r="817" customFormat="false" ht="17.25" hidden="false" customHeight="true" outlineLevel="0" collapsed="false">
      <c r="A817" s="52" t="s">
        <v>5777</v>
      </c>
      <c r="B817" s="52" t="s">
        <v>5813</v>
      </c>
      <c r="C817" s="53" t="n">
        <v>957740</v>
      </c>
      <c r="D817" s="52" t="s">
        <v>1240</v>
      </c>
      <c r="E817" s="52" t="s">
        <v>1241</v>
      </c>
      <c r="F817" s="54" t="n">
        <v>4</v>
      </c>
      <c r="G817" s="55" t="n">
        <v>1394.03</v>
      </c>
      <c r="H817" s="55" t="n">
        <v>348.5075</v>
      </c>
      <c r="I817" s="55" t="n">
        <v>348.5075</v>
      </c>
      <c r="J817" s="52" t="s">
        <v>5816</v>
      </c>
      <c r="K817" s="56" t="n">
        <v>1</v>
      </c>
      <c r="L817" s="52" t="s">
        <v>5816</v>
      </c>
      <c r="M817" s="52" t="s">
        <v>247</v>
      </c>
    </row>
    <row r="818" customFormat="false" ht="17.25" hidden="false" customHeight="true" outlineLevel="0" collapsed="false">
      <c r="A818" s="52" t="s">
        <v>5777</v>
      </c>
      <c r="B818" s="52" t="s">
        <v>5813</v>
      </c>
      <c r="C818" s="53" t="n">
        <v>12538</v>
      </c>
      <c r="D818" s="52" t="s">
        <v>1904</v>
      </c>
      <c r="E818" s="52" t="s">
        <v>1905</v>
      </c>
      <c r="F818" s="54" t="n">
        <v>62</v>
      </c>
      <c r="G818" s="55" t="n">
        <v>1393.1582</v>
      </c>
      <c r="H818" s="55" t="n">
        <v>22.4703</v>
      </c>
      <c r="I818" s="55" t="n">
        <v>22.3</v>
      </c>
      <c r="J818" s="52" t="s">
        <v>5814</v>
      </c>
      <c r="K818" s="56" t="n">
        <v>1</v>
      </c>
      <c r="L818" s="52" t="s">
        <v>5814</v>
      </c>
      <c r="M818" s="52" t="s">
        <v>38</v>
      </c>
    </row>
    <row r="819" customFormat="false" ht="17.25" hidden="false" customHeight="true" outlineLevel="0" collapsed="false">
      <c r="A819" s="52" t="s">
        <v>5777</v>
      </c>
      <c r="B819" s="52" t="s">
        <v>5813</v>
      </c>
      <c r="C819" s="53" t="n">
        <v>1605941</v>
      </c>
      <c r="D819" s="52" t="s">
        <v>1906</v>
      </c>
      <c r="E819" s="52" t="s">
        <v>1907</v>
      </c>
      <c r="F819" s="54" t="n">
        <v>16</v>
      </c>
      <c r="G819" s="55" t="n">
        <v>1392.48</v>
      </c>
      <c r="H819" s="55" t="n">
        <v>87.03</v>
      </c>
      <c r="I819" s="55" t="n">
        <v>87.03</v>
      </c>
      <c r="J819" s="52" t="s">
        <v>5816</v>
      </c>
      <c r="K819" s="56" t="n">
        <v>1</v>
      </c>
      <c r="L819" s="52" t="s">
        <v>5816</v>
      </c>
      <c r="M819" s="52" t="s">
        <v>38</v>
      </c>
    </row>
    <row r="820" customFormat="false" ht="17.25" hidden="false" customHeight="true" outlineLevel="0" collapsed="false">
      <c r="A820" s="52" t="s">
        <v>5777</v>
      </c>
      <c r="B820" s="52" t="s">
        <v>5813</v>
      </c>
      <c r="C820" s="53" t="n">
        <v>1474967</v>
      </c>
      <c r="D820" s="52" t="s">
        <v>1908</v>
      </c>
      <c r="E820" s="52" t="s">
        <v>1909</v>
      </c>
      <c r="F820" s="54" t="n">
        <v>9</v>
      </c>
      <c r="G820" s="55" t="n">
        <v>1391.76</v>
      </c>
      <c r="H820" s="55" t="n">
        <v>154.64</v>
      </c>
      <c r="I820" s="55" t="n">
        <v>148</v>
      </c>
      <c r="J820" s="52" t="s">
        <v>5816</v>
      </c>
      <c r="K820" s="56" t="n">
        <v>1</v>
      </c>
      <c r="L820" s="52" t="s">
        <v>5816</v>
      </c>
      <c r="M820" s="52" t="s">
        <v>38</v>
      </c>
    </row>
    <row r="821" customFormat="false" ht="17.25" hidden="false" customHeight="true" outlineLevel="0" collapsed="false">
      <c r="A821" s="52" t="s">
        <v>5777</v>
      </c>
      <c r="B821" s="52" t="s">
        <v>5813</v>
      </c>
      <c r="C821" s="53" t="n">
        <v>22929</v>
      </c>
      <c r="D821" s="52" t="s">
        <v>1910</v>
      </c>
      <c r="E821" s="52" t="s">
        <v>1911</v>
      </c>
      <c r="F821" s="54" t="n">
        <v>1046</v>
      </c>
      <c r="G821" s="55" t="n">
        <v>1382.88</v>
      </c>
      <c r="H821" s="55" t="n">
        <v>1.3221</v>
      </c>
      <c r="I821" s="55" t="n">
        <v>3.48</v>
      </c>
      <c r="J821" s="52" t="s">
        <v>5816</v>
      </c>
      <c r="K821" s="56" t="n">
        <v>1</v>
      </c>
      <c r="L821" s="52" t="s">
        <v>5816</v>
      </c>
      <c r="M821" s="52" t="s">
        <v>100</v>
      </c>
    </row>
    <row r="822" customFormat="false" ht="17.25" hidden="false" customHeight="true" outlineLevel="0" collapsed="false">
      <c r="A822" s="52" t="s">
        <v>5777</v>
      </c>
      <c r="B822" s="52" t="s">
        <v>5813</v>
      </c>
      <c r="C822" s="53" t="n">
        <v>727563</v>
      </c>
      <c r="D822" s="52" t="s">
        <v>1912</v>
      </c>
      <c r="E822" s="52" t="s">
        <v>1913</v>
      </c>
      <c r="F822" s="54" t="n">
        <v>110</v>
      </c>
      <c r="G822" s="55" t="n">
        <v>1378.4</v>
      </c>
      <c r="H822" s="55" t="n">
        <v>12.5309</v>
      </c>
      <c r="I822" s="55" t="n">
        <v>12.8</v>
      </c>
      <c r="J822" s="52" t="s">
        <v>5816</v>
      </c>
      <c r="K822" s="56" t="n">
        <v>1</v>
      </c>
      <c r="L822" s="52" t="s">
        <v>5816</v>
      </c>
      <c r="M822" s="52" t="s">
        <v>247</v>
      </c>
    </row>
    <row r="823" customFormat="false" ht="17.25" hidden="false" customHeight="true" outlineLevel="0" collapsed="false">
      <c r="A823" s="52" t="s">
        <v>5777</v>
      </c>
      <c r="B823" s="52" t="s">
        <v>5813</v>
      </c>
      <c r="C823" s="53" t="n">
        <v>12695</v>
      </c>
      <c r="D823" s="52" t="s">
        <v>1914</v>
      </c>
      <c r="E823" s="52" t="s">
        <v>1915</v>
      </c>
      <c r="F823" s="54" t="n">
        <v>50</v>
      </c>
      <c r="G823" s="55" t="n">
        <v>1371</v>
      </c>
      <c r="H823" s="55" t="n">
        <v>27.42</v>
      </c>
      <c r="I823" s="55" t="n">
        <v>27.42</v>
      </c>
      <c r="J823" s="52" t="s">
        <v>5816</v>
      </c>
      <c r="K823" s="56" t="n">
        <v>1</v>
      </c>
      <c r="L823" s="52" t="s">
        <v>5816</v>
      </c>
      <c r="M823" s="52" t="s">
        <v>38</v>
      </c>
    </row>
    <row r="824" customFormat="false" ht="17.25" hidden="false" customHeight="true" outlineLevel="0" collapsed="false">
      <c r="A824" s="52" t="s">
        <v>5777</v>
      </c>
      <c r="B824" s="52" t="s">
        <v>5813</v>
      </c>
      <c r="C824" s="53" t="n">
        <v>1102200</v>
      </c>
      <c r="D824" s="52" t="s">
        <v>1918</v>
      </c>
      <c r="E824" s="52" t="s">
        <v>1919</v>
      </c>
      <c r="F824" s="54" t="n">
        <v>100</v>
      </c>
      <c r="G824" s="55" t="n">
        <v>1368</v>
      </c>
      <c r="H824" s="55" t="n">
        <v>13.68</v>
      </c>
      <c r="I824" s="55" t="n">
        <v>13.68</v>
      </c>
      <c r="J824" s="52" t="s">
        <v>5814</v>
      </c>
      <c r="K824" s="56" t="n">
        <v>1</v>
      </c>
      <c r="L824" s="52" t="s">
        <v>5814</v>
      </c>
      <c r="M824" s="52" t="s">
        <v>38</v>
      </c>
    </row>
    <row r="825" customFormat="false" ht="17.25" hidden="false" customHeight="true" outlineLevel="0" collapsed="false">
      <c r="A825" s="52" t="s">
        <v>5777</v>
      </c>
      <c r="B825" s="52" t="s">
        <v>5813</v>
      </c>
      <c r="C825" s="53" t="n">
        <v>1613484</v>
      </c>
      <c r="D825" s="52" t="s">
        <v>1920</v>
      </c>
      <c r="E825" s="52" t="s">
        <v>1921</v>
      </c>
      <c r="F825" s="54" t="n">
        <v>9</v>
      </c>
      <c r="G825" s="55" t="n">
        <v>1366.2</v>
      </c>
      <c r="H825" s="55" t="n">
        <v>151.8</v>
      </c>
      <c r="I825" s="55" t="n">
        <v>151.8</v>
      </c>
      <c r="J825" s="52" t="s">
        <v>5816</v>
      </c>
      <c r="K825" s="56" t="n">
        <v>1</v>
      </c>
      <c r="L825" s="52" t="s">
        <v>5816</v>
      </c>
      <c r="M825" s="52" t="s">
        <v>38</v>
      </c>
    </row>
    <row r="826" customFormat="false" ht="17.25" hidden="false" customHeight="true" outlineLevel="0" collapsed="false">
      <c r="A826" s="52" t="s">
        <v>5777</v>
      </c>
      <c r="B826" s="52" t="s">
        <v>5813</v>
      </c>
      <c r="C826" s="53" t="n">
        <v>1386771</v>
      </c>
      <c r="D826" s="52" t="s">
        <v>1922</v>
      </c>
      <c r="E826" s="52" t="s">
        <v>1923</v>
      </c>
      <c r="F826" s="54" t="n">
        <v>20</v>
      </c>
      <c r="G826" s="55" t="n">
        <v>1363.8</v>
      </c>
      <c r="H826" s="55" t="n">
        <v>68.19</v>
      </c>
      <c r="I826" s="55" t="n">
        <v>68.19</v>
      </c>
      <c r="J826" s="52" t="s">
        <v>5816</v>
      </c>
      <c r="K826" s="56" t="n">
        <v>1</v>
      </c>
      <c r="L826" s="52" t="s">
        <v>5816</v>
      </c>
      <c r="M826" s="52" t="s">
        <v>100</v>
      </c>
    </row>
    <row r="827" customFormat="false" ht="17.25" hidden="false" customHeight="true" outlineLevel="0" collapsed="false">
      <c r="A827" s="52" t="s">
        <v>5777</v>
      </c>
      <c r="B827" s="52" t="s">
        <v>5813</v>
      </c>
      <c r="C827" s="53" t="n">
        <v>1259168</v>
      </c>
      <c r="D827" s="52" t="s">
        <v>1924</v>
      </c>
      <c r="E827" s="52" t="s">
        <v>1925</v>
      </c>
      <c r="F827" s="54" t="n">
        <v>6</v>
      </c>
      <c r="G827" s="55" t="n">
        <v>1361.4</v>
      </c>
      <c r="H827" s="55" t="n">
        <v>226.9</v>
      </c>
      <c r="I827" s="55" t="n">
        <v>226.9</v>
      </c>
      <c r="J827" s="52" t="s">
        <v>5816</v>
      </c>
      <c r="K827" s="56" t="n">
        <v>1</v>
      </c>
      <c r="L827" s="52" t="s">
        <v>5816</v>
      </c>
      <c r="M827" s="52" t="s">
        <v>130</v>
      </c>
    </row>
    <row r="828" customFormat="false" ht="17.25" hidden="false" customHeight="true" outlineLevel="0" collapsed="false">
      <c r="A828" s="52" t="s">
        <v>5777</v>
      </c>
      <c r="B828" s="52" t="s">
        <v>5813</v>
      </c>
      <c r="C828" s="53" t="n">
        <v>962166</v>
      </c>
      <c r="D828" s="52" t="s">
        <v>1926</v>
      </c>
      <c r="E828" s="52" t="s">
        <v>1927</v>
      </c>
      <c r="F828" s="54" t="n">
        <v>20</v>
      </c>
      <c r="G828" s="55" t="n">
        <v>1360</v>
      </c>
      <c r="H828" s="55" t="n">
        <v>68</v>
      </c>
      <c r="I828" s="55" t="n">
        <v>68</v>
      </c>
      <c r="J828" s="52" t="s">
        <v>5816</v>
      </c>
      <c r="K828" s="56" t="n">
        <v>1</v>
      </c>
      <c r="L828" s="52" t="s">
        <v>5816</v>
      </c>
      <c r="M828" s="52" t="s">
        <v>130</v>
      </c>
    </row>
    <row r="829" customFormat="false" ht="17.25" hidden="false" customHeight="true" outlineLevel="0" collapsed="false">
      <c r="A829" s="52" t="s">
        <v>5777</v>
      </c>
      <c r="B829" s="52" t="s">
        <v>5813</v>
      </c>
      <c r="C829" s="53" t="n">
        <v>964895</v>
      </c>
      <c r="D829" s="52" t="s">
        <v>1928</v>
      </c>
      <c r="E829" s="52" t="s">
        <v>1929</v>
      </c>
      <c r="F829" s="54" t="n">
        <v>20</v>
      </c>
      <c r="G829" s="55" t="n">
        <v>1360</v>
      </c>
      <c r="H829" s="55" t="n">
        <v>68</v>
      </c>
      <c r="I829" s="55" t="n">
        <v>68</v>
      </c>
      <c r="J829" s="52" t="s">
        <v>5816</v>
      </c>
      <c r="K829" s="56" t="n">
        <v>1</v>
      </c>
      <c r="L829" s="52" t="s">
        <v>5816</v>
      </c>
      <c r="M829" s="52" t="s">
        <v>835</v>
      </c>
    </row>
    <row r="830" customFormat="false" ht="17.25" hidden="false" customHeight="true" outlineLevel="0" collapsed="false">
      <c r="A830" s="52" t="s">
        <v>5777</v>
      </c>
      <c r="B830" s="52" t="s">
        <v>5813</v>
      </c>
      <c r="C830" s="53" t="n">
        <v>19221</v>
      </c>
      <c r="D830" s="52" t="s">
        <v>1930</v>
      </c>
      <c r="E830" s="52" t="s">
        <v>1931</v>
      </c>
      <c r="F830" s="54" t="n">
        <v>35</v>
      </c>
      <c r="G830" s="55" t="n">
        <v>1356.98</v>
      </c>
      <c r="H830" s="55" t="n">
        <v>38.7709</v>
      </c>
      <c r="I830" s="55" t="n">
        <v>38.7709</v>
      </c>
      <c r="J830" s="52" t="s">
        <v>5816</v>
      </c>
      <c r="K830" s="56" t="n">
        <v>1</v>
      </c>
      <c r="L830" s="52" t="s">
        <v>5816</v>
      </c>
      <c r="M830" s="52" t="s">
        <v>93</v>
      </c>
    </row>
    <row r="831" customFormat="false" ht="17.25" hidden="false" customHeight="true" outlineLevel="0" collapsed="false">
      <c r="A831" s="52" t="s">
        <v>5777</v>
      </c>
      <c r="B831" s="52" t="s">
        <v>5813</v>
      </c>
      <c r="C831" s="53" t="n">
        <v>856177</v>
      </c>
      <c r="D831" s="52" t="s">
        <v>1932</v>
      </c>
      <c r="E831" s="52" t="s">
        <v>1933</v>
      </c>
      <c r="F831" s="54" t="n">
        <v>6</v>
      </c>
      <c r="G831" s="55" t="n">
        <v>1356</v>
      </c>
      <c r="H831" s="55" t="n">
        <v>226</v>
      </c>
      <c r="I831" s="55" t="n">
        <v>226</v>
      </c>
      <c r="J831" s="52" t="s">
        <v>5816</v>
      </c>
      <c r="K831" s="56" t="n">
        <v>1</v>
      </c>
      <c r="L831" s="52" t="s">
        <v>5816</v>
      </c>
      <c r="M831" s="52" t="s">
        <v>130</v>
      </c>
    </row>
    <row r="832" customFormat="false" ht="17.25" hidden="false" customHeight="true" outlineLevel="0" collapsed="false">
      <c r="A832" s="52" t="s">
        <v>5777</v>
      </c>
      <c r="B832" s="52" t="s">
        <v>5813</v>
      </c>
      <c r="C832" s="53" t="n">
        <v>224913</v>
      </c>
      <c r="D832" s="52" t="s">
        <v>1934</v>
      </c>
      <c r="E832" s="52" t="s">
        <v>1935</v>
      </c>
      <c r="F832" s="54" t="n">
        <v>26</v>
      </c>
      <c r="G832" s="55" t="n">
        <v>1350.92</v>
      </c>
      <c r="H832" s="55" t="n">
        <v>51.9585</v>
      </c>
      <c r="I832" s="55" t="n">
        <v>47</v>
      </c>
      <c r="J832" s="52" t="s">
        <v>5831</v>
      </c>
      <c r="K832" s="56" t="n">
        <v>1</v>
      </c>
      <c r="L832" s="52" t="s">
        <v>5831</v>
      </c>
      <c r="M832" s="52" t="s">
        <v>247</v>
      </c>
    </row>
    <row r="833" customFormat="false" ht="17.25" hidden="false" customHeight="true" outlineLevel="0" collapsed="false">
      <c r="A833" s="52" t="s">
        <v>5777</v>
      </c>
      <c r="B833" s="52" t="s">
        <v>5813</v>
      </c>
      <c r="C833" s="53" t="n">
        <v>32636</v>
      </c>
      <c r="D833" s="52" t="s">
        <v>1936</v>
      </c>
      <c r="E833" s="52" t="s">
        <v>1937</v>
      </c>
      <c r="F833" s="54" t="n">
        <v>0.9</v>
      </c>
      <c r="G833" s="55" t="n">
        <v>1350</v>
      </c>
      <c r="H833" s="55" t="n">
        <v>1500</v>
      </c>
      <c r="I833" s="55" t="n">
        <v>1500</v>
      </c>
      <c r="J833" s="52" t="s">
        <v>5886</v>
      </c>
      <c r="K833" s="56" t="n">
        <v>50</v>
      </c>
      <c r="L833" s="52" t="s">
        <v>5814</v>
      </c>
      <c r="M833" s="52" t="s">
        <v>54</v>
      </c>
    </row>
    <row r="834" customFormat="false" ht="17.25" hidden="false" customHeight="true" outlineLevel="0" collapsed="false">
      <c r="A834" s="52" t="s">
        <v>5777</v>
      </c>
      <c r="B834" s="52" t="s">
        <v>5813</v>
      </c>
      <c r="C834" s="53" t="n">
        <v>1607243</v>
      </c>
      <c r="D834" s="52" t="s">
        <v>1938</v>
      </c>
      <c r="E834" s="52" t="s">
        <v>5887</v>
      </c>
      <c r="F834" s="54" t="n">
        <v>50</v>
      </c>
      <c r="G834" s="55" t="n">
        <v>1350</v>
      </c>
      <c r="H834" s="55" t="n">
        <v>27</v>
      </c>
      <c r="I834" s="55" t="n">
        <v>27</v>
      </c>
      <c r="J834" s="52" t="s">
        <v>5816</v>
      </c>
      <c r="K834" s="56" t="n">
        <v>1</v>
      </c>
      <c r="L834" s="52" t="s">
        <v>5816</v>
      </c>
      <c r="M834" s="52" t="s">
        <v>38</v>
      </c>
    </row>
    <row r="835" customFormat="false" ht="17.25" hidden="false" customHeight="true" outlineLevel="0" collapsed="false">
      <c r="A835" s="52" t="s">
        <v>5777</v>
      </c>
      <c r="B835" s="52" t="s">
        <v>5813</v>
      </c>
      <c r="C835" s="53" t="n">
        <v>877346</v>
      </c>
      <c r="D835" s="52" t="s">
        <v>1940</v>
      </c>
      <c r="E835" s="52" t="s">
        <v>1941</v>
      </c>
      <c r="F835" s="54" t="n">
        <v>4</v>
      </c>
      <c r="G835" s="55" t="n">
        <v>1348</v>
      </c>
      <c r="H835" s="55" t="n">
        <v>337</v>
      </c>
      <c r="I835" s="55" t="n">
        <v>337</v>
      </c>
      <c r="J835" s="52" t="s">
        <v>5816</v>
      </c>
      <c r="K835" s="56" t="n">
        <v>1</v>
      </c>
      <c r="L835" s="52" t="s">
        <v>5816</v>
      </c>
      <c r="M835" s="52" t="s">
        <v>189</v>
      </c>
    </row>
    <row r="836" customFormat="false" ht="17.25" hidden="false" customHeight="true" outlineLevel="0" collapsed="false">
      <c r="A836" s="52" t="s">
        <v>5777</v>
      </c>
      <c r="B836" s="52" t="s">
        <v>5813</v>
      </c>
      <c r="C836" s="53" t="n">
        <v>1385307</v>
      </c>
      <c r="D836" s="52" t="s">
        <v>1942</v>
      </c>
      <c r="E836" s="52" t="s">
        <v>1943</v>
      </c>
      <c r="F836" s="54" t="n">
        <v>114</v>
      </c>
      <c r="G836" s="55" t="n">
        <v>1345.17</v>
      </c>
      <c r="H836" s="55" t="n">
        <v>11.7997</v>
      </c>
      <c r="I836" s="55" t="n">
        <v>11.81</v>
      </c>
      <c r="J836" s="52" t="s">
        <v>5816</v>
      </c>
      <c r="K836" s="56" t="n">
        <v>1</v>
      </c>
      <c r="L836" s="52" t="s">
        <v>5816</v>
      </c>
      <c r="M836" s="52" t="s">
        <v>38</v>
      </c>
    </row>
    <row r="837" customFormat="false" ht="17.25" hidden="false" customHeight="true" outlineLevel="0" collapsed="false">
      <c r="A837" s="52" t="s">
        <v>5777</v>
      </c>
      <c r="B837" s="52" t="s">
        <v>5813</v>
      </c>
      <c r="C837" s="53" t="n">
        <v>277524</v>
      </c>
      <c r="D837" s="52" t="s">
        <v>1944</v>
      </c>
      <c r="E837" s="52" t="s">
        <v>1945</v>
      </c>
      <c r="F837" s="54" t="n">
        <v>20</v>
      </c>
      <c r="G837" s="55" t="n">
        <v>1345</v>
      </c>
      <c r="H837" s="55" t="n">
        <v>67.25</v>
      </c>
      <c r="I837" s="55" t="n">
        <v>67.25</v>
      </c>
      <c r="J837" s="52" t="s">
        <v>5816</v>
      </c>
      <c r="K837" s="56" t="n">
        <v>1</v>
      </c>
      <c r="L837" s="52" t="s">
        <v>5816</v>
      </c>
      <c r="M837" s="52" t="s">
        <v>722</v>
      </c>
    </row>
    <row r="838" customFormat="false" ht="17.25" hidden="false" customHeight="true" outlineLevel="0" collapsed="false">
      <c r="A838" s="52" t="s">
        <v>5777</v>
      </c>
      <c r="B838" s="52" t="s">
        <v>5813</v>
      </c>
      <c r="C838" s="53" t="n">
        <v>1476095</v>
      </c>
      <c r="D838" s="52" t="s">
        <v>1946</v>
      </c>
      <c r="E838" s="52" t="s">
        <v>1947</v>
      </c>
      <c r="F838" s="54" t="n">
        <v>20</v>
      </c>
      <c r="G838" s="55" t="n">
        <v>1345</v>
      </c>
      <c r="H838" s="55" t="n">
        <v>67.25</v>
      </c>
      <c r="I838" s="55" t="n">
        <v>67.25</v>
      </c>
      <c r="J838" s="52" t="s">
        <v>5816</v>
      </c>
      <c r="K838" s="56" t="n">
        <v>1</v>
      </c>
      <c r="L838" s="52" t="s">
        <v>5816</v>
      </c>
      <c r="M838" s="52" t="s">
        <v>334</v>
      </c>
    </row>
    <row r="839" customFormat="false" ht="17.25" hidden="false" customHeight="true" outlineLevel="0" collapsed="false">
      <c r="A839" s="52" t="s">
        <v>5777</v>
      </c>
      <c r="B839" s="52" t="s">
        <v>5813</v>
      </c>
      <c r="C839" s="53" t="n">
        <v>1386769</v>
      </c>
      <c r="D839" s="52" t="s">
        <v>1948</v>
      </c>
      <c r="E839" s="52" t="s">
        <v>1949</v>
      </c>
      <c r="F839" s="54" t="n">
        <v>24</v>
      </c>
      <c r="G839" s="55" t="n">
        <v>1344.84</v>
      </c>
      <c r="H839" s="55" t="n">
        <v>56.035</v>
      </c>
      <c r="I839" s="55" t="n">
        <v>46.09</v>
      </c>
      <c r="J839" s="52" t="s">
        <v>5816</v>
      </c>
      <c r="K839" s="56" t="n">
        <v>1</v>
      </c>
      <c r="L839" s="52" t="s">
        <v>5816</v>
      </c>
      <c r="M839" s="52" t="s">
        <v>160</v>
      </c>
    </row>
    <row r="840" customFormat="false" ht="17.25" hidden="false" customHeight="true" outlineLevel="0" collapsed="false">
      <c r="A840" s="52" t="s">
        <v>5777</v>
      </c>
      <c r="B840" s="52" t="s">
        <v>5813</v>
      </c>
      <c r="C840" s="53" t="n">
        <v>1329155</v>
      </c>
      <c r="D840" s="52" t="s">
        <v>1950</v>
      </c>
      <c r="E840" s="52" t="s">
        <v>1951</v>
      </c>
      <c r="F840" s="54" t="n">
        <v>1</v>
      </c>
      <c r="G840" s="55" t="n">
        <v>1342.08</v>
      </c>
      <c r="H840" s="55" t="n">
        <v>1342.08</v>
      </c>
      <c r="I840" s="55" t="n">
        <v>1342.08</v>
      </c>
      <c r="J840" s="52" t="s">
        <v>5816</v>
      </c>
      <c r="K840" s="56" t="n">
        <v>1</v>
      </c>
      <c r="L840" s="52" t="s">
        <v>5816</v>
      </c>
      <c r="M840" s="52" t="s">
        <v>1095</v>
      </c>
    </row>
    <row r="841" customFormat="false" ht="17.25" hidden="false" customHeight="true" outlineLevel="0" collapsed="false">
      <c r="A841" s="52" t="s">
        <v>5777</v>
      </c>
      <c r="B841" s="52" t="s">
        <v>5813</v>
      </c>
      <c r="C841" s="53" t="n">
        <v>18064</v>
      </c>
      <c r="D841" s="52" t="s">
        <v>1952</v>
      </c>
      <c r="E841" s="52" t="s">
        <v>1953</v>
      </c>
      <c r="F841" s="54" t="n">
        <v>5</v>
      </c>
      <c r="G841" s="55" t="n">
        <v>1340</v>
      </c>
      <c r="H841" s="55" t="n">
        <v>268</v>
      </c>
      <c r="I841" s="55" t="n">
        <v>268</v>
      </c>
      <c r="J841" s="52" t="s">
        <v>5816</v>
      </c>
      <c r="K841" s="56" t="n">
        <v>1</v>
      </c>
      <c r="L841" s="52" t="s">
        <v>5816</v>
      </c>
      <c r="M841" s="52" t="s">
        <v>130</v>
      </c>
    </row>
    <row r="842" customFormat="false" ht="17.25" hidden="false" customHeight="true" outlineLevel="0" collapsed="false">
      <c r="A842" s="52" t="s">
        <v>5777</v>
      </c>
      <c r="B842" s="52" t="s">
        <v>5813</v>
      </c>
      <c r="C842" s="53" t="n">
        <v>864248</v>
      </c>
      <c r="D842" s="52" t="s">
        <v>1954</v>
      </c>
      <c r="E842" s="52" t="s">
        <v>1955</v>
      </c>
      <c r="F842" s="54" t="n">
        <v>15</v>
      </c>
      <c r="G842" s="55" t="n">
        <v>1335</v>
      </c>
      <c r="H842" s="55" t="n">
        <v>89</v>
      </c>
      <c r="I842" s="55" t="n">
        <v>89</v>
      </c>
      <c r="J842" s="52" t="s">
        <v>5816</v>
      </c>
      <c r="K842" s="56" t="n">
        <v>1</v>
      </c>
      <c r="L842" s="52" t="s">
        <v>5816</v>
      </c>
      <c r="M842" s="52" t="s">
        <v>130</v>
      </c>
    </row>
    <row r="843" customFormat="false" ht="17.25" hidden="false" customHeight="true" outlineLevel="0" collapsed="false">
      <c r="A843" s="52" t="s">
        <v>5777</v>
      </c>
      <c r="B843" s="52" t="s">
        <v>5813</v>
      </c>
      <c r="C843" s="53" t="n">
        <v>855305</v>
      </c>
      <c r="D843" s="52" t="s">
        <v>1956</v>
      </c>
      <c r="E843" s="52" t="s">
        <v>5888</v>
      </c>
      <c r="F843" s="54" t="n">
        <v>13</v>
      </c>
      <c r="G843" s="55" t="n">
        <v>1331.04</v>
      </c>
      <c r="H843" s="55" t="n">
        <v>102.3877</v>
      </c>
      <c r="I843" s="55" t="n">
        <v>81.92</v>
      </c>
      <c r="J843" s="52" t="s">
        <v>5816</v>
      </c>
      <c r="K843" s="56" t="n">
        <v>1</v>
      </c>
      <c r="L843" s="52" t="s">
        <v>5816</v>
      </c>
      <c r="M843" s="52" t="s">
        <v>133</v>
      </c>
    </row>
    <row r="844" customFormat="false" ht="17.25" hidden="false" customHeight="true" outlineLevel="0" collapsed="false">
      <c r="A844" s="52" t="s">
        <v>5777</v>
      </c>
      <c r="B844" s="52" t="s">
        <v>5813</v>
      </c>
      <c r="C844" s="53" t="n">
        <v>1321374</v>
      </c>
      <c r="D844" s="52" t="s">
        <v>1960</v>
      </c>
      <c r="E844" s="52" t="s">
        <v>1961</v>
      </c>
      <c r="F844" s="54" t="n">
        <v>1</v>
      </c>
      <c r="G844" s="55" t="n">
        <v>1330</v>
      </c>
      <c r="H844" s="55" t="n">
        <v>1330</v>
      </c>
      <c r="I844" s="55" t="n">
        <v>1330</v>
      </c>
      <c r="J844" s="52" t="s">
        <v>5816</v>
      </c>
      <c r="K844" s="56" t="n">
        <v>1</v>
      </c>
      <c r="L844" s="52" t="s">
        <v>5816</v>
      </c>
      <c r="M844" s="52" t="s">
        <v>835</v>
      </c>
    </row>
    <row r="845" customFormat="false" ht="17.25" hidden="false" customHeight="true" outlineLevel="0" collapsed="false">
      <c r="A845" s="52" t="s">
        <v>5777</v>
      </c>
      <c r="B845" s="52" t="s">
        <v>5813</v>
      </c>
      <c r="C845" s="53" t="n">
        <v>1383224</v>
      </c>
      <c r="D845" s="52" t="s">
        <v>1962</v>
      </c>
      <c r="E845" s="52" t="s">
        <v>1963</v>
      </c>
      <c r="F845" s="54" t="n">
        <v>7</v>
      </c>
      <c r="G845" s="55" t="n">
        <v>1329.5</v>
      </c>
      <c r="H845" s="55" t="n">
        <v>189.9286</v>
      </c>
      <c r="I845" s="55" t="n">
        <v>189.9286</v>
      </c>
      <c r="J845" s="52" t="s">
        <v>5816</v>
      </c>
      <c r="K845" s="56" t="n">
        <v>1</v>
      </c>
      <c r="L845" s="52" t="s">
        <v>5816</v>
      </c>
      <c r="M845" s="52" t="s">
        <v>38</v>
      </c>
    </row>
    <row r="846" customFormat="false" ht="17.25" hidden="false" customHeight="true" outlineLevel="0" collapsed="false">
      <c r="A846" s="52" t="s">
        <v>5777</v>
      </c>
      <c r="B846" s="52" t="s">
        <v>5813</v>
      </c>
      <c r="C846" s="53" t="n">
        <v>56168</v>
      </c>
      <c r="D846" s="52" t="s">
        <v>1964</v>
      </c>
      <c r="E846" s="52" t="s">
        <v>1965</v>
      </c>
      <c r="F846" s="54" t="n">
        <v>100</v>
      </c>
      <c r="G846" s="55" t="n">
        <v>1321.627</v>
      </c>
      <c r="H846" s="55" t="n">
        <v>13.2163</v>
      </c>
      <c r="I846" s="55" t="n">
        <v>13.92</v>
      </c>
      <c r="J846" s="52" t="s">
        <v>5816</v>
      </c>
      <c r="K846" s="56" t="n">
        <v>1</v>
      </c>
      <c r="L846" s="52" t="s">
        <v>5816</v>
      </c>
      <c r="M846" s="52" t="s">
        <v>38</v>
      </c>
    </row>
    <row r="847" customFormat="false" ht="17.25" hidden="false" customHeight="true" outlineLevel="0" collapsed="false">
      <c r="A847" s="52" t="s">
        <v>5777</v>
      </c>
      <c r="B847" s="52" t="s">
        <v>5813</v>
      </c>
      <c r="C847" s="53" t="n">
        <v>349860</v>
      </c>
      <c r="D847" s="52" t="s">
        <v>1966</v>
      </c>
      <c r="E847" s="52" t="s">
        <v>1967</v>
      </c>
      <c r="F847" s="54" t="n">
        <v>30</v>
      </c>
      <c r="G847" s="55" t="n">
        <v>1320</v>
      </c>
      <c r="H847" s="55" t="n">
        <v>44</v>
      </c>
      <c r="I847" s="55" t="n">
        <v>44</v>
      </c>
      <c r="J847" s="52" t="s">
        <v>5822</v>
      </c>
      <c r="K847" s="56" t="n">
        <v>1</v>
      </c>
      <c r="L847" s="52" t="s">
        <v>5822</v>
      </c>
      <c r="M847" s="52" t="s">
        <v>100</v>
      </c>
    </row>
    <row r="848" customFormat="false" ht="17.25" hidden="false" customHeight="true" outlineLevel="0" collapsed="false">
      <c r="A848" s="52" t="s">
        <v>5777</v>
      </c>
      <c r="B848" s="52" t="s">
        <v>5813</v>
      </c>
      <c r="C848" s="53" t="n">
        <v>1471982</v>
      </c>
      <c r="D848" s="52" t="s">
        <v>1970</v>
      </c>
      <c r="E848" s="52" t="s">
        <v>1971</v>
      </c>
      <c r="F848" s="54" t="n">
        <v>228</v>
      </c>
      <c r="G848" s="55" t="n">
        <v>1320</v>
      </c>
      <c r="H848" s="55" t="n">
        <v>5.7895</v>
      </c>
      <c r="I848" s="55" t="n">
        <v>6.5</v>
      </c>
      <c r="J848" s="52" t="s">
        <v>5816</v>
      </c>
      <c r="K848" s="56" t="n">
        <v>1</v>
      </c>
      <c r="L848" s="52" t="s">
        <v>5816</v>
      </c>
      <c r="M848" s="52" t="s">
        <v>100</v>
      </c>
    </row>
    <row r="849" customFormat="false" ht="17.25" hidden="false" customHeight="true" outlineLevel="0" collapsed="false">
      <c r="A849" s="52" t="s">
        <v>5777</v>
      </c>
      <c r="B849" s="52" t="s">
        <v>5813</v>
      </c>
      <c r="C849" s="53" t="n">
        <v>23865</v>
      </c>
      <c r="D849" s="52" t="s">
        <v>1972</v>
      </c>
      <c r="E849" s="52" t="s">
        <v>1973</v>
      </c>
      <c r="F849" s="54" t="n">
        <v>2</v>
      </c>
      <c r="G849" s="55" t="n">
        <v>1316</v>
      </c>
      <c r="H849" s="55" t="n">
        <v>658</v>
      </c>
      <c r="I849" s="55" t="n">
        <v>118</v>
      </c>
      <c r="J849" s="52" t="s">
        <v>5816</v>
      </c>
      <c r="K849" s="56" t="n">
        <v>1</v>
      </c>
      <c r="L849" s="52" t="s">
        <v>5816</v>
      </c>
      <c r="M849" s="52" t="s">
        <v>38</v>
      </c>
    </row>
    <row r="850" customFormat="false" ht="17.25" hidden="false" customHeight="true" outlineLevel="0" collapsed="false">
      <c r="A850" s="52" t="s">
        <v>5777</v>
      </c>
      <c r="B850" s="52" t="s">
        <v>5813</v>
      </c>
      <c r="C850" s="53" t="n">
        <v>140515</v>
      </c>
      <c r="D850" s="52" t="s">
        <v>1974</v>
      </c>
      <c r="E850" s="52" t="s">
        <v>1975</v>
      </c>
      <c r="F850" s="54" t="n">
        <v>10</v>
      </c>
      <c r="G850" s="55" t="n">
        <v>1312.3</v>
      </c>
      <c r="H850" s="55" t="n">
        <v>131.23</v>
      </c>
      <c r="I850" s="55" t="n">
        <v>131.23</v>
      </c>
      <c r="J850" s="52" t="s">
        <v>5816</v>
      </c>
      <c r="K850" s="56" t="n">
        <v>1</v>
      </c>
      <c r="L850" s="52" t="s">
        <v>5816</v>
      </c>
      <c r="M850" s="52" t="s">
        <v>38</v>
      </c>
    </row>
    <row r="851" customFormat="false" ht="17.25" hidden="false" customHeight="true" outlineLevel="0" collapsed="false">
      <c r="A851" s="52" t="s">
        <v>5777</v>
      </c>
      <c r="B851" s="52" t="s">
        <v>5813</v>
      </c>
      <c r="C851" s="53" t="n">
        <v>21811</v>
      </c>
      <c r="D851" s="52" t="s">
        <v>1976</v>
      </c>
      <c r="E851" s="52" t="s">
        <v>1977</v>
      </c>
      <c r="F851" s="54" t="n">
        <v>1</v>
      </c>
      <c r="G851" s="55" t="n">
        <v>1305.22</v>
      </c>
      <c r="H851" s="55" t="n">
        <v>1305.22</v>
      </c>
      <c r="I851" s="55" t="n">
        <v>1305.22</v>
      </c>
      <c r="J851" s="52" t="s">
        <v>5816</v>
      </c>
      <c r="K851" s="56" t="n">
        <v>1</v>
      </c>
      <c r="L851" s="52" t="s">
        <v>5816</v>
      </c>
      <c r="M851" s="52" t="s">
        <v>722</v>
      </c>
    </row>
    <row r="852" customFormat="false" ht="17.25" hidden="false" customHeight="true" outlineLevel="0" collapsed="false">
      <c r="A852" s="52" t="s">
        <v>5777</v>
      </c>
      <c r="B852" s="52" t="s">
        <v>5813</v>
      </c>
      <c r="C852" s="53" t="n">
        <v>864247</v>
      </c>
      <c r="D852" s="52" t="s">
        <v>1978</v>
      </c>
      <c r="E852" s="52" t="s">
        <v>1979</v>
      </c>
      <c r="F852" s="54" t="n">
        <v>15</v>
      </c>
      <c r="G852" s="55" t="n">
        <v>1305</v>
      </c>
      <c r="H852" s="55" t="n">
        <v>87</v>
      </c>
      <c r="I852" s="55" t="n">
        <v>87</v>
      </c>
      <c r="J852" s="52" t="s">
        <v>5816</v>
      </c>
      <c r="K852" s="56" t="n">
        <v>1</v>
      </c>
      <c r="L852" s="52" t="s">
        <v>5816</v>
      </c>
      <c r="M852" s="52" t="s">
        <v>130</v>
      </c>
    </row>
    <row r="853" customFormat="false" ht="17.25" hidden="false" customHeight="true" outlineLevel="0" collapsed="false">
      <c r="A853" s="52" t="s">
        <v>5777</v>
      </c>
      <c r="B853" s="52" t="s">
        <v>5813</v>
      </c>
      <c r="C853" s="53" t="n">
        <v>21345</v>
      </c>
      <c r="D853" s="52" t="s">
        <v>1980</v>
      </c>
      <c r="E853" s="52" t="s">
        <v>1981</v>
      </c>
      <c r="F853" s="54" t="n">
        <v>70</v>
      </c>
      <c r="G853" s="55" t="n">
        <v>1304.723</v>
      </c>
      <c r="H853" s="55" t="n">
        <v>18.6389</v>
      </c>
      <c r="I853" s="55" t="n">
        <v>18.6</v>
      </c>
      <c r="J853" s="52" t="s">
        <v>5816</v>
      </c>
      <c r="K853" s="56" t="n">
        <v>1</v>
      </c>
      <c r="L853" s="52" t="s">
        <v>5816</v>
      </c>
      <c r="M853" s="52" t="s">
        <v>457</v>
      </c>
    </row>
    <row r="854" customFormat="false" ht="17.25" hidden="false" customHeight="true" outlineLevel="0" collapsed="false">
      <c r="A854" s="52" t="s">
        <v>5777</v>
      </c>
      <c r="B854" s="52" t="s">
        <v>5813</v>
      </c>
      <c r="C854" s="53" t="n">
        <v>1674333</v>
      </c>
      <c r="D854" s="52" t="s">
        <v>1982</v>
      </c>
      <c r="E854" s="52" t="s">
        <v>1983</v>
      </c>
      <c r="F854" s="54" t="n">
        <v>1</v>
      </c>
      <c r="G854" s="55" t="n">
        <v>1301.98</v>
      </c>
      <c r="H854" s="55" t="n">
        <v>1301.98</v>
      </c>
      <c r="I854" s="55" t="n">
        <v>1301.98</v>
      </c>
      <c r="J854" s="52" t="s">
        <v>5816</v>
      </c>
      <c r="K854" s="56" t="n">
        <v>1</v>
      </c>
      <c r="L854" s="52" t="s">
        <v>5816</v>
      </c>
      <c r="M854" s="52" t="s">
        <v>480</v>
      </c>
    </row>
    <row r="855" customFormat="false" ht="17.25" hidden="false" customHeight="true" outlineLevel="0" collapsed="false">
      <c r="A855" s="52" t="s">
        <v>5777</v>
      </c>
      <c r="B855" s="52" t="s">
        <v>5813</v>
      </c>
      <c r="C855" s="53" t="n">
        <v>34229</v>
      </c>
      <c r="D855" s="52" t="s">
        <v>1984</v>
      </c>
      <c r="E855" s="52" t="s">
        <v>1985</v>
      </c>
      <c r="F855" s="54" t="n">
        <v>10</v>
      </c>
      <c r="G855" s="55" t="n">
        <v>1300</v>
      </c>
      <c r="H855" s="55" t="n">
        <v>130</v>
      </c>
      <c r="I855" s="55" t="n">
        <v>130</v>
      </c>
      <c r="J855" s="52" t="s">
        <v>5889</v>
      </c>
      <c r="K855" s="56" t="n">
        <v>3.6</v>
      </c>
      <c r="L855" s="52" t="s">
        <v>5823</v>
      </c>
      <c r="M855" s="52" t="s">
        <v>705</v>
      </c>
    </row>
    <row r="856" customFormat="false" ht="17.25" hidden="false" customHeight="true" outlineLevel="0" collapsed="false">
      <c r="A856" s="52" t="s">
        <v>5777</v>
      </c>
      <c r="B856" s="52" t="s">
        <v>5813</v>
      </c>
      <c r="C856" s="53" t="n">
        <v>857550</v>
      </c>
      <c r="D856" s="52" t="s">
        <v>1986</v>
      </c>
      <c r="E856" s="52" t="s">
        <v>1987</v>
      </c>
      <c r="F856" s="54" t="n">
        <v>1</v>
      </c>
      <c r="G856" s="55" t="n">
        <v>1300</v>
      </c>
      <c r="H856" s="55" t="n">
        <v>1300</v>
      </c>
      <c r="I856" s="55" t="n">
        <v>1300</v>
      </c>
      <c r="J856" s="52" t="s">
        <v>5816</v>
      </c>
      <c r="K856" s="56" t="n">
        <v>1</v>
      </c>
      <c r="L856" s="52" t="s">
        <v>5816</v>
      </c>
      <c r="M856" s="52" t="s">
        <v>189</v>
      </c>
    </row>
    <row r="857" customFormat="false" ht="17.25" hidden="false" customHeight="true" outlineLevel="0" collapsed="false">
      <c r="A857" s="52" t="s">
        <v>5777</v>
      </c>
      <c r="B857" s="52" t="s">
        <v>5813</v>
      </c>
      <c r="C857" s="53" t="n">
        <v>959144</v>
      </c>
      <c r="D857" s="52" t="s">
        <v>1988</v>
      </c>
      <c r="E857" s="52" t="s">
        <v>1989</v>
      </c>
      <c r="F857" s="54" t="n">
        <v>1</v>
      </c>
      <c r="G857" s="55" t="n">
        <v>1298</v>
      </c>
      <c r="H857" s="55" t="n">
        <v>1298</v>
      </c>
      <c r="I857" s="55" t="n">
        <v>1298</v>
      </c>
      <c r="J857" s="52" t="s">
        <v>5816</v>
      </c>
      <c r="K857" s="56" t="n">
        <v>1</v>
      </c>
      <c r="L857" s="52" t="s">
        <v>5816</v>
      </c>
      <c r="M857" s="52" t="s">
        <v>247</v>
      </c>
    </row>
    <row r="858" customFormat="false" ht="17.25" hidden="false" customHeight="true" outlineLevel="0" collapsed="false">
      <c r="A858" s="52" t="s">
        <v>5777</v>
      </c>
      <c r="B858" s="52" t="s">
        <v>5813</v>
      </c>
      <c r="C858" s="53" t="n">
        <v>30819</v>
      </c>
      <c r="D858" s="52" t="s">
        <v>1990</v>
      </c>
      <c r="E858" s="52" t="s">
        <v>1991</v>
      </c>
      <c r="F858" s="54" t="n">
        <v>2</v>
      </c>
      <c r="G858" s="55" t="n">
        <v>1296</v>
      </c>
      <c r="H858" s="55" t="n">
        <v>648</v>
      </c>
      <c r="I858" s="55" t="n">
        <v>648</v>
      </c>
      <c r="J858" s="52" t="s">
        <v>5846</v>
      </c>
      <c r="K858" s="56" t="n">
        <v>18</v>
      </c>
      <c r="L858" s="52" t="s">
        <v>5823</v>
      </c>
      <c r="M858" s="52" t="s">
        <v>705</v>
      </c>
    </row>
    <row r="859" customFormat="false" ht="17.25" hidden="false" customHeight="true" outlineLevel="0" collapsed="false">
      <c r="A859" s="52" t="s">
        <v>5777</v>
      </c>
      <c r="B859" s="52" t="s">
        <v>5813</v>
      </c>
      <c r="C859" s="53" t="n">
        <v>1656993</v>
      </c>
      <c r="D859" s="52" t="s">
        <v>1992</v>
      </c>
      <c r="E859" s="52" t="s">
        <v>1993</v>
      </c>
      <c r="F859" s="54" t="n">
        <v>6</v>
      </c>
      <c r="G859" s="55" t="n">
        <v>1296</v>
      </c>
      <c r="H859" s="55" t="n">
        <v>216</v>
      </c>
      <c r="I859" s="55" t="n">
        <v>216</v>
      </c>
      <c r="J859" s="52" t="s">
        <v>5816</v>
      </c>
      <c r="K859" s="56" t="n">
        <v>1</v>
      </c>
      <c r="L859" s="52" t="s">
        <v>5816</v>
      </c>
      <c r="M859" s="52" t="s">
        <v>195</v>
      </c>
    </row>
    <row r="860" customFormat="false" ht="17.25" hidden="false" customHeight="true" outlineLevel="0" collapsed="false">
      <c r="A860" s="52" t="s">
        <v>5777</v>
      </c>
      <c r="B860" s="52" t="s">
        <v>5813</v>
      </c>
      <c r="C860" s="53" t="n">
        <v>1383880</v>
      </c>
      <c r="D860" s="52" t="s">
        <v>1994</v>
      </c>
      <c r="E860" s="52" t="s">
        <v>1995</v>
      </c>
      <c r="F860" s="54" t="n">
        <v>39</v>
      </c>
      <c r="G860" s="55" t="n">
        <v>1294.68</v>
      </c>
      <c r="H860" s="55" t="n">
        <v>33.1969</v>
      </c>
      <c r="I860" s="55" t="n">
        <v>33.36</v>
      </c>
      <c r="J860" s="52" t="s">
        <v>5816</v>
      </c>
      <c r="K860" s="56" t="n">
        <v>1</v>
      </c>
      <c r="L860" s="52" t="s">
        <v>5816</v>
      </c>
      <c r="M860" s="52" t="s">
        <v>100</v>
      </c>
    </row>
    <row r="861" customFormat="false" ht="17.25" hidden="false" customHeight="true" outlineLevel="0" collapsed="false">
      <c r="A861" s="52" t="s">
        <v>5777</v>
      </c>
      <c r="B861" s="52" t="s">
        <v>5813</v>
      </c>
      <c r="C861" s="53" t="n">
        <v>34254</v>
      </c>
      <c r="D861" s="52" t="s">
        <v>1996</v>
      </c>
      <c r="E861" s="52" t="s">
        <v>1997</v>
      </c>
      <c r="F861" s="54" t="n">
        <v>100</v>
      </c>
      <c r="G861" s="55" t="n">
        <v>1290</v>
      </c>
      <c r="H861" s="55" t="n">
        <v>12.9</v>
      </c>
      <c r="I861" s="55" t="n">
        <v>12.9</v>
      </c>
      <c r="J861" s="52" t="s">
        <v>5816</v>
      </c>
      <c r="K861" s="56" t="n">
        <v>1</v>
      </c>
      <c r="L861" s="52" t="s">
        <v>5816</v>
      </c>
      <c r="M861" s="52" t="s">
        <v>189</v>
      </c>
    </row>
    <row r="862" customFormat="false" ht="17.25" hidden="false" customHeight="true" outlineLevel="0" collapsed="false">
      <c r="A862" s="52" t="s">
        <v>5777</v>
      </c>
      <c r="B862" s="52" t="s">
        <v>5813</v>
      </c>
      <c r="C862" s="53" t="n">
        <v>33296</v>
      </c>
      <c r="D862" s="52" t="s">
        <v>2000</v>
      </c>
      <c r="E862" s="52" t="s">
        <v>2001</v>
      </c>
      <c r="F862" s="54" t="n">
        <v>50</v>
      </c>
      <c r="G862" s="55" t="n">
        <v>1275</v>
      </c>
      <c r="H862" s="55" t="n">
        <v>25.5</v>
      </c>
      <c r="I862" s="55" t="n">
        <v>25</v>
      </c>
      <c r="J862" s="52" t="s">
        <v>5816</v>
      </c>
      <c r="K862" s="56" t="n">
        <v>1</v>
      </c>
      <c r="L862" s="52" t="s">
        <v>5816</v>
      </c>
      <c r="M862" s="52" t="s">
        <v>217</v>
      </c>
    </row>
    <row r="863" customFormat="false" ht="17.25" hidden="false" customHeight="true" outlineLevel="0" collapsed="false">
      <c r="A863" s="52" t="s">
        <v>5777</v>
      </c>
      <c r="B863" s="52" t="s">
        <v>5813</v>
      </c>
      <c r="C863" s="53" t="n">
        <v>869285</v>
      </c>
      <c r="D863" s="52" t="s">
        <v>2002</v>
      </c>
      <c r="E863" s="52" t="s">
        <v>2003</v>
      </c>
      <c r="F863" s="54" t="n">
        <v>20</v>
      </c>
      <c r="G863" s="55" t="n">
        <v>1274.1</v>
      </c>
      <c r="H863" s="55" t="n">
        <v>63.705</v>
      </c>
      <c r="I863" s="55" t="n">
        <v>49.41</v>
      </c>
      <c r="J863" s="52" t="s">
        <v>5816</v>
      </c>
      <c r="K863" s="56" t="n">
        <v>1</v>
      </c>
      <c r="L863" s="52" t="s">
        <v>5816</v>
      </c>
      <c r="M863" s="52" t="s">
        <v>113</v>
      </c>
    </row>
    <row r="864" customFormat="false" ht="17.25" hidden="false" customHeight="true" outlineLevel="0" collapsed="false">
      <c r="A864" s="52" t="s">
        <v>5777</v>
      </c>
      <c r="B864" s="52" t="s">
        <v>5813</v>
      </c>
      <c r="C864" s="53" t="n">
        <v>293168</v>
      </c>
      <c r="D864" s="52" t="s">
        <v>2004</v>
      </c>
      <c r="E864" s="52" t="s">
        <v>2005</v>
      </c>
      <c r="F864" s="54" t="n">
        <v>2</v>
      </c>
      <c r="G864" s="55" t="n">
        <v>1273.81</v>
      </c>
      <c r="H864" s="55" t="n">
        <v>636.905</v>
      </c>
      <c r="I864" s="55" t="n">
        <v>636.905</v>
      </c>
      <c r="J864" s="52" t="s">
        <v>5816</v>
      </c>
      <c r="K864" s="56" t="n">
        <v>1</v>
      </c>
      <c r="L864" s="52" t="s">
        <v>5816</v>
      </c>
      <c r="M864" s="52" t="s">
        <v>75</v>
      </c>
    </row>
    <row r="865" customFormat="false" ht="17.25" hidden="false" customHeight="true" outlineLevel="0" collapsed="false">
      <c r="A865" s="52" t="s">
        <v>5777</v>
      </c>
      <c r="B865" s="52" t="s">
        <v>5813</v>
      </c>
      <c r="C865" s="53" t="n">
        <v>23794</v>
      </c>
      <c r="D865" s="52" t="s">
        <v>2006</v>
      </c>
      <c r="E865" s="52" t="s">
        <v>2007</v>
      </c>
      <c r="F865" s="54" t="n">
        <v>24</v>
      </c>
      <c r="G865" s="55" t="n">
        <v>1272</v>
      </c>
      <c r="H865" s="55" t="n">
        <v>53</v>
      </c>
      <c r="I865" s="55" t="n">
        <v>48</v>
      </c>
      <c r="J865" s="52" t="s">
        <v>5816</v>
      </c>
      <c r="K865" s="56" t="n">
        <v>1</v>
      </c>
      <c r="L865" s="52" t="s">
        <v>5816</v>
      </c>
      <c r="M865" s="52" t="s">
        <v>130</v>
      </c>
    </row>
    <row r="866" customFormat="false" ht="17.25" hidden="false" customHeight="true" outlineLevel="0" collapsed="false">
      <c r="A866" s="52" t="s">
        <v>5777</v>
      </c>
      <c r="B866" s="52" t="s">
        <v>5813</v>
      </c>
      <c r="C866" s="53" t="n">
        <v>295485</v>
      </c>
      <c r="D866" s="52" t="s">
        <v>2008</v>
      </c>
      <c r="E866" s="52" t="s">
        <v>2009</v>
      </c>
      <c r="F866" s="54" t="n">
        <v>16</v>
      </c>
      <c r="G866" s="55" t="n">
        <v>1268</v>
      </c>
      <c r="H866" s="55" t="n">
        <v>79.25</v>
      </c>
      <c r="I866" s="55" t="n">
        <v>86</v>
      </c>
      <c r="J866" s="52" t="s">
        <v>5816</v>
      </c>
      <c r="K866" s="56" t="n">
        <v>1</v>
      </c>
      <c r="L866" s="52" t="s">
        <v>5816</v>
      </c>
      <c r="M866" s="52" t="s">
        <v>130</v>
      </c>
    </row>
    <row r="867" customFormat="false" ht="17.25" hidden="false" customHeight="true" outlineLevel="0" collapsed="false">
      <c r="A867" s="52" t="s">
        <v>5777</v>
      </c>
      <c r="B867" s="52" t="s">
        <v>5813</v>
      </c>
      <c r="C867" s="53" t="n">
        <v>1666789</v>
      </c>
      <c r="D867" s="52" t="s">
        <v>2010</v>
      </c>
      <c r="E867" s="52" t="s">
        <v>2011</v>
      </c>
      <c r="F867" s="54" t="n">
        <v>20</v>
      </c>
      <c r="G867" s="55" t="n">
        <v>1266.2</v>
      </c>
      <c r="H867" s="55" t="n">
        <v>63.31</v>
      </c>
      <c r="I867" s="55" t="n">
        <v>63.31</v>
      </c>
      <c r="J867" s="52" t="s">
        <v>5816</v>
      </c>
      <c r="K867" s="56" t="n">
        <v>1</v>
      </c>
      <c r="L867" s="52" t="s">
        <v>5816</v>
      </c>
      <c r="M867" s="52" t="s">
        <v>262</v>
      </c>
    </row>
    <row r="868" customFormat="false" ht="17.25" hidden="false" customHeight="true" outlineLevel="0" collapsed="false">
      <c r="A868" s="52" t="s">
        <v>5777</v>
      </c>
      <c r="B868" s="52" t="s">
        <v>5813</v>
      </c>
      <c r="C868" s="53" t="n">
        <v>1614268</v>
      </c>
      <c r="D868" s="52" t="s">
        <v>2012</v>
      </c>
      <c r="E868" s="52" t="s">
        <v>2013</v>
      </c>
      <c r="F868" s="54" t="n">
        <v>6</v>
      </c>
      <c r="G868" s="55" t="n">
        <v>1258.64</v>
      </c>
      <c r="H868" s="55" t="n">
        <v>209.7733</v>
      </c>
      <c r="I868" s="55" t="n">
        <v>227.94</v>
      </c>
      <c r="J868" s="52" t="s">
        <v>5816</v>
      </c>
      <c r="K868" s="56" t="n">
        <v>1</v>
      </c>
      <c r="L868" s="52" t="s">
        <v>5816</v>
      </c>
      <c r="M868" s="52" t="s">
        <v>38</v>
      </c>
    </row>
    <row r="869" customFormat="false" ht="17.25" hidden="false" customHeight="true" outlineLevel="0" collapsed="false">
      <c r="A869" s="52" t="s">
        <v>5777</v>
      </c>
      <c r="B869" s="52" t="s">
        <v>5813</v>
      </c>
      <c r="C869" s="53" t="n">
        <v>732768</v>
      </c>
      <c r="D869" s="52" t="s">
        <v>2014</v>
      </c>
      <c r="E869" s="52" t="s">
        <v>2015</v>
      </c>
      <c r="F869" s="54" t="n">
        <v>50</v>
      </c>
      <c r="G869" s="55" t="n">
        <v>1253</v>
      </c>
      <c r="H869" s="55" t="n">
        <v>25.06</v>
      </c>
      <c r="I869" s="55" t="n">
        <v>25.06</v>
      </c>
      <c r="J869" s="52" t="s">
        <v>5816</v>
      </c>
      <c r="K869" s="56" t="n">
        <v>1</v>
      </c>
      <c r="L869" s="52" t="s">
        <v>5816</v>
      </c>
      <c r="M869" s="52" t="s">
        <v>38</v>
      </c>
    </row>
    <row r="870" customFormat="false" ht="17.25" hidden="false" customHeight="true" outlineLevel="0" collapsed="false">
      <c r="A870" s="52" t="s">
        <v>5777</v>
      </c>
      <c r="B870" s="52" t="s">
        <v>5813</v>
      </c>
      <c r="C870" s="53" t="n">
        <v>1385184</v>
      </c>
      <c r="D870" s="52" t="s">
        <v>2016</v>
      </c>
      <c r="E870" s="52" t="s">
        <v>2017</v>
      </c>
      <c r="F870" s="54" t="n">
        <v>415</v>
      </c>
      <c r="G870" s="55" t="n">
        <v>1252.2</v>
      </c>
      <c r="H870" s="55" t="n">
        <v>3.0173</v>
      </c>
      <c r="I870" s="55" t="n">
        <v>2.6</v>
      </c>
      <c r="J870" s="52" t="s">
        <v>5814</v>
      </c>
      <c r="K870" s="56" t="n">
        <v>1</v>
      </c>
      <c r="L870" s="52" t="s">
        <v>5814</v>
      </c>
      <c r="M870" s="52" t="s">
        <v>38</v>
      </c>
    </row>
    <row r="871" customFormat="false" ht="17.25" hidden="false" customHeight="true" outlineLevel="0" collapsed="false">
      <c r="A871" s="52" t="s">
        <v>5777</v>
      </c>
      <c r="B871" s="52" t="s">
        <v>5813</v>
      </c>
      <c r="C871" s="53" t="n">
        <v>961616</v>
      </c>
      <c r="D871" s="52" t="s">
        <v>2018</v>
      </c>
      <c r="E871" s="52" t="s">
        <v>2019</v>
      </c>
      <c r="F871" s="54" t="n">
        <v>600</v>
      </c>
      <c r="G871" s="55" t="n">
        <v>1250</v>
      </c>
      <c r="H871" s="55" t="n">
        <v>2.0833</v>
      </c>
      <c r="I871" s="55" t="n">
        <v>1</v>
      </c>
      <c r="J871" s="52" t="s">
        <v>5816</v>
      </c>
      <c r="K871" s="56" t="n">
        <v>1</v>
      </c>
      <c r="L871" s="52" t="s">
        <v>5816</v>
      </c>
      <c r="M871" s="52" t="s">
        <v>113</v>
      </c>
    </row>
    <row r="872" customFormat="false" ht="17.25" hidden="false" customHeight="true" outlineLevel="0" collapsed="false">
      <c r="A872" s="52" t="s">
        <v>5777</v>
      </c>
      <c r="B872" s="52" t="s">
        <v>5813</v>
      </c>
      <c r="C872" s="53" t="n">
        <v>1387008</v>
      </c>
      <c r="D872" s="52" t="s">
        <v>2020</v>
      </c>
      <c r="E872" s="52" t="s">
        <v>2021</v>
      </c>
      <c r="F872" s="54" t="n">
        <v>3</v>
      </c>
      <c r="G872" s="55" t="n">
        <v>1245.87</v>
      </c>
      <c r="H872" s="55" t="n">
        <v>415.29</v>
      </c>
      <c r="I872" s="55" t="n">
        <v>415.29</v>
      </c>
      <c r="J872" s="52" t="s">
        <v>5816</v>
      </c>
      <c r="K872" s="56" t="n">
        <v>1</v>
      </c>
      <c r="L872" s="52" t="s">
        <v>5816</v>
      </c>
      <c r="M872" s="52" t="s">
        <v>38</v>
      </c>
    </row>
    <row r="873" customFormat="false" ht="17.25" hidden="false" customHeight="true" outlineLevel="0" collapsed="false">
      <c r="A873" s="52" t="s">
        <v>5777</v>
      </c>
      <c r="B873" s="52" t="s">
        <v>5813</v>
      </c>
      <c r="C873" s="53" t="n">
        <v>30869</v>
      </c>
      <c r="D873" s="52" t="s">
        <v>2022</v>
      </c>
      <c r="E873" s="52" t="s">
        <v>2023</v>
      </c>
      <c r="F873" s="54" t="n">
        <v>7</v>
      </c>
      <c r="G873" s="55" t="n">
        <v>1243.2</v>
      </c>
      <c r="H873" s="55" t="n">
        <v>177.6</v>
      </c>
      <c r="I873" s="55" t="n">
        <v>177.6</v>
      </c>
      <c r="J873" s="52" t="s">
        <v>5869</v>
      </c>
      <c r="K873" s="56" t="n">
        <v>50</v>
      </c>
      <c r="L873" s="52" t="s">
        <v>5814</v>
      </c>
      <c r="M873" s="52" t="s">
        <v>38</v>
      </c>
    </row>
    <row r="874" customFormat="false" ht="17.25" hidden="false" customHeight="true" outlineLevel="0" collapsed="false">
      <c r="A874" s="52" t="s">
        <v>5777</v>
      </c>
      <c r="B874" s="52" t="s">
        <v>5813</v>
      </c>
      <c r="C874" s="53" t="n">
        <v>1614239</v>
      </c>
      <c r="D874" s="52" t="s">
        <v>2024</v>
      </c>
      <c r="E874" s="52" t="s">
        <v>2025</v>
      </c>
      <c r="F874" s="54" t="n">
        <v>1</v>
      </c>
      <c r="G874" s="55" t="n">
        <v>1241.6</v>
      </c>
      <c r="H874" s="55" t="n">
        <v>1241.6</v>
      </c>
      <c r="I874" s="55" t="n">
        <v>1241.6</v>
      </c>
      <c r="J874" s="52" t="s">
        <v>5816</v>
      </c>
      <c r="K874" s="56" t="n">
        <v>1</v>
      </c>
      <c r="L874" s="52" t="s">
        <v>5816</v>
      </c>
      <c r="M874" s="52" t="s">
        <v>54</v>
      </c>
    </row>
    <row r="875" customFormat="false" ht="17.25" hidden="false" customHeight="true" outlineLevel="0" collapsed="false">
      <c r="A875" s="52" t="s">
        <v>5777</v>
      </c>
      <c r="B875" s="52" t="s">
        <v>5813</v>
      </c>
      <c r="C875" s="53" t="n">
        <v>1081193</v>
      </c>
      <c r="D875" s="52" t="s">
        <v>2026</v>
      </c>
      <c r="E875" s="52" t="s">
        <v>2027</v>
      </c>
      <c r="F875" s="54" t="n">
        <v>96</v>
      </c>
      <c r="G875" s="55" t="n">
        <v>1238.4</v>
      </c>
      <c r="H875" s="55" t="n">
        <v>12.9</v>
      </c>
      <c r="I875" s="55" t="n">
        <v>12.9</v>
      </c>
      <c r="J875" s="52" t="s">
        <v>5818</v>
      </c>
      <c r="K875" s="56" t="n">
        <v>1</v>
      </c>
      <c r="L875" s="52" t="s">
        <v>5816</v>
      </c>
      <c r="M875" s="52" t="s">
        <v>100</v>
      </c>
    </row>
    <row r="876" customFormat="false" ht="17.25" hidden="false" customHeight="true" outlineLevel="0" collapsed="false">
      <c r="A876" s="52" t="s">
        <v>5777</v>
      </c>
      <c r="B876" s="52" t="s">
        <v>5813</v>
      </c>
      <c r="C876" s="53" t="n">
        <v>348076</v>
      </c>
      <c r="D876" s="52" t="s">
        <v>2028</v>
      </c>
      <c r="E876" s="52" t="s">
        <v>5890</v>
      </c>
      <c r="F876" s="54" t="n">
        <v>10300</v>
      </c>
      <c r="G876" s="55" t="n">
        <v>1236</v>
      </c>
      <c r="H876" s="55" t="n">
        <v>0.12</v>
      </c>
      <c r="I876" s="55" t="n">
        <v>0.12</v>
      </c>
      <c r="J876" s="52" t="s">
        <v>5816</v>
      </c>
      <c r="K876" s="56" t="n">
        <v>1</v>
      </c>
      <c r="L876" s="52" t="s">
        <v>5816</v>
      </c>
      <c r="M876" s="52" t="s">
        <v>100</v>
      </c>
    </row>
    <row r="877" customFormat="false" ht="17.25" hidden="false" customHeight="true" outlineLevel="0" collapsed="false">
      <c r="A877" s="52" t="s">
        <v>5777</v>
      </c>
      <c r="B877" s="52" t="s">
        <v>5813</v>
      </c>
      <c r="C877" s="53" t="n">
        <v>1383153</v>
      </c>
      <c r="D877" s="52" t="s">
        <v>2030</v>
      </c>
      <c r="E877" s="52" t="s">
        <v>2031</v>
      </c>
      <c r="F877" s="54" t="n">
        <v>6</v>
      </c>
      <c r="G877" s="55" t="n">
        <v>1235.82</v>
      </c>
      <c r="H877" s="55" t="n">
        <v>205.97</v>
      </c>
      <c r="I877" s="55" t="n">
        <v>205.97</v>
      </c>
      <c r="J877" s="52" t="s">
        <v>5816</v>
      </c>
      <c r="K877" s="56" t="n">
        <v>1</v>
      </c>
      <c r="L877" s="52" t="s">
        <v>5816</v>
      </c>
      <c r="M877" s="52" t="s">
        <v>54</v>
      </c>
    </row>
    <row r="878" customFormat="false" ht="17.25" hidden="false" customHeight="true" outlineLevel="0" collapsed="false">
      <c r="A878" s="52" t="s">
        <v>5777</v>
      </c>
      <c r="B878" s="52" t="s">
        <v>5813</v>
      </c>
      <c r="C878" s="53" t="n">
        <v>18853</v>
      </c>
      <c r="D878" s="52" t="s">
        <v>1655</v>
      </c>
      <c r="E878" s="52" t="s">
        <v>1656</v>
      </c>
      <c r="F878" s="54" t="n">
        <v>300</v>
      </c>
      <c r="G878" s="55" t="n">
        <v>1223.675</v>
      </c>
      <c r="H878" s="55" t="n">
        <v>4.0789</v>
      </c>
      <c r="I878" s="55" t="n">
        <v>3.94</v>
      </c>
      <c r="J878" s="52" t="s">
        <v>5814</v>
      </c>
      <c r="K878" s="56" t="n">
        <v>1</v>
      </c>
      <c r="L878" s="52" t="s">
        <v>5814</v>
      </c>
      <c r="M878" s="52" t="s">
        <v>247</v>
      </c>
    </row>
    <row r="879" customFormat="false" ht="17.25" hidden="false" customHeight="true" outlineLevel="0" collapsed="false">
      <c r="A879" s="52" t="s">
        <v>5777</v>
      </c>
      <c r="B879" s="52" t="s">
        <v>5813</v>
      </c>
      <c r="C879" s="53" t="n">
        <v>293126</v>
      </c>
      <c r="D879" s="52" t="s">
        <v>2036</v>
      </c>
      <c r="E879" s="52" t="s">
        <v>2037</v>
      </c>
      <c r="F879" s="54" t="n">
        <v>3</v>
      </c>
      <c r="G879" s="55" t="n">
        <v>1222</v>
      </c>
      <c r="H879" s="55" t="n">
        <v>407.3333</v>
      </c>
      <c r="I879" s="55" t="n">
        <v>396</v>
      </c>
      <c r="J879" s="52" t="s">
        <v>5816</v>
      </c>
      <c r="K879" s="56" t="n">
        <v>1</v>
      </c>
      <c r="L879" s="52" t="s">
        <v>5816</v>
      </c>
      <c r="M879" s="52" t="s">
        <v>262</v>
      </c>
    </row>
    <row r="880" customFormat="false" ht="17.25" hidden="false" customHeight="true" outlineLevel="0" collapsed="false">
      <c r="A880" s="52" t="s">
        <v>5777</v>
      </c>
      <c r="B880" s="52" t="s">
        <v>5813</v>
      </c>
      <c r="C880" s="53" t="n">
        <v>1330636</v>
      </c>
      <c r="D880" s="52" t="s">
        <v>2040</v>
      </c>
      <c r="E880" s="52" t="s">
        <v>5891</v>
      </c>
      <c r="F880" s="54" t="n">
        <v>70</v>
      </c>
      <c r="G880" s="55" t="n">
        <v>1219.08</v>
      </c>
      <c r="H880" s="55" t="n">
        <v>17.4154</v>
      </c>
      <c r="I880" s="55" t="n">
        <v>9.1</v>
      </c>
      <c r="J880" s="52" t="s">
        <v>5816</v>
      </c>
      <c r="K880" s="56" t="n">
        <v>1</v>
      </c>
      <c r="L880" s="52" t="s">
        <v>5816</v>
      </c>
      <c r="M880" s="52" t="s">
        <v>100</v>
      </c>
    </row>
    <row r="881" customFormat="false" ht="17.25" hidden="false" customHeight="true" outlineLevel="0" collapsed="false">
      <c r="A881" s="52" t="s">
        <v>5777</v>
      </c>
      <c r="B881" s="52" t="s">
        <v>5813</v>
      </c>
      <c r="C881" s="53" t="n">
        <v>21323</v>
      </c>
      <c r="D881" s="52" t="s">
        <v>2042</v>
      </c>
      <c r="E881" s="52" t="s">
        <v>2043</v>
      </c>
      <c r="F881" s="54" t="n">
        <v>8</v>
      </c>
      <c r="G881" s="55" t="n">
        <v>1218</v>
      </c>
      <c r="H881" s="55" t="n">
        <v>152.25</v>
      </c>
      <c r="I881" s="55" t="n">
        <v>152.25</v>
      </c>
      <c r="J881" s="52" t="s">
        <v>5816</v>
      </c>
      <c r="K881" s="56" t="n">
        <v>1</v>
      </c>
      <c r="L881" s="52" t="s">
        <v>5816</v>
      </c>
      <c r="M881" s="52" t="s">
        <v>334</v>
      </c>
    </row>
    <row r="882" customFormat="false" ht="17.25" hidden="false" customHeight="true" outlineLevel="0" collapsed="false">
      <c r="A882" s="52" t="s">
        <v>5777</v>
      </c>
      <c r="B882" s="52" t="s">
        <v>5813</v>
      </c>
      <c r="C882" s="53" t="n">
        <v>1469243</v>
      </c>
      <c r="D882" s="52" t="s">
        <v>2044</v>
      </c>
      <c r="E882" s="52" t="s">
        <v>2045</v>
      </c>
      <c r="F882" s="54" t="n">
        <v>224</v>
      </c>
      <c r="G882" s="55" t="n">
        <v>1209.6</v>
      </c>
      <c r="H882" s="55" t="n">
        <v>5.4</v>
      </c>
      <c r="I882" s="55" t="n">
        <v>5.4</v>
      </c>
      <c r="J882" s="52" t="s">
        <v>5816</v>
      </c>
      <c r="K882" s="56" t="n">
        <v>1</v>
      </c>
      <c r="L882" s="52" t="s">
        <v>5816</v>
      </c>
      <c r="M882" s="52" t="s">
        <v>100</v>
      </c>
    </row>
    <row r="883" customFormat="false" ht="17.25" hidden="false" customHeight="true" outlineLevel="0" collapsed="false">
      <c r="A883" s="52" t="s">
        <v>5777</v>
      </c>
      <c r="B883" s="52" t="s">
        <v>5813</v>
      </c>
      <c r="C883" s="53" t="n">
        <v>222161</v>
      </c>
      <c r="D883" s="52" t="s">
        <v>2046</v>
      </c>
      <c r="E883" s="52" t="s">
        <v>2047</v>
      </c>
      <c r="F883" s="54" t="n">
        <v>74</v>
      </c>
      <c r="G883" s="55" t="n">
        <v>1209</v>
      </c>
      <c r="H883" s="55" t="n">
        <v>16.3378</v>
      </c>
      <c r="I883" s="55" t="n">
        <v>16</v>
      </c>
      <c r="J883" s="52" t="s">
        <v>5816</v>
      </c>
      <c r="K883" s="56" t="n">
        <v>1</v>
      </c>
      <c r="L883" s="52" t="s">
        <v>5816</v>
      </c>
      <c r="M883" s="52" t="s">
        <v>217</v>
      </c>
    </row>
    <row r="884" customFormat="false" ht="17.25" hidden="false" customHeight="true" outlineLevel="0" collapsed="false">
      <c r="A884" s="52" t="s">
        <v>5777</v>
      </c>
      <c r="B884" s="52" t="s">
        <v>5813</v>
      </c>
      <c r="C884" s="53" t="n">
        <v>295500</v>
      </c>
      <c r="D884" s="52" t="s">
        <v>2048</v>
      </c>
      <c r="E884" s="52" t="s">
        <v>2049</v>
      </c>
      <c r="F884" s="54" t="n">
        <v>6</v>
      </c>
      <c r="G884" s="55" t="n">
        <v>1206.48</v>
      </c>
      <c r="H884" s="55" t="n">
        <v>201.08</v>
      </c>
      <c r="I884" s="55" t="n">
        <v>201.08</v>
      </c>
      <c r="J884" s="52" t="s">
        <v>5816</v>
      </c>
      <c r="K884" s="56" t="n">
        <v>1</v>
      </c>
      <c r="L884" s="52" t="s">
        <v>5816</v>
      </c>
      <c r="M884" s="52" t="s">
        <v>130</v>
      </c>
    </row>
    <row r="885" customFormat="false" ht="17.25" hidden="false" customHeight="true" outlineLevel="0" collapsed="false">
      <c r="A885" s="52" t="s">
        <v>5777</v>
      </c>
      <c r="B885" s="52" t="s">
        <v>5813</v>
      </c>
      <c r="C885" s="53" t="n">
        <v>35382</v>
      </c>
      <c r="D885" s="52" t="s">
        <v>2050</v>
      </c>
      <c r="E885" s="52" t="s">
        <v>2051</v>
      </c>
      <c r="F885" s="54" t="n">
        <v>10</v>
      </c>
      <c r="G885" s="55" t="n">
        <v>1205</v>
      </c>
      <c r="H885" s="55" t="n">
        <v>120.5</v>
      </c>
      <c r="I885" s="55" t="n">
        <v>120.5</v>
      </c>
      <c r="J885" s="52" t="s">
        <v>5816</v>
      </c>
      <c r="K885" s="56" t="n">
        <v>1</v>
      </c>
      <c r="L885" s="52" t="s">
        <v>5816</v>
      </c>
      <c r="M885" s="52" t="s">
        <v>247</v>
      </c>
    </row>
    <row r="886" customFormat="false" ht="17.25" hidden="false" customHeight="true" outlineLevel="0" collapsed="false">
      <c r="A886" s="52" t="s">
        <v>5777</v>
      </c>
      <c r="B886" s="52" t="s">
        <v>5813</v>
      </c>
      <c r="C886" s="53" t="n">
        <v>387506</v>
      </c>
      <c r="D886" s="52" t="s">
        <v>2052</v>
      </c>
      <c r="E886" s="52" t="s">
        <v>2053</v>
      </c>
      <c r="F886" s="54" t="n">
        <v>1700</v>
      </c>
      <c r="G886" s="55" t="n">
        <v>1203.43</v>
      </c>
      <c r="H886" s="55" t="n">
        <v>0.7079</v>
      </c>
      <c r="I886" s="55" t="n">
        <v>0.7079</v>
      </c>
      <c r="J886" s="52" t="s">
        <v>5814</v>
      </c>
      <c r="K886" s="56" t="n">
        <v>1</v>
      </c>
      <c r="L886" s="52" t="s">
        <v>5814</v>
      </c>
      <c r="M886" s="52" t="s">
        <v>38</v>
      </c>
    </row>
    <row r="887" customFormat="false" ht="17.25" hidden="false" customHeight="true" outlineLevel="0" collapsed="false">
      <c r="A887" s="52" t="s">
        <v>5777</v>
      </c>
      <c r="B887" s="52" t="s">
        <v>5813</v>
      </c>
      <c r="C887" s="53" t="n">
        <v>227434</v>
      </c>
      <c r="D887" s="52" t="s">
        <v>2054</v>
      </c>
      <c r="E887" s="52" t="s">
        <v>2055</v>
      </c>
      <c r="F887" s="54" t="n">
        <v>3</v>
      </c>
      <c r="G887" s="55" t="n">
        <v>1200</v>
      </c>
      <c r="H887" s="55" t="n">
        <v>400</v>
      </c>
      <c r="I887" s="55" t="n">
        <v>400</v>
      </c>
      <c r="J887" s="52" t="s">
        <v>5816</v>
      </c>
      <c r="K887" s="56" t="n">
        <v>1</v>
      </c>
      <c r="L887" s="52" t="s">
        <v>5816</v>
      </c>
      <c r="M887" s="52" t="s">
        <v>2056</v>
      </c>
    </row>
    <row r="888" customFormat="false" ht="17.25" hidden="false" customHeight="true" outlineLevel="0" collapsed="false">
      <c r="A888" s="52" t="s">
        <v>5777</v>
      </c>
      <c r="B888" s="52" t="s">
        <v>5813</v>
      </c>
      <c r="C888" s="53" t="n">
        <v>1092798</v>
      </c>
      <c r="D888" s="52" t="s">
        <v>2057</v>
      </c>
      <c r="E888" s="52" t="s">
        <v>2058</v>
      </c>
      <c r="F888" s="54" t="n">
        <v>100</v>
      </c>
      <c r="G888" s="55" t="n">
        <v>1200</v>
      </c>
      <c r="H888" s="55" t="n">
        <v>12</v>
      </c>
      <c r="I888" s="55" t="n">
        <v>12</v>
      </c>
      <c r="J888" s="52" t="s">
        <v>5816</v>
      </c>
      <c r="K888" s="56" t="n">
        <v>1</v>
      </c>
      <c r="L888" s="52" t="s">
        <v>5816</v>
      </c>
      <c r="M888" s="52" t="s">
        <v>480</v>
      </c>
    </row>
    <row r="889" customFormat="false" ht="17.25" hidden="false" customHeight="true" outlineLevel="0" collapsed="false">
      <c r="A889" s="52" t="s">
        <v>5777</v>
      </c>
      <c r="B889" s="52" t="s">
        <v>5813</v>
      </c>
      <c r="C889" s="53" t="n">
        <v>730865</v>
      </c>
      <c r="D889" s="52" t="s">
        <v>2059</v>
      </c>
      <c r="E889" s="52" t="s">
        <v>2060</v>
      </c>
      <c r="F889" s="54" t="n">
        <v>20</v>
      </c>
      <c r="G889" s="55" t="n">
        <v>1199.6</v>
      </c>
      <c r="H889" s="55" t="n">
        <v>59.98</v>
      </c>
      <c r="I889" s="55" t="n">
        <v>59.98</v>
      </c>
      <c r="J889" s="52" t="s">
        <v>5816</v>
      </c>
      <c r="K889" s="56" t="n">
        <v>1</v>
      </c>
      <c r="L889" s="52" t="s">
        <v>5816</v>
      </c>
      <c r="M889" s="52" t="s">
        <v>605</v>
      </c>
    </row>
    <row r="890" customFormat="false" ht="17.25" hidden="false" customHeight="true" outlineLevel="0" collapsed="false">
      <c r="A890" s="52" t="s">
        <v>5777</v>
      </c>
      <c r="B890" s="52" t="s">
        <v>5813</v>
      </c>
      <c r="C890" s="53" t="n">
        <v>1174574</v>
      </c>
      <c r="D890" s="52" t="s">
        <v>2061</v>
      </c>
      <c r="E890" s="52" t="s">
        <v>2062</v>
      </c>
      <c r="F890" s="54" t="n">
        <v>1</v>
      </c>
      <c r="G890" s="55" t="n">
        <v>1198</v>
      </c>
      <c r="H890" s="55" t="n">
        <v>1198</v>
      </c>
      <c r="I890" s="55" t="n">
        <v>1198</v>
      </c>
      <c r="J890" s="52" t="s">
        <v>5816</v>
      </c>
      <c r="K890" s="56" t="n">
        <v>1</v>
      </c>
      <c r="L890" s="52" t="s">
        <v>5816</v>
      </c>
      <c r="M890" s="52" t="s">
        <v>1618</v>
      </c>
    </row>
    <row r="891" customFormat="false" ht="17.25" hidden="false" customHeight="true" outlineLevel="0" collapsed="false">
      <c r="A891" s="52" t="s">
        <v>5777</v>
      </c>
      <c r="B891" s="52" t="s">
        <v>5813</v>
      </c>
      <c r="C891" s="53" t="n">
        <v>18691</v>
      </c>
      <c r="D891" s="52" t="s">
        <v>2063</v>
      </c>
      <c r="E891" s="52" t="s">
        <v>2064</v>
      </c>
      <c r="F891" s="54" t="n">
        <v>2</v>
      </c>
      <c r="G891" s="55" t="n">
        <v>1196</v>
      </c>
      <c r="H891" s="55" t="n">
        <v>598</v>
      </c>
      <c r="I891" s="55" t="n">
        <v>598</v>
      </c>
      <c r="J891" s="52" t="s">
        <v>5816</v>
      </c>
      <c r="K891" s="56" t="n">
        <v>1</v>
      </c>
      <c r="L891" s="52" t="s">
        <v>5816</v>
      </c>
      <c r="M891" s="52" t="s">
        <v>262</v>
      </c>
    </row>
    <row r="892" customFormat="false" ht="17.25" hidden="false" customHeight="true" outlineLevel="0" collapsed="false">
      <c r="A892" s="52" t="s">
        <v>5777</v>
      </c>
      <c r="B892" s="52" t="s">
        <v>5813</v>
      </c>
      <c r="C892" s="53" t="n">
        <v>1181486</v>
      </c>
      <c r="D892" s="52" t="s">
        <v>2065</v>
      </c>
      <c r="E892" s="52" t="s">
        <v>2066</v>
      </c>
      <c r="F892" s="54" t="n">
        <v>10</v>
      </c>
      <c r="G892" s="55" t="n">
        <v>1193.1</v>
      </c>
      <c r="H892" s="55" t="n">
        <v>119.31</v>
      </c>
      <c r="I892" s="55" t="n">
        <v>119.31</v>
      </c>
      <c r="J892" s="52" t="s">
        <v>5816</v>
      </c>
      <c r="K892" s="56" t="n">
        <v>1</v>
      </c>
      <c r="L892" s="52" t="s">
        <v>5816</v>
      </c>
      <c r="M892" s="52" t="s">
        <v>605</v>
      </c>
    </row>
    <row r="893" customFormat="false" ht="17.25" hidden="false" customHeight="true" outlineLevel="0" collapsed="false">
      <c r="A893" s="52" t="s">
        <v>5777</v>
      </c>
      <c r="B893" s="52" t="s">
        <v>5813</v>
      </c>
      <c r="C893" s="53" t="n">
        <v>1016523</v>
      </c>
      <c r="D893" s="52" t="s">
        <v>2067</v>
      </c>
      <c r="E893" s="52" t="s">
        <v>2068</v>
      </c>
      <c r="F893" s="54" t="n">
        <v>3</v>
      </c>
      <c r="G893" s="55" t="n">
        <v>1189.06</v>
      </c>
      <c r="H893" s="55" t="n">
        <v>396.3533</v>
      </c>
      <c r="I893" s="55" t="n">
        <v>530</v>
      </c>
      <c r="J893" s="52" t="s">
        <v>5816</v>
      </c>
      <c r="K893" s="56" t="n">
        <v>1</v>
      </c>
      <c r="L893" s="52" t="s">
        <v>5816</v>
      </c>
      <c r="M893" s="52" t="s">
        <v>189</v>
      </c>
    </row>
    <row r="894" customFormat="false" ht="17.25" hidden="false" customHeight="true" outlineLevel="0" collapsed="false">
      <c r="A894" s="52" t="s">
        <v>5777</v>
      </c>
      <c r="B894" s="52" t="s">
        <v>5813</v>
      </c>
      <c r="C894" s="53" t="n">
        <v>1465404</v>
      </c>
      <c r="D894" s="52" t="s">
        <v>2069</v>
      </c>
      <c r="E894" s="52" t="s">
        <v>5892</v>
      </c>
      <c r="F894" s="54" t="n">
        <v>170</v>
      </c>
      <c r="G894" s="55" t="n">
        <v>1188.4</v>
      </c>
      <c r="H894" s="55" t="n">
        <v>6.9906</v>
      </c>
      <c r="I894" s="55" t="n">
        <v>10.04</v>
      </c>
      <c r="J894" s="52" t="s">
        <v>5814</v>
      </c>
      <c r="K894" s="56" t="n">
        <v>1</v>
      </c>
      <c r="L894" s="52" t="s">
        <v>5814</v>
      </c>
      <c r="M894" s="52" t="s">
        <v>32</v>
      </c>
    </row>
    <row r="895" customFormat="false" ht="17.25" hidden="false" customHeight="true" outlineLevel="0" collapsed="false">
      <c r="A895" s="52" t="s">
        <v>5777</v>
      </c>
      <c r="B895" s="52" t="s">
        <v>5813</v>
      </c>
      <c r="C895" s="53" t="n">
        <v>16713</v>
      </c>
      <c r="D895" s="52" t="s">
        <v>2071</v>
      </c>
      <c r="E895" s="52" t="s">
        <v>2072</v>
      </c>
      <c r="F895" s="54" t="n">
        <v>60</v>
      </c>
      <c r="G895" s="55" t="n">
        <v>1188</v>
      </c>
      <c r="H895" s="55" t="n">
        <v>19.8</v>
      </c>
      <c r="I895" s="55" t="n">
        <v>19.8</v>
      </c>
      <c r="J895" s="52" t="s">
        <v>5822</v>
      </c>
      <c r="K895" s="56" t="n">
        <v>1</v>
      </c>
      <c r="L895" s="52" t="s">
        <v>5822</v>
      </c>
      <c r="M895" s="52" t="s">
        <v>100</v>
      </c>
    </row>
    <row r="896" customFormat="false" ht="17.25" hidden="false" customHeight="true" outlineLevel="0" collapsed="false">
      <c r="A896" s="52" t="s">
        <v>5777</v>
      </c>
      <c r="B896" s="52" t="s">
        <v>5813</v>
      </c>
      <c r="C896" s="53" t="n">
        <v>55058</v>
      </c>
      <c r="D896" s="52" t="s">
        <v>2073</v>
      </c>
      <c r="E896" s="52" t="s">
        <v>2074</v>
      </c>
      <c r="F896" s="54" t="n">
        <v>3</v>
      </c>
      <c r="G896" s="55" t="n">
        <v>1174</v>
      </c>
      <c r="H896" s="55" t="n">
        <v>391.3333</v>
      </c>
      <c r="I896" s="55" t="n">
        <v>398</v>
      </c>
      <c r="J896" s="52" t="s">
        <v>5816</v>
      </c>
      <c r="K896" s="56" t="n">
        <v>1</v>
      </c>
      <c r="L896" s="52" t="s">
        <v>5816</v>
      </c>
      <c r="M896" s="52" t="s">
        <v>38</v>
      </c>
    </row>
    <row r="897" customFormat="false" ht="17.25" hidden="false" customHeight="true" outlineLevel="0" collapsed="false">
      <c r="A897" s="52" t="s">
        <v>5777</v>
      </c>
      <c r="B897" s="52" t="s">
        <v>5813</v>
      </c>
      <c r="C897" s="53" t="n">
        <v>1615275</v>
      </c>
      <c r="D897" s="52" t="s">
        <v>2075</v>
      </c>
      <c r="E897" s="52" t="s">
        <v>2076</v>
      </c>
      <c r="F897" s="54" t="n">
        <v>64</v>
      </c>
      <c r="G897" s="55" t="n">
        <v>1171.84</v>
      </c>
      <c r="H897" s="55" t="n">
        <v>18.31</v>
      </c>
      <c r="I897" s="55" t="n">
        <v>18.31</v>
      </c>
      <c r="J897" s="52" t="s">
        <v>5816</v>
      </c>
      <c r="K897" s="56" t="n">
        <v>1</v>
      </c>
      <c r="L897" s="52" t="s">
        <v>5816</v>
      </c>
      <c r="M897" s="52" t="s">
        <v>38</v>
      </c>
    </row>
    <row r="898" customFormat="false" ht="17.25" hidden="false" customHeight="true" outlineLevel="0" collapsed="false">
      <c r="A898" s="52" t="s">
        <v>5777</v>
      </c>
      <c r="B898" s="52" t="s">
        <v>5813</v>
      </c>
      <c r="C898" s="53" t="n">
        <v>1476023</v>
      </c>
      <c r="D898" s="52" t="s">
        <v>2077</v>
      </c>
      <c r="E898" s="52" t="s">
        <v>2078</v>
      </c>
      <c r="F898" s="54" t="n">
        <v>3</v>
      </c>
      <c r="G898" s="55" t="n">
        <v>1170</v>
      </c>
      <c r="H898" s="55" t="n">
        <v>390</v>
      </c>
      <c r="I898" s="55" t="n">
        <v>390</v>
      </c>
      <c r="J898" s="52" t="s">
        <v>5816</v>
      </c>
      <c r="K898" s="56" t="n">
        <v>1</v>
      </c>
      <c r="L898" s="52" t="s">
        <v>5816</v>
      </c>
      <c r="M898" s="52" t="s">
        <v>130</v>
      </c>
    </row>
    <row r="899" customFormat="false" ht="17.25" hidden="false" customHeight="true" outlineLevel="0" collapsed="false">
      <c r="A899" s="52" t="s">
        <v>5777</v>
      </c>
      <c r="B899" s="52" t="s">
        <v>5813</v>
      </c>
      <c r="C899" s="53" t="n">
        <v>1387009</v>
      </c>
      <c r="D899" s="52" t="s">
        <v>2079</v>
      </c>
      <c r="E899" s="52" t="s">
        <v>2080</v>
      </c>
      <c r="F899" s="54" t="n">
        <v>13</v>
      </c>
      <c r="G899" s="55" t="n">
        <v>1169.74</v>
      </c>
      <c r="H899" s="55" t="n">
        <v>89.98</v>
      </c>
      <c r="I899" s="55" t="n">
        <v>89.98</v>
      </c>
      <c r="J899" s="52" t="s">
        <v>5816</v>
      </c>
      <c r="K899" s="56" t="n">
        <v>1</v>
      </c>
      <c r="L899" s="52" t="s">
        <v>5816</v>
      </c>
      <c r="M899" s="52" t="s">
        <v>38</v>
      </c>
    </row>
    <row r="900" customFormat="false" ht="17.25" hidden="false" customHeight="true" outlineLevel="0" collapsed="false">
      <c r="A900" s="52" t="s">
        <v>5777</v>
      </c>
      <c r="B900" s="52" t="s">
        <v>5813</v>
      </c>
      <c r="C900" s="53" t="n">
        <v>1068925</v>
      </c>
      <c r="D900" s="52" t="s">
        <v>2081</v>
      </c>
      <c r="E900" s="52" t="s">
        <v>2082</v>
      </c>
      <c r="F900" s="54" t="n">
        <v>10</v>
      </c>
      <c r="G900" s="55" t="n">
        <v>1169.1</v>
      </c>
      <c r="H900" s="55" t="n">
        <v>116.91</v>
      </c>
      <c r="I900" s="55" t="n">
        <v>116.91</v>
      </c>
      <c r="J900" s="52" t="s">
        <v>5816</v>
      </c>
      <c r="K900" s="56" t="n">
        <v>1</v>
      </c>
      <c r="L900" s="52" t="s">
        <v>5816</v>
      </c>
      <c r="M900" s="52" t="s">
        <v>247</v>
      </c>
    </row>
    <row r="901" customFormat="false" ht="17.25" hidden="false" customHeight="true" outlineLevel="0" collapsed="false">
      <c r="A901" s="52" t="s">
        <v>5777</v>
      </c>
      <c r="B901" s="52" t="s">
        <v>5813</v>
      </c>
      <c r="C901" s="53" t="n">
        <v>280491</v>
      </c>
      <c r="D901" s="52" t="s">
        <v>2083</v>
      </c>
      <c r="E901" s="52" t="s">
        <v>2084</v>
      </c>
      <c r="F901" s="54" t="n">
        <v>95</v>
      </c>
      <c r="G901" s="55" t="n">
        <v>1165.65</v>
      </c>
      <c r="H901" s="55" t="n">
        <v>12.27</v>
      </c>
      <c r="I901" s="55" t="n">
        <v>12.27</v>
      </c>
      <c r="J901" s="52" t="s">
        <v>5816</v>
      </c>
      <c r="K901" s="56" t="n">
        <v>1</v>
      </c>
      <c r="L901" s="52" t="s">
        <v>5816</v>
      </c>
      <c r="M901" s="52" t="s">
        <v>38</v>
      </c>
    </row>
    <row r="902" customFormat="false" ht="17.25" hidden="false" customHeight="true" outlineLevel="0" collapsed="false">
      <c r="A902" s="52" t="s">
        <v>5777</v>
      </c>
      <c r="B902" s="52" t="s">
        <v>5813</v>
      </c>
      <c r="C902" s="53" t="n">
        <v>18884</v>
      </c>
      <c r="D902" s="52" t="s">
        <v>2085</v>
      </c>
      <c r="E902" s="52" t="s">
        <v>2086</v>
      </c>
      <c r="F902" s="54" t="n">
        <v>20</v>
      </c>
      <c r="G902" s="55" t="n">
        <v>1160</v>
      </c>
      <c r="H902" s="55" t="n">
        <v>58</v>
      </c>
      <c r="I902" s="55" t="n">
        <v>58</v>
      </c>
      <c r="J902" s="52" t="s">
        <v>5831</v>
      </c>
      <c r="K902" s="56" t="n">
        <v>1</v>
      </c>
      <c r="L902" s="52" t="s">
        <v>5831</v>
      </c>
      <c r="M902" s="52" t="s">
        <v>247</v>
      </c>
    </row>
    <row r="903" customFormat="false" ht="17.25" hidden="false" customHeight="true" outlineLevel="0" collapsed="false">
      <c r="A903" s="52" t="s">
        <v>5777</v>
      </c>
      <c r="B903" s="52" t="s">
        <v>5813</v>
      </c>
      <c r="C903" s="53" t="n">
        <v>144446</v>
      </c>
      <c r="D903" s="52" t="s">
        <v>2087</v>
      </c>
      <c r="E903" s="52" t="s">
        <v>2088</v>
      </c>
      <c r="F903" s="54" t="n">
        <v>4</v>
      </c>
      <c r="G903" s="55" t="n">
        <v>1160</v>
      </c>
      <c r="H903" s="55" t="n">
        <v>290</v>
      </c>
      <c r="I903" s="55" t="n">
        <v>290</v>
      </c>
      <c r="J903" s="52" t="s">
        <v>5816</v>
      </c>
      <c r="K903" s="56" t="n">
        <v>1</v>
      </c>
      <c r="L903" s="52" t="s">
        <v>5816</v>
      </c>
      <c r="M903" s="52" t="s">
        <v>247</v>
      </c>
    </row>
    <row r="904" customFormat="false" ht="17.25" hidden="false" customHeight="true" outlineLevel="0" collapsed="false">
      <c r="A904" s="52" t="s">
        <v>5777</v>
      </c>
      <c r="B904" s="52" t="s">
        <v>5813</v>
      </c>
      <c r="C904" s="53" t="n">
        <v>858570</v>
      </c>
      <c r="D904" s="52" t="s">
        <v>2089</v>
      </c>
      <c r="E904" s="52" t="s">
        <v>2090</v>
      </c>
      <c r="F904" s="54" t="n">
        <v>67</v>
      </c>
      <c r="G904" s="55" t="n">
        <v>1159.44</v>
      </c>
      <c r="H904" s="55" t="n">
        <v>17.3051</v>
      </c>
      <c r="I904" s="55" t="n">
        <v>17.32</v>
      </c>
      <c r="J904" s="52" t="s">
        <v>5814</v>
      </c>
      <c r="K904" s="56" t="n">
        <v>1</v>
      </c>
      <c r="L904" s="52" t="s">
        <v>5814</v>
      </c>
      <c r="M904" s="52" t="s">
        <v>38</v>
      </c>
    </row>
    <row r="905" customFormat="false" ht="17.25" hidden="false" customHeight="true" outlineLevel="0" collapsed="false">
      <c r="A905" s="52" t="s">
        <v>5777</v>
      </c>
      <c r="B905" s="52" t="s">
        <v>5813</v>
      </c>
      <c r="C905" s="53" t="n">
        <v>1228556</v>
      </c>
      <c r="D905" s="52" t="s">
        <v>2091</v>
      </c>
      <c r="E905" s="52" t="s">
        <v>2092</v>
      </c>
      <c r="F905" s="54" t="n">
        <v>12</v>
      </c>
      <c r="G905" s="55" t="n">
        <v>1158.96</v>
      </c>
      <c r="H905" s="55" t="n">
        <v>96.58</v>
      </c>
      <c r="I905" s="55" t="n">
        <v>96.58</v>
      </c>
      <c r="J905" s="52" t="s">
        <v>5816</v>
      </c>
      <c r="K905" s="56" t="n">
        <v>1</v>
      </c>
      <c r="L905" s="52" t="s">
        <v>5816</v>
      </c>
      <c r="M905" s="52" t="s">
        <v>38</v>
      </c>
    </row>
    <row r="906" customFormat="false" ht="17.25" hidden="false" customHeight="true" outlineLevel="0" collapsed="false">
      <c r="A906" s="52" t="s">
        <v>5777</v>
      </c>
      <c r="B906" s="52" t="s">
        <v>5813</v>
      </c>
      <c r="C906" s="53" t="n">
        <v>1479338</v>
      </c>
      <c r="D906" s="52" t="s">
        <v>2093</v>
      </c>
      <c r="E906" s="52" t="s">
        <v>2094</v>
      </c>
      <c r="F906" s="54" t="n">
        <v>30</v>
      </c>
      <c r="G906" s="55" t="n">
        <v>1158.09</v>
      </c>
      <c r="H906" s="55" t="n">
        <v>38.603</v>
      </c>
      <c r="I906" s="55" t="n">
        <v>8.4</v>
      </c>
      <c r="J906" s="52" t="s">
        <v>5816</v>
      </c>
      <c r="K906" s="56" t="n">
        <v>1</v>
      </c>
      <c r="L906" s="52" t="s">
        <v>5816</v>
      </c>
      <c r="M906" s="52" t="s">
        <v>32</v>
      </c>
    </row>
    <row r="907" customFormat="false" ht="17.25" hidden="false" customHeight="true" outlineLevel="0" collapsed="false">
      <c r="A907" s="52" t="s">
        <v>5777</v>
      </c>
      <c r="B907" s="52" t="s">
        <v>5813</v>
      </c>
      <c r="C907" s="53" t="n">
        <v>1484156</v>
      </c>
      <c r="D907" s="52" t="s">
        <v>2095</v>
      </c>
      <c r="E907" s="52" t="s">
        <v>2096</v>
      </c>
      <c r="F907" s="54" t="n">
        <v>558</v>
      </c>
      <c r="G907" s="55" t="n">
        <v>1157.82</v>
      </c>
      <c r="H907" s="55" t="n">
        <v>2.0749</v>
      </c>
      <c r="I907" s="55" t="n">
        <v>1.3969</v>
      </c>
      <c r="J907" s="52" t="s">
        <v>5816</v>
      </c>
      <c r="K907" s="56" t="n">
        <v>1</v>
      </c>
      <c r="L907" s="52" t="s">
        <v>5816</v>
      </c>
      <c r="M907" s="52" t="s">
        <v>100</v>
      </c>
    </row>
    <row r="908" customFormat="false" ht="17.25" hidden="false" customHeight="true" outlineLevel="0" collapsed="false">
      <c r="A908" s="52" t="s">
        <v>5777</v>
      </c>
      <c r="B908" s="52" t="s">
        <v>5813</v>
      </c>
      <c r="C908" s="53" t="n">
        <v>18824</v>
      </c>
      <c r="D908" s="52" t="s">
        <v>2097</v>
      </c>
      <c r="E908" s="52" t="s">
        <v>2098</v>
      </c>
      <c r="F908" s="54" t="n">
        <v>38</v>
      </c>
      <c r="G908" s="55" t="n">
        <v>1147.7</v>
      </c>
      <c r="H908" s="55" t="n">
        <v>30.2026</v>
      </c>
      <c r="I908" s="55" t="n">
        <v>29.99</v>
      </c>
      <c r="J908" s="52" t="s">
        <v>5831</v>
      </c>
      <c r="K908" s="56" t="n">
        <v>1</v>
      </c>
      <c r="L908" s="52" t="s">
        <v>5831</v>
      </c>
      <c r="M908" s="52" t="s">
        <v>247</v>
      </c>
    </row>
    <row r="909" customFormat="false" ht="17.25" hidden="false" customHeight="true" outlineLevel="0" collapsed="false">
      <c r="A909" s="52" t="s">
        <v>5777</v>
      </c>
      <c r="B909" s="52" t="s">
        <v>5813</v>
      </c>
      <c r="C909" s="53" t="n">
        <v>22126</v>
      </c>
      <c r="D909" s="52" t="s">
        <v>2099</v>
      </c>
      <c r="E909" s="52" t="s">
        <v>2100</v>
      </c>
      <c r="F909" s="54" t="n">
        <v>70</v>
      </c>
      <c r="G909" s="55" t="n">
        <v>1142.6</v>
      </c>
      <c r="H909" s="55" t="n">
        <v>16.3229</v>
      </c>
      <c r="I909" s="55" t="n">
        <v>17.1</v>
      </c>
      <c r="J909" s="52" t="s">
        <v>5822</v>
      </c>
      <c r="K909" s="56" t="n">
        <v>1</v>
      </c>
      <c r="L909" s="52" t="s">
        <v>5822</v>
      </c>
      <c r="M909" s="52" t="s">
        <v>605</v>
      </c>
    </row>
    <row r="910" customFormat="false" ht="17.25" hidden="false" customHeight="true" outlineLevel="0" collapsed="false">
      <c r="A910" s="52" t="s">
        <v>5777</v>
      </c>
      <c r="B910" s="52" t="s">
        <v>5813</v>
      </c>
      <c r="C910" s="53" t="n">
        <v>1387300</v>
      </c>
      <c r="D910" s="52" t="s">
        <v>2101</v>
      </c>
      <c r="E910" s="52" t="s">
        <v>2102</v>
      </c>
      <c r="F910" s="54" t="n">
        <v>3</v>
      </c>
      <c r="G910" s="55" t="n">
        <v>1140</v>
      </c>
      <c r="H910" s="55" t="n">
        <v>380</v>
      </c>
      <c r="I910" s="55" t="n">
        <v>380</v>
      </c>
      <c r="J910" s="52" t="s">
        <v>5816</v>
      </c>
      <c r="K910" s="56" t="n">
        <v>1</v>
      </c>
      <c r="L910" s="52" t="s">
        <v>5816</v>
      </c>
      <c r="M910" s="52" t="s">
        <v>133</v>
      </c>
    </row>
    <row r="911" customFormat="false" ht="17.25" hidden="false" customHeight="true" outlineLevel="0" collapsed="false">
      <c r="A911" s="52" t="s">
        <v>5777</v>
      </c>
      <c r="B911" s="52" t="s">
        <v>5813</v>
      </c>
      <c r="C911" s="53" t="n">
        <v>734072</v>
      </c>
      <c r="D911" s="52" t="s">
        <v>2103</v>
      </c>
      <c r="E911" s="52" t="s">
        <v>2104</v>
      </c>
      <c r="F911" s="54" t="n">
        <v>4</v>
      </c>
      <c r="G911" s="55" t="n">
        <v>1138.18</v>
      </c>
      <c r="H911" s="55" t="n">
        <v>284.5455</v>
      </c>
      <c r="I911" s="55" t="n">
        <v>288</v>
      </c>
      <c r="J911" s="52" t="s">
        <v>5816</v>
      </c>
      <c r="K911" s="56" t="n">
        <v>1</v>
      </c>
      <c r="L911" s="52" t="s">
        <v>5816</v>
      </c>
      <c r="M911" s="52" t="s">
        <v>130</v>
      </c>
    </row>
    <row r="912" customFormat="false" ht="17.25" hidden="false" customHeight="true" outlineLevel="0" collapsed="false">
      <c r="A912" s="52" t="s">
        <v>5777</v>
      </c>
      <c r="B912" s="52" t="s">
        <v>5813</v>
      </c>
      <c r="C912" s="53" t="n">
        <v>604835</v>
      </c>
      <c r="D912" s="52" t="s">
        <v>2105</v>
      </c>
      <c r="E912" s="52" t="s">
        <v>2106</v>
      </c>
      <c r="F912" s="54" t="n">
        <v>1</v>
      </c>
      <c r="G912" s="55" t="n">
        <v>1137.42</v>
      </c>
      <c r="H912" s="55" t="n">
        <v>1137.42</v>
      </c>
      <c r="I912" s="55" t="n">
        <v>1137.42</v>
      </c>
      <c r="J912" s="52" t="s">
        <v>5816</v>
      </c>
      <c r="K912" s="56" t="n">
        <v>1</v>
      </c>
      <c r="L912" s="52" t="s">
        <v>5816</v>
      </c>
      <c r="M912" s="52" t="s">
        <v>35</v>
      </c>
    </row>
    <row r="913" customFormat="false" ht="17.25" hidden="false" customHeight="true" outlineLevel="0" collapsed="false">
      <c r="A913" s="52" t="s">
        <v>5777</v>
      </c>
      <c r="B913" s="52" t="s">
        <v>5813</v>
      </c>
      <c r="C913" s="53" t="n">
        <v>1014256</v>
      </c>
      <c r="D913" s="52" t="s">
        <v>2107</v>
      </c>
      <c r="E913" s="52" t="s">
        <v>2108</v>
      </c>
      <c r="F913" s="54" t="n">
        <v>6</v>
      </c>
      <c r="G913" s="55" t="n">
        <v>1134</v>
      </c>
      <c r="H913" s="55" t="n">
        <v>189</v>
      </c>
      <c r="I913" s="55" t="n">
        <v>189</v>
      </c>
      <c r="J913" s="52" t="s">
        <v>5816</v>
      </c>
      <c r="K913" s="56" t="n">
        <v>1</v>
      </c>
      <c r="L913" s="52" t="s">
        <v>5816</v>
      </c>
      <c r="M913" s="52" t="s">
        <v>247</v>
      </c>
    </row>
    <row r="914" customFormat="false" ht="17.25" hidden="false" customHeight="true" outlineLevel="0" collapsed="false">
      <c r="A914" s="52" t="s">
        <v>5777</v>
      </c>
      <c r="B914" s="52" t="s">
        <v>5813</v>
      </c>
      <c r="C914" s="53" t="n">
        <v>22230</v>
      </c>
      <c r="D914" s="52" t="s">
        <v>2109</v>
      </c>
      <c r="E914" s="52" t="s">
        <v>2110</v>
      </c>
      <c r="F914" s="54" t="n">
        <v>44</v>
      </c>
      <c r="G914" s="55" t="n">
        <v>1130.4</v>
      </c>
      <c r="H914" s="55" t="n">
        <v>25.6909</v>
      </c>
      <c r="I914" s="55" t="n">
        <v>68</v>
      </c>
      <c r="J914" s="52" t="s">
        <v>5816</v>
      </c>
      <c r="K914" s="56" t="n">
        <v>1</v>
      </c>
      <c r="L914" s="52" t="s">
        <v>5816</v>
      </c>
      <c r="M914" s="52" t="s">
        <v>637</v>
      </c>
    </row>
    <row r="915" customFormat="false" ht="17.25" hidden="false" customHeight="true" outlineLevel="0" collapsed="false">
      <c r="A915" s="52" t="s">
        <v>5777</v>
      </c>
      <c r="B915" s="52" t="s">
        <v>5813</v>
      </c>
      <c r="C915" s="53" t="n">
        <v>839811</v>
      </c>
      <c r="D915" s="52" t="s">
        <v>2111</v>
      </c>
      <c r="E915" s="52" t="s">
        <v>2112</v>
      </c>
      <c r="F915" s="54" t="n">
        <v>226</v>
      </c>
      <c r="G915" s="55" t="n">
        <v>1125.48</v>
      </c>
      <c r="H915" s="55" t="n">
        <v>4.98</v>
      </c>
      <c r="I915" s="55" t="n">
        <v>4.98</v>
      </c>
      <c r="J915" s="52" t="s">
        <v>5816</v>
      </c>
      <c r="K915" s="56" t="n">
        <v>1</v>
      </c>
      <c r="L915" s="52" t="s">
        <v>5816</v>
      </c>
      <c r="M915" s="52" t="s">
        <v>262</v>
      </c>
    </row>
    <row r="916" customFormat="false" ht="17.25" hidden="false" customHeight="true" outlineLevel="0" collapsed="false">
      <c r="A916" s="52" t="s">
        <v>5777</v>
      </c>
      <c r="B916" s="52" t="s">
        <v>5813</v>
      </c>
      <c r="C916" s="53" t="n">
        <v>23241</v>
      </c>
      <c r="D916" s="52" t="s">
        <v>2113</v>
      </c>
      <c r="E916" s="52" t="s">
        <v>2114</v>
      </c>
      <c r="F916" s="54" t="n">
        <v>19</v>
      </c>
      <c r="G916" s="55" t="n">
        <v>1121</v>
      </c>
      <c r="H916" s="55" t="n">
        <v>59</v>
      </c>
      <c r="I916" s="55" t="n">
        <v>59</v>
      </c>
      <c r="J916" s="52" t="s">
        <v>5816</v>
      </c>
      <c r="K916" s="56" t="n">
        <v>1</v>
      </c>
      <c r="L916" s="52" t="s">
        <v>5816</v>
      </c>
      <c r="M916" s="52" t="s">
        <v>1095</v>
      </c>
    </row>
    <row r="917" customFormat="false" ht="17.25" hidden="false" customHeight="true" outlineLevel="0" collapsed="false">
      <c r="A917" s="52" t="s">
        <v>5777</v>
      </c>
      <c r="B917" s="52" t="s">
        <v>5813</v>
      </c>
      <c r="C917" s="53" t="n">
        <v>1379978</v>
      </c>
      <c r="D917" s="52" t="s">
        <v>2115</v>
      </c>
      <c r="E917" s="52" t="s">
        <v>2116</v>
      </c>
      <c r="F917" s="54" t="n">
        <v>118</v>
      </c>
      <c r="G917" s="55" t="n">
        <v>1118.08</v>
      </c>
      <c r="H917" s="55" t="n">
        <v>9.4753</v>
      </c>
      <c r="I917" s="55" t="n">
        <v>15</v>
      </c>
      <c r="J917" s="52" t="s">
        <v>5816</v>
      </c>
      <c r="K917" s="56" t="n">
        <v>1</v>
      </c>
      <c r="L917" s="52" t="s">
        <v>5816</v>
      </c>
      <c r="M917" s="52" t="s">
        <v>100</v>
      </c>
    </row>
    <row r="918" customFormat="false" ht="17.25" hidden="false" customHeight="true" outlineLevel="0" collapsed="false">
      <c r="A918" s="52" t="s">
        <v>5777</v>
      </c>
      <c r="B918" s="52" t="s">
        <v>5813</v>
      </c>
      <c r="C918" s="53" t="n">
        <v>1385337</v>
      </c>
      <c r="D918" s="52" t="s">
        <v>2117</v>
      </c>
      <c r="E918" s="52" t="s">
        <v>2118</v>
      </c>
      <c r="F918" s="54" t="n">
        <v>4</v>
      </c>
      <c r="G918" s="55" t="n">
        <v>1115.68</v>
      </c>
      <c r="H918" s="55" t="n">
        <v>278.92</v>
      </c>
      <c r="I918" s="55" t="n">
        <v>278.92</v>
      </c>
      <c r="J918" s="52" t="s">
        <v>5816</v>
      </c>
      <c r="K918" s="56" t="n">
        <v>1</v>
      </c>
      <c r="L918" s="52" t="s">
        <v>5816</v>
      </c>
      <c r="M918" s="52" t="s">
        <v>75</v>
      </c>
    </row>
    <row r="919" customFormat="false" ht="17.25" hidden="false" customHeight="true" outlineLevel="0" collapsed="false">
      <c r="A919" s="52" t="s">
        <v>5777</v>
      </c>
      <c r="B919" s="52" t="s">
        <v>5813</v>
      </c>
      <c r="C919" s="53" t="n">
        <v>90009</v>
      </c>
      <c r="D919" s="52" t="s">
        <v>2119</v>
      </c>
      <c r="E919" s="52" t="s">
        <v>2120</v>
      </c>
      <c r="F919" s="54" t="n">
        <v>1</v>
      </c>
      <c r="G919" s="55" t="n">
        <v>1113.11</v>
      </c>
      <c r="H919" s="55" t="n">
        <v>1113.11</v>
      </c>
      <c r="I919" s="55" t="n">
        <v>1113.11</v>
      </c>
      <c r="J919" s="52" t="s">
        <v>5816</v>
      </c>
      <c r="K919" s="56" t="n">
        <v>1</v>
      </c>
      <c r="L919" s="52" t="s">
        <v>5816</v>
      </c>
      <c r="M919" s="52" t="s">
        <v>189</v>
      </c>
    </row>
    <row r="920" customFormat="false" ht="17.25" hidden="false" customHeight="true" outlineLevel="0" collapsed="false">
      <c r="A920" s="52" t="s">
        <v>5777</v>
      </c>
      <c r="B920" s="52" t="s">
        <v>5813</v>
      </c>
      <c r="C920" s="53" t="n">
        <v>602573</v>
      </c>
      <c r="D920" s="52" t="s">
        <v>2121</v>
      </c>
      <c r="E920" s="52" t="s">
        <v>2122</v>
      </c>
      <c r="F920" s="54" t="n">
        <v>53</v>
      </c>
      <c r="G920" s="55" t="n">
        <v>1112.03</v>
      </c>
      <c r="H920" s="55" t="n">
        <v>20.9817</v>
      </c>
      <c r="I920" s="55" t="n">
        <v>22.51</v>
      </c>
      <c r="J920" s="52" t="s">
        <v>5818</v>
      </c>
      <c r="K920" s="56" t="n">
        <v>1</v>
      </c>
      <c r="L920" s="52" t="s">
        <v>5816</v>
      </c>
      <c r="M920" s="52" t="s">
        <v>100</v>
      </c>
    </row>
    <row r="921" customFormat="false" ht="17.25" hidden="false" customHeight="true" outlineLevel="0" collapsed="false">
      <c r="A921" s="52" t="s">
        <v>5777</v>
      </c>
      <c r="B921" s="52" t="s">
        <v>5813</v>
      </c>
      <c r="C921" s="53" t="n">
        <v>852733</v>
      </c>
      <c r="D921" s="52" t="s">
        <v>2123</v>
      </c>
      <c r="E921" s="52" t="s">
        <v>2124</v>
      </c>
      <c r="F921" s="54" t="n">
        <v>80</v>
      </c>
      <c r="G921" s="55" t="n">
        <v>1112</v>
      </c>
      <c r="H921" s="55" t="n">
        <v>13.9</v>
      </c>
      <c r="I921" s="55" t="n">
        <v>13.9</v>
      </c>
      <c r="J921" s="52" t="s">
        <v>5816</v>
      </c>
      <c r="K921" s="56" t="n">
        <v>1</v>
      </c>
      <c r="L921" s="52" t="s">
        <v>5816</v>
      </c>
      <c r="M921" s="52" t="s">
        <v>100</v>
      </c>
    </row>
    <row r="922" customFormat="false" ht="17.25" hidden="false" customHeight="true" outlineLevel="0" collapsed="false">
      <c r="A922" s="52" t="s">
        <v>5777</v>
      </c>
      <c r="B922" s="52" t="s">
        <v>5813</v>
      </c>
      <c r="C922" s="53" t="n">
        <v>14259</v>
      </c>
      <c r="D922" s="52" t="s">
        <v>2125</v>
      </c>
      <c r="E922" s="52" t="s">
        <v>2126</v>
      </c>
      <c r="F922" s="54" t="n">
        <v>1</v>
      </c>
      <c r="G922" s="55" t="n">
        <v>1111.8</v>
      </c>
      <c r="H922" s="55" t="n">
        <v>1111.8</v>
      </c>
      <c r="I922" s="55" t="n">
        <v>1111.8</v>
      </c>
      <c r="J922" s="52" t="s">
        <v>5816</v>
      </c>
      <c r="K922" s="56" t="n">
        <v>1</v>
      </c>
      <c r="L922" s="52" t="s">
        <v>5816</v>
      </c>
      <c r="M922" s="52" t="s">
        <v>38</v>
      </c>
    </row>
    <row r="923" customFormat="false" ht="17.25" hidden="false" customHeight="true" outlineLevel="0" collapsed="false">
      <c r="A923" s="52" t="s">
        <v>5777</v>
      </c>
      <c r="B923" s="52" t="s">
        <v>5813</v>
      </c>
      <c r="C923" s="53" t="n">
        <v>1636015</v>
      </c>
      <c r="D923" s="52" t="s">
        <v>2127</v>
      </c>
      <c r="E923" s="52" t="s">
        <v>2128</v>
      </c>
      <c r="F923" s="54" t="n">
        <v>4</v>
      </c>
      <c r="G923" s="55" t="n">
        <v>1107</v>
      </c>
      <c r="H923" s="55" t="n">
        <v>276.75</v>
      </c>
      <c r="I923" s="55" t="n">
        <v>276.75</v>
      </c>
      <c r="J923" s="52" t="s">
        <v>5816</v>
      </c>
      <c r="K923" s="56" t="n">
        <v>1</v>
      </c>
      <c r="L923" s="52" t="s">
        <v>5816</v>
      </c>
      <c r="M923" s="52" t="s">
        <v>195</v>
      </c>
    </row>
    <row r="924" customFormat="false" ht="17.25" hidden="false" customHeight="true" outlineLevel="0" collapsed="false">
      <c r="A924" s="52" t="s">
        <v>5777</v>
      </c>
      <c r="B924" s="52" t="s">
        <v>5813</v>
      </c>
      <c r="C924" s="53" t="n">
        <v>14865</v>
      </c>
      <c r="D924" s="52" t="s">
        <v>2129</v>
      </c>
      <c r="E924" s="52" t="s">
        <v>2130</v>
      </c>
      <c r="F924" s="54" t="n">
        <v>19</v>
      </c>
      <c r="G924" s="55" t="n">
        <v>1102</v>
      </c>
      <c r="H924" s="55" t="n">
        <v>58</v>
      </c>
      <c r="I924" s="55" t="n">
        <v>58</v>
      </c>
      <c r="J924" s="52" t="s">
        <v>5816</v>
      </c>
      <c r="K924" s="56" t="n">
        <v>1</v>
      </c>
      <c r="L924" s="52" t="s">
        <v>5816</v>
      </c>
      <c r="M924" s="52" t="s">
        <v>54</v>
      </c>
    </row>
    <row r="925" customFormat="false" ht="17.25" hidden="false" customHeight="true" outlineLevel="0" collapsed="false">
      <c r="A925" s="52" t="s">
        <v>5777</v>
      </c>
      <c r="B925" s="52" t="s">
        <v>5813</v>
      </c>
      <c r="C925" s="53" t="n">
        <v>1112941</v>
      </c>
      <c r="D925" s="52" t="s">
        <v>2131</v>
      </c>
      <c r="E925" s="52" t="s">
        <v>5893</v>
      </c>
      <c r="F925" s="54" t="n">
        <v>20</v>
      </c>
      <c r="G925" s="55" t="n">
        <v>1100</v>
      </c>
      <c r="H925" s="55" t="n">
        <v>55</v>
      </c>
      <c r="I925" s="55" t="n">
        <v>55</v>
      </c>
      <c r="J925" s="52" t="s">
        <v>5816</v>
      </c>
      <c r="K925" s="56" t="n">
        <v>1</v>
      </c>
      <c r="L925" s="52" t="s">
        <v>5816</v>
      </c>
      <c r="M925" s="52" t="s">
        <v>247</v>
      </c>
    </row>
    <row r="926" customFormat="false" ht="17.25" hidden="false" customHeight="true" outlineLevel="0" collapsed="false">
      <c r="A926" s="52" t="s">
        <v>5777</v>
      </c>
      <c r="B926" s="52" t="s">
        <v>5813</v>
      </c>
      <c r="C926" s="53" t="n">
        <v>855299</v>
      </c>
      <c r="D926" s="52" t="s">
        <v>2133</v>
      </c>
      <c r="E926" s="52" t="s">
        <v>2134</v>
      </c>
      <c r="F926" s="54" t="n">
        <v>1</v>
      </c>
      <c r="G926" s="55" t="n">
        <v>1098.75</v>
      </c>
      <c r="H926" s="55" t="n">
        <v>1098.75</v>
      </c>
      <c r="I926" s="55" t="n">
        <v>1098.75</v>
      </c>
      <c r="J926" s="52" t="s">
        <v>5816</v>
      </c>
      <c r="K926" s="56" t="n">
        <v>1</v>
      </c>
      <c r="L926" s="52" t="s">
        <v>5816</v>
      </c>
      <c r="M926" s="52" t="s">
        <v>35</v>
      </c>
    </row>
    <row r="927" customFormat="false" ht="17.25" hidden="false" customHeight="true" outlineLevel="0" collapsed="false">
      <c r="A927" s="52" t="s">
        <v>5777</v>
      </c>
      <c r="B927" s="52" t="s">
        <v>5813</v>
      </c>
      <c r="C927" s="53" t="n">
        <v>60990</v>
      </c>
      <c r="D927" s="52" t="s">
        <v>2135</v>
      </c>
      <c r="E927" s="52" t="s">
        <v>2136</v>
      </c>
      <c r="F927" s="54" t="n">
        <v>2</v>
      </c>
      <c r="G927" s="55" t="n">
        <v>1096</v>
      </c>
      <c r="H927" s="55" t="n">
        <v>548</v>
      </c>
      <c r="I927" s="55" t="n">
        <v>548</v>
      </c>
      <c r="J927" s="52" t="s">
        <v>5846</v>
      </c>
      <c r="K927" s="56" t="n">
        <v>18</v>
      </c>
      <c r="L927" s="52" t="s">
        <v>5823</v>
      </c>
      <c r="M927" s="52" t="s">
        <v>705</v>
      </c>
    </row>
    <row r="928" customFormat="false" ht="17.25" hidden="false" customHeight="true" outlineLevel="0" collapsed="false">
      <c r="A928" s="52" t="s">
        <v>5777</v>
      </c>
      <c r="B928" s="52" t="s">
        <v>5813</v>
      </c>
      <c r="C928" s="53" t="n">
        <v>1330868</v>
      </c>
      <c r="D928" s="52" t="s">
        <v>2137</v>
      </c>
      <c r="E928" s="52" t="s">
        <v>2138</v>
      </c>
      <c r="F928" s="54" t="n">
        <v>196</v>
      </c>
      <c r="G928" s="55" t="n">
        <v>1088.75</v>
      </c>
      <c r="H928" s="55" t="n">
        <v>5.5548</v>
      </c>
      <c r="I928" s="55" t="n">
        <v>4.7093</v>
      </c>
      <c r="J928" s="52" t="s">
        <v>5816</v>
      </c>
      <c r="K928" s="56" t="n">
        <v>1</v>
      </c>
      <c r="L928" s="52" t="s">
        <v>5816</v>
      </c>
      <c r="M928" s="52" t="s">
        <v>100</v>
      </c>
    </row>
    <row r="929" customFormat="false" ht="17.25" hidden="false" customHeight="true" outlineLevel="0" collapsed="false">
      <c r="A929" s="52" t="s">
        <v>5777</v>
      </c>
      <c r="B929" s="52" t="s">
        <v>5813</v>
      </c>
      <c r="C929" s="53" t="n">
        <v>1610263</v>
      </c>
      <c r="D929" s="52" t="s">
        <v>2139</v>
      </c>
      <c r="E929" s="52" t="s">
        <v>2140</v>
      </c>
      <c r="F929" s="54" t="n">
        <v>6</v>
      </c>
      <c r="G929" s="55" t="n">
        <v>1088.34</v>
      </c>
      <c r="H929" s="55" t="n">
        <v>181.39</v>
      </c>
      <c r="I929" s="55" t="n">
        <v>181.39</v>
      </c>
      <c r="J929" s="52" t="s">
        <v>5816</v>
      </c>
      <c r="K929" s="56" t="n">
        <v>1</v>
      </c>
      <c r="L929" s="52" t="s">
        <v>5816</v>
      </c>
      <c r="M929" s="52" t="s">
        <v>38</v>
      </c>
    </row>
    <row r="930" customFormat="false" ht="17.25" hidden="false" customHeight="true" outlineLevel="0" collapsed="false">
      <c r="A930" s="52" t="s">
        <v>5777</v>
      </c>
      <c r="B930" s="52" t="s">
        <v>5813</v>
      </c>
      <c r="C930" s="53" t="n">
        <v>1384960</v>
      </c>
      <c r="D930" s="52" t="s">
        <v>2141</v>
      </c>
      <c r="E930" s="52" t="s">
        <v>2142</v>
      </c>
      <c r="F930" s="54" t="n">
        <v>50</v>
      </c>
      <c r="G930" s="55" t="n">
        <v>1086.9</v>
      </c>
      <c r="H930" s="55" t="n">
        <v>21.738</v>
      </c>
      <c r="I930" s="55" t="n">
        <v>19.45</v>
      </c>
      <c r="J930" s="52" t="s">
        <v>5814</v>
      </c>
      <c r="K930" s="56" t="n">
        <v>1</v>
      </c>
      <c r="L930" s="52" t="s">
        <v>5814</v>
      </c>
      <c r="M930" s="52" t="s">
        <v>38</v>
      </c>
    </row>
    <row r="931" customFormat="false" ht="17.25" hidden="false" customHeight="true" outlineLevel="0" collapsed="false">
      <c r="A931" s="52" t="s">
        <v>5777</v>
      </c>
      <c r="B931" s="52" t="s">
        <v>5813</v>
      </c>
      <c r="C931" s="53" t="n">
        <v>16012</v>
      </c>
      <c r="D931" s="52" t="s">
        <v>2143</v>
      </c>
      <c r="E931" s="52" t="s">
        <v>2144</v>
      </c>
      <c r="F931" s="54" t="n">
        <v>3</v>
      </c>
      <c r="G931" s="55" t="n">
        <v>1084.8</v>
      </c>
      <c r="H931" s="55" t="n">
        <v>361.6</v>
      </c>
      <c r="I931" s="55" t="n">
        <v>361.6</v>
      </c>
      <c r="J931" s="52" t="s">
        <v>5816</v>
      </c>
      <c r="K931" s="56" t="n">
        <v>1</v>
      </c>
      <c r="L931" s="52" t="s">
        <v>5816</v>
      </c>
      <c r="M931" s="52" t="s">
        <v>54</v>
      </c>
    </row>
    <row r="932" customFormat="false" ht="17.25" hidden="false" customHeight="true" outlineLevel="0" collapsed="false">
      <c r="A932" s="52" t="s">
        <v>5777</v>
      </c>
      <c r="B932" s="52" t="s">
        <v>5813</v>
      </c>
      <c r="C932" s="53" t="n">
        <v>860234</v>
      </c>
      <c r="D932" s="52" t="s">
        <v>2145</v>
      </c>
      <c r="E932" s="52" t="s">
        <v>2146</v>
      </c>
      <c r="F932" s="54" t="n">
        <v>22</v>
      </c>
      <c r="G932" s="55" t="n">
        <v>1084.4</v>
      </c>
      <c r="H932" s="55" t="n">
        <v>49.2909</v>
      </c>
      <c r="I932" s="55" t="n">
        <v>44.96</v>
      </c>
      <c r="J932" s="52" t="s">
        <v>5816</v>
      </c>
      <c r="K932" s="56" t="n">
        <v>1</v>
      </c>
      <c r="L932" s="52" t="s">
        <v>5816</v>
      </c>
      <c r="M932" s="52" t="s">
        <v>130</v>
      </c>
    </row>
    <row r="933" customFormat="false" ht="17.25" hidden="false" customHeight="true" outlineLevel="0" collapsed="false">
      <c r="A933" s="52" t="s">
        <v>5777</v>
      </c>
      <c r="B933" s="52" t="s">
        <v>5813</v>
      </c>
      <c r="C933" s="53" t="n">
        <v>32018</v>
      </c>
      <c r="D933" s="52" t="s">
        <v>2147</v>
      </c>
      <c r="E933" s="52" t="s">
        <v>2148</v>
      </c>
      <c r="F933" s="54" t="n">
        <v>10</v>
      </c>
      <c r="G933" s="55" t="n">
        <v>1080.3</v>
      </c>
      <c r="H933" s="55" t="n">
        <v>108.03</v>
      </c>
      <c r="I933" s="55" t="n">
        <v>108.03</v>
      </c>
      <c r="J933" s="52" t="s">
        <v>5816</v>
      </c>
      <c r="K933" s="56" t="n">
        <v>1</v>
      </c>
      <c r="L933" s="52" t="s">
        <v>5816</v>
      </c>
      <c r="M933" s="52" t="s">
        <v>363</v>
      </c>
    </row>
    <row r="934" customFormat="false" ht="17.25" hidden="false" customHeight="true" outlineLevel="0" collapsed="false">
      <c r="A934" s="52" t="s">
        <v>5777</v>
      </c>
      <c r="B934" s="52" t="s">
        <v>5813</v>
      </c>
      <c r="C934" s="53" t="n">
        <v>12561</v>
      </c>
      <c r="D934" s="52" t="s">
        <v>2149</v>
      </c>
      <c r="E934" s="52" t="s">
        <v>2150</v>
      </c>
      <c r="F934" s="54" t="n">
        <v>5</v>
      </c>
      <c r="G934" s="55" t="n">
        <v>1080</v>
      </c>
      <c r="H934" s="55" t="n">
        <v>216</v>
      </c>
      <c r="I934" s="55" t="n">
        <v>208</v>
      </c>
      <c r="J934" s="52" t="s">
        <v>5814</v>
      </c>
      <c r="K934" s="56" t="n">
        <v>1</v>
      </c>
      <c r="L934" s="52" t="s">
        <v>5814</v>
      </c>
      <c r="M934" s="52" t="s">
        <v>38</v>
      </c>
    </row>
    <row r="935" customFormat="false" ht="17.25" hidden="false" customHeight="true" outlineLevel="0" collapsed="false">
      <c r="A935" s="52" t="s">
        <v>5777</v>
      </c>
      <c r="B935" s="52" t="s">
        <v>5813</v>
      </c>
      <c r="C935" s="53" t="n">
        <v>392676</v>
      </c>
      <c r="D935" s="52" t="s">
        <v>2151</v>
      </c>
      <c r="E935" s="52" t="s">
        <v>2152</v>
      </c>
      <c r="F935" s="54" t="n">
        <v>2</v>
      </c>
      <c r="G935" s="55" t="n">
        <v>1080</v>
      </c>
      <c r="H935" s="55" t="n">
        <v>540</v>
      </c>
      <c r="I935" s="55" t="n">
        <v>350</v>
      </c>
      <c r="J935" s="52" t="s">
        <v>5816</v>
      </c>
      <c r="K935" s="56" t="n">
        <v>1</v>
      </c>
      <c r="L935" s="52" t="s">
        <v>5816</v>
      </c>
      <c r="M935" s="52" t="s">
        <v>189</v>
      </c>
    </row>
    <row r="936" customFormat="false" ht="17.25" hidden="false" customHeight="true" outlineLevel="0" collapsed="false">
      <c r="A936" s="52" t="s">
        <v>5777</v>
      </c>
      <c r="B936" s="52" t="s">
        <v>5813</v>
      </c>
      <c r="C936" s="53" t="n">
        <v>856717</v>
      </c>
      <c r="D936" s="52" t="s">
        <v>2153</v>
      </c>
      <c r="E936" s="52" t="s">
        <v>2154</v>
      </c>
      <c r="F936" s="54" t="n">
        <v>1</v>
      </c>
      <c r="G936" s="55" t="n">
        <v>1080</v>
      </c>
      <c r="H936" s="55" t="n">
        <v>1080</v>
      </c>
      <c r="I936" s="55" t="n">
        <v>1080</v>
      </c>
      <c r="J936" s="52" t="s">
        <v>5816</v>
      </c>
      <c r="K936" s="56" t="n">
        <v>1</v>
      </c>
      <c r="L936" s="52" t="s">
        <v>5816</v>
      </c>
      <c r="M936" s="52" t="s">
        <v>130</v>
      </c>
    </row>
    <row r="937" customFormat="false" ht="17.25" hidden="false" customHeight="true" outlineLevel="0" collapsed="false">
      <c r="A937" s="52" t="s">
        <v>5777</v>
      </c>
      <c r="B937" s="52" t="s">
        <v>5813</v>
      </c>
      <c r="C937" s="53" t="n">
        <v>1109412</v>
      </c>
      <c r="D937" s="52" t="s">
        <v>2155</v>
      </c>
      <c r="E937" s="52" t="s">
        <v>2156</v>
      </c>
      <c r="F937" s="54" t="n">
        <v>18</v>
      </c>
      <c r="G937" s="55" t="n">
        <v>1080</v>
      </c>
      <c r="H937" s="55" t="n">
        <v>60</v>
      </c>
      <c r="I937" s="55" t="n">
        <v>60</v>
      </c>
      <c r="J937" s="52" t="s">
        <v>5816</v>
      </c>
      <c r="K937" s="56" t="n">
        <v>1</v>
      </c>
      <c r="L937" s="52" t="s">
        <v>5816</v>
      </c>
      <c r="M937" s="52" t="s">
        <v>355</v>
      </c>
    </row>
    <row r="938" customFormat="false" ht="17.25" hidden="false" customHeight="true" outlineLevel="0" collapsed="false">
      <c r="A938" s="52" t="s">
        <v>5777</v>
      </c>
      <c r="B938" s="52" t="s">
        <v>5813</v>
      </c>
      <c r="C938" s="53" t="n">
        <v>1614269</v>
      </c>
      <c r="D938" s="52" t="s">
        <v>2159</v>
      </c>
      <c r="E938" s="52" t="s">
        <v>2160</v>
      </c>
      <c r="F938" s="54" t="n">
        <v>4</v>
      </c>
      <c r="G938" s="55" t="n">
        <v>1079.08</v>
      </c>
      <c r="H938" s="55" t="n">
        <v>269.77</v>
      </c>
      <c r="I938" s="55" t="n">
        <v>286.92</v>
      </c>
      <c r="J938" s="52" t="s">
        <v>5816</v>
      </c>
      <c r="K938" s="56" t="n">
        <v>1</v>
      </c>
      <c r="L938" s="52" t="s">
        <v>5816</v>
      </c>
      <c r="M938" s="52" t="s">
        <v>38</v>
      </c>
    </row>
    <row r="939" customFormat="false" ht="17.25" hidden="false" customHeight="true" outlineLevel="0" collapsed="false">
      <c r="A939" s="52" t="s">
        <v>5777</v>
      </c>
      <c r="B939" s="52" t="s">
        <v>5813</v>
      </c>
      <c r="C939" s="53" t="n">
        <v>559297</v>
      </c>
      <c r="D939" s="52" t="s">
        <v>2161</v>
      </c>
      <c r="E939" s="52" t="s">
        <v>2162</v>
      </c>
      <c r="F939" s="54" t="n">
        <v>2</v>
      </c>
      <c r="G939" s="55" t="n">
        <v>1078</v>
      </c>
      <c r="H939" s="55" t="n">
        <v>539</v>
      </c>
      <c r="I939" s="55" t="n">
        <v>539</v>
      </c>
      <c r="J939" s="52" t="s">
        <v>5816</v>
      </c>
      <c r="K939" s="56" t="n">
        <v>1</v>
      </c>
      <c r="L939" s="52" t="s">
        <v>5816</v>
      </c>
      <c r="M939" s="52" t="s">
        <v>605</v>
      </c>
    </row>
    <row r="940" customFormat="false" ht="17.25" hidden="false" customHeight="true" outlineLevel="0" collapsed="false">
      <c r="A940" s="52" t="s">
        <v>5777</v>
      </c>
      <c r="B940" s="52" t="s">
        <v>5813</v>
      </c>
      <c r="C940" s="53" t="n">
        <v>16280</v>
      </c>
      <c r="D940" s="52" t="s">
        <v>2163</v>
      </c>
      <c r="E940" s="52" t="s">
        <v>2164</v>
      </c>
      <c r="F940" s="54" t="n">
        <v>2</v>
      </c>
      <c r="G940" s="55" t="n">
        <v>1077.6</v>
      </c>
      <c r="H940" s="55" t="n">
        <v>538.8</v>
      </c>
      <c r="I940" s="55" t="n">
        <v>538.8</v>
      </c>
      <c r="J940" s="52" t="s">
        <v>5816</v>
      </c>
      <c r="K940" s="56" t="n">
        <v>1</v>
      </c>
      <c r="L940" s="52" t="s">
        <v>5816</v>
      </c>
      <c r="M940" s="52" t="s">
        <v>54</v>
      </c>
    </row>
    <row r="941" customFormat="false" ht="17.25" hidden="false" customHeight="true" outlineLevel="0" collapsed="false">
      <c r="A941" s="52" t="s">
        <v>5777</v>
      </c>
      <c r="B941" s="52" t="s">
        <v>5813</v>
      </c>
      <c r="C941" s="53" t="n">
        <v>1330915</v>
      </c>
      <c r="D941" s="52" t="s">
        <v>2165</v>
      </c>
      <c r="E941" s="52" t="s">
        <v>2166</v>
      </c>
      <c r="F941" s="54" t="n">
        <v>208</v>
      </c>
      <c r="G941" s="55" t="n">
        <v>1075.22</v>
      </c>
      <c r="H941" s="55" t="n">
        <v>5.1693</v>
      </c>
      <c r="I941" s="55" t="n">
        <v>4.49</v>
      </c>
      <c r="J941" s="52" t="s">
        <v>5816</v>
      </c>
      <c r="K941" s="56" t="n">
        <v>1</v>
      </c>
      <c r="L941" s="52" t="s">
        <v>5816</v>
      </c>
      <c r="M941" s="52" t="s">
        <v>100</v>
      </c>
    </row>
    <row r="942" customFormat="false" ht="17.25" hidden="false" customHeight="true" outlineLevel="0" collapsed="false">
      <c r="A942" s="52" t="s">
        <v>5777</v>
      </c>
      <c r="B942" s="52" t="s">
        <v>5813</v>
      </c>
      <c r="C942" s="53" t="n">
        <v>1330497</v>
      </c>
      <c r="D942" s="52" t="s">
        <v>2169</v>
      </c>
      <c r="E942" s="52" t="s">
        <v>2170</v>
      </c>
      <c r="F942" s="54" t="n">
        <v>9</v>
      </c>
      <c r="G942" s="55" t="n">
        <v>1074.42</v>
      </c>
      <c r="H942" s="55" t="n">
        <v>119.38</v>
      </c>
      <c r="I942" s="55" t="n">
        <v>48</v>
      </c>
      <c r="J942" s="52" t="s">
        <v>5816</v>
      </c>
      <c r="K942" s="56" t="n">
        <v>1</v>
      </c>
      <c r="L942" s="52" t="s">
        <v>5816</v>
      </c>
      <c r="M942" s="52" t="s">
        <v>54</v>
      </c>
    </row>
    <row r="943" customFormat="false" ht="17.25" hidden="false" customHeight="true" outlineLevel="0" collapsed="false">
      <c r="A943" s="52" t="s">
        <v>5777</v>
      </c>
      <c r="B943" s="52" t="s">
        <v>5813</v>
      </c>
      <c r="C943" s="53" t="n">
        <v>21546</v>
      </c>
      <c r="D943" s="52" t="s">
        <v>2171</v>
      </c>
      <c r="E943" s="52" t="s">
        <v>2172</v>
      </c>
      <c r="F943" s="54" t="n">
        <v>75</v>
      </c>
      <c r="G943" s="55" t="n">
        <v>1071.353</v>
      </c>
      <c r="H943" s="55" t="n">
        <v>14.2847</v>
      </c>
      <c r="I943" s="55" t="n">
        <v>14.5</v>
      </c>
      <c r="J943" s="52" t="s">
        <v>5894</v>
      </c>
      <c r="K943" s="56" t="n">
        <v>1</v>
      </c>
      <c r="L943" s="52" t="s">
        <v>5816</v>
      </c>
      <c r="M943" s="52" t="s">
        <v>605</v>
      </c>
    </row>
    <row r="944" customFormat="false" ht="17.25" hidden="false" customHeight="true" outlineLevel="0" collapsed="false">
      <c r="A944" s="52" t="s">
        <v>5777</v>
      </c>
      <c r="B944" s="52" t="s">
        <v>5813</v>
      </c>
      <c r="C944" s="53" t="n">
        <v>19119</v>
      </c>
      <c r="D944" s="52" t="s">
        <v>2173</v>
      </c>
      <c r="E944" s="52" t="s">
        <v>2174</v>
      </c>
      <c r="F944" s="54" t="n">
        <v>10</v>
      </c>
      <c r="G944" s="55" t="n">
        <v>1071</v>
      </c>
      <c r="H944" s="55" t="n">
        <v>107.1</v>
      </c>
      <c r="I944" s="55" t="n">
        <v>107.1</v>
      </c>
      <c r="J944" s="52" t="s">
        <v>5816</v>
      </c>
      <c r="K944" s="56" t="n">
        <v>1</v>
      </c>
      <c r="L944" s="52" t="s">
        <v>5816</v>
      </c>
      <c r="M944" s="52" t="s">
        <v>113</v>
      </c>
    </row>
    <row r="945" customFormat="false" ht="17.25" hidden="false" customHeight="true" outlineLevel="0" collapsed="false">
      <c r="A945" s="52" t="s">
        <v>5777</v>
      </c>
      <c r="B945" s="52" t="s">
        <v>5813</v>
      </c>
      <c r="C945" s="53" t="n">
        <v>1066406</v>
      </c>
      <c r="D945" s="52" t="s">
        <v>2175</v>
      </c>
      <c r="E945" s="52" t="s">
        <v>2176</v>
      </c>
      <c r="F945" s="54" t="n">
        <v>10</v>
      </c>
      <c r="G945" s="55" t="n">
        <v>1071</v>
      </c>
      <c r="H945" s="55" t="n">
        <v>107.1</v>
      </c>
      <c r="I945" s="55" t="n">
        <v>107.1</v>
      </c>
      <c r="J945" s="52" t="s">
        <v>5816</v>
      </c>
      <c r="K945" s="56" t="n">
        <v>1</v>
      </c>
      <c r="L945" s="52" t="s">
        <v>5816</v>
      </c>
      <c r="M945" s="52" t="s">
        <v>167</v>
      </c>
    </row>
    <row r="946" customFormat="false" ht="17.25" hidden="false" customHeight="true" outlineLevel="0" collapsed="false">
      <c r="A946" s="52" t="s">
        <v>5777</v>
      </c>
      <c r="B946" s="52" t="s">
        <v>5813</v>
      </c>
      <c r="C946" s="53" t="n">
        <v>1317673</v>
      </c>
      <c r="D946" s="52" t="s">
        <v>2177</v>
      </c>
      <c r="E946" s="52" t="s">
        <v>2178</v>
      </c>
      <c r="F946" s="54" t="n">
        <v>10</v>
      </c>
      <c r="G946" s="55" t="n">
        <v>1070</v>
      </c>
      <c r="H946" s="55" t="n">
        <v>107</v>
      </c>
      <c r="I946" s="55" t="n">
        <v>107</v>
      </c>
      <c r="J946" s="52" t="s">
        <v>5816</v>
      </c>
      <c r="K946" s="56" t="n">
        <v>1</v>
      </c>
      <c r="L946" s="52" t="s">
        <v>5816</v>
      </c>
      <c r="M946" s="52" t="s">
        <v>605</v>
      </c>
    </row>
    <row r="947" customFormat="false" ht="17.25" hidden="false" customHeight="true" outlineLevel="0" collapsed="false">
      <c r="A947" s="52" t="s">
        <v>5777</v>
      </c>
      <c r="B947" s="52" t="s">
        <v>5813</v>
      </c>
      <c r="C947" s="53" t="n">
        <v>839618</v>
      </c>
      <c r="D947" s="52" t="s">
        <v>2179</v>
      </c>
      <c r="E947" s="52" t="s">
        <v>2180</v>
      </c>
      <c r="F947" s="54" t="n">
        <v>3</v>
      </c>
      <c r="G947" s="55" t="n">
        <v>1068.51</v>
      </c>
      <c r="H947" s="55" t="n">
        <v>356.17</v>
      </c>
      <c r="I947" s="55" t="n">
        <v>356.17</v>
      </c>
      <c r="J947" s="52" t="s">
        <v>5816</v>
      </c>
      <c r="K947" s="56" t="n">
        <v>1</v>
      </c>
      <c r="L947" s="52" t="s">
        <v>5816</v>
      </c>
      <c r="M947" s="52" t="s">
        <v>247</v>
      </c>
    </row>
    <row r="948" customFormat="false" ht="17.25" hidden="false" customHeight="true" outlineLevel="0" collapsed="false">
      <c r="A948" s="52" t="s">
        <v>5777</v>
      </c>
      <c r="B948" s="52" t="s">
        <v>5813</v>
      </c>
      <c r="C948" s="53" t="n">
        <v>23428</v>
      </c>
      <c r="D948" s="52" t="s">
        <v>2181</v>
      </c>
      <c r="E948" s="52" t="s">
        <v>2182</v>
      </c>
      <c r="F948" s="54" t="n">
        <v>4</v>
      </c>
      <c r="G948" s="55" t="n">
        <v>1060</v>
      </c>
      <c r="H948" s="55" t="n">
        <v>265</v>
      </c>
      <c r="I948" s="55" t="n">
        <v>265</v>
      </c>
      <c r="J948" s="52" t="s">
        <v>5816</v>
      </c>
      <c r="K948" s="56" t="n">
        <v>1</v>
      </c>
      <c r="L948" s="52" t="s">
        <v>5816</v>
      </c>
      <c r="M948" s="52" t="s">
        <v>1095</v>
      </c>
    </row>
    <row r="949" customFormat="false" ht="17.25" hidden="false" customHeight="true" outlineLevel="0" collapsed="false">
      <c r="A949" s="52" t="s">
        <v>5777</v>
      </c>
      <c r="B949" s="52" t="s">
        <v>5813</v>
      </c>
      <c r="C949" s="53" t="n">
        <v>278462</v>
      </c>
      <c r="D949" s="52" t="s">
        <v>2183</v>
      </c>
      <c r="E949" s="52" t="s">
        <v>2184</v>
      </c>
      <c r="F949" s="54" t="n">
        <v>21</v>
      </c>
      <c r="G949" s="55" t="n">
        <v>1050.0672</v>
      </c>
      <c r="H949" s="55" t="n">
        <v>50.0032</v>
      </c>
      <c r="I949" s="55" t="n">
        <v>44.6</v>
      </c>
      <c r="J949" s="52" t="s">
        <v>5816</v>
      </c>
      <c r="K949" s="56" t="n">
        <v>1</v>
      </c>
      <c r="L949" s="52" t="s">
        <v>5816</v>
      </c>
      <c r="M949" s="52" t="s">
        <v>38</v>
      </c>
    </row>
    <row r="950" customFormat="false" ht="17.25" hidden="false" customHeight="true" outlineLevel="0" collapsed="false">
      <c r="A950" s="52" t="s">
        <v>5777</v>
      </c>
      <c r="B950" s="52" t="s">
        <v>5813</v>
      </c>
      <c r="C950" s="53" t="n">
        <v>54270</v>
      </c>
      <c r="D950" s="52" t="s">
        <v>2185</v>
      </c>
      <c r="E950" s="52" t="s">
        <v>2186</v>
      </c>
      <c r="F950" s="54" t="n">
        <v>350</v>
      </c>
      <c r="G950" s="55" t="n">
        <v>1050</v>
      </c>
      <c r="H950" s="55" t="n">
        <v>3</v>
      </c>
      <c r="I950" s="55" t="n">
        <v>3</v>
      </c>
      <c r="J950" s="52" t="s">
        <v>5816</v>
      </c>
      <c r="K950" s="56" t="n">
        <v>1</v>
      </c>
      <c r="L950" s="52" t="s">
        <v>5816</v>
      </c>
      <c r="M950" s="52" t="s">
        <v>100</v>
      </c>
    </row>
    <row r="951" customFormat="false" ht="17.25" hidden="false" customHeight="true" outlineLevel="0" collapsed="false">
      <c r="A951" s="52" t="s">
        <v>5777</v>
      </c>
      <c r="B951" s="52" t="s">
        <v>5813</v>
      </c>
      <c r="C951" s="53" t="n">
        <v>1484204</v>
      </c>
      <c r="D951" s="52" t="s">
        <v>2187</v>
      </c>
      <c r="E951" s="52" t="s">
        <v>2188</v>
      </c>
      <c r="F951" s="54" t="n">
        <v>82</v>
      </c>
      <c r="G951" s="55" t="n">
        <v>1047.8</v>
      </c>
      <c r="H951" s="55" t="n">
        <v>12.778</v>
      </c>
      <c r="I951" s="55" t="n">
        <v>19.5</v>
      </c>
      <c r="J951" s="52" t="s">
        <v>5816</v>
      </c>
      <c r="K951" s="56" t="n">
        <v>1</v>
      </c>
      <c r="L951" s="52" t="s">
        <v>5816</v>
      </c>
      <c r="M951" s="52" t="s">
        <v>100</v>
      </c>
    </row>
    <row r="952" customFormat="false" ht="17.25" hidden="false" customHeight="true" outlineLevel="0" collapsed="false">
      <c r="A952" s="52" t="s">
        <v>5777</v>
      </c>
      <c r="B952" s="52" t="s">
        <v>5813</v>
      </c>
      <c r="C952" s="53" t="n">
        <v>57393</v>
      </c>
      <c r="D952" s="52" t="s">
        <v>2189</v>
      </c>
      <c r="E952" s="52" t="s">
        <v>2190</v>
      </c>
      <c r="F952" s="54" t="n">
        <v>4.8</v>
      </c>
      <c r="G952" s="55" t="n">
        <v>1044.11</v>
      </c>
      <c r="H952" s="55" t="n">
        <v>217.5229</v>
      </c>
      <c r="I952" s="55" t="n">
        <v>217.5229</v>
      </c>
      <c r="J952" s="52" t="s">
        <v>5814</v>
      </c>
      <c r="K952" s="56" t="n">
        <v>1</v>
      </c>
      <c r="L952" s="52" t="s">
        <v>5814</v>
      </c>
      <c r="M952" s="52" t="s">
        <v>133</v>
      </c>
    </row>
    <row r="953" customFormat="false" ht="17.25" hidden="false" customHeight="true" outlineLevel="0" collapsed="false">
      <c r="A953" s="52" t="s">
        <v>5777</v>
      </c>
      <c r="B953" s="52" t="s">
        <v>5813</v>
      </c>
      <c r="C953" s="53" t="n">
        <v>22990</v>
      </c>
      <c r="D953" s="52" t="s">
        <v>2191</v>
      </c>
      <c r="E953" s="52" t="s">
        <v>2192</v>
      </c>
      <c r="F953" s="54" t="n">
        <v>35</v>
      </c>
      <c r="G953" s="55" t="n">
        <v>1043.76</v>
      </c>
      <c r="H953" s="55" t="n">
        <v>29.8217</v>
      </c>
      <c r="I953" s="55" t="n">
        <v>29.8217</v>
      </c>
      <c r="J953" s="52" t="s">
        <v>5816</v>
      </c>
      <c r="K953" s="56" t="n">
        <v>1</v>
      </c>
      <c r="L953" s="52" t="s">
        <v>5816</v>
      </c>
      <c r="M953" s="52" t="s">
        <v>38</v>
      </c>
    </row>
    <row r="954" customFormat="false" ht="17.25" hidden="false" customHeight="true" outlineLevel="0" collapsed="false">
      <c r="A954" s="52" t="s">
        <v>5777</v>
      </c>
      <c r="B954" s="52" t="s">
        <v>5813</v>
      </c>
      <c r="C954" s="53" t="n">
        <v>224633</v>
      </c>
      <c r="D954" s="52" t="s">
        <v>2193</v>
      </c>
      <c r="E954" s="52" t="s">
        <v>2194</v>
      </c>
      <c r="F954" s="54" t="n">
        <v>24</v>
      </c>
      <c r="G954" s="55" t="n">
        <v>1042.08</v>
      </c>
      <c r="H954" s="55" t="n">
        <v>43.42</v>
      </c>
      <c r="I954" s="55" t="n">
        <v>43.42</v>
      </c>
      <c r="J954" s="52" t="s">
        <v>5816</v>
      </c>
      <c r="K954" s="56" t="n">
        <v>1</v>
      </c>
      <c r="L954" s="52" t="s">
        <v>5816</v>
      </c>
      <c r="M954" s="52" t="s">
        <v>38</v>
      </c>
    </row>
    <row r="955" customFormat="false" ht="17.25" hidden="false" customHeight="true" outlineLevel="0" collapsed="false">
      <c r="A955" s="52" t="s">
        <v>5777</v>
      </c>
      <c r="B955" s="52" t="s">
        <v>5813</v>
      </c>
      <c r="C955" s="53" t="n">
        <v>1315748</v>
      </c>
      <c r="D955" s="52" t="s">
        <v>2197</v>
      </c>
      <c r="E955" s="52" t="s">
        <v>2198</v>
      </c>
      <c r="F955" s="54" t="n">
        <v>29</v>
      </c>
      <c r="G955" s="55" t="n">
        <v>1036</v>
      </c>
      <c r="H955" s="55" t="n">
        <v>35.7241</v>
      </c>
      <c r="I955" s="55" t="n">
        <v>32</v>
      </c>
      <c r="J955" s="52" t="s">
        <v>5814</v>
      </c>
      <c r="K955" s="56" t="n">
        <v>1</v>
      </c>
      <c r="L955" s="52" t="s">
        <v>5814</v>
      </c>
      <c r="M955" s="52" t="s">
        <v>54</v>
      </c>
    </row>
    <row r="956" customFormat="false" ht="17.25" hidden="false" customHeight="true" outlineLevel="0" collapsed="false">
      <c r="A956" s="52" t="s">
        <v>5777</v>
      </c>
      <c r="B956" s="52" t="s">
        <v>5813</v>
      </c>
      <c r="C956" s="53" t="n">
        <v>279027</v>
      </c>
      <c r="D956" s="52" t="s">
        <v>2199</v>
      </c>
      <c r="E956" s="52" t="s">
        <v>2200</v>
      </c>
      <c r="F956" s="54" t="n">
        <v>12</v>
      </c>
      <c r="G956" s="55" t="n">
        <v>1032</v>
      </c>
      <c r="H956" s="55" t="n">
        <v>86</v>
      </c>
      <c r="I956" s="55" t="n">
        <v>86</v>
      </c>
      <c r="J956" s="52" t="s">
        <v>5816</v>
      </c>
      <c r="K956" s="56" t="n">
        <v>1</v>
      </c>
      <c r="L956" s="52" t="s">
        <v>5816</v>
      </c>
      <c r="M956" s="52" t="s">
        <v>262</v>
      </c>
    </row>
    <row r="957" customFormat="false" ht="17.25" hidden="false" customHeight="true" outlineLevel="0" collapsed="false">
      <c r="A957" s="52" t="s">
        <v>5777</v>
      </c>
      <c r="B957" s="52" t="s">
        <v>5813</v>
      </c>
      <c r="C957" s="53" t="n">
        <v>1484209</v>
      </c>
      <c r="D957" s="52" t="s">
        <v>2201</v>
      </c>
      <c r="E957" s="52" t="s">
        <v>2202</v>
      </c>
      <c r="F957" s="54" t="n">
        <v>86</v>
      </c>
      <c r="G957" s="55" t="n">
        <v>1032</v>
      </c>
      <c r="H957" s="55" t="n">
        <v>12</v>
      </c>
      <c r="I957" s="55" t="n">
        <v>12</v>
      </c>
      <c r="J957" s="52" t="s">
        <v>5816</v>
      </c>
      <c r="K957" s="56" t="n">
        <v>1</v>
      </c>
      <c r="L957" s="52" t="s">
        <v>5816</v>
      </c>
      <c r="M957" s="52" t="s">
        <v>100</v>
      </c>
    </row>
    <row r="958" customFormat="false" ht="17.25" hidden="false" customHeight="true" outlineLevel="0" collapsed="false">
      <c r="A958" s="52" t="s">
        <v>5777</v>
      </c>
      <c r="B958" s="52" t="s">
        <v>5813</v>
      </c>
      <c r="C958" s="53" t="n">
        <v>1319423</v>
      </c>
      <c r="D958" s="52" t="s">
        <v>2203</v>
      </c>
      <c r="E958" s="52" t="s">
        <v>2204</v>
      </c>
      <c r="F958" s="54" t="n">
        <v>10</v>
      </c>
      <c r="G958" s="55" t="n">
        <v>1031.1</v>
      </c>
      <c r="H958" s="55" t="n">
        <v>103.11</v>
      </c>
      <c r="I958" s="55" t="n">
        <v>103.11</v>
      </c>
      <c r="J958" s="52" t="s">
        <v>5816</v>
      </c>
      <c r="K958" s="56" t="n">
        <v>1</v>
      </c>
      <c r="L958" s="52" t="s">
        <v>5816</v>
      </c>
      <c r="M958" s="52" t="s">
        <v>217</v>
      </c>
    </row>
    <row r="959" customFormat="false" ht="17.25" hidden="false" customHeight="true" outlineLevel="0" collapsed="false">
      <c r="A959" s="52" t="s">
        <v>5777</v>
      </c>
      <c r="B959" s="52" t="s">
        <v>5813</v>
      </c>
      <c r="C959" s="53" t="n">
        <v>1654877</v>
      </c>
      <c r="D959" s="52" t="s">
        <v>2205</v>
      </c>
      <c r="E959" s="52" t="s">
        <v>2206</v>
      </c>
      <c r="F959" s="54" t="n">
        <v>25</v>
      </c>
      <c r="G959" s="55" t="n">
        <v>1030.5</v>
      </c>
      <c r="H959" s="55" t="n">
        <v>41.22</v>
      </c>
      <c r="I959" s="55" t="n">
        <v>41.22</v>
      </c>
      <c r="J959" s="52" t="s">
        <v>5816</v>
      </c>
      <c r="K959" s="56" t="n">
        <v>1</v>
      </c>
      <c r="L959" s="52" t="s">
        <v>5816</v>
      </c>
      <c r="M959" s="52" t="s">
        <v>217</v>
      </c>
    </row>
    <row r="960" customFormat="false" ht="17.25" hidden="false" customHeight="true" outlineLevel="0" collapsed="false">
      <c r="A960" s="52" t="s">
        <v>5777</v>
      </c>
      <c r="B960" s="52" t="s">
        <v>5813</v>
      </c>
      <c r="C960" s="53" t="n">
        <v>12541</v>
      </c>
      <c r="D960" s="52" t="s">
        <v>2207</v>
      </c>
      <c r="E960" s="52" t="s">
        <v>2208</v>
      </c>
      <c r="F960" s="54" t="n">
        <v>500</v>
      </c>
      <c r="G960" s="55" t="n">
        <v>1030</v>
      </c>
      <c r="H960" s="55" t="n">
        <v>2.06</v>
      </c>
      <c r="I960" s="55" t="n">
        <v>2.06</v>
      </c>
      <c r="J960" s="52" t="s">
        <v>5814</v>
      </c>
      <c r="K960" s="56" t="n">
        <v>1</v>
      </c>
      <c r="L960" s="52" t="s">
        <v>5814</v>
      </c>
      <c r="M960" s="52" t="s">
        <v>38</v>
      </c>
    </row>
    <row r="961" customFormat="false" ht="17.25" hidden="false" customHeight="true" outlineLevel="0" collapsed="false">
      <c r="A961" s="52" t="s">
        <v>5777</v>
      </c>
      <c r="B961" s="52" t="s">
        <v>5813</v>
      </c>
      <c r="C961" s="53" t="n">
        <v>32287</v>
      </c>
      <c r="D961" s="52" t="s">
        <v>2209</v>
      </c>
      <c r="E961" s="52" t="s">
        <v>2210</v>
      </c>
      <c r="F961" s="54" t="n">
        <v>28</v>
      </c>
      <c r="G961" s="55" t="n">
        <v>1024</v>
      </c>
      <c r="H961" s="55" t="n">
        <v>36.5714</v>
      </c>
      <c r="I961" s="55" t="n">
        <v>38</v>
      </c>
      <c r="J961" s="52" t="s">
        <v>5816</v>
      </c>
      <c r="K961" s="56" t="n">
        <v>1</v>
      </c>
      <c r="L961" s="52" t="s">
        <v>5816</v>
      </c>
      <c r="M961" s="52" t="s">
        <v>1095</v>
      </c>
    </row>
    <row r="962" customFormat="false" ht="17.25" hidden="false" customHeight="true" outlineLevel="0" collapsed="false">
      <c r="A962" s="52" t="s">
        <v>5777</v>
      </c>
      <c r="B962" s="52" t="s">
        <v>5813</v>
      </c>
      <c r="C962" s="53" t="n">
        <v>1461931</v>
      </c>
      <c r="D962" s="52" t="s">
        <v>2211</v>
      </c>
      <c r="E962" s="52" t="s">
        <v>2212</v>
      </c>
      <c r="F962" s="54" t="n">
        <v>8</v>
      </c>
      <c r="G962" s="55" t="n">
        <v>1024</v>
      </c>
      <c r="H962" s="55" t="n">
        <v>128</v>
      </c>
      <c r="I962" s="55" t="n">
        <v>128</v>
      </c>
      <c r="J962" s="52" t="s">
        <v>5816</v>
      </c>
      <c r="K962" s="56" t="n">
        <v>1</v>
      </c>
      <c r="L962" s="52" t="s">
        <v>5816</v>
      </c>
      <c r="M962" s="52" t="s">
        <v>355</v>
      </c>
    </row>
    <row r="963" customFormat="false" ht="17.25" hidden="false" customHeight="true" outlineLevel="0" collapsed="false">
      <c r="A963" s="52" t="s">
        <v>5777</v>
      </c>
      <c r="B963" s="52" t="s">
        <v>5813</v>
      </c>
      <c r="C963" s="53" t="n">
        <v>137867</v>
      </c>
      <c r="D963" s="52" t="s">
        <v>2215</v>
      </c>
      <c r="E963" s="52" t="s">
        <v>2216</v>
      </c>
      <c r="F963" s="54" t="n">
        <v>3886</v>
      </c>
      <c r="G963" s="55" t="n">
        <v>1020.08</v>
      </c>
      <c r="H963" s="55" t="n">
        <v>0.2625</v>
      </c>
      <c r="I963" s="55" t="n">
        <v>0.2625</v>
      </c>
      <c r="J963" s="52" t="s">
        <v>5816</v>
      </c>
      <c r="K963" s="56" t="n">
        <v>1</v>
      </c>
      <c r="L963" s="52" t="s">
        <v>5816</v>
      </c>
      <c r="M963" s="52" t="s">
        <v>100</v>
      </c>
    </row>
    <row r="964" customFormat="false" ht="17.25" hidden="false" customHeight="true" outlineLevel="0" collapsed="false">
      <c r="A964" s="52" t="s">
        <v>5777</v>
      </c>
      <c r="B964" s="52" t="s">
        <v>5813</v>
      </c>
      <c r="C964" s="53" t="n">
        <v>19741</v>
      </c>
      <c r="D964" s="52" t="s">
        <v>2217</v>
      </c>
      <c r="E964" s="52" t="s">
        <v>2218</v>
      </c>
      <c r="F964" s="54" t="n">
        <v>40</v>
      </c>
      <c r="G964" s="55" t="n">
        <v>1020</v>
      </c>
      <c r="H964" s="55" t="n">
        <v>25.5</v>
      </c>
      <c r="I964" s="55" t="n">
        <v>28</v>
      </c>
      <c r="J964" s="52" t="s">
        <v>5816</v>
      </c>
      <c r="K964" s="56" t="n">
        <v>1</v>
      </c>
      <c r="L964" s="52" t="s">
        <v>5816</v>
      </c>
      <c r="M964" s="52" t="s">
        <v>605</v>
      </c>
    </row>
    <row r="965" customFormat="false" ht="17.25" hidden="false" customHeight="true" outlineLevel="0" collapsed="false">
      <c r="A965" s="52" t="s">
        <v>5777</v>
      </c>
      <c r="B965" s="52" t="s">
        <v>5813</v>
      </c>
      <c r="C965" s="53" t="n">
        <v>551301</v>
      </c>
      <c r="D965" s="52" t="s">
        <v>2219</v>
      </c>
      <c r="E965" s="52" t="s">
        <v>2220</v>
      </c>
      <c r="F965" s="54" t="n">
        <v>2</v>
      </c>
      <c r="G965" s="55" t="n">
        <v>1020</v>
      </c>
      <c r="H965" s="55" t="n">
        <v>510</v>
      </c>
      <c r="I965" s="55" t="n">
        <v>510</v>
      </c>
      <c r="J965" s="52" t="s">
        <v>5816</v>
      </c>
      <c r="K965" s="56" t="n">
        <v>1</v>
      </c>
      <c r="L965" s="52" t="s">
        <v>5816</v>
      </c>
      <c r="M965" s="52" t="s">
        <v>38</v>
      </c>
    </row>
    <row r="966" customFormat="false" ht="17.25" hidden="false" customHeight="true" outlineLevel="0" collapsed="false">
      <c r="A966" s="52" t="s">
        <v>5777</v>
      </c>
      <c r="B966" s="52" t="s">
        <v>5813</v>
      </c>
      <c r="C966" s="53" t="n">
        <v>873216</v>
      </c>
      <c r="D966" s="52" t="s">
        <v>2221</v>
      </c>
      <c r="E966" s="52" t="s">
        <v>2222</v>
      </c>
      <c r="F966" s="54" t="n">
        <v>12</v>
      </c>
      <c r="G966" s="55" t="n">
        <v>1020</v>
      </c>
      <c r="H966" s="55" t="n">
        <v>85</v>
      </c>
      <c r="I966" s="55" t="n">
        <v>85</v>
      </c>
      <c r="J966" s="52" t="s">
        <v>5816</v>
      </c>
      <c r="K966" s="56" t="n">
        <v>1</v>
      </c>
      <c r="L966" s="52" t="s">
        <v>5816</v>
      </c>
      <c r="M966" s="52" t="s">
        <v>247</v>
      </c>
    </row>
    <row r="967" customFormat="false" ht="17.25" hidden="false" customHeight="true" outlineLevel="0" collapsed="false">
      <c r="A967" s="52" t="s">
        <v>5777</v>
      </c>
      <c r="B967" s="52" t="s">
        <v>5813</v>
      </c>
      <c r="C967" s="53" t="n">
        <v>1474991</v>
      </c>
      <c r="D967" s="52" t="s">
        <v>2223</v>
      </c>
      <c r="E967" s="52" t="s">
        <v>2224</v>
      </c>
      <c r="F967" s="54" t="n">
        <v>6</v>
      </c>
      <c r="G967" s="55" t="n">
        <v>1015.92</v>
      </c>
      <c r="H967" s="55" t="n">
        <v>169.32</v>
      </c>
      <c r="I967" s="55" t="n">
        <v>169.32</v>
      </c>
      <c r="J967" s="52" t="s">
        <v>5816</v>
      </c>
      <c r="K967" s="56" t="n">
        <v>1</v>
      </c>
      <c r="L967" s="52" t="s">
        <v>5816</v>
      </c>
      <c r="M967" s="52" t="s">
        <v>38</v>
      </c>
    </row>
    <row r="968" customFormat="false" ht="17.25" hidden="false" customHeight="true" outlineLevel="0" collapsed="false">
      <c r="A968" s="52" t="s">
        <v>5777</v>
      </c>
      <c r="B968" s="52" t="s">
        <v>5813</v>
      </c>
      <c r="C968" s="53" t="n">
        <v>139822</v>
      </c>
      <c r="D968" s="52" t="s">
        <v>2225</v>
      </c>
      <c r="E968" s="52" t="s">
        <v>2226</v>
      </c>
      <c r="F968" s="54" t="n">
        <v>6</v>
      </c>
      <c r="G968" s="55" t="n">
        <v>1015.5</v>
      </c>
      <c r="H968" s="55" t="n">
        <v>169.25</v>
      </c>
      <c r="I968" s="55" t="n">
        <v>169.25</v>
      </c>
      <c r="J968" s="52" t="s">
        <v>5816</v>
      </c>
      <c r="K968" s="56" t="n">
        <v>1</v>
      </c>
      <c r="L968" s="52" t="s">
        <v>5816</v>
      </c>
      <c r="M968" s="52" t="s">
        <v>35</v>
      </c>
    </row>
    <row r="969" customFormat="false" ht="17.25" hidden="false" customHeight="true" outlineLevel="0" collapsed="false">
      <c r="A969" s="52" t="s">
        <v>5777</v>
      </c>
      <c r="B969" s="52" t="s">
        <v>5813</v>
      </c>
      <c r="C969" s="53" t="n">
        <v>49592</v>
      </c>
      <c r="D969" s="52" t="s">
        <v>2227</v>
      </c>
      <c r="E969" s="52" t="s">
        <v>2228</v>
      </c>
      <c r="F969" s="54" t="n">
        <v>350</v>
      </c>
      <c r="G969" s="55" t="n">
        <v>1015</v>
      </c>
      <c r="H969" s="55" t="n">
        <v>2.9</v>
      </c>
      <c r="I969" s="55" t="n">
        <v>2.9</v>
      </c>
      <c r="J969" s="52" t="s">
        <v>5816</v>
      </c>
      <c r="K969" s="56" t="n">
        <v>1</v>
      </c>
      <c r="L969" s="52" t="s">
        <v>5816</v>
      </c>
      <c r="M969" s="52" t="s">
        <v>100</v>
      </c>
    </row>
    <row r="970" customFormat="false" ht="17.25" hidden="false" customHeight="true" outlineLevel="0" collapsed="false">
      <c r="A970" s="52" t="s">
        <v>5777</v>
      </c>
      <c r="B970" s="52" t="s">
        <v>5813</v>
      </c>
      <c r="C970" s="53" t="n">
        <v>1385278</v>
      </c>
      <c r="D970" s="52" t="s">
        <v>2229</v>
      </c>
      <c r="E970" s="52" t="s">
        <v>2230</v>
      </c>
      <c r="F970" s="54" t="n">
        <v>10</v>
      </c>
      <c r="G970" s="55" t="n">
        <v>1014.9</v>
      </c>
      <c r="H970" s="55" t="n">
        <v>101.49</v>
      </c>
      <c r="I970" s="55" t="n">
        <v>20.41</v>
      </c>
      <c r="J970" s="52" t="s">
        <v>5816</v>
      </c>
      <c r="K970" s="56" t="n">
        <v>1</v>
      </c>
      <c r="L970" s="52" t="s">
        <v>5816</v>
      </c>
      <c r="M970" s="52" t="s">
        <v>38</v>
      </c>
    </row>
    <row r="971" customFormat="false" ht="17.25" hidden="false" customHeight="true" outlineLevel="0" collapsed="false">
      <c r="A971" s="52" t="s">
        <v>5777</v>
      </c>
      <c r="B971" s="52" t="s">
        <v>5813</v>
      </c>
      <c r="C971" s="53" t="n">
        <v>55525</v>
      </c>
      <c r="D971" s="52" t="s">
        <v>2231</v>
      </c>
      <c r="E971" s="52" t="s">
        <v>2232</v>
      </c>
      <c r="F971" s="54" t="n">
        <v>1</v>
      </c>
      <c r="G971" s="55" t="n">
        <v>1011.54</v>
      </c>
      <c r="H971" s="55" t="n">
        <v>1011.54</v>
      </c>
      <c r="I971" s="55" t="n">
        <v>1011.54</v>
      </c>
      <c r="J971" s="52" t="s">
        <v>5816</v>
      </c>
      <c r="K971" s="56" t="n">
        <v>1</v>
      </c>
      <c r="L971" s="52" t="s">
        <v>5816</v>
      </c>
      <c r="M971" s="52" t="s">
        <v>170</v>
      </c>
    </row>
    <row r="972" customFormat="false" ht="17.25" hidden="false" customHeight="true" outlineLevel="0" collapsed="false">
      <c r="A972" s="52" t="s">
        <v>5777</v>
      </c>
      <c r="B972" s="52" t="s">
        <v>5813</v>
      </c>
      <c r="C972" s="53" t="n">
        <v>1388211</v>
      </c>
      <c r="D972" s="52" t="s">
        <v>2233</v>
      </c>
      <c r="E972" s="52" t="s">
        <v>2234</v>
      </c>
      <c r="F972" s="54" t="n">
        <v>35</v>
      </c>
      <c r="G972" s="55" t="n">
        <v>1010.8</v>
      </c>
      <c r="H972" s="55" t="n">
        <v>28.88</v>
      </c>
      <c r="I972" s="55" t="n">
        <v>28.88</v>
      </c>
      <c r="J972" s="52" t="s">
        <v>5822</v>
      </c>
      <c r="K972" s="56" t="n">
        <v>1</v>
      </c>
      <c r="L972" s="52" t="s">
        <v>5822</v>
      </c>
      <c r="M972" s="52" t="s">
        <v>133</v>
      </c>
    </row>
    <row r="973" customFormat="false" ht="17.25" hidden="false" customHeight="true" outlineLevel="0" collapsed="false">
      <c r="A973" s="52" t="s">
        <v>5777</v>
      </c>
      <c r="B973" s="52" t="s">
        <v>5813</v>
      </c>
      <c r="C973" s="53" t="n">
        <v>17885</v>
      </c>
      <c r="D973" s="52" t="s">
        <v>1812</v>
      </c>
      <c r="E973" s="52" t="s">
        <v>1813</v>
      </c>
      <c r="F973" s="54" t="n">
        <v>20</v>
      </c>
      <c r="G973" s="55" t="n">
        <v>1010</v>
      </c>
      <c r="H973" s="55" t="n">
        <v>50.5</v>
      </c>
      <c r="I973" s="55" t="n">
        <v>58</v>
      </c>
      <c r="J973" s="52" t="s">
        <v>5816</v>
      </c>
      <c r="K973" s="56" t="n">
        <v>1</v>
      </c>
      <c r="L973" s="52" t="s">
        <v>5816</v>
      </c>
      <c r="M973" s="52" t="s">
        <v>835</v>
      </c>
    </row>
    <row r="974" customFormat="false" ht="17.25" hidden="false" customHeight="true" outlineLevel="0" collapsed="false">
      <c r="A974" s="52" t="s">
        <v>5777</v>
      </c>
      <c r="B974" s="52" t="s">
        <v>5813</v>
      </c>
      <c r="C974" s="53" t="n">
        <v>1469747</v>
      </c>
      <c r="D974" s="52" t="s">
        <v>2235</v>
      </c>
      <c r="E974" s="52" t="s">
        <v>2236</v>
      </c>
      <c r="F974" s="54" t="n">
        <v>96</v>
      </c>
      <c r="G974" s="55" t="n">
        <v>1008</v>
      </c>
      <c r="H974" s="55" t="n">
        <v>10.5</v>
      </c>
      <c r="I974" s="55" t="n">
        <v>10.5</v>
      </c>
      <c r="J974" s="52" t="s">
        <v>5816</v>
      </c>
      <c r="K974" s="56" t="n">
        <v>1</v>
      </c>
      <c r="L974" s="52" t="s">
        <v>5816</v>
      </c>
      <c r="M974" s="52" t="s">
        <v>394</v>
      </c>
    </row>
    <row r="975" customFormat="false" ht="17.25" hidden="false" customHeight="true" outlineLevel="0" collapsed="false">
      <c r="A975" s="52" t="s">
        <v>5777</v>
      </c>
      <c r="B975" s="52" t="s">
        <v>5813</v>
      </c>
      <c r="C975" s="53" t="n">
        <v>478915</v>
      </c>
      <c r="D975" s="52" t="s">
        <v>2237</v>
      </c>
      <c r="E975" s="52" t="s">
        <v>2238</v>
      </c>
      <c r="F975" s="54" t="n">
        <v>84</v>
      </c>
      <c r="G975" s="55" t="n">
        <v>1006.32</v>
      </c>
      <c r="H975" s="55" t="n">
        <v>11.98</v>
      </c>
      <c r="I975" s="55" t="n">
        <v>11.98</v>
      </c>
      <c r="J975" s="52" t="s">
        <v>5816</v>
      </c>
      <c r="K975" s="56" t="n">
        <v>1</v>
      </c>
      <c r="L975" s="52" t="s">
        <v>5816</v>
      </c>
      <c r="M975" s="52" t="s">
        <v>133</v>
      </c>
    </row>
    <row r="976" customFormat="false" ht="17.25" hidden="false" customHeight="true" outlineLevel="0" collapsed="false">
      <c r="A976" s="52" t="s">
        <v>5777</v>
      </c>
      <c r="B976" s="52" t="s">
        <v>5813</v>
      </c>
      <c r="C976" s="53" t="n">
        <v>1385727</v>
      </c>
      <c r="D976" s="52" t="s">
        <v>2239</v>
      </c>
      <c r="E976" s="52" t="s">
        <v>2240</v>
      </c>
      <c r="F976" s="54" t="n">
        <v>23</v>
      </c>
      <c r="G976" s="55" t="n">
        <v>1006</v>
      </c>
      <c r="H976" s="55" t="n">
        <v>43.7391</v>
      </c>
      <c r="I976" s="55" t="n">
        <v>165</v>
      </c>
      <c r="J976" s="52" t="s">
        <v>5816</v>
      </c>
      <c r="K976" s="56" t="n">
        <v>1</v>
      </c>
      <c r="L976" s="52" t="s">
        <v>5816</v>
      </c>
      <c r="M976" s="52" t="s">
        <v>38</v>
      </c>
    </row>
    <row r="977" customFormat="false" ht="17.25" hidden="false" customHeight="true" outlineLevel="0" collapsed="false">
      <c r="A977" s="52" t="s">
        <v>5777</v>
      </c>
      <c r="B977" s="52" t="s">
        <v>5813</v>
      </c>
      <c r="C977" s="53" t="n">
        <v>559888</v>
      </c>
      <c r="D977" s="52" t="s">
        <v>2241</v>
      </c>
      <c r="E977" s="52" t="s">
        <v>2242</v>
      </c>
      <c r="F977" s="54" t="n">
        <v>14</v>
      </c>
      <c r="G977" s="55" t="n">
        <v>1002.7</v>
      </c>
      <c r="H977" s="55" t="n">
        <v>71.6214</v>
      </c>
      <c r="I977" s="55" t="n">
        <v>248</v>
      </c>
      <c r="J977" s="52" t="s">
        <v>5816</v>
      </c>
      <c r="K977" s="56" t="n">
        <v>1</v>
      </c>
      <c r="L977" s="52" t="s">
        <v>5816</v>
      </c>
      <c r="M977" s="52" t="s">
        <v>605</v>
      </c>
    </row>
    <row r="978" customFormat="false" ht="17.25" hidden="false" customHeight="true" outlineLevel="0" collapsed="false">
      <c r="A978" s="52" t="s">
        <v>5777</v>
      </c>
      <c r="B978" s="52" t="s">
        <v>5813</v>
      </c>
      <c r="C978" s="53" t="n">
        <v>938668</v>
      </c>
      <c r="D978" s="52" t="s">
        <v>2243</v>
      </c>
      <c r="E978" s="52" t="s">
        <v>5895</v>
      </c>
      <c r="F978" s="54" t="n">
        <v>102</v>
      </c>
      <c r="G978" s="55" t="n">
        <v>1001.36</v>
      </c>
      <c r="H978" s="55" t="n">
        <v>9.8173</v>
      </c>
      <c r="I978" s="55" t="n">
        <v>1.68</v>
      </c>
      <c r="J978" s="52" t="s">
        <v>5816</v>
      </c>
      <c r="K978" s="56" t="n">
        <v>1</v>
      </c>
      <c r="L978" s="52" t="s">
        <v>5816</v>
      </c>
      <c r="M978" s="52" t="s">
        <v>100</v>
      </c>
    </row>
    <row r="979" customFormat="false" ht="17.25" hidden="false" customHeight="true" outlineLevel="0" collapsed="false">
      <c r="A979" s="52" t="s">
        <v>5777</v>
      </c>
      <c r="B979" s="52" t="s">
        <v>5813</v>
      </c>
      <c r="C979" s="53" t="n">
        <v>856793</v>
      </c>
      <c r="D979" s="52" t="s">
        <v>2245</v>
      </c>
      <c r="E979" s="52" t="s">
        <v>5896</v>
      </c>
      <c r="F979" s="54" t="n">
        <v>1</v>
      </c>
      <c r="G979" s="55" t="n">
        <v>1000</v>
      </c>
      <c r="H979" s="55" t="n">
        <v>1000</v>
      </c>
      <c r="I979" s="55" t="n">
        <v>1000</v>
      </c>
      <c r="J979" s="52" t="s">
        <v>5816</v>
      </c>
      <c r="K979" s="56" t="n">
        <v>1</v>
      </c>
      <c r="L979" s="52" t="s">
        <v>5816</v>
      </c>
      <c r="M979" s="52" t="s">
        <v>100</v>
      </c>
    </row>
    <row r="980" customFormat="false" ht="17.25" hidden="false" customHeight="true" outlineLevel="0" collapsed="false">
      <c r="A980" s="52" t="s">
        <v>5777</v>
      </c>
      <c r="B980" s="52" t="s">
        <v>5813</v>
      </c>
      <c r="C980" s="53" t="n">
        <v>293366</v>
      </c>
      <c r="D980" s="52" t="s">
        <v>2247</v>
      </c>
      <c r="E980" s="52" t="s">
        <v>2248</v>
      </c>
      <c r="F980" s="54" t="n">
        <v>330</v>
      </c>
      <c r="G980" s="55" t="n">
        <v>999.9</v>
      </c>
      <c r="H980" s="55" t="n">
        <v>3.03</v>
      </c>
      <c r="I980" s="55" t="n">
        <v>2.96</v>
      </c>
      <c r="J980" s="52" t="s">
        <v>5816</v>
      </c>
      <c r="K980" s="56" t="n">
        <v>1</v>
      </c>
      <c r="L980" s="52" t="s">
        <v>5816</v>
      </c>
      <c r="M980" s="52" t="s">
        <v>605</v>
      </c>
    </row>
    <row r="981" customFormat="false" ht="17.25" hidden="false" customHeight="true" outlineLevel="0" collapsed="false">
      <c r="A981" s="52" t="s">
        <v>5777</v>
      </c>
      <c r="B981" s="52" t="s">
        <v>5813</v>
      </c>
      <c r="C981" s="53" t="n">
        <v>1466602</v>
      </c>
      <c r="D981" s="52" t="s">
        <v>2249</v>
      </c>
      <c r="E981" s="52" t="s">
        <v>2250</v>
      </c>
      <c r="F981" s="54" t="n">
        <v>11</v>
      </c>
      <c r="G981" s="55" t="n">
        <v>999.02</v>
      </c>
      <c r="H981" s="55" t="n">
        <v>90.82</v>
      </c>
      <c r="I981" s="55" t="n">
        <v>90.82</v>
      </c>
      <c r="J981" s="52" t="s">
        <v>5816</v>
      </c>
      <c r="K981" s="56" t="n">
        <v>1</v>
      </c>
      <c r="L981" s="52" t="s">
        <v>5816</v>
      </c>
      <c r="M981" s="52" t="s">
        <v>38</v>
      </c>
    </row>
    <row r="982" customFormat="false" ht="17.25" hidden="false" customHeight="true" outlineLevel="0" collapsed="false">
      <c r="A982" s="52" t="s">
        <v>5777</v>
      </c>
      <c r="B982" s="52" t="s">
        <v>5813</v>
      </c>
      <c r="C982" s="53" t="n">
        <v>15968</v>
      </c>
      <c r="D982" s="52" t="s">
        <v>2251</v>
      </c>
      <c r="E982" s="52" t="s">
        <v>2252</v>
      </c>
      <c r="F982" s="54" t="n">
        <v>1</v>
      </c>
      <c r="G982" s="55" t="n">
        <v>998</v>
      </c>
      <c r="H982" s="55" t="n">
        <v>998</v>
      </c>
      <c r="I982" s="55" t="n">
        <v>998</v>
      </c>
      <c r="J982" s="52" t="s">
        <v>5816</v>
      </c>
      <c r="K982" s="56" t="n">
        <v>1</v>
      </c>
      <c r="L982" s="52" t="s">
        <v>5816</v>
      </c>
      <c r="M982" s="52" t="s">
        <v>54</v>
      </c>
    </row>
    <row r="983" customFormat="false" ht="17.25" hidden="false" customHeight="true" outlineLevel="0" collapsed="false">
      <c r="A983" s="52" t="s">
        <v>5777</v>
      </c>
      <c r="B983" s="52" t="s">
        <v>5813</v>
      </c>
      <c r="C983" s="53" t="n">
        <v>59710</v>
      </c>
      <c r="D983" s="52" t="s">
        <v>2253</v>
      </c>
      <c r="E983" s="52" t="s">
        <v>2254</v>
      </c>
      <c r="F983" s="54" t="n">
        <v>2</v>
      </c>
      <c r="G983" s="55" t="n">
        <v>998</v>
      </c>
      <c r="H983" s="55" t="n">
        <v>499</v>
      </c>
      <c r="I983" s="55" t="n">
        <v>499</v>
      </c>
      <c r="J983" s="52" t="s">
        <v>5816</v>
      </c>
      <c r="K983" s="56" t="n">
        <v>1</v>
      </c>
      <c r="L983" s="52" t="s">
        <v>5816</v>
      </c>
      <c r="M983" s="52" t="s">
        <v>75</v>
      </c>
    </row>
    <row r="984" customFormat="false" ht="17.25" hidden="false" customHeight="true" outlineLevel="0" collapsed="false">
      <c r="A984" s="52" t="s">
        <v>5777</v>
      </c>
      <c r="B984" s="52" t="s">
        <v>5813</v>
      </c>
      <c r="C984" s="53" t="n">
        <v>21251</v>
      </c>
      <c r="D984" s="52" t="s">
        <v>2255</v>
      </c>
      <c r="E984" s="52" t="s">
        <v>2256</v>
      </c>
      <c r="F984" s="54" t="n">
        <v>1</v>
      </c>
      <c r="G984" s="55" t="n">
        <v>997.65</v>
      </c>
      <c r="H984" s="55" t="n">
        <v>997.65</v>
      </c>
      <c r="I984" s="55" t="n">
        <v>997.65</v>
      </c>
      <c r="J984" s="52" t="s">
        <v>5816</v>
      </c>
      <c r="K984" s="56" t="n">
        <v>1</v>
      </c>
      <c r="L984" s="52" t="s">
        <v>5816</v>
      </c>
      <c r="M984" s="52" t="s">
        <v>189</v>
      </c>
    </row>
    <row r="985" customFormat="false" ht="17.25" hidden="false" customHeight="true" outlineLevel="0" collapsed="false">
      <c r="A985" s="52" t="s">
        <v>5777</v>
      </c>
      <c r="B985" s="52" t="s">
        <v>5813</v>
      </c>
      <c r="C985" s="53" t="n">
        <v>21301</v>
      </c>
      <c r="D985" s="52" t="s">
        <v>2257</v>
      </c>
      <c r="E985" s="52" t="s">
        <v>2258</v>
      </c>
      <c r="F985" s="54" t="n">
        <v>2</v>
      </c>
      <c r="G985" s="55" t="n">
        <v>996</v>
      </c>
      <c r="H985" s="55" t="n">
        <v>498</v>
      </c>
      <c r="I985" s="55" t="n">
        <v>498</v>
      </c>
      <c r="J985" s="52" t="s">
        <v>5816</v>
      </c>
      <c r="K985" s="56" t="n">
        <v>1</v>
      </c>
      <c r="L985" s="52" t="s">
        <v>5816</v>
      </c>
      <c r="M985" s="52" t="s">
        <v>130</v>
      </c>
    </row>
    <row r="986" customFormat="false" ht="17.25" hidden="false" customHeight="true" outlineLevel="0" collapsed="false">
      <c r="A986" s="52" t="s">
        <v>5777</v>
      </c>
      <c r="B986" s="52" t="s">
        <v>5813</v>
      </c>
      <c r="C986" s="53" t="n">
        <v>60991</v>
      </c>
      <c r="D986" s="52" t="s">
        <v>2259</v>
      </c>
      <c r="E986" s="52" t="s">
        <v>2260</v>
      </c>
      <c r="F986" s="54" t="n">
        <v>2</v>
      </c>
      <c r="G986" s="55" t="n">
        <v>996</v>
      </c>
      <c r="H986" s="55" t="n">
        <v>498</v>
      </c>
      <c r="I986" s="55" t="n">
        <v>498</v>
      </c>
      <c r="J986" s="52" t="s">
        <v>5846</v>
      </c>
      <c r="K986" s="56" t="n">
        <v>18</v>
      </c>
      <c r="L986" s="52" t="s">
        <v>5823</v>
      </c>
      <c r="M986" s="52" t="s">
        <v>705</v>
      </c>
    </row>
    <row r="987" customFormat="false" ht="17.25" hidden="false" customHeight="true" outlineLevel="0" collapsed="false">
      <c r="A987" s="52" t="s">
        <v>5777</v>
      </c>
      <c r="B987" s="52" t="s">
        <v>5813</v>
      </c>
      <c r="C987" s="53" t="n">
        <v>294551</v>
      </c>
      <c r="D987" s="52" t="s">
        <v>2261</v>
      </c>
      <c r="E987" s="52" t="s">
        <v>2262</v>
      </c>
      <c r="F987" s="54" t="n">
        <v>120</v>
      </c>
      <c r="G987" s="55" t="n">
        <v>993.6</v>
      </c>
      <c r="H987" s="55" t="n">
        <v>8.28</v>
      </c>
      <c r="I987" s="55" t="n">
        <v>8.28</v>
      </c>
      <c r="J987" s="52" t="s">
        <v>5814</v>
      </c>
      <c r="K987" s="56" t="n">
        <v>1</v>
      </c>
      <c r="L987" s="52" t="s">
        <v>5814</v>
      </c>
      <c r="M987" s="52" t="s">
        <v>38</v>
      </c>
    </row>
    <row r="988" customFormat="false" ht="17.25" hidden="false" customHeight="true" outlineLevel="0" collapsed="false">
      <c r="A988" s="52" t="s">
        <v>5777</v>
      </c>
      <c r="B988" s="52" t="s">
        <v>5813</v>
      </c>
      <c r="C988" s="53" t="n">
        <v>1680702</v>
      </c>
      <c r="D988" s="52" t="s">
        <v>2263</v>
      </c>
      <c r="E988" s="52" t="s">
        <v>2264</v>
      </c>
      <c r="F988" s="54" t="n">
        <v>18</v>
      </c>
      <c r="G988" s="55" t="n">
        <v>990.54</v>
      </c>
      <c r="H988" s="55" t="n">
        <v>55.03</v>
      </c>
      <c r="I988" s="55" t="n">
        <v>55.03</v>
      </c>
      <c r="J988" s="52" t="s">
        <v>5816</v>
      </c>
      <c r="K988" s="56" t="n">
        <v>1</v>
      </c>
      <c r="L988" s="52" t="s">
        <v>5816</v>
      </c>
      <c r="M988" s="52" t="s">
        <v>66</v>
      </c>
    </row>
    <row r="989" customFormat="false" ht="17.25" hidden="false" customHeight="true" outlineLevel="0" collapsed="false">
      <c r="A989" s="52" t="s">
        <v>5777</v>
      </c>
      <c r="B989" s="52" t="s">
        <v>5813</v>
      </c>
      <c r="C989" s="53" t="n">
        <v>18913</v>
      </c>
      <c r="D989" s="52" t="s">
        <v>2265</v>
      </c>
      <c r="E989" s="52" t="s">
        <v>2266</v>
      </c>
      <c r="F989" s="54" t="n">
        <v>30</v>
      </c>
      <c r="G989" s="55" t="n">
        <v>990</v>
      </c>
      <c r="H989" s="55" t="n">
        <v>33</v>
      </c>
      <c r="I989" s="55" t="n">
        <v>33</v>
      </c>
      <c r="J989" s="52" t="s">
        <v>5831</v>
      </c>
      <c r="K989" s="56" t="n">
        <v>1</v>
      </c>
      <c r="L989" s="52" t="s">
        <v>5831</v>
      </c>
      <c r="M989" s="52" t="s">
        <v>247</v>
      </c>
    </row>
    <row r="990" customFormat="false" ht="17.25" hidden="false" customHeight="true" outlineLevel="0" collapsed="false">
      <c r="A990" s="52" t="s">
        <v>5777</v>
      </c>
      <c r="B990" s="52" t="s">
        <v>5813</v>
      </c>
      <c r="C990" s="53" t="n">
        <v>1330659</v>
      </c>
      <c r="D990" s="52" t="s">
        <v>2267</v>
      </c>
      <c r="E990" s="52" t="s">
        <v>2268</v>
      </c>
      <c r="F990" s="54" t="n">
        <v>56</v>
      </c>
      <c r="G990" s="55" t="n">
        <v>988.96</v>
      </c>
      <c r="H990" s="55" t="n">
        <v>17.66</v>
      </c>
      <c r="I990" s="55" t="n">
        <v>17.66</v>
      </c>
      <c r="J990" s="52" t="s">
        <v>5816</v>
      </c>
      <c r="K990" s="56" t="n">
        <v>1</v>
      </c>
      <c r="L990" s="52" t="s">
        <v>5816</v>
      </c>
      <c r="M990" s="52" t="s">
        <v>100</v>
      </c>
    </row>
    <row r="991" customFormat="false" ht="17.25" hidden="false" customHeight="true" outlineLevel="0" collapsed="false">
      <c r="A991" s="52" t="s">
        <v>5777</v>
      </c>
      <c r="B991" s="52" t="s">
        <v>5813</v>
      </c>
      <c r="C991" s="53" t="n">
        <v>21282</v>
      </c>
      <c r="D991" s="52" t="s">
        <v>2269</v>
      </c>
      <c r="E991" s="52" t="s">
        <v>2270</v>
      </c>
      <c r="F991" s="54" t="n">
        <v>6</v>
      </c>
      <c r="G991" s="55" t="n">
        <v>985.68</v>
      </c>
      <c r="H991" s="55" t="n">
        <v>164.28</v>
      </c>
      <c r="I991" s="55" t="n">
        <v>164.28</v>
      </c>
      <c r="J991" s="52" t="s">
        <v>5816</v>
      </c>
      <c r="K991" s="56" t="n">
        <v>1</v>
      </c>
      <c r="L991" s="52" t="s">
        <v>5816</v>
      </c>
      <c r="M991" s="52" t="s">
        <v>334</v>
      </c>
    </row>
    <row r="992" customFormat="false" ht="17.25" hidden="false" customHeight="true" outlineLevel="0" collapsed="false">
      <c r="A992" s="52" t="s">
        <v>5777</v>
      </c>
      <c r="B992" s="52" t="s">
        <v>5813</v>
      </c>
      <c r="C992" s="53" t="n">
        <v>273606</v>
      </c>
      <c r="D992" s="52" t="s">
        <v>2271</v>
      </c>
      <c r="E992" s="52" t="s">
        <v>2272</v>
      </c>
      <c r="F992" s="54" t="n">
        <v>5</v>
      </c>
      <c r="G992" s="55" t="n">
        <v>983</v>
      </c>
      <c r="H992" s="55" t="n">
        <v>196.6</v>
      </c>
      <c r="I992" s="55" t="n">
        <v>196.6</v>
      </c>
      <c r="J992" s="52" t="s">
        <v>5816</v>
      </c>
      <c r="K992" s="56" t="n">
        <v>1</v>
      </c>
      <c r="L992" s="52" t="s">
        <v>5816</v>
      </c>
      <c r="M992" s="52" t="s">
        <v>1095</v>
      </c>
    </row>
    <row r="993" customFormat="false" ht="17.25" hidden="false" customHeight="true" outlineLevel="0" collapsed="false">
      <c r="A993" s="52" t="s">
        <v>5777</v>
      </c>
      <c r="B993" s="52" t="s">
        <v>5813</v>
      </c>
      <c r="C993" s="53" t="n">
        <v>59501</v>
      </c>
      <c r="D993" s="52" t="s">
        <v>2273</v>
      </c>
      <c r="E993" s="52" t="s">
        <v>2274</v>
      </c>
      <c r="F993" s="54" t="n">
        <v>10</v>
      </c>
      <c r="G993" s="55" t="n">
        <v>980</v>
      </c>
      <c r="H993" s="55" t="n">
        <v>98</v>
      </c>
      <c r="I993" s="55" t="n">
        <v>98</v>
      </c>
      <c r="J993" s="52" t="s">
        <v>5816</v>
      </c>
      <c r="K993" s="56" t="n">
        <v>1</v>
      </c>
      <c r="L993" s="52" t="s">
        <v>5816</v>
      </c>
      <c r="M993" s="52" t="s">
        <v>1618</v>
      </c>
    </row>
    <row r="994" customFormat="false" ht="17.25" hidden="false" customHeight="true" outlineLevel="0" collapsed="false">
      <c r="A994" s="52" t="s">
        <v>5777</v>
      </c>
      <c r="B994" s="52" t="s">
        <v>5813</v>
      </c>
      <c r="C994" s="53" t="n">
        <v>1088345</v>
      </c>
      <c r="D994" s="52" t="s">
        <v>2275</v>
      </c>
      <c r="E994" s="52" t="s">
        <v>2276</v>
      </c>
      <c r="F994" s="54" t="n">
        <v>100</v>
      </c>
      <c r="G994" s="55" t="n">
        <v>980</v>
      </c>
      <c r="H994" s="55" t="n">
        <v>9.8</v>
      </c>
      <c r="I994" s="55" t="n">
        <v>9.8</v>
      </c>
      <c r="J994" s="52" t="s">
        <v>5816</v>
      </c>
      <c r="K994" s="56" t="n">
        <v>1</v>
      </c>
      <c r="L994" s="52" t="s">
        <v>5816</v>
      </c>
      <c r="M994" s="52" t="s">
        <v>130</v>
      </c>
    </row>
    <row r="995" customFormat="false" ht="17.25" hidden="false" customHeight="true" outlineLevel="0" collapsed="false">
      <c r="A995" s="52" t="s">
        <v>5777</v>
      </c>
      <c r="B995" s="52" t="s">
        <v>5813</v>
      </c>
      <c r="C995" s="53" t="n">
        <v>1659860</v>
      </c>
      <c r="D995" s="52" t="s">
        <v>2277</v>
      </c>
      <c r="E995" s="52" t="s">
        <v>2278</v>
      </c>
      <c r="F995" s="54" t="n">
        <v>2</v>
      </c>
      <c r="G995" s="55" t="n">
        <v>980</v>
      </c>
      <c r="H995" s="55" t="n">
        <v>490</v>
      </c>
      <c r="I995" s="55" t="n">
        <v>490</v>
      </c>
      <c r="J995" s="52" t="s">
        <v>5816</v>
      </c>
      <c r="K995" s="56" t="n">
        <v>1</v>
      </c>
      <c r="L995" s="52" t="s">
        <v>5816</v>
      </c>
      <c r="M995" s="52" t="s">
        <v>38</v>
      </c>
    </row>
    <row r="996" customFormat="false" ht="17.25" hidden="false" customHeight="true" outlineLevel="0" collapsed="false">
      <c r="A996" s="52" t="s">
        <v>5777</v>
      </c>
      <c r="B996" s="52" t="s">
        <v>5813</v>
      </c>
      <c r="C996" s="53" t="n">
        <v>857559</v>
      </c>
      <c r="D996" s="52" t="s">
        <v>2279</v>
      </c>
      <c r="E996" s="52" t="s">
        <v>2280</v>
      </c>
      <c r="F996" s="54" t="n">
        <v>1</v>
      </c>
      <c r="G996" s="55" t="n">
        <v>979.98</v>
      </c>
      <c r="H996" s="55" t="n">
        <v>979.98</v>
      </c>
      <c r="I996" s="55" t="n">
        <v>979.98</v>
      </c>
      <c r="J996" s="52" t="s">
        <v>5816</v>
      </c>
      <c r="K996" s="56" t="n">
        <v>1</v>
      </c>
      <c r="L996" s="52" t="s">
        <v>5816</v>
      </c>
      <c r="M996" s="52" t="s">
        <v>130</v>
      </c>
    </row>
    <row r="997" customFormat="false" ht="17.25" hidden="false" customHeight="true" outlineLevel="0" collapsed="false">
      <c r="A997" s="52" t="s">
        <v>5777</v>
      </c>
      <c r="B997" s="52" t="s">
        <v>5813</v>
      </c>
      <c r="C997" s="53" t="n">
        <v>49543</v>
      </c>
      <c r="D997" s="52" t="s">
        <v>2281</v>
      </c>
      <c r="E997" s="52" t="s">
        <v>2282</v>
      </c>
      <c r="F997" s="54" t="n">
        <v>30</v>
      </c>
      <c r="G997" s="55" t="n">
        <v>976</v>
      </c>
      <c r="H997" s="55" t="n">
        <v>32.5333</v>
      </c>
      <c r="I997" s="55" t="n">
        <v>31.8</v>
      </c>
      <c r="J997" s="52" t="s">
        <v>5816</v>
      </c>
      <c r="K997" s="56" t="n">
        <v>1</v>
      </c>
      <c r="L997" s="52" t="s">
        <v>5816</v>
      </c>
      <c r="M997" s="52" t="s">
        <v>247</v>
      </c>
    </row>
    <row r="998" customFormat="false" ht="17.25" hidden="false" customHeight="true" outlineLevel="0" collapsed="false">
      <c r="A998" s="52" t="s">
        <v>5777</v>
      </c>
      <c r="B998" s="52" t="s">
        <v>5813</v>
      </c>
      <c r="C998" s="53" t="n">
        <v>33949</v>
      </c>
      <c r="D998" s="52" t="s">
        <v>2283</v>
      </c>
      <c r="E998" s="52" t="s">
        <v>2284</v>
      </c>
      <c r="F998" s="54" t="n">
        <v>15</v>
      </c>
      <c r="G998" s="55" t="n">
        <v>975</v>
      </c>
      <c r="H998" s="55" t="n">
        <v>65</v>
      </c>
      <c r="I998" s="55" t="n">
        <v>65</v>
      </c>
      <c r="J998" s="52" t="s">
        <v>5816</v>
      </c>
      <c r="K998" s="56" t="n">
        <v>1</v>
      </c>
      <c r="L998" s="52" t="s">
        <v>5816</v>
      </c>
      <c r="M998" s="52" t="s">
        <v>130</v>
      </c>
    </row>
    <row r="999" customFormat="false" ht="17.25" hidden="false" customHeight="true" outlineLevel="0" collapsed="false">
      <c r="A999" s="52" t="s">
        <v>5777</v>
      </c>
      <c r="B999" s="52" t="s">
        <v>5813</v>
      </c>
      <c r="C999" s="53" t="n">
        <v>1616857</v>
      </c>
      <c r="D999" s="52" t="s">
        <v>2285</v>
      </c>
      <c r="E999" s="52" t="s">
        <v>2286</v>
      </c>
      <c r="F999" s="54" t="n">
        <v>50</v>
      </c>
      <c r="G999" s="55" t="n">
        <v>969</v>
      </c>
      <c r="H999" s="55" t="n">
        <v>19.38</v>
      </c>
      <c r="I999" s="55" t="n">
        <v>19.38</v>
      </c>
      <c r="J999" s="52" t="s">
        <v>5816</v>
      </c>
      <c r="K999" s="56" t="n">
        <v>1</v>
      </c>
      <c r="L999" s="52" t="s">
        <v>5816</v>
      </c>
      <c r="M999" s="52" t="s">
        <v>38</v>
      </c>
    </row>
    <row r="1000" customFormat="false" ht="17.25" hidden="false" customHeight="true" outlineLevel="0" collapsed="false">
      <c r="A1000" s="52" t="s">
        <v>5777</v>
      </c>
      <c r="B1000" s="52" t="s">
        <v>5813</v>
      </c>
      <c r="C1000" s="53" t="n">
        <v>1616858</v>
      </c>
      <c r="D1000" s="52" t="s">
        <v>2287</v>
      </c>
      <c r="E1000" s="52" t="s">
        <v>2288</v>
      </c>
      <c r="F1000" s="54" t="n">
        <v>50</v>
      </c>
      <c r="G1000" s="55" t="n">
        <v>969</v>
      </c>
      <c r="H1000" s="55" t="n">
        <v>19.38</v>
      </c>
      <c r="I1000" s="55" t="n">
        <v>19.38</v>
      </c>
      <c r="J1000" s="52" t="s">
        <v>5816</v>
      </c>
      <c r="K1000" s="56" t="n">
        <v>1</v>
      </c>
      <c r="L1000" s="52" t="s">
        <v>5816</v>
      </c>
      <c r="M1000" s="52" t="s">
        <v>38</v>
      </c>
    </row>
    <row r="1001" customFormat="false" ht="17.25" hidden="false" customHeight="true" outlineLevel="0" collapsed="false">
      <c r="A1001" s="52" t="s">
        <v>5777</v>
      </c>
      <c r="B1001" s="52" t="s">
        <v>5813</v>
      </c>
      <c r="C1001" s="53" t="n">
        <v>1610151</v>
      </c>
      <c r="D1001" s="52" t="s">
        <v>2289</v>
      </c>
      <c r="E1001" s="52" t="s">
        <v>2290</v>
      </c>
      <c r="F1001" s="54" t="n">
        <v>92</v>
      </c>
      <c r="G1001" s="55" t="n">
        <v>966.92</v>
      </c>
      <c r="H1001" s="55" t="n">
        <v>10.51</v>
      </c>
      <c r="I1001" s="55" t="n">
        <v>10.51</v>
      </c>
      <c r="J1001" s="52" t="s">
        <v>5816</v>
      </c>
      <c r="K1001" s="56" t="n">
        <v>1</v>
      </c>
      <c r="L1001" s="52" t="s">
        <v>5816</v>
      </c>
      <c r="M1001" s="52" t="s">
        <v>100</v>
      </c>
    </row>
    <row r="1002" customFormat="false" ht="17.25" hidden="false" customHeight="true" outlineLevel="0" collapsed="false">
      <c r="A1002" s="52" t="s">
        <v>5777</v>
      </c>
      <c r="B1002" s="52" t="s">
        <v>5813</v>
      </c>
      <c r="C1002" s="53" t="n">
        <v>830952</v>
      </c>
      <c r="D1002" s="52" t="s">
        <v>2291</v>
      </c>
      <c r="E1002" s="52" t="s">
        <v>2292</v>
      </c>
      <c r="F1002" s="54" t="n">
        <v>12</v>
      </c>
      <c r="G1002" s="55" t="n">
        <v>964.44</v>
      </c>
      <c r="H1002" s="55" t="n">
        <v>80.37</v>
      </c>
      <c r="I1002" s="55" t="n">
        <v>80.37</v>
      </c>
      <c r="J1002" s="52" t="s">
        <v>5816</v>
      </c>
      <c r="K1002" s="56" t="n">
        <v>1</v>
      </c>
      <c r="L1002" s="52" t="s">
        <v>5816</v>
      </c>
      <c r="M1002" s="52" t="s">
        <v>38</v>
      </c>
    </row>
    <row r="1003" customFormat="false" ht="17.25" hidden="false" customHeight="true" outlineLevel="0" collapsed="false">
      <c r="A1003" s="52" t="s">
        <v>5777</v>
      </c>
      <c r="B1003" s="52" t="s">
        <v>5813</v>
      </c>
      <c r="C1003" s="53" t="n">
        <v>66312</v>
      </c>
      <c r="D1003" s="52" t="s">
        <v>2293</v>
      </c>
      <c r="E1003" s="52" t="s">
        <v>2294</v>
      </c>
      <c r="F1003" s="54" t="n">
        <v>1</v>
      </c>
      <c r="G1003" s="55" t="n">
        <v>963.02</v>
      </c>
      <c r="H1003" s="55" t="n">
        <v>963.02</v>
      </c>
      <c r="I1003" s="55" t="n">
        <v>963.02</v>
      </c>
      <c r="J1003" s="52" t="s">
        <v>5816</v>
      </c>
      <c r="K1003" s="56" t="n">
        <v>1</v>
      </c>
      <c r="L1003" s="52" t="s">
        <v>5816</v>
      </c>
      <c r="M1003" s="52" t="s">
        <v>113</v>
      </c>
    </row>
    <row r="1004" customFormat="false" ht="17.25" hidden="false" customHeight="true" outlineLevel="0" collapsed="false">
      <c r="A1004" s="52" t="s">
        <v>5777</v>
      </c>
      <c r="B1004" s="52" t="s">
        <v>5813</v>
      </c>
      <c r="C1004" s="53" t="n">
        <v>391511</v>
      </c>
      <c r="D1004" s="52" t="s">
        <v>2297</v>
      </c>
      <c r="E1004" s="52" t="s">
        <v>2298</v>
      </c>
      <c r="F1004" s="54" t="n">
        <v>165</v>
      </c>
      <c r="G1004" s="55" t="n">
        <v>962.26</v>
      </c>
      <c r="H1004" s="55" t="n">
        <v>5.8319</v>
      </c>
      <c r="I1004" s="55" t="n">
        <v>5.8319</v>
      </c>
      <c r="J1004" s="52" t="s">
        <v>5822</v>
      </c>
      <c r="K1004" s="56" t="n">
        <v>1</v>
      </c>
      <c r="L1004" s="52" t="s">
        <v>5822</v>
      </c>
      <c r="M1004" s="52" t="s">
        <v>133</v>
      </c>
    </row>
    <row r="1005" customFormat="false" ht="17.25" hidden="false" customHeight="true" outlineLevel="0" collapsed="false">
      <c r="A1005" s="52" t="s">
        <v>5777</v>
      </c>
      <c r="B1005" s="52" t="s">
        <v>5813</v>
      </c>
      <c r="C1005" s="53" t="n">
        <v>136864</v>
      </c>
      <c r="D1005" s="52" t="s">
        <v>2299</v>
      </c>
      <c r="E1005" s="52" t="s">
        <v>2300</v>
      </c>
      <c r="F1005" s="54" t="n">
        <v>20</v>
      </c>
      <c r="G1005" s="55" t="n">
        <v>960</v>
      </c>
      <c r="H1005" s="55" t="n">
        <v>48</v>
      </c>
      <c r="I1005" s="55" t="n">
        <v>48</v>
      </c>
      <c r="J1005" s="52" t="s">
        <v>5816</v>
      </c>
      <c r="K1005" s="56" t="n">
        <v>1</v>
      </c>
      <c r="L1005" s="52" t="s">
        <v>5816</v>
      </c>
      <c r="M1005" s="52" t="s">
        <v>100</v>
      </c>
    </row>
    <row r="1006" customFormat="false" ht="17.25" hidden="false" customHeight="true" outlineLevel="0" collapsed="false">
      <c r="A1006" s="52" t="s">
        <v>5777</v>
      </c>
      <c r="B1006" s="52" t="s">
        <v>5813</v>
      </c>
      <c r="C1006" s="53" t="n">
        <v>1605181</v>
      </c>
      <c r="D1006" s="52" t="s">
        <v>2301</v>
      </c>
      <c r="E1006" s="52" t="s">
        <v>5897</v>
      </c>
      <c r="F1006" s="54" t="n">
        <v>1</v>
      </c>
      <c r="G1006" s="55" t="n">
        <v>960</v>
      </c>
      <c r="H1006" s="55" t="n">
        <v>960</v>
      </c>
      <c r="I1006" s="55" t="n">
        <v>960</v>
      </c>
      <c r="J1006" s="52" t="s">
        <v>5816</v>
      </c>
      <c r="K1006" s="56" t="n">
        <v>1</v>
      </c>
      <c r="L1006" s="52" t="s">
        <v>5816</v>
      </c>
      <c r="M1006" s="52" t="s">
        <v>38</v>
      </c>
    </row>
    <row r="1007" customFormat="false" ht="17.25" hidden="false" customHeight="true" outlineLevel="0" collapsed="false">
      <c r="A1007" s="52" t="s">
        <v>5777</v>
      </c>
      <c r="B1007" s="52" t="s">
        <v>5813</v>
      </c>
      <c r="C1007" s="53" t="n">
        <v>1605186</v>
      </c>
      <c r="D1007" s="52" t="s">
        <v>2303</v>
      </c>
      <c r="E1007" s="52" t="s">
        <v>2304</v>
      </c>
      <c r="F1007" s="54" t="n">
        <v>18</v>
      </c>
      <c r="G1007" s="55" t="n">
        <v>954.94</v>
      </c>
      <c r="H1007" s="55" t="n">
        <v>53.0522</v>
      </c>
      <c r="I1007" s="55" t="n">
        <v>40.84</v>
      </c>
      <c r="J1007" s="52" t="s">
        <v>5816</v>
      </c>
      <c r="K1007" s="56" t="n">
        <v>1</v>
      </c>
      <c r="L1007" s="52" t="s">
        <v>5816</v>
      </c>
      <c r="M1007" s="52" t="s">
        <v>38</v>
      </c>
    </row>
    <row r="1008" customFormat="false" ht="17.25" hidden="false" customHeight="true" outlineLevel="0" collapsed="false">
      <c r="A1008" s="52" t="s">
        <v>5777</v>
      </c>
      <c r="B1008" s="52" t="s">
        <v>5813</v>
      </c>
      <c r="C1008" s="53" t="n">
        <v>23684</v>
      </c>
      <c r="D1008" s="52" t="s">
        <v>2305</v>
      </c>
      <c r="E1008" s="52" t="s">
        <v>2306</v>
      </c>
      <c r="F1008" s="54" t="n">
        <v>13</v>
      </c>
      <c r="G1008" s="55" t="n">
        <v>954</v>
      </c>
      <c r="H1008" s="55" t="n">
        <v>73.3846</v>
      </c>
      <c r="I1008" s="55" t="n">
        <v>66</v>
      </c>
      <c r="J1008" s="52" t="s">
        <v>5816</v>
      </c>
      <c r="K1008" s="56" t="n">
        <v>1</v>
      </c>
      <c r="L1008" s="52" t="s">
        <v>5816</v>
      </c>
      <c r="M1008" s="52" t="s">
        <v>1618</v>
      </c>
    </row>
    <row r="1009" customFormat="false" ht="17.25" hidden="false" customHeight="true" outlineLevel="0" collapsed="false">
      <c r="A1009" s="52" t="s">
        <v>5777</v>
      </c>
      <c r="B1009" s="52" t="s">
        <v>5813</v>
      </c>
      <c r="C1009" s="53" t="n">
        <v>55300</v>
      </c>
      <c r="D1009" s="52" t="s">
        <v>2307</v>
      </c>
      <c r="E1009" s="52" t="s">
        <v>2308</v>
      </c>
      <c r="F1009" s="54" t="n">
        <v>6</v>
      </c>
      <c r="G1009" s="55" t="n">
        <v>951.3</v>
      </c>
      <c r="H1009" s="55" t="n">
        <v>158.55</v>
      </c>
      <c r="I1009" s="55" t="n">
        <v>158.55</v>
      </c>
      <c r="J1009" s="52" t="s">
        <v>5816</v>
      </c>
      <c r="K1009" s="56" t="n">
        <v>1</v>
      </c>
      <c r="L1009" s="52" t="s">
        <v>5816</v>
      </c>
      <c r="M1009" s="52" t="s">
        <v>38</v>
      </c>
    </row>
    <row r="1010" customFormat="false" ht="17.25" hidden="false" customHeight="true" outlineLevel="0" collapsed="false">
      <c r="A1010" s="52" t="s">
        <v>5777</v>
      </c>
      <c r="B1010" s="52" t="s">
        <v>5813</v>
      </c>
      <c r="C1010" s="53" t="n">
        <v>1067227</v>
      </c>
      <c r="D1010" s="52" t="s">
        <v>2309</v>
      </c>
      <c r="E1010" s="52" t="s">
        <v>2310</v>
      </c>
      <c r="F1010" s="54" t="n">
        <v>4</v>
      </c>
      <c r="G1010" s="55" t="n">
        <v>950.8</v>
      </c>
      <c r="H1010" s="55" t="n">
        <v>237.7</v>
      </c>
      <c r="I1010" s="55" t="n">
        <v>237.7</v>
      </c>
      <c r="J1010" s="52" t="s">
        <v>5816</v>
      </c>
      <c r="K1010" s="56" t="n">
        <v>1</v>
      </c>
      <c r="L1010" s="52" t="s">
        <v>5816</v>
      </c>
      <c r="M1010" s="52" t="s">
        <v>247</v>
      </c>
    </row>
    <row r="1011" customFormat="false" ht="17.25" hidden="false" customHeight="true" outlineLevel="0" collapsed="false">
      <c r="A1011" s="52" t="s">
        <v>5777</v>
      </c>
      <c r="B1011" s="52" t="s">
        <v>5813</v>
      </c>
      <c r="C1011" s="53" t="n">
        <v>137812</v>
      </c>
      <c r="D1011" s="52" t="s">
        <v>2311</v>
      </c>
      <c r="E1011" s="52" t="s">
        <v>2312</v>
      </c>
      <c r="F1011" s="54" t="n">
        <v>10</v>
      </c>
      <c r="G1011" s="55" t="n">
        <v>950</v>
      </c>
      <c r="H1011" s="55" t="n">
        <v>95</v>
      </c>
      <c r="I1011" s="55" t="n">
        <v>95</v>
      </c>
      <c r="J1011" s="52" t="s">
        <v>5816</v>
      </c>
      <c r="K1011" s="56" t="n">
        <v>1</v>
      </c>
      <c r="L1011" s="52" t="s">
        <v>5816</v>
      </c>
      <c r="M1011" s="52" t="s">
        <v>247</v>
      </c>
    </row>
    <row r="1012" customFormat="false" ht="17.25" hidden="false" customHeight="true" outlineLevel="0" collapsed="false">
      <c r="A1012" s="52" t="s">
        <v>5777</v>
      </c>
      <c r="B1012" s="52" t="s">
        <v>5813</v>
      </c>
      <c r="C1012" s="53" t="n">
        <v>18841</v>
      </c>
      <c r="D1012" s="52" t="s">
        <v>2313</v>
      </c>
      <c r="E1012" s="52" t="s">
        <v>2314</v>
      </c>
      <c r="F1012" s="54" t="n">
        <v>18</v>
      </c>
      <c r="G1012" s="55" t="n">
        <v>949.01</v>
      </c>
      <c r="H1012" s="55" t="n">
        <v>52.7228</v>
      </c>
      <c r="I1012" s="55" t="n">
        <v>25.2325</v>
      </c>
      <c r="J1012" s="52" t="s">
        <v>5816</v>
      </c>
      <c r="K1012" s="56" t="n">
        <v>1</v>
      </c>
      <c r="L1012" s="52" t="s">
        <v>5816</v>
      </c>
      <c r="M1012" s="52" t="s">
        <v>247</v>
      </c>
    </row>
    <row r="1013" customFormat="false" ht="17.25" hidden="false" customHeight="true" outlineLevel="0" collapsed="false">
      <c r="A1013" s="52" t="s">
        <v>5777</v>
      </c>
      <c r="B1013" s="52" t="s">
        <v>5813</v>
      </c>
      <c r="C1013" s="53" t="n">
        <v>749915</v>
      </c>
      <c r="D1013" s="52" t="s">
        <v>2317</v>
      </c>
      <c r="E1013" s="52" t="s">
        <v>2318</v>
      </c>
      <c r="F1013" s="54" t="n">
        <v>42</v>
      </c>
      <c r="G1013" s="55" t="n">
        <v>945.99</v>
      </c>
      <c r="H1013" s="55" t="n">
        <v>22.5236</v>
      </c>
      <c r="I1013" s="55" t="n">
        <v>20</v>
      </c>
      <c r="J1013" s="52" t="s">
        <v>5816</v>
      </c>
      <c r="K1013" s="56" t="n">
        <v>1</v>
      </c>
      <c r="L1013" s="52" t="s">
        <v>5816</v>
      </c>
      <c r="M1013" s="52" t="s">
        <v>130</v>
      </c>
    </row>
    <row r="1014" customFormat="false" ht="17.25" hidden="false" customHeight="true" outlineLevel="0" collapsed="false">
      <c r="A1014" s="52" t="s">
        <v>5777</v>
      </c>
      <c r="B1014" s="52" t="s">
        <v>5813</v>
      </c>
      <c r="C1014" s="53" t="n">
        <v>225277</v>
      </c>
      <c r="D1014" s="52" t="s">
        <v>2319</v>
      </c>
      <c r="E1014" s="52" t="s">
        <v>2320</v>
      </c>
      <c r="F1014" s="54" t="n">
        <v>3</v>
      </c>
      <c r="G1014" s="55" t="n">
        <v>945.66</v>
      </c>
      <c r="H1014" s="55" t="n">
        <v>315.22</v>
      </c>
      <c r="I1014" s="55" t="n">
        <v>315.22</v>
      </c>
      <c r="J1014" s="52" t="s">
        <v>5816</v>
      </c>
      <c r="K1014" s="56" t="n">
        <v>1</v>
      </c>
      <c r="L1014" s="52" t="s">
        <v>5816</v>
      </c>
      <c r="M1014" s="52" t="s">
        <v>38</v>
      </c>
    </row>
    <row r="1015" customFormat="false" ht="17.25" hidden="false" customHeight="true" outlineLevel="0" collapsed="false">
      <c r="A1015" s="52" t="s">
        <v>5777</v>
      </c>
      <c r="B1015" s="52" t="s">
        <v>5813</v>
      </c>
      <c r="C1015" s="53" t="n">
        <v>1385185</v>
      </c>
      <c r="D1015" s="52" t="s">
        <v>2323</v>
      </c>
      <c r="E1015" s="52" t="s">
        <v>2324</v>
      </c>
      <c r="F1015" s="54" t="n">
        <v>297</v>
      </c>
      <c r="G1015" s="55" t="n">
        <v>941.96</v>
      </c>
      <c r="H1015" s="55" t="n">
        <v>3.1716</v>
      </c>
      <c r="I1015" s="55" t="n">
        <v>2.6</v>
      </c>
      <c r="J1015" s="52" t="s">
        <v>5814</v>
      </c>
      <c r="K1015" s="56" t="n">
        <v>1</v>
      </c>
      <c r="L1015" s="52" t="s">
        <v>5814</v>
      </c>
      <c r="M1015" s="52" t="s">
        <v>38</v>
      </c>
    </row>
    <row r="1016" customFormat="false" ht="17.25" hidden="false" customHeight="true" outlineLevel="0" collapsed="false">
      <c r="A1016" s="52" t="s">
        <v>5777</v>
      </c>
      <c r="B1016" s="52" t="s">
        <v>5813</v>
      </c>
      <c r="C1016" s="53" t="n">
        <v>1013784</v>
      </c>
      <c r="D1016" s="52" t="s">
        <v>2325</v>
      </c>
      <c r="E1016" s="52" t="s">
        <v>2326</v>
      </c>
      <c r="F1016" s="54" t="n">
        <v>66</v>
      </c>
      <c r="G1016" s="55" t="n">
        <v>939.84</v>
      </c>
      <c r="H1016" s="55" t="n">
        <v>14.24</v>
      </c>
      <c r="I1016" s="55" t="n">
        <v>14.24</v>
      </c>
      <c r="J1016" s="52" t="s">
        <v>5816</v>
      </c>
      <c r="K1016" s="56" t="n">
        <v>1</v>
      </c>
      <c r="L1016" s="52" t="s">
        <v>5816</v>
      </c>
      <c r="M1016" s="52" t="s">
        <v>38</v>
      </c>
    </row>
    <row r="1017" customFormat="false" ht="17.25" hidden="false" customHeight="true" outlineLevel="0" collapsed="false">
      <c r="A1017" s="52" t="s">
        <v>5777</v>
      </c>
      <c r="B1017" s="52" t="s">
        <v>5813</v>
      </c>
      <c r="C1017" s="53" t="n">
        <v>24101</v>
      </c>
      <c r="D1017" s="52" t="s">
        <v>2327</v>
      </c>
      <c r="E1017" s="52" t="s">
        <v>2328</v>
      </c>
      <c r="F1017" s="54" t="n">
        <v>50</v>
      </c>
      <c r="G1017" s="55" t="n">
        <v>938.863</v>
      </c>
      <c r="H1017" s="55" t="n">
        <v>18.7774</v>
      </c>
      <c r="I1017" s="55" t="n">
        <v>18.42</v>
      </c>
      <c r="J1017" s="52" t="s">
        <v>5816</v>
      </c>
      <c r="K1017" s="56" t="n">
        <v>1</v>
      </c>
      <c r="L1017" s="52" t="s">
        <v>5816</v>
      </c>
      <c r="M1017" s="52" t="s">
        <v>457</v>
      </c>
    </row>
    <row r="1018" customFormat="false" ht="17.25" hidden="false" customHeight="true" outlineLevel="0" collapsed="false">
      <c r="A1018" s="52" t="s">
        <v>5777</v>
      </c>
      <c r="B1018" s="52" t="s">
        <v>5813</v>
      </c>
      <c r="C1018" s="53" t="n">
        <v>884887</v>
      </c>
      <c r="D1018" s="52" t="s">
        <v>2329</v>
      </c>
      <c r="E1018" s="52" t="s">
        <v>2330</v>
      </c>
      <c r="F1018" s="54" t="n">
        <v>40</v>
      </c>
      <c r="G1018" s="55" t="n">
        <v>937.7</v>
      </c>
      <c r="H1018" s="55" t="n">
        <v>23.4425</v>
      </c>
      <c r="I1018" s="55" t="n">
        <v>29.45</v>
      </c>
      <c r="J1018" s="52" t="s">
        <v>5831</v>
      </c>
      <c r="K1018" s="56" t="n">
        <v>1</v>
      </c>
      <c r="L1018" s="52" t="s">
        <v>5831</v>
      </c>
      <c r="M1018" s="52" t="s">
        <v>247</v>
      </c>
    </row>
    <row r="1019" customFormat="false" ht="17.25" hidden="false" customHeight="true" outlineLevel="0" collapsed="false">
      <c r="A1019" s="52" t="s">
        <v>5777</v>
      </c>
      <c r="B1019" s="52" t="s">
        <v>5813</v>
      </c>
      <c r="C1019" s="53" t="n">
        <v>56536</v>
      </c>
      <c r="D1019" s="52" t="s">
        <v>2331</v>
      </c>
      <c r="E1019" s="52" t="s">
        <v>2332</v>
      </c>
      <c r="F1019" s="54" t="n">
        <v>32</v>
      </c>
      <c r="G1019" s="55" t="n">
        <v>936</v>
      </c>
      <c r="H1019" s="55" t="n">
        <v>29.25</v>
      </c>
      <c r="I1019" s="55" t="n">
        <v>36</v>
      </c>
      <c r="J1019" s="52" t="s">
        <v>5816</v>
      </c>
      <c r="K1019" s="56" t="n">
        <v>1</v>
      </c>
      <c r="L1019" s="52" t="s">
        <v>5816</v>
      </c>
      <c r="M1019" s="52" t="s">
        <v>705</v>
      </c>
    </row>
    <row r="1020" customFormat="false" ht="17.25" hidden="false" customHeight="true" outlineLevel="0" collapsed="false">
      <c r="A1020" s="52" t="s">
        <v>5777</v>
      </c>
      <c r="B1020" s="52" t="s">
        <v>5813</v>
      </c>
      <c r="C1020" s="53" t="n">
        <v>65207</v>
      </c>
      <c r="D1020" s="52" t="s">
        <v>2333</v>
      </c>
      <c r="E1020" s="52" t="s">
        <v>2334</v>
      </c>
      <c r="F1020" s="54" t="n">
        <v>6</v>
      </c>
      <c r="G1020" s="55" t="n">
        <v>936</v>
      </c>
      <c r="H1020" s="55" t="n">
        <v>156</v>
      </c>
      <c r="I1020" s="55" t="n">
        <v>156</v>
      </c>
      <c r="J1020" s="52" t="s">
        <v>5816</v>
      </c>
      <c r="K1020" s="56" t="n">
        <v>1</v>
      </c>
      <c r="L1020" s="52" t="s">
        <v>5816</v>
      </c>
      <c r="M1020" s="52" t="s">
        <v>247</v>
      </c>
    </row>
    <row r="1021" customFormat="false" ht="17.25" hidden="false" customHeight="true" outlineLevel="0" collapsed="false">
      <c r="A1021" s="52" t="s">
        <v>5777</v>
      </c>
      <c r="B1021" s="52" t="s">
        <v>5813</v>
      </c>
      <c r="C1021" s="53" t="n">
        <v>136667</v>
      </c>
      <c r="D1021" s="52" t="s">
        <v>2335</v>
      </c>
      <c r="E1021" s="52" t="s">
        <v>2336</v>
      </c>
      <c r="F1021" s="54" t="n">
        <v>6</v>
      </c>
      <c r="G1021" s="55" t="n">
        <v>936</v>
      </c>
      <c r="H1021" s="55" t="n">
        <v>156</v>
      </c>
      <c r="I1021" s="55" t="n">
        <v>156</v>
      </c>
      <c r="J1021" s="52" t="s">
        <v>5816</v>
      </c>
      <c r="K1021" s="56" t="n">
        <v>1</v>
      </c>
      <c r="L1021" s="52" t="s">
        <v>5816</v>
      </c>
      <c r="M1021" s="52" t="s">
        <v>247</v>
      </c>
    </row>
    <row r="1022" customFormat="false" ht="17.25" hidden="false" customHeight="true" outlineLevel="0" collapsed="false">
      <c r="A1022" s="52" t="s">
        <v>5777</v>
      </c>
      <c r="B1022" s="52" t="s">
        <v>5813</v>
      </c>
      <c r="C1022" s="53" t="n">
        <v>839824</v>
      </c>
      <c r="D1022" s="52" t="s">
        <v>2337</v>
      </c>
      <c r="E1022" s="52" t="s">
        <v>2338</v>
      </c>
      <c r="F1022" s="54" t="n">
        <v>50</v>
      </c>
      <c r="G1022" s="55" t="n">
        <v>929.5</v>
      </c>
      <c r="H1022" s="55" t="n">
        <v>18.59</v>
      </c>
      <c r="I1022" s="55" t="n">
        <v>18.59</v>
      </c>
      <c r="J1022" s="52" t="s">
        <v>5814</v>
      </c>
      <c r="K1022" s="56" t="n">
        <v>1</v>
      </c>
      <c r="L1022" s="52" t="s">
        <v>5814</v>
      </c>
      <c r="M1022" s="52" t="s">
        <v>38</v>
      </c>
    </row>
    <row r="1023" customFormat="false" ht="17.25" hidden="false" customHeight="true" outlineLevel="0" collapsed="false">
      <c r="A1023" s="52" t="s">
        <v>5777</v>
      </c>
      <c r="B1023" s="52" t="s">
        <v>5813</v>
      </c>
      <c r="C1023" s="53" t="n">
        <v>18134</v>
      </c>
      <c r="D1023" s="52" t="s">
        <v>2339</v>
      </c>
      <c r="E1023" s="52" t="s">
        <v>2340</v>
      </c>
      <c r="F1023" s="54" t="n">
        <v>14</v>
      </c>
      <c r="G1023" s="55" t="n">
        <v>924</v>
      </c>
      <c r="H1023" s="55" t="n">
        <v>66</v>
      </c>
      <c r="I1023" s="55" t="n">
        <v>66</v>
      </c>
      <c r="J1023" s="52" t="s">
        <v>5816</v>
      </c>
      <c r="K1023" s="56" t="n">
        <v>1</v>
      </c>
      <c r="L1023" s="52" t="s">
        <v>5816</v>
      </c>
      <c r="M1023" s="52" t="s">
        <v>130</v>
      </c>
    </row>
    <row r="1024" customFormat="false" ht="17.25" hidden="false" customHeight="true" outlineLevel="0" collapsed="false">
      <c r="A1024" s="52" t="s">
        <v>5777</v>
      </c>
      <c r="B1024" s="52" t="s">
        <v>5813</v>
      </c>
      <c r="C1024" s="53" t="n">
        <v>1327961</v>
      </c>
      <c r="D1024" s="52" t="s">
        <v>2341</v>
      </c>
      <c r="E1024" s="52" t="s">
        <v>2342</v>
      </c>
      <c r="F1024" s="54" t="n">
        <v>58</v>
      </c>
      <c r="G1024" s="55" t="n">
        <v>922.24</v>
      </c>
      <c r="H1024" s="55" t="n">
        <v>15.9007</v>
      </c>
      <c r="I1024" s="55" t="n">
        <v>15.9007</v>
      </c>
      <c r="J1024" s="52" t="s">
        <v>5816</v>
      </c>
      <c r="K1024" s="56" t="n">
        <v>1</v>
      </c>
      <c r="L1024" s="52" t="s">
        <v>5816</v>
      </c>
      <c r="M1024" s="52" t="s">
        <v>54</v>
      </c>
    </row>
    <row r="1025" customFormat="false" ht="17.25" hidden="false" customHeight="true" outlineLevel="0" collapsed="false">
      <c r="A1025" s="52" t="s">
        <v>5777</v>
      </c>
      <c r="B1025" s="52" t="s">
        <v>5813</v>
      </c>
      <c r="C1025" s="53" t="n">
        <v>1385179</v>
      </c>
      <c r="D1025" s="52" t="s">
        <v>2343</v>
      </c>
      <c r="E1025" s="52" t="s">
        <v>2344</v>
      </c>
      <c r="F1025" s="54" t="n">
        <v>245</v>
      </c>
      <c r="G1025" s="55" t="n">
        <v>911.8</v>
      </c>
      <c r="H1025" s="55" t="n">
        <v>3.7216</v>
      </c>
      <c r="I1025" s="55" t="n">
        <v>2.6</v>
      </c>
      <c r="J1025" s="52" t="s">
        <v>5814</v>
      </c>
      <c r="K1025" s="56" t="n">
        <v>1</v>
      </c>
      <c r="L1025" s="52" t="s">
        <v>5814</v>
      </c>
      <c r="M1025" s="52" t="s">
        <v>38</v>
      </c>
    </row>
    <row r="1026" customFormat="false" ht="17.25" hidden="false" customHeight="true" outlineLevel="0" collapsed="false">
      <c r="A1026" s="52" t="s">
        <v>5777</v>
      </c>
      <c r="B1026" s="52" t="s">
        <v>5813</v>
      </c>
      <c r="C1026" s="53" t="n">
        <v>1380122</v>
      </c>
      <c r="D1026" s="52" t="s">
        <v>2345</v>
      </c>
      <c r="E1026" s="52" t="s">
        <v>2346</v>
      </c>
      <c r="F1026" s="54" t="n">
        <v>3</v>
      </c>
      <c r="G1026" s="55" t="n">
        <v>908.44</v>
      </c>
      <c r="H1026" s="55" t="n">
        <v>302.8133</v>
      </c>
      <c r="I1026" s="55" t="n">
        <v>165.5</v>
      </c>
      <c r="J1026" s="52" t="s">
        <v>5816</v>
      </c>
      <c r="K1026" s="56" t="n">
        <v>1</v>
      </c>
      <c r="L1026" s="52" t="s">
        <v>5816</v>
      </c>
      <c r="M1026" s="52" t="s">
        <v>38</v>
      </c>
    </row>
    <row r="1027" customFormat="false" ht="17.25" hidden="false" customHeight="true" outlineLevel="0" collapsed="false">
      <c r="A1027" s="52" t="s">
        <v>5777</v>
      </c>
      <c r="B1027" s="52" t="s">
        <v>5813</v>
      </c>
      <c r="C1027" s="53" t="n">
        <v>1319427</v>
      </c>
      <c r="D1027" s="52" t="s">
        <v>2347</v>
      </c>
      <c r="E1027" s="52" t="s">
        <v>2348</v>
      </c>
      <c r="F1027" s="54" t="n">
        <v>4</v>
      </c>
      <c r="G1027" s="55" t="n">
        <v>907.36</v>
      </c>
      <c r="H1027" s="55" t="n">
        <v>226.84</v>
      </c>
      <c r="I1027" s="55" t="n">
        <v>226.84</v>
      </c>
      <c r="J1027" s="52" t="s">
        <v>5816</v>
      </c>
      <c r="K1027" s="56" t="n">
        <v>1</v>
      </c>
      <c r="L1027" s="52" t="s">
        <v>5816</v>
      </c>
      <c r="M1027" s="52" t="s">
        <v>217</v>
      </c>
    </row>
    <row r="1028" customFormat="false" ht="17.25" hidden="false" customHeight="true" outlineLevel="0" collapsed="false">
      <c r="A1028" s="52" t="s">
        <v>5777</v>
      </c>
      <c r="B1028" s="52" t="s">
        <v>5813</v>
      </c>
      <c r="C1028" s="53" t="n">
        <v>18845</v>
      </c>
      <c r="D1028" s="52" t="s">
        <v>2349</v>
      </c>
      <c r="E1028" s="52" t="s">
        <v>2350</v>
      </c>
      <c r="F1028" s="54" t="n">
        <v>94</v>
      </c>
      <c r="G1028" s="55" t="n">
        <v>906.49</v>
      </c>
      <c r="H1028" s="55" t="n">
        <v>9.6435</v>
      </c>
      <c r="I1028" s="55" t="n">
        <v>11.5</v>
      </c>
      <c r="J1028" s="52" t="s">
        <v>5816</v>
      </c>
      <c r="K1028" s="56" t="n">
        <v>1</v>
      </c>
      <c r="L1028" s="52" t="s">
        <v>5816</v>
      </c>
      <c r="M1028" s="52" t="s">
        <v>247</v>
      </c>
    </row>
    <row r="1029" customFormat="false" ht="17.25" hidden="false" customHeight="true" outlineLevel="0" collapsed="false">
      <c r="A1029" s="52" t="s">
        <v>5777</v>
      </c>
      <c r="B1029" s="52" t="s">
        <v>5813</v>
      </c>
      <c r="C1029" s="53" t="n">
        <v>559856</v>
      </c>
      <c r="D1029" s="52" t="s">
        <v>2351</v>
      </c>
      <c r="E1029" s="52" t="s">
        <v>2352</v>
      </c>
      <c r="F1029" s="54" t="n">
        <v>5</v>
      </c>
      <c r="G1029" s="55" t="n">
        <v>902.12</v>
      </c>
      <c r="H1029" s="55" t="n">
        <v>180.424</v>
      </c>
      <c r="I1029" s="55" t="n">
        <v>153.16</v>
      </c>
      <c r="J1029" s="52" t="s">
        <v>5816</v>
      </c>
      <c r="K1029" s="56" t="n">
        <v>1</v>
      </c>
      <c r="L1029" s="52" t="s">
        <v>5816</v>
      </c>
      <c r="M1029" s="52" t="s">
        <v>133</v>
      </c>
    </row>
    <row r="1030" customFormat="false" ht="17.25" hidden="false" customHeight="true" outlineLevel="0" collapsed="false">
      <c r="A1030" s="52" t="s">
        <v>5777</v>
      </c>
      <c r="B1030" s="52" t="s">
        <v>5813</v>
      </c>
      <c r="C1030" s="53" t="n">
        <v>219548</v>
      </c>
      <c r="D1030" s="52" t="s">
        <v>283</v>
      </c>
      <c r="E1030" s="52" t="s">
        <v>284</v>
      </c>
      <c r="F1030" s="54" t="n">
        <v>20</v>
      </c>
      <c r="G1030" s="55" t="n">
        <v>900</v>
      </c>
      <c r="H1030" s="55" t="n">
        <v>45</v>
      </c>
      <c r="I1030" s="55" t="n">
        <v>45</v>
      </c>
      <c r="J1030" s="52" t="s">
        <v>5814</v>
      </c>
      <c r="K1030" s="56" t="n">
        <v>1</v>
      </c>
      <c r="L1030" s="52" t="s">
        <v>5814</v>
      </c>
      <c r="M1030" s="52" t="s">
        <v>38</v>
      </c>
    </row>
    <row r="1031" customFormat="false" ht="17.25" hidden="false" customHeight="true" outlineLevel="0" collapsed="false">
      <c r="A1031" s="52" t="s">
        <v>5777</v>
      </c>
      <c r="B1031" s="52" t="s">
        <v>5813</v>
      </c>
      <c r="C1031" s="53" t="n">
        <v>1094512</v>
      </c>
      <c r="D1031" s="52" t="s">
        <v>2353</v>
      </c>
      <c r="E1031" s="52" t="s">
        <v>5898</v>
      </c>
      <c r="F1031" s="54" t="n">
        <v>600</v>
      </c>
      <c r="G1031" s="55" t="n">
        <v>900</v>
      </c>
      <c r="H1031" s="55" t="n">
        <v>1.5</v>
      </c>
      <c r="I1031" s="55" t="n">
        <v>1.25</v>
      </c>
      <c r="J1031" s="52" t="s">
        <v>5814</v>
      </c>
      <c r="K1031" s="56" t="n">
        <v>1</v>
      </c>
      <c r="L1031" s="52" t="s">
        <v>5814</v>
      </c>
      <c r="M1031" s="52" t="s">
        <v>334</v>
      </c>
    </row>
    <row r="1032" customFormat="false" ht="17.25" hidden="false" customHeight="true" outlineLevel="0" collapsed="false">
      <c r="A1032" s="52" t="s">
        <v>5777</v>
      </c>
      <c r="B1032" s="52" t="s">
        <v>5813</v>
      </c>
      <c r="C1032" s="53" t="n">
        <v>34016</v>
      </c>
      <c r="D1032" s="52" t="s">
        <v>2355</v>
      </c>
      <c r="E1032" s="52" t="s">
        <v>2356</v>
      </c>
      <c r="F1032" s="54" t="n">
        <v>1</v>
      </c>
      <c r="G1032" s="55" t="n">
        <v>898</v>
      </c>
      <c r="H1032" s="55" t="n">
        <v>898</v>
      </c>
      <c r="I1032" s="55" t="n">
        <v>898</v>
      </c>
      <c r="J1032" s="52" t="s">
        <v>5846</v>
      </c>
      <c r="K1032" s="56" t="n">
        <v>18</v>
      </c>
      <c r="L1032" s="52" t="s">
        <v>5823</v>
      </c>
      <c r="M1032" s="52" t="s">
        <v>705</v>
      </c>
    </row>
    <row r="1033" customFormat="false" ht="17.25" hidden="false" customHeight="true" outlineLevel="0" collapsed="false">
      <c r="A1033" s="52" t="s">
        <v>5777</v>
      </c>
      <c r="B1033" s="52" t="s">
        <v>5813</v>
      </c>
      <c r="C1033" s="53" t="n">
        <v>1387994</v>
      </c>
      <c r="D1033" s="52" t="s">
        <v>2357</v>
      </c>
      <c r="E1033" s="52" t="s">
        <v>2358</v>
      </c>
      <c r="F1033" s="54" t="n">
        <v>18</v>
      </c>
      <c r="G1033" s="55" t="n">
        <v>896.28</v>
      </c>
      <c r="H1033" s="55" t="n">
        <v>49.7933</v>
      </c>
      <c r="I1033" s="55" t="n">
        <v>50.31</v>
      </c>
      <c r="J1033" s="52" t="s">
        <v>5816</v>
      </c>
      <c r="K1033" s="56" t="n">
        <v>1</v>
      </c>
      <c r="L1033" s="52" t="s">
        <v>5816</v>
      </c>
      <c r="M1033" s="52" t="s">
        <v>38</v>
      </c>
    </row>
    <row r="1034" customFormat="false" ht="17.25" hidden="false" customHeight="true" outlineLevel="0" collapsed="false">
      <c r="A1034" s="52" t="s">
        <v>5777</v>
      </c>
      <c r="B1034" s="52" t="s">
        <v>5813</v>
      </c>
      <c r="C1034" s="53" t="n">
        <v>225235</v>
      </c>
      <c r="D1034" s="52" t="s">
        <v>2359</v>
      </c>
      <c r="E1034" s="52" t="s">
        <v>2360</v>
      </c>
      <c r="F1034" s="54" t="n">
        <v>2</v>
      </c>
      <c r="G1034" s="55" t="n">
        <v>895.16</v>
      </c>
      <c r="H1034" s="55" t="n">
        <v>447.58</v>
      </c>
      <c r="I1034" s="55" t="n">
        <v>447.58</v>
      </c>
      <c r="J1034" s="52" t="s">
        <v>5816</v>
      </c>
      <c r="K1034" s="56" t="n">
        <v>1</v>
      </c>
      <c r="L1034" s="52" t="s">
        <v>5816</v>
      </c>
      <c r="M1034" s="52" t="s">
        <v>38</v>
      </c>
    </row>
    <row r="1035" customFormat="false" ht="17.25" hidden="false" customHeight="true" outlineLevel="0" collapsed="false">
      <c r="A1035" s="52" t="s">
        <v>5777</v>
      </c>
      <c r="B1035" s="52" t="s">
        <v>5813</v>
      </c>
      <c r="C1035" s="53" t="n">
        <v>278511</v>
      </c>
      <c r="D1035" s="52" t="s">
        <v>2361</v>
      </c>
      <c r="E1035" s="52" t="s">
        <v>2362</v>
      </c>
      <c r="F1035" s="54" t="n">
        <v>2</v>
      </c>
      <c r="G1035" s="55" t="n">
        <v>895.16</v>
      </c>
      <c r="H1035" s="55" t="n">
        <v>447.58</v>
      </c>
      <c r="I1035" s="55" t="n">
        <v>447.58</v>
      </c>
      <c r="J1035" s="52" t="s">
        <v>5816</v>
      </c>
      <c r="K1035" s="56" t="n">
        <v>1</v>
      </c>
      <c r="L1035" s="52" t="s">
        <v>5816</v>
      </c>
      <c r="M1035" s="52" t="s">
        <v>38</v>
      </c>
    </row>
    <row r="1036" customFormat="false" ht="17.25" hidden="false" customHeight="true" outlineLevel="0" collapsed="false">
      <c r="A1036" s="52" t="s">
        <v>5777</v>
      </c>
      <c r="B1036" s="52" t="s">
        <v>5813</v>
      </c>
      <c r="C1036" s="53" t="n">
        <v>1385085</v>
      </c>
      <c r="D1036" s="52" t="s">
        <v>2363</v>
      </c>
      <c r="E1036" s="52" t="s">
        <v>2364</v>
      </c>
      <c r="F1036" s="54" t="n">
        <v>150</v>
      </c>
      <c r="G1036" s="55" t="n">
        <v>894</v>
      </c>
      <c r="H1036" s="55" t="n">
        <v>5.96</v>
      </c>
      <c r="I1036" s="55" t="n">
        <v>4.28</v>
      </c>
      <c r="J1036" s="52" t="s">
        <v>5814</v>
      </c>
      <c r="K1036" s="56" t="n">
        <v>1</v>
      </c>
      <c r="L1036" s="52" t="s">
        <v>5814</v>
      </c>
      <c r="M1036" s="52" t="s">
        <v>38</v>
      </c>
    </row>
    <row r="1037" customFormat="false" ht="17.25" hidden="false" customHeight="true" outlineLevel="0" collapsed="false">
      <c r="A1037" s="52" t="s">
        <v>5777</v>
      </c>
      <c r="B1037" s="52" t="s">
        <v>5813</v>
      </c>
      <c r="C1037" s="53" t="n">
        <v>1607587</v>
      </c>
      <c r="D1037" s="52" t="s">
        <v>2365</v>
      </c>
      <c r="E1037" s="52" t="s">
        <v>2366</v>
      </c>
      <c r="F1037" s="54" t="n">
        <v>1</v>
      </c>
      <c r="G1037" s="55" t="n">
        <v>890</v>
      </c>
      <c r="H1037" s="55" t="n">
        <v>890</v>
      </c>
      <c r="I1037" s="55" t="n">
        <v>890</v>
      </c>
      <c r="J1037" s="52" t="s">
        <v>5816</v>
      </c>
      <c r="K1037" s="56" t="n">
        <v>1</v>
      </c>
      <c r="L1037" s="52" t="s">
        <v>5816</v>
      </c>
      <c r="M1037" s="52" t="s">
        <v>38</v>
      </c>
    </row>
    <row r="1038" customFormat="false" ht="17.25" hidden="false" customHeight="true" outlineLevel="0" collapsed="false">
      <c r="A1038" s="52" t="s">
        <v>5777</v>
      </c>
      <c r="B1038" s="52" t="s">
        <v>5813</v>
      </c>
      <c r="C1038" s="53" t="n">
        <v>1602266</v>
      </c>
      <c r="D1038" s="52" t="s">
        <v>2367</v>
      </c>
      <c r="E1038" s="52" t="s">
        <v>2368</v>
      </c>
      <c r="F1038" s="54" t="n">
        <v>11</v>
      </c>
      <c r="G1038" s="55" t="n">
        <v>884.07</v>
      </c>
      <c r="H1038" s="55" t="n">
        <v>80.37</v>
      </c>
      <c r="I1038" s="55" t="n">
        <v>80.37</v>
      </c>
      <c r="J1038" s="52" t="s">
        <v>5816</v>
      </c>
      <c r="K1038" s="56" t="n">
        <v>1</v>
      </c>
      <c r="L1038" s="52" t="s">
        <v>5816</v>
      </c>
      <c r="M1038" s="52" t="s">
        <v>38</v>
      </c>
    </row>
    <row r="1039" customFormat="false" ht="17.25" hidden="false" customHeight="true" outlineLevel="0" collapsed="false">
      <c r="A1039" s="52" t="s">
        <v>5777</v>
      </c>
      <c r="B1039" s="52" t="s">
        <v>5813</v>
      </c>
      <c r="C1039" s="53" t="n">
        <v>19361</v>
      </c>
      <c r="D1039" s="52" t="s">
        <v>2369</v>
      </c>
      <c r="E1039" s="52" t="s">
        <v>2370</v>
      </c>
      <c r="F1039" s="54" t="n">
        <v>90</v>
      </c>
      <c r="G1039" s="55" t="n">
        <v>882</v>
      </c>
      <c r="H1039" s="55" t="n">
        <v>9.8</v>
      </c>
      <c r="I1039" s="55" t="n">
        <v>9.8</v>
      </c>
      <c r="J1039" s="52" t="s">
        <v>5816</v>
      </c>
      <c r="K1039" s="56" t="n">
        <v>1</v>
      </c>
      <c r="L1039" s="52" t="s">
        <v>5816</v>
      </c>
      <c r="M1039" s="52" t="s">
        <v>1095</v>
      </c>
    </row>
    <row r="1040" customFormat="false" ht="17.25" hidden="false" customHeight="true" outlineLevel="0" collapsed="false">
      <c r="A1040" s="52" t="s">
        <v>5777</v>
      </c>
      <c r="B1040" s="52" t="s">
        <v>5813</v>
      </c>
      <c r="C1040" s="53" t="n">
        <v>881614</v>
      </c>
      <c r="D1040" s="52" t="s">
        <v>2371</v>
      </c>
      <c r="E1040" s="52" t="s">
        <v>2372</v>
      </c>
      <c r="F1040" s="54" t="n">
        <v>2</v>
      </c>
      <c r="G1040" s="55" t="n">
        <v>880</v>
      </c>
      <c r="H1040" s="55" t="n">
        <v>440</v>
      </c>
      <c r="I1040" s="55" t="n">
        <v>440</v>
      </c>
      <c r="J1040" s="52" t="s">
        <v>5816</v>
      </c>
      <c r="K1040" s="56" t="n">
        <v>1</v>
      </c>
      <c r="L1040" s="52" t="s">
        <v>5816</v>
      </c>
      <c r="M1040" s="52" t="s">
        <v>189</v>
      </c>
    </row>
    <row r="1041" customFormat="false" ht="17.25" hidden="false" customHeight="true" outlineLevel="0" collapsed="false">
      <c r="A1041" s="52" t="s">
        <v>5777</v>
      </c>
      <c r="B1041" s="52" t="s">
        <v>5813</v>
      </c>
      <c r="C1041" s="53" t="n">
        <v>475467</v>
      </c>
      <c r="D1041" s="52" t="s">
        <v>2373</v>
      </c>
      <c r="E1041" s="52" t="s">
        <v>2374</v>
      </c>
      <c r="F1041" s="54" t="n">
        <v>4</v>
      </c>
      <c r="G1041" s="55" t="n">
        <v>878</v>
      </c>
      <c r="H1041" s="55" t="n">
        <v>219.5</v>
      </c>
      <c r="I1041" s="55" t="n">
        <v>219.5</v>
      </c>
      <c r="J1041" s="52" t="s">
        <v>5816</v>
      </c>
      <c r="K1041" s="56" t="n">
        <v>1</v>
      </c>
      <c r="L1041" s="52" t="s">
        <v>5816</v>
      </c>
      <c r="M1041" s="52" t="s">
        <v>247</v>
      </c>
    </row>
    <row r="1042" customFormat="false" ht="17.25" hidden="false" customHeight="true" outlineLevel="0" collapsed="false">
      <c r="A1042" s="52" t="s">
        <v>5777</v>
      </c>
      <c r="B1042" s="52" t="s">
        <v>5813</v>
      </c>
      <c r="C1042" s="53" t="n">
        <v>955971</v>
      </c>
      <c r="D1042" s="52" t="s">
        <v>2375</v>
      </c>
      <c r="E1042" s="52" t="s">
        <v>2376</v>
      </c>
      <c r="F1042" s="54" t="n">
        <v>5</v>
      </c>
      <c r="G1042" s="55" t="n">
        <v>874.5</v>
      </c>
      <c r="H1042" s="55" t="n">
        <v>174.9</v>
      </c>
      <c r="I1042" s="55" t="n">
        <v>174.9</v>
      </c>
      <c r="J1042" s="52" t="s">
        <v>5816</v>
      </c>
      <c r="K1042" s="56" t="n">
        <v>1</v>
      </c>
      <c r="L1042" s="52" t="s">
        <v>5816</v>
      </c>
      <c r="M1042" s="52" t="s">
        <v>835</v>
      </c>
    </row>
    <row r="1043" customFormat="false" ht="17.25" hidden="false" customHeight="true" outlineLevel="0" collapsed="false">
      <c r="A1043" s="52" t="s">
        <v>5777</v>
      </c>
      <c r="B1043" s="52" t="s">
        <v>5813</v>
      </c>
      <c r="C1043" s="53" t="n">
        <v>1486850</v>
      </c>
      <c r="D1043" s="52" t="s">
        <v>2377</v>
      </c>
      <c r="E1043" s="57" t="s">
        <v>5899</v>
      </c>
      <c r="F1043" s="54" t="n">
        <v>9</v>
      </c>
      <c r="G1043" s="55" t="n">
        <v>871.32</v>
      </c>
      <c r="H1043" s="55" t="n">
        <v>96.8133</v>
      </c>
      <c r="I1043" s="55" t="n">
        <v>11.58</v>
      </c>
      <c r="J1043" s="52" t="s">
        <v>5816</v>
      </c>
      <c r="K1043" s="56" t="n">
        <v>1</v>
      </c>
      <c r="L1043" s="52" t="s">
        <v>5816</v>
      </c>
      <c r="M1043" s="52" t="s">
        <v>38</v>
      </c>
    </row>
    <row r="1044" customFormat="false" ht="17.25" hidden="false" customHeight="true" outlineLevel="0" collapsed="false">
      <c r="A1044" s="52" t="s">
        <v>5777</v>
      </c>
      <c r="B1044" s="52" t="s">
        <v>5813</v>
      </c>
      <c r="C1044" s="53" t="n">
        <v>18137</v>
      </c>
      <c r="D1044" s="52" t="s">
        <v>2379</v>
      </c>
      <c r="E1044" s="52" t="s">
        <v>2380</v>
      </c>
      <c r="F1044" s="54" t="n">
        <v>12</v>
      </c>
      <c r="G1044" s="55" t="n">
        <v>867.03</v>
      </c>
      <c r="H1044" s="55" t="n">
        <v>72.2525</v>
      </c>
      <c r="I1044" s="55" t="n">
        <v>65</v>
      </c>
      <c r="J1044" s="52" t="s">
        <v>5816</v>
      </c>
      <c r="K1044" s="56" t="n">
        <v>1</v>
      </c>
      <c r="L1044" s="52" t="s">
        <v>5816</v>
      </c>
      <c r="M1044" s="52" t="s">
        <v>130</v>
      </c>
    </row>
    <row r="1045" customFormat="false" ht="17.25" hidden="false" customHeight="true" outlineLevel="0" collapsed="false">
      <c r="A1045" s="52" t="s">
        <v>5777</v>
      </c>
      <c r="B1045" s="52" t="s">
        <v>5813</v>
      </c>
      <c r="C1045" s="53" t="n">
        <v>1327438</v>
      </c>
      <c r="D1045" s="52" t="s">
        <v>2381</v>
      </c>
      <c r="E1045" s="52" t="s">
        <v>2382</v>
      </c>
      <c r="F1045" s="54" t="n">
        <v>4</v>
      </c>
      <c r="G1045" s="55" t="n">
        <v>864.37</v>
      </c>
      <c r="H1045" s="55" t="n">
        <v>216.0925</v>
      </c>
      <c r="I1045" s="55" t="n">
        <v>216.0925</v>
      </c>
      <c r="J1045" s="52" t="s">
        <v>5818</v>
      </c>
      <c r="K1045" s="56" t="n">
        <v>1</v>
      </c>
      <c r="L1045" s="52" t="s">
        <v>5816</v>
      </c>
      <c r="M1045" s="52" t="s">
        <v>38</v>
      </c>
    </row>
    <row r="1046" customFormat="false" ht="17.25" hidden="false" customHeight="true" outlineLevel="0" collapsed="false">
      <c r="A1046" s="52" t="s">
        <v>5777</v>
      </c>
      <c r="B1046" s="52" t="s">
        <v>5813</v>
      </c>
      <c r="C1046" s="53" t="n">
        <v>1656586</v>
      </c>
      <c r="D1046" s="52" t="s">
        <v>2383</v>
      </c>
      <c r="E1046" s="52" t="s">
        <v>2384</v>
      </c>
      <c r="F1046" s="54" t="n">
        <v>15</v>
      </c>
      <c r="G1046" s="55" t="n">
        <v>864.27</v>
      </c>
      <c r="H1046" s="55" t="n">
        <v>57.618</v>
      </c>
      <c r="I1046" s="55" t="n">
        <v>57.618</v>
      </c>
      <c r="J1046" s="52" t="s">
        <v>5816</v>
      </c>
      <c r="K1046" s="56" t="n">
        <v>1</v>
      </c>
      <c r="L1046" s="52" t="s">
        <v>5816</v>
      </c>
      <c r="M1046" s="52" t="s">
        <v>217</v>
      </c>
    </row>
    <row r="1047" customFormat="false" ht="17.25" hidden="false" customHeight="true" outlineLevel="0" collapsed="false">
      <c r="A1047" s="52" t="s">
        <v>5777</v>
      </c>
      <c r="B1047" s="52" t="s">
        <v>5813</v>
      </c>
      <c r="C1047" s="53" t="n">
        <v>1614270</v>
      </c>
      <c r="D1047" s="52" t="s">
        <v>2387</v>
      </c>
      <c r="E1047" s="52" t="s">
        <v>2388</v>
      </c>
      <c r="F1047" s="54" t="n">
        <v>4</v>
      </c>
      <c r="G1047" s="55" t="n">
        <v>862.77</v>
      </c>
      <c r="H1047" s="55" t="n">
        <v>215.6925</v>
      </c>
      <c r="I1047" s="55" t="n">
        <v>229.405</v>
      </c>
      <c r="J1047" s="52" t="s">
        <v>5816</v>
      </c>
      <c r="K1047" s="56" t="n">
        <v>1</v>
      </c>
      <c r="L1047" s="52" t="s">
        <v>5816</v>
      </c>
      <c r="M1047" s="52" t="s">
        <v>38</v>
      </c>
    </row>
    <row r="1048" customFormat="false" ht="17.25" hidden="false" customHeight="true" outlineLevel="0" collapsed="false">
      <c r="A1048" s="52" t="s">
        <v>5777</v>
      </c>
      <c r="B1048" s="52" t="s">
        <v>5813</v>
      </c>
      <c r="C1048" s="53" t="n">
        <v>352386</v>
      </c>
      <c r="D1048" s="52" t="s">
        <v>2389</v>
      </c>
      <c r="E1048" s="52" t="s">
        <v>2390</v>
      </c>
      <c r="F1048" s="54" t="n">
        <v>88</v>
      </c>
      <c r="G1048" s="55" t="n">
        <v>862.4</v>
      </c>
      <c r="H1048" s="55" t="n">
        <v>9.8</v>
      </c>
      <c r="I1048" s="55" t="n">
        <v>9.8</v>
      </c>
      <c r="J1048" s="52" t="s">
        <v>5816</v>
      </c>
      <c r="K1048" s="56" t="n">
        <v>1</v>
      </c>
      <c r="L1048" s="52" t="s">
        <v>5816</v>
      </c>
      <c r="M1048" s="52" t="s">
        <v>130</v>
      </c>
    </row>
    <row r="1049" customFormat="false" ht="17.25" hidden="false" customHeight="true" outlineLevel="0" collapsed="false">
      <c r="A1049" s="52" t="s">
        <v>5777</v>
      </c>
      <c r="B1049" s="52" t="s">
        <v>5813</v>
      </c>
      <c r="C1049" s="53" t="n">
        <v>18140</v>
      </c>
      <c r="D1049" s="52" t="s">
        <v>2391</v>
      </c>
      <c r="E1049" s="52" t="s">
        <v>2392</v>
      </c>
      <c r="F1049" s="54" t="n">
        <v>10</v>
      </c>
      <c r="G1049" s="55" t="n">
        <v>860</v>
      </c>
      <c r="H1049" s="55" t="n">
        <v>86</v>
      </c>
      <c r="I1049" s="55" t="n">
        <v>86</v>
      </c>
      <c r="J1049" s="52" t="s">
        <v>5816</v>
      </c>
      <c r="K1049" s="56" t="n">
        <v>1</v>
      </c>
      <c r="L1049" s="52" t="s">
        <v>5816</v>
      </c>
      <c r="M1049" s="52" t="s">
        <v>130</v>
      </c>
    </row>
    <row r="1050" customFormat="false" ht="17.25" hidden="false" customHeight="true" outlineLevel="0" collapsed="false">
      <c r="A1050" s="52" t="s">
        <v>5777</v>
      </c>
      <c r="B1050" s="52" t="s">
        <v>5813</v>
      </c>
      <c r="C1050" s="53" t="n">
        <v>1087553</v>
      </c>
      <c r="D1050" s="52" t="s">
        <v>2393</v>
      </c>
      <c r="E1050" s="52" t="s">
        <v>2394</v>
      </c>
      <c r="F1050" s="54" t="n">
        <v>4</v>
      </c>
      <c r="G1050" s="55" t="n">
        <v>858.42</v>
      </c>
      <c r="H1050" s="55" t="n">
        <v>214.605</v>
      </c>
      <c r="I1050" s="55" t="n">
        <v>203.31</v>
      </c>
      <c r="J1050" s="52" t="s">
        <v>5816</v>
      </c>
      <c r="K1050" s="56" t="n">
        <v>1</v>
      </c>
      <c r="L1050" s="52" t="s">
        <v>5816</v>
      </c>
      <c r="M1050" s="52" t="s">
        <v>1095</v>
      </c>
    </row>
    <row r="1051" customFormat="false" ht="17.25" hidden="false" customHeight="true" outlineLevel="0" collapsed="false">
      <c r="A1051" s="52" t="s">
        <v>5777</v>
      </c>
      <c r="B1051" s="52" t="s">
        <v>5813</v>
      </c>
      <c r="C1051" s="53" t="n">
        <v>1385084</v>
      </c>
      <c r="D1051" s="52" t="s">
        <v>2395</v>
      </c>
      <c r="E1051" s="52" t="s">
        <v>2396</v>
      </c>
      <c r="F1051" s="54" t="n">
        <v>150</v>
      </c>
      <c r="G1051" s="55" t="n">
        <v>853.4</v>
      </c>
      <c r="H1051" s="55" t="n">
        <v>5.6893</v>
      </c>
      <c r="I1051" s="55" t="n">
        <v>4.28</v>
      </c>
      <c r="J1051" s="52" t="s">
        <v>5814</v>
      </c>
      <c r="K1051" s="56" t="n">
        <v>1</v>
      </c>
      <c r="L1051" s="52" t="s">
        <v>5814</v>
      </c>
      <c r="M1051" s="52" t="s">
        <v>38</v>
      </c>
    </row>
    <row r="1052" customFormat="false" ht="17.25" hidden="false" customHeight="true" outlineLevel="0" collapsed="false">
      <c r="A1052" s="52" t="s">
        <v>5777</v>
      </c>
      <c r="B1052" s="52" t="s">
        <v>5813</v>
      </c>
      <c r="C1052" s="53" t="n">
        <v>292795</v>
      </c>
      <c r="D1052" s="52" t="s">
        <v>2399</v>
      </c>
      <c r="E1052" s="52" t="s">
        <v>2400</v>
      </c>
      <c r="F1052" s="54" t="n">
        <v>31</v>
      </c>
      <c r="G1052" s="55" t="n">
        <v>849.38</v>
      </c>
      <c r="H1052" s="55" t="n">
        <v>27.3994</v>
      </c>
      <c r="I1052" s="55" t="n">
        <v>61.088</v>
      </c>
      <c r="J1052" s="52" t="s">
        <v>5816</v>
      </c>
      <c r="K1052" s="56" t="n">
        <v>1</v>
      </c>
      <c r="L1052" s="52" t="s">
        <v>5816</v>
      </c>
      <c r="M1052" s="52" t="s">
        <v>247</v>
      </c>
    </row>
    <row r="1053" customFormat="false" ht="17.25" hidden="false" customHeight="true" outlineLevel="0" collapsed="false">
      <c r="A1053" s="52" t="s">
        <v>5777</v>
      </c>
      <c r="B1053" s="52" t="s">
        <v>5813</v>
      </c>
      <c r="C1053" s="53" t="n">
        <v>1466627</v>
      </c>
      <c r="D1053" s="52" t="s">
        <v>2401</v>
      </c>
      <c r="E1053" s="52" t="s">
        <v>2402</v>
      </c>
      <c r="F1053" s="54" t="n">
        <v>40</v>
      </c>
      <c r="G1053" s="55" t="n">
        <v>846.4</v>
      </c>
      <c r="H1053" s="55" t="n">
        <v>21.16</v>
      </c>
      <c r="I1053" s="55" t="n">
        <v>19.29</v>
      </c>
      <c r="J1053" s="52" t="s">
        <v>5816</v>
      </c>
      <c r="K1053" s="56" t="n">
        <v>1</v>
      </c>
      <c r="L1053" s="52" t="s">
        <v>5816</v>
      </c>
      <c r="M1053" s="52" t="s">
        <v>38</v>
      </c>
    </row>
    <row r="1054" customFormat="false" ht="17.25" hidden="false" customHeight="true" outlineLevel="0" collapsed="false">
      <c r="A1054" s="52" t="s">
        <v>5777</v>
      </c>
      <c r="B1054" s="52" t="s">
        <v>5813</v>
      </c>
      <c r="C1054" s="53" t="n">
        <v>21136</v>
      </c>
      <c r="D1054" s="52" t="s">
        <v>2403</v>
      </c>
      <c r="E1054" s="52" t="s">
        <v>2404</v>
      </c>
      <c r="F1054" s="54" t="n">
        <v>96</v>
      </c>
      <c r="G1054" s="55" t="n">
        <v>843.84</v>
      </c>
      <c r="H1054" s="55" t="n">
        <v>8.79</v>
      </c>
      <c r="I1054" s="55" t="n">
        <v>8.79</v>
      </c>
      <c r="J1054" s="52" t="s">
        <v>5816</v>
      </c>
      <c r="K1054" s="56" t="n">
        <v>1</v>
      </c>
      <c r="L1054" s="52" t="s">
        <v>5816</v>
      </c>
      <c r="M1054" s="52" t="s">
        <v>605</v>
      </c>
    </row>
    <row r="1055" customFormat="false" ht="17.25" hidden="false" customHeight="true" outlineLevel="0" collapsed="false">
      <c r="A1055" s="52" t="s">
        <v>5777</v>
      </c>
      <c r="B1055" s="52" t="s">
        <v>5813</v>
      </c>
      <c r="C1055" s="53" t="n">
        <v>385221</v>
      </c>
      <c r="D1055" s="52" t="s">
        <v>2405</v>
      </c>
      <c r="E1055" s="52" t="s">
        <v>2406</v>
      </c>
      <c r="F1055" s="54" t="n">
        <v>1</v>
      </c>
      <c r="G1055" s="55" t="n">
        <v>843</v>
      </c>
      <c r="H1055" s="55" t="n">
        <v>843</v>
      </c>
      <c r="I1055" s="55" t="n">
        <v>843</v>
      </c>
      <c r="J1055" s="52" t="s">
        <v>5816</v>
      </c>
      <c r="K1055" s="56" t="n">
        <v>1</v>
      </c>
      <c r="L1055" s="52" t="s">
        <v>5816</v>
      </c>
      <c r="M1055" s="52" t="s">
        <v>35</v>
      </c>
    </row>
    <row r="1056" customFormat="false" ht="17.25" hidden="false" customHeight="true" outlineLevel="0" collapsed="false">
      <c r="A1056" s="52" t="s">
        <v>5777</v>
      </c>
      <c r="B1056" s="52" t="s">
        <v>5813</v>
      </c>
      <c r="C1056" s="53" t="n">
        <v>1614512</v>
      </c>
      <c r="D1056" s="52" t="s">
        <v>2407</v>
      </c>
      <c r="E1056" s="52" t="s">
        <v>2408</v>
      </c>
      <c r="F1056" s="54" t="n">
        <v>103</v>
      </c>
      <c r="G1056" s="55" t="n">
        <v>842.42</v>
      </c>
      <c r="H1056" s="55" t="n">
        <v>8.1788</v>
      </c>
      <c r="I1056" s="55" t="n">
        <v>5.09</v>
      </c>
      <c r="J1056" s="52" t="s">
        <v>5816</v>
      </c>
      <c r="K1056" s="56" t="n">
        <v>1</v>
      </c>
      <c r="L1056" s="52" t="s">
        <v>5816</v>
      </c>
      <c r="M1056" s="52" t="s">
        <v>38</v>
      </c>
    </row>
    <row r="1057" customFormat="false" ht="17.25" hidden="false" customHeight="true" outlineLevel="0" collapsed="false">
      <c r="A1057" s="52" t="s">
        <v>5777</v>
      </c>
      <c r="B1057" s="52" t="s">
        <v>5813</v>
      </c>
      <c r="C1057" s="53" t="n">
        <v>22294</v>
      </c>
      <c r="D1057" s="52" t="s">
        <v>2409</v>
      </c>
      <c r="E1057" s="52" t="s">
        <v>2410</v>
      </c>
      <c r="F1057" s="54" t="n">
        <v>26</v>
      </c>
      <c r="G1057" s="55" t="n">
        <v>842.4</v>
      </c>
      <c r="H1057" s="55" t="n">
        <v>32.4</v>
      </c>
      <c r="I1057" s="55" t="n">
        <v>32.4</v>
      </c>
      <c r="J1057" s="52" t="s">
        <v>5816</v>
      </c>
      <c r="K1057" s="56" t="n">
        <v>1</v>
      </c>
      <c r="L1057" s="52" t="s">
        <v>5816</v>
      </c>
      <c r="M1057" s="52" t="s">
        <v>54</v>
      </c>
    </row>
    <row r="1058" customFormat="false" ht="17.25" hidden="false" customHeight="true" outlineLevel="0" collapsed="false">
      <c r="A1058" s="52" t="s">
        <v>5777</v>
      </c>
      <c r="B1058" s="52" t="s">
        <v>5813</v>
      </c>
      <c r="C1058" s="53" t="n">
        <v>22636</v>
      </c>
      <c r="D1058" s="52" t="s">
        <v>2411</v>
      </c>
      <c r="E1058" s="52" t="s">
        <v>2412</v>
      </c>
      <c r="F1058" s="54" t="n">
        <v>1050</v>
      </c>
      <c r="G1058" s="55" t="n">
        <v>840</v>
      </c>
      <c r="H1058" s="55" t="n">
        <v>0.8</v>
      </c>
      <c r="I1058" s="55" t="n">
        <v>0.8</v>
      </c>
      <c r="J1058" s="52" t="s">
        <v>5816</v>
      </c>
      <c r="K1058" s="56" t="n">
        <v>1</v>
      </c>
      <c r="L1058" s="52" t="s">
        <v>5816</v>
      </c>
      <c r="M1058" s="52" t="s">
        <v>100</v>
      </c>
    </row>
    <row r="1059" customFormat="false" ht="17.25" hidden="false" customHeight="true" outlineLevel="0" collapsed="false">
      <c r="A1059" s="52" t="s">
        <v>5777</v>
      </c>
      <c r="B1059" s="52" t="s">
        <v>5813</v>
      </c>
      <c r="C1059" s="53" t="n">
        <v>34538</v>
      </c>
      <c r="D1059" s="52" t="s">
        <v>2413</v>
      </c>
      <c r="E1059" s="52" t="s">
        <v>2414</v>
      </c>
      <c r="F1059" s="54" t="n">
        <v>3</v>
      </c>
      <c r="G1059" s="55" t="n">
        <v>840</v>
      </c>
      <c r="H1059" s="55" t="n">
        <v>280</v>
      </c>
      <c r="I1059" s="55" t="n">
        <v>280</v>
      </c>
      <c r="J1059" s="52" t="s">
        <v>5816</v>
      </c>
      <c r="K1059" s="56" t="n">
        <v>1</v>
      </c>
      <c r="L1059" s="52" t="s">
        <v>5816</v>
      </c>
      <c r="M1059" s="52" t="s">
        <v>130</v>
      </c>
    </row>
    <row r="1060" customFormat="false" ht="17.25" hidden="false" customHeight="true" outlineLevel="0" collapsed="false">
      <c r="A1060" s="52" t="s">
        <v>5777</v>
      </c>
      <c r="B1060" s="52" t="s">
        <v>5813</v>
      </c>
      <c r="C1060" s="53" t="n">
        <v>426452</v>
      </c>
      <c r="D1060" s="52" t="s">
        <v>2415</v>
      </c>
      <c r="E1060" s="52" t="s">
        <v>2416</v>
      </c>
      <c r="F1060" s="54" t="n">
        <v>73</v>
      </c>
      <c r="G1060" s="55" t="n">
        <v>834.39</v>
      </c>
      <c r="H1060" s="55" t="n">
        <v>11.43</v>
      </c>
      <c r="I1060" s="55" t="n">
        <v>9.7779</v>
      </c>
      <c r="J1060" s="52" t="s">
        <v>5822</v>
      </c>
      <c r="K1060" s="56" t="n">
        <v>1</v>
      </c>
      <c r="L1060" s="52" t="s">
        <v>5822</v>
      </c>
      <c r="M1060" s="52" t="s">
        <v>133</v>
      </c>
    </row>
    <row r="1061" customFormat="false" ht="17.25" hidden="false" customHeight="true" outlineLevel="0" collapsed="false">
      <c r="A1061" s="52" t="s">
        <v>5777</v>
      </c>
      <c r="B1061" s="52" t="s">
        <v>5813</v>
      </c>
      <c r="C1061" s="53" t="n">
        <v>1602006</v>
      </c>
      <c r="D1061" s="52" t="s">
        <v>2417</v>
      </c>
      <c r="E1061" s="52" t="s">
        <v>2418</v>
      </c>
      <c r="F1061" s="54" t="n">
        <v>4</v>
      </c>
      <c r="G1061" s="55" t="n">
        <v>834</v>
      </c>
      <c r="H1061" s="55" t="n">
        <v>208.5</v>
      </c>
      <c r="I1061" s="55" t="n">
        <v>208.5</v>
      </c>
      <c r="J1061" s="52" t="s">
        <v>5822</v>
      </c>
      <c r="K1061" s="56" t="n">
        <v>1</v>
      </c>
      <c r="L1061" s="52" t="s">
        <v>5822</v>
      </c>
      <c r="M1061" s="52" t="s">
        <v>230</v>
      </c>
    </row>
    <row r="1062" customFormat="false" ht="17.25" hidden="false" customHeight="true" outlineLevel="0" collapsed="false">
      <c r="A1062" s="52" t="s">
        <v>5777</v>
      </c>
      <c r="B1062" s="52" t="s">
        <v>5813</v>
      </c>
      <c r="C1062" s="53" t="n">
        <v>1090959</v>
      </c>
      <c r="D1062" s="52" t="s">
        <v>2419</v>
      </c>
      <c r="E1062" s="52" t="s">
        <v>5900</v>
      </c>
      <c r="F1062" s="54" t="n">
        <v>9</v>
      </c>
      <c r="G1062" s="55" t="n">
        <v>831.6</v>
      </c>
      <c r="H1062" s="55" t="n">
        <v>92.4</v>
      </c>
      <c r="I1062" s="55" t="n">
        <v>91.6</v>
      </c>
      <c r="J1062" s="52" t="s">
        <v>5816</v>
      </c>
      <c r="K1062" s="56" t="n">
        <v>1</v>
      </c>
      <c r="L1062" s="52" t="s">
        <v>5816</v>
      </c>
      <c r="M1062" s="52" t="s">
        <v>38</v>
      </c>
    </row>
    <row r="1063" customFormat="false" ht="17.25" hidden="false" customHeight="true" outlineLevel="0" collapsed="false">
      <c r="A1063" s="52" t="s">
        <v>5777</v>
      </c>
      <c r="B1063" s="52" t="s">
        <v>5813</v>
      </c>
      <c r="C1063" s="53" t="n">
        <v>232841</v>
      </c>
      <c r="D1063" s="52" t="s">
        <v>2421</v>
      </c>
      <c r="E1063" s="52" t="s">
        <v>2422</v>
      </c>
      <c r="F1063" s="54" t="n">
        <v>9</v>
      </c>
      <c r="G1063" s="55" t="n">
        <v>831.56</v>
      </c>
      <c r="H1063" s="55" t="n">
        <v>92.3956</v>
      </c>
      <c r="I1063" s="55" t="n">
        <v>77</v>
      </c>
      <c r="J1063" s="52" t="s">
        <v>5831</v>
      </c>
      <c r="K1063" s="56" t="n">
        <v>1</v>
      </c>
      <c r="L1063" s="52" t="s">
        <v>5831</v>
      </c>
      <c r="M1063" s="52" t="s">
        <v>247</v>
      </c>
    </row>
    <row r="1064" customFormat="false" ht="17.25" hidden="false" customHeight="true" outlineLevel="0" collapsed="false">
      <c r="A1064" s="52" t="s">
        <v>5777</v>
      </c>
      <c r="B1064" s="52" t="s">
        <v>5813</v>
      </c>
      <c r="C1064" s="53" t="n">
        <v>831919</v>
      </c>
      <c r="D1064" s="52" t="s">
        <v>2423</v>
      </c>
      <c r="E1064" s="52" t="s">
        <v>2424</v>
      </c>
      <c r="F1064" s="54" t="n">
        <v>9</v>
      </c>
      <c r="G1064" s="55" t="n">
        <v>831.56</v>
      </c>
      <c r="H1064" s="55" t="n">
        <v>92.3956</v>
      </c>
      <c r="I1064" s="55" t="n">
        <v>77</v>
      </c>
      <c r="J1064" s="52" t="s">
        <v>5816</v>
      </c>
      <c r="K1064" s="56" t="n">
        <v>1</v>
      </c>
      <c r="L1064" s="52" t="s">
        <v>5816</v>
      </c>
      <c r="M1064" s="52" t="s">
        <v>247</v>
      </c>
    </row>
    <row r="1065" customFormat="false" ht="17.25" hidden="false" customHeight="true" outlineLevel="0" collapsed="false">
      <c r="A1065" s="52" t="s">
        <v>5777</v>
      </c>
      <c r="B1065" s="52" t="s">
        <v>5813</v>
      </c>
      <c r="C1065" s="53" t="n">
        <v>136019</v>
      </c>
      <c r="D1065" s="52" t="s">
        <v>2425</v>
      </c>
      <c r="E1065" s="52" t="s">
        <v>2426</v>
      </c>
      <c r="F1065" s="54" t="n">
        <v>70</v>
      </c>
      <c r="G1065" s="55" t="n">
        <v>830.9</v>
      </c>
      <c r="H1065" s="55" t="n">
        <v>11.87</v>
      </c>
      <c r="I1065" s="55" t="n">
        <v>11.87</v>
      </c>
      <c r="J1065" s="52" t="s">
        <v>5815</v>
      </c>
      <c r="K1065" s="56" t="n">
        <v>1</v>
      </c>
      <c r="L1065" s="52" t="s">
        <v>5815</v>
      </c>
      <c r="M1065" s="52" t="s">
        <v>230</v>
      </c>
    </row>
    <row r="1066" customFormat="false" ht="17.25" hidden="false" customHeight="true" outlineLevel="0" collapsed="false">
      <c r="A1066" s="52" t="s">
        <v>5777</v>
      </c>
      <c r="B1066" s="52" t="s">
        <v>5813</v>
      </c>
      <c r="C1066" s="53" t="n">
        <v>290639</v>
      </c>
      <c r="D1066" s="52" t="s">
        <v>2427</v>
      </c>
      <c r="E1066" s="52" t="s">
        <v>2428</v>
      </c>
      <c r="F1066" s="54" t="n">
        <v>20</v>
      </c>
      <c r="G1066" s="55" t="n">
        <v>830.8</v>
      </c>
      <c r="H1066" s="55" t="n">
        <v>41.54</v>
      </c>
      <c r="I1066" s="55" t="n">
        <v>41.54</v>
      </c>
      <c r="J1066" s="52" t="s">
        <v>5816</v>
      </c>
      <c r="K1066" s="56" t="n">
        <v>1</v>
      </c>
      <c r="L1066" s="52" t="s">
        <v>5816</v>
      </c>
      <c r="M1066" s="52" t="s">
        <v>54</v>
      </c>
    </row>
    <row r="1067" customFormat="false" ht="17.25" hidden="false" customHeight="true" outlineLevel="0" collapsed="false">
      <c r="A1067" s="52" t="s">
        <v>5777</v>
      </c>
      <c r="B1067" s="52" t="s">
        <v>5813</v>
      </c>
      <c r="C1067" s="53" t="n">
        <v>294962</v>
      </c>
      <c r="D1067" s="52" t="s">
        <v>2429</v>
      </c>
      <c r="E1067" s="52" t="s">
        <v>2430</v>
      </c>
      <c r="F1067" s="54" t="n">
        <v>1</v>
      </c>
      <c r="G1067" s="55" t="n">
        <v>830</v>
      </c>
      <c r="H1067" s="55" t="n">
        <v>830</v>
      </c>
      <c r="I1067" s="55" t="n">
        <v>830</v>
      </c>
      <c r="J1067" s="52" t="s">
        <v>5816</v>
      </c>
      <c r="K1067" s="56" t="n">
        <v>1</v>
      </c>
      <c r="L1067" s="52" t="s">
        <v>5816</v>
      </c>
      <c r="M1067" s="52" t="s">
        <v>637</v>
      </c>
    </row>
    <row r="1068" customFormat="false" ht="17.25" hidden="false" customHeight="true" outlineLevel="0" collapsed="false">
      <c r="A1068" s="52" t="s">
        <v>5777</v>
      </c>
      <c r="B1068" s="52" t="s">
        <v>5813</v>
      </c>
      <c r="C1068" s="53" t="n">
        <v>352263</v>
      </c>
      <c r="D1068" s="52" t="s">
        <v>2431</v>
      </c>
      <c r="E1068" s="52" t="s">
        <v>2432</v>
      </c>
      <c r="F1068" s="54" t="n">
        <v>10</v>
      </c>
      <c r="G1068" s="55" t="n">
        <v>830</v>
      </c>
      <c r="H1068" s="55" t="n">
        <v>83</v>
      </c>
      <c r="I1068" s="55" t="n">
        <v>83</v>
      </c>
      <c r="J1068" s="52" t="s">
        <v>5816</v>
      </c>
      <c r="K1068" s="56" t="n">
        <v>1</v>
      </c>
      <c r="L1068" s="52" t="s">
        <v>5816</v>
      </c>
      <c r="M1068" s="52" t="s">
        <v>637</v>
      </c>
    </row>
    <row r="1069" customFormat="false" ht="17.25" hidden="false" customHeight="true" outlineLevel="0" collapsed="false">
      <c r="A1069" s="52" t="s">
        <v>5777</v>
      </c>
      <c r="B1069" s="52" t="s">
        <v>5813</v>
      </c>
      <c r="C1069" s="53" t="n">
        <v>89785</v>
      </c>
      <c r="D1069" s="52" t="s">
        <v>2433</v>
      </c>
      <c r="E1069" s="52" t="s">
        <v>2434</v>
      </c>
      <c r="F1069" s="54" t="n">
        <v>75</v>
      </c>
      <c r="G1069" s="55" t="n">
        <v>828.75</v>
      </c>
      <c r="H1069" s="55" t="n">
        <v>11.05</v>
      </c>
      <c r="I1069" s="55" t="n">
        <v>11.05</v>
      </c>
      <c r="J1069" s="52" t="s">
        <v>5816</v>
      </c>
      <c r="K1069" s="56" t="n">
        <v>1</v>
      </c>
      <c r="L1069" s="52" t="s">
        <v>5816</v>
      </c>
      <c r="M1069" s="52" t="s">
        <v>54</v>
      </c>
    </row>
    <row r="1070" customFormat="false" ht="17.25" hidden="false" customHeight="true" outlineLevel="0" collapsed="false">
      <c r="A1070" s="52" t="s">
        <v>5777</v>
      </c>
      <c r="B1070" s="52" t="s">
        <v>5813</v>
      </c>
      <c r="C1070" s="53" t="n">
        <v>887569</v>
      </c>
      <c r="D1070" s="52" t="s">
        <v>2435</v>
      </c>
      <c r="E1070" s="52" t="s">
        <v>2436</v>
      </c>
      <c r="F1070" s="54" t="n">
        <v>28</v>
      </c>
      <c r="G1070" s="55" t="n">
        <v>826</v>
      </c>
      <c r="H1070" s="55" t="n">
        <v>29.5</v>
      </c>
      <c r="I1070" s="55" t="n">
        <v>29.5</v>
      </c>
      <c r="J1070" s="52" t="s">
        <v>5816</v>
      </c>
      <c r="K1070" s="56" t="n">
        <v>1</v>
      </c>
      <c r="L1070" s="52" t="s">
        <v>5816</v>
      </c>
      <c r="M1070" s="52" t="s">
        <v>54</v>
      </c>
    </row>
    <row r="1071" customFormat="false" ht="17.25" hidden="false" customHeight="true" outlineLevel="0" collapsed="false">
      <c r="A1071" s="52" t="s">
        <v>5777</v>
      </c>
      <c r="B1071" s="52" t="s">
        <v>5813</v>
      </c>
      <c r="C1071" s="53" t="n">
        <v>1014187</v>
      </c>
      <c r="D1071" s="52" t="s">
        <v>2437</v>
      </c>
      <c r="E1071" s="52" t="s">
        <v>2438</v>
      </c>
      <c r="F1071" s="54" t="n">
        <v>5</v>
      </c>
      <c r="G1071" s="55" t="n">
        <v>825</v>
      </c>
      <c r="H1071" s="55" t="n">
        <v>165</v>
      </c>
      <c r="I1071" s="55" t="n">
        <v>165</v>
      </c>
      <c r="J1071" s="52" t="s">
        <v>5816</v>
      </c>
      <c r="K1071" s="56" t="n">
        <v>1</v>
      </c>
      <c r="L1071" s="52" t="s">
        <v>5816</v>
      </c>
      <c r="M1071" s="52" t="s">
        <v>130</v>
      </c>
    </row>
    <row r="1072" customFormat="false" ht="17.25" hidden="false" customHeight="true" outlineLevel="0" collapsed="false">
      <c r="A1072" s="52" t="s">
        <v>5777</v>
      </c>
      <c r="B1072" s="52" t="s">
        <v>5813</v>
      </c>
      <c r="C1072" s="53" t="n">
        <v>1607244</v>
      </c>
      <c r="D1072" s="52" t="s">
        <v>2439</v>
      </c>
      <c r="E1072" s="52" t="s">
        <v>2440</v>
      </c>
      <c r="F1072" s="54" t="n">
        <v>50</v>
      </c>
      <c r="G1072" s="55" t="n">
        <v>824.5</v>
      </c>
      <c r="H1072" s="55" t="n">
        <v>16.49</v>
      </c>
      <c r="I1072" s="55" t="n">
        <v>16.49</v>
      </c>
      <c r="J1072" s="52" t="s">
        <v>5816</v>
      </c>
      <c r="K1072" s="56" t="n">
        <v>1</v>
      </c>
      <c r="L1072" s="52" t="s">
        <v>5816</v>
      </c>
      <c r="M1072" s="52" t="s">
        <v>38</v>
      </c>
    </row>
    <row r="1073" customFormat="false" ht="17.25" hidden="false" customHeight="true" outlineLevel="0" collapsed="false">
      <c r="A1073" s="52" t="s">
        <v>5777</v>
      </c>
      <c r="B1073" s="52" t="s">
        <v>5813</v>
      </c>
      <c r="C1073" s="53" t="n">
        <v>1462147</v>
      </c>
      <c r="D1073" s="52" t="s">
        <v>2441</v>
      </c>
      <c r="E1073" s="52" t="s">
        <v>2442</v>
      </c>
      <c r="F1073" s="54" t="n">
        <v>2</v>
      </c>
      <c r="G1073" s="55" t="n">
        <v>824</v>
      </c>
      <c r="H1073" s="55" t="n">
        <v>412</v>
      </c>
      <c r="I1073" s="55" t="n">
        <v>412</v>
      </c>
      <c r="J1073" s="52" t="s">
        <v>5816</v>
      </c>
      <c r="K1073" s="56" t="n">
        <v>1</v>
      </c>
      <c r="L1073" s="52" t="s">
        <v>5816</v>
      </c>
      <c r="M1073" s="52" t="s">
        <v>66</v>
      </c>
    </row>
    <row r="1074" customFormat="false" ht="17.25" hidden="false" customHeight="true" outlineLevel="0" collapsed="false">
      <c r="A1074" s="52" t="s">
        <v>5777</v>
      </c>
      <c r="B1074" s="52" t="s">
        <v>5813</v>
      </c>
      <c r="C1074" s="53" t="n">
        <v>1607588</v>
      </c>
      <c r="D1074" s="52" t="s">
        <v>2443</v>
      </c>
      <c r="E1074" s="52" t="s">
        <v>2444</v>
      </c>
      <c r="F1074" s="54" t="n">
        <v>2</v>
      </c>
      <c r="G1074" s="55" t="n">
        <v>824</v>
      </c>
      <c r="H1074" s="55" t="n">
        <v>412</v>
      </c>
      <c r="I1074" s="55" t="n">
        <v>412</v>
      </c>
      <c r="J1074" s="52" t="s">
        <v>5816</v>
      </c>
      <c r="K1074" s="56" t="n">
        <v>1</v>
      </c>
      <c r="L1074" s="52" t="s">
        <v>5816</v>
      </c>
      <c r="M1074" s="52" t="s">
        <v>38</v>
      </c>
    </row>
    <row r="1075" customFormat="false" ht="17.25" hidden="false" customHeight="true" outlineLevel="0" collapsed="false">
      <c r="A1075" s="52" t="s">
        <v>5777</v>
      </c>
      <c r="B1075" s="52" t="s">
        <v>5813</v>
      </c>
      <c r="C1075" s="53" t="n">
        <v>727092</v>
      </c>
      <c r="D1075" s="52" t="s">
        <v>2445</v>
      </c>
      <c r="E1075" s="52" t="s">
        <v>2446</v>
      </c>
      <c r="F1075" s="54" t="n">
        <v>48</v>
      </c>
      <c r="G1075" s="55" t="n">
        <v>823.16</v>
      </c>
      <c r="H1075" s="55" t="n">
        <v>17.1492</v>
      </c>
      <c r="I1075" s="55" t="n">
        <v>19.57</v>
      </c>
      <c r="J1075" s="52" t="s">
        <v>5816</v>
      </c>
      <c r="K1075" s="56" t="n">
        <v>1</v>
      </c>
      <c r="L1075" s="52" t="s">
        <v>5816</v>
      </c>
      <c r="M1075" s="52" t="s">
        <v>457</v>
      </c>
    </row>
    <row r="1076" customFormat="false" ht="17.25" hidden="false" customHeight="true" outlineLevel="0" collapsed="false">
      <c r="A1076" s="52" t="s">
        <v>5777</v>
      </c>
      <c r="B1076" s="52" t="s">
        <v>5813</v>
      </c>
      <c r="C1076" s="53" t="n">
        <v>19754</v>
      </c>
      <c r="D1076" s="52" t="s">
        <v>2447</v>
      </c>
      <c r="E1076" s="52" t="s">
        <v>2448</v>
      </c>
      <c r="F1076" s="54" t="n">
        <v>50</v>
      </c>
      <c r="G1076" s="55" t="n">
        <v>816.25</v>
      </c>
      <c r="H1076" s="55" t="n">
        <v>16.325</v>
      </c>
      <c r="I1076" s="55" t="n">
        <v>17</v>
      </c>
      <c r="J1076" s="52" t="s">
        <v>5816</v>
      </c>
      <c r="K1076" s="56" t="n">
        <v>1</v>
      </c>
      <c r="L1076" s="52" t="s">
        <v>5816</v>
      </c>
      <c r="M1076" s="52" t="s">
        <v>605</v>
      </c>
    </row>
    <row r="1077" customFormat="false" ht="17.25" hidden="false" customHeight="true" outlineLevel="0" collapsed="false">
      <c r="A1077" s="52" t="s">
        <v>5777</v>
      </c>
      <c r="B1077" s="52" t="s">
        <v>5813</v>
      </c>
      <c r="C1077" s="53" t="n">
        <v>1661535</v>
      </c>
      <c r="D1077" s="52" t="s">
        <v>2449</v>
      </c>
      <c r="E1077" s="52" t="s">
        <v>2450</v>
      </c>
      <c r="F1077" s="54" t="n">
        <v>17</v>
      </c>
      <c r="G1077" s="55" t="n">
        <v>816</v>
      </c>
      <c r="H1077" s="55" t="n">
        <v>48</v>
      </c>
      <c r="I1077" s="55" t="n">
        <v>48</v>
      </c>
      <c r="J1077" s="52" t="s">
        <v>5816</v>
      </c>
      <c r="K1077" s="56" t="n">
        <v>1</v>
      </c>
      <c r="L1077" s="52" t="s">
        <v>5816</v>
      </c>
      <c r="M1077" s="52" t="s">
        <v>38</v>
      </c>
    </row>
    <row r="1078" customFormat="false" ht="17.25" hidden="false" customHeight="true" outlineLevel="0" collapsed="false">
      <c r="A1078" s="52" t="s">
        <v>5777</v>
      </c>
      <c r="B1078" s="52" t="s">
        <v>5813</v>
      </c>
      <c r="C1078" s="53" t="n">
        <v>17855</v>
      </c>
      <c r="D1078" s="52" t="s">
        <v>2451</v>
      </c>
      <c r="E1078" s="52" t="s">
        <v>2452</v>
      </c>
      <c r="F1078" s="54" t="n">
        <v>2</v>
      </c>
      <c r="G1078" s="55" t="n">
        <v>810</v>
      </c>
      <c r="H1078" s="55" t="n">
        <v>405</v>
      </c>
      <c r="I1078" s="55" t="n">
        <v>130</v>
      </c>
      <c r="J1078" s="52" t="s">
        <v>5816</v>
      </c>
      <c r="K1078" s="56" t="n">
        <v>1</v>
      </c>
      <c r="L1078" s="52" t="s">
        <v>5816</v>
      </c>
      <c r="M1078" s="52" t="s">
        <v>835</v>
      </c>
    </row>
    <row r="1079" customFormat="false" ht="17.25" hidden="false" customHeight="true" outlineLevel="0" collapsed="false">
      <c r="A1079" s="52" t="s">
        <v>5777</v>
      </c>
      <c r="B1079" s="52" t="s">
        <v>5813</v>
      </c>
      <c r="C1079" s="53" t="n">
        <v>17959</v>
      </c>
      <c r="D1079" s="52" t="s">
        <v>2453</v>
      </c>
      <c r="E1079" s="52" t="s">
        <v>2454</v>
      </c>
      <c r="F1079" s="54" t="n">
        <v>8</v>
      </c>
      <c r="G1079" s="55" t="n">
        <v>804.3</v>
      </c>
      <c r="H1079" s="55" t="n">
        <v>100.5375</v>
      </c>
      <c r="I1079" s="55" t="n">
        <v>110.9</v>
      </c>
      <c r="J1079" s="52" t="s">
        <v>5816</v>
      </c>
      <c r="K1079" s="56" t="n">
        <v>1</v>
      </c>
      <c r="L1079" s="52" t="s">
        <v>5816</v>
      </c>
      <c r="M1079" s="52" t="s">
        <v>130</v>
      </c>
    </row>
    <row r="1080" customFormat="false" ht="17.25" hidden="false" customHeight="true" outlineLevel="0" collapsed="false">
      <c r="A1080" s="52" t="s">
        <v>5777</v>
      </c>
      <c r="B1080" s="52" t="s">
        <v>5813</v>
      </c>
      <c r="C1080" s="53" t="n">
        <v>1677685</v>
      </c>
      <c r="D1080" s="52" t="s">
        <v>2455</v>
      </c>
      <c r="E1080" s="52" t="s">
        <v>2456</v>
      </c>
      <c r="F1080" s="54" t="n">
        <v>12</v>
      </c>
      <c r="G1080" s="55" t="n">
        <v>801.36</v>
      </c>
      <c r="H1080" s="55" t="n">
        <v>66.78</v>
      </c>
      <c r="I1080" s="55" t="n">
        <v>66.78</v>
      </c>
      <c r="J1080" s="52" t="s">
        <v>5816</v>
      </c>
      <c r="K1080" s="56" t="n">
        <v>1</v>
      </c>
      <c r="L1080" s="52" t="s">
        <v>5816</v>
      </c>
      <c r="M1080" s="52" t="s">
        <v>38</v>
      </c>
    </row>
    <row r="1081" customFormat="false" ht="17.25" hidden="false" customHeight="true" outlineLevel="0" collapsed="false">
      <c r="A1081" s="52" t="s">
        <v>5777</v>
      </c>
      <c r="B1081" s="52" t="s">
        <v>5813</v>
      </c>
      <c r="C1081" s="53" t="n">
        <v>22705</v>
      </c>
      <c r="D1081" s="52" t="s">
        <v>2457</v>
      </c>
      <c r="E1081" s="52" t="s">
        <v>2458</v>
      </c>
      <c r="F1081" s="54" t="n">
        <v>100</v>
      </c>
      <c r="G1081" s="55" t="n">
        <v>800</v>
      </c>
      <c r="H1081" s="55" t="n">
        <v>8</v>
      </c>
      <c r="I1081" s="55" t="n">
        <v>8</v>
      </c>
      <c r="J1081" s="52" t="s">
        <v>5816</v>
      </c>
      <c r="K1081" s="56" t="n">
        <v>1</v>
      </c>
      <c r="L1081" s="52" t="s">
        <v>5816</v>
      </c>
      <c r="M1081" s="52" t="s">
        <v>334</v>
      </c>
    </row>
    <row r="1082" customFormat="false" ht="17.25" hidden="false" customHeight="true" outlineLevel="0" collapsed="false">
      <c r="A1082" s="52" t="s">
        <v>5777</v>
      </c>
      <c r="B1082" s="52" t="s">
        <v>5813</v>
      </c>
      <c r="C1082" s="53" t="n">
        <v>878948</v>
      </c>
      <c r="D1082" s="52" t="s">
        <v>2459</v>
      </c>
      <c r="E1082" s="52" t="s">
        <v>2460</v>
      </c>
      <c r="F1082" s="54" t="n">
        <v>2</v>
      </c>
      <c r="G1082" s="55" t="n">
        <v>800</v>
      </c>
      <c r="H1082" s="55" t="n">
        <v>400</v>
      </c>
      <c r="I1082" s="55" t="n">
        <v>400</v>
      </c>
      <c r="J1082" s="52" t="s">
        <v>5816</v>
      </c>
      <c r="K1082" s="56" t="n">
        <v>1</v>
      </c>
      <c r="L1082" s="52" t="s">
        <v>5816</v>
      </c>
      <c r="M1082" s="52" t="s">
        <v>2056</v>
      </c>
    </row>
    <row r="1083" customFormat="false" ht="17.25" hidden="false" customHeight="true" outlineLevel="0" collapsed="false">
      <c r="A1083" s="52" t="s">
        <v>5777</v>
      </c>
      <c r="B1083" s="52" t="s">
        <v>5813</v>
      </c>
      <c r="C1083" s="53" t="n">
        <v>19139</v>
      </c>
      <c r="D1083" s="52" t="s">
        <v>2461</v>
      </c>
      <c r="E1083" s="52" t="s">
        <v>2462</v>
      </c>
      <c r="F1083" s="54" t="n">
        <v>2</v>
      </c>
      <c r="G1083" s="55" t="n">
        <v>797.98</v>
      </c>
      <c r="H1083" s="55" t="n">
        <v>398.99</v>
      </c>
      <c r="I1083" s="55" t="n">
        <v>398.99</v>
      </c>
      <c r="J1083" s="52" t="s">
        <v>5816</v>
      </c>
      <c r="K1083" s="56" t="n">
        <v>1</v>
      </c>
      <c r="L1083" s="52" t="s">
        <v>5816</v>
      </c>
      <c r="M1083" s="52" t="s">
        <v>113</v>
      </c>
    </row>
    <row r="1084" customFormat="false" ht="17.25" hidden="false" customHeight="true" outlineLevel="0" collapsed="false">
      <c r="A1084" s="52" t="s">
        <v>5777</v>
      </c>
      <c r="B1084" s="52" t="s">
        <v>5813</v>
      </c>
      <c r="C1084" s="53" t="n">
        <v>845685</v>
      </c>
      <c r="D1084" s="52" t="s">
        <v>2463</v>
      </c>
      <c r="E1084" s="52" t="s">
        <v>2464</v>
      </c>
      <c r="F1084" s="54" t="n">
        <v>2</v>
      </c>
      <c r="G1084" s="55" t="n">
        <v>796</v>
      </c>
      <c r="H1084" s="55" t="n">
        <v>398</v>
      </c>
      <c r="I1084" s="55" t="n">
        <v>398</v>
      </c>
      <c r="J1084" s="52" t="s">
        <v>5816</v>
      </c>
      <c r="K1084" s="56" t="n">
        <v>1</v>
      </c>
      <c r="L1084" s="52" t="s">
        <v>5816</v>
      </c>
      <c r="M1084" s="52" t="s">
        <v>262</v>
      </c>
    </row>
    <row r="1085" customFormat="false" ht="17.25" hidden="false" customHeight="true" outlineLevel="0" collapsed="false">
      <c r="A1085" s="52" t="s">
        <v>5777</v>
      </c>
      <c r="B1085" s="52" t="s">
        <v>5813</v>
      </c>
      <c r="C1085" s="53" t="n">
        <v>31835</v>
      </c>
      <c r="D1085" s="52" t="s">
        <v>2465</v>
      </c>
      <c r="E1085" s="52" t="s">
        <v>2466</v>
      </c>
      <c r="F1085" s="54" t="n">
        <v>2</v>
      </c>
      <c r="G1085" s="55" t="n">
        <v>792.6667</v>
      </c>
      <c r="H1085" s="55" t="n">
        <v>396.3333</v>
      </c>
      <c r="I1085" s="55" t="n">
        <v>385</v>
      </c>
      <c r="J1085" s="52" t="s">
        <v>5901</v>
      </c>
      <c r="K1085" s="56" t="n">
        <v>18</v>
      </c>
      <c r="L1085" s="52" t="s">
        <v>5823</v>
      </c>
      <c r="M1085" s="52" t="s">
        <v>230</v>
      </c>
    </row>
    <row r="1086" customFormat="false" ht="17.25" hidden="false" customHeight="true" outlineLevel="0" collapsed="false">
      <c r="A1086" s="52" t="s">
        <v>5777</v>
      </c>
      <c r="B1086" s="52" t="s">
        <v>5813</v>
      </c>
      <c r="C1086" s="53" t="n">
        <v>65216</v>
      </c>
      <c r="D1086" s="52" t="s">
        <v>2467</v>
      </c>
      <c r="E1086" s="52" t="s">
        <v>2468</v>
      </c>
      <c r="F1086" s="54" t="n">
        <v>400</v>
      </c>
      <c r="G1086" s="55" t="n">
        <v>792</v>
      </c>
      <c r="H1086" s="55" t="n">
        <v>1.98</v>
      </c>
      <c r="I1086" s="55" t="n">
        <v>1.98</v>
      </c>
      <c r="J1086" s="52" t="s">
        <v>5831</v>
      </c>
      <c r="K1086" s="56" t="n">
        <v>1</v>
      </c>
      <c r="L1086" s="52" t="s">
        <v>5831</v>
      </c>
      <c r="M1086" s="52" t="s">
        <v>2056</v>
      </c>
    </row>
    <row r="1087" customFormat="false" ht="17.25" hidden="false" customHeight="true" outlineLevel="0" collapsed="false">
      <c r="A1087" s="52" t="s">
        <v>5777</v>
      </c>
      <c r="B1087" s="52" t="s">
        <v>5813</v>
      </c>
      <c r="C1087" s="53" t="n">
        <v>1610266</v>
      </c>
      <c r="D1087" s="52" t="s">
        <v>2469</v>
      </c>
      <c r="E1087" s="52" t="s">
        <v>2470</v>
      </c>
      <c r="F1087" s="54" t="n">
        <v>6</v>
      </c>
      <c r="G1087" s="55" t="n">
        <v>791.52</v>
      </c>
      <c r="H1087" s="55" t="n">
        <v>131.92</v>
      </c>
      <c r="I1087" s="55" t="n">
        <v>131.92</v>
      </c>
      <c r="J1087" s="52" t="s">
        <v>5816</v>
      </c>
      <c r="K1087" s="56" t="n">
        <v>1</v>
      </c>
      <c r="L1087" s="52" t="s">
        <v>5816</v>
      </c>
      <c r="M1087" s="52" t="s">
        <v>38</v>
      </c>
    </row>
    <row r="1088" customFormat="false" ht="17.25" hidden="false" customHeight="true" outlineLevel="0" collapsed="false">
      <c r="A1088" s="52" t="s">
        <v>5777</v>
      </c>
      <c r="B1088" s="52" t="s">
        <v>5813</v>
      </c>
      <c r="C1088" s="53" t="n">
        <v>1610267</v>
      </c>
      <c r="D1088" s="52" t="s">
        <v>2471</v>
      </c>
      <c r="E1088" s="52" t="s">
        <v>2472</v>
      </c>
      <c r="F1088" s="54" t="n">
        <v>6</v>
      </c>
      <c r="G1088" s="55" t="n">
        <v>791.52</v>
      </c>
      <c r="H1088" s="55" t="n">
        <v>131.92</v>
      </c>
      <c r="I1088" s="55" t="n">
        <v>131.92</v>
      </c>
      <c r="J1088" s="52" t="s">
        <v>5816</v>
      </c>
      <c r="K1088" s="56" t="n">
        <v>1</v>
      </c>
      <c r="L1088" s="52" t="s">
        <v>5816</v>
      </c>
      <c r="M1088" s="52" t="s">
        <v>38</v>
      </c>
    </row>
    <row r="1089" customFormat="false" ht="17.25" hidden="false" customHeight="true" outlineLevel="0" collapsed="false">
      <c r="A1089" s="52" t="s">
        <v>5777</v>
      </c>
      <c r="B1089" s="52" t="s">
        <v>5813</v>
      </c>
      <c r="C1089" s="53" t="n">
        <v>282461</v>
      </c>
      <c r="D1089" s="52" t="s">
        <v>2473</v>
      </c>
      <c r="E1089" s="52" t="s">
        <v>2474</v>
      </c>
      <c r="F1089" s="54" t="n">
        <v>1</v>
      </c>
      <c r="G1089" s="55" t="n">
        <v>790</v>
      </c>
      <c r="H1089" s="55" t="n">
        <v>790</v>
      </c>
      <c r="I1089" s="55" t="n">
        <v>790</v>
      </c>
      <c r="J1089" s="52" t="s">
        <v>5816</v>
      </c>
      <c r="K1089" s="56" t="n">
        <v>1</v>
      </c>
      <c r="L1089" s="52" t="s">
        <v>5816</v>
      </c>
      <c r="M1089" s="52" t="s">
        <v>75</v>
      </c>
    </row>
    <row r="1090" customFormat="false" ht="17.25" hidden="false" customHeight="true" outlineLevel="0" collapsed="false">
      <c r="A1090" s="52" t="s">
        <v>5777</v>
      </c>
      <c r="B1090" s="52" t="s">
        <v>5813</v>
      </c>
      <c r="C1090" s="53" t="n">
        <v>55060</v>
      </c>
      <c r="D1090" s="52" t="s">
        <v>2475</v>
      </c>
      <c r="E1090" s="52" t="s">
        <v>2476</v>
      </c>
      <c r="F1090" s="54" t="n">
        <v>2</v>
      </c>
      <c r="G1090" s="55" t="n">
        <v>786</v>
      </c>
      <c r="H1090" s="55" t="n">
        <v>393</v>
      </c>
      <c r="I1090" s="55" t="n">
        <v>398</v>
      </c>
      <c r="J1090" s="52" t="s">
        <v>5816</v>
      </c>
      <c r="K1090" s="56" t="n">
        <v>1</v>
      </c>
      <c r="L1090" s="52" t="s">
        <v>5816</v>
      </c>
      <c r="M1090" s="52" t="s">
        <v>38</v>
      </c>
    </row>
    <row r="1091" customFormat="false" ht="17.25" hidden="false" customHeight="true" outlineLevel="0" collapsed="false">
      <c r="A1091" s="52" t="s">
        <v>5777</v>
      </c>
      <c r="B1091" s="52" t="s">
        <v>5813</v>
      </c>
      <c r="C1091" s="53" t="n">
        <v>22437</v>
      </c>
      <c r="D1091" s="52" t="s">
        <v>2477</v>
      </c>
      <c r="E1091" s="52" t="s">
        <v>2478</v>
      </c>
      <c r="F1091" s="54" t="n">
        <v>40</v>
      </c>
      <c r="G1091" s="55" t="n">
        <v>785.9361</v>
      </c>
      <c r="H1091" s="55" t="n">
        <v>19.6485</v>
      </c>
      <c r="I1091" s="55" t="n">
        <v>20</v>
      </c>
      <c r="J1091" s="52" t="s">
        <v>5816</v>
      </c>
      <c r="K1091" s="56" t="n">
        <v>1</v>
      </c>
      <c r="L1091" s="52" t="s">
        <v>5816</v>
      </c>
      <c r="M1091" s="52" t="s">
        <v>605</v>
      </c>
    </row>
    <row r="1092" customFormat="false" ht="17.25" hidden="false" customHeight="true" outlineLevel="0" collapsed="false">
      <c r="A1092" s="52" t="s">
        <v>5777</v>
      </c>
      <c r="B1092" s="52" t="s">
        <v>5813</v>
      </c>
      <c r="C1092" s="53" t="n">
        <v>281853</v>
      </c>
      <c r="D1092" s="52" t="s">
        <v>2479</v>
      </c>
      <c r="E1092" s="52" t="s">
        <v>2480</v>
      </c>
      <c r="F1092" s="54" t="n">
        <v>10</v>
      </c>
      <c r="G1092" s="55" t="n">
        <v>785</v>
      </c>
      <c r="H1092" s="55" t="n">
        <v>78.5</v>
      </c>
      <c r="I1092" s="55" t="n">
        <v>78.5</v>
      </c>
      <c r="J1092" s="52" t="s">
        <v>5816</v>
      </c>
      <c r="K1092" s="56" t="n">
        <v>1</v>
      </c>
      <c r="L1092" s="52" t="s">
        <v>5816</v>
      </c>
      <c r="M1092" s="52" t="s">
        <v>35</v>
      </c>
    </row>
    <row r="1093" customFormat="false" ht="17.25" hidden="false" customHeight="true" outlineLevel="0" collapsed="false">
      <c r="A1093" s="52" t="s">
        <v>5777</v>
      </c>
      <c r="B1093" s="52" t="s">
        <v>5813</v>
      </c>
      <c r="C1093" s="53" t="n">
        <v>23344</v>
      </c>
      <c r="D1093" s="52" t="s">
        <v>2481</v>
      </c>
      <c r="E1093" s="52" t="s">
        <v>2482</v>
      </c>
      <c r="F1093" s="54" t="n">
        <v>9</v>
      </c>
      <c r="G1093" s="55" t="n">
        <v>780.98</v>
      </c>
      <c r="H1093" s="55" t="n">
        <v>86.7756</v>
      </c>
      <c r="I1093" s="55" t="n">
        <v>12.98</v>
      </c>
      <c r="J1093" s="52" t="s">
        <v>5816</v>
      </c>
      <c r="K1093" s="56" t="n">
        <v>1</v>
      </c>
      <c r="L1093" s="52" t="s">
        <v>5816</v>
      </c>
      <c r="M1093" s="52" t="s">
        <v>189</v>
      </c>
    </row>
    <row r="1094" customFormat="false" ht="17.25" hidden="false" customHeight="true" outlineLevel="0" collapsed="false">
      <c r="A1094" s="52" t="s">
        <v>5777</v>
      </c>
      <c r="B1094" s="52" t="s">
        <v>5813</v>
      </c>
      <c r="C1094" s="53" t="n">
        <v>1384913</v>
      </c>
      <c r="D1094" s="52" t="s">
        <v>2483</v>
      </c>
      <c r="E1094" s="52" t="s">
        <v>2484</v>
      </c>
      <c r="F1094" s="54" t="n">
        <v>11</v>
      </c>
      <c r="G1094" s="55" t="n">
        <v>780.35</v>
      </c>
      <c r="H1094" s="55" t="n">
        <v>70.9409</v>
      </c>
      <c r="I1094" s="55" t="n">
        <v>17.35</v>
      </c>
      <c r="J1094" s="52" t="s">
        <v>5816</v>
      </c>
      <c r="K1094" s="56" t="n">
        <v>1</v>
      </c>
      <c r="L1094" s="52" t="s">
        <v>5816</v>
      </c>
      <c r="M1094" s="52" t="s">
        <v>38</v>
      </c>
    </row>
    <row r="1095" customFormat="false" ht="17.25" hidden="false" customHeight="true" outlineLevel="0" collapsed="false">
      <c r="A1095" s="52" t="s">
        <v>5777</v>
      </c>
      <c r="B1095" s="52" t="s">
        <v>5813</v>
      </c>
      <c r="C1095" s="53" t="n">
        <v>291546</v>
      </c>
      <c r="D1095" s="52" t="s">
        <v>2485</v>
      </c>
      <c r="E1095" s="52" t="s">
        <v>2486</v>
      </c>
      <c r="F1095" s="54" t="n">
        <v>12</v>
      </c>
      <c r="G1095" s="55" t="n">
        <v>780</v>
      </c>
      <c r="H1095" s="55" t="n">
        <v>65</v>
      </c>
      <c r="I1095" s="55" t="n">
        <v>65</v>
      </c>
      <c r="J1095" s="52" t="s">
        <v>5816</v>
      </c>
      <c r="K1095" s="56" t="n">
        <v>1</v>
      </c>
      <c r="L1095" s="52" t="s">
        <v>5816</v>
      </c>
      <c r="M1095" s="52" t="s">
        <v>2056</v>
      </c>
    </row>
    <row r="1096" customFormat="false" ht="17.25" hidden="false" customHeight="true" outlineLevel="0" collapsed="false">
      <c r="A1096" s="52" t="s">
        <v>5777</v>
      </c>
      <c r="B1096" s="52" t="s">
        <v>5813</v>
      </c>
      <c r="C1096" s="53" t="n">
        <v>1661834</v>
      </c>
      <c r="D1096" s="52" t="s">
        <v>2487</v>
      </c>
      <c r="E1096" s="52" t="s">
        <v>2488</v>
      </c>
      <c r="F1096" s="54" t="n">
        <v>2</v>
      </c>
      <c r="G1096" s="55" t="n">
        <v>780</v>
      </c>
      <c r="H1096" s="55" t="n">
        <v>390</v>
      </c>
      <c r="I1096" s="55" t="n">
        <v>390</v>
      </c>
      <c r="J1096" s="52" t="s">
        <v>5816</v>
      </c>
      <c r="K1096" s="56" t="n">
        <v>1</v>
      </c>
      <c r="L1096" s="52" t="s">
        <v>5816</v>
      </c>
      <c r="M1096" s="52" t="s">
        <v>133</v>
      </c>
    </row>
    <row r="1097" customFormat="false" ht="17.25" hidden="false" customHeight="true" outlineLevel="0" collapsed="false">
      <c r="A1097" s="52" t="s">
        <v>5777</v>
      </c>
      <c r="B1097" s="52" t="s">
        <v>5813</v>
      </c>
      <c r="C1097" s="53" t="n">
        <v>1388043</v>
      </c>
      <c r="D1097" s="52" t="s">
        <v>2489</v>
      </c>
      <c r="E1097" s="52" t="s">
        <v>2490</v>
      </c>
      <c r="F1097" s="54" t="n">
        <v>44</v>
      </c>
      <c r="G1097" s="55" t="n">
        <v>777.83</v>
      </c>
      <c r="H1097" s="55" t="n">
        <v>17.678</v>
      </c>
      <c r="I1097" s="55" t="n">
        <v>16.61</v>
      </c>
      <c r="J1097" s="52" t="s">
        <v>5816</v>
      </c>
      <c r="K1097" s="56" t="n">
        <v>1</v>
      </c>
      <c r="L1097" s="52" t="s">
        <v>5816</v>
      </c>
      <c r="M1097" s="52" t="s">
        <v>38</v>
      </c>
    </row>
    <row r="1098" customFormat="false" ht="17.25" hidden="false" customHeight="true" outlineLevel="0" collapsed="false">
      <c r="A1098" s="52" t="s">
        <v>5777</v>
      </c>
      <c r="B1098" s="52" t="s">
        <v>5813</v>
      </c>
      <c r="C1098" s="53" t="n">
        <v>287526</v>
      </c>
      <c r="D1098" s="52" t="s">
        <v>2491</v>
      </c>
      <c r="E1098" s="52" t="s">
        <v>2492</v>
      </c>
      <c r="F1098" s="54" t="n">
        <v>1</v>
      </c>
      <c r="G1098" s="55" t="n">
        <v>774</v>
      </c>
      <c r="H1098" s="55" t="n">
        <v>774</v>
      </c>
      <c r="I1098" s="55" t="n">
        <v>774</v>
      </c>
      <c r="J1098" s="52" t="s">
        <v>5816</v>
      </c>
      <c r="K1098" s="56" t="n">
        <v>1</v>
      </c>
      <c r="L1098" s="52" t="s">
        <v>5816</v>
      </c>
      <c r="M1098" s="52" t="s">
        <v>605</v>
      </c>
    </row>
    <row r="1099" customFormat="false" ht="17.25" hidden="false" customHeight="true" outlineLevel="0" collapsed="false">
      <c r="A1099" s="52" t="s">
        <v>5777</v>
      </c>
      <c r="B1099" s="52" t="s">
        <v>5813</v>
      </c>
      <c r="C1099" s="53" t="n">
        <v>23466</v>
      </c>
      <c r="D1099" s="52" t="s">
        <v>2493</v>
      </c>
      <c r="E1099" s="52" t="s">
        <v>2494</v>
      </c>
      <c r="F1099" s="54" t="n">
        <v>12</v>
      </c>
      <c r="G1099" s="55" t="n">
        <v>772.8</v>
      </c>
      <c r="H1099" s="55" t="n">
        <v>64.4</v>
      </c>
      <c r="I1099" s="55" t="n">
        <v>64.4</v>
      </c>
      <c r="J1099" s="52" t="s">
        <v>5816</v>
      </c>
      <c r="K1099" s="56" t="n">
        <v>1</v>
      </c>
      <c r="L1099" s="52" t="s">
        <v>5816</v>
      </c>
      <c r="M1099" s="52" t="s">
        <v>334</v>
      </c>
    </row>
    <row r="1100" customFormat="false" ht="17.25" hidden="false" customHeight="true" outlineLevel="0" collapsed="false">
      <c r="A1100" s="52" t="s">
        <v>5777</v>
      </c>
      <c r="B1100" s="52" t="s">
        <v>5813</v>
      </c>
      <c r="C1100" s="53" t="n">
        <v>559853</v>
      </c>
      <c r="D1100" s="52" t="s">
        <v>2495</v>
      </c>
      <c r="E1100" s="52" t="s">
        <v>2496</v>
      </c>
      <c r="F1100" s="54" t="n">
        <v>29</v>
      </c>
      <c r="G1100" s="55" t="n">
        <v>770.59</v>
      </c>
      <c r="H1100" s="55" t="n">
        <v>26.5721</v>
      </c>
      <c r="I1100" s="55" t="n">
        <v>24.95</v>
      </c>
      <c r="J1100" s="52" t="s">
        <v>5816</v>
      </c>
      <c r="K1100" s="56" t="n">
        <v>1</v>
      </c>
      <c r="L1100" s="52" t="s">
        <v>5816</v>
      </c>
      <c r="M1100" s="52" t="s">
        <v>38</v>
      </c>
    </row>
    <row r="1101" customFormat="false" ht="17.25" hidden="false" customHeight="true" outlineLevel="0" collapsed="false">
      <c r="A1101" s="52" t="s">
        <v>5777</v>
      </c>
      <c r="B1101" s="52" t="s">
        <v>5813</v>
      </c>
      <c r="C1101" s="53" t="n">
        <v>839802</v>
      </c>
      <c r="D1101" s="52" t="s">
        <v>2497</v>
      </c>
      <c r="E1101" s="52" t="s">
        <v>2498</v>
      </c>
      <c r="F1101" s="54" t="n">
        <v>35</v>
      </c>
      <c r="G1101" s="55" t="n">
        <v>770</v>
      </c>
      <c r="H1101" s="55" t="n">
        <v>22</v>
      </c>
      <c r="I1101" s="55" t="n">
        <v>22</v>
      </c>
      <c r="J1101" s="52" t="s">
        <v>5816</v>
      </c>
      <c r="K1101" s="56" t="n">
        <v>1</v>
      </c>
      <c r="L1101" s="52" t="s">
        <v>5816</v>
      </c>
      <c r="M1101" s="52" t="s">
        <v>38</v>
      </c>
    </row>
    <row r="1102" customFormat="false" ht="17.25" hidden="false" customHeight="true" outlineLevel="0" collapsed="false">
      <c r="A1102" s="52" t="s">
        <v>5777</v>
      </c>
      <c r="B1102" s="52" t="s">
        <v>5813</v>
      </c>
      <c r="C1102" s="53" t="n">
        <v>735026</v>
      </c>
      <c r="D1102" s="52" t="s">
        <v>2499</v>
      </c>
      <c r="E1102" s="52" t="s">
        <v>2500</v>
      </c>
      <c r="F1102" s="54" t="n">
        <v>4</v>
      </c>
      <c r="G1102" s="55" t="n">
        <v>768.341</v>
      </c>
      <c r="H1102" s="55" t="n">
        <v>192.0851</v>
      </c>
      <c r="I1102" s="55" t="n">
        <v>228</v>
      </c>
      <c r="J1102" s="52" t="s">
        <v>5902</v>
      </c>
      <c r="K1102" s="56" t="n">
        <v>6</v>
      </c>
      <c r="L1102" s="52" t="s">
        <v>5814</v>
      </c>
      <c r="M1102" s="52" t="s">
        <v>54</v>
      </c>
    </row>
    <row r="1103" customFormat="false" ht="17.25" hidden="false" customHeight="true" outlineLevel="0" collapsed="false">
      <c r="A1103" s="52" t="s">
        <v>5777</v>
      </c>
      <c r="B1103" s="52" t="s">
        <v>5813</v>
      </c>
      <c r="C1103" s="53" t="n">
        <v>17947</v>
      </c>
      <c r="D1103" s="52" t="s">
        <v>2501</v>
      </c>
      <c r="E1103" s="52" t="s">
        <v>2502</v>
      </c>
      <c r="F1103" s="54" t="n">
        <v>6</v>
      </c>
      <c r="G1103" s="55" t="n">
        <v>765.6</v>
      </c>
      <c r="H1103" s="55" t="n">
        <v>127.6</v>
      </c>
      <c r="I1103" s="55" t="n">
        <v>150.15</v>
      </c>
      <c r="J1103" s="52" t="s">
        <v>5816</v>
      </c>
      <c r="K1103" s="56" t="n">
        <v>1</v>
      </c>
      <c r="L1103" s="52" t="s">
        <v>5816</v>
      </c>
      <c r="M1103" s="52" t="s">
        <v>130</v>
      </c>
    </row>
    <row r="1104" customFormat="false" ht="17.25" hidden="false" customHeight="true" outlineLevel="0" collapsed="false">
      <c r="A1104" s="52" t="s">
        <v>5777</v>
      </c>
      <c r="B1104" s="52" t="s">
        <v>5813</v>
      </c>
      <c r="C1104" s="53" t="n">
        <v>881433</v>
      </c>
      <c r="D1104" s="52" t="s">
        <v>2503</v>
      </c>
      <c r="E1104" s="52" t="s">
        <v>2504</v>
      </c>
      <c r="F1104" s="54" t="n">
        <v>5</v>
      </c>
      <c r="G1104" s="55" t="n">
        <v>765.2</v>
      </c>
      <c r="H1104" s="55" t="n">
        <v>153.04</v>
      </c>
      <c r="I1104" s="55" t="n">
        <v>153.04</v>
      </c>
      <c r="J1104" s="52" t="s">
        <v>5816</v>
      </c>
      <c r="K1104" s="56" t="n">
        <v>1</v>
      </c>
      <c r="L1104" s="52" t="s">
        <v>5816</v>
      </c>
      <c r="M1104" s="52" t="s">
        <v>38</v>
      </c>
    </row>
    <row r="1105" customFormat="false" ht="17.25" hidden="false" customHeight="true" outlineLevel="0" collapsed="false">
      <c r="A1105" s="52" t="s">
        <v>5777</v>
      </c>
      <c r="B1105" s="52" t="s">
        <v>5813</v>
      </c>
      <c r="C1105" s="53" t="n">
        <v>21324</v>
      </c>
      <c r="D1105" s="52" t="s">
        <v>2505</v>
      </c>
      <c r="E1105" s="52" t="s">
        <v>2506</v>
      </c>
      <c r="F1105" s="54" t="n">
        <v>8</v>
      </c>
      <c r="G1105" s="55" t="n">
        <v>764</v>
      </c>
      <c r="H1105" s="55" t="n">
        <v>95.5</v>
      </c>
      <c r="I1105" s="55" t="n">
        <v>95.5</v>
      </c>
      <c r="J1105" s="52" t="s">
        <v>5816</v>
      </c>
      <c r="K1105" s="56" t="n">
        <v>1</v>
      </c>
      <c r="L1105" s="52" t="s">
        <v>5816</v>
      </c>
      <c r="M1105" s="52" t="s">
        <v>334</v>
      </c>
    </row>
    <row r="1106" customFormat="false" ht="17.25" hidden="false" customHeight="true" outlineLevel="0" collapsed="false">
      <c r="A1106" s="52" t="s">
        <v>5777</v>
      </c>
      <c r="B1106" s="52" t="s">
        <v>5813</v>
      </c>
      <c r="C1106" s="53" t="n">
        <v>1470135</v>
      </c>
      <c r="D1106" s="52" t="s">
        <v>2507</v>
      </c>
      <c r="E1106" s="52" t="s">
        <v>2508</v>
      </c>
      <c r="F1106" s="54" t="n">
        <v>4</v>
      </c>
      <c r="G1106" s="55" t="n">
        <v>764</v>
      </c>
      <c r="H1106" s="55" t="n">
        <v>191</v>
      </c>
      <c r="I1106" s="55" t="n">
        <v>191</v>
      </c>
      <c r="J1106" s="52" t="s">
        <v>5816</v>
      </c>
      <c r="K1106" s="56" t="n">
        <v>1</v>
      </c>
      <c r="L1106" s="52" t="s">
        <v>5816</v>
      </c>
      <c r="M1106" s="52" t="s">
        <v>230</v>
      </c>
    </row>
    <row r="1107" customFormat="false" ht="17.25" hidden="false" customHeight="true" outlineLevel="0" collapsed="false">
      <c r="A1107" s="52" t="s">
        <v>5777</v>
      </c>
      <c r="B1107" s="52" t="s">
        <v>5813</v>
      </c>
      <c r="C1107" s="53" t="n">
        <v>19664</v>
      </c>
      <c r="D1107" s="52" t="s">
        <v>2509</v>
      </c>
      <c r="E1107" s="52" t="s">
        <v>2510</v>
      </c>
      <c r="F1107" s="54" t="n">
        <v>25</v>
      </c>
      <c r="G1107" s="55" t="n">
        <v>760.2415</v>
      </c>
      <c r="H1107" s="55" t="n">
        <v>30.4097</v>
      </c>
      <c r="I1107" s="55" t="n">
        <v>30.4095</v>
      </c>
      <c r="J1107" s="52" t="s">
        <v>5816</v>
      </c>
      <c r="K1107" s="56" t="n">
        <v>1</v>
      </c>
      <c r="L1107" s="52" t="s">
        <v>5816</v>
      </c>
      <c r="M1107" s="52" t="s">
        <v>1095</v>
      </c>
    </row>
    <row r="1108" customFormat="false" ht="17.25" hidden="false" customHeight="true" outlineLevel="0" collapsed="false">
      <c r="A1108" s="52" t="s">
        <v>5777</v>
      </c>
      <c r="B1108" s="52" t="s">
        <v>5813</v>
      </c>
      <c r="C1108" s="53" t="n">
        <v>1605943</v>
      </c>
      <c r="D1108" s="52" t="s">
        <v>2511</v>
      </c>
      <c r="E1108" s="52" t="s">
        <v>2512</v>
      </c>
      <c r="F1108" s="54" t="n">
        <v>8</v>
      </c>
      <c r="G1108" s="55" t="n">
        <v>760.24</v>
      </c>
      <c r="H1108" s="55" t="n">
        <v>95.03</v>
      </c>
      <c r="I1108" s="55" t="n">
        <v>95.03</v>
      </c>
      <c r="J1108" s="52" t="s">
        <v>5816</v>
      </c>
      <c r="K1108" s="56" t="n">
        <v>1</v>
      </c>
      <c r="L1108" s="52" t="s">
        <v>5816</v>
      </c>
      <c r="M1108" s="52" t="s">
        <v>38</v>
      </c>
    </row>
    <row r="1109" customFormat="false" ht="17.25" hidden="false" customHeight="true" outlineLevel="0" collapsed="false">
      <c r="A1109" s="52" t="s">
        <v>5777</v>
      </c>
      <c r="B1109" s="52" t="s">
        <v>5813</v>
      </c>
      <c r="C1109" s="53" t="n">
        <v>875415</v>
      </c>
      <c r="D1109" s="52" t="s">
        <v>2513</v>
      </c>
      <c r="E1109" s="52" t="s">
        <v>5903</v>
      </c>
      <c r="F1109" s="54" t="n">
        <v>4</v>
      </c>
      <c r="G1109" s="55" t="n">
        <v>760</v>
      </c>
      <c r="H1109" s="55" t="n">
        <v>190</v>
      </c>
      <c r="I1109" s="55" t="n">
        <v>190</v>
      </c>
      <c r="J1109" s="52" t="s">
        <v>5816</v>
      </c>
      <c r="K1109" s="56" t="n">
        <v>1</v>
      </c>
      <c r="L1109" s="52" t="s">
        <v>5816</v>
      </c>
      <c r="M1109" s="52" t="s">
        <v>247</v>
      </c>
    </row>
    <row r="1110" customFormat="false" ht="17.25" hidden="false" customHeight="true" outlineLevel="0" collapsed="false">
      <c r="A1110" s="52" t="s">
        <v>5777</v>
      </c>
      <c r="B1110" s="52" t="s">
        <v>5813</v>
      </c>
      <c r="C1110" s="53" t="n">
        <v>1540527</v>
      </c>
      <c r="D1110" s="52" t="s">
        <v>2515</v>
      </c>
      <c r="E1110" s="57" t="s">
        <v>5904</v>
      </c>
      <c r="F1110" s="54" t="n">
        <v>2</v>
      </c>
      <c r="G1110" s="55" t="n">
        <v>760</v>
      </c>
      <c r="H1110" s="55" t="n">
        <v>380</v>
      </c>
      <c r="I1110" s="55" t="n">
        <v>380</v>
      </c>
      <c r="J1110" s="52" t="s">
        <v>5816</v>
      </c>
      <c r="K1110" s="56" t="n">
        <v>1</v>
      </c>
      <c r="L1110" s="52" t="s">
        <v>5816</v>
      </c>
      <c r="M1110" s="52" t="s">
        <v>38</v>
      </c>
    </row>
    <row r="1111" customFormat="false" ht="17.25" hidden="false" customHeight="true" outlineLevel="0" collapsed="false">
      <c r="A1111" s="52" t="s">
        <v>5777</v>
      </c>
      <c r="B1111" s="52" t="s">
        <v>5813</v>
      </c>
      <c r="C1111" s="53" t="n">
        <v>934657</v>
      </c>
      <c r="D1111" s="52" t="s">
        <v>2517</v>
      </c>
      <c r="E1111" s="52" t="s">
        <v>2518</v>
      </c>
      <c r="F1111" s="54" t="n">
        <v>160</v>
      </c>
      <c r="G1111" s="55" t="n">
        <v>759.6</v>
      </c>
      <c r="H1111" s="55" t="n">
        <v>4.7475</v>
      </c>
      <c r="I1111" s="55" t="n">
        <v>4.5</v>
      </c>
      <c r="J1111" s="52" t="s">
        <v>5816</v>
      </c>
      <c r="K1111" s="56" t="n">
        <v>1</v>
      </c>
      <c r="L1111" s="52" t="s">
        <v>5816</v>
      </c>
      <c r="M1111" s="52" t="s">
        <v>38</v>
      </c>
    </row>
    <row r="1112" customFormat="false" ht="17.25" hidden="false" customHeight="true" outlineLevel="0" collapsed="false">
      <c r="A1112" s="52" t="s">
        <v>5777</v>
      </c>
      <c r="B1112" s="52" t="s">
        <v>5813</v>
      </c>
      <c r="C1112" s="53" t="n">
        <v>865892</v>
      </c>
      <c r="D1112" s="52" t="s">
        <v>2519</v>
      </c>
      <c r="E1112" s="52" t="s">
        <v>2520</v>
      </c>
      <c r="F1112" s="54" t="n">
        <v>46</v>
      </c>
      <c r="G1112" s="55" t="n">
        <v>757.6</v>
      </c>
      <c r="H1112" s="55" t="n">
        <v>16.4696</v>
      </c>
      <c r="I1112" s="55" t="n">
        <v>15.94</v>
      </c>
      <c r="J1112" s="52" t="s">
        <v>5816</v>
      </c>
      <c r="K1112" s="56" t="n">
        <v>1</v>
      </c>
      <c r="L1112" s="52" t="s">
        <v>5816</v>
      </c>
      <c r="M1112" s="52" t="s">
        <v>262</v>
      </c>
    </row>
    <row r="1113" customFormat="false" ht="17.25" hidden="false" customHeight="true" outlineLevel="0" collapsed="false">
      <c r="A1113" s="52" t="s">
        <v>5777</v>
      </c>
      <c r="B1113" s="52" t="s">
        <v>5813</v>
      </c>
      <c r="C1113" s="53" t="n">
        <v>141773</v>
      </c>
      <c r="D1113" s="52" t="s">
        <v>2521</v>
      </c>
      <c r="E1113" s="52" t="s">
        <v>2522</v>
      </c>
      <c r="F1113" s="54" t="n">
        <v>12</v>
      </c>
      <c r="G1113" s="55" t="n">
        <v>756</v>
      </c>
      <c r="H1113" s="55" t="n">
        <v>63</v>
      </c>
      <c r="I1113" s="55" t="n">
        <v>63</v>
      </c>
      <c r="J1113" s="52" t="s">
        <v>5816</v>
      </c>
      <c r="K1113" s="56" t="n">
        <v>1</v>
      </c>
      <c r="L1113" s="52" t="s">
        <v>5816</v>
      </c>
      <c r="M1113" s="52" t="s">
        <v>35</v>
      </c>
    </row>
    <row r="1114" customFormat="false" ht="17.25" hidden="false" customHeight="true" outlineLevel="0" collapsed="false">
      <c r="A1114" s="52" t="s">
        <v>5777</v>
      </c>
      <c r="B1114" s="52" t="s">
        <v>5813</v>
      </c>
      <c r="C1114" s="53" t="n">
        <v>1654527</v>
      </c>
      <c r="D1114" s="52" t="s">
        <v>2523</v>
      </c>
      <c r="E1114" s="52" t="s">
        <v>2524</v>
      </c>
      <c r="F1114" s="54" t="n">
        <v>4</v>
      </c>
      <c r="G1114" s="55" t="n">
        <v>753.23</v>
      </c>
      <c r="H1114" s="55" t="n">
        <v>188.3075</v>
      </c>
      <c r="I1114" s="55" t="n">
        <v>188.3075</v>
      </c>
      <c r="J1114" s="52" t="s">
        <v>5816</v>
      </c>
      <c r="K1114" s="56" t="n">
        <v>1</v>
      </c>
      <c r="L1114" s="52" t="s">
        <v>5816</v>
      </c>
      <c r="M1114" s="52" t="s">
        <v>217</v>
      </c>
    </row>
    <row r="1115" customFormat="false" ht="17.25" hidden="false" customHeight="true" outlineLevel="0" collapsed="false">
      <c r="A1115" s="52" t="s">
        <v>5777</v>
      </c>
      <c r="B1115" s="52" t="s">
        <v>5813</v>
      </c>
      <c r="C1115" s="53" t="n">
        <v>1171415</v>
      </c>
      <c r="D1115" s="52" t="s">
        <v>2525</v>
      </c>
      <c r="E1115" s="52" t="s">
        <v>2526</v>
      </c>
      <c r="F1115" s="54" t="n">
        <v>57</v>
      </c>
      <c r="G1115" s="55" t="n">
        <v>752.93</v>
      </c>
      <c r="H1115" s="55" t="n">
        <v>13.2093</v>
      </c>
      <c r="I1115" s="55" t="n">
        <v>10.98</v>
      </c>
      <c r="J1115" s="52" t="s">
        <v>5816</v>
      </c>
      <c r="K1115" s="56" t="n">
        <v>1</v>
      </c>
      <c r="L1115" s="52" t="s">
        <v>5816</v>
      </c>
      <c r="M1115" s="52" t="s">
        <v>54</v>
      </c>
    </row>
    <row r="1116" customFormat="false" ht="17.25" hidden="false" customHeight="true" outlineLevel="0" collapsed="false">
      <c r="A1116" s="52" t="s">
        <v>5777</v>
      </c>
      <c r="B1116" s="52" t="s">
        <v>5813</v>
      </c>
      <c r="C1116" s="53" t="n">
        <v>1677688</v>
      </c>
      <c r="D1116" s="52" t="s">
        <v>2527</v>
      </c>
      <c r="E1116" s="52" t="s">
        <v>2528</v>
      </c>
      <c r="F1116" s="54" t="n">
        <v>900</v>
      </c>
      <c r="G1116" s="55" t="n">
        <v>751.68</v>
      </c>
      <c r="H1116" s="55" t="n">
        <v>0.8352</v>
      </c>
      <c r="I1116" s="55" t="n">
        <v>0.8352</v>
      </c>
      <c r="J1116" s="52" t="s">
        <v>5814</v>
      </c>
      <c r="K1116" s="56" t="n">
        <v>1</v>
      </c>
      <c r="L1116" s="52" t="s">
        <v>5814</v>
      </c>
      <c r="M1116" s="52" t="s">
        <v>138</v>
      </c>
    </row>
    <row r="1117" customFormat="false" ht="17.25" hidden="false" customHeight="true" outlineLevel="0" collapsed="false">
      <c r="A1117" s="52" t="s">
        <v>5777</v>
      </c>
      <c r="B1117" s="52" t="s">
        <v>5813</v>
      </c>
      <c r="C1117" s="53" t="n">
        <v>600761</v>
      </c>
      <c r="D1117" s="52" t="s">
        <v>2529</v>
      </c>
      <c r="E1117" s="52" t="s">
        <v>2530</v>
      </c>
      <c r="F1117" s="54" t="n">
        <v>6</v>
      </c>
      <c r="G1117" s="55" t="n">
        <v>751.5</v>
      </c>
      <c r="H1117" s="55" t="n">
        <v>125.25</v>
      </c>
      <c r="I1117" s="55" t="n">
        <v>119.5</v>
      </c>
      <c r="J1117" s="52" t="s">
        <v>5831</v>
      </c>
      <c r="K1117" s="56" t="n">
        <v>1</v>
      </c>
      <c r="L1117" s="52" t="s">
        <v>5831</v>
      </c>
      <c r="M1117" s="52" t="s">
        <v>247</v>
      </c>
    </row>
    <row r="1118" customFormat="false" ht="17.25" hidden="false" customHeight="true" outlineLevel="0" collapsed="false">
      <c r="A1118" s="52" t="s">
        <v>5777</v>
      </c>
      <c r="B1118" s="52" t="s">
        <v>5813</v>
      </c>
      <c r="C1118" s="53" t="n">
        <v>1615081</v>
      </c>
      <c r="D1118" s="52" t="s">
        <v>2531</v>
      </c>
      <c r="E1118" s="52" t="s">
        <v>2532</v>
      </c>
      <c r="F1118" s="54" t="n">
        <v>7</v>
      </c>
      <c r="G1118" s="55" t="n">
        <v>749.9</v>
      </c>
      <c r="H1118" s="55" t="n">
        <v>107.1286</v>
      </c>
      <c r="I1118" s="55" t="n">
        <v>98.5</v>
      </c>
      <c r="J1118" s="52" t="s">
        <v>5816</v>
      </c>
      <c r="K1118" s="56" t="n">
        <v>1</v>
      </c>
      <c r="L1118" s="52" t="s">
        <v>5816</v>
      </c>
      <c r="M1118" s="52" t="s">
        <v>38</v>
      </c>
    </row>
    <row r="1119" customFormat="false" ht="17.25" hidden="false" customHeight="true" outlineLevel="0" collapsed="false">
      <c r="A1119" s="52" t="s">
        <v>5777</v>
      </c>
      <c r="B1119" s="52" t="s">
        <v>5813</v>
      </c>
      <c r="C1119" s="53" t="n">
        <v>1112290</v>
      </c>
      <c r="D1119" s="52" t="s">
        <v>2533</v>
      </c>
      <c r="E1119" s="52" t="s">
        <v>2534</v>
      </c>
      <c r="F1119" s="54" t="n">
        <v>54</v>
      </c>
      <c r="G1119" s="55" t="n">
        <v>749.25</v>
      </c>
      <c r="H1119" s="55" t="n">
        <v>13.875</v>
      </c>
      <c r="I1119" s="55" t="n">
        <v>5.75</v>
      </c>
      <c r="J1119" s="52" t="s">
        <v>5816</v>
      </c>
      <c r="K1119" s="56" t="n">
        <v>1</v>
      </c>
      <c r="L1119" s="52" t="s">
        <v>5816</v>
      </c>
      <c r="M1119" s="52" t="s">
        <v>457</v>
      </c>
    </row>
    <row r="1120" customFormat="false" ht="17.25" hidden="false" customHeight="true" outlineLevel="0" collapsed="false">
      <c r="A1120" s="52" t="s">
        <v>5777</v>
      </c>
      <c r="B1120" s="52" t="s">
        <v>5813</v>
      </c>
      <c r="C1120" s="53" t="n">
        <v>1327984</v>
      </c>
      <c r="D1120" s="52" t="s">
        <v>2535</v>
      </c>
      <c r="E1120" s="52" t="s">
        <v>2536</v>
      </c>
      <c r="F1120" s="54" t="n">
        <v>110</v>
      </c>
      <c r="G1120" s="55" t="n">
        <v>748</v>
      </c>
      <c r="H1120" s="55" t="n">
        <v>6.8</v>
      </c>
      <c r="I1120" s="55" t="n">
        <v>6.8</v>
      </c>
      <c r="J1120" s="52" t="s">
        <v>5816</v>
      </c>
      <c r="K1120" s="56" t="n">
        <v>1</v>
      </c>
      <c r="L1120" s="52" t="s">
        <v>5816</v>
      </c>
      <c r="M1120" s="52" t="s">
        <v>54</v>
      </c>
    </row>
    <row r="1121" customFormat="false" ht="17.25" hidden="false" customHeight="true" outlineLevel="0" collapsed="false">
      <c r="A1121" s="52" t="s">
        <v>5777</v>
      </c>
      <c r="B1121" s="52" t="s">
        <v>5813</v>
      </c>
      <c r="C1121" s="53" t="n">
        <v>1387921</v>
      </c>
      <c r="D1121" s="52" t="s">
        <v>2537</v>
      </c>
      <c r="E1121" s="52" t="s">
        <v>2538</v>
      </c>
      <c r="F1121" s="54" t="n">
        <v>40</v>
      </c>
      <c r="G1121" s="55" t="n">
        <v>746.69</v>
      </c>
      <c r="H1121" s="55" t="n">
        <v>18.6673</v>
      </c>
      <c r="I1121" s="55" t="n">
        <v>6.9</v>
      </c>
      <c r="J1121" s="52" t="s">
        <v>5816</v>
      </c>
      <c r="K1121" s="56" t="n">
        <v>1</v>
      </c>
      <c r="L1121" s="52" t="s">
        <v>5816</v>
      </c>
      <c r="M1121" s="52" t="s">
        <v>100</v>
      </c>
    </row>
    <row r="1122" customFormat="false" ht="17.25" hidden="false" customHeight="true" outlineLevel="0" collapsed="false">
      <c r="A1122" s="52" t="s">
        <v>5777</v>
      </c>
      <c r="B1122" s="52" t="s">
        <v>5813</v>
      </c>
      <c r="C1122" s="53" t="n">
        <v>32468</v>
      </c>
      <c r="D1122" s="52" t="s">
        <v>2539</v>
      </c>
      <c r="E1122" s="52" t="s">
        <v>2540</v>
      </c>
      <c r="F1122" s="54" t="n">
        <v>37</v>
      </c>
      <c r="G1122" s="55" t="n">
        <v>745.07</v>
      </c>
      <c r="H1122" s="55" t="n">
        <v>20.137</v>
      </c>
      <c r="I1122" s="55" t="n">
        <v>5.9</v>
      </c>
      <c r="J1122" s="52" t="s">
        <v>5850</v>
      </c>
      <c r="K1122" s="56" t="n">
        <v>3</v>
      </c>
      <c r="L1122" s="52" t="s">
        <v>5814</v>
      </c>
      <c r="M1122" s="52" t="s">
        <v>38</v>
      </c>
    </row>
    <row r="1123" customFormat="false" ht="17.25" hidden="false" customHeight="true" outlineLevel="0" collapsed="false">
      <c r="A1123" s="52" t="s">
        <v>5777</v>
      </c>
      <c r="B1123" s="52" t="s">
        <v>5813</v>
      </c>
      <c r="C1123" s="53" t="n">
        <v>888374</v>
      </c>
      <c r="D1123" s="52" t="s">
        <v>2541</v>
      </c>
      <c r="E1123" s="52" t="s">
        <v>2542</v>
      </c>
      <c r="F1123" s="54" t="n">
        <v>2</v>
      </c>
      <c r="G1123" s="55" t="n">
        <v>738.74</v>
      </c>
      <c r="H1123" s="55" t="n">
        <v>369.37</v>
      </c>
      <c r="I1123" s="55" t="n">
        <v>369.37</v>
      </c>
      <c r="J1123" s="52" t="s">
        <v>5816</v>
      </c>
      <c r="K1123" s="56" t="n">
        <v>1</v>
      </c>
      <c r="L1123" s="52" t="s">
        <v>5816</v>
      </c>
      <c r="M1123" s="52" t="s">
        <v>38</v>
      </c>
    </row>
    <row r="1124" customFormat="false" ht="17.25" hidden="false" customHeight="true" outlineLevel="0" collapsed="false">
      <c r="A1124" s="52" t="s">
        <v>5777</v>
      </c>
      <c r="B1124" s="52" t="s">
        <v>5813</v>
      </c>
      <c r="C1124" s="53" t="n">
        <v>1464211</v>
      </c>
      <c r="D1124" s="52" t="s">
        <v>2543</v>
      </c>
      <c r="E1124" s="52" t="s">
        <v>5905</v>
      </c>
      <c r="F1124" s="54" t="n">
        <v>48.185</v>
      </c>
      <c r="G1124" s="55" t="n">
        <v>738.36</v>
      </c>
      <c r="H1124" s="55" t="n">
        <v>15.3234</v>
      </c>
      <c r="I1124" s="55" t="n">
        <v>15.3234</v>
      </c>
      <c r="J1124" s="52" t="s">
        <v>5814</v>
      </c>
      <c r="K1124" s="56" t="n">
        <v>1</v>
      </c>
      <c r="L1124" s="52" t="s">
        <v>5814</v>
      </c>
      <c r="M1124" s="52" t="s">
        <v>63</v>
      </c>
    </row>
    <row r="1125" customFormat="false" ht="17.25" hidden="false" customHeight="true" outlineLevel="0" collapsed="false">
      <c r="A1125" s="52" t="s">
        <v>5777</v>
      </c>
      <c r="B1125" s="52" t="s">
        <v>5813</v>
      </c>
      <c r="C1125" s="53" t="n">
        <v>952908</v>
      </c>
      <c r="D1125" s="52" t="s">
        <v>2295</v>
      </c>
      <c r="E1125" s="52" t="s">
        <v>2296</v>
      </c>
      <c r="F1125" s="54" t="n">
        <v>150</v>
      </c>
      <c r="G1125" s="55" t="n">
        <v>737.5</v>
      </c>
      <c r="H1125" s="55" t="n">
        <v>4.9167</v>
      </c>
      <c r="I1125" s="55" t="n">
        <v>4.7</v>
      </c>
      <c r="J1125" s="52" t="s">
        <v>5816</v>
      </c>
      <c r="K1125" s="56" t="n">
        <v>1</v>
      </c>
      <c r="L1125" s="52" t="s">
        <v>5816</v>
      </c>
      <c r="M1125" s="52" t="s">
        <v>1618</v>
      </c>
    </row>
    <row r="1126" customFormat="false" ht="17.25" hidden="false" customHeight="true" outlineLevel="0" collapsed="false">
      <c r="A1126" s="52" t="s">
        <v>5777</v>
      </c>
      <c r="B1126" s="52" t="s">
        <v>5813</v>
      </c>
      <c r="C1126" s="53" t="n">
        <v>734720</v>
      </c>
      <c r="D1126" s="52" t="s">
        <v>2545</v>
      </c>
      <c r="E1126" s="52" t="s">
        <v>2546</v>
      </c>
      <c r="F1126" s="54" t="n">
        <v>2</v>
      </c>
      <c r="G1126" s="55" t="n">
        <v>736</v>
      </c>
      <c r="H1126" s="55" t="n">
        <v>368</v>
      </c>
      <c r="I1126" s="55" t="n">
        <v>368</v>
      </c>
      <c r="J1126" s="52" t="s">
        <v>5814</v>
      </c>
      <c r="K1126" s="56" t="n">
        <v>1</v>
      </c>
      <c r="L1126" s="52" t="s">
        <v>5814</v>
      </c>
      <c r="M1126" s="52" t="s">
        <v>54</v>
      </c>
    </row>
    <row r="1127" customFormat="false" ht="17.25" hidden="false" customHeight="true" outlineLevel="0" collapsed="false">
      <c r="A1127" s="52" t="s">
        <v>5777</v>
      </c>
      <c r="B1127" s="52" t="s">
        <v>5813</v>
      </c>
      <c r="C1127" s="53" t="n">
        <v>17864</v>
      </c>
      <c r="D1127" s="52" t="s">
        <v>2167</v>
      </c>
      <c r="E1127" s="52" t="s">
        <v>2168</v>
      </c>
      <c r="F1127" s="54" t="n">
        <v>20</v>
      </c>
      <c r="G1127" s="55" t="n">
        <v>734.9</v>
      </c>
      <c r="H1127" s="55" t="n">
        <v>36.745</v>
      </c>
      <c r="I1127" s="55" t="n">
        <v>30</v>
      </c>
      <c r="J1127" s="52" t="s">
        <v>5816</v>
      </c>
      <c r="K1127" s="56" t="n">
        <v>1</v>
      </c>
      <c r="L1127" s="52" t="s">
        <v>5816</v>
      </c>
      <c r="M1127" s="52" t="s">
        <v>835</v>
      </c>
    </row>
    <row r="1128" customFormat="false" ht="17.25" hidden="false" customHeight="true" outlineLevel="0" collapsed="false">
      <c r="A1128" s="52" t="s">
        <v>5777</v>
      </c>
      <c r="B1128" s="52" t="s">
        <v>5813</v>
      </c>
      <c r="C1128" s="53" t="n">
        <v>1383081</v>
      </c>
      <c r="D1128" s="52" t="s">
        <v>2547</v>
      </c>
      <c r="E1128" s="52" t="s">
        <v>2548</v>
      </c>
      <c r="F1128" s="54" t="n">
        <v>6</v>
      </c>
      <c r="G1128" s="55" t="n">
        <v>731.13</v>
      </c>
      <c r="H1128" s="55" t="n">
        <v>121.855</v>
      </c>
      <c r="I1128" s="55" t="n">
        <v>121.855</v>
      </c>
      <c r="J1128" s="52" t="s">
        <v>5816</v>
      </c>
      <c r="K1128" s="56" t="n">
        <v>1</v>
      </c>
      <c r="L1128" s="52" t="s">
        <v>5816</v>
      </c>
      <c r="M1128" s="52" t="s">
        <v>38</v>
      </c>
    </row>
    <row r="1129" customFormat="false" ht="17.25" hidden="false" customHeight="true" outlineLevel="0" collapsed="false">
      <c r="A1129" s="52" t="s">
        <v>5777</v>
      </c>
      <c r="B1129" s="52" t="s">
        <v>5813</v>
      </c>
      <c r="C1129" s="53" t="n">
        <v>867162</v>
      </c>
      <c r="D1129" s="52" t="s">
        <v>2549</v>
      </c>
      <c r="E1129" s="52" t="s">
        <v>2550</v>
      </c>
      <c r="F1129" s="54" t="n">
        <v>2</v>
      </c>
      <c r="G1129" s="55" t="n">
        <v>730</v>
      </c>
      <c r="H1129" s="55" t="n">
        <v>365</v>
      </c>
      <c r="I1129" s="55" t="n">
        <v>365</v>
      </c>
      <c r="J1129" s="52" t="s">
        <v>5816</v>
      </c>
      <c r="K1129" s="56" t="n">
        <v>1</v>
      </c>
      <c r="L1129" s="52" t="s">
        <v>5816</v>
      </c>
      <c r="M1129" s="52" t="s">
        <v>93</v>
      </c>
    </row>
    <row r="1130" customFormat="false" ht="17.25" hidden="false" customHeight="true" outlineLevel="0" collapsed="false">
      <c r="A1130" s="52" t="s">
        <v>5777</v>
      </c>
      <c r="B1130" s="52" t="s">
        <v>5813</v>
      </c>
      <c r="C1130" s="53" t="n">
        <v>19757</v>
      </c>
      <c r="D1130" s="52" t="s">
        <v>2551</v>
      </c>
      <c r="E1130" s="52" t="s">
        <v>2552</v>
      </c>
      <c r="F1130" s="54" t="n">
        <v>60</v>
      </c>
      <c r="G1130" s="55" t="n">
        <v>729</v>
      </c>
      <c r="H1130" s="55" t="n">
        <v>12.15</v>
      </c>
      <c r="I1130" s="55" t="n">
        <v>12.15</v>
      </c>
      <c r="J1130" s="52" t="s">
        <v>5816</v>
      </c>
      <c r="K1130" s="56" t="n">
        <v>1</v>
      </c>
      <c r="L1130" s="52" t="s">
        <v>5816</v>
      </c>
      <c r="M1130" s="52" t="s">
        <v>605</v>
      </c>
    </row>
    <row r="1131" customFormat="false" ht="17.25" hidden="false" customHeight="true" outlineLevel="0" collapsed="false">
      <c r="A1131" s="52" t="s">
        <v>5777</v>
      </c>
      <c r="B1131" s="52" t="s">
        <v>5813</v>
      </c>
      <c r="C1131" s="53" t="n">
        <v>1677140</v>
      </c>
      <c r="D1131" s="52" t="s">
        <v>2553</v>
      </c>
      <c r="E1131" s="52" t="s">
        <v>2554</v>
      </c>
      <c r="F1131" s="54" t="n">
        <v>8</v>
      </c>
      <c r="G1131" s="55" t="n">
        <v>728</v>
      </c>
      <c r="H1131" s="55" t="n">
        <v>91</v>
      </c>
      <c r="I1131" s="55" t="n">
        <v>91</v>
      </c>
      <c r="J1131" s="52" t="s">
        <v>5816</v>
      </c>
      <c r="K1131" s="56" t="n">
        <v>1</v>
      </c>
      <c r="L1131" s="52" t="s">
        <v>5816</v>
      </c>
      <c r="M1131" s="52" t="s">
        <v>38</v>
      </c>
    </row>
    <row r="1132" customFormat="false" ht="17.25" hidden="false" customHeight="true" outlineLevel="0" collapsed="false">
      <c r="A1132" s="52" t="s">
        <v>5777</v>
      </c>
      <c r="B1132" s="52" t="s">
        <v>5813</v>
      </c>
      <c r="C1132" s="53" t="n">
        <v>650867</v>
      </c>
      <c r="D1132" s="52" t="s">
        <v>2555</v>
      </c>
      <c r="E1132" s="52" t="s">
        <v>2556</v>
      </c>
      <c r="F1132" s="54" t="n">
        <v>110</v>
      </c>
      <c r="G1132" s="55" t="n">
        <v>726</v>
      </c>
      <c r="H1132" s="55" t="n">
        <v>6.6</v>
      </c>
      <c r="I1132" s="55" t="n">
        <v>6.6</v>
      </c>
      <c r="J1132" s="52" t="s">
        <v>5816</v>
      </c>
      <c r="K1132" s="56" t="n">
        <v>1</v>
      </c>
      <c r="L1132" s="52" t="s">
        <v>5816</v>
      </c>
      <c r="M1132" s="52" t="s">
        <v>100</v>
      </c>
    </row>
    <row r="1133" customFormat="false" ht="17.25" hidden="false" customHeight="true" outlineLevel="0" collapsed="false">
      <c r="A1133" s="52" t="s">
        <v>5777</v>
      </c>
      <c r="B1133" s="52" t="s">
        <v>5813</v>
      </c>
      <c r="C1133" s="53" t="n">
        <v>1608987</v>
      </c>
      <c r="D1133" s="52" t="s">
        <v>2557</v>
      </c>
      <c r="E1133" s="52" t="s">
        <v>2558</v>
      </c>
      <c r="F1133" s="54" t="n">
        <v>5</v>
      </c>
      <c r="G1133" s="55" t="n">
        <v>725</v>
      </c>
      <c r="H1133" s="55" t="n">
        <v>145</v>
      </c>
      <c r="I1133" s="55" t="n">
        <v>145</v>
      </c>
      <c r="J1133" s="52" t="s">
        <v>5816</v>
      </c>
      <c r="K1133" s="56" t="n">
        <v>1</v>
      </c>
      <c r="L1133" s="52" t="s">
        <v>5816</v>
      </c>
      <c r="M1133" s="52" t="s">
        <v>170</v>
      </c>
    </row>
    <row r="1134" customFormat="false" ht="17.25" hidden="false" customHeight="true" outlineLevel="0" collapsed="false">
      <c r="A1134" s="52" t="s">
        <v>5777</v>
      </c>
      <c r="B1134" s="52" t="s">
        <v>5813</v>
      </c>
      <c r="C1134" s="53" t="n">
        <v>1463944</v>
      </c>
      <c r="D1134" s="52" t="s">
        <v>2559</v>
      </c>
      <c r="E1134" s="52" t="s">
        <v>2560</v>
      </c>
      <c r="F1134" s="54" t="n">
        <v>20.7</v>
      </c>
      <c r="G1134" s="55" t="n">
        <v>721.68</v>
      </c>
      <c r="H1134" s="55" t="n">
        <v>34.8638</v>
      </c>
      <c r="I1134" s="55" t="n">
        <v>34.8638</v>
      </c>
      <c r="J1134" s="52" t="s">
        <v>5814</v>
      </c>
      <c r="K1134" s="56" t="n">
        <v>1</v>
      </c>
      <c r="L1134" s="52" t="s">
        <v>5814</v>
      </c>
      <c r="M1134" s="52" t="s">
        <v>38</v>
      </c>
    </row>
    <row r="1135" customFormat="false" ht="17.25" hidden="false" customHeight="true" outlineLevel="0" collapsed="false">
      <c r="A1135" s="52" t="s">
        <v>5777</v>
      </c>
      <c r="B1135" s="52" t="s">
        <v>5813</v>
      </c>
      <c r="C1135" s="53" t="n">
        <v>1330074</v>
      </c>
      <c r="D1135" s="52" t="s">
        <v>2385</v>
      </c>
      <c r="E1135" s="52" t="s">
        <v>2386</v>
      </c>
      <c r="F1135" s="54" t="n">
        <v>60</v>
      </c>
      <c r="G1135" s="55" t="n">
        <v>720</v>
      </c>
      <c r="H1135" s="55" t="n">
        <v>12</v>
      </c>
      <c r="I1135" s="55" t="n">
        <v>12</v>
      </c>
      <c r="J1135" s="52" t="s">
        <v>5816</v>
      </c>
      <c r="K1135" s="56" t="n">
        <v>1</v>
      </c>
      <c r="L1135" s="52" t="s">
        <v>5816</v>
      </c>
      <c r="M1135" s="52" t="s">
        <v>130</v>
      </c>
    </row>
    <row r="1136" customFormat="false" ht="17.25" hidden="false" customHeight="true" outlineLevel="0" collapsed="false">
      <c r="A1136" s="52" t="s">
        <v>5777</v>
      </c>
      <c r="B1136" s="52" t="s">
        <v>5813</v>
      </c>
      <c r="C1136" s="53" t="n">
        <v>1679657</v>
      </c>
      <c r="D1136" s="52" t="s">
        <v>2561</v>
      </c>
      <c r="E1136" s="52" t="s">
        <v>2562</v>
      </c>
      <c r="F1136" s="54" t="n">
        <v>4</v>
      </c>
      <c r="G1136" s="55" t="n">
        <v>720</v>
      </c>
      <c r="H1136" s="55" t="n">
        <v>180</v>
      </c>
      <c r="I1136" s="55" t="n">
        <v>180</v>
      </c>
      <c r="J1136" s="52" t="s">
        <v>5816</v>
      </c>
      <c r="K1136" s="56" t="n">
        <v>1</v>
      </c>
      <c r="L1136" s="52" t="s">
        <v>5816</v>
      </c>
      <c r="M1136" s="52" t="s">
        <v>480</v>
      </c>
    </row>
    <row r="1137" customFormat="false" ht="17.25" hidden="false" customHeight="true" outlineLevel="0" collapsed="false">
      <c r="A1137" s="52" t="s">
        <v>5777</v>
      </c>
      <c r="B1137" s="52" t="s">
        <v>5813</v>
      </c>
      <c r="C1137" s="53" t="n">
        <v>852441</v>
      </c>
      <c r="D1137" s="52" t="s">
        <v>2157</v>
      </c>
      <c r="E1137" s="52" t="s">
        <v>2158</v>
      </c>
      <c r="F1137" s="54" t="n">
        <v>51</v>
      </c>
      <c r="G1137" s="55" t="n">
        <v>719.116</v>
      </c>
      <c r="H1137" s="55" t="n">
        <v>14.1004</v>
      </c>
      <c r="I1137" s="55" t="n">
        <v>13.72</v>
      </c>
      <c r="J1137" s="52" t="s">
        <v>5816</v>
      </c>
      <c r="K1137" s="56" t="n">
        <v>1</v>
      </c>
      <c r="L1137" s="52" t="s">
        <v>5816</v>
      </c>
      <c r="M1137" s="52" t="s">
        <v>1618</v>
      </c>
    </row>
    <row r="1138" customFormat="false" ht="17.25" hidden="false" customHeight="true" outlineLevel="0" collapsed="false">
      <c r="A1138" s="52" t="s">
        <v>5777</v>
      </c>
      <c r="B1138" s="52" t="s">
        <v>5813</v>
      </c>
      <c r="C1138" s="53" t="n">
        <v>840027</v>
      </c>
      <c r="D1138" s="52" t="s">
        <v>2563</v>
      </c>
      <c r="E1138" s="52" t="s">
        <v>2564</v>
      </c>
      <c r="F1138" s="54" t="n">
        <v>142</v>
      </c>
      <c r="G1138" s="55" t="n">
        <v>714.8</v>
      </c>
      <c r="H1138" s="55" t="n">
        <v>5.0338</v>
      </c>
      <c r="I1138" s="55" t="n">
        <v>5.65</v>
      </c>
      <c r="J1138" s="52" t="s">
        <v>5816</v>
      </c>
      <c r="K1138" s="56" t="n">
        <v>1</v>
      </c>
      <c r="L1138" s="52" t="s">
        <v>5816</v>
      </c>
      <c r="M1138" s="52" t="s">
        <v>54</v>
      </c>
    </row>
    <row r="1139" customFormat="false" ht="17.25" hidden="false" customHeight="true" outlineLevel="0" collapsed="false">
      <c r="A1139" s="52" t="s">
        <v>5777</v>
      </c>
      <c r="B1139" s="52" t="s">
        <v>5813</v>
      </c>
      <c r="C1139" s="53" t="n">
        <v>840049</v>
      </c>
      <c r="D1139" s="52" t="s">
        <v>2565</v>
      </c>
      <c r="E1139" s="52" t="s">
        <v>2566</v>
      </c>
      <c r="F1139" s="54" t="n">
        <v>31</v>
      </c>
      <c r="G1139" s="55" t="n">
        <v>713</v>
      </c>
      <c r="H1139" s="55" t="n">
        <v>23</v>
      </c>
      <c r="I1139" s="55" t="n">
        <v>23</v>
      </c>
      <c r="J1139" s="52" t="s">
        <v>5816</v>
      </c>
      <c r="K1139" s="56" t="n">
        <v>1</v>
      </c>
      <c r="L1139" s="52" t="s">
        <v>5816</v>
      </c>
      <c r="M1139" s="52" t="s">
        <v>38</v>
      </c>
    </row>
    <row r="1140" customFormat="false" ht="17.25" hidden="false" customHeight="true" outlineLevel="0" collapsed="false">
      <c r="A1140" s="52" t="s">
        <v>5777</v>
      </c>
      <c r="B1140" s="52" t="s">
        <v>5813</v>
      </c>
      <c r="C1140" s="53" t="n">
        <v>1486656</v>
      </c>
      <c r="D1140" s="52" t="s">
        <v>2567</v>
      </c>
      <c r="E1140" s="52" t="s">
        <v>2568</v>
      </c>
      <c r="F1140" s="54" t="n">
        <v>20</v>
      </c>
      <c r="G1140" s="55" t="n">
        <v>712.8</v>
      </c>
      <c r="H1140" s="55" t="n">
        <v>35.64</v>
      </c>
      <c r="I1140" s="55" t="n">
        <v>35.64</v>
      </c>
      <c r="J1140" s="52" t="s">
        <v>5816</v>
      </c>
      <c r="K1140" s="56" t="n">
        <v>1</v>
      </c>
      <c r="L1140" s="52" t="s">
        <v>5816</v>
      </c>
      <c r="M1140" s="52" t="s">
        <v>38</v>
      </c>
    </row>
    <row r="1141" customFormat="false" ht="17.25" hidden="false" customHeight="true" outlineLevel="0" collapsed="false">
      <c r="A1141" s="52" t="s">
        <v>5777</v>
      </c>
      <c r="B1141" s="52" t="s">
        <v>5813</v>
      </c>
      <c r="C1141" s="53" t="n">
        <v>277925</v>
      </c>
      <c r="D1141" s="52" t="s">
        <v>2569</v>
      </c>
      <c r="E1141" s="52" t="s">
        <v>2570</v>
      </c>
      <c r="F1141" s="54" t="n">
        <v>120</v>
      </c>
      <c r="G1141" s="55" t="n">
        <v>712.37</v>
      </c>
      <c r="H1141" s="55" t="n">
        <v>5.9364</v>
      </c>
      <c r="I1141" s="55" t="n">
        <v>5.9364</v>
      </c>
      <c r="J1141" s="52" t="s">
        <v>5816</v>
      </c>
      <c r="K1141" s="56" t="n">
        <v>1</v>
      </c>
      <c r="L1141" s="52" t="s">
        <v>5816</v>
      </c>
      <c r="M1141" s="52" t="s">
        <v>100</v>
      </c>
    </row>
    <row r="1142" customFormat="false" ht="17.25" hidden="false" customHeight="true" outlineLevel="0" collapsed="false">
      <c r="A1142" s="52" t="s">
        <v>5777</v>
      </c>
      <c r="B1142" s="52" t="s">
        <v>5813</v>
      </c>
      <c r="C1142" s="53" t="n">
        <v>741345</v>
      </c>
      <c r="D1142" s="52" t="s">
        <v>2315</v>
      </c>
      <c r="E1142" s="52" t="s">
        <v>2316</v>
      </c>
      <c r="F1142" s="54" t="n">
        <v>30</v>
      </c>
      <c r="G1142" s="55" t="n">
        <v>712.2</v>
      </c>
      <c r="H1142" s="55" t="n">
        <v>23.74</v>
      </c>
      <c r="I1142" s="55" t="n">
        <v>23.74</v>
      </c>
      <c r="J1142" s="52" t="s">
        <v>5816</v>
      </c>
      <c r="K1142" s="56" t="n">
        <v>1</v>
      </c>
      <c r="L1142" s="52" t="s">
        <v>5816</v>
      </c>
      <c r="M1142" s="52" t="s">
        <v>130</v>
      </c>
    </row>
    <row r="1143" customFormat="false" ht="17.25" hidden="false" customHeight="true" outlineLevel="0" collapsed="false">
      <c r="A1143" s="52" t="s">
        <v>5777</v>
      </c>
      <c r="B1143" s="52" t="s">
        <v>5813</v>
      </c>
      <c r="C1143" s="53" t="n">
        <v>1387922</v>
      </c>
      <c r="D1143" s="52" t="s">
        <v>2571</v>
      </c>
      <c r="E1143" s="52" t="s">
        <v>2572</v>
      </c>
      <c r="F1143" s="54" t="n">
        <v>15</v>
      </c>
      <c r="G1143" s="55" t="n">
        <v>709.46</v>
      </c>
      <c r="H1143" s="55" t="n">
        <v>47.2973</v>
      </c>
      <c r="I1143" s="55" t="n">
        <v>32.5</v>
      </c>
      <c r="J1143" s="52" t="s">
        <v>5816</v>
      </c>
      <c r="K1143" s="56" t="n">
        <v>1</v>
      </c>
      <c r="L1143" s="52" t="s">
        <v>5816</v>
      </c>
      <c r="M1143" s="52" t="s">
        <v>100</v>
      </c>
    </row>
    <row r="1144" customFormat="false" ht="17.25" hidden="false" customHeight="true" outlineLevel="0" collapsed="false">
      <c r="A1144" s="52" t="s">
        <v>5777</v>
      </c>
      <c r="B1144" s="52" t="s">
        <v>5813</v>
      </c>
      <c r="C1144" s="53" t="n">
        <v>10374</v>
      </c>
      <c r="D1144" s="52" t="s">
        <v>2573</v>
      </c>
      <c r="E1144" s="52" t="s">
        <v>2574</v>
      </c>
      <c r="F1144" s="54" t="n">
        <v>122.09</v>
      </c>
      <c r="G1144" s="55" t="n">
        <v>709.34</v>
      </c>
      <c r="H1144" s="55" t="n">
        <v>5.81</v>
      </c>
      <c r="I1144" s="55" t="n">
        <v>5.81</v>
      </c>
      <c r="J1144" s="52" t="s">
        <v>5822</v>
      </c>
      <c r="K1144" s="56" t="n">
        <v>1</v>
      </c>
      <c r="L1144" s="52" t="s">
        <v>5822</v>
      </c>
      <c r="M1144" s="52" t="s">
        <v>133</v>
      </c>
    </row>
    <row r="1145" customFormat="false" ht="17.25" hidden="false" customHeight="true" outlineLevel="0" collapsed="false">
      <c r="A1145" s="52" t="s">
        <v>5777</v>
      </c>
      <c r="B1145" s="52" t="s">
        <v>5813</v>
      </c>
      <c r="C1145" s="53" t="n">
        <v>1471882</v>
      </c>
      <c r="D1145" s="52" t="s">
        <v>2575</v>
      </c>
      <c r="E1145" s="52" t="s">
        <v>2576</v>
      </c>
      <c r="F1145" s="54" t="n">
        <v>5</v>
      </c>
      <c r="G1145" s="55" t="n">
        <v>704.1</v>
      </c>
      <c r="H1145" s="55" t="n">
        <v>140.82</v>
      </c>
      <c r="I1145" s="55" t="n">
        <v>80.1</v>
      </c>
      <c r="J1145" s="52" t="s">
        <v>5816</v>
      </c>
      <c r="K1145" s="56" t="n">
        <v>1</v>
      </c>
      <c r="L1145" s="52" t="s">
        <v>5816</v>
      </c>
      <c r="M1145" s="52" t="s">
        <v>167</v>
      </c>
    </row>
    <row r="1146" customFormat="false" ht="17.25" hidden="false" customHeight="true" outlineLevel="0" collapsed="false">
      <c r="A1146" s="52" t="s">
        <v>5777</v>
      </c>
      <c r="B1146" s="52" t="s">
        <v>5813</v>
      </c>
      <c r="C1146" s="53" t="n">
        <v>837693</v>
      </c>
      <c r="D1146" s="52" t="s">
        <v>2577</v>
      </c>
      <c r="E1146" s="52" t="s">
        <v>2578</v>
      </c>
      <c r="F1146" s="54" t="n">
        <v>33</v>
      </c>
      <c r="G1146" s="55" t="n">
        <v>701.91</v>
      </c>
      <c r="H1146" s="55" t="n">
        <v>21.27</v>
      </c>
      <c r="I1146" s="55" t="n">
        <v>21.27</v>
      </c>
      <c r="J1146" s="52" t="s">
        <v>5816</v>
      </c>
      <c r="K1146" s="56" t="n">
        <v>1</v>
      </c>
      <c r="L1146" s="52" t="s">
        <v>5816</v>
      </c>
      <c r="M1146" s="52" t="s">
        <v>38</v>
      </c>
    </row>
    <row r="1147" customFormat="false" ht="17.25" hidden="false" customHeight="true" outlineLevel="0" collapsed="false">
      <c r="A1147" s="52" t="s">
        <v>5777</v>
      </c>
      <c r="B1147" s="52" t="s">
        <v>5813</v>
      </c>
      <c r="C1147" s="53" t="n">
        <v>279068</v>
      </c>
      <c r="D1147" s="52" t="s">
        <v>2579</v>
      </c>
      <c r="E1147" s="52" t="s">
        <v>2580</v>
      </c>
      <c r="F1147" s="54" t="n">
        <v>110</v>
      </c>
      <c r="G1147" s="55" t="n">
        <v>701.9</v>
      </c>
      <c r="H1147" s="55" t="n">
        <v>6.3809</v>
      </c>
      <c r="I1147" s="55" t="n">
        <v>6.27</v>
      </c>
      <c r="J1147" s="52" t="s">
        <v>5816</v>
      </c>
      <c r="K1147" s="56" t="n">
        <v>1</v>
      </c>
      <c r="L1147" s="52" t="s">
        <v>5816</v>
      </c>
      <c r="M1147" s="52" t="s">
        <v>1618</v>
      </c>
    </row>
    <row r="1148" customFormat="false" ht="17.25" hidden="false" customHeight="true" outlineLevel="0" collapsed="false">
      <c r="A1148" s="52" t="s">
        <v>5777</v>
      </c>
      <c r="B1148" s="52" t="s">
        <v>5813</v>
      </c>
      <c r="C1148" s="53" t="n">
        <v>1474943</v>
      </c>
      <c r="D1148" s="52" t="s">
        <v>2581</v>
      </c>
      <c r="E1148" s="52" t="s">
        <v>2582</v>
      </c>
      <c r="F1148" s="54" t="n">
        <v>2</v>
      </c>
      <c r="G1148" s="55" t="n">
        <v>701.42</v>
      </c>
      <c r="H1148" s="55" t="n">
        <v>350.71</v>
      </c>
      <c r="I1148" s="55" t="n">
        <v>350.71</v>
      </c>
      <c r="J1148" s="52" t="s">
        <v>5816</v>
      </c>
      <c r="K1148" s="56" t="n">
        <v>1</v>
      </c>
      <c r="L1148" s="52" t="s">
        <v>5816</v>
      </c>
      <c r="M1148" s="52" t="s">
        <v>38</v>
      </c>
    </row>
    <row r="1149" customFormat="false" ht="17.25" hidden="false" customHeight="true" outlineLevel="0" collapsed="false">
      <c r="A1149" s="52" t="s">
        <v>5777</v>
      </c>
      <c r="B1149" s="52" t="s">
        <v>5813</v>
      </c>
      <c r="C1149" s="53" t="n">
        <v>17907</v>
      </c>
      <c r="D1149" s="52" t="s">
        <v>2583</v>
      </c>
      <c r="E1149" s="52" t="s">
        <v>2584</v>
      </c>
      <c r="F1149" s="54" t="n">
        <v>2</v>
      </c>
      <c r="G1149" s="55" t="n">
        <v>698</v>
      </c>
      <c r="H1149" s="55" t="n">
        <v>349</v>
      </c>
      <c r="I1149" s="55" t="n">
        <v>470</v>
      </c>
      <c r="J1149" s="52" t="s">
        <v>5816</v>
      </c>
      <c r="K1149" s="56" t="n">
        <v>1</v>
      </c>
      <c r="L1149" s="52" t="s">
        <v>5816</v>
      </c>
      <c r="M1149" s="52" t="s">
        <v>130</v>
      </c>
    </row>
    <row r="1150" customFormat="false" ht="17.25" hidden="false" customHeight="true" outlineLevel="0" collapsed="false">
      <c r="A1150" s="52" t="s">
        <v>5777</v>
      </c>
      <c r="B1150" s="52" t="s">
        <v>5813</v>
      </c>
      <c r="C1150" s="53" t="n">
        <v>859797</v>
      </c>
      <c r="D1150" s="52" t="s">
        <v>2585</v>
      </c>
      <c r="E1150" s="52" t="s">
        <v>2586</v>
      </c>
      <c r="F1150" s="54" t="n">
        <v>11</v>
      </c>
      <c r="G1150" s="55" t="n">
        <v>697.07</v>
      </c>
      <c r="H1150" s="55" t="n">
        <v>63.37</v>
      </c>
      <c r="I1150" s="55" t="n">
        <v>63.37</v>
      </c>
      <c r="J1150" s="52" t="s">
        <v>5816</v>
      </c>
      <c r="K1150" s="56" t="n">
        <v>1</v>
      </c>
      <c r="L1150" s="52" t="s">
        <v>5816</v>
      </c>
      <c r="M1150" s="52" t="s">
        <v>38</v>
      </c>
    </row>
    <row r="1151" customFormat="false" ht="17.25" hidden="false" customHeight="true" outlineLevel="0" collapsed="false">
      <c r="A1151" s="52" t="s">
        <v>5777</v>
      </c>
      <c r="B1151" s="52" t="s">
        <v>5813</v>
      </c>
      <c r="C1151" s="53" t="n">
        <v>1382670</v>
      </c>
      <c r="D1151" s="52" t="s">
        <v>2587</v>
      </c>
      <c r="E1151" s="52" t="s">
        <v>2588</v>
      </c>
      <c r="F1151" s="54" t="n">
        <v>33</v>
      </c>
      <c r="G1151" s="55" t="n">
        <v>696.52</v>
      </c>
      <c r="H1151" s="55" t="n">
        <v>21.1067</v>
      </c>
      <c r="I1151" s="55" t="n">
        <v>6.87</v>
      </c>
      <c r="J1151" s="52" t="s">
        <v>5816</v>
      </c>
      <c r="K1151" s="56" t="n">
        <v>1</v>
      </c>
      <c r="L1151" s="52" t="s">
        <v>5816</v>
      </c>
      <c r="M1151" s="52" t="s">
        <v>100</v>
      </c>
    </row>
    <row r="1152" customFormat="false" ht="17.25" hidden="false" customHeight="true" outlineLevel="0" collapsed="false">
      <c r="A1152" s="52" t="s">
        <v>5777</v>
      </c>
      <c r="B1152" s="52" t="s">
        <v>5813</v>
      </c>
      <c r="C1152" s="53" t="n">
        <v>1668926</v>
      </c>
      <c r="D1152" s="52" t="s">
        <v>2589</v>
      </c>
      <c r="E1152" s="52" t="s">
        <v>2590</v>
      </c>
      <c r="F1152" s="54" t="n">
        <v>8</v>
      </c>
      <c r="G1152" s="55" t="n">
        <v>696</v>
      </c>
      <c r="H1152" s="55" t="n">
        <v>87</v>
      </c>
      <c r="I1152" s="55" t="n">
        <v>87</v>
      </c>
      <c r="J1152" s="52" t="s">
        <v>5816</v>
      </c>
      <c r="K1152" s="56" t="n">
        <v>1</v>
      </c>
      <c r="L1152" s="52" t="s">
        <v>5816</v>
      </c>
      <c r="M1152" s="52" t="s">
        <v>605</v>
      </c>
    </row>
    <row r="1153" customFormat="false" ht="17.25" hidden="false" customHeight="true" outlineLevel="0" collapsed="false">
      <c r="A1153" s="52" t="s">
        <v>5777</v>
      </c>
      <c r="B1153" s="52" t="s">
        <v>5813</v>
      </c>
      <c r="C1153" s="53" t="n">
        <v>936333</v>
      </c>
      <c r="D1153" s="52" t="s">
        <v>2591</v>
      </c>
      <c r="E1153" s="52" t="s">
        <v>2592</v>
      </c>
      <c r="F1153" s="54" t="n">
        <v>3</v>
      </c>
      <c r="G1153" s="55" t="n">
        <v>694</v>
      </c>
      <c r="H1153" s="55" t="n">
        <v>231.3333</v>
      </c>
      <c r="I1153" s="55" t="n">
        <v>298</v>
      </c>
      <c r="J1153" s="52" t="s">
        <v>5816</v>
      </c>
      <c r="K1153" s="56" t="n">
        <v>1</v>
      </c>
      <c r="L1153" s="52" t="s">
        <v>5816</v>
      </c>
      <c r="M1153" s="52" t="s">
        <v>38</v>
      </c>
    </row>
    <row r="1154" customFormat="false" ht="17.25" hidden="false" customHeight="true" outlineLevel="0" collapsed="false">
      <c r="A1154" s="52" t="s">
        <v>5777</v>
      </c>
      <c r="B1154" s="52" t="s">
        <v>5813</v>
      </c>
      <c r="C1154" s="53" t="n">
        <v>89393</v>
      </c>
      <c r="D1154" s="52" t="s">
        <v>2593</v>
      </c>
      <c r="E1154" s="52" t="s">
        <v>2594</v>
      </c>
      <c r="F1154" s="54" t="n">
        <v>18</v>
      </c>
      <c r="G1154" s="55" t="n">
        <v>693.64</v>
      </c>
      <c r="H1154" s="55" t="n">
        <v>38.5356</v>
      </c>
      <c r="I1154" s="55" t="n">
        <v>38.5356</v>
      </c>
      <c r="J1154" s="52" t="s">
        <v>5816</v>
      </c>
      <c r="K1154" s="56" t="n">
        <v>1</v>
      </c>
      <c r="L1154" s="52" t="s">
        <v>5816</v>
      </c>
      <c r="M1154" s="52" t="s">
        <v>100</v>
      </c>
    </row>
    <row r="1155" customFormat="false" ht="17.25" hidden="false" customHeight="true" outlineLevel="0" collapsed="false">
      <c r="A1155" s="52" t="s">
        <v>5777</v>
      </c>
      <c r="B1155" s="52" t="s">
        <v>5813</v>
      </c>
      <c r="C1155" s="53" t="n">
        <v>21733</v>
      </c>
      <c r="D1155" s="52" t="s">
        <v>2595</v>
      </c>
      <c r="E1155" s="52" t="s">
        <v>2596</v>
      </c>
      <c r="F1155" s="54" t="n">
        <v>14</v>
      </c>
      <c r="G1155" s="55" t="n">
        <v>693</v>
      </c>
      <c r="H1155" s="55" t="n">
        <v>49.5</v>
      </c>
      <c r="I1155" s="55" t="n">
        <v>52.9</v>
      </c>
      <c r="J1155" s="52" t="s">
        <v>5816</v>
      </c>
      <c r="K1155" s="56" t="n">
        <v>1</v>
      </c>
      <c r="L1155" s="52" t="s">
        <v>5816</v>
      </c>
      <c r="M1155" s="52" t="s">
        <v>130</v>
      </c>
    </row>
    <row r="1156" customFormat="false" ht="17.25" hidden="false" customHeight="true" outlineLevel="0" collapsed="false">
      <c r="A1156" s="52" t="s">
        <v>5777</v>
      </c>
      <c r="B1156" s="52" t="s">
        <v>5813</v>
      </c>
      <c r="C1156" s="53" t="n">
        <v>387978</v>
      </c>
      <c r="D1156" s="52" t="s">
        <v>2597</v>
      </c>
      <c r="E1156" s="52" t="s">
        <v>2598</v>
      </c>
      <c r="F1156" s="54" t="n">
        <v>10</v>
      </c>
      <c r="G1156" s="55" t="n">
        <v>690</v>
      </c>
      <c r="H1156" s="55" t="n">
        <v>69</v>
      </c>
      <c r="I1156" s="55" t="n">
        <v>69</v>
      </c>
      <c r="J1156" s="52" t="s">
        <v>5816</v>
      </c>
      <c r="K1156" s="56" t="n">
        <v>1</v>
      </c>
      <c r="L1156" s="52" t="s">
        <v>5816</v>
      </c>
      <c r="M1156" s="52" t="s">
        <v>189</v>
      </c>
    </row>
    <row r="1157" customFormat="false" ht="17.25" hidden="false" customHeight="true" outlineLevel="0" collapsed="false">
      <c r="A1157" s="52" t="s">
        <v>5777</v>
      </c>
      <c r="B1157" s="52" t="s">
        <v>5813</v>
      </c>
      <c r="C1157" s="53" t="n">
        <v>959277</v>
      </c>
      <c r="D1157" s="52" t="s">
        <v>2599</v>
      </c>
      <c r="E1157" s="52" t="s">
        <v>2600</v>
      </c>
      <c r="F1157" s="54" t="n">
        <v>1000</v>
      </c>
      <c r="G1157" s="55" t="n">
        <v>690</v>
      </c>
      <c r="H1157" s="55" t="n">
        <v>0.69</v>
      </c>
      <c r="I1157" s="55" t="n">
        <v>0.69</v>
      </c>
      <c r="J1157" s="52" t="s">
        <v>5816</v>
      </c>
      <c r="K1157" s="56" t="n">
        <v>1</v>
      </c>
      <c r="L1157" s="52" t="s">
        <v>5816</v>
      </c>
      <c r="M1157" s="52" t="s">
        <v>54</v>
      </c>
    </row>
    <row r="1158" customFormat="false" ht="17.25" hidden="false" customHeight="true" outlineLevel="0" collapsed="false">
      <c r="A1158" s="52" t="s">
        <v>5777</v>
      </c>
      <c r="B1158" s="52" t="s">
        <v>5813</v>
      </c>
      <c r="C1158" s="53" t="n">
        <v>1539027</v>
      </c>
      <c r="D1158" s="52" t="s">
        <v>2601</v>
      </c>
      <c r="E1158" s="52" t="s">
        <v>2602</v>
      </c>
      <c r="F1158" s="54" t="n">
        <v>1</v>
      </c>
      <c r="G1158" s="55" t="n">
        <v>690</v>
      </c>
      <c r="H1158" s="55" t="n">
        <v>690</v>
      </c>
      <c r="I1158" s="55" t="n">
        <v>690</v>
      </c>
      <c r="J1158" s="52" t="s">
        <v>5816</v>
      </c>
      <c r="K1158" s="56" t="n">
        <v>1</v>
      </c>
      <c r="L1158" s="52" t="s">
        <v>5816</v>
      </c>
      <c r="M1158" s="52" t="s">
        <v>38</v>
      </c>
    </row>
    <row r="1159" customFormat="false" ht="17.25" hidden="false" customHeight="true" outlineLevel="0" collapsed="false">
      <c r="A1159" s="52" t="s">
        <v>5777</v>
      </c>
      <c r="B1159" s="52" t="s">
        <v>5813</v>
      </c>
      <c r="C1159" s="53" t="n">
        <v>22114</v>
      </c>
      <c r="D1159" s="52" t="s">
        <v>2605</v>
      </c>
      <c r="E1159" s="52" t="s">
        <v>2606</v>
      </c>
      <c r="F1159" s="54" t="n">
        <v>3</v>
      </c>
      <c r="G1159" s="55" t="n">
        <v>684</v>
      </c>
      <c r="H1159" s="55" t="n">
        <v>228</v>
      </c>
      <c r="I1159" s="55" t="n">
        <v>228</v>
      </c>
      <c r="J1159" s="52" t="s">
        <v>5816</v>
      </c>
      <c r="K1159" s="56" t="n">
        <v>1</v>
      </c>
      <c r="L1159" s="52" t="s">
        <v>5816</v>
      </c>
      <c r="M1159" s="52" t="s">
        <v>189</v>
      </c>
    </row>
    <row r="1160" customFormat="false" ht="17.25" hidden="false" customHeight="true" outlineLevel="0" collapsed="false">
      <c r="A1160" s="52" t="s">
        <v>5777</v>
      </c>
      <c r="B1160" s="52" t="s">
        <v>5813</v>
      </c>
      <c r="C1160" s="53" t="n">
        <v>60056</v>
      </c>
      <c r="D1160" s="52" t="s">
        <v>2607</v>
      </c>
      <c r="E1160" s="52" t="s">
        <v>2608</v>
      </c>
      <c r="F1160" s="54" t="n">
        <v>31</v>
      </c>
      <c r="G1160" s="55" t="n">
        <v>681.38</v>
      </c>
      <c r="H1160" s="55" t="n">
        <v>21.98</v>
      </c>
      <c r="I1160" s="55" t="n">
        <v>21.98</v>
      </c>
      <c r="J1160" s="52" t="s">
        <v>5816</v>
      </c>
      <c r="K1160" s="56" t="n">
        <v>1</v>
      </c>
      <c r="L1160" s="52" t="s">
        <v>5816</v>
      </c>
      <c r="M1160" s="52" t="s">
        <v>38</v>
      </c>
    </row>
    <row r="1161" customFormat="false" ht="17.25" hidden="false" customHeight="true" outlineLevel="0" collapsed="false">
      <c r="A1161" s="52" t="s">
        <v>5777</v>
      </c>
      <c r="B1161" s="52" t="s">
        <v>5813</v>
      </c>
      <c r="C1161" s="53" t="n">
        <v>18164</v>
      </c>
      <c r="D1161" s="52" t="s">
        <v>2321</v>
      </c>
      <c r="E1161" s="52" t="s">
        <v>2322</v>
      </c>
      <c r="F1161" s="54" t="n">
        <v>20</v>
      </c>
      <c r="G1161" s="55" t="n">
        <v>680</v>
      </c>
      <c r="H1161" s="55" t="n">
        <v>34</v>
      </c>
      <c r="I1161" s="55" t="n">
        <v>30</v>
      </c>
      <c r="J1161" s="52" t="s">
        <v>5816</v>
      </c>
      <c r="K1161" s="56" t="n">
        <v>1</v>
      </c>
      <c r="L1161" s="52" t="s">
        <v>5816</v>
      </c>
      <c r="M1161" s="52" t="s">
        <v>130</v>
      </c>
    </row>
    <row r="1162" customFormat="false" ht="17.25" hidden="false" customHeight="true" outlineLevel="0" collapsed="false">
      <c r="A1162" s="52" t="s">
        <v>5777</v>
      </c>
      <c r="B1162" s="52" t="s">
        <v>5813</v>
      </c>
      <c r="C1162" s="53" t="n">
        <v>32020</v>
      </c>
      <c r="D1162" s="52" t="s">
        <v>2611</v>
      </c>
      <c r="E1162" s="52" t="s">
        <v>2612</v>
      </c>
      <c r="F1162" s="54" t="n">
        <v>100</v>
      </c>
      <c r="G1162" s="55" t="n">
        <v>680</v>
      </c>
      <c r="H1162" s="55" t="n">
        <v>6.8</v>
      </c>
      <c r="I1162" s="55" t="n">
        <v>6.8</v>
      </c>
      <c r="J1162" s="52" t="s">
        <v>5814</v>
      </c>
      <c r="K1162" s="56" t="n">
        <v>1</v>
      </c>
      <c r="L1162" s="52" t="s">
        <v>5814</v>
      </c>
      <c r="M1162" s="52" t="s">
        <v>38</v>
      </c>
    </row>
    <row r="1163" customFormat="false" ht="17.25" hidden="false" customHeight="true" outlineLevel="0" collapsed="false">
      <c r="A1163" s="52" t="s">
        <v>5777</v>
      </c>
      <c r="B1163" s="52" t="s">
        <v>5813</v>
      </c>
      <c r="C1163" s="53" t="n">
        <v>279529</v>
      </c>
      <c r="D1163" s="52" t="s">
        <v>2613</v>
      </c>
      <c r="E1163" s="52" t="s">
        <v>2614</v>
      </c>
      <c r="F1163" s="54" t="n">
        <v>20</v>
      </c>
      <c r="G1163" s="55" t="n">
        <v>680</v>
      </c>
      <c r="H1163" s="55" t="n">
        <v>34</v>
      </c>
      <c r="I1163" s="55" t="n">
        <v>34</v>
      </c>
      <c r="J1163" s="52" t="s">
        <v>5816</v>
      </c>
      <c r="K1163" s="56" t="n">
        <v>1</v>
      </c>
      <c r="L1163" s="52" t="s">
        <v>5816</v>
      </c>
      <c r="M1163" s="52" t="s">
        <v>247</v>
      </c>
    </row>
    <row r="1164" customFormat="false" ht="17.25" hidden="false" customHeight="true" outlineLevel="0" collapsed="false">
      <c r="A1164" s="52" t="s">
        <v>5777</v>
      </c>
      <c r="B1164" s="52" t="s">
        <v>5813</v>
      </c>
      <c r="C1164" s="53" t="n">
        <v>554395</v>
      </c>
      <c r="D1164" s="52" t="s">
        <v>2615</v>
      </c>
      <c r="E1164" s="52" t="s">
        <v>2616</v>
      </c>
      <c r="F1164" s="54" t="n">
        <v>1</v>
      </c>
      <c r="G1164" s="55" t="n">
        <v>680</v>
      </c>
      <c r="H1164" s="55" t="n">
        <v>680</v>
      </c>
      <c r="I1164" s="55" t="n">
        <v>680</v>
      </c>
      <c r="J1164" s="52" t="s">
        <v>5816</v>
      </c>
      <c r="K1164" s="56" t="n">
        <v>1</v>
      </c>
      <c r="L1164" s="52" t="s">
        <v>5816</v>
      </c>
      <c r="M1164" s="52" t="s">
        <v>35</v>
      </c>
    </row>
    <row r="1165" customFormat="false" ht="17.25" hidden="false" customHeight="true" outlineLevel="0" collapsed="false">
      <c r="A1165" s="52" t="s">
        <v>5777</v>
      </c>
      <c r="B1165" s="52" t="s">
        <v>5813</v>
      </c>
      <c r="C1165" s="53" t="n">
        <v>1096687</v>
      </c>
      <c r="D1165" s="52" t="s">
        <v>2617</v>
      </c>
      <c r="E1165" s="52" t="s">
        <v>2618</v>
      </c>
      <c r="F1165" s="54" t="n">
        <v>6</v>
      </c>
      <c r="G1165" s="55" t="n">
        <v>677.7</v>
      </c>
      <c r="H1165" s="55" t="n">
        <v>112.95</v>
      </c>
      <c r="I1165" s="55" t="n">
        <v>112.95</v>
      </c>
      <c r="J1165" s="52" t="s">
        <v>5816</v>
      </c>
      <c r="K1165" s="56" t="n">
        <v>1</v>
      </c>
      <c r="L1165" s="52" t="s">
        <v>5816</v>
      </c>
      <c r="M1165" s="52" t="s">
        <v>38</v>
      </c>
    </row>
    <row r="1166" customFormat="false" ht="17.25" hidden="false" customHeight="true" outlineLevel="0" collapsed="false">
      <c r="A1166" s="52" t="s">
        <v>5777</v>
      </c>
      <c r="B1166" s="52" t="s">
        <v>5813</v>
      </c>
      <c r="C1166" s="53" t="n">
        <v>144009</v>
      </c>
      <c r="D1166" s="52" t="s">
        <v>2619</v>
      </c>
      <c r="E1166" s="52" t="s">
        <v>2620</v>
      </c>
      <c r="F1166" s="54" t="n">
        <v>15</v>
      </c>
      <c r="G1166" s="55" t="n">
        <v>675</v>
      </c>
      <c r="H1166" s="55" t="n">
        <v>45</v>
      </c>
      <c r="I1166" s="55" t="n">
        <v>45</v>
      </c>
      <c r="J1166" s="52" t="s">
        <v>5816</v>
      </c>
      <c r="K1166" s="56" t="n">
        <v>1</v>
      </c>
      <c r="L1166" s="52" t="s">
        <v>5816</v>
      </c>
      <c r="M1166" s="52" t="s">
        <v>457</v>
      </c>
    </row>
    <row r="1167" customFormat="false" ht="17.25" hidden="false" customHeight="true" outlineLevel="0" collapsed="false">
      <c r="A1167" s="52" t="s">
        <v>5777</v>
      </c>
      <c r="B1167" s="52" t="s">
        <v>5813</v>
      </c>
      <c r="C1167" s="53" t="n">
        <v>1327692</v>
      </c>
      <c r="D1167" s="52" t="s">
        <v>2621</v>
      </c>
      <c r="E1167" s="52" t="s">
        <v>2622</v>
      </c>
      <c r="F1167" s="54" t="n">
        <v>5</v>
      </c>
      <c r="G1167" s="55" t="n">
        <v>674.9</v>
      </c>
      <c r="H1167" s="55" t="n">
        <v>134.98</v>
      </c>
      <c r="I1167" s="55" t="n">
        <v>134.98</v>
      </c>
      <c r="J1167" s="52" t="s">
        <v>5816</v>
      </c>
      <c r="K1167" s="56" t="n">
        <v>1</v>
      </c>
      <c r="L1167" s="52" t="s">
        <v>5816</v>
      </c>
      <c r="M1167" s="52" t="s">
        <v>457</v>
      </c>
    </row>
    <row r="1168" customFormat="false" ht="17.25" hidden="false" customHeight="true" outlineLevel="0" collapsed="false">
      <c r="A1168" s="52" t="s">
        <v>5777</v>
      </c>
      <c r="B1168" s="52" t="s">
        <v>5813</v>
      </c>
      <c r="C1168" s="53" t="n">
        <v>1475832</v>
      </c>
      <c r="D1168" s="52" t="s">
        <v>2623</v>
      </c>
      <c r="E1168" s="52" t="s">
        <v>2624</v>
      </c>
      <c r="F1168" s="54" t="n">
        <v>5</v>
      </c>
      <c r="G1168" s="55" t="n">
        <v>674.25</v>
      </c>
      <c r="H1168" s="55" t="n">
        <v>134.85</v>
      </c>
      <c r="I1168" s="55" t="n">
        <v>134.85</v>
      </c>
      <c r="J1168" s="52" t="s">
        <v>5816</v>
      </c>
      <c r="K1168" s="56" t="n">
        <v>1</v>
      </c>
      <c r="L1168" s="52" t="s">
        <v>5816</v>
      </c>
      <c r="M1168" s="52" t="s">
        <v>130</v>
      </c>
    </row>
    <row r="1169" customFormat="false" ht="17.25" hidden="false" customHeight="true" outlineLevel="0" collapsed="false">
      <c r="A1169" s="52" t="s">
        <v>5777</v>
      </c>
      <c r="B1169" s="52" t="s">
        <v>5813</v>
      </c>
      <c r="C1169" s="53" t="n">
        <v>1540011</v>
      </c>
      <c r="D1169" s="52" t="s">
        <v>2625</v>
      </c>
      <c r="E1169" s="57" t="s">
        <v>5906</v>
      </c>
      <c r="F1169" s="54" t="n">
        <v>1</v>
      </c>
      <c r="G1169" s="55" t="n">
        <v>674</v>
      </c>
      <c r="H1169" s="55" t="n">
        <v>674</v>
      </c>
      <c r="I1169" s="55" t="n">
        <v>674</v>
      </c>
      <c r="J1169" s="52" t="s">
        <v>5816</v>
      </c>
      <c r="K1169" s="56" t="n">
        <v>1</v>
      </c>
      <c r="L1169" s="52" t="s">
        <v>5816</v>
      </c>
      <c r="M1169" s="52" t="s">
        <v>334</v>
      </c>
    </row>
    <row r="1170" customFormat="false" ht="17.25" hidden="false" customHeight="true" outlineLevel="0" collapsed="false">
      <c r="A1170" s="52" t="s">
        <v>5777</v>
      </c>
      <c r="B1170" s="52" t="s">
        <v>5813</v>
      </c>
      <c r="C1170" s="53" t="n">
        <v>57427</v>
      </c>
      <c r="D1170" s="52" t="s">
        <v>2627</v>
      </c>
      <c r="E1170" s="52" t="s">
        <v>2628</v>
      </c>
      <c r="F1170" s="54" t="n">
        <v>4</v>
      </c>
      <c r="G1170" s="55" t="n">
        <v>672</v>
      </c>
      <c r="H1170" s="55" t="n">
        <v>168</v>
      </c>
      <c r="I1170" s="55" t="n">
        <v>168</v>
      </c>
      <c r="J1170" s="52" t="s">
        <v>5816</v>
      </c>
      <c r="K1170" s="56" t="n">
        <v>1</v>
      </c>
      <c r="L1170" s="52" t="s">
        <v>5816</v>
      </c>
      <c r="M1170" s="52" t="s">
        <v>100</v>
      </c>
    </row>
    <row r="1171" customFormat="false" ht="17.25" hidden="false" customHeight="true" outlineLevel="0" collapsed="false">
      <c r="A1171" s="52" t="s">
        <v>5777</v>
      </c>
      <c r="B1171" s="52" t="s">
        <v>5813</v>
      </c>
      <c r="C1171" s="53" t="n">
        <v>1330378</v>
      </c>
      <c r="D1171" s="52" t="s">
        <v>2631</v>
      </c>
      <c r="E1171" s="52" t="s">
        <v>2632</v>
      </c>
      <c r="F1171" s="54" t="n">
        <v>92</v>
      </c>
      <c r="G1171" s="55" t="n">
        <v>668.84</v>
      </c>
      <c r="H1171" s="55" t="n">
        <v>7.27</v>
      </c>
      <c r="I1171" s="55" t="n">
        <v>7.27</v>
      </c>
      <c r="J1171" s="52" t="s">
        <v>5816</v>
      </c>
      <c r="K1171" s="56" t="n">
        <v>1</v>
      </c>
      <c r="L1171" s="52" t="s">
        <v>5816</v>
      </c>
      <c r="M1171" s="52" t="s">
        <v>54</v>
      </c>
    </row>
    <row r="1172" customFormat="false" ht="17.25" hidden="false" customHeight="true" outlineLevel="0" collapsed="false">
      <c r="A1172" s="52" t="s">
        <v>5777</v>
      </c>
      <c r="B1172" s="52" t="s">
        <v>5813</v>
      </c>
      <c r="C1172" s="53" t="n">
        <v>23276</v>
      </c>
      <c r="D1172" s="52" t="s">
        <v>2633</v>
      </c>
      <c r="E1172" s="52" t="s">
        <v>2634</v>
      </c>
      <c r="F1172" s="54" t="n">
        <v>10</v>
      </c>
      <c r="G1172" s="55" t="n">
        <v>667.64</v>
      </c>
      <c r="H1172" s="55" t="n">
        <v>66.764</v>
      </c>
      <c r="I1172" s="55" t="n">
        <v>58</v>
      </c>
      <c r="J1172" s="52" t="s">
        <v>5816</v>
      </c>
      <c r="K1172" s="56" t="n">
        <v>1</v>
      </c>
      <c r="L1172" s="52" t="s">
        <v>5816</v>
      </c>
      <c r="M1172" s="52" t="s">
        <v>130</v>
      </c>
    </row>
    <row r="1173" customFormat="false" ht="17.25" hidden="false" customHeight="true" outlineLevel="0" collapsed="false">
      <c r="A1173" s="52" t="s">
        <v>5777</v>
      </c>
      <c r="B1173" s="52" t="s">
        <v>5813</v>
      </c>
      <c r="C1173" s="53" t="n">
        <v>23989</v>
      </c>
      <c r="D1173" s="52" t="s">
        <v>2635</v>
      </c>
      <c r="E1173" s="52" t="s">
        <v>2636</v>
      </c>
      <c r="F1173" s="54" t="n">
        <v>10</v>
      </c>
      <c r="G1173" s="55" t="n">
        <v>666.6</v>
      </c>
      <c r="H1173" s="55" t="n">
        <v>66.66</v>
      </c>
      <c r="I1173" s="55" t="n">
        <v>66.66</v>
      </c>
      <c r="J1173" s="52" t="s">
        <v>5816</v>
      </c>
      <c r="K1173" s="56" t="n">
        <v>1</v>
      </c>
      <c r="L1173" s="52" t="s">
        <v>5816</v>
      </c>
      <c r="M1173" s="52" t="s">
        <v>189</v>
      </c>
    </row>
    <row r="1174" customFormat="false" ht="17.25" hidden="false" customHeight="true" outlineLevel="0" collapsed="false">
      <c r="A1174" s="52" t="s">
        <v>5777</v>
      </c>
      <c r="B1174" s="52" t="s">
        <v>5813</v>
      </c>
      <c r="C1174" s="53" t="n">
        <v>143919</v>
      </c>
      <c r="D1174" s="52" t="s">
        <v>2637</v>
      </c>
      <c r="E1174" s="52" t="s">
        <v>2638</v>
      </c>
      <c r="F1174" s="54" t="n">
        <v>2</v>
      </c>
      <c r="G1174" s="55" t="n">
        <v>665</v>
      </c>
      <c r="H1174" s="55" t="n">
        <v>332.5</v>
      </c>
      <c r="I1174" s="55" t="n">
        <v>332.5</v>
      </c>
      <c r="J1174" s="52" t="s">
        <v>5816</v>
      </c>
      <c r="K1174" s="56" t="n">
        <v>1</v>
      </c>
      <c r="L1174" s="52" t="s">
        <v>5816</v>
      </c>
      <c r="M1174" s="52" t="s">
        <v>247</v>
      </c>
    </row>
    <row r="1175" customFormat="false" ht="17.25" hidden="false" customHeight="true" outlineLevel="0" collapsed="false">
      <c r="A1175" s="52" t="s">
        <v>5777</v>
      </c>
      <c r="B1175" s="52" t="s">
        <v>5813</v>
      </c>
      <c r="C1175" s="53" t="n">
        <v>561284</v>
      </c>
      <c r="D1175" s="52" t="s">
        <v>2639</v>
      </c>
      <c r="E1175" s="52" t="s">
        <v>2640</v>
      </c>
      <c r="F1175" s="54" t="n">
        <v>32</v>
      </c>
      <c r="G1175" s="55" t="n">
        <v>663.77</v>
      </c>
      <c r="H1175" s="55" t="n">
        <v>20.7428</v>
      </c>
      <c r="I1175" s="55" t="n">
        <v>20.7428</v>
      </c>
      <c r="J1175" s="52" t="s">
        <v>5816</v>
      </c>
      <c r="K1175" s="56" t="n">
        <v>1</v>
      </c>
      <c r="L1175" s="52" t="s">
        <v>5816</v>
      </c>
      <c r="M1175" s="52" t="s">
        <v>38</v>
      </c>
    </row>
    <row r="1176" customFormat="false" ht="17.25" hidden="false" customHeight="true" outlineLevel="0" collapsed="false">
      <c r="A1176" s="52" t="s">
        <v>5777</v>
      </c>
      <c r="B1176" s="52" t="s">
        <v>5813</v>
      </c>
      <c r="C1176" s="53" t="n">
        <v>1610259</v>
      </c>
      <c r="D1176" s="52" t="s">
        <v>2641</v>
      </c>
      <c r="E1176" s="52" t="s">
        <v>5907</v>
      </c>
      <c r="F1176" s="54" t="n">
        <v>1</v>
      </c>
      <c r="G1176" s="55" t="n">
        <v>662.52</v>
      </c>
      <c r="H1176" s="55" t="n">
        <v>662.52</v>
      </c>
      <c r="I1176" s="55" t="n">
        <v>662.52</v>
      </c>
      <c r="J1176" s="52" t="s">
        <v>5816</v>
      </c>
      <c r="K1176" s="56" t="n">
        <v>1</v>
      </c>
      <c r="L1176" s="52" t="s">
        <v>5816</v>
      </c>
      <c r="M1176" s="52" t="s">
        <v>130</v>
      </c>
    </row>
    <row r="1177" customFormat="false" ht="17.25" hidden="false" customHeight="true" outlineLevel="0" collapsed="false">
      <c r="A1177" s="52" t="s">
        <v>5777</v>
      </c>
      <c r="B1177" s="52" t="s">
        <v>5813</v>
      </c>
      <c r="C1177" s="53" t="n">
        <v>53968</v>
      </c>
      <c r="D1177" s="52" t="s">
        <v>2643</v>
      </c>
      <c r="E1177" s="52" t="s">
        <v>2644</v>
      </c>
      <c r="F1177" s="54" t="n">
        <v>112</v>
      </c>
      <c r="G1177" s="55" t="n">
        <v>660.8</v>
      </c>
      <c r="H1177" s="55" t="n">
        <v>5.9</v>
      </c>
      <c r="I1177" s="55" t="n">
        <v>5.9</v>
      </c>
      <c r="J1177" s="52" t="s">
        <v>5816</v>
      </c>
      <c r="K1177" s="56" t="n">
        <v>1</v>
      </c>
      <c r="L1177" s="52" t="s">
        <v>5816</v>
      </c>
      <c r="M1177" s="52" t="s">
        <v>100</v>
      </c>
    </row>
    <row r="1178" customFormat="false" ht="17.25" hidden="false" customHeight="true" outlineLevel="0" collapsed="false">
      <c r="A1178" s="52" t="s">
        <v>5777</v>
      </c>
      <c r="B1178" s="52" t="s">
        <v>5813</v>
      </c>
      <c r="C1178" s="53" t="n">
        <v>55282</v>
      </c>
      <c r="D1178" s="52" t="s">
        <v>2645</v>
      </c>
      <c r="E1178" s="52" t="s">
        <v>2646</v>
      </c>
      <c r="F1178" s="54" t="n">
        <v>60</v>
      </c>
      <c r="G1178" s="55" t="n">
        <v>660</v>
      </c>
      <c r="H1178" s="55" t="n">
        <v>11</v>
      </c>
      <c r="I1178" s="55" t="n">
        <v>11</v>
      </c>
      <c r="J1178" s="52" t="s">
        <v>5816</v>
      </c>
      <c r="K1178" s="56" t="n">
        <v>1</v>
      </c>
      <c r="L1178" s="52" t="s">
        <v>5816</v>
      </c>
      <c r="M1178" s="52" t="s">
        <v>38</v>
      </c>
    </row>
    <row r="1179" customFormat="false" ht="17.25" hidden="false" customHeight="true" outlineLevel="0" collapsed="false">
      <c r="A1179" s="52" t="s">
        <v>5777</v>
      </c>
      <c r="B1179" s="52" t="s">
        <v>5813</v>
      </c>
      <c r="C1179" s="53" t="n">
        <v>1091608</v>
      </c>
      <c r="D1179" s="52" t="s">
        <v>2647</v>
      </c>
      <c r="E1179" s="52" t="s">
        <v>2648</v>
      </c>
      <c r="F1179" s="54" t="n">
        <v>3</v>
      </c>
      <c r="G1179" s="55" t="n">
        <v>660</v>
      </c>
      <c r="H1179" s="55" t="n">
        <v>220</v>
      </c>
      <c r="I1179" s="55" t="n">
        <v>220</v>
      </c>
      <c r="J1179" s="52" t="s">
        <v>5816</v>
      </c>
      <c r="K1179" s="56" t="n">
        <v>1</v>
      </c>
      <c r="L1179" s="52" t="s">
        <v>5816</v>
      </c>
      <c r="M1179" s="52" t="s">
        <v>130</v>
      </c>
    </row>
    <row r="1180" customFormat="false" ht="17.25" hidden="false" customHeight="true" outlineLevel="0" collapsed="false">
      <c r="A1180" s="52" t="s">
        <v>5777</v>
      </c>
      <c r="B1180" s="52" t="s">
        <v>5813</v>
      </c>
      <c r="C1180" s="53" t="n">
        <v>21111</v>
      </c>
      <c r="D1180" s="52" t="s">
        <v>2397</v>
      </c>
      <c r="E1180" s="52" t="s">
        <v>2398</v>
      </c>
      <c r="F1180" s="54" t="n">
        <v>36</v>
      </c>
      <c r="G1180" s="55" t="n">
        <v>658.1196</v>
      </c>
      <c r="H1180" s="55" t="n">
        <v>20.6667</v>
      </c>
      <c r="I1180" s="55" t="n">
        <v>34.98</v>
      </c>
      <c r="J1180" s="52" t="s">
        <v>5816</v>
      </c>
      <c r="K1180" s="56" t="n">
        <v>1</v>
      </c>
      <c r="L1180" s="52" t="s">
        <v>5816</v>
      </c>
      <c r="M1180" s="52" t="s">
        <v>1095</v>
      </c>
    </row>
    <row r="1181" customFormat="false" ht="17.25" hidden="false" customHeight="true" outlineLevel="0" collapsed="false">
      <c r="A1181" s="52" t="s">
        <v>5777</v>
      </c>
      <c r="B1181" s="52" t="s">
        <v>5813</v>
      </c>
      <c r="C1181" s="53" t="n">
        <v>1384361</v>
      </c>
      <c r="D1181" s="52" t="s">
        <v>2649</v>
      </c>
      <c r="E1181" s="52" t="s">
        <v>2650</v>
      </c>
      <c r="F1181" s="54" t="n">
        <v>8</v>
      </c>
      <c r="G1181" s="55" t="n">
        <v>657.2</v>
      </c>
      <c r="H1181" s="55" t="n">
        <v>82.15</v>
      </c>
      <c r="I1181" s="55" t="n">
        <v>82.15</v>
      </c>
      <c r="J1181" s="52" t="s">
        <v>5816</v>
      </c>
      <c r="K1181" s="56" t="n">
        <v>1</v>
      </c>
      <c r="L1181" s="52" t="s">
        <v>5816</v>
      </c>
      <c r="M1181" s="52" t="s">
        <v>38</v>
      </c>
    </row>
    <row r="1182" customFormat="false" ht="17.25" hidden="false" customHeight="true" outlineLevel="0" collapsed="false">
      <c r="A1182" s="52" t="s">
        <v>5777</v>
      </c>
      <c r="B1182" s="52" t="s">
        <v>5813</v>
      </c>
      <c r="C1182" s="53" t="n">
        <v>23812</v>
      </c>
      <c r="D1182" s="52" t="s">
        <v>2651</v>
      </c>
      <c r="E1182" s="52" t="s">
        <v>2652</v>
      </c>
      <c r="F1182" s="54" t="n">
        <v>5</v>
      </c>
      <c r="G1182" s="55" t="n">
        <v>655</v>
      </c>
      <c r="H1182" s="55" t="n">
        <v>131</v>
      </c>
      <c r="I1182" s="55" t="n">
        <v>131</v>
      </c>
      <c r="J1182" s="52" t="s">
        <v>5816</v>
      </c>
      <c r="K1182" s="56" t="n">
        <v>1</v>
      </c>
      <c r="L1182" s="52" t="s">
        <v>5816</v>
      </c>
      <c r="M1182" s="52" t="s">
        <v>247</v>
      </c>
    </row>
    <row r="1183" customFormat="false" ht="17.25" hidden="false" customHeight="true" outlineLevel="0" collapsed="false">
      <c r="A1183" s="52" t="s">
        <v>5777</v>
      </c>
      <c r="B1183" s="52" t="s">
        <v>5813</v>
      </c>
      <c r="C1183" s="53" t="n">
        <v>560973</v>
      </c>
      <c r="D1183" s="52" t="s">
        <v>2653</v>
      </c>
      <c r="E1183" s="52" t="s">
        <v>2654</v>
      </c>
      <c r="F1183" s="54" t="n">
        <v>4</v>
      </c>
      <c r="G1183" s="55" t="n">
        <v>652</v>
      </c>
      <c r="H1183" s="55" t="n">
        <v>163</v>
      </c>
      <c r="I1183" s="55" t="n">
        <v>138</v>
      </c>
      <c r="J1183" s="52" t="s">
        <v>5816</v>
      </c>
      <c r="K1183" s="56" t="n">
        <v>1</v>
      </c>
      <c r="L1183" s="52" t="s">
        <v>5816</v>
      </c>
      <c r="M1183" s="52" t="s">
        <v>38</v>
      </c>
    </row>
    <row r="1184" customFormat="false" ht="17.25" hidden="false" customHeight="true" outlineLevel="0" collapsed="false">
      <c r="A1184" s="52" t="s">
        <v>5777</v>
      </c>
      <c r="B1184" s="52" t="s">
        <v>5813</v>
      </c>
      <c r="C1184" s="53" t="n">
        <v>1329132</v>
      </c>
      <c r="D1184" s="52" t="s">
        <v>2655</v>
      </c>
      <c r="E1184" s="52" t="s">
        <v>2656</v>
      </c>
      <c r="F1184" s="54" t="n">
        <v>2</v>
      </c>
      <c r="G1184" s="55" t="n">
        <v>651.84</v>
      </c>
      <c r="H1184" s="55" t="n">
        <v>325.92</v>
      </c>
      <c r="I1184" s="55" t="n">
        <v>325.92</v>
      </c>
      <c r="J1184" s="52" t="s">
        <v>5816</v>
      </c>
      <c r="K1184" s="56" t="n">
        <v>1</v>
      </c>
      <c r="L1184" s="52" t="s">
        <v>5816</v>
      </c>
      <c r="M1184" s="52" t="s">
        <v>1095</v>
      </c>
    </row>
    <row r="1185" customFormat="false" ht="17.25" hidden="false" customHeight="true" outlineLevel="0" collapsed="false">
      <c r="A1185" s="52" t="s">
        <v>5777</v>
      </c>
      <c r="B1185" s="52" t="s">
        <v>5813</v>
      </c>
      <c r="C1185" s="53" t="n">
        <v>1096420</v>
      </c>
      <c r="D1185" s="52" t="s">
        <v>2657</v>
      </c>
      <c r="E1185" s="52" t="s">
        <v>2658</v>
      </c>
      <c r="F1185" s="54" t="n">
        <v>3</v>
      </c>
      <c r="G1185" s="55" t="n">
        <v>648.96</v>
      </c>
      <c r="H1185" s="55" t="n">
        <v>216.32</v>
      </c>
      <c r="I1185" s="55" t="n">
        <v>216.32</v>
      </c>
      <c r="J1185" s="52" t="s">
        <v>5816</v>
      </c>
      <c r="K1185" s="56" t="n">
        <v>1</v>
      </c>
      <c r="L1185" s="52" t="s">
        <v>5816</v>
      </c>
      <c r="M1185" s="52" t="s">
        <v>35</v>
      </c>
    </row>
    <row r="1186" customFormat="false" ht="17.25" hidden="false" customHeight="true" outlineLevel="0" collapsed="false">
      <c r="A1186" s="52" t="s">
        <v>5777</v>
      </c>
      <c r="B1186" s="52" t="s">
        <v>5813</v>
      </c>
      <c r="C1186" s="53" t="n">
        <v>1326773</v>
      </c>
      <c r="D1186" s="52" t="s">
        <v>2659</v>
      </c>
      <c r="E1186" s="52" t="s">
        <v>5908</v>
      </c>
      <c r="F1186" s="54" t="n">
        <v>5</v>
      </c>
      <c r="G1186" s="55" t="n">
        <v>645.35</v>
      </c>
      <c r="H1186" s="55" t="n">
        <v>129.07</v>
      </c>
      <c r="I1186" s="55" t="n">
        <v>198.6</v>
      </c>
      <c r="J1186" s="52" t="s">
        <v>5818</v>
      </c>
      <c r="K1186" s="56" t="n">
        <v>1</v>
      </c>
      <c r="L1186" s="52" t="s">
        <v>5816</v>
      </c>
      <c r="M1186" s="52" t="s">
        <v>38</v>
      </c>
    </row>
    <row r="1187" customFormat="false" ht="17.25" hidden="false" customHeight="true" outlineLevel="0" collapsed="false">
      <c r="A1187" s="52" t="s">
        <v>5777</v>
      </c>
      <c r="B1187" s="52" t="s">
        <v>5813</v>
      </c>
      <c r="C1187" s="53" t="n">
        <v>21821</v>
      </c>
      <c r="D1187" s="52" t="s">
        <v>2661</v>
      </c>
      <c r="E1187" s="52" t="s">
        <v>2662</v>
      </c>
      <c r="F1187" s="54" t="n">
        <v>23</v>
      </c>
      <c r="G1187" s="55" t="n">
        <v>644</v>
      </c>
      <c r="H1187" s="55" t="n">
        <v>28</v>
      </c>
      <c r="I1187" s="55" t="n">
        <v>22</v>
      </c>
      <c r="J1187" s="52" t="s">
        <v>5816</v>
      </c>
      <c r="K1187" s="56" t="n">
        <v>1</v>
      </c>
      <c r="L1187" s="52" t="s">
        <v>5816</v>
      </c>
      <c r="M1187" s="52" t="s">
        <v>130</v>
      </c>
    </row>
    <row r="1188" customFormat="false" ht="17.25" hidden="false" customHeight="true" outlineLevel="0" collapsed="false">
      <c r="A1188" s="52" t="s">
        <v>5777</v>
      </c>
      <c r="B1188" s="52" t="s">
        <v>5813</v>
      </c>
      <c r="C1188" s="53" t="n">
        <v>1386843</v>
      </c>
      <c r="D1188" s="52" t="s">
        <v>2663</v>
      </c>
      <c r="E1188" s="52" t="s">
        <v>2664</v>
      </c>
      <c r="F1188" s="54" t="n">
        <v>4</v>
      </c>
      <c r="G1188" s="55" t="n">
        <v>643.88</v>
      </c>
      <c r="H1188" s="55" t="n">
        <v>160.97</v>
      </c>
      <c r="I1188" s="55" t="n">
        <v>160.97</v>
      </c>
      <c r="J1188" s="52" t="s">
        <v>5816</v>
      </c>
      <c r="K1188" s="56" t="n">
        <v>1</v>
      </c>
      <c r="L1188" s="52" t="s">
        <v>5816</v>
      </c>
      <c r="M1188" s="52" t="s">
        <v>100</v>
      </c>
    </row>
    <row r="1189" customFormat="false" ht="17.25" hidden="false" customHeight="true" outlineLevel="0" collapsed="false">
      <c r="A1189" s="52" t="s">
        <v>5777</v>
      </c>
      <c r="B1189" s="52" t="s">
        <v>5813</v>
      </c>
      <c r="C1189" s="53" t="n">
        <v>1383640</v>
      </c>
      <c r="D1189" s="52" t="s">
        <v>2665</v>
      </c>
      <c r="E1189" s="52" t="s">
        <v>2666</v>
      </c>
      <c r="F1189" s="54" t="n">
        <v>5</v>
      </c>
      <c r="G1189" s="55" t="n">
        <v>643.5</v>
      </c>
      <c r="H1189" s="55" t="n">
        <v>128.7</v>
      </c>
      <c r="I1189" s="55" t="n">
        <v>128.7</v>
      </c>
      <c r="J1189" s="52" t="s">
        <v>5816</v>
      </c>
      <c r="K1189" s="56" t="n">
        <v>1</v>
      </c>
      <c r="L1189" s="52" t="s">
        <v>5816</v>
      </c>
      <c r="M1189" s="52" t="s">
        <v>38</v>
      </c>
    </row>
    <row r="1190" customFormat="false" ht="17.25" hidden="false" customHeight="true" outlineLevel="0" collapsed="false">
      <c r="A1190" s="52" t="s">
        <v>5777</v>
      </c>
      <c r="B1190" s="52" t="s">
        <v>5813</v>
      </c>
      <c r="C1190" s="53" t="n">
        <v>1464212</v>
      </c>
      <c r="D1190" s="52" t="s">
        <v>2667</v>
      </c>
      <c r="E1190" s="52" t="s">
        <v>2668</v>
      </c>
      <c r="F1190" s="54" t="n">
        <v>7.843</v>
      </c>
      <c r="G1190" s="55" t="n">
        <v>642.84</v>
      </c>
      <c r="H1190" s="55" t="n">
        <v>81.9635</v>
      </c>
      <c r="I1190" s="55" t="n">
        <v>81.9635</v>
      </c>
      <c r="J1190" s="52" t="s">
        <v>5815</v>
      </c>
      <c r="K1190" s="56" t="n">
        <v>1</v>
      </c>
      <c r="L1190" s="52" t="s">
        <v>5815</v>
      </c>
      <c r="M1190" s="52" t="s">
        <v>63</v>
      </c>
    </row>
    <row r="1191" customFormat="false" ht="17.25" hidden="false" customHeight="true" outlineLevel="0" collapsed="false">
      <c r="A1191" s="52" t="s">
        <v>5777</v>
      </c>
      <c r="B1191" s="52" t="s">
        <v>5813</v>
      </c>
      <c r="C1191" s="53" t="n">
        <v>1656587</v>
      </c>
      <c r="D1191" s="52" t="s">
        <v>2669</v>
      </c>
      <c r="E1191" s="52" t="s">
        <v>2670</v>
      </c>
      <c r="F1191" s="54" t="n">
        <v>6</v>
      </c>
      <c r="G1191" s="55" t="n">
        <v>642.06</v>
      </c>
      <c r="H1191" s="55" t="n">
        <v>107.01</v>
      </c>
      <c r="I1191" s="55" t="n">
        <v>107.01</v>
      </c>
      <c r="J1191" s="52" t="s">
        <v>5816</v>
      </c>
      <c r="K1191" s="56" t="n">
        <v>1</v>
      </c>
      <c r="L1191" s="52" t="s">
        <v>5816</v>
      </c>
      <c r="M1191" s="52" t="s">
        <v>217</v>
      </c>
    </row>
    <row r="1192" customFormat="false" ht="17.25" hidden="false" customHeight="true" outlineLevel="0" collapsed="false">
      <c r="A1192" s="52" t="s">
        <v>5777</v>
      </c>
      <c r="B1192" s="52" t="s">
        <v>5813</v>
      </c>
      <c r="C1192" s="53" t="n">
        <v>1096007</v>
      </c>
      <c r="D1192" s="52" t="s">
        <v>2671</v>
      </c>
      <c r="E1192" s="52" t="s">
        <v>2672</v>
      </c>
      <c r="F1192" s="54" t="n">
        <v>30</v>
      </c>
      <c r="G1192" s="55" t="n">
        <v>637.2</v>
      </c>
      <c r="H1192" s="55" t="n">
        <v>21.24</v>
      </c>
      <c r="I1192" s="55" t="n">
        <v>21.24</v>
      </c>
      <c r="J1192" s="52" t="s">
        <v>5822</v>
      </c>
      <c r="K1192" s="56" t="n">
        <v>1</v>
      </c>
      <c r="L1192" s="52" t="s">
        <v>5822</v>
      </c>
      <c r="M1192" s="52" t="s">
        <v>133</v>
      </c>
    </row>
    <row r="1193" customFormat="false" ht="17.25" hidden="false" customHeight="true" outlineLevel="0" collapsed="false">
      <c r="A1193" s="52" t="s">
        <v>5777</v>
      </c>
      <c r="B1193" s="52" t="s">
        <v>5813</v>
      </c>
      <c r="C1193" s="53" t="n">
        <v>1462975</v>
      </c>
      <c r="D1193" s="52" t="s">
        <v>2673</v>
      </c>
      <c r="E1193" s="52" t="s">
        <v>2674</v>
      </c>
      <c r="F1193" s="54" t="n">
        <v>3</v>
      </c>
      <c r="G1193" s="55" t="n">
        <v>636</v>
      </c>
      <c r="H1193" s="55" t="n">
        <v>212</v>
      </c>
      <c r="I1193" s="55" t="n">
        <v>212</v>
      </c>
      <c r="J1193" s="52" t="s">
        <v>5816</v>
      </c>
      <c r="K1193" s="56" t="n">
        <v>1</v>
      </c>
      <c r="L1193" s="52" t="s">
        <v>5816</v>
      </c>
      <c r="M1193" s="52" t="s">
        <v>54</v>
      </c>
    </row>
    <row r="1194" customFormat="false" ht="17.25" hidden="false" customHeight="true" outlineLevel="0" collapsed="false">
      <c r="A1194" s="52" t="s">
        <v>5777</v>
      </c>
      <c r="B1194" s="52" t="s">
        <v>5813</v>
      </c>
      <c r="C1194" s="53" t="n">
        <v>1465210</v>
      </c>
      <c r="D1194" s="52" t="s">
        <v>2675</v>
      </c>
      <c r="E1194" s="52" t="s">
        <v>2676</v>
      </c>
      <c r="F1194" s="54" t="n">
        <v>4</v>
      </c>
      <c r="G1194" s="55" t="n">
        <v>634.94</v>
      </c>
      <c r="H1194" s="55" t="n">
        <v>158.735</v>
      </c>
      <c r="I1194" s="55" t="n">
        <v>97.47</v>
      </c>
      <c r="J1194" s="52" t="s">
        <v>5816</v>
      </c>
      <c r="K1194" s="56" t="n">
        <v>1</v>
      </c>
      <c r="L1194" s="52" t="s">
        <v>5816</v>
      </c>
      <c r="M1194" s="52" t="s">
        <v>133</v>
      </c>
    </row>
    <row r="1195" customFormat="false" ht="17.25" hidden="false" customHeight="true" outlineLevel="0" collapsed="false">
      <c r="A1195" s="52" t="s">
        <v>5777</v>
      </c>
      <c r="B1195" s="52" t="s">
        <v>5813</v>
      </c>
      <c r="C1195" s="53" t="n">
        <v>1387757</v>
      </c>
      <c r="D1195" s="52" t="s">
        <v>2677</v>
      </c>
      <c r="E1195" s="52" t="s">
        <v>2678</v>
      </c>
      <c r="F1195" s="54" t="n">
        <v>10</v>
      </c>
      <c r="G1195" s="55" t="n">
        <v>634.5</v>
      </c>
      <c r="H1195" s="55" t="n">
        <v>63.45</v>
      </c>
      <c r="I1195" s="55" t="n">
        <v>63.45</v>
      </c>
      <c r="J1195" s="52" t="s">
        <v>5816</v>
      </c>
      <c r="K1195" s="56" t="n">
        <v>1</v>
      </c>
      <c r="L1195" s="52" t="s">
        <v>5816</v>
      </c>
      <c r="M1195" s="52" t="s">
        <v>38</v>
      </c>
    </row>
    <row r="1196" customFormat="false" ht="17.25" hidden="false" customHeight="true" outlineLevel="0" collapsed="false">
      <c r="A1196" s="52" t="s">
        <v>5777</v>
      </c>
      <c r="B1196" s="52" t="s">
        <v>5813</v>
      </c>
      <c r="C1196" s="53" t="n">
        <v>1385086</v>
      </c>
      <c r="D1196" s="52" t="s">
        <v>2679</v>
      </c>
      <c r="E1196" s="52" t="s">
        <v>2680</v>
      </c>
      <c r="F1196" s="54" t="n">
        <v>16</v>
      </c>
      <c r="G1196" s="55" t="n">
        <v>634.4</v>
      </c>
      <c r="H1196" s="55" t="n">
        <v>39.65</v>
      </c>
      <c r="I1196" s="55" t="n">
        <v>39.65</v>
      </c>
      <c r="J1196" s="52" t="s">
        <v>5816</v>
      </c>
      <c r="K1196" s="56" t="n">
        <v>1</v>
      </c>
      <c r="L1196" s="52" t="s">
        <v>5816</v>
      </c>
      <c r="M1196" s="52" t="s">
        <v>38</v>
      </c>
    </row>
    <row r="1197" customFormat="false" ht="17.25" hidden="false" customHeight="true" outlineLevel="0" collapsed="false">
      <c r="A1197" s="52" t="s">
        <v>5777</v>
      </c>
      <c r="B1197" s="52" t="s">
        <v>5813</v>
      </c>
      <c r="C1197" s="53" t="n">
        <v>937214</v>
      </c>
      <c r="D1197" s="52" t="s">
        <v>2681</v>
      </c>
      <c r="E1197" s="52" t="s">
        <v>2682</v>
      </c>
      <c r="F1197" s="54" t="n">
        <v>50</v>
      </c>
      <c r="G1197" s="55" t="n">
        <v>632.5</v>
      </c>
      <c r="H1197" s="55" t="n">
        <v>12.65</v>
      </c>
      <c r="I1197" s="55" t="n">
        <v>12.65</v>
      </c>
      <c r="J1197" s="52" t="s">
        <v>5816</v>
      </c>
      <c r="K1197" s="56" t="n">
        <v>1</v>
      </c>
      <c r="L1197" s="52" t="s">
        <v>5816</v>
      </c>
      <c r="M1197" s="52" t="s">
        <v>38</v>
      </c>
    </row>
    <row r="1198" customFormat="false" ht="17.25" hidden="false" customHeight="true" outlineLevel="0" collapsed="false">
      <c r="A1198" s="52" t="s">
        <v>5777</v>
      </c>
      <c r="B1198" s="52" t="s">
        <v>5813</v>
      </c>
      <c r="C1198" s="53" t="n">
        <v>1380123</v>
      </c>
      <c r="D1198" s="52" t="s">
        <v>2683</v>
      </c>
      <c r="E1198" s="52" t="s">
        <v>2684</v>
      </c>
      <c r="F1198" s="54" t="n">
        <v>4</v>
      </c>
      <c r="G1198" s="55" t="n">
        <v>632</v>
      </c>
      <c r="H1198" s="55" t="n">
        <v>158</v>
      </c>
      <c r="I1198" s="55" t="n">
        <v>158</v>
      </c>
      <c r="J1198" s="52" t="s">
        <v>5816</v>
      </c>
      <c r="K1198" s="56" t="n">
        <v>1</v>
      </c>
      <c r="L1198" s="52" t="s">
        <v>5816</v>
      </c>
      <c r="M1198" s="52" t="s">
        <v>38</v>
      </c>
    </row>
    <row r="1199" customFormat="false" ht="17.25" hidden="false" customHeight="true" outlineLevel="0" collapsed="false">
      <c r="A1199" s="52" t="s">
        <v>5777</v>
      </c>
      <c r="B1199" s="52" t="s">
        <v>5813</v>
      </c>
      <c r="C1199" s="53" t="n">
        <v>835066</v>
      </c>
      <c r="D1199" s="52" t="s">
        <v>2685</v>
      </c>
      <c r="E1199" s="52" t="s">
        <v>2686</v>
      </c>
      <c r="F1199" s="54" t="n">
        <v>9</v>
      </c>
      <c r="G1199" s="55" t="n">
        <v>629.1</v>
      </c>
      <c r="H1199" s="55" t="n">
        <v>69.9</v>
      </c>
      <c r="I1199" s="55" t="n">
        <v>69.9</v>
      </c>
      <c r="J1199" s="52" t="s">
        <v>5816</v>
      </c>
      <c r="K1199" s="56" t="n">
        <v>1</v>
      </c>
      <c r="L1199" s="52" t="s">
        <v>5816</v>
      </c>
      <c r="M1199" s="52" t="s">
        <v>705</v>
      </c>
    </row>
    <row r="1200" customFormat="false" ht="17.25" hidden="false" customHeight="true" outlineLevel="0" collapsed="false">
      <c r="A1200" s="52" t="s">
        <v>5777</v>
      </c>
      <c r="B1200" s="52" t="s">
        <v>5813</v>
      </c>
      <c r="C1200" s="53" t="n">
        <v>142355</v>
      </c>
      <c r="D1200" s="52" t="s">
        <v>2687</v>
      </c>
      <c r="E1200" s="52" t="s">
        <v>2688</v>
      </c>
      <c r="F1200" s="54" t="n">
        <v>90</v>
      </c>
      <c r="G1200" s="55" t="n">
        <v>628.2</v>
      </c>
      <c r="H1200" s="55" t="n">
        <v>6.98</v>
      </c>
      <c r="I1200" s="55" t="n">
        <v>6.98</v>
      </c>
      <c r="J1200" s="52" t="s">
        <v>5902</v>
      </c>
      <c r="K1200" s="56" t="n">
        <v>6</v>
      </c>
      <c r="L1200" s="52" t="s">
        <v>5814</v>
      </c>
      <c r="M1200" s="52" t="s">
        <v>133</v>
      </c>
    </row>
    <row r="1201" customFormat="false" ht="17.25" hidden="false" customHeight="true" outlineLevel="0" collapsed="false">
      <c r="A1201" s="52" t="s">
        <v>5777</v>
      </c>
      <c r="B1201" s="52" t="s">
        <v>5813</v>
      </c>
      <c r="C1201" s="53" t="n">
        <v>18850</v>
      </c>
      <c r="D1201" s="52" t="s">
        <v>2689</v>
      </c>
      <c r="E1201" s="52" t="s">
        <v>5909</v>
      </c>
      <c r="F1201" s="54" t="n">
        <v>300</v>
      </c>
      <c r="G1201" s="55" t="n">
        <v>627.4</v>
      </c>
      <c r="H1201" s="55" t="n">
        <v>2.0913</v>
      </c>
      <c r="I1201" s="55" t="n">
        <v>1.564</v>
      </c>
      <c r="J1201" s="52" t="s">
        <v>5816</v>
      </c>
      <c r="K1201" s="56" t="n">
        <v>1</v>
      </c>
      <c r="L1201" s="52" t="s">
        <v>5816</v>
      </c>
      <c r="M1201" s="52" t="s">
        <v>247</v>
      </c>
    </row>
    <row r="1202" customFormat="false" ht="17.25" hidden="false" customHeight="true" outlineLevel="0" collapsed="false">
      <c r="A1202" s="52" t="s">
        <v>5777</v>
      </c>
      <c r="B1202" s="52" t="s">
        <v>5813</v>
      </c>
      <c r="C1202" s="53" t="n">
        <v>141723</v>
      </c>
      <c r="D1202" s="52" t="s">
        <v>2691</v>
      </c>
      <c r="E1202" s="52" t="s">
        <v>2692</v>
      </c>
      <c r="F1202" s="54" t="n">
        <v>4</v>
      </c>
      <c r="G1202" s="55" t="n">
        <v>627</v>
      </c>
      <c r="H1202" s="55" t="n">
        <v>156.75</v>
      </c>
      <c r="I1202" s="55" t="n">
        <v>156.75</v>
      </c>
      <c r="J1202" s="52" t="s">
        <v>5910</v>
      </c>
      <c r="K1202" s="56" t="n">
        <v>1</v>
      </c>
      <c r="L1202" s="52" t="s">
        <v>5816</v>
      </c>
      <c r="M1202" s="52" t="s">
        <v>1095</v>
      </c>
    </row>
    <row r="1203" customFormat="false" ht="17.25" hidden="false" customHeight="true" outlineLevel="0" collapsed="false">
      <c r="A1203" s="52" t="s">
        <v>5777</v>
      </c>
      <c r="B1203" s="52" t="s">
        <v>5813</v>
      </c>
      <c r="C1203" s="53" t="n">
        <v>1654526</v>
      </c>
      <c r="D1203" s="52" t="s">
        <v>2693</v>
      </c>
      <c r="E1203" s="52" t="s">
        <v>2694</v>
      </c>
      <c r="F1203" s="54" t="n">
        <v>10</v>
      </c>
      <c r="G1203" s="55" t="n">
        <v>626.85</v>
      </c>
      <c r="H1203" s="55" t="n">
        <v>62.685</v>
      </c>
      <c r="I1203" s="55" t="n">
        <v>62.685</v>
      </c>
      <c r="J1203" s="52" t="s">
        <v>5816</v>
      </c>
      <c r="K1203" s="56" t="n">
        <v>1</v>
      </c>
      <c r="L1203" s="52" t="s">
        <v>5816</v>
      </c>
      <c r="M1203" s="52" t="s">
        <v>217</v>
      </c>
    </row>
    <row r="1204" customFormat="false" ht="17.25" hidden="false" customHeight="true" outlineLevel="0" collapsed="false">
      <c r="A1204" s="52" t="s">
        <v>5777</v>
      </c>
      <c r="B1204" s="52" t="s">
        <v>5813</v>
      </c>
      <c r="C1204" s="53" t="n">
        <v>1608986</v>
      </c>
      <c r="D1204" s="52" t="s">
        <v>2695</v>
      </c>
      <c r="E1204" s="52" t="s">
        <v>2696</v>
      </c>
      <c r="F1204" s="54" t="n">
        <v>5</v>
      </c>
      <c r="G1204" s="55" t="n">
        <v>625</v>
      </c>
      <c r="H1204" s="55" t="n">
        <v>125</v>
      </c>
      <c r="I1204" s="55" t="n">
        <v>125</v>
      </c>
      <c r="J1204" s="52" t="s">
        <v>5816</v>
      </c>
      <c r="K1204" s="56" t="n">
        <v>1</v>
      </c>
      <c r="L1204" s="52" t="s">
        <v>5816</v>
      </c>
      <c r="M1204" s="52" t="s">
        <v>170</v>
      </c>
    </row>
    <row r="1205" customFormat="false" ht="17.25" hidden="false" customHeight="true" outlineLevel="0" collapsed="false">
      <c r="A1205" s="52" t="s">
        <v>5777</v>
      </c>
      <c r="B1205" s="52" t="s">
        <v>5813</v>
      </c>
      <c r="C1205" s="53" t="n">
        <v>12569</v>
      </c>
      <c r="D1205" s="52" t="s">
        <v>2697</v>
      </c>
      <c r="E1205" s="52" t="s">
        <v>2698</v>
      </c>
      <c r="F1205" s="54" t="n">
        <v>3</v>
      </c>
      <c r="G1205" s="55" t="n">
        <v>624</v>
      </c>
      <c r="H1205" s="55" t="n">
        <v>208</v>
      </c>
      <c r="I1205" s="55" t="n">
        <v>208</v>
      </c>
      <c r="J1205" s="52" t="s">
        <v>5816</v>
      </c>
      <c r="K1205" s="56" t="n">
        <v>1</v>
      </c>
      <c r="L1205" s="52" t="s">
        <v>5816</v>
      </c>
      <c r="M1205" s="52" t="s">
        <v>38</v>
      </c>
    </row>
    <row r="1206" customFormat="false" ht="17.25" hidden="false" customHeight="true" outlineLevel="0" collapsed="false">
      <c r="A1206" s="52" t="s">
        <v>5777</v>
      </c>
      <c r="B1206" s="52" t="s">
        <v>5813</v>
      </c>
      <c r="C1206" s="53" t="n">
        <v>34287</v>
      </c>
      <c r="D1206" s="52" t="s">
        <v>2699</v>
      </c>
      <c r="E1206" s="52" t="s">
        <v>2700</v>
      </c>
      <c r="F1206" s="54" t="n">
        <v>4</v>
      </c>
      <c r="G1206" s="55" t="n">
        <v>624</v>
      </c>
      <c r="H1206" s="55" t="n">
        <v>156</v>
      </c>
      <c r="I1206" s="55" t="n">
        <v>156</v>
      </c>
      <c r="J1206" s="52" t="s">
        <v>5816</v>
      </c>
      <c r="K1206" s="56" t="n">
        <v>1</v>
      </c>
      <c r="L1206" s="52" t="s">
        <v>5816</v>
      </c>
      <c r="M1206" s="52" t="s">
        <v>247</v>
      </c>
    </row>
    <row r="1207" customFormat="false" ht="17.25" hidden="false" customHeight="true" outlineLevel="0" collapsed="false">
      <c r="A1207" s="52" t="s">
        <v>5777</v>
      </c>
      <c r="B1207" s="52" t="s">
        <v>5813</v>
      </c>
      <c r="C1207" s="53" t="n">
        <v>942236</v>
      </c>
      <c r="D1207" s="52" t="s">
        <v>2701</v>
      </c>
      <c r="E1207" s="52" t="s">
        <v>2702</v>
      </c>
      <c r="F1207" s="54" t="n">
        <v>240</v>
      </c>
      <c r="G1207" s="55" t="n">
        <v>624</v>
      </c>
      <c r="H1207" s="55" t="n">
        <v>2.6</v>
      </c>
      <c r="I1207" s="55" t="n">
        <v>2.6</v>
      </c>
      <c r="J1207" s="52" t="s">
        <v>5814</v>
      </c>
      <c r="K1207" s="56" t="n">
        <v>1</v>
      </c>
      <c r="L1207" s="52" t="s">
        <v>5814</v>
      </c>
      <c r="M1207" s="52" t="s">
        <v>38</v>
      </c>
    </row>
    <row r="1208" customFormat="false" ht="17.25" hidden="false" customHeight="true" outlineLevel="0" collapsed="false">
      <c r="A1208" s="52" t="s">
        <v>5777</v>
      </c>
      <c r="B1208" s="52" t="s">
        <v>5813</v>
      </c>
      <c r="C1208" s="53" t="n">
        <v>1384961</v>
      </c>
      <c r="D1208" s="52" t="s">
        <v>2703</v>
      </c>
      <c r="E1208" s="52" t="s">
        <v>2704</v>
      </c>
      <c r="F1208" s="54" t="n">
        <v>20</v>
      </c>
      <c r="G1208" s="55" t="n">
        <v>623.4</v>
      </c>
      <c r="H1208" s="55" t="n">
        <v>31.17</v>
      </c>
      <c r="I1208" s="55" t="n">
        <v>31.17</v>
      </c>
      <c r="J1208" s="52" t="s">
        <v>5814</v>
      </c>
      <c r="K1208" s="56" t="n">
        <v>1</v>
      </c>
      <c r="L1208" s="52" t="s">
        <v>5814</v>
      </c>
      <c r="M1208" s="52" t="s">
        <v>38</v>
      </c>
    </row>
    <row r="1209" customFormat="false" ht="17.25" hidden="false" customHeight="true" outlineLevel="0" collapsed="false">
      <c r="A1209" s="52" t="s">
        <v>5777</v>
      </c>
      <c r="B1209" s="52" t="s">
        <v>5813</v>
      </c>
      <c r="C1209" s="53" t="n">
        <v>1384962</v>
      </c>
      <c r="D1209" s="52" t="s">
        <v>2705</v>
      </c>
      <c r="E1209" s="52" t="s">
        <v>2706</v>
      </c>
      <c r="F1209" s="54" t="n">
        <v>20</v>
      </c>
      <c r="G1209" s="55" t="n">
        <v>623.4</v>
      </c>
      <c r="H1209" s="55" t="n">
        <v>31.17</v>
      </c>
      <c r="I1209" s="55" t="n">
        <v>31.17</v>
      </c>
      <c r="J1209" s="52" t="s">
        <v>5814</v>
      </c>
      <c r="K1209" s="56" t="n">
        <v>1</v>
      </c>
      <c r="L1209" s="52" t="s">
        <v>5814</v>
      </c>
      <c r="M1209" s="52" t="s">
        <v>38</v>
      </c>
    </row>
    <row r="1210" customFormat="false" ht="17.25" hidden="false" customHeight="true" outlineLevel="0" collapsed="false">
      <c r="A1210" s="52" t="s">
        <v>5777</v>
      </c>
      <c r="B1210" s="52" t="s">
        <v>5813</v>
      </c>
      <c r="C1210" s="53" t="n">
        <v>22936</v>
      </c>
      <c r="D1210" s="52" t="s">
        <v>2707</v>
      </c>
      <c r="E1210" s="52" t="s">
        <v>2708</v>
      </c>
      <c r="F1210" s="54" t="n">
        <v>1057</v>
      </c>
      <c r="G1210" s="55" t="n">
        <v>620.96</v>
      </c>
      <c r="H1210" s="55" t="n">
        <v>0.5875</v>
      </c>
      <c r="I1210" s="55" t="n">
        <v>0.3675</v>
      </c>
      <c r="J1210" s="52" t="s">
        <v>5816</v>
      </c>
      <c r="K1210" s="56" t="n">
        <v>1</v>
      </c>
      <c r="L1210" s="52" t="s">
        <v>5816</v>
      </c>
      <c r="M1210" s="52" t="s">
        <v>100</v>
      </c>
    </row>
    <row r="1211" customFormat="false" ht="17.25" hidden="false" customHeight="true" outlineLevel="0" collapsed="false">
      <c r="A1211" s="52" t="s">
        <v>5777</v>
      </c>
      <c r="B1211" s="52" t="s">
        <v>5813</v>
      </c>
      <c r="C1211" s="53" t="n">
        <v>1661835</v>
      </c>
      <c r="D1211" s="52" t="s">
        <v>2709</v>
      </c>
      <c r="E1211" s="52" t="s">
        <v>2710</v>
      </c>
      <c r="F1211" s="54" t="n">
        <v>1</v>
      </c>
      <c r="G1211" s="55" t="n">
        <v>620</v>
      </c>
      <c r="H1211" s="55" t="n">
        <v>620</v>
      </c>
      <c r="I1211" s="55" t="n">
        <v>620</v>
      </c>
      <c r="J1211" s="52" t="s">
        <v>5816</v>
      </c>
      <c r="K1211" s="56" t="n">
        <v>1</v>
      </c>
      <c r="L1211" s="52" t="s">
        <v>5816</v>
      </c>
      <c r="M1211" s="52" t="s">
        <v>133</v>
      </c>
    </row>
    <row r="1212" customFormat="false" ht="17.25" hidden="false" customHeight="true" outlineLevel="0" collapsed="false">
      <c r="A1212" s="52" t="s">
        <v>5777</v>
      </c>
      <c r="B1212" s="52" t="s">
        <v>5813</v>
      </c>
      <c r="C1212" s="53" t="n">
        <v>1320996</v>
      </c>
      <c r="D1212" s="52" t="s">
        <v>2711</v>
      </c>
      <c r="E1212" s="52" t="s">
        <v>2712</v>
      </c>
      <c r="F1212" s="54" t="n">
        <v>85</v>
      </c>
      <c r="G1212" s="55" t="n">
        <v>616.25</v>
      </c>
      <c r="H1212" s="55" t="n">
        <v>7.25</v>
      </c>
      <c r="I1212" s="55" t="n">
        <v>7.25</v>
      </c>
      <c r="J1212" s="52" t="s">
        <v>5816</v>
      </c>
      <c r="K1212" s="56" t="n">
        <v>1</v>
      </c>
      <c r="L1212" s="52" t="s">
        <v>5816</v>
      </c>
      <c r="M1212" s="52" t="s">
        <v>38</v>
      </c>
    </row>
    <row r="1213" customFormat="false" ht="17.25" hidden="false" customHeight="true" outlineLevel="0" collapsed="false">
      <c r="A1213" s="52" t="s">
        <v>5777</v>
      </c>
      <c r="B1213" s="52" t="s">
        <v>5813</v>
      </c>
      <c r="C1213" s="53" t="n">
        <v>1329818</v>
      </c>
      <c r="D1213" s="52" t="s">
        <v>2713</v>
      </c>
      <c r="E1213" s="52" t="s">
        <v>2714</v>
      </c>
      <c r="F1213" s="54" t="n">
        <v>55.2</v>
      </c>
      <c r="G1213" s="55" t="n">
        <v>615</v>
      </c>
      <c r="H1213" s="55" t="n">
        <v>11.1413</v>
      </c>
      <c r="I1213" s="55" t="n">
        <v>11.1413</v>
      </c>
      <c r="J1213" s="52" t="s">
        <v>5814</v>
      </c>
      <c r="K1213" s="56" t="n">
        <v>1</v>
      </c>
      <c r="L1213" s="52" t="s">
        <v>5814</v>
      </c>
      <c r="M1213" s="52" t="s">
        <v>230</v>
      </c>
    </row>
    <row r="1214" customFormat="false" ht="17.25" hidden="false" customHeight="true" outlineLevel="0" collapsed="false">
      <c r="A1214" s="52" t="s">
        <v>5777</v>
      </c>
      <c r="B1214" s="52" t="s">
        <v>5813</v>
      </c>
      <c r="C1214" s="53" t="n">
        <v>280098</v>
      </c>
      <c r="D1214" s="52" t="s">
        <v>2715</v>
      </c>
      <c r="E1214" s="52" t="s">
        <v>2716</v>
      </c>
      <c r="F1214" s="54" t="n">
        <v>10</v>
      </c>
      <c r="G1214" s="55" t="n">
        <v>614</v>
      </c>
      <c r="H1214" s="55" t="n">
        <v>61.4</v>
      </c>
      <c r="I1214" s="55" t="n">
        <v>95</v>
      </c>
      <c r="J1214" s="52" t="s">
        <v>5911</v>
      </c>
      <c r="K1214" s="56" t="n">
        <v>1</v>
      </c>
      <c r="L1214" s="52" t="s">
        <v>5816</v>
      </c>
      <c r="M1214" s="52" t="s">
        <v>38</v>
      </c>
    </row>
    <row r="1215" customFormat="false" ht="17.25" hidden="false" customHeight="true" outlineLevel="0" collapsed="false">
      <c r="A1215" s="52" t="s">
        <v>5777</v>
      </c>
      <c r="B1215" s="52" t="s">
        <v>5813</v>
      </c>
      <c r="C1215" s="53" t="n">
        <v>277922</v>
      </c>
      <c r="D1215" s="52" t="s">
        <v>2717</v>
      </c>
      <c r="E1215" s="52" t="s">
        <v>2718</v>
      </c>
      <c r="F1215" s="54" t="n">
        <v>40</v>
      </c>
      <c r="G1215" s="55" t="n">
        <v>613.49</v>
      </c>
      <c r="H1215" s="55" t="n">
        <v>15.3373</v>
      </c>
      <c r="I1215" s="55" t="n">
        <v>15.3373</v>
      </c>
      <c r="J1215" s="52" t="s">
        <v>5822</v>
      </c>
      <c r="K1215" s="56" t="n">
        <v>1</v>
      </c>
      <c r="L1215" s="52" t="s">
        <v>5822</v>
      </c>
      <c r="M1215" s="52" t="s">
        <v>133</v>
      </c>
    </row>
    <row r="1216" customFormat="false" ht="17.25" hidden="false" customHeight="true" outlineLevel="0" collapsed="false">
      <c r="A1216" s="52" t="s">
        <v>5777</v>
      </c>
      <c r="B1216" s="52" t="s">
        <v>5813</v>
      </c>
      <c r="C1216" s="53" t="n">
        <v>1613482</v>
      </c>
      <c r="D1216" s="52" t="s">
        <v>2719</v>
      </c>
      <c r="E1216" s="52" t="s">
        <v>2720</v>
      </c>
      <c r="F1216" s="54" t="n">
        <v>1</v>
      </c>
      <c r="G1216" s="55" t="n">
        <v>612.66</v>
      </c>
      <c r="H1216" s="55" t="n">
        <v>612.66</v>
      </c>
      <c r="I1216" s="55" t="n">
        <v>612.66</v>
      </c>
      <c r="J1216" s="52" t="s">
        <v>5816</v>
      </c>
      <c r="K1216" s="56" t="n">
        <v>1</v>
      </c>
      <c r="L1216" s="52" t="s">
        <v>5816</v>
      </c>
      <c r="M1216" s="52" t="s">
        <v>38</v>
      </c>
    </row>
    <row r="1217" customFormat="false" ht="17.25" hidden="false" customHeight="true" outlineLevel="0" collapsed="false">
      <c r="A1217" s="52" t="s">
        <v>5777</v>
      </c>
      <c r="B1217" s="52" t="s">
        <v>5813</v>
      </c>
      <c r="C1217" s="53" t="n">
        <v>1384337</v>
      </c>
      <c r="D1217" s="52" t="s">
        <v>2721</v>
      </c>
      <c r="E1217" s="52" t="s">
        <v>2722</v>
      </c>
      <c r="F1217" s="54" t="n">
        <v>33</v>
      </c>
      <c r="G1217" s="55" t="n">
        <v>612.44</v>
      </c>
      <c r="H1217" s="55" t="n">
        <v>18.5588</v>
      </c>
      <c r="I1217" s="55" t="n">
        <v>18.77</v>
      </c>
      <c r="J1217" s="52" t="s">
        <v>5816</v>
      </c>
      <c r="K1217" s="56" t="n">
        <v>1</v>
      </c>
      <c r="L1217" s="52" t="s">
        <v>5816</v>
      </c>
      <c r="M1217" s="52" t="s">
        <v>38</v>
      </c>
    </row>
    <row r="1218" customFormat="false" ht="17.25" hidden="false" customHeight="true" outlineLevel="0" collapsed="false">
      <c r="A1218" s="52" t="s">
        <v>5777</v>
      </c>
      <c r="B1218" s="52" t="s">
        <v>5813</v>
      </c>
      <c r="C1218" s="53" t="n">
        <v>21217</v>
      </c>
      <c r="D1218" s="52" t="s">
        <v>2723</v>
      </c>
      <c r="E1218" s="52" t="s">
        <v>2724</v>
      </c>
      <c r="F1218" s="54" t="n">
        <v>6</v>
      </c>
      <c r="G1218" s="55" t="n">
        <v>612</v>
      </c>
      <c r="H1218" s="55" t="n">
        <v>102</v>
      </c>
      <c r="I1218" s="55" t="n">
        <v>102</v>
      </c>
      <c r="J1218" s="52" t="s">
        <v>5816</v>
      </c>
      <c r="K1218" s="56" t="n">
        <v>1</v>
      </c>
      <c r="L1218" s="52" t="s">
        <v>5816</v>
      </c>
      <c r="M1218" s="52" t="s">
        <v>189</v>
      </c>
    </row>
    <row r="1219" customFormat="false" ht="17.25" hidden="false" customHeight="true" outlineLevel="0" collapsed="false">
      <c r="A1219" s="52" t="s">
        <v>5777</v>
      </c>
      <c r="B1219" s="52" t="s">
        <v>5813</v>
      </c>
      <c r="C1219" s="53" t="n">
        <v>1313782</v>
      </c>
      <c r="D1219" s="52" t="s">
        <v>2725</v>
      </c>
      <c r="E1219" s="52" t="s">
        <v>2726</v>
      </c>
      <c r="F1219" s="54" t="n">
        <v>38</v>
      </c>
      <c r="G1219" s="55" t="n">
        <v>611.82</v>
      </c>
      <c r="H1219" s="55" t="n">
        <v>16.1005</v>
      </c>
      <c r="I1219" s="55" t="n">
        <v>18</v>
      </c>
      <c r="J1219" s="52" t="s">
        <v>5816</v>
      </c>
      <c r="K1219" s="56" t="n">
        <v>1</v>
      </c>
      <c r="L1219" s="52" t="s">
        <v>5816</v>
      </c>
      <c r="M1219" s="52" t="s">
        <v>130</v>
      </c>
    </row>
    <row r="1220" customFormat="false" ht="17.25" hidden="false" customHeight="true" outlineLevel="0" collapsed="false">
      <c r="A1220" s="52" t="s">
        <v>5777</v>
      </c>
      <c r="B1220" s="52" t="s">
        <v>5813</v>
      </c>
      <c r="C1220" s="53" t="n">
        <v>1114383</v>
      </c>
      <c r="D1220" s="52" t="s">
        <v>2727</v>
      </c>
      <c r="E1220" s="52" t="s">
        <v>2728</v>
      </c>
      <c r="F1220" s="54" t="n">
        <v>4</v>
      </c>
      <c r="G1220" s="55" t="n">
        <v>610.5</v>
      </c>
      <c r="H1220" s="55" t="n">
        <v>152.625</v>
      </c>
      <c r="I1220" s="55" t="n">
        <v>140</v>
      </c>
      <c r="J1220" s="52" t="s">
        <v>5816</v>
      </c>
      <c r="K1220" s="56" t="n">
        <v>1</v>
      </c>
      <c r="L1220" s="52" t="s">
        <v>5816</v>
      </c>
      <c r="M1220" s="52" t="s">
        <v>38</v>
      </c>
    </row>
    <row r="1221" customFormat="false" ht="17.25" hidden="false" customHeight="true" outlineLevel="0" collapsed="false">
      <c r="A1221" s="52" t="s">
        <v>5777</v>
      </c>
      <c r="B1221" s="52" t="s">
        <v>5813</v>
      </c>
      <c r="C1221" s="53" t="n">
        <v>23859</v>
      </c>
      <c r="D1221" s="52" t="s">
        <v>2729</v>
      </c>
      <c r="E1221" s="52" t="s">
        <v>2730</v>
      </c>
      <c r="F1221" s="54" t="n">
        <v>50</v>
      </c>
      <c r="G1221" s="55" t="n">
        <v>608</v>
      </c>
      <c r="H1221" s="55" t="n">
        <v>12.16</v>
      </c>
      <c r="I1221" s="55" t="n">
        <v>14</v>
      </c>
      <c r="J1221" s="52" t="s">
        <v>5816</v>
      </c>
      <c r="K1221" s="56" t="n">
        <v>1</v>
      </c>
      <c r="L1221" s="52" t="s">
        <v>5816</v>
      </c>
      <c r="M1221" s="52" t="s">
        <v>130</v>
      </c>
    </row>
    <row r="1222" customFormat="false" ht="17.25" hidden="false" customHeight="true" outlineLevel="0" collapsed="false">
      <c r="A1222" s="52" t="s">
        <v>5777</v>
      </c>
      <c r="B1222" s="52" t="s">
        <v>5813</v>
      </c>
      <c r="C1222" s="53" t="n">
        <v>861448</v>
      </c>
      <c r="D1222" s="52" t="s">
        <v>2731</v>
      </c>
      <c r="E1222" s="52" t="s">
        <v>2732</v>
      </c>
      <c r="F1222" s="54" t="n">
        <v>202</v>
      </c>
      <c r="G1222" s="55" t="n">
        <v>607.96</v>
      </c>
      <c r="H1222" s="55" t="n">
        <v>3.0097</v>
      </c>
      <c r="I1222" s="55" t="n">
        <v>2.92</v>
      </c>
      <c r="J1222" s="52" t="s">
        <v>5816</v>
      </c>
      <c r="K1222" s="56" t="n">
        <v>1</v>
      </c>
      <c r="L1222" s="52" t="s">
        <v>5816</v>
      </c>
      <c r="M1222" s="52" t="s">
        <v>38</v>
      </c>
    </row>
    <row r="1223" customFormat="false" ht="17.25" hidden="false" customHeight="true" outlineLevel="0" collapsed="false">
      <c r="A1223" s="52" t="s">
        <v>5777</v>
      </c>
      <c r="B1223" s="52" t="s">
        <v>5813</v>
      </c>
      <c r="C1223" s="53" t="n">
        <v>1656804</v>
      </c>
      <c r="D1223" s="52" t="s">
        <v>2733</v>
      </c>
      <c r="E1223" s="52" t="s">
        <v>2734</v>
      </c>
      <c r="F1223" s="54" t="n">
        <v>30</v>
      </c>
      <c r="G1223" s="55" t="n">
        <v>607.5</v>
      </c>
      <c r="H1223" s="55" t="n">
        <v>20.25</v>
      </c>
      <c r="I1223" s="55" t="n">
        <v>20.25</v>
      </c>
      <c r="J1223" s="52" t="s">
        <v>5816</v>
      </c>
      <c r="K1223" s="56" t="n">
        <v>1</v>
      </c>
      <c r="L1223" s="52" t="s">
        <v>5816</v>
      </c>
      <c r="M1223" s="52" t="s">
        <v>217</v>
      </c>
    </row>
    <row r="1224" customFormat="false" ht="17.25" hidden="false" customHeight="true" outlineLevel="0" collapsed="false">
      <c r="A1224" s="52" t="s">
        <v>5777</v>
      </c>
      <c r="B1224" s="52" t="s">
        <v>5813</v>
      </c>
      <c r="C1224" s="53" t="n">
        <v>19349</v>
      </c>
      <c r="D1224" s="52" t="s">
        <v>2735</v>
      </c>
      <c r="E1224" s="52" t="s">
        <v>2736</v>
      </c>
      <c r="F1224" s="54" t="n">
        <v>130</v>
      </c>
      <c r="G1224" s="55" t="n">
        <v>607.0905</v>
      </c>
      <c r="H1224" s="55" t="n">
        <v>4.6699</v>
      </c>
      <c r="I1224" s="55" t="n">
        <v>4.6</v>
      </c>
      <c r="J1224" s="52" t="s">
        <v>5816</v>
      </c>
      <c r="K1224" s="56" t="n">
        <v>1</v>
      </c>
      <c r="L1224" s="52" t="s">
        <v>5816</v>
      </c>
      <c r="M1224" s="52" t="s">
        <v>1095</v>
      </c>
    </row>
    <row r="1225" customFormat="false" ht="17.25" hidden="false" customHeight="true" outlineLevel="0" collapsed="false">
      <c r="A1225" s="52" t="s">
        <v>5777</v>
      </c>
      <c r="B1225" s="52" t="s">
        <v>5813</v>
      </c>
      <c r="C1225" s="53" t="n">
        <v>557115</v>
      </c>
      <c r="D1225" s="52" t="s">
        <v>2737</v>
      </c>
      <c r="E1225" s="52" t="s">
        <v>2738</v>
      </c>
      <c r="F1225" s="54" t="n">
        <v>5</v>
      </c>
      <c r="G1225" s="55" t="n">
        <v>606.7</v>
      </c>
      <c r="H1225" s="55" t="n">
        <v>121.34</v>
      </c>
      <c r="I1225" s="55" t="n">
        <v>121.34</v>
      </c>
      <c r="J1225" s="52" t="s">
        <v>5816</v>
      </c>
      <c r="K1225" s="56" t="n">
        <v>1</v>
      </c>
      <c r="L1225" s="52" t="s">
        <v>5816</v>
      </c>
      <c r="M1225" s="52" t="s">
        <v>130</v>
      </c>
    </row>
    <row r="1226" customFormat="false" ht="17.25" hidden="false" customHeight="true" outlineLevel="0" collapsed="false">
      <c r="A1226" s="52" t="s">
        <v>5777</v>
      </c>
      <c r="B1226" s="52" t="s">
        <v>5813</v>
      </c>
      <c r="C1226" s="53" t="n">
        <v>283891</v>
      </c>
      <c r="D1226" s="52" t="s">
        <v>2739</v>
      </c>
      <c r="E1226" s="52" t="s">
        <v>2740</v>
      </c>
      <c r="F1226" s="54" t="n">
        <v>35</v>
      </c>
      <c r="G1226" s="55" t="n">
        <v>606.2</v>
      </c>
      <c r="H1226" s="55" t="n">
        <v>17.32</v>
      </c>
      <c r="I1226" s="55" t="n">
        <v>17.32</v>
      </c>
      <c r="J1226" s="52" t="s">
        <v>5814</v>
      </c>
      <c r="K1226" s="56" t="n">
        <v>1</v>
      </c>
      <c r="L1226" s="52" t="s">
        <v>5814</v>
      </c>
      <c r="M1226" s="52" t="s">
        <v>38</v>
      </c>
    </row>
    <row r="1227" customFormat="false" ht="17.25" hidden="false" customHeight="true" outlineLevel="0" collapsed="false">
      <c r="A1227" s="52" t="s">
        <v>5777</v>
      </c>
      <c r="B1227" s="52" t="s">
        <v>5813</v>
      </c>
      <c r="C1227" s="53" t="n">
        <v>21339</v>
      </c>
      <c r="D1227" s="52" t="s">
        <v>2741</v>
      </c>
      <c r="E1227" s="52" t="s">
        <v>2742</v>
      </c>
      <c r="F1227" s="54" t="n">
        <v>10</v>
      </c>
      <c r="G1227" s="55" t="n">
        <v>604.56</v>
      </c>
      <c r="H1227" s="55" t="n">
        <v>60.456</v>
      </c>
      <c r="I1227" s="55" t="n">
        <v>128</v>
      </c>
      <c r="J1227" s="52" t="s">
        <v>5816</v>
      </c>
      <c r="K1227" s="56" t="n">
        <v>1</v>
      </c>
      <c r="L1227" s="52" t="s">
        <v>5816</v>
      </c>
      <c r="M1227" s="52" t="s">
        <v>130</v>
      </c>
    </row>
    <row r="1228" customFormat="false" ht="17.25" hidden="false" customHeight="true" outlineLevel="0" collapsed="false">
      <c r="A1228" s="52" t="s">
        <v>5777</v>
      </c>
      <c r="B1228" s="52" t="s">
        <v>5813</v>
      </c>
      <c r="C1228" s="53" t="n">
        <v>1326792</v>
      </c>
      <c r="D1228" s="52" t="s">
        <v>2743</v>
      </c>
      <c r="E1228" s="52" t="s">
        <v>2744</v>
      </c>
      <c r="F1228" s="54" t="n">
        <v>5</v>
      </c>
      <c r="G1228" s="55" t="n">
        <v>604.41</v>
      </c>
      <c r="H1228" s="55" t="n">
        <v>120.882</v>
      </c>
      <c r="I1228" s="55" t="n">
        <v>120.8833</v>
      </c>
      <c r="J1228" s="52" t="s">
        <v>5818</v>
      </c>
      <c r="K1228" s="56" t="n">
        <v>1</v>
      </c>
      <c r="L1228" s="52" t="s">
        <v>5816</v>
      </c>
      <c r="M1228" s="52" t="s">
        <v>38</v>
      </c>
    </row>
    <row r="1229" customFormat="false" ht="17.25" hidden="false" customHeight="true" outlineLevel="0" collapsed="false">
      <c r="A1229" s="52" t="s">
        <v>5777</v>
      </c>
      <c r="B1229" s="52" t="s">
        <v>5813</v>
      </c>
      <c r="C1229" s="53" t="n">
        <v>959562</v>
      </c>
      <c r="D1229" s="52" t="s">
        <v>2745</v>
      </c>
      <c r="E1229" s="52" t="s">
        <v>2746</v>
      </c>
      <c r="F1229" s="54" t="n">
        <v>2</v>
      </c>
      <c r="G1229" s="55" t="n">
        <v>604</v>
      </c>
      <c r="H1229" s="55" t="n">
        <v>302</v>
      </c>
      <c r="I1229" s="55" t="n">
        <v>302</v>
      </c>
      <c r="J1229" s="52" t="s">
        <v>5816</v>
      </c>
      <c r="K1229" s="56" t="n">
        <v>1</v>
      </c>
      <c r="L1229" s="52" t="s">
        <v>5816</v>
      </c>
      <c r="M1229" s="52" t="s">
        <v>189</v>
      </c>
    </row>
    <row r="1230" customFormat="false" ht="17.25" hidden="false" customHeight="true" outlineLevel="0" collapsed="false">
      <c r="A1230" s="52" t="s">
        <v>5777</v>
      </c>
      <c r="B1230" s="52" t="s">
        <v>5813</v>
      </c>
      <c r="C1230" s="53" t="n">
        <v>1319124</v>
      </c>
      <c r="D1230" s="52" t="s">
        <v>2747</v>
      </c>
      <c r="E1230" s="52" t="s">
        <v>2748</v>
      </c>
      <c r="F1230" s="54" t="n">
        <v>60</v>
      </c>
      <c r="G1230" s="55" t="n">
        <v>603</v>
      </c>
      <c r="H1230" s="55" t="n">
        <v>10.05</v>
      </c>
      <c r="I1230" s="55" t="n">
        <v>11.3</v>
      </c>
      <c r="J1230" s="52" t="s">
        <v>5816</v>
      </c>
      <c r="K1230" s="56" t="n">
        <v>1</v>
      </c>
      <c r="L1230" s="52" t="s">
        <v>5816</v>
      </c>
      <c r="M1230" s="52" t="s">
        <v>1095</v>
      </c>
    </row>
    <row r="1231" customFormat="false" ht="17.25" hidden="false" customHeight="true" outlineLevel="0" collapsed="false">
      <c r="A1231" s="52" t="s">
        <v>5777</v>
      </c>
      <c r="B1231" s="52" t="s">
        <v>5813</v>
      </c>
      <c r="C1231" s="53" t="n">
        <v>1388902</v>
      </c>
      <c r="D1231" s="52" t="s">
        <v>2749</v>
      </c>
      <c r="E1231" s="52" t="s">
        <v>2750</v>
      </c>
      <c r="F1231" s="54" t="n">
        <v>200</v>
      </c>
      <c r="G1231" s="55" t="n">
        <v>602</v>
      </c>
      <c r="H1231" s="55" t="n">
        <v>3.01</v>
      </c>
      <c r="I1231" s="55" t="n">
        <v>2.92</v>
      </c>
      <c r="J1231" s="52" t="s">
        <v>5816</v>
      </c>
      <c r="K1231" s="56" t="n">
        <v>1</v>
      </c>
      <c r="L1231" s="52" t="s">
        <v>5816</v>
      </c>
      <c r="M1231" s="52" t="s">
        <v>38</v>
      </c>
    </row>
    <row r="1232" customFormat="false" ht="17.25" hidden="false" customHeight="true" outlineLevel="0" collapsed="false">
      <c r="A1232" s="52" t="s">
        <v>5777</v>
      </c>
      <c r="B1232" s="52" t="s">
        <v>5813</v>
      </c>
      <c r="C1232" s="53" t="n">
        <v>1662292</v>
      </c>
      <c r="D1232" s="52" t="s">
        <v>2751</v>
      </c>
      <c r="E1232" s="52" t="s">
        <v>2752</v>
      </c>
      <c r="F1232" s="54" t="n">
        <v>36</v>
      </c>
      <c r="G1232" s="55" t="n">
        <v>601.2</v>
      </c>
      <c r="H1232" s="55" t="n">
        <v>16.7</v>
      </c>
      <c r="I1232" s="55" t="n">
        <v>16.7</v>
      </c>
      <c r="J1232" s="52" t="s">
        <v>5816</v>
      </c>
      <c r="K1232" s="56" t="n">
        <v>1</v>
      </c>
      <c r="L1232" s="52" t="s">
        <v>5816</v>
      </c>
      <c r="M1232" s="52" t="s">
        <v>38</v>
      </c>
    </row>
    <row r="1233" customFormat="false" ht="17.25" hidden="false" customHeight="true" outlineLevel="0" collapsed="false">
      <c r="A1233" s="52" t="s">
        <v>5777</v>
      </c>
      <c r="B1233" s="52" t="s">
        <v>5813</v>
      </c>
      <c r="C1233" s="53" t="n">
        <v>19117</v>
      </c>
      <c r="D1233" s="52" t="s">
        <v>2753</v>
      </c>
      <c r="E1233" s="52" t="s">
        <v>2754</v>
      </c>
      <c r="F1233" s="54" t="n">
        <v>12</v>
      </c>
      <c r="G1233" s="55" t="n">
        <v>600</v>
      </c>
      <c r="H1233" s="55" t="n">
        <v>50</v>
      </c>
      <c r="I1233" s="55" t="n">
        <v>50</v>
      </c>
      <c r="J1233" s="52" t="s">
        <v>5816</v>
      </c>
      <c r="K1233" s="56" t="n">
        <v>1</v>
      </c>
      <c r="L1233" s="52" t="s">
        <v>5816</v>
      </c>
      <c r="M1233" s="52" t="s">
        <v>113</v>
      </c>
    </row>
    <row r="1234" customFormat="false" ht="17.25" hidden="false" customHeight="true" outlineLevel="0" collapsed="false">
      <c r="A1234" s="52" t="s">
        <v>5777</v>
      </c>
      <c r="B1234" s="52" t="s">
        <v>5813</v>
      </c>
      <c r="C1234" s="53" t="n">
        <v>274532</v>
      </c>
      <c r="D1234" s="52" t="s">
        <v>2755</v>
      </c>
      <c r="E1234" s="52" t="s">
        <v>2756</v>
      </c>
      <c r="F1234" s="54" t="n">
        <v>200</v>
      </c>
      <c r="G1234" s="55" t="n">
        <v>600</v>
      </c>
      <c r="H1234" s="55" t="n">
        <v>3</v>
      </c>
      <c r="I1234" s="55" t="n">
        <v>3</v>
      </c>
      <c r="J1234" s="52" t="s">
        <v>5816</v>
      </c>
      <c r="K1234" s="56" t="n">
        <v>1</v>
      </c>
      <c r="L1234" s="52" t="s">
        <v>5816</v>
      </c>
      <c r="M1234" s="52" t="s">
        <v>722</v>
      </c>
    </row>
    <row r="1235" customFormat="false" ht="17.25" hidden="false" customHeight="true" outlineLevel="0" collapsed="false">
      <c r="A1235" s="52" t="s">
        <v>5777</v>
      </c>
      <c r="B1235" s="52" t="s">
        <v>5813</v>
      </c>
      <c r="C1235" s="53" t="n">
        <v>284063</v>
      </c>
      <c r="D1235" s="52" t="s">
        <v>2757</v>
      </c>
      <c r="E1235" s="52" t="s">
        <v>2758</v>
      </c>
      <c r="F1235" s="54" t="n">
        <v>10</v>
      </c>
      <c r="G1235" s="55" t="n">
        <v>600</v>
      </c>
      <c r="H1235" s="55" t="n">
        <v>60</v>
      </c>
      <c r="I1235" s="55" t="n">
        <v>60</v>
      </c>
      <c r="J1235" s="52" t="s">
        <v>5816</v>
      </c>
      <c r="K1235" s="56" t="n">
        <v>1</v>
      </c>
      <c r="L1235" s="52" t="s">
        <v>5816</v>
      </c>
      <c r="M1235" s="52" t="s">
        <v>130</v>
      </c>
    </row>
    <row r="1236" customFormat="false" ht="17.25" hidden="false" customHeight="true" outlineLevel="0" collapsed="false">
      <c r="A1236" s="52" t="s">
        <v>5777</v>
      </c>
      <c r="B1236" s="52" t="s">
        <v>5813</v>
      </c>
      <c r="C1236" s="53" t="n">
        <v>294153</v>
      </c>
      <c r="D1236" s="52" t="s">
        <v>2759</v>
      </c>
      <c r="E1236" s="52" t="s">
        <v>5912</v>
      </c>
      <c r="F1236" s="54" t="n">
        <v>2</v>
      </c>
      <c r="G1236" s="55" t="n">
        <v>600</v>
      </c>
      <c r="H1236" s="55" t="n">
        <v>300</v>
      </c>
      <c r="I1236" s="55" t="n">
        <v>300</v>
      </c>
      <c r="J1236" s="52" t="s">
        <v>5816</v>
      </c>
      <c r="K1236" s="56" t="n">
        <v>1</v>
      </c>
      <c r="L1236" s="52" t="s">
        <v>5816</v>
      </c>
      <c r="M1236" s="52" t="s">
        <v>93</v>
      </c>
    </row>
    <row r="1237" customFormat="false" ht="17.25" hidden="false" customHeight="true" outlineLevel="0" collapsed="false">
      <c r="A1237" s="52" t="s">
        <v>5777</v>
      </c>
      <c r="B1237" s="52" t="s">
        <v>5813</v>
      </c>
      <c r="C1237" s="53" t="n">
        <v>347714</v>
      </c>
      <c r="D1237" s="52" t="s">
        <v>2761</v>
      </c>
      <c r="E1237" s="52" t="s">
        <v>2762</v>
      </c>
      <c r="F1237" s="54" t="n">
        <v>2</v>
      </c>
      <c r="G1237" s="55" t="n">
        <v>599.76</v>
      </c>
      <c r="H1237" s="55" t="n">
        <v>299.88</v>
      </c>
      <c r="I1237" s="55" t="n">
        <v>299.88</v>
      </c>
      <c r="J1237" s="52" t="s">
        <v>5816</v>
      </c>
      <c r="K1237" s="56" t="n">
        <v>1</v>
      </c>
      <c r="L1237" s="52" t="s">
        <v>5816</v>
      </c>
      <c r="M1237" s="52" t="s">
        <v>334</v>
      </c>
    </row>
    <row r="1238" customFormat="false" ht="17.25" hidden="false" customHeight="true" outlineLevel="0" collapsed="false">
      <c r="A1238" s="52" t="s">
        <v>5777</v>
      </c>
      <c r="B1238" s="52" t="s">
        <v>5813</v>
      </c>
      <c r="C1238" s="53" t="n">
        <v>1062490</v>
      </c>
      <c r="D1238" s="52" t="s">
        <v>2763</v>
      </c>
      <c r="E1238" s="52" t="s">
        <v>2764</v>
      </c>
      <c r="F1238" s="54" t="n">
        <v>1</v>
      </c>
      <c r="G1238" s="55" t="n">
        <v>598</v>
      </c>
      <c r="H1238" s="55" t="n">
        <v>598</v>
      </c>
      <c r="I1238" s="55" t="n">
        <v>598</v>
      </c>
      <c r="J1238" s="52" t="s">
        <v>5816</v>
      </c>
      <c r="K1238" s="56" t="n">
        <v>1</v>
      </c>
      <c r="L1238" s="52" t="s">
        <v>5816</v>
      </c>
      <c r="M1238" s="52" t="s">
        <v>54</v>
      </c>
    </row>
    <row r="1239" customFormat="false" ht="17.25" hidden="false" customHeight="true" outlineLevel="0" collapsed="false">
      <c r="A1239" s="52" t="s">
        <v>5777</v>
      </c>
      <c r="B1239" s="52" t="s">
        <v>5813</v>
      </c>
      <c r="C1239" s="53" t="n">
        <v>945205</v>
      </c>
      <c r="D1239" s="52" t="s">
        <v>2765</v>
      </c>
      <c r="E1239" s="52" t="s">
        <v>2766</v>
      </c>
      <c r="F1239" s="54" t="n">
        <v>2</v>
      </c>
      <c r="G1239" s="55" t="n">
        <v>596</v>
      </c>
      <c r="H1239" s="55" t="n">
        <v>298</v>
      </c>
      <c r="I1239" s="55" t="n">
        <v>298</v>
      </c>
      <c r="J1239" s="52" t="s">
        <v>5831</v>
      </c>
      <c r="K1239" s="56" t="n">
        <v>1</v>
      </c>
      <c r="L1239" s="52" t="s">
        <v>5831</v>
      </c>
      <c r="M1239" s="52" t="s">
        <v>247</v>
      </c>
    </row>
    <row r="1240" customFormat="false" ht="17.25" hidden="false" customHeight="true" outlineLevel="0" collapsed="false">
      <c r="A1240" s="52" t="s">
        <v>5777</v>
      </c>
      <c r="B1240" s="52" t="s">
        <v>5813</v>
      </c>
      <c r="C1240" s="53" t="n">
        <v>1613483</v>
      </c>
      <c r="D1240" s="52" t="s">
        <v>2767</v>
      </c>
      <c r="E1240" s="52" t="s">
        <v>2768</v>
      </c>
      <c r="F1240" s="54" t="n">
        <v>3</v>
      </c>
      <c r="G1240" s="55" t="n">
        <v>595.57</v>
      </c>
      <c r="H1240" s="55" t="n">
        <v>198.5233</v>
      </c>
      <c r="I1240" s="55" t="n">
        <v>198.5233</v>
      </c>
      <c r="J1240" s="52" t="s">
        <v>5816</v>
      </c>
      <c r="K1240" s="56" t="n">
        <v>1</v>
      </c>
      <c r="L1240" s="52" t="s">
        <v>5816</v>
      </c>
      <c r="M1240" s="52" t="s">
        <v>38</v>
      </c>
    </row>
    <row r="1241" customFormat="false" ht="17.25" hidden="false" customHeight="true" outlineLevel="0" collapsed="false">
      <c r="A1241" s="52" t="s">
        <v>5777</v>
      </c>
      <c r="B1241" s="52" t="s">
        <v>5813</v>
      </c>
      <c r="C1241" s="53" t="n">
        <v>959719</v>
      </c>
      <c r="D1241" s="52" t="s">
        <v>2769</v>
      </c>
      <c r="E1241" s="52" t="s">
        <v>2770</v>
      </c>
      <c r="F1241" s="54" t="n">
        <v>18</v>
      </c>
      <c r="G1241" s="55" t="n">
        <v>594.22</v>
      </c>
      <c r="H1241" s="55" t="n">
        <v>33.0122</v>
      </c>
      <c r="I1241" s="55" t="n">
        <v>31.23</v>
      </c>
      <c r="J1241" s="52" t="s">
        <v>5816</v>
      </c>
      <c r="K1241" s="56" t="n">
        <v>1</v>
      </c>
      <c r="L1241" s="52" t="s">
        <v>5816</v>
      </c>
      <c r="M1241" s="52" t="s">
        <v>35</v>
      </c>
    </row>
    <row r="1242" customFormat="false" ht="17.25" hidden="false" customHeight="true" outlineLevel="0" collapsed="false">
      <c r="A1242" s="52" t="s">
        <v>5777</v>
      </c>
      <c r="B1242" s="52" t="s">
        <v>5813</v>
      </c>
      <c r="C1242" s="53" t="n">
        <v>1475856</v>
      </c>
      <c r="D1242" s="52" t="s">
        <v>2771</v>
      </c>
      <c r="E1242" s="52" t="s">
        <v>2772</v>
      </c>
      <c r="F1242" s="54" t="n">
        <v>5</v>
      </c>
      <c r="G1242" s="55" t="n">
        <v>594.01</v>
      </c>
      <c r="H1242" s="55" t="n">
        <v>118.802</v>
      </c>
      <c r="I1242" s="55" t="n">
        <v>110.97</v>
      </c>
      <c r="J1242" s="52" t="s">
        <v>5816</v>
      </c>
      <c r="K1242" s="56" t="n">
        <v>1</v>
      </c>
      <c r="L1242" s="52" t="s">
        <v>5816</v>
      </c>
      <c r="M1242" s="52" t="s">
        <v>130</v>
      </c>
    </row>
    <row r="1243" customFormat="false" ht="17.25" hidden="false" customHeight="true" outlineLevel="0" collapsed="false">
      <c r="A1243" s="52" t="s">
        <v>5777</v>
      </c>
      <c r="B1243" s="52" t="s">
        <v>5813</v>
      </c>
      <c r="C1243" s="53" t="n">
        <v>1014204</v>
      </c>
      <c r="D1243" s="52" t="s">
        <v>2773</v>
      </c>
      <c r="E1243" s="52" t="s">
        <v>2774</v>
      </c>
      <c r="F1243" s="54" t="n">
        <v>18</v>
      </c>
      <c r="G1243" s="55" t="n">
        <v>594</v>
      </c>
      <c r="H1243" s="55" t="n">
        <v>33</v>
      </c>
      <c r="I1243" s="55" t="n">
        <v>68</v>
      </c>
      <c r="J1243" s="52" t="s">
        <v>5816</v>
      </c>
      <c r="K1243" s="56" t="n">
        <v>1</v>
      </c>
      <c r="L1243" s="52" t="s">
        <v>5816</v>
      </c>
      <c r="M1243" s="52" t="s">
        <v>605</v>
      </c>
    </row>
    <row r="1244" customFormat="false" ht="17.25" hidden="false" customHeight="true" outlineLevel="0" collapsed="false">
      <c r="A1244" s="52" t="s">
        <v>5777</v>
      </c>
      <c r="B1244" s="52" t="s">
        <v>5813</v>
      </c>
      <c r="C1244" s="53" t="n">
        <v>17953</v>
      </c>
      <c r="D1244" s="52" t="s">
        <v>2775</v>
      </c>
      <c r="E1244" s="52" t="s">
        <v>2776</v>
      </c>
      <c r="F1244" s="54" t="n">
        <v>15</v>
      </c>
      <c r="G1244" s="55" t="n">
        <v>592.6</v>
      </c>
      <c r="H1244" s="55" t="n">
        <v>39.5067</v>
      </c>
      <c r="I1244" s="55" t="n">
        <v>31.81</v>
      </c>
      <c r="J1244" s="52" t="s">
        <v>5816</v>
      </c>
      <c r="K1244" s="56" t="n">
        <v>1</v>
      </c>
      <c r="L1244" s="52" t="s">
        <v>5816</v>
      </c>
      <c r="M1244" s="52" t="s">
        <v>130</v>
      </c>
    </row>
    <row r="1245" customFormat="false" ht="17.25" hidden="false" customHeight="true" outlineLevel="0" collapsed="false">
      <c r="A1245" s="52" t="s">
        <v>5777</v>
      </c>
      <c r="B1245" s="52" t="s">
        <v>5813</v>
      </c>
      <c r="C1245" s="53" t="n">
        <v>390718</v>
      </c>
      <c r="D1245" s="52" t="s">
        <v>2777</v>
      </c>
      <c r="E1245" s="52" t="s">
        <v>2778</v>
      </c>
      <c r="F1245" s="54" t="n">
        <v>2</v>
      </c>
      <c r="G1245" s="55" t="n">
        <v>592</v>
      </c>
      <c r="H1245" s="55" t="n">
        <v>296</v>
      </c>
      <c r="I1245" s="55" t="n">
        <v>296</v>
      </c>
      <c r="J1245" s="52" t="s">
        <v>5816</v>
      </c>
      <c r="K1245" s="56" t="n">
        <v>1</v>
      </c>
      <c r="L1245" s="52" t="s">
        <v>5816</v>
      </c>
      <c r="M1245" s="52" t="s">
        <v>189</v>
      </c>
    </row>
    <row r="1246" customFormat="false" ht="17.25" hidden="false" customHeight="true" outlineLevel="0" collapsed="false">
      <c r="A1246" s="52" t="s">
        <v>5777</v>
      </c>
      <c r="B1246" s="52" t="s">
        <v>5813</v>
      </c>
      <c r="C1246" s="53" t="n">
        <v>1475202</v>
      </c>
      <c r="D1246" s="52" t="s">
        <v>2779</v>
      </c>
      <c r="E1246" s="52" t="s">
        <v>2780</v>
      </c>
      <c r="F1246" s="54" t="n">
        <v>8</v>
      </c>
      <c r="G1246" s="55" t="n">
        <v>591.06</v>
      </c>
      <c r="H1246" s="55" t="n">
        <v>73.8825</v>
      </c>
      <c r="I1246" s="55" t="n">
        <v>70.53</v>
      </c>
      <c r="J1246" s="52" t="s">
        <v>5816</v>
      </c>
      <c r="K1246" s="56" t="n">
        <v>1</v>
      </c>
      <c r="L1246" s="52" t="s">
        <v>5816</v>
      </c>
      <c r="M1246" s="52" t="s">
        <v>38</v>
      </c>
    </row>
    <row r="1247" customFormat="false" ht="17.25" hidden="false" customHeight="true" outlineLevel="0" collapsed="false">
      <c r="A1247" s="52" t="s">
        <v>5777</v>
      </c>
      <c r="B1247" s="52" t="s">
        <v>5813</v>
      </c>
      <c r="C1247" s="53" t="n">
        <v>34262</v>
      </c>
      <c r="D1247" s="52" t="s">
        <v>2781</v>
      </c>
      <c r="E1247" s="52" t="s">
        <v>2782</v>
      </c>
      <c r="F1247" s="54" t="n">
        <v>100</v>
      </c>
      <c r="G1247" s="55" t="n">
        <v>591</v>
      </c>
      <c r="H1247" s="55" t="n">
        <v>5.91</v>
      </c>
      <c r="I1247" s="55" t="n">
        <v>5.91</v>
      </c>
      <c r="J1247" s="52" t="s">
        <v>5816</v>
      </c>
      <c r="K1247" s="56" t="n">
        <v>1</v>
      </c>
      <c r="L1247" s="52" t="s">
        <v>5816</v>
      </c>
      <c r="M1247" s="52" t="s">
        <v>605</v>
      </c>
    </row>
    <row r="1248" customFormat="false" ht="17.25" hidden="false" customHeight="true" outlineLevel="0" collapsed="false">
      <c r="A1248" s="52" t="s">
        <v>5777</v>
      </c>
      <c r="B1248" s="52" t="s">
        <v>5813</v>
      </c>
      <c r="C1248" s="53" t="n">
        <v>1067231</v>
      </c>
      <c r="D1248" s="52" t="s">
        <v>2783</v>
      </c>
      <c r="E1248" s="52" t="s">
        <v>2784</v>
      </c>
      <c r="F1248" s="54" t="n">
        <v>13</v>
      </c>
      <c r="G1248" s="55" t="n">
        <v>588.8</v>
      </c>
      <c r="H1248" s="55" t="n">
        <v>45.2923</v>
      </c>
      <c r="I1248" s="55" t="n">
        <v>47</v>
      </c>
      <c r="J1248" s="52" t="s">
        <v>5831</v>
      </c>
      <c r="K1248" s="56" t="n">
        <v>1</v>
      </c>
      <c r="L1248" s="52" t="s">
        <v>5831</v>
      </c>
      <c r="M1248" s="52" t="s">
        <v>247</v>
      </c>
    </row>
    <row r="1249" customFormat="false" ht="17.25" hidden="false" customHeight="true" outlineLevel="0" collapsed="false">
      <c r="A1249" s="52" t="s">
        <v>5777</v>
      </c>
      <c r="B1249" s="52" t="s">
        <v>5813</v>
      </c>
      <c r="C1249" s="53" t="n">
        <v>946746</v>
      </c>
      <c r="D1249" s="52" t="s">
        <v>2785</v>
      </c>
      <c r="E1249" s="52" t="s">
        <v>2786</v>
      </c>
      <c r="F1249" s="54" t="n">
        <v>12</v>
      </c>
      <c r="G1249" s="55" t="n">
        <v>588</v>
      </c>
      <c r="H1249" s="55" t="n">
        <v>49</v>
      </c>
      <c r="I1249" s="55" t="n">
        <v>49</v>
      </c>
      <c r="J1249" s="52" t="s">
        <v>5816</v>
      </c>
      <c r="K1249" s="56" t="n">
        <v>1</v>
      </c>
      <c r="L1249" s="52" t="s">
        <v>5816</v>
      </c>
      <c r="M1249" s="52" t="s">
        <v>130</v>
      </c>
    </row>
    <row r="1250" customFormat="false" ht="17.25" hidden="false" customHeight="true" outlineLevel="0" collapsed="false">
      <c r="A1250" s="52" t="s">
        <v>5777</v>
      </c>
      <c r="B1250" s="52" t="s">
        <v>5813</v>
      </c>
      <c r="C1250" s="53" t="n">
        <v>1312601</v>
      </c>
      <c r="D1250" s="52" t="s">
        <v>2787</v>
      </c>
      <c r="E1250" s="52" t="s">
        <v>2788</v>
      </c>
      <c r="F1250" s="54" t="n">
        <v>3</v>
      </c>
      <c r="G1250" s="55" t="n">
        <v>585.75</v>
      </c>
      <c r="H1250" s="55" t="n">
        <v>195.25</v>
      </c>
      <c r="I1250" s="55" t="n">
        <v>195.25</v>
      </c>
      <c r="J1250" s="52" t="s">
        <v>5816</v>
      </c>
      <c r="K1250" s="56" t="n">
        <v>1</v>
      </c>
      <c r="L1250" s="52" t="s">
        <v>5816</v>
      </c>
      <c r="M1250" s="52" t="s">
        <v>189</v>
      </c>
    </row>
    <row r="1251" customFormat="false" ht="17.25" hidden="false" customHeight="true" outlineLevel="0" collapsed="false">
      <c r="A1251" s="52" t="s">
        <v>5777</v>
      </c>
      <c r="B1251" s="52" t="s">
        <v>5813</v>
      </c>
      <c r="C1251" s="53" t="n">
        <v>477027</v>
      </c>
      <c r="D1251" s="52" t="s">
        <v>2789</v>
      </c>
      <c r="E1251" s="52" t="s">
        <v>2790</v>
      </c>
      <c r="F1251" s="54" t="n">
        <v>15</v>
      </c>
      <c r="G1251" s="55" t="n">
        <v>585.74</v>
      </c>
      <c r="H1251" s="55" t="n">
        <v>39.0493</v>
      </c>
      <c r="I1251" s="55" t="n">
        <v>98</v>
      </c>
      <c r="J1251" s="52" t="s">
        <v>5816</v>
      </c>
      <c r="K1251" s="56" t="n">
        <v>1</v>
      </c>
      <c r="L1251" s="52" t="s">
        <v>5816</v>
      </c>
      <c r="M1251" s="52" t="s">
        <v>38</v>
      </c>
    </row>
    <row r="1252" customFormat="false" ht="17.25" hidden="false" customHeight="true" outlineLevel="0" collapsed="false">
      <c r="A1252" s="52" t="s">
        <v>5777</v>
      </c>
      <c r="B1252" s="52" t="s">
        <v>5813</v>
      </c>
      <c r="C1252" s="53" t="n">
        <v>1463613</v>
      </c>
      <c r="D1252" s="52" t="s">
        <v>2791</v>
      </c>
      <c r="E1252" s="52" t="s">
        <v>2792</v>
      </c>
      <c r="F1252" s="54" t="n">
        <v>139.5755</v>
      </c>
      <c r="G1252" s="55" t="n">
        <v>583.97</v>
      </c>
      <c r="H1252" s="55" t="n">
        <v>4.1839</v>
      </c>
      <c r="I1252" s="55" t="n">
        <v>4.1839</v>
      </c>
      <c r="J1252" s="52" t="s">
        <v>5814</v>
      </c>
      <c r="K1252" s="56" t="n">
        <v>1</v>
      </c>
      <c r="L1252" s="52" t="s">
        <v>5814</v>
      </c>
      <c r="M1252" s="52" t="s">
        <v>38</v>
      </c>
    </row>
    <row r="1253" customFormat="false" ht="17.25" hidden="false" customHeight="true" outlineLevel="0" collapsed="false">
      <c r="A1253" s="52" t="s">
        <v>5777</v>
      </c>
      <c r="B1253" s="52" t="s">
        <v>5813</v>
      </c>
      <c r="C1253" s="53" t="n">
        <v>1463686</v>
      </c>
      <c r="D1253" s="52" t="s">
        <v>2793</v>
      </c>
      <c r="E1253" s="52" t="s">
        <v>2794</v>
      </c>
      <c r="F1253" s="54" t="n">
        <v>139.5755</v>
      </c>
      <c r="G1253" s="55" t="n">
        <v>583.97</v>
      </c>
      <c r="H1253" s="55" t="n">
        <v>4.1839</v>
      </c>
      <c r="I1253" s="55" t="n">
        <v>4.1839</v>
      </c>
      <c r="J1253" s="52" t="s">
        <v>5814</v>
      </c>
      <c r="K1253" s="56" t="n">
        <v>1</v>
      </c>
      <c r="L1253" s="52" t="s">
        <v>5814</v>
      </c>
      <c r="M1253" s="52" t="s">
        <v>38</v>
      </c>
    </row>
    <row r="1254" customFormat="false" ht="17.25" hidden="false" customHeight="true" outlineLevel="0" collapsed="false">
      <c r="A1254" s="52" t="s">
        <v>5777</v>
      </c>
      <c r="B1254" s="52" t="s">
        <v>5813</v>
      </c>
      <c r="C1254" s="53" t="n">
        <v>1463898</v>
      </c>
      <c r="D1254" s="52" t="s">
        <v>2795</v>
      </c>
      <c r="E1254" s="52" t="s">
        <v>2796</v>
      </c>
      <c r="F1254" s="54" t="n">
        <v>139.5755</v>
      </c>
      <c r="G1254" s="55" t="n">
        <v>583.97</v>
      </c>
      <c r="H1254" s="55" t="n">
        <v>4.1839</v>
      </c>
      <c r="I1254" s="55" t="n">
        <v>4.1839</v>
      </c>
      <c r="J1254" s="52" t="s">
        <v>5814</v>
      </c>
      <c r="K1254" s="56" t="n">
        <v>1</v>
      </c>
      <c r="L1254" s="52" t="s">
        <v>5814</v>
      </c>
      <c r="M1254" s="52" t="s">
        <v>38</v>
      </c>
    </row>
    <row r="1255" customFormat="false" ht="17.25" hidden="false" customHeight="true" outlineLevel="0" collapsed="false">
      <c r="A1255" s="52" t="s">
        <v>5777</v>
      </c>
      <c r="B1255" s="52" t="s">
        <v>5813</v>
      </c>
      <c r="C1255" s="53" t="n">
        <v>22451</v>
      </c>
      <c r="D1255" s="52" t="s">
        <v>2797</v>
      </c>
      <c r="E1255" s="52" t="s">
        <v>2798</v>
      </c>
      <c r="F1255" s="54" t="n">
        <v>6</v>
      </c>
      <c r="G1255" s="55" t="n">
        <v>583.86</v>
      </c>
      <c r="H1255" s="55" t="n">
        <v>97.31</v>
      </c>
      <c r="I1255" s="55" t="n">
        <v>97.31</v>
      </c>
      <c r="J1255" s="52" t="s">
        <v>5816</v>
      </c>
      <c r="K1255" s="56" t="n">
        <v>1</v>
      </c>
      <c r="L1255" s="52" t="s">
        <v>5816</v>
      </c>
      <c r="M1255" s="52" t="s">
        <v>130</v>
      </c>
    </row>
    <row r="1256" customFormat="false" ht="17.25" hidden="false" customHeight="true" outlineLevel="0" collapsed="false">
      <c r="A1256" s="52" t="s">
        <v>5777</v>
      </c>
      <c r="B1256" s="52" t="s">
        <v>5813</v>
      </c>
      <c r="C1256" s="53" t="n">
        <v>15698</v>
      </c>
      <c r="D1256" s="52" t="s">
        <v>2799</v>
      </c>
      <c r="E1256" s="52" t="s">
        <v>2800</v>
      </c>
      <c r="F1256" s="54" t="n">
        <v>4</v>
      </c>
      <c r="G1256" s="55" t="n">
        <v>580</v>
      </c>
      <c r="H1256" s="55" t="n">
        <v>145</v>
      </c>
      <c r="I1256" s="55" t="n">
        <v>145</v>
      </c>
      <c r="J1256" s="52" t="s">
        <v>5816</v>
      </c>
      <c r="K1256" s="56" t="n">
        <v>1</v>
      </c>
      <c r="L1256" s="52" t="s">
        <v>5816</v>
      </c>
      <c r="M1256" s="52" t="s">
        <v>54</v>
      </c>
    </row>
    <row r="1257" customFormat="false" ht="17.25" hidden="false" customHeight="true" outlineLevel="0" collapsed="false">
      <c r="A1257" s="52" t="s">
        <v>5777</v>
      </c>
      <c r="B1257" s="52" t="s">
        <v>5813</v>
      </c>
      <c r="C1257" s="53" t="n">
        <v>554093</v>
      </c>
      <c r="D1257" s="52" t="s">
        <v>2801</v>
      </c>
      <c r="E1257" s="52" t="s">
        <v>2802</v>
      </c>
      <c r="F1257" s="54" t="n">
        <v>10</v>
      </c>
      <c r="G1257" s="55" t="n">
        <v>580</v>
      </c>
      <c r="H1257" s="55" t="n">
        <v>58</v>
      </c>
      <c r="I1257" s="55" t="n">
        <v>58</v>
      </c>
      <c r="J1257" s="52" t="s">
        <v>5831</v>
      </c>
      <c r="K1257" s="56" t="n">
        <v>1</v>
      </c>
      <c r="L1257" s="52" t="s">
        <v>5831</v>
      </c>
      <c r="M1257" s="52" t="s">
        <v>247</v>
      </c>
    </row>
    <row r="1258" customFormat="false" ht="17.25" hidden="false" customHeight="true" outlineLevel="0" collapsed="false">
      <c r="A1258" s="52" t="s">
        <v>5777</v>
      </c>
      <c r="B1258" s="52" t="s">
        <v>5813</v>
      </c>
      <c r="C1258" s="53" t="n">
        <v>554095</v>
      </c>
      <c r="D1258" s="52" t="s">
        <v>2803</v>
      </c>
      <c r="E1258" s="52" t="s">
        <v>2804</v>
      </c>
      <c r="F1258" s="54" t="n">
        <v>10</v>
      </c>
      <c r="G1258" s="55" t="n">
        <v>580</v>
      </c>
      <c r="H1258" s="55" t="n">
        <v>58</v>
      </c>
      <c r="I1258" s="55" t="n">
        <v>58</v>
      </c>
      <c r="J1258" s="52" t="s">
        <v>5831</v>
      </c>
      <c r="K1258" s="56" t="n">
        <v>1</v>
      </c>
      <c r="L1258" s="52" t="s">
        <v>5831</v>
      </c>
      <c r="M1258" s="52" t="s">
        <v>247</v>
      </c>
    </row>
    <row r="1259" customFormat="false" ht="17.25" hidden="false" customHeight="true" outlineLevel="0" collapsed="false">
      <c r="A1259" s="52" t="s">
        <v>5777</v>
      </c>
      <c r="B1259" s="52" t="s">
        <v>5813</v>
      </c>
      <c r="C1259" s="53" t="n">
        <v>16834</v>
      </c>
      <c r="D1259" s="52" t="s">
        <v>2805</v>
      </c>
      <c r="E1259" s="52" t="s">
        <v>2806</v>
      </c>
      <c r="F1259" s="54" t="n">
        <v>149</v>
      </c>
      <c r="G1259" s="55" t="n">
        <v>576.14</v>
      </c>
      <c r="H1259" s="55" t="n">
        <v>3.8667</v>
      </c>
      <c r="I1259" s="55" t="n">
        <v>12.5</v>
      </c>
      <c r="J1259" s="52" t="s">
        <v>5816</v>
      </c>
      <c r="K1259" s="56" t="n">
        <v>1</v>
      </c>
      <c r="L1259" s="52" t="s">
        <v>5816</v>
      </c>
      <c r="M1259" s="52" t="s">
        <v>100</v>
      </c>
    </row>
    <row r="1260" customFormat="false" ht="17.25" hidden="false" customHeight="true" outlineLevel="0" collapsed="false">
      <c r="A1260" s="52" t="s">
        <v>5777</v>
      </c>
      <c r="B1260" s="52" t="s">
        <v>5813</v>
      </c>
      <c r="C1260" s="53" t="n">
        <v>229818</v>
      </c>
      <c r="D1260" s="52" t="s">
        <v>2807</v>
      </c>
      <c r="E1260" s="52" t="s">
        <v>2808</v>
      </c>
      <c r="F1260" s="54" t="n">
        <v>2</v>
      </c>
      <c r="G1260" s="55" t="n">
        <v>576</v>
      </c>
      <c r="H1260" s="55" t="n">
        <v>288</v>
      </c>
      <c r="I1260" s="55" t="n">
        <v>288</v>
      </c>
      <c r="J1260" s="52" t="s">
        <v>5911</v>
      </c>
      <c r="K1260" s="56" t="n">
        <v>1</v>
      </c>
      <c r="L1260" s="52" t="s">
        <v>5816</v>
      </c>
      <c r="M1260" s="52" t="s">
        <v>100</v>
      </c>
    </row>
    <row r="1261" customFormat="false" ht="17.25" hidden="false" customHeight="true" outlineLevel="0" collapsed="false">
      <c r="A1261" s="52" t="s">
        <v>5777</v>
      </c>
      <c r="B1261" s="52" t="s">
        <v>5813</v>
      </c>
      <c r="C1261" s="53" t="n">
        <v>883568</v>
      </c>
      <c r="D1261" s="52" t="s">
        <v>2809</v>
      </c>
      <c r="E1261" s="52" t="s">
        <v>2810</v>
      </c>
      <c r="F1261" s="54" t="n">
        <v>2</v>
      </c>
      <c r="G1261" s="55" t="n">
        <v>576</v>
      </c>
      <c r="H1261" s="55" t="n">
        <v>288</v>
      </c>
      <c r="I1261" s="55" t="n">
        <v>288</v>
      </c>
      <c r="J1261" s="52" t="s">
        <v>5816</v>
      </c>
      <c r="K1261" s="56" t="n">
        <v>1</v>
      </c>
      <c r="L1261" s="52" t="s">
        <v>5816</v>
      </c>
      <c r="M1261" s="52" t="s">
        <v>100</v>
      </c>
    </row>
    <row r="1262" customFormat="false" ht="17.25" hidden="false" customHeight="true" outlineLevel="0" collapsed="false">
      <c r="A1262" s="52" t="s">
        <v>5777</v>
      </c>
      <c r="B1262" s="52" t="s">
        <v>5813</v>
      </c>
      <c r="C1262" s="53" t="n">
        <v>1256373</v>
      </c>
      <c r="D1262" s="52" t="s">
        <v>2811</v>
      </c>
      <c r="E1262" s="52" t="s">
        <v>2812</v>
      </c>
      <c r="F1262" s="54" t="n">
        <v>6</v>
      </c>
      <c r="G1262" s="55" t="n">
        <v>576</v>
      </c>
      <c r="H1262" s="55" t="n">
        <v>96</v>
      </c>
      <c r="I1262" s="55" t="n">
        <v>96</v>
      </c>
      <c r="J1262" s="52" t="s">
        <v>5816</v>
      </c>
      <c r="K1262" s="56" t="n">
        <v>1</v>
      </c>
      <c r="L1262" s="52" t="s">
        <v>5816</v>
      </c>
      <c r="M1262" s="52" t="s">
        <v>130</v>
      </c>
    </row>
    <row r="1263" customFormat="false" ht="17.25" hidden="false" customHeight="true" outlineLevel="0" collapsed="false">
      <c r="A1263" s="52" t="s">
        <v>5777</v>
      </c>
      <c r="B1263" s="52" t="s">
        <v>5813</v>
      </c>
      <c r="C1263" s="53" t="n">
        <v>89334</v>
      </c>
      <c r="D1263" s="52" t="s">
        <v>2813</v>
      </c>
      <c r="E1263" s="52" t="s">
        <v>2814</v>
      </c>
      <c r="F1263" s="54" t="n">
        <v>1</v>
      </c>
      <c r="G1263" s="55" t="n">
        <v>575</v>
      </c>
      <c r="H1263" s="55" t="n">
        <v>575</v>
      </c>
      <c r="I1263" s="55" t="n">
        <v>575</v>
      </c>
      <c r="J1263" s="52" t="s">
        <v>5816</v>
      </c>
      <c r="K1263" s="56" t="n">
        <v>1</v>
      </c>
      <c r="L1263" s="52" t="s">
        <v>5816</v>
      </c>
      <c r="M1263" s="52" t="s">
        <v>170</v>
      </c>
    </row>
    <row r="1264" customFormat="false" ht="17.25" hidden="false" customHeight="true" outlineLevel="0" collapsed="false">
      <c r="A1264" s="52" t="s">
        <v>5777</v>
      </c>
      <c r="B1264" s="52" t="s">
        <v>5813</v>
      </c>
      <c r="C1264" s="53" t="n">
        <v>221447</v>
      </c>
      <c r="D1264" s="52" t="s">
        <v>2815</v>
      </c>
      <c r="E1264" s="52" t="s">
        <v>2816</v>
      </c>
      <c r="F1264" s="54" t="n">
        <v>15</v>
      </c>
      <c r="G1264" s="55" t="n">
        <v>574.65</v>
      </c>
      <c r="H1264" s="55" t="n">
        <v>38.31</v>
      </c>
      <c r="I1264" s="55" t="n">
        <v>38.31</v>
      </c>
      <c r="J1264" s="52" t="s">
        <v>5816</v>
      </c>
      <c r="K1264" s="56" t="n">
        <v>1</v>
      </c>
      <c r="L1264" s="52" t="s">
        <v>5816</v>
      </c>
      <c r="M1264" s="52" t="s">
        <v>130</v>
      </c>
    </row>
    <row r="1265" customFormat="false" ht="17.25" hidden="false" customHeight="true" outlineLevel="0" collapsed="false">
      <c r="A1265" s="52" t="s">
        <v>5777</v>
      </c>
      <c r="B1265" s="52" t="s">
        <v>5813</v>
      </c>
      <c r="C1265" s="53" t="n">
        <v>225263</v>
      </c>
      <c r="D1265" s="52" t="s">
        <v>2817</v>
      </c>
      <c r="E1265" s="52" t="s">
        <v>2818</v>
      </c>
      <c r="F1265" s="54" t="n">
        <v>10</v>
      </c>
      <c r="G1265" s="55" t="n">
        <v>572.1</v>
      </c>
      <c r="H1265" s="55" t="n">
        <v>57.21</v>
      </c>
      <c r="I1265" s="55" t="n">
        <v>57.21</v>
      </c>
      <c r="J1265" s="52" t="s">
        <v>5816</v>
      </c>
      <c r="K1265" s="56" t="n">
        <v>1</v>
      </c>
      <c r="L1265" s="52" t="s">
        <v>5816</v>
      </c>
      <c r="M1265" s="52" t="s">
        <v>38</v>
      </c>
    </row>
    <row r="1266" customFormat="false" ht="17.25" hidden="false" customHeight="true" outlineLevel="0" collapsed="false">
      <c r="A1266" s="52" t="s">
        <v>5777</v>
      </c>
      <c r="B1266" s="52" t="s">
        <v>5813</v>
      </c>
      <c r="C1266" s="53" t="n">
        <v>18191</v>
      </c>
      <c r="D1266" s="52" t="s">
        <v>2819</v>
      </c>
      <c r="E1266" s="52" t="s">
        <v>2820</v>
      </c>
      <c r="F1266" s="54" t="n">
        <v>1</v>
      </c>
      <c r="G1266" s="55" t="n">
        <v>571.13</v>
      </c>
      <c r="H1266" s="55" t="n">
        <v>571.13</v>
      </c>
      <c r="I1266" s="55" t="n">
        <v>571.13</v>
      </c>
      <c r="J1266" s="52" t="s">
        <v>5816</v>
      </c>
      <c r="K1266" s="56" t="n">
        <v>1</v>
      </c>
      <c r="L1266" s="52" t="s">
        <v>5816</v>
      </c>
      <c r="M1266" s="52" t="s">
        <v>170</v>
      </c>
    </row>
    <row r="1267" customFormat="false" ht="17.25" hidden="false" customHeight="true" outlineLevel="0" collapsed="false">
      <c r="A1267" s="52" t="s">
        <v>5777</v>
      </c>
      <c r="B1267" s="52" t="s">
        <v>5813</v>
      </c>
      <c r="C1267" s="53" t="n">
        <v>839899</v>
      </c>
      <c r="D1267" s="52" t="s">
        <v>2821</v>
      </c>
      <c r="E1267" s="52" t="s">
        <v>2822</v>
      </c>
      <c r="F1267" s="54" t="n">
        <v>3</v>
      </c>
      <c r="G1267" s="55" t="n">
        <v>570</v>
      </c>
      <c r="H1267" s="55" t="n">
        <v>190</v>
      </c>
      <c r="I1267" s="55" t="n">
        <v>190</v>
      </c>
      <c r="J1267" s="52" t="s">
        <v>5816</v>
      </c>
      <c r="K1267" s="56" t="n">
        <v>1</v>
      </c>
      <c r="L1267" s="52" t="s">
        <v>5816</v>
      </c>
      <c r="M1267" s="52" t="s">
        <v>100</v>
      </c>
    </row>
    <row r="1268" customFormat="false" ht="17.25" hidden="false" customHeight="true" outlineLevel="0" collapsed="false">
      <c r="A1268" s="52" t="s">
        <v>5777</v>
      </c>
      <c r="B1268" s="52" t="s">
        <v>5813</v>
      </c>
      <c r="C1268" s="53" t="n">
        <v>60980</v>
      </c>
      <c r="D1268" s="52" t="s">
        <v>2823</v>
      </c>
      <c r="E1268" s="52" t="s">
        <v>2824</v>
      </c>
      <c r="F1268" s="54" t="n">
        <v>7</v>
      </c>
      <c r="G1268" s="55" t="n">
        <v>569.48</v>
      </c>
      <c r="H1268" s="55" t="n">
        <v>81.3543</v>
      </c>
      <c r="I1268" s="55" t="n">
        <v>81.3543</v>
      </c>
      <c r="J1268" s="52" t="s">
        <v>5816</v>
      </c>
      <c r="K1268" s="56" t="n">
        <v>1</v>
      </c>
      <c r="L1268" s="52" t="s">
        <v>5816</v>
      </c>
      <c r="M1268" s="52" t="s">
        <v>1095</v>
      </c>
    </row>
    <row r="1269" customFormat="false" ht="17.25" hidden="false" customHeight="true" outlineLevel="0" collapsed="false">
      <c r="A1269" s="52" t="s">
        <v>5777</v>
      </c>
      <c r="B1269" s="52" t="s">
        <v>5813</v>
      </c>
      <c r="C1269" s="53" t="n">
        <v>294077</v>
      </c>
      <c r="D1269" s="52" t="s">
        <v>2825</v>
      </c>
      <c r="E1269" s="52" t="s">
        <v>5913</v>
      </c>
      <c r="F1269" s="54" t="n">
        <v>30</v>
      </c>
      <c r="G1269" s="55" t="n">
        <v>568.8516</v>
      </c>
      <c r="H1269" s="55" t="n">
        <v>18.9617</v>
      </c>
      <c r="I1269" s="55" t="n">
        <v>19.48</v>
      </c>
      <c r="J1269" s="52" t="s">
        <v>5816</v>
      </c>
      <c r="K1269" s="56" t="n">
        <v>1</v>
      </c>
      <c r="L1269" s="52" t="s">
        <v>5816</v>
      </c>
      <c r="M1269" s="52" t="s">
        <v>75</v>
      </c>
    </row>
    <row r="1270" customFormat="false" ht="17.25" hidden="false" customHeight="true" outlineLevel="0" collapsed="false">
      <c r="A1270" s="52" t="s">
        <v>5777</v>
      </c>
      <c r="B1270" s="52" t="s">
        <v>5813</v>
      </c>
      <c r="C1270" s="53" t="n">
        <v>1320997</v>
      </c>
      <c r="D1270" s="52" t="s">
        <v>2827</v>
      </c>
      <c r="E1270" s="52" t="s">
        <v>2828</v>
      </c>
      <c r="F1270" s="54" t="n">
        <v>325</v>
      </c>
      <c r="G1270" s="55" t="n">
        <v>568.75</v>
      </c>
      <c r="H1270" s="55" t="n">
        <v>1.75</v>
      </c>
      <c r="I1270" s="55" t="n">
        <v>1.75</v>
      </c>
      <c r="J1270" s="52" t="s">
        <v>5816</v>
      </c>
      <c r="K1270" s="56" t="n">
        <v>1</v>
      </c>
      <c r="L1270" s="52" t="s">
        <v>5816</v>
      </c>
      <c r="M1270" s="52" t="s">
        <v>38</v>
      </c>
    </row>
    <row r="1271" customFormat="false" ht="17.25" hidden="false" customHeight="true" outlineLevel="0" collapsed="false">
      <c r="A1271" s="52" t="s">
        <v>5777</v>
      </c>
      <c r="B1271" s="52" t="s">
        <v>5813</v>
      </c>
      <c r="C1271" s="53" t="n">
        <v>220333</v>
      </c>
      <c r="D1271" s="52" t="s">
        <v>2829</v>
      </c>
      <c r="E1271" s="52" t="s">
        <v>2830</v>
      </c>
      <c r="F1271" s="54" t="n">
        <v>1</v>
      </c>
      <c r="G1271" s="55" t="n">
        <v>568</v>
      </c>
      <c r="H1271" s="55" t="n">
        <v>568</v>
      </c>
      <c r="I1271" s="55" t="n">
        <v>568</v>
      </c>
      <c r="J1271" s="52" t="s">
        <v>5914</v>
      </c>
      <c r="K1271" s="56" t="n">
        <v>1</v>
      </c>
      <c r="L1271" s="52" t="s">
        <v>5914</v>
      </c>
      <c r="M1271" s="52" t="s">
        <v>38</v>
      </c>
    </row>
    <row r="1272" customFormat="false" ht="17.25" hidden="false" customHeight="true" outlineLevel="0" collapsed="false">
      <c r="A1272" s="52" t="s">
        <v>5777</v>
      </c>
      <c r="B1272" s="52" t="s">
        <v>5813</v>
      </c>
      <c r="C1272" s="53" t="n">
        <v>283279</v>
      </c>
      <c r="D1272" s="52" t="s">
        <v>2831</v>
      </c>
      <c r="E1272" s="52" t="s">
        <v>2832</v>
      </c>
      <c r="F1272" s="54" t="n">
        <v>3</v>
      </c>
      <c r="G1272" s="55" t="n">
        <v>566.1</v>
      </c>
      <c r="H1272" s="55" t="n">
        <v>188.7</v>
      </c>
      <c r="I1272" s="55" t="n">
        <v>168.9</v>
      </c>
      <c r="J1272" s="52" t="s">
        <v>5816</v>
      </c>
      <c r="K1272" s="56" t="n">
        <v>1</v>
      </c>
      <c r="L1272" s="52" t="s">
        <v>5816</v>
      </c>
      <c r="M1272" s="52" t="s">
        <v>38</v>
      </c>
    </row>
    <row r="1273" customFormat="false" ht="17.25" hidden="false" customHeight="true" outlineLevel="0" collapsed="false">
      <c r="A1273" s="52" t="s">
        <v>5777</v>
      </c>
      <c r="B1273" s="52" t="s">
        <v>5813</v>
      </c>
      <c r="C1273" s="53" t="n">
        <v>22729</v>
      </c>
      <c r="D1273" s="52" t="s">
        <v>2833</v>
      </c>
      <c r="E1273" s="52" t="s">
        <v>2834</v>
      </c>
      <c r="F1273" s="54" t="n">
        <v>40</v>
      </c>
      <c r="G1273" s="55" t="n">
        <v>566</v>
      </c>
      <c r="H1273" s="55" t="n">
        <v>14.15</v>
      </c>
      <c r="I1273" s="55" t="n">
        <v>14.3</v>
      </c>
      <c r="J1273" s="52" t="s">
        <v>5816</v>
      </c>
      <c r="K1273" s="56" t="n">
        <v>1</v>
      </c>
      <c r="L1273" s="52" t="s">
        <v>5816</v>
      </c>
      <c r="M1273" s="52" t="s">
        <v>130</v>
      </c>
    </row>
    <row r="1274" customFormat="false" ht="17.25" hidden="false" customHeight="true" outlineLevel="0" collapsed="false">
      <c r="A1274" s="52" t="s">
        <v>5777</v>
      </c>
      <c r="B1274" s="52" t="s">
        <v>5813</v>
      </c>
      <c r="C1274" s="53" t="n">
        <v>479062</v>
      </c>
      <c r="D1274" s="52" t="s">
        <v>2835</v>
      </c>
      <c r="E1274" s="52" t="s">
        <v>2836</v>
      </c>
      <c r="F1274" s="54" t="n">
        <v>20</v>
      </c>
      <c r="G1274" s="55" t="n">
        <v>566</v>
      </c>
      <c r="H1274" s="55" t="n">
        <v>28.3</v>
      </c>
      <c r="I1274" s="55" t="n">
        <v>28.3</v>
      </c>
      <c r="J1274" s="52" t="s">
        <v>5816</v>
      </c>
      <c r="K1274" s="56" t="n">
        <v>1</v>
      </c>
      <c r="L1274" s="52" t="s">
        <v>5816</v>
      </c>
      <c r="M1274" s="52" t="s">
        <v>38</v>
      </c>
    </row>
    <row r="1275" customFormat="false" ht="17.25" hidden="false" customHeight="true" outlineLevel="0" collapsed="false">
      <c r="A1275" s="52" t="s">
        <v>5777</v>
      </c>
      <c r="B1275" s="52" t="s">
        <v>5813</v>
      </c>
      <c r="C1275" s="53" t="n">
        <v>1475466</v>
      </c>
      <c r="D1275" s="52" t="s">
        <v>2837</v>
      </c>
      <c r="E1275" s="52" t="s">
        <v>2838</v>
      </c>
      <c r="F1275" s="54" t="n">
        <v>111</v>
      </c>
      <c r="G1275" s="55" t="n">
        <v>562.56</v>
      </c>
      <c r="H1275" s="55" t="n">
        <v>5.0681</v>
      </c>
      <c r="I1275" s="55" t="n">
        <v>5</v>
      </c>
      <c r="J1275" s="52" t="s">
        <v>5816</v>
      </c>
      <c r="K1275" s="56" t="n">
        <v>1</v>
      </c>
      <c r="L1275" s="52" t="s">
        <v>5816</v>
      </c>
      <c r="M1275" s="52" t="s">
        <v>38</v>
      </c>
    </row>
    <row r="1276" customFormat="false" ht="17.25" hidden="false" customHeight="true" outlineLevel="0" collapsed="false">
      <c r="A1276" s="52" t="s">
        <v>5777</v>
      </c>
      <c r="B1276" s="52" t="s">
        <v>5813</v>
      </c>
      <c r="C1276" s="53" t="n">
        <v>1330914</v>
      </c>
      <c r="D1276" s="52" t="s">
        <v>2839</v>
      </c>
      <c r="E1276" s="52" t="s">
        <v>2840</v>
      </c>
      <c r="F1276" s="54" t="n">
        <v>112</v>
      </c>
      <c r="G1276" s="55" t="n">
        <v>560.86</v>
      </c>
      <c r="H1276" s="55" t="n">
        <v>5.0077</v>
      </c>
      <c r="I1276" s="55" t="n">
        <v>8.25</v>
      </c>
      <c r="J1276" s="52" t="s">
        <v>5816</v>
      </c>
      <c r="K1276" s="56" t="n">
        <v>1</v>
      </c>
      <c r="L1276" s="52" t="s">
        <v>5816</v>
      </c>
      <c r="M1276" s="52" t="s">
        <v>100</v>
      </c>
    </row>
    <row r="1277" customFormat="false" ht="17.25" hidden="false" customHeight="true" outlineLevel="0" collapsed="false">
      <c r="A1277" s="52" t="s">
        <v>5777</v>
      </c>
      <c r="B1277" s="52" t="s">
        <v>5813</v>
      </c>
      <c r="C1277" s="53" t="n">
        <v>18205</v>
      </c>
      <c r="D1277" s="52" t="s">
        <v>2841</v>
      </c>
      <c r="E1277" s="52" t="s">
        <v>2842</v>
      </c>
      <c r="F1277" s="54" t="n">
        <v>10</v>
      </c>
      <c r="G1277" s="55" t="n">
        <v>560</v>
      </c>
      <c r="H1277" s="55" t="n">
        <v>56</v>
      </c>
      <c r="I1277" s="55" t="n">
        <v>56</v>
      </c>
      <c r="J1277" s="52" t="s">
        <v>5816</v>
      </c>
      <c r="K1277" s="56" t="n">
        <v>1</v>
      </c>
      <c r="L1277" s="52" t="s">
        <v>5816</v>
      </c>
      <c r="M1277" s="52" t="s">
        <v>1618</v>
      </c>
    </row>
    <row r="1278" customFormat="false" ht="17.25" hidden="false" customHeight="true" outlineLevel="0" collapsed="false">
      <c r="A1278" s="52" t="s">
        <v>5777</v>
      </c>
      <c r="B1278" s="52" t="s">
        <v>5813</v>
      </c>
      <c r="C1278" s="53" t="n">
        <v>19093</v>
      </c>
      <c r="D1278" s="52" t="s">
        <v>2843</v>
      </c>
      <c r="E1278" s="52" t="s">
        <v>2844</v>
      </c>
      <c r="F1278" s="54" t="n">
        <v>20</v>
      </c>
      <c r="G1278" s="55" t="n">
        <v>560</v>
      </c>
      <c r="H1278" s="55" t="n">
        <v>28</v>
      </c>
      <c r="I1278" s="55" t="n">
        <v>28</v>
      </c>
      <c r="J1278" s="52" t="s">
        <v>5816</v>
      </c>
      <c r="K1278" s="56" t="n">
        <v>1</v>
      </c>
      <c r="L1278" s="52" t="s">
        <v>5816</v>
      </c>
      <c r="M1278" s="52" t="s">
        <v>113</v>
      </c>
    </row>
    <row r="1279" customFormat="false" ht="17.25" hidden="false" customHeight="true" outlineLevel="0" collapsed="false">
      <c r="A1279" s="52" t="s">
        <v>5777</v>
      </c>
      <c r="B1279" s="52" t="s">
        <v>5813</v>
      </c>
      <c r="C1279" s="53" t="n">
        <v>287609</v>
      </c>
      <c r="D1279" s="52" t="s">
        <v>2845</v>
      </c>
      <c r="E1279" s="52" t="s">
        <v>2846</v>
      </c>
      <c r="F1279" s="54" t="n">
        <v>20</v>
      </c>
      <c r="G1279" s="55" t="n">
        <v>560</v>
      </c>
      <c r="H1279" s="55" t="n">
        <v>28</v>
      </c>
      <c r="I1279" s="55" t="n">
        <v>28</v>
      </c>
      <c r="J1279" s="52" t="s">
        <v>5816</v>
      </c>
      <c r="K1279" s="56" t="n">
        <v>1</v>
      </c>
      <c r="L1279" s="52" t="s">
        <v>5816</v>
      </c>
      <c r="M1279" s="52" t="s">
        <v>38</v>
      </c>
    </row>
    <row r="1280" customFormat="false" ht="17.25" hidden="false" customHeight="true" outlineLevel="0" collapsed="false">
      <c r="A1280" s="52" t="s">
        <v>5777</v>
      </c>
      <c r="B1280" s="52" t="s">
        <v>5813</v>
      </c>
      <c r="C1280" s="53" t="n">
        <v>825946</v>
      </c>
      <c r="D1280" s="52" t="s">
        <v>2847</v>
      </c>
      <c r="E1280" s="52" t="s">
        <v>2848</v>
      </c>
      <c r="F1280" s="54" t="n">
        <v>1</v>
      </c>
      <c r="G1280" s="55" t="n">
        <v>560</v>
      </c>
      <c r="H1280" s="55" t="n">
        <v>560</v>
      </c>
      <c r="I1280" s="55" t="n">
        <v>560</v>
      </c>
      <c r="J1280" s="52" t="s">
        <v>5816</v>
      </c>
      <c r="K1280" s="56" t="n">
        <v>1</v>
      </c>
      <c r="L1280" s="52" t="s">
        <v>5816</v>
      </c>
      <c r="M1280" s="52" t="s">
        <v>189</v>
      </c>
    </row>
    <row r="1281" customFormat="false" ht="17.25" hidden="false" customHeight="true" outlineLevel="0" collapsed="false">
      <c r="A1281" s="52" t="s">
        <v>5777</v>
      </c>
      <c r="B1281" s="52" t="s">
        <v>5813</v>
      </c>
      <c r="C1281" s="53" t="n">
        <v>605206</v>
      </c>
      <c r="D1281" s="52" t="s">
        <v>2849</v>
      </c>
      <c r="E1281" s="52" t="s">
        <v>2850</v>
      </c>
      <c r="F1281" s="54" t="n">
        <v>13</v>
      </c>
      <c r="G1281" s="55" t="n">
        <v>559</v>
      </c>
      <c r="H1281" s="55" t="n">
        <v>43</v>
      </c>
      <c r="I1281" s="55" t="n">
        <v>43</v>
      </c>
      <c r="J1281" s="52" t="s">
        <v>5816</v>
      </c>
      <c r="K1281" s="56" t="n">
        <v>1</v>
      </c>
      <c r="L1281" s="52" t="s">
        <v>5816</v>
      </c>
      <c r="M1281" s="52" t="s">
        <v>38</v>
      </c>
    </row>
    <row r="1282" customFormat="false" ht="17.25" hidden="false" customHeight="true" outlineLevel="0" collapsed="false">
      <c r="A1282" s="52" t="s">
        <v>5777</v>
      </c>
      <c r="B1282" s="52" t="s">
        <v>5813</v>
      </c>
      <c r="C1282" s="53" t="n">
        <v>18846</v>
      </c>
      <c r="D1282" s="52" t="s">
        <v>2851</v>
      </c>
      <c r="E1282" s="52" t="s">
        <v>2852</v>
      </c>
      <c r="F1282" s="54" t="n">
        <v>53</v>
      </c>
      <c r="G1282" s="55" t="n">
        <v>558.3</v>
      </c>
      <c r="H1282" s="55" t="n">
        <v>10.534</v>
      </c>
      <c r="I1282" s="55" t="n">
        <v>11.5</v>
      </c>
      <c r="J1282" s="52" t="s">
        <v>5816</v>
      </c>
      <c r="K1282" s="56" t="n">
        <v>1</v>
      </c>
      <c r="L1282" s="52" t="s">
        <v>5816</v>
      </c>
      <c r="M1282" s="52" t="s">
        <v>247</v>
      </c>
    </row>
    <row r="1283" customFormat="false" ht="17.25" hidden="false" customHeight="true" outlineLevel="0" collapsed="false">
      <c r="A1283" s="52" t="s">
        <v>5777</v>
      </c>
      <c r="B1283" s="52" t="s">
        <v>5813</v>
      </c>
      <c r="C1283" s="53" t="n">
        <v>1387010</v>
      </c>
      <c r="D1283" s="52" t="s">
        <v>2853</v>
      </c>
      <c r="E1283" s="52" t="s">
        <v>2854</v>
      </c>
      <c r="F1283" s="54" t="n">
        <v>7</v>
      </c>
      <c r="G1283" s="55" t="n">
        <v>556.22</v>
      </c>
      <c r="H1283" s="55" t="n">
        <v>79.46</v>
      </c>
      <c r="I1283" s="55" t="n">
        <v>79.46</v>
      </c>
      <c r="J1283" s="52" t="s">
        <v>5816</v>
      </c>
      <c r="K1283" s="56" t="n">
        <v>1</v>
      </c>
      <c r="L1283" s="52" t="s">
        <v>5816</v>
      </c>
      <c r="M1283" s="52" t="s">
        <v>38</v>
      </c>
    </row>
    <row r="1284" customFormat="false" ht="17.25" hidden="false" customHeight="true" outlineLevel="0" collapsed="false">
      <c r="A1284" s="52" t="s">
        <v>5777</v>
      </c>
      <c r="B1284" s="52" t="s">
        <v>5813</v>
      </c>
      <c r="C1284" s="53" t="n">
        <v>1063862</v>
      </c>
      <c r="D1284" s="52" t="s">
        <v>2855</v>
      </c>
      <c r="E1284" s="52" t="s">
        <v>2856</v>
      </c>
      <c r="F1284" s="54" t="n">
        <v>4</v>
      </c>
      <c r="G1284" s="55" t="n">
        <v>555.5</v>
      </c>
      <c r="H1284" s="55" t="n">
        <v>138.875</v>
      </c>
      <c r="I1284" s="55" t="n">
        <v>119.5</v>
      </c>
      <c r="J1284" s="52" t="s">
        <v>5816</v>
      </c>
      <c r="K1284" s="56" t="n">
        <v>1</v>
      </c>
      <c r="L1284" s="52" t="s">
        <v>5816</v>
      </c>
      <c r="M1284" s="52" t="s">
        <v>247</v>
      </c>
    </row>
    <row r="1285" customFormat="false" ht="17.25" hidden="false" customHeight="true" outlineLevel="0" collapsed="false">
      <c r="A1285" s="52" t="s">
        <v>5777</v>
      </c>
      <c r="B1285" s="52" t="s">
        <v>5813</v>
      </c>
      <c r="C1285" s="53" t="n">
        <v>1110723</v>
      </c>
      <c r="D1285" s="52" t="s">
        <v>2857</v>
      </c>
      <c r="E1285" s="52" t="s">
        <v>2858</v>
      </c>
      <c r="F1285" s="54" t="n">
        <v>40</v>
      </c>
      <c r="G1285" s="55" t="n">
        <v>552.8</v>
      </c>
      <c r="H1285" s="55" t="n">
        <v>13.82</v>
      </c>
      <c r="I1285" s="55" t="n">
        <v>13.82</v>
      </c>
      <c r="J1285" s="52" t="s">
        <v>5816</v>
      </c>
      <c r="K1285" s="56" t="n">
        <v>1</v>
      </c>
      <c r="L1285" s="52" t="s">
        <v>5816</v>
      </c>
      <c r="M1285" s="52" t="s">
        <v>38</v>
      </c>
    </row>
    <row r="1286" customFormat="false" ht="17.25" hidden="false" customHeight="true" outlineLevel="0" collapsed="false">
      <c r="A1286" s="52" t="s">
        <v>5777</v>
      </c>
      <c r="B1286" s="52" t="s">
        <v>5813</v>
      </c>
      <c r="C1286" s="53" t="n">
        <v>1464795</v>
      </c>
      <c r="D1286" s="52" t="s">
        <v>2859</v>
      </c>
      <c r="E1286" s="52" t="s">
        <v>2860</v>
      </c>
      <c r="F1286" s="54" t="n">
        <v>92</v>
      </c>
      <c r="G1286" s="55" t="n">
        <v>552</v>
      </c>
      <c r="H1286" s="55" t="n">
        <v>6</v>
      </c>
      <c r="I1286" s="55" t="n">
        <v>9.5</v>
      </c>
      <c r="J1286" s="52" t="s">
        <v>5816</v>
      </c>
      <c r="K1286" s="56" t="n">
        <v>1</v>
      </c>
      <c r="L1286" s="52" t="s">
        <v>5816</v>
      </c>
      <c r="M1286" s="52" t="s">
        <v>100</v>
      </c>
    </row>
    <row r="1287" customFormat="false" ht="17.25" hidden="false" customHeight="true" outlineLevel="0" collapsed="false">
      <c r="A1287" s="52" t="s">
        <v>5777</v>
      </c>
      <c r="B1287" s="52" t="s">
        <v>5813</v>
      </c>
      <c r="C1287" s="53" t="n">
        <v>1611642</v>
      </c>
      <c r="D1287" s="52" t="s">
        <v>2861</v>
      </c>
      <c r="E1287" s="52" t="s">
        <v>2862</v>
      </c>
      <c r="F1287" s="54" t="n">
        <v>2</v>
      </c>
      <c r="G1287" s="55" t="n">
        <v>552</v>
      </c>
      <c r="H1287" s="55" t="n">
        <v>276</v>
      </c>
      <c r="I1287" s="55" t="n">
        <v>276</v>
      </c>
      <c r="J1287" s="52" t="s">
        <v>5816</v>
      </c>
      <c r="K1287" s="56" t="n">
        <v>1</v>
      </c>
      <c r="L1287" s="52" t="s">
        <v>5816</v>
      </c>
      <c r="M1287" s="52" t="s">
        <v>130</v>
      </c>
    </row>
    <row r="1288" customFormat="false" ht="17.25" hidden="false" customHeight="true" outlineLevel="0" collapsed="false">
      <c r="A1288" s="52" t="s">
        <v>5777</v>
      </c>
      <c r="B1288" s="52" t="s">
        <v>5813</v>
      </c>
      <c r="C1288" s="53" t="n">
        <v>141713</v>
      </c>
      <c r="D1288" s="52" t="s">
        <v>2863</v>
      </c>
      <c r="E1288" s="52" t="s">
        <v>2864</v>
      </c>
      <c r="F1288" s="54" t="n">
        <v>1</v>
      </c>
      <c r="G1288" s="55" t="n">
        <v>551.48</v>
      </c>
      <c r="H1288" s="55" t="n">
        <v>551.48</v>
      </c>
      <c r="I1288" s="55" t="n">
        <v>551.48</v>
      </c>
      <c r="J1288" s="52" t="s">
        <v>5816</v>
      </c>
      <c r="K1288" s="56" t="n">
        <v>1</v>
      </c>
      <c r="L1288" s="52" t="s">
        <v>5816</v>
      </c>
      <c r="M1288" s="52" t="s">
        <v>1095</v>
      </c>
    </row>
    <row r="1289" customFormat="false" ht="17.25" hidden="false" customHeight="true" outlineLevel="0" collapsed="false">
      <c r="A1289" s="52" t="s">
        <v>5777</v>
      </c>
      <c r="B1289" s="52" t="s">
        <v>5813</v>
      </c>
      <c r="C1289" s="53" t="n">
        <v>225662</v>
      </c>
      <c r="D1289" s="52" t="s">
        <v>2865</v>
      </c>
      <c r="E1289" s="52" t="s">
        <v>5915</v>
      </c>
      <c r="F1289" s="54" t="n">
        <v>10</v>
      </c>
      <c r="G1289" s="55" t="n">
        <v>550</v>
      </c>
      <c r="H1289" s="55" t="n">
        <v>55</v>
      </c>
      <c r="I1289" s="55" t="n">
        <v>55</v>
      </c>
      <c r="J1289" s="52" t="s">
        <v>5816</v>
      </c>
      <c r="K1289" s="56" t="n">
        <v>1</v>
      </c>
      <c r="L1289" s="52" t="s">
        <v>5816</v>
      </c>
      <c r="M1289" s="52" t="s">
        <v>360</v>
      </c>
    </row>
    <row r="1290" customFormat="false" ht="17.25" hidden="false" customHeight="true" outlineLevel="0" collapsed="false">
      <c r="A1290" s="52" t="s">
        <v>5777</v>
      </c>
      <c r="B1290" s="52" t="s">
        <v>5813</v>
      </c>
      <c r="C1290" s="53" t="n">
        <v>284062</v>
      </c>
      <c r="D1290" s="52" t="s">
        <v>2867</v>
      </c>
      <c r="E1290" s="52" t="s">
        <v>2868</v>
      </c>
      <c r="F1290" s="54" t="n">
        <v>10</v>
      </c>
      <c r="G1290" s="55" t="n">
        <v>550</v>
      </c>
      <c r="H1290" s="55" t="n">
        <v>55</v>
      </c>
      <c r="I1290" s="55" t="n">
        <v>55</v>
      </c>
      <c r="J1290" s="52" t="s">
        <v>5816</v>
      </c>
      <c r="K1290" s="56" t="n">
        <v>1</v>
      </c>
      <c r="L1290" s="52" t="s">
        <v>5816</v>
      </c>
      <c r="M1290" s="52" t="s">
        <v>130</v>
      </c>
    </row>
    <row r="1291" customFormat="false" ht="17.25" hidden="false" customHeight="true" outlineLevel="0" collapsed="false">
      <c r="A1291" s="52" t="s">
        <v>5777</v>
      </c>
      <c r="B1291" s="52" t="s">
        <v>5813</v>
      </c>
      <c r="C1291" s="53" t="n">
        <v>731639</v>
      </c>
      <c r="D1291" s="52" t="s">
        <v>2869</v>
      </c>
      <c r="E1291" s="52" t="s">
        <v>2870</v>
      </c>
      <c r="F1291" s="54" t="n">
        <v>6</v>
      </c>
      <c r="G1291" s="55" t="n">
        <v>550</v>
      </c>
      <c r="H1291" s="55" t="n">
        <v>91.6667</v>
      </c>
      <c r="I1291" s="55" t="n">
        <v>91.6667</v>
      </c>
      <c r="J1291" s="52" t="s">
        <v>5814</v>
      </c>
      <c r="K1291" s="56" t="n">
        <v>1</v>
      </c>
      <c r="L1291" s="52" t="s">
        <v>5814</v>
      </c>
      <c r="M1291" s="52" t="s">
        <v>54</v>
      </c>
    </row>
    <row r="1292" customFormat="false" ht="17.25" hidden="false" customHeight="true" outlineLevel="0" collapsed="false">
      <c r="A1292" s="52" t="s">
        <v>5777</v>
      </c>
      <c r="B1292" s="52" t="s">
        <v>5813</v>
      </c>
      <c r="C1292" s="53" t="n">
        <v>1080496</v>
      </c>
      <c r="D1292" s="52" t="s">
        <v>2871</v>
      </c>
      <c r="E1292" s="52" t="s">
        <v>2872</v>
      </c>
      <c r="F1292" s="54" t="n">
        <v>10</v>
      </c>
      <c r="G1292" s="55" t="n">
        <v>550</v>
      </c>
      <c r="H1292" s="55" t="n">
        <v>55</v>
      </c>
      <c r="I1292" s="55" t="n">
        <v>55</v>
      </c>
      <c r="J1292" s="52" t="s">
        <v>5816</v>
      </c>
      <c r="K1292" s="56" t="n">
        <v>1</v>
      </c>
      <c r="L1292" s="52" t="s">
        <v>5816</v>
      </c>
      <c r="M1292" s="52" t="s">
        <v>130</v>
      </c>
    </row>
    <row r="1293" customFormat="false" ht="17.25" hidden="false" customHeight="true" outlineLevel="0" collapsed="false">
      <c r="A1293" s="52" t="s">
        <v>5777</v>
      </c>
      <c r="B1293" s="52" t="s">
        <v>5813</v>
      </c>
      <c r="C1293" s="53" t="n">
        <v>34850</v>
      </c>
      <c r="D1293" s="52" t="s">
        <v>2873</v>
      </c>
      <c r="E1293" s="52" t="s">
        <v>2874</v>
      </c>
      <c r="F1293" s="54" t="n">
        <v>5</v>
      </c>
      <c r="G1293" s="55" t="n">
        <v>547.88</v>
      </c>
      <c r="H1293" s="55" t="n">
        <v>109.576</v>
      </c>
      <c r="I1293" s="55" t="n">
        <v>130.47</v>
      </c>
      <c r="J1293" s="52" t="s">
        <v>5816</v>
      </c>
      <c r="K1293" s="56" t="n">
        <v>1</v>
      </c>
      <c r="L1293" s="52" t="s">
        <v>5816</v>
      </c>
      <c r="M1293" s="52" t="s">
        <v>130</v>
      </c>
    </row>
    <row r="1294" customFormat="false" ht="17.25" hidden="false" customHeight="true" outlineLevel="0" collapsed="false">
      <c r="A1294" s="52" t="s">
        <v>5777</v>
      </c>
      <c r="B1294" s="52" t="s">
        <v>5813</v>
      </c>
      <c r="C1294" s="53" t="n">
        <v>1330237</v>
      </c>
      <c r="D1294" s="52" t="s">
        <v>2875</v>
      </c>
      <c r="E1294" s="52" t="s">
        <v>5916</v>
      </c>
      <c r="F1294" s="54" t="n">
        <v>7</v>
      </c>
      <c r="G1294" s="55" t="n">
        <v>546</v>
      </c>
      <c r="H1294" s="55" t="n">
        <v>78</v>
      </c>
      <c r="I1294" s="55" t="n">
        <v>78</v>
      </c>
      <c r="J1294" s="52" t="s">
        <v>5816</v>
      </c>
      <c r="K1294" s="56" t="n">
        <v>1</v>
      </c>
      <c r="L1294" s="52" t="s">
        <v>5816</v>
      </c>
      <c r="M1294" s="52" t="s">
        <v>189</v>
      </c>
    </row>
    <row r="1295" customFormat="false" ht="17.25" hidden="false" customHeight="true" outlineLevel="0" collapsed="false">
      <c r="A1295" s="52" t="s">
        <v>5777</v>
      </c>
      <c r="B1295" s="52" t="s">
        <v>5813</v>
      </c>
      <c r="C1295" s="53" t="n">
        <v>1092221</v>
      </c>
      <c r="D1295" s="52" t="s">
        <v>2877</v>
      </c>
      <c r="E1295" s="52" t="s">
        <v>2878</v>
      </c>
      <c r="F1295" s="54" t="n">
        <v>10</v>
      </c>
      <c r="G1295" s="55" t="n">
        <v>545.3786</v>
      </c>
      <c r="H1295" s="55" t="n">
        <v>54.5378</v>
      </c>
      <c r="I1295" s="55" t="n">
        <v>55.34</v>
      </c>
      <c r="J1295" s="52" t="s">
        <v>5816</v>
      </c>
      <c r="K1295" s="56" t="n">
        <v>1</v>
      </c>
      <c r="L1295" s="52" t="s">
        <v>5816</v>
      </c>
      <c r="M1295" s="52" t="s">
        <v>1618</v>
      </c>
    </row>
    <row r="1296" customFormat="false" ht="17.25" hidden="false" customHeight="true" outlineLevel="0" collapsed="false">
      <c r="A1296" s="52" t="s">
        <v>5777</v>
      </c>
      <c r="B1296" s="52" t="s">
        <v>5813</v>
      </c>
      <c r="C1296" s="53" t="n">
        <v>1327777</v>
      </c>
      <c r="D1296" s="52" t="s">
        <v>2879</v>
      </c>
      <c r="E1296" s="52" t="s">
        <v>2880</v>
      </c>
      <c r="F1296" s="54" t="n">
        <v>2</v>
      </c>
      <c r="G1296" s="55" t="n">
        <v>545</v>
      </c>
      <c r="H1296" s="55" t="n">
        <v>272.5</v>
      </c>
      <c r="I1296" s="55" t="n">
        <v>280</v>
      </c>
      <c r="J1296" s="52" t="s">
        <v>5816</v>
      </c>
      <c r="K1296" s="56" t="n">
        <v>1</v>
      </c>
      <c r="L1296" s="52" t="s">
        <v>5816</v>
      </c>
      <c r="M1296" s="52" t="s">
        <v>54</v>
      </c>
    </row>
    <row r="1297" customFormat="false" ht="17.25" hidden="false" customHeight="true" outlineLevel="0" collapsed="false">
      <c r="A1297" s="52" t="s">
        <v>5777</v>
      </c>
      <c r="B1297" s="52" t="s">
        <v>5813</v>
      </c>
      <c r="C1297" s="53" t="n">
        <v>24085</v>
      </c>
      <c r="D1297" s="52" t="s">
        <v>2881</v>
      </c>
      <c r="E1297" s="52" t="s">
        <v>2882</v>
      </c>
      <c r="F1297" s="54" t="n">
        <v>3</v>
      </c>
      <c r="G1297" s="55" t="n">
        <v>544</v>
      </c>
      <c r="H1297" s="55" t="n">
        <v>181.3333</v>
      </c>
      <c r="I1297" s="55" t="n">
        <v>198</v>
      </c>
      <c r="J1297" s="52" t="s">
        <v>5816</v>
      </c>
      <c r="K1297" s="56" t="n">
        <v>1</v>
      </c>
      <c r="L1297" s="52" t="s">
        <v>5816</v>
      </c>
      <c r="M1297" s="52" t="s">
        <v>100</v>
      </c>
    </row>
    <row r="1298" customFormat="false" ht="17.25" hidden="false" customHeight="true" outlineLevel="0" collapsed="false">
      <c r="A1298" s="52" t="s">
        <v>5777</v>
      </c>
      <c r="B1298" s="52" t="s">
        <v>5813</v>
      </c>
      <c r="C1298" s="53" t="n">
        <v>141327</v>
      </c>
      <c r="D1298" s="52" t="s">
        <v>2883</v>
      </c>
      <c r="E1298" s="52" t="s">
        <v>2884</v>
      </c>
      <c r="F1298" s="54" t="n">
        <v>8</v>
      </c>
      <c r="G1298" s="55" t="n">
        <v>544</v>
      </c>
      <c r="H1298" s="55" t="n">
        <v>68</v>
      </c>
      <c r="I1298" s="55" t="n">
        <v>68</v>
      </c>
      <c r="J1298" s="52" t="s">
        <v>5831</v>
      </c>
      <c r="K1298" s="56" t="n">
        <v>1</v>
      </c>
      <c r="L1298" s="52" t="s">
        <v>5831</v>
      </c>
      <c r="M1298" s="52" t="s">
        <v>247</v>
      </c>
    </row>
    <row r="1299" customFormat="false" ht="17.25" hidden="false" customHeight="true" outlineLevel="0" collapsed="false">
      <c r="A1299" s="52" t="s">
        <v>5777</v>
      </c>
      <c r="B1299" s="52" t="s">
        <v>5813</v>
      </c>
      <c r="C1299" s="53" t="n">
        <v>847684</v>
      </c>
      <c r="D1299" s="52" t="s">
        <v>2885</v>
      </c>
      <c r="E1299" s="52" t="s">
        <v>2886</v>
      </c>
      <c r="F1299" s="54" t="n">
        <v>1</v>
      </c>
      <c r="G1299" s="55" t="n">
        <v>540</v>
      </c>
      <c r="H1299" s="55" t="n">
        <v>540</v>
      </c>
      <c r="I1299" s="55" t="n">
        <v>540</v>
      </c>
      <c r="J1299" s="52" t="s">
        <v>5816</v>
      </c>
      <c r="K1299" s="56" t="n">
        <v>1</v>
      </c>
      <c r="L1299" s="52" t="s">
        <v>5816</v>
      </c>
      <c r="M1299" s="52" t="s">
        <v>35</v>
      </c>
    </row>
    <row r="1300" customFormat="false" ht="17.25" hidden="false" customHeight="true" outlineLevel="0" collapsed="false">
      <c r="A1300" s="52" t="s">
        <v>5777</v>
      </c>
      <c r="B1300" s="52" t="s">
        <v>5813</v>
      </c>
      <c r="C1300" s="53" t="n">
        <v>1325175</v>
      </c>
      <c r="D1300" s="52" t="s">
        <v>2887</v>
      </c>
      <c r="E1300" s="52" t="s">
        <v>2888</v>
      </c>
      <c r="F1300" s="54" t="n">
        <v>120</v>
      </c>
      <c r="G1300" s="55" t="n">
        <v>540</v>
      </c>
      <c r="H1300" s="55" t="n">
        <v>4.5</v>
      </c>
      <c r="I1300" s="55" t="n">
        <v>4.5</v>
      </c>
      <c r="J1300" s="52" t="s">
        <v>5814</v>
      </c>
      <c r="K1300" s="56" t="n">
        <v>1</v>
      </c>
      <c r="L1300" s="52" t="s">
        <v>5814</v>
      </c>
      <c r="M1300" s="52" t="s">
        <v>355</v>
      </c>
    </row>
    <row r="1301" customFormat="false" ht="17.25" hidden="false" customHeight="true" outlineLevel="0" collapsed="false">
      <c r="A1301" s="52" t="s">
        <v>5777</v>
      </c>
      <c r="B1301" s="52" t="s">
        <v>5813</v>
      </c>
      <c r="C1301" s="53" t="n">
        <v>931587</v>
      </c>
      <c r="D1301" s="52" t="s">
        <v>2889</v>
      </c>
      <c r="E1301" s="52" t="s">
        <v>2890</v>
      </c>
      <c r="F1301" s="54" t="n">
        <v>1</v>
      </c>
      <c r="G1301" s="55" t="n">
        <v>539</v>
      </c>
      <c r="H1301" s="55" t="n">
        <v>539</v>
      </c>
      <c r="I1301" s="55" t="n">
        <v>539</v>
      </c>
      <c r="J1301" s="52" t="s">
        <v>5816</v>
      </c>
      <c r="K1301" s="56" t="n">
        <v>1</v>
      </c>
      <c r="L1301" s="52" t="s">
        <v>5816</v>
      </c>
      <c r="M1301" s="52" t="s">
        <v>605</v>
      </c>
    </row>
    <row r="1302" customFormat="false" ht="17.25" hidden="false" customHeight="true" outlineLevel="0" collapsed="false">
      <c r="A1302" s="52" t="s">
        <v>5777</v>
      </c>
      <c r="B1302" s="52" t="s">
        <v>5813</v>
      </c>
      <c r="C1302" s="53" t="n">
        <v>1380170</v>
      </c>
      <c r="D1302" s="52" t="s">
        <v>2891</v>
      </c>
      <c r="E1302" s="52" t="s">
        <v>2892</v>
      </c>
      <c r="F1302" s="54" t="n">
        <v>9</v>
      </c>
      <c r="G1302" s="55" t="n">
        <v>538.98</v>
      </c>
      <c r="H1302" s="55" t="n">
        <v>59.8867</v>
      </c>
      <c r="I1302" s="55" t="n">
        <v>69.108</v>
      </c>
      <c r="J1302" s="52" t="s">
        <v>5816</v>
      </c>
      <c r="K1302" s="56" t="n">
        <v>1</v>
      </c>
      <c r="L1302" s="52" t="s">
        <v>5816</v>
      </c>
      <c r="M1302" s="52" t="s">
        <v>38</v>
      </c>
    </row>
    <row r="1303" customFormat="false" ht="17.25" hidden="false" customHeight="true" outlineLevel="0" collapsed="false">
      <c r="A1303" s="52" t="s">
        <v>5777</v>
      </c>
      <c r="B1303" s="52" t="s">
        <v>5813</v>
      </c>
      <c r="C1303" s="53" t="n">
        <v>1384865</v>
      </c>
      <c r="D1303" s="52" t="s">
        <v>2893</v>
      </c>
      <c r="E1303" s="52" t="s">
        <v>2894</v>
      </c>
      <c r="F1303" s="54" t="n">
        <v>356</v>
      </c>
      <c r="G1303" s="55" t="n">
        <v>538.3</v>
      </c>
      <c r="H1303" s="55" t="n">
        <v>1.5121</v>
      </c>
      <c r="I1303" s="55" t="n">
        <v>3.66</v>
      </c>
      <c r="J1303" s="52" t="s">
        <v>5816</v>
      </c>
      <c r="K1303" s="56" t="n">
        <v>1</v>
      </c>
      <c r="L1303" s="52" t="s">
        <v>5816</v>
      </c>
      <c r="M1303" s="52" t="s">
        <v>100</v>
      </c>
    </row>
    <row r="1304" customFormat="false" ht="17.25" hidden="false" customHeight="true" outlineLevel="0" collapsed="false">
      <c r="A1304" s="52" t="s">
        <v>5777</v>
      </c>
      <c r="B1304" s="52" t="s">
        <v>5813</v>
      </c>
      <c r="C1304" s="53" t="n">
        <v>33578</v>
      </c>
      <c r="D1304" s="52" t="s">
        <v>2895</v>
      </c>
      <c r="E1304" s="52" t="s">
        <v>2896</v>
      </c>
      <c r="F1304" s="54" t="n">
        <v>2</v>
      </c>
      <c r="G1304" s="55" t="n">
        <v>536</v>
      </c>
      <c r="H1304" s="55" t="n">
        <v>268</v>
      </c>
      <c r="I1304" s="55" t="n">
        <v>268</v>
      </c>
      <c r="J1304" s="52" t="s">
        <v>5814</v>
      </c>
      <c r="K1304" s="56" t="n">
        <v>1</v>
      </c>
      <c r="L1304" s="52" t="s">
        <v>5814</v>
      </c>
      <c r="M1304" s="52" t="s">
        <v>355</v>
      </c>
    </row>
    <row r="1305" customFormat="false" ht="17.25" hidden="false" customHeight="true" outlineLevel="0" collapsed="false">
      <c r="A1305" s="52" t="s">
        <v>5777</v>
      </c>
      <c r="B1305" s="52" t="s">
        <v>5813</v>
      </c>
      <c r="C1305" s="53" t="n">
        <v>219198</v>
      </c>
      <c r="D1305" s="52" t="s">
        <v>2897</v>
      </c>
      <c r="E1305" s="52" t="s">
        <v>2898</v>
      </c>
      <c r="F1305" s="54" t="n">
        <v>2</v>
      </c>
      <c r="G1305" s="55" t="n">
        <v>536</v>
      </c>
      <c r="H1305" s="55" t="n">
        <v>268</v>
      </c>
      <c r="I1305" s="55" t="n">
        <v>268</v>
      </c>
      <c r="J1305" s="52" t="s">
        <v>5816</v>
      </c>
      <c r="K1305" s="56" t="n">
        <v>1</v>
      </c>
      <c r="L1305" s="52" t="s">
        <v>5816</v>
      </c>
      <c r="M1305" s="52" t="s">
        <v>192</v>
      </c>
    </row>
    <row r="1306" customFormat="false" ht="17.25" hidden="false" customHeight="true" outlineLevel="0" collapsed="false">
      <c r="A1306" s="52" t="s">
        <v>5777</v>
      </c>
      <c r="B1306" s="52" t="s">
        <v>5813</v>
      </c>
      <c r="C1306" s="53" t="n">
        <v>1659863</v>
      </c>
      <c r="D1306" s="52" t="s">
        <v>2899</v>
      </c>
      <c r="E1306" s="52" t="s">
        <v>2900</v>
      </c>
      <c r="F1306" s="54" t="n">
        <v>35</v>
      </c>
      <c r="G1306" s="55" t="n">
        <v>535.5</v>
      </c>
      <c r="H1306" s="55" t="n">
        <v>15.3</v>
      </c>
      <c r="I1306" s="55" t="n">
        <v>15.3</v>
      </c>
      <c r="J1306" s="52" t="s">
        <v>5816</v>
      </c>
      <c r="K1306" s="56" t="n">
        <v>1</v>
      </c>
      <c r="L1306" s="52" t="s">
        <v>5816</v>
      </c>
      <c r="M1306" s="52" t="s">
        <v>100</v>
      </c>
    </row>
    <row r="1307" customFormat="false" ht="17.25" hidden="false" customHeight="true" outlineLevel="0" collapsed="false">
      <c r="A1307" s="52" t="s">
        <v>5777</v>
      </c>
      <c r="B1307" s="52" t="s">
        <v>5813</v>
      </c>
      <c r="C1307" s="53" t="n">
        <v>1383592</v>
      </c>
      <c r="D1307" s="52" t="s">
        <v>2901</v>
      </c>
      <c r="E1307" s="52" t="s">
        <v>5917</v>
      </c>
      <c r="F1307" s="54" t="n">
        <v>116</v>
      </c>
      <c r="G1307" s="55" t="n">
        <v>535.36</v>
      </c>
      <c r="H1307" s="55" t="n">
        <v>4.6152</v>
      </c>
      <c r="I1307" s="55" t="n">
        <v>3.5</v>
      </c>
      <c r="J1307" s="52" t="s">
        <v>5816</v>
      </c>
      <c r="K1307" s="56" t="n">
        <v>1</v>
      </c>
      <c r="L1307" s="52" t="s">
        <v>5816</v>
      </c>
      <c r="M1307" s="52" t="s">
        <v>100</v>
      </c>
    </row>
    <row r="1308" customFormat="false" ht="17.25" hidden="false" customHeight="true" outlineLevel="0" collapsed="false">
      <c r="A1308" s="52" t="s">
        <v>5777</v>
      </c>
      <c r="B1308" s="52" t="s">
        <v>5813</v>
      </c>
      <c r="C1308" s="53" t="n">
        <v>960689</v>
      </c>
      <c r="D1308" s="52" t="s">
        <v>2903</v>
      </c>
      <c r="E1308" s="52" t="s">
        <v>2904</v>
      </c>
      <c r="F1308" s="54" t="n">
        <v>68</v>
      </c>
      <c r="G1308" s="55" t="n">
        <v>535.16</v>
      </c>
      <c r="H1308" s="55" t="n">
        <v>7.87</v>
      </c>
      <c r="I1308" s="55" t="n">
        <v>7.87</v>
      </c>
      <c r="J1308" s="52" t="s">
        <v>5816</v>
      </c>
      <c r="K1308" s="56" t="n">
        <v>1</v>
      </c>
      <c r="L1308" s="52" t="s">
        <v>5816</v>
      </c>
      <c r="M1308" s="52" t="s">
        <v>189</v>
      </c>
    </row>
    <row r="1309" customFormat="false" ht="17.25" hidden="false" customHeight="true" outlineLevel="0" collapsed="false">
      <c r="A1309" s="52" t="s">
        <v>5777</v>
      </c>
      <c r="B1309" s="52" t="s">
        <v>5813</v>
      </c>
      <c r="C1309" s="53" t="n">
        <v>1096241</v>
      </c>
      <c r="D1309" s="52" t="s">
        <v>2905</v>
      </c>
      <c r="E1309" s="52" t="s">
        <v>2906</v>
      </c>
      <c r="F1309" s="54" t="n">
        <v>47</v>
      </c>
      <c r="G1309" s="55" t="n">
        <v>533.91</v>
      </c>
      <c r="H1309" s="55" t="n">
        <v>11.3598</v>
      </c>
      <c r="I1309" s="55" t="n">
        <v>10</v>
      </c>
      <c r="J1309" s="52" t="s">
        <v>5816</v>
      </c>
      <c r="K1309" s="56" t="n">
        <v>1</v>
      </c>
      <c r="L1309" s="52" t="s">
        <v>5816</v>
      </c>
      <c r="M1309" s="52" t="s">
        <v>605</v>
      </c>
    </row>
    <row r="1310" customFormat="false" ht="17.25" hidden="false" customHeight="true" outlineLevel="0" collapsed="false">
      <c r="A1310" s="52" t="s">
        <v>5777</v>
      </c>
      <c r="B1310" s="52" t="s">
        <v>5813</v>
      </c>
      <c r="C1310" s="53" t="n">
        <v>826476</v>
      </c>
      <c r="D1310" s="52" t="s">
        <v>2907</v>
      </c>
      <c r="E1310" s="52" t="s">
        <v>2908</v>
      </c>
      <c r="F1310" s="54" t="n">
        <v>11</v>
      </c>
      <c r="G1310" s="55" t="n">
        <v>531.63</v>
      </c>
      <c r="H1310" s="55" t="n">
        <v>48.33</v>
      </c>
      <c r="I1310" s="55" t="n">
        <v>48.33</v>
      </c>
      <c r="J1310" s="52" t="s">
        <v>5816</v>
      </c>
      <c r="K1310" s="56" t="n">
        <v>1</v>
      </c>
      <c r="L1310" s="52" t="s">
        <v>5816</v>
      </c>
      <c r="M1310" s="52" t="s">
        <v>38</v>
      </c>
    </row>
    <row r="1311" customFormat="false" ht="17.25" hidden="false" customHeight="true" outlineLevel="0" collapsed="false">
      <c r="A1311" s="52" t="s">
        <v>5777</v>
      </c>
      <c r="B1311" s="52" t="s">
        <v>5813</v>
      </c>
      <c r="C1311" s="53" t="n">
        <v>18790</v>
      </c>
      <c r="D1311" s="52" t="s">
        <v>2909</v>
      </c>
      <c r="E1311" s="52" t="s">
        <v>2910</v>
      </c>
      <c r="F1311" s="54" t="n">
        <v>16</v>
      </c>
      <c r="G1311" s="55" t="n">
        <v>530.5</v>
      </c>
      <c r="H1311" s="55" t="n">
        <v>33.1563</v>
      </c>
      <c r="I1311" s="55" t="n">
        <v>34.75</v>
      </c>
      <c r="J1311" s="52" t="s">
        <v>5816</v>
      </c>
      <c r="K1311" s="56" t="n">
        <v>1</v>
      </c>
      <c r="L1311" s="52" t="s">
        <v>5816</v>
      </c>
      <c r="M1311" s="52" t="s">
        <v>247</v>
      </c>
    </row>
    <row r="1312" customFormat="false" ht="17.25" hidden="false" customHeight="true" outlineLevel="0" collapsed="false">
      <c r="A1312" s="52" t="s">
        <v>5777</v>
      </c>
      <c r="B1312" s="52" t="s">
        <v>5813</v>
      </c>
      <c r="C1312" s="53" t="n">
        <v>1387993</v>
      </c>
      <c r="D1312" s="52" t="s">
        <v>2911</v>
      </c>
      <c r="E1312" s="52" t="s">
        <v>2912</v>
      </c>
      <c r="F1312" s="54" t="n">
        <v>25</v>
      </c>
      <c r="G1312" s="55" t="n">
        <v>525.75</v>
      </c>
      <c r="H1312" s="55" t="n">
        <v>21.03</v>
      </c>
      <c r="I1312" s="55" t="n">
        <v>23.51</v>
      </c>
      <c r="J1312" s="52" t="s">
        <v>5816</v>
      </c>
      <c r="K1312" s="56" t="n">
        <v>1</v>
      </c>
      <c r="L1312" s="52" t="s">
        <v>5816</v>
      </c>
      <c r="M1312" s="52" t="s">
        <v>38</v>
      </c>
    </row>
    <row r="1313" customFormat="false" ht="17.25" hidden="false" customHeight="true" outlineLevel="0" collapsed="false">
      <c r="A1313" s="52" t="s">
        <v>5777</v>
      </c>
      <c r="B1313" s="52" t="s">
        <v>5813</v>
      </c>
      <c r="C1313" s="53" t="n">
        <v>275542</v>
      </c>
      <c r="D1313" s="52" t="s">
        <v>2913</v>
      </c>
      <c r="E1313" s="52" t="s">
        <v>2914</v>
      </c>
      <c r="F1313" s="54" t="n">
        <v>67</v>
      </c>
      <c r="G1313" s="55" t="n">
        <v>525.72</v>
      </c>
      <c r="H1313" s="55" t="n">
        <v>7.8466</v>
      </c>
      <c r="I1313" s="55" t="n">
        <v>8.28</v>
      </c>
      <c r="J1313" s="52" t="s">
        <v>5814</v>
      </c>
      <c r="K1313" s="56" t="n">
        <v>1</v>
      </c>
      <c r="L1313" s="52" t="s">
        <v>5814</v>
      </c>
      <c r="M1313" s="52" t="s">
        <v>38</v>
      </c>
    </row>
    <row r="1314" customFormat="false" ht="17.25" hidden="false" customHeight="true" outlineLevel="0" collapsed="false">
      <c r="A1314" s="52" t="s">
        <v>5777</v>
      </c>
      <c r="B1314" s="52" t="s">
        <v>5813</v>
      </c>
      <c r="C1314" s="53" t="n">
        <v>24359</v>
      </c>
      <c r="D1314" s="52" t="s">
        <v>2915</v>
      </c>
      <c r="E1314" s="52" t="s">
        <v>2916</v>
      </c>
      <c r="F1314" s="54" t="n">
        <v>150</v>
      </c>
      <c r="G1314" s="55" t="n">
        <v>525</v>
      </c>
      <c r="H1314" s="55" t="n">
        <v>3.5</v>
      </c>
      <c r="I1314" s="55" t="n">
        <v>3.5</v>
      </c>
      <c r="J1314" s="52" t="s">
        <v>5816</v>
      </c>
      <c r="K1314" s="56" t="n">
        <v>1</v>
      </c>
      <c r="L1314" s="52" t="s">
        <v>5816</v>
      </c>
      <c r="M1314" s="52" t="s">
        <v>189</v>
      </c>
    </row>
    <row r="1315" customFormat="false" ht="17.25" hidden="false" customHeight="true" outlineLevel="0" collapsed="false">
      <c r="A1315" s="52" t="s">
        <v>5777</v>
      </c>
      <c r="B1315" s="52" t="s">
        <v>5813</v>
      </c>
      <c r="C1315" s="53" t="n">
        <v>33853</v>
      </c>
      <c r="D1315" s="52" t="s">
        <v>2917</v>
      </c>
      <c r="E1315" s="52" t="s">
        <v>2918</v>
      </c>
      <c r="F1315" s="54" t="n">
        <v>7</v>
      </c>
      <c r="G1315" s="55" t="n">
        <v>525</v>
      </c>
      <c r="H1315" s="55" t="n">
        <v>75</v>
      </c>
      <c r="I1315" s="55" t="n">
        <v>75</v>
      </c>
      <c r="J1315" s="52" t="s">
        <v>5816</v>
      </c>
      <c r="K1315" s="56" t="n">
        <v>1</v>
      </c>
      <c r="L1315" s="52" t="s">
        <v>5816</v>
      </c>
      <c r="M1315" s="52" t="s">
        <v>130</v>
      </c>
    </row>
    <row r="1316" customFormat="false" ht="17.25" hidden="false" customHeight="true" outlineLevel="0" collapsed="false">
      <c r="A1316" s="52" t="s">
        <v>5777</v>
      </c>
      <c r="B1316" s="52" t="s">
        <v>5813</v>
      </c>
      <c r="C1316" s="53" t="n">
        <v>227369</v>
      </c>
      <c r="D1316" s="52" t="s">
        <v>2919</v>
      </c>
      <c r="E1316" s="52" t="s">
        <v>2920</v>
      </c>
      <c r="F1316" s="54" t="n">
        <v>50</v>
      </c>
      <c r="G1316" s="55" t="n">
        <v>525</v>
      </c>
      <c r="H1316" s="55" t="n">
        <v>10.5</v>
      </c>
      <c r="I1316" s="55" t="n">
        <v>10.5</v>
      </c>
      <c r="J1316" s="52" t="s">
        <v>5816</v>
      </c>
      <c r="K1316" s="56" t="n">
        <v>1</v>
      </c>
      <c r="L1316" s="52" t="s">
        <v>5816</v>
      </c>
      <c r="M1316" s="52" t="s">
        <v>189</v>
      </c>
    </row>
    <row r="1317" customFormat="false" ht="17.25" hidden="false" customHeight="true" outlineLevel="0" collapsed="false">
      <c r="A1317" s="52" t="s">
        <v>5777</v>
      </c>
      <c r="B1317" s="52" t="s">
        <v>5813</v>
      </c>
      <c r="C1317" s="53" t="n">
        <v>22004</v>
      </c>
      <c r="D1317" s="52" t="s">
        <v>2921</v>
      </c>
      <c r="E1317" s="52" t="s">
        <v>2922</v>
      </c>
      <c r="F1317" s="54" t="n">
        <v>617</v>
      </c>
      <c r="G1317" s="55" t="n">
        <v>523.77</v>
      </c>
      <c r="H1317" s="55" t="n">
        <v>0.8489</v>
      </c>
      <c r="I1317" s="55" t="n">
        <v>0.83</v>
      </c>
      <c r="J1317" s="52" t="s">
        <v>5816</v>
      </c>
      <c r="K1317" s="56" t="n">
        <v>1</v>
      </c>
      <c r="L1317" s="52" t="s">
        <v>5816</v>
      </c>
      <c r="M1317" s="52" t="s">
        <v>189</v>
      </c>
    </row>
    <row r="1318" customFormat="false" ht="17.25" hidden="false" customHeight="true" outlineLevel="0" collapsed="false">
      <c r="A1318" s="52" t="s">
        <v>5777</v>
      </c>
      <c r="B1318" s="52" t="s">
        <v>5813</v>
      </c>
      <c r="C1318" s="53" t="n">
        <v>23712</v>
      </c>
      <c r="D1318" s="52" t="s">
        <v>2923</v>
      </c>
      <c r="E1318" s="52" t="s">
        <v>2924</v>
      </c>
      <c r="F1318" s="54" t="n">
        <v>15</v>
      </c>
      <c r="G1318" s="55" t="n">
        <v>523.5</v>
      </c>
      <c r="H1318" s="55" t="n">
        <v>34.9</v>
      </c>
      <c r="I1318" s="55" t="n">
        <v>34.9</v>
      </c>
      <c r="J1318" s="52" t="s">
        <v>5816</v>
      </c>
      <c r="K1318" s="56" t="n">
        <v>1</v>
      </c>
      <c r="L1318" s="52" t="s">
        <v>5816</v>
      </c>
      <c r="M1318" s="52" t="s">
        <v>1618</v>
      </c>
    </row>
    <row r="1319" customFormat="false" ht="17.25" hidden="false" customHeight="true" outlineLevel="0" collapsed="false">
      <c r="A1319" s="52" t="s">
        <v>5777</v>
      </c>
      <c r="B1319" s="52" t="s">
        <v>5813</v>
      </c>
      <c r="C1319" s="53" t="n">
        <v>1465401</v>
      </c>
      <c r="D1319" s="52" t="s">
        <v>2925</v>
      </c>
      <c r="E1319" s="52" t="s">
        <v>5918</v>
      </c>
      <c r="F1319" s="54" t="n">
        <v>40</v>
      </c>
      <c r="G1319" s="55" t="n">
        <v>523.05</v>
      </c>
      <c r="H1319" s="55" t="n">
        <v>13.0763</v>
      </c>
      <c r="I1319" s="55" t="n">
        <v>12.3</v>
      </c>
      <c r="J1319" s="52" t="s">
        <v>5814</v>
      </c>
      <c r="K1319" s="56" t="n">
        <v>1</v>
      </c>
      <c r="L1319" s="52" t="s">
        <v>5814</v>
      </c>
      <c r="M1319" s="52" t="s">
        <v>32</v>
      </c>
    </row>
    <row r="1320" customFormat="false" ht="17.25" hidden="false" customHeight="true" outlineLevel="0" collapsed="false">
      <c r="A1320" s="52" t="s">
        <v>5777</v>
      </c>
      <c r="B1320" s="52" t="s">
        <v>5813</v>
      </c>
      <c r="C1320" s="53" t="n">
        <v>1462015</v>
      </c>
      <c r="D1320" s="52" t="s">
        <v>2927</v>
      </c>
      <c r="E1320" s="52" t="s">
        <v>2928</v>
      </c>
      <c r="F1320" s="54" t="n">
        <v>30</v>
      </c>
      <c r="G1320" s="55" t="n">
        <v>522.6</v>
      </c>
      <c r="H1320" s="55" t="n">
        <v>17.42</v>
      </c>
      <c r="I1320" s="55" t="n">
        <v>17.42</v>
      </c>
      <c r="J1320" s="52" t="s">
        <v>5816</v>
      </c>
      <c r="K1320" s="56" t="n">
        <v>1</v>
      </c>
      <c r="L1320" s="52" t="s">
        <v>5816</v>
      </c>
      <c r="M1320" s="52" t="s">
        <v>38</v>
      </c>
    </row>
    <row r="1321" customFormat="false" ht="17.25" hidden="false" customHeight="true" outlineLevel="0" collapsed="false">
      <c r="A1321" s="52" t="s">
        <v>5777</v>
      </c>
      <c r="B1321" s="52" t="s">
        <v>5813</v>
      </c>
      <c r="C1321" s="53" t="n">
        <v>1465209</v>
      </c>
      <c r="D1321" s="52" t="s">
        <v>2929</v>
      </c>
      <c r="E1321" s="52" t="s">
        <v>2930</v>
      </c>
      <c r="F1321" s="54" t="n">
        <v>8</v>
      </c>
      <c r="G1321" s="55" t="n">
        <v>520</v>
      </c>
      <c r="H1321" s="55" t="n">
        <v>65</v>
      </c>
      <c r="I1321" s="55" t="n">
        <v>95</v>
      </c>
      <c r="J1321" s="52" t="s">
        <v>5816</v>
      </c>
      <c r="K1321" s="56" t="n">
        <v>1</v>
      </c>
      <c r="L1321" s="52" t="s">
        <v>5816</v>
      </c>
      <c r="M1321" s="52" t="s">
        <v>133</v>
      </c>
    </row>
    <row r="1322" customFormat="false" ht="17.25" hidden="false" customHeight="true" outlineLevel="0" collapsed="false">
      <c r="A1322" s="52" t="s">
        <v>5777</v>
      </c>
      <c r="B1322" s="52" t="s">
        <v>5813</v>
      </c>
      <c r="C1322" s="53" t="n">
        <v>22434</v>
      </c>
      <c r="D1322" s="52" t="s">
        <v>2931</v>
      </c>
      <c r="E1322" s="52" t="s">
        <v>2932</v>
      </c>
      <c r="F1322" s="54" t="n">
        <v>14</v>
      </c>
      <c r="G1322" s="55" t="n">
        <v>517.72</v>
      </c>
      <c r="H1322" s="55" t="n">
        <v>36.98</v>
      </c>
      <c r="I1322" s="55" t="n">
        <v>36.98</v>
      </c>
      <c r="J1322" s="52" t="s">
        <v>5816</v>
      </c>
      <c r="K1322" s="56" t="n">
        <v>1</v>
      </c>
      <c r="L1322" s="52" t="s">
        <v>5816</v>
      </c>
      <c r="M1322" s="52" t="s">
        <v>38</v>
      </c>
    </row>
    <row r="1323" customFormat="false" ht="17.25" hidden="false" customHeight="true" outlineLevel="0" collapsed="false">
      <c r="A1323" s="52" t="s">
        <v>5777</v>
      </c>
      <c r="B1323" s="52" t="s">
        <v>5813</v>
      </c>
      <c r="C1323" s="53" t="n">
        <v>18793</v>
      </c>
      <c r="D1323" s="52" t="s">
        <v>2933</v>
      </c>
      <c r="E1323" s="52" t="s">
        <v>2934</v>
      </c>
      <c r="F1323" s="54" t="n">
        <v>20</v>
      </c>
      <c r="G1323" s="55" t="n">
        <v>516</v>
      </c>
      <c r="H1323" s="55" t="n">
        <v>25.8</v>
      </c>
      <c r="I1323" s="55" t="n">
        <v>25.8</v>
      </c>
      <c r="J1323" s="52" t="s">
        <v>5816</v>
      </c>
      <c r="K1323" s="56" t="n">
        <v>1</v>
      </c>
      <c r="L1323" s="52" t="s">
        <v>5816</v>
      </c>
      <c r="M1323" s="52" t="s">
        <v>247</v>
      </c>
    </row>
    <row r="1324" customFormat="false" ht="17.25" hidden="false" customHeight="true" outlineLevel="0" collapsed="false">
      <c r="A1324" s="52" t="s">
        <v>5777</v>
      </c>
      <c r="B1324" s="52" t="s">
        <v>5813</v>
      </c>
      <c r="C1324" s="53" t="n">
        <v>884561</v>
      </c>
      <c r="D1324" s="52" t="s">
        <v>2935</v>
      </c>
      <c r="E1324" s="52" t="s">
        <v>2936</v>
      </c>
      <c r="F1324" s="54" t="n">
        <v>8</v>
      </c>
      <c r="G1324" s="55" t="n">
        <v>516</v>
      </c>
      <c r="H1324" s="55" t="n">
        <v>64.5</v>
      </c>
      <c r="I1324" s="55" t="n">
        <v>65</v>
      </c>
      <c r="J1324" s="52" t="s">
        <v>5816</v>
      </c>
      <c r="K1324" s="56" t="n">
        <v>1</v>
      </c>
      <c r="L1324" s="52" t="s">
        <v>5816</v>
      </c>
      <c r="M1324" s="52" t="s">
        <v>1095</v>
      </c>
    </row>
    <row r="1325" customFormat="false" ht="17.25" hidden="false" customHeight="true" outlineLevel="0" collapsed="false">
      <c r="A1325" s="52" t="s">
        <v>5777</v>
      </c>
      <c r="B1325" s="52" t="s">
        <v>5813</v>
      </c>
      <c r="C1325" s="53" t="n">
        <v>283711</v>
      </c>
      <c r="D1325" s="52" t="s">
        <v>2937</v>
      </c>
      <c r="E1325" s="52" t="s">
        <v>2938</v>
      </c>
      <c r="F1325" s="54" t="n">
        <v>2</v>
      </c>
      <c r="G1325" s="55" t="n">
        <v>514.7</v>
      </c>
      <c r="H1325" s="55" t="n">
        <v>257.35</v>
      </c>
      <c r="I1325" s="55" t="n">
        <v>116.7</v>
      </c>
      <c r="J1325" s="52" t="s">
        <v>5816</v>
      </c>
      <c r="K1325" s="56" t="n">
        <v>1</v>
      </c>
      <c r="L1325" s="52" t="s">
        <v>5816</v>
      </c>
      <c r="M1325" s="52" t="s">
        <v>38</v>
      </c>
    </row>
    <row r="1326" customFormat="false" ht="17.25" hidden="false" customHeight="true" outlineLevel="0" collapsed="false">
      <c r="A1326" s="52" t="s">
        <v>5777</v>
      </c>
      <c r="B1326" s="52" t="s">
        <v>5813</v>
      </c>
      <c r="C1326" s="53" t="n">
        <v>888370</v>
      </c>
      <c r="D1326" s="52" t="s">
        <v>2939</v>
      </c>
      <c r="E1326" s="52" t="s">
        <v>2940</v>
      </c>
      <c r="F1326" s="54" t="n">
        <v>131</v>
      </c>
      <c r="G1326" s="55" t="n">
        <v>514.6</v>
      </c>
      <c r="H1326" s="55" t="n">
        <v>3.9282</v>
      </c>
      <c r="I1326" s="55" t="n">
        <v>4.1</v>
      </c>
      <c r="J1326" s="52" t="s">
        <v>5816</v>
      </c>
      <c r="K1326" s="56" t="n">
        <v>1</v>
      </c>
      <c r="L1326" s="52" t="s">
        <v>5816</v>
      </c>
      <c r="M1326" s="52" t="s">
        <v>100</v>
      </c>
    </row>
    <row r="1327" customFormat="false" ht="17.25" hidden="false" customHeight="true" outlineLevel="0" collapsed="false">
      <c r="A1327" s="52" t="s">
        <v>5777</v>
      </c>
      <c r="B1327" s="52" t="s">
        <v>5813</v>
      </c>
      <c r="C1327" s="53" t="n">
        <v>1084323</v>
      </c>
      <c r="D1327" s="52" t="s">
        <v>2941</v>
      </c>
      <c r="E1327" s="52" t="s">
        <v>2942</v>
      </c>
      <c r="F1327" s="54" t="n">
        <v>8</v>
      </c>
      <c r="G1327" s="55" t="n">
        <v>514.4</v>
      </c>
      <c r="H1327" s="55" t="n">
        <v>64.3</v>
      </c>
      <c r="I1327" s="55" t="n">
        <v>64.3</v>
      </c>
      <c r="J1327" s="52" t="s">
        <v>5816</v>
      </c>
      <c r="K1327" s="56" t="n">
        <v>1</v>
      </c>
      <c r="L1327" s="52" t="s">
        <v>5816</v>
      </c>
      <c r="M1327" s="52" t="s">
        <v>1618</v>
      </c>
    </row>
    <row r="1328" customFormat="false" ht="17.25" hidden="false" customHeight="true" outlineLevel="0" collapsed="false">
      <c r="A1328" s="52" t="s">
        <v>5777</v>
      </c>
      <c r="B1328" s="52" t="s">
        <v>5813</v>
      </c>
      <c r="C1328" s="53" t="n">
        <v>1471978</v>
      </c>
      <c r="D1328" s="52" t="s">
        <v>2943</v>
      </c>
      <c r="E1328" s="52" t="s">
        <v>2944</v>
      </c>
      <c r="F1328" s="54" t="n">
        <v>46</v>
      </c>
      <c r="G1328" s="55" t="n">
        <v>512.9</v>
      </c>
      <c r="H1328" s="55" t="n">
        <v>11.15</v>
      </c>
      <c r="I1328" s="55" t="n">
        <v>6.8</v>
      </c>
      <c r="J1328" s="52" t="s">
        <v>5816</v>
      </c>
      <c r="K1328" s="56" t="n">
        <v>1</v>
      </c>
      <c r="L1328" s="52" t="s">
        <v>5816</v>
      </c>
      <c r="M1328" s="52" t="s">
        <v>100</v>
      </c>
    </row>
    <row r="1329" customFormat="false" ht="17.25" hidden="false" customHeight="true" outlineLevel="0" collapsed="false">
      <c r="A1329" s="52" t="s">
        <v>5777</v>
      </c>
      <c r="B1329" s="52" t="s">
        <v>5813</v>
      </c>
      <c r="C1329" s="53" t="n">
        <v>55083</v>
      </c>
      <c r="D1329" s="52" t="s">
        <v>2945</v>
      </c>
      <c r="E1329" s="52" t="s">
        <v>2946</v>
      </c>
      <c r="F1329" s="54" t="n">
        <v>4</v>
      </c>
      <c r="G1329" s="55" t="n">
        <v>512</v>
      </c>
      <c r="H1329" s="55" t="n">
        <v>128</v>
      </c>
      <c r="I1329" s="55" t="n">
        <v>128</v>
      </c>
      <c r="J1329" s="52" t="s">
        <v>5816</v>
      </c>
      <c r="K1329" s="56" t="n">
        <v>1</v>
      </c>
      <c r="L1329" s="52" t="s">
        <v>5816</v>
      </c>
      <c r="M1329" s="52" t="s">
        <v>38</v>
      </c>
    </row>
    <row r="1330" customFormat="false" ht="17.25" hidden="false" customHeight="true" outlineLevel="0" collapsed="false">
      <c r="A1330" s="52" t="s">
        <v>5777</v>
      </c>
      <c r="B1330" s="52" t="s">
        <v>5813</v>
      </c>
      <c r="C1330" s="53" t="n">
        <v>58447</v>
      </c>
      <c r="D1330" s="52" t="s">
        <v>2947</v>
      </c>
      <c r="E1330" s="52" t="s">
        <v>2948</v>
      </c>
      <c r="F1330" s="54" t="n">
        <v>4</v>
      </c>
      <c r="G1330" s="55" t="n">
        <v>512</v>
      </c>
      <c r="H1330" s="55" t="n">
        <v>128</v>
      </c>
      <c r="I1330" s="55" t="n">
        <v>128</v>
      </c>
      <c r="J1330" s="52" t="s">
        <v>5816</v>
      </c>
      <c r="K1330" s="56" t="n">
        <v>1</v>
      </c>
      <c r="L1330" s="52" t="s">
        <v>5816</v>
      </c>
      <c r="M1330" s="52" t="s">
        <v>130</v>
      </c>
    </row>
    <row r="1331" customFormat="false" ht="17.25" hidden="false" customHeight="true" outlineLevel="0" collapsed="false">
      <c r="A1331" s="52" t="s">
        <v>5777</v>
      </c>
      <c r="B1331" s="52" t="s">
        <v>5813</v>
      </c>
      <c r="C1331" s="53" t="n">
        <v>385325</v>
      </c>
      <c r="D1331" s="52" t="s">
        <v>2949</v>
      </c>
      <c r="E1331" s="52" t="s">
        <v>2950</v>
      </c>
      <c r="F1331" s="54" t="n">
        <v>4</v>
      </c>
      <c r="G1331" s="55" t="n">
        <v>512</v>
      </c>
      <c r="H1331" s="55" t="n">
        <v>128</v>
      </c>
      <c r="I1331" s="55" t="n">
        <v>128</v>
      </c>
      <c r="J1331" s="52" t="s">
        <v>5816</v>
      </c>
      <c r="K1331" s="56" t="n">
        <v>1</v>
      </c>
      <c r="L1331" s="52" t="s">
        <v>5816</v>
      </c>
      <c r="M1331" s="52" t="s">
        <v>38</v>
      </c>
    </row>
    <row r="1332" customFormat="false" ht="17.25" hidden="false" customHeight="true" outlineLevel="0" collapsed="false">
      <c r="A1332" s="52" t="s">
        <v>5777</v>
      </c>
      <c r="B1332" s="52" t="s">
        <v>5813</v>
      </c>
      <c r="C1332" s="53" t="n">
        <v>1661830</v>
      </c>
      <c r="D1332" s="52" t="s">
        <v>2951</v>
      </c>
      <c r="E1332" s="52" t="s">
        <v>2952</v>
      </c>
      <c r="F1332" s="54" t="n">
        <v>98</v>
      </c>
      <c r="G1332" s="55" t="n">
        <v>511.56</v>
      </c>
      <c r="H1332" s="55" t="n">
        <v>5.22</v>
      </c>
      <c r="I1332" s="55" t="n">
        <v>5.22</v>
      </c>
      <c r="J1332" s="52" t="s">
        <v>5816</v>
      </c>
      <c r="K1332" s="56" t="n">
        <v>1</v>
      </c>
      <c r="L1332" s="52" t="s">
        <v>5816</v>
      </c>
      <c r="M1332" s="52" t="s">
        <v>133</v>
      </c>
    </row>
    <row r="1333" customFormat="false" ht="17.25" hidden="false" customHeight="true" outlineLevel="0" collapsed="false">
      <c r="A1333" s="52" t="s">
        <v>5777</v>
      </c>
      <c r="B1333" s="52" t="s">
        <v>5813</v>
      </c>
      <c r="C1333" s="53" t="n">
        <v>930255</v>
      </c>
      <c r="D1333" s="52" t="s">
        <v>2953</v>
      </c>
      <c r="E1333" s="52" t="s">
        <v>2954</v>
      </c>
      <c r="F1333" s="54" t="n">
        <v>3</v>
      </c>
      <c r="G1333" s="55" t="n">
        <v>511.34</v>
      </c>
      <c r="H1333" s="55" t="n">
        <v>170.4467</v>
      </c>
      <c r="I1333" s="55" t="n">
        <v>176.5</v>
      </c>
      <c r="J1333" s="52" t="s">
        <v>5816</v>
      </c>
      <c r="K1333" s="56" t="n">
        <v>1</v>
      </c>
      <c r="L1333" s="52" t="s">
        <v>5816</v>
      </c>
      <c r="M1333" s="52" t="s">
        <v>75</v>
      </c>
    </row>
    <row r="1334" customFormat="false" ht="17.25" hidden="false" customHeight="true" outlineLevel="0" collapsed="false">
      <c r="A1334" s="52" t="s">
        <v>5777</v>
      </c>
      <c r="B1334" s="52" t="s">
        <v>5813</v>
      </c>
      <c r="C1334" s="53" t="n">
        <v>1680623</v>
      </c>
      <c r="D1334" s="52" t="s">
        <v>2955</v>
      </c>
      <c r="E1334" s="52" t="s">
        <v>2956</v>
      </c>
      <c r="F1334" s="54" t="n">
        <v>3</v>
      </c>
      <c r="G1334" s="55" t="n">
        <v>509.94</v>
      </c>
      <c r="H1334" s="55" t="n">
        <v>169.98</v>
      </c>
      <c r="I1334" s="55" t="n">
        <v>169.98</v>
      </c>
      <c r="J1334" s="52" t="s">
        <v>5823</v>
      </c>
      <c r="K1334" s="56" t="n">
        <v>0.001</v>
      </c>
      <c r="L1334" s="52" t="s">
        <v>5824</v>
      </c>
      <c r="M1334" s="52" t="s">
        <v>192</v>
      </c>
    </row>
    <row r="1335" customFormat="false" ht="17.25" hidden="false" customHeight="true" outlineLevel="0" collapsed="false">
      <c r="A1335" s="52" t="s">
        <v>5777</v>
      </c>
      <c r="B1335" s="52" t="s">
        <v>5813</v>
      </c>
      <c r="C1335" s="53" t="n">
        <v>139812</v>
      </c>
      <c r="D1335" s="52" t="s">
        <v>2957</v>
      </c>
      <c r="E1335" s="52" t="s">
        <v>2958</v>
      </c>
      <c r="F1335" s="54" t="n">
        <v>8</v>
      </c>
      <c r="G1335" s="55" t="n">
        <v>508.68</v>
      </c>
      <c r="H1335" s="55" t="n">
        <v>63.585</v>
      </c>
      <c r="I1335" s="55" t="n">
        <v>228</v>
      </c>
      <c r="J1335" s="52" t="s">
        <v>5816</v>
      </c>
      <c r="K1335" s="56" t="n">
        <v>1</v>
      </c>
      <c r="L1335" s="52" t="s">
        <v>5816</v>
      </c>
      <c r="M1335" s="52" t="s">
        <v>38</v>
      </c>
    </row>
    <row r="1336" customFormat="false" ht="17.25" hidden="false" customHeight="true" outlineLevel="0" collapsed="false">
      <c r="A1336" s="52" t="s">
        <v>5777</v>
      </c>
      <c r="B1336" s="52" t="s">
        <v>5813</v>
      </c>
      <c r="C1336" s="53" t="n">
        <v>18857</v>
      </c>
      <c r="D1336" s="52" t="s">
        <v>2959</v>
      </c>
      <c r="E1336" s="52" t="s">
        <v>2960</v>
      </c>
      <c r="F1336" s="54" t="n">
        <v>90</v>
      </c>
      <c r="G1336" s="55" t="n">
        <v>507.6</v>
      </c>
      <c r="H1336" s="55" t="n">
        <v>5.64</v>
      </c>
      <c r="I1336" s="55" t="n">
        <v>5.4</v>
      </c>
      <c r="J1336" s="52" t="s">
        <v>5816</v>
      </c>
      <c r="K1336" s="56" t="n">
        <v>1</v>
      </c>
      <c r="L1336" s="52" t="s">
        <v>5816</v>
      </c>
      <c r="M1336" s="52" t="s">
        <v>247</v>
      </c>
    </row>
    <row r="1337" customFormat="false" ht="17.25" hidden="false" customHeight="true" outlineLevel="0" collapsed="false">
      <c r="A1337" s="52" t="s">
        <v>5777</v>
      </c>
      <c r="B1337" s="52" t="s">
        <v>5813</v>
      </c>
      <c r="C1337" s="53" t="n">
        <v>33981</v>
      </c>
      <c r="D1337" s="52" t="s">
        <v>2961</v>
      </c>
      <c r="E1337" s="52" t="s">
        <v>2962</v>
      </c>
      <c r="F1337" s="54" t="n">
        <v>52</v>
      </c>
      <c r="G1337" s="55" t="n">
        <v>507.52</v>
      </c>
      <c r="H1337" s="55" t="n">
        <v>9.76</v>
      </c>
      <c r="I1337" s="55" t="n">
        <v>9.76</v>
      </c>
      <c r="J1337" s="52" t="s">
        <v>5816</v>
      </c>
      <c r="K1337" s="56" t="n">
        <v>1</v>
      </c>
      <c r="L1337" s="52" t="s">
        <v>5816</v>
      </c>
      <c r="M1337" s="52" t="s">
        <v>38</v>
      </c>
    </row>
    <row r="1338" customFormat="false" ht="17.25" hidden="false" customHeight="true" outlineLevel="0" collapsed="false">
      <c r="A1338" s="52" t="s">
        <v>5777</v>
      </c>
      <c r="B1338" s="52" t="s">
        <v>5813</v>
      </c>
      <c r="C1338" s="53" t="n">
        <v>430366</v>
      </c>
      <c r="D1338" s="52" t="s">
        <v>2963</v>
      </c>
      <c r="E1338" s="52" t="s">
        <v>5919</v>
      </c>
      <c r="F1338" s="54" t="n">
        <v>3</v>
      </c>
      <c r="G1338" s="55" t="n">
        <v>507</v>
      </c>
      <c r="H1338" s="55" t="n">
        <v>169</v>
      </c>
      <c r="I1338" s="55" t="n">
        <v>169</v>
      </c>
      <c r="J1338" s="52" t="s">
        <v>5816</v>
      </c>
      <c r="K1338" s="56" t="n">
        <v>1</v>
      </c>
      <c r="L1338" s="52" t="s">
        <v>5816</v>
      </c>
      <c r="M1338" s="52" t="s">
        <v>189</v>
      </c>
    </row>
    <row r="1339" customFormat="false" ht="17.25" hidden="false" customHeight="true" outlineLevel="0" collapsed="false">
      <c r="A1339" s="52" t="s">
        <v>5777</v>
      </c>
      <c r="B1339" s="52" t="s">
        <v>5813</v>
      </c>
      <c r="C1339" s="53" t="n">
        <v>12599</v>
      </c>
      <c r="D1339" s="52" t="s">
        <v>2965</v>
      </c>
      <c r="E1339" s="52" t="s">
        <v>2966</v>
      </c>
      <c r="F1339" s="54" t="n">
        <v>4</v>
      </c>
      <c r="G1339" s="55" t="n">
        <v>505.34</v>
      </c>
      <c r="H1339" s="55" t="n">
        <v>126.335</v>
      </c>
      <c r="I1339" s="55" t="n">
        <v>169.82</v>
      </c>
      <c r="J1339" s="52" t="s">
        <v>5816</v>
      </c>
      <c r="K1339" s="56" t="n">
        <v>1</v>
      </c>
      <c r="L1339" s="52" t="s">
        <v>5816</v>
      </c>
      <c r="M1339" s="52" t="s">
        <v>38</v>
      </c>
    </row>
    <row r="1340" customFormat="false" ht="17.25" hidden="false" customHeight="true" outlineLevel="0" collapsed="false">
      <c r="A1340" s="52" t="s">
        <v>5777</v>
      </c>
      <c r="B1340" s="52" t="s">
        <v>5813</v>
      </c>
      <c r="C1340" s="53" t="n">
        <v>1097671</v>
      </c>
      <c r="D1340" s="52" t="s">
        <v>2967</v>
      </c>
      <c r="E1340" s="52" t="s">
        <v>5920</v>
      </c>
      <c r="F1340" s="54" t="n">
        <v>4</v>
      </c>
      <c r="G1340" s="55" t="n">
        <v>504</v>
      </c>
      <c r="H1340" s="55" t="n">
        <v>126</v>
      </c>
      <c r="I1340" s="55" t="n">
        <v>126</v>
      </c>
      <c r="J1340" s="52" t="s">
        <v>5816</v>
      </c>
      <c r="K1340" s="56" t="n">
        <v>1</v>
      </c>
      <c r="L1340" s="52" t="s">
        <v>5816</v>
      </c>
      <c r="M1340" s="52" t="s">
        <v>230</v>
      </c>
    </row>
    <row r="1341" customFormat="false" ht="17.25" hidden="false" customHeight="true" outlineLevel="0" collapsed="false">
      <c r="A1341" s="52" t="s">
        <v>5777</v>
      </c>
      <c r="B1341" s="52" t="s">
        <v>5813</v>
      </c>
      <c r="C1341" s="53" t="n">
        <v>1384963</v>
      </c>
      <c r="D1341" s="52" t="s">
        <v>2969</v>
      </c>
      <c r="E1341" s="52" t="s">
        <v>2970</v>
      </c>
      <c r="F1341" s="54" t="n">
        <v>20</v>
      </c>
      <c r="G1341" s="55" t="n">
        <v>503.4</v>
      </c>
      <c r="H1341" s="55" t="n">
        <v>25.17</v>
      </c>
      <c r="I1341" s="55" t="n">
        <v>25.17</v>
      </c>
      <c r="J1341" s="52" t="s">
        <v>5814</v>
      </c>
      <c r="K1341" s="56" t="n">
        <v>1</v>
      </c>
      <c r="L1341" s="52" t="s">
        <v>5814</v>
      </c>
      <c r="M1341" s="52" t="s">
        <v>38</v>
      </c>
    </row>
    <row r="1342" customFormat="false" ht="17.25" hidden="false" customHeight="true" outlineLevel="0" collapsed="false">
      <c r="A1342" s="52" t="s">
        <v>5777</v>
      </c>
      <c r="B1342" s="52" t="s">
        <v>5813</v>
      </c>
      <c r="C1342" s="53" t="n">
        <v>845312</v>
      </c>
      <c r="D1342" s="52" t="s">
        <v>2971</v>
      </c>
      <c r="E1342" s="52" t="s">
        <v>2972</v>
      </c>
      <c r="F1342" s="54" t="n">
        <v>8</v>
      </c>
      <c r="G1342" s="55" t="n">
        <v>503.28</v>
      </c>
      <c r="H1342" s="55" t="n">
        <v>62.91</v>
      </c>
      <c r="I1342" s="55" t="n">
        <v>62.91</v>
      </c>
      <c r="J1342" s="52" t="s">
        <v>5816</v>
      </c>
      <c r="K1342" s="56" t="n">
        <v>1</v>
      </c>
      <c r="L1342" s="52" t="s">
        <v>5816</v>
      </c>
      <c r="M1342" s="52" t="s">
        <v>113</v>
      </c>
    </row>
    <row r="1343" customFormat="false" ht="17.25" hidden="false" customHeight="true" outlineLevel="0" collapsed="false">
      <c r="A1343" s="52" t="s">
        <v>5777</v>
      </c>
      <c r="B1343" s="52" t="s">
        <v>5813</v>
      </c>
      <c r="C1343" s="53" t="n">
        <v>557140</v>
      </c>
      <c r="D1343" s="52" t="s">
        <v>2973</v>
      </c>
      <c r="E1343" s="52" t="s">
        <v>2974</v>
      </c>
      <c r="F1343" s="54" t="n">
        <v>20</v>
      </c>
      <c r="G1343" s="55" t="n">
        <v>502.8</v>
      </c>
      <c r="H1343" s="55" t="n">
        <v>25.14</v>
      </c>
      <c r="I1343" s="55" t="n">
        <v>25.14</v>
      </c>
      <c r="J1343" s="52" t="s">
        <v>5816</v>
      </c>
      <c r="K1343" s="56" t="n">
        <v>1</v>
      </c>
      <c r="L1343" s="52" t="s">
        <v>5816</v>
      </c>
      <c r="M1343" s="52" t="s">
        <v>130</v>
      </c>
    </row>
    <row r="1344" customFormat="false" ht="17.25" hidden="false" customHeight="true" outlineLevel="0" collapsed="false">
      <c r="A1344" s="52" t="s">
        <v>5777</v>
      </c>
      <c r="B1344" s="52" t="s">
        <v>5813</v>
      </c>
      <c r="C1344" s="53" t="n">
        <v>282631</v>
      </c>
      <c r="D1344" s="52" t="s">
        <v>2975</v>
      </c>
      <c r="E1344" s="52" t="s">
        <v>2976</v>
      </c>
      <c r="F1344" s="54" t="n">
        <v>165</v>
      </c>
      <c r="G1344" s="55" t="n">
        <v>502.78</v>
      </c>
      <c r="H1344" s="55" t="n">
        <v>3.0472</v>
      </c>
      <c r="I1344" s="55" t="n">
        <v>3.58</v>
      </c>
      <c r="J1344" s="52" t="s">
        <v>5816</v>
      </c>
      <c r="K1344" s="56" t="n">
        <v>1</v>
      </c>
      <c r="L1344" s="52" t="s">
        <v>5816</v>
      </c>
      <c r="M1344" s="52" t="s">
        <v>100</v>
      </c>
    </row>
    <row r="1345" customFormat="false" ht="17.25" hidden="false" customHeight="true" outlineLevel="0" collapsed="false">
      <c r="A1345" s="52" t="s">
        <v>5777</v>
      </c>
      <c r="B1345" s="52" t="s">
        <v>5813</v>
      </c>
      <c r="C1345" s="53" t="n">
        <v>1661833</v>
      </c>
      <c r="D1345" s="52" t="s">
        <v>2977</v>
      </c>
      <c r="E1345" s="52" t="s">
        <v>2978</v>
      </c>
      <c r="F1345" s="54" t="n">
        <v>4</v>
      </c>
      <c r="G1345" s="55" t="n">
        <v>502.72</v>
      </c>
      <c r="H1345" s="55" t="n">
        <v>125.68</v>
      </c>
      <c r="I1345" s="55" t="n">
        <v>125.68</v>
      </c>
      <c r="J1345" s="52" t="s">
        <v>5816</v>
      </c>
      <c r="K1345" s="56" t="n">
        <v>1</v>
      </c>
      <c r="L1345" s="52" t="s">
        <v>5816</v>
      </c>
      <c r="M1345" s="52" t="s">
        <v>100</v>
      </c>
    </row>
    <row r="1346" customFormat="false" ht="17.25" hidden="false" customHeight="true" outlineLevel="0" collapsed="false">
      <c r="A1346" s="52" t="s">
        <v>5777</v>
      </c>
      <c r="B1346" s="52" t="s">
        <v>5813</v>
      </c>
      <c r="C1346" s="53" t="n">
        <v>840021</v>
      </c>
      <c r="D1346" s="52" t="s">
        <v>2979</v>
      </c>
      <c r="E1346" s="52" t="s">
        <v>2980</v>
      </c>
      <c r="F1346" s="54" t="n">
        <v>26</v>
      </c>
      <c r="G1346" s="55" t="n">
        <v>502.13</v>
      </c>
      <c r="H1346" s="55" t="n">
        <v>19.3127</v>
      </c>
      <c r="I1346" s="55" t="n">
        <v>15.23</v>
      </c>
      <c r="J1346" s="52" t="s">
        <v>5816</v>
      </c>
      <c r="K1346" s="56" t="n">
        <v>1</v>
      </c>
      <c r="L1346" s="52" t="s">
        <v>5816</v>
      </c>
      <c r="M1346" s="52" t="s">
        <v>54</v>
      </c>
    </row>
    <row r="1347" customFormat="false" ht="17.25" hidden="false" customHeight="true" outlineLevel="0" collapsed="false">
      <c r="A1347" s="52" t="s">
        <v>5777</v>
      </c>
      <c r="B1347" s="52" t="s">
        <v>5813</v>
      </c>
      <c r="C1347" s="53" t="n">
        <v>1485702</v>
      </c>
      <c r="D1347" s="52" t="s">
        <v>2981</v>
      </c>
      <c r="E1347" s="57" t="s">
        <v>5921</v>
      </c>
      <c r="F1347" s="54" t="n">
        <v>36</v>
      </c>
      <c r="G1347" s="55" t="n">
        <v>501.45</v>
      </c>
      <c r="H1347" s="55" t="n">
        <v>13.9292</v>
      </c>
      <c r="I1347" s="55" t="n">
        <v>14.8671</v>
      </c>
      <c r="J1347" s="52" t="s">
        <v>5816</v>
      </c>
      <c r="K1347" s="56" t="n">
        <v>1</v>
      </c>
      <c r="L1347" s="52" t="s">
        <v>5816</v>
      </c>
      <c r="M1347" s="52" t="s">
        <v>38</v>
      </c>
    </row>
    <row r="1348" customFormat="false" ht="17.25" hidden="false" customHeight="true" outlineLevel="0" collapsed="false">
      <c r="A1348" s="52" t="s">
        <v>5777</v>
      </c>
      <c r="B1348" s="52" t="s">
        <v>5813</v>
      </c>
      <c r="C1348" s="53" t="n">
        <v>871702</v>
      </c>
      <c r="D1348" s="52" t="s">
        <v>2983</v>
      </c>
      <c r="E1348" s="52" t="s">
        <v>2984</v>
      </c>
      <c r="F1348" s="54" t="n">
        <v>2</v>
      </c>
      <c r="G1348" s="55" t="n">
        <v>501.1</v>
      </c>
      <c r="H1348" s="55" t="n">
        <v>250.55</v>
      </c>
      <c r="I1348" s="55" t="n">
        <v>250.55</v>
      </c>
      <c r="J1348" s="52" t="s">
        <v>5816</v>
      </c>
      <c r="K1348" s="56" t="n">
        <v>1</v>
      </c>
      <c r="L1348" s="52" t="s">
        <v>5816</v>
      </c>
      <c r="M1348" s="52" t="s">
        <v>113</v>
      </c>
    </row>
    <row r="1349" customFormat="false" ht="17.25" hidden="false" customHeight="true" outlineLevel="0" collapsed="false">
      <c r="A1349" s="52" t="s">
        <v>5777</v>
      </c>
      <c r="B1349" s="52" t="s">
        <v>5813</v>
      </c>
      <c r="C1349" s="53" t="n">
        <v>144236</v>
      </c>
      <c r="D1349" s="52" t="s">
        <v>2985</v>
      </c>
      <c r="E1349" s="52" t="s">
        <v>2986</v>
      </c>
      <c r="F1349" s="54" t="n">
        <v>50</v>
      </c>
      <c r="G1349" s="55" t="n">
        <v>499</v>
      </c>
      <c r="H1349" s="55" t="n">
        <v>9.98</v>
      </c>
      <c r="I1349" s="55" t="n">
        <v>9.98</v>
      </c>
      <c r="J1349" s="52" t="s">
        <v>5816</v>
      </c>
      <c r="K1349" s="56" t="n">
        <v>1</v>
      </c>
      <c r="L1349" s="52" t="s">
        <v>5816</v>
      </c>
      <c r="M1349" s="52" t="s">
        <v>133</v>
      </c>
    </row>
    <row r="1350" customFormat="false" ht="17.25" hidden="false" customHeight="true" outlineLevel="0" collapsed="false">
      <c r="A1350" s="52" t="s">
        <v>5777</v>
      </c>
      <c r="B1350" s="52" t="s">
        <v>5813</v>
      </c>
      <c r="C1350" s="53" t="n">
        <v>1463690</v>
      </c>
      <c r="D1350" s="52" t="s">
        <v>2987</v>
      </c>
      <c r="E1350" s="52" t="s">
        <v>5922</v>
      </c>
      <c r="F1350" s="54" t="n">
        <v>22</v>
      </c>
      <c r="G1350" s="55" t="n">
        <v>498.96</v>
      </c>
      <c r="H1350" s="55" t="n">
        <v>22.68</v>
      </c>
      <c r="I1350" s="55" t="n">
        <v>22.68</v>
      </c>
      <c r="J1350" s="52" t="s">
        <v>5816</v>
      </c>
      <c r="K1350" s="56" t="n">
        <v>1</v>
      </c>
      <c r="L1350" s="52" t="s">
        <v>5816</v>
      </c>
      <c r="M1350" s="52" t="s">
        <v>38</v>
      </c>
    </row>
    <row r="1351" customFormat="false" ht="17.25" hidden="false" customHeight="true" outlineLevel="0" collapsed="false">
      <c r="A1351" s="52" t="s">
        <v>5777</v>
      </c>
      <c r="B1351" s="52" t="s">
        <v>5813</v>
      </c>
      <c r="C1351" s="53" t="n">
        <v>143904</v>
      </c>
      <c r="D1351" s="52" t="s">
        <v>2213</v>
      </c>
      <c r="E1351" s="52" t="s">
        <v>2214</v>
      </c>
      <c r="F1351" s="54" t="n">
        <v>2</v>
      </c>
      <c r="G1351" s="55" t="n">
        <v>498.29</v>
      </c>
      <c r="H1351" s="55" t="n">
        <v>249.145</v>
      </c>
      <c r="I1351" s="55" t="n">
        <v>249.145</v>
      </c>
      <c r="J1351" s="52" t="s">
        <v>5816</v>
      </c>
      <c r="K1351" s="56" t="n">
        <v>1</v>
      </c>
      <c r="L1351" s="52" t="s">
        <v>5816</v>
      </c>
      <c r="M1351" s="52" t="s">
        <v>247</v>
      </c>
    </row>
    <row r="1352" customFormat="false" ht="17.25" hidden="false" customHeight="true" outlineLevel="0" collapsed="false">
      <c r="A1352" s="52" t="s">
        <v>5777</v>
      </c>
      <c r="B1352" s="52" t="s">
        <v>5813</v>
      </c>
      <c r="C1352" s="53" t="n">
        <v>17946</v>
      </c>
      <c r="D1352" s="52" t="s">
        <v>2989</v>
      </c>
      <c r="E1352" s="52" t="s">
        <v>2990</v>
      </c>
      <c r="F1352" s="54" t="n">
        <v>8</v>
      </c>
      <c r="G1352" s="55" t="n">
        <v>498.28</v>
      </c>
      <c r="H1352" s="55" t="n">
        <v>62.285</v>
      </c>
      <c r="I1352" s="55" t="n">
        <v>96.57</v>
      </c>
      <c r="J1352" s="52" t="s">
        <v>5816</v>
      </c>
      <c r="K1352" s="56" t="n">
        <v>1</v>
      </c>
      <c r="L1352" s="52" t="s">
        <v>5816</v>
      </c>
      <c r="M1352" s="52" t="s">
        <v>130</v>
      </c>
    </row>
    <row r="1353" customFormat="false" ht="17.25" hidden="false" customHeight="true" outlineLevel="0" collapsed="false">
      <c r="A1353" s="52" t="s">
        <v>5777</v>
      </c>
      <c r="B1353" s="52" t="s">
        <v>5813</v>
      </c>
      <c r="C1353" s="53" t="n">
        <v>19653</v>
      </c>
      <c r="D1353" s="52" t="s">
        <v>2991</v>
      </c>
      <c r="E1353" s="52" t="s">
        <v>2992</v>
      </c>
      <c r="F1353" s="54" t="n">
        <v>3</v>
      </c>
      <c r="G1353" s="55" t="n">
        <v>497.85</v>
      </c>
      <c r="H1353" s="55" t="n">
        <v>165.95</v>
      </c>
      <c r="I1353" s="55" t="n">
        <v>165.95</v>
      </c>
      <c r="J1353" s="52" t="s">
        <v>5816</v>
      </c>
      <c r="K1353" s="56" t="n">
        <v>1</v>
      </c>
      <c r="L1353" s="52" t="s">
        <v>5816</v>
      </c>
      <c r="M1353" s="52" t="s">
        <v>1095</v>
      </c>
    </row>
    <row r="1354" customFormat="false" ht="17.25" hidden="false" customHeight="true" outlineLevel="0" collapsed="false">
      <c r="A1354" s="52" t="s">
        <v>5777</v>
      </c>
      <c r="B1354" s="52" t="s">
        <v>5813</v>
      </c>
      <c r="C1354" s="53" t="n">
        <v>1063861</v>
      </c>
      <c r="D1354" s="52" t="s">
        <v>2995</v>
      </c>
      <c r="E1354" s="52" t="s">
        <v>2996</v>
      </c>
      <c r="F1354" s="54" t="n">
        <v>3</v>
      </c>
      <c r="G1354" s="55" t="n">
        <v>497</v>
      </c>
      <c r="H1354" s="55" t="n">
        <v>165.6667</v>
      </c>
      <c r="I1354" s="55" t="n">
        <v>125</v>
      </c>
      <c r="J1354" s="52" t="s">
        <v>5816</v>
      </c>
      <c r="K1354" s="56" t="n">
        <v>1</v>
      </c>
      <c r="L1354" s="52" t="s">
        <v>5816</v>
      </c>
      <c r="M1354" s="52" t="s">
        <v>247</v>
      </c>
    </row>
    <row r="1355" customFormat="false" ht="17.25" hidden="false" customHeight="true" outlineLevel="0" collapsed="false">
      <c r="A1355" s="52" t="s">
        <v>5777</v>
      </c>
      <c r="B1355" s="52" t="s">
        <v>5813</v>
      </c>
      <c r="C1355" s="53" t="n">
        <v>1259178</v>
      </c>
      <c r="D1355" s="52" t="s">
        <v>2997</v>
      </c>
      <c r="E1355" s="52" t="s">
        <v>2998</v>
      </c>
      <c r="F1355" s="54" t="n">
        <v>15</v>
      </c>
      <c r="G1355" s="55" t="n">
        <v>496.35</v>
      </c>
      <c r="H1355" s="55" t="n">
        <v>33.09</v>
      </c>
      <c r="I1355" s="55" t="n">
        <v>33.09</v>
      </c>
      <c r="J1355" s="52" t="s">
        <v>5816</v>
      </c>
      <c r="K1355" s="56" t="n">
        <v>1</v>
      </c>
      <c r="L1355" s="52" t="s">
        <v>5816</v>
      </c>
      <c r="M1355" s="52" t="s">
        <v>133</v>
      </c>
    </row>
    <row r="1356" customFormat="false" ht="17.25" hidden="false" customHeight="true" outlineLevel="0" collapsed="false">
      <c r="A1356" s="52" t="s">
        <v>5777</v>
      </c>
      <c r="B1356" s="52" t="s">
        <v>5813</v>
      </c>
      <c r="C1356" s="53" t="n">
        <v>1093796</v>
      </c>
      <c r="D1356" s="52" t="s">
        <v>2999</v>
      </c>
      <c r="E1356" s="52" t="s">
        <v>3000</v>
      </c>
      <c r="F1356" s="54" t="n">
        <v>3</v>
      </c>
      <c r="G1356" s="55" t="n">
        <v>495</v>
      </c>
      <c r="H1356" s="55" t="n">
        <v>165</v>
      </c>
      <c r="I1356" s="55" t="n">
        <v>165</v>
      </c>
      <c r="J1356" s="52" t="s">
        <v>5816</v>
      </c>
      <c r="K1356" s="56" t="n">
        <v>1</v>
      </c>
      <c r="L1356" s="52" t="s">
        <v>5816</v>
      </c>
      <c r="M1356" s="52" t="s">
        <v>130</v>
      </c>
    </row>
    <row r="1357" customFormat="false" ht="17.25" hidden="false" customHeight="true" outlineLevel="0" collapsed="false">
      <c r="A1357" s="52" t="s">
        <v>5777</v>
      </c>
      <c r="B1357" s="52" t="s">
        <v>5813</v>
      </c>
      <c r="C1357" s="53" t="n">
        <v>1330567</v>
      </c>
      <c r="D1357" s="52" t="s">
        <v>3001</v>
      </c>
      <c r="E1357" s="52" t="s">
        <v>3002</v>
      </c>
      <c r="F1357" s="54" t="n">
        <v>2</v>
      </c>
      <c r="G1357" s="55" t="n">
        <v>493.9</v>
      </c>
      <c r="H1357" s="55" t="n">
        <v>246.95</v>
      </c>
      <c r="I1357" s="55" t="n">
        <v>246.95</v>
      </c>
      <c r="J1357" s="52" t="s">
        <v>5816</v>
      </c>
      <c r="K1357" s="56" t="n">
        <v>1</v>
      </c>
      <c r="L1357" s="52" t="s">
        <v>5816</v>
      </c>
      <c r="M1357" s="52" t="s">
        <v>54</v>
      </c>
    </row>
    <row r="1358" customFormat="false" ht="17.25" hidden="false" customHeight="true" outlineLevel="0" collapsed="false">
      <c r="A1358" s="52" t="s">
        <v>5777</v>
      </c>
      <c r="B1358" s="52" t="s">
        <v>5813</v>
      </c>
      <c r="C1358" s="53" t="n">
        <v>17944</v>
      </c>
      <c r="D1358" s="52" t="s">
        <v>3003</v>
      </c>
      <c r="E1358" s="52" t="s">
        <v>3004</v>
      </c>
      <c r="F1358" s="54" t="n">
        <v>4</v>
      </c>
      <c r="G1358" s="55" t="n">
        <v>493.56</v>
      </c>
      <c r="H1358" s="55" t="n">
        <v>123.39</v>
      </c>
      <c r="I1358" s="55" t="n">
        <v>123.39</v>
      </c>
      <c r="J1358" s="52" t="s">
        <v>5816</v>
      </c>
      <c r="K1358" s="56" t="n">
        <v>1</v>
      </c>
      <c r="L1358" s="52" t="s">
        <v>5816</v>
      </c>
      <c r="M1358" s="52" t="s">
        <v>130</v>
      </c>
    </row>
    <row r="1359" customFormat="false" ht="17.25" hidden="false" customHeight="true" outlineLevel="0" collapsed="false">
      <c r="A1359" s="52" t="s">
        <v>5777</v>
      </c>
      <c r="B1359" s="52" t="s">
        <v>5813</v>
      </c>
      <c r="C1359" s="53" t="n">
        <v>16840</v>
      </c>
      <c r="D1359" s="52" t="s">
        <v>3005</v>
      </c>
      <c r="E1359" s="52" t="s">
        <v>3006</v>
      </c>
      <c r="F1359" s="54" t="n">
        <v>1119</v>
      </c>
      <c r="G1359" s="55" t="n">
        <v>493.36</v>
      </c>
      <c r="H1359" s="55" t="n">
        <v>0.4409</v>
      </c>
      <c r="I1359" s="55" t="n">
        <v>0.88</v>
      </c>
      <c r="J1359" s="52" t="s">
        <v>5816</v>
      </c>
      <c r="K1359" s="56" t="n">
        <v>1</v>
      </c>
      <c r="L1359" s="52" t="s">
        <v>5816</v>
      </c>
      <c r="M1359" s="52" t="s">
        <v>100</v>
      </c>
    </row>
    <row r="1360" customFormat="false" ht="17.25" hidden="false" customHeight="true" outlineLevel="0" collapsed="false">
      <c r="A1360" s="52" t="s">
        <v>5777</v>
      </c>
      <c r="B1360" s="52" t="s">
        <v>5813</v>
      </c>
      <c r="C1360" s="53" t="n">
        <v>227988</v>
      </c>
      <c r="D1360" s="52" t="s">
        <v>3007</v>
      </c>
      <c r="E1360" s="52" t="s">
        <v>3008</v>
      </c>
      <c r="F1360" s="54" t="n">
        <v>17</v>
      </c>
      <c r="G1360" s="55" t="n">
        <v>493</v>
      </c>
      <c r="H1360" s="55" t="n">
        <v>29</v>
      </c>
      <c r="I1360" s="55" t="n">
        <v>29</v>
      </c>
      <c r="J1360" s="52" t="s">
        <v>5816</v>
      </c>
      <c r="K1360" s="56" t="n">
        <v>1</v>
      </c>
      <c r="L1360" s="52" t="s">
        <v>5816</v>
      </c>
      <c r="M1360" s="52" t="s">
        <v>360</v>
      </c>
    </row>
    <row r="1361" customFormat="false" ht="17.25" hidden="false" customHeight="true" outlineLevel="0" collapsed="false">
      <c r="A1361" s="52" t="s">
        <v>5777</v>
      </c>
      <c r="B1361" s="52" t="s">
        <v>5813</v>
      </c>
      <c r="C1361" s="53" t="n">
        <v>1465400</v>
      </c>
      <c r="D1361" s="52" t="s">
        <v>3009</v>
      </c>
      <c r="E1361" s="52" t="s">
        <v>3010</v>
      </c>
      <c r="F1361" s="54" t="n">
        <v>40</v>
      </c>
      <c r="G1361" s="55" t="n">
        <v>492.15</v>
      </c>
      <c r="H1361" s="55" t="n">
        <v>12.3038</v>
      </c>
      <c r="I1361" s="55" t="n">
        <v>12.3</v>
      </c>
      <c r="J1361" s="52" t="s">
        <v>5814</v>
      </c>
      <c r="K1361" s="56" t="n">
        <v>1</v>
      </c>
      <c r="L1361" s="52" t="s">
        <v>5814</v>
      </c>
      <c r="M1361" s="52" t="s">
        <v>38</v>
      </c>
    </row>
    <row r="1362" customFormat="false" ht="17.25" hidden="false" customHeight="true" outlineLevel="0" collapsed="false">
      <c r="A1362" s="52" t="s">
        <v>5777</v>
      </c>
      <c r="B1362" s="52" t="s">
        <v>5813</v>
      </c>
      <c r="C1362" s="53" t="n">
        <v>1465402</v>
      </c>
      <c r="D1362" s="52" t="s">
        <v>3011</v>
      </c>
      <c r="E1362" s="52" t="s">
        <v>3012</v>
      </c>
      <c r="F1362" s="54" t="n">
        <v>40</v>
      </c>
      <c r="G1362" s="55" t="n">
        <v>492.15</v>
      </c>
      <c r="H1362" s="55" t="n">
        <v>12.3038</v>
      </c>
      <c r="I1362" s="55" t="n">
        <v>12.3</v>
      </c>
      <c r="J1362" s="52" t="s">
        <v>5814</v>
      </c>
      <c r="K1362" s="56" t="n">
        <v>1</v>
      </c>
      <c r="L1362" s="52" t="s">
        <v>5814</v>
      </c>
      <c r="M1362" s="52" t="s">
        <v>32</v>
      </c>
    </row>
    <row r="1363" customFormat="false" ht="17.25" hidden="false" customHeight="true" outlineLevel="0" collapsed="false">
      <c r="A1363" s="52" t="s">
        <v>5777</v>
      </c>
      <c r="B1363" s="52" t="s">
        <v>5813</v>
      </c>
      <c r="C1363" s="53" t="n">
        <v>1465403</v>
      </c>
      <c r="D1363" s="52" t="s">
        <v>3013</v>
      </c>
      <c r="E1363" s="52" t="s">
        <v>3014</v>
      </c>
      <c r="F1363" s="54" t="n">
        <v>40</v>
      </c>
      <c r="G1363" s="55" t="n">
        <v>492.15</v>
      </c>
      <c r="H1363" s="55" t="n">
        <v>12.3038</v>
      </c>
      <c r="I1363" s="55" t="n">
        <v>12.3</v>
      </c>
      <c r="J1363" s="52" t="s">
        <v>5814</v>
      </c>
      <c r="K1363" s="56" t="n">
        <v>1</v>
      </c>
      <c r="L1363" s="52" t="s">
        <v>5814</v>
      </c>
      <c r="M1363" s="52" t="s">
        <v>38</v>
      </c>
    </row>
    <row r="1364" customFormat="false" ht="17.25" hidden="false" customHeight="true" outlineLevel="0" collapsed="false">
      <c r="A1364" s="52" t="s">
        <v>5777</v>
      </c>
      <c r="B1364" s="52" t="s">
        <v>5813</v>
      </c>
      <c r="C1364" s="53" t="n">
        <v>1382865</v>
      </c>
      <c r="D1364" s="52" t="s">
        <v>3015</v>
      </c>
      <c r="E1364" s="52" t="s">
        <v>3016</v>
      </c>
      <c r="F1364" s="54" t="n">
        <v>2</v>
      </c>
      <c r="G1364" s="55" t="n">
        <v>491.95</v>
      </c>
      <c r="H1364" s="55" t="n">
        <v>245.975</v>
      </c>
      <c r="I1364" s="55" t="n">
        <v>245.975</v>
      </c>
      <c r="J1364" s="52" t="s">
        <v>5914</v>
      </c>
      <c r="K1364" s="56" t="n">
        <v>1</v>
      </c>
      <c r="L1364" s="52" t="s">
        <v>5914</v>
      </c>
      <c r="M1364" s="52" t="s">
        <v>38</v>
      </c>
    </row>
    <row r="1365" customFormat="false" ht="17.25" hidden="false" customHeight="true" outlineLevel="0" collapsed="false">
      <c r="A1365" s="52" t="s">
        <v>5777</v>
      </c>
      <c r="B1365" s="52" t="s">
        <v>5813</v>
      </c>
      <c r="C1365" s="53" t="n">
        <v>556797</v>
      </c>
      <c r="D1365" s="52" t="s">
        <v>3017</v>
      </c>
      <c r="E1365" s="52" t="s">
        <v>3018</v>
      </c>
      <c r="F1365" s="54" t="n">
        <v>24</v>
      </c>
      <c r="G1365" s="55" t="n">
        <v>491.6</v>
      </c>
      <c r="H1365" s="55" t="n">
        <v>20.4833</v>
      </c>
      <c r="I1365" s="55" t="n">
        <v>22</v>
      </c>
      <c r="J1365" s="52" t="s">
        <v>5816</v>
      </c>
      <c r="K1365" s="56" t="n">
        <v>1</v>
      </c>
      <c r="L1365" s="52" t="s">
        <v>5816</v>
      </c>
      <c r="M1365" s="52" t="s">
        <v>130</v>
      </c>
    </row>
    <row r="1366" customFormat="false" ht="17.25" hidden="false" customHeight="true" outlineLevel="0" collapsed="false">
      <c r="A1366" s="52" t="s">
        <v>5777</v>
      </c>
      <c r="B1366" s="52" t="s">
        <v>5813</v>
      </c>
      <c r="C1366" s="53" t="n">
        <v>1380290</v>
      </c>
      <c r="D1366" s="52" t="s">
        <v>3019</v>
      </c>
      <c r="E1366" s="52" t="s">
        <v>5923</v>
      </c>
      <c r="F1366" s="54" t="n">
        <v>5</v>
      </c>
      <c r="G1366" s="55" t="n">
        <v>490</v>
      </c>
      <c r="H1366" s="55" t="n">
        <v>98</v>
      </c>
      <c r="I1366" s="55" t="n">
        <v>98</v>
      </c>
      <c r="J1366" s="52" t="s">
        <v>5816</v>
      </c>
      <c r="K1366" s="56" t="n">
        <v>1</v>
      </c>
      <c r="L1366" s="52" t="s">
        <v>5816</v>
      </c>
      <c r="M1366" s="52" t="s">
        <v>54</v>
      </c>
    </row>
    <row r="1367" customFormat="false" ht="17.25" hidden="false" customHeight="true" outlineLevel="0" collapsed="false">
      <c r="A1367" s="52" t="s">
        <v>5777</v>
      </c>
      <c r="B1367" s="52" t="s">
        <v>5813</v>
      </c>
      <c r="C1367" s="53" t="n">
        <v>839232</v>
      </c>
      <c r="D1367" s="52" t="s">
        <v>3021</v>
      </c>
      <c r="E1367" s="52" t="s">
        <v>3022</v>
      </c>
      <c r="F1367" s="54" t="n">
        <v>30</v>
      </c>
      <c r="G1367" s="55" t="n">
        <v>489.41</v>
      </c>
      <c r="H1367" s="55" t="n">
        <v>16.3137</v>
      </c>
      <c r="I1367" s="55" t="n">
        <v>16.3137</v>
      </c>
      <c r="J1367" s="52" t="s">
        <v>5822</v>
      </c>
      <c r="K1367" s="56" t="n">
        <v>1</v>
      </c>
      <c r="L1367" s="52" t="s">
        <v>5822</v>
      </c>
      <c r="M1367" s="52" t="s">
        <v>47</v>
      </c>
    </row>
    <row r="1368" customFormat="false" ht="17.25" hidden="false" customHeight="true" outlineLevel="0" collapsed="false">
      <c r="A1368" s="52" t="s">
        <v>5777</v>
      </c>
      <c r="B1368" s="52" t="s">
        <v>5813</v>
      </c>
      <c r="C1368" s="53" t="n">
        <v>749215</v>
      </c>
      <c r="D1368" s="52" t="s">
        <v>3023</v>
      </c>
      <c r="E1368" s="52" t="s">
        <v>3024</v>
      </c>
      <c r="F1368" s="54" t="n">
        <v>10</v>
      </c>
      <c r="G1368" s="55" t="n">
        <v>488</v>
      </c>
      <c r="H1368" s="55" t="n">
        <v>48.8</v>
      </c>
      <c r="I1368" s="55" t="n">
        <v>48.8</v>
      </c>
      <c r="J1368" s="52" t="s">
        <v>5816</v>
      </c>
      <c r="K1368" s="56" t="n">
        <v>1</v>
      </c>
      <c r="L1368" s="52" t="s">
        <v>5816</v>
      </c>
      <c r="M1368" s="52" t="s">
        <v>113</v>
      </c>
    </row>
    <row r="1369" customFormat="false" ht="17.25" hidden="false" customHeight="true" outlineLevel="0" collapsed="false">
      <c r="A1369" s="52" t="s">
        <v>5777</v>
      </c>
      <c r="B1369" s="52" t="s">
        <v>5813</v>
      </c>
      <c r="C1369" s="53" t="n">
        <v>18956</v>
      </c>
      <c r="D1369" s="52" t="s">
        <v>3025</v>
      </c>
      <c r="E1369" s="52" t="s">
        <v>3026</v>
      </c>
      <c r="F1369" s="54" t="n">
        <v>17</v>
      </c>
      <c r="G1369" s="55" t="n">
        <v>487.23</v>
      </c>
      <c r="H1369" s="55" t="n">
        <v>28.6606</v>
      </c>
      <c r="I1369" s="55" t="n">
        <v>9.89</v>
      </c>
      <c r="J1369" s="52" t="s">
        <v>5816</v>
      </c>
      <c r="K1369" s="56" t="n">
        <v>1</v>
      </c>
      <c r="L1369" s="52" t="s">
        <v>5816</v>
      </c>
      <c r="M1369" s="52" t="s">
        <v>247</v>
      </c>
    </row>
    <row r="1370" customFormat="false" ht="17.25" hidden="false" customHeight="true" outlineLevel="0" collapsed="false">
      <c r="A1370" s="52" t="s">
        <v>5777</v>
      </c>
      <c r="B1370" s="52" t="s">
        <v>5813</v>
      </c>
      <c r="C1370" s="53" t="n">
        <v>563273</v>
      </c>
      <c r="D1370" s="52" t="s">
        <v>3027</v>
      </c>
      <c r="E1370" s="52" t="s">
        <v>3028</v>
      </c>
      <c r="F1370" s="54" t="n">
        <v>3</v>
      </c>
      <c r="G1370" s="55" t="n">
        <v>487.05</v>
      </c>
      <c r="H1370" s="55" t="n">
        <v>162.35</v>
      </c>
      <c r="I1370" s="55" t="n">
        <v>162.35</v>
      </c>
      <c r="J1370" s="52" t="s">
        <v>5816</v>
      </c>
      <c r="K1370" s="56" t="n">
        <v>1</v>
      </c>
      <c r="L1370" s="52" t="s">
        <v>5816</v>
      </c>
      <c r="M1370" s="52" t="s">
        <v>35</v>
      </c>
    </row>
    <row r="1371" customFormat="false" ht="17.25" hidden="false" customHeight="true" outlineLevel="0" collapsed="false">
      <c r="A1371" s="52" t="s">
        <v>5777</v>
      </c>
      <c r="B1371" s="52" t="s">
        <v>5813</v>
      </c>
      <c r="C1371" s="53" t="n">
        <v>1323137</v>
      </c>
      <c r="D1371" s="52" t="s">
        <v>3029</v>
      </c>
      <c r="E1371" s="52" t="s">
        <v>3030</v>
      </c>
      <c r="F1371" s="54" t="n">
        <v>22</v>
      </c>
      <c r="G1371" s="55" t="n">
        <v>484</v>
      </c>
      <c r="H1371" s="55" t="n">
        <v>22</v>
      </c>
      <c r="I1371" s="55" t="n">
        <v>22</v>
      </c>
      <c r="J1371" s="52" t="s">
        <v>5816</v>
      </c>
      <c r="K1371" s="56" t="n">
        <v>1</v>
      </c>
      <c r="L1371" s="52" t="s">
        <v>5816</v>
      </c>
      <c r="M1371" s="52" t="s">
        <v>38</v>
      </c>
    </row>
    <row r="1372" customFormat="false" ht="17.25" hidden="false" customHeight="true" outlineLevel="0" collapsed="false">
      <c r="A1372" s="52" t="s">
        <v>5777</v>
      </c>
      <c r="B1372" s="52" t="s">
        <v>5813</v>
      </c>
      <c r="C1372" s="53" t="n">
        <v>12297</v>
      </c>
      <c r="D1372" s="52" t="s">
        <v>3031</v>
      </c>
      <c r="E1372" s="52" t="s">
        <v>3032</v>
      </c>
      <c r="F1372" s="54" t="n">
        <v>200</v>
      </c>
      <c r="G1372" s="55" t="n">
        <v>480</v>
      </c>
      <c r="H1372" s="55" t="n">
        <v>2.4</v>
      </c>
      <c r="I1372" s="55" t="n">
        <v>2.4</v>
      </c>
      <c r="J1372" s="52" t="s">
        <v>5814</v>
      </c>
      <c r="K1372" s="56" t="n">
        <v>1</v>
      </c>
      <c r="L1372" s="52" t="s">
        <v>5814</v>
      </c>
      <c r="M1372" s="52" t="s">
        <v>38</v>
      </c>
    </row>
    <row r="1373" customFormat="false" ht="17.25" hidden="false" customHeight="true" outlineLevel="0" collapsed="false">
      <c r="A1373" s="52" t="s">
        <v>5777</v>
      </c>
      <c r="B1373" s="52" t="s">
        <v>5813</v>
      </c>
      <c r="C1373" s="53" t="n">
        <v>12301</v>
      </c>
      <c r="D1373" s="52" t="s">
        <v>3033</v>
      </c>
      <c r="E1373" s="52" t="s">
        <v>3034</v>
      </c>
      <c r="F1373" s="54" t="n">
        <v>200</v>
      </c>
      <c r="G1373" s="55" t="n">
        <v>480</v>
      </c>
      <c r="H1373" s="55" t="n">
        <v>2.4</v>
      </c>
      <c r="I1373" s="55" t="n">
        <v>2.4</v>
      </c>
      <c r="J1373" s="52" t="s">
        <v>5814</v>
      </c>
      <c r="K1373" s="56" t="n">
        <v>1</v>
      </c>
      <c r="L1373" s="52" t="s">
        <v>5814</v>
      </c>
      <c r="M1373" s="52" t="s">
        <v>38</v>
      </c>
    </row>
    <row r="1374" customFormat="false" ht="17.25" hidden="false" customHeight="true" outlineLevel="0" collapsed="false">
      <c r="A1374" s="52" t="s">
        <v>5777</v>
      </c>
      <c r="B1374" s="52" t="s">
        <v>5813</v>
      </c>
      <c r="C1374" s="53" t="n">
        <v>12302</v>
      </c>
      <c r="D1374" s="52" t="s">
        <v>3035</v>
      </c>
      <c r="E1374" s="52" t="s">
        <v>3036</v>
      </c>
      <c r="F1374" s="54" t="n">
        <v>200</v>
      </c>
      <c r="G1374" s="55" t="n">
        <v>480</v>
      </c>
      <c r="H1374" s="55" t="n">
        <v>2.4</v>
      </c>
      <c r="I1374" s="55" t="n">
        <v>2.4</v>
      </c>
      <c r="J1374" s="52" t="s">
        <v>5814</v>
      </c>
      <c r="K1374" s="56" t="n">
        <v>1</v>
      </c>
      <c r="L1374" s="52" t="s">
        <v>5814</v>
      </c>
      <c r="M1374" s="52" t="s">
        <v>38</v>
      </c>
    </row>
    <row r="1375" customFormat="false" ht="17.25" hidden="false" customHeight="true" outlineLevel="0" collapsed="false">
      <c r="A1375" s="52" t="s">
        <v>5777</v>
      </c>
      <c r="B1375" s="52" t="s">
        <v>5813</v>
      </c>
      <c r="C1375" s="53" t="n">
        <v>59749</v>
      </c>
      <c r="D1375" s="52" t="s">
        <v>3037</v>
      </c>
      <c r="E1375" s="52" t="s">
        <v>3038</v>
      </c>
      <c r="F1375" s="54" t="n">
        <v>10</v>
      </c>
      <c r="G1375" s="55" t="n">
        <v>480</v>
      </c>
      <c r="H1375" s="55" t="n">
        <v>48</v>
      </c>
      <c r="I1375" s="55" t="n">
        <v>48</v>
      </c>
      <c r="J1375" s="52" t="s">
        <v>5816</v>
      </c>
      <c r="K1375" s="56" t="n">
        <v>1</v>
      </c>
      <c r="L1375" s="52" t="s">
        <v>5816</v>
      </c>
      <c r="M1375" s="52" t="s">
        <v>54</v>
      </c>
    </row>
    <row r="1376" customFormat="false" ht="17.25" hidden="false" customHeight="true" outlineLevel="0" collapsed="false">
      <c r="A1376" s="52" t="s">
        <v>5777</v>
      </c>
      <c r="B1376" s="52" t="s">
        <v>5813</v>
      </c>
      <c r="C1376" s="53" t="n">
        <v>275081</v>
      </c>
      <c r="D1376" s="52" t="s">
        <v>3039</v>
      </c>
      <c r="E1376" s="52" t="s">
        <v>3040</v>
      </c>
      <c r="F1376" s="54" t="n">
        <v>0.15</v>
      </c>
      <c r="G1376" s="55" t="n">
        <v>480</v>
      </c>
      <c r="H1376" s="55" t="n">
        <v>3200</v>
      </c>
      <c r="I1376" s="55" t="n">
        <v>3200</v>
      </c>
      <c r="J1376" s="52" t="s">
        <v>5824</v>
      </c>
      <c r="K1376" s="56" t="n">
        <v>1</v>
      </c>
      <c r="L1376" s="52" t="s">
        <v>5824</v>
      </c>
      <c r="M1376" s="52" t="s">
        <v>355</v>
      </c>
    </row>
    <row r="1377" customFormat="false" ht="17.25" hidden="false" customHeight="true" outlineLevel="0" collapsed="false">
      <c r="A1377" s="52" t="s">
        <v>5777</v>
      </c>
      <c r="B1377" s="52" t="s">
        <v>5813</v>
      </c>
      <c r="C1377" s="53" t="n">
        <v>930638</v>
      </c>
      <c r="D1377" s="52" t="s">
        <v>3041</v>
      </c>
      <c r="E1377" s="52" t="s">
        <v>3042</v>
      </c>
      <c r="F1377" s="54" t="n">
        <v>1</v>
      </c>
      <c r="G1377" s="55" t="n">
        <v>480</v>
      </c>
      <c r="H1377" s="55" t="n">
        <v>480</v>
      </c>
      <c r="I1377" s="55" t="n">
        <v>480</v>
      </c>
      <c r="J1377" s="52" t="s">
        <v>5816</v>
      </c>
      <c r="K1377" s="56" t="n">
        <v>1</v>
      </c>
      <c r="L1377" s="52" t="s">
        <v>5816</v>
      </c>
      <c r="M1377" s="52" t="s">
        <v>35</v>
      </c>
    </row>
    <row r="1378" customFormat="false" ht="17.25" hidden="false" customHeight="true" outlineLevel="0" collapsed="false">
      <c r="A1378" s="52" t="s">
        <v>5777</v>
      </c>
      <c r="B1378" s="52" t="s">
        <v>5813</v>
      </c>
      <c r="C1378" s="53" t="n">
        <v>1261317</v>
      </c>
      <c r="D1378" s="52" t="s">
        <v>3043</v>
      </c>
      <c r="E1378" s="52" t="s">
        <v>3044</v>
      </c>
      <c r="F1378" s="54" t="n">
        <v>3</v>
      </c>
      <c r="G1378" s="55" t="n">
        <v>480</v>
      </c>
      <c r="H1378" s="55" t="n">
        <v>160</v>
      </c>
      <c r="I1378" s="55" t="n">
        <v>160</v>
      </c>
      <c r="J1378" s="52" t="s">
        <v>5816</v>
      </c>
      <c r="K1378" s="56" t="n">
        <v>1</v>
      </c>
      <c r="L1378" s="52" t="s">
        <v>5816</v>
      </c>
      <c r="M1378" s="52" t="s">
        <v>457</v>
      </c>
    </row>
    <row r="1379" customFormat="false" ht="17.25" hidden="false" customHeight="true" outlineLevel="0" collapsed="false">
      <c r="A1379" s="52" t="s">
        <v>5777</v>
      </c>
      <c r="B1379" s="52" t="s">
        <v>5813</v>
      </c>
      <c r="C1379" s="53" t="n">
        <v>862311</v>
      </c>
      <c r="D1379" s="52" t="s">
        <v>3045</v>
      </c>
      <c r="E1379" s="52" t="s">
        <v>3046</v>
      </c>
      <c r="F1379" s="54" t="n">
        <v>11</v>
      </c>
      <c r="G1379" s="55" t="n">
        <v>478.3714</v>
      </c>
      <c r="H1379" s="55" t="n">
        <v>43.4881</v>
      </c>
      <c r="I1379" s="55" t="n">
        <v>58</v>
      </c>
      <c r="J1379" s="52" t="s">
        <v>5822</v>
      </c>
      <c r="K1379" s="56" t="n">
        <v>1</v>
      </c>
      <c r="L1379" s="52" t="s">
        <v>5822</v>
      </c>
      <c r="M1379" s="52" t="s">
        <v>457</v>
      </c>
    </row>
    <row r="1380" customFormat="false" ht="17.25" hidden="false" customHeight="true" outlineLevel="0" collapsed="false">
      <c r="A1380" s="52" t="s">
        <v>5777</v>
      </c>
      <c r="B1380" s="52" t="s">
        <v>5813</v>
      </c>
      <c r="C1380" s="53" t="n">
        <v>18792</v>
      </c>
      <c r="D1380" s="52" t="s">
        <v>3047</v>
      </c>
      <c r="E1380" s="52" t="s">
        <v>3048</v>
      </c>
      <c r="F1380" s="54" t="n">
        <v>30</v>
      </c>
      <c r="G1380" s="55" t="n">
        <v>477.274</v>
      </c>
      <c r="H1380" s="55" t="n">
        <v>15.9091</v>
      </c>
      <c r="I1380" s="55" t="n">
        <v>15.2705</v>
      </c>
      <c r="J1380" s="52" t="s">
        <v>5816</v>
      </c>
      <c r="K1380" s="56" t="n">
        <v>1</v>
      </c>
      <c r="L1380" s="52" t="s">
        <v>5816</v>
      </c>
      <c r="M1380" s="52" t="s">
        <v>247</v>
      </c>
    </row>
    <row r="1381" customFormat="false" ht="17.25" hidden="false" customHeight="true" outlineLevel="0" collapsed="false">
      <c r="A1381" s="52" t="s">
        <v>5777</v>
      </c>
      <c r="B1381" s="52" t="s">
        <v>5813</v>
      </c>
      <c r="C1381" s="53" t="n">
        <v>871346</v>
      </c>
      <c r="D1381" s="52" t="s">
        <v>3049</v>
      </c>
      <c r="E1381" s="52" t="s">
        <v>3050</v>
      </c>
      <c r="F1381" s="54" t="n">
        <v>3</v>
      </c>
      <c r="G1381" s="55" t="n">
        <v>477.06</v>
      </c>
      <c r="H1381" s="55" t="n">
        <v>159.02</v>
      </c>
      <c r="I1381" s="55" t="n">
        <v>159.02</v>
      </c>
      <c r="J1381" s="52" t="s">
        <v>5816</v>
      </c>
      <c r="K1381" s="56" t="n">
        <v>1</v>
      </c>
      <c r="L1381" s="52" t="s">
        <v>5816</v>
      </c>
      <c r="M1381" s="52" t="s">
        <v>66</v>
      </c>
    </row>
    <row r="1382" customFormat="false" ht="17.25" hidden="false" customHeight="true" outlineLevel="0" collapsed="false">
      <c r="A1382" s="52" t="s">
        <v>5777</v>
      </c>
      <c r="B1382" s="52" t="s">
        <v>5813</v>
      </c>
      <c r="C1382" s="53" t="n">
        <v>24376</v>
      </c>
      <c r="D1382" s="52" t="s">
        <v>3051</v>
      </c>
      <c r="E1382" s="52" t="s">
        <v>3052</v>
      </c>
      <c r="F1382" s="54" t="n">
        <v>2</v>
      </c>
      <c r="G1382" s="55" t="n">
        <v>476</v>
      </c>
      <c r="H1382" s="55" t="n">
        <v>238</v>
      </c>
      <c r="I1382" s="55" t="n">
        <v>238</v>
      </c>
      <c r="J1382" s="52" t="s">
        <v>5816</v>
      </c>
      <c r="K1382" s="56" t="n">
        <v>1</v>
      </c>
      <c r="L1382" s="52" t="s">
        <v>5816</v>
      </c>
      <c r="M1382" s="52" t="s">
        <v>705</v>
      </c>
    </row>
    <row r="1383" customFormat="false" ht="17.25" hidden="false" customHeight="true" outlineLevel="0" collapsed="false">
      <c r="A1383" s="52" t="s">
        <v>5777</v>
      </c>
      <c r="B1383" s="52" t="s">
        <v>5813</v>
      </c>
      <c r="C1383" s="53" t="n">
        <v>35328</v>
      </c>
      <c r="D1383" s="52" t="s">
        <v>3053</v>
      </c>
      <c r="E1383" s="52" t="s">
        <v>3054</v>
      </c>
      <c r="F1383" s="54" t="n">
        <v>7</v>
      </c>
      <c r="G1383" s="55" t="n">
        <v>476</v>
      </c>
      <c r="H1383" s="55" t="n">
        <v>68</v>
      </c>
      <c r="I1383" s="55" t="n">
        <v>68</v>
      </c>
      <c r="J1383" s="52" t="s">
        <v>5816</v>
      </c>
      <c r="K1383" s="56" t="n">
        <v>1</v>
      </c>
      <c r="L1383" s="52" t="s">
        <v>5816</v>
      </c>
      <c r="M1383" s="52" t="s">
        <v>520</v>
      </c>
    </row>
    <row r="1384" customFormat="false" ht="17.25" hidden="false" customHeight="true" outlineLevel="0" collapsed="false">
      <c r="A1384" s="52" t="s">
        <v>5777</v>
      </c>
      <c r="B1384" s="52" t="s">
        <v>5813</v>
      </c>
      <c r="C1384" s="53" t="n">
        <v>863988</v>
      </c>
      <c r="D1384" s="52" t="s">
        <v>3055</v>
      </c>
      <c r="E1384" s="52" t="s">
        <v>3056</v>
      </c>
      <c r="F1384" s="54" t="n">
        <v>7</v>
      </c>
      <c r="G1384" s="55" t="n">
        <v>476</v>
      </c>
      <c r="H1384" s="55" t="n">
        <v>68</v>
      </c>
      <c r="I1384" s="55" t="n">
        <v>68</v>
      </c>
      <c r="J1384" s="52" t="s">
        <v>5816</v>
      </c>
      <c r="K1384" s="56" t="n">
        <v>1</v>
      </c>
      <c r="L1384" s="52" t="s">
        <v>5816</v>
      </c>
      <c r="M1384" s="52" t="s">
        <v>835</v>
      </c>
    </row>
    <row r="1385" customFormat="false" ht="17.25" hidden="false" customHeight="true" outlineLevel="0" collapsed="false">
      <c r="A1385" s="52" t="s">
        <v>5777</v>
      </c>
      <c r="B1385" s="52" t="s">
        <v>5813</v>
      </c>
      <c r="C1385" s="53" t="n">
        <v>1469483</v>
      </c>
      <c r="D1385" s="52" t="s">
        <v>3057</v>
      </c>
      <c r="E1385" s="52" t="s">
        <v>3058</v>
      </c>
      <c r="F1385" s="54" t="n">
        <v>24</v>
      </c>
      <c r="G1385" s="55" t="n">
        <v>475.2</v>
      </c>
      <c r="H1385" s="55" t="n">
        <v>19.8</v>
      </c>
      <c r="I1385" s="55" t="n">
        <v>19.8</v>
      </c>
      <c r="J1385" s="52" t="s">
        <v>5924</v>
      </c>
      <c r="K1385" s="56" t="n">
        <v>1</v>
      </c>
      <c r="L1385" s="52" t="s">
        <v>5816</v>
      </c>
      <c r="M1385" s="52" t="s">
        <v>637</v>
      </c>
    </row>
    <row r="1386" customFormat="false" ht="17.25" hidden="false" customHeight="true" outlineLevel="0" collapsed="false">
      <c r="A1386" s="52" t="s">
        <v>5777</v>
      </c>
      <c r="B1386" s="52" t="s">
        <v>5813</v>
      </c>
      <c r="C1386" s="53" t="n">
        <v>883098</v>
      </c>
      <c r="D1386" s="52" t="s">
        <v>3059</v>
      </c>
      <c r="E1386" s="52" t="s">
        <v>3060</v>
      </c>
      <c r="F1386" s="54" t="n">
        <v>1</v>
      </c>
      <c r="G1386" s="55" t="n">
        <v>471</v>
      </c>
      <c r="H1386" s="55" t="n">
        <v>471</v>
      </c>
      <c r="I1386" s="55" t="n">
        <v>471</v>
      </c>
      <c r="J1386" s="52" t="s">
        <v>5816</v>
      </c>
      <c r="K1386" s="56" t="n">
        <v>1</v>
      </c>
      <c r="L1386" s="52" t="s">
        <v>5816</v>
      </c>
      <c r="M1386" s="52" t="s">
        <v>130</v>
      </c>
    </row>
    <row r="1387" customFormat="false" ht="17.25" hidden="false" customHeight="true" outlineLevel="0" collapsed="false">
      <c r="A1387" s="52" t="s">
        <v>5777</v>
      </c>
      <c r="B1387" s="52" t="s">
        <v>5813</v>
      </c>
      <c r="C1387" s="53" t="n">
        <v>1092833</v>
      </c>
      <c r="D1387" s="52" t="s">
        <v>3061</v>
      </c>
      <c r="E1387" s="52" t="s">
        <v>5925</v>
      </c>
      <c r="F1387" s="54" t="n">
        <v>16</v>
      </c>
      <c r="G1387" s="55" t="n">
        <v>469.76</v>
      </c>
      <c r="H1387" s="55" t="n">
        <v>29.36</v>
      </c>
      <c r="I1387" s="55" t="n">
        <v>29.36</v>
      </c>
      <c r="J1387" s="52" t="s">
        <v>5816</v>
      </c>
      <c r="K1387" s="56" t="n">
        <v>1</v>
      </c>
      <c r="L1387" s="52" t="s">
        <v>5816</v>
      </c>
      <c r="M1387" s="52" t="s">
        <v>835</v>
      </c>
    </row>
    <row r="1388" customFormat="false" ht="17.25" hidden="false" customHeight="true" outlineLevel="0" collapsed="false">
      <c r="A1388" s="52" t="s">
        <v>5777</v>
      </c>
      <c r="B1388" s="52" t="s">
        <v>5813</v>
      </c>
      <c r="C1388" s="53" t="n">
        <v>750177</v>
      </c>
      <c r="D1388" s="52" t="s">
        <v>3063</v>
      </c>
      <c r="E1388" s="52" t="s">
        <v>3064</v>
      </c>
      <c r="F1388" s="54" t="n">
        <v>34</v>
      </c>
      <c r="G1388" s="55" t="n">
        <v>469.52</v>
      </c>
      <c r="H1388" s="55" t="n">
        <v>13.8094</v>
      </c>
      <c r="I1388" s="55" t="n">
        <v>22.98</v>
      </c>
      <c r="J1388" s="52" t="s">
        <v>5816</v>
      </c>
      <c r="K1388" s="56" t="n">
        <v>1</v>
      </c>
      <c r="L1388" s="52" t="s">
        <v>5816</v>
      </c>
      <c r="M1388" s="52" t="s">
        <v>38</v>
      </c>
    </row>
    <row r="1389" customFormat="false" ht="17.25" hidden="false" customHeight="true" outlineLevel="0" collapsed="false">
      <c r="A1389" s="52" t="s">
        <v>5777</v>
      </c>
      <c r="B1389" s="52" t="s">
        <v>5813</v>
      </c>
      <c r="C1389" s="53" t="n">
        <v>287889</v>
      </c>
      <c r="D1389" s="52" t="s">
        <v>3065</v>
      </c>
      <c r="E1389" s="52" t="s">
        <v>3066</v>
      </c>
      <c r="F1389" s="54" t="n">
        <v>85</v>
      </c>
      <c r="G1389" s="55" t="n">
        <v>468.35</v>
      </c>
      <c r="H1389" s="55" t="n">
        <v>5.51</v>
      </c>
      <c r="I1389" s="55" t="n">
        <v>5.51</v>
      </c>
      <c r="J1389" s="52" t="s">
        <v>5816</v>
      </c>
      <c r="K1389" s="56" t="n">
        <v>1</v>
      </c>
      <c r="L1389" s="52" t="s">
        <v>5816</v>
      </c>
      <c r="M1389" s="52" t="s">
        <v>38</v>
      </c>
    </row>
    <row r="1390" customFormat="false" ht="17.25" hidden="false" customHeight="true" outlineLevel="0" collapsed="false">
      <c r="A1390" s="52" t="s">
        <v>5777</v>
      </c>
      <c r="B1390" s="52" t="s">
        <v>5813</v>
      </c>
      <c r="C1390" s="53" t="n">
        <v>1385282</v>
      </c>
      <c r="D1390" s="52" t="s">
        <v>3067</v>
      </c>
      <c r="E1390" s="52" t="s">
        <v>3068</v>
      </c>
      <c r="F1390" s="54" t="n">
        <v>2</v>
      </c>
      <c r="G1390" s="55" t="n">
        <v>466.69</v>
      </c>
      <c r="H1390" s="55" t="n">
        <v>233.345</v>
      </c>
      <c r="I1390" s="55" t="n">
        <v>142.5</v>
      </c>
      <c r="J1390" s="52" t="s">
        <v>5816</v>
      </c>
      <c r="K1390" s="56" t="n">
        <v>1</v>
      </c>
      <c r="L1390" s="52" t="s">
        <v>5816</v>
      </c>
      <c r="M1390" s="52" t="s">
        <v>38</v>
      </c>
    </row>
    <row r="1391" customFormat="false" ht="17.25" hidden="false" customHeight="true" outlineLevel="0" collapsed="false">
      <c r="A1391" s="52" t="s">
        <v>5777</v>
      </c>
      <c r="B1391" s="52" t="s">
        <v>5813</v>
      </c>
      <c r="C1391" s="53" t="n">
        <v>1326811</v>
      </c>
      <c r="D1391" s="52" t="s">
        <v>3069</v>
      </c>
      <c r="E1391" s="52" t="s">
        <v>3070</v>
      </c>
      <c r="F1391" s="54" t="n">
        <v>3</v>
      </c>
      <c r="G1391" s="55" t="n">
        <v>465.18</v>
      </c>
      <c r="H1391" s="55" t="n">
        <v>155.06</v>
      </c>
      <c r="I1391" s="55" t="n">
        <v>155.06</v>
      </c>
      <c r="J1391" s="52" t="s">
        <v>5818</v>
      </c>
      <c r="K1391" s="56" t="n">
        <v>1</v>
      </c>
      <c r="L1391" s="52" t="s">
        <v>5816</v>
      </c>
      <c r="M1391" s="52" t="s">
        <v>38</v>
      </c>
    </row>
    <row r="1392" customFormat="false" ht="17.25" hidden="false" customHeight="true" outlineLevel="0" collapsed="false">
      <c r="A1392" s="52" t="s">
        <v>5777</v>
      </c>
      <c r="B1392" s="52" t="s">
        <v>5813</v>
      </c>
      <c r="C1392" s="53" t="n">
        <v>1463586</v>
      </c>
      <c r="D1392" s="52" t="s">
        <v>3071</v>
      </c>
      <c r="E1392" s="52" t="s">
        <v>3072</v>
      </c>
      <c r="F1392" s="54" t="n">
        <v>6.9</v>
      </c>
      <c r="G1392" s="55" t="n">
        <v>465.05</v>
      </c>
      <c r="H1392" s="55" t="n">
        <v>67.3986</v>
      </c>
      <c r="I1392" s="55" t="n">
        <v>67.3986</v>
      </c>
      <c r="J1392" s="52" t="s">
        <v>5814</v>
      </c>
      <c r="K1392" s="56" t="n">
        <v>1</v>
      </c>
      <c r="L1392" s="52" t="s">
        <v>5814</v>
      </c>
      <c r="M1392" s="52" t="s">
        <v>38</v>
      </c>
    </row>
    <row r="1393" customFormat="false" ht="17.25" hidden="false" customHeight="true" outlineLevel="0" collapsed="false">
      <c r="A1393" s="52" t="s">
        <v>5777</v>
      </c>
      <c r="B1393" s="52" t="s">
        <v>5813</v>
      </c>
      <c r="C1393" s="53" t="n">
        <v>554091</v>
      </c>
      <c r="D1393" s="52" t="s">
        <v>3073</v>
      </c>
      <c r="E1393" s="52" t="s">
        <v>3074</v>
      </c>
      <c r="F1393" s="54" t="n">
        <v>8</v>
      </c>
      <c r="G1393" s="55" t="n">
        <v>464</v>
      </c>
      <c r="H1393" s="55" t="n">
        <v>58</v>
      </c>
      <c r="I1393" s="55" t="n">
        <v>58</v>
      </c>
      <c r="J1393" s="52" t="s">
        <v>5831</v>
      </c>
      <c r="K1393" s="56" t="n">
        <v>1</v>
      </c>
      <c r="L1393" s="52" t="s">
        <v>5831</v>
      </c>
      <c r="M1393" s="52" t="s">
        <v>247</v>
      </c>
    </row>
    <row r="1394" customFormat="false" ht="17.25" hidden="false" customHeight="true" outlineLevel="0" collapsed="false">
      <c r="A1394" s="52" t="s">
        <v>5777</v>
      </c>
      <c r="B1394" s="52" t="s">
        <v>5813</v>
      </c>
      <c r="C1394" s="53" t="n">
        <v>552229</v>
      </c>
      <c r="D1394" s="52" t="s">
        <v>3075</v>
      </c>
      <c r="E1394" s="52" t="s">
        <v>3076</v>
      </c>
      <c r="F1394" s="54" t="n">
        <v>70</v>
      </c>
      <c r="G1394" s="55" t="n">
        <v>463.738</v>
      </c>
      <c r="H1394" s="55" t="n">
        <v>6.6249</v>
      </c>
      <c r="I1394" s="55" t="n">
        <v>6</v>
      </c>
      <c r="J1394" s="52" t="s">
        <v>5816</v>
      </c>
      <c r="K1394" s="56" t="n">
        <v>1</v>
      </c>
      <c r="L1394" s="52" t="s">
        <v>5816</v>
      </c>
      <c r="M1394" s="52" t="s">
        <v>247</v>
      </c>
    </row>
    <row r="1395" customFormat="false" ht="17.25" hidden="false" customHeight="true" outlineLevel="0" collapsed="false">
      <c r="A1395" s="52" t="s">
        <v>5777</v>
      </c>
      <c r="B1395" s="52" t="s">
        <v>5813</v>
      </c>
      <c r="C1395" s="53" t="n">
        <v>1384049</v>
      </c>
      <c r="D1395" s="52" t="s">
        <v>3077</v>
      </c>
      <c r="E1395" s="52" t="s">
        <v>3078</v>
      </c>
      <c r="F1395" s="54" t="n">
        <v>53</v>
      </c>
      <c r="G1395" s="55" t="n">
        <v>463.37</v>
      </c>
      <c r="H1395" s="55" t="n">
        <v>8.7428</v>
      </c>
      <c r="I1395" s="55" t="n">
        <v>8.28</v>
      </c>
      <c r="J1395" s="52" t="s">
        <v>5816</v>
      </c>
      <c r="K1395" s="56" t="n">
        <v>1</v>
      </c>
      <c r="L1395" s="52" t="s">
        <v>5816</v>
      </c>
      <c r="M1395" s="52" t="s">
        <v>38</v>
      </c>
    </row>
    <row r="1396" customFormat="false" ht="17.25" hidden="false" customHeight="true" outlineLevel="0" collapsed="false">
      <c r="A1396" s="52" t="s">
        <v>5777</v>
      </c>
      <c r="B1396" s="52" t="s">
        <v>5813</v>
      </c>
      <c r="C1396" s="53" t="n">
        <v>861450</v>
      </c>
      <c r="D1396" s="52" t="s">
        <v>3079</v>
      </c>
      <c r="E1396" s="52" t="s">
        <v>3080</v>
      </c>
      <c r="F1396" s="54" t="n">
        <v>156</v>
      </c>
      <c r="G1396" s="55" t="n">
        <v>462.6092</v>
      </c>
      <c r="H1396" s="55" t="n">
        <v>2.9654</v>
      </c>
      <c r="I1396" s="55" t="n">
        <v>2.92</v>
      </c>
      <c r="J1396" s="52" t="s">
        <v>5816</v>
      </c>
      <c r="K1396" s="56" t="n">
        <v>1</v>
      </c>
      <c r="L1396" s="52" t="s">
        <v>5816</v>
      </c>
      <c r="M1396" s="52" t="s">
        <v>38</v>
      </c>
    </row>
    <row r="1397" customFormat="false" ht="17.25" hidden="false" customHeight="true" outlineLevel="0" collapsed="false">
      <c r="A1397" s="52" t="s">
        <v>5777</v>
      </c>
      <c r="B1397" s="52" t="s">
        <v>5813</v>
      </c>
      <c r="C1397" s="53" t="n">
        <v>551135</v>
      </c>
      <c r="D1397" s="52" t="s">
        <v>3081</v>
      </c>
      <c r="E1397" s="52" t="s">
        <v>3082</v>
      </c>
      <c r="F1397" s="54" t="n">
        <v>28</v>
      </c>
      <c r="G1397" s="55" t="n">
        <v>461.28</v>
      </c>
      <c r="H1397" s="55" t="n">
        <v>16.4743</v>
      </c>
      <c r="I1397" s="55" t="n">
        <v>15.94</v>
      </c>
      <c r="J1397" s="52" t="s">
        <v>5816</v>
      </c>
      <c r="K1397" s="56" t="n">
        <v>1</v>
      </c>
      <c r="L1397" s="52" t="s">
        <v>5816</v>
      </c>
      <c r="M1397" s="52" t="s">
        <v>247</v>
      </c>
    </row>
    <row r="1398" customFormat="false" ht="17.25" hidden="false" customHeight="true" outlineLevel="0" collapsed="false">
      <c r="A1398" s="52" t="s">
        <v>5777</v>
      </c>
      <c r="B1398" s="52" t="s">
        <v>5813</v>
      </c>
      <c r="C1398" s="53" t="n">
        <v>1462016</v>
      </c>
      <c r="D1398" s="52" t="s">
        <v>3083</v>
      </c>
      <c r="E1398" s="52" t="s">
        <v>3084</v>
      </c>
      <c r="F1398" s="54" t="n">
        <v>17</v>
      </c>
      <c r="G1398" s="55" t="n">
        <v>459.34</v>
      </c>
      <c r="H1398" s="55" t="n">
        <v>27.02</v>
      </c>
      <c r="I1398" s="55" t="n">
        <v>27.02</v>
      </c>
      <c r="J1398" s="52" t="s">
        <v>5816</v>
      </c>
      <c r="K1398" s="56" t="n">
        <v>1</v>
      </c>
      <c r="L1398" s="52" t="s">
        <v>5816</v>
      </c>
      <c r="M1398" s="52" t="s">
        <v>54</v>
      </c>
    </row>
    <row r="1399" customFormat="false" ht="17.25" hidden="false" customHeight="true" outlineLevel="0" collapsed="false">
      <c r="A1399" s="52" t="s">
        <v>5777</v>
      </c>
      <c r="B1399" s="52" t="s">
        <v>5813</v>
      </c>
      <c r="C1399" s="53" t="n">
        <v>57886</v>
      </c>
      <c r="D1399" s="52" t="s">
        <v>3085</v>
      </c>
      <c r="E1399" s="52" t="s">
        <v>3086</v>
      </c>
      <c r="F1399" s="54" t="n">
        <v>1</v>
      </c>
      <c r="G1399" s="55" t="n">
        <v>457.15</v>
      </c>
      <c r="H1399" s="55" t="n">
        <v>457.15</v>
      </c>
      <c r="I1399" s="55" t="n">
        <v>457.15</v>
      </c>
      <c r="J1399" s="52" t="s">
        <v>5816</v>
      </c>
      <c r="K1399" s="56" t="n">
        <v>1</v>
      </c>
      <c r="L1399" s="52" t="s">
        <v>5816</v>
      </c>
      <c r="M1399" s="52" t="s">
        <v>130</v>
      </c>
    </row>
    <row r="1400" customFormat="false" ht="17.25" hidden="false" customHeight="true" outlineLevel="0" collapsed="false">
      <c r="A1400" s="52" t="s">
        <v>5777</v>
      </c>
      <c r="B1400" s="52" t="s">
        <v>5813</v>
      </c>
      <c r="C1400" s="53" t="n">
        <v>14219</v>
      </c>
      <c r="D1400" s="52" t="s">
        <v>3087</v>
      </c>
      <c r="E1400" s="52" t="s">
        <v>3088</v>
      </c>
      <c r="F1400" s="54" t="n">
        <v>10</v>
      </c>
      <c r="G1400" s="55" t="n">
        <v>456.6</v>
      </c>
      <c r="H1400" s="55" t="n">
        <v>45.66</v>
      </c>
      <c r="I1400" s="55" t="n">
        <v>45.66</v>
      </c>
      <c r="J1400" s="52" t="s">
        <v>5816</v>
      </c>
      <c r="K1400" s="56" t="n">
        <v>1</v>
      </c>
      <c r="L1400" s="52" t="s">
        <v>5816</v>
      </c>
      <c r="M1400" s="52" t="s">
        <v>38</v>
      </c>
    </row>
    <row r="1401" customFormat="false" ht="17.25" hidden="false" customHeight="true" outlineLevel="0" collapsed="false">
      <c r="A1401" s="52" t="s">
        <v>5777</v>
      </c>
      <c r="B1401" s="52" t="s">
        <v>5813</v>
      </c>
      <c r="C1401" s="53" t="n">
        <v>21163</v>
      </c>
      <c r="D1401" s="52" t="s">
        <v>3089</v>
      </c>
      <c r="E1401" s="52" t="s">
        <v>3090</v>
      </c>
      <c r="F1401" s="54" t="n">
        <v>2</v>
      </c>
      <c r="G1401" s="55" t="n">
        <v>456</v>
      </c>
      <c r="H1401" s="55" t="n">
        <v>228</v>
      </c>
      <c r="I1401" s="55" t="n">
        <v>228</v>
      </c>
      <c r="J1401" s="52" t="s">
        <v>5816</v>
      </c>
      <c r="K1401" s="56" t="n">
        <v>1</v>
      </c>
      <c r="L1401" s="52" t="s">
        <v>5816</v>
      </c>
      <c r="M1401" s="52" t="s">
        <v>189</v>
      </c>
    </row>
    <row r="1402" customFormat="false" ht="17.25" hidden="false" customHeight="true" outlineLevel="0" collapsed="false">
      <c r="A1402" s="52" t="s">
        <v>5777</v>
      </c>
      <c r="B1402" s="52" t="s">
        <v>5813</v>
      </c>
      <c r="C1402" s="53" t="n">
        <v>33271</v>
      </c>
      <c r="D1402" s="52" t="s">
        <v>3091</v>
      </c>
      <c r="E1402" s="52" t="s">
        <v>3092</v>
      </c>
      <c r="F1402" s="54" t="n">
        <v>2</v>
      </c>
      <c r="G1402" s="55" t="n">
        <v>456</v>
      </c>
      <c r="H1402" s="55" t="n">
        <v>228</v>
      </c>
      <c r="I1402" s="55" t="n">
        <v>228</v>
      </c>
      <c r="J1402" s="52" t="s">
        <v>5816</v>
      </c>
      <c r="K1402" s="56" t="n">
        <v>1</v>
      </c>
      <c r="L1402" s="52" t="s">
        <v>5816</v>
      </c>
      <c r="M1402" s="52" t="s">
        <v>100</v>
      </c>
    </row>
    <row r="1403" customFormat="false" ht="17.25" hidden="false" customHeight="true" outlineLevel="0" collapsed="false">
      <c r="A1403" s="52" t="s">
        <v>5777</v>
      </c>
      <c r="B1403" s="52" t="s">
        <v>5813</v>
      </c>
      <c r="C1403" s="53" t="n">
        <v>839825</v>
      </c>
      <c r="D1403" s="52" t="s">
        <v>3093</v>
      </c>
      <c r="E1403" s="52" t="s">
        <v>3094</v>
      </c>
      <c r="F1403" s="54" t="n">
        <v>12</v>
      </c>
      <c r="G1403" s="55" t="n">
        <v>456</v>
      </c>
      <c r="H1403" s="55" t="n">
        <v>38</v>
      </c>
      <c r="I1403" s="55" t="n">
        <v>38</v>
      </c>
      <c r="J1403" s="52" t="s">
        <v>5816</v>
      </c>
      <c r="K1403" s="56" t="n">
        <v>1</v>
      </c>
      <c r="L1403" s="52" t="s">
        <v>5816</v>
      </c>
      <c r="M1403" s="52" t="s">
        <v>230</v>
      </c>
    </row>
    <row r="1404" customFormat="false" ht="17.25" hidden="false" customHeight="true" outlineLevel="0" collapsed="false">
      <c r="A1404" s="52" t="s">
        <v>5777</v>
      </c>
      <c r="B1404" s="52" t="s">
        <v>5813</v>
      </c>
      <c r="C1404" s="53" t="n">
        <v>53865</v>
      </c>
      <c r="D1404" s="52" t="s">
        <v>3095</v>
      </c>
      <c r="E1404" s="52" t="s">
        <v>3096</v>
      </c>
      <c r="F1404" s="54" t="n">
        <v>8</v>
      </c>
      <c r="G1404" s="55" t="n">
        <v>455.2</v>
      </c>
      <c r="H1404" s="55" t="n">
        <v>56.9</v>
      </c>
      <c r="I1404" s="55" t="n">
        <v>56.9</v>
      </c>
      <c r="J1404" s="52" t="s">
        <v>5816</v>
      </c>
      <c r="K1404" s="56" t="n">
        <v>1</v>
      </c>
      <c r="L1404" s="52" t="s">
        <v>5816</v>
      </c>
      <c r="M1404" s="52" t="s">
        <v>35</v>
      </c>
    </row>
    <row r="1405" customFormat="false" ht="17.25" hidden="false" customHeight="true" outlineLevel="0" collapsed="false">
      <c r="A1405" s="52" t="s">
        <v>5777</v>
      </c>
      <c r="B1405" s="52" t="s">
        <v>5813</v>
      </c>
      <c r="C1405" s="53" t="n">
        <v>551136</v>
      </c>
      <c r="D1405" s="52" t="s">
        <v>3097</v>
      </c>
      <c r="E1405" s="52" t="s">
        <v>3098</v>
      </c>
      <c r="F1405" s="54" t="n">
        <v>28</v>
      </c>
      <c r="G1405" s="55" t="n">
        <v>454</v>
      </c>
      <c r="H1405" s="55" t="n">
        <v>16.2143</v>
      </c>
      <c r="I1405" s="55" t="n">
        <v>14.1</v>
      </c>
      <c r="J1405" s="52" t="s">
        <v>5816</v>
      </c>
      <c r="K1405" s="56" t="n">
        <v>1</v>
      </c>
      <c r="L1405" s="52" t="s">
        <v>5816</v>
      </c>
      <c r="M1405" s="52" t="s">
        <v>247</v>
      </c>
    </row>
    <row r="1406" customFormat="false" ht="17.25" hidden="false" customHeight="true" outlineLevel="0" collapsed="false">
      <c r="A1406" s="52" t="s">
        <v>5777</v>
      </c>
      <c r="B1406" s="52" t="s">
        <v>5813</v>
      </c>
      <c r="C1406" s="53" t="n">
        <v>21778</v>
      </c>
      <c r="D1406" s="52" t="s">
        <v>3099</v>
      </c>
      <c r="E1406" s="52" t="s">
        <v>3100</v>
      </c>
      <c r="F1406" s="54" t="n">
        <v>48</v>
      </c>
      <c r="G1406" s="55" t="n">
        <v>452.3487</v>
      </c>
      <c r="H1406" s="55" t="n">
        <v>9.4239</v>
      </c>
      <c r="I1406" s="55" t="n">
        <v>9.45</v>
      </c>
      <c r="J1406" s="52" t="s">
        <v>5816</v>
      </c>
      <c r="K1406" s="56" t="n">
        <v>1</v>
      </c>
      <c r="L1406" s="52" t="s">
        <v>5816</v>
      </c>
      <c r="M1406" s="52" t="s">
        <v>605</v>
      </c>
    </row>
    <row r="1407" customFormat="false" ht="17.25" hidden="false" customHeight="true" outlineLevel="0" collapsed="false">
      <c r="A1407" s="52" t="s">
        <v>5777</v>
      </c>
      <c r="B1407" s="52" t="s">
        <v>5813</v>
      </c>
      <c r="C1407" s="53" t="n">
        <v>19822</v>
      </c>
      <c r="D1407" s="52" t="s">
        <v>3101</v>
      </c>
      <c r="E1407" s="52" t="s">
        <v>3102</v>
      </c>
      <c r="F1407" s="54" t="n">
        <v>45</v>
      </c>
      <c r="G1407" s="55" t="n">
        <v>450</v>
      </c>
      <c r="H1407" s="55" t="n">
        <v>10</v>
      </c>
      <c r="I1407" s="55" t="n">
        <v>10</v>
      </c>
      <c r="J1407" s="52" t="s">
        <v>5816</v>
      </c>
      <c r="K1407" s="56" t="n">
        <v>1</v>
      </c>
      <c r="L1407" s="52" t="s">
        <v>5816</v>
      </c>
      <c r="M1407" s="52" t="s">
        <v>605</v>
      </c>
    </row>
    <row r="1408" customFormat="false" ht="17.25" hidden="false" customHeight="true" outlineLevel="0" collapsed="false">
      <c r="A1408" s="52" t="s">
        <v>5777</v>
      </c>
      <c r="B1408" s="52" t="s">
        <v>5813</v>
      </c>
      <c r="C1408" s="53" t="n">
        <v>23891</v>
      </c>
      <c r="D1408" s="52" t="s">
        <v>3103</v>
      </c>
      <c r="E1408" s="52" t="s">
        <v>3104</v>
      </c>
      <c r="F1408" s="54" t="n">
        <v>1</v>
      </c>
      <c r="G1408" s="55" t="n">
        <v>449</v>
      </c>
      <c r="H1408" s="55" t="n">
        <v>449</v>
      </c>
      <c r="I1408" s="55" t="n">
        <v>449</v>
      </c>
      <c r="J1408" s="52" t="s">
        <v>5816</v>
      </c>
      <c r="K1408" s="56" t="n">
        <v>1</v>
      </c>
      <c r="L1408" s="52" t="s">
        <v>5816</v>
      </c>
      <c r="M1408" s="52" t="s">
        <v>130</v>
      </c>
    </row>
    <row r="1409" customFormat="false" ht="17.25" hidden="false" customHeight="true" outlineLevel="0" collapsed="false">
      <c r="A1409" s="52" t="s">
        <v>5777</v>
      </c>
      <c r="B1409" s="52" t="s">
        <v>5813</v>
      </c>
      <c r="C1409" s="53" t="n">
        <v>19862</v>
      </c>
      <c r="D1409" s="52" t="s">
        <v>3105</v>
      </c>
      <c r="E1409" s="52" t="s">
        <v>3106</v>
      </c>
      <c r="F1409" s="54" t="n">
        <v>8</v>
      </c>
      <c r="G1409" s="55" t="n">
        <v>448.2292</v>
      </c>
      <c r="H1409" s="55" t="n">
        <v>56.0288</v>
      </c>
      <c r="I1409" s="55" t="n">
        <v>53.29</v>
      </c>
      <c r="J1409" s="52" t="s">
        <v>5816</v>
      </c>
      <c r="K1409" s="56" t="n">
        <v>1</v>
      </c>
      <c r="L1409" s="52" t="s">
        <v>5816</v>
      </c>
      <c r="M1409" s="52" t="s">
        <v>457</v>
      </c>
    </row>
    <row r="1410" customFormat="false" ht="17.25" hidden="false" customHeight="true" outlineLevel="0" collapsed="false">
      <c r="A1410" s="52" t="s">
        <v>5777</v>
      </c>
      <c r="B1410" s="52" t="s">
        <v>5813</v>
      </c>
      <c r="C1410" s="53" t="n">
        <v>1330544</v>
      </c>
      <c r="D1410" s="52" t="s">
        <v>3107</v>
      </c>
      <c r="E1410" s="52" t="s">
        <v>3108</v>
      </c>
      <c r="F1410" s="54" t="n">
        <v>1</v>
      </c>
      <c r="G1410" s="55" t="n">
        <v>448</v>
      </c>
      <c r="H1410" s="55" t="n">
        <v>448</v>
      </c>
      <c r="I1410" s="55" t="n">
        <v>448</v>
      </c>
      <c r="J1410" s="52" t="s">
        <v>5816</v>
      </c>
      <c r="K1410" s="56" t="n">
        <v>1</v>
      </c>
      <c r="L1410" s="52" t="s">
        <v>5816</v>
      </c>
      <c r="M1410" s="52" t="s">
        <v>130</v>
      </c>
    </row>
    <row r="1411" customFormat="false" ht="17.25" hidden="false" customHeight="true" outlineLevel="0" collapsed="false">
      <c r="A1411" s="52" t="s">
        <v>5777</v>
      </c>
      <c r="B1411" s="52" t="s">
        <v>5813</v>
      </c>
      <c r="C1411" s="53" t="n">
        <v>1385082</v>
      </c>
      <c r="D1411" s="52" t="s">
        <v>3109</v>
      </c>
      <c r="E1411" s="52" t="s">
        <v>3110</v>
      </c>
      <c r="F1411" s="54" t="n">
        <v>75</v>
      </c>
      <c r="G1411" s="55" t="n">
        <v>447</v>
      </c>
      <c r="H1411" s="55" t="n">
        <v>5.96</v>
      </c>
      <c r="I1411" s="55" t="n">
        <v>4.28</v>
      </c>
      <c r="J1411" s="52" t="s">
        <v>5814</v>
      </c>
      <c r="K1411" s="56" t="n">
        <v>1</v>
      </c>
      <c r="L1411" s="52" t="s">
        <v>5814</v>
      </c>
      <c r="M1411" s="52" t="s">
        <v>38</v>
      </c>
    </row>
    <row r="1412" customFormat="false" ht="17.25" hidden="false" customHeight="true" outlineLevel="0" collapsed="false">
      <c r="A1412" s="52" t="s">
        <v>5777</v>
      </c>
      <c r="B1412" s="52" t="s">
        <v>5813</v>
      </c>
      <c r="C1412" s="53" t="n">
        <v>18451</v>
      </c>
      <c r="D1412" s="52" t="s">
        <v>3111</v>
      </c>
      <c r="E1412" s="52" t="s">
        <v>3112</v>
      </c>
      <c r="F1412" s="54" t="n">
        <v>30</v>
      </c>
      <c r="G1412" s="55" t="n">
        <v>445.68</v>
      </c>
      <c r="H1412" s="55" t="n">
        <v>14.856</v>
      </c>
      <c r="I1412" s="55" t="n">
        <v>14</v>
      </c>
      <c r="J1412" s="52" t="s">
        <v>5816</v>
      </c>
      <c r="K1412" s="56" t="n">
        <v>1</v>
      </c>
      <c r="L1412" s="52" t="s">
        <v>5816</v>
      </c>
      <c r="M1412" s="52" t="s">
        <v>1618</v>
      </c>
    </row>
    <row r="1413" customFormat="false" ht="17.25" hidden="false" customHeight="true" outlineLevel="0" collapsed="false">
      <c r="A1413" s="52" t="s">
        <v>5777</v>
      </c>
      <c r="B1413" s="52" t="s">
        <v>5813</v>
      </c>
      <c r="C1413" s="53" t="n">
        <v>1382718</v>
      </c>
      <c r="D1413" s="52" t="s">
        <v>3113</v>
      </c>
      <c r="E1413" s="52" t="s">
        <v>3114</v>
      </c>
      <c r="F1413" s="54" t="n">
        <v>42</v>
      </c>
      <c r="G1413" s="55" t="n">
        <v>444.72</v>
      </c>
      <c r="H1413" s="55" t="n">
        <v>10.5886</v>
      </c>
      <c r="I1413" s="55" t="n">
        <v>10.5886</v>
      </c>
      <c r="J1413" s="52" t="s">
        <v>5816</v>
      </c>
      <c r="K1413" s="56" t="n">
        <v>1</v>
      </c>
      <c r="L1413" s="52" t="s">
        <v>5816</v>
      </c>
      <c r="M1413" s="52" t="s">
        <v>100</v>
      </c>
    </row>
    <row r="1414" customFormat="false" ht="17.25" hidden="false" customHeight="true" outlineLevel="0" collapsed="false">
      <c r="A1414" s="52" t="s">
        <v>5777</v>
      </c>
      <c r="B1414" s="52" t="s">
        <v>5813</v>
      </c>
      <c r="C1414" s="53" t="n">
        <v>21481</v>
      </c>
      <c r="D1414" s="52" t="s">
        <v>3115</v>
      </c>
      <c r="E1414" s="52" t="s">
        <v>3116</v>
      </c>
      <c r="F1414" s="54" t="n">
        <v>3</v>
      </c>
      <c r="G1414" s="55" t="n">
        <v>444</v>
      </c>
      <c r="H1414" s="55" t="n">
        <v>148</v>
      </c>
      <c r="I1414" s="55" t="n">
        <v>148</v>
      </c>
      <c r="J1414" s="52" t="s">
        <v>5816</v>
      </c>
      <c r="K1414" s="56" t="n">
        <v>1</v>
      </c>
      <c r="L1414" s="52" t="s">
        <v>5816</v>
      </c>
      <c r="M1414" s="52" t="s">
        <v>189</v>
      </c>
    </row>
    <row r="1415" customFormat="false" ht="17.25" hidden="false" customHeight="true" outlineLevel="0" collapsed="false">
      <c r="A1415" s="52" t="s">
        <v>5777</v>
      </c>
      <c r="B1415" s="52" t="s">
        <v>5813</v>
      </c>
      <c r="C1415" s="53" t="n">
        <v>53853</v>
      </c>
      <c r="D1415" s="52" t="s">
        <v>3117</v>
      </c>
      <c r="E1415" s="52" t="s">
        <v>3118</v>
      </c>
      <c r="F1415" s="54" t="n">
        <v>3</v>
      </c>
      <c r="G1415" s="55" t="n">
        <v>444</v>
      </c>
      <c r="H1415" s="55" t="n">
        <v>148</v>
      </c>
      <c r="I1415" s="55" t="n">
        <v>148</v>
      </c>
      <c r="J1415" s="52" t="s">
        <v>5816</v>
      </c>
      <c r="K1415" s="56" t="n">
        <v>1</v>
      </c>
      <c r="L1415" s="52" t="s">
        <v>5816</v>
      </c>
      <c r="M1415" s="52" t="s">
        <v>1354</v>
      </c>
    </row>
    <row r="1416" customFormat="false" ht="17.25" hidden="false" customHeight="true" outlineLevel="0" collapsed="false">
      <c r="A1416" s="52" t="s">
        <v>5777</v>
      </c>
      <c r="B1416" s="52" t="s">
        <v>5813</v>
      </c>
      <c r="C1416" s="53" t="n">
        <v>939450</v>
      </c>
      <c r="D1416" s="52" t="s">
        <v>3119</v>
      </c>
      <c r="E1416" s="52" t="s">
        <v>3120</v>
      </c>
      <c r="F1416" s="54" t="n">
        <v>2</v>
      </c>
      <c r="G1416" s="55" t="n">
        <v>444</v>
      </c>
      <c r="H1416" s="55" t="n">
        <v>222</v>
      </c>
      <c r="I1416" s="55" t="n">
        <v>222</v>
      </c>
      <c r="J1416" s="52" t="s">
        <v>5816</v>
      </c>
      <c r="K1416" s="56" t="n">
        <v>1</v>
      </c>
      <c r="L1416" s="52" t="s">
        <v>5816</v>
      </c>
      <c r="M1416" s="52" t="s">
        <v>360</v>
      </c>
    </row>
    <row r="1417" customFormat="false" ht="17.25" hidden="false" customHeight="true" outlineLevel="0" collapsed="false">
      <c r="A1417" s="52" t="s">
        <v>5777</v>
      </c>
      <c r="B1417" s="52" t="s">
        <v>5813</v>
      </c>
      <c r="C1417" s="53" t="n">
        <v>889036</v>
      </c>
      <c r="D1417" s="52" t="s">
        <v>3121</v>
      </c>
      <c r="E1417" s="52" t="s">
        <v>3122</v>
      </c>
      <c r="F1417" s="54" t="n">
        <v>21</v>
      </c>
      <c r="G1417" s="55" t="n">
        <v>441</v>
      </c>
      <c r="H1417" s="55" t="n">
        <v>21</v>
      </c>
      <c r="I1417" s="55" t="n">
        <v>21</v>
      </c>
      <c r="J1417" s="52" t="s">
        <v>5816</v>
      </c>
      <c r="K1417" s="56" t="n">
        <v>1</v>
      </c>
      <c r="L1417" s="52" t="s">
        <v>5816</v>
      </c>
      <c r="M1417" s="52" t="s">
        <v>38</v>
      </c>
    </row>
    <row r="1418" customFormat="false" ht="17.25" hidden="false" customHeight="true" outlineLevel="0" collapsed="false">
      <c r="A1418" s="52" t="s">
        <v>5777</v>
      </c>
      <c r="B1418" s="52" t="s">
        <v>5813</v>
      </c>
      <c r="C1418" s="53" t="n">
        <v>35098</v>
      </c>
      <c r="D1418" s="52" t="s">
        <v>3123</v>
      </c>
      <c r="E1418" s="52" t="s">
        <v>3124</v>
      </c>
      <c r="F1418" s="54" t="n">
        <v>50</v>
      </c>
      <c r="G1418" s="55" t="n">
        <v>440</v>
      </c>
      <c r="H1418" s="55" t="n">
        <v>8.8</v>
      </c>
      <c r="I1418" s="55" t="n">
        <v>8.8</v>
      </c>
      <c r="J1418" s="52" t="s">
        <v>5816</v>
      </c>
      <c r="K1418" s="56" t="n">
        <v>1</v>
      </c>
      <c r="L1418" s="52" t="s">
        <v>5816</v>
      </c>
      <c r="M1418" s="52" t="s">
        <v>457</v>
      </c>
    </row>
    <row r="1419" customFormat="false" ht="17.25" hidden="false" customHeight="true" outlineLevel="0" collapsed="false">
      <c r="A1419" s="52" t="s">
        <v>5777</v>
      </c>
      <c r="B1419" s="52" t="s">
        <v>5813</v>
      </c>
      <c r="C1419" s="53" t="n">
        <v>66333</v>
      </c>
      <c r="D1419" s="52" t="s">
        <v>3125</v>
      </c>
      <c r="E1419" s="52" t="s">
        <v>3126</v>
      </c>
      <c r="F1419" s="54" t="n">
        <v>5</v>
      </c>
      <c r="G1419" s="55" t="n">
        <v>440</v>
      </c>
      <c r="H1419" s="55" t="n">
        <v>88</v>
      </c>
      <c r="I1419" s="55" t="n">
        <v>88</v>
      </c>
      <c r="J1419" s="52" t="s">
        <v>5816</v>
      </c>
      <c r="K1419" s="56" t="n">
        <v>1</v>
      </c>
      <c r="L1419" s="52" t="s">
        <v>5816</v>
      </c>
      <c r="M1419" s="52" t="s">
        <v>1618</v>
      </c>
    </row>
    <row r="1420" customFormat="false" ht="17.25" hidden="false" customHeight="true" outlineLevel="0" collapsed="false">
      <c r="A1420" s="52" t="s">
        <v>5777</v>
      </c>
      <c r="B1420" s="52" t="s">
        <v>5813</v>
      </c>
      <c r="C1420" s="53" t="n">
        <v>426794</v>
      </c>
      <c r="D1420" s="52" t="s">
        <v>3127</v>
      </c>
      <c r="E1420" s="52" t="s">
        <v>3128</v>
      </c>
      <c r="F1420" s="54" t="n">
        <v>20</v>
      </c>
      <c r="G1420" s="55" t="n">
        <v>440</v>
      </c>
      <c r="H1420" s="55" t="n">
        <v>22</v>
      </c>
      <c r="I1420" s="55" t="n">
        <v>22</v>
      </c>
      <c r="J1420" s="52" t="s">
        <v>5816</v>
      </c>
      <c r="K1420" s="56" t="n">
        <v>1</v>
      </c>
      <c r="L1420" s="52" t="s">
        <v>5816</v>
      </c>
      <c r="M1420" s="52" t="s">
        <v>38</v>
      </c>
    </row>
    <row r="1421" customFormat="false" ht="17.25" hidden="false" customHeight="true" outlineLevel="0" collapsed="false">
      <c r="A1421" s="52" t="s">
        <v>5777</v>
      </c>
      <c r="B1421" s="52" t="s">
        <v>5813</v>
      </c>
      <c r="C1421" s="53" t="n">
        <v>858712</v>
      </c>
      <c r="D1421" s="52" t="s">
        <v>3129</v>
      </c>
      <c r="E1421" s="52" t="s">
        <v>3130</v>
      </c>
      <c r="F1421" s="54" t="n">
        <v>2000</v>
      </c>
      <c r="G1421" s="55" t="n">
        <v>440</v>
      </c>
      <c r="H1421" s="55" t="n">
        <v>0.22</v>
      </c>
      <c r="I1421" s="55" t="n">
        <v>0.22</v>
      </c>
      <c r="J1421" s="52" t="s">
        <v>5816</v>
      </c>
      <c r="K1421" s="56" t="n">
        <v>1</v>
      </c>
      <c r="L1421" s="52" t="s">
        <v>5816</v>
      </c>
      <c r="M1421" s="52" t="s">
        <v>100</v>
      </c>
    </row>
    <row r="1422" customFormat="false" ht="17.25" hidden="false" customHeight="true" outlineLevel="0" collapsed="false">
      <c r="A1422" s="52" t="s">
        <v>5777</v>
      </c>
      <c r="B1422" s="52" t="s">
        <v>5813</v>
      </c>
      <c r="C1422" s="53" t="n">
        <v>1105400</v>
      </c>
      <c r="D1422" s="52" t="s">
        <v>3131</v>
      </c>
      <c r="E1422" s="52" t="s">
        <v>3132</v>
      </c>
      <c r="F1422" s="54" t="n">
        <v>2</v>
      </c>
      <c r="G1422" s="55" t="n">
        <v>440</v>
      </c>
      <c r="H1422" s="55" t="n">
        <v>220</v>
      </c>
      <c r="I1422" s="55" t="n">
        <v>220</v>
      </c>
      <c r="J1422" s="52" t="s">
        <v>5816</v>
      </c>
      <c r="K1422" s="56" t="n">
        <v>1</v>
      </c>
      <c r="L1422" s="52" t="s">
        <v>5816</v>
      </c>
      <c r="M1422" s="52" t="s">
        <v>2056</v>
      </c>
    </row>
    <row r="1423" customFormat="false" ht="17.25" hidden="false" customHeight="true" outlineLevel="0" collapsed="false">
      <c r="A1423" s="52" t="s">
        <v>5777</v>
      </c>
      <c r="B1423" s="52" t="s">
        <v>5813</v>
      </c>
      <c r="C1423" s="53" t="n">
        <v>1685480</v>
      </c>
      <c r="D1423" s="52" t="s">
        <v>3133</v>
      </c>
      <c r="E1423" s="52" t="s">
        <v>3134</v>
      </c>
      <c r="F1423" s="54" t="n">
        <v>2</v>
      </c>
      <c r="G1423" s="55" t="n">
        <v>439.8</v>
      </c>
      <c r="H1423" s="55" t="n">
        <v>219.9</v>
      </c>
      <c r="I1423" s="55" t="n">
        <v>219.9</v>
      </c>
      <c r="J1423" s="52" t="s">
        <v>5816</v>
      </c>
      <c r="K1423" s="56" t="n">
        <v>1</v>
      </c>
      <c r="L1423" s="52" t="s">
        <v>5816</v>
      </c>
      <c r="M1423" s="52" t="s">
        <v>54</v>
      </c>
    </row>
    <row r="1424" customFormat="false" ht="17.25" hidden="false" customHeight="true" outlineLevel="0" collapsed="false">
      <c r="A1424" s="52" t="s">
        <v>5777</v>
      </c>
      <c r="B1424" s="52" t="s">
        <v>5813</v>
      </c>
      <c r="C1424" s="53" t="n">
        <v>222861</v>
      </c>
      <c r="D1424" s="52" t="s">
        <v>3135</v>
      </c>
      <c r="E1424" s="52" t="s">
        <v>3136</v>
      </c>
      <c r="F1424" s="54" t="n">
        <v>10</v>
      </c>
      <c r="G1424" s="55" t="n">
        <v>439.44</v>
      </c>
      <c r="H1424" s="55" t="n">
        <v>43.944</v>
      </c>
      <c r="I1424" s="55" t="n">
        <v>65</v>
      </c>
      <c r="J1424" s="52" t="s">
        <v>5816</v>
      </c>
      <c r="K1424" s="56" t="n">
        <v>1</v>
      </c>
      <c r="L1424" s="52" t="s">
        <v>5816</v>
      </c>
      <c r="M1424" s="52" t="s">
        <v>38</v>
      </c>
    </row>
    <row r="1425" customFormat="false" ht="17.25" hidden="false" customHeight="true" outlineLevel="0" collapsed="false">
      <c r="A1425" s="52" t="s">
        <v>5777</v>
      </c>
      <c r="B1425" s="52" t="s">
        <v>5813</v>
      </c>
      <c r="C1425" s="53" t="n">
        <v>19359</v>
      </c>
      <c r="D1425" s="52" t="s">
        <v>3137</v>
      </c>
      <c r="E1425" s="52" t="s">
        <v>3138</v>
      </c>
      <c r="F1425" s="54" t="n">
        <v>50</v>
      </c>
      <c r="G1425" s="55" t="n">
        <v>438.6151</v>
      </c>
      <c r="H1425" s="55" t="n">
        <v>8.7723</v>
      </c>
      <c r="I1425" s="55" t="n">
        <v>4.85</v>
      </c>
      <c r="J1425" s="52" t="s">
        <v>5816</v>
      </c>
      <c r="K1425" s="56" t="n">
        <v>1</v>
      </c>
      <c r="L1425" s="52" t="s">
        <v>5816</v>
      </c>
      <c r="M1425" s="52" t="s">
        <v>1095</v>
      </c>
    </row>
    <row r="1426" customFormat="false" ht="17.25" hidden="false" customHeight="true" outlineLevel="0" collapsed="false">
      <c r="A1426" s="52" t="s">
        <v>5777</v>
      </c>
      <c r="B1426" s="52" t="s">
        <v>5813</v>
      </c>
      <c r="C1426" s="53" t="n">
        <v>231002</v>
      </c>
      <c r="D1426" s="52" t="s">
        <v>3139</v>
      </c>
      <c r="E1426" s="52" t="s">
        <v>3140</v>
      </c>
      <c r="F1426" s="54" t="n">
        <v>20</v>
      </c>
      <c r="G1426" s="55" t="n">
        <v>438.35</v>
      </c>
      <c r="H1426" s="55" t="n">
        <v>21.9175</v>
      </c>
      <c r="I1426" s="55" t="n">
        <v>21.9175</v>
      </c>
      <c r="J1426" s="52" t="s">
        <v>5816</v>
      </c>
      <c r="K1426" s="56" t="n">
        <v>1</v>
      </c>
      <c r="L1426" s="52" t="s">
        <v>5816</v>
      </c>
      <c r="M1426" s="52" t="s">
        <v>247</v>
      </c>
    </row>
    <row r="1427" customFormat="false" ht="17.25" hidden="false" customHeight="true" outlineLevel="0" collapsed="false">
      <c r="A1427" s="52" t="s">
        <v>5777</v>
      </c>
      <c r="B1427" s="52" t="s">
        <v>5813</v>
      </c>
      <c r="C1427" s="53" t="n">
        <v>32113</v>
      </c>
      <c r="D1427" s="52" t="s">
        <v>3141</v>
      </c>
      <c r="E1427" s="52" t="s">
        <v>3142</v>
      </c>
      <c r="F1427" s="54" t="n">
        <v>1</v>
      </c>
      <c r="G1427" s="55" t="n">
        <v>436.87</v>
      </c>
      <c r="H1427" s="55" t="n">
        <v>436.87</v>
      </c>
      <c r="I1427" s="55" t="n">
        <v>436.87</v>
      </c>
      <c r="J1427" s="52" t="s">
        <v>5837</v>
      </c>
      <c r="K1427" s="56" t="n">
        <v>14.7</v>
      </c>
      <c r="L1427" s="52" t="s">
        <v>5815</v>
      </c>
      <c r="M1427" s="52" t="s">
        <v>133</v>
      </c>
    </row>
    <row r="1428" customFormat="false" ht="17.25" hidden="false" customHeight="true" outlineLevel="0" collapsed="false">
      <c r="A1428" s="52" t="s">
        <v>5777</v>
      </c>
      <c r="B1428" s="52" t="s">
        <v>5813</v>
      </c>
      <c r="C1428" s="53" t="n">
        <v>478197</v>
      </c>
      <c r="D1428" s="52" t="s">
        <v>3143</v>
      </c>
      <c r="E1428" s="52" t="s">
        <v>3144</v>
      </c>
      <c r="F1428" s="54" t="n">
        <v>16</v>
      </c>
      <c r="G1428" s="55" t="n">
        <v>436.46</v>
      </c>
      <c r="H1428" s="55" t="n">
        <v>27.2788</v>
      </c>
      <c r="I1428" s="55" t="n">
        <v>65</v>
      </c>
      <c r="J1428" s="52" t="s">
        <v>5816</v>
      </c>
      <c r="K1428" s="56" t="n">
        <v>1</v>
      </c>
      <c r="L1428" s="52" t="s">
        <v>5816</v>
      </c>
      <c r="M1428" s="52" t="s">
        <v>38</v>
      </c>
    </row>
    <row r="1429" customFormat="false" ht="17.25" hidden="false" customHeight="true" outlineLevel="0" collapsed="false">
      <c r="A1429" s="52" t="s">
        <v>5777</v>
      </c>
      <c r="B1429" s="52" t="s">
        <v>5813</v>
      </c>
      <c r="C1429" s="53" t="n">
        <v>227995</v>
      </c>
      <c r="D1429" s="52" t="s">
        <v>3145</v>
      </c>
      <c r="E1429" s="52" t="s">
        <v>3146</v>
      </c>
      <c r="F1429" s="54" t="n">
        <v>15</v>
      </c>
      <c r="G1429" s="55" t="n">
        <v>435</v>
      </c>
      <c r="H1429" s="55" t="n">
        <v>29</v>
      </c>
      <c r="I1429" s="55" t="n">
        <v>29</v>
      </c>
      <c r="J1429" s="52" t="s">
        <v>5816</v>
      </c>
      <c r="K1429" s="56" t="n">
        <v>1</v>
      </c>
      <c r="L1429" s="52" t="s">
        <v>5816</v>
      </c>
      <c r="M1429" s="52" t="s">
        <v>360</v>
      </c>
    </row>
    <row r="1430" customFormat="false" ht="17.25" hidden="false" customHeight="true" outlineLevel="0" collapsed="false">
      <c r="A1430" s="52" t="s">
        <v>5777</v>
      </c>
      <c r="B1430" s="52" t="s">
        <v>5813</v>
      </c>
      <c r="C1430" s="53" t="n">
        <v>1312867</v>
      </c>
      <c r="D1430" s="52" t="s">
        <v>3147</v>
      </c>
      <c r="E1430" s="52" t="s">
        <v>3148</v>
      </c>
      <c r="F1430" s="54" t="n">
        <v>3</v>
      </c>
      <c r="G1430" s="55" t="n">
        <v>435</v>
      </c>
      <c r="H1430" s="55" t="n">
        <v>145</v>
      </c>
      <c r="I1430" s="55" t="n">
        <v>145</v>
      </c>
      <c r="J1430" s="52" t="s">
        <v>5816</v>
      </c>
      <c r="K1430" s="56" t="n">
        <v>1</v>
      </c>
      <c r="L1430" s="52" t="s">
        <v>5816</v>
      </c>
      <c r="M1430" s="52" t="s">
        <v>130</v>
      </c>
    </row>
    <row r="1431" customFormat="false" ht="17.25" hidden="false" customHeight="true" outlineLevel="0" collapsed="false">
      <c r="A1431" s="52" t="s">
        <v>5777</v>
      </c>
      <c r="B1431" s="52" t="s">
        <v>5813</v>
      </c>
      <c r="C1431" s="53" t="n">
        <v>138658</v>
      </c>
      <c r="D1431" s="52" t="s">
        <v>3149</v>
      </c>
      <c r="E1431" s="52" t="s">
        <v>5926</v>
      </c>
      <c r="F1431" s="54" t="n">
        <v>675</v>
      </c>
      <c r="G1431" s="55" t="n">
        <v>433.8</v>
      </c>
      <c r="H1431" s="55" t="n">
        <v>0.6427</v>
      </c>
      <c r="I1431" s="55" t="n">
        <v>0.64</v>
      </c>
      <c r="J1431" s="52" t="s">
        <v>5816</v>
      </c>
      <c r="K1431" s="56" t="n">
        <v>1</v>
      </c>
      <c r="L1431" s="52" t="s">
        <v>5816</v>
      </c>
      <c r="M1431" s="52" t="s">
        <v>100</v>
      </c>
    </row>
    <row r="1432" customFormat="false" ht="17.25" hidden="false" customHeight="true" outlineLevel="0" collapsed="false">
      <c r="A1432" s="52" t="s">
        <v>5777</v>
      </c>
      <c r="B1432" s="52" t="s">
        <v>5813</v>
      </c>
      <c r="C1432" s="53" t="n">
        <v>12543</v>
      </c>
      <c r="D1432" s="52" t="s">
        <v>3151</v>
      </c>
      <c r="E1432" s="52" t="s">
        <v>3152</v>
      </c>
      <c r="F1432" s="54" t="n">
        <v>100</v>
      </c>
      <c r="G1432" s="55" t="n">
        <v>433</v>
      </c>
      <c r="H1432" s="55" t="n">
        <v>4.33</v>
      </c>
      <c r="I1432" s="55" t="n">
        <v>4.33</v>
      </c>
      <c r="J1432" s="52" t="s">
        <v>5814</v>
      </c>
      <c r="K1432" s="56" t="n">
        <v>1</v>
      </c>
      <c r="L1432" s="52" t="s">
        <v>5814</v>
      </c>
      <c r="M1432" s="52" t="s">
        <v>38</v>
      </c>
    </row>
    <row r="1433" customFormat="false" ht="17.25" hidden="false" customHeight="true" outlineLevel="0" collapsed="false">
      <c r="A1433" s="52" t="s">
        <v>5777</v>
      </c>
      <c r="B1433" s="52" t="s">
        <v>5813</v>
      </c>
      <c r="C1433" s="53" t="n">
        <v>562056</v>
      </c>
      <c r="D1433" s="52" t="s">
        <v>2629</v>
      </c>
      <c r="E1433" s="52" t="s">
        <v>2630</v>
      </c>
      <c r="F1433" s="54" t="n">
        <v>36</v>
      </c>
      <c r="G1433" s="55" t="n">
        <v>432</v>
      </c>
      <c r="H1433" s="55" t="n">
        <v>12</v>
      </c>
      <c r="I1433" s="55" t="n">
        <v>12</v>
      </c>
      <c r="J1433" s="52" t="s">
        <v>5816</v>
      </c>
      <c r="K1433" s="56" t="n">
        <v>1</v>
      </c>
      <c r="L1433" s="52" t="s">
        <v>5816</v>
      </c>
      <c r="M1433" s="52" t="s">
        <v>637</v>
      </c>
    </row>
    <row r="1434" customFormat="false" ht="17.25" hidden="false" customHeight="true" outlineLevel="0" collapsed="false">
      <c r="A1434" s="52" t="s">
        <v>5777</v>
      </c>
      <c r="B1434" s="52" t="s">
        <v>5813</v>
      </c>
      <c r="C1434" s="53" t="n">
        <v>929934</v>
      </c>
      <c r="D1434" s="52" t="s">
        <v>3153</v>
      </c>
      <c r="E1434" s="52" t="s">
        <v>3154</v>
      </c>
      <c r="F1434" s="54" t="n">
        <v>27</v>
      </c>
      <c r="G1434" s="55" t="n">
        <v>432</v>
      </c>
      <c r="H1434" s="55" t="n">
        <v>16</v>
      </c>
      <c r="I1434" s="55" t="n">
        <v>16</v>
      </c>
      <c r="J1434" s="52" t="s">
        <v>5816</v>
      </c>
      <c r="K1434" s="56" t="n">
        <v>1</v>
      </c>
      <c r="L1434" s="52" t="s">
        <v>5816</v>
      </c>
      <c r="M1434" s="52" t="s">
        <v>217</v>
      </c>
    </row>
    <row r="1435" customFormat="false" ht="17.25" hidden="false" customHeight="true" outlineLevel="0" collapsed="false">
      <c r="A1435" s="52" t="s">
        <v>5777</v>
      </c>
      <c r="B1435" s="52" t="s">
        <v>5813</v>
      </c>
      <c r="C1435" s="53" t="n">
        <v>55065</v>
      </c>
      <c r="D1435" s="52" t="s">
        <v>3155</v>
      </c>
      <c r="E1435" s="52" t="s">
        <v>3156</v>
      </c>
      <c r="F1435" s="54" t="n">
        <v>5</v>
      </c>
      <c r="G1435" s="55" t="n">
        <v>429.32</v>
      </c>
      <c r="H1435" s="55" t="n">
        <v>85.864</v>
      </c>
      <c r="I1435" s="55" t="n">
        <v>228</v>
      </c>
      <c r="J1435" s="52" t="s">
        <v>5816</v>
      </c>
      <c r="K1435" s="56" t="n">
        <v>1</v>
      </c>
      <c r="L1435" s="52" t="s">
        <v>5816</v>
      </c>
      <c r="M1435" s="52" t="s">
        <v>38</v>
      </c>
    </row>
    <row r="1436" customFormat="false" ht="17.25" hidden="false" customHeight="true" outlineLevel="0" collapsed="false">
      <c r="A1436" s="52" t="s">
        <v>5777</v>
      </c>
      <c r="B1436" s="52" t="s">
        <v>5813</v>
      </c>
      <c r="C1436" s="53" t="n">
        <v>18843</v>
      </c>
      <c r="D1436" s="52" t="s">
        <v>3157</v>
      </c>
      <c r="E1436" s="52" t="s">
        <v>3158</v>
      </c>
      <c r="F1436" s="54" t="n">
        <v>44</v>
      </c>
      <c r="G1436" s="55" t="n">
        <v>429.31</v>
      </c>
      <c r="H1436" s="55" t="n">
        <v>9.757</v>
      </c>
      <c r="I1436" s="55" t="n">
        <v>11.767</v>
      </c>
      <c r="J1436" s="52" t="s">
        <v>5816</v>
      </c>
      <c r="K1436" s="56" t="n">
        <v>1</v>
      </c>
      <c r="L1436" s="52" t="s">
        <v>5816</v>
      </c>
      <c r="M1436" s="52" t="s">
        <v>247</v>
      </c>
    </row>
    <row r="1437" customFormat="false" ht="17.25" hidden="false" customHeight="true" outlineLevel="0" collapsed="false">
      <c r="A1437" s="52" t="s">
        <v>5777</v>
      </c>
      <c r="B1437" s="52" t="s">
        <v>5813</v>
      </c>
      <c r="C1437" s="53" t="n">
        <v>1656588</v>
      </c>
      <c r="D1437" s="52" t="s">
        <v>3159</v>
      </c>
      <c r="E1437" s="52" t="s">
        <v>3160</v>
      </c>
      <c r="F1437" s="54" t="n">
        <v>4</v>
      </c>
      <c r="G1437" s="55" t="n">
        <v>428.04</v>
      </c>
      <c r="H1437" s="55" t="n">
        <v>107.01</v>
      </c>
      <c r="I1437" s="55" t="n">
        <v>107.01</v>
      </c>
      <c r="J1437" s="52" t="s">
        <v>5816</v>
      </c>
      <c r="K1437" s="56" t="n">
        <v>1</v>
      </c>
      <c r="L1437" s="52" t="s">
        <v>5816</v>
      </c>
      <c r="M1437" s="52" t="s">
        <v>217</v>
      </c>
    </row>
    <row r="1438" customFormat="false" ht="17.25" hidden="false" customHeight="true" outlineLevel="0" collapsed="false">
      <c r="A1438" s="52" t="s">
        <v>5777</v>
      </c>
      <c r="B1438" s="52" t="s">
        <v>5813</v>
      </c>
      <c r="C1438" s="53" t="n">
        <v>18945</v>
      </c>
      <c r="D1438" s="52" t="s">
        <v>3161</v>
      </c>
      <c r="E1438" s="52" t="s">
        <v>3162</v>
      </c>
      <c r="F1438" s="54" t="n">
        <v>345</v>
      </c>
      <c r="G1438" s="55" t="n">
        <v>427.75</v>
      </c>
      <c r="H1438" s="55" t="n">
        <v>1.2399</v>
      </c>
      <c r="I1438" s="55" t="n">
        <v>1.7</v>
      </c>
      <c r="J1438" s="52" t="s">
        <v>5816</v>
      </c>
      <c r="K1438" s="56" t="n">
        <v>1</v>
      </c>
      <c r="L1438" s="52" t="s">
        <v>5816</v>
      </c>
      <c r="M1438" s="52" t="s">
        <v>247</v>
      </c>
    </row>
    <row r="1439" customFormat="false" ht="17.25" hidden="false" customHeight="true" outlineLevel="0" collapsed="false">
      <c r="A1439" s="52" t="s">
        <v>5777</v>
      </c>
      <c r="B1439" s="52" t="s">
        <v>5813</v>
      </c>
      <c r="C1439" s="53" t="n">
        <v>21344</v>
      </c>
      <c r="D1439" s="52" t="s">
        <v>3163</v>
      </c>
      <c r="E1439" s="52" t="s">
        <v>3164</v>
      </c>
      <c r="F1439" s="54" t="n">
        <v>80</v>
      </c>
      <c r="G1439" s="55" t="n">
        <v>427.0688</v>
      </c>
      <c r="H1439" s="55" t="n">
        <v>5.3384</v>
      </c>
      <c r="I1439" s="55" t="n">
        <v>5.5</v>
      </c>
      <c r="J1439" s="52" t="s">
        <v>5816</v>
      </c>
      <c r="K1439" s="56" t="n">
        <v>1</v>
      </c>
      <c r="L1439" s="52" t="s">
        <v>5816</v>
      </c>
      <c r="M1439" s="52" t="s">
        <v>457</v>
      </c>
    </row>
    <row r="1440" customFormat="false" ht="17.25" hidden="false" customHeight="true" outlineLevel="0" collapsed="false">
      <c r="A1440" s="52" t="s">
        <v>5777</v>
      </c>
      <c r="B1440" s="52" t="s">
        <v>5813</v>
      </c>
      <c r="C1440" s="53" t="n">
        <v>59882</v>
      </c>
      <c r="D1440" s="52" t="s">
        <v>3165</v>
      </c>
      <c r="E1440" s="52" t="s">
        <v>3166</v>
      </c>
      <c r="F1440" s="54" t="n">
        <v>24</v>
      </c>
      <c r="G1440" s="55" t="n">
        <v>426.57</v>
      </c>
      <c r="H1440" s="55" t="n">
        <v>17.7738</v>
      </c>
      <c r="I1440" s="55" t="n">
        <v>17.7738</v>
      </c>
      <c r="J1440" s="52" t="s">
        <v>5816</v>
      </c>
      <c r="K1440" s="56" t="n">
        <v>1</v>
      </c>
      <c r="L1440" s="52" t="s">
        <v>5816</v>
      </c>
      <c r="M1440" s="52" t="s">
        <v>100</v>
      </c>
    </row>
    <row r="1441" customFormat="false" ht="17.25" hidden="false" customHeight="true" outlineLevel="0" collapsed="false">
      <c r="A1441" s="52" t="s">
        <v>5777</v>
      </c>
      <c r="B1441" s="52" t="s">
        <v>5813</v>
      </c>
      <c r="C1441" s="53" t="n">
        <v>548397</v>
      </c>
      <c r="D1441" s="52" t="s">
        <v>3167</v>
      </c>
      <c r="E1441" s="52" t="s">
        <v>3168</v>
      </c>
      <c r="F1441" s="54" t="n">
        <v>30</v>
      </c>
      <c r="G1441" s="55" t="n">
        <v>425.66</v>
      </c>
      <c r="H1441" s="55" t="n">
        <v>14.1888</v>
      </c>
      <c r="I1441" s="55" t="n">
        <v>15.94</v>
      </c>
      <c r="J1441" s="52" t="s">
        <v>5816</v>
      </c>
      <c r="K1441" s="56" t="n">
        <v>1</v>
      </c>
      <c r="L1441" s="52" t="s">
        <v>5816</v>
      </c>
      <c r="M1441" s="52" t="s">
        <v>262</v>
      </c>
    </row>
    <row r="1442" customFormat="false" ht="17.25" hidden="false" customHeight="true" outlineLevel="0" collapsed="false">
      <c r="A1442" s="52" t="s">
        <v>5777</v>
      </c>
      <c r="B1442" s="52" t="s">
        <v>5813</v>
      </c>
      <c r="C1442" s="53" t="n">
        <v>21331</v>
      </c>
      <c r="D1442" s="52" t="s">
        <v>3169</v>
      </c>
      <c r="E1442" s="52" t="s">
        <v>3170</v>
      </c>
      <c r="F1442" s="54" t="n">
        <v>90</v>
      </c>
      <c r="G1442" s="55" t="n">
        <v>424.6</v>
      </c>
      <c r="H1442" s="55" t="n">
        <v>4.7178</v>
      </c>
      <c r="I1442" s="55" t="n">
        <v>4.5</v>
      </c>
      <c r="J1442" s="52" t="s">
        <v>5816</v>
      </c>
      <c r="K1442" s="56" t="n">
        <v>1</v>
      </c>
      <c r="L1442" s="52" t="s">
        <v>5816</v>
      </c>
      <c r="M1442" s="52" t="s">
        <v>605</v>
      </c>
    </row>
    <row r="1443" customFormat="false" ht="17.25" hidden="false" customHeight="true" outlineLevel="0" collapsed="false">
      <c r="A1443" s="52" t="s">
        <v>5777</v>
      </c>
      <c r="B1443" s="52" t="s">
        <v>5813</v>
      </c>
      <c r="C1443" s="53" t="n">
        <v>228912</v>
      </c>
      <c r="D1443" s="52" t="s">
        <v>3171</v>
      </c>
      <c r="E1443" s="52" t="s">
        <v>3172</v>
      </c>
      <c r="F1443" s="54" t="n">
        <v>1</v>
      </c>
      <c r="G1443" s="55" t="n">
        <v>423.32</v>
      </c>
      <c r="H1443" s="55" t="n">
        <v>423.32</v>
      </c>
      <c r="I1443" s="55" t="n">
        <v>423.32</v>
      </c>
      <c r="J1443" s="52" t="s">
        <v>5816</v>
      </c>
      <c r="K1443" s="56" t="n">
        <v>1</v>
      </c>
      <c r="L1443" s="52" t="s">
        <v>5816</v>
      </c>
      <c r="M1443" s="52" t="s">
        <v>130</v>
      </c>
    </row>
    <row r="1444" customFormat="false" ht="17.25" hidden="false" customHeight="true" outlineLevel="0" collapsed="false">
      <c r="A1444" s="52" t="s">
        <v>5777</v>
      </c>
      <c r="B1444" s="52" t="s">
        <v>5813</v>
      </c>
      <c r="C1444" s="53" t="n">
        <v>876535</v>
      </c>
      <c r="D1444" s="52" t="s">
        <v>3173</v>
      </c>
      <c r="E1444" s="52" t="s">
        <v>3174</v>
      </c>
      <c r="F1444" s="54" t="n">
        <v>3</v>
      </c>
      <c r="G1444" s="55" t="n">
        <v>423</v>
      </c>
      <c r="H1444" s="55" t="n">
        <v>141</v>
      </c>
      <c r="I1444" s="55" t="n">
        <v>141</v>
      </c>
      <c r="J1444" s="52" t="s">
        <v>5816</v>
      </c>
      <c r="K1444" s="56" t="n">
        <v>1</v>
      </c>
      <c r="L1444" s="52" t="s">
        <v>5816</v>
      </c>
      <c r="M1444" s="52" t="s">
        <v>133</v>
      </c>
    </row>
    <row r="1445" customFormat="false" ht="17.25" hidden="false" customHeight="true" outlineLevel="0" collapsed="false">
      <c r="A1445" s="52" t="s">
        <v>5777</v>
      </c>
      <c r="B1445" s="52" t="s">
        <v>5813</v>
      </c>
      <c r="C1445" s="53" t="n">
        <v>1327892</v>
      </c>
      <c r="D1445" s="52" t="s">
        <v>3175</v>
      </c>
      <c r="E1445" s="52" t="s">
        <v>3176</v>
      </c>
      <c r="F1445" s="54" t="n">
        <v>30</v>
      </c>
      <c r="G1445" s="55" t="n">
        <v>423</v>
      </c>
      <c r="H1445" s="55" t="n">
        <v>14.1</v>
      </c>
      <c r="I1445" s="55" t="n">
        <v>14.1</v>
      </c>
      <c r="J1445" s="52" t="s">
        <v>5816</v>
      </c>
      <c r="K1445" s="56" t="n">
        <v>1</v>
      </c>
      <c r="L1445" s="52" t="s">
        <v>5816</v>
      </c>
      <c r="M1445" s="52" t="s">
        <v>54</v>
      </c>
    </row>
    <row r="1446" customFormat="false" ht="17.25" hidden="false" customHeight="true" outlineLevel="0" collapsed="false">
      <c r="A1446" s="52" t="s">
        <v>5777</v>
      </c>
      <c r="B1446" s="52" t="s">
        <v>5813</v>
      </c>
      <c r="C1446" s="53" t="n">
        <v>1484132</v>
      </c>
      <c r="D1446" s="52" t="s">
        <v>3177</v>
      </c>
      <c r="E1446" s="52" t="s">
        <v>3178</v>
      </c>
      <c r="F1446" s="54" t="n">
        <v>54</v>
      </c>
      <c r="G1446" s="55" t="n">
        <v>422.4</v>
      </c>
      <c r="H1446" s="55" t="n">
        <v>7.8222</v>
      </c>
      <c r="I1446" s="55" t="n">
        <v>4.1</v>
      </c>
      <c r="J1446" s="52" t="s">
        <v>5816</v>
      </c>
      <c r="K1446" s="56" t="n">
        <v>1</v>
      </c>
      <c r="L1446" s="52" t="s">
        <v>5816</v>
      </c>
      <c r="M1446" s="52" t="s">
        <v>100</v>
      </c>
    </row>
    <row r="1447" customFormat="false" ht="17.25" hidden="false" customHeight="true" outlineLevel="0" collapsed="false">
      <c r="A1447" s="52" t="s">
        <v>5777</v>
      </c>
      <c r="B1447" s="52" t="s">
        <v>5813</v>
      </c>
      <c r="C1447" s="53" t="n">
        <v>937213</v>
      </c>
      <c r="D1447" s="52" t="s">
        <v>3179</v>
      </c>
      <c r="E1447" s="52" t="s">
        <v>3180</v>
      </c>
      <c r="F1447" s="54" t="n">
        <v>20</v>
      </c>
      <c r="G1447" s="55" t="n">
        <v>421.8</v>
      </c>
      <c r="H1447" s="55" t="n">
        <v>21.09</v>
      </c>
      <c r="I1447" s="55" t="n">
        <v>21.09</v>
      </c>
      <c r="J1447" s="52" t="s">
        <v>5816</v>
      </c>
      <c r="K1447" s="56" t="n">
        <v>1</v>
      </c>
      <c r="L1447" s="52" t="s">
        <v>5816</v>
      </c>
      <c r="M1447" s="52" t="s">
        <v>38</v>
      </c>
    </row>
    <row r="1448" customFormat="false" ht="17.25" hidden="false" customHeight="true" outlineLevel="0" collapsed="false">
      <c r="A1448" s="52" t="s">
        <v>5777</v>
      </c>
      <c r="B1448" s="52" t="s">
        <v>5813</v>
      </c>
      <c r="C1448" s="53" t="n">
        <v>32850</v>
      </c>
      <c r="D1448" s="52" t="s">
        <v>3181</v>
      </c>
      <c r="E1448" s="52" t="s">
        <v>3182</v>
      </c>
      <c r="F1448" s="54" t="n">
        <v>5</v>
      </c>
      <c r="G1448" s="55" t="n">
        <v>420</v>
      </c>
      <c r="H1448" s="55" t="n">
        <v>84</v>
      </c>
      <c r="I1448" s="55" t="n">
        <v>84</v>
      </c>
      <c r="J1448" s="52" t="s">
        <v>5816</v>
      </c>
      <c r="K1448" s="56" t="n">
        <v>1</v>
      </c>
      <c r="L1448" s="52" t="s">
        <v>5816</v>
      </c>
      <c r="M1448" s="52" t="s">
        <v>1095</v>
      </c>
    </row>
    <row r="1449" customFormat="false" ht="17.25" hidden="false" customHeight="true" outlineLevel="0" collapsed="false">
      <c r="A1449" s="52" t="s">
        <v>5777</v>
      </c>
      <c r="B1449" s="52" t="s">
        <v>5813</v>
      </c>
      <c r="C1449" s="53" t="n">
        <v>1467132</v>
      </c>
      <c r="D1449" s="52" t="s">
        <v>3183</v>
      </c>
      <c r="E1449" s="52" t="s">
        <v>3184</v>
      </c>
      <c r="F1449" s="54" t="n">
        <v>60</v>
      </c>
      <c r="G1449" s="55" t="n">
        <v>420</v>
      </c>
      <c r="H1449" s="55" t="n">
        <v>7</v>
      </c>
      <c r="I1449" s="55" t="n">
        <v>7</v>
      </c>
      <c r="J1449" s="52" t="s">
        <v>5814</v>
      </c>
      <c r="K1449" s="56" t="n">
        <v>1</v>
      </c>
      <c r="L1449" s="52" t="s">
        <v>5814</v>
      </c>
      <c r="M1449" s="52" t="s">
        <v>38</v>
      </c>
    </row>
    <row r="1450" customFormat="false" ht="17.25" hidden="false" customHeight="true" outlineLevel="0" collapsed="false">
      <c r="A1450" s="52" t="s">
        <v>5777</v>
      </c>
      <c r="B1450" s="52" t="s">
        <v>5813</v>
      </c>
      <c r="C1450" s="53" t="n">
        <v>141718</v>
      </c>
      <c r="D1450" s="52" t="s">
        <v>3185</v>
      </c>
      <c r="E1450" s="52" t="s">
        <v>3186</v>
      </c>
      <c r="F1450" s="54" t="n">
        <v>5</v>
      </c>
      <c r="G1450" s="55" t="n">
        <v>418.55</v>
      </c>
      <c r="H1450" s="55" t="n">
        <v>83.71</v>
      </c>
      <c r="I1450" s="55" t="n">
        <v>83.71</v>
      </c>
      <c r="J1450" s="52" t="s">
        <v>5910</v>
      </c>
      <c r="K1450" s="56" t="n">
        <v>1</v>
      </c>
      <c r="L1450" s="52" t="s">
        <v>5816</v>
      </c>
      <c r="M1450" s="52" t="s">
        <v>1095</v>
      </c>
    </row>
    <row r="1451" customFormat="false" ht="17.25" hidden="false" customHeight="true" outlineLevel="0" collapsed="false">
      <c r="A1451" s="52" t="s">
        <v>5777</v>
      </c>
      <c r="B1451" s="52" t="s">
        <v>5813</v>
      </c>
      <c r="C1451" s="53" t="n">
        <v>140525</v>
      </c>
      <c r="D1451" s="52" t="s">
        <v>3187</v>
      </c>
      <c r="E1451" s="52" t="s">
        <v>3188</v>
      </c>
      <c r="F1451" s="54" t="n">
        <v>2</v>
      </c>
      <c r="G1451" s="55" t="n">
        <v>418.4</v>
      </c>
      <c r="H1451" s="55" t="n">
        <v>209.2</v>
      </c>
      <c r="I1451" s="55" t="n">
        <v>219.8</v>
      </c>
      <c r="J1451" s="52" t="s">
        <v>5816</v>
      </c>
      <c r="K1451" s="56" t="n">
        <v>1</v>
      </c>
      <c r="L1451" s="52" t="s">
        <v>5816</v>
      </c>
      <c r="M1451" s="52" t="s">
        <v>38</v>
      </c>
    </row>
    <row r="1452" customFormat="false" ht="17.25" hidden="false" customHeight="true" outlineLevel="0" collapsed="false">
      <c r="A1452" s="52" t="s">
        <v>5777</v>
      </c>
      <c r="B1452" s="52" t="s">
        <v>5813</v>
      </c>
      <c r="C1452" s="53" t="n">
        <v>1386770</v>
      </c>
      <c r="D1452" s="52" t="s">
        <v>3189</v>
      </c>
      <c r="E1452" s="52" t="s">
        <v>3190</v>
      </c>
      <c r="F1452" s="54" t="n">
        <v>12</v>
      </c>
      <c r="G1452" s="55" t="n">
        <v>418.2</v>
      </c>
      <c r="H1452" s="55" t="n">
        <v>34.85</v>
      </c>
      <c r="I1452" s="55" t="n">
        <v>32.89</v>
      </c>
      <c r="J1452" s="52" t="s">
        <v>5816</v>
      </c>
      <c r="K1452" s="56" t="n">
        <v>1</v>
      </c>
      <c r="L1452" s="52" t="s">
        <v>5816</v>
      </c>
      <c r="M1452" s="52" t="s">
        <v>160</v>
      </c>
    </row>
    <row r="1453" customFormat="false" ht="17.25" hidden="false" customHeight="true" outlineLevel="0" collapsed="false">
      <c r="A1453" s="52" t="s">
        <v>5777</v>
      </c>
      <c r="B1453" s="52" t="s">
        <v>5813</v>
      </c>
      <c r="C1453" s="53" t="n">
        <v>1467852</v>
      </c>
      <c r="D1453" s="52" t="s">
        <v>3191</v>
      </c>
      <c r="E1453" s="52" t="s">
        <v>3192</v>
      </c>
      <c r="F1453" s="54" t="n">
        <v>1</v>
      </c>
      <c r="G1453" s="55" t="n">
        <v>418</v>
      </c>
      <c r="H1453" s="55" t="n">
        <v>418</v>
      </c>
      <c r="I1453" s="55" t="n">
        <v>418</v>
      </c>
      <c r="J1453" s="52" t="s">
        <v>5911</v>
      </c>
      <c r="K1453" s="56" t="n">
        <v>1</v>
      </c>
      <c r="L1453" s="52" t="s">
        <v>5816</v>
      </c>
      <c r="M1453" s="52" t="s">
        <v>722</v>
      </c>
    </row>
    <row r="1454" customFormat="false" ht="17.25" hidden="false" customHeight="true" outlineLevel="0" collapsed="false">
      <c r="A1454" s="52" t="s">
        <v>5777</v>
      </c>
      <c r="B1454" s="52" t="s">
        <v>5813</v>
      </c>
      <c r="C1454" s="53" t="n">
        <v>1389118</v>
      </c>
      <c r="D1454" s="52" t="s">
        <v>3193</v>
      </c>
      <c r="E1454" s="52" t="s">
        <v>5927</v>
      </c>
      <c r="F1454" s="54" t="n">
        <v>11.5</v>
      </c>
      <c r="G1454" s="55" t="n">
        <v>417.27</v>
      </c>
      <c r="H1454" s="55" t="n">
        <v>36.2843</v>
      </c>
      <c r="I1454" s="55" t="n">
        <v>39.98</v>
      </c>
      <c r="J1454" s="52" t="s">
        <v>5816</v>
      </c>
      <c r="K1454" s="56" t="n">
        <v>1</v>
      </c>
      <c r="L1454" s="52" t="s">
        <v>5816</v>
      </c>
      <c r="M1454" s="52" t="s">
        <v>38</v>
      </c>
    </row>
    <row r="1455" customFormat="false" ht="17.25" hidden="false" customHeight="true" outlineLevel="0" collapsed="false">
      <c r="A1455" s="52" t="s">
        <v>5777</v>
      </c>
      <c r="B1455" s="52" t="s">
        <v>5813</v>
      </c>
      <c r="C1455" s="53" t="n">
        <v>21399</v>
      </c>
      <c r="D1455" s="52" t="s">
        <v>3195</v>
      </c>
      <c r="E1455" s="52" t="s">
        <v>3196</v>
      </c>
      <c r="F1455" s="54" t="n">
        <v>12</v>
      </c>
      <c r="G1455" s="55" t="n">
        <v>416.64</v>
      </c>
      <c r="H1455" s="55" t="n">
        <v>34.72</v>
      </c>
      <c r="I1455" s="55" t="n">
        <v>34.72</v>
      </c>
      <c r="J1455" s="52" t="s">
        <v>5816</v>
      </c>
      <c r="K1455" s="56" t="n">
        <v>1</v>
      </c>
      <c r="L1455" s="52" t="s">
        <v>5816</v>
      </c>
      <c r="M1455" s="52" t="s">
        <v>835</v>
      </c>
    </row>
    <row r="1456" customFormat="false" ht="17.25" hidden="false" customHeight="true" outlineLevel="0" collapsed="false">
      <c r="A1456" s="52" t="s">
        <v>5777</v>
      </c>
      <c r="B1456" s="52" t="s">
        <v>5813</v>
      </c>
      <c r="C1456" s="53" t="n">
        <v>826194</v>
      </c>
      <c r="D1456" s="52" t="s">
        <v>3197</v>
      </c>
      <c r="E1456" s="52" t="s">
        <v>3198</v>
      </c>
      <c r="F1456" s="54" t="n">
        <v>12</v>
      </c>
      <c r="G1456" s="55" t="n">
        <v>414.48</v>
      </c>
      <c r="H1456" s="55" t="n">
        <v>34.54</v>
      </c>
      <c r="I1456" s="55" t="n">
        <v>34.54</v>
      </c>
      <c r="J1456" s="52" t="s">
        <v>5816</v>
      </c>
      <c r="K1456" s="56" t="n">
        <v>1</v>
      </c>
      <c r="L1456" s="52" t="s">
        <v>5816</v>
      </c>
      <c r="M1456" s="52" t="s">
        <v>100</v>
      </c>
    </row>
    <row r="1457" customFormat="false" ht="17.25" hidden="false" customHeight="true" outlineLevel="0" collapsed="false">
      <c r="A1457" s="52" t="s">
        <v>5777</v>
      </c>
      <c r="B1457" s="52" t="s">
        <v>5813</v>
      </c>
      <c r="C1457" s="53" t="n">
        <v>1319424</v>
      </c>
      <c r="D1457" s="52" t="s">
        <v>3199</v>
      </c>
      <c r="E1457" s="52" t="s">
        <v>3200</v>
      </c>
      <c r="F1457" s="54" t="n">
        <v>4</v>
      </c>
      <c r="G1457" s="55" t="n">
        <v>412.44</v>
      </c>
      <c r="H1457" s="55" t="n">
        <v>103.11</v>
      </c>
      <c r="I1457" s="55" t="n">
        <v>103.11</v>
      </c>
      <c r="J1457" s="52" t="s">
        <v>5816</v>
      </c>
      <c r="K1457" s="56" t="n">
        <v>1</v>
      </c>
      <c r="L1457" s="52" t="s">
        <v>5816</v>
      </c>
      <c r="M1457" s="52" t="s">
        <v>217</v>
      </c>
    </row>
    <row r="1458" customFormat="false" ht="17.25" hidden="false" customHeight="true" outlineLevel="0" collapsed="false">
      <c r="A1458" s="52" t="s">
        <v>5777</v>
      </c>
      <c r="B1458" s="52" t="s">
        <v>5813</v>
      </c>
      <c r="C1458" s="53" t="n">
        <v>1656805</v>
      </c>
      <c r="D1458" s="52" t="s">
        <v>3201</v>
      </c>
      <c r="E1458" s="52" t="s">
        <v>3202</v>
      </c>
      <c r="F1458" s="54" t="n">
        <v>10</v>
      </c>
      <c r="G1458" s="55" t="n">
        <v>412.2</v>
      </c>
      <c r="H1458" s="55" t="n">
        <v>41.22</v>
      </c>
      <c r="I1458" s="55" t="n">
        <v>41.22</v>
      </c>
      <c r="J1458" s="52" t="s">
        <v>5816</v>
      </c>
      <c r="K1458" s="56" t="n">
        <v>1</v>
      </c>
      <c r="L1458" s="52" t="s">
        <v>5816</v>
      </c>
      <c r="M1458" s="52" t="s">
        <v>217</v>
      </c>
    </row>
    <row r="1459" customFormat="false" ht="17.25" hidden="false" customHeight="true" outlineLevel="0" collapsed="false">
      <c r="A1459" s="52" t="s">
        <v>5777</v>
      </c>
      <c r="B1459" s="52" t="s">
        <v>5813</v>
      </c>
      <c r="C1459" s="53" t="n">
        <v>884961</v>
      </c>
      <c r="D1459" s="52" t="s">
        <v>3203</v>
      </c>
      <c r="E1459" s="52" t="s">
        <v>3204</v>
      </c>
      <c r="F1459" s="54" t="n">
        <v>431</v>
      </c>
      <c r="G1459" s="55" t="n">
        <v>409.9</v>
      </c>
      <c r="H1459" s="55" t="n">
        <v>0.951</v>
      </c>
      <c r="I1459" s="55" t="n">
        <v>0.65</v>
      </c>
      <c r="J1459" s="52" t="s">
        <v>5817</v>
      </c>
      <c r="K1459" s="56" t="n">
        <v>1</v>
      </c>
      <c r="L1459" s="52" t="s">
        <v>5817</v>
      </c>
      <c r="M1459" s="52" t="s">
        <v>100</v>
      </c>
    </row>
    <row r="1460" customFormat="false" ht="17.25" hidden="false" customHeight="true" outlineLevel="0" collapsed="false">
      <c r="A1460" s="52" t="s">
        <v>5777</v>
      </c>
      <c r="B1460" s="52" t="s">
        <v>5813</v>
      </c>
      <c r="C1460" s="53" t="n">
        <v>22726</v>
      </c>
      <c r="D1460" s="52" t="s">
        <v>3205</v>
      </c>
      <c r="E1460" s="52" t="s">
        <v>3206</v>
      </c>
      <c r="F1460" s="54" t="n">
        <v>1</v>
      </c>
      <c r="G1460" s="55" t="n">
        <v>409.47</v>
      </c>
      <c r="H1460" s="55" t="n">
        <v>409.47</v>
      </c>
      <c r="I1460" s="55" t="n">
        <v>409.47</v>
      </c>
      <c r="J1460" s="52" t="s">
        <v>5816</v>
      </c>
      <c r="K1460" s="56" t="n">
        <v>1</v>
      </c>
      <c r="L1460" s="52" t="s">
        <v>5816</v>
      </c>
      <c r="M1460" s="52" t="s">
        <v>363</v>
      </c>
    </row>
    <row r="1461" customFormat="false" ht="17.25" hidden="false" customHeight="true" outlineLevel="0" collapsed="false">
      <c r="A1461" s="52" t="s">
        <v>5777</v>
      </c>
      <c r="B1461" s="52" t="s">
        <v>5813</v>
      </c>
      <c r="C1461" s="53" t="n">
        <v>224073</v>
      </c>
      <c r="D1461" s="52" t="s">
        <v>3207</v>
      </c>
      <c r="E1461" s="52" t="s">
        <v>3208</v>
      </c>
      <c r="F1461" s="54" t="n">
        <v>11</v>
      </c>
      <c r="G1461" s="55" t="n">
        <v>409</v>
      </c>
      <c r="H1461" s="55" t="n">
        <v>37.1818</v>
      </c>
      <c r="I1461" s="55" t="n">
        <v>20</v>
      </c>
      <c r="J1461" s="52" t="s">
        <v>5816</v>
      </c>
      <c r="K1461" s="56" t="n">
        <v>1</v>
      </c>
      <c r="L1461" s="52" t="s">
        <v>5816</v>
      </c>
      <c r="M1461" s="52" t="s">
        <v>189</v>
      </c>
    </row>
    <row r="1462" customFormat="false" ht="17.25" hidden="false" customHeight="true" outlineLevel="0" collapsed="false">
      <c r="A1462" s="52" t="s">
        <v>5777</v>
      </c>
      <c r="B1462" s="52" t="s">
        <v>5813</v>
      </c>
      <c r="C1462" s="53" t="n">
        <v>352398</v>
      </c>
      <c r="D1462" s="52" t="s">
        <v>3209</v>
      </c>
      <c r="E1462" s="52" t="s">
        <v>3210</v>
      </c>
      <c r="F1462" s="54" t="n">
        <v>6</v>
      </c>
      <c r="G1462" s="55" t="n">
        <v>408</v>
      </c>
      <c r="H1462" s="55" t="n">
        <v>68</v>
      </c>
      <c r="I1462" s="55" t="n">
        <v>68</v>
      </c>
      <c r="J1462" s="52" t="s">
        <v>5816</v>
      </c>
      <c r="K1462" s="56" t="n">
        <v>1</v>
      </c>
      <c r="L1462" s="52" t="s">
        <v>5816</v>
      </c>
      <c r="M1462" s="52" t="s">
        <v>130</v>
      </c>
    </row>
    <row r="1463" customFormat="false" ht="17.25" hidden="false" customHeight="true" outlineLevel="0" collapsed="false">
      <c r="A1463" s="52" t="s">
        <v>5777</v>
      </c>
      <c r="B1463" s="52" t="s">
        <v>5813</v>
      </c>
      <c r="C1463" s="53" t="n">
        <v>557721</v>
      </c>
      <c r="D1463" s="52" t="s">
        <v>3211</v>
      </c>
      <c r="E1463" s="52" t="s">
        <v>3212</v>
      </c>
      <c r="F1463" s="54" t="n">
        <v>4</v>
      </c>
      <c r="G1463" s="55" t="n">
        <v>408</v>
      </c>
      <c r="H1463" s="55" t="n">
        <v>102</v>
      </c>
      <c r="I1463" s="55" t="n">
        <v>102</v>
      </c>
      <c r="J1463" s="52" t="s">
        <v>5816</v>
      </c>
      <c r="K1463" s="56" t="n">
        <v>1</v>
      </c>
      <c r="L1463" s="52" t="s">
        <v>5816</v>
      </c>
      <c r="M1463" s="52" t="s">
        <v>247</v>
      </c>
    </row>
    <row r="1464" customFormat="false" ht="17.25" hidden="false" customHeight="true" outlineLevel="0" collapsed="false">
      <c r="A1464" s="52" t="s">
        <v>5777</v>
      </c>
      <c r="B1464" s="52" t="s">
        <v>5813</v>
      </c>
      <c r="C1464" s="53" t="n">
        <v>731058</v>
      </c>
      <c r="D1464" s="52" t="s">
        <v>3213</v>
      </c>
      <c r="E1464" s="52" t="s">
        <v>3214</v>
      </c>
      <c r="F1464" s="54" t="n">
        <v>6</v>
      </c>
      <c r="G1464" s="55" t="n">
        <v>408</v>
      </c>
      <c r="H1464" s="55" t="n">
        <v>68</v>
      </c>
      <c r="I1464" s="55" t="n">
        <v>68</v>
      </c>
      <c r="J1464" s="52" t="s">
        <v>5924</v>
      </c>
      <c r="K1464" s="56" t="n">
        <v>1</v>
      </c>
      <c r="L1464" s="52" t="s">
        <v>5816</v>
      </c>
      <c r="M1464" s="52" t="s">
        <v>230</v>
      </c>
    </row>
    <row r="1465" customFormat="false" ht="17.25" hidden="false" customHeight="true" outlineLevel="0" collapsed="false">
      <c r="A1465" s="52" t="s">
        <v>5777</v>
      </c>
      <c r="B1465" s="52" t="s">
        <v>5813</v>
      </c>
      <c r="C1465" s="53" t="n">
        <v>136459</v>
      </c>
      <c r="D1465" s="52" t="s">
        <v>3215</v>
      </c>
      <c r="E1465" s="52" t="s">
        <v>3216</v>
      </c>
      <c r="F1465" s="54" t="n">
        <v>66.2808</v>
      </c>
      <c r="G1465" s="55" t="n">
        <v>407.9508</v>
      </c>
      <c r="H1465" s="55" t="n">
        <v>6.1548</v>
      </c>
      <c r="I1465" s="55" t="n">
        <v>6.1548</v>
      </c>
      <c r="J1465" s="52" t="s">
        <v>5822</v>
      </c>
      <c r="K1465" s="56" t="n">
        <v>1</v>
      </c>
      <c r="L1465" s="52" t="s">
        <v>5822</v>
      </c>
      <c r="M1465" s="52" t="s">
        <v>133</v>
      </c>
    </row>
    <row r="1466" customFormat="false" ht="17.25" hidden="false" customHeight="true" outlineLevel="0" collapsed="false">
      <c r="A1466" s="52" t="s">
        <v>5777</v>
      </c>
      <c r="B1466" s="52" t="s">
        <v>5813</v>
      </c>
      <c r="C1466" s="53" t="n">
        <v>55089</v>
      </c>
      <c r="D1466" s="52" t="s">
        <v>3217</v>
      </c>
      <c r="E1466" s="52" t="s">
        <v>3218</v>
      </c>
      <c r="F1466" s="54" t="n">
        <v>26</v>
      </c>
      <c r="G1466" s="55" t="n">
        <v>407.95</v>
      </c>
      <c r="H1466" s="55" t="n">
        <v>15.6904</v>
      </c>
      <c r="I1466" s="55" t="n">
        <v>5.4</v>
      </c>
      <c r="J1466" s="52" t="s">
        <v>5816</v>
      </c>
      <c r="K1466" s="56" t="n">
        <v>1</v>
      </c>
      <c r="L1466" s="52" t="s">
        <v>5816</v>
      </c>
      <c r="M1466" s="52" t="s">
        <v>38</v>
      </c>
    </row>
    <row r="1467" customFormat="false" ht="17.25" hidden="false" customHeight="true" outlineLevel="0" collapsed="false">
      <c r="A1467" s="52" t="s">
        <v>5777</v>
      </c>
      <c r="B1467" s="52" t="s">
        <v>5813</v>
      </c>
      <c r="C1467" s="53" t="n">
        <v>18108</v>
      </c>
      <c r="D1467" s="52" t="s">
        <v>3219</v>
      </c>
      <c r="E1467" s="52" t="s">
        <v>3220</v>
      </c>
      <c r="F1467" s="54" t="n">
        <v>7</v>
      </c>
      <c r="G1467" s="55" t="n">
        <v>406</v>
      </c>
      <c r="H1467" s="55" t="n">
        <v>58</v>
      </c>
      <c r="I1467" s="55" t="n">
        <v>58</v>
      </c>
      <c r="J1467" s="52" t="s">
        <v>5816</v>
      </c>
      <c r="K1467" s="56" t="n">
        <v>1</v>
      </c>
      <c r="L1467" s="52" t="s">
        <v>5816</v>
      </c>
      <c r="M1467" s="52" t="s">
        <v>130</v>
      </c>
    </row>
    <row r="1468" customFormat="false" ht="17.25" hidden="false" customHeight="true" outlineLevel="0" collapsed="false">
      <c r="A1468" s="52" t="s">
        <v>5777</v>
      </c>
      <c r="B1468" s="52" t="s">
        <v>5813</v>
      </c>
      <c r="C1468" s="53" t="n">
        <v>293946</v>
      </c>
      <c r="D1468" s="52" t="s">
        <v>3221</v>
      </c>
      <c r="E1468" s="52" t="s">
        <v>3222</v>
      </c>
      <c r="F1468" s="54" t="n">
        <v>7</v>
      </c>
      <c r="G1468" s="55" t="n">
        <v>406</v>
      </c>
      <c r="H1468" s="55" t="n">
        <v>58</v>
      </c>
      <c r="I1468" s="55" t="n">
        <v>58</v>
      </c>
      <c r="J1468" s="52" t="s">
        <v>5816</v>
      </c>
      <c r="K1468" s="56" t="n">
        <v>1</v>
      </c>
      <c r="L1468" s="52" t="s">
        <v>5816</v>
      </c>
      <c r="M1468" s="52" t="s">
        <v>38</v>
      </c>
    </row>
    <row r="1469" customFormat="false" ht="17.25" hidden="false" customHeight="true" outlineLevel="0" collapsed="false">
      <c r="A1469" s="52" t="s">
        <v>5777</v>
      </c>
      <c r="B1469" s="52" t="s">
        <v>5813</v>
      </c>
      <c r="C1469" s="53" t="n">
        <v>604210</v>
      </c>
      <c r="D1469" s="52" t="s">
        <v>3223</v>
      </c>
      <c r="E1469" s="52" t="s">
        <v>3224</v>
      </c>
      <c r="F1469" s="54" t="n">
        <v>7</v>
      </c>
      <c r="G1469" s="55" t="n">
        <v>406</v>
      </c>
      <c r="H1469" s="55" t="n">
        <v>58</v>
      </c>
      <c r="I1469" s="55" t="n">
        <v>58</v>
      </c>
      <c r="J1469" s="52" t="s">
        <v>5816</v>
      </c>
      <c r="K1469" s="56" t="n">
        <v>1</v>
      </c>
      <c r="L1469" s="52" t="s">
        <v>5816</v>
      </c>
      <c r="M1469" s="52" t="s">
        <v>38</v>
      </c>
    </row>
    <row r="1470" customFormat="false" ht="17.25" hidden="false" customHeight="true" outlineLevel="0" collapsed="false">
      <c r="A1470" s="52" t="s">
        <v>5777</v>
      </c>
      <c r="B1470" s="52" t="s">
        <v>5813</v>
      </c>
      <c r="C1470" s="53" t="n">
        <v>23538</v>
      </c>
      <c r="D1470" s="52" t="s">
        <v>3225</v>
      </c>
      <c r="E1470" s="52" t="s">
        <v>3226</v>
      </c>
      <c r="F1470" s="54" t="n">
        <v>18</v>
      </c>
      <c r="G1470" s="55" t="n">
        <v>405.72</v>
      </c>
      <c r="H1470" s="55" t="n">
        <v>22.54</v>
      </c>
      <c r="I1470" s="55" t="n">
        <v>22.54</v>
      </c>
      <c r="J1470" s="52" t="s">
        <v>5816</v>
      </c>
      <c r="K1470" s="56" t="n">
        <v>1</v>
      </c>
      <c r="L1470" s="52" t="s">
        <v>5816</v>
      </c>
      <c r="M1470" s="52" t="s">
        <v>1618</v>
      </c>
    </row>
    <row r="1471" customFormat="false" ht="17.25" hidden="false" customHeight="true" outlineLevel="0" collapsed="false">
      <c r="A1471" s="52" t="s">
        <v>5777</v>
      </c>
      <c r="B1471" s="52" t="s">
        <v>5813</v>
      </c>
      <c r="C1471" s="53" t="n">
        <v>65918</v>
      </c>
      <c r="D1471" s="52" t="s">
        <v>3227</v>
      </c>
      <c r="E1471" s="52" t="s">
        <v>3228</v>
      </c>
      <c r="F1471" s="54" t="n">
        <v>10</v>
      </c>
      <c r="G1471" s="55" t="n">
        <v>405.4</v>
      </c>
      <c r="H1471" s="55" t="n">
        <v>40.54</v>
      </c>
      <c r="I1471" s="55" t="n">
        <v>40.54</v>
      </c>
      <c r="J1471" s="52" t="s">
        <v>5816</v>
      </c>
      <c r="K1471" s="56" t="n">
        <v>1</v>
      </c>
      <c r="L1471" s="52" t="s">
        <v>5816</v>
      </c>
      <c r="M1471" s="52" t="s">
        <v>1618</v>
      </c>
    </row>
    <row r="1472" customFormat="false" ht="17.25" hidden="false" customHeight="true" outlineLevel="0" collapsed="false">
      <c r="A1472" s="52" t="s">
        <v>5777</v>
      </c>
      <c r="B1472" s="52" t="s">
        <v>5813</v>
      </c>
      <c r="C1472" s="53" t="n">
        <v>557602</v>
      </c>
      <c r="D1472" s="52" t="s">
        <v>3229</v>
      </c>
      <c r="E1472" s="52" t="s">
        <v>3230</v>
      </c>
      <c r="F1472" s="54" t="n">
        <v>15</v>
      </c>
      <c r="G1472" s="55" t="n">
        <v>405</v>
      </c>
      <c r="H1472" s="55" t="n">
        <v>27</v>
      </c>
      <c r="I1472" s="55" t="n">
        <v>27</v>
      </c>
      <c r="J1472" s="52" t="s">
        <v>5816</v>
      </c>
      <c r="K1472" s="56" t="n">
        <v>1</v>
      </c>
      <c r="L1472" s="52" t="s">
        <v>5816</v>
      </c>
      <c r="M1472" s="52" t="s">
        <v>130</v>
      </c>
    </row>
    <row r="1473" customFormat="false" ht="17.25" hidden="false" customHeight="true" outlineLevel="0" collapsed="false">
      <c r="A1473" s="52" t="s">
        <v>5777</v>
      </c>
      <c r="B1473" s="52" t="s">
        <v>5813</v>
      </c>
      <c r="C1473" s="53" t="n">
        <v>60870</v>
      </c>
      <c r="D1473" s="52" t="s">
        <v>3231</v>
      </c>
      <c r="E1473" s="52" t="s">
        <v>3232</v>
      </c>
      <c r="F1473" s="54" t="n">
        <v>6</v>
      </c>
      <c r="G1473" s="55" t="n">
        <v>402</v>
      </c>
      <c r="H1473" s="55" t="n">
        <v>67</v>
      </c>
      <c r="I1473" s="55" t="n">
        <v>67</v>
      </c>
      <c r="J1473" s="52" t="s">
        <v>5816</v>
      </c>
      <c r="K1473" s="56" t="n">
        <v>1</v>
      </c>
      <c r="L1473" s="52" t="s">
        <v>5816</v>
      </c>
      <c r="M1473" s="52" t="s">
        <v>130</v>
      </c>
    </row>
    <row r="1474" customFormat="false" ht="17.25" hidden="false" customHeight="true" outlineLevel="0" collapsed="false">
      <c r="A1474" s="52" t="s">
        <v>5777</v>
      </c>
      <c r="B1474" s="52" t="s">
        <v>5813</v>
      </c>
      <c r="C1474" s="53" t="n">
        <v>1321002</v>
      </c>
      <c r="D1474" s="52" t="s">
        <v>3233</v>
      </c>
      <c r="E1474" s="52" t="s">
        <v>5928</v>
      </c>
      <c r="F1474" s="54" t="n">
        <v>11</v>
      </c>
      <c r="G1474" s="55" t="n">
        <v>401.5</v>
      </c>
      <c r="H1474" s="55" t="n">
        <v>36.5</v>
      </c>
      <c r="I1474" s="55" t="n">
        <v>36.5</v>
      </c>
      <c r="J1474" s="52" t="s">
        <v>5816</v>
      </c>
      <c r="K1474" s="56" t="n">
        <v>1</v>
      </c>
      <c r="L1474" s="52" t="s">
        <v>5816</v>
      </c>
      <c r="M1474" s="52" t="s">
        <v>38</v>
      </c>
    </row>
    <row r="1475" customFormat="false" ht="17.25" hidden="false" customHeight="true" outlineLevel="0" collapsed="false">
      <c r="A1475" s="52" t="s">
        <v>5777</v>
      </c>
      <c r="B1475" s="52" t="s">
        <v>5813</v>
      </c>
      <c r="C1475" s="53" t="n">
        <v>476066</v>
      </c>
      <c r="D1475" s="52" t="s">
        <v>3235</v>
      </c>
      <c r="E1475" s="52" t="s">
        <v>3236</v>
      </c>
      <c r="F1475" s="54" t="n">
        <v>1</v>
      </c>
      <c r="G1475" s="55" t="n">
        <v>401</v>
      </c>
      <c r="H1475" s="55" t="n">
        <v>401</v>
      </c>
      <c r="I1475" s="55" t="n">
        <v>401</v>
      </c>
      <c r="J1475" s="52" t="s">
        <v>5816</v>
      </c>
      <c r="K1475" s="56" t="n">
        <v>1</v>
      </c>
      <c r="L1475" s="52" t="s">
        <v>5816</v>
      </c>
      <c r="M1475" s="52" t="s">
        <v>363</v>
      </c>
    </row>
    <row r="1476" customFormat="false" ht="17.25" hidden="false" customHeight="true" outlineLevel="0" collapsed="false">
      <c r="A1476" s="52" t="s">
        <v>5777</v>
      </c>
      <c r="B1476" s="52" t="s">
        <v>5813</v>
      </c>
      <c r="C1476" s="53" t="n">
        <v>18923</v>
      </c>
      <c r="D1476" s="52" t="s">
        <v>3237</v>
      </c>
      <c r="E1476" s="52" t="s">
        <v>3238</v>
      </c>
      <c r="F1476" s="54" t="n">
        <v>450</v>
      </c>
      <c r="G1476" s="55" t="n">
        <v>400.5</v>
      </c>
      <c r="H1476" s="55" t="n">
        <v>0.89</v>
      </c>
      <c r="I1476" s="55" t="n">
        <v>0.89</v>
      </c>
      <c r="J1476" s="52" t="s">
        <v>5816</v>
      </c>
      <c r="K1476" s="56" t="n">
        <v>1</v>
      </c>
      <c r="L1476" s="52" t="s">
        <v>5816</v>
      </c>
      <c r="M1476" s="52" t="s">
        <v>247</v>
      </c>
    </row>
    <row r="1477" customFormat="false" ht="17.25" hidden="false" customHeight="true" outlineLevel="0" collapsed="false">
      <c r="A1477" s="52" t="s">
        <v>5777</v>
      </c>
      <c r="B1477" s="52" t="s">
        <v>5813</v>
      </c>
      <c r="C1477" s="53" t="n">
        <v>1608985</v>
      </c>
      <c r="D1477" s="52" t="s">
        <v>3239</v>
      </c>
      <c r="E1477" s="52" t="s">
        <v>3240</v>
      </c>
      <c r="F1477" s="54" t="n">
        <v>5</v>
      </c>
      <c r="G1477" s="55" t="n">
        <v>400</v>
      </c>
      <c r="H1477" s="55" t="n">
        <v>80</v>
      </c>
      <c r="I1477" s="55" t="n">
        <v>80</v>
      </c>
      <c r="J1477" s="52" t="s">
        <v>5816</v>
      </c>
      <c r="K1477" s="56" t="n">
        <v>1</v>
      </c>
      <c r="L1477" s="52" t="s">
        <v>5816</v>
      </c>
      <c r="M1477" s="52" t="s">
        <v>170</v>
      </c>
    </row>
    <row r="1478" customFormat="false" ht="17.25" hidden="false" customHeight="true" outlineLevel="0" collapsed="false">
      <c r="A1478" s="52" t="s">
        <v>5777</v>
      </c>
      <c r="B1478" s="52" t="s">
        <v>5813</v>
      </c>
      <c r="C1478" s="53" t="n">
        <v>58427</v>
      </c>
      <c r="D1478" s="52" t="s">
        <v>3241</v>
      </c>
      <c r="E1478" s="52" t="s">
        <v>3242</v>
      </c>
      <c r="F1478" s="54" t="n">
        <v>10</v>
      </c>
      <c r="G1478" s="55" t="n">
        <v>399.9</v>
      </c>
      <c r="H1478" s="55" t="n">
        <v>39.99</v>
      </c>
      <c r="I1478" s="55" t="n">
        <v>39.99</v>
      </c>
      <c r="J1478" s="52" t="s">
        <v>5816</v>
      </c>
      <c r="K1478" s="56" t="n">
        <v>1</v>
      </c>
      <c r="L1478" s="52" t="s">
        <v>5816</v>
      </c>
      <c r="M1478" s="52" t="s">
        <v>189</v>
      </c>
    </row>
    <row r="1479" customFormat="false" ht="17.25" hidden="false" customHeight="true" outlineLevel="0" collapsed="false">
      <c r="A1479" s="52" t="s">
        <v>5777</v>
      </c>
      <c r="B1479" s="52" t="s">
        <v>5813</v>
      </c>
      <c r="C1479" s="53" t="n">
        <v>846434</v>
      </c>
      <c r="D1479" s="52" t="s">
        <v>3243</v>
      </c>
      <c r="E1479" s="52" t="s">
        <v>3244</v>
      </c>
      <c r="F1479" s="54" t="n">
        <v>1</v>
      </c>
      <c r="G1479" s="55" t="n">
        <v>399.81</v>
      </c>
      <c r="H1479" s="55" t="n">
        <v>399.81</v>
      </c>
      <c r="I1479" s="55" t="n">
        <v>399.81</v>
      </c>
      <c r="J1479" s="52" t="s">
        <v>5816</v>
      </c>
      <c r="K1479" s="56" t="n">
        <v>1</v>
      </c>
      <c r="L1479" s="52" t="s">
        <v>5816</v>
      </c>
      <c r="M1479" s="52" t="s">
        <v>130</v>
      </c>
    </row>
    <row r="1480" customFormat="false" ht="17.25" hidden="false" customHeight="true" outlineLevel="0" collapsed="false">
      <c r="A1480" s="52" t="s">
        <v>5777</v>
      </c>
      <c r="B1480" s="52" t="s">
        <v>5813</v>
      </c>
      <c r="C1480" s="53" t="n">
        <v>549249</v>
      </c>
      <c r="D1480" s="52" t="s">
        <v>3247</v>
      </c>
      <c r="E1480" s="52" t="s">
        <v>3248</v>
      </c>
      <c r="F1480" s="54" t="n">
        <v>1</v>
      </c>
      <c r="G1480" s="55" t="n">
        <v>398</v>
      </c>
      <c r="H1480" s="55" t="n">
        <v>398</v>
      </c>
      <c r="I1480" s="55" t="n">
        <v>398</v>
      </c>
      <c r="J1480" s="52" t="s">
        <v>5816</v>
      </c>
      <c r="K1480" s="56" t="n">
        <v>1</v>
      </c>
      <c r="L1480" s="52" t="s">
        <v>5816</v>
      </c>
      <c r="M1480" s="52" t="s">
        <v>38</v>
      </c>
    </row>
    <row r="1481" customFormat="false" ht="17.25" hidden="false" customHeight="true" outlineLevel="0" collapsed="false">
      <c r="A1481" s="52" t="s">
        <v>5777</v>
      </c>
      <c r="B1481" s="52" t="s">
        <v>5813</v>
      </c>
      <c r="C1481" s="53" t="n">
        <v>1662737</v>
      </c>
      <c r="D1481" s="52" t="s">
        <v>3249</v>
      </c>
      <c r="E1481" s="52" t="s">
        <v>3250</v>
      </c>
      <c r="F1481" s="54" t="n">
        <v>6</v>
      </c>
      <c r="G1481" s="55" t="n">
        <v>397</v>
      </c>
      <c r="H1481" s="55" t="n">
        <v>66.1667</v>
      </c>
      <c r="I1481" s="55" t="n">
        <v>66.1667</v>
      </c>
      <c r="J1481" s="52" t="s">
        <v>5816</v>
      </c>
      <c r="K1481" s="56" t="n">
        <v>1</v>
      </c>
      <c r="L1481" s="52" t="s">
        <v>5816</v>
      </c>
      <c r="M1481" s="52" t="s">
        <v>38</v>
      </c>
    </row>
    <row r="1482" customFormat="false" ht="17.25" hidden="false" customHeight="true" outlineLevel="0" collapsed="false">
      <c r="A1482" s="52" t="s">
        <v>5777</v>
      </c>
      <c r="B1482" s="52" t="s">
        <v>5813</v>
      </c>
      <c r="C1482" s="53" t="n">
        <v>1313781</v>
      </c>
      <c r="D1482" s="52" t="s">
        <v>3251</v>
      </c>
      <c r="E1482" s="52" t="s">
        <v>3252</v>
      </c>
      <c r="F1482" s="54" t="n">
        <v>5</v>
      </c>
      <c r="G1482" s="55" t="n">
        <v>396.25</v>
      </c>
      <c r="H1482" s="55" t="n">
        <v>79.25</v>
      </c>
      <c r="I1482" s="55" t="n">
        <v>79.25</v>
      </c>
      <c r="J1482" s="52" t="s">
        <v>5816</v>
      </c>
      <c r="K1482" s="56" t="n">
        <v>1</v>
      </c>
      <c r="L1482" s="52" t="s">
        <v>5816</v>
      </c>
      <c r="M1482" s="52" t="s">
        <v>189</v>
      </c>
    </row>
    <row r="1483" customFormat="false" ht="17.25" hidden="false" customHeight="true" outlineLevel="0" collapsed="false">
      <c r="A1483" s="52" t="s">
        <v>5777</v>
      </c>
      <c r="B1483" s="52" t="s">
        <v>5813</v>
      </c>
      <c r="C1483" s="53" t="n">
        <v>294251</v>
      </c>
      <c r="D1483" s="52" t="s">
        <v>3253</v>
      </c>
      <c r="E1483" s="52" t="s">
        <v>3254</v>
      </c>
      <c r="F1483" s="54" t="n">
        <v>200</v>
      </c>
      <c r="G1483" s="55" t="n">
        <v>396</v>
      </c>
      <c r="H1483" s="55" t="n">
        <v>1.98</v>
      </c>
      <c r="I1483" s="55" t="n">
        <v>1.98</v>
      </c>
      <c r="J1483" s="52" t="s">
        <v>5816</v>
      </c>
      <c r="K1483" s="56" t="n">
        <v>1</v>
      </c>
      <c r="L1483" s="52" t="s">
        <v>5816</v>
      </c>
      <c r="M1483" s="52" t="s">
        <v>100</v>
      </c>
    </row>
    <row r="1484" customFormat="false" ht="17.25" hidden="false" customHeight="true" outlineLevel="0" collapsed="false">
      <c r="A1484" s="52" t="s">
        <v>5777</v>
      </c>
      <c r="B1484" s="52" t="s">
        <v>5813</v>
      </c>
      <c r="C1484" s="53" t="n">
        <v>1465501</v>
      </c>
      <c r="D1484" s="52" t="s">
        <v>3255</v>
      </c>
      <c r="E1484" s="52" t="s">
        <v>3256</v>
      </c>
      <c r="F1484" s="54" t="n">
        <v>30</v>
      </c>
      <c r="G1484" s="55" t="n">
        <v>395.1</v>
      </c>
      <c r="H1484" s="55" t="n">
        <v>13.17</v>
      </c>
      <c r="I1484" s="55" t="n">
        <v>13.6</v>
      </c>
      <c r="J1484" s="52" t="s">
        <v>5814</v>
      </c>
      <c r="K1484" s="56" t="n">
        <v>1</v>
      </c>
      <c r="L1484" s="52" t="s">
        <v>5814</v>
      </c>
      <c r="M1484" s="52" t="s">
        <v>38</v>
      </c>
    </row>
    <row r="1485" customFormat="false" ht="17.25" hidden="false" customHeight="true" outlineLevel="0" collapsed="false">
      <c r="A1485" s="52" t="s">
        <v>5777</v>
      </c>
      <c r="B1485" s="52" t="s">
        <v>5813</v>
      </c>
      <c r="C1485" s="53" t="n">
        <v>427429</v>
      </c>
      <c r="D1485" s="52" t="s">
        <v>3257</v>
      </c>
      <c r="E1485" s="52" t="s">
        <v>3258</v>
      </c>
      <c r="F1485" s="54" t="n">
        <v>12</v>
      </c>
      <c r="G1485" s="55" t="n">
        <v>394.68</v>
      </c>
      <c r="H1485" s="55" t="n">
        <v>32.89</v>
      </c>
      <c r="I1485" s="55" t="n">
        <v>32.89</v>
      </c>
      <c r="J1485" s="52" t="s">
        <v>5816</v>
      </c>
      <c r="K1485" s="56" t="n">
        <v>1</v>
      </c>
      <c r="L1485" s="52" t="s">
        <v>5816</v>
      </c>
      <c r="M1485" s="52" t="s">
        <v>38</v>
      </c>
    </row>
    <row r="1486" customFormat="false" ht="17.25" hidden="false" customHeight="true" outlineLevel="0" collapsed="false">
      <c r="A1486" s="52" t="s">
        <v>5777</v>
      </c>
      <c r="B1486" s="52" t="s">
        <v>5813</v>
      </c>
      <c r="C1486" s="53" t="n">
        <v>1685479</v>
      </c>
      <c r="D1486" s="52" t="s">
        <v>3259</v>
      </c>
      <c r="E1486" s="52" t="s">
        <v>3260</v>
      </c>
      <c r="F1486" s="54" t="n">
        <v>1</v>
      </c>
      <c r="G1486" s="55" t="n">
        <v>393.88</v>
      </c>
      <c r="H1486" s="55" t="n">
        <v>393.88</v>
      </c>
      <c r="I1486" s="55" t="n">
        <v>393.88</v>
      </c>
      <c r="J1486" s="52" t="s">
        <v>5816</v>
      </c>
      <c r="K1486" s="56" t="n">
        <v>1</v>
      </c>
      <c r="L1486" s="52" t="s">
        <v>5816</v>
      </c>
      <c r="M1486" s="52" t="s">
        <v>54</v>
      </c>
    </row>
    <row r="1487" customFormat="false" ht="17.25" hidden="false" customHeight="true" outlineLevel="0" collapsed="false">
      <c r="A1487" s="52" t="s">
        <v>5777</v>
      </c>
      <c r="B1487" s="52" t="s">
        <v>5813</v>
      </c>
      <c r="C1487" s="53" t="n">
        <v>23814</v>
      </c>
      <c r="D1487" s="52" t="s">
        <v>3261</v>
      </c>
      <c r="E1487" s="52" t="s">
        <v>3262</v>
      </c>
      <c r="F1487" s="54" t="n">
        <v>3</v>
      </c>
      <c r="G1487" s="55" t="n">
        <v>393</v>
      </c>
      <c r="H1487" s="55" t="n">
        <v>131</v>
      </c>
      <c r="I1487" s="55" t="n">
        <v>131</v>
      </c>
      <c r="J1487" s="52" t="s">
        <v>5816</v>
      </c>
      <c r="K1487" s="56" t="n">
        <v>1</v>
      </c>
      <c r="L1487" s="52" t="s">
        <v>5816</v>
      </c>
      <c r="M1487" s="52" t="s">
        <v>247</v>
      </c>
    </row>
    <row r="1488" customFormat="false" ht="17.25" hidden="false" customHeight="true" outlineLevel="0" collapsed="false">
      <c r="A1488" s="52" t="s">
        <v>5777</v>
      </c>
      <c r="B1488" s="52" t="s">
        <v>5813</v>
      </c>
      <c r="C1488" s="53" t="n">
        <v>60674</v>
      </c>
      <c r="D1488" s="52" t="s">
        <v>3263</v>
      </c>
      <c r="E1488" s="52" t="s">
        <v>3264</v>
      </c>
      <c r="F1488" s="54" t="n">
        <v>4</v>
      </c>
      <c r="G1488" s="55" t="n">
        <v>392</v>
      </c>
      <c r="H1488" s="55" t="n">
        <v>98</v>
      </c>
      <c r="I1488" s="55" t="n">
        <v>98</v>
      </c>
      <c r="J1488" s="52" t="s">
        <v>5831</v>
      </c>
      <c r="K1488" s="56" t="n">
        <v>1</v>
      </c>
      <c r="L1488" s="52" t="s">
        <v>5831</v>
      </c>
      <c r="M1488" s="52" t="s">
        <v>247</v>
      </c>
    </row>
    <row r="1489" customFormat="false" ht="17.25" hidden="false" customHeight="true" outlineLevel="0" collapsed="false">
      <c r="A1489" s="52" t="s">
        <v>5777</v>
      </c>
      <c r="B1489" s="52" t="s">
        <v>5813</v>
      </c>
      <c r="C1489" s="53" t="n">
        <v>1330285</v>
      </c>
      <c r="D1489" s="52" t="s">
        <v>3265</v>
      </c>
      <c r="E1489" s="52" t="s">
        <v>3266</v>
      </c>
      <c r="F1489" s="54" t="n">
        <v>3.056</v>
      </c>
      <c r="G1489" s="55" t="n">
        <v>391.17</v>
      </c>
      <c r="H1489" s="55" t="n">
        <v>128.0007</v>
      </c>
      <c r="I1489" s="55" t="n">
        <v>128.0007</v>
      </c>
      <c r="J1489" s="52" t="s">
        <v>5929</v>
      </c>
      <c r="K1489" s="56" t="n">
        <v>1</v>
      </c>
      <c r="L1489" s="52" t="s">
        <v>5929</v>
      </c>
      <c r="M1489" s="52" t="s">
        <v>262</v>
      </c>
    </row>
    <row r="1490" customFormat="false" ht="17.25" hidden="false" customHeight="true" outlineLevel="0" collapsed="false">
      <c r="A1490" s="52" t="s">
        <v>5777</v>
      </c>
      <c r="B1490" s="52" t="s">
        <v>5813</v>
      </c>
      <c r="C1490" s="53" t="n">
        <v>12140</v>
      </c>
      <c r="D1490" s="52" t="s">
        <v>3267</v>
      </c>
      <c r="E1490" s="52" t="s">
        <v>3268</v>
      </c>
      <c r="F1490" s="54" t="n">
        <v>10000</v>
      </c>
      <c r="G1490" s="55" t="n">
        <v>390</v>
      </c>
      <c r="H1490" s="55" t="n">
        <v>0.039</v>
      </c>
      <c r="I1490" s="55" t="n">
        <v>0.039</v>
      </c>
      <c r="J1490" s="52" t="s">
        <v>5814</v>
      </c>
      <c r="K1490" s="56" t="n">
        <v>1</v>
      </c>
      <c r="L1490" s="52" t="s">
        <v>5814</v>
      </c>
      <c r="M1490" s="52" t="s">
        <v>38</v>
      </c>
    </row>
    <row r="1491" customFormat="false" ht="17.25" hidden="false" customHeight="true" outlineLevel="0" collapsed="false">
      <c r="A1491" s="52" t="s">
        <v>5777</v>
      </c>
      <c r="B1491" s="52" t="s">
        <v>5813</v>
      </c>
      <c r="C1491" s="53" t="n">
        <v>12141</v>
      </c>
      <c r="D1491" s="52" t="s">
        <v>3269</v>
      </c>
      <c r="E1491" s="52" t="s">
        <v>3270</v>
      </c>
      <c r="F1491" s="54" t="n">
        <v>100</v>
      </c>
      <c r="G1491" s="55" t="n">
        <v>390</v>
      </c>
      <c r="H1491" s="55" t="n">
        <v>3.9</v>
      </c>
      <c r="I1491" s="55" t="n">
        <v>3.9</v>
      </c>
      <c r="J1491" s="52" t="s">
        <v>5814</v>
      </c>
      <c r="K1491" s="56" t="n">
        <v>1</v>
      </c>
      <c r="L1491" s="52" t="s">
        <v>5814</v>
      </c>
      <c r="M1491" s="52" t="s">
        <v>38</v>
      </c>
    </row>
    <row r="1492" customFormat="false" ht="17.25" hidden="false" customHeight="true" outlineLevel="0" collapsed="false">
      <c r="A1492" s="52" t="s">
        <v>5777</v>
      </c>
      <c r="B1492" s="52" t="s">
        <v>5813</v>
      </c>
      <c r="C1492" s="53" t="n">
        <v>12145</v>
      </c>
      <c r="D1492" s="52" t="s">
        <v>3271</v>
      </c>
      <c r="E1492" s="52" t="s">
        <v>3272</v>
      </c>
      <c r="F1492" s="54" t="n">
        <v>100</v>
      </c>
      <c r="G1492" s="55" t="n">
        <v>390</v>
      </c>
      <c r="H1492" s="55" t="n">
        <v>3.9</v>
      </c>
      <c r="I1492" s="55" t="n">
        <v>3.9</v>
      </c>
      <c r="J1492" s="52" t="s">
        <v>5814</v>
      </c>
      <c r="K1492" s="56" t="n">
        <v>1</v>
      </c>
      <c r="L1492" s="52" t="s">
        <v>5814</v>
      </c>
      <c r="M1492" s="52" t="s">
        <v>38</v>
      </c>
    </row>
    <row r="1493" customFormat="false" ht="17.25" hidden="false" customHeight="true" outlineLevel="0" collapsed="false">
      <c r="A1493" s="52" t="s">
        <v>5777</v>
      </c>
      <c r="B1493" s="52" t="s">
        <v>5813</v>
      </c>
      <c r="C1493" s="53" t="n">
        <v>12146</v>
      </c>
      <c r="D1493" s="52" t="s">
        <v>3273</v>
      </c>
      <c r="E1493" s="52" t="s">
        <v>3274</v>
      </c>
      <c r="F1493" s="54" t="n">
        <v>100</v>
      </c>
      <c r="G1493" s="55" t="n">
        <v>390</v>
      </c>
      <c r="H1493" s="55" t="n">
        <v>3.9</v>
      </c>
      <c r="I1493" s="55" t="n">
        <v>3.9</v>
      </c>
      <c r="J1493" s="52" t="s">
        <v>5814</v>
      </c>
      <c r="K1493" s="56" t="n">
        <v>1</v>
      </c>
      <c r="L1493" s="52" t="s">
        <v>5814</v>
      </c>
      <c r="M1493" s="52" t="s">
        <v>38</v>
      </c>
    </row>
    <row r="1494" customFormat="false" ht="17.25" hidden="false" customHeight="true" outlineLevel="0" collapsed="false">
      <c r="A1494" s="52" t="s">
        <v>5777</v>
      </c>
      <c r="B1494" s="52" t="s">
        <v>5813</v>
      </c>
      <c r="C1494" s="53" t="n">
        <v>22372</v>
      </c>
      <c r="D1494" s="52" t="s">
        <v>3275</v>
      </c>
      <c r="E1494" s="52" t="s">
        <v>3276</v>
      </c>
      <c r="F1494" s="54" t="n">
        <v>1</v>
      </c>
      <c r="G1494" s="55" t="n">
        <v>390</v>
      </c>
      <c r="H1494" s="55" t="n">
        <v>390</v>
      </c>
      <c r="I1494" s="55" t="n">
        <v>390</v>
      </c>
      <c r="J1494" s="52" t="s">
        <v>5816</v>
      </c>
      <c r="K1494" s="56" t="n">
        <v>1</v>
      </c>
      <c r="L1494" s="52" t="s">
        <v>5816</v>
      </c>
      <c r="M1494" s="52" t="s">
        <v>130</v>
      </c>
    </row>
    <row r="1495" customFormat="false" ht="17.25" hidden="false" customHeight="true" outlineLevel="0" collapsed="false">
      <c r="A1495" s="52" t="s">
        <v>5777</v>
      </c>
      <c r="B1495" s="52" t="s">
        <v>5813</v>
      </c>
      <c r="C1495" s="53" t="n">
        <v>273478</v>
      </c>
      <c r="D1495" s="52" t="s">
        <v>3279</v>
      </c>
      <c r="E1495" s="52" t="s">
        <v>3280</v>
      </c>
      <c r="F1495" s="54" t="n">
        <v>1</v>
      </c>
      <c r="G1495" s="55" t="n">
        <v>389</v>
      </c>
      <c r="H1495" s="55" t="n">
        <v>389</v>
      </c>
      <c r="I1495" s="55" t="n">
        <v>389</v>
      </c>
      <c r="J1495" s="52" t="s">
        <v>5816</v>
      </c>
      <c r="K1495" s="56" t="n">
        <v>1</v>
      </c>
      <c r="L1495" s="52" t="s">
        <v>5816</v>
      </c>
      <c r="M1495" s="52" t="s">
        <v>75</v>
      </c>
    </row>
    <row r="1496" customFormat="false" ht="17.25" hidden="false" customHeight="true" outlineLevel="0" collapsed="false">
      <c r="A1496" s="52" t="s">
        <v>5777</v>
      </c>
      <c r="B1496" s="52" t="s">
        <v>5813</v>
      </c>
      <c r="C1496" s="53" t="n">
        <v>839622</v>
      </c>
      <c r="D1496" s="52" t="s">
        <v>3281</v>
      </c>
      <c r="E1496" s="52" t="s">
        <v>3282</v>
      </c>
      <c r="F1496" s="54" t="n">
        <v>152</v>
      </c>
      <c r="G1496" s="55" t="n">
        <v>388.96</v>
      </c>
      <c r="H1496" s="55" t="n">
        <v>2.5589</v>
      </c>
      <c r="I1496" s="55" t="n">
        <v>1.46</v>
      </c>
      <c r="J1496" s="52" t="s">
        <v>5816</v>
      </c>
      <c r="K1496" s="56" t="n">
        <v>1</v>
      </c>
      <c r="L1496" s="52" t="s">
        <v>5816</v>
      </c>
      <c r="M1496" s="52" t="s">
        <v>38</v>
      </c>
    </row>
    <row r="1497" customFormat="false" ht="17.25" hidden="false" customHeight="true" outlineLevel="0" collapsed="false">
      <c r="A1497" s="52" t="s">
        <v>5777</v>
      </c>
      <c r="B1497" s="52" t="s">
        <v>5813</v>
      </c>
      <c r="C1497" s="53" t="n">
        <v>19595</v>
      </c>
      <c r="D1497" s="52" t="s">
        <v>3283</v>
      </c>
      <c r="E1497" s="52" t="s">
        <v>3284</v>
      </c>
      <c r="F1497" s="54" t="n">
        <v>17</v>
      </c>
      <c r="G1497" s="55" t="n">
        <v>388.44</v>
      </c>
      <c r="H1497" s="55" t="n">
        <v>22.8494</v>
      </c>
      <c r="I1497" s="55" t="n">
        <v>25.57</v>
      </c>
      <c r="J1497" s="52" t="s">
        <v>5816</v>
      </c>
      <c r="K1497" s="56" t="n">
        <v>1</v>
      </c>
      <c r="L1497" s="52" t="s">
        <v>5816</v>
      </c>
      <c r="M1497" s="52" t="s">
        <v>1095</v>
      </c>
    </row>
    <row r="1498" customFormat="false" ht="17.25" hidden="false" customHeight="true" outlineLevel="0" collapsed="false">
      <c r="A1498" s="52" t="s">
        <v>5777</v>
      </c>
      <c r="B1498" s="52" t="s">
        <v>5813</v>
      </c>
      <c r="C1498" s="53" t="n">
        <v>143063</v>
      </c>
      <c r="D1498" s="52" t="s">
        <v>3285</v>
      </c>
      <c r="E1498" s="52" t="s">
        <v>3286</v>
      </c>
      <c r="F1498" s="54" t="n">
        <v>1</v>
      </c>
      <c r="G1498" s="55" t="n">
        <v>388</v>
      </c>
      <c r="H1498" s="55" t="n">
        <v>388</v>
      </c>
      <c r="I1498" s="55" t="n">
        <v>388</v>
      </c>
      <c r="J1498" s="52" t="s">
        <v>5816</v>
      </c>
      <c r="K1498" s="56" t="n">
        <v>1</v>
      </c>
      <c r="L1498" s="52" t="s">
        <v>5816</v>
      </c>
      <c r="M1498" s="52" t="s">
        <v>130</v>
      </c>
    </row>
    <row r="1499" customFormat="false" ht="17.25" hidden="false" customHeight="true" outlineLevel="0" collapsed="false">
      <c r="A1499" s="52" t="s">
        <v>5777</v>
      </c>
      <c r="B1499" s="52" t="s">
        <v>5813</v>
      </c>
      <c r="C1499" s="53" t="n">
        <v>19547</v>
      </c>
      <c r="D1499" s="52" t="s">
        <v>3287</v>
      </c>
      <c r="E1499" s="52" t="s">
        <v>3288</v>
      </c>
      <c r="F1499" s="54" t="n">
        <v>15</v>
      </c>
      <c r="G1499" s="55" t="n">
        <v>387.1235</v>
      </c>
      <c r="H1499" s="55" t="n">
        <v>25.8083</v>
      </c>
      <c r="I1499" s="55" t="n">
        <v>25.75</v>
      </c>
      <c r="J1499" s="52" t="s">
        <v>5816</v>
      </c>
      <c r="K1499" s="56" t="n">
        <v>1</v>
      </c>
      <c r="L1499" s="52" t="s">
        <v>5816</v>
      </c>
      <c r="M1499" s="52" t="s">
        <v>1095</v>
      </c>
    </row>
    <row r="1500" customFormat="false" ht="17.25" hidden="false" customHeight="true" outlineLevel="0" collapsed="false">
      <c r="A1500" s="52" t="s">
        <v>5777</v>
      </c>
      <c r="B1500" s="52" t="s">
        <v>5813</v>
      </c>
      <c r="C1500" s="53" t="n">
        <v>221489</v>
      </c>
      <c r="D1500" s="52" t="s">
        <v>3289</v>
      </c>
      <c r="E1500" s="52" t="s">
        <v>3290</v>
      </c>
      <c r="F1500" s="54" t="n">
        <v>2</v>
      </c>
      <c r="G1500" s="55" t="n">
        <v>386.24</v>
      </c>
      <c r="H1500" s="55" t="n">
        <v>193.12</v>
      </c>
      <c r="I1500" s="55" t="n">
        <v>193.12</v>
      </c>
      <c r="J1500" s="52" t="s">
        <v>5816</v>
      </c>
      <c r="K1500" s="56" t="n">
        <v>1</v>
      </c>
      <c r="L1500" s="52" t="s">
        <v>5816</v>
      </c>
      <c r="M1500" s="52" t="s">
        <v>130</v>
      </c>
    </row>
    <row r="1501" customFormat="false" ht="17.25" hidden="false" customHeight="true" outlineLevel="0" collapsed="false">
      <c r="A1501" s="52" t="s">
        <v>5777</v>
      </c>
      <c r="B1501" s="52" t="s">
        <v>5813</v>
      </c>
      <c r="C1501" s="53" t="n">
        <v>1539891</v>
      </c>
      <c r="D1501" s="52" t="s">
        <v>3291</v>
      </c>
      <c r="E1501" s="52" t="s">
        <v>3292</v>
      </c>
      <c r="F1501" s="54" t="n">
        <v>1</v>
      </c>
      <c r="G1501" s="55" t="n">
        <v>386</v>
      </c>
      <c r="H1501" s="55" t="n">
        <v>386</v>
      </c>
      <c r="I1501" s="55" t="n">
        <v>386</v>
      </c>
      <c r="J1501" s="52" t="s">
        <v>5816</v>
      </c>
      <c r="K1501" s="56" t="n">
        <v>1</v>
      </c>
      <c r="L1501" s="52" t="s">
        <v>5816</v>
      </c>
      <c r="M1501" s="52" t="s">
        <v>130</v>
      </c>
    </row>
    <row r="1502" customFormat="false" ht="17.25" hidden="false" customHeight="true" outlineLevel="0" collapsed="false">
      <c r="A1502" s="52" t="s">
        <v>5777</v>
      </c>
      <c r="B1502" s="52" t="s">
        <v>5813</v>
      </c>
      <c r="C1502" s="53" t="n">
        <v>1330098</v>
      </c>
      <c r="D1502" s="52" t="s">
        <v>3293</v>
      </c>
      <c r="E1502" s="52" t="s">
        <v>3294</v>
      </c>
      <c r="F1502" s="54" t="n">
        <v>3</v>
      </c>
      <c r="G1502" s="55" t="n">
        <v>384</v>
      </c>
      <c r="H1502" s="55" t="n">
        <v>128</v>
      </c>
      <c r="I1502" s="55" t="n">
        <v>128</v>
      </c>
      <c r="J1502" s="52" t="s">
        <v>5816</v>
      </c>
      <c r="K1502" s="56" t="n">
        <v>1</v>
      </c>
      <c r="L1502" s="52" t="s">
        <v>5816</v>
      </c>
      <c r="M1502" s="52" t="s">
        <v>35</v>
      </c>
    </row>
    <row r="1503" customFormat="false" ht="17.25" hidden="false" customHeight="true" outlineLevel="0" collapsed="false">
      <c r="A1503" s="52" t="s">
        <v>5777</v>
      </c>
      <c r="B1503" s="52" t="s">
        <v>5813</v>
      </c>
      <c r="C1503" s="53" t="n">
        <v>1681000</v>
      </c>
      <c r="D1503" s="52" t="s">
        <v>3295</v>
      </c>
      <c r="E1503" s="52" t="s">
        <v>3296</v>
      </c>
      <c r="F1503" s="54" t="n">
        <v>355</v>
      </c>
      <c r="G1503" s="55" t="n">
        <v>383.4</v>
      </c>
      <c r="H1503" s="55" t="n">
        <v>1.08</v>
      </c>
      <c r="I1503" s="55" t="n">
        <v>1.08</v>
      </c>
      <c r="J1503" s="52" t="s">
        <v>5816</v>
      </c>
      <c r="K1503" s="56" t="n">
        <v>1</v>
      </c>
      <c r="L1503" s="52" t="s">
        <v>5816</v>
      </c>
      <c r="M1503" s="52" t="s">
        <v>133</v>
      </c>
    </row>
    <row r="1504" customFormat="false" ht="17.25" hidden="false" customHeight="true" outlineLevel="0" collapsed="false">
      <c r="A1504" s="52" t="s">
        <v>5777</v>
      </c>
      <c r="B1504" s="52" t="s">
        <v>5813</v>
      </c>
      <c r="C1504" s="53" t="n">
        <v>1465889</v>
      </c>
      <c r="D1504" s="52" t="s">
        <v>3297</v>
      </c>
      <c r="E1504" s="52" t="s">
        <v>3298</v>
      </c>
      <c r="F1504" s="54" t="n">
        <v>119</v>
      </c>
      <c r="G1504" s="55" t="n">
        <v>381.56</v>
      </c>
      <c r="H1504" s="55" t="n">
        <v>3.2064</v>
      </c>
      <c r="I1504" s="55" t="n">
        <v>4.04</v>
      </c>
      <c r="J1504" s="52" t="s">
        <v>5816</v>
      </c>
      <c r="K1504" s="56" t="n">
        <v>1</v>
      </c>
      <c r="L1504" s="52" t="s">
        <v>5816</v>
      </c>
      <c r="M1504" s="52" t="s">
        <v>100</v>
      </c>
    </row>
    <row r="1505" customFormat="false" ht="17.25" hidden="false" customHeight="true" outlineLevel="0" collapsed="false">
      <c r="A1505" s="52" t="s">
        <v>5777</v>
      </c>
      <c r="B1505" s="52" t="s">
        <v>5813</v>
      </c>
      <c r="C1505" s="53" t="n">
        <v>24041</v>
      </c>
      <c r="D1505" s="52" t="s">
        <v>3299</v>
      </c>
      <c r="E1505" s="52" t="s">
        <v>3300</v>
      </c>
      <c r="F1505" s="54" t="n">
        <v>3</v>
      </c>
      <c r="G1505" s="55" t="n">
        <v>381.5</v>
      </c>
      <c r="H1505" s="55" t="n">
        <v>127.1667</v>
      </c>
      <c r="I1505" s="55" t="n">
        <v>119.5</v>
      </c>
      <c r="J1505" s="52" t="s">
        <v>5831</v>
      </c>
      <c r="K1505" s="56" t="n">
        <v>1</v>
      </c>
      <c r="L1505" s="52" t="s">
        <v>5831</v>
      </c>
      <c r="M1505" s="52" t="s">
        <v>247</v>
      </c>
    </row>
    <row r="1506" customFormat="false" ht="17.25" hidden="false" customHeight="true" outlineLevel="0" collapsed="false">
      <c r="A1506" s="52" t="s">
        <v>5777</v>
      </c>
      <c r="B1506" s="52" t="s">
        <v>5813</v>
      </c>
      <c r="C1506" s="53" t="n">
        <v>290267</v>
      </c>
      <c r="D1506" s="52" t="s">
        <v>3301</v>
      </c>
      <c r="E1506" s="52" t="s">
        <v>3302</v>
      </c>
      <c r="F1506" s="54" t="n">
        <v>1</v>
      </c>
      <c r="G1506" s="55" t="n">
        <v>381.48</v>
      </c>
      <c r="H1506" s="55" t="n">
        <v>381.48</v>
      </c>
      <c r="I1506" s="55" t="n">
        <v>381.48</v>
      </c>
      <c r="J1506" s="52" t="s">
        <v>5816</v>
      </c>
      <c r="K1506" s="56" t="n">
        <v>1</v>
      </c>
      <c r="L1506" s="52" t="s">
        <v>5816</v>
      </c>
      <c r="M1506" s="52" t="s">
        <v>113</v>
      </c>
    </row>
    <row r="1507" customFormat="false" ht="17.25" hidden="false" customHeight="true" outlineLevel="0" collapsed="false">
      <c r="A1507" s="52" t="s">
        <v>5777</v>
      </c>
      <c r="B1507" s="52" t="s">
        <v>5813</v>
      </c>
      <c r="C1507" s="53" t="n">
        <v>17884</v>
      </c>
      <c r="D1507" s="52" t="s">
        <v>3303</v>
      </c>
      <c r="E1507" s="52" t="s">
        <v>3304</v>
      </c>
      <c r="F1507" s="54" t="n">
        <v>20</v>
      </c>
      <c r="G1507" s="55" t="n">
        <v>380</v>
      </c>
      <c r="H1507" s="55" t="n">
        <v>19</v>
      </c>
      <c r="I1507" s="55" t="n">
        <v>19</v>
      </c>
      <c r="J1507" s="52" t="s">
        <v>5816</v>
      </c>
      <c r="K1507" s="56" t="n">
        <v>1</v>
      </c>
      <c r="L1507" s="52" t="s">
        <v>5816</v>
      </c>
      <c r="M1507" s="52" t="s">
        <v>835</v>
      </c>
    </row>
    <row r="1508" customFormat="false" ht="17.25" hidden="false" customHeight="true" outlineLevel="0" collapsed="false">
      <c r="A1508" s="52" t="s">
        <v>5777</v>
      </c>
      <c r="B1508" s="52" t="s">
        <v>5813</v>
      </c>
      <c r="C1508" s="53" t="n">
        <v>18581</v>
      </c>
      <c r="D1508" s="52" t="s">
        <v>3305</v>
      </c>
      <c r="E1508" s="52" t="s">
        <v>3306</v>
      </c>
      <c r="F1508" s="54" t="n">
        <v>10</v>
      </c>
      <c r="G1508" s="55" t="n">
        <v>380</v>
      </c>
      <c r="H1508" s="55" t="n">
        <v>38</v>
      </c>
      <c r="I1508" s="55" t="n">
        <v>38</v>
      </c>
      <c r="J1508" s="52" t="s">
        <v>5816</v>
      </c>
      <c r="K1508" s="56" t="n">
        <v>1</v>
      </c>
      <c r="L1508" s="52" t="s">
        <v>5816</v>
      </c>
      <c r="M1508" s="52" t="s">
        <v>262</v>
      </c>
    </row>
    <row r="1509" customFormat="false" ht="17.25" hidden="false" customHeight="true" outlineLevel="0" collapsed="false">
      <c r="A1509" s="52" t="s">
        <v>5777</v>
      </c>
      <c r="B1509" s="52" t="s">
        <v>5813</v>
      </c>
      <c r="C1509" s="53" t="n">
        <v>349305</v>
      </c>
      <c r="D1509" s="52" t="s">
        <v>3309</v>
      </c>
      <c r="E1509" s="52" t="s">
        <v>3310</v>
      </c>
      <c r="F1509" s="54" t="n">
        <v>5</v>
      </c>
      <c r="G1509" s="55" t="n">
        <v>376.25</v>
      </c>
      <c r="H1509" s="55" t="n">
        <v>75.25</v>
      </c>
      <c r="I1509" s="55" t="n">
        <v>75.25</v>
      </c>
      <c r="J1509" s="52" t="s">
        <v>5816</v>
      </c>
      <c r="K1509" s="56" t="n">
        <v>1</v>
      </c>
      <c r="L1509" s="52" t="s">
        <v>5816</v>
      </c>
      <c r="M1509" s="52" t="s">
        <v>189</v>
      </c>
    </row>
    <row r="1510" customFormat="false" ht="17.25" hidden="false" customHeight="true" outlineLevel="0" collapsed="false">
      <c r="A1510" s="52" t="s">
        <v>5777</v>
      </c>
      <c r="B1510" s="52" t="s">
        <v>5813</v>
      </c>
      <c r="C1510" s="53" t="n">
        <v>388730</v>
      </c>
      <c r="D1510" s="52" t="s">
        <v>3311</v>
      </c>
      <c r="E1510" s="52" t="s">
        <v>3312</v>
      </c>
      <c r="F1510" s="54" t="n">
        <v>670</v>
      </c>
      <c r="G1510" s="55" t="n">
        <v>376.06</v>
      </c>
      <c r="H1510" s="55" t="n">
        <v>0.5613</v>
      </c>
      <c r="I1510" s="55" t="n">
        <v>0.44</v>
      </c>
      <c r="J1510" s="52" t="s">
        <v>5816</v>
      </c>
      <c r="K1510" s="56" t="n">
        <v>1</v>
      </c>
      <c r="L1510" s="52" t="s">
        <v>5816</v>
      </c>
      <c r="M1510" s="52" t="s">
        <v>100</v>
      </c>
    </row>
    <row r="1511" customFormat="false" ht="17.25" hidden="false" customHeight="true" outlineLevel="0" collapsed="false">
      <c r="A1511" s="52" t="s">
        <v>5777</v>
      </c>
      <c r="B1511" s="52" t="s">
        <v>5813</v>
      </c>
      <c r="C1511" s="53" t="n">
        <v>1063856</v>
      </c>
      <c r="D1511" s="52" t="s">
        <v>3313</v>
      </c>
      <c r="E1511" s="52" t="s">
        <v>3314</v>
      </c>
      <c r="F1511" s="54" t="n">
        <v>3</v>
      </c>
      <c r="G1511" s="55" t="n">
        <v>375</v>
      </c>
      <c r="H1511" s="55" t="n">
        <v>125</v>
      </c>
      <c r="I1511" s="55" t="n">
        <v>125</v>
      </c>
      <c r="J1511" s="52" t="s">
        <v>5816</v>
      </c>
      <c r="K1511" s="56" t="n">
        <v>1</v>
      </c>
      <c r="L1511" s="52" t="s">
        <v>5816</v>
      </c>
      <c r="M1511" s="52" t="s">
        <v>247</v>
      </c>
    </row>
    <row r="1512" customFormat="false" ht="17.25" hidden="false" customHeight="true" outlineLevel="0" collapsed="false">
      <c r="A1512" s="52" t="s">
        <v>5777</v>
      </c>
      <c r="B1512" s="52" t="s">
        <v>5813</v>
      </c>
      <c r="C1512" s="53" t="n">
        <v>556890</v>
      </c>
      <c r="D1512" s="52" t="s">
        <v>3315</v>
      </c>
      <c r="E1512" s="52" t="s">
        <v>3316</v>
      </c>
      <c r="F1512" s="54" t="n">
        <v>2</v>
      </c>
      <c r="G1512" s="55" t="n">
        <v>374.93</v>
      </c>
      <c r="H1512" s="55" t="n">
        <v>187.465</v>
      </c>
      <c r="I1512" s="55" t="n">
        <v>179.93</v>
      </c>
      <c r="J1512" s="52" t="s">
        <v>5816</v>
      </c>
      <c r="K1512" s="56" t="n">
        <v>1</v>
      </c>
      <c r="L1512" s="52" t="s">
        <v>5816</v>
      </c>
      <c r="M1512" s="52" t="s">
        <v>130</v>
      </c>
    </row>
    <row r="1513" customFormat="false" ht="17.25" hidden="false" customHeight="true" outlineLevel="0" collapsed="false">
      <c r="A1513" s="52" t="s">
        <v>5777</v>
      </c>
      <c r="B1513" s="52" t="s">
        <v>5813</v>
      </c>
      <c r="C1513" s="53" t="n">
        <v>1483891</v>
      </c>
      <c r="D1513" s="52" t="s">
        <v>3317</v>
      </c>
      <c r="E1513" s="52" t="s">
        <v>3318</v>
      </c>
      <c r="F1513" s="54" t="n">
        <v>25</v>
      </c>
      <c r="G1513" s="55" t="n">
        <v>374.5</v>
      </c>
      <c r="H1513" s="55" t="n">
        <v>14.98</v>
      </c>
      <c r="I1513" s="55" t="n">
        <v>14.98</v>
      </c>
      <c r="J1513" s="52" t="s">
        <v>5816</v>
      </c>
      <c r="K1513" s="56" t="n">
        <v>1</v>
      </c>
      <c r="L1513" s="52" t="s">
        <v>5816</v>
      </c>
      <c r="M1513" s="52" t="s">
        <v>54</v>
      </c>
    </row>
    <row r="1514" customFormat="false" ht="17.25" hidden="false" customHeight="true" outlineLevel="0" collapsed="false">
      <c r="A1514" s="52" t="s">
        <v>5777</v>
      </c>
      <c r="B1514" s="52" t="s">
        <v>5813</v>
      </c>
      <c r="C1514" s="53" t="n">
        <v>929609</v>
      </c>
      <c r="D1514" s="52" t="s">
        <v>3319</v>
      </c>
      <c r="E1514" s="52" t="s">
        <v>3320</v>
      </c>
      <c r="F1514" s="54" t="n">
        <v>20</v>
      </c>
      <c r="G1514" s="55" t="n">
        <v>373</v>
      </c>
      <c r="H1514" s="55" t="n">
        <v>18.65</v>
      </c>
      <c r="I1514" s="55" t="n">
        <v>18.65</v>
      </c>
      <c r="J1514" s="52" t="s">
        <v>5816</v>
      </c>
      <c r="K1514" s="56" t="n">
        <v>1</v>
      </c>
      <c r="L1514" s="52" t="s">
        <v>5816</v>
      </c>
      <c r="M1514" s="52" t="s">
        <v>38</v>
      </c>
    </row>
    <row r="1515" customFormat="false" ht="17.25" hidden="false" customHeight="true" outlineLevel="0" collapsed="false">
      <c r="A1515" s="52" t="s">
        <v>5777</v>
      </c>
      <c r="B1515" s="52" t="s">
        <v>5813</v>
      </c>
      <c r="C1515" s="53" t="n">
        <v>1485534</v>
      </c>
      <c r="D1515" s="52" t="s">
        <v>3321</v>
      </c>
      <c r="E1515" s="57" t="s">
        <v>5930</v>
      </c>
      <c r="F1515" s="54" t="n">
        <v>26</v>
      </c>
      <c r="G1515" s="55" t="n">
        <v>371.8</v>
      </c>
      <c r="H1515" s="55" t="n">
        <v>14.3</v>
      </c>
      <c r="I1515" s="55" t="n">
        <v>14.3</v>
      </c>
      <c r="J1515" s="52" t="s">
        <v>5816</v>
      </c>
      <c r="K1515" s="56" t="n">
        <v>1</v>
      </c>
      <c r="L1515" s="52" t="s">
        <v>5816</v>
      </c>
      <c r="M1515" s="52" t="s">
        <v>38</v>
      </c>
    </row>
    <row r="1516" customFormat="false" ht="17.25" hidden="false" customHeight="true" outlineLevel="0" collapsed="false">
      <c r="A1516" s="52" t="s">
        <v>5777</v>
      </c>
      <c r="B1516" s="52" t="s">
        <v>5813</v>
      </c>
      <c r="C1516" s="53" t="n">
        <v>34851</v>
      </c>
      <c r="D1516" s="52" t="s">
        <v>3323</v>
      </c>
      <c r="E1516" s="52" t="s">
        <v>3324</v>
      </c>
      <c r="F1516" s="54" t="n">
        <v>5</v>
      </c>
      <c r="G1516" s="55" t="n">
        <v>370.92</v>
      </c>
      <c r="H1516" s="55" t="n">
        <v>74.184</v>
      </c>
      <c r="I1516" s="55" t="n">
        <v>88.23</v>
      </c>
      <c r="J1516" s="52" t="s">
        <v>5816</v>
      </c>
      <c r="K1516" s="56" t="n">
        <v>1</v>
      </c>
      <c r="L1516" s="52" t="s">
        <v>5816</v>
      </c>
      <c r="M1516" s="52" t="s">
        <v>130</v>
      </c>
    </row>
    <row r="1517" customFormat="false" ht="17.25" hidden="false" customHeight="true" outlineLevel="0" collapsed="false">
      <c r="A1517" s="52" t="s">
        <v>5777</v>
      </c>
      <c r="B1517" s="52" t="s">
        <v>5813</v>
      </c>
      <c r="C1517" s="53" t="n">
        <v>1014563</v>
      </c>
      <c r="D1517" s="52" t="s">
        <v>3325</v>
      </c>
      <c r="E1517" s="52" t="s">
        <v>5931</v>
      </c>
      <c r="F1517" s="54" t="n">
        <v>2</v>
      </c>
      <c r="G1517" s="55" t="n">
        <v>370.78</v>
      </c>
      <c r="H1517" s="55" t="n">
        <v>185.39</v>
      </c>
      <c r="I1517" s="55" t="n">
        <v>185.39</v>
      </c>
      <c r="J1517" s="52" t="s">
        <v>5816</v>
      </c>
      <c r="K1517" s="56" t="n">
        <v>1</v>
      </c>
      <c r="L1517" s="52" t="s">
        <v>5816</v>
      </c>
      <c r="M1517" s="52" t="s">
        <v>130</v>
      </c>
    </row>
    <row r="1518" customFormat="false" ht="17.25" hidden="false" customHeight="true" outlineLevel="0" collapsed="false">
      <c r="A1518" s="52" t="s">
        <v>5777</v>
      </c>
      <c r="B1518" s="52" t="s">
        <v>5813</v>
      </c>
      <c r="C1518" s="53" t="n">
        <v>835621</v>
      </c>
      <c r="D1518" s="52" t="s">
        <v>3327</v>
      </c>
      <c r="E1518" s="52" t="s">
        <v>3328</v>
      </c>
      <c r="F1518" s="54" t="n">
        <v>11</v>
      </c>
      <c r="G1518" s="55" t="n">
        <v>370.04</v>
      </c>
      <c r="H1518" s="55" t="n">
        <v>33.64</v>
      </c>
      <c r="I1518" s="55" t="n">
        <v>33.64</v>
      </c>
      <c r="J1518" s="52" t="s">
        <v>5816</v>
      </c>
      <c r="K1518" s="56" t="n">
        <v>1</v>
      </c>
      <c r="L1518" s="52" t="s">
        <v>5816</v>
      </c>
      <c r="M1518" s="52" t="s">
        <v>38</v>
      </c>
    </row>
    <row r="1519" customFormat="false" ht="17.25" hidden="false" customHeight="true" outlineLevel="0" collapsed="false">
      <c r="A1519" s="52" t="s">
        <v>5777</v>
      </c>
      <c r="B1519" s="52" t="s">
        <v>5813</v>
      </c>
      <c r="C1519" s="53" t="n">
        <v>1111896</v>
      </c>
      <c r="D1519" s="52" t="s">
        <v>3329</v>
      </c>
      <c r="E1519" s="52" t="s">
        <v>3330</v>
      </c>
      <c r="F1519" s="54" t="n">
        <v>1000</v>
      </c>
      <c r="G1519" s="55" t="n">
        <v>370</v>
      </c>
      <c r="H1519" s="55" t="n">
        <v>0.37</v>
      </c>
      <c r="I1519" s="55" t="n">
        <v>0.37</v>
      </c>
      <c r="J1519" s="52" t="s">
        <v>5816</v>
      </c>
      <c r="K1519" s="56" t="n">
        <v>1</v>
      </c>
      <c r="L1519" s="52" t="s">
        <v>5816</v>
      </c>
      <c r="M1519" s="52" t="s">
        <v>100</v>
      </c>
    </row>
    <row r="1520" customFormat="false" ht="17.25" hidden="false" customHeight="true" outlineLevel="0" collapsed="false">
      <c r="A1520" s="52" t="s">
        <v>5777</v>
      </c>
      <c r="B1520" s="52" t="s">
        <v>5813</v>
      </c>
      <c r="C1520" s="53" t="n">
        <v>1605182</v>
      </c>
      <c r="D1520" s="52" t="s">
        <v>3331</v>
      </c>
      <c r="E1520" s="52" t="s">
        <v>3332</v>
      </c>
      <c r="F1520" s="54" t="n">
        <v>1</v>
      </c>
      <c r="G1520" s="55" t="n">
        <v>370</v>
      </c>
      <c r="H1520" s="55" t="n">
        <v>370</v>
      </c>
      <c r="I1520" s="55" t="n">
        <v>370</v>
      </c>
      <c r="J1520" s="52" t="s">
        <v>5816</v>
      </c>
      <c r="K1520" s="56" t="n">
        <v>1</v>
      </c>
      <c r="L1520" s="52" t="s">
        <v>5816</v>
      </c>
      <c r="M1520" s="52" t="s">
        <v>38</v>
      </c>
    </row>
    <row r="1521" customFormat="false" ht="17.25" hidden="false" customHeight="true" outlineLevel="0" collapsed="false">
      <c r="A1521" s="52" t="s">
        <v>5777</v>
      </c>
      <c r="B1521" s="52" t="s">
        <v>5813</v>
      </c>
      <c r="C1521" s="53" t="n">
        <v>280182</v>
      </c>
      <c r="D1521" s="52" t="s">
        <v>3333</v>
      </c>
      <c r="E1521" s="52" t="s">
        <v>3334</v>
      </c>
      <c r="F1521" s="54" t="n">
        <v>68</v>
      </c>
      <c r="G1521" s="55" t="n">
        <v>369.2</v>
      </c>
      <c r="H1521" s="55" t="n">
        <v>5.4294</v>
      </c>
      <c r="I1521" s="55" t="n">
        <v>3.9</v>
      </c>
      <c r="J1521" s="52" t="s">
        <v>5816</v>
      </c>
      <c r="K1521" s="56" t="n">
        <v>1</v>
      </c>
      <c r="L1521" s="52" t="s">
        <v>5816</v>
      </c>
      <c r="M1521" s="52" t="s">
        <v>38</v>
      </c>
    </row>
    <row r="1522" customFormat="false" ht="17.25" hidden="false" customHeight="true" outlineLevel="0" collapsed="false">
      <c r="A1522" s="52" t="s">
        <v>5777</v>
      </c>
      <c r="B1522" s="52" t="s">
        <v>5813</v>
      </c>
      <c r="C1522" s="53" t="n">
        <v>1485438</v>
      </c>
      <c r="D1522" s="52" t="s">
        <v>3335</v>
      </c>
      <c r="E1522" s="52" t="s">
        <v>3336</v>
      </c>
      <c r="F1522" s="54" t="n">
        <v>19</v>
      </c>
      <c r="G1522" s="55" t="n">
        <v>368.15</v>
      </c>
      <c r="H1522" s="55" t="n">
        <v>19.3763</v>
      </c>
      <c r="I1522" s="55" t="n">
        <v>19.3763</v>
      </c>
      <c r="J1522" s="52" t="s">
        <v>5816</v>
      </c>
      <c r="K1522" s="56" t="n">
        <v>1</v>
      </c>
      <c r="L1522" s="52" t="s">
        <v>5816</v>
      </c>
      <c r="M1522" s="52" t="s">
        <v>38</v>
      </c>
    </row>
    <row r="1523" customFormat="false" ht="17.25" hidden="false" customHeight="true" outlineLevel="0" collapsed="false">
      <c r="A1523" s="52" t="s">
        <v>5777</v>
      </c>
      <c r="B1523" s="52" t="s">
        <v>5813</v>
      </c>
      <c r="C1523" s="53" t="n">
        <v>1096419</v>
      </c>
      <c r="D1523" s="52" t="s">
        <v>3337</v>
      </c>
      <c r="E1523" s="52" t="s">
        <v>3338</v>
      </c>
      <c r="F1523" s="54" t="n">
        <v>2</v>
      </c>
      <c r="G1523" s="55" t="n">
        <v>367.74</v>
      </c>
      <c r="H1523" s="55" t="n">
        <v>183.87</v>
      </c>
      <c r="I1523" s="55" t="n">
        <v>183.87</v>
      </c>
      <c r="J1523" s="52" t="s">
        <v>5816</v>
      </c>
      <c r="K1523" s="56" t="n">
        <v>1</v>
      </c>
      <c r="L1523" s="52" t="s">
        <v>5816</v>
      </c>
      <c r="M1523" s="52" t="s">
        <v>334</v>
      </c>
    </row>
    <row r="1524" customFormat="false" ht="17.25" hidden="false" customHeight="true" outlineLevel="0" collapsed="false">
      <c r="A1524" s="52" t="s">
        <v>5777</v>
      </c>
      <c r="B1524" s="52" t="s">
        <v>5813</v>
      </c>
      <c r="C1524" s="53" t="n">
        <v>884892</v>
      </c>
      <c r="D1524" s="52" t="s">
        <v>3339</v>
      </c>
      <c r="E1524" s="52" t="s">
        <v>3340</v>
      </c>
      <c r="F1524" s="54" t="n">
        <v>1</v>
      </c>
      <c r="G1524" s="55" t="n">
        <v>366.718</v>
      </c>
      <c r="H1524" s="55" t="n">
        <v>366.7182</v>
      </c>
      <c r="I1524" s="55" t="n">
        <v>395.59</v>
      </c>
      <c r="J1524" s="52" t="s">
        <v>5817</v>
      </c>
      <c r="K1524" s="56" t="n">
        <v>1</v>
      </c>
      <c r="L1524" s="52" t="s">
        <v>5817</v>
      </c>
      <c r="M1524" s="52" t="s">
        <v>35</v>
      </c>
    </row>
    <row r="1525" customFormat="false" ht="17.25" hidden="false" customHeight="true" outlineLevel="0" collapsed="false">
      <c r="A1525" s="52" t="s">
        <v>5777</v>
      </c>
      <c r="B1525" s="52" t="s">
        <v>5813</v>
      </c>
      <c r="C1525" s="53" t="n">
        <v>840026</v>
      </c>
      <c r="D1525" s="52" t="s">
        <v>3341</v>
      </c>
      <c r="E1525" s="52" t="s">
        <v>3342</v>
      </c>
      <c r="F1525" s="54" t="n">
        <v>127</v>
      </c>
      <c r="G1525" s="55" t="n">
        <v>364.83</v>
      </c>
      <c r="H1525" s="55" t="n">
        <v>2.8727</v>
      </c>
      <c r="I1525" s="55" t="n">
        <v>2.85</v>
      </c>
      <c r="J1525" s="52" t="s">
        <v>5816</v>
      </c>
      <c r="K1525" s="56" t="n">
        <v>1</v>
      </c>
      <c r="L1525" s="52" t="s">
        <v>5816</v>
      </c>
      <c r="M1525" s="52" t="s">
        <v>54</v>
      </c>
    </row>
    <row r="1526" customFormat="false" ht="17.25" hidden="false" customHeight="true" outlineLevel="0" collapsed="false">
      <c r="A1526" s="52" t="s">
        <v>5777</v>
      </c>
      <c r="B1526" s="52" t="s">
        <v>5813</v>
      </c>
      <c r="C1526" s="53" t="n">
        <v>21804</v>
      </c>
      <c r="D1526" s="52" t="s">
        <v>3345</v>
      </c>
      <c r="E1526" s="52" t="s">
        <v>3346</v>
      </c>
      <c r="F1526" s="54" t="n">
        <v>9</v>
      </c>
      <c r="G1526" s="55" t="n">
        <v>360</v>
      </c>
      <c r="H1526" s="55" t="n">
        <v>40</v>
      </c>
      <c r="I1526" s="55" t="n">
        <v>40</v>
      </c>
      <c r="J1526" s="52" t="s">
        <v>5816</v>
      </c>
      <c r="K1526" s="56" t="n">
        <v>1</v>
      </c>
      <c r="L1526" s="52" t="s">
        <v>5816</v>
      </c>
      <c r="M1526" s="52" t="s">
        <v>189</v>
      </c>
    </row>
    <row r="1527" customFormat="false" ht="17.25" hidden="false" customHeight="true" outlineLevel="0" collapsed="false">
      <c r="A1527" s="52" t="s">
        <v>5777</v>
      </c>
      <c r="B1527" s="52" t="s">
        <v>5813</v>
      </c>
      <c r="C1527" s="53" t="n">
        <v>137817</v>
      </c>
      <c r="D1527" s="52" t="s">
        <v>3347</v>
      </c>
      <c r="E1527" s="52" t="s">
        <v>3348</v>
      </c>
      <c r="F1527" s="54" t="n">
        <v>200</v>
      </c>
      <c r="G1527" s="55" t="n">
        <v>360</v>
      </c>
      <c r="H1527" s="55" t="n">
        <v>1.8</v>
      </c>
      <c r="I1527" s="55" t="n">
        <v>1.8</v>
      </c>
      <c r="J1527" s="52" t="s">
        <v>5816</v>
      </c>
      <c r="K1527" s="56" t="n">
        <v>1</v>
      </c>
      <c r="L1527" s="52" t="s">
        <v>5816</v>
      </c>
      <c r="M1527" s="52" t="s">
        <v>247</v>
      </c>
    </row>
    <row r="1528" customFormat="false" ht="17.25" hidden="false" customHeight="true" outlineLevel="0" collapsed="false">
      <c r="A1528" s="52" t="s">
        <v>5777</v>
      </c>
      <c r="B1528" s="52" t="s">
        <v>5813</v>
      </c>
      <c r="C1528" s="53" t="n">
        <v>1384073</v>
      </c>
      <c r="D1528" s="52" t="s">
        <v>3349</v>
      </c>
      <c r="E1528" s="52" t="s">
        <v>3350</v>
      </c>
      <c r="F1528" s="54" t="n">
        <v>20</v>
      </c>
      <c r="G1528" s="55" t="n">
        <v>359.88</v>
      </c>
      <c r="H1528" s="55" t="n">
        <v>17.994</v>
      </c>
      <c r="I1528" s="55" t="n">
        <v>16.19</v>
      </c>
      <c r="J1528" s="52" t="s">
        <v>5816</v>
      </c>
      <c r="K1528" s="56" t="n">
        <v>1</v>
      </c>
      <c r="L1528" s="52" t="s">
        <v>5816</v>
      </c>
      <c r="M1528" s="52" t="s">
        <v>38</v>
      </c>
    </row>
    <row r="1529" customFormat="false" ht="17.25" hidden="false" customHeight="true" outlineLevel="0" collapsed="false">
      <c r="A1529" s="52" t="s">
        <v>5777</v>
      </c>
      <c r="B1529" s="52" t="s">
        <v>5813</v>
      </c>
      <c r="C1529" s="53" t="n">
        <v>1605942</v>
      </c>
      <c r="D1529" s="52" t="s">
        <v>3351</v>
      </c>
      <c r="E1529" s="52" t="s">
        <v>3352</v>
      </c>
      <c r="F1529" s="54" t="n">
        <v>4</v>
      </c>
      <c r="G1529" s="55" t="n">
        <v>359.24</v>
      </c>
      <c r="H1529" s="55" t="n">
        <v>89.81</v>
      </c>
      <c r="I1529" s="55" t="n">
        <v>89.81</v>
      </c>
      <c r="J1529" s="52" t="s">
        <v>5816</v>
      </c>
      <c r="K1529" s="56" t="n">
        <v>1</v>
      </c>
      <c r="L1529" s="52" t="s">
        <v>5816</v>
      </c>
      <c r="M1529" s="52" t="s">
        <v>38</v>
      </c>
    </row>
    <row r="1530" customFormat="false" ht="17.25" hidden="false" customHeight="true" outlineLevel="0" collapsed="false">
      <c r="A1530" s="52" t="s">
        <v>5777</v>
      </c>
      <c r="B1530" s="52" t="s">
        <v>5813</v>
      </c>
      <c r="C1530" s="53" t="n">
        <v>230631</v>
      </c>
      <c r="D1530" s="52" t="s">
        <v>3353</v>
      </c>
      <c r="E1530" s="52" t="s">
        <v>5932</v>
      </c>
      <c r="F1530" s="54" t="n">
        <v>1</v>
      </c>
      <c r="G1530" s="55" t="n">
        <v>359.1</v>
      </c>
      <c r="H1530" s="55" t="n">
        <v>359.1</v>
      </c>
      <c r="I1530" s="55" t="n">
        <v>359.1</v>
      </c>
      <c r="J1530" s="52" t="s">
        <v>5816</v>
      </c>
      <c r="K1530" s="56" t="n">
        <v>1</v>
      </c>
      <c r="L1530" s="52" t="s">
        <v>5816</v>
      </c>
      <c r="M1530" s="52" t="s">
        <v>113</v>
      </c>
    </row>
    <row r="1531" customFormat="false" ht="17.25" hidden="false" customHeight="true" outlineLevel="0" collapsed="false">
      <c r="A1531" s="52" t="s">
        <v>5777</v>
      </c>
      <c r="B1531" s="52" t="s">
        <v>5813</v>
      </c>
      <c r="C1531" s="53" t="n">
        <v>1326735</v>
      </c>
      <c r="D1531" s="52" t="s">
        <v>3355</v>
      </c>
      <c r="E1531" s="52" t="s">
        <v>3356</v>
      </c>
      <c r="F1531" s="54" t="n">
        <v>12</v>
      </c>
      <c r="G1531" s="55" t="n">
        <v>358.72</v>
      </c>
      <c r="H1531" s="55" t="n">
        <v>29.8933</v>
      </c>
      <c r="I1531" s="55" t="n">
        <v>26.59</v>
      </c>
      <c r="J1531" s="52" t="s">
        <v>5818</v>
      </c>
      <c r="K1531" s="56" t="n">
        <v>1</v>
      </c>
      <c r="L1531" s="52" t="s">
        <v>5816</v>
      </c>
      <c r="M1531" s="52" t="s">
        <v>38</v>
      </c>
    </row>
    <row r="1532" customFormat="false" ht="17.25" hidden="false" customHeight="true" outlineLevel="0" collapsed="false">
      <c r="A1532" s="52" t="s">
        <v>5777</v>
      </c>
      <c r="B1532" s="52" t="s">
        <v>5813</v>
      </c>
      <c r="C1532" s="53" t="n">
        <v>32033</v>
      </c>
      <c r="D1532" s="52" t="s">
        <v>3357</v>
      </c>
      <c r="E1532" s="52" t="s">
        <v>3358</v>
      </c>
      <c r="F1532" s="54" t="n">
        <v>8</v>
      </c>
      <c r="G1532" s="55" t="n">
        <v>358.4</v>
      </c>
      <c r="H1532" s="55" t="n">
        <v>44.8</v>
      </c>
      <c r="I1532" s="55" t="n">
        <v>44.8</v>
      </c>
      <c r="J1532" s="52" t="s">
        <v>5816</v>
      </c>
      <c r="K1532" s="56" t="n">
        <v>1</v>
      </c>
      <c r="L1532" s="52" t="s">
        <v>5816</v>
      </c>
      <c r="M1532" s="52" t="s">
        <v>1095</v>
      </c>
    </row>
    <row r="1533" customFormat="false" ht="17.25" hidden="false" customHeight="true" outlineLevel="0" collapsed="false">
      <c r="A1533" s="52" t="s">
        <v>5777</v>
      </c>
      <c r="B1533" s="52" t="s">
        <v>5813</v>
      </c>
      <c r="C1533" s="53" t="n">
        <v>275258</v>
      </c>
      <c r="D1533" s="52" t="s">
        <v>3359</v>
      </c>
      <c r="E1533" s="52" t="s">
        <v>5933</v>
      </c>
      <c r="F1533" s="54" t="n">
        <v>2</v>
      </c>
      <c r="G1533" s="55" t="n">
        <v>358</v>
      </c>
      <c r="H1533" s="55" t="n">
        <v>179</v>
      </c>
      <c r="I1533" s="55" t="n">
        <v>179</v>
      </c>
      <c r="J1533" s="52" t="s">
        <v>5816</v>
      </c>
      <c r="K1533" s="56" t="n">
        <v>1</v>
      </c>
      <c r="L1533" s="52" t="s">
        <v>5816</v>
      </c>
      <c r="M1533" s="52" t="s">
        <v>457</v>
      </c>
    </row>
    <row r="1534" customFormat="false" ht="17.25" hidden="false" customHeight="true" outlineLevel="0" collapsed="false">
      <c r="A1534" s="52" t="s">
        <v>5777</v>
      </c>
      <c r="B1534" s="52" t="s">
        <v>5813</v>
      </c>
      <c r="C1534" s="53" t="n">
        <v>1018878</v>
      </c>
      <c r="D1534" s="52" t="s">
        <v>3361</v>
      </c>
      <c r="E1534" s="52" t="s">
        <v>3362</v>
      </c>
      <c r="F1534" s="54" t="n">
        <v>2</v>
      </c>
      <c r="G1534" s="55" t="n">
        <v>357.94</v>
      </c>
      <c r="H1534" s="55" t="n">
        <v>178.97</v>
      </c>
      <c r="I1534" s="55" t="n">
        <v>178.97</v>
      </c>
      <c r="J1534" s="52" t="s">
        <v>5816</v>
      </c>
      <c r="K1534" s="56" t="n">
        <v>1</v>
      </c>
      <c r="L1534" s="52" t="s">
        <v>5816</v>
      </c>
      <c r="M1534" s="52" t="s">
        <v>38</v>
      </c>
    </row>
    <row r="1535" customFormat="false" ht="17.25" hidden="false" customHeight="true" outlineLevel="0" collapsed="false">
      <c r="A1535" s="52" t="s">
        <v>5777</v>
      </c>
      <c r="B1535" s="52" t="s">
        <v>5813</v>
      </c>
      <c r="C1535" s="53" t="n">
        <v>929722</v>
      </c>
      <c r="D1535" s="52" t="s">
        <v>3363</v>
      </c>
      <c r="E1535" s="52" t="s">
        <v>3364</v>
      </c>
      <c r="F1535" s="54" t="n">
        <v>36</v>
      </c>
      <c r="G1535" s="55" t="n">
        <v>357.28</v>
      </c>
      <c r="H1535" s="55" t="n">
        <v>9.9244</v>
      </c>
      <c r="I1535" s="55" t="n">
        <v>8.98</v>
      </c>
      <c r="J1535" s="52" t="s">
        <v>5816</v>
      </c>
      <c r="K1535" s="56" t="n">
        <v>1</v>
      </c>
      <c r="L1535" s="52" t="s">
        <v>5816</v>
      </c>
      <c r="M1535" s="52" t="s">
        <v>480</v>
      </c>
    </row>
    <row r="1536" customFormat="false" ht="17.25" hidden="false" customHeight="true" outlineLevel="0" collapsed="false">
      <c r="A1536" s="52" t="s">
        <v>5777</v>
      </c>
      <c r="B1536" s="52" t="s">
        <v>5813</v>
      </c>
      <c r="C1536" s="53" t="n">
        <v>1320999</v>
      </c>
      <c r="D1536" s="52" t="s">
        <v>3365</v>
      </c>
      <c r="E1536" s="52" t="s">
        <v>3366</v>
      </c>
      <c r="F1536" s="54" t="n">
        <v>204</v>
      </c>
      <c r="G1536" s="55" t="n">
        <v>357</v>
      </c>
      <c r="H1536" s="55" t="n">
        <v>1.75</v>
      </c>
      <c r="I1536" s="55" t="n">
        <v>1.75</v>
      </c>
      <c r="J1536" s="52" t="s">
        <v>5816</v>
      </c>
      <c r="K1536" s="56" t="n">
        <v>1</v>
      </c>
      <c r="L1536" s="52" t="s">
        <v>5816</v>
      </c>
      <c r="M1536" s="52" t="s">
        <v>38</v>
      </c>
    </row>
    <row r="1537" customFormat="false" ht="17.25" hidden="false" customHeight="true" outlineLevel="0" collapsed="false">
      <c r="A1537" s="52" t="s">
        <v>5777</v>
      </c>
      <c r="B1537" s="52" t="s">
        <v>5813</v>
      </c>
      <c r="C1537" s="53" t="n">
        <v>941848</v>
      </c>
      <c r="D1537" s="52" t="s">
        <v>3367</v>
      </c>
      <c r="E1537" s="52" t="s">
        <v>3368</v>
      </c>
      <c r="F1537" s="54" t="n">
        <v>12</v>
      </c>
      <c r="G1537" s="55" t="n">
        <v>356.52</v>
      </c>
      <c r="H1537" s="55" t="n">
        <v>29.71</v>
      </c>
      <c r="I1537" s="55" t="n">
        <v>29.71</v>
      </c>
      <c r="J1537" s="52" t="s">
        <v>5816</v>
      </c>
      <c r="K1537" s="56" t="n">
        <v>1</v>
      </c>
      <c r="L1537" s="52" t="s">
        <v>5816</v>
      </c>
      <c r="M1537" s="52" t="s">
        <v>705</v>
      </c>
    </row>
    <row r="1538" customFormat="false" ht="17.25" hidden="false" customHeight="true" outlineLevel="0" collapsed="false">
      <c r="A1538" s="52" t="s">
        <v>5777</v>
      </c>
      <c r="B1538" s="52" t="s">
        <v>5813</v>
      </c>
      <c r="C1538" s="53" t="n">
        <v>21171</v>
      </c>
      <c r="D1538" s="52" t="s">
        <v>3369</v>
      </c>
      <c r="E1538" s="52" t="s">
        <v>3370</v>
      </c>
      <c r="F1538" s="54" t="n">
        <v>20</v>
      </c>
      <c r="G1538" s="55" t="n">
        <v>356.48</v>
      </c>
      <c r="H1538" s="55" t="n">
        <v>17.824</v>
      </c>
      <c r="I1538" s="55" t="n">
        <v>17.824</v>
      </c>
      <c r="J1538" s="52" t="s">
        <v>5823</v>
      </c>
      <c r="K1538" s="56" t="n">
        <v>0.001</v>
      </c>
      <c r="L1538" s="52" t="s">
        <v>5824</v>
      </c>
      <c r="M1538" s="52" t="s">
        <v>637</v>
      </c>
    </row>
    <row r="1539" customFormat="false" ht="17.25" hidden="false" customHeight="true" outlineLevel="0" collapsed="false">
      <c r="A1539" s="52" t="s">
        <v>5777</v>
      </c>
      <c r="B1539" s="52" t="s">
        <v>5813</v>
      </c>
      <c r="C1539" s="53" t="n">
        <v>32426</v>
      </c>
      <c r="D1539" s="52" t="s">
        <v>3371</v>
      </c>
      <c r="E1539" s="52" t="s">
        <v>3372</v>
      </c>
      <c r="F1539" s="54" t="n">
        <v>2</v>
      </c>
      <c r="G1539" s="55" t="n">
        <v>356</v>
      </c>
      <c r="H1539" s="55" t="n">
        <v>178</v>
      </c>
      <c r="I1539" s="55" t="n">
        <v>178</v>
      </c>
      <c r="J1539" s="52" t="s">
        <v>5889</v>
      </c>
      <c r="K1539" s="56" t="n">
        <v>3.6</v>
      </c>
      <c r="L1539" s="52" t="s">
        <v>5823</v>
      </c>
      <c r="M1539" s="52" t="s">
        <v>705</v>
      </c>
    </row>
    <row r="1540" customFormat="false" ht="17.25" hidden="false" customHeight="true" outlineLevel="0" collapsed="false">
      <c r="A1540" s="52" t="s">
        <v>5777</v>
      </c>
      <c r="B1540" s="52" t="s">
        <v>5813</v>
      </c>
      <c r="C1540" s="53" t="n">
        <v>1479362</v>
      </c>
      <c r="D1540" s="52" t="s">
        <v>3373</v>
      </c>
      <c r="E1540" s="52" t="s">
        <v>3374</v>
      </c>
      <c r="F1540" s="54" t="n">
        <v>35</v>
      </c>
      <c r="G1540" s="55" t="n">
        <v>355.93</v>
      </c>
      <c r="H1540" s="55" t="n">
        <v>10.1694</v>
      </c>
      <c r="I1540" s="55" t="n">
        <v>13.5</v>
      </c>
      <c r="J1540" s="52" t="s">
        <v>5816</v>
      </c>
      <c r="K1540" s="56" t="n">
        <v>1</v>
      </c>
      <c r="L1540" s="52" t="s">
        <v>5816</v>
      </c>
      <c r="M1540" s="52" t="s">
        <v>32</v>
      </c>
    </row>
    <row r="1541" customFormat="false" ht="17.25" hidden="false" customHeight="true" outlineLevel="0" collapsed="false">
      <c r="A1541" s="52" t="s">
        <v>5777</v>
      </c>
      <c r="B1541" s="52" t="s">
        <v>5813</v>
      </c>
      <c r="C1541" s="53" t="n">
        <v>1475951</v>
      </c>
      <c r="D1541" s="52" t="s">
        <v>2993</v>
      </c>
      <c r="E1541" s="52" t="s">
        <v>2994</v>
      </c>
      <c r="F1541" s="54" t="n">
        <v>8</v>
      </c>
      <c r="G1541" s="55" t="n">
        <v>355.9</v>
      </c>
      <c r="H1541" s="55" t="n">
        <v>44.4875</v>
      </c>
      <c r="I1541" s="55" t="n">
        <v>42.8</v>
      </c>
      <c r="J1541" s="52" t="s">
        <v>5816</v>
      </c>
      <c r="K1541" s="56" t="n">
        <v>1</v>
      </c>
      <c r="L1541" s="52" t="s">
        <v>5816</v>
      </c>
      <c r="M1541" s="52" t="s">
        <v>1095</v>
      </c>
    </row>
    <row r="1542" customFormat="false" ht="17.25" hidden="false" customHeight="true" outlineLevel="0" collapsed="false">
      <c r="A1542" s="52" t="s">
        <v>5777</v>
      </c>
      <c r="B1542" s="52" t="s">
        <v>5813</v>
      </c>
      <c r="C1542" s="53" t="n">
        <v>17934</v>
      </c>
      <c r="D1542" s="52" t="s">
        <v>3375</v>
      </c>
      <c r="E1542" s="52" t="s">
        <v>3376</v>
      </c>
      <c r="F1542" s="54" t="n">
        <v>3</v>
      </c>
      <c r="G1542" s="55" t="n">
        <v>355.12</v>
      </c>
      <c r="H1542" s="55" t="n">
        <v>118.3733</v>
      </c>
      <c r="I1542" s="55" t="n">
        <v>95.06</v>
      </c>
      <c r="J1542" s="52" t="s">
        <v>5816</v>
      </c>
      <c r="K1542" s="56" t="n">
        <v>1</v>
      </c>
      <c r="L1542" s="52" t="s">
        <v>5816</v>
      </c>
      <c r="M1542" s="52" t="s">
        <v>130</v>
      </c>
    </row>
    <row r="1543" customFormat="false" ht="17.25" hidden="false" customHeight="true" outlineLevel="0" collapsed="false">
      <c r="A1543" s="52" t="s">
        <v>5777</v>
      </c>
      <c r="B1543" s="52" t="s">
        <v>5813</v>
      </c>
      <c r="C1543" s="53" t="n">
        <v>950842</v>
      </c>
      <c r="D1543" s="52" t="s">
        <v>3377</v>
      </c>
      <c r="E1543" s="52" t="s">
        <v>3378</v>
      </c>
      <c r="F1543" s="54" t="n">
        <v>3</v>
      </c>
      <c r="G1543" s="55" t="n">
        <v>354</v>
      </c>
      <c r="H1543" s="55" t="n">
        <v>118</v>
      </c>
      <c r="I1543" s="55" t="n">
        <v>118</v>
      </c>
      <c r="J1543" s="52" t="s">
        <v>5816</v>
      </c>
      <c r="K1543" s="56" t="n">
        <v>1</v>
      </c>
      <c r="L1543" s="52" t="s">
        <v>5816</v>
      </c>
      <c r="M1543" s="52" t="s">
        <v>130</v>
      </c>
    </row>
    <row r="1544" customFormat="false" ht="17.25" hidden="false" customHeight="true" outlineLevel="0" collapsed="false">
      <c r="A1544" s="52" t="s">
        <v>5777</v>
      </c>
      <c r="B1544" s="52" t="s">
        <v>5813</v>
      </c>
      <c r="C1544" s="53" t="n">
        <v>1672554</v>
      </c>
      <c r="D1544" s="52" t="s">
        <v>3379</v>
      </c>
      <c r="E1544" s="52" t="s">
        <v>3380</v>
      </c>
      <c r="F1544" s="54" t="n">
        <v>4</v>
      </c>
      <c r="G1544" s="55" t="n">
        <v>353.8</v>
      </c>
      <c r="H1544" s="55" t="n">
        <v>88.45</v>
      </c>
      <c r="I1544" s="55" t="n">
        <v>88.45</v>
      </c>
      <c r="J1544" s="52" t="s">
        <v>5816</v>
      </c>
      <c r="K1544" s="56" t="n">
        <v>1</v>
      </c>
      <c r="L1544" s="52" t="s">
        <v>5816</v>
      </c>
      <c r="M1544" s="52" t="s">
        <v>66</v>
      </c>
    </row>
    <row r="1545" customFormat="false" ht="17.25" hidden="false" customHeight="true" outlineLevel="0" collapsed="false">
      <c r="A1545" s="52" t="s">
        <v>5777</v>
      </c>
      <c r="B1545" s="52" t="s">
        <v>5813</v>
      </c>
      <c r="C1545" s="53" t="n">
        <v>1461858</v>
      </c>
      <c r="D1545" s="52" t="s">
        <v>3381</v>
      </c>
      <c r="E1545" s="52" t="s">
        <v>3382</v>
      </c>
      <c r="F1545" s="54" t="n">
        <v>4</v>
      </c>
      <c r="G1545" s="55" t="n">
        <v>352</v>
      </c>
      <c r="H1545" s="55" t="n">
        <v>88</v>
      </c>
      <c r="I1545" s="55" t="n">
        <v>88</v>
      </c>
      <c r="J1545" s="52" t="s">
        <v>5816</v>
      </c>
      <c r="K1545" s="56" t="n">
        <v>1</v>
      </c>
      <c r="L1545" s="52" t="s">
        <v>5816</v>
      </c>
      <c r="M1545" s="52" t="s">
        <v>38</v>
      </c>
    </row>
    <row r="1546" customFormat="false" ht="17.25" hidden="false" customHeight="true" outlineLevel="0" collapsed="false">
      <c r="A1546" s="52" t="s">
        <v>5777</v>
      </c>
      <c r="B1546" s="52" t="s">
        <v>5813</v>
      </c>
      <c r="C1546" s="53" t="n">
        <v>226458</v>
      </c>
      <c r="D1546" s="52" t="s">
        <v>3383</v>
      </c>
      <c r="E1546" s="52" t="s">
        <v>3384</v>
      </c>
      <c r="F1546" s="54" t="n">
        <v>12</v>
      </c>
      <c r="G1546" s="55" t="n">
        <v>350.4</v>
      </c>
      <c r="H1546" s="55" t="n">
        <v>29.2</v>
      </c>
      <c r="I1546" s="55" t="n">
        <v>29.2</v>
      </c>
      <c r="J1546" s="52" t="s">
        <v>5816</v>
      </c>
      <c r="K1546" s="56" t="n">
        <v>1</v>
      </c>
      <c r="L1546" s="52" t="s">
        <v>5816</v>
      </c>
      <c r="M1546" s="52" t="s">
        <v>247</v>
      </c>
    </row>
    <row r="1547" customFormat="false" ht="17.25" hidden="false" customHeight="true" outlineLevel="0" collapsed="false">
      <c r="A1547" s="52" t="s">
        <v>5777</v>
      </c>
      <c r="B1547" s="52" t="s">
        <v>5813</v>
      </c>
      <c r="C1547" s="53" t="n">
        <v>1257734</v>
      </c>
      <c r="D1547" s="52" t="s">
        <v>3387</v>
      </c>
      <c r="E1547" s="52" t="s">
        <v>3388</v>
      </c>
      <c r="F1547" s="54" t="n">
        <v>25</v>
      </c>
      <c r="G1547" s="55" t="n">
        <v>349.5</v>
      </c>
      <c r="H1547" s="55" t="n">
        <v>13.98</v>
      </c>
      <c r="I1547" s="55" t="n">
        <v>13.98</v>
      </c>
      <c r="J1547" s="52" t="s">
        <v>5814</v>
      </c>
      <c r="K1547" s="56" t="n">
        <v>1</v>
      </c>
      <c r="L1547" s="52" t="s">
        <v>5814</v>
      </c>
      <c r="M1547" s="52" t="s">
        <v>38</v>
      </c>
    </row>
    <row r="1548" customFormat="false" ht="17.25" hidden="false" customHeight="true" outlineLevel="0" collapsed="false">
      <c r="A1548" s="52" t="s">
        <v>5777</v>
      </c>
      <c r="B1548" s="52" t="s">
        <v>5813</v>
      </c>
      <c r="C1548" s="53" t="n">
        <v>1610262</v>
      </c>
      <c r="D1548" s="52" t="s">
        <v>3389</v>
      </c>
      <c r="E1548" s="52" t="s">
        <v>3390</v>
      </c>
      <c r="F1548" s="54" t="n">
        <v>6</v>
      </c>
      <c r="G1548" s="55" t="n">
        <v>349.2</v>
      </c>
      <c r="H1548" s="55" t="n">
        <v>58.2</v>
      </c>
      <c r="I1548" s="55" t="n">
        <v>58.2</v>
      </c>
      <c r="J1548" s="52" t="s">
        <v>5816</v>
      </c>
      <c r="K1548" s="56" t="n">
        <v>1</v>
      </c>
      <c r="L1548" s="52" t="s">
        <v>5816</v>
      </c>
      <c r="M1548" s="52" t="s">
        <v>38</v>
      </c>
    </row>
    <row r="1549" customFormat="false" ht="17.25" hidden="false" customHeight="true" outlineLevel="0" collapsed="false">
      <c r="A1549" s="52" t="s">
        <v>5777</v>
      </c>
      <c r="B1549" s="52" t="s">
        <v>5813</v>
      </c>
      <c r="C1549" s="53" t="n">
        <v>1610264</v>
      </c>
      <c r="D1549" s="52" t="s">
        <v>3391</v>
      </c>
      <c r="E1549" s="52" t="s">
        <v>3392</v>
      </c>
      <c r="F1549" s="54" t="n">
        <v>6</v>
      </c>
      <c r="G1549" s="55" t="n">
        <v>349.2</v>
      </c>
      <c r="H1549" s="55" t="n">
        <v>58.2</v>
      </c>
      <c r="I1549" s="55" t="n">
        <v>58.2</v>
      </c>
      <c r="J1549" s="52" t="s">
        <v>5816</v>
      </c>
      <c r="K1549" s="56" t="n">
        <v>1</v>
      </c>
      <c r="L1549" s="52" t="s">
        <v>5816</v>
      </c>
      <c r="M1549" s="52" t="s">
        <v>38</v>
      </c>
    </row>
    <row r="1550" customFormat="false" ht="17.25" hidden="false" customHeight="true" outlineLevel="0" collapsed="false">
      <c r="A1550" s="52" t="s">
        <v>5777</v>
      </c>
      <c r="B1550" s="52" t="s">
        <v>5813</v>
      </c>
      <c r="C1550" s="53" t="n">
        <v>1328335</v>
      </c>
      <c r="D1550" s="52" t="s">
        <v>3393</v>
      </c>
      <c r="E1550" s="52" t="s">
        <v>3394</v>
      </c>
      <c r="F1550" s="54" t="n">
        <v>4</v>
      </c>
      <c r="G1550" s="55" t="n">
        <v>348</v>
      </c>
      <c r="H1550" s="55" t="n">
        <v>87</v>
      </c>
      <c r="I1550" s="55" t="n">
        <v>87</v>
      </c>
      <c r="J1550" s="52" t="s">
        <v>5816</v>
      </c>
      <c r="K1550" s="56" t="n">
        <v>1</v>
      </c>
      <c r="L1550" s="52" t="s">
        <v>5816</v>
      </c>
      <c r="M1550" s="52" t="s">
        <v>457</v>
      </c>
    </row>
    <row r="1551" customFormat="false" ht="17.25" hidden="false" customHeight="true" outlineLevel="0" collapsed="false">
      <c r="A1551" s="52" t="s">
        <v>5777</v>
      </c>
      <c r="B1551" s="52" t="s">
        <v>5813</v>
      </c>
      <c r="C1551" s="53" t="n">
        <v>1330051</v>
      </c>
      <c r="D1551" s="52" t="s">
        <v>3395</v>
      </c>
      <c r="E1551" s="52" t="s">
        <v>5934</v>
      </c>
      <c r="F1551" s="54" t="n">
        <v>1</v>
      </c>
      <c r="G1551" s="55" t="n">
        <v>348</v>
      </c>
      <c r="H1551" s="55" t="n">
        <v>348</v>
      </c>
      <c r="I1551" s="55" t="n">
        <v>348</v>
      </c>
      <c r="J1551" s="52" t="s">
        <v>5816</v>
      </c>
      <c r="K1551" s="56" t="n">
        <v>1</v>
      </c>
      <c r="L1551" s="52" t="s">
        <v>5816</v>
      </c>
      <c r="M1551" s="52" t="s">
        <v>113</v>
      </c>
    </row>
    <row r="1552" customFormat="false" ht="17.25" hidden="false" customHeight="true" outlineLevel="0" collapsed="false">
      <c r="A1552" s="52" t="s">
        <v>5777</v>
      </c>
      <c r="B1552" s="52" t="s">
        <v>5813</v>
      </c>
      <c r="C1552" s="53" t="n">
        <v>840014</v>
      </c>
      <c r="D1552" s="52" t="s">
        <v>3397</v>
      </c>
      <c r="E1552" s="52" t="s">
        <v>3398</v>
      </c>
      <c r="F1552" s="54" t="n">
        <v>28</v>
      </c>
      <c r="G1552" s="55" t="n">
        <v>346</v>
      </c>
      <c r="H1552" s="55" t="n">
        <v>12.3571</v>
      </c>
      <c r="I1552" s="55" t="n">
        <v>9.85</v>
      </c>
      <c r="J1552" s="52" t="s">
        <v>5816</v>
      </c>
      <c r="K1552" s="56" t="n">
        <v>1</v>
      </c>
      <c r="L1552" s="52" t="s">
        <v>5816</v>
      </c>
      <c r="M1552" s="52" t="s">
        <v>54</v>
      </c>
    </row>
    <row r="1553" customFormat="false" ht="17.25" hidden="false" customHeight="true" outlineLevel="0" collapsed="false">
      <c r="A1553" s="52" t="s">
        <v>5777</v>
      </c>
      <c r="B1553" s="52" t="s">
        <v>5813</v>
      </c>
      <c r="C1553" s="53" t="n">
        <v>19501</v>
      </c>
      <c r="D1553" s="52" t="s">
        <v>3399</v>
      </c>
      <c r="E1553" s="52" t="s">
        <v>3400</v>
      </c>
      <c r="F1553" s="54" t="n">
        <v>13</v>
      </c>
      <c r="G1553" s="55" t="n">
        <v>345.0728</v>
      </c>
      <c r="H1553" s="55" t="n">
        <v>26.5441</v>
      </c>
      <c r="I1553" s="55" t="n">
        <v>27.3</v>
      </c>
      <c r="J1553" s="52" t="s">
        <v>5816</v>
      </c>
      <c r="K1553" s="56" t="n">
        <v>1</v>
      </c>
      <c r="L1553" s="52" t="s">
        <v>5816</v>
      </c>
      <c r="M1553" s="52" t="s">
        <v>1095</v>
      </c>
    </row>
    <row r="1554" customFormat="false" ht="17.25" hidden="false" customHeight="true" outlineLevel="0" collapsed="false">
      <c r="A1554" s="52" t="s">
        <v>5777</v>
      </c>
      <c r="B1554" s="52" t="s">
        <v>5813</v>
      </c>
      <c r="C1554" s="53" t="n">
        <v>292363</v>
      </c>
      <c r="D1554" s="52" t="s">
        <v>3401</v>
      </c>
      <c r="E1554" s="52" t="s">
        <v>3402</v>
      </c>
      <c r="F1554" s="54" t="n">
        <v>7</v>
      </c>
      <c r="G1554" s="55" t="n">
        <v>344.75</v>
      </c>
      <c r="H1554" s="55" t="n">
        <v>49.25</v>
      </c>
      <c r="I1554" s="55" t="n">
        <v>49.25</v>
      </c>
      <c r="J1554" s="52" t="s">
        <v>5816</v>
      </c>
      <c r="K1554" s="56" t="n">
        <v>1</v>
      </c>
      <c r="L1554" s="52" t="s">
        <v>5816</v>
      </c>
      <c r="M1554" s="52" t="s">
        <v>189</v>
      </c>
    </row>
    <row r="1555" customFormat="false" ht="17.25" hidden="false" customHeight="true" outlineLevel="0" collapsed="false">
      <c r="A1555" s="52" t="s">
        <v>5777</v>
      </c>
      <c r="B1555" s="52" t="s">
        <v>5813</v>
      </c>
      <c r="C1555" s="53" t="n">
        <v>548396</v>
      </c>
      <c r="D1555" s="52" t="s">
        <v>3403</v>
      </c>
      <c r="E1555" s="52" t="s">
        <v>3404</v>
      </c>
      <c r="F1555" s="54" t="n">
        <v>10</v>
      </c>
      <c r="G1555" s="55" t="n">
        <v>344.36</v>
      </c>
      <c r="H1555" s="55" t="n">
        <v>34.436</v>
      </c>
      <c r="I1555" s="55" t="n">
        <v>54.98</v>
      </c>
      <c r="J1555" s="52" t="s">
        <v>5816</v>
      </c>
      <c r="K1555" s="56" t="n">
        <v>1</v>
      </c>
      <c r="L1555" s="52" t="s">
        <v>5816</v>
      </c>
      <c r="M1555" s="52" t="s">
        <v>262</v>
      </c>
    </row>
    <row r="1556" customFormat="false" ht="17.25" hidden="false" customHeight="true" outlineLevel="0" collapsed="false">
      <c r="A1556" s="52" t="s">
        <v>5777</v>
      </c>
      <c r="B1556" s="52" t="s">
        <v>5813</v>
      </c>
      <c r="C1556" s="53" t="n">
        <v>962146</v>
      </c>
      <c r="D1556" s="52" t="s">
        <v>3405</v>
      </c>
      <c r="E1556" s="52" t="s">
        <v>3406</v>
      </c>
      <c r="F1556" s="54" t="n">
        <v>4</v>
      </c>
      <c r="G1556" s="55" t="n">
        <v>344</v>
      </c>
      <c r="H1556" s="55" t="n">
        <v>86</v>
      </c>
      <c r="I1556" s="55" t="n">
        <v>86</v>
      </c>
      <c r="J1556" s="52" t="s">
        <v>5816</v>
      </c>
      <c r="K1556" s="56" t="n">
        <v>1</v>
      </c>
      <c r="L1556" s="52" t="s">
        <v>5816</v>
      </c>
      <c r="M1556" s="52" t="s">
        <v>130</v>
      </c>
    </row>
    <row r="1557" customFormat="false" ht="17.25" hidden="false" customHeight="true" outlineLevel="0" collapsed="false">
      <c r="A1557" s="52" t="s">
        <v>5777</v>
      </c>
      <c r="B1557" s="52" t="s">
        <v>5813</v>
      </c>
      <c r="C1557" s="53" t="n">
        <v>141412</v>
      </c>
      <c r="D1557" s="52" t="s">
        <v>3407</v>
      </c>
      <c r="E1557" s="52" t="s">
        <v>3408</v>
      </c>
      <c r="F1557" s="54" t="n">
        <v>3</v>
      </c>
      <c r="G1557" s="55" t="n">
        <v>342.21</v>
      </c>
      <c r="H1557" s="55" t="n">
        <v>114.07</v>
      </c>
      <c r="I1557" s="55" t="n">
        <v>114.07</v>
      </c>
      <c r="J1557" s="52" t="s">
        <v>5816</v>
      </c>
      <c r="K1557" s="56" t="n">
        <v>1</v>
      </c>
      <c r="L1557" s="52" t="s">
        <v>5816</v>
      </c>
      <c r="M1557" s="52" t="s">
        <v>35</v>
      </c>
    </row>
    <row r="1558" customFormat="false" ht="17.25" hidden="false" customHeight="true" outlineLevel="0" collapsed="false">
      <c r="A1558" s="52" t="s">
        <v>5777</v>
      </c>
      <c r="B1558" s="52" t="s">
        <v>5813</v>
      </c>
      <c r="C1558" s="53" t="n">
        <v>562813</v>
      </c>
      <c r="D1558" s="52" t="s">
        <v>3409</v>
      </c>
      <c r="E1558" s="52" t="s">
        <v>3410</v>
      </c>
      <c r="F1558" s="54" t="n">
        <v>4</v>
      </c>
      <c r="G1558" s="55" t="n">
        <v>340.2</v>
      </c>
      <c r="H1558" s="55" t="n">
        <v>85.05</v>
      </c>
      <c r="I1558" s="55" t="n">
        <v>85.05</v>
      </c>
      <c r="J1558" s="52" t="s">
        <v>5816</v>
      </c>
      <c r="K1558" s="56" t="n">
        <v>1</v>
      </c>
      <c r="L1558" s="52" t="s">
        <v>5816</v>
      </c>
      <c r="M1558" s="52" t="s">
        <v>130</v>
      </c>
    </row>
    <row r="1559" customFormat="false" ht="17.25" hidden="false" customHeight="true" outlineLevel="0" collapsed="false">
      <c r="A1559" s="52" t="s">
        <v>5777</v>
      </c>
      <c r="B1559" s="52" t="s">
        <v>5813</v>
      </c>
      <c r="C1559" s="53" t="n">
        <v>1089381</v>
      </c>
      <c r="D1559" s="52" t="s">
        <v>3411</v>
      </c>
      <c r="E1559" s="52" t="s">
        <v>3412</v>
      </c>
      <c r="F1559" s="54" t="n">
        <v>4</v>
      </c>
      <c r="G1559" s="55" t="n">
        <v>340</v>
      </c>
      <c r="H1559" s="55" t="n">
        <v>85</v>
      </c>
      <c r="I1559" s="55" t="n">
        <v>85</v>
      </c>
      <c r="J1559" s="52" t="s">
        <v>5816</v>
      </c>
      <c r="K1559" s="56" t="n">
        <v>1</v>
      </c>
      <c r="L1559" s="52" t="s">
        <v>5816</v>
      </c>
      <c r="M1559" s="52" t="s">
        <v>247</v>
      </c>
    </row>
    <row r="1560" customFormat="false" ht="17.25" hidden="false" customHeight="true" outlineLevel="0" collapsed="false">
      <c r="A1560" s="52" t="s">
        <v>5777</v>
      </c>
      <c r="B1560" s="52" t="s">
        <v>5813</v>
      </c>
      <c r="C1560" s="53" t="n">
        <v>16277</v>
      </c>
      <c r="D1560" s="52" t="s">
        <v>3413</v>
      </c>
      <c r="E1560" s="52" t="s">
        <v>3414</v>
      </c>
      <c r="F1560" s="54" t="n">
        <v>20</v>
      </c>
      <c r="G1560" s="55" t="n">
        <v>338</v>
      </c>
      <c r="H1560" s="55" t="n">
        <v>16.9</v>
      </c>
      <c r="I1560" s="55" t="n">
        <v>16.9</v>
      </c>
      <c r="J1560" s="52" t="s">
        <v>5816</v>
      </c>
      <c r="K1560" s="56" t="n">
        <v>1</v>
      </c>
      <c r="L1560" s="52" t="s">
        <v>5816</v>
      </c>
      <c r="M1560" s="52" t="s">
        <v>54</v>
      </c>
    </row>
    <row r="1561" customFormat="false" ht="17.25" hidden="false" customHeight="true" outlineLevel="0" collapsed="false">
      <c r="A1561" s="52" t="s">
        <v>5777</v>
      </c>
      <c r="B1561" s="52" t="s">
        <v>5813</v>
      </c>
      <c r="C1561" s="53" t="n">
        <v>23266</v>
      </c>
      <c r="D1561" s="52" t="s">
        <v>3415</v>
      </c>
      <c r="E1561" s="52" t="s">
        <v>3416</v>
      </c>
      <c r="F1561" s="54" t="n">
        <v>17</v>
      </c>
      <c r="G1561" s="55" t="n">
        <v>337.68</v>
      </c>
      <c r="H1561" s="55" t="n">
        <v>19.8635</v>
      </c>
      <c r="I1561" s="55" t="n">
        <v>98</v>
      </c>
      <c r="J1561" s="52" t="s">
        <v>5816</v>
      </c>
      <c r="K1561" s="56" t="n">
        <v>1</v>
      </c>
      <c r="L1561" s="52" t="s">
        <v>5816</v>
      </c>
      <c r="M1561" s="52" t="s">
        <v>189</v>
      </c>
    </row>
    <row r="1562" customFormat="false" ht="17.25" hidden="false" customHeight="true" outlineLevel="0" collapsed="false">
      <c r="A1562" s="52" t="s">
        <v>5777</v>
      </c>
      <c r="B1562" s="52" t="s">
        <v>5813</v>
      </c>
      <c r="C1562" s="53" t="n">
        <v>884965</v>
      </c>
      <c r="D1562" s="52" t="s">
        <v>3417</v>
      </c>
      <c r="E1562" s="52" t="s">
        <v>3418</v>
      </c>
      <c r="F1562" s="54" t="n">
        <v>3</v>
      </c>
      <c r="G1562" s="55" t="n">
        <v>337.2</v>
      </c>
      <c r="H1562" s="55" t="n">
        <v>112.4</v>
      </c>
      <c r="I1562" s="55" t="n">
        <v>112.4</v>
      </c>
      <c r="J1562" s="52" t="s">
        <v>5817</v>
      </c>
      <c r="K1562" s="56" t="n">
        <v>1</v>
      </c>
      <c r="L1562" s="52" t="s">
        <v>5817</v>
      </c>
      <c r="M1562" s="52" t="s">
        <v>130</v>
      </c>
    </row>
    <row r="1563" customFormat="false" ht="17.25" hidden="false" customHeight="true" outlineLevel="0" collapsed="false">
      <c r="A1563" s="52" t="s">
        <v>5777</v>
      </c>
      <c r="B1563" s="52" t="s">
        <v>5813</v>
      </c>
      <c r="C1563" s="53" t="n">
        <v>1461540</v>
      </c>
      <c r="D1563" s="52" t="s">
        <v>3419</v>
      </c>
      <c r="E1563" s="52" t="s">
        <v>3420</v>
      </c>
      <c r="F1563" s="54" t="n">
        <v>6</v>
      </c>
      <c r="G1563" s="55" t="n">
        <v>336.6</v>
      </c>
      <c r="H1563" s="55" t="n">
        <v>56.1</v>
      </c>
      <c r="I1563" s="55" t="n">
        <v>56.1</v>
      </c>
      <c r="J1563" s="52" t="s">
        <v>5816</v>
      </c>
      <c r="K1563" s="56" t="n">
        <v>1</v>
      </c>
      <c r="L1563" s="52" t="s">
        <v>5816</v>
      </c>
      <c r="M1563" s="52" t="s">
        <v>54</v>
      </c>
    </row>
    <row r="1564" customFormat="false" ht="17.25" hidden="false" customHeight="true" outlineLevel="0" collapsed="false">
      <c r="A1564" s="52" t="s">
        <v>5777</v>
      </c>
      <c r="B1564" s="52" t="s">
        <v>5813</v>
      </c>
      <c r="C1564" s="53" t="n">
        <v>1067619</v>
      </c>
      <c r="D1564" s="52" t="s">
        <v>3421</v>
      </c>
      <c r="E1564" s="52" t="s">
        <v>3422</v>
      </c>
      <c r="F1564" s="54" t="n">
        <v>2</v>
      </c>
      <c r="G1564" s="55" t="n">
        <v>336</v>
      </c>
      <c r="H1564" s="55" t="n">
        <v>168</v>
      </c>
      <c r="I1564" s="55" t="n">
        <v>168</v>
      </c>
      <c r="J1564" s="52" t="s">
        <v>5816</v>
      </c>
      <c r="K1564" s="56" t="n">
        <v>1</v>
      </c>
      <c r="L1564" s="52" t="s">
        <v>5816</v>
      </c>
      <c r="M1564" s="52" t="s">
        <v>138</v>
      </c>
    </row>
    <row r="1565" customFormat="false" ht="17.25" hidden="false" customHeight="true" outlineLevel="0" collapsed="false">
      <c r="A1565" s="52" t="s">
        <v>5777</v>
      </c>
      <c r="B1565" s="52" t="s">
        <v>5813</v>
      </c>
      <c r="C1565" s="53" t="n">
        <v>1170459</v>
      </c>
      <c r="D1565" s="52" t="s">
        <v>3423</v>
      </c>
      <c r="E1565" s="52" t="s">
        <v>3424</v>
      </c>
      <c r="F1565" s="54" t="n">
        <v>7</v>
      </c>
      <c r="G1565" s="55" t="n">
        <v>336</v>
      </c>
      <c r="H1565" s="55" t="n">
        <v>48</v>
      </c>
      <c r="I1565" s="55" t="n">
        <v>48</v>
      </c>
      <c r="J1565" s="52" t="s">
        <v>5822</v>
      </c>
      <c r="K1565" s="56" t="n">
        <v>1</v>
      </c>
      <c r="L1565" s="52" t="s">
        <v>5822</v>
      </c>
      <c r="M1565" s="52" t="s">
        <v>100</v>
      </c>
    </row>
    <row r="1566" customFormat="false" ht="17.25" hidden="false" customHeight="true" outlineLevel="0" collapsed="false">
      <c r="A1566" s="52" t="s">
        <v>5777</v>
      </c>
      <c r="B1566" s="52" t="s">
        <v>5813</v>
      </c>
      <c r="C1566" s="53" t="n">
        <v>18858</v>
      </c>
      <c r="D1566" s="52" t="s">
        <v>3425</v>
      </c>
      <c r="E1566" s="52" t="s">
        <v>3426</v>
      </c>
      <c r="F1566" s="54" t="n">
        <v>60</v>
      </c>
      <c r="G1566" s="55" t="n">
        <v>332.7</v>
      </c>
      <c r="H1566" s="55" t="n">
        <v>5.545</v>
      </c>
      <c r="I1566" s="55" t="n">
        <v>4.9</v>
      </c>
      <c r="J1566" s="52" t="s">
        <v>5816</v>
      </c>
      <c r="K1566" s="56" t="n">
        <v>1</v>
      </c>
      <c r="L1566" s="52" t="s">
        <v>5816</v>
      </c>
      <c r="M1566" s="52" t="s">
        <v>247</v>
      </c>
    </row>
    <row r="1567" customFormat="false" ht="17.25" hidden="false" customHeight="true" outlineLevel="0" collapsed="false">
      <c r="A1567" s="52" t="s">
        <v>5777</v>
      </c>
      <c r="B1567" s="52" t="s">
        <v>5813</v>
      </c>
      <c r="C1567" s="53" t="n">
        <v>34275</v>
      </c>
      <c r="D1567" s="52" t="s">
        <v>3427</v>
      </c>
      <c r="E1567" s="52" t="s">
        <v>3428</v>
      </c>
      <c r="F1567" s="54" t="n">
        <v>3</v>
      </c>
      <c r="G1567" s="55" t="n">
        <v>331.99</v>
      </c>
      <c r="H1567" s="55" t="n">
        <v>110.6633</v>
      </c>
      <c r="I1567" s="55" t="n">
        <v>238</v>
      </c>
      <c r="J1567" s="52" t="s">
        <v>5816</v>
      </c>
      <c r="K1567" s="56" t="n">
        <v>1</v>
      </c>
      <c r="L1567" s="52" t="s">
        <v>5816</v>
      </c>
      <c r="M1567" s="52" t="s">
        <v>38</v>
      </c>
    </row>
    <row r="1568" customFormat="false" ht="17.25" hidden="false" customHeight="true" outlineLevel="0" collapsed="false">
      <c r="A1568" s="52" t="s">
        <v>5777</v>
      </c>
      <c r="B1568" s="52" t="s">
        <v>5813</v>
      </c>
      <c r="C1568" s="53" t="n">
        <v>278456</v>
      </c>
      <c r="D1568" s="52" t="s">
        <v>3429</v>
      </c>
      <c r="E1568" s="52" t="s">
        <v>3430</v>
      </c>
      <c r="F1568" s="54" t="n">
        <v>3</v>
      </c>
      <c r="G1568" s="55" t="n">
        <v>331.77</v>
      </c>
      <c r="H1568" s="55" t="n">
        <v>110.59</v>
      </c>
      <c r="I1568" s="55" t="n">
        <v>86.61</v>
      </c>
      <c r="J1568" s="52" t="s">
        <v>5816</v>
      </c>
      <c r="K1568" s="56" t="n">
        <v>1</v>
      </c>
      <c r="L1568" s="52" t="s">
        <v>5816</v>
      </c>
      <c r="M1568" s="52" t="s">
        <v>38</v>
      </c>
    </row>
    <row r="1569" customFormat="false" ht="17.25" hidden="false" customHeight="true" outlineLevel="0" collapsed="false">
      <c r="A1569" s="52" t="s">
        <v>5777</v>
      </c>
      <c r="B1569" s="52" t="s">
        <v>5813</v>
      </c>
      <c r="C1569" s="53" t="n">
        <v>840004</v>
      </c>
      <c r="D1569" s="52" t="s">
        <v>3431</v>
      </c>
      <c r="E1569" s="52" t="s">
        <v>3432</v>
      </c>
      <c r="F1569" s="54" t="n">
        <v>55</v>
      </c>
      <c r="G1569" s="55" t="n">
        <v>331.43</v>
      </c>
      <c r="H1569" s="55" t="n">
        <v>6.026</v>
      </c>
      <c r="I1569" s="55" t="n">
        <v>5.34</v>
      </c>
      <c r="J1569" s="52" t="s">
        <v>5816</v>
      </c>
      <c r="K1569" s="56" t="n">
        <v>1</v>
      </c>
      <c r="L1569" s="52" t="s">
        <v>5816</v>
      </c>
      <c r="M1569" s="52" t="s">
        <v>54</v>
      </c>
    </row>
    <row r="1570" customFormat="false" ht="17.25" hidden="false" customHeight="true" outlineLevel="0" collapsed="false">
      <c r="A1570" s="52" t="s">
        <v>5777</v>
      </c>
      <c r="B1570" s="52" t="s">
        <v>5813</v>
      </c>
      <c r="C1570" s="53" t="n">
        <v>137049</v>
      </c>
      <c r="D1570" s="52" t="s">
        <v>3433</v>
      </c>
      <c r="E1570" s="52" t="s">
        <v>3434</v>
      </c>
      <c r="F1570" s="54" t="n">
        <v>10</v>
      </c>
      <c r="G1570" s="55" t="n">
        <v>330</v>
      </c>
      <c r="H1570" s="55" t="n">
        <v>33</v>
      </c>
      <c r="I1570" s="55" t="n">
        <v>33</v>
      </c>
      <c r="J1570" s="52" t="s">
        <v>5816</v>
      </c>
      <c r="K1570" s="56" t="n">
        <v>1</v>
      </c>
      <c r="L1570" s="52" t="s">
        <v>5816</v>
      </c>
      <c r="M1570" s="52" t="s">
        <v>38</v>
      </c>
    </row>
    <row r="1571" customFormat="false" ht="17.25" hidden="false" customHeight="true" outlineLevel="0" collapsed="false">
      <c r="A1571" s="52" t="s">
        <v>5777</v>
      </c>
      <c r="B1571" s="52" t="s">
        <v>5813</v>
      </c>
      <c r="C1571" s="53" t="n">
        <v>561345</v>
      </c>
      <c r="D1571" s="52" t="s">
        <v>3435</v>
      </c>
      <c r="E1571" s="52" t="s">
        <v>3436</v>
      </c>
      <c r="F1571" s="54" t="n">
        <v>1</v>
      </c>
      <c r="G1571" s="55" t="n">
        <v>330</v>
      </c>
      <c r="H1571" s="55" t="n">
        <v>330</v>
      </c>
      <c r="I1571" s="55" t="n">
        <v>330</v>
      </c>
      <c r="J1571" s="52" t="s">
        <v>5816</v>
      </c>
      <c r="K1571" s="56" t="n">
        <v>1</v>
      </c>
      <c r="L1571" s="52" t="s">
        <v>5816</v>
      </c>
      <c r="M1571" s="52" t="s">
        <v>130</v>
      </c>
    </row>
    <row r="1572" customFormat="false" ht="17.25" hidden="false" customHeight="true" outlineLevel="0" collapsed="false">
      <c r="A1572" s="52" t="s">
        <v>5777</v>
      </c>
      <c r="B1572" s="52" t="s">
        <v>5813</v>
      </c>
      <c r="C1572" s="53" t="n">
        <v>1465935</v>
      </c>
      <c r="D1572" s="52" t="s">
        <v>3437</v>
      </c>
      <c r="E1572" s="52" t="s">
        <v>3438</v>
      </c>
      <c r="F1572" s="54" t="n">
        <v>36</v>
      </c>
      <c r="G1572" s="55" t="n">
        <v>330</v>
      </c>
      <c r="H1572" s="55" t="n">
        <v>9.1667</v>
      </c>
      <c r="I1572" s="55" t="n">
        <v>9.5</v>
      </c>
      <c r="J1572" s="52" t="s">
        <v>5816</v>
      </c>
      <c r="K1572" s="56" t="n">
        <v>1</v>
      </c>
      <c r="L1572" s="52" t="s">
        <v>5816</v>
      </c>
      <c r="M1572" s="52" t="s">
        <v>160</v>
      </c>
    </row>
    <row r="1573" customFormat="false" ht="17.25" hidden="false" customHeight="true" outlineLevel="0" collapsed="false">
      <c r="A1573" s="52" t="s">
        <v>5777</v>
      </c>
      <c r="B1573" s="52" t="s">
        <v>5813</v>
      </c>
      <c r="C1573" s="53" t="n">
        <v>21289</v>
      </c>
      <c r="D1573" s="52" t="s">
        <v>3439</v>
      </c>
      <c r="E1573" s="52" t="s">
        <v>3440</v>
      </c>
      <c r="F1573" s="54" t="n">
        <v>32</v>
      </c>
      <c r="G1573" s="55" t="n">
        <v>329.96</v>
      </c>
      <c r="H1573" s="55" t="n">
        <v>10.3113</v>
      </c>
      <c r="I1573" s="55" t="n">
        <v>29.98</v>
      </c>
      <c r="J1573" s="52" t="s">
        <v>5816</v>
      </c>
      <c r="K1573" s="56" t="n">
        <v>1</v>
      </c>
      <c r="L1573" s="52" t="s">
        <v>5816</v>
      </c>
      <c r="M1573" s="52" t="s">
        <v>705</v>
      </c>
    </row>
    <row r="1574" customFormat="false" ht="17.25" hidden="false" customHeight="true" outlineLevel="0" collapsed="false">
      <c r="A1574" s="52" t="s">
        <v>5777</v>
      </c>
      <c r="B1574" s="52" t="s">
        <v>5813</v>
      </c>
      <c r="C1574" s="53" t="n">
        <v>292640</v>
      </c>
      <c r="D1574" s="52" t="s">
        <v>3441</v>
      </c>
      <c r="E1574" s="52" t="s">
        <v>3442</v>
      </c>
      <c r="F1574" s="54" t="n">
        <v>6</v>
      </c>
      <c r="G1574" s="55" t="n">
        <v>329.94</v>
      </c>
      <c r="H1574" s="55" t="n">
        <v>54.99</v>
      </c>
      <c r="I1574" s="55" t="n">
        <v>54.99</v>
      </c>
      <c r="J1574" s="52" t="s">
        <v>5816</v>
      </c>
      <c r="K1574" s="56" t="n">
        <v>1</v>
      </c>
      <c r="L1574" s="52" t="s">
        <v>5816</v>
      </c>
      <c r="M1574" s="52" t="s">
        <v>189</v>
      </c>
    </row>
    <row r="1575" customFormat="false" ht="17.25" hidden="false" customHeight="true" outlineLevel="0" collapsed="false">
      <c r="A1575" s="52" t="s">
        <v>5777</v>
      </c>
      <c r="B1575" s="52" t="s">
        <v>5813</v>
      </c>
      <c r="C1575" s="53" t="n">
        <v>743781</v>
      </c>
      <c r="D1575" s="52" t="s">
        <v>3443</v>
      </c>
      <c r="E1575" s="52" t="s">
        <v>3444</v>
      </c>
      <c r="F1575" s="54" t="n">
        <v>10</v>
      </c>
      <c r="G1575" s="55" t="n">
        <v>329.8</v>
      </c>
      <c r="H1575" s="55" t="n">
        <v>32.98</v>
      </c>
      <c r="I1575" s="55" t="n">
        <v>32.98</v>
      </c>
      <c r="J1575" s="52" t="s">
        <v>5816</v>
      </c>
      <c r="K1575" s="56" t="n">
        <v>1</v>
      </c>
      <c r="L1575" s="52" t="s">
        <v>5816</v>
      </c>
      <c r="M1575" s="52" t="s">
        <v>38</v>
      </c>
    </row>
    <row r="1576" customFormat="false" ht="17.25" hidden="false" customHeight="true" outlineLevel="0" collapsed="false">
      <c r="A1576" s="52" t="s">
        <v>5777</v>
      </c>
      <c r="B1576" s="52" t="s">
        <v>5813</v>
      </c>
      <c r="C1576" s="53" t="n">
        <v>33548</v>
      </c>
      <c r="D1576" s="52" t="s">
        <v>3445</v>
      </c>
      <c r="E1576" s="52" t="s">
        <v>3446</v>
      </c>
      <c r="F1576" s="54" t="n">
        <v>22</v>
      </c>
      <c r="G1576" s="55" t="n">
        <v>329.56</v>
      </c>
      <c r="H1576" s="55" t="n">
        <v>14.98</v>
      </c>
      <c r="I1576" s="55" t="n">
        <v>14.98</v>
      </c>
      <c r="J1576" s="52" t="s">
        <v>5816</v>
      </c>
      <c r="K1576" s="56" t="n">
        <v>1</v>
      </c>
      <c r="L1576" s="52" t="s">
        <v>5816</v>
      </c>
      <c r="M1576" s="52" t="s">
        <v>54</v>
      </c>
    </row>
    <row r="1577" customFormat="false" ht="17.25" hidden="false" customHeight="true" outlineLevel="0" collapsed="false">
      <c r="A1577" s="52" t="s">
        <v>5777</v>
      </c>
      <c r="B1577" s="52" t="s">
        <v>5813</v>
      </c>
      <c r="C1577" s="53" t="n">
        <v>58305</v>
      </c>
      <c r="D1577" s="52" t="s">
        <v>3447</v>
      </c>
      <c r="E1577" s="52" t="s">
        <v>3448</v>
      </c>
      <c r="F1577" s="54" t="n">
        <v>22</v>
      </c>
      <c r="G1577" s="55" t="n">
        <v>329.56</v>
      </c>
      <c r="H1577" s="55" t="n">
        <v>14.98</v>
      </c>
      <c r="I1577" s="55" t="n">
        <v>14.98</v>
      </c>
      <c r="J1577" s="52" t="s">
        <v>5816</v>
      </c>
      <c r="K1577" s="56" t="n">
        <v>1</v>
      </c>
      <c r="L1577" s="52" t="s">
        <v>5816</v>
      </c>
      <c r="M1577" s="52" t="s">
        <v>262</v>
      </c>
    </row>
    <row r="1578" customFormat="false" ht="17.25" hidden="false" customHeight="true" outlineLevel="0" collapsed="false">
      <c r="A1578" s="52" t="s">
        <v>5777</v>
      </c>
      <c r="B1578" s="52" t="s">
        <v>5813</v>
      </c>
      <c r="C1578" s="53" t="n">
        <v>16961</v>
      </c>
      <c r="D1578" s="52" t="s">
        <v>3449</v>
      </c>
      <c r="E1578" s="52" t="s">
        <v>3450</v>
      </c>
      <c r="F1578" s="54" t="n">
        <v>33</v>
      </c>
      <c r="G1578" s="55" t="n">
        <v>329.34</v>
      </c>
      <c r="H1578" s="55" t="n">
        <v>9.98</v>
      </c>
      <c r="I1578" s="55" t="n">
        <v>9.98</v>
      </c>
      <c r="J1578" s="52" t="s">
        <v>5816</v>
      </c>
      <c r="K1578" s="56" t="n">
        <v>1</v>
      </c>
      <c r="L1578" s="52" t="s">
        <v>5816</v>
      </c>
      <c r="M1578" s="52" t="s">
        <v>100</v>
      </c>
    </row>
    <row r="1579" customFormat="false" ht="17.25" hidden="false" customHeight="true" outlineLevel="0" collapsed="false">
      <c r="A1579" s="52" t="s">
        <v>5777</v>
      </c>
      <c r="B1579" s="52" t="s">
        <v>5813</v>
      </c>
      <c r="C1579" s="53" t="n">
        <v>1383568</v>
      </c>
      <c r="D1579" s="52" t="s">
        <v>3451</v>
      </c>
      <c r="E1579" s="52" t="s">
        <v>3452</v>
      </c>
      <c r="F1579" s="54" t="n">
        <v>215</v>
      </c>
      <c r="G1579" s="55" t="n">
        <v>328.25</v>
      </c>
      <c r="H1579" s="55" t="n">
        <v>1.5267</v>
      </c>
      <c r="I1579" s="55" t="n">
        <v>1.46</v>
      </c>
      <c r="J1579" s="52" t="s">
        <v>5816</v>
      </c>
      <c r="K1579" s="56" t="n">
        <v>1</v>
      </c>
      <c r="L1579" s="52" t="s">
        <v>5816</v>
      </c>
      <c r="M1579" s="52" t="s">
        <v>38</v>
      </c>
    </row>
    <row r="1580" customFormat="false" ht="17.25" hidden="false" customHeight="true" outlineLevel="0" collapsed="false">
      <c r="A1580" s="52" t="s">
        <v>5777</v>
      </c>
      <c r="B1580" s="52" t="s">
        <v>5813</v>
      </c>
      <c r="C1580" s="53" t="n">
        <v>748231</v>
      </c>
      <c r="D1580" s="52" t="s">
        <v>3453</v>
      </c>
      <c r="E1580" s="52" t="s">
        <v>3454</v>
      </c>
      <c r="F1580" s="54" t="n">
        <v>5</v>
      </c>
      <c r="G1580" s="55" t="n">
        <v>327.19</v>
      </c>
      <c r="H1580" s="55" t="n">
        <v>65.438</v>
      </c>
      <c r="I1580" s="55" t="n">
        <v>65.438</v>
      </c>
      <c r="J1580" s="52" t="s">
        <v>5816</v>
      </c>
      <c r="K1580" s="56" t="n">
        <v>1</v>
      </c>
      <c r="L1580" s="52" t="s">
        <v>5816</v>
      </c>
      <c r="M1580" s="52" t="s">
        <v>93</v>
      </c>
    </row>
    <row r="1581" customFormat="false" ht="17.25" hidden="false" customHeight="true" outlineLevel="0" collapsed="false">
      <c r="A1581" s="52" t="s">
        <v>5777</v>
      </c>
      <c r="B1581" s="52" t="s">
        <v>5813</v>
      </c>
      <c r="C1581" s="53" t="n">
        <v>19810</v>
      </c>
      <c r="D1581" s="52" t="s">
        <v>3455</v>
      </c>
      <c r="E1581" s="52" t="s">
        <v>3456</v>
      </c>
      <c r="F1581" s="54" t="n">
        <v>170</v>
      </c>
      <c r="G1581" s="55" t="n">
        <v>327.05</v>
      </c>
      <c r="H1581" s="55" t="n">
        <v>1.9238</v>
      </c>
      <c r="I1581" s="55" t="n">
        <v>2</v>
      </c>
      <c r="J1581" s="52" t="s">
        <v>5816</v>
      </c>
      <c r="K1581" s="56" t="n">
        <v>1</v>
      </c>
      <c r="L1581" s="52" t="s">
        <v>5816</v>
      </c>
      <c r="M1581" s="52" t="s">
        <v>605</v>
      </c>
    </row>
    <row r="1582" customFormat="false" ht="17.25" hidden="false" customHeight="true" outlineLevel="0" collapsed="false">
      <c r="A1582" s="52" t="s">
        <v>5777</v>
      </c>
      <c r="B1582" s="52" t="s">
        <v>5813</v>
      </c>
      <c r="C1582" s="53" t="n">
        <v>19616</v>
      </c>
      <c r="D1582" s="52" t="s">
        <v>3457</v>
      </c>
      <c r="E1582" s="52" t="s">
        <v>3458</v>
      </c>
      <c r="F1582" s="54" t="n">
        <v>9</v>
      </c>
      <c r="G1582" s="55" t="n">
        <v>325.92</v>
      </c>
      <c r="H1582" s="55" t="n">
        <v>36.2133</v>
      </c>
      <c r="I1582" s="55" t="n">
        <v>37.99</v>
      </c>
      <c r="J1582" s="52" t="s">
        <v>5816</v>
      </c>
      <c r="K1582" s="56" t="n">
        <v>1</v>
      </c>
      <c r="L1582" s="52" t="s">
        <v>5816</v>
      </c>
      <c r="M1582" s="52" t="s">
        <v>1095</v>
      </c>
    </row>
    <row r="1583" customFormat="false" ht="17.25" hidden="false" customHeight="true" outlineLevel="0" collapsed="false">
      <c r="A1583" s="52" t="s">
        <v>5777</v>
      </c>
      <c r="B1583" s="52" t="s">
        <v>5813</v>
      </c>
      <c r="C1583" s="53" t="n">
        <v>32241</v>
      </c>
      <c r="D1583" s="52" t="s">
        <v>3459</v>
      </c>
      <c r="E1583" s="52" t="s">
        <v>3460</v>
      </c>
      <c r="F1583" s="54" t="n">
        <v>57</v>
      </c>
      <c r="G1583" s="55" t="n">
        <v>325.6088</v>
      </c>
      <c r="H1583" s="55" t="n">
        <v>5.7124</v>
      </c>
      <c r="I1583" s="55" t="n">
        <v>5.41</v>
      </c>
      <c r="J1583" s="52" t="s">
        <v>5816</v>
      </c>
      <c r="K1583" s="56" t="n">
        <v>1</v>
      </c>
      <c r="L1583" s="52" t="s">
        <v>5816</v>
      </c>
      <c r="M1583" s="52" t="s">
        <v>457</v>
      </c>
    </row>
    <row r="1584" customFormat="false" ht="17.25" hidden="false" customHeight="true" outlineLevel="0" collapsed="false">
      <c r="A1584" s="52" t="s">
        <v>5777</v>
      </c>
      <c r="B1584" s="52" t="s">
        <v>5813</v>
      </c>
      <c r="C1584" s="53" t="n">
        <v>1607242</v>
      </c>
      <c r="D1584" s="52" t="s">
        <v>3461</v>
      </c>
      <c r="E1584" s="52" t="s">
        <v>3462</v>
      </c>
      <c r="F1584" s="54" t="n">
        <v>2</v>
      </c>
      <c r="G1584" s="55" t="n">
        <v>324.9</v>
      </c>
      <c r="H1584" s="55" t="n">
        <v>162.45</v>
      </c>
      <c r="I1584" s="55" t="n">
        <v>160.2</v>
      </c>
      <c r="J1584" s="52" t="s">
        <v>5816</v>
      </c>
      <c r="K1584" s="56" t="n">
        <v>1</v>
      </c>
      <c r="L1584" s="52" t="s">
        <v>5816</v>
      </c>
      <c r="M1584" s="52" t="s">
        <v>54</v>
      </c>
    </row>
    <row r="1585" customFormat="false" ht="17.25" hidden="false" customHeight="true" outlineLevel="0" collapsed="false">
      <c r="A1585" s="52" t="s">
        <v>5777</v>
      </c>
      <c r="B1585" s="52" t="s">
        <v>5813</v>
      </c>
      <c r="C1585" s="53" t="n">
        <v>35386</v>
      </c>
      <c r="D1585" s="52" t="s">
        <v>3463</v>
      </c>
      <c r="E1585" s="52" t="s">
        <v>3464</v>
      </c>
      <c r="F1585" s="54" t="n">
        <v>3</v>
      </c>
      <c r="G1585" s="55" t="n">
        <v>323.4</v>
      </c>
      <c r="H1585" s="55" t="n">
        <v>107.8</v>
      </c>
      <c r="I1585" s="55" t="n">
        <v>107.8</v>
      </c>
      <c r="J1585" s="52" t="s">
        <v>5816</v>
      </c>
      <c r="K1585" s="56" t="n">
        <v>1</v>
      </c>
      <c r="L1585" s="52" t="s">
        <v>5816</v>
      </c>
      <c r="M1585" s="52" t="s">
        <v>334</v>
      </c>
    </row>
    <row r="1586" customFormat="false" ht="17.25" hidden="false" customHeight="true" outlineLevel="0" collapsed="false">
      <c r="A1586" s="52" t="s">
        <v>5777</v>
      </c>
      <c r="B1586" s="52" t="s">
        <v>5813</v>
      </c>
      <c r="C1586" s="53" t="n">
        <v>23699</v>
      </c>
      <c r="D1586" s="52" t="s">
        <v>3465</v>
      </c>
      <c r="E1586" s="52" t="s">
        <v>3466</v>
      </c>
      <c r="F1586" s="54" t="n">
        <v>20</v>
      </c>
      <c r="G1586" s="55" t="n">
        <v>322.2</v>
      </c>
      <c r="H1586" s="55" t="n">
        <v>16.11</v>
      </c>
      <c r="I1586" s="55" t="n">
        <v>16.11</v>
      </c>
      <c r="J1586" s="52" t="s">
        <v>5816</v>
      </c>
      <c r="K1586" s="56" t="n">
        <v>1</v>
      </c>
      <c r="L1586" s="52" t="s">
        <v>5816</v>
      </c>
      <c r="M1586" s="52" t="s">
        <v>189</v>
      </c>
    </row>
    <row r="1587" customFormat="false" ht="17.25" hidden="false" customHeight="true" outlineLevel="0" collapsed="false">
      <c r="A1587" s="52" t="s">
        <v>5777</v>
      </c>
      <c r="B1587" s="52" t="s">
        <v>5813</v>
      </c>
      <c r="C1587" s="53" t="n">
        <v>750355</v>
      </c>
      <c r="D1587" s="52" t="s">
        <v>3467</v>
      </c>
      <c r="E1587" s="52" t="s">
        <v>3468</v>
      </c>
      <c r="F1587" s="54" t="n">
        <v>10</v>
      </c>
      <c r="G1587" s="55" t="n">
        <v>321.7</v>
      </c>
      <c r="H1587" s="55" t="n">
        <v>32.17</v>
      </c>
      <c r="I1587" s="55" t="n">
        <v>32.17</v>
      </c>
      <c r="J1587" s="52" t="s">
        <v>5816</v>
      </c>
      <c r="K1587" s="56" t="n">
        <v>1</v>
      </c>
      <c r="L1587" s="52" t="s">
        <v>5816</v>
      </c>
      <c r="M1587" s="52" t="s">
        <v>1618</v>
      </c>
    </row>
    <row r="1588" customFormat="false" ht="17.25" hidden="false" customHeight="true" outlineLevel="0" collapsed="false">
      <c r="A1588" s="52" t="s">
        <v>5777</v>
      </c>
      <c r="B1588" s="52" t="s">
        <v>5813</v>
      </c>
      <c r="C1588" s="53" t="n">
        <v>23124</v>
      </c>
      <c r="D1588" s="52" t="s">
        <v>3469</v>
      </c>
      <c r="E1588" s="52" t="s">
        <v>3470</v>
      </c>
      <c r="F1588" s="54" t="n">
        <v>145</v>
      </c>
      <c r="G1588" s="55" t="n">
        <v>321.4165</v>
      </c>
      <c r="H1588" s="55" t="n">
        <v>2.2167</v>
      </c>
      <c r="I1588" s="55" t="n">
        <v>1.85</v>
      </c>
      <c r="J1588" s="52" t="s">
        <v>5816</v>
      </c>
      <c r="K1588" s="56" t="n">
        <v>1</v>
      </c>
      <c r="L1588" s="52" t="s">
        <v>5816</v>
      </c>
      <c r="M1588" s="52" t="s">
        <v>457</v>
      </c>
    </row>
    <row r="1589" customFormat="false" ht="17.25" hidden="false" customHeight="true" outlineLevel="0" collapsed="false">
      <c r="A1589" s="52" t="s">
        <v>5777</v>
      </c>
      <c r="B1589" s="52" t="s">
        <v>5813</v>
      </c>
      <c r="C1589" s="53" t="n">
        <v>852408</v>
      </c>
      <c r="D1589" s="52" t="s">
        <v>3471</v>
      </c>
      <c r="E1589" s="52" t="s">
        <v>3472</v>
      </c>
      <c r="F1589" s="54" t="n">
        <v>1</v>
      </c>
      <c r="G1589" s="55" t="n">
        <v>321.21</v>
      </c>
      <c r="H1589" s="55" t="n">
        <v>321.21</v>
      </c>
      <c r="I1589" s="55" t="n">
        <v>321.21</v>
      </c>
      <c r="J1589" s="52" t="s">
        <v>5816</v>
      </c>
      <c r="K1589" s="56" t="n">
        <v>1</v>
      </c>
      <c r="L1589" s="52" t="s">
        <v>5816</v>
      </c>
      <c r="M1589" s="52" t="s">
        <v>637</v>
      </c>
    </row>
    <row r="1590" customFormat="false" ht="17.25" hidden="false" customHeight="true" outlineLevel="0" collapsed="false">
      <c r="A1590" s="52" t="s">
        <v>5777</v>
      </c>
      <c r="B1590" s="52" t="s">
        <v>5813</v>
      </c>
      <c r="C1590" s="53" t="n">
        <v>58874</v>
      </c>
      <c r="D1590" s="52" t="s">
        <v>3473</v>
      </c>
      <c r="E1590" s="52" t="s">
        <v>3474</v>
      </c>
      <c r="F1590" s="54" t="n">
        <v>2</v>
      </c>
      <c r="G1590" s="55" t="n">
        <v>320.36</v>
      </c>
      <c r="H1590" s="55" t="n">
        <v>160.18</v>
      </c>
      <c r="I1590" s="55" t="n">
        <v>160.18</v>
      </c>
      <c r="J1590" s="52" t="s">
        <v>5816</v>
      </c>
      <c r="K1590" s="56" t="n">
        <v>1</v>
      </c>
      <c r="L1590" s="52" t="s">
        <v>5816</v>
      </c>
      <c r="M1590" s="52" t="s">
        <v>130</v>
      </c>
    </row>
    <row r="1591" customFormat="false" ht="17.25" hidden="false" customHeight="true" outlineLevel="0" collapsed="false">
      <c r="A1591" s="52" t="s">
        <v>5777</v>
      </c>
      <c r="B1591" s="52" t="s">
        <v>5813</v>
      </c>
      <c r="C1591" s="53" t="n">
        <v>1685481</v>
      </c>
      <c r="D1591" s="52" t="s">
        <v>3475</v>
      </c>
      <c r="E1591" s="52" t="s">
        <v>3476</v>
      </c>
      <c r="F1591" s="54" t="n">
        <v>1</v>
      </c>
      <c r="G1591" s="55" t="n">
        <v>319.96</v>
      </c>
      <c r="H1591" s="55" t="n">
        <v>319.96</v>
      </c>
      <c r="I1591" s="55" t="n">
        <v>319.96</v>
      </c>
      <c r="J1591" s="52" t="s">
        <v>5816</v>
      </c>
      <c r="K1591" s="56" t="n">
        <v>1</v>
      </c>
      <c r="L1591" s="52" t="s">
        <v>5816</v>
      </c>
      <c r="M1591" s="52" t="s">
        <v>54</v>
      </c>
    </row>
    <row r="1592" customFormat="false" ht="17.25" hidden="false" customHeight="true" outlineLevel="0" collapsed="false">
      <c r="A1592" s="52" t="s">
        <v>5777</v>
      </c>
      <c r="B1592" s="52" t="s">
        <v>5813</v>
      </c>
      <c r="C1592" s="53" t="n">
        <v>734571</v>
      </c>
      <c r="D1592" s="52" t="s">
        <v>3477</v>
      </c>
      <c r="E1592" s="52" t="s">
        <v>3478</v>
      </c>
      <c r="F1592" s="54" t="n">
        <v>5</v>
      </c>
      <c r="G1592" s="55" t="n">
        <v>319.5</v>
      </c>
      <c r="H1592" s="55" t="n">
        <v>63.9</v>
      </c>
      <c r="I1592" s="55" t="n">
        <v>63.9</v>
      </c>
      <c r="J1592" s="52" t="s">
        <v>5816</v>
      </c>
      <c r="K1592" s="56" t="n">
        <v>1</v>
      </c>
      <c r="L1592" s="52" t="s">
        <v>5816</v>
      </c>
      <c r="M1592" s="52" t="s">
        <v>130</v>
      </c>
    </row>
    <row r="1593" customFormat="false" ht="17.25" hidden="false" customHeight="true" outlineLevel="0" collapsed="false">
      <c r="A1593" s="52" t="s">
        <v>5777</v>
      </c>
      <c r="B1593" s="52" t="s">
        <v>5813</v>
      </c>
      <c r="C1593" s="53" t="n">
        <v>962258</v>
      </c>
      <c r="D1593" s="52" t="s">
        <v>3479</v>
      </c>
      <c r="E1593" s="52" t="s">
        <v>3480</v>
      </c>
      <c r="F1593" s="54" t="n">
        <v>1</v>
      </c>
      <c r="G1593" s="55" t="n">
        <v>318</v>
      </c>
      <c r="H1593" s="55" t="n">
        <v>318</v>
      </c>
      <c r="I1593" s="55" t="n">
        <v>318</v>
      </c>
      <c r="J1593" s="52" t="s">
        <v>5816</v>
      </c>
      <c r="K1593" s="56" t="n">
        <v>1</v>
      </c>
      <c r="L1593" s="52" t="s">
        <v>5816</v>
      </c>
      <c r="M1593" s="52" t="s">
        <v>705</v>
      </c>
    </row>
    <row r="1594" customFormat="false" ht="17.25" hidden="false" customHeight="true" outlineLevel="0" collapsed="false">
      <c r="A1594" s="52" t="s">
        <v>5777</v>
      </c>
      <c r="B1594" s="52" t="s">
        <v>5813</v>
      </c>
      <c r="C1594" s="53" t="n">
        <v>965629</v>
      </c>
      <c r="D1594" s="52" t="s">
        <v>3481</v>
      </c>
      <c r="E1594" s="52" t="s">
        <v>3482</v>
      </c>
      <c r="F1594" s="54" t="n">
        <v>1</v>
      </c>
      <c r="G1594" s="55" t="n">
        <v>318</v>
      </c>
      <c r="H1594" s="55" t="n">
        <v>318</v>
      </c>
      <c r="I1594" s="55" t="n">
        <v>318</v>
      </c>
      <c r="J1594" s="52" t="s">
        <v>5816</v>
      </c>
      <c r="K1594" s="56" t="n">
        <v>1</v>
      </c>
      <c r="L1594" s="52" t="s">
        <v>5816</v>
      </c>
      <c r="M1594" s="52" t="s">
        <v>38</v>
      </c>
    </row>
    <row r="1595" customFormat="false" ht="17.25" hidden="false" customHeight="true" outlineLevel="0" collapsed="false">
      <c r="A1595" s="52" t="s">
        <v>5777</v>
      </c>
      <c r="B1595" s="52" t="s">
        <v>5813</v>
      </c>
      <c r="C1595" s="53" t="n">
        <v>1461942</v>
      </c>
      <c r="D1595" s="52" t="s">
        <v>3483</v>
      </c>
      <c r="E1595" s="52" t="s">
        <v>3484</v>
      </c>
      <c r="F1595" s="54" t="n">
        <v>1</v>
      </c>
      <c r="G1595" s="55" t="n">
        <v>318</v>
      </c>
      <c r="H1595" s="55" t="n">
        <v>318</v>
      </c>
      <c r="I1595" s="55" t="n">
        <v>318</v>
      </c>
      <c r="J1595" s="52" t="s">
        <v>5816</v>
      </c>
      <c r="K1595" s="56" t="n">
        <v>1</v>
      </c>
      <c r="L1595" s="52" t="s">
        <v>5816</v>
      </c>
      <c r="M1595" s="52" t="s">
        <v>38</v>
      </c>
    </row>
    <row r="1596" customFormat="false" ht="17.25" hidden="false" customHeight="true" outlineLevel="0" collapsed="false">
      <c r="A1596" s="52" t="s">
        <v>5777</v>
      </c>
      <c r="B1596" s="52" t="s">
        <v>5813</v>
      </c>
      <c r="C1596" s="53" t="n">
        <v>16730</v>
      </c>
      <c r="D1596" s="52" t="s">
        <v>3485</v>
      </c>
      <c r="E1596" s="52" t="s">
        <v>3486</v>
      </c>
      <c r="F1596" s="54" t="n">
        <v>15</v>
      </c>
      <c r="G1596" s="55" t="n">
        <v>317.1426</v>
      </c>
      <c r="H1596" s="55" t="n">
        <v>21.1429</v>
      </c>
      <c r="I1596" s="55" t="n">
        <v>19.8</v>
      </c>
      <c r="J1596" s="52" t="s">
        <v>5822</v>
      </c>
      <c r="K1596" s="56" t="n">
        <v>1</v>
      </c>
      <c r="L1596" s="52" t="s">
        <v>5822</v>
      </c>
      <c r="M1596" s="52" t="s">
        <v>100</v>
      </c>
    </row>
    <row r="1597" customFormat="false" ht="17.25" hidden="false" customHeight="true" outlineLevel="0" collapsed="false">
      <c r="A1597" s="52" t="s">
        <v>5777</v>
      </c>
      <c r="B1597" s="52" t="s">
        <v>5813</v>
      </c>
      <c r="C1597" s="53" t="n">
        <v>1104586</v>
      </c>
      <c r="D1597" s="52" t="s">
        <v>3487</v>
      </c>
      <c r="E1597" s="52" t="s">
        <v>3488</v>
      </c>
      <c r="F1597" s="54" t="n">
        <v>16</v>
      </c>
      <c r="G1597" s="55" t="n">
        <v>316.8</v>
      </c>
      <c r="H1597" s="55" t="n">
        <v>19.8</v>
      </c>
      <c r="I1597" s="55" t="n">
        <v>19.8</v>
      </c>
      <c r="J1597" s="52" t="s">
        <v>5816</v>
      </c>
      <c r="K1597" s="56" t="n">
        <v>1</v>
      </c>
      <c r="L1597" s="52" t="s">
        <v>5816</v>
      </c>
      <c r="M1597" s="52" t="s">
        <v>835</v>
      </c>
    </row>
    <row r="1598" customFormat="false" ht="17.25" hidden="false" customHeight="true" outlineLevel="0" collapsed="false">
      <c r="A1598" s="52" t="s">
        <v>5777</v>
      </c>
      <c r="B1598" s="52" t="s">
        <v>5813</v>
      </c>
      <c r="C1598" s="53" t="n">
        <v>548421</v>
      </c>
      <c r="D1598" s="52" t="s">
        <v>3489</v>
      </c>
      <c r="E1598" s="52" t="s">
        <v>3490</v>
      </c>
      <c r="F1598" s="54" t="n">
        <v>2</v>
      </c>
      <c r="G1598" s="55" t="n">
        <v>316</v>
      </c>
      <c r="H1598" s="55" t="n">
        <v>158</v>
      </c>
      <c r="I1598" s="55" t="n">
        <v>158</v>
      </c>
      <c r="J1598" s="52" t="s">
        <v>5816</v>
      </c>
      <c r="K1598" s="56" t="n">
        <v>1</v>
      </c>
      <c r="L1598" s="52" t="s">
        <v>5816</v>
      </c>
      <c r="M1598" s="52" t="s">
        <v>1618</v>
      </c>
    </row>
    <row r="1599" customFormat="false" ht="17.25" hidden="false" customHeight="true" outlineLevel="0" collapsed="false">
      <c r="A1599" s="52" t="s">
        <v>5777</v>
      </c>
      <c r="B1599" s="52" t="s">
        <v>5813</v>
      </c>
      <c r="C1599" s="53" t="n">
        <v>22006</v>
      </c>
      <c r="D1599" s="52" t="s">
        <v>3491</v>
      </c>
      <c r="E1599" s="52" t="s">
        <v>3492</v>
      </c>
      <c r="F1599" s="54" t="n">
        <v>42</v>
      </c>
      <c r="G1599" s="55" t="n">
        <v>315</v>
      </c>
      <c r="H1599" s="55" t="n">
        <v>7.5</v>
      </c>
      <c r="I1599" s="55" t="n">
        <v>7.5</v>
      </c>
      <c r="J1599" s="52" t="s">
        <v>5816</v>
      </c>
      <c r="K1599" s="56" t="n">
        <v>1</v>
      </c>
      <c r="L1599" s="52" t="s">
        <v>5816</v>
      </c>
      <c r="M1599" s="52" t="s">
        <v>605</v>
      </c>
    </row>
    <row r="1600" customFormat="false" ht="17.25" hidden="false" customHeight="true" outlineLevel="0" collapsed="false">
      <c r="A1600" s="52" t="s">
        <v>5777</v>
      </c>
      <c r="B1600" s="52" t="s">
        <v>5813</v>
      </c>
      <c r="C1600" s="53" t="n">
        <v>1261244</v>
      </c>
      <c r="D1600" s="52" t="s">
        <v>3493</v>
      </c>
      <c r="E1600" s="52" t="s">
        <v>3494</v>
      </c>
      <c r="F1600" s="54" t="n">
        <v>7</v>
      </c>
      <c r="G1600" s="55" t="n">
        <v>314.44</v>
      </c>
      <c r="H1600" s="55" t="n">
        <v>44.92</v>
      </c>
      <c r="I1600" s="55" t="n">
        <v>44.92</v>
      </c>
      <c r="J1600" s="52" t="s">
        <v>5816</v>
      </c>
      <c r="K1600" s="56" t="n">
        <v>1</v>
      </c>
      <c r="L1600" s="52" t="s">
        <v>5816</v>
      </c>
      <c r="M1600" s="52" t="s">
        <v>54</v>
      </c>
    </row>
    <row r="1601" customFormat="false" ht="17.25" hidden="false" customHeight="true" outlineLevel="0" collapsed="false">
      <c r="A1601" s="52" t="s">
        <v>5777</v>
      </c>
      <c r="B1601" s="52" t="s">
        <v>5813</v>
      </c>
      <c r="C1601" s="53" t="n">
        <v>959727</v>
      </c>
      <c r="D1601" s="52" t="s">
        <v>3495</v>
      </c>
      <c r="E1601" s="52" t="s">
        <v>3496</v>
      </c>
      <c r="F1601" s="54" t="n">
        <v>8</v>
      </c>
      <c r="G1601" s="55" t="n">
        <v>314</v>
      </c>
      <c r="H1601" s="55" t="n">
        <v>39.25</v>
      </c>
      <c r="I1601" s="55" t="n">
        <v>39.25</v>
      </c>
      <c r="J1601" s="52" t="s">
        <v>5816</v>
      </c>
      <c r="K1601" s="56" t="n">
        <v>1</v>
      </c>
      <c r="L1601" s="52" t="s">
        <v>5816</v>
      </c>
      <c r="M1601" s="52" t="s">
        <v>189</v>
      </c>
    </row>
    <row r="1602" customFormat="false" ht="17.25" hidden="false" customHeight="true" outlineLevel="0" collapsed="false">
      <c r="A1602" s="52" t="s">
        <v>5777</v>
      </c>
      <c r="B1602" s="52" t="s">
        <v>5813</v>
      </c>
      <c r="C1602" s="53" t="n">
        <v>136668</v>
      </c>
      <c r="D1602" s="52" t="s">
        <v>3497</v>
      </c>
      <c r="E1602" s="52" t="s">
        <v>3498</v>
      </c>
      <c r="F1602" s="54" t="n">
        <v>2</v>
      </c>
      <c r="G1602" s="55" t="n">
        <v>312</v>
      </c>
      <c r="H1602" s="55" t="n">
        <v>156</v>
      </c>
      <c r="I1602" s="55" t="n">
        <v>156</v>
      </c>
      <c r="J1602" s="52" t="s">
        <v>5816</v>
      </c>
      <c r="K1602" s="56" t="n">
        <v>1</v>
      </c>
      <c r="L1602" s="52" t="s">
        <v>5816</v>
      </c>
      <c r="M1602" s="52" t="s">
        <v>247</v>
      </c>
    </row>
    <row r="1603" customFormat="false" ht="17.25" hidden="false" customHeight="true" outlineLevel="0" collapsed="false">
      <c r="A1603" s="52" t="s">
        <v>5777</v>
      </c>
      <c r="B1603" s="52" t="s">
        <v>5813</v>
      </c>
      <c r="C1603" s="53" t="n">
        <v>1614920</v>
      </c>
      <c r="D1603" s="52" t="s">
        <v>3499</v>
      </c>
      <c r="E1603" s="52" t="s">
        <v>3500</v>
      </c>
      <c r="F1603" s="54" t="n">
        <v>7</v>
      </c>
      <c r="G1603" s="55" t="n">
        <v>311.87</v>
      </c>
      <c r="H1603" s="55" t="n">
        <v>44.5529</v>
      </c>
      <c r="I1603" s="55" t="n">
        <v>31.05</v>
      </c>
      <c r="J1603" s="52" t="s">
        <v>5816</v>
      </c>
      <c r="K1603" s="56" t="n">
        <v>1</v>
      </c>
      <c r="L1603" s="52" t="s">
        <v>5816</v>
      </c>
      <c r="M1603" s="52" t="s">
        <v>38</v>
      </c>
    </row>
    <row r="1604" customFormat="false" ht="17.25" hidden="false" customHeight="true" outlineLevel="0" collapsed="false">
      <c r="A1604" s="52" t="s">
        <v>5777</v>
      </c>
      <c r="B1604" s="52" t="s">
        <v>5813</v>
      </c>
      <c r="C1604" s="53" t="n">
        <v>1063858</v>
      </c>
      <c r="D1604" s="52" t="s">
        <v>3501</v>
      </c>
      <c r="E1604" s="52" t="s">
        <v>3502</v>
      </c>
      <c r="F1604" s="54" t="n">
        <v>2</v>
      </c>
      <c r="G1604" s="55" t="n">
        <v>311</v>
      </c>
      <c r="H1604" s="55" t="n">
        <v>155.5</v>
      </c>
      <c r="I1604" s="55" t="n">
        <v>125</v>
      </c>
      <c r="J1604" s="52" t="s">
        <v>5816</v>
      </c>
      <c r="K1604" s="56" t="n">
        <v>1</v>
      </c>
      <c r="L1604" s="52" t="s">
        <v>5816</v>
      </c>
      <c r="M1604" s="52" t="s">
        <v>247</v>
      </c>
    </row>
    <row r="1605" customFormat="false" ht="17.25" hidden="false" customHeight="true" outlineLevel="0" collapsed="false">
      <c r="A1605" s="52" t="s">
        <v>5777</v>
      </c>
      <c r="B1605" s="52" t="s">
        <v>5813</v>
      </c>
      <c r="C1605" s="53" t="n">
        <v>19328</v>
      </c>
      <c r="D1605" s="52" t="s">
        <v>3503</v>
      </c>
      <c r="E1605" s="52" t="s">
        <v>3504</v>
      </c>
      <c r="F1605" s="54" t="n">
        <v>153</v>
      </c>
      <c r="G1605" s="55" t="n">
        <v>310.4328</v>
      </c>
      <c r="H1605" s="55" t="n">
        <v>2.029</v>
      </c>
      <c r="I1605" s="55" t="n">
        <v>0.66</v>
      </c>
      <c r="J1605" s="52" t="s">
        <v>5816</v>
      </c>
      <c r="K1605" s="56" t="n">
        <v>1</v>
      </c>
      <c r="L1605" s="52" t="s">
        <v>5816</v>
      </c>
      <c r="M1605" s="52" t="s">
        <v>1095</v>
      </c>
    </row>
    <row r="1606" customFormat="false" ht="17.25" hidden="false" customHeight="true" outlineLevel="0" collapsed="false">
      <c r="A1606" s="52" t="s">
        <v>5777</v>
      </c>
      <c r="B1606" s="52" t="s">
        <v>5813</v>
      </c>
      <c r="C1606" s="53" t="n">
        <v>56968</v>
      </c>
      <c r="D1606" s="52" t="s">
        <v>3505</v>
      </c>
      <c r="E1606" s="52" t="s">
        <v>3506</v>
      </c>
      <c r="F1606" s="54" t="n">
        <v>5</v>
      </c>
      <c r="G1606" s="55" t="n">
        <v>310</v>
      </c>
      <c r="H1606" s="55" t="n">
        <v>62</v>
      </c>
      <c r="I1606" s="55" t="n">
        <v>62</v>
      </c>
      <c r="J1606" s="52" t="s">
        <v>5816</v>
      </c>
      <c r="K1606" s="56" t="n">
        <v>1</v>
      </c>
      <c r="L1606" s="52" t="s">
        <v>5816</v>
      </c>
      <c r="M1606" s="52" t="s">
        <v>1618</v>
      </c>
    </row>
    <row r="1607" customFormat="false" ht="17.25" hidden="false" customHeight="true" outlineLevel="0" collapsed="false">
      <c r="A1607" s="52" t="s">
        <v>5777</v>
      </c>
      <c r="B1607" s="52" t="s">
        <v>5813</v>
      </c>
      <c r="C1607" s="53" t="n">
        <v>1258240</v>
      </c>
      <c r="D1607" s="52" t="s">
        <v>3507</v>
      </c>
      <c r="E1607" s="52" t="s">
        <v>3508</v>
      </c>
      <c r="F1607" s="54" t="n">
        <v>15</v>
      </c>
      <c r="G1607" s="55" t="n">
        <v>309.75</v>
      </c>
      <c r="H1607" s="55" t="n">
        <v>20.65</v>
      </c>
      <c r="I1607" s="55" t="n">
        <v>20.65</v>
      </c>
      <c r="J1607" s="52" t="s">
        <v>5816</v>
      </c>
      <c r="K1607" s="56" t="n">
        <v>1</v>
      </c>
      <c r="L1607" s="52" t="s">
        <v>5816</v>
      </c>
      <c r="M1607" s="52" t="s">
        <v>38</v>
      </c>
    </row>
    <row r="1608" customFormat="false" ht="17.25" hidden="false" customHeight="true" outlineLevel="0" collapsed="false">
      <c r="A1608" s="52" t="s">
        <v>5777</v>
      </c>
      <c r="B1608" s="52" t="s">
        <v>5813</v>
      </c>
      <c r="C1608" s="53" t="n">
        <v>869641</v>
      </c>
      <c r="D1608" s="52" t="s">
        <v>3509</v>
      </c>
      <c r="E1608" s="52" t="s">
        <v>3510</v>
      </c>
      <c r="F1608" s="54" t="n">
        <v>7</v>
      </c>
      <c r="G1608" s="55" t="n">
        <v>308.07</v>
      </c>
      <c r="H1608" s="55" t="n">
        <v>44.01</v>
      </c>
      <c r="I1608" s="55" t="n">
        <v>44.01</v>
      </c>
      <c r="J1608" s="52" t="s">
        <v>5816</v>
      </c>
      <c r="K1608" s="56" t="n">
        <v>1</v>
      </c>
      <c r="L1608" s="52" t="s">
        <v>5816</v>
      </c>
      <c r="M1608" s="52" t="s">
        <v>138</v>
      </c>
    </row>
    <row r="1609" customFormat="false" ht="17.25" hidden="false" customHeight="true" outlineLevel="0" collapsed="false">
      <c r="A1609" s="52" t="s">
        <v>5777</v>
      </c>
      <c r="B1609" s="52" t="s">
        <v>5813</v>
      </c>
      <c r="C1609" s="53" t="n">
        <v>876698</v>
      </c>
      <c r="D1609" s="52" t="s">
        <v>3511</v>
      </c>
      <c r="E1609" s="52" t="s">
        <v>3512</v>
      </c>
      <c r="F1609" s="54" t="n">
        <v>4</v>
      </c>
      <c r="G1609" s="55" t="n">
        <v>306.4</v>
      </c>
      <c r="H1609" s="55" t="n">
        <v>76.6</v>
      </c>
      <c r="I1609" s="55" t="n">
        <v>76.6</v>
      </c>
      <c r="J1609" s="52" t="s">
        <v>5816</v>
      </c>
      <c r="K1609" s="56" t="n">
        <v>1</v>
      </c>
      <c r="L1609" s="52" t="s">
        <v>5816</v>
      </c>
      <c r="M1609" s="52" t="s">
        <v>457</v>
      </c>
    </row>
    <row r="1610" customFormat="false" ht="17.25" hidden="false" customHeight="true" outlineLevel="0" collapsed="false">
      <c r="A1610" s="52" t="s">
        <v>5777</v>
      </c>
      <c r="B1610" s="52" t="s">
        <v>5813</v>
      </c>
      <c r="C1610" s="53" t="n">
        <v>23183</v>
      </c>
      <c r="D1610" s="52" t="s">
        <v>3513</v>
      </c>
      <c r="E1610" s="52" t="s">
        <v>3514</v>
      </c>
      <c r="F1610" s="54" t="n">
        <v>1</v>
      </c>
      <c r="G1610" s="55" t="n">
        <v>306.06</v>
      </c>
      <c r="H1610" s="55" t="n">
        <v>306.06</v>
      </c>
      <c r="I1610" s="55" t="n">
        <v>306.06</v>
      </c>
      <c r="J1610" s="52" t="s">
        <v>5816</v>
      </c>
      <c r="K1610" s="56" t="n">
        <v>1</v>
      </c>
      <c r="L1610" s="52" t="s">
        <v>5816</v>
      </c>
      <c r="M1610" s="52" t="s">
        <v>93</v>
      </c>
    </row>
    <row r="1611" customFormat="false" ht="17.25" hidden="false" customHeight="true" outlineLevel="0" collapsed="false">
      <c r="A1611" s="52" t="s">
        <v>5777</v>
      </c>
      <c r="B1611" s="52" t="s">
        <v>5813</v>
      </c>
      <c r="C1611" s="53" t="n">
        <v>946720</v>
      </c>
      <c r="D1611" s="52" t="s">
        <v>3515</v>
      </c>
      <c r="E1611" s="52" t="s">
        <v>3516</v>
      </c>
      <c r="F1611" s="54" t="n">
        <v>10</v>
      </c>
      <c r="G1611" s="55" t="n">
        <v>305.6</v>
      </c>
      <c r="H1611" s="55" t="n">
        <v>30.56</v>
      </c>
      <c r="I1611" s="55" t="n">
        <v>30.56</v>
      </c>
      <c r="J1611" s="52" t="s">
        <v>5816</v>
      </c>
      <c r="K1611" s="56" t="n">
        <v>1</v>
      </c>
      <c r="L1611" s="52" t="s">
        <v>5816</v>
      </c>
      <c r="M1611" s="52" t="s">
        <v>130</v>
      </c>
    </row>
    <row r="1612" customFormat="false" ht="17.25" hidden="false" customHeight="true" outlineLevel="0" collapsed="false">
      <c r="A1612" s="52" t="s">
        <v>5777</v>
      </c>
      <c r="B1612" s="52" t="s">
        <v>5813</v>
      </c>
      <c r="C1612" s="53" t="n">
        <v>945740</v>
      </c>
      <c r="D1612" s="52" t="s">
        <v>3517</v>
      </c>
      <c r="E1612" s="52" t="s">
        <v>3518</v>
      </c>
      <c r="F1612" s="54" t="n">
        <v>25</v>
      </c>
      <c r="G1612" s="55" t="n">
        <v>304.286</v>
      </c>
      <c r="H1612" s="55" t="n">
        <v>12.1714</v>
      </c>
      <c r="I1612" s="55" t="n">
        <v>7.8</v>
      </c>
      <c r="J1612" s="52" t="s">
        <v>5816</v>
      </c>
      <c r="K1612" s="56" t="n">
        <v>1</v>
      </c>
      <c r="L1612" s="52" t="s">
        <v>5816</v>
      </c>
      <c r="M1612" s="52" t="s">
        <v>705</v>
      </c>
    </row>
    <row r="1613" customFormat="false" ht="17.25" hidden="false" customHeight="true" outlineLevel="0" collapsed="false">
      <c r="A1613" s="52" t="s">
        <v>5777</v>
      </c>
      <c r="B1613" s="52" t="s">
        <v>5813</v>
      </c>
      <c r="C1613" s="53" t="n">
        <v>1656095</v>
      </c>
      <c r="D1613" s="52" t="s">
        <v>3519</v>
      </c>
      <c r="E1613" s="52" t="s">
        <v>3520</v>
      </c>
      <c r="F1613" s="54" t="n">
        <v>15</v>
      </c>
      <c r="G1613" s="55" t="n">
        <v>303.75</v>
      </c>
      <c r="H1613" s="55" t="n">
        <v>20.25</v>
      </c>
      <c r="I1613" s="55" t="n">
        <v>20.25</v>
      </c>
      <c r="J1613" s="52" t="s">
        <v>5816</v>
      </c>
      <c r="K1613" s="56" t="n">
        <v>1</v>
      </c>
      <c r="L1613" s="52" t="s">
        <v>5816</v>
      </c>
      <c r="M1613" s="52" t="s">
        <v>217</v>
      </c>
    </row>
    <row r="1614" customFormat="false" ht="17.25" hidden="false" customHeight="true" outlineLevel="0" collapsed="false">
      <c r="A1614" s="52" t="s">
        <v>5777</v>
      </c>
      <c r="B1614" s="52" t="s">
        <v>5813</v>
      </c>
      <c r="C1614" s="53" t="n">
        <v>1656096</v>
      </c>
      <c r="D1614" s="52" t="s">
        <v>3521</v>
      </c>
      <c r="E1614" s="52" t="s">
        <v>3522</v>
      </c>
      <c r="F1614" s="54" t="n">
        <v>15</v>
      </c>
      <c r="G1614" s="55" t="n">
        <v>303.75</v>
      </c>
      <c r="H1614" s="55" t="n">
        <v>20.25</v>
      </c>
      <c r="I1614" s="55" t="n">
        <v>20.25</v>
      </c>
      <c r="J1614" s="52" t="s">
        <v>5816</v>
      </c>
      <c r="K1614" s="56" t="n">
        <v>1</v>
      </c>
      <c r="L1614" s="52" t="s">
        <v>5816</v>
      </c>
      <c r="M1614" s="52" t="s">
        <v>217</v>
      </c>
    </row>
    <row r="1615" customFormat="false" ht="17.25" hidden="false" customHeight="true" outlineLevel="0" collapsed="false">
      <c r="A1615" s="52" t="s">
        <v>5777</v>
      </c>
      <c r="B1615" s="52" t="s">
        <v>5813</v>
      </c>
      <c r="C1615" s="53" t="n">
        <v>1656585</v>
      </c>
      <c r="D1615" s="52" t="s">
        <v>3523</v>
      </c>
      <c r="E1615" s="52" t="s">
        <v>3524</v>
      </c>
      <c r="F1615" s="54" t="n">
        <v>15</v>
      </c>
      <c r="G1615" s="55" t="n">
        <v>303.75</v>
      </c>
      <c r="H1615" s="55" t="n">
        <v>20.25</v>
      </c>
      <c r="I1615" s="55" t="n">
        <v>20.25</v>
      </c>
      <c r="J1615" s="52" t="s">
        <v>5816</v>
      </c>
      <c r="K1615" s="56" t="n">
        <v>1</v>
      </c>
      <c r="L1615" s="52" t="s">
        <v>5816</v>
      </c>
      <c r="M1615" s="52" t="s">
        <v>217</v>
      </c>
    </row>
    <row r="1616" customFormat="false" ht="17.25" hidden="false" customHeight="true" outlineLevel="0" collapsed="false">
      <c r="A1616" s="52" t="s">
        <v>5777</v>
      </c>
      <c r="B1616" s="52" t="s">
        <v>5813</v>
      </c>
      <c r="C1616" s="53" t="n">
        <v>884954</v>
      </c>
      <c r="D1616" s="52" t="s">
        <v>3525</v>
      </c>
      <c r="E1616" s="52" t="s">
        <v>3526</v>
      </c>
      <c r="F1616" s="54" t="n">
        <v>21</v>
      </c>
      <c r="G1616" s="55" t="n">
        <v>302.98</v>
      </c>
      <c r="H1616" s="55" t="n">
        <v>14.4276</v>
      </c>
      <c r="I1616" s="55" t="n">
        <v>22.98</v>
      </c>
      <c r="J1616" s="52" t="s">
        <v>5817</v>
      </c>
      <c r="K1616" s="56" t="n">
        <v>1</v>
      </c>
      <c r="L1616" s="52" t="s">
        <v>5817</v>
      </c>
      <c r="M1616" s="52" t="s">
        <v>38</v>
      </c>
    </row>
    <row r="1617" customFormat="false" ht="17.25" hidden="false" customHeight="true" outlineLevel="0" collapsed="false">
      <c r="A1617" s="52" t="s">
        <v>5777</v>
      </c>
      <c r="B1617" s="52" t="s">
        <v>5813</v>
      </c>
      <c r="C1617" s="53" t="n">
        <v>349007</v>
      </c>
      <c r="D1617" s="52" t="s">
        <v>3527</v>
      </c>
      <c r="E1617" s="52" t="s">
        <v>3528</v>
      </c>
      <c r="F1617" s="54" t="n">
        <v>4</v>
      </c>
      <c r="G1617" s="55" t="n">
        <v>302.64</v>
      </c>
      <c r="H1617" s="55" t="n">
        <v>75.66</v>
      </c>
      <c r="I1617" s="55" t="n">
        <v>75.66</v>
      </c>
      <c r="J1617" s="52" t="s">
        <v>5816</v>
      </c>
      <c r="K1617" s="56" t="n">
        <v>1</v>
      </c>
      <c r="L1617" s="52" t="s">
        <v>5816</v>
      </c>
      <c r="M1617" s="52" t="s">
        <v>130</v>
      </c>
    </row>
    <row r="1618" customFormat="false" ht="17.25" hidden="false" customHeight="true" outlineLevel="0" collapsed="false">
      <c r="A1618" s="52" t="s">
        <v>5777</v>
      </c>
      <c r="B1618" s="52" t="s">
        <v>5813</v>
      </c>
      <c r="C1618" s="53" t="n">
        <v>14208</v>
      </c>
      <c r="D1618" s="52" t="s">
        <v>3529</v>
      </c>
      <c r="E1618" s="52" t="s">
        <v>3530</v>
      </c>
      <c r="F1618" s="54" t="n">
        <v>27</v>
      </c>
      <c r="G1618" s="55" t="n">
        <v>302.52</v>
      </c>
      <c r="H1618" s="55" t="n">
        <v>11.2044</v>
      </c>
      <c r="I1618" s="55" t="n">
        <v>198</v>
      </c>
      <c r="J1618" s="52" t="s">
        <v>5816</v>
      </c>
      <c r="K1618" s="56" t="n">
        <v>1</v>
      </c>
      <c r="L1618" s="52" t="s">
        <v>5816</v>
      </c>
      <c r="M1618" s="52" t="s">
        <v>38</v>
      </c>
    </row>
    <row r="1619" customFormat="false" ht="17.25" hidden="false" customHeight="true" outlineLevel="0" collapsed="false">
      <c r="A1619" s="52" t="s">
        <v>5777</v>
      </c>
      <c r="B1619" s="52" t="s">
        <v>5813</v>
      </c>
      <c r="C1619" s="53" t="n">
        <v>833727</v>
      </c>
      <c r="D1619" s="52" t="s">
        <v>3531</v>
      </c>
      <c r="E1619" s="52" t="s">
        <v>3532</v>
      </c>
      <c r="F1619" s="54" t="n">
        <v>4</v>
      </c>
      <c r="G1619" s="55" t="n">
        <v>302.4</v>
      </c>
      <c r="H1619" s="55" t="n">
        <v>75.6</v>
      </c>
      <c r="I1619" s="55" t="n">
        <v>75.6</v>
      </c>
      <c r="J1619" s="52" t="s">
        <v>5816</v>
      </c>
      <c r="K1619" s="56" t="n">
        <v>1</v>
      </c>
      <c r="L1619" s="52" t="s">
        <v>5816</v>
      </c>
      <c r="M1619" s="52" t="s">
        <v>2056</v>
      </c>
    </row>
    <row r="1620" customFormat="false" ht="17.25" hidden="false" customHeight="true" outlineLevel="0" collapsed="false">
      <c r="A1620" s="52" t="s">
        <v>5777</v>
      </c>
      <c r="B1620" s="52" t="s">
        <v>5813</v>
      </c>
      <c r="C1620" s="53" t="n">
        <v>57873</v>
      </c>
      <c r="D1620" s="52" t="s">
        <v>3533</v>
      </c>
      <c r="E1620" s="52" t="s">
        <v>3534</v>
      </c>
      <c r="F1620" s="54" t="n">
        <v>32</v>
      </c>
      <c r="G1620" s="55" t="n">
        <v>302</v>
      </c>
      <c r="H1620" s="55" t="n">
        <v>9.4375</v>
      </c>
      <c r="I1620" s="55" t="n">
        <v>16</v>
      </c>
      <c r="J1620" s="52" t="s">
        <v>5816</v>
      </c>
      <c r="K1620" s="56" t="n">
        <v>1</v>
      </c>
      <c r="L1620" s="52" t="s">
        <v>5816</v>
      </c>
      <c r="M1620" s="52" t="s">
        <v>2056</v>
      </c>
    </row>
    <row r="1621" customFormat="false" ht="17.25" hidden="false" customHeight="true" outlineLevel="0" collapsed="false">
      <c r="A1621" s="52" t="s">
        <v>5777</v>
      </c>
      <c r="B1621" s="52" t="s">
        <v>5813</v>
      </c>
      <c r="C1621" s="53" t="n">
        <v>144566</v>
      </c>
      <c r="D1621" s="52" t="s">
        <v>3535</v>
      </c>
      <c r="E1621" s="52" t="s">
        <v>5935</v>
      </c>
      <c r="F1621" s="54" t="n">
        <v>30</v>
      </c>
      <c r="G1621" s="55" t="n">
        <v>300</v>
      </c>
      <c r="H1621" s="55" t="n">
        <v>10</v>
      </c>
      <c r="I1621" s="55" t="n">
        <v>10</v>
      </c>
      <c r="J1621" s="52" t="s">
        <v>5816</v>
      </c>
      <c r="K1621" s="56" t="n">
        <v>1</v>
      </c>
      <c r="L1621" s="52" t="s">
        <v>5816</v>
      </c>
      <c r="M1621" s="52" t="s">
        <v>605</v>
      </c>
    </row>
    <row r="1622" customFormat="false" ht="17.25" hidden="false" customHeight="true" outlineLevel="0" collapsed="false">
      <c r="A1622" s="52" t="s">
        <v>5777</v>
      </c>
      <c r="B1622" s="52" t="s">
        <v>5813</v>
      </c>
      <c r="C1622" s="53" t="n">
        <v>390194</v>
      </c>
      <c r="D1622" s="52" t="s">
        <v>3537</v>
      </c>
      <c r="E1622" s="52" t="s">
        <v>3538</v>
      </c>
      <c r="F1622" s="54" t="n">
        <v>2</v>
      </c>
      <c r="G1622" s="55" t="n">
        <v>300</v>
      </c>
      <c r="H1622" s="55" t="n">
        <v>150</v>
      </c>
      <c r="I1622" s="55" t="n">
        <v>150</v>
      </c>
      <c r="J1622" s="52" t="s">
        <v>5816</v>
      </c>
      <c r="K1622" s="56" t="n">
        <v>1</v>
      </c>
      <c r="L1622" s="52" t="s">
        <v>5816</v>
      </c>
      <c r="M1622" s="52" t="s">
        <v>189</v>
      </c>
    </row>
    <row r="1623" customFormat="false" ht="17.25" hidden="false" customHeight="true" outlineLevel="0" collapsed="false">
      <c r="A1623" s="52" t="s">
        <v>5777</v>
      </c>
      <c r="B1623" s="52" t="s">
        <v>5813</v>
      </c>
      <c r="C1623" s="53" t="n">
        <v>734024</v>
      </c>
      <c r="D1623" s="52" t="s">
        <v>3539</v>
      </c>
      <c r="E1623" s="52" t="s">
        <v>3540</v>
      </c>
      <c r="F1623" s="54" t="n">
        <v>4</v>
      </c>
      <c r="G1623" s="55" t="n">
        <v>300</v>
      </c>
      <c r="H1623" s="55" t="n">
        <v>75</v>
      </c>
      <c r="I1623" s="55" t="n">
        <v>75</v>
      </c>
      <c r="J1623" s="52" t="s">
        <v>5816</v>
      </c>
      <c r="K1623" s="56" t="n">
        <v>1</v>
      </c>
      <c r="L1623" s="52" t="s">
        <v>5816</v>
      </c>
      <c r="M1623" s="52" t="s">
        <v>130</v>
      </c>
    </row>
    <row r="1624" customFormat="false" ht="17.25" hidden="false" customHeight="true" outlineLevel="0" collapsed="false">
      <c r="A1624" s="52" t="s">
        <v>5777</v>
      </c>
      <c r="B1624" s="52" t="s">
        <v>5813</v>
      </c>
      <c r="C1624" s="53" t="n">
        <v>1009352</v>
      </c>
      <c r="D1624" s="52" t="s">
        <v>3541</v>
      </c>
      <c r="E1624" s="52" t="s">
        <v>3542</v>
      </c>
      <c r="F1624" s="54" t="n">
        <v>6</v>
      </c>
      <c r="G1624" s="55" t="n">
        <v>299.85</v>
      </c>
      <c r="H1624" s="55" t="n">
        <v>49.975</v>
      </c>
      <c r="I1624" s="55" t="n">
        <v>49.975</v>
      </c>
      <c r="J1624" s="52" t="s">
        <v>5816</v>
      </c>
      <c r="K1624" s="56" t="n">
        <v>1</v>
      </c>
      <c r="L1624" s="52" t="s">
        <v>5816</v>
      </c>
      <c r="M1624" s="52" t="s">
        <v>637</v>
      </c>
    </row>
    <row r="1625" customFormat="false" ht="17.25" hidden="false" customHeight="true" outlineLevel="0" collapsed="false">
      <c r="A1625" s="52" t="s">
        <v>5777</v>
      </c>
      <c r="B1625" s="52" t="s">
        <v>5813</v>
      </c>
      <c r="C1625" s="53" t="n">
        <v>60803</v>
      </c>
      <c r="D1625" s="52" t="s">
        <v>3543</v>
      </c>
      <c r="E1625" s="52" t="s">
        <v>5936</v>
      </c>
      <c r="F1625" s="54" t="n">
        <v>20</v>
      </c>
      <c r="G1625" s="55" t="n">
        <v>299.6</v>
      </c>
      <c r="H1625" s="55" t="n">
        <v>14.98</v>
      </c>
      <c r="I1625" s="55" t="n">
        <v>14.98</v>
      </c>
      <c r="J1625" s="52" t="s">
        <v>5816</v>
      </c>
      <c r="K1625" s="56" t="n">
        <v>1</v>
      </c>
      <c r="L1625" s="52" t="s">
        <v>5816</v>
      </c>
      <c r="M1625" s="52" t="s">
        <v>54</v>
      </c>
    </row>
    <row r="1626" customFormat="false" ht="17.25" hidden="false" customHeight="true" outlineLevel="0" collapsed="false">
      <c r="A1626" s="52" t="s">
        <v>5777</v>
      </c>
      <c r="B1626" s="52" t="s">
        <v>5813</v>
      </c>
      <c r="C1626" s="53" t="n">
        <v>24256</v>
      </c>
      <c r="D1626" s="52" t="s">
        <v>3545</v>
      </c>
      <c r="E1626" s="52" t="s">
        <v>3546</v>
      </c>
      <c r="F1626" s="54" t="n">
        <v>4</v>
      </c>
      <c r="G1626" s="55" t="n">
        <v>299.13</v>
      </c>
      <c r="H1626" s="55" t="n">
        <v>74.7825</v>
      </c>
      <c r="I1626" s="55" t="n">
        <v>89.665</v>
      </c>
      <c r="J1626" s="52" t="s">
        <v>5816</v>
      </c>
      <c r="K1626" s="56" t="n">
        <v>1</v>
      </c>
      <c r="L1626" s="52" t="s">
        <v>5816</v>
      </c>
      <c r="M1626" s="52" t="s">
        <v>75</v>
      </c>
    </row>
    <row r="1627" customFormat="false" ht="17.25" hidden="false" customHeight="true" outlineLevel="0" collapsed="false">
      <c r="A1627" s="52" t="s">
        <v>5777</v>
      </c>
      <c r="B1627" s="52" t="s">
        <v>5813</v>
      </c>
      <c r="C1627" s="53" t="n">
        <v>57515</v>
      </c>
      <c r="D1627" s="52" t="s">
        <v>3547</v>
      </c>
      <c r="E1627" s="52" t="s">
        <v>3548</v>
      </c>
      <c r="F1627" s="54" t="n">
        <v>78</v>
      </c>
      <c r="G1627" s="55" t="n">
        <v>298.66</v>
      </c>
      <c r="H1627" s="55" t="n">
        <v>3.829</v>
      </c>
      <c r="I1627" s="55" t="n">
        <v>3.9</v>
      </c>
      <c r="J1627" s="52" t="s">
        <v>5816</v>
      </c>
      <c r="K1627" s="56" t="n">
        <v>1</v>
      </c>
      <c r="L1627" s="52" t="s">
        <v>5816</v>
      </c>
      <c r="M1627" s="52" t="s">
        <v>100</v>
      </c>
    </row>
    <row r="1628" customFormat="false" ht="17.25" hidden="false" customHeight="true" outlineLevel="0" collapsed="false">
      <c r="A1628" s="52" t="s">
        <v>5777</v>
      </c>
      <c r="B1628" s="52" t="s">
        <v>5813</v>
      </c>
      <c r="C1628" s="53" t="n">
        <v>21341</v>
      </c>
      <c r="D1628" s="52" t="s">
        <v>3549</v>
      </c>
      <c r="E1628" s="52" t="s">
        <v>3550</v>
      </c>
      <c r="F1628" s="54" t="n">
        <v>1</v>
      </c>
      <c r="G1628" s="55" t="n">
        <v>298</v>
      </c>
      <c r="H1628" s="55" t="n">
        <v>298</v>
      </c>
      <c r="I1628" s="55" t="n">
        <v>298</v>
      </c>
      <c r="J1628" s="52" t="s">
        <v>5816</v>
      </c>
      <c r="K1628" s="56" t="n">
        <v>1</v>
      </c>
      <c r="L1628" s="52" t="s">
        <v>5816</v>
      </c>
      <c r="M1628" s="52" t="s">
        <v>130</v>
      </c>
    </row>
    <row r="1629" customFormat="false" ht="17.25" hidden="false" customHeight="true" outlineLevel="0" collapsed="false">
      <c r="A1629" s="52" t="s">
        <v>5777</v>
      </c>
      <c r="B1629" s="52" t="s">
        <v>5813</v>
      </c>
      <c r="C1629" s="53" t="n">
        <v>32840</v>
      </c>
      <c r="D1629" s="52" t="s">
        <v>3551</v>
      </c>
      <c r="E1629" s="52" t="s">
        <v>3552</v>
      </c>
      <c r="F1629" s="54" t="n">
        <v>1</v>
      </c>
      <c r="G1629" s="55" t="n">
        <v>298</v>
      </c>
      <c r="H1629" s="55" t="n">
        <v>298</v>
      </c>
      <c r="I1629" s="55" t="n">
        <v>298</v>
      </c>
      <c r="J1629" s="52" t="s">
        <v>5816</v>
      </c>
      <c r="K1629" s="56" t="n">
        <v>1</v>
      </c>
      <c r="L1629" s="52" t="s">
        <v>5816</v>
      </c>
      <c r="M1629" s="52" t="s">
        <v>35</v>
      </c>
    </row>
    <row r="1630" customFormat="false" ht="17.25" hidden="false" customHeight="true" outlineLevel="0" collapsed="false">
      <c r="A1630" s="52" t="s">
        <v>5777</v>
      </c>
      <c r="B1630" s="52" t="s">
        <v>5813</v>
      </c>
      <c r="C1630" s="53" t="n">
        <v>1062573</v>
      </c>
      <c r="D1630" s="52" t="s">
        <v>3553</v>
      </c>
      <c r="E1630" s="52" t="s">
        <v>3554</v>
      </c>
      <c r="F1630" s="54" t="n">
        <v>1</v>
      </c>
      <c r="G1630" s="55" t="n">
        <v>298</v>
      </c>
      <c r="H1630" s="55" t="n">
        <v>298</v>
      </c>
      <c r="I1630" s="55" t="n">
        <v>298</v>
      </c>
      <c r="J1630" s="52" t="s">
        <v>5816</v>
      </c>
      <c r="K1630" s="56" t="n">
        <v>1</v>
      </c>
      <c r="L1630" s="52" t="s">
        <v>5816</v>
      </c>
      <c r="M1630" s="52" t="s">
        <v>480</v>
      </c>
    </row>
    <row r="1631" customFormat="false" ht="17.25" hidden="false" customHeight="true" outlineLevel="0" collapsed="false">
      <c r="A1631" s="52" t="s">
        <v>5777</v>
      </c>
      <c r="B1631" s="52" t="s">
        <v>5813</v>
      </c>
      <c r="C1631" s="53" t="n">
        <v>1599872</v>
      </c>
      <c r="D1631" s="52" t="s">
        <v>3555</v>
      </c>
      <c r="E1631" s="52" t="s">
        <v>3556</v>
      </c>
      <c r="F1631" s="54" t="n">
        <v>1</v>
      </c>
      <c r="G1631" s="55" t="n">
        <v>298</v>
      </c>
      <c r="H1631" s="55" t="n">
        <v>298</v>
      </c>
      <c r="I1631" s="55" t="n">
        <v>298</v>
      </c>
      <c r="J1631" s="52" t="s">
        <v>5816</v>
      </c>
      <c r="K1631" s="56" t="n">
        <v>1</v>
      </c>
      <c r="L1631" s="52" t="s">
        <v>5816</v>
      </c>
      <c r="M1631" s="52" t="s">
        <v>247</v>
      </c>
    </row>
    <row r="1632" customFormat="false" ht="17.25" hidden="false" customHeight="true" outlineLevel="0" collapsed="false">
      <c r="A1632" s="52" t="s">
        <v>5777</v>
      </c>
      <c r="B1632" s="52" t="s">
        <v>5813</v>
      </c>
      <c r="C1632" s="53" t="n">
        <v>1659747</v>
      </c>
      <c r="D1632" s="52" t="s">
        <v>3557</v>
      </c>
      <c r="E1632" s="52" t="s">
        <v>3558</v>
      </c>
      <c r="F1632" s="54" t="n">
        <v>59</v>
      </c>
      <c r="G1632" s="55" t="n">
        <v>298</v>
      </c>
      <c r="H1632" s="55" t="n">
        <v>5.0508</v>
      </c>
      <c r="I1632" s="55" t="n">
        <v>2.5</v>
      </c>
      <c r="J1632" s="52" t="s">
        <v>5816</v>
      </c>
      <c r="K1632" s="56" t="n">
        <v>1</v>
      </c>
      <c r="L1632" s="52" t="s">
        <v>5816</v>
      </c>
      <c r="M1632" s="52" t="s">
        <v>100</v>
      </c>
    </row>
    <row r="1633" customFormat="false" ht="17.25" hidden="false" customHeight="true" outlineLevel="0" collapsed="false">
      <c r="A1633" s="52" t="s">
        <v>5777</v>
      </c>
      <c r="B1633" s="52" t="s">
        <v>5813</v>
      </c>
      <c r="C1633" s="53" t="n">
        <v>17931</v>
      </c>
      <c r="D1633" s="52" t="s">
        <v>3559</v>
      </c>
      <c r="E1633" s="52" t="s">
        <v>3560</v>
      </c>
      <c r="F1633" s="54" t="n">
        <v>6</v>
      </c>
      <c r="G1633" s="55" t="n">
        <v>297.66</v>
      </c>
      <c r="H1633" s="55" t="n">
        <v>49.61</v>
      </c>
      <c r="I1633" s="55" t="n">
        <v>57.49</v>
      </c>
      <c r="J1633" s="52" t="s">
        <v>5816</v>
      </c>
      <c r="K1633" s="56" t="n">
        <v>1</v>
      </c>
      <c r="L1633" s="52" t="s">
        <v>5816</v>
      </c>
      <c r="M1633" s="52" t="s">
        <v>130</v>
      </c>
    </row>
    <row r="1634" customFormat="false" ht="17.25" hidden="false" customHeight="true" outlineLevel="0" collapsed="false">
      <c r="A1634" s="52" t="s">
        <v>5777</v>
      </c>
      <c r="B1634" s="52" t="s">
        <v>5813</v>
      </c>
      <c r="C1634" s="53" t="n">
        <v>1616859</v>
      </c>
      <c r="D1634" s="52" t="s">
        <v>3561</v>
      </c>
      <c r="E1634" s="52" t="s">
        <v>3562</v>
      </c>
      <c r="F1634" s="54" t="n">
        <v>18</v>
      </c>
      <c r="G1634" s="55" t="n">
        <v>296.82</v>
      </c>
      <c r="H1634" s="55" t="n">
        <v>16.49</v>
      </c>
      <c r="I1634" s="55" t="n">
        <v>16.49</v>
      </c>
      <c r="J1634" s="52" t="s">
        <v>5816</v>
      </c>
      <c r="K1634" s="56" t="n">
        <v>1</v>
      </c>
      <c r="L1634" s="52" t="s">
        <v>5816</v>
      </c>
      <c r="M1634" s="52" t="s">
        <v>38</v>
      </c>
    </row>
    <row r="1635" customFormat="false" ht="17.25" hidden="false" customHeight="true" outlineLevel="0" collapsed="false">
      <c r="A1635" s="52" t="s">
        <v>5777</v>
      </c>
      <c r="B1635" s="52" t="s">
        <v>5813</v>
      </c>
      <c r="C1635" s="53" t="n">
        <v>1016039</v>
      </c>
      <c r="D1635" s="52" t="s">
        <v>3563</v>
      </c>
      <c r="E1635" s="52" t="s">
        <v>3564</v>
      </c>
      <c r="F1635" s="54" t="n">
        <v>37</v>
      </c>
      <c r="G1635" s="55" t="n">
        <v>296</v>
      </c>
      <c r="H1635" s="55" t="n">
        <v>8</v>
      </c>
      <c r="I1635" s="55" t="n">
        <v>8</v>
      </c>
      <c r="J1635" s="52" t="s">
        <v>5816</v>
      </c>
      <c r="K1635" s="56" t="n">
        <v>1</v>
      </c>
      <c r="L1635" s="52" t="s">
        <v>5816</v>
      </c>
      <c r="M1635" s="52" t="s">
        <v>38</v>
      </c>
    </row>
    <row r="1636" customFormat="false" ht="17.25" hidden="false" customHeight="true" outlineLevel="0" collapsed="false">
      <c r="A1636" s="52" t="s">
        <v>5777</v>
      </c>
      <c r="B1636" s="52" t="s">
        <v>5813</v>
      </c>
      <c r="C1636" s="53" t="n">
        <v>559567</v>
      </c>
      <c r="D1636" s="52" t="s">
        <v>3565</v>
      </c>
      <c r="E1636" s="52" t="s">
        <v>3566</v>
      </c>
      <c r="F1636" s="54" t="n">
        <v>16</v>
      </c>
      <c r="G1636" s="55" t="n">
        <v>295.2</v>
      </c>
      <c r="H1636" s="55" t="n">
        <v>18.45</v>
      </c>
      <c r="I1636" s="55" t="n">
        <v>17.94</v>
      </c>
      <c r="J1636" s="52" t="s">
        <v>5816</v>
      </c>
      <c r="K1636" s="56" t="n">
        <v>1</v>
      </c>
      <c r="L1636" s="52" t="s">
        <v>5816</v>
      </c>
      <c r="M1636" s="52" t="s">
        <v>130</v>
      </c>
    </row>
    <row r="1637" customFormat="false" ht="17.25" hidden="false" customHeight="true" outlineLevel="0" collapsed="false">
      <c r="A1637" s="52" t="s">
        <v>5777</v>
      </c>
      <c r="B1637" s="52" t="s">
        <v>5813</v>
      </c>
      <c r="C1637" s="53" t="n">
        <v>1250054</v>
      </c>
      <c r="D1637" s="52" t="s">
        <v>3567</v>
      </c>
      <c r="E1637" s="52" t="s">
        <v>3568</v>
      </c>
      <c r="F1637" s="54" t="n">
        <v>50</v>
      </c>
      <c r="G1637" s="55" t="n">
        <v>295</v>
      </c>
      <c r="H1637" s="55" t="n">
        <v>5.9</v>
      </c>
      <c r="I1637" s="55" t="n">
        <v>5.9</v>
      </c>
      <c r="J1637" s="52" t="s">
        <v>5816</v>
      </c>
      <c r="K1637" s="56" t="n">
        <v>1</v>
      </c>
      <c r="L1637" s="52" t="s">
        <v>5816</v>
      </c>
      <c r="M1637" s="52" t="s">
        <v>1618</v>
      </c>
    </row>
    <row r="1638" customFormat="false" ht="17.25" hidden="false" customHeight="true" outlineLevel="0" collapsed="false">
      <c r="A1638" s="52" t="s">
        <v>5777</v>
      </c>
      <c r="B1638" s="52" t="s">
        <v>5813</v>
      </c>
      <c r="C1638" s="53" t="n">
        <v>35465</v>
      </c>
      <c r="D1638" s="52" t="s">
        <v>3569</v>
      </c>
      <c r="E1638" s="52" t="s">
        <v>3570</v>
      </c>
      <c r="F1638" s="54" t="n">
        <v>5</v>
      </c>
      <c r="G1638" s="55" t="n">
        <v>294.7</v>
      </c>
      <c r="H1638" s="55" t="n">
        <v>58.94</v>
      </c>
      <c r="I1638" s="55" t="n">
        <v>58.94</v>
      </c>
      <c r="J1638" s="52" t="s">
        <v>5816</v>
      </c>
      <c r="K1638" s="56" t="n">
        <v>1</v>
      </c>
      <c r="L1638" s="52" t="s">
        <v>5816</v>
      </c>
      <c r="M1638" s="52" t="s">
        <v>130</v>
      </c>
    </row>
    <row r="1639" customFormat="false" ht="17.25" hidden="false" customHeight="true" outlineLevel="0" collapsed="false">
      <c r="A1639" s="52" t="s">
        <v>5777</v>
      </c>
      <c r="B1639" s="52" t="s">
        <v>5813</v>
      </c>
      <c r="C1639" s="53" t="n">
        <v>17943</v>
      </c>
      <c r="D1639" s="52" t="s">
        <v>3571</v>
      </c>
      <c r="E1639" s="52" t="s">
        <v>3572</v>
      </c>
      <c r="F1639" s="54" t="n">
        <v>5</v>
      </c>
      <c r="G1639" s="55" t="n">
        <v>294.16</v>
      </c>
      <c r="H1639" s="55" t="n">
        <v>58.832</v>
      </c>
      <c r="I1639" s="55" t="n">
        <v>69.54</v>
      </c>
      <c r="J1639" s="52" t="s">
        <v>5816</v>
      </c>
      <c r="K1639" s="56" t="n">
        <v>1</v>
      </c>
      <c r="L1639" s="52" t="s">
        <v>5816</v>
      </c>
      <c r="M1639" s="52" t="s">
        <v>130</v>
      </c>
    </row>
    <row r="1640" customFormat="false" ht="17.25" hidden="false" customHeight="true" outlineLevel="0" collapsed="false">
      <c r="A1640" s="52" t="s">
        <v>5777</v>
      </c>
      <c r="B1640" s="52" t="s">
        <v>5813</v>
      </c>
      <c r="C1640" s="53" t="n">
        <v>1488428</v>
      </c>
      <c r="D1640" s="52" t="s">
        <v>3573</v>
      </c>
      <c r="E1640" s="52" t="s">
        <v>3574</v>
      </c>
      <c r="F1640" s="54" t="n">
        <v>3</v>
      </c>
      <c r="G1640" s="55" t="n">
        <v>294</v>
      </c>
      <c r="H1640" s="55" t="n">
        <v>98</v>
      </c>
      <c r="I1640" s="55" t="n">
        <v>98</v>
      </c>
      <c r="J1640" s="52" t="s">
        <v>5816</v>
      </c>
      <c r="K1640" s="56" t="n">
        <v>1</v>
      </c>
      <c r="L1640" s="52" t="s">
        <v>5816</v>
      </c>
      <c r="M1640" s="52" t="s">
        <v>247</v>
      </c>
    </row>
    <row r="1641" customFormat="false" ht="17.25" hidden="false" customHeight="true" outlineLevel="0" collapsed="false">
      <c r="A1641" s="52" t="s">
        <v>5777</v>
      </c>
      <c r="B1641" s="52" t="s">
        <v>5813</v>
      </c>
      <c r="C1641" s="53" t="n">
        <v>17894</v>
      </c>
      <c r="D1641" s="52" t="s">
        <v>3575</v>
      </c>
      <c r="E1641" s="52" t="s">
        <v>3576</v>
      </c>
      <c r="F1641" s="54" t="n">
        <v>6</v>
      </c>
      <c r="G1641" s="55" t="n">
        <v>293.58</v>
      </c>
      <c r="H1641" s="55" t="n">
        <v>48.93</v>
      </c>
      <c r="I1641" s="55" t="n">
        <v>48.93</v>
      </c>
      <c r="J1641" s="52" t="s">
        <v>5816</v>
      </c>
      <c r="K1641" s="56" t="n">
        <v>1</v>
      </c>
      <c r="L1641" s="52" t="s">
        <v>5816</v>
      </c>
      <c r="M1641" s="52" t="s">
        <v>130</v>
      </c>
    </row>
    <row r="1642" customFormat="false" ht="17.25" hidden="false" customHeight="true" outlineLevel="0" collapsed="false">
      <c r="A1642" s="52" t="s">
        <v>5777</v>
      </c>
      <c r="B1642" s="52" t="s">
        <v>5813</v>
      </c>
      <c r="C1642" s="53" t="n">
        <v>230407</v>
      </c>
      <c r="D1642" s="52" t="s">
        <v>3577</v>
      </c>
      <c r="E1642" s="52" t="s">
        <v>3578</v>
      </c>
      <c r="F1642" s="54" t="n">
        <v>5</v>
      </c>
      <c r="G1642" s="55" t="n">
        <v>293.5</v>
      </c>
      <c r="H1642" s="55" t="n">
        <v>58.7</v>
      </c>
      <c r="I1642" s="55" t="n">
        <v>58.7</v>
      </c>
      <c r="J1642" s="52" t="s">
        <v>5816</v>
      </c>
      <c r="K1642" s="56" t="n">
        <v>1</v>
      </c>
      <c r="L1642" s="52" t="s">
        <v>5816</v>
      </c>
      <c r="M1642" s="52" t="s">
        <v>2056</v>
      </c>
    </row>
    <row r="1643" customFormat="false" ht="17.25" hidden="false" customHeight="true" outlineLevel="0" collapsed="false">
      <c r="A1643" s="52" t="s">
        <v>5777</v>
      </c>
      <c r="B1643" s="52" t="s">
        <v>5813</v>
      </c>
      <c r="C1643" s="53" t="n">
        <v>1677141</v>
      </c>
      <c r="D1643" s="52" t="s">
        <v>3579</v>
      </c>
      <c r="E1643" s="52" t="s">
        <v>3580</v>
      </c>
      <c r="F1643" s="54" t="n">
        <v>38</v>
      </c>
      <c r="G1643" s="55" t="n">
        <v>291.84</v>
      </c>
      <c r="H1643" s="55" t="n">
        <v>7.68</v>
      </c>
      <c r="I1643" s="55" t="n">
        <v>7.68</v>
      </c>
      <c r="J1643" s="52" t="s">
        <v>5816</v>
      </c>
      <c r="K1643" s="56" t="n">
        <v>1</v>
      </c>
      <c r="L1643" s="52" t="s">
        <v>5816</v>
      </c>
      <c r="M1643" s="52" t="s">
        <v>38</v>
      </c>
    </row>
    <row r="1644" customFormat="false" ht="17.25" hidden="false" customHeight="true" outlineLevel="0" collapsed="false">
      <c r="A1644" s="52" t="s">
        <v>5777</v>
      </c>
      <c r="B1644" s="52" t="s">
        <v>5813</v>
      </c>
      <c r="C1644" s="53" t="n">
        <v>1330144</v>
      </c>
      <c r="D1644" s="52" t="s">
        <v>3581</v>
      </c>
      <c r="E1644" s="52" t="s">
        <v>5937</v>
      </c>
      <c r="F1644" s="54" t="n">
        <v>5</v>
      </c>
      <c r="G1644" s="55" t="n">
        <v>290</v>
      </c>
      <c r="H1644" s="55" t="n">
        <v>58</v>
      </c>
      <c r="I1644" s="55" t="n">
        <v>58</v>
      </c>
      <c r="J1644" s="52" t="s">
        <v>5816</v>
      </c>
      <c r="K1644" s="56" t="n">
        <v>1</v>
      </c>
      <c r="L1644" s="52" t="s">
        <v>5816</v>
      </c>
      <c r="M1644" s="52" t="s">
        <v>38</v>
      </c>
    </row>
    <row r="1645" customFormat="false" ht="17.25" hidden="false" customHeight="true" outlineLevel="0" collapsed="false">
      <c r="A1645" s="52" t="s">
        <v>5777</v>
      </c>
      <c r="B1645" s="52" t="s">
        <v>5813</v>
      </c>
      <c r="C1645" s="53" t="n">
        <v>938325</v>
      </c>
      <c r="D1645" s="52" t="s">
        <v>3583</v>
      </c>
      <c r="E1645" s="52" t="s">
        <v>3584</v>
      </c>
      <c r="F1645" s="54" t="n">
        <v>1</v>
      </c>
      <c r="G1645" s="55" t="n">
        <v>289.9</v>
      </c>
      <c r="H1645" s="55" t="n">
        <v>289.9</v>
      </c>
      <c r="I1645" s="55" t="n">
        <v>289.9</v>
      </c>
      <c r="J1645" s="52" t="s">
        <v>5816</v>
      </c>
      <c r="K1645" s="56" t="n">
        <v>1</v>
      </c>
      <c r="L1645" s="52" t="s">
        <v>5816</v>
      </c>
      <c r="M1645" s="52" t="s">
        <v>113</v>
      </c>
    </row>
    <row r="1646" customFormat="false" ht="17.25" hidden="false" customHeight="true" outlineLevel="0" collapsed="false">
      <c r="A1646" s="52" t="s">
        <v>5777</v>
      </c>
      <c r="B1646" s="52" t="s">
        <v>5813</v>
      </c>
      <c r="C1646" s="53" t="n">
        <v>1312594</v>
      </c>
      <c r="D1646" s="52" t="s">
        <v>3585</v>
      </c>
      <c r="E1646" s="52" t="s">
        <v>3586</v>
      </c>
      <c r="F1646" s="54" t="n">
        <v>1</v>
      </c>
      <c r="G1646" s="55" t="n">
        <v>289.25</v>
      </c>
      <c r="H1646" s="55" t="n">
        <v>289.25</v>
      </c>
      <c r="I1646" s="55" t="n">
        <v>289.25</v>
      </c>
      <c r="J1646" s="52" t="s">
        <v>5816</v>
      </c>
      <c r="K1646" s="56" t="n">
        <v>1</v>
      </c>
      <c r="L1646" s="52" t="s">
        <v>5816</v>
      </c>
      <c r="M1646" s="52" t="s">
        <v>189</v>
      </c>
    </row>
    <row r="1647" customFormat="false" ht="17.25" hidden="false" customHeight="true" outlineLevel="0" collapsed="false">
      <c r="A1647" s="52" t="s">
        <v>5777</v>
      </c>
      <c r="B1647" s="52" t="s">
        <v>5813</v>
      </c>
      <c r="C1647" s="53" t="n">
        <v>844080</v>
      </c>
      <c r="D1647" s="52" t="s">
        <v>3587</v>
      </c>
      <c r="E1647" s="52" t="s">
        <v>3588</v>
      </c>
      <c r="F1647" s="54" t="n">
        <v>48</v>
      </c>
      <c r="G1647" s="55" t="n">
        <v>288.96</v>
      </c>
      <c r="H1647" s="55" t="n">
        <v>6.02</v>
      </c>
      <c r="I1647" s="55" t="n">
        <v>7.12</v>
      </c>
      <c r="J1647" s="52" t="s">
        <v>5816</v>
      </c>
      <c r="K1647" s="56" t="n">
        <v>1</v>
      </c>
      <c r="L1647" s="52" t="s">
        <v>5816</v>
      </c>
      <c r="M1647" s="52" t="s">
        <v>38</v>
      </c>
    </row>
    <row r="1648" customFormat="false" ht="17.25" hidden="false" customHeight="true" outlineLevel="0" collapsed="false">
      <c r="A1648" s="52" t="s">
        <v>5777</v>
      </c>
      <c r="B1648" s="52" t="s">
        <v>5813</v>
      </c>
      <c r="C1648" s="53" t="n">
        <v>1485197</v>
      </c>
      <c r="D1648" s="52" t="s">
        <v>3589</v>
      </c>
      <c r="E1648" s="57" t="s">
        <v>5938</v>
      </c>
      <c r="F1648" s="54" t="n">
        <v>3</v>
      </c>
      <c r="G1648" s="55" t="n">
        <v>288.9</v>
      </c>
      <c r="H1648" s="55" t="n">
        <v>96.3</v>
      </c>
      <c r="I1648" s="55" t="n">
        <v>70.4</v>
      </c>
      <c r="J1648" s="52" t="s">
        <v>5816</v>
      </c>
      <c r="K1648" s="56" t="n">
        <v>1</v>
      </c>
      <c r="L1648" s="52" t="s">
        <v>5816</v>
      </c>
      <c r="M1648" s="52" t="s">
        <v>133</v>
      </c>
    </row>
    <row r="1649" customFormat="false" ht="17.25" hidden="false" customHeight="true" outlineLevel="0" collapsed="false">
      <c r="A1649" s="52" t="s">
        <v>5777</v>
      </c>
      <c r="B1649" s="52" t="s">
        <v>5813</v>
      </c>
      <c r="C1649" s="53" t="n">
        <v>279641</v>
      </c>
      <c r="D1649" s="52" t="s">
        <v>3591</v>
      </c>
      <c r="E1649" s="52" t="s">
        <v>5939</v>
      </c>
      <c r="F1649" s="54" t="n">
        <v>2</v>
      </c>
      <c r="G1649" s="55" t="n">
        <v>288.28</v>
      </c>
      <c r="H1649" s="55" t="n">
        <v>144.14</v>
      </c>
      <c r="I1649" s="55" t="n">
        <v>144.14</v>
      </c>
      <c r="J1649" s="52" t="s">
        <v>5816</v>
      </c>
      <c r="K1649" s="56" t="n">
        <v>1</v>
      </c>
      <c r="L1649" s="52" t="s">
        <v>5816</v>
      </c>
      <c r="M1649" s="52" t="s">
        <v>38</v>
      </c>
    </row>
    <row r="1650" customFormat="false" ht="17.25" hidden="false" customHeight="true" outlineLevel="0" collapsed="false">
      <c r="A1650" s="52" t="s">
        <v>5777</v>
      </c>
      <c r="B1650" s="52" t="s">
        <v>5813</v>
      </c>
      <c r="C1650" s="53" t="n">
        <v>33097</v>
      </c>
      <c r="D1650" s="52" t="s">
        <v>3593</v>
      </c>
      <c r="E1650" s="52" t="s">
        <v>3594</v>
      </c>
      <c r="F1650" s="54" t="n">
        <v>6</v>
      </c>
      <c r="G1650" s="55" t="n">
        <v>288</v>
      </c>
      <c r="H1650" s="55" t="n">
        <v>48</v>
      </c>
      <c r="I1650" s="55" t="n">
        <v>48</v>
      </c>
      <c r="J1650" s="52" t="s">
        <v>5816</v>
      </c>
      <c r="K1650" s="56" t="n">
        <v>1</v>
      </c>
      <c r="L1650" s="52" t="s">
        <v>5816</v>
      </c>
      <c r="M1650" s="52" t="s">
        <v>38</v>
      </c>
    </row>
    <row r="1651" customFormat="false" ht="17.25" hidden="false" customHeight="true" outlineLevel="0" collapsed="false">
      <c r="A1651" s="52" t="s">
        <v>5777</v>
      </c>
      <c r="B1651" s="52" t="s">
        <v>5813</v>
      </c>
      <c r="C1651" s="53" t="n">
        <v>608439</v>
      </c>
      <c r="D1651" s="52" t="s">
        <v>3595</v>
      </c>
      <c r="E1651" s="52" t="s">
        <v>3596</v>
      </c>
      <c r="F1651" s="54" t="n">
        <v>6</v>
      </c>
      <c r="G1651" s="55" t="n">
        <v>288</v>
      </c>
      <c r="H1651" s="55" t="n">
        <v>48</v>
      </c>
      <c r="I1651" s="55" t="n">
        <v>48</v>
      </c>
      <c r="J1651" s="52" t="s">
        <v>5816</v>
      </c>
      <c r="K1651" s="56" t="n">
        <v>1</v>
      </c>
      <c r="L1651" s="52" t="s">
        <v>5816</v>
      </c>
      <c r="M1651" s="52" t="s">
        <v>605</v>
      </c>
    </row>
    <row r="1652" customFormat="false" ht="17.25" hidden="false" customHeight="true" outlineLevel="0" collapsed="false">
      <c r="A1652" s="52" t="s">
        <v>5777</v>
      </c>
      <c r="B1652" s="52" t="s">
        <v>5813</v>
      </c>
      <c r="C1652" s="53" t="n">
        <v>880315</v>
      </c>
      <c r="D1652" s="52" t="s">
        <v>3597</v>
      </c>
      <c r="E1652" s="52" t="s">
        <v>3598</v>
      </c>
      <c r="F1652" s="54" t="n">
        <v>6</v>
      </c>
      <c r="G1652" s="55" t="n">
        <v>288</v>
      </c>
      <c r="H1652" s="55" t="n">
        <v>48</v>
      </c>
      <c r="I1652" s="55" t="n">
        <v>48</v>
      </c>
      <c r="J1652" s="52" t="s">
        <v>5816</v>
      </c>
      <c r="K1652" s="56" t="n">
        <v>1</v>
      </c>
      <c r="L1652" s="52" t="s">
        <v>5816</v>
      </c>
      <c r="M1652" s="52" t="s">
        <v>130</v>
      </c>
    </row>
    <row r="1653" customFormat="false" ht="17.25" hidden="false" customHeight="true" outlineLevel="0" collapsed="false">
      <c r="A1653" s="52" t="s">
        <v>5777</v>
      </c>
      <c r="B1653" s="52" t="s">
        <v>5813</v>
      </c>
      <c r="C1653" s="53" t="n">
        <v>1107852</v>
      </c>
      <c r="D1653" s="52" t="s">
        <v>3599</v>
      </c>
      <c r="E1653" s="52" t="s">
        <v>3600</v>
      </c>
      <c r="F1653" s="54" t="n">
        <v>16</v>
      </c>
      <c r="G1653" s="55" t="n">
        <v>288</v>
      </c>
      <c r="H1653" s="55" t="n">
        <v>18</v>
      </c>
      <c r="I1653" s="55" t="n">
        <v>18</v>
      </c>
      <c r="J1653" s="52" t="s">
        <v>5816</v>
      </c>
      <c r="K1653" s="56" t="n">
        <v>1</v>
      </c>
      <c r="L1653" s="52" t="s">
        <v>5816</v>
      </c>
      <c r="M1653" s="52" t="s">
        <v>480</v>
      </c>
    </row>
    <row r="1654" customFormat="false" ht="17.25" hidden="false" customHeight="true" outlineLevel="0" collapsed="false">
      <c r="A1654" s="52" t="s">
        <v>5777</v>
      </c>
      <c r="B1654" s="52" t="s">
        <v>5813</v>
      </c>
      <c r="C1654" s="53" t="n">
        <v>1615084</v>
      </c>
      <c r="D1654" s="52" t="s">
        <v>3603</v>
      </c>
      <c r="E1654" s="52" t="s">
        <v>3604</v>
      </c>
      <c r="F1654" s="54" t="n">
        <v>18</v>
      </c>
      <c r="G1654" s="55" t="n">
        <v>285.22</v>
      </c>
      <c r="H1654" s="55" t="n">
        <v>15.8456</v>
      </c>
      <c r="I1654" s="55" t="n">
        <v>22.69</v>
      </c>
      <c r="J1654" s="52" t="s">
        <v>5816</v>
      </c>
      <c r="K1654" s="56" t="n">
        <v>1</v>
      </c>
      <c r="L1654" s="52" t="s">
        <v>5816</v>
      </c>
      <c r="M1654" s="52" t="s">
        <v>38</v>
      </c>
    </row>
    <row r="1655" customFormat="false" ht="17.25" hidden="false" customHeight="true" outlineLevel="0" collapsed="false">
      <c r="A1655" s="52" t="s">
        <v>5777</v>
      </c>
      <c r="B1655" s="52" t="s">
        <v>5813</v>
      </c>
      <c r="C1655" s="53" t="n">
        <v>18847</v>
      </c>
      <c r="D1655" s="52" t="s">
        <v>3605</v>
      </c>
      <c r="E1655" s="52" t="s">
        <v>3606</v>
      </c>
      <c r="F1655" s="54" t="n">
        <v>29</v>
      </c>
      <c r="G1655" s="55" t="n">
        <v>284.02</v>
      </c>
      <c r="H1655" s="55" t="n">
        <v>9.7938</v>
      </c>
      <c r="I1655" s="55" t="n">
        <v>9.136</v>
      </c>
      <c r="J1655" s="52" t="s">
        <v>5816</v>
      </c>
      <c r="K1655" s="56" t="n">
        <v>1</v>
      </c>
      <c r="L1655" s="52" t="s">
        <v>5816</v>
      </c>
      <c r="M1655" s="52" t="s">
        <v>247</v>
      </c>
    </row>
    <row r="1656" customFormat="false" ht="17.25" hidden="false" customHeight="true" outlineLevel="0" collapsed="false">
      <c r="A1656" s="52" t="s">
        <v>5777</v>
      </c>
      <c r="B1656" s="52" t="s">
        <v>5813</v>
      </c>
      <c r="C1656" s="53" t="n">
        <v>21656</v>
      </c>
      <c r="D1656" s="52" t="s">
        <v>3607</v>
      </c>
      <c r="E1656" s="52" t="s">
        <v>3608</v>
      </c>
      <c r="F1656" s="54" t="n">
        <v>18</v>
      </c>
      <c r="G1656" s="55" t="n">
        <v>283.5</v>
      </c>
      <c r="H1656" s="55" t="n">
        <v>15.75</v>
      </c>
      <c r="I1656" s="55" t="n">
        <v>15.75</v>
      </c>
      <c r="J1656" s="52" t="s">
        <v>5816</v>
      </c>
      <c r="K1656" s="56" t="n">
        <v>1</v>
      </c>
      <c r="L1656" s="52" t="s">
        <v>5816</v>
      </c>
      <c r="M1656" s="52" t="s">
        <v>189</v>
      </c>
    </row>
    <row r="1657" customFormat="false" ht="17.25" hidden="false" customHeight="true" outlineLevel="0" collapsed="false">
      <c r="A1657" s="52" t="s">
        <v>5777</v>
      </c>
      <c r="B1657" s="52" t="s">
        <v>5813</v>
      </c>
      <c r="C1657" s="53" t="n">
        <v>19577</v>
      </c>
      <c r="D1657" s="52" t="s">
        <v>3609</v>
      </c>
      <c r="E1657" s="52" t="s">
        <v>3610</v>
      </c>
      <c r="F1657" s="54" t="n">
        <v>20</v>
      </c>
      <c r="G1657" s="55" t="n">
        <v>283.2</v>
      </c>
      <c r="H1657" s="55" t="n">
        <v>14.16</v>
      </c>
      <c r="I1657" s="55" t="n">
        <v>14.16</v>
      </c>
      <c r="J1657" s="52" t="s">
        <v>5816</v>
      </c>
      <c r="K1657" s="56" t="n">
        <v>1</v>
      </c>
      <c r="L1657" s="52" t="s">
        <v>5816</v>
      </c>
      <c r="M1657" s="52" t="s">
        <v>1095</v>
      </c>
    </row>
    <row r="1658" customFormat="false" ht="17.25" hidden="false" customHeight="true" outlineLevel="0" collapsed="false">
      <c r="A1658" s="52" t="s">
        <v>5777</v>
      </c>
      <c r="B1658" s="52" t="s">
        <v>5813</v>
      </c>
      <c r="C1658" s="53" t="n">
        <v>1669303</v>
      </c>
      <c r="D1658" s="52" t="s">
        <v>3611</v>
      </c>
      <c r="E1658" s="52" t="s">
        <v>3612</v>
      </c>
      <c r="F1658" s="54" t="n">
        <v>1</v>
      </c>
      <c r="G1658" s="55" t="n">
        <v>283.1</v>
      </c>
      <c r="H1658" s="55" t="n">
        <v>283.1</v>
      </c>
      <c r="I1658" s="55" t="n">
        <v>283.1</v>
      </c>
      <c r="J1658" s="52" t="s">
        <v>5816</v>
      </c>
      <c r="K1658" s="56" t="n">
        <v>1</v>
      </c>
      <c r="L1658" s="52" t="s">
        <v>5816</v>
      </c>
      <c r="M1658" s="52" t="s">
        <v>189</v>
      </c>
    </row>
    <row r="1659" customFormat="false" ht="17.25" hidden="false" customHeight="true" outlineLevel="0" collapsed="false">
      <c r="A1659" s="52" t="s">
        <v>5777</v>
      </c>
      <c r="B1659" s="52" t="s">
        <v>5813</v>
      </c>
      <c r="C1659" s="53" t="n">
        <v>840034</v>
      </c>
      <c r="D1659" s="52" t="s">
        <v>3613</v>
      </c>
      <c r="E1659" s="52" t="s">
        <v>3614</v>
      </c>
      <c r="F1659" s="54" t="n">
        <v>11</v>
      </c>
      <c r="G1659" s="55" t="n">
        <v>282.7</v>
      </c>
      <c r="H1659" s="55" t="n">
        <v>25.7</v>
      </c>
      <c r="I1659" s="55" t="n">
        <v>25.7</v>
      </c>
      <c r="J1659" s="52" t="s">
        <v>5814</v>
      </c>
      <c r="K1659" s="56" t="n">
        <v>1</v>
      </c>
      <c r="L1659" s="52" t="s">
        <v>5814</v>
      </c>
      <c r="M1659" s="52" t="s">
        <v>54</v>
      </c>
    </row>
    <row r="1660" customFormat="false" ht="17.25" hidden="false" customHeight="true" outlineLevel="0" collapsed="false">
      <c r="A1660" s="52" t="s">
        <v>5777</v>
      </c>
      <c r="B1660" s="52" t="s">
        <v>5813</v>
      </c>
      <c r="C1660" s="53" t="n">
        <v>18190</v>
      </c>
      <c r="D1660" s="52" t="s">
        <v>3615</v>
      </c>
      <c r="E1660" s="52" t="s">
        <v>3616</v>
      </c>
      <c r="F1660" s="54" t="n">
        <v>10</v>
      </c>
      <c r="G1660" s="55" t="n">
        <v>280</v>
      </c>
      <c r="H1660" s="55" t="n">
        <v>28</v>
      </c>
      <c r="I1660" s="55" t="n">
        <v>28</v>
      </c>
      <c r="J1660" s="52" t="s">
        <v>5816</v>
      </c>
      <c r="K1660" s="56" t="n">
        <v>1</v>
      </c>
      <c r="L1660" s="52" t="s">
        <v>5816</v>
      </c>
      <c r="M1660" s="52" t="s">
        <v>678</v>
      </c>
    </row>
    <row r="1661" customFormat="false" ht="17.25" hidden="false" customHeight="true" outlineLevel="0" collapsed="false">
      <c r="A1661" s="52" t="s">
        <v>5777</v>
      </c>
      <c r="B1661" s="52" t="s">
        <v>5813</v>
      </c>
      <c r="C1661" s="53" t="n">
        <v>942092</v>
      </c>
      <c r="D1661" s="52" t="s">
        <v>3617</v>
      </c>
      <c r="E1661" s="52" t="s">
        <v>3618</v>
      </c>
      <c r="F1661" s="54" t="n">
        <v>10</v>
      </c>
      <c r="G1661" s="55" t="n">
        <v>280</v>
      </c>
      <c r="H1661" s="55" t="n">
        <v>28</v>
      </c>
      <c r="I1661" s="55" t="n">
        <v>28</v>
      </c>
      <c r="J1661" s="52" t="s">
        <v>5816</v>
      </c>
      <c r="K1661" s="56" t="n">
        <v>1</v>
      </c>
      <c r="L1661" s="52" t="s">
        <v>5816</v>
      </c>
      <c r="M1661" s="52" t="s">
        <v>1095</v>
      </c>
    </row>
    <row r="1662" customFormat="false" ht="17.25" hidden="false" customHeight="true" outlineLevel="0" collapsed="false">
      <c r="A1662" s="52" t="s">
        <v>5777</v>
      </c>
      <c r="B1662" s="52" t="s">
        <v>5813</v>
      </c>
      <c r="C1662" s="53" t="n">
        <v>21317</v>
      </c>
      <c r="D1662" s="52" t="s">
        <v>3619</v>
      </c>
      <c r="E1662" s="52" t="s">
        <v>3620</v>
      </c>
      <c r="F1662" s="54" t="n">
        <v>22</v>
      </c>
      <c r="G1662" s="55" t="n">
        <v>279.84</v>
      </c>
      <c r="H1662" s="55" t="n">
        <v>12.72</v>
      </c>
      <c r="I1662" s="55" t="n">
        <v>12.72</v>
      </c>
      <c r="J1662" s="52" t="s">
        <v>5816</v>
      </c>
      <c r="K1662" s="56" t="n">
        <v>1</v>
      </c>
      <c r="L1662" s="52" t="s">
        <v>5816</v>
      </c>
      <c r="M1662" s="52" t="s">
        <v>38</v>
      </c>
    </row>
    <row r="1663" customFormat="false" ht="17.25" hidden="false" customHeight="true" outlineLevel="0" collapsed="false">
      <c r="A1663" s="52" t="s">
        <v>5777</v>
      </c>
      <c r="B1663" s="52" t="s">
        <v>5813</v>
      </c>
      <c r="C1663" s="53" t="n">
        <v>1466626</v>
      </c>
      <c r="D1663" s="52" t="s">
        <v>3623</v>
      </c>
      <c r="E1663" s="52" t="s">
        <v>3624</v>
      </c>
      <c r="F1663" s="54" t="n">
        <v>20</v>
      </c>
      <c r="G1663" s="55" t="n">
        <v>279.52</v>
      </c>
      <c r="H1663" s="55" t="n">
        <v>13.976</v>
      </c>
      <c r="I1663" s="55" t="n">
        <v>13.976</v>
      </c>
      <c r="J1663" s="52" t="s">
        <v>5816</v>
      </c>
      <c r="K1663" s="56" t="n">
        <v>1</v>
      </c>
      <c r="L1663" s="52" t="s">
        <v>5816</v>
      </c>
      <c r="M1663" s="52" t="s">
        <v>38</v>
      </c>
    </row>
    <row r="1664" customFormat="false" ht="17.25" hidden="false" customHeight="true" outlineLevel="0" collapsed="false">
      <c r="A1664" s="52" t="s">
        <v>5777</v>
      </c>
      <c r="B1664" s="52" t="s">
        <v>5813</v>
      </c>
      <c r="C1664" s="53" t="n">
        <v>1382866</v>
      </c>
      <c r="D1664" s="52" t="s">
        <v>3625</v>
      </c>
      <c r="E1664" s="52" t="s">
        <v>3626</v>
      </c>
      <c r="F1664" s="54" t="n">
        <v>2</v>
      </c>
      <c r="G1664" s="55" t="n">
        <v>277.65</v>
      </c>
      <c r="H1664" s="55" t="n">
        <v>138.825</v>
      </c>
      <c r="I1664" s="55" t="n">
        <v>138.825</v>
      </c>
      <c r="J1664" s="52" t="s">
        <v>5914</v>
      </c>
      <c r="K1664" s="56" t="n">
        <v>1</v>
      </c>
      <c r="L1664" s="52" t="s">
        <v>5914</v>
      </c>
      <c r="M1664" s="52" t="s">
        <v>38</v>
      </c>
    </row>
    <row r="1665" customFormat="false" ht="17.25" hidden="false" customHeight="true" outlineLevel="0" collapsed="false">
      <c r="A1665" s="52" t="s">
        <v>5777</v>
      </c>
      <c r="B1665" s="52" t="s">
        <v>5813</v>
      </c>
      <c r="C1665" s="53" t="n">
        <v>1068028</v>
      </c>
      <c r="D1665" s="52" t="s">
        <v>3627</v>
      </c>
      <c r="E1665" s="52" t="s">
        <v>3628</v>
      </c>
      <c r="F1665" s="54" t="n">
        <v>10</v>
      </c>
      <c r="G1665" s="55" t="n">
        <v>277</v>
      </c>
      <c r="H1665" s="55" t="n">
        <v>27.7</v>
      </c>
      <c r="I1665" s="55" t="n">
        <v>27.7</v>
      </c>
      <c r="J1665" s="52" t="s">
        <v>5816</v>
      </c>
      <c r="K1665" s="56" t="n">
        <v>1</v>
      </c>
      <c r="L1665" s="52" t="s">
        <v>5816</v>
      </c>
      <c r="M1665" s="52" t="s">
        <v>363</v>
      </c>
    </row>
    <row r="1666" customFormat="false" ht="17.25" hidden="false" customHeight="true" outlineLevel="0" collapsed="false">
      <c r="A1666" s="52" t="s">
        <v>5777</v>
      </c>
      <c r="B1666" s="52" t="s">
        <v>5813</v>
      </c>
      <c r="C1666" s="53" t="n">
        <v>58867</v>
      </c>
      <c r="D1666" s="52" t="s">
        <v>3629</v>
      </c>
      <c r="E1666" s="52" t="s">
        <v>3630</v>
      </c>
      <c r="F1666" s="54" t="n">
        <v>2</v>
      </c>
      <c r="G1666" s="55" t="n">
        <v>276</v>
      </c>
      <c r="H1666" s="55" t="n">
        <v>138</v>
      </c>
      <c r="I1666" s="55" t="n">
        <v>138</v>
      </c>
      <c r="J1666" s="52" t="s">
        <v>5816</v>
      </c>
      <c r="K1666" s="56" t="n">
        <v>1</v>
      </c>
      <c r="L1666" s="52" t="s">
        <v>5816</v>
      </c>
      <c r="M1666" s="52" t="s">
        <v>75</v>
      </c>
    </row>
    <row r="1667" customFormat="false" ht="17.25" hidden="false" customHeight="true" outlineLevel="0" collapsed="false">
      <c r="A1667" s="52" t="s">
        <v>5777</v>
      </c>
      <c r="B1667" s="52" t="s">
        <v>5813</v>
      </c>
      <c r="C1667" s="53" t="n">
        <v>1083624</v>
      </c>
      <c r="D1667" s="52" t="s">
        <v>3631</v>
      </c>
      <c r="E1667" s="52" t="s">
        <v>3632</v>
      </c>
      <c r="F1667" s="54" t="n">
        <v>5</v>
      </c>
      <c r="G1667" s="55" t="n">
        <v>275</v>
      </c>
      <c r="H1667" s="55" t="n">
        <v>55</v>
      </c>
      <c r="I1667" s="55" t="n">
        <v>55</v>
      </c>
      <c r="J1667" s="52" t="s">
        <v>5816</v>
      </c>
      <c r="K1667" s="56" t="n">
        <v>1</v>
      </c>
      <c r="L1667" s="52" t="s">
        <v>5816</v>
      </c>
      <c r="M1667" s="52" t="s">
        <v>189</v>
      </c>
    </row>
    <row r="1668" customFormat="false" ht="17.25" hidden="false" customHeight="true" outlineLevel="0" collapsed="false">
      <c r="A1668" s="52" t="s">
        <v>5777</v>
      </c>
      <c r="B1668" s="52" t="s">
        <v>5813</v>
      </c>
      <c r="C1668" s="53" t="n">
        <v>1614511</v>
      </c>
      <c r="D1668" s="52" t="s">
        <v>3633</v>
      </c>
      <c r="E1668" s="52" t="s">
        <v>3634</v>
      </c>
      <c r="F1668" s="54" t="n">
        <v>8</v>
      </c>
      <c r="G1668" s="55" t="n">
        <v>272.36</v>
      </c>
      <c r="H1668" s="55" t="n">
        <v>34.045</v>
      </c>
      <c r="I1668" s="55" t="n">
        <v>34.45</v>
      </c>
      <c r="J1668" s="52" t="s">
        <v>5816</v>
      </c>
      <c r="K1668" s="56" t="n">
        <v>1</v>
      </c>
      <c r="L1668" s="52" t="s">
        <v>5816</v>
      </c>
      <c r="M1668" s="52" t="s">
        <v>38</v>
      </c>
    </row>
    <row r="1669" customFormat="false" ht="17.25" hidden="false" customHeight="true" outlineLevel="0" collapsed="false">
      <c r="A1669" s="52" t="s">
        <v>5777</v>
      </c>
      <c r="B1669" s="52" t="s">
        <v>5813</v>
      </c>
      <c r="C1669" s="53" t="n">
        <v>352404</v>
      </c>
      <c r="D1669" s="52" t="s">
        <v>3635</v>
      </c>
      <c r="E1669" s="52" t="s">
        <v>3636</v>
      </c>
      <c r="F1669" s="54" t="n">
        <v>2</v>
      </c>
      <c r="G1669" s="55" t="n">
        <v>272.3</v>
      </c>
      <c r="H1669" s="55" t="n">
        <v>136.15</v>
      </c>
      <c r="I1669" s="55" t="n">
        <v>136.15</v>
      </c>
      <c r="J1669" s="52" t="s">
        <v>5816</v>
      </c>
      <c r="K1669" s="56" t="n">
        <v>1</v>
      </c>
      <c r="L1669" s="52" t="s">
        <v>5816</v>
      </c>
      <c r="M1669" s="52" t="s">
        <v>130</v>
      </c>
    </row>
    <row r="1670" customFormat="false" ht="17.25" hidden="false" customHeight="true" outlineLevel="0" collapsed="false">
      <c r="A1670" s="52" t="s">
        <v>5777</v>
      </c>
      <c r="B1670" s="52" t="s">
        <v>5813</v>
      </c>
      <c r="C1670" s="53" t="n">
        <v>429143</v>
      </c>
      <c r="D1670" s="52" t="s">
        <v>3637</v>
      </c>
      <c r="E1670" s="52" t="s">
        <v>3638</v>
      </c>
      <c r="F1670" s="54" t="n">
        <v>4</v>
      </c>
      <c r="G1670" s="55" t="n">
        <v>272</v>
      </c>
      <c r="H1670" s="55" t="n">
        <v>68</v>
      </c>
      <c r="I1670" s="55" t="n">
        <v>68</v>
      </c>
      <c r="J1670" s="52" t="s">
        <v>5816</v>
      </c>
      <c r="K1670" s="56" t="n">
        <v>1</v>
      </c>
      <c r="L1670" s="52" t="s">
        <v>5816</v>
      </c>
      <c r="M1670" s="52" t="s">
        <v>705</v>
      </c>
    </row>
    <row r="1671" customFormat="false" ht="17.25" hidden="false" customHeight="true" outlineLevel="0" collapsed="false">
      <c r="A1671" s="52" t="s">
        <v>5777</v>
      </c>
      <c r="B1671" s="52" t="s">
        <v>5813</v>
      </c>
      <c r="C1671" s="53" t="n">
        <v>840030</v>
      </c>
      <c r="D1671" s="52" t="s">
        <v>3639</v>
      </c>
      <c r="E1671" s="52" t="s">
        <v>3640</v>
      </c>
      <c r="F1671" s="54" t="n">
        <v>85</v>
      </c>
      <c r="G1671" s="55" t="n">
        <v>272</v>
      </c>
      <c r="H1671" s="55" t="n">
        <v>3.2</v>
      </c>
      <c r="I1671" s="55" t="n">
        <v>3.2</v>
      </c>
      <c r="J1671" s="52" t="s">
        <v>5816</v>
      </c>
      <c r="K1671" s="56" t="n">
        <v>1</v>
      </c>
      <c r="L1671" s="52" t="s">
        <v>5816</v>
      </c>
      <c r="M1671" s="52" t="s">
        <v>54</v>
      </c>
    </row>
    <row r="1672" customFormat="false" ht="17.25" hidden="false" customHeight="true" outlineLevel="0" collapsed="false">
      <c r="A1672" s="52" t="s">
        <v>5777</v>
      </c>
      <c r="B1672" s="52" t="s">
        <v>5813</v>
      </c>
      <c r="C1672" s="53" t="n">
        <v>605443</v>
      </c>
      <c r="D1672" s="52" t="s">
        <v>3641</v>
      </c>
      <c r="E1672" s="52" t="s">
        <v>3642</v>
      </c>
      <c r="F1672" s="54" t="n">
        <v>436</v>
      </c>
      <c r="G1672" s="55" t="n">
        <v>270.5</v>
      </c>
      <c r="H1672" s="55" t="n">
        <v>0.6204</v>
      </c>
      <c r="I1672" s="55" t="n">
        <v>0.75</v>
      </c>
      <c r="J1672" s="52" t="s">
        <v>5816</v>
      </c>
      <c r="K1672" s="56" t="n">
        <v>1</v>
      </c>
      <c r="L1672" s="52" t="s">
        <v>5816</v>
      </c>
      <c r="M1672" s="52" t="s">
        <v>100</v>
      </c>
    </row>
    <row r="1673" customFormat="false" ht="17.25" hidden="false" customHeight="true" outlineLevel="0" collapsed="false">
      <c r="A1673" s="52" t="s">
        <v>5777</v>
      </c>
      <c r="B1673" s="52" t="s">
        <v>5813</v>
      </c>
      <c r="C1673" s="53" t="n">
        <v>1330891</v>
      </c>
      <c r="D1673" s="52" t="s">
        <v>3643</v>
      </c>
      <c r="E1673" s="52" t="s">
        <v>3644</v>
      </c>
      <c r="F1673" s="54" t="n">
        <v>46</v>
      </c>
      <c r="G1673" s="55" t="n">
        <v>270.1</v>
      </c>
      <c r="H1673" s="55" t="n">
        <v>5.8717</v>
      </c>
      <c r="I1673" s="55" t="n">
        <v>3.2</v>
      </c>
      <c r="J1673" s="52" t="s">
        <v>5816</v>
      </c>
      <c r="K1673" s="56" t="n">
        <v>1</v>
      </c>
      <c r="L1673" s="52" t="s">
        <v>5816</v>
      </c>
      <c r="M1673" s="52" t="s">
        <v>100</v>
      </c>
    </row>
    <row r="1674" customFormat="false" ht="17.25" hidden="false" customHeight="true" outlineLevel="0" collapsed="false">
      <c r="A1674" s="52" t="s">
        <v>5777</v>
      </c>
      <c r="B1674" s="52" t="s">
        <v>5813</v>
      </c>
      <c r="C1674" s="53" t="n">
        <v>33034</v>
      </c>
      <c r="D1674" s="52" t="s">
        <v>3645</v>
      </c>
      <c r="E1674" s="52" t="s">
        <v>3646</v>
      </c>
      <c r="F1674" s="54" t="n">
        <v>5</v>
      </c>
      <c r="G1674" s="55" t="n">
        <v>270.07</v>
      </c>
      <c r="H1674" s="55" t="n">
        <v>54.014</v>
      </c>
      <c r="I1674" s="55" t="n">
        <v>68</v>
      </c>
      <c r="J1674" s="52" t="s">
        <v>5816</v>
      </c>
      <c r="K1674" s="56" t="n">
        <v>1</v>
      </c>
      <c r="L1674" s="52" t="s">
        <v>5816</v>
      </c>
      <c r="M1674" s="52" t="s">
        <v>130</v>
      </c>
    </row>
    <row r="1675" customFormat="false" ht="17.25" hidden="false" customHeight="true" outlineLevel="0" collapsed="false">
      <c r="A1675" s="52" t="s">
        <v>5777</v>
      </c>
      <c r="B1675" s="52" t="s">
        <v>5813</v>
      </c>
      <c r="C1675" s="53" t="n">
        <v>21398</v>
      </c>
      <c r="D1675" s="52" t="s">
        <v>3647</v>
      </c>
      <c r="E1675" s="52" t="s">
        <v>3648</v>
      </c>
      <c r="F1675" s="54" t="n">
        <v>2</v>
      </c>
      <c r="G1675" s="55" t="n">
        <v>270</v>
      </c>
      <c r="H1675" s="55" t="n">
        <v>135</v>
      </c>
      <c r="I1675" s="55" t="n">
        <v>135</v>
      </c>
      <c r="J1675" s="52" t="s">
        <v>5816</v>
      </c>
      <c r="K1675" s="56" t="n">
        <v>1</v>
      </c>
      <c r="L1675" s="52" t="s">
        <v>5816</v>
      </c>
      <c r="M1675" s="52" t="s">
        <v>130</v>
      </c>
    </row>
    <row r="1676" customFormat="false" ht="17.25" hidden="false" customHeight="true" outlineLevel="0" collapsed="false">
      <c r="A1676" s="52" t="s">
        <v>5777</v>
      </c>
      <c r="B1676" s="52" t="s">
        <v>5813</v>
      </c>
      <c r="C1676" s="53" t="n">
        <v>1467854</v>
      </c>
      <c r="D1676" s="52" t="s">
        <v>3649</v>
      </c>
      <c r="E1676" s="52" t="s">
        <v>3650</v>
      </c>
      <c r="F1676" s="54" t="n">
        <v>1</v>
      </c>
      <c r="G1676" s="55" t="n">
        <v>270</v>
      </c>
      <c r="H1676" s="55" t="n">
        <v>270</v>
      </c>
      <c r="I1676" s="55" t="n">
        <v>270</v>
      </c>
      <c r="J1676" s="52" t="s">
        <v>5911</v>
      </c>
      <c r="K1676" s="56" t="n">
        <v>1</v>
      </c>
      <c r="L1676" s="52" t="s">
        <v>5816</v>
      </c>
      <c r="M1676" s="52" t="s">
        <v>722</v>
      </c>
    </row>
    <row r="1677" customFormat="false" ht="17.25" hidden="false" customHeight="true" outlineLevel="0" collapsed="false">
      <c r="A1677" s="52" t="s">
        <v>5777</v>
      </c>
      <c r="B1677" s="52" t="s">
        <v>5813</v>
      </c>
      <c r="C1677" s="53" t="n">
        <v>24071</v>
      </c>
      <c r="D1677" s="52" t="s">
        <v>3651</v>
      </c>
      <c r="E1677" s="52" t="s">
        <v>3652</v>
      </c>
      <c r="F1677" s="54" t="n">
        <v>28</v>
      </c>
      <c r="G1677" s="55" t="n">
        <v>269.98</v>
      </c>
      <c r="H1677" s="55" t="n">
        <v>9.6421</v>
      </c>
      <c r="I1677" s="55" t="n">
        <v>9.07</v>
      </c>
      <c r="J1677" s="52" t="s">
        <v>5816</v>
      </c>
      <c r="K1677" s="56" t="n">
        <v>1</v>
      </c>
      <c r="L1677" s="52" t="s">
        <v>5816</v>
      </c>
      <c r="M1677" s="52" t="s">
        <v>247</v>
      </c>
    </row>
    <row r="1678" customFormat="false" ht="17.25" hidden="false" customHeight="true" outlineLevel="0" collapsed="false">
      <c r="A1678" s="52" t="s">
        <v>5777</v>
      </c>
      <c r="B1678" s="52" t="s">
        <v>5813</v>
      </c>
      <c r="C1678" s="53" t="n">
        <v>21356</v>
      </c>
      <c r="D1678" s="52" t="s">
        <v>3653</v>
      </c>
      <c r="E1678" s="52" t="s">
        <v>3654</v>
      </c>
      <c r="F1678" s="54" t="n">
        <v>4</v>
      </c>
      <c r="G1678" s="55" t="n">
        <v>269.96</v>
      </c>
      <c r="H1678" s="55" t="n">
        <v>67.49</v>
      </c>
      <c r="I1678" s="55" t="n">
        <v>67.49</v>
      </c>
      <c r="J1678" s="52" t="s">
        <v>5816</v>
      </c>
      <c r="K1678" s="56" t="n">
        <v>1</v>
      </c>
      <c r="L1678" s="52" t="s">
        <v>5816</v>
      </c>
      <c r="M1678" s="52" t="s">
        <v>130</v>
      </c>
    </row>
    <row r="1679" customFormat="false" ht="17.25" hidden="false" customHeight="true" outlineLevel="0" collapsed="false">
      <c r="A1679" s="52" t="s">
        <v>5777</v>
      </c>
      <c r="B1679" s="52" t="s">
        <v>5813</v>
      </c>
      <c r="C1679" s="53" t="n">
        <v>19445</v>
      </c>
      <c r="D1679" s="52" t="s">
        <v>3655</v>
      </c>
      <c r="E1679" s="52" t="s">
        <v>3656</v>
      </c>
      <c r="F1679" s="54" t="n">
        <v>5</v>
      </c>
      <c r="G1679" s="55" t="n">
        <v>269.91</v>
      </c>
      <c r="H1679" s="55" t="n">
        <v>53.982</v>
      </c>
      <c r="I1679" s="55" t="n">
        <v>53.982</v>
      </c>
      <c r="J1679" s="52" t="s">
        <v>5816</v>
      </c>
      <c r="K1679" s="56" t="n">
        <v>1</v>
      </c>
      <c r="L1679" s="52" t="s">
        <v>5816</v>
      </c>
      <c r="M1679" s="52" t="s">
        <v>1095</v>
      </c>
    </row>
    <row r="1680" customFormat="false" ht="17.25" hidden="false" customHeight="true" outlineLevel="0" collapsed="false">
      <c r="A1680" s="52" t="s">
        <v>5777</v>
      </c>
      <c r="B1680" s="52" t="s">
        <v>5813</v>
      </c>
      <c r="C1680" s="53" t="n">
        <v>279605</v>
      </c>
      <c r="D1680" s="52" t="s">
        <v>3657</v>
      </c>
      <c r="E1680" s="52" t="s">
        <v>3658</v>
      </c>
      <c r="F1680" s="54" t="n">
        <v>6</v>
      </c>
      <c r="G1680" s="55" t="n">
        <v>269.88</v>
      </c>
      <c r="H1680" s="55" t="n">
        <v>44.98</v>
      </c>
      <c r="I1680" s="55" t="n">
        <v>44.98</v>
      </c>
      <c r="J1680" s="52" t="s">
        <v>5816</v>
      </c>
      <c r="K1680" s="56" t="n">
        <v>1</v>
      </c>
      <c r="L1680" s="52" t="s">
        <v>5816</v>
      </c>
      <c r="M1680" s="52" t="s">
        <v>457</v>
      </c>
    </row>
    <row r="1681" customFormat="false" ht="17.25" hidden="false" customHeight="true" outlineLevel="0" collapsed="false">
      <c r="A1681" s="52" t="s">
        <v>5777</v>
      </c>
      <c r="B1681" s="52" t="s">
        <v>5813</v>
      </c>
      <c r="C1681" s="53" t="n">
        <v>12653</v>
      </c>
      <c r="D1681" s="52" t="s">
        <v>3659</v>
      </c>
      <c r="E1681" s="52" t="s">
        <v>3660</v>
      </c>
      <c r="F1681" s="54" t="n">
        <v>18</v>
      </c>
      <c r="G1681" s="55" t="n">
        <v>269.64</v>
      </c>
      <c r="H1681" s="55" t="n">
        <v>14.98</v>
      </c>
      <c r="I1681" s="55" t="n">
        <v>14.98</v>
      </c>
      <c r="J1681" s="52" t="s">
        <v>5816</v>
      </c>
      <c r="K1681" s="56" t="n">
        <v>1</v>
      </c>
      <c r="L1681" s="52" t="s">
        <v>5816</v>
      </c>
      <c r="M1681" s="52" t="s">
        <v>38</v>
      </c>
    </row>
    <row r="1682" customFormat="false" ht="17.25" hidden="false" customHeight="true" outlineLevel="0" collapsed="false">
      <c r="A1682" s="52" t="s">
        <v>5777</v>
      </c>
      <c r="B1682" s="52" t="s">
        <v>5813</v>
      </c>
      <c r="C1682" s="53" t="n">
        <v>1672550</v>
      </c>
      <c r="D1682" s="52" t="s">
        <v>3661</v>
      </c>
      <c r="E1682" s="52" t="s">
        <v>3662</v>
      </c>
      <c r="F1682" s="54" t="n">
        <v>4</v>
      </c>
      <c r="G1682" s="55" t="n">
        <v>269.56</v>
      </c>
      <c r="H1682" s="55" t="n">
        <v>67.39</v>
      </c>
      <c r="I1682" s="55" t="n">
        <v>67.39</v>
      </c>
      <c r="J1682" s="52" t="s">
        <v>5816</v>
      </c>
      <c r="K1682" s="56" t="n">
        <v>1</v>
      </c>
      <c r="L1682" s="52" t="s">
        <v>5816</v>
      </c>
      <c r="M1682" s="52" t="s">
        <v>66</v>
      </c>
    </row>
    <row r="1683" customFormat="false" ht="17.25" hidden="false" customHeight="true" outlineLevel="0" collapsed="false">
      <c r="A1683" s="52" t="s">
        <v>5777</v>
      </c>
      <c r="B1683" s="52" t="s">
        <v>5813</v>
      </c>
      <c r="C1683" s="53" t="n">
        <v>22808</v>
      </c>
      <c r="D1683" s="52" t="s">
        <v>3663</v>
      </c>
      <c r="E1683" s="52" t="s">
        <v>3664</v>
      </c>
      <c r="F1683" s="54" t="n">
        <v>27</v>
      </c>
      <c r="G1683" s="55" t="n">
        <v>269.46</v>
      </c>
      <c r="H1683" s="55" t="n">
        <v>9.98</v>
      </c>
      <c r="I1683" s="55" t="n">
        <v>9.98</v>
      </c>
      <c r="J1683" s="52" t="s">
        <v>5816</v>
      </c>
      <c r="K1683" s="56" t="n">
        <v>1</v>
      </c>
      <c r="L1683" s="52" t="s">
        <v>5816</v>
      </c>
      <c r="M1683" s="52" t="s">
        <v>189</v>
      </c>
    </row>
    <row r="1684" customFormat="false" ht="17.25" hidden="false" customHeight="true" outlineLevel="0" collapsed="false">
      <c r="A1684" s="52" t="s">
        <v>5777</v>
      </c>
      <c r="B1684" s="52" t="s">
        <v>5813</v>
      </c>
      <c r="C1684" s="53" t="n">
        <v>1077314</v>
      </c>
      <c r="D1684" s="52" t="s">
        <v>3665</v>
      </c>
      <c r="E1684" s="52" t="s">
        <v>3666</v>
      </c>
      <c r="F1684" s="54" t="n">
        <v>20</v>
      </c>
      <c r="G1684" s="55" t="n">
        <v>269.4</v>
      </c>
      <c r="H1684" s="55" t="n">
        <v>13.47</v>
      </c>
      <c r="I1684" s="55" t="n">
        <v>13.47</v>
      </c>
      <c r="J1684" s="52" t="s">
        <v>5818</v>
      </c>
      <c r="K1684" s="56" t="n">
        <v>1</v>
      </c>
      <c r="L1684" s="52" t="s">
        <v>5816</v>
      </c>
      <c r="M1684" s="52" t="s">
        <v>705</v>
      </c>
    </row>
    <row r="1685" customFormat="false" ht="17.25" hidden="false" customHeight="true" outlineLevel="0" collapsed="false">
      <c r="A1685" s="52" t="s">
        <v>5777</v>
      </c>
      <c r="B1685" s="52" t="s">
        <v>5813</v>
      </c>
      <c r="C1685" s="53" t="n">
        <v>950843</v>
      </c>
      <c r="D1685" s="52" t="s">
        <v>3667</v>
      </c>
      <c r="E1685" s="52" t="s">
        <v>3668</v>
      </c>
      <c r="F1685" s="54" t="n">
        <v>1</v>
      </c>
      <c r="G1685" s="55" t="n">
        <v>268</v>
      </c>
      <c r="H1685" s="55" t="n">
        <v>268</v>
      </c>
      <c r="I1685" s="55" t="n">
        <v>268</v>
      </c>
      <c r="J1685" s="52" t="s">
        <v>5816</v>
      </c>
      <c r="K1685" s="56" t="n">
        <v>1</v>
      </c>
      <c r="L1685" s="52" t="s">
        <v>5816</v>
      </c>
      <c r="M1685" s="52" t="s">
        <v>705</v>
      </c>
    </row>
    <row r="1686" customFormat="false" ht="17.25" hidden="false" customHeight="true" outlineLevel="0" collapsed="false">
      <c r="A1686" s="52" t="s">
        <v>5777</v>
      </c>
      <c r="B1686" s="52" t="s">
        <v>5813</v>
      </c>
      <c r="C1686" s="53" t="n">
        <v>869642</v>
      </c>
      <c r="D1686" s="52" t="s">
        <v>3669</v>
      </c>
      <c r="E1686" s="52" t="s">
        <v>3670</v>
      </c>
      <c r="F1686" s="54" t="n">
        <v>3</v>
      </c>
      <c r="G1686" s="55" t="n">
        <v>267</v>
      </c>
      <c r="H1686" s="55" t="n">
        <v>89</v>
      </c>
      <c r="I1686" s="55" t="n">
        <v>89</v>
      </c>
      <c r="J1686" s="52" t="s">
        <v>5816</v>
      </c>
      <c r="K1686" s="56" t="n">
        <v>1</v>
      </c>
      <c r="L1686" s="52" t="s">
        <v>5816</v>
      </c>
      <c r="M1686" s="52" t="s">
        <v>138</v>
      </c>
    </row>
    <row r="1687" customFormat="false" ht="17.25" hidden="false" customHeight="true" outlineLevel="0" collapsed="false">
      <c r="A1687" s="52" t="s">
        <v>5777</v>
      </c>
      <c r="B1687" s="52" t="s">
        <v>5813</v>
      </c>
      <c r="C1687" s="53" t="n">
        <v>30867</v>
      </c>
      <c r="D1687" s="52" t="s">
        <v>3671</v>
      </c>
      <c r="E1687" s="52" t="s">
        <v>3672</v>
      </c>
      <c r="F1687" s="54" t="n">
        <v>6</v>
      </c>
      <c r="G1687" s="55" t="n">
        <v>264</v>
      </c>
      <c r="H1687" s="55" t="n">
        <v>44</v>
      </c>
      <c r="I1687" s="55" t="n">
        <v>44</v>
      </c>
      <c r="J1687" s="52" t="s">
        <v>5869</v>
      </c>
      <c r="K1687" s="56" t="n">
        <v>50</v>
      </c>
      <c r="L1687" s="52" t="s">
        <v>5814</v>
      </c>
      <c r="M1687" s="52" t="s">
        <v>38</v>
      </c>
    </row>
    <row r="1688" customFormat="false" ht="17.25" hidden="false" customHeight="true" outlineLevel="0" collapsed="false">
      <c r="A1688" s="52" t="s">
        <v>5777</v>
      </c>
      <c r="B1688" s="52" t="s">
        <v>5813</v>
      </c>
      <c r="C1688" s="53" t="n">
        <v>945177</v>
      </c>
      <c r="D1688" s="52" t="s">
        <v>3673</v>
      </c>
      <c r="E1688" s="52" t="s">
        <v>3674</v>
      </c>
      <c r="F1688" s="54" t="n">
        <v>3</v>
      </c>
      <c r="G1688" s="55" t="n">
        <v>264</v>
      </c>
      <c r="H1688" s="55" t="n">
        <v>88</v>
      </c>
      <c r="I1688" s="55" t="n">
        <v>88</v>
      </c>
      <c r="J1688" s="52" t="s">
        <v>5816</v>
      </c>
      <c r="K1688" s="56" t="n">
        <v>1</v>
      </c>
      <c r="L1688" s="52" t="s">
        <v>5816</v>
      </c>
      <c r="M1688" s="52" t="s">
        <v>130</v>
      </c>
    </row>
    <row r="1689" customFormat="false" ht="17.25" hidden="false" customHeight="true" outlineLevel="0" collapsed="false">
      <c r="A1689" s="52" t="s">
        <v>5777</v>
      </c>
      <c r="B1689" s="52" t="s">
        <v>5813</v>
      </c>
      <c r="C1689" s="53" t="n">
        <v>1607590</v>
      </c>
      <c r="D1689" s="52" t="s">
        <v>3675</v>
      </c>
      <c r="E1689" s="52" t="s">
        <v>3676</v>
      </c>
      <c r="F1689" s="54" t="n">
        <v>6</v>
      </c>
      <c r="G1689" s="55" t="n">
        <v>264</v>
      </c>
      <c r="H1689" s="55" t="n">
        <v>44</v>
      </c>
      <c r="I1689" s="55" t="n">
        <v>44</v>
      </c>
      <c r="J1689" s="52" t="s">
        <v>5816</v>
      </c>
      <c r="K1689" s="56" t="n">
        <v>1</v>
      </c>
      <c r="L1689" s="52" t="s">
        <v>5816</v>
      </c>
      <c r="M1689" s="52" t="s">
        <v>38</v>
      </c>
    </row>
    <row r="1690" customFormat="false" ht="17.25" hidden="false" customHeight="true" outlineLevel="0" collapsed="false">
      <c r="A1690" s="52" t="s">
        <v>5777</v>
      </c>
      <c r="B1690" s="52" t="s">
        <v>5813</v>
      </c>
      <c r="C1690" s="53" t="n">
        <v>1657135</v>
      </c>
      <c r="D1690" s="52" t="s">
        <v>3677</v>
      </c>
      <c r="E1690" s="52" t="s">
        <v>3678</v>
      </c>
      <c r="F1690" s="54" t="n">
        <v>16</v>
      </c>
      <c r="G1690" s="55" t="n">
        <v>264</v>
      </c>
      <c r="H1690" s="55" t="n">
        <v>16.5</v>
      </c>
      <c r="I1690" s="55" t="n">
        <v>16.5</v>
      </c>
      <c r="J1690" s="52" t="s">
        <v>5816</v>
      </c>
      <c r="K1690" s="56" t="n">
        <v>1</v>
      </c>
      <c r="L1690" s="52" t="s">
        <v>5816</v>
      </c>
      <c r="M1690" s="52" t="s">
        <v>100</v>
      </c>
    </row>
    <row r="1691" customFormat="false" ht="17.25" hidden="false" customHeight="true" outlineLevel="0" collapsed="false">
      <c r="A1691" s="52" t="s">
        <v>5777</v>
      </c>
      <c r="B1691" s="52" t="s">
        <v>5813</v>
      </c>
      <c r="C1691" s="53" t="n">
        <v>555703</v>
      </c>
      <c r="D1691" s="52" t="s">
        <v>3679</v>
      </c>
      <c r="E1691" s="52" t="s">
        <v>3680</v>
      </c>
      <c r="F1691" s="54" t="n">
        <v>100</v>
      </c>
      <c r="G1691" s="55" t="n">
        <v>263</v>
      </c>
      <c r="H1691" s="55" t="n">
        <v>2.63</v>
      </c>
      <c r="I1691" s="55" t="n">
        <v>2.63</v>
      </c>
      <c r="J1691" s="52" t="s">
        <v>5816</v>
      </c>
      <c r="K1691" s="56" t="n">
        <v>1</v>
      </c>
      <c r="L1691" s="52" t="s">
        <v>5816</v>
      </c>
      <c r="M1691" s="52" t="s">
        <v>1618</v>
      </c>
    </row>
    <row r="1692" customFormat="false" ht="17.25" hidden="false" customHeight="true" outlineLevel="0" collapsed="false">
      <c r="A1692" s="52" t="s">
        <v>5777</v>
      </c>
      <c r="B1692" s="52" t="s">
        <v>5813</v>
      </c>
      <c r="C1692" s="53" t="n">
        <v>49594</v>
      </c>
      <c r="D1692" s="52" t="s">
        <v>3681</v>
      </c>
      <c r="E1692" s="52" t="s">
        <v>3682</v>
      </c>
      <c r="F1692" s="54" t="n">
        <v>12</v>
      </c>
      <c r="G1692" s="55" t="n">
        <v>262.98</v>
      </c>
      <c r="H1692" s="55" t="n">
        <v>21.915</v>
      </c>
      <c r="I1692" s="55" t="n">
        <v>18.83</v>
      </c>
      <c r="J1692" s="52" t="s">
        <v>5816</v>
      </c>
      <c r="K1692" s="56" t="n">
        <v>1</v>
      </c>
      <c r="L1692" s="52" t="s">
        <v>5816</v>
      </c>
      <c r="M1692" s="52" t="s">
        <v>705</v>
      </c>
    </row>
    <row r="1693" customFormat="false" ht="17.25" hidden="false" customHeight="true" outlineLevel="0" collapsed="false">
      <c r="A1693" s="52" t="s">
        <v>5777</v>
      </c>
      <c r="B1693" s="52" t="s">
        <v>5813</v>
      </c>
      <c r="C1693" s="53" t="n">
        <v>862968</v>
      </c>
      <c r="D1693" s="52" t="s">
        <v>3683</v>
      </c>
      <c r="E1693" s="52" t="s">
        <v>3684</v>
      </c>
      <c r="F1693" s="54" t="n">
        <v>30</v>
      </c>
      <c r="G1693" s="55" t="n">
        <v>262.7</v>
      </c>
      <c r="H1693" s="55" t="n">
        <v>8.7567</v>
      </c>
      <c r="I1693" s="55" t="n">
        <v>7.22</v>
      </c>
      <c r="J1693" s="52" t="s">
        <v>5816</v>
      </c>
      <c r="K1693" s="56" t="n">
        <v>1</v>
      </c>
      <c r="L1693" s="52" t="s">
        <v>5816</v>
      </c>
      <c r="M1693" s="52" t="s">
        <v>605</v>
      </c>
    </row>
    <row r="1694" customFormat="false" ht="17.25" hidden="false" customHeight="true" outlineLevel="0" collapsed="false">
      <c r="A1694" s="52" t="s">
        <v>5777</v>
      </c>
      <c r="B1694" s="52" t="s">
        <v>5813</v>
      </c>
      <c r="C1694" s="53" t="n">
        <v>1388139</v>
      </c>
      <c r="D1694" s="52" t="s">
        <v>3685</v>
      </c>
      <c r="E1694" s="52" t="s">
        <v>3686</v>
      </c>
      <c r="F1694" s="54" t="n">
        <v>108</v>
      </c>
      <c r="G1694" s="55" t="n">
        <v>262.52</v>
      </c>
      <c r="H1694" s="55" t="n">
        <v>2.4307</v>
      </c>
      <c r="I1694" s="55" t="n">
        <v>0.71</v>
      </c>
      <c r="J1694" s="52" t="s">
        <v>5816</v>
      </c>
      <c r="K1694" s="56" t="n">
        <v>1</v>
      </c>
      <c r="L1694" s="52" t="s">
        <v>5816</v>
      </c>
      <c r="M1694" s="52" t="s">
        <v>100</v>
      </c>
    </row>
    <row r="1695" customFormat="false" ht="17.25" hidden="false" customHeight="true" outlineLevel="0" collapsed="false">
      <c r="A1695" s="52" t="s">
        <v>5777</v>
      </c>
      <c r="B1695" s="52" t="s">
        <v>5813</v>
      </c>
      <c r="C1695" s="53" t="n">
        <v>290925</v>
      </c>
      <c r="D1695" s="52" t="s">
        <v>3687</v>
      </c>
      <c r="E1695" s="52" t="s">
        <v>3688</v>
      </c>
      <c r="F1695" s="54" t="n">
        <v>5</v>
      </c>
      <c r="G1695" s="55" t="n">
        <v>262.5</v>
      </c>
      <c r="H1695" s="55" t="n">
        <v>52.5</v>
      </c>
      <c r="I1695" s="55" t="n">
        <v>52.5</v>
      </c>
      <c r="J1695" s="52" t="s">
        <v>5816</v>
      </c>
      <c r="K1695" s="56" t="n">
        <v>1</v>
      </c>
      <c r="L1695" s="52" t="s">
        <v>5816</v>
      </c>
      <c r="M1695" s="52" t="s">
        <v>130</v>
      </c>
    </row>
    <row r="1696" customFormat="false" ht="17.25" hidden="false" customHeight="true" outlineLevel="0" collapsed="false">
      <c r="A1696" s="52" t="s">
        <v>5777</v>
      </c>
      <c r="B1696" s="52" t="s">
        <v>5813</v>
      </c>
      <c r="C1696" s="53" t="n">
        <v>23262</v>
      </c>
      <c r="D1696" s="52" t="s">
        <v>3689</v>
      </c>
      <c r="E1696" s="52" t="s">
        <v>3690</v>
      </c>
      <c r="F1696" s="54" t="n">
        <v>2</v>
      </c>
      <c r="G1696" s="55" t="n">
        <v>262</v>
      </c>
      <c r="H1696" s="55" t="n">
        <v>131</v>
      </c>
      <c r="I1696" s="55" t="n">
        <v>131</v>
      </c>
      <c r="J1696" s="52" t="s">
        <v>5831</v>
      </c>
      <c r="K1696" s="56" t="n">
        <v>1</v>
      </c>
      <c r="L1696" s="52" t="s">
        <v>5831</v>
      </c>
      <c r="M1696" s="52" t="s">
        <v>247</v>
      </c>
    </row>
    <row r="1697" customFormat="false" ht="17.25" hidden="false" customHeight="true" outlineLevel="0" collapsed="false">
      <c r="A1697" s="52" t="s">
        <v>5777</v>
      </c>
      <c r="B1697" s="52" t="s">
        <v>5813</v>
      </c>
      <c r="C1697" s="53" t="n">
        <v>228765</v>
      </c>
      <c r="D1697" s="52" t="s">
        <v>3691</v>
      </c>
      <c r="E1697" s="52" t="s">
        <v>3692</v>
      </c>
      <c r="F1697" s="54" t="n">
        <v>5</v>
      </c>
      <c r="G1697" s="55" t="n">
        <v>261</v>
      </c>
      <c r="H1697" s="55" t="n">
        <v>52.2</v>
      </c>
      <c r="I1697" s="55" t="n">
        <v>52.2</v>
      </c>
      <c r="J1697" s="52" t="s">
        <v>5940</v>
      </c>
      <c r="K1697" s="56" t="n">
        <v>1</v>
      </c>
      <c r="L1697" s="52" t="s">
        <v>5816</v>
      </c>
      <c r="M1697" s="52" t="s">
        <v>605</v>
      </c>
    </row>
    <row r="1698" customFormat="false" ht="17.25" hidden="false" customHeight="true" outlineLevel="0" collapsed="false">
      <c r="A1698" s="52" t="s">
        <v>5777</v>
      </c>
      <c r="B1698" s="52" t="s">
        <v>5813</v>
      </c>
      <c r="C1698" s="53" t="n">
        <v>315526</v>
      </c>
      <c r="D1698" s="52" t="s">
        <v>3693</v>
      </c>
      <c r="E1698" s="52" t="s">
        <v>3694</v>
      </c>
      <c r="F1698" s="54" t="n">
        <v>6</v>
      </c>
      <c r="G1698" s="55" t="n">
        <v>261</v>
      </c>
      <c r="H1698" s="55" t="n">
        <v>43.5</v>
      </c>
      <c r="I1698" s="55" t="n">
        <v>68</v>
      </c>
      <c r="J1698" s="52" t="s">
        <v>5816</v>
      </c>
      <c r="K1698" s="56" t="n">
        <v>1</v>
      </c>
      <c r="L1698" s="52" t="s">
        <v>5816</v>
      </c>
      <c r="M1698" s="52" t="s">
        <v>130</v>
      </c>
    </row>
    <row r="1699" customFormat="false" ht="17.25" hidden="false" customHeight="true" outlineLevel="0" collapsed="false">
      <c r="A1699" s="52" t="s">
        <v>5777</v>
      </c>
      <c r="B1699" s="52" t="s">
        <v>5813</v>
      </c>
      <c r="C1699" s="53" t="n">
        <v>1471981</v>
      </c>
      <c r="D1699" s="52" t="s">
        <v>3695</v>
      </c>
      <c r="E1699" s="52" t="s">
        <v>3696</v>
      </c>
      <c r="F1699" s="54" t="n">
        <v>90</v>
      </c>
      <c r="G1699" s="55" t="n">
        <v>261</v>
      </c>
      <c r="H1699" s="55" t="n">
        <v>2.9</v>
      </c>
      <c r="I1699" s="55" t="n">
        <v>2.9</v>
      </c>
      <c r="J1699" s="52" t="s">
        <v>5816</v>
      </c>
      <c r="K1699" s="56" t="n">
        <v>1</v>
      </c>
      <c r="L1699" s="52" t="s">
        <v>5816</v>
      </c>
      <c r="M1699" s="52" t="s">
        <v>100</v>
      </c>
    </row>
    <row r="1700" customFormat="false" ht="17.25" hidden="false" customHeight="true" outlineLevel="0" collapsed="false">
      <c r="A1700" s="52" t="s">
        <v>5777</v>
      </c>
      <c r="B1700" s="52" t="s">
        <v>5813</v>
      </c>
      <c r="C1700" s="53" t="n">
        <v>136079</v>
      </c>
      <c r="D1700" s="52" t="s">
        <v>3697</v>
      </c>
      <c r="E1700" s="52" t="s">
        <v>3698</v>
      </c>
      <c r="F1700" s="54" t="n">
        <v>10</v>
      </c>
      <c r="G1700" s="55" t="n">
        <v>260.86</v>
      </c>
      <c r="H1700" s="55" t="n">
        <v>26.086</v>
      </c>
      <c r="I1700" s="55" t="n">
        <v>44.98</v>
      </c>
      <c r="J1700" s="52" t="s">
        <v>5816</v>
      </c>
      <c r="K1700" s="56" t="n">
        <v>1</v>
      </c>
      <c r="L1700" s="52" t="s">
        <v>5816</v>
      </c>
      <c r="M1700" s="52" t="s">
        <v>38</v>
      </c>
    </row>
    <row r="1701" customFormat="false" ht="17.25" hidden="false" customHeight="true" outlineLevel="0" collapsed="false">
      <c r="A1701" s="52" t="s">
        <v>5777</v>
      </c>
      <c r="B1701" s="52" t="s">
        <v>5813</v>
      </c>
      <c r="C1701" s="53" t="n">
        <v>18110</v>
      </c>
      <c r="D1701" s="52" t="s">
        <v>3699</v>
      </c>
      <c r="E1701" s="52" t="s">
        <v>3700</v>
      </c>
      <c r="F1701" s="54" t="n">
        <v>4</v>
      </c>
      <c r="G1701" s="55" t="n">
        <v>260</v>
      </c>
      <c r="H1701" s="55" t="n">
        <v>65</v>
      </c>
      <c r="I1701" s="55" t="n">
        <v>65</v>
      </c>
      <c r="J1701" s="52" t="s">
        <v>5816</v>
      </c>
      <c r="K1701" s="56" t="n">
        <v>1</v>
      </c>
      <c r="L1701" s="52" t="s">
        <v>5816</v>
      </c>
      <c r="M1701" s="52" t="s">
        <v>130</v>
      </c>
    </row>
    <row r="1702" customFormat="false" ht="17.25" hidden="false" customHeight="true" outlineLevel="0" collapsed="false">
      <c r="A1702" s="52" t="s">
        <v>5777</v>
      </c>
      <c r="B1702" s="52" t="s">
        <v>5813</v>
      </c>
      <c r="C1702" s="53" t="n">
        <v>137398</v>
      </c>
      <c r="D1702" s="52" t="s">
        <v>3701</v>
      </c>
      <c r="E1702" s="52" t="s">
        <v>3702</v>
      </c>
      <c r="F1702" s="54" t="n">
        <v>10</v>
      </c>
      <c r="G1702" s="55" t="n">
        <v>260</v>
      </c>
      <c r="H1702" s="55" t="n">
        <v>26</v>
      </c>
      <c r="I1702" s="55" t="n">
        <v>26</v>
      </c>
      <c r="J1702" s="52" t="s">
        <v>5816</v>
      </c>
      <c r="K1702" s="56" t="n">
        <v>1</v>
      </c>
      <c r="L1702" s="52" t="s">
        <v>5816</v>
      </c>
      <c r="M1702" s="52" t="s">
        <v>247</v>
      </c>
    </row>
    <row r="1703" customFormat="false" ht="17.25" hidden="false" customHeight="true" outlineLevel="0" collapsed="false">
      <c r="A1703" s="52" t="s">
        <v>5777</v>
      </c>
      <c r="B1703" s="52" t="s">
        <v>5813</v>
      </c>
      <c r="C1703" s="53" t="n">
        <v>931416</v>
      </c>
      <c r="D1703" s="52" t="s">
        <v>3703</v>
      </c>
      <c r="E1703" s="52" t="s">
        <v>3704</v>
      </c>
      <c r="F1703" s="54" t="n">
        <v>4</v>
      </c>
      <c r="G1703" s="55" t="n">
        <v>260</v>
      </c>
      <c r="H1703" s="55" t="n">
        <v>65</v>
      </c>
      <c r="I1703" s="55" t="n">
        <v>65</v>
      </c>
      <c r="J1703" s="52" t="s">
        <v>5817</v>
      </c>
      <c r="K1703" s="56" t="n">
        <v>1</v>
      </c>
      <c r="L1703" s="52" t="s">
        <v>5817</v>
      </c>
      <c r="M1703" s="52" t="s">
        <v>38</v>
      </c>
    </row>
    <row r="1704" customFormat="false" ht="17.25" hidden="false" customHeight="true" outlineLevel="0" collapsed="false">
      <c r="A1704" s="52" t="s">
        <v>5777</v>
      </c>
      <c r="B1704" s="52" t="s">
        <v>5813</v>
      </c>
      <c r="C1704" s="53" t="n">
        <v>1660724</v>
      </c>
      <c r="D1704" s="52" t="s">
        <v>3705</v>
      </c>
      <c r="E1704" s="52" t="s">
        <v>3706</v>
      </c>
      <c r="F1704" s="54" t="n">
        <v>2</v>
      </c>
      <c r="G1704" s="55" t="n">
        <v>260</v>
      </c>
      <c r="H1704" s="55" t="n">
        <v>130</v>
      </c>
      <c r="I1704" s="55" t="n">
        <v>130</v>
      </c>
      <c r="J1704" s="52" t="s">
        <v>5816</v>
      </c>
      <c r="K1704" s="56" t="n">
        <v>1</v>
      </c>
      <c r="L1704" s="52" t="s">
        <v>5816</v>
      </c>
      <c r="M1704" s="52" t="s">
        <v>38</v>
      </c>
    </row>
    <row r="1705" customFormat="false" ht="17.25" hidden="false" customHeight="true" outlineLevel="0" collapsed="false">
      <c r="A1705" s="52" t="s">
        <v>5777</v>
      </c>
      <c r="B1705" s="52" t="s">
        <v>5813</v>
      </c>
      <c r="C1705" s="53" t="n">
        <v>1672553</v>
      </c>
      <c r="D1705" s="52" t="s">
        <v>3707</v>
      </c>
      <c r="E1705" s="52" t="s">
        <v>3708</v>
      </c>
      <c r="F1705" s="54" t="n">
        <v>1</v>
      </c>
      <c r="G1705" s="55" t="n">
        <v>258.89</v>
      </c>
      <c r="H1705" s="55" t="n">
        <v>258.89</v>
      </c>
      <c r="I1705" s="55" t="n">
        <v>258.89</v>
      </c>
      <c r="J1705" s="52" t="s">
        <v>5816</v>
      </c>
      <c r="K1705" s="56" t="n">
        <v>1</v>
      </c>
      <c r="L1705" s="52" t="s">
        <v>5816</v>
      </c>
      <c r="M1705" s="52" t="s">
        <v>66</v>
      </c>
    </row>
    <row r="1706" customFormat="false" ht="17.25" hidden="false" customHeight="true" outlineLevel="0" collapsed="false">
      <c r="A1706" s="52" t="s">
        <v>5777</v>
      </c>
      <c r="B1706" s="52" t="s">
        <v>5813</v>
      </c>
      <c r="C1706" s="53" t="n">
        <v>22869</v>
      </c>
      <c r="D1706" s="52" t="s">
        <v>3709</v>
      </c>
      <c r="E1706" s="52" t="s">
        <v>3710</v>
      </c>
      <c r="F1706" s="54" t="n">
        <v>25</v>
      </c>
      <c r="G1706" s="55" t="n">
        <v>258.85</v>
      </c>
      <c r="H1706" s="55" t="n">
        <v>10.354</v>
      </c>
      <c r="I1706" s="55" t="n">
        <v>7</v>
      </c>
      <c r="J1706" s="52" t="s">
        <v>5816</v>
      </c>
      <c r="K1706" s="56" t="n">
        <v>1</v>
      </c>
      <c r="L1706" s="52" t="s">
        <v>5816</v>
      </c>
      <c r="M1706" s="52" t="s">
        <v>1618</v>
      </c>
    </row>
    <row r="1707" customFormat="false" ht="17.25" hidden="false" customHeight="true" outlineLevel="0" collapsed="false">
      <c r="A1707" s="52" t="s">
        <v>5777</v>
      </c>
      <c r="B1707" s="52" t="s">
        <v>5813</v>
      </c>
      <c r="C1707" s="53" t="n">
        <v>1385083</v>
      </c>
      <c r="D1707" s="52" t="s">
        <v>3711</v>
      </c>
      <c r="E1707" s="52" t="s">
        <v>3712</v>
      </c>
      <c r="F1707" s="54" t="n">
        <v>11</v>
      </c>
      <c r="G1707" s="55" t="n">
        <v>258.62</v>
      </c>
      <c r="H1707" s="55" t="n">
        <v>23.5109</v>
      </c>
      <c r="I1707" s="55" t="n">
        <v>17.35</v>
      </c>
      <c r="J1707" s="52" t="s">
        <v>5816</v>
      </c>
      <c r="K1707" s="56" t="n">
        <v>1</v>
      </c>
      <c r="L1707" s="52" t="s">
        <v>5816</v>
      </c>
      <c r="M1707" s="52" t="s">
        <v>38</v>
      </c>
    </row>
    <row r="1708" customFormat="false" ht="17.25" hidden="false" customHeight="true" outlineLevel="0" collapsed="false">
      <c r="A1708" s="52" t="s">
        <v>5777</v>
      </c>
      <c r="B1708" s="52" t="s">
        <v>5813</v>
      </c>
      <c r="C1708" s="53" t="n">
        <v>34269</v>
      </c>
      <c r="D1708" s="52" t="s">
        <v>3713</v>
      </c>
      <c r="E1708" s="52" t="s">
        <v>3714</v>
      </c>
      <c r="F1708" s="54" t="n">
        <v>1</v>
      </c>
      <c r="G1708" s="55" t="n">
        <v>258</v>
      </c>
      <c r="H1708" s="55" t="n">
        <v>258</v>
      </c>
      <c r="I1708" s="55" t="n">
        <v>258</v>
      </c>
      <c r="J1708" s="52" t="s">
        <v>5816</v>
      </c>
      <c r="K1708" s="56" t="n">
        <v>1</v>
      </c>
      <c r="L1708" s="52" t="s">
        <v>5816</v>
      </c>
      <c r="M1708" s="52" t="s">
        <v>705</v>
      </c>
    </row>
    <row r="1709" customFormat="false" ht="17.25" hidden="false" customHeight="true" outlineLevel="0" collapsed="false">
      <c r="A1709" s="52" t="s">
        <v>5777</v>
      </c>
      <c r="B1709" s="52" t="s">
        <v>5813</v>
      </c>
      <c r="C1709" s="53" t="n">
        <v>65509</v>
      </c>
      <c r="D1709" s="52" t="s">
        <v>3715</v>
      </c>
      <c r="E1709" s="52" t="s">
        <v>3716</v>
      </c>
      <c r="F1709" s="54" t="n">
        <v>1</v>
      </c>
      <c r="G1709" s="55" t="n">
        <v>258</v>
      </c>
      <c r="H1709" s="55" t="n">
        <v>258</v>
      </c>
      <c r="I1709" s="55" t="n">
        <v>258</v>
      </c>
      <c r="J1709" s="52" t="s">
        <v>5889</v>
      </c>
      <c r="K1709" s="56" t="n">
        <v>3.6</v>
      </c>
      <c r="L1709" s="52" t="s">
        <v>5823</v>
      </c>
      <c r="M1709" s="52" t="s">
        <v>705</v>
      </c>
    </row>
    <row r="1710" customFormat="false" ht="17.25" hidden="false" customHeight="true" outlineLevel="0" collapsed="false">
      <c r="A1710" s="52" t="s">
        <v>5777</v>
      </c>
      <c r="B1710" s="52" t="s">
        <v>5813</v>
      </c>
      <c r="C1710" s="53" t="n">
        <v>1385081</v>
      </c>
      <c r="D1710" s="52" t="s">
        <v>3717</v>
      </c>
      <c r="E1710" s="52" t="s">
        <v>3718</v>
      </c>
      <c r="F1710" s="54" t="n">
        <v>27</v>
      </c>
      <c r="G1710" s="55" t="n">
        <v>257.76</v>
      </c>
      <c r="H1710" s="55" t="n">
        <v>9.5467</v>
      </c>
      <c r="I1710" s="55" t="n">
        <v>7.68</v>
      </c>
      <c r="J1710" s="52" t="s">
        <v>5816</v>
      </c>
      <c r="K1710" s="56" t="n">
        <v>1</v>
      </c>
      <c r="L1710" s="52" t="s">
        <v>5816</v>
      </c>
      <c r="M1710" s="52" t="s">
        <v>38</v>
      </c>
    </row>
    <row r="1711" customFormat="false" ht="17.25" hidden="false" customHeight="true" outlineLevel="0" collapsed="false">
      <c r="A1711" s="52" t="s">
        <v>5777</v>
      </c>
      <c r="B1711" s="52" t="s">
        <v>5813</v>
      </c>
      <c r="C1711" s="53" t="n">
        <v>937215</v>
      </c>
      <c r="D1711" s="52" t="s">
        <v>3719</v>
      </c>
      <c r="E1711" s="52" t="s">
        <v>3720</v>
      </c>
      <c r="F1711" s="54" t="n">
        <v>300</v>
      </c>
      <c r="G1711" s="55" t="n">
        <v>257.5</v>
      </c>
      <c r="H1711" s="55" t="n">
        <v>0.8583</v>
      </c>
      <c r="I1711" s="55" t="n">
        <v>0.5</v>
      </c>
      <c r="J1711" s="52" t="s">
        <v>5816</v>
      </c>
      <c r="K1711" s="56" t="n">
        <v>1</v>
      </c>
      <c r="L1711" s="52" t="s">
        <v>5816</v>
      </c>
      <c r="M1711" s="52" t="s">
        <v>38</v>
      </c>
    </row>
    <row r="1712" customFormat="false" ht="17.25" hidden="false" customHeight="true" outlineLevel="0" collapsed="false">
      <c r="A1712" s="52" t="s">
        <v>5777</v>
      </c>
      <c r="B1712" s="52" t="s">
        <v>5813</v>
      </c>
      <c r="C1712" s="53" t="n">
        <v>1659748</v>
      </c>
      <c r="D1712" s="52" t="s">
        <v>3721</v>
      </c>
      <c r="E1712" s="52" t="s">
        <v>3722</v>
      </c>
      <c r="F1712" s="54" t="n">
        <v>99</v>
      </c>
      <c r="G1712" s="55" t="n">
        <v>257.1</v>
      </c>
      <c r="H1712" s="55" t="n">
        <v>2.597</v>
      </c>
      <c r="I1712" s="55" t="n">
        <v>1.9</v>
      </c>
      <c r="J1712" s="52" t="s">
        <v>5816</v>
      </c>
      <c r="K1712" s="56" t="n">
        <v>1</v>
      </c>
      <c r="L1712" s="52" t="s">
        <v>5816</v>
      </c>
      <c r="M1712" s="52" t="s">
        <v>100</v>
      </c>
    </row>
    <row r="1713" customFormat="false" ht="17.25" hidden="false" customHeight="true" outlineLevel="0" collapsed="false">
      <c r="A1713" s="52" t="s">
        <v>5777</v>
      </c>
      <c r="B1713" s="52" t="s">
        <v>5813</v>
      </c>
      <c r="C1713" s="53" t="n">
        <v>1330401</v>
      </c>
      <c r="D1713" s="52" t="s">
        <v>3723</v>
      </c>
      <c r="E1713" s="52" t="s">
        <v>3724</v>
      </c>
      <c r="F1713" s="54" t="n">
        <v>125</v>
      </c>
      <c r="G1713" s="55" t="n">
        <v>256.25</v>
      </c>
      <c r="H1713" s="55" t="n">
        <v>2.05</v>
      </c>
      <c r="I1713" s="55" t="n">
        <v>2.05</v>
      </c>
      <c r="J1713" s="52" t="s">
        <v>5816</v>
      </c>
      <c r="K1713" s="56" t="n">
        <v>1</v>
      </c>
      <c r="L1713" s="52" t="s">
        <v>5816</v>
      </c>
      <c r="M1713" s="52" t="s">
        <v>54</v>
      </c>
    </row>
    <row r="1714" customFormat="false" ht="17.25" hidden="false" customHeight="true" outlineLevel="0" collapsed="false">
      <c r="A1714" s="52" t="s">
        <v>5777</v>
      </c>
      <c r="B1714" s="52" t="s">
        <v>5813</v>
      </c>
      <c r="C1714" s="53" t="n">
        <v>283518</v>
      </c>
      <c r="D1714" s="52" t="s">
        <v>3725</v>
      </c>
      <c r="E1714" s="52" t="s">
        <v>3726</v>
      </c>
      <c r="F1714" s="54" t="n">
        <v>2</v>
      </c>
      <c r="G1714" s="55" t="n">
        <v>256</v>
      </c>
      <c r="H1714" s="55" t="n">
        <v>128</v>
      </c>
      <c r="I1714" s="55" t="n">
        <v>128</v>
      </c>
      <c r="J1714" s="52" t="s">
        <v>5816</v>
      </c>
      <c r="K1714" s="56" t="n">
        <v>1</v>
      </c>
      <c r="L1714" s="52" t="s">
        <v>5816</v>
      </c>
      <c r="M1714" s="52" t="s">
        <v>54</v>
      </c>
    </row>
    <row r="1715" customFormat="false" ht="17.25" hidden="false" customHeight="true" outlineLevel="0" collapsed="false">
      <c r="A1715" s="52" t="s">
        <v>5777</v>
      </c>
      <c r="B1715" s="52" t="s">
        <v>5813</v>
      </c>
      <c r="C1715" s="53" t="n">
        <v>1614271</v>
      </c>
      <c r="D1715" s="52" t="s">
        <v>3727</v>
      </c>
      <c r="E1715" s="52" t="s">
        <v>3728</v>
      </c>
      <c r="F1715" s="54" t="n">
        <v>15</v>
      </c>
      <c r="G1715" s="55" t="n">
        <v>255.9</v>
      </c>
      <c r="H1715" s="55" t="n">
        <v>17.06</v>
      </c>
      <c r="I1715" s="55" t="n">
        <v>17.06</v>
      </c>
      <c r="J1715" s="52" t="s">
        <v>5816</v>
      </c>
      <c r="K1715" s="56" t="n">
        <v>1</v>
      </c>
      <c r="L1715" s="52" t="s">
        <v>5816</v>
      </c>
      <c r="M1715" s="52" t="s">
        <v>38</v>
      </c>
    </row>
    <row r="1716" customFormat="false" ht="17.25" hidden="false" customHeight="true" outlineLevel="0" collapsed="false">
      <c r="A1716" s="52" t="s">
        <v>5777</v>
      </c>
      <c r="B1716" s="52" t="s">
        <v>5813</v>
      </c>
      <c r="C1716" s="53" t="n">
        <v>1103129</v>
      </c>
      <c r="D1716" s="52" t="s">
        <v>3729</v>
      </c>
      <c r="E1716" s="52" t="s">
        <v>3730</v>
      </c>
      <c r="F1716" s="54" t="n">
        <v>1</v>
      </c>
      <c r="G1716" s="55" t="n">
        <v>255.55</v>
      </c>
      <c r="H1716" s="55" t="n">
        <v>255.55</v>
      </c>
      <c r="I1716" s="55" t="n">
        <v>255.55</v>
      </c>
      <c r="J1716" s="52" t="s">
        <v>5816</v>
      </c>
      <c r="K1716" s="56" t="n">
        <v>1</v>
      </c>
      <c r="L1716" s="52" t="s">
        <v>5816</v>
      </c>
      <c r="M1716" s="52" t="s">
        <v>113</v>
      </c>
    </row>
    <row r="1717" customFormat="false" ht="17.25" hidden="false" customHeight="true" outlineLevel="0" collapsed="false">
      <c r="A1717" s="52" t="s">
        <v>5777</v>
      </c>
      <c r="B1717" s="52" t="s">
        <v>5813</v>
      </c>
      <c r="C1717" s="53" t="n">
        <v>1388044</v>
      </c>
      <c r="D1717" s="52" t="s">
        <v>3731</v>
      </c>
      <c r="E1717" s="52" t="s">
        <v>3732</v>
      </c>
      <c r="F1717" s="54" t="n">
        <v>45</v>
      </c>
      <c r="G1717" s="55" t="n">
        <v>254.67</v>
      </c>
      <c r="H1717" s="55" t="n">
        <v>5.6593</v>
      </c>
      <c r="I1717" s="55" t="n">
        <v>17.9</v>
      </c>
      <c r="J1717" s="52" t="s">
        <v>5816</v>
      </c>
      <c r="K1717" s="56" t="n">
        <v>1</v>
      </c>
      <c r="L1717" s="52" t="s">
        <v>5816</v>
      </c>
      <c r="M1717" s="52" t="s">
        <v>38</v>
      </c>
    </row>
    <row r="1718" customFormat="false" ht="17.25" hidden="false" customHeight="true" outlineLevel="0" collapsed="false">
      <c r="A1718" s="52" t="s">
        <v>5777</v>
      </c>
      <c r="B1718" s="52" t="s">
        <v>5813</v>
      </c>
      <c r="C1718" s="53" t="n">
        <v>12558</v>
      </c>
      <c r="D1718" s="52" t="s">
        <v>3733</v>
      </c>
      <c r="E1718" s="52" t="s">
        <v>3734</v>
      </c>
      <c r="F1718" s="54" t="n">
        <v>2</v>
      </c>
      <c r="G1718" s="55" t="n">
        <v>254</v>
      </c>
      <c r="H1718" s="55" t="n">
        <v>127</v>
      </c>
      <c r="I1718" s="55" t="n">
        <v>127</v>
      </c>
      <c r="J1718" s="52" t="s">
        <v>5814</v>
      </c>
      <c r="K1718" s="56" t="n">
        <v>1</v>
      </c>
      <c r="L1718" s="52" t="s">
        <v>5814</v>
      </c>
      <c r="M1718" s="52" t="s">
        <v>38</v>
      </c>
    </row>
    <row r="1719" customFormat="false" ht="17.25" hidden="false" customHeight="true" outlineLevel="0" collapsed="false">
      <c r="A1719" s="52" t="s">
        <v>5777</v>
      </c>
      <c r="B1719" s="52" t="s">
        <v>5813</v>
      </c>
      <c r="C1719" s="53" t="n">
        <v>876002</v>
      </c>
      <c r="D1719" s="52" t="s">
        <v>3735</v>
      </c>
      <c r="E1719" s="52" t="s">
        <v>3736</v>
      </c>
      <c r="F1719" s="54" t="n">
        <v>5</v>
      </c>
      <c r="G1719" s="55" t="n">
        <v>253.7</v>
      </c>
      <c r="H1719" s="55" t="n">
        <v>50.74</v>
      </c>
      <c r="I1719" s="55" t="n">
        <v>50.74</v>
      </c>
      <c r="J1719" s="52" t="s">
        <v>5816</v>
      </c>
      <c r="K1719" s="56" t="n">
        <v>1</v>
      </c>
      <c r="L1719" s="52" t="s">
        <v>5816</v>
      </c>
      <c r="M1719" s="52" t="s">
        <v>38</v>
      </c>
    </row>
    <row r="1720" customFormat="false" ht="17.25" hidden="false" customHeight="true" outlineLevel="0" collapsed="false">
      <c r="A1720" s="52" t="s">
        <v>5777</v>
      </c>
      <c r="B1720" s="52" t="s">
        <v>5813</v>
      </c>
      <c r="C1720" s="53" t="n">
        <v>934087</v>
      </c>
      <c r="D1720" s="52" t="s">
        <v>3737</v>
      </c>
      <c r="E1720" s="52" t="s">
        <v>3738</v>
      </c>
      <c r="F1720" s="54" t="n">
        <v>10</v>
      </c>
      <c r="G1720" s="55" t="n">
        <v>252.8</v>
      </c>
      <c r="H1720" s="55" t="n">
        <v>25.28</v>
      </c>
      <c r="I1720" s="55" t="n">
        <v>25.28</v>
      </c>
      <c r="J1720" s="52" t="s">
        <v>5816</v>
      </c>
      <c r="K1720" s="56" t="n">
        <v>1</v>
      </c>
      <c r="L1720" s="52" t="s">
        <v>5816</v>
      </c>
      <c r="M1720" s="52" t="s">
        <v>605</v>
      </c>
    </row>
    <row r="1721" customFormat="false" ht="17.25" hidden="false" customHeight="true" outlineLevel="0" collapsed="false">
      <c r="A1721" s="52" t="s">
        <v>5777</v>
      </c>
      <c r="B1721" s="52" t="s">
        <v>5813</v>
      </c>
      <c r="C1721" s="53" t="n">
        <v>19497</v>
      </c>
      <c r="D1721" s="52" t="s">
        <v>3739</v>
      </c>
      <c r="E1721" s="52" t="s">
        <v>3740</v>
      </c>
      <c r="F1721" s="54" t="n">
        <v>2</v>
      </c>
      <c r="G1721" s="55" t="n">
        <v>252</v>
      </c>
      <c r="H1721" s="55" t="n">
        <v>126</v>
      </c>
      <c r="I1721" s="55" t="n">
        <v>126</v>
      </c>
      <c r="J1721" s="52" t="s">
        <v>5816</v>
      </c>
      <c r="K1721" s="56" t="n">
        <v>1</v>
      </c>
      <c r="L1721" s="52" t="s">
        <v>5816</v>
      </c>
      <c r="M1721" s="52" t="s">
        <v>1095</v>
      </c>
    </row>
    <row r="1722" customFormat="false" ht="17.25" hidden="false" customHeight="true" outlineLevel="0" collapsed="false">
      <c r="A1722" s="52" t="s">
        <v>5777</v>
      </c>
      <c r="B1722" s="52" t="s">
        <v>5813</v>
      </c>
      <c r="C1722" s="53" t="n">
        <v>1482109</v>
      </c>
      <c r="D1722" s="52" t="s">
        <v>3741</v>
      </c>
      <c r="E1722" s="52" t="s">
        <v>3742</v>
      </c>
      <c r="F1722" s="54" t="n">
        <v>2</v>
      </c>
      <c r="G1722" s="55" t="n">
        <v>250.96</v>
      </c>
      <c r="H1722" s="55" t="n">
        <v>125.48</v>
      </c>
      <c r="I1722" s="55" t="n">
        <v>125.48</v>
      </c>
      <c r="J1722" s="52" t="s">
        <v>5816</v>
      </c>
      <c r="K1722" s="56" t="n">
        <v>1</v>
      </c>
      <c r="L1722" s="52" t="s">
        <v>5816</v>
      </c>
      <c r="M1722" s="52" t="s">
        <v>38</v>
      </c>
    </row>
    <row r="1723" customFormat="false" ht="17.25" hidden="false" customHeight="true" outlineLevel="0" collapsed="false">
      <c r="A1723" s="52" t="s">
        <v>5777</v>
      </c>
      <c r="B1723" s="52" t="s">
        <v>5813</v>
      </c>
      <c r="C1723" s="53" t="n">
        <v>145062</v>
      </c>
      <c r="D1723" s="52" t="s">
        <v>3743</v>
      </c>
      <c r="E1723" s="52" t="s">
        <v>3744</v>
      </c>
      <c r="F1723" s="54" t="n">
        <v>2</v>
      </c>
      <c r="G1723" s="55" t="n">
        <v>250.36</v>
      </c>
      <c r="H1723" s="55" t="n">
        <v>125.18</v>
      </c>
      <c r="I1723" s="55" t="n">
        <v>125.18</v>
      </c>
      <c r="J1723" s="52" t="s">
        <v>5816</v>
      </c>
      <c r="K1723" s="56" t="n">
        <v>1</v>
      </c>
      <c r="L1723" s="52" t="s">
        <v>5816</v>
      </c>
      <c r="M1723" s="52" t="s">
        <v>457</v>
      </c>
    </row>
    <row r="1724" customFormat="false" ht="17.25" hidden="false" customHeight="true" outlineLevel="0" collapsed="false">
      <c r="A1724" s="52" t="s">
        <v>5777</v>
      </c>
      <c r="B1724" s="52" t="s">
        <v>5813</v>
      </c>
      <c r="C1724" s="53" t="n">
        <v>876699</v>
      </c>
      <c r="D1724" s="52" t="s">
        <v>3745</v>
      </c>
      <c r="E1724" s="52" t="s">
        <v>5941</v>
      </c>
      <c r="F1724" s="54" t="n">
        <v>1</v>
      </c>
      <c r="G1724" s="55" t="n">
        <v>250</v>
      </c>
      <c r="H1724" s="55" t="n">
        <v>250</v>
      </c>
      <c r="I1724" s="55" t="n">
        <v>250</v>
      </c>
      <c r="J1724" s="52" t="s">
        <v>5816</v>
      </c>
      <c r="K1724" s="56" t="n">
        <v>1</v>
      </c>
      <c r="L1724" s="52" t="s">
        <v>5816</v>
      </c>
      <c r="M1724" s="52" t="s">
        <v>75</v>
      </c>
    </row>
    <row r="1725" customFormat="false" ht="17.25" hidden="false" customHeight="true" outlineLevel="0" collapsed="false">
      <c r="A1725" s="52" t="s">
        <v>5777</v>
      </c>
      <c r="B1725" s="52" t="s">
        <v>5813</v>
      </c>
      <c r="C1725" s="53" t="n">
        <v>1255459</v>
      </c>
      <c r="D1725" s="52" t="s">
        <v>3747</v>
      </c>
      <c r="E1725" s="52" t="s">
        <v>3748</v>
      </c>
      <c r="F1725" s="54" t="n">
        <v>1</v>
      </c>
      <c r="G1725" s="55" t="n">
        <v>250</v>
      </c>
      <c r="H1725" s="55" t="n">
        <v>250</v>
      </c>
      <c r="I1725" s="55" t="n">
        <v>250</v>
      </c>
      <c r="J1725" s="52" t="s">
        <v>5816</v>
      </c>
      <c r="K1725" s="56" t="n">
        <v>1</v>
      </c>
      <c r="L1725" s="52" t="s">
        <v>5816</v>
      </c>
      <c r="M1725" s="52" t="s">
        <v>334</v>
      </c>
    </row>
    <row r="1726" customFormat="false" ht="17.25" hidden="false" customHeight="true" outlineLevel="0" collapsed="false">
      <c r="A1726" s="52" t="s">
        <v>5777</v>
      </c>
      <c r="B1726" s="52" t="s">
        <v>5813</v>
      </c>
      <c r="C1726" s="53" t="n">
        <v>1169953</v>
      </c>
      <c r="D1726" s="52" t="s">
        <v>3749</v>
      </c>
      <c r="E1726" s="52" t="s">
        <v>3750</v>
      </c>
      <c r="F1726" s="54" t="n">
        <v>2</v>
      </c>
      <c r="G1726" s="55" t="n">
        <v>249.9</v>
      </c>
      <c r="H1726" s="55" t="n">
        <v>124.95</v>
      </c>
      <c r="I1726" s="55" t="n">
        <v>124.95</v>
      </c>
      <c r="J1726" s="52" t="s">
        <v>5816</v>
      </c>
      <c r="K1726" s="56" t="n">
        <v>1</v>
      </c>
      <c r="L1726" s="52" t="s">
        <v>5816</v>
      </c>
      <c r="M1726" s="52" t="s">
        <v>54</v>
      </c>
    </row>
    <row r="1727" customFormat="false" ht="17.25" hidden="false" customHeight="true" outlineLevel="0" collapsed="false">
      <c r="A1727" s="52" t="s">
        <v>5777</v>
      </c>
      <c r="B1727" s="52" t="s">
        <v>5813</v>
      </c>
      <c r="C1727" s="53" t="n">
        <v>950847</v>
      </c>
      <c r="D1727" s="52" t="s">
        <v>3751</v>
      </c>
      <c r="E1727" s="52" t="s">
        <v>3752</v>
      </c>
      <c r="F1727" s="54" t="n">
        <v>10</v>
      </c>
      <c r="G1727" s="55" t="n">
        <v>249.8</v>
      </c>
      <c r="H1727" s="55" t="n">
        <v>24.98</v>
      </c>
      <c r="I1727" s="55" t="n">
        <v>24.98</v>
      </c>
      <c r="J1727" s="52" t="s">
        <v>5816</v>
      </c>
      <c r="K1727" s="56" t="n">
        <v>1</v>
      </c>
      <c r="L1727" s="52" t="s">
        <v>5816</v>
      </c>
      <c r="M1727" s="52" t="s">
        <v>100</v>
      </c>
    </row>
    <row r="1728" customFormat="false" ht="17.25" hidden="false" customHeight="true" outlineLevel="0" collapsed="false">
      <c r="A1728" s="52" t="s">
        <v>5777</v>
      </c>
      <c r="B1728" s="52" t="s">
        <v>5813</v>
      </c>
      <c r="C1728" s="53" t="n">
        <v>66428</v>
      </c>
      <c r="D1728" s="52" t="s">
        <v>3755</v>
      </c>
      <c r="E1728" s="52" t="s">
        <v>3756</v>
      </c>
      <c r="F1728" s="54" t="n">
        <v>4</v>
      </c>
      <c r="G1728" s="55" t="n">
        <v>249.12</v>
      </c>
      <c r="H1728" s="55" t="n">
        <v>62.28</v>
      </c>
      <c r="I1728" s="55" t="n">
        <v>62.28</v>
      </c>
      <c r="J1728" s="52" t="s">
        <v>5816</v>
      </c>
      <c r="K1728" s="56" t="n">
        <v>1</v>
      </c>
      <c r="L1728" s="52" t="s">
        <v>5816</v>
      </c>
      <c r="M1728" s="52" t="s">
        <v>563</v>
      </c>
    </row>
    <row r="1729" customFormat="false" ht="17.25" hidden="false" customHeight="true" outlineLevel="0" collapsed="false">
      <c r="A1729" s="52" t="s">
        <v>5777</v>
      </c>
      <c r="B1729" s="52" t="s">
        <v>5813</v>
      </c>
      <c r="C1729" s="53" t="n">
        <v>18861</v>
      </c>
      <c r="D1729" s="52" t="s">
        <v>3757</v>
      </c>
      <c r="E1729" s="52" t="s">
        <v>3758</v>
      </c>
      <c r="F1729" s="54" t="n">
        <v>1</v>
      </c>
      <c r="G1729" s="55" t="n">
        <v>248</v>
      </c>
      <c r="H1729" s="55" t="n">
        <v>248</v>
      </c>
      <c r="I1729" s="55" t="n">
        <v>248</v>
      </c>
      <c r="J1729" s="52" t="s">
        <v>5816</v>
      </c>
      <c r="K1729" s="56" t="n">
        <v>1</v>
      </c>
      <c r="L1729" s="52" t="s">
        <v>5816</v>
      </c>
      <c r="M1729" s="52" t="s">
        <v>247</v>
      </c>
    </row>
    <row r="1730" customFormat="false" ht="17.25" hidden="false" customHeight="true" outlineLevel="0" collapsed="false">
      <c r="A1730" s="52" t="s">
        <v>5777</v>
      </c>
      <c r="B1730" s="52" t="s">
        <v>5813</v>
      </c>
      <c r="C1730" s="53" t="n">
        <v>32466</v>
      </c>
      <c r="D1730" s="52" t="s">
        <v>3759</v>
      </c>
      <c r="E1730" s="52" t="s">
        <v>3760</v>
      </c>
      <c r="F1730" s="54" t="n">
        <v>20</v>
      </c>
      <c r="G1730" s="55" t="n">
        <v>247</v>
      </c>
      <c r="H1730" s="55" t="n">
        <v>12.35</v>
      </c>
      <c r="I1730" s="55" t="n">
        <v>12.35</v>
      </c>
      <c r="J1730" s="52" t="s">
        <v>5850</v>
      </c>
      <c r="K1730" s="56" t="n">
        <v>3</v>
      </c>
      <c r="L1730" s="52" t="s">
        <v>5814</v>
      </c>
      <c r="M1730" s="52" t="s">
        <v>38</v>
      </c>
    </row>
    <row r="1731" customFormat="false" ht="17.25" hidden="false" customHeight="true" outlineLevel="0" collapsed="false">
      <c r="A1731" s="52" t="s">
        <v>5777</v>
      </c>
      <c r="B1731" s="52" t="s">
        <v>5813</v>
      </c>
      <c r="C1731" s="53" t="n">
        <v>556842</v>
      </c>
      <c r="D1731" s="52" t="s">
        <v>3761</v>
      </c>
      <c r="E1731" s="52" t="s">
        <v>3762</v>
      </c>
      <c r="F1731" s="54" t="n">
        <v>2</v>
      </c>
      <c r="G1731" s="55" t="n">
        <v>246</v>
      </c>
      <c r="H1731" s="55" t="n">
        <v>123</v>
      </c>
      <c r="I1731" s="55" t="n">
        <v>68</v>
      </c>
      <c r="J1731" s="52" t="s">
        <v>5816</v>
      </c>
      <c r="K1731" s="56" t="n">
        <v>1</v>
      </c>
      <c r="L1731" s="52" t="s">
        <v>5816</v>
      </c>
      <c r="M1731" s="52" t="s">
        <v>130</v>
      </c>
    </row>
    <row r="1732" customFormat="false" ht="17.25" hidden="false" customHeight="true" outlineLevel="0" collapsed="false">
      <c r="A1732" s="52" t="s">
        <v>5777</v>
      </c>
      <c r="B1732" s="52" t="s">
        <v>5813</v>
      </c>
      <c r="C1732" s="53" t="n">
        <v>555239</v>
      </c>
      <c r="D1732" s="52" t="s">
        <v>3763</v>
      </c>
      <c r="E1732" s="52" t="s">
        <v>3764</v>
      </c>
      <c r="F1732" s="54" t="n">
        <v>6</v>
      </c>
      <c r="G1732" s="55" t="n">
        <v>245.7</v>
      </c>
      <c r="H1732" s="55" t="n">
        <v>40.95</v>
      </c>
      <c r="I1732" s="55" t="n">
        <v>40.95</v>
      </c>
      <c r="J1732" s="52" t="s">
        <v>5816</v>
      </c>
      <c r="K1732" s="56" t="n">
        <v>1</v>
      </c>
      <c r="L1732" s="52" t="s">
        <v>5816</v>
      </c>
      <c r="M1732" s="52" t="s">
        <v>130</v>
      </c>
    </row>
    <row r="1733" customFormat="false" ht="17.25" hidden="false" customHeight="true" outlineLevel="0" collapsed="false">
      <c r="A1733" s="52" t="s">
        <v>5777</v>
      </c>
      <c r="B1733" s="52" t="s">
        <v>5813</v>
      </c>
      <c r="C1733" s="53" t="n">
        <v>275528</v>
      </c>
      <c r="D1733" s="52" t="s">
        <v>3765</v>
      </c>
      <c r="E1733" s="52" t="s">
        <v>3766</v>
      </c>
      <c r="F1733" s="54" t="n">
        <v>7</v>
      </c>
      <c r="G1733" s="55" t="n">
        <v>245.63</v>
      </c>
      <c r="H1733" s="55" t="n">
        <v>35.09</v>
      </c>
      <c r="I1733" s="55" t="n">
        <v>35.09</v>
      </c>
      <c r="J1733" s="52" t="s">
        <v>5814</v>
      </c>
      <c r="K1733" s="56" t="n">
        <v>1</v>
      </c>
      <c r="L1733" s="52" t="s">
        <v>5814</v>
      </c>
      <c r="M1733" s="52" t="s">
        <v>38</v>
      </c>
    </row>
    <row r="1734" customFormat="false" ht="17.25" hidden="false" customHeight="true" outlineLevel="0" collapsed="false">
      <c r="A1734" s="52" t="s">
        <v>5777</v>
      </c>
      <c r="B1734" s="52" t="s">
        <v>5813</v>
      </c>
      <c r="C1734" s="53" t="n">
        <v>17939</v>
      </c>
      <c r="D1734" s="52" t="s">
        <v>3767</v>
      </c>
      <c r="E1734" s="52" t="s">
        <v>3768</v>
      </c>
      <c r="F1734" s="54" t="n">
        <v>5</v>
      </c>
      <c r="G1734" s="55" t="n">
        <v>245.32</v>
      </c>
      <c r="H1734" s="55" t="n">
        <v>49.064</v>
      </c>
      <c r="I1734" s="55" t="n">
        <v>58.18</v>
      </c>
      <c r="J1734" s="52" t="s">
        <v>5816</v>
      </c>
      <c r="K1734" s="56" t="n">
        <v>1</v>
      </c>
      <c r="L1734" s="52" t="s">
        <v>5816</v>
      </c>
      <c r="M1734" s="52" t="s">
        <v>130</v>
      </c>
    </row>
    <row r="1735" customFormat="false" ht="17.25" hidden="false" customHeight="true" outlineLevel="0" collapsed="false">
      <c r="A1735" s="52" t="s">
        <v>5777</v>
      </c>
      <c r="B1735" s="52" t="s">
        <v>5813</v>
      </c>
      <c r="C1735" s="53" t="n">
        <v>1465306</v>
      </c>
      <c r="D1735" s="52" t="s">
        <v>3769</v>
      </c>
      <c r="E1735" s="52" t="s">
        <v>3770</v>
      </c>
      <c r="F1735" s="54" t="n">
        <v>192</v>
      </c>
      <c r="G1735" s="55" t="n">
        <v>245.16</v>
      </c>
      <c r="H1735" s="55" t="n">
        <v>1.2769</v>
      </c>
      <c r="I1735" s="55" t="n">
        <v>1.2</v>
      </c>
      <c r="J1735" s="52" t="s">
        <v>5816</v>
      </c>
      <c r="K1735" s="56" t="n">
        <v>1</v>
      </c>
      <c r="L1735" s="52" t="s">
        <v>5816</v>
      </c>
      <c r="M1735" s="52" t="s">
        <v>100</v>
      </c>
    </row>
    <row r="1736" customFormat="false" ht="17.25" hidden="false" customHeight="true" outlineLevel="0" collapsed="false">
      <c r="A1736" s="52" t="s">
        <v>5777</v>
      </c>
      <c r="B1736" s="52" t="s">
        <v>5813</v>
      </c>
      <c r="C1736" s="53" t="n">
        <v>1385308</v>
      </c>
      <c r="D1736" s="52" t="s">
        <v>3771</v>
      </c>
      <c r="E1736" s="52" t="s">
        <v>3772</v>
      </c>
      <c r="F1736" s="54" t="n">
        <v>23</v>
      </c>
      <c r="G1736" s="55" t="n">
        <v>244.95</v>
      </c>
      <c r="H1736" s="55" t="n">
        <v>10.65</v>
      </c>
      <c r="I1736" s="55" t="n">
        <v>10.65</v>
      </c>
      <c r="J1736" s="52" t="s">
        <v>5816</v>
      </c>
      <c r="K1736" s="56" t="n">
        <v>1</v>
      </c>
      <c r="L1736" s="52" t="s">
        <v>5816</v>
      </c>
      <c r="M1736" s="52" t="s">
        <v>38</v>
      </c>
    </row>
    <row r="1737" customFormat="false" ht="17.25" hidden="false" customHeight="true" outlineLevel="0" collapsed="false">
      <c r="A1737" s="52" t="s">
        <v>5777</v>
      </c>
      <c r="B1737" s="52" t="s">
        <v>5813</v>
      </c>
      <c r="C1737" s="53" t="n">
        <v>18014</v>
      </c>
      <c r="D1737" s="52" t="s">
        <v>3773</v>
      </c>
      <c r="E1737" s="52" t="s">
        <v>3774</v>
      </c>
      <c r="F1737" s="54" t="n">
        <v>5</v>
      </c>
      <c r="G1737" s="55" t="n">
        <v>243.5</v>
      </c>
      <c r="H1737" s="55" t="n">
        <v>48.7</v>
      </c>
      <c r="I1737" s="55" t="n">
        <v>48.7</v>
      </c>
      <c r="J1737" s="52" t="s">
        <v>5816</v>
      </c>
      <c r="K1737" s="56" t="n">
        <v>1</v>
      </c>
      <c r="L1737" s="52" t="s">
        <v>5816</v>
      </c>
      <c r="M1737" s="52" t="s">
        <v>130</v>
      </c>
    </row>
    <row r="1738" customFormat="false" ht="17.25" hidden="false" customHeight="true" outlineLevel="0" collapsed="false">
      <c r="A1738" s="52" t="s">
        <v>5777</v>
      </c>
      <c r="B1738" s="52" t="s">
        <v>5813</v>
      </c>
      <c r="C1738" s="53" t="n">
        <v>1672552</v>
      </c>
      <c r="D1738" s="52" t="s">
        <v>3775</v>
      </c>
      <c r="E1738" s="52" t="s">
        <v>3776</v>
      </c>
      <c r="F1738" s="54" t="n">
        <v>1</v>
      </c>
      <c r="G1738" s="55" t="n">
        <v>241.27</v>
      </c>
      <c r="H1738" s="55" t="n">
        <v>241.27</v>
      </c>
      <c r="I1738" s="55" t="n">
        <v>241.27</v>
      </c>
      <c r="J1738" s="52" t="s">
        <v>5816</v>
      </c>
      <c r="K1738" s="56" t="n">
        <v>1</v>
      </c>
      <c r="L1738" s="52" t="s">
        <v>5816</v>
      </c>
      <c r="M1738" s="52" t="s">
        <v>66</v>
      </c>
    </row>
    <row r="1739" customFormat="false" ht="17.25" hidden="false" customHeight="true" outlineLevel="0" collapsed="false">
      <c r="A1739" s="52" t="s">
        <v>5777</v>
      </c>
      <c r="B1739" s="52" t="s">
        <v>5813</v>
      </c>
      <c r="C1739" s="53" t="n">
        <v>390195</v>
      </c>
      <c r="D1739" s="52" t="s">
        <v>3777</v>
      </c>
      <c r="E1739" s="52" t="s">
        <v>3778</v>
      </c>
      <c r="F1739" s="54" t="n">
        <v>2</v>
      </c>
      <c r="G1739" s="55" t="n">
        <v>240</v>
      </c>
      <c r="H1739" s="55" t="n">
        <v>120</v>
      </c>
      <c r="I1739" s="55" t="n">
        <v>120</v>
      </c>
      <c r="J1739" s="52" t="s">
        <v>5816</v>
      </c>
      <c r="K1739" s="56" t="n">
        <v>1</v>
      </c>
      <c r="L1739" s="52" t="s">
        <v>5816</v>
      </c>
      <c r="M1739" s="52" t="s">
        <v>189</v>
      </c>
    </row>
    <row r="1740" customFormat="false" ht="17.25" hidden="false" customHeight="true" outlineLevel="0" collapsed="false">
      <c r="A1740" s="52" t="s">
        <v>5777</v>
      </c>
      <c r="B1740" s="52" t="s">
        <v>5813</v>
      </c>
      <c r="C1740" s="53" t="n">
        <v>852412</v>
      </c>
      <c r="D1740" s="52" t="s">
        <v>3779</v>
      </c>
      <c r="E1740" s="52" t="s">
        <v>3780</v>
      </c>
      <c r="F1740" s="54" t="n">
        <v>2</v>
      </c>
      <c r="G1740" s="55" t="n">
        <v>240</v>
      </c>
      <c r="H1740" s="55" t="n">
        <v>120</v>
      </c>
      <c r="I1740" s="55" t="n">
        <v>120</v>
      </c>
      <c r="J1740" s="52" t="s">
        <v>5816</v>
      </c>
      <c r="K1740" s="56" t="n">
        <v>1</v>
      </c>
      <c r="L1740" s="52" t="s">
        <v>5816</v>
      </c>
      <c r="M1740" s="52" t="s">
        <v>100</v>
      </c>
    </row>
    <row r="1741" customFormat="false" ht="17.25" hidden="false" customHeight="true" outlineLevel="0" collapsed="false">
      <c r="A1741" s="52" t="s">
        <v>5777</v>
      </c>
      <c r="B1741" s="52" t="s">
        <v>5813</v>
      </c>
      <c r="C1741" s="53" t="n">
        <v>856730</v>
      </c>
      <c r="D1741" s="52" t="s">
        <v>3781</v>
      </c>
      <c r="E1741" s="52" t="s">
        <v>3782</v>
      </c>
      <c r="F1741" s="54" t="n">
        <v>4</v>
      </c>
      <c r="G1741" s="55" t="n">
        <v>240</v>
      </c>
      <c r="H1741" s="55" t="n">
        <v>60</v>
      </c>
      <c r="I1741" s="55" t="n">
        <v>60</v>
      </c>
      <c r="J1741" s="52" t="s">
        <v>5816</v>
      </c>
      <c r="K1741" s="56" t="n">
        <v>1</v>
      </c>
      <c r="L1741" s="52" t="s">
        <v>5816</v>
      </c>
      <c r="M1741" s="52" t="s">
        <v>130</v>
      </c>
    </row>
    <row r="1742" customFormat="false" ht="17.25" hidden="false" customHeight="true" outlineLevel="0" collapsed="false">
      <c r="A1742" s="52" t="s">
        <v>5777</v>
      </c>
      <c r="B1742" s="52" t="s">
        <v>5813</v>
      </c>
      <c r="C1742" s="53" t="n">
        <v>1605802</v>
      </c>
      <c r="D1742" s="52" t="s">
        <v>3783</v>
      </c>
      <c r="E1742" s="52" t="s">
        <v>3784</v>
      </c>
      <c r="F1742" s="54" t="n">
        <v>20</v>
      </c>
      <c r="G1742" s="55" t="n">
        <v>239.8</v>
      </c>
      <c r="H1742" s="55" t="n">
        <v>11.99</v>
      </c>
      <c r="I1742" s="55" t="n">
        <v>11.99</v>
      </c>
      <c r="J1742" s="52" t="s">
        <v>5814</v>
      </c>
      <c r="K1742" s="56" t="n">
        <v>1</v>
      </c>
      <c r="L1742" s="52" t="s">
        <v>5814</v>
      </c>
      <c r="M1742" s="52" t="s">
        <v>38</v>
      </c>
    </row>
    <row r="1743" customFormat="false" ht="17.25" hidden="false" customHeight="true" outlineLevel="0" collapsed="false">
      <c r="A1743" s="52" t="s">
        <v>5777</v>
      </c>
      <c r="B1743" s="52" t="s">
        <v>5813</v>
      </c>
      <c r="C1743" s="53" t="n">
        <v>1171454</v>
      </c>
      <c r="D1743" s="52" t="s">
        <v>3785</v>
      </c>
      <c r="E1743" s="52" t="s">
        <v>3786</v>
      </c>
      <c r="F1743" s="54" t="n">
        <v>40</v>
      </c>
      <c r="G1743" s="55" t="n">
        <v>239.2</v>
      </c>
      <c r="H1743" s="55" t="n">
        <v>5.98</v>
      </c>
      <c r="I1743" s="55" t="n">
        <v>5.98</v>
      </c>
      <c r="J1743" s="52" t="s">
        <v>5816</v>
      </c>
      <c r="K1743" s="56" t="n">
        <v>1</v>
      </c>
      <c r="L1743" s="52" t="s">
        <v>5816</v>
      </c>
      <c r="M1743" s="52" t="s">
        <v>54</v>
      </c>
    </row>
    <row r="1744" customFormat="false" ht="17.25" hidden="false" customHeight="true" outlineLevel="0" collapsed="false">
      <c r="A1744" s="52" t="s">
        <v>5777</v>
      </c>
      <c r="B1744" s="52" t="s">
        <v>5813</v>
      </c>
      <c r="C1744" s="53" t="n">
        <v>23499</v>
      </c>
      <c r="D1744" s="52" t="s">
        <v>3787</v>
      </c>
      <c r="E1744" s="52" t="s">
        <v>3788</v>
      </c>
      <c r="F1744" s="54" t="n">
        <v>2</v>
      </c>
      <c r="G1744" s="55" t="n">
        <v>239</v>
      </c>
      <c r="H1744" s="55" t="n">
        <v>119.5</v>
      </c>
      <c r="I1744" s="55" t="n">
        <v>119.5</v>
      </c>
      <c r="J1744" s="52" t="s">
        <v>5831</v>
      </c>
      <c r="K1744" s="56" t="n">
        <v>1</v>
      </c>
      <c r="L1744" s="52" t="s">
        <v>5831</v>
      </c>
      <c r="M1744" s="52" t="s">
        <v>247</v>
      </c>
    </row>
    <row r="1745" customFormat="false" ht="17.25" hidden="false" customHeight="true" outlineLevel="0" collapsed="false">
      <c r="A1745" s="52" t="s">
        <v>5777</v>
      </c>
      <c r="B1745" s="52" t="s">
        <v>5813</v>
      </c>
      <c r="C1745" s="53" t="n">
        <v>218904</v>
      </c>
      <c r="D1745" s="52" t="s">
        <v>3789</v>
      </c>
      <c r="E1745" s="52" t="s">
        <v>5942</v>
      </c>
      <c r="F1745" s="54" t="n">
        <v>1</v>
      </c>
      <c r="G1745" s="55" t="n">
        <v>239</v>
      </c>
      <c r="H1745" s="55" t="n">
        <v>239</v>
      </c>
      <c r="I1745" s="55" t="n">
        <v>239</v>
      </c>
      <c r="J1745" s="52" t="s">
        <v>5816</v>
      </c>
      <c r="K1745" s="56" t="n">
        <v>1</v>
      </c>
      <c r="L1745" s="52" t="s">
        <v>5816</v>
      </c>
      <c r="M1745" s="52" t="s">
        <v>113</v>
      </c>
    </row>
    <row r="1746" customFormat="false" ht="17.25" hidden="false" customHeight="true" outlineLevel="0" collapsed="false">
      <c r="A1746" s="52" t="s">
        <v>5777</v>
      </c>
      <c r="B1746" s="52" t="s">
        <v>5813</v>
      </c>
      <c r="C1746" s="53" t="n">
        <v>230659</v>
      </c>
      <c r="D1746" s="52" t="s">
        <v>3791</v>
      </c>
      <c r="E1746" s="52" t="s">
        <v>3792</v>
      </c>
      <c r="F1746" s="54" t="n">
        <v>7</v>
      </c>
      <c r="G1746" s="55" t="n">
        <v>238</v>
      </c>
      <c r="H1746" s="55" t="n">
        <v>34</v>
      </c>
      <c r="I1746" s="55" t="n">
        <v>34</v>
      </c>
      <c r="J1746" s="52" t="s">
        <v>5885</v>
      </c>
      <c r="K1746" s="56" t="n">
        <v>100</v>
      </c>
      <c r="L1746" s="52" t="s">
        <v>5816</v>
      </c>
      <c r="M1746" s="52" t="s">
        <v>247</v>
      </c>
    </row>
    <row r="1747" customFormat="false" ht="17.25" hidden="false" customHeight="true" outlineLevel="0" collapsed="false">
      <c r="A1747" s="52" t="s">
        <v>5777</v>
      </c>
      <c r="B1747" s="52" t="s">
        <v>5813</v>
      </c>
      <c r="C1747" s="53" t="n">
        <v>555186</v>
      </c>
      <c r="D1747" s="52" t="s">
        <v>3793</v>
      </c>
      <c r="E1747" s="52" t="s">
        <v>3794</v>
      </c>
      <c r="F1747" s="54" t="n">
        <v>1</v>
      </c>
      <c r="G1747" s="55" t="n">
        <v>238</v>
      </c>
      <c r="H1747" s="55" t="n">
        <v>238</v>
      </c>
      <c r="I1747" s="55" t="n">
        <v>238</v>
      </c>
      <c r="J1747" s="52" t="s">
        <v>5816</v>
      </c>
      <c r="K1747" s="56" t="n">
        <v>1</v>
      </c>
      <c r="L1747" s="52" t="s">
        <v>5816</v>
      </c>
      <c r="M1747" s="52" t="s">
        <v>130</v>
      </c>
    </row>
    <row r="1748" customFormat="false" ht="17.25" hidden="false" customHeight="true" outlineLevel="0" collapsed="false">
      <c r="A1748" s="52" t="s">
        <v>5777</v>
      </c>
      <c r="B1748" s="52" t="s">
        <v>5813</v>
      </c>
      <c r="C1748" s="53" t="n">
        <v>741194</v>
      </c>
      <c r="D1748" s="52" t="s">
        <v>3795</v>
      </c>
      <c r="E1748" s="52" t="s">
        <v>3796</v>
      </c>
      <c r="F1748" s="54" t="n">
        <v>1</v>
      </c>
      <c r="G1748" s="55" t="n">
        <v>238</v>
      </c>
      <c r="H1748" s="55" t="n">
        <v>238</v>
      </c>
      <c r="I1748" s="55" t="n">
        <v>238</v>
      </c>
      <c r="J1748" s="52" t="s">
        <v>5816</v>
      </c>
      <c r="K1748" s="56" t="n">
        <v>1</v>
      </c>
      <c r="L1748" s="52" t="s">
        <v>5816</v>
      </c>
      <c r="M1748" s="52" t="s">
        <v>130</v>
      </c>
    </row>
    <row r="1749" customFormat="false" ht="17.25" hidden="false" customHeight="true" outlineLevel="0" collapsed="false">
      <c r="A1749" s="52" t="s">
        <v>5777</v>
      </c>
      <c r="B1749" s="52" t="s">
        <v>5813</v>
      </c>
      <c r="C1749" s="53" t="n">
        <v>1312945</v>
      </c>
      <c r="D1749" s="52" t="s">
        <v>3797</v>
      </c>
      <c r="E1749" s="52" t="s">
        <v>3798</v>
      </c>
      <c r="F1749" s="54" t="n">
        <v>24</v>
      </c>
      <c r="G1749" s="55" t="n">
        <v>237.6</v>
      </c>
      <c r="H1749" s="55" t="n">
        <v>9.9</v>
      </c>
      <c r="I1749" s="55" t="n">
        <v>9.9</v>
      </c>
      <c r="J1749" s="52" t="s">
        <v>5816</v>
      </c>
      <c r="K1749" s="56" t="n">
        <v>1</v>
      </c>
      <c r="L1749" s="52" t="s">
        <v>5816</v>
      </c>
      <c r="M1749" s="52" t="s">
        <v>100</v>
      </c>
    </row>
    <row r="1750" customFormat="false" ht="17.25" hidden="false" customHeight="true" outlineLevel="0" collapsed="false">
      <c r="A1750" s="52" t="s">
        <v>5777</v>
      </c>
      <c r="B1750" s="52" t="s">
        <v>5813</v>
      </c>
      <c r="C1750" s="53" t="n">
        <v>425790</v>
      </c>
      <c r="D1750" s="52" t="s">
        <v>3799</v>
      </c>
      <c r="E1750" s="52" t="s">
        <v>3800</v>
      </c>
      <c r="F1750" s="54" t="n">
        <v>20</v>
      </c>
      <c r="G1750" s="55" t="n">
        <v>237.4</v>
      </c>
      <c r="H1750" s="55" t="n">
        <v>11.87</v>
      </c>
      <c r="I1750" s="55" t="n">
        <v>11.87</v>
      </c>
      <c r="J1750" s="52" t="s">
        <v>5816</v>
      </c>
      <c r="K1750" s="56" t="n">
        <v>1</v>
      </c>
      <c r="L1750" s="52" t="s">
        <v>5816</v>
      </c>
      <c r="M1750" s="52" t="s">
        <v>457</v>
      </c>
    </row>
    <row r="1751" customFormat="false" ht="17.25" hidden="false" customHeight="true" outlineLevel="0" collapsed="false">
      <c r="A1751" s="52" t="s">
        <v>5777</v>
      </c>
      <c r="B1751" s="52" t="s">
        <v>5813</v>
      </c>
      <c r="C1751" s="53" t="n">
        <v>138354</v>
      </c>
      <c r="D1751" s="52" t="s">
        <v>3801</v>
      </c>
      <c r="E1751" s="52" t="s">
        <v>3802</v>
      </c>
      <c r="F1751" s="54" t="n">
        <v>1</v>
      </c>
      <c r="G1751" s="55" t="n">
        <v>236.55</v>
      </c>
      <c r="H1751" s="55" t="n">
        <v>236.55</v>
      </c>
      <c r="I1751" s="55" t="n">
        <v>236.55</v>
      </c>
      <c r="J1751" s="52" t="s">
        <v>5816</v>
      </c>
      <c r="K1751" s="56" t="n">
        <v>1</v>
      </c>
      <c r="L1751" s="52" t="s">
        <v>5816</v>
      </c>
      <c r="M1751" s="52" t="s">
        <v>113</v>
      </c>
    </row>
    <row r="1752" customFormat="false" ht="17.25" hidden="false" customHeight="true" outlineLevel="0" collapsed="false">
      <c r="A1752" s="52" t="s">
        <v>5777</v>
      </c>
      <c r="B1752" s="52" t="s">
        <v>5813</v>
      </c>
      <c r="C1752" s="53" t="n">
        <v>1659749</v>
      </c>
      <c r="D1752" s="52" t="s">
        <v>3803</v>
      </c>
      <c r="E1752" s="52" t="s">
        <v>3804</v>
      </c>
      <c r="F1752" s="54" t="n">
        <v>330</v>
      </c>
      <c r="G1752" s="55" t="n">
        <v>236.5</v>
      </c>
      <c r="H1752" s="55" t="n">
        <v>0.7167</v>
      </c>
      <c r="I1752" s="55" t="n">
        <v>0.45</v>
      </c>
      <c r="J1752" s="52" t="s">
        <v>5816</v>
      </c>
      <c r="K1752" s="56" t="n">
        <v>1</v>
      </c>
      <c r="L1752" s="52" t="s">
        <v>5816</v>
      </c>
      <c r="M1752" s="52" t="s">
        <v>100</v>
      </c>
    </row>
    <row r="1753" customFormat="false" ht="17.25" hidden="false" customHeight="true" outlineLevel="0" collapsed="false">
      <c r="A1753" s="52" t="s">
        <v>5777</v>
      </c>
      <c r="B1753" s="52" t="s">
        <v>5813</v>
      </c>
      <c r="C1753" s="53" t="n">
        <v>1681001</v>
      </c>
      <c r="D1753" s="52" t="s">
        <v>3805</v>
      </c>
      <c r="E1753" s="52" t="s">
        <v>3806</v>
      </c>
      <c r="F1753" s="54" t="n">
        <v>145</v>
      </c>
      <c r="G1753" s="55" t="n">
        <v>236.35</v>
      </c>
      <c r="H1753" s="55" t="n">
        <v>1.63</v>
      </c>
      <c r="I1753" s="55" t="n">
        <v>1.63</v>
      </c>
      <c r="J1753" s="52" t="s">
        <v>5816</v>
      </c>
      <c r="K1753" s="56" t="n">
        <v>1</v>
      </c>
      <c r="L1753" s="52" t="s">
        <v>5816</v>
      </c>
      <c r="M1753" s="52" t="s">
        <v>133</v>
      </c>
    </row>
    <row r="1754" customFormat="false" ht="17.25" hidden="false" customHeight="true" outlineLevel="0" collapsed="false">
      <c r="A1754" s="52" t="s">
        <v>5777</v>
      </c>
      <c r="B1754" s="52" t="s">
        <v>5813</v>
      </c>
      <c r="C1754" s="53" t="n">
        <v>18158</v>
      </c>
      <c r="D1754" s="52" t="s">
        <v>3807</v>
      </c>
      <c r="E1754" s="52" t="s">
        <v>3808</v>
      </c>
      <c r="F1754" s="54" t="n">
        <v>2</v>
      </c>
      <c r="G1754" s="55" t="n">
        <v>236</v>
      </c>
      <c r="H1754" s="55" t="n">
        <v>118</v>
      </c>
      <c r="I1754" s="55" t="n">
        <v>118</v>
      </c>
      <c r="J1754" s="52" t="s">
        <v>5816</v>
      </c>
      <c r="K1754" s="56" t="n">
        <v>1</v>
      </c>
      <c r="L1754" s="52" t="s">
        <v>5816</v>
      </c>
      <c r="M1754" s="52" t="s">
        <v>130</v>
      </c>
    </row>
    <row r="1755" customFormat="false" ht="17.25" hidden="false" customHeight="true" outlineLevel="0" collapsed="false">
      <c r="A1755" s="52" t="s">
        <v>5777</v>
      </c>
      <c r="B1755" s="52" t="s">
        <v>5813</v>
      </c>
      <c r="C1755" s="53" t="n">
        <v>32464</v>
      </c>
      <c r="D1755" s="52" t="s">
        <v>3809</v>
      </c>
      <c r="E1755" s="52" t="s">
        <v>3810</v>
      </c>
      <c r="F1755" s="54" t="n">
        <v>27</v>
      </c>
      <c r="G1755" s="55" t="n">
        <v>235.44</v>
      </c>
      <c r="H1755" s="55" t="n">
        <v>8.72</v>
      </c>
      <c r="I1755" s="55" t="n">
        <v>8.72</v>
      </c>
      <c r="J1755" s="52" t="s">
        <v>5850</v>
      </c>
      <c r="K1755" s="56" t="n">
        <v>3</v>
      </c>
      <c r="L1755" s="52" t="s">
        <v>5814</v>
      </c>
      <c r="M1755" s="52" t="s">
        <v>38</v>
      </c>
    </row>
    <row r="1756" customFormat="false" ht="17.25" hidden="false" customHeight="true" outlineLevel="0" collapsed="false">
      <c r="A1756" s="52" t="s">
        <v>5777</v>
      </c>
      <c r="B1756" s="52" t="s">
        <v>5813</v>
      </c>
      <c r="C1756" s="53" t="n">
        <v>853266</v>
      </c>
      <c r="D1756" s="52" t="s">
        <v>3811</v>
      </c>
      <c r="E1756" s="52" t="s">
        <v>3812</v>
      </c>
      <c r="F1756" s="54" t="n">
        <v>30</v>
      </c>
      <c r="G1756" s="55" t="n">
        <v>235.4</v>
      </c>
      <c r="H1756" s="55" t="n">
        <v>7.8467</v>
      </c>
      <c r="I1756" s="55" t="n">
        <v>7.6</v>
      </c>
      <c r="J1756" s="52" t="s">
        <v>5816</v>
      </c>
      <c r="K1756" s="56" t="n">
        <v>1</v>
      </c>
      <c r="L1756" s="52" t="s">
        <v>5816</v>
      </c>
      <c r="M1756" s="52" t="s">
        <v>480</v>
      </c>
    </row>
    <row r="1757" customFormat="false" ht="17.25" hidden="false" customHeight="true" outlineLevel="0" collapsed="false">
      <c r="A1757" s="52" t="s">
        <v>5777</v>
      </c>
      <c r="B1757" s="52" t="s">
        <v>5813</v>
      </c>
      <c r="C1757" s="53" t="n">
        <v>21488</v>
      </c>
      <c r="D1757" s="52" t="s">
        <v>3385</v>
      </c>
      <c r="E1757" s="52" t="s">
        <v>3386</v>
      </c>
      <c r="F1757" s="54" t="n">
        <v>20</v>
      </c>
      <c r="G1757" s="55" t="n">
        <v>235.218</v>
      </c>
      <c r="H1757" s="55" t="n">
        <v>11.761</v>
      </c>
      <c r="I1757" s="55" t="n">
        <v>46.98</v>
      </c>
      <c r="J1757" s="52" t="s">
        <v>5816</v>
      </c>
      <c r="K1757" s="56" t="n">
        <v>1</v>
      </c>
      <c r="L1757" s="52" t="s">
        <v>5816</v>
      </c>
      <c r="M1757" s="52" t="s">
        <v>705</v>
      </c>
    </row>
    <row r="1758" customFormat="false" ht="17.25" hidden="false" customHeight="true" outlineLevel="0" collapsed="false">
      <c r="A1758" s="52" t="s">
        <v>5777</v>
      </c>
      <c r="B1758" s="52" t="s">
        <v>5813</v>
      </c>
      <c r="C1758" s="53" t="n">
        <v>1384241</v>
      </c>
      <c r="D1758" s="52" t="s">
        <v>3813</v>
      </c>
      <c r="E1758" s="52" t="s">
        <v>3814</v>
      </c>
      <c r="F1758" s="54" t="n">
        <v>4</v>
      </c>
      <c r="G1758" s="55" t="n">
        <v>233.97</v>
      </c>
      <c r="H1758" s="55" t="n">
        <v>58.4925</v>
      </c>
      <c r="I1758" s="55" t="n">
        <v>58.4925</v>
      </c>
      <c r="J1758" s="52" t="s">
        <v>5816</v>
      </c>
      <c r="K1758" s="56" t="n">
        <v>1</v>
      </c>
      <c r="L1758" s="52" t="s">
        <v>5816</v>
      </c>
      <c r="M1758" s="52" t="s">
        <v>75</v>
      </c>
    </row>
    <row r="1759" customFormat="false" ht="17.25" hidden="false" customHeight="true" outlineLevel="0" collapsed="false">
      <c r="A1759" s="52" t="s">
        <v>5777</v>
      </c>
      <c r="B1759" s="52" t="s">
        <v>5813</v>
      </c>
      <c r="C1759" s="53" t="n">
        <v>1320953</v>
      </c>
      <c r="D1759" s="52" t="s">
        <v>3815</v>
      </c>
      <c r="E1759" s="52" t="s">
        <v>3816</v>
      </c>
      <c r="F1759" s="54" t="n">
        <v>2</v>
      </c>
      <c r="G1759" s="55" t="n">
        <v>233.82</v>
      </c>
      <c r="H1759" s="55" t="n">
        <v>116.91</v>
      </c>
      <c r="I1759" s="55" t="n">
        <v>116.91</v>
      </c>
      <c r="J1759" s="52" t="s">
        <v>5816</v>
      </c>
      <c r="K1759" s="56" t="n">
        <v>1</v>
      </c>
      <c r="L1759" s="52" t="s">
        <v>5816</v>
      </c>
      <c r="M1759" s="52" t="s">
        <v>133</v>
      </c>
    </row>
    <row r="1760" customFormat="false" ht="17.25" hidden="false" customHeight="true" outlineLevel="0" collapsed="false">
      <c r="A1760" s="52" t="s">
        <v>5777</v>
      </c>
      <c r="B1760" s="52" t="s">
        <v>5813</v>
      </c>
      <c r="C1760" s="53" t="n">
        <v>839995</v>
      </c>
      <c r="D1760" s="52" t="s">
        <v>3817</v>
      </c>
      <c r="E1760" s="52" t="s">
        <v>3818</v>
      </c>
      <c r="F1760" s="54" t="n">
        <v>31</v>
      </c>
      <c r="G1760" s="55" t="n">
        <v>233.52</v>
      </c>
      <c r="H1760" s="55" t="n">
        <v>7.5329</v>
      </c>
      <c r="I1760" s="55" t="n">
        <v>5.82</v>
      </c>
      <c r="J1760" s="52" t="s">
        <v>5816</v>
      </c>
      <c r="K1760" s="56" t="n">
        <v>1</v>
      </c>
      <c r="L1760" s="52" t="s">
        <v>5816</v>
      </c>
      <c r="M1760" s="52" t="s">
        <v>54</v>
      </c>
    </row>
    <row r="1761" customFormat="false" ht="17.25" hidden="false" customHeight="true" outlineLevel="0" collapsed="false">
      <c r="A1761" s="52" t="s">
        <v>5777</v>
      </c>
      <c r="B1761" s="52" t="s">
        <v>5813</v>
      </c>
      <c r="C1761" s="53" t="n">
        <v>143794</v>
      </c>
      <c r="D1761" s="52" t="s">
        <v>3819</v>
      </c>
      <c r="E1761" s="52" t="s">
        <v>5943</v>
      </c>
      <c r="F1761" s="54" t="n">
        <v>6</v>
      </c>
      <c r="G1761" s="55" t="n">
        <v>232.2</v>
      </c>
      <c r="H1761" s="55" t="n">
        <v>38.7</v>
      </c>
      <c r="I1761" s="55" t="n">
        <v>38.7</v>
      </c>
      <c r="J1761" s="52" t="s">
        <v>5816</v>
      </c>
      <c r="K1761" s="56" t="n">
        <v>1</v>
      </c>
      <c r="L1761" s="52" t="s">
        <v>5816</v>
      </c>
      <c r="M1761" s="52" t="s">
        <v>130</v>
      </c>
    </row>
    <row r="1762" customFormat="false" ht="17.25" hidden="false" customHeight="true" outlineLevel="0" collapsed="false">
      <c r="A1762" s="52" t="s">
        <v>5777</v>
      </c>
      <c r="B1762" s="52" t="s">
        <v>5813</v>
      </c>
      <c r="C1762" s="53" t="n">
        <v>231997</v>
      </c>
      <c r="D1762" s="52" t="s">
        <v>3821</v>
      </c>
      <c r="E1762" s="52" t="s">
        <v>3822</v>
      </c>
      <c r="F1762" s="54" t="n">
        <v>4</v>
      </c>
      <c r="G1762" s="55" t="n">
        <v>232</v>
      </c>
      <c r="H1762" s="55" t="n">
        <v>58</v>
      </c>
      <c r="I1762" s="55" t="n">
        <v>58</v>
      </c>
      <c r="J1762" s="52" t="s">
        <v>5816</v>
      </c>
      <c r="K1762" s="56" t="n">
        <v>1</v>
      </c>
      <c r="L1762" s="52" t="s">
        <v>5816</v>
      </c>
      <c r="M1762" s="52" t="s">
        <v>480</v>
      </c>
    </row>
    <row r="1763" customFormat="false" ht="17.25" hidden="false" customHeight="true" outlineLevel="0" collapsed="false">
      <c r="A1763" s="52" t="s">
        <v>5777</v>
      </c>
      <c r="B1763" s="52" t="s">
        <v>5813</v>
      </c>
      <c r="C1763" s="53" t="n">
        <v>946734</v>
      </c>
      <c r="D1763" s="52" t="s">
        <v>3823</v>
      </c>
      <c r="E1763" s="52" t="s">
        <v>3824</v>
      </c>
      <c r="F1763" s="54" t="n">
        <v>4</v>
      </c>
      <c r="G1763" s="55" t="n">
        <v>232</v>
      </c>
      <c r="H1763" s="55" t="n">
        <v>58</v>
      </c>
      <c r="I1763" s="55" t="n">
        <v>58</v>
      </c>
      <c r="J1763" s="52" t="s">
        <v>5816</v>
      </c>
      <c r="K1763" s="56" t="n">
        <v>1</v>
      </c>
      <c r="L1763" s="52" t="s">
        <v>5816</v>
      </c>
      <c r="M1763" s="52" t="s">
        <v>835</v>
      </c>
    </row>
    <row r="1764" customFormat="false" ht="17.25" hidden="false" customHeight="true" outlineLevel="0" collapsed="false">
      <c r="A1764" s="52" t="s">
        <v>5777</v>
      </c>
      <c r="B1764" s="52" t="s">
        <v>5813</v>
      </c>
      <c r="C1764" s="53" t="n">
        <v>1319430</v>
      </c>
      <c r="D1764" s="52" t="s">
        <v>3825</v>
      </c>
      <c r="E1764" s="52" t="s">
        <v>3826</v>
      </c>
      <c r="F1764" s="54" t="n">
        <v>1</v>
      </c>
      <c r="G1764" s="55" t="n">
        <v>232</v>
      </c>
      <c r="H1764" s="55" t="n">
        <v>232</v>
      </c>
      <c r="I1764" s="55" t="n">
        <v>232</v>
      </c>
      <c r="J1764" s="52" t="s">
        <v>5816</v>
      </c>
      <c r="K1764" s="56" t="n">
        <v>1</v>
      </c>
      <c r="L1764" s="52" t="s">
        <v>5816</v>
      </c>
      <c r="M1764" s="52" t="s">
        <v>217</v>
      </c>
    </row>
    <row r="1765" customFormat="false" ht="17.25" hidden="false" customHeight="true" outlineLevel="0" collapsed="false">
      <c r="A1765" s="52" t="s">
        <v>5777</v>
      </c>
      <c r="B1765" s="52" t="s">
        <v>5813</v>
      </c>
      <c r="C1765" s="53" t="n">
        <v>225305</v>
      </c>
      <c r="D1765" s="52" t="s">
        <v>3827</v>
      </c>
      <c r="E1765" s="52" t="s">
        <v>3828</v>
      </c>
      <c r="F1765" s="54" t="n">
        <v>1</v>
      </c>
      <c r="G1765" s="55" t="n">
        <v>230</v>
      </c>
      <c r="H1765" s="55" t="n">
        <v>230</v>
      </c>
      <c r="I1765" s="55" t="n">
        <v>230</v>
      </c>
      <c r="J1765" s="52" t="s">
        <v>5816</v>
      </c>
      <c r="K1765" s="56" t="n">
        <v>1</v>
      </c>
      <c r="L1765" s="52" t="s">
        <v>5816</v>
      </c>
      <c r="M1765" s="52" t="s">
        <v>113</v>
      </c>
    </row>
    <row r="1766" customFormat="false" ht="17.25" hidden="false" customHeight="true" outlineLevel="0" collapsed="false">
      <c r="A1766" s="52" t="s">
        <v>5777</v>
      </c>
      <c r="B1766" s="52" t="s">
        <v>5813</v>
      </c>
      <c r="C1766" s="53" t="n">
        <v>602367</v>
      </c>
      <c r="D1766" s="52" t="s">
        <v>3829</v>
      </c>
      <c r="E1766" s="52" t="s">
        <v>3830</v>
      </c>
      <c r="F1766" s="54" t="n">
        <v>1</v>
      </c>
      <c r="G1766" s="55" t="n">
        <v>230</v>
      </c>
      <c r="H1766" s="55" t="n">
        <v>230</v>
      </c>
      <c r="I1766" s="55" t="n">
        <v>230</v>
      </c>
      <c r="J1766" s="52" t="s">
        <v>5872</v>
      </c>
      <c r="K1766" s="56" t="n">
        <v>100</v>
      </c>
      <c r="L1766" s="52" t="s">
        <v>5814</v>
      </c>
      <c r="M1766" s="52" t="s">
        <v>262</v>
      </c>
    </row>
    <row r="1767" customFormat="false" ht="17.25" hidden="false" customHeight="true" outlineLevel="0" collapsed="false">
      <c r="A1767" s="52" t="s">
        <v>5777</v>
      </c>
      <c r="B1767" s="52" t="s">
        <v>5813</v>
      </c>
      <c r="C1767" s="53" t="n">
        <v>1181846</v>
      </c>
      <c r="D1767" s="52" t="s">
        <v>3831</v>
      </c>
      <c r="E1767" s="52" t="s">
        <v>3832</v>
      </c>
      <c r="F1767" s="54" t="n">
        <v>9</v>
      </c>
      <c r="G1767" s="55" t="n">
        <v>228.96</v>
      </c>
      <c r="H1767" s="55" t="n">
        <v>25.44</v>
      </c>
      <c r="I1767" s="55" t="n">
        <v>25.44</v>
      </c>
      <c r="J1767" s="52" t="s">
        <v>5816</v>
      </c>
      <c r="K1767" s="56" t="n">
        <v>1</v>
      </c>
      <c r="L1767" s="52" t="s">
        <v>5816</v>
      </c>
      <c r="M1767" s="52" t="s">
        <v>38</v>
      </c>
    </row>
    <row r="1768" customFormat="false" ht="17.25" hidden="false" customHeight="true" outlineLevel="0" collapsed="false">
      <c r="A1768" s="52" t="s">
        <v>5777</v>
      </c>
      <c r="B1768" s="52" t="s">
        <v>5813</v>
      </c>
      <c r="C1768" s="53" t="n">
        <v>260317</v>
      </c>
      <c r="D1768" s="52" t="s">
        <v>3833</v>
      </c>
      <c r="E1768" s="52" t="s">
        <v>3834</v>
      </c>
      <c r="F1768" s="54" t="n">
        <v>10</v>
      </c>
      <c r="G1768" s="55" t="n">
        <v>228.8</v>
      </c>
      <c r="H1768" s="55" t="n">
        <v>22.88</v>
      </c>
      <c r="I1768" s="55" t="n">
        <v>22.88</v>
      </c>
      <c r="J1768" s="52" t="s">
        <v>5816</v>
      </c>
      <c r="K1768" s="56" t="n">
        <v>1</v>
      </c>
      <c r="L1768" s="52" t="s">
        <v>5816</v>
      </c>
      <c r="M1768" s="52" t="s">
        <v>130</v>
      </c>
    </row>
    <row r="1769" customFormat="false" ht="17.25" hidden="false" customHeight="true" outlineLevel="0" collapsed="false">
      <c r="A1769" s="52" t="s">
        <v>5777</v>
      </c>
      <c r="B1769" s="52" t="s">
        <v>5813</v>
      </c>
      <c r="C1769" s="53" t="n">
        <v>1077331</v>
      </c>
      <c r="D1769" s="52" t="s">
        <v>3835</v>
      </c>
      <c r="E1769" s="52" t="s">
        <v>3836</v>
      </c>
      <c r="F1769" s="54" t="n">
        <v>26</v>
      </c>
      <c r="G1769" s="55" t="n">
        <v>228.28</v>
      </c>
      <c r="H1769" s="55" t="n">
        <v>8.78</v>
      </c>
      <c r="I1769" s="55" t="n">
        <v>8.78</v>
      </c>
      <c r="J1769" s="52" t="s">
        <v>5818</v>
      </c>
      <c r="K1769" s="56" t="n">
        <v>1</v>
      </c>
      <c r="L1769" s="52" t="s">
        <v>5816</v>
      </c>
      <c r="M1769" s="52" t="s">
        <v>38</v>
      </c>
    </row>
    <row r="1770" customFormat="false" ht="17.25" hidden="false" customHeight="true" outlineLevel="0" collapsed="false">
      <c r="A1770" s="52" t="s">
        <v>5777</v>
      </c>
      <c r="B1770" s="52" t="s">
        <v>5813</v>
      </c>
      <c r="C1770" s="53" t="n">
        <v>839231</v>
      </c>
      <c r="D1770" s="52" t="s">
        <v>3837</v>
      </c>
      <c r="E1770" s="52" t="s">
        <v>3838</v>
      </c>
      <c r="F1770" s="54" t="n">
        <v>6</v>
      </c>
      <c r="G1770" s="55" t="n">
        <v>228.24</v>
      </c>
      <c r="H1770" s="55" t="n">
        <v>38.04</v>
      </c>
      <c r="I1770" s="55" t="n">
        <v>38.04</v>
      </c>
      <c r="J1770" s="52" t="s">
        <v>5822</v>
      </c>
      <c r="K1770" s="56" t="n">
        <v>1</v>
      </c>
      <c r="L1770" s="52" t="s">
        <v>5822</v>
      </c>
      <c r="M1770" s="52" t="s">
        <v>47</v>
      </c>
    </row>
    <row r="1771" customFormat="false" ht="17.25" hidden="false" customHeight="true" outlineLevel="0" collapsed="false">
      <c r="A1771" s="52" t="s">
        <v>5777</v>
      </c>
      <c r="B1771" s="52" t="s">
        <v>5813</v>
      </c>
      <c r="C1771" s="53" t="n">
        <v>35170</v>
      </c>
      <c r="D1771" s="52" t="s">
        <v>3839</v>
      </c>
      <c r="E1771" s="52" t="s">
        <v>3840</v>
      </c>
      <c r="F1771" s="54" t="n">
        <v>6</v>
      </c>
      <c r="G1771" s="55" t="n">
        <v>228</v>
      </c>
      <c r="H1771" s="55" t="n">
        <v>38</v>
      </c>
      <c r="I1771" s="55" t="n">
        <v>128</v>
      </c>
      <c r="J1771" s="52" t="s">
        <v>5816</v>
      </c>
      <c r="K1771" s="56" t="n">
        <v>1</v>
      </c>
      <c r="L1771" s="52" t="s">
        <v>5816</v>
      </c>
      <c r="M1771" s="52" t="s">
        <v>130</v>
      </c>
    </row>
    <row r="1772" customFormat="false" ht="17.25" hidden="false" customHeight="true" outlineLevel="0" collapsed="false">
      <c r="A1772" s="52" t="s">
        <v>5777</v>
      </c>
      <c r="B1772" s="52" t="s">
        <v>5813</v>
      </c>
      <c r="C1772" s="53" t="n">
        <v>278461</v>
      </c>
      <c r="D1772" s="52" t="s">
        <v>3841</v>
      </c>
      <c r="E1772" s="52" t="s">
        <v>3842</v>
      </c>
      <c r="F1772" s="54" t="n">
        <v>1</v>
      </c>
      <c r="G1772" s="55" t="n">
        <v>228</v>
      </c>
      <c r="H1772" s="55" t="n">
        <v>228</v>
      </c>
      <c r="I1772" s="55" t="n">
        <v>228</v>
      </c>
      <c r="J1772" s="52" t="s">
        <v>5816</v>
      </c>
      <c r="K1772" s="56" t="n">
        <v>1</v>
      </c>
      <c r="L1772" s="52" t="s">
        <v>5816</v>
      </c>
      <c r="M1772" s="52" t="s">
        <v>38</v>
      </c>
    </row>
    <row r="1773" customFormat="false" ht="17.25" hidden="false" customHeight="true" outlineLevel="0" collapsed="false">
      <c r="A1773" s="52" t="s">
        <v>5777</v>
      </c>
      <c r="B1773" s="52" t="s">
        <v>5813</v>
      </c>
      <c r="C1773" s="53" t="n">
        <v>884966</v>
      </c>
      <c r="D1773" s="52" t="s">
        <v>3843</v>
      </c>
      <c r="E1773" s="52" t="s">
        <v>3844</v>
      </c>
      <c r="F1773" s="54" t="n">
        <v>1</v>
      </c>
      <c r="G1773" s="55" t="n">
        <v>228</v>
      </c>
      <c r="H1773" s="55" t="n">
        <v>228</v>
      </c>
      <c r="I1773" s="55" t="n">
        <v>228</v>
      </c>
      <c r="J1773" s="52" t="s">
        <v>5817</v>
      </c>
      <c r="K1773" s="56" t="n">
        <v>1</v>
      </c>
      <c r="L1773" s="52" t="s">
        <v>5817</v>
      </c>
      <c r="M1773" s="52" t="s">
        <v>130</v>
      </c>
    </row>
    <row r="1774" customFormat="false" ht="17.25" hidden="false" customHeight="true" outlineLevel="0" collapsed="false">
      <c r="A1774" s="52" t="s">
        <v>5777</v>
      </c>
      <c r="B1774" s="52" t="s">
        <v>5813</v>
      </c>
      <c r="C1774" s="53" t="n">
        <v>946737</v>
      </c>
      <c r="D1774" s="52" t="s">
        <v>3845</v>
      </c>
      <c r="E1774" s="52" t="s">
        <v>3846</v>
      </c>
      <c r="F1774" s="54" t="n">
        <v>1</v>
      </c>
      <c r="G1774" s="55" t="n">
        <v>228</v>
      </c>
      <c r="H1774" s="55" t="n">
        <v>228</v>
      </c>
      <c r="I1774" s="55" t="n">
        <v>228</v>
      </c>
      <c r="J1774" s="52" t="s">
        <v>5816</v>
      </c>
      <c r="K1774" s="56" t="n">
        <v>1</v>
      </c>
      <c r="L1774" s="52" t="s">
        <v>5816</v>
      </c>
      <c r="M1774" s="52" t="s">
        <v>1618</v>
      </c>
    </row>
    <row r="1775" customFormat="false" ht="17.25" hidden="false" customHeight="true" outlineLevel="0" collapsed="false">
      <c r="A1775" s="52" t="s">
        <v>5777</v>
      </c>
      <c r="B1775" s="52" t="s">
        <v>5813</v>
      </c>
      <c r="C1775" s="53" t="n">
        <v>1330682</v>
      </c>
      <c r="D1775" s="52" t="s">
        <v>3847</v>
      </c>
      <c r="E1775" s="52" t="s">
        <v>3848</v>
      </c>
      <c r="F1775" s="54" t="n">
        <v>100</v>
      </c>
      <c r="G1775" s="55" t="n">
        <v>228</v>
      </c>
      <c r="H1775" s="55" t="n">
        <v>2.28</v>
      </c>
      <c r="I1775" s="55" t="n">
        <v>2.28</v>
      </c>
      <c r="J1775" s="52" t="s">
        <v>5816</v>
      </c>
      <c r="K1775" s="56" t="n">
        <v>1</v>
      </c>
      <c r="L1775" s="52" t="s">
        <v>5816</v>
      </c>
      <c r="M1775" s="52" t="s">
        <v>100</v>
      </c>
    </row>
    <row r="1776" customFormat="false" ht="17.25" hidden="false" customHeight="true" outlineLevel="0" collapsed="false">
      <c r="A1776" s="52" t="s">
        <v>5777</v>
      </c>
      <c r="B1776" s="52" t="s">
        <v>5813</v>
      </c>
      <c r="C1776" s="53" t="n">
        <v>476132</v>
      </c>
      <c r="D1776" s="52" t="s">
        <v>3849</v>
      </c>
      <c r="E1776" s="52" t="s">
        <v>3850</v>
      </c>
      <c r="F1776" s="54" t="n">
        <v>2</v>
      </c>
      <c r="G1776" s="55" t="n">
        <v>226.18</v>
      </c>
      <c r="H1776" s="55" t="n">
        <v>113.09</v>
      </c>
      <c r="I1776" s="55" t="n">
        <v>113.09</v>
      </c>
      <c r="J1776" s="52" t="s">
        <v>5816</v>
      </c>
      <c r="K1776" s="56" t="n">
        <v>1</v>
      </c>
      <c r="L1776" s="52" t="s">
        <v>5816</v>
      </c>
      <c r="M1776" s="52" t="s">
        <v>130</v>
      </c>
    </row>
    <row r="1777" customFormat="false" ht="17.25" hidden="false" customHeight="true" outlineLevel="0" collapsed="false">
      <c r="A1777" s="52" t="s">
        <v>5777</v>
      </c>
      <c r="B1777" s="52" t="s">
        <v>5813</v>
      </c>
      <c r="C1777" s="53" t="n">
        <v>23310</v>
      </c>
      <c r="D1777" s="52" t="s">
        <v>3851</v>
      </c>
      <c r="E1777" s="52" t="s">
        <v>3852</v>
      </c>
      <c r="F1777" s="54" t="n">
        <v>3</v>
      </c>
      <c r="G1777" s="55" t="n">
        <v>225.98</v>
      </c>
      <c r="H1777" s="55" t="n">
        <v>75.3267</v>
      </c>
      <c r="I1777" s="55" t="n">
        <v>29.98</v>
      </c>
      <c r="J1777" s="52" t="s">
        <v>5816</v>
      </c>
      <c r="K1777" s="56" t="n">
        <v>1</v>
      </c>
      <c r="L1777" s="52" t="s">
        <v>5816</v>
      </c>
      <c r="M1777" s="52" t="s">
        <v>705</v>
      </c>
    </row>
    <row r="1778" customFormat="false" ht="17.25" hidden="false" customHeight="true" outlineLevel="0" collapsed="false">
      <c r="A1778" s="52" t="s">
        <v>5777</v>
      </c>
      <c r="B1778" s="52" t="s">
        <v>5813</v>
      </c>
      <c r="C1778" s="53" t="n">
        <v>18959</v>
      </c>
      <c r="D1778" s="52" t="s">
        <v>3853</v>
      </c>
      <c r="E1778" s="52" t="s">
        <v>3854</v>
      </c>
      <c r="F1778" s="54" t="n">
        <v>8</v>
      </c>
      <c r="G1778" s="55" t="n">
        <v>224</v>
      </c>
      <c r="H1778" s="55" t="n">
        <v>28</v>
      </c>
      <c r="I1778" s="55" t="n">
        <v>28</v>
      </c>
      <c r="J1778" s="52" t="s">
        <v>5816</v>
      </c>
      <c r="K1778" s="56" t="n">
        <v>1</v>
      </c>
      <c r="L1778" s="52" t="s">
        <v>5816</v>
      </c>
      <c r="M1778" s="52" t="s">
        <v>247</v>
      </c>
    </row>
    <row r="1779" customFormat="false" ht="17.25" hidden="false" customHeight="true" outlineLevel="0" collapsed="false">
      <c r="A1779" s="52" t="s">
        <v>5777</v>
      </c>
      <c r="B1779" s="52" t="s">
        <v>5813</v>
      </c>
      <c r="C1779" s="53" t="n">
        <v>220417</v>
      </c>
      <c r="D1779" s="52" t="s">
        <v>3855</v>
      </c>
      <c r="E1779" s="52" t="s">
        <v>5944</v>
      </c>
      <c r="F1779" s="54" t="n">
        <v>8</v>
      </c>
      <c r="G1779" s="55" t="n">
        <v>224</v>
      </c>
      <c r="H1779" s="55" t="n">
        <v>28</v>
      </c>
      <c r="I1779" s="55" t="n">
        <v>28</v>
      </c>
      <c r="J1779" s="52" t="s">
        <v>5816</v>
      </c>
      <c r="K1779" s="56" t="n">
        <v>1</v>
      </c>
      <c r="L1779" s="52" t="s">
        <v>5816</v>
      </c>
      <c r="M1779" s="52" t="s">
        <v>133</v>
      </c>
    </row>
    <row r="1780" customFormat="false" ht="17.25" hidden="false" customHeight="true" outlineLevel="0" collapsed="false">
      <c r="A1780" s="52" t="s">
        <v>5777</v>
      </c>
      <c r="B1780" s="52" t="s">
        <v>5813</v>
      </c>
      <c r="C1780" s="53" t="n">
        <v>1384265</v>
      </c>
      <c r="D1780" s="52" t="s">
        <v>3857</v>
      </c>
      <c r="E1780" s="52" t="s">
        <v>3858</v>
      </c>
      <c r="F1780" s="54" t="n">
        <v>4</v>
      </c>
      <c r="G1780" s="55" t="n">
        <v>222.52</v>
      </c>
      <c r="H1780" s="55" t="n">
        <v>55.63</v>
      </c>
      <c r="I1780" s="55" t="n">
        <v>55.63</v>
      </c>
      <c r="J1780" s="52" t="s">
        <v>5816</v>
      </c>
      <c r="K1780" s="56" t="n">
        <v>1</v>
      </c>
      <c r="L1780" s="52" t="s">
        <v>5816</v>
      </c>
      <c r="M1780" s="52" t="s">
        <v>75</v>
      </c>
    </row>
    <row r="1781" customFormat="false" ht="17.25" hidden="false" customHeight="true" outlineLevel="0" collapsed="false">
      <c r="A1781" s="52" t="s">
        <v>5777</v>
      </c>
      <c r="B1781" s="52" t="s">
        <v>5813</v>
      </c>
      <c r="C1781" s="53" t="n">
        <v>19350</v>
      </c>
      <c r="D1781" s="52" t="s">
        <v>3859</v>
      </c>
      <c r="E1781" s="52" t="s">
        <v>3860</v>
      </c>
      <c r="F1781" s="54" t="n">
        <v>46</v>
      </c>
      <c r="G1781" s="55" t="n">
        <v>221.6</v>
      </c>
      <c r="H1781" s="55" t="n">
        <v>4.8174</v>
      </c>
      <c r="I1781" s="55" t="n">
        <v>4.6</v>
      </c>
      <c r="J1781" s="52" t="s">
        <v>5816</v>
      </c>
      <c r="K1781" s="56" t="n">
        <v>1</v>
      </c>
      <c r="L1781" s="52" t="s">
        <v>5816</v>
      </c>
      <c r="M1781" s="52" t="s">
        <v>1095</v>
      </c>
    </row>
    <row r="1782" customFormat="false" ht="17.25" hidden="false" customHeight="true" outlineLevel="0" collapsed="false">
      <c r="A1782" s="52" t="s">
        <v>5777</v>
      </c>
      <c r="B1782" s="52" t="s">
        <v>5813</v>
      </c>
      <c r="C1782" s="53" t="n">
        <v>1679444</v>
      </c>
      <c r="D1782" s="52" t="s">
        <v>3861</v>
      </c>
      <c r="E1782" s="52" t="s">
        <v>3862</v>
      </c>
      <c r="F1782" s="54" t="n">
        <v>15</v>
      </c>
      <c r="G1782" s="55" t="n">
        <v>221.55</v>
      </c>
      <c r="H1782" s="55" t="n">
        <v>14.77</v>
      </c>
      <c r="I1782" s="55" t="n">
        <v>14.77</v>
      </c>
      <c r="J1782" s="52" t="s">
        <v>5814</v>
      </c>
      <c r="K1782" s="56" t="n">
        <v>1</v>
      </c>
      <c r="L1782" s="52" t="s">
        <v>5814</v>
      </c>
      <c r="M1782" s="52" t="s">
        <v>54</v>
      </c>
    </row>
    <row r="1783" customFormat="false" ht="17.25" hidden="false" customHeight="true" outlineLevel="0" collapsed="false">
      <c r="A1783" s="52" t="s">
        <v>5777</v>
      </c>
      <c r="B1783" s="52" t="s">
        <v>5813</v>
      </c>
      <c r="C1783" s="53" t="n">
        <v>290518</v>
      </c>
      <c r="D1783" s="52" t="s">
        <v>3863</v>
      </c>
      <c r="E1783" s="52" t="s">
        <v>3864</v>
      </c>
      <c r="F1783" s="54" t="n">
        <v>1005</v>
      </c>
      <c r="G1783" s="55" t="n">
        <v>221.1</v>
      </c>
      <c r="H1783" s="55" t="n">
        <v>0.22</v>
      </c>
      <c r="I1783" s="55" t="n">
        <v>0.22</v>
      </c>
      <c r="J1783" s="52" t="s">
        <v>5816</v>
      </c>
      <c r="K1783" s="56" t="n">
        <v>1</v>
      </c>
      <c r="L1783" s="52" t="s">
        <v>5816</v>
      </c>
      <c r="M1783" s="52" t="s">
        <v>189</v>
      </c>
    </row>
    <row r="1784" customFormat="false" ht="17.25" hidden="false" customHeight="true" outlineLevel="0" collapsed="false">
      <c r="A1784" s="52" t="s">
        <v>5777</v>
      </c>
      <c r="B1784" s="52" t="s">
        <v>5813</v>
      </c>
      <c r="C1784" s="53" t="n">
        <v>55332</v>
      </c>
      <c r="D1784" s="52" t="s">
        <v>3865</v>
      </c>
      <c r="E1784" s="52" t="s">
        <v>3866</v>
      </c>
      <c r="F1784" s="54" t="n">
        <v>5</v>
      </c>
      <c r="G1784" s="55" t="n">
        <v>220</v>
      </c>
      <c r="H1784" s="55" t="n">
        <v>44</v>
      </c>
      <c r="I1784" s="55" t="n">
        <v>44</v>
      </c>
      <c r="J1784" s="52" t="s">
        <v>5816</v>
      </c>
      <c r="K1784" s="56" t="n">
        <v>1</v>
      </c>
      <c r="L1784" s="52" t="s">
        <v>5816</v>
      </c>
      <c r="M1784" s="52" t="s">
        <v>1618</v>
      </c>
    </row>
    <row r="1785" customFormat="false" ht="17.25" hidden="false" customHeight="true" outlineLevel="0" collapsed="false">
      <c r="A1785" s="52" t="s">
        <v>5777</v>
      </c>
      <c r="B1785" s="52" t="s">
        <v>5813</v>
      </c>
      <c r="C1785" s="53" t="n">
        <v>560207</v>
      </c>
      <c r="D1785" s="52" t="s">
        <v>3867</v>
      </c>
      <c r="E1785" s="52" t="s">
        <v>3868</v>
      </c>
      <c r="F1785" s="54" t="n">
        <v>2</v>
      </c>
      <c r="G1785" s="55" t="n">
        <v>220</v>
      </c>
      <c r="H1785" s="55" t="n">
        <v>110</v>
      </c>
      <c r="I1785" s="55" t="n">
        <v>110</v>
      </c>
      <c r="J1785" s="52" t="s">
        <v>5823</v>
      </c>
      <c r="K1785" s="56" t="n">
        <v>0.001</v>
      </c>
      <c r="L1785" s="52" t="s">
        <v>5824</v>
      </c>
      <c r="M1785" s="52" t="s">
        <v>637</v>
      </c>
    </row>
    <row r="1786" customFormat="false" ht="17.25" hidden="false" customHeight="true" outlineLevel="0" collapsed="false">
      <c r="A1786" s="52" t="s">
        <v>5777</v>
      </c>
      <c r="B1786" s="52" t="s">
        <v>5813</v>
      </c>
      <c r="C1786" s="53" t="n">
        <v>728574</v>
      </c>
      <c r="D1786" s="52" t="s">
        <v>3869</v>
      </c>
      <c r="E1786" s="52" t="s">
        <v>3870</v>
      </c>
      <c r="F1786" s="54" t="n">
        <v>11</v>
      </c>
      <c r="G1786" s="55" t="n">
        <v>219.78</v>
      </c>
      <c r="H1786" s="55" t="n">
        <v>19.98</v>
      </c>
      <c r="I1786" s="55" t="n">
        <v>19.98</v>
      </c>
      <c r="J1786" s="52" t="s">
        <v>5817</v>
      </c>
      <c r="K1786" s="56" t="n">
        <v>1</v>
      </c>
      <c r="L1786" s="52" t="s">
        <v>5817</v>
      </c>
      <c r="M1786" s="52" t="s">
        <v>54</v>
      </c>
    </row>
    <row r="1787" customFormat="false" ht="17.25" hidden="false" customHeight="true" outlineLevel="0" collapsed="false">
      <c r="A1787" s="52" t="s">
        <v>5777</v>
      </c>
      <c r="B1787" s="52" t="s">
        <v>5813</v>
      </c>
      <c r="C1787" s="53" t="n">
        <v>228898</v>
      </c>
      <c r="D1787" s="52" t="s">
        <v>3871</v>
      </c>
      <c r="E1787" s="52" t="s">
        <v>3872</v>
      </c>
      <c r="F1787" s="54" t="n">
        <v>2</v>
      </c>
      <c r="G1787" s="55" t="n">
        <v>219.5</v>
      </c>
      <c r="H1787" s="55" t="n">
        <v>109.75</v>
      </c>
      <c r="I1787" s="55" t="n">
        <v>109.75</v>
      </c>
      <c r="J1787" s="52" t="s">
        <v>5816</v>
      </c>
      <c r="K1787" s="56" t="n">
        <v>1</v>
      </c>
      <c r="L1787" s="52" t="s">
        <v>5816</v>
      </c>
      <c r="M1787" s="52" t="s">
        <v>38</v>
      </c>
    </row>
    <row r="1788" customFormat="false" ht="17.25" hidden="false" customHeight="true" outlineLevel="0" collapsed="false">
      <c r="A1788" s="52" t="s">
        <v>5777</v>
      </c>
      <c r="B1788" s="52" t="s">
        <v>5813</v>
      </c>
      <c r="C1788" s="53" t="n">
        <v>1379882</v>
      </c>
      <c r="D1788" s="52" t="s">
        <v>3873</v>
      </c>
      <c r="E1788" s="52" t="s">
        <v>3874</v>
      </c>
      <c r="F1788" s="54" t="n">
        <v>78</v>
      </c>
      <c r="G1788" s="55" t="n">
        <v>218.4</v>
      </c>
      <c r="H1788" s="55" t="n">
        <v>2.8</v>
      </c>
      <c r="I1788" s="55" t="n">
        <v>2.8</v>
      </c>
      <c r="J1788" s="52" t="s">
        <v>5816</v>
      </c>
      <c r="K1788" s="56" t="n">
        <v>1</v>
      </c>
      <c r="L1788" s="52" t="s">
        <v>5816</v>
      </c>
      <c r="M1788" s="52" t="s">
        <v>38</v>
      </c>
    </row>
    <row r="1789" customFormat="false" ht="17.25" hidden="false" customHeight="true" outlineLevel="0" collapsed="false">
      <c r="A1789" s="52" t="s">
        <v>5777</v>
      </c>
      <c r="B1789" s="52" t="s">
        <v>5813</v>
      </c>
      <c r="C1789" s="53" t="n">
        <v>21355</v>
      </c>
      <c r="D1789" s="52" t="s">
        <v>3875</v>
      </c>
      <c r="E1789" s="52" t="s">
        <v>3876</v>
      </c>
      <c r="F1789" s="54" t="n">
        <v>4</v>
      </c>
      <c r="G1789" s="55" t="n">
        <v>216.16</v>
      </c>
      <c r="H1789" s="55" t="n">
        <v>54.04</v>
      </c>
      <c r="I1789" s="55" t="n">
        <v>54.04</v>
      </c>
      <c r="J1789" s="52" t="s">
        <v>5816</v>
      </c>
      <c r="K1789" s="56" t="n">
        <v>1</v>
      </c>
      <c r="L1789" s="52" t="s">
        <v>5816</v>
      </c>
      <c r="M1789" s="52" t="s">
        <v>130</v>
      </c>
    </row>
    <row r="1790" customFormat="false" ht="17.25" hidden="false" customHeight="true" outlineLevel="0" collapsed="false">
      <c r="A1790" s="52" t="s">
        <v>5777</v>
      </c>
      <c r="B1790" s="52" t="s">
        <v>5813</v>
      </c>
      <c r="C1790" s="53" t="n">
        <v>1175245</v>
      </c>
      <c r="D1790" s="52" t="s">
        <v>3877</v>
      </c>
      <c r="E1790" s="52" t="s">
        <v>3878</v>
      </c>
      <c r="F1790" s="54" t="n">
        <v>6</v>
      </c>
      <c r="G1790" s="55" t="n">
        <v>216</v>
      </c>
      <c r="H1790" s="55" t="n">
        <v>36</v>
      </c>
      <c r="I1790" s="55" t="n">
        <v>36</v>
      </c>
      <c r="J1790" s="52" t="s">
        <v>5816</v>
      </c>
      <c r="K1790" s="56" t="n">
        <v>1</v>
      </c>
      <c r="L1790" s="52" t="s">
        <v>5816</v>
      </c>
      <c r="M1790" s="52" t="s">
        <v>54</v>
      </c>
    </row>
    <row r="1791" customFormat="false" ht="17.25" hidden="false" customHeight="true" outlineLevel="0" collapsed="false">
      <c r="A1791" s="52" t="s">
        <v>5777</v>
      </c>
      <c r="B1791" s="52" t="s">
        <v>5813</v>
      </c>
      <c r="C1791" s="53" t="n">
        <v>65315</v>
      </c>
      <c r="D1791" s="52" t="s">
        <v>3879</v>
      </c>
      <c r="E1791" s="52" t="s">
        <v>3880</v>
      </c>
      <c r="F1791" s="54" t="n">
        <v>3</v>
      </c>
      <c r="G1791" s="55" t="n">
        <v>215.7</v>
      </c>
      <c r="H1791" s="55" t="n">
        <v>71.9</v>
      </c>
      <c r="I1791" s="55" t="n">
        <v>71.9</v>
      </c>
      <c r="J1791" s="52" t="s">
        <v>5816</v>
      </c>
      <c r="K1791" s="56" t="n">
        <v>1</v>
      </c>
      <c r="L1791" s="52" t="s">
        <v>5816</v>
      </c>
      <c r="M1791" s="52" t="s">
        <v>247</v>
      </c>
    </row>
    <row r="1792" customFormat="false" ht="17.25" hidden="false" customHeight="true" outlineLevel="0" collapsed="false">
      <c r="A1792" s="52" t="s">
        <v>5777</v>
      </c>
      <c r="B1792" s="52" t="s">
        <v>5813</v>
      </c>
      <c r="C1792" s="53" t="n">
        <v>1317674</v>
      </c>
      <c r="D1792" s="52" t="s">
        <v>3881</v>
      </c>
      <c r="E1792" s="52" t="s">
        <v>3882</v>
      </c>
      <c r="F1792" s="54" t="n">
        <v>2</v>
      </c>
      <c r="G1792" s="55" t="n">
        <v>214</v>
      </c>
      <c r="H1792" s="55" t="n">
        <v>107</v>
      </c>
      <c r="I1792" s="55" t="n">
        <v>107</v>
      </c>
      <c r="J1792" s="52" t="s">
        <v>5816</v>
      </c>
      <c r="K1792" s="56" t="n">
        <v>1</v>
      </c>
      <c r="L1792" s="52" t="s">
        <v>5816</v>
      </c>
      <c r="M1792" s="52" t="s">
        <v>605</v>
      </c>
    </row>
    <row r="1793" customFormat="false" ht="17.25" hidden="false" customHeight="true" outlineLevel="0" collapsed="false">
      <c r="A1793" s="52" t="s">
        <v>5777</v>
      </c>
      <c r="B1793" s="52" t="s">
        <v>5813</v>
      </c>
      <c r="C1793" s="53" t="n">
        <v>17680</v>
      </c>
      <c r="D1793" s="52" t="s">
        <v>3883</v>
      </c>
      <c r="E1793" s="52" t="s">
        <v>3884</v>
      </c>
      <c r="F1793" s="54" t="n">
        <v>19</v>
      </c>
      <c r="G1793" s="55" t="n">
        <v>213.86</v>
      </c>
      <c r="H1793" s="55" t="n">
        <v>11.2558</v>
      </c>
      <c r="I1793" s="55" t="n">
        <v>5.09</v>
      </c>
      <c r="J1793" s="52" t="s">
        <v>5816</v>
      </c>
      <c r="K1793" s="56" t="n">
        <v>1</v>
      </c>
      <c r="L1793" s="52" t="s">
        <v>5816</v>
      </c>
      <c r="M1793" s="52" t="s">
        <v>100</v>
      </c>
    </row>
    <row r="1794" customFormat="false" ht="17.25" hidden="false" customHeight="true" outlineLevel="0" collapsed="false">
      <c r="A1794" s="52" t="s">
        <v>5777</v>
      </c>
      <c r="B1794" s="52" t="s">
        <v>5813</v>
      </c>
      <c r="C1794" s="53" t="n">
        <v>348462</v>
      </c>
      <c r="D1794" s="52" t="s">
        <v>3885</v>
      </c>
      <c r="E1794" s="52" t="s">
        <v>3886</v>
      </c>
      <c r="F1794" s="54" t="n">
        <v>3</v>
      </c>
      <c r="G1794" s="55" t="n">
        <v>211.77</v>
      </c>
      <c r="H1794" s="55" t="n">
        <v>70.59</v>
      </c>
      <c r="I1794" s="55" t="n">
        <v>70.59</v>
      </c>
      <c r="J1794" s="52" t="s">
        <v>5816</v>
      </c>
      <c r="K1794" s="56" t="n">
        <v>1</v>
      </c>
      <c r="L1794" s="52" t="s">
        <v>5816</v>
      </c>
      <c r="M1794" s="52" t="s">
        <v>38</v>
      </c>
    </row>
    <row r="1795" customFormat="false" ht="17.25" hidden="false" customHeight="true" outlineLevel="0" collapsed="false">
      <c r="A1795" s="52" t="s">
        <v>5777</v>
      </c>
      <c r="B1795" s="52" t="s">
        <v>5813</v>
      </c>
      <c r="C1795" s="53" t="n">
        <v>1484180</v>
      </c>
      <c r="D1795" s="52" t="s">
        <v>3887</v>
      </c>
      <c r="E1795" s="52" t="s">
        <v>3888</v>
      </c>
      <c r="F1795" s="54" t="n">
        <v>24</v>
      </c>
      <c r="G1795" s="55" t="n">
        <v>211.2</v>
      </c>
      <c r="H1795" s="55" t="n">
        <v>8.8</v>
      </c>
      <c r="I1795" s="55" t="n">
        <v>8.8</v>
      </c>
      <c r="J1795" s="52" t="s">
        <v>5816</v>
      </c>
      <c r="K1795" s="56" t="n">
        <v>1</v>
      </c>
      <c r="L1795" s="52" t="s">
        <v>5816</v>
      </c>
      <c r="M1795" s="52" t="s">
        <v>100</v>
      </c>
    </row>
    <row r="1796" customFormat="false" ht="17.25" hidden="false" customHeight="true" outlineLevel="0" collapsed="false">
      <c r="A1796" s="52" t="s">
        <v>5777</v>
      </c>
      <c r="B1796" s="52" t="s">
        <v>5813</v>
      </c>
      <c r="C1796" s="53" t="n">
        <v>19166</v>
      </c>
      <c r="D1796" s="52" t="s">
        <v>3889</v>
      </c>
      <c r="E1796" s="52" t="s">
        <v>3890</v>
      </c>
      <c r="F1796" s="54" t="n">
        <v>8</v>
      </c>
      <c r="G1796" s="55" t="n">
        <v>210.6284</v>
      </c>
      <c r="H1796" s="55" t="n">
        <v>26.3286</v>
      </c>
      <c r="I1796" s="55" t="n">
        <v>26.1</v>
      </c>
      <c r="J1796" s="52" t="s">
        <v>5816</v>
      </c>
      <c r="K1796" s="56" t="n">
        <v>1</v>
      </c>
      <c r="L1796" s="52" t="s">
        <v>5816</v>
      </c>
      <c r="M1796" s="52" t="s">
        <v>113</v>
      </c>
    </row>
    <row r="1797" customFormat="false" ht="17.25" hidden="false" customHeight="true" outlineLevel="0" collapsed="false">
      <c r="A1797" s="52" t="s">
        <v>5777</v>
      </c>
      <c r="B1797" s="52" t="s">
        <v>5813</v>
      </c>
      <c r="C1797" s="53" t="n">
        <v>1662401</v>
      </c>
      <c r="D1797" s="52" t="s">
        <v>3891</v>
      </c>
      <c r="E1797" s="52" t="s">
        <v>3892</v>
      </c>
      <c r="F1797" s="54" t="n">
        <v>72</v>
      </c>
      <c r="G1797" s="55" t="n">
        <v>210.24</v>
      </c>
      <c r="H1797" s="55" t="n">
        <v>2.92</v>
      </c>
      <c r="I1797" s="55" t="n">
        <v>2.92</v>
      </c>
      <c r="J1797" s="52" t="s">
        <v>5816</v>
      </c>
      <c r="K1797" s="56" t="n">
        <v>1</v>
      </c>
      <c r="L1797" s="52" t="s">
        <v>5816</v>
      </c>
      <c r="M1797" s="52" t="s">
        <v>100</v>
      </c>
    </row>
    <row r="1798" customFormat="false" ht="17.25" hidden="false" customHeight="true" outlineLevel="0" collapsed="false">
      <c r="A1798" s="52" t="s">
        <v>5777</v>
      </c>
      <c r="B1798" s="52" t="s">
        <v>5813</v>
      </c>
      <c r="C1798" s="53" t="n">
        <v>1011493</v>
      </c>
      <c r="D1798" s="52" t="s">
        <v>3893</v>
      </c>
      <c r="E1798" s="52" t="s">
        <v>3894</v>
      </c>
      <c r="F1798" s="54" t="n">
        <v>6</v>
      </c>
      <c r="G1798" s="55" t="n">
        <v>210</v>
      </c>
      <c r="H1798" s="55" t="n">
        <v>35</v>
      </c>
      <c r="I1798" s="55" t="n">
        <v>35</v>
      </c>
      <c r="J1798" s="52" t="s">
        <v>5816</v>
      </c>
      <c r="K1798" s="56" t="n">
        <v>1</v>
      </c>
      <c r="L1798" s="52" t="s">
        <v>5816</v>
      </c>
      <c r="M1798" s="52" t="s">
        <v>130</v>
      </c>
    </row>
    <row r="1799" customFormat="false" ht="17.25" hidden="false" customHeight="true" outlineLevel="0" collapsed="false">
      <c r="A1799" s="52" t="s">
        <v>5777</v>
      </c>
      <c r="B1799" s="52" t="s">
        <v>5813</v>
      </c>
      <c r="C1799" s="53" t="n">
        <v>1329535</v>
      </c>
      <c r="D1799" s="52" t="s">
        <v>3895</v>
      </c>
      <c r="E1799" s="52" t="s">
        <v>3896</v>
      </c>
      <c r="F1799" s="54" t="n">
        <v>21</v>
      </c>
      <c r="G1799" s="55" t="n">
        <v>209.58</v>
      </c>
      <c r="H1799" s="55" t="n">
        <v>9.98</v>
      </c>
      <c r="I1799" s="55" t="n">
        <v>9.98</v>
      </c>
      <c r="J1799" s="52" t="s">
        <v>5816</v>
      </c>
      <c r="K1799" s="56" t="n">
        <v>1</v>
      </c>
      <c r="L1799" s="52" t="s">
        <v>5816</v>
      </c>
      <c r="M1799" s="52" t="s">
        <v>133</v>
      </c>
    </row>
    <row r="1800" customFormat="false" ht="17.25" hidden="false" customHeight="true" outlineLevel="0" collapsed="false">
      <c r="A1800" s="52" t="s">
        <v>5777</v>
      </c>
      <c r="B1800" s="52" t="s">
        <v>5813</v>
      </c>
      <c r="C1800" s="53" t="n">
        <v>22792</v>
      </c>
      <c r="D1800" s="52" t="s">
        <v>3897</v>
      </c>
      <c r="E1800" s="52" t="s">
        <v>3898</v>
      </c>
      <c r="F1800" s="54" t="n">
        <v>15</v>
      </c>
      <c r="G1800" s="55" t="n">
        <v>208.5</v>
      </c>
      <c r="H1800" s="55" t="n">
        <v>13.9</v>
      </c>
      <c r="I1800" s="55" t="n">
        <v>13.9</v>
      </c>
      <c r="J1800" s="52" t="s">
        <v>5816</v>
      </c>
      <c r="K1800" s="56" t="n">
        <v>1</v>
      </c>
      <c r="L1800" s="52" t="s">
        <v>5816</v>
      </c>
      <c r="M1800" s="52" t="s">
        <v>54</v>
      </c>
    </row>
    <row r="1801" customFormat="false" ht="17.25" hidden="false" customHeight="true" outlineLevel="0" collapsed="false">
      <c r="A1801" s="52" t="s">
        <v>5777</v>
      </c>
      <c r="B1801" s="52" t="s">
        <v>5813</v>
      </c>
      <c r="C1801" s="53" t="n">
        <v>60274</v>
      </c>
      <c r="D1801" s="52" t="s">
        <v>3899</v>
      </c>
      <c r="E1801" s="52" t="s">
        <v>3900</v>
      </c>
      <c r="F1801" s="54" t="n">
        <v>8</v>
      </c>
      <c r="G1801" s="55" t="n">
        <v>208</v>
      </c>
      <c r="H1801" s="55" t="n">
        <v>26</v>
      </c>
      <c r="I1801" s="55" t="n">
        <v>26</v>
      </c>
      <c r="J1801" s="52" t="s">
        <v>5816</v>
      </c>
      <c r="K1801" s="56" t="n">
        <v>1</v>
      </c>
      <c r="L1801" s="52" t="s">
        <v>5816</v>
      </c>
      <c r="M1801" s="52" t="s">
        <v>1618</v>
      </c>
    </row>
    <row r="1802" customFormat="false" ht="17.25" hidden="false" customHeight="true" outlineLevel="0" collapsed="false">
      <c r="A1802" s="52" t="s">
        <v>5777</v>
      </c>
      <c r="B1802" s="52" t="s">
        <v>5813</v>
      </c>
      <c r="C1802" s="53" t="n">
        <v>17941</v>
      </c>
      <c r="D1802" s="52" t="s">
        <v>3901</v>
      </c>
      <c r="E1802" s="52" t="s">
        <v>3902</v>
      </c>
      <c r="F1802" s="54" t="n">
        <v>5</v>
      </c>
      <c r="G1802" s="55" t="n">
        <v>207.14</v>
      </c>
      <c r="H1802" s="55" t="n">
        <v>41.428</v>
      </c>
      <c r="I1802" s="55" t="n">
        <v>48.36</v>
      </c>
      <c r="J1802" s="52" t="s">
        <v>5816</v>
      </c>
      <c r="K1802" s="56" t="n">
        <v>1</v>
      </c>
      <c r="L1802" s="52" t="s">
        <v>5816</v>
      </c>
      <c r="M1802" s="52" t="s">
        <v>130</v>
      </c>
    </row>
    <row r="1803" customFormat="false" ht="17.25" hidden="false" customHeight="true" outlineLevel="0" collapsed="false">
      <c r="A1803" s="52" t="s">
        <v>5777</v>
      </c>
      <c r="B1803" s="52" t="s">
        <v>5813</v>
      </c>
      <c r="C1803" s="53" t="n">
        <v>1465305</v>
      </c>
      <c r="D1803" s="52" t="s">
        <v>3903</v>
      </c>
      <c r="E1803" s="52" t="s">
        <v>3904</v>
      </c>
      <c r="F1803" s="54" t="n">
        <v>184</v>
      </c>
      <c r="G1803" s="55" t="n">
        <v>206.68</v>
      </c>
      <c r="H1803" s="55" t="n">
        <v>1.1233</v>
      </c>
      <c r="I1803" s="55" t="n">
        <v>1</v>
      </c>
      <c r="J1803" s="52" t="s">
        <v>5816</v>
      </c>
      <c r="K1803" s="56" t="n">
        <v>1</v>
      </c>
      <c r="L1803" s="52" t="s">
        <v>5816</v>
      </c>
      <c r="M1803" s="52" t="s">
        <v>100</v>
      </c>
    </row>
    <row r="1804" customFormat="false" ht="17.25" hidden="false" customHeight="true" outlineLevel="0" collapsed="false">
      <c r="A1804" s="52" t="s">
        <v>5777</v>
      </c>
      <c r="B1804" s="52" t="s">
        <v>5813</v>
      </c>
      <c r="C1804" s="53" t="n">
        <v>1330309</v>
      </c>
      <c r="D1804" s="52" t="s">
        <v>3905</v>
      </c>
      <c r="E1804" s="52" t="s">
        <v>3906</v>
      </c>
      <c r="F1804" s="54" t="n">
        <v>6</v>
      </c>
      <c r="G1804" s="55" t="n">
        <v>206</v>
      </c>
      <c r="H1804" s="55" t="n">
        <v>34.3333</v>
      </c>
      <c r="I1804" s="55" t="n">
        <v>36</v>
      </c>
      <c r="J1804" s="52" t="s">
        <v>5816</v>
      </c>
      <c r="K1804" s="56" t="n">
        <v>1</v>
      </c>
      <c r="L1804" s="52" t="s">
        <v>5816</v>
      </c>
      <c r="M1804" s="52" t="s">
        <v>54</v>
      </c>
    </row>
    <row r="1805" customFormat="false" ht="17.25" hidden="false" customHeight="true" outlineLevel="0" collapsed="false">
      <c r="A1805" s="52" t="s">
        <v>5777</v>
      </c>
      <c r="B1805" s="52" t="s">
        <v>5813</v>
      </c>
      <c r="C1805" s="53" t="n">
        <v>55080</v>
      </c>
      <c r="D1805" s="52" t="s">
        <v>3907</v>
      </c>
      <c r="E1805" s="52" t="s">
        <v>3908</v>
      </c>
      <c r="F1805" s="54" t="n">
        <v>9</v>
      </c>
      <c r="G1805" s="55" t="n">
        <v>204.12</v>
      </c>
      <c r="H1805" s="55" t="n">
        <v>22.68</v>
      </c>
      <c r="I1805" s="55" t="n">
        <v>5.4</v>
      </c>
      <c r="J1805" s="52" t="s">
        <v>5816</v>
      </c>
      <c r="K1805" s="56" t="n">
        <v>1</v>
      </c>
      <c r="L1805" s="52" t="s">
        <v>5816</v>
      </c>
      <c r="M1805" s="52" t="s">
        <v>38</v>
      </c>
    </row>
    <row r="1806" customFormat="false" ht="17.25" hidden="false" customHeight="true" outlineLevel="0" collapsed="false">
      <c r="A1806" s="52" t="s">
        <v>5777</v>
      </c>
      <c r="B1806" s="52" t="s">
        <v>5813</v>
      </c>
      <c r="C1806" s="53" t="n">
        <v>274424</v>
      </c>
      <c r="D1806" s="52" t="s">
        <v>3909</v>
      </c>
      <c r="E1806" s="52" t="s">
        <v>3910</v>
      </c>
      <c r="F1806" s="54" t="n">
        <v>3</v>
      </c>
      <c r="G1806" s="55" t="n">
        <v>204</v>
      </c>
      <c r="H1806" s="55" t="n">
        <v>68</v>
      </c>
      <c r="I1806" s="55" t="n">
        <v>68</v>
      </c>
      <c r="J1806" s="52" t="s">
        <v>5814</v>
      </c>
      <c r="K1806" s="56" t="n">
        <v>1</v>
      </c>
      <c r="L1806" s="52" t="s">
        <v>5814</v>
      </c>
      <c r="M1806" s="52" t="s">
        <v>54</v>
      </c>
    </row>
    <row r="1807" customFormat="false" ht="17.25" hidden="false" customHeight="true" outlineLevel="0" collapsed="false">
      <c r="A1807" s="52" t="s">
        <v>5777</v>
      </c>
      <c r="B1807" s="52" t="s">
        <v>5813</v>
      </c>
      <c r="C1807" s="53" t="n">
        <v>949968</v>
      </c>
      <c r="D1807" s="52" t="s">
        <v>3911</v>
      </c>
      <c r="E1807" s="52" t="s">
        <v>3912</v>
      </c>
      <c r="F1807" s="54" t="n">
        <v>6</v>
      </c>
      <c r="G1807" s="55" t="n">
        <v>204</v>
      </c>
      <c r="H1807" s="55" t="n">
        <v>34</v>
      </c>
      <c r="I1807" s="55" t="n">
        <v>34</v>
      </c>
      <c r="J1807" s="52" t="s">
        <v>5816</v>
      </c>
      <c r="K1807" s="56" t="n">
        <v>1</v>
      </c>
      <c r="L1807" s="52" t="s">
        <v>5816</v>
      </c>
      <c r="M1807" s="52" t="s">
        <v>54</v>
      </c>
    </row>
    <row r="1808" customFormat="false" ht="17.25" hidden="false" customHeight="true" outlineLevel="0" collapsed="false">
      <c r="A1808" s="52" t="s">
        <v>5777</v>
      </c>
      <c r="B1808" s="52" t="s">
        <v>5813</v>
      </c>
      <c r="C1808" s="53" t="n">
        <v>954946</v>
      </c>
      <c r="D1808" s="52" t="s">
        <v>3913</v>
      </c>
      <c r="E1808" s="52" t="s">
        <v>3914</v>
      </c>
      <c r="F1808" s="54" t="n">
        <v>2</v>
      </c>
      <c r="G1808" s="55" t="n">
        <v>203.62</v>
      </c>
      <c r="H1808" s="55" t="n">
        <v>101.81</v>
      </c>
      <c r="I1808" s="55" t="n">
        <v>22.98</v>
      </c>
      <c r="J1808" s="52" t="s">
        <v>5816</v>
      </c>
      <c r="K1808" s="56" t="n">
        <v>1</v>
      </c>
      <c r="L1808" s="52" t="s">
        <v>5816</v>
      </c>
      <c r="M1808" s="52" t="s">
        <v>54</v>
      </c>
    </row>
    <row r="1809" customFormat="false" ht="17.25" hidden="false" customHeight="true" outlineLevel="0" collapsed="false">
      <c r="A1809" s="52" t="s">
        <v>5777</v>
      </c>
      <c r="B1809" s="52" t="s">
        <v>5813</v>
      </c>
      <c r="C1809" s="53" t="n">
        <v>835503</v>
      </c>
      <c r="D1809" s="52" t="s">
        <v>3915</v>
      </c>
      <c r="E1809" s="52" t="s">
        <v>3916</v>
      </c>
      <c r="F1809" s="54" t="n">
        <v>12</v>
      </c>
      <c r="G1809" s="55" t="n">
        <v>203.52</v>
      </c>
      <c r="H1809" s="55" t="n">
        <v>16.96</v>
      </c>
      <c r="I1809" s="55" t="n">
        <v>16.96</v>
      </c>
      <c r="J1809" s="52" t="s">
        <v>5816</v>
      </c>
      <c r="K1809" s="56" t="n">
        <v>1</v>
      </c>
      <c r="L1809" s="52" t="s">
        <v>5816</v>
      </c>
      <c r="M1809" s="52" t="s">
        <v>38</v>
      </c>
    </row>
    <row r="1810" customFormat="false" ht="17.25" hidden="false" customHeight="true" outlineLevel="0" collapsed="false">
      <c r="A1810" s="52" t="s">
        <v>5777</v>
      </c>
      <c r="B1810" s="52" t="s">
        <v>5813</v>
      </c>
      <c r="C1810" s="53" t="n">
        <v>1659861</v>
      </c>
      <c r="D1810" s="52" t="s">
        <v>3917</v>
      </c>
      <c r="E1810" s="52" t="s">
        <v>3918</v>
      </c>
      <c r="F1810" s="54" t="n">
        <v>16</v>
      </c>
      <c r="G1810" s="55" t="n">
        <v>203.2</v>
      </c>
      <c r="H1810" s="55" t="n">
        <v>12.7</v>
      </c>
      <c r="I1810" s="55" t="n">
        <v>12.7</v>
      </c>
      <c r="J1810" s="52" t="s">
        <v>5816</v>
      </c>
      <c r="K1810" s="56" t="n">
        <v>1</v>
      </c>
      <c r="L1810" s="52" t="s">
        <v>5816</v>
      </c>
      <c r="M1810" s="52" t="s">
        <v>38</v>
      </c>
    </row>
    <row r="1811" customFormat="false" ht="17.25" hidden="false" customHeight="true" outlineLevel="0" collapsed="false">
      <c r="A1811" s="52" t="s">
        <v>5777</v>
      </c>
      <c r="B1811" s="52" t="s">
        <v>5813</v>
      </c>
      <c r="C1811" s="53" t="n">
        <v>1656098</v>
      </c>
      <c r="D1811" s="52" t="s">
        <v>3919</v>
      </c>
      <c r="E1811" s="52" t="s">
        <v>3920</v>
      </c>
      <c r="F1811" s="54" t="n">
        <v>10</v>
      </c>
      <c r="G1811" s="55" t="n">
        <v>202.5</v>
      </c>
      <c r="H1811" s="55" t="n">
        <v>20.25</v>
      </c>
      <c r="I1811" s="55" t="n">
        <v>20.25</v>
      </c>
      <c r="J1811" s="52" t="s">
        <v>5816</v>
      </c>
      <c r="K1811" s="56" t="n">
        <v>1</v>
      </c>
      <c r="L1811" s="52" t="s">
        <v>5816</v>
      </c>
      <c r="M1811" s="52" t="s">
        <v>217</v>
      </c>
    </row>
    <row r="1812" customFormat="false" ht="17.25" hidden="false" customHeight="true" outlineLevel="0" collapsed="false">
      <c r="A1812" s="52" t="s">
        <v>5777</v>
      </c>
      <c r="B1812" s="52" t="s">
        <v>5813</v>
      </c>
      <c r="C1812" s="53" t="n">
        <v>1384747</v>
      </c>
      <c r="D1812" s="52" t="s">
        <v>3921</v>
      </c>
      <c r="E1812" s="52" t="s">
        <v>3922</v>
      </c>
      <c r="F1812" s="54" t="n">
        <v>8</v>
      </c>
      <c r="G1812" s="55" t="n">
        <v>201.68</v>
      </c>
      <c r="H1812" s="55" t="n">
        <v>25.21</v>
      </c>
      <c r="I1812" s="55" t="n">
        <v>25.21</v>
      </c>
      <c r="J1812" s="52" t="s">
        <v>5816</v>
      </c>
      <c r="K1812" s="56" t="n">
        <v>1</v>
      </c>
      <c r="L1812" s="52" t="s">
        <v>5816</v>
      </c>
      <c r="M1812" s="52" t="s">
        <v>38</v>
      </c>
    </row>
    <row r="1813" customFormat="false" ht="17.25" hidden="false" customHeight="true" outlineLevel="0" collapsed="false">
      <c r="A1813" s="52" t="s">
        <v>5777</v>
      </c>
      <c r="B1813" s="52" t="s">
        <v>5813</v>
      </c>
      <c r="C1813" s="53" t="n">
        <v>1607593</v>
      </c>
      <c r="D1813" s="52" t="s">
        <v>3923</v>
      </c>
      <c r="E1813" s="52" t="s">
        <v>3924</v>
      </c>
      <c r="F1813" s="54" t="n">
        <v>3</v>
      </c>
      <c r="G1813" s="55" t="n">
        <v>201</v>
      </c>
      <c r="H1813" s="55" t="n">
        <v>67</v>
      </c>
      <c r="I1813" s="55" t="n">
        <v>67</v>
      </c>
      <c r="J1813" s="52" t="s">
        <v>5816</v>
      </c>
      <c r="K1813" s="56" t="n">
        <v>1</v>
      </c>
      <c r="L1813" s="52" t="s">
        <v>5816</v>
      </c>
      <c r="M1813" s="52" t="s">
        <v>38</v>
      </c>
    </row>
    <row r="1814" customFormat="false" ht="17.25" hidden="false" customHeight="true" outlineLevel="0" collapsed="false">
      <c r="A1814" s="52" t="s">
        <v>5777</v>
      </c>
      <c r="B1814" s="52" t="s">
        <v>5813</v>
      </c>
      <c r="C1814" s="53" t="n">
        <v>35244</v>
      </c>
      <c r="D1814" s="52" t="s">
        <v>3925</v>
      </c>
      <c r="E1814" s="52" t="s">
        <v>3926</v>
      </c>
      <c r="F1814" s="54" t="n">
        <v>25</v>
      </c>
      <c r="G1814" s="55" t="n">
        <v>200</v>
      </c>
      <c r="H1814" s="55" t="n">
        <v>8</v>
      </c>
      <c r="I1814" s="55" t="n">
        <v>8</v>
      </c>
      <c r="J1814" s="52" t="s">
        <v>5816</v>
      </c>
      <c r="K1814" s="56" t="n">
        <v>1</v>
      </c>
      <c r="L1814" s="52" t="s">
        <v>5816</v>
      </c>
      <c r="M1814" s="52" t="s">
        <v>457</v>
      </c>
    </row>
    <row r="1815" customFormat="false" ht="17.25" hidden="false" customHeight="true" outlineLevel="0" collapsed="false">
      <c r="A1815" s="52" t="s">
        <v>5777</v>
      </c>
      <c r="B1815" s="52" t="s">
        <v>5813</v>
      </c>
      <c r="C1815" s="53" t="n">
        <v>884051</v>
      </c>
      <c r="D1815" s="52" t="s">
        <v>3927</v>
      </c>
      <c r="E1815" s="52" t="s">
        <v>3928</v>
      </c>
      <c r="F1815" s="54" t="n">
        <v>8</v>
      </c>
      <c r="G1815" s="55" t="n">
        <v>199.84</v>
      </c>
      <c r="H1815" s="55" t="n">
        <v>24.98</v>
      </c>
      <c r="I1815" s="55" t="n">
        <v>24.98</v>
      </c>
      <c r="J1815" s="52" t="s">
        <v>5816</v>
      </c>
      <c r="K1815" s="56" t="n">
        <v>1</v>
      </c>
      <c r="L1815" s="52" t="s">
        <v>5816</v>
      </c>
      <c r="M1815" s="52" t="s">
        <v>38</v>
      </c>
    </row>
    <row r="1816" customFormat="false" ht="17.25" hidden="false" customHeight="true" outlineLevel="0" collapsed="false">
      <c r="A1816" s="52" t="s">
        <v>5777</v>
      </c>
      <c r="B1816" s="52" t="s">
        <v>5813</v>
      </c>
      <c r="C1816" s="53" t="n">
        <v>14779</v>
      </c>
      <c r="D1816" s="52" t="s">
        <v>3929</v>
      </c>
      <c r="E1816" s="52" t="s">
        <v>3930</v>
      </c>
      <c r="F1816" s="54" t="n">
        <v>10</v>
      </c>
      <c r="G1816" s="55" t="n">
        <v>199.8</v>
      </c>
      <c r="H1816" s="55" t="n">
        <v>19.98</v>
      </c>
      <c r="I1816" s="55" t="n">
        <v>19.98</v>
      </c>
      <c r="J1816" s="52" t="s">
        <v>5816</v>
      </c>
      <c r="K1816" s="56" t="n">
        <v>1</v>
      </c>
      <c r="L1816" s="52" t="s">
        <v>5816</v>
      </c>
      <c r="M1816" s="52" t="s">
        <v>54</v>
      </c>
    </row>
    <row r="1817" customFormat="false" ht="17.25" hidden="false" customHeight="true" outlineLevel="0" collapsed="false">
      <c r="A1817" s="52" t="s">
        <v>5777</v>
      </c>
      <c r="B1817" s="52" t="s">
        <v>5813</v>
      </c>
      <c r="C1817" s="53" t="n">
        <v>55348</v>
      </c>
      <c r="D1817" s="52" t="s">
        <v>3931</v>
      </c>
      <c r="E1817" s="52" t="s">
        <v>3932</v>
      </c>
      <c r="F1817" s="54" t="n">
        <v>10</v>
      </c>
      <c r="G1817" s="55" t="n">
        <v>199.8</v>
      </c>
      <c r="H1817" s="55" t="n">
        <v>19.98</v>
      </c>
      <c r="I1817" s="55" t="n">
        <v>19.98</v>
      </c>
      <c r="J1817" s="52" t="s">
        <v>5816</v>
      </c>
      <c r="K1817" s="56" t="n">
        <v>1</v>
      </c>
      <c r="L1817" s="52" t="s">
        <v>5816</v>
      </c>
      <c r="M1817" s="52" t="s">
        <v>38</v>
      </c>
    </row>
    <row r="1818" customFormat="false" ht="17.25" hidden="false" customHeight="true" outlineLevel="0" collapsed="false">
      <c r="A1818" s="52" t="s">
        <v>5777</v>
      </c>
      <c r="B1818" s="52" t="s">
        <v>5813</v>
      </c>
      <c r="C1818" s="53" t="n">
        <v>1108304</v>
      </c>
      <c r="D1818" s="52" t="s">
        <v>3933</v>
      </c>
      <c r="E1818" s="52" t="s">
        <v>3934</v>
      </c>
      <c r="F1818" s="54" t="n">
        <v>10</v>
      </c>
      <c r="G1818" s="55" t="n">
        <v>199.8</v>
      </c>
      <c r="H1818" s="55" t="n">
        <v>19.98</v>
      </c>
      <c r="I1818" s="55" t="n">
        <v>19.98</v>
      </c>
      <c r="J1818" s="52" t="s">
        <v>5816</v>
      </c>
      <c r="K1818" s="56" t="n">
        <v>1</v>
      </c>
      <c r="L1818" s="52" t="s">
        <v>5816</v>
      </c>
      <c r="M1818" s="52" t="s">
        <v>54</v>
      </c>
    </row>
    <row r="1819" customFormat="false" ht="17.25" hidden="false" customHeight="true" outlineLevel="0" collapsed="false">
      <c r="A1819" s="52" t="s">
        <v>5777</v>
      </c>
      <c r="B1819" s="52" t="s">
        <v>5813</v>
      </c>
      <c r="C1819" s="53" t="n">
        <v>551137</v>
      </c>
      <c r="D1819" s="52" t="s">
        <v>3935</v>
      </c>
      <c r="E1819" s="52" t="s">
        <v>3936</v>
      </c>
      <c r="F1819" s="54" t="n">
        <v>11</v>
      </c>
      <c r="G1819" s="55" t="n">
        <v>199.5</v>
      </c>
      <c r="H1819" s="55" t="n">
        <v>18.1364</v>
      </c>
      <c r="I1819" s="55" t="n">
        <v>14.1</v>
      </c>
      <c r="J1819" s="52" t="s">
        <v>5816</v>
      </c>
      <c r="K1819" s="56" t="n">
        <v>1</v>
      </c>
      <c r="L1819" s="52" t="s">
        <v>5816</v>
      </c>
      <c r="M1819" s="52" t="s">
        <v>247</v>
      </c>
    </row>
    <row r="1820" customFormat="false" ht="17.25" hidden="false" customHeight="true" outlineLevel="0" collapsed="false">
      <c r="A1820" s="52" t="s">
        <v>5777</v>
      </c>
      <c r="B1820" s="52" t="s">
        <v>5813</v>
      </c>
      <c r="C1820" s="53" t="n">
        <v>23560</v>
      </c>
      <c r="D1820" s="52" t="s">
        <v>3937</v>
      </c>
      <c r="E1820" s="52" t="s">
        <v>3938</v>
      </c>
      <c r="F1820" s="54" t="n">
        <v>1</v>
      </c>
      <c r="G1820" s="55" t="n">
        <v>199</v>
      </c>
      <c r="H1820" s="55" t="n">
        <v>199</v>
      </c>
      <c r="I1820" s="55" t="n">
        <v>199</v>
      </c>
      <c r="J1820" s="52" t="s">
        <v>5816</v>
      </c>
      <c r="K1820" s="56" t="n">
        <v>1</v>
      </c>
      <c r="L1820" s="52" t="s">
        <v>5816</v>
      </c>
      <c r="M1820" s="52" t="s">
        <v>93</v>
      </c>
    </row>
    <row r="1821" customFormat="false" ht="17.25" hidden="false" customHeight="true" outlineLevel="0" collapsed="false">
      <c r="A1821" s="52" t="s">
        <v>5777</v>
      </c>
      <c r="B1821" s="52" t="s">
        <v>5813</v>
      </c>
      <c r="C1821" s="53" t="n">
        <v>1610265</v>
      </c>
      <c r="D1821" s="52" t="s">
        <v>3939</v>
      </c>
      <c r="E1821" s="52" t="s">
        <v>3940</v>
      </c>
      <c r="F1821" s="54" t="n">
        <v>4</v>
      </c>
      <c r="G1821" s="55" t="n">
        <v>198.36</v>
      </c>
      <c r="H1821" s="55" t="n">
        <v>49.59</v>
      </c>
      <c r="I1821" s="55" t="n">
        <v>49.59</v>
      </c>
      <c r="J1821" s="52" t="s">
        <v>5816</v>
      </c>
      <c r="K1821" s="56" t="n">
        <v>1</v>
      </c>
      <c r="L1821" s="52" t="s">
        <v>5816</v>
      </c>
      <c r="M1821" s="52" t="s">
        <v>130</v>
      </c>
    </row>
    <row r="1822" customFormat="false" ht="17.25" hidden="false" customHeight="true" outlineLevel="0" collapsed="false">
      <c r="A1822" s="52" t="s">
        <v>5777</v>
      </c>
      <c r="B1822" s="52" t="s">
        <v>5813</v>
      </c>
      <c r="C1822" s="53" t="n">
        <v>17956</v>
      </c>
      <c r="D1822" s="52" t="s">
        <v>3941</v>
      </c>
      <c r="E1822" s="52" t="s">
        <v>3942</v>
      </c>
      <c r="F1822" s="54" t="n">
        <v>1</v>
      </c>
      <c r="G1822" s="55" t="n">
        <v>198</v>
      </c>
      <c r="H1822" s="55" t="n">
        <v>198</v>
      </c>
      <c r="I1822" s="55" t="n">
        <v>198</v>
      </c>
      <c r="J1822" s="52" t="s">
        <v>5816</v>
      </c>
      <c r="K1822" s="56" t="n">
        <v>1</v>
      </c>
      <c r="L1822" s="52" t="s">
        <v>5816</v>
      </c>
      <c r="M1822" s="52" t="s">
        <v>130</v>
      </c>
    </row>
    <row r="1823" customFormat="false" ht="17.25" hidden="false" customHeight="true" outlineLevel="0" collapsed="false">
      <c r="A1823" s="52" t="s">
        <v>5777</v>
      </c>
      <c r="B1823" s="52" t="s">
        <v>5813</v>
      </c>
      <c r="C1823" s="53" t="n">
        <v>18051</v>
      </c>
      <c r="D1823" s="52" t="s">
        <v>3943</v>
      </c>
      <c r="E1823" s="52" t="s">
        <v>3944</v>
      </c>
      <c r="F1823" s="54" t="n">
        <v>1</v>
      </c>
      <c r="G1823" s="55" t="n">
        <v>198</v>
      </c>
      <c r="H1823" s="55" t="n">
        <v>198</v>
      </c>
      <c r="I1823" s="55" t="n">
        <v>198</v>
      </c>
      <c r="J1823" s="52" t="s">
        <v>5816</v>
      </c>
      <c r="K1823" s="56" t="n">
        <v>1</v>
      </c>
      <c r="L1823" s="52" t="s">
        <v>5816</v>
      </c>
      <c r="M1823" s="52" t="s">
        <v>130</v>
      </c>
    </row>
    <row r="1824" customFormat="false" ht="17.25" hidden="false" customHeight="true" outlineLevel="0" collapsed="false">
      <c r="A1824" s="52" t="s">
        <v>5777</v>
      </c>
      <c r="B1824" s="52" t="s">
        <v>5813</v>
      </c>
      <c r="C1824" s="53" t="n">
        <v>34551</v>
      </c>
      <c r="D1824" s="52" t="s">
        <v>3945</v>
      </c>
      <c r="E1824" s="52" t="s">
        <v>3946</v>
      </c>
      <c r="F1824" s="54" t="n">
        <v>2</v>
      </c>
      <c r="G1824" s="55" t="n">
        <v>198</v>
      </c>
      <c r="H1824" s="55" t="n">
        <v>99</v>
      </c>
      <c r="I1824" s="55" t="n">
        <v>99</v>
      </c>
      <c r="J1824" s="52" t="s">
        <v>5816</v>
      </c>
      <c r="K1824" s="56" t="n">
        <v>1</v>
      </c>
      <c r="L1824" s="52" t="s">
        <v>5816</v>
      </c>
      <c r="M1824" s="52" t="s">
        <v>75</v>
      </c>
    </row>
    <row r="1825" customFormat="false" ht="17.25" hidden="false" customHeight="true" outlineLevel="0" collapsed="false">
      <c r="A1825" s="52" t="s">
        <v>5777</v>
      </c>
      <c r="B1825" s="52" t="s">
        <v>5813</v>
      </c>
      <c r="C1825" s="53" t="n">
        <v>58449</v>
      </c>
      <c r="D1825" s="52" t="s">
        <v>3947</v>
      </c>
      <c r="E1825" s="52" t="s">
        <v>3948</v>
      </c>
      <c r="F1825" s="54" t="n">
        <v>1</v>
      </c>
      <c r="G1825" s="55" t="n">
        <v>198</v>
      </c>
      <c r="H1825" s="55" t="n">
        <v>198</v>
      </c>
      <c r="I1825" s="55" t="n">
        <v>198</v>
      </c>
      <c r="J1825" s="52" t="s">
        <v>5816</v>
      </c>
      <c r="K1825" s="56" t="n">
        <v>1</v>
      </c>
      <c r="L1825" s="52" t="s">
        <v>5816</v>
      </c>
      <c r="M1825" s="52" t="s">
        <v>130</v>
      </c>
    </row>
    <row r="1826" customFormat="false" ht="17.25" hidden="false" customHeight="true" outlineLevel="0" collapsed="false">
      <c r="A1826" s="52" t="s">
        <v>5777</v>
      </c>
      <c r="B1826" s="52" t="s">
        <v>5813</v>
      </c>
      <c r="C1826" s="53" t="n">
        <v>35255</v>
      </c>
      <c r="D1826" s="52" t="s">
        <v>3949</v>
      </c>
      <c r="E1826" s="52" t="s">
        <v>3950</v>
      </c>
      <c r="F1826" s="54" t="n">
        <v>6</v>
      </c>
      <c r="G1826" s="55" t="n">
        <v>197.88</v>
      </c>
      <c r="H1826" s="55" t="n">
        <v>32.98</v>
      </c>
      <c r="I1826" s="55" t="n">
        <v>32.98</v>
      </c>
      <c r="J1826" s="52" t="s">
        <v>5816</v>
      </c>
      <c r="K1826" s="56" t="n">
        <v>1</v>
      </c>
      <c r="L1826" s="52" t="s">
        <v>5816</v>
      </c>
      <c r="M1826" s="52" t="s">
        <v>100</v>
      </c>
    </row>
    <row r="1827" customFormat="false" ht="17.25" hidden="false" customHeight="true" outlineLevel="0" collapsed="false">
      <c r="A1827" s="52" t="s">
        <v>5777</v>
      </c>
      <c r="B1827" s="52" t="s">
        <v>5813</v>
      </c>
      <c r="C1827" s="53" t="n">
        <v>1475442</v>
      </c>
      <c r="D1827" s="52" t="s">
        <v>3951</v>
      </c>
      <c r="E1827" s="52" t="s">
        <v>3952</v>
      </c>
      <c r="F1827" s="54" t="n">
        <v>48</v>
      </c>
      <c r="G1827" s="55" t="n">
        <v>197.76</v>
      </c>
      <c r="H1827" s="55" t="n">
        <v>4.12</v>
      </c>
      <c r="I1827" s="55" t="n">
        <v>4.12</v>
      </c>
      <c r="J1827" s="52" t="s">
        <v>5816</v>
      </c>
      <c r="K1827" s="56" t="n">
        <v>1</v>
      </c>
      <c r="L1827" s="52" t="s">
        <v>5816</v>
      </c>
      <c r="M1827" s="52" t="s">
        <v>38</v>
      </c>
    </row>
    <row r="1828" customFormat="false" ht="17.25" hidden="false" customHeight="true" outlineLevel="0" collapsed="false">
      <c r="A1828" s="52" t="s">
        <v>5777</v>
      </c>
      <c r="B1828" s="52" t="s">
        <v>5813</v>
      </c>
      <c r="C1828" s="53" t="n">
        <v>1249040</v>
      </c>
      <c r="D1828" s="52" t="s">
        <v>3953</v>
      </c>
      <c r="E1828" s="52" t="s">
        <v>3954</v>
      </c>
      <c r="F1828" s="54" t="n">
        <v>2.82</v>
      </c>
      <c r="G1828" s="55" t="n">
        <v>197.26</v>
      </c>
      <c r="H1828" s="55" t="n">
        <v>69.9504</v>
      </c>
      <c r="I1828" s="55" t="n">
        <v>69.9504</v>
      </c>
      <c r="J1828" s="52" t="s">
        <v>5816</v>
      </c>
      <c r="K1828" s="56" t="n">
        <v>1</v>
      </c>
      <c r="L1828" s="52" t="s">
        <v>5816</v>
      </c>
      <c r="M1828" s="52" t="s">
        <v>204</v>
      </c>
    </row>
    <row r="1829" customFormat="false" ht="17.25" hidden="false" customHeight="true" outlineLevel="0" collapsed="false">
      <c r="A1829" s="52" t="s">
        <v>5777</v>
      </c>
      <c r="B1829" s="52" t="s">
        <v>5813</v>
      </c>
      <c r="C1829" s="53" t="n">
        <v>477757</v>
      </c>
      <c r="D1829" s="52" t="s">
        <v>3955</v>
      </c>
      <c r="E1829" s="52" t="s">
        <v>3956</v>
      </c>
      <c r="F1829" s="54" t="n">
        <v>8</v>
      </c>
      <c r="G1829" s="55" t="n">
        <v>197.2</v>
      </c>
      <c r="H1829" s="55" t="n">
        <v>24.65</v>
      </c>
      <c r="I1829" s="55" t="n">
        <v>28</v>
      </c>
      <c r="J1829" s="52" t="s">
        <v>5816</v>
      </c>
      <c r="K1829" s="56" t="n">
        <v>1</v>
      </c>
      <c r="L1829" s="52" t="s">
        <v>5816</v>
      </c>
      <c r="M1829" s="52" t="s">
        <v>130</v>
      </c>
    </row>
    <row r="1830" customFormat="false" ht="17.25" hidden="false" customHeight="true" outlineLevel="0" collapsed="false">
      <c r="A1830" s="52" t="s">
        <v>5777</v>
      </c>
      <c r="B1830" s="52" t="s">
        <v>5813</v>
      </c>
      <c r="C1830" s="53" t="n">
        <v>650876</v>
      </c>
      <c r="D1830" s="52" t="s">
        <v>3957</v>
      </c>
      <c r="E1830" s="52" t="s">
        <v>3958</v>
      </c>
      <c r="F1830" s="54" t="n">
        <v>86</v>
      </c>
      <c r="G1830" s="55" t="n">
        <v>196.32</v>
      </c>
      <c r="H1830" s="55" t="n">
        <v>2.2828</v>
      </c>
      <c r="I1830" s="55" t="n">
        <v>4.5</v>
      </c>
      <c r="J1830" s="52" t="s">
        <v>5816</v>
      </c>
      <c r="K1830" s="56" t="n">
        <v>1</v>
      </c>
      <c r="L1830" s="52" t="s">
        <v>5816</v>
      </c>
      <c r="M1830" s="52" t="s">
        <v>100</v>
      </c>
    </row>
    <row r="1831" customFormat="false" ht="17.25" hidden="false" customHeight="true" outlineLevel="0" collapsed="false">
      <c r="A1831" s="52" t="s">
        <v>5777</v>
      </c>
      <c r="B1831" s="52" t="s">
        <v>5813</v>
      </c>
      <c r="C1831" s="53" t="n">
        <v>60676</v>
      </c>
      <c r="D1831" s="52" t="s">
        <v>3959</v>
      </c>
      <c r="E1831" s="52" t="s">
        <v>3960</v>
      </c>
      <c r="F1831" s="54" t="n">
        <v>2</v>
      </c>
      <c r="G1831" s="55" t="n">
        <v>196</v>
      </c>
      <c r="H1831" s="55" t="n">
        <v>98</v>
      </c>
      <c r="I1831" s="55" t="n">
        <v>98</v>
      </c>
      <c r="J1831" s="52" t="s">
        <v>5831</v>
      </c>
      <c r="K1831" s="56" t="n">
        <v>1</v>
      </c>
      <c r="L1831" s="52" t="s">
        <v>5831</v>
      </c>
      <c r="M1831" s="52" t="s">
        <v>247</v>
      </c>
    </row>
    <row r="1832" customFormat="false" ht="17.25" hidden="false" customHeight="true" outlineLevel="0" collapsed="false">
      <c r="A1832" s="52" t="s">
        <v>5777</v>
      </c>
      <c r="B1832" s="52" t="s">
        <v>5813</v>
      </c>
      <c r="C1832" s="53" t="n">
        <v>89195</v>
      </c>
      <c r="D1832" s="52" t="s">
        <v>3961</v>
      </c>
      <c r="E1832" s="52" t="s">
        <v>3962</v>
      </c>
      <c r="F1832" s="54" t="n">
        <v>2</v>
      </c>
      <c r="G1832" s="55" t="n">
        <v>196</v>
      </c>
      <c r="H1832" s="55" t="n">
        <v>98</v>
      </c>
      <c r="I1832" s="55" t="n">
        <v>98</v>
      </c>
      <c r="J1832" s="52" t="s">
        <v>5816</v>
      </c>
      <c r="K1832" s="56" t="n">
        <v>1</v>
      </c>
      <c r="L1832" s="52" t="s">
        <v>5816</v>
      </c>
      <c r="M1832" s="52" t="s">
        <v>722</v>
      </c>
    </row>
    <row r="1833" customFormat="false" ht="17.25" hidden="false" customHeight="true" outlineLevel="0" collapsed="false">
      <c r="A1833" s="52" t="s">
        <v>5777</v>
      </c>
      <c r="B1833" s="52" t="s">
        <v>5813</v>
      </c>
      <c r="C1833" s="53" t="n">
        <v>292288</v>
      </c>
      <c r="D1833" s="52" t="s">
        <v>3963</v>
      </c>
      <c r="E1833" s="52" t="s">
        <v>5945</v>
      </c>
      <c r="F1833" s="54" t="n">
        <v>100</v>
      </c>
      <c r="G1833" s="55" t="n">
        <v>196</v>
      </c>
      <c r="H1833" s="55" t="n">
        <v>1.96</v>
      </c>
      <c r="I1833" s="55" t="n">
        <v>1.96</v>
      </c>
      <c r="J1833" s="52" t="s">
        <v>5816</v>
      </c>
      <c r="K1833" s="56" t="n">
        <v>1</v>
      </c>
      <c r="L1833" s="52" t="s">
        <v>5816</v>
      </c>
      <c r="M1833" s="52" t="s">
        <v>38</v>
      </c>
    </row>
    <row r="1834" customFormat="false" ht="17.25" hidden="false" customHeight="true" outlineLevel="0" collapsed="false">
      <c r="A1834" s="52" t="s">
        <v>5777</v>
      </c>
      <c r="B1834" s="52" t="s">
        <v>5813</v>
      </c>
      <c r="C1834" s="53" t="n">
        <v>853176</v>
      </c>
      <c r="D1834" s="52" t="s">
        <v>3965</v>
      </c>
      <c r="E1834" s="52" t="s">
        <v>5946</v>
      </c>
      <c r="F1834" s="54" t="n">
        <v>20</v>
      </c>
      <c r="G1834" s="55" t="n">
        <v>196</v>
      </c>
      <c r="H1834" s="55" t="n">
        <v>9.8</v>
      </c>
      <c r="I1834" s="55" t="n">
        <v>9.8</v>
      </c>
      <c r="J1834" s="52" t="s">
        <v>5814</v>
      </c>
      <c r="K1834" s="56" t="n">
        <v>1</v>
      </c>
      <c r="L1834" s="52" t="s">
        <v>5814</v>
      </c>
      <c r="M1834" s="52" t="s">
        <v>38</v>
      </c>
    </row>
    <row r="1835" customFormat="false" ht="17.25" hidden="false" customHeight="true" outlineLevel="0" collapsed="false">
      <c r="A1835" s="52" t="s">
        <v>5777</v>
      </c>
      <c r="B1835" s="52" t="s">
        <v>5813</v>
      </c>
      <c r="C1835" s="53" t="n">
        <v>1388691</v>
      </c>
      <c r="D1835" s="52" t="s">
        <v>3967</v>
      </c>
      <c r="E1835" s="52" t="s">
        <v>3968</v>
      </c>
      <c r="F1835" s="54" t="n">
        <v>2</v>
      </c>
      <c r="G1835" s="55" t="n">
        <v>196</v>
      </c>
      <c r="H1835" s="55" t="n">
        <v>98</v>
      </c>
      <c r="I1835" s="55" t="n">
        <v>98</v>
      </c>
      <c r="J1835" s="52" t="s">
        <v>5816</v>
      </c>
      <c r="K1835" s="56" t="n">
        <v>1</v>
      </c>
      <c r="L1835" s="52" t="s">
        <v>5816</v>
      </c>
      <c r="M1835" s="52" t="s">
        <v>130</v>
      </c>
    </row>
    <row r="1836" customFormat="false" ht="17.25" hidden="false" customHeight="true" outlineLevel="0" collapsed="false">
      <c r="A1836" s="52" t="s">
        <v>5777</v>
      </c>
      <c r="B1836" s="52" t="s">
        <v>5813</v>
      </c>
      <c r="C1836" s="53" t="n">
        <v>1488427</v>
      </c>
      <c r="D1836" s="52" t="s">
        <v>3969</v>
      </c>
      <c r="E1836" s="52" t="s">
        <v>3970</v>
      </c>
      <c r="F1836" s="54" t="n">
        <v>2</v>
      </c>
      <c r="G1836" s="55" t="n">
        <v>196</v>
      </c>
      <c r="H1836" s="55" t="n">
        <v>98</v>
      </c>
      <c r="I1836" s="55" t="n">
        <v>98</v>
      </c>
      <c r="J1836" s="52" t="s">
        <v>5816</v>
      </c>
      <c r="K1836" s="56" t="n">
        <v>1</v>
      </c>
      <c r="L1836" s="52" t="s">
        <v>5816</v>
      </c>
      <c r="M1836" s="52" t="s">
        <v>247</v>
      </c>
    </row>
    <row r="1837" customFormat="false" ht="17.25" hidden="false" customHeight="true" outlineLevel="0" collapsed="false">
      <c r="A1837" s="52" t="s">
        <v>5777</v>
      </c>
      <c r="B1837" s="52" t="s">
        <v>5813</v>
      </c>
      <c r="C1837" s="53" t="n">
        <v>1464477</v>
      </c>
      <c r="D1837" s="52" t="s">
        <v>3971</v>
      </c>
      <c r="E1837" s="52" t="s">
        <v>3972</v>
      </c>
      <c r="F1837" s="54" t="n">
        <v>50</v>
      </c>
      <c r="G1837" s="55" t="n">
        <v>195.5</v>
      </c>
      <c r="H1837" s="55" t="n">
        <v>3.91</v>
      </c>
      <c r="I1837" s="55" t="n">
        <v>3.91</v>
      </c>
      <c r="J1837" s="52" t="s">
        <v>5816</v>
      </c>
      <c r="K1837" s="56" t="n">
        <v>1</v>
      </c>
      <c r="L1837" s="52" t="s">
        <v>5816</v>
      </c>
      <c r="M1837" s="52" t="s">
        <v>230</v>
      </c>
    </row>
    <row r="1838" customFormat="false" ht="17.25" hidden="false" customHeight="true" outlineLevel="0" collapsed="false">
      <c r="A1838" s="52" t="s">
        <v>5777</v>
      </c>
      <c r="B1838" s="52" t="s">
        <v>5813</v>
      </c>
      <c r="C1838" s="53" t="n">
        <v>844081</v>
      </c>
      <c r="D1838" s="52" t="s">
        <v>3973</v>
      </c>
      <c r="E1838" s="52" t="s">
        <v>3974</v>
      </c>
      <c r="F1838" s="54" t="n">
        <v>25</v>
      </c>
      <c r="G1838" s="55" t="n">
        <v>194.5</v>
      </c>
      <c r="H1838" s="55" t="n">
        <v>7.78</v>
      </c>
      <c r="I1838" s="55" t="n">
        <v>7.78</v>
      </c>
      <c r="J1838" s="52" t="s">
        <v>5816</v>
      </c>
      <c r="K1838" s="56" t="n">
        <v>1</v>
      </c>
      <c r="L1838" s="52" t="s">
        <v>5816</v>
      </c>
      <c r="M1838" s="52" t="s">
        <v>38</v>
      </c>
    </row>
    <row r="1839" customFormat="false" ht="17.25" hidden="false" customHeight="true" outlineLevel="0" collapsed="false">
      <c r="A1839" s="52" t="s">
        <v>5777</v>
      </c>
      <c r="B1839" s="52" t="s">
        <v>5813</v>
      </c>
      <c r="C1839" s="53" t="n">
        <v>34600</v>
      </c>
      <c r="D1839" s="52" t="s">
        <v>3975</v>
      </c>
      <c r="E1839" s="52" t="s">
        <v>3976</v>
      </c>
      <c r="F1839" s="54" t="n">
        <v>18</v>
      </c>
      <c r="G1839" s="55" t="n">
        <v>194.4</v>
      </c>
      <c r="H1839" s="55" t="n">
        <v>10.8</v>
      </c>
      <c r="I1839" s="55" t="n">
        <v>10.8</v>
      </c>
      <c r="J1839" s="52" t="s">
        <v>5816</v>
      </c>
      <c r="K1839" s="56" t="n">
        <v>1</v>
      </c>
      <c r="L1839" s="52" t="s">
        <v>5816</v>
      </c>
      <c r="M1839" s="52" t="s">
        <v>38</v>
      </c>
    </row>
    <row r="1840" customFormat="false" ht="17.25" hidden="false" customHeight="true" outlineLevel="0" collapsed="false">
      <c r="A1840" s="52" t="s">
        <v>5777</v>
      </c>
      <c r="B1840" s="52" t="s">
        <v>5813</v>
      </c>
      <c r="C1840" s="53" t="n">
        <v>1461933</v>
      </c>
      <c r="D1840" s="52" t="s">
        <v>3977</v>
      </c>
      <c r="E1840" s="52" t="s">
        <v>3978</v>
      </c>
      <c r="F1840" s="54" t="n">
        <v>212</v>
      </c>
      <c r="G1840" s="55" t="n">
        <v>194.36</v>
      </c>
      <c r="H1840" s="55" t="n">
        <v>0.9168</v>
      </c>
      <c r="I1840" s="55" t="n">
        <v>2.98</v>
      </c>
      <c r="J1840" s="52" t="s">
        <v>5816</v>
      </c>
      <c r="K1840" s="56" t="n">
        <v>1</v>
      </c>
      <c r="L1840" s="52" t="s">
        <v>5816</v>
      </c>
      <c r="M1840" s="52" t="s">
        <v>100</v>
      </c>
    </row>
    <row r="1841" customFormat="false" ht="17.25" hidden="false" customHeight="true" outlineLevel="0" collapsed="false">
      <c r="A1841" s="52" t="s">
        <v>5777</v>
      </c>
      <c r="B1841" s="52" t="s">
        <v>5813</v>
      </c>
      <c r="C1841" s="53" t="n">
        <v>20992</v>
      </c>
      <c r="D1841" s="52" t="s">
        <v>3979</v>
      </c>
      <c r="E1841" s="52" t="s">
        <v>3980</v>
      </c>
      <c r="F1841" s="54" t="n">
        <v>10</v>
      </c>
      <c r="G1841" s="55" t="n">
        <v>194</v>
      </c>
      <c r="H1841" s="55" t="n">
        <v>19.4</v>
      </c>
      <c r="I1841" s="55" t="n">
        <v>19.4</v>
      </c>
      <c r="J1841" s="52" t="s">
        <v>5816</v>
      </c>
      <c r="K1841" s="56" t="n">
        <v>1</v>
      </c>
      <c r="L1841" s="52" t="s">
        <v>5816</v>
      </c>
      <c r="M1841" s="52" t="s">
        <v>54</v>
      </c>
    </row>
    <row r="1842" customFormat="false" ht="17.25" hidden="false" customHeight="true" outlineLevel="0" collapsed="false">
      <c r="A1842" s="52" t="s">
        <v>5777</v>
      </c>
      <c r="B1842" s="52" t="s">
        <v>5813</v>
      </c>
      <c r="C1842" s="53" t="n">
        <v>840001</v>
      </c>
      <c r="D1842" s="52" t="s">
        <v>3981</v>
      </c>
      <c r="E1842" s="52" t="s">
        <v>3982</v>
      </c>
      <c r="F1842" s="54" t="n">
        <v>97</v>
      </c>
      <c r="G1842" s="55" t="n">
        <v>193.08</v>
      </c>
      <c r="H1842" s="55" t="n">
        <v>1.9905</v>
      </c>
      <c r="I1842" s="55" t="n">
        <v>3.48</v>
      </c>
      <c r="J1842" s="52" t="s">
        <v>5816</v>
      </c>
      <c r="K1842" s="56" t="n">
        <v>1</v>
      </c>
      <c r="L1842" s="52" t="s">
        <v>5816</v>
      </c>
      <c r="M1842" s="52" t="s">
        <v>54</v>
      </c>
    </row>
    <row r="1843" customFormat="false" ht="17.25" hidden="false" customHeight="true" outlineLevel="0" collapsed="false">
      <c r="A1843" s="52" t="s">
        <v>5777</v>
      </c>
      <c r="B1843" s="52" t="s">
        <v>5813</v>
      </c>
      <c r="C1843" s="53" t="n">
        <v>16690</v>
      </c>
      <c r="D1843" s="52" t="s">
        <v>3983</v>
      </c>
      <c r="E1843" s="52" t="s">
        <v>3984</v>
      </c>
      <c r="F1843" s="54" t="n">
        <v>4</v>
      </c>
      <c r="G1843" s="55" t="n">
        <v>192</v>
      </c>
      <c r="H1843" s="55" t="n">
        <v>48</v>
      </c>
      <c r="I1843" s="55" t="n">
        <v>48</v>
      </c>
      <c r="J1843" s="52" t="s">
        <v>5822</v>
      </c>
      <c r="K1843" s="56" t="n">
        <v>1</v>
      </c>
      <c r="L1843" s="52" t="s">
        <v>5822</v>
      </c>
      <c r="M1843" s="52" t="s">
        <v>100</v>
      </c>
    </row>
    <row r="1844" customFormat="false" ht="17.25" hidden="false" customHeight="true" outlineLevel="0" collapsed="false">
      <c r="A1844" s="52" t="s">
        <v>5777</v>
      </c>
      <c r="B1844" s="52" t="s">
        <v>5813</v>
      </c>
      <c r="C1844" s="53" t="n">
        <v>16715</v>
      </c>
      <c r="D1844" s="52" t="s">
        <v>3985</v>
      </c>
      <c r="E1844" s="52" t="s">
        <v>3986</v>
      </c>
      <c r="F1844" s="54" t="n">
        <v>4</v>
      </c>
      <c r="G1844" s="55" t="n">
        <v>192</v>
      </c>
      <c r="H1844" s="55" t="n">
        <v>48</v>
      </c>
      <c r="I1844" s="55" t="n">
        <v>48</v>
      </c>
      <c r="J1844" s="52" t="s">
        <v>5822</v>
      </c>
      <c r="K1844" s="56" t="n">
        <v>1</v>
      </c>
      <c r="L1844" s="52" t="s">
        <v>5822</v>
      </c>
      <c r="M1844" s="52" t="s">
        <v>100</v>
      </c>
    </row>
    <row r="1845" customFormat="false" ht="17.25" hidden="false" customHeight="true" outlineLevel="0" collapsed="false">
      <c r="A1845" s="52" t="s">
        <v>5777</v>
      </c>
      <c r="B1845" s="52" t="s">
        <v>5813</v>
      </c>
      <c r="C1845" s="53" t="n">
        <v>21363</v>
      </c>
      <c r="D1845" s="52" t="s">
        <v>3987</v>
      </c>
      <c r="E1845" s="52" t="s">
        <v>3988</v>
      </c>
      <c r="F1845" s="54" t="n">
        <v>4</v>
      </c>
      <c r="G1845" s="55" t="n">
        <v>192</v>
      </c>
      <c r="H1845" s="55" t="n">
        <v>48</v>
      </c>
      <c r="I1845" s="55" t="n">
        <v>48</v>
      </c>
      <c r="J1845" s="52" t="s">
        <v>5816</v>
      </c>
      <c r="K1845" s="56" t="n">
        <v>1</v>
      </c>
      <c r="L1845" s="52" t="s">
        <v>5816</v>
      </c>
      <c r="M1845" s="52" t="s">
        <v>130</v>
      </c>
    </row>
    <row r="1846" customFormat="false" ht="17.25" hidden="false" customHeight="true" outlineLevel="0" collapsed="false">
      <c r="A1846" s="52" t="s">
        <v>5777</v>
      </c>
      <c r="B1846" s="52" t="s">
        <v>5813</v>
      </c>
      <c r="C1846" s="53" t="n">
        <v>477769</v>
      </c>
      <c r="D1846" s="52" t="s">
        <v>3989</v>
      </c>
      <c r="E1846" s="52" t="s">
        <v>3990</v>
      </c>
      <c r="F1846" s="54" t="n">
        <v>4</v>
      </c>
      <c r="G1846" s="55" t="n">
        <v>192</v>
      </c>
      <c r="H1846" s="55" t="n">
        <v>48</v>
      </c>
      <c r="I1846" s="55" t="n">
        <v>48</v>
      </c>
      <c r="J1846" s="52" t="s">
        <v>5816</v>
      </c>
      <c r="K1846" s="56" t="n">
        <v>1</v>
      </c>
      <c r="L1846" s="52" t="s">
        <v>5816</v>
      </c>
      <c r="M1846" s="52" t="s">
        <v>130</v>
      </c>
    </row>
    <row r="1847" customFormat="false" ht="17.25" hidden="false" customHeight="true" outlineLevel="0" collapsed="false">
      <c r="A1847" s="52" t="s">
        <v>5777</v>
      </c>
      <c r="B1847" s="52" t="s">
        <v>5813</v>
      </c>
      <c r="C1847" s="53" t="n">
        <v>872302</v>
      </c>
      <c r="D1847" s="52" t="s">
        <v>3991</v>
      </c>
      <c r="E1847" s="52" t="s">
        <v>3992</v>
      </c>
      <c r="F1847" s="54" t="n">
        <v>366</v>
      </c>
      <c r="G1847" s="55" t="n">
        <v>191.54</v>
      </c>
      <c r="H1847" s="55" t="n">
        <v>0.5233</v>
      </c>
      <c r="I1847" s="55" t="n">
        <v>0.59</v>
      </c>
      <c r="J1847" s="52" t="s">
        <v>5816</v>
      </c>
      <c r="K1847" s="56" t="n">
        <v>1</v>
      </c>
      <c r="L1847" s="52" t="s">
        <v>5816</v>
      </c>
      <c r="M1847" s="52" t="s">
        <v>38</v>
      </c>
    </row>
    <row r="1848" customFormat="false" ht="17.25" hidden="false" customHeight="true" outlineLevel="0" collapsed="false">
      <c r="A1848" s="52" t="s">
        <v>5777</v>
      </c>
      <c r="B1848" s="52" t="s">
        <v>5813</v>
      </c>
      <c r="C1848" s="53" t="n">
        <v>1465405</v>
      </c>
      <c r="D1848" s="52" t="s">
        <v>3993</v>
      </c>
      <c r="E1848" s="52" t="s">
        <v>3994</v>
      </c>
      <c r="F1848" s="54" t="n">
        <v>70</v>
      </c>
      <c r="G1848" s="55" t="n">
        <v>190.4</v>
      </c>
      <c r="H1848" s="55" t="n">
        <v>2.72</v>
      </c>
      <c r="I1848" s="55" t="n">
        <v>2.6</v>
      </c>
      <c r="J1848" s="52" t="s">
        <v>5814</v>
      </c>
      <c r="K1848" s="56" t="n">
        <v>1</v>
      </c>
      <c r="L1848" s="52" t="s">
        <v>5814</v>
      </c>
      <c r="M1848" s="52" t="s">
        <v>38</v>
      </c>
    </row>
    <row r="1849" customFormat="false" ht="17.25" hidden="false" customHeight="true" outlineLevel="0" collapsed="false">
      <c r="A1849" s="52" t="s">
        <v>5777</v>
      </c>
      <c r="B1849" s="52" t="s">
        <v>5813</v>
      </c>
      <c r="C1849" s="53" t="n">
        <v>1471980</v>
      </c>
      <c r="D1849" s="52" t="s">
        <v>3995</v>
      </c>
      <c r="E1849" s="52" t="s">
        <v>3996</v>
      </c>
      <c r="F1849" s="54" t="n">
        <v>56</v>
      </c>
      <c r="G1849" s="55" t="n">
        <v>190.4</v>
      </c>
      <c r="H1849" s="55" t="n">
        <v>3.4</v>
      </c>
      <c r="I1849" s="55" t="n">
        <v>3.4</v>
      </c>
      <c r="J1849" s="52" t="s">
        <v>5816</v>
      </c>
      <c r="K1849" s="56" t="n">
        <v>1</v>
      </c>
      <c r="L1849" s="52" t="s">
        <v>5816</v>
      </c>
      <c r="M1849" s="52" t="s">
        <v>100</v>
      </c>
    </row>
    <row r="1850" customFormat="false" ht="17.25" hidden="false" customHeight="true" outlineLevel="0" collapsed="false">
      <c r="A1850" s="52" t="s">
        <v>5777</v>
      </c>
      <c r="B1850" s="52" t="s">
        <v>5813</v>
      </c>
      <c r="C1850" s="53" t="n">
        <v>19087</v>
      </c>
      <c r="D1850" s="52" t="s">
        <v>3997</v>
      </c>
      <c r="E1850" s="52" t="s">
        <v>3998</v>
      </c>
      <c r="F1850" s="54" t="n">
        <v>2</v>
      </c>
      <c r="G1850" s="55" t="n">
        <v>190</v>
      </c>
      <c r="H1850" s="55" t="n">
        <v>95</v>
      </c>
      <c r="I1850" s="55" t="n">
        <v>95</v>
      </c>
      <c r="J1850" s="52" t="s">
        <v>5816</v>
      </c>
      <c r="K1850" s="56" t="n">
        <v>1</v>
      </c>
      <c r="L1850" s="52" t="s">
        <v>5816</v>
      </c>
      <c r="M1850" s="52" t="s">
        <v>113</v>
      </c>
    </row>
    <row r="1851" customFormat="false" ht="17.25" hidden="false" customHeight="true" outlineLevel="0" collapsed="false">
      <c r="A1851" s="52" t="s">
        <v>5777</v>
      </c>
      <c r="B1851" s="52" t="s">
        <v>5813</v>
      </c>
      <c r="C1851" s="53" t="n">
        <v>21922</v>
      </c>
      <c r="D1851" s="52" t="s">
        <v>3999</v>
      </c>
      <c r="E1851" s="52" t="s">
        <v>4000</v>
      </c>
      <c r="F1851" s="54" t="n">
        <v>1</v>
      </c>
      <c r="G1851" s="55" t="n">
        <v>190</v>
      </c>
      <c r="H1851" s="55" t="n">
        <v>190</v>
      </c>
      <c r="I1851" s="55" t="n">
        <v>190</v>
      </c>
      <c r="J1851" s="52" t="s">
        <v>5816</v>
      </c>
      <c r="K1851" s="56" t="n">
        <v>1</v>
      </c>
      <c r="L1851" s="52" t="s">
        <v>5816</v>
      </c>
      <c r="M1851" s="52" t="s">
        <v>334</v>
      </c>
    </row>
    <row r="1852" customFormat="false" ht="17.25" hidden="false" customHeight="true" outlineLevel="0" collapsed="false">
      <c r="A1852" s="52" t="s">
        <v>5777</v>
      </c>
      <c r="B1852" s="52" t="s">
        <v>5813</v>
      </c>
      <c r="C1852" s="53" t="n">
        <v>555468</v>
      </c>
      <c r="D1852" s="52" t="s">
        <v>4001</v>
      </c>
      <c r="E1852" s="52" t="s">
        <v>4002</v>
      </c>
      <c r="F1852" s="54" t="n">
        <v>1</v>
      </c>
      <c r="G1852" s="55" t="n">
        <v>190</v>
      </c>
      <c r="H1852" s="55" t="n">
        <v>190</v>
      </c>
      <c r="I1852" s="55" t="n">
        <v>190</v>
      </c>
      <c r="J1852" s="52" t="s">
        <v>5816</v>
      </c>
      <c r="K1852" s="56" t="n">
        <v>1</v>
      </c>
      <c r="L1852" s="52" t="s">
        <v>5816</v>
      </c>
      <c r="M1852" s="52" t="s">
        <v>334</v>
      </c>
    </row>
    <row r="1853" customFormat="false" ht="17.25" hidden="false" customHeight="true" outlineLevel="0" collapsed="false">
      <c r="A1853" s="52" t="s">
        <v>5777</v>
      </c>
      <c r="B1853" s="52" t="s">
        <v>5813</v>
      </c>
      <c r="C1853" s="53" t="n">
        <v>555674</v>
      </c>
      <c r="D1853" s="52" t="s">
        <v>4003</v>
      </c>
      <c r="E1853" s="52" t="s">
        <v>4004</v>
      </c>
      <c r="F1853" s="54" t="n">
        <v>100</v>
      </c>
      <c r="G1853" s="55" t="n">
        <v>190</v>
      </c>
      <c r="H1853" s="55" t="n">
        <v>1.9</v>
      </c>
      <c r="I1853" s="55" t="n">
        <v>1.9</v>
      </c>
      <c r="J1853" s="52" t="s">
        <v>5816</v>
      </c>
      <c r="K1853" s="56" t="n">
        <v>1</v>
      </c>
      <c r="L1853" s="52" t="s">
        <v>5816</v>
      </c>
      <c r="M1853" s="52" t="s">
        <v>1618</v>
      </c>
    </row>
    <row r="1854" customFormat="false" ht="17.25" hidden="false" customHeight="true" outlineLevel="0" collapsed="false">
      <c r="A1854" s="52" t="s">
        <v>5777</v>
      </c>
      <c r="B1854" s="52" t="s">
        <v>5813</v>
      </c>
      <c r="C1854" s="53" t="n">
        <v>17942</v>
      </c>
      <c r="D1854" s="52" t="s">
        <v>4005</v>
      </c>
      <c r="E1854" s="52" t="s">
        <v>4006</v>
      </c>
      <c r="F1854" s="54" t="n">
        <v>5</v>
      </c>
      <c r="G1854" s="55" t="n">
        <v>189.34</v>
      </c>
      <c r="H1854" s="55" t="n">
        <v>37.868</v>
      </c>
      <c r="I1854" s="55" t="n">
        <v>43.66</v>
      </c>
      <c r="J1854" s="52" t="s">
        <v>5816</v>
      </c>
      <c r="K1854" s="56" t="n">
        <v>1</v>
      </c>
      <c r="L1854" s="52" t="s">
        <v>5816</v>
      </c>
      <c r="M1854" s="52" t="s">
        <v>130</v>
      </c>
    </row>
    <row r="1855" customFormat="false" ht="17.25" hidden="false" customHeight="true" outlineLevel="0" collapsed="false">
      <c r="A1855" s="52" t="s">
        <v>5777</v>
      </c>
      <c r="B1855" s="52" t="s">
        <v>5813</v>
      </c>
      <c r="C1855" s="53" t="n">
        <v>228499</v>
      </c>
      <c r="D1855" s="52" t="s">
        <v>4007</v>
      </c>
      <c r="E1855" s="52" t="s">
        <v>4008</v>
      </c>
      <c r="F1855" s="54" t="n">
        <v>43</v>
      </c>
      <c r="G1855" s="55" t="n">
        <v>188.74</v>
      </c>
      <c r="H1855" s="55" t="n">
        <v>4.3893</v>
      </c>
      <c r="I1855" s="55" t="n">
        <v>0.97</v>
      </c>
      <c r="J1855" s="52" t="s">
        <v>5816</v>
      </c>
      <c r="K1855" s="56" t="n">
        <v>1</v>
      </c>
      <c r="L1855" s="52" t="s">
        <v>5816</v>
      </c>
      <c r="M1855" s="52" t="s">
        <v>38</v>
      </c>
    </row>
    <row r="1856" customFormat="false" ht="17.25" hidden="false" customHeight="true" outlineLevel="0" collapsed="false">
      <c r="A1856" s="52" t="s">
        <v>5777</v>
      </c>
      <c r="B1856" s="52" t="s">
        <v>5813</v>
      </c>
      <c r="C1856" s="53" t="n">
        <v>1607238</v>
      </c>
      <c r="D1856" s="52" t="s">
        <v>4009</v>
      </c>
      <c r="E1856" s="52" t="s">
        <v>4010</v>
      </c>
      <c r="F1856" s="54" t="n">
        <v>8</v>
      </c>
      <c r="G1856" s="55" t="n">
        <v>188</v>
      </c>
      <c r="H1856" s="55" t="n">
        <v>23.5</v>
      </c>
      <c r="I1856" s="55" t="n">
        <v>23.5</v>
      </c>
      <c r="J1856" s="52" t="s">
        <v>5816</v>
      </c>
      <c r="K1856" s="56" t="n">
        <v>1</v>
      </c>
      <c r="L1856" s="52" t="s">
        <v>5816</v>
      </c>
      <c r="M1856" s="52" t="s">
        <v>100</v>
      </c>
    </row>
    <row r="1857" customFormat="false" ht="17.25" hidden="false" customHeight="true" outlineLevel="0" collapsed="false">
      <c r="A1857" s="52" t="s">
        <v>5777</v>
      </c>
      <c r="B1857" s="52" t="s">
        <v>5813</v>
      </c>
      <c r="C1857" s="53" t="n">
        <v>280119</v>
      </c>
      <c r="D1857" s="52" t="s">
        <v>4011</v>
      </c>
      <c r="E1857" s="52" t="s">
        <v>5947</v>
      </c>
      <c r="F1857" s="54" t="n">
        <v>71</v>
      </c>
      <c r="G1857" s="55" t="n">
        <v>187.44</v>
      </c>
      <c r="H1857" s="55" t="n">
        <v>2.64</v>
      </c>
      <c r="I1857" s="55" t="n">
        <v>2.64</v>
      </c>
      <c r="J1857" s="52" t="s">
        <v>5816</v>
      </c>
      <c r="K1857" s="56" t="n">
        <v>1</v>
      </c>
      <c r="L1857" s="52" t="s">
        <v>5816</v>
      </c>
      <c r="M1857" s="52" t="s">
        <v>54</v>
      </c>
    </row>
    <row r="1858" customFormat="false" ht="17.25" hidden="false" customHeight="true" outlineLevel="0" collapsed="false">
      <c r="A1858" s="52" t="s">
        <v>5777</v>
      </c>
      <c r="B1858" s="52" t="s">
        <v>5813</v>
      </c>
      <c r="C1858" s="53" t="n">
        <v>24124</v>
      </c>
      <c r="D1858" s="52" t="s">
        <v>4013</v>
      </c>
      <c r="E1858" s="52" t="s">
        <v>4014</v>
      </c>
      <c r="F1858" s="54" t="n">
        <v>1</v>
      </c>
      <c r="G1858" s="55" t="n">
        <v>187</v>
      </c>
      <c r="H1858" s="55" t="n">
        <v>187</v>
      </c>
      <c r="I1858" s="55" t="n">
        <v>187</v>
      </c>
      <c r="J1858" s="52" t="s">
        <v>5816</v>
      </c>
      <c r="K1858" s="56" t="n">
        <v>1</v>
      </c>
      <c r="L1858" s="52" t="s">
        <v>5816</v>
      </c>
      <c r="M1858" s="52" t="s">
        <v>189</v>
      </c>
    </row>
    <row r="1859" customFormat="false" ht="17.25" hidden="false" customHeight="true" outlineLevel="0" collapsed="false">
      <c r="A1859" s="52" t="s">
        <v>5777</v>
      </c>
      <c r="B1859" s="52" t="s">
        <v>5813</v>
      </c>
      <c r="C1859" s="53" t="n">
        <v>557442</v>
      </c>
      <c r="D1859" s="52" t="s">
        <v>4015</v>
      </c>
      <c r="E1859" s="52" t="s">
        <v>4016</v>
      </c>
      <c r="F1859" s="54" t="n">
        <v>2</v>
      </c>
      <c r="G1859" s="55" t="n">
        <v>186.58</v>
      </c>
      <c r="H1859" s="55" t="n">
        <v>93.29</v>
      </c>
      <c r="I1859" s="55" t="n">
        <v>93.29</v>
      </c>
      <c r="J1859" s="52" t="s">
        <v>5816</v>
      </c>
      <c r="K1859" s="56" t="n">
        <v>1</v>
      </c>
      <c r="L1859" s="52" t="s">
        <v>5816</v>
      </c>
      <c r="M1859" s="52" t="s">
        <v>605</v>
      </c>
    </row>
    <row r="1860" customFormat="false" ht="17.25" hidden="false" customHeight="true" outlineLevel="0" collapsed="false">
      <c r="A1860" s="52" t="s">
        <v>5777</v>
      </c>
      <c r="B1860" s="52" t="s">
        <v>5813</v>
      </c>
      <c r="C1860" s="53" t="n">
        <v>22870</v>
      </c>
      <c r="D1860" s="52" t="s">
        <v>4017</v>
      </c>
      <c r="E1860" s="52" t="s">
        <v>4018</v>
      </c>
      <c r="F1860" s="54" t="n">
        <v>162</v>
      </c>
      <c r="G1860" s="55" t="n">
        <v>186.36</v>
      </c>
      <c r="H1860" s="55" t="n">
        <v>1.1504</v>
      </c>
      <c r="I1860" s="55" t="n">
        <v>3.38</v>
      </c>
      <c r="J1860" s="52" t="s">
        <v>5816</v>
      </c>
      <c r="K1860" s="56" t="n">
        <v>1</v>
      </c>
      <c r="L1860" s="52" t="s">
        <v>5816</v>
      </c>
      <c r="M1860" s="52" t="s">
        <v>100</v>
      </c>
    </row>
    <row r="1861" customFormat="false" ht="17.25" hidden="false" customHeight="true" outlineLevel="0" collapsed="false">
      <c r="A1861" s="52" t="s">
        <v>5777</v>
      </c>
      <c r="B1861" s="52" t="s">
        <v>5813</v>
      </c>
      <c r="C1861" s="53" t="n">
        <v>1063854</v>
      </c>
      <c r="D1861" s="52" t="s">
        <v>4019</v>
      </c>
      <c r="E1861" s="52" t="s">
        <v>4020</v>
      </c>
      <c r="F1861" s="54" t="n">
        <v>1</v>
      </c>
      <c r="G1861" s="55" t="n">
        <v>186</v>
      </c>
      <c r="H1861" s="55" t="n">
        <v>186</v>
      </c>
      <c r="I1861" s="55" t="n">
        <v>186</v>
      </c>
      <c r="J1861" s="52" t="s">
        <v>5816</v>
      </c>
      <c r="K1861" s="56" t="n">
        <v>1</v>
      </c>
      <c r="L1861" s="52" t="s">
        <v>5816</v>
      </c>
      <c r="M1861" s="52" t="s">
        <v>247</v>
      </c>
    </row>
    <row r="1862" customFormat="false" ht="17.25" hidden="false" customHeight="true" outlineLevel="0" collapsed="false">
      <c r="A1862" s="52" t="s">
        <v>5777</v>
      </c>
      <c r="B1862" s="52" t="s">
        <v>5813</v>
      </c>
      <c r="C1862" s="53" t="n">
        <v>1063857</v>
      </c>
      <c r="D1862" s="52" t="s">
        <v>4021</v>
      </c>
      <c r="E1862" s="52" t="s">
        <v>4022</v>
      </c>
      <c r="F1862" s="54" t="n">
        <v>1</v>
      </c>
      <c r="G1862" s="55" t="n">
        <v>186</v>
      </c>
      <c r="H1862" s="55" t="n">
        <v>186</v>
      </c>
      <c r="I1862" s="55" t="n">
        <v>186</v>
      </c>
      <c r="J1862" s="52" t="s">
        <v>5816</v>
      </c>
      <c r="K1862" s="56" t="n">
        <v>1</v>
      </c>
      <c r="L1862" s="52" t="s">
        <v>5816</v>
      </c>
      <c r="M1862" s="52" t="s">
        <v>247</v>
      </c>
    </row>
    <row r="1863" customFormat="false" ht="17.25" hidden="false" customHeight="true" outlineLevel="0" collapsed="false">
      <c r="A1863" s="52" t="s">
        <v>5777</v>
      </c>
      <c r="B1863" s="52" t="s">
        <v>5813</v>
      </c>
      <c r="C1863" s="53" t="n">
        <v>1063859</v>
      </c>
      <c r="D1863" s="52" t="s">
        <v>4023</v>
      </c>
      <c r="E1863" s="52" t="s">
        <v>4024</v>
      </c>
      <c r="F1863" s="54" t="n">
        <v>1</v>
      </c>
      <c r="G1863" s="55" t="n">
        <v>186</v>
      </c>
      <c r="H1863" s="55" t="n">
        <v>186</v>
      </c>
      <c r="I1863" s="55" t="n">
        <v>186</v>
      </c>
      <c r="J1863" s="52" t="s">
        <v>5816</v>
      </c>
      <c r="K1863" s="56" t="n">
        <v>1</v>
      </c>
      <c r="L1863" s="52" t="s">
        <v>5816</v>
      </c>
      <c r="M1863" s="52" t="s">
        <v>247</v>
      </c>
    </row>
    <row r="1864" customFormat="false" ht="17.25" hidden="false" customHeight="true" outlineLevel="0" collapsed="false">
      <c r="A1864" s="52" t="s">
        <v>5777</v>
      </c>
      <c r="B1864" s="52" t="s">
        <v>5813</v>
      </c>
      <c r="C1864" s="53" t="n">
        <v>352396</v>
      </c>
      <c r="D1864" s="52" t="s">
        <v>4025</v>
      </c>
      <c r="E1864" s="52" t="s">
        <v>4026</v>
      </c>
      <c r="F1864" s="54" t="n">
        <v>4</v>
      </c>
      <c r="G1864" s="55" t="n">
        <v>182.9</v>
      </c>
      <c r="H1864" s="55" t="n">
        <v>45.725</v>
      </c>
      <c r="I1864" s="55" t="n">
        <v>45</v>
      </c>
      <c r="J1864" s="52" t="s">
        <v>5816</v>
      </c>
      <c r="K1864" s="56" t="n">
        <v>1</v>
      </c>
      <c r="L1864" s="52" t="s">
        <v>5816</v>
      </c>
      <c r="M1864" s="52" t="s">
        <v>130</v>
      </c>
    </row>
    <row r="1865" customFormat="false" ht="17.25" hidden="false" customHeight="true" outlineLevel="0" collapsed="false">
      <c r="A1865" s="52" t="s">
        <v>5777</v>
      </c>
      <c r="B1865" s="52" t="s">
        <v>5813</v>
      </c>
      <c r="C1865" s="53" t="n">
        <v>17935</v>
      </c>
      <c r="D1865" s="52" t="s">
        <v>4027</v>
      </c>
      <c r="E1865" s="52" t="s">
        <v>4028</v>
      </c>
      <c r="F1865" s="54" t="n">
        <v>5</v>
      </c>
      <c r="G1865" s="55" t="n">
        <v>182.72</v>
      </c>
      <c r="H1865" s="55" t="n">
        <v>36.544</v>
      </c>
      <c r="I1865" s="55" t="n">
        <v>43.23</v>
      </c>
      <c r="J1865" s="52" t="s">
        <v>5816</v>
      </c>
      <c r="K1865" s="56" t="n">
        <v>1</v>
      </c>
      <c r="L1865" s="52" t="s">
        <v>5816</v>
      </c>
      <c r="M1865" s="52" t="s">
        <v>130</v>
      </c>
    </row>
    <row r="1866" customFormat="false" ht="17.25" hidden="false" customHeight="true" outlineLevel="0" collapsed="false">
      <c r="A1866" s="52" t="s">
        <v>5777</v>
      </c>
      <c r="B1866" s="52" t="s">
        <v>5813</v>
      </c>
      <c r="C1866" s="53" t="n">
        <v>277209</v>
      </c>
      <c r="D1866" s="52" t="s">
        <v>4029</v>
      </c>
      <c r="E1866" s="52" t="s">
        <v>4030</v>
      </c>
      <c r="F1866" s="54" t="n">
        <v>5</v>
      </c>
      <c r="G1866" s="55" t="n">
        <v>182.1</v>
      </c>
      <c r="H1866" s="55" t="n">
        <v>36.42</v>
      </c>
      <c r="I1866" s="55" t="n">
        <v>36.42</v>
      </c>
      <c r="J1866" s="52" t="s">
        <v>5816</v>
      </c>
      <c r="K1866" s="56" t="n">
        <v>1</v>
      </c>
      <c r="L1866" s="52" t="s">
        <v>5816</v>
      </c>
      <c r="M1866" s="52" t="s">
        <v>247</v>
      </c>
    </row>
    <row r="1867" customFormat="false" ht="17.25" hidden="false" customHeight="true" outlineLevel="0" collapsed="false">
      <c r="A1867" s="52" t="s">
        <v>5777</v>
      </c>
      <c r="B1867" s="52" t="s">
        <v>5813</v>
      </c>
      <c r="C1867" s="53" t="n">
        <v>1461932</v>
      </c>
      <c r="D1867" s="52" t="s">
        <v>4031</v>
      </c>
      <c r="E1867" s="52" t="s">
        <v>4032</v>
      </c>
      <c r="F1867" s="54" t="n">
        <v>31</v>
      </c>
      <c r="G1867" s="55" t="n">
        <v>181.21</v>
      </c>
      <c r="H1867" s="55" t="n">
        <v>5.8455</v>
      </c>
      <c r="I1867" s="55" t="n">
        <v>10.89</v>
      </c>
      <c r="J1867" s="52" t="s">
        <v>5816</v>
      </c>
      <c r="K1867" s="56" t="n">
        <v>1</v>
      </c>
      <c r="L1867" s="52" t="s">
        <v>5816</v>
      </c>
      <c r="M1867" s="52" t="s">
        <v>100</v>
      </c>
    </row>
    <row r="1868" customFormat="false" ht="17.25" hidden="false" customHeight="true" outlineLevel="0" collapsed="false">
      <c r="A1868" s="52" t="s">
        <v>5777</v>
      </c>
      <c r="B1868" s="52" t="s">
        <v>5813</v>
      </c>
      <c r="C1868" s="53" t="n">
        <v>34189</v>
      </c>
      <c r="D1868" s="52" t="s">
        <v>4033</v>
      </c>
      <c r="E1868" s="52" t="s">
        <v>4034</v>
      </c>
      <c r="F1868" s="54" t="n">
        <v>1</v>
      </c>
      <c r="G1868" s="55" t="n">
        <v>180</v>
      </c>
      <c r="H1868" s="55" t="n">
        <v>180</v>
      </c>
      <c r="I1868" s="55" t="n">
        <v>180</v>
      </c>
      <c r="J1868" s="52" t="s">
        <v>5831</v>
      </c>
      <c r="K1868" s="56" t="n">
        <v>1</v>
      </c>
      <c r="L1868" s="52" t="s">
        <v>5831</v>
      </c>
      <c r="M1868" s="52" t="s">
        <v>247</v>
      </c>
    </row>
    <row r="1869" customFormat="false" ht="17.25" hidden="false" customHeight="true" outlineLevel="0" collapsed="false">
      <c r="A1869" s="52" t="s">
        <v>5777</v>
      </c>
      <c r="B1869" s="52" t="s">
        <v>5813</v>
      </c>
      <c r="C1869" s="53" t="n">
        <v>53936</v>
      </c>
      <c r="D1869" s="52" t="s">
        <v>4035</v>
      </c>
      <c r="E1869" s="52" t="s">
        <v>4036</v>
      </c>
      <c r="F1869" s="54" t="n">
        <v>10</v>
      </c>
      <c r="G1869" s="55" t="n">
        <v>180</v>
      </c>
      <c r="H1869" s="55" t="n">
        <v>18</v>
      </c>
      <c r="I1869" s="55" t="n">
        <v>18</v>
      </c>
      <c r="J1869" s="52" t="s">
        <v>5816</v>
      </c>
      <c r="K1869" s="56" t="n">
        <v>1</v>
      </c>
      <c r="L1869" s="52" t="s">
        <v>5816</v>
      </c>
      <c r="M1869" s="52" t="s">
        <v>38</v>
      </c>
    </row>
    <row r="1870" customFormat="false" ht="17.25" hidden="false" customHeight="true" outlineLevel="0" collapsed="false">
      <c r="A1870" s="52" t="s">
        <v>5777</v>
      </c>
      <c r="B1870" s="52" t="s">
        <v>5813</v>
      </c>
      <c r="C1870" s="53" t="n">
        <v>875464</v>
      </c>
      <c r="D1870" s="52" t="s">
        <v>4037</v>
      </c>
      <c r="E1870" s="52" t="s">
        <v>4038</v>
      </c>
      <c r="F1870" s="54" t="n">
        <v>2</v>
      </c>
      <c r="G1870" s="55" t="n">
        <v>180</v>
      </c>
      <c r="H1870" s="55" t="n">
        <v>90</v>
      </c>
      <c r="I1870" s="55" t="n">
        <v>90</v>
      </c>
      <c r="J1870" s="52" t="s">
        <v>5816</v>
      </c>
      <c r="K1870" s="56" t="n">
        <v>1</v>
      </c>
      <c r="L1870" s="52" t="s">
        <v>5816</v>
      </c>
      <c r="M1870" s="52" t="s">
        <v>54</v>
      </c>
    </row>
    <row r="1871" customFormat="false" ht="17.25" hidden="false" customHeight="true" outlineLevel="0" collapsed="false">
      <c r="A1871" s="52" t="s">
        <v>5777</v>
      </c>
      <c r="B1871" s="52" t="s">
        <v>5813</v>
      </c>
      <c r="C1871" s="53" t="n">
        <v>1605180</v>
      </c>
      <c r="D1871" s="52" t="s">
        <v>4039</v>
      </c>
      <c r="E1871" s="52" t="s">
        <v>4040</v>
      </c>
      <c r="F1871" s="54" t="n">
        <v>4</v>
      </c>
      <c r="G1871" s="55" t="n">
        <v>180</v>
      </c>
      <c r="H1871" s="55" t="n">
        <v>45</v>
      </c>
      <c r="I1871" s="55" t="n">
        <v>45</v>
      </c>
      <c r="J1871" s="52" t="s">
        <v>5816</v>
      </c>
      <c r="K1871" s="56" t="n">
        <v>1</v>
      </c>
      <c r="L1871" s="52" t="s">
        <v>5816</v>
      </c>
      <c r="M1871" s="52" t="s">
        <v>38</v>
      </c>
    </row>
    <row r="1872" customFormat="false" ht="17.25" hidden="false" customHeight="true" outlineLevel="0" collapsed="false">
      <c r="A1872" s="52" t="s">
        <v>5777</v>
      </c>
      <c r="B1872" s="52" t="s">
        <v>5813</v>
      </c>
      <c r="C1872" s="53" t="n">
        <v>55146</v>
      </c>
      <c r="D1872" s="52" t="s">
        <v>4041</v>
      </c>
      <c r="E1872" s="52" t="s">
        <v>4042</v>
      </c>
      <c r="F1872" s="54" t="n">
        <v>6</v>
      </c>
      <c r="G1872" s="55" t="n">
        <v>179.88</v>
      </c>
      <c r="H1872" s="55" t="n">
        <v>29.98</v>
      </c>
      <c r="I1872" s="55" t="n">
        <v>29.98</v>
      </c>
      <c r="J1872" s="52" t="s">
        <v>5910</v>
      </c>
      <c r="K1872" s="56" t="n">
        <v>1</v>
      </c>
      <c r="L1872" s="52" t="s">
        <v>5816</v>
      </c>
      <c r="M1872" s="52" t="s">
        <v>230</v>
      </c>
    </row>
    <row r="1873" customFormat="false" ht="17.25" hidden="false" customHeight="true" outlineLevel="0" collapsed="false">
      <c r="A1873" s="52" t="s">
        <v>5777</v>
      </c>
      <c r="B1873" s="52" t="s">
        <v>5813</v>
      </c>
      <c r="C1873" s="53" t="n">
        <v>22768</v>
      </c>
      <c r="D1873" s="52" t="s">
        <v>4043</v>
      </c>
      <c r="E1873" s="52" t="s">
        <v>4044</v>
      </c>
      <c r="F1873" s="54" t="n">
        <v>15</v>
      </c>
      <c r="G1873" s="55" t="n">
        <v>179.7</v>
      </c>
      <c r="H1873" s="55" t="n">
        <v>11.98</v>
      </c>
      <c r="I1873" s="55" t="n">
        <v>11.98</v>
      </c>
      <c r="J1873" s="52" t="s">
        <v>5816</v>
      </c>
      <c r="K1873" s="56" t="n">
        <v>1</v>
      </c>
      <c r="L1873" s="52" t="s">
        <v>5816</v>
      </c>
      <c r="M1873" s="52" t="s">
        <v>247</v>
      </c>
    </row>
    <row r="1874" customFormat="false" ht="17.25" hidden="false" customHeight="true" outlineLevel="0" collapsed="false">
      <c r="A1874" s="52" t="s">
        <v>5777</v>
      </c>
      <c r="B1874" s="52" t="s">
        <v>5813</v>
      </c>
      <c r="C1874" s="53" t="n">
        <v>35082</v>
      </c>
      <c r="D1874" s="52" t="s">
        <v>4045</v>
      </c>
      <c r="E1874" s="52" t="s">
        <v>4046</v>
      </c>
      <c r="F1874" s="54" t="n">
        <v>30</v>
      </c>
      <c r="G1874" s="55" t="n">
        <v>179.4</v>
      </c>
      <c r="H1874" s="55" t="n">
        <v>5.98</v>
      </c>
      <c r="I1874" s="55" t="n">
        <v>5.98</v>
      </c>
      <c r="J1874" s="52" t="s">
        <v>5816</v>
      </c>
      <c r="K1874" s="56" t="n">
        <v>1</v>
      </c>
      <c r="L1874" s="52" t="s">
        <v>5816</v>
      </c>
      <c r="M1874" s="52" t="s">
        <v>38</v>
      </c>
    </row>
    <row r="1875" customFormat="false" ht="17.25" hidden="false" customHeight="true" outlineLevel="0" collapsed="false">
      <c r="A1875" s="52" t="s">
        <v>5777</v>
      </c>
      <c r="B1875" s="52" t="s">
        <v>5813</v>
      </c>
      <c r="C1875" s="53" t="n">
        <v>1101079</v>
      </c>
      <c r="D1875" s="52" t="s">
        <v>4047</v>
      </c>
      <c r="E1875" s="52" t="s">
        <v>4048</v>
      </c>
      <c r="F1875" s="54" t="n">
        <v>230</v>
      </c>
      <c r="G1875" s="55" t="n">
        <v>179.4</v>
      </c>
      <c r="H1875" s="55" t="n">
        <v>0.78</v>
      </c>
      <c r="I1875" s="55" t="n">
        <v>0.78</v>
      </c>
      <c r="J1875" s="52" t="s">
        <v>5816</v>
      </c>
      <c r="K1875" s="56" t="n">
        <v>1</v>
      </c>
      <c r="L1875" s="52" t="s">
        <v>5816</v>
      </c>
      <c r="M1875" s="52" t="s">
        <v>54</v>
      </c>
    </row>
    <row r="1876" customFormat="false" ht="17.25" hidden="false" customHeight="true" outlineLevel="0" collapsed="false">
      <c r="A1876" s="52" t="s">
        <v>5777</v>
      </c>
      <c r="B1876" s="52" t="s">
        <v>5813</v>
      </c>
      <c r="C1876" s="53" t="n">
        <v>1320998</v>
      </c>
      <c r="D1876" s="52" t="s">
        <v>4049</v>
      </c>
      <c r="E1876" s="52" t="s">
        <v>4050</v>
      </c>
      <c r="F1876" s="54" t="n">
        <v>102</v>
      </c>
      <c r="G1876" s="55" t="n">
        <v>178.5</v>
      </c>
      <c r="H1876" s="55" t="n">
        <v>1.75</v>
      </c>
      <c r="I1876" s="55" t="n">
        <v>1.75</v>
      </c>
      <c r="J1876" s="52" t="s">
        <v>5816</v>
      </c>
      <c r="K1876" s="56" t="n">
        <v>1</v>
      </c>
      <c r="L1876" s="52" t="s">
        <v>5816</v>
      </c>
      <c r="M1876" s="52" t="s">
        <v>38</v>
      </c>
    </row>
    <row r="1877" customFormat="false" ht="17.25" hidden="false" customHeight="true" outlineLevel="0" collapsed="false">
      <c r="A1877" s="52" t="s">
        <v>5777</v>
      </c>
      <c r="B1877" s="52" t="s">
        <v>5813</v>
      </c>
      <c r="C1877" s="53" t="n">
        <v>21862</v>
      </c>
      <c r="D1877" s="52" t="s">
        <v>4051</v>
      </c>
      <c r="E1877" s="52" t="s">
        <v>4052</v>
      </c>
      <c r="F1877" s="54" t="n">
        <v>6</v>
      </c>
      <c r="G1877" s="55" t="n">
        <v>178.2</v>
      </c>
      <c r="H1877" s="55" t="n">
        <v>29.7</v>
      </c>
      <c r="I1877" s="55" t="n">
        <v>29.7</v>
      </c>
      <c r="J1877" s="52" t="s">
        <v>5816</v>
      </c>
      <c r="K1877" s="56" t="n">
        <v>1</v>
      </c>
      <c r="L1877" s="52" t="s">
        <v>5816</v>
      </c>
      <c r="M1877" s="52" t="s">
        <v>130</v>
      </c>
    </row>
    <row r="1878" customFormat="false" ht="17.25" hidden="false" customHeight="true" outlineLevel="0" collapsed="false">
      <c r="A1878" s="52" t="s">
        <v>5777</v>
      </c>
      <c r="B1878" s="52" t="s">
        <v>5813</v>
      </c>
      <c r="C1878" s="53" t="n">
        <v>476967</v>
      </c>
      <c r="D1878" s="52" t="s">
        <v>4053</v>
      </c>
      <c r="E1878" s="52" t="s">
        <v>4054</v>
      </c>
      <c r="F1878" s="54" t="n">
        <v>113</v>
      </c>
      <c r="G1878" s="55" t="n">
        <v>178.04</v>
      </c>
      <c r="H1878" s="55" t="n">
        <v>1.5756</v>
      </c>
      <c r="I1878" s="55" t="n">
        <v>1.6</v>
      </c>
      <c r="J1878" s="52" t="s">
        <v>5816</v>
      </c>
      <c r="K1878" s="56" t="n">
        <v>1</v>
      </c>
      <c r="L1878" s="52" t="s">
        <v>5816</v>
      </c>
      <c r="M1878" s="52" t="s">
        <v>54</v>
      </c>
    </row>
    <row r="1879" customFormat="false" ht="17.25" hidden="false" customHeight="true" outlineLevel="0" collapsed="false">
      <c r="A1879" s="52" t="s">
        <v>5777</v>
      </c>
      <c r="B1879" s="52" t="s">
        <v>5813</v>
      </c>
      <c r="C1879" s="53" t="n">
        <v>352314</v>
      </c>
      <c r="D1879" s="52" t="s">
        <v>4055</v>
      </c>
      <c r="E1879" s="52" t="s">
        <v>4056</v>
      </c>
      <c r="F1879" s="54" t="n">
        <v>2</v>
      </c>
      <c r="G1879" s="55" t="n">
        <v>178</v>
      </c>
      <c r="H1879" s="55" t="n">
        <v>89</v>
      </c>
      <c r="I1879" s="55" t="n">
        <v>89</v>
      </c>
      <c r="J1879" s="52" t="s">
        <v>5816</v>
      </c>
      <c r="K1879" s="56" t="n">
        <v>1</v>
      </c>
      <c r="L1879" s="52" t="s">
        <v>5816</v>
      </c>
      <c r="M1879" s="52" t="s">
        <v>54</v>
      </c>
    </row>
    <row r="1880" customFormat="false" ht="17.25" hidden="false" customHeight="true" outlineLevel="0" collapsed="false">
      <c r="A1880" s="52" t="s">
        <v>5777</v>
      </c>
      <c r="B1880" s="52" t="s">
        <v>5813</v>
      </c>
      <c r="C1880" s="53" t="n">
        <v>1487954</v>
      </c>
      <c r="D1880" s="52" t="s">
        <v>4057</v>
      </c>
      <c r="E1880" s="52" t="s">
        <v>5948</v>
      </c>
      <c r="F1880" s="54" t="n">
        <v>2</v>
      </c>
      <c r="G1880" s="55" t="n">
        <v>178</v>
      </c>
      <c r="H1880" s="55" t="n">
        <v>89</v>
      </c>
      <c r="I1880" s="55" t="n">
        <v>89</v>
      </c>
      <c r="J1880" s="52" t="s">
        <v>5816</v>
      </c>
      <c r="K1880" s="56" t="n">
        <v>1</v>
      </c>
      <c r="L1880" s="52" t="s">
        <v>5816</v>
      </c>
      <c r="M1880" s="52" t="s">
        <v>130</v>
      </c>
    </row>
    <row r="1881" customFormat="false" ht="17.25" hidden="false" customHeight="true" outlineLevel="0" collapsed="false">
      <c r="A1881" s="52" t="s">
        <v>5777</v>
      </c>
      <c r="B1881" s="52" t="s">
        <v>5813</v>
      </c>
      <c r="C1881" s="53" t="n">
        <v>840023</v>
      </c>
      <c r="D1881" s="52" t="s">
        <v>4059</v>
      </c>
      <c r="E1881" s="52" t="s">
        <v>4060</v>
      </c>
      <c r="F1881" s="54" t="n">
        <v>7</v>
      </c>
      <c r="G1881" s="55" t="n">
        <v>177.8</v>
      </c>
      <c r="H1881" s="55" t="n">
        <v>25.4</v>
      </c>
      <c r="I1881" s="55" t="n">
        <v>25.4</v>
      </c>
      <c r="J1881" s="52" t="s">
        <v>5816</v>
      </c>
      <c r="K1881" s="56" t="n">
        <v>1</v>
      </c>
      <c r="L1881" s="52" t="s">
        <v>5816</v>
      </c>
      <c r="M1881" s="52" t="s">
        <v>54</v>
      </c>
    </row>
    <row r="1882" customFormat="false" ht="17.25" hidden="false" customHeight="true" outlineLevel="0" collapsed="false">
      <c r="A1882" s="52" t="s">
        <v>5777</v>
      </c>
      <c r="B1882" s="52" t="s">
        <v>5813</v>
      </c>
      <c r="C1882" s="53" t="n">
        <v>21805</v>
      </c>
      <c r="D1882" s="52" t="s">
        <v>4061</v>
      </c>
      <c r="E1882" s="52" t="s">
        <v>4062</v>
      </c>
      <c r="F1882" s="54" t="n">
        <v>8</v>
      </c>
      <c r="G1882" s="55" t="n">
        <v>176</v>
      </c>
      <c r="H1882" s="55" t="n">
        <v>22</v>
      </c>
      <c r="I1882" s="55" t="n">
        <v>22</v>
      </c>
      <c r="J1882" s="52" t="s">
        <v>5816</v>
      </c>
      <c r="K1882" s="56" t="n">
        <v>1</v>
      </c>
      <c r="L1882" s="52" t="s">
        <v>5816</v>
      </c>
      <c r="M1882" s="52" t="s">
        <v>189</v>
      </c>
    </row>
    <row r="1883" customFormat="false" ht="17.25" hidden="false" customHeight="true" outlineLevel="0" collapsed="false">
      <c r="A1883" s="52" t="s">
        <v>5777</v>
      </c>
      <c r="B1883" s="52" t="s">
        <v>5813</v>
      </c>
      <c r="C1883" s="53" t="n">
        <v>284281</v>
      </c>
      <c r="D1883" s="52" t="s">
        <v>4063</v>
      </c>
      <c r="E1883" s="52" t="s">
        <v>4064</v>
      </c>
      <c r="F1883" s="54" t="n">
        <v>2</v>
      </c>
      <c r="G1883" s="55" t="n">
        <v>176</v>
      </c>
      <c r="H1883" s="55" t="n">
        <v>88</v>
      </c>
      <c r="I1883" s="55" t="n">
        <v>88</v>
      </c>
      <c r="J1883" s="52" t="s">
        <v>5816</v>
      </c>
      <c r="K1883" s="56" t="n">
        <v>1</v>
      </c>
      <c r="L1883" s="52" t="s">
        <v>5816</v>
      </c>
      <c r="M1883" s="52" t="s">
        <v>38</v>
      </c>
    </row>
    <row r="1884" customFormat="false" ht="17.25" hidden="false" customHeight="true" outlineLevel="0" collapsed="false">
      <c r="A1884" s="52" t="s">
        <v>5777</v>
      </c>
      <c r="B1884" s="52" t="s">
        <v>5813</v>
      </c>
      <c r="C1884" s="53" t="n">
        <v>880896</v>
      </c>
      <c r="D1884" s="52" t="s">
        <v>4065</v>
      </c>
      <c r="E1884" s="52" t="s">
        <v>5949</v>
      </c>
      <c r="F1884" s="54" t="n">
        <v>2</v>
      </c>
      <c r="G1884" s="55" t="n">
        <v>176</v>
      </c>
      <c r="H1884" s="55" t="n">
        <v>88</v>
      </c>
      <c r="I1884" s="55" t="n">
        <v>88</v>
      </c>
      <c r="J1884" s="52" t="s">
        <v>5816</v>
      </c>
      <c r="K1884" s="56" t="n">
        <v>1</v>
      </c>
      <c r="L1884" s="52" t="s">
        <v>5816</v>
      </c>
      <c r="M1884" s="52" t="s">
        <v>113</v>
      </c>
    </row>
    <row r="1885" customFormat="false" ht="17.25" hidden="false" customHeight="true" outlineLevel="0" collapsed="false">
      <c r="A1885" s="52" t="s">
        <v>5777</v>
      </c>
      <c r="B1885" s="52" t="s">
        <v>5813</v>
      </c>
      <c r="C1885" s="53" t="n">
        <v>230162</v>
      </c>
      <c r="D1885" s="52" t="s">
        <v>3343</v>
      </c>
      <c r="E1885" s="52" t="s">
        <v>3344</v>
      </c>
      <c r="F1885" s="54" t="n">
        <v>6</v>
      </c>
      <c r="G1885" s="55" t="n">
        <v>175.62</v>
      </c>
      <c r="H1885" s="55" t="n">
        <v>29.27</v>
      </c>
      <c r="I1885" s="55" t="n">
        <v>29.27</v>
      </c>
      <c r="J1885" s="52" t="s">
        <v>5816</v>
      </c>
      <c r="K1885" s="56" t="n">
        <v>1</v>
      </c>
      <c r="L1885" s="52" t="s">
        <v>5816</v>
      </c>
      <c r="M1885" s="52" t="s">
        <v>247</v>
      </c>
    </row>
    <row r="1886" customFormat="false" ht="17.25" hidden="false" customHeight="true" outlineLevel="0" collapsed="false">
      <c r="A1886" s="52" t="s">
        <v>5777</v>
      </c>
      <c r="B1886" s="52" t="s">
        <v>5813</v>
      </c>
      <c r="C1886" s="53" t="n">
        <v>17930</v>
      </c>
      <c r="D1886" s="52" t="s">
        <v>4067</v>
      </c>
      <c r="E1886" s="52" t="s">
        <v>4068</v>
      </c>
      <c r="F1886" s="54" t="n">
        <v>6</v>
      </c>
      <c r="G1886" s="55" t="n">
        <v>175.58</v>
      </c>
      <c r="H1886" s="55" t="n">
        <v>29.2633</v>
      </c>
      <c r="I1886" s="55" t="n">
        <v>32.25</v>
      </c>
      <c r="J1886" s="52" t="s">
        <v>5816</v>
      </c>
      <c r="K1886" s="56" t="n">
        <v>1</v>
      </c>
      <c r="L1886" s="52" t="s">
        <v>5816</v>
      </c>
      <c r="M1886" s="52" t="s">
        <v>130</v>
      </c>
    </row>
    <row r="1887" customFormat="false" ht="17.25" hidden="false" customHeight="true" outlineLevel="0" collapsed="false">
      <c r="A1887" s="52" t="s">
        <v>5777</v>
      </c>
      <c r="B1887" s="52" t="s">
        <v>5813</v>
      </c>
      <c r="C1887" s="53" t="n">
        <v>1312598</v>
      </c>
      <c r="D1887" s="52" t="s">
        <v>4069</v>
      </c>
      <c r="E1887" s="52" t="s">
        <v>4070</v>
      </c>
      <c r="F1887" s="54" t="n">
        <v>6</v>
      </c>
      <c r="G1887" s="55" t="n">
        <v>175.44</v>
      </c>
      <c r="H1887" s="55" t="n">
        <v>29.24</v>
      </c>
      <c r="I1887" s="55" t="n">
        <v>29.24</v>
      </c>
      <c r="J1887" s="52" t="s">
        <v>5816</v>
      </c>
      <c r="K1887" s="56" t="n">
        <v>1</v>
      </c>
      <c r="L1887" s="52" t="s">
        <v>5816</v>
      </c>
      <c r="M1887" s="52" t="s">
        <v>189</v>
      </c>
    </row>
    <row r="1888" customFormat="false" ht="17.25" hidden="false" customHeight="true" outlineLevel="0" collapsed="false">
      <c r="A1888" s="52" t="s">
        <v>5777</v>
      </c>
      <c r="B1888" s="52" t="s">
        <v>5813</v>
      </c>
      <c r="C1888" s="53" t="n">
        <v>942224</v>
      </c>
      <c r="D1888" s="52" t="s">
        <v>4071</v>
      </c>
      <c r="E1888" s="52" t="s">
        <v>4072</v>
      </c>
      <c r="F1888" s="54" t="n">
        <v>146</v>
      </c>
      <c r="G1888" s="55" t="n">
        <v>175.2</v>
      </c>
      <c r="H1888" s="55" t="n">
        <v>1.2</v>
      </c>
      <c r="I1888" s="55" t="n">
        <v>1.2</v>
      </c>
      <c r="J1888" s="52" t="s">
        <v>5816</v>
      </c>
      <c r="K1888" s="56" t="n">
        <v>1</v>
      </c>
      <c r="L1888" s="52" t="s">
        <v>5816</v>
      </c>
      <c r="M1888" s="52" t="s">
        <v>100</v>
      </c>
    </row>
    <row r="1889" customFormat="false" ht="17.25" hidden="false" customHeight="true" outlineLevel="0" collapsed="false">
      <c r="A1889" s="52" t="s">
        <v>5777</v>
      </c>
      <c r="B1889" s="52" t="s">
        <v>5813</v>
      </c>
      <c r="C1889" s="53" t="n">
        <v>35035</v>
      </c>
      <c r="D1889" s="52" t="s">
        <v>4073</v>
      </c>
      <c r="E1889" s="52" t="s">
        <v>4074</v>
      </c>
      <c r="F1889" s="54" t="n">
        <v>50</v>
      </c>
      <c r="G1889" s="55" t="n">
        <v>175</v>
      </c>
      <c r="H1889" s="55" t="n">
        <v>3.5</v>
      </c>
      <c r="I1889" s="55" t="n">
        <v>3.5</v>
      </c>
      <c r="J1889" s="52" t="s">
        <v>5816</v>
      </c>
      <c r="K1889" s="56" t="n">
        <v>1</v>
      </c>
      <c r="L1889" s="52" t="s">
        <v>5816</v>
      </c>
      <c r="M1889" s="52" t="s">
        <v>1618</v>
      </c>
    </row>
    <row r="1890" customFormat="false" ht="17.25" hidden="false" customHeight="true" outlineLevel="0" collapsed="false">
      <c r="A1890" s="52" t="s">
        <v>5777</v>
      </c>
      <c r="B1890" s="52" t="s">
        <v>5813</v>
      </c>
      <c r="C1890" s="53" t="n">
        <v>90179</v>
      </c>
      <c r="D1890" s="52" t="s">
        <v>4075</v>
      </c>
      <c r="E1890" s="52" t="s">
        <v>4076</v>
      </c>
      <c r="F1890" s="54" t="n">
        <v>1</v>
      </c>
      <c r="G1890" s="55" t="n">
        <v>175</v>
      </c>
      <c r="H1890" s="55" t="n">
        <v>175</v>
      </c>
      <c r="I1890" s="55" t="n">
        <v>175</v>
      </c>
      <c r="J1890" s="52" t="s">
        <v>5816</v>
      </c>
      <c r="K1890" s="56" t="n">
        <v>1</v>
      </c>
      <c r="L1890" s="52" t="s">
        <v>5816</v>
      </c>
      <c r="M1890" s="52" t="s">
        <v>4077</v>
      </c>
    </row>
    <row r="1891" customFormat="false" ht="17.25" hidden="false" customHeight="true" outlineLevel="0" collapsed="false">
      <c r="A1891" s="52" t="s">
        <v>5777</v>
      </c>
      <c r="B1891" s="52" t="s">
        <v>5813</v>
      </c>
      <c r="C1891" s="53" t="n">
        <v>19516</v>
      </c>
      <c r="D1891" s="52" t="s">
        <v>4078</v>
      </c>
      <c r="E1891" s="52" t="s">
        <v>4079</v>
      </c>
      <c r="F1891" s="54" t="n">
        <v>4</v>
      </c>
      <c r="G1891" s="55" t="n">
        <v>174.76</v>
      </c>
      <c r="H1891" s="55" t="n">
        <v>43.69</v>
      </c>
      <c r="I1891" s="55" t="n">
        <v>43.69</v>
      </c>
      <c r="J1891" s="52" t="s">
        <v>5816</v>
      </c>
      <c r="K1891" s="56" t="n">
        <v>1</v>
      </c>
      <c r="L1891" s="52" t="s">
        <v>5816</v>
      </c>
      <c r="M1891" s="52" t="s">
        <v>1095</v>
      </c>
    </row>
    <row r="1892" customFormat="false" ht="17.25" hidden="false" customHeight="true" outlineLevel="0" collapsed="false">
      <c r="A1892" s="52" t="s">
        <v>5777</v>
      </c>
      <c r="B1892" s="52" t="s">
        <v>5813</v>
      </c>
      <c r="C1892" s="53" t="n">
        <v>17987</v>
      </c>
      <c r="D1892" s="52" t="s">
        <v>4080</v>
      </c>
      <c r="E1892" s="52" t="s">
        <v>4081</v>
      </c>
      <c r="F1892" s="54" t="n">
        <v>10</v>
      </c>
      <c r="G1892" s="55" t="n">
        <v>174.5</v>
      </c>
      <c r="H1892" s="55" t="n">
        <v>17.45</v>
      </c>
      <c r="I1892" s="55" t="n">
        <v>17.45</v>
      </c>
      <c r="J1892" s="52" t="s">
        <v>5816</v>
      </c>
      <c r="K1892" s="56" t="n">
        <v>1</v>
      </c>
      <c r="L1892" s="52" t="s">
        <v>5816</v>
      </c>
      <c r="M1892" s="52" t="s">
        <v>130</v>
      </c>
    </row>
    <row r="1893" customFormat="false" ht="17.25" hidden="false" customHeight="true" outlineLevel="0" collapsed="false">
      <c r="A1893" s="52" t="s">
        <v>5777</v>
      </c>
      <c r="B1893" s="52" t="s">
        <v>5813</v>
      </c>
      <c r="C1893" s="53" t="n">
        <v>21837</v>
      </c>
      <c r="D1893" s="52" t="s">
        <v>4082</v>
      </c>
      <c r="E1893" s="52" t="s">
        <v>4083</v>
      </c>
      <c r="F1893" s="54" t="n">
        <v>30</v>
      </c>
      <c r="G1893" s="55" t="n">
        <v>173.8</v>
      </c>
      <c r="H1893" s="55" t="n">
        <v>5.7933</v>
      </c>
      <c r="I1893" s="55" t="n">
        <v>7</v>
      </c>
      <c r="J1893" s="52" t="s">
        <v>5816</v>
      </c>
      <c r="K1893" s="56" t="n">
        <v>1</v>
      </c>
      <c r="L1893" s="52" t="s">
        <v>5816</v>
      </c>
      <c r="M1893" s="52" t="s">
        <v>457</v>
      </c>
    </row>
    <row r="1894" customFormat="false" ht="17.25" hidden="false" customHeight="true" outlineLevel="0" collapsed="false">
      <c r="A1894" s="52" t="s">
        <v>5777</v>
      </c>
      <c r="B1894" s="52" t="s">
        <v>5813</v>
      </c>
      <c r="C1894" s="53" t="n">
        <v>65262</v>
      </c>
      <c r="D1894" s="52" t="s">
        <v>4084</v>
      </c>
      <c r="E1894" s="52" t="s">
        <v>4085</v>
      </c>
      <c r="F1894" s="54" t="n">
        <v>5</v>
      </c>
      <c r="G1894" s="55" t="n">
        <v>172.86</v>
      </c>
      <c r="H1894" s="55" t="n">
        <v>34.572</v>
      </c>
      <c r="I1894" s="55" t="n">
        <v>40.89</v>
      </c>
      <c r="J1894" s="52" t="s">
        <v>5816</v>
      </c>
      <c r="K1894" s="56" t="n">
        <v>1</v>
      </c>
      <c r="L1894" s="52" t="s">
        <v>5816</v>
      </c>
      <c r="M1894" s="52" t="s">
        <v>130</v>
      </c>
    </row>
    <row r="1895" customFormat="false" ht="17.25" hidden="false" customHeight="true" outlineLevel="0" collapsed="false">
      <c r="A1895" s="52" t="s">
        <v>5777</v>
      </c>
      <c r="B1895" s="52" t="s">
        <v>5813</v>
      </c>
      <c r="C1895" s="53" t="n">
        <v>138484</v>
      </c>
      <c r="D1895" s="52" t="s">
        <v>4086</v>
      </c>
      <c r="E1895" s="52" t="s">
        <v>4087</v>
      </c>
      <c r="F1895" s="54" t="n">
        <v>2</v>
      </c>
      <c r="G1895" s="55" t="n">
        <v>172</v>
      </c>
      <c r="H1895" s="55" t="n">
        <v>86</v>
      </c>
      <c r="I1895" s="55" t="n">
        <v>86</v>
      </c>
      <c r="J1895" s="52" t="s">
        <v>5816</v>
      </c>
      <c r="K1895" s="56" t="n">
        <v>1</v>
      </c>
      <c r="L1895" s="52" t="s">
        <v>5816</v>
      </c>
      <c r="M1895" s="52" t="s">
        <v>113</v>
      </c>
    </row>
    <row r="1896" customFormat="false" ht="17.25" hidden="false" customHeight="true" outlineLevel="0" collapsed="false">
      <c r="A1896" s="52" t="s">
        <v>5777</v>
      </c>
      <c r="B1896" s="52" t="s">
        <v>5813</v>
      </c>
      <c r="C1896" s="53" t="n">
        <v>932438</v>
      </c>
      <c r="D1896" s="52" t="s">
        <v>4088</v>
      </c>
      <c r="E1896" s="52" t="s">
        <v>4089</v>
      </c>
      <c r="F1896" s="54" t="n">
        <v>9</v>
      </c>
      <c r="G1896" s="55" t="n">
        <v>172</v>
      </c>
      <c r="H1896" s="55" t="n">
        <v>19.1111</v>
      </c>
      <c r="I1896" s="55" t="n">
        <v>18</v>
      </c>
      <c r="J1896" s="52" t="s">
        <v>5816</v>
      </c>
      <c r="K1896" s="56" t="n">
        <v>1</v>
      </c>
      <c r="L1896" s="52" t="s">
        <v>5816</v>
      </c>
      <c r="M1896" s="52" t="s">
        <v>54</v>
      </c>
    </row>
    <row r="1897" customFormat="false" ht="17.25" hidden="false" customHeight="true" outlineLevel="0" collapsed="false">
      <c r="A1897" s="52" t="s">
        <v>5777</v>
      </c>
      <c r="B1897" s="52" t="s">
        <v>5813</v>
      </c>
      <c r="C1897" s="53" t="n">
        <v>56608</v>
      </c>
      <c r="D1897" s="52" t="s">
        <v>4090</v>
      </c>
      <c r="E1897" s="52" t="s">
        <v>4091</v>
      </c>
      <c r="F1897" s="54" t="n">
        <v>12</v>
      </c>
      <c r="G1897" s="55" t="n">
        <v>171.76</v>
      </c>
      <c r="H1897" s="55" t="n">
        <v>14.3133</v>
      </c>
      <c r="I1897" s="55" t="n">
        <v>12.98</v>
      </c>
      <c r="J1897" s="52" t="s">
        <v>5816</v>
      </c>
      <c r="K1897" s="56" t="n">
        <v>1</v>
      </c>
      <c r="L1897" s="52" t="s">
        <v>5816</v>
      </c>
      <c r="M1897" s="52" t="s">
        <v>38</v>
      </c>
    </row>
    <row r="1898" customFormat="false" ht="17.25" hidden="false" customHeight="true" outlineLevel="0" collapsed="false">
      <c r="A1898" s="52" t="s">
        <v>5777</v>
      </c>
      <c r="B1898" s="52" t="s">
        <v>5813</v>
      </c>
      <c r="C1898" s="53" t="n">
        <v>1465936</v>
      </c>
      <c r="D1898" s="52" t="s">
        <v>4092</v>
      </c>
      <c r="E1898" s="52" t="s">
        <v>4093</v>
      </c>
      <c r="F1898" s="54" t="n">
        <v>4</v>
      </c>
      <c r="G1898" s="55" t="n">
        <v>171.28</v>
      </c>
      <c r="H1898" s="55" t="n">
        <v>42.82</v>
      </c>
      <c r="I1898" s="55" t="n">
        <v>42.82</v>
      </c>
      <c r="J1898" s="52" t="s">
        <v>5816</v>
      </c>
      <c r="K1898" s="56" t="n">
        <v>1</v>
      </c>
      <c r="L1898" s="52" t="s">
        <v>5816</v>
      </c>
      <c r="M1898" s="52" t="s">
        <v>38</v>
      </c>
    </row>
    <row r="1899" customFormat="false" ht="17.25" hidden="false" customHeight="true" outlineLevel="0" collapsed="false">
      <c r="A1899" s="52" t="s">
        <v>5777</v>
      </c>
      <c r="B1899" s="52" t="s">
        <v>5813</v>
      </c>
      <c r="C1899" s="53" t="n">
        <v>21854</v>
      </c>
      <c r="D1899" s="52" t="s">
        <v>4094</v>
      </c>
      <c r="E1899" s="52" t="s">
        <v>4095</v>
      </c>
      <c r="F1899" s="54" t="n">
        <v>9</v>
      </c>
      <c r="G1899" s="55" t="n">
        <v>171</v>
      </c>
      <c r="H1899" s="55" t="n">
        <v>19</v>
      </c>
      <c r="I1899" s="55" t="n">
        <v>19</v>
      </c>
      <c r="J1899" s="52" t="s">
        <v>5816</v>
      </c>
      <c r="K1899" s="56" t="n">
        <v>1</v>
      </c>
      <c r="L1899" s="52" t="s">
        <v>5816</v>
      </c>
      <c r="M1899" s="52" t="s">
        <v>130</v>
      </c>
    </row>
    <row r="1900" customFormat="false" ht="17.25" hidden="false" customHeight="true" outlineLevel="0" collapsed="false">
      <c r="A1900" s="52" t="s">
        <v>5777</v>
      </c>
      <c r="B1900" s="52" t="s">
        <v>5813</v>
      </c>
      <c r="C1900" s="53" t="n">
        <v>57969</v>
      </c>
      <c r="D1900" s="52" t="s">
        <v>4096</v>
      </c>
      <c r="E1900" s="52" t="s">
        <v>4097</v>
      </c>
      <c r="F1900" s="54" t="n">
        <v>1</v>
      </c>
      <c r="G1900" s="55" t="n">
        <v>171</v>
      </c>
      <c r="H1900" s="55" t="n">
        <v>171</v>
      </c>
      <c r="I1900" s="55" t="n">
        <v>171</v>
      </c>
      <c r="J1900" s="52" t="s">
        <v>5816</v>
      </c>
      <c r="K1900" s="56" t="n">
        <v>1</v>
      </c>
      <c r="L1900" s="52" t="s">
        <v>5816</v>
      </c>
      <c r="M1900" s="52" t="s">
        <v>130</v>
      </c>
    </row>
    <row r="1901" customFormat="false" ht="17.25" hidden="false" customHeight="true" outlineLevel="0" collapsed="false">
      <c r="A1901" s="52" t="s">
        <v>5777</v>
      </c>
      <c r="B1901" s="52" t="s">
        <v>5813</v>
      </c>
      <c r="C1901" s="53" t="n">
        <v>1092148</v>
      </c>
      <c r="D1901" s="52" t="s">
        <v>4098</v>
      </c>
      <c r="E1901" s="52" t="s">
        <v>4099</v>
      </c>
      <c r="F1901" s="54" t="n">
        <v>1</v>
      </c>
      <c r="G1901" s="55" t="n">
        <v>170.98</v>
      </c>
      <c r="H1901" s="55" t="n">
        <v>170.98</v>
      </c>
      <c r="I1901" s="55" t="n">
        <v>170.98</v>
      </c>
      <c r="J1901" s="52" t="s">
        <v>5816</v>
      </c>
      <c r="K1901" s="56" t="n">
        <v>1</v>
      </c>
      <c r="L1901" s="52" t="s">
        <v>5816</v>
      </c>
      <c r="M1901" s="52" t="s">
        <v>130</v>
      </c>
    </row>
    <row r="1902" customFormat="false" ht="17.25" hidden="false" customHeight="true" outlineLevel="0" collapsed="false">
      <c r="A1902" s="52" t="s">
        <v>5777</v>
      </c>
      <c r="B1902" s="52" t="s">
        <v>5813</v>
      </c>
      <c r="C1902" s="53" t="n">
        <v>19352</v>
      </c>
      <c r="D1902" s="52" t="s">
        <v>4100</v>
      </c>
      <c r="E1902" s="52" t="s">
        <v>4101</v>
      </c>
      <c r="F1902" s="54" t="n">
        <v>25</v>
      </c>
      <c r="G1902" s="55" t="n">
        <v>170.85</v>
      </c>
      <c r="H1902" s="55" t="n">
        <v>6.834</v>
      </c>
      <c r="I1902" s="55" t="n">
        <v>8.46</v>
      </c>
      <c r="J1902" s="52" t="s">
        <v>5816</v>
      </c>
      <c r="K1902" s="56" t="n">
        <v>1</v>
      </c>
      <c r="L1902" s="52" t="s">
        <v>5816</v>
      </c>
      <c r="M1902" s="52" t="s">
        <v>1095</v>
      </c>
    </row>
    <row r="1903" customFormat="false" ht="17.25" hidden="false" customHeight="true" outlineLevel="0" collapsed="false">
      <c r="A1903" s="52" t="s">
        <v>5777</v>
      </c>
      <c r="B1903" s="52" t="s">
        <v>5813</v>
      </c>
      <c r="C1903" s="53" t="n">
        <v>19353</v>
      </c>
      <c r="D1903" s="52" t="s">
        <v>4102</v>
      </c>
      <c r="E1903" s="52" t="s">
        <v>4103</v>
      </c>
      <c r="F1903" s="54" t="n">
        <v>25</v>
      </c>
      <c r="G1903" s="55" t="n">
        <v>170.85</v>
      </c>
      <c r="H1903" s="55" t="n">
        <v>6.834</v>
      </c>
      <c r="I1903" s="55" t="n">
        <v>8.46</v>
      </c>
      <c r="J1903" s="52" t="s">
        <v>5816</v>
      </c>
      <c r="K1903" s="56" t="n">
        <v>1</v>
      </c>
      <c r="L1903" s="52" t="s">
        <v>5816</v>
      </c>
      <c r="M1903" s="52" t="s">
        <v>1095</v>
      </c>
    </row>
    <row r="1904" customFormat="false" ht="17.25" hidden="false" customHeight="true" outlineLevel="0" collapsed="false">
      <c r="A1904" s="52" t="s">
        <v>5777</v>
      </c>
      <c r="B1904" s="52" t="s">
        <v>5813</v>
      </c>
      <c r="C1904" s="53" t="n">
        <v>19355</v>
      </c>
      <c r="D1904" s="52" t="s">
        <v>4104</v>
      </c>
      <c r="E1904" s="52" t="s">
        <v>4105</v>
      </c>
      <c r="F1904" s="54" t="n">
        <v>25</v>
      </c>
      <c r="G1904" s="55" t="n">
        <v>170.85</v>
      </c>
      <c r="H1904" s="55" t="n">
        <v>6.834</v>
      </c>
      <c r="I1904" s="55" t="n">
        <v>8.46</v>
      </c>
      <c r="J1904" s="52" t="s">
        <v>5816</v>
      </c>
      <c r="K1904" s="56" t="n">
        <v>1</v>
      </c>
      <c r="L1904" s="52" t="s">
        <v>5816</v>
      </c>
      <c r="M1904" s="52" t="s">
        <v>1095</v>
      </c>
    </row>
    <row r="1905" customFormat="false" ht="17.25" hidden="false" customHeight="true" outlineLevel="0" collapsed="false">
      <c r="A1905" s="52" t="s">
        <v>5777</v>
      </c>
      <c r="B1905" s="52" t="s">
        <v>5813</v>
      </c>
      <c r="C1905" s="53" t="n">
        <v>750198</v>
      </c>
      <c r="D1905" s="52" t="s">
        <v>4106</v>
      </c>
      <c r="E1905" s="52" t="s">
        <v>5950</v>
      </c>
      <c r="F1905" s="54" t="n">
        <v>4</v>
      </c>
      <c r="G1905" s="55" t="n">
        <v>170.72</v>
      </c>
      <c r="H1905" s="55" t="n">
        <v>42.68</v>
      </c>
      <c r="I1905" s="55" t="n">
        <v>42.68</v>
      </c>
      <c r="J1905" s="52" t="s">
        <v>5816</v>
      </c>
      <c r="K1905" s="56" t="n">
        <v>1</v>
      </c>
      <c r="L1905" s="52" t="s">
        <v>5816</v>
      </c>
      <c r="M1905" s="52" t="s">
        <v>1618</v>
      </c>
    </row>
    <row r="1906" customFormat="false" ht="17.25" hidden="false" customHeight="true" outlineLevel="0" collapsed="false">
      <c r="A1906" s="52" t="s">
        <v>5777</v>
      </c>
      <c r="B1906" s="52" t="s">
        <v>5813</v>
      </c>
      <c r="C1906" s="53" t="n">
        <v>54564</v>
      </c>
      <c r="D1906" s="52" t="s">
        <v>4108</v>
      </c>
      <c r="E1906" s="52" t="s">
        <v>4109</v>
      </c>
      <c r="F1906" s="54" t="n">
        <v>7</v>
      </c>
      <c r="G1906" s="55" t="n">
        <v>170.68</v>
      </c>
      <c r="H1906" s="55" t="n">
        <v>24.3829</v>
      </c>
      <c r="I1906" s="55" t="n">
        <v>118</v>
      </c>
      <c r="J1906" s="52" t="s">
        <v>5816</v>
      </c>
      <c r="K1906" s="56" t="n">
        <v>1</v>
      </c>
      <c r="L1906" s="52" t="s">
        <v>5816</v>
      </c>
      <c r="M1906" s="52" t="s">
        <v>38</v>
      </c>
    </row>
    <row r="1907" customFormat="false" ht="17.25" hidden="false" customHeight="true" outlineLevel="0" collapsed="false">
      <c r="A1907" s="52" t="s">
        <v>5777</v>
      </c>
      <c r="B1907" s="52" t="s">
        <v>5813</v>
      </c>
      <c r="C1907" s="53" t="n">
        <v>16299</v>
      </c>
      <c r="D1907" s="52" t="s">
        <v>4110</v>
      </c>
      <c r="E1907" s="52" t="s">
        <v>4111</v>
      </c>
      <c r="F1907" s="54" t="n">
        <v>2</v>
      </c>
      <c r="G1907" s="55" t="n">
        <v>170</v>
      </c>
      <c r="H1907" s="55" t="n">
        <v>85</v>
      </c>
      <c r="I1907" s="55" t="n">
        <v>85</v>
      </c>
      <c r="J1907" s="52" t="s">
        <v>5816</v>
      </c>
      <c r="K1907" s="56" t="n">
        <v>1</v>
      </c>
      <c r="L1907" s="52" t="s">
        <v>5816</v>
      </c>
      <c r="M1907" s="52" t="s">
        <v>54</v>
      </c>
    </row>
    <row r="1908" customFormat="false" ht="17.25" hidden="false" customHeight="true" outlineLevel="0" collapsed="false">
      <c r="A1908" s="52" t="s">
        <v>5777</v>
      </c>
      <c r="B1908" s="52" t="s">
        <v>5813</v>
      </c>
      <c r="C1908" s="53" t="n">
        <v>55328</v>
      </c>
      <c r="D1908" s="52" t="s">
        <v>4112</v>
      </c>
      <c r="E1908" s="52" t="s">
        <v>4113</v>
      </c>
      <c r="F1908" s="54" t="n">
        <v>5</v>
      </c>
      <c r="G1908" s="55" t="n">
        <v>170</v>
      </c>
      <c r="H1908" s="55" t="n">
        <v>34</v>
      </c>
      <c r="I1908" s="55" t="n">
        <v>34</v>
      </c>
      <c r="J1908" s="52" t="s">
        <v>5816</v>
      </c>
      <c r="K1908" s="56" t="n">
        <v>1</v>
      </c>
      <c r="L1908" s="52" t="s">
        <v>5816</v>
      </c>
      <c r="M1908" s="52" t="s">
        <v>1618</v>
      </c>
    </row>
    <row r="1909" customFormat="false" ht="17.25" hidden="false" customHeight="true" outlineLevel="0" collapsed="false">
      <c r="A1909" s="52" t="s">
        <v>5777</v>
      </c>
      <c r="B1909" s="52" t="s">
        <v>5813</v>
      </c>
      <c r="C1909" s="53" t="n">
        <v>853866</v>
      </c>
      <c r="D1909" s="52" t="s">
        <v>4114</v>
      </c>
      <c r="E1909" s="52" t="s">
        <v>4115</v>
      </c>
      <c r="F1909" s="54" t="n">
        <v>10</v>
      </c>
      <c r="G1909" s="55" t="n">
        <v>170</v>
      </c>
      <c r="H1909" s="55" t="n">
        <v>17</v>
      </c>
      <c r="I1909" s="55" t="n">
        <v>17</v>
      </c>
      <c r="J1909" s="52" t="s">
        <v>5874</v>
      </c>
      <c r="K1909" s="56" t="n">
        <v>1</v>
      </c>
      <c r="L1909" s="52" t="s">
        <v>5816</v>
      </c>
      <c r="M1909" s="52" t="s">
        <v>262</v>
      </c>
    </row>
    <row r="1910" customFormat="false" ht="17.25" hidden="false" customHeight="true" outlineLevel="0" collapsed="false">
      <c r="A1910" s="52" t="s">
        <v>5777</v>
      </c>
      <c r="B1910" s="52" t="s">
        <v>5813</v>
      </c>
      <c r="C1910" s="53" t="n">
        <v>873214</v>
      </c>
      <c r="D1910" s="52" t="s">
        <v>4116</v>
      </c>
      <c r="E1910" s="52" t="s">
        <v>4117</v>
      </c>
      <c r="F1910" s="54" t="n">
        <v>2</v>
      </c>
      <c r="G1910" s="55" t="n">
        <v>170</v>
      </c>
      <c r="H1910" s="55" t="n">
        <v>85</v>
      </c>
      <c r="I1910" s="55" t="n">
        <v>85</v>
      </c>
      <c r="J1910" s="52" t="s">
        <v>5816</v>
      </c>
      <c r="K1910" s="56" t="n">
        <v>1</v>
      </c>
      <c r="L1910" s="52" t="s">
        <v>5816</v>
      </c>
      <c r="M1910" s="52" t="s">
        <v>247</v>
      </c>
    </row>
    <row r="1911" customFormat="false" ht="17.25" hidden="false" customHeight="true" outlineLevel="0" collapsed="false">
      <c r="A1911" s="52" t="s">
        <v>5777</v>
      </c>
      <c r="B1911" s="52" t="s">
        <v>5813</v>
      </c>
      <c r="C1911" s="53" t="n">
        <v>873215</v>
      </c>
      <c r="D1911" s="52" t="s">
        <v>4118</v>
      </c>
      <c r="E1911" s="52" t="s">
        <v>4119</v>
      </c>
      <c r="F1911" s="54" t="n">
        <v>2</v>
      </c>
      <c r="G1911" s="55" t="n">
        <v>170</v>
      </c>
      <c r="H1911" s="55" t="n">
        <v>85</v>
      </c>
      <c r="I1911" s="55" t="n">
        <v>85</v>
      </c>
      <c r="J1911" s="52" t="s">
        <v>5816</v>
      </c>
      <c r="K1911" s="56" t="n">
        <v>1</v>
      </c>
      <c r="L1911" s="52" t="s">
        <v>5816</v>
      </c>
      <c r="M1911" s="52" t="s">
        <v>247</v>
      </c>
    </row>
    <row r="1912" customFormat="false" ht="17.25" hidden="false" customHeight="true" outlineLevel="0" collapsed="false">
      <c r="A1912" s="52" t="s">
        <v>5777</v>
      </c>
      <c r="B1912" s="52" t="s">
        <v>5813</v>
      </c>
      <c r="C1912" s="53" t="n">
        <v>873217</v>
      </c>
      <c r="D1912" s="52" t="s">
        <v>4120</v>
      </c>
      <c r="E1912" s="52" t="s">
        <v>4121</v>
      </c>
      <c r="F1912" s="54" t="n">
        <v>2</v>
      </c>
      <c r="G1912" s="55" t="n">
        <v>170</v>
      </c>
      <c r="H1912" s="55" t="n">
        <v>85</v>
      </c>
      <c r="I1912" s="55" t="n">
        <v>85</v>
      </c>
      <c r="J1912" s="52" t="s">
        <v>5816</v>
      </c>
      <c r="K1912" s="56" t="n">
        <v>1</v>
      </c>
      <c r="L1912" s="52" t="s">
        <v>5816</v>
      </c>
      <c r="M1912" s="52" t="s">
        <v>247</v>
      </c>
    </row>
    <row r="1913" customFormat="false" ht="17.25" hidden="false" customHeight="true" outlineLevel="0" collapsed="false">
      <c r="A1913" s="52" t="s">
        <v>5777</v>
      </c>
      <c r="B1913" s="52" t="s">
        <v>5813</v>
      </c>
      <c r="C1913" s="53" t="n">
        <v>65641</v>
      </c>
      <c r="D1913" s="52" t="s">
        <v>4122</v>
      </c>
      <c r="E1913" s="52" t="s">
        <v>4123</v>
      </c>
      <c r="F1913" s="54" t="n">
        <v>1</v>
      </c>
      <c r="G1913" s="55" t="n">
        <v>169.95</v>
      </c>
      <c r="H1913" s="55" t="n">
        <v>169.95</v>
      </c>
      <c r="I1913" s="55" t="n">
        <v>169.95</v>
      </c>
      <c r="J1913" s="52" t="s">
        <v>5816</v>
      </c>
      <c r="K1913" s="56" t="n">
        <v>1</v>
      </c>
      <c r="L1913" s="52" t="s">
        <v>5816</v>
      </c>
      <c r="M1913" s="52" t="s">
        <v>38</v>
      </c>
    </row>
    <row r="1914" customFormat="false" ht="17.25" hidden="false" customHeight="true" outlineLevel="0" collapsed="false">
      <c r="A1914" s="52" t="s">
        <v>5777</v>
      </c>
      <c r="B1914" s="52" t="s">
        <v>5813</v>
      </c>
      <c r="C1914" s="53" t="n">
        <v>870436</v>
      </c>
      <c r="D1914" s="52" t="s">
        <v>4124</v>
      </c>
      <c r="E1914" s="52" t="s">
        <v>4125</v>
      </c>
      <c r="F1914" s="54" t="n">
        <v>3</v>
      </c>
      <c r="G1914" s="55" t="n">
        <v>169.83</v>
      </c>
      <c r="H1914" s="55" t="n">
        <v>56.61</v>
      </c>
      <c r="I1914" s="55" t="n">
        <v>56.61</v>
      </c>
      <c r="J1914" s="52" t="s">
        <v>5816</v>
      </c>
      <c r="K1914" s="56" t="n">
        <v>1</v>
      </c>
      <c r="L1914" s="52" t="s">
        <v>5816</v>
      </c>
      <c r="M1914" s="52" t="s">
        <v>1095</v>
      </c>
    </row>
    <row r="1915" customFormat="false" ht="17.25" hidden="false" customHeight="true" outlineLevel="0" collapsed="false">
      <c r="A1915" s="52" t="s">
        <v>5777</v>
      </c>
      <c r="B1915" s="52" t="s">
        <v>5813</v>
      </c>
      <c r="C1915" s="53" t="n">
        <v>870437</v>
      </c>
      <c r="D1915" s="52" t="s">
        <v>4126</v>
      </c>
      <c r="E1915" s="52" t="s">
        <v>4127</v>
      </c>
      <c r="F1915" s="54" t="n">
        <v>3</v>
      </c>
      <c r="G1915" s="55" t="n">
        <v>169.83</v>
      </c>
      <c r="H1915" s="55" t="n">
        <v>56.61</v>
      </c>
      <c r="I1915" s="55" t="n">
        <v>56.61</v>
      </c>
      <c r="J1915" s="52" t="s">
        <v>5816</v>
      </c>
      <c r="K1915" s="56" t="n">
        <v>1</v>
      </c>
      <c r="L1915" s="52" t="s">
        <v>5816</v>
      </c>
      <c r="M1915" s="52" t="s">
        <v>1095</v>
      </c>
    </row>
    <row r="1916" customFormat="false" ht="17.25" hidden="false" customHeight="true" outlineLevel="0" collapsed="false">
      <c r="A1916" s="52" t="s">
        <v>5777</v>
      </c>
      <c r="B1916" s="52" t="s">
        <v>5813</v>
      </c>
      <c r="C1916" s="53" t="n">
        <v>1486826</v>
      </c>
      <c r="D1916" s="52" t="s">
        <v>4128</v>
      </c>
      <c r="E1916" s="57" t="s">
        <v>5951</v>
      </c>
      <c r="F1916" s="54" t="n">
        <v>14</v>
      </c>
      <c r="G1916" s="55" t="n">
        <v>169.7</v>
      </c>
      <c r="H1916" s="55" t="n">
        <v>12.1214</v>
      </c>
      <c r="I1916" s="55" t="n">
        <v>9.47</v>
      </c>
      <c r="J1916" s="52" t="s">
        <v>5816</v>
      </c>
      <c r="K1916" s="56" t="n">
        <v>1</v>
      </c>
      <c r="L1916" s="52" t="s">
        <v>5816</v>
      </c>
      <c r="M1916" s="52" t="s">
        <v>38</v>
      </c>
    </row>
    <row r="1917" customFormat="false" ht="17.25" hidden="false" customHeight="true" outlineLevel="0" collapsed="false">
      <c r="A1917" s="52" t="s">
        <v>5777</v>
      </c>
      <c r="B1917" s="52" t="s">
        <v>5813</v>
      </c>
      <c r="C1917" s="53" t="n">
        <v>19386</v>
      </c>
      <c r="D1917" s="52" t="s">
        <v>4130</v>
      </c>
      <c r="E1917" s="52" t="s">
        <v>4131</v>
      </c>
      <c r="F1917" s="54" t="n">
        <v>1</v>
      </c>
      <c r="G1917" s="55" t="n">
        <v>168</v>
      </c>
      <c r="H1917" s="55" t="n">
        <v>168</v>
      </c>
      <c r="I1917" s="55" t="n">
        <v>168</v>
      </c>
      <c r="J1917" s="52" t="s">
        <v>5816</v>
      </c>
      <c r="K1917" s="56" t="n">
        <v>1</v>
      </c>
      <c r="L1917" s="52" t="s">
        <v>5816</v>
      </c>
      <c r="M1917" s="52" t="s">
        <v>1095</v>
      </c>
    </row>
    <row r="1918" customFormat="false" ht="17.25" hidden="false" customHeight="true" outlineLevel="0" collapsed="false">
      <c r="A1918" s="52" t="s">
        <v>5777</v>
      </c>
      <c r="B1918" s="52" t="s">
        <v>5813</v>
      </c>
      <c r="C1918" s="53" t="n">
        <v>21172</v>
      </c>
      <c r="D1918" s="52" t="s">
        <v>4132</v>
      </c>
      <c r="E1918" s="52" t="s">
        <v>4133</v>
      </c>
      <c r="F1918" s="54" t="n">
        <v>1</v>
      </c>
      <c r="G1918" s="55" t="n">
        <v>168</v>
      </c>
      <c r="H1918" s="55" t="n">
        <v>168</v>
      </c>
      <c r="I1918" s="55" t="n">
        <v>168</v>
      </c>
      <c r="J1918" s="52" t="s">
        <v>5816</v>
      </c>
      <c r="K1918" s="56" t="n">
        <v>1</v>
      </c>
      <c r="L1918" s="52" t="s">
        <v>5816</v>
      </c>
      <c r="M1918" s="52" t="s">
        <v>189</v>
      </c>
    </row>
    <row r="1919" customFormat="false" ht="17.25" hidden="false" customHeight="true" outlineLevel="0" collapsed="false">
      <c r="A1919" s="52" t="s">
        <v>5777</v>
      </c>
      <c r="B1919" s="52" t="s">
        <v>5813</v>
      </c>
      <c r="C1919" s="53" t="n">
        <v>22321</v>
      </c>
      <c r="D1919" s="52" t="s">
        <v>4134</v>
      </c>
      <c r="E1919" s="52" t="s">
        <v>4135</v>
      </c>
      <c r="F1919" s="54" t="n">
        <v>1</v>
      </c>
      <c r="G1919" s="55" t="n">
        <v>168</v>
      </c>
      <c r="H1919" s="55" t="n">
        <v>168</v>
      </c>
      <c r="I1919" s="55" t="n">
        <v>168</v>
      </c>
      <c r="J1919" s="52" t="s">
        <v>5816</v>
      </c>
      <c r="K1919" s="56" t="n">
        <v>1</v>
      </c>
      <c r="L1919" s="52" t="s">
        <v>5816</v>
      </c>
      <c r="M1919" s="52" t="s">
        <v>38</v>
      </c>
    </row>
    <row r="1920" customFormat="false" ht="17.25" hidden="false" customHeight="true" outlineLevel="0" collapsed="false">
      <c r="A1920" s="52" t="s">
        <v>5777</v>
      </c>
      <c r="B1920" s="52" t="s">
        <v>5813</v>
      </c>
      <c r="C1920" s="53" t="n">
        <v>288687</v>
      </c>
      <c r="D1920" s="52" t="s">
        <v>4136</v>
      </c>
      <c r="E1920" s="52" t="s">
        <v>4137</v>
      </c>
      <c r="F1920" s="54" t="n">
        <v>1</v>
      </c>
      <c r="G1920" s="55" t="n">
        <v>168</v>
      </c>
      <c r="H1920" s="55" t="n">
        <v>168</v>
      </c>
      <c r="I1920" s="55" t="n">
        <v>168</v>
      </c>
      <c r="J1920" s="52" t="s">
        <v>5816</v>
      </c>
      <c r="K1920" s="56" t="n">
        <v>1</v>
      </c>
      <c r="L1920" s="52" t="s">
        <v>5816</v>
      </c>
      <c r="M1920" s="52" t="s">
        <v>38</v>
      </c>
    </row>
    <row r="1921" customFormat="false" ht="17.25" hidden="false" customHeight="true" outlineLevel="0" collapsed="false">
      <c r="A1921" s="52" t="s">
        <v>5777</v>
      </c>
      <c r="B1921" s="52" t="s">
        <v>5813</v>
      </c>
      <c r="C1921" s="53" t="n">
        <v>747653</v>
      </c>
      <c r="D1921" s="52" t="s">
        <v>4138</v>
      </c>
      <c r="E1921" s="52" t="s">
        <v>3198</v>
      </c>
      <c r="F1921" s="54" t="n">
        <v>6</v>
      </c>
      <c r="G1921" s="55" t="n">
        <v>168</v>
      </c>
      <c r="H1921" s="55" t="n">
        <v>28</v>
      </c>
      <c r="I1921" s="55" t="n">
        <v>28</v>
      </c>
      <c r="J1921" s="52" t="s">
        <v>5816</v>
      </c>
      <c r="K1921" s="56" t="n">
        <v>1</v>
      </c>
      <c r="L1921" s="52" t="s">
        <v>5816</v>
      </c>
      <c r="M1921" s="52" t="s">
        <v>54</v>
      </c>
    </row>
    <row r="1922" customFormat="false" ht="17.25" hidden="false" customHeight="true" outlineLevel="0" collapsed="false">
      <c r="A1922" s="52" t="s">
        <v>5777</v>
      </c>
      <c r="B1922" s="52" t="s">
        <v>5813</v>
      </c>
      <c r="C1922" s="53" t="n">
        <v>1607237</v>
      </c>
      <c r="D1922" s="52" t="s">
        <v>4139</v>
      </c>
      <c r="E1922" s="52" t="s">
        <v>4140</v>
      </c>
      <c r="F1922" s="54" t="n">
        <v>10</v>
      </c>
      <c r="G1922" s="55" t="n">
        <v>168</v>
      </c>
      <c r="H1922" s="55" t="n">
        <v>16.8</v>
      </c>
      <c r="I1922" s="55" t="n">
        <v>16.8</v>
      </c>
      <c r="J1922" s="52" t="s">
        <v>5816</v>
      </c>
      <c r="K1922" s="56" t="n">
        <v>1</v>
      </c>
      <c r="L1922" s="52" t="s">
        <v>5816</v>
      </c>
      <c r="M1922" s="52" t="s">
        <v>189</v>
      </c>
    </row>
    <row r="1923" customFormat="false" ht="17.25" hidden="false" customHeight="true" outlineLevel="0" collapsed="false">
      <c r="A1923" s="52" t="s">
        <v>5777</v>
      </c>
      <c r="B1923" s="52" t="s">
        <v>5813</v>
      </c>
      <c r="C1923" s="53" t="n">
        <v>1065235</v>
      </c>
      <c r="D1923" s="52" t="s">
        <v>4141</v>
      </c>
      <c r="E1923" s="52" t="s">
        <v>4142</v>
      </c>
      <c r="F1923" s="54" t="n">
        <v>48</v>
      </c>
      <c r="G1923" s="55" t="n">
        <v>167.04</v>
      </c>
      <c r="H1923" s="55" t="n">
        <v>3.48</v>
      </c>
      <c r="I1923" s="55" t="n">
        <v>3.48</v>
      </c>
      <c r="J1923" s="52" t="s">
        <v>5814</v>
      </c>
      <c r="K1923" s="56" t="n">
        <v>1</v>
      </c>
      <c r="L1923" s="52" t="s">
        <v>5814</v>
      </c>
      <c r="M1923" s="52" t="s">
        <v>262</v>
      </c>
    </row>
    <row r="1924" customFormat="false" ht="17.25" hidden="false" customHeight="true" outlineLevel="0" collapsed="false">
      <c r="A1924" s="52" t="s">
        <v>5777</v>
      </c>
      <c r="B1924" s="52" t="s">
        <v>5813</v>
      </c>
      <c r="C1924" s="53" t="n">
        <v>23713</v>
      </c>
      <c r="D1924" s="52" t="s">
        <v>4143</v>
      </c>
      <c r="E1924" s="52" t="s">
        <v>4144</v>
      </c>
      <c r="F1924" s="54" t="n">
        <v>25</v>
      </c>
      <c r="G1924" s="55" t="n">
        <v>166.6</v>
      </c>
      <c r="H1924" s="55" t="n">
        <v>6.664</v>
      </c>
      <c r="I1924" s="55" t="n">
        <v>4.69</v>
      </c>
      <c r="J1924" s="52" t="s">
        <v>5816</v>
      </c>
      <c r="K1924" s="56" t="n">
        <v>1</v>
      </c>
      <c r="L1924" s="52" t="s">
        <v>5816</v>
      </c>
      <c r="M1924" s="52" t="s">
        <v>1618</v>
      </c>
    </row>
    <row r="1925" customFormat="false" ht="17.25" hidden="false" customHeight="true" outlineLevel="0" collapsed="false">
      <c r="A1925" s="52" t="s">
        <v>5777</v>
      </c>
      <c r="B1925" s="52" t="s">
        <v>5813</v>
      </c>
      <c r="C1925" s="53" t="n">
        <v>350923</v>
      </c>
      <c r="D1925" s="52" t="s">
        <v>4145</v>
      </c>
      <c r="E1925" s="52" t="s">
        <v>4146</v>
      </c>
      <c r="F1925" s="54" t="n">
        <v>30</v>
      </c>
      <c r="G1925" s="55" t="n">
        <v>166.5</v>
      </c>
      <c r="H1925" s="55" t="n">
        <v>5.55</v>
      </c>
      <c r="I1925" s="55" t="n">
        <v>5.55</v>
      </c>
      <c r="J1925" s="52" t="s">
        <v>5816</v>
      </c>
      <c r="K1925" s="56" t="n">
        <v>1</v>
      </c>
      <c r="L1925" s="52" t="s">
        <v>5816</v>
      </c>
      <c r="M1925" s="52" t="s">
        <v>1095</v>
      </c>
    </row>
    <row r="1926" customFormat="false" ht="17.25" hidden="false" customHeight="true" outlineLevel="0" collapsed="false">
      <c r="A1926" s="52" t="s">
        <v>5777</v>
      </c>
      <c r="B1926" s="52" t="s">
        <v>5813</v>
      </c>
      <c r="C1926" s="53" t="n">
        <v>946731</v>
      </c>
      <c r="D1926" s="52" t="s">
        <v>4147</v>
      </c>
      <c r="E1926" s="52" t="s">
        <v>4148</v>
      </c>
      <c r="F1926" s="54" t="n">
        <v>26</v>
      </c>
      <c r="G1926" s="55" t="n">
        <v>165.89</v>
      </c>
      <c r="H1926" s="55" t="n">
        <v>6.3804</v>
      </c>
      <c r="I1926" s="55" t="n">
        <v>3.75</v>
      </c>
      <c r="J1926" s="52" t="s">
        <v>5816</v>
      </c>
      <c r="K1926" s="56" t="n">
        <v>1</v>
      </c>
      <c r="L1926" s="52" t="s">
        <v>5816</v>
      </c>
      <c r="M1926" s="52" t="s">
        <v>705</v>
      </c>
    </row>
    <row r="1927" customFormat="false" ht="17.25" hidden="false" customHeight="true" outlineLevel="0" collapsed="false">
      <c r="A1927" s="52" t="s">
        <v>5777</v>
      </c>
      <c r="B1927" s="52" t="s">
        <v>5813</v>
      </c>
      <c r="C1927" s="53" t="n">
        <v>57461</v>
      </c>
      <c r="D1927" s="52" t="s">
        <v>4149</v>
      </c>
      <c r="E1927" s="52" t="s">
        <v>4150</v>
      </c>
      <c r="F1927" s="54" t="n">
        <v>6</v>
      </c>
      <c r="G1927" s="55" t="n">
        <v>165.06</v>
      </c>
      <c r="H1927" s="55" t="n">
        <v>27.51</v>
      </c>
      <c r="I1927" s="55" t="n">
        <v>27.51</v>
      </c>
      <c r="J1927" s="52" t="s">
        <v>5816</v>
      </c>
      <c r="K1927" s="56" t="n">
        <v>1</v>
      </c>
      <c r="L1927" s="52" t="s">
        <v>5816</v>
      </c>
      <c r="M1927" s="52" t="s">
        <v>38</v>
      </c>
    </row>
    <row r="1928" customFormat="false" ht="17.25" hidden="false" customHeight="true" outlineLevel="0" collapsed="false">
      <c r="A1928" s="52" t="s">
        <v>5777</v>
      </c>
      <c r="B1928" s="52" t="s">
        <v>5813</v>
      </c>
      <c r="C1928" s="53" t="n">
        <v>59664</v>
      </c>
      <c r="D1928" s="52" t="s">
        <v>4151</v>
      </c>
      <c r="E1928" s="52" t="s">
        <v>4152</v>
      </c>
      <c r="F1928" s="54" t="n">
        <v>100</v>
      </c>
      <c r="G1928" s="55" t="n">
        <v>165</v>
      </c>
      <c r="H1928" s="55" t="n">
        <v>1.65</v>
      </c>
      <c r="I1928" s="55" t="n">
        <v>1.65</v>
      </c>
      <c r="J1928" s="52" t="s">
        <v>5816</v>
      </c>
      <c r="K1928" s="56" t="n">
        <v>1</v>
      </c>
      <c r="L1928" s="52" t="s">
        <v>5816</v>
      </c>
      <c r="M1928" s="52" t="s">
        <v>100</v>
      </c>
    </row>
    <row r="1929" customFormat="false" ht="17.25" hidden="false" customHeight="true" outlineLevel="0" collapsed="false">
      <c r="A1929" s="52" t="s">
        <v>5777</v>
      </c>
      <c r="B1929" s="52" t="s">
        <v>5813</v>
      </c>
      <c r="C1929" s="53" t="n">
        <v>1330332</v>
      </c>
      <c r="D1929" s="52" t="s">
        <v>4153</v>
      </c>
      <c r="E1929" s="52" t="s">
        <v>4154</v>
      </c>
      <c r="F1929" s="54" t="n">
        <v>9</v>
      </c>
      <c r="G1929" s="55" t="n">
        <v>164.76</v>
      </c>
      <c r="H1929" s="55" t="n">
        <v>18.3067</v>
      </c>
      <c r="I1929" s="55" t="n">
        <v>18</v>
      </c>
      <c r="J1929" s="52" t="s">
        <v>5814</v>
      </c>
      <c r="K1929" s="56" t="n">
        <v>1</v>
      </c>
      <c r="L1929" s="52" t="s">
        <v>5814</v>
      </c>
      <c r="M1929" s="52" t="s">
        <v>54</v>
      </c>
    </row>
    <row r="1930" customFormat="false" ht="17.25" hidden="false" customHeight="true" outlineLevel="0" collapsed="false">
      <c r="A1930" s="52" t="s">
        <v>5777</v>
      </c>
      <c r="B1930" s="52" t="s">
        <v>5813</v>
      </c>
      <c r="C1930" s="53" t="n">
        <v>1614079</v>
      </c>
      <c r="D1930" s="52" t="s">
        <v>4155</v>
      </c>
      <c r="E1930" s="52" t="s">
        <v>4156</v>
      </c>
      <c r="F1930" s="54" t="n">
        <v>151</v>
      </c>
      <c r="G1930" s="55" t="n">
        <v>164.59</v>
      </c>
      <c r="H1930" s="55" t="n">
        <v>1.09</v>
      </c>
      <c r="I1930" s="55" t="n">
        <v>1.09</v>
      </c>
      <c r="J1930" s="52" t="s">
        <v>5816</v>
      </c>
      <c r="K1930" s="56" t="n">
        <v>1</v>
      </c>
      <c r="L1930" s="52" t="s">
        <v>5816</v>
      </c>
      <c r="M1930" s="52" t="s">
        <v>100</v>
      </c>
    </row>
    <row r="1931" customFormat="false" ht="17.25" hidden="false" customHeight="true" outlineLevel="0" collapsed="false">
      <c r="A1931" s="52" t="s">
        <v>5777</v>
      </c>
      <c r="B1931" s="52" t="s">
        <v>5813</v>
      </c>
      <c r="C1931" s="53" t="n">
        <v>89430</v>
      </c>
      <c r="D1931" s="52" t="s">
        <v>4157</v>
      </c>
      <c r="E1931" s="52" t="s">
        <v>4158</v>
      </c>
      <c r="F1931" s="54" t="n">
        <v>33</v>
      </c>
      <c r="G1931" s="55" t="n">
        <v>164.34</v>
      </c>
      <c r="H1931" s="55" t="n">
        <v>4.98</v>
      </c>
      <c r="I1931" s="55" t="n">
        <v>4.98</v>
      </c>
      <c r="J1931" s="52" t="s">
        <v>5816</v>
      </c>
      <c r="K1931" s="56" t="n">
        <v>1</v>
      </c>
      <c r="L1931" s="52" t="s">
        <v>5816</v>
      </c>
      <c r="M1931" s="52" t="s">
        <v>100</v>
      </c>
    </row>
    <row r="1932" customFormat="false" ht="17.25" hidden="false" customHeight="true" outlineLevel="0" collapsed="false">
      <c r="A1932" s="52" t="s">
        <v>5777</v>
      </c>
      <c r="B1932" s="52" t="s">
        <v>5813</v>
      </c>
      <c r="C1932" s="53" t="n">
        <v>1485221</v>
      </c>
      <c r="D1932" s="52" t="s">
        <v>4159</v>
      </c>
      <c r="E1932" s="57" t="s">
        <v>5952</v>
      </c>
      <c r="F1932" s="54" t="n">
        <v>2</v>
      </c>
      <c r="G1932" s="55" t="n">
        <v>163.88</v>
      </c>
      <c r="H1932" s="55" t="n">
        <v>81.94</v>
      </c>
      <c r="I1932" s="55" t="n">
        <v>54.63</v>
      </c>
      <c r="J1932" s="52" t="s">
        <v>5816</v>
      </c>
      <c r="K1932" s="56" t="n">
        <v>1</v>
      </c>
      <c r="L1932" s="52" t="s">
        <v>5816</v>
      </c>
      <c r="M1932" s="52" t="s">
        <v>133</v>
      </c>
    </row>
    <row r="1933" customFormat="false" ht="17.25" hidden="false" customHeight="true" outlineLevel="0" collapsed="false">
      <c r="A1933" s="52" t="s">
        <v>5777</v>
      </c>
      <c r="B1933" s="52" t="s">
        <v>5813</v>
      </c>
      <c r="C1933" s="53" t="n">
        <v>1539075</v>
      </c>
      <c r="D1933" s="52" t="s">
        <v>4161</v>
      </c>
      <c r="E1933" s="52" t="s">
        <v>4162</v>
      </c>
      <c r="F1933" s="54" t="n">
        <v>4</v>
      </c>
      <c r="G1933" s="55" t="n">
        <v>163.16</v>
      </c>
      <c r="H1933" s="55" t="n">
        <v>40.79</v>
      </c>
      <c r="I1933" s="55" t="n">
        <v>40.79</v>
      </c>
      <c r="J1933" s="52" t="s">
        <v>5816</v>
      </c>
      <c r="K1933" s="56" t="n">
        <v>1</v>
      </c>
      <c r="L1933" s="52" t="s">
        <v>5816</v>
      </c>
      <c r="M1933" s="52" t="s">
        <v>170</v>
      </c>
    </row>
    <row r="1934" customFormat="false" ht="17.25" hidden="false" customHeight="true" outlineLevel="0" collapsed="false">
      <c r="A1934" s="52" t="s">
        <v>5777</v>
      </c>
      <c r="B1934" s="52" t="s">
        <v>5813</v>
      </c>
      <c r="C1934" s="53" t="n">
        <v>35056</v>
      </c>
      <c r="D1934" s="52" t="s">
        <v>3753</v>
      </c>
      <c r="E1934" s="52" t="s">
        <v>3754</v>
      </c>
      <c r="F1934" s="54" t="n">
        <v>8</v>
      </c>
      <c r="G1934" s="55" t="n">
        <v>162.5</v>
      </c>
      <c r="H1934" s="55" t="n">
        <v>20.3125</v>
      </c>
      <c r="I1934" s="55" t="n">
        <v>20.635</v>
      </c>
      <c r="J1934" s="52" t="s">
        <v>5816</v>
      </c>
      <c r="K1934" s="56" t="n">
        <v>1</v>
      </c>
      <c r="L1934" s="52" t="s">
        <v>5816</v>
      </c>
      <c r="M1934" s="52" t="s">
        <v>247</v>
      </c>
    </row>
    <row r="1935" customFormat="false" ht="17.25" hidden="false" customHeight="true" outlineLevel="0" collapsed="false">
      <c r="A1935" s="52" t="s">
        <v>5777</v>
      </c>
      <c r="B1935" s="52" t="s">
        <v>5813</v>
      </c>
      <c r="C1935" s="53" t="n">
        <v>22365</v>
      </c>
      <c r="D1935" s="52" t="s">
        <v>4163</v>
      </c>
      <c r="E1935" s="52" t="s">
        <v>4164</v>
      </c>
      <c r="F1935" s="54" t="n">
        <v>1</v>
      </c>
      <c r="G1935" s="55" t="n">
        <v>162</v>
      </c>
      <c r="H1935" s="55" t="n">
        <v>162</v>
      </c>
      <c r="I1935" s="55" t="n">
        <v>162</v>
      </c>
      <c r="J1935" s="52" t="s">
        <v>5816</v>
      </c>
      <c r="K1935" s="56" t="n">
        <v>1</v>
      </c>
      <c r="L1935" s="52" t="s">
        <v>5816</v>
      </c>
      <c r="M1935" s="52" t="s">
        <v>130</v>
      </c>
    </row>
    <row r="1936" customFormat="false" ht="17.25" hidden="false" customHeight="true" outlineLevel="0" collapsed="false">
      <c r="A1936" s="52" t="s">
        <v>5777</v>
      </c>
      <c r="B1936" s="52" t="s">
        <v>5813</v>
      </c>
      <c r="C1936" s="53" t="n">
        <v>19517</v>
      </c>
      <c r="D1936" s="52" t="s">
        <v>4165</v>
      </c>
      <c r="E1936" s="52" t="s">
        <v>4166</v>
      </c>
      <c r="F1936" s="54" t="n">
        <v>6</v>
      </c>
      <c r="G1936" s="55" t="n">
        <v>160.1495</v>
      </c>
      <c r="H1936" s="55" t="n">
        <v>26.6915</v>
      </c>
      <c r="I1936" s="55" t="n">
        <v>18.13</v>
      </c>
      <c r="J1936" s="52" t="s">
        <v>5816</v>
      </c>
      <c r="K1936" s="56" t="n">
        <v>1</v>
      </c>
      <c r="L1936" s="52" t="s">
        <v>5816</v>
      </c>
      <c r="M1936" s="52" t="s">
        <v>1095</v>
      </c>
    </row>
    <row r="1937" customFormat="false" ht="17.25" hidden="false" customHeight="true" outlineLevel="0" collapsed="false">
      <c r="A1937" s="52" t="s">
        <v>5777</v>
      </c>
      <c r="B1937" s="52" t="s">
        <v>5813</v>
      </c>
      <c r="C1937" s="53" t="n">
        <v>741279</v>
      </c>
      <c r="D1937" s="52" t="s">
        <v>4167</v>
      </c>
      <c r="E1937" s="52" t="s">
        <v>5953</v>
      </c>
      <c r="F1937" s="54" t="n">
        <v>20</v>
      </c>
      <c r="G1937" s="55" t="n">
        <v>160</v>
      </c>
      <c r="H1937" s="55" t="n">
        <v>8</v>
      </c>
      <c r="I1937" s="55" t="n">
        <v>8</v>
      </c>
      <c r="J1937" s="52" t="s">
        <v>5814</v>
      </c>
      <c r="K1937" s="56" t="n">
        <v>1</v>
      </c>
      <c r="L1937" s="52" t="s">
        <v>5814</v>
      </c>
      <c r="M1937" s="52" t="s">
        <v>262</v>
      </c>
    </row>
    <row r="1938" customFormat="false" ht="17.25" hidden="false" customHeight="true" outlineLevel="0" collapsed="false">
      <c r="A1938" s="52" t="s">
        <v>5777</v>
      </c>
      <c r="B1938" s="52" t="s">
        <v>5813</v>
      </c>
      <c r="C1938" s="53" t="n">
        <v>1382527</v>
      </c>
      <c r="D1938" s="52" t="s">
        <v>4169</v>
      </c>
      <c r="E1938" s="52" t="s">
        <v>5954</v>
      </c>
      <c r="F1938" s="54" t="n">
        <v>5</v>
      </c>
      <c r="G1938" s="55" t="n">
        <v>160</v>
      </c>
      <c r="H1938" s="55" t="n">
        <v>32</v>
      </c>
      <c r="I1938" s="55" t="n">
        <v>32</v>
      </c>
      <c r="J1938" s="52" t="s">
        <v>5816</v>
      </c>
      <c r="K1938" s="56" t="n">
        <v>1</v>
      </c>
      <c r="L1938" s="52" t="s">
        <v>5816</v>
      </c>
      <c r="M1938" s="52" t="s">
        <v>605</v>
      </c>
    </row>
    <row r="1939" customFormat="false" ht="17.25" hidden="false" customHeight="true" outlineLevel="0" collapsed="false">
      <c r="A1939" s="52" t="s">
        <v>5777</v>
      </c>
      <c r="B1939" s="52" t="s">
        <v>5813</v>
      </c>
      <c r="C1939" s="53" t="n">
        <v>1331091</v>
      </c>
      <c r="D1939" s="52" t="s">
        <v>4171</v>
      </c>
      <c r="E1939" s="52" t="s">
        <v>4172</v>
      </c>
      <c r="F1939" s="54" t="n">
        <v>2</v>
      </c>
      <c r="G1939" s="55" t="n">
        <v>159.98</v>
      </c>
      <c r="H1939" s="55" t="n">
        <v>79.99</v>
      </c>
      <c r="I1939" s="55" t="n">
        <v>79.99</v>
      </c>
      <c r="J1939" s="52" t="s">
        <v>5816</v>
      </c>
      <c r="K1939" s="56" t="n">
        <v>1</v>
      </c>
      <c r="L1939" s="52" t="s">
        <v>5816</v>
      </c>
      <c r="M1939" s="52" t="s">
        <v>1443</v>
      </c>
    </row>
    <row r="1940" customFormat="false" ht="17.25" hidden="false" customHeight="true" outlineLevel="0" collapsed="false">
      <c r="A1940" s="52" t="s">
        <v>5777</v>
      </c>
      <c r="B1940" s="52" t="s">
        <v>5813</v>
      </c>
      <c r="C1940" s="53" t="n">
        <v>840044</v>
      </c>
      <c r="D1940" s="52" t="s">
        <v>4173</v>
      </c>
      <c r="E1940" s="52" t="s">
        <v>4174</v>
      </c>
      <c r="F1940" s="54" t="n">
        <v>4</v>
      </c>
      <c r="G1940" s="55" t="n">
        <v>159.16</v>
      </c>
      <c r="H1940" s="55" t="n">
        <v>39.79</v>
      </c>
      <c r="I1940" s="55" t="n">
        <v>39.79</v>
      </c>
      <c r="J1940" s="52" t="s">
        <v>5816</v>
      </c>
      <c r="K1940" s="56" t="n">
        <v>1</v>
      </c>
      <c r="L1940" s="52" t="s">
        <v>5816</v>
      </c>
      <c r="M1940" s="52" t="s">
        <v>54</v>
      </c>
    </row>
    <row r="1941" customFormat="false" ht="17.25" hidden="false" customHeight="true" outlineLevel="0" collapsed="false">
      <c r="A1941" s="52" t="s">
        <v>5777</v>
      </c>
      <c r="B1941" s="52" t="s">
        <v>5813</v>
      </c>
      <c r="C1941" s="53" t="n">
        <v>1096178</v>
      </c>
      <c r="D1941" s="52" t="s">
        <v>4175</v>
      </c>
      <c r="E1941" s="52" t="s">
        <v>4176</v>
      </c>
      <c r="F1941" s="54" t="n">
        <v>24</v>
      </c>
      <c r="G1941" s="55" t="n">
        <v>159.12</v>
      </c>
      <c r="H1941" s="55" t="n">
        <v>6.63</v>
      </c>
      <c r="I1941" s="55" t="n">
        <v>3.36</v>
      </c>
      <c r="J1941" s="52" t="s">
        <v>5816</v>
      </c>
      <c r="K1941" s="56" t="n">
        <v>1</v>
      </c>
      <c r="L1941" s="52" t="s">
        <v>5816</v>
      </c>
      <c r="M1941" s="52" t="s">
        <v>38</v>
      </c>
    </row>
    <row r="1942" customFormat="false" ht="17.25" hidden="false" customHeight="true" outlineLevel="0" collapsed="false">
      <c r="A1942" s="52" t="s">
        <v>5777</v>
      </c>
      <c r="B1942" s="52" t="s">
        <v>5813</v>
      </c>
      <c r="C1942" s="53" t="n">
        <v>1380003</v>
      </c>
      <c r="D1942" s="52" t="s">
        <v>4177</v>
      </c>
      <c r="E1942" s="52" t="s">
        <v>4178</v>
      </c>
      <c r="F1942" s="54" t="n">
        <v>32</v>
      </c>
      <c r="G1942" s="55" t="n">
        <v>158.16</v>
      </c>
      <c r="H1942" s="55" t="n">
        <v>4.9425</v>
      </c>
      <c r="I1942" s="55" t="n">
        <v>3</v>
      </c>
      <c r="J1942" s="52" t="s">
        <v>5816</v>
      </c>
      <c r="K1942" s="56" t="n">
        <v>1</v>
      </c>
      <c r="L1942" s="52" t="s">
        <v>5816</v>
      </c>
      <c r="M1942" s="52" t="s">
        <v>100</v>
      </c>
    </row>
    <row r="1943" customFormat="false" ht="17.25" hidden="false" customHeight="true" outlineLevel="0" collapsed="false">
      <c r="A1943" s="52" t="s">
        <v>5777</v>
      </c>
      <c r="B1943" s="52" t="s">
        <v>5813</v>
      </c>
      <c r="C1943" s="53" t="n">
        <v>1086359</v>
      </c>
      <c r="D1943" s="52" t="s">
        <v>4179</v>
      </c>
      <c r="E1943" s="52" t="s">
        <v>4180</v>
      </c>
      <c r="F1943" s="54" t="n">
        <v>1</v>
      </c>
      <c r="G1943" s="55" t="n">
        <v>158</v>
      </c>
      <c r="H1943" s="55" t="n">
        <v>158</v>
      </c>
      <c r="I1943" s="55" t="n">
        <v>158</v>
      </c>
      <c r="J1943" s="52" t="s">
        <v>5816</v>
      </c>
      <c r="K1943" s="56" t="n">
        <v>1</v>
      </c>
      <c r="L1943" s="52" t="s">
        <v>5816</v>
      </c>
      <c r="M1943" s="52" t="s">
        <v>1095</v>
      </c>
    </row>
    <row r="1944" customFormat="false" ht="17.25" hidden="false" customHeight="true" outlineLevel="0" collapsed="false">
      <c r="A1944" s="52" t="s">
        <v>5777</v>
      </c>
      <c r="B1944" s="52" t="s">
        <v>5813</v>
      </c>
      <c r="C1944" s="53" t="n">
        <v>17938</v>
      </c>
      <c r="D1944" s="52" t="s">
        <v>4181</v>
      </c>
      <c r="E1944" s="52" t="s">
        <v>4182</v>
      </c>
      <c r="F1944" s="54" t="n">
        <v>5</v>
      </c>
      <c r="G1944" s="55" t="n">
        <v>157.8</v>
      </c>
      <c r="H1944" s="55" t="n">
        <v>31.56</v>
      </c>
      <c r="I1944" s="55" t="n">
        <v>36.8</v>
      </c>
      <c r="J1944" s="52" t="s">
        <v>5816</v>
      </c>
      <c r="K1944" s="56" t="n">
        <v>1</v>
      </c>
      <c r="L1944" s="52" t="s">
        <v>5816</v>
      </c>
      <c r="M1944" s="52" t="s">
        <v>130</v>
      </c>
    </row>
    <row r="1945" customFormat="false" ht="17.25" hidden="false" customHeight="true" outlineLevel="0" collapsed="false">
      <c r="A1945" s="52" t="s">
        <v>5777</v>
      </c>
      <c r="B1945" s="52" t="s">
        <v>5813</v>
      </c>
      <c r="C1945" s="53" t="n">
        <v>645553</v>
      </c>
      <c r="D1945" s="52" t="s">
        <v>4183</v>
      </c>
      <c r="E1945" s="52" t="s">
        <v>4184</v>
      </c>
      <c r="F1945" s="54" t="n">
        <v>350</v>
      </c>
      <c r="G1945" s="55" t="n">
        <v>157.5</v>
      </c>
      <c r="H1945" s="55" t="n">
        <v>0.45</v>
      </c>
      <c r="I1945" s="55" t="n">
        <v>0.45</v>
      </c>
      <c r="J1945" s="52" t="s">
        <v>5816</v>
      </c>
      <c r="K1945" s="56" t="n">
        <v>1</v>
      </c>
      <c r="L1945" s="52" t="s">
        <v>5816</v>
      </c>
      <c r="M1945" s="52" t="s">
        <v>100</v>
      </c>
    </row>
    <row r="1946" customFormat="false" ht="17.25" hidden="false" customHeight="true" outlineLevel="0" collapsed="false">
      <c r="A1946" s="52" t="s">
        <v>5777</v>
      </c>
      <c r="B1946" s="52" t="s">
        <v>5813</v>
      </c>
      <c r="C1946" s="53" t="n">
        <v>12238</v>
      </c>
      <c r="D1946" s="52" t="s">
        <v>4185</v>
      </c>
      <c r="E1946" s="52" t="s">
        <v>4186</v>
      </c>
      <c r="F1946" s="54" t="n">
        <v>100</v>
      </c>
      <c r="G1946" s="55" t="n">
        <v>157.2</v>
      </c>
      <c r="H1946" s="55" t="n">
        <v>1.572</v>
      </c>
      <c r="I1946" s="55" t="n">
        <v>1.572</v>
      </c>
      <c r="J1946" s="52" t="s">
        <v>5814</v>
      </c>
      <c r="K1946" s="56" t="n">
        <v>1</v>
      </c>
      <c r="L1946" s="52" t="s">
        <v>5814</v>
      </c>
      <c r="M1946" s="52" t="s">
        <v>38</v>
      </c>
    </row>
    <row r="1947" customFormat="false" ht="17.25" hidden="false" customHeight="true" outlineLevel="0" collapsed="false">
      <c r="A1947" s="52" t="s">
        <v>5777</v>
      </c>
      <c r="B1947" s="52" t="s">
        <v>5813</v>
      </c>
      <c r="C1947" s="53" t="n">
        <v>12242</v>
      </c>
      <c r="D1947" s="52" t="s">
        <v>4187</v>
      </c>
      <c r="E1947" s="52" t="s">
        <v>4188</v>
      </c>
      <c r="F1947" s="54" t="n">
        <v>100</v>
      </c>
      <c r="G1947" s="55" t="n">
        <v>157.2</v>
      </c>
      <c r="H1947" s="55" t="n">
        <v>1.572</v>
      </c>
      <c r="I1947" s="55" t="n">
        <v>1.572</v>
      </c>
      <c r="J1947" s="52" t="s">
        <v>5814</v>
      </c>
      <c r="K1947" s="56" t="n">
        <v>1</v>
      </c>
      <c r="L1947" s="52" t="s">
        <v>5814</v>
      </c>
      <c r="M1947" s="52" t="s">
        <v>38</v>
      </c>
    </row>
    <row r="1948" customFormat="false" ht="17.25" hidden="false" customHeight="true" outlineLevel="0" collapsed="false">
      <c r="A1948" s="52" t="s">
        <v>5777</v>
      </c>
      <c r="B1948" s="52" t="s">
        <v>5813</v>
      </c>
      <c r="C1948" s="53" t="n">
        <v>17937</v>
      </c>
      <c r="D1948" s="52" t="s">
        <v>4189</v>
      </c>
      <c r="E1948" s="52" t="s">
        <v>4190</v>
      </c>
      <c r="F1948" s="54" t="n">
        <v>5</v>
      </c>
      <c r="G1948" s="55" t="n">
        <v>156.86</v>
      </c>
      <c r="H1948" s="55" t="n">
        <v>31.372</v>
      </c>
      <c r="I1948" s="55" t="n">
        <v>36.61</v>
      </c>
      <c r="J1948" s="52" t="s">
        <v>5816</v>
      </c>
      <c r="K1948" s="56" t="n">
        <v>1</v>
      </c>
      <c r="L1948" s="52" t="s">
        <v>5816</v>
      </c>
      <c r="M1948" s="52" t="s">
        <v>130</v>
      </c>
    </row>
    <row r="1949" customFormat="false" ht="17.25" hidden="false" customHeight="true" outlineLevel="0" collapsed="false">
      <c r="A1949" s="52" t="s">
        <v>5777</v>
      </c>
      <c r="B1949" s="52" t="s">
        <v>5813</v>
      </c>
      <c r="C1949" s="53" t="n">
        <v>14343</v>
      </c>
      <c r="D1949" s="52" t="s">
        <v>4191</v>
      </c>
      <c r="E1949" s="52" t="s">
        <v>4192</v>
      </c>
      <c r="F1949" s="54" t="n">
        <v>100</v>
      </c>
      <c r="G1949" s="55" t="n">
        <v>156</v>
      </c>
      <c r="H1949" s="55" t="n">
        <v>1.56</v>
      </c>
      <c r="I1949" s="55" t="n">
        <v>1.56</v>
      </c>
      <c r="J1949" s="52" t="s">
        <v>5816</v>
      </c>
      <c r="K1949" s="56" t="n">
        <v>1</v>
      </c>
      <c r="L1949" s="52" t="s">
        <v>5816</v>
      </c>
      <c r="M1949" s="52" t="s">
        <v>38</v>
      </c>
    </row>
    <row r="1950" customFormat="false" ht="17.25" hidden="false" customHeight="true" outlineLevel="0" collapsed="false">
      <c r="A1950" s="52" t="s">
        <v>5777</v>
      </c>
      <c r="B1950" s="52" t="s">
        <v>5813</v>
      </c>
      <c r="C1950" s="53" t="n">
        <v>21396</v>
      </c>
      <c r="D1950" s="52" t="s">
        <v>4193</v>
      </c>
      <c r="E1950" s="52" t="s">
        <v>4194</v>
      </c>
      <c r="F1950" s="54" t="n">
        <v>4</v>
      </c>
      <c r="G1950" s="55" t="n">
        <v>156</v>
      </c>
      <c r="H1950" s="55" t="n">
        <v>39</v>
      </c>
      <c r="I1950" s="55" t="n">
        <v>45</v>
      </c>
      <c r="J1950" s="52" t="s">
        <v>5816</v>
      </c>
      <c r="K1950" s="56" t="n">
        <v>1</v>
      </c>
      <c r="L1950" s="52" t="s">
        <v>5816</v>
      </c>
      <c r="M1950" s="52" t="s">
        <v>130</v>
      </c>
    </row>
    <row r="1951" customFormat="false" ht="17.25" hidden="false" customHeight="true" outlineLevel="0" collapsed="false">
      <c r="A1951" s="52" t="s">
        <v>5777</v>
      </c>
      <c r="B1951" s="52" t="s">
        <v>5813</v>
      </c>
      <c r="C1951" s="53" t="n">
        <v>287947</v>
      </c>
      <c r="D1951" s="52" t="s">
        <v>4195</v>
      </c>
      <c r="E1951" s="52" t="s">
        <v>4196</v>
      </c>
      <c r="F1951" s="54" t="n">
        <v>2</v>
      </c>
      <c r="G1951" s="55" t="n">
        <v>156</v>
      </c>
      <c r="H1951" s="55" t="n">
        <v>78</v>
      </c>
      <c r="I1951" s="55" t="n">
        <v>78</v>
      </c>
      <c r="J1951" s="52" t="s">
        <v>5816</v>
      </c>
      <c r="K1951" s="56" t="n">
        <v>1</v>
      </c>
      <c r="L1951" s="52" t="s">
        <v>5816</v>
      </c>
      <c r="M1951" s="52" t="s">
        <v>38</v>
      </c>
    </row>
    <row r="1952" customFormat="false" ht="17.25" hidden="false" customHeight="true" outlineLevel="0" collapsed="false">
      <c r="A1952" s="52" t="s">
        <v>5777</v>
      </c>
      <c r="B1952" s="52" t="s">
        <v>5813</v>
      </c>
      <c r="C1952" s="53" t="n">
        <v>936335</v>
      </c>
      <c r="D1952" s="52" t="s">
        <v>4197</v>
      </c>
      <c r="E1952" s="52" t="s">
        <v>4198</v>
      </c>
      <c r="F1952" s="54" t="n">
        <v>2</v>
      </c>
      <c r="G1952" s="55" t="n">
        <v>156</v>
      </c>
      <c r="H1952" s="55" t="n">
        <v>78</v>
      </c>
      <c r="I1952" s="55" t="n">
        <v>78</v>
      </c>
      <c r="J1952" s="52" t="s">
        <v>5816</v>
      </c>
      <c r="K1952" s="56" t="n">
        <v>1</v>
      </c>
      <c r="L1952" s="52" t="s">
        <v>5816</v>
      </c>
      <c r="M1952" s="52" t="s">
        <v>1618</v>
      </c>
    </row>
    <row r="1953" customFormat="false" ht="17.25" hidden="false" customHeight="true" outlineLevel="0" collapsed="false">
      <c r="A1953" s="52" t="s">
        <v>5777</v>
      </c>
      <c r="B1953" s="52" t="s">
        <v>5813</v>
      </c>
      <c r="C1953" s="53" t="n">
        <v>16830</v>
      </c>
      <c r="D1953" s="52" t="s">
        <v>4199</v>
      </c>
      <c r="E1953" s="52" t="s">
        <v>4200</v>
      </c>
      <c r="F1953" s="54" t="n">
        <v>115</v>
      </c>
      <c r="G1953" s="55" t="n">
        <v>155.39</v>
      </c>
      <c r="H1953" s="55" t="n">
        <v>1.3512</v>
      </c>
      <c r="I1953" s="55" t="n">
        <v>2.55</v>
      </c>
      <c r="J1953" s="52" t="s">
        <v>5816</v>
      </c>
      <c r="K1953" s="56" t="n">
        <v>1</v>
      </c>
      <c r="L1953" s="52" t="s">
        <v>5816</v>
      </c>
      <c r="M1953" s="52" t="s">
        <v>100</v>
      </c>
    </row>
    <row r="1954" customFormat="false" ht="17.25" hidden="false" customHeight="true" outlineLevel="0" collapsed="false">
      <c r="A1954" s="52" t="s">
        <v>5777</v>
      </c>
      <c r="B1954" s="52" t="s">
        <v>5813</v>
      </c>
      <c r="C1954" s="53" t="n">
        <v>1461588</v>
      </c>
      <c r="D1954" s="52" t="s">
        <v>4203</v>
      </c>
      <c r="E1954" s="52" t="s">
        <v>4204</v>
      </c>
      <c r="F1954" s="54" t="n">
        <v>25</v>
      </c>
      <c r="G1954" s="55" t="n">
        <v>155</v>
      </c>
      <c r="H1954" s="55" t="n">
        <v>6.2</v>
      </c>
      <c r="I1954" s="55" t="n">
        <v>6.2</v>
      </c>
      <c r="J1954" s="52" t="s">
        <v>5816</v>
      </c>
      <c r="K1954" s="56" t="n">
        <v>1</v>
      </c>
      <c r="L1954" s="52" t="s">
        <v>5816</v>
      </c>
      <c r="M1954" s="52" t="s">
        <v>54</v>
      </c>
    </row>
    <row r="1955" customFormat="false" ht="17.25" hidden="false" customHeight="true" outlineLevel="0" collapsed="false">
      <c r="A1955" s="52" t="s">
        <v>5777</v>
      </c>
      <c r="B1955" s="52" t="s">
        <v>5813</v>
      </c>
      <c r="C1955" s="53" t="n">
        <v>17671</v>
      </c>
      <c r="D1955" s="52" t="s">
        <v>4205</v>
      </c>
      <c r="E1955" s="52" t="s">
        <v>4206</v>
      </c>
      <c r="F1955" s="54" t="n">
        <v>36</v>
      </c>
      <c r="G1955" s="55" t="n">
        <v>153</v>
      </c>
      <c r="H1955" s="55" t="n">
        <v>4.25</v>
      </c>
      <c r="I1955" s="55" t="n">
        <v>4.25</v>
      </c>
      <c r="J1955" s="52" t="s">
        <v>5816</v>
      </c>
      <c r="K1955" s="56" t="n">
        <v>1</v>
      </c>
      <c r="L1955" s="52" t="s">
        <v>5816</v>
      </c>
      <c r="M1955" s="52" t="s">
        <v>100</v>
      </c>
    </row>
    <row r="1956" customFormat="false" ht="17.25" hidden="false" customHeight="true" outlineLevel="0" collapsed="false">
      <c r="A1956" s="52" t="s">
        <v>5777</v>
      </c>
      <c r="B1956" s="52" t="s">
        <v>5813</v>
      </c>
      <c r="C1956" s="53" t="n">
        <v>19730</v>
      </c>
      <c r="D1956" s="52" t="s">
        <v>4207</v>
      </c>
      <c r="E1956" s="52" t="s">
        <v>4208</v>
      </c>
      <c r="F1956" s="54" t="n">
        <v>4</v>
      </c>
      <c r="G1956" s="55" t="n">
        <v>152</v>
      </c>
      <c r="H1956" s="55" t="n">
        <v>38</v>
      </c>
      <c r="I1956" s="55" t="n">
        <v>38</v>
      </c>
      <c r="J1956" s="52" t="s">
        <v>5816</v>
      </c>
      <c r="K1956" s="56" t="n">
        <v>1</v>
      </c>
      <c r="L1956" s="52" t="s">
        <v>5816</v>
      </c>
      <c r="M1956" s="52" t="s">
        <v>605</v>
      </c>
    </row>
    <row r="1957" customFormat="false" ht="17.25" hidden="false" customHeight="true" outlineLevel="0" collapsed="false">
      <c r="A1957" s="52" t="s">
        <v>5777</v>
      </c>
      <c r="B1957" s="52" t="s">
        <v>5813</v>
      </c>
      <c r="C1957" s="53" t="n">
        <v>862330</v>
      </c>
      <c r="D1957" s="52" t="s">
        <v>4209</v>
      </c>
      <c r="E1957" s="52" t="s">
        <v>4210</v>
      </c>
      <c r="F1957" s="54" t="n">
        <v>4</v>
      </c>
      <c r="G1957" s="55" t="n">
        <v>152</v>
      </c>
      <c r="H1957" s="55" t="n">
        <v>38</v>
      </c>
      <c r="I1957" s="55" t="n">
        <v>38</v>
      </c>
      <c r="J1957" s="52" t="s">
        <v>5816</v>
      </c>
      <c r="K1957" s="56" t="n">
        <v>1</v>
      </c>
      <c r="L1957" s="52" t="s">
        <v>5816</v>
      </c>
      <c r="M1957" s="52" t="s">
        <v>93</v>
      </c>
    </row>
    <row r="1958" customFormat="false" ht="17.25" hidden="false" customHeight="true" outlineLevel="0" collapsed="false">
      <c r="A1958" s="52" t="s">
        <v>5777</v>
      </c>
      <c r="B1958" s="52" t="s">
        <v>5813</v>
      </c>
      <c r="C1958" s="53" t="n">
        <v>1089808</v>
      </c>
      <c r="D1958" s="52" t="s">
        <v>4211</v>
      </c>
      <c r="E1958" s="52" t="s">
        <v>4212</v>
      </c>
      <c r="F1958" s="54" t="n">
        <v>5</v>
      </c>
      <c r="G1958" s="55" t="n">
        <v>151.5</v>
      </c>
      <c r="H1958" s="55" t="n">
        <v>30.3</v>
      </c>
      <c r="I1958" s="55" t="n">
        <v>30.3</v>
      </c>
      <c r="J1958" s="52" t="s">
        <v>5911</v>
      </c>
      <c r="K1958" s="56" t="n">
        <v>1</v>
      </c>
      <c r="L1958" s="52" t="s">
        <v>5816</v>
      </c>
      <c r="M1958" s="52" t="s">
        <v>2056</v>
      </c>
    </row>
    <row r="1959" customFormat="false" ht="17.25" hidden="false" customHeight="true" outlineLevel="0" collapsed="false">
      <c r="A1959" s="52" t="s">
        <v>5777</v>
      </c>
      <c r="B1959" s="52" t="s">
        <v>5813</v>
      </c>
      <c r="C1959" s="53" t="n">
        <v>1110726</v>
      </c>
      <c r="D1959" s="52" t="s">
        <v>4213</v>
      </c>
      <c r="E1959" s="52" t="s">
        <v>4214</v>
      </c>
      <c r="F1959" s="54" t="n">
        <v>90</v>
      </c>
      <c r="G1959" s="55" t="n">
        <v>150.9</v>
      </c>
      <c r="H1959" s="55" t="n">
        <v>1.6767</v>
      </c>
      <c r="I1959" s="55" t="n">
        <v>1.95</v>
      </c>
      <c r="J1959" s="52" t="s">
        <v>5816</v>
      </c>
      <c r="K1959" s="56" t="n">
        <v>1</v>
      </c>
      <c r="L1959" s="52" t="s">
        <v>5816</v>
      </c>
      <c r="M1959" s="52" t="s">
        <v>38</v>
      </c>
    </row>
    <row r="1960" customFormat="false" ht="17.25" hidden="false" customHeight="true" outlineLevel="0" collapsed="false">
      <c r="A1960" s="52" t="s">
        <v>5777</v>
      </c>
      <c r="B1960" s="52" t="s">
        <v>5813</v>
      </c>
      <c r="C1960" s="53" t="n">
        <v>1321000</v>
      </c>
      <c r="D1960" s="52" t="s">
        <v>4215</v>
      </c>
      <c r="E1960" s="52" t="s">
        <v>4216</v>
      </c>
      <c r="F1960" s="54" t="n">
        <v>86</v>
      </c>
      <c r="G1960" s="55" t="n">
        <v>150.5</v>
      </c>
      <c r="H1960" s="55" t="n">
        <v>1.75</v>
      </c>
      <c r="I1960" s="55" t="n">
        <v>1.75</v>
      </c>
      <c r="J1960" s="52" t="s">
        <v>5816</v>
      </c>
      <c r="K1960" s="56" t="n">
        <v>1</v>
      </c>
      <c r="L1960" s="52" t="s">
        <v>5816</v>
      </c>
      <c r="M1960" s="52" t="s">
        <v>38</v>
      </c>
    </row>
    <row r="1961" customFormat="false" ht="17.25" hidden="false" customHeight="true" outlineLevel="0" collapsed="false">
      <c r="A1961" s="52" t="s">
        <v>5777</v>
      </c>
      <c r="B1961" s="52" t="s">
        <v>5813</v>
      </c>
      <c r="C1961" s="53" t="n">
        <v>1089770</v>
      </c>
      <c r="D1961" s="52" t="s">
        <v>4217</v>
      </c>
      <c r="E1961" s="52" t="s">
        <v>4218</v>
      </c>
      <c r="F1961" s="54" t="n">
        <v>10</v>
      </c>
      <c r="G1961" s="55" t="n">
        <v>150</v>
      </c>
      <c r="H1961" s="55" t="n">
        <v>15</v>
      </c>
      <c r="I1961" s="55" t="n">
        <v>15</v>
      </c>
      <c r="J1961" s="52" t="s">
        <v>5911</v>
      </c>
      <c r="K1961" s="56" t="n">
        <v>1</v>
      </c>
      <c r="L1961" s="52" t="s">
        <v>5816</v>
      </c>
      <c r="M1961" s="52" t="s">
        <v>2056</v>
      </c>
    </row>
    <row r="1962" customFormat="false" ht="17.25" hidden="false" customHeight="true" outlineLevel="0" collapsed="false">
      <c r="A1962" s="52" t="s">
        <v>5777</v>
      </c>
      <c r="B1962" s="52" t="s">
        <v>5813</v>
      </c>
      <c r="C1962" s="53" t="n">
        <v>1259169</v>
      </c>
      <c r="D1962" s="52" t="s">
        <v>4219</v>
      </c>
      <c r="E1962" s="52" t="s">
        <v>4220</v>
      </c>
      <c r="F1962" s="54" t="n">
        <v>10</v>
      </c>
      <c r="G1962" s="55" t="n">
        <v>150</v>
      </c>
      <c r="H1962" s="55" t="n">
        <v>15</v>
      </c>
      <c r="I1962" s="55" t="n">
        <v>15</v>
      </c>
      <c r="J1962" s="52" t="s">
        <v>5816</v>
      </c>
      <c r="K1962" s="56" t="n">
        <v>1</v>
      </c>
      <c r="L1962" s="52" t="s">
        <v>5816</v>
      </c>
      <c r="M1962" s="52" t="s">
        <v>130</v>
      </c>
    </row>
    <row r="1963" customFormat="false" ht="17.25" hidden="false" customHeight="true" outlineLevel="0" collapsed="false">
      <c r="A1963" s="52" t="s">
        <v>5777</v>
      </c>
      <c r="B1963" s="52" t="s">
        <v>5813</v>
      </c>
      <c r="C1963" s="53" t="n">
        <v>1615270</v>
      </c>
      <c r="D1963" s="52" t="s">
        <v>4221</v>
      </c>
      <c r="E1963" s="52" t="s">
        <v>4222</v>
      </c>
      <c r="F1963" s="54" t="n">
        <v>10</v>
      </c>
      <c r="G1963" s="55" t="n">
        <v>150</v>
      </c>
      <c r="H1963" s="55" t="n">
        <v>15</v>
      </c>
      <c r="I1963" s="55" t="n">
        <v>15</v>
      </c>
      <c r="J1963" s="52" t="s">
        <v>5816</v>
      </c>
      <c r="K1963" s="56" t="n">
        <v>1</v>
      </c>
      <c r="L1963" s="52" t="s">
        <v>5816</v>
      </c>
      <c r="M1963" s="52" t="s">
        <v>38</v>
      </c>
    </row>
    <row r="1964" customFormat="false" ht="17.25" hidden="false" customHeight="true" outlineLevel="0" collapsed="false">
      <c r="A1964" s="52" t="s">
        <v>5777</v>
      </c>
      <c r="B1964" s="52" t="s">
        <v>5813</v>
      </c>
      <c r="C1964" s="53" t="n">
        <v>140764</v>
      </c>
      <c r="D1964" s="52" t="s">
        <v>4223</v>
      </c>
      <c r="E1964" s="52" t="s">
        <v>4224</v>
      </c>
      <c r="F1964" s="54" t="n">
        <v>3</v>
      </c>
      <c r="G1964" s="55" t="n">
        <v>149.94</v>
      </c>
      <c r="H1964" s="55" t="n">
        <v>49.98</v>
      </c>
      <c r="I1964" s="55" t="n">
        <v>49.98</v>
      </c>
      <c r="J1964" s="52" t="s">
        <v>5816</v>
      </c>
      <c r="K1964" s="56" t="n">
        <v>1</v>
      </c>
      <c r="L1964" s="52" t="s">
        <v>5816</v>
      </c>
      <c r="M1964" s="52" t="s">
        <v>100</v>
      </c>
    </row>
    <row r="1965" customFormat="false" ht="17.25" hidden="false" customHeight="true" outlineLevel="0" collapsed="false">
      <c r="A1965" s="52" t="s">
        <v>5777</v>
      </c>
      <c r="B1965" s="52" t="s">
        <v>5813</v>
      </c>
      <c r="C1965" s="53" t="n">
        <v>648666</v>
      </c>
      <c r="D1965" s="52" t="s">
        <v>4225</v>
      </c>
      <c r="E1965" s="52" t="s">
        <v>4226</v>
      </c>
      <c r="F1965" s="54" t="n">
        <v>5</v>
      </c>
      <c r="G1965" s="55" t="n">
        <v>149.9</v>
      </c>
      <c r="H1965" s="55" t="n">
        <v>29.98</v>
      </c>
      <c r="I1965" s="55" t="n">
        <v>29.98</v>
      </c>
      <c r="J1965" s="52" t="s">
        <v>5816</v>
      </c>
      <c r="K1965" s="56" t="n">
        <v>1</v>
      </c>
      <c r="L1965" s="52" t="s">
        <v>5816</v>
      </c>
      <c r="M1965" s="52" t="s">
        <v>54</v>
      </c>
    </row>
    <row r="1966" customFormat="false" ht="17.25" hidden="false" customHeight="true" outlineLevel="0" collapsed="false">
      <c r="A1966" s="52" t="s">
        <v>5777</v>
      </c>
      <c r="B1966" s="52" t="s">
        <v>5813</v>
      </c>
      <c r="C1966" s="53" t="n">
        <v>19904</v>
      </c>
      <c r="D1966" s="52" t="s">
        <v>4227</v>
      </c>
      <c r="E1966" s="52" t="s">
        <v>4228</v>
      </c>
      <c r="F1966" s="54" t="n">
        <v>6</v>
      </c>
      <c r="G1966" s="55" t="n">
        <v>149.88</v>
      </c>
      <c r="H1966" s="55" t="n">
        <v>24.98</v>
      </c>
      <c r="I1966" s="55" t="n">
        <v>24.98</v>
      </c>
      <c r="J1966" s="52" t="s">
        <v>5816</v>
      </c>
      <c r="K1966" s="56" t="n">
        <v>1</v>
      </c>
      <c r="L1966" s="52" t="s">
        <v>5816</v>
      </c>
      <c r="M1966" s="52" t="s">
        <v>637</v>
      </c>
    </row>
    <row r="1967" customFormat="false" ht="17.25" hidden="false" customHeight="true" outlineLevel="0" collapsed="false">
      <c r="A1967" s="52" t="s">
        <v>5777</v>
      </c>
      <c r="B1967" s="52" t="s">
        <v>5813</v>
      </c>
      <c r="C1967" s="53" t="n">
        <v>1672556</v>
      </c>
      <c r="D1967" s="52" t="s">
        <v>4229</v>
      </c>
      <c r="E1967" s="52" t="s">
        <v>4230</v>
      </c>
      <c r="F1967" s="54" t="n">
        <v>1</v>
      </c>
      <c r="G1967" s="55" t="n">
        <v>149.76</v>
      </c>
      <c r="H1967" s="55" t="n">
        <v>149.76</v>
      </c>
      <c r="I1967" s="55" t="n">
        <v>149.76</v>
      </c>
      <c r="J1967" s="52" t="s">
        <v>5816</v>
      </c>
      <c r="K1967" s="56" t="n">
        <v>1</v>
      </c>
      <c r="L1967" s="52" t="s">
        <v>5816</v>
      </c>
      <c r="M1967" s="52" t="s">
        <v>66</v>
      </c>
    </row>
    <row r="1968" customFormat="false" ht="17.25" hidden="false" customHeight="true" outlineLevel="0" collapsed="false">
      <c r="A1968" s="52" t="s">
        <v>5777</v>
      </c>
      <c r="B1968" s="52" t="s">
        <v>5813</v>
      </c>
      <c r="C1968" s="53" t="n">
        <v>18455</v>
      </c>
      <c r="D1968" s="52" t="s">
        <v>4231</v>
      </c>
      <c r="E1968" s="52" t="s">
        <v>4232</v>
      </c>
      <c r="F1968" s="54" t="n">
        <v>10</v>
      </c>
      <c r="G1968" s="55" t="n">
        <v>149.2</v>
      </c>
      <c r="H1968" s="55" t="n">
        <v>14.92</v>
      </c>
      <c r="I1968" s="55" t="n">
        <v>14.92</v>
      </c>
      <c r="J1968" s="52" t="s">
        <v>5816</v>
      </c>
      <c r="K1968" s="56" t="n">
        <v>1</v>
      </c>
      <c r="L1968" s="52" t="s">
        <v>5816</v>
      </c>
      <c r="M1968" s="52" t="s">
        <v>1618</v>
      </c>
    </row>
    <row r="1969" customFormat="false" ht="17.25" hidden="false" customHeight="true" outlineLevel="0" collapsed="false">
      <c r="A1969" s="52" t="s">
        <v>5777</v>
      </c>
      <c r="B1969" s="52" t="s">
        <v>5813</v>
      </c>
      <c r="C1969" s="53" t="n">
        <v>31237</v>
      </c>
      <c r="D1969" s="52" t="s">
        <v>4233</v>
      </c>
      <c r="E1969" s="52" t="s">
        <v>4234</v>
      </c>
      <c r="F1969" s="54" t="n">
        <v>1</v>
      </c>
      <c r="G1969" s="55" t="n">
        <v>148</v>
      </c>
      <c r="H1969" s="55" t="n">
        <v>148</v>
      </c>
      <c r="I1969" s="55" t="n">
        <v>148</v>
      </c>
      <c r="J1969" s="52" t="s">
        <v>5816</v>
      </c>
      <c r="K1969" s="56" t="n">
        <v>1</v>
      </c>
      <c r="L1969" s="52" t="s">
        <v>5816</v>
      </c>
      <c r="M1969" s="52" t="s">
        <v>130</v>
      </c>
    </row>
    <row r="1970" customFormat="false" ht="17.25" hidden="false" customHeight="true" outlineLevel="0" collapsed="false">
      <c r="A1970" s="52" t="s">
        <v>5777</v>
      </c>
      <c r="B1970" s="52" t="s">
        <v>5813</v>
      </c>
      <c r="C1970" s="53" t="n">
        <v>219982</v>
      </c>
      <c r="D1970" s="52" t="s">
        <v>4235</v>
      </c>
      <c r="E1970" s="52" t="s">
        <v>4236</v>
      </c>
      <c r="F1970" s="54" t="n">
        <v>1</v>
      </c>
      <c r="G1970" s="55" t="n">
        <v>148</v>
      </c>
      <c r="H1970" s="55" t="n">
        <v>148</v>
      </c>
      <c r="I1970" s="55" t="n">
        <v>148</v>
      </c>
      <c r="J1970" s="52" t="s">
        <v>5816</v>
      </c>
      <c r="K1970" s="56" t="n">
        <v>1</v>
      </c>
      <c r="L1970" s="52" t="s">
        <v>5816</v>
      </c>
      <c r="M1970" s="52" t="s">
        <v>38</v>
      </c>
    </row>
    <row r="1971" customFormat="false" ht="17.25" hidden="false" customHeight="true" outlineLevel="0" collapsed="false">
      <c r="A1971" s="52" t="s">
        <v>5777</v>
      </c>
      <c r="B1971" s="52" t="s">
        <v>5813</v>
      </c>
      <c r="C1971" s="53" t="n">
        <v>18862</v>
      </c>
      <c r="D1971" s="52" t="s">
        <v>4237</v>
      </c>
      <c r="E1971" s="52" t="s">
        <v>4238</v>
      </c>
      <c r="F1971" s="54" t="n">
        <v>2</v>
      </c>
      <c r="G1971" s="55" t="n">
        <v>147.4</v>
      </c>
      <c r="H1971" s="55" t="n">
        <v>73.7</v>
      </c>
      <c r="I1971" s="55" t="n">
        <v>73.7</v>
      </c>
      <c r="J1971" s="52" t="s">
        <v>5816</v>
      </c>
      <c r="K1971" s="56" t="n">
        <v>1</v>
      </c>
      <c r="L1971" s="52" t="s">
        <v>5816</v>
      </c>
      <c r="M1971" s="52" t="s">
        <v>247</v>
      </c>
    </row>
    <row r="1972" customFormat="false" ht="17.25" hidden="false" customHeight="true" outlineLevel="0" collapsed="false">
      <c r="A1972" s="52" t="s">
        <v>5777</v>
      </c>
      <c r="B1972" s="52" t="s">
        <v>5813</v>
      </c>
      <c r="C1972" s="53" t="n">
        <v>60633</v>
      </c>
      <c r="D1972" s="52" t="s">
        <v>4239</v>
      </c>
      <c r="E1972" s="52" t="s">
        <v>4240</v>
      </c>
      <c r="F1972" s="54" t="n">
        <v>9</v>
      </c>
      <c r="G1972" s="55" t="n">
        <v>146.88</v>
      </c>
      <c r="H1972" s="55" t="n">
        <v>16.32</v>
      </c>
      <c r="I1972" s="55" t="n">
        <v>16.32</v>
      </c>
      <c r="J1972" s="52" t="s">
        <v>5816</v>
      </c>
      <c r="K1972" s="56" t="n">
        <v>1</v>
      </c>
      <c r="L1972" s="52" t="s">
        <v>5816</v>
      </c>
      <c r="M1972" s="52" t="s">
        <v>38</v>
      </c>
    </row>
    <row r="1973" customFormat="false" ht="17.25" hidden="false" customHeight="true" outlineLevel="0" collapsed="false">
      <c r="A1973" s="52" t="s">
        <v>5777</v>
      </c>
      <c r="B1973" s="52" t="s">
        <v>5813</v>
      </c>
      <c r="C1973" s="53" t="n">
        <v>22440</v>
      </c>
      <c r="D1973" s="52" t="s">
        <v>4241</v>
      </c>
      <c r="E1973" s="52" t="s">
        <v>4242</v>
      </c>
      <c r="F1973" s="54" t="n">
        <v>2</v>
      </c>
      <c r="G1973" s="55" t="n">
        <v>146</v>
      </c>
      <c r="H1973" s="55" t="n">
        <v>73</v>
      </c>
      <c r="I1973" s="55" t="n">
        <v>18</v>
      </c>
      <c r="J1973" s="52" t="s">
        <v>5816</v>
      </c>
      <c r="K1973" s="56" t="n">
        <v>1</v>
      </c>
      <c r="L1973" s="52" t="s">
        <v>5816</v>
      </c>
      <c r="M1973" s="52" t="s">
        <v>38</v>
      </c>
    </row>
    <row r="1974" customFormat="false" ht="17.25" hidden="false" customHeight="true" outlineLevel="0" collapsed="false">
      <c r="A1974" s="52" t="s">
        <v>5777</v>
      </c>
      <c r="B1974" s="52" t="s">
        <v>5813</v>
      </c>
      <c r="C1974" s="53" t="n">
        <v>1539987</v>
      </c>
      <c r="D1974" s="52" t="s">
        <v>4243</v>
      </c>
      <c r="E1974" s="52" t="s">
        <v>4244</v>
      </c>
      <c r="F1974" s="54" t="n">
        <v>1</v>
      </c>
      <c r="G1974" s="55" t="n">
        <v>146</v>
      </c>
      <c r="H1974" s="55" t="n">
        <v>146</v>
      </c>
      <c r="I1974" s="55" t="n">
        <v>146</v>
      </c>
      <c r="J1974" s="52" t="s">
        <v>5816</v>
      </c>
      <c r="K1974" s="56" t="n">
        <v>1</v>
      </c>
      <c r="L1974" s="52" t="s">
        <v>5816</v>
      </c>
      <c r="M1974" s="52" t="s">
        <v>130</v>
      </c>
    </row>
    <row r="1975" customFormat="false" ht="17.25" hidden="false" customHeight="true" outlineLevel="0" collapsed="false">
      <c r="A1975" s="52" t="s">
        <v>5777</v>
      </c>
      <c r="B1975" s="52" t="s">
        <v>5813</v>
      </c>
      <c r="C1975" s="53" t="n">
        <v>1385306</v>
      </c>
      <c r="D1975" s="52" t="s">
        <v>4245</v>
      </c>
      <c r="E1975" s="52" t="s">
        <v>4246</v>
      </c>
      <c r="F1975" s="54" t="n">
        <v>23</v>
      </c>
      <c r="G1975" s="55" t="n">
        <v>145.59</v>
      </c>
      <c r="H1975" s="55" t="n">
        <v>6.33</v>
      </c>
      <c r="I1975" s="55" t="n">
        <v>6.33</v>
      </c>
      <c r="J1975" s="52" t="s">
        <v>5816</v>
      </c>
      <c r="K1975" s="56" t="n">
        <v>1</v>
      </c>
      <c r="L1975" s="52" t="s">
        <v>5816</v>
      </c>
      <c r="M1975" s="52" t="s">
        <v>38</v>
      </c>
    </row>
    <row r="1976" customFormat="false" ht="17.25" hidden="false" customHeight="true" outlineLevel="0" collapsed="false">
      <c r="A1976" s="52" t="s">
        <v>5777</v>
      </c>
      <c r="B1976" s="52" t="s">
        <v>5813</v>
      </c>
      <c r="C1976" s="53" t="n">
        <v>1383520</v>
      </c>
      <c r="D1976" s="52" t="s">
        <v>4247</v>
      </c>
      <c r="E1976" s="52" t="s">
        <v>4248</v>
      </c>
      <c r="F1976" s="54" t="n">
        <v>18</v>
      </c>
      <c r="G1976" s="55" t="n">
        <v>145.46</v>
      </c>
      <c r="H1976" s="55" t="n">
        <v>8.0811</v>
      </c>
      <c r="I1976" s="55" t="n">
        <v>9.77</v>
      </c>
      <c r="J1976" s="52" t="s">
        <v>5816</v>
      </c>
      <c r="K1976" s="56" t="n">
        <v>1</v>
      </c>
      <c r="L1976" s="52" t="s">
        <v>5816</v>
      </c>
      <c r="M1976" s="52" t="s">
        <v>38</v>
      </c>
    </row>
    <row r="1977" customFormat="false" ht="17.25" hidden="false" customHeight="true" outlineLevel="0" collapsed="false">
      <c r="A1977" s="52" t="s">
        <v>5777</v>
      </c>
      <c r="B1977" s="52" t="s">
        <v>5813</v>
      </c>
      <c r="C1977" s="53" t="n">
        <v>1614273</v>
      </c>
      <c r="D1977" s="52" t="s">
        <v>4249</v>
      </c>
      <c r="E1977" s="52" t="s">
        <v>4250</v>
      </c>
      <c r="F1977" s="54" t="n">
        <v>6</v>
      </c>
      <c r="G1977" s="55" t="n">
        <v>145.38</v>
      </c>
      <c r="H1977" s="55" t="n">
        <v>24.23</v>
      </c>
      <c r="I1977" s="55" t="n">
        <v>24.23</v>
      </c>
      <c r="J1977" s="52" t="s">
        <v>5816</v>
      </c>
      <c r="K1977" s="56" t="n">
        <v>1</v>
      </c>
      <c r="L1977" s="52" t="s">
        <v>5816</v>
      </c>
      <c r="M1977" s="52" t="s">
        <v>38</v>
      </c>
    </row>
    <row r="1978" customFormat="false" ht="17.25" hidden="false" customHeight="true" outlineLevel="0" collapsed="false">
      <c r="A1978" s="52" t="s">
        <v>5777</v>
      </c>
      <c r="B1978" s="52" t="s">
        <v>5813</v>
      </c>
      <c r="C1978" s="53" t="n">
        <v>1485630</v>
      </c>
      <c r="D1978" s="52" t="s">
        <v>4251</v>
      </c>
      <c r="E1978" s="57" t="s">
        <v>5955</v>
      </c>
      <c r="F1978" s="54" t="n">
        <v>12</v>
      </c>
      <c r="G1978" s="55" t="n">
        <v>145.32</v>
      </c>
      <c r="H1978" s="55" t="n">
        <v>12.11</v>
      </c>
      <c r="I1978" s="55" t="n">
        <v>4.42</v>
      </c>
      <c r="J1978" s="52" t="s">
        <v>5816</v>
      </c>
      <c r="K1978" s="56" t="n">
        <v>1</v>
      </c>
      <c r="L1978" s="52" t="s">
        <v>5816</v>
      </c>
      <c r="M1978" s="52" t="s">
        <v>100</v>
      </c>
    </row>
    <row r="1979" customFormat="false" ht="17.25" hidden="false" customHeight="true" outlineLevel="0" collapsed="false">
      <c r="A1979" s="52" t="s">
        <v>5777</v>
      </c>
      <c r="B1979" s="52" t="s">
        <v>5813</v>
      </c>
      <c r="C1979" s="53" t="n">
        <v>1461564</v>
      </c>
      <c r="D1979" s="52" t="s">
        <v>4253</v>
      </c>
      <c r="E1979" s="52" t="s">
        <v>4254</v>
      </c>
      <c r="F1979" s="54" t="n">
        <v>3</v>
      </c>
      <c r="G1979" s="55" t="n">
        <v>145.09</v>
      </c>
      <c r="H1979" s="55" t="n">
        <v>48.3633</v>
      </c>
      <c r="I1979" s="55" t="n">
        <v>58</v>
      </c>
      <c r="J1979" s="52" t="s">
        <v>5816</v>
      </c>
      <c r="K1979" s="56" t="n">
        <v>1</v>
      </c>
      <c r="L1979" s="52" t="s">
        <v>5816</v>
      </c>
      <c r="M1979" s="52" t="s">
        <v>54</v>
      </c>
    </row>
    <row r="1980" customFormat="false" ht="17.25" hidden="false" customHeight="true" outlineLevel="0" collapsed="false">
      <c r="A1980" s="52" t="s">
        <v>5777</v>
      </c>
      <c r="B1980" s="52" t="s">
        <v>5813</v>
      </c>
      <c r="C1980" s="53" t="n">
        <v>1607589</v>
      </c>
      <c r="D1980" s="52" t="s">
        <v>4255</v>
      </c>
      <c r="E1980" s="52" t="s">
        <v>4256</v>
      </c>
      <c r="F1980" s="54" t="n">
        <v>6</v>
      </c>
      <c r="G1980" s="55" t="n">
        <v>144.9</v>
      </c>
      <c r="H1980" s="55" t="n">
        <v>24.15</v>
      </c>
      <c r="I1980" s="55" t="n">
        <v>24.15</v>
      </c>
      <c r="J1980" s="52" t="s">
        <v>5816</v>
      </c>
      <c r="K1980" s="56" t="n">
        <v>1</v>
      </c>
      <c r="L1980" s="52" t="s">
        <v>5816</v>
      </c>
      <c r="M1980" s="52" t="s">
        <v>38</v>
      </c>
    </row>
    <row r="1981" customFormat="false" ht="17.25" hidden="false" customHeight="true" outlineLevel="0" collapsed="false">
      <c r="A1981" s="52" t="s">
        <v>5777</v>
      </c>
      <c r="B1981" s="52" t="s">
        <v>5813</v>
      </c>
      <c r="C1981" s="53" t="n">
        <v>840031</v>
      </c>
      <c r="D1981" s="52" t="s">
        <v>4257</v>
      </c>
      <c r="E1981" s="52" t="s">
        <v>4258</v>
      </c>
      <c r="F1981" s="54" t="n">
        <v>23</v>
      </c>
      <c r="G1981" s="55" t="n">
        <v>144.68</v>
      </c>
      <c r="H1981" s="55" t="n">
        <v>6.2904</v>
      </c>
      <c r="I1981" s="55" t="n">
        <v>6.4</v>
      </c>
      <c r="J1981" s="52" t="s">
        <v>5816</v>
      </c>
      <c r="K1981" s="56" t="n">
        <v>1</v>
      </c>
      <c r="L1981" s="52" t="s">
        <v>5816</v>
      </c>
      <c r="M1981" s="52" t="s">
        <v>54</v>
      </c>
    </row>
    <row r="1982" customFormat="false" ht="17.25" hidden="false" customHeight="true" outlineLevel="0" collapsed="false">
      <c r="A1982" s="52" t="s">
        <v>5777</v>
      </c>
      <c r="B1982" s="52" t="s">
        <v>5813</v>
      </c>
      <c r="C1982" s="53" t="n">
        <v>1013743</v>
      </c>
      <c r="D1982" s="52" t="s">
        <v>4259</v>
      </c>
      <c r="E1982" s="52" t="s">
        <v>4260</v>
      </c>
      <c r="F1982" s="54" t="n">
        <v>5</v>
      </c>
      <c r="G1982" s="55" t="n">
        <v>144.5</v>
      </c>
      <c r="H1982" s="55" t="n">
        <v>28.9</v>
      </c>
      <c r="I1982" s="55" t="n">
        <v>28.9</v>
      </c>
      <c r="J1982" s="52" t="s">
        <v>5816</v>
      </c>
      <c r="K1982" s="56" t="n">
        <v>1</v>
      </c>
      <c r="L1982" s="52" t="s">
        <v>5816</v>
      </c>
      <c r="M1982" s="52" t="s">
        <v>457</v>
      </c>
    </row>
    <row r="1983" customFormat="false" ht="17.25" hidden="false" customHeight="true" outlineLevel="0" collapsed="false">
      <c r="A1983" s="52" t="s">
        <v>5777</v>
      </c>
      <c r="B1983" s="52" t="s">
        <v>5813</v>
      </c>
      <c r="C1983" s="53" t="n">
        <v>19623</v>
      </c>
      <c r="D1983" s="52" t="s">
        <v>4261</v>
      </c>
      <c r="E1983" s="52" t="s">
        <v>4262</v>
      </c>
      <c r="F1983" s="54" t="n">
        <v>10</v>
      </c>
      <c r="G1983" s="55" t="n">
        <v>144.365</v>
      </c>
      <c r="H1983" s="55" t="n">
        <v>14.4364</v>
      </c>
      <c r="I1983" s="55" t="n">
        <v>13.86</v>
      </c>
      <c r="J1983" s="52" t="s">
        <v>5816</v>
      </c>
      <c r="K1983" s="56" t="n">
        <v>1</v>
      </c>
      <c r="L1983" s="52" t="s">
        <v>5816</v>
      </c>
      <c r="M1983" s="52" t="s">
        <v>1095</v>
      </c>
    </row>
    <row r="1984" customFormat="false" ht="17.25" hidden="false" customHeight="true" outlineLevel="0" collapsed="false">
      <c r="A1984" s="52" t="s">
        <v>5777</v>
      </c>
      <c r="B1984" s="52" t="s">
        <v>5813</v>
      </c>
      <c r="C1984" s="53" t="n">
        <v>23457</v>
      </c>
      <c r="D1984" s="52" t="s">
        <v>4263</v>
      </c>
      <c r="E1984" s="52" t="s">
        <v>4264</v>
      </c>
      <c r="F1984" s="54" t="n">
        <v>6</v>
      </c>
      <c r="G1984" s="55" t="n">
        <v>144</v>
      </c>
      <c r="H1984" s="55" t="n">
        <v>24</v>
      </c>
      <c r="I1984" s="55" t="n">
        <v>24</v>
      </c>
      <c r="J1984" s="52" t="s">
        <v>5816</v>
      </c>
      <c r="K1984" s="56" t="n">
        <v>1</v>
      </c>
      <c r="L1984" s="52" t="s">
        <v>5816</v>
      </c>
      <c r="M1984" s="52" t="s">
        <v>130</v>
      </c>
    </row>
    <row r="1985" customFormat="false" ht="17.25" hidden="false" customHeight="true" outlineLevel="0" collapsed="false">
      <c r="A1985" s="52" t="s">
        <v>5777</v>
      </c>
      <c r="B1985" s="52" t="s">
        <v>5813</v>
      </c>
      <c r="C1985" s="53" t="n">
        <v>226233</v>
      </c>
      <c r="D1985" s="52" t="s">
        <v>4265</v>
      </c>
      <c r="E1985" s="52" t="s">
        <v>4266</v>
      </c>
      <c r="F1985" s="54" t="n">
        <v>8</v>
      </c>
      <c r="G1985" s="55" t="n">
        <v>144</v>
      </c>
      <c r="H1985" s="55" t="n">
        <v>18</v>
      </c>
      <c r="I1985" s="55" t="n">
        <v>18</v>
      </c>
      <c r="J1985" s="52" t="s">
        <v>5816</v>
      </c>
      <c r="K1985" s="56" t="n">
        <v>1</v>
      </c>
      <c r="L1985" s="52" t="s">
        <v>5816</v>
      </c>
      <c r="M1985" s="52" t="s">
        <v>2056</v>
      </c>
    </row>
    <row r="1986" customFormat="false" ht="17.25" hidden="false" customHeight="true" outlineLevel="0" collapsed="false">
      <c r="A1986" s="52" t="s">
        <v>5777</v>
      </c>
      <c r="B1986" s="52" t="s">
        <v>5813</v>
      </c>
      <c r="C1986" s="53" t="n">
        <v>294431</v>
      </c>
      <c r="D1986" s="52" t="s">
        <v>4267</v>
      </c>
      <c r="E1986" s="52" t="s">
        <v>4268</v>
      </c>
      <c r="F1986" s="54" t="n">
        <v>6</v>
      </c>
      <c r="G1986" s="55" t="n">
        <v>144</v>
      </c>
      <c r="H1986" s="55" t="n">
        <v>24</v>
      </c>
      <c r="I1986" s="55" t="n">
        <v>24</v>
      </c>
      <c r="J1986" s="52" t="s">
        <v>5816</v>
      </c>
      <c r="K1986" s="56" t="n">
        <v>1</v>
      </c>
      <c r="L1986" s="52" t="s">
        <v>5816</v>
      </c>
      <c r="M1986" s="52" t="s">
        <v>605</v>
      </c>
    </row>
    <row r="1987" customFormat="false" ht="17.25" hidden="false" customHeight="true" outlineLevel="0" collapsed="false">
      <c r="A1987" s="52" t="s">
        <v>5777</v>
      </c>
      <c r="B1987" s="52" t="s">
        <v>5813</v>
      </c>
      <c r="C1987" s="53" t="n">
        <v>884557</v>
      </c>
      <c r="D1987" s="52" t="s">
        <v>4269</v>
      </c>
      <c r="E1987" s="52" t="s">
        <v>4270</v>
      </c>
      <c r="F1987" s="54" t="n">
        <v>4</v>
      </c>
      <c r="G1987" s="55" t="n">
        <v>144</v>
      </c>
      <c r="H1987" s="55" t="n">
        <v>36</v>
      </c>
      <c r="I1987" s="55" t="n">
        <v>60</v>
      </c>
      <c r="J1987" s="52" t="s">
        <v>5816</v>
      </c>
      <c r="K1987" s="56" t="n">
        <v>1</v>
      </c>
      <c r="L1987" s="52" t="s">
        <v>5816</v>
      </c>
      <c r="M1987" s="52" t="s">
        <v>130</v>
      </c>
    </row>
    <row r="1988" customFormat="false" ht="17.25" hidden="false" customHeight="true" outlineLevel="0" collapsed="false">
      <c r="A1988" s="52" t="s">
        <v>5777</v>
      </c>
      <c r="B1988" s="52" t="s">
        <v>5813</v>
      </c>
      <c r="C1988" s="53" t="n">
        <v>34725</v>
      </c>
      <c r="D1988" s="52" t="s">
        <v>4271</v>
      </c>
      <c r="E1988" s="52" t="s">
        <v>4272</v>
      </c>
      <c r="F1988" s="54" t="n">
        <v>4</v>
      </c>
      <c r="G1988" s="55" t="n">
        <v>143.6</v>
      </c>
      <c r="H1988" s="55" t="n">
        <v>35.9</v>
      </c>
      <c r="I1988" s="55" t="n">
        <v>35.9</v>
      </c>
      <c r="J1988" s="52" t="s">
        <v>5816</v>
      </c>
      <c r="K1988" s="56" t="n">
        <v>1</v>
      </c>
      <c r="L1988" s="52" t="s">
        <v>5816</v>
      </c>
      <c r="M1988" s="52" t="s">
        <v>480</v>
      </c>
    </row>
    <row r="1989" customFormat="false" ht="17.25" hidden="false" customHeight="true" outlineLevel="0" collapsed="false">
      <c r="A1989" s="52" t="s">
        <v>5777</v>
      </c>
      <c r="B1989" s="52" t="s">
        <v>5813</v>
      </c>
      <c r="C1989" s="53" t="n">
        <v>553883</v>
      </c>
      <c r="D1989" s="52" t="s">
        <v>4273</v>
      </c>
      <c r="E1989" s="52" t="s">
        <v>4274</v>
      </c>
      <c r="F1989" s="54" t="n">
        <v>60</v>
      </c>
      <c r="G1989" s="55" t="n">
        <v>143.4</v>
      </c>
      <c r="H1989" s="55" t="n">
        <v>2.39</v>
      </c>
      <c r="I1989" s="55" t="n">
        <v>2.39</v>
      </c>
      <c r="J1989" s="52" t="s">
        <v>5816</v>
      </c>
      <c r="K1989" s="56" t="n">
        <v>1</v>
      </c>
      <c r="L1989" s="52" t="s">
        <v>5816</v>
      </c>
      <c r="M1989" s="52" t="s">
        <v>605</v>
      </c>
    </row>
    <row r="1990" customFormat="false" ht="17.25" hidden="false" customHeight="true" outlineLevel="0" collapsed="false">
      <c r="A1990" s="52" t="s">
        <v>5777</v>
      </c>
      <c r="B1990" s="52" t="s">
        <v>5813</v>
      </c>
      <c r="C1990" s="53" t="n">
        <v>56677</v>
      </c>
      <c r="D1990" s="52" t="s">
        <v>4275</v>
      </c>
      <c r="E1990" s="52" t="s">
        <v>4276</v>
      </c>
      <c r="F1990" s="54" t="n">
        <v>265</v>
      </c>
      <c r="G1990" s="55" t="n">
        <v>143.1</v>
      </c>
      <c r="H1990" s="55" t="n">
        <v>0.54</v>
      </c>
      <c r="I1990" s="55" t="n">
        <v>0.54</v>
      </c>
      <c r="J1990" s="52" t="s">
        <v>5816</v>
      </c>
      <c r="K1990" s="56" t="n">
        <v>1</v>
      </c>
      <c r="L1990" s="52" t="s">
        <v>5816</v>
      </c>
      <c r="M1990" s="52" t="s">
        <v>54</v>
      </c>
    </row>
    <row r="1991" customFormat="false" ht="17.25" hidden="false" customHeight="true" outlineLevel="0" collapsed="false">
      <c r="A1991" s="52" t="s">
        <v>5777</v>
      </c>
      <c r="B1991" s="52" t="s">
        <v>5813</v>
      </c>
      <c r="C1991" s="53" t="n">
        <v>604907</v>
      </c>
      <c r="D1991" s="52" t="s">
        <v>4277</v>
      </c>
      <c r="E1991" s="52" t="s">
        <v>4278</v>
      </c>
      <c r="F1991" s="54" t="n">
        <v>20</v>
      </c>
      <c r="G1991" s="55" t="n">
        <v>142.6</v>
      </c>
      <c r="H1991" s="55" t="n">
        <v>7.13</v>
      </c>
      <c r="I1991" s="55" t="n">
        <v>7.13</v>
      </c>
      <c r="J1991" s="52" t="s">
        <v>5814</v>
      </c>
      <c r="K1991" s="56" t="n">
        <v>1</v>
      </c>
      <c r="L1991" s="52" t="s">
        <v>5814</v>
      </c>
      <c r="M1991" s="52" t="s">
        <v>63</v>
      </c>
    </row>
    <row r="1992" customFormat="false" ht="17.25" hidden="false" customHeight="true" outlineLevel="0" collapsed="false">
      <c r="A1992" s="52" t="s">
        <v>5777</v>
      </c>
      <c r="B1992" s="52" t="s">
        <v>5813</v>
      </c>
      <c r="C1992" s="53" t="n">
        <v>563975</v>
      </c>
      <c r="D1992" s="52" t="s">
        <v>4281</v>
      </c>
      <c r="E1992" s="52" t="s">
        <v>4282</v>
      </c>
      <c r="F1992" s="54" t="n">
        <v>4</v>
      </c>
      <c r="G1992" s="55" t="n">
        <v>140.96</v>
      </c>
      <c r="H1992" s="55" t="n">
        <v>35.24</v>
      </c>
      <c r="I1992" s="55" t="n">
        <v>35.24</v>
      </c>
      <c r="J1992" s="52" t="s">
        <v>5816</v>
      </c>
      <c r="K1992" s="56" t="n">
        <v>1</v>
      </c>
      <c r="L1992" s="52" t="s">
        <v>5816</v>
      </c>
      <c r="M1992" s="52" t="s">
        <v>189</v>
      </c>
    </row>
    <row r="1993" customFormat="false" ht="17.25" hidden="false" customHeight="true" outlineLevel="0" collapsed="false">
      <c r="A1993" s="52" t="s">
        <v>5777</v>
      </c>
      <c r="B1993" s="52" t="s">
        <v>5813</v>
      </c>
      <c r="C1993" s="53" t="n">
        <v>17034</v>
      </c>
      <c r="D1993" s="52" t="s">
        <v>4283</v>
      </c>
      <c r="E1993" s="52" t="s">
        <v>4284</v>
      </c>
      <c r="F1993" s="54" t="n">
        <v>160</v>
      </c>
      <c r="G1993" s="55" t="n">
        <v>140.8</v>
      </c>
      <c r="H1993" s="55" t="n">
        <v>0.88</v>
      </c>
      <c r="I1993" s="55" t="n">
        <v>0.88</v>
      </c>
      <c r="J1993" s="52" t="s">
        <v>5816</v>
      </c>
      <c r="K1993" s="56" t="n">
        <v>1</v>
      </c>
      <c r="L1993" s="52" t="s">
        <v>5816</v>
      </c>
      <c r="M1993" s="52" t="s">
        <v>100</v>
      </c>
    </row>
    <row r="1994" customFormat="false" ht="17.25" hidden="false" customHeight="true" outlineLevel="0" collapsed="false">
      <c r="A1994" s="52" t="s">
        <v>5777</v>
      </c>
      <c r="B1994" s="52" t="s">
        <v>5813</v>
      </c>
      <c r="C1994" s="53" t="n">
        <v>1605185</v>
      </c>
      <c r="D1994" s="52" t="s">
        <v>4285</v>
      </c>
      <c r="E1994" s="52" t="s">
        <v>4286</v>
      </c>
      <c r="F1994" s="54" t="n">
        <v>4</v>
      </c>
      <c r="G1994" s="55" t="n">
        <v>140.58</v>
      </c>
      <c r="H1994" s="55" t="n">
        <v>35.145</v>
      </c>
      <c r="I1994" s="55" t="n">
        <v>2.58</v>
      </c>
      <c r="J1994" s="52" t="s">
        <v>5816</v>
      </c>
      <c r="K1994" s="56" t="n">
        <v>1</v>
      </c>
      <c r="L1994" s="52" t="s">
        <v>5816</v>
      </c>
      <c r="M1994" s="52" t="s">
        <v>38</v>
      </c>
    </row>
    <row r="1995" customFormat="false" ht="17.25" hidden="false" customHeight="true" outlineLevel="0" collapsed="false">
      <c r="A1995" s="52" t="s">
        <v>5777</v>
      </c>
      <c r="B1995" s="52" t="s">
        <v>5813</v>
      </c>
      <c r="C1995" s="53" t="n">
        <v>32248</v>
      </c>
      <c r="D1995" s="52" t="s">
        <v>4287</v>
      </c>
      <c r="E1995" s="52" t="s">
        <v>4288</v>
      </c>
      <c r="F1995" s="54" t="n">
        <v>1</v>
      </c>
      <c r="G1995" s="55" t="n">
        <v>140</v>
      </c>
      <c r="H1995" s="55" t="n">
        <v>140</v>
      </c>
      <c r="I1995" s="55" t="n">
        <v>140</v>
      </c>
      <c r="J1995" s="52" t="s">
        <v>5816</v>
      </c>
      <c r="K1995" s="56" t="n">
        <v>1</v>
      </c>
      <c r="L1995" s="52" t="s">
        <v>5816</v>
      </c>
      <c r="M1995" s="52" t="s">
        <v>130</v>
      </c>
    </row>
    <row r="1996" customFormat="false" ht="17.25" hidden="false" customHeight="true" outlineLevel="0" collapsed="false">
      <c r="A1996" s="52" t="s">
        <v>5777</v>
      </c>
      <c r="B1996" s="52" t="s">
        <v>5813</v>
      </c>
      <c r="C1996" s="53" t="n">
        <v>142908</v>
      </c>
      <c r="D1996" s="52" t="s">
        <v>4289</v>
      </c>
      <c r="E1996" s="52" t="s">
        <v>4290</v>
      </c>
      <c r="F1996" s="54" t="n">
        <v>5</v>
      </c>
      <c r="G1996" s="55" t="n">
        <v>140</v>
      </c>
      <c r="H1996" s="55" t="n">
        <v>28</v>
      </c>
      <c r="I1996" s="55" t="n">
        <v>28</v>
      </c>
      <c r="J1996" s="52" t="s">
        <v>5816</v>
      </c>
      <c r="K1996" s="56" t="n">
        <v>1</v>
      </c>
      <c r="L1996" s="52" t="s">
        <v>5816</v>
      </c>
      <c r="M1996" s="52" t="s">
        <v>100</v>
      </c>
    </row>
    <row r="1997" customFormat="false" ht="17.25" hidden="false" customHeight="true" outlineLevel="0" collapsed="false">
      <c r="A1997" s="52" t="s">
        <v>5777</v>
      </c>
      <c r="B1997" s="52" t="s">
        <v>5813</v>
      </c>
      <c r="C1997" s="53" t="n">
        <v>392677</v>
      </c>
      <c r="D1997" s="52" t="s">
        <v>4291</v>
      </c>
      <c r="E1997" s="52" t="s">
        <v>4292</v>
      </c>
      <c r="F1997" s="54" t="n">
        <v>1</v>
      </c>
      <c r="G1997" s="55" t="n">
        <v>140</v>
      </c>
      <c r="H1997" s="55" t="n">
        <v>140</v>
      </c>
      <c r="I1997" s="55" t="n">
        <v>140</v>
      </c>
      <c r="J1997" s="52" t="s">
        <v>5816</v>
      </c>
      <c r="K1997" s="56" t="n">
        <v>1</v>
      </c>
      <c r="L1997" s="52" t="s">
        <v>5816</v>
      </c>
      <c r="M1997" s="52" t="s">
        <v>130</v>
      </c>
    </row>
    <row r="1998" customFormat="false" ht="17.25" hidden="false" customHeight="true" outlineLevel="0" collapsed="false">
      <c r="A1998" s="52" t="s">
        <v>5777</v>
      </c>
      <c r="B1998" s="52" t="s">
        <v>5813</v>
      </c>
      <c r="C1998" s="53" t="n">
        <v>1331022</v>
      </c>
      <c r="D1998" s="52" t="s">
        <v>4293</v>
      </c>
      <c r="E1998" s="52" t="s">
        <v>4294</v>
      </c>
      <c r="F1998" s="54" t="n">
        <v>1</v>
      </c>
      <c r="G1998" s="55" t="n">
        <v>139.99</v>
      </c>
      <c r="H1998" s="55" t="n">
        <v>139.99</v>
      </c>
      <c r="I1998" s="55" t="n">
        <v>139.99</v>
      </c>
      <c r="J1998" s="52" t="s">
        <v>5816</v>
      </c>
      <c r="K1998" s="56" t="n">
        <v>1</v>
      </c>
      <c r="L1998" s="52" t="s">
        <v>5816</v>
      </c>
      <c r="M1998" s="52" t="s">
        <v>4295</v>
      </c>
    </row>
    <row r="1999" customFormat="false" ht="17.25" hidden="false" customHeight="true" outlineLevel="0" collapsed="false">
      <c r="A1999" s="52" t="s">
        <v>5777</v>
      </c>
      <c r="B1999" s="52" t="s">
        <v>5813</v>
      </c>
      <c r="C1999" s="53" t="n">
        <v>18225</v>
      </c>
      <c r="D1999" s="52" t="s">
        <v>4296</v>
      </c>
      <c r="E1999" s="52" t="s">
        <v>4297</v>
      </c>
      <c r="F1999" s="54" t="n">
        <v>5</v>
      </c>
      <c r="G1999" s="55" t="n">
        <v>139.45</v>
      </c>
      <c r="H1999" s="55" t="n">
        <v>27.89</v>
      </c>
      <c r="I1999" s="55" t="n">
        <v>27.89</v>
      </c>
      <c r="J1999" s="52" t="s">
        <v>5816</v>
      </c>
      <c r="K1999" s="56" t="n">
        <v>1</v>
      </c>
      <c r="L1999" s="52" t="s">
        <v>5816</v>
      </c>
      <c r="M1999" s="52" t="s">
        <v>1618</v>
      </c>
    </row>
    <row r="2000" customFormat="false" ht="17.25" hidden="false" customHeight="true" outlineLevel="0" collapsed="false">
      <c r="A2000" s="52" t="s">
        <v>5777</v>
      </c>
      <c r="B2000" s="52" t="s">
        <v>5813</v>
      </c>
      <c r="C2000" s="53" t="n">
        <v>19512</v>
      </c>
      <c r="D2000" s="52" t="s">
        <v>4298</v>
      </c>
      <c r="E2000" s="52" t="s">
        <v>4299</v>
      </c>
      <c r="F2000" s="54" t="n">
        <v>26</v>
      </c>
      <c r="G2000" s="55" t="n">
        <v>138.7996</v>
      </c>
      <c r="H2000" s="55" t="n">
        <v>5.3384</v>
      </c>
      <c r="I2000" s="55" t="n">
        <v>5.25</v>
      </c>
      <c r="J2000" s="52" t="s">
        <v>5816</v>
      </c>
      <c r="K2000" s="56" t="n">
        <v>1</v>
      </c>
      <c r="L2000" s="52" t="s">
        <v>5816</v>
      </c>
      <c r="M2000" s="52" t="s">
        <v>1095</v>
      </c>
    </row>
    <row r="2001" customFormat="false" ht="17.25" hidden="false" customHeight="true" outlineLevel="0" collapsed="false">
      <c r="A2001" s="52" t="s">
        <v>5777</v>
      </c>
      <c r="B2001" s="52" t="s">
        <v>5813</v>
      </c>
      <c r="C2001" s="53" t="n">
        <v>939278</v>
      </c>
      <c r="D2001" s="52" t="s">
        <v>4300</v>
      </c>
      <c r="E2001" s="52" t="s">
        <v>5956</v>
      </c>
      <c r="F2001" s="54" t="n">
        <v>1</v>
      </c>
      <c r="G2001" s="55" t="n">
        <v>138</v>
      </c>
      <c r="H2001" s="55" t="n">
        <v>138</v>
      </c>
      <c r="I2001" s="55" t="n">
        <v>138</v>
      </c>
      <c r="J2001" s="52" t="s">
        <v>5816</v>
      </c>
      <c r="K2001" s="56" t="n">
        <v>1</v>
      </c>
      <c r="L2001" s="52" t="s">
        <v>5816</v>
      </c>
      <c r="M2001" s="52" t="s">
        <v>54</v>
      </c>
    </row>
    <row r="2002" customFormat="false" ht="17.25" hidden="false" customHeight="true" outlineLevel="0" collapsed="false">
      <c r="A2002" s="52" t="s">
        <v>5777</v>
      </c>
      <c r="B2002" s="52" t="s">
        <v>5813</v>
      </c>
      <c r="C2002" s="53" t="n">
        <v>1679928</v>
      </c>
      <c r="D2002" s="52" t="s">
        <v>4302</v>
      </c>
      <c r="E2002" s="52" t="s">
        <v>4303</v>
      </c>
      <c r="F2002" s="54" t="n">
        <v>23.5</v>
      </c>
      <c r="G2002" s="55" t="n">
        <v>138</v>
      </c>
      <c r="H2002" s="55" t="n">
        <v>5.8723</v>
      </c>
      <c r="I2002" s="55" t="n">
        <v>5.8723</v>
      </c>
      <c r="J2002" s="52" t="s">
        <v>5822</v>
      </c>
      <c r="K2002" s="56" t="n">
        <v>1</v>
      </c>
      <c r="L2002" s="52" t="s">
        <v>5822</v>
      </c>
      <c r="M2002" s="52" t="s">
        <v>1354</v>
      </c>
    </row>
    <row r="2003" customFormat="false" ht="17.25" hidden="false" customHeight="true" outlineLevel="0" collapsed="false">
      <c r="A2003" s="52" t="s">
        <v>5777</v>
      </c>
      <c r="B2003" s="52" t="s">
        <v>5813</v>
      </c>
      <c r="C2003" s="53" t="n">
        <v>1111893</v>
      </c>
      <c r="D2003" s="52" t="s">
        <v>4304</v>
      </c>
      <c r="E2003" s="52" t="s">
        <v>4305</v>
      </c>
      <c r="F2003" s="54" t="n">
        <v>6</v>
      </c>
      <c r="G2003" s="55" t="n">
        <v>137.88</v>
      </c>
      <c r="H2003" s="55" t="n">
        <v>22.98</v>
      </c>
      <c r="I2003" s="55" t="n">
        <v>22.98</v>
      </c>
      <c r="J2003" s="52" t="s">
        <v>5816</v>
      </c>
      <c r="K2003" s="56" t="n">
        <v>1</v>
      </c>
      <c r="L2003" s="52" t="s">
        <v>5816</v>
      </c>
      <c r="M2003" s="52" t="s">
        <v>100</v>
      </c>
    </row>
    <row r="2004" customFormat="false" ht="17.25" hidden="false" customHeight="true" outlineLevel="0" collapsed="false">
      <c r="A2004" s="52" t="s">
        <v>5777</v>
      </c>
      <c r="B2004" s="52" t="s">
        <v>5813</v>
      </c>
      <c r="C2004" s="53" t="n">
        <v>839913</v>
      </c>
      <c r="D2004" s="52" t="s">
        <v>4306</v>
      </c>
      <c r="E2004" s="52" t="s">
        <v>4307</v>
      </c>
      <c r="F2004" s="54" t="n">
        <v>3</v>
      </c>
      <c r="G2004" s="55" t="n">
        <v>136.68</v>
      </c>
      <c r="H2004" s="55" t="n">
        <v>45.56</v>
      </c>
      <c r="I2004" s="55" t="n">
        <v>35.84</v>
      </c>
      <c r="J2004" s="52" t="s">
        <v>5816</v>
      </c>
      <c r="K2004" s="56" t="n">
        <v>1</v>
      </c>
      <c r="L2004" s="52" t="s">
        <v>5816</v>
      </c>
      <c r="M2004" s="52" t="s">
        <v>38</v>
      </c>
    </row>
    <row r="2005" customFormat="false" ht="17.25" hidden="false" customHeight="true" outlineLevel="0" collapsed="false">
      <c r="A2005" s="52" t="s">
        <v>5777</v>
      </c>
      <c r="B2005" s="52" t="s">
        <v>5813</v>
      </c>
      <c r="C2005" s="53" t="n">
        <v>19899</v>
      </c>
      <c r="D2005" s="52" t="s">
        <v>4308</v>
      </c>
      <c r="E2005" s="52" t="s">
        <v>4309</v>
      </c>
      <c r="F2005" s="54" t="n">
        <v>2</v>
      </c>
      <c r="G2005" s="55" t="n">
        <v>136</v>
      </c>
      <c r="H2005" s="55" t="n">
        <v>68</v>
      </c>
      <c r="I2005" s="55" t="n">
        <v>68</v>
      </c>
      <c r="J2005" s="52" t="s">
        <v>5816</v>
      </c>
      <c r="K2005" s="56" t="n">
        <v>1</v>
      </c>
      <c r="L2005" s="52" t="s">
        <v>5816</v>
      </c>
      <c r="M2005" s="52" t="s">
        <v>637</v>
      </c>
    </row>
    <row r="2006" customFormat="false" ht="17.25" hidden="false" customHeight="true" outlineLevel="0" collapsed="false">
      <c r="A2006" s="52" t="s">
        <v>5777</v>
      </c>
      <c r="B2006" s="52" t="s">
        <v>5813</v>
      </c>
      <c r="C2006" s="53" t="n">
        <v>58381</v>
      </c>
      <c r="D2006" s="52" t="s">
        <v>4310</v>
      </c>
      <c r="E2006" s="52" t="s">
        <v>4311</v>
      </c>
      <c r="F2006" s="54" t="n">
        <v>2</v>
      </c>
      <c r="G2006" s="55" t="n">
        <v>136</v>
      </c>
      <c r="H2006" s="55" t="n">
        <v>68</v>
      </c>
      <c r="I2006" s="55" t="n">
        <v>68</v>
      </c>
      <c r="J2006" s="52" t="s">
        <v>5816</v>
      </c>
      <c r="K2006" s="56" t="n">
        <v>1</v>
      </c>
      <c r="L2006" s="52" t="s">
        <v>5816</v>
      </c>
      <c r="M2006" s="52" t="s">
        <v>217</v>
      </c>
    </row>
    <row r="2007" customFormat="false" ht="17.25" hidden="false" customHeight="true" outlineLevel="0" collapsed="false">
      <c r="A2007" s="52" t="s">
        <v>5777</v>
      </c>
      <c r="B2007" s="52" t="s">
        <v>5813</v>
      </c>
      <c r="C2007" s="53" t="n">
        <v>478878</v>
      </c>
      <c r="D2007" s="52" t="s">
        <v>4312</v>
      </c>
      <c r="E2007" s="52" t="s">
        <v>4313</v>
      </c>
      <c r="F2007" s="54" t="n">
        <v>2</v>
      </c>
      <c r="G2007" s="55" t="n">
        <v>136</v>
      </c>
      <c r="H2007" s="55" t="n">
        <v>68</v>
      </c>
      <c r="I2007" s="55" t="n">
        <v>68</v>
      </c>
      <c r="J2007" s="52" t="s">
        <v>5816</v>
      </c>
      <c r="K2007" s="56" t="n">
        <v>1</v>
      </c>
      <c r="L2007" s="52" t="s">
        <v>5816</v>
      </c>
      <c r="M2007" s="52" t="s">
        <v>100</v>
      </c>
    </row>
    <row r="2008" customFormat="false" ht="17.25" hidden="false" customHeight="true" outlineLevel="0" collapsed="false">
      <c r="A2008" s="52" t="s">
        <v>5777</v>
      </c>
      <c r="B2008" s="52" t="s">
        <v>5813</v>
      </c>
      <c r="C2008" s="53" t="n">
        <v>552911</v>
      </c>
      <c r="D2008" s="52" t="s">
        <v>4314</v>
      </c>
      <c r="E2008" s="52" t="s">
        <v>4315</v>
      </c>
      <c r="F2008" s="54" t="n">
        <v>2</v>
      </c>
      <c r="G2008" s="55" t="n">
        <v>136</v>
      </c>
      <c r="H2008" s="55" t="n">
        <v>68</v>
      </c>
      <c r="I2008" s="55" t="n">
        <v>68</v>
      </c>
      <c r="J2008" s="52" t="s">
        <v>5816</v>
      </c>
      <c r="K2008" s="56" t="n">
        <v>1</v>
      </c>
      <c r="L2008" s="52" t="s">
        <v>5816</v>
      </c>
      <c r="M2008" s="52" t="s">
        <v>54</v>
      </c>
    </row>
    <row r="2009" customFormat="false" ht="17.25" hidden="false" customHeight="true" outlineLevel="0" collapsed="false">
      <c r="A2009" s="52" t="s">
        <v>5777</v>
      </c>
      <c r="B2009" s="52" t="s">
        <v>5813</v>
      </c>
      <c r="C2009" s="53" t="n">
        <v>561495</v>
      </c>
      <c r="D2009" s="52" t="s">
        <v>4316</v>
      </c>
      <c r="E2009" s="52" t="s">
        <v>4317</v>
      </c>
      <c r="F2009" s="54" t="n">
        <v>2</v>
      </c>
      <c r="G2009" s="55" t="n">
        <v>136</v>
      </c>
      <c r="H2009" s="55" t="n">
        <v>68</v>
      </c>
      <c r="I2009" s="55" t="n">
        <v>68</v>
      </c>
      <c r="J2009" s="52" t="s">
        <v>5816</v>
      </c>
      <c r="K2009" s="56" t="n">
        <v>1</v>
      </c>
      <c r="L2009" s="52" t="s">
        <v>5816</v>
      </c>
      <c r="M2009" s="52" t="s">
        <v>130</v>
      </c>
    </row>
    <row r="2010" customFormat="false" ht="17.25" hidden="false" customHeight="true" outlineLevel="0" collapsed="false">
      <c r="A2010" s="52" t="s">
        <v>5777</v>
      </c>
      <c r="B2010" s="52" t="s">
        <v>5813</v>
      </c>
      <c r="C2010" s="53" t="n">
        <v>1330167</v>
      </c>
      <c r="D2010" s="52" t="s">
        <v>4318</v>
      </c>
      <c r="E2010" s="52" t="s">
        <v>5957</v>
      </c>
      <c r="F2010" s="54" t="n">
        <v>2</v>
      </c>
      <c r="G2010" s="55" t="n">
        <v>136</v>
      </c>
      <c r="H2010" s="55" t="n">
        <v>68</v>
      </c>
      <c r="I2010" s="55" t="n">
        <v>68</v>
      </c>
      <c r="J2010" s="52" t="s">
        <v>5816</v>
      </c>
      <c r="K2010" s="56" t="n">
        <v>1</v>
      </c>
      <c r="L2010" s="52" t="s">
        <v>5816</v>
      </c>
      <c r="M2010" s="52" t="s">
        <v>189</v>
      </c>
    </row>
    <row r="2011" customFormat="false" ht="17.25" hidden="false" customHeight="true" outlineLevel="0" collapsed="false">
      <c r="A2011" s="52" t="s">
        <v>5777</v>
      </c>
      <c r="B2011" s="52" t="s">
        <v>5813</v>
      </c>
      <c r="C2011" s="53" t="n">
        <v>1606188</v>
      </c>
      <c r="D2011" s="52" t="s">
        <v>4320</v>
      </c>
      <c r="E2011" s="52" t="s">
        <v>5958</v>
      </c>
      <c r="F2011" s="54" t="n">
        <v>2</v>
      </c>
      <c r="G2011" s="55" t="n">
        <v>136</v>
      </c>
      <c r="H2011" s="55" t="n">
        <v>68</v>
      </c>
      <c r="I2011" s="55" t="n">
        <v>68</v>
      </c>
      <c r="J2011" s="52" t="s">
        <v>5816</v>
      </c>
      <c r="K2011" s="56" t="n">
        <v>1</v>
      </c>
      <c r="L2011" s="52" t="s">
        <v>5816</v>
      </c>
      <c r="M2011" s="52" t="s">
        <v>38</v>
      </c>
    </row>
    <row r="2012" customFormat="false" ht="17.25" hidden="false" customHeight="true" outlineLevel="0" collapsed="false">
      <c r="A2012" s="52" t="s">
        <v>5777</v>
      </c>
      <c r="B2012" s="52" t="s">
        <v>5813</v>
      </c>
      <c r="C2012" s="53" t="n">
        <v>16236</v>
      </c>
      <c r="D2012" s="52" t="s">
        <v>4322</v>
      </c>
      <c r="E2012" s="52" t="s">
        <v>4323</v>
      </c>
      <c r="F2012" s="54" t="n">
        <v>26</v>
      </c>
      <c r="G2012" s="55" t="n">
        <v>135.98</v>
      </c>
      <c r="H2012" s="55" t="n">
        <v>5.23</v>
      </c>
      <c r="I2012" s="55" t="n">
        <v>5.23</v>
      </c>
      <c r="J2012" s="52" t="s">
        <v>5816</v>
      </c>
      <c r="K2012" s="56" t="n">
        <v>1</v>
      </c>
      <c r="L2012" s="52" t="s">
        <v>5816</v>
      </c>
      <c r="M2012" s="52" t="s">
        <v>54</v>
      </c>
    </row>
    <row r="2013" customFormat="false" ht="17.25" hidden="false" customHeight="true" outlineLevel="0" collapsed="false">
      <c r="A2013" s="52" t="s">
        <v>5777</v>
      </c>
      <c r="B2013" s="52" t="s">
        <v>5813</v>
      </c>
      <c r="C2013" s="53" t="n">
        <v>287099</v>
      </c>
      <c r="D2013" s="52" t="s">
        <v>4324</v>
      </c>
      <c r="E2013" s="52" t="s">
        <v>4325</v>
      </c>
      <c r="F2013" s="54" t="n">
        <v>8</v>
      </c>
      <c r="G2013" s="55" t="n">
        <v>135.84</v>
      </c>
      <c r="H2013" s="55" t="n">
        <v>16.98</v>
      </c>
      <c r="I2013" s="55" t="n">
        <v>16.98</v>
      </c>
      <c r="J2013" s="52" t="s">
        <v>5914</v>
      </c>
      <c r="K2013" s="56" t="n">
        <v>1</v>
      </c>
      <c r="L2013" s="52" t="s">
        <v>5914</v>
      </c>
      <c r="M2013" s="52" t="s">
        <v>480</v>
      </c>
    </row>
    <row r="2014" customFormat="false" ht="17.25" hidden="false" customHeight="true" outlineLevel="0" collapsed="false">
      <c r="A2014" s="52" t="s">
        <v>5777</v>
      </c>
      <c r="B2014" s="52" t="s">
        <v>5813</v>
      </c>
      <c r="C2014" s="53" t="n">
        <v>89454</v>
      </c>
      <c r="D2014" s="52" t="s">
        <v>4326</v>
      </c>
      <c r="E2014" s="52" t="s">
        <v>4327</v>
      </c>
      <c r="F2014" s="54" t="n">
        <v>2</v>
      </c>
      <c r="G2014" s="55" t="n">
        <v>135.8</v>
      </c>
      <c r="H2014" s="55" t="n">
        <v>67.9</v>
      </c>
      <c r="I2014" s="55" t="n">
        <v>67.9</v>
      </c>
      <c r="J2014" s="52" t="s">
        <v>5816</v>
      </c>
      <c r="K2014" s="56" t="n">
        <v>1</v>
      </c>
      <c r="L2014" s="52" t="s">
        <v>5816</v>
      </c>
      <c r="M2014" s="52" t="s">
        <v>130</v>
      </c>
    </row>
    <row r="2015" customFormat="false" ht="17.25" hidden="false" customHeight="true" outlineLevel="0" collapsed="false">
      <c r="A2015" s="52" t="s">
        <v>5777</v>
      </c>
      <c r="B2015" s="52" t="s">
        <v>5813</v>
      </c>
      <c r="C2015" s="53" t="n">
        <v>55324</v>
      </c>
      <c r="D2015" s="52" t="s">
        <v>4328</v>
      </c>
      <c r="E2015" s="52" t="s">
        <v>4329</v>
      </c>
      <c r="F2015" s="54" t="n">
        <v>5</v>
      </c>
      <c r="G2015" s="55" t="n">
        <v>135</v>
      </c>
      <c r="H2015" s="55" t="n">
        <v>27</v>
      </c>
      <c r="I2015" s="55" t="n">
        <v>27</v>
      </c>
      <c r="J2015" s="52" t="s">
        <v>5816</v>
      </c>
      <c r="K2015" s="56" t="n">
        <v>1</v>
      </c>
      <c r="L2015" s="52" t="s">
        <v>5816</v>
      </c>
      <c r="M2015" s="52" t="s">
        <v>1618</v>
      </c>
    </row>
    <row r="2016" customFormat="false" ht="17.25" hidden="false" customHeight="true" outlineLevel="0" collapsed="false">
      <c r="A2016" s="52" t="s">
        <v>5777</v>
      </c>
      <c r="B2016" s="52" t="s">
        <v>5813</v>
      </c>
      <c r="C2016" s="53" t="n">
        <v>55334</v>
      </c>
      <c r="D2016" s="52" t="s">
        <v>4330</v>
      </c>
      <c r="E2016" s="52" t="s">
        <v>4331</v>
      </c>
      <c r="F2016" s="54" t="n">
        <v>3</v>
      </c>
      <c r="G2016" s="55" t="n">
        <v>135</v>
      </c>
      <c r="H2016" s="55" t="n">
        <v>45</v>
      </c>
      <c r="I2016" s="55" t="n">
        <v>45</v>
      </c>
      <c r="J2016" s="52" t="s">
        <v>5816</v>
      </c>
      <c r="K2016" s="56" t="n">
        <v>1</v>
      </c>
      <c r="L2016" s="52" t="s">
        <v>5816</v>
      </c>
      <c r="M2016" s="52" t="s">
        <v>1618</v>
      </c>
    </row>
    <row r="2017" customFormat="false" ht="17.25" hidden="false" customHeight="true" outlineLevel="0" collapsed="false">
      <c r="A2017" s="52" t="s">
        <v>5777</v>
      </c>
      <c r="B2017" s="52" t="s">
        <v>5813</v>
      </c>
      <c r="C2017" s="53" t="n">
        <v>960688</v>
      </c>
      <c r="D2017" s="52" t="s">
        <v>4332</v>
      </c>
      <c r="E2017" s="52" t="s">
        <v>4333</v>
      </c>
      <c r="F2017" s="54" t="n">
        <v>22</v>
      </c>
      <c r="G2017" s="55" t="n">
        <v>134.86</v>
      </c>
      <c r="H2017" s="55" t="n">
        <v>6.13</v>
      </c>
      <c r="I2017" s="55" t="n">
        <v>6.13</v>
      </c>
      <c r="J2017" s="52" t="s">
        <v>5816</v>
      </c>
      <c r="K2017" s="56" t="n">
        <v>1</v>
      </c>
      <c r="L2017" s="52" t="s">
        <v>5816</v>
      </c>
      <c r="M2017" s="52" t="s">
        <v>38</v>
      </c>
    </row>
    <row r="2018" customFormat="false" ht="17.25" hidden="false" customHeight="true" outlineLevel="0" collapsed="false">
      <c r="A2018" s="52" t="s">
        <v>5777</v>
      </c>
      <c r="B2018" s="52" t="s">
        <v>5813</v>
      </c>
      <c r="C2018" s="53" t="n">
        <v>1385906</v>
      </c>
      <c r="D2018" s="52" t="s">
        <v>4334</v>
      </c>
      <c r="E2018" s="52" t="s">
        <v>4335</v>
      </c>
      <c r="F2018" s="54" t="n">
        <v>442</v>
      </c>
      <c r="G2018" s="55" t="n">
        <v>134.83</v>
      </c>
      <c r="H2018" s="55" t="n">
        <v>0.305</v>
      </c>
      <c r="I2018" s="55" t="n">
        <v>0.315</v>
      </c>
      <c r="J2018" s="52" t="s">
        <v>5816</v>
      </c>
      <c r="K2018" s="56" t="n">
        <v>1</v>
      </c>
      <c r="L2018" s="52" t="s">
        <v>5816</v>
      </c>
      <c r="M2018" s="52" t="s">
        <v>160</v>
      </c>
    </row>
    <row r="2019" customFormat="false" ht="17.25" hidden="false" customHeight="true" outlineLevel="0" collapsed="false">
      <c r="A2019" s="52" t="s">
        <v>5777</v>
      </c>
      <c r="B2019" s="52" t="s">
        <v>5813</v>
      </c>
      <c r="C2019" s="53" t="n">
        <v>56349</v>
      </c>
      <c r="D2019" s="52" t="s">
        <v>4336</v>
      </c>
      <c r="E2019" s="52" t="s">
        <v>4337</v>
      </c>
      <c r="F2019" s="54" t="n">
        <v>10</v>
      </c>
      <c r="G2019" s="55" t="n">
        <v>134.8</v>
      </c>
      <c r="H2019" s="55" t="n">
        <v>13.48</v>
      </c>
      <c r="I2019" s="55" t="n">
        <v>13.48</v>
      </c>
      <c r="J2019" s="52" t="s">
        <v>5816</v>
      </c>
      <c r="K2019" s="56" t="n">
        <v>1</v>
      </c>
      <c r="L2019" s="52" t="s">
        <v>5816</v>
      </c>
      <c r="M2019" s="52" t="s">
        <v>1618</v>
      </c>
    </row>
    <row r="2020" customFormat="false" ht="17.25" hidden="false" customHeight="true" outlineLevel="0" collapsed="false">
      <c r="A2020" s="52" t="s">
        <v>5777</v>
      </c>
      <c r="B2020" s="52" t="s">
        <v>5813</v>
      </c>
      <c r="C2020" s="53" t="n">
        <v>1474099</v>
      </c>
      <c r="D2020" s="52" t="s">
        <v>4338</v>
      </c>
      <c r="E2020" s="52" t="s">
        <v>5959</v>
      </c>
      <c r="F2020" s="54" t="n">
        <v>3</v>
      </c>
      <c r="G2020" s="55" t="n">
        <v>134.79</v>
      </c>
      <c r="H2020" s="55" t="n">
        <v>44.93</v>
      </c>
      <c r="I2020" s="55" t="n">
        <v>44.93</v>
      </c>
      <c r="J2020" s="52" t="s">
        <v>5816</v>
      </c>
      <c r="K2020" s="56" t="n">
        <v>1</v>
      </c>
      <c r="L2020" s="52" t="s">
        <v>5816</v>
      </c>
      <c r="M2020" s="52" t="s">
        <v>130</v>
      </c>
    </row>
    <row r="2021" customFormat="false" ht="17.25" hidden="false" customHeight="true" outlineLevel="0" collapsed="false">
      <c r="A2021" s="52" t="s">
        <v>5777</v>
      </c>
      <c r="B2021" s="52" t="s">
        <v>5813</v>
      </c>
      <c r="C2021" s="53" t="n">
        <v>1672145</v>
      </c>
      <c r="D2021" s="52" t="s">
        <v>4340</v>
      </c>
      <c r="E2021" s="52" t="s">
        <v>4341</v>
      </c>
      <c r="F2021" s="54" t="n">
        <v>12</v>
      </c>
      <c r="G2021" s="55" t="n">
        <v>134.4</v>
      </c>
      <c r="H2021" s="55" t="n">
        <v>11.2</v>
      </c>
      <c r="I2021" s="55" t="n">
        <v>11.2</v>
      </c>
      <c r="J2021" s="52" t="s">
        <v>5816</v>
      </c>
      <c r="K2021" s="56" t="n">
        <v>1</v>
      </c>
      <c r="L2021" s="52" t="s">
        <v>5816</v>
      </c>
      <c r="M2021" s="52" t="s">
        <v>100</v>
      </c>
    </row>
    <row r="2022" customFormat="false" ht="17.25" hidden="false" customHeight="true" outlineLevel="0" collapsed="false">
      <c r="A2022" s="52" t="s">
        <v>5777</v>
      </c>
      <c r="B2022" s="52" t="s">
        <v>5813</v>
      </c>
      <c r="C2022" s="53" t="n">
        <v>1385281</v>
      </c>
      <c r="D2022" s="52" t="s">
        <v>4342</v>
      </c>
      <c r="E2022" s="52" t="s">
        <v>4343</v>
      </c>
      <c r="F2022" s="54" t="n">
        <v>15</v>
      </c>
      <c r="G2022" s="55" t="n">
        <v>134.11</v>
      </c>
      <c r="H2022" s="55" t="n">
        <v>8.9407</v>
      </c>
      <c r="I2022" s="55" t="n">
        <v>13.7</v>
      </c>
      <c r="J2022" s="52" t="s">
        <v>5816</v>
      </c>
      <c r="K2022" s="56" t="n">
        <v>1</v>
      </c>
      <c r="L2022" s="52" t="s">
        <v>5816</v>
      </c>
      <c r="M2022" s="52" t="s">
        <v>38</v>
      </c>
    </row>
    <row r="2023" customFormat="false" ht="17.25" hidden="false" customHeight="true" outlineLevel="0" collapsed="false">
      <c r="A2023" s="52" t="s">
        <v>5777</v>
      </c>
      <c r="B2023" s="52" t="s">
        <v>5813</v>
      </c>
      <c r="C2023" s="53" t="n">
        <v>22500</v>
      </c>
      <c r="D2023" s="52" t="s">
        <v>4344</v>
      </c>
      <c r="E2023" s="52" t="s">
        <v>4345</v>
      </c>
      <c r="F2023" s="54" t="n">
        <v>17</v>
      </c>
      <c r="G2023" s="55" t="n">
        <v>134</v>
      </c>
      <c r="H2023" s="55" t="n">
        <v>7.8824</v>
      </c>
      <c r="I2023" s="55" t="n">
        <v>7</v>
      </c>
      <c r="J2023" s="52" t="s">
        <v>5816</v>
      </c>
      <c r="K2023" s="56" t="n">
        <v>1</v>
      </c>
      <c r="L2023" s="52" t="s">
        <v>5816</v>
      </c>
      <c r="M2023" s="52" t="s">
        <v>605</v>
      </c>
    </row>
    <row r="2024" customFormat="false" ht="17.25" hidden="false" customHeight="true" outlineLevel="0" collapsed="false">
      <c r="A2024" s="52" t="s">
        <v>5777</v>
      </c>
      <c r="B2024" s="52" t="s">
        <v>5813</v>
      </c>
      <c r="C2024" s="53" t="n">
        <v>932987</v>
      </c>
      <c r="D2024" s="52" t="s">
        <v>4346</v>
      </c>
      <c r="E2024" s="52" t="s">
        <v>4347</v>
      </c>
      <c r="F2024" s="54" t="n">
        <v>300</v>
      </c>
      <c r="G2024" s="55" t="n">
        <v>134</v>
      </c>
      <c r="H2024" s="55" t="n">
        <v>0.4467</v>
      </c>
      <c r="I2024" s="55" t="n">
        <v>0.23</v>
      </c>
      <c r="J2024" s="52" t="s">
        <v>5816</v>
      </c>
      <c r="K2024" s="56" t="n">
        <v>1</v>
      </c>
      <c r="L2024" s="52" t="s">
        <v>5816</v>
      </c>
      <c r="M2024" s="52" t="s">
        <v>38</v>
      </c>
    </row>
    <row r="2025" customFormat="false" ht="17.25" hidden="false" customHeight="true" outlineLevel="0" collapsed="false">
      <c r="A2025" s="52" t="s">
        <v>5777</v>
      </c>
      <c r="B2025" s="52" t="s">
        <v>5813</v>
      </c>
      <c r="C2025" s="53" t="n">
        <v>884895</v>
      </c>
      <c r="D2025" s="52" t="s">
        <v>4348</v>
      </c>
      <c r="E2025" s="52" t="s">
        <v>4349</v>
      </c>
      <c r="F2025" s="54" t="n">
        <v>1</v>
      </c>
      <c r="G2025" s="55" t="n">
        <v>132.75</v>
      </c>
      <c r="H2025" s="55" t="n">
        <v>132.75</v>
      </c>
      <c r="I2025" s="55" t="n">
        <v>132.75</v>
      </c>
      <c r="J2025" s="52" t="s">
        <v>5817</v>
      </c>
      <c r="K2025" s="56" t="n">
        <v>1</v>
      </c>
      <c r="L2025" s="52" t="s">
        <v>5817</v>
      </c>
      <c r="M2025" s="52" t="s">
        <v>130</v>
      </c>
    </row>
    <row r="2026" customFormat="false" ht="17.25" hidden="false" customHeight="true" outlineLevel="0" collapsed="false">
      <c r="A2026" s="52" t="s">
        <v>5777</v>
      </c>
      <c r="B2026" s="52" t="s">
        <v>5813</v>
      </c>
      <c r="C2026" s="53" t="n">
        <v>1330473</v>
      </c>
      <c r="D2026" s="52" t="s">
        <v>4350</v>
      </c>
      <c r="E2026" s="52" t="s">
        <v>4351</v>
      </c>
      <c r="F2026" s="54" t="n">
        <v>5</v>
      </c>
      <c r="G2026" s="55" t="n">
        <v>132.5</v>
      </c>
      <c r="H2026" s="55" t="n">
        <v>26.5</v>
      </c>
      <c r="I2026" s="55" t="n">
        <v>26.5</v>
      </c>
      <c r="J2026" s="52" t="s">
        <v>5816</v>
      </c>
      <c r="K2026" s="56" t="n">
        <v>1</v>
      </c>
      <c r="L2026" s="52" t="s">
        <v>5816</v>
      </c>
      <c r="M2026" s="52" t="s">
        <v>54</v>
      </c>
    </row>
    <row r="2027" customFormat="false" ht="17.25" hidden="false" customHeight="true" outlineLevel="0" collapsed="false">
      <c r="A2027" s="52" t="s">
        <v>5777</v>
      </c>
      <c r="B2027" s="52" t="s">
        <v>5813</v>
      </c>
      <c r="C2027" s="53" t="n">
        <v>1476167</v>
      </c>
      <c r="D2027" s="52" t="s">
        <v>4352</v>
      </c>
      <c r="E2027" s="52" t="s">
        <v>4353</v>
      </c>
      <c r="F2027" s="54" t="n">
        <v>2</v>
      </c>
      <c r="G2027" s="55" t="n">
        <v>132</v>
      </c>
      <c r="H2027" s="55" t="n">
        <v>66</v>
      </c>
      <c r="I2027" s="55" t="n">
        <v>66</v>
      </c>
      <c r="J2027" s="52" t="s">
        <v>5816</v>
      </c>
      <c r="K2027" s="56" t="n">
        <v>1</v>
      </c>
      <c r="L2027" s="52" t="s">
        <v>5816</v>
      </c>
      <c r="M2027" s="52" t="s">
        <v>133</v>
      </c>
    </row>
    <row r="2028" customFormat="false" ht="17.25" hidden="false" customHeight="true" outlineLevel="0" collapsed="false">
      <c r="A2028" s="52" t="s">
        <v>5777</v>
      </c>
      <c r="B2028" s="52" t="s">
        <v>5813</v>
      </c>
      <c r="C2028" s="53" t="n">
        <v>1476191</v>
      </c>
      <c r="D2028" s="52" t="s">
        <v>4354</v>
      </c>
      <c r="E2028" s="52" t="s">
        <v>4355</v>
      </c>
      <c r="F2028" s="54" t="n">
        <v>2</v>
      </c>
      <c r="G2028" s="55" t="n">
        <v>132</v>
      </c>
      <c r="H2028" s="55" t="n">
        <v>66</v>
      </c>
      <c r="I2028" s="55" t="n">
        <v>66</v>
      </c>
      <c r="J2028" s="52" t="s">
        <v>5816</v>
      </c>
      <c r="K2028" s="56" t="n">
        <v>1</v>
      </c>
      <c r="L2028" s="52" t="s">
        <v>5816</v>
      </c>
      <c r="M2028" s="52" t="s">
        <v>133</v>
      </c>
    </row>
    <row r="2029" customFormat="false" ht="17.25" hidden="false" customHeight="true" outlineLevel="0" collapsed="false">
      <c r="A2029" s="52" t="s">
        <v>5777</v>
      </c>
      <c r="B2029" s="52" t="s">
        <v>5813</v>
      </c>
      <c r="C2029" s="53" t="n">
        <v>1476215</v>
      </c>
      <c r="D2029" s="52" t="s">
        <v>4356</v>
      </c>
      <c r="E2029" s="52" t="s">
        <v>4357</v>
      </c>
      <c r="F2029" s="54" t="n">
        <v>2</v>
      </c>
      <c r="G2029" s="55" t="n">
        <v>132</v>
      </c>
      <c r="H2029" s="55" t="n">
        <v>66</v>
      </c>
      <c r="I2029" s="55" t="n">
        <v>66</v>
      </c>
      <c r="J2029" s="52" t="s">
        <v>5816</v>
      </c>
      <c r="K2029" s="56" t="n">
        <v>1</v>
      </c>
      <c r="L2029" s="52" t="s">
        <v>5816</v>
      </c>
      <c r="M2029" s="52" t="s">
        <v>133</v>
      </c>
    </row>
    <row r="2030" customFormat="false" ht="17.25" hidden="false" customHeight="true" outlineLevel="0" collapsed="false">
      <c r="A2030" s="52" t="s">
        <v>5777</v>
      </c>
      <c r="B2030" s="52" t="s">
        <v>5813</v>
      </c>
      <c r="C2030" s="53" t="n">
        <v>16405</v>
      </c>
      <c r="D2030" s="52" t="s">
        <v>4358</v>
      </c>
      <c r="E2030" s="52" t="s">
        <v>4359</v>
      </c>
      <c r="F2030" s="54" t="n">
        <v>6</v>
      </c>
      <c r="G2030" s="55" t="n">
        <v>131.88</v>
      </c>
      <c r="H2030" s="55" t="n">
        <v>21.98</v>
      </c>
      <c r="I2030" s="55" t="n">
        <v>21.98</v>
      </c>
      <c r="J2030" s="52" t="s">
        <v>5816</v>
      </c>
      <c r="K2030" s="56" t="n">
        <v>1</v>
      </c>
      <c r="L2030" s="52" t="s">
        <v>5816</v>
      </c>
      <c r="M2030" s="52" t="s">
        <v>54</v>
      </c>
    </row>
    <row r="2031" customFormat="false" ht="17.25" hidden="false" customHeight="true" outlineLevel="0" collapsed="false">
      <c r="A2031" s="52" t="s">
        <v>5777</v>
      </c>
      <c r="B2031" s="52" t="s">
        <v>5813</v>
      </c>
      <c r="C2031" s="53" t="n">
        <v>1607596</v>
      </c>
      <c r="D2031" s="52" t="s">
        <v>4360</v>
      </c>
      <c r="E2031" s="52" t="s">
        <v>4361</v>
      </c>
      <c r="F2031" s="54" t="n">
        <v>7</v>
      </c>
      <c r="G2031" s="55" t="n">
        <v>131.46</v>
      </c>
      <c r="H2031" s="55" t="n">
        <v>18.78</v>
      </c>
      <c r="I2031" s="55" t="n">
        <v>18.78</v>
      </c>
      <c r="J2031" s="52" t="s">
        <v>5816</v>
      </c>
      <c r="K2031" s="56" t="n">
        <v>1</v>
      </c>
      <c r="L2031" s="52" t="s">
        <v>5816</v>
      </c>
      <c r="M2031" s="52" t="s">
        <v>100</v>
      </c>
    </row>
    <row r="2032" customFormat="false" ht="17.25" hidden="false" customHeight="true" outlineLevel="0" collapsed="false">
      <c r="A2032" s="52" t="s">
        <v>5777</v>
      </c>
      <c r="B2032" s="52" t="s">
        <v>5813</v>
      </c>
      <c r="C2032" s="53" t="n">
        <v>477834</v>
      </c>
      <c r="D2032" s="52" t="s">
        <v>4362</v>
      </c>
      <c r="E2032" s="52" t="s">
        <v>4363</v>
      </c>
      <c r="F2032" s="54" t="n">
        <v>7</v>
      </c>
      <c r="G2032" s="55" t="n">
        <v>131.04</v>
      </c>
      <c r="H2032" s="55" t="n">
        <v>18.72</v>
      </c>
      <c r="I2032" s="55" t="n">
        <v>18.72</v>
      </c>
      <c r="J2032" s="52" t="s">
        <v>5816</v>
      </c>
      <c r="K2032" s="56" t="n">
        <v>1</v>
      </c>
      <c r="L2032" s="52" t="s">
        <v>5816</v>
      </c>
      <c r="M2032" s="52" t="s">
        <v>38</v>
      </c>
    </row>
    <row r="2033" customFormat="false" ht="17.25" hidden="false" customHeight="true" outlineLevel="0" collapsed="false">
      <c r="A2033" s="52" t="s">
        <v>5777</v>
      </c>
      <c r="B2033" s="52" t="s">
        <v>5813</v>
      </c>
      <c r="C2033" s="53" t="n">
        <v>32874</v>
      </c>
      <c r="D2033" s="52" t="s">
        <v>4364</v>
      </c>
      <c r="E2033" s="52" t="s">
        <v>4365</v>
      </c>
      <c r="F2033" s="54" t="n">
        <v>1</v>
      </c>
      <c r="G2033" s="55" t="n">
        <v>131</v>
      </c>
      <c r="H2033" s="55" t="n">
        <v>131</v>
      </c>
      <c r="I2033" s="55" t="n">
        <v>131</v>
      </c>
      <c r="J2033" s="52" t="s">
        <v>5831</v>
      </c>
      <c r="K2033" s="56" t="n">
        <v>1</v>
      </c>
      <c r="L2033" s="52" t="s">
        <v>5831</v>
      </c>
      <c r="M2033" s="52" t="s">
        <v>247</v>
      </c>
    </row>
    <row r="2034" customFormat="false" ht="17.25" hidden="false" customHeight="true" outlineLevel="0" collapsed="false">
      <c r="A2034" s="52" t="s">
        <v>5777</v>
      </c>
      <c r="B2034" s="52" t="s">
        <v>5813</v>
      </c>
      <c r="C2034" s="53" t="n">
        <v>55009</v>
      </c>
      <c r="D2034" s="52" t="s">
        <v>4366</v>
      </c>
      <c r="E2034" s="52" t="s">
        <v>4367</v>
      </c>
      <c r="F2034" s="54" t="n">
        <v>1</v>
      </c>
      <c r="G2034" s="55" t="n">
        <v>131</v>
      </c>
      <c r="H2034" s="55" t="n">
        <v>131</v>
      </c>
      <c r="I2034" s="55" t="n">
        <v>131</v>
      </c>
      <c r="J2034" s="52" t="s">
        <v>5831</v>
      </c>
      <c r="K2034" s="56" t="n">
        <v>1</v>
      </c>
      <c r="L2034" s="52" t="s">
        <v>5831</v>
      </c>
      <c r="M2034" s="52" t="s">
        <v>247</v>
      </c>
    </row>
    <row r="2035" customFormat="false" ht="17.25" hidden="false" customHeight="true" outlineLevel="0" collapsed="false">
      <c r="A2035" s="52" t="s">
        <v>5777</v>
      </c>
      <c r="B2035" s="52" t="s">
        <v>5813</v>
      </c>
      <c r="C2035" s="53" t="n">
        <v>1063860</v>
      </c>
      <c r="D2035" s="52" t="s">
        <v>4368</v>
      </c>
      <c r="E2035" s="52" t="s">
        <v>4369</v>
      </c>
      <c r="F2035" s="54" t="n">
        <v>1</v>
      </c>
      <c r="G2035" s="55" t="n">
        <v>131</v>
      </c>
      <c r="H2035" s="55" t="n">
        <v>131</v>
      </c>
      <c r="I2035" s="55" t="n">
        <v>131</v>
      </c>
      <c r="J2035" s="52" t="s">
        <v>5816</v>
      </c>
      <c r="K2035" s="56" t="n">
        <v>1</v>
      </c>
      <c r="L2035" s="52" t="s">
        <v>5816</v>
      </c>
      <c r="M2035" s="52" t="s">
        <v>247</v>
      </c>
    </row>
    <row r="2036" customFormat="false" ht="17.25" hidden="false" customHeight="true" outlineLevel="0" collapsed="false">
      <c r="A2036" s="52" t="s">
        <v>5777</v>
      </c>
      <c r="B2036" s="52" t="s">
        <v>5813</v>
      </c>
      <c r="C2036" s="53" t="n">
        <v>559570</v>
      </c>
      <c r="D2036" s="52" t="s">
        <v>4370</v>
      </c>
      <c r="E2036" s="52" t="s">
        <v>4371</v>
      </c>
      <c r="F2036" s="54" t="n">
        <v>3</v>
      </c>
      <c r="G2036" s="55" t="n">
        <v>130.71</v>
      </c>
      <c r="H2036" s="55" t="n">
        <v>43.57</v>
      </c>
      <c r="I2036" s="55" t="n">
        <v>43.57</v>
      </c>
      <c r="J2036" s="52" t="s">
        <v>5816</v>
      </c>
      <c r="K2036" s="56" t="n">
        <v>1</v>
      </c>
      <c r="L2036" s="52" t="s">
        <v>5816</v>
      </c>
      <c r="M2036" s="52" t="s">
        <v>130</v>
      </c>
    </row>
    <row r="2037" customFormat="false" ht="17.25" hidden="false" customHeight="true" outlineLevel="0" collapsed="false">
      <c r="A2037" s="52" t="s">
        <v>5777</v>
      </c>
      <c r="B2037" s="52" t="s">
        <v>5813</v>
      </c>
      <c r="C2037" s="53" t="n">
        <v>1320995</v>
      </c>
      <c r="D2037" s="52" t="s">
        <v>4372</v>
      </c>
      <c r="E2037" s="52" t="s">
        <v>4373</v>
      </c>
      <c r="F2037" s="54" t="n">
        <v>22</v>
      </c>
      <c r="G2037" s="55" t="n">
        <v>130.24</v>
      </c>
      <c r="H2037" s="55" t="n">
        <v>5.92</v>
      </c>
      <c r="I2037" s="55" t="n">
        <v>5.92</v>
      </c>
      <c r="J2037" s="52" t="s">
        <v>5816</v>
      </c>
      <c r="K2037" s="56" t="n">
        <v>1</v>
      </c>
      <c r="L2037" s="52" t="s">
        <v>5816</v>
      </c>
      <c r="M2037" s="52" t="s">
        <v>38</v>
      </c>
    </row>
    <row r="2038" customFormat="false" ht="17.25" hidden="false" customHeight="true" outlineLevel="0" collapsed="false">
      <c r="A2038" s="52" t="s">
        <v>5777</v>
      </c>
      <c r="B2038" s="52" t="s">
        <v>5813</v>
      </c>
      <c r="C2038" s="53" t="n">
        <v>32598</v>
      </c>
      <c r="D2038" s="52" t="s">
        <v>4374</v>
      </c>
      <c r="E2038" s="52" t="s">
        <v>4375</v>
      </c>
      <c r="F2038" s="54" t="n">
        <v>2</v>
      </c>
      <c r="G2038" s="55" t="n">
        <v>130</v>
      </c>
      <c r="H2038" s="55" t="n">
        <v>65</v>
      </c>
      <c r="I2038" s="55" t="n">
        <v>65</v>
      </c>
      <c r="J2038" s="52" t="s">
        <v>5902</v>
      </c>
      <c r="K2038" s="56" t="n">
        <v>6</v>
      </c>
      <c r="L2038" s="52" t="s">
        <v>5814</v>
      </c>
      <c r="M2038" s="52" t="s">
        <v>54</v>
      </c>
    </row>
    <row r="2039" customFormat="false" ht="17.25" hidden="false" customHeight="true" outlineLevel="0" collapsed="false">
      <c r="A2039" s="52" t="s">
        <v>5777</v>
      </c>
      <c r="B2039" s="52" t="s">
        <v>5813</v>
      </c>
      <c r="C2039" s="53" t="n">
        <v>1312602</v>
      </c>
      <c r="D2039" s="52" t="s">
        <v>4376</v>
      </c>
      <c r="E2039" s="52" t="s">
        <v>4377</v>
      </c>
      <c r="F2039" s="54" t="n">
        <v>1</v>
      </c>
      <c r="G2039" s="55" t="n">
        <v>129.97</v>
      </c>
      <c r="H2039" s="55" t="n">
        <v>129.97</v>
      </c>
      <c r="I2039" s="55" t="n">
        <v>129.97</v>
      </c>
      <c r="J2039" s="52" t="s">
        <v>5816</v>
      </c>
      <c r="K2039" s="56" t="n">
        <v>1</v>
      </c>
      <c r="L2039" s="52" t="s">
        <v>5816</v>
      </c>
      <c r="M2039" s="52" t="s">
        <v>189</v>
      </c>
    </row>
    <row r="2040" customFormat="false" ht="17.25" hidden="false" customHeight="true" outlineLevel="0" collapsed="false">
      <c r="A2040" s="52" t="s">
        <v>5777</v>
      </c>
      <c r="B2040" s="52" t="s">
        <v>5813</v>
      </c>
      <c r="C2040" s="53" t="n">
        <v>54375</v>
      </c>
      <c r="D2040" s="52" t="s">
        <v>4378</v>
      </c>
      <c r="E2040" s="52" t="s">
        <v>4379</v>
      </c>
      <c r="F2040" s="54" t="n">
        <v>32</v>
      </c>
      <c r="G2040" s="55" t="n">
        <v>129.92</v>
      </c>
      <c r="H2040" s="55" t="n">
        <v>4.06</v>
      </c>
      <c r="I2040" s="55" t="n">
        <v>3.5</v>
      </c>
      <c r="J2040" s="52" t="s">
        <v>5816</v>
      </c>
      <c r="K2040" s="56" t="n">
        <v>1</v>
      </c>
      <c r="L2040" s="52" t="s">
        <v>5816</v>
      </c>
      <c r="M2040" s="52" t="s">
        <v>100</v>
      </c>
    </row>
    <row r="2041" customFormat="false" ht="17.25" hidden="false" customHeight="true" outlineLevel="0" collapsed="false">
      <c r="A2041" s="52" t="s">
        <v>5777</v>
      </c>
      <c r="B2041" s="52" t="s">
        <v>5813</v>
      </c>
      <c r="C2041" s="53" t="n">
        <v>22531</v>
      </c>
      <c r="D2041" s="52" t="s">
        <v>4380</v>
      </c>
      <c r="E2041" s="52" t="s">
        <v>4381</v>
      </c>
      <c r="F2041" s="54" t="n">
        <v>10</v>
      </c>
      <c r="G2041" s="55" t="n">
        <v>129.8</v>
      </c>
      <c r="H2041" s="55" t="n">
        <v>12.98</v>
      </c>
      <c r="I2041" s="55" t="n">
        <v>12.98</v>
      </c>
      <c r="J2041" s="52" t="s">
        <v>5816</v>
      </c>
      <c r="K2041" s="56" t="n">
        <v>1</v>
      </c>
      <c r="L2041" s="52" t="s">
        <v>5816</v>
      </c>
      <c r="M2041" s="52" t="s">
        <v>38</v>
      </c>
    </row>
    <row r="2042" customFormat="false" ht="17.25" hidden="false" customHeight="true" outlineLevel="0" collapsed="false">
      <c r="A2042" s="52" t="s">
        <v>5777</v>
      </c>
      <c r="B2042" s="52" t="s">
        <v>5813</v>
      </c>
      <c r="C2042" s="53" t="n">
        <v>648380</v>
      </c>
      <c r="D2042" s="52" t="s">
        <v>4382</v>
      </c>
      <c r="E2042" s="52" t="s">
        <v>4383</v>
      </c>
      <c r="F2042" s="54" t="n">
        <v>10</v>
      </c>
      <c r="G2042" s="55" t="n">
        <v>129.8</v>
      </c>
      <c r="H2042" s="55" t="n">
        <v>12.98</v>
      </c>
      <c r="I2042" s="55" t="n">
        <v>12.98</v>
      </c>
      <c r="J2042" s="52" t="s">
        <v>5816</v>
      </c>
      <c r="K2042" s="56" t="n">
        <v>1</v>
      </c>
      <c r="L2042" s="52" t="s">
        <v>5816</v>
      </c>
      <c r="M2042" s="52" t="s">
        <v>38</v>
      </c>
    </row>
    <row r="2043" customFormat="false" ht="17.25" hidden="false" customHeight="true" outlineLevel="0" collapsed="false">
      <c r="A2043" s="52" t="s">
        <v>5777</v>
      </c>
      <c r="B2043" s="52" t="s">
        <v>5813</v>
      </c>
      <c r="C2043" s="53" t="n">
        <v>868794</v>
      </c>
      <c r="D2043" s="52" t="s">
        <v>4384</v>
      </c>
      <c r="E2043" s="52" t="s">
        <v>4385</v>
      </c>
      <c r="F2043" s="54" t="n">
        <v>105</v>
      </c>
      <c r="G2043" s="55" t="n">
        <v>129.15</v>
      </c>
      <c r="H2043" s="55" t="n">
        <v>1.23</v>
      </c>
      <c r="I2043" s="55" t="n">
        <v>1.23</v>
      </c>
      <c r="J2043" s="52" t="s">
        <v>5816</v>
      </c>
      <c r="K2043" s="56" t="n">
        <v>1</v>
      </c>
      <c r="L2043" s="52" t="s">
        <v>5816</v>
      </c>
      <c r="M2043" s="52" t="s">
        <v>54</v>
      </c>
    </row>
    <row r="2044" customFormat="false" ht="17.25" hidden="false" customHeight="true" outlineLevel="0" collapsed="false">
      <c r="A2044" s="52" t="s">
        <v>5777</v>
      </c>
      <c r="B2044" s="52" t="s">
        <v>5813</v>
      </c>
      <c r="C2044" s="53" t="n">
        <v>1016524</v>
      </c>
      <c r="D2044" s="52" t="s">
        <v>4386</v>
      </c>
      <c r="E2044" s="52" t="s">
        <v>4387</v>
      </c>
      <c r="F2044" s="54" t="n">
        <v>1</v>
      </c>
      <c r="G2044" s="55" t="n">
        <v>129.06</v>
      </c>
      <c r="H2044" s="55" t="n">
        <v>129.06</v>
      </c>
      <c r="I2044" s="55" t="n">
        <v>129.06</v>
      </c>
      <c r="J2044" s="52" t="s">
        <v>5816</v>
      </c>
      <c r="K2044" s="56" t="n">
        <v>1</v>
      </c>
      <c r="L2044" s="52" t="s">
        <v>5816</v>
      </c>
      <c r="M2044" s="52" t="s">
        <v>189</v>
      </c>
    </row>
    <row r="2045" customFormat="false" ht="17.25" hidden="false" customHeight="true" outlineLevel="0" collapsed="false">
      <c r="A2045" s="52" t="s">
        <v>5777</v>
      </c>
      <c r="B2045" s="52" t="s">
        <v>5813</v>
      </c>
      <c r="C2045" s="53" t="n">
        <v>19325</v>
      </c>
      <c r="D2045" s="52" t="s">
        <v>4388</v>
      </c>
      <c r="E2045" s="52" t="s">
        <v>4389</v>
      </c>
      <c r="F2045" s="54" t="n">
        <v>2</v>
      </c>
      <c r="G2045" s="55" t="n">
        <v>128.26</v>
      </c>
      <c r="H2045" s="55" t="n">
        <v>64.13</v>
      </c>
      <c r="I2045" s="55" t="n">
        <v>64.13</v>
      </c>
      <c r="J2045" s="52" t="s">
        <v>5816</v>
      </c>
      <c r="K2045" s="56" t="n">
        <v>1</v>
      </c>
      <c r="L2045" s="52" t="s">
        <v>5816</v>
      </c>
      <c r="M2045" s="52" t="s">
        <v>1095</v>
      </c>
    </row>
    <row r="2046" customFormat="false" ht="17.25" hidden="false" customHeight="true" outlineLevel="0" collapsed="false">
      <c r="A2046" s="52" t="s">
        <v>5777</v>
      </c>
      <c r="B2046" s="52" t="s">
        <v>5813</v>
      </c>
      <c r="C2046" s="53" t="n">
        <v>60120</v>
      </c>
      <c r="D2046" s="52" t="s">
        <v>4390</v>
      </c>
      <c r="E2046" s="52" t="s">
        <v>4391</v>
      </c>
      <c r="F2046" s="54" t="n">
        <v>1</v>
      </c>
      <c r="G2046" s="55" t="n">
        <v>128</v>
      </c>
      <c r="H2046" s="55" t="n">
        <v>128</v>
      </c>
      <c r="I2046" s="55" t="n">
        <v>128</v>
      </c>
      <c r="J2046" s="52" t="s">
        <v>5816</v>
      </c>
      <c r="K2046" s="56" t="n">
        <v>1</v>
      </c>
      <c r="L2046" s="52" t="s">
        <v>5816</v>
      </c>
      <c r="M2046" s="52" t="s">
        <v>54</v>
      </c>
    </row>
    <row r="2047" customFormat="false" ht="17.25" hidden="false" customHeight="true" outlineLevel="0" collapsed="false">
      <c r="A2047" s="52" t="s">
        <v>5777</v>
      </c>
      <c r="B2047" s="52" t="s">
        <v>5813</v>
      </c>
      <c r="C2047" s="53" t="n">
        <v>833456</v>
      </c>
      <c r="D2047" s="52" t="s">
        <v>4392</v>
      </c>
      <c r="E2047" s="52" t="s">
        <v>4393</v>
      </c>
      <c r="F2047" s="54" t="n">
        <v>1</v>
      </c>
      <c r="G2047" s="55" t="n">
        <v>128</v>
      </c>
      <c r="H2047" s="55" t="n">
        <v>128</v>
      </c>
      <c r="I2047" s="55" t="n">
        <v>128</v>
      </c>
      <c r="J2047" s="52" t="s">
        <v>5816</v>
      </c>
      <c r="K2047" s="56" t="n">
        <v>1</v>
      </c>
      <c r="L2047" s="52" t="s">
        <v>5816</v>
      </c>
      <c r="M2047" s="52" t="s">
        <v>38</v>
      </c>
    </row>
    <row r="2048" customFormat="false" ht="17.25" hidden="false" customHeight="true" outlineLevel="0" collapsed="false">
      <c r="A2048" s="52" t="s">
        <v>5777</v>
      </c>
      <c r="B2048" s="52" t="s">
        <v>5813</v>
      </c>
      <c r="C2048" s="53" t="n">
        <v>1330121</v>
      </c>
      <c r="D2048" s="52" t="s">
        <v>4394</v>
      </c>
      <c r="E2048" s="52" t="s">
        <v>4395</v>
      </c>
      <c r="F2048" s="54" t="n">
        <v>1</v>
      </c>
      <c r="G2048" s="55" t="n">
        <v>128</v>
      </c>
      <c r="H2048" s="55" t="n">
        <v>128</v>
      </c>
      <c r="I2048" s="55" t="n">
        <v>128</v>
      </c>
      <c r="J2048" s="52" t="s">
        <v>5816</v>
      </c>
      <c r="K2048" s="56" t="n">
        <v>1</v>
      </c>
      <c r="L2048" s="52" t="s">
        <v>5816</v>
      </c>
      <c r="M2048" s="52" t="s">
        <v>35</v>
      </c>
    </row>
    <row r="2049" customFormat="false" ht="17.25" hidden="false" customHeight="true" outlineLevel="0" collapsed="false">
      <c r="A2049" s="52" t="s">
        <v>5777</v>
      </c>
      <c r="B2049" s="52" t="s">
        <v>5813</v>
      </c>
      <c r="C2049" s="53" t="n">
        <v>17960</v>
      </c>
      <c r="D2049" s="52" t="s">
        <v>4396</v>
      </c>
      <c r="E2049" s="52" t="s">
        <v>4397</v>
      </c>
      <c r="F2049" s="54" t="n">
        <v>5</v>
      </c>
      <c r="G2049" s="55" t="n">
        <v>127.78</v>
      </c>
      <c r="H2049" s="55" t="n">
        <v>25.556</v>
      </c>
      <c r="I2049" s="55" t="n">
        <v>29.92</v>
      </c>
      <c r="J2049" s="52" t="s">
        <v>5816</v>
      </c>
      <c r="K2049" s="56" t="n">
        <v>1</v>
      </c>
      <c r="L2049" s="52" t="s">
        <v>5816</v>
      </c>
      <c r="M2049" s="52" t="s">
        <v>130</v>
      </c>
    </row>
    <row r="2050" customFormat="false" ht="17.25" hidden="false" customHeight="true" outlineLevel="0" collapsed="false">
      <c r="A2050" s="52" t="s">
        <v>5777</v>
      </c>
      <c r="B2050" s="52" t="s">
        <v>5813</v>
      </c>
      <c r="C2050" s="53" t="n">
        <v>1613486</v>
      </c>
      <c r="D2050" s="52" t="s">
        <v>4398</v>
      </c>
      <c r="E2050" s="52" t="s">
        <v>4399</v>
      </c>
      <c r="F2050" s="54" t="n">
        <v>1</v>
      </c>
      <c r="G2050" s="55" t="n">
        <v>125.48</v>
      </c>
      <c r="H2050" s="55" t="n">
        <v>125.48</v>
      </c>
      <c r="I2050" s="55" t="n">
        <v>125.48</v>
      </c>
      <c r="J2050" s="52" t="s">
        <v>5816</v>
      </c>
      <c r="K2050" s="56" t="n">
        <v>1</v>
      </c>
      <c r="L2050" s="52" t="s">
        <v>5816</v>
      </c>
      <c r="M2050" s="52" t="s">
        <v>38</v>
      </c>
    </row>
    <row r="2051" customFormat="false" ht="17.25" hidden="false" customHeight="true" outlineLevel="0" collapsed="false">
      <c r="A2051" s="52" t="s">
        <v>5777</v>
      </c>
      <c r="B2051" s="52" t="s">
        <v>5813</v>
      </c>
      <c r="C2051" s="53" t="n">
        <v>1614921</v>
      </c>
      <c r="D2051" s="52" t="s">
        <v>4400</v>
      </c>
      <c r="E2051" s="52" t="s">
        <v>4401</v>
      </c>
      <c r="F2051" s="54" t="n">
        <v>1</v>
      </c>
      <c r="G2051" s="55" t="n">
        <v>125.48</v>
      </c>
      <c r="H2051" s="55" t="n">
        <v>125.48</v>
      </c>
      <c r="I2051" s="55" t="n">
        <v>125.48</v>
      </c>
      <c r="J2051" s="52" t="s">
        <v>5816</v>
      </c>
      <c r="K2051" s="56" t="n">
        <v>1</v>
      </c>
      <c r="L2051" s="52" t="s">
        <v>5816</v>
      </c>
      <c r="M2051" s="52" t="s">
        <v>38</v>
      </c>
    </row>
    <row r="2052" customFormat="false" ht="17.25" hidden="false" customHeight="true" outlineLevel="0" collapsed="false">
      <c r="A2052" s="52" t="s">
        <v>5777</v>
      </c>
      <c r="B2052" s="52" t="s">
        <v>5813</v>
      </c>
      <c r="C2052" s="53" t="n">
        <v>139797</v>
      </c>
      <c r="D2052" s="52" t="s">
        <v>4402</v>
      </c>
      <c r="E2052" s="52" t="s">
        <v>5960</v>
      </c>
      <c r="F2052" s="54" t="n">
        <v>21</v>
      </c>
      <c r="G2052" s="55" t="n">
        <v>125.18</v>
      </c>
      <c r="H2052" s="55" t="n">
        <v>5.961</v>
      </c>
      <c r="I2052" s="55" t="n">
        <v>19.98</v>
      </c>
      <c r="J2052" s="52" t="s">
        <v>5816</v>
      </c>
      <c r="K2052" s="56" t="n">
        <v>1</v>
      </c>
      <c r="L2052" s="52" t="s">
        <v>5816</v>
      </c>
      <c r="M2052" s="52" t="s">
        <v>38</v>
      </c>
    </row>
    <row r="2053" customFormat="false" ht="17.25" hidden="false" customHeight="true" outlineLevel="0" collapsed="false">
      <c r="A2053" s="52" t="s">
        <v>5777</v>
      </c>
      <c r="B2053" s="52" t="s">
        <v>5813</v>
      </c>
      <c r="C2053" s="53" t="n">
        <v>389935</v>
      </c>
      <c r="D2053" s="52" t="s">
        <v>4404</v>
      </c>
      <c r="E2053" s="52" t="s">
        <v>4405</v>
      </c>
      <c r="F2053" s="54" t="n">
        <v>5</v>
      </c>
      <c r="G2053" s="55" t="n">
        <v>125</v>
      </c>
      <c r="H2053" s="55" t="n">
        <v>25</v>
      </c>
      <c r="I2053" s="55" t="n">
        <v>25</v>
      </c>
      <c r="J2053" s="52" t="s">
        <v>5816</v>
      </c>
      <c r="K2053" s="56" t="n">
        <v>1</v>
      </c>
      <c r="L2053" s="52" t="s">
        <v>5816</v>
      </c>
      <c r="M2053" s="52" t="s">
        <v>2056</v>
      </c>
    </row>
    <row r="2054" customFormat="false" ht="17.25" hidden="false" customHeight="true" outlineLevel="0" collapsed="false">
      <c r="A2054" s="52" t="s">
        <v>5777</v>
      </c>
      <c r="B2054" s="52" t="s">
        <v>5813</v>
      </c>
      <c r="C2054" s="53" t="n">
        <v>1063855</v>
      </c>
      <c r="D2054" s="52" t="s">
        <v>4406</v>
      </c>
      <c r="E2054" s="52" t="s">
        <v>4407</v>
      </c>
      <c r="F2054" s="54" t="n">
        <v>1</v>
      </c>
      <c r="G2054" s="55" t="n">
        <v>125</v>
      </c>
      <c r="H2054" s="55" t="n">
        <v>125</v>
      </c>
      <c r="I2054" s="55" t="n">
        <v>125</v>
      </c>
      <c r="J2054" s="52" t="s">
        <v>5816</v>
      </c>
      <c r="K2054" s="56" t="n">
        <v>1</v>
      </c>
      <c r="L2054" s="52" t="s">
        <v>5816</v>
      </c>
      <c r="M2054" s="52" t="s">
        <v>247</v>
      </c>
    </row>
    <row r="2055" customFormat="false" ht="17.25" hidden="false" customHeight="true" outlineLevel="0" collapsed="false">
      <c r="A2055" s="52" t="s">
        <v>5777</v>
      </c>
      <c r="B2055" s="52" t="s">
        <v>5813</v>
      </c>
      <c r="C2055" s="53" t="n">
        <v>1063863</v>
      </c>
      <c r="D2055" s="52" t="s">
        <v>4408</v>
      </c>
      <c r="E2055" s="52" t="s">
        <v>4409</v>
      </c>
      <c r="F2055" s="54" t="n">
        <v>1</v>
      </c>
      <c r="G2055" s="55" t="n">
        <v>125</v>
      </c>
      <c r="H2055" s="55" t="n">
        <v>125</v>
      </c>
      <c r="I2055" s="55" t="n">
        <v>125</v>
      </c>
      <c r="J2055" s="52" t="s">
        <v>5816</v>
      </c>
      <c r="K2055" s="56" t="n">
        <v>1</v>
      </c>
      <c r="L2055" s="52" t="s">
        <v>5816</v>
      </c>
      <c r="M2055" s="52" t="s">
        <v>247</v>
      </c>
    </row>
    <row r="2056" customFormat="false" ht="17.25" hidden="false" customHeight="true" outlineLevel="0" collapsed="false">
      <c r="A2056" s="52" t="s">
        <v>5777</v>
      </c>
      <c r="B2056" s="52" t="s">
        <v>5813</v>
      </c>
      <c r="C2056" s="53" t="n">
        <v>1388904</v>
      </c>
      <c r="D2056" s="52" t="s">
        <v>4410</v>
      </c>
      <c r="E2056" s="52" t="s">
        <v>4411</v>
      </c>
      <c r="F2056" s="54" t="n">
        <v>40</v>
      </c>
      <c r="G2056" s="55" t="n">
        <v>124</v>
      </c>
      <c r="H2056" s="55" t="n">
        <v>3.1</v>
      </c>
      <c r="I2056" s="55" t="n">
        <v>3.1</v>
      </c>
      <c r="J2056" s="52" t="s">
        <v>5816</v>
      </c>
      <c r="K2056" s="56" t="n">
        <v>1</v>
      </c>
      <c r="L2056" s="52" t="s">
        <v>5816</v>
      </c>
      <c r="M2056" s="52" t="s">
        <v>38</v>
      </c>
    </row>
    <row r="2057" customFormat="false" ht="17.25" hidden="false" customHeight="true" outlineLevel="0" collapsed="false">
      <c r="A2057" s="52" t="s">
        <v>5777</v>
      </c>
      <c r="B2057" s="52" t="s">
        <v>5813</v>
      </c>
      <c r="C2057" s="53" t="n">
        <v>1613485</v>
      </c>
      <c r="D2057" s="52" t="s">
        <v>4412</v>
      </c>
      <c r="E2057" s="52" t="s">
        <v>4413</v>
      </c>
      <c r="F2057" s="54" t="n">
        <v>1</v>
      </c>
      <c r="G2057" s="55" t="n">
        <v>123.48</v>
      </c>
      <c r="H2057" s="55" t="n">
        <v>123.48</v>
      </c>
      <c r="I2057" s="55" t="n">
        <v>123.48</v>
      </c>
      <c r="J2057" s="52" t="s">
        <v>5816</v>
      </c>
      <c r="K2057" s="56" t="n">
        <v>1</v>
      </c>
      <c r="L2057" s="52" t="s">
        <v>5816</v>
      </c>
      <c r="M2057" s="52" t="s">
        <v>38</v>
      </c>
    </row>
    <row r="2058" customFormat="false" ht="17.25" hidden="false" customHeight="true" outlineLevel="0" collapsed="false">
      <c r="A2058" s="52" t="s">
        <v>5777</v>
      </c>
      <c r="B2058" s="52" t="s">
        <v>5813</v>
      </c>
      <c r="C2058" s="53" t="n">
        <v>60288</v>
      </c>
      <c r="D2058" s="52" t="s">
        <v>4414</v>
      </c>
      <c r="E2058" s="52" t="s">
        <v>4415</v>
      </c>
      <c r="F2058" s="54" t="n">
        <v>4</v>
      </c>
      <c r="G2058" s="55" t="n">
        <v>122.84</v>
      </c>
      <c r="H2058" s="55" t="n">
        <v>30.71</v>
      </c>
      <c r="I2058" s="55" t="n">
        <v>30.71</v>
      </c>
      <c r="J2058" s="52" t="s">
        <v>5816</v>
      </c>
      <c r="K2058" s="56" t="n">
        <v>1</v>
      </c>
      <c r="L2058" s="52" t="s">
        <v>5816</v>
      </c>
      <c r="M2058" s="52" t="s">
        <v>38</v>
      </c>
    </row>
    <row r="2059" customFormat="false" ht="17.25" hidden="false" customHeight="true" outlineLevel="0" collapsed="false">
      <c r="A2059" s="52" t="s">
        <v>5777</v>
      </c>
      <c r="B2059" s="52" t="s">
        <v>5813</v>
      </c>
      <c r="C2059" s="53" t="n">
        <v>1257680</v>
      </c>
      <c r="D2059" s="52" t="s">
        <v>4416</v>
      </c>
      <c r="E2059" s="52" t="s">
        <v>4417</v>
      </c>
      <c r="F2059" s="54" t="n">
        <v>8</v>
      </c>
      <c r="G2059" s="55" t="n">
        <v>122.7</v>
      </c>
      <c r="H2059" s="55" t="n">
        <v>15.3375</v>
      </c>
      <c r="I2059" s="55" t="n">
        <v>15.3375</v>
      </c>
      <c r="J2059" s="52" t="s">
        <v>5816</v>
      </c>
      <c r="K2059" s="56" t="n">
        <v>1</v>
      </c>
      <c r="L2059" s="52" t="s">
        <v>5816</v>
      </c>
      <c r="M2059" s="52" t="s">
        <v>133</v>
      </c>
    </row>
    <row r="2060" customFormat="false" ht="17.25" hidden="false" customHeight="true" outlineLevel="0" collapsed="false">
      <c r="A2060" s="52" t="s">
        <v>5777</v>
      </c>
      <c r="B2060" s="52" t="s">
        <v>5813</v>
      </c>
      <c r="C2060" s="53" t="n">
        <v>1330355</v>
      </c>
      <c r="D2060" s="52" t="s">
        <v>4418</v>
      </c>
      <c r="E2060" s="52" t="s">
        <v>5961</v>
      </c>
      <c r="F2060" s="54" t="n">
        <v>16</v>
      </c>
      <c r="G2060" s="55" t="n">
        <v>120.64</v>
      </c>
      <c r="H2060" s="55" t="n">
        <v>7.54</v>
      </c>
      <c r="I2060" s="55" t="n">
        <v>7.54</v>
      </c>
      <c r="J2060" s="52" t="s">
        <v>5816</v>
      </c>
      <c r="K2060" s="56" t="n">
        <v>1</v>
      </c>
      <c r="L2060" s="52" t="s">
        <v>5816</v>
      </c>
      <c r="M2060" s="52" t="s">
        <v>54</v>
      </c>
    </row>
    <row r="2061" customFormat="false" ht="17.25" hidden="false" customHeight="true" outlineLevel="0" collapsed="false">
      <c r="A2061" s="52" t="s">
        <v>5777</v>
      </c>
      <c r="B2061" s="52" t="s">
        <v>5813</v>
      </c>
      <c r="C2061" s="53" t="n">
        <v>31919</v>
      </c>
      <c r="D2061" s="52" t="s">
        <v>4420</v>
      </c>
      <c r="E2061" s="52" t="s">
        <v>4421</v>
      </c>
      <c r="F2061" s="54" t="n">
        <v>20</v>
      </c>
      <c r="G2061" s="55" t="n">
        <v>120</v>
      </c>
      <c r="H2061" s="55" t="n">
        <v>6</v>
      </c>
      <c r="I2061" s="55" t="n">
        <v>6</v>
      </c>
      <c r="J2061" s="52" t="s">
        <v>5816</v>
      </c>
      <c r="K2061" s="56" t="n">
        <v>1</v>
      </c>
      <c r="L2061" s="52" t="s">
        <v>5816</v>
      </c>
      <c r="M2061" s="52" t="s">
        <v>189</v>
      </c>
    </row>
    <row r="2062" customFormat="false" ht="17.25" hidden="false" customHeight="true" outlineLevel="0" collapsed="false">
      <c r="A2062" s="52" t="s">
        <v>5777</v>
      </c>
      <c r="B2062" s="52" t="s">
        <v>5813</v>
      </c>
      <c r="C2062" s="53" t="n">
        <v>550762</v>
      </c>
      <c r="D2062" s="52" t="s">
        <v>4422</v>
      </c>
      <c r="E2062" s="52" t="s">
        <v>4423</v>
      </c>
      <c r="F2062" s="54" t="n">
        <v>240</v>
      </c>
      <c r="G2062" s="55" t="n">
        <v>120</v>
      </c>
      <c r="H2062" s="55" t="n">
        <v>0.5</v>
      </c>
      <c r="I2062" s="55" t="n">
        <v>0.5</v>
      </c>
      <c r="J2062" s="52" t="s">
        <v>5816</v>
      </c>
      <c r="K2062" s="56" t="n">
        <v>1</v>
      </c>
      <c r="L2062" s="52" t="s">
        <v>5816</v>
      </c>
      <c r="M2062" s="52" t="s">
        <v>100</v>
      </c>
    </row>
    <row r="2063" customFormat="false" ht="17.25" hidden="false" customHeight="true" outlineLevel="0" collapsed="false">
      <c r="A2063" s="52" t="s">
        <v>5777</v>
      </c>
      <c r="B2063" s="52" t="s">
        <v>5813</v>
      </c>
      <c r="C2063" s="53" t="n">
        <v>1607236</v>
      </c>
      <c r="D2063" s="52" t="s">
        <v>4424</v>
      </c>
      <c r="E2063" s="52" t="s">
        <v>4425</v>
      </c>
      <c r="F2063" s="54" t="n">
        <v>10</v>
      </c>
      <c r="G2063" s="55" t="n">
        <v>120</v>
      </c>
      <c r="H2063" s="55" t="n">
        <v>12</v>
      </c>
      <c r="I2063" s="55" t="n">
        <v>12</v>
      </c>
      <c r="J2063" s="52" t="s">
        <v>5816</v>
      </c>
      <c r="K2063" s="56" t="n">
        <v>1</v>
      </c>
      <c r="L2063" s="52" t="s">
        <v>5816</v>
      </c>
      <c r="M2063" s="52" t="s">
        <v>189</v>
      </c>
    </row>
    <row r="2064" customFormat="false" ht="17.25" hidden="false" customHeight="true" outlineLevel="0" collapsed="false">
      <c r="A2064" s="52" t="s">
        <v>5777</v>
      </c>
      <c r="B2064" s="52" t="s">
        <v>5813</v>
      </c>
      <c r="C2064" s="53" t="n">
        <v>1073873</v>
      </c>
      <c r="D2064" s="52" t="s">
        <v>4426</v>
      </c>
      <c r="E2064" s="52" t="s">
        <v>4427</v>
      </c>
      <c r="F2064" s="54" t="n">
        <v>4</v>
      </c>
      <c r="G2064" s="55" t="n">
        <v>119.92</v>
      </c>
      <c r="H2064" s="55" t="n">
        <v>29.98</v>
      </c>
      <c r="I2064" s="55" t="n">
        <v>19.98</v>
      </c>
      <c r="J2064" s="52" t="s">
        <v>5818</v>
      </c>
      <c r="K2064" s="56" t="n">
        <v>1</v>
      </c>
      <c r="L2064" s="52" t="s">
        <v>5816</v>
      </c>
      <c r="M2064" s="52" t="s">
        <v>54</v>
      </c>
    </row>
    <row r="2065" customFormat="false" ht="17.25" hidden="false" customHeight="true" outlineLevel="0" collapsed="false">
      <c r="A2065" s="52" t="s">
        <v>5777</v>
      </c>
      <c r="B2065" s="52" t="s">
        <v>5813</v>
      </c>
      <c r="C2065" s="53" t="n">
        <v>1599737</v>
      </c>
      <c r="D2065" s="52" t="s">
        <v>4428</v>
      </c>
      <c r="E2065" s="52" t="s">
        <v>4429</v>
      </c>
      <c r="F2065" s="54" t="n">
        <v>4</v>
      </c>
      <c r="G2065" s="55" t="n">
        <v>119.92</v>
      </c>
      <c r="H2065" s="55" t="n">
        <v>29.98</v>
      </c>
      <c r="I2065" s="55" t="n">
        <v>29.98</v>
      </c>
      <c r="J2065" s="52" t="s">
        <v>5816</v>
      </c>
      <c r="K2065" s="56" t="n">
        <v>1</v>
      </c>
      <c r="L2065" s="52" t="s">
        <v>5816</v>
      </c>
      <c r="M2065" s="52" t="s">
        <v>54</v>
      </c>
    </row>
    <row r="2066" customFormat="false" ht="17.25" hidden="false" customHeight="true" outlineLevel="0" collapsed="false">
      <c r="A2066" s="52" t="s">
        <v>5777</v>
      </c>
      <c r="B2066" s="52" t="s">
        <v>5813</v>
      </c>
      <c r="C2066" s="53" t="n">
        <v>138299</v>
      </c>
      <c r="D2066" s="52" t="s">
        <v>4430</v>
      </c>
      <c r="E2066" s="52" t="s">
        <v>4431</v>
      </c>
      <c r="F2066" s="54" t="n">
        <v>6</v>
      </c>
      <c r="G2066" s="55" t="n">
        <v>119.88</v>
      </c>
      <c r="H2066" s="55" t="n">
        <v>19.98</v>
      </c>
      <c r="I2066" s="55" t="n">
        <v>19.98</v>
      </c>
      <c r="J2066" s="52" t="s">
        <v>5816</v>
      </c>
      <c r="K2066" s="56" t="n">
        <v>1</v>
      </c>
      <c r="L2066" s="52" t="s">
        <v>5816</v>
      </c>
      <c r="M2066" s="52" t="s">
        <v>189</v>
      </c>
    </row>
    <row r="2067" customFormat="false" ht="17.25" hidden="false" customHeight="true" outlineLevel="0" collapsed="false">
      <c r="A2067" s="52" t="s">
        <v>5777</v>
      </c>
      <c r="B2067" s="52" t="s">
        <v>5813</v>
      </c>
      <c r="C2067" s="53" t="n">
        <v>1101156</v>
      </c>
      <c r="D2067" s="52" t="s">
        <v>4432</v>
      </c>
      <c r="E2067" s="52" t="s">
        <v>4433</v>
      </c>
      <c r="F2067" s="54" t="n">
        <v>15</v>
      </c>
      <c r="G2067" s="55" t="n">
        <v>119.7</v>
      </c>
      <c r="H2067" s="55" t="n">
        <v>7.98</v>
      </c>
      <c r="I2067" s="55" t="n">
        <v>7.98</v>
      </c>
      <c r="J2067" s="52" t="s">
        <v>5816</v>
      </c>
      <c r="K2067" s="56" t="n">
        <v>1</v>
      </c>
      <c r="L2067" s="52" t="s">
        <v>5816</v>
      </c>
      <c r="M2067" s="52" t="s">
        <v>54</v>
      </c>
    </row>
    <row r="2068" customFormat="false" ht="17.25" hidden="false" customHeight="true" outlineLevel="0" collapsed="false">
      <c r="A2068" s="52" t="s">
        <v>5777</v>
      </c>
      <c r="B2068" s="52" t="s">
        <v>5813</v>
      </c>
      <c r="C2068" s="53" t="n">
        <v>1605945</v>
      </c>
      <c r="D2068" s="52" t="s">
        <v>4434</v>
      </c>
      <c r="E2068" s="52" t="s">
        <v>4435</v>
      </c>
      <c r="F2068" s="54" t="n">
        <v>1</v>
      </c>
      <c r="G2068" s="55" t="n">
        <v>119.51</v>
      </c>
      <c r="H2068" s="55" t="n">
        <v>119.51</v>
      </c>
      <c r="I2068" s="55" t="n">
        <v>119.51</v>
      </c>
      <c r="J2068" s="52" t="s">
        <v>5816</v>
      </c>
      <c r="K2068" s="56" t="n">
        <v>1</v>
      </c>
      <c r="L2068" s="52" t="s">
        <v>5816</v>
      </c>
      <c r="M2068" s="52" t="s">
        <v>38</v>
      </c>
    </row>
    <row r="2069" customFormat="false" ht="17.25" hidden="false" customHeight="true" outlineLevel="0" collapsed="false">
      <c r="A2069" s="52" t="s">
        <v>5777</v>
      </c>
      <c r="B2069" s="52" t="s">
        <v>5813</v>
      </c>
      <c r="C2069" s="53" t="n">
        <v>54081</v>
      </c>
      <c r="D2069" s="52" t="s">
        <v>4436</v>
      </c>
      <c r="E2069" s="52" t="s">
        <v>4437</v>
      </c>
      <c r="F2069" s="54" t="n">
        <v>1</v>
      </c>
      <c r="G2069" s="55" t="n">
        <v>119.5</v>
      </c>
      <c r="H2069" s="55" t="n">
        <v>119.5</v>
      </c>
      <c r="I2069" s="55" t="n">
        <v>119.5</v>
      </c>
      <c r="J2069" s="52" t="s">
        <v>5831</v>
      </c>
      <c r="K2069" s="56" t="n">
        <v>1</v>
      </c>
      <c r="L2069" s="52" t="s">
        <v>5831</v>
      </c>
      <c r="M2069" s="52" t="s">
        <v>247</v>
      </c>
    </row>
    <row r="2070" customFormat="false" ht="17.25" hidden="false" customHeight="true" outlineLevel="0" collapsed="false">
      <c r="A2070" s="52" t="s">
        <v>5777</v>
      </c>
      <c r="B2070" s="52" t="s">
        <v>5813</v>
      </c>
      <c r="C2070" s="53" t="n">
        <v>55559</v>
      </c>
      <c r="D2070" s="52" t="s">
        <v>4438</v>
      </c>
      <c r="E2070" s="52" t="s">
        <v>4439</v>
      </c>
      <c r="F2070" s="54" t="n">
        <v>1</v>
      </c>
      <c r="G2070" s="55" t="n">
        <v>119.5</v>
      </c>
      <c r="H2070" s="55" t="n">
        <v>119.5</v>
      </c>
      <c r="I2070" s="55" t="n">
        <v>119.5</v>
      </c>
      <c r="J2070" s="52" t="s">
        <v>5831</v>
      </c>
      <c r="K2070" s="56" t="n">
        <v>1</v>
      </c>
      <c r="L2070" s="52" t="s">
        <v>5831</v>
      </c>
      <c r="M2070" s="52" t="s">
        <v>247</v>
      </c>
    </row>
    <row r="2071" customFormat="false" ht="17.25" hidden="false" customHeight="true" outlineLevel="0" collapsed="false">
      <c r="A2071" s="52" t="s">
        <v>5777</v>
      </c>
      <c r="B2071" s="52" t="s">
        <v>5813</v>
      </c>
      <c r="C2071" s="53" t="n">
        <v>1657130</v>
      </c>
      <c r="D2071" s="52" t="s">
        <v>4440</v>
      </c>
      <c r="E2071" s="52" t="s">
        <v>4441</v>
      </c>
      <c r="F2071" s="54" t="n">
        <v>108</v>
      </c>
      <c r="G2071" s="55" t="n">
        <v>118.8</v>
      </c>
      <c r="H2071" s="55" t="n">
        <v>1.1</v>
      </c>
      <c r="I2071" s="55" t="n">
        <v>1.1</v>
      </c>
      <c r="J2071" s="52" t="s">
        <v>5816</v>
      </c>
      <c r="K2071" s="56" t="n">
        <v>1</v>
      </c>
      <c r="L2071" s="52" t="s">
        <v>5816</v>
      </c>
      <c r="M2071" s="52" t="s">
        <v>100</v>
      </c>
    </row>
    <row r="2072" customFormat="false" ht="17.25" hidden="false" customHeight="true" outlineLevel="0" collapsed="false">
      <c r="A2072" s="52" t="s">
        <v>5777</v>
      </c>
      <c r="B2072" s="52" t="s">
        <v>5813</v>
      </c>
      <c r="C2072" s="53" t="n">
        <v>145568</v>
      </c>
      <c r="D2072" s="52" t="s">
        <v>4442</v>
      </c>
      <c r="E2072" s="52" t="s">
        <v>4443</v>
      </c>
      <c r="F2072" s="54" t="n">
        <v>4</v>
      </c>
      <c r="G2072" s="55" t="n">
        <v>118.4</v>
      </c>
      <c r="H2072" s="55" t="n">
        <v>29.6</v>
      </c>
      <c r="I2072" s="55" t="n">
        <v>29.6</v>
      </c>
      <c r="J2072" s="52" t="s">
        <v>5816</v>
      </c>
      <c r="K2072" s="56" t="n">
        <v>1</v>
      </c>
      <c r="L2072" s="52" t="s">
        <v>5816</v>
      </c>
      <c r="M2072" s="52" t="s">
        <v>1618</v>
      </c>
    </row>
    <row r="2073" customFormat="false" ht="17.25" hidden="false" customHeight="true" outlineLevel="0" collapsed="false">
      <c r="A2073" s="52" t="s">
        <v>5777</v>
      </c>
      <c r="B2073" s="52" t="s">
        <v>5813</v>
      </c>
      <c r="C2073" s="53" t="n">
        <v>1670498</v>
      </c>
      <c r="D2073" s="52" t="s">
        <v>4444</v>
      </c>
      <c r="E2073" s="52" t="s">
        <v>4445</v>
      </c>
      <c r="F2073" s="54" t="n">
        <v>11</v>
      </c>
      <c r="G2073" s="55" t="n">
        <v>118.14</v>
      </c>
      <c r="H2073" s="55" t="n">
        <v>10.74</v>
      </c>
      <c r="I2073" s="55" t="n">
        <v>10.74</v>
      </c>
      <c r="J2073" s="52" t="s">
        <v>5816</v>
      </c>
      <c r="K2073" s="56" t="n">
        <v>1</v>
      </c>
      <c r="L2073" s="52" t="s">
        <v>5816</v>
      </c>
      <c r="M2073" s="52" t="s">
        <v>54</v>
      </c>
    </row>
    <row r="2074" customFormat="false" ht="17.25" hidden="false" customHeight="true" outlineLevel="0" collapsed="false">
      <c r="A2074" s="52" t="s">
        <v>5777</v>
      </c>
      <c r="B2074" s="52" t="s">
        <v>5813</v>
      </c>
      <c r="C2074" s="53" t="n">
        <v>19952</v>
      </c>
      <c r="D2074" s="52" t="s">
        <v>4446</v>
      </c>
      <c r="E2074" s="52" t="s">
        <v>4447</v>
      </c>
      <c r="F2074" s="54" t="n">
        <v>1</v>
      </c>
      <c r="G2074" s="55" t="n">
        <v>118</v>
      </c>
      <c r="H2074" s="55" t="n">
        <v>118</v>
      </c>
      <c r="I2074" s="55" t="n">
        <v>118</v>
      </c>
      <c r="J2074" s="52" t="s">
        <v>5816</v>
      </c>
      <c r="K2074" s="56" t="n">
        <v>1</v>
      </c>
      <c r="L2074" s="52" t="s">
        <v>5816</v>
      </c>
      <c r="M2074" s="52" t="s">
        <v>35</v>
      </c>
    </row>
    <row r="2075" customFormat="false" ht="17.25" hidden="false" customHeight="true" outlineLevel="0" collapsed="false">
      <c r="A2075" s="52" t="s">
        <v>5777</v>
      </c>
      <c r="B2075" s="52" t="s">
        <v>5813</v>
      </c>
      <c r="C2075" s="53" t="n">
        <v>55070</v>
      </c>
      <c r="D2075" s="52" t="s">
        <v>4448</v>
      </c>
      <c r="E2075" s="52" t="s">
        <v>4449</v>
      </c>
      <c r="F2075" s="54" t="n">
        <v>1</v>
      </c>
      <c r="G2075" s="55" t="n">
        <v>118</v>
      </c>
      <c r="H2075" s="55" t="n">
        <v>118</v>
      </c>
      <c r="I2075" s="55" t="n">
        <v>118</v>
      </c>
      <c r="J2075" s="52" t="s">
        <v>5816</v>
      </c>
      <c r="K2075" s="56" t="n">
        <v>1</v>
      </c>
      <c r="L2075" s="52" t="s">
        <v>5816</v>
      </c>
      <c r="M2075" s="52" t="s">
        <v>38</v>
      </c>
    </row>
    <row r="2076" customFormat="false" ht="17.25" hidden="false" customHeight="true" outlineLevel="0" collapsed="false">
      <c r="A2076" s="52" t="s">
        <v>5777</v>
      </c>
      <c r="B2076" s="52" t="s">
        <v>5813</v>
      </c>
      <c r="C2076" s="53" t="n">
        <v>56667</v>
      </c>
      <c r="D2076" s="52" t="s">
        <v>4450</v>
      </c>
      <c r="E2076" s="52" t="s">
        <v>4451</v>
      </c>
      <c r="F2076" s="54" t="n">
        <v>1</v>
      </c>
      <c r="G2076" s="55" t="n">
        <v>118</v>
      </c>
      <c r="H2076" s="55" t="n">
        <v>118</v>
      </c>
      <c r="I2076" s="55" t="n">
        <v>118</v>
      </c>
      <c r="J2076" s="52" t="s">
        <v>5816</v>
      </c>
      <c r="K2076" s="56" t="n">
        <v>1</v>
      </c>
      <c r="L2076" s="52" t="s">
        <v>5816</v>
      </c>
      <c r="M2076" s="52" t="s">
        <v>54</v>
      </c>
    </row>
    <row r="2077" customFormat="false" ht="17.25" hidden="false" customHeight="true" outlineLevel="0" collapsed="false">
      <c r="A2077" s="52" t="s">
        <v>5777</v>
      </c>
      <c r="B2077" s="52" t="s">
        <v>5813</v>
      </c>
      <c r="C2077" s="53" t="n">
        <v>278771</v>
      </c>
      <c r="D2077" s="52" t="s">
        <v>4452</v>
      </c>
      <c r="E2077" s="52" t="s">
        <v>5962</v>
      </c>
      <c r="F2077" s="54" t="n">
        <v>1</v>
      </c>
      <c r="G2077" s="55" t="n">
        <v>118</v>
      </c>
      <c r="H2077" s="55" t="n">
        <v>118</v>
      </c>
      <c r="I2077" s="55" t="n">
        <v>118</v>
      </c>
      <c r="J2077" s="52" t="s">
        <v>5963</v>
      </c>
      <c r="K2077" s="56" t="n">
        <v>5</v>
      </c>
      <c r="L2077" s="52" t="s">
        <v>5822</v>
      </c>
      <c r="M2077" s="52" t="s">
        <v>705</v>
      </c>
    </row>
    <row r="2078" customFormat="false" ht="17.25" hidden="false" customHeight="true" outlineLevel="0" collapsed="false">
      <c r="A2078" s="52" t="s">
        <v>5777</v>
      </c>
      <c r="B2078" s="52" t="s">
        <v>5813</v>
      </c>
      <c r="C2078" s="53" t="n">
        <v>294880</v>
      </c>
      <c r="D2078" s="52" t="s">
        <v>4454</v>
      </c>
      <c r="E2078" s="52" t="s">
        <v>4455</v>
      </c>
      <c r="F2078" s="54" t="n">
        <v>1</v>
      </c>
      <c r="G2078" s="55" t="n">
        <v>118</v>
      </c>
      <c r="H2078" s="55" t="n">
        <v>118</v>
      </c>
      <c r="I2078" s="55" t="n">
        <v>118</v>
      </c>
      <c r="J2078" s="52" t="s">
        <v>5816</v>
      </c>
      <c r="K2078" s="56" t="n">
        <v>1</v>
      </c>
      <c r="L2078" s="52" t="s">
        <v>5816</v>
      </c>
      <c r="M2078" s="52" t="s">
        <v>247</v>
      </c>
    </row>
    <row r="2079" customFormat="false" ht="17.25" hidden="false" customHeight="true" outlineLevel="0" collapsed="false">
      <c r="A2079" s="52" t="s">
        <v>5777</v>
      </c>
      <c r="B2079" s="52" t="s">
        <v>5813</v>
      </c>
      <c r="C2079" s="53" t="n">
        <v>23269</v>
      </c>
      <c r="D2079" s="52" t="s">
        <v>4201</v>
      </c>
      <c r="E2079" s="52" t="s">
        <v>4202</v>
      </c>
      <c r="F2079" s="54" t="n">
        <v>31</v>
      </c>
      <c r="G2079" s="55" t="n">
        <v>117.18</v>
      </c>
      <c r="H2079" s="55" t="n">
        <v>3.78</v>
      </c>
      <c r="I2079" s="55" t="n">
        <v>3.5</v>
      </c>
      <c r="J2079" s="52" t="s">
        <v>5816</v>
      </c>
      <c r="K2079" s="56" t="n">
        <v>1</v>
      </c>
      <c r="L2079" s="52" t="s">
        <v>5816</v>
      </c>
      <c r="M2079" s="52" t="s">
        <v>705</v>
      </c>
    </row>
    <row r="2080" customFormat="false" ht="17.25" hidden="false" customHeight="true" outlineLevel="0" collapsed="false">
      <c r="A2080" s="52" t="s">
        <v>5777</v>
      </c>
      <c r="B2080" s="52" t="s">
        <v>5813</v>
      </c>
      <c r="C2080" s="53" t="n">
        <v>17954</v>
      </c>
      <c r="D2080" s="52" t="s">
        <v>4456</v>
      </c>
      <c r="E2080" s="52" t="s">
        <v>4457</v>
      </c>
      <c r="F2080" s="54" t="n">
        <v>1</v>
      </c>
      <c r="G2080" s="55" t="n">
        <v>117</v>
      </c>
      <c r="H2080" s="55" t="n">
        <v>117</v>
      </c>
      <c r="I2080" s="55" t="n">
        <v>117</v>
      </c>
      <c r="J2080" s="52" t="s">
        <v>5816</v>
      </c>
      <c r="K2080" s="56" t="n">
        <v>1</v>
      </c>
      <c r="L2080" s="52" t="s">
        <v>5816</v>
      </c>
      <c r="M2080" s="52" t="s">
        <v>130</v>
      </c>
    </row>
    <row r="2081" customFormat="false" ht="17.25" hidden="false" customHeight="true" outlineLevel="0" collapsed="false">
      <c r="A2081" s="52" t="s">
        <v>5777</v>
      </c>
      <c r="B2081" s="52" t="s">
        <v>5813</v>
      </c>
      <c r="C2081" s="53" t="n">
        <v>556794</v>
      </c>
      <c r="D2081" s="52" t="s">
        <v>4458</v>
      </c>
      <c r="E2081" s="52" t="s">
        <v>4459</v>
      </c>
      <c r="F2081" s="54" t="n">
        <v>6</v>
      </c>
      <c r="G2081" s="55" t="n">
        <v>116.76</v>
      </c>
      <c r="H2081" s="55" t="n">
        <v>19.46</v>
      </c>
      <c r="I2081" s="55" t="n">
        <v>39.98</v>
      </c>
      <c r="J2081" s="52" t="s">
        <v>5816</v>
      </c>
      <c r="K2081" s="56" t="n">
        <v>1</v>
      </c>
      <c r="L2081" s="52" t="s">
        <v>5816</v>
      </c>
      <c r="M2081" s="52" t="s">
        <v>130</v>
      </c>
    </row>
    <row r="2082" customFormat="false" ht="17.25" hidden="false" customHeight="true" outlineLevel="0" collapsed="false">
      <c r="A2082" s="52" t="s">
        <v>5777</v>
      </c>
      <c r="B2082" s="52" t="s">
        <v>5813</v>
      </c>
      <c r="C2082" s="53" t="n">
        <v>348078</v>
      </c>
      <c r="D2082" s="52" t="s">
        <v>4460</v>
      </c>
      <c r="E2082" s="52" t="s">
        <v>4461</v>
      </c>
      <c r="F2082" s="54" t="n">
        <v>22</v>
      </c>
      <c r="G2082" s="55" t="n">
        <v>116.4</v>
      </c>
      <c r="H2082" s="55" t="n">
        <v>5.2909</v>
      </c>
      <c r="I2082" s="55" t="n">
        <v>18</v>
      </c>
      <c r="J2082" s="52" t="s">
        <v>5816</v>
      </c>
      <c r="K2082" s="56" t="n">
        <v>1</v>
      </c>
      <c r="L2082" s="52" t="s">
        <v>5816</v>
      </c>
      <c r="M2082" s="52" t="s">
        <v>38</v>
      </c>
    </row>
    <row r="2083" customFormat="false" ht="17.25" hidden="false" customHeight="true" outlineLevel="0" collapsed="false">
      <c r="A2083" s="52" t="s">
        <v>5777</v>
      </c>
      <c r="B2083" s="52" t="s">
        <v>5813</v>
      </c>
      <c r="C2083" s="53" t="n">
        <v>18737</v>
      </c>
      <c r="D2083" s="52" t="s">
        <v>4462</v>
      </c>
      <c r="E2083" s="52" t="s">
        <v>4463</v>
      </c>
      <c r="F2083" s="54" t="n">
        <v>2</v>
      </c>
      <c r="G2083" s="55" t="n">
        <v>116</v>
      </c>
      <c r="H2083" s="55" t="n">
        <v>58</v>
      </c>
      <c r="I2083" s="55" t="n">
        <v>58</v>
      </c>
      <c r="J2083" s="52" t="s">
        <v>5816</v>
      </c>
      <c r="K2083" s="56" t="n">
        <v>1</v>
      </c>
      <c r="L2083" s="52" t="s">
        <v>5816</v>
      </c>
      <c r="M2083" s="52" t="s">
        <v>262</v>
      </c>
    </row>
    <row r="2084" customFormat="false" ht="17.25" hidden="false" customHeight="true" outlineLevel="0" collapsed="false">
      <c r="A2084" s="52" t="s">
        <v>5777</v>
      </c>
      <c r="B2084" s="52" t="s">
        <v>5813</v>
      </c>
      <c r="C2084" s="53" t="n">
        <v>19567</v>
      </c>
      <c r="D2084" s="52" t="s">
        <v>4464</v>
      </c>
      <c r="E2084" s="52" t="s">
        <v>4465</v>
      </c>
      <c r="F2084" s="54" t="n">
        <v>40</v>
      </c>
      <c r="G2084" s="55" t="n">
        <v>116</v>
      </c>
      <c r="H2084" s="55" t="n">
        <v>2.9</v>
      </c>
      <c r="I2084" s="55" t="n">
        <v>2.9</v>
      </c>
      <c r="J2084" s="52" t="s">
        <v>5816</v>
      </c>
      <c r="K2084" s="56" t="n">
        <v>1</v>
      </c>
      <c r="L2084" s="52" t="s">
        <v>5816</v>
      </c>
      <c r="M2084" s="52" t="s">
        <v>1095</v>
      </c>
    </row>
    <row r="2085" customFormat="false" ht="17.25" hidden="false" customHeight="true" outlineLevel="0" collapsed="false">
      <c r="A2085" s="52" t="s">
        <v>5777</v>
      </c>
      <c r="B2085" s="52" t="s">
        <v>5813</v>
      </c>
      <c r="C2085" s="53" t="n">
        <v>1012422</v>
      </c>
      <c r="D2085" s="52" t="s">
        <v>4466</v>
      </c>
      <c r="E2085" s="52" t="s">
        <v>4467</v>
      </c>
      <c r="F2085" s="54" t="n">
        <v>2</v>
      </c>
      <c r="G2085" s="55" t="n">
        <v>116</v>
      </c>
      <c r="H2085" s="55" t="n">
        <v>58</v>
      </c>
      <c r="I2085" s="55" t="n">
        <v>58</v>
      </c>
      <c r="J2085" s="52" t="s">
        <v>5816</v>
      </c>
      <c r="K2085" s="56" t="n">
        <v>1</v>
      </c>
      <c r="L2085" s="52" t="s">
        <v>5816</v>
      </c>
      <c r="M2085" s="52" t="s">
        <v>480</v>
      </c>
    </row>
    <row r="2086" customFormat="false" ht="17.25" hidden="false" customHeight="true" outlineLevel="0" collapsed="false">
      <c r="A2086" s="52" t="s">
        <v>5777</v>
      </c>
      <c r="B2086" s="52" t="s">
        <v>5813</v>
      </c>
      <c r="C2086" s="53" t="n">
        <v>1605944</v>
      </c>
      <c r="D2086" s="52" t="s">
        <v>4468</v>
      </c>
      <c r="E2086" s="52" t="s">
        <v>4469</v>
      </c>
      <c r="F2086" s="54" t="n">
        <v>1</v>
      </c>
      <c r="G2086" s="55" t="n">
        <v>115.64</v>
      </c>
      <c r="H2086" s="55" t="n">
        <v>115.64</v>
      </c>
      <c r="I2086" s="55" t="n">
        <v>115.64</v>
      </c>
      <c r="J2086" s="52" t="s">
        <v>5816</v>
      </c>
      <c r="K2086" s="56" t="n">
        <v>1</v>
      </c>
      <c r="L2086" s="52" t="s">
        <v>5816</v>
      </c>
      <c r="M2086" s="52" t="s">
        <v>38</v>
      </c>
    </row>
    <row r="2087" customFormat="false" ht="17.25" hidden="false" customHeight="true" outlineLevel="0" collapsed="false">
      <c r="A2087" s="52" t="s">
        <v>5777</v>
      </c>
      <c r="B2087" s="52" t="s">
        <v>5813</v>
      </c>
      <c r="C2087" s="53" t="n">
        <v>1110727</v>
      </c>
      <c r="D2087" s="52" t="s">
        <v>4470</v>
      </c>
      <c r="E2087" s="52" t="s">
        <v>4471</v>
      </c>
      <c r="F2087" s="54" t="n">
        <v>40</v>
      </c>
      <c r="G2087" s="55" t="n">
        <v>115.6</v>
      </c>
      <c r="H2087" s="55" t="n">
        <v>2.89</v>
      </c>
      <c r="I2087" s="55" t="n">
        <v>3.16</v>
      </c>
      <c r="J2087" s="52" t="s">
        <v>5816</v>
      </c>
      <c r="K2087" s="56" t="n">
        <v>1</v>
      </c>
      <c r="L2087" s="52" t="s">
        <v>5816</v>
      </c>
      <c r="M2087" s="52" t="s">
        <v>38</v>
      </c>
    </row>
    <row r="2088" customFormat="false" ht="17.25" hidden="false" customHeight="true" outlineLevel="0" collapsed="false">
      <c r="A2088" s="52" t="s">
        <v>5777</v>
      </c>
      <c r="B2088" s="52" t="s">
        <v>5813</v>
      </c>
      <c r="C2088" s="53" t="n">
        <v>1312591</v>
      </c>
      <c r="D2088" s="52" t="s">
        <v>4472</v>
      </c>
      <c r="E2088" s="52" t="s">
        <v>4473</v>
      </c>
      <c r="F2088" s="54" t="n">
        <v>6</v>
      </c>
      <c r="G2088" s="55" t="n">
        <v>115.54</v>
      </c>
      <c r="H2088" s="55" t="n">
        <v>19.2567</v>
      </c>
      <c r="I2088" s="55" t="n">
        <v>19.24</v>
      </c>
      <c r="J2088" s="52" t="s">
        <v>5816</v>
      </c>
      <c r="K2088" s="56" t="n">
        <v>1</v>
      </c>
      <c r="L2088" s="52" t="s">
        <v>5816</v>
      </c>
      <c r="M2088" s="52" t="s">
        <v>189</v>
      </c>
    </row>
    <row r="2089" customFormat="false" ht="17.25" hidden="false" customHeight="true" outlineLevel="0" collapsed="false">
      <c r="A2089" s="52" t="s">
        <v>5777</v>
      </c>
      <c r="B2089" s="52" t="s">
        <v>5813</v>
      </c>
      <c r="C2089" s="53" t="n">
        <v>1386216</v>
      </c>
      <c r="D2089" s="52" t="s">
        <v>4474</v>
      </c>
      <c r="E2089" s="52" t="s">
        <v>4475</v>
      </c>
      <c r="F2089" s="54" t="n">
        <v>1</v>
      </c>
      <c r="G2089" s="55" t="n">
        <v>115</v>
      </c>
      <c r="H2089" s="55" t="n">
        <v>115</v>
      </c>
      <c r="I2089" s="55" t="n">
        <v>115</v>
      </c>
      <c r="J2089" s="52" t="s">
        <v>5816</v>
      </c>
      <c r="K2089" s="56" t="n">
        <v>1</v>
      </c>
      <c r="L2089" s="52" t="s">
        <v>5816</v>
      </c>
      <c r="M2089" s="52" t="s">
        <v>130</v>
      </c>
    </row>
    <row r="2090" customFormat="false" ht="17.25" hidden="false" customHeight="true" outlineLevel="0" collapsed="false">
      <c r="A2090" s="52" t="s">
        <v>5777</v>
      </c>
      <c r="B2090" s="52" t="s">
        <v>5813</v>
      </c>
      <c r="C2090" s="53" t="n">
        <v>554732</v>
      </c>
      <c r="D2090" s="52" t="s">
        <v>4476</v>
      </c>
      <c r="E2090" s="52" t="s">
        <v>4477</v>
      </c>
      <c r="F2090" s="54" t="n">
        <v>2</v>
      </c>
      <c r="G2090" s="55" t="n">
        <v>114.84</v>
      </c>
      <c r="H2090" s="55" t="n">
        <v>57.42</v>
      </c>
      <c r="I2090" s="55" t="n">
        <v>57.42</v>
      </c>
      <c r="J2090" s="52" t="s">
        <v>5816</v>
      </c>
      <c r="K2090" s="56" t="n">
        <v>1</v>
      </c>
      <c r="L2090" s="52" t="s">
        <v>5816</v>
      </c>
      <c r="M2090" s="52" t="s">
        <v>605</v>
      </c>
    </row>
    <row r="2091" customFormat="false" ht="17.25" hidden="false" customHeight="true" outlineLevel="0" collapsed="false">
      <c r="A2091" s="52" t="s">
        <v>5777</v>
      </c>
      <c r="B2091" s="52" t="s">
        <v>5813</v>
      </c>
      <c r="C2091" s="53" t="n">
        <v>1089795</v>
      </c>
      <c r="D2091" s="52" t="s">
        <v>4478</v>
      </c>
      <c r="E2091" s="52" t="s">
        <v>4479</v>
      </c>
      <c r="F2091" s="54" t="n">
        <v>2</v>
      </c>
      <c r="G2091" s="55" t="n">
        <v>114.1</v>
      </c>
      <c r="H2091" s="55" t="n">
        <v>57.05</v>
      </c>
      <c r="I2091" s="55" t="n">
        <v>57.05</v>
      </c>
      <c r="J2091" s="52" t="s">
        <v>5911</v>
      </c>
      <c r="K2091" s="56" t="n">
        <v>1</v>
      </c>
      <c r="L2091" s="52" t="s">
        <v>5816</v>
      </c>
      <c r="M2091" s="52" t="s">
        <v>2056</v>
      </c>
    </row>
    <row r="2092" customFormat="false" ht="17.25" hidden="false" customHeight="true" outlineLevel="0" collapsed="false">
      <c r="A2092" s="52" t="s">
        <v>5777</v>
      </c>
      <c r="B2092" s="52" t="s">
        <v>5813</v>
      </c>
      <c r="C2092" s="53" t="n">
        <v>19739</v>
      </c>
      <c r="D2092" s="52" t="s">
        <v>4480</v>
      </c>
      <c r="E2092" s="52" t="s">
        <v>4481</v>
      </c>
      <c r="F2092" s="54" t="n">
        <v>1</v>
      </c>
      <c r="G2092" s="55" t="n">
        <v>114</v>
      </c>
      <c r="H2092" s="55" t="n">
        <v>114</v>
      </c>
      <c r="I2092" s="55" t="n">
        <v>114</v>
      </c>
      <c r="J2092" s="52" t="s">
        <v>5816</v>
      </c>
      <c r="K2092" s="56" t="n">
        <v>1</v>
      </c>
      <c r="L2092" s="52" t="s">
        <v>5816</v>
      </c>
      <c r="M2092" s="52" t="s">
        <v>605</v>
      </c>
    </row>
    <row r="2093" customFormat="false" ht="17.25" hidden="false" customHeight="true" outlineLevel="0" collapsed="false">
      <c r="A2093" s="52" t="s">
        <v>5777</v>
      </c>
      <c r="B2093" s="52" t="s">
        <v>5813</v>
      </c>
      <c r="C2093" s="53" t="n">
        <v>24272</v>
      </c>
      <c r="D2093" s="52" t="s">
        <v>4482</v>
      </c>
      <c r="E2093" s="52" t="s">
        <v>4483</v>
      </c>
      <c r="F2093" s="54" t="n">
        <v>3</v>
      </c>
      <c r="G2093" s="55" t="n">
        <v>114</v>
      </c>
      <c r="H2093" s="55" t="n">
        <v>38</v>
      </c>
      <c r="I2093" s="55" t="n">
        <v>38</v>
      </c>
      <c r="J2093" s="52" t="s">
        <v>5816</v>
      </c>
      <c r="K2093" s="56" t="n">
        <v>1</v>
      </c>
      <c r="L2093" s="52" t="s">
        <v>5816</v>
      </c>
      <c r="M2093" s="52" t="s">
        <v>1095</v>
      </c>
    </row>
    <row r="2094" customFormat="false" ht="17.25" hidden="false" customHeight="true" outlineLevel="0" collapsed="false">
      <c r="A2094" s="52" t="s">
        <v>5777</v>
      </c>
      <c r="B2094" s="52" t="s">
        <v>5813</v>
      </c>
      <c r="C2094" s="53" t="n">
        <v>33876</v>
      </c>
      <c r="D2094" s="52" t="s">
        <v>4484</v>
      </c>
      <c r="E2094" s="52" t="s">
        <v>4485</v>
      </c>
      <c r="F2094" s="54" t="n">
        <v>3</v>
      </c>
      <c r="G2094" s="55" t="n">
        <v>114</v>
      </c>
      <c r="H2094" s="55" t="n">
        <v>38</v>
      </c>
      <c r="I2094" s="55" t="n">
        <v>38</v>
      </c>
      <c r="J2094" s="52" t="s">
        <v>5816</v>
      </c>
      <c r="K2094" s="56" t="n">
        <v>1</v>
      </c>
      <c r="L2094" s="52" t="s">
        <v>5816</v>
      </c>
      <c r="M2094" s="52" t="s">
        <v>480</v>
      </c>
    </row>
    <row r="2095" customFormat="false" ht="17.25" hidden="false" customHeight="true" outlineLevel="0" collapsed="false">
      <c r="A2095" s="52" t="s">
        <v>5777</v>
      </c>
      <c r="B2095" s="52" t="s">
        <v>5813</v>
      </c>
      <c r="C2095" s="53" t="n">
        <v>59820</v>
      </c>
      <c r="D2095" s="52" t="s">
        <v>4486</v>
      </c>
      <c r="E2095" s="52" t="s">
        <v>4487</v>
      </c>
      <c r="F2095" s="54" t="n">
        <v>3</v>
      </c>
      <c r="G2095" s="55" t="n">
        <v>114</v>
      </c>
      <c r="H2095" s="55" t="n">
        <v>38</v>
      </c>
      <c r="I2095" s="55" t="n">
        <v>38</v>
      </c>
      <c r="J2095" s="52" t="s">
        <v>5816</v>
      </c>
      <c r="K2095" s="56" t="n">
        <v>1</v>
      </c>
      <c r="L2095" s="52" t="s">
        <v>5816</v>
      </c>
      <c r="M2095" s="52" t="s">
        <v>705</v>
      </c>
    </row>
    <row r="2096" customFormat="false" ht="17.25" hidden="false" customHeight="true" outlineLevel="0" collapsed="false">
      <c r="A2096" s="52" t="s">
        <v>5777</v>
      </c>
      <c r="B2096" s="52" t="s">
        <v>5813</v>
      </c>
      <c r="C2096" s="53" t="n">
        <v>870438</v>
      </c>
      <c r="D2096" s="52" t="s">
        <v>4488</v>
      </c>
      <c r="E2096" s="52" t="s">
        <v>4489</v>
      </c>
      <c r="F2096" s="54" t="n">
        <v>2</v>
      </c>
      <c r="G2096" s="55" t="n">
        <v>113.22</v>
      </c>
      <c r="H2096" s="55" t="n">
        <v>56.61</v>
      </c>
      <c r="I2096" s="55" t="n">
        <v>56.61</v>
      </c>
      <c r="J2096" s="52" t="s">
        <v>5816</v>
      </c>
      <c r="K2096" s="56" t="n">
        <v>1</v>
      </c>
      <c r="L2096" s="52" t="s">
        <v>5816</v>
      </c>
      <c r="M2096" s="52" t="s">
        <v>1095</v>
      </c>
    </row>
    <row r="2097" customFormat="false" ht="17.25" hidden="false" customHeight="true" outlineLevel="0" collapsed="false">
      <c r="A2097" s="52" t="s">
        <v>5777</v>
      </c>
      <c r="B2097" s="52" t="s">
        <v>5813</v>
      </c>
      <c r="C2097" s="53" t="n">
        <v>1113408</v>
      </c>
      <c r="D2097" s="52" t="s">
        <v>4490</v>
      </c>
      <c r="E2097" s="52" t="s">
        <v>4491</v>
      </c>
      <c r="F2097" s="54" t="n">
        <v>20</v>
      </c>
      <c r="G2097" s="55" t="n">
        <v>113</v>
      </c>
      <c r="H2097" s="55" t="n">
        <v>5.65</v>
      </c>
      <c r="I2097" s="55" t="n">
        <v>5.65</v>
      </c>
      <c r="J2097" s="52" t="s">
        <v>5816</v>
      </c>
      <c r="K2097" s="56" t="n">
        <v>1</v>
      </c>
      <c r="L2097" s="52" t="s">
        <v>5816</v>
      </c>
      <c r="M2097" s="52" t="s">
        <v>100</v>
      </c>
    </row>
    <row r="2098" customFormat="false" ht="17.25" hidden="false" customHeight="true" outlineLevel="0" collapsed="false">
      <c r="A2098" s="52" t="s">
        <v>5777</v>
      </c>
      <c r="B2098" s="52" t="s">
        <v>5813</v>
      </c>
      <c r="C2098" s="53" t="n">
        <v>21505</v>
      </c>
      <c r="D2098" s="52" t="s">
        <v>4492</v>
      </c>
      <c r="E2098" s="52" t="s">
        <v>4493</v>
      </c>
      <c r="F2098" s="54" t="n">
        <v>4</v>
      </c>
      <c r="G2098" s="55" t="n">
        <v>112</v>
      </c>
      <c r="H2098" s="55" t="n">
        <v>28</v>
      </c>
      <c r="I2098" s="55" t="n">
        <v>28</v>
      </c>
      <c r="J2098" s="52" t="s">
        <v>5816</v>
      </c>
      <c r="K2098" s="56" t="n">
        <v>1</v>
      </c>
      <c r="L2098" s="52" t="s">
        <v>5816</v>
      </c>
      <c r="M2098" s="52" t="s">
        <v>189</v>
      </c>
    </row>
    <row r="2099" customFormat="false" ht="17.25" hidden="false" customHeight="true" outlineLevel="0" collapsed="false">
      <c r="A2099" s="52" t="s">
        <v>5777</v>
      </c>
      <c r="B2099" s="52" t="s">
        <v>5813</v>
      </c>
      <c r="C2099" s="53" t="n">
        <v>864614</v>
      </c>
      <c r="D2099" s="52" t="s">
        <v>4494</v>
      </c>
      <c r="E2099" s="52" t="s">
        <v>4495</v>
      </c>
      <c r="F2099" s="54" t="n">
        <v>1</v>
      </c>
      <c r="G2099" s="55" t="n">
        <v>112</v>
      </c>
      <c r="H2099" s="55" t="n">
        <v>112</v>
      </c>
      <c r="I2099" s="55" t="n">
        <v>112</v>
      </c>
      <c r="J2099" s="52" t="s">
        <v>5816</v>
      </c>
      <c r="K2099" s="56" t="n">
        <v>1</v>
      </c>
      <c r="L2099" s="52" t="s">
        <v>5816</v>
      </c>
      <c r="M2099" s="52" t="s">
        <v>189</v>
      </c>
    </row>
    <row r="2100" customFormat="false" ht="17.25" hidden="false" customHeight="true" outlineLevel="0" collapsed="false">
      <c r="A2100" s="52" t="s">
        <v>5777</v>
      </c>
      <c r="B2100" s="52" t="s">
        <v>5813</v>
      </c>
      <c r="C2100" s="53" t="n">
        <v>1598198</v>
      </c>
      <c r="D2100" s="52" t="s">
        <v>4496</v>
      </c>
      <c r="E2100" s="57" t="s">
        <v>5964</v>
      </c>
      <c r="F2100" s="54" t="n">
        <v>4</v>
      </c>
      <c r="G2100" s="55" t="n">
        <v>112</v>
      </c>
      <c r="H2100" s="55" t="n">
        <v>28</v>
      </c>
      <c r="I2100" s="55" t="n">
        <v>28</v>
      </c>
      <c r="J2100" s="52" t="s">
        <v>5816</v>
      </c>
      <c r="K2100" s="56" t="n">
        <v>1</v>
      </c>
      <c r="L2100" s="52" t="s">
        <v>5816</v>
      </c>
      <c r="M2100" s="52" t="s">
        <v>2056</v>
      </c>
    </row>
    <row r="2101" customFormat="false" ht="17.25" hidden="false" customHeight="true" outlineLevel="0" collapsed="false">
      <c r="A2101" s="52" t="s">
        <v>5777</v>
      </c>
      <c r="B2101" s="52" t="s">
        <v>5813</v>
      </c>
      <c r="C2101" s="53" t="n">
        <v>19348</v>
      </c>
      <c r="D2101" s="52" t="s">
        <v>4498</v>
      </c>
      <c r="E2101" s="52" t="s">
        <v>4499</v>
      </c>
      <c r="F2101" s="54" t="n">
        <v>35</v>
      </c>
      <c r="G2101" s="55" t="n">
        <v>111.6005</v>
      </c>
      <c r="H2101" s="55" t="n">
        <v>3.1886</v>
      </c>
      <c r="I2101" s="55" t="n">
        <v>3.65</v>
      </c>
      <c r="J2101" s="52" t="s">
        <v>5816</v>
      </c>
      <c r="K2101" s="56" t="n">
        <v>1</v>
      </c>
      <c r="L2101" s="52" t="s">
        <v>5816</v>
      </c>
      <c r="M2101" s="52" t="s">
        <v>1095</v>
      </c>
    </row>
    <row r="2102" customFormat="false" ht="17.25" hidden="false" customHeight="true" outlineLevel="0" collapsed="false">
      <c r="A2102" s="52" t="s">
        <v>5777</v>
      </c>
      <c r="B2102" s="52" t="s">
        <v>5813</v>
      </c>
      <c r="C2102" s="53" t="n">
        <v>18018</v>
      </c>
      <c r="D2102" s="52" t="s">
        <v>4500</v>
      </c>
      <c r="E2102" s="52" t="s">
        <v>4501</v>
      </c>
      <c r="F2102" s="54" t="n">
        <v>5</v>
      </c>
      <c r="G2102" s="55" t="n">
        <v>111.15</v>
      </c>
      <c r="H2102" s="55" t="n">
        <v>22.23</v>
      </c>
      <c r="I2102" s="55" t="n">
        <v>22.23</v>
      </c>
      <c r="J2102" s="52" t="s">
        <v>5816</v>
      </c>
      <c r="K2102" s="56" t="n">
        <v>1</v>
      </c>
      <c r="L2102" s="52" t="s">
        <v>5816</v>
      </c>
      <c r="M2102" s="52" t="s">
        <v>130</v>
      </c>
    </row>
    <row r="2103" customFormat="false" ht="17.25" hidden="false" customHeight="true" outlineLevel="0" collapsed="false">
      <c r="A2103" s="52" t="s">
        <v>5777</v>
      </c>
      <c r="B2103" s="52" t="s">
        <v>5813</v>
      </c>
      <c r="C2103" s="53" t="n">
        <v>24133</v>
      </c>
      <c r="D2103" s="52" t="s">
        <v>4502</v>
      </c>
      <c r="E2103" s="52" t="s">
        <v>4503</v>
      </c>
      <c r="F2103" s="54" t="n">
        <v>3</v>
      </c>
      <c r="G2103" s="55" t="n">
        <v>111</v>
      </c>
      <c r="H2103" s="55" t="n">
        <v>37</v>
      </c>
      <c r="I2103" s="55" t="n">
        <v>48</v>
      </c>
      <c r="J2103" s="52" t="s">
        <v>5816</v>
      </c>
      <c r="K2103" s="56" t="n">
        <v>1</v>
      </c>
      <c r="L2103" s="52" t="s">
        <v>5816</v>
      </c>
      <c r="M2103" s="52" t="s">
        <v>130</v>
      </c>
    </row>
    <row r="2104" customFormat="false" ht="17.25" hidden="false" customHeight="true" outlineLevel="0" collapsed="false">
      <c r="A2104" s="52" t="s">
        <v>5777</v>
      </c>
      <c r="B2104" s="52" t="s">
        <v>5813</v>
      </c>
      <c r="C2104" s="53" t="n">
        <v>1607594</v>
      </c>
      <c r="D2104" s="52" t="s">
        <v>4504</v>
      </c>
      <c r="E2104" s="52" t="s">
        <v>4505</v>
      </c>
      <c r="F2104" s="54" t="n">
        <v>3</v>
      </c>
      <c r="G2104" s="55" t="n">
        <v>110.34</v>
      </c>
      <c r="H2104" s="55" t="n">
        <v>36.78</v>
      </c>
      <c r="I2104" s="55" t="n">
        <v>36.78</v>
      </c>
      <c r="J2104" s="52" t="s">
        <v>5816</v>
      </c>
      <c r="K2104" s="56" t="n">
        <v>1</v>
      </c>
      <c r="L2104" s="52" t="s">
        <v>5816</v>
      </c>
      <c r="M2104" s="52" t="s">
        <v>38</v>
      </c>
    </row>
    <row r="2105" customFormat="false" ht="17.25" hidden="false" customHeight="true" outlineLevel="0" collapsed="false">
      <c r="A2105" s="52" t="s">
        <v>5777</v>
      </c>
      <c r="B2105" s="52" t="s">
        <v>5813</v>
      </c>
      <c r="C2105" s="53" t="n">
        <v>1485750</v>
      </c>
      <c r="D2105" s="52" t="s">
        <v>4506</v>
      </c>
      <c r="E2105" s="57" t="s">
        <v>5965</v>
      </c>
      <c r="F2105" s="54" t="n">
        <v>4</v>
      </c>
      <c r="G2105" s="55" t="n">
        <v>110.08</v>
      </c>
      <c r="H2105" s="55" t="n">
        <v>27.52</v>
      </c>
      <c r="I2105" s="55" t="n">
        <v>27.52</v>
      </c>
      <c r="J2105" s="52" t="s">
        <v>5816</v>
      </c>
      <c r="K2105" s="56" t="n">
        <v>1</v>
      </c>
      <c r="L2105" s="52" t="s">
        <v>5816</v>
      </c>
      <c r="M2105" s="52" t="s">
        <v>38</v>
      </c>
    </row>
    <row r="2106" customFormat="false" ht="17.25" hidden="false" customHeight="true" outlineLevel="0" collapsed="false">
      <c r="A2106" s="52" t="s">
        <v>5777</v>
      </c>
      <c r="B2106" s="52" t="s">
        <v>5813</v>
      </c>
      <c r="C2106" s="53" t="n">
        <v>887578</v>
      </c>
      <c r="D2106" s="52" t="s">
        <v>4508</v>
      </c>
      <c r="E2106" s="52" t="s">
        <v>4509</v>
      </c>
      <c r="F2106" s="54" t="n">
        <v>10</v>
      </c>
      <c r="G2106" s="55" t="n">
        <v>110</v>
      </c>
      <c r="H2106" s="55" t="n">
        <v>11</v>
      </c>
      <c r="I2106" s="55" t="n">
        <v>11</v>
      </c>
      <c r="J2106" s="52" t="s">
        <v>5816</v>
      </c>
      <c r="K2106" s="56" t="n">
        <v>1</v>
      </c>
      <c r="L2106" s="52" t="s">
        <v>5816</v>
      </c>
      <c r="M2106" s="52" t="s">
        <v>54</v>
      </c>
    </row>
    <row r="2107" customFormat="false" ht="17.25" hidden="false" customHeight="true" outlineLevel="0" collapsed="false">
      <c r="A2107" s="52" t="s">
        <v>5777</v>
      </c>
      <c r="B2107" s="52" t="s">
        <v>5813</v>
      </c>
      <c r="C2107" s="53" t="n">
        <v>293977</v>
      </c>
      <c r="D2107" s="52" t="s">
        <v>4510</v>
      </c>
      <c r="E2107" s="52" t="s">
        <v>4511</v>
      </c>
      <c r="F2107" s="54" t="n">
        <v>6</v>
      </c>
      <c r="G2107" s="55" t="n">
        <v>109.72</v>
      </c>
      <c r="H2107" s="55" t="n">
        <v>18.2867</v>
      </c>
      <c r="I2107" s="55" t="n">
        <v>8.9</v>
      </c>
      <c r="J2107" s="52" t="s">
        <v>5816</v>
      </c>
      <c r="K2107" s="56" t="n">
        <v>1</v>
      </c>
      <c r="L2107" s="52" t="s">
        <v>5816</v>
      </c>
      <c r="M2107" s="52" t="s">
        <v>54</v>
      </c>
    </row>
    <row r="2108" customFormat="false" ht="17.25" hidden="false" customHeight="true" outlineLevel="0" collapsed="false">
      <c r="A2108" s="52" t="s">
        <v>5777</v>
      </c>
      <c r="B2108" s="52" t="s">
        <v>5813</v>
      </c>
      <c r="C2108" s="53" t="n">
        <v>19377</v>
      </c>
      <c r="D2108" s="52" t="s">
        <v>4512</v>
      </c>
      <c r="E2108" s="52" t="s">
        <v>4513</v>
      </c>
      <c r="F2108" s="54" t="n">
        <v>12</v>
      </c>
      <c r="G2108" s="55" t="n">
        <v>109.5413</v>
      </c>
      <c r="H2108" s="55" t="n">
        <v>9.1284</v>
      </c>
      <c r="I2108" s="55" t="n">
        <v>35</v>
      </c>
      <c r="J2108" s="52" t="s">
        <v>5816</v>
      </c>
      <c r="K2108" s="56" t="n">
        <v>1</v>
      </c>
      <c r="L2108" s="52" t="s">
        <v>5816</v>
      </c>
      <c r="M2108" s="52" t="s">
        <v>1095</v>
      </c>
    </row>
    <row r="2109" customFormat="false" ht="17.25" hidden="false" customHeight="true" outlineLevel="0" collapsed="false">
      <c r="A2109" s="52" t="s">
        <v>5777</v>
      </c>
      <c r="B2109" s="52" t="s">
        <v>5813</v>
      </c>
      <c r="C2109" s="53" t="n">
        <v>1113634</v>
      </c>
      <c r="D2109" s="52" t="s">
        <v>4514</v>
      </c>
      <c r="E2109" s="52" t="s">
        <v>4515</v>
      </c>
      <c r="F2109" s="54" t="n">
        <v>5</v>
      </c>
      <c r="G2109" s="55" t="n">
        <v>109.45</v>
      </c>
      <c r="H2109" s="55" t="n">
        <v>21.89</v>
      </c>
      <c r="I2109" s="55" t="n">
        <v>21.89</v>
      </c>
      <c r="J2109" s="52" t="s">
        <v>5816</v>
      </c>
      <c r="K2109" s="56" t="n">
        <v>1</v>
      </c>
      <c r="L2109" s="52" t="s">
        <v>5816</v>
      </c>
      <c r="M2109" s="52" t="s">
        <v>38</v>
      </c>
    </row>
    <row r="2110" customFormat="false" ht="17.25" hidden="false" customHeight="true" outlineLevel="0" collapsed="false">
      <c r="A2110" s="52" t="s">
        <v>5777</v>
      </c>
      <c r="B2110" s="52" t="s">
        <v>5813</v>
      </c>
      <c r="C2110" s="53" t="n">
        <v>349917</v>
      </c>
      <c r="D2110" s="52" t="s">
        <v>4516</v>
      </c>
      <c r="E2110" s="52" t="s">
        <v>5966</v>
      </c>
      <c r="F2110" s="54" t="n">
        <v>1</v>
      </c>
      <c r="G2110" s="55" t="n">
        <v>109.25</v>
      </c>
      <c r="H2110" s="55" t="n">
        <v>109.25</v>
      </c>
      <c r="I2110" s="55" t="n">
        <v>109.25</v>
      </c>
      <c r="J2110" s="52" t="s">
        <v>5816</v>
      </c>
      <c r="K2110" s="56" t="n">
        <v>1</v>
      </c>
      <c r="L2110" s="52" t="s">
        <v>5816</v>
      </c>
      <c r="M2110" s="52" t="s">
        <v>35</v>
      </c>
    </row>
    <row r="2111" customFormat="false" ht="17.25" hidden="false" customHeight="true" outlineLevel="0" collapsed="false">
      <c r="A2111" s="52" t="s">
        <v>5777</v>
      </c>
      <c r="B2111" s="52" t="s">
        <v>5813</v>
      </c>
      <c r="C2111" s="53" t="n">
        <v>1485245</v>
      </c>
      <c r="D2111" s="52" t="s">
        <v>4518</v>
      </c>
      <c r="E2111" s="57" t="s">
        <v>5967</v>
      </c>
      <c r="F2111" s="54" t="n">
        <v>1</v>
      </c>
      <c r="G2111" s="55" t="n">
        <v>109.25</v>
      </c>
      <c r="H2111" s="55" t="n">
        <v>109.25</v>
      </c>
      <c r="I2111" s="55" t="n">
        <v>109.25</v>
      </c>
      <c r="J2111" s="52" t="s">
        <v>5816</v>
      </c>
      <c r="K2111" s="56" t="n">
        <v>1</v>
      </c>
      <c r="L2111" s="52" t="s">
        <v>5816</v>
      </c>
      <c r="M2111" s="52" t="s">
        <v>133</v>
      </c>
    </row>
    <row r="2112" customFormat="false" ht="17.25" hidden="false" customHeight="true" outlineLevel="0" collapsed="false">
      <c r="A2112" s="52" t="s">
        <v>5777</v>
      </c>
      <c r="B2112" s="52" t="s">
        <v>5813</v>
      </c>
      <c r="C2112" s="53" t="n">
        <v>17351</v>
      </c>
      <c r="D2112" s="52" t="s">
        <v>4520</v>
      </c>
      <c r="E2112" s="52" t="s">
        <v>4521</v>
      </c>
      <c r="F2112" s="54" t="n">
        <v>7</v>
      </c>
      <c r="G2112" s="55" t="n">
        <v>108.88</v>
      </c>
      <c r="H2112" s="55" t="n">
        <v>15.5543</v>
      </c>
      <c r="I2112" s="55" t="n">
        <v>88</v>
      </c>
      <c r="J2112" s="52" t="s">
        <v>5816</v>
      </c>
      <c r="K2112" s="56" t="n">
        <v>1</v>
      </c>
      <c r="L2112" s="52" t="s">
        <v>5816</v>
      </c>
      <c r="M2112" s="52" t="s">
        <v>100</v>
      </c>
    </row>
    <row r="2113" customFormat="false" ht="17.25" hidden="false" customHeight="true" outlineLevel="0" collapsed="false">
      <c r="A2113" s="52" t="s">
        <v>5777</v>
      </c>
      <c r="B2113" s="52" t="s">
        <v>5813</v>
      </c>
      <c r="C2113" s="53" t="n">
        <v>876708</v>
      </c>
      <c r="D2113" s="52" t="s">
        <v>4522</v>
      </c>
      <c r="E2113" s="52" t="s">
        <v>5968</v>
      </c>
      <c r="F2113" s="54" t="n">
        <v>2</v>
      </c>
      <c r="G2113" s="55" t="n">
        <v>108.3</v>
      </c>
      <c r="H2113" s="55" t="n">
        <v>54.15</v>
      </c>
      <c r="I2113" s="55" t="n">
        <v>54.15</v>
      </c>
      <c r="J2113" s="52" t="s">
        <v>5816</v>
      </c>
      <c r="K2113" s="56" t="n">
        <v>1</v>
      </c>
      <c r="L2113" s="52" t="s">
        <v>5816</v>
      </c>
      <c r="M2113" s="52" t="s">
        <v>457</v>
      </c>
    </row>
    <row r="2114" customFormat="false" ht="17.25" hidden="false" customHeight="true" outlineLevel="0" collapsed="false">
      <c r="A2114" s="52" t="s">
        <v>5777</v>
      </c>
      <c r="B2114" s="52" t="s">
        <v>5813</v>
      </c>
      <c r="C2114" s="53" t="n">
        <v>58875</v>
      </c>
      <c r="D2114" s="52" t="s">
        <v>4524</v>
      </c>
      <c r="E2114" s="52" t="s">
        <v>4525</v>
      </c>
      <c r="F2114" s="54" t="n">
        <v>1</v>
      </c>
      <c r="G2114" s="55" t="n">
        <v>108</v>
      </c>
      <c r="H2114" s="55" t="n">
        <v>108</v>
      </c>
      <c r="I2114" s="55" t="n">
        <v>108</v>
      </c>
      <c r="J2114" s="52" t="s">
        <v>5816</v>
      </c>
      <c r="K2114" s="56" t="n">
        <v>1</v>
      </c>
      <c r="L2114" s="52" t="s">
        <v>5816</v>
      </c>
      <c r="M2114" s="52" t="s">
        <v>130</v>
      </c>
    </row>
    <row r="2115" customFormat="false" ht="17.25" hidden="false" customHeight="true" outlineLevel="0" collapsed="false">
      <c r="A2115" s="52" t="s">
        <v>5777</v>
      </c>
      <c r="B2115" s="52" t="s">
        <v>5813</v>
      </c>
      <c r="C2115" s="53" t="n">
        <v>1467156</v>
      </c>
      <c r="D2115" s="52" t="s">
        <v>4526</v>
      </c>
      <c r="E2115" s="52" t="s">
        <v>4527</v>
      </c>
      <c r="F2115" s="54" t="n">
        <v>4</v>
      </c>
      <c r="G2115" s="55" t="n">
        <v>108</v>
      </c>
      <c r="H2115" s="55" t="n">
        <v>27</v>
      </c>
      <c r="I2115" s="55" t="n">
        <v>27</v>
      </c>
      <c r="J2115" s="52" t="s">
        <v>5816</v>
      </c>
      <c r="K2115" s="56" t="n">
        <v>1</v>
      </c>
      <c r="L2115" s="52" t="s">
        <v>5816</v>
      </c>
      <c r="M2115" s="52" t="s">
        <v>189</v>
      </c>
    </row>
    <row r="2116" customFormat="false" ht="17.25" hidden="false" customHeight="true" outlineLevel="0" collapsed="false">
      <c r="A2116" s="52" t="s">
        <v>5777</v>
      </c>
      <c r="B2116" s="52" t="s">
        <v>5813</v>
      </c>
      <c r="C2116" s="53" t="n">
        <v>1383737</v>
      </c>
      <c r="D2116" s="52" t="s">
        <v>4528</v>
      </c>
      <c r="E2116" s="52" t="s">
        <v>4529</v>
      </c>
      <c r="F2116" s="54" t="n">
        <v>4</v>
      </c>
      <c r="G2116" s="55" t="n">
        <v>107.32</v>
      </c>
      <c r="H2116" s="55" t="n">
        <v>26.83</v>
      </c>
      <c r="I2116" s="55" t="n">
        <v>26.83</v>
      </c>
      <c r="J2116" s="52" t="s">
        <v>5816</v>
      </c>
      <c r="K2116" s="56" t="n">
        <v>1</v>
      </c>
      <c r="L2116" s="52" t="s">
        <v>5816</v>
      </c>
      <c r="M2116" s="52" t="s">
        <v>38</v>
      </c>
    </row>
    <row r="2117" customFormat="false" ht="17.25" hidden="false" customHeight="true" outlineLevel="0" collapsed="false">
      <c r="A2117" s="52" t="s">
        <v>5777</v>
      </c>
      <c r="B2117" s="52" t="s">
        <v>5813</v>
      </c>
      <c r="C2117" s="53" t="n">
        <v>1379884</v>
      </c>
      <c r="D2117" s="52" t="s">
        <v>4530</v>
      </c>
      <c r="E2117" s="52" t="s">
        <v>4531</v>
      </c>
      <c r="F2117" s="54" t="n">
        <v>38</v>
      </c>
      <c r="G2117" s="55" t="n">
        <v>106.4</v>
      </c>
      <c r="H2117" s="55" t="n">
        <v>2.8</v>
      </c>
      <c r="I2117" s="55" t="n">
        <v>2.8</v>
      </c>
      <c r="J2117" s="52" t="s">
        <v>5816</v>
      </c>
      <c r="K2117" s="56" t="n">
        <v>1</v>
      </c>
      <c r="L2117" s="52" t="s">
        <v>5816</v>
      </c>
      <c r="M2117" s="52" t="s">
        <v>38</v>
      </c>
    </row>
    <row r="2118" customFormat="false" ht="17.25" hidden="false" customHeight="true" outlineLevel="0" collapsed="false">
      <c r="A2118" s="52" t="s">
        <v>5777</v>
      </c>
      <c r="B2118" s="52" t="s">
        <v>5813</v>
      </c>
      <c r="C2118" s="53" t="n">
        <v>1465304</v>
      </c>
      <c r="D2118" s="52" t="s">
        <v>4532</v>
      </c>
      <c r="E2118" s="52" t="s">
        <v>4533</v>
      </c>
      <c r="F2118" s="54" t="n">
        <v>533</v>
      </c>
      <c r="G2118" s="55" t="n">
        <v>106.28</v>
      </c>
      <c r="H2118" s="55" t="n">
        <v>0.1994</v>
      </c>
      <c r="I2118" s="55" t="n">
        <v>0.1469</v>
      </c>
      <c r="J2118" s="52" t="s">
        <v>5816</v>
      </c>
      <c r="K2118" s="56" t="n">
        <v>1</v>
      </c>
      <c r="L2118" s="52" t="s">
        <v>5816</v>
      </c>
      <c r="M2118" s="52" t="s">
        <v>100</v>
      </c>
    </row>
    <row r="2119" customFormat="false" ht="17.25" hidden="false" customHeight="true" outlineLevel="0" collapsed="false">
      <c r="A2119" s="52" t="s">
        <v>5777</v>
      </c>
      <c r="B2119" s="52" t="s">
        <v>5813</v>
      </c>
      <c r="C2119" s="53" t="n">
        <v>19319</v>
      </c>
      <c r="D2119" s="52" t="s">
        <v>4534</v>
      </c>
      <c r="E2119" s="52" t="s">
        <v>4535</v>
      </c>
      <c r="F2119" s="54" t="n">
        <v>2</v>
      </c>
      <c r="G2119" s="55" t="n">
        <v>106</v>
      </c>
      <c r="H2119" s="55" t="n">
        <v>53</v>
      </c>
      <c r="I2119" s="55" t="n">
        <v>53</v>
      </c>
      <c r="J2119" s="52" t="s">
        <v>5816</v>
      </c>
      <c r="K2119" s="56" t="n">
        <v>1</v>
      </c>
      <c r="L2119" s="52" t="s">
        <v>5816</v>
      </c>
      <c r="M2119" s="52" t="s">
        <v>1095</v>
      </c>
    </row>
    <row r="2120" customFormat="false" ht="17.25" hidden="false" customHeight="true" outlineLevel="0" collapsed="false">
      <c r="A2120" s="52" t="s">
        <v>5777</v>
      </c>
      <c r="B2120" s="52" t="s">
        <v>5813</v>
      </c>
      <c r="C2120" s="53" t="n">
        <v>55066</v>
      </c>
      <c r="D2120" s="52" t="s">
        <v>4536</v>
      </c>
      <c r="E2120" s="52" t="s">
        <v>4537</v>
      </c>
      <c r="F2120" s="54" t="n">
        <v>2</v>
      </c>
      <c r="G2120" s="55" t="n">
        <v>105.6</v>
      </c>
      <c r="H2120" s="55" t="n">
        <v>52.8</v>
      </c>
      <c r="I2120" s="55" t="n">
        <v>52.8</v>
      </c>
      <c r="J2120" s="52" t="s">
        <v>5816</v>
      </c>
      <c r="K2120" s="56" t="n">
        <v>1</v>
      </c>
      <c r="L2120" s="52" t="s">
        <v>5816</v>
      </c>
      <c r="M2120" s="52" t="s">
        <v>38</v>
      </c>
    </row>
    <row r="2121" customFormat="false" ht="17.25" hidden="false" customHeight="true" outlineLevel="0" collapsed="false">
      <c r="A2121" s="52" t="s">
        <v>5777</v>
      </c>
      <c r="B2121" s="52" t="s">
        <v>5813</v>
      </c>
      <c r="C2121" s="53" t="n">
        <v>55067</v>
      </c>
      <c r="D2121" s="52" t="s">
        <v>4538</v>
      </c>
      <c r="E2121" s="52" t="s">
        <v>4539</v>
      </c>
      <c r="F2121" s="54" t="n">
        <v>2</v>
      </c>
      <c r="G2121" s="55" t="n">
        <v>105.6</v>
      </c>
      <c r="H2121" s="55" t="n">
        <v>52.8</v>
      </c>
      <c r="I2121" s="55" t="n">
        <v>52.8</v>
      </c>
      <c r="J2121" s="52" t="s">
        <v>5816</v>
      </c>
      <c r="K2121" s="56" t="n">
        <v>1</v>
      </c>
      <c r="L2121" s="52" t="s">
        <v>5816</v>
      </c>
      <c r="M2121" s="52" t="s">
        <v>38</v>
      </c>
    </row>
    <row r="2122" customFormat="false" ht="17.25" hidden="false" customHeight="true" outlineLevel="0" collapsed="false">
      <c r="A2122" s="52" t="s">
        <v>5777</v>
      </c>
      <c r="B2122" s="52" t="s">
        <v>5813</v>
      </c>
      <c r="C2122" s="53" t="n">
        <v>23440</v>
      </c>
      <c r="D2122" s="52" t="s">
        <v>4540</v>
      </c>
      <c r="E2122" s="52" t="s">
        <v>4541</v>
      </c>
      <c r="F2122" s="54" t="n">
        <v>25</v>
      </c>
      <c r="G2122" s="55" t="n">
        <v>105.45</v>
      </c>
      <c r="H2122" s="55" t="n">
        <v>4.218</v>
      </c>
      <c r="I2122" s="55" t="n">
        <v>2.97</v>
      </c>
      <c r="J2122" s="52" t="s">
        <v>5816</v>
      </c>
      <c r="K2122" s="56" t="n">
        <v>1</v>
      </c>
      <c r="L2122" s="52" t="s">
        <v>5816</v>
      </c>
      <c r="M2122" s="52" t="s">
        <v>1618</v>
      </c>
    </row>
    <row r="2123" customFormat="false" ht="17.25" hidden="false" customHeight="true" outlineLevel="0" collapsed="false">
      <c r="A2123" s="52" t="s">
        <v>5777</v>
      </c>
      <c r="B2123" s="52" t="s">
        <v>5813</v>
      </c>
      <c r="C2123" s="53" t="n">
        <v>731251</v>
      </c>
      <c r="D2123" s="52" t="s">
        <v>4544</v>
      </c>
      <c r="E2123" s="52" t="s">
        <v>4545</v>
      </c>
      <c r="F2123" s="54" t="n">
        <v>1000</v>
      </c>
      <c r="G2123" s="55" t="n">
        <v>105</v>
      </c>
      <c r="H2123" s="55" t="n">
        <v>0.105</v>
      </c>
      <c r="I2123" s="55" t="n">
        <v>0.105</v>
      </c>
      <c r="J2123" s="52" t="s">
        <v>5816</v>
      </c>
      <c r="K2123" s="56" t="n">
        <v>1</v>
      </c>
      <c r="L2123" s="52" t="s">
        <v>5816</v>
      </c>
      <c r="M2123" s="52" t="s">
        <v>100</v>
      </c>
    </row>
    <row r="2124" customFormat="false" ht="17.25" hidden="false" customHeight="true" outlineLevel="0" collapsed="false">
      <c r="A2124" s="52" t="s">
        <v>5777</v>
      </c>
      <c r="B2124" s="52" t="s">
        <v>5813</v>
      </c>
      <c r="C2124" s="53" t="n">
        <v>18786</v>
      </c>
      <c r="D2124" s="52" t="s">
        <v>4546</v>
      </c>
      <c r="E2124" s="52" t="s">
        <v>4547</v>
      </c>
      <c r="F2124" s="54" t="n">
        <v>1</v>
      </c>
      <c r="G2124" s="55" t="n">
        <v>104.72</v>
      </c>
      <c r="H2124" s="55" t="n">
        <v>104.72</v>
      </c>
      <c r="I2124" s="55" t="n">
        <v>104.72</v>
      </c>
      <c r="J2124" s="52" t="s">
        <v>5842</v>
      </c>
      <c r="K2124" s="56" t="n">
        <v>800</v>
      </c>
      <c r="L2124" s="52" t="s">
        <v>5816</v>
      </c>
      <c r="M2124" s="52" t="s">
        <v>262</v>
      </c>
    </row>
    <row r="2125" customFormat="false" ht="17.25" hidden="false" customHeight="true" outlineLevel="0" collapsed="false">
      <c r="A2125" s="52" t="s">
        <v>5777</v>
      </c>
      <c r="B2125" s="52" t="s">
        <v>5813</v>
      </c>
      <c r="C2125" s="53" t="n">
        <v>1672251</v>
      </c>
      <c r="D2125" s="52" t="s">
        <v>4548</v>
      </c>
      <c r="E2125" s="52" t="s">
        <v>4549</v>
      </c>
      <c r="F2125" s="54" t="n">
        <v>2</v>
      </c>
      <c r="G2125" s="55" t="n">
        <v>104.72</v>
      </c>
      <c r="H2125" s="55" t="n">
        <v>52.36</v>
      </c>
      <c r="I2125" s="55" t="n">
        <v>52.36</v>
      </c>
      <c r="J2125" s="52" t="s">
        <v>5816</v>
      </c>
      <c r="K2125" s="56" t="n">
        <v>1</v>
      </c>
      <c r="L2125" s="52" t="s">
        <v>5816</v>
      </c>
      <c r="M2125" s="52" t="s">
        <v>262</v>
      </c>
    </row>
    <row r="2126" customFormat="false" ht="17.25" hidden="false" customHeight="true" outlineLevel="0" collapsed="false">
      <c r="A2126" s="52" t="s">
        <v>5777</v>
      </c>
      <c r="B2126" s="52" t="s">
        <v>5813</v>
      </c>
      <c r="C2126" s="53" t="n">
        <v>1614077</v>
      </c>
      <c r="D2126" s="52" t="s">
        <v>4550</v>
      </c>
      <c r="E2126" s="52" t="s">
        <v>4551</v>
      </c>
      <c r="F2126" s="54" t="n">
        <v>156</v>
      </c>
      <c r="G2126" s="55" t="n">
        <v>104.52</v>
      </c>
      <c r="H2126" s="55" t="n">
        <v>0.67</v>
      </c>
      <c r="I2126" s="55" t="n">
        <v>0.67</v>
      </c>
      <c r="J2126" s="52" t="s">
        <v>5816</v>
      </c>
      <c r="K2126" s="56" t="n">
        <v>1</v>
      </c>
      <c r="L2126" s="52" t="s">
        <v>5816</v>
      </c>
      <c r="M2126" s="52" t="s">
        <v>100</v>
      </c>
    </row>
    <row r="2127" customFormat="false" ht="17.25" hidden="false" customHeight="true" outlineLevel="0" collapsed="false">
      <c r="A2127" s="52" t="s">
        <v>5777</v>
      </c>
      <c r="B2127" s="52" t="s">
        <v>5813</v>
      </c>
      <c r="C2127" s="53" t="n">
        <v>884862</v>
      </c>
      <c r="D2127" s="52" t="s">
        <v>4552</v>
      </c>
      <c r="E2127" s="52" t="s">
        <v>4553</v>
      </c>
      <c r="F2127" s="54" t="n">
        <v>4</v>
      </c>
      <c r="G2127" s="55" t="n">
        <v>104.51</v>
      </c>
      <c r="H2127" s="55" t="n">
        <v>26.1275</v>
      </c>
      <c r="I2127" s="55" t="n">
        <v>13.17</v>
      </c>
      <c r="J2127" s="52" t="s">
        <v>5817</v>
      </c>
      <c r="K2127" s="56" t="n">
        <v>1</v>
      </c>
      <c r="L2127" s="52" t="s">
        <v>5817</v>
      </c>
      <c r="M2127" s="52" t="s">
        <v>100</v>
      </c>
    </row>
    <row r="2128" customFormat="false" ht="17.25" hidden="false" customHeight="true" outlineLevel="0" collapsed="false">
      <c r="A2128" s="52" t="s">
        <v>5777</v>
      </c>
      <c r="B2128" s="52" t="s">
        <v>5813</v>
      </c>
      <c r="C2128" s="53" t="n">
        <v>34113</v>
      </c>
      <c r="D2128" s="52" t="s">
        <v>4554</v>
      </c>
      <c r="E2128" s="52" t="s">
        <v>4555</v>
      </c>
      <c r="F2128" s="54" t="n">
        <v>50</v>
      </c>
      <c r="G2128" s="55" t="n">
        <v>104</v>
      </c>
      <c r="H2128" s="55" t="n">
        <v>2.08</v>
      </c>
      <c r="I2128" s="55" t="n">
        <v>2.08</v>
      </c>
      <c r="J2128" s="52" t="s">
        <v>5816</v>
      </c>
      <c r="K2128" s="56" t="n">
        <v>1</v>
      </c>
      <c r="L2128" s="52" t="s">
        <v>5816</v>
      </c>
      <c r="M2128" s="52" t="s">
        <v>100</v>
      </c>
    </row>
    <row r="2129" customFormat="false" ht="17.25" hidden="false" customHeight="true" outlineLevel="0" collapsed="false">
      <c r="A2129" s="52" t="s">
        <v>5777</v>
      </c>
      <c r="B2129" s="52" t="s">
        <v>5813</v>
      </c>
      <c r="C2129" s="53" t="n">
        <v>733740</v>
      </c>
      <c r="D2129" s="52" t="s">
        <v>4556</v>
      </c>
      <c r="E2129" s="52" t="s">
        <v>4557</v>
      </c>
      <c r="F2129" s="54" t="n">
        <v>2</v>
      </c>
      <c r="G2129" s="55" t="n">
        <v>104</v>
      </c>
      <c r="H2129" s="55" t="n">
        <v>52</v>
      </c>
      <c r="I2129" s="55" t="n">
        <v>52</v>
      </c>
      <c r="J2129" s="52" t="s">
        <v>5816</v>
      </c>
      <c r="K2129" s="56" t="n">
        <v>1</v>
      </c>
      <c r="L2129" s="52" t="s">
        <v>5816</v>
      </c>
      <c r="M2129" s="52" t="s">
        <v>130</v>
      </c>
    </row>
    <row r="2130" customFormat="false" ht="17.25" hidden="false" customHeight="true" outlineLevel="0" collapsed="false">
      <c r="A2130" s="52" t="s">
        <v>5777</v>
      </c>
      <c r="B2130" s="52" t="s">
        <v>5813</v>
      </c>
      <c r="C2130" s="53" t="n">
        <v>552919</v>
      </c>
      <c r="D2130" s="52" t="s">
        <v>4558</v>
      </c>
      <c r="E2130" s="52" t="s">
        <v>4559</v>
      </c>
      <c r="F2130" s="54" t="n">
        <v>4</v>
      </c>
      <c r="G2130" s="55" t="n">
        <v>103.92</v>
      </c>
      <c r="H2130" s="55" t="n">
        <v>25.98</v>
      </c>
      <c r="I2130" s="55" t="n">
        <v>25.98</v>
      </c>
      <c r="J2130" s="52" t="s">
        <v>5816</v>
      </c>
      <c r="K2130" s="56" t="n">
        <v>1</v>
      </c>
      <c r="L2130" s="52" t="s">
        <v>5816</v>
      </c>
      <c r="M2130" s="52" t="s">
        <v>54</v>
      </c>
    </row>
    <row r="2131" customFormat="false" ht="17.25" hidden="false" customHeight="true" outlineLevel="0" collapsed="false">
      <c r="A2131" s="52" t="s">
        <v>5777</v>
      </c>
      <c r="B2131" s="52" t="s">
        <v>5813</v>
      </c>
      <c r="C2131" s="53" t="n">
        <v>222434</v>
      </c>
      <c r="D2131" s="52" t="s">
        <v>4560</v>
      </c>
      <c r="E2131" s="52" t="s">
        <v>4561</v>
      </c>
      <c r="F2131" s="54" t="n">
        <v>1</v>
      </c>
      <c r="G2131" s="55" t="n">
        <v>103.62</v>
      </c>
      <c r="H2131" s="55" t="n">
        <v>103.62</v>
      </c>
      <c r="I2131" s="55" t="n">
        <v>103.62</v>
      </c>
      <c r="J2131" s="52" t="s">
        <v>5911</v>
      </c>
      <c r="K2131" s="56" t="n">
        <v>1</v>
      </c>
      <c r="L2131" s="52" t="s">
        <v>5816</v>
      </c>
      <c r="M2131" s="52" t="s">
        <v>2056</v>
      </c>
    </row>
    <row r="2132" customFormat="false" ht="17.25" hidden="false" customHeight="true" outlineLevel="0" collapsed="false">
      <c r="A2132" s="52" t="s">
        <v>5777</v>
      </c>
      <c r="B2132" s="52" t="s">
        <v>5813</v>
      </c>
      <c r="C2132" s="53" t="n">
        <v>1476143</v>
      </c>
      <c r="D2132" s="52" t="s">
        <v>4562</v>
      </c>
      <c r="E2132" s="52" t="s">
        <v>4563</v>
      </c>
      <c r="F2132" s="54" t="n">
        <v>5</v>
      </c>
      <c r="G2132" s="55" t="n">
        <v>102.35</v>
      </c>
      <c r="H2132" s="55" t="n">
        <v>20.47</v>
      </c>
      <c r="I2132" s="55" t="n">
        <v>20.47</v>
      </c>
      <c r="J2132" s="52" t="s">
        <v>5816</v>
      </c>
      <c r="K2132" s="56" t="n">
        <v>1</v>
      </c>
      <c r="L2132" s="52" t="s">
        <v>5816</v>
      </c>
      <c r="M2132" s="52" t="s">
        <v>130</v>
      </c>
    </row>
    <row r="2133" customFormat="false" ht="17.25" hidden="false" customHeight="true" outlineLevel="0" collapsed="false">
      <c r="A2133" s="52" t="s">
        <v>5777</v>
      </c>
      <c r="B2133" s="52" t="s">
        <v>5813</v>
      </c>
      <c r="C2133" s="53" t="n">
        <v>276672</v>
      </c>
      <c r="D2133" s="52" t="s">
        <v>4564</v>
      </c>
      <c r="E2133" s="52" t="s">
        <v>4565</v>
      </c>
      <c r="F2133" s="54" t="n">
        <v>63</v>
      </c>
      <c r="G2133" s="55" t="n">
        <v>102.32</v>
      </c>
      <c r="H2133" s="55" t="n">
        <v>1.6241</v>
      </c>
      <c r="I2133" s="55" t="n">
        <v>0.33</v>
      </c>
      <c r="J2133" s="52" t="s">
        <v>5816</v>
      </c>
      <c r="K2133" s="56" t="n">
        <v>1</v>
      </c>
      <c r="L2133" s="52" t="s">
        <v>5816</v>
      </c>
      <c r="M2133" s="52" t="s">
        <v>38</v>
      </c>
    </row>
    <row r="2134" customFormat="false" ht="17.25" hidden="false" customHeight="true" outlineLevel="0" collapsed="false">
      <c r="A2134" s="52" t="s">
        <v>5777</v>
      </c>
      <c r="B2134" s="52" t="s">
        <v>5813</v>
      </c>
      <c r="C2134" s="53" t="n">
        <v>1379883</v>
      </c>
      <c r="D2134" s="52" t="s">
        <v>4566</v>
      </c>
      <c r="E2134" s="52" t="s">
        <v>4567</v>
      </c>
      <c r="F2134" s="54" t="n">
        <v>26</v>
      </c>
      <c r="G2134" s="55" t="n">
        <v>101.66</v>
      </c>
      <c r="H2134" s="55" t="n">
        <v>3.91</v>
      </c>
      <c r="I2134" s="55" t="n">
        <v>4.21</v>
      </c>
      <c r="J2134" s="52" t="s">
        <v>5816</v>
      </c>
      <c r="K2134" s="56" t="n">
        <v>1</v>
      </c>
      <c r="L2134" s="52" t="s">
        <v>5816</v>
      </c>
      <c r="M2134" s="52" t="s">
        <v>38</v>
      </c>
    </row>
    <row r="2135" customFormat="false" ht="17.25" hidden="false" customHeight="true" outlineLevel="0" collapsed="false">
      <c r="A2135" s="52" t="s">
        <v>5777</v>
      </c>
      <c r="B2135" s="52" t="s">
        <v>5813</v>
      </c>
      <c r="C2135" s="53" t="n">
        <v>1384313</v>
      </c>
      <c r="D2135" s="52" t="s">
        <v>4568</v>
      </c>
      <c r="E2135" s="52" t="s">
        <v>4569</v>
      </c>
      <c r="F2135" s="54" t="n">
        <v>2</v>
      </c>
      <c r="G2135" s="55" t="n">
        <v>101.6</v>
      </c>
      <c r="H2135" s="55" t="n">
        <v>50.8</v>
      </c>
      <c r="I2135" s="55" t="n">
        <v>50.8</v>
      </c>
      <c r="J2135" s="52" t="s">
        <v>5816</v>
      </c>
      <c r="K2135" s="56" t="n">
        <v>1</v>
      </c>
      <c r="L2135" s="52" t="s">
        <v>5816</v>
      </c>
      <c r="M2135" s="52" t="s">
        <v>75</v>
      </c>
    </row>
    <row r="2136" customFormat="false" ht="17.25" hidden="false" customHeight="true" outlineLevel="0" collapsed="false">
      <c r="A2136" s="52" t="s">
        <v>5777</v>
      </c>
      <c r="B2136" s="52" t="s">
        <v>5813</v>
      </c>
      <c r="C2136" s="53" t="n">
        <v>750194</v>
      </c>
      <c r="D2136" s="52" t="s">
        <v>4570</v>
      </c>
      <c r="E2136" s="52" t="s">
        <v>5969</v>
      </c>
      <c r="F2136" s="54" t="n">
        <v>12</v>
      </c>
      <c r="G2136" s="55" t="n">
        <v>101.27</v>
      </c>
      <c r="H2136" s="55" t="n">
        <v>8.4392</v>
      </c>
      <c r="I2136" s="55" t="n">
        <v>8.4392</v>
      </c>
      <c r="J2136" s="52" t="s">
        <v>5816</v>
      </c>
      <c r="K2136" s="56" t="n">
        <v>1</v>
      </c>
      <c r="L2136" s="52" t="s">
        <v>5816</v>
      </c>
      <c r="M2136" s="52" t="s">
        <v>1618</v>
      </c>
    </row>
    <row r="2137" customFormat="false" ht="17.25" hidden="false" customHeight="true" outlineLevel="0" collapsed="false">
      <c r="A2137" s="52" t="s">
        <v>5777</v>
      </c>
      <c r="B2137" s="52" t="s">
        <v>5813</v>
      </c>
      <c r="C2137" s="53" t="n">
        <v>750197</v>
      </c>
      <c r="D2137" s="52" t="s">
        <v>4572</v>
      </c>
      <c r="E2137" s="52" t="s">
        <v>5970</v>
      </c>
      <c r="F2137" s="54" t="n">
        <v>4</v>
      </c>
      <c r="G2137" s="55" t="n">
        <v>100.88</v>
      </c>
      <c r="H2137" s="55" t="n">
        <v>25.22</v>
      </c>
      <c r="I2137" s="55" t="n">
        <v>25.22</v>
      </c>
      <c r="J2137" s="52" t="s">
        <v>5816</v>
      </c>
      <c r="K2137" s="56" t="n">
        <v>1</v>
      </c>
      <c r="L2137" s="52" t="s">
        <v>5816</v>
      </c>
      <c r="M2137" s="52" t="s">
        <v>1618</v>
      </c>
    </row>
    <row r="2138" customFormat="false" ht="17.25" hidden="false" customHeight="true" outlineLevel="0" collapsed="false">
      <c r="A2138" s="52" t="s">
        <v>5777</v>
      </c>
      <c r="B2138" s="52" t="s">
        <v>5813</v>
      </c>
      <c r="C2138" s="53" t="n">
        <v>32775</v>
      </c>
      <c r="D2138" s="52" t="s">
        <v>4574</v>
      </c>
      <c r="E2138" s="52" t="s">
        <v>4575</v>
      </c>
      <c r="F2138" s="54" t="n">
        <v>2</v>
      </c>
      <c r="G2138" s="55" t="n">
        <v>100.7</v>
      </c>
      <c r="H2138" s="55" t="n">
        <v>50.35</v>
      </c>
      <c r="I2138" s="55" t="n">
        <v>50.35</v>
      </c>
      <c r="J2138" s="52" t="s">
        <v>5971</v>
      </c>
      <c r="K2138" s="56" t="n">
        <v>0.85</v>
      </c>
      <c r="L2138" s="52" t="s">
        <v>5822</v>
      </c>
      <c r="M2138" s="52" t="s">
        <v>54</v>
      </c>
    </row>
    <row r="2139" customFormat="false" ht="17.25" hidden="false" customHeight="true" outlineLevel="0" collapsed="false">
      <c r="A2139" s="52" t="s">
        <v>5777</v>
      </c>
      <c r="B2139" s="52" t="s">
        <v>5813</v>
      </c>
      <c r="C2139" s="53" t="n">
        <v>60795</v>
      </c>
      <c r="D2139" s="52" t="s">
        <v>4576</v>
      </c>
      <c r="E2139" s="52" t="s">
        <v>4577</v>
      </c>
      <c r="F2139" s="54" t="n">
        <v>2</v>
      </c>
      <c r="G2139" s="55" t="n">
        <v>100.2</v>
      </c>
      <c r="H2139" s="55" t="n">
        <v>50.1</v>
      </c>
      <c r="I2139" s="55" t="n">
        <v>50.1</v>
      </c>
      <c r="J2139" s="52" t="s">
        <v>5816</v>
      </c>
      <c r="K2139" s="56" t="n">
        <v>1</v>
      </c>
      <c r="L2139" s="52" t="s">
        <v>5816</v>
      </c>
      <c r="M2139" s="52" t="s">
        <v>130</v>
      </c>
    </row>
    <row r="2140" customFormat="false" ht="17.25" hidden="false" customHeight="true" outlineLevel="0" collapsed="false">
      <c r="A2140" s="52" t="s">
        <v>5777</v>
      </c>
      <c r="B2140" s="52" t="s">
        <v>5813</v>
      </c>
      <c r="C2140" s="53" t="n">
        <v>54784</v>
      </c>
      <c r="D2140" s="52" t="s">
        <v>4578</v>
      </c>
      <c r="E2140" s="52" t="s">
        <v>4579</v>
      </c>
      <c r="F2140" s="54" t="n">
        <v>1</v>
      </c>
      <c r="G2140" s="55" t="n">
        <v>100</v>
      </c>
      <c r="H2140" s="55" t="n">
        <v>100</v>
      </c>
      <c r="I2140" s="55" t="n">
        <v>100</v>
      </c>
      <c r="J2140" s="52" t="s">
        <v>5816</v>
      </c>
      <c r="K2140" s="56" t="n">
        <v>1</v>
      </c>
      <c r="L2140" s="52" t="s">
        <v>5816</v>
      </c>
      <c r="M2140" s="52" t="s">
        <v>2056</v>
      </c>
    </row>
    <row r="2141" customFormat="false" ht="17.25" hidden="false" customHeight="true" outlineLevel="0" collapsed="false">
      <c r="A2141" s="52" t="s">
        <v>5777</v>
      </c>
      <c r="B2141" s="52" t="s">
        <v>5813</v>
      </c>
      <c r="C2141" s="53" t="n">
        <v>349311</v>
      </c>
      <c r="D2141" s="52" t="s">
        <v>4580</v>
      </c>
      <c r="E2141" s="52" t="s">
        <v>4581</v>
      </c>
      <c r="F2141" s="54" t="n">
        <v>5</v>
      </c>
      <c r="G2141" s="55" t="n">
        <v>100</v>
      </c>
      <c r="H2141" s="55" t="n">
        <v>20</v>
      </c>
      <c r="I2141" s="55" t="n">
        <v>20</v>
      </c>
      <c r="J2141" s="52" t="s">
        <v>5816</v>
      </c>
      <c r="K2141" s="56" t="n">
        <v>1</v>
      </c>
      <c r="L2141" s="52" t="s">
        <v>5816</v>
      </c>
      <c r="M2141" s="52" t="s">
        <v>2056</v>
      </c>
    </row>
    <row r="2142" customFormat="false" ht="17.25" hidden="false" customHeight="true" outlineLevel="0" collapsed="false">
      <c r="A2142" s="52" t="s">
        <v>5777</v>
      </c>
      <c r="B2142" s="52" t="s">
        <v>5813</v>
      </c>
      <c r="C2142" s="53" t="n">
        <v>741312</v>
      </c>
      <c r="D2142" s="52" t="s">
        <v>4582</v>
      </c>
      <c r="E2142" s="52" t="s">
        <v>4583</v>
      </c>
      <c r="F2142" s="54" t="n">
        <v>2</v>
      </c>
      <c r="G2142" s="55" t="n">
        <v>100</v>
      </c>
      <c r="H2142" s="55" t="n">
        <v>50</v>
      </c>
      <c r="I2142" s="55" t="n">
        <v>50</v>
      </c>
      <c r="J2142" s="52" t="s">
        <v>5816</v>
      </c>
      <c r="K2142" s="56" t="n">
        <v>1</v>
      </c>
      <c r="L2142" s="52" t="s">
        <v>5816</v>
      </c>
      <c r="M2142" s="52" t="s">
        <v>130</v>
      </c>
    </row>
    <row r="2143" customFormat="false" ht="17.25" hidden="false" customHeight="true" outlineLevel="0" collapsed="false">
      <c r="A2143" s="52" t="s">
        <v>5777</v>
      </c>
      <c r="B2143" s="52" t="s">
        <v>5813</v>
      </c>
      <c r="C2143" s="53" t="n">
        <v>869146</v>
      </c>
      <c r="D2143" s="52" t="s">
        <v>4584</v>
      </c>
      <c r="E2143" s="52" t="s">
        <v>4585</v>
      </c>
      <c r="F2143" s="54" t="n">
        <v>1</v>
      </c>
      <c r="G2143" s="55" t="n">
        <v>100</v>
      </c>
      <c r="H2143" s="55" t="n">
        <v>100</v>
      </c>
      <c r="I2143" s="55" t="n">
        <v>100</v>
      </c>
      <c r="J2143" s="52" t="s">
        <v>5816</v>
      </c>
      <c r="K2143" s="56" t="n">
        <v>1</v>
      </c>
      <c r="L2143" s="52" t="s">
        <v>5816</v>
      </c>
      <c r="M2143" s="52" t="s">
        <v>722</v>
      </c>
    </row>
    <row r="2144" customFormat="false" ht="17.25" hidden="false" customHeight="true" outlineLevel="0" collapsed="false">
      <c r="A2144" s="52" t="s">
        <v>5777</v>
      </c>
      <c r="B2144" s="52" t="s">
        <v>5813</v>
      </c>
      <c r="C2144" s="53" t="n">
        <v>14328</v>
      </c>
      <c r="D2144" s="52" t="s">
        <v>4586</v>
      </c>
      <c r="E2144" s="52" t="s">
        <v>4587</v>
      </c>
      <c r="F2144" s="54" t="n">
        <v>5</v>
      </c>
      <c r="G2144" s="55" t="n">
        <v>99.9</v>
      </c>
      <c r="H2144" s="55" t="n">
        <v>19.98</v>
      </c>
      <c r="I2144" s="55" t="n">
        <v>19.98</v>
      </c>
      <c r="J2144" s="52" t="s">
        <v>5816</v>
      </c>
      <c r="K2144" s="56" t="n">
        <v>1</v>
      </c>
      <c r="L2144" s="52" t="s">
        <v>5816</v>
      </c>
      <c r="M2144" s="52" t="s">
        <v>38</v>
      </c>
    </row>
    <row r="2145" customFormat="false" ht="17.25" hidden="false" customHeight="true" outlineLevel="0" collapsed="false">
      <c r="A2145" s="52" t="s">
        <v>5777</v>
      </c>
      <c r="B2145" s="52" t="s">
        <v>5813</v>
      </c>
      <c r="C2145" s="53" t="n">
        <v>57320</v>
      </c>
      <c r="D2145" s="52" t="s">
        <v>4588</v>
      </c>
      <c r="E2145" s="52" t="s">
        <v>4589</v>
      </c>
      <c r="F2145" s="54" t="n">
        <v>5</v>
      </c>
      <c r="G2145" s="55" t="n">
        <v>99.9</v>
      </c>
      <c r="H2145" s="55" t="n">
        <v>19.98</v>
      </c>
      <c r="I2145" s="55" t="n">
        <v>19.98</v>
      </c>
      <c r="J2145" s="52" t="s">
        <v>5816</v>
      </c>
      <c r="K2145" s="56" t="n">
        <v>1</v>
      </c>
      <c r="L2145" s="52" t="s">
        <v>5816</v>
      </c>
      <c r="M2145" s="52" t="s">
        <v>54</v>
      </c>
    </row>
    <row r="2146" customFormat="false" ht="17.25" hidden="false" customHeight="true" outlineLevel="0" collapsed="false">
      <c r="A2146" s="52" t="s">
        <v>5777</v>
      </c>
      <c r="B2146" s="52" t="s">
        <v>5813</v>
      </c>
      <c r="C2146" s="53" t="n">
        <v>19729</v>
      </c>
      <c r="D2146" s="52" t="s">
        <v>4590</v>
      </c>
      <c r="E2146" s="52" t="s">
        <v>4591</v>
      </c>
      <c r="F2146" s="54" t="n">
        <v>8</v>
      </c>
      <c r="G2146" s="55" t="n">
        <v>99.4674</v>
      </c>
      <c r="H2146" s="55" t="n">
        <v>12.4333</v>
      </c>
      <c r="I2146" s="55" t="n">
        <v>13</v>
      </c>
      <c r="J2146" s="52" t="s">
        <v>5816</v>
      </c>
      <c r="K2146" s="56" t="n">
        <v>1</v>
      </c>
      <c r="L2146" s="52" t="s">
        <v>5816</v>
      </c>
      <c r="M2146" s="52" t="s">
        <v>605</v>
      </c>
    </row>
    <row r="2147" customFormat="false" ht="17.25" hidden="false" customHeight="true" outlineLevel="0" collapsed="false">
      <c r="A2147" s="52" t="s">
        <v>5777</v>
      </c>
      <c r="B2147" s="52" t="s">
        <v>5813</v>
      </c>
      <c r="C2147" s="53" t="n">
        <v>1475063</v>
      </c>
      <c r="D2147" s="52" t="s">
        <v>4592</v>
      </c>
      <c r="E2147" s="52" t="s">
        <v>4593</v>
      </c>
      <c r="F2147" s="54" t="n">
        <v>16</v>
      </c>
      <c r="G2147" s="55" t="n">
        <v>99.04</v>
      </c>
      <c r="H2147" s="55" t="n">
        <v>6.19</v>
      </c>
      <c r="I2147" s="55" t="n">
        <v>6.19</v>
      </c>
      <c r="J2147" s="52" t="s">
        <v>5816</v>
      </c>
      <c r="K2147" s="56" t="n">
        <v>1</v>
      </c>
      <c r="L2147" s="52" t="s">
        <v>5816</v>
      </c>
      <c r="M2147" s="52" t="s">
        <v>100</v>
      </c>
    </row>
    <row r="2148" customFormat="false" ht="17.25" hidden="false" customHeight="true" outlineLevel="0" collapsed="false">
      <c r="A2148" s="52" t="s">
        <v>5777</v>
      </c>
      <c r="B2148" s="52" t="s">
        <v>5813</v>
      </c>
      <c r="C2148" s="53" t="n">
        <v>33375</v>
      </c>
      <c r="D2148" s="52" t="s">
        <v>4594</v>
      </c>
      <c r="E2148" s="52" t="s">
        <v>4595</v>
      </c>
      <c r="F2148" s="54" t="n">
        <v>1</v>
      </c>
      <c r="G2148" s="55" t="n">
        <v>99</v>
      </c>
      <c r="H2148" s="55" t="n">
        <v>99</v>
      </c>
      <c r="I2148" s="55" t="n">
        <v>99</v>
      </c>
      <c r="J2148" s="52" t="s">
        <v>5816</v>
      </c>
      <c r="K2148" s="56" t="n">
        <v>1</v>
      </c>
      <c r="L2148" s="52" t="s">
        <v>5816</v>
      </c>
      <c r="M2148" s="52" t="s">
        <v>130</v>
      </c>
    </row>
    <row r="2149" customFormat="false" ht="17.25" hidden="false" customHeight="true" outlineLevel="0" collapsed="false">
      <c r="A2149" s="52" t="s">
        <v>5777</v>
      </c>
      <c r="B2149" s="52" t="s">
        <v>5813</v>
      </c>
      <c r="C2149" s="53" t="n">
        <v>946749</v>
      </c>
      <c r="D2149" s="52" t="s">
        <v>4598</v>
      </c>
      <c r="E2149" s="52" t="s">
        <v>4599</v>
      </c>
      <c r="F2149" s="54" t="n">
        <v>2</v>
      </c>
      <c r="G2149" s="55" t="n">
        <v>98.62</v>
      </c>
      <c r="H2149" s="55" t="n">
        <v>49.31</v>
      </c>
      <c r="I2149" s="55" t="n">
        <v>49.31</v>
      </c>
      <c r="J2149" s="52" t="s">
        <v>5816</v>
      </c>
      <c r="K2149" s="56" t="n">
        <v>1</v>
      </c>
      <c r="L2149" s="52" t="s">
        <v>5816</v>
      </c>
      <c r="M2149" s="52" t="s">
        <v>835</v>
      </c>
    </row>
    <row r="2150" customFormat="false" ht="17.25" hidden="false" customHeight="true" outlineLevel="0" collapsed="false">
      <c r="A2150" s="52" t="s">
        <v>5777</v>
      </c>
      <c r="B2150" s="52" t="s">
        <v>5813</v>
      </c>
      <c r="C2150" s="53" t="n">
        <v>32465</v>
      </c>
      <c r="D2150" s="52" t="s">
        <v>4600</v>
      </c>
      <c r="E2150" s="52" t="s">
        <v>4601</v>
      </c>
      <c r="F2150" s="54" t="n">
        <v>11</v>
      </c>
      <c r="G2150" s="55" t="n">
        <v>98.56</v>
      </c>
      <c r="H2150" s="55" t="n">
        <v>8.96</v>
      </c>
      <c r="I2150" s="55" t="n">
        <v>8.96</v>
      </c>
      <c r="J2150" s="52" t="s">
        <v>5850</v>
      </c>
      <c r="K2150" s="56" t="n">
        <v>3</v>
      </c>
      <c r="L2150" s="52" t="s">
        <v>5814</v>
      </c>
      <c r="M2150" s="52" t="s">
        <v>38</v>
      </c>
    </row>
    <row r="2151" customFormat="false" ht="17.25" hidden="false" customHeight="true" outlineLevel="0" collapsed="false">
      <c r="A2151" s="52" t="s">
        <v>5777</v>
      </c>
      <c r="B2151" s="52" t="s">
        <v>5813</v>
      </c>
      <c r="C2151" s="53" t="n">
        <v>391131</v>
      </c>
      <c r="D2151" s="52" t="s">
        <v>4602</v>
      </c>
      <c r="E2151" s="52" t="s">
        <v>4603</v>
      </c>
      <c r="F2151" s="54" t="n">
        <v>8</v>
      </c>
      <c r="G2151" s="55" t="n">
        <v>98.55</v>
      </c>
      <c r="H2151" s="55" t="n">
        <v>12.3188</v>
      </c>
      <c r="I2151" s="55" t="n">
        <v>12.3188</v>
      </c>
      <c r="J2151" s="52" t="s">
        <v>5816</v>
      </c>
      <c r="K2151" s="56" t="n">
        <v>1</v>
      </c>
      <c r="L2151" s="52" t="s">
        <v>5816</v>
      </c>
      <c r="M2151" s="52" t="s">
        <v>1618</v>
      </c>
    </row>
    <row r="2152" customFormat="false" ht="17.25" hidden="false" customHeight="true" outlineLevel="0" collapsed="false">
      <c r="A2152" s="52" t="s">
        <v>5777</v>
      </c>
      <c r="B2152" s="52" t="s">
        <v>5813</v>
      </c>
      <c r="C2152" s="53" t="n">
        <v>292573</v>
      </c>
      <c r="D2152" s="52" t="s">
        <v>4604</v>
      </c>
      <c r="E2152" s="52" t="s">
        <v>4605</v>
      </c>
      <c r="F2152" s="54" t="n">
        <v>30</v>
      </c>
      <c r="G2152" s="55" t="n">
        <v>98.4</v>
      </c>
      <c r="H2152" s="55" t="n">
        <v>3.28</v>
      </c>
      <c r="I2152" s="55" t="n">
        <v>3.28</v>
      </c>
      <c r="J2152" s="52" t="s">
        <v>5814</v>
      </c>
      <c r="K2152" s="56" t="n">
        <v>1</v>
      </c>
      <c r="L2152" s="52" t="s">
        <v>5814</v>
      </c>
      <c r="M2152" s="52" t="s">
        <v>262</v>
      </c>
    </row>
    <row r="2153" customFormat="false" ht="17.25" hidden="false" customHeight="true" outlineLevel="0" collapsed="false">
      <c r="A2153" s="52" t="s">
        <v>5777</v>
      </c>
      <c r="B2153" s="52" t="s">
        <v>5813</v>
      </c>
      <c r="C2153" s="53" t="n">
        <v>23579</v>
      </c>
      <c r="D2153" s="52" t="s">
        <v>4606</v>
      </c>
      <c r="E2153" s="52" t="s">
        <v>4607</v>
      </c>
      <c r="F2153" s="54" t="n">
        <v>1</v>
      </c>
      <c r="G2153" s="55" t="n">
        <v>98</v>
      </c>
      <c r="H2153" s="55" t="n">
        <v>98</v>
      </c>
      <c r="I2153" s="55" t="n">
        <v>98</v>
      </c>
      <c r="J2153" s="52" t="s">
        <v>5816</v>
      </c>
      <c r="K2153" s="56" t="n">
        <v>1</v>
      </c>
      <c r="L2153" s="52" t="s">
        <v>5816</v>
      </c>
      <c r="M2153" s="52" t="s">
        <v>130</v>
      </c>
    </row>
    <row r="2154" customFormat="false" ht="17.25" hidden="false" customHeight="true" outlineLevel="0" collapsed="false">
      <c r="A2154" s="52" t="s">
        <v>5777</v>
      </c>
      <c r="B2154" s="52" t="s">
        <v>5813</v>
      </c>
      <c r="C2154" s="53" t="n">
        <v>31973</v>
      </c>
      <c r="D2154" s="52" t="s">
        <v>4608</v>
      </c>
      <c r="E2154" s="52" t="s">
        <v>4609</v>
      </c>
      <c r="F2154" s="54" t="n">
        <v>1</v>
      </c>
      <c r="G2154" s="55" t="n">
        <v>98</v>
      </c>
      <c r="H2154" s="55" t="n">
        <v>98</v>
      </c>
      <c r="I2154" s="55" t="n">
        <v>98</v>
      </c>
      <c r="J2154" s="52" t="s">
        <v>5816</v>
      </c>
      <c r="K2154" s="56" t="n">
        <v>1</v>
      </c>
      <c r="L2154" s="52" t="s">
        <v>5816</v>
      </c>
      <c r="M2154" s="52" t="s">
        <v>457</v>
      </c>
    </row>
    <row r="2155" customFormat="false" ht="17.25" hidden="false" customHeight="true" outlineLevel="0" collapsed="false">
      <c r="A2155" s="52" t="s">
        <v>5777</v>
      </c>
      <c r="B2155" s="52" t="s">
        <v>5813</v>
      </c>
      <c r="C2155" s="53" t="n">
        <v>32457</v>
      </c>
      <c r="D2155" s="52" t="s">
        <v>4610</v>
      </c>
      <c r="E2155" s="52" t="s">
        <v>4611</v>
      </c>
      <c r="F2155" s="54" t="n">
        <v>1</v>
      </c>
      <c r="G2155" s="55" t="n">
        <v>98</v>
      </c>
      <c r="H2155" s="55" t="n">
        <v>98</v>
      </c>
      <c r="I2155" s="55" t="n">
        <v>98</v>
      </c>
      <c r="J2155" s="52" t="s">
        <v>5850</v>
      </c>
      <c r="K2155" s="56" t="n">
        <v>3</v>
      </c>
      <c r="L2155" s="52" t="s">
        <v>5814</v>
      </c>
      <c r="M2155" s="52" t="s">
        <v>38</v>
      </c>
    </row>
    <row r="2156" customFormat="false" ht="17.25" hidden="false" customHeight="true" outlineLevel="0" collapsed="false">
      <c r="A2156" s="52" t="s">
        <v>5777</v>
      </c>
      <c r="B2156" s="52" t="s">
        <v>5813</v>
      </c>
      <c r="C2156" s="53" t="n">
        <v>57261</v>
      </c>
      <c r="D2156" s="52" t="s">
        <v>4612</v>
      </c>
      <c r="E2156" s="52" t="s">
        <v>4613</v>
      </c>
      <c r="F2156" s="54" t="n">
        <v>1</v>
      </c>
      <c r="G2156" s="55" t="n">
        <v>98</v>
      </c>
      <c r="H2156" s="55" t="n">
        <v>98</v>
      </c>
      <c r="I2156" s="55" t="n">
        <v>98</v>
      </c>
      <c r="J2156" s="52" t="s">
        <v>5816</v>
      </c>
      <c r="K2156" s="56" t="n">
        <v>1</v>
      </c>
      <c r="L2156" s="52" t="s">
        <v>5816</v>
      </c>
      <c r="M2156" s="52" t="s">
        <v>38</v>
      </c>
    </row>
    <row r="2157" customFormat="false" ht="17.25" hidden="false" customHeight="true" outlineLevel="0" collapsed="false">
      <c r="A2157" s="52" t="s">
        <v>5777</v>
      </c>
      <c r="B2157" s="52" t="s">
        <v>5813</v>
      </c>
      <c r="C2157" s="53" t="n">
        <v>60331</v>
      </c>
      <c r="D2157" s="52" t="s">
        <v>4614</v>
      </c>
      <c r="E2157" s="52" t="s">
        <v>4615</v>
      </c>
      <c r="F2157" s="54" t="n">
        <v>1</v>
      </c>
      <c r="G2157" s="55" t="n">
        <v>98</v>
      </c>
      <c r="H2157" s="55" t="n">
        <v>98</v>
      </c>
      <c r="I2157" s="55" t="n">
        <v>98</v>
      </c>
      <c r="J2157" s="52" t="s">
        <v>5816</v>
      </c>
      <c r="K2157" s="56" t="n">
        <v>1</v>
      </c>
      <c r="L2157" s="52" t="s">
        <v>5816</v>
      </c>
      <c r="M2157" s="52" t="s">
        <v>1618</v>
      </c>
    </row>
    <row r="2158" customFormat="false" ht="17.25" hidden="false" customHeight="true" outlineLevel="0" collapsed="false">
      <c r="A2158" s="52" t="s">
        <v>5777</v>
      </c>
      <c r="B2158" s="52" t="s">
        <v>5813</v>
      </c>
      <c r="C2158" s="53" t="n">
        <v>60675</v>
      </c>
      <c r="D2158" s="52" t="s">
        <v>4616</v>
      </c>
      <c r="E2158" s="52" t="s">
        <v>4617</v>
      </c>
      <c r="F2158" s="54" t="n">
        <v>1</v>
      </c>
      <c r="G2158" s="55" t="n">
        <v>98</v>
      </c>
      <c r="H2158" s="55" t="n">
        <v>98</v>
      </c>
      <c r="I2158" s="55" t="n">
        <v>98</v>
      </c>
      <c r="J2158" s="52" t="s">
        <v>5831</v>
      </c>
      <c r="K2158" s="56" t="n">
        <v>1</v>
      </c>
      <c r="L2158" s="52" t="s">
        <v>5831</v>
      </c>
      <c r="M2158" s="52" t="s">
        <v>247</v>
      </c>
    </row>
    <row r="2159" customFormat="false" ht="17.25" hidden="false" customHeight="true" outlineLevel="0" collapsed="false">
      <c r="A2159" s="52" t="s">
        <v>5777</v>
      </c>
      <c r="B2159" s="52" t="s">
        <v>5813</v>
      </c>
      <c r="C2159" s="53" t="n">
        <v>230155</v>
      </c>
      <c r="D2159" s="52" t="s">
        <v>4618</v>
      </c>
      <c r="E2159" s="52" t="s">
        <v>4619</v>
      </c>
      <c r="F2159" s="54" t="n">
        <v>1</v>
      </c>
      <c r="G2159" s="55" t="n">
        <v>98</v>
      </c>
      <c r="H2159" s="55" t="n">
        <v>98</v>
      </c>
      <c r="I2159" s="55" t="n">
        <v>98</v>
      </c>
      <c r="J2159" s="52" t="s">
        <v>5831</v>
      </c>
      <c r="K2159" s="56" t="n">
        <v>1</v>
      </c>
      <c r="L2159" s="52" t="s">
        <v>5831</v>
      </c>
      <c r="M2159" s="52" t="s">
        <v>247</v>
      </c>
    </row>
    <row r="2160" customFormat="false" ht="17.25" hidden="false" customHeight="true" outlineLevel="0" collapsed="false">
      <c r="A2160" s="52" t="s">
        <v>5777</v>
      </c>
      <c r="B2160" s="52" t="s">
        <v>5813</v>
      </c>
      <c r="C2160" s="53" t="n">
        <v>602574</v>
      </c>
      <c r="D2160" s="52" t="s">
        <v>4620</v>
      </c>
      <c r="E2160" s="52" t="s">
        <v>4621</v>
      </c>
      <c r="F2160" s="54" t="n">
        <v>1</v>
      </c>
      <c r="G2160" s="55" t="n">
        <v>98</v>
      </c>
      <c r="H2160" s="55" t="n">
        <v>98</v>
      </c>
      <c r="I2160" s="55" t="n">
        <v>98</v>
      </c>
      <c r="J2160" s="52" t="s">
        <v>5818</v>
      </c>
      <c r="K2160" s="56" t="n">
        <v>1</v>
      </c>
      <c r="L2160" s="52" t="s">
        <v>5816</v>
      </c>
      <c r="M2160" s="52" t="s">
        <v>100</v>
      </c>
    </row>
    <row r="2161" customFormat="false" ht="17.25" hidden="false" customHeight="true" outlineLevel="0" collapsed="false">
      <c r="A2161" s="52" t="s">
        <v>5777</v>
      </c>
      <c r="B2161" s="52" t="s">
        <v>5813</v>
      </c>
      <c r="C2161" s="53" t="n">
        <v>609684</v>
      </c>
      <c r="D2161" s="52" t="s">
        <v>4622</v>
      </c>
      <c r="E2161" s="52" t="s">
        <v>4623</v>
      </c>
      <c r="F2161" s="54" t="n">
        <v>1</v>
      </c>
      <c r="G2161" s="55" t="n">
        <v>98</v>
      </c>
      <c r="H2161" s="55" t="n">
        <v>98</v>
      </c>
      <c r="I2161" s="55" t="n">
        <v>98</v>
      </c>
      <c r="J2161" s="52" t="s">
        <v>5816</v>
      </c>
      <c r="K2161" s="56" t="n">
        <v>1</v>
      </c>
      <c r="L2161" s="52" t="s">
        <v>5816</v>
      </c>
      <c r="M2161" s="52" t="s">
        <v>130</v>
      </c>
    </row>
    <row r="2162" customFormat="false" ht="17.25" hidden="false" customHeight="true" outlineLevel="0" collapsed="false">
      <c r="A2162" s="52" t="s">
        <v>5777</v>
      </c>
      <c r="B2162" s="52" t="s">
        <v>5813</v>
      </c>
      <c r="C2162" s="53" t="n">
        <v>871972</v>
      </c>
      <c r="D2162" s="52" t="s">
        <v>4624</v>
      </c>
      <c r="E2162" s="52" t="s">
        <v>4625</v>
      </c>
      <c r="F2162" s="54" t="n">
        <v>1</v>
      </c>
      <c r="G2162" s="55" t="n">
        <v>98</v>
      </c>
      <c r="H2162" s="55" t="n">
        <v>98</v>
      </c>
      <c r="I2162" s="55" t="n">
        <v>98</v>
      </c>
      <c r="J2162" s="52" t="s">
        <v>5816</v>
      </c>
      <c r="K2162" s="56" t="n">
        <v>1</v>
      </c>
      <c r="L2162" s="52" t="s">
        <v>5816</v>
      </c>
      <c r="M2162" s="52" t="s">
        <v>480</v>
      </c>
    </row>
    <row r="2163" customFormat="false" ht="17.25" hidden="false" customHeight="true" outlineLevel="0" collapsed="false">
      <c r="A2163" s="52" t="s">
        <v>5777</v>
      </c>
      <c r="B2163" s="52" t="s">
        <v>5813</v>
      </c>
      <c r="C2163" s="53" t="n">
        <v>1090204</v>
      </c>
      <c r="D2163" s="52" t="s">
        <v>4626</v>
      </c>
      <c r="E2163" s="52" t="s">
        <v>4627</v>
      </c>
      <c r="F2163" s="54" t="n">
        <v>1</v>
      </c>
      <c r="G2163" s="55" t="n">
        <v>98</v>
      </c>
      <c r="H2163" s="55" t="n">
        <v>98</v>
      </c>
      <c r="I2163" s="55" t="n">
        <v>98</v>
      </c>
      <c r="J2163" s="52" t="s">
        <v>5816</v>
      </c>
      <c r="K2163" s="56" t="n">
        <v>1</v>
      </c>
      <c r="L2163" s="52" t="s">
        <v>5816</v>
      </c>
      <c r="M2163" s="52" t="s">
        <v>1354</v>
      </c>
    </row>
    <row r="2164" customFormat="false" ht="17.25" hidden="false" customHeight="true" outlineLevel="0" collapsed="false">
      <c r="A2164" s="52" t="s">
        <v>5777</v>
      </c>
      <c r="B2164" s="52" t="s">
        <v>5813</v>
      </c>
      <c r="C2164" s="53" t="n">
        <v>1389022</v>
      </c>
      <c r="D2164" s="52" t="s">
        <v>4628</v>
      </c>
      <c r="E2164" s="52" t="s">
        <v>4629</v>
      </c>
      <c r="F2164" s="54" t="n">
        <v>1</v>
      </c>
      <c r="G2164" s="55" t="n">
        <v>98</v>
      </c>
      <c r="H2164" s="55" t="n">
        <v>98</v>
      </c>
      <c r="I2164" s="55" t="n">
        <v>98</v>
      </c>
      <c r="J2164" s="52" t="s">
        <v>5816</v>
      </c>
      <c r="K2164" s="56" t="n">
        <v>1</v>
      </c>
      <c r="L2164" s="52" t="s">
        <v>5816</v>
      </c>
      <c r="M2164" s="52" t="s">
        <v>1618</v>
      </c>
    </row>
    <row r="2165" customFormat="false" ht="17.25" hidden="false" customHeight="true" outlineLevel="0" collapsed="false">
      <c r="A2165" s="52" t="s">
        <v>5777</v>
      </c>
      <c r="B2165" s="52" t="s">
        <v>5813</v>
      </c>
      <c r="C2165" s="53" t="n">
        <v>1484060</v>
      </c>
      <c r="D2165" s="52" t="s">
        <v>4630</v>
      </c>
      <c r="E2165" s="52" t="s">
        <v>4631</v>
      </c>
      <c r="F2165" s="54" t="n">
        <v>98</v>
      </c>
      <c r="G2165" s="55" t="n">
        <v>98</v>
      </c>
      <c r="H2165" s="55" t="n">
        <v>1</v>
      </c>
      <c r="I2165" s="55" t="n">
        <v>1</v>
      </c>
      <c r="J2165" s="52" t="s">
        <v>5816</v>
      </c>
      <c r="K2165" s="56" t="n">
        <v>1</v>
      </c>
      <c r="L2165" s="52" t="s">
        <v>5816</v>
      </c>
      <c r="M2165" s="52" t="s">
        <v>100</v>
      </c>
    </row>
    <row r="2166" customFormat="false" ht="17.25" hidden="false" customHeight="true" outlineLevel="0" collapsed="false">
      <c r="A2166" s="52" t="s">
        <v>5777</v>
      </c>
      <c r="B2166" s="52" t="s">
        <v>5813</v>
      </c>
      <c r="C2166" s="53" t="n">
        <v>1476335</v>
      </c>
      <c r="D2166" s="52" t="s">
        <v>4632</v>
      </c>
      <c r="E2166" s="57" t="s">
        <v>5972</v>
      </c>
      <c r="F2166" s="54" t="n">
        <v>5</v>
      </c>
      <c r="G2166" s="55" t="n">
        <v>97.8</v>
      </c>
      <c r="H2166" s="55" t="n">
        <v>19.56</v>
      </c>
      <c r="I2166" s="55" t="n">
        <v>19.56</v>
      </c>
      <c r="J2166" s="52" t="s">
        <v>5816</v>
      </c>
      <c r="K2166" s="56" t="n">
        <v>1</v>
      </c>
      <c r="L2166" s="52" t="s">
        <v>5816</v>
      </c>
      <c r="M2166" s="52" t="s">
        <v>133</v>
      </c>
    </row>
    <row r="2167" customFormat="false" ht="17.25" hidden="false" customHeight="true" outlineLevel="0" collapsed="false">
      <c r="A2167" s="52" t="s">
        <v>5777</v>
      </c>
      <c r="B2167" s="52" t="s">
        <v>5813</v>
      </c>
      <c r="C2167" s="53" t="n">
        <v>1386070</v>
      </c>
      <c r="D2167" s="52" t="s">
        <v>4634</v>
      </c>
      <c r="E2167" s="52" t="s">
        <v>4635</v>
      </c>
      <c r="F2167" s="54" t="n">
        <v>81</v>
      </c>
      <c r="G2167" s="55" t="n">
        <v>97.08</v>
      </c>
      <c r="H2167" s="55" t="n">
        <v>1.1985</v>
      </c>
      <c r="I2167" s="55" t="n">
        <v>0.9025</v>
      </c>
      <c r="J2167" s="52" t="s">
        <v>5816</v>
      </c>
      <c r="K2167" s="56" t="n">
        <v>1</v>
      </c>
      <c r="L2167" s="52" t="s">
        <v>5816</v>
      </c>
      <c r="M2167" s="52" t="s">
        <v>160</v>
      </c>
    </row>
    <row r="2168" customFormat="false" ht="17.25" hidden="false" customHeight="true" outlineLevel="0" collapsed="false">
      <c r="A2168" s="52" t="s">
        <v>5777</v>
      </c>
      <c r="B2168" s="52" t="s">
        <v>5813</v>
      </c>
      <c r="C2168" s="53" t="n">
        <v>1096772</v>
      </c>
      <c r="D2168" s="52" t="s">
        <v>4636</v>
      </c>
      <c r="E2168" s="52" t="s">
        <v>4637</v>
      </c>
      <c r="F2168" s="54" t="n">
        <v>11</v>
      </c>
      <c r="G2168" s="55" t="n">
        <v>96.58</v>
      </c>
      <c r="H2168" s="55" t="n">
        <v>8.78</v>
      </c>
      <c r="I2168" s="55" t="n">
        <v>8.78</v>
      </c>
      <c r="J2168" s="52" t="s">
        <v>5816</v>
      </c>
      <c r="K2168" s="56" t="n">
        <v>1</v>
      </c>
      <c r="L2168" s="52" t="s">
        <v>5816</v>
      </c>
      <c r="M2168" s="52" t="s">
        <v>38</v>
      </c>
    </row>
    <row r="2169" customFormat="false" ht="17.25" hidden="false" customHeight="true" outlineLevel="0" collapsed="false">
      <c r="A2169" s="52" t="s">
        <v>5777</v>
      </c>
      <c r="B2169" s="52" t="s">
        <v>5813</v>
      </c>
      <c r="C2169" s="53" t="n">
        <v>884822</v>
      </c>
      <c r="D2169" s="52" t="s">
        <v>4638</v>
      </c>
      <c r="E2169" s="52" t="s">
        <v>4639</v>
      </c>
      <c r="F2169" s="54" t="n">
        <v>11</v>
      </c>
      <c r="G2169" s="55" t="n">
        <v>96.03</v>
      </c>
      <c r="H2169" s="55" t="n">
        <v>8.73</v>
      </c>
      <c r="I2169" s="55" t="n">
        <v>8.73</v>
      </c>
      <c r="J2169" s="52" t="s">
        <v>5816</v>
      </c>
      <c r="K2169" s="56" t="n">
        <v>1</v>
      </c>
      <c r="L2169" s="52" t="s">
        <v>5816</v>
      </c>
      <c r="M2169" s="52" t="s">
        <v>38</v>
      </c>
    </row>
    <row r="2170" customFormat="false" ht="17.25" hidden="false" customHeight="true" outlineLevel="0" collapsed="false">
      <c r="A2170" s="52" t="s">
        <v>5777</v>
      </c>
      <c r="B2170" s="52" t="s">
        <v>5813</v>
      </c>
      <c r="C2170" s="53" t="n">
        <v>351660</v>
      </c>
      <c r="D2170" s="52" t="s">
        <v>4640</v>
      </c>
      <c r="E2170" s="52" t="s">
        <v>4641</v>
      </c>
      <c r="F2170" s="54" t="n">
        <v>1</v>
      </c>
      <c r="G2170" s="55" t="n">
        <v>96</v>
      </c>
      <c r="H2170" s="55" t="n">
        <v>96</v>
      </c>
      <c r="I2170" s="55" t="n">
        <v>96</v>
      </c>
      <c r="J2170" s="52" t="s">
        <v>5816</v>
      </c>
      <c r="K2170" s="56" t="n">
        <v>1</v>
      </c>
      <c r="L2170" s="52" t="s">
        <v>5816</v>
      </c>
      <c r="M2170" s="52" t="s">
        <v>130</v>
      </c>
    </row>
    <row r="2171" customFormat="false" ht="17.25" hidden="false" customHeight="true" outlineLevel="0" collapsed="false">
      <c r="A2171" s="52" t="s">
        <v>5777</v>
      </c>
      <c r="B2171" s="52" t="s">
        <v>5813</v>
      </c>
      <c r="C2171" s="53" t="n">
        <v>747903</v>
      </c>
      <c r="D2171" s="52" t="s">
        <v>4642</v>
      </c>
      <c r="E2171" s="52" t="s">
        <v>4643</v>
      </c>
      <c r="F2171" s="54" t="n">
        <v>2</v>
      </c>
      <c r="G2171" s="55" t="n">
        <v>96</v>
      </c>
      <c r="H2171" s="55" t="n">
        <v>48</v>
      </c>
      <c r="I2171" s="55" t="n">
        <v>48</v>
      </c>
      <c r="J2171" s="52" t="s">
        <v>5816</v>
      </c>
      <c r="K2171" s="56" t="n">
        <v>1</v>
      </c>
      <c r="L2171" s="52" t="s">
        <v>5816</v>
      </c>
      <c r="M2171" s="52" t="s">
        <v>54</v>
      </c>
    </row>
    <row r="2172" customFormat="false" ht="17.25" hidden="false" customHeight="true" outlineLevel="0" collapsed="false">
      <c r="A2172" s="52" t="s">
        <v>5777</v>
      </c>
      <c r="B2172" s="52" t="s">
        <v>5813</v>
      </c>
      <c r="C2172" s="53" t="n">
        <v>1538738</v>
      </c>
      <c r="D2172" s="52" t="s">
        <v>4644</v>
      </c>
      <c r="E2172" s="57" t="s">
        <v>5973</v>
      </c>
      <c r="F2172" s="54" t="n">
        <v>2</v>
      </c>
      <c r="G2172" s="55" t="n">
        <v>96</v>
      </c>
      <c r="H2172" s="55" t="n">
        <v>48</v>
      </c>
      <c r="I2172" s="55" t="n">
        <v>48</v>
      </c>
      <c r="J2172" s="52" t="s">
        <v>5816</v>
      </c>
      <c r="K2172" s="56" t="n">
        <v>1</v>
      </c>
      <c r="L2172" s="52" t="s">
        <v>5816</v>
      </c>
      <c r="M2172" s="52" t="s">
        <v>262</v>
      </c>
    </row>
    <row r="2173" customFormat="false" ht="17.25" hidden="false" customHeight="true" outlineLevel="0" collapsed="false">
      <c r="A2173" s="52" t="s">
        <v>5777</v>
      </c>
      <c r="B2173" s="52" t="s">
        <v>5813</v>
      </c>
      <c r="C2173" s="53" t="n">
        <v>1661534</v>
      </c>
      <c r="D2173" s="52" t="s">
        <v>4646</v>
      </c>
      <c r="E2173" s="52" t="s">
        <v>4647</v>
      </c>
      <c r="F2173" s="54" t="n">
        <v>2</v>
      </c>
      <c r="G2173" s="55" t="n">
        <v>96</v>
      </c>
      <c r="H2173" s="55" t="n">
        <v>48</v>
      </c>
      <c r="I2173" s="55" t="n">
        <v>48</v>
      </c>
      <c r="J2173" s="52" t="s">
        <v>5816</v>
      </c>
      <c r="K2173" s="56" t="n">
        <v>1</v>
      </c>
      <c r="L2173" s="52" t="s">
        <v>5816</v>
      </c>
      <c r="M2173" s="52" t="s">
        <v>38</v>
      </c>
    </row>
    <row r="2174" customFormat="false" ht="17.25" hidden="false" customHeight="true" outlineLevel="0" collapsed="false">
      <c r="A2174" s="52" t="s">
        <v>5777</v>
      </c>
      <c r="B2174" s="52" t="s">
        <v>5813</v>
      </c>
      <c r="C2174" s="53" t="n">
        <v>12642</v>
      </c>
      <c r="D2174" s="52" t="s">
        <v>4648</v>
      </c>
      <c r="E2174" s="52" t="s">
        <v>4649</v>
      </c>
      <c r="F2174" s="54" t="n">
        <v>16</v>
      </c>
      <c r="G2174" s="55" t="n">
        <v>95.68</v>
      </c>
      <c r="H2174" s="55" t="n">
        <v>5.98</v>
      </c>
      <c r="I2174" s="55" t="n">
        <v>5.98</v>
      </c>
      <c r="J2174" s="52" t="s">
        <v>5816</v>
      </c>
      <c r="K2174" s="56" t="n">
        <v>1</v>
      </c>
      <c r="L2174" s="52" t="s">
        <v>5816</v>
      </c>
      <c r="M2174" s="52" t="s">
        <v>38</v>
      </c>
    </row>
    <row r="2175" customFormat="false" ht="17.25" hidden="false" customHeight="true" outlineLevel="0" collapsed="false">
      <c r="A2175" s="52" t="s">
        <v>5777</v>
      </c>
      <c r="B2175" s="52" t="s">
        <v>5813</v>
      </c>
      <c r="C2175" s="53" t="n">
        <v>750196</v>
      </c>
      <c r="D2175" s="52" t="s">
        <v>4650</v>
      </c>
      <c r="E2175" s="52" t="s">
        <v>5974</v>
      </c>
      <c r="F2175" s="54" t="n">
        <v>10</v>
      </c>
      <c r="G2175" s="55" t="n">
        <v>95.06</v>
      </c>
      <c r="H2175" s="55" t="n">
        <v>9.506</v>
      </c>
      <c r="I2175" s="55" t="n">
        <v>9.506</v>
      </c>
      <c r="J2175" s="52" t="s">
        <v>5816</v>
      </c>
      <c r="K2175" s="56" t="n">
        <v>1</v>
      </c>
      <c r="L2175" s="52" t="s">
        <v>5816</v>
      </c>
      <c r="M2175" s="52" t="s">
        <v>1618</v>
      </c>
    </row>
    <row r="2176" customFormat="false" ht="17.25" hidden="false" customHeight="true" outlineLevel="0" collapsed="false">
      <c r="A2176" s="52" t="s">
        <v>5777</v>
      </c>
      <c r="B2176" s="52" t="s">
        <v>5813</v>
      </c>
      <c r="C2176" s="53" t="n">
        <v>22054</v>
      </c>
      <c r="D2176" s="52" t="s">
        <v>4652</v>
      </c>
      <c r="E2176" s="52" t="s">
        <v>4653</v>
      </c>
      <c r="F2176" s="54" t="n">
        <v>1</v>
      </c>
      <c r="G2176" s="55" t="n">
        <v>95</v>
      </c>
      <c r="H2176" s="55" t="n">
        <v>95</v>
      </c>
      <c r="I2176" s="55" t="n">
        <v>95</v>
      </c>
      <c r="J2176" s="52" t="s">
        <v>5816</v>
      </c>
      <c r="K2176" s="56" t="n">
        <v>1</v>
      </c>
      <c r="L2176" s="52" t="s">
        <v>5816</v>
      </c>
      <c r="M2176" s="52" t="s">
        <v>722</v>
      </c>
    </row>
    <row r="2177" customFormat="false" ht="17.25" hidden="false" customHeight="true" outlineLevel="0" collapsed="false">
      <c r="A2177" s="52" t="s">
        <v>5777</v>
      </c>
      <c r="B2177" s="52" t="s">
        <v>5813</v>
      </c>
      <c r="C2177" s="53" t="n">
        <v>18007</v>
      </c>
      <c r="D2177" s="52" t="s">
        <v>4654</v>
      </c>
      <c r="E2177" s="52" t="s">
        <v>4655</v>
      </c>
      <c r="F2177" s="54" t="n">
        <v>10</v>
      </c>
      <c r="G2177" s="55" t="n">
        <v>94.45</v>
      </c>
      <c r="H2177" s="55" t="n">
        <v>9.445</v>
      </c>
      <c r="I2177" s="55" t="n">
        <v>9.2</v>
      </c>
      <c r="J2177" s="52" t="s">
        <v>5816</v>
      </c>
      <c r="K2177" s="56" t="n">
        <v>1</v>
      </c>
      <c r="L2177" s="52" t="s">
        <v>5816</v>
      </c>
      <c r="M2177" s="52" t="s">
        <v>130</v>
      </c>
    </row>
    <row r="2178" customFormat="false" ht="17.25" hidden="false" customHeight="true" outlineLevel="0" collapsed="false">
      <c r="A2178" s="52" t="s">
        <v>5777</v>
      </c>
      <c r="B2178" s="52" t="s">
        <v>5813</v>
      </c>
      <c r="C2178" s="53" t="n">
        <v>750195</v>
      </c>
      <c r="D2178" s="52" t="s">
        <v>4656</v>
      </c>
      <c r="E2178" s="52" t="s">
        <v>5975</v>
      </c>
      <c r="F2178" s="54" t="n">
        <v>10</v>
      </c>
      <c r="G2178" s="55" t="n">
        <v>94.09</v>
      </c>
      <c r="H2178" s="55" t="n">
        <v>9.409</v>
      </c>
      <c r="I2178" s="55" t="n">
        <v>9.409</v>
      </c>
      <c r="J2178" s="52" t="s">
        <v>5816</v>
      </c>
      <c r="K2178" s="56" t="n">
        <v>1</v>
      </c>
      <c r="L2178" s="52" t="s">
        <v>5816</v>
      </c>
      <c r="M2178" s="52" t="s">
        <v>1618</v>
      </c>
    </row>
    <row r="2179" customFormat="false" ht="17.25" hidden="false" customHeight="true" outlineLevel="0" collapsed="false">
      <c r="A2179" s="52" t="s">
        <v>5777</v>
      </c>
      <c r="B2179" s="52" t="s">
        <v>5813</v>
      </c>
      <c r="C2179" s="53" t="n">
        <v>351656</v>
      </c>
      <c r="D2179" s="52" t="s">
        <v>4658</v>
      </c>
      <c r="E2179" s="52" t="s">
        <v>4659</v>
      </c>
      <c r="F2179" s="54" t="n">
        <v>1</v>
      </c>
      <c r="G2179" s="55" t="n">
        <v>94</v>
      </c>
      <c r="H2179" s="55" t="n">
        <v>94</v>
      </c>
      <c r="I2179" s="55" t="n">
        <v>94</v>
      </c>
      <c r="J2179" s="52" t="s">
        <v>5816</v>
      </c>
      <c r="K2179" s="56" t="n">
        <v>1</v>
      </c>
      <c r="L2179" s="52" t="s">
        <v>5816</v>
      </c>
      <c r="M2179" s="52" t="s">
        <v>130</v>
      </c>
    </row>
    <row r="2180" customFormat="false" ht="17.25" hidden="false" customHeight="true" outlineLevel="0" collapsed="false">
      <c r="A2180" s="52" t="s">
        <v>5777</v>
      </c>
      <c r="B2180" s="52" t="s">
        <v>5813</v>
      </c>
      <c r="C2180" s="53" t="n">
        <v>840020</v>
      </c>
      <c r="D2180" s="52" t="s">
        <v>4660</v>
      </c>
      <c r="E2180" s="52" t="s">
        <v>4661</v>
      </c>
      <c r="F2180" s="54" t="n">
        <v>10</v>
      </c>
      <c r="G2180" s="55" t="n">
        <v>94</v>
      </c>
      <c r="H2180" s="55" t="n">
        <v>9.4</v>
      </c>
      <c r="I2180" s="55" t="n">
        <v>9.4</v>
      </c>
      <c r="J2180" s="52" t="s">
        <v>5816</v>
      </c>
      <c r="K2180" s="56" t="n">
        <v>1</v>
      </c>
      <c r="L2180" s="52" t="s">
        <v>5816</v>
      </c>
      <c r="M2180" s="52" t="s">
        <v>54</v>
      </c>
    </row>
    <row r="2181" customFormat="false" ht="17.25" hidden="false" customHeight="true" outlineLevel="0" collapsed="false">
      <c r="A2181" s="52" t="s">
        <v>5777</v>
      </c>
      <c r="B2181" s="52" t="s">
        <v>5813</v>
      </c>
      <c r="C2181" s="53" t="n">
        <v>1315686</v>
      </c>
      <c r="D2181" s="52" t="s">
        <v>4662</v>
      </c>
      <c r="E2181" s="52" t="s">
        <v>4663</v>
      </c>
      <c r="F2181" s="54" t="n">
        <v>5</v>
      </c>
      <c r="G2181" s="55" t="n">
        <v>93.65</v>
      </c>
      <c r="H2181" s="55" t="n">
        <v>18.73</v>
      </c>
      <c r="I2181" s="55" t="n">
        <v>18.73</v>
      </c>
      <c r="J2181" s="52" t="s">
        <v>5814</v>
      </c>
      <c r="K2181" s="56" t="n">
        <v>1</v>
      </c>
      <c r="L2181" s="52" t="s">
        <v>5814</v>
      </c>
      <c r="M2181" s="52" t="s">
        <v>38</v>
      </c>
    </row>
    <row r="2182" customFormat="false" ht="17.25" hidden="false" customHeight="true" outlineLevel="0" collapsed="false">
      <c r="A2182" s="52" t="s">
        <v>5777</v>
      </c>
      <c r="B2182" s="52" t="s">
        <v>5813</v>
      </c>
      <c r="C2182" s="53" t="n">
        <v>950782</v>
      </c>
      <c r="D2182" s="52" t="s">
        <v>4664</v>
      </c>
      <c r="E2182" s="52" t="s">
        <v>4665</v>
      </c>
      <c r="F2182" s="54" t="n">
        <v>205</v>
      </c>
      <c r="G2182" s="55" t="n">
        <v>93.6</v>
      </c>
      <c r="H2182" s="55" t="n">
        <v>0.4566</v>
      </c>
      <c r="I2182" s="55" t="n">
        <v>0.26</v>
      </c>
      <c r="J2182" s="52" t="s">
        <v>5816</v>
      </c>
      <c r="K2182" s="56" t="n">
        <v>1</v>
      </c>
      <c r="L2182" s="52" t="s">
        <v>5816</v>
      </c>
      <c r="M2182" s="52" t="s">
        <v>38</v>
      </c>
    </row>
    <row r="2183" customFormat="false" ht="17.25" hidden="false" customHeight="true" outlineLevel="0" collapsed="false">
      <c r="A2183" s="52" t="s">
        <v>5777</v>
      </c>
      <c r="B2183" s="52" t="s">
        <v>5813</v>
      </c>
      <c r="C2183" s="53" t="n">
        <v>19346</v>
      </c>
      <c r="D2183" s="52" t="s">
        <v>4666</v>
      </c>
      <c r="E2183" s="52" t="s">
        <v>4667</v>
      </c>
      <c r="F2183" s="54" t="n">
        <v>30</v>
      </c>
      <c r="G2183" s="55" t="n">
        <v>93.4</v>
      </c>
      <c r="H2183" s="55" t="n">
        <v>3.1133</v>
      </c>
      <c r="I2183" s="55" t="n">
        <v>3.65</v>
      </c>
      <c r="J2183" s="52" t="s">
        <v>5816</v>
      </c>
      <c r="K2183" s="56" t="n">
        <v>1</v>
      </c>
      <c r="L2183" s="52" t="s">
        <v>5816</v>
      </c>
      <c r="M2183" s="52" t="s">
        <v>1095</v>
      </c>
    </row>
    <row r="2184" customFormat="false" ht="17.25" hidden="false" customHeight="true" outlineLevel="0" collapsed="false">
      <c r="A2184" s="52" t="s">
        <v>5777</v>
      </c>
      <c r="B2184" s="52" t="s">
        <v>5813</v>
      </c>
      <c r="C2184" s="53" t="n">
        <v>19347</v>
      </c>
      <c r="D2184" s="52" t="s">
        <v>4668</v>
      </c>
      <c r="E2184" s="52" t="s">
        <v>4669</v>
      </c>
      <c r="F2184" s="54" t="n">
        <v>30</v>
      </c>
      <c r="G2184" s="55" t="n">
        <v>93.4</v>
      </c>
      <c r="H2184" s="55" t="n">
        <v>3.1133</v>
      </c>
      <c r="I2184" s="55" t="n">
        <v>3.65</v>
      </c>
      <c r="J2184" s="52" t="s">
        <v>5816</v>
      </c>
      <c r="K2184" s="56" t="n">
        <v>1</v>
      </c>
      <c r="L2184" s="52" t="s">
        <v>5816</v>
      </c>
      <c r="M2184" s="52" t="s">
        <v>1095</v>
      </c>
    </row>
    <row r="2185" customFormat="false" ht="17.25" hidden="false" customHeight="true" outlineLevel="0" collapsed="false">
      <c r="A2185" s="52" t="s">
        <v>5777</v>
      </c>
      <c r="B2185" s="52" t="s">
        <v>5813</v>
      </c>
      <c r="C2185" s="53" t="n">
        <v>1379885</v>
      </c>
      <c r="D2185" s="52" t="s">
        <v>4670</v>
      </c>
      <c r="E2185" s="52" t="s">
        <v>4671</v>
      </c>
      <c r="F2185" s="54" t="n">
        <v>24</v>
      </c>
      <c r="G2185" s="55" t="n">
        <v>93.24</v>
      </c>
      <c r="H2185" s="55" t="n">
        <v>3.885</v>
      </c>
      <c r="I2185" s="55" t="n">
        <v>3.82</v>
      </c>
      <c r="J2185" s="52" t="s">
        <v>5816</v>
      </c>
      <c r="K2185" s="56" t="n">
        <v>1</v>
      </c>
      <c r="L2185" s="52" t="s">
        <v>5816</v>
      </c>
      <c r="M2185" s="52" t="s">
        <v>38</v>
      </c>
    </row>
    <row r="2186" customFormat="false" ht="17.25" hidden="false" customHeight="true" outlineLevel="0" collapsed="false">
      <c r="A2186" s="52" t="s">
        <v>5777</v>
      </c>
      <c r="B2186" s="52" t="s">
        <v>5813</v>
      </c>
      <c r="C2186" s="53" t="n">
        <v>292160</v>
      </c>
      <c r="D2186" s="52" t="s">
        <v>4672</v>
      </c>
      <c r="E2186" s="52" t="s">
        <v>4673</v>
      </c>
      <c r="F2186" s="54" t="n">
        <v>2</v>
      </c>
      <c r="G2186" s="55" t="n">
        <v>92.4</v>
      </c>
      <c r="H2186" s="55" t="n">
        <v>46.2</v>
      </c>
      <c r="I2186" s="55" t="n">
        <v>46.2</v>
      </c>
      <c r="J2186" s="52" t="s">
        <v>5816</v>
      </c>
      <c r="K2186" s="56" t="n">
        <v>1</v>
      </c>
      <c r="L2186" s="52" t="s">
        <v>5816</v>
      </c>
      <c r="M2186" s="52" t="s">
        <v>230</v>
      </c>
    </row>
    <row r="2187" customFormat="false" ht="17.25" hidden="false" customHeight="true" outlineLevel="0" collapsed="false">
      <c r="A2187" s="52" t="s">
        <v>5777</v>
      </c>
      <c r="B2187" s="52" t="s">
        <v>5813</v>
      </c>
      <c r="C2187" s="53" t="n">
        <v>19300</v>
      </c>
      <c r="D2187" s="52" t="s">
        <v>4674</v>
      </c>
      <c r="E2187" s="52" t="s">
        <v>4675</v>
      </c>
      <c r="F2187" s="54" t="n">
        <v>20</v>
      </c>
      <c r="G2187" s="55" t="n">
        <v>92</v>
      </c>
      <c r="H2187" s="55" t="n">
        <v>4.6</v>
      </c>
      <c r="I2187" s="55" t="n">
        <v>4.6</v>
      </c>
      <c r="J2187" s="52" t="s">
        <v>5816</v>
      </c>
      <c r="K2187" s="56" t="n">
        <v>1</v>
      </c>
      <c r="L2187" s="52" t="s">
        <v>5816</v>
      </c>
      <c r="M2187" s="52" t="s">
        <v>1095</v>
      </c>
    </row>
    <row r="2188" customFormat="false" ht="17.25" hidden="false" customHeight="true" outlineLevel="0" collapsed="false">
      <c r="A2188" s="52" t="s">
        <v>5777</v>
      </c>
      <c r="B2188" s="52" t="s">
        <v>5813</v>
      </c>
      <c r="C2188" s="53" t="n">
        <v>351655</v>
      </c>
      <c r="D2188" s="52" t="s">
        <v>4676</v>
      </c>
      <c r="E2188" s="52" t="s">
        <v>4677</v>
      </c>
      <c r="F2188" s="54" t="n">
        <v>1</v>
      </c>
      <c r="G2188" s="55" t="n">
        <v>92</v>
      </c>
      <c r="H2188" s="55" t="n">
        <v>92</v>
      </c>
      <c r="I2188" s="55" t="n">
        <v>92</v>
      </c>
      <c r="J2188" s="52" t="s">
        <v>5816</v>
      </c>
      <c r="K2188" s="56" t="n">
        <v>1</v>
      </c>
      <c r="L2188" s="52" t="s">
        <v>5816</v>
      </c>
      <c r="M2188" s="52" t="s">
        <v>130</v>
      </c>
    </row>
    <row r="2189" customFormat="false" ht="17.25" hidden="false" customHeight="true" outlineLevel="0" collapsed="false">
      <c r="A2189" s="52" t="s">
        <v>5777</v>
      </c>
      <c r="B2189" s="52" t="s">
        <v>5813</v>
      </c>
      <c r="C2189" s="53" t="n">
        <v>965627</v>
      </c>
      <c r="D2189" s="52" t="s">
        <v>4678</v>
      </c>
      <c r="E2189" s="52" t="s">
        <v>4679</v>
      </c>
      <c r="F2189" s="54" t="n">
        <v>4</v>
      </c>
      <c r="G2189" s="55" t="n">
        <v>91.92</v>
      </c>
      <c r="H2189" s="55" t="n">
        <v>22.98</v>
      </c>
      <c r="I2189" s="55" t="n">
        <v>22.98</v>
      </c>
      <c r="J2189" s="52" t="s">
        <v>5816</v>
      </c>
      <c r="K2189" s="56" t="n">
        <v>1</v>
      </c>
      <c r="L2189" s="52" t="s">
        <v>5816</v>
      </c>
      <c r="M2189" s="52" t="s">
        <v>38</v>
      </c>
    </row>
    <row r="2190" customFormat="false" ht="17.25" hidden="false" customHeight="true" outlineLevel="0" collapsed="false">
      <c r="A2190" s="52" t="s">
        <v>5777</v>
      </c>
      <c r="B2190" s="52" t="s">
        <v>5813</v>
      </c>
      <c r="C2190" s="53" t="n">
        <v>966291</v>
      </c>
      <c r="D2190" s="52" t="s">
        <v>4680</v>
      </c>
      <c r="E2190" s="52" t="s">
        <v>4681</v>
      </c>
      <c r="F2190" s="54" t="n">
        <v>2</v>
      </c>
      <c r="G2190" s="55" t="n">
        <v>91.7</v>
      </c>
      <c r="H2190" s="55" t="n">
        <v>45.85</v>
      </c>
      <c r="I2190" s="55" t="n">
        <v>45.85</v>
      </c>
      <c r="J2190" s="52" t="s">
        <v>5816</v>
      </c>
      <c r="K2190" s="56" t="n">
        <v>1</v>
      </c>
      <c r="L2190" s="52" t="s">
        <v>5816</v>
      </c>
      <c r="M2190" s="52" t="s">
        <v>1095</v>
      </c>
    </row>
    <row r="2191" customFormat="false" ht="17.25" hidden="false" customHeight="true" outlineLevel="0" collapsed="false">
      <c r="A2191" s="52" t="s">
        <v>5777</v>
      </c>
      <c r="B2191" s="52" t="s">
        <v>5813</v>
      </c>
      <c r="C2191" s="53" t="n">
        <v>1385181</v>
      </c>
      <c r="D2191" s="52" t="s">
        <v>4682</v>
      </c>
      <c r="E2191" s="52" t="s">
        <v>4683</v>
      </c>
      <c r="F2191" s="54" t="n">
        <v>2</v>
      </c>
      <c r="G2191" s="55" t="n">
        <v>91.58</v>
      </c>
      <c r="H2191" s="55" t="n">
        <v>45.79</v>
      </c>
      <c r="I2191" s="55" t="n">
        <v>18.33</v>
      </c>
      <c r="J2191" s="52" t="s">
        <v>5816</v>
      </c>
      <c r="K2191" s="56" t="n">
        <v>1</v>
      </c>
      <c r="L2191" s="52" t="s">
        <v>5816</v>
      </c>
      <c r="M2191" s="52" t="s">
        <v>38</v>
      </c>
    </row>
    <row r="2192" customFormat="false" ht="17.25" hidden="false" customHeight="true" outlineLevel="0" collapsed="false">
      <c r="A2192" s="52" t="s">
        <v>5777</v>
      </c>
      <c r="B2192" s="52" t="s">
        <v>5813</v>
      </c>
      <c r="C2192" s="53" t="n">
        <v>839810</v>
      </c>
      <c r="D2192" s="52" t="s">
        <v>4684</v>
      </c>
      <c r="E2192" s="52" t="s">
        <v>4685</v>
      </c>
      <c r="F2192" s="54" t="n">
        <v>11</v>
      </c>
      <c r="G2192" s="55" t="n">
        <v>91.2</v>
      </c>
      <c r="H2192" s="55" t="n">
        <v>8.2909</v>
      </c>
      <c r="I2192" s="55" t="n">
        <v>1.2</v>
      </c>
      <c r="J2192" s="52" t="s">
        <v>5816</v>
      </c>
      <c r="K2192" s="56" t="n">
        <v>1</v>
      </c>
      <c r="L2192" s="52" t="s">
        <v>5816</v>
      </c>
      <c r="M2192" s="52" t="s">
        <v>100</v>
      </c>
    </row>
    <row r="2193" customFormat="false" ht="17.25" hidden="false" customHeight="true" outlineLevel="0" collapsed="false">
      <c r="A2193" s="52" t="s">
        <v>5777</v>
      </c>
      <c r="B2193" s="52" t="s">
        <v>5813</v>
      </c>
      <c r="C2193" s="53" t="n">
        <v>17888</v>
      </c>
      <c r="D2193" s="52" t="s">
        <v>4686</v>
      </c>
      <c r="E2193" s="52" t="s">
        <v>4687</v>
      </c>
      <c r="F2193" s="54" t="n">
        <v>1</v>
      </c>
      <c r="G2193" s="55" t="n">
        <v>91.08</v>
      </c>
      <c r="H2193" s="55" t="n">
        <v>91.08</v>
      </c>
      <c r="I2193" s="55" t="n">
        <v>91.08</v>
      </c>
      <c r="J2193" s="52" t="s">
        <v>5816</v>
      </c>
      <c r="K2193" s="56" t="n">
        <v>1</v>
      </c>
      <c r="L2193" s="52" t="s">
        <v>5816</v>
      </c>
      <c r="M2193" s="52" t="s">
        <v>835</v>
      </c>
    </row>
    <row r="2194" customFormat="false" ht="17.25" hidden="false" customHeight="true" outlineLevel="0" collapsed="false">
      <c r="A2194" s="52" t="s">
        <v>5777</v>
      </c>
      <c r="B2194" s="52" t="s">
        <v>5813</v>
      </c>
      <c r="C2194" s="53" t="n">
        <v>138289</v>
      </c>
      <c r="D2194" s="52" t="s">
        <v>4688</v>
      </c>
      <c r="E2194" s="52" t="s">
        <v>4689</v>
      </c>
      <c r="F2194" s="54" t="n">
        <v>300</v>
      </c>
      <c r="G2194" s="55" t="n">
        <v>90</v>
      </c>
      <c r="H2194" s="55" t="n">
        <v>0.3</v>
      </c>
      <c r="I2194" s="55" t="n">
        <v>0.3</v>
      </c>
      <c r="J2194" s="52" t="s">
        <v>5816</v>
      </c>
      <c r="K2194" s="56" t="n">
        <v>1</v>
      </c>
      <c r="L2194" s="52" t="s">
        <v>5816</v>
      </c>
      <c r="M2194" s="52" t="s">
        <v>189</v>
      </c>
    </row>
    <row r="2195" customFormat="false" ht="17.25" hidden="false" customHeight="true" outlineLevel="0" collapsed="false">
      <c r="A2195" s="52" t="s">
        <v>5777</v>
      </c>
      <c r="B2195" s="52" t="s">
        <v>5813</v>
      </c>
      <c r="C2195" s="53" t="n">
        <v>833726</v>
      </c>
      <c r="D2195" s="52" t="s">
        <v>4690</v>
      </c>
      <c r="E2195" s="52" t="s">
        <v>4691</v>
      </c>
      <c r="F2195" s="54" t="n">
        <v>15</v>
      </c>
      <c r="G2195" s="55" t="n">
        <v>90</v>
      </c>
      <c r="H2195" s="55" t="n">
        <v>6</v>
      </c>
      <c r="I2195" s="55" t="n">
        <v>6</v>
      </c>
      <c r="J2195" s="52" t="s">
        <v>5816</v>
      </c>
      <c r="K2195" s="56" t="n">
        <v>1</v>
      </c>
      <c r="L2195" s="52" t="s">
        <v>5816</v>
      </c>
      <c r="M2195" s="52" t="s">
        <v>2056</v>
      </c>
    </row>
    <row r="2196" customFormat="false" ht="17.25" hidden="false" customHeight="true" outlineLevel="0" collapsed="false">
      <c r="A2196" s="52" t="s">
        <v>5777</v>
      </c>
      <c r="B2196" s="52" t="s">
        <v>5813</v>
      </c>
      <c r="C2196" s="53" t="n">
        <v>950827</v>
      </c>
      <c r="D2196" s="52" t="s">
        <v>4692</v>
      </c>
      <c r="E2196" s="52" t="s">
        <v>4693</v>
      </c>
      <c r="F2196" s="54" t="n">
        <v>30</v>
      </c>
      <c r="G2196" s="55" t="n">
        <v>90</v>
      </c>
      <c r="H2196" s="55" t="n">
        <v>3</v>
      </c>
      <c r="I2196" s="55" t="n">
        <v>3</v>
      </c>
      <c r="J2196" s="52" t="s">
        <v>5814</v>
      </c>
      <c r="K2196" s="56" t="n">
        <v>1</v>
      </c>
      <c r="L2196" s="52" t="s">
        <v>5814</v>
      </c>
      <c r="M2196" s="52" t="s">
        <v>38</v>
      </c>
    </row>
    <row r="2197" customFormat="false" ht="17.25" hidden="false" customHeight="true" outlineLevel="0" collapsed="false">
      <c r="A2197" s="52" t="s">
        <v>5777</v>
      </c>
      <c r="B2197" s="52" t="s">
        <v>5813</v>
      </c>
      <c r="C2197" s="53" t="n">
        <v>861121</v>
      </c>
      <c r="D2197" s="52" t="s">
        <v>4694</v>
      </c>
      <c r="E2197" s="52" t="s">
        <v>4695</v>
      </c>
      <c r="F2197" s="54" t="n">
        <v>3</v>
      </c>
      <c r="G2197" s="55" t="n">
        <v>89.97</v>
      </c>
      <c r="H2197" s="55" t="n">
        <v>29.99</v>
      </c>
      <c r="I2197" s="55" t="n">
        <v>29.99</v>
      </c>
      <c r="J2197" s="52" t="s">
        <v>5814</v>
      </c>
      <c r="K2197" s="56" t="n">
        <v>1</v>
      </c>
      <c r="L2197" s="52" t="s">
        <v>5814</v>
      </c>
      <c r="M2197" s="52" t="s">
        <v>2056</v>
      </c>
    </row>
    <row r="2198" customFormat="false" ht="17.25" hidden="false" customHeight="true" outlineLevel="0" collapsed="false">
      <c r="A2198" s="52" t="s">
        <v>5777</v>
      </c>
      <c r="B2198" s="52" t="s">
        <v>5813</v>
      </c>
      <c r="C2198" s="53" t="n">
        <v>959543</v>
      </c>
      <c r="D2198" s="52" t="s">
        <v>4696</v>
      </c>
      <c r="E2198" s="52" t="s">
        <v>4697</v>
      </c>
      <c r="F2198" s="54" t="n">
        <v>6</v>
      </c>
      <c r="G2198" s="55" t="n">
        <v>89.88</v>
      </c>
      <c r="H2198" s="55" t="n">
        <v>14.98</v>
      </c>
      <c r="I2198" s="55" t="n">
        <v>14.98</v>
      </c>
      <c r="J2198" s="52" t="s">
        <v>5816</v>
      </c>
      <c r="K2198" s="56" t="n">
        <v>1</v>
      </c>
      <c r="L2198" s="52" t="s">
        <v>5816</v>
      </c>
      <c r="M2198" s="52" t="s">
        <v>38</v>
      </c>
    </row>
    <row r="2199" customFormat="false" ht="17.25" hidden="false" customHeight="true" outlineLevel="0" collapsed="false">
      <c r="A2199" s="52" t="s">
        <v>5777</v>
      </c>
      <c r="B2199" s="52" t="s">
        <v>5813</v>
      </c>
      <c r="C2199" s="53" t="n">
        <v>1062572</v>
      </c>
      <c r="D2199" s="52" t="s">
        <v>4698</v>
      </c>
      <c r="E2199" s="52" t="s">
        <v>4699</v>
      </c>
      <c r="F2199" s="54" t="n">
        <v>9</v>
      </c>
      <c r="G2199" s="55" t="n">
        <v>89.82</v>
      </c>
      <c r="H2199" s="55" t="n">
        <v>9.98</v>
      </c>
      <c r="I2199" s="55" t="n">
        <v>9.98</v>
      </c>
      <c r="J2199" s="52" t="s">
        <v>5816</v>
      </c>
      <c r="K2199" s="56" t="n">
        <v>1</v>
      </c>
      <c r="L2199" s="52" t="s">
        <v>5816</v>
      </c>
      <c r="M2199" s="52" t="s">
        <v>54</v>
      </c>
    </row>
    <row r="2200" customFormat="false" ht="17.25" hidden="false" customHeight="true" outlineLevel="0" collapsed="false">
      <c r="A2200" s="52" t="s">
        <v>5777</v>
      </c>
      <c r="B2200" s="52" t="s">
        <v>5813</v>
      </c>
      <c r="C2200" s="53" t="n">
        <v>60793</v>
      </c>
      <c r="D2200" s="52" t="s">
        <v>4700</v>
      </c>
      <c r="E2200" s="52" t="s">
        <v>5976</v>
      </c>
      <c r="F2200" s="54" t="n">
        <v>2</v>
      </c>
      <c r="G2200" s="55" t="n">
        <v>89.42</v>
      </c>
      <c r="H2200" s="55" t="n">
        <v>44.71</v>
      </c>
      <c r="I2200" s="55" t="n">
        <v>44.71</v>
      </c>
      <c r="J2200" s="52" t="s">
        <v>5816</v>
      </c>
      <c r="K2200" s="56" t="n">
        <v>1</v>
      </c>
      <c r="L2200" s="52" t="s">
        <v>5816</v>
      </c>
      <c r="M2200" s="52" t="s">
        <v>130</v>
      </c>
    </row>
    <row r="2201" customFormat="false" ht="17.25" hidden="false" customHeight="true" outlineLevel="0" collapsed="false">
      <c r="A2201" s="52" t="s">
        <v>5777</v>
      </c>
      <c r="B2201" s="52" t="s">
        <v>5813</v>
      </c>
      <c r="C2201" s="53" t="n">
        <v>555403</v>
      </c>
      <c r="D2201" s="52" t="s">
        <v>4702</v>
      </c>
      <c r="E2201" s="52" t="s">
        <v>4703</v>
      </c>
      <c r="F2201" s="54" t="n">
        <v>9</v>
      </c>
      <c r="G2201" s="55" t="n">
        <v>89.2</v>
      </c>
      <c r="H2201" s="55" t="n">
        <v>9.9111</v>
      </c>
      <c r="I2201" s="55" t="n">
        <v>9.92</v>
      </c>
      <c r="J2201" s="52" t="s">
        <v>5816</v>
      </c>
      <c r="K2201" s="56" t="n">
        <v>1</v>
      </c>
      <c r="L2201" s="52" t="s">
        <v>5816</v>
      </c>
      <c r="M2201" s="52" t="s">
        <v>130</v>
      </c>
    </row>
    <row r="2202" customFormat="false" ht="17.25" hidden="false" customHeight="true" outlineLevel="0" collapsed="false">
      <c r="A2202" s="52" t="s">
        <v>5777</v>
      </c>
      <c r="B2202" s="52" t="s">
        <v>5813</v>
      </c>
      <c r="C2202" s="53" t="n">
        <v>1385180</v>
      </c>
      <c r="D2202" s="52" t="s">
        <v>4704</v>
      </c>
      <c r="E2202" s="52" t="s">
        <v>4705</v>
      </c>
      <c r="F2202" s="54" t="n">
        <v>2</v>
      </c>
      <c r="G2202" s="55" t="n">
        <v>89.18</v>
      </c>
      <c r="H2202" s="55" t="n">
        <v>44.59</v>
      </c>
      <c r="I2202" s="55" t="n">
        <v>20.41</v>
      </c>
      <c r="J2202" s="52" t="s">
        <v>5816</v>
      </c>
      <c r="K2202" s="56" t="n">
        <v>1</v>
      </c>
      <c r="L2202" s="52" t="s">
        <v>5816</v>
      </c>
      <c r="M2202" s="52" t="s">
        <v>38</v>
      </c>
    </row>
    <row r="2203" customFormat="false" ht="17.25" hidden="false" customHeight="true" outlineLevel="0" collapsed="false">
      <c r="A2203" s="52" t="s">
        <v>5777</v>
      </c>
      <c r="B2203" s="52" t="s">
        <v>5813</v>
      </c>
      <c r="C2203" s="53" t="n">
        <v>17949</v>
      </c>
      <c r="D2203" s="52" t="s">
        <v>4706</v>
      </c>
      <c r="E2203" s="52" t="s">
        <v>4707</v>
      </c>
      <c r="F2203" s="54" t="n">
        <v>2</v>
      </c>
      <c r="G2203" s="55" t="n">
        <v>89</v>
      </c>
      <c r="H2203" s="55" t="n">
        <v>44.5</v>
      </c>
      <c r="I2203" s="55" t="n">
        <v>31</v>
      </c>
      <c r="J2203" s="52" t="s">
        <v>5816</v>
      </c>
      <c r="K2203" s="56" t="n">
        <v>1</v>
      </c>
      <c r="L2203" s="52" t="s">
        <v>5816</v>
      </c>
      <c r="M2203" s="52" t="s">
        <v>130</v>
      </c>
    </row>
    <row r="2204" customFormat="false" ht="17.25" hidden="false" customHeight="true" outlineLevel="0" collapsed="false">
      <c r="A2204" s="52" t="s">
        <v>5777</v>
      </c>
      <c r="B2204" s="52" t="s">
        <v>5813</v>
      </c>
      <c r="C2204" s="53" t="n">
        <v>645415</v>
      </c>
      <c r="D2204" s="52" t="s">
        <v>4708</v>
      </c>
      <c r="E2204" s="52" t="s">
        <v>4709</v>
      </c>
      <c r="F2204" s="54" t="n">
        <v>1</v>
      </c>
      <c r="G2204" s="55" t="n">
        <v>89</v>
      </c>
      <c r="H2204" s="55" t="n">
        <v>89</v>
      </c>
      <c r="I2204" s="55" t="n">
        <v>89</v>
      </c>
      <c r="J2204" s="52" t="s">
        <v>5816</v>
      </c>
      <c r="K2204" s="56" t="n">
        <v>1</v>
      </c>
      <c r="L2204" s="52" t="s">
        <v>5816</v>
      </c>
      <c r="M2204" s="52" t="s">
        <v>93</v>
      </c>
    </row>
    <row r="2205" customFormat="false" ht="17.25" hidden="false" customHeight="true" outlineLevel="0" collapsed="false">
      <c r="A2205" s="52" t="s">
        <v>5777</v>
      </c>
      <c r="B2205" s="52" t="s">
        <v>5813</v>
      </c>
      <c r="C2205" s="53" t="n">
        <v>956788</v>
      </c>
      <c r="D2205" s="52" t="s">
        <v>4710</v>
      </c>
      <c r="E2205" s="52" t="s">
        <v>4711</v>
      </c>
      <c r="F2205" s="54" t="n">
        <v>6</v>
      </c>
      <c r="G2205" s="55" t="n">
        <v>88.92</v>
      </c>
      <c r="H2205" s="55" t="n">
        <v>14.82</v>
      </c>
      <c r="I2205" s="55" t="n">
        <v>5.9</v>
      </c>
      <c r="J2205" s="52" t="s">
        <v>5816</v>
      </c>
      <c r="K2205" s="56" t="n">
        <v>1</v>
      </c>
      <c r="L2205" s="52" t="s">
        <v>5816</v>
      </c>
      <c r="M2205" s="52" t="s">
        <v>38</v>
      </c>
    </row>
    <row r="2206" customFormat="false" ht="17.25" hidden="false" customHeight="true" outlineLevel="0" collapsed="false">
      <c r="A2206" s="52" t="s">
        <v>5777</v>
      </c>
      <c r="B2206" s="52" t="s">
        <v>5813</v>
      </c>
      <c r="C2206" s="53" t="n">
        <v>1113308</v>
      </c>
      <c r="D2206" s="52" t="s">
        <v>4712</v>
      </c>
      <c r="E2206" s="52" t="s">
        <v>4713</v>
      </c>
      <c r="F2206" s="54" t="n">
        <v>20</v>
      </c>
      <c r="G2206" s="55" t="n">
        <v>88.3282</v>
      </c>
      <c r="H2206" s="55" t="n">
        <v>21.2709</v>
      </c>
      <c r="I2206" s="55" t="n">
        <v>54.98</v>
      </c>
      <c r="J2206" s="52" t="s">
        <v>5816</v>
      </c>
      <c r="K2206" s="56" t="n">
        <v>1</v>
      </c>
      <c r="L2206" s="52" t="s">
        <v>5816</v>
      </c>
      <c r="M2206" s="52" t="s">
        <v>262</v>
      </c>
    </row>
    <row r="2207" customFormat="false" ht="17.25" hidden="false" customHeight="true" outlineLevel="0" collapsed="false">
      <c r="A2207" s="52" t="s">
        <v>5777</v>
      </c>
      <c r="B2207" s="52" t="s">
        <v>5813</v>
      </c>
      <c r="C2207" s="53" t="n">
        <v>18119</v>
      </c>
      <c r="D2207" s="52" t="s">
        <v>4714</v>
      </c>
      <c r="E2207" s="52" t="s">
        <v>4715</v>
      </c>
      <c r="F2207" s="54" t="n">
        <v>1</v>
      </c>
      <c r="G2207" s="55" t="n">
        <v>88</v>
      </c>
      <c r="H2207" s="55" t="n">
        <v>88</v>
      </c>
      <c r="I2207" s="55" t="n">
        <v>88</v>
      </c>
      <c r="J2207" s="52" t="s">
        <v>5816</v>
      </c>
      <c r="K2207" s="56" t="n">
        <v>1</v>
      </c>
      <c r="L2207" s="52" t="s">
        <v>5816</v>
      </c>
      <c r="M2207" s="52" t="s">
        <v>130</v>
      </c>
    </row>
    <row r="2208" customFormat="false" ht="17.25" hidden="false" customHeight="true" outlineLevel="0" collapsed="false">
      <c r="A2208" s="52" t="s">
        <v>5777</v>
      </c>
      <c r="B2208" s="52" t="s">
        <v>5813</v>
      </c>
      <c r="C2208" s="53" t="n">
        <v>19569</v>
      </c>
      <c r="D2208" s="52" t="s">
        <v>4716</v>
      </c>
      <c r="E2208" s="52" t="s">
        <v>4717</v>
      </c>
      <c r="F2208" s="54" t="n">
        <v>20</v>
      </c>
      <c r="G2208" s="55" t="n">
        <v>88</v>
      </c>
      <c r="H2208" s="55" t="n">
        <v>4.4</v>
      </c>
      <c r="I2208" s="55" t="n">
        <v>4.4</v>
      </c>
      <c r="J2208" s="52" t="s">
        <v>5816</v>
      </c>
      <c r="K2208" s="56" t="n">
        <v>1</v>
      </c>
      <c r="L2208" s="52" t="s">
        <v>5816</v>
      </c>
      <c r="M2208" s="52" t="s">
        <v>1095</v>
      </c>
    </row>
    <row r="2209" customFormat="false" ht="17.25" hidden="false" customHeight="true" outlineLevel="0" collapsed="false">
      <c r="A2209" s="52" t="s">
        <v>5777</v>
      </c>
      <c r="B2209" s="52" t="s">
        <v>5813</v>
      </c>
      <c r="C2209" s="53" t="n">
        <v>22742</v>
      </c>
      <c r="D2209" s="52" t="s">
        <v>4718</v>
      </c>
      <c r="E2209" s="52" t="s">
        <v>4719</v>
      </c>
      <c r="F2209" s="54" t="n">
        <v>1</v>
      </c>
      <c r="G2209" s="55" t="n">
        <v>88</v>
      </c>
      <c r="H2209" s="55" t="n">
        <v>88</v>
      </c>
      <c r="I2209" s="55" t="n">
        <v>88</v>
      </c>
      <c r="J2209" s="52" t="s">
        <v>5816</v>
      </c>
      <c r="K2209" s="56" t="n">
        <v>1</v>
      </c>
      <c r="L2209" s="52" t="s">
        <v>5816</v>
      </c>
      <c r="M2209" s="52" t="s">
        <v>130</v>
      </c>
    </row>
    <row r="2210" customFormat="false" ht="17.25" hidden="false" customHeight="true" outlineLevel="0" collapsed="false">
      <c r="A2210" s="52" t="s">
        <v>5777</v>
      </c>
      <c r="B2210" s="52" t="s">
        <v>5813</v>
      </c>
      <c r="C2210" s="53" t="n">
        <v>65520</v>
      </c>
      <c r="D2210" s="52" t="s">
        <v>4720</v>
      </c>
      <c r="E2210" s="52" t="s">
        <v>4721</v>
      </c>
      <c r="F2210" s="54" t="n">
        <v>1</v>
      </c>
      <c r="G2210" s="55" t="n">
        <v>88</v>
      </c>
      <c r="H2210" s="55" t="n">
        <v>88</v>
      </c>
      <c r="I2210" s="55" t="n">
        <v>88</v>
      </c>
      <c r="J2210" s="52" t="s">
        <v>5816</v>
      </c>
      <c r="K2210" s="56" t="n">
        <v>1</v>
      </c>
      <c r="L2210" s="52" t="s">
        <v>5816</v>
      </c>
      <c r="M2210" s="52" t="s">
        <v>189</v>
      </c>
    </row>
    <row r="2211" customFormat="false" ht="17.25" hidden="false" customHeight="true" outlineLevel="0" collapsed="false">
      <c r="A2211" s="52" t="s">
        <v>5777</v>
      </c>
      <c r="B2211" s="52" t="s">
        <v>5813</v>
      </c>
      <c r="C2211" s="53" t="n">
        <v>1012420</v>
      </c>
      <c r="D2211" s="52" t="s">
        <v>4722</v>
      </c>
      <c r="E2211" s="52" t="s">
        <v>4723</v>
      </c>
      <c r="F2211" s="54" t="n">
        <v>1</v>
      </c>
      <c r="G2211" s="55" t="n">
        <v>88</v>
      </c>
      <c r="H2211" s="55" t="n">
        <v>88</v>
      </c>
      <c r="I2211" s="55" t="n">
        <v>88</v>
      </c>
      <c r="J2211" s="52" t="s">
        <v>5816</v>
      </c>
      <c r="K2211" s="56" t="n">
        <v>1</v>
      </c>
      <c r="L2211" s="52" t="s">
        <v>5816</v>
      </c>
      <c r="M2211" s="52" t="s">
        <v>113</v>
      </c>
    </row>
    <row r="2212" customFormat="false" ht="17.25" hidden="false" customHeight="true" outlineLevel="0" collapsed="false">
      <c r="A2212" s="52" t="s">
        <v>5777</v>
      </c>
      <c r="B2212" s="52" t="s">
        <v>5813</v>
      </c>
      <c r="C2212" s="53" t="n">
        <v>1263127</v>
      </c>
      <c r="D2212" s="52" t="s">
        <v>4724</v>
      </c>
      <c r="E2212" s="52" t="s">
        <v>4725</v>
      </c>
      <c r="F2212" s="54" t="n">
        <v>1</v>
      </c>
      <c r="G2212" s="55" t="n">
        <v>88</v>
      </c>
      <c r="H2212" s="55" t="n">
        <v>88</v>
      </c>
      <c r="I2212" s="55" t="n">
        <v>88</v>
      </c>
      <c r="J2212" s="52" t="s">
        <v>5816</v>
      </c>
      <c r="K2212" s="56" t="n">
        <v>1</v>
      </c>
      <c r="L2212" s="52" t="s">
        <v>5816</v>
      </c>
      <c r="M2212" s="52" t="s">
        <v>130</v>
      </c>
    </row>
    <row r="2213" customFormat="false" ht="17.25" hidden="false" customHeight="true" outlineLevel="0" collapsed="false">
      <c r="A2213" s="52" t="s">
        <v>5777</v>
      </c>
      <c r="B2213" s="52" t="s">
        <v>5813</v>
      </c>
      <c r="C2213" s="53" t="n">
        <v>1320565</v>
      </c>
      <c r="D2213" s="52" t="s">
        <v>4726</v>
      </c>
      <c r="E2213" s="52" t="s">
        <v>4727</v>
      </c>
      <c r="F2213" s="54" t="n">
        <v>1</v>
      </c>
      <c r="G2213" s="55" t="n">
        <v>88</v>
      </c>
      <c r="H2213" s="55" t="n">
        <v>88</v>
      </c>
      <c r="I2213" s="55" t="n">
        <v>88</v>
      </c>
      <c r="J2213" s="52" t="s">
        <v>5816</v>
      </c>
      <c r="K2213" s="56" t="n">
        <v>1</v>
      </c>
      <c r="L2213" s="52" t="s">
        <v>5816</v>
      </c>
      <c r="M2213" s="52" t="s">
        <v>130</v>
      </c>
    </row>
    <row r="2214" customFormat="false" ht="17.25" hidden="false" customHeight="true" outlineLevel="0" collapsed="false">
      <c r="A2214" s="52" t="s">
        <v>5777</v>
      </c>
      <c r="B2214" s="52" t="s">
        <v>5813</v>
      </c>
      <c r="C2214" s="53" t="n">
        <v>16025</v>
      </c>
      <c r="D2214" s="52" t="s">
        <v>4728</v>
      </c>
      <c r="E2214" s="52" t="s">
        <v>4729</v>
      </c>
      <c r="F2214" s="54" t="n">
        <v>2</v>
      </c>
      <c r="G2214" s="55" t="n">
        <v>87.96</v>
      </c>
      <c r="H2214" s="55" t="n">
        <v>43.98</v>
      </c>
      <c r="I2214" s="55" t="n">
        <v>64.98</v>
      </c>
      <c r="J2214" s="52" t="s">
        <v>5816</v>
      </c>
      <c r="K2214" s="56" t="n">
        <v>1</v>
      </c>
      <c r="L2214" s="52" t="s">
        <v>5816</v>
      </c>
      <c r="M2214" s="52" t="s">
        <v>54</v>
      </c>
    </row>
    <row r="2215" customFormat="false" ht="17.25" hidden="false" customHeight="true" outlineLevel="0" collapsed="false">
      <c r="A2215" s="52" t="s">
        <v>5777</v>
      </c>
      <c r="B2215" s="52" t="s">
        <v>5813</v>
      </c>
      <c r="C2215" s="53" t="n">
        <v>1383808</v>
      </c>
      <c r="D2215" s="52" t="s">
        <v>4730</v>
      </c>
      <c r="E2215" s="52" t="s">
        <v>4731</v>
      </c>
      <c r="F2215" s="54" t="n">
        <v>42</v>
      </c>
      <c r="G2215" s="55" t="n">
        <v>87.04</v>
      </c>
      <c r="H2215" s="55" t="n">
        <v>2.0724</v>
      </c>
      <c r="I2215" s="55" t="n">
        <v>1.21</v>
      </c>
      <c r="J2215" s="52" t="s">
        <v>5816</v>
      </c>
      <c r="K2215" s="56" t="n">
        <v>1</v>
      </c>
      <c r="L2215" s="52" t="s">
        <v>5816</v>
      </c>
      <c r="M2215" s="52" t="s">
        <v>100</v>
      </c>
    </row>
    <row r="2216" customFormat="false" ht="17.25" hidden="false" customHeight="true" outlineLevel="0" collapsed="false">
      <c r="A2216" s="52" t="s">
        <v>5777</v>
      </c>
      <c r="B2216" s="52" t="s">
        <v>5813</v>
      </c>
      <c r="C2216" s="53" t="n">
        <v>881389</v>
      </c>
      <c r="D2216" s="52" t="s">
        <v>4732</v>
      </c>
      <c r="E2216" s="52" t="s">
        <v>4733</v>
      </c>
      <c r="F2216" s="54" t="n">
        <v>20</v>
      </c>
      <c r="G2216" s="55" t="n">
        <v>85.6</v>
      </c>
      <c r="H2216" s="55" t="n">
        <v>4.28</v>
      </c>
      <c r="I2216" s="55" t="n">
        <v>4.28</v>
      </c>
      <c r="J2216" s="52" t="s">
        <v>5816</v>
      </c>
      <c r="K2216" s="56" t="n">
        <v>1</v>
      </c>
      <c r="L2216" s="52" t="s">
        <v>5816</v>
      </c>
      <c r="M2216" s="52" t="s">
        <v>100</v>
      </c>
    </row>
    <row r="2217" customFormat="false" ht="17.25" hidden="false" customHeight="true" outlineLevel="0" collapsed="false">
      <c r="A2217" s="52" t="s">
        <v>5777</v>
      </c>
      <c r="B2217" s="52" t="s">
        <v>5813</v>
      </c>
      <c r="C2217" s="53" t="n">
        <v>17696</v>
      </c>
      <c r="D2217" s="52" t="s">
        <v>4734</v>
      </c>
      <c r="E2217" s="52" t="s">
        <v>4735</v>
      </c>
      <c r="F2217" s="54" t="n">
        <v>530</v>
      </c>
      <c r="G2217" s="55" t="n">
        <v>85.5</v>
      </c>
      <c r="H2217" s="55" t="n">
        <v>0.1613</v>
      </c>
      <c r="I2217" s="55" t="n">
        <v>0.11</v>
      </c>
      <c r="J2217" s="52" t="s">
        <v>5816</v>
      </c>
      <c r="K2217" s="56" t="n">
        <v>1</v>
      </c>
      <c r="L2217" s="52" t="s">
        <v>5816</v>
      </c>
      <c r="M2217" s="52" t="s">
        <v>100</v>
      </c>
    </row>
    <row r="2218" customFormat="false" ht="17.25" hidden="false" customHeight="true" outlineLevel="0" collapsed="false">
      <c r="A2218" s="52" t="s">
        <v>5777</v>
      </c>
      <c r="B2218" s="52" t="s">
        <v>5813</v>
      </c>
      <c r="C2218" s="53" t="n">
        <v>1380004</v>
      </c>
      <c r="D2218" s="52" t="s">
        <v>4736</v>
      </c>
      <c r="E2218" s="52" t="s">
        <v>4737</v>
      </c>
      <c r="F2218" s="54" t="n">
        <v>93</v>
      </c>
      <c r="G2218" s="55" t="n">
        <v>84.04</v>
      </c>
      <c r="H2218" s="55" t="n">
        <v>0.9037</v>
      </c>
      <c r="I2218" s="55" t="n">
        <v>0.2833</v>
      </c>
      <c r="J2218" s="52" t="s">
        <v>5816</v>
      </c>
      <c r="K2218" s="56" t="n">
        <v>1</v>
      </c>
      <c r="L2218" s="52" t="s">
        <v>5816</v>
      </c>
      <c r="M2218" s="52" t="s">
        <v>100</v>
      </c>
    </row>
    <row r="2219" customFormat="false" ht="17.25" hidden="false" customHeight="true" outlineLevel="0" collapsed="false">
      <c r="A2219" s="52" t="s">
        <v>5777</v>
      </c>
      <c r="B2219" s="52" t="s">
        <v>5813</v>
      </c>
      <c r="C2219" s="53" t="n">
        <v>18050</v>
      </c>
      <c r="D2219" s="52" t="s">
        <v>4738</v>
      </c>
      <c r="E2219" s="52" t="s">
        <v>4739</v>
      </c>
      <c r="F2219" s="54" t="n">
        <v>1</v>
      </c>
      <c r="G2219" s="55" t="n">
        <v>84</v>
      </c>
      <c r="H2219" s="55" t="n">
        <v>84</v>
      </c>
      <c r="I2219" s="55" t="n">
        <v>84</v>
      </c>
      <c r="J2219" s="52" t="s">
        <v>5816</v>
      </c>
      <c r="K2219" s="56" t="n">
        <v>1</v>
      </c>
      <c r="L2219" s="52" t="s">
        <v>5816</v>
      </c>
      <c r="M2219" s="52" t="s">
        <v>130</v>
      </c>
    </row>
    <row r="2220" customFormat="false" ht="17.25" hidden="false" customHeight="true" outlineLevel="0" collapsed="false">
      <c r="A2220" s="52" t="s">
        <v>5777</v>
      </c>
      <c r="B2220" s="52" t="s">
        <v>5813</v>
      </c>
      <c r="C2220" s="53" t="n">
        <v>286778</v>
      </c>
      <c r="D2220" s="52" t="s">
        <v>4740</v>
      </c>
      <c r="E2220" s="52" t="s">
        <v>4741</v>
      </c>
      <c r="F2220" s="54" t="n">
        <v>24</v>
      </c>
      <c r="G2220" s="55" t="n">
        <v>84</v>
      </c>
      <c r="H2220" s="55" t="n">
        <v>3.5</v>
      </c>
      <c r="I2220" s="55" t="n">
        <v>3.5</v>
      </c>
      <c r="J2220" s="52" t="s">
        <v>5816</v>
      </c>
      <c r="K2220" s="56" t="n">
        <v>1</v>
      </c>
      <c r="L2220" s="52" t="s">
        <v>5816</v>
      </c>
      <c r="M2220" s="52" t="s">
        <v>100</v>
      </c>
    </row>
    <row r="2221" customFormat="false" ht="17.25" hidden="false" customHeight="true" outlineLevel="0" collapsed="false">
      <c r="A2221" s="52" t="s">
        <v>5777</v>
      </c>
      <c r="B2221" s="52" t="s">
        <v>5813</v>
      </c>
      <c r="C2221" s="53" t="n">
        <v>19840</v>
      </c>
      <c r="D2221" s="52" t="s">
        <v>4742</v>
      </c>
      <c r="E2221" s="52" t="s">
        <v>4743</v>
      </c>
      <c r="F2221" s="54" t="n">
        <v>1</v>
      </c>
      <c r="G2221" s="55" t="n">
        <v>83.85</v>
      </c>
      <c r="H2221" s="55" t="n">
        <v>83.85</v>
      </c>
      <c r="I2221" s="55" t="n">
        <v>83.85</v>
      </c>
      <c r="J2221" s="52" t="s">
        <v>5816</v>
      </c>
      <c r="K2221" s="56" t="n">
        <v>1</v>
      </c>
      <c r="L2221" s="52" t="s">
        <v>5816</v>
      </c>
      <c r="M2221" s="52" t="s">
        <v>457</v>
      </c>
    </row>
    <row r="2222" customFormat="false" ht="17.25" hidden="false" customHeight="true" outlineLevel="0" collapsed="false">
      <c r="A2222" s="52" t="s">
        <v>5777</v>
      </c>
      <c r="B2222" s="52" t="s">
        <v>5813</v>
      </c>
      <c r="C2222" s="53" t="n">
        <v>19515</v>
      </c>
      <c r="D2222" s="52" t="s">
        <v>4744</v>
      </c>
      <c r="E2222" s="52" t="s">
        <v>4745</v>
      </c>
      <c r="F2222" s="54" t="n">
        <v>20</v>
      </c>
      <c r="G2222" s="55" t="n">
        <v>83.6</v>
      </c>
      <c r="H2222" s="55" t="n">
        <v>4.18</v>
      </c>
      <c r="I2222" s="55" t="n">
        <v>4.1</v>
      </c>
      <c r="J2222" s="52" t="s">
        <v>5816</v>
      </c>
      <c r="K2222" s="56" t="n">
        <v>1</v>
      </c>
      <c r="L2222" s="52" t="s">
        <v>5816</v>
      </c>
      <c r="M2222" s="52" t="s">
        <v>1095</v>
      </c>
    </row>
    <row r="2223" customFormat="false" ht="17.25" hidden="false" customHeight="true" outlineLevel="0" collapsed="false">
      <c r="A2223" s="52" t="s">
        <v>5777</v>
      </c>
      <c r="B2223" s="52" t="s">
        <v>5813</v>
      </c>
      <c r="C2223" s="53" t="n">
        <v>32460</v>
      </c>
      <c r="D2223" s="52" t="s">
        <v>4746</v>
      </c>
      <c r="E2223" s="52" t="s">
        <v>4747</v>
      </c>
      <c r="F2223" s="54" t="n">
        <v>1</v>
      </c>
      <c r="G2223" s="55" t="n">
        <v>82.15</v>
      </c>
      <c r="H2223" s="55" t="n">
        <v>82.15</v>
      </c>
      <c r="I2223" s="55" t="n">
        <v>82.15</v>
      </c>
      <c r="J2223" s="52" t="s">
        <v>5850</v>
      </c>
      <c r="K2223" s="56" t="n">
        <v>3</v>
      </c>
      <c r="L2223" s="52" t="s">
        <v>5814</v>
      </c>
      <c r="M2223" s="52" t="s">
        <v>38</v>
      </c>
    </row>
    <row r="2224" customFormat="false" ht="17.25" hidden="false" customHeight="true" outlineLevel="0" collapsed="false">
      <c r="A2224" s="52" t="s">
        <v>5777</v>
      </c>
      <c r="B2224" s="52" t="s">
        <v>5813</v>
      </c>
      <c r="C2224" s="53" t="n">
        <v>646926</v>
      </c>
      <c r="D2224" s="52" t="s">
        <v>4748</v>
      </c>
      <c r="E2224" s="52" t="s">
        <v>4749</v>
      </c>
      <c r="F2224" s="54" t="n">
        <v>4</v>
      </c>
      <c r="G2224" s="55" t="n">
        <v>81.88</v>
      </c>
      <c r="H2224" s="55" t="n">
        <v>20.47</v>
      </c>
      <c r="I2224" s="55" t="n">
        <v>20.47</v>
      </c>
      <c r="J2224" s="52" t="s">
        <v>5816</v>
      </c>
      <c r="K2224" s="56" t="n">
        <v>1</v>
      </c>
      <c r="L2224" s="52" t="s">
        <v>5816</v>
      </c>
      <c r="M2224" s="52" t="s">
        <v>100</v>
      </c>
    </row>
    <row r="2225" customFormat="false" ht="17.25" hidden="false" customHeight="true" outlineLevel="0" collapsed="false">
      <c r="A2225" s="52" t="s">
        <v>5777</v>
      </c>
      <c r="B2225" s="52" t="s">
        <v>5813</v>
      </c>
      <c r="C2225" s="53" t="n">
        <v>1385904</v>
      </c>
      <c r="D2225" s="52" t="s">
        <v>4750</v>
      </c>
      <c r="E2225" s="52" t="s">
        <v>4751</v>
      </c>
      <c r="F2225" s="54" t="n">
        <v>36</v>
      </c>
      <c r="G2225" s="55" t="n">
        <v>81.77</v>
      </c>
      <c r="H2225" s="55" t="n">
        <v>2.2714</v>
      </c>
      <c r="I2225" s="55" t="n">
        <v>0.5456</v>
      </c>
      <c r="J2225" s="52" t="s">
        <v>5816</v>
      </c>
      <c r="K2225" s="56" t="n">
        <v>1</v>
      </c>
      <c r="L2225" s="52" t="s">
        <v>5816</v>
      </c>
      <c r="M2225" s="52" t="s">
        <v>160</v>
      </c>
    </row>
    <row r="2226" customFormat="false" ht="17.25" hidden="false" customHeight="true" outlineLevel="0" collapsed="false">
      <c r="A2226" s="52" t="s">
        <v>5777</v>
      </c>
      <c r="B2226" s="52" t="s">
        <v>5813</v>
      </c>
      <c r="C2226" s="53" t="n">
        <v>427780</v>
      </c>
      <c r="D2226" s="52" t="s">
        <v>4754</v>
      </c>
      <c r="E2226" s="52" t="s">
        <v>4755</v>
      </c>
      <c r="F2226" s="54" t="n">
        <v>1.34</v>
      </c>
      <c r="G2226" s="55" t="n">
        <v>80.33</v>
      </c>
      <c r="H2226" s="55" t="n">
        <v>59.9478</v>
      </c>
      <c r="I2226" s="55" t="n">
        <v>59.9478</v>
      </c>
      <c r="J2226" s="52" t="s">
        <v>5816</v>
      </c>
      <c r="K2226" s="56" t="n">
        <v>1</v>
      </c>
      <c r="L2226" s="52" t="s">
        <v>5816</v>
      </c>
      <c r="M2226" s="52" t="s">
        <v>204</v>
      </c>
    </row>
    <row r="2227" customFormat="false" ht="17.25" hidden="false" customHeight="true" outlineLevel="0" collapsed="false">
      <c r="A2227" s="52" t="s">
        <v>5777</v>
      </c>
      <c r="B2227" s="52" t="s">
        <v>5813</v>
      </c>
      <c r="C2227" s="53" t="n">
        <v>35549</v>
      </c>
      <c r="D2227" s="52" t="s">
        <v>4756</v>
      </c>
      <c r="E2227" s="52" t="s">
        <v>4757</v>
      </c>
      <c r="F2227" s="54" t="n">
        <v>177</v>
      </c>
      <c r="G2227" s="55" t="n">
        <v>80.22</v>
      </c>
      <c r="H2227" s="55" t="n">
        <v>0.4532</v>
      </c>
      <c r="I2227" s="55" t="n">
        <v>0.78</v>
      </c>
      <c r="J2227" s="52" t="s">
        <v>5816</v>
      </c>
      <c r="K2227" s="56" t="n">
        <v>1</v>
      </c>
      <c r="L2227" s="52" t="s">
        <v>5816</v>
      </c>
      <c r="M2227" s="52" t="s">
        <v>38</v>
      </c>
    </row>
    <row r="2228" customFormat="false" ht="17.25" hidden="false" customHeight="true" outlineLevel="0" collapsed="false">
      <c r="A2228" s="52" t="s">
        <v>5777</v>
      </c>
      <c r="B2228" s="52" t="s">
        <v>5813</v>
      </c>
      <c r="C2228" s="53" t="n">
        <v>1657132</v>
      </c>
      <c r="D2228" s="52" t="s">
        <v>4760</v>
      </c>
      <c r="E2228" s="52" t="s">
        <v>4761</v>
      </c>
      <c r="F2228" s="54" t="n">
        <v>32</v>
      </c>
      <c r="G2228" s="55" t="n">
        <v>80</v>
      </c>
      <c r="H2228" s="55" t="n">
        <v>2.5</v>
      </c>
      <c r="I2228" s="55" t="n">
        <v>2.5</v>
      </c>
      <c r="J2228" s="52" t="s">
        <v>5816</v>
      </c>
      <c r="K2228" s="56" t="n">
        <v>1</v>
      </c>
      <c r="L2228" s="52" t="s">
        <v>5816</v>
      </c>
      <c r="M2228" s="52" t="s">
        <v>100</v>
      </c>
    </row>
    <row r="2229" customFormat="false" ht="17.25" hidden="false" customHeight="true" outlineLevel="0" collapsed="false">
      <c r="A2229" s="52" t="s">
        <v>5777</v>
      </c>
      <c r="B2229" s="52" t="s">
        <v>5813</v>
      </c>
      <c r="C2229" s="53" t="n">
        <v>856178</v>
      </c>
      <c r="D2229" s="52" t="s">
        <v>4762</v>
      </c>
      <c r="E2229" s="52" t="s">
        <v>4763</v>
      </c>
      <c r="F2229" s="54" t="n">
        <v>2</v>
      </c>
      <c r="G2229" s="55" t="n">
        <v>79.96</v>
      </c>
      <c r="H2229" s="55" t="n">
        <v>39.98</v>
      </c>
      <c r="I2229" s="55" t="n">
        <v>39.98</v>
      </c>
      <c r="J2229" s="52" t="s">
        <v>5816</v>
      </c>
      <c r="K2229" s="56" t="n">
        <v>1</v>
      </c>
      <c r="L2229" s="52" t="s">
        <v>5816</v>
      </c>
      <c r="M2229" s="52" t="s">
        <v>363</v>
      </c>
    </row>
    <row r="2230" customFormat="false" ht="17.25" hidden="false" customHeight="true" outlineLevel="0" collapsed="false">
      <c r="A2230" s="52" t="s">
        <v>5777</v>
      </c>
      <c r="B2230" s="52" t="s">
        <v>5813</v>
      </c>
      <c r="C2230" s="53" t="n">
        <v>942232</v>
      </c>
      <c r="D2230" s="52" t="s">
        <v>4764</v>
      </c>
      <c r="E2230" s="52" t="s">
        <v>4765</v>
      </c>
      <c r="F2230" s="54" t="n">
        <v>2</v>
      </c>
      <c r="G2230" s="55" t="n">
        <v>79.96</v>
      </c>
      <c r="H2230" s="55" t="n">
        <v>39.98</v>
      </c>
      <c r="I2230" s="55" t="n">
        <v>39.98</v>
      </c>
      <c r="J2230" s="52" t="s">
        <v>5814</v>
      </c>
      <c r="K2230" s="56" t="n">
        <v>1</v>
      </c>
      <c r="L2230" s="52" t="s">
        <v>5814</v>
      </c>
      <c r="M2230" s="52" t="s">
        <v>38</v>
      </c>
    </row>
    <row r="2231" customFormat="false" ht="17.25" hidden="false" customHeight="true" outlineLevel="0" collapsed="false">
      <c r="A2231" s="52" t="s">
        <v>5777</v>
      </c>
      <c r="B2231" s="52" t="s">
        <v>5813</v>
      </c>
      <c r="C2231" s="53" t="n">
        <v>22529</v>
      </c>
      <c r="D2231" s="52" t="s">
        <v>4766</v>
      </c>
      <c r="E2231" s="52" t="s">
        <v>4767</v>
      </c>
      <c r="F2231" s="54" t="n">
        <v>4</v>
      </c>
      <c r="G2231" s="55" t="n">
        <v>79.92</v>
      </c>
      <c r="H2231" s="55" t="n">
        <v>19.98</v>
      </c>
      <c r="I2231" s="55" t="n">
        <v>19.98</v>
      </c>
      <c r="J2231" s="52" t="s">
        <v>5816</v>
      </c>
      <c r="K2231" s="56" t="n">
        <v>1</v>
      </c>
      <c r="L2231" s="52" t="s">
        <v>5816</v>
      </c>
      <c r="M2231" s="52" t="s">
        <v>38</v>
      </c>
    </row>
    <row r="2232" customFormat="false" ht="17.25" hidden="false" customHeight="true" outlineLevel="0" collapsed="false">
      <c r="A2232" s="52" t="s">
        <v>5777</v>
      </c>
      <c r="B2232" s="52" t="s">
        <v>5813</v>
      </c>
      <c r="C2232" s="53" t="n">
        <v>879187</v>
      </c>
      <c r="D2232" s="52" t="s">
        <v>4768</v>
      </c>
      <c r="E2232" s="52" t="s">
        <v>4769</v>
      </c>
      <c r="F2232" s="54" t="n">
        <v>4</v>
      </c>
      <c r="G2232" s="55" t="n">
        <v>79.92</v>
      </c>
      <c r="H2232" s="55" t="n">
        <v>19.98</v>
      </c>
      <c r="I2232" s="55" t="n">
        <v>19.98</v>
      </c>
      <c r="J2232" s="52" t="s">
        <v>5816</v>
      </c>
      <c r="K2232" s="56" t="n">
        <v>1</v>
      </c>
      <c r="L2232" s="52" t="s">
        <v>5816</v>
      </c>
      <c r="M2232" s="52" t="s">
        <v>38</v>
      </c>
    </row>
    <row r="2233" customFormat="false" ht="17.25" hidden="false" customHeight="true" outlineLevel="0" collapsed="false">
      <c r="A2233" s="52" t="s">
        <v>5777</v>
      </c>
      <c r="B2233" s="52" t="s">
        <v>5813</v>
      </c>
      <c r="C2233" s="53" t="n">
        <v>1668629</v>
      </c>
      <c r="D2233" s="52" t="s">
        <v>4770</v>
      </c>
      <c r="E2233" s="52" t="s">
        <v>4771</v>
      </c>
      <c r="F2233" s="54" t="n">
        <v>1</v>
      </c>
      <c r="G2233" s="55" t="n">
        <v>78.85</v>
      </c>
      <c r="H2233" s="55" t="n">
        <v>78.85</v>
      </c>
      <c r="I2233" s="55" t="n">
        <v>78.85</v>
      </c>
      <c r="J2233" s="52" t="s">
        <v>5816</v>
      </c>
      <c r="K2233" s="56" t="n">
        <v>1</v>
      </c>
      <c r="L2233" s="52" t="s">
        <v>5816</v>
      </c>
      <c r="M2233" s="52" t="s">
        <v>54</v>
      </c>
    </row>
    <row r="2234" customFormat="false" ht="17.25" hidden="false" customHeight="true" outlineLevel="0" collapsed="false">
      <c r="A2234" s="52" t="s">
        <v>5777</v>
      </c>
      <c r="B2234" s="52" t="s">
        <v>5813</v>
      </c>
      <c r="C2234" s="53" t="n">
        <v>14685</v>
      </c>
      <c r="D2234" s="52" t="s">
        <v>4772</v>
      </c>
      <c r="E2234" s="52" t="s">
        <v>4773</v>
      </c>
      <c r="F2234" s="54" t="n">
        <v>6</v>
      </c>
      <c r="G2234" s="55" t="n">
        <v>78.78</v>
      </c>
      <c r="H2234" s="55" t="n">
        <v>13.13</v>
      </c>
      <c r="I2234" s="55" t="n">
        <v>13.13</v>
      </c>
      <c r="J2234" s="52" t="s">
        <v>5816</v>
      </c>
      <c r="K2234" s="56" t="n">
        <v>1</v>
      </c>
      <c r="L2234" s="52" t="s">
        <v>5816</v>
      </c>
      <c r="M2234" s="52" t="s">
        <v>54</v>
      </c>
    </row>
    <row r="2235" customFormat="false" ht="17.25" hidden="false" customHeight="true" outlineLevel="0" collapsed="false">
      <c r="A2235" s="52" t="s">
        <v>5777</v>
      </c>
      <c r="B2235" s="52" t="s">
        <v>5813</v>
      </c>
      <c r="C2235" s="53" t="n">
        <v>19820</v>
      </c>
      <c r="D2235" s="52" t="s">
        <v>4774</v>
      </c>
      <c r="E2235" s="52" t="s">
        <v>4775</v>
      </c>
      <c r="F2235" s="54" t="n">
        <v>1</v>
      </c>
      <c r="G2235" s="55" t="n">
        <v>78</v>
      </c>
      <c r="H2235" s="55" t="n">
        <v>78</v>
      </c>
      <c r="I2235" s="55" t="n">
        <v>78</v>
      </c>
      <c r="J2235" s="52" t="s">
        <v>5816</v>
      </c>
      <c r="K2235" s="56" t="n">
        <v>1</v>
      </c>
      <c r="L2235" s="52" t="s">
        <v>5816</v>
      </c>
      <c r="M2235" s="52" t="s">
        <v>605</v>
      </c>
    </row>
    <row r="2236" customFormat="false" ht="17.25" hidden="false" customHeight="true" outlineLevel="0" collapsed="false">
      <c r="A2236" s="52" t="s">
        <v>5777</v>
      </c>
      <c r="B2236" s="52" t="s">
        <v>5813</v>
      </c>
      <c r="C2236" s="53" t="n">
        <v>136924</v>
      </c>
      <c r="D2236" s="52" t="s">
        <v>4776</v>
      </c>
      <c r="E2236" s="52" t="s">
        <v>4777</v>
      </c>
      <c r="F2236" s="54" t="n">
        <v>1</v>
      </c>
      <c r="G2236" s="55" t="n">
        <v>78</v>
      </c>
      <c r="H2236" s="55" t="n">
        <v>78</v>
      </c>
      <c r="I2236" s="55" t="n">
        <v>78</v>
      </c>
      <c r="J2236" s="52" t="s">
        <v>5816</v>
      </c>
      <c r="K2236" s="56" t="n">
        <v>1</v>
      </c>
      <c r="L2236" s="52" t="s">
        <v>5816</v>
      </c>
      <c r="M2236" s="52" t="s">
        <v>54</v>
      </c>
    </row>
    <row r="2237" customFormat="false" ht="17.25" hidden="false" customHeight="true" outlineLevel="0" collapsed="false">
      <c r="A2237" s="52" t="s">
        <v>5777</v>
      </c>
      <c r="B2237" s="52" t="s">
        <v>5813</v>
      </c>
      <c r="C2237" s="53" t="n">
        <v>932391</v>
      </c>
      <c r="D2237" s="52" t="s">
        <v>4778</v>
      </c>
      <c r="E2237" s="52" t="s">
        <v>4779</v>
      </c>
      <c r="F2237" s="54" t="n">
        <v>1</v>
      </c>
      <c r="G2237" s="55" t="n">
        <v>78</v>
      </c>
      <c r="H2237" s="55" t="n">
        <v>78</v>
      </c>
      <c r="I2237" s="55" t="n">
        <v>78</v>
      </c>
      <c r="J2237" s="52" t="s">
        <v>5816</v>
      </c>
      <c r="K2237" s="56" t="n">
        <v>1</v>
      </c>
      <c r="L2237" s="52" t="s">
        <v>5816</v>
      </c>
      <c r="M2237" s="52" t="s">
        <v>54</v>
      </c>
    </row>
    <row r="2238" customFormat="false" ht="17.25" hidden="false" customHeight="true" outlineLevel="0" collapsed="false">
      <c r="A2238" s="52" t="s">
        <v>5777</v>
      </c>
      <c r="B2238" s="52" t="s">
        <v>5813</v>
      </c>
      <c r="C2238" s="53" t="n">
        <v>1107808</v>
      </c>
      <c r="D2238" s="52" t="s">
        <v>4780</v>
      </c>
      <c r="E2238" s="52" t="s">
        <v>5977</v>
      </c>
      <c r="F2238" s="54" t="n">
        <v>1</v>
      </c>
      <c r="G2238" s="55" t="n">
        <v>78</v>
      </c>
      <c r="H2238" s="55" t="n">
        <v>78</v>
      </c>
      <c r="I2238" s="55" t="n">
        <v>78</v>
      </c>
      <c r="J2238" s="52" t="s">
        <v>5816</v>
      </c>
      <c r="K2238" s="56" t="n">
        <v>1</v>
      </c>
      <c r="L2238" s="52" t="s">
        <v>5816</v>
      </c>
      <c r="M2238" s="52" t="s">
        <v>38</v>
      </c>
    </row>
    <row r="2239" customFormat="false" ht="17.25" hidden="false" customHeight="true" outlineLevel="0" collapsed="false">
      <c r="A2239" s="52" t="s">
        <v>5777</v>
      </c>
      <c r="B2239" s="52" t="s">
        <v>5813</v>
      </c>
      <c r="C2239" s="53" t="n">
        <v>1381902</v>
      </c>
      <c r="D2239" s="52" t="s">
        <v>4782</v>
      </c>
      <c r="E2239" s="52" t="s">
        <v>5978</v>
      </c>
      <c r="F2239" s="54" t="n">
        <v>1</v>
      </c>
      <c r="G2239" s="55" t="n">
        <v>78</v>
      </c>
      <c r="H2239" s="55" t="n">
        <v>78</v>
      </c>
      <c r="I2239" s="55" t="n">
        <v>78</v>
      </c>
      <c r="J2239" s="52" t="s">
        <v>5914</v>
      </c>
      <c r="K2239" s="56" t="n">
        <v>1</v>
      </c>
      <c r="L2239" s="52" t="s">
        <v>5914</v>
      </c>
      <c r="M2239" s="52" t="s">
        <v>54</v>
      </c>
    </row>
    <row r="2240" customFormat="false" ht="17.25" hidden="false" customHeight="true" outlineLevel="0" collapsed="false">
      <c r="A2240" s="52" t="s">
        <v>5777</v>
      </c>
      <c r="B2240" s="52" t="s">
        <v>5813</v>
      </c>
      <c r="C2240" s="53" t="n">
        <v>1386217</v>
      </c>
      <c r="D2240" s="52" t="s">
        <v>4784</v>
      </c>
      <c r="E2240" s="52" t="s">
        <v>4785</v>
      </c>
      <c r="F2240" s="54" t="n">
        <v>1</v>
      </c>
      <c r="G2240" s="55" t="n">
        <v>78</v>
      </c>
      <c r="H2240" s="55" t="n">
        <v>78</v>
      </c>
      <c r="I2240" s="55" t="n">
        <v>78</v>
      </c>
      <c r="J2240" s="52" t="s">
        <v>5816</v>
      </c>
      <c r="K2240" s="56" t="n">
        <v>1</v>
      </c>
      <c r="L2240" s="52" t="s">
        <v>5816</v>
      </c>
      <c r="M2240" s="52" t="s">
        <v>130</v>
      </c>
    </row>
    <row r="2241" customFormat="false" ht="17.25" hidden="false" customHeight="true" outlineLevel="0" collapsed="false">
      <c r="A2241" s="52" t="s">
        <v>5777</v>
      </c>
      <c r="B2241" s="52" t="s">
        <v>5813</v>
      </c>
      <c r="C2241" s="53" t="n">
        <v>1461941</v>
      </c>
      <c r="D2241" s="52" t="s">
        <v>4786</v>
      </c>
      <c r="E2241" s="52" t="s">
        <v>4787</v>
      </c>
      <c r="F2241" s="54" t="n">
        <v>1</v>
      </c>
      <c r="G2241" s="55" t="n">
        <v>78</v>
      </c>
      <c r="H2241" s="55" t="n">
        <v>78</v>
      </c>
      <c r="I2241" s="55" t="n">
        <v>78</v>
      </c>
      <c r="J2241" s="52" t="s">
        <v>5816</v>
      </c>
      <c r="K2241" s="56" t="n">
        <v>1</v>
      </c>
      <c r="L2241" s="52" t="s">
        <v>5816</v>
      </c>
      <c r="M2241" s="52" t="s">
        <v>38</v>
      </c>
    </row>
    <row r="2242" customFormat="false" ht="17.25" hidden="false" customHeight="true" outlineLevel="0" collapsed="false">
      <c r="A2242" s="52" t="s">
        <v>5777</v>
      </c>
      <c r="B2242" s="52" t="s">
        <v>5813</v>
      </c>
      <c r="C2242" s="53" t="n">
        <v>1659750</v>
      </c>
      <c r="D2242" s="52" t="s">
        <v>4788</v>
      </c>
      <c r="E2242" s="52" t="s">
        <v>4789</v>
      </c>
      <c r="F2242" s="54" t="n">
        <v>12</v>
      </c>
      <c r="G2242" s="55" t="n">
        <v>78</v>
      </c>
      <c r="H2242" s="55" t="n">
        <v>6.5</v>
      </c>
      <c r="I2242" s="55" t="n">
        <v>6.5</v>
      </c>
      <c r="J2242" s="52" t="s">
        <v>5816</v>
      </c>
      <c r="K2242" s="56" t="n">
        <v>1</v>
      </c>
      <c r="L2242" s="52" t="s">
        <v>5816</v>
      </c>
      <c r="M2242" s="52" t="s">
        <v>100</v>
      </c>
    </row>
    <row r="2243" customFormat="false" ht="17.25" hidden="false" customHeight="true" outlineLevel="0" collapsed="false">
      <c r="A2243" s="52" t="s">
        <v>5777</v>
      </c>
      <c r="B2243" s="52" t="s">
        <v>5813</v>
      </c>
      <c r="C2243" s="53" t="n">
        <v>22528</v>
      </c>
      <c r="D2243" s="52" t="s">
        <v>4790</v>
      </c>
      <c r="E2243" s="52" t="s">
        <v>4791</v>
      </c>
      <c r="F2243" s="54" t="n">
        <v>6</v>
      </c>
      <c r="G2243" s="55" t="n">
        <v>77.88</v>
      </c>
      <c r="H2243" s="55" t="n">
        <v>12.98</v>
      </c>
      <c r="I2243" s="55" t="n">
        <v>12.98</v>
      </c>
      <c r="J2243" s="52" t="s">
        <v>5816</v>
      </c>
      <c r="K2243" s="56" t="n">
        <v>1</v>
      </c>
      <c r="L2243" s="52" t="s">
        <v>5816</v>
      </c>
      <c r="M2243" s="52" t="s">
        <v>38</v>
      </c>
    </row>
    <row r="2244" customFormat="false" ht="17.25" hidden="false" customHeight="true" outlineLevel="0" collapsed="false">
      <c r="A2244" s="52" t="s">
        <v>5777</v>
      </c>
      <c r="B2244" s="52" t="s">
        <v>5813</v>
      </c>
      <c r="C2244" s="53" t="n">
        <v>932993</v>
      </c>
      <c r="D2244" s="52" t="s">
        <v>4792</v>
      </c>
      <c r="E2244" s="52" t="s">
        <v>4793</v>
      </c>
      <c r="F2244" s="54" t="n">
        <v>4</v>
      </c>
      <c r="G2244" s="55" t="n">
        <v>77.88</v>
      </c>
      <c r="H2244" s="55" t="n">
        <v>19.47</v>
      </c>
      <c r="I2244" s="55" t="n">
        <v>19.47</v>
      </c>
      <c r="J2244" s="52" t="s">
        <v>5816</v>
      </c>
      <c r="K2244" s="56" t="n">
        <v>1</v>
      </c>
      <c r="L2244" s="52" t="s">
        <v>5816</v>
      </c>
      <c r="M2244" s="52" t="s">
        <v>38</v>
      </c>
    </row>
    <row r="2245" customFormat="false" ht="17.25" hidden="false" customHeight="true" outlineLevel="0" collapsed="false">
      <c r="A2245" s="52" t="s">
        <v>5777</v>
      </c>
      <c r="B2245" s="52" t="s">
        <v>5813</v>
      </c>
      <c r="C2245" s="53" t="n">
        <v>19382</v>
      </c>
      <c r="D2245" s="52" t="s">
        <v>4794</v>
      </c>
      <c r="E2245" s="52" t="s">
        <v>4795</v>
      </c>
      <c r="F2245" s="54" t="n">
        <v>11</v>
      </c>
      <c r="G2245" s="55" t="n">
        <v>77.8335</v>
      </c>
      <c r="H2245" s="55" t="n">
        <v>7.0758</v>
      </c>
      <c r="I2245" s="55" t="n">
        <v>38.1</v>
      </c>
      <c r="J2245" s="52" t="s">
        <v>5816</v>
      </c>
      <c r="K2245" s="56" t="n">
        <v>1</v>
      </c>
      <c r="L2245" s="52" t="s">
        <v>5816</v>
      </c>
      <c r="M2245" s="52" t="s">
        <v>1095</v>
      </c>
    </row>
    <row r="2246" customFormat="false" ht="17.25" hidden="false" customHeight="true" outlineLevel="0" collapsed="false">
      <c r="A2246" s="52" t="s">
        <v>5777</v>
      </c>
      <c r="B2246" s="52" t="s">
        <v>5813</v>
      </c>
      <c r="C2246" s="53" t="n">
        <v>59097</v>
      </c>
      <c r="D2246" s="52" t="s">
        <v>4796</v>
      </c>
      <c r="E2246" s="52" t="s">
        <v>4797</v>
      </c>
      <c r="F2246" s="54" t="n">
        <v>2</v>
      </c>
      <c r="G2246" s="55" t="n">
        <v>77.78</v>
      </c>
      <c r="H2246" s="55" t="n">
        <v>38.89</v>
      </c>
      <c r="I2246" s="55" t="n">
        <v>38.89</v>
      </c>
      <c r="J2246" s="52" t="s">
        <v>5816</v>
      </c>
      <c r="K2246" s="56" t="n">
        <v>1</v>
      </c>
      <c r="L2246" s="52" t="s">
        <v>5816</v>
      </c>
      <c r="M2246" s="52" t="s">
        <v>2056</v>
      </c>
    </row>
    <row r="2247" customFormat="false" ht="17.25" hidden="false" customHeight="true" outlineLevel="0" collapsed="false">
      <c r="A2247" s="52" t="s">
        <v>5777</v>
      </c>
      <c r="B2247" s="52" t="s">
        <v>5813</v>
      </c>
      <c r="C2247" s="53" t="n">
        <v>1090980</v>
      </c>
      <c r="D2247" s="52" t="s">
        <v>4798</v>
      </c>
      <c r="E2247" s="52" t="s">
        <v>4799</v>
      </c>
      <c r="F2247" s="54" t="n">
        <v>5</v>
      </c>
      <c r="G2247" s="55" t="n">
        <v>77.4</v>
      </c>
      <c r="H2247" s="55" t="n">
        <v>15.48</v>
      </c>
      <c r="I2247" s="55" t="n">
        <v>15.48</v>
      </c>
      <c r="J2247" s="52" t="s">
        <v>5816</v>
      </c>
      <c r="K2247" s="56" t="n">
        <v>1</v>
      </c>
      <c r="L2247" s="52" t="s">
        <v>5816</v>
      </c>
      <c r="M2247" s="52" t="s">
        <v>230</v>
      </c>
    </row>
    <row r="2248" customFormat="false" ht="17.25" hidden="false" customHeight="true" outlineLevel="0" collapsed="false">
      <c r="A2248" s="52" t="s">
        <v>5777</v>
      </c>
      <c r="B2248" s="52" t="s">
        <v>5813</v>
      </c>
      <c r="C2248" s="53" t="n">
        <v>880088</v>
      </c>
      <c r="D2248" s="52" t="s">
        <v>4800</v>
      </c>
      <c r="E2248" s="52" t="s">
        <v>4801</v>
      </c>
      <c r="F2248" s="54" t="n">
        <v>12</v>
      </c>
      <c r="G2248" s="55" t="n">
        <v>77.28</v>
      </c>
      <c r="H2248" s="55" t="n">
        <v>6.44</v>
      </c>
      <c r="I2248" s="55" t="n">
        <v>6.44</v>
      </c>
      <c r="J2248" s="52" t="s">
        <v>5816</v>
      </c>
      <c r="K2248" s="56" t="n">
        <v>1</v>
      </c>
      <c r="L2248" s="52" t="s">
        <v>5816</v>
      </c>
      <c r="M2248" s="52" t="s">
        <v>1618</v>
      </c>
    </row>
    <row r="2249" customFormat="false" ht="17.25" hidden="false" customHeight="true" outlineLevel="0" collapsed="false">
      <c r="A2249" s="52" t="s">
        <v>5777</v>
      </c>
      <c r="B2249" s="52" t="s">
        <v>5813</v>
      </c>
      <c r="C2249" s="53" t="n">
        <v>844082</v>
      </c>
      <c r="D2249" s="52" t="s">
        <v>4802</v>
      </c>
      <c r="E2249" s="52" t="s">
        <v>4803</v>
      </c>
      <c r="F2249" s="54" t="n">
        <v>44</v>
      </c>
      <c r="G2249" s="55" t="n">
        <v>77</v>
      </c>
      <c r="H2249" s="55" t="n">
        <v>1.75</v>
      </c>
      <c r="I2249" s="55" t="n">
        <v>1.75</v>
      </c>
      <c r="J2249" s="52" t="s">
        <v>5816</v>
      </c>
      <c r="K2249" s="56" t="n">
        <v>1</v>
      </c>
      <c r="L2249" s="52" t="s">
        <v>5816</v>
      </c>
      <c r="M2249" s="52" t="s">
        <v>38</v>
      </c>
    </row>
    <row r="2250" customFormat="false" ht="17.25" hidden="false" customHeight="true" outlineLevel="0" collapsed="false">
      <c r="A2250" s="52" t="s">
        <v>5777</v>
      </c>
      <c r="B2250" s="52" t="s">
        <v>5813</v>
      </c>
      <c r="C2250" s="53" t="n">
        <v>350613</v>
      </c>
      <c r="D2250" s="52" t="s">
        <v>4804</v>
      </c>
      <c r="E2250" s="52" t="s">
        <v>4805</v>
      </c>
      <c r="F2250" s="54" t="n">
        <v>60</v>
      </c>
      <c r="G2250" s="55" t="n">
        <v>76.8</v>
      </c>
      <c r="H2250" s="55" t="n">
        <v>1.28</v>
      </c>
      <c r="I2250" s="55" t="n">
        <v>1.28</v>
      </c>
      <c r="J2250" s="52" t="s">
        <v>5816</v>
      </c>
      <c r="K2250" s="56" t="n">
        <v>1</v>
      </c>
      <c r="L2250" s="52" t="s">
        <v>5816</v>
      </c>
      <c r="M2250" s="52" t="s">
        <v>100</v>
      </c>
    </row>
    <row r="2251" customFormat="false" ht="17.25" hidden="false" customHeight="true" outlineLevel="0" collapsed="false">
      <c r="A2251" s="52" t="s">
        <v>5777</v>
      </c>
      <c r="B2251" s="52" t="s">
        <v>5813</v>
      </c>
      <c r="C2251" s="53" t="n">
        <v>650866</v>
      </c>
      <c r="D2251" s="52" t="s">
        <v>4806</v>
      </c>
      <c r="E2251" s="52" t="s">
        <v>4807</v>
      </c>
      <c r="F2251" s="54" t="n">
        <v>156</v>
      </c>
      <c r="G2251" s="55" t="n">
        <v>76.44</v>
      </c>
      <c r="H2251" s="55" t="n">
        <v>0.49</v>
      </c>
      <c r="I2251" s="55" t="n">
        <v>0.49</v>
      </c>
      <c r="J2251" s="52" t="s">
        <v>5816</v>
      </c>
      <c r="K2251" s="56" t="n">
        <v>1</v>
      </c>
      <c r="L2251" s="52" t="s">
        <v>5816</v>
      </c>
      <c r="M2251" s="52" t="s">
        <v>100</v>
      </c>
    </row>
    <row r="2252" customFormat="false" ht="17.25" hidden="false" customHeight="true" outlineLevel="0" collapsed="false">
      <c r="A2252" s="52" t="s">
        <v>5777</v>
      </c>
      <c r="B2252" s="52" t="s">
        <v>5813</v>
      </c>
      <c r="C2252" s="53" t="n">
        <v>864244</v>
      </c>
      <c r="D2252" s="52" t="s">
        <v>4808</v>
      </c>
      <c r="E2252" s="52" t="s">
        <v>4809</v>
      </c>
      <c r="F2252" s="54" t="n">
        <v>2</v>
      </c>
      <c r="G2252" s="55" t="n">
        <v>76.02</v>
      </c>
      <c r="H2252" s="55" t="n">
        <v>38.01</v>
      </c>
      <c r="I2252" s="55" t="n">
        <v>38.01</v>
      </c>
      <c r="J2252" s="52" t="s">
        <v>5816</v>
      </c>
      <c r="K2252" s="56" t="n">
        <v>1</v>
      </c>
      <c r="L2252" s="52" t="s">
        <v>5816</v>
      </c>
      <c r="M2252" s="52" t="s">
        <v>130</v>
      </c>
    </row>
    <row r="2253" customFormat="false" ht="17.25" hidden="false" customHeight="true" outlineLevel="0" collapsed="false">
      <c r="A2253" s="52" t="s">
        <v>5777</v>
      </c>
      <c r="B2253" s="52" t="s">
        <v>5813</v>
      </c>
      <c r="C2253" s="53" t="n">
        <v>1182187</v>
      </c>
      <c r="D2253" s="52" t="s">
        <v>4810</v>
      </c>
      <c r="E2253" s="52" t="s">
        <v>4811</v>
      </c>
      <c r="F2253" s="54" t="n">
        <v>2</v>
      </c>
      <c r="G2253" s="55" t="n">
        <v>76</v>
      </c>
      <c r="H2253" s="55" t="n">
        <v>38</v>
      </c>
      <c r="I2253" s="55" t="n">
        <v>38</v>
      </c>
      <c r="J2253" s="52" t="s">
        <v>5816</v>
      </c>
      <c r="K2253" s="56" t="n">
        <v>1</v>
      </c>
      <c r="L2253" s="52" t="s">
        <v>5816</v>
      </c>
      <c r="M2253" s="52" t="s">
        <v>230</v>
      </c>
    </row>
    <row r="2254" customFormat="false" ht="17.25" hidden="false" customHeight="true" outlineLevel="0" collapsed="false">
      <c r="A2254" s="52" t="s">
        <v>5777</v>
      </c>
      <c r="B2254" s="52" t="s">
        <v>5813</v>
      </c>
      <c r="C2254" s="53" t="n">
        <v>14641</v>
      </c>
      <c r="D2254" s="52" t="s">
        <v>4812</v>
      </c>
      <c r="E2254" s="52" t="s">
        <v>4813</v>
      </c>
      <c r="F2254" s="54" t="n">
        <v>4</v>
      </c>
      <c r="G2254" s="55" t="n">
        <v>75.92</v>
      </c>
      <c r="H2254" s="55" t="n">
        <v>18.98</v>
      </c>
      <c r="I2254" s="55" t="n">
        <v>18.98</v>
      </c>
      <c r="J2254" s="52" t="s">
        <v>5816</v>
      </c>
      <c r="K2254" s="56" t="n">
        <v>1</v>
      </c>
      <c r="L2254" s="52" t="s">
        <v>5816</v>
      </c>
      <c r="M2254" s="52" t="s">
        <v>54</v>
      </c>
    </row>
    <row r="2255" customFormat="false" ht="17.25" hidden="false" customHeight="true" outlineLevel="0" collapsed="false">
      <c r="A2255" s="52" t="s">
        <v>5777</v>
      </c>
      <c r="B2255" s="52" t="s">
        <v>5813</v>
      </c>
      <c r="C2255" s="53" t="n">
        <v>390179</v>
      </c>
      <c r="D2255" s="52" t="s">
        <v>4814</v>
      </c>
      <c r="E2255" s="52" t="s">
        <v>4815</v>
      </c>
      <c r="F2255" s="54" t="n">
        <v>1</v>
      </c>
      <c r="G2255" s="55" t="n">
        <v>75</v>
      </c>
      <c r="H2255" s="55" t="n">
        <v>75</v>
      </c>
      <c r="I2255" s="55" t="n">
        <v>75</v>
      </c>
      <c r="J2255" s="52" t="s">
        <v>5816</v>
      </c>
      <c r="K2255" s="56" t="n">
        <v>1</v>
      </c>
      <c r="L2255" s="52" t="s">
        <v>5816</v>
      </c>
      <c r="M2255" s="52" t="s">
        <v>100</v>
      </c>
    </row>
    <row r="2256" customFormat="false" ht="17.25" hidden="false" customHeight="true" outlineLevel="0" collapsed="false">
      <c r="A2256" s="52" t="s">
        <v>5777</v>
      </c>
      <c r="B2256" s="52" t="s">
        <v>5813</v>
      </c>
      <c r="C2256" s="53" t="n">
        <v>1485678</v>
      </c>
      <c r="D2256" s="52" t="s">
        <v>4816</v>
      </c>
      <c r="E2256" s="57" t="s">
        <v>5979</v>
      </c>
      <c r="F2256" s="54" t="n">
        <v>30</v>
      </c>
      <c r="G2256" s="55" t="n">
        <v>75</v>
      </c>
      <c r="H2256" s="55" t="n">
        <v>2.5</v>
      </c>
      <c r="I2256" s="55" t="n">
        <v>2.5</v>
      </c>
      <c r="J2256" s="52" t="s">
        <v>5816</v>
      </c>
      <c r="K2256" s="56" t="n">
        <v>1</v>
      </c>
      <c r="L2256" s="52" t="s">
        <v>5816</v>
      </c>
      <c r="M2256" s="52" t="s">
        <v>100</v>
      </c>
    </row>
    <row r="2257" customFormat="false" ht="17.25" hidden="false" customHeight="true" outlineLevel="0" collapsed="false">
      <c r="A2257" s="52" t="s">
        <v>5777</v>
      </c>
      <c r="B2257" s="52" t="s">
        <v>5813</v>
      </c>
      <c r="C2257" s="53" t="n">
        <v>1331023</v>
      </c>
      <c r="D2257" s="52" t="s">
        <v>4818</v>
      </c>
      <c r="E2257" s="52" t="s">
        <v>4819</v>
      </c>
      <c r="F2257" s="54" t="n">
        <v>1</v>
      </c>
      <c r="G2257" s="55" t="n">
        <v>74.98</v>
      </c>
      <c r="H2257" s="55" t="n">
        <v>74.98</v>
      </c>
      <c r="I2257" s="55" t="n">
        <v>74.98</v>
      </c>
      <c r="J2257" s="52" t="s">
        <v>5816</v>
      </c>
      <c r="K2257" s="56" t="n">
        <v>1</v>
      </c>
      <c r="L2257" s="52" t="s">
        <v>5816</v>
      </c>
      <c r="M2257" s="52" t="s">
        <v>4295</v>
      </c>
    </row>
    <row r="2258" customFormat="false" ht="17.25" hidden="false" customHeight="true" outlineLevel="0" collapsed="false">
      <c r="A2258" s="52" t="s">
        <v>5777</v>
      </c>
      <c r="B2258" s="52" t="s">
        <v>5813</v>
      </c>
      <c r="C2258" s="53" t="n">
        <v>19621</v>
      </c>
      <c r="D2258" s="52" t="s">
        <v>4820</v>
      </c>
      <c r="E2258" s="52" t="s">
        <v>4821</v>
      </c>
      <c r="F2258" s="54" t="n">
        <v>6</v>
      </c>
      <c r="G2258" s="55" t="n">
        <v>74.5419</v>
      </c>
      <c r="H2258" s="55" t="n">
        <v>12.4239</v>
      </c>
      <c r="I2258" s="55" t="n">
        <v>11.8305</v>
      </c>
      <c r="J2258" s="52" t="s">
        <v>5816</v>
      </c>
      <c r="K2258" s="56" t="n">
        <v>1</v>
      </c>
      <c r="L2258" s="52" t="s">
        <v>5816</v>
      </c>
      <c r="M2258" s="52" t="s">
        <v>1095</v>
      </c>
    </row>
    <row r="2259" customFormat="false" ht="17.25" hidden="false" customHeight="true" outlineLevel="0" collapsed="false">
      <c r="A2259" s="52" t="s">
        <v>5777</v>
      </c>
      <c r="B2259" s="52" t="s">
        <v>5813</v>
      </c>
      <c r="C2259" s="53" t="n">
        <v>18416</v>
      </c>
      <c r="D2259" s="52" t="s">
        <v>4822</v>
      </c>
      <c r="E2259" s="52" t="s">
        <v>4823</v>
      </c>
      <c r="F2259" s="54" t="n">
        <v>6</v>
      </c>
      <c r="G2259" s="55" t="n">
        <v>74.04</v>
      </c>
      <c r="H2259" s="55" t="n">
        <v>12.34</v>
      </c>
      <c r="I2259" s="55" t="n">
        <v>12.34</v>
      </c>
      <c r="J2259" s="52" t="s">
        <v>5816</v>
      </c>
      <c r="K2259" s="56" t="n">
        <v>1</v>
      </c>
      <c r="L2259" s="52" t="s">
        <v>5816</v>
      </c>
      <c r="M2259" s="52" t="s">
        <v>1618</v>
      </c>
    </row>
    <row r="2260" customFormat="false" ht="17.25" hidden="false" customHeight="true" outlineLevel="0" collapsed="false">
      <c r="A2260" s="52" t="s">
        <v>5777</v>
      </c>
      <c r="B2260" s="52" t="s">
        <v>5813</v>
      </c>
      <c r="C2260" s="53" t="n">
        <v>22826</v>
      </c>
      <c r="D2260" s="52" t="s">
        <v>4824</v>
      </c>
      <c r="E2260" s="52" t="s">
        <v>4825</v>
      </c>
      <c r="F2260" s="54" t="n">
        <v>6</v>
      </c>
      <c r="G2260" s="55" t="n">
        <v>74.04</v>
      </c>
      <c r="H2260" s="55" t="n">
        <v>12.34</v>
      </c>
      <c r="I2260" s="55" t="n">
        <v>12.34</v>
      </c>
      <c r="J2260" s="52" t="s">
        <v>5816</v>
      </c>
      <c r="K2260" s="56" t="n">
        <v>1</v>
      </c>
      <c r="L2260" s="52" t="s">
        <v>5816</v>
      </c>
      <c r="M2260" s="52" t="s">
        <v>100</v>
      </c>
    </row>
    <row r="2261" customFormat="false" ht="17.25" hidden="false" customHeight="true" outlineLevel="0" collapsed="false">
      <c r="A2261" s="52" t="s">
        <v>5777</v>
      </c>
      <c r="B2261" s="52" t="s">
        <v>5813</v>
      </c>
      <c r="C2261" s="53" t="n">
        <v>19380</v>
      </c>
      <c r="D2261" s="52" t="s">
        <v>4826</v>
      </c>
      <c r="E2261" s="52" t="s">
        <v>4827</v>
      </c>
      <c r="F2261" s="54" t="n">
        <v>11</v>
      </c>
      <c r="G2261" s="55" t="n">
        <v>73.9232</v>
      </c>
      <c r="H2261" s="55" t="n">
        <v>6.7203</v>
      </c>
      <c r="I2261" s="55" t="n">
        <v>32</v>
      </c>
      <c r="J2261" s="52" t="s">
        <v>5816</v>
      </c>
      <c r="K2261" s="56" t="n">
        <v>1</v>
      </c>
      <c r="L2261" s="52" t="s">
        <v>5816</v>
      </c>
      <c r="M2261" s="52" t="s">
        <v>1095</v>
      </c>
    </row>
    <row r="2262" customFormat="false" ht="17.25" hidden="false" customHeight="true" outlineLevel="0" collapsed="false">
      <c r="A2262" s="52" t="s">
        <v>5777</v>
      </c>
      <c r="B2262" s="52" t="s">
        <v>5813</v>
      </c>
      <c r="C2262" s="53" t="n">
        <v>1170363</v>
      </c>
      <c r="D2262" s="52" t="s">
        <v>4828</v>
      </c>
      <c r="E2262" s="52" t="s">
        <v>4829</v>
      </c>
      <c r="F2262" s="54" t="n">
        <v>1</v>
      </c>
      <c r="G2262" s="55" t="n">
        <v>73.86</v>
      </c>
      <c r="H2262" s="55" t="n">
        <v>73.86</v>
      </c>
      <c r="I2262" s="55" t="n">
        <v>73.86</v>
      </c>
      <c r="J2262" s="52" t="s">
        <v>5816</v>
      </c>
      <c r="K2262" s="56" t="n">
        <v>1</v>
      </c>
      <c r="L2262" s="52" t="s">
        <v>5816</v>
      </c>
      <c r="M2262" s="52" t="s">
        <v>54</v>
      </c>
    </row>
    <row r="2263" customFormat="false" ht="17.25" hidden="false" customHeight="true" outlineLevel="0" collapsed="false">
      <c r="A2263" s="52" t="s">
        <v>5777</v>
      </c>
      <c r="B2263" s="52" t="s">
        <v>5813</v>
      </c>
      <c r="C2263" s="53" t="n">
        <v>750193</v>
      </c>
      <c r="D2263" s="52" t="s">
        <v>4830</v>
      </c>
      <c r="E2263" s="52" t="s">
        <v>5980</v>
      </c>
      <c r="F2263" s="54" t="n">
        <v>11</v>
      </c>
      <c r="G2263" s="55" t="n">
        <v>73.6267</v>
      </c>
      <c r="H2263" s="55" t="n">
        <v>6.6933</v>
      </c>
      <c r="I2263" s="55" t="n">
        <v>6.6933</v>
      </c>
      <c r="J2263" s="52" t="s">
        <v>5816</v>
      </c>
      <c r="K2263" s="56" t="n">
        <v>1</v>
      </c>
      <c r="L2263" s="52" t="s">
        <v>5816</v>
      </c>
      <c r="M2263" s="52" t="s">
        <v>1618</v>
      </c>
    </row>
    <row r="2264" customFormat="false" ht="17.25" hidden="false" customHeight="true" outlineLevel="0" collapsed="false">
      <c r="A2264" s="52" t="s">
        <v>5777</v>
      </c>
      <c r="B2264" s="52" t="s">
        <v>5813</v>
      </c>
      <c r="C2264" s="53" t="n">
        <v>56160</v>
      </c>
      <c r="D2264" s="52" t="s">
        <v>4832</v>
      </c>
      <c r="E2264" s="52" t="s">
        <v>4833</v>
      </c>
      <c r="F2264" s="54" t="n">
        <v>8</v>
      </c>
      <c r="G2264" s="55" t="n">
        <v>73.44</v>
      </c>
      <c r="H2264" s="55" t="n">
        <v>9.18</v>
      </c>
      <c r="I2264" s="55" t="n">
        <v>9.18</v>
      </c>
      <c r="J2264" s="52" t="s">
        <v>5816</v>
      </c>
      <c r="K2264" s="56" t="n">
        <v>1</v>
      </c>
      <c r="L2264" s="52" t="s">
        <v>5816</v>
      </c>
      <c r="M2264" s="52" t="s">
        <v>38</v>
      </c>
    </row>
    <row r="2265" customFormat="false" ht="17.25" hidden="false" customHeight="true" outlineLevel="0" collapsed="false">
      <c r="A2265" s="52" t="s">
        <v>5777</v>
      </c>
      <c r="B2265" s="52" t="s">
        <v>5813</v>
      </c>
      <c r="C2265" s="53" t="n">
        <v>1615458</v>
      </c>
      <c r="D2265" s="52" t="s">
        <v>4834</v>
      </c>
      <c r="E2265" s="52" t="s">
        <v>4835</v>
      </c>
      <c r="F2265" s="54" t="n">
        <v>13</v>
      </c>
      <c r="G2265" s="55" t="n">
        <v>73.06</v>
      </c>
      <c r="H2265" s="55" t="n">
        <v>5.62</v>
      </c>
      <c r="I2265" s="55" t="n">
        <v>5.5</v>
      </c>
      <c r="J2265" s="52" t="s">
        <v>5816</v>
      </c>
      <c r="K2265" s="56" t="n">
        <v>1</v>
      </c>
      <c r="L2265" s="52" t="s">
        <v>5816</v>
      </c>
      <c r="M2265" s="52" t="s">
        <v>38</v>
      </c>
    </row>
    <row r="2266" customFormat="false" ht="17.25" hidden="false" customHeight="true" outlineLevel="0" collapsed="false">
      <c r="A2266" s="52" t="s">
        <v>5777</v>
      </c>
      <c r="B2266" s="52" t="s">
        <v>5813</v>
      </c>
      <c r="C2266" s="53" t="n">
        <v>833723</v>
      </c>
      <c r="D2266" s="52" t="s">
        <v>4836</v>
      </c>
      <c r="E2266" s="52" t="s">
        <v>4837</v>
      </c>
      <c r="F2266" s="54" t="n">
        <v>3</v>
      </c>
      <c r="G2266" s="55" t="n">
        <v>72.42</v>
      </c>
      <c r="H2266" s="55" t="n">
        <v>24.14</v>
      </c>
      <c r="I2266" s="55" t="n">
        <v>24.14</v>
      </c>
      <c r="J2266" s="52" t="s">
        <v>5816</v>
      </c>
      <c r="K2266" s="56" t="n">
        <v>1</v>
      </c>
      <c r="L2266" s="52" t="s">
        <v>5816</v>
      </c>
      <c r="M2266" s="52" t="s">
        <v>2056</v>
      </c>
    </row>
    <row r="2267" customFormat="false" ht="17.25" hidden="false" customHeight="true" outlineLevel="0" collapsed="false">
      <c r="A2267" s="52" t="s">
        <v>5777</v>
      </c>
      <c r="B2267" s="52" t="s">
        <v>5813</v>
      </c>
      <c r="C2267" s="53" t="n">
        <v>22813</v>
      </c>
      <c r="D2267" s="52" t="s">
        <v>4838</v>
      </c>
      <c r="E2267" s="52" t="s">
        <v>4839</v>
      </c>
      <c r="F2267" s="54" t="n">
        <v>10</v>
      </c>
      <c r="G2267" s="55" t="n">
        <v>72.2</v>
      </c>
      <c r="H2267" s="55" t="n">
        <v>7.22</v>
      </c>
      <c r="I2267" s="55" t="n">
        <v>7.22</v>
      </c>
      <c r="J2267" s="52" t="s">
        <v>5816</v>
      </c>
      <c r="K2267" s="56" t="n">
        <v>1</v>
      </c>
      <c r="L2267" s="52" t="s">
        <v>5816</v>
      </c>
      <c r="M2267" s="52" t="s">
        <v>1618</v>
      </c>
    </row>
    <row r="2268" customFormat="false" ht="17.25" hidden="false" customHeight="true" outlineLevel="0" collapsed="false">
      <c r="A2268" s="52" t="s">
        <v>5777</v>
      </c>
      <c r="B2268" s="52" t="s">
        <v>5813</v>
      </c>
      <c r="C2268" s="53" t="n">
        <v>15060</v>
      </c>
      <c r="D2268" s="52" t="s">
        <v>4840</v>
      </c>
      <c r="E2268" s="52" t="s">
        <v>4841</v>
      </c>
      <c r="F2268" s="54" t="n">
        <v>2</v>
      </c>
      <c r="G2268" s="55" t="n">
        <v>72</v>
      </c>
      <c r="H2268" s="55" t="n">
        <v>36</v>
      </c>
      <c r="I2268" s="55" t="n">
        <v>36</v>
      </c>
      <c r="J2268" s="52" t="s">
        <v>5816</v>
      </c>
      <c r="K2268" s="56" t="n">
        <v>1</v>
      </c>
      <c r="L2268" s="52" t="s">
        <v>5816</v>
      </c>
      <c r="M2268" s="52" t="s">
        <v>54</v>
      </c>
    </row>
    <row r="2269" customFormat="false" ht="17.25" hidden="false" customHeight="true" outlineLevel="0" collapsed="false">
      <c r="A2269" s="52" t="s">
        <v>5777</v>
      </c>
      <c r="B2269" s="52" t="s">
        <v>5813</v>
      </c>
      <c r="C2269" s="53" t="n">
        <v>260240</v>
      </c>
      <c r="D2269" s="52" t="s">
        <v>4842</v>
      </c>
      <c r="E2269" s="52" t="s">
        <v>4843</v>
      </c>
      <c r="F2269" s="54" t="n">
        <v>4</v>
      </c>
      <c r="G2269" s="55" t="n">
        <v>72</v>
      </c>
      <c r="H2269" s="55" t="n">
        <v>18</v>
      </c>
      <c r="I2269" s="55" t="n">
        <v>18</v>
      </c>
      <c r="J2269" s="52" t="s">
        <v>5816</v>
      </c>
      <c r="K2269" s="56" t="n">
        <v>1</v>
      </c>
      <c r="L2269" s="52" t="s">
        <v>5816</v>
      </c>
      <c r="M2269" s="52" t="s">
        <v>2056</v>
      </c>
    </row>
    <row r="2270" customFormat="false" ht="17.25" hidden="false" customHeight="true" outlineLevel="0" collapsed="false">
      <c r="A2270" s="52" t="s">
        <v>5777</v>
      </c>
      <c r="B2270" s="52" t="s">
        <v>5813</v>
      </c>
      <c r="C2270" s="53" t="n">
        <v>653367</v>
      </c>
      <c r="D2270" s="52" t="s">
        <v>4844</v>
      </c>
      <c r="E2270" s="52" t="s">
        <v>4845</v>
      </c>
      <c r="F2270" s="54" t="n">
        <v>5</v>
      </c>
      <c r="G2270" s="55" t="n">
        <v>71.9</v>
      </c>
      <c r="H2270" s="55" t="n">
        <v>14.38</v>
      </c>
      <c r="I2270" s="55" t="n">
        <v>3.98</v>
      </c>
      <c r="J2270" s="52" t="s">
        <v>5816</v>
      </c>
      <c r="K2270" s="56" t="n">
        <v>1</v>
      </c>
      <c r="L2270" s="52" t="s">
        <v>5816</v>
      </c>
      <c r="M2270" s="52" t="s">
        <v>54</v>
      </c>
    </row>
    <row r="2271" customFormat="false" ht="17.25" hidden="false" customHeight="true" outlineLevel="0" collapsed="false">
      <c r="A2271" s="52" t="s">
        <v>5777</v>
      </c>
      <c r="B2271" s="52" t="s">
        <v>5813</v>
      </c>
      <c r="C2271" s="53" t="n">
        <v>18427</v>
      </c>
      <c r="D2271" s="52" t="s">
        <v>4846</v>
      </c>
      <c r="E2271" s="52" t="s">
        <v>4847</v>
      </c>
      <c r="F2271" s="54" t="n">
        <v>6</v>
      </c>
      <c r="G2271" s="55" t="n">
        <v>71.1</v>
      </c>
      <c r="H2271" s="55" t="n">
        <v>11.85</v>
      </c>
      <c r="I2271" s="55" t="n">
        <v>11.85</v>
      </c>
      <c r="J2271" s="52" t="s">
        <v>5816</v>
      </c>
      <c r="K2271" s="56" t="n">
        <v>1</v>
      </c>
      <c r="L2271" s="52" t="s">
        <v>5816</v>
      </c>
      <c r="M2271" s="52" t="s">
        <v>1618</v>
      </c>
    </row>
    <row r="2272" customFormat="false" ht="17.25" hidden="false" customHeight="true" outlineLevel="0" collapsed="false">
      <c r="A2272" s="52" t="s">
        <v>5777</v>
      </c>
      <c r="B2272" s="52" t="s">
        <v>5813</v>
      </c>
      <c r="C2272" s="53" t="n">
        <v>22250</v>
      </c>
      <c r="D2272" s="52" t="s">
        <v>4848</v>
      </c>
      <c r="E2272" s="52" t="s">
        <v>4849</v>
      </c>
      <c r="F2272" s="54" t="n">
        <v>2</v>
      </c>
      <c r="G2272" s="55" t="n">
        <v>71.02</v>
      </c>
      <c r="H2272" s="55" t="n">
        <v>35.51</v>
      </c>
      <c r="I2272" s="55" t="n">
        <v>35.51</v>
      </c>
      <c r="J2272" s="52" t="s">
        <v>5816</v>
      </c>
      <c r="K2272" s="56" t="n">
        <v>1</v>
      </c>
      <c r="L2272" s="52" t="s">
        <v>5816</v>
      </c>
      <c r="M2272" s="52" t="s">
        <v>605</v>
      </c>
    </row>
    <row r="2273" customFormat="false" ht="17.25" hidden="false" customHeight="true" outlineLevel="0" collapsed="false">
      <c r="A2273" s="52" t="s">
        <v>5777</v>
      </c>
      <c r="B2273" s="52" t="s">
        <v>5813</v>
      </c>
      <c r="C2273" s="53" t="n">
        <v>1662150</v>
      </c>
      <c r="D2273" s="52" t="s">
        <v>4850</v>
      </c>
      <c r="E2273" s="52" t="s">
        <v>4851</v>
      </c>
      <c r="F2273" s="54" t="n">
        <v>26</v>
      </c>
      <c r="G2273" s="55" t="n">
        <v>70.98</v>
      </c>
      <c r="H2273" s="55" t="n">
        <v>2.73</v>
      </c>
      <c r="I2273" s="55" t="n">
        <v>2.73</v>
      </c>
      <c r="J2273" s="52" t="s">
        <v>5816</v>
      </c>
      <c r="K2273" s="56" t="n">
        <v>1</v>
      </c>
      <c r="L2273" s="52" t="s">
        <v>5816</v>
      </c>
      <c r="M2273" s="52" t="s">
        <v>38</v>
      </c>
    </row>
    <row r="2274" customFormat="false" ht="17.25" hidden="false" customHeight="true" outlineLevel="0" collapsed="false">
      <c r="A2274" s="52" t="s">
        <v>5777</v>
      </c>
      <c r="B2274" s="52" t="s">
        <v>5813</v>
      </c>
      <c r="C2274" s="53" t="n">
        <v>60598</v>
      </c>
      <c r="D2274" s="52" t="s">
        <v>4852</v>
      </c>
      <c r="E2274" s="52" t="s">
        <v>4853</v>
      </c>
      <c r="F2274" s="54" t="n">
        <v>1</v>
      </c>
      <c r="G2274" s="55" t="n">
        <v>70.84</v>
      </c>
      <c r="H2274" s="55" t="n">
        <v>70.84</v>
      </c>
      <c r="I2274" s="55" t="n">
        <v>70.84</v>
      </c>
      <c r="J2274" s="52" t="s">
        <v>5816</v>
      </c>
      <c r="K2274" s="56" t="n">
        <v>1</v>
      </c>
      <c r="L2274" s="52" t="s">
        <v>5816</v>
      </c>
      <c r="M2274" s="52" t="s">
        <v>1618</v>
      </c>
    </row>
    <row r="2275" customFormat="false" ht="17.25" hidden="false" customHeight="true" outlineLevel="0" collapsed="false">
      <c r="A2275" s="52" t="s">
        <v>5777</v>
      </c>
      <c r="B2275" s="52" t="s">
        <v>5813</v>
      </c>
      <c r="C2275" s="53" t="n">
        <v>17899</v>
      </c>
      <c r="D2275" s="52" t="s">
        <v>4854</v>
      </c>
      <c r="E2275" s="52" t="s">
        <v>4855</v>
      </c>
      <c r="F2275" s="54" t="n">
        <v>1</v>
      </c>
      <c r="G2275" s="55" t="n">
        <v>70.78</v>
      </c>
      <c r="H2275" s="55" t="n">
        <v>70.78</v>
      </c>
      <c r="I2275" s="55" t="n">
        <v>70.78</v>
      </c>
      <c r="J2275" s="52" t="s">
        <v>5816</v>
      </c>
      <c r="K2275" s="56" t="n">
        <v>1</v>
      </c>
      <c r="L2275" s="52" t="s">
        <v>5816</v>
      </c>
      <c r="M2275" s="52" t="s">
        <v>130</v>
      </c>
    </row>
    <row r="2276" customFormat="false" ht="17.25" hidden="false" customHeight="true" outlineLevel="0" collapsed="false">
      <c r="A2276" s="52" t="s">
        <v>5777</v>
      </c>
      <c r="B2276" s="52" t="s">
        <v>5813</v>
      </c>
      <c r="C2276" s="53" t="n">
        <v>292350</v>
      </c>
      <c r="D2276" s="52" t="s">
        <v>4856</v>
      </c>
      <c r="E2276" s="52" t="s">
        <v>4857</v>
      </c>
      <c r="F2276" s="54" t="n">
        <v>2</v>
      </c>
      <c r="G2276" s="55" t="n">
        <v>70.5</v>
      </c>
      <c r="H2276" s="55" t="n">
        <v>35.25</v>
      </c>
      <c r="I2276" s="55" t="n">
        <v>35.25</v>
      </c>
      <c r="J2276" s="52" t="s">
        <v>5816</v>
      </c>
      <c r="K2276" s="56" t="n">
        <v>1</v>
      </c>
      <c r="L2276" s="52" t="s">
        <v>5816</v>
      </c>
      <c r="M2276" s="52" t="s">
        <v>189</v>
      </c>
    </row>
    <row r="2277" customFormat="false" ht="17.25" hidden="false" customHeight="true" outlineLevel="0" collapsed="false">
      <c r="A2277" s="52" t="s">
        <v>5777</v>
      </c>
      <c r="B2277" s="52" t="s">
        <v>5813</v>
      </c>
      <c r="C2277" s="53" t="n">
        <v>21612</v>
      </c>
      <c r="D2277" s="52" t="s">
        <v>4858</v>
      </c>
      <c r="E2277" s="52" t="s">
        <v>4859</v>
      </c>
      <c r="F2277" s="54" t="n">
        <v>80</v>
      </c>
      <c r="G2277" s="55" t="n">
        <v>70.4</v>
      </c>
      <c r="H2277" s="55" t="n">
        <v>0.88</v>
      </c>
      <c r="I2277" s="55" t="n">
        <v>0.88</v>
      </c>
      <c r="J2277" s="52" t="s">
        <v>5816</v>
      </c>
      <c r="K2277" s="56" t="n">
        <v>1</v>
      </c>
      <c r="L2277" s="52" t="s">
        <v>5816</v>
      </c>
      <c r="M2277" s="52" t="s">
        <v>189</v>
      </c>
    </row>
    <row r="2278" customFormat="false" ht="17.25" hidden="false" customHeight="true" outlineLevel="0" collapsed="false">
      <c r="A2278" s="52" t="s">
        <v>5777</v>
      </c>
      <c r="B2278" s="52" t="s">
        <v>5813</v>
      </c>
      <c r="C2278" s="53" t="n">
        <v>1670496</v>
      </c>
      <c r="D2278" s="52" t="s">
        <v>4860</v>
      </c>
      <c r="E2278" s="52" t="s">
        <v>4861</v>
      </c>
      <c r="F2278" s="54" t="n">
        <v>8</v>
      </c>
      <c r="G2278" s="55" t="n">
        <v>70.4</v>
      </c>
      <c r="H2278" s="55" t="n">
        <v>8.8</v>
      </c>
      <c r="I2278" s="55" t="n">
        <v>8.8</v>
      </c>
      <c r="J2278" s="52" t="s">
        <v>5816</v>
      </c>
      <c r="K2278" s="56" t="n">
        <v>1</v>
      </c>
      <c r="L2278" s="52" t="s">
        <v>5816</v>
      </c>
      <c r="M2278" s="52" t="s">
        <v>54</v>
      </c>
    </row>
    <row r="2279" customFormat="false" ht="17.25" hidden="false" customHeight="true" outlineLevel="0" collapsed="false">
      <c r="A2279" s="52" t="s">
        <v>5777</v>
      </c>
      <c r="B2279" s="52" t="s">
        <v>5813</v>
      </c>
      <c r="C2279" s="53" t="n">
        <v>293605</v>
      </c>
      <c r="D2279" s="52" t="s">
        <v>4862</v>
      </c>
      <c r="E2279" s="52" t="s">
        <v>4863</v>
      </c>
      <c r="F2279" s="54" t="n">
        <v>2</v>
      </c>
      <c r="G2279" s="55" t="n">
        <v>70</v>
      </c>
      <c r="H2279" s="55" t="n">
        <v>35</v>
      </c>
      <c r="I2279" s="55" t="n">
        <v>35</v>
      </c>
      <c r="J2279" s="52" t="s">
        <v>5816</v>
      </c>
      <c r="K2279" s="56" t="n">
        <v>1</v>
      </c>
      <c r="L2279" s="52" t="s">
        <v>5816</v>
      </c>
      <c r="M2279" s="52" t="s">
        <v>2056</v>
      </c>
    </row>
    <row r="2280" customFormat="false" ht="17.25" hidden="false" customHeight="true" outlineLevel="0" collapsed="false">
      <c r="A2280" s="52" t="s">
        <v>5777</v>
      </c>
      <c r="B2280" s="52" t="s">
        <v>5813</v>
      </c>
      <c r="C2280" s="53" t="n">
        <v>21749</v>
      </c>
      <c r="D2280" s="52" t="s">
        <v>4864</v>
      </c>
      <c r="E2280" s="52" t="s">
        <v>4865</v>
      </c>
      <c r="F2280" s="54" t="n">
        <v>2</v>
      </c>
      <c r="G2280" s="55" t="n">
        <v>69.96</v>
      </c>
      <c r="H2280" s="55" t="n">
        <v>34.98</v>
      </c>
      <c r="I2280" s="55" t="n">
        <v>34.98</v>
      </c>
      <c r="J2280" s="52" t="s">
        <v>5816</v>
      </c>
      <c r="K2280" s="56" t="n">
        <v>1</v>
      </c>
      <c r="L2280" s="52" t="s">
        <v>5816</v>
      </c>
      <c r="M2280" s="52" t="s">
        <v>189</v>
      </c>
    </row>
    <row r="2281" customFormat="false" ht="17.25" hidden="false" customHeight="true" outlineLevel="0" collapsed="false">
      <c r="A2281" s="52" t="s">
        <v>5777</v>
      </c>
      <c r="B2281" s="52" t="s">
        <v>5813</v>
      </c>
      <c r="C2281" s="53" t="n">
        <v>292351</v>
      </c>
      <c r="D2281" s="52" t="s">
        <v>4866</v>
      </c>
      <c r="E2281" s="52" t="s">
        <v>4867</v>
      </c>
      <c r="F2281" s="54" t="n">
        <v>1</v>
      </c>
      <c r="G2281" s="55" t="n">
        <v>69.25</v>
      </c>
      <c r="H2281" s="55" t="n">
        <v>69.25</v>
      </c>
      <c r="I2281" s="55" t="n">
        <v>69.25</v>
      </c>
      <c r="J2281" s="52" t="s">
        <v>5816</v>
      </c>
      <c r="K2281" s="56" t="n">
        <v>1</v>
      </c>
      <c r="L2281" s="52" t="s">
        <v>5816</v>
      </c>
      <c r="M2281" s="52" t="s">
        <v>189</v>
      </c>
    </row>
    <row r="2282" customFormat="false" ht="17.25" hidden="false" customHeight="true" outlineLevel="0" collapsed="false">
      <c r="A2282" s="52" t="s">
        <v>5777</v>
      </c>
      <c r="B2282" s="52" t="s">
        <v>5813</v>
      </c>
      <c r="C2282" s="53" t="n">
        <v>17951</v>
      </c>
      <c r="D2282" s="52" t="s">
        <v>4868</v>
      </c>
      <c r="E2282" s="52" t="s">
        <v>4869</v>
      </c>
      <c r="F2282" s="54" t="n">
        <v>1</v>
      </c>
      <c r="G2282" s="55" t="n">
        <v>69</v>
      </c>
      <c r="H2282" s="55" t="n">
        <v>69</v>
      </c>
      <c r="I2282" s="55" t="n">
        <v>69</v>
      </c>
      <c r="J2282" s="52" t="s">
        <v>5816</v>
      </c>
      <c r="K2282" s="56" t="n">
        <v>1</v>
      </c>
      <c r="L2282" s="52" t="s">
        <v>5816</v>
      </c>
      <c r="M2282" s="52" t="s">
        <v>130</v>
      </c>
    </row>
    <row r="2283" customFormat="false" ht="17.25" hidden="false" customHeight="true" outlineLevel="0" collapsed="false">
      <c r="A2283" s="52" t="s">
        <v>5777</v>
      </c>
      <c r="B2283" s="52" t="s">
        <v>5813</v>
      </c>
      <c r="C2283" s="53" t="n">
        <v>17952</v>
      </c>
      <c r="D2283" s="52" t="s">
        <v>4870</v>
      </c>
      <c r="E2283" s="52" t="s">
        <v>4871</v>
      </c>
      <c r="F2283" s="54" t="n">
        <v>1</v>
      </c>
      <c r="G2283" s="55" t="n">
        <v>69</v>
      </c>
      <c r="H2283" s="55" t="n">
        <v>69</v>
      </c>
      <c r="I2283" s="55" t="n">
        <v>69</v>
      </c>
      <c r="J2283" s="52" t="s">
        <v>5816</v>
      </c>
      <c r="K2283" s="56" t="n">
        <v>1</v>
      </c>
      <c r="L2283" s="52" t="s">
        <v>5816</v>
      </c>
      <c r="M2283" s="52" t="s">
        <v>130</v>
      </c>
    </row>
    <row r="2284" customFormat="false" ht="17.25" hidden="false" customHeight="true" outlineLevel="0" collapsed="false">
      <c r="A2284" s="52" t="s">
        <v>5777</v>
      </c>
      <c r="B2284" s="52" t="s">
        <v>5813</v>
      </c>
      <c r="C2284" s="53" t="n">
        <v>19360</v>
      </c>
      <c r="D2284" s="52" t="s">
        <v>4872</v>
      </c>
      <c r="E2284" s="52" t="s">
        <v>4873</v>
      </c>
      <c r="F2284" s="54" t="n">
        <v>15</v>
      </c>
      <c r="G2284" s="55" t="n">
        <v>69</v>
      </c>
      <c r="H2284" s="55" t="n">
        <v>4.6</v>
      </c>
      <c r="I2284" s="55" t="n">
        <v>4.85</v>
      </c>
      <c r="J2284" s="52" t="s">
        <v>5816</v>
      </c>
      <c r="K2284" s="56" t="n">
        <v>1</v>
      </c>
      <c r="L2284" s="52" t="s">
        <v>5816</v>
      </c>
      <c r="M2284" s="52" t="s">
        <v>1095</v>
      </c>
    </row>
    <row r="2285" customFormat="false" ht="17.25" hidden="false" customHeight="true" outlineLevel="0" collapsed="false">
      <c r="A2285" s="52" t="s">
        <v>5777</v>
      </c>
      <c r="B2285" s="52" t="s">
        <v>5813</v>
      </c>
      <c r="C2285" s="53" t="n">
        <v>830295</v>
      </c>
      <c r="D2285" s="52" t="s">
        <v>4874</v>
      </c>
      <c r="E2285" s="52" t="s">
        <v>4875</v>
      </c>
      <c r="F2285" s="54" t="n">
        <v>3</v>
      </c>
      <c r="G2285" s="55" t="n">
        <v>68.94</v>
      </c>
      <c r="H2285" s="55" t="n">
        <v>22.98</v>
      </c>
      <c r="I2285" s="55" t="n">
        <v>22.98</v>
      </c>
      <c r="J2285" s="52" t="s">
        <v>5816</v>
      </c>
      <c r="K2285" s="56" t="n">
        <v>1</v>
      </c>
      <c r="L2285" s="52" t="s">
        <v>5816</v>
      </c>
      <c r="M2285" s="52" t="s">
        <v>38</v>
      </c>
    </row>
    <row r="2286" customFormat="false" ht="17.25" hidden="false" customHeight="true" outlineLevel="0" collapsed="false">
      <c r="A2286" s="52" t="s">
        <v>5777</v>
      </c>
      <c r="B2286" s="52" t="s">
        <v>5813</v>
      </c>
      <c r="C2286" s="53" t="n">
        <v>1066455</v>
      </c>
      <c r="D2286" s="52" t="s">
        <v>4876</v>
      </c>
      <c r="E2286" s="52" t="s">
        <v>4877</v>
      </c>
      <c r="F2286" s="54" t="n">
        <v>3</v>
      </c>
      <c r="G2286" s="55" t="n">
        <v>68.94</v>
      </c>
      <c r="H2286" s="55" t="n">
        <v>22.98</v>
      </c>
      <c r="I2286" s="55" t="n">
        <v>22.98</v>
      </c>
      <c r="J2286" s="52" t="s">
        <v>5816</v>
      </c>
      <c r="K2286" s="56" t="n">
        <v>1</v>
      </c>
      <c r="L2286" s="52" t="s">
        <v>5816</v>
      </c>
      <c r="M2286" s="52" t="s">
        <v>54</v>
      </c>
    </row>
    <row r="2287" customFormat="false" ht="17.25" hidden="false" customHeight="true" outlineLevel="0" collapsed="false">
      <c r="A2287" s="52" t="s">
        <v>5777</v>
      </c>
      <c r="B2287" s="52" t="s">
        <v>5813</v>
      </c>
      <c r="C2287" s="53" t="n">
        <v>14442</v>
      </c>
      <c r="D2287" s="52" t="s">
        <v>4878</v>
      </c>
      <c r="E2287" s="52" t="s">
        <v>4879</v>
      </c>
      <c r="F2287" s="54" t="n">
        <v>1</v>
      </c>
      <c r="G2287" s="55" t="n">
        <v>68</v>
      </c>
      <c r="H2287" s="55" t="n">
        <v>68</v>
      </c>
      <c r="I2287" s="55" t="n">
        <v>68</v>
      </c>
      <c r="J2287" s="52" t="s">
        <v>5814</v>
      </c>
      <c r="K2287" s="56" t="n">
        <v>1</v>
      </c>
      <c r="L2287" s="52" t="s">
        <v>5814</v>
      </c>
      <c r="M2287" s="52" t="s">
        <v>54</v>
      </c>
    </row>
    <row r="2288" customFormat="false" ht="17.25" hidden="false" customHeight="true" outlineLevel="0" collapsed="false">
      <c r="A2288" s="52" t="s">
        <v>5777</v>
      </c>
      <c r="B2288" s="52" t="s">
        <v>5813</v>
      </c>
      <c r="C2288" s="53" t="n">
        <v>21850</v>
      </c>
      <c r="D2288" s="52" t="s">
        <v>4880</v>
      </c>
      <c r="E2288" s="52" t="s">
        <v>4881</v>
      </c>
      <c r="F2288" s="54" t="n">
        <v>1</v>
      </c>
      <c r="G2288" s="55" t="n">
        <v>68</v>
      </c>
      <c r="H2288" s="55" t="n">
        <v>68</v>
      </c>
      <c r="I2288" s="55" t="n">
        <v>68</v>
      </c>
      <c r="J2288" s="52" t="s">
        <v>5816</v>
      </c>
      <c r="K2288" s="56" t="n">
        <v>1</v>
      </c>
      <c r="L2288" s="52" t="s">
        <v>5816</v>
      </c>
      <c r="M2288" s="52" t="s">
        <v>130</v>
      </c>
    </row>
    <row r="2289" customFormat="false" ht="17.25" hidden="false" customHeight="true" outlineLevel="0" collapsed="false">
      <c r="A2289" s="52" t="s">
        <v>5777</v>
      </c>
      <c r="B2289" s="52" t="s">
        <v>5813</v>
      </c>
      <c r="C2289" s="53" t="n">
        <v>22453</v>
      </c>
      <c r="D2289" s="52" t="s">
        <v>4882</v>
      </c>
      <c r="E2289" s="52" t="s">
        <v>4883</v>
      </c>
      <c r="F2289" s="54" t="n">
        <v>1</v>
      </c>
      <c r="G2289" s="55" t="n">
        <v>68</v>
      </c>
      <c r="H2289" s="55" t="n">
        <v>68</v>
      </c>
      <c r="I2289" s="55" t="n">
        <v>68</v>
      </c>
      <c r="J2289" s="52" t="s">
        <v>5816</v>
      </c>
      <c r="K2289" s="56" t="n">
        <v>1</v>
      </c>
      <c r="L2289" s="52" t="s">
        <v>5816</v>
      </c>
      <c r="M2289" s="52" t="s">
        <v>130</v>
      </c>
    </row>
    <row r="2290" customFormat="false" ht="17.25" hidden="false" customHeight="true" outlineLevel="0" collapsed="false">
      <c r="A2290" s="52" t="s">
        <v>5777</v>
      </c>
      <c r="B2290" s="52" t="s">
        <v>5813</v>
      </c>
      <c r="C2290" s="53" t="n">
        <v>139249</v>
      </c>
      <c r="D2290" s="52" t="s">
        <v>4884</v>
      </c>
      <c r="E2290" s="52" t="s">
        <v>4885</v>
      </c>
      <c r="F2290" s="54" t="n">
        <v>1</v>
      </c>
      <c r="G2290" s="55" t="n">
        <v>68</v>
      </c>
      <c r="H2290" s="55" t="n">
        <v>68</v>
      </c>
      <c r="I2290" s="55" t="n">
        <v>68</v>
      </c>
      <c r="J2290" s="52" t="s">
        <v>5816</v>
      </c>
      <c r="K2290" s="56" t="n">
        <v>1</v>
      </c>
      <c r="L2290" s="52" t="s">
        <v>5816</v>
      </c>
      <c r="M2290" s="52" t="s">
        <v>54</v>
      </c>
    </row>
    <row r="2291" customFormat="false" ht="17.25" hidden="false" customHeight="true" outlineLevel="0" collapsed="false">
      <c r="A2291" s="52" t="s">
        <v>5777</v>
      </c>
      <c r="B2291" s="52" t="s">
        <v>5813</v>
      </c>
      <c r="C2291" s="53" t="n">
        <v>651843</v>
      </c>
      <c r="D2291" s="52" t="s">
        <v>4886</v>
      </c>
      <c r="E2291" s="52" t="s">
        <v>4887</v>
      </c>
      <c r="F2291" s="54" t="n">
        <v>1</v>
      </c>
      <c r="G2291" s="55" t="n">
        <v>68</v>
      </c>
      <c r="H2291" s="55" t="n">
        <v>68</v>
      </c>
      <c r="I2291" s="55" t="n">
        <v>68</v>
      </c>
      <c r="J2291" s="52" t="s">
        <v>5816</v>
      </c>
      <c r="K2291" s="56" t="n">
        <v>1</v>
      </c>
      <c r="L2291" s="52" t="s">
        <v>5816</v>
      </c>
      <c r="M2291" s="52" t="s">
        <v>192</v>
      </c>
    </row>
    <row r="2292" customFormat="false" ht="17.25" hidden="false" customHeight="true" outlineLevel="0" collapsed="false">
      <c r="A2292" s="52" t="s">
        <v>5777</v>
      </c>
      <c r="B2292" s="52" t="s">
        <v>5813</v>
      </c>
      <c r="C2292" s="53" t="n">
        <v>856744</v>
      </c>
      <c r="D2292" s="52" t="s">
        <v>4888</v>
      </c>
      <c r="E2292" s="52" t="s">
        <v>4889</v>
      </c>
      <c r="F2292" s="54" t="n">
        <v>1</v>
      </c>
      <c r="G2292" s="55" t="n">
        <v>68</v>
      </c>
      <c r="H2292" s="55" t="n">
        <v>68</v>
      </c>
      <c r="I2292" s="55" t="n">
        <v>68</v>
      </c>
      <c r="J2292" s="52" t="s">
        <v>5816</v>
      </c>
      <c r="K2292" s="56" t="n">
        <v>1</v>
      </c>
      <c r="L2292" s="52" t="s">
        <v>5816</v>
      </c>
      <c r="M2292" s="52" t="s">
        <v>35</v>
      </c>
    </row>
    <row r="2293" customFormat="false" ht="17.25" hidden="false" customHeight="true" outlineLevel="0" collapsed="false">
      <c r="A2293" s="52" t="s">
        <v>5777</v>
      </c>
      <c r="B2293" s="52" t="s">
        <v>5813</v>
      </c>
      <c r="C2293" s="53" t="n">
        <v>869276</v>
      </c>
      <c r="D2293" s="52" t="s">
        <v>4890</v>
      </c>
      <c r="E2293" s="52" t="s">
        <v>4891</v>
      </c>
      <c r="F2293" s="54" t="n">
        <v>1</v>
      </c>
      <c r="G2293" s="55" t="n">
        <v>68</v>
      </c>
      <c r="H2293" s="55" t="n">
        <v>68</v>
      </c>
      <c r="I2293" s="55" t="n">
        <v>68</v>
      </c>
      <c r="J2293" s="52" t="s">
        <v>5816</v>
      </c>
      <c r="K2293" s="56" t="n">
        <v>1</v>
      </c>
      <c r="L2293" s="52" t="s">
        <v>5816</v>
      </c>
      <c r="M2293" s="52" t="s">
        <v>130</v>
      </c>
    </row>
    <row r="2294" customFormat="false" ht="17.25" hidden="false" customHeight="true" outlineLevel="0" collapsed="false">
      <c r="A2294" s="52" t="s">
        <v>5777</v>
      </c>
      <c r="B2294" s="52" t="s">
        <v>5813</v>
      </c>
      <c r="C2294" s="53" t="n">
        <v>1387394</v>
      </c>
      <c r="D2294" s="52" t="s">
        <v>4892</v>
      </c>
      <c r="E2294" s="52" t="s">
        <v>4893</v>
      </c>
      <c r="F2294" s="54" t="n">
        <v>1</v>
      </c>
      <c r="G2294" s="55" t="n">
        <v>68</v>
      </c>
      <c r="H2294" s="55" t="n">
        <v>68</v>
      </c>
      <c r="I2294" s="55" t="n">
        <v>68</v>
      </c>
      <c r="J2294" s="52" t="s">
        <v>5816</v>
      </c>
      <c r="K2294" s="56" t="n">
        <v>1</v>
      </c>
      <c r="L2294" s="52" t="s">
        <v>5816</v>
      </c>
      <c r="M2294" s="52" t="s">
        <v>130</v>
      </c>
    </row>
    <row r="2295" customFormat="false" ht="17.25" hidden="false" customHeight="true" outlineLevel="0" collapsed="false">
      <c r="A2295" s="52" t="s">
        <v>5777</v>
      </c>
      <c r="B2295" s="52" t="s">
        <v>5813</v>
      </c>
      <c r="C2295" s="53" t="n">
        <v>33574</v>
      </c>
      <c r="D2295" s="52" t="s">
        <v>4894</v>
      </c>
      <c r="E2295" s="52" t="s">
        <v>4895</v>
      </c>
      <c r="F2295" s="54" t="n">
        <v>4</v>
      </c>
      <c r="G2295" s="55" t="n">
        <v>67.92</v>
      </c>
      <c r="H2295" s="55" t="n">
        <v>16.98</v>
      </c>
      <c r="I2295" s="55" t="n">
        <v>16.98</v>
      </c>
      <c r="J2295" s="52" t="s">
        <v>5816</v>
      </c>
      <c r="K2295" s="56" t="n">
        <v>1</v>
      </c>
      <c r="L2295" s="52" t="s">
        <v>5816</v>
      </c>
      <c r="M2295" s="52" t="s">
        <v>480</v>
      </c>
    </row>
    <row r="2296" customFormat="false" ht="17.25" hidden="false" customHeight="true" outlineLevel="0" collapsed="false">
      <c r="A2296" s="52" t="s">
        <v>5777</v>
      </c>
      <c r="B2296" s="52" t="s">
        <v>5813</v>
      </c>
      <c r="C2296" s="53" t="n">
        <v>19594</v>
      </c>
      <c r="D2296" s="52" t="s">
        <v>4896</v>
      </c>
      <c r="E2296" s="52" t="s">
        <v>4897</v>
      </c>
      <c r="F2296" s="54" t="n">
        <v>4</v>
      </c>
      <c r="G2296" s="55" t="n">
        <v>67.76</v>
      </c>
      <c r="H2296" s="55" t="n">
        <v>16.94</v>
      </c>
      <c r="I2296" s="55" t="n">
        <v>16.94</v>
      </c>
      <c r="J2296" s="52" t="s">
        <v>5816</v>
      </c>
      <c r="K2296" s="56" t="n">
        <v>1</v>
      </c>
      <c r="L2296" s="52" t="s">
        <v>5816</v>
      </c>
      <c r="M2296" s="52" t="s">
        <v>1095</v>
      </c>
    </row>
    <row r="2297" customFormat="false" ht="17.25" hidden="false" customHeight="true" outlineLevel="0" collapsed="false">
      <c r="A2297" s="52" t="s">
        <v>5777</v>
      </c>
      <c r="B2297" s="52" t="s">
        <v>5813</v>
      </c>
      <c r="C2297" s="53" t="n">
        <v>1672551</v>
      </c>
      <c r="D2297" s="52" t="s">
        <v>4898</v>
      </c>
      <c r="E2297" s="52" t="s">
        <v>4899</v>
      </c>
      <c r="F2297" s="54" t="n">
        <v>2</v>
      </c>
      <c r="G2297" s="55" t="n">
        <v>67.4</v>
      </c>
      <c r="H2297" s="55" t="n">
        <v>33.7</v>
      </c>
      <c r="I2297" s="55" t="n">
        <v>33.7</v>
      </c>
      <c r="J2297" s="52" t="s">
        <v>5816</v>
      </c>
      <c r="K2297" s="56" t="n">
        <v>1</v>
      </c>
      <c r="L2297" s="52" t="s">
        <v>5816</v>
      </c>
      <c r="M2297" s="52" t="s">
        <v>66</v>
      </c>
    </row>
    <row r="2298" customFormat="false" ht="17.25" hidden="false" customHeight="true" outlineLevel="0" collapsed="false">
      <c r="A2298" s="52" t="s">
        <v>5777</v>
      </c>
      <c r="B2298" s="52" t="s">
        <v>5813</v>
      </c>
      <c r="C2298" s="53" t="n">
        <v>1484108</v>
      </c>
      <c r="D2298" s="52" t="s">
        <v>4900</v>
      </c>
      <c r="E2298" s="52" t="s">
        <v>4901</v>
      </c>
      <c r="F2298" s="54" t="n">
        <v>56</v>
      </c>
      <c r="G2298" s="55" t="n">
        <v>67.2</v>
      </c>
      <c r="H2298" s="55" t="n">
        <v>1.2</v>
      </c>
      <c r="I2298" s="55" t="n">
        <v>1.2</v>
      </c>
      <c r="J2298" s="52" t="s">
        <v>5816</v>
      </c>
      <c r="K2298" s="56" t="n">
        <v>1</v>
      </c>
      <c r="L2298" s="52" t="s">
        <v>5816</v>
      </c>
      <c r="M2298" s="52" t="s">
        <v>100</v>
      </c>
    </row>
    <row r="2299" customFormat="false" ht="17.25" hidden="false" customHeight="true" outlineLevel="0" collapsed="false">
      <c r="A2299" s="52" t="s">
        <v>5777</v>
      </c>
      <c r="B2299" s="52" t="s">
        <v>5813</v>
      </c>
      <c r="C2299" s="53" t="n">
        <v>17950</v>
      </c>
      <c r="D2299" s="52" t="s">
        <v>4902</v>
      </c>
      <c r="E2299" s="52" t="s">
        <v>4903</v>
      </c>
      <c r="F2299" s="54" t="n">
        <v>1</v>
      </c>
      <c r="G2299" s="55" t="n">
        <v>67</v>
      </c>
      <c r="H2299" s="55" t="n">
        <v>67</v>
      </c>
      <c r="I2299" s="55" t="n">
        <v>67</v>
      </c>
      <c r="J2299" s="52" t="s">
        <v>5816</v>
      </c>
      <c r="K2299" s="56" t="n">
        <v>1</v>
      </c>
      <c r="L2299" s="52" t="s">
        <v>5816</v>
      </c>
      <c r="M2299" s="52" t="s">
        <v>130</v>
      </c>
    </row>
    <row r="2300" customFormat="false" ht="17.25" hidden="false" customHeight="true" outlineLevel="0" collapsed="false">
      <c r="A2300" s="52" t="s">
        <v>5777</v>
      </c>
      <c r="B2300" s="52" t="s">
        <v>5813</v>
      </c>
      <c r="C2300" s="53" t="n">
        <v>35128</v>
      </c>
      <c r="D2300" s="52" t="s">
        <v>4904</v>
      </c>
      <c r="E2300" s="52" t="s">
        <v>4905</v>
      </c>
      <c r="F2300" s="54" t="n">
        <v>10</v>
      </c>
      <c r="G2300" s="55" t="n">
        <v>66.93</v>
      </c>
      <c r="H2300" s="55" t="n">
        <v>6.693</v>
      </c>
      <c r="I2300" s="55" t="n">
        <v>6.693</v>
      </c>
      <c r="J2300" s="52" t="s">
        <v>5816</v>
      </c>
      <c r="K2300" s="56" t="n">
        <v>1</v>
      </c>
      <c r="L2300" s="52" t="s">
        <v>5816</v>
      </c>
      <c r="M2300" s="52" t="s">
        <v>1618</v>
      </c>
    </row>
    <row r="2301" customFormat="false" ht="17.25" hidden="false" customHeight="true" outlineLevel="0" collapsed="false">
      <c r="A2301" s="52" t="s">
        <v>5777</v>
      </c>
      <c r="B2301" s="52" t="s">
        <v>5813</v>
      </c>
      <c r="C2301" s="53" t="n">
        <v>1383881</v>
      </c>
      <c r="D2301" s="52" t="s">
        <v>4906</v>
      </c>
      <c r="E2301" s="52" t="s">
        <v>4907</v>
      </c>
      <c r="F2301" s="54" t="n">
        <v>8</v>
      </c>
      <c r="G2301" s="55" t="n">
        <v>66.36</v>
      </c>
      <c r="H2301" s="55" t="n">
        <v>8.295</v>
      </c>
      <c r="I2301" s="55" t="n">
        <v>5.4</v>
      </c>
      <c r="J2301" s="52" t="s">
        <v>5816</v>
      </c>
      <c r="K2301" s="56" t="n">
        <v>1</v>
      </c>
      <c r="L2301" s="52" t="s">
        <v>5816</v>
      </c>
      <c r="M2301" s="52" t="s">
        <v>100</v>
      </c>
    </row>
    <row r="2302" customFormat="false" ht="17.25" hidden="false" customHeight="true" outlineLevel="0" collapsed="false">
      <c r="A2302" s="52" t="s">
        <v>5777</v>
      </c>
      <c r="B2302" s="52" t="s">
        <v>5813</v>
      </c>
      <c r="C2302" s="53" t="n">
        <v>138663</v>
      </c>
      <c r="D2302" s="52" t="s">
        <v>4908</v>
      </c>
      <c r="E2302" s="52" t="s">
        <v>4909</v>
      </c>
      <c r="F2302" s="54" t="n">
        <v>3</v>
      </c>
      <c r="G2302" s="55" t="n">
        <v>66</v>
      </c>
      <c r="H2302" s="55" t="n">
        <v>22</v>
      </c>
      <c r="I2302" s="55" t="n">
        <v>22</v>
      </c>
      <c r="J2302" s="52" t="s">
        <v>5816</v>
      </c>
      <c r="K2302" s="56" t="n">
        <v>1</v>
      </c>
      <c r="L2302" s="52" t="s">
        <v>5816</v>
      </c>
      <c r="M2302" s="52" t="s">
        <v>480</v>
      </c>
    </row>
    <row r="2303" customFormat="false" ht="17.25" hidden="false" customHeight="true" outlineLevel="0" collapsed="false">
      <c r="A2303" s="52" t="s">
        <v>5777</v>
      </c>
      <c r="B2303" s="52" t="s">
        <v>5813</v>
      </c>
      <c r="C2303" s="53" t="n">
        <v>21652</v>
      </c>
      <c r="D2303" s="52" t="s">
        <v>4910</v>
      </c>
      <c r="E2303" s="52" t="s">
        <v>4911</v>
      </c>
      <c r="F2303" s="54" t="n">
        <v>3</v>
      </c>
      <c r="G2303" s="55" t="n">
        <v>65.82</v>
      </c>
      <c r="H2303" s="55" t="n">
        <v>21.94</v>
      </c>
      <c r="I2303" s="55" t="n">
        <v>21.94</v>
      </c>
      <c r="J2303" s="52" t="s">
        <v>5816</v>
      </c>
      <c r="K2303" s="56" t="n">
        <v>1</v>
      </c>
      <c r="L2303" s="52" t="s">
        <v>5816</v>
      </c>
      <c r="M2303" s="52" t="s">
        <v>189</v>
      </c>
    </row>
    <row r="2304" customFormat="false" ht="17.25" hidden="false" customHeight="true" outlineLevel="0" collapsed="false">
      <c r="A2304" s="52" t="s">
        <v>5777</v>
      </c>
      <c r="B2304" s="52" t="s">
        <v>5813</v>
      </c>
      <c r="C2304" s="53" t="n">
        <v>22601</v>
      </c>
      <c r="D2304" s="52" t="s">
        <v>4912</v>
      </c>
      <c r="E2304" s="52" t="s">
        <v>4913</v>
      </c>
      <c r="F2304" s="54" t="n">
        <v>20</v>
      </c>
      <c r="G2304" s="55" t="n">
        <v>65.6</v>
      </c>
      <c r="H2304" s="55" t="n">
        <v>3.28</v>
      </c>
      <c r="I2304" s="55" t="n">
        <v>3.28</v>
      </c>
      <c r="J2304" s="52" t="s">
        <v>5814</v>
      </c>
      <c r="K2304" s="56" t="n">
        <v>1</v>
      </c>
      <c r="L2304" s="52" t="s">
        <v>5814</v>
      </c>
      <c r="M2304" s="52" t="s">
        <v>262</v>
      </c>
    </row>
    <row r="2305" customFormat="false" ht="17.25" hidden="false" customHeight="true" outlineLevel="0" collapsed="false">
      <c r="A2305" s="52" t="s">
        <v>5777</v>
      </c>
      <c r="B2305" s="52" t="s">
        <v>5813</v>
      </c>
      <c r="C2305" s="53" t="n">
        <v>55527</v>
      </c>
      <c r="D2305" s="52" t="s">
        <v>4914</v>
      </c>
      <c r="E2305" s="52" t="s">
        <v>4915</v>
      </c>
      <c r="F2305" s="54" t="n">
        <v>1</v>
      </c>
      <c r="G2305" s="55" t="n">
        <v>65</v>
      </c>
      <c r="H2305" s="55" t="n">
        <v>65</v>
      </c>
      <c r="I2305" s="55" t="n">
        <v>65</v>
      </c>
      <c r="J2305" s="52" t="s">
        <v>5816</v>
      </c>
      <c r="K2305" s="56" t="n">
        <v>1</v>
      </c>
      <c r="L2305" s="52" t="s">
        <v>5816</v>
      </c>
      <c r="M2305" s="52" t="s">
        <v>130</v>
      </c>
    </row>
    <row r="2306" customFormat="false" ht="17.25" hidden="false" customHeight="true" outlineLevel="0" collapsed="false">
      <c r="A2306" s="52" t="s">
        <v>5777</v>
      </c>
      <c r="B2306" s="52" t="s">
        <v>5813</v>
      </c>
      <c r="C2306" s="53" t="n">
        <v>16035</v>
      </c>
      <c r="D2306" s="52" t="s">
        <v>4916</v>
      </c>
      <c r="E2306" s="52" t="s">
        <v>4917</v>
      </c>
      <c r="F2306" s="54" t="n">
        <v>1</v>
      </c>
      <c r="G2306" s="55" t="n">
        <v>64.98</v>
      </c>
      <c r="H2306" s="55" t="n">
        <v>64.98</v>
      </c>
      <c r="I2306" s="55" t="n">
        <v>64.98</v>
      </c>
      <c r="J2306" s="52" t="s">
        <v>5816</v>
      </c>
      <c r="K2306" s="56" t="n">
        <v>1</v>
      </c>
      <c r="L2306" s="52" t="s">
        <v>5816</v>
      </c>
      <c r="M2306" s="52" t="s">
        <v>54</v>
      </c>
    </row>
    <row r="2307" customFormat="false" ht="17.25" hidden="false" customHeight="true" outlineLevel="0" collapsed="false">
      <c r="A2307" s="52" t="s">
        <v>5777</v>
      </c>
      <c r="B2307" s="52" t="s">
        <v>5813</v>
      </c>
      <c r="C2307" s="53" t="n">
        <v>391747</v>
      </c>
      <c r="D2307" s="52" t="s">
        <v>4918</v>
      </c>
      <c r="E2307" s="52" t="s">
        <v>4919</v>
      </c>
      <c r="F2307" s="54" t="n">
        <v>5</v>
      </c>
      <c r="G2307" s="55" t="n">
        <v>64.9</v>
      </c>
      <c r="H2307" s="55" t="n">
        <v>12.98</v>
      </c>
      <c r="I2307" s="55" t="n">
        <v>12.98</v>
      </c>
      <c r="J2307" s="52" t="s">
        <v>5816</v>
      </c>
      <c r="K2307" s="56" t="n">
        <v>1</v>
      </c>
      <c r="L2307" s="52" t="s">
        <v>5816</v>
      </c>
      <c r="M2307" s="52" t="s">
        <v>38</v>
      </c>
    </row>
    <row r="2308" customFormat="false" ht="17.25" hidden="false" customHeight="true" outlineLevel="0" collapsed="false">
      <c r="A2308" s="52" t="s">
        <v>5777</v>
      </c>
      <c r="B2308" s="52" t="s">
        <v>5813</v>
      </c>
      <c r="C2308" s="53" t="n">
        <v>835826</v>
      </c>
      <c r="D2308" s="52" t="s">
        <v>4920</v>
      </c>
      <c r="E2308" s="52" t="s">
        <v>5981</v>
      </c>
      <c r="F2308" s="54" t="n">
        <v>9</v>
      </c>
      <c r="G2308" s="55" t="n">
        <v>64.08</v>
      </c>
      <c r="H2308" s="55" t="n">
        <v>7.12</v>
      </c>
      <c r="I2308" s="55" t="n">
        <v>7.12</v>
      </c>
      <c r="J2308" s="52" t="s">
        <v>5816</v>
      </c>
      <c r="K2308" s="56" t="n">
        <v>1</v>
      </c>
      <c r="L2308" s="52" t="s">
        <v>5816</v>
      </c>
      <c r="M2308" s="52" t="s">
        <v>38</v>
      </c>
    </row>
    <row r="2309" customFormat="false" ht="17.25" hidden="false" customHeight="true" outlineLevel="0" collapsed="false">
      <c r="A2309" s="52" t="s">
        <v>5777</v>
      </c>
      <c r="B2309" s="52" t="s">
        <v>5813</v>
      </c>
      <c r="C2309" s="53" t="n">
        <v>652213</v>
      </c>
      <c r="D2309" s="52" t="s">
        <v>4922</v>
      </c>
      <c r="E2309" s="52" t="s">
        <v>4923</v>
      </c>
      <c r="F2309" s="54" t="n">
        <v>1.068</v>
      </c>
      <c r="G2309" s="55" t="n">
        <v>64.03</v>
      </c>
      <c r="H2309" s="55" t="n">
        <v>59.9532</v>
      </c>
      <c r="I2309" s="55" t="n">
        <v>59.9532</v>
      </c>
      <c r="J2309" s="52" t="s">
        <v>5816</v>
      </c>
      <c r="K2309" s="56" t="n">
        <v>1</v>
      </c>
      <c r="L2309" s="52" t="s">
        <v>5816</v>
      </c>
      <c r="M2309" s="52" t="s">
        <v>457</v>
      </c>
    </row>
    <row r="2310" customFormat="false" ht="17.25" hidden="false" customHeight="true" outlineLevel="0" collapsed="false">
      <c r="A2310" s="52" t="s">
        <v>5777</v>
      </c>
      <c r="B2310" s="52" t="s">
        <v>5813</v>
      </c>
      <c r="C2310" s="53" t="n">
        <v>35096</v>
      </c>
      <c r="D2310" s="52" t="s">
        <v>4924</v>
      </c>
      <c r="E2310" s="52" t="s">
        <v>4925</v>
      </c>
      <c r="F2310" s="54" t="n">
        <v>50</v>
      </c>
      <c r="G2310" s="55" t="n">
        <v>64</v>
      </c>
      <c r="H2310" s="55" t="n">
        <v>1.28</v>
      </c>
      <c r="I2310" s="55" t="n">
        <v>1.28</v>
      </c>
      <c r="J2310" s="52" t="s">
        <v>5816</v>
      </c>
      <c r="K2310" s="56" t="n">
        <v>1</v>
      </c>
      <c r="L2310" s="52" t="s">
        <v>5816</v>
      </c>
      <c r="M2310" s="52" t="s">
        <v>100</v>
      </c>
    </row>
    <row r="2311" customFormat="false" ht="17.25" hidden="false" customHeight="true" outlineLevel="0" collapsed="false">
      <c r="A2311" s="52" t="s">
        <v>5777</v>
      </c>
      <c r="B2311" s="52" t="s">
        <v>5813</v>
      </c>
      <c r="C2311" s="53" t="n">
        <v>728594</v>
      </c>
      <c r="D2311" s="52" t="s">
        <v>4926</v>
      </c>
      <c r="E2311" s="52" t="s">
        <v>4927</v>
      </c>
      <c r="F2311" s="54" t="n">
        <v>80</v>
      </c>
      <c r="G2311" s="55" t="n">
        <v>64</v>
      </c>
      <c r="H2311" s="55" t="n">
        <v>0.8</v>
      </c>
      <c r="I2311" s="55" t="n">
        <v>0.8</v>
      </c>
      <c r="J2311" s="52" t="s">
        <v>5816</v>
      </c>
      <c r="K2311" s="56" t="n">
        <v>1</v>
      </c>
      <c r="L2311" s="52" t="s">
        <v>5816</v>
      </c>
      <c r="M2311" s="52" t="s">
        <v>100</v>
      </c>
    </row>
    <row r="2312" customFormat="false" ht="17.25" hidden="false" customHeight="true" outlineLevel="0" collapsed="false">
      <c r="A2312" s="52" t="s">
        <v>5777</v>
      </c>
      <c r="B2312" s="52" t="s">
        <v>5813</v>
      </c>
      <c r="C2312" s="53" t="n">
        <v>1380002</v>
      </c>
      <c r="D2312" s="52" t="s">
        <v>4928</v>
      </c>
      <c r="E2312" s="52" t="s">
        <v>4929</v>
      </c>
      <c r="F2312" s="54" t="n">
        <v>130</v>
      </c>
      <c r="G2312" s="55" t="n">
        <v>63.89</v>
      </c>
      <c r="H2312" s="55" t="n">
        <v>0.4915</v>
      </c>
      <c r="I2312" s="55" t="n">
        <v>0.0841</v>
      </c>
      <c r="J2312" s="52" t="s">
        <v>5816</v>
      </c>
      <c r="K2312" s="56" t="n">
        <v>1</v>
      </c>
      <c r="L2312" s="52" t="s">
        <v>5816</v>
      </c>
      <c r="M2312" s="52" t="s">
        <v>100</v>
      </c>
    </row>
    <row r="2313" customFormat="false" ht="17.25" hidden="false" customHeight="true" outlineLevel="0" collapsed="false">
      <c r="A2313" s="52" t="s">
        <v>5777</v>
      </c>
      <c r="B2313" s="52" t="s">
        <v>5813</v>
      </c>
      <c r="C2313" s="53" t="n">
        <v>1384289</v>
      </c>
      <c r="D2313" s="52" t="s">
        <v>4930</v>
      </c>
      <c r="E2313" s="52" t="s">
        <v>4931</v>
      </c>
      <c r="F2313" s="54" t="n">
        <v>2</v>
      </c>
      <c r="G2313" s="55" t="n">
        <v>63.53</v>
      </c>
      <c r="H2313" s="55" t="n">
        <v>31.765</v>
      </c>
      <c r="I2313" s="55" t="n">
        <v>31.765</v>
      </c>
      <c r="J2313" s="52" t="s">
        <v>5816</v>
      </c>
      <c r="K2313" s="56" t="n">
        <v>1</v>
      </c>
      <c r="L2313" s="52" t="s">
        <v>5816</v>
      </c>
      <c r="M2313" s="52" t="s">
        <v>75</v>
      </c>
    </row>
    <row r="2314" customFormat="false" ht="17.25" hidden="false" customHeight="true" outlineLevel="0" collapsed="false">
      <c r="A2314" s="52" t="s">
        <v>5777</v>
      </c>
      <c r="B2314" s="52" t="s">
        <v>5813</v>
      </c>
      <c r="C2314" s="53" t="n">
        <v>19329</v>
      </c>
      <c r="D2314" s="52" t="s">
        <v>4932</v>
      </c>
      <c r="E2314" s="52" t="s">
        <v>4933</v>
      </c>
      <c r="F2314" s="54" t="n">
        <v>51</v>
      </c>
      <c r="G2314" s="55" t="n">
        <v>63</v>
      </c>
      <c r="H2314" s="55" t="n">
        <v>1.2353</v>
      </c>
      <c r="I2314" s="55" t="n">
        <v>35</v>
      </c>
      <c r="J2314" s="52" t="s">
        <v>5816</v>
      </c>
      <c r="K2314" s="56" t="n">
        <v>1</v>
      </c>
      <c r="L2314" s="52" t="s">
        <v>5816</v>
      </c>
      <c r="M2314" s="52" t="s">
        <v>1095</v>
      </c>
    </row>
    <row r="2315" customFormat="false" ht="17.25" hidden="false" customHeight="true" outlineLevel="0" collapsed="false">
      <c r="A2315" s="52" t="s">
        <v>5777</v>
      </c>
      <c r="B2315" s="52" t="s">
        <v>5813</v>
      </c>
      <c r="C2315" s="53" t="n">
        <v>293004</v>
      </c>
      <c r="D2315" s="52" t="s">
        <v>4934</v>
      </c>
      <c r="E2315" s="52" t="s">
        <v>4935</v>
      </c>
      <c r="F2315" s="54" t="n">
        <v>100</v>
      </c>
      <c r="G2315" s="55" t="n">
        <v>63</v>
      </c>
      <c r="H2315" s="55" t="n">
        <v>0.63</v>
      </c>
      <c r="I2315" s="55" t="n">
        <v>0.63</v>
      </c>
      <c r="J2315" s="52" t="s">
        <v>5816</v>
      </c>
      <c r="K2315" s="56" t="n">
        <v>1</v>
      </c>
      <c r="L2315" s="52" t="s">
        <v>5816</v>
      </c>
      <c r="M2315" s="52" t="s">
        <v>100</v>
      </c>
    </row>
    <row r="2316" customFormat="false" ht="17.25" hidden="false" customHeight="true" outlineLevel="0" collapsed="false">
      <c r="A2316" s="52" t="s">
        <v>5777</v>
      </c>
      <c r="B2316" s="52" t="s">
        <v>5813</v>
      </c>
      <c r="C2316" s="53" t="n">
        <v>16838</v>
      </c>
      <c r="D2316" s="52" t="s">
        <v>4936</v>
      </c>
      <c r="E2316" s="52" t="s">
        <v>4937</v>
      </c>
      <c r="F2316" s="54" t="n">
        <v>59</v>
      </c>
      <c r="G2316" s="55" t="n">
        <v>62.73</v>
      </c>
      <c r="H2316" s="55" t="n">
        <v>1.0632</v>
      </c>
      <c r="I2316" s="55" t="n">
        <v>0.65</v>
      </c>
      <c r="J2316" s="52" t="s">
        <v>5816</v>
      </c>
      <c r="K2316" s="56" t="n">
        <v>1</v>
      </c>
      <c r="L2316" s="52" t="s">
        <v>5816</v>
      </c>
      <c r="M2316" s="52" t="s">
        <v>100</v>
      </c>
    </row>
    <row r="2317" customFormat="false" ht="17.25" hidden="false" customHeight="true" outlineLevel="0" collapsed="false">
      <c r="A2317" s="52" t="s">
        <v>5777</v>
      </c>
      <c r="B2317" s="52" t="s">
        <v>5813</v>
      </c>
      <c r="C2317" s="53" t="n">
        <v>385421</v>
      </c>
      <c r="D2317" s="52" t="s">
        <v>4938</v>
      </c>
      <c r="E2317" s="52" t="s">
        <v>4939</v>
      </c>
      <c r="F2317" s="54" t="n">
        <v>1</v>
      </c>
      <c r="G2317" s="55" t="n">
        <v>62.1</v>
      </c>
      <c r="H2317" s="55" t="n">
        <v>62.1</v>
      </c>
      <c r="I2317" s="55" t="n">
        <v>62.1</v>
      </c>
      <c r="J2317" s="52" t="s">
        <v>5816</v>
      </c>
      <c r="K2317" s="56" t="n">
        <v>1</v>
      </c>
      <c r="L2317" s="52" t="s">
        <v>5816</v>
      </c>
      <c r="M2317" s="52" t="s">
        <v>113</v>
      </c>
    </row>
    <row r="2318" customFormat="false" ht="17.25" hidden="false" customHeight="true" outlineLevel="0" collapsed="false">
      <c r="A2318" s="52" t="s">
        <v>5777</v>
      </c>
      <c r="B2318" s="52" t="s">
        <v>5813</v>
      </c>
      <c r="C2318" s="53" t="n">
        <v>733673</v>
      </c>
      <c r="D2318" s="52" t="s">
        <v>4940</v>
      </c>
      <c r="E2318" s="52" t="s">
        <v>4941</v>
      </c>
      <c r="F2318" s="54" t="n">
        <v>1</v>
      </c>
      <c r="G2318" s="55" t="n">
        <v>62</v>
      </c>
      <c r="H2318" s="55" t="n">
        <v>62</v>
      </c>
      <c r="I2318" s="55" t="n">
        <v>62</v>
      </c>
      <c r="J2318" s="52" t="s">
        <v>5816</v>
      </c>
      <c r="K2318" s="56" t="n">
        <v>1</v>
      </c>
      <c r="L2318" s="52" t="s">
        <v>5816</v>
      </c>
      <c r="M2318" s="52" t="s">
        <v>130</v>
      </c>
    </row>
    <row r="2319" customFormat="false" ht="17.25" hidden="false" customHeight="true" outlineLevel="0" collapsed="false">
      <c r="A2319" s="52" t="s">
        <v>5777</v>
      </c>
      <c r="B2319" s="52" t="s">
        <v>5813</v>
      </c>
      <c r="C2319" s="53" t="n">
        <v>1323079</v>
      </c>
      <c r="D2319" s="52" t="s">
        <v>4942</v>
      </c>
      <c r="E2319" s="52" t="s">
        <v>4943</v>
      </c>
      <c r="F2319" s="54" t="n">
        <v>2</v>
      </c>
      <c r="G2319" s="55" t="n">
        <v>62</v>
      </c>
      <c r="H2319" s="55" t="n">
        <v>31</v>
      </c>
      <c r="I2319" s="55" t="n">
        <v>31</v>
      </c>
      <c r="J2319" s="52" t="s">
        <v>5816</v>
      </c>
      <c r="K2319" s="56" t="n">
        <v>1</v>
      </c>
      <c r="L2319" s="52" t="s">
        <v>5816</v>
      </c>
      <c r="M2319" s="52" t="s">
        <v>54</v>
      </c>
    </row>
    <row r="2320" customFormat="false" ht="17.25" hidden="false" customHeight="true" outlineLevel="0" collapsed="false">
      <c r="A2320" s="52" t="s">
        <v>5777</v>
      </c>
      <c r="B2320" s="52" t="s">
        <v>5813</v>
      </c>
      <c r="C2320" s="53" t="n">
        <v>1478188</v>
      </c>
      <c r="D2320" s="52" t="s">
        <v>4944</v>
      </c>
      <c r="E2320" s="52" t="s">
        <v>5982</v>
      </c>
      <c r="F2320" s="54" t="n">
        <v>2</v>
      </c>
      <c r="G2320" s="55" t="n">
        <v>61.02</v>
      </c>
      <c r="H2320" s="55" t="n">
        <v>30.51</v>
      </c>
      <c r="I2320" s="55" t="n">
        <v>30.51</v>
      </c>
      <c r="J2320" s="52" t="s">
        <v>5816</v>
      </c>
      <c r="K2320" s="56" t="n">
        <v>1</v>
      </c>
      <c r="L2320" s="52" t="s">
        <v>5816</v>
      </c>
      <c r="M2320" s="52" t="s">
        <v>130</v>
      </c>
    </row>
    <row r="2321" customFormat="false" ht="17.25" hidden="false" customHeight="true" outlineLevel="0" collapsed="false">
      <c r="A2321" s="52" t="s">
        <v>5777</v>
      </c>
      <c r="B2321" s="52" t="s">
        <v>5813</v>
      </c>
      <c r="C2321" s="53" t="n">
        <v>223519</v>
      </c>
      <c r="D2321" s="52" t="s">
        <v>4946</v>
      </c>
      <c r="E2321" s="52" t="s">
        <v>4947</v>
      </c>
      <c r="F2321" s="54" t="n">
        <v>2</v>
      </c>
      <c r="G2321" s="55" t="n">
        <v>60</v>
      </c>
      <c r="H2321" s="55" t="n">
        <v>30</v>
      </c>
      <c r="I2321" s="55" t="n">
        <v>30</v>
      </c>
      <c r="J2321" s="52" t="s">
        <v>5816</v>
      </c>
      <c r="K2321" s="56" t="n">
        <v>1</v>
      </c>
      <c r="L2321" s="52" t="s">
        <v>5816</v>
      </c>
      <c r="M2321" s="52" t="s">
        <v>2056</v>
      </c>
    </row>
    <row r="2322" customFormat="false" ht="17.25" hidden="false" customHeight="true" outlineLevel="0" collapsed="false">
      <c r="A2322" s="52" t="s">
        <v>5777</v>
      </c>
      <c r="B2322" s="52" t="s">
        <v>5813</v>
      </c>
      <c r="C2322" s="53" t="n">
        <v>223547</v>
      </c>
      <c r="D2322" s="52" t="s">
        <v>4948</v>
      </c>
      <c r="E2322" s="52" t="s">
        <v>4949</v>
      </c>
      <c r="F2322" s="54" t="n">
        <v>6</v>
      </c>
      <c r="G2322" s="55" t="n">
        <v>60</v>
      </c>
      <c r="H2322" s="55" t="n">
        <v>10</v>
      </c>
      <c r="I2322" s="55" t="n">
        <v>10</v>
      </c>
      <c r="J2322" s="52" t="s">
        <v>5860</v>
      </c>
      <c r="K2322" s="56" t="n">
        <v>1E-006</v>
      </c>
      <c r="L2322" s="52" t="s">
        <v>5824</v>
      </c>
      <c r="M2322" s="52" t="s">
        <v>2056</v>
      </c>
    </row>
    <row r="2323" customFormat="false" ht="17.25" hidden="false" customHeight="true" outlineLevel="0" collapsed="false">
      <c r="A2323" s="52" t="s">
        <v>5777</v>
      </c>
      <c r="B2323" s="52" t="s">
        <v>5813</v>
      </c>
      <c r="C2323" s="53" t="n">
        <v>1259170</v>
      </c>
      <c r="D2323" s="52" t="s">
        <v>4950</v>
      </c>
      <c r="E2323" s="52" t="s">
        <v>4951</v>
      </c>
      <c r="F2323" s="54" t="n">
        <v>4</v>
      </c>
      <c r="G2323" s="55" t="n">
        <v>60</v>
      </c>
      <c r="H2323" s="55" t="n">
        <v>15</v>
      </c>
      <c r="I2323" s="55" t="n">
        <v>15</v>
      </c>
      <c r="J2323" s="52" t="s">
        <v>5816</v>
      </c>
      <c r="K2323" s="56" t="n">
        <v>1</v>
      </c>
      <c r="L2323" s="52" t="s">
        <v>5816</v>
      </c>
      <c r="M2323" s="52" t="s">
        <v>130</v>
      </c>
    </row>
    <row r="2324" customFormat="false" ht="17.25" hidden="false" customHeight="true" outlineLevel="0" collapsed="false">
      <c r="A2324" s="52" t="s">
        <v>5777</v>
      </c>
      <c r="B2324" s="52" t="s">
        <v>5813</v>
      </c>
      <c r="C2324" s="53" t="n">
        <v>1016260</v>
      </c>
      <c r="D2324" s="52" t="s">
        <v>4952</v>
      </c>
      <c r="E2324" s="52" t="s">
        <v>4953</v>
      </c>
      <c r="F2324" s="54" t="n">
        <v>2</v>
      </c>
      <c r="G2324" s="55" t="n">
        <v>59.98</v>
      </c>
      <c r="H2324" s="55" t="n">
        <v>29.99</v>
      </c>
      <c r="I2324" s="55" t="n">
        <v>29.99</v>
      </c>
      <c r="J2324" s="52" t="s">
        <v>5816</v>
      </c>
      <c r="K2324" s="56" t="n">
        <v>1</v>
      </c>
      <c r="L2324" s="52" t="s">
        <v>5816</v>
      </c>
      <c r="M2324" s="52" t="s">
        <v>2056</v>
      </c>
    </row>
    <row r="2325" customFormat="false" ht="17.25" hidden="false" customHeight="true" outlineLevel="0" collapsed="false">
      <c r="A2325" s="52" t="s">
        <v>5777</v>
      </c>
      <c r="B2325" s="52" t="s">
        <v>5813</v>
      </c>
      <c r="C2325" s="53" t="n">
        <v>23556</v>
      </c>
      <c r="D2325" s="52" t="s">
        <v>4954</v>
      </c>
      <c r="E2325" s="52" t="s">
        <v>4955</v>
      </c>
      <c r="F2325" s="54" t="n">
        <v>2</v>
      </c>
      <c r="G2325" s="55" t="n">
        <v>59.96</v>
      </c>
      <c r="H2325" s="55" t="n">
        <v>29.98</v>
      </c>
      <c r="I2325" s="55" t="n">
        <v>29.98</v>
      </c>
      <c r="J2325" s="52" t="s">
        <v>5816</v>
      </c>
      <c r="K2325" s="56" t="n">
        <v>1</v>
      </c>
      <c r="L2325" s="52" t="s">
        <v>5816</v>
      </c>
      <c r="M2325" s="52" t="s">
        <v>705</v>
      </c>
    </row>
    <row r="2326" customFormat="false" ht="17.25" hidden="false" customHeight="true" outlineLevel="0" collapsed="false">
      <c r="A2326" s="52" t="s">
        <v>5777</v>
      </c>
      <c r="B2326" s="52" t="s">
        <v>5813</v>
      </c>
      <c r="C2326" s="53" t="n">
        <v>56606</v>
      </c>
      <c r="D2326" s="52" t="s">
        <v>4956</v>
      </c>
      <c r="E2326" s="52" t="s">
        <v>4957</v>
      </c>
      <c r="F2326" s="54" t="n">
        <v>4</v>
      </c>
      <c r="G2326" s="55" t="n">
        <v>59.92</v>
      </c>
      <c r="H2326" s="55" t="n">
        <v>14.98</v>
      </c>
      <c r="I2326" s="55" t="n">
        <v>14.98</v>
      </c>
      <c r="J2326" s="52" t="s">
        <v>5816</v>
      </c>
      <c r="K2326" s="56" t="n">
        <v>1</v>
      </c>
      <c r="L2326" s="52" t="s">
        <v>5816</v>
      </c>
      <c r="M2326" s="52" t="s">
        <v>38</v>
      </c>
    </row>
    <row r="2327" customFormat="false" ht="17.25" hidden="false" customHeight="true" outlineLevel="0" collapsed="false">
      <c r="A2327" s="52" t="s">
        <v>5777</v>
      </c>
      <c r="B2327" s="52" t="s">
        <v>5813</v>
      </c>
      <c r="C2327" s="53" t="n">
        <v>18844</v>
      </c>
      <c r="D2327" s="52" t="s">
        <v>4958</v>
      </c>
      <c r="E2327" s="52" t="s">
        <v>4959</v>
      </c>
      <c r="F2327" s="54" t="n">
        <v>6</v>
      </c>
      <c r="G2327" s="55" t="n">
        <v>59.58</v>
      </c>
      <c r="H2327" s="55" t="n">
        <v>9.93</v>
      </c>
      <c r="I2327" s="55" t="n">
        <v>9.93</v>
      </c>
      <c r="J2327" s="52" t="s">
        <v>5816</v>
      </c>
      <c r="K2327" s="56" t="n">
        <v>1</v>
      </c>
      <c r="L2327" s="52" t="s">
        <v>5816</v>
      </c>
      <c r="M2327" s="52" t="s">
        <v>247</v>
      </c>
    </row>
    <row r="2328" customFormat="false" ht="17.25" hidden="false" customHeight="true" outlineLevel="0" collapsed="false">
      <c r="A2328" s="52" t="s">
        <v>5777</v>
      </c>
      <c r="B2328" s="52" t="s">
        <v>5813</v>
      </c>
      <c r="C2328" s="53" t="n">
        <v>33721</v>
      </c>
      <c r="D2328" s="52" t="s">
        <v>4960</v>
      </c>
      <c r="E2328" s="52" t="s">
        <v>4961</v>
      </c>
      <c r="F2328" s="54" t="n">
        <v>10</v>
      </c>
      <c r="G2328" s="55" t="n">
        <v>59.4614</v>
      </c>
      <c r="H2328" s="55" t="n">
        <v>5.9463</v>
      </c>
      <c r="I2328" s="55" t="n">
        <v>7.663</v>
      </c>
      <c r="J2328" s="52" t="s">
        <v>5983</v>
      </c>
      <c r="K2328" s="56" t="n">
        <v>20</v>
      </c>
      <c r="L2328" s="52" t="s">
        <v>5814</v>
      </c>
      <c r="M2328" s="52" t="s">
        <v>38</v>
      </c>
    </row>
    <row r="2329" customFormat="false" ht="17.25" hidden="false" customHeight="true" outlineLevel="0" collapsed="false">
      <c r="A2329" s="52" t="s">
        <v>5777</v>
      </c>
      <c r="B2329" s="52" t="s">
        <v>5813</v>
      </c>
      <c r="C2329" s="53" t="n">
        <v>1312590</v>
      </c>
      <c r="D2329" s="52" t="s">
        <v>4962</v>
      </c>
      <c r="E2329" s="52" t="s">
        <v>5984</v>
      </c>
      <c r="F2329" s="54" t="n">
        <v>1</v>
      </c>
      <c r="G2329" s="55" t="n">
        <v>59.24</v>
      </c>
      <c r="H2329" s="55" t="n">
        <v>59.24</v>
      </c>
      <c r="I2329" s="55" t="n">
        <v>59.24</v>
      </c>
      <c r="J2329" s="52" t="s">
        <v>5816</v>
      </c>
      <c r="K2329" s="56" t="n">
        <v>1</v>
      </c>
      <c r="L2329" s="52" t="s">
        <v>5816</v>
      </c>
      <c r="M2329" s="52" t="s">
        <v>189</v>
      </c>
    </row>
    <row r="2330" customFormat="false" ht="17.25" hidden="false" customHeight="true" outlineLevel="0" collapsed="false">
      <c r="A2330" s="52" t="s">
        <v>5777</v>
      </c>
      <c r="B2330" s="52" t="s">
        <v>5813</v>
      </c>
      <c r="C2330" s="53" t="n">
        <v>31948</v>
      </c>
      <c r="D2330" s="52" t="s">
        <v>4964</v>
      </c>
      <c r="E2330" s="52" t="s">
        <v>4965</v>
      </c>
      <c r="F2330" s="54" t="n">
        <v>10</v>
      </c>
      <c r="G2330" s="55" t="n">
        <v>58.6</v>
      </c>
      <c r="H2330" s="55" t="n">
        <v>5.86</v>
      </c>
      <c r="I2330" s="55" t="n">
        <v>5.86</v>
      </c>
      <c r="J2330" s="52" t="s">
        <v>5816</v>
      </c>
      <c r="K2330" s="56" t="n">
        <v>1</v>
      </c>
      <c r="L2330" s="52" t="s">
        <v>5816</v>
      </c>
      <c r="M2330" s="52" t="s">
        <v>1618</v>
      </c>
    </row>
    <row r="2331" customFormat="false" ht="17.25" hidden="false" customHeight="true" outlineLevel="0" collapsed="false">
      <c r="A2331" s="52" t="s">
        <v>5777</v>
      </c>
      <c r="B2331" s="52" t="s">
        <v>5813</v>
      </c>
      <c r="C2331" s="53" t="n">
        <v>24086</v>
      </c>
      <c r="D2331" s="52" t="s">
        <v>4966</v>
      </c>
      <c r="E2331" s="52" t="s">
        <v>4967</v>
      </c>
      <c r="F2331" s="54" t="n">
        <v>1</v>
      </c>
      <c r="G2331" s="55" t="n">
        <v>58</v>
      </c>
      <c r="H2331" s="55" t="n">
        <v>58</v>
      </c>
      <c r="I2331" s="55" t="n">
        <v>58</v>
      </c>
      <c r="J2331" s="52" t="s">
        <v>5816</v>
      </c>
      <c r="K2331" s="56" t="n">
        <v>1</v>
      </c>
      <c r="L2331" s="52" t="s">
        <v>5816</v>
      </c>
      <c r="M2331" s="52" t="s">
        <v>100</v>
      </c>
    </row>
    <row r="2332" customFormat="false" ht="17.25" hidden="false" customHeight="true" outlineLevel="0" collapsed="false">
      <c r="A2332" s="52" t="s">
        <v>5777</v>
      </c>
      <c r="B2332" s="52" t="s">
        <v>5813</v>
      </c>
      <c r="C2332" s="53" t="n">
        <v>227904</v>
      </c>
      <c r="D2332" s="52" t="s">
        <v>4968</v>
      </c>
      <c r="E2332" s="52" t="s">
        <v>4969</v>
      </c>
      <c r="F2332" s="54" t="n">
        <v>1</v>
      </c>
      <c r="G2332" s="55" t="n">
        <v>58</v>
      </c>
      <c r="H2332" s="55" t="n">
        <v>58</v>
      </c>
      <c r="I2332" s="55" t="n">
        <v>58</v>
      </c>
      <c r="J2332" s="52" t="s">
        <v>5985</v>
      </c>
      <c r="K2332" s="56" t="n">
        <v>100</v>
      </c>
      <c r="L2332" s="52" t="s">
        <v>5816</v>
      </c>
      <c r="M2332" s="52" t="s">
        <v>100</v>
      </c>
    </row>
    <row r="2333" customFormat="false" ht="17.25" hidden="false" customHeight="true" outlineLevel="0" collapsed="false">
      <c r="A2333" s="52" t="s">
        <v>5777</v>
      </c>
      <c r="B2333" s="52" t="s">
        <v>5813</v>
      </c>
      <c r="C2333" s="53" t="n">
        <v>283611</v>
      </c>
      <c r="D2333" s="52" t="s">
        <v>4970</v>
      </c>
      <c r="E2333" s="52" t="s">
        <v>4971</v>
      </c>
      <c r="F2333" s="54" t="n">
        <v>1</v>
      </c>
      <c r="G2333" s="55" t="n">
        <v>58</v>
      </c>
      <c r="H2333" s="55" t="n">
        <v>58</v>
      </c>
      <c r="I2333" s="55" t="n">
        <v>58</v>
      </c>
      <c r="J2333" s="52" t="s">
        <v>5816</v>
      </c>
      <c r="K2333" s="56" t="n">
        <v>1</v>
      </c>
      <c r="L2333" s="52" t="s">
        <v>5816</v>
      </c>
      <c r="M2333" s="52" t="s">
        <v>54</v>
      </c>
    </row>
    <row r="2334" customFormat="false" ht="17.25" hidden="false" customHeight="true" outlineLevel="0" collapsed="false">
      <c r="A2334" s="52" t="s">
        <v>5777</v>
      </c>
      <c r="B2334" s="52" t="s">
        <v>5813</v>
      </c>
      <c r="C2334" s="53" t="n">
        <v>946722</v>
      </c>
      <c r="D2334" s="52" t="s">
        <v>4972</v>
      </c>
      <c r="E2334" s="52" t="s">
        <v>4973</v>
      </c>
      <c r="F2334" s="54" t="n">
        <v>1</v>
      </c>
      <c r="G2334" s="55" t="n">
        <v>58</v>
      </c>
      <c r="H2334" s="55" t="n">
        <v>58</v>
      </c>
      <c r="I2334" s="55" t="n">
        <v>58</v>
      </c>
      <c r="J2334" s="52" t="s">
        <v>5816</v>
      </c>
      <c r="K2334" s="56" t="n">
        <v>1</v>
      </c>
      <c r="L2334" s="52" t="s">
        <v>5816</v>
      </c>
      <c r="M2334" s="52" t="s">
        <v>835</v>
      </c>
    </row>
    <row r="2335" customFormat="false" ht="17.25" hidden="false" customHeight="true" outlineLevel="0" collapsed="false">
      <c r="A2335" s="52" t="s">
        <v>5777</v>
      </c>
      <c r="B2335" s="52" t="s">
        <v>5813</v>
      </c>
      <c r="C2335" s="53" t="n">
        <v>955972</v>
      </c>
      <c r="D2335" s="52" t="s">
        <v>4974</v>
      </c>
      <c r="E2335" s="52" t="s">
        <v>4975</v>
      </c>
      <c r="F2335" s="54" t="n">
        <v>1</v>
      </c>
      <c r="G2335" s="55" t="n">
        <v>58</v>
      </c>
      <c r="H2335" s="55" t="n">
        <v>58</v>
      </c>
      <c r="I2335" s="55" t="n">
        <v>58</v>
      </c>
      <c r="J2335" s="52" t="s">
        <v>5816</v>
      </c>
      <c r="K2335" s="56" t="n">
        <v>1</v>
      </c>
      <c r="L2335" s="52" t="s">
        <v>5816</v>
      </c>
      <c r="M2335" s="52" t="s">
        <v>1095</v>
      </c>
    </row>
    <row r="2336" customFormat="false" ht="17.25" hidden="false" customHeight="true" outlineLevel="0" collapsed="false">
      <c r="A2336" s="52" t="s">
        <v>5777</v>
      </c>
      <c r="B2336" s="52" t="s">
        <v>5813</v>
      </c>
      <c r="C2336" s="53" t="n">
        <v>862386</v>
      </c>
      <c r="D2336" s="52" t="s">
        <v>4976</v>
      </c>
      <c r="E2336" s="52" t="s">
        <v>4977</v>
      </c>
      <c r="F2336" s="54" t="n">
        <v>12</v>
      </c>
      <c r="G2336" s="55" t="n">
        <v>57.6</v>
      </c>
      <c r="H2336" s="55" t="n">
        <v>4.8</v>
      </c>
      <c r="I2336" s="55" t="n">
        <v>4.8</v>
      </c>
      <c r="J2336" s="52" t="s">
        <v>5814</v>
      </c>
      <c r="K2336" s="56" t="n">
        <v>1</v>
      </c>
      <c r="L2336" s="52" t="s">
        <v>5814</v>
      </c>
      <c r="M2336" s="52" t="s">
        <v>38</v>
      </c>
    </row>
    <row r="2337" customFormat="false" ht="17.25" hidden="false" customHeight="true" outlineLevel="0" collapsed="false">
      <c r="A2337" s="52" t="s">
        <v>5777</v>
      </c>
      <c r="B2337" s="52" t="s">
        <v>5813</v>
      </c>
      <c r="C2337" s="53" t="n">
        <v>54660</v>
      </c>
      <c r="D2337" s="52" t="s">
        <v>4978</v>
      </c>
      <c r="E2337" s="52" t="s">
        <v>4979</v>
      </c>
      <c r="F2337" s="54" t="n">
        <v>50</v>
      </c>
      <c r="G2337" s="55" t="n">
        <v>57.5</v>
      </c>
      <c r="H2337" s="55" t="n">
        <v>1.15</v>
      </c>
      <c r="I2337" s="55" t="n">
        <v>1.15</v>
      </c>
      <c r="J2337" s="52" t="s">
        <v>5816</v>
      </c>
      <c r="K2337" s="56" t="n">
        <v>1</v>
      </c>
      <c r="L2337" s="52" t="s">
        <v>5816</v>
      </c>
      <c r="M2337" s="52" t="s">
        <v>38</v>
      </c>
    </row>
    <row r="2338" customFormat="false" ht="17.25" hidden="false" customHeight="true" outlineLevel="0" collapsed="false">
      <c r="A2338" s="52" t="s">
        <v>5777</v>
      </c>
      <c r="B2338" s="52" t="s">
        <v>5813</v>
      </c>
      <c r="C2338" s="53" t="n">
        <v>740315</v>
      </c>
      <c r="D2338" s="52" t="s">
        <v>4980</v>
      </c>
      <c r="E2338" s="52" t="s">
        <v>4981</v>
      </c>
      <c r="F2338" s="54" t="n">
        <v>5</v>
      </c>
      <c r="G2338" s="55" t="n">
        <v>57.5</v>
      </c>
      <c r="H2338" s="55" t="n">
        <v>11.5</v>
      </c>
      <c r="I2338" s="55" t="n">
        <v>11.5</v>
      </c>
      <c r="J2338" s="52" t="s">
        <v>5816</v>
      </c>
      <c r="K2338" s="56" t="n">
        <v>1</v>
      </c>
      <c r="L2338" s="52" t="s">
        <v>5816</v>
      </c>
      <c r="M2338" s="52" t="s">
        <v>722</v>
      </c>
    </row>
    <row r="2339" customFormat="false" ht="17.25" hidden="false" customHeight="true" outlineLevel="0" collapsed="false">
      <c r="A2339" s="52" t="s">
        <v>5777</v>
      </c>
      <c r="B2339" s="52" t="s">
        <v>5813</v>
      </c>
      <c r="C2339" s="53" t="n">
        <v>18413</v>
      </c>
      <c r="D2339" s="52" t="s">
        <v>4982</v>
      </c>
      <c r="E2339" s="52" t="s">
        <v>4983</v>
      </c>
      <c r="F2339" s="54" t="n">
        <v>6</v>
      </c>
      <c r="G2339" s="55" t="n">
        <v>57.48</v>
      </c>
      <c r="H2339" s="55" t="n">
        <v>9.58</v>
      </c>
      <c r="I2339" s="55" t="n">
        <v>9.58</v>
      </c>
      <c r="J2339" s="52" t="s">
        <v>5816</v>
      </c>
      <c r="K2339" s="56" t="n">
        <v>1</v>
      </c>
      <c r="L2339" s="52" t="s">
        <v>5816</v>
      </c>
      <c r="M2339" s="52" t="s">
        <v>1618</v>
      </c>
    </row>
    <row r="2340" customFormat="false" ht="17.25" hidden="false" customHeight="true" outlineLevel="0" collapsed="false">
      <c r="A2340" s="52" t="s">
        <v>5777</v>
      </c>
      <c r="B2340" s="52" t="s">
        <v>5813</v>
      </c>
      <c r="C2340" s="53" t="n">
        <v>60597</v>
      </c>
      <c r="D2340" s="52" t="s">
        <v>4984</v>
      </c>
      <c r="E2340" s="52" t="s">
        <v>4985</v>
      </c>
      <c r="F2340" s="54" t="n">
        <v>1</v>
      </c>
      <c r="G2340" s="55" t="n">
        <v>57.29</v>
      </c>
      <c r="H2340" s="55" t="n">
        <v>57.29</v>
      </c>
      <c r="I2340" s="55" t="n">
        <v>57.29</v>
      </c>
      <c r="J2340" s="52" t="s">
        <v>5816</v>
      </c>
      <c r="K2340" s="56" t="n">
        <v>1</v>
      </c>
      <c r="L2340" s="52" t="s">
        <v>5816</v>
      </c>
      <c r="M2340" s="52" t="s">
        <v>130</v>
      </c>
    </row>
    <row r="2341" customFormat="false" ht="17.25" hidden="false" customHeight="true" outlineLevel="0" collapsed="false">
      <c r="A2341" s="52" t="s">
        <v>5777</v>
      </c>
      <c r="B2341" s="52" t="s">
        <v>5813</v>
      </c>
      <c r="C2341" s="53" t="n">
        <v>14782</v>
      </c>
      <c r="D2341" s="52" t="s">
        <v>4986</v>
      </c>
      <c r="E2341" s="52" t="s">
        <v>4987</v>
      </c>
      <c r="F2341" s="54" t="n">
        <v>9</v>
      </c>
      <c r="G2341" s="55" t="n">
        <v>56.7</v>
      </c>
      <c r="H2341" s="55" t="n">
        <v>6.3</v>
      </c>
      <c r="I2341" s="55" t="n">
        <v>6.3</v>
      </c>
      <c r="J2341" s="52" t="s">
        <v>5816</v>
      </c>
      <c r="K2341" s="56" t="n">
        <v>1</v>
      </c>
      <c r="L2341" s="52" t="s">
        <v>5816</v>
      </c>
      <c r="M2341" s="52" t="s">
        <v>54</v>
      </c>
    </row>
    <row r="2342" customFormat="false" ht="17.25" hidden="false" customHeight="true" outlineLevel="0" collapsed="false">
      <c r="A2342" s="52" t="s">
        <v>5777</v>
      </c>
      <c r="B2342" s="52" t="s">
        <v>5813</v>
      </c>
      <c r="C2342" s="53" t="n">
        <v>870439</v>
      </c>
      <c r="D2342" s="52" t="s">
        <v>4988</v>
      </c>
      <c r="E2342" s="52" t="s">
        <v>4989</v>
      </c>
      <c r="F2342" s="54" t="n">
        <v>1</v>
      </c>
      <c r="G2342" s="55" t="n">
        <v>56.61</v>
      </c>
      <c r="H2342" s="55" t="n">
        <v>56.61</v>
      </c>
      <c r="I2342" s="55" t="n">
        <v>56.61</v>
      </c>
      <c r="J2342" s="52" t="s">
        <v>5816</v>
      </c>
      <c r="K2342" s="56" t="n">
        <v>1</v>
      </c>
      <c r="L2342" s="52" t="s">
        <v>5816</v>
      </c>
      <c r="M2342" s="52" t="s">
        <v>1095</v>
      </c>
    </row>
    <row r="2343" customFormat="false" ht="17.25" hidden="false" customHeight="true" outlineLevel="0" collapsed="false">
      <c r="A2343" s="52" t="s">
        <v>5777</v>
      </c>
      <c r="B2343" s="52" t="s">
        <v>5813</v>
      </c>
      <c r="C2343" s="53" t="n">
        <v>966467</v>
      </c>
      <c r="D2343" s="52" t="s">
        <v>4990</v>
      </c>
      <c r="E2343" s="52" t="s">
        <v>4991</v>
      </c>
      <c r="F2343" s="54" t="n">
        <v>16</v>
      </c>
      <c r="G2343" s="55" t="n">
        <v>56.48</v>
      </c>
      <c r="H2343" s="55" t="n">
        <v>3.53</v>
      </c>
      <c r="I2343" s="55" t="n">
        <v>3.53</v>
      </c>
      <c r="J2343" s="52" t="s">
        <v>5816</v>
      </c>
      <c r="K2343" s="56" t="n">
        <v>1</v>
      </c>
      <c r="L2343" s="52" t="s">
        <v>5816</v>
      </c>
      <c r="M2343" s="52" t="s">
        <v>54</v>
      </c>
    </row>
    <row r="2344" customFormat="false" ht="17.25" hidden="false" customHeight="true" outlineLevel="0" collapsed="false">
      <c r="A2344" s="52" t="s">
        <v>5777</v>
      </c>
      <c r="B2344" s="52" t="s">
        <v>5813</v>
      </c>
      <c r="C2344" s="53" t="n">
        <v>12590</v>
      </c>
      <c r="D2344" s="52" t="s">
        <v>4992</v>
      </c>
      <c r="E2344" s="52" t="s">
        <v>4993</v>
      </c>
      <c r="F2344" s="54" t="n">
        <v>2</v>
      </c>
      <c r="G2344" s="55" t="n">
        <v>56</v>
      </c>
      <c r="H2344" s="55" t="n">
        <v>28</v>
      </c>
      <c r="I2344" s="55" t="n">
        <v>28</v>
      </c>
      <c r="J2344" s="52" t="s">
        <v>5816</v>
      </c>
      <c r="K2344" s="56" t="n">
        <v>1</v>
      </c>
      <c r="L2344" s="52" t="s">
        <v>5816</v>
      </c>
      <c r="M2344" s="52" t="s">
        <v>38</v>
      </c>
    </row>
    <row r="2345" customFormat="false" ht="17.25" hidden="false" customHeight="true" outlineLevel="0" collapsed="false">
      <c r="A2345" s="52" t="s">
        <v>5777</v>
      </c>
      <c r="B2345" s="52" t="s">
        <v>5813</v>
      </c>
      <c r="C2345" s="53" t="n">
        <v>856748</v>
      </c>
      <c r="D2345" s="52" t="s">
        <v>4994</v>
      </c>
      <c r="E2345" s="52" t="s">
        <v>4995</v>
      </c>
      <c r="F2345" s="54" t="n">
        <v>1</v>
      </c>
      <c r="G2345" s="55" t="n">
        <v>56</v>
      </c>
      <c r="H2345" s="55" t="n">
        <v>56</v>
      </c>
      <c r="I2345" s="55" t="n">
        <v>56</v>
      </c>
      <c r="J2345" s="52" t="s">
        <v>5816</v>
      </c>
      <c r="K2345" s="56" t="n">
        <v>1</v>
      </c>
      <c r="L2345" s="52" t="s">
        <v>5816</v>
      </c>
      <c r="M2345" s="52" t="s">
        <v>130</v>
      </c>
    </row>
    <row r="2346" customFormat="false" ht="17.25" hidden="false" customHeight="true" outlineLevel="0" collapsed="false">
      <c r="A2346" s="52" t="s">
        <v>5777</v>
      </c>
      <c r="B2346" s="52" t="s">
        <v>5813</v>
      </c>
      <c r="C2346" s="53" t="n">
        <v>959012</v>
      </c>
      <c r="D2346" s="52" t="s">
        <v>4996</v>
      </c>
      <c r="E2346" s="52" t="s">
        <v>4997</v>
      </c>
      <c r="F2346" s="54" t="n">
        <v>2</v>
      </c>
      <c r="G2346" s="55" t="n">
        <v>56</v>
      </c>
      <c r="H2346" s="55" t="n">
        <v>28</v>
      </c>
      <c r="I2346" s="55" t="n">
        <v>28</v>
      </c>
      <c r="J2346" s="52" t="s">
        <v>5816</v>
      </c>
      <c r="K2346" s="56" t="n">
        <v>1</v>
      </c>
      <c r="L2346" s="52" t="s">
        <v>5816</v>
      </c>
      <c r="M2346" s="52" t="s">
        <v>54</v>
      </c>
    </row>
    <row r="2347" customFormat="false" ht="17.25" hidden="false" customHeight="true" outlineLevel="0" collapsed="false">
      <c r="A2347" s="52" t="s">
        <v>5777</v>
      </c>
      <c r="B2347" s="52" t="s">
        <v>5813</v>
      </c>
      <c r="C2347" s="53" t="n">
        <v>284049</v>
      </c>
      <c r="D2347" s="52" t="s">
        <v>4998</v>
      </c>
      <c r="E2347" s="52" t="s">
        <v>4999</v>
      </c>
      <c r="F2347" s="54" t="n">
        <v>2</v>
      </c>
      <c r="G2347" s="55" t="n">
        <v>55.76</v>
      </c>
      <c r="H2347" s="55" t="n">
        <v>27.88</v>
      </c>
      <c r="I2347" s="55" t="n">
        <v>27.88</v>
      </c>
      <c r="J2347" s="52" t="s">
        <v>5816</v>
      </c>
      <c r="K2347" s="56" t="n">
        <v>1</v>
      </c>
      <c r="L2347" s="52" t="s">
        <v>5816</v>
      </c>
      <c r="M2347" s="52" t="s">
        <v>705</v>
      </c>
    </row>
    <row r="2348" customFormat="false" ht="17.25" hidden="false" customHeight="true" outlineLevel="0" collapsed="false">
      <c r="A2348" s="52" t="s">
        <v>5777</v>
      </c>
      <c r="B2348" s="52" t="s">
        <v>5813</v>
      </c>
      <c r="C2348" s="53" t="n">
        <v>932272</v>
      </c>
      <c r="D2348" s="52" t="s">
        <v>5000</v>
      </c>
      <c r="E2348" s="52" t="s">
        <v>5001</v>
      </c>
      <c r="F2348" s="54" t="n">
        <v>14</v>
      </c>
      <c r="G2348" s="55" t="n">
        <v>55.72</v>
      </c>
      <c r="H2348" s="55" t="n">
        <v>3.98</v>
      </c>
      <c r="I2348" s="55" t="n">
        <v>3.98</v>
      </c>
      <c r="J2348" s="52" t="s">
        <v>5816</v>
      </c>
      <c r="K2348" s="56" t="n">
        <v>1</v>
      </c>
      <c r="L2348" s="52" t="s">
        <v>5816</v>
      </c>
      <c r="M2348" s="52" t="s">
        <v>54</v>
      </c>
    </row>
    <row r="2349" customFormat="false" ht="17.25" hidden="false" customHeight="true" outlineLevel="0" collapsed="false">
      <c r="A2349" s="52" t="s">
        <v>5777</v>
      </c>
      <c r="B2349" s="52" t="s">
        <v>5813</v>
      </c>
      <c r="C2349" s="53" t="n">
        <v>1011343</v>
      </c>
      <c r="D2349" s="52" t="s">
        <v>5002</v>
      </c>
      <c r="E2349" s="52" t="s">
        <v>5003</v>
      </c>
      <c r="F2349" s="54" t="n">
        <v>4</v>
      </c>
      <c r="G2349" s="55" t="n">
        <v>55.68</v>
      </c>
      <c r="H2349" s="55" t="n">
        <v>13.92</v>
      </c>
      <c r="I2349" s="55" t="n">
        <v>1.68</v>
      </c>
      <c r="J2349" s="52" t="s">
        <v>5816</v>
      </c>
      <c r="K2349" s="56" t="n">
        <v>1</v>
      </c>
      <c r="L2349" s="52" t="s">
        <v>5816</v>
      </c>
      <c r="M2349" s="52" t="s">
        <v>54</v>
      </c>
    </row>
    <row r="2350" customFormat="false" ht="17.25" hidden="false" customHeight="true" outlineLevel="0" collapsed="false">
      <c r="A2350" s="52" t="s">
        <v>5777</v>
      </c>
      <c r="B2350" s="52" t="s">
        <v>5813</v>
      </c>
      <c r="C2350" s="53" t="n">
        <v>33779</v>
      </c>
      <c r="D2350" s="52" t="s">
        <v>5004</v>
      </c>
      <c r="E2350" s="52" t="s">
        <v>5005</v>
      </c>
      <c r="F2350" s="54" t="n">
        <v>3</v>
      </c>
      <c r="G2350" s="55" t="n">
        <v>55.35</v>
      </c>
      <c r="H2350" s="55" t="n">
        <v>18.45</v>
      </c>
      <c r="I2350" s="55" t="n">
        <v>18.45</v>
      </c>
      <c r="J2350" s="52" t="s">
        <v>5816</v>
      </c>
      <c r="K2350" s="56" t="n">
        <v>1</v>
      </c>
      <c r="L2350" s="52" t="s">
        <v>5816</v>
      </c>
      <c r="M2350" s="52" t="s">
        <v>1618</v>
      </c>
    </row>
    <row r="2351" customFormat="false" ht="17.25" hidden="false" customHeight="true" outlineLevel="0" collapsed="false">
      <c r="A2351" s="52" t="s">
        <v>5777</v>
      </c>
      <c r="B2351" s="52" t="s">
        <v>5813</v>
      </c>
      <c r="C2351" s="53" t="n">
        <v>294837</v>
      </c>
      <c r="D2351" s="52" t="s">
        <v>5006</v>
      </c>
      <c r="E2351" s="52" t="s">
        <v>5007</v>
      </c>
      <c r="F2351" s="54" t="n">
        <v>1</v>
      </c>
      <c r="G2351" s="55" t="n">
        <v>55</v>
      </c>
      <c r="H2351" s="55" t="n">
        <v>55</v>
      </c>
      <c r="I2351" s="55" t="n">
        <v>55</v>
      </c>
      <c r="J2351" s="52" t="s">
        <v>5816</v>
      </c>
      <c r="K2351" s="56" t="n">
        <v>1</v>
      </c>
      <c r="L2351" s="52" t="s">
        <v>5816</v>
      </c>
      <c r="M2351" s="52" t="s">
        <v>133</v>
      </c>
    </row>
    <row r="2352" customFormat="false" ht="17.25" hidden="false" customHeight="true" outlineLevel="0" collapsed="false">
      <c r="A2352" s="52" t="s">
        <v>5777</v>
      </c>
      <c r="B2352" s="52" t="s">
        <v>5813</v>
      </c>
      <c r="C2352" s="53" t="n">
        <v>1615082</v>
      </c>
      <c r="D2352" s="52" t="s">
        <v>5008</v>
      </c>
      <c r="E2352" s="52" t="s">
        <v>5009</v>
      </c>
      <c r="F2352" s="54" t="n">
        <v>20</v>
      </c>
      <c r="G2352" s="55" t="n">
        <v>54.44</v>
      </c>
      <c r="H2352" s="55" t="n">
        <v>2.722</v>
      </c>
      <c r="I2352" s="55" t="n">
        <v>2.23</v>
      </c>
      <c r="J2352" s="52" t="s">
        <v>5816</v>
      </c>
      <c r="K2352" s="56" t="n">
        <v>1</v>
      </c>
      <c r="L2352" s="52" t="s">
        <v>5816</v>
      </c>
      <c r="M2352" s="52" t="s">
        <v>38</v>
      </c>
    </row>
    <row r="2353" customFormat="false" ht="17.25" hidden="false" customHeight="true" outlineLevel="0" collapsed="false">
      <c r="A2353" s="52" t="s">
        <v>5777</v>
      </c>
      <c r="B2353" s="52" t="s">
        <v>5813</v>
      </c>
      <c r="C2353" s="53" t="n">
        <v>938995</v>
      </c>
      <c r="D2353" s="52" t="s">
        <v>5010</v>
      </c>
      <c r="E2353" s="52" t="s">
        <v>5011</v>
      </c>
      <c r="F2353" s="54" t="n">
        <v>388</v>
      </c>
      <c r="G2353" s="55" t="n">
        <v>54.32</v>
      </c>
      <c r="H2353" s="55" t="n">
        <v>0.14</v>
      </c>
      <c r="I2353" s="55" t="n">
        <v>0.14</v>
      </c>
      <c r="J2353" s="52" t="s">
        <v>5816</v>
      </c>
      <c r="K2353" s="56" t="n">
        <v>1</v>
      </c>
      <c r="L2353" s="52" t="s">
        <v>5816</v>
      </c>
      <c r="M2353" s="52" t="s">
        <v>100</v>
      </c>
    </row>
    <row r="2354" customFormat="false" ht="17.25" hidden="false" customHeight="true" outlineLevel="0" collapsed="false">
      <c r="A2354" s="52" t="s">
        <v>5777</v>
      </c>
      <c r="B2354" s="52" t="s">
        <v>5813</v>
      </c>
      <c r="C2354" s="53" t="n">
        <v>294407</v>
      </c>
      <c r="D2354" s="52" t="s">
        <v>5012</v>
      </c>
      <c r="E2354" s="52" t="s">
        <v>5013</v>
      </c>
      <c r="F2354" s="54" t="n">
        <v>3</v>
      </c>
      <c r="G2354" s="55" t="n">
        <v>54</v>
      </c>
      <c r="H2354" s="55" t="n">
        <v>18</v>
      </c>
      <c r="I2354" s="55" t="n">
        <v>18</v>
      </c>
      <c r="J2354" s="52" t="s">
        <v>5816</v>
      </c>
      <c r="K2354" s="56" t="n">
        <v>1</v>
      </c>
      <c r="L2354" s="52" t="s">
        <v>5816</v>
      </c>
      <c r="M2354" s="52" t="s">
        <v>2056</v>
      </c>
    </row>
    <row r="2355" customFormat="false" ht="17.25" hidden="false" customHeight="true" outlineLevel="0" collapsed="false">
      <c r="A2355" s="52" t="s">
        <v>5777</v>
      </c>
      <c r="B2355" s="52" t="s">
        <v>5813</v>
      </c>
      <c r="C2355" s="53" t="n">
        <v>348321</v>
      </c>
      <c r="D2355" s="52" t="s">
        <v>5014</v>
      </c>
      <c r="E2355" s="52" t="s">
        <v>5015</v>
      </c>
      <c r="F2355" s="54" t="n">
        <v>6</v>
      </c>
      <c r="G2355" s="55" t="n">
        <v>54</v>
      </c>
      <c r="H2355" s="55" t="n">
        <v>9</v>
      </c>
      <c r="I2355" s="55" t="n">
        <v>9</v>
      </c>
      <c r="J2355" s="52" t="s">
        <v>5816</v>
      </c>
      <c r="K2355" s="56" t="n">
        <v>1</v>
      </c>
      <c r="L2355" s="52" t="s">
        <v>5816</v>
      </c>
      <c r="M2355" s="52" t="s">
        <v>100</v>
      </c>
    </row>
    <row r="2356" customFormat="false" ht="17.25" hidden="false" customHeight="true" outlineLevel="0" collapsed="false">
      <c r="A2356" s="52" t="s">
        <v>5777</v>
      </c>
      <c r="B2356" s="52" t="s">
        <v>5813</v>
      </c>
      <c r="C2356" s="53" t="n">
        <v>49544</v>
      </c>
      <c r="D2356" s="52" t="s">
        <v>5016</v>
      </c>
      <c r="E2356" s="52" t="s">
        <v>5017</v>
      </c>
      <c r="F2356" s="54" t="n">
        <v>20</v>
      </c>
      <c r="G2356" s="55" t="n">
        <v>53.8</v>
      </c>
      <c r="H2356" s="55" t="n">
        <v>2.69</v>
      </c>
      <c r="I2356" s="55" t="n">
        <v>2.69</v>
      </c>
      <c r="J2356" s="52" t="s">
        <v>5816</v>
      </c>
      <c r="K2356" s="56" t="n">
        <v>1</v>
      </c>
      <c r="L2356" s="52" t="s">
        <v>5816</v>
      </c>
      <c r="M2356" s="52" t="s">
        <v>247</v>
      </c>
    </row>
    <row r="2357" customFormat="false" ht="17.25" hidden="false" customHeight="true" outlineLevel="0" collapsed="false">
      <c r="A2357" s="52" t="s">
        <v>5777</v>
      </c>
      <c r="B2357" s="52" t="s">
        <v>5813</v>
      </c>
      <c r="C2357" s="53" t="n">
        <v>1383736</v>
      </c>
      <c r="D2357" s="52" t="s">
        <v>5018</v>
      </c>
      <c r="E2357" s="52" t="s">
        <v>5019</v>
      </c>
      <c r="F2357" s="54" t="n">
        <v>2</v>
      </c>
      <c r="G2357" s="55" t="n">
        <v>53.66</v>
      </c>
      <c r="H2357" s="55" t="n">
        <v>26.83</v>
      </c>
      <c r="I2357" s="55" t="n">
        <v>26.83</v>
      </c>
      <c r="J2357" s="52" t="s">
        <v>5816</v>
      </c>
      <c r="K2357" s="56" t="n">
        <v>1</v>
      </c>
      <c r="L2357" s="52" t="s">
        <v>5816</v>
      </c>
      <c r="M2357" s="52" t="s">
        <v>38</v>
      </c>
    </row>
    <row r="2358" customFormat="false" ht="17.25" hidden="false" customHeight="true" outlineLevel="0" collapsed="false">
      <c r="A2358" s="52" t="s">
        <v>5777</v>
      </c>
      <c r="B2358" s="52" t="s">
        <v>5813</v>
      </c>
      <c r="C2358" s="53" t="n">
        <v>21315</v>
      </c>
      <c r="D2358" s="52" t="s">
        <v>5020</v>
      </c>
      <c r="E2358" s="52" t="s">
        <v>5021</v>
      </c>
      <c r="F2358" s="54" t="n">
        <v>5</v>
      </c>
      <c r="G2358" s="55" t="n">
        <v>53.65</v>
      </c>
      <c r="H2358" s="55" t="n">
        <v>10.73</v>
      </c>
      <c r="I2358" s="55" t="n">
        <v>10.73</v>
      </c>
      <c r="J2358" s="52" t="s">
        <v>5816</v>
      </c>
      <c r="K2358" s="56" t="n">
        <v>1</v>
      </c>
      <c r="L2358" s="52" t="s">
        <v>5816</v>
      </c>
      <c r="M2358" s="52" t="s">
        <v>38</v>
      </c>
    </row>
    <row r="2359" customFormat="false" ht="17.25" hidden="false" customHeight="true" outlineLevel="0" collapsed="false">
      <c r="A2359" s="52" t="s">
        <v>5777</v>
      </c>
      <c r="B2359" s="52" t="s">
        <v>5813</v>
      </c>
      <c r="C2359" s="53" t="n">
        <v>20977</v>
      </c>
      <c r="D2359" s="52" t="s">
        <v>5022</v>
      </c>
      <c r="E2359" s="52" t="s">
        <v>5023</v>
      </c>
      <c r="F2359" s="54" t="n">
        <v>8</v>
      </c>
      <c r="G2359" s="55" t="n">
        <v>53.28</v>
      </c>
      <c r="H2359" s="55" t="n">
        <v>6.66</v>
      </c>
      <c r="I2359" s="55" t="n">
        <v>6.66</v>
      </c>
      <c r="J2359" s="52" t="s">
        <v>5816</v>
      </c>
      <c r="K2359" s="56" t="n">
        <v>1</v>
      </c>
      <c r="L2359" s="52" t="s">
        <v>5816</v>
      </c>
      <c r="M2359" s="52" t="s">
        <v>54</v>
      </c>
    </row>
    <row r="2360" customFormat="false" ht="17.25" hidden="false" customHeight="true" outlineLevel="0" collapsed="false">
      <c r="A2360" s="52" t="s">
        <v>5777</v>
      </c>
      <c r="B2360" s="52" t="s">
        <v>5813</v>
      </c>
      <c r="C2360" s="53" t="n">
        <v>1661538</v>
      </c>
      <c r="D2360" s="52" t="s">
        <v>5024</v>
      </c>
      <c r="E2360" s="52" t="s">
        <v>5025</v>
      </c>
      <c r="F2360" s="54" t="n">
        <v>4</v>
      </c>
      <c r="G2360" s="55" t="n">
        <v>53.2</v>
      </c>
      <c r="H2360" s="55" t="n">
        <v>13.3</v>
      </c>
      <c r="I2360" s="55" t="n">
        <v>13.3</v>
      </c>
      <c r="J2360" s="52" t="s">
        <v>5816</v>
      </c>
      <c r="K2360" s="56" t="n">
        <v>1</v>
      </c>
      <c r="L2360" s="52" t="s">
        <v>5816</v>
      </c>
      <c r="M2360" s="52" t="s">
        <v>38</v>
      </c>
    </row>
    <row r="2361" customFormat="false" ht="17.25" hidden="false" customHeight="true" outlineLevel="0" collapsed="false">
      <c r="A2361" s="52" t="s">
        <v>5777</v>
      </c>
      <c r="B2361" s="52" t="s">
        <v>5813</v>
      </c>
      <c r="C2361" s="53" t="n">
        <v>1094670</v>
      </c>
      <c r="D2361" s="52" t="s">
        <v>5026</v>
      </c>
      <c r="E2361" s="52" t="s">
        <v>5986</v>
      </c>
      <c r="F2361" s="54" t="n">
        <v>2</v>
      </c>
      <c r="G2361" s="55" t="n">
        <v>53.04</v>
      </c>
      <c r="H2361" s="55" t="n">
        <v>26.52</v>
      </c>
      <c r="I2361" s="55" t="n">
        <v>23.81</v>
      </c>
      <c r="J2361" s="52" t="s">
        <v>5816</v>
      </c>
      <c r="K2361" s="56" t="n">
        <v>1</v>
      </c>
      <c r="L2361" s="52" t="s">
        <v>5816</v>
      </c>
      <c r="M2361" s="52" t="s">
        <v>1095</v>
      </c>
    </row>
    <row r="2362" customFormat="false" ht="17.25" hidden="false" customHeight="true" outlineLevel="0" collapsed="false">
      <c r="A2362" s="52" t="s">
        <v>5777</v>
      </c>
      <c r="B2362" s="52" t="s">
        <v>5813</v>
      </c>
      <c r="C2362" s="53" t="n">
        <v>549259</v>
      </c>
      <c r="D2362" s="52" t="s">
        <v>5028</v>
      </c>
      <c r="E2362" s="52" t="s">
        <v>5029</v>
      </c>
      <c r="F2362" s="54" t="n">
        <v>15</v>
      </c>
      <c r="G2362" s="55" t="n">
        <v>52.9042</v>
      </c>
      <c r="H2362" s="55" t="n">
        <v>3.5273</v>
      </c>
      <c r="I2362" s="55" t="n">
        <v>3.61</v>
      </c>
      <c r="J2362" s="52" t="s">
        <v>5816</v>
      </c>
      <c r="K2362" s="56" t="n">
        <v>1</v>
      </c>
      <c r="L2362" s="52" t="s">
        <v>5816</v>
      </c>
      <c r="M2362" s="52" t="s">
        <v>38</v>
      </c>
    </row>
    <row r="2363" customFormat="false" ht="17.25" hidden="false" customHeight="true" outlineLevel="0" collapsed="false">
      <c r="A2363" s="52" t="s">
        <v>5777</v>
      </c>
      <c r="B2363" s="52" t="s">
        <v>5813</v>
      </c>
      <c r="C2363" s="53" t="n">
        <v>57517</v>
      </c>
      <c r="D2363" s="52" t="s">
        <v>5030</v>
      </c>
      <c r="E2363" s="52" t="s">
        <v>5031</v>
      </c>
      <c r="F2363" s="54" t="n">
        <v>202</v>
      </c>
      <c r="G2363" s="55" t="n">
        <v>52.52</v>
      </c>
      <c r="H2363" s="55" t="n">
        <v>0.26</v>
      </c>
      <c r="I2363" s="55" t="n">
        <v>0.26</v>
      </c>
      <c r="J2363" s="52" t="s">
        <v>5816</v>
      </c>
      <c r="K2363" s="56" t="n">
        <v>1</v>
      </c>
      <c r="L2363" s="52" t="s">
        <v>5816</v>
      </c>
      <c r="M2363" s="52" t="s">
        <v>100</v>
      </c>
    </row>
    <row r="2364" customFormat="false" ht="17.25" hidden="false" customHeight="true" outlineLevel="0" collapsed="false">
      <c r="A2364" s="52" t="s">
        <v>5777</v>
      </c>
      <c r="B2364" s="52" t="s">
        <v>5813</v>
      </c>
      <c r="C2364" s="53" t="n">
        <v>1321362</v>
      </c>
      <c r="D2364" s="52" t="s">
        <v>5032</v>
      </c>
      <c r="E2364" s="52" t="s">
        <v>5033</v>
      </c>
      <c r="F2364" s="54" t="n">
        <v>200</v>
      </c>
      <c r="G2364" s="55" t="n">
        <v>52</v>
      </c>
      <c r="H2364" s="55" t="n">
        <v>0.26</v>
      </c>
      <c r="I2364" s="55" t="n">
        <v>0.26</v>
      </c>
      <c r="J2364" s="52" t="s">
        <v>5816</v>
      </c>
      <c r="K2364" s="56" t="n">
        <v>1</v>
      </c>
      <c r="L2364" s="52" t="s">
        <v>5816</v>
      </c>
      <c r="M2364" s="52" t="s">
        <v>38</v>
      </c>
    </row>
    <row r="2365" customFormat="false" ht="17.25" hidden="false" customHeight="true" outlineLevel="0" collapsed="false">
      <c r="A2365" s="52" t="s">
        <v>5777</v>
      </c>
      <c r="B2365" s="52" t="s">
        <v>5813</v>
      </c>
      <c r="C2365" s="53" t="n">
        <v>12600</v>
      </c>
      <c r="D2365" s="52" t="s">
        <v>5034</v>
      </c>
      <c r="E2365" s="52" t="s">
        <v>5035</v>
      </c>
      <c r="F2365" s="54" t="n">
        <v>4</v>
      </c>
      <c r="G2365" s="55" t="n">
        <v>51.92</v>
      </c>
      <c r="H2365" s="55" t="n">
        <v>12.98</v>
      </c>
      <c r="I2365" s="55" t="n">
        <v>12.98</v>
      </c>
      <c r="J2365" s="52" t="s">
        <v>5816</v>
      </c>
      <c r="K2365" s="56" t="n">
        <v>1</v>
      </c>
      <c r="L2365" s="52" t="s">
        <v>5816</v>
      </c>
      <c r="M2365" s="52" t="s">
        <v>38</v>
      </c>
    </row>
    <row r="2366" customFormat="false" ht="17.25" hidden="false" customHeight="true" outlineLevel="0" collapsed="false">
      <c r="A2366" s="52" t="s">
        <v>5777</v>
      </c>
      <c r="B2366" s="52" t="s">
        <v>5813</v>
      </c>
      <c r="C2366" s="53" t="n">
        <v>220887</v>
      </c>
      <c r="D2366" s="52" t="s">
        <v>5036</v>
      </c>
      <c r="E2366" s="52" t="s">
        <v>4919</v>
      </c>
      <c r="F2366" s="54" t="n">
        <v>4</v>
      </c>
      <c r="G2366" s="55" t="n">
        <v>51.92</v>
      </c>
      <c r="H2366" s="55" t="n">
        <v>12.98</v>
      </c>
      <c r="I2366" s="55" t="n">
        <v>12.98</v>
      </c>
      <c r="J2366" s="52" t="s">
        <v>5816</v>
      </c>
      <c r="K2366" s="56" t="n">
        <v>1</v>
      </c>
      <c r="L2366" s="52" t="s">
        <v>5816</v>
      </c>
      <c r="M2366" s="52" t="s">
        <v>38</v>
      </c>
    </row>
    <row r="2367" customFormat="false" ht="17.25" hidden="false" customHeight="true" outlineLevel="0" collapsed="false">
      <c r="A2367" s="52" t="s">
        <v>5777</v>
      </c>
      <c r="B2367" s="52" t="s">
        <v>5813</v>
      </c>
      <c r="C2367" s="53" t="n">
        <v>316121</v>
      </c>
      <c r="D2367" s="52" t="s">
        <v>5037</v>
      </c>
      <c r="E2367" s="52" t="s">
        <v>5038</v>
      </c>
      <c r="F2367" s="54" t="n">
        <v>4</v>
      </c>
      <c r="G2367" s="55" t="n">
        <v>51.92</v>
      </c>
      <c r="H2367" s="55" t="n">
        <v>12.98</v>
      </c>
      <c r="I2367" s="55" t="n">
        <v>12.98</v>
      </c>
      <c r="J2367" s="52" t="s">
        <v>5816</v>
      </c>
      <c r="K2367" s="56" t="n">
        <v>1</v>
      </c>
      <c r="L2367" s="52" t="s">
        <v>5816</v>
      </c>
      <c r="M2367" s="52" t="s">
        <v>54</v>
      </c>
    </row>
    <row r="2368" customFormat="false" ht="17.25" hidden="false" customHeight="true" outlineLevel="0" collapsed="false">
      <c r="A2368" s="52" t="s">
        <v>5777</v>
      </c>
      <c r="B2368" s="52" t="s">
        <v>5813</v>
      </c>
      <c r="C2368" s="53" t="n">
        <v>32187</v>
      </c>
      <c r="D2368" s="52" t="s">
        <v>5039</v>
      </c>
      <c r="E2368" s="52" t="s">
        <v>5040</v>
      </c>
      <c r="F2368" s="54" t="n">
        <v>3</v>
      </c>
      <c r="G2368" s="55" t="n">
        <v>51.28</v>
      </c>
      <c r="H2368" s="55" t="n">
        <v>17.0933</v>
      </c>
      <c r="I2368" s="55" t="n">
        <v>9.98</v>
      </c>
      <c r="J2368" s="52" t="s">
        <v>5987</v>
      </c>
      <c r="K2368" s="56" t="n">
        <v>1</v>
      </c>
      <c r="L2368" s="52" t="s">
        <v>5816</v>
      </c>
      <c r="M2368" s="52" t="s">
        <v>54</v>
      </c>
    </row>
    <row r="2369" customFormat="false" ht="17.25" hidden="false" customHeight="true" outlineLevel="0" collapsed="false">
      <c r="A2369" s="52" t="s">
        <v>5777</v>
      </c>
      <c r="B2369" s="52" t="s">
        <v>5813</v>
      </c>
      <c r="C2369" s="53" t="n">
        <v>281821</v>
      </c>
      <c r="D2369" s="52" t="s">
        <v>5041</v>
      </c>
      <c r="E2369" s="52" t="s">
        <v>5042</v>
      </c>
      <c r="F2369" s="54" t="n">
        <v>16</v>
      </c>
      <c r="G2369" s="55" t="n">
        <v>51.06</v>
      </c>
      <c r="H2369" s="55" t="n">
        <v>3.1913</v>
      </c>
      <c r="I2369" s="55" t="n">
        <v>6</v>
      </c>
      <c r="J2369" s="52" t="s">
        <v>5816</v>
      </c>
      <c r="K2369" s="56" t="n">
        <v>1</v>
      </c>
      <c r="L2369" s="52" t="s">
        <v>5816</v>
      </c>
      <c r="M2369" s="52" t="s">
        <v>100</v>
      </c>
    </row>
    <row r="2370" customFormat="false" ht="17.25" hidden="false" customHeight="true" outlineLevel="0" collapsed="false">
      <c r="A2370" s="52" t="s">
        <v>5777</v>
      </c>
      <c r="B2370" s="52" t="s">
        <v>5813</v>
      </c>
      <c r="C2370" s="53" t="n">
        <v>937217</v>
      </c>
      <c r="D2370" s="52" t="s">
        <v>5043</v>
      </c>
      <c r="E2370" s="52" t="s">
        <v>5044</v>
      </c>
      <c r="F2370" s="54" t="n">
        <v>50</v>
      </c>
      <c r="G2370" s="55" t="n">
        <v>51</v>
      </c>
      <c r="H2370" s="55" t="n">
        <v>1.02</v>
      </c>
      <c r="I2370" s="55" t="n">
        <v>1.02</v>
      </c>
      <c r="J2370" s="52" t="s">
        <v>5816</v>
      </c>
      <c r="K2370" s="56" t="n">
        <v>1</v>
      </c>
      <c r="L2370" s="52" t="s">
        <v>5816</v>
      </c>
      <c r="M2370" s="52" t="s">
        <v>38</v>
      </c>
    </row>
    <row r="2371" customFormat="false" ht="17.25" hidden="false" customHeight="true" outlineLevel="0" collapsed="false">
      <c r="A2371" s="52" t="s">
        <v>5777</v>
      </c>
      <c r="B2371" s="52" t="s">
        <v>5813</v>
      </c>
      <c r="C2371" s="53" t="n">
        <v>1385802</v>
      </c>
      <c r="D2371" s="52" t="s">
        <v>5045</v>
      </c>
      <c r="E2371" s="52" t="s">
        <v>5046</v>
      </c>
      <c r="F2371" s="54" t="n">
        <v>3</v>
      </c>
      <c r="G2371" s="55" t="n">
        <v>50.95</v>
      </c>
      <c r="H2371" s="55" t="n">
        <v>16.9833</v>
      </c>
      <c r="I2371" s="55" t="n">
        <v>15.2</v>
      </c>
      <c r="J2371" s="52" t="s">
        <v>5816</v>
      </c>
      <c r="K2371" s="56" t="n">
        <v>1</v>
      </c>
      <c r="L2371" s="52" t="s">
        <v>5816</v>
      </c>
      <c r="M2371" s="52" t="s">
        <v>38</v>
      </c>
    </row>
    <row r="2372" customFormat="false" ht="17.25" hidden="false" customHeight="true" outlineLevel="0" collapsed="false">
      <c r="A2372" s="52" t="s">
        <v>5777</v>
      </c>
      <c r="B2372" s="52" t="s">
        <v>5813</v>
      </c>
      <c r="C2372" s="53" t="n">
        <v>287892</v>
      </c>
      <c r="D2372" s="52" t="s">
        <v>5047</v>
      </c>
      <c r="E2372" s="52" t="s">
        <v>5048</v>
      </c>
      <c r="F2372" s="54" t="n">
        <v>2</v>
      </c>
      <c r="G2372" s="55" t="n">
        <v>50.88</v>
      </c>
      <c r="H2372" s="55" t="n">
        <v>25.44</v>
      </c>
      <c r="I2372" s="55" t="n">
        <v>25.44</v>
      </c>
      <c r="J2372" s="52" t="s">
        <v>5816</v>
      </c>
      <c r="K2372" s="56" t="n">
        <v>1</v>
      </c>
      <c r="L2372" s="52" t="s">
        <v>5816</v>
      </c>
      <c r="M2372" s="52" t="s">
        <v>38</v>
      </c>
    </row>
    <row r="2373" customFormat="false" ht="17.25" hidden="false" customHeight="true" outlineLevel="0" collapsed="false">
      <c r="A2373" s="52" t="s">
        <v>5777</v>
      </c>
      <c r="B2373" s="52" t="s">
        <v>5813</v>
      </c>
      <c r="C2373" s="53" t="n">
        <v>1598223</v>
      </c>
      <c r="D2373" s="52" t="s">
        <v>5049</v>
      </c>
      <c r="E2373" s="57" t="s">
        <v>5988</v>
      </c>
      <c r="F2373" s="54" t="n">
        <v>3</v>
      </c>
      <c r="G2373" s="55" t="n">
        <v>50.7</v>
      </c>
      <c r="H2373" s="55" t="n">
        <v>16.9</v>
      </c>
      <c r="I2373" s="55" t="n">
        <v>16.9</v>
      </c>
      <c r="J2373" s="52" t="s">
        <v>5816</v>
      </c>
      <c r="K2373" s="56" t="n">
        <v>1</v>
      </c>
      <c r="L2373" s="52" t="s">
        <v>5816</v>
      </c>
      <c r="M2373" s="52" t="s">
        <v>2056</v>
      </c>
    </row>
    <row r="2374" customFormat="false" ht="17.25" hidden="false" customHeight="true" outlineLevel="0" collapsed="false">
      <c r="A2374" s="52" t="s">
        <v>5777</v>
      </c>
      <c r="B2374" s="52" t="s">
        <v>5813</v>
      </c>
      <c r="C2374" s="53" t="n">
        <v>879056</v>
      </c>
      <c r="D2374" s="52" t="s">
        <v>5051</v>
      </c>
      <c r="E2374" s="52" t="s">
        <v>5052</v>
      </c>
      <c r="F2374" s="54" t="n">
        <v>10</v>
      </c>
      <c r="G2374" s="55" t="n">
        <v>50</v>
      </c>
      <c r="H2374" s="55" t="n">
        <v>5</v>
      </c>
      <c r="I2374" s="55" t="n">
        <v>5</v>
      </c>
      <c r="J2374" s="52" t="s">
        <v>5816</v>
      </c>
      <c r="K2374" s="56" t="n">
        <v>1</v>
      </c>
      <c r="L2374" s="52" t="s">
        <v>5816</v>
      </c>
      <c r="M2374" s="52" t="s">
        <v>2056</v>
      </c>
    </row>
    <row r="2375" customFormat="false" ht="17.25" hidden="false" customHeight="true" outlineLevel="0" collapsed="false">
      <c r="A2375" s="52" t="s">
        <v>5777</v>
      </c>
      <c r="B2375" s="52" t="s">
        <v>5813</v>
      </c>
      <c r="C2375" s="53" t="n">
        <v>223526</v>
      </c>
      <c r="D2375" s="52" t="s">
        <v>5053</v>
      </c>
      <c r="E2375" s="52" t="s">
        <v>5054</v>
      </c>
      <c r="F2375" s="54" t="n">
        <v>2</v>
      </c>
      <c r="G2375" s="55" t="n">
        <v>49.98</v>
      </c>
      <c r="H2375" s="55" t="n">
        <v>24.99</v>
      </c>
      <c r="I2375" s="55" t="n">
        <v>24.99</v>
      </c>
      <c r="J2375" s="52" t="s">
        <v>5989</v>
      </c>
      <c r="K2375" s="56" t="n">
        <v>1</v>
      </c>
      <c r="L2375" s="52" t="s">
        <v>5989</v>
      </c>
      <c r="M2375" s="52" t="s">
        <v>2056</v>
      </c>
    </row>
    <row r="2376" customFormat="false" ht="17.25" hidden="false" customHeight="true" outlineLevel="0" collapsed="false">
      <c r="A2376" s="52" t="s">
        <v>5777</v>
      </c>
      <c r="B2376" s="52" t="s">
        <v>5813</v>
      </c>
      <c r="C2376" s="53" t="n">
        <v>16375</v>
      </c>
      <c r="D2376" s="52" t="s">
        <v>5055</v>
      </c>
      <c r="E2376" s="52" t="s">
        <v>5056</v>
      </c>
      <c r="F2376" s="54" t="n">
        <v>5</v>
      </c>
      <c r="G2376" s="55" t="n">
        <v>49.9</v>
      </c>
      <c r="H2376" s="55" t="n">
        <v>9.98</v>
      </c>
      <c r="I2376" s="55" t="n">
        <v>9.98</v>
      </c>
      <c r="J2376" s="52" t="s">
        <v>5816</v>
      </c>
      <c r="K2376" s="56" t="n">
        <v>1</v>
      </c>
      <c r="L2376" s="52" t="s">
        <v>5816</v>
      </c>
      <c r="M2376" s="52" t="s">
        <v>54</v>
      </c>
    </row>
    <row r="2377" customFormat="false" ht="17.25" hidden="false" customHeight="true" outlineLevel="0" collapsed="false">
      <c r="A2377" s="52" t="s">
        <v>5777</v>
      </c>
      <c r="B2377" s="52" t="s">
        <v>5813</v>
      </c>
      <c r="C2377" s="53" t="n">
        <v>16924</v>
      </c>
      <c r="D2377" s="52" t="s">
        <v>5057</v>
      </c>
      <c r="E2377" s="52" t="s">
        <v>5058</v>
      </c>
      <c r="F2377" s="54" t="n">
        <v>20</v>
      </c>
      <c r="G2377" s="55" t="n">
        <v>49.6</v>
      </c>
      <c r="H2377" s="55" t="n">
        <v>2.48</v>
      </c>
      <c r="I2377" s="55" t="n">
        <v>2.48</v>
      </c>
      <c r="J2377" s="52" t="s">
        <v>5816</v>
      </c>
      <c r="K2377" s="56" t="n">
        <v>1</v>
      </c>
      <c r="L2377" s="52" t="s">
        <v>5816</v>
      </c>
      <c r="M2377" s="52" t="s">
        <v>100</v>
      </c>
    </row>
    <row r="2378" customFormat="false" ht="17.25" hidden="false" customHeight="true" outlineLevel="0" collapsed="false">
      <c r="A2378" s="52" t="s">
        <v>5777</v>
      </c>
      <c r="B2378" s="52" t="s">
        <v>5813</v>
      </c>
      <c r="C2378" s="53" t="n">
        <v>840035</v>
      </c>
      <c r="D2378" s="52" t="s">
        <v>5059</v>
      </c>
      <c r="E2378" s="52" t="s">
        <v>5060</v>
      </c>
      <c r="F2378" s="54" t="n">
        <v>1</v>
      </c>
      <c r="G2378" s="55" t="n">
        <v>49.57</v>
      </c>
      <c r="H2378" s="55" t="n">
        <v>49.57</v>
      </c>
      <c r="I2378" s="55" t="n">
        <v>49.57</v>
      </c>
      <c r="J2378" s="52" t="s">
        <v>5814</v>
      </c>
      <c r="K2378" s="56" t="n">
        <v>1</v>
      </c>
      <c r="L2378" s="52" t="s">
        <v>5814</v>
      </c>
      <c r="M2378" s="52" t="s">
        <v>54</v>
      </c>
    </row>
    <row r="2379" customFormat="false" ht="17.25" hidden="false" customHeight="true" outlineLevel="0" collapsed="false">
      <c r="A2379" s="52" t="s">
        <v>5777</v>
      </c>
      <c r="B2379" s="52" t="s">
        <v>5813</v>
      </c>
      <c r="C2379" s="53" t="n">
        <v>1067636</v>
      </c>
      <c r="D2379" s="52" t="s">
        <v>5061</v>
      </c>
      <c r="E2379" s="52" t="s">
        <v>5062</v>
      </c>
      <c r="F2379" s="54" t="n">
        <v>20</v>
      </c>
      <c r="G2379" s="55" t="n">
        <v>49.4</v>
      </c>
      <c r="H2379" s="55" t="n">
        <v>2.47</v>
      </c>
      <c r="I2379" s="55" t="n">
        <v>2.47</v>
      </c>
      <c r="J2379" s="52" t="s">
        <v>5816</v>
      </c>
      <c r="K2379" s="56" t="n">
        <v>1</v>
      </c>
      <c r="L2379" s="52" t="s">
        <v>5816</v>
      </c>
      <c r="M2379" s="52" t="s">
        <v>38</v>
      </c>
    </row>
    <row r="2380" customFormat="false" ht="17.25" hidden="false" customHeight="true" outlineLevel="0" collapsed="false">
      <c r="A2380" s="52" t="s">
        <v>5777</v>
      </c>
      <c r="B2380" s="52" t="s">
        <v>5813</v>
      </c>
      <c r="C2380" s="53" t="n">
        <v>1190684</v>
      </c>
      <c r="D2380" s="52" t="s">
        <v>5063</v>
      </c>
      <c r="E2380" s="52" t="s">
        <v>5064</v>
      </c>
      <c r="F2380" s="54" t="n">
        <v>30</v>
      </c>
      <c r="G2380" s="55" t="n">
        <v>49.181</v>
      </c>
      <c r="H2380" s="55" t="n">
        <v>1.6393</v>
      </c>
      <c r="I2380" s="55" t="n">
        <v>1.6393</v>
      </c>
      <c r="J2380" s="52" t="s">
        <v>5822</v>
      </c>
      <c r="K2380" s="56" t="n">
        <v>1</v>
      </c>
      <c r="L2380" s="52" t="s">
        <v>5822</v>
      </c>
      <c r="M2380" s="52" t="s">
        <v>1354</v>
      </c>
    </row>
    <row r="2381" customFormat="false" ht="17.25" hidden="false" customHeight="true" outlineLevel="0" collapsed="false">
      <c r="A2381" s="52" t="s">
        <v>5777</v>
      </c>
      <c r="B2381" s="52" t="s">
        <v>5813</v>
      </c>
      <c r="C2381" s="53" t="n">
        <v>17963</v>
      </c>
      <c r="D2381" s="52" t="s">
        <v>5065</v>
      </c>
      <c r="E2381" s="52" t="s">
        <v>5066</v>
      </c>
      <c r="F2381" s="54" t="n">
        <v>5</v>
      </c>
      <c r="G2381" s="55" t="n">
        <v>49</v>
      </c>
      <c r="H2381" s="55" t="n">
        <v>9.8</v>
      </c>
      <c r="I2381" s="55" t="n">
        <v>9.8</v>
      </c>
      <c r="J2381" s="52" t="s">
        <v>5816</v>
      </c>
      <c r="K2381" s="56" t="n">
        <v>1</v>
      </c>
      <c r="L2381" s="52" t="s">
        <v>5816</v>
      </c>
      <c r="M2381" s="52" t="s">
        <v>130</v>
      </c>
    </row>
    <row r="2382" customFormat="false" ht="17.25" hidden="false" customHeight="true" outlineLevel="0" collapsed="false">
      <c r="A2382" s="52" t="s">
        <v>5777</v>
      </c>
      <c r="B2382" s="52" t="s">
        <v>5813</v>
      </c>
      <c r="C2382" s="53" t="n">
        <v>34134</v>
      </c>
      <c r="D2382" s="52" t="s">
        <v>5067</v>
      </c>
      <c r="E2382" s="52" t="s">
        <v>5068</v>
      </c>
      <c r="F2382" s="54" t="n">
        <v>50</v>
      </c>
      <c r="G2382" s="55" t="n">
        <v>49</v>
      </c>
      <c r="H2382" s="55" t="n">
        <v>0.98</v>
      </c>
      <c r="I2382" s="55" t="n">
        <v>0.98</v>
      </c>
      <c r="J2382" s="52" t="s">
        <v>5816</v>
      </c>
      <c r="K2382" s="56" t="n">
        <v>1</v>
      </c>
      <c r="L2382" s="52" t="s">
        <v>5816</v>
      </c>
      <c r="M2382" s="52" t="s">
        <v>100</v>
      </c>
    </row>
    <row r="2383" customFormat="false" ht="17.25" hidden="false" customHeight="true" outlineLevel="0" collapsed="false">
      <c r="A2383" s="52" t="s">
        <v>5777</v>
      </c>
      <c r="B2383" s="52" t="s">
        <v>5813</v>
      </c>
      <c r="C2383" s="53" t="n">
        <v>1472779</v>
      </c>
      <c r="D2383" s="52" t="s">
        <v>5069</v>
      </c>
      <c r="E2383" s="52" t="s">
        <v>5070</v>
      </c>
      <c r="F2383" s="54" t="n">
        <v>50</v>
      </c>
      <c r="G2383" s="55" t="n">
        <v>49</v>
      </c>
      <c r="H2383" s="55" t="n">
        <v>0.98</v>
      </c>
      <c r="I2383" s="55" t="n">
        <v>0.98</v>
      </c>
      <c r="J2383" s="52" t="s">
        <v>5816</v>
      </c>
      <c r="K2383" s="56" t="n">
        <v>1</v>
      </c>
      <c r="L2383" s="52" t="s">
        <v>5816</v>
      </c>
      <c r="M2383" s="52" t="s">
        <v>100</v>
      </c>
    </row>
    <row r="2384" customFormat="false" ht="17.25" hidden="false" customHeight="true" outlineLevel="0" collapsed="false">
      <c r="A2384" s="52" t="s">
        <v>5777</v>
      </c>
      <c r="B2384" s="52" t="s">
        <v>5813</v>
      </c>
      <c r="C2384" s="53" t="n">
        <v>1385280</v>
      </c>
      <c r="D2384" s="52" t="s">
        <v>5071</v>
      </c>
      <c r="E2384" s="52" t="s">
        <v>5990</v>
      </c>
      <c r="F2384" s="54" t="n">
        <v>4</v>
      </c>
      <c r="G2384" s="55" t="n">
        <v>48.22</v>
      </c>
      <c r="H2384" s="55" t="n">
        <v>12.055</v>
      </c>
      <c r="I2384" s="55" t="n">
        <v>16.9</v>
      </c>
      <c r="J2384" s="52" t="s">
        <v>5816</v>
      </c>
      <c r="K2384" s="56" t="n">
        <v>1</v>
      </c>
      <c r="L2384" s="52" t="s">
        <v>5816</v>
      </c>
      <c r="M2384" s="52" t="s">
        <v>38</v>
      </c>
    </row>
    <row r="2385" customFormat="false" ht="17.25" hidden="false" customHeight="true" outlineLevel="0" collapsed="false">
      <c r="A2385" s="52" t="s">
        <v>5777</v>
      </c>
      <c r="B2385" s="52" t="s">
        <v>5813</v>
      </c>
      <c r="C2385" s="53" t="n">
        <v>12693</v>
      </c>
      <c r="D2385" s="52" t="s">
        <v>5073</v>
      </c>
      <c r="E2385" s="52" t="s">
        <v>5074</v>
      </c>
      <c r="F2385" s="54" t="n">
        <v>1</v>
      </c>
      <c r="G2385" s="55" t="n">
        <v>48</v>
      </c>
      <c r="H2385" s="55" t="n">
        <v>48</v>
      </c>
      <c r="I2385" s="55" t="n">
        <v>48</v>
      </c>
      <c r="J2385" s="52" t="s">
        <v>5816</v>
      </c>
      <c r="K2385" s="56" t="n">
        <v>1</v>
      </c>
      <c r="L2385" s="52" t="s">
        <v>5816</v>
      </c>
      <c r="M2385" s="52" t="s">
        <v>38</v>
      </c>
    </row>
    <row r="2386" customFormat="false" ht="17.25" hidden="false" customHeight="true" outlineLevel="0" collapsed="false">
      <c r="A2386" s="52" t="s">
        <v>5777</v>
      </c>
      <c r="B2386" s="52" t="s">
        <v>5813</v>
      </c>
      <c r="C2386" s="53" t="n">
        <v>16693</v>
      </c>
      <c r="D2386" s="52" t="s">
        <v>5075</v>
      </c>
      <c r="E2386" s="52" t="s">
        <v>5076</v>
      </c>
      <c r="F2386" s="54" t="n">
        <v>1</v>
      </c>
      <c r="G2386" s="55" t="n">
        <v>48</v>
      </c>
      <c r="H2386" s="55" t="n">
        <v>48</v>
      </c>
      <c r="I2386" s="55" t="n">
        <v>48</v>
      </c>
      <c r="J2386" s="52" t="s">
        <v>5822</v>
      </c>
      <c r="K2386" s="56" t="n">
        <v>1</v>
      </c>
      <c r="L2386" s="52" t="s">
        <v>5822</v>
      </c>
      <c r="M2386" s="52" t="s">
        <v>100</v>
      </c>
    </row>
    <row r="2387" customFormat="false" ht="17.25" hidden="false" customHeight="true" outlineLevel="0" collapsed="false">
      <c r="A2387" s="52" t="s">
        <v>5777</v>
      </c>
      <c r="B2387" s="52" t="s">
        <v>5813</v>
      </c>
      <c r="C2387" s="53" t="n">
        <v>22208</v>
      </c>
      <c r="D2387" s="52" t="s">
        <v>5077</v>
      </c>
      <c r="E2387" s="52" t="s">
        <v>5078</v>
      </c>
      <c r="F2387" s="54" t="n">
        <v>1</v>
      </c>
      <c r="G2387" s="55" t="n">
        <v>48</v>
      </c>
      <c r="H2387" s="55" t="n">
        <v>48</v>
      </c>
      <c r="I2387" s="55" t="n">
        <v>48</v>
      </c>
      <c r="J2387" s="52" t="s">
        <v>5816</v>
      </c>
      <c r="K2387" s="56" t="n">
        <v>1</v>
      </c>
      <c r="L2387" s="52" t="s">
        <v>5816</v>
      </c>
      <c r="M2387" s="52" t="s">
        <v>189</v>
      </c>
    </row>
    <row r="2388" customFormat="false" ht="17.25" hidden="false" customHeight="true" outlineLevel="0" collapsed="false">
      <c r="A2388" s="52" t="s">
        <v>5777</v>
      </c>
      <c r="B2388" s="52" t="s">
        <v>5813</v>
      </c>
      <c r="C2388" s="53" t="n">
        <v>23298</v>
      </c>
      <c r="D2388" s="52" t="s">
        <v>5079</v>
      </c>
      <c r="E2388" s="52" t="s">
        <v>5080</v>
      </c>
      <c r="F2388" s="54" t="n">
        <v>1</v>
      </c>
      <c r="G2388" s="55" t="n">
        <v>48</v>
      </c>
      <c r="H2388" s="55" t="n">
        <v>48</v>
      </c>
      <c r="I2388" s="55" t="n">
        <v>48</v>
      </c>
      <c r="J2388" s="52" t="s">
        <v>5816</v>
      </c>
      <c r="K2388" s="56" t="n">
        <v>1</v>
      </c>
      <c r="L2388" s="52" t="s">
        <v>5816</v>
      </c>
      <c r="M2388" s="52" t="s">
        <v>480</v>
      </c>
    </row>
    <row r="2389" customFormat="false" ht="17.25" hidden="false" customHeight="true" outlineLevel="0" collapsed="false">
      <c r="A2389" s="52" t="s">
        <v>5777</v>
      </c>
      <c r="B2389" s="52" t="s">
        <v>5813</v>
      </c>
      <c r="C2389" s="53" t="n">
        <v>35525</v>
      </c>
      <c r="D2389" s="52" t="s">
        <v>5081</v>
      </c>
      <c r="E2389" s="52" t="s">
        <v>5082</v>
      </c>
      <c r="F2389" s="54" t="n">
        <v>1</v>
      </c>
      <c r="G2389" s="55" t="n">
        <v>48</v>
      </c>
      <c r="H2389" s="55" t="n">
        <v>48</v>
      </c>
      <c r="I2389" s="55" t="n">
        <v>48</v>
      </c>
      <c r="J2389" s="52" t="s">
        <v>5991</v>
      </c>
      <c r="K2389" s="56" t="n">
        <v>3.6</v>
      </c>
      <c r="L2389" s="52" t="s">
        <v>5816</v>
      </c>
      <c r="M2389" s="52" t="s">
        <v>705</v>
      </c>
    </row>
    <row r="2390" customFormat="false" ht="17.25" hidden="false" customHeight="true" outlineLevel="0" collapsed="false">
      <c r="A2390" s="52" t="s">
        <v>5777</v>
      </c>
      <c r="B2390" s="52" t="s">
        <v>5813</v>
      </c>
      <c r="C2390" s="53" t="n">
        <v>53718</v>
      </c>
      <c r="D2390" s="52" t="s">
        <v>5083</v>
      </c>
      <c r="E2390" s="52" t="s">
        <v>5084</v>
      </c>
      <c r="F2390" s="54" t="n">
        <v>1</v>
      </c>
      <c r="G2390" s="55" t="n">
        <v>48</v>
      </c>
      <c r="H2390" s="55" t="n">
        <v>48</v>
      </c>
      <c r="I2390" s="55" t="n">
        <v>48</v>
      </c>
      <c r="J2390" s="52" t="s">
        <v>5816</v>
      </c>
      <c r="K2390" s="56" t="n">
        <v>1</v>
      </c>
      <c r="L2390" s="52" t="s">
        <v>5816</v>
      </c>
      <c r="M2390" s="52" t="s">
        <v>705</v>
      </c>
    </row>
    <row r="2391" customFormat="false" ht="17.25" hidden="false" customHeight="true" outlineLevel="0" collapsed="false">
      <c r="A2391" s="52" t="s">
        <v>5777</v>
      </c>
      <c r="B2391" s="52" t="s">
        <v>5813</v>
      </c>
      <c r="C2391" s="53" t="n">
        <v>391934</v>
      </c>
      <c r="D2391" s="52" t="s">
        <v>5085</v>
      </c>
      <c r="E2391" s="52" t="s">
        <v>5086</v>
      </c>
      <c r="F2391" s="54" t="n">
        <v>1</v>
      </c>
      <c r="G2391" s="55" t="n">
        <v>48</v>
      </c>
      <c r="H2391" s="55" t="n">
        <v>48</v>
      </c>
      <c r="I2391" s="55" t="n">
        <v>48</v>
      </c>
      <c r="J2391" s="52" t="s">
        <v>5816</v>
      </c>
      <c r="K2391" s="56" t="n">
        <v>1</v>
      </c>
      <c r="L2391" s="52" t="s">
        <v>5816</v>
      </c>
      <c r="M2391" s="52" t="s">
        <v>189</v>
      </c>
    </row>
    <row r="2392" customFormat="false" ht="17.25" hidden="false" customHeight="true" outlineLevel="0" collapsed="false">
      <c r="A2392" s="52" t="s">
        <v>5777</v>
      </c>
      <c r="B2392" s="52" t="s">
        <v>5813</v>
      </c>
      <c r="C2392" s="53" t="n">
        <v>937236</v>
      </c>
      <c r="D2392" s="52" t="s">
        <v>5087</v>
      </c>
      <c r="E2392" s="52" t="s">
        <v>5088</v>
      </c>
      <c r="F2392" s="54" t="n">
        <v>1</v>
      </c>
      <c r="G2392" s="55" t="n">
        <v>48</v>
      </c>
      <c r="H2392" s="55" t="n">
        <v>48</v>
      </c>
      <c r="I2392" s="55" t="n">
        <v>48</v>
      </c>
      <c r="J2392" s="52" t="s">
        <v>5816</v>
      </c>
      <c r="K2392" s="56" t="n">
        <v>1</v>
      </c>
      <c r="L2392" s="52" t="s">
        <v>5816</v>
      </c>
      <c r="M2392" s="52" t="s">
        <v>217</v>
      </c>
    </row>
    <row r="2393" customFormat="false" ht="17.25" hidden="false" customHeight="true" outlineLevel="0" collapsed="false">
      <c r="A2393" s="52" t="s">
        <v>5777</v>
      </c>
      <c r="B2393" s="52" t="s">
        <v>5813</v>
      </c>
      <c r="C2393" s="53" t="n">
        <v>1383688</v>
      </c>
      <c r="D2393" s="52" t="s">
        <v>5089</v>
      </c>
      <c r="E2393" s="52" t="s">
        <v>5090</v>
      </c>
      <c r="F2393" s="54" t="n">
        <v>2</v>
      </c>
      <c r="G2393" s="55" t="n">
        <v>47.96</v>
      </c>
      <c r="H2393" s="55" t="n">
        <v>23.98</v>
      </c>
      <c r="I2393" s="55" t="n">
        <v>23.98</v>
      </c>
      <c r="J2393" s="52" t="s">
        <v>5816</v>
      </c>
      <c r="K2393" s="56" t="n">
        <v>1</v>
      </c>
      <c r="L2393" s="52" t="s">
        <v>5816</v>
      </c>
      <c r="M2393" s="52" t="s">
        <v>54</v>
      </c>
    </row>
    <row r="2394" customFormat="false" ht="17.25" hidden="false" customHeight="true" outlineLevel="0" collapsed="false">
      <c r="A2394" s="52" t="s">
        <v>5777</v>
      </c>
      <c r="B2394" s="52" t="s">
        <v>5813</v>
      </c>
      <c r="C2394" s="53" t="n">
        <v>1485462</v>
      </c>
      <c r="D2394" s="52" t="s">
        <v>5091</v>
      </c>
      <c r="E2394" s="57" t="s">
        <v>5992</v>
      </c>
      <c r="F2394" s="54" t="n">
        <v>2</v>
      </c>
      <c r="G2394" s="55" t="n">
        <v>47.95</v>
      </c>
      <c r="H2394" s="55" t="n">
        <v>23.975</v>
      </c>
      <c r="I2394" s="55" t="n">
        <v>23.975</v>
      </c>
      <c r="J2394" s="52" t="s">
        <v>5816</v>
      </c>
      <c r="K2394" s="56" t="n">
        <v>1</v>
      </c>
      <c r="L2394" s="52" t="s">
        <v>5816</v>
      </c>
      <c r="M2394" s="52" t="s">
        <v>38</v>
      </c>
    </row>
    <row r="2395" customFormat="false" ht="17.25" hidden="false" customHeight="true" outlineLevel="0" collapsed="false">
      <c r="A2395" s="52" t="s">
        <v>5777</v>
      </c>
      <c r="B2395" s="52" t="s">
        <v>5813</v>
      </c>
      <c r="C2395" s="53" t="n">
        <v>56955</v>
      </c>
      <c r="D2395" s="52" t="s">
        <v>5093</v>
      </c>
      <c r="E2395" s="52" t="s">
        <v>5094</v>
      </c>
      <c r="F2395" s="54" t="n">
        <v>8</v>
      </c>
      <c r="G2395" s="55" t="n">
        <v>47.84</v>
      </c>
      <c r="H2395" s="55" t="n">
        <v>5.98</v>
      </c>
      <c r="I2395" s="55" t="n">
        <v>5.98</v>
      </c>
      <c r="J2395" s="52" t="s">
        <v>5816</v>
      </c>
      <c r="K2395" s="56" t="n">
        <v>1</v>
      </c>
      <c r="L2395" s="52" t="s">
        <v>5816</v>
      </c>
      <c r="M2395" s="52" t="s">
        <v>38</v>
      </c>
    </row>
    <row r="2396" customFormat="false" ht="17.25" hidden="false" customHeight="true" outlineLevel="0" collapsed="false">
      <c r="A2396" s="52" t="s">
        <v>5777</v>
      </c>
      <c r="B2396" s="52" t="s">
        <v>5813</v>
      </c>
      <c r="C2396" s="53" t="n">
        <v>1312596</v>
      </c>
      <c r="D2396" s="52" t="s">
        <v>5095</v>
      </c>
      <c r="E2396" s="52" t="s">
        <v>5096</v>
      </c>
      <c r="F2396" s="54" t="n">
        <v>1</v>
      </c>
      <c r="G2396" s="55" t="n">
        <v>47.49</v>
      </c>
      <c r="H2396" s="55" t="n">
        <v>47.49</v>
      </c>
      <c r="I2396" s="55" t="n">
        <v>47.49</v>
      </c>
      <c r="J2396" s="52" t="s">
        <v>5816</v>
      </c>
      <c r="K2396" s="56" t="n">
        <v>1</v>
      </c>
      <c r="L2396" s="52" t="s">
        <v>5816</v>
      </c>
      <c r="M2396" s="52" t="s">
        <v>189</v>
      </c>
    </row>
    <row r="2397" customFormat="false" ht="17.25" hidden="false" customHeight="true" outlineLevel="0" collapsed="false">
      <c r="A2397" s="52" t="s">
        <v>5777</v>
      </c>
      <c r="B2397" s="52" t="s">
        <v>5813</v>
      </c>
      <c r="C2397" s="53" t="n">
        <v>54982</v>
      </c>
      <c r="D2397" s="52" t="s">
        <v>5097</v>
      </c>
      <c r="E2397" s="52" t="s">
        <v>5098</v>
      </c>
      <c r="F2397" s="54" t="n">
        <v>350</v>
      </c>
      <c r="G2397" s="55" t="n">
        <v>47.25</v>
      </c>
      <c r="H2397" s="55" t="n">
        <v>0.135</v>
      </c>
      <c r="I2397" s="55" t="n">
        <v>0.135</v>
      </c>
      <c r="J2397" s="52" t="s">
        <v>5816</v>
      </c>
      <c r="K2397" s="56" t="n">
        <v>1</v>
      </c>
      <c r="L2397" s="52" t="s">
        <v>5816</v>
      </c>
      <c r="M2397" s="52" t="s">
        <v>100</v>
      </c>
    </row>
    <row r="2398" customFormat="false" ht="17.25" hidden="false" customHeight="true" outlineLevel="0" collapsed="false">
      <c r="A2398" s="52" t="s">
        <v>5777</v>
      </c>
      <c r="B2398" s="52" t="s">
        <v>5813</v>
      </c>
      <c r="C2398" s="53" t="n">
        <v>12661</v>
      </c>
      <c r="D2398" s="52" t="s">
        <v>5099</v>
      </c>
      <c r="E2398" s="52" t="s">
        <v>5100</v>
      </c>
      <c r="F2398" s="54" t="n">
        <v>4</v>
      </c>
      <c r="G2398" s="55" t="n">
        <v>46.6</v>
      </c>
      <c r="H2398" s="55" t="n">
        <v>11.65</v>
      </c>
      <c r="I2398" s="55" t="n">
        <v>11.65</v>
      </c>
      <c r="J2398" s="52" t="s">
        <v>5816</v>
      </c>
      <c r="K2398" s="56" t="n">
        <v>1</v>
      </c>
      <c r="L2398" s="52" t="s">
        <v>5816</v>
      </c>
      <c r="M2398" s="52" t="s">
        <v>38</v>
      </c>
    </row>
    <row r="2399" customFormat="false" ht="17.25" hidden="false" customHeight="true" outlineLevel="0" collapsed="false">
      <c r="A2399" s="52" t="s">
        <v>5777</v>
      </c>
      <c r="B2399" s="52" t="s">
        <v>5813</v>
      </c>
      <c r="C2399" s="53" t="n">
        <v>16041</v>
      </c>
      <c r="D2399" s="52" t="s">
        <v>5101</v>
      </c>
      <c r="E2399" s="52" t="s">
        <v>5102</v>
      </c>
      <c r="F2399" s="54" t="n">
        <v>2</v>
      </c>
      <c r="G2399" s="55" t="n">
        <v>45.96</v>
      </c>
      <c r="H2399" s="55" t="n">
        <v>22.98</v>
      </c>
      <c r="I2399" s="55" t="n">
        <v>22.98</v>
      </c>
      <c r="J2399" s="52" t="s">
        <v>5816</v>
      </c>
      <c r="K2399" s="56" t="n">
        <v>1</v>
      </c>
      <c r="L2399" s="52" t="s">
        <v>5816</v>
      </c>
      <c r="M2399" s="52" t="s">
        <v>54</v>
      </c>
    </row>
    <row r="2400" customFormat="false" ht="17.25" hidden="false" customHeight="true" outlineLevel="0" collapsed="false">
      <c r="A2400" s="52" t="s">
        <v>5777</v>
      </c>
      <c r="B2400" s="52" t="s">
        <v>5813</v>
      </c>
      <c r="C2400" s="53" t="n">
        <v>864542</v>
      </c>
      <c r="D2400" s="52" t="s">
        <v>5103</v>
      </c>
      <c r="E2400" s="52" t="s">
        <v>5104</v>
      </c>
      <c r="F2400" s="54" t="n">
        <v>2</v>
      </c>
      <c r="G2400" s="55" t="n">
        <v>45.96</v>
      </c>
      <c r="H2400" s="55" t="n">
        <v>22.98</v>
      </c>
      <c r="I2400" s="55" t="n">
        <v>22.98</v>
      </c>
      <c r="J2400" s="52" t="s">
        <v>5816</v>
      </c>
      <c r="K2400" s="56" t="n">
        <v>1</v>
      </c>
      <c r="L2400" s="52" t="s">
        <v>5816</v>
      </c>
      <c r="M2400" s="52" t="s">
        <v>705</v>
      </c>
    </row>
    <row r="2401" customFormat="false" ht="17.25" hidden="false" customHeight="true" outlineLevel="0" collapsed="false">
      <c r="A2401" s="52" t="s">
        <v>5777</v>
      </c>
      <c r="B2401" s="52" t="s">
        <v>5813</v>
      </c>
      <c r="C2401" s="53" t="n">
        <v>1462822</v>
      </c>
      <c r="D2401" s="52" t="s">
        <v>5105</v>
      </c>
      <c r="E2401" s="52" t="s">
        <v>5106</v>
      </c>
      <c r="F2401" s="54" t="n">
        <v>14</v>
      </c>
      <c r="G2401" s="55" t="n">
        <v>45.72</v>
      </c>
      <c r="H2401" s="55" t="n">
        <v>3.2657</v>
      </c>
      <c r="I2401" s="55" t="n">
        <v>3.98</v>
      </c>
      <c r="J2401" s="52" t="s">
        <v>5816</v>
      </c>
      <c r="K2401" s="56" t="n">
        <v>1</v>
      </c>
      <c r="L2401" s="52" t="s">
        <v>5816</v>
      </c>
      <c r="M2401" s="52" t="s">
        <v>100</v>
      </c>
    </row>
    <row r="2402" customFormat="false" ht="17.25" hidden="false" customHeight="true" outlineLevel="0" collapsed="false">
      <c r="A2402" s="52" t="s">
        <v>5777</v>
      </c>
      <c r="B2402" s="52" t="s">
        <v>5813</v>
      </c>
      <c r="C2402" s="53" t="n">
        <v>260310</v>
      </c>
      <c r="D2402" s="52" t="s">
        <v>5107</v>
      </c>
      <c r="E2402" s="52" t="s">
        <v>5108</v>
      </c>
      <c r="F2402" s="54" t="n">
        <v>100</v>
      </c>
      <c r="G2402" s="55" t="n">
        <v>45</v>
      </c>
      <c r="H2402" s="55" t="n">
        <v>0.45</v>
      </c>
      <c r="I2402" s="55" t="n">
        <v>0.45</v>
      </c>
      <c r="J2402" s="52" t="s">
        <v>5816</v>
      </c>
      <c r="K2402" s="56" t="n">
        <v>1</v>
      </c>
      <c r="L2402" s="52" t="s">
        <v>5816</v>
      </c>
      <c r="M2402" s="52" t="s">
        <v>1095</v>
      </c>
    </row>
    <row r="2403" customFormat="false" ht="17.25" hidden="false" customHeight="true" outlineLevel="0" collapsed="false">
      <c r="A2403" s="52" t="s">
        <v>5777</v>
      </c>
      <c r="B2403" s="52" t="s">
        <v>5813</v>
      </c>
      <c r="C2403" s="53" t="n">
        <v>1605183</v>
      </c>
      <c r="D2403" s="52" t="s">
        <v>5109</v>
      </c>
      <c r="E2403" s="52" t="s">
        <v>5110</v>
      </c>
      <c r="F2403" s="54" t="n">
        <v>100</v>
      </c>
      <c r="G2403" s="55" t="n">
        <v>45</v>
      </c>
      <c r="H2403" s="55" t="n">
        <v>0.45</v>
      </c>
      <c r="I2403" s="55" t="n">
        <v>0.45</v>
      </c>
      <c r="J2403" s="52" t="s">
        <v>5816</v>
      </c>
      <c r="K2403" s="56" t="n">
        <v>1</v>
      </c>
      <c r="L2403" s="52" t="s">
        <v>5816</v>
      </c>
      <c r="M2403" s="52" t="s">
        <v>100</v>
      </c>
    </row>
    <row r="2404" customFormat="false" ht="17.25" hidden="false" customHeight="true" outlineLevel="0" collapsed="false">
      <c r="A2404" s="52" t="s">
        <v>5777</v>
      </c>
      <c r="B2404" s="52" t="s">
        <v>5813</v>
      </c>
      <c r="C2404" s="53" t="n">
        <v>54629</v>
      </c>
      <c r="D2404" s="52" t="s">
        <v>5111</v>
      </c>
      <c r="E2404" s="52" t="s">
        <v>5112</v>
      </c>
      <c r="F2404" s="54" t="n">
        <v>3</v>
      </c>
      <c r="G2404" s="55" t="n">
        <v>44.94</v>
      </c>
      <c r="H2404" s="55" t="n">
        <v>14.98</v>
      </c>
      <c r="I2404" s="55" t="n">
        <v>14.98</v>
      </c>
      <c r="J2404" s="52" t="s">
        <v>5816</v>
      </c>
      <c r="K2404" s="56" t="n">
        <v>1</v>
      </c>
      <c r="L2404" s="52" t="s">
        <v>5816</v>
      </c>
      <c r="M2404" s="52" t="s">
        <v>480</v>
      </c>
    </row>
    <row r="2405" customFormat="false" ht="17.25" hidden="false" customHeight="true" outlineLevel="0" collapsed="false">
      <c r="A2405" s="52" t="s">
        <v>5777</v>
      </c>
      <c r="B2405" s="52" t="s">
        <v>5813</v>
      </c>
      <c r="C2405" s="53" t="n">
        <v>1599662</v>
      </c>
      <c r="D2405" s="52" t="s">
        <v>5113</v>
      </c>
      <c r="E2405" s="52" t="s">
        <v>5114</v>
      </c>
      <c r="F2405" s="54" t="n">
        <v>3</v>
      </c>
      <c r="G2405" s="55" t="n">
        <v>44.94</v>
      </c>
      <c r="H2405" s="55" t="n">
        <v>14.98</v>
      </c>
      <c r="I2405" s="55" t="n">
        <v>14.98</v>
      </c>
      <c r="J2405" s="52" t="s">
        <v>5816</v>
      </c>
      <c r="K2405" s="56" t="n">
        <v>1</v>
      </c>
      <c r="L2405" s="52" t="s">
        <v>5816</v>
      </c>
      <c r="M2405" s="52" t="s">
        <v>54</v>
      </c>
    </row>
    <row r="2406" customFormat="false" ht="17.25" hidden="false" customHeight="true" outlineLevel="0" collapsed="false">
      <c r="A2406" s="52" t="s">
        <v>5777</v>
      </c>
      <c r="B2406" s="52" t="s">
        <v>5813</v>
      </c>
      <c r="C2406" s="53" t="n">
        <v>349924</v>
      </c>
      <c r="D2406" s="52" t="s">
        <v>5115</v>
      </c>
      <c r="E2406" s="52" t="s">
        <v>5993</v>
      </c>
      <c r="F2406" s="54" t="n">
        <v>2</v>
      </c>
      <c r="G2406" s="55" t="n">
        <v>44.5</v>
      </c>
      <c r="H2406" s="55" t="n">
        <v>22.25</v>
      </c>
      <c r="I2406" s="55" t="n">
        <v>22.25</v>
      </c>
      <c r="J2406" s="52" t="s">
        <v>5816</v>
      </c>
      <c r="K2406" s="56" t="n">
        <v>1</v>
      </c>
      <c r="L2406" s="52" t="s">
        <v>5816</v>
      </c>
      <c r="M2406" s="52" t="s">
        <v>35</v>
      </c>
    </row>
    <row r="2407" customFormat="false" ht="17.25" hidden="false" customHeight="true" outlineLevel="0" collapsed="false">
      <c r="A2407" s="52" t="s">
        <v>5777</v>
      </c>
      <c r="B2407" s="52" t="s">
        <v>5813</v>
      </c>
      <c r="C2407" s="53" t="n">
        <v>601527</v>
      </c>
      <c r="D2407" s="52" t="s">
        <v>5117</v>
      </c>
      <c r="E2407" s="52" t="s">
        <v>5994</v>
      </c>
      <c r="F2407" s="54" t="n">
        <v>2</v>
      </c>
      <c r="G2407" s="55" t="n">
        <v>44.07</v>
      </c>
      <c r="H2407" s="55" t="n">
        <v>22.035</v>
      </c>
      <c r="I2407" s="55" t="n">
        <v>22.035</v>
      </c>
      <c r="J2407" s="52" t="s">
        <v>5816</v>
      </c>
      <c r="K2407" s="56" t="n">
        <v>1</v>
      </c>
      <c r="L2407" s="52" t="s">
        <v>5816</v>
      </c>
      <c r="M2407" s="52" t="s">
        <v>38</v>
      </c>
    </row>
    <row r="2408" customFormat="false" ht="17.25" hidden="false" customHeight="true" outlineLevel="0" collapsed="false">
      <c r="A2408" s="52" t="s">
        <v>5777</v>
      </c>
      <c r="B2408" s="52" t="s">
        <v>5813</v>
      </c>
      <c r="C2408" s="53" t="n">
        <v>1386218</v>
      </c>
      <c r="D2408" s="52" t="s">
        <v>5119</v>
      </c>
      <c r="E2408" s="52" t="s">
        <v>5120</v>
      </c>
      <c r="F2408" s="54" t="n">
        <v>1</v>
      </c>
      <c r="G2408" s="55" t="n">
        <v>44</v>
      </c>
      <c r="H2408" s="55" t="n">
        <v>44</v>
      </c>
      <c r="I2408" s="55" t="n">
        <v>44</v>
      </c>
      <c r="J2408" s="52" t="s">
        <v>5816</v>
      </c>
      <c r="K2408" s="56" t="n">
        <v>1</v>
      </c>
      <c r="L2408" s="52" t="s">
        <v>5816</v>
      </c>
      <c r="M2408" s="52" t="s">
        <v>130</v>
      </c>
    </row>
    <row r="2409" customFormat="false" ht="17.25" hidden="false" customHeight="true" outlineLevel="0" collapsed="false">
      <c r="A2409" s="52" t="s">
        <v>5777</v>
      </c>
      <c r="B2409" s="52" t="s">
        <v>5813</v>
      </c>
      <c r="C2409" s="53" t="n">
        <v>1615083</v>
      </c>
      <c r="D2409" s="52" t="s">
        <v>5121</v>
      </c>
      <c r="E2409" s="52" t="s">
        <v>5122</v>
      </c>
      <c r="F2409" s="54" t="n">
        <v>8</v>
      </c>
      <c r="G2409" s="55" t="n">
        <v>43.72</v>
      </c>
      <c r="H2409" s="55" t="n">
        <v>5.465</v>
      </c>
      <c r="I2409" s="55" t="n">
        <v>6.75</v>
      </c>
      <c r="J2409" s="52" t="s">
        <v>5816</v>
      </c>
      <c r="K2409" s="56" t="n">
        <v>1</v>
      </c>
      <c r="L2409" s="52" t="s">
        <v>5816</v>
      </c>
      <c r="M2409" s="52" t="s">
        <v>38</v>
      </c>
    </row>
    <row r="2410" customFormat="false" ht="17.25" hidden="false" customHeight="true" outlineLevel="0" collapsed="false">
      <c r="A2410" s="52" t="s">
        <v>5777</v>
      </c>
      <c r="B2410" s="52" t="s">
        <v>5813</v>
      </c>
      <c r="C2410" s="53" t="n">
        <v>1322824</v>
      </c>
      <c r="D2410" s="52" t="s">
        <v>5123</v>
      </c>
      <c r="E2410" s="52" t="s">
        <v>5124</v>
      </c>
      <c r="F2410" s="54" t="n">
        <v>13</v>
      </c>
      <c r="G2410" s="55" t="n">
        <v>43.55</v>
      </c>
      <c r="H2410" s="55" t="n">
        <v>3.35</v>
      </c>
      <c r="I2410" s="55" t="n">
        <v>3.35</v>
      </c>
      <c r="J2410" s="52" t="s">
        <v>5816</v>
      </c>
      <c r="K2410" s="56" t="n">
        <v>1</v>
      </c>
      <c r="L2410" s="52" t="s">
        <v>5816</v>
      </c>
      <c r="M2410" s="52" t="s">
        <v>54</v>
      </c>
    </row>
    <row r="2411" customFormat="false" ht="17.25" hidden="false" customHeight="true" outlineLevel="0" collapsed="false">
      <c r="A2411" s="52" t="s">
        <v>5777</v>
      </c>
      <c r="B2411" s="52" t="s">
        <v>5813</v>
      </c>
      <c r="C2411" s="53" t="n">
        <v>14871</v>
      </c>
      <c r="D2411" s="52" t="s">
        <v>5125</v>
      </c>
      <c r="E2411" s="52" t="s">
        <v>5126</v>
      </c>
      <c r="F2411" s="54" t="n">
        <v>35</v>
      </c>
      <c r="G2411" s="55" t="n">
        <v>43.05</v>
      </c>
      <c r="H2411" s="55" t="n">
        <v>1.23</v>
      </c>
      <c r="I2411" s="55" t="n">
        <v>1.23</v>
      </c>
      <c r="J2411" s="52" t="s">
        <v>5816</v>
      </c>
      <c r="K2411" s="56" t="n">
        <v>1</v>
      </c>
      <c r="L2411" s="52" t="s">
        <v>5816</v>
      </c>
      <c r="M2411" s="52" t="s">
        <v>54</v>
      </c>
    </row>
    <row r="2412" customFormat="false" ht="17.25" hidden="false" customHeight="true" outlineLevel="0" collapsed="false">
      <c r="A2412" s="52" t="s">
        <v>5777</v>
      </c>
      <c r="B2412" s="52" t="s">
        <v>5813</v>
      </c>
      <c r="C2412" s="53" t="n">
        <v>952597</v>
      </c>
      <c r="D2412" s="52" t="s">
        <v>5127</v>
      </c>
      <c r="E2412" s="52" t="s">
        <v>5128</v>
      </c>
      <c r="F2412" s="54" t="n">
        <v>10</v>
      </c>
      <c r="G2412" s="55" t="n">
        <v>43</v>
      </c>
      <c r="H2412" s="55" t="n">
        <v>4.3</v>
      </c>
      <c r="I2412" s="55" t="n">
        <v>4.3</v>
      </c>
      <c r="J2412" s="52" t="s">
        <v>5816</v>
      </c>
      <c r="K2412" s="56" t="n">
        <v>1</v>
      </c>
      <c r="L2412" s="52" t="s">
        <v>5816</v>
      </c>
      <c r="M2412" s="52" t="s">
        <v>480</v>
      </c>
    </row>
    <row r="2413" customFormat="false" ht="17.25" hidden="false" customHeight="true" outlineLevel="0" collapsed="false">
      <c r="A2413" s="52" t="s">
        <v>5777</v>
      </c>
      <c r="B2413" s="52" t="s">
        <v>5813</v>
      </c>
      <c r="C2413" s="53" t="n">
        <v>15443</v>
      </c>
      <c r="D2413" s="52" t="s">
        <v>5129</v>
      </c>
      <c r="E2413" s="52" t="s">
        <v>5130</v>
      </c>
      <c r="F2413" s="54" t="n">
        <v>8</v>
      </c>
      <c r="G2413" s="55" t="n">
        <v>42.72</v>
      </c>
      <c r="H2413" s="55" t="n">
        <v>5.34</v>
      </c>
      <c r="I2413" s="55" t="n">
        <v>5.34</v>
      </c>
      <c r="J2413" s="52" t="s">
        <v>5816</v>
      </c>
      <c r="K2413" s="56" t="n">
        <v>1</v>
      </c>
      <c r="L2413" s="52" t="s">
        <v>5816</v>
      </c>
      <c r="M2413" s="52" t="s">
        <v>54</v>
      </c>
    </row>
    <row r="2414" customFormat="false" ht="17.25" hidden="false" customHeight="true" outlineLevel="0" collapsed="false">
      <c r="A2414" s="52" t="s">
        <v>5777</v>
      </c>
      <c r="B2414" s="52" t="s">
        <v>5813</v>
      </c>
      <c r="C2414" s="53" t="n">
        <v>1614272</v>
      </c>
      <c r="D2414" s="52" t="s">
        <v>5131</v>
      </c>
      <c r="E2414" s="52" t="s">
        <v>5132</v>
      </c>
      <c r="F2414" s="54" t="n">
        <v>2</v>
      </c>
      <c r="G2414" s="55" t="n">
        <v>42.22</v>
      </c>
      <c r="H2414" s="55" t="n">
        <v>21.11</v>
      </c>
      <c r="I2414" s="55" t="n">
        <v>21.11</v>
      </c>
      <c r="J2414" s="52" t="s">
        <v>5816</v>
      </c>
      <c r="K2414" s="56" t="n">
        <v>1</v>
      </c>
      <c r="L2414" s="52" t="s">
        <v>5816</v>
      </c>
      <c r="M2414" s="52" t="s">
        <v>38</v>
      </c>
    </row>
    <row r="2415" customFormat="false" ht="17.25" hidden="false" customHeight="true" outlineLevel="0" collapsed="false">
      <c r="A2415" s="52" t="s">
        <v>5777</v>
      </c>
      <c r="B2415" s="52" t="s">
        <v>5813</v>
      </c>
      <c r="C2415" s="53" t="n">
        <v>56733</v>
      </c>
      <c r="D2415" s="52" t="s">
        <v>5133</v>
      </c>
      <c r="E2415" s="52" t="s">
        <v>5134</v>
      </c>
      <c r="F2415" s="54" t="n">
        <v>20</v>
      </c>
      <c r="G2415" s="55" t="n">
        <v>42.2</v>
      </c>
      <c r="H2415" s="55" t="n">
        <v>2.11</v>
      </c>
      <c r="I2415" s="55" t="n">
        <v>2.11</v>
      </c>
      <c r="J2415" s="52" t="s">
        <v>5816</v>
      </c>
      <c r="K2415" s="56" t="n">
        <v>1</v>
      </c>
      <c r="L2415" s="52" t="s">
        <v>5816</v>
      </c>
      <c r="M2415" s="52" t="s">
        <v>38</v>
      </c>
    </row>
    <row r="2416" customFormat="false" ht="17.25" hidden="false" customHeight="true" outlineLevel="0" collapsed="false">
      <c r="A2416" s="52" t="s">
        <v>5777</v>
      </c>
      <c r="B2416" s="52" t="s">
        <v>5813</v>
      </c>
      <c r="C2416" s="53" t="n">
        <v>550168</v>
      </c>
      <c r="D2416" s="52" t="s">
        <v>5135</v>
      </c>
      <c r="E2416" s="52" t="s">
        <v>5136</v>
      </c>
      <c r="F2416" s="54" t="n">
        <v>10</v>
      </c>
      <c r="G2416" s="55" t="n">
        <v>42.1</v>
      </c>
      <c r="H2416" s="55" t="n">
        <v>4.21</v>
      </c>
      <c r="I2416" s="55" t="n">
        <v>4.21</v>
      </c>
      <c r="J2416" s="52" t="s">
        <v>5816</v>
      </c>
      <c r="K2416" s="56" t="n">
        <v>1</v>
      </c>
      <c r="L2416" s="52" t="s">
        <v>5816</v>
      </c>
      <c r="M2416" s="52" t="s">
        <v>189</v>
      </c>
    </row>
    <row r="2417" customFormat="false" ht="17.25" hidden="false" customHeight="true" outlineLevel="0" collapsed="false">
      <c r="A2417" s="52" t="s">
        <v>5777</v>
      </c>
      <c r="B2417" s="52" t="s">
        <v>5813</v>
      </c>
      <c r="C2417" s="53" t="n">
        <v>556795</v>
      </c>
      <c r="D2417" s="52" t="s">
        <v>5137</v>
      </c>
      <c r="E2417" s="52" t="s">
        <v>5138</v>
      </c>
      <c r="F2417" s="54" t="n">
        <v>1</v>
      </c>
      <c r="G2417" s="55" t="n">
        <v>41.98</v>
      </c>
      <c r="H2417" s="55" t="n">
        <v>41.98</v>
      </c>
      <c r="I2417" s="55" t="n">
        <v>41.98</v>
      </c>
      <c r="J2417" s="52" t="s">
        <v>5816</v>
      </c>
      <c r="K2417" s="56" t="n">
        <v>1</v>
      </c>
      <c r="L2417" s="52" t="s">
        <v>5816</v>
      </c>
      <c r="M2417" s="52" t="s">
        <v>130</v>
      </c>
    </row>
    <row r="2418" customFormat="false" ht="17.25" hidden="false" customHeight="true" outlineLevel="0" collapsed="false">
      <c r="A2418" s="52" t="s">
        <v>5777</v>
      </c>
      <c r="B2418" s="52" t="s">
        <v>5813</v>
      </c>
      <c r="C2418" s="53" t="n">
        <v>57792</v>
      </c>
      <c r="D2418" s="52" t="s">
        <v>5139</v>
      </c>
      <c r="E2418" s="52" t="s">
        <v>5140</v>
      </c>
      <c r="F2418" s="54" t="n">
        <v>6</v>
      </c>
      <c r="G2418" s="55" t="n">
        <v>41.88</v>
      </c>
      <c r="H2418" s="55" t="n">
        <v>6.98</v>
      </c>
      <c r="I2418" s="55" t="n">
        <v>6.98</v>
      </c>
      <c r="J2418" s="52" t="s">
        <v>5816</v>
      </c>
      <c r="K2418" s="56" t="n">
        <v>1</v>
      </c>
      <c r="L2418" s="52" t="s">
        <v>5816</v>
      </c>
      <c r="M2418" s="52" t="s">
        <v>100</v>
      </c>
    </row>
    <row r="2419" customFormat="false" ht="17.25" hidden="false" customHeight="true" outlineLevel="0" collapsed="false">
      <c r="A2419" s="52" t="s">
        <v>5777</v>
      </c>
      <c r="B2419" s="52" t="s">
        <v>5813</v>
      </c>
      <c r="C2419" s="53" t="n">
        <v>966284</v>
      </c>
      <c r="D2419" s="52" t="s">
        <v>5141</v>
      </c>
      <c r="E2419" s="52" t="s">
        <v>5142</v>
      </c>
      <c r="F2419" s="54" t="n">
        <v>6</v>
      </c>
      <c r="G2419" s="55" t="n">
        <v>41.88</v>
      </c>
      <c r="H2419" s="55" t="n">
        <v>6.98</v>
      </c>
      <c r="I2419" s="55" t="n">
        <v>6.98</v>
      </c>
      <c r="J2419" s="52" t="s">
        <v>5816</v>
      </c>
      <c r="K2419" s="56" t="n">
        <v>1</v>
      </c>
      <c r="L2419" s="52" t="s">
        <v>5816</v>
      </c>
      <c r="M2419" s="52" t="s">
        <v>100</v>
      </c>
    </row>
    <row r="2420" customFormat="false" ht="17.25" hidden="false" customHeight="true" outlineLevel="0" collapsed="false">
      <c r="A2420" s="52" t="s">
        <v>5777</v>
      </c>
      <c r="B2420" s="52" t="s">
        <v>5813</v>
      </c>
      <c r="C2420" s="53" t="n">
        <v>22994</v>
      </c>
      <c r="D2420" s="52" t="s">
        <v>5143</v>
      </c>
      <c r="E2420" s="52" t="s">
        <v>5144</v>
      </c>
      <c r="F2420" s="54" t="n">
        <v>4</v>
      </c>
      <c r="G2420" s="55" t="n">
        <v>41.84</v>
      </c>
      <c r="H2420" s="55" t="n">
        <v>10.46</v>
      </c>
      <c r="I2420" s="55" t="n">
        <v>10.46</v>
      </c>
      <c r="J2420" s="52" t="s">
        <v>5816</v>
      </c>
      <c r="K2420" s="56" t="n">
        <v>1</v>
      </c>
      <c r="L2420" s="52" t="s">
        <v>5816</v>
      </c>
      <c r="M2420" s="52" t="s">
        <v>38</v>
      </c>
    </row>
    <row r="2421" customFormat="false" ht="17.25" hidden="false" customHeight="true" outlineLevel="0" collapsed="false">
      <c r="A2421" s="52" t="s">
        <v>5777</v>
      </c>
      <c r="B2421" s="52" t="s">
        <v>5813</v>
      </c>
      <c r="C2421" s="53" t="n">
        <v>278518</v>
      </c>
      <c r="D2421" s="52" t="s">
        <v>5145</v>
      </c>
      <c r="E2421" s="52" t="s">
        <v>5146</v>
      </c>
      <c r="F2421" s="54" t="n">
        <v>4</v>
      </c>
      <c r="G2421" s="55" t="n">
        <v>41.84</v>
      </c>
      <c r="H2421" s="55" t="n">
        <v>10.46</v>
      </c>
      <c r="I2421" s="55" t="n">
        <v>10.46</v>
      </c>
      <c r="J2421" s="52" t="s">
        <v>5816</v>
      </c>
      <c r="K2421" s="56" t="n">
        <v>1</v>
      </c>
      <c r="L2421" s="52" t="s">
        <v>5816</v>
      </c>
      <c r="M2421" s="52" t="s">
        <v>38</v>
      </c>
    </row>
    <row r="2422" customFormat="false" ht="17.25" hidden="false" customHeight="true" outlineLevel="0" collapsed="false">
      <c r="A2422" s="52" t="s">
        <v>5777</v>
      </c>
      <c r="B2422" s="52" t="s">
        <v>5813</v>
      </c>
      <c r="C2422" s="53" t="n">
        <v>14346</v>
      </c>
      <c r="D2422" s="52" t="s">
        <v>5147</v>
      </c>
      <c r="E2422" s="52" t="s">
        <v>5148</v>
      </c>
      <c r="F2422" s="54" t="n">
        <v>20</v>
      </c>
      <c r="G2422" s="55" t="n">
        <v>41.8</v>
      </c>
      <c r="H2422" s="55" t="n">
        <v>2.09</v>
      </c>
      <c r="I2422" s="55" t="n">
        <v>2.09</v>
      </c>
      <c r="J2422" s="52" t="s">
        <v>5816</v>
      </c>
      <c r="K2422" s="56" t="n">
        <v>1</v>
      </c>
      <c r="L2422" s="52" t="s">
        <v>5816</v>
      </c>
      <c r="M2422" s="52" t="s">
        <v>38</v>
      </c>
    </row>
    <row r="2423" customFormat="false" ht="17.25" hidden="false" customHeight="true" outlineLevel="0" collapsed="false">
      <c r="A2423" s="52" t="s">
        <v>5777</v>
      </c>
      <c r="B2423" s="52" t="s">
        <v>5813</v>
      </c>
      <c r="C2423" s="53" t="n">
        <v>1322826</v>
      </c>
      <c r="D2423" s="52" t="s">
        <v>5149</v>
      </c>
      <c r="E2423" s="52" t="s">
        <v>5150</v>
      </c>
      <c r="F2423" s="54" t="n">
        <v>39</v>
      </c>
      <c r="G2423" s="55" t="n">
        <v>41.73</v>
      </c>
      <c r="H2423" s="55" t="n">
        <v>1.07</v>
      </c>
      <c r="I2423" s="55" t="n">
        <v>1.07</v>
      </c>
      <c r="J2423" s="52" t="s">
        <v>5816</v>
      </c>
      <c r="K2423" s="56" t="n">
        <v>1</v>
      </c>
      <c r="L2423" s="52" t="s">
        <v>5816</v>
      </c>
      <c r="M2423" s="52" t="s">
        <v>38</v>
      </c>
    </row>
    <row r="2424" customFormat="false" ht="17.25" hidden="false" customHeight="true" outlineLevel="0" collapsed="false">
      <c r="A2424" s="52" t="s">
        <v>5777</v>
      </c>
      <c r="B2424" s="52" t="s">
        <v>5813</v>
      </c>
      <c r="C2424" s="53" t="n">
        <v>1330450</v>
      </c>
      <c r="D2424" s="52" t="s">
        <v>5151</v>
      </c>
      <c r="E2424" s="52" t="s">
        <v>5995</v>
      </c>
      <c r="F2424" s="54" t="n">
        <v>2</v>
      </c>
      <c r="G2424" s="55" t="n">
        <v>41.68</v>
      </c>
      <c r="H2424" s="55" t="n">
        <v>20.84</v>
      </c>
      <c r="I2424" s="55" t="n">
        <v>20.84</v>
      </c>
      <c r="J2424" s="52" t="s">
        <v>5816</v>
      </c>
      <c r="K2424" s="56" t="n">
        <v>1</v>
      </c>
      <c r="L2424" s="52" t="s">
        <v>5816</v>
      </c>
      <c r="M2424" s="52" t="s">
        <v>54</v>
      </c>
    </row>
    <row r="2425" customFormat="false" ht="17.25" hidden="false" customHeight="true" outlineLevel="0" collapsed="false">
      <c r="A2425" s="52" t="s">
        <v>5777</v>
      </c>
      <c r="B2425" s="52" t="s">
        <v>5813</v>
      </c>
      <c r="C2425" s="53" t="n">
        <v>1383809</v>
      </c>
      <c r="D2425" s="52" t="s">
        <v>5153</v>
      </c>
      <c r="E2425" s="52" t="s">
        <v>5154</v>
      </c>
      <c r="F2425" s="54" t="n">
        <v>9</v>
      </c>
      <c r="G2425" s="55" t="n">
        <v>41.59</v>
      </c>
      <c r="H2425" s="55" t="n">
        <v>4.6211</v>
      </c>
      <c r="I2425" s="55" t="n">
        <v>3.13</v>
      </c>
      <c r="J2425" s="52" t="s">
        <v>5816</v>
      </c>
      <c r="K2425" s="56" t="n">
        <v>1</v>
      </c>
      <c r="L2425" s="52" t="s">
        <v>5816</v>
      </c>
      <c r="M2425" s="52" t="s">
        <v>100</v>
      </c>
    </row>
    <row r="2426" customFormat="false" ht="17.25" hidden="false" customHeight="true" outlineLevel="0" collapsed="false">
      <c r="A2426" s="52" t="s">
        <v>5777</v>
      </c>
      <c r="B2426" s="52" t="s">
        <v>5813</v>
      </c>
      <c r="C2426" s="53" t="n">
        <v>1485510</v>
      </c>
      <c r="D2426" s="52" t="s">
        <v>5155</v>
      </c>
      <c r="E2426" s="52" t="s">
        <v>5156</v>
      </c>
      <c r="F2426" s="54" t="n">
        <v>12</v>
      </c>
      <c r="G2426" s="55" t="n">
        <v>41.52</v>
      </c>
      <c r="H2426" s="55" t="n">
        <v>3.46</v>
      </c>
      <c r="I2426" s="55" t="n">
        <v>3.46</v>
      </c>
      <c r="J2426" s="52" t="s">
        <v>5816</v>
      </c>
      <c r="K2426" s="56" t="n">
        <v>1</v>
      </c>
      <c r="L2426" s="52" t="s">
        <v>5816</v>
      </c>
      <c r="M2426" s="52" t="s">
        <v>38</v>
      </c>
    </row>
    <row r="2427" customFormat="false" ht="17.25" hidden="false" customHeight="true" outlineLevel="0" collapsed="false">
      <c r="A2427" s="52" t="s">
        <v>5777</v>
      </c>
      <c r="B2427" s="52" t="s">
        <v>5813</v>
      </c>
      <c r="C2427" s="53" t="n">
        <v>520105</v>
      </c>
      <c r="D2427" s="52" t="s">
        <v>5157</v>
      </c>
      <c r="E2427" s="52" t="s">
        <v>5158</v>
      </c>
      <c r="F2427" s="54" t="n">
        <v>24</v>
      </c>
      <c r="G2427" s="55" t="n">
        <v>40.8</v>
      </c>
      <c r="H2427" s="55" t="n">
        <v>1.7</v>
      </c>
      <c r="I2427" s="55" t="n">
        <v>1.7</v>
      </c>
      <c r="J2427" s="52" t="s">
        <v>5816</v>
      </c>
      <c r="K2427" s="56" t="n">
        <v>1</v>
      </c>
      <c r="L2427" s="52" t="s">
        <v>5816</v>
      </c>
      <c r="M2427" s="52" t="s">
        <v>100</v>
      </c>
    </row>
    <row r="2428" customFormat="false" ht="17.25" hidden="false" customHeight="true" outlineLevel="0" collapsed="false">
      <c r="A2428" s="52" t="s">
        <v>5777</v>
      </c>
      <c r="B2428" s="52" t="s">
        <v>5813</v>
      </c>
      <c r="C2428" s="53" t="n">
        <v>604202</v>
      </c>
      <c r="D2428" s="52" t="s">
        <v>5159</v>
      </c>
      <c r="E2428" s="52" t="s">
        <v>5160</v>
      </c>
      <c r="F2428" s="54" t="n">
        <v>1</v>
      </c>
      <c r="G2428" s="55" t="n">
        <v>40.64</v>
      </c>
      <c r="H2428" s="55" t="n">
        <v>40.64</v>
      </c>
      <c r="I2428" s="55" t="n">
        <v>40.64</v>
      </c>
      <c r="J2428" s="52" t="s">
        <v>5816</v>
      </c>
      <c r="K2428" s="56" t="n">
        <v>1</v>
      </c>
      <c r="L2428" s="52" t="s">
        <v>5816</v>
      </c>
      <c r="M2428" s="52" t="s">
        <v>1618</v>
      </c>
    </row>
    <row r="2429" customFormat="false" ht="17.25" hidden="false" customHeight="true" outlineLevel="0" collapsed="false">
      <c r="A2429" s="52" t="s">
        <v>5777</v>
      </c>
      <c r="B2429" s="52" t="s">
        <v>5813</v>
      </c>
      <c r="C2429" s="53" t="n">
        <v>1467943</v>
      </c>
      <c r="D2429" s="52" t="s">
        <v>5161</v>
      </c>
      <c r="E2429" s="52" t="s">
        <v>5162</v>
      </c>
      <c r="F2429" s="54" t="n">
        <v>4</v>
      </c>
      <c r="G2429" s="55" t="n">
        <v>40</v>
      </c>
      <c r="H2429" s="55" t="n">
        <v>10</v>
      </c>
      <c r="I2429" s="55" t="n">
        <v>10</v>
      </c>
      <c r="J2429" s="52" t="s">
        <v>5816</v>
      </c>
      <c r="K2429" s="56" t="n">
        <v>1</v>
      </c>
      <c r="L2429" s="52" t="s">
        <v>5816</v>
      </c>
      <c r="M2429" s="52" t="s">
        <v>2056</v>
      </c>
    </row>
    <row r="2430" customFormat="false" ht="17.25" hidden="false" customHeight="true" outlineLevel="0" collapsed="false">
      <c r="A2430" s="52" t="s">
        <v>5777</v>
      </c>
      <c r="B2430" s="52" t="s">
        <v>5813</v>
      </c>
      <c r="C2430" s="53" t="n">
        <v>1331021</v>
      </c>
      <c r="D2430" s="52" t="s">
        <v>5163</v>
      </c>
      <c r="E2430" s="52" t="s">
        <v>5164</v>
      </c>
      <c r="F2430" s="54" t="n">
        <v>1</v>
      </c>
      <c r="G2430" s="55" t="n">
        <v>39.99</v>
      </c>
      <c r="H2430" s="55" t="n">
        <v>39.99</v>
      </c>
      <c r="I2430" s="55" t="n">
        <v>39.99</v>
      </c>
      <c r="J2430" s="52" t="s">
        <v>5816</v>
      </c>
      <c r="K2430" s="56" t="n">
        <v>1</v>
      </c>
      <c r="L2430" s="52" t="s">
        <v>5816</v>
      </c>
      <c r="M2430" s="52" t="s">
        <v>4295</v>
      </c>
    </row>
    <row r="2431" customFormat="false" ht="17.25" hidden="false" customHeight="true" outlineLevel="0" collapsed="false">
      <c r="A2431" s="52" t="s">
        <v>5777</v>
      </c>
      <c r="B2431" s="52" t="s">
        <v>5813</v>
      </c>
      <c r="C2431" s="53" t="n">
        <v>22128</v>
      </c>
      <c r="D2431" s="52" t="s">
        <v>5165</v>
      </c>
      <c r="E2431" s="52" t="s">
        <v>5166</v>
      </c>
      <c r="F2431" s="54" t="n">
        <v>1</v>
      </c>
      <c r="G2431" s="55" t="n">
        <v>39.98</v>
      </c>
      <c r="H2431" s="55" t="n">
        <v>39.98</v>
      </c>
      <c r="I2431" s="55" t="n">
        <v>39.98</v>
      </c>
      <c r="J2431" s="52" t="s">
        <v>5816</v>
      </c>
      <c r="K2431" s="56" t="n">
        <v>1</v>
      </c>
      <c r="L2431" s="52" t="s">
        <v>5816</v>
      </c>
      <c r="M2431" s="52" t="s">
        <v>334</v>
      </c>
    </row>
    <row r="2432" customFormat="false" ht="17.25" hidden="false" customHeight="true" outlineLevel="0" collapsed="false">
      <c r="A2432" s="52" t="s">
        <v>5777</v>
      </c>
      <c r="B2432" s="52" t="s">
        <v>5813</v>
      </c>
      <c r="C2432" s="53" t="n">
        <v>429117</v>
      </c>
      <c r="D2432" s="52" t="s">
        <v>5167</v>
      </c>
      <c r="E2432" s="52" t="s">
        <v>5168</v>
      </c>
      <c r="F2432" s="54" t="n">
        <v>1</v>
      </c>
      <c r="G2432" s="55" t="n">
        <v>39.98</v>
      </c>
      <c r="H2432" s="55" t="n">
        <v>39.98</v>
      </c>
      <c r="I2432" s="55" t="n">
        <v>39.98</v>
      </c>
      <c r="J2432" s="52" t="s">
        <v>5816</v>
      </c>
      <c r="K2432" s="56" t="n">
        <v>1</v>
      </c>
      <c r="L2432" s="52" t="s">
        <v>5816</v>
      </c>
      <c r="M2432" s="52" t="s">
        <v>1095</v>
      </c>
    </row>
    <row r="2433" customFormat="false" ht="17.25" hidden="false" customHeight="true" outlineLevel="0" collapsed="false">
      <c r="A2433" s="52" t="s">
        <v>5777</v>
      </c>
      <c r="B2433" s="52" t="s">
        <v>5813</v>
      </c>
      <c r="C2433" s="53" t="n">
        <v>861122</v>
      </c>
      <c r="D2433" s="52" t="s">
        <v>5169</v>
      </c>
      <c r="E2433" s="52" t="s">
        <v>5170</v>
      </c>
      <c r="F2433" s="54" t="n">
        <v>2</v>
      </c>
      <c r="G2433" s="55" t="n">
        <v>39.98</v>
      </c>
      <c r="H2433" s="55" t="n">
        <v>19.99</v>
      </c>
      <c r="I2433" s="55" t="n">
        <v>19.99</v>
      </c>
      <c r="J2433" s="52" t="s">
        <v>5816</v>
      </c>
      <c r="K2433" s="56" t="n">
        <v>1</v>
      </c>
      <c r="L2433" s="52" t="s">
        <v>5816</v>
      </c>
      <c r="M2433" s="52" t="s">
        <v>2056</v>
      </c>
    </row>
    <row r="2434" customFormat="false" ht="17.25" hidden="false" customHeight="true" outlineLevel="0" collapsed="false">
      <c r="A2434" s="52" t="s">
        <v>5777</v>
      </c>
      <c r="B2434" s="52" t="s">
        <v>5813</v>
      </c>
      <c r="C2434" s="53" t="n">
        <v>23321</v>
      </c>
      <c r="D2434" s="52" t="s">
        <v>5171</v>
      </c>
      <c r="E2434" s="52" t="s">
        <v>5172</v>
      </c>
      <c r="F2434" s="54" t="n">
        <v>2</v>
      </c>
      <c r="G2434" s="55" t="n">
        <v>39.96</v>
      </c>
      <c r="H2434" s="55" t="n">
        <v>19.98</v>
      </c>
      <c r="I2434" s="55" t="n">
        <v>19.98</v>
      </c>
      <c r="J2434" s="52" t="s">
        <v>5816</v>
      </c>
      <c r="K2434" s="56" t="n">
        <v>1</v>
      </c>
      <c r="L2434" s="52" t="s">
        <v>5816</v>
      </c>
      <c r="M2434" s="52" t="s">
        <v>38</v>
      </c>
    </row>
    <row r="2435" customFormat="false" ht="17.25" hidden="false" customHeight="true" outlineLevel="0" collapsed="false">
      <c r="A2435" s="52" t="s">
        <v>5777</v>
      </c>
      <c r="B2435" s="52" t="s">
        <v>5813</v>
      </c>
      <c r="C2435" s="53" t="n">
        <v>1327594</v>
      </c>
      <c r="D2435" s="52" t="s">
        <v>5173</v>
      </c>
      <c r="E2435" s="52" t="s">
        <v>5174</v>
      </c>
      <c r="F2435" s="54" t="n">
        <v>2</v>
      </c>
      <c r="G2435" s="55" t="n">
        <v>39.96</v>
      </c>
      <c r="H2435" s="55" t="n">
        <v>19.98</v>
      </c>
      <c r="I2435" s="55" t="n">
        <v>19.98</v>
      </c>
      <c r="J2435" s="52" t="s">
        <v>5816</v>
      </c>
      <c r="K2435" s="56" t="n">
        <v>1</v>
      </c>
      <c r="L2435" s="52" t="s">
        <v>5816</v>
      </c>
      <c r="M2435" s="52" t="s">
        <v>54</v>
      </c>
    </row>
    <row r="2436" customFormat="false" ht="17.25" hidden="false" customHeight="true" outlineLevel="0" collapsed="false">
      <c r="A2436" s="52" t="s">
        <v>5777</v>
      </c>
      <c r="B2436" s="52" t="s">
        <v>5813</v>
      </c>
      <c r="C2436" s="53" t="n">
        <v>1484084</v>
      </c>
      <c r="D2436" s="52" t="s">
        <v>5175</v>
      </c>
      <c r="E2436" s="52" t="s">
        <v>5176</v>
      </c>
      <c r="F2436" s="54" t="n">
        <v>54</v>
      </c>
      <c r="G2436" s="55" t="n">
        <v>39.96</v>
      </c>
      <c r="H2436" s="55" t="n">
        <v>0.74</v>
      </c>
      <c r="I2436" s="55" t="n">
        <v>0.74</v>
      </c>
      <c r="J2436" s="52" t="s">
        <v>5816</v>
      </c>
      <c r="K2436" s="56" t="n">
        <v>1</v>
      </c>
      <c r="L2436" s="52" t="s">
        <v>5816</v>
      </c>
      <c r="M2436" s="52" t="s">
        <v>100</v>
      </c>
    </row>
    <row r="2437" customFormat="false" ht="17.25" hidden="false" customHeight="true" outlineLevel="0" collapsed="false">
      <c r="A2437" s="52" t="s">
        <v>5777</v>
      </c>
      <c r="B2437" s="52" t="s">
        <v>5813</v>
      </c>
      <c r="C2437" s="53" t="n">
        <v>1599712</v>
      </c>
      <c r="D2437" s="52" t="s">
        <v>5177</v>
      </c>
      <c r="E2437" s="52" t="s">
        <v>5178</v>
      </c>
      <c r="F2437" s="54" t="n">
        <v>4</v>
      </c>
      <c r="G2437" s="55" t="n">
        <v>39.92</v>
      </c>
      <c r="H2437" s="55" t="n">
        <v>9.98</v>
      </c>
      <c r="I2437" s="55" t="n">
        <v>12.98</v>
      </c>
      <c r="J2437" s="52" t="s">
        <v>5816</v>
      </c>
      <c r="K2437" s="56" t="n">
        <v>1</v>
      </c>
      <c r="L2437" s="52" t="s">
        <v>5816</v>
      </c>
      <c r="M2437" s="52" t="s">
        <v>54</v>
      </c>
    </row>
    <row r="2438" customFormat="false" ht="17.25" hidden="false" customHeight="true" outlineLevel="0" collapsed="false">
      <c r="A2438" s="52" t="s">
        <v>5777</v>
      </c>
      <c r="B2438" s="52" t="s">
        <v>5813</v>
      </c>
      <c r="C2438" s="53" t="n">
        <v>16230</v>
      </c>
      <c r="D2438" s="52" t="s">
        <v>5179</v>
      </c>
      <c r="E2438" s="52" t="s">
        <v>5180</v>
      </c>
      <c r="F2438" s="54" t="n">
        <v>5</v>
      </c>
      <c r="G2438" s="55" t="n">
        <v>39.9</v>
      </c>
      <c r="H2438" s="55" t="n">
        <v>7.98</v>
      </c>
      <c r="I2438" s="55" t="n">
        <v>7.98</v>
      </c>
      <c r="J2438" s="52" t="s">
        <v>5816</v>
      </c>
      <c r="K2438" s="56" t="n">
        <v>1</v>
      </c>
      <c r="L2438" s="52" t="s">
        <v>5816</v>
      </c>
      <c r="M2438" s="52" t="s">
        <v>54</v>
      </c>
    </row>
    <row r="2439" customFormat="false" ht="17.25" hidden="false" customHeight="true" outlineLevel="0" collapsed="false">
      <c r="A2439" s="52" t="s">
        <v>5777</v>
      </c>
      <c r="B2439" s="52" t="s">
        <v>5813</v>
      </c>
      <c r="C2439" s="53" t="n">
        <v>846343</v>
      </c>
      <c r="D2439" s="52" t="s">
        <v>5181</v>
      </c>
      <c r="E2439" s="52" t="s">
        <v>5182</v>
      </c>
      <c r="F2439" s="54" t="n">
        <v>2</v>
      </c>
      <c r="G2439" s="55" t="n">
        <v>39.9</v>
      </c>
      <c r="H2439" s="55" t="n">
        <v>19.95</v>
      </c>
      <c r="I2439" s="55" t="n">
        <v>19.95</v>
      </c>
      <c r="J2439" s="52" t="s">
        <v>5816</v>
      </c>
      <c r="K2439" s="56" t="n">
        <v>1</v>
      </c>
      <c r="L2439" s="52" t="s">
        <v>5816</v>
      </c>
      <c r="M2439" s="52" t="s">
        <v>457</v>
      </c>
    </row>
    <row r="2440" customFormat="false" ht="17.25" hidden="false" customHeight="true" outlineLevel="0" collapsed="false">
      <c r="A2440" s="52" t="s">
        <v>5777</v>
      </c>
      <c r="B2440" s="52" t="s">
        <v>5813</v>
      </c>
      <c r="C2440" s="53" t="n">
        <v>65916</v>
      </c>
      <c r="D2440" s="52" t="s">
        <v>5183</v>
      </c>
      <c r="E2440" s="52" t="s">
        <v>5184</v>
      </c>
      <c r="F2440" s="54" t="n">
        <v>10</v>
      </c>
      <c r="G2440" s="55" t="n">
        <v>39.3</v>
      </c>
      <c r="H2440" s="55" t="n">
        <v>3.93</v>
      </c>
      <c r="I2440" s="55" t="n">
        <v>3.93</v>
      </c>
      <c r="J2440" s="52" t="s">
        <v>5816</v>
      </c>
      <c r="K2440" s="56" t="n">
        <v>1</v>
      </c>
      <c r="L2440" s="52" t="s">
        <v>5816</v>
      </c>
      <c r="M2440" s="52" t="s">
        <v>1618</v>
      </c>
    </row>
    <row r="2441" customFormat="false" ht="17.25" hidden="false" customHeight="true" outlineLevel="0" collapsed="false">
      <c r="A2441" s="52" t="s">
        <v>5777</v>
      </c>
      <c r="B2441" s="52" t="s">
        <v>5813</v>
      </c>
      <c r="C2441" s="53" t="n">
        <v>55918</v>
      </c>
      <c r="D2441" s="52" t="s">
        <v>5185</v>
      </c>
      <c r="E2441" s="52" t="s">
        <v>5186</v>
      </c>
      <c r="F2441" s="54" t="n">
        <v>12</v>
      </c>
      <c r="G2441" s="55" t="n">
        <v>39.12</v>
      </c>
      <c r="H2441" s="55" t="n">
        <v>3.26</v>
      </c>
      <c r="I2441" s="55" t="n">
        <v>3.26</v>
      </c>
      <c r="J2441" s="52" t="s">
        <v>5816</v>
      </c>
      <c r="K2441" s="56" t="n">
        <v>1</v>
      </c>
      <c r="L2441" s="52" t="s">
        <v>5816</v>
      </c>
      <c r="M2441" s="52" t="s">
        <v>100</v>
      </c>
    </row>
    <row r="2442" customFormat="false" ht="17.25" hidden="false" customHeight="true" outlineLevel="0" collapsed="false">
      <c r="A2442" s="52" t="s">
        <v>5777</v>
      </c>
      <c r="B2442" s="52" t="s">
        <v>5813</v>
      </c>
      <c r="C2442" s="53" t="n">
        <v>1329748</v>
      </c>
      <c r="D2442" s="52" t="s">
        <v>5187</v>
      </c>
      <c r="E2442" s="52" t="s">
        <v>5188</v>
      </c>
      <c r="F2442" s="54" t="n">
        <v>50</v>
      </c>
      <c r="G2442" s="55" t="n">
        <v>39</v>
      </c>
      <c r="H2442" s="55" t="n">
        <v>0.78</v>
      </c>
      <c r="I2442" s="55" t="n">
        <v>0.78</v>
      </c>
      <c r="J2442" s="52" t="s">
        <v>5816</v>
      </c>
      <c r="K2442" s="56" t="n">
        <v>1</v>
      </c>
      <c r="L2442" s="52" t="s">
        <v>5816</v>
      </c>
      <c r="M2442" s="52" t="s">
        <v>100</v>
      </c>
    </row>
    <row r="2443" customFormat="false" ht="17.25" hidden="false" customHeight="true" outlineLevel="0" collapsed="false">
      <c r="A2443" s="52" t="s">
        <v>5777</v>
      </c>
      <c r="B2443" s="52" t="s">
        <v>5813</v>
      </c>
      <c r="C2443" s="53" t="n">
        <v>1462798</v>
      </c>
      <c r="D2443" s="52" t="s">
        <v>5189</v>
      </c>
      <c r="E2443" s="52" t="s">
        <v>5190</v>
      </c>
      <c r="F2443" s="54" t="n">
        <v>50</v>
      </c>
      <c r="G2443" s="55" t="n">
        <v>39</v>
      </c>
      <c r="H2443" s="55" t="n">
        <v>0.78</v>
      </c>
      <c r="I2443" s="55" t="n">
        <v>0.78</v>
      </c>
      <c r="J2443" s="52" t="s">
        <v>5816</v>
      </c>
      <c r="K2443" s="56" t="n">
        <v>1</v>
      </c>
      <c r="L2443" s="52" t="s">
        <v>5816</v>
      </c>
      <c r="M2443" s="52" t="s">
        <v>100</v>
      </c>
    </row>
    <row r="2444" customFormat="false" ht="17.25" hidden="false" customHeight="true" outlineLevel="0" collapsed="false">
      <c r="A2444" s="52" t="s">
        <v>5777</v>
      </c>
      <c r="B2444" s="52" t="s">
        <v>5813</v>
      </c>
      <c r="C2444" s="53" t="n">
        <v>1657129</v>
      </c>
      <c r="D2444" s="52" t="s">
        <v>5191</v>
      </c>
      <c r="E2444" s="52" t="s">
        <v>5192</v>
      </c>
      <c r="F2444" s="54" t="n">
        <v>2</v>
      </c>
      <c r="G2444" s="55" t="n">
        <v>39</v>
      </c>
      <c r="H2444" s="55" t="n">
        <v>19.5</v>
      </c>
      <c r="I2444" s="55" t="n">
        <v>19.5</v>
      </c>
      <c r="J2444" s="52" t="s">
        <v>5816</v>
      </c>
      <c r="K2444" s="56" t="n">
        <v>1</v>
      </c>
      <c r="L2444" s="52" t="s">
        <v>5816</v>
      </c>
      <c r="M2444" s="52" t="s">
        <v>100</v>
      </c>
    </row>
    <row r="2445" customFormat="false" ht="17.25" hidden="false" customHeight="true" outlineLevel="0" collapsed="false">
      <c r="A2445" s="52" t="s">
        <v>5777</v>
      </c>
      <c r="B2445" s="52" t="s">
        <v>5813</v>
      </c>
      <c r="C2445" s="53" t="n">
        <v>1461937</v>
      </c>
      <c r="D2445" s="52" t="s">
        <v>5193</v>
      </c>
      <c r="E2445" s="52" t="s">
        <v>5194</v>
      </c>
      <c r="F2445" s="54" t="n">
        <v>3</v>
      </c>
      <c r="G2445" s="55" t="n">
        <v>38.94</v>
      </c>
      <c r="H2445" s="55" t="n">
        <v>12.98</v>
      </c>
      <c r="I2445" s="55" t="n">
        <v>12.98</v>
      </c>
      <c r="J2445" s="52" t="s">
        <v>5816</v>
      </c>
      <c r="K2445" s="56" t="n">
        <v>1</v>
      </c>
      <c r="L2445" s="52" t="s">
        <v>5816</v>
      </c>
      <c r="M2445" s="52" t="s">
        <v>38</v>
      </c>
    </row>
    <row r="2446" customFormat="false" ht="17.25" hidden="false" customHeight="true" outlineLevel="0" collapsed="false">
      <c r="A2446" s="52" t="s">
        <v>5777</v>
      </c>
      <c r="B2446" s="52" t="s">
        <v>5813</v>
      </c>
      <c r="C2446" s="53" t="n">
        <v>33546</v>
      </c>
      <c r="D2446" s="52" t="s">
        <v>5195</v>
      </c>
      <c r="E2446" s="52" t="s">
        <v>5196</v>
      </c>
      <c r="F2446" s="54" t="n">
        <v>13</v>
      </c>
      <c r="G2446" s="55" t="n">
        <v>38.74</v>
      </c>
      <c r="H2446" s="55" t="n">
        <v>2.98</v>
      </c>
      <c r="I2446" s="55" t="n">
        <v>2.98</v>
      </c>
      <c r="J2446" s="52" t="s">
        <v>5816</v>
      </c>
      <c r="K2446" s="56" t="n">
        <v>1</v>
      </c>
      <c r="L2446" s="52" t="s">
        <v>5816</v>
      </c>
      <c r="M2446" s="52" t="s">
        <v>100</v>
      </c>
    </row>
    <row r="2447" customFormat="false" ht="17.25" hidden="false" customHeight="true" outlineLevel="0" collapsed="false">
      <c r="A2447" s="52" t="s">
        <v>5777</v>
      </c>
      <c r="B2447" s="52" t="s">
        <v>5813</v>
      </c>
      <c r="C2447" s="53" t="n">
        <v>276673</v>
      </c>
      <c r="D2447" s="52" t="s">
        <v>5197</v>
      </c>
      <c r="E2447" s="52" t="s">
        <v>5198</v>
      </c>
      <c r="F2447" s="54" t="n">
        <v>150</v>
      </c>
      <c r="G2447" s="55" t="n">
        <v>38.5</v>
      </c>
      <c r="H2447" s="55" t="n">
        <v>0.2567</v>
      </c>
      <c r="I2447" s="55" t="n">
        <v>0.23</v>
      </c>
      <c r="J2447" s="52" t="s">
        <v>5816</v>
      </c>
      <c r="K2447" s="56" t="n">
        <v>1</v>
      </c>
      <c r="L2447" s="52" t="s">
        <v>5816</v>
      </c>
      <c r="M2447" s="52" t="s">
        <v>38</v>
      </c>
    </row>
    <row r="2448" customFormat="false" ht="17.25" hidden="false" customHeight="true" outlineLevel="0" collapsed="false">
      <c r="A2448" s="52" t="s">
        <v>5777</v>
      </c>
      <c r="B2448" s="52" t="s">
        <v>5813</v>
      </c>
      <c r="C2448" s="53" t="n">
        <v>1660995</v>
      </c>
      <c r="D2448" s="52" t="s">
        <v>5199</v>
      </c>
      <c r="E2448" s="52" t="s">
        <v>5200</v>
      </c>
      <c r="F2448" s="54" t="n">
        <v>15</v>
      </c>
      <c r="G2448" s="55" t="n">
        <v>38.1</v>
      </c>
      <c r="H2448" s="55" t="n">
        <v>2.54</v>
      </c>
      <c r="I2448" s="55" t="n">
        <v>2.54</v>
      </c>
      <c r="J2448" s="52" t="s">
        <v>5816</v>
      </c>
      <c r="K2448" s="56" t="n">
        <v>1</v>
      </c>
      <c r="L2448" s="52" t="s">
        <v>5816</v>
      </c>
      <c r="M2448" s="52" t="s">
        <v>38</v>
      </c>
    </row>
    <row r="2449" customFormat="false" ht="17.25" hidden="false" customHeight="true" outlineLevel="0" collapsed="false">
      <c r="A2449" s="52" t="s">
        <v>5777</v>
      </c>
      <c r="B2449" s="52" t="s">
        <v>5813</v>
      </c>
      <c r="C2449" s="53" t="n">
        <v>389938</v>
      </c>
      <c r="D2449" s="52" t="s">
        <v>5201</v>
      </c>
      <c r="E2449" s="52" t="s">
        <v>5202</v>
      </c>
      <c r="F2449" s="54" t="n">
        <v>2</v>
      </c>
      <c r="G2449" s="55" t="n">
        <v>38.06</v>
      </c>
      <c r="H2449" s="55" t="n">
        <v>19.03</v>
      </c>
      <c r="I2449" s="55" t="n">
        <v>19.03</v>
      </c>
      <c r="J2449" s="52" t="s">
        <v>5816</v>
      </c>
      <c r="K2449" s="56" t="n">
        <v>1</v>
      </c>
      <c r="L2449" s="52" t="s">
        <v>5816</v>
      </c>
      <c r="M2449" s="52" t="s">
        <v>2056</v>
      </c>
    </row>
    <row r="2450" customFormat="false" ht="17.25" hidden="false" customHeight="true" outlineLevel="0" collapsed="false">
      <c r="A2450" s="52" t="s">
        <v>5777</v>
      </c>
      <c r="B2450" s="52" t="s">
        <v>5813</v>
      </c>
      <c r="C2450" s="53" t="n">
        <v>22123</v>
      </c>
      <c r="D2450" s="52" t="s">
        <v>5203</v>
      </c>
      <c r="E2450" s="52" t="s">
        <v>5204</v>
      </c>
      <c r="F2450" s="54" t="n">
        <v>1</v>
      </c>
      <c r="G2450" s="55" t="n">
        <v>38</v>
      </c>
      <c r="H2450" s="55" t="n">
        <v>38</v>
      </c>
      <c r="I2450" s="55" t="n">
        <v>38</v>
      </c>
      <c r="J2450" s="52" t="s">
        <v>5816</v>
      </c>
      <c r="K2450" s="56" t="n">
        <v>1</v>
      </c>
      <c r="L2450" s="52" t="s">
        <v>5816</v>
      </c>
      <c r="M2450" s="52" t="s">
        <v>189</v>
      </c>
    </row>
    <row r="2451" customFormat="false" ht="17.25" hidden="false" customHeight="true" outlineLevel="0" collapsed="false">
      <c r="A2451" s="52" t="s">
        <v>5777</v>
      </c>
      <c r="B2451" s="52" t="s">
        <v>5813</v>
      </c>
      <c r="C2451" s="53" t="n">
        <v>1461939</v>
      </c>
      <c r="D2451" s="52" t="s">
        <v>5205</v>
      </c>
      <c r="E2451" s="52" t="s">
        <v>5206</v>
      </c>
      <c r="F2451" s="54" t="n">
        <v>1</v>
      </c>
      <c r="G2451" s="55" t="n">
        <v>38</v>
      </c>
      <c r="H2451" s="55" t="n">
        <v>38</v>
      </c>
      <c r="I2451" s="55" t="n">
        <v>38</v>
      </c>
      <c r="J2451" s="52" t="s">
        <v>5816</v>
      </c>
      <c r="K2451" s="56" t="n">
        <v>1</v>
      </c>
      <c r="L2451" s="52" t="s">
        <v>5816</v>
      </c>
      <c r="M2451" s="52" t="s">
        <v>38</v>
      </c>
    </row>
    <row r="2452" customFormat="false" ht="17.25" hidden="false" customHeight="true" outlineLevel="0" collapsed="false">
      <c r="A2452" s="52" t="s">
        <v>5777</v>
      </c>
      <c r="B2452" s="52" t="s">
        <v>5813</v>
      </c>
      <c r="C2452" s="53" t="n">
        <v>1668929</v>
      </c>
      <c r="D2452" s="52" t="s">
        <v>5207</v>
      </c>
      <c r="E2452" s="52" t="s">
        <v>5208</v>
      </c>
      <c r="F2452" s="54" t="n">
        <v>2.35</v>
      </c>
      <c r="G2452" s="55" t="n">
        <v>37.98</v>
      </c>
      <c r="H2452" s="55" t="n">
        <v>16.1617</v>
      </c>
      <c r="I2452" s="55" t="n">
        <v>12</v>
      </c>
      <c r="J2452" s="52" t="s">
        <v>5816</v>
      </c>
      <c r="K2452" s="56" t="n">
        <v>1</v>
      </c>
      <c r="L2452" s="52" t="s">
        <v>5816</v>
      </c>
      <c r="M2452" s="52" t="s">
        <v>457</v>
      </c>
    </row>
    <row r="2453" customFormat="false" ht="17.25" hidden="false" customHeight="true" outlineLevel="0" collapsed="false">
      <c r="A2453" s="52" t="s">
        <v>5777</v>
      </c>
      <c r="B2453" s="52" t="s">
        <v>5813</v>
      </c>
      <c r="C2453" s="53" t="n">
        <v>275389</v>
      </c>
      <c r="D2453" s="52" t="s">
        <v>5209</v>
      </c>
      <c r="E2453" s="52" t="s">
        <v>5210</v>
      </c>
      <c r="F2453" s="54" t="n">
        <v>250</v>
      </c>
      <c r="G2453" s="55" t="n">
        <v>37.5</v>
      </c>
      <c r="H2453" s="55" t="n">
        <v>0.15</v>
      </c>
      <c r="I2453" s="55" t="n">
        <v>0.15</v>
      </c>
      <c r="J2453" s="52" t="s">
        <v>5816</v>
      </c>
      <c r="K2453" s="56" t="n">
        <v>1</v>
      </c>
      <c r="L2453" s="52" t="s">
        <v>5816</v>
      </c>
      <c r="M2453" s="52" t="s">
        <v>38</v>
      </c>
    </row>
    <row r="2454" customFormat="false" ht="17.25" hidden="false" customHeight="true" outlineLevel="0" collapsed="false">
      <c r="A2454" s="52" t="s">
        <v>5777</v>
      </c>
      <c r="B2454" s="52" t="s">
        <v>5813</v>
      </c>
      <c r="C2454" s="53" t="n">
        <v>136085</v>
      </c>
      <c r="D2454" s="52" t="s">
        <v>5211</v>
      </c>
      <c r="E2454" s="52" t="s">
        <v>5212</v>
      </c>
      <c r="F2454" s="54" t="n">
        <v>5</v>
      </c>
      <c r="G2454" s="55" t="n">
        <v>37.3</v>
      </c>
      <c r="H2454" s="55" t="n">
        <v>7.46</v>
      </c>
      <c r="I2454" s="55" t="n">
        <v>7.46</v>
      </c>
      <c r="J2454" s="52" t="s">
        <v>5816</v>
      </c>
      <c r="K2454" s="56" t="n">
        <v>1</v>
      </c>
      <c r="L2454" s="52" t="s">
        <v>5816</v>
      </c>
      <c r="M2454" s="52" t="s">
        <v>262</v>
      </c>
    </row>
    <row r="2455" customFormat="false" ht="17.25" hidden="false" customHeight="true" outlineLevel="0" collapsed="false">
      <c r="A2455" s="52" t="s">
        <v>5777</v>
      </c>
      <c r="B2455" s="52" t="s">
        <v>5813</v>
      </c>
      <c r="C2455" s="53" t="n">
        <v>22499</v>
      </c>
      <c r="D2455" s="52" t="s">
        <v>5213</v>
      </c>
      <c r="E2455" s="52" t="s">
        <v>5214</v>
      </c>
      <c r="F2455" s="54" t="n">
        <v>10</v>
      </c>
      <c r="G2455" s="55" t="n">
        <v>36.5</v>
      </c>
      <c r="H2455" s="55" t="n">
        <v>3.65</v>
      </c>
      <c r="I2455" s="55" t="n">
        <v>3.65</v>
      </c>
      <c r="J2455" s="52" t="s">
        <v>5816</v>
      </c>
      <c r="K2455" s="56" t="n">
        <v>1</v>
      </c>
      <c r="L2455" s="52" t="s">
        <v>5816</v>
      </c>
      <c r="M2455" s="52" t="s">
        <v>1095</v>
      </c>
    </row>
    <row r="2456" customFormat="false" ht="17.25" hidden="false" customHeight="true" outlineLevel="0" collapsed="false">
      <c r="A2456" s="52" t="s">
        <v>5777</v>
      </c>
      <c r="B2456" s="52" t="s">
        <v>5813</v>
      </c>
      <c r="C2456" s="53" t="n">
        <v>1614078</v>
      </c>
      <c r="D2456" s="52" t="s">
        <v>5215</v>
      </c>
      <c r="E2456" s="52" t="s">
        <v>5216</v>
      </c>
      <c r="F2456" s="54" t="n">
        <v>151</v>
      </c>
      <c r="G2456" s="55" t="n">
        <v>36.24</v>
      </c>
      <c r="H2456" s="55" t="n">
        <v>0.24</v>
      </c>
      <c r="I2456" s="55" t="n">
        <v>0.24</v>
      </c>
      <c r="J2456" s="52" t="s">
        <v>5816</v>
      </c>
      <c r="K2456" s="56" t="n">
        <v>1</v>
      </c>
      <c r="L2456" s="52" t="s">
        <v>5816</v>
      </c>
      <c r="M2456" s="52" t="s">
        <v>100</v>
      </c>
    </row>
    <row r="2457" customFormat="false" ht="17.25" hidden="false" customHeight="true" outlineLevel="0" collapsed="false">
      <c r="A2457" s="52" t="s">
        <v>5777</v>
      </c>
      <c r="B2457" s="52" t="s">
        <v>5813</v>
      </c>
      <c r="C2457" s="53" t="n">
        <v>426085</v>
      </c>
      <c r="D2457" s="52" t="s">
        <v>5217</v>
      </c>
      <c r="E2457" s="52" t="s">
        <v>5218</v>
      </c>
      <c r="F2457" s="54" t="n">
        <v>2</v>
      </c>
      <c r="G2457" s="55" t="n">
        <v>36</v>
      </c>
      <c r="H2457" s="55" t="n">
        <v>18</v>
      </c>
      <c r="I2457" s="55" t="n">
        <v>18</v>
      </c>
      <c r="J2457" s="52" t="s">
        <v>5816</v>
      </c>
      <c r="K2457" s="56" t="n">
        <v>1</v>
      </c>
      <c r="L2457" s="52" t="s">
        <v>5816</v>
      </c>
      <c r="M2457" s="52" t="s">
        <v>2056</v>
      </c>
    </row>
    <row r="2458" customFormat="false" ht="17.25" hidden="false" customHeight="true" outlineLevel="0" collapsed="false">
      <c r="A2458" s="52" t="s">
        <v>5777</v>
      </c>
      <c r="B2458" s="52" t="s">
        <v>5813</v>
      </c>
      <c r="C2458" s="53" t="n">
        <v>644581</v>
      </c>
      <c r="D2458" s="52" t="s">
        <v>5219</v>
      </c>
      <c r="E2458" s="52" t="s">
        <v>5220</v>
      </c>
      <c r="F2458" s="54" t="n">
        <v>1</v>
      </c>
      <c r="G2458" s="55" t="n">
        <v>36</v>
      </c>
      <c r="H2458" s="55" t="n">
        <v>36</v>
      </c>
      <c r="I2458" s="55" t="n">
        <v>36</v>
      </c>
      <c r="J2458" s="52" t="s">
        <v>5816</v>
      </c>
      <c r="K2458" s="56" t="n">
        <v>1</v>
      </c>
      <c r="L2458" s="52" t="s">
        <v>5816</v>
      </c>
      <c r="M2458" s="52" t="s">
        <v>130</v>
      </c>
    </row>
    <row r="2459" customFormat="false" ht="17.25" hidden="false" customHeight="true" outlineLevel="0" collapsed="false">
      <c r="A2459" s="52" t="s">
        <v>5777</v>
      </c>
      <c r="B2459" s="52" t="s">
        <v>5813</v>
      </c>
      <c r="C2459" s="53" t="n">
        <v>1539963</v>
      </c>
      <c r="D2459" s="52" t="s">
        <v>5221</v>
      </c>
      <c r="E2459" s="52" t="s">
        <v>5222</v>
      </c>
      <c r="F2459" s="54" t="n">
        <v>1</v>
      </c>
      <c r="G2459" s="55" t="n">
        <v>36</v>
      </c>
      <c r="H2459" s="55" t="n">
        <v>36</v>
      </c>
      <c r="I2459" s="55" t="n">
        <v>36</v>
      </c>
      <c r="J2459" s="52" t="s">
        <v>5816</v>
      </c>
      <c r="K2459" s="56" t="n">
        <v>1</v>
      </c>
      <c r="L2459" s="52" t="s">
        <v>5816</v>
      </c>
      <c r="M2459" s="52" t="s">
        <v>130</v>
      </c>
    </row>
    <row r="2460" customFormat="false" ht="17.25" hidden="false" customHeight="true" outlineLevel="0" collapsed="false">
      <c r="A2460" s="52" t="s">
        <v>5777</v>
      </c>
      <c r="B2460" s="52" t="s">
        <v>5813</v>
      </c>
      <c r="C2460" s="53" t="n">
        <v>283143</v>
      </c>
      <c r="D2460" s="52" t="s">
        <v>5223</v>
      </c>
      <c r="E2460" s="52" t="s">
        <v>5224</v>
      </c>
      <c r="F2460" s="54" t="n">
        <v>3</v>
      </c>
      <c r="G2460" s="55" t="n">
        <v>35.94</v>
      </c>
      <c r="H2460" s="55" t="n">
        <v>11.98</v>
      </c>
      <c r="I2460" s="55" t="n">
        <v>11.98</v>
      </c>
      <c r="J2460" s="52" t="s">
        <v>5816</v>
      </c>
      <c r="K2460" s="56" t="n">
        <v>1</v>
      </c>
      <c r="L2460" s="52" t="s">
        <v>5816</v>
      </c>
      <c r="M2460" s="52" t="s">
        <v>54</v>
      </c>
    </row>
    <row r="2461" customFormat="false" ht="17.25" hidden="false" customHeight="true" outlineLevel="0" collapsed="false">
      <c r="A2461" s="52" t="s">
        <v>5777</v>
      </c>
      <c r="B2461" s="52" t="s">
        <v>5813</v>
      </c>
      <c r="C2461" s="53" t="n">
        <v>14887</v>
      </c>
      <c r="D2461" s="52" t="s">
        <v>5225</v>
      </c>
      <c r="E2461" s="52" t="s">
        <v>5226</v>
      </c>
      <c r="F2461" s="54" t="n">
        <v>8</v>
      </c>
      <c r="G2461" s="55" t="n">
        <v>35.92</v>
      </c>
      <c r="H2461" s="55" t="n">
        <v>4.49</v>
      </c>
      <c r="I2461" s="55" t="n">
        <v>4.49</v>
      </c>
      <c r="J2461" s="52" t="s">
        <v>5816</v>
      </c>
      <c r="K2461" s="56" t="n">
        <v>1</v>
      </c>
      <c r="L2461" s="52" t="s">
        <v>5816</v>
      </c>
      <c r="M2461" s="52" t="s">
        <v>54</v>
      </c>
    </row>
    <row r="2462" customFormat="false" ht="17.25" hidden="false" customHeight="true" outlineLevel="0" collapsed="false">
      <c r="A2462" s="52" t="s">
        <v>5777</v>
      </c>
      <c r="B2462" s="52" t="s">
        <v>5813</v>
      </c>
      <c r="C2462" s="53" t="n">
        <v>141613</v>
      </c>
      <c r="D2462" s="52" t="s">
        <v>5227</v>
      </c>
      <c r="E2462" s="52" t="s">
        <v>5228</v>
      </c>
      <c r="F2462" s="54" t="n">
        <v>4</v>
      </c>
      <c r="G2462" s="55" t="n">
        <v>35.92</v>
      </c>
      <c r="H2462" s="55" t="n">
        <v>8.98</v>
      </c>
      <c r="I2462" s="55" t="n">
        <v>8.98</v>
      </c>
      <c r="J2462" s="52" t="s">
        <v>5816</v>
      </c>
      <c r="K2462" s="56" t="n">
        <v>1</v>
      </c>
      <c r="L2462" s="52" t="s">
        <v>5816</v>
      </c>
      <c r="M2462" s="52" t="s">
        <v>100</v>
      </c>
    </row>
    <row r="2463" customFormat="false" ht="17.25" hidden="false" customHeight="true" outlineLevel="0" collapsed="false">
      <c r="A2463" s="52" t="s">
        <v>5777</v>
      </c>
      <c r="B2463" s="52" t="s">
        <v>5813</v>
      </c>
      <c r="C2463" s="53" t="n">
        <v>1097297</v>
      </c>
      <c r="D2463" s="52" t="s">
        <v>5229</v>
      </c>
      <c r="E2463" s="52" t="s">
        <v>5230</v>
      </c>
      <c r="F2463" s="54" t="n">
        <v>4</v>
      </c>
      <c r="G2463" s="55" t="n">
        <v>35.92</v>
      </c>
      <c r="H2463" s="55" t="n">
        <v>8.98</v>
      </c>
      <c r="I2463" s="55" t="n">
        <v>8.98</v>
      </c>
      <c r="J2463" s="52" t="s">
        <v>5816</v>
      </c>
      <c r="K2463" s="56" t="n">
        <v>1</v>
      </c>
      <c r="L2463" s="52" t="s">
        <v>5816</v>
      </c>
      <c r="M2463" s="52" t="s">
        <v>705</v>
      </c>
    </row>
    <row r="2464" customFormat="false" ht="17.25" hidden="false" customHeight="true" outlineLevel="0" collapsed="false">
      <c r="A2464" s="52" t="s">
        <v>5777</v>
      </c>
      <c r="B2464" s="52" t="s">
        <v>5813</v>
      </c>
      <c r="C2464" s="53" t="n">
        <v>1383784</v>
      </c>
      <c r="D2464" s="52" t="s">
        <v>5231</v>
      </c>
      <c r="E2464" s="52" t="s">
        <v>5232</v>
      </c>
      <c r="F2464" s="54" t="n">
        <v>4</v>
      </c>
      <c r="G2464" s="55" t="n">
        <v>35.52</v>
      </c>
      <c r="H2464" s="55" t="n">
        <v>8.88</v>
      </c>
      <c r="I2464" s="55" t="n">
        <v>7.68</v>
      </c>
      <c r="J2464" s="52" t="s">
        <v>5816</v>
      </c>
      <c r="K2464" s="56" t="n">
        <v>1</v>
      </c>
      <c r="L2464" s="52" t="s">
        <v>5816</v>
      </c>
      <c r="M2464" s="52" t="s">
        <v>38</v>
      </c>
    </row>
    <row r="2465" customFormat="false" ht="17.25" hidden="false" customHeight="true" outlineLevel="0" collapsed="false">
      <c r="A2465" s="52" t="s">
        <v>5777</v>
      </c>
      <c r="B2465" s="52" t="s">
        <v>5813</v>
      </c>
      <c r="C2465" s="53" t="n">
        <v>35101</v>
      </c>
      <c r="D2465" s="52" t="s">
        <v>5233</v>
      </c>
      <c r="E2465" s="52" t="s">
        <v>5234</v>
      </c>
      <c r="F2465" s="54" t="n">
        <v>10</v>
      </c>
      <c r="G2465" s="55" t="n">
        <v>35.4</v>
      </c>
      <c r="H2465" s="55" t="n">
        <v>3.54</v>
      </c>
      <c r="I2465" s="55" t="n">
        <v>3.54</v>
      </c>
      <c r="J2465" s="52" t="s">
        <v>5816</v>
      </c>
      <c r="K2465" s="56" t="n">
        <v>1</v>
      </c>
      <c r="L2465" s="52" t="s">
        <v>5816</v>
      </c>
      <c r="M2465" s="52" t="s">
        <v>1618</v>
      </c>
    </row>
    <row r="2466" customFormat="false" ht="17.25" hidden="false" customHeight="true" outlineLevel="0" collapsed="false">
      <c r="A2466" s="52" t="s">
        <v>5777</v>
      </c>
      <c r="B2466" s="52" t="s">
        <v>5813</v>
      </c>
      <c r="C2466" s="53" t="n">
        <v>1110728</v>
      </c>
      <c r="D2466" s="52" t="s">
        <v>5235</v>
      </c>
      <c r="E2466" s="52" t="s">
        <v>5236</v>
      </c>
      <c r="F2466" s="54" t="n">
        <v>20</v>
      </c>
      <c r="G2466" s="55" t="n">
        <v>35.4</v>
      </c>
      <c r="H2466" s="55" t="n">
        <v>1.77</v>
      </c>
      <c r="I2466" s="55" t="n">
        <v>1.77</v>
      </c>
      <c r="J2466" s="52" t="s">
        <v>5816</v>
      </c>
      <c r="K2466" s="56" t="n">
        <v>1</v>
      </c>
      <c r="L2466" s="52" t="s">
        <v>5816</v>
      </c>
      <c r="M2466" s="52" t="s">
        <v>38</v>
      </c>
    </row>
    <row r="2467" customFormat="false" ht="17.25" hidden="false" customHeight="true" outlineLevel="0" collapsed="false">
      <c r="A2467" s="52" t="s">
        <v>5777</v>
      </c>
      <c r="B2467" s="52" t="s">
        <v>5813</v>
      </c>
      <c r="C2467" s="53" t="n">
        <v>1312597</v>
      </c>
      <c r="D2467" s="52" t="s">
        <v>5237</v>
      </c>
      <c r="E2467" s="52" t="s">
        <v>5238</v>
      </c>
      <c r="F2467" s="54" t="n">
        <v>1</v>
      </c>
      <c r="G2467" s="55" t="n">
        <v>35.25</v>
      </c>
      <c r="H2467" s="55" t="n">
        <v>35.25</v>
      </c>
      <c r="I2467" s="55" t="n">
        <v>35.25</v>
      </c>
      <c r="J2467" s="52" t="s">
        <v>5816</v>
      </c>
      <c r="K2467" s="56" t="n">
        <v>1</v>
      </c>
      <c r="L2467" s="52" t="s">
        <v>5816</v>
      </c>
      <c r="M2467" s="52" t="s">
        <v>189</v>
      </c>
    </row>
    <row r="2468" customFormat="false" ht="17.25" hidden="false" customHeight="true" outlineLevel="0" collapsed="false">
      <c r="A2468" s="52" t="s">
        <v>5777</v>
      </c>
      <c r="B2468" s="52" t="s">
        <v>5813</v>
      </c>
      <c r="C2468" s="53" t="n">
        <v>866367</v>
      </c>
      <c r="D2468" s="52" t="s">
        <v>5239</v>
      </c>
      <c r="E2468" s="52" t="s">
        <v>5240</v>
      </c>
      <c r="F2468" s="54" t="n">
        <v>5</v>
      </c>
      <c r="G2468" s="55" t="n">
        <v>35.2</v>
      </c>
      <c r="H2468" s="55" t="n">
        <v>7.04</v>
      </c>
      <c r="I2468" s="55" t="n">
        <v>7.04</v>
      </c>
      <c r="J2468" s="52" t="s">
        <v>5816</v>
      </c>
      <c r="K2468" s="56" t="n">
        <v>1</v>
      </c>
      <c r="L2468" s="52" t="s">
        <v>5816</v>
      </c>
      <c r="M2468" s="52" t="s">
        <v>38</v>
      </c>
    </row>
    <row r="2469" customFormat="false" ht="17.25" hidden="false" customHeight="true" outlineLevel="0" collapsed="false">
      <c r="A2469" s="52" t="s">
        <v>5777</v>
      </c>
      <c r="B2469" s="52" t="s">
        <v>5813</v>
      </c>
      <c r="C2469" s="53" t="n">
        <v>1089786</v>
      </c>
      <c r="D2469" s="52" t="s">
        <v>5241</v>
      </c>
      <c r="E2469" s="52" t="s">
        <v>5242</v>
      </c>
      <c r="F2469" s="54" t="n">
        <v>5</v>
      </c>
      <c r="G2469" s="55" t="n">
        <v>35</v>
      </c>
      <c r="H2469" s="55" t="n">
        <v>7</v>
      </c>
      <c r="I2469" s="55" t="n">
        <v>7</v>
      </c>
      <c r="J2469" s="52" t="s">
        <v>5911</v>
      </c>
      <c r="K2469" s="56" t="n">
        <v>1</v>
      </c>
      <c r="L2469" s="52" t="s">
        <v>5816</v>
      </c>
      <c r="M2469" s="52" t="s">
        <v>2056</v>
      </c>
    </row>
    <row r="2470" customFormat="false" ht="17.25" hidden="false" customHeight="true" outlineLevel="0" collapsed="false">
      <c r="A2470" s="52" t="s">
        <v>5777</v>
      </c>
      <c r="B2470" s="52" t="s">
        <v>5813</v>
      </c>
      <c r="C2470" s="53" t="n">
        <v>15110</v>
      </c>
      <c r="D2470" s="52" t="s">
        <v>5243</v>
      </c>
      <c r="E2470" s="52" t="s">
        <v>5244</v>
      </c>
      <c r="F2470" s="54" t="n">
        <v>1</v>
      </c>
      <c r="G2470" s="55" t="n">
        <v>34.98</v>
      </c>
      <c r="H2470" s="55" t="n">
        <v>34.98</v>
      </c>
      <c r="I2470" s="55" t="n">
        <v>34.98</v>
      </c>
      <c r="J2470" s="52" t="s">
        <v>5816</v>
      </c>
      <c r="K2470" s="56" t="n">
        <v>1</v>
      </c>
      <c r="L2470" s="52" t="s">
        <v>5816</v>
      </c>
      <c r="M2470" s="52" t="s">
        <v>54</v>
      </c>
    </row>
    <row r="2471" customFormat="false" ht="17.25" hidden="false" customHeight="true" outlineLevel="0" collapsed="false">
      <c r="A2471" s="52" t="s">
        <v>5777</v>
      </c>
      <c r="B2471" s="52" t="s">
        <v>5813</v>
      </c>
      <c r="C2471" s="53" t="n">
        <v>15111</v>
      </c>
      <c r="D2471" s="52" t="s">
        <v>5245</v>
      </c>
      <c r="E2471" s="52" t="s">
        <v>5246</v>
      </c>
      <c r="F2471" s="54" t="n">
        <v>1</v>
      </c>
      <c r="G2471" s="55" t="n">
        <v>34.98</v>
      </c>
      <c r="H2471" s="55" t="n">
        <v>34.98</v>
      </c>
      <c r="I2471" s="55" t="n">
        <v>34.98</v>
      </c>
      <c r="J2471" s="52" t="s">
        <v>5816</v>
      </c>
      <c r="K2471" s="56" t="n">
        <v>1</v>
      </c>
      <c r="L2471" s="52" t="s">
        <v>5816</v>
      </c>
      <c r="M2471" s="52" t="s">
        <v>54</v>
      </c>
    </row>
    <row r="2472" customFormat="false" ht="17.25" hidden="false" customHeight="true" outlineLevel="0" collapsed="false">
      <c r="A2472" s="52" t="s">
        <v>5777</v>
      </c>
      <c r="B2472" s="52" t="s">
        <v>5813</v>
      </c>
      <c r="C2472" s="53" t="n">
        <v>21162</v>
      </c>
      <c r="D2472" s="52" t="s">
        <v>5247</v>
      </c>
      <c r="E2472" s="52" t="s">
        <v>5248</v>
      </c>
      <c r="F2472" s="54" t="n">
        <v>1</v>
      </c>
      <c r="G2472" s="55" t="n">
        <v>34.98</v>
      </c>
      <c r="H2472" s="55" t="n">
        <v>34.98</v>
      </c>
      <c r="I2472" s="55" t="n">
        <v>34.98</v>
      </c>
      <c r="J2472" s="52" t="s">
        <v>5816</v>
      </c>
      <c r="K2472" s="56" t="n">
        <v>1</v>
      </c>
      <c r="L2472" s="52" t="s">
        <v>5816</v>
      </c>
      <c r="M2472" s="52" t="s">
        <v>637</v>
      </c>
    </row>
    <row r="2473" customFormat="false" ht="17.25" hidden="false" customHeight="true" outlineLevel="0" collapsed="false">
      <c r="A2473" s="52" t="s">
        <v>5777</v>
      </c>
      <c r="B2473" s="52" t="s">
        <v>5813</v>
      </c>
      <c r="C2473" s="53" t="n">
        <v>33969</v>
      </c>
      <c r="D2473" s="52" t="s">
        <v>5249</v>
      </c>
      <c r="E2473" s="52" t="s">
        <v>5250</v>
      </c>
      <c r="F2473" s="54" t="n">
        <v>10</v>
      </c>
      <c r="G2473" s="55" t="n">
        <v>34.8</v>
      </c>
      <c r="H2473" s="55" t="n">
        <v>3.48</v>
      </c>
      <c r="I2473" s="55" t="n">
        <v>3.48</v>
      </c>
      <c r="J2473" s="52" t="s">
        <v>5816</v>
      </c>
      <c r="K2473" s="56" t="n">
        <v>1</v>
      </c>
      <c r="L2473" s="52" t="s">
        <v>5816</v>
      </c>
      <c r="M2473" s="52" t="s">
        <v>100</v>
      </c>
    </row>
    <row r="2474" customFormat="false" ht="17.25" hidden="false" customHeight="true" outlineLevel="0" collapsed="false">
      <c r="A2474" s="52" t="s">
        <v>5777</v>
      </c>
      <c r="B2474" s="52" t="s">
        <v>5813</v>
      </c>
      <c r="C2474" s="53" t="n">
        <v>1069541</v>
      </c>
      <c r="D2474" s="52" t="s">
        <v>5251</v>
      </c>
      <c r="E2474" s="52" t="s">
        <v>5252</v>
      </c>
      <c r="F2474" s="54" t="n">
        <v>10</v>
      </c>
      <c r="G2474" s="55" t="n">
        <v>34.8</v>
      </c>
      <c r="H2474" s="55" t="n">
        <v>3.48</v>
      </c>
      <c r="I2474" s="55" t="n">
        <v>3.48</v>
      </c>
      <c r="J2474" s="52" t="s">
        <v>5816</v>
      </c>
      <c r="K2474" s="56" t="n">
        <v>1</v>
      </c>
      <c r="L2474" s="52" t="s">
        <v>5816</v>
      </c>
      <c r="M2474" s="52" t="s">
        <v>113</v>
      </c>
    </row>
    <row r="2475" customFormat="false" ht="17.25" hidden="false" customHeight="true" outlineLevel="0" collapsed="false">
      <c r="A2475" s="52" t="s">
        <v>5777</v>
      </c>
      <c r="B2475" s="52" t="s">
        <v>5813</v>
      </c>
      <c r="C2475" s="53" t="n">
        <v>19330</v>
      </c>
      <c r="D2475" s="52" t="s">
        <v>5253</v>
      </c>
      <c r="E2475" s="52" t="s">
        <v>5254</v>
      </c>
      <c r="F2475" s="54" t="n">
        <v>50</v>
      </c>
      <c r="G2475" s="55" t="n">
        <v>34</v>
      </c>
      <c r="H2475" s="55" t="n">
        <v>0.68</v>
      </c>
      <c r="I2475" s="55" t="n">
        <v>0.7</v>
      </c>
      <c r="J2475" s="52" t="s">
        <v>5816</v>
      </c>
      <c r="K2475" s="56" t="n">
        <v>1</v>
      </c>
      <c r="L2475" s="52" t="s">
        <v>5816</v>
      </c>
      <c r="M2475" s="52" t="s">
        <v>1095</v>
      </c>
    </row>
    <row r="2476" customFormat="false" ht="17.25" hidden="false" customHeight="true" outlineLevel="0" collapsed="false">
      <c r="A2476" s="52" t="s">
        <v>5777</v>
      </c>
      <c r="B2476" s="52" t="s">
        <v>5813</v>
      </c>
      <c r="C2476" s="53" t="n">
        <v>1662288</v>
      </c>
      <c r="D2476" s="52" t="s">
        <v>5255</v>
      </c>
      <c r="E2476" s="52" t="s">
        <v>5256</v>
      </c>
      <c r="F2476" s="54" t="n">
        <v>6</v>
      </c>
      <c r="G2476" s="55" t="n">
        <v>33.84</v>
      </c>
      <c r="H2476" s="55" t="n">
        <v>5.64</v>
      </c>
      <c r="I2476" s="55" t="n">
        <v>5.64</v>
      </c>
      <c r="J2476" s="52" t="s">
        <v>5816</v>
      </c>
      <c r="K2476" s="56" t="n">
        <v>1</v>
      </c>
      <c r="L2476" s="52" t="s">
        <v>5816</v>
      </c>
      <c r="M2476" s="52" t="s">
        <v>38</v>
      </c>
    </row>
    <row r="2477" customFormat="false" ht="17.25" hidden="false" customHeight="true" outlineLevel="0" collapsed="false">
      <c r="A2477" s="52" t="s">
        <v>5777</v>
      </c>
      <c r="B2477" s="52" t="s">
        <v>5813</v>
      </c>
      <c r="C2477" s="53" t="n">
        <v>21839</v>
      </c>
      <c r="D2477" s="52" t="s">
        <v>5257</v>
      </c>
      <c r="E2477" s="52" t="s">
        <v>5258</v>
      </c>
      <c r="F2477" s="54" t="n">
        <v>5</v>
      </c>
      <c r="G2477" s="55" t="n">
        <v>33.75</v>
      </c>
      <c r="H2477" s="55" t="n">
        <v>6.75</v>
      </c>
      <c r="I2477" s="55" t="n">
        <v>6.75</v>
      </c>
      <c r="J2477" s="52" t="s">
        <v>5816</v>
      </c>
      <c r="K2477" s="56" t="n">
        <v>1</v>
      </c>
      <c r="L2477" s="52" t="s">
        <v>5816</v>
      </c>
      <c r="M2477" s="52" t="s">
        <v>457</v>
      </c>
    </row>
    <row r="2478" customFormat="false" ht="17.25" hidden="false" customHeight="true" outlineLevel="0" collapsed="false">
      <c r="A2478" s="52" t="s">
        <v>5777</v>
      </c>
      <c r="B2478" s="52" t="s">
        <v>5813</v>
      </c>
      <c r="C2478" s="53" t="n">
        <v>1331115</v>
      </c>
      <c r="D2478" s="52" t="s">
        <v>5259</v>
      </c>
      <c r="E2478" s="52" t="s">
        <v>5996</v>
      </c>
      <c r="F2478" s="54" t="n">
        <v>400</v>
      </c>
      <c r="G2478" s="55" t="n">
        <v>33.48</v>
      </c>
      <c r="H2478" s="55" t="n">
        <v>0.0837</v>
      </c>
      <c r="I2478" s="55" t="n">
        <v>0.0837</v>
      </c>
      <c r="J2478" s="52" t="s">
        <v>5816</v>
      </c>
      <c r="K2478" s="56" t="n">
        <v>1</v>
      </c>
      <c r="L2478" s="52" t="s">
        <v>5816</v>
      </c>
      <c r="M2478" s="52" t="s">
        <v>1443</v>
      </c>
    </row>
    <row r="2479" customFormat="false" ht="17.25" hidden="false" customHeight="true" outlineLevel="0" collapsed="false">
      <c r="A2479" s="52" t="s">
        <v>5777</v>
      </c>
      <c r="B2479" s="52" t="s">
        <v>5813</v>
      </c>
      <c r="C2479" s="53" t="n">
        <v>549248</v>
      </c>
      <c r="D2479" s="52" t="s">
        <v>5261</v>
      </c>
      <c r="E2479" s="52" t="s">
        <v>5262</v>
      </c>
      <c r="F2479" s="54" t="n">
        <v>1</v>
      </c>
      <c r="G2479" s="55" t="n">
        <v>33.35</v>
      </c>
      <c r="H2479" s="55" t="n">
        <v>33.35</v>
      </c>
      <c r="I2479" s="55" t="n">
        <v>33.35</v>
      </c>
      <c r="J2479" s="52" t="s">
        <v>5816</v>
      </c>
      <c r="K2479" s="56" t="n">
        <v>1</v>
      </c>
      <c r="L2479" s="52" t="s">
        <v>5816</v>
      </c>
      <c r="M2479" s="52" t="s">
        <v>38</v>
      </c>
    </row>
    <row r="2480" customFormat="false" ht="17.25" hidden="false" customHeight="true" outlineLevel="0" collapsed="false">
      <c r="A2480" s="52" t="s">
        <v>5777</v>
      </c>
      <c r="B2480" s="52" t="s">
        <v>5813</v>
      </c>
      <c r="C2480" s="53" t="n">
        <v>18125</v>
      </c>
      <c r="D2480" s="52" t="s">
        <v>5263</v>
      </c>
      <c r="E2480" s="52" t="s">
        <v>5264</v>
      </c>
      <c r="F2480" s="54" t="n">
        <v>2</v>
      </c>
      <c r="G2480" s="55" t="n">
        <v>33.12</v>
      </c>
      <c r="H2480" s="55" t="n">
        <v>16.56</v>
      </c>
      <c r="I2480" s="55" t="n">
        <v>16.56</v>
      </c>
      <c r="J2480" s="52" t="s">
        <v>5816</v>
      </c>
      <c r="K2480" s="56" t="n">
        <v>1</v>
      </c>
      <c r="L2480" s="52" t="s">
        <v>5816</v>
      </c>
      <c r="M2480" s="52" t="s">
        <v>130</v>
      </c>
    </row>
    <row r="2481" customFormat="false" ht="17.25" hidden="false" customHeight="true" outlineLevel="0" collapsed="false">
      <c r="A2481" s="52" t="s">
        <v>5777</v>
      </c>
      <c r="B2481" s="52" t="s">
        <v>5813</v>
      </c>
      <c r="C2481" s="53" t="n">
        <v>22269</v>
      </c>
      <c r="D2481" s="52" t="s">
        <v>5265</v>
      </c>
      <c r="E2481" s="52" t="s">
        <v>5266</v>
      </c>
      <c r="F2481" s="54" t="n">
        <v>1</v>
      </c>
      <c r="G2481" s="55" t="n">
        <v>33</v>
      </c>
      <c r="H2481" s="55" t="n">
        <v>33</v>
      </c>
      <c r="I2481" s="55" t="n">
        <v>33</v>
      </c>
      <c r="J2481" s="52" t="s">
        <v>5816</v>
      </c>
      <c r="K2481" s="56" t="n">
        <v>1</v>
      </c>
      <c r="L2481" s="52" t="s">
        <v>5816</v>
      </c>
      <c r="M2481" s="52" t="s">
        <v>130</v>
      </c>
    </row>
    <row r="2482" customFormat="false" ht="17.25" hidden="false" customHeight="true" outlineLevel="0" collapsed="false">
      <c r="A2482" s="52" t="s">
        <v>5777</v>
      </c>
      <c r="B2482" s="52" t="s">
        <v>5813</v>
      </c>
      <c r="C2482" s="53" t="n">
        <v>1330262</v>
      </c>
      <c r="D2482" s="52" t="s">
        <v>5267</v>
      </c>
      <c r="E2482" s="52" t="s">
        <v>5997</v>
      </c>
      <c r="F2482" s="54" t="n">
        <v>1</v>
      </c>
      <c r="G2482" s="55" t="n">
        <v>32.98</v>
      </c>
      <c r="H2482" s="55" t="n">
        <v>32.98</v>
      </c>
      <c r="I2482" s="55" t="n">
        <v>32.98</v>
      </c>
      <c r="J2482" s="52" t="s">
        <v>5914</v>
      </c>
      <c r="K2482" s="56" t="n">
        <v>1</v>
      </c>
      <c r="L2482" s="52" t="s">
        <v>5914</v>
      </c>
      <c r="M2482" s="52" t="s">
        <v>100</v>
      </c>
    </row>
    <row r="2483" customFormat="false" ht="17.25" hidden="false" customHeight="true" outlineLevel="0" collapsed="false">
      <c r="A2483" s="52" t="s">
        <v>5777</v>
      </c>
      <c r="B2483" s="52" t="s">
        <v>5813</v>
      </c>
      <c r="C2483" s="53" t="n">
        <v>1659864</v>
      </c>
      <c r="D2483" s="52" t="s">
        <v>5269</v>
      </c>
      <c r="E2483" s="52" t="s">
        <v>5270</v>
      </c>
      <c r="F2483" s="54" t="n">
        <v>5</v>
      </c>
      <c r="G2483" s="55" t="n">
        <v>32.9</v>
      </c>
      <c r="H2483" s="55" t="n">
        <v>6.58</v>
      </c>
      <c r="I2483" s="55" t="n">
        <v>6.58</v>
      </c>
      <c r="J2483" s="52" t="s">
        <v>5816</v>
      </c>
      <c r="K2483" s="56" t="n">
        <v>1</v>
      </c>
      <c r="L2483" s="52" t="s">
        <v>5816</v>
      </c>
      <c r="M2483" s="52" t="s">
        <v>100</v>
      </c>
    </row>
    <row r="2484" customFormat="false" ht="17.25" hidden="false" customHeight="true" outlineLevel="0" collapsed="false">
      <c r="A2484" s="52" t="s">
        <v>5777</v>
      </c>
      <c r="B2484" s="52" t="s">
        <v>5813</v>
      </c>
      <c r="C2484" s="53" t="n">
        <v>220676</v>
      </c>
      <c r="D2484" s="52" t="s">
        <v>5271</v>
      </c>
      <c r="E2484" s="52" t="s">
        <v>5272</v>
      </c>
      <c r="F2484" s="54" t="n">
        <v>1</v>
      </c>
      <c r="G2484" s="55" t="n">
        <v>32.8</v>
      </c>
      <c r="H2484" s="55" t="n">
        <v>32.8</v>
      </c>
      <c r="I2484" s="55" t="n">
        <v>32.8</v>
      </c>
      <c r="J2484" s="52" t="s">
        <v>5816</v>
      </c>
      <c r="K2484" s="56" t="n">
        <v>1</v>
      </c>
      <c r="L2484" s="52" t="s">
        <v>5816</v>
      </c>
      <c r="M2484" s="52" t="s">
        <v>2056</v>
      </c>
    </row>
    <row r="2485" customFormat="false" ht="17.25" hidden="false" customHeight="true" outlineLevel="0" collapsed="false">
      <c r="A2485" s="52" t="s">
        <v>5777</v>
      </c>
      <c r="B2485" s="52" t="s">
        <v>5813</v>
      </c>
      <c r="C2485" s="53" t="n">
        <v>292980</v>
      </c>
      <c r="D2485" s="52" t="s">
        <v>5273</v>
      </c>
      <c r="E2485" s="52" t="s">
        <v>5274</v>
      </c>
      <c r="F2485" s="54" t="n">
        <v>10</v>
      </c>
      <c r="G2485" s="55" t="n">
        <v>32.8</v>
      </c>
      <c r="H2485" s="55" t="n">
        <v>3.28</v>
      </c>
      <c r="I2485" s="55" t="n">
        <v>3.28</v>
      </c>
      <c r="J2485" s="52" t="s">
        <v>5814</v>
      </c>
      <c r="K2485" s="56" t="n">
        <v>1</v>
      </c>
      <c r="L2485" s="52" t="s">
        <v>5814</v>
      </c>
      <c r="M2485" s="52" t="s">
        <v>262</v>
      </c>
    </row>
    <row r="2486" customFormat="false" ht="17.25" hidden="false" customHeight="true" outlineLevel="0" collapsed="false">
      <c r="A2486" s="52" t="s">
        <v>5777</v>
      </c>
      <c r="B2486" s="52" t="s">
        <v>5813</v>
      </c>
      <c r="C2486" s="53" t="n">
        <v>35399</v>
      </c>
      <c r="D2486" s="52" t="s">
        <v>5275</v>
      </c>
      <c r="E2486" s="52" t="s">
        <v>5276</v>
      </c>
      <c r="F2486" s="54" t="n">
        <v>2</v>
      </c>
      <c r="G2486" s="55" t="n">
        <v>32.56</v>
      </c>
      <c r="H2486" s="55" t="n">
        <v>16.28</v>
      </c>
      <c r="I2486" s="55" t="n">
        <v>16.28</v>
      </c>
      <c r="J2486" s="52" t="s">
        <v>5816</v>
      </c>
      <c r="K2486" s="56" t="n">
        <v>1</v>
      </c>
      <c r="L2486" s="52" t="s">
        <v>5816</v>
      </c>
      <c r="M2486" s="52" t="s">
        <v>563</v>
      </c>
    </row>
    <row r="2487" customFormat="false" ht="17.25" hidden="false" customHeight="true" outlineLevel="0" collapsed="false">
      <c r="A2487" s="52" t="s">
        <v>5777</v>
      </c>
      <c r="B2487" s="52" t="s">
        <v>5813</v>
      </c>
      <c r="C2487" s="53" t="n">
        <v>260233</v>
      </c>
      <c r="D2487" s="52" t="s">
        <v>5277</v>
      </c>
      <c r="E2487" s="52" t="s">
        <v>5278</v>
      </c>
      <c r="F2487" s="54" t="n">
        <v>4</v>
      </c>
      <c r="G2487" s="55" t="n">
        <v>32</v>
      </c>
      <c r="H2487" s="55" t="n">
        <v>8</v>
      </c>
      <c r="I2487" s="55" t="n">
        <v>8</v>
      </c>
      <c r="J2487" s="52" t="s">
        <v>5816</v>
      </c>
      <c r="K2487" s="56" t="n">
        <v>1</v>
      </c>
      <c r="L2487" s="52" t="s">
        <v>5816</v>
      </c>
      <c r="M2487" s="52" t="s">
        <v>2056</v>
      </c>
    </row>
    <row r="2488" customFormat="false" ht="17.25" hidden="false" customHeight="true" outlineLevel="0" collapsed="false">
      <c r="A2488" s="52" t="s">
        <v>5777</v>
      </c>
      <c r="B2488" s="52" t="s">
        <v>5813</v>
      </c>
      <c r="C2488" s="53" t="n">
        <v>89391</v>
      </c>
      <c r="D2488" s="52" t="s">
        <v>5279</v>
      </c>
      <c r="E2488" s="52" t="s">
        <v>5280</v>
      </c>
      <c r="F2488" s="54" t="n">
        <v>10</v>
      </c>
      <c r="G2488" s="55" t="n">
        <v>31.9</v>
      </c>
      <c r="H2488" s="55" t="n">
        <v>3.19</v>
      </c>
      <c r="I2488" s="55" t="n">
        <v>3.19</v>
      </c>
      <c r="J2488" s="52" t="s">
        <v>5816</v>
      </c>
      <c r="K2488" s="56" t="n">
        <v>1</v>
      </c>
      <c r="L2488" s="52" t="s">
        <v>5816</v>
      </c>
      <c r="M2488" s="52" t="s">
        <v>100</v>
      </c>
    </row>
    <row r="2489" customFormat="false" ht="17.25" hidden="false" customHeight="true" outlineLevel="0" collapsed="false">
      <c r="A2489" s="52" t="s">
        <v>5777</v>
      </c>
      <c r="B2489" s="52" t="s">
        <v>5813</v>
      </c>
      <c r="C2489" s="53" t="n">
        <v>728362</v>
      </c>
      <c r="D2489" s="52" t="s">
        <v>5281</v>
      </c>
      <c r="E2489" s="52" t="s">
        <v>5282</v>
      </c>
      <c r="F2489" s="54" t="n">
        <v>20</v>
      </c>
      <c r="G2489" s="55" t="n">
        <v>31.6</v>
      </c>
      <c r="H2489" s="55" t="n">
        <v>1.58</v>
      </c>
      <c r="I2489" s="55" t="n">
        <v>1.58</v>
      </c>
      <c r="J2489" s="52" t="s">
        <v>5816</v>
      </c>
      <c r="K2489" s="56" t="n">
        <v>1</v>
      </c>
      <c r="L2489" s="52" t="s">
        <v>5816</v>
      </c>
      <c r="M2489" s="52" t="s">
        <v>100</v>
      </c>
    </row>
    <row r="2490" customFormat="false" ht="17.25" hidden="false" customHeight="true" outlineLevel="0" collapsed="false">
      <c r="A2490" s="52" t="s">
        <v>5777</v>
      </c>
      <c r="B2490" s="52" t="s">
        <v>5813</v>
      </c>
      <c r="C2490" s="53" t="n">
        <v>35547</v>
      </c>
      <c r="D2490" s="52" t="s">
        <v>5283</v>
      </c>
      <c r="E2490" s="52" t="s">
        <v>5284</v>
      </c>
      <c r="F2490" s="54" t="n">
        <v>126</v>
      </c>
      <c r="G2490" s="55" t="n">
        <v>31.5</v>
      </c>
      <c r="H2490" s="55" t="n">
        <v>0.25</v>
      </c>
      <c r="I2490" s="55" t="n">
        <v>0.25</v>
      </c>
      <c r="J2490" s="52" t="s">
        <v>5816</v>
      </c>
      <c r="K2490" s="56" t="n">
        <v>1</v>
      </c>
      <c r="L2490" s="52" t="s">
        <v>5816</v>
      </c>
      <c r="M2490" s="52" t="s">
        <v>38</v>
      </c>
    </row>
    <row r="2491" customFormat="false" ht="17.25" hidden="false" customHeight="true" outlineLevel="0" collapsed="false">
      <c r="A2491" s="52" t="s">
        <v>5777</v>
      </c>
      <c r="B2491" s="52" t="s">
        <v>5813</v>
      </c>
      <c r="C2491" s="53" t="n">
        <v>21316</v>
      </c>
      <c r="D2491" s="52" t="s">
        <v>5285</v>
      </c>
      <c r="E2491" s="52" t="s">
        <v>5286</v>
      </c>
      <c r="F2491" s="54" t="n">
        <v>5</v>
      </c>
      <c r="G2491" s="55" t="n">
        <v>31.05</v>
      </c>
      <c r="H2491" s="55" t="n">
        <v>6.21</v>
      </c>
      <c r="I2491" s="55" t="n">
        <v>6.21</v>
      </c>
      <c r="J2491" s="52" t="s">
        <v>5816</v>
      </c>
      <c r="K2491" s="56" t="n">
        <v>1</v>
      </c>
      <c r="L2491" s="52" t="s">
        <v>5816</v>
      </c>
      <c r="M2491" s="52" t="s">
        <v>38</v>
      </c>
    </row>
    <row r="2492" customFormat="false" ht="17.25" hidden="false" customHeight="true" outlineLevel="0" collapsed="false">
      <c r="A2492" s="52" t="s">
        <v>5777</v>
      </c>
      <c r="B2492" s="52" t="s">
        <v>5813</v>
      </c>
      <c r="C2492" s="53" t="n">
        <v>856184</v>
      </c>
      <c r="D2492" s="52" t="s">
        <v>5287</v>
      </c>
      <c r="E2492" s="52" t="s">
        <v>5288</v>
      </c>
      <c r="F2492" s="54" t="n">
        <v>32</v>
      </c>
      <c r="G2492" s="55" t="n">
        <v>31.04</v>
      </c>
      <c r="H2492" s="55" t="n">
        <v>0.97</v>
      </c>
      <c r="I2492" s="55" t="n">
        <v>0.97</v>
      </c>
      <c r="J2492" s="52" t="s">
        <v>5816</v>
      </c>
      <c r="K2492" s="56" t="n">
        <v>1</v>
      </c>
      <c r="L2492" s="52" t="s">
        <v>5816</v>
      </c>
      <c r="M2492" s="52" t="s">
        <v>100</v>
      </c>
    </row>
    <row r="2493" customFormat="false" ht="17.25" hidden="false" customHeight="true" outlineLevel="0" collapsed="false">
      <c r="A2493" s="52" t="s">
        <v>5777</v>
      </c>
      <c r="B2493" s="52" t="s">
        <v>5813</v>
      </c>
      <c r="C2493" s="53" t="n">
        <v>18269</v>
      </c>
      <c r="D2493" s="52" t="s">
        <v>5289</v>
      </c>
      <c r="E2493" s="52" t="s">
        <v>5290</v>
      </c>
      <c r="F2493" s="54" t="n">
        <v>3</v>
      </c>
      <c r="G2493" s="55" t="n">
        <v>30.94</v>
      </c>
      <c r="H2493" s="55" t="n">
        <v>10.3133</v>
      </c>
      <c r="I2493" s="55" t="n">
        <v>12.98</v>
      </c>
      <c r="J2493" s="52" t="s">
        <v>5816</v>
      </c>
      <c r="K2493" s="56" t="n">
        <v>1</v>
      </c>
      <c r="L2493" s="52" t="s">
        <v>5816</v>
      </c>
      <c r="M2493" s="52" t="s">
        <v>1618</v>
      </c>
    </row>
    <row r="2494" customFormat="false" ht="17.25" hidden="false" customHeight="true" outlineLevel="0" collapsed="false">
      <c r="A2494" s="52" t="s">
        <v>5777</v>
      </c>
      <c r="B2494" s="52" t="s">
        <v>5813</v>
      </c>
      <c r="C2494" s="53" t="n">
        <v>138733</v>
      </c>
      <c r="D2494" s="52" t="s">
        <v>5291</v>
      </c>
      <c r="E2494" s="52" t="s">
        <v>5292</v>
      </c>
      <c r="F2494" s="54" t="n">
        <v>3</v>
      </c>
      <c r="G2494" s="55" t="n">
        <v>30.15</v>
      </c>
      <c r="H2494" s="55" t="n">
        <v>10.05</v>
      </c>
      <c r="I2494" s="55" t="n">
        <v>10.05</v>
      </c>
      <c r="J2494" s="52" t="s">
        <v>5816</v>
      </c>
      <c r="K2494" s="56" t="n">
        <v>1</v>
      </c>
      <c r="L2494" s="52" t="s">
        <v>5816</v>
      </c>
      <c r="M2494" s="52" t="s">
        <v>457</v>
      </c>
    </row>
    <row r="2495" customFormat="false" ht="17.25" hidden="false" customHeight="true" outlineLevel="0" collapsed="false">
      <c r="A2495" s="52" t="s">
        <v>5777</v>
      </c>
      <c r="B2495" s="52" t="s">
        <v>5813</v>
      </c>
      <c r="C2495" s="53" t="n">
        <v>24314</v>
      </c>
      <c r="D2495" s="52" t="s">
        <v>5293</v>
      </c>
      <c r="E2495" s="52" t="s">
        <v>5294</v>
      </c>
      <c r="F2495" s="54" t="n">
        <v>1</v>
      </c>
      <c r="G2495" s="55" t="n">
        <v>30</v>
      </c>
      <c r="H2495" s="55" t="n">
        <v>30</v>
      </c>
      <c r="I2495" s="55" t="n">
        <v>30</v>
      </c>
      <c r="J2495" s="52" t="s">
        <v>5816</v>
      </c>
      <c r="K2495" s="56" t="n">
        <v>1</v>
      </c>
      <c r="L2495" s="52" t="s">
        <v>5816</v>
      </c>
      <c r="M2495" s="52" t="s">
        <v>54</v>
      </c>
    </row>
    <row r="2496" customFormat="false" ht="17.25" hidden="false" customHeight="true" outlineLevel="0" collapsed="false">
      <c r="A2496" s="52" t="s">
        <v>5777</v>
      </c>
      <c r="B2496" s="52" t="s">
        <v>5813</v>
      </c>
      <c r="C2496" s="53" t="n">
        <v>24315</v>
      </c>
      <c r="D2496" s="52" t="s">
        <v>5295</v>
      </c>
      <c r="E2496" s="52" t="s">
        <v>5296</v>
      </c>
      <c r="F2496" s="54" t="n">
        <v>1</v>
      </c>
      <c r="G2496" s="55" t="n">
        <v>30</v>
      </c>
      <c r="H2496" s="55" t="n">
        <v>30</v>
      </c>
      <c r="I2496" s="55" t="n">
        <v>30</v>
      </c>
      <c r="J2496" s="52" t="s">
        <v>5816</v>
      </c>
      <c r="K2496" s="56" t="n">
        <v>1</v>
      </c>
      <c r="L2496" s="52" t="s">
        <v>5816</v>
      </c>
      <c r="M2496" s="52" t="s">
        <v>54</v>
      </c>
    </row>
    <row r="2497" customFormat="false" ht="17.25" hidden="false" customHeight="true" outlineLevel="0" collapsed="false">
      <c r="A2497" s="52" t="s">
        <v>5777</v>
      </c>
      <c r="B2497" s="52" t="s">
        <v>5813</v>
      </c>
      <c r="C2497" s="53" t="n">
        <v>35285</v>
      </c>
      <c r="D2497" s="52" t="s">
        <v>5297</v>
      </c>
      <c r="E2497" s="52" t="s">
        <v>5298</v>
      </c>
      <c r="F2497" s="54" t="n">
        <v>1</v>
      </c>
      <c r="G2497" s="55" t="n">
        <v>30</v>
      </c>
      <c r="H2497" s="55" t="n">
        <v>30</v>
      </c>
      <c r="I2497" s="55" t="n">
        <v>30</v>
      </c>
      <c r="J2497" s="52" t="s">
        <v>5816</v>
      </c>
      <c r="K2497" s="56" t="n">
        <v>1</v>
      </c>
      <c r="L2497" s="52" t="s">
        <v>5816</v>
      </c>
      <c r="M2497" s="52" t="s">
        <v>189</v>
      </c>
    </row>
    <row r="2498" customFormat="false" ht="17.25" hidden="false" customHeight="true" outlineLevel="0" collapsed="false">
      <c r="A2498" s="52" t="s">
        <v>5777</v>
      </c>
      <c r="B2498" s="52" t="s">
        <v>5813</v>
      </c>
      <c r="C2498" s="53" t="n">
        <v>223498</v>
      </c>
      <c r="D2498" s="52" t="s">
        <v>5299</v>
      </c>
      <c r="E2498" s="52" t="s">
        <v>5300</v>
      </c>
      <c r="F2498" s="54" t="n">
        <v>2</v>
      </c>
      <c r="G2498" s="55" t="n">
        <v>30</v>
      </c>
      <c r="H2498" s="55" t="n">
        <v>15</v>
      </c>
      <c r="I2498" s="55" t="n">
        <v>15</v>
      </c>
      <c r="J2498" s="52" t="s">
        <v>5816</v>
      </c>
      <c r="K2498" s="56" t="n">
        <v>1</v>
      </c>
      <c r="L2498" s="52" t="s">
        <v>5816</v>
      </c>
      <c r="M2498" s="52" t="s">
        <v>2056</v>
      </c>
    </row>
    <row r="2499" customFormat="false" ht="17.25" hidden="false" customHeight="true" outlineLevel="0" collapsed="false">
      <c r="A2499" s="52" t="s">
        <v>5777</v>
      </c>
      <c r="B2499" s="52" t="s">
        <v>5813</v>
      </c>
      <c r="C2499" s="53" t="n">
        <v>426083</v>
      </c>
      <c r="D2499" s="52" t="s">
        <v>5301</v>
      </c>
      <c r="E2499" s="52" t="s">
        <v>5302</v>
      </c>
      <c r="F2499" s="54" t="n">
        <v>2</v>
      </c>
      <c r="G2499" s="55" t="n">
        <v>30</v>
      </c>
      <c r="H2499" s="55" t="n">
        <v>15</v>
      </c>
      <c r="I2499" s="55" t="n">
        <v>15</v>
      </c>
      <c r="J2499" s="52" t="s">
        <v>5816</v>
      </c>
      <c r="K2499" s="56" t="n">
        <v>1</v>
      </c>
      <c r="L2499" s="52" t="s">
        <v>5816</v>
      </c>
      <c r="M2499" s="52" t="s">
        <v>2056</v>
      </c>
    </row>
    <row r="2500" customFormat="false" ht="17.25" hidden="false" customHeight="true" outlineLevel="0" collapsed="false">
      <c r="A2500" s="52" t="s">
        <v>5777</v>
      </c>
      <c r="B2500" s="52" t="s">
        <v>5813</v>
      </c>
      <c r="C2500" s="53" t="n">
        <v>875463</v>
      </c>
      <c r="D2500" s="52" t="s">
        <v>5303</v>
      </c>
      <c r="E2500" s="52" t="s">
        <v>5304</v>
      </c>
      <c r="F2500" s="54" t="n">
        <v>1</v>
      </c>
      <c r="G2500" s="55" t="n">
        <v>30</v>
      </c>
      <c r="H2500" s="55" t="n">
        <v>30</v>
      </c>
      <c r="I2500" s="55" t="n">
        <v>30</v>
      </c>
      <c r="J2500" s="52" t="s">
        <v>5816</v>
      </c>
      <c r="K2500" s="56" t="n">
        <v>1</v>
      </c>
      <c r="L2500" s="52" t="s">
        <v>5816</v>
      </c>
      <c r="M2500" s="52" t="s">
        <v>54</v>
      </c>
    </row>
    <row r="2501" customFormat="false" ht="17.25" hidden="false" customHeight="true" outlineLevel="0" collapsed="false">
      <c r="A2501" s="52" t="s">
        <v>5777</v>
      </c>
      <c r="B2501" s="52" t="s">
        <v>5813</v>
      </c>
      <c r="C2501" s="53" t="n">
        <v>888294</v>
      </c>
      <c r="D2501" s="52" t="s">
        <v>5305</v>
      </c>
      <c r="E2501" s="52" t="s">
        <v>5998</v>
      </c>
      <c r="F2501" s="54" t="n">
        <v>2</v>
      </c>
      <c r="G2501" s="55" t="n">
        <v>30</v>
      </c>
      <c r="H2501" s="55" t="n">
        <v>15</v>
      </c>
      <c r="I2501" s="55" t="n">
        <v>15</v>
      </c>
      <c r="J2501" s="52" t="s">
        <v>5816</v>
      </c>
      <c r="K2501" s="56" t="n">
        <v>1</v>
      </c>
      <c r="L2501" s="52" t="s">
        <v>5816</v>
      </c>
      <c r="M2501" s="52" t="s">
        <v>2056</v>
      </c>
    </row>
    <row r="2502" customFormat="false" ht="17.25" hidden="false" customHeight="true" outlineLevel="0" collapsed="false">
      <c r="A2502" s="52" t="s">
        <v>5777</v>
      </c>
      <c r="B2502" s="52" t="s">
        <v>5813</v>
      </c>
      <c r="C2502" s="53" t="n">
        <v>293376</v>
      </c>
      <c r="D2502" s="52" t="s">
        <v>5307</v>
      </c>
      <c r="E2502" s="52" t="s">
        <v>5308</v>
      </c>
      <c r="F2502" s="54" t="n">
        <v>1</v>
      </c>
      <c r="G2502" s="55" t="n">
        <v>29.98</v>
      </c>
      <c r="H2502" s="55" t="n">
        <v>29.98</v>
      </c>
      <c r="I2502" s="55" t="n">
        <v>29.98</v>
      </c>
      <c r="J2502" s="52" t="s">
        <v>5816</v>
      </c>
      <c r="K2502" s="56" t="n">
        <v>1</v>
      </c>
      <c r="L2502" s="52" t="s">
        <v>5816</v>
      </c>
      <c r="M2502" s="52" t="s">
        <v>705</v>
      </c>
    </row>
    <row r="2503" customFormat="false" ht="17.25" hidden="false" customHeight="true" outlineLevel="0" collapsed="false">
      <c r="A2503" s="52" t="s">
        <v>5777</v>
      </c>
      <c r="B2503" s="52" t="s">
        <v>5813</v>
      </c>
      <c r="C2503" s="53" t="n">
        <v>847701</v>
      </c>
      <c r="D2503" s="52" t="s">
        <v>5309</v>
      </c>
      <c r="E2503" s="52" t="s">
        <v>5310</v>
      </c>
      <c r="F2503" s="54" t="n">
        <v>1</v>
      </c>
      <c r="G2503" s="55" t="n">
        <v>29.98</v>
      </c>
      <c r="H2503" s="55" t="n">
        <v>29.98</v>
      </c>
      <c r="I2503" s="55" t="n">
        <v>29.98</v>
      </c>
      <c r="J2503" s="52" t="s">
        <v>5816</v>
      </c>
      <c r="K2503" s="56" t="n">
        <v>1</v>
      </c>
      <c r="L2503" s="52" t="s">
        <v>5816</v>
      </c>
      <c r="M2503" s="52" t="s">
        <v>35</v>
      </c>
    </row>
    <row r="2504" customFormat="false" ht="17.25" hidden="false" customHeight="true" outlineLevel="0" collapsed="false">
      <c r="A2504" s="52" t="s">
        <v>5777</v>
      </c>
      <c r="B2504" s="52" t="s">
        <v>5813</v>
      </c>
      <c r="C2504" s="53" t="n">
        <v>1073871</v>
      </c>
      <c r="D2504" s="52" t="s">
        <v>5311</v>
      </c>
      <c r="E2504" s="52" t="s">
        <v>5312</v>
      </c>
      <c r="F2504" s="54" t="n">
        <v>1</v>
      </c>
      <c r="G2504" s="55" t="n">
        <v>29.98</v>
      </c>
      <c r="H2504" s="55" t="n">
        <v>29.98</v>
      </c>
      <c r="I2504" s="55" t="n">
        <v>29.98</v>
      </c>
      <c r="J2504" s="52" t="s">
        <v>5816</v>
      </c>
      <c r="K2504" s="56" t="n">
        <v>1</v>
      </c>
      <c r="L2504" s="52" t="s">
        <v>5816</v>
      </c>
      <c r="M2504" s="52" t="s">
        <v>170</v>
      </c>
    </row>
    <row r="2505" customFormat="false" ht="17.25" hidden="false" customHeight="true" outlineLevel="0" collapsed="false">
      <c r="A2505" s="52" t="s">
        <v>5777</v>
      </c>
      <c r="B2505" s="52" t="s">
        <v>5813</v>
      </c>
      <c r="C2505" s="53" t="n">
        <v>1077337</v>
      </c>
      <c r="D2505" s="52" t="s">
        <v>5313</v>
      </c>
      <c r="E2505" s="52" t="s">
        <v>5314</v>
      </c>
      <c r="F2505" s="54" t="n">
        <v>1</v>
      </c>
      <c r="G2505" s="55" t="n">
        <v>29.98</v>
      </c>
      <c r="H2505" s="55" t="n">
        <v>29.98</v>
      </c>
      <c r="I2505" s="55" t="n">
        <v>29.98</v>
      </c>
      <c r="J2505" s="52" t="s">
        <v>5818</v>
      </c>
      <c r="K2505" s="56" t="n">
        <v>1</v>
      </c>
      <c r="L2505" s="52" t="s">
        <v>5816</v>
      </c>
      <c r="M2505" s="52" t="s">
        <v>170</v>
      </c>
    </row>
    <row r="2506" customFormat="false" ht="17.25" hidden="false" customHeight="true" outlineLevel="0" collapsed="false">
      <c r="A2506" s="52" t="s">
        <v>5777</v>
      </c>
      <c r="B2506" s="52" t="s">
        <v>5813</v>
      </c>
      <c r="C2506" s="53" t="n">
        <v>1462923</v>
      </c>
      <c r="D2506" s="52" t="s">
        <v>5315</v>
      </c>
      <c r="E2506" s="52" t="s">
        <v>5316</v>
      </c>
      <c r="F2506" s="54" t="n">
        <v>1</v>
      </c>
      <c r="G2506" s="55" t="n">
        <v>29.98</v>
      </c>
      <c r="H2506" s="55" t="n">
        <v>29.98</v>
      </c>
      <c r="I2506" s="55" t="n">
        <v>29.98</v>
      </c>
      <c r="J2506" s="52" t="s">
        <v>5816</v>
      </c>
      <c r="K2506" s="56" t="n">
        <v>1</v>
      </c>
      <c r="L2506" s="52" t="s">
        <v>5816</v>
      </c>
      <c r="M2506" s="52" t="s">
        <v>54</v>
      </c>
    </row>
    <row r="2507" customFormat="false" ht="17.25" hidden="false" customHeight="true" outlineLevel="0" collapsed="false">
      <c r="A2507" s="52" t="s">
        <v>5777</v>
      </c>
      <c r="B2507" s="52" t="s">
        <v>5813</v>
      </c>
      <c r="C2507" s="53" t="n">
        <v>33028</v>
      </c>
      <c r="D2507" s="52" t="s">
        <v>5317</v>
      </c>
      <c r="E2507" s="52" t="s">
        <v>5318</v>
      </c>
      <c r="F2507" s="54" t="n">
        <v>2</v>
      </c>
      <c r="G2507" s="55" t="n">
        <v>29.96</v>
      </c>
      <c r="H2507" s="55" t="n">
        <v>14.98</v>
      </c>
      <c r="I2507" s="55" t="n">
        <v>14.98</v>
      </c>
      <c r="J2507" s="52" t="s">
        <v>5816</v>
      </c>
      <c r="K2507" s="56" t="n">
        <v>1</v>
      </c>
      <c r="L2507" s="52" t="s">
        <v>5816</v>
      </c>
      <c r="M2507" s="52" t="s">
        <v>100</v>
      </c>
    </row>
    <row r="2508" customFormat="false" ht="17.25" hidden="false" customHeight="true" outlineLevel="0" collapsed="false">
      <c r="A2508" s="52" t="s">
        <v>5777</v>
      </c>
      <c r="B2508" s="52" t="s">
        <v>5813</v>
      </c>
      <c r="C2508" s="53" t="n">
        <v>279219</v>
      </c>
      <c r="D2508" s="52" t="s">
        <v>5319</v>
      </c>
      <c r="E2508" s="52" t="s">
        <v>5320</v>
      </c>
      <c r="F2508" s="54" t="n">
        <v>2</v>
      </c>
      <c r="G2508" s="55" t="n">
        <v>29.96</v>
      </c>
      <c r="H2508" s="55" t="n">
        <v>14.98</v>
      </c>
      <c r="I2508" s="55" t="n">
        <v>14.98</v>
      </c>
      <c r="J2508" s="52" t="s">
        <v>5816</v>
      </c>
      <c r="K2508" s="56" t="n">
        <v>1</v>
      </c>
      <c r="L2508" s="52" t="s">
        <v>5816</v>
      </c>
      <c r="M2508" s="52" t="s">
        <v>605</v>
      </c>
    </row>
    <row r="2509" customFormat="false" ht="17.25" hidden="false" customHeight="true" outlineLevel="0" collapsed="false">
      <c r="A2509" s="52" t="s">
        <v>5777</v>
      </c>
      <c r="B2509" s="52" t="s">
        <v>5813</v>
      </c>
      <c r="C2509" s="53" t="n">
        <v>58992</v>
      </c>
      <c r="D2509" s="52" t="s">
        <v>5321</v>
      </c>
      <c r="E2509" s="52" t="s">
        <v>5322</v>
      </c>
      <c r="F2509" s="54" t="n">
        <v>3</v>
      </c>
      <c r="G2509" s="55" t="n">
        <v>29.94</v>
      </c>
      <c r="H2509" s="55" t="n">
        <v>9.98</v>
      </c>
      <c r="I2509" s="55" t="n">
        <v>9.98</v>
      </c>
      <c r="J2509" s="52" t="s">
        <v>5816</v>
      </c>
      <c r="K2509" s="56" t="n">
        <v>1</v>
      </c>
      <c r="L2509" s="52" t="s">
        <v>5816</v>
      </c>
      <c r="M2509" s="52" t="s">
        <v>100</v>
      </c>
    </row>
    <row r="2510" customFormat="false" ht="17.25" hidden="false" customHeight="true" outlineLevel="0" collapsed="false">
      <c r="A2510" s="52" t="s">
        <v>5777</v>
      </c>
      <c r="B2510" s="52" t="s">
        <v>5813</v>
      </c>
      <c r="C2510" s="53" t="n">
        <v>1389070</v>
      </c>
      <c r="D2510" s="52" t="s">
        <v>5323</v>
      </c>
      <c r="E2510" s="52" t="s">
        <v>5324</v>
      </c>
      <c r="F2510" s="54" t="n">
        <v>3</v>
      </c>
      <c r="G2510" s="55" t="n">
        <v>29.94</v>
      </c>
      <c r="H2510" s="55" t="n">
        <v>9.98</v>
      </c>
      <c r="I2510" s="55" t="n">
        <v>9.98</v>
      </c>
      <c r="J2510" s="52" t="s">
        <v>5816</v>
      </c>
      <c r="K2510" s="56" t="n">
        <v>1</v>
      </c>
      <c r="L2510" s="52" t="s">
        <v>5816</v>
      </c>
      <c r="M2510" s="52" t="s">
        <v>38</v>
      </c>
    </row>
    <row r="2511" customFormat="false" ht="17.25" hidden="false" customHeight="true" outlineLevel="0" collapsed="false">
      <c r="A2511" s="52" t="s">
        <v>5777</v>
      </c>
      <c r="B2511" s="52" t="s">
        <v>5813</v>
      </c>
      <c r="C2511" s="53" t="n">
        <v>609677</v>
      </c>
      <c r="D2511" s="52" t="s">
        <v>5325</v>
      </c>
      <c r="E2511" s="52" t="s">
        <v>5326</v>
      </c>
      <c r="F2511" s="54" t="n">
        <v>1</v>
      </c>
      <c r="G2511" s="55" t="n">
        <v>29.9</v>
      </c>
      <c r="H2511" s="55" t="n">
        <v>29.9</v>
      </c>
      <c r="I2511" s="55" t="n">
        <v>29.9</v>
      </c>
      <c r="J2511" s="52" t="s">
        <v>5816</v>
      </c>
      <c r="K2511" s="56" t="n">
        <v>1</v>
      </c>
      <c r="L2511" s="52" t="s">
        <v>5816</v>
      </c>
      <c r="M2511" s="52" t="s">
        <v>130</v>
      </c>
    </row>
    <row r="2512" customFormat="false" ht="17.25" hidden="false" customHeight="true" outlineLevel="0" collapsed="false">
      <c r="A2512" s="52" t="s">
        <v>5777</v>
      </c>
      <c r="B2512" s="52" t="s">
        <v>5813</v>
      </c>
      <c r="C2512" s="53" t="n">
        <v>1612462</v>
      </c>
      <c r="D2512" s="52" t="s">
        <v>5327</v>
      </c>
      <c r="E2512" s="52" t="s">
        <v>5328</v>
      </c>
      <c r="F2512" s="54" t="n">
        <v>10</v>
      </c>
      <c r="G2512" s="55" t="n">
        <v>29.8</v>
      </c>
      <c r="H2512" s="55" t="n">
        <v>2.98</v>
      </c>
      <c r="I2512" s="55" t="n">
        <v>2.98</v>
      </c>
      <c r="J2512" s="52" t="s">
        <v>5816</v>
      </c>
      <c r="K2512" s="56" t="n">
        <v>1</v>
      </c>
      <c r="L2512" s="52" t="s">
        <v>5816</v>
      </c>
      <c r="M2512" s="52" t="s">
        <v>38</v>
      </c>
    </row>
    <row r="2513" customFormat="false" ht="17.25" hidden="false" customHeight="true" outlineLevel="0" collapsed="false">
      <c r="A2513" s="52" t="s">
        <v>5777</v>
      </c>
      <c r="B2513" s="52" t="s">
        <v>5813</v>
      </c>
      <c r="C2513" s="53" t="n">
        <v>1315685</v>
      </c>
      <c r="D2513" s="52" t="s">
        <v>5329</v>
      </c>
      <c r="E2513" s="52" t="s">
        <v>5330</v>
      </c>
      <c r="F2513" s="54" t="n">
        <v>5</v>
      </c>
      <c r="G2513" s="55" t="n">
        <v>29.45</v>
      </c>
      <c r="H2513" s="55" t="n">
        <v>5.89</v>
      </c>
      <c r="I2513" s="55" t="n">
        <v>5.89</v>
      </c>
      <c r="J2513" s="52" t="s">
        <v>5814</v>
      </c>
      <c r="K2513" s="56" t="n">
        <v>1</v>
      </c>
      <c r="L2513" s="52" t="s">
        <v>5814</v>
      </c>
      <c r="M2513" s="52" t="s">
        <v>38</v>
      </c>
    </row>
    <row r="2514" customFormat="false" ht="17.25" hidden="false" customHeight="true" outlineLevel="0" collapsed="false">
      <c r="A2514" s="52" t="s">
        <v>5777</v>
      </c>
      <c r="B2514" s="52" t="s">
        <v>5813</v>
      </c>
      <c r="C2514" s="53" t="n">
        <v>17928</v>
      </c>
      <c r="D2514" s="52" t="s">
        <v>5331</v>
      </c>
      <c r="E2514" s="52" t="s">
        <v>5332</v>
      </c>
      <c r="F2514" s="54" t="n">
        <v>1</v>
      </c>
      <c r="G2514" s="55" t="n">
        <v>29.4</v>
      </c>
      <c r="H2514" s="55" t="n">
        <v>29.4</v>
      </c>
      <c r="I2514" s="55" t="n">
        <v>29.4</v>
      </c>
      <c r="J2514" s="52" t="s">
        <v>5816</v>
      </c>
      <c r="K2514" s="56" t="n">
        <v>1</v>
      </c>
      <c r="L2514" s="52" t="s">
        <v>5816</v>
      </c>
      <c r="M2514" s="52" t="s">
        <v>130</v>
      </c>
    </row>
    <row r="2515" customFormat="false" ht="17.25" hidden="false" customHeight="true" outlineLevel="0" collapsed="false">
      <c r="A2515" s="52" t="s">
        <v>5777</v>
      </c>
      <c r="B2515" s="52" t="s">
        <v>5813</v>
      </c>
      <c r="C2515" s="53" t="n">
        <v>17948</v>
      </c>
      <c r="D2515" s="52" t="s">
        <v>5333</v>
      </c>
      <c r="E2515" s="52" t="s">
        <v>5334</v>
      </c>
      <c r="F2515" s="54" t="n">
        <v>1</v>
      </c>
      <c r="G2515" s="55" t="n">
        <v>29.4</v>
      </c>
      <c r="H2515" s="55" t="n">
        <v>29.4</v>
      </c>
      <c r="I2515" s="55" t="n">
        <v>29.4</v>
      </c>
      <c r="J2515" s="52" t="s">
        <v>5816</v>
      </c>
      <c r="K2515" s="56" t="n">
        <v>1</v>
      </c>
      <c r="L2515" s="52" t="s">
        <v>5816</v>
      </c>
      <c r="M2515" s="52" t="s">
        <v>130</v>
      </c>
    </row>
    <row r="2516" customFormat="false" ht="17.25" hidden="false" customHeight="true" outlineLevel="0" collapsed="false">
      <c r="A2516" s="52" t="s">
        <v>5777</v>
      </c>
      <c r="B2516" s="52" t="s">
        <v>5813</v>
      </c>
      <c r="C2516" s="53" t="n">
        <v>1384889</v>
      </c>
      <c r="D2516" s="52" t="s">
        <v>5335</v>
      </c>
      <c r="E2516" s="52" t="s">
        <v>5336</v>
      </c>
      <c r="F2516" s="54" t="n">
        <v>299</v>
      </c>
      <c r="G2516" s="55" t="n">
        <v>29.39</v>
      </c>
      <c r="H2516" s="55" t="n">
        <v>0.0983</v>
      </c>
      <c r="I2516" s="55" t="n">
        <v>0.1575</v>
      </c>
      <c r="J2516" s="52" t="s">
        <v>5816</v>
      </c>
      <c r="K2516" s="56" t="n">
        <v>1</v>
      </c>
      <c r="L2516" s="52" t="s">
        <v>5816</v>
      </c>
      <c r="M2516" s="52" t="s">
        <v>100</v>
      </c>
    </row>
    <row r="2517" customFormat="false" ht="17.25" hidden="false" customHeight="true" outlineLevel="0" collapsed="false">
      <c r="A2517" s="52" t="s">
        <v>5777</v>
      </c>
      <c r="B2517" s="52" t="s">
        <v>5813</v>
      </c>
      <c r="C2517" s="53" t="n">
        <v>870706</v>
      </c>
      <c r="D2517" s="52" t="s">
        <v>5337</v>
      </c>
      <c r="E2517" s="52" t="s">
        <v>5338</v>
      </c>
      <c r="F2517" s="54" t="n">
        <v>10</v>
      </c>
      <c r="G2517" s="55" t="n">
        <v>29</v>
      </c>
      <c r="H2517" s="55" t="n">
        <v>2.9</v>
      </c>
      <c r="I2517" s="55" t="n">
        <v>2.9</v>
      </c>
      <c r="J2517" s="52" t="s">
        <v>5814</v>
      </c>
      <c r="K2517" s="56" t="n">
        <v>1</v>
      </c>
      <c r="L2517" s="52" t="s">
        <v>5814</v>
      </c>
      <c r="M2517" s="52" t="s">
        <v>138</v>
      </c>
    </row>
    <row r="2518" customFormat="false" ht="17.25" hidden="false" customHeight="true" outlineLevel="0" collapsed="false">
      <c r="A2518" s="52" t="s">
        <v>5777</v>
      </c>
      <c r="B2518" s="52" t="s">
        <v>5813</v>
      </c>
      <c r="C2518" s="53" t="n">
        <v>23091</v>
      </c>
      <c r="D2518" s="52" t="s">
        <v>5339</v>
      </c>
      <c r="E2518" s="52" t="s">
        <v>5340</v>
      </c>
      <c r="F2518" s="54" t="n">
        <v>10</v>
      </c>
      <c r="G2518" s="55" t="n">
        <v>28.5</v>
      </c>
      <c r="H2518" s="55" t="n">
        <v>2.85</v>
      </c>
      <c r="I2518" s="55" t="n">
        <v>2.85</v>
      </c>
      <c r="J2518" s="52" t="s">
        <v>5816</v>
      </c>
      <c r="K2518" s="56" t="n">
        <v>1</v>
      </c>
      <c r="L2518" s="52" t="s">
        <v>5816</v>
      </c>
      <c r="M2518" s="52" t="s">
        <v>1618</v>
      </c>
    </row>
    <row r="2519" customFormat="false" ht="17.25" hidden="false" customHeight="true" outlineLevel="0" collapsed="false">
      <c r="A2519" s="52" t="s">
        <v>5777</v>
      </c>
      <c r="B2519" s="52" t="s">
        <v>5813</v>
      </c>
      <c r="C2519" s="53" t="n">
        <v>220711</v>
      </c>
      <c r="D2519" s="52" t="s">
        <v>5341</v>
      </c>
      <c r="E2519" s="52" t="s">
        <v>5342</v>
      </c>
      <c r="F2519" s="54" t="n">
        <v>15</v>
      </c>
      <c r="G2519" s="55" t="n">
        <v>28.5</v>
      </c>
      <c r="H2519" s="55" t="n">
        <v>1.9</v>
      </c>
      <c r="I2519" s="55" t="n">
        <v>1.9</v>
      </c>
      <c r="J2519" s="52" t="s">
        <v>5816</v>
      </c>
      <c r="K2519" s="56" t="n">
        <v>1</v>
      </c>
      <c r="L2519" s="52" t="s">
        <v>5816</v>
      </c>
      <c r="M2519" s="52" t="s">
        <v>2056</v>
      </c>
    </row>
    <row r="2520" customFormat="false" ht="17.25" hidden="false" customHeight="true" outlineLevel="0" collapsed="false">
      <c r="A2520" s="52" t="s">
        <v>5777</v>
      </c>
      <c r="B2520" s="52" t="s">
        <v>5813</v>
      </c>
      <c r="C2520" s="53" t="n">
        <v>609676</v>
      </c>
      <c r="D2520" s="52" t="s">
        <v>5343</v>
      </c>
      <c r="E2520" s="52" t="s">
        <v>5344</v>
      </c>
      <c r="F2520" s="54" t="n">
        <v>1</v>
      </c>
      <c r="G2520" s="55" t="n">
        <v>28.4</v>
      </c>
      <c r="H2520" s="55" t="n">
        <v>28.4</v>
      </c>
      <c r="I2520" s="55" t="n">
        <v>28.4</v>
      </c>
      <c r="J2520" s="52" t="s">
        <v>5816</v>
      </c>
      <c r="K2520" s="56" t="n">
        <v>1</v>
      </c>
      <c r="L2520" s="52" t="s">
        <v>5816</v>
      </c>
      <c r="M2520" s="52" t="s">
        <v>130</v>
      </c>
    </row>
    <row r="2521" customFormat="false" ht="17.25" hidden="false" customHeight="true" outlineLevel="0" collapsed="false">
      <c r="A2521" s="52" t="s">
        <v>5777</v>
      </c>
      <c r="B2521" s="52" t="s">
        <v>5813</v>
      </c>
      <c r="C2521" s="53" t="n">
        <v>835843</v>
      </c>
      <c r="D2521" s="52" t="s">
        <v>5345</v>
      </c>
      <c r="E2521" s="52" t="s">
        <v>5346</v>
      </c>
      <c r="F2521" s="54" t="n">
        <v>11</v>
      </c>
      <c r="G2521" s="55" t="n">
        <v>28.38</v>
      </c>
      <c r="H2521" s="55" t="n">
        <v>2.58</v>
      </c>
      <c r="I2521" s="55" t="n">
        <v>2.58</v>
      </c>
      <c r="J2521" s="52" t="s">
        <v>5816</v>
      </c>
      <c r="K2521" s="56" t="n">
        <v>1</v>
      </c>
      <c r="L2521" s="52" t="s">
        <v>5816</v>
      </c>
      <c r="M2521" s="52" t="s">
        <v>38</v>
      </c>
    </row>
    <row r="2522" customFormat="false" ht="17.25" hidden="false" customHeight="true" outlineLevel="0" collapsed="false">
      <c r="A2522" s="52" t="s">
        <v>5777</v>
      </c>
      <c r="B2522" s="52" t="s">
        <v>5813</v>
      </c>
      <c r="C2522" s="53" t="n">
        <v>563410</v>
      </c>
      <c r="D2522" s="52" t="s">
        <v>5347</v>
      </c>
      <c r="E2522" s="52" t="s">
        <v>5348</v>
      </c>
      <c r="F2522" s="54" t="n">
        <v>1</v>
      </c>
      <c r="G2522" s="55" t="n">
        <v>28</v>
      </c>
      <c r="H2522" s="55" t="n">
        <v>28</v>
      </c>
      <c r="I2522" s="55" t="n">
        <v>28</v>
      </c>
      <c r="J2522" s="52" t="s">
        <v>5816</v>
      </c>
      <c r="K2522" s="56" t="n">
        <v>1</v>
      </c>
      <c r="L2522" s="52" t="s">
        <v>5816</v>
      </c>
      <c r="M2522" s="52" t="s">
        <v>262</v>
      </c>
    </row>
    <row r="2523" customFormat="false" ht="17.25" hidden="false" customHeight="true" outlineLevel="0" collapsed="false">
      <c r="A2523" s="52" t="s">
        <v>5777</v>
      </c>
      <c r="B2523" s="52" t="s">
        <v>5813</v>
      </c>
      <c r="C2523" s="53" t="n">
        <v>609656</v>
      </c>
      <c r="D2523" s="52" t="s">
        <v>5349</v>
      </c>
      <c r="E2523" s="52" t="s">
        <v>5350</v>
      </c>
      <c r="F2523" s="54" t="n">
        <v>1</v>
      </c>
      <c r="G2523" s="55" t="n">
        <v>28</v>
      </c>
      <c r="H2523" s="55" t="n">
        <v>28</v>
      </c>
      <c r="I2523" s="55" t="n">
        <v>28</v>
      </c>
      <c r="J2523" s="52" t="s">
        <v>5816</v>
      </c>
      <c r="K2523" s="56" t="n">
        <v>1</v>
      </c>
      <c r="L2523" s="52" t="s">
        <v>5816</v>
      </c>
      <c r="M2523" s="52" t="s">
        <v>130</v>
      </c>
    </row>
    <row r="2524" customFormat="false" ht="17.25" hidden="false" customHeight="true" outlineLevel="0" collapsed="false">
      <c r="A2524" s="52" t="s">
        <v>5777</v>
      </c>
      <c r="B2524" s="52" t="s">
        <v>5813</v>
      </c>
      <c r="C2524" s="53" t="n">
        <v>1113981</v>
      </c>
      <c r="D2524" s="52" t="s">
        <v>5351</v>
      </c>
      <c r="E2524" s="52" t="s">
        <v>5352</v>
      </c>
      <c r="F2524" s="54" t="n">
        <v>1</v>
      </c>
      <c r="G2524" s="55" t="n">
        <v>27.98</v>
      </c>
      <c r="H2524" s="55" t="n">
        <v>27.98</v>
      </c>
      <c r="I2524" s="55" t="n">
        <v>27.98</v>
      </c>
      <c r="J2524" s="52" t="s">
        <v>5816</v>
      </c>
      <c r="K2524" s="56" t="n">
        <v>1</v>
      </c>
      <c r="L2524" s="52" t="s">
        <v>5816</v>
      </c>
      <c r="M2524" s="52" t="s">
        <v>705</v>
      </c>
    </row>
    <row r="2525" customFormat="false" ht="17.25" hidden="false" customHeight="true" outlineLevel="0" collapsed="false">
      <c r="A2525" s="52" t="s">
        <v>5777</v>
      </c>
      <c r="B2525" s="52" t="s">
        <v>5813</v>
      </c>
      <c r="C2525" s="53" t="n">
        <v>609675</v>
      </c>
      <c r="D2525" s="52" t="s">
        <v>5353</v>
      </c>
      <c r="E2525" s="52" t="s">
        <v>5354</v>
      </c>
      <c r="F2525" s="54" t="n">
        <v>1</v>
      </c>
      <c r="G2525" s="55" t="n">
        <v>27.9</v>
      </c>
      <c r="H2525" s="55" t="n">
        <v>27.9</v>
      </c>
      <c r="I2525" s="55" t="n">
        <v>27.9</v>
      </c>
      <c r="J2525" s="52" t="s">
        <v>5816</v>
      </c>
      <c r="K2525" s="56" t="n">
        <v>1</v>
      </c>
      <c r="L2525" s="52" t="s">
        <v>5816</v>
      </c>
      <c r="M2525" s="52" t="s">
        <v>130</v>
      </c>
    </row>
    <row r="2526" customFormat="false" ht="17.25" hidden="false" customHeight="true" outlineLevel="0" collapsed="false">
      <c r="A2526" s="52" t="s">
        <v>5777</v>
      </c>
      <c r="B2526" s="52" t="s">
        <v>5813</v>
      </c>
      <c r="C2526" s="53" t="n">
        <v>224059</v>
      </c>
      <c r="D2526" s="52" t="s">
        <v>5355</v>
      </c>
      <c r="E2526" s="52" t="s">
        <v>5356</v>
      </c>
      <c r="F2526" s="54" t="n">
        <v>8</v>
      </c>
      <c r="G2526" s="55" t="n">
        <v>27.52</v>
      </c>
      <c r="H2526" s="55" t="n">
        <v>3.44</v>
      </c>
      <c r="I2526" s="55" t="n">
        <v>3.44</v>
      </c>
      <c r="J2526" s="52" t="s">
        <v>5816</v>
      </c>
      <c r="K2526" s="56" t="n">
        <v>1</v>
      </c>
      <c r="L2526" s="52" t="s">
        <v>5816</v>
      </c>
      <c r="M2526" s="52" t="s">
        <v>189</v>
      </c>
    </row>
    <row r="2527" customFormat="false" ht="17.25" hidden="false" customHeight="true" outlineLevel="0" collapsed="false">
      <c r="A2527" s="52" t="s">
        <v>5777</v>
      </c>
      <c r="B2527" s="52" t="s">
        <v>5813</v>
      </c>
      <c r="C2527" s="53" t="n">
        <v>1181507</v>
      </c>
      <c r="D2527" s="52" t="s">
        <v>5357</v>
      </c>
      <c r="E2527" s="52" t="s">
        <v>5358</v>
      </c>
      <c r="F2527" s="54" t="n">
        <v>6</v>
      </c>
      <c r="G2527" s="55" t="n">
        <v>27</v>
      </c>
      <c r="H2527" s="55" t="n">
        <v>4.5</v>
      </c>
      <c r="I2527" s="55" t="n">
        <v>4.5</v>
      </c>
      <c r="J2527" s="52" t="s">
        <v>5816</v>
      </c>
      <c r="K2527" s="56" t="n">
        <v>1</v>
      </c>
      <c r="L2527" s="52" t="s">
        <v>5816</v>
      </c>
      <c r="M2527" s="52" t="s">
        <v>54</v>
      </c>
    </row>
    <row r="2528" customFormat="false" ht="17.25" hidden="false" customHeight="true" outlineLevel="0" collapsed="false">
      <c r="A2528" s="52" t="s">
        <v>5777</v>
      </c>
      <c r="B2528" s="52" t="s">
        <v>5813</v>
      </c>
      <c r="C2528" s="53" t="n">
        <v>1383544</v>
      </c>
      <c r="D2528" s="52" t="s">
        <v>5359</v>
      </c>
      <c r="E2528" s="52" t="s">
        <v>5360</v>
      </c>
      <c r="F2528" s="54" t="n">
        <v>60</v>
      </c>
      <c r="G2528" s="55" t="n">
        <v>27</v>
      </c>
      <c r="H2528" s="55" t="n">
        <v>0.45</v>
      </c>
      <c r="I2528" s="55" t="n">
        <v>0.45</v>
      </c>
      <c r="J2528" s="52" t="s">
        <v>5816</v>
      </c>
      <c r="K2528" s="56" t="n">
        <v>1</v>
      </c>
      <c r="L2528" s="52" t="s">
        <v>5816</v>
      </c>
      <c r="M2528" s="52" t="s">
        <v>100</v>
      </c>
    </row>
    <row r="2529" customFormat="false" ht="17.25" hidden="false" customHeight="true" outlineLevel="0" collapsed="false">
      <c r="A2529" s="52" t="s">
        <v>5777</v>
      </c>
      <c r="B2529" s="52" t="s">
        <v>5813</v>
      </c>
      <c r="C2529" s="53" t="n">
        <v>1539939</v>
      </c>
      <c r="D2529" s="52" t="s">
        <v>5361</v>
      </c>
      <c r="E2529" s="52" t="s">
        <v>5362</v>
      </c>
      <c r="F2529" s="54" t="n">
        <v>1</v>
      </c>
      <c r="G2529" s="55" t="n">
        <v>26</v>
      </c>
      <c r="H2529" s="55" t="n">
        <v>26</v>
      </c>
      <c r="I2529" s="55" t="n">
        <v>26</v>
      </c>
      <c r="J2529" s="52" t="s">
        <v>5816</v>
      </c>
      <c r="K2529" s="56" t="n">
        <v>1</v>
      </c>
      <c r="L2529" s="52" t="s">
        <v>5816</v>
      </c>
      <c r="M2529" s="52" t="s">
        <v>130</v>
      </c>
    </row>
    <row r="2530" customFormat="false" ht="17.25" hidden="false" customHeight="true" outlineLevel="0" collapsed="false">
      <c r="A2530" s="52" t="s">
        <v>5777</v>
      </c>
      <c r="B2530" s="52" t="s">
        <v>5813</v>
      </c>
      <c r="C2530" s="53" t="n">
        <v>1605179</v>
      </c>
      <c r="D2530" s="52" t="s">
        <v>5363</v>
      </c>
      <c r="E2530" s="52" t="s">
        <v>5364</v>
      </c>
      <c r="F2530" s="54" t="n">
        <v>1</v>
      </c>
      <c r="G2530" s="55" t="n">
        <v>26</v>
      </c>
      <c r="H2530" s="55" t="n">
        <v>26</v>
      </c>
      <c r="I2530" s="55" t="n">
        <v>26</v>
      </c>
      <c r="J2530" s="52" t="s">
        <v>5816</v>
      </c>
      <c r="K2530" s="56" t="n">
        <v>1</v>
      </c>
      <c r="L2530" s="52" t="s">
        <v>5816</v>
      </c>
      <c r="M2530" s="52" t="s">
        <v>38</v>
      </c>
    </row>
    <row r="2531" customFormat="false" ht="17.25" hidden="false" customHeight="true" outlineLevel="0" collapsed="false">
      <c r="A2531" s="52" t="s">
        <v>5777</v>
      </c>
      <c r="B2531" s="52" t="s">
        <v>5813</v>
      </c>
      <c r="C2531" s="53" t="n">
        <v>1657133</v>
      </c>
      <c r="D2531" s="52" t="s">
        <v>5365</v>
      </c>
      <c r="E2531" s="52" t="s">
        <v>5366</v>
      </c>
      <c r="F2531" s="54" t="n">
        <v>4</v>
      </c>
      <c r="G2531" s="55" t="n">
        <v>26</v>
      </c>
      <c r="H2531" s="55" t="n">
        <v>6.5</v>
      </c>
      <c r="I2531" s="55" t="n">
        <v>6.5</v>
      </c>
      <c r="J2531" s="52" t="s">
        <v>5816</v>
      </c>
      <c r="K2531" s="56" t="n">
        <v>1</v>
      </c>
      <c r="L2531" s="52" t="s">
        <v>5816</v>
      </c>
      <c r="M2531" s="52" t="s">
        <v>100</v>
      </c>
    </row>
    <row r="2532" customFormat="false" ht="17.25" hidden="false" customHeight="true" outlineLevel="0" collapsed="false">
      <c r="A2532" s="52" t="s">
        <v>5777</v>
      </c>
      <c r="B2532" s="52" t="s">
        <v>5813</v>
      </c>
      <c r="C2532" s="53" t="n">
        <v>1171284</v>
      </c>
      <c r="D2532" s="52" t="s">
        <v>5367</v>
      </c>
      <c r="E2532" s="52" t="s">
        <v>5368</v>
      </c>
      <c r="F2532" s="54" t="n">
        <v>1</v>
      </c>
      <c r="G2532" s="55" t="n">
        <v>25.98</v>
      </c>
      <c r="H2532" s="55" t="n">
        <v>25.98</v>
      </c>
      <c r="I2532" s="55" t="n">
        <v>25.98</v>
      </c>
      <c r="J2532" s="52" t="s">
        <v>5816</v>
      </c>
      <c r="K2532" s="56" t="n">
        <v>1</v>
      </c>
      <c r="L2532" s="52" t="s">
        <v>5816</v>
      </c>
      <c r="M2532" s="52" t="s">
        <v>54</v>
      </c>
    </row>
    <row r="2533" customFormat="false" ht="17.25" hidden="false" customHeight="true" outlineLevel="0" collapsed="false">
      <c r="A2533" s="52" t="s">
        <v>5777</v>
      </c>
      <c r="B2533" s="52" t="s">
        <v>5813</v>
      </c>
      <c r="C2533" s="53" t="n">
        <v>884962</v>
      </c>
      <c r="D2533" s="52" t="s">
        <v>5369</v>
      </c>
      <c r="E2533" s="52" t="s">
        <v>5370</v>
      </c>
      <c r="F2533" s="54" t="n">
        <v>13</v>
      </c>
      <c r="G2533" s="55" t="n">
        <v>25.6</v>
      </c>
      <c r="H2533" s="55" t="n">
        <v>1.9692</v>
      </c>
      <c r="I2533" s="55" t="n">
        <v>2.2</v>
      </c>
      <c r="J2533" s="52" t="s">
        <v>5817</v>
      </c>
      <c r="K2533" s="56" t="n">
        <v>1</v>
      </c>
      <c r="L2533" s="52" t="s">
        <v>5817</v>
      </c>
      <c r="M2533" s="52" t="s">
        <v>100</v>
      </c>
    </row>
    <row r="2534" customFormat="false" ht="17.25" hidden="false" customHeight="true" outlineLevel="0" collapsed="false">
      <c r="A2534" s="52" t="s">
        <v>5777</v>
      </c>
      <c r="B2534" s="52" t="s">
        <v>5813</v>
      </c>
      <c r="C2534" s="53" t="n">
        <v>14740</v>
      </c>
      <c r="D2534" s="52" t="s">
        <v>5371</v>
      </c>
      <c r="E2534" s="52" t="s">
        <v>5372</v>
      </c>
      <c r="F2534" s="54" t="n">
        <v>2</v>
      </c>
      <c r="G2534" s="55" t="n">
        <v>25.4</v>
      </c>
      <c r="H2534" s="55" t="n">
        <v>12.7</v>
      </c>
      <c r="I2534" s="55" t="n">
        <v>12.7</v>
      </c>
      <c r="J2534" s="52" t="s">
        <v>5816</v>
      </c>
      <c r="K2534" s="56" t="n">
        <v>1</v>
      </c>
      <c r="L2534" s="52" t="s">
        <v>5816</v>
      </c>
      <c r="M2534" s="52" t="s">
        <v>54</v>
      </c>
    </row>
    <row r="2535" customFormat="false" ht="17.25" hidden="false" customHeight="true" outlineLevel="0" collapsed="false">
      <c r="A2535" s="52" t="s">
        <v>5777</v>
      </c>
      <c r="B2535" s="52" t="s">
        <v>5813</v>
      </c>
      <c r="C2535" s="53" t="n">
        <v>601403</v>
      </c>
      <c r="D2535" s="52" t="s">
        <v>5373</v>
      </c>
      <c r="E2535" s="52" t="s">
        <v>5374</v>
      </c>
      <c r="F2535" s="54" t="n">
        <v>6</v>
      </c>
      <c r="G2535" s="55" t="n">
        <v>25.26</v>
      </c>
      <c r="H2535" s="55" t="n">
        <v>4.21</v>
      </c>
      <c r="I2535" s="55" t="n">
        <v>4.21</v>
      </c>
      <c r="J2535" s="52" t="s">
        <v>5816</v>
      </c>
      <c r="K2535" s="56" t="n">
        <v>1</v>
      </c>
      <c r="L2535" s="52" t="s">
        <v>5816</v>
      </c>
      <c r="M2535" s="52" t="s">
        <v>100</v>
      </c>
    </row>
    <row r="2536" customFormat="false" ht="17.25" hidden="false" customHeight="true" outlineLevel="0" collapsed="false">
      <c r="A2536" s="52" t="s">
        <v>5777</v>
      </c>
      <c r="B2536" s="52" t="s">
        <v>5813</v>
      </c>
      <c r="C2536" s="53" t="n">
        <v>879038</v>
      </c>
      <c r="D2536" s="52" t="s">
        <v>5375</v>
      </c>
      <c r="E2536" s="52" t="s">
        <v>5376</v>
      </c>
      <c r="F2536" s="54" t="n">
        <v>1</v>
      </c>
      <c r="G2536" s="55" t="n">
        <v>25</v>
      </c>
      <c r="H2536" s="55" t="n">
        <v>25</v>
      </c>
      <c r="I2536" s="55" t="n">
        <v>25</v>
      </c>
      <c r="J2536" s="52" t="s">
        <v>5816</v>
      </c>
      <c r="K2536" s="56" t="n">
        <v>1</v>
      </c>
      <c r="L2536" s="52" t="s">
        <v>5816</v>
      </c>
      <c r="M2536" s="52" t="s">
        <v>2056</v>
      </c>
    </row>
    <row r="2537" customFormat="false" ht="17.25" hidden="false" customHeight="true" outlineLevel="0" collapsed="false">
      <c r="A2537" s="52" t="s">
        <v>5777</v>
      </c>
      <c r="B2537" s="52" t="s">
        <v>5813</v>
      </c>
      <c r="C2537" s="53" t="n">
        <v>872193</v>
      </c>
      <c r="D2537" s="52" t="s">
        <v>5377</v>
      </c>
      <c r="E2537" s="52" t="s">
        <v>5378</v>
      </c>
      <c r="F2537" s="54" t="n">
        <v>0.5</v>
      </c>
      <c r="G2537" s="55" t="n">
        <v>24.98</v>
      </c>
      <c r="H2537" s="55" t="n">
        <v>49.96</v>
      </c>
      <c r="I2537" s="55" t="n">
        <v>49.96</v>
      </c>
      <c r="J2537" s="52" t="s">
        <v>5816</v>
      </c>
      <c r="K2537" s="56" t="n">
        <v>1</v>
      </c>
      <c r="L2537" s="52" t="s">
        <v>5816</v>
      </c>
      <c r="M2537" s="52" t="s">
        <v>457</v>
      </c>
    </row>
    <row r="2538" customFormat="false" ht="17.25" hidden="false" customHeight="true" outlineLevel="0" collapsed="false">
      <c r="A2538" s="52" t="s">
        <v>5777</v>
      </c>
      <c r="B2538" s="52" t="s">
        <v>5813</v>
      </c>
      <c r="C2538" s="53" t="n">
        <v>1078659</v>
      </c>
      <c r="D2538" s="52" t="s">
        <v>5379</v>
      </c>
      <c r="E2538" s="52" t="s">
        <v>5380</v>
      </c>
      <c r="F2538" s="54" t="n">
        <v>1</v>
      </c>
      <c r="G2538" s="55" t="n">
        <v>24.98</v>
      </c>
      <c r="H2538" s="55" t="n">
        <v>24.98</v>
      </c>
      <c r="I2538" s="55" t="n">
        <v>24.98</v>
      </c>
      <c r="J2538" s="52" t="s">
        <v>5816</v>
      </c>
      <c r="K2538" s="56" t="n">
        <v>1</v>
      </c>
      <c r="L2538" s="52" t="s">
        <v>5816</v>
      </c>
      <c r="M2538" s="52" t="s">
        <v>38</v>
      </c>
    </row>
    <row r="2539" customFormat="false" ht="17.25" hidden="false" customHeight="true" outlineLevel="0" collapsed="false">
      <c r="A2539" s="52" t="s">
        <v>5777</v>
      </c>
      <c r="B2539" s="52" t="s">
        <v>5813</v>
      </c>
      <c r="C2539" s="53" t="n">
        <v>17945</v>
      </c>
      <c r="D2539" s="52" t="s">
        <v>5381</v>
      </c>
      <c r="E2539" s="52" t="s">
        <v>5382</v>
      </c>
      <c r="F2539" s="54" t="n">
        <v>1</v>
      </c>
      <c r="G2539" s="55" t="n">
        <v>24</v>
      </c>
      <c r="H2539" s="55" t="n">
        <v>24</v>
      </c>
      <c r="I2539" s="55" t="n">
        <v>24</v>
      </c>
      <c r="J2539" s="52" t="s">
        <v>5816</v>
      </c>
      <c r="K2539" s="56" t="n">
        <v>1</v>
      </c>
      <c r="L2539" s="52" t="s">
        <v>5816</v>
      </c>
      <c r="M2539" s="52" t="s">
        <v>130</v>
      </c>
    </row>
    <row r="2540" customFormat="false" ht="17.25" hidden="false" customHeight="true" outlineLevel="0" collapsed="false">
      <c r="A2540" s="52" t="s">
        <v>5777</v>
      </c>
      <c r="B2540" s="52" t="s">
        <v>5813</v>
      </c>
      <c r="C2540" s="53" t="n">
        <v>740203</v>
      </c>
      <c r="D2540" s="52" t="s">
        <v>5383</v>
      </c>
      <c r="E2540" s="52" t="s">
        <v>5384</v>
      </c>
      <c r="F2540" s="54" t="n">
        <v>6</v>
      </c>
      <c r="G2540" s="55" t="n">
        <v>24</v>
      </c>
      <c r="H2540" s="55" t="n">
        <v>4</v>
      </c>
      <c r="I2540" s="55" t="n">
        <v>4</v>
      </c>
      <c r="J2540" s="52" t="s">
        <v>5816</v>
      </c>
      <c r="K2540" s="56" t="n">
        <v>1</v>
      </c>
      <c r="L2540" s="52" t="s">
        <v>5816</v>
      </c>
      <c r="M2540" s="52" t="s">
        <v>2056</v>
      </c>
    </row>
    <row r="2541" customFormat="false" ht="17.25" hidden="false" customHeight="true" outlineLevel="0" collapsed="false">
      <c r="A2541" s="52" t="s">
        <v>5777</v>
      </c>
      <c r="B2541" s="52" t="s">
        <v>5813</v>
      </c>
      <c r="C2541" s="53" t="n">
        <v>1068029</v>
      </c>
      <c r="D2541" s="52" t="s">
        <v>5385</v>
      </c>
      <c r="E2541" s="52" t="s">
        <v>5386</v>
      </c>
      <c r="F2541" s="54" t="n">
        <v>1</v>
      </c>
      <c r="G2541" s="55" t="n">
        <v>24</v>
      </c>
      <c r="H2541" s="55" t="n">
        <v>24</v>
      </c>
      <c r="I2541" s="55" t="n">
        <v>24</v>
      </c>
      <c r="J2541" s="52" t="s">
        <v>5816</v>
      </c>
      <c r="K2541" s="56" t="n">
        <v>1</v>
      </c>
      <c r="L2541" s="52" t="s">
        <v>5816</v>
      </c>
      <c r="M2541" s="52" t="s">
        <v>363</v>
      </c>
    </row>
    <row r="2542" customFormat="false" ht="17.25" hidden="false" customHeight="true" outlineLevel="0" collapsed="false">
      <c r="A2542" s="52" t="s">
        <v>5777</v>
      </c>
      <c r="B2542" s="52" t="s">
        <v>5813</v>
      </c>
      <c r="C2542" s="53" t="n">
        <v>1089797</v>
      </c>
      <c r="D2542" s="52" t="s">
        <v>5387</v>
      </c>
      <c r="E2542" s="52" t="s">
        <v>5388</v>
      </c>
      <c r="F2542" s="54" t="n">
        <v>2</v>
      </c>
      <c r="G2542" s="55" t="n">
        <v>24</v>
      </c>
      <c r="H2542" s="55" t="n">
        <v>12</v>
      </c>
      <c r="I2542" s="55" t="n">
        <v>12</v>
      </c>
      <c r="J2542" s="52" t="s">
        <v>5911</v>
      </c>
      <c r="K2542" s="56" t="n">
        <v>1</v>
      </c>
      <c r="L2542" s="52" t="s">
        <v>5816</v>
      </c>
      <c r="M2542" s="52" t="s">
        <v>2056</v>
      </c>
    </row>
    <row r="2543" customFormat="false" ht="17.25" hidden="false" customHeight="true" outlineLevel="0" collapsed="false">
      <c r="A2543" s="52" t="s">
        <v>5777</v>
      </c>
      <c r="B2543" s="52" t="s">
        <v>5813</v>
      </c>
      <c r="C2543" s="53" t="n">
        <v>646418</v>
      </c>
      <c r="D2543" s="52" t="s">
        <v>5389</v>
      </c>
      <c r="E2543" s="52" t="s">
        <v>5390</v>
      </c>
      <c r="F2543" s="54" t="n">
        <v>6</v>
      </c>
      <c r="G2543" s="55" t="n">
        <v>23.88</v>
      </c>
      <c r="H2543" s="55" t="n">
        <v>3.98</v>
      </c>
      <c r="I2543" s="55" t="n">
        <v>3.98</v>
      </c>
      <c r="J2543" s="52" t="s">
        <v>5816</v>
      </c>
      <c r="K2543" s="56" t="n">
        <v>1</v>
      </c>
      <c r="L2543" s="52" t="s">
        <v>5816</v>
      </c>
      <c r="M2543" s="52" t="s">
        <v>100</v>
      </c>
    </row>
    <row r="2544" customFormat="false" ht="17.25" hidden="false" customHeight="true" outlineLevel="0" collapsed="false">
      <c r="A2544" s="52" t="s">
        <v>5777</v>
      </c>
      <c r="B2544" s="52" t="s">
        <v>5813</v>
      </c>
      <c r="C2544" s="53" t="n">
        <v>1670497</v>
      </c>
      <c r="D2544" s="52" t="s">
        <v>5391</v>
      </c>
      <c r="E2544" s="52" t="s">
        <v>5392</v>
      </c>
      <c r="F2544" s="54" t="n">
        <v>1</v>
      </c>
      <c r="G2544" s="55" t="n">
        <v>23.88</v>
      </c>
      <c r="H2544" s="55" t="n">
        <v>23.88</v>
      </c>
      <c r="I2544" s="55" t="n">
        <v>23.88</v>
      </c>
      <c r="J2544" s="52" t="s">
        <v>5816</v>
      </c>
      <c r="K2544" s="56" t="n">
        <v>1</v>
      </c>
      <c r="L2544" s="52" t="s">
        <v>5816</v>
      </c>
      <c r="M2544" s="52" t="s">
        <v>54</v>
      </c>
    </row>
    <row r="2545" customFormat="false" ht="17.25" hidden="false" customHeight="true" outlineLevel="0" collapsed="false">
      <c r="A2545" s="52" t="s">
        <v>5777</v>
      </c>
      <c r="B2545" s="52" t="s">
        <v>5813</v>
      </c>
      <c r="C2545" s="53" t="n">
        <v>1677302</v>
      </c>
      <c r="D2545" s="52" t="s">
        <v>5393</v>
      </c>
      <c r="E2545" s="52" t="s">
        <v>5394</v>
      </c>
      <c r="F2545" s="54" t="n">
        <v>4</v>
      </c>
      <c r="G2545" s="55" t="n">
        <v>23.68</v>
      </c>
      <c r="H2545" s="55" t="n">
        <v>5.92</v>
      </c>
      <c r="I2545" s="55" t="n">
        <v>5.92</v>
      </c>
      <c r="J2545" s="52" t="s">
        <v>5816</v>
      </c>
      <c r="K2545" s="56" t="n">
        <v>1</v>
      </c>
      <c r="L2545" s="52" t="s">
        <v>5816</v>
      </c>
      <c r="M2545" s="52" t="s">
        <v>38</v>
      </c>
    </row>
    <row r="2546" customFormat="false" ht="17.25" hidden="false" customHeight="true" outlineLevel="0" collapsed="false">
      <c r="A2546" s="52" t="s">
        <v>5777</v>
      </c>
      <c r="B2546" s="52" t="s">
        <v>5813</v>
      </c>
      <c r="C2546" s="53" t="n">
        <v>13151</v>
      </c>
      <c r="D2546" s="52" t="s">
        <v>5395</v>
      </c>
      <c r="E2546" s="52" t="s">
        <v>5396</v>
      </c>
      <c r="F2546" s="54" t="n">
        <v>4</v>
      </c>
      <c r="G2546" s="55" t="n">
        <v>23.6</v>
      </c>
      <c r="H2546" s="55" t="n">
        <v>5.9</v>
      </c>
      <c r="I2546" s="55" t="n">
        <v>5.9</v>
      </c>
      <c r="J2546" s="52" t="s">
        <v>5816</v>
      </c>
      <c r="K2546" s="56" t="n">
        <v>1</v>
      </c>
      <c r="L2546" s="52" t="s">
        <v>5816</v>
      </c>
      <c r="M2546" s="52" t="s">
        <v>38</v>
      </c>
    </row>
    <row r="2547" customFormat="false" ht="17.25" hidden="false" customHeight="true" outlineLevel="0" collapsed="false">
      <c r="A2547" s="52" t="s">
        <v>5777</v>
      </c>
      <c r="B2547" s="52" t="s">
        <v>5813</v>
      </c>
      <c r="C2547" s="53" t="n">
        <v>138613</v>
      </c>
      <c r="D2547" s="52" t="s">
        <v>5397</v>
      </c>
      <c r="E2547" s="52" t="s">
        <v>5398</v>
      </c>
      <c r="F2547" s="54" t="n">
        <v>40</v>
      </c>
      <c r="G2547" s="55" t="n">
        <v>23.25</v>
      </c>
      <c r="H2547" s="55" t="n">
        <v>0.5813</v>
      </c>
      <c r="I2547" s="55" t="n">
        <v>0.1781</v>
      </c>
      <c r="J2547" s="52" t="s">
        <v>5816</v>
      </c>
      <c r="K2547" s="56" t="n">
        <v>1</v>
      </c>
      <c r="L2547" s="52" t="s">
        <v>5816</v>
      </c>
      <c r="M2547" s="52" t="s">
        <v>100</v>
      </c>
    </row>
    <row r="2548" customFormat="false" ht="17.25" hidden="false" customHeight="true" outlineLevel="0" collapsed="false">
      <c r="A2548" s="52" t="s">
        <v>5777</v>
      </c>
      <c r="B2548" s="52" t="s">
        <v>5813</v>
      </c>
      <c r="C2548" s="53" t="n">
        <v>881428</v>
      </c>
      <c r="D2548" s="52" t="s">
        <v>5399</v>
      </c>
      <c r="E2548" s="52" t="s">
        <v>5400</v>
      </c>
      <c r="F2548" s="54" t="n">
        <v>2</v>
      </c>
      <c r="G2548" s="55" t="n">
        <v>23</v>
      </c>
      <c r="H2548" s="55" t="n">
        <v>11.5</v>
      </c>
      <c r="I2548" s="55" t="n">
        <v>11.5</v>
      </c>
      <c r="J2548" s="52" t="s">
        <v>5816</v>
      </c>
      <c r="K2548" s="56" t="n">
        <v>1</v>
      </c>
      <c r="L2548" s="52" t="s">
        <v>5816</v>
      </c>
      <c r="M2548" s="52" t="s">
        <v>38</v>
      </c>
    </row>
    <row r="2549" customFormat="false" ht="17.25" hidden="false" customHeight="true" outlineLevel="0" collapsed="false">
      <c r="A2549" s="52" t="s">
        <v>5777</v>
      </c>
      <c r="B2549" s="52" t="s">
        <v>5813</v>
      </c>
      <c r="C2549" s="53" t="n">
        <v>16057</v>
      </c>
      <c r="D2549" s="52" t="s">
        <v>5401</v>
      </c>
      <c r="E2549" s="52" t="s">
        <v>5402</v>
      </c>
      <c r="F2549" s="54" t="n">
        <v>1</v>
      </c>
      <c r="G2549" s="55" t="n">
        <v>22.98</v>
      </c>
      <c r="H2549" s="55" t="n">
        <v>22.98</v>
      </c>
      <c r="I2549" s="55" t="n">
        <v>22.98</v>
      </c>
      <c r="J2549" s="52" t="s">
        <v>5816</v>
      </c>
      <c r="K2549" s="56" t="n">
        <v>1</v>
      </c>
      <c r="L2549" s="52" t="s">
        <v>5816</v>
      </c>
      <c r="M2549" s="52" t="s">
        <v>54</v>
      </c>
    </row>
    <row r="2550" customFormat="false" ht="17.25" hidden="false" customHeight="true" outlineLevel="0" collapsed="false">
      <c r="A2550" s="52" t="s">
        <v>5777</v>
      </c>
      <c r="B2550" s="52" t="s">
        <v>5813</v>
      </c>
      <c r="C2550" s="53" t="n">
        <v>221342</v>
      </c>
      <c r="D2550" s="52" t="s">
        <v>5403</v>
      </c>
      <c r="E2550" s="52" t="s">
        <v>5404</v>
      </c>
      <c r="F2550" s="54" t="n">
        <v>1</v>
      </c>
      <c r="G2550" s="55" t="n">
        <v>22.98</v>
      </c>
      <c r="H2550" s="55" t="n">
        <v>22.98</v>
      </c>
      <c r="I2550" s="55" t="n">
        <v>22.98</v>
      </c>
      <c r="J2550" s="52" t="s">
        <v>5816</v>
      </c>
      <c r="K2550" s="56" t="n">
        <v>1</v>
      </c>
      <c r="L2550" s="52" t="s">
        <v>5816</v>
      </c>
      <c r="M2550" s="52" t="s">
        <v>100</v>
      </c>
    </row>
    <row r="2551" customFormat="false" ht="17.25" hidden="false" customHeight="true" outlineLevel="0" collapsed="false">
      <c r="A2551" s="52" t="s">
        <v>5777</v>
      </c>
      <c r="B2551" s="52" t="s">
        <v>5813</v>
      </c>
      <c r="C2551" s="53" t="n">
        <v>950836</v>
      </c>
      <c r="D2551" s="52" t="s">
        <v>5405</v>
      </c>
      <c r="E2551" s="52" t="s">
        <v>5406</v>
      </c>
      <c r="F2551" s="54" t="n">
        <v>1</v>
      </c>
      <c r="G2551" s="55" t="n">
        <v>22.98</v>
      </c>
      <c r="H2551" s="55" t="n">
        <v>22.98</v>
      </c>
      <c r="I2551" s="55" t="n">
        <v>22.98</v>
      </c>
      <c r="J2551" s="52" t="s">
        <v>5816</v>
      </c>
      <c r="K2551" s="56" t="n">
        <v>1</v>
      </c>
      <c r="L2551" s="52" t="s">
        <v>5816</v>
      </c>
      <c r="M2551" s="52" t="s">
        <v>54</v>
      </c>
    </row>
    <row r="2552" customFormat="false" ht="17.25" hidden="false" customHeight="true" outlineLevel="0" collapsed="false">
      <c r="A2552" s="52" t="s">
        <v>5777</v>
      </c>
      <c r="B2552" s="52" t="s">
        <v>5813</v>
      </c>
      <c r="C2552" s="53" t="n">
        <v>1330498</v>
      </c>
      <c r="D2552" s="52" t="s">
        <v>5407</v>
      </c>
      <c r="E2552" s="52" t="s">
        <v>5408</v>
      </c>
      <c r="F2552" s="54" t="n">
        <v>1</v>
      </c>
      <c r="G2552" s="55" t="n">
        <v>22.98</v>
      </c>
      <c r="H2552" s="55" t="n">
        <v>22.98</v>
      </c>
      <c r="I2552" s="55" t="n">
        <v>22.98</v>
      </c>
      <c r="J2552" s="52" t="s">
        <v>5816</v>
      </c>
      <c r="K2552" s="56" t="n">
        <v>1</v>
      </c>
      <c r="L2552" s="52" t="s">
        <v>5816</v>
      </c>
      <c r="M2552" s="52" t="s">
        <v>262</v>
      </c>
    </row>
    <row r="2553" customFormat="false" ht="17.25" hidden="false" customHeight="true" outlineLevel="0" collapsed="false">
      <c r="A2553" s="52" t="s">
        <v>5777</v>
      </c>
      <c r="B2553" s="52" t="s">
        <v>5813</v>
      </c>
      <c r="C2553" s="53" t="n">
        <v>1477380</v>
      </c>
      <c r="D2553" s="52" t="s">
        <v>5409</v>
      </c>
      <c r="E2553" s="52" t="s">
        <v>5410</v>
      </c>
      <c r="F2553" s="54" t="n">
        <v>4</v>
      </c>
      <c r="G2553" s="55" t="n">
        <v>22.42</v>
      </c>
      <c r="H2553" s="55" t="n">
        <v>5.605</v>
      </c>
      <c r="I2553" s="55" t="n">
        <v>4.98</v>
      </c>
      <c r="J2553" s="52" t="s">
        <v>5816</v>
      </c>
      <c r="K2553" s="56" t="n">
        <v>1</v>
      </c>
      <c r="L2553" s="52" t="s">
        <v>5816</v>
      </c>
      <c r="M2553" s="52" t="s">
        <v>54</v>
      </c>
    </row>
    <row r="2554" customFormat="false" ht="17.25" hidden="false" customHeight="true" outlineLevel="0" collapsed="false">
      <c r="A2554" s="52" t="s">
        <v>5777</v>
      </c>
      <c r="B2554" s="52" t="s">
        <v>5813</v>
      </c>
      <c r="C2554" s="53" t="n">
        <v>1312600</v>
      </c>
      <c r="D2554" s="52" t="s">
        <v>5411</v>
      </c>
      <c r="E2554" s="52" t="s">
        <v>5999</v>
      </c>
      <c r="F2554" s="54" t="n">
        <v>1</v>
      </c>
      <c r="G2554" s="55" t="n">
        <v>22.25</v>
      </c>
      <c r="H2554" s="55" t="n">
        <v>22.25</v>
      </c>
      <c r="I2554" s="55" t="n">
        <v>22.25</v>
      </c>
      <c r="J2554" s="52" t="s">
        <v>5816</v>
      </c>
      <c r="K2554" s="56" t="n">
        <v>1</v>
      </c>
      <c r="L2554" s="52" t="s">
        <v>5816</v>
      </c>
      <c r="M2554" s="52" t="s">
        <v>189</v>
      </c>
    </row>
    <row r="2555" customFormat="false" ht="17.25" hidden="false" customHeight="true" outlineLevel="0" collapsed="false">
      <c r="A2555" s="52" t="s">
        <v>5777</v>
      </c>
      <c r="B2555" s="52" t="s">
        <v>5813</v>
      </c>
      <c r="C2555" s="53" t="n">
        <v>844084</v>
      </c>
      <c r="D2555" s="52" t="s">
        <v>5413</v>
      </c>
      <c r="E2555" s="52" t="s">
        <v>5414</v>
      </c>
      <c r="F2555" s="54" t="n">
        <v>4</v>
      </c>
      <c r="G2555" s="55" t="n">
        <v>22.04</v>
      </c>
      <c r="H2555" s="55" t="n">
        <v>5.51</v>
      </c>
      <c r="I2555" s="55" t="n">
        <v>5.51</v>
      </c>
      <c r="J2555" s="52" t="s">
        <v>5816</v>
      </c>
      <c r="K2555" s="56" t="n">
        <v>1</v>
      </c>
      <c r="L2555" s="52" t="s">
        <v>5816</v>
      </c>
      <c r="M2555" s="52" t="s">
        <v>38</v>
      </c>
    </row>
    <row r="2556" customFormat="false" ht="17.25" hidden="false" customHeight="true" outlineLevel="0" collapsed="false">
      <c r="A2556" s="52" t="s">
        <v>5777</v>
      </c>
      <c r="B2556" s="52" t="s">
        <v>5813</v>
      </c>
      <c r="C2556" s="53" t="n">
        <v>1539915</v>
      </c>
      <c r="D2556" s="52" t="s">
        <v>5415</v>
      </c>
      <c r="E2556" s="52" t="s">
        <v>5416</v>
      </c>
      <c r="F2556" s="54" t="n">
        <v>1</v>
      </c>
      <c r="G2556" s="55" t="n">
        <v>22</v>
      </c>
      <c r="H2556" s="55" t="n">
        <v>22</v>
      </c>
      <c r="I2556" s="55" t="n">
        <v>22</v>
      </c>
      <c r="J2556" s="52" t="s">
        <v>5816</v>
      </c>
      <c r="K2556" s="56" t="n">
        <v>1</v>
      </c>
      <c r="L2556" s="52" t="s">
        <v>5816</v>
      </c>
      <c r="M2556" s="52" t="s">
        <v>130</v>
      </c>
    </row>
    <row r="2557" customFormat="false" ht="17.25" hidden="false" customHeight="true" outlineLevel="0" collapsed="false">
      <c r="A2557" s="52" t="s">
        <v>5777</v>
      </c>
      <c r="B2557" s="52" t="s">
        <v>5813</v>
      </c>
      <c r="C2557" s="53" t="n">
        <v>19877</v>
      </c>
      <c r="D2557" s="52" t="s">
        <v>5417</v>
      </c>
      <c r="E2557" s="52" t="s">
        <v>5418</v>
      </c>
      <c r="F2557" s="54" t="n">
        <v>1</v>
      </c>
      <c r="G2557" s="55" t="n">
        <v>21.95</v>
      </c>
      <c r="H2557" s="55" t="n">
        <v>21.95</v>
      </c>
      <c r="I2557" s="55" t="n">
        <v>21.95</v>
      </c>
      <c r="J2557" s="52" t="s">
        <v>5816</v>
      </c>
      <c r="K2557" s="56" t="n">
        <v>1</v>
      </c>
      <c r="L2557" s="52" t="s">
        <v>5816</v>
      </c>
      <c r="M2557" s="52" t="s">
        <v>457</v>
      </c>
    </row>
    <row r="2558" customFormat="false" ht="17.25" hidden="false" customHeight="true" outlineLevel="0" collapsed="false">
      <c r="A2558" s="52" t="s">
        <v>5777</v>
      </c>
      <c r="B2558" s="52" t="s">
        <v>5813</v>
      </c>
      <c r="C2558" s="53" t="n">
        <v>605444</v>
      </c>
      <c r="D2558" s="52" t="s">
        <v>5419</v>
      </c>
      <c r="E2558" s="52" t="s">
        <v>5420</v>
      </c>
      <c r="F2558" s="54" t="n">
        <v>36</v>
      </c>
      <c r="G2558" s="55" t="n">
        <v>21.6</v>
      </c>
      <c r="H2558" s="55" t="n">
        <v>0.6</v>
      </c>
      <c r="I2558" s="55" t="n">
        <v>0.6</v>
      </c>
      <c r="J2558" s="52" t="s">
        <v>5816</v>
      </c>
      <c r="K2558" s="56" t="n">
        <v>1</v>
      </c>
      <c r="L2558" s="52" t="s">
        <v>5816</v>
      </c>
      <c r="M2558" s="52" t="s">
        <v>100</v>
      </c>
    </row>
    <row r="2559" customFormat="false" ht="17.25" hidden="false" customHeight="true" outlineLevel="0" collapsed="false">
      <c r="A2559" s="52" t="s">
        <v>5777</v>
      </c>
      <c r="B2559" s="52" t="s">
        <v>5813</v>
      </c>
      <c r="C2559" s="53" t="n">
        <v>14759</v>
      </c>
      <c r="D2559" s="52" t="s">
        <v>5421</v>
      </c>
      <c r="E2559" s="52" t="s">
        <v>5422</v>
      </c>
      <c r="F2559" s="54" t="n">
        <v>4</v>
      </c>
      <c r="G2559" s="55" t="n">
        <v>21.36</v>
      </c>
      <c r="H2559" s="55" t="n">
        <v>5.34</v>
      </c>
      <c r="I2559" s="55" t="n">
        <v>5.34</v>
      </c>
      <c r="J2559" s="52" t="s">
        <v>5816</v>
      </c>
      <c r="K2559" s="56" t="n">
        <v>1</v>
      </c>
      <c r="L2559" s="52" t="s">
        <v>5816</v>
      </c>
      <c r="M2559" s="52" t="s">
        <v>54</v>
      </c>
    </row>
    <row r="2560" customFormat="false" ht="17.25" hidden="false" customHeight="true" outlineLevel="0" collapsed="false">
      <c r="A2560" s="52" t="s">
        <v>5777</v>
      </c>
      <c r="B2560" s="52" t="s">
        <v>5813</v>
      </c>
      <c r="C2560" s="53" t="n">
        <v>1660992</v>
      </c>
      <c r="D2560" s="52" t="s">
        <v>5423</v>
      </c>
      <c r="E2560" s="52" t="s">
        <v>5424</v>
      </c>
      <c r="F2560" s="54" t="n">
        <v>70</v>
      </c>
      <c r="G2560" s="55" t="n">
        <v>21</v>
      </c>
      <c r="H2560" s="55" t="n">
        <v>0.3</v>
      </c>
      <c r="I2560" s="55" t="n">
        <v>0.3</v>
      </c>
      <c r="J2560" s="52" t="s">
        <v>5816</v>
      </c>
      <c r="K2560" s="56" t="n">
        <v>1</v>
      </c>
      <c r="L2560" s="52" t="s">
        <v>5816</v>
      </c>
      <c r="M2560" s="52" t="s">
        <v>38</v>
      </c>
    </row>
    <row r="2561" customFormat="false" ht="17.25" hidden="false" customHeight="true" outlineLevel="0" collapsed="false">
      <c r="A2561" s="52" t="s">
        <v>5777</v>
      </c>
      <c r="B2561" s="52" t="s">
        <v>5813</v>
      </c>
      <c r="C2561" s="53" t="n">
        <v>1660993</v>
      </c>
      <c r="D2561" s="52" t="s">
        <v>5425</v>
      </c>
      <c r="E2561" s="52" t="s">
        <v>5426</v>
      </c>
      <c r="F2561" s="54" t="n">
        <v>70</v>
      </c>
      <c r="G2561" s="55" t="n">
        <v>21</v>
      </c>
      <c r="H2561" s="55" t="n">
        <v>0.3</v>
      </c>
      <c r="I2561" s="55" t="n">
        <v>0.3</v>
      </c>
      <c r="J2561" s="52" t="s">
        <v>5816</v>
      </c>
      <c r="K2561" s="56" t="n">
        <v>1</v>
      </c>
      <c r="L2561" s="52" t="s">
        <v>5816</v>
      </c>
      <c r="M2561" s="52" t="s">
        <v>38</v>
      </c>
    </row>
    <row r="2562" customFormat="false" ht="17.25" hidden="false" customHeight="true" outlineLevel="0" collapsed="false">
      <c r="A2562" s="52" t="s">
        <v>5777</v>
      </c>
      <c r="B2562" s="52" t="s">
        <v>5813</v>
      </c>
      <c r="C2562" s="53" t="n">
        <v>942228</v>
      </c>
      <c r="D2562" s="52" t="s">
        <v>5427</v>
      </c>
      <c r="E2562" s="52" t="s">
        <v>5428</v>
      </c>
      <c r="F2562" s="54" t="n">
        <v>35</v>
      </c>
      <c r="G2562" s="55" t="n">
        <v>20.3</v>
      </c>
      <c r="H2562" s="55" t="n">
        <v>0.58</v>
      </c>
      <c r="I2562" s="55" t="n">
        <v>0.58</v>
      </c>
      <c r="J2562" s="52" t="s">
        <v>5816</v>
      </c>
      <c r="K2562" s="56" t="n">
        <v>1</v>
      </c>
      <c r="L2562" s="52" t="s">
        <v>5816</v>
      </c>
      <c r="M2562" s="52" t="s">
        <v>100</v>
      </c>
    </row>
    <row r="2563" customFormat="false" ht="17.25" hidden="false" customHeight="true" outlineLevel="0" collapsed="false">
      <c r="A2563" s="52" t="s">
        <v>5777</v>
      </c>
      <c r="B2563" s="52" t="s">
        <v>5813</v>
      </c>
      <c r="C2563" s="53" t="n">
        <v>33798</v>
      </c>
      <c r="D2563" s="52" t="s">
        <v>5429</v>
      </c>
      <c r="E2563" s="52" t="s">
        <v>5430</v>
      </c>
      <c r="F2563" s="54" t="n">
        <v>500</v>
      </c>
      <c r="G2563" s="55" t="n">
        <v>20</v>
      </c>
      <c r="H2563" s="55" t="n">
        <v>0.04</v>
      </c>
      <c r="I2563" s="55" t="n">
        <v>0.04</v>
      </c>
      <c r="J2563" s="52" t="s">
        <v>5816</v>
      </c>
      <c r="K2563" s="56" t="n">
        <v>1</v>
      </c>
      <c r="L2563" s="52" t="s">
        <v>5816</v>
      </c>
      <c r="M2563" s="52" t="s">
        <v>100</v>
      </c>
    </row>
    <row r="2564" customFormat="false" ht="17.25" hidden="false" customHeight="true" outlineLevel="0" collapsed="false">
      <c r="A2564" s="52" t="s">
        <v>5777</v>
      </c>
      <c r="B2564" s="52" t="s">
        <v>5813</v>
      </c>
      <c r="C2564" s="53" t="n">
        <v>56738</v>
      </c>
      <c r="D2564" s="52" t="s">
        <v>5431</v>
      </c>
      <c r="E2564" s="52" t="s">
        <v>5432</v>
      </c>
      <c r="F2564" s="54" t="n">
        <v>100</v>
      </c>
      <c r="G2564" s="55" t="n">
        <v>20</v>
      </c>
      <c r="H2564" s="55" t="n">
        <v>0.2</v>
      </c>
      <c r="I2564" s="55" t="n">
        <v>0.2</v>
      </c>
      <c r="J2564" s="52" t="s">
        <v>5816</v>
      </c>
      <c r="K2564" s="56" t="n">
        <v>1</v>
      </c>
      <c r="L2564" s="52" t="s">
        <v>5816</v>
      </c>
      <c r="M2564" s="52" t="s">
        <v>38</v>
      </c>
    </row>
    <row r="2565" customFormat="false" ht="17.25" hidden="false" customHeight="true" outlineLevel="0" collapsed="false">
      <c r="A2565" s="52" t="s">
        <v>5777</v>
      </c>
      <c r="B2565" s="52" t="s">
        <v>5813</v>
      </c>
      <c r="C2565" s="53" t="n">
        <v>277262</v>
      </c>
      <c r="D2565" s="52" t="s">
        <v>5433</v>
      </c>
      <c r="E2565" s="52" t="s">
        <v>5434</v>
      </c>
      <c r="F2565" s="54" t="n">
        <v>2</v>
      </c>
      <c r="G2565" s="55" t="n">
        <v>20</v>
      </c>
      <c r="H2565" s="55" t="n">
        <v>10</v>
      </c>
      <c r="I2565" s="55" t="n">
        <v>10</v>
      </c>
      <c r="J2565" s="52" t="s">
        <v>5816</v>
      </c>
      <c r="K2565" s="56" t="n">
        <v>1</v>
      </c>
      <c r="L2565" s="52" t="s">
        <v>5816</v>
      </c>
      <c r="M2565" s="52" t="s">
        <v>2056</v>
      </c>
    </row>
    <row r="2566" customFormat="false" ht="17.25" hidden="false" customHeight="true" outlineLevel="0" collapsed="false">
      <c r="A2566" s="52" t="s">
        <v>5777</v>
      </c>
      <c r="B2566" s="52" t="s">
        <v>5813</v>
      </c>
      <c r="C2566" s="53" t="n">
        <v>833724</v>
      </c>
      <c r="D2566" s="52" t="s">
        <v>5435</v>
      </c>
      <c r="E2566" s="52" t="s">
        <v>5436</v>
      </c>
      <c r="F2566" s="54" t="n">
        <v>1</v>
      </c>
      <c r="G2566" s="55" t="n">
        <v>20</v>
      </c>
      <c r="H2566" s="55" t="n">
        <v>20</v>
      </c>
      <c r="I2566" s="55" t="n">
        <v>20</v>
      </c>
      <c r="J2566" s="52" t="s">
        <v>5816</v>
      </c>
      <c r="K2566" s="56" t="n">
        <v>1</v>
      </c>
      <c r="L2566" s="52" t="s">
        <v>5816</v>
      </c>
      <c r="M2566" s="52" t="s">
        <v>2056</v>
      </c>
    </row>
    <row r="2567" customFormat="false" ht="17.25" hidden="false" customHeight="true" outlineLevel="0" collapsed="false">
      <c r="A2567" s="52" t="s">
        <v>5777</v>
      </c>
      <c r="B2567" s="52" t="s">
        <v>5813</v>
      </c>
      <c r="C2567" s="53" t="n">
        <v>16406</v>
      </c>
      <c r="D2567" s="52" t="s">
        <v>5437</v>
      </c>
      <c r="E2567" s="52" t="s">
        <v>5438</v>
      </c>
      <c r="F2567" s="54" t="n">
        <v>1</v>
      </c>
      <c r="G2567" s="55" t="n">
        <v>19.98</v>
      </c>
      <c r="H2567" s="55" t="n">
        <v>19.98</v>
      </c>
      <c r="I2567" s="55" t="n">
        <v>19.98</v>
      </c>
      <c r="J2567" s="52" t="s">
        <v>5816</v>
      </c>
      <c r="K2567" s="56" t="n">
        <v>1</v>
      </c>
      <c r="L2567" s="52" t="s">
        <v>5816</v>
      </c>
      <c r="M2567" s="52" t="s">
        <v>54</v>
      </c>
    </row>
    <row r="2568" customFormat="false" ht="17.25" hidden="false" customHeight="true" outlineLevel="0" collapsed="false">
      <c r="A2568" s="52" t="s">
        <v>5777</v>
      </c>
      <c r="B2568" s="52" t="s">
        <v>5813</v>
      </c>
      <c r="C2568" s="53" t="n">
        <v>18026</v>
      </c>
      <c r="D2568" s="52" t="s">
        <v>5439</v>
      </c>
      <c r="E2568" s="52" t="s">
        <v>5440</v>
      </c>
      <c r="F2568" s="54" t="n">
        <v>1</v>
      </c>
      <c r="G2568" s="55" t="n">
        <v>19.98</v>
      </c>
      <c r="H2568" s="55" t="n">
        <v>19.98</v>
      </c>
      <c r="I2568" s="55" t="n">
        <v>19.98</v>
      </c>
      <c r="J2568" s="52" t="s">
        <v>5816</v>
      </c>
      <c r="K2568" s="56" t="n">
        <v>1</v>
      </c>
      <c r="L2568" s="52" t="s">
        <v>5816</v>
      </c>
      <c r="M2568" s="52" t="s">
        <v>130</v>
      </c>
    </row>
    <row r="2569" customFormat="false" ht="17.25" hidden="false" customHeight="true" outlineLevel="0" collapsed="false">
      <c r="A2569" s="52" t="s">
        <v>5777</v>
      </c>
      <c r="B2569" s="52" t="s">
        <v>5813</v>
      </c>
      <c r="C2569" s="53" t="n">
        <v>22886</v>
      </c>
      <c r="D2569" s="52" t="s">
        <v>5441</v>
      </c>
      <c r="E2569" s="52" t="s">
        <v>5442</v>
      </c>
      <c r="F2569" s="54" t="n">
        <v>1</v>
      </c>
      <c r="G2569" s="55" t="n">
        <v>19.98</v>
      </c>
      <c r="H2569" s="55" t="n">
        <v>19.98</v>
      </c>
      <c r="I2569" s="55" t="n">
        <v>19.98</v>
      </c>
      <c r="J2569" s="52" t="s">
        <v>5816</v>
      </c>
      <c r="K2569" s="56" t="n">
        <v>1</v>
      </c>
      <c r="L2569" s="52" t="s">
        <v>5816</v>
      </c>
      <c r="M2569" s="52" t="s">
        <v>1618</v>
      </c>
    </row>
    <row r="2570" customFormat="false" ht="17.25" hidden="false" customHeight="true" outlineLevel="0" collapsed="false">
      <c r="A2570" s="52" t="s">
        <v>5777</v>
      </c>
      <c r="B2570" s="52" t="s">
        <v>5813</v>
      </c>
      <c r="C2570" s="53" t="n">
        <v>33787</v>
      </c>
      <c r="D2570" s="52" t="s">
        <v>5443</v>
      </c>
      <c r="E2570" s="52" t="s">
        <v>5444</v>
      </c>
      <c r="F2570" s="54" t="n">
        <v>1</v>
      </c>
      <c r="G2570" s="55" t="n">
        <v>19.98</v>
      </c>
      <c r="H2570" s="55" t="n">
        <v>19.98</v>
      </c>
      <c r="I2570" s="55" t="n">
        <v>19.98</v>
      </c>
      <c r="J2570" s="52" t="s">
        <v>5816</v>
      </c>
      <c r="K2570" s="56" t="n">
        <v>1</v>
      </c>
      <c r="L2570" s="52" t="s">
        <v>5816</v>
      </c>
      <c r="M2570" s="52" t="s">
        <v>54</v>
      </c>
    </row>
    <row r="2571" customFormat="false" ht="17.25" hidden="false" customHeight="true" outlineLevel="0" collapsed="false">
      <c r="A2571" s="52" t="s">
        <v>5777</v>
      </c>
      <c r="B2571" s="52" t="s">
        <v>5813</v>
      </c>
      <c r="C2571" s="53" t="n">
        <v>427056</v>
      </c>
      <c r="D2571" s="52" t="s">
        <v>5445</v>
      </c>
      <c r="E2571" s="52" t="s">
        <v>5446</v>
      </c>
      <c r="F2571" s="54" t="n">
        <v>1</v>
      </c>
      <c r="G2571" s="55" t="n">
        <v>19.98</v>
      </c>
      <c r="H2571" s="55" t="n">
        <v>19.98</v>
      </c>
      <c r="I2571" s="55" t="n">
        <v>19.98</v>
      </c>
      <c r="J2571" s="52" t="s">
        <v>5816</v>
      </c>
      <c r="K2571" s="56" t="n">
        <v>1</v>
      </c>
      <c r="L2571" s="52" t="s">
        <v>5816</v>
      </c>
      <c r="M2571" s="52" t="s">
        <v>54</v>
      </c>
    </row>
    <row r="2572" customFormat="false" ht="17.25" hidden="false" customHeight="true" outlineLevel="0" collapsed="false">
      <c r="A2572" s="52" t="s">
        <v>5777</v>
      </c>
      <c r="B2572" s="52" t="s">
        <v>5813</v>
      </c>
      <c r="C2572" s="53" t="n">
        <v>728572</v>
      </c>
      <c r="D2572" s="52" t="s">
        <v>5447</v>
      </c>
      <c r="E2572" s="52" t="s">
        <v>5448</v>
      </c>
      <c r="F2572" s="54" t="n">
        <v>1</v>
      </c>
      <c r="G2572" s="55" t="n">
        <v>19.98</v>
      </c>
      <c r="H2572" s="55" t="n">
        <v>19.98</v>
      </c>
      <c r="I2572" s="55" t="n">
        <v>19.98</v>
      </c>
      <c r="J2572" s="52" t="s">
        <v>5816</v>
      </c>
      <c r="K2572" s="56" t="n">
        <v>1</v>
      </c>
      <c r="L2572" s="52" t="s">
        <v>5816</v>
      </c>
      <c r="M2572" s="52" t="s">
        <v>54</v>
      </c>
    </row>
    <row r="2573" customFormat="false" ht="17.25" hidden="false" customHeight="true" outlineLevel="0" collapsed="false">
      <c r="A2573" s="52" t="s">
        <v>5777</v>
      </c>
      <c r="B2573" s="52" t="s">
        <v>5813</v>
      </c>
      <c r="C2573" s="53" t="n">
        <v>941221</v>
      </c>
      <c r="D2573" s="52" t="s">
        <v>5449</v>
      </c>
      <c r="E2573" s="52" t="s">
        <v>5450</v>
      </c>
      <c r="F2573" s="54" t="n">
        <v>1</v>
      </c>
      <c r="G2573" s="55" t="n">
        <v>19.98</v>
      </c>
      <c r="H2573" s="55" t="n">
        <v>19.98</v>
      </c>
      <c r="I2573" s="55" t="n">
        <v>19.98</v>
      </c>
      <c r="J2573" s="52" t="s">
        <v>5816</v>
      </c>
      <c r="K2573" s="56" t="n">
        <v>1</v>
      </c>
      <c r="L2573" s="52" t="s">
        <v>5816</v>
      </c>
      <c r="M2573" s="52" t="s">
        <v>1095</v>
      </c>
    </row>
    <row r="2574" customFormat="false" ht="17.25" hidden="false" customHeight="true" outlineLevel="0" collapsed="false">
      <c r="A2574" s="52" t="s">
        <v>5777</v>
      </c>
      <c r="B2574" s="52" t="s">
        <v>5813</v>
      </c>
      <c r="C2574" s="53" t="n">
        <v>1389046</v>
      </c>
      <c r="D2574" s="52" t="s">
        <v>5451</v>
      </c>
      <c r="E2574" s="52" t="s">
        <v>5452</v>
      </c>
      <c r="F2574" s="54" t="n">
        <v>1</v>
      </c>
      <c r="G2574" s="55" t="n">
        <v>19.98</v>
      </c>
      <c r="H2574" s="55" t="n">
        <v>19.98</v>
      </c>
      <c r="I2574" s="55" t="n">
        <v>19.98</v>
      </c>
      <c r="J2574" s="52" t="s">
        <v>5816</v>
      </c>
      <c r="K2574" s="56" t="n">
        <v>1</v>
      </c>
      <c r="L2574" s="52" t="s">
        <v>5816</v>
      </c>
      <c r="M2574" s="52" t="s">
        <v>38</v>
      </c>
    </row>
    <row r="2575" customFormat="false" ht="17.25" hidden="false" customHeight="true" outlineLevel="0" collapsed="false">
      <c r="A2575" s="52" t="s">
        <v>5777</v>
      </c>
      <c r="B2575" s="52" t="s">
        <v>5813</v>
      </c>
      <c r="C2575" s="53" t="n">
        <v>12654</v>
      </c>
      <c r="D2575" s="52" t="s">
        <v>5453</v>
      </c>
      <c r="E2575" s="52" t="s">
        <v>5454</v>
      </c>
      <c r="F2575" s="54" t="n">
        <v>2</v>
      </c>
      <c r="G2575" s="55" t="n">
        <v>19.96</v>
      </c>
      <c r="H2575" s="55" t="n">
        <v>9.98</v>
      </c>
      <c r="I2575" s="55" t="n">
        <v>9.98</v>
      </c>
      <c r="J2575" s="52" t="s">
        <v>5816</v>
      </c>
      <c r="K2575" s="56" t="n">
        <v>1</v>
      </c>
      <c r="L2575" s="52" t="s">
        <v>5816</v>
      </c>
      <c r="M2575" s="52" t="s">
        <v>38</v>
      </c>
    </row>
    <row r="2576" customFormat="false" ht="17.25" hidden="false" customHeight="true" outlineLevel="0" collapsed="false">
      <c r="A2576" s="52" t="s">
        <v>5777</v>
      </c>
      <c r="B2576" s="52" t="s">
        <v>5813</v>
      </c>
      <c r="C2576" s="53" t="n">
        <v>289969</v>
      </c>
      <c r="D2576" s="52" t="s">
        <v>5455</v>
      </c>
      <c r="E2576" s="52" t="s">
        <v>5456</v>
      </c>
      <c r="F2576" s="54" t="n">
        <v>4</v>
      </c>
      <c r="G2576" s="55" t="n">
        <v>19.96</v>
      </c>
      <c r="H2576" s="55" t="n">
        <v>4.99</v>
      </c>
      <c r="I2576" s="55" t="n">
        <v>4.99</v>
      </c>
      <c r="J2576" s="52" t="s">
        <v>5816</v>
      </c>
      <c r="K2576" s="56" t="n">
        <v>1</v>
      </c>
      <c r="L2576" s="52" t="s">
        <v>5816</v>
      </c>
      <c r="M2576" s="52" t="s">
        <v>54</v>
      </c>
    </row>
    <row r="2577" customFormat="false" ht="17.25" hidden="false" customHeight="true" outlineLevel="0" collapsed="false">
      <c r="A2577" s="52" t="s">
        <v>5777</v>
      </c>
      <c r="B2577" s="52" t="s">
        <v>5813</v>
      </c>
      <c r="C2577" s="53" t="n">
        <v>21378</v>
      </c>
      <c r="D2577" s="52" t="s">
        <v>5457</v>
      </c>
      <c r="E2577" s="52" t="s">
        <v>5458</v>
      </c>
      <c r="F2577" s="54" t="n">
        <v>4</v>
      </c>
      <c r="G2577" s="55" t="n">
        <v>19.92</v>
      </c>
      <c r="H2577" s="55" t="n">
        <v>4.98</v>
      </c>
      <c r="I2577" s="55" t="n">
        <v>4.98</v>
      </c>
      <c r="J2577" s="52" t="s">
        <v>5816</v>
      </c>
      <c r="K2577" s="56" t="n">
        <v>1</v>
      </c>
      <c r="L2577" s="52" t="s">
        <v>5816</v>
      </c>
      <c r="M2577" s="52" t="s">
        <v>189</v>
      </c>
    </row>
    <row r="2578" customFormat="false" ht="17.25" hidden="false" customHeight="true" outlineLevel="0" collapsed="false">
      <c r="A2578" s="52" t="s">
        <v>5777</v>
      </c>
      <c r="B2578" s="52" t="s">
        <v>5813</v>
      </c>
      <c r="C2578" s="53" t="n">
        <v>141109</v>
      </c>
      <c r="D2578" s="52" t="s">
        <v>5459</v>
      </c>
      <c r="E2578" s="52" t="s">
        <v>5460</v>
      </c>
      <c r="F2578" s="54" t="n">
        <v>4</v>
      </c>
      <c r="G2578" s="55" t="n">
        <v>19.88</v>
      </c>
      <c r="H2578" s="55" t="n">
        <v>4.97</v>
      </c>
      <c r="I2578" s="55" t="n">
        <v>4.97</v>
      </c>
      <c r="J2578" s="52" t="s">
        <v>5816</v>
      </c>
      <c r="K2578" s="56" t="n">
        <v>1</v>
      </c>
      <c r="L2578" s="52" t="s">
        <v>5816</v>
      </c>
      <c r="M2578" s="52" t="s">
        <v>189</v>
      </c>
    </row>
    <row r="2579" customFormat="false" ht="17.25" hidden="false" customHeight="true" outlineLevel="0" collapsed="false">
      <c r="A2579" s="52" t="s">
        <v>5777</v>
      </c>
      <c r="B2579" s="52" t="s">
        <v>5813</v>
      </c>
      <c r="C2579" s="53" t="n">
        <v>16864</v>
      </c>
      <c r="D2579" s="52" t="s">
        <v>5461</v>
      </c>
      <c r="E2579" s="52" t="s">
        <v>5462</v>
      </c>
      <c r="F2579" s="54" t="n">
        <v>20</v>
      </c>
      <c r="G2579" s="55" t="n">
        <v>19.6</v>
      </c>
      <c r="H2579" s="55" t="n">
        <v>0.98</v>
      </c>
      <c r="I2579" s="55" t="n">
        <v>0.98</v>
      </c>
      <c r="J2579" s="52" t="s">
        <v>5816</v>
      </c>
      <c r="K2579" s="56" t="n">
        <v>1</v>
      </c>
      <c r="L2579" s="52" t="s">
        <v>5816</v>
      </c>
      <c r="M2579" s="52" t="s">
        <v>100</v>
      </c>
    </row>
    <row r="2580" customFormat="false" ht="17.25" hidden="false" customHeight="true" outlineLevel="0" collapsed="false">
      <c r="A2580" s="52" t="s">
        <v>5777</v>
      </c>
      <c r="B2580" s="52" t="s">
        <v>5813</v>
      </c>
      <c r="C2580" s="53" t="n">
        <v>652843</v>
      </c>
      <c r="D2580" s="52" t="s">
        <v>5463</v>
      </c>
      <c r="E2580" s="52" t="s">
        <v>5464</v>
      </c>
      <c r="F2580" s="54" t="n">
        <v>8</v>
      </c>
      <c r="G2580" s="55" t="n">
        <v>19.36</v>
      </c>
      <c r="H2580" s="55" t="n">
        <v>2.42</v>
      </c>
      <c r="I2580" s="55" t="n">
        <v>2.42</v>
      </c>
      <c r="J2580" s="52" t="s">
        <v>5816</v>
      </c>
      <c r="K2580" s="56" t="n">
        <v>1</v>
      </c>
      <c r="L2580" s="52" t="s">
        <v>5816</v>
      </c>
      <c r="M2580" s="52" t="s">
        <v>54</v>
      </c>
    </row>
    <row r="2581" customFormat="false" ht="17.25" hidden="false" customHeight="true" outlineLevel="0" collapsed="false">
      <c r="A2581" s="52" t="s">
        <v>5777</v>
      </c>
      <c r="B2581" s="52" t="s">
        <v>5813</v>
      </c>
      <c r="C2581" s="53" t="n">
        <v>19504</v>
      </c>
      <c r="D2581" s="52" t="s">
        <v>5465</v>
      </c>
      <c r="E2581" s="52" t="s">
        <v>5466</v>
      </c>
      <c r="F2581" s="54" t="n">
        <v>1</v>
      </c>
      <c r="G2581" s="55" t="n">
        <v>19.19</v>
      </c>
      <c r="H2581" s="55" t="n">
        <v>19.19</v>
      </c>
      <c r="I2581" s="55" t="n">
        <v>19.19</v>
      </c>
      <c r="J2581" s="52" t="s">
        <v>5816</v>
      </c>
      <c r="K2581" s="56" t="n">
        <v>1</v>
      </c>
      <c r="L2581" s="52" t="s">
        <v>5816</v>
      </c>
      <c r="M2581" s="52" t="s">
        <v>1095</v>
      </c>
    </row>
    <row r="2582" customFormat="false" ht="17.25" hidden="false" customHeight="true" outlineLevel="0" collapsed="false">
      <c r="A2582" s="52" t="s">
        <v>5777</v>
      </c>
      <c r="B2582" s="52" t="s">
        <v>5813</v>
      </c>
      <c r="C2582" s="53" t="n">
        <v>1615085</v>
      </c>
      <c r="D2582" s="52" t="s">
        <v>5467</v>
      </c>
      <c r="E2582" s="52" t="s">
        <v>5468</v>
      </c>
      <c r="F2582" s="54" t="n">
        <v>6</v>
      </c>
      <c r="G2582" s="55" t="n">
        <v>18.78</v>
      </c>
      <c r="H2582" s="55" t="n">
        <v>3.13</v>
      </c>
      <c r="I2582" s="55" t="n">
        <v>3.13</v>
      </c>
      <c r="J2582" s="52" t="s">
        <v>5816</v>
      </c>
      <c r="K2582" s="56" t="n">
        <v>1</v>
      </c>
      <c r="L2582" s="52" t="s">
        <v>5816</v>
      </c>
      <c r="M2582" s="52" t="s">
        <v>38</v>
      </c>
    </row>
    <row r="2583" customFormat="false" ht="17.25" hidden="false" customHeight="true" outlineLevel="0" collapsed="false">
      <c r="A2583" s="52" t="s">
        <v>5777</v>
      </c>
      <c r="B2583" s="52" t="s">
        <v>5813</v>
      </c>
      <c r="C2583" s="53" t="n">
        <v>22320</v>
      </c>
      <c r="D2583" s="52" t="s">
        <v>5469</v>
      </c>
      <c r="E2583" s="52" t="s">
        <v>5470</v>
      </c>
      <c r="F2583" s="54" t="n">
        <v>1</v>
      </c>
      <c r="G2583" s="55" t="n">
        <v>18</v>
      </c>
      <c r="H2583" s="55" t="n">
        <v>18</v>
      </c>
      <c r="I2583" s="55" t="n">
        <v>18</v>
      </c>
      <c r="J2583" s="52" t="s">
        <v>5816</v>
      </c>
      <c r="K2583" s="56" t="n">
        <v>1</v>
      </c>
      <c r="L2583" s="52" t="s">
        <v>5816</v>
      </c>
      <c r="M2583" s="52" t="s">
        <v>38</v>
      </c>
    </row>
    <row r="2584" customFormat="false" ht="17.25" hidden="false" customHeight="true" outlineLevel="0" collapsed="false">
      <c r="A2584" s="52" t="s">
        <v>5777</v>
      </c>
      <c r="B2584" s="52" t="s">
        <v>5813</v>
      </c>
      <c r="C2584" s="53" t="n">
        <v>833722</v>
      </c>
      <c r="D2584" s="52" t="s">
        <v>5471</v>
      </c>
      <c r="E2584" s="52" t="s">
        <v>5472</v>
      </c>
      <c r="F2584" s="54" t="n">
        <v>3</v>
      </c>
      <c r="G2584" s="55" t="n">
        <v>18</v>
      </c>
      <c r="H2584" s="55" t="n">
        <v>6</v>
      </c>
      <c r="I2584" s="55" t="n">
        <v>6</v>
      </c>
      <c r="J2584" s="52" t="s">
        <v>5816</v>
      </c>
      <c r="K2584" s="56" t="n">
        <v>1</v>
      </c>
      <c r="L2584" s="52" t="s">
        <v>5816</v>
      </c>
      <c r="M2584" s="52" t="s">
        <v>2056</v>
      </c>
    </row>
    <row r="2585" customFormat="false" ht="17.25" hidden="false" customHeight="true" outlineLevel="0" collapsed="false">
      <c r="A2585" s="52" t="s">
        <v>5777</v>
      </c>
      <c r="B2585" s="52" t="s">
        <v>5813</v>
      </c>
      <c r="C2585" s="53" t="n">
        <v>1077620</v>
      </c>
      <c r="D2585" s="52" t="s">
        <v>5473</v>
      </c>
      <c r="E2585" s="52" t="s">
        <v>5474</v>
      </c>
      <c r="F2585" s="54" t="n">
        <v>1</v>
      </c>
      <c r="G2585" s="55" t="n">
        <v>18</v>
      </c>
      <c r="H2585" s="55" t="n">
        <v>18</v>
      </c>
      <c r="I2585" s="55" t="n">
        <v>18</v>
      </c>
      <c r="J2585" s="52" t="s">
        <v>5816</v>
      </c>
      <c r="K2585" s="56" t="n">
        <v>1</v>
      </c>
      <c r="L2585" s="52" t="s">
        <v>5816</v>
      </c>
      <c r="M2585" s="52" t="s">
        <v>705</v>
      </c>
    </row>
    <row r="2586" customFormat="false" ht="17.25" hidden="false" customHeight="true" outlineLevel="0" collapsed="false">
      <c r="A2586" s="52" t="s">
        <v>5777</v>
      </c>
      <c r="B2586" s="52" t="s">
        <v>5813</v>
      </c>
      <c r="C2586" s="53" t="n">
        <v>1321360</v>
      </c>
      <c r="D2586" s="52" t="s">
        <v>5475</v>
      </c>
      <c r="E2586" s="52" t="s">
        <v>5476</v>
      </c>
      <c r="F2586" s="54" t="n">
        <v>200</v>
      </c>
      <c r="G2586" s="55" t="n">
        <v>18</v>
      </c>
      <c r="H2586" s="55" t="n">
        <v>0.09</v>
      </c>
      <c r="I2586" s="55" t="n">
        <v>0.09</v>
      </c>
      <c r="J2586" s="52" t="s">
        <v>5816</v>
      </c>
      <c r="K2586" s="56" t="n">
        <v>1</v>
      </c>
      <c r="L2586" s="52" t="s">
        <v>5816</v>
      </c>
      <c r="M2586" s="52" t="s">
        <v>38</v>
      </c>
    </row>
    <row r="2587" customFormat="false" ht="17.25" hidden="false" customHeight="true" outlineLevel="0" collapsed="false">
      <c r="A2587" s="52" t="s">
        <v>5777</v>
      </c>
      <c r="B2587" s="52" t="s">
        <v>5813</v>
      </c>
      <c r="C2587" s="53" t="n">
        <v>1461938</v>
      </c>
      <c r="D2587" s="52" t="s">
        <v>5477</v>
      </c>
      <c r="E2587" s="52" t="s">
        <v>5478</v>
      </c>
      <c r="F2587" s="54" t="n">
        <v>1</v>
      </c>
      <c r="G2587" s="55" t="n">
        <v>18</v>
      </c>
      <c r="H2587" s="55" t="n">
        <v>18</v>
      </c>
      <c r="I2587" s="55" t="n">
        <v>18</v>
      </c>
      <c r="J2587" s="52" t="s">
        <v>5816</v>
      </c>
      <c r="K2587" s="56" t="n">
        <v>1</v>
      </c>
      <c r="L2587" s="52" t="s">
        <v>5816</v>
      </c>
      <c r="M2587" s="52" t="s">
        <v>38</v>
      </c>
    </row>
    <row r="2588" customFormat="false" ht="17.25" hidden="false" customHeight="true" outlineLevel="0" collapsed="false">
      <c r="A2588" s="52" t="s">
        <v>5777</v>
      </c>
      <c r="B2588" s="52" t="s">
        <v>5813</v>
      </c>
      <c r="C2588" s="53" t="n">
        <v>1461854</v>
      </c>
      <c r="D2588" s="52" t="s">
        <v>5479</v>
      </c>
      <c r="E2588" s="52" t="s">
        <v>6000</v>
      </c>
      <c r="F2588" s="54" t="n">
        <v>2</v>
      </c>
      <c r="G2588" s="55" t="n">
        <v>17.96</v>
      </c>
      <c r="H2588" s="55" t="n">
        <v>8.98</v>
      </c>
      <c r="I2588" s="55" t="n">
        <v>8.98</v>
      </c>
      <c r="J2588" s="52" t="s">
        <v>5816</v>
      </c>
      <c r="K2588" s="56" t="n">
        <v>1</v>
      </c>
      <c r="L2588" s="52" t="s">
        <v>5816</v>
      </c>
      <c r="M2588" s="52" t="s">
        <v>100</v>
      </c>
    </row>
    <row r="2589" customFormat="false" ht="17.25" hidden="false" customHeight="true" outlineLevel="0" collapsed="false">
      <c r="A2589" s="52" t="s">
        <v>5777</v>
      </c>
      <c r="B2589" s="52" t="s">
        <v>5813</v>
      </c>
      <c r="C2589" s="53" t="n">
        <v>21297</v>
      </c>
      <c r="D2589" s="52" t="s">
        <v>4542</v>
      </c>
      <c r="E2589" s="52" t="s">
        <v>4543</v>
      </c>
      <c r="F2589" s="54" t="n">
        <v>3</v>
      </c>
      <c r="G2589" s="55" t="n">
        <v>17.94</v>
      </c>
      <c r="H2589" s="55" t="n">
        <v>5.98</v>
      </c>
      <c r="I2589" s="55" t="n">
        <v>5.98</v>
      </c>
      <c r="J2589" s="52" t="s">
        <v>5816</v>
      </c>
      <c r="K2589" s="56" t="n">
        <v>1</v>
      </c>
      <c r="L2589" s="52" t="s">
        <v>5816</v>
      </c>
      <c r="M2589" s="52" t="s">
        <v>130</v>
      </c>
    </row>
    <row r="2590" customFormat="false" ht="17.25" hidden="false" customHeight="true" outlineLevel="0" collapsed="false">
      <c r="A2590" s="52" t="s">
        <v>5777</v>
      </c>
      <c r="B2590" s="52" t="s">
        <v>5813</v>
      </c>
      <c r="C2590" s="53" t="n">
        <v>1660994</v>
      </c>
      <c r="D2590" s="52" t="s">
        <v>5481</v>
      </c>
      <c r="E2590" s="52" t="s">
        <v>5482</v>
      </c>
      <c r="F2590" s="54" t="n">
        <v>7</v>
      </c>
      <c r="G2590" s="55" t="n">
        <v>17.78</v>
      </c>
      <c r="H2590" s="55" t="n">
        <v>2.54</v>
      </c>
      <c r="I2590" s="55" t="n">
        <v>2.54</v>
      </c>
      <c r="J2590" s="52" t="s">
        <v>5816</v>
      </c>
      <c r="K2590" s="56" t="n">
        <v>1</v>
      </c>
      <c r="L2590" s="52" t="s">
        <v>5816</v>
      </c>
      <c r="M2590" s="52" t="s">
        <v>38</v>
      </c>
    </row>
    <row r="2591" customFormat="false" ht="17.25" hidden="false" customHeight="true" outlineLevel="0" collapsed="false">
      <c r="A2591" s="52" t="s">
        <v>5777</v>
      </c>
      <c r="B2591" s="52" t="s">
        <v>5813</v>
      </c>
      <c r="C2591" s="53" t="n">
        <v>58865</v>
      </c>
      <c r="D2591" s="52" t="s">
        <v>5483</v>
      </c>
      <c r="E2591" s="52" t="s">
        <v>5484</v>
      </c>
      <c r="F2591" s="54" t="n">
        <v>1</v>
      </c>
      <c r="G2591" s="55" t="n">
        <v>17.57</v>
      </c>
      <c r="H2591" s="55" t="n">
        <v>17.57</v>
      </c>
      <c r="I2591" s="55" t="n">
        <v>17.57</v>
      </c>
      <c r="J2591" s="52" t="s">
        <v>5816</v>
      </c>
      <c r="K2591" s="56" t="n">
        <v>1</v>
      </c>
      <c r="L2591" s="52" t="s">
        <v>5816</v>
      </c>
      <c r="M2591" s="52" t="s">
        <v>1618</v>
      </c>
    </row>
    <row r="2592" customFormat="false" ht="17.25" hidden="false" customHeight="true" outlineLevel="0" collapsed="false">
      <c r="A2592" s="52" t="s">
        <v>5777</v>
      </c>
      <c r="B2592" s="52" t="s">
        <v>5813</v>
      </c>
      <c r="C2592" s="53" t="n">
        <v>875291</v>
      </c>
      <c r="D2592" s="52" t="s">
        <v>5485</v>
      </c>
      <c r="E2592" s="52" t="s">
        <v>5486</v>
      </c>
      <c r="F2592" s="54" t="n">
        <v>1</v>
      </c>
      <c r="G2592" s="55" t="n">
        <v>17.48</v>
      </c>
      <c r="H2592" s="55" t="n">
        <v>17.48</v>
      </c>
      <c r="I2592" s="55" t="n">
        <v>17.48</v>
      </c>
      <c r="J2592" s="52" t="s">
        <v>5816</v>
      </c>
      <c r="K2592" s="56" t="n">
        <v>1</v>
      </c>
      <c r="L2592" s="52" t="s">
        <v>5816</v>
      </c>
      <c r="M2592" s="52" t="s">
        <v>130</v>
      </c>
    </row>
    <row r="2593" customFormat="false" ht="17.25" hidden="false" customHeight="true" outlineLevel="0" collapsed="false">
      <c r="A2593" s="52" t="s">
        <v>5777</v>
      </c>
      <c r="B2593" s="52" t="s">
        <v>5813</v>
      </c>
      <c r="C2593" s="53" t="n">
        <v>1614510</v>
      </c>
      <c r="D2593" s="52" t="s">
        <v>5487</v>
      </c>
      <c r="E2593" s="52" t="s">
        <v>5488</v>
      </c>
      <c r="F2593" s="54" t="n">
        <v>2</v>
      </c>
      <c r="G2593" s="55" t="n">
        <v>17.16</v>
      </c>
      <c r="H2593" s="55" t="n">
        <v>8.58</v>
      </c>
      <c r="I2593" s="55" t="n">
        <v>8.58</v>
      </c>
      <c r="J2593" s="52" t="s">
        <v>5816</v>
      </c>
      <c r="K2593" s="56" t="n">
        <v>1</v>
      </c>
      <c r="L2593" s="52" t="s">
        <v>5816</v>
      </c>
      <c r="M2593" s="52" t="s">
        <v>38</v>
      </c>
    </row>
    <row r="2594" customFormat="false" ht="17.25" hidden="false" customHeight="true" outlineLevel="0" collapsed="false">
      <c r="A2594" s="52" t="s">
        <v>5777</v>
      </c>
      <c r="B2594" s="52" t="s">
        <v>5813</v>
      </c>
      <c r="C2594" s="53" t="n">
        <v>14667</v>
      </c>
      <c r="D2594" s="52" t="s">
        <v>5489</v>
      </c>
      <c r="E2594" s="52" t="s">
        <v>5490</v>
      </c>
      <c r="F2594" s="54" t="n">
        <v>1</v>
      </c>
      <c r="G2594" s="55" t="n">
        <v>16.98</v>
      </c>
      <c r="H2594" s="55" t="n">
        <v>16.98</v>
      </c>
      <c r="I2594" s="55" t="n">
        <v>16.98</v>
      </c>
      <c r="J2594" s="52" t="s">
        <v>5816</v>
      </c>
      <c r="K2594" s="56" t="n">
        <v>1</v>
      </c>
      <c r="L2594" s="52" t="s">
        <v>5816</v>
      </c>
      <c r="M2594" s="52" t="s">
        <v>54</v>
      </c>
    </row>
    <row r="2595" customFormat="false" ht="17.25" hidden="false" customHeight="true" outlineLevel="0" collapsed="false">
      <c r="A2595" s="52" t="s">
        <v>5777</v>
      </c>
      <c r="B2595" s="52" t="s">
        <v>5813</v>
      </c>
      <c r="C2595" s="53" t="n">
        <v>1011492</v>
      </c>
      <c r="D2595" s="52" t="s">
        <v>5491</v>
      </c>
      <c r="E2595" s="52" t="s">
        <v>5492</v>
      </c>
      <c r="F2595" s="54" t="n">
        <v>1</v>
      </c>
      <c r="G2595" s="55" t="n">
        <v>16.98</v>
      </c>
      <c r="H2595" s="55" t="n">
        <v>16.98</v>
      </c>
      <c r="I2595" s="55" t="n">
        <v>16.98</v>
      </c>
      <c r="J2595" s="52" t="s">
        <v>5816</v>
      </c>
      <c r="K2595" s="56" t="n">
        <v>1</v>
      </c>
      <c r="L2595" s="52" t="s">
        <v>5816</v>
      </c>
      <c r="M2595" s="52" t="s">
        <v>363</v>
      </c>
    </row>
    <row r="2596" customFormat="false" ht="17.25" hidden="false" customHeight="true" outlineLevel="0" collapsed="false">
      <c r="A2596" s="52" t="s">
        <v>5777</v>
      </c>
      <c r="B2596" s="52" t="s">
        <v>5813</v>
      </c>
      <c r="C2596" s="53" t="n">
        <v>835775</v>
      </c>
      <c r="D2596" s="52" t="s">
        <v>5493</v>
      </c>
      <c r="E2596" s="52" t="s">
        <v>5494</v>
      </c>
      <c r="F2596" s="54" t="n">
        <v>24</v>
      </c>
      <c r="G2596" s="55" t="n">
        <v>16.8</v>
      </c>
      <c r="H2596" s="55" t="n">
        <v>0.7</v>
      </c>
      <c r="I2596" s="55" t="n">
        <v>0.7</v>
      </c>
      <c r="J2596" s="52" t="s">
        <v>5816</v>
      </c>
      <c r="K2596" s="56" t="n">
        <v>1</v>
      </c>
      <c r="L2596" s="52" t="s">
        <v>5816</v>
      </c>
      <c r="M2596" s="52" t="s">
        <v>130</v>
      </c>
    </row>
    <row r="2597" customFormat="false" ht="17.25" hidden="false" customHeight="true" outlineLevel="0" collapsed="false">
      <c r="A2597" s="52" t="s">
        <v>5777</v>
      </c>
      <c r="B2597" s="52" t="s">
        <v>5813</v>
      </c>
      <c r="C2597" s="53" t="n">
        <v>957093</v>
      </c>
      <c r="D2597" s="52" t="s">
        <v>5495</v>
      </c>
      <c r="E2597" s="52" t="s">
        <v>5496</v>
      </c>
      <c r="F2597" s="54" t="n">
        <v>60</v>
      </c>
      <c r="G2597" s="55" t="n">
        <v>16.8</v>
      </c>
      <c r="H2597" s="55" t="n">
        <v>0.28</v>
      </c>
      <c r="I2597" s="55" t="n">
        <v>0.28</v>
      </c>
      <c r="J2597" s="52" t="s">
        <v>5816</v>
      </c>
      <c r="K2597" s="56" t="n">
        <v>1</v>
      </c>
      <c r="L2597" s="52" t="s">
        <v>5816</v>
      </c>
      <c r="M2597" s="52" t="s">
        <v>100</v>
      </c>
    </row>
    <row r="2598" customFormat="false" ht="17.25" hidden="false" customHeight="true" outlineLevel="0" collapsed="false">
      <c r="A2598" s="52" t="s">
        <v>5777</v>
      </c>
      <c r="B2598" s="52" t="s">
        <v>5813</v>
      </c>
      <c r="C2598" s="53" t="n">
        <v>17936</v>
      </c>
      <c r="D2598" s="52" t="s">
        <v>5497</v>
      </c>
      <c r="E2598" s="52" t="s">
        <v>5498</v>
      </c>
      <c r="F2598" s="54" t="n">
        <v>1</v>
      </c>
      <c r="G2598" s="55" t="n">
        <v>16.7</v>
      </c>
      <c r="H2598" s="55" t="n">
        <v>16.7</v>
      </c>
      <c r="I2598" s="55" t="n">
        <v>16.7</v>
      </c>
      <c r="J2598" s="52" t="s">
        <v>5816</v>
      </c>
      <c r="K2598" s="56" t="n">
        <v>1</v>
      </c>
      <c r="L2598" s="52" t="s">
        <v>5816</v>
      </c>
      <c r="M2598" s="52" t="s">
        <v>130</v>
      </c>
    </row>
    <row r="2599" customFormat="false" ht="17.25" hidden="false" customHeight="true" outlineLevel="0" collapsed="false">
      <c r="A2599" s="52" t="s">
        <v>5777</v>
      </c>
      <c r="B2599" s="52" t="s">
        <v>5813</v>
      </c>
      <c r="C2599" s="53" t="n">
        <v>1099818</v>
      </c>
      <c r="D2599" s="52" t="s">
        <v>5499</v>
      </c>
      <c r="E2599" s="52" t="s">
        <v>5500</v>
      </c>
      <c r="F2599" s="54" t="n">
        <v>2</v>
      </c>
      <c r="G2599" s="55" t="n">
        <v>16.48</v>
      </c>
      <c r="H2599" s="55" t="n">
        <v>8.24</v>
      </c>
      <c r="I2599" s="55" t="n">
        <v>8.24</v>
      </c>
      <c r="J2599" s="52" t="s">
        <v>5816</v>
      </c>
      <c r="K2599" s="56" t="n">
        <v>1</v>
      </c>
      <c r="L2599" s="52" t="s">
        <v>5816</v>
      </c>
      <c r="M2599" s="52" t="s">
        <v>54</v>
      </c>
    </row>
    <row r="2600" customFormat="false" ht="17.25" hidden="false" customHeight="true" outlineLevel="0" collapsed="false">
      <c r="A2600" s="52" t="s">
        <v>5777</v>
      </c>
      <c r="B2600" s="52" t="s">
        <v>5813</v>
      </c>
      <c r="C2600" s="53" t="n">
        <v>878930</v>
      </c>
      <c r="D2600" s="52" t="s">
        <v>5501</v>
      </c>
      <c r="E2600" s="52" t="s">
        <v>5502</v>
      </c>
      <c r="F2600" s="54" t="n">
        <v>5</v>
      </c>
      <c r="G2600" s="55" t="n">
        <v>16.45</v>
      </c>
      <c r="H2600" s="55" t="n">
        <v>3.29</v>
      </c>
      <c r="I2600" s="55" t="n">
        <v>3.29</v>
      </c>
      <c r="J2600" s="52" t="s">
        <v>5816</v>
      </c>
      <c r="K2600" s="56" t="n">
        <v>1</v>
      </c>
      <c r="L2600" s="52" t="s">
        <v>5816</v>
      </c>
      <c r="M2600" s="52" t="s">
        <v>2056</v>
      </c>
    </row>
    <row r="2601" customFormat="false" ht="17.25" hidden="false" customHeight="true" outlineLevel="0" collapsed="false">
      <c r="A2601" s="52" t="s">
        <v>5777</v>
      </c>
      <c r="B2601" s="52" t="s">
        <v>5813</v>
      </c>
      <c r="C2601" s="53" t="n">
        <v>552789</v>
      </c>
      <c r="D2601" s="52" t="s">
        <v>5503</v>
      </c>
      <c r="E2601" s="52" t="s">
        <v>5504</v>
      </c>
      <c r="F2601" s="54" t="n">
        <v>2</v>
      </c>
      <c r="G2601" s="55" t="n">
        <v>16.44</v>
      </c>
      <c r="H2601" s="55" t="n">
        <v>8.22</v>
      </c>
      <c r="I2601" s="55" t="n">
        <v>8.22</v>
      </c>
      <c r="J2601" s="52" t="s">
        <v>5816</v>
      </c>
      <c r="K2601" s="56" t="n">
        <v>1</v>
      </c>
      <c r="L2601" s="52" t="s">
        <v>5816</v>
      </c>
      <c r="M2601" s="52" t="s">
        <v>38</v>
      </c>
    </row>
    <row r="2602" customFormat="false" ht="17.25" hidden="false" customHeight="true" outlineLevel="0" collapsed="false">
      <c r="A2602" s="52" t="s">
        <v>5777</v>
      </c>
      <c r="B2602" s="52" t="s">
        <v>5813</v>
      </c>
      <c r="C2602" s="53" t="n">
        <v>389032</v>
      </c>
      <c r="D2602" s="52" t="s">
        <v>5505</v>
      </c>
      <c r="E2602" s="52" t="s">
        <v>5506</v>
      </c>
      <c r="F2602" s="54" t="n">
        <v>10</v>
      </c>
      <c r="G2602" s="55" t="n">
        <v>16.4</v>
      </c>
      <c r="H2602" s="55" t="n">
        <v>1.64</v>
      </c>
      <c r="I2602" s="55" t="n">
        <v>1.64</v>
      </c>
      <c r="J2602" s="52" t="s">
        <v>5816</v>
      </c>
      <c r="K2602" s="56" t="n">
        <v>1</v>
      </c>
      <c r="L2602" s="52" t="s">
        <v>5816</v>
      </c>
      <c r="M2602" s="52" t="s">
        <v>189</v>
      </c>
    </row>
    <row r="2603" customFormat="false" ht="17.25" hidden="false" customHeight="true" outlineLevel="0" collapsed="false">
      <c r="A2603" s="52" t="s">
        <v>5777</v>
      </c>
      <c r="B2603" s="52" t="s">
        <v>5813</v>
      </c>
      <c r="C2603" s="53" t="n">
        <v>17961</v>
      </c>
      <c r="D2603" s="52" t="s">
        <v>5507</v>
      </c>
      <c r="E2603" s="52" t="s">
        <v>5508</v>
      </c>
      <c r="F2603" s="54" t="n">
        <v>1</v>
      </c>
      <c r="G2603" s="55" t="n">
        <v>16.2</v>
      </c>
      <c r="H2603" s="55" t="n">
        <v>16.2</v>
      </c>
      <c r="I2603" s="55" t="n">
        <v>16.2</v>
      </c>
      <c r="J2603" s="52" t="s">
        <v>5816</v>
      </c>
      <c r="K2603" s="56" t="n">
        <v>1</v>
      </c>
      <c r="L2603" s="52" t="s">
        <v>5816</v>
      </c>
      <c r="M2603" s="52" t="s">
        <v>130</v>
      </c>
    </row>
    <row r="2604" customFormat="false" ht="17.25" hidden="false" customHeight="true" outlineLevel="0" collapsed="false">
      <c r="A2604" s="52" t="s">
        <v>5777</v>
      </c>
      <c r="B2604" s="52" t="s">
        <v>5813</v>
      </c>
      <c r="C2604" s="53" t="n">
        <v>1479314</v>
      </c>
      <c r="D2604" s="52" t="s">
        <v>5509</v>
      </c>
      <c r="E2604" s="52" t="s">
        <v>5510</v>
      </c>
      <c r="F2604" s="54" t="n">
        <v>8</v>
      </c>
      <c r="G2604" s="55" t="n">
        <v>15.68</v>
      </c>
      <c r="H2604" s="55" t="n">
        <v>1.96</v>
      </c>
      <c r="I2604" s="55" t="n">
        <v>2.57</v>
      </c>
      <c r="J2604" s="52" t="s">
        <v>5816</v>
      </c>
      <c r="K2604" s="56" t="n">
        <v>1</v>
      </c>
      <c r="L2604" s="52" t="s">
        <v>5816</v>
      </c>
      <c r="M2604" s="52" t="s">
        <v>32</v>
      </c>
    </row>
    <row r="2605" customFormat="false" ht="17.25" hidden="false" customHeight="true" outlineLevel="0" collapsed="false">
      <c r="A2605" s="52" t="s">
        <v>5777</v>
      </c>
      <c r="B2605" s="52" t="s">
        <v>5813</v>
      </c>
      <c r="C2605" s="53" t="n">
        <v>651219</v>
      </c>
      <c r="D2605" s="52" t="s">
        <v>5511</v>
      </c>
      <c r="E2605" s="52" t="s">
        <v>5512</v>
      </c>
      <c r="F2605" s="54" t="n">
        <v>104</v>
      </c>
      <c r="G2605" s="55" t="n">
        <v>15.6</v>
      </c>
      <c r="H2605" s="55" t="n">
        <v>0.15</v>
      </c>
      <c r="I2605" s="55" t="n">
        <v>0.15</v>
      </c>
      <c r="J2605" s="52" t="s">
        <v>5816</v>
      </c>
      <c r="K2605" s="56" t="n">
        <v>1</v>
      </c>
      <c r="L2605" s="52" t="s">
        <v>5816</v>
      </c>
      <c r="M2605" s="52" t="s">
        <v>100</v>
      </c>
    </row>
    <row r="2606" customFormat="false" ht="17.25" hidden="false" customHeight="true" outlineLevel="0" collapsed="false">
      <c r="A2606" s="52" t="s">
        <v>5777</v>
      </c>
      <c r="B2606" s="52" t="s">
        <v>5813</v>
      </c>
      <c r="C2606" s="53" t="n">
        <v>1384818</v>
      </c>
      <c r="D2606" s="52" t="s">
        <v>5513</v>
      </c>
      <c r="E2606" s="52" t="s">
        <v>5514</v>
      </c>
      <c r="F2606" s="54" t="n">
        <v>2</v>
      </c>
      <c r="G2606" s="55" t="n">
        <v>15.59</v>
      </c>
      <c r="H2606" s="55" t="n">
        <v>7.795</v>
      </c>
      <c r="I2606" s="55" t="n">
        <v>7.51</v>
      </c>
      <c r="J2606" s="52" t="s">
        <v>5816</v>
      </c>
      <c r="K2606" s="56" t="n">
        <v>1</v>
      </c>
      <c r="L2606" s="52" t="s">
        <v>5816</v>
      </c>
      <c r="M2606" s="52" t="s">
        <v>38</v>
      </c>
    </row>
    <row r="2607" customFormat="false" ht="17.25" hidden="false" customHeight="true" outlineLevel="0" collapsed="false">
      <c r="A2607" s="52" t="s">
        <v>5777</v>
      </c>
      <c r="B2607" s="52" t="s">
        <v>5813</v>
      </c>
      <c r="C2607" s="53" t="n">
        <v>225543</v>
      </c>
      <c r="D2607" s="52" t="s">
        <v>5515</v>
      </c>
      <c r="E2607" s="52" t="s">
        <v>5516</v>
      </c>
      <c r="F2607" s="54" t="n">
        <v>1</v>
      </c>
      <c r="G2607" s="55" t="n">
        <v>15.44</v>
      </c>
      <c r="H2607" s="55" t="n">
        <v>15.44</v>
      </c>
      <c r="I2607" s="55" t="n">
        <v>15.44</v>
      </c>
      <c r="J2607" s="52" t="s">
        <v>5816</v>
      </c>
      <c r="K2607" s="56" t="n">
        <v>1</v>
      </c>
      <c r="L2607" s="52" t="s">
        <v>5816</v>
      </c>
      <c r="M2607" s="52" t="s">
        <v>2056</v>
      </c>
    </row>
    <row r="2608" customFormat="false" ht="17.25" hidden="false" customHeight="true" outlineLevel="0" collapsed="false">
      <c r="A2608" s="52" t="s">
        <v>5777</v>
      </c>
      <c r="B2608" s="52" t="s">
        <v>5813</v>
      </c>
      <c r="C2608" s="53" t="n">
        <v>1662291</v>
      </c>
      <c r="D2608" s="52" t="s">
        <v>5517</v>
      </c>
      <c r="E2608" s="52" t="s">
        <v>5518</v>
      </c>
      <c r="F2608" s="54" t="n">
        <v>2</v>
      </c>
      <c r="G2608" s="55" t="n">
        <v>15.36</v>
      </c>
      <c r="H2608" s="55" t="n">
        <v>7.68</v>
      </c>
      <c r="I2608" s="55" t="n">
        <v>7.68</v>
      </c>
      <c r="J2608" s="52" t="s">
        <v>5816</v>
      </c>
      <c r="K2608" s="56" t="n">
        <v>1</v>
      </c>
      <c r="L2608" s="52" t="s">
        <v>5816</v>
      </c>
      <c r="M2608" s="52" t="s">
        <v>38</v>
      </c>
    </row>
    <row r="2609" customFormat="false" ht="17.25" hidden="false" customHeight="true" outlineLevel="0" collapsed="false">
      <c r="A2609" s="52" t="s">
        <v>5777</v>
      </c>
      <c r="B2609" s="52" t="s">
        <v>5813</v>
      </c>
      <c r="C2609" s="53" t="n">
        <v>66011</v>
      </c>
      <c r="D2609" s="52" t="s">
        <v>5519</v>
      </c>
      <c r="E2609" s="52" t="s">
        <v>5520</v>
      </c>
      <c r="F2609" s="54" t="n">
        <v>4</v>
      </c>
      <c r="G2609" s="55" t="n">
        <v>15.24</v>
      </c>
      <c r="H2609" s="55" t="n">
        <v>3.81</v>
      </c>
      <c r="I2609" s="55" t="n">
        <v>3.81</v>
      </c>
      <c r="J2609" s="52" t="s">
        <v>5910</v>
      </c>
      <c r="K2609" s="56" t="n">
        <v>1</v>
      </c>
      <c r="L2609" s="52" t="s">
        <v>5816</v>
      </c>
      <c r="M2609" s="52" t="s">
        <v>262</v>
      </c>
    </row>
    <row r="2610" customFormat="false" ht="17.25" hidden="false" customHeight="true" outlineLevel="0" collapsed="false">
      <c r="A2610" s="52" t="s">
        <v>5777</v>
      </c>
      <c r="B2610" s="52" t="s">
        <v>5813</v>
      </c>
      <c r="C2610" s="53" t="n">
        <v>1312599</v>
      </c>
      <c r="D2610" s="52" t="s">
        <v>5521</v>
      </c>
      <c r="E2610" s="52" t="s">
        <v>6001</v>
      </c>
      <c r="F2610" s="54" t="n">
        <v>1</v>
      </c>
      <c r="G2610" s="55" t="n">
        <v>15.24</v>
      </c>
      <c r="H2610" s="55" t="n">
        <v>15.24</v>
      </c>
      <c r="I2610" s="55" t="n">
        <v>15.24</v>
      </c>
      <c r="J2610" s="52" t="s">
        <v>5816</v>
      </c>
      <c r="K2610" s="56" t="n">
        <v>1</v>
      </c>
      <c r="L2610" s="52" t="s">
        <v>5816</v>
      </c>
      <c r="M2610" s="52" t="s">
        <v>189</v>
      </c>
    </row>
    <row r="2611" customFormat="false" ht="17.25" hidden="false" customHeight="true" outlineLevel="0" collapsed="false">
      <c r="A2611" s="52" t="s">
        <v>5777</v>
      </c>
      <c r="B2611" s="52" t="s">
        <v>5813</v>
      </c>
      <c r="C2611" s="53" t="n">
        <v>1467805</v>
      </c>
      <c r="D2611" s="52" t="s">
        <v>5523</v>
      </c>
      <c r="E2611" s="52" t="s">
        <v>5524</v>
      </c>
      <c r="F2611" s="54" t="n">
        <v>3</v>
      </c>
      <c r="G2611" s="55" t="n">
        <v>15</v>
      </c>
      <c r="H2611" s="55" t="n">
        <v>5</v>
      </c>
      <c r="I2611" s="55" t="n">
        <v>5</v>
      </c>
      <c r="J2611" s="52" t="s">
        <v>5911</v>
      </c>
      <c r="K2611" s="56" t="n">
        <v>1</v>
      </c>
      <c r="L2611" s="52" t="s">
        <v>5816</v>
      </c>
      <c r="M2611" s="52" t="s">
        <v>2056</v>
      </c>
    </row>
    <row r="2612" customFormat="false" ht="17.25" hidden="false" customHeight="true" outlineLevel="0" collapsed="false">
      <c r="A2612" s="52" t="s">
        <v>5777</v>
      </c>
      <c r="B2612" s="52" t="s">
        <v>5813</v>
      </c>
      <c r="C2612" s="53" t="n">
        <v>22823</v>
      </c>
      <c r="D2612" s="52" t="s">
        <v>5525</v>
      </c>
      <c r="E2612" s="52" t="s">
        <v>5526</v>
      </c>
      <c r="F2612" s="54" t="n">
        <v>1</v>
      </c>
      <c r="G2612" s="55" t="n">
        <v>14.98</v>
      </c>
      <c r="H2612" s="55" t="n">
        <v>14.98</v>
      </c>
      <c r="I2612" s="55" t="n">
        <v>14.98</v>
      </c>
      <c r="J2612" s="52" t="s">
        <v>5816</v>
      </c>
      <c r="K2612" s="56" t="n">
        <v>1</v>
      </c>
      <c r="L2612" s="52" t="s">
        <v>5816</v>
      </c>
      <c r="M2612" s="52" t="s">
        <v>457</v>
      </c>
    </row>
    <row r="2613" customFormat="false" ht="17.25" hidden="false" customHeight="true" outlineLevel="0" collapsed="false">
      <c r="A2613" s="52" t="s">
        <v>5777</v>
      </c>
      <c r="B2613" s="52" t="s">
        <v>5813</v>
      </c>
      <c r="C2613" s="53" t="n">
        <v>1461940</v>
      </c>
      <c r="D2613" s="52" t="s">
        <v>5527</v>
      </c>
      <c r="E2613" s="52" t="s">
        <v>5528</v>
      </c>
      <c r="F2613" s="54" t="n">
        <v>1</v>
      </c>
      <c r="G2613" s="55" t="n">
        <v>14.98</v>
      </c>
      <c r="H2613" s="55" t="n">
        <v>14.98</v>
      </c>
      <c r="I2613" s="55" t="n">
        <v>14.98</v>
      </c>
      <c r="J2613" s="52" t="s">
        <v>5816</v>
      </c>
      <c r="K2613" s="56" t="n">
        <v>1</v>
      </c>
      <c r="L2613" s="52" t="s">
        <v>5816</v>
      </c>
      <c r="M2613" s="52" t="s">
        <v>38</v>
      </c>
    </row>
    <row r="2614" customFormat="false" ht="17.25" hidden="false" customHeight="true" outlineLevel="0" collapsed="false">
      <c r="A2614" s="52" t="s">
        <v>5777</v>
      </c>
      <c r="B2614" s="52" t="s">
        <v>5813</v>
      </c>
      <c r="C2614" s="53" t="n">
        <v>1389578</v>
      </c>
      <c r="D2614" s="52" t="s">
        <v>5529</v>
      </c>
      <c r="E2614" s="52" t="s">
        <v>6002</v>
      </c>
      <c r="F2614" s="54" t="n">
        <v>2</v>
      </c>
      <c r="G2614" s="55" t="n">
        <v>14.96</v>
      </c>
      <c r="H2614" s="55" t="n">
        <v>7.48</v>
      </c>
      <c r="I2614" s="55" t="n">
        <v>7.48</v>
      </c>
      <c r="J2614" s="52" t="s">
        <v>5816</v>
      </c>
      <c r="K2614" s="56" t="n">
        <v>1</v>
      </c>
      <c r="L2614" s="52" t="s">
        <v>5816</v>
      </c>
      <c r="M2614" s="52" t="s">
        <v>54</v>
      </c>
    </row>
    <row r="2615" customFormat="false" ht="17.25" hidden="false" customHeight="true" outlineLevel="0" collapsed="false">
      <c r="A2615" s="52" t="s">
        <v>5777</v>
      </c>
      <c r="B2615" s="52" t="s">
        <v>5813</v>
      </c>
      <c r="C2615" s="53" t="n">
        <v>1461934</v>
      </c>
      <c r="D2615" s="52" t="s">
        <v>5531</v>
      </c>
      <c r="E2615" s="52" t="s">
        <v>5532</v>
      </c>
      <c r="F2615" s="54" t="n">
        <v>2</v>
      </c>
      <c r="G2615" s="55" t="n">
        <v>14.96</v>
      </c>
      <c r="H2615" s="55" t="n">
        <v>7.48</v>
      </c>
      <c r="I2615" s="55" t="n">
        <v>7.48</v>
      </c>
      <c r="J2615" s="52" t="s">
        <v>5816</v>
      </c>
      <c r="K2615" s="56" t="n">
        <v>1</v>
      </c>
      <c r="L2615" s="52" t="s">
        <v>5816</v>
      </c>
      <c r="M2615" s="52" t="s">
        <v>100</v>
      </c>
    </row>
    <row r="2616" customFormat="false" ht="17.25" hidden="false" customHeight="true" outlineLevel="0" collapsed="false">
      <c r="A2616" s="52" t="s">
        <v>5777</v>
      </c>
      <c r="B2616" s="52" t="s">
        <v>5813</v>
      </c>
      <c r="C2616" s="53" t="n">
        <v>931415</v>
      </c>
      <c r="D2616" s="52" t="s">
        <v>5533</v>
      </c>
      <c r="E2616" s="52" t="s">
        <v>5534</v>
      </c>
      <c r="F2616" s="54" t="n">
        <v>1</v>
      </c>
      <c r="G2616" s="55" t="n">
        <v>14.9</v>
      </c>
      <c r="H2616" s="55" t="n">
        <v>14.9</v>
      </c>
      <c r="I2616" s="55" t="n">
        <v>14.9</v>
      </c>
      <c r="J2616" s="52" t="s">
        <v>5817</v>
      </c>
      <c r="K2616" s="56" t="n">
        <v>1</v>
      </c>
      <c r="L2616" s="52" t="s">
        <v>5817</v>
      </c>
      <c r="M2616" s="52" t="s">
        <v>38</v>
      </c>
    </row>
    <row r="2617" customFormat="false" ht="17.25" hidden="false" customHeight="true" outlineLevel="0" collapsed="false">
      <c r="A2617" s="52" t="s">
        <v>5777</v>
      </c>
      <c r="B2617" s="52" t="s">
        <v>5813</v>
      </c>
      <c r="C2617" s="53" t="n">
        <v>946240</v>
      </c>
      <c r="D2617" s="52" t="s">
        <v>5535</v>
      </c>
      <c r="E2617" s="52" t="s">
        <v>5536</v>
      </c>
      <c r="F2617" s="54" t="n">
        <v>1</v>
      </c>
      <c r="G2617" s="55" t="n">
        <v>14.9</v>
      </c>
      <c r="H2617" s="55" t="n">
        <v>14.9</v>
      </c>
      <c r="I2617" s="55" t="n">
        <v>14.9</v>
      </c>
      <c r="J2617" s="52" t="s">
        <v>5816</v>
      </c>
      <c r="K2617" s="56" t="n">
        <v>1</v>
      </c>
      <c r="L2617" s="52" t="s">
        <v>5816</v>
      </c>
      <c r="M2617" s="52" t="s">
        <v>130</v>
      </c>
    </row>
    <row r="2618" customFormat="false" ht="17.25" hidden="false" customHeight="true" outlineLevel="0" collapsed="false">
      <c r="A2618" s="52" t="s">
        <v>5777</v>
      </c>
      <c r="B2618" s="52" t="s">
        <v>5813</v>
      </c>
      <c r="C2618" s="53" t="n">
        <v>27944</v>
      </c>
      <c r="D2618" s="52" t="s">
        <v>5537</v>
      </c>
      <c r="E2618" s="52" t="s">
        <v>5538</v>
      </c>
      <c r="F2618" s="54" t="n">
        <v>20</v>
      </c>
      <c r="G2618" s="55" t="n">
        <v>14</v>
      </c>
      <c r="H2618" s="55" t="n">
        <v>0.7</v>
      </c>
      <c r="I2618" s="55" t="n">
        <v>0.7</v>
      </c>
      <c r="J2618" s="52" t="s">
        <v>5816</v>
      </c>
      <c r="K2618" s="56" t="n">
        <v>1</v>
      </c>
      <c r="L2618" s="52" t="s">
        <v>5816</v>
      </c>
      <c r="M2618" s="52" t="s">
        <v>457</v>
      </c>
    </row>
    <row r="2619" customFormat="false" ht="17.25" hidden="false" customHeight="true" outlineLevel="0" collapsed="false">
      <c r="A2619" s="52" t="s">
        <v>5777</v>
      </c>
      <c r="B2619" s="52" t="s">
        <v>5813</v>
      </c>
      <c r="C2619" s="53" t="n">
        <v>734056</v>
      </c>
      <c r="D2619" s="52" t="s">
        <v>5539</v>
      </c>
      <c r="E2619" s="52" t="s">
        <v>5540</v>
      </c>
      <c r="F2619" s="54" t="n">
        <v>20</v>
      </c>
      <c r="G2619" s="55" t="n">
        <v>14</v>
      </c>
      <c r="H2619" s="55" t="n">
        <v>0.7</v>
      </c>
      <c r="I2619" s="55" t="n">
        <v>0.7</v>
      </c>
      <c r="J2619" s="52" t="s">
        <v>5816</v>
      </c>
      <c r="K2619" s="56" t="n">
        <v>1</v>
      </c>
      <c r="L2619" s="52" t="s">
        <v>5816</v>
      </c>
      <c r="M2619" s="52" t="s">
        <v>457</v>
      </c>
    </row>
    <row r="2620" customFormat="false" ht="17.25" hidden="false" customHeight="true" outlineLevel="0" collapsed="false">
      <c r="A2620" s="52" t="s">
        <v>5777</v>
      </c>
      <c r="B2620" s="52" t="s">
        <v>5813</v>
      </c>
      <c r="C2620" s="53" t="n">
        <v>840007</v>
      </c>
      <c r="D2620" s="52" t="s">
        <v>5541</v>
      </c>
      <c r="E2620" s="52" t="s">
        <v>5542</v>
      </c>
      <c r="F2620" s="54" t="n">
        <v>2</v>
      </c>
      <c r="G2620" s="55" t="n">
        <v>13.96</v>
      </c>
      <c r="H2620" s="55" t="n">
        <v>6.98</v>
      </c>
      <c r="I2620" s="55" t="n">
        <v>6.98</v>
      </c>
      <c r="J2620" s="52" t="s">
        <v>5816</v>
      </c>
      <c r="K2620" s="56" t="n">
        <v>1</v>
      </c>
      <c r="L2620" s="52" t="s">
        <v>5816</v>
      </c>
      <c r="M2620" s="52" t="s">
        <v>54</v>
      </c>
    </row>
    <row r="2621" customFormat="false" ht="17.25" hidden="false" customHeight="true" outlineLevel="0" collapsed="false">
      <c r="A2621" s="52" t="s">
        <v>5777</v>
      </c>
      <c r="B2621" s="52" t="s">
        <v>5813</v>
      </c>
      <c r="C2621" s="53" t="n">
        <v>231037</v>
      </c>
      <c r="D2621" s="52" t="s">
        <v>5543</v>
      </c>
      <c r="E2621" s="52" t="s">
        <v>5544</v>
      </c>
      <c r="F2621" s="54" t="n">
        <v>4</v>
      </c>
      <c r="G2621" s="55" t="n">
        <v>13.92</v>
      </c>
      <c r="H2621" s="55" t="n">
        <v>3.48</v>
      </c>
      <c r="I2621" s="55" t="n">
        <v>3.48</v>
      </c>
      <c r="J2621" s="52" t="s">
        <v>5816</v>
      </c>
      <c r="K2621" s="56" t="n">
        <v>1</v>
      </c>
      <c r="L2621" s="52" t="s">
        <v>5816</v>
      </c>
      <c r="M2621" s="52" t="s">
        <v>54</v>
      </c>
    </row>
    <row r="2622" customFormat="false" ht="17.25" hidden="false" customHeight="true" outlineLevel="0" collapsed="false">
      <c r="A2622" s="52" t="s">
        <v>5777</v>
      </c>
      <c r="B2622" s="52" t="s">
        <v>5813</v>
      </c>
      <c r="C2622" s="53" t="n">
        <v>17957</v>
      </c>
      <c r="D2622" s="52" t="s">
        <v>5545</v>
      </c>
      <c r="E2622" s="52" t="s">
        <v>5546</v>
      </c>
      <c r="F2622" s="54" t="n">
        <v>1</v>
      </c>
      <c r="G2622" s="55" t="n">
        <v>13.7</v>
      </c>
      <c r="H2622" s="55" t="n">
        <v>13.7</v>
      </c>
      <c r="I2622" s="55" t="n">
        <v>13.7</v>
      </c>
      <c r="J2622" s="52" t="s">
        <v>5816</v>
      </c>
      <c r="K2622" s="56" t="n">
        <v>1</v>
      </c>
      <c r="L2622" s="52" t="s">
        <v>5816</v>
      </c>
      <c r="M2622" s="52" t="s">
        <v>130</v>
      </c>
    </row>
    <row r="2623" customFormat="false" ht="17.25" hidden="false" customHeight="true" outlineLevel="0" collapsed="false">
      <c r="A2623" s="52" t="s">
        <v>5777</v>
      </c>
      <c r="B2623" s="52" t="s">
        <v>5813</v>
      </c>
      <c r="C2623" s="53" t="n">
        <v>54863</v>
      </c>
      <c r="D2623" s="52" t="s">
        <v>5547</v>
      </c>
      <c r="E2623" s="52" t="s">
        <v>5548</v>
      </c>
      <c r="F2623" s="54" t="n">
        <v>15</v>
      </c>
      <c r="G2623" s="55" t="n">
        <v>13.2</v>
      </c>
      <c r="H2623" s="55" t="n">
        <v>0.88</v>
      </c>
      <c r="I2623" s="55" t="n">
        <v>0.88</v>
      </c>
      <c r="J2623" s="52" t="s">
        <v>5816</v>
      </c>
      <c r="K2623" s="56" t="n">
        <v>1</v>
      </c>
      <c r="L2623" s="52" t="s">
        <v>5816</v>
      </c>
      <c r="M2623" s="52" t="s">
        <v>100</v>
      </c>
    </row>
    <row r="2624" customFormat="false" ht="17.25" hidden="false" customHeight="true" outlineLevel="0" collapsed="false">
      <c r="A2624" s="52" t="s">
        <v>5777</v>
      </c>
      <c r="B2624" s="52" t="s">
        <v>5813</v>
      </c>
      <c r="C2624" s="53" t="n">
        <v>139722</v>
      </c>
      <c r="D2624" s="52" t="s">
        <v>5549</v>
      </c>
      <c r="E2624" s="52" t="s">
        <v>5550</v>
      </c>
      <c r="F2624" s="54" t="n">
        <v>4</v>
      </c>
      <c r="G2624" s="55" t="n">
        <v>13.12</v>
      </c>
      <c r="H2624" s="55" t="n">
        <v>3.28</v>
      </c>
      <c r="I2624" s="55" t="n">
        <v>3.28</v>
      </c>
      <c r="J2624" s="52" t="s">
        <v>5822</v>
      </c>
      <c r="K2624" s="56" t="n">
        <v>1</v>
      </c>
      <c r="L2624" s="52" t="s">
        <v>5822</v>
      </c>
      <c r="M2624" s="52" t="s">
        <v>262</v>
      </c>
    </row>
    <row r="2625" customFormat="false" ht="17.25" hidden="false" customHeight="true" outlineLevel="0" collapsed="false">
      <c r="A2625" s="52" t="s">
        <v>5777</v>
      </c>
      <c r="B2625" s="52" t="s">
        <v>5813</v>
      </c>
      <c r="C2625" s="53" t="n">
        <v>315613</v>
      </c>
      <c r="D2625" s="52" t="s">
        <v>5551</v>
      </c>
      <c r="E2625" s="52" t="s">
        <v>5552</v>
      </c>
      <c r="F2625" s="54" t="n">
        <v>1</v>
      </c>
      <c r="G2625" s="55" t="n">
        <v>13</v>
      </c>
      <c r="H2625" s="55" t="n">
        <v>13</v>
      </c>
      <c r="I2625" s="55" t="n">
        <v>13</v>
      </c>
      <c r="J2625" s="52" t="s">
        <v>5816</v>
      </c>
      <c r="K2625" s="56" t="n">
        <v>1</v>
      </c>
      <c r="L2625" s="52" t="s">
        <v>5816</v>
      </c>
      <c r="M2625" s="52" t="s">
        <v>2056</v>
      </c>
    </row>
    <row r="2626" customFormat="false" ht="17.25" hidden="false" customHeight="true" outlineLevel="0" collapsed="false">
      <c r="A2626" s="52" t="s">
        <v>5777</v>
      </c>
      <c r="B2626" s="52" t="s">
        <v>5813</v>
      </c>
      <c r="C2626" s="53" t="n">
        <v>887574</v>
      </c>
      <c r="D2626" s="52" t="s">
        <v>5553</v>
      </c>
      <c r="E2626" s="52" t="s">
        <v>5554</v>
      </c>
      <c r="F2626" s="54" t="n">
        <v>1</v>
      </c>
      <c r="G2626" s="55" t="n">
        <v>12.98</v>
      </c>
      <c r="H2626" s="55" t="n">
        <v>12.98</v>
      </c>
      <c r="I2626" s="55" t="n">
        <v>12.98</v>
      </c>
      <c r="J2626" s="52" t="s">
        <v>5816</v>
      </c>
      <c r="K2626" s="56" t="n">
        <v>1</v>
      </c>
      <c r="L2626" s="52" t="s">
        <v>5816</v>
      </c>
      <c r="M2626" s="52" t="s">
        <v>100</v>
      </c>
    </row>
    <row r="2627" customFormat="false" ht="17.25" hidden="false" customHeight="true" outlineLevel="0" collapsed="false">
      <c r="A2627" s="52" t="s">
        <v>5777</v>
      </c>
      <c r="B2627" s="52" t="s">
        <v>5813</v>
      </c>
      <c r="C2627" s="53" t="n">
        <v>224493</v>
      </c>
      <c r="D2627" s="52" t="s">
        <v>5555</v>
      </c>
      <c r="E2627" s="52" t="s">
        <v>5556</v>
      </c>
      <c r="F2627" s="54" t="n">
        <v>5</v>
      </c>
      <c r="G2627" s="55" t="n">
        <v>12.9</v>
      </c>
      <c r="H2627" s="55" t="n">
        <v>2.58</v>
      </c>
      <c r="I2627" s="55" t="n">
        <v>2.58</v>
      </c>
      <c r="J2627" s="52" t="s">
        <v>5816</v>
      </c>
      <c r="K2627" s="56" t="n">
        <v>1</v>
      </c>
      <c r="L2627" s="52" t="s">
        <v>5816</v>
      </c>
      <c r="M2627" s="52" t="s">
        <v>38</v>
      </c>
    </row>
    <row r="2628" customFormat="false" ht="17.25" hidden="false" customHeight="true" outlineLevel="0" collapsed="false">
      <c r="A2628" s="52" t="s">
        <v>5777</v>
      </c>
      <c r="B2628" s="52" t="s">
        <v>5813</v>
      </c>
      <c r="C2628" s="53" t="n">
        <v>54849</v>
      </c>
      <c r="D2628" s="52" t="s">
        <v>5557</v>
      </c>
      <c r="E2628" s="52" t="s">
        <v>5558</v>
      </c>
      <c r="F2628" s="54" t="n">
        <v>4</v>
      </c>
      <c r="G2628" s="55" t="n">
        <v>12.72</v>
      </c>
      <c r="H2628" s="55" t="n">
        <v>3.18</v>
      </c>
      <c r="I2628" s="55" t="n">
        <v>3.18</v>
      </c>
      <c r="J2628" s="52" t="s">
        <v>5816</v>
      </c>
      <c r="K2628" s="56" t="n">
        <v>1</v>
      </c>
      <c r="L2628" s="52" t="s">
        <v>5816</v>
      </c>
      <c r="M2628" s="52" t="s">
        <v>100</v>
      </c>
    </row>
    <row r="2629" customFormat="false" ht="17.25" hidden="false" customHeight="true" outlineLevel="0" collapsed="false">
      <c r="A2629" s="52" t="s">
        <v>5777</v>
      </c>
      <c r="B2629" s="52" t="s">
        <v>5813</v>
      </c>
      <c r="C2629" s="53" t="n">
        <v>16409</v>
      </c>
      <c r="D2629" s="52" t="s">
        <v>5559</v>
      </c>
      <c r="E2629" s="52" t="s">
        <v>5560</v>
      </c>
      <c r="F2629" s="54" t="n">
        <v>2</v>
      </c>
      <c r="G2629" s="55" t="n">
        <v>12.34</v>
      </c>
      <c r="H2629" s="55" t="n">
        <v>6.17</v>
      </c>
      <c r="I2629" s="55" t="n">
        <v>6.17</v>
      </c>
      <c r="J2629" s="52" t="s">
        <v>5816</v>
      </c>
      <c r="K2629" s="56" t="n">
        <v>1</v>
      </c>
      <c r="L2629" s="52" t="s">
        <v>5816</v>
      </c>
      <c r="M2629" s="52" t="s">
        <v>54</v>
      </c>
    </row>
    <row r="2630" customFormat="false" ht="17.25" hidden="false" customHeight="true" outlineLevel="0" collapsed="false">
      <c r="A2630" s="52" t="s">
        <v>5777</v>
      </c>
      <c r="B2630" s="52" t="s">
        <v>5813</v>
      </c>
      <c r="C2630" s="53" t="n">
        <v>15065</v>
      </c>
      <c r="D2630" s="52" t="s">
        <v>5561</v>
      </c>
      <c r="E2630" s="52" t="s">
        <v>5562</v>
      </c>
      <c r="F2630" s="54" t="n">
        <v>1</v>
      </c>
      <c r="G2630" s="55" t="n">
        <v>12</v>
      </c>
      <c r="H2630" s="55" t="n">
        <v>12</v>
      </c>
      <c r="I2630" s="55" t="n">
        <v>12</v>
      </c>
      <c r="J2630" s="52" t="s">
        <v>5816</v>
      </c>
      <c r="K2630" s="56" t="n">
        <v>1</v>
      </c>
      <c r="L2630" s="52" t="s">
        <v>5816</v>
      </c>
      <c r="M2630" s="52" t="s">
        <v>54</v>
      </c>
    </row>
    <row r="2631" customFormat="false" ht="17.25" hidden="false" customHeight="true" outlineLevel="0" collapsed="false">
      <c r="A2631" s="52" t="s">
        <v>5777</v>
      </c>
      <c r="B2631" s="52" t="s">
        <v>5813</v>
      </c>
      <c r="C2631" s="53" t="n">
        <v>17958</v>
      </c>
      <c r="D2631" s="52" t="s">
        <v>5563</v>
      </c>
      <c r="E2631" s="52" t="s">
        <v>5564</v>
      </c>
      <c r="F2631" s="54" t="n">
        <v>1</v>
      </c>
      <c r="G2631" s="55" t="n">
        <v>12</v>
      </c>
      <c r="H2631" s="55" t="n">
        <v>12</v>
      </c>
      <c r="I2631" s="55" t="n">
        <v>12</v>
      </c>
      <c r="J2631" s="52" t="s">
        <v>5816</v>
      </c>
      <c r="K2631" s="56" t="n">
        <v>1</v>
      </c>
      <c r="L2631" s="52" t="s">
        <v>5816</v>
      </c>
      <c r="M2631" s="52" t="s">
        <v>130</v>
      </c>
    </row>
    <row r="2632" customFormat="false" ht="17.25" hidden="false" customHeight="true" outlineLevel="0" collapsed="false">
      <c r="A2632" s="52" t="s">
        <v>5777</v>
      </c>
      <c r="B2632" s="52" t="s">
        <v>5813</v>
      </c>
      <c r="C2632" s="53" t="n">
        <v>645539</v>
      </c>
      <c r="D2632" s="52" t="s">
        <v>5565</v>
      </c>
      <c r="E2632" s="52" t="s">
        <v>5566</v>
      </c>
      <c r="F2632" s="54" t="n">
        <v>4</v>
      </c>
      <c r="G2632" s="55" t="n">
        <v>12</v>
      </c>
      <c r="H2632" s="55" t="n">
        <v>3</v>
      </c>
      <c r="I2632" s="55" t="n">
        <v>3</v>
      </c>
      <c r="J2632" s="52" t="s">
        <v>5816</v>
      </c>
      <c r="K2632" s="56" t="n">
        <v>1</v>
      </c>
      <c r="L2632" s="52" t="s">
        <v>5816</v>
      </c>
      <c r="M2632" s="52" t="s">
        <v>100</v>
      </c>
    </row>
    <row r="2633" customFormat="false" ht="17.25" hidden="false" customHeight="true" outlineLevel="0" collapsed="false">
      <c r="A2633" s="52" t="s">
        <v>5777</v>
      </c>
      <c r="B2633" s="52" t="s">
        <v>5813</v>
      </c>
      <c r="C2633" s="53" t="n">
        <v>879002</v>
      </c>
      <c r="D2633" s="52" t="s">
        <v>5567</v>
      </c>
      <c r="E2633" s="52" t="s">
        <v>5568</v>
      </c>
      <c r="F2633" s="54" t="n">
        <v>1</v>
      </c>
      <c r="G2633" s="55" t="n">
        <v>12</v>
      </c>
      <c r="H2633" s="55" t="n">
        <v>12</v>
      </c>
      <c r="I2633" s="55" t="n">
        <v>12</v>
      </c>
      <c r="J2633" s="52" t="s">
        <v>5911</v>
      </c>
      <c r="K2633" s="56" t="n">
        <v>1</v>
      </c>
      <c r="L2633" s="52" t="s">
        <v>5816</v>
      </c>
      <c r="M2633" s="52" t="s">
        <v>2056</v>
      </c>
    </row>
    <row r="2634" customFormat="false" ht="17.25" hidden="false" customHeight="true" outlineLevel="0" collapsed="false">
      <c r="A2634" s="52" t="s">
        <v>5777</v>
      </c>
      <c r="B2634" s="52" t="s">
        <v>5813</v>
      </c>
      <c r="C2634" s="53" t="n">
        <v>552915</v>
      </c>
      <c r="D2634" s="52" t="s">
        <v>5569</v>
      </c>
      <c r="E2634" s="52" t="s">
        <v>5570</v>
      </c>
      <c r="F2634" s="54" t="n">
        <v>1</v>
      </c>
      <c r="G2634" s="55" t="n">
        <v>11.98</v>
      </c>
      <c r="H2634" s="55" t="n">
        <v>11.98</v>
      </c>
      <c r="I2634" s="55" t="n">
        <v>11.98</v>
      </c>
      <c r="J2634" s="52" t="s">
        <v>5816</v>
      </c>
      <c r="K2634" s="56" t="n">
        <v>1</v>
      </c>
      <c r="L2634" s="52" t="s">
        <v>5816</v>
      </c>
      <c r="M2634" s="52" t="s">
        <v>54</v>
      </c>
    </row>
    <row r="2635" customFormat="false" ht="17.25" hidden="false" customHeight="true" outlineLevel="0" collapsed="false">
      <c r="A2635" s="52" t="s">
        <v>5777</v>
      </c>
      <c r="B2635" s="52" t="s">
        <v>5813</v>
      </c>
      <c r="C2635" s="53" t="n">
        <v>1603755</v>
      </c>
      <c r="D2635" s="52" t="s">
        <v>5571</v>
      </c>
      <c r="E2635" s="52" t="s">
        <v>5572</v>
      </c>
      <c r="F2635" s="54" t="n">
        <v>1</v>
      </c>
      <c r="G2635" s="55" t="n">
        <v>11.98</v>
      </c>
      <c r="H2635" s="55" t="n">
        <v>11.98</v>
      </c>
      <c r="I2635" s="55" t="n">
        <v>11.98</v>
      </c>
      <c r="J2635" s="52" t="s">
        <v>5816</v>
      </c>
      <c r="K2635" s="56" t="n">
        <v>1</v>
      </c>
      <c r="L2635" s="52" t="s">
        <v>5816</v>
      </c>
      <c r="M2635" s="52" t="s">
        <v>38</v>
      </c>
    </row>
    <row r="2636" customFormat="false" ht="17.25" hidden="false" customHeight="true" outlineLevel="0" collapsed="false">
      <c r="A2636" s="52" t="s">
        <v>5777</v>
      </c>
      <c r="B2636" s="52" t="s">
        <v>5813</v>
      </c>
      <c r="C2636" s="53" t="n">
        <v>24280</v>
      </c>
      <c r="D2636" s="52" t="s">
        <v>5573</v>
      </c>
      <c r="E2636" s="52" t="s">
        <v>5574</v>
      </c>
      <c r="F2636" s="54" t="n">
        <v>3</v>
      </c>
      <c r="G2636" s="55" t="n">
        <v>11.94</v>
      </c>
      <c r="H2636" s="55" t="n">
        <v>3.98</v>
      </c>
      <c r="I2636" s="55" t="n">
        <v>3.98</v>
      </c>
      <c r="J2636" s="52" t="s">
        <v>5816</v>
      </c>
      <c r="K2636" s="56" t="n">
        <v>1</v>
      </c>
      <c r="L2636" s="52" t="s">
        <v>5816</v>
      </c>
      <c r="M2636" s="52" t="s">
        <v>705</v>
      </c>
    </row>
    <row r="2637" customFormat="false" ht="17.25" hidden="false" customHeight="true" outlineLevel="0" collapsed="false">
      <c r="A2637" s="52" t="s">
        <v>5777</v>
      </c>
      <c r="B2637" s="52" t="s">
        <v>5813</v>
      </c>
      <c r="C2637" s="53" t="n">
        <v>138648</v>
      </c>
      <c r="D2637" s="52" t="s">
        <v>5575</v>
      </c>
      <c r="E2637" s="52" t="s">
        <v>5576</v>
      </c>
      <c r="F2637" s="54" t="n">
        <v>8</v>
      </c>
      <c r="G2637" s="55" t="n">
        <v>11.84</v>
      </c>
      <c r="H2637" s="55" t="n">
        <v>1.48</v>
      </c>
      <c r="I2637" s="55" t="n">
        <v>1.48</v>
      </c>
      <c r="J2637" s="52" t="s">
        <v>5816</v>
      </c>
      <c r="K2637" s="56" t="n">
        <v>1</v>
      </c>
      <c r="L2637" s="52" t="s">
        <v>5816</v>
      </c>
      <c r="M2637" s="52" t="s">
        <v>100</v>
      </c>
    </row>
    <row r="2638" customFormat="false" ht="17.25" hidden="false" customHeight="true" outlineLevel="0" collapsed="false">
      <c r="A2638" s="52" t="s">
        <v>5777</v>
      </c>
      <c r="B2638" s="52" t="s">
        <v>5813</v>
      </c>
      <c r="C2638" s="53" t="n">
        <v>1660722</v>
      </c>
      <c r="D2638" s="52" t="s">
        <v>5577</v>
      </c>
      <c r="E2638" s="52" t="s">
        <v>5578</v>
      </c>
      <c r="F2638" s="54" t="n">
        <v>24</v>
      </c>
      <c r="G2638" s="55" t="n">
        <v>11.52</v>
      </c>
      <c r="H2638" s="55" t="n">
        <v>0.48</v>
      </c>
      <c r="I2638" s="55" t="n">
        <v>0.48</v>
      </c>
      <c r="J2638" s="52" t="s">
        <v>5816</v>
      </c>
      <c r="K2638" s="56" t="n">
        <v>1</v>
      </c>
      <c r="L2638" s="52" t="s">
        <v>5816</v>
      </c>
      <c r="M2638" s="52" t="s">
        <v>100</v>
      </c>
    </row>
    <row r="2639" customFormat="false" ht="17.25" hidden="false" customHeight="true" outlineLevel="0" collapsed="false">
      <c r="A2639" s="52" t="s">
        <v>5777</v>
      </c>
      <c r="B2639" s="52" t="s">
        <v>5813</v>
      </c>
      <c r="C2639" s="53" t="n">
        <v>17677</v>
      </c>
      <c r="D2639" s="52" t="s">
        <v>5579</v>
      </c>
      <c r="E2639" s="52" t="s">
        <v>5580</v>
      </c>
      <c r="F2639" s="54" t="n">
        <v>2</v>
      </c>
      <c r="G2639" s="55" t="n">
        <v>11.34</v>
      </c>
      <c r="H2639" s="55" t="n">
        <v>5.67</v>
      </c>
      <c r="I2639" s="55" t="n">
        <v>3.39</v>
      </c>
      <c r="J2639" s="52" t="s">
        <v>5816</v>
      </c>
      <c r="K2639" s="56" t="n">
        <v>1</v>
      </c>
      <c r="L2639" s="52" t="s">
        <v>5816</v>
      </c>
      <c r="M2639" s="52" t="s">
        <v>100</v>
      </c>
    </row>
    <row r="2640" customFormat="false" ht="17.25" hidden="false" customHeight="true" outlineLevel="0" collapsed="false">
      <c r="A2640" s="52" t="s">
        <v>5777</v>
      </c>
      <c r="B2640" s="52" t="s">
        <v>5813</v>
      </c>
      <c r="C2640" s="53" t="n">
        <v>17955</v>
      </c>
      <c r="D2640" s="52" t="s">
        <v>5581</v>
      </c>
      <c r="E2640" s="52" t="s">
        <v>5582</v>
      </c>
      <c r="F2640" s="54" t="n">
        <v>1</v>
      </c>
      <c r="G2640" s="55" t="n">
        <v>11.3</v>
      </c>
      <c r="H2640" s="55" t="n">
        <v>11.3</v>
      </c>
      <c r="I2640" s="55" t="n">
        <v>11.3</v>
      </c>
      <c r="J2640" s="52" t="s">
        <v>5816</v>
      </c>
      <c r="K2640" s="56" t="n">
        <v>1</v>
      </c>
      <c r="L2640" s="52" t="s">
        <v>5816</v>
      </c>
      <c r="M2640" s="52" t="s">
        <v>130</v>
      </c>
    </row>
    <row r="2641" customFormat="false" ht="17.25" hidden="false" customHeight="true" outlineLevel="0" collapsed="false">
      <c r="A2641" s="52" t="s">
        <v>5777</v>
      </c>
      <c r="B2641" s="52" t="s">
        <v>5813</v>
      </c>
      <c r="C2641" s="53" t="n">
        <v>33321</v>
      </c>
      <c r="D2641" s="52" t="s">
        <v>5583</v>
      </c>
      <c r="E2641" s="52" t="s">
        <v>5584</v>
      </c>
      <c r="F2641" s="54" t="n">
        <v>100</v>
      </c>
      <c r="G2641" s="55" t="n">
        <v>11.25</v>
      </c>
      <c r="H2641" s="55" t="n">
        <v>0.1125</v>
      </c>
      <c r="I2641" s="55" t="n">
        <v>0.1125</v>
      </c>
      <c r="J2641" s="52" t="s">
        <v>5816</v>
      </c>
      <c r="K2641" s="56" t="n">
        <v>1</v>
      </c>
      <c r="L2641" s="52" t="s">
        <v>5816</v>
      </c>
      <c r="M2641" s="52" t="s">
        <v>100</v>
      </c>
    </row>
    <row r="2642" customFormat="false" ht="17.25" hidden="false" customHeight="true" outlineLevel="0" collapsed="false">
      <c r="A2642" s="52" t="s">
        <v>5777</v>
      </c>
      <c r="B2642" s="52" t="s">
        <v>5813</v>
      </c>
      <c r="C2642" s="53" t="n">
        <v>89436</v>
      </c>
      <c r="D2642" s="52" t="s">
        <v>5585</v>
      </c>
      <c r="E2642" s="52" t="s">
        <v>5586</v>
      </c>
      <c r="F2642" s="54" t="n">
        <v>7</v>
      </c>
      <c r="G2642" s="55" t="n">
        <v>11.06</v>
      </c>
      <c r="H2642" s="55" t="n">
        <v>1.58</v>
      </c>
      <c r="I2642" s="55" t="n">
        <v>1.58</v>
      </c>
      <c r="J2642" s="52" t="s">
        <v>5816</v>
      </c>
      <c r="K2642" s="56" t="n">
        <v>1</v>
      </c>
      <c r="L2642" s="52" t="s">
        <v>5816</v>
      </c>
      <c r="M2642" s="52" t="s">
        <v>100</v>
      </c>
    </row>
    <row r="2643" customFormat="false" ht="17.25" hidden="false" customHeight="true" outlineLevel="0" collapsed="false">
      <c r="A2643" s="52" t="s">
        <v>5777</v>
      </c>
      <c r="B2643" s="52" t="s">
        <v>5813</v>
      </c>
      <c r="C2643" s="53" t="n">
        <v>871573</v>
      </c>
      <c r="D2643" s="52" t="s">
        <v>5587</v>
      </c>
      <c r="E2643" s="52" t="s">
        <v>5588</v>
      </c>
      <c r="F2643" s="54" t="n">
        <v>2</v>
      </c>
      <c r="G2643" s="55" t="n">
        <v>11</v>
      </c>
      <c r="H2643" s="55" t="n">
        <v>5.5</v>
      </c>
      <c r="I2643" s="55" t="n">
        <v>5.5</v>
      </c>
      <c r="J2643" s="52" t="s">
        <v>5816</v>
      </c>
      <c r="K2643" s="56" t="n">
        <v>1</v>
      </c>
      <c r="L2643" s="52" t="s">
        <v>5816</v>
      </c>
      <c r="M2643" s="52" t="s">
        <v>100</v>
      </c>
    </row>
    <row r="2644" customFormat="false" ht="17.25" hidden="false" customHeight="true" outlineLevel="0" collapsed="false">
      <c r="A2644" s="52" t="s">
        <v>5777</v>
      </c>
      <c r="B2644" s="52" t="s">
        <v>5813</v>
      </c>
      <c r="C2644" s="53" t="n">
        <v>1385729</v>
      </c>
      <c r="D2644" s="52" t="s">
        <v>5589</v>
      </c>
      <c r="E2644" s="52" t="s">
        <v>5590</v>
      </c>
      <c r="F2644" s="54" t="n">
        <v>1</v>
      </c>
      <c r="G2644" s="55" t="n">
        <v>10.65</v>
      </c>
      <c r="H2644" s="55" t="n">
        <v>10.65</v>
      </c>
      <c r="I2644" s="55" t="n">
        <v>10.65</v>
      </c>
      <c r="J2644" s="52" t="s">
        <v>5816</v>
      </c>
      <c r="K2644" s="56" t="n">
        <v>1</v>
      </c>
      <c r="L2644" s="52" t="s">
        <v>5816</v>
      </c>
      <c r="M2644" s="52" t="s">
        <v>38</v>
      </c>
    </row>
    <row r="2645" customFormat="false" ht="17.25" hidden="false" customHeight="true" outlineLevel="0" collapsed="false">
      <c r="A2645" s="52" t="s">
        <v>5777</v>
      </c>
      <c r="B2645" s="52" t="s">
        <v>5813</v>
      </c>
      <c r="C2645" s="53" t="n">
        <v>1388140</v>
      </c>
      <c r="D2645" s="52" t="s">
        <v>5591</v>
      </c>
      <c r="E2645" s="52" t="s">
        <v>5592</v>
      </c>
      <c r="F2645" s="54" t="n">
        <v>2</v>
      </c>
      <c r="G2645" s="55" t="n">
        <v>10.46</v>
      </c>
      <c r="H2645" s="55" t="n">
        <v>5.23</v>
      </c>
      <c r="I2645" s="55" t="n">
        <v>5.04</v>
      </c>
      <c r="J2645" s="52" t="s">
        <v>5816</v>
      </c>
      <c r="K2645" s="56" t="n">
        <v>1</v>
      </c>
      <c r="L2645" s="52" t="s">
        <v>5816</v>
      </c>
      <c r="M2645" s="52" t="s">
        <v>100</v>
      </c>
    </row>
    <row r="2646" customFormat="false" ht="17.25" hidden="false" customHeight="true" outlineLevel="0" collapsed="false">
      <c r="A2646" s="52" t="s">
        <v>5777</v>
      </c>
      <c r="B2646" s="52" t="s">
        <v>5813</v>
      </c>
      <c r="C2646" s="53" t="n">
        <v>1670495</v>
      </c>
      <c r="D2646" s="52" t="s">
        <v>5593</v>
      </c>
      <c r="E2646" s="52" t="s">
        <v>6003</v>
      </c>
      <c r="F2646" s="54" t="n">
        <v>2</v>
      </c>
      <c r="G2646" s="55" t="n">
        <v>10.18</v>
      </c>
      <c r="H2646" s="55" t="n">
        <v>5.09</v>
      </c>
      <c r="I2646" s="55" t="n">
        <v>5.09</v>
      </c>
      <c r="J2646" s="52" t="s">
        <v>5816</v>
      </c>
      <c r="K2646" s="56" t="n">
        <v>1</v>
      </c>
      <c r="L2646" s="52" t="s">
        <v>5816</v>
      </c>
      <c r="M2646" s="52" t="s">
        <v>100</v>
      </c>
    </row>
    <row r="2647" customFormat="false" ht="17.25" hidden="false" customHeight="true" outlineLevel="0" collapsed="false">
      <c r="A2647" s="52" t="s">
        <v>5777</v>
      </c>
      <c r="B2647" s="52" t="s">
        <v>5813</v>
      </c>
      <c r="C2647" s="53" t="n">
        <v>16374</v>
      </c>
      <c r="D2647" s="52" t="s">
        <v>5595</v>
      </c>
      <c r="E2647" s="52" t="s">
        <v>5596</v>
      </c>
      <c r="F2647" s="54" t="n">
        <v>1</v>
      </c>
      <c r="G2647" s="55" t="n">
        <v>9.98</v>
      </c>
      <c r="H2647" s="55" t="n">
        <v>9.98</v>
      </c>
      <c r="I2647" s="55" t="n">
        <v>9.98</v>
      </c>
      <c r="J2647" s="52" t="s">
        <v>5816</v>
      </c>
      <c r="K2647" s="56" t="n">
        <v>1</v>
      </c>
      <c r="L2647" s="52" t="s">
        <v>5816</v>
      </c>
      <c r="M2647" s="52" t="s">
        <v>54</v>
      </c>
    </row>
    <row r="2648" customFormat="false" ht="17.25" hidden="false" customHeight="true" outlineLevel="0" collapsed="false">
      <c r="A2648" s="52" t="s">
        <v>5777</v>
      </c>
      <c r="B2648" s="52" t="s">
        <v>5813</v>
      </c>
      <c r="C2648" s="53" t="n">
        <v>1461936</v>
      </c>
      <c r="D2648" s="52" t="s">
        <v>5597</v>
      </c>
      <c r="E2648" s="52" t="s">
        <v>5598</v>
      </c>
      <c r="F2648" s="54" t="n">
        <v>1</v>
      </c>
      <c r="G2648" s="55" t="n">
        <v>9.98</v>
      </c>
      <c r="H2648" s="55" t="n">
        <v>9.98</v>
      </c>
      <c r="I2648" s="55" t="n">
        <v>9.98</v>
      </c>
      <c r="J2648" s="52" t="s">
        <v>5816</v>
      </c>
      <c r="K2648" s="56" t="n">
        <v>1</v>
      </c>
      <c r="L2648" s="52" t="s">
        <v>5816</v>
      </c>
      <c r="M2648" s="52" t="s">
        <v>100</v>
      </c>
    </row>
    <row r="2649" customFormat="false" ht="17.25" hidden="false" customHeight="true" outlineLevel="0" collapsed="false">
      <c r="A2649" s="52" t="s">
        <v>5777</v>
      </c>
      <c r="B2649" s="52" t="s">
        <v>5813</v>
      </c>
      <c r="C2649" s="53" t="n">
        <v>14635</v>
      </c>
      <c r="D2649" s="52" t="s">
        <v>5599</v>
      </c>
      <c r="E2649" s="52" t="s">
        <v>5600</v>
      </c>
      <c r="F2649" s="54" t="n">
        <v>2</v>
      </c>
      <c r="G2649" s="55" t="n">
        <v>9.96</v>
      </c>
      <c r="H2649" s="55" t="n">
        <v>4.98</v>
      </c>
      <c r="I2649" s="55" t="n">
        <v>4.98</v>
      </c>
      <c r="J2649" s="52" t="s">
        <v>5816</v>
      </c>
      <c r="K2649" s="56" t="n">
        <v>1</v>
      </c>
      <c r="L2649" s="52" t="s">
        <v>5816</v>
      </c>
      <c r="M2649" s="52" t="s">
        <v>54</v>
      </c>
    </row>
    <row r="2650" customFormat="false" ht="17.25" hidden="false" customHeight="true" outlineLevel="0" collapsed="false">
      <c r="A2650" s="52" t="s">
        <v>5777</v>
      </c>
      <c r="B2650" s="52" t="s">
        <v>5813</v>
      </c>
      <c r="C2650" s="53" t="n">
        <v>139132</v>
      </c>
      <c r="D2650" s="52" t="s">
        <v>5601</v>
      </c>
      <c r="E2650" s="52" t="s">
        <v>5602</v>
      </c>
      <c r="F2650" s="54" t="n">
        <v>2</v>
      </c>
      <c r="G2650" s="55" t="n">
        <v>9.96</v>
      </c>
      <c r="H2650" s="55" t="n">
        <v>4.98</v>
      </c>
      <c r="I2650" s="55" t="n">
        <v>4.98</v>
      </c>
      <c r="J2650" s="52" t="s">
        <v>5816</v>
      </c>
      <c r="K2650" s="56" t="n">
        <v>1</v>
      </c>
      <c r="L2650" s="52" t="s">
        <v>5816</v>
      </c>
      <c r="M2650" s="52" t="s">
        <v>100</v>
      </c>
    </row>
    <row r="2651" customFormat="false" ht="17.25" hidden="false" customHeight="true" outlineLevel="0" collapsed="false">
      <c r="A2651" s="52" t="s">
        <v>5777</v>
      </c>
      <c r="B2651" s="52" t="s">
        <v>5813</v>
      </c>
      <c r="C2651" s="53" t="n">
        <v>1462824</v>
      </c>
      <c r="D2651" s="52" t="s">
        <v>5603</v>
      </c>
      <c r="E2651" s="52" t="s">
        <v>5604</v>
      </c>
      <c r="F2651" s="54" t="n">
        <v>4</v>
      </c>
      <c r="G2651" s="55" t="n">
        <v>9.92</v>
      </c>
      <c r="H2651" s="55" t="n">
        <v>2.48</v>
      </c>
      <c r="I2651" s="55" t="n">
        <v>2.48</v>
      </c>
      <c r="J2651" s="52" t="s">
        <v>5816</v>
      </c>
      <c r="K2651" s="56" t="n">
        <v>1</v>
      </c>
      <c r="L2651" s="52" t="s">
        <v>5816</v>
      </c>
      <c r="M2651" s="52" t="s">
        <v>100</v>
      </c>
    </row>
    <row r="2652" customFormat="false" ht="17.25" hidden="false" customHeight="true" outlineLevel="0" collapsed="false">
      <c r="A2652" s="52" t="s">
        <v>5777</v>
      </c>
      <c r="B2652" s="52" t="s">
        <v>5813</v>
      </c>
      <c r="C2652" s="53" t="n">
        <v>13150</v>
      </c>
      <c r="D2652" s="52" t="s">
        <v>5605</v>
      </c>
      <c r="E2652" s="52" t="s">
        <v>5606</v>
      </c>
      <c r="F2652" s="54" t="n">
        <v>2</v>
      </c>
      <c r="G2652" s="55" t="n">
        <v>9.8</v>
      </c>
      <c r="H2652" s="55" t="n">
        <v>4.9</v>
      </c>
      <c r="I2652" s="55" t="n">
        <v>4.9</v>
      </c>
      <c r="J2652" s="52" t="s">
        <v>5816</v>
      </c>
      <c r="K2652" s="56" t="n">
        <v>1</v>
      </c>
      <c r="L2652" s="52" t="s">
        <v>5816</v>
      </c>
      <c r="M2652" s="52" t="s">
        <v>38</v>
      </c>
    </row>
    <row r="2653" customFormat="false" ht="17.25" hidden="false" customHeight="true" outlineLevel="0" collapsed="false">
      <c r="A2653" s="52" t="s">
        <v>5777</v>
      </c>
      <c r="B2653" s="52" t="s">
        <v>5813</v>
      </c>
      <c r="C2653" s="53" t="n">
        <v>1485654</v>
      </c>
      <c r="D2653" s="52" t="s">
        <v>5607</v>
      </c>
      <c r="E2653" s="57" t="s">
        <v>6004</v>
      </c>
      <c r="F2653" s="54" t="n">
        <v>5</v>
      </c>
      <c r="G2653" s="55" t="n">
        <v>9.5</v>
      </c>
      <c r="H2653" s="55" t="n">
        <v>1.9</v>
      </c>
      <c r="I2653" s="55" t="n">
        <v>1.9</v>
      </c>
      <c r="J2653" s="52" t="s">
        <v>5816</v>
      </c>
      <c r="K2653" s="56" t="n">
        <v>1</v>
      </c>
      <c r="L2653" s="52" t="s">
        <v>5816</v>
      </c>
      <c r="M2653" s="52" t="s">
        <v>100</v>
      </c>
    </row>
    <row r="2654" customFormat="false" ht="17.25" hidden="false" customHeight="true" outlineLevel="0" collapsed="false">
      <c r="A2654" s="52" t="s">
        <v>5777</v>
      </c>
      <c r="B2654" s="52" t="s">
        <v>5813</v>
      </c>
      <c r="C2654" s="53" t="n">
        <v>938573</v>
      </c>
      <c r="D2654" s="52" t="s">
        <v>5609</v>
      </c>
      <c r="E2654" s="52" t="s">
        <v>5610</v>
      </c>
      <c r="F2654" s="54" t="n">
        <v>2</v>
      </c>
      <c r="G2654" s="55" t="n">
        <v>8.96</v>
      </c>
      <c r="H2654" s="55" t="n">
        <v>4.48</v>
      </c>
      <c r="I2654" s="55" t="n">
        <v>4.48</v>
      </c>
      <c r="J2654" s="52" t="s">
        <v>5816</v>
      </c>
      <c r="K2654" s="56" t="n">
        <v>1</v>
      </c>
      <c r="L2654" s="52" t="s">
        <v>5816</v>
      </c>
      <c r="M2654" s="52" t="s">
        <v>100</v>
      </c>
    </row>
    <row r="2655" customFormat="false" ht="17.25" hidden="false" customHeight="true" outlineLevel="0" collapsed="false">
      <c r="A2655" s="52" t="s">
        <v>5777</v>
      </c>
      <c r="B2655" s="52" t="s">
        <v>5813</v>
      </c>
      <c r="C2655" s="53" t="n">
        <v>1605184</v>
      </c>
      <c r="D2655" s="52" t="s">
        <v>5611</v>
      </c>
      <c r="E2655" s="52" t="s">
        <v>5612</v>
      </c>
      <c r="F2655" s="54" t="n">
        <v>1</v>
      </c>
      <c r="G2655" s="55" t="n">
        <v>8.9</v>
      </c>
      <c r="H2655" s="55" t="n">
        <v>8.9</v>
      </c>
      <c r="I2655" s="55" t="n">
        <v>8.9</v>
      </c>
      <c r="J2655" s="52" t="s">
        <v>5816</v>
      </c>
      <c r="K2655" s="56" t="n">
        <v>1</v>
      </c>
      <c r="L2655" s="52" t="s">
        <v>5816</v>
      </c>
      <c r="M2655" s="52" t="s">
        <v>38</v>
      </c>
    </row>
    <row r="2656" customFormat="false" ht="17.25" hidden="false" customHeight="true" outlineLevel="0" collapsed="false">
      <c r="A2656" s="52" t="s">
        <v>5777</v>
      </c>
      <c r="B2656" s="52" t="s">
        <v>5813</v>
      </c>
      <c r="C2656" s="53" t="n">
        <v>55799</v>
      </c>
      <c r="D2656" s="52" t="s">
        <v>5613</v>
      </c>
      <c r="E2656" s="52" t="s">
        <v>5614</v>
      </c>
      <c r="F2656" s="54" t="n">
        <v>1</v>
      </c>
      <c r="G2656" s="55" t="n">
        <v>8.22</v>
      </c>
      <c r="H2656" s="55" t="n">
        <v>8.22</v>
      </c>
      <c r="I2656" s="55" t="n">
        <v>8.22</v>
      </c>
      <c r="J2656" s="52" t="s">
        <v>5816</v>
      </c>
      <c r="K2656" s="56" t="n">
        <v>1</v>
      </c>
      <c r="L2656" s="52" t="s">
        <v>5816</v>
      </c>
      <c r="M2656" s="52" t="s">
        <v>38</v>
      </c>
    </row>
    <row r="2657" customFormat="false" ht="17.25" hidden="false" customHeight="true" outlineLevel="0" collapsed="false">
      <c r="A2657" s="52" t="s">
        <v>5777</v>
      </c>
      <c r="B2657" s="52" t="s">
        <v>5813</v>
      </c>
      <c r="C2657" s="53" t="n">
        <v>839996</v>
      </c>
      <c r="D2657" s="52" t="s">
        <v>5615</v>
      </c>
      <c r="E2657" s="52" t="s">
        <v>5616</v>
      </c>
      <c r="F2657" s="54" t="n">
        <v>1</v>
      </c>
      <c r="G2657" s="55" t="n">
        <v>8.07</v>
      </c>
      <c r="H2657" s="55" t="n">
        <v>8.07</v>
      </c>
      <c r="I2657" s="55" t="n">
        <v>8.07</v>
      </c>
      <c r="J2657" s="52" t="s">
        <v>5816</v>
      </c>
      <c r="K2657" s="56" t="n">
        <v>1</v>
      </c>
      <c r="L2657" s="52" t="s">
        <v>5816</v>
      </c>
      <c r="M2657" s="52" t="s">
        <v>54</v>
      </c>
    </row>
    <row r="2658" customFormat="false" ht="17.25" hidden="false" customHeight="true" outlineLevel="0" collapsed="false">
      <c r="A2658" s="52" t="s">
        <v>5777</v>
      </c>
      <c r="B2658" s="52" t="s">
        <v>5813</v>
      </c>
      <c r="C2658" s="53" t="n">
        <v>277198</v>
      </c>
      <c r="D2658" s="52" t="s">
        <v>5617</v>
      </c>
      <c r="E2658" s="52" t="s">
        <v>5618</v>
      </c>
      <c r="F2658" s="54" t="n">
        <v>10</v>
      </c>
      <c r="G2658" s="55" t="n">
        <v>8</v>
      </c>
      <c r="H2658" s="55" t="n">
        <v>0.8</v>
      </c>
      <c r="I2658" s="55" t="n">
        <v>0.88</v>
      </c>
      <c r="J2658" s="52" t="s">
        <v>5816</v>
      </c>
      <c r="K2658" s="56" t="n">
        <v>1</v>
      </c>
      <c r="L2658" s="52" t="s">
        <v>5816</v>
      </c>
      <c r="M2658" s="52" t="s">
        <v>189</v>
      </c>
    </row>
    <row r="2659" customFormat="false" ht="17.25" hidden="false" customHeight="true" outlineLevel="0" collapsed="false">
      <c r="A2659" s="52" t="s">
        <v>5777</v>
      </c>
      <c r="B2659" s="52" t="s">
        <v>5813</v>
      </c>
      <c r="C2659" s="53" t="n">
        <v>879111</v>
      </c>
      <c r="D2659" s="52" t="s">
        <v>5619</v>
      </c>
      <c r="E2659" s="52" t="s">
        <v>5620</v>
      </c>
      <c r="F2659" s="54" t="n">
        <v>8</v>
      </c>
      <c r="G2659" s="55" t="n">
        <v>8</v>
      </c>
      <c r="H2659" s="55" t="n">
        <v>1</v>
      </c>
      <c r="I2659" s="55" t="n">
        <v>1</v>
      </c>
      <c r="J2659" s="52" t="s">
        <v>5816</v>
      </c>
      <c r="K2659" s="56" t="n">
        <v>1</v>
      </c>
      <c r="L2659" s="52" t="s">
        <v>5816</v>
      </c>
      <c r="M2659" s="52" t="s">
        <v>2056</v>
      </c>
    </row>
    <row r="2660" customFormat="false" ht="17.25" hidden="false" customHeight="true" outlineLevel="0" collapsed="false">
      <c r="A2660" s="52" t="s">
        <v>5777</v>
      </c>
      <c r="B2660" s="52" t="s">
        <v>5813</v>
      </c>
      <c r="C2660" s="53" t="n">
        <v>14628</v>
      </c>
      <c r="D2660" s="52" t="s">
        <v>5621</v>
      </c>
      <c r="E2660" s="52" t="s">
        <v>5622</v>
      </c>
      <c r="F2660" s="54" t="n">
        <v>1</v>
      </c>
      <c r="G2660" s="55" t="n">
        <v>7.98</v>
      </c>
      <c r="H2660" s="55" t="n">
        <v>7.98</v>
      </c>
      <c r="I2660" s="55" t="n">
        <v>7.98</v>
      </c>
      <c r="J2660" s="52" t="s">
        <v>5816</v>
      </c>
      <c r="K2660" s="56" t="n">
        <v>1</v>
      </c>
      <c r="L2660" s="52" t="s">
        <v>5816</v>
      </c>
      <c r="M2660" s="52" t="s">
        <v>54</v>
      </c>
    </row>
    <row r="2661" customFormat="false" ht="17.25" hidden="false" customHeight="true" outlineLevel="0" collapsed="false">
      <c r="A2661" s="52" t="s">
        <v>5777</v>
      </c>
      <c r="B2661" s="52" t="s">
        <v>5813</v>
      </c>
      <c r="C2661" s="53" t="n">
        <v>34095</v>
      </c>
      <c r="D2661" s="52" t="s">
        <v>5623</v>
      </c>
      <c r="E2661" s="52" t="s">
        <v>5624</v>
      </c>
      <c r="F2661" s="54" t="n">
        <v>2</v>
      </c>
      <c r="G2661" s="55" t="n">
        <v>7.96</v>
      </c>
      <c r="H2661" s="55" t="n">
        <v>3.98</v>
      </c>
      <c r="I2661" s="55" t="n">
        <v>3.98</v>
      </c>
      <c r="J2661" s="52" t="s">
        <v>5816</v>
      </c>
      <c r="K2661" s="56" t="n">
        <v>1</v>
      </c>
      <c r="L2661" s="52" t="s">
        <v>5816</v>
      </c>
      <c r="M2661" s="52" t="s">
        <v>705</v>
      </c>
    </row>
    <row r="2662" customFormat="false" ht="17.25" hidden="false" customHeight="true" outlineLevel="0" collapsed="false">
      <c r="A2662" s="52" t="s">
        <v>5777</v>
      </c>
      <c r="B2662" s="52" t="s">
        <v>5813</v>
      </c>
      <c r="C2662" s="53" t="n">
        <v>32057</v>
      </c>
      <c r="D2662" s="52" t="s">
        <v>5625</v>
      </c>
      <c r="E2662" s="52" t="s">
        <v>5626</v>
      </c>
      <c r="F2662" s="54" t="n">
        <v>4</v>
      </c>
      <c r="G2662" s="55" t="n">
        <v>7.92</v>
      </c>
      <c r="H2662" s="55" t="n">
        <v>1.98</v>
      </c>
      <c r="I2662" s="55" t="n">
        <v>1.98</v>
      </c>
      <c r="J2662" s="52" t="s">
        <v>5816</v>
      </c>
      <c r="K2662" s="56" t="n">
        <v>1</v>
      </c>
      <c r="L2662" s="52" t="s">
        <v>5816</v>
      </c>
      <c r="M2662" s="52" t="s">
        <v>189</v>
      </c>
    </row>
    <row r="2663" customFormat="false" ht="17.25" hidden="false" customHeight="true" outlineLevel="0" collapsed="false">
      <c r="A2663" s="52" t="s">
        <v>5777</v>
      </c>
      <c r="B2663" s="52" t="s">
        <v>5813</v>
      </c>
      <c r="C2663" s="53" t="n">
        <v>55071</v>
      </c>
      <c r="D2663" s="52" t="s">
        <v>5627</v>
      </c>
      <c r="E2663" s="52" t="s">
        <v>5628</v>
      </c>
      <c r="F2663" s="54" t="n">
        <v>1</v>
      </c>
      <c r="G2663" s="55" t="n">
        <v>7.9</v>
      </c>
      <c r="H2663" s="55" t="n">
        <v>7.9</v>
      </c>
      <c r="I2663" s="55" t="n">
        <v>7.9</v>
      </c>
      <c r="J2663" s="52" t="s">
        <v>5816</v>
      </c>
      <c r="K2663" s="56" t="n">
        <v>1</v>
      </c>
      <c r="L2663" s="52" t="s">
        <v>5816</v>
      </c>
      <c r="M2663" s="52" t="s">
        <v>38</v>
      </c>
    </row>
    <row r="2664" customFormat="false" ht="17.25" hidden="false" customHeight="true" outlineLevel="0" collapsed="false">
      <c r="A2664" s="52" t="s">
        <v>5777</v>
      </c>
      <c r="B2664" s="52" t="s">
        <v>5813</v>
      </c>
      <c r="C2664" s="53" t="n">
        <v>16884</v>
      </c>
      <c r="D2664" s="52" t="s">
        <v>5629</v>
      </c>
      <c r="E2664" s="52" t="s">
        <v>5630</v>
      </c>
      <c r="F2664" s="54" t="n">
        <v>8</v>
      </c>
      <c r="G2664" s="55" t="n">
        <v>7.84</v>
      </c>
      <c r="H2664" s="55" t="n">
        <v>0.98</v>
      </c>
      <c r="I2664" s="55" t="n">
        <v>0.98</v>
      </c>
      <c r="J2664" s="52" t="s">
        <v>5816</v>
      </c>
      <c r="K2664" s="56" t="n">
        <v>1</v>
      </c>
      <c r="L2664" s="52" t="s">
        <v>5816</v>
      </c>
      <c r="M2664" s="52" t="s">
        <v>100</v>
      </c>
    </row>
    <row r="2665" customFormat="false" ht="17.25" hidden="false" customHeight="true" outlineLevel="0" collapsed="false">
      <c r="A2665" s="52" t="s">
        <v>5777</v>
      </c>
      <c r="B2665" s="52" t="s">
        <v>5813</v>
      </c>
      <c r="C2665" s="53" t="n">
        <v>1096374</v>
      </c>
      <c r="D2665" s="52" t="s">
        <v>5631</v>
      </c>
      <c r="E2665" s="52" t="s">
        <v>5632</v>
      </c>
      <c r="F2665" s="54" t="n">
        <v>8</v>
      </c>
      <c r="G2665" s="55" t="n">
        <v>7.84</v>
      </c>
      <c r="H2665" s="55" t="n">
        <v>0.98</v>
      </c>
      <c r="I2665" s="55" t="n">
        <v>0.98</v>
      </c>
      <c r="J2665" s="52" t="s">
        <v>5816</v>
      </c>
      <c r="K2665" s="56" t="n">
        <v>1</v>
      </c>
      <c r="L2665" s="52" t="s">
        <v>5816</v>
      </c>
      <c r="M2665" s="52" t="s">
        <v>100</v>
      </c>
    </row>
    <row r="2666" customFormat="false" ht="17.25" hidden="false" customHeight="true" outlineLevel="0" collapsed="false">
      <c r="A2666" s="52" t="s">
        <v>5777</v>
      </c>
      <c r="B2666" s="52" t="s">
        <v>5813</v>
      </c>
      <c r="C2666" s="53" t="n">
        <v>55411</v>
      </c>
      <c r="D2666" s="52" t="s">
        <v>5633</v>
      </c>
      <c r="E2666" s="52" t="s">
        <v>5634</v>
      </c>
      <c r="F2666" s="54" t="n">
        <v>1</v>
      </c>
      <c r="G2666" s="55" t="n">
        <v>7.8</v>
      </c>
      <c r="H2666" s="55" t="n">
        <v>7.8</v>
      </c>
      <c r="I2666" s="55" t="n">
        <v>7.8</v>
      </c>
      <c r="J2666" s="52" t="s">
        <v>5816</v>
      </c>
      <c r="K2666" s="56" t="n">
        <v>1</v>
      </c>
      <c r="L2666" s="52" t="s">
        <v>5816</v>
      </c>
      <c r="M2666" s="52" t="s">
        <v>130</v>
      </c>
    </row>
    <row r="2667" customFormat="false" ht="17.25" hidden="false" customHeight="true" outlineLevel="0" collapsed="false">
      <c r="A2667" s="52" t="s">
        <v>5777</v>
      </c>
      <c r="B2667" s="52" t="s">
        <v>5813</v>
      </c>
      <c r="C2667" s="53" t="n">
        <v>609655</v>
      </c>
      <c r="D2667" s="52" t="s">
        <v>5635</v>
      </c>
      <c r="E2667" s="52" t="s">
        <v>5636</v>
      </c>
      <c r="F2667" s="54" t="n">
        <v>1</v>
      </c>
      <c r="G2667" s="55" t="n">
        <v>7.8</v>
      </c>
      <c r="H2667" s="55" t="n">
        <v>7.8</v>
      </c>
      <c r="I2667" s="55" t="n">
        <v>7.8</v>
      </c>
      <c r="J2667" s="52" t="s">
        <v>5816</v>
      </c>
      <c r="K2667" s="56" t="n">
        <v>1</v>
      </c>
      <c r="L2667" s="52" t="s">
        <v>5816</v>
      </c>
      <c r="M2667" s="52" t="s">
        <v>130</v>
      </c>
    </row>
    <row r="2668" customFormat="false" ht="17.25" hidden="false" customHeight="true" outlineLevel="0" collapsed="false">
      <c r="A2668" s="52" t="s">
        <v>5777</v>
      </c>
      <c r="B2668" s="52" t="s">
        <v>5813</v>
      </c>
      <c r="C2668" s="53" t="n">
        <v>1662387</v>
      </c>
      <c r="D2668" s="52" t="s">
        <v>5637</v>
      </c>
      <c r="E2668" s="52" t="s">
        <v>5638</v>
      </c>
      <c r="F2668" s="54" t="n">
        <v>8</v>
      </c>
      <c r="G2668" s="55" t="n">
        <v>7.67</v>
      </c>
      <c r="H2668" s="55" t="n">
        <v>0.9588</v>
      </c>
      <c r="I2668" s="55" t="n">
        <v>0.89</v>
      </c>
      <c r="J2668" s="52" t="s">
        <v>5816</v>
      </c>
      <c r="K2668" s="56" t="n">
        <v>1</v>
      </c>
      <c r="L2668" s="52" t="s">
        <v>5816</v>
      </c>
      <c r="M2668" s="52" t="s">
        <v>100</v>
      </c>
    </row>
    <row r="2669" customFormat="false" ht="17.25" hidden="false" customHeight="true" outlineLevel="0" collapsed="false">
      <c r="A2669" s="52" t="s">
        <v>5777</v>
      </c>
      <c r="B2669" s="52" t="s">
        <v>5813</v>
      </c>
      <c r="C2669" s="53" t="n">
        <v>1484400</v>
      </c>
      <c r="D2669" s="52" t="s">
        <v>5639</v>
      </c>
      <c r="E2669" s="52" t="s">
        <v>6005</v>
      </c>
      <c r="F2669" s="54" t="n">
        <v>1</v>
      </c>
      <c r="G2669" s="55" t="n">
        <v>7.48</v>
      </c>
      <c r="H2669" s="55" t="n">
        <v>7.48</v>
      </c>
      <c r="I2669" s="55" t="n">
        <v>7.48</v>
      </c>
      <c r="J2669" s="52" t="s">
        <v>5816</v>
      </c>
      <c r="K2669" s="56" t="n">
        <v>1</v>
      </c>
      <c r="L2669" s="52" t="s">
        <v>5816</v>
      </c>
      <c r="M2669" s="52" t="s">
        <v>54</v>
      </c>
    </row>
    <row r="2670" customFormat="false" ht="17.25" hidden="false" customHeight="true" outlineLevel="0" collapsed="false">
      <c r="A2670" s="52" t="s">
        <v>5777</v>
      </c>
      <c r="B2670" s="52" t="s">
        <v>5813</v>
      </c>
      <c r="C2670" s="53" t="n">
        <v>13148</v>
      </c>
      <c r="D2670" s="52" t="s">
        <v>5641</v>
      </c>
      <c r="E2670" s="52" t="s">
        <v>5642</v>
      </c>
      <c r="F2670" s="54" t="n">
        <v>2</v>
      </c>
      <c r="G2670" s="55" t="n">
        <v>7</v>
      </c>
      <c r="H2670" s="55" t="n">
        <v>3.5</v>
      </c>
      <c r="I2670" s="55" t="n">
        <v>3.5</v>
      </c>
      <c r="J2670" s="52" t="s">
        <v>5816</v>
      </c>
      <c r="K2670" s="56" t="n">
        <v>1</v>
      </c>
      <c r="L2670" s="52" t="s">
        <v>5816</v>
      </c>
      <c r="M2670" s="52" t="s">
        <v>38</v>
      </c>
    </row>
    <row r="2671" customFormat="false" ht="17.25" hidden="false" customHeight="true" outlineLevel="0" collapsed="false">
      <c r="A2671" s="52" t="s">
        <v>5777</v>
      </c>
      <c r="B2671" s="52" t="s">
        <v>5813</v>
      </c>
      <c r="C2671" s="53" t="n">
        <v>56737</v>
      </c>
      <c r="D2671" s="52" t="s">
        <v>5643</v>
      </c>
      <c r="E2671" s="52" t="s">
        <v>5644</v>
      </c>
      <c r="F2671" s="54" t="n">
        <v>50</v>
      </c>
      <c r="G2671" s="55" t="n">
        <v>7</v>
      </c>
      <c r="H2671" s="55" t="n">
        <v>0.14</v>
      </c>
      <c r="I2671" s="55" t="n">
        <v>0.14</v>
      </c>
      <c r="J2671" s="52" t="s">
        <v>5816</v>
      </c>
      <c r="K2671" s="56" t="n">
        <v>1</v>
      </c>
      <c r="L2671" s="52" t="s">
        <v>5816</v>
      </c>
      <c r="M2671" s="52" t="s">
        <v>38</v>
      </c>
    </row>
    <row r="2672" customFormat="false" ht="17.25" hidden="false" customHeight="true" outlineLevel="0" collapsed="false">
      <c r="A2672" s="52" t="s">
        <v>5777</v>
      </c>
      <c r="B2672" s="52" t="s">
        <v>5813</v>
      </c>
      <c r="C2672" s="53" t="n">
        <v>232747</v>
      </c>
      <c r="D2672" s="52" t="s">
        <v>5645</v>
      </c>
      <c r="E2672" s="52" t="s">
        <v>5646</v>
      </c>
      <c r="F2672" s="54" t="n">
        <v>9</v>
      </c>
      <c r="G2672" s="55" t="n">
        <v>6.72</v>
      </c>
      <c r="H2672" s="55" t="n">
        <v>0.7467</v>
      </c>
      <c r="I2672" s="55" t="n">
        <v>0.58</v>
      </c>
      <c r="J2672" s="52" t="s">
        <v>5914</v>
      </c>
      <c r="K2672" s="56" t="n">
        <v>1</v>
      </c>
      <c r="L2672" s="52" t="s">
        <v>5914</v>
      </c>
      <c r="M2672" s="52" t="s">
        <v>100</v>
      </c>
    </row>
    <row r="2673" customFormat="false" ht="17.25" hidden="false" customHeight="true" outlineLevel="0" collapsed="false">
      <c r="A2673" s="52" t="s">
        <v>5777</v>
      </c>
      <c r="B2673" s="52" t="s">
        <v>5813</v>
      </c>
      <c r="C2673" s="53" t="n">
        <v>14738</v>
      </c>
      <c r="D2673" s="52" t="s">
        <v>5647</v>
      </c>
      <c r="E2673" s="52" t="s">
        <v>5648</v>
      </c>
      <c r="F2673" s="54" t="n">
        <v>2</v>
      </c>
      <c r="G2673" s="55" t="n">
        <v>6.56</v>
      </c>
      <c r="H2673" s="55" t="n">
        <v>3.28</v>
      </c>
      <c r="I2673" s="55" t="n">
        <v>3.28</v>
      </c>
      <c r="J2673" s="52" t="s">
        <v>5816</v>
      </c>
      <c r="K2673" s="56" t="n">
        <v>1</v>
      </c>
      <c r="L2673" s="52" t="s">
        <v>5816</v>
      </c>
      <c r="M2673" s="52" t="s">
        <v>54</v>
      </c>
    </row>
    <row r="2674" customFormat="false" ht="17.25" hidden="false" customHeight="true" outlineLevel="0" collapsed="false">
      <c r="A2674" s="52" t="s">
        <v>5777</v>
      </c>
      <c r="B2674" s="52" t="s">
        <v>5813</v>
      </c>
      <c r="C2674" s="53" t="n">
        <v>65218</v>
      </c>
      <c r="D2674" s="52" t="s">
        <v>5649</v>
      </c>
      <c r="E2674" s="52" t="s">
        <v>5650</v>
      </c>
      <c r="F2674" s="54" t="n">
        <v>8</v>
      </c>
      <c r="G2674" s="55" t="n">
        <v>6.4</v>
      </c>
      <c r="H2674" s="55" t="n">
        <v>0.8</v>
      </c>
      <c r="I2674" s="55" t="n">
        <v>0.8</v>
      </c>
      <c r="J2674" s="52" t="s">
        <v>5816</v>
      </c>
      <c r="K2674" s="56" t="n">
        <v>1</v>
      </c>
      <c r="L2674" s="52" t="s">
        <v>5816</v>
      </c>
      <c r="M2674" s="52" t="s">
        <v>2056</v>
      </c>
    </row>
    <row r="2675" customFormat="false" ht="17.25" hidden="false" customHeight="true" outlineLevel="0" collapsed="false">
      <c r="A2675" s="52" t="s">
        <v>5777</v>
      </c>
      <c r="B2675" s="52" t="s">
        <v>5813</v>
      </c>
      <c r="C2675" s="53" t="n">
        <v>389234</v>
      </c>
      <c r="D2675" s="52" t="s">
        <v>5651</v>
      </c>
      <c r="E2675" s="52" t="s">
        <v>5652</v>
      </c>
      <c r="F2675" s="54" t="n">
        <v>2</v>
      </c>
      <c r="G2675" s="55" t="n">
        <v>6.36</v>
      </c>
      <c r="H2675" s="55" t="n">
        <v>3.18</v>
      </c>
      <c r="I2675" s="55" t="n">
        <v>3.18</v>
      </c>
      <c r="J2675" s="52" t="s">
        <v>5816</v>
      </c>
      <c r="K2675" s="56" t="n">
        <v>1</v>
      </c>
      <c r="L2675" s="52" t="s">
        <v>5816</v>
      </c>
      <c r="M2675" s="52" t="s">
        <v>100</v>
      </c>
    </row>
    <row r="2676" customFormat="false" ht="17.25" hidden="false" customHeight="true" outlineLevel="0" collapsed="false">
      <c r="A2676" s="52" t="s">
        <v>5777</v>
      </c>
      <c r="B2676" s="52" t="s">
        <v>5813</v>
      </c>
      <c r="C2676" s="53" t="n">
        <v>16956</v>
      </c>
      <c r="D2676" s="52" t="s">
        <v>5653</v>
      </c>
      <c r="E2676" s="52" t="s">
        <v>5654</v>
      </c>
      <c r="F2676" s="54" t="n">
        <v>4</v>
      </c>
      <c r="G2676" s="55" t="n">
        <v>6.32</v>
      </c>
      <c r="H2676" s="55" t="n">
        <v>1.58</v>
      </c>
      <c r="I2676" s="55" t="n">
        <v>1.58</v>
      </c>
      <c r="J2676" s="52" t="s">
        <v>5816</v>
      </c>
      <c r="K2676" s="56" t="n">
        <v>1</v>
      </c>
      <c r="L2676" s="52" t="s">
        <v>5816</v>
      </c>
      <c r="M2676" s="52" t="s">
        <v>100</v>
      </c>
    </row>
    <row r="2677" customFormat="false" ht="17.25" hidden="false" customHeight="true" outlineLevel="0" collapsed="false">
      <c r="A2677" s="52" t="s">
        <v>5777</v>
      </c>
      <c r="B2677" s="52" t="s">
        <v>5813</v>
      </c>
      <c r="C2677" s="53" t="n">
        <v>21468</v>
      </c>
      <c r="D2677" s="52" t="s">
        <v>5655</v>
      </c>
      <c r="E2677" s="52" t="s">
        <v>5656</v>
      </c>
      <c r="F2677" s="54" t="n">
        <v>4</v>
      </c>
      <c r="G2677" s="55" t="n">
        <v>6.32</v>
      </c>
      <c r="H2677" s="55" t="n">
        <v>1.58</v>
      </c>
      <c r="I2677" s="55" t="n">
        <v>1.58</v>
      </c>
      <c r="J2677" s="52" t="s">
        <v>5816</v>
      </c>
      <c r="K2677" s="56" t="n">
        <v>1</v>
      </c>
      <c r="L2677" s="52" t="s">
        <v>5816</v>
      </c>
      <c r="M2677" s="52" t="s">
        <v>189</v>
      </c>
    </row>
    <row r="2678" customFormat="false" ht="17.25" hidden="false" customHeight="true" outlineLevel="0" collapsed="false">
      <c r="A2678" s="52" t="s">
        <v>5777</v>
      </c>
      <c r="B2678" s="52" t="s">
        <v>5813</v>
      </c>
      <c r="C2678" s="53" t="n">
        <v>942226</v>
      </c>
      <c r="D2678" s="52" t="s">
        <v>5657</v>
      </c>
      <c r="E2678" s="52" t="s">
        <v>5658</v>
      </c>
      <c r="F2678" s="54" t="n">
        <v>58</v>
      </c>
      <c r="G2678" s="55" t="n">
        <v>6.12</v>
      </c>
      <c r="H2678" s="55" t="n">
        <v>0.1055</v>
      </c>
      <c r="I2678" s="55" t="n">
        <v>0.08</v>
      </c>
      <c r="J2678" s="52" t="s">
        <v>5816</v>
      </c>
      <c r="K2678" s="56" t="n">
        <v>1</v>
      </c>
      <c r="L2678" s="52" t="s">
        <v>5816</v>
      </c>
      <c r="M2678" s="52" t="s">
        <v>100</v>
      </c>
    </row>
    <row r="2679" customFormat="false" ht="17.25" hidden="false" customHeight="true" outlineLevel="0" collapsed="false">
      <c r="A2679" s="52" t="s">
        <v>5777</v>
      </c>
      <c r="B2679" s="52" t="s">
        <v>5813</v>
      </c>
      <c r="C2679" s="53" t="n">
        <v>275375</v>
      </c>
      <c r="D2679" s="52" t="s">
        <v>5659</v>
      </c>
      <c r="E2679" s="52" t="s">
        <v>5660</v>
      </c>
      <c r="F2679" s="54" t="n">
        <v>56</v>
      </c>
      <c r="G2679" s="55" t="n">
        <v>6</v>
      </c>
      <c r="H2679" s="55" t="n">
        <v>0.1071</v>
      </c>
      <c r="I2679" s="55" t="n">
        <v>0.09</v>
      </c>
      <c r="J2679" s="52" t="s">
        <v>5816</v>
      </c>
      <c r="K2679" s="56" t="n">
        <v>1</v>
      </c>
      <c r="L2679" s="52" t="s">
        <v>5816</v>
      </c>
      <c r="M2679" s="52" t="s">
        <v>38</v>
      </c>
    </row>
    <row r="2680" customFormat="false" ht="17.25" hidden="false" customHeight="true" outlineLevel="0" collapsed="false">
      <c r="A2680" s="52" t="s">
        <v>5777</v>
      </c>
      <c r="B2680" s="52" t="s">
        <v>5813</v>
      </c>
      <c r="C2680" s="53" t="n">
        <v>389287</v>
      </c>
      <c r="D2680" s="52" t="s">
        <v>5661</v>
      </c>
      <c r="E2680" s="52" t="s">
        <v>5662</v>
      </c>
      <c r="F2680" s="54" t="n">
        <v>24</v>
      </c>
      <c r="G2680" s="55" t="n">
        <v>6</v>
      </c>
      <c r="H2680" s="55" t="n">
        <v>0.25</v>
      </c>
      <c r="I2680" s="55" t="n">
        <v>0.25</v>
      </c>
      <c r="J2680" s="52" t="s">
        <v>5816</v>
      </c>
      <c r="K2680" s="56" t="n">
        <v>1</v>
      </c>
      <c r="L2680" s="52" t="s">
        <v>5816</v>
      </c>
      <c r="M2680" s="52" t="s">
        <v>38</v>
      </c>
    </row>
    <row r="2681" customFormat="false" ht="17.25" hidden="false" customHeight="true" outlineLevel="0" collapsed="false">
      <c r="A2681" s="52" t="s">
        <v>5777</v>
      </c>
      <c r="B2681" s="52" t="s">
        <v>5813</v>
      </c>
      <c r="C2681" s="53" t="n">
        <v>18271</v>
      </c>
      <c r="D2681" s="52" t="s">
        <v>5663</v>
      </c>
      <c r="E2681" s="52" t="s">
        <v>5664</v>
      </c>
      <c r="F2681" s="54" t="n">
        <v>1</v>
      </c>
      <c r="G2681" s="55" t="n">
        <v>5.98</v>
      </c>
      <c r="H2681" s="55" t="n">
        <v>5.98</v>
      </c>
      <c r="I2681" s="55" t="n">
        <v>5.98</v>
      </c>
      <c r="J2681" s="52" t="s">
        <v>5816</v>
      </c>
      <c r="K2681" s="56" t="n">
        <v>1</v>
      </c>
      <c r="L2681" s="52" t="s">
        <v>5816</v>
      </c>
      <c r="M2681" s="52" t="s">
        <v>1618</v>
      </c>
    </row>
    <row r="2682" customFormat="false" ht="17.25" hidden="false" customHeight="true" outlineLevel="0" collapsed="false">
      <c r="A2682" s="52" t="s">
        <v>5777</v>
      </c>
      <c r="B2682" s="52" t="s">
        <v>5813</v>
      </c>
      <c r="C2682" s="53" t="n">
        <v>35302</v>
      </c>
      <c r="D2682" s="52" t="s">
        <v>5665</v>
      </c>
      <c r="E2682" s="52" t="s">
        <v>5666</v>
      </c>
      <c r="F2682" s="54" t="n">
        <v>1</v>
      </c>
      <c r="G2682" s="55" t="n">
        <v>5.98</v>
      </c>
      <c r="H2682" s="55" t="n">
        <v>5.98</v>
      </c>
      <c r="I2682" s="55" t="n">
        <v>5.98</v>
      </c>
      <c r="J2682" s="52" t="s">
        <v>5816</v>
      </c>
      <c r="K2682" s="56" t="n">
        <v>1</v>
      </c>
      <c r="L2682" s="52" t="s">
        <v>5816</v>
      </c>
      <c r="M2682" s="52" t="s">
        <v>705</v>
      </c>
    </row>
    <row r="2683" customFormat="false" ht="17.25" hidden="false" customHeight="true" outlineLevel="0" collapsed="false">
      <c r="A2683" s="52" t="s">
        <v>5777</v>
      </c>
      <c r="B2683" s="52" t="s">
        <v>5813</v>
      </c>
      <c r="C2683" s="53" t="n">
        <v>1388998</v>
      </c>
      <c r="D2683" s="52" t="s">
        <v>5667</v>
      </c>
      <c r="E2683" s="52" t="s">
        <v>5668</v>
      </c>
      <c r="F2683" s="54" t="n">
        <v>1</v>
      </c>
      <c r="G2683" s="55" t="n">
        <v>5.98</v>
      </c>
      <c r="H2683" s="55" t="n">
        <v>5.98</v>
      </c>
      <c r="I2683" s="55" t="n">
        <v>5.98</v>
      </c>
      <c r="J2683" s="52" t="s">
        <v>5816</v>
      </c>
      <c r="K2683" s="56" t="n">
        <v>1</v>
      </c>
      <c r="L2683" s="52" t="s">
        <v>5816</v>
      </c>
      <c r="M2683" s="52" t="s">
        <v>38</v>
      </c>
    </row>
    <row r="2684" customFormat="false" ht="17.25" hidden="false" customHeight="true" outlineLevel="0" collapsed="false">
      <c r="A2684" s="52" t="s">
        <v>5777</v>
      </c>
      <c r="B2684" s="52" t="s">
        <v>5813</v>
      </c>
      <c r="C2684" s="53" t="n">
        <v>16831</v>
      </c>
      <c r="D2684" s="52" t="s">
        <v>5669</v>
      </c>
      <c r="E2684" s="52" t="s">
        <v>5670</v>
      </c>
      <c r="F2684" s="54" t="n">
        <v>2</v>
      </c>
      <c r="G2684" s="55" t="n">
        <v>5.96</v>
      </c>
      <c r="H2684" s="55" t="n">
        <v>2.98</v>
      </c>
      <c r="I2684" s="55" t="n">
        <v>2.98</v>
      </c>
      <c r="J2684" s="52" t="s">
        <v>5816</v>
      </c>
      <c r="K2684" s="56" t="n">
        <v>1</v>
      </c>
      <c r="L2684" s="52" t="s">
        <v>5816</v>
      </c>
      <c r="M2684" s="52" t="s">
        <v>100</v>
      </c>
    </row>
    <row r="2685" customFormat="false" ht="17.25" hidden="false" customHeight="true" outlineLevel="0" collapsed="false">
      <c r="A2685" s="52" t="s">
        <v>5777</v>
      </c>
      <c r="B2685" s="52" t="s">
        <v>5813</v>
      </c>
      <c r="C2685" s="53" t="n">
        <v>1661826</v>
      </c>
      <c r="D2685" s="52" t="s">
        <v>5671</v>
      </c>
      <c r="E2685" s="52" t="s">
        <v>5672</v>
      </c>
      <c r="F2685" s="54" t="n">
        <v>2</v>
      </c>
      <c r="G2685" s="55" t="n">
        <v>5.94</v>
      </c>
      <c r="H2685" s="55" t="n">
        <v>2.97</v>
      </c>
      <c r="I2685" s="55" t="n">
        <v>2.97</v>
      </c>
      <c r="J2685" s="52" t="s">
        <v>5816</v>
      </c>
      <c r="K2685" s="56" t="n">
        <v>1</v>
      </c>
      <c r="L2685" s="52" t="s">
        <v>5816</v>
      </c>
      <c r="M2685" s="52" t="s">
        <v>38</v>
      </c>
    </row>
    <row r="2686" customFormat="false" ht="17.25" hidden="false" customHeight="true" outlineLevel="0" collapsed="false">
      <c r="A2686" s="52" t="s">
        <v>5777</v>
      </c>
      <c r="B2686" s="52" t="s">
        <v>5813</v>
      </c>
      <c r="C2686" s="53" t="n">
        <v>54860</v>
      </c>
      <c r="D2686" s="52" t="s">
        <v>5673</v>
      </c>
      <c r="E2686" s="52" t="s">
        <v>5674</v>
      </c>
      <c r="F2686" s="54" t="n">
        <v>6</v>
      </c>
      <c r="G2686" s="55" t="n">
        <v>5.88</v>
      </c>
      <c r="H2686" s="55" t="n">
        <v>0.98</v>
      </c>
      <c r="I2686" s="55" t="n">
        <v>0.98</v>
      </c>
      <c r="J2686" s="52" t="s">
        <v>5816</v>
      </c>
      <c r="K2686" s="56" t="n">
        <v>1</v>
      </c>
      <c r="L2686" s="52" t="s">
        <v>5816</v>
      </c>
      <c r="M2686" s="52" t="s">
        <v>100</v>
      </c>
    </row>
    <row r="2687" customFormat="false" ht="17.25" hidden="false" customHeight="true" outlineLevel="0" collapsed="false">
      <c r="A2687" s="52" t="s">
        <v>5777</v>
      </c>
      <c r="B2687" s="52" t="s">
        <v>5813</v>
      </c>
      <c r="C2687" s="53" t="n">
        <v>1614509</v>
      </c>
      <c r="D2687" s="52" t="s">
        <v>5675</v>
      </c>
      <c r="E2687" s="52" t="s">
        <v>5676</v>
      </c>
      <c r="F2687" s="54" t="n">
        <v>2</v>
      </c>
      <c r="G2687" s="55" t="n">
        <v>5.82</v>
      </c>
      <c r="H2687" s="55" t="n">
        <v>2.91</v>
      </c>
      <c r="I2687" s="55" t="n">
        <v>2.91</v>
      </c>
      <c r="J2687" s="52" t="s">
        <v>5817</v>
      </c>
      <c r="K2687" s="56" t="n">
        <v>1</v>
      </c>
      <c r="L2687" s="52" t="s">
        <v>5817</v>
      </c>
      <c r="M2687" s="52" t="s">
        <v>38</v>
      </c>
    </row>
    <row r="2688" customFormat="false" ht="17.25" hidden="false" customHeight="true" outlineLevel="0" collapsed="false">
      <c r="A2688" s="52" t="s">
        <v>5777</v>
      </c>
      <c r="B2688" s="52" t="s">
        <v>5813</v>
      </c>
      <c r="C2688" s="53" t="n">
        <v>1607591</v>
      </c>
      <c r="D2688" s="52" t="s">
        <v>5677</v>
      </c>
      <c r="E2688" s="52" t="s">
        <v>5678</v>
      </c>
      <c r="F2688" s="54" t="n">
        <v>1</v>
      </c>
      <c r="G2688" s="55" t="n">
        <v>5.77</v>
      </c>
      <c r="H2688" s="55" t="n">
        <v>5.77</v>
      </c>
      <c r="I2688" s="55" t="n">
        <v>5.77</v>
      </c>
      <c r="J2688" s="52" t="s">
        <v>5816</v>
      </c>
      <c r="K2688" s="56" t="n">
        <v>1</v>
      </c>
      <c r="L2688" s="52" t="s">
        <v>5816</v>
      </c>
      <c r="M2688" s="52" t="s">
        <v>38</v>
      </c>
    </row>
    <row r="2689" customFormat="false" ht="17.25" hidden="false" customHeight="true" outlineLevel="0" collapsed="false">
      <c r="A2689" s="52" t="s">
        <v>5777</v>
      </c>
      <c r="B2689" s="52" t="s">
        <v>5813</v>
      </c>
      <c r="C2689" s="53" t="n">
        <v>1087451</v>
      </c>
      <c r="D2689" s="52" t="s">
        <v>5679</v>
      </c>
      <c r="E2689" s="52" t="s">
        <v>5680</v>
      </c>
      <c r="F2689" s="54" t="n">
        <v>1</v>
      </c>
      <c r="G2689" s="55" t="n">
        <v>5.48</v>
      </c>
      <c r="H2689" s="55" t="n">
        <v>5.48</v>
      </c>
      <c r="I2689" s="55" t="n">
        <v>5.48</v>
      </c>
      <c r="J2689" s="52" t="s">
        <v>5816</v>
      </c>
      <c r="K2689" s="56" t="n">
        <v>1</v>
      </c>
      <c r="L2689" s="52" t="s">
        <v>5816</v>
      </c>
      <c r="M2689" s="52" t="s">
        <v>38</v>
      </c>
    </row>
    <row r="2690" customFormat="false" ht="17.25" hidden="false" customHeight="true" outlineLevel="0" collapsed="false">
      <c r="A2690" s="52" t="s">
        <v>5777</v>
      </c>
      <c r="B2690" s="52" t="s">
        <v>5813</v>
      </c>
      <c r="C2690" s="53" t="n">
        <v>1330424</v>
      </c>
      <c r="D2690" s="52" t="s">
        <v>5681</v>
      </c>
      <c r="E2690" s="52" t="s">
        <v>6006</v>
      </c>
      <c r="F2690" s="54" t="n">
        <v>2</v>
      </c>
      <c r="G2690" s="55" t="n">
        <v>5.4</v>
      </c>
      <c r="H2690" s="55" t="n">
        <v>2.7</v>
      </c>
      <c r="I2690" s="55" t="n">
        <v>2.7</v>
      </c>
      <c r="J2690" s="52" t="s">
        <v>5816</v>
      </c>
      <c r="K2690" s="56" t="n">
        <v>1</v>
      </c>
      <c r="L2690" s="52" t="s">
        <v>5816</v>
      </c>
      <c r="M2690" s="52" t="s">
        <v>54</v>
      </c>
    </row>
    <row r="2691" customFormat="false" ht="17.25" hidden="false" customHeight="true" outlineLevel="0" collapsed="false">
      <c r="A2691" s="52" t="s">
        <v>5777</v>
      </c>
      <c r="B2691" s="52" t="s">
        <v>5813</v>
      </c>
      <c r="C2691" s="53" t="n">
        <v>873190</v>
      </c>
      <c r="D2691" s="52" t="s">
        <v>5683</v>
      </c>
      <c r="E2691" s="52" t="s">
        <v>5684</v>
      </c>
      <c r="F2691" s="54" t="n">
        <v>6</v>
      </c>
      <c r="G2691" s="55" t="n">
        <v>5.28</v>
      </c>
      <c r="H2691" s="55" t="n">
        <v>0.88</v>
      </c>
      <c r="I2691" s="55" t="n">
        <v>0.88</v>
      </c>
      <c r="J2691" s="52" t="s">
        <v>5816</v>
      </c>
      <c r="K2691" s="56" t="n">
        <v>1</v>
      </c>
      <c r="L2691" s="52" t="s">
        <v>5816</v>
      </c>
      <c r="M2691" s="52" t="s">
        <v>189</v>
      </c>
    </row>
    <row r="2692" customFormat="false" ht="17.25" hidden="false" customHeight="true" outlineLevel="0" collapsed="false">
      <c r="A2692" s="52" t="s">
        <v>5777</v>
      </c>
      <c r="B2692" s="52" t="s">
        <v>5813</v>
      </c>
      <c r="C2692" s="53" t="n">
        <v>14755</v>
      </c>
      <c r="D2692" s="52" t="s">
        <v>5685</v>
      </c>
      <c r="E2692" s="52" t="s">
        <v>5686</v>
      </c>
      <c r="F2692" s="54" t="n">
        <v>8</v>
      </c>
      <c r="G2692" s="55" t="n">
        <v>5.04</v>
      </c>
      <c r="H2692" s="55" t="n">
        <v>0.63</v>
      </c>
      <c r="I2692" s="55" t="n">
        <v>0.63</v>
      </c>
      <c r="J2692" s="52" t="s">
        <v>5816</v>
      </c>
      <c r="K2692" s="56" t="n">
        <v>1</v>
      </c>
      <c r="L2692" s="52" t="s">
        <v>5816</v>
      </c>
      <c r="M2692" s="52" t="s">
        <v>54</v>
      </c>
    </row>
    <row r="2693" customFormat="false" ht="17.25" hidden="false" customHeight="true" outlineLevel="0" collapsed="false">
      <c r="A2693" s="52" t="s">
        <v>5777</v>
      </c>
      <c r="B2693" s="52" t="s">
        <v>5813</v>
      </c>
      <c r="C2693" s="53" t="n">
        <v>23200</v>
      </c>
      <c r="D2693" s="52" t="s">
        <v>5687</v>
      </c>
      <c r="E2693" s="52" t="s">
        <v>5688</v>
      </c>
      <c r="F2693" s="54" t="n">
        <v>1</v>
      </c>
      <c r="G2693" s="55" t="n">
        <v>4.98</v>
      </c>
      <c r="H2693" s="55" t="n">
        <v>4.98</v>
      </c>
      <c r="I2693" s="55" t="n">
        <v>4.98</v>
      </c>
      <c r="J2693" s="52" t="s">
        <v>5816</v>
      </c>
      <c r="K2693" s="56" t="n">
        <v>1</v>
      </c>
      <c r="L2693" s="52" t="s">
        <v>5816</v>
      </c>
      <c r="M2693" s="52" t="s">
        <v>54</v>
      </c>
    </row>
    <row r="2694" customFormat="false" ht="17.25" hidden="false" customHeight="true" outlineLevel="0" collapsed="false">
      <c r="A2694" s="52" t="s">
        <v>5777</v>
      </c>
      <c r="B2694" s="52" t="s">
        <v>5813</v>
      </c>
      <c r="C2694" s="53" t="n">
        <v>66194</v>
      </c>
      <c r="D2694" s="52" t="s">
        <v>5689</v>
      </c>
      <c r="E2694" s="52" t="s">
        <v>5690</v>
      </c>
      <c r="F2694" s="54" t="n">
        <v>1</v>
      </c>
      <c r="G2694" s="55" t="n">
        <v>4.98</v>
      </c>
      <c r="H2694" s="55" t="n">
        <v>4.98</v>
      </c>
      <c r="I2694" s="55" t="n">
        <v>4.98</v>
      </c>
      <c r="J2694" s="52" t="s">
        <v>5816</v>
      </c>
      <c r="K2694" s="56" t="n">
        <v>1</v>
      </c>
      <c r="L2694" s="52" t="s">
        <v>5816</v>
      </c>
      <c r="M2694" s="52" t="s">
        <v>189</v>
      </c>
    </row>
    <row r="2695" customFormat="false" ht="17.25" hidden="false" customHeight="true" outlineLevel="0" collapsed="false">
      <c r="A2695" s="52" t="s">
        <v>5777</v>
      </c>
      <c r="B2695" s="52" t="s">
        <v>5813</v>
      </c>
      <c r="C2695" s="53" t="n">
        <v>1659862</v>
      </c>
      <c r="D2695" s="52" t="s">
        <v>5691</v>
      </c>
      <c r="E2695" s="52" t="s">
        <v>5692</v>
      </c>
      <c r="F2695" s="54" t="n">
        <v>5</v>
      </c>
      <c r="G2695" s="55" t="n">
        <v>4.9</v>
      </c>
      <c r="H2695" s="55" t="n">
        <v>0.98</v>
      </c>
      <c r="I2695" s="55" t="n">
        <v>0.98</v>
      </c>
      <c r="J2695" s="52" t="s">
        <v>5816</v>
      </c>
      <c r="K2695" s="56" t="n">
        <v>1</v>
      </c>
      <c r="L2695" s="52" t="s">
        <v>5816</v>
      </c>
      <c r="M2695" s="52" t="s">
        <v>100</v>
      </c>
    </row>
    <row r="2696" customFormat="false" ht="17.25" hidden="false" customHeight="true" outlineLevel="0" collapsed="false">
      <c r="A2696" s="52" t="s">
        <v>5777</v>
      </c>
      <c r="B2696" s="52" t="s">
        <v>5813</v>
      </c>
      <c r="C2696" s="53" t="n">
        <v>938996</v>
      </c>
      <c r="D2696" s="52" t="s">
        <v>5693</v>
      </c>
      <c r="E2696" s="52" t="s">
        <v>5694</v>
      </c>
      <c r="F2696" s="54" t="n">
        <v>60</v>
      </c>
      <c r="G2696" s="55" t="n">
        <v>4.8</v>
      </c>
      <c r="H2696" s="55" t="n">
        <v>0.08</v>
      </c>
      <c r="I2696" s="55" t="n">
        <v>0.08</v>
      </c>
      <c r="J2696" s="52" t="s">
        <v>5816</v>
      </c>
      <c r="K2696" s="56" t="n">
        <v>1</v>
      </c>
      <c r="L2696" s="52" t="s">
        <v>5816</v>
      </c>
      <c r="M2696" s="52" t="s">
        <v>189</v>
      </c>
    </row>
    <row r="2697" customFormat="false" ht="17.25" hidden="false" customHeight="true" outlineLevel="0" collapsed="false">
      <c r="A2697" s="52" t="s">
        <v>5777</v>
      </c>
      <c r="B2697" s="52" t="s">
        <v>5813</v>
      </c>
      <c r="C2697" s="53" t="n">
        <v>1310408</v>
      </c>
      <c r="D2697" s="52" t="s">
        <v>5695</v>
      </c>
      <c r="E2697" s="52" t="s">
        <v>5696</v>
      </c>
      <c r="F2697" s="54" t="n">
        <v>3</v>
      </c>
      <c r="G2697" s="55" t="n">
        <v>4.74</v>
      </c>
      <c r="H2697" s="55" t="n">
        <v>1.58</v>
      </c>
      <c r="I2697" s="55" t="n">
        <v>1.58</v>
      </c>
      <c r="J2697" s="52" t="s">
        <v>5816</v>
      </c>
      <c r="K2697" s="56" t="n">
        <v>1</v>
      </c>
      <c r="L2697" s="52" t="s">
        <v>5816</v>
      </c>
      <c r="M2697" s="52" t="s">
        <v>100</v>
      </c>
    </row>
    <row r="2698" customFormat="false" ht="17.25" hidden="false" customHeight="true" outlineLevel="0" collapsed="false">
      <c r="A2698" s="52" t="s">
        <v>5777</v>
      </c>
      <c r="B2698" s="52" t="s">
        <v>5813</v>
      </c>
      <c r="C2698" s="53" t="n">
        <v>1615080</v>
      </c>
      <c r="D2698" s="52" t="s">
        <v>5697</v>
      </c>
      <c r="E2698" s="52" t="s">
        <v>5698</v>
      </c>
      <c r="F2698" s="54" t="n">
        <v>14</v>
      </c>
      <c r="G2698" s="55" t="n">
        <v>4.56</v>
      </c>
      <c r="H2698" s="55" t="n">
        <v>0.3257</v>
      </c>
      <c r="I2698" s="55" t="n">
        <v>0.3</v>
      </c>
      <c r="J2698" s="52" t="s">
        <v>5816</v>
      </c>
      <c r="K2698" s="56" t="n">
        <v>1</v>
      </c>
      <c r="L2698" s="52" t="s">
        <v>5816</v>
      </c>
      <c r="M2698" s="52" t="s">
        <v>38</v>
      </c>
    </row>
    <row r="2699" customFormat="false" ht="17.25" hidden="false" customHeight="true" outlineLevel="0" collapsed="false">
      <c r="A2699" s="52" t="s">
        <v>5777</v>
      </c>
      <c r="B2699" s="52" t="s">
        <v>5813</v>
      </c>
      <c r="C2699" s="53" t="n">
        <v>1461935</v>
      </c>
      <c r="D2699" s="52" t="s">
        <v>5699</v>
      </c>
      <c r="E2699" s="52" t="s">
        <v>5700</v>
      </c>
      <c r="F2699" s="54" t="n">
        <v>1</v>
      </c>
      <c r="G2699" s="55" t="n">
        <v>4.28</v>
      </c>
      <c r="H2699" s="55" t="n">
        <v>4.28</v>
      </c>
      <c r="I2699" s="55" t="n">
        <v>4.28</v>
      </c>
      <c r="J2699" s="52" t="s">
        <v>5816</v>
      </c>
      <c r="K2699" s="56" t="n">
        <v>1</v>
      </c>
      <c r="L2699" s="52" t="s">
        <v>5816</v>
      </c>
      <c r="M2699" s="52" t="s">
        <v>100</v>
      </c>
    </row>
    <row r="2700" customFormat="false" ht="17.25" hidden="false" customHeight="true" outlineLevel="0" collapsed="false">
      <c r="A2700" s="52" t="s">
        <v>5777</v>
      </c>
      <c r="B2700" s="52" t="s">
        <v>5813</v>
      </c>
      <c r="C2700" s="53" t="n">
        <v>227483</v>
      </c>
      <c r="D2700" s="52" t="s">
        <v>5701</v>
      </c>
      <c r="E2700" s="52" t="s">
        <v>5702</v>
      </c>
      <c r="F2700" s="54" t="n">
        <v>3</v>
      </c>
      <c r="G2700" s="55" t="n">
        <v>4.2</v>
      </c>
      <c r="H2700" s="55" t="n">
        <v>1.4</v>
      </c>
      <c r="I2700" s="55" t="n">
        <v>1.4</v>
      </c>
      <c r="J2700" s="52" t="s">
        <v>5816</v>
      </c>
      <c r="K2700" s="56" t="n">
        <v>1</v>
      </c>
      <c r="L2700" s="52" t="s">
        <v>5816</v>
      </c>
      <c r="M2700" s="52" t="s">
        <v>2056</v>
      </c>
    </row>
    <row r="2701" customFormat="false" ht="17.25" hidden="false" customHeight="true" outlineLevel="0" collapsed="false">
      <c r="A2701" s="52" t="s">
        <v>5777</v>
      </c>
      <c r="B2701" s="52" t="s">
        <v>5813</v>
      </c>
      <c r="C2701" s="53" t="n">
        <v>227490</v>
      </c>
      <c r="D2701" s="52" t="s">
        <v>5703</v>
      </c>
      <c r="E2701" s="52" t="s">
        <v>5704</v>
      </c>
      <c r="F2701" s="54" t="n">
        <v>3</v>
      </c>
      <c r="G2701" s="55" t="n">
        <v>4.2</v>
      </c>
      <c r="H2701" s="55" t="n">
        <v>1.4</v>
      </c>
      <c r="I2701" s="55" t="n">
        <v>1.4</v>
      </c>
      <c r="J2701" s="52" t="s">
        <v>5816</v>
      </c>
      <c r="K2701" s="56" t="n">
        <v>1</v>
      </c>
      <c r="L2701" s="52" t="s">
        <v>5816</v>
      </c>
      <c r="M2701" s="52" t="s">
        <v>2056</v>
      </c>
    </row>
    <row r="2702" customFormat="false" ht="17.25" hidden="false" customHeight="true" outlineLevel="0" collapsed="false">
      <c r="A2702" s="52" t="s">
        <v>5777</v>
      </c>
      <c r="B2702" s="52" t="s">
        <v>5813</v>
      </c>
      <c r="C2702" s="53" t="n">
        <v>1467736</v>
      </c>
      <c r="D2702" s="52" t="s">
        <v>5705</v>
      </c>
      <c r="E2702" s="52" t="s">
        <v>5706</v>
      </c>
      <c r="F2702" s="54" t="n">
        <v>3</v>
      </c>
      <c r="G2702" s="55" t="n">
        <v>4.2</v>
      </c>
      <c r="H2702" s="55" t="n">
        <v>1.4</v>
      </c>
      <c r="I2702" s="55" t="n">
        <v>1.4</v>
      </c>
      <c r="J2702" s="52" t="s">
        <v>5816</v>
      </c>
      <c r="K2702" s="56" t="n">
        <v>1</v>
      </c>
      <c r="L2702" s="52" t="s">
        <v>5816</v>
      </c>
      <c r="M2702" s="52" t="s">
        <v>2056</v>
      </c>
    </row>
    <row r="2703" customFormat="false" ht="17.25" hidden="false" customHeight="true" outlineLevel="0" collapsed="false">
      <c r="A2703" s="52" t="s">
        <v>5777</v>
      </c>
      <c r="B2703" s="52" t="s">
        <v>5813</v>
      </c>
      <c r="C2703" s="53" t="n">
        <v>1467737</v>
      </c>
      <c r="D2703" s="52" t="s">
        <v>5707</v>
      </c>
      <c r="E2703" s="52" t="s">
        <v>5708</v>
      </c>
      <c r="F2703" s="54" t="n">
        <v>3</v>
      </c>
      <c r="G2703" s="55" t="n">
        <v>4.2</v>
      </c>
      <c r="H2703" s="55" t="n">
        <v>1.4</v>
      </c>
      <c r="I2703" s="55" t="n">
        <v>1.4</v>
      </c>
      <c r="J2703" s="52" t="s">
        <v>5816</v>
      </c>
      <c r="K2703" s="56" t="n">
        <v>1</v>
      </c>
      <c r="L2703" s="52" t="s">
        <v>5816</v>
      </c>
      <c r="M2703" s="52" t="s">
        <v>2056</v>
      </c>
    </row>
    <row r="2704" customFormat="false" ht="17.25" hidden="false" customHeight="true" outlineLevel="0" collapsed="false">
      <c r="A2704" s="52" t="s">
        <v>5777</v>
      </c>
      <c r="B2704" s="52" t="s">
        <v>5813</v>
      </c>
      <c r="C2704" s="53" t="n">
        <v>1467738</v>
      </c>
      <c r="D2704" s="52" t="s">
        <v>5709</v>
      </c>
      <c r="E2704" s="52" t="s">
        <v>5710</v>
      </c>
      <c r="F2704" s="54" t="n">
        <v>3</v>
      </c>
      <c r="G2704" s="55" t="n">
        <v>4.2</v>
      </c>
      <c r="H2704" s="55" t="n">
        <v>1.4</v>
      </c>
      <c r="I2704" s="55" t="n">
        <v>1.4</v>
      </c>
      <c r="J2704" s="52" t="s">
        <v>5816</v>
      </c>
      <c r="K2704" s="56" t="n">
        <v>1</v>
      </c>
      <c r="L2704" s="52" t="s">
        <v>5816</v>
      </c>
      <c r="M2704" s="52" t="s">
        <v>2056</v>
      </c>
    </row>
    <row r="2705" customFormat="false" ht="17.25" hidden="false" customHeight="true" outlineLevel="0" collapsed="false">
      <c r="A2705" s="52" t="s">
        <v>5777</v>
      </c>
      <c r="B2705" s="52" t="s">
        <v>5813</v>
      </c>
      <c r="C2705" s="53" t="n">
        <v>225536</v>
      </c>
      <c r="D2705" s="52" t="s">
        <v>5711</v>
      </c>
      <c r="E2705" s="52" t="s">
        <v>5712</v>
      </c>
      <c r="F2705" s="54" t="n">
        <v>8</v>
      </c>
      <c r="G2705" s="55" t="n">
        <v>4</v>
      </c>
      <c r="H2705" s="55" t="n">
        <v>0.5</v>
      </c>
      <c r="I2705" s="55" t="n">
        <v>0.5</v>
      </c>
      <c r="J2705" s="52" t="s">
        <v>5816</v>
      </c>
      <c r="K2705" s="56" t="n">
        <v>1</v>
      </c>
      <c r="L2705" s="52" t="s">
        <v>5816</v>
      </c>
      <c r="M2705" s="52" t="s">
        <v>2056</v>
      </c>
    </row>
    <row r="2706" customFormat="false" ht="17.25" hidden="false" customHeight="true" outlineLevel="0" collapsed="false">
      <c r="A2706" s="52" t="s">
        <v>5777</v>
      </c>
      <c r="B2706" s="52" t="s">
        <v>5813</v>
      </c>
      <c r="C2706" s="53" t="n">
        <v>935058</v>
      </c>
      <c r="D2706" s="52" t="s">
        <v>5713</v>
      </c>
      <c r="E2706" s="52" t="s">
        <v>5714</v>
      </c>
      <c r="F2706" s="54" t="n">
        <v>2</v>
      </c>
      <c r="G2706" s="55" t="n">
        <v>4</v>
      </c>
      <c r="H2706" s="55" t="n">
        <v>2</v>
      </c>
      <c r="I2706" s="55" t="n">
        <v>2</v>
      </c>
      <c r="J2706" s="52" t="s">
        <v>5816</v>
      </c>
      <c r="K2706" s="56" t="n">
        <v>1</v>
      </c>
      <c r="L2706" s="52" t="s">
        <v>5816</v>
      </c>
      <c r="M2706" s="52" t="s">
        <v>2056</v>
      </c>
    </row>
    <row r="2707" customFormat="false" ht="17.25" hidden="false" customHeight="true" outlineLevel="0" collapsed="false">
      <c r="A2707" s="52" t="s">
        <v>5777</v>
      </c>
      <c r="B2707" s="52" t="s">
        <v>5813</v>
      </c>
      <c r="C2707" s="53" t="n">
        <v>14868</v>
      </c>
      <c r="D2707" s="52" t="s">
        <v>5715</v>
      </c>
      <c r="E2707" s="52" t="s">
        <v>5716</v>
      </c>
      <c r="F2707" s="54" t="n">
        <v>1</v>
      </c>
      <c r="G2707" s="55" t="n">
        <v>3.98</v>
      </c>
      <c r="H2707" s="55" t="n">
        <v>3.98</v>
      </c>
      <c r="I2707" s="55" t="n">
        <v>3.98</v>
      </c>
      <c r="J2707" s="52" t="s">
        <v>5816</v>
      </c>
      <c r="K2707" s="56" t="n">
        <v>1</v>
      </c>
      <c r="L2707" s="52" t="s">
        <v>5816</v>
      </c>
      <c r="M2707" s="52" t="s">
        <v>54</v>
      </c>
    </row>
    <row r="2708" customFormat="false" ht="17.25" hidden="false" customHeight="true" outlineLevel="0" collapsed="false">
      <c r="A2708" s="52" t="s">
        <v>5777</v>
      </c>
      <c r="B2708" s="52" t="s">
        <v>5813</v>
      </c>
      <c r="C2708" s="53" t="n">
        <v>931931</v>
      </c>
      <c r="D2708" s="52" t="s">
        <v>5717</v>
      </c>
      <c r="E2708" s="52" t="s">
        <v>5718</v>
      </c>
      <c r="F2708" s="54" t="n">
        <v>1</v>
      </c>
      <c r="G2708" s="55" t="n">
        <v>3.98</v>
      </c>
      <c r="H2708" s="55" t="n">
        <v>3.98</v>
      </c>
      <c r="I2708" s="55" t="n">
        <v>3.98</v>
      </c>
      <c r="J2708" s="52" t="s">
        <v>5816</v>
      </c>
      <c r="K2708" s="56" t="n">
        <v>1</v>
      </c>
      <c r="L2708" s="52" t="s">
        <v>5816</v>
      </c>
      <c r="M2708" s="52" t="s">
        <v>54</v>
      </c>
    </row>
    <row r="2709" customFormat="false" ht="17.25" hidden="false" customHeight="true" outlineLevel="0" collapsed="false">
      <c r="A2709" s="52" t="s">
        <v>5777</v>
      </c>
      <c r="B2709" s="52" t="s">
        <v>5813</v>
      </c>
      <c r="C2709" s="53" t="n">
        <v>1461857</v>
      </c>
      <c r="D2709" s="52" t="s">
        <v>5719</v>
      </c>
      <c r="E2709" s="52" t="s">
        <v>5720</v>
      </c>
      <c r="F2709" s="54" t="n">
        <v>1</v>
      </c>
      <c r="G2709" s="55" t="n">
        <v>3.98</v>
      </c>
      <c r="H2709" s="55" t="n">
        <v>3.98</v>
      </c>
      <c r="I2709" s="55" t="n">
        <v>3.98</v>
      </c>
      <c r="J2709" s="52" t="s">
        <v>5816</v>
      </c>
      <c r="K2709" s="56" t="n">
        <v>1</v>
      </c>
      <c r="L2709" s="52" t="s">
        <v>5816</v>
      </c>
      <c r="M2709" s="52" t="s">
        <v>100</v>
      </c>
    </row>
    <row r="2710" customFormat="false" ht="17.25" hidden="false" customHeight="true" outlineLevel="0" collapsed="false">
      <c r="A2710" s="52" t="s">
        <v>5777</v>
      </c>
      <c r="B2710" s="52" t="s">
        <v>5813</v>
      </c>
      <c r="C2710" s="53" t="n">
        <v>949966</v>
      </c>
      <c r="D2710" s="52" t="s">
        <v>5721</v>
      </c>
      <c r="E2710" s="52" t="s">
        <v>5722</v>
      </c>
      <c r="F2710" s="54" t="n">
        <v>1</v>
      </c>
      <c r="G2710" s="55" t="n">
        <v>3.9</v>
      </c>
      <c r="H2710" s="55" t="n">
        <v>3.9</v>
      </c>
      <c r="I2710" s="55" t="n">
        <v>3.9</v>
      </c>
      <c r="J2710" s="52" t="s">
        <v>5816</v>
      </c>
      <c r="K2710" s="56" t="n">
        <v>1</v>
      </c>
      <c r="L2710" s="52" t="s">
        <v>5816</v>
      </c>
      <c r="M2710" s="52" t="s">
        <v>54</v>
      </c>
    </row>
    <row r="2711" customFormat="false" ht="17.25" hidden="false" customHeight="true" outlineLevel="0" collapsed="false">
      <c r="A2711" s="52" t="s">
        <v>5777</v>
      </c>
      <c r="B2711" s="52" t="s">
        <v>5813</v>
      </c>
      <c r="C2711" s="53" t="n">
        <v>33370</v>
      </c>
      <c r="D2711" s="52" t="s">
        <v>5723</v>
      </c>
      <c r="E2711" s="52" t="s">
        <v>5724</v>
      </c>
      <c r="F2711" s="54" t="n">
        <v>6</v>
      </c>
      <c r="G2711" s="55" t="n">
        <v>3.88</v>
      </c>
      <c r="H2711" s="55" t="n">
        <v>0.6467</v>
      </c>
      <c r="I2711" s="55" t="n">
        <v>0.18</v>
      </c>
      <c r="J2711" s="52" t="s">
        <v>5816</v>
      </c>
      <c r="K2711" s="56" t="n">
        <v>1</v>
      </c>
      <c r="L2711" s="52" t="s">
        <v>5816</v>
      </c>
      <c r="M2711" s="52" t="s">
        <v>100</v>
      </c>
    </row>
    <row r="2712" customFormat="false" ht="17.25" hidden="false" customHeight="true" outlineLevel="0" collapsed="false">
      <c r="A2712" s="52" t="s">
        <v>5777</v>
      </c>
      <c r="B2712" s="52" t="s">
        <v>5813</v>
      </c>
      <c r="C2712" s="53" t="n">
        <v>14746</v>
      </c>
      <c r="D2712" s="52" t="s">
        <v>5725</v>
      </c>
      <c r="E2712" s="52" t="s">
        <v>5726</v>
      </c>
      <c r="F2712" s="54" t="n">
        <v>1</v>
      </c>
      <c r="G2712" s="55" t="n">
        <v>3.48</v>
      </c>
      <c r="H2712" s="55" t="n">
        <v>3.48</v>
      </c>
      <c r="I2712" s="55" t="n">
        <v>3.48</v>
      </c>
      <c r="J2712" s="52" t="s">
        <v>5816</v>
      </c>
      <c r="K2712" s="56" t="n">
        <v>1</v>
      </c>
      <c r="L2712" s="52" t="s">
        <v>5816</v>
      </c>
      <c r="M2712" s="52" t="s">
        <v>54</v>
      </c>
    </row>
    <row r="2713" customFormat="false" ht="17.25" hidden="false" customHeight="true" outlineLevel="0" collapsed="false">
      <c r="A2713" s="52" t="s">
        <v>5777</v>
      </c>
      <c r="B2713" s="52" t="s">
        <v>5813</v>
      </c>
      <c r="C2713" s="53" t="n">
        <v>16847</v>
      </c>
      <c r="D2713" s="52" t="s">
        <v>5727</v>
      </c>
      <c r="E2713" s="52" t="s">
        <v>5728</v>
      </c>
      <c r="F2713" s="54" t="n">
        <v>1</v>
      </c>
      <c r="G2713" s="55" t="n">
        <v>3.48</v>
      </c>
      <c r="H2713" s="55" t="n">
        <v>3.48</v>
      </c>
      <c r="I2713" s="55" t="n">
        <v>3.48</v>
      </c>
      <c r="J2713" s="52" t="s">
        <v>5816</v>
      </c>
      <c r="K2713" s="56" t="n">
        <v>1</v>
      </c>
      <c r="L2713" s="52" t="s">
        <v>5816</v>
      </c>
      <c r="M2713" s="52" t="s">
        <v>100</v>
      </c>
    </row>
    <row r="2714" customFormat="false" ht="17.25" hidden="false" customHeight="true" outlineLevel="0" collapsed="false">
      <c r="A2714" s="52" t="s">
        <v>5777</v>
      </c>
      <c r="B2714" s="52" t="s">
        <v>5813</v>
      </c>
      <c r="C2714" s="53" t="n">
        <v>59474</v>
      </c>
      <c r="D2714" s="52" t="s">
        <v>5729</v>
      </c>
      <c r="E2714" s="52" t="s">
        <v>5730</v>
      </c>
      <c r="F2714" s="54" t="n">
        <v>1</v>
      </c>
      <c r="G2714" s="55" t="n">
        <v>3.48</v>
      </c>
      <c r="H2714" s="55" t="n">
        <v>3.48</v>
      </c>
      <c r="I2714" s="55" t="n">
        <v>3.48</v>
      </c>
      <c r="J2714" s="52" t="s">
        <v>5816</v>
      </c>
      <c r="K2714" s="56" t="n">
        <v>1</v>
      </c>
      <c r="L2714" s="52" t="s">
        <v>5816</v>
      </c>
      <c r="M2714" s="52" t="s">
        <v>54</v>
      </c>
    </row>
    <row r="2715" customFormat="false" ht="17.25" hidden="false" customHeight="true" outlineLevel="0" collapsed="false">
      <c r="A2715" s="52" t="s">
        <v>5777</v>
      </c>
      <c r="B2715" s="52" t="s">
        <v>5813</v>
      </c>
      <c r="C2715" s="53" t="n">
        <v>21938</v>
      </c>
      <c r="D2715" s="52" t="s">
        <v>5731</v>
      </c>
      <c r="E2715" s="52" t="s">
        <v>5732</v>
      </c>
      <c r="F2715" s="54" t="n">
        <v>2</v>
      </c>
      <c r="G2715" s="55" t="n">
        <v>3.16</v>
      </c>
      <c r="H2715" s="55" t="n">
        <v>1.58</v>
      </c>
      <c r="I2715" s="55" t="n">
        <v>1.58</v>
      </c>
      <c r="J2715" s="52" t="s">
        <v>5816</v>
      </c>
      <c r="K2715" s="56" t="n">
        <v>1</v>
      </c>
      <c r="L2715" s="52" t="s">
        <v>5816</v>
      </c>
      <c r="M2715" s="52" t="s">
        <v>189</v>
      </c>
    </row>
    <row r="2716" customFormat="false" ht="17.25" hidden="false" customHeight="true" outlineLevel="0" collapsed="false">
      <c r="A2716" s="52" t="s">
        <v>5777</v>
      </c>
      <c r="B2716" s="52" t="s">
        <v>5813</v>
      </c>
      <c r="C2716" s="53" t="n">
        <v>879110</v>
      </c>
      <c r="D2716" s="52" t="s">
        <v>5733</v>
      </c>
      <c r="E2716" s="52" t="s">
        <v>5734</v>
      </c>
      <c r="F2716" s="54" t="n">
        <v>8</v>
      </c>
      <c r="G2716" s="55" t="n">
        <v>2.4</v>
      </c>
      <c r="H2716" s="55" t="n">
        <v>0.3</v>
      </c>
      <c r="I2716" s="55" t="n">
        <v>0.3</v>
      </c>
      <c r="J2716" s="52" t="s">
        <v>5816</v>
      </c>
      <c r="K2716" s="56" t="n">
        <v>1</v>
      </c>
      <c r="L2716" s="52" t="s">
        <v>5816</v>
      </c>
      <c r="M2716" s="52" t="s">
        <v>2056</v>
      </c>
    </row>
    <row r="2717" customFormat="false" ht="17.25" hidden="false" customHeight="true" outlineLevel="0" collapsed="false">
      <c r="A2717" s="52" t="s">
        <v>5777</v>
      </c>
      <c r="B2717" s="52" t="s">
        <v>5813</v>
      </c>
      <c r="C2717" s="53" t="n">
        <v>930160</v>
      </c>
      <c r="D2717" s="52" t="s">
        <v>5735</v>
      </c>
      <c r="E2717" s="52" t="s">
        <v>5736</v>
      </c>
      <c r="F2717" s="54" t="n">
        <v>4</v>
      </c>
      <c r="G2717" s="55" t="n">
        <v>2.4</v>
      </c>
      <c r="H2717" s="55" t="n">
        <v>0.6</v>
      </c>
      <c r="I2717" s="55" t="n">
        <v>0.6</v>
      </c>
      <c r="J2717" s="52" t="s">
        <v>5816</v>
      </c>
      <c r="K2717" s="56" t="n">
        <v>1</v>
      </c>
      <c r="L2717" s="52" t="s">
        <v>5816</v>
      </c>
      <c r="M2717" s="52" t="s">
        <v>100</v>
      </c>
    </row>
    <row r="2718" customFormat="false" ht="17.25" hidden="false" customHeight="true" outlineLevel="0" collapsed="false">
      <c r="A2718" s="52" t="s">
        <v>5777</v>
      </c>
      <c r="B2718" s="52" t="s">
        <v>5813</v>
      </c>
      <c r="C2718" s="53" t="n">
        <v>17537</v>
      </c>
      <c r="D2718" s="52" t="s">
        <v>5737</v>
      </c>
      <c r="E2718" s="52" t="s">
        <v>5738</v>
      </c>
      <c r="F2718" s="54" t="n">
        <v>8</v>
      </c>
      <c r="G2718" s="55" t="n">
        <v>2.24</v>
      </c>
      <c r="H2718" s="55" t="n">
        <v>0.28</v>
      </c>
      <c r="I2718" s="55" t="n">
        <v>0.28</v>
      </c>
      <c r="J2718" s="52" t="s">
        <v>5816</v>
      </c>
      <c r="K2718" s="56" t="n">
        <v>1</v>
      </c>
      <c r="L2718" s="52" t="s">
        <v>5816</v>
      </c>
      <c r="M2718" s="52" t="s">
        <v>100</v>
      </c>
    </row>
    <row r="2719" customFormat="false" ht="17.25" hidden="false" customHeight="true" outlineLevel="0" collapsed="false">
      <c r="A2719" s="52" t="s">
        <v>5777</v>
      </c>
      <c r="B2719" s="52" t="s">
        <v>5813</v>
      </c>
      <c r="C2719" s="53" t="n">
        <v>280309</v>
      </c>
      <c r="D2719" s="52" t="s">
        <v>5739</v>
      </c>
      <c r="E2719" s="52" t="s">
        <v>5740</v>
      </c>
      <c r="F2719" s="54" t="n">
        <v>8</v>
      </c>
      <c r="G2719" s="55" t="n">
        <v>2.24</v>
      </c>
      <c r="H2719" s="55" t="n">
        <v>0.28</v>
      </c>
      <c r="I2719" s="55" t="n">
        <v>0.28</v>
      </c>
      <c r="J2719" s="52" t="s">
        <v>5816</v>
      </c>
      <c r="K2719" s="56" t="n">
        <v>1</v>
      </c>
      <c r="L2719" s="52" t="s">
        <v>5816</v>
      </c>
      <c r="M2719" s="52" t="s">
        <v>189</v>
      </c>
    </row>
    <row r="2720" customFormat="false" ht="17.25" hidden="false" customHeight="true" outlineLevel="0" collapsed="false">
      <c r="A2720" s="52" t="s">
        <v>5777</v>
      </c>
      <c r="B2720" s="52" t="s">
        <v>5813</v>
      </c>
      <c r="C2720" s="53" t="n">
        <v>283487</v>
      </c>
      <c r="D2720" s="52" t="s">
        <v>5741</v>
      </c>
      <c r="E2720" s="52" t="s">
        <v>5742</v>
      </c>
      <c r="F2720" s="54" t="n">
        <v>8</v>
      </c>
      <c r="G2720" s="55" t="n">
        <v>2.24</v>
      </c>
      <c r="H2720" s="55" t="n">
        <v>0.28</v>
      </c>
      <c r="I2720" s="55" t="n">
        <v>0.28</v>
      </c>
      <c r="J2720" s="52" t="s">
        <v>5816</v>
      </c>
      <c r="K2720" s="56" t="n">
        <v>1</v>
      </c>
      <c r="L2720" s="52" t="s">
        <v>5816</v>
      </c>
      <c r="M2720" s="52" t="s">
        <v>189</v>
      </c>
    </row>
    <row r="2721" customFormat="false" ht="17.25" hidden="false" customHeight="true" outlineLevel="0" collapsed="false">
      <c r="A2721" s="52" t="s">
        <v>5777</v>
      </c>
      <c r="B2721" s="52" t="s">
        <v>5813</v>
      </c>
      <c r="C2721" s="53" t="n">
        <v>1109739</v>
      </c>
      <c r="D2721" s="52" t="s">
        <v>5743</v>
      </c>
      <c r="E2721" s="52" t="s">
        <v>5744</v>
      </c>
      <c r="F2721" s="54" t="n">
        <v>8</v>
      </c>
      <c r="G2721" s="55" t="n">
        <v>2.24</v>
      </c>
      <c r="H2721" s="55" t="n">
        <v>0.28</v>
      </c>
      <c r="I2721" s="55" t="n">
        <v>0.28</v>
      </c>
      <c r="J2721" s="52" t="s">
        <v>5816</v>
      </c>
      <c r="K2721" s="56" t="n">
        <v>1</v>
      </c>
      <c r="L2721" s="52" t="s">
        <v>5816</v>
      </c>
      <c r="M2721" s="52" t="s">
        <v>100</v>
      </c>
    </row>
    <row r="2722" customFormat="false" ht="17.25" hidden="false" customHeight="true" outlineLevel="0" collapsed="false">
      <c r="A2722" s="52" t="s">
        <v>5777</v>
      </c>
      <c r="B2722" s="52" t="s">
        <v>5813</v>
      </c>
      <c r="C2722" s="53" t="n">
        <v>17694</v>
      </c>
      <c r="D2722" s="52" t="s">
        <v>5745</v>
      </c>
      <c r="E2722" s="52" t="s">
        <v>5746</v>
      </c>
      <c r="F2722" s="54" t="n">
        <v>4</v>
      </c>
      <c r="G2722" s="55" t="n">
        <v>1.92</v>
      </c>
      <c r="H2722" s="55" t="n">
        <v>0.48</v>
      </c>
      <c r="I2722" s="55" t="n">
        <v>0.48</v>
      </c>
      <c r="J2722" s="52" t="s">
        <v>5816</v>
      </c>
      <c r="K2722" s="56" t="n">
        <v>1</v>
      </c>
      <c r="L2722" s="52" t="s">
        <v>5816</v>
      </c>
      <c r="M2722" s="52" t="s">
        <v>100</v>
      </c>
    </row>
    <row r="2723" customFormat="false" ht="17.25" hidden="false" customHeight="true" outlineLevel="0" collapsed="false">
      <c r="A2723" s="52" t="s">
        <v>5777</v>
      </c>
      <c r="B2723" s="52" t="s">
        <v>5813</v>
      </c>
      <c r="C2723" s="53" t="n">
        <v>938593</v>
      </c>
      <c r="D2723" s="52" t="s">
        <v>5747</v>
      </c>
      <c r="E2723" s="52" t="s">
        <v>5748</v>
      </c>
      <c r="F2723" s="54" t="n">
        <v>12</v>
      </c>
      <c r="G2723" s="55" t="n">
        <v>1.76</v>
      </c>
      <c r="H2723" s="55" t="n">
        <v>0.1467</v>
      </c>
      <c r="I2723" s="55" t="n">
        <v>0.1467</v>
      </c>
      <c r="J2723" s="52" t="s">
        <v>5816</v>
      </c>
      <c r="K2723" s="56" t="n">
        <v>1</v>
      </c>
      <c r="L2723" s="52" t="s">
        <v>5816</v>
      </c>
      <c r="M2723" s="52" t="s">
        <v>100</v>
      </c>
    </row>
    <row r="2724" customFormat="false" ht="17.25" hidden="false" customHeight="true" outlineLevel="0" collapsed="false">
      <c r="A2724" s="52" t="s">
        <v>5777</v>
      </c>
      <c r="B2724" s="52" t="s">
        <v>5813</v>
      </c>
      <c r="C2724" s="53" t="n">
        <v>14756</v>
      </c>
      <c r="D2724" s="52" t="s">
        <v>5749</v>
      </c>
      <c r="E2724" s="52" t="s">
        <v>5750</v>
      </c>
      <c r="F2724" s="54" t="n">
        <v>2</v>
      </c>
      <c r="G2724" s="55" t="n">
        <v>1.52</v>
      </c>
      <c r="H2724" s="55" t="n">
        <v>0.76</v>
      </c>
      <c r="I2724" s="55" t="n">
        <v>0.76</v>
      </c>
      <c r="J2724" s="52" t="s">
        <v>5816</v>
      </c>
      <c r="K2724" s="56" t="n">
        <v>1</v>
      </c>
      <c r="L2724" s="52" t="s">
        <v>5816</v>
      </c>
      <c r="M2724" s="52" t="s">
        <v>54</v>
      </c>
    </row>
    <row r="2725" customFormat="false" ht="17.25" hidden="false" customHeight="true" outlineLevel="0" collapsed="false">
      <c r="A2725" s="52" t="s">
        <v>5777</v>
      </c>
      <c r="B2725" s="52" t="s">
        <v>5813</v>
      </c>
      <c r="C2725" s="53" t="n">
        <v>56741</v>
      </c>
      <c r="D2725" s="52" t="s">
        <v>5751</v>
      </c>
      <c r="E2725" s="52" t="s">
        <v>5752</v>
      </c>
      <c r="F2725" s="54" t="n">
        <v>10</v>
      </c>
      <c r="G2725" s="55" t="n">
        <v>1.5</v>
      </c>
      <c r="H2725" s="55" t="n">
        <v>0.15</v>
      </c>
      <c r="I2725" s="55" t="n">
        <v>0.15</v>
      </c>
      <c r="J2725" s="52" t="s">
        <v>5816</v>
      </c>
      <c r="K2725" s="56" t="n">
        <v>1</v>
      </c>
      <c r="L2725" s="52" t="s">
        <v>5816</v>
      </c>
      <c r="M2725" s="52" t="s">
        <v>38</v>
      </c>
    </row>
    <row r="2726" customFormat="false" ht="17.25" hidden="false" customHeight="true" outlineLevel="0" collapsed="false">
      <c r="A2726" s="52" t="s">
        <v>5777</v>
      </c>
      <c r="B2726" s="52" t="s">
        <v>5813</v>
      </c>
      <c r="C2726" s="53" t="n">
        <v>293602</v>
      </c>
      <c r="D2726" s="52" t="s">
        <v>5753</v>
      </c>
      <c r="E2726" s="52" t="s">
        <v>5754</v>
      </c>
      <c r="F2726" s="54" t="n">
        <v>1</v>
      </c>
      <c r="G2726" s="55" t="n">
        <v>1.5</v>
      </c>
      <c r="H2726" s="55" t="n">
        <v>1.5</v>
      </c>
      <c r="I2726" s="55" t="n">
        <v>1.5</v>
      </c>
      <c r="J2726" s="52" t="s">
        <v>5816</v>
      </c>
      <c r="K2726" s="56" t="n">
        <v>1</v>
      </c>
      <c r="L2726" s="52" t="s">
        <v>5816</v>
      </c>
      <c r="M2726" s="52" t="s">
        <v>2056</v>
      </c>
    </row>
    <row r="2727" customFormat="false" ht="17.25" hidden="false" customHeight="true" outlineLevel="0" collapsed="false">
      <c r="A2727" s="52" t="s">
        <v>5777</v>
      </c>
      <c r="B2727" s="52" t="s">
        <v>5813</v>
      </c>
      <c r="C2727" s="53" t="n">
        <v>56740</v>
      </c>
      <c r="D2727" s="52" t="s">
        <v>5755</v>
      </c>
      <c r="E2727" s="52" t="s">
        <v>5756</v>
      </c>
      <c r="F2727" s="54" t="n">
        <v>10</v>
      </c>
      <c r="G2727" s="55" t="n">
        <v>1.2</v>
      </c>
      <c r="H2727" s="55" t="n">
        <v>0.12</v>
      </c>
      <c r="I2727" s="55" t="n">
        <v>0.12</v>
      </c>
      <c r="J2727" s="52" t="s">
        <v>5816</v>
      </c>
      <c r="K2727" s="56" t="n">
        <v>1</v>
      </c>
      <c r="L2727" s="52" t="s">
        <v>5816</v>
      </c>
      <c r="M2727" s="52" t="s">
        <v>38</v>
      </c>
    </row>
    <row r="2728" customFormat="false" ht="17.25" hidden="false" customHeight="true" outlineLevel="0" collapsed="false">
      <c r="A2728" s="52" t="s">
        <v>5777</v>
      </c>
      <c r="B2728" s="52" t="s">
        <v>5813</v>
      </c>
      <c r="C2728" s="53" t="n">
        <v>937216</v>
      </c>
      <c r="D2728" s="52" t="s">
        <v>5757</v>
      </c>
      <c r="E2728" s="52" t="s">
        <v>5758</v>
      </c>
      <c r="F2728" s="54" t="n">
        <v>0.93</v>
      </c>
      <c r="G2728" s="55" t="n">
        <v>0.86</v>
      </c>
      <c r="H2728" s="55" t="n">
        <v>0.9247</v>
      </c>
      <c r="I2728" s="55" t="n">
        <v>0.9247</v>
      </c>
      <c r="J2728" s="52" t="s">
        <v>5816</v>
      </c>
      <c r="K2728" s="56" t="n">
        <v>1</v>
      </c>
      <c r="L2728" s="52" t="s">
        <v>5816</v>
      </c>
      <c r="M2728" s="52" t="s">
        <v>38</v>
      </c>
    </row>
    <row r="2729" customFormat="false" ht="17.25" hidden="false" customHeight="true" outlineLevel="0" collapsed="false">
      <c r="A2729" s="52" t="s">
        <v>5777</v>
      </c>
      <c r="B2729" s="52" t="s">
        <v>5813</v>
      </c>
      <c r="C2729" s="53" t="n">
        <v>1607592</v>
      </c>
      <c r="D2729" s="52" t="s">
        <v>5759</v>
      </c>
      <c r="E2729" s="52" t="s">
        <v>5760</v>
      </c>
      <c r="F2729" s="54" t="n">
        <v>1</v>
      </c>
      <c r="G2729" s="55" t="n">
        <v>0.86</v>
      </c>
      <c r="H2729" s="55" t="n">
        <v>0.86</v>
      </c>
      <c r="I2729" s="55" t="n">
        <v>0.86</v>
      </c>
      <c r="J2729" s="52" t="s">
        <v>5816</v>
      </c>
      <c r="K2729" s="56" t="n">
        <v>1</v>
      </c>
      <c r="L2729" s="52" t="s">
        <v>5816</v>
      </c>
      <c r="M2729" s="52" t="s">
        <v>38</v>
      </c>
    </row>
    <row r="2730" customFormat="false" ht="17.25" hidden="false" customHeight="true" outlineLevel="0" collapsed="false">
      <c r="A2730" s="52" t="s">
        <v>5777</v>
      </c>
      <c r="B2730" s="52" t="s">
        <v>5813</v>
      </c>
      <c r="C2730" s="53" t="n">
        <v>33790</v>
      </c>
      <c r="D2730" s="52" t="s">
        <v>5761</v>
      </c>
      <c r="E2730" s="52" t="s">
        <v>5762</v>
      </c>
      <c r="F2730" s="54" t="n">
        <v>8</v>
      </c>
      <c r="G2730" s="55" t="n">
        <v>0.8</v>
      </c>
      <c r="H2730" s="55" t="n">
        <v>0.1</v>
      </c>
      <c r="I2730" s="55" t="n">
        <v>0.1</v>
      </c>
      <c r="J2730" s="52" t="s">
        <v>5816</v>
      </c>
      <c r="K2730" s="56" t="n">
        <v>1</v>
      </c>
      <c r="L2730" s="52" t="s">
        <v>5816</v>
      </c>
      <c r="M2730" s="52" t="s">
        <v>100</v>
      </c>
    </row>
    <row r="2731" customFormat="false" ht="17.25" hidden="false" customHeight="true" outlineLevel="0" collapsed="false">
      <c r="A2731" s="52" t="s">
        <v>5777</v>
      </c>
      <c r="B2731" s="52" t="s">
        <v>5813</v>
      </c>
      <c r="C2731" s="53" t="n">
        <v>273915</v>
      </c>
      <c r="D2731" s="52" t="s">
        <v>5763</v>
      </c>
      <c r="E2731" s="52" t="s">
        <v>6007</v>
      </c>
      <c r="F2731" s="54" t="n">
        <v>2</v>
      </c>
      <c r="G2731" s="55" t="n">
        <v>0.71</v>
      </c>
      <c r="H2731" s="55" t="n">
        <v>0.355</v>
      </c>
      <c r="I2731" s="55" t="n">
        <v>0.355</v>
      </c>
      <c r="J2731" s="52" t="s">
        <v>5816</v>
      </c>
      <c r="K2731" s="56" t="n">
        <v>1</v>
      </c>
      <c r="L2731" s="52" t="s">
        <v>5816</v>
      </c>
      <c r="M2731" s="52" t="s">
        <v>100</v>
      </c>
    </row>
    <row r="2732" customFormat="false" ht="14.25" hidden="false" customHeight="false" outlineLevel="0" collapsed="false">
      <c r="A2732" s="58" t="s">
        <v>5777</v>
      </c>
      <c r="B2732" s="58" t="s">
        <v>5813</v>
      </c>
      <c r="C2732" s="59" t="n">
        <v>1614274</v>
      </c>
      <c r="D2732" s="58" t="s">
        <v>5765</v>
      </c>
      <c r="E2732" s="58" t="s">
        <v>5766</v>
      </c>
      <c r="F2732" s="60" t="n">
        <v>6</v>
      </c>
      <c r="G2732" s="61" t="n">
        <v>0.48</v>
      </c>
      <c r="H2732" s="61" t="n">
        <v>0.08</v>
      </c>
      <c r="I2732" s="61" t="n">
        <v>0.08</v>
      </c>
      <c r="J2732" s="58" t="s">
        <v>5816</v>
      </c>
      <c r="K2732" s="62" t="n">
        <v>1</v>
      </c>
      <c r="L2732" s="58" t="s">
        <v>5816</v>
      </c>
      <c r="M2732" s="58" t="s">
        <v>38</v>
      </c>
    </row>
    <row r="2733" customFormat="false" ht="14.25" hidden="false" customHeight="false" outlineLevel="0" collapsed="false">
      <c r="A2733" s="63"/>
      <c r="B2733" s="63"/>
      <c r="C2733" s="63"/>
      <c r="D2733" s="63"/>
      <c r="E2733" s="63"/>
      <c r="F2733" s="64" t="s">
        <v>5767</v>
      </c>
      <c r="G2733" s="65" t="n">
        <f aca="false">SUM(G2:G2732)</f>
        <v>10186546.0904</v>
      </c>
      <c r="H2733" s="63"/>
      <c r="I2733" s="63"/>
      <c r="J2733" s="63"/>
      <c r="K2733" s="63"/>
      <c r="L2733" s="63"/>
      <c r="M2733" s="63"/>
    </row>
  </sheetData>
  <autoFilter ref="A1:M2732">
    <sortState ref="A2:M2732">
      <sortCondition ref="A2:A2732" descending="1" customList=""/>
    </sortState>
  </autoFilter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pane xSplit="0" ySplit="1" topLeftCell="A2" activePane="bottomLeft" state="frozen"/>
      <selection pane="topLeft" activeCell="A22" activeCellId="0" sqref="A22"/>
      <selection pane="bottomLeft" activeCell="B30" activeCellId="0" sqref="B3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70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3" min="13" style="0" width="46"/>
  </cols>
  <sheetData>
    <row r="1" customFormat="false" ht="30" hidden="false" customHeight="true" outlineLevel="0" collapsed="false">
      <c r="A1" s="51" t="s">
        <v>5774</v>
      </c>
      <c r="B1" s="51" t="s">
        <v>5802</v>
      </c>
      <c r="C1" s="51" t="s">
        <v>21</v>
      </c>
      <c r="D1" s="51" t="s">
        <v>5803</v>
      </c>
      <c r="E1" s="51" t="s">
        <v>5804</v>
      </c>
      <c r="F1" s="51" t="s">
        <v>5805</v>
      </c>
      <c r="G1" s="51" t="s">
        <v>5806</v>
      </c>
      <c r="H1" s="51" t="s">
        <v>5807</v>
      </c>
      <c r="I1" s="51" t="s">
        <v>5808</v>
      </c>
      <c r="J1" s="51" t="s">
        <v>5809</v>
      </c>
      <c r="K1" s="51" t="s">
        <v>5810</v>
      </c>
      <c r="L1" s="51" t="s">
        <v>5811</v>
      </c>
      <c r="M1" s="51" t="s">
        <v>5812</v>
      </c>
    </row>
    <row r="2" customFormat="false" ht="17.25" hidden="false" customHeight="true" outlineLevel="0" collapsed="false">
      <c r="A2" s="52" t="s">
        <v>5783</v>
      </c>
      <c r="B2" s="52" t="s">
        <v>6008</v>
      </c>
      <c r="C2" s="53" t="n">
        <v>17864</v>
      </c>
      <c r="D2" s="52" t="s">
        <v>2167</v>
      </c>
      <c r="E2" s="52" t="s">
        <v>2168</v>
      </c>
      <c r="F2" s="54" t="n">
        <v>10</v>
      </c>
      <c r="G2" s="55" t="n">
        <v>340</v>
      </c>
      <c r="H2" s="55" t="n">
        <v>34</v>
      </c>
      <c r="I2" s="55" t="n">
        <v>34</v>
      </c>
      <c r="J2" s="52" t="s">
        <v>5816</v>
      </c>
      <c r="K2" s="56" t="n">
        <v>1</v>
      </c>
      <c r="L2" s="52" t="s">
        <v>5816</v>
      </c>
      <c r="M2" s="52" t="s">
        <v>835</v>
      </c>
    </row>
    <row r="3" customFormat="false" ht="17.25" hidden="false" customHeight="true" outlineLevel="0" collapsed="false">
      <c r="A3" s="52" t="s">
        <v>5783</v>
      </c>
      <c r="B3" s="52" t="s">
        <v>6008</v>
      </c>
      <c r="C3" s="53" t="n">
        <v>17885</v>
      </c>
      <c r="D3" s="52" t="s">
        <v>1812</v>
      </c>
      <c r="E3" s="52" t="s">
        <v>1813</v>
      </c>
      <c r="F3" s="54" t="n">
        <v>12</v>
      </c>
      <c r="G3" s="55" t="n">
        <v>528</v>
      </c>
      <c r="H3" s="55" t="n">
        <v>44</v>
      </c>
      <c r="I3" s="55" t="n">
        <v>44</v>
      </c>
      <c r="J3" s="52" t="s">
        <v>5816</v>
      </c>
      <c r="K3" s="56" t="n">
        <v>1</v>
      </c>
      <c r="L3" s="52" t="s">
        <v>5816</v>
      </c>
      <c r="M3" s="52" t="s">
        <v>835</v>
      </c>
    </row>
    <row r="4" customFormat="false" ht="17.25" hidden="false" customHeight="true" outlineLevel="0" collapsed="false">
      <c r="A4" s="52" t="s">
        <v>5783</v>
      </c>
      <c r="B4" s="52" t="s">
        <v>6008</v>
      </c>
      <c r="C4" s="53" t="n">
        <v>18164</v>
      </c>
      <c r="D4" s="52" t="s">
        <v>2321</v>
      </c>
      <c r="E4" s="52" t="s">
        <v>2322</v>
      </c>
      <c r="F4" s="54" t="n">
        <v>8</v>
      </c>
      <c r="G4" s="55" t="n">
        <v>264</v>
      </c>
      <c r="H4" s="55" t="n">
        <v>33</v>
      </c>
      <c r="I4" s="55" t="n">
        <v>33</v>
      </c>
      <c r="J4" s="52" t="s">
        <v>5816</v>
      </c>
      <c r="K4" s="56" t="n">
        <v>1</v>
      </c>
      <c r="L4" s="52" t="s">
        <v>5816</v>
      </c>
      <c r="M4" s="52" t="s">
        <v>130</v>
      </c>
    </row>
    <row r="5" customFormat="false" ht="17.25" hidden="false" customHeight="true" outlineLevel="0" collapsed="false">
      <c r="A5" s="52" t="s">
        <v>5783</v>
      </c>
      <c r="B5" s="52" t="s">
        <v>6008</v>
      </c>
      <c r="C5" s="53" t="n">
        <v>21111</v>
      </c>
      <c r="D5" s="52" t="s">
        <v>2397</v>
      </c>
      <c r="E5" s="52" t="s">
        <v>2398</v>
      </c>
      <c r="F5" s="54" t="n">
        <v>12</v>
      </c>
      <c r="G5" s="55" t="n">
        <v>194.52</v>
      </c>
      <c r="H5" s="55" t="n">
        <v>16.21</v>
      </c>
      <c r="I5" s="55" t="n">
        <v>16.21</v>
      </c>
      <c r="J5" s="52" t="s">
        <v>5816</v>
      </c>
      <c r="K5" s="56" t="n">
        <v>1</v>
      </c>
      <c r="L5" s="52" t="s">
        <v>5816</v>
      </c>
      <c r="M5" s="52" t="s">
        <v>1095</v>
      </c>
    </row>
    <row r="6" customFormat="false" ht="17.25" hidden="false" customHeight="true" outlineLevel="0" collapsed="false">
      <c r="A6" s="52" t="s">
        <v>5783</v>
      </c>
      <c r="B6" s="52" t="s">
        <v>6008</v>
      </c>
      <c r="C6" s="53" t="n">
        <v>21297</v>
      </c>
      <c r="D6" s="52" t="s">
        <v>4542</v>
      </c>
      <c r="E6" s="52" t="s">
        <v>4543</v>
      </c>
      <c r="F6" s="54" t="n">
        <v>50</v>
      </c>
      <c r="G6" s="55" t="n">
        <v>87.5</v>
      </c>
      <c r="H6" s="55" t="n">
        <v>1.75</v>
      </c>
      <c r="I6" s="55" t="n">
        <v>1.75</v>
      </c>
      <c r="J6" s="52" t="s">
        <v>5816</v>
      </c>
      <c r="K6" s="56" t="n">
        <v>1</v>
      </c>
      <c r="L6" s="52" t="s">
        <v>5816</v>
      </c>
      <c r="M6" s="52" t="s">
        <v>130</v>
      </c>
    </row>
    <row r="7" customFormat="false" ht="17.25" hidden="false" customHeight="true" outlineLevel="0" collapsed="false">
      <c r="A7" s="52" t="s">
        <v>5783</v>
      </c>
      <c r="B7" s="52" t="s">
        <v>6008</v>
      </c>
      <c r="C7" s="53" t="n">
        <v>21488</v>
      </c>
      <c r="D7" s="52" t="s">
        <v>3385</v>
      </c>
      <c r="E7" s="52" t="s">
        <v>3386</v>
      </c>
      <c r="F7" s="54" t="n">
        <v>10</v>
      </c>
      <c r="G7" s="55" t="n">
        <v>115</v>
      </c>
      <c r="H7" s="55" t="n">
        <v>11.5</v>
      </c>
      <c r="I7" s="55" t="n">
        <v>11.5</v>
      </c>
      <c r="J7" s="52" t="s">
        <v>5816</v>
      </c>
      <c r="K7" s="56" t="n">
        <v>1</v>
      </c>
      <c r="L7" s="52" t="s">
        <v>5816</v>
      </c>
      <c r="M7" s="52" t="s">
        <v>705</v>
      </c>
    </row>
    <row r="8" customFormat="false" ht="17.25" hidden="false" customHeight="true" outlineLevel="0" collapsed="false">
      <c r="A8" s="52" t="s">
        <v>5783</v>
      </c>
      <c r="B8" s="52" t="s">
        <v>6008</v>
      </c>
      <c r="C8" s="53" t="n">
        <v>22252</v>
      </c>
      <c r="D8" s="52" t="s">
        <v>2609</v>
      </c>
      <c r="E8" s="52" t="s">
        <v>2610</v>
      </c>
      <c r="F8" s="54" t="n">
        <v>40</v>
      </c>
      <c r="G8" s="55" t="n">
        <v>680</v>
      </c>
      <c r="H8" s="55" t="n">
        <v>17</v>
      </c>
      <c r="I8" s="55" t="n">
        <v>17</v>
      </c>
      <c r="J8" s="52" t="s">
        <v>5816</v>
      </c>
      <c r="K8" s="56" t="n">
        <v>1</v>
      </c>
      <c r="L8" s="52" t="s">
        <v>5816</v>
      </c>
      <c r="M8" s="52" t="s">
        <v>262</v>
      </c>
    </row>
    <row r="9" customFormat="false" ht="17.25" hidden="false" customHeight="true" outlineLevel="0" collapsed="false">
      <c r="A9" s="52" t="s">
        <v>5783</v>
      </c>
      <c r="B9" s="52" t="s">
        <v>6008</v>
      </c>
      <c r="C9" s="53" t="n">
        <v>22375</v>
      </c>
      <c r="D9" s="52" t="s">
        <v>1326</v>
      </c>
      <c r="E9" s="52" t="s">
        <v>1327</v>
      </c>
      <c r="F9" s="54" t="n">
        <v>10</v>
      </c>
      <c r="G9" s="55" t="n">
        <v>548</v>
      </c>
      <c r="H9" s="55" t="n">
        <v>54.8</v>
      </c>
      <c r="I9" s="55" t="n">
        <v>54.8</v>
      </c>
      <c r="J9" s="52" t="s">
        <v>5816</v>
      </c>
      <c r="K9" s="56" t="n">
        <v>1</v>
      </c>
      <c r="L9" s="52" t="s">
        <v>5816</v>
      </c>
      <c r="M9" s="52" t="s">
        <v>262</v>
      </c>
    </row>
    <row r="10" customFormat="false" ht="17.25" hidden="false" customHeight="true" outlineLevel="0" collapsed="false">
      <c r="A10" s="52" t="s">
        <v>5783</v>
      </c>
      <c r="B10" s="52" t="s">
        <v>6008</v>
      </c>
      <c r="C10" s="53" t="n">
        <v>23269</v>
      </c>
      <c r="D10" s="52" t="s">
        <v>4201</v>
      </c>
      <c r="E10" s="52" t="s">
        <v>4202</v>
      </c>
      <c r="F10" s="54" t="n">
        <v>10</v>
      </c>
      <c r="G10" s="55" t="n">
        <v>38</v>
      </c>
      <c r="H10" s="55" t="n">
        <v>3.8</v>
      </c>
      <c r="I10" s="55" t="n">
        <v>3.8</v>
      </c>
      <c r="J10" s="52" t="s">
        <v>5816</v>
      </c>
      <c r="K10" s="56" t="n">
        <v>1</v>
      </c>
      <c r="L10" s="52" t="s">
        <v>5816</v>
      </c>
      <c r="M10" s="52" t="s">
        <v>705</v>
      </c>
    </row>
    <row r="11" customFormat="false" ht="17.25" hidden="false" customHeight="true" outlineLevel="0" collapsed="false">
      <c r="A11" s="52" t="s">
        <v>5783</v>
      </c>
      <c r="B11" s="52" t="s">
        <v>6008</v>
      </c>
      <c r="C11" s="53" t="n">
        <v>23796</v>
      </c>
      <c r="D11" s="52" t="s">
        <v>4752</v>
      </c>
      <c r="E11" s="52" t="s">
        <v>4753</v>
      </c>
      <c r="F11" s="54" t="n">
        <v>12</v>
      </c>
      <c r="G11" s="55" t="n">
        <v>81.24</v>
      </c>
      <c r="H11" s="55" t="n">
        <v>6.77</v>
      </c>
      <c r="I11" s="55" t="n">
        <v>6.77</v>
      </c>
      <c r="J11" s="52" t="s">
        <v>5816</v>
      </c>
      <c r="K11" s="56" t="n">
        <v>1</v>
      </c>
      <c r="L11" s="52" t="s">
        <v>5816</v>
      </c>
      <c r="M11" s="52" t="s">
        <v>1618</v>
      </c>
    </row>
    <row r="12" customFormat="false" ht="17.25" hidden="false" customHeight="true" outlineLevel="0" collapsed="false">
      <c r="A12" s="52" t="s">
        <v>5783</v>
      </c>
      <c r="B12" s="52" t="s">
        <v>6008</v>
      </c>
      <c r="C12" s="53" t="n">
        <v>24365</v>
      </c>
      <c r="D12" s="52" t="s">
        <v>3601</v>
      </c>
      <c r="E12" s="52" t="s">
        <v>3602</v>
      </c>
      <c r="F12" s="54" t="n">
        <v>24</v>
      </c>
      <c r="G12" s="55" t="n">
        <v>287.28</v>
      </c>
      <c r="H12" s="55" t="n">
        <v>11.97</v>
      </c>
      <c r="I12" s="55" t="n">
        <v>11.97</v>
      </c>
      <c r="J12" s="52" t="s">
        <v>5816</v>
      </c>
      <c r="K12" s="56" t="n">
        <v>1</v>
      </c>
      <c r="L12" s="52" t="s">
        <v>5816</v>
      </c>
      <c r="M12" s="52" t="s">
        <v>1618</v>
      </c>
    </row>
    <row r="13" customFormat="false" ht="17.25" hidden="false" customHeight="true" outlineLevel="0" collapsed="false">
      <c r="A13" s="52" t="s">
        <v>5783</v>
      </c>
      <c r="B13" s="52" t="s">
        <v>6008</v>
      </c>
      <c r="C13" s="53" t="n">
        <v>54662</v>
      </c>
      <c r="D13" s="52" t="s">
        <v>4758</v>
      </c>
      <c r="E13" s="52" t="s">
        <v>4759</v>
      </c>
      <c r="F13" s="54" t="n">
        <v>20</v>
      </c>
      <c r="G13" s="55" t="n">
        <v>80</v>
      </c>
      <c r="H13" s="55" t="n">
        <v>4</v>
      </c>
      <c r="I13" s="55" t="n">
        <v>4</v>
      </c>
      <c r="J13" s="52" t="s">
        <v>5816</v>
      </c>
      <c r="K13" s="56" t="n">
        <v>1</v>
      </c>
      <c r="L13" s="52" t="s">
        <v>5816</v>
      </c>
      <c r="M13" s="52" t="s">
        <v>130</v>
      </c>
    </row>
    <row r="14" customFormat="false" ht="17.25" hidden="false" customHeight="true" outlineLevel="0" collapsed="false">
      <c r="A14" s="52" t="s">
        <v>5783</v>
      </c>
      <c r="B14" s="52" t="s">
        <v>6008</v>
      </c>
      <c r="C14" s="53" t="n">
        <v>55603</v>
      </c>
      <c r="D14" s="52" t="s">
        <v>4279</v>
      </c>
      <c r="E14" s="52" t="s">
        <v>4280</v>
      </c>
      <c r="F14" s="54" t="n">
        <v>6</v>
      </c>
      <c r="G14" s="55" t="n">
        <v>141</v>
      </c>
      <c r="H14" s="55" t="n">
        <v>23.5</v>
      </c>
      <c r="I14" s="55" t="n">
        <v>23.5</v>
      </c>
      <c r="J14" s="52" t="s">
        <v>5816</v>
      </c>
      <c r="K14" s="56" t="n">
        <v>1</v>
      </c>
      <c r="L14" s="52" t="s">
        <v>5816</v>
      </c>
      <c r="M14" s="52" t="s">
        <v>705</v>
      </c>
    </row>
    <row r="15" customFormat="false" ht="17.25" hidden="false" customHeight="true" outlineLevel="0" collapsed="false">
      <c r="A15" s="52" t="s">
        <v>5783</v>
      </c>
      <c r="B15" s="52" t="s">
        <v>6008</v>
      </c>
      <c r="C15" s="53" t="n">
        <v>56596</v>
      </c>
      <c r="D15" s="52" t="s">
        <v>3621</v>
      </c>
      <c r="E15" s="52" t="s">
        <v>3622</v>
      </c>
      <c r="F15" s="54" t="n">
        <v>20</v>
      </c>
      <c r="G15" s="55" t="n">
        <v>279.6</v>
      </c>
      <c r="H15" s="55" t="n">
        <v>13.98</v>
      </c>
      <c r="I15" s="55" t="n">
        <v>13.98</v>
      </c>
      <c r="J15" s="52" t="s">
        <v>5985</v>
      </c>
      <c r="K15" s="56" t="n">
        <v>100</v>
      </c>
      <c r="L15" s="52" t="s">
        <v>5816</v>
      </c>
      <c r="M15" s="52" t="s">
        <v>100</v>
      </c>
    </row>
    <row r="16" customFormat="false" ht="17.25" hidden="false" customHeight="true" outlineLevel="0" collapsed="false">
      <c r="A16" s="52" t="s">
        <v>5783</v>
      </c>
      <c r="B16" s="52" t="s">
        <v>6008</v>
      </c>
      <c r="C16" s="53" t="n">
        <v>65919</v>
      </c>
      <c r="D16" s="52" t="s">
        <v>3307</v>
      </c>
      <c r="E16" s="52" t="s">
        <v>3308</v>
      </c>
      <c r="F16" s="54" t="n">
        <v>20</v>
      </c>
      <c r="G16" s="55" t="n">
        <v>380</v>
      </c>
      <c r="H16" s="55" t="n">
        <v>19</v>
      </c>
      <c r="I16" s="55" t="n">
        <v>19</v>
      </c>
      <c r="J16" s="52" t="s">
        <v>5822</v>
      </c>
      <c r="K16" s="56" t="n">
        <v>1</v>
      </c>
      <c r="L16" s="52" t="s">
        <v>5822</v>
      </c>
      <c r="M16" s="52" t="s">
        <v>100</v>
      </c>
    </row>
    <row r="17" customFormat="false" ht="17.25" hidden="false" customHeight="true" outlineLevel="0" collapsed="false">
      <c r="A17" s="52" t="s">
        <v>5783</v>
      </c>
      <c r="B17" s="52" t="s">
        <v>6008</v>
      </c>
      <c r="C17" s="53" t="n">
        <v>562056</v>
      </c>
      <c r="D17" s="52" t="s">
        <v>2629</v>
      </c>
      <c r="E17" s="52" t="s">
        <v>2630</v>
      </c>
      <c r="F17" s="54" t="n">
        <v>20</v>
      </c>
      <c r="G17" s="55" t="n">
        <v>237.2</v>
      </c>
      <c r="H17" s="55" t="n">
        <v>11.86</v>
      </c>
      <c r="I17" s="55" t="n">
        <v>11.86</v>
      </c>
      <c r="J17" s="52" t="s">
        <v>5816</v>
      </c>
      <c r="K17" s="56" t="n">
        <v>1</v>
      </c>
      <c r="L17" s="52" t="s">
        <v>5816</v>
      </c>
      <c r="M17" s="52" t="s">
        <v>637</v>
      </c>
    </row>
    <row r="18" customFormat="false" ht="17.25" hidden="false" customHeight="true" outlineLevel="0" collapsed="false">
      <c r="A18" s="52" t="s">
        <v>5783</v>
      </c>
      <c r="B18" s="52" t="s">
        <v>6008</v>
      </c>
      <c r="C18" s="53" t="n">
        <v>563274</v>
      </c>
      <c r="D18" s="52" t="s">
        <v>3277</v>
      </c>
      <c r="E18" s="52" t="s">
        <v>3278</v>
      </c>
      <c r="F18" s="54" t="n">
        <v>6</v>
      </c>
      <c r="G18" s="55" t="n">
        <v>390</v>
      </c>
      <c r="H18" s="55" t="n">
        <v>65</v>
      </c>
      <c r="I18" s="55" t="n">
        <v>65</v>
      </c>
      <c r="J18" s="52" t="s">
        <v>5816</v>
      </c>
      <c r="K18" s="56" t="n">
        <v>1</v>
      </c>
      <c r="L18" s="52" t="s">
        <v>5816</v>
      </c>
      <c r="M18" s="52" t="s">
        <v>130</v>
      </c>
    </row>
    <row r="19" customFormat="false" ht="17.25" hidden="false" customHeight="true" outlineLevel="0" collapsed="false">
      <c r="A19" s="52" t="s">
        <v>5783</v>
      </c>
      <c r="B19" s="52" t="s">
        <v>6008</v>
      </c>
      <c r="C19" s="53" t="n">
        <v>741345</v>
      </c>
      <c r="D19" s="52" t="s">
        <v>2315</v>
      </c>
      <c r="E19" s="52" t="s">
        <v>2316</v>
      </c>
      <c r="F19" s="54" t="n">
        <v>12</v>
      </c>
      <c r="G19" s="55" t="n">
        <v>234.84</v>
      </c>
      <c r="H19" s="55" t="n">
        <v>19.57</v>
      </c>
      <c r="I19" s="55" t="n">
        <v>19.57</v>
      </c>
      <c r="J19" s="52" t="s">
        <v>5816</v>
      </c>
      <c r="K19" s="56" t="n">
        <v>1</v>
      </c>
      <c r="L19" s="52" t="s">
        <v>5816</v>
      </c>
      <c r="M19" s="52" t="s">
        <v>130</v>
      </c>
    </row>
    <row r="20" customFormat="false" ht="17.25" hidden="false" customHeight="true" outlineLevel="0" collapsed="false">
      <c r="A20" s="52" t="s">
        <v>5783</v>
      </c>
      <c r="B20" s="52" t="s">
        <v>6008</v>
      </c>
      <c r="C20" s="53" t="n">
        <v>852441</v>
      </c>
      <c r="D20" s="52" t="s">
        <v>2157</v>
      </c>
      <c r="E20" s="52" t="s">
        <v>2158</v>
      </c>
      <c r="F20" s="54" t="n">
        <v>30</v>
      </c>
      <c r="G20" s="55" t="n">
        <v>360</v>
      </c>
      <c r="H20" s="55" t="n">
        <v>12</v>
      </c>
      <c r="I20" s="55" t="n">
        <v>12</v>
      </c>
      <c r="J20" s="52" t="s">
        <v>5816</v>
      </c>
      <c r="K20" s="56" t="n">
        <v>1</v>
      </c>
      <c r="L20" s="52" t="s">
        <v>5816</v>
      </c>
      <c r="M20" s="52" t="s">
        <v>1618</v>
      </c>
    </row>
    <row r="21" customFormat="false" ht="17.25" hidden="false" customHeight="true" outlineLevel="0" collapsed="false">
      <c r="A21" s="52" t="s">
        <v>5783</v>
      </c>
      <c r="B21" s="52" t="s">
        <v>6008</v>
      </c>
      <c r="C21" s="53" t="n">
        <v>945721</v>
      </c>
      <c r="D21" s="52" t="s">
        <v>1968</v>
      </c>
      <c r="E21" s="52" t="s">
        <v>1969</v>
      </c>
      <c r="F21" s="54" t="n">
        <v>20</v>
      </c>
      <c r="G21" s="55" t="n">
        <v>1320</v>
      </c>
      <c r="H21" s="55" t="n">
        <v>66</v>
      </c>
      <c r="I21" s="55" t="n">
        <v>66</v>
      </c>
      <c r="J21" s="52" t="s">
        <v>5816</v>
      </c>
      <c r="K21" s="56" t="n">
        <v>1</v>
      </c>
      <c r="L21" s="52" t="s">
        <v>5816</v>
      </c>
      <c r="M21" s="52" t="s">
        <v>705</v>
      </c>
    </row>
    <row r="22" customFormat="false" ht="17.25" hidden="false" customHeight="true" outlineLevel="0" collapsed="false">
      <c r="A22" s="52" t="s">
        <v>5783</v>
      </c>
      <c r="B22" s="52" t="s">
        <v>6008</v>
      </c>
      <c r="C22" s="53" t="n">
        <v>952908</v>
      </c>
      <c r="D22" s="52" t="s">
        <v>2295</v>
      </c>
      <c r="E22" s="52" t="s">
        <v>2296</v>
      </c>
      <c r="F22" s="54" t="n">
        <v>50</v>
      </c>
      <c r="G22" s="55" t="n">
        <v>225</v>
      </c>
      <c r="H22" s="55" t="n">
        <v>4.5</v>
      </c>
      <c r="I22" s="55" t="n">
        <v>4.5</v>
      </c>
      <c r="J22" s="52" t="s">
        <v>5816</v>
      </c>
      <c r="K22" s="56" t="n">
        <v>1</v>
      </c>
      <c r="L22" s="52" t="s">
        <v>5816</v>
      </c>
      <c r="M22" s="52" t="s">
        <v>1618</v>
      </c>
    </row>
    <row r="23" customFormat="false" ht="17.25" hidden="false" customHeight="true" outlineLevel="0" collapsed="false">
      <c r="A23" s="52" t="s">
        <v>5783</v>
      </c>
      <c r="B23" s="52" t="s">
        <v>6008</v>
      </c>
      <c r="C23" s="53" t="n">
        <v>1330074</v>
      </c>
      <c r="D23" s="52" t="s">
        <v>2385</v>
      </c>
      <c r="E23" s="52" t="s">
        <v>2386</v>
      </c>
      <c r="F23" s="54" t="n">
        <v>12</v>
      </c>
      <c r="G23" s="55" t="n">
        <v>144</v>
      </c>
      <c r="H23" s="55" t="n">
        <v>12</v>
      </c>
      <c r="I23" s="55" t="n">
        <v>12</v>
      </c>
      <c r="J23" s="52" t="s">
        <v>5816</v>
      </c>
      <c r="K23" s="56" t="n">
        <v>1</v>
      </c>
      <c r="L23" s="52" t="s">
        <v>5816</v>
      </c>
      <c r="M23" s="52" t="s">
        <v>130</v>
      </c>
    </row>
    <row r="24" customFormat="false" ht="17.25" hidden="false" customHeight="true" outlineLevel="0" collapsed="false">
      <c r="A24" s="52" t="s">
        <v>5783</v>
      </c>
      <c r="B24" s="52" t="s">
        <v>6008</v>
      </c>
      <c r="C24" s="53" t="n">
        <v>1475951</v>
      </c>
      <c r="D24" s="52" t="s">
        <v>2993</v>
      </c>
      <c r="E24" s="52" t="s">
        <v>2994</v>
      </c>
      <c r="F24" s="54" t="n">
        <v>8</v>
      </c>
      <c r="G24" s="55" t="n">
        <v>141.52</v>
      </c>
      <c r="H24" s="55" t="n">
        <v>17.69</v>
      </c>
      <c r="I24" s="55" t="n">
        <v>17.69</v>
      </c>
      <c r="J24" s="52" t="s">
        <v>5816</v>
      </c>
      <c r="K24" s="56" t="n">
        <v>1</v>
      </c>
      <c r="L24" s="52" t="s">
        <v>5816</v>
      </c>
      <c r="M24" s="52" t="s">
        <v>1095</v>
      </c>
    </row>
    <row r="25" customFormat="false" ht="17.25" hidden="false" customHeight="true" outlineLevel="0" collapsed="false">
      <c r="A25" s="52" t="s">
        <v>5779</v>
      </c>
      <c r="B25" s="52" t="s">
        <v>6009</v>
      </c>
      <c r="C25" s="53" t="n">
        <v>219548</v>
      </c>
      <c r="D25" s="52" t="s">
        <v>283</v>
      </c>
      <c r="E25" s="52" t="s">
        <v>284</v>
      </c>
      <c r="F25" s="54" t="n">
        <v>651</v>
      </c>
      <c r="G25" s="55" t="n">
        <v>21736.89</v>
      </c>
      <c r="H25" s="55" t="n">
        <v>33.39</v>
      </c>
      <c r="I25" s="55" t="n">
        <v>33.39</v>
      </c>
      <c r="J25" s="52" t="s">
        <v>5814</v>
      </c>
      <c r="K25" s="56" t="n">
        <v>1</v>
      </c>
      <c r="L25" s="52" t="s">
        <v>5814</v>
      </c>
      <c r="M25" s="52" t="s">
        <v>38</v>
      </c>
    </row>
    <row r="26" customFormat="false" ht="17.25" hidden="false" customHeight="true" outlineLevel="0" collapsed="false">
      <c r="A26" s="52" t="s">
        <v>5779</v>
      </c>
      <c r="B26" s="52" t="s">
        <v>6009</v>
      </c>
      <c r="C26" s="53" t="n">
        <v>1319353</v>
      </c>
      <c r="D26" s="52" t="s">
        <v>80</v>
      </c>
      <c r="E26" s="52" t="s">
        <v>81</v>
      </c>
      <c r="F26" s="54" t="n">
        <v>1</v>
      </c>
      <c r="G26" s="55" t="n">
        <v>126730</v>
      </c>
      <c r="H26" s="55" t="n">
        <v>126730</v>
      </c>
      <c r="I26" s="55" t="n">
        <v>126730</v>
      </c>
      <c r="J26" s="52" t="s">
        <v>5816</v>
      </c>
      <c r="K26" s="56" t="n">
        <v>1</v>
      </c>
      <c r="L26" s="52" t="s">
        <v>5816</v>
      </c>
      <c r="M26" s="52" t="s">
        <v>35</v>
      </c>
    </row>
    <row r="27" customFormat="false" ht="17.25" hidden="false" customHeight="true" outlineLevel="0" collapsed="false">
      <c r="A27" s="52" t="s">
        <v>5779</v>
      </c>
      <c r="B27" s="52" t="s">
        <v>6009</v>
      </c>
      <c r="C27" s="53" t="n">
        <v>1319354</v>
      </c>
      <c r="D27" s="52" t="s">
        <v>69</v>
      </c>
      <c r="E27" s="52" t="s">
        <v>70</v>
      </c>
      <c r="F27" s="54" t="n">
        <v>1</v>
      </c>
      <c r="G27" s="55" t="n">
        <v>148930</v>
      </c>
      <c r="H27" s="55" t="n">
        <v>148930</v>
      </c>
      <c r="I27" s="55" t="n">
        <v>148930</v>
      </c>
      <c r="J27" s="52" t="s">
        <v>5816</v>
      </c>
      <c r="K27" s="56" t="n">
        <v>1</v>
      </c>
      <c r="L27" s="52" t="s">
        <v>5816</v>
      </c>
      <c r="M27" s="52" t="s">
        <v>35</v>
      </c>
    </row>
    <row r="28" customFormat="false" ht="17.25" hidden="false" customHeight="true" outlineLevel="0" collapsed="false">
      <c r="A28" s="52" t="s">
        <v>5779</v>
      </c>
      <c r="B28" s="52" t="s">
        <v>6009</v>
      </c>
      <c r="C28" s="53" t="n">
        <v>1322479</v>
      </c>
      <c r="D28" s="52" t="s">
        <v>30</v>
      </c>
      <c r="E28" s="52" t="s">
        <v>31</v>
      </c>
      <c r="F28" s="54" t="n">
        <v>15482</v>
      </c>
      <c r="G28" s="55" t="n">
        <v>689877.92</v>
      </c>
      <c r="H28" s="55" t="n">
        <v>44.56</v>
      </c>
      <c r="I28" s="55" t="n">
        <v>44.56</v>
      </c>
      <c r="J28" s="52" t="s">
        <v>5814</v>
      </c>
      <c r="K28" s="56" t="n">
        <v>1</v>
      </c>
      <c r="L28" s="52" t="s">
        <v>5814</v>
      </c>
      <c r="M28" s="52" t="s">
        <v>32</v>
      </c>
    </row>
    <row r="29" customFormat="false" ht="17.25" hidden="false" customHeight="true" outlineLevel="0" collapsed="false">
      <c r="A29" s="52" t="s">
        <v>5779</v>
      </c>
      <c r="B29" s="52" t="s">
        <v>6009</v>
      </c>
      <c r="C29" s="53" t="n">
        <v>1323070</v>
      </c>
      <c r="D29" s="52" t="s">
        <v>366</v>
      </c>
      <c r="E29" s="52" t="s">
        <v>367</v>
      </c>
      <c r="F29" s="54" t="n">
        <v>3</v>
      </c>
      <c r="G29" s="55" t="n">
        <v>16294.38</v>
      </c>
      <c r="H29" s="55" t="n">
        <v>5431.46</v>
      </c>
      <c r="I29" s="55" t="n">
        <v>5431.46</v>
      </c>
      <c r="J29" s="52" t="s">
        <v>5816</v>
      </c>
      <c r="K29" s="56" t="n">
        <v>1</v>
      </c>
      <c r="L29" s="52" t="s">
        <v>5816</v>
      </c>
      <c r="M29" s="52" t="s">
        <v>66</v>
      </c>
    </row>
    <row r="30" customFormat="false" ht="17.25" hidden="false" customHeight="true" outlineLevel="0" collapsed="false">
      <c r="A30" s="52" t="s">
        <v>5779</v>
      </c>
      <c r="B30" s="52" t="s">
        <v>6009</v>
      </c>
      <c r="C30" s="53" t="n">
        <v>1323072</v>
      </c>
      <c r="D30" s="52" t="s">
        <v>2038</v>
      </c>
      <c r="E30" s="52" t="s">
        <v>2039</v>
      </c>
      <c r="F30" s="54" t="n">
        <v>1</v>
      </c>
      <c r="G30" s="55" t="n">
        <v>1221.79</v>
      </c>
      <c r="H30" s="55" t="n">
        <v>1221.79</v>
      </c>
      <c r="I30" s="55" t="n">
        <v>1221.79</v>
      </c>
      <c r="J30" s="52" t="s">
        <v>5816</v>
      </c>
      <c r="K30" s="56" t="n">
        <v>1</v>
      </c>
      <c r="L30" s="52" t="s">
        <v>5816</v>
      </c>
      <c r="M30" s="52" t="s">
        <v>66</v>
      </c>
    </row>
    <row r="31" customFormat="false" ht="17.25" hidden="false" customHeight="true" outlineLevel="0" collapsed="false">
      <c r="A31" s="52" t="s">
        <v>5779</v>
      </c>
      <c r="B31" s="52" t="s">
        <v>6009</v>
      </c>
      <c r="C31" s="53" t="n">
        <v>1323074</v>
      </c>
      <c r="D31" s="52" t="s">
        <v>2195</v>
      </c>
      <c r="E31" s="52" t="s">
        <v>2196</v>
      </c>
      <c r="F31" s="54" t="n">
        <v>4</v>
      </c>
      <c r="G31" s="55" t="n">
        <v>1039.76</v>
      </c>
      <c r="H31" s="55" t="n">
        <v>259.94</v>
      </c>
      <c r="I31" s="55" t="n">
        <v>259.94</v>
      </c>
      <c r="J31" s="52" t="s">
        <v>5816</v>
      </c>
      <c r="K31" s="56" t="n">
        <v>1</v>
      </c>
      <c r="L31" s="52" t="s">
        <v>5816</v>
      </c>
      <c r="M31" s="52" t="s">
        <v>66</v>
      </c>
    </row>
    <row r="32" customFormat="false" ht="17.25" hidden="false" customHeight="true" outlineLevel="0" collapsed="false">
      <c r="A32" s="52" t="s">
        <v>5779</v>
      </c>
      <c r="B32" s="52" t="s">
        <v>6009</v>
      </c>
      <c r="C32" s="53" t="n">
        <v>1323076</v>
      </c>
      <c r="D32" s="52" t="s">
        <v>1958</v>
      </c>
      <c r="E32" s="52" t="s">
        <v>1959</v>
      </c>
      <c r="F32" s="54" t="n">
        <v>3</v>
      </c>
      <c r="G32" s="55" t="n">
        <v>1330.26</v>
      </c>
      <c r="H32" s="55" t="n">
        <v>443.42</v>
      </c>
      <c r="I32" s="55" t="n">
        <v>443.42</v>
      </c>
      <c r="J32" s="52" t="s">
        <v>5816</v>
      </c>
      <c r="K32" s="56" t="n">
        <v>1</v>
      </c>
      <c r="L32" s="52" t="s">
        <v>5816</v>
      </c>
      <c r="M32" s="52" t="s">
        <v>66</v>
      </c>
    </row>
    <row r="33" customFormat="false" ht="17.25" hidden="false" customHeight="true" outlineLevel="0" collapsed="false">
      <c r="A33" s="52" t="s">
        <v>5779</v>
      </c>
      <c r="B33" s="52" t="s">
        <v>6009</v>
      </c>
      <c r="C33" s="53" t="n">
        <v>1323077</v>
      </c>
      <c r="D33" s="52" t="s">
        <v>78</v>
      </c>
      <c r="E33" s="52" t="s">
        <v>79</v>
      </c>
      <c r="F33" s="54" t="n">
        <v>27</v>
      </c>
      <c r="G33" s="55" t="n">
        <v>135833.04</v>
      </c>
      <c r="H33" s="55" t="n">
        <v>5030.8533</v>
      </c>
      <c r="I33" s="55" t="n">
        <v>5057.22</v>
      </c>
      <c r="J33" s="52" t="s">
        <v>5816</v>
      </c>
      <c r="K33" s="56" t="n">
        <v>1</v>
      </c>
      <c r="L33" s="52" t="s">
        <v>5816</v>
      </c>
      <c r="M33" s="52" t="s">
        <v>66</v>
      </c>
    </row>
    <row r="34" customFormat="false" ht="17.25" hidden="false" customHeight="true" outlineLevel="0" collapsed="false">
      <c r="A34" s="52" t="s">
        <v>5779</v>
      </c>
      <c r="B34" s="52" t="s">
        <v>6009</v>
      </c>
      <c r="C34" s="53" t="n">
        <v>1328114</v>
      </c>
      <c r="D34" s="52" t="s">
        <v>126</v>
      </c>
      <c r="E34" s="52" t="s">
        <v>127</v>
      </c>
      <c r="F34" s="54" t="n">
        <v>487</v>
      </c>
      <c r="G34" s="55" t="n">
        <v>63049.54</v>
      </c>
      <c r="H34" s="55" t="n">
        <v>129.4652</v>
      </c>
      <c r="I34" s="55" t="n">
        <v>129.4652</v>
      </c>
      <c r="J34" s="52" t="s">
        <v>5814</v>
      </c>
      <c r="K34" s="56" t="n">
        <v>1</v>
      </c>
      <c r="L34" s="52" t="s">
        <v>5814</v>
      </c>
      <c r="M34" s="52" t="s">
        <v>38</v>
      </c>
    </row>
    <row r="35" customFormat="false" ht="17.25" hidden="false" customHeight="true" outlineLevel="0" collapsed="false">
      <c r="A35" s="52" t="s">
        <v>5779</v>
      </c>
      <c r="B35" s="52" t="s">
        <v>6009</v>
      </c>
      <c r="C35" s="53" t="n">
        <v>1328133</v>
      </c>
      <c r="D35" s="52" t="s">
        <v>48</v>
      </c>
      <c r="E35" s="52" t="s">
        <v>49</v>
      </c>
      <c r="F35" s="54" t="n">
        <v>1866</v>
      </c>
      <c r="G35" s="55" t="n">
        <v>225730.02</v>
      </c>
      <c r="H35" s="55" t="n">
        <v>120.97</v>
      </c>
      <c r="I35" s="55" t="n">
        <v>120.97</v>
      </c>
      <c r="J35" s="52" t="s">
        <v>5814</v>
      </c>
      <c r="K35" s="56" t="n">
        <v>1</v>
      </c>
      <c r="L35" s="52" t="s">
        <v>5814</v>
      </c>
      <c r="M35" s="52" t="s">
        <v>38</v>
      </c>
    </row>
    <row r="36" customFormat="false" ht="17.25" hidden="false" customHeight="true" outlineLevel="0" collapsed="false">
      <c r="A36" s="52" t="s">
        <v>5779</v>
      </c>
      <c r="B36" s="52" t="s">
        <v>6009</v>
      </c>
      <c r="C36" s="53" t="n">
        <v>1328273</v>
      </c>
      <c r="D36" s="52" t="s">
        <v>36</v>
      </c>
      <c r="E36" s="52" t="s">
        <v>37</v>
      </c>
      <c r="F36" s="54" t="n">
        <v>54000</v>
      </c>
      <c r="G36" s="55" t="n">
        <v>355560.3</v>
      </c>
      <c r="H36" s="55" t="n">
        <v>6.5844</v>
      </c>
      <c r="I36" s="55" t="n">
        <v>5.67</v>
      </c>
      <c r="J36" s="52" t="s">
        <v>5814</v>
      </c>
      <c r="K36" s="56" t="n">
        <v>1</v>
      </c>
      <c r="L36" s="52" t="s">
        <v>5814</v>
      </c>
      <c r="M36" s="52" t="s">
        <v>38</v>
      </c>
    </row>
    <row r="37" customFormat="false" ht="17.25" hidden="false" customHeight="true" outlineLevel="0" collapsed="false">
      <c r="A37" s="52" t="s">
        <v>5779</v>
      </c>
      <c r="B37" s="52" t="s">
        <v>6009</v>
      </c>
      <c r="C37" s="53" t="n">
        <v>1328274</v>
      </c>
      <c r="D37" s="52" t="s">
        <v>50</v>
      </c>
      <c r="E37" s="52" t="s">
        <v>51</v>
      </c>
      <c r="F37" s="54" t="n">
        <v>47000</v>
      </c>
      <c r="G37" s="55" t="n">
        <v>266529.6</v>
      </c>
      <c r="H37" s="55" t="n">
        <v>5.6709</v>
      </c>
      <c r="I37" s="55" t="n">
        <v>5.67</v>
      </c>
      <c r="J37" s="52" t="s">
        <v>5814</v>
      </c>
      <c r="K37" s="56" t="n">
        <v>1</v>
      </c>
      <c r="L37" s="52" t="s">
        <v>5814</v>
      </c>
      <c r="M37" s="52" t="s">
        <v>38</v>
      </c>
    </row>
    <row r="38" customFormat="false" ht="17.25" hidden="false" customHeight="true" outlineLevel="0" collapsed="false">
      <c r="A38" s="52" t="s">
        <v>5779</v>
      </c>
      <c r="B38" s="52" t="s">
        <v>6009</v>
      </c>
      <c r="C38" s="53" t="n">
        <v>1480716</v>
      </c>
      <c r="D38" s="52" t="s">
        <v>378</v>
      </c>
      <c r="E38" s="52" t="s">
        <v>379</v>
      </c>
      <c r="F38" s="54" t="n">
        <v>1000</v>
      </c>
      <c r="G38" s="55" t="n">
        <v>15420</v>
      </c>
      <c r="H38" s="55" t="n">
        <v>15.42</v>
      </c>
      <c r="I38" s="55" t="n">
        <v>15.42</v>
      </c>
      <c r="J38" s="52" t="s">
        <v>5814</v>
      </c>
      <c r="K38" s="56" t="n">
        <v>1</v>
      </c>
      <c r="L38" s="52" t="s">
        <v>5814</v>
      </c>
      <c r="M38" s="52" t="s">
        <v>38</v>
      </c>
    </row>
    <row r="39" customFormat="false" ht="17.25" hidden="false" customHeight="true" outlineLevel="0" collapsed="false">
      <c r="A39" s="52" t="s">
        <v>5779</v>
      </c>
      <c r="B39" s="52" t="s">
        <v>6009</v>
      </c>
      <c r="C39" s="53" t="n">
        <v>1480860</v>
      </c>
      <c r="D39" s="52" t="s">
        <v>1232</v>
      </c>
      <c r="E39" s="52" t="s">
        <v>1233</v>
      </c>
      <c r="F39" s="54" t="n">
        <v>1000</v>
      </c>
      <c r="G39" s="55" t="n">
        <v>2880</v>
      </c>
      <c r="H39" s="55" t="n">
        <v>2.88</v>
      </c>
      <c r="I39" s="55" t="n">
        <v>2.88</v>
      </c>
      <c r="J39" s="52" t="s">
        <v>5814</v>
      </c>
      <c r="K39" s="56" t="n">
        <v>1</v>
      </c>
      <c r="L39" s="52" t="s">
        <v>5814</v>
      </c>
      <c r="M39" s="52" t="s">
        <v>38</v>
      </c>
    </row>
    <row r="40" customFormat="false" ht="17.25" hidden="false" customHeight="true" outlineLevel="0" collapsed="false">
      <c r="A40" s="52" t="s">
        <v>5779</v>
      </c>
      <c r="B40" s="52" t="s">
        <v>6009</v>
      </c>
      <c r="C40" s="53" t="n">
        <v>1481749</v>
      </c>
      <c r="D40" s="52" t="s">
        <v>145</v>
      </c>
      <c r="E40" s="52" t="s">
        <v>146</v>
      </c>
      <c r="F40" s="54" t="n">
        <v>768</v>
      </c>
      <c r="G40" s="55" t="n">
        <v>51118.08</v>
      </c>
      <c r="H40" s="55" t="n">
        <v>66.56</v>
      </c>
      <c r="I40" s="55" t="n">
        <v>66.56</v>
      </c>
      <c r="J40" s="52" t="s">
        <v>5814</v>
      </c>
      <c r="K40" s="56" t="n">
        <v>1</v>
      </c>
      <c r="L40" s="52" t="s">
        <v>5814</v>
      </c>
      <c r="M40" s="52" t="s">
        <v>38</v>
      </c>
    </row>
    <row r="41" customFormat="false" ht="17.25" hidden="false" customHeight="true" outlineLevel="0" collapsed="false">
      <c r="A41" s="52" t="s">
        <v>5779</v>
      </c>
      <c r="B41" s="52" t="s">
        <v>6009</v>
      </c>
      <c r="C41" s="53" t="n">
        <v>1486706</v>
      </c>
      <c r="D41" s="52" t="s">
        <v>543</v>
      </c>
      <c r="E41" s="52" t="s">
        <v>544</v>
      </c>
      <c r="F41" s="54" t="n">
        <v>1000</v>
      </c>
      <c r="G41" s="55" t="n">
        <v>9920</v>
      </c>
      <c r="H41" s="55" t="n">
        <v>9.92</v>
      </c>
      <c r="I41" s="55" t="n">
        <v>9.92</v>
      </c>
      <c r="J41" s="52" t="s">
        <v>5814</v>
      </c>
      <c r="K41" s="56" t="n">
        <v>1</v>
      </c>
      <c r="L41" s="52" t="s">
        <v>5814</v>
      </c>
      <c r="M41" s="52" t="s">
        <v>38</v>
      </c>
    </row>
    <row r="42" customFormat="false" ht="17.25" hidden="false" customHeight="true" outlineLevel="0" collapsed="false">
      <c r="A42" s="52" t="s">
        <v>5779</v>
      </c>
      <c r="B42" s="52" t="s">
        <v>6009</v>
      </c>
      <c r="C42" s="53" t="n">
        <v>1540059</v>
      </c>
      <c r="D42" s="52" t="s">
        <v>431</v>
      </c>
      <c r="E42" s="52" t="s">
        <v>432</v>
      </c>
      <c r="F42" s="54" t="n">
        <v>1008</v>
      </c>
      <c r="G42" s="55" t="n">
        <v>13214.88</v>
      </c>
      <c r="H42" s="55" t="n">
        <v>13.11</v>
      </c>
      <c r="I42" s="55" t="n">
        <v>13.11</v>
      </c>
      <c r="J42" s="52" t="s">
        <v>5814</v>
      </c>
      <c r="K42" s="56" t="n">
        <v>1</v>
      </c>
      <c r="L42" s="52" t="s">
        <v>5814</v>
      </c>
      <c r="M42" s="52" t="s">
        <v>38</v>
      </c>
    </row>
    <row r="43" customFormat="false" ht="17.25" hidden="false" customHeight="true" outlineLevel="0" collapsed="false">
      <c r="A43" s="52" t="s">
        <v>5779</v>
      </c>
      <c r="B43" s="52" t="s">
        <v>6009</v>
      </c>
      <c r="C43" s="53" t="n">
        <v>1540083</v>
      </c>
      <c r="D43" s="52" t="s">
        <v>122</v>
      </c>
      <c r="E43" s="52" t="s">
        <v>123</v>
      </c>
      <c r="F43" s="54" t="n">
        <v>2677</v>
      </c>
      <c r="G43" s="55" t="n">
        <v>79747.83</v>
      </c>
      <c r="H43" s="55" t="n">
        <v>29.79</v>
      </c>
      <c r="I43" s="55" t="n">
        <v>29.79</v>
      </c>
      <c r="J43" s="52" t="s">
        <v>5814</v>
      </c>
      <c r="K43" s="56" t="n">
        <v>1</v>
      </c>
      <c r="L43" s="52" t="s">
        <v>5814</v>
      </c>
      <c r="M43" s="52" t="s">
        <v>38</v>
      </c>
    </row>
    <row r="44" customFormat="false" ht="17.25" hidden="false" customHeight="true" outlineLevel="0" collapsed="false">
      <c r="A44" s="52" t="s">
        <v>5779</v>
      </c>
      <c r="B44" s="52" t="s">
        <v>6009</v>
      </c>
      <c r="C44" s="53" t="n">
        <v>1540107</v>
      </c>
      <c r="D44" s="52" t="s">
        <v>177</v>
      </c>
      <c r="E44" s="52" t="s">
        <v>178</v>
      </c>
      <c r="F44" s="54" t="n">
        <v>1026</v>
      </c>
      <c r="G44" s="55" t="n">
        <v>41758.2</v>
      </c>
      <c r="H44" s="55" t="n">
        <v>40.7</v>
      </c>
      <c r="I44" s="55" t="n">
        <v>40.7</v>
      </c>
      <c r="J44" s="52" t="s">
        <v>5814</v>
      </c>
      <c r="K44" s="56" t="n">
        <v>1</v>
      </c>
      <c r="L44" s="52" t="s">
        <v>5814</v>
      </c>
      <c r="M44" s="52" t="s">
        <v>38</v>
      </c>
    </row>
    <row r="45" customFormat="false" ht="17.25" hidden="false" customHeight="true" outlineLevel="0" collapsed="false">
      <c r="A45" s="52" t="s">
        <v>5779</v>
      </c>
      <c r="B45" s="52" t="s">
        <v>6009</v>
      </c>
      <c r="C45" s="53" t="n">
        <v>1540131</v>
      </c>
      <c r="D45" s="52" t="s">
        <v>107</v>
      </c>
      <c r="E45" s="52" t="s">
        <v>108</v>
      </c>
      <c r="F45" s="54" t="n">
        <v>5513</v>
      </c>
      <c r="G45" s="55" t="n">
        <v>89696.51</v>
      </c>
      <c r="H45" s="55" t="n">
        <v>16.27</v>
      </c>
      <c r="I45" s="55" t="n">
        <v>16.27</v>
      </c>
      <c r="J45" s="52" t="s">
        <v>5814</v>
      </c>
      <c r="K45" s="56" t="n">
        <v>1</v>
      </c>
      <c r="L45" s="52" t="s">
        <v>5814</v>
      </c>
      <c r="M45" s="52" t="s">
        <v>38</v>
      </c>
    </row>
    <row r="46" customFormat="false" ht="17.25" hidden="false" customHeight="true" outlineLevel="0" collapsed="false">
      <c r="A46" s="52" t="s">
        <v>5779</v>
      </c>
      <c r="B46" s="52" t="s">
        <v>6009</v>
      </c>
      <c r="C46" s="53" t="n">
        <v>1540155</v>
      </c>
      <c r="D46" s="52" t="s">
        <v>269</v>
      </c>
      <c r="E46" s="52" t="s">
        <v>270</v>
      </c>
      <c r="F46" s="54" t="n">
        <v>1021</v>
      </c>
      <c r="G46" s="55" t="n">
        <v>23350.27</v>
      </c>
      <c r="H46" s="55" t="n">
        <v>22.87</v>
      </c>
      <c r="I46" s="55" t="n">
        <v>22.87</v>
      </c>
      <c r="J46" s="52" t="s">
        <v>5814</v>
      </c>
      <c r="K46" s="56" t="n">
        <v>1</v>
      </c>
      <c r="L46" s="52" t="s">
        <v>5814</v>
      </c>
      <c r="M46" s="52" t="s">
        <v>38</v>
      </c>
    </row>
    <row r="47" customFormat="false" ht="17.25" hidden="false" customHeight="true" outlineLevel="0" collapsed="false">
      <c r="A47" s="52" t="s">
        <v>5779</v>
      </c>
      <c r="B47" s="52" t="s">
        <v>6009</v>
      </c>
      <c r="C47" s="53" t="n">
        <v>1540179</v>
      </c>
      <c r="D47" s="52" t="s">
        <v>149</v>
      </c>
      <c r="E47" s="52" t="s">
        <v>150</v>
      </c>
      <c r="F47" s="54" t="n">
        <v>1030</v>
      </c>
      <c r="G47" s="55" t="n">
        <v>49388.5</v>
      </c>
      <c r="H47" s="55" t="n">
        <v>47.95</v>
      </c>
      <c r="I47" s="55" t="n">
        <v>47.95</v>
      </c>
      <c r="J47" s="52" t="s">
        <v>5814</v>
      </c>
      <c r="K47" s="56" t="n">
        <v>1</v>
      </c>
      <c r="L47" s="52" t="s">
        <v>5814</v>
      </c>
      <c r="M47" s="52" t="s">
        <v>38</v>
      </c>
    </row>
    <row r="48" customFormat="false" ht="17.25" hidden="false" customHeight="true" outlineLevel="0" collapsed="false">
      <c r="A48" s="52" t="s">
        <v>5779</v>
      </c>
      <c r="B48" s="52" t="s">
        <v>6009</v>
      </c>
      <c r="C48" s="53" t="n">
        <v>1540203</v>
      </c>
      <c r="D48" s="52" t="s">
        <v>163</v>
      </c>
      <c r="E48" s="52" t="s">
        <v>164</v>
      </c>
      <c r="F48" s="54" t="n">
        <v>1958</v>
      </c>
      <c r="G48" s="55" t="n">
        <v>46267.54</v>
      </c>
      <c r="H48" s="55" t="n">
        <v>23.63</v>
      </c>
      <c r="I48" s="55" t="n">
        <v>23.63</v>
      </c>
      <c r="J48" s="52" t="s">
        <v>5814</v>
      </c>
      <c r="K48" s="56" t="n">
        <v>1</v>
      </c>
      <c r="L48" s="52" t="s">
        <v>5814</v>
      </c>
      <c r="M48" s="52" t="s">
        <v>38</v>
      </c>
    </row>
    <row r="49" customFormat="false" ht="17.25" hidden="false" customHeight="true" outlineLevel="0" collapsed="false">
      <c r="A49" s="52" t="s">
        <v>5779</v>
      </c>
      <c r="B49" s="52" t="s">
        <v>6009</v>
      </c>
      <c r="C49" s="53" t="n">
        <v>1540227</v>
      </c>
      <c r="D49" s="52" t="s">
        <v>161</v>
      </c>
      <c r="E49" s="52" t="s">
        <v>162</v>
      </c>
      <c r="F49" s="54" t="n">
        <v>1236</v>
      </c>
      <c r="G49" s="55" t="n">
        <v>46300.56</v>
      </c>
      <c r="H49" s="55" t="n">
        <v>37.46</v>
      </c>
      <c r="I49" s="55" t="n">
        <v>37.46</v>
      </c>
      <c r="J49" s="52" t="s">
        <v>5814</v>
      </c>
      <c r="K49" s="56" t="n">
        <v>1</v>
      </c>
      <c r="L49" s="52" t="s">
        <v>5814</v>
      </c>
      <c r="M49" s="52" t="s">
        <v>38</v>
      </c>
    </row>
    <row r="50" customFormat="false" ht="17.25" hidden="false" customHeight="true" outlineLevel="0" collapsed="false">
      <c r="A50" s="52" t="s">
        <v>5779</v>
      </c>
      <c r="B50" s="52" t="s">
        <v>6009</v>
      </c>
      <c r="C50" s="53" t="n">
        <v>1540251</v>
      </c>
      <c r="D50" s="52" t="s">
        <v>330</v>
      </c>
      <c r="E50" s="52" t="s">
        <v>331</v>
      </c>
      <c r="F50" s="54" t="n">
        <v>1958</v>
      </c>
      <c r="G50" s="55" t="n">
        <v>17915.7</v>
      </c>
      <c r="H50" s="55" t="n">
        <v>9.15</v>
      </c>
      <c r="I50" s="55" t="n">
        <v>9.15</v>
      </c>
      <c r="J50" s="52" t="s">
        <v>5814</v>
      </c>
      <c r="K50" s="56" t="n">
        <v>1</v>
      </c>
      <c r="L50" s="52" t="s">
        <v>5814</v>
      </c>
      <c r="M50" s="52" t="s">
        <v>38</v>
      </c>
    </row>
    <row r="51" customFormat="false" ht="17.25" hidden="false" customHeight="true" outlineLevel="0" collapsed="false">
      <c r="A51" s="52" t="s">
        <v>5779</v>
      </c>
      <c r="B51" s="52" t="s">
        <v>6009</v>
      </c>
      <c r="C51" s="53" t="n">
        <v>1540275</v>
      </c>
      <c r="D51" s="52" t="s">
        <v>419</v>
      </c>
      <c r="E51" s="52" t="s">
        <v>420</v>
      </c>
      <c r="F51" s="54" t="n">
        <v>1030</v>
      </c>
      <c r="G51" s="55" t="n">
        <v>13729.9</v>
      </c>
      <c r="H51" s="55" t="n">
        <v>13.33</v>
      </c>
      <c r="I51" s="55" t="n">
        <v>13.33</v>
      </c>
      <c r="J51" s="52" t="s">
        <v>5814</v>
      </c>
      <c r="K51" s="56" t="n">
        <v>1</v>
      </c>
      <c r="L51" s="52" t="s">
        <v>5814</v>
      </c>
      <c r="M51" s="52" t="s">
        <v>38</v>
      </c>
    </row>
    <row r="52" customFormat="false" ht="17.25" hidden="false" customHeight="true" outlineLevel="0" collapsed="false">
      <c r="A52" s="52" t="s">
        <v>5779</v>
      </c>
      <c r="B52" s="52" t="s">
        <v>6009</v>
      </c>
      <c r="C52" s="53" t="n">
        <v>1540299</v>
      </c>
      <c r="D52" s="52" t="s">
        <v>287</v>
      </c>
      <c r="E52" s="52" t="s">
        <v>288</v>
      </c>
      <c r="F52" s="54" t="n">
        <v>515</v>
      </c>
      <c r="G52" s="55" t="n">
        <v>22582.75</v>
      </c>
      <c r="H52" s="55" t="n">
        <v>43.85</v>
      </c>
      <c r="I52" s="55" t="n">
        <v>43.85</v>
      </c>
      <c r="J52" s="52" t="s">
        <v>5814</v>
      </c>
      <c r="K52" s="56" t="n">
        <v>1</v>
      </c>
      <c r="L52" s="52" t="s">
        <v>5814</v>
      </c>
      <c r="M52" s="52" t="s">
        <v>38</v>
      </c>
    </row>
    <row r="53" customFormat="false" ht="17.25" hidden="false" customHeight="true" outlineLevel="0" collapsed="false">
      <c r="A53" s="52" t="s">
        <v>5779</v>
      </c>
      <c r="B53" s="52" t="s">
        <v>6009</v>
      </c>
      <c r="C53" s="53" t="n">
        <v>1540323</v>
      </c>
      <c r="D53" s="52" t="s">
        <v>43</v>
      </c>
      <c r="E53" s="52" t="s">
        <v>44</v>
      </c>
      <c r="F53" s="54" t="n">
        <v>5081</v>
      </c>
      <c r="G53" s="55" t="n">
        <v>340477.81</v>
      </c>
      <c r="H53" s="55" t="n">
        <v>67.01</v>
      </c>
      <c r="I53" s="55" t="n">
        <v>67.01</v>
      </c>
      <c r="J53" s="52" t="s">
        <v>5814</v>
      </c>
      <c r="K53" s="56" t="n">
        <v>1</v>
      </c>
      <c r="L53" s="52" t="s">
        <v>5814</v>
      </c>
      <c r="M53" s="52" t="s">
        <v>38</v>
      </c>
    </row>
    <row r="54" customFormat="false" ht="17.25" hidden="false" customHeight="true" outlineLevel="0" collapsed="false">
      <c r="A54" s="52" t="s">
        <v>5779</v>
      </c>
      <c r="B54" s="52" t="s">
        <v>6009</v>
      </c>
      <c r="C54" s="53" t="n">
        <v>1608931</v>
      </c>
      <c r="D54" s="52" t="s">
        <v>587</v>
      </c>
      <c r="E54" s="52" t="s">
        <v>588</v>
      </c>
      <c r="F54" s="54" t="n">
        <v>23</v>
      </c>
      <c r="G54" s="55" t="n">
        <v>9042.99</v>
      </c>
      <c r="H54" s="55" t="n">
        <v>393.1735</v>
      </c>
      <c r="I54" s="55" t="n">
        <v>393.1735</v>
      </c>
      <c r="J54" s="52" t="s">
        <v>5816</v>
      </c>
      <c r="K54" s="56" t="n">
        <v>1</v>
      </c>
      <c r="L54" s="52" t="s">
        <v>5816</v>
      </c>
      <c r="M54" s="52" t="s">
        <v>38</v>
      </c>
    </row>
    <row r="55" customFormat="false" ht="17.25" hidden="false" customHeight="true" outlineLevel="0" collapsed="false">
      <c r="A55" s="52" t="s">
        <v>5785</v>
      </c>
      <c r="B55" s="52" t="s">
        <v>6010</v>
      </c>
      <c r="C55" s="53" t="n">
        <v>32238</v>
      </c>
      <c r="D55" s="52" t="s">
        <v>3245</v>
      </c>
      <c r="E55" s="52" t="s">
        <v>3246</v>
      </c>
      <c r="F55" s="54" t="n">
        <v>3</v>
      </c>
      <c r="G55" s="55" t="n">
        <v>399</v>
      </c>
      <c r="H55" s="55" t="n">
        <v>133</v>
      </c>
      <c r="I55" s="55" t="n">
        <v>133</v>
      </c>
      <c r="J55" s="52" t="s">
        <v>5816</v>
      </c>
      <c r="K55" s="56" t="n">
        <v>1</v>
      </c>
      <c r="L55" s="52" t="s">
        <v>5816</v>
      </c>
      <c r="M55" s="52" t="s">
        <v>360</v>
      </c>
    </row>
    <row r="56" customFormat="false" ht="17.25" hidden="false" customHeight="true" outlineLevel="0" collapsed="false">
      <c r="A56" s="52" t="s">
        <v>5785</v>
      </c>
      <c r="B56" s="52" t="s">
        <v>6010</v>
      </c>
      <c r="C56" s="53" t="n">
        <v>35313</v>
      </c>
      <c r="D56" s="52" t="s">
        <v>4596</v>
      </c>
      <c r="E56" s="52" t="s">
        <v>4597</v>
      </c>
      <c r="F56" s="54" t="n">
        <v>3</v>
      </c>
      <c r="G56" s="55" t="n">
        <v>99</v>
      </c>
      <c r="H56" s="55" t="n">
        <v>33</v>
      </c>
      <c r="I56" s="55" t="n">
        <v>33</v>
      </c>
      <c r="J56" s="52" t="s">
        <v>5816</v>
      </c>
      <c r="K56" s="56" t="n">
        <v>1</v>
      </c>
      <c r="L56" s="52" t="s">
        <v>5816</v>
      </c>
      <c r="M56" s="52" t="s">
        <v>360</v>
      </c>
    </row>
    <row r="57" customFormat="false" ht="14.25" hidden="false" customHeight="false" outlineLevel="0" collapsed="false">
      <c r="A57" s="63"/>
      <c r="B57" s="63"/>
      <c r="C57" s="63"/>
      <c r="D57" s="63"/>
      <c r="E57" s="63"/>
      <c r="F57" s="64" t="s">
        <v>5767</v>
      </c>
      <c r="G57" s="65" t="n">
        <f aca="false">SUM(G2:G56)</f>
        <v>2934269.72</v>
      </c>
      <c r="H57" s="63"/>
      <c r="I57" s="63"/>
      <c r="J57" s="63"/>
      <c r="K57" s="63"/>
      <c r="L57" s="63"/>
      <c r="M57" s="63"/>
    </row>
  </sheetData>
  <autoFilter ref="A1:M5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93" activeCellId="0" sqref="G93"/>
    </sheetView>
  </sheetViews>
  <sheetFormatPr defaultColWidth="91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70"/>
    <col collapsed="false" customWidth="true" hidden="false" outlineLevel="0" max="6" min="6" style="0" width="13"/>
    <col collapsed="false" customWidth="true" hidden="false" outlineLevel="0" max="8" min="7" style="0" width="17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3" min="13" style="0" width="46"/>
  </cols>
  <sheetData>
    <row r="1" customFormat="false" ht="30" hidden="false" customHeight="true" outlineLevel="0" collapsed="false">
      <c r="A1" s="51" t="s">
        <v>5774</v>
      </c>
      <c r="B1" s="51" t="s">
        <v>5802</v>
      </c>
      <c r="C1" s="51" t="s">
        <v>21</v>
      </c>
      <c r="D1" s="51" t="s">
        <v>5803</v>
      </c>
      <c r="E1" s="51" t="s">
        <v>5804</v>
      </c>
      <c r="F1" s="51" t="s">
        <v>5805</v>
      </c>
      <c r="G1" s="51" t="s">
        <v>5806</v>
      </c>
      <c r="H1" s="51" t="s">
        <v>5807</v>
      </c>
      <c r="I1" s="51" t="s">
        <v>5808</v>
      </c>
      <c r="J1" s="51" t="s">
        <v>5809</v>
      </c>
      <c r="K1" s="51" t="s">
        <v>5810</v>
      </c>
      <c r="L1" s="51" t="s">
        <v>5811</v>
      </c>
      <c r="M1" s="51" t="s">
        <v>5812</v>
      </c>
    </row>
    <row r="2" customFormat="false" ht="14.25" hidden="false" customHeight="false" outlineLevel="0" collapsed="false">
      <c r="A2" s="52" t="s">
        <v>5781</v>
      </c>
      <c r="B2" s="52" t="s">
        <v>6011</v>
      </c>
      <c r="C2" s="53" t="n">
        <v>18182</v>
      </c>
      <c r="D2" s="52" t="s">
        <v>1002</v>
      </c>
      <c r="E2" s="52" t="s">
        <v>1003</v>
      </c>
      <c r="F2" s="54" t="n">
        <v>2</v>
      </c>
      <c r="G2" s="55" t="n">
        <v>4023.18</v>
      </c>
      <c r="H2" s="55" t="n">
        <v>2011.59</v>
      </c>
      <c r="I2" s="55" t="n">
        <v>2011.59</v>
      </c>
      <c r="J2" s="52" t="s">
        <v>5816</v>
      </c>
      <c r="K2" s="56" t="n">
        <v>1</v>
      </c>
      <c r="L2" s="52" t="s">
        <v>5816</v>
      </c>
      <c r="M2" s="52" t="s">
        <v>170</v>
      </c>
    </row>
    <row r="3" customFormat="false" ht="14.25" hidden="false" customHeight="false" outlineLevel="0" collapsed="false">
      <c r="A3" s="52" t="s">
        <v>5781</v>
      </c>
      <c r="B3" s="52" t="s">
        <v>6011</v>
      </c>
      <c r="C3" s="53" t="n">
        <v>18853</v>
      </c>
      <c r="D3" s="52" t="s">
        <v>1655</v>
      </c>
      <c r="E3" s="52" t="s">
        <v>1656</v>
      </c>
      <c r="F3" s="54" t="n">
        <v>150</v>
      </c>
      <c r="G3" s="55" t="n">
        <v>602.46</v>
      </c>
      <c r="H3" s="55" t="n">
        <v>4.0164</v>
      </c>
      <c r="I3" s="55" t="n">
        <v>4.0164</v>
      </c>
      <c r="J3" s="52" t="s">
        <v>5814</v>
      </c>
      <c r="K3" s="56" t="n">
        <v>1</v>
      </c>
      <c r="L3" s="52" t="s">
        <v>5814</v>
      </c>
      <c r="M3" s="52" t="s">
        <v>247</v>
      </c>
    </row>
    <row r="4" customFormat="false" ht="14.25" hidden="false" customHeight="false" outlineLevel="0" collapsed="false">
      <c r="A4" s="52" t="s">
        <v>5781</v>
      </c>
      <c r="B4" s="52" t="s">
        <v>6011</v>
      </c>
      <c r="C4" s="53" t="n">
        <v>19215</v>
      </c>
      <c r="D4" s="52" t="s">
        <v>291</v>
      </c>
      <c r="E4" s="52" t="s">
        <v>292</v>
      </c>
      <c r="F4" s="54" t="n">
        <v>48</v>
      </c>
      <c r="G4" s="55" t="n">
        <v>14880</v>
      </c>
      <c r="H4" s="55" t="n">
        <v>310</v>
      </c>
      <c r="I4" s="55" t="n">
        <v>310</v>
      </c>
      <c r="J4" s="52" t="s">
        <v>5816</v>
      </c>
      <c r="K4" s="56" t="n">
        <v>1</v>
      </c>
      <c r="L4" s="52" t="s">
        <v>5816</v>
      </c>
      <c r="M4" s="52" t="s">
        <v>93</v>
      </c>
    </row>
    <row r="5" customFormat="false" ht="14.25" hidden="false" customHeight="false" outlineLevel="0" collapsed="false">
      <c r="A5" s="52" t="s">
        <v>5781</v>
      </c>
      <c r="B5" s="52" t="s">
        <v>6011</v>
      </c>
      <c r="C5" s="53" t="n">
        <v>19240</v>
      </c>
      <c r="D5" s="52" t="s">
        <v>101</v>
      </c>
      <c r="E5" s="52" t="s">
        <v>102</v>
      </c>
      <c r="F5" s="54" t="n">
        <v>105</v>
      </c>
      <c r="G5" s="55" t="n">
        <v>81927.72</v>
      </c>
      <c r="H5" s="55" t="n">
        <v>780.264</v>
      </c>
      <c r="I5" s="55" t="n">
        <v>780.264</v>
      </c>
      <c r="J5" s="52" t="s">
        <v>5816</v>
      </c>
      <c r="K5" s="56" t="n">
        <v>1</v>
      </c>
      <c r="L5" s="52" t="s">
        <v>5816</v>
      </c>
      <c r="M5" s="52" t="s">
        <v>93</v>
      </c>
    </row>
    <row r="6" customFormat="false" ht="14.25" hidden="false" customHeight="false" outlineLevel="0" collapsed="false">
      <c r="A6" s="52" t="s">
        <v>5781</v>
      </c>
      <c r="B6" s="52" t="s">
        <v>6011</v>
      </c>
      <c r="C6" s="53" t="n">
        <v>19247</v>
      </c>
      <c r="D6" s="52" t="s">
        <v>118</v>
      </c>
      <c r="E6" s="52" t="s">
        <v>119</v>
      </c>
      <c r="F6" s="54" t="n">
        <v>80</v>
      </c>
      <c r="G6" s="55" t="n">
        <v>82000</v>
      </c>
      <c r="H6" s="55" t="n">
        <v>1025</v>
      </c>
      <c r="I6" s="55" t="n">
        <v>1025</v>
      </c>
      <c r="J6" s="52" t="s">
        <v>5816</v>
      </c>
      <c r="K6" s="56" t="n">
        <v>1</v>
      </c>
      <c r="L6" s="52" t="s">
        <v>5816</v>
      </c>
      <c r="M6" s="52" t="s">
        <v>93</v>
      </c>
    </row>
    <row r="7" customFormat="false" ht="14.25" hidden="false" customHeight="false" outlineLevel="0" collapsed="false">
      <c r="A7" s="52" t="s">
        <v>5781</v>
      </c>
      <c r="B7" s="52" t="s">
        <v>6011</v>
      </c>
      <c r="C7" s="53" t="n">
        <v>19255</v>
      </c>
      <c r="D7" s="52" t="s">
        <v>151</v>
      </c>
      <c r="E7" s="52" t="s">
        <v>152</v>
      </c>
      <c r="F7" s="54" t="n">
        <v>14</v>
      </c>
      <c r="G7" s="55" t="n">
        <v>28685.02</v>
      </c>
      <c r="H7" s="55" t="n">
        <v>2048.93</v>
      </c>
      <c r="I7" s="55" t="n">
        <v>2048.93</v>
      </c>
      <c r="J7" s="52" t="s">
        <v>5816</v>
      </c>
      <c r="K7" s="56" t="n">
        <v>1</v>
      </c>
      <c r="L7" s="52" t="s">
        <v>5816</v>
      </c>
      <c r="M7" s="52" t="s">
        <v>75</v>
      </c>
    </row>
    <row r="8" customFormat="false" ht="14.25" hidden="false" customHeight="false" outlineLevel="0" collapsed="false">
      <c r="A8" s="52" t="s">
        <v>5781</v>
      </c>
      <c r="B8" s="52" t="s">
        <v>6011</v>
      </c>
      <c r="C8" s="53" t="n">
        <v>19272</v>
      </c>
      <c r="D8" s="52" t="s">
        <v>1419</v>
      </c>
      <c r="E8" s="52" t="s">
        <v>1420</v>
      </c>
      <c r="F8" s="54" t="n">
        <v>3</v>
      </c>
      <c r="G8" s="55" t="n">
        <v>2396.4099</v>
      </c>
      <c r="H8" s="55" t="n">
        <v>798.8033</v>
      </c>
      <c r="I8" s="55" t="n">
        <v>798.8033</v>
      </c>
      <c r="J8" s="52" t="s">
        <v>5816</v>
      </c>
      <c r="K8" s="56" t="n">
        <v>1</v>
      </c>
      <c r="L8" s="52" t="s">
        <v>5816</v>
      </c>
      <c r="M8" s="52" t="s">
        <v>75</v>
      </c>
    </row>
    <row r="9" customFormat="false" ht="14.25" hidden="false" customHeight="false" outlineLevel="0" collapsed="false">
      <c r="A9" s="52" t="s">
        <v>5781</v>
      </c>
      <c r="B9" s="52" t="s">
        <v>6011</v>
      </c>
      <c r="C9" s="53" t="n">
        <v>21649</v>
      </c>
      <c r="D9" s="52" t="s">
        <v>141</v>
      </c>
      <c r="E9" s="52" t="s">
        <v>142</v>
      </c>
      <c r="F9" s="54" t="n">
        <v>17</v>
      </c>
      <c r="G9" s="55" t="n">
        <v>40442.0004</v>
      </c>
      <c r="H9" s="55" t="n">
        <v>2378.9412</v>
      </c>
      <c r="I9" s="55" t="n">
        <v>2378.9412</v>
      </c>
      <c r="J9" s="52" t="s">
        <v>5816</v>
      </c>
      <c r="K9" s="56" t="n">
        <v>1</v>
      </c>
      <c r="L9" s="52" t="s">
        <v>5816</v>
      </c>
      <c r="M9" s="52" t="s">
        <v>90</v>
      </c>
    </row>
    <row r="10" customFormat="false" ht="14.25" hidden="false" customHeight="false" outlineLevel="0" collapsed="false">
      <c r="A10" s="52" t="s">
        <v>5781</v>
      </c>
      <c r="B10" s="52" t="s">
        <v>6011</v>
      </c>
      <c r="C10" s="53" t="n">
        <v>22157</v>
      </c>
      <c r="D10" s="52" t="s">
        <v>73</v>
      </c>
      <c r="E10" s="52" t="s">
        <v>74</v>
      </c>
      <c r="F10" s="54" t="n">
        <v>44</v>
      </c>
      <c r="G10" s="55" t="n">
        <v>127377.6812</v>
      </c>
      <c r="H10" s="55" t="n">
        <v>2894.9473</v>
      </c>
      <c r="I10" s="55" t="n">
        <v>2894.9473</v>
      </c>
      <c r="J10" s="52" t="s">
        <v>5816</v>
      </c>
      <c r="K10" s="56" t="n">
        <v>1</v>
      </c>
      <c r="L10" s="52" t="s">
        <v>5816</v>
      </c>
      <c r="M10" s="52" t="s">
        <v>75</v>
      </c>
    </row>
    <row r="11" customFormat="false" ht="14.25" hidden="false" customHeight="false" outlineLevel="0" collapsed="false">
      <c r="A11" s="52" t="s">
        <v>5781</v>
      </c>
      <c r="B11" s="52" t="s">
        <v>6011</v>
      </c>
      <c r="C11" s="53" t="n">
        <v>22163</v>
      </c>
      <c r="D11" s="52" t="s">
        <v>343</v>
      </c>
      <c r="E11" s="52" t="s">
        <v>344</v>
      </c>
      <c r="F11" s="54" t="n">
        <v>9</v>
      </c>
      <c r="G11" s="55" t="n">
        <v>17043.39</v>
      </c>
      <c r="H11" s="55" t="n">
        <v>1893.71</v>
      </c>
      <c r="I11" s="55" t="n">
        <v>1893.71</v>
      </c>
      <c r="J11" s="52" t="s">
        <v>5816</v>
      </c>
      <c r="K11" s="56" t="n">
        <v>1</v>
      </c>
      <c r="L11" s="52" t="s">
        <v>5816</v>
      </c>
      <c r="M11" s="52" t="s">
        <v>75</v>
      </c>
    </row>
    <row r="12" customFormat="false" ht="14.25" hidden="false" customHeight="false" outlineLevel="0" collapsed="false">
      <c r="A12" s="52" t="s">
        <v>5781</v>
      </c>
      <c r="B12" s="52" t="s">
        <v>6011</v>
      </c>
      <c r="C12" s="53" t="n">
        <v>22239</v>
      </c>
      <c r="D12" s="52" t="s">
        <v>679</v>
      </c>
      <c r="E12" s="52" t="s">
        <v>680</v>
      </c>
      <c r="F12" s="54" t="n">
        <v>2</v>
      </c>
      <c r="G12" s="55" t="n">
        <v>7336.78</v>
      </c>
      <c r="H12" s="55" t="n">
        <v>3668.39</v>
      </c>
      <c r="I12" s="55" t="n">
        <v>3668.39</v>
      </c>
      <c r="J12" s="52" t="s">
        <v>5816</v>
      </c>
      <c r="K12" s="56" t="n">
        <v>1</v>
      </c>
      <c r="L12" s="52" t="s">
        <v>5816</v>
      </c>
      <c r="M12" s="52" t="s">
        <v>130</v>
      </c>
    </row>
    <row r="13" customFormat="false" ht="14.25" hidden="false" customHeight="false" outlineLevel="0" collapsed="false">
      <c r="A13" s="52" t="s">
        <v>5781</v>
      </c>
      <c r="B13" s="52" t="s">
        <v>6011</v>
      </c>
      <c r="C13" s="53" t="n">
        <v>32009</v>
      </c>
      <c r="D13" s="52" t="s">
        <v>1739</v>
      </c>
      <c r="E13" s="52" t="s">
        <v>1740</v>
      </c>
      <c r="F13" s="54" t="n">
        <v>1</v>
      </c>
      <c r="G13" s="55" t="n">
        <v>1648.75</v>
      </c>
      <c r="H13" s="55" t="n">
        <v>1648.75</v>
      </c>
      <c r="I13" s="55" t="n">
        <v>1648.75</v>
      </c>
      <c r="J13" s="52" t="s">
        <v>5816</v>
      </c>
      <c r="K13" s="56" t="n">
        <v>1</v>
      </c>
      <c r="L13" s="52" t="s">
        <v>5816</v>
      </c>
      <c r="M13" s="52" t="s">
        <v>75</v>
      </c>
    </row>
    <row r="14" customFormat="false" ht="14.25" hidden="false" customHeight="false" outlineLevel="0" collapsed="false">
      <c r="A14" s="52" t="s">
        <v>5781</v>
      </c>
      <c r="B14" s="52" t="s">
        <v>6011</v>
      </c>
      <c r="C14" s="53" t="n">
        <v>32022</v>
      </c>
      <c r="D14" s="52" t="s">
        <v>689</v>
      </c>
      <c r="E14" s="52" t="s">
        <v>690</v>
      </c>
      <c r="F14" s="54" t="n">
        <v>2</v>
      </c>
      <c r="G14" s="55" t="n">
        <v>7200</v>
      </c>
      <c r="H14" s="55" t="n">
        <v>3600</v>
      </c>
      <c r="I14" s="55" t="n">
        <v>3600</v>
      </c>
      <c r="J14" s="52" t="s">
        <v>5816</v>
      </c>
      <c r="K14" s="56" t="n">
        <v>1</v>
      </c>
      <c r="L14" s="52" t="s">
        <v>5816</v>
      </c>
      <c r="M14" s="52" t="s">
        <v>75</v>
      </c>
    </row>
    <row r="15" customFormat="false" ht="14.25" hidden="false" customHeight="false" outlineLevel="0" collapsed="false">
      <c r="A15" s="52" t="s">
        <v>5781</v>
      </c>
      <c r="B15" s="52" t="s">
        <v>6011</v>
      </c>
      <c r="C15" s="53" t="n">
        <v>34228</v>
      </c>
      <c r="D15" s="52" t="s">
        <v>421</v>
      </c>
      <c r="E15" s="52" t="s">
        <v>422</v>
      </c>
      <c r="F15" s="54" t="n">
        <v>3</v>
      </c>
      <c r="G15" s="55" t="n">
        <v>13650</v>
      </c>
      <c r="H15" s="55" t="n">
        <v>4550</v>
      </c>
      <c r="I15" s="55" t="n">
        <v>4550</v>
      </c>
      <c r="J15" s="52" t="s">
        <v>5816</v>
      </c>
      <c r="K15" s="56" t="n">
        <v>1</v>
      </c>
      <c r="L15" s="52" t="s">
        <v>5816</v>
      </c>
      <c r="M15" s="52" t="s">
        <v>363</v>
      </c>
    </row>
    <row r="16" customFormat="false" ht="14.25" hidden="false" customHeight="false" outlineLevel="0" collapsed="false">
      <c r="A16" s="52" t="s">
        <v>5781</v>
      </c>
      <c r="B16" s="52" t="s">
        <v>6011</v>
      </c>
      <c r="C16" s="53" t="n">
        <v>34380</v>
      </c>
      <c r="D16" s="52" t="s">
        <v>765</v>
      </c>
      <c r="E16" s="52" t="s">
        <v>766</v>
      </c>
      <c r="F16" s="54" t="n">
        <v>1</v>
      </c>
      <c r="G16" s="55" t="n">
        <v>6400</v>
      </c>
      <c r="H16" s="55" t="n">
        <v>6400</v>
      </c>
      <c r="I16" s="55" t="n">
        <v>6400</v>
      </c>
      <c r="J16" s="52" t="s">
        <v>5816</v>
      </c>
      <c r="K16" s="56" t="n">
        <v>1</v>
      </c>
      <c r="L16" s="52" t="s">
        <v>5816</v>
      </c>
      <c r="M16" s="52" t="s">
        <v>722</v>
      </c>
    </row>
    <row r="17" customFormat="false" ht="14.25" hidden="false" customHeight="false" outlineLevel="0" collapsed="false">
      <c r="A17" s="52" t="s">
        <v>5781</v>
      </c>
      <c r="B17" s="52" t="s">
        <v>6011</v>
      </c>
      <c r="C17" s="53" t="n">
        <v>35056</v>
      </c>
      <c r="D17" s="52" t="s">
        <v>3753</v>
      </c>
      <c r="E17" s="52" t="s">
        <v>3754</v>
      </c>
      <c r="F17" s="54" t="n">
        <v>4</v>
      </c>
      <c r="G17" s="55" t="n">
        <v>86.88</v>
      </c>
      <c r="H17" s="55" t="n">
        <v>21.72</v>
      </c>
      <c r="I17" s="55" t="n">
        <v>21.72</v>
      </c>
      <c r="J17" s="52" t="s">
        <v>5816</v>
      </c>
      <c r="K17" s="56" t="n">
        <v>1</v>
      </c>
      <c r="L17" s="52" t="s">
        <v>5816</v>
      </c>
      <c r="M17" s="52" t="s">
        <v>247</v>
      </c>
    </row>
    <row r="18" customFormat="false" ht="14.25" hidden="false" customHeight="false" outlineLevel="0" collapsed="false">
      <c r="A18" s="52" t="s">
        <v>5781</v>
      </c>
      <c r="B18" s="52" t="s">
        <v>6011</v>
      </c>
      <c r="C18" s="53" t="n">
        <v>35350</v>
      </c>
      <c r="D18" s="52" t="s">
        <v>827</v>
      </c>
      <c r="E18" s="52" t="s">
        <v>828</v>
      </c>
      <c r="F18" s="54" t="n">
        <v>2</v>
      </c>
      <c r="G18" s="55" t="n">
        <v>5778</v>
      </c>
      <c r="H18" s="55" t="n">
        <v>2889</v>
      </c>
      <c r="I18" s="55" t="n">
        <v>2889</v>
      </c>
      <c r="J18" s="52" t="s">
        <v>5816</v>
      </c>
      <c r="K18" s="56" t="n">
        <v>1</v>
      </c>
      <c r="L18" s="52" t="s">
        <v>5816</v>
      </c>
      <c r="M18" s="52" t="s">
        <v>75</v>
      </c>
    </row>
    <row r="19" customFormat="false" ht="14.25" hidden="false" customHeight="false" outlineLevel="0" collapsed="false">
      <c r="A19" s="52" t="s">
        <v>5781</v>
      </c>
      <c r="B19" s="52" t="s">
        <v>6011</v>
      </c>
      <c r="C19" s="53" t="n">
        <v>54997</v>
      </c>
      <c r="D19" s="52" t="s">
        <v>904</v>
      </c>
      <c r="E19" s="52" t="s">
        <v>905</v>
      </c>
      <c r="F19" s="54" t="n">
        <v>2</v>
      </c>
      <c r="G19" s="55" t="n">
        <v>5000</v>
      </c>
      <c r="H19" s="55" t="n">
        <v>2500</v>
      </c>
      <c r="I19" s="55" t="n">
        <v>2500</v>
      </c>
      <c r="J19" s="52" t="s">
        <v>5816</v>
      </c>
      <c r="K19" s="56" t="n">
        <v>1</v>
      </c>
      <c r="L19" s="52" t="s">
        <v>5816</v>
      </c>
      <c r="M19" s="52" t="s">
        <v>35</v>
      </c>
    </row>
    <row r="20" customFormat="false" ht="14.25" hidden="false" customHeight="false" outlineLevel="0" collapsed="false">
      <c r="A20" s="52" t="s">
        <v>5781</v>
      </c>
      <c r="B20" s="52" t="s">
        <v>6011</v>
      </c>
      <c r="C20" s="53" t="n">
        <v>55180</v>
      </c>
      <c r="D20" s="52" t="s">
        <v>561</v>
      </c>
      <c r="E20" s="52" t="s">
        <v>562</v>
      </c>
      <c r="F20" s="54" t="n">
        <v>3</v>
      </c>
      <c r="G20" s="55" t="n">
        <v>9597</v>
      </c>
      <c r="H20" s="55" t="n">
        <v>3199</v>
      </c>
      <c r="I20" s="55" t="n">
        <v>3199</v>
      </c>
      <c r="J20" s="52" t="s">
        <v>5816</v>
      </c>
      <c r="K20" s="56" t="n">
        <v>1</v>
      </c>
      <c r="L20" s="52" t="s">
        <v>5816</v>
      </c>
      <c r="M20" s="52" t="s">
        <v>563</v>
      </c>
    </row>
    <row r="21" customFormat="false" ht="14.25" hidden="false" customHeight="false" outlineLevel="0" collapsed="false">
      <c r="A21" s="52" t="s">
        <v>5781</v>
      </c>
      <c r="B21" s="52" t="s">
        <v>6011</v>
      </c>
      <c r="C21" s="53" t="n">
        <v>55182</v>
      </c>
      <c r="D21" s="52" t="s">
        <v>896</v>
      </c>
      <c r="E21" s="52" t="s">
        <v>897</v>
      </c>
      <c r="F21" s="54" t="n">
        <v>3</v>
      </c>
      <c r="G21" s="55" t="n">
        <v>5028</v>
      </c>
      <c r="H21" s="55" t="n">
        <v>1676</v>
      </c>
      <c r="I21" s="55" t="n">
        <v>1676</v>
      </c>
      <c r="J21" s="52" t="s">
        <v>5816</v>
      </c>
      <c r="K21" s="56" t="n">
        <v>1</v>
      </c>
      <c r="L21" s="52" t="s">
        <v>5816</v>
      </c>
      <c r="M21" s="52" t="s">
        <v>563</v>
      </c>
    </row>
    <row r="22" customFormat="false" ht="14.25" hidden="false" customHeight="false" outlineLevel="0" collapsed="false">
      <c r="A22" s="52" t="s">
        <v>5781</v>
      </c>
      <c r="B22" s="52" t="s">
        <v>6011</v>
      </c>
      <c r="C22" s="53" t="n">
        <v>55644</v>
      </c>
      <c r="D22" s="52" t="s">
        <v>676</v>
      </c>
      <c r="E22" s="52" t="s">
        <v>677</v>
      </c>
      <c r="F22" s="54" t="n">
        <v>2</v>
      </c>
      <c r="G22" s="55" t="n">
        <v>7360</v>
      </c>
      <c r="H22" s="55" t="n">
        <v>3680</v>
      </c>
      <c r="I22" s="55" t="n">
        <v>3680</v>
      </c>
      <c r="J22" s="52" t="s">
        <v>5816</v>
      </c>
      <c r="K22" s="56" t="n">
        <v>1</v>
      </c>
      <c r="L22" s="52" t="s">
        <v>5816</v>
      </c>
      <c r="M22" s="52" t="s">
        <v>678</v>
      </c>
    </row>
    <row r="23" customFormat="false" ht="14.25" hidden="false" customHeight="false" outlineLevel="0" collapsed="false">
      <c r="A23" s="52" t="s">
        <v>5781</v>
      </c>
      <c r="B23" s="52" t="s">
        <v>6011</v>
      </c>
      <c r="C23" s="53" t="n">
        <v>55678</v>
      </c>
      <c r="D23" s="52" t="s">
        <v>577</v>
      </c>
      <c r="E23" s="52" t="s">
        <v>578</v>
      </c>
      <c r="F23" s="54" t="n">
        <v>2</v>
      </c>
      <c r="G23" s="55" t="n">
        <v>9399.98</v>
      </c>
      <c r="H23" s="55" t="n">
        <v>4699.99</v>
      </c>
      <c r="I23" s="55" t="n">
        <v>4699.99</v>
      </c>
      <c r="J23" s="52" t="s">
        <v>5816</v>
      </c>
      <c r="K23" s="56" t="n">
        <v>1</v>
      </c>
      <c r="L23" s="52" t="s">
        <v>5816</v>
      </c>
      <c r="M23" s="52" t="s">
        <v>35</v>
      </c>
    </row>
    <row r="24" customFormat="false" ht="14.25" hidden="false" customHeight="false" outlineLevel="0" collapsed="false">
      <c r="A24" s="52" t="s">
        <v>5781</v>
      </c>
      <c r="B24" s="52" t="s">
        <v>6011</v>
      </c>
      <c r="C24" s="53" t="n">
        <v>66128</v>
      </c>
      <c r="D24" s="52" t="s">
        <v>91</v>
      </c>
      <c r="E24" s="52" t="s">
        <v>92</v>
      </c>
      <c r="F24" s="54" t="n">
        <v>320</v>
      </c>
      <c r="G24" s="55" t="n">
        <v>103200</v>
      </c>
      <c r="H24" s="55" t="n">
        <v>322.5</v>
      </c>
      <c r="I24" s="55" t="n">
        <v>322.5</v>
      </c>
      <c r="J24" s="52" t="s">
        <v>5816</v>
      </c>
      <c r="K24" s="56" t="n">
        <v>1</v>
      </c>
      <c r="L24" s="52" t="s">
        <v>5816</v>
      </c>
      <c r="M24" s="52" t="s">
        <v>93</v>
      </c>
    </row>
    <row r="25" customFormat="false" ht="14.25" hidden="false" customHeight="false" outlineLevel="0" collapsed="false">
      <c r="A25" s="52" t="s">
        <v>5781</v>
      </c>
      <c r="B25" s="52" t="s">
        <v>6011</v>
      </c>
      <c r="C25" s="53" t="n">
        <v>140281</v>
      </c>
      <c r="D25" s="52" t="s">
        <v>460</v>
      </c>
      <c r="E25" s="52" t="s">
        <v>461</v>
      </c>
      <c r="F25" s="54" t="n">
        <v>2</v>
      </c>
      <c r="G25" s="55" t="n">
        <v>11980</v>
      </c>
      <c r="H25" s="55" t="n">
        <v>5990</v>
      </c>
      <c r="I25" s="55" t="n">
        <v>5990</v>
      </c>
      <c r="J25" s="52" t="s">
        <v>5816</v>
      </c>
      <c r="K25" s="56" t="n">
        <v>1</v>
      </c>
      <c r="L25" s="52" t="s">
        <v>5816</v>
      </c>
      <c r="M25" s="52" t="s">
        <v>38</v>
      </c>
    </row>
    <row r="26" customFormat="false" ht="14.25" hidden="false" customHeight="false" outlineLevel="0" collapsed="false">
      <c r="A26" s="52" t="s">
        <v>5781</v>
      </c>
      <c r="B26" s="52" t="s">
        <v>6011</v>
      </c>
      <c r="C26" s="53" t="n">
        <v>141242</v>
      </c>
      <c r="D26" s="52" t="s">
        <v>531</v>
      </c>
      <c r="E26" s="52" t="s">
        <v>532</v>
      </c>
      <c r="F26" s="54" t="n">
        <v>2</v>
      </c>
      <c r="G26" s="55" t="n">
        <v>10208</v>
      </c>
      <c r="H26" s="55" t="n">
        <v>5104</v>
      </c>
      <c r="I26" s="55" t="n">
        <v>5104</v>
      </c>
      <c r="J26" s="52" t="s">
        <v>5816</v>
      </c>
      <c r="K26" s="56" t="n">
        <v>1</v>
      </c>
      <c r="L26" s="52" t="s">
        <v>5816</v>
      </c>
      <c r="M26" s="52" t="s">
        <v>35</v>
      </c>
    </row>
    <row r="27" customFormat="false" ht="14.25" hidden="false" customHeight="false" outlineLevel="0" collapsed="false">
      <c r="A27" s="52" t="s">
        <v>5781</v>
      </c>
      <c r="B27" s="52" t="s">
        <v>6011</v>
      </c>
      <c r="C27" s="53" t="n">
        <v>143183</v>
      </c>
      <c r="D27" s="52" t="s">
        <v>710</v>
      </c>
      <c r="E27" s="52" t="s">
        <v>6012</v>
      </c>
      <c r="F27" s="54" t="n">
        <v>1</v>
      </c>
      <c r="G27" s="55" t="n">
        <v>6980</v>
      </c>
      <c r="H27" s="55" t="n">
        <v>6980</v>
      </c>
      <c r="I27" s="55" t="n">
        <v>6980</v>
      </c>
      <c r="J27" s="52" t="s">
        <v>5816</v>
      </c>
      <c r="K27" s="56" t="n">
        <v>1</v>
      </c>
      <c r="L27" s="52" t="s">
        <v>5816</v>
      </c>
      <c r="M27" s="52" t="s">
        <v>262</v>
      </c>
    </row>
    <row r="28" customFormat="false" ht="14.25" hidden="false" customHeight="false" outlineLevel="0" collapsed="false">
      <c r="A28" s="52" t="s">
        <v>5781</v>
      </c>
      <c r="B28" s="52" t="s">
        <v>6011</v>
      </c>
      <c r="C28" s="53" t="n">
        <v>143904</v>
      </c>
      <c r="D28" s="52" t="s">
        <v>2213</v>
      </c>
      <c r="E28" s="52" t="s">
        <v>2214</v>
      </c>
      <c r="F28" s="54" t="n">
        <v>2</v>
      </c>
      <c r="G28" s="55" t="n">
        <v>524.52</v>
      </c>
      <c r="H28" s="55" t="n">
        <v>262.26</v>
      </c>
      <c r="I28" s="55" t="n">
        <v>262.26</v>
      </c>
      <c r="J28" s="52" t="s">
        <v>5816</v>
      </c>
      <c r="K28" s="56" t="n">
        <v>1</v>
      </c>
      <c r="L28" s="52" t="s">
        <v>5816</v>
      </c>
      <c r="M28" s="52" t="s">
        <v>247</v>
      </c>
    </row>
    <row r="29" customFormat="false" ht="14.25" hidden="false" customHeight="false" outlineLevel="0" collapsed="false">
      <c r="A29" s="52" t="s">
        <v>5781</v>
      </c>
      <c r="B29" s="52" t="s">
        <v>6011</v>
      </c>
      <c r="C29" s="53" t="n">
        <v>143914</v>
      </c>
      <c r="D29" s="52" t="s">
        <v>1564</v>
      </c>
      <c r="E29" s="52" t="s">
        <v>1565</v>
      </c>
      <c r="F29" s="54" t="n">
        <v>2</v>
      </c>
      <c r="G29" s="55" t="n">
        <v>242.51</v>
      </c>
      <c r="H29" s="55" t="n">
        <v>121.255</v>
      </c>
      <c r="I29" s="55" t="n">
        <v>121.255</v>
      </c>
      <c r="J29" s="52" t="s">
        <v>5816</v>
      </c>
      <c r="K29" s="56" t="n">
        <v>1</v>
      </c>
      <c r="L29" s="52" t="s">
        <v>5816</v>
      </c>
      <c r="M29" s="52" t="s">
        <v>247</v>
      </c>
    </row>
    <row r="30" customFormat="false" ht="14.25" hidden="false" customHeight="false" outlineLevel="0" collapsed="false">
      <c r="A30" s="52" t="s">
        <v>5781</v>
      </c>
      <c r="B30" s="52" t="s">
        <v>6011</v>
      </c>
      <c r="C30" s="53" t="n">
        <v>221251</v>
      </c>
      <c r="D30" s="52" t="s">
        <v>1456</v>
      </c>
      <c r="E30" s="52" t="s">
        <v>1457</v>
      </c>
      <c r="F30" s="54" t="n">
        <v>2</v>
      </c>
      <c r="G30" s="55" t="n">
        <v>2272.9</v>
      </c>
      <c r="H30" s="55" t="n">
        <v>1136.45</v>
      </c>
      <c r="I30" s="55" t="n">
        <v>1136.45</v>
      </c>
      <c r="J30" s="52" t="s">
        <v>5816</v>
      </c>
      <c r="K30" s="56" t="n">
        <v>1</v>
      </c>
      <c r="L30" s="52" t="s">
        <v>5816</v>
      </c>
      <c r="M30" s="52" t="s">
        <v>113</v>
      </c>
    </row>
    <row r="31" customFormat="false" ht="14.25" hidden="false" customHeight="false" outlineLevel="0" collapsed="false">
      <c r="A31" s="52" t="s">
        <v>5781</v>
      </c>
      <c r="B31" s="52" t="s">
        <v>6011</v>
      </c>
      <c r="C31" s="53" t="n">
        <v>222896</v>
      </c>
      <c r="D31" s="52" t="s">
        <v>838</v>
      </c>
      <c r="E31" s="52" t="s">
        <v>839</v>
      </c>
      <c r="F31" s="54" t="n">
        <v>6</v>
      </c>
      <c r="G31" s="55" t="n">
        <v>5640</v>
      </c>
      <c r="H31" s="55" t="n">
        <v>940</v>
      </c>
      <c r="I31" s="55" t="n">
        <v>940</v>
      </c>
      <c r="J31" s="52" t="s">
        <v>5816</v>
      </c>
      <c r="K31" s="56" t="n">
        <v>1</v>
      </c>
      <c r="L31" s="52" t="s">
        <v>5816</v>
      </c>
      <c r="M31" s="52" t="s">
        <v>75</v>
      </c>
    </row>
    <row r="32" customFormat="false" ht="14.25" hidden="false" customHeight="false" outlineLevel="0" collapsed="false">
      <c r="A32" s="52" t="s">
        <v>5781</v>
      </c>
      <c r="B32" s="52" t="s">
        <v>6011</v>
      </c>
      <c r="C32" s="53" t="n">
        <v>226627</v>
      </c>
      <c r="D32" s="52" t="s">
        <v>591</v>
      </c>
      <c r="E32" s="52" t="s">
        <v>592</v>
      </c>
      <c r="F32" s="54" t="n">
        <v>5</v>
      </c>
      <c r="G32" s="55" t="n">
        <v>8995</v>
      </c>
      <c r="H32" s="55" t="n">
        <v>1799</v>
      </c>
      <c r="I32" s="55" t="n">
        <v>1799</v>
      </c>
      <c r="J32" s="52" t="s">
        <v>5816</v>
      </c>
      <c r="K32" s="56" t="n">
        <v>1</v>
      </c>
      <c r="L32" s="52" t="s">
        <v>5816</v>
      </c>
      <c r="M32" s="52" t="s">
        <v>75</v>
      </c>
    </row>
    <row r="33" customFormat="false" ht="14.25" hidden="false" customHeight="false" outlineLevel="0" collapsed="false">
      <c r="A33" s="52" t="s">
        <v>5781</v>
      </c>
      <c r="B33" s="52" t="s">
        <v>6011</v>
      </c>
      <c r="C33" s="53" t="n">
        <v>228877</v>
      </c>
      <c r="D33" s="52" t="s">
        <v>541</v>
      </c>
      <c r="E33" s="52" t="s">
        <v>542</v>
      </c>
      <c r="F33" s="54" t="n">
        <v>2</v>
      </c>
      <c r="G33" s="55" t="n">
        <v>9960</v>
      </c>
      <c r="H33" s="55" t="n">
        <v>4980</v>
      </c>
      <c r="I33" s="55" t="n">
        <v>4980</v>
      </c>
      <c r="J33" s="52" t="s">
        <v>5816</v>
      </c>
      <c r="K33" s="56" t="n">
        <v>1</v>
      </c>
      <c r="L33" s="52" t="s">
        <v>5816</v>
      </c>
      <c r="M33" s="52" t="s">
        <v>100</v>
      </c>
    </row>
    <row r="34" customFormat="false" ht="14.25" hidden="false" customHeight="false" outlineLevel="0" collapsed="false">
      <c r="A34" s="52" t="s">
        <v>5781</v>
      </c>
      <c r="B34" s="52" t="s">
        <v>6011</v>
      </c>
      <c r="C34" s="53" t="n">
        <v>230162</v>
      </c>
      <c r="D34" s="52" t="s">
        <v>3343</v>
      </c>
      <c r="E34" s="52" t="s">
        <v>3344</v>
      </c>
      <c r="F34" s="54" t="n">
        <v>6</v>
      </c>
      <c r="G34" s="55" t="n">
        <v>184.86</v>
      </c>
      <c r="H34" s="55" t="n">
        <v>30.81</v>
      </c>
      <c r="I34" s="55" t="n">
        <v>30.81</v>
      </c>
      <c r="J34" s="52" t="s">
        <v>5816</v>
      </c>
      <c r="K34" s="56" t="n">
        <v>1</v>
      </c>
      <c r="L34" s="52" t="s">
        <v>5816</v>
      </c>
      <c r="M34" s="52" t="s">
        <v>247</v>
      </c>
    </row>
    <row r="35" customFormat="false" ht="14.25" hidden="false" customHeight="false" outlineLevel="0" collapsed="false">
      <c r="A35" s="52" t="s">
        <v>5781</v>
      </c>
      <c r="B35" s="52" t="s">
        <v>6011</v>
      </c>
      <c r="C35" s="53" t="n">
        <v>277123</v>
      </c>
      <c r="D35" s="52" t="s">
        <v>483</v>
      </c>
      <c r="E35" s="52" t="s">
        <v>484</v>
      </c>
      <c r="F35" s="54" t="n">
        <v>6</v>
      </c>
      <c r="G35" s="55" t="n">
        <v>11394</v>
      </c>
      <c r="H35" s="55" t="n">
        <v>1899</v>
      </c>
      <c r="I35" s="55" t="n">
        <v>1899</v>
      </c>
      <c r="J35" s="52" t="s">
        <v>5816</v>
      </c>
      <c r="K35" s="56" t="n">
        <v>1</v>
      </c>
      <c r="L35" s="52" t="s">
        <v>5816</v>
      </c>
      <c r="M35" s="52" t="s">
        <v>75</v>
      </c>
    </row>
    <row r="36" customFormat="false" ht="14.25" hidden="false" customHeight="false" outlineLevel="0" collapsed="false">
      <c r="A36" s="52" t="s">
        <v>5781</v>
      </c>
      <c r="B36" s="52" t="s">
        <v>6011</v>
      </c>
      <c r="C36" s="53" t="n">
        <v>289184</v>
      </c>
      <c r="D36" s="52" t="s">
        <v>1296</v>
      </c>
      <c r="E36" s="52" t="s">
        <v>6013</v>
      </c>
      <c r="F36" s="54" t="n">
        <v>2</v>
      </c>
      <c r="G36" s="55" t="n">
        <v>2649.04</v>
      </c>
      <c r="H36" s="55" t="n">
        <v>1324.52</v>
      </c>
      <c r="I36" s="55" t="n">
        <v>1324.52</v>
      </c>
      <c r="J36" s="52" t="s">
        <v>5816</v>
      </c>
      <c r="K36" s="56" t="n">
        <v>1</v>
      </c>
      <c r="L36" s="52" t="s">
        <v>5816</v>
      </c>
      <c r="M36" s="52" t="s">
        <v>247</v>
      </c>
    </row>
    <row r="37" customFormat="false" ht="14.25" hidden="false" customHeight="false" outlineLevel="0" collapsed="false">
      <c r="A37" s="52" t="s">
        <v>5781</v>
      </c>
      <c r="B37" s="52" t="s">
        <v>6011</v>
      </c>
      <c r="C37" s="53" t="n">
        <v>289185</v>
      </c>
      <c r="D37" s="52" t="s">
        <v>1182</v>
      </c>
      <c r="E37" s="52" t="s">
        <v>6014</v>
      </c>
      <c r="F37" s="54" t="n">
        <v>2</v>
      </c>
      <c r="G37" s="55" t="n">
        <v>3017.32</v>
      </c>
      <c r="H37" s="55" t="n">
        <v>1508.66</v>
      </c>
      <c r="I37" s="55" t="n">
        <v>1508.66</v>
      </c>
      <c r="J37" s="52" t="s">
        <v>5816</v>
      </c>
      <c r="K37" s="56" t="n">
        <v>1</v>
      </c>
      <c r="L37" s="52" t="s">
        <v>5816</v>
      </c>
      <c r="M37" s="52" t="s">
        <v>247</v>
      </c>
    </row>
    <row r="38" customFormat="false" ht="14.25" hidden="false" customHeight="false" outlineLevel="0" collapsed="false">
      <c r="A38" s="52" t="s">
        <v>5781</v>
      </c>
      <c r="B38" s="52" t="s">
        <v>6011</v>
      </c>
      <c r="C38" s="53" t="n">
        <v>289886</v>
      </c>
      <c r="D38" s="52" t="s">
        <v>601</v>
      </c>
      <c r="E38" s="52" t="s">
        <v>602</v>
      </c>
      <c r="F38" s="54" t="n">
        <v>1</v>
      </c>
      <c r="G38" s="55" t="n">
        <v>8879.21</v>
      </c>
      <c r="H38" s="55" t="n">
        <v>8879.21</v>
      </c>
      <c r="I38" s="55" t="n">
        <v>8879.21</v>
      </c>
      <c r="J38" s="52" t="s">
        <v>5816</v>
      </c>
      <c r="K38" s="56" t="n">
        <v>1</v>
      </c>
      <c r="L38" s="52" t="s">
        <v>5816</v>
      </c>
      <c r="M38" s="52" t="s">
        <v>170</v>
      </c>
    </row>
    <row r="39" customFormat="false" ht="14.25" hidden="false" customHeight="false" outlineLevel="0" collapsed="false">
      <c r="A39" s="52" t="s">
        <v>5781</v>
      </c>
      <c r="B39" s="52" t="s">
        <v>6011</v>
      </c>
      <c r="C39" s="53" t="n">
        <v>290067</v>
      </c>
      <c r="D39" s="52" t="s">
        <v>872</v>
      </c>
      <c r="E39" s="52" t="s">
        <v>873</v>
      </c>
      <c r="F39" s="54" t="n">
        <v>2</v>
      </c>
      <c r="G39" s="55" t="n">
        <v>5275.31</v>
      </c>
      <c r="H39" s="55" t="n">
        <v>2637.655</v>
      </c>
      <c r="I39" s="55" t="n">
        <v>2637.655</v>
      </c>
      <c r="J39" s="52" t="s">
        <v>5818</v>
      </c>
      <c r="K39" s="56" t="n">
        <v>1</v>
      </c>
      <c r="L39" s="52" t="s">
        <v>5816</v>
      </c>
      <c r="M39" s="52" t="s">
        <v>38</v>
      </c>
    </row>
    <row r="40" customFormat="false" ht="14.25" hidden="false" customHeight="false" outlineLevel="0" collapsed="false">
      <c r="A40" s="52" t="s">
        <v>5781</v>
      </c>
      <c r="B40" s="52" t="s">
        <v>6011</v>
      </c>
      <c r="C40" s="53" t="n">
        <v>290899</v>
      </c>
      <c r="D40" s="52" t="s">
        <v>720</v>
      </c>
      <c r="E40" s="52" t="s">
        <v>721</v>
      </c>
      <c r="F40" s="54" t="n">
        <v>2</v>
      </c>
      <c r="G40" s="55" t="n">
        <v>6883</v>
      </c>
      <c r="H40" s="55" t="n">
        <v>3441.5</v>
      </c>
      <c r="I40" s="55" t="n">
        <v>3441.5</v>
      </c>
      <c r="J40" s="52" t="s">
        <v>5816</v>
      </c>
      <c r="K40" s="56" t="n">
        <v>1</v>
      </c>
      <c r="L40" s="52" t="s">
        <v>5816</v>
      </c>
      <c r="M40" s="52" t="s">
        <v>722</v>
      </c>
    </row>
    <row r="41" customFormat="false" ht="14.25" hidden="false" customHeight="false" outlineLevel="0" collapsed="false">
      <c r="A41" s="52" t="s">
        <v>5781</v>
      </c>
      <c r="B41" s="52" t="s">
        <v>6011</v>
      </c>
      <c r="C41" s="53" t="n">
        <v>291895</v>
      </c>
      <c r="D41" s="52" t="s">
        <v>96</v>
      </c>
      <c r="E41" s="52" t="s">
        <v>97</v>
      </c>
      <c r="F41" s="54" t="n">
        <v>5</v>
      </c>
      <c r="G41" s="55" t="n">
        <v>63710.9</v>
      </c>
      <c r="H41" s="55" t="n">
        <v>12742.18</v>
      </c>
      <c r="I41" s="55" t="n">
        <v>12742.18</v>
      </c>
      <c r="J41" s="52" t="s">
        <v>5816</v>
      </c>
      <c r="K41" s="56" t="n">
        <v>1</v>
      </c>
      <c r="L41" s="52" t="s">
        <v>5816</v>
      </c>
      <c r="M41" s="52" t="s">
        <v>54</v>
      </c>
    </row>
    <row r="42" customFormat="false" ht="14.25" hidden="false" customHeight="false" outlineLevel="0" collapsed="false">
      <c r="A42" s="52" t="s">
        <v>5781</v>
      </c>
      <c r="B42" s="52" t="s">
        <v>6011</v>
      </c>
      <c r="C42" s="53" t="n">
        <v>316328</v>
      </c>
      <c r="D42" s="52" t="s">
        <v>527</v>
      </c>
      <c r="E42" s="52" t="s">
        <v>528</v>
      </c>
      <c r="F42" s="54" t="n">
        <v>2</v>
      </c>
      <c r="G42" s="55" t="n">
        <v>4643.26</v>
      </c>
      <c r="H42" s="55" t="n">
        <v>2321.63</v>
      </c>
      <c r="I42" s="55" t="n">
        <v>2321.63</v>
      </c>
      <c r="J42" s="52" t="s">
        <v>5816</v>
      </c>
      <c r="K42" s="56" t="n">
        <v>1</v>
      </c>
      <c r="L42" s="52" t="s">
        <v>5816</v>
      </c>
      <c r="M42" s="52" t="s">
        <v>75</v>
      </c>
    </row>
    <row r="43" customFormat="false" ht="14.25" hidden="false" customHeight="false" outlineLevel="0" collapsed="false">
      <c r="A43" s="52" t="s">
        <v>5781</v>
      </c>
      <c r="B43" s="52" t="s">
        <v>6011</v>
      </c>
      <c r="C43" s="53" t="n">
        <v>351078</v>
      </c>
      <c r="D43" s="52" t="s">
        <v>1032</v>
      </c>
      <c r="E43" s="52" t="s">
        <v>1033</v>
      </c>
      <c r="F43" s="54" t="n">
        <v>1</v>
      </c>
      <c r="G43" s="55" t="n">
        <v>3761.5</v>
      </c>
      <c r="H43" s="55" t="n">
        <v>3761.5</v>
      </c>
      <c r="I43" s="55" t="n">
        <v>3761.5</v>
      </c>
      <c r="J43" s="52" t="s">
        <v>5816</v>
      </c>
      <c r="K43" s="56" t="n">
        <v>1</v>
      </c>
      <c r="L43" s="52" t="s">
        <v>5816</v>
      </c>
      <c r="M43" s="52" t="s">
        <v>1034</v>
      </c>
    </row>
    <row r="44" customFormat="false" ht="14.25" hidden="false" customHeight="false" outlineLevel="0" collapsed="false">
      <c r="A44" s="52" t="s">
        <v>5781</v>
      </c>
      <c r="B44" s="52" t="s">
        <v>6011</v>
      </c>
      <c r="C44" s="53" t="n">
        <v>352405</v>
      </c>
      <c r="D44" s="52" t="s">
        <v>982</v>
      </c>
      <c r="E44" s="52" t="s">
        <v>983</v>
      </c>
      <c r="F44" s="54" t="n">
        <v>3</v>
      </c>
      <c r="G44" s="55" t="n">
        <v>4214.43</v>
      </c>
      <c r="H44" s="55" t="n">
        <v>1404.81</v>
      </c>
      <c r="I44" s="55" t="n">
        <v>1404.81</v>
      </c>
      <c r="J44" s="52" t="s">
        <v>5816</v>
      </c>
      <c r="K44" s="56" t="n">
        <v>1</v>
      </c>
      <c r="L44" s="52" t="s">
        <v>5816</v>
      </c>
      <c r="M44" s="52" t="s">
        <v>130</v>
      </c>
    </row>
    <row r="45" customFormat="false" ht="14.25" hidden="false" customHeight="false" outlineLevel="0" collapsed="false">
      <c r="A45" s="52" t="s">
        <v>5781</v>
      </c>
      <c r="B45" s="52" t="s">
        <v>6011</v>
      </c>
      <c r="C45" s="53" t="n">
        <v>352407</v>
      </c>
      <c r="D45" s="52" t="s">
        <v>1055</v>
      </c>
      <c r="E45" s="52" t="s">
        <v>1056</v>
      </c>
      <c r="F45" s="54" t="n">
        <v>2</v>
      </c>
      <c r="G45" s="55" t="n">
        <v>3658.48</v>
      </c>
      <c r="H45" s="55" t="n">
        <v>1829.24</v>
      </c>
      <c r="I45" s="55" t="n">
        <v>1829.24</v>
      </c>
      <c r="J45" s="52" t="s">
        <v>5816</v>
      </c>
      <c r="K45" s="56" t="n">
        <v>1</v>
      </c>
      <c r="L45" s="52" t="s">
        <v>5816</v>
      </c>
      <c r="M45" s="52" t="s">
        <v>130</v>
      </c>
    </row>
    <row r="46" customFormat="false" ht="14.25" hidden="false" customHeight="false" outlineLevel="0" collapsed="false">
      <c r="A46" s="52" t="s">
        <v>5781</v>
      </c>
      <c r="B46" s="52" t="s">
        <v>6011</v>
      </c>
      <c r="C46" s="53" t="n">
        <v>386848</v>
      </c>
      <c r="D46" s="52" t="s">
        <v>1176</v>
      </c>
      <c r="E46" s="52" t="s">
        <v>1177</v>
      </c>
      <c r="F46" s="54" t="n">
        <v>1</v>
      </c>
      <c r="G46" s="55" t="n">
        <v>3040.99</v>
      </c>
      <c r="H46" s="55" t="n">
        <v>3040.99</v>
      </c>
      <c r="I46" s="55" t="n">
        <v>3040.99</v>
      </c>
      <c r="J46" s="52" t="s">
        <v>5816</v>
      </c>
      <c r="K46" s="56" t="n">
        <v>1</v>
      </c>
      <c r="L46" s="52" t="s">
        <v>5816</v>
      </c>
      <c r="M46" s="52" t="s">
        <v>363</v>
      </c>
    </row>
    <row r="47" customFormat="false" ht="14.25" hidden="false" customHeight="false" outlineLevel="0" collapsed="false">
      <c r="A47" s="52" t="s">
        <v>5781</v>
      </c>
      <c r="B47" s="52" t="s">
        <v>6011</v>
      </c>
      <c r="C47" s="53" t="n">
        <v>428618</v>
      </c>
      <c r="D47" s="52" t="s">
        <v>220</v>
      </c>
      <c r="E47" s="52" t="s">
        <v>221</v>
      </c>
      <c r="F47" s="54" t="n">
        <v>42</v>
      </c>
      <c r="G47" s="55" t="n">
        <v>32546.0394</v>
      </c>
      <c r="H47" s="55" t="n">
        <v>774.9057</v>
      </c>
      <c r="I47" s="55" t="n">
        <v>774.9057</v>
      </c>
      <c r="J47" s="52" t="s">
        <v>5816</v>
      </c>
      <c r="K47" s="56" t="n">
        <v>1</v>
      </c>
      <c r="L47" s="52" t="s">
        <v>5816</v>
      </c>
      <c r="M47" s="52" t="s">
        <v>93</v>
      </c>
    </row>
    <row r="48" customFormat="false" ht="14.25" hidden="false" customHeight="false" outlineLevel="0" collapsed="false">
      <c r="A48" s="52" t="s">
        <v>5781</v>
      </c>
      <c r="B48" s="52" t="s">
        <v>6011</v>
      </c>
      <c r="C48" s="53" t="n">
        <v>555501</v>
      </c>
      <c r="D48" s="52" t="s">
        <v>1806</v>
      </c>
      <c r="E48" s="52" t="s">
        <v>1807</v>
      </c>
      <c r="F48" s="54" t="n">
        <v>1</v>
      </c>
      <c r="G48" s="55" t="n">
        <v>1554.17</v>
      </c>
      <c r="H48" s="55" t="n">
        <v>1554.17</v>
      </c>
      <c r="I48" s="55" t="n">
        <v>1554.17</v>
      </c>
      <c r="J48" s="52" t="s">
        <v>5816</v>
      </c>
      <c r="K48" s="56" t="n">
        <v>1</v>
      </c>
      <c r="L48" s="52" t="s">
        <v>5816</v>
      </c>
      <c r="M48" s="52" t="s">
        <v>130</v>
      </c>
    </row>
    <row r="49" customFormat="false" ht="14.25" hidden="false" customHeight="false" outlineLevel="0" collapsed="false">
      <c r="A49" s="52" t="s">
        <v>5781</v>
      </c>
      <c r="B49" s="52" t="s">
        <v>6011</v>
      </c>
      <c r="C49" s="53" t="n">
        <v>560975</v>
      </c>
      <c r="D49" s="52" t="s">
        <v>1916</v>
      </c>
      <c r="E49" s="52" t="s">
        <v>1917</v>
      </c>
      <c r="F49" s="54" t="n">
        <v>2</v>
      </c>
      <c r="G49" s="55" t="n">
        <v>1369.9</v>
      </c>
      <c r="H49" s="55" t="n">
        <v>684.95</v>
      </c>
      <c r="I49" s="55" t="n">
        <v>684.95</v>
      </c>
      <c r="J49" s="52" t="s">
        <v>5816</v>
      </c>
      <c r="K49" s="56" t="n">
        <v>1</v>
      </c>
      <c r="L49" s="52" t="s">
        <v>5816</v>
      </c>
      <c r="M49" s="52" t="s">
        <v>835</v>
      </c>
    </row>
    <row r="50" customFormat="false" ht="14.25" hidden="false" customHeight="false" outlineLevel="0" collapsed="false">
      <c r="A50" s="52" t="s">
        <v>5781</v>
      </c>
      <c r="B50" s="52" t="s">
        <v>6011</v>
      </c>
      <c r="C50" s="53" t="n">
        <v>609695</v>
      </c>
      <c r="D50" s="52" t="s">
        <v>489</v>
      </c>
      <c r="E50" s="52" t="s">
        <v>490</v>
      </c>
      <c r="F50" s="54" t="n">
        <v>10</v>
      </c>
      <c r="G50" s="55" t="n">
        <v>11292.9</v>
      </c>
      <c r="H50" s="55" t="n">
        <v>1129.29</v>
      </c>
      <c r="I50" s="55" t="n">
        <v>1129.29</v>
      </c>
      <c r="J50" s="52" t="s">
        <v>5816</v>
      </c>
      <c r="K50" s="56" t="n">
        <v>1</v>
      </c>
      <c r="L50" s="52" t="s">
        <v>5816</v>
      </c>
      <c r="M50" s="52" t="s">
        <v>491</v>
      </c>
    </row>
    <row r="51" customFormat="false" ht="14.25" hidden="false" customHeight="false" outlineLevel="0" collapsed="false">
      <c r="A51" s="52" t="s">
        <v>5781</v>
      </c>
      <c r="B51" s="52" t="s">
        <v>6011</v>
      </c>
      <c r="C51" s="53" t="n">
        <v>653037</v>
      </c>
      <c r="D51" s="52" t="s">
        <v>581</v>
      </c>
      <c r="E51" s="52" t="s">
        <v>582</v>
      </c>
      <c r="F51" s="54" t="n">
        <v>3</v>
      </c>
      <c r="G51" s="55" t="n">
        <v>9355.5</v>
      </c>
      <c r="H51" s="55" t="n">
        <v>3118.5</v>
      </c>
      <c r="I51" s="55" t="n">
        <v>3118.5</v>
      </c>
      <c r="J51" s="52" t="s">
        <v>5816</v>
      </c>
      <c r="K51" s="56" t="n">
        <v>1</v>
      </c>
      <c r="L51" s="52" t="s">
        <v>5816</v>
      </c>
      <c r="M51" s="52" t="s">
        <v>491</v>
      </c>
    </row>
    <row r="52" customFormat="false" ht="14.25" hidden="false" customHeight="false" outlineLevel="0" collapsed="false">
      <c r="A52" s="52" t="s">
        <v>5781</v>
      </c>
      <c r="B52" s="52" t="s">
        <v>6011</v>
      </c>
      <c r="C52" s="53" t="n">
        <v>735630</v>
      </c>
      <c r="D52" s="52" t="s">
        <v>805</v>
      </c>
      <c r="E52" s="52" t="s">
        <v>6015</v>
      </c>
      <c r="F52" s="54" t="n">
        <v>7</v>
      </c>
      <c r="G52" s="55" t="n">
        <v>5906.2</v>
      </c>
      <c r="H52" s="55" t="n">
        <v>843.7429</v>
      </c>
      <c r="I52" s="55" t="n">
        <v>758.1</v>
      </c>
      <c r="J52" s="52" t="s">
        <v>5816</v>
      </c>
      <c r="K52" s="56" t="n">
        <v>1</v>
      </c>
      <c r="L52" s="52" t="s">
        <v>5816</v>
      </c>
      <c r="M52" s="52" t="s">
        <v>113</v>
      </c>
    </row>
    <row r="53" customFormat="false" ht="14.25" hidden="false" customHeight="false" outlineLevel="0" collapsed="false">
      <c r="A53" s="52" t="s">
        <v>5781</v>
      </c>
      <c r="B53" s="52" t="s">
        <v>6011</v>
      </c>
      <c r="C53" s="53" t="n">
        <v>834915</v>
      </c>
      <c r="D53" s="52" t="s">
        <v>1421</v>
      </c>
      <c r="E53" s="52" t="s">
        <v>1422</v>
      </c>
      <c r="F53" s="54" t="n">
        <v>4</v>
      </c>
      <c r="G53" s="55" t="n">
        <v>2391.84</v>
      </c>
      <c r="H53" s="55" t="n">
        <v>597.96</v>
      </c>
      <c r="I53" s="55" t="n">
        <v>597.96</v>
      </c>
      <c r="J53" s="52" t="s">
        <v>5816</v>
      </c>
      <c r="K53" s="56" t="n">
        <v>1</v>
      </c>
      <c r="L53" s="52" t="s">
        <v>5816</v>
      </c>
      <c r="M53" s="52" t="s">
        <v>35</v>
      </c>
    </row>
    <row r="54" customFormat="false" ht="14.25" hidden="false" customHeight="false" outlineLevel="0" collapsed="false">
      <c r="A54" s="52" t="s">
        <v>5781</v>
      </c>
      <c r="B54" s="52" t="s">
        <v>6011</v>
      </c>
      <c r="C54" s="53" t="n">
        <v>838115</v>
      </c>
      <c r="D54" s="52" t="s">
        <v>1417</v>
      </c>
      <c r="E54" s="52" t="s">
        <v>1418</v>
      </c>
      <c r="F54" s="54" t="n">
        <v>1</v>
      </c>
      <c r="G54" s="55" t="n">
        <v>2400</v>
      </c>
      <c r="H54" s="55" t="n">
        <v>2400</v>
      </c>
      <c r="I54" s="55" t="n">
        <v>2400</v>
      </c>
      <c r="J54" s="52" t="s">
        <v>5816</v>
      </c>
      <c r="K54" s="56" t="n">
        <v>1</v>
      </c>
      <c r="L54" s="52" t="s">
        <v>5816</v>
      </c>
      <c r="M54" s="52" t="s">
        <v>1034</v>
      </c>
    </row>
    <row r="55" customFormat="false" ht="14.25" hidden="false" customHeight="false" outlineLevel="0" collapsed="false">
      <c r="A55" s="52" t="s">
        <v>5781</v>
      </c>
      <c r="B55" s="52" t="s">
        <v>6011</v>
      </c>
      <c r="C55" s="53" t="n">
        <v>840056</v>
      </c>
      <c r="D55" s="52" t="s">
        <v>1516</v>
      </c>
      <c r="E55" s="52" t="s">
        <v>1517</v>
      </c>
      <c r="F55" s="54" t="n">
        <v>1</v>
      </c>
      <c r="G55" s="55" t="n">
        <v>2099.95</v>
      </c>
      <c r="H55" s="55" t="n">
        <v>2099.95</v>
      </c>
      <c r="I55" s="55" t="n">
        <v>2099.95</v>
      </c>
      <c r="J55" s="52" t="s">
        <v>5816</v>
      </c>
      <c r="K55" s="56" t="n">
        <v>1</v>
      </c>
      <c r="L55" s="52" t="s">
        <v>5816</v>
      </c>
      <c r="M55" s="52" t="s">
        <v>363</v>
      </c>
    </row>
    <row r="56" customFormat="false" ht="14.25" hidden="false" customHeight="false" outlineLevel="0" collapsed="false">
      <c r="A56" s="52" t="s">
        <v>5781</v>
      </c>
      <c r="B56" s="52" t="s">
        <v>6011</v>
      </c>
      <c r="C56" s="53" t="n">
        <v>845619</v>
      </c>
      <c r="D56" s="52" t="s">
        <v>1862</v>
      </c>
      <c r="E56" s="52" t="s">
        <v>1863</v>
      </c>
      <c r="F56" s="54" t="n">
        <v>2</v>
      </c>
      <c r="G56" s="55" t="n">
        <v>1448</v>
      </c>
      <c r="H56" s="55" t="n">
        <v>724</v>
      </c>
      <c r="I56" s="55" t="n">
        <v>724</v>
      </c>
      <c r="J56" s="52" t="s">
        <v>5816</v>
      </c>
      <c r="K56" s="56" t="n">
        <v>1</v>
      </c>
      <c r="L56" s="52" t="s">
        <v>5816</v>
      </c>
      <c r="M56" s="52" t="s">
        <v>113</v>
      </c>
    </row>
    <row r="57" customFormat="false" ht="14.25" hidden="false" customHeight="false" outlineLevel="0" collapsed="false">
      <c r="A57" s="52" t="s">
        <v>5781</v>
      </c>
      <c r="B57" s="52" t="s">
        <v>6011</v>
      </c>
      <c r="C57" s="53" t="n">
        <v>853756</v>
      </c>
      <c r="D57" s="52" t="s">
        <v>439</v>
      </c>
      <c r="E57" s="52" t="s">
        <v>440</v>
      </c>
      <c r="F57" s="54" t="n">
        <v>2</v>
      </c>
      <c r="G57" s="55" t="n">
        <v>4500</v>
      </c>
      <c r="H57" s="55" t="n">
        <v>2250</v>
      </c>
      <c r="I57" s="55" t="n">
        <v>2250</v>
      </c>
      <c r="J57" s="52" t="s">
        <v>5816</v>
      </c>
      <c r="K57" s="56" t="n">
        <v>1</v>
      </c>
      <c r="L57" s="52" t="s">
        <v>5816</v>
      </c>
      <c r="M57" s="52" t="s">
        <v>35</v>
      </c>
    </row>
    <row r="58" customFormat="false" ht="14.25" hidden="false" customHeight="false" outlineLevel="0" collapsed="false">
      <c r="A58" s="52" t="s">
        <v>5781</v>
      </c>
      <c r="B58" s="52" t="s">
        <v>6011</v>
      </c>
      <c r="C58" s="53" t="n">
        <v>860923</v>
      </c>
      <c r="D58" s="52" t="s">
        <v>564</v>
      </c>
      <c r="E58" s="52" t="s">
        <v>565</v>
      </c>
      <c r="F58" s="54" t="n">
        <v>2</v>
      </c>
      <c r="G58" s="55" t="n">
        <v>3767.32</v>
      </c>
      <c r="H58" s="55" t="n">
        <v>1883.66</v>
      </c>
      <c r="I58" s="55" t="n">
        <v>1883.66</v>
      </c>
      <c r="J58" s="52" t="s">
        <v>5816</v>
      </c>
      <c r="K58" s="56" t="n">
        <v>1</v>
      </c>
      <c r="L58" s="52" t="s">
        <v>5816</v>
      </c>
      <c r="M58" s="52" t="s">
        <v>262</v>
      </c>
    </row>
    <row r="59" customFormat="false" ht="14.25" hidden="false" customHeight="false" outlineLevel="0" collapsed="false">
      <c r="A59" s="52" t="s">
        <v>5781</v>
      </c>
      <c r="B59" s="52" t="s">
        <v>6011</v>
      </c>
      <c r="C59" s="53" t="n">
        <v>865896</v>
      </c>
      <c r="D59" s="52" t="s">
        <v>361</v>
      </c>
      <c r="E59" s="52" t="s">
        <v>6016</v>
      </c>
      <c r="F59" s="54" t="n">
        <v>1</v>
      </c>
      <c r="G59" s="55" t="n">
        <v>16500</v>
      </c>
      <c r="H59" s="55" t="n">
        <v>16500</v>
      </c>
      <c r="I59" s="55" t="n">
        <v>16500</v>
      </c>
      <c r="J59" s="52" t="s">
        <v>5816</v>
      </c>
      <c r="K59" s="56" t="n">
        <v>1</v>
      </c>
      <c r="L59" s="52" t="s">
        <v>5816</v>
      </c>
      <c r="M59" s="52" t="s">
        <v>363</v>
      </c>
    </row>
    <row r="60" customFormat="false" ht="14.25" hidden="false" customHeight="false" outlineLevel="0" collapsed="false">
      <c r="A60" s="52" t="s">
        <v>5781</v>
      </c>
      <c r="B60" s="52" t="s">
        <v>6011</v>
      </c>
      <c r="C60" s="53" t="n">
        <v>867723</v>
      </c>
      <c r="D60" s="52" t="s">
        <v>948</v>
      </c>
      <c r="E60" s="52" t="s">
        <v>949</v>
      </c>
      <c r="F60" s="54" t="n">
        <v>2</v>
      </c>
      <c r="G60" s="55" t="n">
        <v>374.51</v>
      </c>
      <c r="H60" s="55" t="n">
        <v>187.255</v>
      </c>
      <c r="I60" s="55" t="n">
        <v>187.255</v>
      </c>
      <c r="J60" s="52" t="s">
        <v>5816</v>
      </c>
      <c r="K60" s="56" t="n">
        <v>1</v>
      </c>
      <c r="L60" s="52" t="s">
        <v>5816</v>
      </c>
      <c r="M60" s="52" t="s">
        <v>247</v>
      </c>
    </row>
    <row r="61" customFormat="false" ht="14.25" hidden="false" customHeight="false" outlineLevel="0" collapsed="false">
      <c r="A61" s="52" t="s">
        <v>5781</v>
      </c>
      <c r="B61" s="52" t="s">
        <v>6011</v>
      </c>
      <c r="C61" s="53" t="n">
        <v>867726</v>
      </c>
      <c r="D61" s="52" t="s">
        <v>2603</v>
      </c>
      <c r="E61" s="52" t="s">
        <v>2604</v>
      </c>
      <c r="F61" s="54" t="n">
        <v>200</v>
      </c>
      <c r="G61" s="55" t="n">
        <v>687.92</v>
      </c>
      <c r="H61" s="55" t="n">
        <v>3.4396</v>
      </c>
      <c r="I61" s="55" t="n">
        <v>3.4396</v>
      </c>
      <c r="J61" s="52" t="s">
        <v>5836</v>
      </c>
      <c r="K61" s="56" t="n">
        <v>100</v>
      </c>
      <c r="L61" s="52" t="s">
        <v>5814</v>
      </c>
      <c r="M61" s="52" t="s">
        <v>262</v>
      </c>
    </row>
    <row r="62" customFormat="false" ht="14.25" hidden="false" customHeight="false" outlineLevel="0" collapsed="false">
      <c r="A62" s="52" t="s">
        <v>5781</v>
      </c>
      <c r="B62" s="52" t="s">
        <v>6011</v>
      </c>
      <c r="C62" s="53" t="n">
        <v>875108</v>
      </c>
      <c r="D62" s="52" t="s">
        <v>1170</v>
      </c>
      <c r="E62" s="52" t="s">
        <v>1171</v>
      </c>
      <c r="F62" s="54" t="n">
        <v>2</v>
      </c>
      <c r="G62" s="55" t="n">
        <v>1574.24</v>
      </c>
      <c r="H62" s="55" t="n">
        <v>787.12</v>
      </c>
      <c r="I62" s="55" t="n">
        <v>787.12</v>
      </c>
      <c r="J62" s="52" t="s">
        <v>5816</v>
      </c>
      <c r="K62" s="56" t="n">
        <v>1</v>
      </c>
      <c r="L62" s="52" t="s">
        <v>5816</v>
      </c>
      <c r="M62" s="52" t="s">
        <v>247</v>
      </c>
    </row>
    <row r="63" customFormat="false" ht="14.25" hidden="false" customHeight="false" outlineLevel="0" collapsed="false">
      <c r="A63" s="52" t="s">
        <v>5781</v>
      </c>
      <c r="B63" s="52" t="s">
        <v>6011</v>
      </c>
      <c r="C63" s="53" t="n">
        <v>932214</v>
      </c>
      <c r="D63" s="52" t="s">
        <v>168</v>
      </c>
      <c r="E63" s="52" t="s">
        <v>169</v>
      </c>
      <c r="F63" s="54" t="n">
        <v>6</v>
      </c>
      <c r="G63" s="55" t="n">
        <v>9442.2</v>
      </c>
      <c r="H63" s="55" t="n">
        <v>1573.7</v>
      </c>
      <c r="I63" s="55" t="n">
        <v>1573.7</v>
      </c>
      <c r="J63" s="52" t="s">
        <v>5816</v>
      </c>
      <c r="K63" s="56" t="n">
        <v>1</v>
      </c>
      <c r="L63" s="52" t="s">
        <v>5816</v>
      </c>
      <c r="M63" s="52" t="s">
        <v>170</v>
      </c>
    </row>
    <row r="64" customFormat="false" ht="14.25" hidden="false" customHeight="false" outlineLevel="0" collapsed="false">
      <c r="A64" s="52" t="s">
        <v>5781</v>
      </c>
      <c r="B64" s="52" t="s">
        <v>6011</v>
      </c>
      <c r="C64" s="53" t="n">
        <v>945189</v>
      </c>
      <c r="D64" s="52" t="s">
        <v>1998</v>
      </c>
      <c r="E64" s="52" t="s">
        <v>1999</v>
      </c>
      <c r="F64" s="54" t="n">
        <v>2</v>
      </c>
      <c r="G64" s="55" t="n">
        <v>1287</v>
      </c>
      <c r="H64" s="55" t="n">
        <v>643.5</v>
      </c>
      <c r="I64" s="55" t="n">
        <v>643.5</v>
      </c>
      <c r="J64" s="52" t="s">
        <v>5816</v>
      </c>
      <c r="K64" s="56" t="n">
        <v>1</v>
      </c>
      <c r="L64" s="52" t="s">
        <v>5816</v>
      </c>
      <c r="M64" s="52" t="s">
        <v>170</v>
      </c>
    </row>
    <row r="65" customFormat="false" ht="14.25" hidden="false" customHeight="false" outlineLevel="0" collapsed="false">
      <c r="A65" s="52" t="s">
        <v>5781</v>
      </c>
      <c r="B65" s="52" t="s">
        <v>6011</v>
      </c>
      <c r="C65" s="53" t="n">
        <v>957740</v>
      </c>
      <c r="D65" s="52" t="s">
        <v>1240</v>
      </c>
      <c r="E65" s="52" t="s">
        <v>1241</v>
      </c>
      <c r="F65" s="54" t="n">
        <v>4</v>
      </c>
      <c r="G65" s="55" t="n">
        <v>1467.4</v>
      </c>
      <c r="H65" s="55" t="n">
        <v>366.85</v>
      </c>
      <c r="I65" s="55" t="n">
        <v>366.85</v>
      </c>
      <c r="J65" s="52" t="s">
        <v>5816</v>
      </c>
      <c r="K65" s="56" t="n">
        <v>1</v>
      </c>
      <c r="L65" s="52" t="s">
        <v>5816</v>
      </c>
      <c r="M65" s="52" t="s">
        <v>247</v>
      </c>
    </row>
    <row r="66" customFormat="false" ht="14.25" hidden="false" customHeight="false" outlineLevel="0" collapsed="false">
      <c r="A66" s="52" t="s">
        <v>5781</v>
      </c>
      <c r="B66" s="52" t="s">
        <v>6011</v>
      </c>
      <c r="C66" s="53" t="n">
        <v>1012114</v>
      </c>
      <c r="D66" s="52" t="s">
        <v>209</v>
      </c>
      <c r="E66" s="52" t="s">
        <v>210</v>
      </c>
      <c r="F66" s="54" t="n">
        <v>10</v>
      </c>
      <c r="G66" s="55" t="n">
        <v>34643</v>
      </c>
      <c r="H66" s="55" t="n">
        <v>3464.3</v>
      </c>
      <c r="I66" s="55" t="n">
        <v>3464.3</v>
      </c>
      <c r="J66" s="52" t="s">
        <v>5816</v>
      </c>
      <c r="K66" s="56" t="n">
        <v>1</v>
      </c>
      <c r="L66" s="52" t="s">
        <v>5816</v>
      </c>
      <c r="M66" s="52" t="s">
        <v>170</v>
      </c>
    </row>
    <row r="67" customFormat="false" ht="14.25" hidden="false" customHeight="false" outlineLevel="0" collapsed="false">
      <c r="A67" s="52" t="s">
        <v>5781</v>
      </c>
      <c r="B67" s="52" t="s">
        <v>6011</v>
      </c>
      <c r="C67" s="53" t="n">
        <v>1014426</v>
      </c>
      <c r="D67" s="52" t="s">
        <v>978</v>
      </c>
      <c r="E67" s="52" t="s">
        <v>979</v>
      </c>
      <c r="F67" s="54" t="n">
        <v>4</v>
      </c>
      <c r="G67" s="55" t="n">
        <v>4231.4</v>
      </c>
      <c r="H67" s="55" t="n">
        <v>1057.85</v>
      </c>
      <c r="I67" s="55" t="n">
        <v>1057.85</v>
      </c>
      <c r="J67" s="52" t="s">
        <v>5816</v>
      </c>
      <c r="K67" s="56" t="n">
        <v>1</v>
      </c>
      <c r="L67" s="52" t="s">
        <v>5816</v>
      </c>
      <c r="M67" s="52" t="s">
        <v>170</v>
      </c>
    </row>
    <row r="68" customFormat="false" ht="14.25" hidden="false" customHeight="false" outlineLevel="0" collapsed="false">
      <c r="A68" s="52" t="s">
        <v>5781</v>
      </c>
      <c r="B68" s="52" t="s">
        <v>6011</v>
      </c>
      <c r="C68" s="53" t="n">
        <v>1067617</v>
      </c>
      <c r="D68" s="52" t="s">
        <v>557</v>
      </c>
      <c r="E68" s="52" t="s">
        <v>558</v>
      </c>
      <c r="F68" s="54" t="n">
        <v>150</v>
      </c>
      <c r="G68" s="55" t="n">
        <v>9616.47</v>
      </c>
      <c r="H68" s="55" t="n">
        <v>64.1098</v>
      </c>
      <c r="I68" s="55" t="n">
        <v>64.1098</v>
      </c>
      <c r="J68" s="52" t="s">
        <v>5816</v>
      </c>
      <c r="K68" s="56" t="n">
        <v>1</v>
      </c>
      <c r="L68" s="52" t="s">
        <v>5816</v>
      </c>
      <c r="M68" s="52" t="s">
        <v>138</v>
      </c>
    </row>
    <row r="69" customFormat="false" ht="14.25" hidden="false" customHeight="false" outlineLevel="0" collapsed="false">
      <c r="A69" s="52" t="s">
        <v>5781</v>
      </c>
      <c r="B69" s="52" t="s">
        <v>6011</v>
      </c>
      <c r="C69" s="53" t="n">
        <v>1110527</v>
      </c>
      <c r="D69" s="52" t="s">
        <v>2032</v>
      </c>
      <c r="E69" s="52" t="s">
        <v>6017</v>
      </c>
      <c r="F69" s="54" t="n">
        <v>1</v>
      </c>
      <c r="G69" s="55" t="n">
        <v>1230</v>
      </c>
      <c r="H69" s="55" t="n">
        <v>1230</v>
      </c>
      <c r="I69" s="55" t="n">
        <v>1230</v>
      </c>
      <c r="J69" s="52" t="s">
        <v>5816</v>
      </c>
      <c r="K69" s="56" t="n">
        <v>1</v>
      </c>
      <c r="L69" s="52" t="s">
        <v>5816</v>
      </c>
      <c r="M69" s="52" t="s">
        <v>35</v>
      </c>
    </row>
    <row r="70" customFormat="false" ht="14.25" hidden="false" customHeight="false" outlineLevel="0" collapsed="false">
      <c r="A70" s="52" t="s">
        <v>5781</v>
      </c>
      <c r="B70" s="52" t="s">
        <v>6011</v>
      </c>
      <c r="C70" s="53" t="n">
        <v>1113216</v>
      </c>
      <c r="D70" s="52" t="s">
        <v>1667</v>
      </c>
      <c r="E70" s="52" t="s">
        <v>1668</v>
      </c>
      <c r="F70" s="54" t="n">
        <v>1</v>
      </c>
      <c r="G70" s="55" t="n">
        <v>1780</v>
      </c>
      <c r="H70" s="55" t="n">
        <v>1780</v>
      </c>
      <c r="I70" s="55" t="n">
        <v>1780</v>
      </c>
      <c r="J70" s="52" t="s">
        <v>5816</v>
      </c>
      <c r="K70" s="56" t="n">
        <v>1</v>
      </c>
      <c r="L70" s="52" t="s">
        <v>5816</v>
      </c>
      <c r="M70" s="52" t="s">
        <v>35</v>
      </c>
    </row>
    <row r="71" customFormat="false" ht="14.25" hidden="false" customHeight="false" outlineLevel="0" collapsed="false">
      <c r="A71" s="52" t="s">
        <v>5781</v>
      </c>
      <c r="B71" s="52" t="s">
        <v>6011</v>
      </c>
      <c r="C71" s="53" t="n">
        <v>1170016</v>
      </c>
      <c r="D71" s="52" t="s">
        <v>52</v>
      </c>
      <c r="E71" s="52" t="s">
        <v>53</v>
      </c>
      <c r="F71" s="54" t="n">
        <v>4</v>
      </c>
      <c r="G71" s="55" t="n">
        <v>160222.49</v>
      </c>
      <c r="H71" s="55" t="n">
        <v>40055.6225</v>
      </c>
      <c r="I71" s="55" t="n">
        <v>40055.6225</v>
      </c>
      <c r="J71" s="52" t="s">
        <v>5816</v>
      </c>
      <c r="K71" s="56" t="n">
        <v>1</v>
      </c>
      <c r="L71" s="52" t="s">
        <v>5816</v>
      </c>
      <c r="M71" s="52" t="s">
        <v>54</v>
      </c>
    </row>
    <row r="72" customFormat="false" ht="14.25" hidden="false" customHeight="false" outlineLevel="0" collapsed="false">
      <c r="A72" s="52" t="s">
        <v>5781</v>
      </c>
      <c r="B72" s="52" t="s">
        <v>6011</v>
      </c>
      <c r="C72" s="53" t="n">
        <v>1258883</v>
      </c>
      <c r="D72" s="52" t="s">
        <v>33</v>
      </c>
      <c r="E72" s="52" t="s">
        <v>6018</v>
      </c>
      <c r="F72" s="54" t="n">
        <v>11</v>
      </c>
      <c r="G72" s="55" t="n">
        <v>595000.0001</v>
      </c>
      <c r="H72" s="55" t="n">
        <v>54090.9091</v>
      </c>
      <c r="I72" s="55" t="n">
        <v>54090.9091</v>
      </c>
      <c r="J72" s="52" t="s">
        <v>5816</v>
      </c>
      <c r="K72" s="56" t="n">
        <v>1</v>
      </c>
      <c r="L72" s="52" t="s">
        <v>5816</v>
      </c>
      <c r="M72" s="52" t="s">
        <v>35</v>
      </c>
    </row>
    <row r="73" customFormat="false" ht="14.25" hidden="false" customHeight="false" outlineLevel="0" collapsed="false">
      <c r="A73" s="52" t="s">
        <v>5781</v>
      </c>
      <c r="B73" s="52" t="s">
        <v>6011</v>
      </c>
      <c r="C73" s="53" t="n">
        <v>1258884</v>
      </c>
      <c r="D73" s="52" t="s">
        <v>84</v>
      </c>
      <c r="E73" s="52" t="s">
        <v>6019</v>
      </c>
      <c r="F73" s="54" t="n">
        <v>2</v>
      </c>
      <c r="G73" s="55" t="n">
        <v>116000</v>
      </c>
      <c r="H73" s="55" t="n">
        <v>58000</v>
      </c>
      <c r="I73" s="55" t="n">
        <v>58000</v>
      </c>
      <c r="J73" s="52" t="s">
        <v>5816</v>
      </c>
      <c r="K73" s="56" t="n">
        <v>1</v>
      </c>
      <c r="L73" s="52" t="s">
        <v>5816</v>
      </c>
      <c r="M73" s="52" t="s">
        <v>35</v>
      </c>
    </row>
    <row r="74" customFormat="false" ht="14.25" hidden="false" customHeight="false" outlineLevel="0" collapsed="false">
      <c r="A74" s="52" t="s">
        <v>5781</v>
      </c>
      <c r="B74" s="52" t="s">
        <v>6011</v>
      </c>
      <c r="C74" s="53" t="n">
        <v>1258885</v>
      </c>
      <c r="D74" s="52" t="s">
        <v>94</v>
      </c>
      <c r="E74" s="52" t="s">
        <v>95</v>
      </c>
      <c r="F74" s="54" t="n">
        <v>2</v>
      </c>
      <c r="G74" s="55" t="n">
        <v>100000</v>
      </c>
      <c r="H74" s="55" t="n">
        <v>50000</v>
      </c>
      <c r="I74" s="55" t="n">
        <v>50000</v>
      </c>
      <c r="J74" s="52" t="s">
        <v>5816</v>
      </c>
      <c r="K74" s="56" t="n">
        <v>1</v>
      </c>
      <c r="L74" s="52" t="s">
        <v>5816</v>
      </c>
      <c r="M74" s="52" t="s">
        <v>35</v>
      </c>
    </row>
    <row r="75" customFormat="false" ht="14.25" hidden="false" customHeight="false" outlineLevel="0" collapsed="false">
      <c r="A75" s="52" t="s">
        <v>5781</v>
      </c>
      <c r="B75" s="52" t="s">
        <v>6011</v>
      </c>
      <c r="C75" s="53" t="n">
        <v>1315072</v>
      </c>
      <c r="D75" s="52" t="s">
        <v>566</v>
      </c>
      <c r="E75" s="52" t="s">
        <v>567</v>
      </c>
      <c r="F75" s="54" t="n">
        <v>2</v>
      </c>
      <c r="G75" s="55" t="n">
        <v>9539.98</v>
      </c>
      <c r="H75" s="55" t="n">
        <v>4769.99</v>
      </c>
      <c r="I75" s="55" t="n">
        <v>4769.99</v>
      </c>
      <c r="J75" s="52" t="s">
        <v>5816</v>
      </c>
      <c r="K75" s="56" t="n">
        <v>1</v>
      </c>
      <c r="L75" s="52" t="s">
        <v>5816</v>
      </c>
      <c r="M75" s="52" t="s">
        <v>35</v>
      </c>
    </row>
    <row r="76" customFormat="false" ht="14.25" hidden="false" customHeight="false" outlineLevel="0" collapsed="false">
      <c r="A76" s="52" t="s">
        <v>5781</v>
      </c>
      <c r="B76" s="52" t="s">
        <v>6011</v>
      </c>
      <c r="C76" s="53" t="n">
        <v>1316409</v>
      </c>
      <c r="D76" s="52" t="s">
        <v>139</v>
      </c>
      <c r="E76" s="52" t="s">
        <v>140</v>
      </c>
      <c r="F76" s="54" t="n">
        <v>3</v>
      </c>
      <c r="G76" s="55" t="n">
        <v>56894.52</v>
      </c>
      <c r="H76" s="55" t="n">
        <v>18964.84</v>
      </c>
      <c r="I76" s="55" t="n">
        <v>18964.84</v>
      </c>
      <c r="J76" s="52" t="s">
        <v>5816</v>
      </c>
      <c r="K76" s="56" t="n">
        <v>1</v>
      </c>
      <c r="L76" s="52" t="s">
        <v>5816</v>
      </c>
      <c r="M76" s="52" t="s">
        <v>54</v>
      </c>
    </row>
    <row r="77" customFormat="false" ht="14.25" hidden="false" customHeight="false" outlineLevel="0" collapsed="false">
      <c r="A77" s="52" t="s">
        <v>5781</v>
      </c>
      <c r="B77" s="52" t="s">
        <v>6011</v>
      </c>
      <c r="C77" s="53" t="n">
        <v>1316410</v>
      </c>
      <c r="D77" s="52" t="s">
        <v>1210</v>
      </c>
      <c r="E77" s="52" t="s">
        <v>6020</v>
      </c>
      <c r="F77" s="54" t="n">
        <v>1</v>
      </c>
      <c r="G77" s="55" t="n">
        <v>2945</v>
      </c>
      <c r="H77" s="55" t="n">
        <v>2945</v>
      </c>
      <c r="I77" s="55" t="n">
        <v>2945</v>
      </c>
      <c r="J77" s="52" t="s">
        <v>5816</v>
      </c>
      <c r="K77" s="56" t="n">
        <v>1</v>
      </c>
      <c r="L77" s="52" t="s">
        <v>5816</v>
      </c>
      <c r="M77" s="52" t="s">
        <v>54</v>
      </c>
    </row>
    <row r="78" customFormat="false" ht="14.25" hidden="false" customHeight="false" outlineLevel="0" collapsed="false">
      <c r="A78" s="52" t="s">
        <v>5781</v>
      </c>
      <c r="B78" s="52" t="s">
        <v>6011</v>
      </c>
      <c r="C78" s="53" t="n">
        <v>1316411</v>
      </c>
      <c r="D78" s="52" t="s">
        <v>1703</v>
      </c>
      <c r="E78" s="52" t="s">
        <v>6021</v>
      </c>
      <c r="F78" s="54" t="n">
        <v>1</v>
      </c>
      <c r="G78" s="55" t="n">
        <v>1690</v>
      </c>
      <c r="H78" s="55" t="n">
        <v>1690</v>
      </c>
      <c r="I78" s="55" t="n">
        <v>1690</v>
      </c>
      <c r="J78" s="52" t="s">
        <v>5816</v>
      </c>
      <c r="K78" s="56" t="n">
        <v>1</v>
      </c>
      <c r="L78" s="52" t="s">
        <v>5816</v>
      </c>
      <c r="M78" s="52" t="s">
        <v>54</v>
      </c>
    </row>
    <row r="79" customFormat="false" ht="14.25" hidden="false" customHeight="false" outlineLevel="0" collapsed="false">
      <c r="A79" s="52" t="s">
        <v>5781</v>
      </c>
      <c r="B79" s="52" t="s">
        <v>6011</v>
      </c>
      <c r="C79" s="53" t="n">
        <v>1318392</v>
      </c>
      <c r="D79" s="52" t="s">
        <v>233</v>
      </c>
      <c r="E79" s="52" t="s">
        <v>234</v>
      </c>
      <c r="F79" s="54" t="n">
        <v>3</v>
      </c>
      <c r="G79" s="55" t="n">
        <v>29172</v>
      </c>
      <c r="H79" s="55" t="n">
        <v>9724</v>
      </c>
      <c r="I79" s="55" t="n">
        <v>9724</v>
      </c>
      <c r="J79" s="52" t="s">
        <v>5816</v>
      </c>
      <c r="K79" s="56" t="n">
        <v>1</v>
      </c>
      <c r="L79" s="52" t="s">
        <v>5816</v>
      </c>
      <c r="M79" s="52" t="s">
        <v>54</v>
      </c>
    </row>
    <row r="80" customFormat="false" ht="14.25" hidden="false" customHeight="false" outlineLevel="0" collapsed="false">
      <c r="A80" s="52" t="s">
        <v>5781</v>
      </c>
      <c r="B80" s="52" t="s">
        <v>6011</v>
      </c>
      <c r="C80" s="53" t="n">
        <v>1319146</v>
      </c>
      <c r="D80" s="52" t="s">
        <v>940</v>
      </c>
      <c r="E80" s="52" t="s">
        <v>941</v>
      </c>
      <c r="F80" s="54" t="n">
        <v>3</v>
      </c>
      <c r="G80" s="55" t="n">
        <v>4500</v>
      </c>
      <c r="H80" s="55" t="n">
        <v>1500</v>
      </c>
      <c r="I80" s="55" t="n">
        <v>1500</v>
      </c>
      <c r="J80" s="52" t="s">
        <v>5816</v>
      </c>
      <c r="K80" s="56" t="n">
        <v>1</v>
      </c>
      <c r="L80" s="52" t="s">
        <v>5816</v>
      </c>
      <c r="M80" s="52" t="s">
        <v>563</v>
      </c>
    </row>
    <row r="81" customFormat="false" ht="14.25" hidden="false" customHeight="false" outlineLevel="0" collapsed="false">
      <c r="A81" s="52" t="s">
        <v>5781</v>
      </c>
      <c r="B81" s="52" t="s">
        <v>6011</v>
      </c>
      <c r="C81" s="53" t="n">
        <v>1330568</v>
      </c>
      <c r="D81" s="52" t="s">
        <v>374</v>
      </c>
      <c r="E81" s="52" t="s">
        <v>375</v>
      </c>
      <c r="F81" s="54" t="n">
        <v>4</v>
      </c>
      <c r="G81" s="55" t="n">
        <v>15920</v>
      </c>
      <c r="H81" s="55" t="n">
        <v>3980</v>
      </c>
      <c r="I81" s="55" t="n">
        <v>3980</v>
      </c>
      <c r="J81" s="52" t="s">
        <v>5816</v>
      </c>
      <c r="K81" s="56" t="n">
        <v>1</v>
      </c>
      <c r="L81" s="52" t="s">
        <v>5816</v>
      </c>
      <c r="M81" s="52" t="s">
        <v>54</v>
      </c>
    </row>
    <row r="82" customFormat="false" ht="14.25" hidden="false" customHeight="false" outlineLevel="0" collapsed="false">
      <c r="A82" s="52" t="s">
        <v>5781</v>
      </c>
      <c r="B82" s="52" t="s">
        <v>6011</v>
      </c>
      <c r="C82" s="53" t="n">
        <v>1384097</v>
      </c>
      <c r="D82" s="52" t="s">
        <v>1464</v>
      </c>
      <c r="E82" s="52" t="s">
        <v>1465</v>
      </c>
      <c r="F82" s="54" t="n">
        <v>4</v>
      </c>
      <c r="G82" s="55" t="n">
        <v>2259.16</v>
      </c>
      <c r="H82" s="55" t="n">
        <v>564.79</v>
      </c>
      <c r="I82" s="55" t="n">
        <v>564.79</v>
      </c>
      <c r="J82" s="52" t="s">
        <v>5816</v>
      </c>
      <c r="K82" s="56" t="n">
        <v>1</v>
      </c>
      <c r="L82" s="52" t="s">
        <v>5816</v>
      </c>
      <c r="M82" s="52" t="s">
        <v>75</v>
      </c>
    </row>
    <row r="83" customFormat="false" ht="14.25" hidden="false" customHeight="false" outlineLevel="0" collapsed="false">
      <c r="A83" s="52" t="s">
        <v>5781</v>
      </c>
      <c r="B83" s="52" t="s">
        <v>6011</v>
      </c>
      <c r="C83" s="53" t="n">
        <v>1384169</v>
      </c>
      <c r="D83" s="52" t="s">
        <v>226</v>
      </c>
      <c r="E83" s="52" t="s">
        <v>227</v>
      </c>
      <c r="F83" s="54" t="n">
        <v>4</v>
      </c>
      <c r="G83" s="55" t="n">
        <v>30212.46</v>
      </c>
      <c r="H83" s="55" t="n">
        <v>7553.115</v>
      </c>
      <c r="I83" s="55" t="n">
        <v>7553.115</v>
      </c>
      <c r="J83" s="52" t="s">
        <v>5816</v>
      </c>
      <c r="K83" s="56" t="n">
        <v>1</v>
      </c>
      <c r="L83" s="52" t="s">
        <v>5816</v>
      </c>
      <c r="M83" s="52" t="s">
        <v>75</v>
      </c>
    </row>
    <row r="84" customFormat="false" ht="14.25" hidden="false" customHeight="false" outlineLevel="0" collapsed="false">
      <c r="A84" s="52" t="s">
        <v>5781</v>
      </c>
      <c r="B84" s="52" t="s">
        <v>6011</v>
      </c>
      <c r="C84" s="53" t="n">
        <v>1384170</v>
      </c>
      <c r="D84" s="52" t="s">
        <v>716</v>
      </c>
      <c r="E84" s="52" t="s">
        <v>717</v>
      </c>
      <c r="F84" s="54" t="n">
        <v>2</v>
      </c>
      <c r="G84" s="55" t="n">
        <v>6921.18</v>
      </c>
      <c r="H84" s="55" t="n">
        <v>3460.59</v>
      </c>
      <c r="I84" s="55" t="n">
        <v>3460.59</v>
      </c>
      <c r="J84" s="52" t="s">
        <v>5816</v>
      </c>
      <c r="K84" s="56" t="n">
        <v>1</v>
      </c>
      <c r="L84" s="52" t="s">
        <v>5816</v>
      </c>
      <c r="M84" s="52" t="s">
        <v>75</v>
      </c>
    </row>
    <row r="85" customFormat="false" ht="14.25" hidden="false" customHeight="false" outlineLevel="0" collapsed="false">
      <c r="A85" s="52" t="s">
        <v>5781</v>
      </c>
      <c r="B85" s="52" t="s">
        <v>6011</v>
      </c>
      <c r="C85" s="53" t="n">
        <v>1468880</v>
      </c>
      <c r="D85" s="52" t="s">
        <v>307</v>
      </c>
      <c r="E85" s="52" t="s">
        <v>308</v>
      </c>
      <c r="F85" s="54" t="n">
        <v>10</v>
      </c>
      <c r="G85" s="55" t="n">
        <v>20290</v>
      </c>
      <c r="H85" s="55" t="n">
        <v>2029</v>
      </c>
      <c r="I85" s="55" t="n">
        <v>2029</v>
      </c>
      <c r="J85" s="52" t="s">
        <v>5816</v>
      </c>
      <c r="K85" s="56" t="n">
        <v>1</v>
      </c>
      <c r="L85" s="52" t="s">
        <v>5816</v>
      </c>
      <c r="M85" s="52" t="s">
        <v>75</v>
      </c>
    </row>
    <row r="86" customFormat="false" ht="14.25" hidden="false" customHeight="false" outlineLevel="0" collapsed="false">
      <c r="A86" s="52" t="s">
        <v>5781</v>
      </c>
      <c r="B86" s="52" t="s">
        <v>6011</v>
      </c>
      <c r="C86" s="53" t="n">
        <v>1470345</v>
      </c>
      <c r="D86" s="52" t="s">
        <v>349</v>
      </c>
      <c r="E86" s="52" t="s">
        <v>350</v>
      </c>
      <c r="F86" s="54" t="n">
        <v>4</v>
      </c>
      <c r="G86" s="55" t="n">
        <v>16840</v>
      </c>
      <c r="H86" s="55" t="n">
        <v>4210</v>
      </c>
      <c r="I86" s="55" t="n">
        <v>4210</v>
      </c>
      <c r="J86" s="52" t="s">
        <v>5816</v>
      </c>
      <c r="K86" s="56" t="n">
        <v>1</v>
      </c>
      <c r="L86" s="52" t="s">
        <v>5816</v>
      </c>
      <c r="M86" s="52" t="s">
        <v>130</v>
      </c>
    </row>
    <row r="87" customFormat="false" ht="14.25" hidden="false" customHeight="false" outlineLevel="0" collapsed="false">
      <c r="A87" s="52" t="s">
        <v>5781</v>
      </c>
      <c r="B87" s="52" t="s">
        <v>6011</v>
      </c>
      <c r="C87" s="53" t="n">
        <v>1470346</v>
      </c>
      <c r="D87" s="52" t="s">
        <v>466</v>
      </c>
      <c r="E87" s="52" t="s">
        <v>467</v>
      </c>
      <c r="F87" s="54" t="n">
        <v>3</v>
      </c>
      <c r="G87" s="55" t="n">
        <v>11910</v>
      </c>
      <c r="H87" s="55" t="n">
        <v>3970</v>
      </c>
      <c r="I87" s="55" t="n">
        <v>3970</v>
      </c>
      <c r="J87" s="52" t="s">
        <v>5816</v>
      </c>
      <c r="K87" s="56" t="n">
        <v>1</v>
      </c>
      <c r="L87" s="52" t="s">
        <v>5816</v>
      </c>
      <c r="M87" s="52" t="s">
        <v>130</v>
      </c>
    </row>
    <row r="88" customFormat="false" ht="14.25" hidden="false" customHeight="false" outlineLevel="0" collapsed="false">
      <c r="A88" s="52" t="s">
        <v>5781</v>
      </c>
      <c r="B88" s="52" t="s">
        <v>6011</v>
      </c>
      <c r="C88" s="53" t="n">
        <v>1471634</v>
      </c>
      <c r="D88" s="52" t="s">
        <v>789</v>
      </c>
      <c r="E88" s="52" t="s">
        <v>790</v>
      </c>
      <c r="F88" s="54" t="n">
        <v>1</v>
      </c>
      <c r="G88" s="55" t="n">
        <v>6115.95</v>
      </c>
      <c r="H88" s="55" t="n">
        <v>6115.95</v>
      </c>
      <c r="I88" s="55" t="n">
        <v>6115.95</v>
      </c>
      <c r="J88" s="52" t="s">
        <v>5816</v>
      </c>
      <c r="K88" s="56" t="n">
        <v>1</v>
      </c>
      <c r="L88" s="52" t="s">
        <v>5816</v>
      </c>
      <c r="M88" s="52" t="s">
        <v>35</v>
      </c>
    </row>
    <row r="89" customFormat="false" ht="14.25" hidden="false" customHeight="false" outlineLevel="0" collapsed="false">
      <c r="A89" s="52" t="s">
        <v>5781</v>
      </c>
      <c r="B89" s="52" t="s">
        <v>6011</v>
      </c>
      <c r="C89" s="53" t="n">
        <v>1475760</v>
      </c>
      <c r="D89" s="52" t="s">
        <v>1222</v>
      </c>
      <c r="E89" s="52" t="s">
        <v>1223</v>
      </c>
      <c r="F89" s="54" t="n">
        <v>4</v>
      </c>
      <c r="G89" s="55" t="n">
        <v>2897.92</v>
      </c>
      <c r="H89" s="55" t="n">
        <v>724.48</v>
      </c>
      <c r="I89" s="55" t="n">
        <v>724.48</v>
      </c>
      <c r="J89" s="52" t="s">
        <v>5816</v>
      </c>
      <c r="K89" s="56" t="n">
        <v>1</v>
      </c>
      <c r="L89" s="52" t="s">
        <v>5816</v>
      </c>
      <c r="M89" s="52" t="s">
        <v>509</v>
      </c>
    </row>
    <row r="90" customFormat="false" ht="14.25" hidden="false" customHeight="false" outlineLevel="0" collapsed="false">
      <c r="A90" s="52" t="s">
        <v>5781</v>
      </c>
      <c r="B90" s="52" t="s">
        <v>6011</v>
      </c>
      <c r="C90" s="53" t="n">
        <v>1475903</v>
      </c>
      <c r="D90" s="52" t="s">
        <v>912</v>
      </c>
      <c r="E90" s="57" t="s">
        <v>6022</v>
      </c>
      <c r="F90" s="54" t="n">
        <v>2</v>
      </c>
      <c r="G90" s="55" t="n">
        <v>4835.9</v>
      </c>
      <c r="H90" s="55" t="n">
        <v>2417.95</v>
      </c>
      <c r="I90" s="55" t="n">
        <v>2417.95</v>
      </c>
      <c r="J90" s="52" t="s">
        <v>5816</v>
      </c>
      <c r="K90" s="56" t="n">
        <v>1</v>
      </c>
      <c r="L90" s="52" t="s">
        <v>5816</v>
      </c>
      <c r="M90" s="52" t="s">
        <v>363</v>
      </c>
    </row>
    <row r="91" customFormat="false" ht="14.25" hidden="false" customHeight="false" outlineLevel="0" collapsed="false">
      <c r="A91" s="52" t="s">
        <v>5781</v>
      </c>
      <c r="B91" s="52" t="s">
        <v>6011</v>
      </c>
      <c r="C91" s="53" t="n">
        <v>1475927</v>
      </c>
      <c r="D91" s="52" t="s">
        <v>1028</v>
      </c>
      <c r="E91" s="52" t="s">
        <v>1029</v>
      </c>
      <c r="F91" s="54" t="n">
        <v>1</v>
      </c>
      <c r="G91" s="55" t="n">
        <v>1890</v>
      </c>
      <c r="H91" s="55" t="n">
        <v>1890</v>
      </c>
      <c r="I91" s="55" t="n">
        <v>1890</v>
      </c>
      <c r="J91" s="52" t="s">
        <v>5816</v>
      </c>
      <c r="K91" s="56" t="n">
        <v>1</v>
      </c>
      <c r="L91" s="52" t="s">
        <v>5816</v>
      </c>
      <c r="M91" s="52" t="s">
        <v>35</v>
      </c>
    </row>
    <row r="92" customFormat="false" ht="14.25" hidden="false" customHeight="false" outlineLevel="0" collapsed="false">
      <c r="A92" s="52" t="s">
        <v>5781</v>
      </c>
      <c r="B92" s="52" t="s">
        <v>6011</v>
      </c>
      <c r="C92" s="53" t="n">
        <v>1475999</v>
      </c>
      <c r="D92" s="52" t="s">
        <v>2034</v>
      </c>
      <c r="E92" s="52" t="s">
        <v>2035</v>
      </c>
      <c r="F92" s="54" t="n">
        <v>1</v>
      </c>
      <c r="G92" s="55" t="n">
        <v>1222.5</v>
      </c>
      <c r="H92" s="55" t="n">
        <v>1222.5</v>
      </c>
      <c r="I92" s="55" t="n">
        <v>1222.5</v>
      </c>
      <c r="J92" s="52" t="s">
        <v>5816</v>
      </c>
      <c r="K92" s="56" t="n">
        <v>1</v>
      </c>
      <c r="L92" s="52" t="s">
        <v>5816</v>
      </c>
      <c r="M92" s="52" t="s">
        <v>35</v>
      </c>
    </row>
    <row r="93" customFormat="false" ht="14.25" hidden="false" customHeight="false" outlineLevel="0" collapsed="false">
      <c r="A93" s="63"/>
      <c r="B93" s="63"/>
      <c r="C93" s="63"/>
      <c r="D93" s="63"/>
      <c r="E93" s="63"/>
      <c r="F93" s="64" t="s">
        <v>5767</v>
      </c>
      <c r="G93" s="65" t="n">
        <f aca="false">SUM(G2:G92)</f>
        <v>2117923.501</v>
      </c>
      <c r="H93" s="63"/>
      <c r="I93" s="63"/>
      <c r="J93" s="63"/>
      <c r="K93" s="63"/>
      <c r="L93" s="63"/>
      <c r="M93" s="63"/>
    </row>
  </sheetData>
  <autoFilter ref="A1:M92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2026-09-27T18:38:45Z</dcterms:created>
  <dc:creator>openpyxl</dc:creator>
  <dc:description/>
  <dc:language>en-US</dc:language>
  <cp:lastModifiedBy/>
  <dcterms:modified xsi:type="dcterms:W3CDTF">2026-09-29T13:43:23Z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0x010100450A58918866B548B1477DE54226650B</vt:lpwstr>
  </property>
  <property fmtid="{D5CDD505-2E9C-101B-9397-08002B2CF9AE}" pid="3" name="DXVersion">
    <vt:lpwstr>24.1.6.0</vt:lpwstr>
  </property>
</Properties>
</file>